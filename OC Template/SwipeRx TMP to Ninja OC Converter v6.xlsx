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0490" windowHeight="7620" activeTab="3"/>
  </bookViews>
  <sheets>
    <sheet name="Petunjuk" sheetId="1" r:id="rId1"/>
    <sheet name="Config" sheetId="2" r:id="rId2"/>
    <sheet name="TMP Paste" sheetId="3" r:id="rId3"/>
    <sheet name="OC Upload" sheetId="4" r:id="rId4"/>
    <sheet name="Calc"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<sst xmlns="http://schemas.openxmlformats.org/spreadsheetml/2006/main" count="1002" uniqueCount="774">
  <si>
    <t>Konverter TMP SwipeRx  -&gt;  Upload OC Ninja Van   (v5, 10 Agu 2026)</t>
  </si>
  <si>
    <t>Tanpa makro. Cukup tempel data TMP dan pilih layanan â€” kolom otomatis terisi rumus.</t>
  </si>
  <si>
    <t/>
  </si>
  <si>
    <t>CARA PAKAI</t>
  </si>
  <si>
    <t>1.  Buka file TMP dari SwipeRx (file '[Template Swipe ...] TMP Batch'). Pilih SELURUH Sheet1 (Ctrl+A), Copy.</t>
  </si>
  <si>
    <t>2.  Ke sheet 'TMP Paste', tempel di sel A1 (Paste Values boleh). Data mulai baris 2 (1 baris judul).</t>
  </si>
  <si>
    <t>3.  Ke sheet  'Config' (sel kuning): pilih Layanan (S1/S2/S3), atur tanggal kirim dan gudang asal.</t>
  </si>
  <si>
    <t>4.  Buka sheet  'OC Upload'. Baris terisi otomatis. Salin kolom A sampai AE + semua baris terisi, tempel ke sistem Ninja Van.</t>
  </si>
  <si>
    <t xml:space="preserve">     (Kolom setelah AE hanya bantuan/CEK â€” JANGAN ikut di-upload.)</t>
  </si>
  <si>
    <t>STRUKTUR OUTPUT (acuan: template tech team 'Bulk_Upload_MPS_RDO')</t>
  </si>
  <si>
    <t>•  SATU BARIS = SATU SwipeAWB (satu MPS order). Bukan satu baris per PO.</t>
  </si>
  <si>
    <t>•  A requested_tracking_number = SwipeAWB (MPS Tracking ID) = D merchant_order_number. 1 WP = 1 MPS TRID = 1 SwipeAWB.</t>
  </si>
  <si>
    <t>•  AC = seluruh TRID anak milik MPS tsb. PREFIX WAJIB SAMA PERSIS dengan kolom A (SwipeAWB), 2 digit, mulai dari -01 di tiap AWB, dipisah ", ". Contoh AWB dgn 3 PO (PO1 = 2 koli):</t>
  </si>
  <si>
    <t xml:space="preserve">        AWB02U24V-01, AWB02U24V-02, AWB02U24V-03, AWB02U24V-04</t>
  </si>
  <si>
    <t>•  AB = total koli seluruh AWB (jumlah semua koli PO).  Y = daftar PO + total koli (cross-check kurir di lokasi).</t>
  </si>
  <si>
    <t>•  W = berat total per AWB (TMP kolom D), karena 1 baris = 1 AWB.</t>
  </si>
  <si>
    <t>•  B = shipper master 11398423; Layanan menentukan E (STANDARD/SAMEDAY) dan AE (branch 1/2/3).</t>
  </si>
  <si>
    <t>PERUBAHAN v5 (10 Agu 2026): v4 memberi prefix Nomor PO pada TRID anak, padahal kolom A berisi SwipeAWB. Akibatnya TIDAK ADA resi anak yang bisa nempel ke induknya — inilah error per-TRID di Driver App. Diaudit ke 3 file upload yang DITERIMA Ninja: 1035 dari 1035 TRID anak memakai prefix = kolom A, tanpa kecuali. Nomor urut tetap berjalan lintas AWB (sudah benar sejak v4); yang diganti hanya prefix-nya. Kolom CEK (AQ) sekarang ikut memeriksa prefix + jumlah anak.</t>
  </si>
  <si>
    <t>STRUKTUR TMP YANG DIKUNCI (acuan: 'TMP Batch Ninja Depok (Order) 28-07-26')</t>
  </si>
  <si>
    <t>A Pharmacy Name | B SwipeAWB | C Total Weight per AWB | D Total Volume | E PO Number | F Pharmacy's Id</t>
  </si>
  <si>
    <t>G Note's | H Picking Priority | I Pharmacy's Id - Address | J Zip Code | K City | L Phone | M Koli</t>
  </si>
  <si>
    <t>Baris PO lanjutan hanya berisi E..M (A/B/C kosong). Jika SwipeRx mengubah urutan kolom lagi, rumus harus disesuaikan.</t>
  </si>
  <si>
    <t>CONFIG â€” atur sebelum baca OC Upload</t>
  </si>
  <si>
    <t>Layanan (pilih)</t>
  </si>
  <si>
    <t>S1 - Regular (STANDARD)</t>
  </si>
  <si>
    <t>Layanan</t>
  </si>
  <si>
    <t>service_level</t>
  </si>
  <si>
    <t>branch</t>
  </si>
  <si>
    <t>pickup</t>
  </si>
  <si>
    <t>Tanggal kirim</t>
  </si>
  <si>
    <t>STANDARD</t>
  </si>
  <si>
    <t>FALSE</t>
  </si>
  <si>
    <t>S2 - Sameday (SAMEDAY)</t>
  </si>
  <si>
    <t>SAMEDAY</t>
  </si>
  <si>
    <t>S3 - POD Return</t>
  </si>
  <si>
    <t>TRUE</t>
  </si>
  <si>
    <t>GUDANG ASAL (from.*)</t>
  </si>
  <si>
    <t>REFERENSI SHIPPER ID (info — B selalu master 11398423)</t>
  </si>
  <si>
    <t>from.name (F)</t>
  </si>
  <si>
    <t>PT Teknologi Medika Pratama (SwipeRx) (B2BR)</t>
  </si>
  <si>
    <t>Shipper ID</t>
  </si>
  <si>
    <t>Shipper Name</t>
  </si>
  <si>
    <t>Layanan / Branch</t>
  </si>
  <si>
    <t>from.phone_number (G)</t>
  </si>
  <si>
    <t>087733785699</t>
  </si>
  <si>
    <t>PT Teknologi Medika Pratama (B2BR)</t>
  </si>
  <si>
    <t>MASTER — selalu di kolom B</t>
  </si>
  <si>
    <t>from.address.address1 (H)</t>
  </si>
  <si>
    <t>Jl. Tugu Raya, Tugu, Kec. Cimanggis, Kota Depok, Jawa Barat 16451,KUBIK LOGISTICS - Kompleks Pergudangan,Gudang E1</t>
  </si>
  <si>
    <t>PT Teknologi Medika Pratama HW (B2BR)</t>
  </si>
  <si>
    <t>S1 Regular — branch 1</t>
  </si>
  <si>
    <t>PT Teknologi Medika Pratama Sameday CTM (B2BR)</t>
  </si>
  <si>
    <t>S2 Sameday — branch 3</t>
  </si>
  <si>
    <t>KONSTANTA TERKUNCI (jangan diubah)</t>
  </si>
  <si>
    <t>PT Teknologi Medika Pratama HW - RTS Account (B2BR)</t>
  </si>
  <si>
    <t>S3 Return/POD — branch 2</t>
  </si>
  <si>
    <t>global_shipper_id (B) master</t>
  </si>
  <si>
    <t>service_type (C)</t>
  </si>
  <si>
    <t>Corporate B2B Bundle</t>
  </si>
  <si>
    <t>country (I / M)</t>
  </si>
  <si>
    <t>ID</t>
  </si>
  <si>
    <t>timeslot mulai (T)</t>
  </si>
  <si>
    <t>09:00</t>
  </si>
  <si>
    <t>timeslot selesai (U)</t>
  </si>
  <si>
    <t>22:00</t>
  </si>
  <si>
    <t>timezone (V)</t>
  </si>
  <si>
    <t>Asia/Jakarta</t>
  </si>
  <si>
    <t>(cadangan)</t>
  </si>
  <si>
    <t>is_dangerous_good (Z)</t>
  </si>
  <si>
    <t>documents_required (AA)</t>
  </si>
  <si>
    <t>RDO</t>
  </si>
  <si>
    <t>insured_value (AD)</t>
  </si>
  <si>
    <t>Teks instruksi RDO (R)</t>
  </si>
  <si>
    <t>Delivery Note wajib ada nama penerima, ditandatangani dan distempel penerima. Jika di label tertera "SP Manual", maka dokumen SP Manual harus diminta ke penerima sesuai dengan jumlah PO yang butuh SP Manual. Apabila ada retur, catat di Delivery Note dan update ke IC</t>
  </si>
  <si>
    <t>service_level (E)</t>
  </si>
  <si>
    <t>branch_id (AE)</t>
  </si>
  <si>
    <t>is_pickup_required (X)</t>
  </si>
  <si>
    <t>Pharmacy Name</t>
  </si>
  <si>
    <t>SwipeAWB</t>
  </si>
  <si>
    <t>Total Weight per AWB (kg)</t>
  </si>
  <si>
    <t>Total Volume per AWB (m3)</t>
  </si>
  <si>
    <t>PO Number</t>
  </si>
  <si>
    <t>Pharmacy's Id</t>
  </si>
  <si>
    <t>Note's</t>
  </si>
  <si>
    <t>Picking Priority</t>
  </si>
  <si>
    <t>Pharmacy's Id - Address</t>
  </si>
  <si>
    <t>Zip Code</t>
  </si>
  <si>
    <t>City</t>
  </si>
  <si>
    <t>Phone</t>
  </si>
  <si>
    <t>Koli</t>
  </si>
  <si>
    <t>Apotek Afia</t>
  </si>
  <si>
    <t>AWB02WJVH</t>
  </si>
  <si>
    <t>26072713473538DTjozNXFa</t>
  </si>
  <si>
    <t>P4N</t>
  </si>
  <si>
    <t>3062-Jalan MI Ridwan Rais No.3 RT 002 RW 006 Kelurahan Beji Timur Kecamatan Beji Kota Depok 16422</t>
  </si>
  <si>
    <t>Kota Depok</t>
  </si>
  <si>
    <t>Apotek Alam Sehat Farma</t>
  </si>
  <si>
    <t>AWB02WJ90</t>
  </si>
  <si>
    <t>26072707484936JExQscwbq</t>
  </si>
  <si>
    <t>836-Jalan Anggrek Raya No. 27-28 RT 002/004 Kelurahan Depok Jaya Kecamatan Pancoran Mas 16432</t>
  </si>
  <si>
    <t>81382701345</t>
  </si>
  <si>
    <t>Apotek Ben Waras 19</t>
  </si>
  <si>
    <t>AWB02WL4S</t>
  </si>
  <si>
    <t>26072802143715UaH54d1OD</t>
  </si>
  <si>
    <t>903-Jalan Karya Ruko Tugu Bedahan No. 10 RT.001 RW.16 Kelurahan Bedahan, Kecamatan Sawangan, Kota Depok, Jawa Barat 16519</t>
  </si>
  <si>
    <t>6289510341165</t>
  </si>
  <si>
    <t>Apotek Berkah 9</t>
  </si>
  <si>
    <t>AWB02WKTT</t>
  </si>
  <si>
    <t>26072801412330Cygue4Ku6</t>
  </si>
  <si>
    <t>26072801412330Cygue4Ku6-26072802554064GKk0wdiYh-26072802554064ljldqS88pC</t>
  </si>
  <si>
    <t>3479-Jalan Raya Pasir Putih Ruko Cahaya Garuda No. 6 RT 005 RW 009 Sawangan Permai Kelurahan Pasir Putih Kecamatan Sawangan Kota Depok 16519</t>
  </si>
  <si>
    <t>8979743443</t>
  </si>
  <si>
    <t>26072802554064GKk0wdiYh</t>
  </si>
  <si>
    <t>26072802554064ljldqS88pC</t>
  </si>
  <si>
    <t>Apotek Berlian Farma</t>
  </si>
  <si>
    <t>AWB02WKFU</t>
  </si>
  <si>
    <t>26072800444949VmLEmOlB9</t>
  </si>
  <si>
    <t>26072800444949VmLEmOlB9-260728010345500SexiSn1Av-26072801034550trixNIPaR-26072801473602jTFSiKfF</t>
  </si>
  <si>
    <t>667-Komplek Permata Jasindo Lestari Blok A6/14 RT.007 RW.004 Kelurahan Mekarsari, Kecamatan Cimanggis, Kota Depok 16452</t>
  </si>
  <si>
    <t>85374101944</t>
  </si>
  <si>
    <t>260728010345500SexiSn1Av</t>
  </si>
  <si>
    <t>26072801034550trixNIPaR</t>
  </si>
  <si>
    <t>26072801473602jTFSiKfF</t>
  </si>
  <si>
    <t>Apotek Berlian Farma Rasamala Bakti Jaya Sukmajaya</t>
  </si>
  <si>
    <t>AWB02WGVD</t>
  </si>
  <si>
    <t>26072703245809wQimRVF1</t>
  </si>
  <si>
    <t>26072703245809wQimRVF1-26072802522246IUjxQvWbh-26072802592265RiGBF708N-26072802592265wqZCVet0V</t>
  </si>
  <si>
    <t>11437-Jl. Rasamala Raya No. 423 Kel. Baktijaya Kec. Sukmajaya Kota Depok 16418</t>
  </si>
  <si>
    <t>6285374101944</t>
  </si>
  <si>
    <t>26072802522246IUjxQvWbh</t>
  </si>
  <si>
    <t>26072802592265RiGBF708N</t>
  </si>
  <si>
    <t>26072802592265wqZCVet0V</t>
  </si>
  <si>
    <t>Apotek Bersama Plus Jatimulya Cilodong</t>
  </si>
  <si>
    <t>AWB02WJRN</t>
  </si>
  <si>
    <t>26072712475211w4O3Py9yv</t>
  </si>
  <si>
    <t>26072712475211w4O3Py9yv-260727124752122dYBQKGDe-26072712475212Ec78WQpCrD-26072712475212XTxGNiHixm</t>
  </si>
  <si>
    <t>15120-Jalan Pondok Rajeg RT 01 RW 01 NO 79, Desa/Kelurahan Jatimulya, Kec. Cilodong, Kota Depok, Provinsi Jawa Barat,</t>
  </si>
  <si>
    <t>6285282565256</t>
  </si>
  <si>
    <t>260727124752122dYBQKGDe</t>
  </si>
  <si>
    <t>26072712475212Ec78WQpCrD</t>
  </si>
  <si>
    <t>26072712475212XTxGNiHixm</t>
  </si>
  <si>
    <t>Apotek Bersama Pondok Ranggon Cipayung</t>
  </si>
  <si>
    <t>AWB02WKH1</t>
  </si>
  <si>
    <t>26072800513343zU8ph3SKJ</t>
  </si>
  <si>
    <t>12430-Jl Raya Pondok Ranggon RT 006 RW 004 Kel. Pondok Ranggon Kec. Cipayung, Jakarta Timur</t>
  </si>
  <si>
    <t>Kota Jakarta Timur</t>
  </si>
  <si>
    <t>6289529655094</t>
  </si>
  <si>
    <t>Apotek Bumi Sehat Serua Bojongsari</t>
  </si>
  <si>
    <t>AWB02WJ9B</t>
  </si>
  <si>
    <t>26072707523848Dhpuftwa</t>
  </si>
  <si>
    <t>11084-Jl. Serua Raya, Kel Serua Kec. Bojongsari, Kota Depok, 16517</t>
  </si>
  <si>
    <t>6281934028112</t>
  </si>
  <si>
    <t>Apotek Bunda Bedahan Sawangan</t>
  </si>
  <si>
    <t>AWB02WJJX</t>
  </si>
  <si>
    <t>26072710184801AQgMPUJcI</t>
  </si>
  <si>
    <t>13593-Jl. H. Sulaiman No.06, RT004/RW007, Desa/Kelurahan Bedahan, Kec. Sawangan, Kota Depok</t>
  </si>
  <si>
    <t>6281382843554</t>
  </si>
  <si>
    <t>Apotek Cipayung 1</t>
  </si>
  <si>
    <t>AWB02WKTX</t>
  </si>
  <si>
    <t>260728014140360ppVZvbV</t>
  </si>
  <si>
    <t>260728014140360ppVZvbV-26072801414037XH6dCj30sh-260728015619662gr5Ce0Coa-26072801561966LCCsOJtss</t>
  </si>
  <si>
    <t>8251-Jl. Raya Jembatan Serong Blok Sawo No. 115 RT. 002 RW. 003 Kel. Cipayung Kec. Cipayung Kota Depok</t>
  </si>
  <si>
    <t>81264043044</t>
  </si>
  <si>
    <t>26072801414037XH6dCj30sh</t>
  </si>
  <si>
    <t>260728015619662gr5Ce0Coa</t>
  </si>
  <si>
    <t>26072801561966LCCsOJtss</t>
  </si>
  <si>
    <t>Apotek Cita Sehat Curug Bojongsari</t>
  </si>
  <si>
    <t>AWB02WJMZ</t>
  </si>
  <si>
    <t>26072711371829bD90OfAG</t>
  </si>
  <si>
    <t>26072711371829bD90OfAG-26072711371829hZImrWHPpe-26072711371829MedkSjEjj</t>
  </si>
  <si>
    <t>13096-Jl. Raya Curug Ciputat RT 001 RW 002 Kel. Curug Kec. Bojongsari Kota Depok</t>
  </si>
  <si>
    <t>6285220978760</t>
  </si>
  <si>
    <t>26072711371829hZImrWHPpe</t>
  </si>
  <si>
    <t>26072711371829MedkSjEjj</t>
  </si>
  <si>
    <t>Apotek Clara Jaya</t>
  </si>
  <si>
    <t>AWB02WJ03</t>
  </si>
  <si>
    <t>260727060846087GrvfxYt</t>
  </si>
  <si>
    <t>2649-Jalan Monumen Pancasila Sakti RT 007 RW 002 Kelurahan Lubang Buaya Kecamatan Cipayung Jakarta Timur 13810</t>
  </si>
  <si>
    <t>6285748601748</t>
  </si>
  <si>
    <t>Apotek Dafa Cipayung Cipayung</t>
  </si>
  <si>
    <t>AWB02WJ9T</t>
  </si>
  <si>
    <t>26072707560190rhBnVpiLi</t>
  </si>
  <si>
    <t>26072707560190rhBnVpiLi-26072707560190ymqgVdWPi</t>
  </si>
  <si>
    <t>13177-Jl. Jembatan Serong RT 006 RW 002 Kel. Cipayung Kec. Cipayung Kota Depok</t>
  </si>
  <si>
    <t>6282364343108</t>
  </si>
  <si>
    <t>26072707560190ymqgVdWPi</t>
  </si>
  <si>
    <t>Apotek Damai</t>
  </si>
  <si>
    <t>AWB02WJC8</t>
  </si>
  <si>
    <t>26072708294775X2jgOh7r</t>
  </si>
  <si>
    <t>317-Jl. Menpor No. 12, Palsigunung, RT. 007 / RW. 003, Kelurahan Tugu, Kecamatan Cimanggis, Depok, Jawa Barat 16451</t>
  </si>
  <si>
    <t>81296144347</t>
  </si>
  <si>
    <t>Apotek Dewi Farma</t>
  </si>
  <si>
    <t>AWB02WJ7E</t>
  </si>
  <si>
    <t>26072707241110QJcTk8YNC</t>
  </si>
  <si>
    <t>724-Jalan Mess AL Kranggan Wetan RT.001/RW.012, Kelurahan Jatirangga, Kecamatan Jatisampurna, Kota Bekasi 17434</t>
  </si>
  <si>
    <t>Kota Bekasi</t>
  </si>
  <si>
    <t>85283705505</t>
  </si>
  <si>
    <t>Apotek Faisal</t>
  </si>
  <si>
    <t>AWB02WKEL</t>
  </si>
  <si>
    <t>26072800322508vKhc2TWx9</t>
  </si>
  <si>
    <t>1442-Jalan Tawangmangu Raya Blok C2 No. 4 RT 19 RW 07 Kelurahan Jati Cempaka Kecamatan Pondok Gede Kota Bekasi 17411</t>
  </si>
  <si>
    <t>87773506955</t>
  </si>
  <si>
    <t>Apotek FarmaDok Jatiranggon Jatisampurna</t>
  </si>
  <si>
    <t>AWB02WJT2</t>
  </si>
  <si>
    <t>260727130541123P9fwqGX8k</t>
  </si>
  <si>
    <t>260727130541123P9fwqGX8k-26072713054112jKXG2Pgb2D-26072713054112VQ5BgPLP</t>
  </si>
  <si>
    <t>17703-Jl. Raya Kranggan No. 93 RT.006/RW.005, Desa/Kelurahan Jatiranggon, Kec. Jatisampurna, Kota Bekasi</t>
  </si>
  <si>
    <t>6285885477255</t>
  </si>
  <si>
    <t>26072713054112jKXG2Pgb2D</t>
  </si>
  <si>
    <t>26072713054112VQ5BgPLP</t>
  </si>
  <si>
    <t>Apotek Fatih Jatibening Baru Pondok Gede</t>
  </si>
  <si>
    <t>AWB02WJMV</t>
  </si>
  <si>
    <t>26072711350898koIZhWruw</t>
  </si>
  <si>
    <t>26072711350898koIZhWruw-26072711350899gtRmMQ5NSR-26072711471783EBYJf2XQ8B-26072711471783v1Ybwtvm</t>
  </si>
  <si>
    <t>16587-Jl. Lampiri Raya No.108 B Desa/Kelurahan Jatibening Baru,Kecamatan Pondok Gede, Kota Bekasi, Jawa Barat, 17412</t>
  </si>
  <si>
    <t>6281214148920</t>
  </si>
  <si>
    <t>26072711350899gtRmMQ5NSR</t>
  </si>
  <si>
    <t>26072711471783EBYJf2XQ8B</t>
  </si>
  <si>
    <t>26072711471783v1Ybwtvm</t>
  </si>
  <si>
    <t>Apotek Fikri Setu Cipayung</t>
  </si>
  <si>
    <t>AWB02WL7H</t>
  </si>
  <si>
    <t>260728022212646PTExoyK</t>
  </si>
  <si>
    <t>260728022212646PTExoyK-26072802221264cGexMLOGnr-26072802221264tBcTbwVSiT</t>
  </si>
  <si>
    <t>10722-Jalan Terusan Mabes Hankam RT 007 RW 004, Desa/Kelurahan Setu, Kecamatan Cipayung, Kota Administrasi Jakarta Timur, DKI Jakarta 13880</t>
  </si>
  <si>
    <t>628176566205</t>
  </si>
  <si>
    <t>26072802221264cGexMLOGnr</t>
  </si>
  <si>
    <t>26072802221264tBcTbwVSiT</t>
  </si>
  <si>
    <t>Apotek G Farma Kranggan</t>
  </si>
  <si>
    <t>AWB02WKJ4</t>
  </si>
  <si>
    <t>26072800590510bpZcrNFC5H</t>
  </si>
  <si>
    <t>26072800590510bpZcrNFC5H-26072800590510PNkY214v7</t>
  </si>
  <si>
    <t>552-Ruko Kranggan Permai Blok RT 2 No. 4, RT 015 RW 015, Kelurahan Jatisampurna, Kecamatan Jatisampurna, Kota Bekasi, Jawa Barat 17433</t>
  </si>
  <si>
    <t>81932511145</t>
  </si>
  <si>
    <t>26072800590510PNkY214v7</t>
  </si>
  <si>
    <t>Apotek Gaharu 926</t>
  </si>
  <si>
    <t>AWB02WKD5</t>
  </si>
  <si>
    <t>26072800084322Zg0uQsbhY</t>
  </si>
  <si>
    <t>926-Jl. Kramat 3 Ruko Perumahan Gaharu No.C7, Sukatani, Kec. Tapos, Kota Depok</t>
  </si>
  <si>
    <t>2122920093</t>
  </si>
  <si>
    <t>Apotek Gemintang Farma Jatimelati Pondok Melati</t>
  </si>
  <si>
    <t>AWB02WLJ2</t>
  </si>
  <si>
    <t>26072802471485AaAsvhvmkO</t>
  </si>
  <si>
    <t>26072802471485AaAsvhvmkO-26072802471485DBoYI0b3e-26072802471485G6fx5GyCjY</t>
  </si>
  <si>
    <t>11120-Jalan Raya Kampung Sawah No 50, Desa/Kelurahan Jatimelati, Kecamatan Pondokmelati, Kota Bekasi,Jawa Barat,17414</t>
  </si>
  <si>
    <t>6285691132174</t>
  </si>
  <si>
    <t>26072802471485DBoYI0b3e</t>
  </si>
  <si>
    <t>26072802471485G6fx5GyCjY</t>
  </si>
  <si>
    <t>Apotek Ghanim Farma Tanah Baru Beji</t>
  </si>
  <si>
    <t>AWB02WM53</t>
  </si>
  <si>
    <t>26072803313223Ps0Z2kIHf</t>
  </si>
  <si>
    <t>26072803313223Ps0Z2kIHf-26072803313223vSJNdDD6HK</t>
  </si>
  <si>
    <t>17924-Jl. Raden Sanim No.77 B RT 006 RW 012, Desa/Kelurahan Tanah Baru, Kec.Beji, Kota Depok</t>
  </si>
  <si>
    <t>6282285086937</t>
  </si>
  <si>
    <t>26072803313223vSJNdDD6HK</t>
  </si>
  <si>
    <t>Apotek GM Pharma Cipayung Cipayung</t>
  </si>
  <si>
    <t>AWB02WMFG</t>
  </si>
  <si>
    <t>26072803595231IFhVy7FfL</t>
  </si>
  <si>
    <t>26072803595231IFhVy7FfL-26072803595231KnRYgpyZ8-26072803595231q7AHq7ty9T</t>
  </si>
  <si>
    <t>15649-Jl. Raya Setu Cipayung No. 17C, Desa/Kelurahan Cipayung, Kec. Cipayung, Kota Adm. Jakarta Timur</t>
  </si>
  <si>
    <t>6287882243635</t>
  </si>
  <si>
    <t>26072803595231KnRYgpyZ8</t>
  </si>
  <si>
    <t>26072803595231q7AHq7ty9T</t>
  </si>
  <si>
    <t>Apotek GMF Farma Depok Pancoran Mas</t>
  </si>
  <si>
    <t>AWB02WJCE</t>
  </si>
  <si>
    <t>260727083612480BwhS7OPy</t>
  </si>
  <si>
    <t>260727083612480BwhS7OPy-26072708361248hJgpwuitfd-26072708361248qXuEbCMerV</t>
  </si>
  <si>
    <t>16693-Jl. Siliwangi No. 065 Rt. 001 Rw. 010 Kelurahan Depok Jaya, Kecamatan Pancoran Mas Kota Depok</t>
  </si>
  <si>
    <t>6281311908068</t>
  </si>
  <si>
    <t>26072708361248hJgpwuitfd</t>
  </si>
  <si>
    <t>26072708361248qXuEbCMerV</t>
  </si>
  <si>
    <t>Apotek Golden 7952</t>
  </si>
  <si>
    <t>AWB02WKJS</t>
  </si>
  <si>
    <t>26072801031567Hp24HoWZF</t>
  </si>
  <si>
    <t>7952-Jl. Bakti Abri No. 41C RT. 04 RW. 8 Kel. Sukamaju Baru, Kec. Tapos Kota Depok 16462</t>
  </si>
  <si>
    <t>81380247863</t>
  </si>
  <si>
    <t>Apotek Hanna Farma</t>
  </si>
  <si>
    <t>AWB02WJZ8</t>
  </si>
  <si>
    <t>26072714525639O5nHEBIMW</t>
  </si>
  <si>
    <t>26072714525639O5nHEBIMW-26072714525639WMgyKzlcO2</t>
  </si>
  <si>
    <t>4082-Ruko Golden Land Kav 2 Jl. Kemangsari RT 018 RW 007 Kelurahan Jatibening Kecamatan Pondok Gede Kota Bekasi 17412</t>
  </si>
  <si>
    <t>85691174363</t>
  </si>
  <si>
    <t>26072714525639WMgyKzlcO2</t>
  </si>
  <si>
    <t>Apotek Imani</t>
  </si>
  <si>
    <t>AWB02WHJP</t>
  </si>
  <si>
    <t>26072704165254LSWd1kcn9</t>
  </si>
  <si>
    <t>26072704165254LSWd1kcn9-26072801104243uTFKVy5E</t>
  </si>
  <si>
    <t>2080-Jalan  KH. M. Usman No. 17 RT 004 RW 002 Kelurahan Kukusan Kecamatan Beji Kota Depok 16425</t>
  </si>
  <si>
    <t>8176684929</t>
  </si>
  <si>
    <t>26072801104243uTFKVy5E</t>
  </si>
  <si>
    <t>Apotek Inofarma Asmawi Beji Beji</t>
  </si>
  <si>
    <t>AWB02WLVW</t>
  </si>
  <si>
    <t>26072803133514fSeInejt</t>
  </si>
  <si>
    <t>26072803133514fSeInejt-26072803133514HsGJ4oecG9-26072803133514MJHAp1LhUM</t>
  </si>
  <si>
    <t>12478-Jl. Haji Asmawi No.62A RT 004 RW 005 Kel. Beji Kec. Beji Kota Depok</t>
  </si>
  <si>
    <t>6282266622264</t>
  </si>
  <si>
    <t>26072803133514HsGJ4oecG9</t>
  </si>
  <si>
    <t>26072803133514MJHAp1LhUM</t>
  </si>
  <si>
    <t>Apotek Jati Raden Jatiraden Jatisampurna</t>
  </si>
  <si>
    <t>AWB02WKL7</t>
  </si>
  <si>
    <t>26072801103762I3EhQmAV9</t>
  </si>
  <si>
    <t>12602-Jalan Kranggan Kulon No. 2 RT.002 RW.009, Desa/Kelurahan Jatiraden, Kec. Jatisampurna, Kota Bekasi</t>
  </si>
  <si>
    <t>6285715877796</t>
  </si>
  <si>
    <t>Apotek K24 Bintang Farma</t>
  </si>
  <si>
    <t>AWB02WKNX</t>
  </si>
  <si>
    <t>26072801220793TpsCocuVQ</t>
  </si>
  <si>
    <t>4-Jl. Kincan raya No. 17C RT.001 RW.007 Kelurahan Jatibening,Kecamatan Pondok Gede,Kota Bekasi,Jawa Barat,17412</t>
  </si>
  <si>
    <t>628176740151</t>
  </si>
  <si>
    <t>Apotek K24 Grand Depok City</t>
  </si>
  <si>
    <t>AWB02WHSE</t>
  </si>
  <si>
    <t>26072705014435OHwD9GRWrr</t>
  </si>
  <si>
    <t>26072705014435OHwD9GRWrr-26072705014435U4wjCNpuHt-26072705014435VCRwd3dm</t>
  </si>
  <si>
    <t>1113-Perumahan Grand Depok City Sektor Caspia Blok B12 RT 002/006 Kelurahan Kalibaru Kecamatan Cilodong Depok 16414</t>
  </si>
  <si>
    <t>81298228333</t>
  </si>
  <si>
    <t>26072705014435U4wjCNpuHt</t>
  </si>
  <si>
    <t>26072705014435VCRwd3dm</t>
  </si>
  <si>
    <t>Apotek K24 Jatiasih</t>
  </si>
  <si>
    <t>AWB02WHP0</t>
  </si>
  <si>
    <t>260727043728560vNLRTQ</t>
  </si>
  <si>
    <t>1474-Jalan Raya Jatiasih No. 1 Kelurahan Jatirasa Kecamatan Jatiasih Bekasi 17424</t>
  </si>
  <si>
    <t>8561566690</t>
  </si>
  <si>
    <t>Apotek K24 Jatirahayu Jatirahayu Pondok Melati</t>
  </si>
  <si>
    <t>AWB02WLRF</t>
  </si>
  <si>
    <t>260728030109194Fw15EUDO</t>
  </si>
  <si>
    <t>260728030109194Fw15EUDO-26072803010919wmzmZTNRPG-26072803010919Z6M7BwAYQ4</t>
  </si>
  <si>
    <t>13059-Jl Raya Hankam No. 114 Kel. Jatirahayu Kec. Pondok Melati Kota Bekasi</t>
  </si>
  <si>
    <t>6282283312589</t>
  </si>
  <si>
    <t>26072803010919wmzmZTNRPG</t>
  </si>
  <si>
    <t>26072803010919Z6M7BwAYQ4</t>
  </si>
  <si>
    <t>Apotek K24 Meruyung Depok</t>
  </si>
  <si>
    <t>AWB02WDF1</t>
  </si>
  <si>
    <t>26072606505263XHL2DBii</t>
  </si>
  <si>
    <t>8254-Jl. Parung Bingung RT 01 RW 10 Kel. Rangkapan Jaya, Kec. Pancoran Mas, Kota Depok, 16434</t>
  </si>
  <si>
    <t>6281318526502</t>
  </si>
  <si>
    <t>Apotek Kalilicin Rangkapan Jaya Pancoran Mas</t>
  </si>
  <si>
    <t>AWB02WHMZ</t>
  </si>
  <si>
    <t>26072704305528ppN2RL5</t>
  </si>
  <si>
    <t>9208-Ruko Rangkapan Jaya No 02-03, Kel. Rangkapan Jaya, Kec. Pancoran Mas, Kota Depok 16435</t>
  </si>
  <si>
    <t>215703335</t>
  </si>
  <si>
    <t>Apotek Kalimulya Kalimulya Cilodong</t>
  </si>
  <si>
    <t>AWB02WMBR</t>
  </si>
  <si>
    <t>260728035150397r7WBD2c6</t>
  </si>
  <si>
    <t>260728035150397r7WBD2c6-26072803515040WR8YD6H9a</t>
  </si>
  <si>
    <t>13426-Jl. Raya Kalimulya RT. 005 RW. 002, Desa/Kel. Kalimulya, Kec. Cilodong, Kota Depok</t>
  </si>
  <si>
    <t>6285263336109</t>
  </si>
  <si>
    <t>26072803515040WR8YD6H9a</t>
  </si>
  <si>
    <t>Apotek Kartini</t>
  </si>
  <si>
    <t>AWB02WHNK</t>
  </si>
  <si>
    <t>26072704341502qdbRVQ5P</t>
  </si>
  <si>
    <t>26072704341502qdbRVQ5P-26072712032924MjdyBhu-260728033101816irAnKvBHn-26072803310181m8tf9X6oL</t>
  </si>
  <si>
    <t>536-Jalan Kartini No. 78 RT 004 RW 009, Kelurahan Pancoranmas, Kecamatan Pancoranmas, Kota Depok, Jawa Barat 16436</t>
  </si>
  <si>
    <t>6285719246772</t>
  </si>
  <si>
    <t>26072712032924MjdyBhu</t>
  </si>
  <si>
    <t>260728033101816irAnKvBHn</t>
  </si>
  <si>
    <t>26072803310181m8tf9X6oL</t>
  </si>
  <si>
    <t>Apotek Karunia Farma Curug Bojongsari</t>
  </si>
  <si>
    <t>AWB02WHKT</t>
  </si>
  <si>
    <t>260727042103423Z7gUddIeC</t>
  </si>
  <si>
    <t>260727042103423Z7gUddIeC-26072704210342Ptkz57fgS</t>
  </si>
  <si>
    <t>16776-Jl. Raya Curug No.80 A, Desa/Kelurahan Curug, Kec. Bojongsari, Kota Depok</t>
  </si>
  <si>
    <t>6282261115996</t>
  </si>
  <si>
    <t>26072704210342Ptkz57fgS</t>
  </si>
  <si>
    <t>Apotek Karunia Sejahtera Jatimurni Pondok Melati</t>
  </si>
  <si>
    <t>AWB02WKAF</t>
  </si>
  <si>
    <t>26072723241347gQeGJZgTe</t>
  </si>
  <si>
    <t>26072723241347gQeGJZgTe-26072802112338LNmw0XGb6</t>
  </si>
  <si>
    <t>12876-Jl. Raya Kampung Sawah No. 2 RT. 007 RW. 001 Desa/Kelurahan Jatimurni, Kec. Pondokmelati, Kota Bekasi</t>
  </si>
  <si>
    <t>6285881785140</t>
  </si>
  <si>
    <t>26072802112338LNmw0XGb6</t>
  </si>
  <si>
    <t>Apotek Kejayaan Abadijaya Sukmajaya</t>
  </si>
  <si>
    <t>AWB02WM96</t>
  </si>
  <si>
    <t>26072803451506gUV8kMu</t>
  </si>
  <si>
    <t>13718-Jl. Kejayaan No. 1 RT. 001 RW. 008,Desa/Kelurahan Abadijaya,Kecamatan Sukmajaya,Kota Depok,Jawa Barat,16417</t>
  </si>
  <si>
    <t>6281281385101</t>
  </si>
  <si>
    <t>Apotek Kimora Farma</t>
  </si>
  <si>
    <t>AWB02WK0E</t>
  </si>
  <si>
    <t>26072715175632enev8dlT</t>
  </si>
  <si>
    <t>26072715175632enev8dlT-26072715175632TXfu46KF1h-26072715175632yj2F2HjwSr</t>
  </si>
  <si>
    <t>2816-Jalan Raya Pondok Petir RT 01 RW 01 Kelurahan Pondok Petir Kecamatan Bojongsari Kota Depok 16517</t>
  </si>
  <si>
    <t>81264679459</t>
  </si>
  <si>
    <t>26072715175632TXfu46KF1h</t>
  </si>
  <si>
    <t>26072715175632yj2F2HjwSr</t>
  </si>
  <si>
    <t>Apotek Kiray Farma Cimpaeun Tapos</t>
  </si>
  <si>
    <t>AWB02WJ8X</t>
  </si>
  <si>
    <t>26072707484123A88nijyae</t>
  </si>
  <si>
    <t>26072707484123A88nijyae-260727074841243wfickmqt</t>
  </si>
  <si>
    <t>16017-Jalan Raya Tapos RT 003 RW 02, Desa/Kelurahan Cimpaeun, Kec.Tapos, Kota Depok</t>
  </si>
  <si>
    <t>6281318087890</t>
  </si>
  <si>
    <t>260727074841243wfickmqt</t>
  </si>
  <si>
    <t>Apotek Kita 2</t>
  </si>
  <si>
    <t>AWB02WHTA</t>
  </si>
  <si>
    <t>26072705085896Tq3msdNjq</t>
  </si>
  <si>
    <t>26072705085896Tq3msdNjq-26072705085896TYVZCvOyBK</t>
  </si>
  <si>
    <t>2333-Jalan Cipayung Jaya RT 04 RW 05 Kelurahan Cipayung Jaya Kecamatan Cipayung Kota Depok 16437</t>
  </si>
  <si>
    <t>81311214281</t>
  </si>
  <si>
    <t>26072705085896TYVZCvOyBK</t>
  </si>
  <si>
    <t>Apotek Kita Utama Pancoran Mas Pancoran Mas</t>
  </si>
  <si>
    <t>AWB02WLXF</t>
  </si>
  <si>
    <t>26072803175029kCTz1OwUR</t>
  </si>
  <si>
    <t>26072803175029kCTz1OwUR-26072803175030oT1RZhJws-26072803175030rtBz9At5T</t>
  </si>
  <si>
    <t>17869-Jl. Cagar Alam RT 001 RW 006 Kel. Pancoran Mas Kec. Pancoran Mas Kota Depok</t>
  </si>
  <si>
    <t>6282152156244</t>
  </si>
  <si>
    <t>26072803175030oT1RZhJws</t>
  </si>
  <si>
    <t>26072803175030rtBz9At5T</t>
  </si>
  <si>
    <t>Apotek Kopkar One Gedong Pasar Rebo</t>
  </si>
  <si>
    <t>AWB02WHMW</t>
  </si>
  <si>
    <t>26072704304684v7RLStbbD</t>
  </si>
  <si>
    <t>12667-Jalan Dana Karya No. 04 Rt. 003 Rw 008, Desa/Kel. Gedong, Kec. Pasar Rebo, Kota Adm. Jakarta Timur</t>
  </si>
  <si>
    <t>6285211630292</t>
  </si>
  <si>
    <t>Apotek Makmur Sehat</t>
  </si>
  <si>
    <t>AWB02WHKZ</t>
  </si>
  <si>
    <t>26072704214871P5wacKs03</t>
  </si>
  <si>
    <t>26072704214871P5wacKs03-26072704375108dcNtw683l</t>
  </si>
  <si>
    <t>1725-Jalan Raya Pondok Petir No. 38 RT. 004/005 Kelurahan Pondok Petir Kecamatan Bojongsari Kota Depok 16516</t>
  </si>
  <si>
    <t>81354877771</t>
  </si>
  <si>
    <t>26072704375108dcNtw683l</t>
  </si>
  <si>
    <t>Apotek Manjur Pondok Cina Beji</t>
  </si>
  <si>
    <t>AWB02WK38</t>
  </si>
  <si>
    <t>26072716393780FhBo299KV</t>
  </si>
  <si>
    <t>26072716393780FhBo299KV-2607271643250944xqmndnd-260727164917489wsa6agyC</t>
  </si>
  <si>
    <t>16209-Jl. Margonda Raya No. 514 RT. 001 RW. 005 Jl. Raya Pondok Duta Kel. Pondok Cina Kec. Beji Kota Depok</t>
  </si>
  <si>
    <t>6282137785242</t>
  </si>
  <si>
    <t>2607271643250944xqmndnd</t>
  </si>
  <si>
    <t>260727164917489wsa6agyC</t>
  </si>
  <si>
    <t>Apotek Mars Tugu Cimanggis</t>
  </si>
  <si>
    <t>AWB02WHWK</t>
  </si>
  <si>
    <t>26072705363473JsgtZYExG</t>
  </si>
  <si>
    <t>12104-Jl. Hankam Raya No. 15 E, Kelapa Dua, Desa/Kelurahan Tugu, Kec. Cimanggis, Kota Depok</t>
  </si>
  <si>
    <t>6281210725818</t>
  </si>
  <si>
    <t>Apotek Maryam Tanah Baru Beji</t>
  </si>
  <si>
    <t>AWB02WL01</t>
  </si>
  <si>
    <t>26072801595190vSRVlibl4</t>
  </si>
  <si>
    <t>26072801595190vSRVlibl4-26072801595190XLGrI4ikQy-26072801595190Z8oVqWEt</t>
  </si>
  <si>
    <t>15970-Jl. Curug Agung No. 7 RT. 006 RW. 009 Kel. Tanah Baru Kec. Beji Kota Depok</t>
  </si>
  <si>
    <t>6281902244788</t>
  </si>
  <si>
    <t>26072801595190XLGrI4ikQy</t>
  </si>
  <si>
    <t>26072801595190Z8oVqWEt</t>
  </si>
  <si>
    <t>Apotek Medika 126 Baru Pasar Rebo</t>
  </si>
  <si>
    <t>AWB02WJHH</t>
  </si>
  <si>
    <t>26072710005569qoMepCZ1K</t>
  </si>
  <si>
    <t>26072710005569qoMepCZ1K-26072710415979BLVpGgsq3</t>
  </si>
  <si>
    <t>13566-Jalan Gongseng Raya Nomor 8 B, Desa/Kelurahan Baru, Kec. Pasar Rebo, Kota Jakarta Timur</t>
  </si>
  <si>
    <t>6282125844069</t>
  </si>
  <si>
    <t>26072710415979BLVpGgsq3</t>
  </si>
  <si>
    <t>Apotek Merapi</t>
  </si>
  <si>
    <t>AWB02WM39</t>
  </si>
  <si>
    <t>26072803283505cI8I77fXXj</t>
  </si>
  <si>
    <t>26072803283505cI8I77fXXj-26072803283505IrS9O5GP4-26072803283505rckWTaHni-26072803574432jW7lwvjk5</t>
  </si>
  <si>
    <t>334-Jalan Kejayaan Blok X No. 9 RT 006/ RW 012 Kelurahan Abadijaya, Kecamatan Sukmajaya Kota Depok 16417</t>
  </si>
  <si>
    <t>2177833109</t>
  </si>
  <si>
    <t>26072803283505IrS9O5GP4</t>
  </si>
  <si>
    <t>26072803283505rckWTaHni</t>
  </si>
  <si>
    <t>26072803574432jW7lwvjk5</t>
  </si>
  <si>
    <t>Apotek Mumtaz Bedahan Sawangan</t>
  </si>
  <si>
    <t>AWB02WJJL</t>
  </si>
  <si>
    <t>26072710133904pNcuq6ld</t>
  </si>
  <si>
    <t>26072710133904pNcuq6ld-2607271013390590AlcCl43l</t>
  </si>
  <si>
    <t>15895-Ruko Almoetamad Regency No.1 RT 005 RW 003 Kel.Bedahan Kec.Sawangan Kota Depok</t>
  </si>
  <si>
    <t>6285177925786</t>
  </si>
  <si>
    <t>2607271013390590AlcCl43l</t>
  </si>
  <si>
    <t>Apotek Mustika Waras Jatirasa Jatiasih</t>
  </si>
  <si>
    <t>AWB02WG7D</t>
  </si>
  <si>
    <t>26072702572626NtbbW1wOJ</t>
  </si>
  <si>
    <t>26072702572626NtbbW1wOJ-26072705573895qVOjd2FOO-26072803404163RnXrEhtGw</t>
  </si>
  <si>
    <t>9079-Jl. Swatantra V No. 66 B RT 07 RW 03 Kel. Jatirasa, Kec. Jatiasih, Kota Bekasi 17424</t>
  </si>
  <si>
    <t>6285770601565</t>
  </si>
  <si>
    <t>26072705573895qVOjd2FOO</t>
  </si>
  <si>
    <t>26072803404163RnXrEhtGw</t>
  </si>
  <si>
    <t>Apotek Nakita Madalle</t>
  </si>
  <si>
    <t>AWB02WJRJ</t>
  </si>
  <si>
    <t>260727124440934EgupLab9c</t>
  </si>
  <si>
    <t>260727124440934EgupLab9c-26072712444093IXHKlo2Ay-260727125219212MMDlZOLc-260728023522615z7OLNzk1S-26072802352261CPB3TVO4E-26072802352261HUwl3S7E3E-26072802523653PAwWASWwN</t>
  </si>
  <si>
    <t>3381-Perumahan Permata Cimanggis Blok CC No.15 RT005/RW021 Kel.Cimpaeun Kec.Tapos Depok Jawa Barat 16459</t>
  </si>
  <si>
    <t>82122191810</t>
  </si>
  <si>
    <t>26072712444093IXHKlo2Ay</t>
  </si>
  <si>
    <t>260727125219212MMDlZOLc</t>
  </si>
  <si>
    <t>260728023522615z7OLNzk1S</t>
  </si>
  <si>
    <t>26072802352261CPB3TVO4E</t>
  </si>
  <si>
    <t>26072802352261HUwl3S7E3E</t>
  </si>
  <si>
    <t>26072802523653PAwWASWwN</t>
  </si>
  <si>
    <t>Apotek Pekapuran</t>
  </si>
  <si>
    <t>AWB02WKWC</t>
  </si>
  <si>
    <t>26072801495840egbfgBSpN</t>
  </si>
  <si>
    <t>26072801495840egbfgBSpN-26072801495840hpcPzgh98a-26072802320160NKV2NFv2Bd-26072802320160vLY5ZF5av</t>
  </si>
  <si>
    <t>308-Jalan Raya Pekapuran No. 106 RT 001 RW 022, Kelurahan Sukatani, Kecamatan Tapos Kota Depok 16454</t>
  </si>
  <si>
    <t>89679099392</t>
  </si>
  <si>
    <t>26072801495840hpcPzgh98a</t>
  </si>
  <si>
    <t>26072802320160NKV2NFv2Bd</t>
  </si>
  <si>
    <t>26072802320160vLY5ZF5av</t>
  </si>
  <si>
    <t>Apotek Permata Sehat Sukamajaya Sukmajaya</t>
  </si>
  <si>
    <t>AWB02WLNK</t>
  </si>
  <si>
    <t>26072802550278N34N9hRl</t>
  </si>
  <si>
    <t>26072802550278N34N9hRl-26072803050134jyd0UwlxE-26072803125570MWzB2f1X</t>
  </si>
  <si>
    <t>11645-Jl. Raden Saleh No.45, Rt.003 Rw.005, Kel. Sukmajaya Kec. Sukmajaya Kota Depok</t>
  </si>
  <si>
    <t>6285186695789</t>
  </si>
  <si>
    <t>26072803050134jyd0UwlxE</t>
  </si>
  <si>
    <t>26072803125570MWzB2f1X</t>
  </si>
  <si>
    <t>Apotek Pondok Gede Farma</t>
  </si>
  <si>
    <t>AWB02WL5M</t>
  </si>
  <si>
    <t>260728021729684mcZToiip</t>
  </si>
  <si>
    <t>982-Jalan Raya Jatiwaringin 232 B Kelurahan Jaticempaka Kecamatan Pondokgede Kota Bekasi Jawa Barat 17411</t>
  </si>
  <si>
    <t>81314637235</t>
  </si>
  <si>
    <t>Apotek Pritama 2 Rangkapanjaya Pancoran Mas</t>
  </si>
  <si>
    <t>AWB02WHK6</t>
  </si>
  <si>
    <t>26072704182889lK6f5PbSp</t>
  </si>
  <si>
    <t>13758-Jl. Caringin Ruko Av-1 RT003 RW005 Kel. Rangkapan Jaya Kec. Pancoran Mas Kota Depok</t>
  </si>
  <si>
    <t>6283807880626</t>
  </si>
  <si>
    <t>Apotek Pulih</t>
  </si>
  <si>
    <t>AWB02WM4L</t>
  </si>
  <si>
    <t>26072803303911AGf6Dz5QP</t>
  </si>
  <si>
    <t>26072803303911AGf6Dz5QP-26072803303911AhreMfDPvn</t>
  </si>
  <si>
    <t>720-Jl. Raya kranggan No. 148, RT. 004 RW..008, Kelurahan Jatiranggon, Kecamatan Jatisampurna, Kota Bekasi 17432</t>
  </si>
  <si>
    <t>89601216786</t>
  </si>
  <si>
    <t>26072803303911AhreMfDPvn</t>
  </si>
  <si>
    <t>Apotek Puri Pasir Putih Pasir Putih Sawangan</t>
  </si>
  <si>
    <t>AWB02WJUA</t>
  </si>
  <si>
    <t>260727132612940W4ifO0ju</t>
  </si>
  <si>
    <t>11879-Ruko Villagio Residence No. V4 Jl. Raya Pasir Putih Kp. Kekupu RT. 01 RW. 05 Kel. Pasir Putih Kec. Sawangan Kota Depok</t>
  </si>
  <si>
    <t>6282311323121</t>
  </si>
  <si>
    <t>Apotek Pusena Pratama Duren Seribu Bojongsari</t>
  </si>
  <si>
    <t>AWB02WHG7</t>
  </si>
  <si>
    <t>260727040240507I1EQSEt</t>
  </si>
  <si>
    <t>260727040240507I1EQSEt-26072704024050hpzTVyJR1J-26072704024050OzkAxb3KZi</t>
  </si>
  <si>
    <t>13183-Jl. Sawangan Elok No. 72 Rt 03/08 Kel. Duren Seribu Kec. Bojongsari Kota Depok</t>
  </si>
  <si>
    <t>6281381212509</t>
  </si>
  <si>
    <t>26072704024050hpzTVyJR1J</t>
  </si>
  <si>
    <t>26072704024050OzkAxb3KZi</t>
  </si>
  <si>
    <t>Apotek Quality</t>
  </si>
  <si>
    <t>AWB02WHW1</t>
  </si>
  <si>
    <t>26072705340405JBvhQILbs</t>
  </si>
  <si>
    <t>406-Jalan Caman Raya No. 23B RT 006 RW 003, Kelurahan Jatibening, Kecamatan Pondok Gede, Kota Bekasi, Jawa Barat 17412</t>
  </si>
  <si>
    <t>218472816</t>
  </si>
  <si>
    <t>Apotek Raudha Farma</t>
  </si>
  <si>
    <t>AWB02WJZH</t>
  </si>
  <si>
    <t>26072714552972jh2qRqv9r</t>
  </si>
  <si>
    <t>47-Jl. Raya Ceger No. 99, Ceger, Cipayung</t>
  </si>
  <si>
    <t>81299422172</t>
  </si>
  <si>
    <t>Apotek Rosa Farma</t>
  </si>
  <si>
    <t>AWB02WHZX</t>
  </si>
  <si>
    <t>260727060627070ag9ElKTY</t>
  </si>
  <si>
    <t>260727060627070ag9ElKTY-26072706062707capyILlsg-26072802532612MUrJaTVZ</t>
  </si>
  <si>
    <t>455-Jalan Klamono No. 17 RT 001 RW 001, Kelurahan Jatimakmur, Kecamatan Pondok Gede, Kota Bekasi 17413</t>
  </si>
  <si>
    <t>81212834867</t>
  </si>
  <si>
    <t>26072706062707capyILlsg</t>
  </si>
  <si>
    <t>26072802532612MUrJaTVZ</t>
  </si>
  <si>
    <t>Apotek Ruellia Mampang Pancoran Mas</t>
  </si>
  <si>
    <t>AWB02WMD1</t>
  </si>
  <si>
    <t>26072803541276KOK1OoPAx</t>
  </si>
  <si>
    <t>26072803541276KOK1OoPAx-26072803541276yKDEPQ58g</t>
  </si>
  <si>
    <t>15088-Jl. Raya Sawangan No.15 (15D), Mampang, Kec. Pancoran Mas, Kota Depok</t>
  </si>
  <si>
    <t>6282122365183</t>
  </si>
  <si>
    <t>26072803541276yKDEPQ58g</t>
  </si>
  <si>
    <t>Apotek Sabi Pharma Cilangkap Cipayung</t>
  </si>
  <si>
    <t>AWB02WKYZ</t>
  </si>
  <si>
    <t>260728015642841IWdYmhkTE</t>
  </si>
  <si>
    <t>260728015642841IWdYmhkTE-26072801564284JNse9GxzU-26072801564284oCeymW6moF</t>
  </si>
  <si>
    <t>13565-Jl. Cilangkap Baru Blok R No. 3 RT 001 RW 001 Kel. Cilangkap Kec. Cipayung Kota Jakarta Timur</t>
  </si>
  <si>
    <t>6281212537641</t>
  </si>
  <si>
    <t>26072801564284JNse9GxzU</t>
  </si>
  <si>
    <t>26072801564284oCeymW6moF</t>
  </si>
  <si>
    <t>Apotek Sahabat Galenika 1 Jatiwaringin Pondok Gede</t>
  </si>
  <si>
    <t>AWB02WJ0D</t>
  </si>
  <si>
    <t>260727060943666CtJN1HnS</t>
  </si>
  <si>
    <t>260727060943666CtJN1HnS-26072706094366kjDALZWoaI</t>
  </si>
  <si>
    <t>11952-Jl. Jatiwaringin No. 130 Kel. Jatiwaringin Kec. Pondok Gede  Kota Bekasi</t>
  </si>
  <si>
    <t>6281228881173</t>
  </si>
  <si>
    <t>26072706094366kjDALZWoaI</t>
  </si>
  <si>
    <t>Apotek Sahabat Sehat 1455</t>
  </si>
  <si>
    <t>AWB02WKBQ</t>
  </si>
  <si>
    <t>26072723480157PhUIAU3y</t>
  </si>
  <si>
    <t>26072723480157PhUIAU3y-26072723480157RREEx7S9s6-260728023140878ftOWfUr-26072802314087kwZkpxvszF-26072802314087zwbyFhPuk</t>
  </si>
  <si>
    <t>1455-Jl. Masjid Raya No. 30 RT 001 RW 012 Kelurahan - Jaticempaka Kecamatan - Pondok Gede Kota Bekasi</t>
  </si>
  <si>
    <t>81314967799</t>
  </si>
  <si>
    <t>26072723480157RREEx7S9s6</t>
  </si>
  <si>
    <t>260728023140878ftOWfUr</t>
  </si>
  <si>
    <t>26072802314087kwZkpxvszF</t>
  </si>
  <si>
    <t>26072802314087zwbyFhPuk</t>
  </si>
  <si>
    <t>Apotek Sahabat Sehat 2 Jatibening Baru Pondok Gede</t>
  </si>
  <si>
    <t>AWB02WK01</t>
  </si>
  <si>
    <t>26072715054749hbqR01qPb</t>
  </si>
  <si>
    <t>26072715054749hbqR01qPb-26072715054749ifvHhc4yGN-26072715054749k6pyGONU8p</t>
  </si>
  <si>
    <t>13278-Jl. Pangrango Terusan No. 34 RT. 01 RW. 04,Desa/Kelurahan Jatibening Baru,Kecamatan Pondok Gede,Kota Bekasi,Jawa Barat,17412</t>
  </si>
  <si>
    <t>6281382221003</t>
  </si>
  <si>
    <t>26072715054749ifvHhc4yGN</t>
  </si>
  <si>
    <t>26072715054749k6pyGONU8p</t>
  </si>
  <si>
    <t>Apotek Sehat Bersama 4 Jatimakmur Pd Gede</t>
  </si>
  <si>
    <t>AWB02WL89</t>
  </si>
  <si>
    <t>26072802244846fYDrmdJ5L</t>
  </si>
  <si>
    <t>26072802244846fYDrmdJ5L-26072802244846ogMprKD4XM</t>
  </si>
  <si>
    <t>11809-Jl Raya Jati Makmur, Ruko Pesona Taman Mini Blok B1 no 7 RT 001 RW 23, Desa/Kel. Jatimakmur, Kec. Pondokgede, Kota Bekasi</t>
  </si>
  <si>
    <t>6287890053269</t>
  </si>
  <si>
    <t>26072802244846ogMprKD4XM</t>
  </si>
  <si>
    <t>Apotek Sehat Milenial Sukamaju Baru Tapos</t>
  </si>
  <si>
    <t>AWB02WM7S</t>
  </si>
  <si>
    <t>26072803404718UjJPImcmp</t>
  </si>
  <si>
    <t>13267-Ruko De���Khirani Village 2 T5, Kp. Sindangkarsa RT. 004 RW.006,Desa/Kelurahan Sukamaju Baru,Kecamatan Tapos,Kota Depok,Jawa Barat,</t>
  </si>
  <si>
    <t>6289620265220</t>
  </si>
  <si>
    <t>Apotek Sejahtera I</t>
  </si>
  <si>
    <t>AWB02WJYG</t>
  </si>
  <si>
    <t>260727143936313co7MpEDE</t>
  </si>
  <si>
    <t>778-Jalan Kemang Raya No.1 RT.002 RW.005 Kelurahan Cilodong, Kecamtan Cilodong, Kota Depok 16414</t>
  </si>
  <si>
    <t>628990900977</t>
  </si>
  <si>
    <t>Apotek Seruni</t>
  </si>
  <si>
    <t>AWB02WHP7</t>
  </si>
  <si>
    <t>2607270439482393zNao8sB</t>
  </si>
  <si>
    <t>2607270439482393zNao8sB-26072704394823Gm6I9wq6hr-26072704394824Ml6CU7knS-260727235321734bAl7IjuPr-26072723532173Xs4qp2z5Kd</t>
  </si>
  <si>
    <t>642-Jalan Radar Auri No. 87, Kelurahan Mekarsari, Kecamatan Cimanggis, Kota Depok 16452</t>
  </si>
  <si>
    <t>218734133</t>
  </si>
  <si>
    <t>26072704394823Gm6I9wq6hr</t>
  </si>
  <si>
    <t>26072704394824Ml6CU7knS</t>
  </si>
  <si>
    <t>260727235321734bAl7IjuPr</t>
  </si>
  <si>
    <t>26072723532173Xs4qp2z5Kd</t>
  </si>
  <si>
    <t>Apotek Shakira Sehat Bersama Jaticempaka Pondok Gede</t>
  </si>
  <si>
    <t>AWB02WKY8</t>
  </si>
  <si>
    <t>26072801551625sxyIPgBq</t>
  </si>
  <si>
    <t>26072801551625sxyIPgBq-26072801551625WGgqp9jEp3</t>
  </si>
  <si>
    <t>10824-Jl. MASJID No.18, Desa/Kelurahan Jaticempaka, Kec. Pondokgede, Kota Bekasi, Provinsi Jawa Barat, 17416</t>
  </si>
  <si>
    <t>6285216893936</t>
  </si>
  <si>
    <t>26072801551625WGgqp9jEp3</t>
  </si>
  <si>
    <t>Apotek Via</t>
  </si>
  <si>
    <t>AWB02WHPP</t>
  </si>
  <si>
    <t>260727044151853iD5rxzZZQ</t>
  </si>
  <si>
    <t>260727044151853iD5rxzZZQ-260727044151856dvOp8PmR</t>
  </si>
  <si>
    <t>1139-Jalan Krukut Raya RT 006 RW 001 Kelurahan Krukut Kecamatan Limo Kota Depok 16512</t>
  </si>
  <si>
    <t>8119988989</t>
  </si>
  <si>
    <t>260727044151856dvOp8PmR</t>
  </si>
  <si>
    <t>Apotek Wijaya Cinangka Sawangan</t>
  </si>
  <si>
    <t>AWB02WLW5</t>
  </si>
  <si>
    <t>26072803135291mG4ZXPwI1L</t>
  </si>
  <si>
    <t>26072803135291mG4ZXPwI1L-26072803135291nbcWvvqwh-26072803135291Rk1rLwAi3Y</t>
  </si>
  <si>
    <t>15548-Perumahan Amara Residence No A-11 Desa/Kelurahan Cinangka, Kec. Sawangan, Kota Depok</t>
  </si>
  <si>
    <t>6282298501719</t>
  </si>
  <si>
    <t>26072803135291nbcWvvqwh</t>
  </si>
  <si>
    <t>26072803135291Rk1rLwAi3Y</t>
  </si>
  <si>
    <t>Apotek Xpert Duren Mekar Bojongsari</t>
  </si>
  <si>
    <t>AWB02WHR8</t>
  </si>
  <si>
    <t>26072704525395I4KU23YdN</t>
  </si>
  <si>
    <t>26072704525395I4KU23YdN-26072718234320aGdSAWb9d-26072718234320Dzbd1ptYQl-26072718234320hW25wTdVx</t>
  </si>
  <si>
    <t>9256-Jl. Raya Parung, Bukit Sawangan Indah No.F2/4, Desa/Kel. Duren Mekar, Kec. Bojongsari, Kota Depok 16518</t>
  </si>
  <si>
    <t>6281329779198</t>
  </si>
  <si>
    <t>26072718234320aGdSAWb9d</t>
  </si>
  <si>
    <t>26072718234320Dzbd1ptYQl</t>
  </si>
  <si>
    <t>26072718234320hW25wTdVx</t>
  </si>
  <si>
    <t>Apotek Zahra Medika</t>
  </si>
  <si>
    <t>AWB02WMD5</t>
  </si>
  <si>
    <t>260728035413838c3In1BRD</t>
  </si>
  <si>
    <t>2138-Jalan Cagar Alam Raya No. 42 RT 001 RW 001 Kelurahan Pancoran Mas Kecamatann Pancoran Mas Depok 16436</t>
  </si>
  <si>
    <t>81387688857</t>
  </si>
  <si>
    <t>Apotek Zam Zam Mulia</t>
  </si>
  <si>
    <t>AWB02WLBN</t>
  </si>
  <si>
    <t>26072802325196gW8ys4jv7N</t>
  </si>
  <si>
    <t>26072802325196gW8ys4jv7N-26072802325196jze2QN3u</t>
  </si>
  <si>
    <t>103-Jl Raya Jatiwaringin no 306 Kel. jatiwaringin Kec. Pondok Gede Bekasi</t>
  </si>
  <si>
    <t>6281295719194</t>
  </si>
  <si>
    <t>26072802325196jze2QN3u</t>
  </si>
  <si>
    <t>Apotek Zea Farma Cibubur Ciracas</t>
  </si>
  <si>
    <t>AWB02WJKV</t>
  </si>
  <si>
    <t>260727103447597ygQw1Iek</t>
  </si>
  <si>
    <t>12281-Ruko Cibubur Indah,Jl.Lapangan Tembak Blok A No. 27,Desa/Kelurahan Cibubur, Kec. Ciracas, Kota Adm. Jakarta Timur,DKI Jakarta,13720</t>
  </si>
  <si>
    <t>6285891661099</t>
  </si>
  <si>
    <t>Apotek Zee33</t>
  </si>
  <si>
    <t>AWB02WKSK</t>
  </si>
  <si>
    <t>26072801351421YjqMztyUO</t>
  </si>
  <si>
    <t>26072801351421YjqMztyUO-26072801381955q6rNfOrj1-26072801393651dSYnaEYGG</t>
  </si>
  <si>
    <t>8423-Jl. Damai PBSI No. 3D RT.011 RW 01, Desa/Kelurahan Cipayung, Kec.  Cipayung, Kota Adm. Jakarta Timur,13840</t>
  </si>
  <si>
    <t>81398912227</t>
  </si>
  <si>
    <t>26072801381955q6rNfOrj1</t>
  </si>
  <si>
    <t>26072801393651dSYnaEYGG</t>
  </si>
  <si>
    <t>Klinik Berkah Medika Tirtajaya Sukmajaya</t>
  </si>
  <si>
    <t>AWB02WHX5</t>
  </si>
  <si>
    <t>26072705432463mCmdfsUG</t>
  </si>
  <si>
    <t>26072705432463mCmdfsUG-26072705432463mFMaJfopF2-26072705480412Qsdw0vhHZ</t>
  </si>
  <si>
    <t>12709-Perumahan Grand Depok City, Ruko Anggrek I Blok C1 no 29 RT007 RW004 Kel. Tirtajaya Kec. Sukmajaya Kota Depok</t>
  </si>
  <si>
    <t>6285711483438</t>
  </si>
  <si>
    <t>26072705432463mFMaJfopF2</t>
  </si>
  <si>
    <t>26072705480412Qsdw0vhHZ</t>
  </si>
  <si>
    <t>Klinik Pratama Andani Sehat Bedahan Sawangan</t>
  </si>
  <si>
    <t>AWB02WKLC</t>
  </si>
  <si>
    <t>26072801113514LZIuux8B0</t>
  </si>
  <si>
    <t>26072801113514LZIuux8B0-26072801321757afuJi4A5</t>
  </si>
  <si>
    <t>12007-Jl. Babakan no. 138 RT. 05 RW. 07 Kel. Bedahan Kec. Sawangan Kota Depok</t>
  </si>
  <si>
    <t>6281244276296</t>
  </si>
  <si>
    <t>26072801321757afuJi4A5</t>
  </si>
  <si>
    <t>Klinik Pratama Bhakti Kerinci</t>
  </si>
  <si>
    <t>AWB02WMFW</t>
  </si>
  <si>
    <t>26072804002186oZi2kDBx9</t>
  </si>
  <si>
    <t>1241-Jalan Kerinci III No.5 RT 001/026 Kelurahan Abadijaya Kecamatan Sukmajaya  Depok 16417</t>
  </si>
  <si>
    <t>87781998785</t>
  </si>
  <si>
    <t>Klinik Pratama dr Salma Pd Jaya Cipayung</t>
  </si>
  <si>
    <t>AWB02WLRX</t>
  </si>
  <si>
    <t>26072803021338Zh4QmNI</t>
  </si>
  <si>
    <t>12048-Permata Depok Berlian D1/2 RT 03 RW 07 Kel. Pondok Jaya Kec. Cipayung Kota Depok</t>
  </si>
  <si>
    <t>628176684929</t>
  </si>
  <si>
    <t>Klinik Pratama Indria Medicare Jatimelati Pd Melati</t>
  </si>
  <si>
    <t>AWB02WLJ5</t>
  </si>
  <si>
    <t>26072802471526O8iugwjMu</t>
  </si>
  <si>
    <t>26072802471526O8iugwjMu-26072802471526z9hsjnLTJ</t>
  </si>
  <si>
    <t>11186-JI. Kp Sawah No.30 RT 005 RW 004 Kel. Jatimelati Kec. Pondok Melati Kota Bekasi</t>
  </si>
  <si>
    <t>6281213640831</t>
  </si>
  <si>
    <t>26072802471526z9hsjnLTJ</t>
  </si>
  <si>
    <t>Klinik Pratama Rawat Inap Aras</t>
  </si>
  <si>
    <t>AWB02WJBL</t>
  </si>
  <si>
    <t>26072708201425aYVxmwwjQ</t>
  </si>
  <si>
    <t>1675-Jalan Sawangan Permai Blok A RT 002 RW 009 Kelurahan Sawangan Baru Kecamatam Sawangan Kota Depok 16511</t>
  </si>
  <si>
    <t>81319553273</t>
  </si>
  <si>
    <t>Klinik Pratama Rawat Jalan Ibu Mas Sukamaju Baru Tapos</t>
  </si>
  <si>
    <t>AWB02WLVB</t>
  </si>
  <si>
    <t>26072803115903LmjXVdOL3</t>
  </si>
  <si>
    <t>11876-Jl. Raya Bogor KM. 34, RT.01/RW.01, No.1 Kel. Sukamaju Baru Kel. Tapos Kota Depok</t>
  </si>
  <si>
    <t>6281280230198</t>
  </si>
  <si>
    <t>Klinik Pratama Relof</t>
  </si>
  <si>
    <t>AWB02WJHG</t>
  </si>
  <si>
    <t>26072710001492JtIouWR</t>
  </si>
  <si>
    <t>784-Jl. Soka No.203 Perum Jatibening RT.001 RW.006 Kel. Jatibening Kec. Pondok Gede Kota Bekasi</t>
  </si>
  <si>
    <t>2184998865</t>
  </si>
  <si>
    <t>Klinik Utama Rawat Inap Prima Husada</t>
  </si>
  <si>
    <t>AWB02WJ0C</t>
  </si>
  <si>
    <t>26072706094093claGJrOPv</t>
  </si>
  <si>
    <t>355-Jalan Cinere Raya Blok F1 No. 1 RT 01 RW 15, Kelurahan Cinere, Kecamatan Cinere, Kota Depok 16514</t>
  </si>
  <si>
    <t>6281381219328</t>
  </si>
  <si>
    <t>Klinik Utama Rawat Jalan Esa Pemuda</t>
  </si>
  <si>
    <t>AWB02WM5H</t>
  </si>
  <si>
    <t>26072803323613WkEOM8tgI</t>
  </si>
  <si>
    <t>1273-Jalan Pemuda No.6 Kelurahan Depok Kecamatan Pancoran Mas Kota Depok 16431</t>
  </si>
  <si>
    <t>81311664778</t>
  </si>
  <si>
    <t>Klinik Utama Saka Medika Sukamaju Cilodong</t>
  </si>
  <si>
    <t>AWB02W7M3</t>
  </si>
  <si>
    <t>26072402204805FMqFOqqif</t>
  </si>
  <si>
    <t>13719-Jl. Tole Iskandar RT 005 RW 014, Desa/Kelurahan Sukamaju, Kec. Cilodong, Kota Depok</t>
  </si>
  <si>
    <t>6288224013983</t>
  </si>
  <si>
    <t>requested_tracking_number</t>
  </si>
  <si>
    <t>global_shipper_id</t>
  </si>
  <si>
    <t>service_type</t>
  </si>
  <si>
    <t>reference.merchant_order_number</t>
  </si>
  <si>
    <t>from.name</t>
  </si>
  <si>
    <t>from.phone_number</t>
  </si>
  <si>
    <t>from.address.address1</t>
  </si>
  <si>
    <t>from.address.country</t>
  </si>
  <si>
    <t>to.name</t>
  </si>
  <si>
    <t>to.phone_number</t>
  </si>
  <si>
    <t>to.address.address1</t>
  </si>
  <si>
    <t>to.address.country</t>
  </si>
  <si>
    <t>to.address.kecamatan</t>
  </si>
  <si>
    <t>to.address.city</t>
  </si>
  <si>
    <t>to.address.province</t>
  </si>
  <si>
    <t>to.address.postcode</t>
  </si>
  <si>
    <t>parcel_job.delivery_instructions</t>
  </si>
  <si>
    <t>parcel_job.delivery_start_date</t>
  </si>
  <si>
    <t>parcel_job.delivery_timeslot.start_time</t>
  </si>
  <si>
    <t>parcel_job.delivery_timeslot.end_time</t>
  </si>
  <si>
    <t>parcel_job.delivery_timeslot.timezone</t>
  </si>
  <si>
    <t>parcel_job.dimensions.weight</t>
  </si>
  <si>
    <t>parcel_job.is_pickup_required</t>
  </si>
  <si>
    <t>parcel_job.items.0.item_description</t>
  </si>
  <si>
    <t>parcel_job.items.0.is_dangerous_good</t>
  </si>
  <si>
    <t>b2b.documents_required</t>
  </si>
  <si>
    <t>bundle_information.total_quantity</t>
  </si>
  <si>
    <t>bundle_information.requested_piece_tracking_numbers</t>
  </si>
  <si>
    <t>parcel_job.insured_value</t>
  </si>
  <si>
    <t>corporate.branch_id</t>
  </si>
  <si>
    <t>parcel_job.dimensions.height</t>
  </si>
  <si>
    <t>parcel_job.dimensions.length</t>
  </si>
  <si>
    <t>parcel_job.dimensions.width</t>
  </si>
  <si>
    <t>CEK (jangan upload)</t>
  </si>
  <si>
    <t>po</t>
  </si>
  <si>
    <t>ord</t>
  </si>
  <si>
    <t>koli</t>
  </si>
  <si>
    <t>runIncl</t>
  </si>
  <si>
    <t>isFirst</t>
  </si>
  <si>
    <t>childSeg</t>
  </si>
  <si>
    <t>childCum</t>
  </si>
  <si>
    <t>poSeg</t>
  </si>
  <si>
    <t>poCum</t>
  </si>
  <si>
    <t>firstIdx</t>
  </si>
  <si>
    <t>lastIdx</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</si>
</sst>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0"/>
    <numFmt numFmtId="179" formatCode="0.0000000000"/>
    <numFmt numFmtId="180" formatCode="0.00000000"/>
    <numFmt numFmtId="181" formatCode="yyyy\-mm\-dd"/>
  </numFmts>
  <fonts count="31">
    <font>
      <sz val="11"/>
      <color theme="1"/>
      <name val="Calibri"/>
      <charset val="134"/>
      <scheme val="minor"/>
    </font>
    <font>
      <b/>
      <sz val="9"/>
      <color rgb="FF777777"/>
      <name val="Calibri"/>
      <charset val="134"/>
      <scheme val="minor"/>
    </font>
    <font>
      <b/>
      <sz val="10"/>
      <color rgb="FFFFFFFF"/>
      <name val="Calibri"/>
      <charset val="134"/>
      <scheme val="minor"/>
    </font>
    <font>
      <b/>
      <sz val="11"/>
      <name val="Calibri"/>
      <charset val="134"/>
      <scheme val="minor"/>
    </font>
    <font>
      <i/>
      <sz val="9"/>
      <color rgb="FF999999"/>
      <name val="Calibri"/>
      <charset val="134"/>
      <scheme val="minor"/>
    </font>
    <font>
      <sz val="10"/>
      <color theme="1"/>
      <name val="Arial"/>
      <charset val="134"/>
    </font>
    <font>
      <b/>
      <sz val="14"/>
      <color rgb="FF1F4E5F"/>
      <name val="Calibri"/>
      <charset val="134"/>
      <scheme val="minor"/>
    </font>
    <font>
      <b/>
      <sz val="11"/>
      <color rgb="FF1F4E5F"/>
      <name val="Calibri"/>
      <charset val="134"/>
      <scheme val="minor"/>
    </font>
    <font>
      <i/>
      <sz val="11"/>
      <color rgb="FF555555"/>
      <name val="Calibri"/>
      <charset val="134"/>
      <scheme val="minor"/>
    </font>
    <font>
      <sz val="10"/>
      <name val="Calibri"/>
      <charset val="134"/>
      <scheme val="minor"/>
    </font>
    <font>
      <sz val="9"/>
      <color rgb="FF333333"/>
      <name val="Consolas"/>
      <charset val="134"/>
    </font>
    <font>
      <b/>
      <sz val="11"/>
      <color rgb="FFB0002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1F4E5F"/>
        <bgColor indexed="64"/>
      </patternFill>
    </fill>
    <fill>
      <patternFill patternType="solid">
        <fgColor rgb="FFF4B183"/>
        <bgColor indexed="64"/>
      </patternFill>
    </fill>
    <fill>
      <patternFill patternType="solid">
        <fgColor rgb="FFFFF3CD"/>
        <bgColor indexed="64"/>
      </patternFill>
    </fill>
    <fill>
      <patternFill patternType="solid">
        <fgColor rgb="FFDCE6EA"/>
        <bgColor indexed="64"/>
      </patternFill>
    </fill>
    <fill>
      <patternFill patternType="solid">
        <fgColor rgb="FFEDEDE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style="thin">
        <color rgb="FFFFFFFF"/>
      </right>
      <top/>
      <bottom/>
      <diagonal/>
    </border>
    <border>
      <left style="thin">
        <color rgb="FFBBBBBB"/>
      </left>
      <right style="thin">
        <color rgb="FFBBBBBB"/>
      </right>
      <top style="thin">
        <color rgb="FFBBBBBB"/>
      </top>
      <bottom style="thin">
        <color rgb="FFBBBBB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12" fillId="0" borderId="0">
      <alignment vertical="center"/>
    </xf>
    <xf numFmtId="0" fontId="13" fillId="0" borderId="0">
      <alignment vertical="center"/>
    </xf>
    <xf numFmtId="0" fontId="0" fillId="7" borderId="3">
      <alignment vertical="center"/>
    </xf>
    <xf numFmtId="0" fontId="14" fillId="0" borderId="0">
      <alignment vertical="center"/>
    </xf>
    <xf numFmtId="0" fontId="15" fillId="0" borderId="0">
      <alignment vertical="center"/>
    </xf>
    <xf numFmtId="0" fontId="16" fillId="0" borderId="0">
      <alignment vertical="center"/>
    </xf>
    <xf numFmtId="0" fontId="17" fillId="0" borderId="4">
      <alignment vertical="center"/>
    </xf>
    <xf numFmtId="0" fontId="18" fillId="0" borderId="4">
      <alignment vertical="center"/>
    </xf>
    <xf numFmtId="0" fontId="19" fillId="0" borderId="5">
      <alignment vertical="center"/>
    </xf>
    <xf numFmtId="0" fontId="19" fillId="0" borderId="0">
      <alignment vertical="center"/>
    </xf>
    <xf numFmtId="0" fontId="20" fillId="8" borderId="6">
      <alignment vertical="center"/>
    </xf>
    <xf numFmtId="0" fontId="21" fillId="9" borderId="7">
      <alignment vertical="center"/>
    </xf>
    <xf numFmtId="0" fontId="22" fillId="9" borderId="6">
      <alignment vertical="center"/>
    </xf>
    <xf numFmtId="0" fontId="23" fillId="10" borderId="8">
      <alignment vertical="center"/>
    </xf>
    <xf numFmtId="0" fontId="24" fillId="0" borderId="9">
      <alignment vertical="center"/>
    </xf>
    <xf numFmtId="0" fontId="25" fillId="0" borderId="10">
      <alignment vertical="center"/>
    </xf>
    <xf numFmtId="0" fontId="26" fillId="11" borderId="0">
      <alignment vertical="center"/>
    </xf>
    <xf numFmtId="0" fontId="27" fillId="12" borderId="0">
      <alignment vertical="center"/>
    </xf>
    <xf numFmtId="0" fontId="28" fillId="13" borderId="0">
      <alignment vertical="center"/>
    </xf>
    <xf numFmtId="0" fontId="29" fillId="14" borderId="0">
      <alignment vertical="center"/>
    </xf>
    <xf numFmtId="0" fontId="30" fillId="15" borderId="0">
      <alignment vertical="center"/>
    </xf>
    <xf numFmtId="0" fontId="30" fillId="16" borderId="0">
      <alignment vertical="center"/>
    </xf>
    <xf numFmtId="0" fontId="29" fillId="17" borderId="0">
      <alignment vertical="center"/>
    </xf>
    <xf numFmtId="0" fontId="29" fillId="18" borderId="0">
      <alignment vertical="center"/>
    </xf>
    <xf numFmtId="0" fontId="30" fillId="19" borderId="0">
      <alignment vertical="center"/>
    </xf>
    <xf numFmtId="0" fontId="30" fillId="20" borderId="0">
      <alignment vertical="center"/>
    </xf>
    <xf numFmtId="0" fontId="29" fillId="21" borderId="0">
      <alignment vertical="center"/>
    </xf>
    <xf numFmtId="0" fontId="29" fillId="22" borderId="0">
      <alignment vertical="center"/>
    </xf>
    <xf numFmtId="0" fontId="30" fillId="23" borderId="0">
      <alignment vertical="center"/>
    </xf>
    <xf numFmtId="0" fontId="30" fillId="24" borderId="0">
      <alignment vertical="center"/>
    </xf>
    <xf numFmtId="0" fontId="29" fillId="25" borderId="0">
      <alignment vertical="center"/>
    </xf>
    <xf numFmtId="0" fontId="29" fillId="26" borderId="0">
      <alignment vertical="center"/>
    </xf>
    <xf numFmtId="0" fontId="30" fillId="27" borderId="0">
      <alignment vertical="center"/>
    </xf>
    <xf numFmtId="0" fontId="30" fillId="28" borderId="0">
      <alignment vertical="center"/>
    </xf>
    <xf numFmtId="0" fontId="29" fillId="29" borderId="0">
      <alignment vertical="center"/>
    </xf>
    <xf numFmtId="0" fontId="29" fillId="30" borderId="0">
      <alignment vertical="center"/>
    </xf>
    <xf numFmtId="0" fontId="30" fillId="31" borderId="0">
      <alignment vertical="center"/>
    </xf>
    <xf numFmtId="0" fontId="30" fillId="32" borderId="0">
      <alignment vertical="center"/>
    </xf>
    <xf numFmtId="0" fontId="29" fillId="33" borderId="0">
      <alignment vertical="center"/>
    </xf>
    <xf numFmtId="0" fontId="29" fillId="34" borderId="0">
      <alignment vertical="center"/>
    </xf>
    <xf numFmtId="0" fontId="30" fillId="35" borderId="0">
      <alignment vertical="center"/>
    </xf>
    <xf numFmtId="0" fontId="30" fillId="36" borderId="0">
      <alignment vertical="center"/>
    </xf>
    <xf numFmtId="0" fontId="29" fillId="37" borderId="0">
      <alignment vertical="center"/>
    </xf>
  </cellStyleXfs>
  <cellXfs count="35">
    <xf numFmtId="0" fontId="0" fillId="0" borderId="0" xfId="0"/>
    <xf numFmtId="0" fontId="1" fillId="0" borderId="0" xfId="0" applyFont="1"/>
    <xf numFmtId="0" fontId="2" fillId="2" borderId="0" xfId="0" applyFont="1" applyFill="1" applyAlignment="1">
      <alignment horizontal="center" vertical="center" wrapText="1"/>
    </xf>
    <xf numFmtId="0" fontId="3" fillId="3" borderId="0" xfId="0" applyFont="1" applyFill="1"/>
    <xf numFmtId="0" fontId="0" fillId="0" borderId="0" xfId="0" applyAlignment="1">
      <alignment wrapText="1"/>
    </xf>
    <xf numFmtId="0" fontId="4" fillId="0" borderId="0" xfId="0" applyFont="1"/>
    <xf numFmtId="0" fontId="5" fillId="0" borderId="0" xfId="0" applyFont="1" applyAlignment="1">
      <alignment horizontal="left"/>
    </xf>
    <xf numFmtId="0" fontId="5" fillId="0" borderId="1" xfId="0" applyFont="1" applyBorder="1" applyAlignment="1">
      <alignment horizontal="left"/>
    </xf>
    <xf numFmtId="178" fontId="5" fillId="0" borderId="1" xfId="0" applyNumberFormat="1" applyFont="1" applyBorder="1" applyAlignment="1">
      <alignment horizontal="center"/>
    </xf>
    <xf numFmtId="179" fontId="5" fillId="0" borderId="1" xfId="0" applyNumberFormat="1" applyFont="1" applyBorder="1" applyAlignment="1">
      <alignment horizontal="center"/>
    </xf>
    <xf numFmtId="0" fontId="5" fillId="0" borderId="1" xfId="0" applyFont="1" applyBorder="1" applyAlignment="1">
      <alignment horizontal="center"/>
    </xf>
    <xf numFmtId="180" fontId="5" fillId="0" borderId="1" xfId="0" applyNumberFormat="1" applyFont="1" applyBorder="1"/>
    <xf numFmtId="0" fontId="5" fillId="0" borderId="1" xfId="0" applyFont="1" applyBorder="1" applyAlignment="1">
      <alignment horizontal="right"/>
    </xf>
    <xf numFmtId="179" fontId="5" fillId="0" borderId="1" xfId="0" applyNumberFormat="1" applyFont="1" applyBorder="1" applyAlignment="1">
      <alignment horizontal="left"/>
    </xf>
    <xf numFmtId="1" fontId="5" fillId="0" borderId="1" xfId="0" applyNumberFormat="1" applyFont="1" applyBorder="1"/>
    <xf numFmtId="0" fontId="5" fillId="0" borderId="0" xfId="0" applyFont="1"/>
    <xf numFmtId="0" fontId="5" fillId="0" borderId="0" xfId="0" applyFont="1" applyAlignment="1">
      <alignment horizontal="right"/>
    </xf>
    <xf numFmtId="1" fontId="5" fillId="0" borderId="0" xfId="0" applyNumberFormat="1" applyFont="1" applyAlignment="1">
      <alignment horizontal="right"/>
    </xf>
    <xf numFmtId="11" fontId="5" fillId="0" borderId="0" xfId="0" applyNumberFormat="1" applyFont="1"/>
    <xf numFmtId="178" fontId="5" fillId="0" borderId="0" xfId="0" applyNumberFormat="1" applyFont="1" applyAlignment="1">
      <alignment horizontal="center"/>
    </xf>
    <xf numFmtId="179" fontId="5" fillId="0" borderId="0" xfId="0" applyNumberFormat="1" applyFont="1" applyAlignment="1">
      <alignment horizontal="left"/>
    </xf>
    <xf numFmtId="49" fontId="5" fillId="0" borderId="1" xfId="0" applyNumberFormat="1" applyFont="1" applyBorder="1" applyAlignment="1">
      <alignment horizontal="left"/>
    </xf>
    <xf numFmtId="0" fontId="6" fillId="0" borderId="0" xfId="0" applyFont="1"/>
    <xf numFmtId="0" fontId="3" fillId="0" borderId="0" xfId="0" applyFont="1"/>
    <xf numFmtId="0" fontId="0" fillId="4" borderId="2" xfId="0" applyFill="1" applyBorder="1"/>
    <xf numFmtId="181" fontId="0" fillId="4" borderId="2" xfId="0" applyNumberFormat="1" applyFill="1" applyBorder="1"/>
    <xf numFmtId="0" fontId="7" fillId="0" borderId="0" xfId="0" applyFont="1"/>
    <xf numFmtId="0" fontId="3" fillId="5" borderId="2" xfId="0" applyFont="1" applyFill="1" applyBorder="1"/>
    <xf numFmtId="0" fontId="0" fillId="0" borderId="2" xfId="0" applyBorder="1"/>
    <xf numFmtId="0" fontId="0" fillId="6" borderId="2" xfId="0" applyFill="1" applyBorder="1"/>
    <xf numFmtId="0" fontId="0" fillId="6" borderId="2" xfId="0" applyFill="1" applyBorder="1" applyAlignment="1">
      <alignment vertical="top" wrapText="1"/>
    </xf>
    <xf numFmtId="0" fontId="8" fillId="0" borderId="0" xfId="0" applyFont="1"/>
    <xf numFmtId="0" fontId="9" fillId="0" borderId="0" xfId="0" applyFont="1"/>
    <xf numFmtId="0" fontId="10" fillId="0" borderId="0" xfId="0" applyFont="1"/>
    <xf numFmtId="0" fontId="11" fillId="0" borderId="0" xfId="0" applyFont="1"/>
    <xf numFmtId="0" fontId="9" fillId="0" borderId="0" xfId="0" applyFont="1" quotePrefix="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B23"/>
  <sheetViews>
    <sheetView showGridLines="0" topLeftCell="A9" workbookViewId="0">
      <selection activeCell="B21" sqref="B21"/>
    </sheetView>
  </sheetViews>
  <sheetFormatPr defaultColWidth="9" defaultRowHeight="15" outlineLevelCol="1"/>
  <cols>
    <col min="1" max="1" width="3" customWidth="1"/>
    <col min="2" max="2" width="114" customWidth="1"/>
  </cols>
  <sheetData>
    <row r="1" ht="18.75" customHeight="1" spans="2:2">
      <c r="B1" s="22" t="s">
        <v>0</v>
      </c>
    </row>
    <row r="2" spans="2:2">
      <c r="B2" s="31" t="s">
        <v>1</v>
      </c>
    </row>
    <row r="3" spans="2:2">
      <c r="B3" s="32" t="s">
        <v>2</v>
      </c>
    </row>
    <row r="4" spans="2:2">
      <c r="B4" s="26" t="s">
        <v>3</v>
      </c>
    </row>
    <row r="5" spans="2:2">
      <c r="B5" s="32" t="s">
        <v>4</v>
      </c>
    </row>
    <row r="6" spans="2:2">
      <c r="B6" s="32" t="s">
        <v>5</v>
      </c>
    </row>
    <row r="7" spans="2:2">
      <c r="B7" s="32" t="s">
        <v>6</v>
      </c>
    </row>
    <row r="8" spans="2:2">
      <c r="B8" s="32" t="s">
        <v>7</v>
      </c>
    </row>
    <row r="9" spans="2:2">
      <c r="B9" s="32" t="s">
        <v>8</v>
      </c>
    </row>
    <row r="10" spans="2:2">
      <c r="B10" s="32" t="s">
        <v>2</v>
      </c>
    </row>
    <row r="11" spans="2:2">
      <c r="B11" s="26" t="s">
        <v>9</v>
      </c>
    </row>
    <row r="12" spans="2:2">
      <c r="B12" s="35" t="s">
        <v>10</v>
      </c>
    </row>
    <row r="13" spans="2:2">
      <c r="B13" s="35" t="s">
        <v>11</v>
      </c>
    </row>
    <row r="14" spans="2:2">
      <c r="B14" s="35" t="s">
        <v>12</v>
      </c>
    </row>
    <row r="15" spans="2:2">
      <c r="B15" s="33" t="s">
        <v>13</v>
      </c>
    </row>
    <row r="16" spans="2:2">
      <c r="B16" s="35" t="s">
        <v>14</v>
      </c>
    </row>
    <row r="17" spans="2:2">
      <c r="B17" s="35" t="s">
        <v>15</v>
      </c>
    </row>
    <row r="18" spans="2:2">
      <c r="B18" s="35" t="s">
        <v>16</v>
      </c>
    </row>
    <row r="19" spans="2:2">
      <c r="B19" s="32" t="s">
        <v>17</v>
      </c>
    </row>
    <row r="20" spans="2:2">
      <c r="B20" s="34" t="s">
        <v>18</v>
      </c>
    </row>
    <row r="21" spans="2:2">
      <c r="B21" s="32" t="s">
        <v>19</v>
      </c>
    </row>
    <row r="22" spans="2:2">
      <c r="B22" s="32" t="s">
        <v>20</v>
      </c>
    </row>
    <row r="23" spans="2:2">
      <c r="B23" t="s">
        <v>21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9"/>
  <sheetViews>
    <sheetView showGridLines="0" topLeftCell="B1" workbookViewId="0">
      <selection activeCell="D16" sqref="D16"/>
    </sheetView>
  </sheetViews>
  <sheetFormatPr defaultColWidth="9" defaultRowHeight="15" outlineLevelCol="6"/>
  <cols>
    <col min="1" max="1" width="32" customWidth="1"/>
    <col min="2" max="2" width="66" customWidth="1"/>
    <col min="3" max="3" width="3" customWidth="1"/>
    <col min="4" max="4" width="26" customWidth="1"/>
    <col min="5" max="5" width="48" customWidth="1"/>
    <col min="6" max="7" width="28" customWidth="1"/>
  </cols>
  <sheetData>
    <row r="1" ht="18.75" customHeight="1" spans="1:7">
      <c r="A1" s="22" t="s">
        <v>22</v>
      </c>
    </row>
    <row r="3" spans="1:7">
      <c r="A3" s="23" t="s">
        <v>23</v>
      </c>
      <c r="B3" s="24" t="s">
        <v>24</v>
      </c>
      <c r="D3" s="23" t="s">
        <v>25</v>
      </c>
      <c r="E3" s="23" t="s">
        <v>26</v>
      </c>
      <c r="F3" s="23" t="s">
        <v>27</v>
      </c>
      <c r="G3" s="23" t="s">
        <v>28</v>
      </c>
    </row>
    <row r="4" spans="1:7">
      <c r="A4" s="23" t="s">
        <v>29</v>
      </c>
      <c r="B4" s="25">
        <f ca="1">TODAY()</f>
        <v>46252</v>
      </c>
      <c r="D4" t="s">
        <v>24</v>
      </c>
      <c r="E4" t="s">
        <v>30</v>
      </c>
      <c r="F4">
        <v>1</v>
      </c>
      <c r="G4" t="s">
        <v>31</v>
      </c>
    </row>
    <row r="5" spans="1:7">
      <c r="D5" t="s">
        <v>32</v>
      </c>
      <c r="E5" t="s">
        <v>33</v>
      </c>
      <c r="F5">
        <v>3</v>
      </c>
      <c r="G5" t="s">
        <v>31</v>
      </c>
    </row>
    <row r="6" spans="1:7">
      <c r="D6" t="s">
        <v>34</v>
      </c>
      <c r="E6" t="s">
        <v>30</v>
      </c>
      <c r="F6">
        <v>2</v>
      </c>
      <c r="G6" t="s">
        <v>35</v>
      </c>
    </row>
    <row r="8" spans="1:7">
      <c r="A8" s="26" t="s">
        <v>36</v>
      </c>
      <c r="D8" s="26" t="s">
        <v>37</v>
      </c>
    </row>
    <row r="9" spans="1:7">
      <c r="A9" s="23" t="s">
        <v>38</v>
      </c>
      <c r="B9" s="24" t="s">
        <v>39</v>
      </c>
      <c r="D9" s="27" t="s">
        <v>40</v>
      </c>
      <c r="E9" s="27" t="s">
        <v>41</v>
      </c>
      <c r="F9" s="27" t="s">
        <v>42</v>
      </c>
    </row>
    <row r="10" spans="1:7">
      <c r="A10" s="23" t="s">
        <v>43</v>
      </c>
      <c r="B10" s="24" t="s">
        <v>44</v>
      </c>
      <c r="D10" s="28">
        <v>11398423</v>
      </c>
      <c r="E10" s="28" t="s">
        <v>45</v>
      </c>
      <c r="F10" s="28" t="s">
        <v>46</v>
      </c>
    </row>
    <row r="11" spans="1:7">
      <c r="A11" s="23" t="s">
        <v>47</v>
      </c>
      <c r="B11" s="24" t="s">
        <v>48</v>
      </c>
      <c r="D11" s="28">
        <v>11398224</v>
      </c>
      <c r="E11" s="28" t="s">
        <v>49</v>
      </c>
      <c r="F11" s="28" t="s">
        <v>50</v>
      </c>
    </row>
    <row r="12" spans="1:7">
      <c r="D12" s="28">
        <v>11549046</v>
      </c>
      <c r="E12" s="28" t="s">
        <v>51</v>
      </c>
      <c r="F12" s="28" t="s">
        <v>52</v>
      </c>
    </row>
    <row r="13" spans="1:7">
      <c r="A13" s="26" t="s">
        <v>53</v>
      </c>
      <c r="D13" s="28">
        <v>11398434</v>
      </c>
      <c r="E13" s="28" t="s">
        <v>54</v>
      </c>
      <c r="F13" s="28" t="s">
        <v>55</v>
      </c>
    </row>
    <row r="14" spans="1:7">
      <c r="A14" s="23" t="s">
        <v>56</v>
      </c>
      <c r="B14" s="29">
        <v>11398423</v>
      </c>
    </row>
    <row r="15" spans="1:7">
      <c r="A15" s="23" t="s">
        <v>57</v>
      </c>
      <c r="B15" s="29" t="s">
        <v>58</v>
      </c>
    </row>
    <row r="16" spans="1:7">
      <c r="A16" s="23" t="s">
        <v>59</v>
      </c>
      <c r="B16" s="29" t="s">
        <v>60</v>
      </c>
    </row>
    <row r="17" spans="1:2">
      <c r="A17" s="23" t="s">
        <v>61</v>
      </c>
      <c r="B17" s="29" t="s">
        <v>62</v>
      </c>
    </row>
    <row r="18" spans="1:2">
      <c r="A18" s="23" t="s">
        <v>63</v>
      </c>
      <c r="B18" s="29" t="s">
        <v>64</v>
      </c>
    </row>
    <row r="19" spans="1:2">
      <c r="A19" s="23" t="s">
        <v>65</v>
      </c>
      <c r="B19" s="29" t="s">
        <v>66</v>
      </c>
    </row>
    <row r="20" spans="1:2">
      <c r="A20" s="23" t="s">
        <v>67</v>
      </c>
      <c r="B20" s="29" t="s">
        <v>2</v>
      </c>
    </row>
    <row r="21" spans="1:2">
      <c r="A21" s="23" t="s">
        <v>68</v>
      </c>
      <c r="B21" s="29" t="s">
        <v>31</v>
      </c>
    </row>
    <row r="22" spans="1:2">
      <c r="A22" s="23" t="s">
        <v>69</v>
      </c>
      <c r="B22" s="29" t="s">
        <v>70</v>
      </c>
    </row>
    <row r="23" spans="1:2">
      <c r="A23" s="23" t="s">
        <v>71</v>
      </c>
      <c r="B23" s="29">
        <v>0</v>
      </c>
    </row>
    <row r="24" ht="60" customHeight="1" spans="1:2">
      <c r="A24" s="23" t="s">
        <v>72</v>
      </c>
      <c r="B24" s="30" t="s">
        <v>73</v>
      </c>
    </row>
    <row r="27" spans="1:2">
      <c r="A27" s="23" t="s">
        <v>74</v>
      </c>
      <c r="B27" t="str">
        <f>VLOOKUP($B$3,$D$4:$G$6,2,FALSE)</f>
        <v>STANDARD</v>
      </c>
    </row>
    <row r="28" spans="1:2">
      <c r="A28" s="23" t="s">
        <v>75</v>
      </c>
      <c r="B28">
        <f>VLOOKUP($B$3,$D$4:$G$6,3,FALSE)</f>
        <v>1</v>
      </c>
    </row>
    <row r="29" spans="1:2">
      <c r="A29" s="23" t="s">
        <v>76</v>
      </c>
      <c r="B29" t="str">
        <f>VLOOKUP($B$3,$D$4:$G$6,4,FALSE)</f>
        <v>FALSE</v>
      </c>
    </row>
  </sheetData>
  <dataValidations count="1">
    <dataValidation type="list" sqref="B3">
      <formula1>$D$4:$D$6</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1"/>
  <sheetViews>
    <sheetView topLeftCell="W1" workbookViewId="0">
      <pane ySplit="1" topLeftCell="A2" activePane="bottomLeft" state="frozen"/>
      <selection/>
      <selection pane="bottomLeft" activeCell="AD6" sqref="AD6"/>
    </sheetView>
  </sheetViews>
  <sheetFormatPr defaultColWidth="9" defaultRowHeight="15"/>
  <cols>
    <col min="1" max="1" width="26" customWidth="1"/>
    <col min="2" max="2" width="14" customWidth="1"/>
    <col min="3" max="4" width="12" customWidth="1"/>
    <col min="5" max="5" width="26" customWidth="1"/>
    <col min="6" max="6" width="12" customWidth="1"/>
    <col min="7" max="7" width="24" customWidth="1"/>
    <col min="8" max="8" width="12" customWidth="1"/>
    <col min="9" max="9" width="46" customWidth="1"/>
    <col min="10" max="10" width="10" customWidth="1"/>
    <col min="11" max="11" width="18" customWidth="1"/>
    <col min="12" max="12" width="16" customWidth="1"/>
    <col min="13" max="13" width="8" customWidth="1"/>
    <col min="14" max="14" width="18" customWidth="1"/>
  </cols>
  <sheetData>
    <row r="1" spans="1:23">
      <c r="A1" s="5" t="s">
        <v>77</v>
      </c>
      <c r="B1" s="5" t="s">
        <v>78</v>
      </c>
      <c r="C1" s="5" t="s">
        <v>79</v>
      </c>
      <c r="D1" s="5" t="s">
        <v>80</v>
      </c>
      <c r="E1" s="5" t="s">
        <v>81</v>
      </c>
      <c r="F1" s="5" t="s">
        <v>82</v>
      </c>
      <c r="G1" s="5" t="s">
        <v>83</v>
      </c>
      <c r="H1" s="5" t="s">
        <v>84</v>
      </c>
      <c r="I1" s="5" t="s">
        <v>85</v>
      </c>
      <c r="J1" s="5" t="s">
        <v>86</v>
      </c>
      <c r="K1" s="5" t="s">
        <v>87</v>
      </c>
      <c r="L1" s="5" t="s">
        <v>88</v>
      </c>
      <c r="M1" s="5" t="s">
        <v>89</v>
      </c>
      <c r="N1" s="5"/>
      <c r="O1" s="5"/>
      <c r="P1" s="5"/>
      <c r="Q1" s="5"/>
      <c r="R1" s="5"/>
      <c r="S1" s="5"/>
      <c r="T1" s="5"/>
      <c r="U1" s="5"/>
      <c r="W1" s="5"/>
    </row>
    <row r="2" spans="1:23">
      <c r="A2" s="6" t="s">
        <v>90</v>
      </c>
      <c r="B2" s="7" t="s">
        <v>91</v>
      </c>
      <c r="C2" s="7">
        <v>0.3</v>
      </c>
      <c r="D2" s="8">
        <v>0.001423</v>
      </c>
      <c r="E2" s="9" t="s">
        <v>92</v>
      </c>
      <c r="F2" s="7">
        <v>3062</v>
      </c>
      <c r="G2" s="10" t="s">
        <v>92</v>
      </c>
      <c r="H2" s="11" t="s">
        <v>93</v>
      </c>
      <c r="I2" s="12" t="s">
        <v>94</v>
      </c>
      <c r="J2" s="8">
        <v>16422</v>
      </c>
      <c r="K2" s="13" t="s">
        <v>95</v>
      </c>
      <c r="L2" s="7">
        <v>895808010200</v>
      </c>
      <c r="M2" s="14">
        <v>1</v>
      </c>
      <c r="N2" s="6"/>
      <c r="O2" s="15"/>
      <c r="P2" s="15"/>
      <c r="Q2" s="16"/>
      <c r="R2" s="15"/>
      <c r="S2" s="17"/>
      <c r="T2" s="15"/>
      <c r="U2" s="15"/>
      <c r="V2" s="15"/>
      <c r="W2" s="15"/>
    </row>
    <row r="3" spans="1:23">
      <c r="A3" s="6" t="s">
        <v>96</v>
      </c>
      <c r="B3" s="7" t="s">
        <v>97</v>
      </c>
      <c r="C3" s="7">
        <v>1.2</v>
      </c>
      <c r="D3" s="8">
        <v>0.002902</v>
      </c>
      <c r="E3" s="9" t="s">
        <v>98</v>
      </c>
      <c r="F3" s="7">
        <v>836</v>
      </c>
      <c r="G3" s="10" t="s">
        <v>98</v>
      </c>
      <c r="H3" s="11" t="s">
        <v>93</v>
      </c>
      <c r="I3" s="12" t="s">
        <v>99</v>
      </c>
      <c r="J3" s="8">
        <v>16432</v>
      </c>
      <c r="K3" s="13" t="s">
        <v>95</v>
      </c>
      <c r="L3" s="7" t="s">
        <v>100</v>
      </c>
      <c r="M3" s="14">
        <v>1</v>
      </c>
      <c r="N3" s="6"/>
      <c r="O3" s="15"/>
      <c r="P3" s="15"/>
      <c r="Q3" s="16"/>
      <c r="R3" s="15"/>
      <c r="S3" s="17"/>
      <c r="T3" s="15"/>
      <c r="U3" s="15"/>
      <c r="V3" s="15"/>
      <c r="W3" s="15"/>
    </row>
    <row r="4" spans="1:23">
      <c r="A4" s="6" t="s">
        <v>101</v>
      </c>
      <c r="B4" s="7" t="s">
        <v>102</v>
      </c>
      <c r="C4" s="7">
        <v>0.46</v>
      </c>
      <c r="D4" s="8">
        <v>0.001794</v>
      </c>
      <c r="E4" s="9" t="s">
        <v>103</v>
      </c>
      <c r="F4" s="7">
        <v>903</v>
      </c>
      <c r="G4" s="10" t="s">
        <v>103</v>
      </c>
      <c r="H4" s="11" t="s">
        <v>93</v>
      </c>
      <c r="I4" s="12" t="s">
        <v>104</v>
      </c>
      <c r="J4" s="8">
        <v>16519</v>
      </c>
      <c r="K4" s="13" t="s">
        <v>95</v>
      </c>
      <c r="L4" s="7" t="s">
        <v>105</v>
      </c>
      <c r="M4" s="14">
        <v>1</v>
      </c>
      <c r="N4" s="6"/>
      <c r="O4" s="15"/>
      <c r="P4" s="15"/>
      <c r="Q4" s="16"/>
      <c r="R4" s="15"/>
      <c r="S4" s="17"/>
      <c r="T4" s="15"/>
      <c r="U4" s="15"/>
      <c r="V4" s="15"/>
      <c r="W4" s="15"/>
    </row>
    <row r="5" spans="1:23">
      <c r="A5" s="6" t="s">
        <v>106</v>
      </c>
      <c r="B5" s="7" t="s">
        <v>107</v>
      </c>
      <c r="C5" s="7">
        <v>3.04</v>
      </c>
      <c r="D5" s="8">
        <v>0.009864</v>
      </c>
      <c r="E5" s="9" t="s">
        <v>108</v>
      </c>
      <c r="F5" s="7">
        <v>3479</v>
      </c>
      <c r="G5" s="10" t="s">
        <v>109</v>
      </c>
      <c r="H5" s="11" t="s">
        <v>93</v>
      </c>
      <c r="I5" s="12" t="s">
        <v>110</v>
      </c>
      <c r="J5" s="8">
        <v>16519</v>
      </c>
      <c r="K5" s="13" t="s">
        <v>95</v>
      </c>
      <c r="L5" s="7" t="s">
        <v>111</v>
      </c>
      <c r="M5" s="14">
        <v>1</v>
      </c>
      <c r="N5" s="6"/>
      <c r="O5" s="15"/>
      <c r="P5" s="15"/>
      <c r="Q5" s="16"/>
      <c r="R5" s="15"/>
      <c r="S5" s="17"/>
      <c r="T5" s="15"/>
      <c r="U5" s="15"/>
      <c r="V5" s="15"/>
      <c r="W5" s="15"/>
    </row>
    <row r="6" spans="1:23">
      <c r="A6" s="6"/>
      <c r="B6" s="7"/>
      <c r="C6" s="7"/>
      <c r="D6" s="8"/>
      <c r="E6" s="9" t="s">
        <v>112</v>
      </c>
      <c r="F6" s="7"/>
      <c r="G6" s="10"/>
      <c r="H6" s="11"/>
      <c r="I6" s="12"/>
      <c r="J6" s="8"/>
      <c r="K6" s="13"/>
      <c r="L6" s="7"/>
      <c r="M6" s="14">
        <v>1</v>
      </c>
      <c r="N6" s="6"/>
      <c r="O6" s="15"/>
      <c r="P6" s="18"/>
      <c r="Q6" s="16"/>
      <c r="R6" s="15"/>
      <c r="S6" s="17"/>
      <c r="T6" s="15"/>
      <c r="U6" s="15"/>
      <c r="V6" s="15"/>
      <c r="W6" s="15"/>
    </row>
    <row r="7" spans="1:23">
      <c r="A7" s="6"/>
      <c r="B7" s="7"/>
      <c r="C7" s="7"/>
      <c r="D7" s="8"/>
      <c r="E7" s="9" t="s">
        <v>113</v>
      </c>
      <c r="F7" s="7"/>
      <c r="G7" s="10"/>
      <c r="H7" s="11"/>
      <c r="I7" s="12"/>
      <c r="J7" s="8"/>
      <c r="K7" s="13"/>
      <c r="L7" s="7"/>
      <c r="M7" s="14">
        <v>1</v>
      </c>
      <c r="N7" s="6"/>
      <c r="O7" s="15"/>
      <c r="P7" s="15"/>
      <c r="Q7" s="16"/>
      <c r="R7" s="15"/>
      <c r="S7" s="17"/>
      <c r="T7" s="15"/>
      <c r="U7" s="15"/>
      <c r="V7" s="15"/>
      <c r="W7" s="15"/>
    </row>
    <row r="8" spans="1:23">
      <c r="A8" s="6" t="s">
        <v>114</v>
      </c>
      <c r="B8" s="7" t="s">
        <v>115</v>
      </c>
      <c r="C8" s="7">
        <v>7.9</v>
      </c>
      <c r="D8" s="8">
        <v>0.023541</v>
      </c>
      <c r="E8" s="9" t="s">
        <v>116</v>
      </c>
      <c r="F8" s="7">
        <v>667</v>
      </c>
      <c r="G8" s="10" t="s">
        <v>117</v>
      </c>
      <c r="H8" s="11" t="s">
        <v>93</v>
      </c>
      <c r="I8" s="12" t="s">
        <v>118</v>
      </c>
      <c r="J8" s="8">
        <v>16452</v>
      </c>
      <c r="K8" s="13" t="s">
        <v>95</v>
      </c>
      <c r="L8" s="7" t="s">
        <v>119</v>
      </c>
      <c r="M8" s="14">
        <v>1</v>
      </c>
      <c r="N8" s="6"/>
      <c r="O8" s="15"/>
      <c r="P8" s="15"/>
      <c r="Q8" s="16"/>
      <c r="R8" s="15"/>
      <c r="S8" s="17"/>
      <c r="T8" s="15"/>
      <c r="U8" s="15"/>
      <c r="V8" s="15"/>
      <c r="W8" s="15"/>
    </row>
    <row r="9" spans="1:23">
      <c r="A9" s="6"/>
      <c r="B9" s="7"/>
      <c r="C9" s="7"/>
      <c r="D9" s="8"/>
      <c r="E9" s="9" t="s">
        <v>120</v>
      </c>
      <c r="F9" s="7"/>
      <c r="G9" s="10"/>
      <c r="H9" s="11"/>
      <c r="I9" s="12"/>
      <c r="J9" s="8"/>
      <c r="K9" s="13"/>
      <c r="L9" s="7"/>
      <c r="M9" s="14">
        <v>1</v>
      </c>
      <c r="N9" s="6"/>
      <c r="O9" s="15"/>
      <c r="P9" s="15"/>
      <c r="Q9" s="16"/>
      <c r="R9" s="15"/>
      <c r="S9" s="17"/>
      <c r="T9" s="15"/>
      <c r="U9" s="15"/>
      <c r="V9" s="15"/>
      <c r="W9" s="15"/>
    </row>
    <row r="10" spans="1:23">
      <c r="A10" s="6"/>
      <c r="B10" s="7"/>
      <c r="C10" s="7"/>
      <c r="D10" s="8"/>
      <c r="E10" s="9" t="s">
        <v>121</v>
      </c>
      <c r="F10" s="7"/>
      <c r="G10" s="10"/>
      <c r="H10" s="11"/>
      <c r="I10" s="12"/>
      <c r="J10" s="8"/>
      <c r="K10" s="13"/>
      <c r="L10" s="7"/>
      <c r="M10" s="14">
        <v>1</v>
      </c>
      <c r="N10" s="6"/>
      <c r="O10" s="15"/>
      <c r="P10" s="15"/>
      <c r="Q10" s="16"/>
      <c r="R10" s="15"/>
      <c r="S10" s="17"/>
      <c r="T10" s="15"/>
      <c r="U10" s="15"/>
      <c r="V10" s="15"/>
      <c r="W10" s="15"/>
    </row>
    <row r="11" spans="1:23">
      <c r="A11" s="6"/>
      <c r="B11" s="7"/>
      <c r="C11" s="7"/>
      <c r="D11" s="8"/>
      <c r="E11" s="9" t="s">
        <v>122</v>
      </c>
      <c r="F11" s="7"/>
      <c r="G11" s="10"/>
      <c r="H11" s="11"/>
      <c r="I11" s="12"/>
      <c r="J11" s="8"/>
      <c r="K11" s="13"/>
      <c r="L11" s="7"/>
      <c r="M11" s="14">
        <v>1</v>
      </c>
      <c r="N11" s="6"/>
      <c r="O11" s="15"/>
      <c r="P11" s="18"/>
      <c r="Q11" s="16"/>
      <c r="R11" s="15"/>
      <c r="S11" s="17"/>
      <c r="T11" s="15"/>
      <c r="U11" s="15"/>
      <c r="V11" s="15"/>
      <c r="W11" s="15"/>
    </row>
    <row r="12" spans="1:23">
      <c r="A12" s="6" t="s">
        <v>123</v>
      </c>
      <c r="B12" s="7" t="s">
        <v>124</v>
      </c>
      <c r="C12" s="7">
        <v>7.4</v>
      </c>
      <c r="D12" s="8">
        <v>0.023336</v>
      </c>
      <c r="E12" s="9" t="s">
        <v>125</v>
      </c>
      <c r="F12" s="7">
        <v>11437</v>
      </c>
      <c r="G12" s="10" t="s">
        <v>126</v>
      </c>
      <c r="H12" s="11" t="s">
        <v>93</v>
      </c>
      <c r="I12" s="12" t="s">
        <v>127</v>
      </c>
      <c r="J12" s="8">
        <v>16418</v>
      </c>
      <c r="K12" s="13" t="s">
        <v>95</v>
      </c>
      <c r="L12" s="7" t="s">
        <v>128</v>
      </c>
      <c r="M12" s="14">
        <v>1</v>
      </c>
      <c r="N12" s="6"/>
      <c r="O12" s="15"/>
      <c r="P12" s="15"/>
      <c r="Q12" s="16"/>
      <c r="R12" s="15"/>
      <c r="S12" s="17"/>
      <c r="T12" s="15"/>
      <c r="U12" s="15"/>
      <c r="V12" s="15"/>
      <c r="W12" s="15"/>
    </row>
    <row r="13" spans="1:23">
      <c r="A13" s="6"/>
      <c r="B13" s="7"/>
      <c r="C13" s="7"/>
      <c r="D13" s="8"/>
      <c r="E13" s="9" t="s">
        <v>129</v>
      </c>
      <c r="F13" s="7"/>
      <c r="G13" s="10"/>
      <c r="H13" s="11"/>
      <c r="I13" s="12"/>
      <c r="J13" s="8"/>
      <c r="K13" s="13"/>
      <c r="L13" s="7"/>
      <c r="M13" s="14">
        <v>1</v>
      </c>
      <c r="N13" s="6"/>
      <c r="O13" s="15"/>
      <c r="P13" s="15"/>
      <c r="Q13" s="16"/>
      <c r="R13" s="15"/>
      <c r="S13" s="17"/>
      <c r="T13" s="15"/>
      <c r="U13" s="15"/>
      <c r="V13" s="15"/>
      <c r="W13" s="15"/>
    </row>
    <row r="14" spans="1:23">
      <c r="A14" s="6"/>
      <c r="B14" s="7"/>
      <c r="C14" s="7"/>
      <c r="D14" s="8"/>
      <c r="E14" s="9" t="s">
        <v>130</v>
      </c>
      <c r="F14" s="7"/>
      <c r="G14" s="10"/>
      <c r="H14" s="11"/>
      <c r="I14" s="16"/>
      <c r="J14" s="8"/>
      <c r="K14" s="13"/>
      <c r="L14" s="7"/>
      <c r="M14" s="14">
        <v>1</v>
      </c>
      <c r="N14" s="6"/>
      <c r="O14" s="15"/>
      <c r="P14" s="15"/>
      <c r="Q14" s="16"/>
      <c r="R14" s="15"/>
      <c r="S14" s="17"/>
      <c r="T14" s="15"/>
      <c r="U14" s="15"/>
      <c r="V14" s="15"/>
      <c r="W14" s="15"/>
    </row>
    <row r="15" spans="1:23">
      <c r="A15" s="6"/>
      <c r="B15" s="7"/>
      <c r="C15" s="7"/>
      <c r="D15" s="8"/>
      <c r="E15" s="9" t="s">
        <v>131</v>
      </c>
      <c r="F15" s="7"/>
      <c r="G15" s="10"/>
      <c r="H15" s="11"/>
      <c r="I15" s="12"/>
      <c r="J15" s="8"/>
      <c r="K15" s="13"/>
      <c r="L15" s="7"/>
      <c r="M15" s="14">
        <v>1</v>
      </c>
      <c r="N15" s="6"/>
      <c r="O15" s="15"/>
      <c r="P15" s="15"/>
      <c r="Q15" s="16"/>
      <c r="R15" s="15"/>
      <c r="S15" s="17"/>
      <c r="T15" s="15"/>
      <c r="U15" s="15"/>
      <c r="V15" s="15"/>
      <c r="W15" s="15"/>
    </row>
    <row r="16" spans="1:23">
      <c r="A16" s="6" t="s">
        <v>132</v>
      </c>
      <c r="B16" s="7" t="s">
        <v>133</v>
      </c>
      <c r="C16" s="7">
        <v>7.31</v>
      </c>
      <c r="D16" s="8">
        <v>0.035554</v>
      </c>
      <c r="E16" s="9" t="s">
        <v>134</v>
      </c>
      <c r="F16" s="7">
        <v>15120</v>
      </c>
      <c r="G16" s="10" t="s">
        <v>135</v>
      </c>
      <c r="H16" s="11" t="s">
        <v>93</v>
      </c>
      <c r="I16" s="12" t="s">
        <v>136</v>
      </c>
      <c r="J16" s="8">
        <v>16413</v>
      </c>
      <c r="K16" s="13" t="s">
        <v>95</v>
      </c>
      <c r="L16" s="7" t="s">
        <v>137</v>
      </c>
      <c r="M16" s="14">
        <v>1</v>
      </c>
      <c r="N16" s="6"/>
      <c r="O16" s="15"/>
      <c r="P16" s="15"/>
      <c r="Q16" s="16"/>
      <c r="R16" s="15"/>
      <c r="S16" s="17"/>
      <c r="T16" s="15"/>
      <c r="U16" s="15"/>
      <c r="V16" s="15"/>
      <c r="W16" s="15"/>
    </row>
    <row r="17" spans="1:23">
      <c r="A17" s="6"/>
      <c r="B17" s="7"/>
      <c r="C17" s="7"/>
      <c r="D17" s="8"/>
      <c r="E17" s="9" t="s">
        <v>138</v>
      </c>
      <c r="F17" s="7"/>
      <c r="G17" s="10"/>
      <c r="H17" s="11"/>
      <c r="I17" s="12"/>
      <c r="J17" s="8"/>
      <c r="K17" s="13"/>
      <c r="L17" s="7"/>
      <c r="M17" s="14">
        <v>1</v>
      </c>
      <c r="N17" s="6"/>
      <c r="O17" s="15"/>
      <c r="P17" s="15"/>
      <c r="Q17" s="16"/>
      <c r="R17" s="15"/>
      <c r="S17" s="17"/>
      <c r="T17" s="15"/>
      <c r="U17" s="15"/>
      <c r="V17" s="15"/>
      <c r="W17" s="15"/>
    </row>
    <row r="18" spans="1:23">
      <c r="A18" s="6"/>
      <c r="B18" s="7"/>
      <c r="C18" s="7"/>
      <c r="D18" s="8"/>
      <c r="E18" s="9" t="s">
        <v>139</v>
      </c>
      <c r="F18" s="7"/>
      <c r="G18" s="10"/>
      <c r="H18" s="11"/>
      <c r="I18" s="12"/>
      <c r="J18" s="8"/>
      <c r="K18" s="13"/>
      <c r="L18" s="7"/>
      <c r="M18" s="14">
        <v>1</v>
      </c>
      <c r="N18" s="6"/>
      <c r="O18" s="15"/>
      <c r="P18" s="15"/>
      <c r="Q18" s="16"/>
      <c r="R18" s="15"/>
      <c r="S18" s="17"/>
      <c r="T18" s="15"/>
      <c r="U18" s="15"/>
      <c r="V18" s="15"/>
      <c r="W18" s="15"/>
    </row>
    <row r="19" spans="1:23">
      <c r="A19" s="6"/>
      <c r="B19" s="7"/>
      <c r="C19" s="7"/>
      <c r="D19" s="8"/>
      <c r="E19" s="9" t="s">
        <v>140</v>
      </c>
      <c r="F19" s="7"/>
      <c r="G19" s="10"/>
      <c r="H19" s="11"/>
      <c r="I19" s="12"/>
      <c r="J19" s="8"/>
      <c r="K19" s="13"/>
      <c r="L19" s="7"/>
      <c r="M19" s="14">
        <v>1</v>
      </c>
      <c r="N19" s="6"/>
      <c r="O19" s="15"/>
      <c r="P19" s="15"/>
      <c r="Q19" s="16"/>
      <c r="R19" s="15"/>
      <c r="S19" s="17"/>
      <c r="T19" s="15"/>
      <c r="U19" s="15"/>
      <c r="V19" s="15"/>
      <c r="W19" s="15"/>
    </row>
    <row r="20" spans="1:23">
      <c r="A20" s="6" t="s">
        <v>141</v>
      </c>
      <c r="B20" s="7" t="s">
        <v>142</v>
      </c>
      <c r="C20" s="7">
        <v>0.53</v>
      </c>
      <c r="D20" s="8">
        <v>0.001416</v>
      </c>
      <c r="E20" s="9" t="s">
        <v>143</v>
      </c>
      <c r="F20" s="7">
        <v>12430</v>
      </c>
      <c r="G20" s="10" t="s">
        <v>143</v>
      </c>
      <c r="H20" s="11" t="s">
        <v>93</v>
      </c>
      <c r="I20" s="12" t="s">
        <v>144</v>
      </c>
      <c r="J20" s="8">
        <v>13860</v>
      </c>
      <c r="K20" s="13" t="s">
        <v>145</v>
      </c>
      <c r="L20" s="7" t="s">
        <v>146</v>
      </c>
      <c r="M20" s="14">
        <v>1</v>
      </c>
      <c r="N20" s="6"/>
      <c r="O20" s="15"/>
      <c r="P20" s="15"/>
      <c r="Q20" s="16"/>
      <c r="R20" s="15"/>
      <c r="S20" s="17"/>
      <c r="T20" s="15"/>
      <c r="U20" s="15"/>
      <c r="V20" s="15"/>
      <c r="W20" s="15"/>
    </row>
    <row r="21" spans="1:23">
      <c r="A21" s="6" t="s">
        <v>147</v>
      </c>
      <c r="B21" s="7" t="s">
        <v>148</v>
      </c>
      <c r="C21" s="7">
        <v>0.44</v>
      </c>
      <c r="D21" s="8">
        <v>0.002296</v>
      </c>
      <c r="E21" s="9" t="s">
        <v>149</v>
      </c>
      <c r="F21" s="7">
        <v>11084</v>
      </c>
      <c r="G21" s="10" t="s">
        <v>149</v>
      </c>
      <c r="H21" s="11" t="s">
        <v>93</v>
      </c>
      <c r="I21" s="12" t="s">
        <v>150</v>
      </c>
      <c r="J21" s="8">
        <v>16517</v>
      </c>
      <c r="K21" s="13" t="s">
        <v>95</v>
      </c>
      <c r="L21" s="7" t="s">
        <v>151</v>
      </c>
      <c r="M21" s="14">
        <v>1</v>
      </c>
      <c r="N21" s="6"/>
      <c r="O21" s="15"/>
      <c r="P21" s="15"/>
      <c r="Q21" s="16"/>
      <c r="R21" s="15"/>
      <c r="S21" s="17"/>
      <c r="T21" s="15"/>
      <c r="U21" s="15"/>
      <c r="V21" s="15"/>
      <c r="W21" s="15"/>
    </row>
    <row r="22" spans="1:23">
      <c r="A22" s="6" t="s">
        <v>152</v>
      </c>
      <c r="B22" s="7" t="s">
        <v>153</v>
      </c>
      <c r="C22" s="7">
        <v>1.05</v>
      </c>
      <c r="D22" s="8">
        <v>0.002578</v>
      </c>
      <c r="E22" s="9" t="s">
        <v>154</v>
      </c>
      <c r="F22" s="7">
        <v>13593</v>
      </c>
      <c r="G22" s="10" t="s">
        <v>154</v>
      </c>
      <c r="H22" s="11" t="s">
        <v>93</v>
      </c>
      <c r="I22" s="12" t="s">
        <v>155</v>
      </c>
      <c r="J22" s="8">
        <v>16519</v>
      </c>
      <c r="K22" s="13" t="s">
        <v>95</v>
      </c>
      <c r="L22" s="7" t="s">
        <v>156</v>
      </c>
      <c r="M22" s="14">
        <v>1</v>
      </c>
      <c r="N22" s="6"/>
      <c r="O22" s="15"/>
      <c r="P22" s="15"/>
      <c r="Q22" s="16"/>
      <c r="R22" s="15"/>
      <c r="S22" s="17"/>
      <c r="T22" s="15"/>
      <c r="U22" s="15"/>
      <c r="V22" s="15"/>
      <c r="W22" s="15"/>
    </row>
    <row r="23" spans="1:23">
      <c r="A23" s="6" t="s">
        <v>157</v>
      </c>
      <c r="B23" s="7" t="s">
        <v>158</v>
      </c>
      <c r="C23" s="7">
        <v>9.89</v>
      </c>
      <c r="D23" s="8">
        <v>0.035966</v>
      </c>
      <c r="E23" s="9" t="s">
        <v>159</v>
      </c>
      <c r="F23" s="7">
        <v>8251</v>
      </c>
      <c r="G23" s="10" t="s">
        <v>160</v>
      </c>
      <c r="H23" s="11" t="s">
        <v>93</v>
      </c>
      <c r="I23" s="12" t="s">
        <v>161</v>
      </c>
      <c r="J23" s="8">
        <v>16437</v>
      </c>
      <c r="K23" s="13" t="s">
        <v>95</v>
      </c>
      <c r="L23" s="7" t="s">
        <v>162</v>
      </c>
      <c r="M23" s="14">
        <v>1</v>
      </c>
      <c r="N23" s="6"/>
      <c r="O23" s="15"/>
      <c r="P23" s="15"/>
      <c r="Q23" s="16"/>
      <c r="R23" s="15"/>
      <c r="S23" s="17"/>
      <c r="T23" s="15"/>
      <c r="U23" s="15"/>
      <c r="V23" s="15"/>
      <c r="W23" s="15"/>
    </row>
    <row r="24" spans="1:23">
      <c r="A24" s="6"/>
      <c r="B24" s="7"/>
      <c r="C24" s="7"/>
      <c r="D24" s="8"/>
      <c r="E24" s="9" t="s">
        <v>163</v>
      </c>
      <c r="F24" s="7"/>
      <c r="G24" s="10"/>
      <c r="H24" s="11"/>
      <c r="I24" s="12"/>
      <c r="J24" s="8"/>
      <c r="K24" s="13"/>
      <c r="L24" s="7"/>
      <c r="M24" s="14">
        <v>1</v>
      </c>
      <c r="N24" s="6"/>
      <c r="O24" s="15"/>
      <c r="P24" s="15"/>
      <c r="Q24" s="16"/>
      <c r="R24" s="15"/>
      <c r="S24" s="17"/>
      <c r="T24" s="15"/>
      <c r="U24" s="15"/>
      <c r="V24" s="15"/>
      <c r="W24" s="15"/>
    </row>
    <row r="25" spans="1:23">
      <c r="A25" s="6"/>
      <c r="B25" s="7"/>
      <c r="C25" s="7"/>
      <c r="D25" s="8"/>
      <c r="E25" s="9" t="s">
        <v>164</v>
      </c>
      <c r="F25" s="7"/>
      <c r="G25" s="10"/>
      <c r="H25" s="11"/>
      <c r="I25" s="12"/>
      <c r="J25" s="8"/>
      <c r="K25" s="13"/>
      <c r="L25" s="7"/>
      <c r="M25" s="14">
        <v>1</v>
      </c>
      <c r="N25" s="6"/>
      <c r="O25" s="15"/>
      <c r="P25" s="15"/>
      <c r="Q25" s="16"/>
      <c r="R25" s="15"/>
      <c r="S25" s="17"/>
      <c r="T25" s="15"/>
      <c r="U25" s="15"/>
      <c r="V25" s="15"/>
      <c r="W25" s="15"/>
    </row>
    <row r="26" spans="1:23">
      <c r="A26" s="6"/>
      <c r="B26" s="7"/>
      <c r="C26" s="7"/>
      <c r="D26" s="8"/>
      <c r="E26" s="9" t="s">
        <v>165</v>
      </c>
      <c r="F26" s="7"/>
      <c r="G26" s="10"/>
      <c r="H26" s="11"/>
      <c r="I26" s="12"/>
      <c r="J26" s="8"/>
      <c r="K26" s="13"/>
      <c r="L26" s="7"/>
      <c r="M26" s="14">
        <v>1</v>
      </c>
      <c r="N26" s="6"/>
      <c r="O26" s="15"/>
      <c r="P26" s="15"/>
      <c r="Q26" s="16"/>
      <c r="R26" s="15"/>
      <c r="S26" s="17"/>
      <c r="T26" s="15"/>
      <c r="U26" s="15"/>
      <c r="V26" s="15"/>
      <c r="W26" s="15"/>
    </row>
    <row r="27" spans="1:23">
      <c r="A27" s="6" t="s">
        <v>166</v>
      </c>
      <c r="B27" s="7" t="s">
        <v>167</v>
      </c>
      <c r="C27" s="7">
        <v>7.39</v>
      </c>
      <c r="D27" s="8">
        <v>0.035216</v>
      </c>
      <c r="E27" s="9" t="s">
        <v>168</v>
      </c>
      <c r="F27" s="7">
        <v>13096</v>
      </c>
      <c r="G27" s="10" t="s">
        <v>169</v>
      </c>
      <c r="H27" s="11" t="s">
        <v>93</v>
      </c>
      <c r="I27" s="12" t="s">
        <v>170</v>
      </c>
      <c r="J27" s="8">
        <v>16517</v>
      </c>
      <c r="K27" s="13" t="s">
        <v>95</v>
      </c>
      <c r="L27" s="7" t="s">
        <v>171</v>
      </c>
      <c r="M27" s="14">
        <v>1</v>
      </c>
      <c r="N27" s="6"/>
      <c r="O27" s="15"/>
      <c r="P27" s="18"/>
      <c r="Q27" s="16"/>
      <c r="R27" s="15"/>
      <c r="S27" s="17"/>
      <c r="T27" s="15"/>
      <c r="U27" s="15"/>
      <c r="V27" s="15"/>
      <c r="W27" s="15"/>
    </row>
    <row r="28" spans="1:23">
      <c r="A28" s="6"/>
      <c r="B28" s="7"/>
      <c r="C28" s="7"/>
      <c r="D28" s="8"/>
      <c r="E28" s="9" t="s">
        <v>172</v>
      </c>
      <c r="F28" s="7"/>
      <c r="G28" s="10"/>
      <c r="H28" s="11"/>
      <c r="I28" s="12"/>
      <c r="J28" s="8"/>
      <c r="K28" s="13"/>
      <c r="L28" s="7"/>
      <c r="M28" s="14">
        <v>1</v>
      </c>
      <c r="N28" s="6"/>
      <c r="O28" s="15"/>
      <c r="P28" s="18"/>
      <c r="Q28" s="16"/>
      <c r="R28" s="15"/>
      <c r="S28" s="17"/>
      <c r="T28" s="15"/>
      <c r="U28" s="15"/>
      <c r="V28" s="15"/>
      <c r="W28" s="15"/>
    </row>
    <row r="29" spans="1:23">
      <c r="A29" s="6"/>
      <c r="B29" s="7"/>
      <c r="C29" s="7"/>
      <c r="D29" s="8"/>
      <c r="E29" s="9" t="s">
        <v>173</v>
      </c>
      <c r="F29" s="7"/>
      <c r="G29" s="10"/>
      <c r="H29" s="11"/>
      <c r="I29" s="12"/>
      <c r="J29" s="8"/>
      <c r="K29" s="13"/>
      <c r="L29" s="7"/>
      <c r="M29" s="14">
        <v>1</v>
      </c>
      <c r="N29" s="6"/>
      <c r="O29" s="15"/>
      <c r="P29" s="15"/>
      <c r="Q29" s="16"/>
      <c r="R29" s="15"/>
      <c r="S29" s="17"/>
      <c r="T29" s="15"/>
      <c r="U29" s="15"/>
      <c r="V29" s="15"/>
      <c r="W29" s="15"/>
    </row>
    <row r="30" spans="1:23">
      <c r="A30" s="6" t="s">
        <v>174</v>
      </c>
      <c r="B30" s="7" t="s">
        <v>175</v>
      </c>
      <c r="C30" s="7">
        <v>0.21</v>
      </c>
      <c r="D30" s="8">
        <v>0.001617</v>
      </c>
      <c r="E30" s="9" t="s">
        <v>176</v>
      </c>
      <c r="F30" s="7">
        <v>2649</v>
      </c>
      <c r="G30" s="10" t="s">
        <v>176</v>
      </c>
      <c r="H30" s="11" t="s">
        <v>93</v>
      </c>
      <c r="I30" s="12" t="s">
        <v>177</v>
      </c>
      <c r="J30" s="8">
        <v>13810</v>
      </c>
      <c r="K30" s="13" t="s">
        <v>145</v>
      </c>
      <c r="L30" s="7" t="s">
        <v>178</v>
      </c>
      <c r="M30" s="14">
        <v>1</v>
      </c>
      <c r="N30" s="6"/>
      <c r="O30" s="15"/>
      <c r="P30" s="15"/>
      <c r="Q30" s="16"/>
      <c r="R30" s="15"/>
      <c r="S30" s="17"/>
      <c r="T30" s="15"/>
      <c r="U30" s="15"/>
      <c r="V30" s="15"/>
      <c r="W30" s="15"/>
    </row>
    <row r="31" spans="1:23">
      <c r="A31" s="6" t="s">
        <v>179</v>
      </c>
      <c r="B31" s="7" t="s">
        <v>180</v>
      </c>
      <c r="C31" s="7">
        <v>11.51</v>
      </c>
      <c r="D31" s="8">
        <v>0.040022</v>
      </c>
      <c r="E31" s="9" t="s">
        <v>181</v>
      </c>
      <c r="F31" s="7">
        <v>13177</v>
      </c>
      <c r="G31" s="10" t="s">
        <v>182</v>
      </c>
      <c r="H31" s="11" t="s">
        <v>93</v>
      </c>
      <c r="I31" s="12" t="s">
        <v>183</v>
      </c>
      <c r="J31" s="8">
        <v>16437</v>
      </c>
      <c r="K31" s="13" t="s">
        <v>95</v>
      </c>
      <c r="L31" s="7" t="s">
        <v>184</v>
      </c>
      <c r="M31" s="14">
        <v>2</v>
      </c>
      <c r="N31" s="6"/>
      <c r="O31" s="15"/>
      <c r="P31" s="15"/>
      <c r="Q31" s="16"/>
      <c r="R31" s="15"/>
      <c r="S31" s="17"/>
      <c r="T31" s="15"/>
      <c r="U31" s="15"/>
      <c r="V31" s="15"/>
      <c r="W31" s="15"/>
    </row>
    <row r="32" spans="1:23">
      <c r="A32" s="6"/>
      <c r="B32" s="7"/>
      <c r="C32" s="7"/>
      <c r="D32" s="8"/>
      <c r="E32" s="9" t="s">
        <v>185</v>
      </c>
      <c r="F32" s="7"/>
      <c r="G32" s="10"/>
      <c r="H32" s="11"/>
      <c r="I32" s="12"/>
      <c r="J32" s="8"/>
      <c r="K32" s="13"/>
      <c r="L32" s="7"/>
      <c r="M32" s="14">
        <v>1</v>
      </c>
      <c r="N32" s="6"/>
      <c r="O32" s="15"/>
      <c r="P32" s="15"/>
      <c r="Q32" s="16"/>
      <c r="R32" s="15"/>
      <c r="S32" s="17"/>
      <c r="T32" s="15"/>
      <c r="U32" s="15"/>
      <c r="V32" s="15"/>
      <c r="W32" s="15"/>
    </row>
    <row r="33" spans="1:23">
      <c r="A33" s="6" t="s">
        <v>186</v>
      </c>
      <c r="B33" s="7" t="s">
        <v>187</v>
      </c>
      <c r="C33" s="7">
        <v>0.25</v>
      </c>
      <c r="D33" s="8">
        <v>0.00168</v>
      </c>
      <c r="E33" s="9" t="s">
        <v>188</v>
      </c>
      <c r="F33" s="7">
        <v>317</v>
      </c>
      <c r="G33" s="10" t="s">
        <v>188</v>
      </c>
      <c r="H33" s="11" t="s">
        <v>93</v>
      </c>
      <c r="I33" s="12" t="s">
        <v>189</v>
      </c>
      <c r="J33" s="8">
        <v>16451</v>
      </c>
      <c r="K33" s="13" t="s">
        <v>95</v>
      </c>
      <c r="L33" s="7" t="s">
        <v>190</v>
      </c>
      <c r="M33" s="14">
        <v>1</v>
      </c>
      <c r="N33" s="6"/>
      <c r="O33" s="15"/>
      <c r="P33" s="15"/>
      <c r="Q33" s="16"/>
      <c r="R33" s="15"/>
      <c r="S33" s="17"/>
      <c r="T33" s="15"/>
      <c r="U33" s="15"/>
      <c r="V33" s="15"/>
      <c r="W33" s="15"/>
    </row>
    <row r="34" spans="1:23">
      <c r="A34" s="6" t="s">
        <v>191</v>
      </c>
      <c r="B34" s="7" t="s">
        <v>192</v>
      </c>
      <c r="C34" s="7">
        <v>3.67</v>
      </c>
      <c r="D34" s="8">
        <v>0.009967</v>
      </c>
      <c r="E34" s="9" t="s">
        <v>193</v>
      </c>
      <c r="F34" s="7">
        <v>724</v>
      </c>
      <c r="G34" s="10" t="s">
        <v>193</v>
      </c>
      <c r="H34" s="11" t="s">
        <v>93</v>
      </c>
      <c r="I34" s="12" t="s">
        <v>194</v>
      </c>
      <c r="J34" s="8">
        <v>17434</v>
      </c>
      <c r="K34" s="13" t="s">
        <v>195</v>
      </c>
      <c r="L34" s="7" t="s">
        <v>196</v>
      </c>
      <c r="M34" s="14">
        <v>2</v>
      </c>
      <c r="N34" s="6"/>
      <c r="O34" s="15"/>
      <c r="P34" s="15"/>
      <c r="Q34" s="16"/>
      <c r="R34" s="15"/>
      <c r="S34" s="17"/>
      <c r="T34" s="15"/>
      <c r="U34" s="15"/>
      <c r="V34" s="15"/>
      <c r="W34" s="15"/>
    </row>
    <row r="35" spans="1:23">
      <c r="A35" s="6" t="s">
        <v>197</v>
      </c>
      <c r="B35" s="7" t="s">
        <v>198</v>
      </c>
      <c r="C35" s="7">
        <v>1.11</v>
      </c>
      <c r="D35" s="8">
        <v>0.003461</v>
      </c>
      <c r="E35" s="9" t="s">
        <v>199</v>
      </c>
      <c r="F35" s="7">
        <v>1442</v>
      </c>
      <c r="G35" s="10" t="s">
        <v>199</v>
      </c>
      <c r="H35" s="11" t="s">
        <v>93</v>
      </c>
      <c r="I35" s="12" t="s">
        <v>200</v>
      </c>
      <c r="J35" s="8">
        <v>17411</v>
      </c>
      <c r="K35" s="13" t="s">
        <v>195</v>
      </c>
      <c r="L35" s="7" t="s">
        <v>201</v>
      </c>
      <c r="M35" s="14">
        <v>1</v>
      </c>
      <c r="N35" s="6"/>
      <c r="O35" s="15"/>
      <c r="P35" s="15"/>
      <c r="Q35" s="16"/>
      <c r="R35" s="15"/>
      <c r="S35" s="17"/>
      <c r="T35" s="15"/>
      <c r="U35" s="15"/>
      <c r="V35" s="15"/>
      <c r="W35" s="15"/>
    </row>
    <row r="36" spans="1:23">
      <c r="A36" s="6" t="s">
        <v>202</v>
      </c>
      <c r="B36" s="7" t="s">
        <v>203</v>
      </c>
      <c r="C36" s="7">
        <v>9.39</v>
      </c>
      <c r="D36" s="8">
        <v>0.031097</v>
      </c>
      <c r="E36" s="9" t="s">
        <v>204</v>
      </c>
      <c r="F36" s="7">
        <v>17703</v>
      </c>
      <c r="G36" s="10" t="s">
        <v>205</v>
      </c>
      <c r="H36" s="11" t="s">
        <v>93</v>
      </c>
      <c r="I36" s="12" t="s">
        <v>206</v>
      </c>
      <c r="J36" s="8">
        <v>17432</v>
      </c>
      <c r="K36" s="13" t="s">
        <v>195</v>
      </c>
      <c r="L36" s="7" t="s">
        <v>207</v>
      </c>
      <c r="M36" s="14">
        <v>1</v>
      </c>
      <c r="N36" s="6"/>
      <c r="O36" s="15"/>
      <c r="P36" s="15"/>
      <c r="Q36" s="16"/>
      <c r="R36" s="15"/>
      <c r="S36" s="17"/>
      <c r="T36" s="15"/>
      <c r="U36" s="15"/>
      <c r="V36" s="15"/>
      <c r="W36" s="15"/>
    </row>
    <row r="37" spans="1:23">
      <c r="A37" s="6"/>
      <c r="B37" s="7"/>
      <c r="C37" s="7"/>
      <c r="D37" s="8"/>
      <c r="E37" s="9" t="s">
        <v>208</v>
      </c>
      <c r="F37" s="7"/>
      <c r="G37" s="10"/>
      <c r="H37" s="11"/>
      <c r="I37" s="12"/>
      <c r="J37" s="8"/>
      <c r="K37" s="13"/>
      <c r="L37" s="7"/>
      <c r="M37" s="14">
        <v>2</v>
      </c>
      <c r="N37" s="6"/>
      <c r="O37" s="15"/>
      <c r="P37" s="15"/>
      <c r="Q37" s="16"/>
      <c r="R37" s="15"/>
      <c r="S37" s="17"/>
      <c r="T37" s="15"/>
      <c r="U37" s="15"/>
      <c r="V37" s="15"/>
      <c r="W37" s="15"/>
    </row>
    <row r="38" spans="1:23">
      <c r="A38" s="6"/>
      <c r="B38" s="7"/>
      <c r="C38" s="7"/>
      <c r="D38" s="8"/>
      <c r="E38" s="9" t="s">
        <v>209</v>
      </c>
      <c r="F38" s="7"/>
      <c r="G38" s="10"/>
      <c r="H38" s="11"/>
      <c r="I38" s="12"/>
      <c r="J38" s="8"/>
      <c r="K38" s="13"/>
      <c r="L38" s="7"/>
      <c r="M38" s="14">
        <v>1</v>
      </c>
      <c r="N38" s="6"/>
      <c r="O38" s="15"/>
      <c r="P38" s="15"/>
      <c r="Q38" s="16"/>
      <c r="R38" s="15"/>
      <c r="S38" s="17"/>
      <c r="T38" s="15"/>
      <c r="U38" s="15"/>
      <c r="V38" s="15"/>
      <c r="W38" s="15"/>
    </row>
    <row r="39" spans="1:23">
      <c r="A39" s="6" t="s">
        <v>210</v>
      </c>
      <c r="B39" s="7" t="s">
        <v>211</v>
      </c>
      <c r="C39" s="7">
        <v>9.83</v>
      </c>
      <c r="D39" s="8">
        <v>0.021641</v>
      </c>
      <c r="E39" s="9" t="s">
        <v>212</v>
      </c>
      <c r="F39" s="7">
        <v>16587</v>
      </c>
      <c r="G39" s="10" t="s">
        <v>213</v>
      </c>
      <c r="H39" s="11" t="s">
        <v>93</v>
      </c>
      <c r="I39" s="12" t="s">
        <v>214</v>
      </c>
      <c r="J39" s="8">
        <v>17412</v>
      </c>
      <c r="K39" s="13" t="s">
        <v>195</v>
      </c>
      <c r="L39" s="7" t="s">
        <v>215</v>
      </c>
      <c r="M39" s="14">
        <v>1</v>
      </c>
      <c r="N39" s="6"/>
      <c r="O39" s="15"/>
      <c r="P39" s="15"/>
      <c r="Q39" s="16"/>
      <c r="R39" s="15"/>
      <c r="S39" s="17"/>
      <c r="T39" s="15"/>
      <c r="U39" s="15"/>
      <c r="V39" s="15"/>
      <c r="W39" s="15"/>
    </row>
    <row r="40" spans="1:23">
      <c r="A40" s="6"/>
      <c r="B40" s="7"/>
      <c r="C40" s="7"/>
      <c r="D40" s="8"/>
      <c r="E40" s="9" t="s">
        <v>216</v>
      </c>
      <c r="F40" s="7"/>
      <c r="G40" s="10"/>
      <c r="H40" s="11"/>
      <c r="I40" s="12"/>
      <c r="J40" s="8"/>
      <c r="K40" s="13"/>
      <c r="L40" s="7"/>
      <c r="M40" s="14">
        <v>1</v>
      </c>
      <c r="N40" s="6"/>
      <c r="O40" s="15"/>
      <c r="P40" s="15"/>
      <c r="Q40" s="16"/>
      <c r="R40" s="15"/>
      <c r="S40" s="17"/>
      <c r="T40" s="15"/>
      <c r="U40" s="15"/>
      <c r="V40" s="15"/>
      <c r="W40" s="15"/>
    </row>
    <row r="41" spans="1:23">
      <c r="A41" s="6"/>
      <c r="B41" s="7"/>
      <c r="C41" s="7"/>
      <c r="D41" s="8"/>
      <c r="E41" s="9" t="s">
        <v>217</v>
      </c>
      <c r="F41" s="7"/>
      <c r="G41" s="10"/>
      <c r="H41" s="11"/>
      <c r="I41" s="12"/>
      <c r="J41" s="8"/>
      <c r="K41" s="13"/>
      <c r="L41" s="7"/>
      <c r="M41" s="14">
        <v>1</v>
      </c>
      <c r="N41" s="6"/>
      <c r="O41" s="15"/>
      <c r="P41" s="15"/>
      <c r="Q41" s="16"/>
      <c r="R41" s="15"/>
      <c r="S41" s="17"/>
      <c r="T41" s="15"/>
      <c r="U41" s="15"/>
      <c r="V41" s="15"/>
      <c r="W41" s="15"/>
    </row>
    <row r="42" spans="1:23">
      <c r="A42" s="6"/>
      <c r="B42" s="7"/>
      <c r="C42" s="7"/>
      <c r="D42" s="8"/>
      <c r="E42" s="9" t="s">
        <v>218</v>
      </c>
      <c r="F42" s="7"/>
      <c r="G42" s="10"/>
      <c r="H42" s="11"/>
      <c r="I42" s="12"/>
      <c r="J42" s="8"/>
      <c r="K42" s="13"/>
      <c r="L42" s="7"/>
      <c r="M42" s="14">
        <v>1</v>
      </c>
      <c r="N42" s="6"/>
      <c r="O42" s="15"/>
      <c r="P42" s="15"/>
      <c r="Q42" s="16"/>
      <c r="R42" s="15"/>
      <c r="S42" s="17"/>
      <c r="T42" s="15"/>
      <c r="U42" s="15"/>
      <c r="V42" s="15"/>
      <c r="W42" s="15"/>
    </row>
    <row r="43" spans="1:23">
      <c r="A43" s="6" t="s">
        <v>219</v>
      </c>
      <c r="B43" s="7" t="s">
        <v>220</v>
      </c>
      <c r="C43" s="7">
        <v>2.74</v>
      </c>
      <c r="D43" s="8">
        <v>0.010439</v>
      </c>
      <c r="E43" s="9" t="s">
        <v>221</v>
      </c>
      <c r="F43" s="7">
        <v>10722</v>
      </c>
      <c r="G43" s="10" t="s">
        <v>222</v>
      </c>
      <c r="H43" s="11" t="s">
        <v>93</v>
      </c>
      <c r="I43" s="12" t="s">
        <v>223</v>
      </c>
      <c r="J43" s="8">
        <v>13880</v>
      </c>
      <c r="K43" s="13" t="s">
        <v>145</v>
      </c>
      <c r="L43" s="7" t="s">
        <v>224</v>
      </c>
      <c r="M43" s="14">
        <v>1</v>
      </c>
      <c r="N43" s="6"/>
      <c r="O43" s="15"/>
      <c r="P43" s="15"/>
      <c r="Q43" s="16"/>
      <c r="R43" s="15"/>
      <c r="S43" s="17"/>
      <c r="T43" s="15"/>
      <c r="U43" s="15"/>
      <c r="V43" s="15"/>
      <c r="W43" s="15"/>
    </row>
    <row r="44" spans="1:23">
      <c r="A44" s="6"/>
      <c r="B44" s="7"/>
      <c r="C44" s="7"/>
      <c r="D44" s="8"/>
      <c r="E44" s="9" t="s">
        <v>225</v>
      </c>
      <c r="F44" s="7"/>
      <c r="G44" s="10"/>
      <c r="H44" s="11"/>
      <c r="I44" s="12"/>
      <c r="J44" s="8"/>
      <c r="K44" s="13"/>
      <c r="L44" s="7"/>
      <c r="M44" s="14">
        <v>1</v>
      </c>
      <c r="N44" s="6"/>
      <c r="O44" s="15"/>
      <c r="P44" s="15"/>
      <c r="Q44" s="16"/>
      <c r="R44" s="15"/>
      <c r="S44" s="17"/>
      <c r="T44" s="15"/>
      <c r="U44" s="15"/>
      <c r="V44" s="15"/>
      <c r="W44" s="15"/>
    </row>
    <row r="45" spans="1:23">
      <c r="A45" s="6"/>
      <c r="B45" s="7"/>
      <c r="C45" s="7"/>
      <c r="D45" s="8"/>
      <c r="E45" s="9" t="s">
        <v>226</v>
      </c>
      <c r="F45" s="7"/>
      <c r="G45" s="10"/>
      <c r="H45" s="11"/>
      <c r="I45" s="12"/>
      <c r="J45" s="8"/>
      <c r="K45" s="13"/>
      <c r="L45" s="7"/>
      <c r="M45" s="14">
        <v>1</v>
      </c>
      <c r="N45" s="6"/>
      <c r="O45" s="15"/>
      <c r="P45" s="15"/>
      <c r="Q45" s="16"/>
      <c r="R45" s="15"/>
      <c r="S45" s="17"/>
      <c r="T45" s="15"/>
      <c r="U45" s="15"/>
      <c r="V45" s="15"/>
      <c r="W45" s="15"/>
    </row>
    <row r="46" spans="1:23">
      <c r="A46" s="6" t="s">
        <v>227</v>
      </c>
      <c r="B46" s="7" t="s">
        <v>228</v>
      </c>
      <c r="C46" s="7">
        <v>0.46</v>
      </c>
      <c r="D46" s="8">
        <v>0.00433</v>
      </c>
      <c r="E46" s="9" t="s">
        <v>229</v>
      </c>
      <c r="F46" s="7">
        <v>552</v>
      </c>
      <c r="G46" s="10" t="s">
        <v>230</v>
      </c>
      <c r="H46" s="11" t="s">
        <v>93</v>
      </c>
      <c r="I46" s="12" t="s">
        <v>231</v>
      </c>
      <c r="J46" s="8">
        <v>17433</v>
      </c>
      <c r="K46" s="13" t="s">
        <v>195</v>
      </c>
      <c r="L46" s="7" t="s">
        <v>232</v>
      </c>
      <c r="M46" s="14">
        <v>1</v>
      </c>
      <c r="N46" s="6"/>
      <c r="O46" s="15"/>
      <c r="P46" s="15"/>
      <c r="Q46" s="16"/>
      <c r="R46" s="15"/>
      <c r="S46" s="17"/>
      <c r="T46" s="15"/>
      <c r="U46" s="15"/>
      <c r="V46" s="15"/>
      <c r="W46" s="15"/>
    </row>
    <row r="47" spans="1:23">
      <c r="A47" s="6"/>
      <c r="B47" s="7"/>
      <c r="C47" s="7"/>
      <c r="D47" s="8"/>
      <c r="E47" s="9" t="s">
        <v>233</v>
      </c>
      <c r="F47" s="7"/>
      <c r="G47" s="10"/>
      <c r="H47" s="11"/>
      <c r="I47" s="12"/>
      <c r="J47" s="8"/>
      <c r="K47" s="13"/>
      <c r="L47" s="7"/>
      <c r="M47" s="14">
        <v>1</v>
      </c>
      <c r="N47" s="6"/>
      <c r="O47" s="15"/>
      <c r="P47" s="15"/>
      <c r="Q47" s="16"/>
      <c r="R47" s="15"/>
      <c r="S47" s="17"/>
      <c r="T47" s="15"/>
      <c r="U47" s="15"/>
      <c r="V47" s="15"/>
      <c r="W47" s="15"/>
    </row>
    <row r="48" spans="1:23">
      <c r="A48" s="6" t="s">
        <v>234</v>
      </c>
      <c r="B48" s="7" t="s">
        <v>235</v>
      </c>
      <c r="C48" s="7">
        <v>1.4</v>
      </c>
      <c r="D48" s="8">
        <v>0.006592</v>
      </c>
      <c r="E48" s="9" t="s">
        <v>236</v>
      </c>
      <c r="F48" s="7">
        <v>926</v>
      </c>
      <c r="G48" s="10" t="s">
        <v>236</v>
      </c>
      <c r="H48" s="11" t="s">
        <v>93</v>
      </c>
      <c r="I48" s="16" t="s">
        <v>237</v>
      </c>
      <c r="J48" s="19">
        <v>16454</v>
      </c>
      <c r="K48" s="20" t="s">
        <v>95</v>
      </c>
      <c r="L48" s="7" t="s">
        <v>238</v>
      </c>
      <c r="M48" s="14">
        <v>1</v>
      </c>
      <c r="N48" s="6"/>
      <c r="O48" s="15"/>
      <c r="P48" s="15"/>
      <c r="Q48" s="16"/>
      <c r="R48" s="15"/>
      <c r="S48" s="17"/>
      <c r="T48" s="15"/>
      <c r="U48" s="15"/>
      <c r="V48" s="15"/>
      <c r="W48" s="15"/>
    </row>
    <row r="49" spans="1:23">
      <c r="A49" s="6" t="s">
        <v>239</v>
      </c>
      <c r="B49" s="7" t="s">
        <v>240</v>
      </c>
      <c r="C49" s="7">
        <v>8.32</v>
      </c>
      <c r="D49" s="8">
        <v>0.025131</v>
      </c>
      <c r="E49" s="9" t="s">
        <v>241</v>
      </c>
      <c r="F49" s="7">
        <v>11120</v>
      </c>
      <c r="G49" s="10" t="s">
        <v>242</v>
      </c>
      <c r="H49" s="11" t="s">
        <v>93</v>
      </c>
      <c r="I49" s="12" t="s">
        <v>243</v>
      </c>
      <c r="J49" s="8">
        <v>17414</v>
      </c>
      <c r="K49" s="13" t="s">
        <v>195</v>
      </c>
      <c r="L49" s="7" t="s">
        <v>244</v>
      </c>
      <c r="M49" s="14">
        <v>1</v>
      </c>
      <c r="N49" s="6"/>
      <c r="O49" s="15"/>
      <c r="P49" s="15"/>
      <c r="Q49" s="16"/>
      <c r="R49" s="15"/>
      <c r="S49" s="17"/>
      <c r="T49" s="15"/>
      <c r="U49" s="15"/>
      <c r="V49" s="15"/>
      <c r="W49" s="15"/>
    </row>
    <row r="50" spans="1:23">
      <c r="A50" s="6"/>
      <c r="B50" s="7"/>
      <c r="C50" s="7"/>
      <c r="D50" s="8"/>
      <c r="E50" s="9" t="s">
        <v>245</v>
      </c>
      <c r="F50" s="7"/>
      <c r="G50" s="10"/>
      <c r="H50" s="11"/>
      <c r="I50" s="12"/>
      <c r="J50" s="8"/>
      <c r="K50" s="13"/>
      <c r="L50" s="7"/>
      <c r="M50" s="14">
        <v>1</v>
      </c>
      <c r="N50" s="6"/>
      <c r="O50" s="15"/>
      <c r="P50" s="15"/>
      <c r="Q50" s="16"/>
      <c r="R50" s="15"/>
      <c r="S50" s="17"/>
      <c r="T50" s="15"/>
      <c r="U50" s="15"/>
      <c r="V50" s="15"/>
      <c r="W50" s="15"/>
    </row>
    <row r="51" spans="1:23">
      <c r="A51" s="6"/>
      <c r="B51" s="7"/>
      <c r="C51" s="7"/>
      <c r="D51" s="8"/>
      <c r="E51" s="9" t="s">
        <v>246</v>
      </c>
      <c r="F51" s="7"/>
      <c r="G51" s="10"/>
      <c r="H51" s="11"/>
      <c r="I51" s="12"/>
      <c r="J51" s="8"/>
      <c r="K51" s="13"/>
      <c r="L51" s="7"/>
      <c r="M51" s="14">
        <v>1</v>
      </c>
      <c r="N51" s="6"/>
      <c r="O51" s="15"/>
      <c r="P51" s="15"/>
      <c r="Q51" s="16"/>
      <c r="R51" s="15"/>
      <c r="S51" s="17"/>
      <c r="T51" s="15"/>
      <c r="U51" s="15"/>
      <c r="V51" s="15"/>
      <c r="W51" s="15"/>
    </row>
    <row r="52" spans="1:23">
      <c r="A52" s="6" t="s">
        <v>247</v>
      </c>
      <c r="B52" s="7" t="s">
        <v>248</v>
      </c>
      <c r="C52" s="7">
        <v>2.22</v>
      </c>
      <c r="D52" s="8">
        <v>0.00917</v>
      </c>
      <c r="E52" s="9" t="s">
        <v>249</v>
      </c>
      <c r="F52" s="7">
        <v>17924</v>
      </c>
      <c r="G52" s="10" t="s">
        <v>250</v>
      </c>
      <c r="H52" s="11" t="s">
        <v>93</v>
      </c>
      <c r="I52" s="12" t="s">
        <v>251</v>
      </c>
      <c r="J52" s="8">
        <v>16426</v>
      </c>
      <c r="K52" s="13" t="s">
        <v>95</v>
      </c>
      <c r="L52" s="7" t="s">
        <v>252</v>
      </c>
      <c r="M52" s="14">
        <v>1</v>
      </c>
      <c r="N52" s="6"/>
      <c r="O52" s="15"/>
      <c r="P52" s="15"/>
      <c r="Q52" s="16"/>
      <c r="R52" s="15"/>
      <c r="S52" s="17"/>
      <c r="T52" s="15"/>
      <c r="U52" s="15"/>
      <c r="V52" s="15"/>
      <c r="W52" s="15"/>
    </row>
    <row r="53" spans="1:23">
      <c r="A53" s="6"/>
      <c r="B53" s="7"/>
      <c r="C53" s="7"/>
      <c r="D53" s="8"/>
      <c r="E53" s="9" t="s">
        <v>253</v>
      </c>
      <c r="F53" s="7"/>
      <c r="G53" s="10"/>
      <c r="H53" s="11"/>
      <c r="I53" s="12"/>
      <c r="J53" s="8"/>
      <c r="K53" s="13"/>
      <c r="L53" s="7"/>
      <c r="M53" s="14">
        <v>1</v>
      </c>
      <c r="N53" s="6"/>
      <c r="O53" s="15"/>
      <c r="P53" s="15"/>
      <c r="Q53" s="16"/>
      <c r="R53" s="15"/>
      <c r="S53" s="17"/>
      <c r="T53" s="15"/>
      <c r="U53" s="15"/>
      <c r="V53" s="15"/>
      <c r="W53" s="15"/>
    </row>
    <row r="54" spans="1:23">
      <c r="A54" s="6" t="s">
        <v>254</v>
      </c>
      <c r="B54" s="7" t="s">
        <v>255</v>
      </c>
      <c r="C54" s="7">
        <v>1.23</v>
      </c>
      <c r="D54" s="8">
        <v>0.015442</v>
      </c>
      <c r="E54" s="9" t="s">
        <v>256</v>
      </c>
      <c r="F54" s="7">
        <v>15649</v>
      </c>
      <c r="G54" s="10" t="s">
        <v>257</v>
      </c>
      <c r="H54" s="11" t="s">
        <v>93</v>
      </c>
      <c r="I54" s="12" t="s">
        <v>258</v>
      </c>
      <c r="J54" s="8">
        <v>13840</v>
      </c>
      <c r="K54" s="13" t="s">
        <v>145</v>
      </c>
      <c r="L54" s="7" t="s">
        <v>259</v>
      </c>
      <c r="M54" s="14">
        <v>1</v>
      </c>
      <c r="N54" s="6"/>
      <c r="O54" s="15"/>
      <c r="P54" s="15"/>
      <c r="Q54" s="16"/>
      <c r="R54" s="15"/>
      <c r="S54" s="17"/>
      <c r="T54" s="15"/>
      <c r="U54" s="15"/>
      <c r="V54" s="15"/>
      <c r="W54" s="15"/>
    </row>
    <row r="55" spans="1:23">
      <c r="A55" s="6"/>
      <c r="B55" s="7"/>
      <c r="C55" s="7"/>
      <c r="D55" s="8"/>
      <c r="E55" s="9" t="s">
        <v>260</v>
      </c>
      <c r="F55" s="7"/>
      <c r="G55" s="10"/>
      <c r="H55" s="11"/>
      <c r="I55" s="12"/>
      <c r="J55" s="8"/>
      <c r="K55" s="13"/>
      <c r="L55" s="7"/>
      <c r="M55" s="14">
        <v>2</v>
      </c>
      <c r="N55" s="6"/>
      <c r="O55" s="15"/>
      <c r="P55" s="15"/>
      <c r="Q55" s="16"/>
      <c r="R55" s="15"/>
      <c r="S55" s="17"/>
      <c r="T55" s="15"/>
      <c r="U55" s="15"/>
      <c r="V55" s="15"/>
      <c r="W55" s="15"/>
    </row>
    <row r="56" spans="1:23">
      <c r="A56" s="6"/>
      <c r="B56" s="7"/>
      <c r="C56" s="7"/>
      <c r="D56" s="8"/>
      <c r="E56" s="9" t="s">
        <v>261</v>
      </c>
      <c r="F56" s="7"/>
      <c r="G56" s="10"/>
      <c r="H56" s="11"/>
      <c r="I56" s="12"/>
      <c r="J56" s="8"/>
      <c r="K56" s="13"/>
      <c r="L56" s="7"/>
      <c r="M56" s="14">
        <v>1</v>
      </c>
      <c r="N56" s="6"/>
      <c r="O56" s="15"/>
      <c r="P56" s="15"/>
      <c r="Q56" s="16"/>
      <c r="R56" s="15"/>
      <c r="S56" s="17"/>
      <c r="T56" s="15"/>
      <c r="U56" s="15"/>
      <c r="V56" s="15"/>
      <c r="W56" s="15"/>
    </row>
    <row r="57" spans="1:23">
      <c r="A57" s="6" t="s">
        <v>262</v>
      </c>
      <c r="B57" s="7" t="s">
        <v>263</v>
      </c>
      <c r="C57" s="7">
        <v>2.23</v>
      </c>
      <c r="D57" s="8">
        <v>0.007237</v>
      </c>
      <c r="E57" s="9" t="s">
        <v>264</v>
      </c>
      <c r="F57" s="7">
        <v>16693</v>
      </c>
      <c r="G57" s="10" t="s">
        <v>265</v>
      </c>
      <c r="H57" s="11" t="s">
        <v>93</v>
      </c>
      <c r="I57" s="12" t="s">
        <v>266</v>
      </c>
      <c r="J57" s="8">
        <v>16432</v>
      </c>
      <c r="K57" s="13" t="s">
        <v>95</v>
      </c>
      <c r="L57" s="7" t="s">
        <v>267</v>
      </c>
      <c r="M57" s="14">
        <v>1</v>
      </c>
      <c r="N57" s="6"/>
      <c r="O57" s="15"/>
      <c r="P57" s="15"/>
      <c r="Q57" s="16"/>
      <c r="R57" s="15"/>
      <c r="S57" s="17"/>
      <c r="T57" s="15"/>
      <c r="U57" s="15"/>
      <c r="V57" s="15"/>
      <c r="W57" s="15"/>
    </row>
    <row r="58" spans="1:23">
      <c r="A58" s="6"/>
      <c r="B58" s="7"/>
      <c r="C58" s="7"/>
      <c r="D58" s="8"/>
      <c r="E58" s="9" t="s">
        <v>268</v>
      </c>
      <c r="F58" s="7"/>
      <c r="G58" s="10"/>
      <c r="H58" s="11"/>
      <c r="I58" s="12"/>
      <c r="J58" s="8"/>
      <c r="K58" s="13"/>
      <c r="L58" s="7"/>
      <c r="M58" s="14">
        <v>1</v>
      </c>
      <c r="N58" s="6"/>
      <c r="O58" s="15"/>
      <c r="P58" s="15"/>
      <c r="Q58" s="16"/>
      <c r="R58" s="15"/>
      <c r="S58" s="17"/>
      <c r="T58" s="15"/>
      <c r="U58" s="15"/>
      <c r="V58" s="15"/>
      <c r="W58" s="15"/>
    </row>
    <row r="59" spans="1:23">
      <c r="A59" s="6"/>
      <c r="B59" s="7"/>
      <c r="C59" s="7"/>
      <c r="D59" s="8"/>
      <c r="E59" s="9" t="s">
        <v>269</v>
      </c>
      <c r="F59" s="7"/>
      <c r="G59" s="10"/>
      <c r="H59" s="11"/>
      <c r="I59" s="12"/>
      <c r="J59" s="8"/>
      <c r="K59" s="13"/>
      <c r="L59" s="7"/>
      <c r="M59" s="14">
        <v>1</v>
      </c>
      <c r="N59" s="6"/>
      <c r="O59" s="15"/>
      <c r="P59" s="15"/>
      <c r="Q59" s="16"/>
      <c r="R59" s="15"/>
      <c r="S59" s="17"/>
      <c r="T59" s="15"/>
      <c r="U59" s="15"/>
      <c r="V59" s="15"/>
      <c r="W59" s="15"/>
    </row>
    <row r="60" spans="1:23">
      <c r="A60" s="6" t="s">
        <v>270</v>
      </c>
      <c r="B60" s="7" t="s">
        <v>271</v>
      </c>
      <c r="C60" s="7">
        <v>1.04</v>
      </c>
      <c r="D60" s="8">
        <v>0.003174</v>
      </c>
      <c r="E60" s="9" t="s">
        <v>272</v>
      </c>
      <c r="F60" s="7">
        <v>7952</v>
      </c>
      <c r="G60" s="10" t="s">
        <v>272</v>
      </c>
      <c r="H60" s="11" t="s">
        <v>93</v>
      </c>
      <c r="I60" s="16" t="s">
        <v>273</v>
      </c>
      <c r="J60" s="8">
        <v>16462</v>
      </c>
      <c r="K60" s="13" t="s">
        <v>95</v>
      </c>
      <c r="L60" s="7" t="s">
        <v>274</v>
      </c>
      <c r="M60" s="14">
        <v>1</v>
      </c>
      <c r="N60" s="6"/>
      <c r="O60" s="15"/>
      <c r="P60" s="15"/>
      <c r="Q60" s="16"/>
      <c r="R60" s="15"/>
      <c r="S60" s="17"/>
      <c r="T60" s="15"/>
      <c r="U60" s="15"/>
      <c r="V60" s="15"/>
      <c r="W60" s="15"/>
    </row>
    <row r="61" spans="1:23">
      <c r="A61" s="6" t="s">
        <v>275</v>
      </c>
      <c r="B61" s="7" t="s">
        <v>276</v>
      </c>
      <c r="C61" s="7">
        <v>0.79</v>
      </c>
      <c r="D61" s="8">
        <v>0.00422</v>
      </c>
      <c r="E61" s="9" t="s">
        <v>277</v>
      </c>
      <c r="F61" s="7">
        <v>4082</v>
      </c>
      <c r="G61" s="10" t="s">
        <v>278</v>
      </c>
      <c r="H61" s="11" t="s">
        <v>93</v>
      </c>
      <c r="I61" s="12" t="s">
        <v>279</v>
      </c>
      <c r="J61" s="8">
        <v>17412</v>
      </c>
      <c r="K61" s="13" t="s">
        <v>195</v>
      </c>
      <c r="L61" s="7" t="s">
        <v>280</v>
      </c>
      <c r="M61" s="14">
        <v>1</v>
      </c>
      <c r="N61" s="6"/>
      <c r="O61" s="15"/>
      <c r="P61" s="15"/>
      <c r="Q61" s="16"/>
      <c r="R61" s="15"/>
      <c r="S61" s="17"/>
      <c r="T61" s="15"/>
      <c r="U61" s="15"/>
      <c r="V61" s="15"/>
      <c r="W61" s="15"/>
    </row>
    <row r="62" spans="1:23">
      <c r="A62" s="6"/>
      <c r="B62" s="7"/>
      <c r="C62" s="7"/>
      <c r="D62" s="8"/>
      <c r="E62" s="9" t="s">
        <v>281</v>
      </c>
      <c r="F62" s="7"/>
      <c r="G62" s="10"/>
      <c r="H62" s="11"/>
      <c r="I62" s="12"/>
      <c r="J62" s="8"/>
      <c r="K62" s="13"/>
      <c r="L62" s="7"/>
      <c r="M62" s="14">
        <v>1</v>
      </c>
      <c r="N62" s="6"/>
      <c r="O62" s="15"/>
      <c r="P62" s="15"/>
      <c r="Q62" s="16"/>
      <c r="R62" s="15"/>
      <c r="S62" s="17"/>
      <c r="T62" s="15"/>
      <c r="U62" s="15"/>
      <c r="V62" s="15"/>
      <c r="W62" s="15"/>
    </row>
    <row r="63" spans="1:23">
      <c r="A63" s="6" t="s">
        <v>282</v>
      </c>
      <c r="B63" s="7" t="s">
        <v>283</v>
      </c>
      <c r="C63" s="7">
        <v>2.07</v>
      </c>
      <c r="D63" s="8">
        <v>0.00679</v>
      </c>
      <c r="E63" s="9" t="s">
        <v>284</v>
      </c>
      <c r="F63" s="7">
        <v>2080</v>
      </c>
      <c r="G63" s="10" t="s">
        <v>285</v>
      </c>
      <c r="H63" s="11" t="s">
        <v>93</v>
      </c>
      <c r="I63" s="12" t="s">
        <v>286</v>
      </c>
      <c r="J63" s="8">
        <v>16425</v>
      </c>
      <c r="K63" s="13" t="s">
        <v>95</v>
      </c>
      <c r="L63" s="7" t="s">
        <v>287</v>
      </c>
      <c r="M63" s="14">
        <v>1</v>
      </c>
      <c r="N63" s="6"/>
      <c r="O63" s="15"/>
      <c r="P63" s="15"/>
      <c r="Q63" s="16"/>
      <c r="R63" s="15"/>
      <c r="S63" s="17"/>
      <c r="T63" s="15"/>
      <c r="U63" s="15"/>
      <c r="V63" s="15"/>
      <c r="W63" s="15"/>
    </row>
    <row r="64" spans="1:23">
      <c r="A64" s="6"/>
      <c r="B64" s="7"/>
      <c r="C64" s="7"/>
      <c r="D64" s="8"/>
      <c r="E64" s="9" t="s">
        <v>288</v>
      </c>
      <c r="F64" s="7"/>
      <c r="G64" s="10"/>
      <c r="H64" s="11"/>
      <c r="I64" s="12"/>
      <c r="J64" s="8"/>
      <c r="K64" s="13"/>
      <c r="L64" s="7"/>
      <c r="M64" s="14">
        <v>1</v>
      </c>
      <c r="N64" s="6"/>
      <c r="O64" s="15"/>
      <c r="P64" s="15"/>
      <c r="Q64" s="16"/>
      <c r="R64" s="15"/>
      <c r="S64" s="17"/>
      <c r="T64" s="15"/>
      <c r="U64" s="15"/>
      <c r="V64" s="15"/>
      <c r="W64" s="15"/>
    </row>
    <row r="65" spans="1:23">
      <c r="A65" s="6" t="s">
        <v>289</v>
      </c>
      <c r="B65" s="7" t="s">
        <v>290</v>
      </c>
      <c r="C65" s="7">
        <v>1.83</v>
      </c>
      <c r="D65" s="8">
        <v>0.005767</v>
      </c>
      <c r="E65" s="9" t="s">
        <v>291</v>
      </c>
      <c r="F65" s="7">
        <v>12478</v>
      </c>
      <c r="G65" s="10" t="s">
        <v>292</v>
      </c>
      <c r="H65" s="11" t="s">
        <v>93</v>
      </c>
      <c r="I65" s="12" t="s">
        <v>293</v>
      </c>
      <c r="J65" s="8">
        <v>16421</v>
      </c>
      <c r="K65" s="13" t="s">
        <v>95</v>
      </c>
      <c r="L65" s="7" t="s">
        <v>294</v>
      </c>
      <c r="M65" s="14">
        <v>1</v>
      </c>
      <c r="N65" s="6"/>
      <c r="O65" s="15"/>
      <c r="P65" s="15"/>
      <c r="Q65" s="16"/>
      <c r="R65" s="15"/>
      <c r="S65" s="17"/>
      <c r="T65" s="15"/>
      <c r="U65" s="15"/>
      <c r="V65" s="15"/>
      <c r="W65" s="15"/>
    </row>
    <row r="66" spans="1:23">
      <c r="A66" s="6"/>
      <c r="B66" s="7"/>
      <c r="C66" s="7"/>
      <c r="D66" s="8"/>
      <c r="E66" s="9" t="s">
        <v>295</v>
      </c>
      <c r="F66" s="7"/>
      <c r="G66" s="10"/>
      <c r="H66" s="11"/>
      <c r="I66" s="12"/>
      <c r="J66" s="8"/>
      <c r="K66" s="13"/>
      <c r="L66" s="7"/>
      <c r="M66" s="14">
        <v>1</v>
      </c>
      <c r="N66" s="6"/>
      <c r="O66" s="15"/>
      <c r="P66" s="15"/>
      <c r="Q66" s="16"/>
      <c r="R66" s="15"/>
      <c r="S66" s="17"/>
      <c r="T66" s="15"/>
      <c r="U66" s="15"/>
      <c r="V66" s="15"/>
      <c r="W66" s="15"/>
    </row>
    <row r="67" spans="1:23">
      <c r="A67" s="6"/>
      <c r="B67" s="7"/>
      <c r="C67" s="7"/>
      <c r="D67" s="8"/>
      <c r="E67" s="9" t="s">
        <v>296</v>
      </c>
      <c r="F67" s="7"/>
      <c r="G67" s="10"/>
      <c r="H67" s="11"/>
      <c r="I67" s="12"/>
      <c r="J67" s="8"/>
      <c r="K67" s="13"/>
      <c r="L67" s="7"/>
      <c r="M67" s="14">
        <v>1</v>
      </c>
      <c r="N67" s="6"/>
      <c r="O67" s="15"/>
      <c r="P67" s="15"/>
      <c r="Q67" s="16"/>
      <c r="R67" s="15"/>
      <c r="S67" s="17"/>
      <c r="T67" s="15"/>
      <c r="U67" s="15"/>
      <c r="V67" s="15"/>
      <c r="W67" s="15"/>
    </row>
    <row r="68" spans="1:23">
      <c r="A68" s="6" t="s">
        <v>297</v>
      </c>
      <c r="B68" s="7" t="s">
        <v>298</v>
      </c>
      <c r="C68" s="7">
        <v>4.88</v>
      </c>
      <c r="D68" s="8">
        <v>0.008237</v>
      </c>
      <c r="E68" s="9" t="s">
        <v>299</v>
      </c>
      <c r="F68" s="7">
        <v>12602</v>
      </c>
      <c r="G68" s="10" t="s">
        <v>299</v>
      </c>
      <c r="H68" s="11" t="s">
        <v>93</v>
      </c>
      <c r="I68" s="12" t="s">
        <v>300</v>
      </c>
      <c r="J68" s="8">
        <v>17433</v>
      </c>
      <c r="K68" s="13" t="s">
        <v>195</v>
      </c>
      <c r="L68" s="7" t="s">
        <v>301</v>
      </c>
      <c r="M68" s="14">
        <v>1</v>
      </c>
      <c r="N68" s="6"/>
      <c r="O68" s="15"/>
      <c r="P68" s="15"/>
      <c r="Q68" s="16"/>
      <c r="R68" s="15"/>
      <c r="S68" s="17"/>
      <c r="T68" s="15"/>
      <c r="U68" s="15"/>
      <c r="V68" s="15"/>
      <c r="W68" s="15"/>
    </row>
    <row r="69" spans="1:23">
      <c r="A69" s="6" t="s">
        <v>302</v>
      </c>
      <c r="B69" s="7" t="s">
        <v>303</v>
      </c>
      <c r="C69" s="7">
        <v>0.03</v>
      </c>
      <c r="D69" s="8">
        <v>0.000189</v>
      </c>
      <c r="E69" s="9" t="s">
        <v>304</v>
      </c>
      <c r="F69" s="7">
        <v>4</v>
      </c>
      <c r="G69" s="10" t="s">
        <v>304</v>
      </c>
      <c r="H69" s="11" t="s">
        <v>93</v>
      </c>
      <c r="I69" s="12" t="s">
        <v>305</v>
      </c>
      <c r="J69" s="8">
        <v>17412</v>
      </c>
      <c r="K69" s="13" t="s">
        <v>195</v>
      </c>
      <c r="L69" s="7" t="s">
        <v>306</v>
      </c>
      <c r="M69" s="14">
        <v>1</v>
      </c>
      <c r="N69" s="6"/>
      <c r="O69" s="15"/>
      <c r="P69" s="15"/>
      <c r="Q69" s="16"/>
      <c r="R69" s="15"/>
      <c r="S69" s="17"/>
      <c r="T69" s="15"/>
      <c r="U69" s="15"/>
      <c r="V69" s="15"/>
      <c r="W69" s="15"/>
    </row>
    <row r="70" spans="1:23">
      <c r="A70" s="6" t="s">
        <v>307</v>
      </c>
      <c r="B70" s="7" t="s">
        <v>308</v>
      </c>
      <c r="C70" s="7">
        <v>8.93</v>
      </c>
      <c r="D70" s="8">
        <v>0.045845</v>
      </c>
      <c r="E70" s="9" t="s">
        <v>309</v>
      </c>
      <c r="F70" s="7">
        <v>1113</v>
      </c>
      <c r="G70" s="10" t="s">
        <v>310</v>
      </c>
      <c r="H70" s="11" t="s">
        <v>93</v>
      </c>
      <c r="I70" s="12" t="s">
        <v>311</v>
      </c>
      <c r="J70" s="8">
        <v>16414</v>
      </c>
      <c r="K70" s="13" t="s">
        <v>95</v>
      </c>
      <c r="L70" s="7" t="s">
        <v>312</v>
      </c>
      <c r="M70" s="14">
        <v>2</v>
      </c>
      <c r="N70" s="6"/>
      <c r="O70" s="15"/>
      <c r="P70" s="15"/>
      <c r="Q70" s="16"/>
      <c r="R70" s="15"/>
      <c r="S70" s="17"/>
      <c r="T70" s="15"/>
      <c r="U70" s="15"/>
      <c r="V70" s="15"/>
      <c r="W70" s="15"/>
    </row>
    <row r="71" spans="1:23">
      <c r="A71" s="6"/>
      <c r="B71" s="7"/>
      <c r="C71" s="7"/>
      <c r="D71" s="8"/>
      <c r="E71" s="9" t="s">
        <v>313</v>
      </c>
      <c r="F71" s="7"/>
      <c r="G71" s="10"/>
      <c r="H71" s="11"/>
      <c r="I71" s="12"/>
      <c r="J71" s="8"/>
      <c r="K71" s="13"/>
      <c r="L71" s="7"/>
      <c r="M71" s="14">
        <v>1</v>
      </c>
      <c r="N71" s="6"/>
      <c r="O71" s="15"/>
      <c r="P71" s="15"/>
      <c r="Q71" s="16"/>
      <c r="R71" s="15"/>
      <c r="S71" s="17"/>
      <c r="T71" s="15"/>
      <c r="U71" s="15"/>
      <c r="V71" s="15"/>
      <c r="W71" s="15"/>
    </row>
    <row r="72" spans="1:23">
      <c r="A72" s="6"/>
      <c r="B72" s="7"/>
      <c r="C72" s="7"/>
      <c r="D72" s="8"/>
      <c r="E72" s="9" t="s">
        <v>314</v>
      </c>
      <c r="F72" s="7"/>
      <c r="G72" s="10"/>
      <c r="H72" s="11"/>
      <c r="I72" s="12"/>
      <c r="J72" s="8"/>
      <c r="K72" s="13"/>
      <c r="L72" s="7"/>
      <c r="M72" s="14">
        <v>1</v>
      </c>
      <c r="N72" s="6"/>
      <c r="O72" s="15"/>
      <c r="P72" s="15"/>
      <c r="Q72" s="16"/>
      <c r="R72" s="15"/>
      <c r="S72" s="17"/>
      <c r="T72" s="15"/>
      <c r="U72" s="15"/>
      <c r="V72" s="15"/>
      <c r="W72" s="15"/>
    </row>
    <row r="73" spans="1:23">
      <c r="A73" s="6" t="s">
        <v>315</v>
      </c>
      <c r="B73" s="7" t="s">
        <v>316</v>
      </c>
      <c r="C73" s="7">
        <v>0.71</v>
      </c>
      <c r="D73" s="8">
        <v>0.002318</v>
      </c>
      <c r="E73" s="9" t="s">
        <v>317</v>
      </c>
      <c r="F73" s="7">
        <v>1474</v>
      </c>
      <c r="G73" s="10" t="s">
        <v>317</v>
      </c>
      <c r="H73" s="11" t="s">
        <v>93</v>
      </c>
      <c r="I73" s="12" t="s">
        <v>318</v>
      </c>
      <c r="J73" s="8">
        <v>17424</v>
      </c>
      <c r="K73" s="13" t="s">
        <v>195</v>
      </c>
      <c r="L73" s="7" t="s">
        <v>319</v>
      </c>
      <c r="M73" s="14">
        <v>1</v>
      </c>
      <c r="N73" s="6"/>
      <c r="O73" s="15"/>
      <c r="P73" s="15"/>
      <c r="Q73" s="16"/>
      <c r="R73" s="15"/>
      <c r="S73" s="17"/>
      <c r="T73" s="15"/>
      <c r="U73" s="15"/>
      <c r="V73" s="15"/>
      <c r="W73" s="15"/>
    </row>
    <row r="74" spans="1:23">
      <c r="A74" s="6" t="s">
        <v>320</v>
      </c>
      <c r="B74" s="7" t="s">
        <v>321</v>
      </c>
      <c r="C74" s="7">
        <v>3.02</v>
      </c>
      <c r="D74" s="8">
        <v>0.00836</v>
      </c>
      <c r="E74" s="9" t="s">
        <v>322</v>
      </c>
      <c r="F74" s="7">
        <v>13059</v>
      </c>
      <c r="G74" s="10" t="s">
        <v>323</v>
      </c>
      <c r="H74" s="11" t="s">
        <v>93</v>
      </c>
      <c r="I74" s="12" t="s">
        <v>324</v>
      </c>
      <c r="J74" s="8">
        <v>17414</v>
      </c>
      <c r="K74" s="13" t="s">
        <v>195</v>
      </c>
      <c r="L74" s="7" t="s">
        <v>325</v>
      </c>
      <c r="M74" s="14">
        <v>1</v>
      </c>
      <c r="N74" s="6"/>
      <c r="O74" s="15"/>
      <c r="P74" s="15"/>
      <c r="Q74" s="16"/>
      <c r="R74" s="15"/>
      <c r="S74" s="17"/>
      <c r="T74" s="15"/>
      <c r="U74" s="15"/>
      <c r="V74" s="15"/>
      <c r="W74" s="15"/>
    </row>
    <row r="75" spans="1:23">
      <c r="A75" s="6"/>
      <c r="B75" s="7"/>
      <c r="C75" s="7"/>
      <c r="D75" s="8"/>
      <c r="E75" s="9" t="s">
        <v>326</v>
      </c>
      <c r="F75" s="7"/>
      <c r="G75" s="10"/>
      <c r="H75" s="11"/>
      <c r="I75" s="12"/>
      <c r="J75" s="8"/>
      <c r="K75" s="13"/>
      <c r="L75" s="7"/>
      <c r="M75" s="14">
        <v>1</v>
      </c>
      <c r="N75" s="6"/>
      <c r="O75" s="15"/>
      <c r="P75" s="15"/>
      <c r="Q75" s="16"/>
      <c r="R75" s="15"/>
      <c r="S75" s="17"/>
      <c r="T75" s="15"/>
      <c r="U75" s="15"/>
      <c r="V75" s="15"/>
      <c r="W75" s="15"/>
    </row>
    <row r="76" spans="1:23">
      <c r="A76" s="6"/>
      <c r="B76" s="7"/>
      <c r="C76" s="7"/>
      <c r="D76" s="8"/>
      <c r="E76" s="9" t="s">
        <v>327</v>
      </c>
      <c r="F76" s="7"/>
      <c r="G76" s="10"/>
      <c r="H76" s="11"/>
      <c r="I76" s="12"/>
      <c r="J76" s="8"/>
      <c r="K76" s="13"/>
      <c r="L76" s="7"/>
      <c r="M76" s="14">
        <v>1</v>
      </c>
      <c r="N76" s="6"/>
      <c r="O76" s="15"/>
      <c r="P76" s="15"/>
      <c r="Q76" s="16"/>
      <c r="R76" s="15"/>
      <c r="S76" s="17"/>
      <c r="T76" s="15"/>
      <c r="U76" s="15"/>
      <c r="V76" s="15"/>
      <c r="W76" s="15"/>
    </row>
    <row r="77" spans="1:23">
      <c r="A77" s="6" t="s">
        <v>328</v>
      </c>
      <c r="B77" s="7" t="s">
        <v>329</v>
      </c>
      <c r="C77" s="7">
        <v>0.85</v>
      </c>
      <c r="D77" s="8">
        <v>0.00165</v>
      </c>
      <c r="E77" s="9" t="s">
        <v>330</v>
      </c>
      <c r="F77" s="7">
        <v>8254</v>
      </c>
      <c r="G77" s="10" t="s">
        <v>330</v>
      </c>
      <c r="H77" s="11" t="s">
        <v>93</v>
      </c>
      <c r="I77" s="12" t="s">
        <v>331</v>
      </c>
      <c r="J77" s="8">
        <v>16434</v>
      </c>
      <c r="K77" s="13" t="s">
        <v>95</v>
      </c>
      <c r="L77" s="7" t="s">
        <v>332</v>
      </c>
      <c r="M77" s="14">
        <v>1</v>
      </c>
      <c r="N77" s="6"/>
      <c r="O77" s="15"/>
      <c r="P77" s="15"/>
      <c r="Q77" s="16"/>
      <c r="R77" s="15"/>
      <c r="S77" s="17"/>
      <c r="T77" s="15"/>
      <c r="U77" s="15"/>
      <c r="V77" s="15"/>
      <c r="W77" s="15"/>
    </row>
    <row r="78" spans="1:23">
      <c r="A78" s="6" t="s">
        <v>333</v>
      </c>
      <c r="B78" s="7" t="s">
        <v>334</v>
      </c>
      <c r="C78" s="7">
        <v>2.17</v>
      </c>
      <c r="D78" s="8">
        <v>0.009005</v>
      </c>
      <c r="E78" s="9" t="s">
        <v>335</v>
      </c>
      <c r="F78" s="7">
        <v>9208</v>
      </c>
      <c r="G78" s="10" t="s">
        <v>335</v>
      </c>
      <c r="H78" s="11" t="s">
        <v>93</v>
      </c>
      <c r="I78" s="12" t="s">
        <v>336</v>
      </c>
      <c r="J78" s="8">
        <v>16435</v>
      </c>
      <c r="K78" s="13" t="s">
        <v>95</v>
      </c>
      <c r="L78" s="7" t="s">
        <v>337</v>
      </c>
      <c r="M78" s="14">
        <v>1</v>
      </c>
      <c r="N78" s="6"/>
      <c r="O78" s="15"/>
      <c r="P78" s="15"/>
      <c r="Q78" s="16"/>
      <c r="R78" s="15"/>
      <c r="S78" s="17"/>
      <c r="T78" s="15"/>
      <c r="U78" s="15"/>
      <c r="V78" s="15"/>
      <c r="W78" s="15"/>
    </row>
    <row r="79" spans="1:23">
      <c r="A79" s="6" t="s">
        <v>338</v>
      </c>
      <c r="B79" s="7" t="s">
        <v>339</v>
      </c>
      <c r="C79" s="7">
        <v>6.83</v>
      </c>
      <c r="D79" s="8">
        <v>0.017522</v>
      </c>
      <c r="E79" s="9" t="s">
        <v>340</v>
      </c>
      <c r="F79" s="7">
        <v>13426</v>
      </c>
      <c r="G79" s="10" t="s">
        <v>341</v>
      </c>
      <c r="H79" s="11" t="s">
        <v>93</v>
      </c>
      <c r="I79" s="12" t="s">
        <v>342</v>
      </c>
      <c r="J79" s="8">
        <v>16413</v>
      </c>
      <c r="K79" s="13" t="s">
        <v>95</v>
      </c>
      <c r="L79" s="7" t="s">
        <v>343</v>
      </c>
      <c r="M79" s="14">
        <v>1</v>
      </c>
      <c r="N79" s="6"/>
      <c r="O79" s="15"/>
      <c r="P79" s="15"/>
      <c r="Q79" s="16"/>
      <c r="R79" s="15"/>
      <c r="S79" s="17"/>
      <c r="T79" s="15"/>
      <c r="U79" s="15"/>
      <c r="V79" s="15"/>
      <c r="W79" s="15"/>
    </row>
    <row r="80" spans="1:23">
      <c r="A80" s="6"/>
      <c r="B80" s="7"/>
      <c r="C80" s="7"/>
      <c r="D80" s="8"/>
      <c r="E80" s="9" t="s">
        <v>344</v>
      </c>
      <c r="F80" s="7"/>
      <c r="G80" s="10"/>
      <c r="H80" s="11"/>
      <c r="I80" s="12"/>
      <c r="J80" s="8"/>
      <c r="K80" s="13"/>
      <c r="L80" s="7"/>
      <c r="M80" s="14">
        <v>2</v>
      </c>
      <c r="N80" s="6"/>
      <c r="O80" s="15"/>
      <c r="P80" s="15"/>
      <c r="Q80" s="16"/>
      <c r="R80" s="15"/>
      <c r="S80" s="17"/>
      <c r="T80" s="15"/>
      <c r="U80" s="15"/>
      <c r="V80" s="15"/>
      <c r="W80" s="15"/>
    </row>
    <row r="81" spans="1:23">
      <c r="A81" s="6" t="s">
        <v>345</v>
      </c>
      <c r="B81" s="7" t="s">
        <v>346</v>
      </c>
      <c r="C81" s="7">
        <v>1.96</v>
      </c>
      <c r="D81" s="8">
        <v>0.006878</v>
      </c>
      <c r="E81" s="9" t="s">
        <v>347</v>
      </c>
      <c r="F81" s="7">
        <v>536</v>
      </c>
      <c r="G81" s="10" t="s">
        <v>348</v>
      </c>
      <c r="H81" s="11" t="s">
        <v>93</v>
      </c>
      <c r="I81" s="12" t="s">
        <v>349</v>
      </c>
      <c r="J81" s="8">
        <v>16436</v>
      </c>
      <c r="K81" s="13" t="s">
        <v>95</v>
      </c>
      <c r="L81" s="7" t="s">
        <v>350</v>
      </c>
      <c r="M81" s="14">
        <v>1</v>
      </c>
      <c r="N81" s="6"/>
      <c r="O81" s="15"/>
      <c r="P81" s="15"/>
      <c r="Q81" s="16"/>
      <c r="R81" s="15"/>
      <c r="S81" s="17"/>
      <c r="T81" s="15"/>
      <c r="U81" s="15"/>
      <c r="V81" s="15"/>
      <c r="W81" s="15"/>
    </row>
    <row r="82" spans="1:23">
      <c r="A82" s="6"/>
      <c r="B82" s="7"/>
      <c r="C82" s="7"/>
      <c r="D82" s="8"/>
      <c r="E82" s="9" t="s">
        <v>351</v>
      </c>
      <c r="F82" s="7"/>
      <c r="G82" s="10"/>
      <c r="H82" s="11"/>
      <c r="I82" s="12"/>
      <c r="J82" s="8"/>
      <c r="K82" s="13"/>
      <c r="L82" s="7"/>
      <c r="M82" s="14">
        <v>1</v>
      </c>
      <c r="N82" s="6"/>
      <c r="O82" s="15"/>
      <c r="P82" s="15"/>
      <c r="Q82" s="16"/>
      <c r="R82" s="15"/>
      <c r="S82" s="17"/>
      <c r="T82" s="15"/>
      <c r="U82" s="15"/>
      <c r="V82" s="15"/>
      <c r="W82" s="15"/>
    </row>
    <row r="83" spans="1:23">
      <c r="A83" s="6"/>
      <c r="B83" s="7"/>
      <c r="C83" s="7"/>
      <c r="D83" s="8"/>
      <c r="E83" s="9" t="s">
        <v>352</v>
      </c>
      <c r="F83" s="7"/>
      <c r="G83" s="10"/>
      <c r="H83" s="11"/>
      <c r="I83" s="12"/>
      <c r="J83" s="8"/>
      <c r="K83" s="13"/>
      <c r="L83" s="7"/>
      <c r="M83" s="14">
        <v>1</v>
      </c>
      <c r="N83" s="6"/>
      <c r="O83" s="15"/>
      <c r="P83" s="15"/>
      <c r="Q83" s="16"/>
      <c r="R83" s="15"/>
      <c r="S83" s="17"/>
      <c r="T83" s="15"/>
      <c r="U83" s="15"/>
      <c r="V83" s="15"/>
      <c r="W83" s="15"/>
    </row>
    <row r="84" spans="1:23">
      <c r="A84" s="6"/>
      <c r="B84" s="7"/>
      <c r="C84" s="7"/>
      <c r="D84" s="8"/>
      <c r="E84" s="9" t="s">
        <v>353</v>
      </c>
      <c r="F84" s="7"/>
      <c r="G84" s="10"/>
      <c r="H84" s="11"/>
      <c r="I84" s="12"/>
      <c r="J84" s="8"/>
      <c r="K84" s="13"/>
      <c r="L84" s="7"/>
      <c r="M84" s="14">
        <v>1</v>
      </c>
      <c r="N84" s="6"/>
      <c r="O84" s="15"/>
      <c r="P84" s="15"/>
      <c r="Q84" s="16"/>
      <c r="R84" s="15"/>
      <c r="S84" s="17"/>
      <c r="T84" s="15"/>
      <c r="U84" s="15"/>
      <c r="V84" s="15"/>
      <c r="W84" s="15"/>
    </row>
    <row r="85" spans="1:23">
      <c r="A85" s="6" t="s">
        <v>354</v>
      </c>
      <c r="B85" s="7" t="s">
        <v>355</v>
      </c>
      <c r="C85" s="7">
        <v>1.39</v>
      </c>
      <c r="D85" s="8">
        <v>0.0045</v>
      </c>
      <c r="E85" s="9" t="s">
        <v>356</v>
      </c>
      <c r="F85" s="7">
        <v>16776</v>
      </c>
      <c r="G85" s="10" t="s">
        <v>357</v>
      </c>
      <c r="H85" s="11" t="s">
        <v>93</v>
      </c>
      <c r="I85" s="12" t="s">
        <v>358</v>
      </c>
      <c r="J85" s="8">
        <v>16517</v>
      </c>
      <c r="K85" s="13" t="s">
        <v>95</v>
      </c>
      <c r="L85" s="7" t="s">
        <v>359</v>
      </c>
      <c r="M85" s="14">
        <v>1</v>
      </c>
      <c r="N85" s="6"/>
      <c r="O85" s="15"/>
      <c r="P85" s="15"/>
      <c r="Q85" s="16"/>
      <c r="R85" s="15"/>
      <c r="S85" s="17"/>
      <c r="T85" s="15"/>
      <c r="U85" s="15"/>
      <c r="V85" s="15"/>
      <c r="W85" s="15"/>
    </row>
    <row r="86" spans="1:23">
      <c r="A86" s="6"/>
      <c r="B86" s="7"/>
      <c r="C86" s="7"/>
      <c r="D86" s="8"/>
      <c r="E86" s="9" t="s">
        <v>360</v>
      </c>
      <c r="F86" s="7"/>
      <c r="G86" s="10"/>
      <c r="H86" s="11"/>
      <c r="I86" s="12"/>
      <c r="J86" s="8"/>
      <c r="K86" s="13"/>
      <c r="L86" s="7"/>
      <c r="M86" s="14">
        <v>1</v>
      </c>
      <c r="N86" s="6"/>
      <c r="O86" s="15"/>
      <c r="P86" s="15"/>
      <c r="Q86" s="16"/>
      <c r="R86" s="15"/>
      <c r="S86" s="17"/>
      <c r="T86" s="15"/>
      <c r="U86" s="15"/>
      <c r="V86" s="15"/>
      <c r="W86" s="15"/>
    </row>
    <row r="87" spans="1:23">
      <c r="A87" s="6" t="s">
        <v>361</v>
      </c>
      <c r="B87" s="7" t="s">
        <v>362</v>
      </c>
      <c r="C87" s="7">
        <v>3.03</v>
      </c>
      <c r="D87" s="8">
        <v>0.014947</v>
      </c>
      <c r="E87" s="9" t="s">
        <v>363</v>
      </c>
      <c r="F87" s="7">
        <v>12876</v>
      </c>
      <c r="G87" s="10" t="s">
        <v>364</v>
      </c>
      <c r="H87" s="11" t="s">
        <v>93</v>
      </c>
      <c r="I87" s="12" t="s">
        <v>365</v>
      </c>
      <c r="J87" s="8">
        <v>17431</v>
      </c>
      <c r="K87" s="13" t="s">
        <v>195</v>
      </c>
      <c r="L87" s="7" t="s">
        <v>366</v>
      </c>
      <c r="M87" s="14">
        <v>1</v>
      </c>
      <c r="N87" s="6"/>
      <c r="O87" s="15"/>
      <c r="P87" s="15"/>
      <c r="Q87" s="16"/>
      <c r="R87" s="15"/>
      <c r="S87" s="17"/>
      <c r="T87" s="15"/>
      <c r="U87" s="15"/>
      <c r="V87" s="15"/>
      <c r="W87" s="15"/>
    </row>
    <row r="88" spans="1:23">
      <c r="A88" s="6"/>
      <c r="B88" s="7"/>
      <c r="C88" s="7"/>
      <c r="D88" s="8"/>
      <c r="E88" s="9" t="s">
        <v>367</v>
      </c>
      <c r="F88" s="7"/>
      <c r="G88" s="10"/>
      <c r="H88" s="11"/>
      <c r="I88" s="12"/>
      <c r="J88" s="8"/>
      <c r="K88" s="13"/>
      <c r="L88" s="7"/>
      <c r="M88" s="14">
        <v>1</v>
      </c>
      <c r="N88" s="6"/>
      <c r="O88" s="15"/>
      <c r="P88" s="15"/>
      <c r="Q88" s="16"/>
      <c r="R88" s="15"/>
      <c r="S88" s="17"/>
      <c r="T88" s="15"/>
      <c r="U88" s="15"/>
      <c r="V88" s="15"/>
      <c r="W88" s="15"/>
    </row>
    <row r="89" spans="1:23">
      <c r="A89" s="6" t="s">
        <v>368</v>
      </c>
      <c r="B89" s="7" t="s">
        <v>369</v>
      </c>
      <c r="C89" s="7">
        <v>1.14</v>
      </c>
      <c r="D89" s="8">
        <v>0.002511</v>
      </c>
      <c r="E89" s="9" t="s">
        <v>370</v>
      </c>
      <c r="F89" s="7">
        <v>13718</v>
      </c>
      <c r="G89" s="10" t="s">
        <v>370</v>
      </c>
      <c r="H89" s="11" t="s">
        <v>93</v>
      </c>
      <c r="I89" s="12" t="s">
        <v>371</v>
      </c>
      <c r="J89" s="8">
        <v>16417</v>
      </c>
      <c r="K89" s="13" t="s">
        <v>95</v>
      </c>
      <c r="L89" s="7" t="s">
        <v>372</v>
      </c>
      <c r="M89" s="14">
        <v>1</v>
      </c>
      <c r="N89" s="6"/>
      <c r="O89" s="15"/>
      <c r="P89" s="15"/>
      <c r="Q89" s="16"/>
      <c r="R89" s="15"/>
      <c r="S89" s="17"/>
      <c r="T89" s="15"/>
      <c r="U89" s="15"/>
      <c r="V89" s="15"/>
      <c r="W89" s="15"/>
    </row>
    <row r="90" spans="1:23">
      <c r="A90" s="6" t="s">
        <v>373</v>
      </c>
      <c r="B90" s="7" t="s">
        <v>374</v>
      </c>
      <c r="C90" s="7">
        <v>44.71</v>
      </c>
      <c r="D90" s="8">
        <v>0.168549</v>
      </c>
      <c r="E90" s="9" t="s">
        <v>375</v>
      </c>
      <c r="F90" s="7">
        <v>2816</v>
      </c>
      <c r="G90" s="10" t="s">
        <v>376</v>
      </c>
      <c r="H90" s="11" t="s">
        <v>93</v>
      </c>
      <c r="I90" s="12" t="s">
        <v>377</v>
      </c>
      <c r="J90" s="8">
        <v>16517</v>
      </c>
      <c r="K90" s="13" t="s">
        <v>95</v>
      </c>
      <c r="L90" s="7" t="s">
        <v>378</v>
      </c>
      <c r="M90" s="14">
        <v>3</v>
      </c>
      <c r="N90" s="6"/>
      <c r="O90" s="15"/>
      <c r="P90" s="15"/>
      <c r="Q90" s="16"/>
      <c r="R90" s="15"/>
      <c r="S90" s="17"/>
      <c r="T90" s="15"/>
      <c r="U90" s="15"/>
      <c r="V90" s="15"/>
      <c r="W90" s="15"/>
    </row>
    <row r="91" spans="1:23">
      <c r="A91" s="6"/>
      <c r="B91" s="7"/>
      <c r="C91" s="7"/>
      <c r="D91" s="8"/>
      <c r="E91" s="9" t="s">
        <v>379</v>
      </c>
      <c r="F91" s="7"/>
      <c r="G91" s="10"/>
      <c r="H91" s="11"/>
      <c r="I91" s="12"/>
      <c r="J91" s="8"/>
      <c r="K91" s="13"/>
      <c r="L91" s="7"/>
      <c r="M91" s="14">
        <v>3</v>
      </c>
      <c r="N91" s="6"/>
      <c r="O91" s="15"/>
      <c r="P91" s="15"/>
      <c r="Q91" s="16"/>
      <c r="R91" s="15"/>
      <c r="S91" s="17"/>
      <c r="T91" s="15"/>
      <c r="U91" s="15"/>
      <c r="V91" s="15"/>
      <c r="W91" s="15"/>
    </row>
    <row r="92" spans="1:23">
      <c r="A92" s="6"/>
      <c r="B92" s="7"/>
      <c r="C92" s="7"/>
      <c r="D92" s="8"/>
      <c r="E92" s="9" t="s">
        <v>380</v>
      </c>
      <c r="F92" s="7"/>
      <c r="G92" s="10"/>
      <c r="H92" s="11"/>
      <c r="I92" s="12"/>
      <c r="J92" s="8"/>
      <c r="K92" s="13"/>
      <c r="L92" s="7"/>
      <c r="M92" s="14">
        <v>3</v>
      </c>
      <c r="N92" s="6"/>
      <c r="O92" s="15"/>
      <c r="P92" s="15"/>
      <c r="Q92" s="16"/>
      <c r="R92" s="15"/>
      <c r="S92" s="17"/>
      <c r="T92" s="15"/>
      <c r="U92" s="15"/>
      <c r="V92" s="15"/>
      <c r="W92" s="15"/>
    </row>
    <row r="93" spans="1:23">
      <c r="A93" s="6" t="s">
        <v>381</v>
      </c>
      <c r="B93" s="7" t="s">
        <v>382</v>
      </c>
      <c r="C93" s="7">
        <v>1.61</v>
      </c>
      <c r="D93" s="8">
        <v>0.006774</v>
      </c>
      <c r="E93" s="9" t="s">
        <v>383</v>
      </c>
      <c r="F93" s="7">
        <v>16017</v>
      </c>
      <c r="G93" s="10" t="s">
        <v>384</v>
      </c>
      <c r="H93" s="11" t="s">
        <v>93</v>
      </c>
      <c r="I93" s="12" t="s">
        <v>385</v>
      </c>
      <c r="J93" s="8">
        <v>16459</v>
      </c>
      <c r="K93" s="13" t="s">
        <v>95</v>
      </c>
      <c r="L93" s="7" t="s">
        <v>386</v>
      </c>
      <c r="M93" s="14">
        <v>1</v>
      </c>
      <c r="N93" s="6"/>
      <c r="O93" s="15"/>
      <c r="P93" s="15"/>
      <c r="Q93" s="16"/>
      <c r="R93" s="15"/>
      <c r="S93" s="17"/>
      <c r="T93" s="15"/>
      <c r="U93" s="15"/>
      <c r="V93" s="15"/>
      <c r="W93" s="15"/>
    </row>
    <row r="94" spans="1:23">
      <c r="A94" s="6"/>
      <c r="B94" s="7"/>
      <c r="C94" s="7"/>
      <c r="D94" s="8"/>
      <c r="E94" s="9" t="s">
        <v>387</v>
      </c>
      <c r="F94" s="7"/>
      <c r="G94" s="10"/>
      <c r="H94" s="11"/>
      <c r="I94" s="12"/>
      <c r="J94" s="8"/>
      <c r="K94" s="13"/>
      <c r="L94" s="7"/>
      <c r="M94" s="14">
        <v>1</v>
      </c>
      <c r="N94" s="6"/>
      <c r="O94" s="15"/>
      <c r="P94" s="15"/>
      <c r="Q94" s="16"/>
      <c r="R94" s="15"/>
      <c r="S94" s="17"/>
      <c r="T94" s="15"/>
      <c r="U94" s="15"/>
      <c r="V94" s="15"/>
      <c r="W94" s="15"/>
    </row>
    <row r="95" spans="1:23">
      <c r="A95" s="6" t="s">
        <v>388</v>
      </c>
      <c r="B95" s="7" t="s">
        <v>389</v>
      </c>
      <c r="C95" s="7">
        <v>1.67</v>
      </c>
      <c r="D95" s="8">
        <v>0.004194</v>
      </c>
      <c r="E95" s="9" t="s">
        <v>390</v>
      </c>
      <c r="F95" s="7">
        <v>2333</v>
      </c>
      <c r="G95" s="10" t="s">
        <v>391</v>
      </c>
      <c r="H95" s="11" t="s">
        <v>93</v>
      </c>
      <c r="I95" s="12" t="s">
        <v>392</v>
      </c>
      <c r="J95" s="8">
        <v>16437</v>
      </c>
      <c r="K95" s="13" t="s">
        <v>95</v>
      </c>
      <c r="L95" s="7" t="s">
        <v>393</v>
      </c>
      <c r="M95" s="14">
        <v>1</v>
      </c>
      <c r="N95" s="6"/>
      <c r="O95" s="15"/>
      <c r="P95" s="15"/>
      <c r="Q95" s="16"/>
      <c r="R95" s="15"/>
      <c r="S95" s="17"/>
      <c r="T95" s="15"/>
      <c r="U95" s="15"/>
      <c r="V95" s="15"/>
      <c r="W95" s="15"/>
    </row>
    <row r="96" spans="1:23">
      <c r="A96" s="6"/>
      <c r="B96" s="7"/>
      <c r="C96" s="7"/>
      <c r="D96" s="8"/>
      <c r="E96" s="9" t="s">
        <v>394</v>
      </c>
      <c r="F96" s="7"/>
      <c r="G96" s="10"/>
      <c r="H96" s="11"/>
      <c r="I96" s="12"/>
      <c r="J96" s="8"/>
      <c r="K96" s="13"/>
      <c r="L96" s="7"/>
      <c r="M96" s="14">
        <v>1</v>
      </c>
      <c r="N96" s="6"/>
      <c r="O96" s="15"/>
      <c r="P96" s="15"/>
      <c r="Q96" s="16"/>
      <c r="R96" s="15"/>
      <c r="S96" s="17"/>
      <c r="T96" s="15"/>
      <c r="U96" s="15"/>
      <c r="V96" s="15"/>
      <c r="W96" s="15"/>
    </row>
    <row r="97" spans="1:23">
      <c r="A97" s="6" t="s">
        <v>395</v>
      </c>
      <c r="B97" s="7" t="s">
        <v>396</v>
      </c>
      <c r="C97" s="7">
        <v>1.9</v>
      </c>
      <c r="D97" s="8">
        <v>0.007779</v>
      </c>
      <c r="E97" s="9" t="s">
        <v>397</v>
      </c>
      <c r="F97" s="7">
        <v>17869</v>
      </c>
      <c r="G97" s="10" t="s">
        <v>398</v>
      </c>
      <c r="H97" s="11" t="s">
        <v>93</v>
      </c>
      <c r="I97" s="12" t="s">
        <v>399</v>
      </c>
      <c r="J97" s="8">
        <v>16436</v>
      </c>
      <c r="K97" s="13" t="s">
        <v>95</v>
      </c>
      <c r="L97" s="7" t="s">
        <v>400</v>
      </c>
      <c r="M97" s="14">
        <v>1</v>
      </c>
      <c r="N97" s="6"/>
      <c r="O97" s="15"/>
      <c r="P97" s="15"/>
      <c r="Q97" s="16"/>
      <c r="R97" s="15"/>
      <c r="S97" s="17"/>
      <c r="T97" s="15"/>
      <c r="U97" s="15"/>
      <c r="V97" s="15"/>
      <c r="W97" s="15"/>
    </row>
    <row r="98" spans="1:23">
      <c r="A98" s="6"/>
      <c r="B98" s="7"/>
      <c r="C98" s="7"/>
      <c r="D98" s="8"/>
      <c r="E98" s="9" t="s">
        <v>401</v>
      </c>
      <c r="F98" s="7"/>
      <c r="G98" s="10"/>
      <c r="H98" s="11"/>
      <c r="I98" s="12"/>
      <c r="J98" s="8"/>
      <c r="K98" s="13"/>
      <c r="L98" s="7"/>
      <c r="M98" s="14">
        <v>1</v>
      </c>
      <c r="N98" s="6"/>
      <c r="O98" s="15"/>
      <c r="P98" s="15"/>
      <c r="Q98" s="16"/>
      <c r="R98" s="15"/>
      <c r="S98" s="17"/>
      <c r="T98" s="15"/>
      <c r="U98" s="15"/>
      <c r="V98" s="15"/>
      <c r="W98" s="15"/>
    </row>
    <row r="99" spans="1:23">
      <c r="A99" s="6"/>
      <c r="B99" s="7"/>
      <c r="C99" s="7"/>
      <c r="D99" s="8"/>
      <c r="E99" s="9" t="s">
        <v>402</v>
      </c>
      <c r="F99" s="7"/>
      <c r="G99" s="10"/>
      <c r="H99" s="11"/>
      <c r="I99" s="12"/>
      <c r="J99" s="8"/>
      <c r="K99" s="13"/>
      <c r="L99" s="7"/>
      <c r="M99" s="14">
        <v>1</v>
      </c>
      <c r="N99" s="6"/>
      <c r="O99" s="15"/>
      <c r="P99" s="15"/>
      <c r="Q99" s="16"/>
      <c r="R99" s="15"/>
      <c r="S99" s="17"/>
      <c r="T99" s="15"/>
      <c r="U99" s="15"/>
      <c r="V99" s="15"/>
      <c r="W99" s="15"/>
    </row>
    <row r="100" spans="1:23">
      <c r="A100" s="6" t="s">
        <v>403</v>
      </c>
      <c r="B100" s="7" t="s">
        <v>404</v>
      </c>
      <c r="C100" s="7">
        <v>4.54</v>
      </c>
      <c r="D100" s="8">
        <v>0.024649</v>
      </c>
      <c r="E100" s="9" t="s">
        <v>405</v>
      </c>
      <c r="F100" s="7">
        <v>12667</v>
      </c>
      <c r="G100" s="10" t="s">
        <v>405</v>
      </c>
      <c r="H100" s="11" t="s">
        <v>93</v>
      </c>
      <c r="I100" s="12" t="s">
        <v>406</v>
      </c>
      <c r="J100" s="8">
        <v>13760</v>
      </c>
      <c r="K100" s="13" t="s">
        <v>145</v>
      </c>
      <c r="L100" s="7" t="s">
        <v>407</v>
      </c>
      <c r="M100" s="14">
        <v>2</v>
      </c>
      <c r="N100" s="6"/>
      <c r="O100" s="15"/>
      <c r="P100" s="15"/>
      <c r="Q100" s="16"/>
      <c r="R100" s="15"/>
      <c r="S100" s="17"/>
      <c r="T100" s="15"/>
      <c r="U100" s="15"/>
      <c r="V100" s="15"/>
      <c r="W100" s="15"/>
    </row>
    <row r="101" spans="1:23">
      <c r="A101" s="6" t="s">
        <v>408</v>
      </c>
      <c r="B101" s="7" t="s">
        <v>409</v>
      </c>
      <c r="C101" s="7">
        <v>0.43</v>
      </c>
      <c r="D101" s="8">
        <v>0.001572</v>
      </c>
      <c r="E101" s="9" t="s">
        <v>410</v>
      </c>
      <c r="F101" s="7">
        <v>1725</v>
      </c>
      <c r="G101" s="10" t="s">
        <v>411</v>
      </c>
      <c r="H101" s="11" t="s">
        <v>93</v>
      </c>
      <c r="I101" s="12" t="s">
        <v>412</v>
      </c>
      <c r="J101" s="8">
        <v>16516</v>
      </c>
      <c r="K101" s="13" t="s">
        <v>95</v>
      </c>
      <c r="L101" s="7" t="s">
        <v>413</v>
      </c>
      <c r="M101" s="14">
        <v>1</v>
      </c>
      <c r="N101" s="6"/>
      <c r="O101" s="15"/>
      <c r="P101" s="15"/>
      <c r="Q101" s="16"/>
      <c r="R101" s="15"/>
      <c r="S101" s="17"/>
      <c r="T101" s="15"/>
      <c r="U101" s="15"/>
      <c r="V101" s="15"/>
      <c r="W101" s="15"/>
    </row>
    <row r="102" spans="1:23">
      <c r="A102" s="6"/>
      <c r="B102" s="7"/>
      <c r="C102" s="7"/>
      <c r="D102" s="8"/>
      <c r="E102" s="9" t="s">
        <v>414</v>
      </c>
      <c r="F102" s="7"/>
      <c r="G102" s="10"/>
      <c r="H102" s="11"/>
      <c r="I102" s="12"/>
      <c r="J102" s="8"/>
      <c r="K102" s="13"/>
      <c r="L102" s="7"/>
      <c r="M102" s="14">
        <v>1</v>
      </c>
      <c r="N102" s="6"/>
      <c r="O102" s="15"/>
      <c r="P102" s="15"/>
      <c r="Q102" s="16"/>
      <c r="R102" s="15"/>
      <c r="S102" s="17"/>
      <c r="T102" s="15"/>
      <c r="U102" s="15"/>
      <c r="V102" s="15"/>
      <c r="W102" s="15"/>
    </row>
    <row r="103" spans="1:23">
      <c r="A103" s="6" t="s">
        <v>415</v>
      </c>
      <c r="B103" s="7" t="s">
        <v>416</v>
      </c>
      <c r="C103" s="7">
        <v>0.73</v>
      </c>
      <c r="D103" s="8">
        <v>0.002139</v>
      </c>
      <c r="E103" s="9" t="s">
        <v>417</v>
      </c>
      <c r="F103" s="7">
        <v>16209</v>
      </c>
      <c r="G103" s="10" t="s">
        <v>418</v>
      </c>
      <c r="H103" s="11" t="s">
        <v>93</v>
      </c>
      <c r="I103" s="12" t="s">
        <v>419</v>
      </c>
      <c r="J103" s="8">
        <v>16424</v>
      </c>
      <c r="K103" s="13" t="s">
        <v>95</v>
      </c>
      <c r="L103" s="7" t="s">
        <v>420</v>
      </c>
      <c r="M103" s="14">
        <v>1</v>
      </c>
      <c r="N103" s="6"/>
      <c r="O103" s="15"/>
      <c r="P103" s="15"/>
      <c r="Q103" s="16"/>
      <c r="R103" s="15"/>
      <c r="S103" s="17"/>
      <c r="T103" s="15"/>
      <c r="U103" s="15"/>
      <c r="V103" s="15"/>
      <c r="W103" s="15"/>
    </row>
    <row r="104" spans="1:23">
      <c r="A104" s="6"/>
      <c r="B104" s="7"/>
      <c r="C104" s="7"/>
      <c r="D104" s="8"/>
      <c r="E104" s="9" t="s">
        <v>421</v>
      </c>
      <c r="F104" s="7"/>
      <c r="G104" s="10"/>
      <c r="H104" s="11"/>
      <c r="I104" s="12"/>
      <c r="J104" s="8"/>
      <c r="K104" s="13"/>
      <c r="L104" s="7"/>
      <c r="M104" s="14">
        <v>1</v>
      </c>
      <c r="N104" s="6"/>
      <c r="O104" s="15"/>
      <c r="P104" s="15"/>
      <c r="Q104" s="16"/>
      <c r="R104" s="15"/>
      <c r="S104" s="17"/>
      <c r="T104" s="15"/>
      <c r="U104" s="15"/>
      <c r="V104" s="15"/>
      <c r="W104" s="15"/>
    </row>
    <row r="105" spans="1:23">
      <c r="A105" s="6"/>
      <c r="B105" s="7"/>
      <c r="C105" s="7"/>
      <c r="D105" s="8"/>
      <c r="E105" s="9" t="s">
        <v>422</v>
      </c>
      <c r="F105" s="7"/>
      <c r="G105" s="10"/>
      <c r="H105" s="11"/>
      <c r="I105" s="12"/>
      <c r="J105" s="8"/>
      <c r="K105" s="13"/>
      <c r="L105" s="7"/>
      <c r="M105" s="14">
        <v>1</v>
      </c>
      <c r="N105" s="6"/>
      <c r="O105" s="15"/>
      <c r="P105" s="15"/>
      <c r="Q105" s="16"/>
      <c r="R105" s="15"/>
      <c r="S105" s="17"/>
      <c r="T105" s="15"/>
      <c r="U105" s="15"/>
      <c r="V105" s="15"/>
      <c r="W105" s="15"/>
    </row>
    <row r="106" spans="1:23">
      <c r="A106" s="6" t="s">
        <v>423</v>
      </c>
      <c r="B106" s="7" t="s">
        <v>424</v>
      </c>
      <c r="C106" s="7">
        <v>2.16</v>
      </c>
      <c r="D106" s="8">
        <v>0.011897</v>
      </c>
      <c r="E106" s="9" t="s">
        <v>425</v>
      </c>
      <c r="F106" s="7">
        <v>12104</v>
      </c>
      <c r="G106" s="10" t="s">
        <v>425</v>
      </c>
      <c r="H106" s="11" t="s">
        <v>93</v>
      </c>
      <c r="I106" s="12" t="s">
        <v>426</v>
      </c>
      <c r="J106" s="8">
        <v>16451</v>
      </c>
      <c r="K106" s="13" t="s">
        <v>95</v>
      </c>
      <c r="L106" s="7" t="s">
        <v>427</v>
      </c>
      <c r="M106" s="14">
        <v>1</v>
      </c>
      <c r="N106" s="6"/>
      <c r="O106" s="15"/>
      <c r="P106" s="15"/>
      <c r="Q106" s="16"/>
      <c r="R106" s="15"/>
      <c r="S106" s="17"/>
      <c r="T106" s="15"/>
      <c r="U106" s="15"/>
      <c r="V106" s="15"/>
      <c r="W106" s="15"/>
    </row>
    <row r="107" spans="1:23">
      <c r="A107" s="6" t="s">
        <v>428</v>
      </c>
      <c r="B107" s="7" t="s">
        <v>429</v>
      </c>
      <c r="C107" s="7">
        <v>1.49</v>
      </c>
      <c r="D107" s="8">
        <v>0.121733</v>
      </c>
      <c r="E107" s="9" t="s">
        <v>430</v>
      </c>
      <c r="F107" s="7">
        <v>15970</v>
      </c>
      <c r="G107" s="10" t="s">
        <v>431</v>
      </c>
      <c r="H107" s="11" t="s">
        <v>93</v>
      </c>
      <c r="I107" s="12" t="s">
        <v>432</v>
      </c>
      <c r="J107" s="8">
        <v>16426</v>
      </c>
      <c r="K107" s="13" t="s">
        <v>95</v>
      </c>
      <c r="L107" s="7" t="s">
        <v>433</v>
      </c>
      <c r="M107" s="14">
        <v>1</v>
      </c>
      <c r="N107" s="6"/>
      <c r="O107" s="15"/>
      <c r="P107" s="15"/>
      <c r="Q107" s="16"/>
      <c r="R107" s="15"/>
      <c r="S107" s="17"/>
      <c r="T107" s="15"/>
      <c r="U107" s="15"/>
      <c r="V107" s="15"/>
      <c r="W107" s="15"/>
    </row>
    <row r="108" spans="1:23">
      <c r="A108" s="6"/>
      <c r="B108" s="7"/>
      <c r="C108" s="7"/>
      <c r="D108" s="8"/>
      <c r="E108" s="9" t="s">
        <v>434</v>
      </c>
      <c r="F108" s="7"/>
      <c r="G108" s="10"/>
      <c r="H108" s="11"/>
      <c r="I108" s="12"/>
      <c r="J108" s="8"/>
      <c r="K108" s="13"/>
      <c r="L108" s="7"/>
      <c r="M108" s="14">
        <v>1</v>
      </c>
      <c r="N108" s="6"/>
      <c r="O108" s="15"/>
      <c r="P108" s="15"/>
      <c r="Q108" s="16"/>
      <c r="R108" s="15"/>
      <c r="S108" s="17"/>
      <c r="T108" s="15"/>
      <c r="U108" s="15"/>
      <c r="V108" s="15"/>
      <c r="W108" s="15"/>
    </row>
    <row r="109" spans="1:23">
      <c r="A109" s="6"/>
      <c r="B109" s="7"/>
      <c r="C109" s="7"/>
      <c r="D109" s="8"/>
      <c r="E109" s="9" t="s">
        <v>435</v>
      </c>
      <c r="F109" s="7"/>
      <c r="G109" s="10"/>
      <c r="H109" s="11"/>
      <c r="I109" s="12"/>
      <c r="J109" s="8"/>
      <c r="K109" s="13"/>
      <c r="L109" s="7"/>
      <c r="M109" s="14">
        <v>1</v>
      </c>
      <c r="N109" s="6"/>
      <c r="O109" s="15"/>
      <c r="P109" s="15"/>
      <c r="Q109" s="16"/>
      <c r="R109" s="15"/>
      <c r="S109" s="17"/>
      <c r="T109" s="15"/>
      <c r="U109" s="15"/>
      <c r="V109" s="15"/>
      <c r="W109" s="15"/>
    </row>
    <row r="110" spans="1:23">
      <c r="A110" s="6" t="s">
        <v>436</v>
      </c>
      <c r="B110" s="7" t="s">
        <v>437</v>
      </c>
      <c r="C110" s="7">
        <v>0.61</v>
      </c>
      <c r="D110" s="8">
        <v>0.002124</v>
      </c>
      <c r="E110" s="9" t="s">
        <v>438</v>
      </c>
      <c r="F110" s="7">
        <v>13566</v>
      </c>
      <c r="G110" s="10" t="s">
        <v>439</v>
      </c>
      <c r="H110" s="11" t="s">
        <v>93</v>
      </c>
      <c r="I110" s="12" t="s">
        <v>440</v>
      </c>
      <c r="J110" s="8">
        <v>13780</v>
      </c>
      <c r="K110" s="13" t="s">
        <v>145</v>
      </c>
      <c r="L110" s="7" t="s">
        <v>441</v>
      </c>
      <c r="M110" s="14">
        <v>1</v>
      </c>
      <c r="N110" s="6"/>
      <c r="O110" s="15"/>
      <c r="P110" s="15"/>
      <c r="Q110" s="16"/>
      <c r="R110" s="15"/>
      <c r="S110" s="17"/>
      <c r="T110" s="15"/>
      <c r="U110" s="15"/>
      <c r="V110" s="15"/>
      <c r="W110" s="15"/>
    </row>
    <row r="111" spans="1:23">
      <c r="A111" s="6"/>
      <c r="B111" s="7"/>
      <c r="C111" s="7"/>
      <c r="D111" s="8"/>
      <c r="E111" s="9" t="s">
        <v>442</v>
      </c>
      <c r="F111" s="7"/>
      <c r="G111" s="10"/>
      <c r="H111" s="11"/>
      <c r="I111" s="12"/>
      <c r="J111" s="8"/>
      <c r="K111" s="13"/>
      <c r="L111" s="7"/>
      <c r="M111" s="14">
        <v>1</v>
      </c>
      <c r="N111" s="6"/>
      <c r="O111" s="15"/>
      <c r="P111" s="15"/>
      <c r="Q111" s="16"/>
      <c r="R111" s="15"/>
      <c r="S111" s="17"/>
      <c r="T111" s="15"/>
      <c r="U111" s="15"/>
      <c r="V111" s="15"/>
      <c r="W111" s="15"/>
    </row>
    <row r="112" spans="1:23">
      <c r="A112" s="6" t="s">
        <v>443</v>
      </c>
      <c r="B112" s="7" t="s">
        <v>444</v>
      </c>
      <c r="C112" s="7">
        <v>9.8</v>
      </c>
      <c r="D112" s="8">
        <v>0.028739</v>
      </c>
      <c r="E112" s="9" t="s">
        <v>445</v>
      </c>
      <c r="F112" s="7">
        <v>334</v>
      </c>
      <c r="G112" s="10" t="s">
        <v>446</v>
      </c>
      <c r="H112" s="11" t="s">
        <v>93</v>
      </c>
      <c r="I112" s="12" t="s">
        <v>447</v>
      </c>
      <c r="J112" s="8">
        <v>16417</v>
      </c>
      <c r="K112" s="13" t="s">
        <v>95</v>
      </c>
      <c r="L112" s="7" t="s">
        <v>448</v>
      </c>
      <c r="M112" s="14">
        <v>1</v>
      </c>
      <c r="N112" s="6"/>
      <c r="O112" s="15"/>
      <c r="P112" s="15"/>
      <c r="Q112" s="16"/>
      <c r="R112" s="15"/>
      <c r="S112" s="17"/>
      <c r="T112" s="15"/>
      <c r="U112" s="15"/>
      <c r="V112" s="15"/>
      <c r="W112" s="15"/>
    </row>
    <row r="113" spans="1:23">
      <c r="A113" s="6"/>
      <c r="B113" s="7"/>
      <c r="C113" s="7"/>
      <c r="D113" s="8"/>
      <c r="E113" s="9" t="s">
        <v>449</v>
      </c>
      <c r="F113" s="7"/>
      <c r="G113" s="10"/>
      <c r="H113" s="11"/>
      <c r="I113" s="12"/>
      <c r="J113" s="8"/>
      <c r="K113" s="13"/>
      <c r="L113" s="7"/>
      <c r="M113" s="14">
        <v>1</v>
      </c>
      <c r="N113" s="6"/>
      <c r="O113" s="15"/>
      <c r="P113" s="15"/>
      <c r="Q113" s="16"/>
      <c r="R113" s="15"/>
      <c r="S113" s="17"/>
      <c r="T113" s="15"/>
      <c r="U113" s="15"/>
      <c r="V113" s="15"/>
      <c r="W113" s="15"/>
    </row>
    <row r="114" spans="1:23">
      <c r="A114" s="6"/>
      <c r="B114" s="7"/>
      <c r="C114" s="7"/>
      <c r="D114" s="8"/>
      <c r="E114" s="9" t="s">
        <v>450</v>
      </c>
      <c r="F114" s="7"/>
      <c r="G114" s="10"/>
      <c r="H114" s="11"/>
      <c r="I114" s="12"/>
      <c r="J114" s="8"/>
      <c r="K114" s="13"/>
      <c r="L114" s="7"/>
      <c r="M114" s="14">
        <v>1</v>
      </c>
      <c r="N114" s="6"/>
      <c r="O114" s="15"/>
      <c r="P114" s="15"/>
      <c r="Q114" s="16"/>
      <c r="R114" s="15"/>
      <c r="S114" s="17"/>
      <c r="T114" s="15"/>
      <c r="U114" s="15"/>
      <c r="V114" s="15"/>
      <c r="W114" s="15"/>
    </row>
    <row r="115" spans="1:23">
      <c r="A115" s="6"/>
      <c r="B115" s="7"/>
      <c r="C115" s="7"/>
      <c r="D115" s="8"/>
      <c r="E115" s="9" t="s">
        <v>451</v>
      </c>
      <c r="F115" s="7"/>
      <c r="G115" s="10"/>
      <c r="H115" s="11"/>
      <c r="I115" s="12"/>
      <c r="J115" s="8"/>
      <c r="K115" s="13"/>
      <c r="L115" s="7"/>
      <c r="M115" s="14">
        <v>1</v>
      </c>
      <c r="N115" s="6"/>
      <c r="O115" s="15"/>
      <c r="P115" s="15"/>
      <c r="Q115" s="16"/>
      <c r="R115" s="15"/>
      <c r="S115" s="17"/>
      <c r="T115" s="15"/>
      <c r="U115" s="15"/>
      <c r="V115" s="15"/>
      <c r="W115" s="15"/>
    </row>
    <row r="116" spans="1:23">
      <c r="A116" s="6" t="s">
        <v>452</v>
      </c>
      <c r="B116" s="7" t="s">
        <v>453</v>
      </c>
      <c r="C116" s="7">
        <v>0.97</v>
      </c>
      <c r="D116" s="8">
        <v>0.004045</v>
      </c>
      <c r="E116" s="9" t="s">
        <v>454</v>
      </c>
      <c r="F116" s="7">
        <v>15895</v>
      </c>
      <c r="G116" s="10" t="s">
        <v>455</v>
      </c>
      <c r="H116" s="11" t="s">
        <v>93</v>
      </c>
      <c r="I116" s="12" t="s">
        <v>456</v>
      </c>
      <c r="J116" s="8">
        <v>16519</v>
      </c>
      <c r="K116" s="13" t="s">
        <v>95</v>
      </c>
      <c r="L116" s="7" t="s">
        <v>457</v>
      </c>
      <c r="M116" s="14">
        <v>1</v>
      </c>
      <c r="N116" s="6"/>
      <c r="O116" s="15"/>
      <c r="P116" s="15"/>
      <c r="Q116" s="16"/>
      <c r="R116" s="15"/>
      <c r="S116" s="17"/>
      <c r="T116" s="15"/>
      <c r="U116" s="15"/>
      <c r="V116" s="15"/>
      <c r="W116" s="15"/>
    </row>
    <row r="117" spans="1:23">
      <c r="A117" s="6"/>
      <c r="B117" s="7"/>
      <c r="C117" s="7"/>
      <c r="D117" s="8"/>
      <c r="E117" s="9" t="s">
        <v>458</v>
      </c>
      <c r="F117" s="7"/>
      <c r="G117" s="10"/>
      <c r="H117" s="11"/>
      <c r="I117" s="12"/>
      <c r="J117" s="8"/>
      <c r="K117" s="13"/>
      <c r="L117" s="7"/>
      <c r="M117" s="14">
        <v>1</v>
      </c>
      <c r="N117" s="6"/>
      <c r="O117" s="15"/>
      <c r="P117" s="15"/>
      <c r="Q117" s="16"/>
      <c r="R117" s="15"/>
      <c r="S117" s="17"/>
      <c r="T117" s="15"/>
      <c r="U117" s="15"/>
      <c r="V117" s="15"/>
      <c r="W117" s="15"/>
    </row>
    <row r="118" spans="1:23">
      <c r="A118" s="6" t="s">
        <v>459</v>
      </c>
      <c r="B118" s="7" t="s">
        <v>460</v>
      </c>
      <c r="C118" s="7">
        <v>2.99</v>
      </c>
      <c r="D118" s="8">
        <v>0.00961</v>
      </c>
      <c r="E118" s="9" t="s">
        <v>461</v>
      </c>
      <c r="F118" s="7">
        <v>9079</v>
      </c>
      <c r="G118" s="10" t="s">
        <v>462</v>
      </c>
      <c r="H118" s="11" t="s">
        <v>93</v>
      </c>
      <c r="I118" s="12" t="s">
        <v>463</v>
      </c>
      <c r="J118" s="8">
        <v>17424</v>
      </c>
      <c r="K118" s="13" t="s">
        <v>195</v>
      </c>
      <c r="L118" s="7" t="s">
        <v>464</v>
      </c>
      <c r="M118" s="14">
        <v>1</v>
      </c>
      <c r="N118" s="6"/>
      <c r="O118" s="15"/>
      <c r="P118" s="15"/>
      <c r="Q118" s="16"/>
      <c r="R118" s="15"/>
      <c r="S118" s="17"/>
      <c r="T118" s="15"/>
      <c r="U118" s="15"/>
      <c r="V118" s="15"/>
      <c r="W118" s="15"/>
    </row>
    <row r="119" spans="1:23">
      <c r="A119" s="6"/>
      <c r="B119" s="7"/>
      <c r="C119" s="7"/>
      <c r="D119" s="8"/>
      <c r="E119" s="9" t="s">
        <v>465</v>
      </c>
      <c r="F119" s="7"/>
      <c r="G119" s="10"/>
      <c r="H119" s="11"/>
      <c r="I119" s="12"/>
      <c r="J119" s="8"/>
      <c r="K119" s="13"/>
      <c r="L119" s="7"/>
      <c r="M119" s="14">
        <v>1</v>
      </c>
      <c r="N119" s="6"/>
      <c r="O119" s="15"/>
      <c r="P119" s="15"/>
      <c r="Q119" s="16"/>
      <c r="R119" s="15"/>
      <c r="S119" s="17"/>
      <c r="T119" s="15"/>
      <c r="U119" s="15"/>
      <c r="V119" s="15"/>
      <c r="W119" s="15"/>
    </row>
    <row r="120" spans="1:23">
      <c r="A120" s="6"/>
      <c r="B120" s="7"/>
      <c r="C120" s="7"/>
      <c r="D120" s="8"/>
      <c r="E120" s="9" t="s">
        <v>466</v>
      </c>
      <c r="F120" s="7"/>
      <c r="G120" s="10"/>
      <c r="H120" s="11"/>
      <c r="I120" s="12"/>
      <c r="J120" s="8"/>
      <c r="K120" s="13"/>
      <c r="L120" s="7"/>
      <c r="M120" s="14">
        <v>1</v>
      </c>
      <c r="N120" s="6"/>
      <c r="O120" s="15"/>
      <c r="P120" s="15"/>
      <c r="Q120" s="16"/>
      <c r="R120" s="15"/>
      <c r="S120" s="17"/>
      <c r="T120" s="15"/>
      <c r="U120" s="15"/>
      <c r="V120" s="15"/>
      <c r="W120" s="15"/>
    </row>
    <row r="121" spans="1:23">
      <c r="A121" s="6" t="s">
        <v>467</v>
      </c>
      <c r="B121" s="7" t="s">
        <v>468</v>
      </c>
      <c r="C121" s="7">
        <v>10.61</v>
      </c>
      <c r="D121" s="8">
        <v>0.023055</v>
      </c>
      <c r="E121" s="9" t="s">
        <v>469</v>
      </c>
      <c r="F121" s="7">
        <v>3381</v>
      </c>
      <c r="G121" s="10" t="s">
        <v>470</v>
      </c>
      <c r="H121" s="11" t="s">
        <v>93</v>
      </c>
      <c r="I121" s="12" t="s">
        <v>471</v>
      </c>
      <c r="J121" s="8">
        <v>16459</v>
      </c>
      <c r="K121" s="13" t="s">
        <v>95</v>
      </c>
      <c r="L121" s="7" t="s">
        <v>472</v>
      </c>
      <c r="M121" s="14">
        <v>1</v>
      </c>
      <c r="N121" s="6"/>
      <c r="O121" s="15"/>
      <c r="P121" s="15"/>
      <c r="Q121" s="16"/>
      <c r="R121" s="15"/>
      <c r="S121" s="17"/>
      <c r="T121" s="15"/>
      <c r="U121" s="15"/>
      <c r="V121" s="15"/>
      <c r="W121" s="15"/>
    </row>
    <row r="122" spans="1:23">
      <c r="A122" s="6"/>
      <c r="B122" s="7"/>
      <c r="C122" s="7"/>
      <c r="D122" s="8"/>
      <c r="E122" s="9" t="s">
        <v>473</v>
      </c>
      <c r="F122" s="7"/>
      <c r="G122" s="10"/>
      <c r="H122" s="11"/>
      <c r="I122" s="12"/>
      <c r="J122" s="8"/>
      <c r="K122" s="13"/>
      <c r="L122" s="7"/>
      <c r="M122" s="14">
        <v>1</v>
      </c>
      <c r="N122" s="6"/>
      <c r="O122" s="15"/>
      <c r="P122" s="15"/>
      <c r="Q122" s="16"/>
      <c r="R122" s="15"/>
      <c r="S122" s="17"/>
      <c r="T122" s="15"/>
      <c r="U122" s="15"/>
      <c r="V122" s="15"/>
      <c r="W122" s="15"/>
    </row>
    <row r="123" spans="1:23">
      <c r="A123" s="6"/>
      <c r="B123" s="7"/>
      <c r="C123" s="7"/>
      <c r="D123" s="8"/>
      <c r="E123" s="9" t="s">
        <v>474</v>
      </c>
      <c r="F123" s="7"/>
      <c r="G123" s="10"/>
      <c r="H123" s="11"/>
      <c r="I123" s="12"/>
      <c r="J123" s="8"/>
      <c r="K123" s="13"/>
      <c r="L123" s="7"/>
      <c r="M123" s="14">
        <v>1</v>
      </c>
      <c r="N123" s="6"/>
      <c r="O123" s="15"/>
      <c r="P123" s="15"/>
      <c r="Q123" s="16"/>
      <c r="R123" s="15"/>
      <c r="S123" s="17"/>
      <c r="T123" s="15"/>
      <c r="U123" s="15"/>
      <c r="V123" s="15"/>
      <c r="W123" s="15"/>
    </row>
    <row r="124" spans="1:23">
      <c r="A124" s="6"/>
      <c r="B124" s="7"/>
      <c r="C124" s="7"/>
      <c r="D124" s="8"/>
      <c r="E124" s="9" t="s">
        <v>475</v>
      </c>
      <c r="F124" s="7"/>
      <c r="G124" s="10"/>
      <c r="H124" s="11"/>
      <c r="I124" s="12"/>
      <c r="J124" s="8"/>
      <c r="K124" s="13"/>
      <c r="L124" s="7"/>
      <c r="M124" s="14">
        <v>1</v>
      </c>
      <c r="N124" s="6"/>
      <c r="O124" s="15"/>
      <c r="P124" s="15"/>
      <c r="Q124" s="16"/>
      <c r="R124" s="15"/>
      <c r="S124" s="17"/>
      <c r="T124" s="15"/>
      <c r="U124" s="15"/>
      <c r="V124" s="15"/>
      <c r="W124" s="15"/>
    </row>
    <row r="125" spans="1:23">
      <c r="A125" s="6"/>
      <c r="B125" s="7"/>
      <c r="C125" s="7"/>
      <c r="D125" s="8"/>
      <c r="E125" s="9" t="s">
        <v>476</v>
      </c>
      <c r="F125" s="7"/>
      <c r="G125" s="10"/>
      <c r="H125" s="11"/>
      <c r="I125" s="12"/>
      <c r="J125" s="8"/>
      <c r="K125" s="13"/>
      <c r="L125" s="7"/>
      <c r="M125" s="14">
        <v>1</v>
      </c>
      <c r="N125" s="6"/>
      <c r="O125" s="15"/>
      <c r="P125" s="15"/>
      <c r="Q125" s="16"/>
      <c r="R125" s="15"/>
      <c r="S125" s="17"/>
      <c r="T125" s="15"/>
      <c r="U125" s="15"/>
      <c r="V125" s="15"/>
      <c r="W125" s="15"/>
    </row>
    <row r="126" spans="1:23">
      <c r="A126" s="6"/>
      <c r="B126" s="7"/>
      <c r="C126" s="7"/>
      <c r="D126" s="8"/>
      <c r="E126" s="9" t="s">
        <v>477</v>
      </c>
      <c r="F126" s="7"/>
      <c r="G126" s="10"/>
      <c r="H126" s="11"/>
      <c r="I126" s="12"/>
      <c r="J126" s="8"/>
      <c r="K126" s="13"/>
      <c r="L126" s="7"/>
      <c r="M126" s="14">
        <v>1</v>
      </c>
      <c r="N126" s="6"/>
      <c r="O126" s="15"/>
      <c r="P126" s="15"/>
      <c r="Q126" s="16"/>
      <c r="R126" s="15"/>
      <c r="S126" s="17"/>
      <c r="T126" s="15"/>
      <c r="U126" s="15"/>
      <c r="V126" s="15"/>
      <c r="W126" s="15"/>
    </row>
    <row r="127" spans="1:23">
      <c r="A127" s="6"/>
      <c r="B127" s="7"/>
      <c r="C127" s="7"/>
      <c r="D127" s="8"/>
      <c r="E127" s="9" t="s">
        <v>478</v>
      </c>
      <c r="F127" s="7"/>
      <c r="G127" s="10"/>
      <c r="H127" s="11"/>
      <c r="I127" s="12"/>
      <c r="J127" s="8"/>
      <c r="K127" s="13"/>
      <c r="L127" s="7"/>
      <c r="M127" s="14">
        <v>1</v>
      </c>
      <c r="N127" s="6"/>
      <c r="O127" s="15"/>
      <c r="P127" s="15"/>
      <c r="Q127" s="16"/>
      <c r="R127" s="15"/>
      <c r="S127" s="17"/>
      <c r="T127" s="15"/>
      <c r="U127" s="15"/>
      <c r="V127" s="15"/>
      <c r="W127" s="15"/>
    </row>
    <row r="128" spans="1:23">
      <c r="A128" s="6" t="s">
        <v>479</v>
      </c>
      <c r="B128" s="7" t="s">
        <v>480</v>
      </c>
      <c r="C128" s="7">
        <v>12.53</v>
      </c>
      <c r="D128" s="8">
        <v>0.036723</v>
      </c>
      <c r="E128" s="9" t="s">
        <v>481</v>
      </c>
      <c r="F128" s="7">
        <v>308</v>
      </c>
      <c r="G128" s="10" t="s">
        <v>482</v>
      </c>
      <c r="H128" s="11" t="s">
        <v>93</v>
      </c>
      <c r="I128" s="12" t="s">
        <v>483</v>
      </c>
      <c r="J128" s="8">
        <v>16454</v>
      </c>
      <c r="K128" s="13" t="s">
        <v>95</v>
      </c>
      <c r="L128" s="7" t="s">
        <v>484</v>
      </c>
      <c r="M128" s="14">
        <v>1</v>
      </c>
      <c r="N128" s="6"/>
      <c r="O128" s="15"/>
      <c r="P128" s="15"/>
      <c r="Q128" s="16"/>
      <c r="R128" s="15"/>
      <c r="S128" s="17"/>
      <c r="T128" s="15"/>
      <c r="U128" s="15"/>
      <c r="V128" s="15"/>
      <c r="W128" s="15"/>
    </row>
    <row r="129" spans="1:23">
      <c r="A129" s="6"/>
      <c r="B129" s="7"/>
      <c r="C129" s="7"/>
      <c r="D129" s="8"/>
      <c r="E129" s="9" t="s">
        <v>485</v>
      </c>
      <c r="F129" s="7"/>
      <c r="G129" s="10"/>
      <c r="H129" s="11"/>
      <c r="I129" s="12"/>
      <c r="J129" s="8"/>
      <c r="K129" s="13"/>
      <c r="L129" s="7"/>
      <c r="M129" s="14">
        <v>2</v>
      </c>
      <c r="N129" s="6"/>
      <c r="O129" s="15"/>
      <c r="P129" s="15"/>
      <c r="Q129" s="16"/>
      <c r="R129" s="15"/>
      <c r="S129" s="17"/>
      <c r="T129" s="15"/>
      <c r="U129" s="15"/>
      <c r="V129" s="15"/>
      <c r="W129" s="15"/>
    </row>
    <row r="130" spans="1:23">
      <c r="A130" s="6"/>
      <c r="B130" s="7"/>
      <c r="C130" s="7"/>
      <c r="D130" s="8"/>
      <c r="E130" s="9" t="s">
        <v>486</v>
      </c>
      <c r="F130" s="7"/>
      <c r="G130" s="10"/>
      <c r="H130" s="11"/>
      <c r="I130" s="12"/>
      <c r="J130" s="8"/>
      <c r="K130" s="13"/>
      <c r="L130" s="7"/>
      <c r="M130" s="14">
        <v>1</v>
      </c>
      <c r="N130" s="6"/>
      <c r="O130" s="15"/>
      <c r="P130" s="15"/>
      <c r="Q130" s="16"/>
      <c r="R130" s="15"/>
      <c r="S130" s="17"/>
      <c r="T130" s="15"/>
      <c r="U130" s="15"/>
      <c r="V130" s="15"/>
      <c r="W130" s="15"/>
    </row>
    <row r="131" spans="1:23">
      <c r="A131" s="6"/>
      <c r="B131" s="7"/>
      <c r="C131" s="7"/>
      <c r="D131" s="8"/>
      <c r="E131" s="9" t="s">
        <v>487</v>
      </c>
      <c r="F131" s="7"/>
      <c r="G131" s="10"/>
      <c r="H131" s="11"/>
      <c r="I131" s="12"/>
      <c r="J131" s="8"/>
      <c r="K131" s="13"/>
      <c r="L131" s="7"/>
      <c r="M131" s="14">
        <v>1</v>
      </c>
      <c r="N131" s="6"/>
      <c r="O131" s="15"/>
      <c r="P131" s="15"/>
      <c r="Q131" s="16"/>
      <c r="R131" s="15"/>
      <c r="S131" s="17"/>
      <c r="T131" s="15"/>
      <c r="U131" s="15"/>
      <c r="V131" s="15"/>
      <c r="W131" s="15"/>
    </row>
    <row r="132" spans="1:23">
      <c r="A132" s="6" t="s">
        <v>488</v>
      </c>
      <c r="B132" s="7" t="s">
        <v>489</v>
      </c>
      <c r="C132" s="7">
        <v>4.21</v>
      </c>
      <c r="D132" s="8">
        <v>0.012429</v>
      </c>
      <c r="E132" s="9" t="s">
        <v>490</v>
      </c>
      <c r="F132" s="7">
        <v>11645</v>
      </c>
      <c r="G132" s="10" t="s">
        <v>491</v>
      </c>
      <c r="H132" s="11" t="s">
        <v>93</v>
      </c>
      <c r="I132" s="12" t="s">
        <v>492</v>
      </c>
      <c r="J132" s="8">
        <v>16412</v>
      </c>
      <c r="K132" s="13" t="s">
        <v>95</v>
      </c>
      <c r="L132" s="7" t="s">
        <v>493</v>
      </c>
      <c r="M132" s="14">
        <v>1</v>
      </c>
      <c r="N132" s="6"/>
      <c r="O132" s="15"/>
      <c r="P132" s="15"/>
      <c r="Q132" s="16"/>
      <c r="R132" s="15"/>
      <c r="S132" s="17"/>
      <c r="T132" s="15"/>
      <c r="U132" s="15"/>
      <c r="V132" s="15"/>
      <c r="W132" s="15"/>
    </row>
    <row r="133" spans="1:23">
      <c r="A133" s="6"/>
      <c r="B133" s="7"/>
      <c r="C133" s="7"/>
      <c r="D133" s="8"/>
      <c r="E133" s="9" t="s">
        <v>494</v>
      </c>
      <c r="F133" s="7"/>
      <c r="G133" s="10"/>
      <c r="H133" s="11"/>
      <c r="I133" s="12"/>
      <c r="J133" s="8"/>
      <c r="K133" s="13"/>
      <c r="L133" s="7"/>
      <c r="M133" s="14">
        <v>1</v>
      </c>
      <c r="N133" s="6"/>
      <c r="O133" s="15"/>
      <c r="P133" s="15"/>
      <c r="Q133" s="16"/>
      <c r="R133" s="15"/>
      <c r="S133" s="17"/>
      <c r="T133" s="15"/>
      <c r="U133" s="15"/>
      <c r="V133" s="15"/>
      <c r="W133" s="15"/>
    </row>
    <row r="134" spans="1:23">
      <c r="A134" s="6"/>
      <c r="B134" s="7"/>
      <c r="C134" s="7"/>
      <c r="D134" s="8"/>
      <c r="E134" s="9" t="s">
        <v>495</v>
      </c>
      <c r="F134" s="7"/>
      <c r="G134" s="10"/>
      <c r="H134" s="11"/>
      <c r="I134" s="12"/>
      <c r="J134" s="8"/>
      <c r="K134" s="13"/>
      <c r="L134" s="7"/>
      <c r="M134" s="14">
        <v>1</v>
      </c>
      <c r="N134" s="6"/>
      <c r="O134" s="15"/>
      <c r="P134" s="15"/>
      <c r="Q134" s="16"/>
      <c r="R134" s="15"/>
      <c r="S134" s="17"/>
      <c r="T134" s="15"/>
      <c r="U134" s="15"/>
      <c r="V134" s="15"/>
      <c r="W134" s="15"/>
    </row>
    <row r="135" spans="1:23">
      <c r="A135" s="6" t="s">
        <v>496</v>
      </c>
      <c r="B135" s="7" t="s">
        <v>497</v>
      </c>
      <c r="C135" s="7">
        <v>1.36</v>
      </c>
      <c r="D135" s="8">
        <v>0.007058</v>
      </c>
      <c r="E135" s="9" t="s">
        <v>498</v>
      </c>
      <c r="F135" s="7">
        <v>982</v>
      </c>
      <c r="G135" s="10" t="s">
        <v>498</v>
      </c>
      <c r="H135" s="11" t="s">
        <v>93</v>
      </c>
      <c r="I135" s="12" t="s">
        <v>499</v>
      </c>
      <c r="J135" s="8">
        <v>17411</v>
      </c>
      <c r="K135" s="13" t="s">
        <v>195</v>
      </c>
      <c r="L135" s="7" t="s">
        <v>500</v>
      </c>
      <c r="M135" s="14">
        <v>1</v>
      </c>
      <c r="N135" s="6"/>
      <c r="O135" s="15"/>
      <c r="P135" s="15"/>
      <c r="Q135" s="16"/>
      <c r="R135" s="15"/>
      <c r="S135" s="17"/>
      <c r="T135" s="15"/>
      <c r="U135" s="15"/>
      <c r="V135" s="15"/>
      <c r="W135" s="15"/>
    </row>
    <row r="136" spans="1:23">
      <c r="A136" s="6" t="s">
        <v>501</v>
      </c>
      <c r="B136" s="7" t="s">
        <v>502</v>
      </c>
      <c r="C136" s="7">
        <v>1.34</v>
      </c>
      <c r="D136" s="8">
        <v>0.005368</v>
      </c>
      <c r="E136" s="9" t="s">
        <v>503</v>
      </c>
      <c r="F136" s="7">
        <v>13758</v>
      </c>
      <c r="G136" s="10" t="s">
        <v>503</v>
      </c>
      <c r="H136" s="11" t="s">
        <v>93</v>
      </c>
      <c r="I136" s="12" t="s">
        <v>504</v>
      </c>
      <c r="J136" s="8">
        <v>16435</v>
      </c>
      <c r="K136" s="13" t="s">
        <v>95</v>
      </c>
      <c r="L136" s="7" t="s">
        <v>505</v>
      </c>
      <c r="M136" s="14">
        <v>1</v>
      </c>
      <c r="N136" s="6"/>
      <c r="O136" s="15"/>
      <c r="P136" s="15"/>
      <c r="Q136" s="16"/>
      <c r="R136" s="15"/>
      <c r="S136" s="17"/>
      <c r="T136" s="15"/>
      <c r="U136" s="15"/>
      <c r="V136" s="15"/>
      <c r="W136" s="15"/>
    </row>
    <row r="137" spans="1:23">
      <c r="A137" s="6" t="s">
        <v>506</v>
      </c>
      <c r="B137" s="7" t="s">
        <v>507</v>
      </c>
      <c r="C137" s="7">
        <v>1.47</v>
      </c>
      <c r="D137" s="8">
        <v>0.006026</v>
      </c>
      <c r="E137" s="9" t="s">
        <v>508</v>
      </c>
      <c r="F137" s="7">
        <v>720</v>
      </c>
      <c r="G137" s="10" t="s">
        <v>509</v>
      </c>
      <c r="H137" s="11" t="s">
        <v>93</v>
      </c>
      <c r="I137" s="12" t="s">
        <v>510</v>
      </c>
      <c r="J137" s="8">
        <v>17432</v>
      </c>
      <c r="K137" s="13" t="s">
        <v>195</v>
      </c>
      <c r="L137" s="7" t="s">
        <v>511</v>
      </c>
      <c r="M137" s="14">
        <v>1</v>
      </c>
      <c r="N137" s="6"/>
      <c r="O137" s="15"/>
      <c r="P137" s="15"/>
      <c r="Q137" s="16"/>
      <c r="R137" s="15"/>
      <c r="S137" s="17"/>
      <c r="T137" s="15"/>
      <c r="U137" s="15"/>
      <c r="V137" s="15"/>
      <c r="W137" s="15"/>
    </row>
    <row r="138" spans="1:23">
      <c r="A138" s="6"/>
      <c r="B138" s="7"/>
      <c r="C138" s="7"/>
      <c r="D138" s="8"/>
      <c r="E138" s="9" t="s">
        <v>512</v>
      </c>
      <c r="F138" s="7"/>
      <c r="G138" s="10"/>
      <c r="H138" s="11"/>
      <c r="I138" s="12"/>
      <c r="J138" s="8"/>
      <c r="K138" s="13"/>
      <c r="L138" s="7"/>
      <c r="M138" s="14">
        <v>1</v>
      </c>
      <c r="N138" s="6"/>
      <c r="O138" s="15"/>
      <c r="P138" s="15"/>
      <c r="Q138" s="16"/>
      <c r="R138" s="15"/>
      <c r="S138" s="17"/>
      <c r="T138" s="15"/>
      <c r="U138" s="15"/>
      <c r="V138" s="15"/>
      <c r="W138" s="15"/>
    </row>
    <row r="139" spans="1:23">
      <c r="A139" s="6" t="s">
        <v>513</v>
      </c>
      <c r="B139" s="7" t="s">
        <v>514</v>
      </c>
      <c r="C139" s="7">
        <v>5.21</v>
      </c>
      <c r="D139" s="8">
        <v>0.010528</v>
      </c>
      <c r="E139" s="9" t="s">
        <v>515</v>
      </c>
      <c r="F139" s="7">
        <v>11879</v>
      </c>
      <c r="G139" s="10" t="s">
        <v>515</v>
      </c>
      <c r="H139" s="11" t="s">
        <v>93</v>
      </c>
      <c r="I139" s="12" t="s">
        <v>516</v>
      </c>
      <c r="J139" s="8">
        <v>16519</v>
      </c>
      <c r="K139" s="13" t="s">
        <v>95</v>
      </c>
      <c r="L139" s="7" t="s">
        <v>517</v>
      </c>
      <c r="M139" s="14">
        <v>1</v>
      </c>
      <c r="N139" s="6"/>
      <c r="O139" s="15"/>
      <c r="P139" s="15"/>
      <c r="Q139" s="16"/>
      <c r="R139" s="15"/>
      <c r="S139" s="17"/>
      <c r="T139" s="15"/>
      <c r="U139" s="15"/>
      <c r="V139" s="15"/>
      <c r="W139" s="15"/>
    </row>
    <row r="140" spans="1:23">
      <c r="A140" s="6" t="s">
        <v>518</v>
      </c>
      <c r="B140" s="7" t="s">
        <v>519</v>
      </c>
      <c r="C140" s="7">
        <v>5.95</v>
      </c>
      <c r="D140" s="8">
        <v>0.015122</v>
      </c>
      <c r="E140" s="9" t="s">
        <v>520</v>
      </c>
      <c r="F140" s="7">
        <v>13183</v>
      </c>
      <c r="G140" s="10" t="s">
        <v>521</v>
      </c>
      <c r="H140" s="11" t="s">
        <v>93</v>
      </c>
      <c r="I140" s="12" t="s">
        <v>522</v>
      </c>
      <c r="J140" s="8">
        <v>16518</v>
      </c>
      <c r="K140" s="13" t="s">
        <v>95</v>
      </c>
      <c r="L140" s="7" t="s">
        <v>523</v>
      </c>
      <c r="M140" s="14">
        <v>1</v>
      </c>
      <c r="N140" s="6"/>
      <c r="O140" s="15"/>
      <c r="P140" s="15"/>
      <c r="Q140" s="16"/>
      <c r="R140" s="15"/>
      <c r="S140" s="17"/>
      <c r="T140" s="15"/>
      <c r="U140" s="15"/>
      <c r="V140" s="15"/>
      <c r="W140" s="15"/>
    </row>
    <row r="141" spans="1:23">
      <c r="A141" s="6"/>
      <c r="B141" s="7"/>
      <c r="C141" s="7"/>
      <c r="D141" s="8"/>
      <c r="E141" s="9" t="s">
        <v>524</v>
      </c>
      <c r="F141" s="7"/>
      <c r="G141" s="10"/>
      <c r="H141" s="11"/>
      <c r="I141" s="12"/>
      <c r="J141" s="8"/>
      <c r="K141" s="13"/>
      <c r="L141" s="7"/>
      <c r="M141" s="14">
        <v>1</v>
      </c>
      <c r="N141" s="6"/>
      <c r="O141" s="15"/>
      <c r="P141" s="15"/>
      <c r="Q141" s="16"/>
      <c r="R141" s="15"/>
      <c r="S141" s="17"/>
      <c r="T141" s="15"/>
      <c r="U141" s="15"/>
      <c r="V141" s="15"/>
      <c r="W141" s="15"/>
    </row>
    <row r="142" spans="1:23">
      <c r="A142" s="6"/>
      <c r="B142" s="7"/>
      <c r="C142" s="7"/>
      <c r="D142" s="8"/>
      <c r="E142" s="9" t="s">
        <v>525</v>
      </c>
      <c r="F142" s="7"/>
      <c r="G142" s="10"/>
      <c r="H142" s="11"/>
      <c r="I142" s="12"/>
      <c r="J142" s="8"/>
      <c r="K142" s="13"/>
      <c r="L142" s="7"/>
      <c r="M142" s="14">
        <v>1</v>
      </c>
      <c r="N142" s="6"/>
      <c r="O142" s="15"/>
      <c r="P142" s="15"/>
      <c r="Q142" s="16"/>
      <c r="R142" s="15"/>
      <c r="S142" s="17"/>
      <c r="T142" s="15"/>
      <c r="U142" s="15"/>
      <c r="V142" s="15"/>
      <c r="W142" s="15"/>
    </row>
    <row r="143" spans="1:23">
      <c r="A143" s="6" t="s">
        <v>526</v>
      </c>
      <c r="B143" s="7" t="s">
        <v>527</v>
      </c>
      <c r="C143" s="7">
        <v>0.2</v>
      </c>
      <c r="D143" s="8">
        <v>0.000945</v>
      </c>
      <c r="E143" s="9" t="s">
        <v>528</v>
      </c>
      <c r="F143" s="7">
        <v>406</v>
      </c>
      <c r="G143" s="10" t="s">
        <v>528</v>
      </c>
      <c r="H143" s="11" t="s">
        <v>93</v>
      </c>
      <c r="I143" s="12" t="s">
        <v>529</v>
      </c>
      <c r="J143" s="8">
        <v>17412</v>
      </c>
      <c r="K143" s="13" t="s">
        <v>195</v>
      </c>
      <c r="L143" s="7" t="s">
        <v>530</v>
      </c>
      <c r="M143" s="14">
        <v>1</v>
      </c>
      <c r="N143" s="6"/>
      <c r="O143" s="15"/>
      <c r="P143" s="15"/>
      <c r="Q143" s="16"/>
      <c r="R143" s="15"/>
      <c r="S143" s="17"/>
      <c r="T143" s="15"/>
      <c r="U143" s="15"/>
      <c r="V143" s="15"/>
      <c r="W143" s="15"/>
    </row>
    <row r="144" spans="1:23">
      <c r="A144" s="6" t="s">
        <v>531</v>
      </c>
      <c r="B144" s="7" t="s">
        <v>532</v>
      </c>
      <c r="C144" s="7">
        <v>0.68</v>
      </c>
      <c r="D144" s="8">
        <v>0.003512</v>
      </c>
      <c r="E144" s="9" t="s">
        <v>533</v>
      </c>
      <c r="F144" s="7">
        <v>47</v>
      </c>
      <c r="G144" s="10" t="s">
        <v>533</v>
      </c>
      <c r="H144" s="11" t="s">
        <v>93</v>
      </c>
      <c r="I144" s="12" t="s">
        <v>534</v>
      </c>
      <c r="J144" s="8">
        <v>13820</v>
      </c>
      <c r="K144" s="13" t="s">
        <v>145</v>
      </c>
      <c r="L144" s="21" t="s">
        <v>535</v>
      </c>
      <c r="M144" s="14">
        <v>1</v>
      </c>
      <c r="N144" s="6"/>
      <c r="O144" s="15"/>
      <c r="P144" s="15"/>
      <c r="Q144" s="16"/>
      <c r="R144" s="15"/>
      <c r="S144" s="17"/>
      <c r="T144" s="15"/>
      <c r="U144" s="15"/>
      <c r="V144" s="15"/>
      <c r="W144" s="15"/>
    </row>
    <row r="145" spans="1:23">
      <c r="A145" s="6" t="s">
        <v>536</v>
      </c>
      <c r="B145" s="7" t="s">
        <v>537</v>
      </c>
      <c r="C145" s="7">
        <v>2.99</v>
      </c>
      <c r="D145" s="8">
        <v>0.012813</v>
      </c>
      <c r="E145" s="9" t="s">
        <v>538</v>
      </c>
      <c r="F145" s="7">
        <v>455</v>
      </c>
      <c r="G145" s="10" t="s">
        <v>539</v>
      </c>
      <c r="H145" s="11" t="s">
        <v>93</v>
      </c>
      <c r="I145" s="12" t="s">
        <v>540</v>
      </c>
      <c r="J145" s="8">
        <v>17413</v>
      </c>
      <c r="K145" s="13" t="s">
        <v>195</v>
      </c>
      <c r="L145" s="7" t="s">
        <v>541</v>
      </c>
      <c r="M145" s="14">
        <v>1</v>
      </c>
      <c r="N145" s="6"/>
      <c r="O145" s="15"/>
      <c r="P145" s="15"/>
      <c r="Q145" s="16"/>
      <c r="R145" s="15"/>
      <c r="S145" s="17"/>
      <c r="T145" s="15"/>
      <c r="U145" s="15"/>
      <c r="V145" s="15"/>
      <c r="W145" s="15"/>
    </row>
    <row r="146" spans="1:23">
      <c r="A146" s="6"/>
      <c r="B146" s="7"/>
      <c r="C146" s="7"/>
      <c r="D146" s="8"/>
      <c r="E146" s="9" t="s">
        <v>542</v>
      </c>
      <c r="F146" s="7"/>
      <c r="G146" s="10"/>
      <c r="H146" s="11"/>
      <c r="I146" s="12"/>
      <c r="J146" s="8"/>
      <c r="K146" s="13"/>
      <c r="L146" s="7"/>
      <c r="M146" s="14">
        <v>1</v>
      </c>
      <c r="N146" s="6"/>
      <c r="O146" s="15"/>
      <c r="P146" s="15"/>
      <c r="Q146" s="16"/>
      <c r="R146" s="15"/>
      <c r="S146" s="17"/>
      <c r="T146" s="15"/>
      <c r="U146" s="15"/>
      <c r="V146" s="15"/>
      <c r="W146" s="15"/>
    </row>
    <row r="147" spans="1:23">
      <c r="A147" s="6"/>
      <c r="B147" s="7"/>
      <c r="C147" s="7"/>
      <c r="D147" s="8"/>
      <c r="E147" s="9" t="s">
        <v>543</v>
      </c>
      <c r="F147" s="7"/>
      <c r="G147" s="10"/>
      <c r="H147" s="11"/>
      <c r="I147" s="12"/>
      <c r="J147" s="8"/>
      <c r="K147" s="13"/>
      <c r="L147" s="7"/>
      <c r="M147" s="14">
        <v>1</v>
      </c>
      <c r="N147" s="6"/>
      <c r="O147" s="15"/>
      <c r="P147" s="15"/>
      <c r="Q147" s="16"/>
      <c r="R147" s="15"/>
      <c r="S147" s="17"/>
      <c r="T147" s="15"/>
      <c r="U147" s="15"/>
      <c r="V147" s="15"/>
      <c r="W147" s="15"/>
    </row>
    <row r="148" spans="1:23">
      <c r="A148" s="6" t="s">
        <v>544</v>
      </c>
      <c r="B148" s="7" t="s">
        <v>545</v>
      </c>
      <c r="C148" s="7">
        <v>1.91</v>
      </c>
      <c r="D148" s="8">
        <v>0.014273</v>
      </c>
      <c r="E148" s="9" t="s">
        <v>546</v>
      </c>
      <c r="F148" s="7">
        <v>15088</v>
      </c>
      <c r="G148" s="10" t="s">
        <v>547</v>
      </c>
      <c r="H148" s="11" t="s">
        <v>93</v>
      </c>
      <c r="I148" s="12" t="s">
        <v>548</v>
      </c>
      <c r="J148" s="8">
        <v>16433</v>
      </c>
      <c r="K148" s="13" t="s">
        <v>95</v>
      </c>
      <c r="L148" s="7" t="s">
        <v>549</v>
      </c>
      <c r="M148" s="14">
        <v>1</v>
      </c>
      <c r="N148" s="6"/>
      <c r="O148" s="15"/>
      <c r="P148" s="15"/>
      <c r="Q148" s="16"/>
      <c r="R148" s="15"/>
      <c r="S148" s="17"/>
      <c r="T148" s="15"/>
      <c r="U148" s="15"/>
      <c r="V148" s="15"/>
      <c r="W148" s="15"/>
    </row>
    <row r="149" spans="1:23">
      <c r="A149" s="6"/>
      <c r="B149" s="7"/>
      <c r="C149" s="7"/>
      <c r="D149" s="8"/>
      <c r="E149" s="9" t="s">
        <v>550</v>
      </c>
      <c r="F149" s="7"/>
      <c r="G149" s="10"/>
      <c r="H149" s="11"/>
      <c r="I149" s="12"/>
      <c r="J149" s="8"/>
      <c r="K149" s="13"/>
      <c r="L149" s="7"/>
      <c r="M149" s="14">
        <v>1</v>
      </c>
      <c r="N149" s="6"/>
      <c r="O149" s="15"/>
      <c r="P149" s="15"/>
      <c r="Q149" s="16"/>
      <c r="R149" s="15"/>
      <c r="S149" s="17"/>
      <c r="T149" s="15"/>
      <c r="U149" s="15"/>
      <c r="V149" s="15"/>
      <c r="W149" s="15"/>
    </row>
    <row r="150" spans="1:23">
      <c r="A150" s="6" t="s">
        <v>551</v>
      </c>
      <c r="B150" s="7" t="s">
        <v>552</v>
      </c>
      <c r="C150" s="7">
        <v>3.82</v>
      </c>
      <c r="D150" s="8">
        <v>0.008294</v>
      </c>
      <c r="E150" s="9" t="s">
        <v>553</v>
      </c>
      <c r="F150" s="7">
        <v>13565</v>
      </c>
      <c r="G150" s="10" t="s">
        <v>554</v>
      </c>
      <c r="H150" s="11" t="s">
        <v>93</v>
      </c>
      <c r="I150" s="12" t="s">
        <v>555</v>
      </c>
      <c r="J150" s="8">
        <v>13870</v>
      </c>
      <c r="K150" s="13" t="s">
        <v>145</v>
      </c>
      <c r="L150" s="7" t="s">
        <v>556</v>
      </c>
      <c r="M150" s="14">
        <v>1</v>
      </c>
      <c r="N150" s="6"/>
      <c r="O150" s="15"/>
      <c r="P150" s="15"/>
      <c r="Q150" s="16"/>
      <c r="R150" s="15"/>
      <c r="S150" s="17"/>
      <c r="T150" s="15"/>
      <c r="U150" s="15"/>
      <c r="V150" s="15"/>
      <c r="W150" s="15"/>
    </row>
    <row r="151" spans="1:23">
      <c r="A151" s="6"/>
      <c r="B151" s="7"/>
      <c r="C151" s="7"/>
      <c r="D151" s="8"/>
      <c r="E151" s="9" t="s">
        <v>557</v>
      </c>
      <c r="F151" s="7"/>
      <c r="G151" s="10"/>
      <c r="H151" s="11"/>
      <c r="I151" s="12"/>
      <c r="J151" s="8"/>
      <c r="K151" s="13"/>
      <c r="L151" s="7"/>
      <c r="M151" s="14">
        <v>1</v>
      </c>
      <c r="N151" s="6"/>
      <c r="O151" s="15"/>
      <c r="P151" s="15"/>
      <c r="Q151" s="16"/>
      <c r="R151" s="15"/>
      <c r="S151" s="17"/>
      <c r="T151" s="15"/>
      <c r="U151" s="15"/>
      <c r="V151" s="15"/>
      <c r="W151" s="15"/>
    </row>
    <row r="152" spans="1:23">
      <c r="A152" s="6"/>
      <c r="B152" s="7"/>
      <c r="C152" s="7"/>
      <c r="D152" s="8"/>
      <c r="E152" s="9" t="s">
        <v>558</v>
      </c>
      <c r="F152" s="7"/>
      <c r="G152" s="10"/>
      <c r="H152" s="11"/>
      <c r="I152" s="12"/>
      <c r="J152" s="8"/>
      <c r="K152" s="13"/>
      <c r="L152" s="7"/>
      <c r="M152" s="14">
        <v>1</v>
      </c>
      <c r="N152" s="6"/>
      <c r="O152" s="15"/>
      <c r="P152" s="15"/>
      <c r="Q152" s="16"/>
      <c r="R152" s="15"/>
      <c r="S152" s="17"/>
      <c r="T152" s="15"/>
      <c r="U152" s="15"/>
      <c r="V152" s="15"/>
      <c r="W152" s="15"/>
    </row>
    <row r="153" spans="1:23">
      <c r="A153" s="6" t="s">
        <v>559</v>
      </c>
      <c r="B153" s="7" t="s">
        <v>560</v>
      </c>
      <c r="C153" s="7">
        <v>4.89</v>
      </c>
      <c r="D153" s="8">
        <v>0.011011</v>
      </c>
      <c r="E153" s="9" t="s">
        <v>561</v>
      </c>
      <c r="F153" s="7">
        <v>11952</v>
      </c>
      <c r="G153" s="10" t="s">
        <v>562</v>
      </c>
      <c r="H153" s="11" t="s">
        <v>93</v>
      </c>
      <c r="I153" s="12" t="s">
        <v>563</v>
      </c>
      <c r="J153" s="8">
        <v>17411</v>
      </c>
      <c r="K153" s="13" t="s">
        <v>195</v>
      </c>
      <c r="L153" s="7" t="s">
        <v>564</v>
      </c>
      <c r="M153" s="14">
        <v>1</v>
      </c>
      <c r="N153" s="6"/>
      <c r="O153" s="15"/>
      <c r="P153" s="15"/>
      <c r="Q153" s="16"/>
      <c r="R153" s="15"/>
      <c r="S153" s="17"/>
      <c r="T153" s="15"/>
      <c r="U153" s="15"/>
      <c r="V153" s="15"/>
      <c r="W153" s="15"/>
    </row>
    <row r="154" spans="1:23">
      <c r="A154" s="6"/>
      <c r="B154" s="7"/>
      <c r="C154" s="7"/>
      <c r="D154" s="8"/>
      <c r="E154" s="9" t="s">
        <v>565</v>
      </c>
      <c r="F154" s="7"/>
      <c r="G154" s="10"/>
      <c r="H154" s="11"/>
      <c r="I154" s="12"/>
      <c r="J154" s="8"/>
      <c r="K154" s="13"/>
      <c r="L154" s="7"/>
      <c r="M154" s="14">
        <v>1</v>
      </c>
      <c r="N154" s="6"/>
      <c r="O154" s="15"/>
      <c r="P154" s="15"/>
      <c r="Q154" s="16"/>
      <c r="R154" s="15"/>
      <c r="S154" s="17"/>
      <c r="T154" s="15"/>
      <c r="U154" s="15"/>
      <c r="V154" s="15"/>
      <c r="W154" s="15"/>
    </row>
    <row r="155" spans="1:23">
      <c r="A155" s="6" t="s">
        <v>566</v>
      </c>
      <c r="B155" s="7" t="s">
        <v>567</v>
      </c>
      <c r="C155" s="7">
        <v>4.64</v>
      </c>
      <c r="D155" s="8">
        <v>0.014459</v>
      </c>
      <c r="E155" s="9" t="s">
        <v>568</v>
      </c>
      <c r="F155" s="7">
        <v>1455</v>
      </c>
      <c r="G155" s="10" t="s">
        <v>569</v>
      </c>
      <c r="H155" s="11" t="s">
        <v>93</v>
      </c>
      <c r="I155" s="12" t="s">
        <v>570</v>
      </c>
      <c r="J155" s="8">
        <v>17411</v>
      </c>
      <c r="K155" s="13" t="s">
        <v>195</v>
      </c>
      <c r="L155" s="7" t="s">
        <v>571</v>
      </c>
      <c r="M155" s="14">
        <v>1</v>
      </c>
      <c r="N155" s="6"/>
      <c r="O155" s="15"/>
      <c r="P155" s="15"/>
      <c r="Q155" s="16"/>
      <c r="R155" s="15"/>
      <c r="S155" s="17"/>
      <c r="T155" s="15"/>
      <c r="U155" s="15"/>
      <c r="V155" s="15"/>
      <c r="W155" s="15"/>
    </row>
    <row r="156" spans="1:23">
      <c r="A156" s="6"/>
      <c r="B156" s="7"/>
      <c r="C156" s="7"/>
      <c r="D156" s="8"/>
      <c r="E156" s="9" t="s">
        <v>572</v>
      </c>
      <c r="F156" s="7"/>
      <c r="G156" s="10"/>
      <c r="H156" s="11"/>
      <c r="I156" s="12"/>
      <c r="J156" s="8"/>
      <c r="K156" s="13"/>
      <c r="L156" s="7"/>
      <c r="M156" s="14">
        <v>1</v>
      </c>
      <c r="N156" s="6"/>
      <c r="O156" s="15"/>
      <c r="P156" s="15"/>
      <c r="Q156" s="16"/>
      <c r="R156" s="15"/>
      <c r="S156" s="17"/>
      <c r="T156" s="15"/>
      <c r="U156" s="15"/>
      <c r="V156" s="15"/>
      <c r="W156" s="15"/>
    </row>
    <row r="157" spans="1:23">
      <c r="A157" s="6"/>
      <c r="B157" s="7"/>
      <c r="C157" s="7"/>
      <c r="D157" s="8"/>
      <c r="E157" s="9" t="s">
        <v>573</v>
      </c>
      <c r="F157" s="7"/>
      <c r="G157" s="10"/>
      <c r="H157" s="11"/>
      <c r="I157" s="12"/>
      <c r="J157" s="8"/>
      <c r="K157" s="13"/>
      <c r="L157" s="7"/>
      <c r="M157" s="14">
        <v>1</v>
      </c>
      <c r="N157" s="6"/>
      <c r="O157" s="15"/>
      <c r="P157" s="15"/>
      <c r="Q157" s="16"/>
      <c r="R157" s="15"/>
      <c r="S157" s="17"/>
      <c r="T157" s="15"/>
      <c r="U157" s="15"/>
      <c r="V157" s="15"/>
      <c r="W157" s="15"/>
    </row>
    <row r="158" spans="1:23">
      <c r="A158" s="6"/>
      <c r="B158" s="7"/>
      <c r="C158" s="7"/>
      <c r="D158" s="8"/>
      <c r="E158" s="9" t="s">
        <v>574</v>
      </c>
      <c r="F158" s="7"/>
      <c r="G158" s="10"/>
      <c r="H158" s="11"/>
      <c r="I158" s="12"/>
      <c r="J158" s="8"/>
      <c r="K158" s="13"/>
      <c r="L158" s="7"/>
      <c r="M158" s="14">
        <v>1</v>
      </c>
      <c r="N158" s="6"/>
      <c r="O158" s="15"/>
      <c r="P158" s="15"/>
      <c r="Q158" s="16"/>
      <c r="R158" s="15"/>
      <c r="S158" s="17"/>
      <c r="T158" s="15"/>
      <c r="U158" s="15"/>
      <c r="V158" s="15"/>
      <c r="W158" s="15"/>
    </row>
    <row r="159" spans="1:23">
      <c r="A159" s="6"/>
      <c r="B159" s="7"/>
      <c r="C159" s="7"/>
      <c r="D159" s="8"/>
      <c r="E159" s="9" t="s">
        <v>575</v>
      </c>
      <c r="F159" s="7"/>
      <c r="G159" s="10"/>
      <c r="H159" s="11"/>
      <c r="I159" s="12"/>
      <c r="J159" s="8"/>
      <c r="K159" s="13"/>
      <c r="L159" s="7"/>
      <c r="M159" s="14">
        <v>1</v>
      </c>
      <c r="N159" s="6"/>
      <c r="O159" s="15"/>
      <c r="P159" s="15"/>
      <c r="Q159" s="16"/>
      <c r="R159" s="15"/>
      <c r="S159" s="17"/>
      <c r="T159" s="15"/>
      <c r="U159" s="15"/>
      <c r="V159" s="15"/>
      <c r="W159" s="15"/>
    </row>
    <row r="160" spans="1:23">
      <c r="A160" s="6" t="s">
        <v>576</v>
      </c>
      <c r="B160" s="7" t="s">
        <v>577</v>
      </c>
      <c r="C160" s="7">
        <v>1.87</v>
      </c>
      <c r="D160" s="8">
        <v>0.006371</v>
      </c>
      <c r="E160" s="9" t="s">
        <v>578</v>
      </c>
      <c r="F160" s="7">
        <v>13278</v>
      </c>
      <c r="G160" s="10" t="s">
        <v>579</v>
      </c>
      <c r="H160" s="11" t="s">
        <v>93</v>
      </c>
      <c r="I160" s="12" t="s">
        <v>580</v>
      </c>
      <c r="J160" s="8">
        <v>17412</v>
      </c>
      <c r="K160" s="13" t="s">
        <v>195</v>
      </c>
      <c r="L160" s="7" t="s">
        <v>581</v>
      </c>
      <c r="M160" s="14">
        <v>1</v>
      </c>
      <c r="N160" s="6"/>
      <c r="O160" s="15"/>
      <c r="P160" s="15"/>
      <c r="Q160" s="16"/>
      <c r="R160" s="15"/>
      <c r="S160" s="17"/>
      <c r="T160" s="15"/>
      <c r="U160" s="15"/>
      <c r="V160" s="15"/>
      <c r="W160" s="15"/>
    </row>
    <row r="161" spans="1:23">
      <c r="A161" s="6"/>
      <c r="B161" s="7"/>
      <c r="C161" s="7"/>
      <c r="D161" s="8"/>
      <c r="E161" s="9" t="s">
        <v>582</v>
      </c>
      <c r="F161" s="7"/>
      <c r="G161" s="10"/>
      <c r="H161" s="11"/>
      <c r="I161" s="12"/>
      <c r="J161" s="8"/>
      <c r="K161" s="13"/>
      <c r="L161" s="7"/>
      <c r="M161" s="14">
        <v>1</v>
      </c>
      <c r="N161" s="6"/>
      <c r="O161" s="15"/>
      <c r="P161" s="15"/>
      <c r="Q161" s="16"/>
      <c r="R161" s="15"/>
      <c r="S161" s="17"/>
      <c r="T161" s="15"/>
      <c r="U161" s="15"/>
      <c r="V161" s="15"/>
      <c r="W161" s="15"/>
    </row>
    <row r="162" spans="1:23">
      <c r="A162" s="6"/>
      <c r="B162" s="7"/>
      <c r="C162" s="7"/>
      <c r="D162" s="8"/>
      <c r="E162" s="9" t="s">
        <v>583</v>
      </c>
      <c r="F162" s="7"/>
      <c r="G162" s="10"/>
      <c r="H162" s="11"/>
      <c r="I162" s="12"/>
      <c r="J162" s="8"/>
      <c r="K162" s="13"/>
      <c r="L162" s="7"/>
      <c r="M162" s="14">
        <v>1</v>
      </c>
      <c r="N162" s="6"/>
      <c r="O162" s="15"/>
      <c r="P162" s="15"/>
      <c r="Q162" s="16"/>
      <c r="R162" s="15"/>
      <c r="S162" s="17"/>
      <c r="T162" s="15"/>
      <c r="U162" s="15"/>
      <c r="V162" s="15"/>
      <c r="W162" s="15"/>
    </row>
    <row r="163" spans="1:23">
      <c r="A163" s="6" t="s">
        <v>584</v>
      </c>
      <c r="B163" s="7" t="s">
        <v>585</v>
      </c>
      <c r="C163" s="7">
        <v>2.7</v>
      </c>
      <c r="D163" s="8">
        <v>0.008998</v>
      </c>
      <c r="E163" s="9" t="s">
        <v>586</v>
      </c>
      <c r="F163" s="7">
        <v>11809</v>
      </c>
      <c r="G163" s="10" t="s">
        <v>587</v>
      </c>
      <c r="H163" s="11" t="s">
        <v>93</v>
      </c>
      <c r="I163" s="12" t="s">
        <v>588</v>
      </c>
      <c r="J163" s="8">
        <v>17413</v>
      </c>
      <c r="K163" s="13" t="s">
        <v>195</v>
      </c>
      <c r="L163" s="7" t="s">
        <v>589</v>
      </c>
      <c r="M163" s="14">
        <v>1</v>
      </c>
      <c r="N163" s="6"/>
      <c r="O163" s="15"/>
      <c r="P163" s="15"/>
      <c r="Q163" s="16"/>
      <c r="R163" s="15"/>
      <c r="S163" s="17"/>
      <c r="T163" s="15"/>
      <c r="U163" s="15"/>
      <c r="V163" s="15"/>
      <c r="W163" s="15"/>
    </row>
    <row r="164" spans="1:23">
      <c r="A164" s="6"/>
      <c r="B164" s="7"/>
      <c r="C164" s="7"/>
      <c r="D164" s="8"/>
      <c r="E164" s="9" t="s">
        <v>590</v>
      </c>
      <c r="F164" s="7"/>
      <c r="G164" s="10"/>
      <c r="H164" s="11"/>
      <c r="I164" s="12"/>
      <c r="J164" s="8"/>
      <c r="K164" s="13"/>
      <c r="L164" s="7"/>
      <c r="M164" s="14">
        <v>1</v>
      </c>
      <c r="N164" s="6"/>
      <c r="O164" s="15"/>
      <c r="P164" s="15"/>
      <c r="Q164" s="16"/>
      <c r="R164" s="15"/>
      <c r="S164" s="17"/>
      <c r="T164" s="15"/>
      <c r="U164" s="15"/>
      <c r="V164" s="15"/>
      <c r="W164" s="15"/>
    </row>
    <row r="165" spans="1:23">
      <c r="A165" s="6" t="s">
        <v>591</v>
      </c>
      <c r="B165" s="7" t="s">
        <v>592</v>
      </c>
      <c r="C165" s="7">
        <v>1.84</v>
      </c>
      <c r="D165" s="8">
        <v>0.00439</v>
      </c>
      <c r="E165" s="9" t="s">
        <v>593</v>
      </c>
      <c r="F165" s="7">
        <v>13267</v>
      </c>
      <c r="G165" s="10" t="s">
        <v>593</v>
      </c>
      <c r="H165" s="11" t="s">
        <v>93</v>
      </c>
      <c r="I165" s="12" t="s">
        <v>594</v>
      </c>
      <c r="J165" s="8">
        <v>16455</v>
      </c>
      <c r="K165" s="13" t="s">
        <v>95</v>
      </c>
      <c r="L165" s="7" t="s">
        <v>595</v>
      </c>
      <c r="M165" s="14">
        <v>1</v>
      </c>
      <c r="N165" s="6"/>
      <c r="O165" s="15"/>
      <c r="P165" s="15"/>
      <c r="Q165" s="16"/>
      <c r="R165" s="15"/>
      <c r="S165" s="17"/>
      <c r="T165" s="15"/>
      <c r="U165" s="15"/>
      <c r="V165" s="15"/>
      <c r="W165" s="15"/>
    </row>
    <row r="166" spans="1:23">
      <c r="A166" s="6" t="s">
        <v>596</v>
      </c>
      <c r="B166" s="7" t="s">
        <v>597</v>
      </c>
      <c r="C166" s="7">
        <v>1.88</v>
      </c>
      <c r="D166" s="8">
        <v>0.004806</v>
      </c>
      <c r="E166" s="9" t="s">
        <v>598</v>
      </c>
      <c r="F166" s="7">
        <v>778</v>
      </c>
      <c r="G166" s="10" t="s">
        <v>598</v>
      </c>
      <c r="H166" s="11" t="s">
        <v>93</v>
      </c>
      <c r="I166" s="12" t="s">
        <v>599</v>
      </c>
      <c r="J166" s="8">
        <v>16414</v>
      </c>
      <c r="K166" s="13" t="s">
        <v>95</v>
      </c>
      <c r="L166" s="7" t="s">
        <v>600</v>
      </c>
      <c r="M166" s="14">
        <v>1</v>
      </c>
      <c r="N166" s="6"/>
      <c r="O166" s="15"/>
      <c r="P166" s="15"/>
      <c r="Q166" s="16"/>
      <c r="R166" s="15"/>
      <c r="S166" s="17"/>
      <c r="T166" s="15"/>
      <c r="U166" s="15"/>
      <c r="V166" s="15"/>
      <c r="W166" s="15"/>
    </row>
    <row r="167" spans="1:23">
      <c r="A167" s="6" t="s">
        <v>601</v>
      </c>
      <c r="B167" s="7" t="s">
        <v>602</v>
      </c>
      <c r="C167" s="7">
        <v>6.17</v>
      </c>
      <c r="D167" s="8">
        <v>0.031223</v>
      </c>
      <c r="E167" s="9" t="s">
        <v>603</v>
      </c>
      <c r="F167" s="7">
        <v>642</v>
      </c>
      <c r="G167" s="10" t="s">
        <v>604</v>
      </c>
      <c r="H167" s="11" t="s">
        <v>93</v>
      </c>
      <c r="I167" s="12" t="s">
        <v>605</v>
      </c>
      <c r="J167" s="8">
        <v>16452</v>
      </c>
      <c r="K167" s="13" t="s">
        <v>95</v>
      </c>
      <c r="L167" s="7" t="s">
        <v>606</v>
      </c>
      <c r="M167" s="14">
        <v>1</v>
      </c>
      <c r="N167" s="6"/>
      <c r="O167" s="15"/>
      <c r="P167" s="15"/>
      <c r="Q167" s="16"/>
      <c r="R167" s="15"/>
      <c r="S167" s="17"/>
      <c r="T167" s="15"/>
      <c r="U167" s="15"/>
      <c r="V167" s="15"/>
      <c r="W167" s="15"/>
    </row>
    <row r="168" spans="1:23">
      <c r="A168" s="6"/>
      <c r="B168" s="7"/>
      <c r="C168" s="7"/>
      <c r="D168" s="8"/>
      <c r="E168" s="9" t="s">
        <v>607</v>
      </c>
      <c r="F168" s="7"/>
      <c r="G168" s="10"/>
      <c r="H168" s="11"/>
      <c r="I168" s="12"/>
      <c r="J168" s="8"/>
      <c r="K168" s="13"/>
      <c r="L168" s="7"/>
      <c r="M168" s="14">
        <v>1</v>
      </c>
      <c r="N168" s="6"/>
      <c r="O168" s="15"/>
      <c r="P168" s="15"/>
      <c r="Q168" s="16"/>
      <c r="R168" s="15"/>
      <c r="S168" s="17"/>
      <c r="T168" s="15"/>
      <c r="U168" s="15"/>
      <c r="V168" s="15"/>
      <c r="W168" s="15"/>
    </row>
    <row r="169" spans="1:23">
      <c r="A169" s="6"/>
      <c r="B169" s="7"/>
      <c r="C169" s="7"/>
      <c r="D169" s="8"/>
      <c r="E169" s="9" t="s">
        <v>608</v>
      </c>
      <c r="F169" s="7"/>
      <c r="G169" s="10"/>
      <c r="H169" s="11"/>
      <c r="I169" s="12"/>
      <c r="J169" s="8"/>
      <c r="K169" s="13"/>
      <c r="L169" s="7"/>
      <c r="M169" s="14">
        <v>1</v>
      </c>
      <c r="N169" s="6"/>
      <c r="O169" s="15"/>
      <c r="P169" s="15"/>
      <c r="Q169" s="16"/>
      <c r="R169" s="15"/>
      <c r="S169" s="17"/>
      <c r="T169" s="15"/>
      <c r="U169" s="15"/>
      <c r="V169" s="15"/>
      <c r="W169" s="15"/>
    </row>
    <row r="170" spans="1:23">
      <c r="A170" s="6"/>
      <c r="B170" s="7"/>
      <c r="C170" s="7"/>
      <c r="D170" s="8"/>
      <c r="E170" s="9" t="s">
        <v>609</v>
      </c>
      <c r="F170" s="7"/>
      <c r="G170" s="10"/>
      <c r="H170" s="11"/>
      <c r="I170" s="12"/>
      <c r="J170" s="8"/>
      <c r="K170" s="13"/>
      <c r="L170" s="7"/>
      <c r="M170" s="14">
        <v>1</v>
      </c>
      <c r="N170" s="6"/>
      <c r="O170" s="15"/>
      <c r="P170" s="15"/>
      <c r="Q170" s="16"/>
      <c r="R170" s="15"/>
      <c r="S170" s="17"/>
      <c r="T170" s="15"/>
      <c r="U170" s="15"/>
      <c r="V170" s="15"/>
      <c r="W170" s="15"/>
    </row>
    <row r="171" spans="1:23">
      <c r="A171" s="6"/>
      <c r="B171" s="7"/>
      <c r="C171" s="7"/>
      <c r="D171" s="8"/>
      <c r="E171" s="9" t="s">
        <v>610</v>
      </c>
      <c r="F171" s="7"/>
      <c r="G171" s="10"/>
      <c r="H171" s="11"/>
      <c r="I171" s="12"/>
      <c r="J171" s="8"/>
      <c r="K171" s="13"/>
      <c r="L171" s="7"/>
      <c r="M171" s="14">
        <v>1</v>
      </c>
      <c r="N171" s="6"/>
      <c r="O171" s="15"/>
      <c r="P171" s="15"/>
      <c r="Q171" s="16"/>
      <c r="R171" s="15"/>
      <c r="S171" s="17"/>
      <c r="T171" s="15"/>
      <c r="U171" s="15"/>
      <c r="V171" s="15"/>
      <c r="W171" s="15"/>
    </row>
    <row r="172" spans="1:23">
      <c r="A172" s="6" t="s">
        <v>611</v>
      </c>
      <c r="B172" s="7" t="s">
        <v>612</v>
      </c>
      <c r="C172" s="7">
        <v>12.87</v>
      </c>
      <c r="D172" s="8">
        <v>0.02179</v>
      </c>
      <c r="E172" s="9" t="s">
        <v>613</v>
      </c>
      <c r="F172" s="7">
        <v>10824</v>
      </c>
      <c r="G172" s="10" t="s">
        <v>614</v>
      </c>
      <c r="H172" s="11" t="s">
        <v>93</v>
      </c>
      <c r="I172" s="12" t="s">
        <v>615</v>
      </c>
      <c r="J172" s="8">
        <v>17416</v>
      </c>
      <c r="K172" s="13" t="s">
        <v>195</v>
      </c>
      <c r="L172" s="7" t="s">
        <v>616</v>
      </c>
      <c r="M172" s="14">
        <v>1</v>
      </c>
      <c r="N172" s="6"/>
      <c r="O172" s="15"/>
      <c r="P172" s="15"/>
      <c r="Q172" s="16"/>
      <c r="R172" s="15"/>
      <c r="S172" s="17"/>
      <c r="T172" s="15"/>
      <c r="U172" s="15"/>
      <c r="V172" s="15"/>
      <c r="W172" s="15"/>
    </row>
    <row r="173" spans="1:23">
      <c r="A173" s="6"/>
      <c r="B173" s="7"/>
      <c r="C173" s="7"/>
      <c r="D173" s="8"/>
      <c r="E173" s="9" t="s">
        <v>617</v>
      </c>
      <c r="F173" s="7"/>
      <c r="G173" s="10"/>
      <c r="H173" s="11"/>
      <c r="I173" s="12"/>
      <c r="J173" s="8"/>
      <c r="K173" s="13"/>
      <c r="L173" s="7"/>
      <c r="M173" s="14">
        <v>2</v>
      </c>
      <c r="N173" s="6"/>
      <c r="O173" s="15"/>
      <c r="P173" s="15"/>
      <c r="Q173" s="16"/>
      <c r="R173" s="15"/>
      <c r="S173" s="17"/>
      <c r="T173" s="15"/>
      <c r="U173" s="15"/>
      <c r="V173" s="15"/>
      <c r="W173" s="15"/>
    </row>
    <row r="174" spans="1:23">
      <c r="A174" s="6" t="s">
        <v>618</v>
      </c>
      <c r="B174" s="7" t="s">
        <v>619</v>
      </c>
      <c r="C174" s="7">
        <v>5.5</v>
      </c>
      <c r="D174" s="8">
        <v>0.023026</v>
      </c>
      <c r="E174" s="9" t="s">
        <v>620</v>
      </c>
      <c r="F174" s="7">
        <v>1139</v>
      </c>
      <c r="G174" s="10" t="s">
        <v>621</v>
      </c>
      <c r="H174" s="11" t="s">
        <v>93</v>
      </c>
      <c r="I174" s="12" t="s">
        <v>622</v>
      </c>
      <c r="J174" s="8">
        <v>16512</v>
      </c>
      <c r="K174" s="13" t="s">
        <v>95</v>
      </c>
      <c r="L174" s="7" t="s">
        <v>623</v>
      </c>
      <c r="M174" s="14">
        <v>1</v>
      </c>
      <c r="N174" s="6"/>
      <c r="O174" s="15"/>
      <c r="P174" s="15"/>
      <c r="Q174" s="16"/>
      <c r="R174" s="15"/>
      <c r="S174" s="17"/>
      <c r="T174" s="15"/>
      <c r="U174" s="15"/>
      <c r="V174" s="15"/>
      <c r="W174" s="15"/>
    </row>
    <row r="175" spans="1:23">
      <c r="A175" s="6"/>
      <c r="B175" s="7"/>
      <c r="C175" s="7"/>
      <c r="D175" s="8"/>
      <c r="E175" s="9" t="s">
        <v>624</v>
      </c>
      <c r="F175" s="7"/>
      <c r="G175" s="10"/>
      <c r="H175" s="11"/>
      <c r="I175" s="12"/>
      <c r="J175" s="8"/>
      <c r="K175" s="13"/>
      <c r="L175" s="7"/>
      <c r="M175" s="14">
        <v>1</v>
      </c>
      <c r="N175" s="6"/>
      <c r="O175" s="15"/>
      <c r="P175" s="15"/>
      <c r="Q175" s="16"/>
      <c r="R175" s="15"/>
      <c r="S175" s="17"/>
      <c r="T175" s="15"/>
      <c r="U175" s="15"/>
      <c r="V175" s="15"/>
      <c r="W175" s="15"/>
    </row>
    <row r="176" spans="1:23">
      <c r="A176" s="6" t="s">
        <v>625</v>
      </c>
      <c r="B176" s="7" t="s">
        <v>626</v>
      </c>
      <c r="C176" s="7">
        <v>1.37</v>
      </c>
      <c r="D176" s="8">
        <v>0.003193</v>
      </c>
      <c r="E176" s="9" t="s">
        <v>627</v>
      </c>
      <c r="F176" s="7">
        <v>15548</v>
      </c>
      <c r="G176" s="10" t="s">
        <v>628</v>
      </c>
      <c r="H176" s="11" t="s">
        <v>93</v>
      </c>
      <c r="I176" s="12" t="s">
        <v>629</v>
      </c>
      <c r="J176" s="8">
        <v>16516</v>
      </c>
      <c r="K176" s="13" t="s">
        <v>95</v>
      </c>
      <c r="L176" s="7" t="s">
        <v>630</v>
      </c>
      <c r="M176" s="14">
        <v>1</v>
      </c>
      <c r="N176" s="6"/>
      <c r="O176" s="15"/>
      <c r="P176" s="15"/>
      <c r="Q176" s="16"/>
      <c r="R176" s="15"/>
      <c r="S176" s="17"/>
      <c r="T176" s="15"/>
      <c r="U176" s="15"/>
      <c r="V176" s="15"/>
      <c r="W176" s="15"/>
    </row>
    <row r="177" spans="1:23">
      <c r="A177" s="6"/>
      <c r="B177" s="7"/>
      <c r="C177" s="7"/>
      <c r="D177" s="8"/>
      <c r="E177" s="9" t="s">
        <v>631</v>
      </c>
      <c r="F177" s="7"/>
      <c r="G177" s="10"/>
      <c r="H177" s="11"/>
      <c r="I177" s="12"/>
      <c r="J177" s="8"/>
      <c r="K177" s="13"/>
      <c r="L177" s="7"/>
      <c r="M177" s="14">
        <v>1</v>
      </c>
      <c r="N177" s="6"/>
      <c r="O177" s="15"/>
      <c r="P177" s="15"/>
      <c r="Q177" s="16"/>
      <c r="R177" s="15"/>
      <c r="S177" s="17"/>
      <c r="T177" s="15"/>
      <c r="U177" s="15"/>
      <c r="V177" s="15"/>
      <c r="W177" s="15"/>
    </row>
    <row r="178" spans="1:23">
      <c r="A178" s="6"/>
      <c r="B178" s="7"/>
      <c r="C178" s="7"/>
      <c r="D178" s="8"/>
      <c r="E178" s="9" t="s">
        <v>632</v>
      </c>
      <c r="F178" s="7"/>
      <c r="G178" s="10"/>
      <c r="H178" s="11"/>
      <c r="I178" s="12"/>
      <c r="J178" s="8"/>
      <c r="K178" s="13"/>
      <c r="L178" s="7"/>
      <c r="M178" s="14">
        <v>1</v>
      </c>
      <c r="N178" s="6"/>
      <c r="O178" s="15"/>
      <c r="P178" s="15"/>
      <c r="Q178" s="16"/>
      <c r="R178" s="15"/>
      <c r="S178" s="17"/>
      <c r="T178" s="15"/>
      <c r="U178" s="15"/>
      <c r="V178" s="15"/>
      <c r="W178" s="15"/>
    </row>
    <row r="179" spans="1:23">
      <c r="A179" s="6" t="s">
        <v>633</v>
      </c>
      <c r="B179" s="7" t="s">
        <v>634</v>
      </c>
      <c r="C179" s="7">
        <v>0.78</v>
      </c>
      <c r="D179" s="8">
        <v>0.00451</v>
      </c>
      <c r="E179" s="9" t="s">
        <v>635</v>
      </c>
      <c r="F179" s="7">
        <v>9256</v>
      </c>
      <c r="G179" s="10" t="s">
        <v>636</v>
      </c>
      <c r="H179" s="11" t="s">
        <v>93</v>
      </c>
      <c r="I179" s="12" t="s">
        <v>637</v>
      </c>
      <c r="J179" s="8">
        <v>16518</v>
      </c>
      <c r="K179" s="13" t="s">
        <v>95</v>
      </c>
      <c r="L179" s="7" t="s">
        <v>638</v>
      </c>
      <c r="M179" s="14">
        <v>1</v>
      </c>
      <c r="N179" s="6"/>
      <c r="O179" s="15"/>
      <c r="P179" s="15"/>
      <c r="Q179" s="16"/>
      <c r="R179" s="15"/>
      <c r="S179" s="17"/>
      <c r="T179" s="15"/>
      <c r="U179" s="15"/>
      <c r="V179" s="15"/>
      <c r="W179" s="15"/>
    </row>
    <row r="180" spans="1:23">
      <c r="A180" s="6"/>
      <c r="B180" s="7"/>
      <c r="C180" s="7"/>
      <c r="D180" s="8"/>
      <c r="E180" s="9" t="s">
        <v>639</v>
      </c>
      <c r="F180" s="7"/>
      <c r="G180" s="10"/>
      <c r="H180" s="11"/>
      <c r="I180" s="12"/>
      <c r="J180" s="8"/>
      <c r="K180" s="13"/>
      <c r="L180" s="7"/>
      <c r="M180" s="14">
        <v>1</v>
      </c>
      <c r="N180" s="6"/>
      <c r="O180" s="15"/>
      <c r="P180" s="15"/>
      <c r="Q180" s="16"/>
      <c r="R180" s="15"/>
      <c r="S180" s="17"/>
      <c r="T180" s="15"/>
      <c r="U180" s="15"/>
      <c r="V180" s="15"/>
      <c r="W180" s="15"/>
    </row>
    <row r="181" spans="1:23">
      <c r="A181" s="6"/>
      <c r="B181" s="7"/>
      <c r="C181" s="7"/>
      <c r="D181" s="8"/>
      <c r="E181" s="9" t="s">
        <v>640</v>
      </c>
      <c r="F181" s="7"/>
      <c r="G181" s="10"/>
      <c r="H181" s="11"/>
      <c r="I181" s="12"/>
      <c r="J181" s="8"/>
      <c r="K181" s="13"/>
      <c r="L181" s="7"/>
      <c r="M181" s="14">
        <v>1</v>
      </c>
      <c r="N181" s="6"/>
      <c r="O181" s="15"/>
      <c r="P181" s="15"/>
      <c r="Q181" s="16"/>
      <c r="R181" s="15"/>
      <c r="S181" s="17"/>
      <c r="T181" s="15"/>
      <c r="U181" s="15"/>
      <c r="V181" s="15"/>
      <c r="W181" s="15"/>
    </row>
    <row r="182" spans="1:23">
      <c r="A182" s="6"/>
      <c r="B182" s="7"/>
      <c r="C182" s="7"/>
      <c r="D182" s="8"/>
      <c r="E182" s="9" t="s">
        <v>641</v>
      </c>
      <c r="F182" s="7"/>
      <c r="G182" s="10"/>
      <c r="H182" s="11"/>
      <c r="I182" s="12"/>
      <c r="J182" s="8"/>
      <c r="K182" s="13"/>
      <c r="L182" s="7"/>
      <c r="M182" s="14"/>
      <c r="N182" s="6"/>
      <c r="O182" s="15"/>
      <c r="P182" s="15"/>
      <c r="Q182" s="16"/>
      <c r="R182" s="15"/>
      <c r="S182" s="17"/>
      <c r="T182" s="15"/>
      <c r="U182" s="15"/>
      <c r="V182" s="15"/>
      <c r="W182" s="15"/>
    </row>
    <row r="183" spans="1:23">
      <c r="A183" s="6" t="s">
        <v>642</v>
      </c>
      <c r="B183" s="7" t="s">
        <v>643</v>
      </c>
      <c r="C183" s="7">
        <v>0.32</v>
      </c>
      <c r="D183" s="8">
        <v>0.001476</v>
      </c>
      <c r="E183" s="9" t="s">
        <v>644</v>
      </c>
      <c r="F183" s="7">
        <v>2138</v>
      </c>
      <c r="G183" s="10" t="s">
        <v>644</v>
      </c>
      <c r="H183" s="11" t="s">
        <v>93</v>
      </c>
      <c r="I183" s="12" t="s">
        <v>645</v>
      </c>
      <c r="J183" s="8">
        <v>16436</v>
      </c>
      <c r="K183" s="13" t="s">
        <v>95</v>
      </c>
      <c r="L183" s="7" t="s">
        <v>646</v>
      </c>
      <c r="M183" s="14">
        <v>1</v>
      </c>
      <c r="N183" s="6"/>
      <c r="O183" s="15"/>
      <c r="P183" s="15"/>
      <c r="Q183" s="16"/>
      <c r="R183" s="15"/>
      <c r="S183" s="17"/>
      <c r="T183" s="15"/>
      <c r="U183" s="15"/>
      <c r="V183" s="15"/>
      <c r="W183" s="15"/>
    </row>
    <row r="184" spans="1:23">
      <c r="A184" s="6" t="s">
        <v>647</v>
      </c>
      <c r="B184" s="7" t="s">
        <v>648</v>
      </c>
      <c r="C184" s="7">
        <v>3</v>
      </c>
      <c r="D184" s="8">
        <v>0.008776</v>
      </c>
      <c r="E184" s="9" t="s">
        <v>649</v>
      </c>
      <c r="F184" s="7">
        <v>103</v>
      </c>
      <c r="G184" s="10" t="s">
        <v>650</v>
      </c>
      <c r="H184" s="11" t="s">
        <v>93</v>
      </c>
      <c r="I184" s="12" t="s">
        <v>651</v>
      </c>
      <c r="J184" s="8">
        <v>17411</v>
      </c>
      <c r="K184" s="13" t="s">
        <v>195</v>
      </c>
      <c r="L184" s="7" t="s">
        <v>652</v>
      </c>
      <c r="M184" s="14">
        <v>1</v>
      </c>
      <c r="N184" s="6"/>
      <c r="O184" s="15"/>
      <c r="P184" s="15"/>
      <c r="Q184" s="16"/>
      <c r="R184" s="15"/>
      <c r="S184" s="17"/>
      <c r="T184" s="15"/>
      <c r="U184" s="15"/>
      <c r="V184" s="15"/>
      <c r="W184" s="15"/>
    </row>
    <row r="185" spans="1:23">
      <c r="A185" s="6"/>
      <c r="B185" s="7"/>
      <c r="C185" s="7"/>
      <c r="D185" s="8"/>
      <c r="E185" s="9" t="s">
        <v>653</v>
      </c>
      <c r="F185" s="7"/>
      <c r="G185" s="10"/>
      <c r="H185" s="11"/>
      <c r="I185" s="12"/>
      <c r="J185" s="8"/>
      <c r="K185" s="13"/>
      <c r="L185" s="7"/>
      <c r="M185" s="14">
        <v>1</v>
      </c>
      <c r="N185" s="6"/>
      <c r="O185" s="15"/>
      <c r="P185" s="15"/>
      <c r="Q185" s="16"/>
      <c r="R185" s="15"/>
      <c r="S185" s="17"/>
      <c r="T185" s="15"/>
      <c r="U185" s="15"/>
      <c r="V185" s="15"/>
      <c r="W185" s="15"/>
    </row>
    <row r="186" spans="1:23">
      <c r="A186" s="6" t="s">
        <v>654</v>
      </c>
      <c r="B186" s="7" t="s">
        <v>655</v>
      </c>
      <c r="C186" s="7">
        <v>0.11</v>
      </c>
      <c r="D186" s="8">
        <v>0.00045</v>
      </c>
      <c r="E186" s="9" t="s">
        <v>656</v>
      </c>
      <c r="F186" s="7">
        <v>12281</v>
      </c>
      <c r="G186" s="10" t="s">
        <v>656</v>
      </c>
      <c r="H186" s="11" t="s">
        <v>93</v>
      </c>
      <c r="I186" s="12" t="s">
        <v>657</v>
      </c>
      <c r="J186" s="8">
        <v>13720</v>
      </c>
      <c r="K186" s="13" t="s">
        <v>145</v>
      </c>
      <c r="L186" s="7" t="s">
        <v>658</v>
      </c>
      <c r="M186" s="14">
        <v>1</v>
      </c>
      <c r="N186" s="6"/>
      <c r="O186" s="15"/>
      <c r="P186" s="15"/>
      <c r="Q186" s="16"/>
      <c r="R186" s="15"/>
      <c r="S186" s="17"/>
      <c r="T186" s="15"/>
      <c r="U186" s="15"/>
      <c r="V186" s="15"/>
      <c r="W186" s="15"/>
    </row>
    <row r="187" spans="1:23">
      <c r="A187" s="6" t="s">
        <v>659</v>
      </c>
      <c r="B187" s="7" t="s">
        <v>660</v>
      </c>
      <c r="C187" s="7">
        <v>1.33</v>
      </c>
      <c r="D187" s="8">
        <v>0.004428</v>
      </c>
      <c r="E187" s="9" t="s">
        <v>661</v>
      </c>
      <c r="F187" s="7">
        <v>8423</v>
      </c>
      <c r="G187" s="10" t="s">
        <v>662</v>
      </c>
      <c r="H187" s="11" t="s">
        <v>93</v>
      </c>
      <c r="I187" s="12" t="s">
        <v>663</v>
      </c>
      <c r="J187" s="8">
        <v>13840</v>
      </c>
      <c r="K187" s="13" t="s">
        <v>145</v>
      </c>
      <c r="L187" s="7" t="s">
        <v>664</v>
      </c>
      <c r="M187" s="14">
        <v>1</v>
      </c>
      <c r="N187" s="6"/>
      <c r="O187" s="15"/>
      <c r="P187" s="15"/>
      <c r="Q187" s="16"/>
      <c r="R187" s="15"/>
      <c r="S187" s="17"/>
      <c r="T187" s="15"/>
      <c r="U187" s="15"/>
      <c r="V187" s="15"/>
      <c r="W187" s="15"/>
    </row>
    <row r="188" spans="1:23">
      <c r="A188" s="6"/>
      <c r="B188" s="7"/>
      <c r="C188" s="7"/>
      <c r="D188" s="8"/>
      <c r="E188" s="9" t="s">
        <v>665</v>
      </c>
      <c r="F188" s="7"/>
      <c r="G188" s="10"/>
      <c r="H188" s="11"/>
      <c r="I188" s="12"/>
      <c r="J188" s="8"/>
      <c r="K188" s="13"/>
      <c r="L188" s="7"/>
      <c r="M188" s="14">
        <v>1</v>
      </c>
      <c r="N188" s="6"/>
      <c r="O188" s="15"/>
      <c r="P188" s="15"/>
      <c r="Q188" s="16"/>
      <c r="R188" s="15"/>
      <c r="S188" s="17"/>
      <c r="T188" s="15"/>
      <c r="U188" s="15"/>
      <c r="V188" s="15"/>
      <c r="W188" s="15"/>
    </row>
    <row r="189" spans="1:23">
      <c r="A189" s="6"/>
      <c r="B189" s="7"/>
      <c r="C189" s="7"/>
      <c r="D189" s="8"/>
      <c r="E189" s="9" t="s">
        <v>666</v>
      </c>
      <c r="F189" s="7"/>
      <c r="G189" s="10"/>
      <c r="H189" s="11"/>
      <c r="I189" s="12"/>
      <c r="J189" s="8"/>
      <c r="K189" s="13"/>
      <c r="L189" s="7"/>
      <c r="M189" s="14">
        <v>1</v>
      </c>
      <c r="N189" s="6"/>
      <c r="O189" s="15"/>
      <c r="P189" s="15"/>
      <c r="Q189" s="16"/>
      <c r="R189" s="15"/>
      <c r="S189" s="17"/>
      <c r="T189" s="15"/>
      <c r="U189" s="15"/>
      <c r="V189" s="15"/>
      <c r="W189" s="15"/>
    </row>
    <row r="190" spans="1:23">
      <c r="A190" s="6" t="s">
        <v>667</v>
      </c>
      <c r="B190" s="7" t="s">
        <v>668</v>
      </c>
      <c r="C190" s="7">
        <v>0.34</v>
      </c>
      <c r="D190" s="8">
        <v>0.002524</v>
      </c>
      <c r="E190" s="9" t="s">
        <v>669</v>
      </c>
      <c r="F190" s="7">
        <v>12709</v>
      </c>
      <c r="G190" s="10" t="s">
        <v>670</v>
      </c>
      <c r="H190" s="11" t="s">
        <v>93</v>
      </c>
      <c r="I190" s="12" t="s">
        <v>671</v>
      </c>
      <c r="J190" s="8">
        <v>16412</v>
      </c>
      <c r="K190" s="13" t="s">
        <v>95</v>
      </c>
      <c r="L190" s="7" t="s">
        <v>672</v>
      </c>
      <c r="M190" s="14">
        <v>1</v>
      </c>
      <c r="N190" s="6"/>
      <c r="O190" s="15"/>
      <c r="P190" s="15"/>
      <c r="Q190" s="16"/>
      <c r="R190" s="15"/>
      <c r="S190" s="17"/>
      <c r="T190" s="15"/>
      <c r="U190" s="15"/>
      <c r="V190" s="15"/>
      <c r="W190" s="15"/>
    </row>
    <row r="191" spans="1:23">
      <c r="A191" s="6"/>
      <c r="B191" s="7"/>
      <c r="C191" s="7"/>
      <c r="D191" s="8"/>
      <c r="E191" s="9" t="s">
        <v>673</v>
      </c>
      <c r="F191" s="7"/>
      <c r="G191" s="10"/>
      <c r="H191" s="11"/>
      <c r="I191" s="12"/>
      <c r="J191" s="8"/>
      <c r="K191" s="13"/>
      <c r="L191" s="7"/>
      <c r="M191" s="14">
        <v>1</v>
      </c>
      <c r="N191" s="6"/>
      <c r="O191" s="15"/>
      <c r="P191" s="15"/>
      <c r="Q191" s="16"/>
      <c r="R191" s="15"/>
      <c r="S191" s="17"/>
      <c r="T191" s="15"/>
      <c r="U191" s="15"/>
      <c r="V191" s="15"/>
      <c r="W191" s="15"/>
    </row>
    <row r="192" spans="1:23">
      <c r="A192" s="6"/>
      <c r="B192" s="7"/>
      <c r="C192" s="7"/>
      <c r="D192" s="8"/>
      <c r="E192" s="9" t="s">
        <v>674</v>
      </c>
      <c r="F192" s="7"/>
      <c r="G192" s="10"/>
      <c r="H192" s="11"/>
      <c r="I192" s="12"/>
      <c r="J192" s="8"/>
      <c r="K192" s="13"/>
      <c r="L192" s="7"/>
      <c r="M192" s="14">
        <v>1</v>
      </c>
      <c r="N192" s="6"/>
      <c r="O192" s="15"/>
      <c r="P192" s="15"/>
      <c r="Q192" s="16"/>
      <c r="R192" s="15"/>
      <c r="S192" s="17"/>
      <c r="T192" s="15"/>
      <c r="U192" s="15"/>
      <c r="V192" s="15"/>
      <c r="W192" s="15"/>
    </row>
    <row r="193" spans="1:23">
      <c r="A193" s="6" t="s">
        <v>675</v>
      </c>
      <c r="B193" s="7" t="s">
        <v>676</v>
      </c>
      <c r="C193" s="7">
        <v>1.37</v>
      </c>
      <c r="D193" s="8">
        <v>0.005222</v>
      </c>
      <c r="E193" s="9" t="s">
        <v>677</v>
      </c>
      <c r="F193" s="7">
        <v>12007</v>
      </c>
      <c r="G193" s="10" t="s">
        <v>678</v>
      </c>
      <c r="H193" s="11" t="s">
        <v>93</v>
      </c>
      <c r="I193" s="12" t="s">
        <v>679</v>
      </c>
      <c r="J193" s="8">
        <v>16519</v>
      </c>
      <c r="K193" s="13" t="s">
        <v>95</v>
      </c>
      <c r="L193" s="7" t="s">
        <v>680</v>
      </c>
      <c r="M193" s="14">
        <v>1</v>
      </c>
      <c r="N193" s="6"/>
      <c r="O193" s="15"/>
      <c r="P193" s="15"/>
      <c r="Q193" s="16"/>
      <c r="R193" s="15"/>
      <c r="S193" s="17"/>
      <c r="T193" s="15"/>
      <c r="U193" s="15"/>
      <c r="V193" s="15"/>
      <c r="W193" s="15"/>
    </row>
    <row r="194" spans="1:23">
      <c r="A194" s="6"/>
      <c r="B194" s="7"/>
      <c r="C194" s="7"/>
      <c r="D194" s="8"/>
      <c r="E194" s="9" t="s">
        <v>681</v>
      </c>
      <c r="F194" s="7"/>
      <c r="G194" s="10"/>
      <c r="H194" s="11"/>
      <c r="I194" s="12"/>
      <c r="J194" s="8"/>
      <c r="K194" s="13"/>
      <c r="L194" s="7"/>
      <c r="M194" s="14">
        <v>1</v>
      </c>
      <c r="N194" s="6"/>
      <c r="O194" s="15"/>
      <c r="P194" s="15"/>
      <c r="Q194" s="16"/>
      <c r="R194" s="15"/>
      <c r="S194" s="17"/>
      <c r="T194" s="15"/>
      <c r="U194" s="15"/>
      <c r="V194" s="15"/>
      <c r="W194" s="15"/>
    </row>
    <row r="195" spans="1:23">
      <c r="A195" s="6" t="s">
        <v>682</v>
      </c>
      <c r="B195" s="7" t="s">
        <v>683</v>
      </c>
      <c r="C195" s="7">
        <v>21.85</v>
      </c>
      <c r="D195" s="8">
        <v>0.11853</v>
      </c>
      <c r="E195" s="9" t="s">
        <v>684</v>
      </c>
      <c r="F195" s="7">
        <v>1241</v>
      </c>
      <c r="G195" s="10" t="s">
        <v>684</v>
      </c>
      <c r="H195" s="11" t="s">
        <v>93</v>
      </c>
      <c r="I195" s="12" t="s">
        <v>685</v>
      </c>
      <c r="J195" s="8">
        <v>16417</v>
      </c>
      <c r="K195" s="13" t="s">
        <v>95</v>
      </c>
      <c r="L195" s="7" t="s">
        <v>686</v>
      </c>
      <c r="M195" s="14">
        <v>6</v>
      </c>
      <c r="N195" s="6"/>
      <c r="O195" s="15"/>
      <c r="P195" s="15"/>
      <c r="Q195" s="16"/>
      <c r="R195" s="15"/>
      <c r="S195" s="17"/>
      <c r="T195" s="15"/>
      <c r="U195" s="15"/>
      <c r="V195" s="15"/>
      <c r="W195" s="15"/>
    </row>
    <row r="196" spans="1:23">
      <c r="A196" s="6" t="s">
        <v>687</v>
      </c>
      <c r="B196" s="7" t="s">
        <v>688</v>
      </c>
      <c r="C196" s="7">
        <v>2.74</v>
      </c>
      <c r="D196" s="8">
        <v>0.010252</v>
      </c>
      <c r="E196" s="9" t="s">
        <v>689</v>
      </c>
      <c r="F196" s="7">
        <v>12048</v>
      </c>
      <c r="G196" s="10" t="s">
        <v>689</v>
      </c>
      <c r="H196" s="11" t="s">
        <v>93</v>
      </c>
      <c r="I196" s="12" t="s">
        <v>690</v>
      </c>
      <c r="J196" s="8">
        <v>16438</v>
      </c>
      <c r="K196" s="13" t="s">
        <v>95</v>
      </c>
      <c r="L196" s="7" t="s">
        <v>691</v>
      </c>
      <c r="M196" s="14">
        <v>2</v>
      </c>
      <c r="N196" s="6"/>
      <c r="O196" s="15"/>
      <c r="P196" s="15"/>
      <c r="Q196" s="16"/>
      <c r="R196" s="15"/>
      <c r="S196" s="17"/>
      <c r="T196" s="15"/>
      <c r="U196" s="15"/>
      <c r="V196" s="15"/>
      <c r="W196" s="15"/>
    </row>
    <row r="197" spans="1:23">
      <c r="A197" s="6" t="s">
        <v>692</v>
      </c>
      <c r="B197" s="7" t="s">
        <v>693</v>
      </c>
      <c r="C197" s="7">
        <v>2.84</v>
      </c>
      <c r="D197" s="8">
        <v>0.010446</v>
      </c>
      <c r="E197" s="9" t="s">
        <v>694</v>
      </c>
      <c r="F197" s="7">
        <v>11186</v>
      </c>
      <c r="G197" s="10" t="s">
        <v>695</v>
      </c>
      <c r="H197" s="11" t="s">
        <v>93</v>
      </c>
      <c r="I197" s="12" t="s">
        <v>696</v>
      </c>
      <c r="J197" s="8">
        <v>17414</v>
      </c>
      <c r="K197" s="13" t="s">
        <v>195</v>
      </c>
      <c r="L197" s="7" t="s">
        <v>697</v>
      </c>
      <c r="M197" s="14">
        <v>1</v>
      </c>
      <c r="N197" s="6"/>
      <c r="O197" s="15"/>
      <c r="P197" s="15"/>
      <c r="Q197" s="16"/>
      <c r="R197" s="15"/>
      <c r="S197" s="17"/>
      <c r="T197" s="15"/>
      <c r="U197" s="15"/>
      <c r="V197" s="15"/>
      <c r="W197" s="15"/>
    </row>
    <row r="198" spans="1:23">
      <c r="A198" s="6"/>
      <c r="B198" s="7"/>
      <c r="C198" s="7"/>
      <c r="D198" s="8"/>
      <c r="E198" s="9" t="s">
        <v>698</v>
      </c>
      <c r="F198" s="7"/>
      <c r="G198" s="10"/>
      <c r="H198" s="11"/>
      <c r="I198" s="12"/>
      <c r="J198" s="8"/>
      <c r="K198" s="13"/>
      <c r="L198" s="7"/>
      <c r="M198" s="14">
        <v>1</v>
      </c>
      <c r="N198" s="6"/>
      <c r="O198" s="15"/>
      <c r="P198" s="15"/>
      <c r="Q198" s="16"/>
      <c r="R198" s="15"/>
      <c r="S198" s="17"/>
      <c r="T198" s="15"/>
      <c r="U198" s="15"/>
      <c r="V198" s="15"/>
      <c r="W198" s="15"/>
    </row>
    <row r="199" spans="1:23">
      <c r="A199" s="6" t="s">
        <v>699</v>
      </c>
      <c r="B199" s="7" t="s">
        <v>700</v>
      </c>
      <c r="C199" s="7">
        <v>12.56</v>
      </c>
      <c r="D199" s="8">
        <v>0.051226</v>
      </c>
      <c r="E199" s="9" t="s">
        <v>701</v>
      </c>
      <c r="F199" s="7">
        <v>1675</v>
      </c>
      <c r="G199" s="10" t="s">
        <v>701</v>
      </c>
      <c r="H199" s="11" t="s">
        <v>93</v>
      </c>
      <c r="I199" s="12" t="s">
        <v>702</v>
      </c>
      <c r="J199" s="8">
        <v>16511</v>
      </c>
      <c r="K199" s="13" t="s">
        <v>95</v>
      </c>
      <c r="L199" s="7" t="s">
        <v>703</v>
      </c>
      <c r="M199" s="14">
        <v>2</v>
      </c>
      <c r="N199" s="6"/>
      <c r="O199" s="15"/>
      <c r="P199" s="15"/>
      <c r="Q199" s="16"/>
      <c r="R199" s="15"/>
      <c r="S199" s="17"/>
      <c r="T199" s="15"/>
      <c r="U199" s="15"/>
      <c r="V199" s="15"/>
      <c r="W199" s="15"/>
    </row>
    <row r="200" spans="1:23">
      <c r="A200" s="6" t="s">
        <v>704</v>
      </c>
      <c r="B200" s="7" t="s">
        <v>705</v>
      </c>
      <c r="C200" s="7">
        <v>1.46</v>
      </c>
      <c r="D200" s="8">
        <v>0.009453</v>
      </c>
      <c r="E200" s="9" t="s">
        <v>706</v>
      </c>
      <c r="F200" s="7">
        <v>11876</v>
      </c>
      <c r="G200" s="10" t="s">
        <v>706</v>
      </c>
      <c r="H200" s="11" t="s">
        <v>93</v>
      </c>
      <c r="I200" s="12" t="s">
        <v>707</v>
      </c>
      <c r="J200" s="8">
        <v>16455</v>
      </c>
      <c r="K200" s="13" t="s">
        <v>95</v>
      </c>
      <c r="L200" s="7" t="s">
        <v>708</v>
      </c>
      <c r="M200" s="14">
        <v>1</v>
      </c>
      <c r="N200" s="6"/>
      <c r="O200" s="15"/>
      <c r="P200" s="15"/>
      <c r="Q200" s="16"/>
      <c r="R200" s="15"/>
      <c r="S200" s="17"/>
      <c r="T200" s="15"/>
      <c r="U200" s="15"/>
      <c r="V200" s="15"/>
      <c r="W200" s="15"/>
    </row>
    <row r="201" spans="1:23">
      <c r="A201" s="6" t="s">
        <v>709</v>
      </c>
      <c r="B201" s="7" t="s">
        <v>710</v>
      </c>
      <c r="C201" s="7">
        <v>1.19</v>
      </c>
      <c r="D201" s="8">
        <v>0.01188</v>
      </c>
      <c r="E201" s="9" t="s">
        <v>711</v>
      </c>
      <c r="F201" s="7">
        <v>784</v>
      </c>
      <c r="G201" s="10" t="s">
        <v>711</v>
      </c>
      <c r="H201" s="11" t="s">
        <v>93</v>
      </c>
      <c r="I201" s="12" t="s">
        <v>712</v>
      </c>
      <c r="J201" s="8">
        <v>17412</v>
      </c>
      <c r="K201" s="13" t="s">
        <v>195</v>
      </c>
      <c r="L201" s="7" t="s">
        <v>713</v>
      </c>
      <c r="M201" s="14">
        <v>1</v>
      </c>
      <c r="N201" s="6"/>
      <c r="O201" s="15"/>
      <c r="P201" s="15"/>
      <c r="Q201" s="16"/>
      <c r="R201" s="15"/>
      <c r="S201" s="17"/>
      <c r="T201" s="15"/>
      <c r="U201" s="15"/>
      <c r="V201" s="15"/>
      <c r="W201" s="15"/>
    </row>
    <row r="202" spans="1:23">
      <c r="A202" s="6" t="s">
        <v>714</v>
      </c>
      <c r="B202" s="7" t="s">
        <v>715</v>
      </c>
      <c r="C202" s="7">
        <v>2.17</v>
      </c>
      <c r="D202" s="8">
        <v>0.009138</v>
      </c>
      <c r="E202" s="9" t="s">
        <v>716</v>
      </c>
      <c r="F202" s="7">
        <v>355</v>
      </c>
      <c r="G202" s="10" t="s">
        <v>716</v>
      </c>
      <c r="H202" s="11" t="s">
        <v>93</v>
      </c>
      <c r="I202" s="12" t="s">
        <v>717</v>
      </c>
      <c r="J202" s="8">
        <v>16514</v>
      </c>
      <c r="K202" s="13" t="s">
        <v>95</v>
      </c>
      <c r="L202" s="7" t="s">
        <v>718</v>
      </c>
      <c r="M202" s="14">
        <v>1</v>
      </c>
      <c r="N202" s="6"/>
      <c r="O202" s="15"/>
      <c r="P202" s="15"/>
      <c r="Q202" s="16"/>
      <c r="R202" s="15"/>
      <c r="S202" s="17"/>
      <c r="T202" s="15"/>
      <c r="U202" s="15"/>
      <c r="V202" s="15"/>
      <c r="W202" s="15"/>
    </row>
    <row r="203" spans="1:23">
      <c r="A203" s="6" t="s">
        <v>719</v>
      </c>
      <c r="B203" s="7" t="s">
        <v>720</v>
      </c>
      <c r="C203" s="7">
        <v>4.72</v>
      </c>
      <c r="D203" s="8">
        <v>0.00506</v>
      </c>
      <c r="E203" s="9" t="s">
        <v>721</v>
      </c>
      <c r="F203" s="7">
        <v>1273</v>
      </c>
      <c r="G203" s="10" t="s">
        <v>721</v>
      </c>
      <c r="H203" s="11" t="s">
        <v>93</v>
      </c>
      <c r="I203" s="12" t="s">
        <v>722</v>
      </c>
      <c r="J203" s="8">
        <v>16431</v>
      </c>
      <c r="K203" s="13" t="s">
        <v>95</v>
      </c>
      <c r="L203" s="7" t="s">
        <v>723</v>
      </c>
      <c r="M203" s="14">
        <v>1</v>
      </c>
      <c r="N203" s="6"/>
      <c r="O203" s="15"/>
      <c r="P203" s="15"/>
      <c r="Q203" s="16"/>
      <c r="R203" s="15"/>
      <c r="S203" s="17"/>
      <c r="T203" s="15"/>
      <c r="U203" s="15"/>
      <c r="V203" s="15"/>
      <c r="W203" s="15"/>
    </row>
    <row r="204" spans="1:23">
      <c r="A204" s="6" t="s">
        <v>724</v>
      </c>
      <c r="B204" s="7" t="s">
        <v>725</v>
      </c>
      <c r="C204" s="7">
        <v>2.43</v>
      </c>
      <c r="D204" s="8">
        <v>0.005816</v>
      </c>
      <c r="E204" s="9" t="s">
        <v>726</v>
      </c>
      <c r="F204" s="7">
        <v>13719</v>
      </c>
      <c r="G204" s="10" t="s">
        <v>726</v>
      </c>
      <c r="H204" s="11" t="s">
        <v>93</v>
      </c>
      <c r="I204" s="12" t="s">
        <v>727</v>
      </c>
      <c r="J204" s="8">
        <v>16415</v>
      </c>
      <c r="K204" s="13" t="s">
        <v>95</v>
      </c>
      <c r="L204" s="7" t="s">
        <v>728</v>
      </c>
      <c r="M204" s="14">
        <v>1</v>
      </c>
      <c r="N204" s="6"/>
      <c r="O204" s="15"/>
      <c r="P204" s="15"/>
      <c r="Q204" s="16"/>
      <c r="R204" s="15"/>
      <c r="S204" s="17"/>
      <c r="T204" s="15"/>
      <c r="U204" s="15"/>
      <c r="V204" s="15"/>
      <c r="W204" s="15"/>
    </row>
    <row r="205" spans="1:23">
      <c r="A205" s="6"/>
      <c r="B205" s="7"/>
      <c r="C205" s="7"/>
      <c r="D205" s="8"/>
      <c r="E205" s="9"/>
      <c r="F205" s="7"/>
      <c r="G205" s="10"/>
      <c r="H205" s="11"/>
      <c r="I205" s="12"/>
      <c r="J205" s="8"/>
      <c r="K205" s="13"/>
      <c r="L205" s="7"/>
      <c r="M205" s="14"/>
      <c r="N205" s="6"/>
      <c r="O205" s="15"/>
      <c r="P205" s="15"/>
      <c r="Q205" s="16"/>
      <c r="R205" s="15"/>
      <c r="S205" s="17"/>
      <c r="T205" s="15"/>
      <c r="U205" s="15"/>
      <c r="V205" s="15"/>
      <c r="W205" s="15"/>
    </row>
    <row r="206" spans="1:23">
      <c r="A206" s="6"/>
      <c r="B206" s="7"/>
      <c r="C206" s="7"/>
      <c r="D206" s="8"/>
      <c r="E206" s="9"/>
      <c r="F206" s="7"/>
      <c r="G206" s="10"/>
      <c r="H206" s="11"/>
      <c r="I206" s="12"/>
      <c r="J206" s="8"/>
      <c r="K206" s="13"/>
      <c r="L206" s="7"/>
      <c r="M206" s="14"/>
      <c r="N206" s="6"/>
      <c r="O206" s="15"/>
      <c r="P206" s="15"/>
      <c r="Q206" s="16"/>
      <c r="R206" s="15"/>
      <c r="S206" s="17"/>
      <c r="T206" s="15"/>
      <c r="U206" s="15"/>
      <c r="V206" s="15"/>
      <c r="W206" s="15"/>
    </row>
    <row r="207" spans="1:23">
      <c r="A207" s="6"/>
      <c r="B207" s="7"/>
      <c r="C207" s="7"/>
      <c r="D207" s="8"/>
      <c r="E207" s="9"/>
      <c r="F207" s="7"/>
      <c r="G207" s="10"/>
      <c r="H207" s="11"/>
      <c r="I207" s="12"/>
      <c r="J207" s="8"/>
      <c r="K207" s="13"/>
      <c r="L207" s="7"/>
      <c r="M207" s="14"/>
      <c r="N207" s="6"/>
      <c r="O207" s="15"/>
      <c r="P207" s="15"/>
      <c r="Q207" s="16"/>
      <c r="R207" s="15"/>
      <c r="S207" s="17"/>
      <c r="T207" s="15"/>
      <c r="U207" s="15"/>
      <c r="V207" s="15"/>
      <c r="W207" s="15"/>
    </row>
    <row r="208" spans="1:23">
      <c r="A208" s="6"/>
      <c r="B208" s="7"/>
      <c r="C208" s="7"/>
      <c r="D208" s="8"/>
      <c r="E208" s="9"/>
      <c r="F208" s="7"/>
      <c r="G208" s="10"/>
      <c r="H208" s="11"/>
      <c r="I208" s="12"/>
      <c r="J208" s="8"/>
      <c r="K208" s="13"/>
      <c r="L208" s="7"/>
      <c r="M208" s="14"/>
      <c r="N208" s="6"/>
      <c r="O208" s="15"/>
      <c r="P208" s="15"/>
      <c r="Q208" s="16"/>
      <c r="R208" s="15"/>
      <c r="S208" s="17"/>
      <c r="T208" s="15"/>
      <c r="U208" s="15"/>
      <c r="V208" s="15"/>
      <c r="W208" s="15"/>
    </row>
    <row r="209" spans="1:23">
      <c r="A209" s="6"/>
      <c r="B209" s="7"/>
      <c r="C209" s="7"/>
      <c r="D209" s="8"/>
      <c r="E209" s="9"/>
      <c r="F209" s="7"/>
      <c r="G209" s="10"/>
      <c r="H209" s="11"/>
      <c r="I209" s="12"/>
      <c r="J209" s="8"/>
      <c r="K209" s="13"/>
      <c r="L209" s="7"/>
      <c r="M209" s="14"/>
      <c r="N209" s="6"/>
      <c r="O209" s="15"/>
      <c r="P209" s="15"/>
      <c r="Q209" s="16"/>
      <c r="R209" s="15"/>
      <c r="S209" s="17"/>
      <c r="T209" s="15"/>
      <c r="U209" s="15"/>
      <c r="V209" s="15"/>
      <c r="W209" s="15"/>
    </row>
    <row r="210" spans="1:23">
      <c r="A210" s="6"/>
      <c r="B210" s="7"/>
      <c r="C210" s="7"/>
      <c r="D210" s="8"/>
      <c r="E210" s="9"/>
      <c r="F210" s="7"/>
      <c r="G210" s="10"/>
      <c r="H210" s="11"/>
      <c r="I210" s="12"/>
      <c r="J210" s="8"/>
      <c r="K210" s="13"/>
      <c r="L210" s="7"/>
      <c r="M210" s="14"/>
      <c r="N210" s="6"/>
      <c r="O210" s="15"/>
      <c r="P210" s="15"/>
      <c r="Q210" s="16"/>
      <c r="R210" s="15"/>
      <c r="S210" s="17"/>
      <c r="T210" s="15"/>
      <c r="U210" s="15"/>
      <c r="V210" s="15"/>
      <c r="W210" s="15"/>
    </row>
    <row r="211" spans="1:23">
      <c r="A211" s="6"/>
      <c r="B211" s="7"/>
      <c r="C211" s="7"/>
      <c r="D211" s="8"/>
      <c r="E211" s="9"/>
      <c r="F211" s="7"/>
      <c r="G211" s="10"/>
      <c r="H211" s="11"/>
      <c r="I211" s="12"/>
      <c r="J211" s="8"/>
      <c r="K211" s="13"/>
      <c r="L211" s="7"/>
      <c r="M211" s="14"/>
      <c r="N211" s="6"/>
      <c r="O211" s="15"/>
      <c r="P211" s="15"/>
      <c r="Q211" s="16"/>
      <c r="R211" s="15"/>
      <c r="S211" s="17"/>
      <c r="T211" s="15"/>
      <c r="U211" s="15"/>
      <c r="V211" s="15"/>
      <c r="W211" s="15"/>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1601"/>
  <sheetViews>
    <sheetView tabSelected="1" topLeftCell="AA1" workbookViewId="0">
      <pane ySplit="1" topLeftCell="A2" activePane="bottomLeft" state="frozen"/>
      <selection/>
      <selection pane="bottomLeft" activeCell="AG8" sqref="AG8"/>
    </sheetView>
  </sheetViews>
  <sheetFormatPr defaultColWidth="9" defaultRowHeight="15"/>
  <cols>
    <col min="1" max="1" width="26" customWidth="1"/>
    <col min="2" max="2" width="14" customWidth="1"/>
    <col min="3" max="3" width="18" customWidth="1"/>
    <col min="4" max="4" width="16" customWidth="1"/>
    <col min="5" max="5" width="12" customWidth="1"/>
    <col min="6" max="6" width="30" customWidth="1"/>
    <col min="7" max="7" width="14" customWidth="1"/>
    <col min="8" max="8" width="34" customWidth="1"/>
    <col min="9" max="9" width="8" customWidth="1"/>
    <col min="10" max="10" width="26" customWidth="1"/>
    <col min="11" max="11" width="14" customWidth="1"/>
    <col min="12" max="12" width="40" customWidth="1"/>
    <col min="13" max="13" width="10" customWidth="1"/>
    <col min="14" max="14" width="14" customWidth="1"/>
    <col min="15" max="15" width="20" customWidth="1"/>
    <col min="16" max="16" width="14" customWidth="1"/>
    <col min="17" max="17" width="12" customWidth="1"/>
    <col min="18" max="18" width="60" customWidth="1"/>
    <col min="19" max="19" width="14" customWidth="1"/>
    <col min="20" max="21" width="10" customWidth="1"/>
    <col min="22" max="22" width="14" customWidth="1"/>
    <col min="23" max="23" width="10" customWidth="1"/>
    <col min="24" max="24" width="12" customWidth="1"/>
    <col min="25" max="25" width="46" customWidth="1"/>
    <col min="26" max="26" width="12" customWidth="1"/>
    <col min="27" max="27" width="10" customWidth="1"/>
    <col min="28" max="28" width="12" customWidth="1"/>
    <col min="29" max="29" width="52" customWidth="1"/>
    <col min="30" max="31" width="10" customWidth="1"/>
    <col min="32" max="34" width="16" customWidth="1"/>
    <col min="35" max="42" width="11" customWidth="1"/>
    <col min="43" max="43" width="46" customWidth="1"/>
    <col min="45" max="47" width="13" hidden="1" customWidth="1"/>
  </cols>
  <sheetData>
    <row r="1" ht="42" customHeight="1" spans="1:47">
      <c r="A1" s="2" t="s">
        <v>729</v>
      </c>
      <c r="B1" s="2" t="s">
        <v>730</v>
      </c>
      <c r="C1" s="2" t="s">
        <v>731</v>
      </c>
      <c r="D1" s="2" t="s">
        <v>732</v>
      </c>
      <c r="E1" s="2" t="s">
        <v>26</v>
      </c>
      <c r="F1" s="2" t="s">
        <v>733</v>
      </c>
      <c r="G1" s="2" t="s">
        <v>734</v>
      </c>
      <c r="H1" s="2" t="s">
        <v>735</v>
      </c>
      <c r="I1" s="2" t="s">
        <v>736</v>
      </c>
      <c r="J1" s="2" t="s">
        <v>737</v>
      </c>
      <c r="K1" s="2" t="s">
        <v>738</v>
      </c>
      <c r="L1" s="2" t="s">
        <v>739</v>
      </c>
      <c r="M1" s="2" t="s">
        <v>740</v>
      </c>
      <c r="N1" s="2" t="s">
        <v>741</v>
      </c>
      <c r="O1" s="2" t="s">
        <v>742</v>
      </c>
      <c r="P1" s="2" t="s">
        <v>743</v>
      </c>
      <c r="Q1" s="2" t="s">
        <v>744</v>
      </c>
      <c r="R1" s="2" t="s">
        <v>745</v>
      </c>
      <c r="S1" s="2" t="s">
        <v>746</v>
      </c>
      <c r="T1" s="2" t="s">
        <v>747</v>
      </c>
      <c r="U1" s="2" t="s">
        <v>748</v>
      </c>
      <c r="V1" s="2" t="s">
        <v>749</v>
      </c>
      <c r="W1" s="2" t="s">
        <v>750</v>
      </c>
      <c r="X1" s="2" t="s">
        <v>751</v>
      </c>
      <c r="Y1" s="2" t="s">
        <v>752</v>
      </c>
      <c r="Z1" s="2" t="s">
        <v>753</v>
      </c>
      <c r="AA1" s="2" t="s">
        <v>754</v>
      </c>
      <c r="AB1" s="2" t="s">
        <v>755</v>
      </c>
      <c r="AC1" s="2" t="s">
        <v>756</v>
      </c>
      <c r="AD1" s="2" t="s">
        <v>757</v>
      </c>
      <c r="AE1" s="2" t="s">
        <v>758</v>
      </c>
      <c r="AF1" s="2" t="s">
        <v>759</v>
      </c>
      <c r="AG1" s="2" t="s">
        <v>760</v>
      </c>
      <c r="AH1" s="2" t="s">
        <v>761</v>
      </c>
      <c r="AQ1" s="3" t="s">
        <v>762</v>
      </c>
    </row>
    <row r="2" ht="60" customHeight="1" spans="1:47">
      <c r="A2" t="str">
        <f>IF($AS2="","",INDEX('TMP Paste'!$B$2:$B$1601,$AS2))</f>
        <v>AWB02WJVH</v>
      </c>
      <c r="B2">
        <f>IF($AS2="","",Config!$B$14)</f>
        <v>11398423</v>
      </c>
      <c r="C2" t="str">
        <f>IF($AS2="","",Config!$B$15)</f>
        <v>Corporate B2B Bundle</v>
      </c>
      <c r="D2" t="str">
        <f>IF($AS2="","",INDEX('TMP Paste'!$B$2:$B$1601,$AS2))</f>
        <v>AWB02WJVH</v>
      </c>
      <c r="E2" t="str">
        <f>IF($AS2="","",Config!$B$27)</f>
        <v>STANDARD</v>
      </c>
      <c r="F2" t="str">
        <f>IF($AS2="","",Config!$B$9)</f>
        <v>PT Teknologi Medika Pratama (SwipeRx) (B2BR)</v>
      </c>
      <c r="G2" t="str">
        <f>IF($AS2="","",Config!$B$10)</f>
        <v>087733785699</v>
      </c>
      <c r="H2" t="str">
        <f>IF($AS2="","",Config!$B$11)</f>
        <v>Jl. Tugu Raya, Tugu, Kec. Cimanggis, Kota Depok, Jawa Barat 16451,KUBIK LOGISTICS - Kompleks Pergudangan,Gudang E1</v>
      </c>
      <c r="I2" t="str">
        <f>IF($AS2="","",Config!$B$16)</f>
        <v>ID</v>
      </c>
      <c r="J2" t="str">
        <f>IF($AS2="","",INDEX('TMP Paste'!$A$2:$A$1601,$AS2))</f>
        <v>Apotek Afia</v>
      </c>
      <c r="K2">
        <f>IF($AS2="","",INDEX('TMP Paste'!$L$2:$L$1601,$AS2))</f>
        <v>895808010200</v>
      </c>
      <c r="L2" t="str">
        <f>IF($AS2="","",INDEX('TMP Paste'!$I$2:$I$1601,$AS2))</f>
        <v>3062-Jalan MI Ridwan Rais No.3 RT 002 RW 006 Kelurahan Beji Timur Kecamatan Beji Kota Depok 16422</v>
      </c>
      <c r="M2" t="str">
        <f>IF($AS2="","",Config!$B$16)</f>
        <v>ID</v>
      </c>
      <c r="N2" t="str">
        <f t="shared" ref="N2:N65" si="0">IF($AS2="","","")</f>
        <v/>
      </c>
      <c r="O2" t="str">
        <f>IF($AS2="","",INDEX('TMP Paste'!$K$2:$K$1601,$AS2))</f>
        <v>Kota Depok</v>
      </c>
      <c r="P2" t="str">
        <f t="shared" ref="P2:P65" si="1">IF($AS2="","","")</f>
        <v/>
      </c>
      <c r="Q2">
        <f>IF($AS2="","",INDEX('TMP Paste'!$J$2:$J$1601,$AS2))</f>
        <v>16422</v>
      </c>
      <c r="R2" t="str">
        <f>IF($AS2="","",Config!$B$24)</f>
        <v>Delivery Note wajib ada nama penerima, ditandatangani dan distempel penerima. Jika di label tertera "SP Manual", maka dokumen SP Manual harus diminta ke penerima sesuai dengan jumlah PO yang butuh SP Manual. Apabila ada retur, catat di Delivery Note dan update ke IC</v>
      </c>
      <c r="S2" t="str">
        <f ca="1">IF($AS2="","",TEXT(Config!$B$4,"yyyy-mm-dd"))</f>
        <v>2026-08-18</v>
      </c>
      <c r="T2" t="str">
        <f>IF($AS2="","",Config!$B$17)</f>
        <v>09:00</v>
      </c>
      <c r="U2" t="str">
        <f>IF($AS2="","",Config!$B$18)</f>
        <v>22:00</v>
      </c>
      <c r="V2" t="str">
        <f>IF($AS2="","",Config!$B$19)</f>
        <v>Asia/Jakarta</v>
      </c>
      <c r="W2">
        <f>IF($AS2="","",INDEX('TMP Paste'!$C$2:$C$1601,$AS2))</f>
        <v>0.3</v>
      </c>
      <c r="X2" t="str">
        <f>IF($AS2="","",Config!$B$29)</f>
        <v>FALSE</v>
      </c>
      <c r="Y2" t="str">
        <f>IF($AT2="","",INDEX(Calc!$I$2:$I$1601,$AT2)&amp;" - "&amp;INDEX(Calc!$D$2:$D$1601,$AT2)&amp;" koli")</f>
        <v>26072713473538DTjozNXFa (1) - 1 koli</v>
      </c>
      <c r="Z2" t="str">
        <f>IF($AS2="","",Config!$B$21)</f>
        <v>FALSE</v>
      </c>
      <c r="AA2" t="str">
        <f>IF($AS2="","",Config!$B$22)</f>
        <v>RDO</v>
      </c>
      <c r="AB2">
        <f>IF($AT2="","",INDEX(Calc!$D$2:$D$1601,$AT2))</f>
        <v>1</v>
      </c>
      <c r="AC2" s="4" t="str">
        <f>IF($AT2="","",INDEX(Calc!$G$2:$G$1601,$AT2))</f>
        <v>26072713473538DTjozNXFa-01</v>
      </c>
      <c r="AD2">
        <f>IF($AS2="","",Config!$B$23)</f>
        <v>0</v>
      </c>
      <c r="AE2">
        <f>IF($AS2="","",Config!$B$28)</f>
        <v>1</v>
      </c>
      <c r="AF2">
        <f t="shared" ref="AF2:AF65" si="2">IF($AS2="","",IF(OR($AU2="",$AU2&lt;=0,$AU2&gt;=1000000),"",IF($AU2&lt;10000,10,100)))</f>
        <v>10</v>
      </c>
      <c r="AG2">
        <f t="shared" ref="AG2:AG65" si="3">IF($AS2="","",IF(OR($AU2="",$AU2&lt;=0,$AU2&gt;=1000000),"",IF($AU2&lt;10000,$AU2/100,IF($AU2&lt;100000,$AU2/1000,$AU2/10000))))</f>
        <v>14.23</v>
      </c>
      <c r="AH2">
        <f t="shared" ref="AH2:AH65" si="4">IF($AS2="","",IF(OR($AU2="",$AU2&lt;=0,$AU2&gt;=1000000),"",IF($AU2&lt;100000,10,100)))</f>
        <v>10</v>
      </c>
      <c r="AI2">
        <f>IF($AG2="","",SUMIF($AG$2:$AG2,$AG2,$AH$2:$AH2))</f>
        <v>10</v>
      </c>
      <c r="AJ2" t="str">
        <f>IF('TMP Paste'!$F2="","",IF('TMP Paste'!$B2="",$AJ1,'TMP Paste'!$B2))</f>
        <v>AWB02WJVH</v>
      </c>
      <c r="AK2">
        <f>IF('TMP Paste'!$F2="","",N('TMP Paste'!$G2))</f>
        <v>0</v>
      </c>
      <c r="AL2">
        <f>IF('TMP Paste'!$F2="","",IF('TMP Paste'!$M2="",$AL1,'TMP Paste'!$M2))</f>
        <v>1</v>
      </c>
      <c r="AM2">
        <f>IF('TMP Paste'!$F2="","",IF('TMP Paste'!$N2="",$AM1,'TMP Paste'!$N2))</f>
        <v>0</v>
      </c>
      <c r="AN2">
        <f>IF('TMP Paste'!$F2="","",IF('TMP Paste'!$O2="",$AN1,'TMP Paste'!$O2))</f>
        <v>0</v>
      </c>
      <c r="AO2">
        <f>IF('TMP Paste'!$F2="","",IF('TMP Paste'!$P2="",$AO1,'TMP Paste'!$P2))</f>
        <v>0</v>
      </c>
      <c r="AP2">
        <f t="shared" ref="AP2:AP65" si="5">IF($AG2="","",LEN($R2))</f>
        <v>266</v>
      </c>
      <c r="AQ2" t="str">
        <f>IF($AS2="","",TRIM(IF(COUNTIFS(Calc!$B$2:$B$1601,ROW()-1,Calc!$C$2:$C$1601,"&lt;1")&gt;0,"Ada PO tanpa Koli - cek TMP. ","")&amp;IF(OR($AU2="",$AU2&lt;=0),"Volume kosong/0 - dimensi dikosongkan. ","")&amp;IF(AND($AU2&lt;&gt;"",$AU2&gt;=1000000),"Volume &gt;= 1.000.000 cm3 (di luar aturan) - dimensi dikosongkan. ","")&amp;IF(LEN($R2)&gt;500,"R &gt; 500 karakter.","")))</f>
        <v/>
      </c>
      <c r="AS2">
        <f>IFERROR(MATCH(ROW()-1,Calc!$J$2:$J$1601,0),"")</f>
        <v>1</v>
      </c>
      <c r="AT2">
        <f>IFERROR(MATCH(ROW()-1,Calc!$K$2:$K$1601,0),"")</f>
        <v>1</v>
      </c>
      <c r="AU2">
        <f>IF($AS2="","",IFERROR(INDEX('TMP Paste'!$D$2:$D$1601,$AS2)*1000000/$AB2,""))</f>
        <v>1423</v>
      </c>
    </row>
    <row r="3" spans="1:47">
      <c r="A3" t="str">
        <f>IF($AS3="","",INDEX('TMP Paste'!$B$2:$B$1601,$AS3))</f>
        <v>AWB02WJ90</v>
      </c>
      <c r="B3">
        <f>IF($AS3="","",Config!$B$14)</f>
        <v>11398423</v>
      </c>
      <c r="C3" t="str">
        <f>IF($AS3="","",Config!$B$15)</f>
        <v>Corporate B2B Bundle</v>
      </c>
      <c r="D3" t="str">
        <f>IF($AS3="","",INDEX('TMP Paste'!$B$2:$B$1601,$AS3))</f>
        <v>AWB02WJ90</v>
      </c>
      <c r="E3" t="str">
        <f>IF($AS3="","",Config!$B$27)</f>
        <v>STANDARD</v>
      </c>
      <c r="F3" t="str">
        <f>IF($AS3="","",Config!$B$9)</f>
        <v>PT Teknologi Medika Pratama (SwipeRx) (B2BR)</v>
      </c>
      <c r="G3" t="str">
        <f>IF($AS3="","",Config!$B$10)</f>
        <v>087733785699</v>
      </c>
      <c r="H3" t="str">
        <f>IF($AS3="","",Config!$B$11)</f>
        <v>Jl. Tugu Raya, Tugu, Kec. Cimanggis, Kota Depok, Jawa Barat 16451,KUBIK LOGISTICS - Kompleks Pergudangan,Gudang E1</v>
      </c>
      <c r="I3" t="str">
        <f>IF($AS3="","",Config!$B$16)</f>
        <v>ID</v>
      </c>
      <c r="J3" t="str">
        <f>IF($AS3="","",INDEX('TMP Paste'!$A$2:$A$1601,$AS3))</f>
        <v>Apotek Alam Sehat Farma</v>
      </c>
      <c r="K3" t="str">
        <f>IF($AS3="","",INDEX('TMP Paste'!$L$2:$L$1601,$AS3))</f>
        <v>81382701345</v>
      </c>
      <c r="L3" t="str">
        <f>IF($AS3="","",INDEX('TMP Paste'!$I$2:$I$1601,$AS3))</f>
        <v>836-Jalan Anggrek Raya No. 27-28 RT 002/004 Kelurahan Depok Jaya Kecamatan Pancoran Mas 16432</v>
      </c>
      <c r="M3" t="str">
        <f>IF($AS3="","",Config!$B$16)</f>
        <v>ID</v>
      </c>
      <c r="N3" t="str">
        <f t="shared" si="0"/>
        <v/>
      </c>
      <c r="O3" t="str">
        <f>IF($AS3="","",INDEX('TMP Paste'!$K$2:$K$1601,$AS3))</f>
        <v>Kota Depok</v>
      </c>
      <c r="P3" t="str">
        <f t="shared" si="1"/>
        <v/>
      </c>
      <c r="Q3">
        <f>IF($AS3="","",INDEX('TMP Paste'!$J$2:$J$1601,$AS3))</f>
        <v>16432</v>
      </c>
      <c r="R3" t="str">
        <f>IF($AS3="","",Config!$B$24)</f>
        <v>Delivery Note wajib ada nama penerima, ditandatangani dan distempel penerima. Jika di label tertera "SP Manual", maka dokumen SP Manual harus diminta ke penerima sesuai dengan jumlah PO yang butuh SP Manual. Apabila ada retur, catat di Delivery Note dan update ke IC</v>
      </c>
      <c r="S3" t="str">
        <f ca="1">IF($AS3="","",TEXT(Config!$B$4,"yyyy-mm-dd"))</f>
        <v>2026-08-18</v>
      </c>
      <c r="T3" t="str">
        <f>IF($AS3="","",Config!$B$17)</f>
        <v>09:00</v>
      </c>
      <c r="U3" t="str">
        <f>IF($AS3="","",Config!$B$18)</f>
        <v>22:00</v>
      </c>
      <c r="V3" t="str">
        <f>IF($AS3="","",Config!$B$19)</f>
        <v>Asia/Jakarta</v>
      </c>
      <c r="W3">
        <f>IF($AS3="","",INDEX('TMP Paste'!$C$2:$C$1601,$AS3))</f>
        <v>1.2</v>
      </c>
      <c r="X3" t="str">
        <f>IF($AS3="","",Config!$B$29)</f>
        <v>FALSE</v>
      </c>
      <c r="Y3" t="str">
        <f>IF($AT3="","",INDEX(Calc!$I$2:$I$1601,$AT3)&amp;" - "&amp;INDEX(Calc!$D$2:$D$1601,$AT3)&amp;" koli")</f>
        <v>26072707484936JExQscwbq (1) - 1 koli</v>
      </c>
      <c r="Z3" t="str">
        <f>IF($AS3="","",Config!$B$21)</f>
        <v>FALSE</v>
      </c>
      <c r="AA3" t="str">
        <f>IF($AS3="","",Config!$B$22)</f>
        <v>RDO</v>
      </c>
      <c r="AB3">
        <f>IF($AT3="","",INDEX(Calc!$D$2:$D$1601,$AT3))</f>
        <v>1</v>
      </c>
      <c r="AC3" t="str">
        <f>IF($AT3="","",INDEX(Calc!$G$2:$G$1601,$AT3))</f>
        <v>26072707484936JExQscwbq-01</v>
      </c>
      <c r="AD3">
        <f>IF($AS3="","",Config!$B$23)</f>
        <v>0</v>
      </c>
      <c r="AE3">
        <f>IF($AS3="","",Config!$B$28)</f>
        <v>1</v>
      </c>
      <c r="AF3">
        <f t="shared" si="2"/>
        <v>10</v>
      </c>
      <c r="AG3">
        <f t="shared" si="3"/>
        <v>29.02</v>
      </c>
      <c r="AH3">
        <f t="shared" si="4"/>
        <v>10</v>
      </c>
      <c r="AI3">
        <f>IF($AG3="","",SUMIF($AG$2:$AG3,$AG3,$AH$2:$AH3))</f>
        <v>10</v>
      </c>
      <c r="AJ3" t="str">
        <f>IF('TMP Paste'!$F3="","",IF('TMP Paste'!$B3="",$AJ2,'TMP Paste'!$B3))</f>
        <v>AWB02WJ90</v>
      </c>
      <c r="AK3">
        <f>IF('TMP Paste'!$F3="","",N('TMP Paste'!$G3))</f>
        <v>0</v>
      </c>
      <c r="AL3">
        <f>IF('TMP Paste'!$F3="","",IF('TMP Paste'!$M3="",$AL2,'TMP Paste'!$M3))</f>
        <v>1</v>
      </c>
      <c r="AM3">
        <f>IF('TMP Paste'!$F3="","",IF('TMP Paste'!$N3="",$AM2,'TMP Paste'!$N3))</f>
        <v>0</v>
      </c>
      <c r="AN3">
        <f>IF('TMP Paste'!$F3="","",IF('TMP Paste'!$O3="",$AN2,'TMP Paste'!$O3))</f>
        <v>0</v>
      </c>
      <c r="AO3">
        <f>IF('TMP Paste'!$F3="","",IF('TMP Paste'!$P3="",$AO2,'TMP Paste'!$P3))</f>
        <v>0</v>
      </c>
      <c r="AP3">
        <f t="shared" si="5"/>
        <v>266</v>
      </c>
      <c r="AQ3" t="str">
        <f>IF($AS3="","",TRIM(IF(COUNTIFS(Calc!$B$2:$B$1601,ROW()-1,Calc!$C$2:$C$1601,"&lt;1")&gt;0,"Ada PO tanpa Koli - cek TMP. ","")&amp;IF(OR($AU3="",$AU3&lt;=0),"Volume kosong/0 - dimensi dikosongkan. ","")&amp;IF(AND($AU3&lt;&gt;"",$AU3&gt;=1000000),"Volume &gt;= 1.000.000 cm3 (di luar aturan) - dimensi dikosongkan. ","")&amp;IF(LEN($R3)&gt;500,"R &gt; 500 karakter.","")))</f>
        <v/>
      </c>
      <c r="AS3">
        <f>IFERROR(MATCH(ROW()-1,Calc!$J$2:$J$1601,0),"")</f>
        <v>2</v>
      </c>
      <c r="AT3">
        <f>IFERROR(MATCH(ROW()-1,Calc!$K$2:$K$1601,0),"")</f>
        <v>2</v>
      </c>
      <c r="AU3">
        <f>IF($AS3="","",IFERROR(INDEX('TMP Paste'!$D$2:$D$1601,$AS3)*1000000/$AB3,""))</f>
        <v>2902</v>
      </c>
    </row>
    <row r="4" spans="1:47">
      <c r="A4" t="str">
        <f>IF($AS4="","",INDEX('TMP Paste'!$B$2:$B$1601,$AS4))</f>
        <v>AWB02WL4S</v>
      </c>
      <c r="B4">
        <f>IF($AS4="","",Config!$B$14)</f>
        <v>11398423</v>
      </c>
      <c r="C4" t="str">
        <f>IF($AS4="","",Config!$B$15)</f>
        <v>Corporate B2B Bundle</v>
      </c>
      <c r="D4" t="str">
        <f>IF($AS4="","",INDEX('TMP Paste'!$B$2:$B$1601,$AS4))</f>
        <v>AWB02WL4S</v>
      </c>
      <c r="E4" t="str">
        <f>IF($AS4="","",Config!$B$27)</f>
        <v>STANDARD</v>
      </c>
      <c r="F4" t="str">
        <f>IF($AS4="","",Config!$B$9)</f>
        <v>PT Teknologi Medika Pratama (SwipeRx) (B2BR)</v>
      </c>
      <c r="G4" t="str">
        <f>IF($AS4="","",Config!$B$10)</f>
        <v>087733785699</v>
      </c>
      <c r="H4" t="str">
        <f>IF($AS4="","",Config!$B$11)</f>
        <v>Jl. Tugu Raya, Tugu, Kec. Cimanggis, Kota Depok, Jawa Barat 16451,KUBIK LOGISTICS - Kompleks Pergudangan,Gudang E1</v>
      </c>
      <c r="I4" t="str">
        <f>IF($AS4="","",Config!$B$16)</f>
        <v>ID</v>
      </c>
      <c r="J4" t="str">
        <f>IF($AS4="","",INDEX('TMP Paste'!$A$2:$A$1601,$AS4))</f>
        <v>Apotek Ben Waras 19</v>
      </c>
      <c r="K4" t="str">
        <f>IF($AS4="","",INDEX('TMP Paste'!$L$2:$L$1601,$AS4))</f>
        <v>6289510341165</v>
      </c>
      <c r="L4" t="str">
        <f>IF($AS4="","",INDEX('TMP Paste'!$I$2:$I$1601,$AS4))</f>
        <v>903-Jalan Karya Ruko Tugu Bedahan No. 10 RT.001 RW.16 Kelurahan Bedahan, Kecamatan Sawangan, Kota Depok, Jawa Barat 16519</v>
      </c>
      <c r="M4" t="str">
        <f>IF($AS4="","",Config!$B$16)</f>
        <v>ID</v>
      </c>
      <c r="N4" t="str">
        <f t="shared" si="0"/>
        <v/>
      </c>
      <c r="O4" t="str">
        <f>IF($AS4="","",INDEX('TMP Paste'!$K$2:$K$1601,$AS4))</f>
        <v>Kota Depok</v>
      </c>
      <c r="P4" t="str">
        <f t="shared" si="1"/>
        <v/>
      </c>
      <c r="Q4">
        <f>IF($AS4="","",INDEX('TMP Paste'!$J$2:$J$1601,$AS4))</f>
        <v>16519</v>
      </c>
      <c r="R4" t="str">
        <f>IF($AS4="","",Config!$B$24)</f>
        <v>Delivery Note wajib ada nama penerima, ditandatangani dan distempel penerima. Jika di label tertera "SP Manual", maka dokumen SP Manual harus diminta ke penerima sesuai dengan jumlah PO yang butuh SP Manual. Apabila ada retur, catat di Delivery Note dan update ke IC</v>
      </c>
      <c r="S4" t="str">
        <f ca="1">IF($AS4="","",TEXT(Config!$B$4,"yyyy-mm-dd"))</f>
        <v>2026-08-18</v>
      </c>
      <c r="T4" t="str">
        <f>IF($AS4="","",Config!$B$17)</f>
        <v>09:00</v>
      </c>
      <c r="U4" t="str">
        <f>IF($AS4="","",Config!$B$18)</f>
        <v>22:00</v>
      </c>
      <c r="V4" t="str">
        <f>IF($AS4="","",Config!$B$19)</f>
        <v>Asia/Jakarta</v>
      </c>
      <c r="W4">
        <f>IF($AS4="","",INDEX('TMP Paste'!$C$2:$C$1601,$AS4))</f>
        <v>0.46</v>
      </c>
      <c r="X4" t="str">
        <f>IF($AS4="","",Config!$B$29)</f>
        <v>FALSE</v>
      </c>
      <c r="Y4" t="str">
        <f>IF($AT4="","",INDEX(Calc!$I$2:$I$1601,$AT4)&amp;" - "&amp;INDEX(Calc!$D$2:$D$1601,$AT4)&amp;" koli")</f>
        <v>26072802143715UaH54d1OD (1) - 1 koli</v>
      </c>
      <c r="Z4" t="str">
        <f>IF($AS4="","",Config!$B$21)</f>
        <v>FALSE</v>
      </c>
      <c r="AA4" t="str">
        <f>IF($AS4="","",Config!$B$22)</f>
        <v>RDO</v>
      </c>
      <c r="AB4">
        <f>IF($AT4="","",INDEX(Calc!$D$2:$D$1601,$AT4))</f>
        <v>1</v>
      </c>
      <c r="AC4" t="str">
        <f>IF($AT4="","",INDEX(Calc!$G$2:$G$1601,$AT4))</f>
        <v>26072802143715UaH54d1OD-01</v>
      </c>
      <c r="AD4">
        <f>IF($AS4="","",Config!$B$23)</f>
        <v>0</v>
      </c>
      <c r="AE4">
        <f>IF($AS4="","",Config!$B$28)</f>
        <v>1</v>
      </c>
      <c r="AF4">
        <f t="shared" si="2"/>
        <v>10</v>
      </c>
      <c r="AG4">
        <f t="shared" si="3"/>
        <v>17.94</v>
      </c>
      <c r="AH4">
        <f t="shared" si="4"/>
        <v>10</v>
      </c>
      <c r="AI4">
        <f>IF($AG4="","",SUMIF($AG$2:$AG4,$AG4,$AH$2:$AH4))</f>
        <v>10</v>
      </c>
      <c r="AJ4" t="str">
        <f>IF('TMP Paste'!$F4="","",IF('TMP Paste'!$B4="",$AJ3,'TMP Paste'!$B4))</f>
        <v>AWB02WL4S</v>
      </c>
      <c r="AK4">
        <f>IF('TMP Paste'!$F4="","",N('TMP Paste'!$G4))</f>
        <v>0</v>
      </c>
      <c r="AL4">
        <f>IF('TMP Paste'!$F4="","",IF('TMP Paste'!$M4="",$AL3,'TMP Paste'!$M4))</f>
        <v>1</v>
      </c>
      <c r="AM4">
        <f>IF('TMP Paste'!$F4="","",IF('TMP Paste'!$N4="",$AM3,'TMP Paste'!$N4))</f>
        <v>0</v>
      </c>
      <c r="AN4">
        <f>IF('TMP Paste'!$F4="","",IF('TMP Paste'!$O4="",$AN3,'TMP Paste'!$O4))</f>
        <v>0</v>
      </c>
      <c r="AO4">
        <f>IF('TMP Paste'!$F4="","",IF('TMP Paste'!$P4="",$AO3,'TMP Paste'!$P4))</f>
        <v>0</v>
      </c>
      <c r="AP4">
        <f t="shared" si="5"/>
        <v>266</v>
      </c>
      <c r="AQ4" t="str">
        <f>IF($AS4="","",TRIM(IF(COUNTIFS(Calc!$B$2:$B$1601,ROW()-1,Calc!$C$2:$C$1601,"&lt;1")&gt;0,"Ada PO tanpa Koli - cek TMP. ","")&amp;IF(OR($AU4="",$AU4&lt;=0),"Volume kosong/0 - dimensi dikosongkan. ","")&amp;IF(AND($AU4&lt;&gt;"",$AU4&gt;=1000000),"Volume &gt;= 1.000.000 cm3 (di luar aturan) - dimensi dikosongkan. ","")&amp;IF(LEN($R4)&gt;500,"R &gt; 500 karakter.","")))</f>
        <v/>
      </c>
      <c r="AS4">
        <f>IFERROR(MATCH(ROW()-1,Calc!$J$2:$J$1601,0),"")</f>
        <v>3</v>
      </c>
      <c r="AT4">
        <f>IFERROR(MATCH(ROW()-1,Calc!$K$2:$K$1601,0),"")</f>
        <v>3</v>
      </c>
      <c r="AU4">
        <f>IF($AS4="","",IFERROR(INDEX('TMP Paste'!$D$2:$D$1601,$AS4)*1000000/$AB4,""))</f>
        <v>1794</v>
      </c>
    </row>
    <row r="5" spans="1:47">
      <c r="A5" t="str">
        <f>IF($AS5="","",INDEX('TMP Paste'!$B$2:$B$1601,$AS5))</f>
        <v>AWB02WKTT</v>
      </c>
      <c r="B5">
        <f>IF($AS5="","",Config!$B$14)</f>
        <v>11398423</v>
      </c>
      <c r="C5" t="str">
        <f>IF($AS5="","",Config!$B$15)</f>
        <v>Corporate B2B Bundle</v>
      </c>
      <c r="D5" t="str">
        <f>IF($AS5="","",INDEX('TMP Paste'!$B$2:$B$1601,$AS5))</f>
        <v>AWB02WKTT</v>
      </c>
      <c r="E5" t="str">
        <f>IF($AS5="","",Config!$B$27)</f>
        <v>STANDARD</v>
      </c>
      <c r="F5" t="str">
        <f>IF($AS5="","",Config!$B$9)</f>
        <v>PT Teknologi Medika Pratama (SwipeRx) (B2BR)</v>
      </c>
      <c r="G5" t="str">
        <f>IF($AS5="","",Config!$B$10)</f>
        <v>087733785699</v>
      </c>
      <c r="H5" t="str">
        <f>IF($AS5="","",Config!$B$11)</f>
        <v>Jl. Tugu Raya, Tugu, Kec. Cimanggis, Kota Depok, Jawa Barat 16451,KUBIK LOGISTICS - Kompleks Pergudangan,Gudang E1</v>
      </c>
      <c r="I5" t="str">
        <f>IF($AS5="","",Config!$B$16)</f>
        <v>ID</v>
      </c>
      <c r="J5" t="str">
        <f>IF($AS5="","",INDEX('TMP Paste'!$A$2:$A$1601,$AS5))</f>
        <v>Apotek Berkah 9</v>
      </c>
      <c r="K5" t="str">
        <f>IF($AS5="","",INDEX('TMP Paste'!$L$2:$L$1601,$AS5))</f>
        <v>8979743443</v>
      </c>
      <c r="L5" t="str">
        <f>IF($AS5="","",INDEX('TMP Paste'!$I$2:$I$1601,$AS5))</f>
        <v>3479-Jalan Raya Pasir Putih Ruko Cahaya Garuda No. 6 RT 005 RW 009 Sawangan Permai Kelurahan Pasir Putih Kecamatan Sawangan Kota Depok 16519</v>
      </c>
      <c r="M5" t="str">
        <f>IF($AS5="","",Config!$B$16)</f>
        <v>ID</v>
      </c>
      <c r="N5" t="str">
        <f t="shared" si="0"/>
        <v/>
      </c>
      <c r="O5" t="str">
        <f>IF($AS5="","",INDEX('TMP Paste'!$K$2:$K$1601,$AS5))</f>
        <v>Kota Depok</v>
      </c>
      <c r="P5" t="str">
        <f t="shared" si="1"/>
        <v/>
      </c>
      <c r="Q5">
        <f>IF($AS5="","",INDEX('TMP Paste'!$J$2:$J$1601,$AS5))</f>
        <v>16519</v>
      </c>
      <c r="R5" t="str">
        <f>IF($AS5="","",Config!$B$24)</f>
        <v>Delivery Note wajib ada nama penerima, ditandatangani dan distempel penerima. Jika di label tertera "SP Manual", maka dokumen SP Manual harus diminta ke penerima sesuai dengan jumlah PO yang butuh SP Manual. Apabila ada retur, catat di Delivery Note dan update ke IC</v>
      </c>
      <c r="S5" t="str">
        <f ca="1">IF($AS5="","",TEXT(Config!$B$4,"yyyy-mm-dd"))</f>
        <v>2026-08-18</v>
      </c>
      <c r="T5" t="str">
        <f>IF($AS5="","",Config!$B$17)</f>
        <v>09:00</v>
      </c>
      <c r="U5" t="str">
        <f>IF($AS5="","",Config!$B$18)</f>
        <v>22:00</v>
      </c>
      <c r="V5" t="str">
        <f>IF($AS5="","",Config!$B$19)</f>
        <v>Asia/Jakarta</v>
      </c>
      <c r="W5">
        <f>IF($AS5="","",INDEX('TMP Paste'!$C$2:$C$1601,$AS5))</f>
        <v>3.04</v>
      </c>
      <c r="X5" t="str">
        <f>IF($AS5="","",Config!$B$29)</f>
        <v>FALSE</v>
      </c>
      <c r="Y5" t="str">
        <f>IF($AT5="","",INDEX(Calc!$I$2:$I$1601,$AT5)&amp;" - "&amp;INDEX(Calc!$D$2:$D$1601,$AT5)&amp;" koli")</f>
        <v>26072801412330Cygue4Ku6 (1), 26072802554064GKk0wdiYh (1), 26072802554064ljldqS88pC (1) - 3 koli</v>
      </c>
      <c r="Z5" t="str">
        <f>IF($AS5="","",Config!$B$21)</f>
        <v>FALSE</v>
      </c>
      <c r="AA5" t="str">
        <f>IF($AS5="","",Config!$B$22)</f>
        <v>RDO</v>
      </c>
      <c r="AB5">
        <f>IF($AT5="","",INDEX(Calc!$D$2:$D$1601,$AT5))</f>
        <v>3</v>
      </c>
      <c r="AC5" t="str">
        <f>IF($AT5="","",INDEX(Calc!$G$2:$G$1601,$AT5))</f>
        <v>26072801412330Cygue4Ku6-01, 26072802554064GKk0wdiYh-02, 26072802554064ljldqS88pC-03</v>
      </c>
      <c r="AD5">
        <f>IF($AS5="","",Config!$B$23)</f>
        <v>0</v>
      </c>
      <c r="AE5">
        <f>IF($AS5="","",Config!$B$28)</f>
        <v>1</v>
      </c>
      <c r="AF5">
        <f t="shared" si="2"/>
        <v>10</v>
      </c>
      <c r="AG5">
        <f t="shared" si="3"/>
        <v>32.88</v>
      </c>
      <c r="AH5">
        <f t="shared" si="4"/>
        <v>10</v>
      </c>
      <c r="AI5">
        <f>IF($AG5="","",SUMIF($AG$2:$AG5,$AG5,$AH$2:$AH5))</f>
        <v>10</v>
      </c>
      <c r="AJ5" t="str">
        <f>IF('TMP Paste'!$F5="","",IF('TMP Paste'!$B5="",$AJ4,'TMP Paste'!$B5))</f>
        <v>AWB02WKTT</v>
      </c>
      <c r="AK5">
        <f>IF('TMP Paste'!$F5="","",N('TMP Paste'!$G5))</f>
        <v>0</v>
      </c>
      <c r="AL5">
        <f>IF('TMP Paste'!$F5="","",IF('TMP Paste'!$M5="",$AL4,'TMP Paste'!$M5))</f>
        <v>1</v>
      </c>
      <c r="AM5">
        <f>IF('TMP Paste'!$F5="","",IF('TMP Paste'!$N5="",$AM4,'TMP Paste'!$N5))</f>
        <v>0</v>
      </c>
      <c r="AN5">
        <f>IF('TMP Paste'!$F5="","",IF('TMP Paste'!$O5="",$AN4,'TMP Paste'!$O5))</f>
        <v>0</v>
      </c>
      <c r="AO5">
        <f>IF('TMP Paste'!$F5="","",IF('TMP Paste'!$P5="",$AO4,'TMP Paste'!$P5))</f>
        <v>0</v>
      </c>
      <c r="AP5">
        <f t="shared" si="5"/>
        <v>266</v>
      </c>
      <c r="AQ5" t="str">
        <f>IF($AS5="","",TRIM(IF(COUNTIFS(Calc!$B$2:$B$1601,ROW()-1,Calc!$C$2:$C$1601,"&lt;1")&gt;0,"Ada PO tanpa Koli - cek TMP. ","")&amp;IF(OR($AU5="",$AU5&lt;=0),"Volume kosong/0 - dimensi dikosongkan. ","")&amp;IF(AND($AU5&lt;&gt;"",$AU5&gt;=1000000),"Volume &gt;= 1.000.000 cm3 (di luar aturan) - dimensi dikosongkan. ","")&amp;IF(LEN($R5)&gt;500,"R &gt; 500 karakter.","")))</f>
        <v/>
      </c>
      <c r="AS5">
        <f>IFERROR(MATCH(ROW()-1,Calc!$J$2:$J$1601,0),"")</f>
        <v>4</v>
      </c>
      <c r="AT5">
        <f>IFERROR(MATCH(ROW()-1,Calc!$K$2:$K$1601,0),"")</f>
        <v>6</v>
      </c>
      <c r="AU5">
        <f>IF($AS5="","",IFERROR(INDEX('TMP Paste'!$D$2:$D$1601,$AS5)*1000000/$AB5,""))</f>
        <v>3288</v>
      </c>
    </row>
    <row r="6" spans="1:47">
      <c r="A6" t="str">
        <f>IF($AS6="","",INDEX('TMP Paste'!$B$2:$B$1601,$AS6))</f>
        <v>AWB02WKFU</v>
      </c>
      <c r="B6">
        <f>IF($AS6="","",Config!$B$14)</f>
        <v>11398423</v>
      </c>
      <c r="C6" t="str">
        <f>IF($AS6="","",Config!$B$15)</f>
        <v>Corporate B2B Bundle</v>
      </c>
      <c r="D6" t="str">
        <f>IF($AS6="","",INDEX('TMP Paste'!$B$2:$B$1601,$AS6))</f>
        <v>AWB02WKFU</v>
      </c>
      <c r="E6" t="str">
        <f>IF($AS6="","",Config!$B$27)</f>
        <v>STANDARD</v>
      </c>
      <c r="F6" t="str">
        <f>IF($AS6="","",Config!$B$9)</f>
        <v>PT Teknologi Medika Pratama (SwipeRx) (B2BR)</v>
      </c>
      <c r="G6" t="str">
        <f>IF($AS6="","",Config!$B$10)</f>
        <v>087733785699</v>
      </c>
      <c r="H6" t="str">
        <f>IF($AS6="","",Config!$B$11)</f>
        <v>Jl. Tugu Raya, Tugu, Kec. Cimanggis, Kota Depok, Jawa Barat 16451,KUBIK LOGISTICS - Kompleks Pergudangan,Gudang E1</v>
      </c>
      <c r="I6" t="str">
        <f>IF($AS6="","",Config!$B$16)</f>
        <v>ID</v>
      </c>
      <c r="J6" t="str">
        <f>IF($AS6="","",INDEX('TMP Paste'!$A$2:$A$1601,$AS6))</f>
        <v>Apotek Berlian Farma</v>
      </c>
      <c r="K6" t="str">
        <f>IF($AS6="","",INDEX('TMP Paste'!$L$2:$L$1601,$AS6))</f>
        <v>85374101944</v>
      </c>
      <c r="L6" t="str">
        <f>IF($AS6="","",INDEX('TMP Paste'!$I$2:$I$1601,$AS6))</f>
        <v>667-Komplek Permata Jasindo Lestari Blok A6/14 RT.007 RW.004 Kelurahan Mekarsari, Kecamatan Cimanggis, Kota Depok 16452</v>
      </c>
      <c r="M6" t="str">
        <f>IF($AS6="","",Config!$B$16)</f>
        <v>ID</v>
      </c>
      <c r="N6" t="str">
        <f t="shared" si="0"/>
        <v/>
      </c>
      <c r="O6" t="str">
        <f>IF($AS6="","",INDEX('TMP Paste'!$K$2:$K$1601,$AS6))</f>
        <v>Kota Depok</v>
      </c>
      <c r="P6" t="str">
        <f t="shared" si="1"/>
        <v/>
      </c>
      <c r="Q6">
        <f>IF($AS6="","",INDEX('TMP Paste'!$J$2:$J$1601,$AS6))</f>
        <v>16452</v>
      </c>
      <c r="R6" t="str">
        <f>IF($AS6="","",Config!$B$24)</f>
        <v>Delivery Note wajib ada nama penerima, ditandatangani dan distempel penerima. Jika di label tertera "SP Manual", maka dokumen SP Manual harus diminta ke penerima sesuai dengan jumlah PO yang butuh SP Manual. Apabila ada retur, catat di Delivery Note dan update ke IC</v>
      </c>
      <c r="S6" t="str">
        <f ca="1">IF($AS6="","",TEXT(Config!$B$4,"yyyy-mm-dd"))</f>
        <v>2026-08-18</v>
      </c>
      <c r="T6" t="str">
        <f>IF($AS6="","",Config!$B$17)</f>
        <v>09:00</v>
      </c>
      <c r="U6" t="str">
        <f>IF($AS6="","",Config!$B$18)</f>
        <v>22:00</v>
      </c>
      <c r="V6" t="str">
        <f>IF($AS6="","",Config!$B$19)</f>
        <v>Asia/Jakarta</v>
      </c>
      <c r="W6">
        <f>IF($AS6="","",INDEX('TMP Paste'!$C$2:$C$1601,$AS6))</f>
        <v>7.9</v>
      </c>
      <c r="X6" t="str">
        <f>IF($AS6="","",Config!$B$29)</f>
        <v>FALSE</v>
      </c>
      <c r="Y6" t="str">
        <f>IF($AT6="","",INDEX(Calc!$I$2:$I$1601,$AT6)&amp;" - "&amp;INDEX(Calc!$D$2:$D$1601,$AT6)&amp;" koli")</f>
        <v>26072800444949VmLEmOlB9 (1), 260728010345500SexiSn1Av (1), 26072801034550trixNIPaR (1), 26072801473602jTFSiKfF (1) - 4 koli</v>
      </c>
      <c r="Z6" t="str">
        <f>IF($AS6="","",Config!$B$21)</f>
        <v>FALSE</v>
      </c>
      <c r="AA6" t="str">
        <f>IF($AS6="","",Config!$B$22)</f>
        <v>RDO</v>
      </c>
      <c r="AB6">
        <f>IF($AT6="","",INDEX(Calc!$D$2:$D$1601,$AT6))</f>
        <v>4</v>
      </c>
      <c r="AC6" t="str">
        <f>IF($AT6="","",INDEX(Calc!$G$2:$G$1601,$AT6))</f>
        <v>26072800444949VmLEmOlB9-01, 260728010345500SexiSn1Av-02, 26072801034550trixNIPaR-03, 26072801473602jTFSiKfF-04</v>
      </c>
      <c r="AD6">
        <f>IF($AS6="","",Config!$B$23)</f>
        <v>0</v>
      </c>
      <c r="AE6">
        <f>IF($AS6="","",Config!$B$28)</f>
        <v>1</v>
      </c>
      <c r="AF6">
        <f t="shared" si="2"/>
        <v>10</v>
      </c>
      <c r="AG6">
        <f t="shared" si="3"/>
        <v>58.8525</v>
      </c>
      <c r="AH6">
        <f t="shared" si="4"/>
        <v>10</v>
      </c>
      <c r="AI6">
        <f>IF($AG6="","",SUMIF($AG$2:$AG6,$AG6,$AH$2:$AH6))</f>
        <v>10</v>
      </c>
      <c r="AJ6" t="str">
        <f>IF('TMP Paste'!$F6="","",IF('TMP Paste'!$B6="",$AJ5,'TMP Paste'!$B6))</f>
        <v/>
      </c>
      <c r="AK6" t="str">
        <f>IF('TMP Paste'!$F6="","",N('TMP Paste'!$G6))</f>
        <v/>
      </c>
      <c r="AL6" t="str">
        <f>IF('TMP Paste'!$F6="","",IF('TMP Paste'!$M6="",$AL5,'TMP Paste'!$M6))</f>
        <v/>
      </c>
      <c r="AM6" t="str">
        <f>IF('TMP Paste'!$F6="","",IF('TMP Paste'!$N6="",$AM5,'TMP Paste'!$N6))</f>
        <v/>
      </c>
      <c r="AN6" t="str">
        <f>IF('TMP Paste'!$F6="","",IF('TMP Paste'!$O6="",$AN5,'TMP Paste'!$O6))</f>
        <v/>
      </c>
      <c r="AO6" t="str">
        <f>IF('TMP Paste'!$F6="","",IF('TMP Paste'!$P6="",$AO5,'TMP Paste'!$P6))</f>
        <v/>
      </c>
      <c r="AP6">
        <f t="shared" si="5"/>
        <v>266</v>
      </c>
      <c r="AQ6" t="str">
        <f>IF($AS6="","",TRIM(IF(COUNTIFS(Calc!$B$2:$B$1601,ROW()-1,Calc!$C$2:$C$1601,"&lt;1")&gt;0,"Ada PO tanpa Koli - cek TMP. ","")&amp;IF(OR($AU6="",$AU6&lt;=0),"Volume kosong/0 - dimensi dikosongkan. ","")&amp;IF(AND($AU6&lt;&gt;"",$AU6&gt;=1000000),"Volume &gt;= 1.000.000 cm3 (di luar aturan) - dimensi dikosongkan. ","")&amp;IF(LEN($R6)&gt;500,"R &gt; 500 karakter.","")))</f>
        <v/>
      </c>
      <c r="AS6">
        <f>IFERROR(MATCH(ROW()-1,Calc!$J$2:$J$1601,0),"")</f>
        <v>7</v>
      </c>
      <c r="AT6">
        <f>IFERROR(MATCH(ROW()-1,Calc!$K$2:$K$1601,0),"")</f>
        <v>10</v>
      </c>
      <c r="AU6">
        <f>IF($AS6="","",IFERROR(INDEX('TMP Paste'!$D$2:$D$1601,$AS6)*1000000/$AB6,""))</f>
        <v>5885.25</v>
      </c>
    </row>
    <row r="7" spans="1:47">
      <c r="A7" t="str">
        <f>IF($AS7="","",INDEX('TMP Paste'!$B$2:$B$1601,$AS7))</f>
        <v>AWB02WGVD</v>
      </c>
      <c r="B7">
        <f>IF($AS7="","",Config!$B$14)</f>
        <v>11398423</v>
      </c>
      <c r="C7" t="str">
        <f>IF($AS7="","",Config!$B$15)</f>
        <v>Corporate B2B Bundle</v>
      </c>
      <c r="D7" t="str">
        <f>IF($AS7="","",INDEX('TMP Paste'!$B$2:$B$1601,$AS7))</f>
        <v>AWB02WGVD</v>
      </c>
      <c r="E7" t="str">
        <f>IF($AS7="","",Config!$B$27)</f>
        <v>STANDARD</v>
      </c>
      <c r="F7" t="str">
        <f>IF($AS7="","",Config!$B$9)</f>
        <v>PT Teknologi Medika Pratama (SwipeRx) (B2BR)</v>
      </c>
      <c r="G7" t="str">
        <f>IF($AS7="","",Config!$B$10)</f>
        <v>087733785699</v>
      </c>
      <c r="H7" t="str">
        <f>IF($AS7="","",Config!$B$11)</f>
        <v>Jl. Tugu Raya, Tugu, Kec. Cimanggis, Kota Depok, Jawa Barat 16451,KUBIK LOGISTICS - Kompleks Pergudangan,Gudang E1</v>
      </c>
      <c r="I7" t="str">
        <f>IF($AS7="","",Config!$B$16)</f>
        <v>ID</v>
      </c>
      <c r="J7" t="str">
        <f>IF($AS7="","",INDEX('TMP Paste'!$A$2:$A$1601,$AS7))</f>
        <v>Apotek Berlian Farma Rasamala Bakti Jaya Sukmajaya</v>
      </c>
      <c r="K7" t="str">
        <f>IF($AS7="","",INDEX('TMP Paste'!$L$2:$L$1601,$AS7))</f>
        <v>6285374101944</v>
      </c>
      <c r="L7" t="str">
        <f>IF($AS7="","",INDEX('TMP Paste'!$I$2:$I$1601,$AS7))</f>
        <v>11437-Jl. Rasamala Raya No. 423 Kel. Baktijaya Kec. Sukmajaya Kota Depok 16418</v>
      </c>
      <c r="M7" t="str">
        <f>IF($AS7="","",Config!$B$16)</f>
        <v>ID</v>
      </c>
      <c r="N7" t="str">
        <f t="shared" si="0"/>
        <v/>
      </c>
      <c r="O7" t="str">
        <f>IF($AS7="","",INDEX('TMP Paste'!$K$2:$K$1601,$AS7))</f>
        <v>Kota Depok</v>
      </c>
      <c r="P7" t="str">
        <f t="shared" si="1"/>
        <v/>
      </c>
      <c r="Q7">
        <f>IF($AS7="","",INDEX('TMP Paste'!$J$2:$J$1601,$AS7))</f>
        <v>16418</v>
      </c>
      <c r="R7" t="str">
        <f>IF($AS7="","",Config!$B$24)</f>
        <v>Delivery Note wajib ada nama penerima, ditandatangani dan distempel penerima. Jika di label tertera "SP Manual", maka dokumen SP Manual harus diminta ke penerima sesuai dengan jumlah PO yang butuh SP Manual. Apabila ada retur, catat di Delivery Note dan update ke IC</v>
      </c>
      <c r="S7" t="str">
        <f ca="1">IF($AS7="","",TEXT(Config!$B$4,"yyyy-mm-dd"))</f>
        <v>2026-08-18</v>
      </c>
      <c r="T7" t="str">
        <f>IF($AS7="","",Config!$B$17)</f>
        <v>09:00</v>
      </c>
      <c r="U7" t="str">
        <f>IF($AS7="","",Config!$B$18)</f>
        <v>22:00</v>
      </c>
      <c r="V7" t="str">
        <f>IF($AS7="","",Config!$B$19)</f>
        <v>Asia/Jakarta</v>
      </c>
      <c r="W7">
        <f>IF($AS7="","",INDEX('TMP Paste'!$C$2:$C$1601,$AS7))</f>
        <v>7.4</v>
      </c>
      <c r="X7" t="str">
        <f>IF($AS7="","",Config!$B$29)</f>
        <v>FALSE</v>
      </c>
      <c r="Y7" t="str">
        <f>IF($AT7="","",INDEX(Calc!$I$2:$I$1601,$AT7)&amp;" - "&amp;INDEX(Calc!$D$2:$D$1601,$AT7)&amp;" koli")</f>
        <v>26072703245809wQimRVF1 (1), 26072802522246IUjxQvWbh (1), 26072802592265RiGBF708N (1), 26072802592265wqZCVet0V (1) - 4 koli</v>
      </c>
      <c r="Z7" t="str">
        <f>IF($AS7="","",Config!$B$21)</f>
        <v>FALSE</v>
      </c>
      <c r="AA7" t="str">
        <f>IF($AS7="","",Config!$B$22)</f>
        <v>RDO</v>
      </c>
      <c r="AB7">
        <f>IF($AT7="","",INDEX(Calc!$D$2:$D$1601,$AT7))</f>
        <v>4</v>
      </c>
      <c r="AC7" t="str">
        <f>IF($AT7="","",INDEX(Calc!$G$2:$G$1601,$AT7))</f>
        <v>26072703245809wQimRVF1-01, 26072802522246IUjxQvWbh-02, 26072802592265RiGBF708N-03, 26072802592265wqZCVet0V-04</v>
      </c>
      <c r="AD7">
        <f>IF($AS7="","",Config!$B$23)</f>
        <v>0</v>
      </c>
      <c r="AE7">
        <f>IF($AS7="","",Config!$B$28)</f>
        <v>1</v>
      </c>
      <c r="AF7">
        <f t="shared" si="2"/>
        <v>10</v>
      </c>
      <c r="AG7">
        <f t="shared" si="3"/>
        <v>58.34</v>
      </c>
      <c r="AH7">
        <f t="shared" si="4"/>
        <v>10</v>
      </c>
      <c r="AI7">
        <f>IF($AG7="","",SUMIF($AG$2:$AG7,$AG7,$AH$2:$AH7))</f>
        <v>10</v>
      </c>
      <c r="AJ7" t="str">
        <f>IF('TMP Paste'!$F7="","",IF('TMP Paste'!$B7="",$AJ6,'TMP Paste'!$B7))</f>
        <v/>
      </c>
      <c r="AK7" t="str">
        <f>IF('TMP Paste'!$F7="","",N('TMP Paste'!$G7))</f>
        <v/>
      </c>
      <c r="AL7" t="str">
        <f>IF('TMP Paste'!$F7="","",IF('TMP Paste'!$M7="",$AL6,'TMP Paste'!$M7))</f>
        <v/>
      </c>
      <c r="AM7" t="str">
        <f>IF('TMP Paste'!$F7="","",IF('TMP Paste'!$N7="",$AM6,'TMP Paste'!$N7))</f>
        <v/>
      </c>
      <c r="AN7" t="str">
        <f>IF('TMP Paste'!$F7="","",IF('TMP Paste'!$O7="",$AN6,'TMP Paste'!$O7))</f>
        <v/>
      </c>
      <c r="AO7" t="str">
        <f>IF('TMP Paste'!$F7="","",IF('TMP Paste'!$P7="",$AO6,'TMP Paste'!$P7))</f>
        <v/>
      </c>
      <c r="AP7">
        <f t="shared" si="5"/>
        <v>266</v>
      </c>
      <c r="AQ7" t="str">
        <f>IF($AS7="","",TRIM(IF(COUNTIFS(Calc!$B$2:$B$1601,ROW()-1,Calc!$C$2:$C$1601,"&lt;1")&gt;0,"Ada PO tanpa Koli - cek TMP. ","")&amp;IF(OR($AU7="",$AU7&lt;=0),"Volume kosong/0 - dimensi dikosongkan. ","")&amp;IF(AND($AU7&lt;&gt;"",$AU7&gt;=1000000),"Volume &gt;= 1.000.000 cm3 (di luar aturan) - dimensi dikosongkan. ","")&amp;IF(LEN($R7)&gt;500,"R &gt; 500 karakter.","")))</f>
        <v/>
      </c>
      <c r="AS7">
        <f>IFERROR(MATCH(ROW()-1,Calc!$J$2:$J$1601,0),"")</f>
        <v>11</v>
      </c>
      <c r="AT7">
        <f>IFERROR(MATCH(ROW()-1,Calc!$K$2:$K$1601,0),"")</f>
        <v>14</v>
      </c>
      <c r="AU7">
        <f>IF($AS7="","",IFERROR(INDEX('TMP Paste'!$D$2:$D$1601,$AS7)*1000000/$AB7,""))</f>
        <v>5834</v>
      </c>
    </row>
    <row r="8" spans="1:47">
      <c r="A8" t="str">
        <f>IF($AS8="","",INDEX('TMP Paste'!$B$2:$B$1601,$AS8))</f>
        <v>AWB02WJRN</v>
      </c>
      <c r="B8">
        <f>IF($AS8="","",Config!$B$14)</f>
        <v>11398423</v>
      </c>
      <c r="C8" t="str">
        <f>IF($AS8="","",Config!$B$15)</f>
        <v>Corporate B2B Bundle</v>
      </c>
      <c r="D8" t="str">
        <f>IF($AS8="","",INDEX('TMP Paste'!$B$2:$B$1601,$AS8))</f>
        <v>AWB02WJRN</v>
      </c>
      <c r="E8" t="str">
        <f>IF($AS8="","",Config!$B$27)</f>
        <v>STANDARD</v>
      </c>
      <c r="F8" t="str">
        <f>IF($AS8="","",Config!$B$9)</f>
        <v>PT Teknologi Medika Pratama (SwipeRx) (B2BR)</v>
      </c>
      <c r="G8" t="str">
        <f>IF($AS8="","",Config!$B$10)</f>
        <v>087733785699</v>
      </c>
      <c r="H8" t="str">
        <f>IF($AS8="","",Config!$B$11)</f>
        <v>Jl. Tugu Raya, Tugu, Kec. Cimanggis, Kota Depok, Jawa Barat 16451,KUBIK LOGISTICS - Kompleks Pergudangan,Gudang E1</v>
      </c>
      <c r="I8" t="str">
        <f>IF($AS8="","",Config!$B$16)</f>
        <v>ID</v>
      </c>
      <c r="J8" t="str">
        <f>IF($AS8="","",INDEX('TMP Paste'!$A$2:$A$1601,$AS8))</f>
        <v>Apotek Bersama Plus Jatimulya Cilodong</v>
      </c>
      <c r="K8" t="str">
        <f>IF($AS8="","",INDEX('TMP Paste'!$L$2:$L$1601,$AS8))</f>
        <v>6285282565256</v>
      </c>
      <c r="L8" t="str">
        <f>IF($AS8="","",INDEX('TMP Paste'!$I$2:$I$1601,$AS8))</f>
        <v>15120-Jalan Pondok Rajeg RT 01 RW 01 NO 79, Desa/Kelurahan Jatimulya, Kec. Cilodong, Kota Depok, Provinsi Jawa Barat,</v>
      </c>
      <c r="M8" t="str">
        <f>IF($AS8="","",Config!$B$16)</f>
        <v>ID</v>
      </c>
      <c r="N8" t="str">
        <f t="shared" si="0"/>
        <v/>
      </c>
      <c r="O8" t="str">
        <f>IF($AS8="","",INDEX('TMP Paste'!$K$2:$K$1601,$AS8))</f>
        <v>Kota Depok</v>
      </c>
      <c r="P8" t="str">
        <f t="shared" si="1"/>
        <v/>
      </c>
      <c r="Q8">
        <f>IF($AS8="","",INDEX('TMP Paste'!$J$2:$J$1601,$AS8))</f>
        <v>16413</v>
      </c>
      <c r="R8" t="str">
        <f>IF($AS8="","",Config!$B$24)</f>
        <v>Delivery Note wajib ada nama penerima, ditandatangani dan distempel penerima. Jika di label tertera "SP Manual", maka dokumen SP Manual harus diminta ke penerima sesuai dengan jumlah PO yang butuh SP Manual. Apabila ada retur, catat di Delivery Note dan update ke IC</v>
      </c>
      <c r="S8" t="str">
        <f ca="1">IF($AS8="","",TEXT(Config!$B$4,"yyyy-mm-dd"))</f>
        <v>2026-08-18</v>
      </c>
      <c r="T8" t="str">
        <f>IF($AS8="","",Config!$B$17)</f>
        <v>09:00</v>
      </c>
      <c r="U8" t="str">
        <f>IF($AS8="","",Config!$B$18)</f>
        <v>22:00</v>
      </c>
      <c r="V8" t="str">
        <f>IF($AS8="","",Config!$B$19)</f>
        <v>Asia/Jakarta</v>
      </c>
      <c r="W8">
        <f>IF($AS8="","",INDEX('TMP Paste'!$C$2:$C$1601,$AS8))</f>
        <v>7.31</v>
      </c>
      <c r="X8" t="str">
        <f>IF($AS8="","",Config!$B$29)</f>
        <v>FALSE</v>
      </c>
      <c r="Y8" t="str">
        <f>IF($AT8="","",INDEX(Calc!$I$2:$I$1601,$AT8)&amp;" - "&amp;INDEX(Calc!$D$2:$D$1601,$AT8)&amp;" koli")</f>
        <v>26072712475211w4O3Py9yv (1), 260727124752122dYBQKGDe (1), 26072712475212Ec78WQpCrD (1), 26072712475212XTxGNiHixm (1) - 4 koli</v>
      </c>
      <c r="Z8" t="str">
        <f>IF($AS8="","",Config!$B$21)</f>
        <v>FALSE</v>
      </c>
      <c r="AA8" t="str">
        <f>IF($AS8="","",Config!$B$22)</f>
        <v>RDO</v>
      </c>
      <c r="AB8">
        <f>IF($AT8="","",INDEX(Calc!$D$2:$D$1601,$AT8))</f>
        <v>4</v>
      </c>
      <c r="AC8" t="str">
        <f>IF($AT8="","",INDEX(Calc!$G$2:$G$1601,$AT8))</f>
        <v>26072712475211w4O3Py9yv-01, 260727124752122dYBQKGDe-02, 26072712475212Ec78WQpCrD-03, 26072712475212XTxGNiHixm-04</v>
      </c>
      <c r="AD8">
        <f>IF($AS8="","",Config!$B$23)</f>
        <v>0</v>
      </c>
      <c r="AE8">
        <f>IF($AS8="","",Config!$B$28)</f>
        <v>1</v>
      </c>
      <c r="AF8">
        <f t="shared" si="2"/>
        <v>10</v>
      </c>
      <c r="AG8">
        <f t="shared" si="3"/>
        <v>88.885</v>
      </c>
      <c r="AH8">
        <f t="shared" si="4"/>
        <v>10</v>
      </c>
      <c r="AI8">
        <f>IF($AG8="","",SUMIF($AG$2:$AG8,$AG8,$AH$2:$AH8))</f>
        <v>10</v>
      </c>
      <c r="AJ8" t="str">
        <f>IF('TMP Paste'!$F8="","",IF('TMP Paste'!$B8="",$AJ7,'TMP Paste'!$B8))</f>
        <v>AWB02WKFU</v>
      </c>
      <c r="AK8">
        <f>IF('TMP Paste'!$F8="","",N('TMP Paste'!$G8))</f>
        <v>0</v>
      </c>
      <c r="AL8">
        <f>IF('TMP Paste'!$F8="","",IF('TMP Paste'!$M8="",$AL7,'TMP Paste'!$M8))</f>
        <v>1</v>
      </c>
      <c r="AM8" t="str">
        <f>IF('TMP Paste'!$F8="","",IF('TMP Paste'!$N8="",$AM7,'TMP Paste'!$N8))</f>
        <v/>
      </c>
      <c r="AN8" t="str">
        <f>IF('TMP Paste'!$F8="","",IF('TMP Paste'!$O8="",$AN7,'TMP Paste'!$O8))</f>
        <v/>
      </c>
      <c r="AO8" t="str">
        <f>IF('TMP Paste'!$F8="","",IF('TMP Paste'!$P8="",$AO7,'TMP Paste'!$P8))</f>
        <v/>
      </c>
      <c r="AP8">
        <f t="shared" si="5"/>
        <v>266</v>
      </c>
      <c r="AQ8" t="str">
        <f>IF($AS8="","",TRIM(IF(COUNTIFS(Calc!$B$2:$B$1601,ROW()-1,Calc!$C$2:$C$1601,"&lt;1")&gt;0,"Ada PO tanpa Koli - cek TMP. ","")&amp;IF(OR($AU8="",$AU8&lt;=0),"Volume kosong/0 - dimensi dikosongkan. ","")&amp;IF(AND($AU8&lt;&gt;"",$AU8&gt;=1000000),"Volume &gt;= 1.000.000 cm3 (di luar aturan) - dimensi dikosongkan. ","")&amp;IF(LEN($R8)&gt;500,"R &gt; 500 karakter.","")))</f>
        <v/>
      </c>
      <c r="AS8">
        <f>IFERROR(MATCH(ROW()-1,Calc!$J$2:$J$1601,0),"")</f>
        <v>15</v>
      </c>
      <c r="AT8">
        <f>IFERROR(MATCH(ROW()-1,Calc!$K$2:$K$1601,0),"")</f>
        <v>18</v>
      </c>
      <c r="AU8">
        <f>IF($AS8="","",IFERROR(INDEX('TMP Paste'!$D$2:$D$1601,$AS8)*1000000/$AB8,""))</f>
        <v>8888.5</v>
      </c>
    </row>
    <row r="9" spans="1:47">
      <c r="A9" t="str">
        <f>IF($AS9="","",INDEX('TMP Paste'!$B$2:$B$1601,$AS9))</f>
        <v>AWB02WKH1</v>
      </c>
      <c r="B9">
        <f>IF($AS9="","",Config!$B$14)</f>
        <v>11398423</v>
      </c>
      <c r="C9" t="str">
        <f>IF($AS9="","",Config!$B$15)</f>
        <v>Corporate B2B Bundle</v>
      </c>
      <c r="D9" t="str">
        <f>IF($AS9="","",INDEX('TMP Paste'!$B$2:$B$1601,$AS9))</f>
        <v>AWB02WKH1</v>
      </c>
      <c r="E9" t="str">
        <f>IF($AS9="","",Config!$B$27)</f>
        <v>STANDARD</v>
      </c>
      <c r="F9" t="str">
        <f>IF($AS9="","",Config!$B$9)</f>
        <v>PT Teknologi Medika Pratama (SwipeRx) (B2BR)</v>
      </c>
      <c r="G9" t="str">
        <f>IF($AS9="","",Config!$B$10)</f>
        <v>087733785699</v>
      </c>
      <c r="H9" t="str">
        <f>IF($AS9="","",Config!$B$11)</f>
        <v>Jl. Tugu Raya, Tugu, Kec. Cimanggis, Kota Depok, Jawa Barat 16451,KUBIK LOGISTICS - Kompleks Pergudangan,Gudang E1</v>
      </c>
      <c r="I9" t="str">
        <f>IF($AS9="","",Config!$B$16)</f>
        <v>ID</v>
      </c>
      <c r="J9" t="str">
        <f>IF($AS9="","",INDEX('TMP Paste'!$A$2:$A$1601,$AS9))</f>
        <v>Apotek Bersama Pondok Ranggon Cipayung</v>
      </c>
      <c r="K9" t="str">
        <f>IF($AS9="","",INDEX('TMP Paste'!$L$2:$L$1601,$AS9))</f>
        <v>6289529655094</v>
      </c>
      <c r="L9" t="str">
        <f>IF($AS9="","",INDEX('TMP Paste'!$I$2:$I$1601,$AS9))</f>
        <v>12430-Jl Raya Pondok Ranggon RT 006 RW 004 Kel. Pondok Ranggon Kec. Cipayung, Jakarta Timur</v>
      </c>
      <c r="M9" t="str">
        <f>IF($AS9="","",Config!$B$16)</f>
        <v>ID</v>
      </c>
      <c r="N9" t="str">
        <f t="shared" si="0"/>
        <v/>
      </c>
      <c r="O9" t="str">
        <f>IF($AS9="","",INDEX('TMP Paste'!$K$2:$K$1601,$AS9))</f>
        <v>Kota Jakarta Timur</v>
      </c>
      <c r="P9" t="str">
        <f t="shared" si="1"/>
        <v/>
      </c>
      <c r="Q9">
        <f>IF($AS9="","",INDEX('TMP Paste'!$J$2:$J$1601,$AS9))</f>
        <v>13860</v>
      </c>
      <c r="R9" t="str">
        <f>IF($AS9="","",Config!$B$24)</f>
        <v>Delivery Note wajib ada nama penerima, ditandatangani dan distempel penerima. Jika di label tertera "SP Manual", maka dokumen SP Manual harus diminta ke penerima sesuai dengan jumlah PO yang butuh SP Manual. Apabila ada retur, catat di Delivery Note dan update ke IC</v>
      </c>
      <c r="S9" t="str">
        <f ca="1">IF($AS9="","",TEXT(Config!$B$4,"yyyy-mm-dd"))</f>
        <v>2026-08-18</v>
      </c>
      <c r="T9" t="str">
        <f>IF($AS9="","",Config!$B$17)</f>
        <v>09:00</v>
      </c>
      <c r="U9" t="str">
        <f>IF($AS9="","",Config!$B$18)</f>
        <v>22:00</v>
      </c>
      <c r="V9" t="str">
        <f>IF($AS9="","",Config!$B$19)</f>
        <v>Asia/Jakarta</v>
      </c>
      <c r="W9">
        <f>IF($AS9="","",INDEX('TMP Paste'!$C$2:$C$1601,$AS9))</f>
        <v>0.53</v>
      </c>
      <c r="X9" t="str">
        <f>IF($AS9="","",Config!$B$29)</f>
        <v>FALSE</v>
      </c>
      <c r="Y9" t="str">
        <f>IF($AT9="","",INDEX(Calc!$I$2:$I$1601,$AT9)&amp;" - "&amp;INDEX(Calc!$D$2:$D$1601,$AT9)&amp;" koli")</f>
        <v>26072800513343zU8ph3SKJ (1) - 1 koli</v>
      </c>
      <c r="Z9" t="str">
        <f>IF($AS9="","",Config!$B$21)</f>
        <v>FALSE</v>
      </c>
      <c r="AA9" t="str">
        <f>IF($AS9="","",Config!$B$22)</f>
        <v>RDO</v>
      </c>
      <c r="AB9">
        <f>IF($AT9="","",INDEX(Calc!$D$2:$D$1601,$AT9))</f>
        <v>1</v>
      </c>
      <c r="AC9" t="str">
        <f>IF($AT9="","",INDEX(Calc!$G$2:$G$1601,$AT9))</f>
        <v>26072800513343zU8ph3SKJ-01</v>
      </c>
      <c r="AD9">
        <f>IF($AS9="","",Config!$B$23)</f>
        <v>0</v>
      </c>
      <c r="AE9">
        <f>IF($AS9="","",Config!$B$28)</f>
        <v>1</v>
      </c>
      <c r="AF9">
        <f t="shared" si="2"/>
        <v>10</v>
      </c>
      <c r="AG9">
        <f t="shared" si="3"/>
        <v>14.16</v>
      </c>
      <c r="AH9">
        <f t="shared" si="4"/>
        <v>10</v>
      </c>
      <c r="AI9">
        <f>IF($AG9="","",SUMIF($AG$2:$AG9,$AG9,$AH$2:$AH9))</f>
        <v>10</v>
      </c>
      <c r="AJ9" t="str">
        <f>IF('TMP Paste'!$F9="","",IF('TMP Paste'!$B9="",$AJ8,'TMP Paste'!$B9))</f>
        <v/>
      </c>
      <c r="AK9" t="str">
        <f>IF('TMP Paste'!$F9="","",N('TMP Paste'!$G9))</f>
        <v/>
      </c>
      <c r="AL9" t="str">
        <f>IF('TMP Paste'!$F9="","",IF('TMP Paste'!$M9="",$AL8,'TMP Paste'!$M9))</f>
        <v/>
      </c>
      <c r="AM9" t="str">
        <f>IF('TMP Paste'!$F9="","",IF('TMP Paste'!$N9="",$AM8,'TMP Paste'!$N9))</f>
        <v/>
      </c>
      <c r="AN9" t="str">
        <f>IF('TMP Paste'!$F9="","",IF('TMP Paste'!$O9="",$AN8,'TMP Paste'!$O9))</f>
        <v/>
      </c>
      <c r="AO9" t="str">
        <f>IF('TMP Paste'!$F9="","",IF('TMP Paste'!$P9="",$AO8,'TMP Paste'!$P9))</f>
        <v/>
      </c>
      <c r="AP9">
        <f t="shared" si="5"/>
        <v>266</v>
      </c>
      <c r="AQ9" t="str">
        <f>IF($AS9="","",TRIM(IF(COUNTIFS(Calc!$B$2:$B$1601,ROW()-1,Calc!$C$2:$C$1601,"&lt;1")&gt;0,"Ada PO tanpa Koli - cek TMP. ","")&amp;IF(OR($AU9="",$AU9&lt;=0),"Volume kosong/0 - dimensi dikosongkan. ","")&amp;IF(AND($AU9&lt;&gt;"",$AU9&gt;=1000000),"Volume &gt;= 1.000.000 cm3 (di luar aturan) - dimensi dikosongkan. ","")&amp;IF(LEN($R9)&gt;500,"R &gt; 500 karakter.","")))</f>
        <v/>
      </c>
      <c r="AS9">
        <f>IFERROR(MATCH(ROW()-1,Calc!$J$2:$J$1601,0),"")</f>
        <v>19</v>
      </c>
      <c r="AT9">
        <f>IFERROR(MATCH(ROW()-1,Calc!$K$2:$K$1601,0),"")</f>
        <v>19</v>
      </c>
      <c r="AU9">
        <f>IF($AS9="","",IFERROR(INDEX('TMP Paste'!$D$2:$D$1601,$AS9)*1000000/$AB9,""))</f>
        <v>1416</v>
      </c>
    </row>
    <row r="10" spans="1:47">
      <c r="A10" t="str">
        <f>IF($AS10="","",INDEX('TMP Paste'!$B$2:$B$1601,$AS10))</f>
        <v>AWB02WJ9B</v>
      </c>
      <c r="B10">
        <f>IF($AS10="","",Config!$B$14)</f>
        <v>11398423</v>
      </c>
      <c r="C10" t="str">
        <f>IF($AS10="","",Config!$B$15)</f>
        <v>Corporate B2B Bundle</v>
      </c>
      <c r="D10" t="str">
        <f>IF($AS10="","",INDEX('TMP Paste'!$B$2:$B$1601,$AS10))</f>
        <v>AWB02WJ9B</v>
      </c>
      <c r="E10" t="str">
        <f>IF($AS10="","",Config!$B$27)</f>
        <v>STANDARD</v>
      </c>
      <c r="F10" t="str">
        <f>IF($AS10="","",Config!$B$9)</f>
        <v>PT Teknologi Medika Pratama (SwipeRx) (B2BR)</v>
      </c>
      <c r="G10" t="str">
        <f>IF($AS10="","",Config!$B$10)</f>
        <v>087733785699</v>
      </c>
      <c r="H10" t="str">
        <f>IF($AS10="","",Config!$B$11)</f>
        <v>Jl. Tugu Raya, Tugu, Kec. Cimanggis, Kota Depok, Jawa Barat 16451,KUBIK LOGISTICS - Kompleks Pergudangan,Gudang E1</v>
      </c>
      <c r="I10" t="str">
        <f>IF($AS10="","",Config!$B$16)</f>
        <v>ID</v>
      </c>
      <c r="J10" t="str">
        <f>IF($AS10="","",INDEX('TMP Paste'!$A$2:$A$1601,$AS10))</f>
        <v>Apotek Bumi Sehat Serua Bojongsari</v>
      </c>
      <c r="K10" t="str">
        <f>IF($AS10="","",INDEX('TMP Paste'!$L$2:$L$1601,$AS10))</f>
        <v>6281934028112</v>
      </c>
      <c r="L10" t="str">
        <f>IF($AS10="","",INDEX('TMP Paste'!$I$2:$I$1601,$AS10))</f>
        <v>11084-Jl. Serua Raya, Kel Serua Kec. Bojongsari, Kota Depok, 16517</v>
      </c>
      <c r="M10" t="str">
        <f>IF($AS10="","",Config!$B$16)</f>
        <v>ID</v>
      </c>
      <c r="N10" t="str">
        <f t="shared" si="0"/>
        <v/>
      </c>
      <c r="O10" t="str">
        <f>IF($AS10="","",INDEX('TMP Paste'!$K$2:$K$1601,$AS10))</f>
        <v>Kota Depok</v>
      </c>
      <c r="P10" t="str">
        <f t="shared" si="1"/>
        <v/>
      </c>
      <c r="Q10">
        <f>IF($AS10="","",INDEX('TMP Paste'!$J$2:$J$1601,$AS10))</f>
        <v>16517</v>
      </c>
      <c r="R10" t="str">
        <f>IF($AS10="","",Config!$B$24)</f>
        <v>Delivery Note wajib ada nama penerima, ditandatangani dan distempel penerima. Jika di label tertera "SP Manual", maka dokumen SP Manual harus diminta ke penerima sesuai dengan jumlah PO yang butuh SP Manual. Apabila ada retur, catat di Delivery Note dan update ke IC</v>
      </c>
      <c r="S10" t="str">
        <f ca="1">IF($AS10="","",TEXT(Config!$B$4,"yyyy-mm-dd"))</f>
        <v>2026-08-18</v>
      </c>
      <c r="T10" t="str">
        <f>IF($AS10="","",Config!$B$17)</f>
        <v>09:00</v>
      </c>
      <c r="U10" t="str">
        <f>IF($AS10="","",Config!$B$18)</f>
        <v>22:00</v>
      </c>
      <c r="V10" t="str">
        <f>IF($AS10="","",Config!$B$19)</f>
        <v>Asia/Jakarta</v>
      </c>
      <c r="W10">
        <f>IF($AS10="","",INDEX('TMP Paste'!$C$2:$C$1601,$AS10))</f>
        <v>0.44</v>
      </c>
      <c r="X10" t="str">
        <f>IF($AS10="","",Config!$B$29)</f>
        <v>FALSE</v>
      </c>
      <c r="Y10" t="str">
        <f>IF($AT10="","",INDEX(Calc!$I$2:$I$1601,$AT10)&amp;" - "&amp;INDEX(Calc!$D$2:$D$1601,$AT10)&amp;" koli")</f>
        <v>26072707523848Dhpuftwa (1) - 1 koli</v>
      </c>
      <c r="Z10" t="str">
        <f>IF($AS10="","",Config!$B$21)</f>
        <v>FALSE</v>
      </c>
      <c r="AA10" t="str">
        <f>IF($AS10="","",Config!$B$22)</f>
        <v>RDO</v>
      </c>
      <c r="AB10">
        <f>IF($AT10="","",INDEX(Calc!$D$2:$D$1601,$AT10))</f>
        <v>1</v>
      </c>
      <c r="AC10" t="str">
        <f>IF($AT10="","",INDEX(Calc!$G$2:$G$1601,$AT10))</f>
        <v>26072707523848Dhpuftwa-01</v>
      </c>
      <c r="AD10">
        <f>IF($AS10="","",Config!$B$23)</f>
        <v>0</v>
      </c>
      <c r="AE10">
        <f>IF($AS10="","",Config!$B$28)</f>
        <v>1</v>
      </c>
      <c r="AF10">
        <f t="shared" si="2"/>
        <v>10</v>
      </c>
      <c r="AG10">
        <f t="shared" si="3"/>
        <v>22.96</v>
      </c>
      <c r="AH10">
        <f t="shared" si="4"/>
        <v>10</v>
      </c>
      <c r="AI10">
        <f>IF($AG10="","",SUMIF($AG$2:$AG10,$AG10,$AH$2:$AH10))</f>
        <v>10</v>
      </c>
      <c r="AJ10" t="str">
        <f>IF('TMP Paste'!$F10="","",IF('TMP Paste'!$B10="",$AJ9,'TMP Paste'!$B10))</f>
        <v/>
      </c>
      <c r="AK10" t="str">
        <f>IF('TMP Paste'!$F10="","",N('TMP Paste'!$G10))</f>
        <v/>
      </c>
      <c r="AL10" t="str">
        <f>IF('TMP Paste'!$F10="","",IF('TMP Paste'!$M10="",$AL9,'TMP Paste'!$M10))</f>
        <v/>
      </c>
      <c r="AM10" t="str">
        <f>IF('TMP Paste'!$F10="","",IF('TMP Paste'!$N10="",$AM9,'TMP Paste'!$N10))</f>
        <v/>
      </c>
      <c r="AN10" t="str">
        <f>IF('TMP Paste'!$F10="","",IF('TMP Paste'!$O10="",$AN9,'TMP Paste'!$O10))</f>
        <v/>
      </c>
      <c r="AO10" t="str">
        <f>IF('TMP Paste'!$F10="","",IF('TMP Paste'!$P10="",$AO9,'TMP Paste'!$P10))</f>
        <v/>
      </c>
      <c r="AP10">
        <f t="shared" si="5"/>
        <v>266</v>
      </c>
      <c r="AQ10" t="str">
        <f>IF($AS10="","",TRIM(IF(COUNTIFS(Calc!$B$2:$B$1601,ROW()-1,Calc!$C$2:$C$1601,"&lt;1")&gt;0,"Ada PO tanpa Koli - cek TMP. ","")&amp;IF(OR($AU10="",$AU10&lt;=0),"Volume kosong/0 - dimensi dikosongkan. ","")&amp;IF(AND($AU10&lt;&gt;"",$AU10&gt;=1000000),"Volume &gt;= 1.000.000 cm3 (di luar aturan) - dimensi dikosongkan. ","")&amp;IF(LEN($R10)&gt;500,"R &gt; 500 karakter.","")))</f>
        <v/>
      </c>
      <c r="AS10">
        <f>IFERROR(MATCH(ROW()-1,Calc!$J$2:$J$1601,0),"")</f>
        <v>20</v>
      </c>
      <c r="AT10">
        <f>IFERROR(MATCH(ROW()-1,Calc!$K$2:$K$1601,0),"")</f>
        <v>20</v>
      </c>
      <c r="AU10">
        <f>IF($AS10="","",IFERROR(INDEX('TMP Paste'!$D$2:$D$1601,$AS10)*1000000/$AB10,""))</f>
        <v>2296</v>
      </c>
    </row>
    <row r="11" spans="1:47">
      <c r="A11" t="str">
        <f>IF($AS11="","",INDEX('TMP Paste'!$B$2:$B$1601,$AS11))</f>
        <v>AWB02WJJX</v>
      </c>
      <c r="B11">
        <f>IF($AS11="","",Config!$B$14)</f>
        <v>11398423</v>
      </c>
      <c r="C11" t="str">
        <f>IF($AS11="","",Config!$B$15)</f>
        <v>Corporate B2B Bundle</v>
      </c>
      <c r="D11" t="str">
        <f>IF($AS11="","",INDEX('TMP Paste'!$B$2:$B$1601,$AS11))</f>
        <v>AWB02WJJX</v>
      </c>
      <c r="E11" t="str">
        <f>IF($AS11="","",Config!$B$27)</f>
        <v>STANDARD</v>
      </c>
      <c r="F11" t="str">
        <f>IF($AS11="","",Config!$B$9)</f>
        <v>PT Teknologi Medika Pratama (SwipeRx) (B2BR)</v>
      </c>
      <c r="G11" t="str">
        <f>IF($AS11="","",Config!$B$10)</f>
        <v>087733785699</v>
      </c>
      <c r="H11" t="str">
        <f>IF($AS11="","",Config!$B$11)</f>
        <v>Jl. Tugu Raya, Tugu, Kec. Cimanggis, Kota Depok, Jawa Barat 16451,KUBIK LOGISTICS - Kompleks Pergudangan,Gudang E1</v>
      </c>
      <c r="I11" t="str">
        <f>IF($AS11="","",Config!$B$16)</f>
        <v>ID</v>
      </c>
      <c r="J11" t="str">
        <f>IF($AS11="","",INDEX('TMP Paste'!$A$2:$A$1601,$AS11))</f>
        <v>Apotek Bunda Bedahan Sawangan</v>
      </c>
      <c r="K11" t="str">
        <f>IF($AS11="","",INDEX('TMP Paste'!$L$2:$L$1601,$AS11))</f>
        <v>6281382843554</v>
      </c>
      <c r="L11" t="str">
        <f>IF($AS11="","",INDEX('TMP Paste'!$I$2:$I$1601,$AS11))</f>
        <v>13593-Jl. H. Sulaiman No.06, RT004/RW007, Desa/Kelurahan Bedahan, Kec. Sawangan, Kota Depok</v>
      </c>
      <c r="M11" t="str">
        <f>IF($AS11="","",Config!$B$16)</f>
        <v>ID</v>
      </c>
      <c r="N11" t="str">
        <f t="shared" si="0"/>
        <v/>
      </c>
      <c r="O11" t="str">
        <f>IF($AS11="","",INDEX('TMP Paste'!$K$2:$K$1601,$AS11))</f>
        <v>Kota Depok</v>
      </c>
      <c r="P11" t="str">
        <f t="shared" si="1"/>
        <v/>
      </c>
      <c r="Q11">
        <f>IF($AS11="","",INDEX('TMP Paste'!$J$2:$J$1601,$AS11))</f>
        <v>16519</v>
      </c>
      <c r="R11" t="str">
        <f>IF($AS11="","",Config!$B$24)</f>
        <v>Delivery Note wajib ada nama penerima, ditandatangani dan distempel penerima. Jika di label tertera "SP Manual", maka dokumen SP Manual harus diminta ke penerima sesuai dengan jumlah PO yang butuh SP Manual. Apabila ada retur, catat di Delivery Note dan update ke IC</v>
      </c>
      <c r="S11" t="str">
        <f ca="1">IF($AS11="","",TEXT(Config!$B$4,"yyyy-mm-dd"))</f>
        <v>2026-08-18</v>
      </c>
      <c r="T11" t="str">
        <f>IF($AS11="","",Config!$B$17)</f>
        <v>09:00</v>
      </c>
      <c r="U11" t="str">
        <f>IF($AS11="","",Config!$B$18)</f>
        <v>22:00</v>
      </c>
      <c r="V11" t="str">
        <f>IF($AS11="","",Config!$B$19)</f>
        <v>Asia/Jakarta</v>
      </c>
      <c r="W11">
        <f>IF($AS11="","",INDEX('TMP Paste'!$C$2:$C$1601,$AS11))</f>
        <v>1.05</v>
      </c>
      <c r="X11" t="str">
        <f>IF($AS11="","",Config!$B$29)</f>
        <v>FALSE</v>
      </c>
      <c r="Y11" t="str">
        <f>IF($AT11="","",INDEX(Calc!$I$2:$I$1601,$AT11)&amp;" - "&amp;INDEX(Calc!$D$2:$D$1601,$AT11)&amp;" koli")</f>
        <v>26072710184801AQgMPUJcI (1) - 1 koli</v>
      </c>
      <c r="Z11" t="str">
        <f>IF($AS11="","",Config!$B$21)</f>
        <v>FALSE</v>
      </c>
      <c r="AA11" t="str">
        <f>IF($AS11="","",Config!$B$22)</f>
        <v>RDO</v>
      </c>
      <c r="AB11">
        <f>IF($AT11="","",INDEX(Calc!$D$2:$D$1601,$AT11))</f>
        <v>1</v>
      </c>
      <c r="AC11" t="str">
        <f>IF($AT11="","",INDEX(Calc!$G$2:$G$1601,$AT11))</f>
        <v>26072710184801AQgMPUJcI-01</v>
      </c>
      <c r="AD11">
        <f>IF($AS11="","",Config!$B$23)</f>
        <v>0</v>
      </c>
      <c r="AE11">
        <f>IF($AS11="","",Config!$B$28)</f>
        <v>1</v>
      </c>
      <c r="AF11">
        <f t="shared" si="2"/>
        <v>10</v>
      </c>
      <c r="AG11">
        <f t="shared" si="3"/>
        <v>25.78</v>
      </c>
      <c r="AH11">
        <f t="shared" si="4"/>
        <v>10</v>
      </c>
      <c r="AI11">
        <f>IF($AG11="","",SUMIF($AG$2:$AG11,$AG11,$AH$2:$AH11))</f>
        <v>10</v>
      </c>
      <c r="AJ11" t="str">
        <f>IF('TMP Paste'!$F11="","",IF('TMP Paste'!$B11="",$AJ10,'TMP Paste'!$B11))</f>
        <v/>
      </c>
      <c r="AK11" t="str">
        <f>IF('TMP Paste'!$F11="","",N('TMP Paste'!$G11))</f>
        <v/>
      </c>
      <c r="AL11" t="str">
        <f>IF('TMP Paste'!$F11="","",IF('TMP Paste'!$M11="",$AL10,'TMP Paste'!$M11))</f>
        <v/>
      </c>
      <c r="AM11" t="str">
        <f>IF('TMP Paste'!$F11="","",IF('TMP Paste'!$N11="",$AM10,'TMP Paste'!$N11))</f>
        <v/>
      </c>
      <c r="AN11" t="str">
        <f>IF('TMP Paste'!$F11="","",IF('TMP Paste'!$O11="",$AN10,'TMP Paste'!$O11))</f>
        <v/>
      </c>
      <c r="AO11" t="str">
        <f>IF('TMP Paste'!$F11="","",IF('TMP Paste'!$P11="",$AO10,'TMP Paste'!$P11))</f>
        <v/>
      </c>
      <c r="AP11">
        <f t="shared" si="5"/>
        <v>266</v>
      </c>
      <c r="AQ11" t="str">
        <f>IF($AS11="","",TRIM(IF(COUNTIFS(Calc!$B$2:$B$1601,ROW()-1,Calc!$C$2:$C$1601,"&lt;1")&gt;0,"Ada PO tanpa Koli - cek TMP. ","")&amp;IF(OR($AU11="",$AU11&lt;=0),"Volume kosong/0 - dimensi dikosongkan. ","")&amp;IF(AND($AU11&lt;&gt;"",$AU11&gt;=1000000),"Volume &gt;= 1.000.000 cm3 (di luar aturan) - dimensi dikosongkan. ","")&amp;IF(LEN($R11)&gt;500,"R &gt; 500 karakter.","")))</f>
        <v/>
      </c>
      <c r="AS11">
        <f>IFERROR(MATCH(ROW()-1,Calc!$J$2:$J$1601,0),"")</f>
        <v>21</v>
      </c>
      <c r="AT11">
        <f>IFERROR(MATCH(ROW()-1,Calc!$K$2:$K$1601,0),"")</f>
        <v>21</v>
      </c>
      <c r="AU11">
        <f>IF($AS11="","",IFERROR(INDEX('TMP Paste'!$D$2:$D$1601,$AS11)*1000000/$AB11,""))</f>
        <v>2578</v>
      </c>
    </row>
    <row r="12" spans="1:47">
      <c r="A12" t="str">
        <f>IF($AS12="","",INDEX('TMP Paste'!$B$2:$B$1601,$AS12))</f>
        <v>AWB02WKTX</v>
      </c>
      <c r="B12">
        <f>IF($AS12="","",Config!$B$14)</f>
        <v>11398423</v>
      </c>
      <c r="C12" t="str">
        <f>IF($AS12="","",Config!$B$15)</f>
        <v>Corporate B2B Bundle</v>
      </c>
      <c r="D12" t="str">
        <f>IF($AS12="","",INDEX('TMP Paste'!$B$2:$B$1601,$AS12))</f>
        <v>AWB02WKTX</v>
      </c>
      <c r="E12" t="str">
        <f>IF($AS12="","",Config!$B$27)</f>
        <v>STANDARD</v>
      </c>
      <c r="F12" t="str">
        <f>IF($AS12="","",Config!$B$9)</f>
        <v>PT Teknologi Medika Pratama (SwipeRx) (B2BR)</v>
      </c>
      <c r="G12" t="str">
        <f>IF($AS12="","",Config!$B$10)</f>
        <v>087733785699</v>
      </c>
      <c r="H12" t="str">
        <f>IF($AS12="","",Config!$B$11)</f>
        <v>Jl. Tugu Raya, Tugu, Kec. Cimanggis, Kota Depok, Jawa Barat 16451,KUBIK LOGISTICS - Kompleks Pergudangan,Gudang E1</v>
      </c>
      <c r="I12" t="str">
        <f>IF($AS12="","",Config!$B$16)</f>
        <v>ID</v>
      </c>
      <c r="J12" t="str">
        <f>IF($AS12="","",INDEX('TMP Paste'!$A$2:$A$1601,$AS12))</f>
        <v>Apotek Cipayung 1</v>
      </c>
      <c r="K12" t="str">
        <f>IF($AS12="","",INDEX('TMP Paste'!$L$2:$L$1601,$AS12))</f>
        <v>81264043044</v>
      </c>
      <c r="L12" t="str">
        <f>IF($AS12="","",INDEX('TMP Paste'!$I$2:$I$1601,$AS12))</f>
        <v>8251-Jl. Raya Jembatan Serong Blok Sawo No. 115 RT. 002 RW. 003 Kel. Cipayung Kec. Cipayung Kota Depok</v>
      </c>
      <c r="M12" t="str">
        <f>IF($AS12="","",Config!$B$16)</f>
        <v>ID</v>
      </c>
      <c r="N12" t="str">
        <f t="shared" si="0"/>
        <v/>
      </c>
      <c r="O12" t="str">
        <f>IF($AS12="","",INDEX('TMP Paste'!$K$2:$K$1601,$AS12))</f>
        <v>Kota Depok</v>
      </c>
      <c r="P12" t="str">
        <f t="shared" si="1"/>
        <v/>
      </c>
      <c r="Q12">
        <f>IF($AS12="","",INDEX('TMP Paste'!$J$2:$J$1601,$AS12))</f>
        <v>16437</v>
      </c>
      <c r="R12" t="str">
        <f>IF($AS12="","",Config!$B$24)</f>
        <v>Delivery Note wajib ada nama penerima, ditandatangani dan distempel penerima. Jika di label tertera "SP Manual", maka dokumen SP Manual harus diminta ke penerima sesuai dengan jumlah PO yang butuh SP Manual. Apabila ada retur, catat di Delivery Note dan update ke IC</v>
      </c>
      <c r="S12" t="str">
        <f ca="1">IF($AS12="","",TEXT(Config!$B$4,"yyyy-mm-dd"))</f>
        <v>2026-08-18</v>
      </c>
      <c r="T12" t="str">
        <f>IF($AS12="","",Config!$B$17)</f>
        <v>09:00</v>
      </c>
      <c r="U12" t="str">
        <f>IF($AS12="","",Config!$B$18)</f>
        <v>22:00</v>
      </c>
      <c r="V12" t="str">
        <f>IF($AS12="","",Config!$B$19)</f>
        <v>Asia/Jakarta</v>
      </c>
      <c r="W12">
        <f>IF($AS12="","",INDEX('TMP Paste'!$C$2:$C$1601,$AS12))</f>
        <v>9.89</v>
      </c>
      <c r="X12" t="str">
        <f>IF($AS12="","",Config!$B$29)</f>
        <v>FALSE</v>
      </c>
      <c r="Y12" t="str">
        <f>IF($AT12="","",INDEX(Calc!$I$2:$I$1601,$AT12)&amp;" - "&amp;INDEX(Calc!$D$2:$D$1601,$AT12)&amp;" koli")</f>
        <v>260728014140360ppVZvbV (1), 26072801414037XH6dCj30sh (1), 260728015619662gr5Ce0Coa (1), 26072801561966LCCsOJtss (1) - 4 koli</v>
      </c>
      <c r="Z12" t="str">
        <f>IF($AS12="","",Config!$B$21)</f>
        <v>FALSE</v>
      </c>
      <c r="AA12" t="str">
        <f>IF($AS12="","",Config!$B$22)</f>
        <v>RDO</v>
      </c>
      <c r="AB12">
        <f>IF($AT12="","",INDEX(Calc!$D$2:$D$1601,$AT12))</f>
        <v>4</v>
      </c>
      <c r="AC12" t="str">
        <f>IF($AT12="","",INDEX(Calc!$G$2:$G$1601,$AT12))</f>
        <v>260728014140360ppVZvbV-01, 26072801414037XH6dCj30sh-02, 260728015619662gr5Ce0Coa-03, 26072801561966LCCsOJtss-04</v>
      </c>
      <c r="AD12">
        <f>IF($AS12="","",Config!$B$23)</f>
        <v>0</v>
      </c>
      <c r="AE12">
        <f>IF($AS12="","",Config!$B$28)</f>
        <v>1</v>
      </c>
      <c r="AF12">
        <f t="shared" si="2"/>
        <v>10</v>
      </c>
      <c r="AG12">
        <f t="shared" si="3"/>
        <v>89.915</v>
      </c>
      <c r="AH12">
        <f t="shared" si="4"/>
        <v>10</v>
      </c>
      <c r="AI12">
        <f>IF($AG12="","",SUMIF($AG$2:$AG12,$AG12,$AH$2:$AH12))</f>
        <v>10</v>
      </c>
      <c r="AJ12" t="str">
        <f>IF('TMP Paste'!$F12="","",IF('TMP Paste'!$B12="",$AJ11,'TMP Paste'!$B12))</f>
        <v>AWB02WGVD</v>
      </c>
      <c r="AK12">
        <f>IF('TMP Paste'!$F12="","",N('TMP Paste'!$G12))</f>
        <v>0</v>
      </c>
      <c r="AL12">
        <f>IF('TMP Paste'!$F12="","",IF('TMP Paste'!$M12="",$AL11,'TMP Paste'!$M12))</f>
        <v>1</v>
      </c>
      <c r="AM12" t="str">
        <f>IF('TMP Paste'!$F12="","",IF('TMP Paste'!$N12="",$AM11,'TMP Paste'!$N12))</f>
        <v/>
      </c>
      <c r="AN12" t="str">
        <f>IF('TMP Paste'!$F12="","",IF('TMP Paste'!$O12="",$AN11,'TMP Paste'!$O12))</f>
        <v/>
      </c>
      <c r="AO12" t="str">
        <f>IF('TMP Paste'!$F12="","",IF('TMP Paste'!$P12="",$AO11,'TMP Paste'!$P12))</f>
        <v/>
      </c>
      <c r="AP12">
        <f t="shared" si="5"/>
        <v>266</v>
      </c>
      <c r="AQ12" t="str">
        <f>IF($AS12="","",TRIM(IF(COUNTIFS(Calc!$B$2:$B$1601,ROW()-1,Calc!$C$2:$C$1601,"&lt;1")&gt;0,"Ada PO tanpa Koli - cek TMP. ","")&amp;IF(OR($AU12="",$AU12&lt;=0),"Volume kosong/0 - dimensi dikosongkan. ","")&amp;IF(AND($AU12&lt;&gt;"",$AU12&gt;=1000000),"Volume &gt;= 1.000.000 cm3 (di luar aturan) - dimensi dikosongkan. ","")&amp;IF(LEN($R12)&gt;500,"R &gt; 500 karakter.","")))</f>
        <v/>
      </c>
      <c r="AS12">
        <f>IFERROR(MATCH(ROW()-1,Calc!$J$2:$J$1601,0),"")</f>
        <v>22</v>
      </c>
      <c r="AT12">
        <f>IFERROR(MATCH(ROW()-1,Calc!$K$2:$K$1601,0),"")</f>
        <v>25</v>
      </c>
      <c r="AU12">
        <f>IF($AS12="","",IFERROR(INDEX('TMP Paste'!$D$2:$D$1601,$AS12)*1000000/$AB12,""))</f>
        <v>8991.5</v>
      </c>
    </row>
    <row r="13" spans="1:47">
      <c r="A13" t="str">
        <f>IF($AS13="","",INDEX('TMP Paste'!$B$2:$B$1601,$AS13))</f>
        <v>AWB02WJMZ</v>
      </c>
      <c r="B13">
        <f>IF($AS13="","",Config!$B$14)</f>
        <v>11398423</v>
      </c>
      <c r="C13" t="str">
        <f>IF($AS13="","",Config!$B$15)</f>
        <v>Corporate B2B Bundle</v>
      </c>
      <c r="D13" t="str">
        <f>IF($AS13="","",INDEX('TMP Paste'!$B$2:$B$1601,$AS13))</f>
        <v>AWB02WJMZ</v>
      </c>
      <c r="E13" t="str">
        <f>IF($AS13="","",Config!$B$27)</f>
        <v>STANDARD</v>
      </c>
      <c r="F13" t="str">
        <f>IF($AS13="","",Config!$B$9)</f>
        <v>PT Teknologi Medika Pratama (SwipeRx) (B2BR)</v>
      </c>
      <c r="G13" t="str">
        <f>IF($AS13="","",Config!$B$10)</f>
        <v>087733785699</v>
      </c>
      <c r="H13" t="str">
        <f>IF($AS13="","",Config!$B$11)</f>
        <v>Jl. Tugu Raya, Tugu, Kec. Cimanggis, Kota Depok, Jawa Barat 16451,KUBIK LOGISTICS - Kompleks Pergudangan,Gudang E1</v>
      </c>
      <c r="I13" t="str">
        <f>IF($AS13="","",Config!$B$16)</f>
        <v>ID</v>
      </c>
      <c r="J13" t="str">
        <f>IF($AS13="","",INDEX('TMP Paste'!$A$2:$A$1601,$AS13))</f>
        <v>Apotek Cita Sehat Curug Bojongsari</v>
      </c>
      <c r="K13" t="str">
        <f>IF($AS13="","",INDEX('TMP Paste'!$L$2:$L$1601,$AS13))</f>
        <v>6285220978760</v>
      </c>
      <c r="L13" t="str">
        <f>IF($AS13="","",INDEX('TMP Paste'!$I$2:$I$1601,$AS13))</f>
        <v>13096-Jl. Raya Curug Ciputat RT 001 RW 002 Kel. Curug Kec. Bojongsari Kota Depok</v>
      </c>
      <c r="M13" t="str">
        <f>IF($AS13="","",Config!$B$16)</f>
        <v>ID</v>
      </c>
      <c r="N13" t="str">
        <f t="shared" si="0"/>
        <v/>
      </c>
      <c r="O13" t="str">
        <f>IF($AS13="","",INDEX('TMP Paste'!$K$2:$K$1601,$AS13))</f>
        <v>Kota Depok</v>
      </c>
      <c r="P13" t="str">
        <f t="shared" si="1"/>
        <v/>
      </c>
      <c r="Q13">
        <f>IF($AS13="","",INDEX('TMP Paste'!$J$2:$J$1601,$AS13))</f>
        <v>16517</v>
      </c>
      <c r="R13" t="str">
        <f>IF($AS13="","",Config!$B$24)</f>
        <v>Delivery Note wajib ada nama penerima, ditandatangani dan distempel penerima. Jika di label tertera "SP Manual", maka dokumen SP Manual harus diminta ke penerima sesuai dengan jumlah PO yang butuh SP Manual. Apabila ada retur, catat di Delivery Note dan update ke IC</v>
      </c>
      <c r="S13" t="str">
        <f ca="1">IF($AS13="","",TEXT(Config!$B$4,"yyyy-mm-dd"))</f>
        <v>2026-08-18</v>
      </c>
      <c r="T13" t="str">
        <f>IF($AS13="","",Config!$B$17)</f>
        <v>09:00</v>
      </c>
      <c r="U13" t="str">
        <f>IF($AS13="","",Config!$B$18)</f>
        <v>22:00</v>
      </c>
      <c r="V13" t="str">
        <f>IF($AS13="","",Config!$B$19)</f>
        <v>Asia/Jakarta</v>
      </c>
      <c r="W13">
        <f>IF($AS13="","",INDEX('TMP Paste'!$C$2:$C$1601,$AS13))</f>
        <v>7.39</v>
      </c>
      <c r="X13" t="str">
        <f>IF($AS13="","",Config!$B$29)</f>
        <v>FALSE</v>
      </c>
      <c r="Y13" t="str">
        <f>IF($AT13="","",INDEX(Calc!$I$2:$I$1601,$AT13)&amp;" - "&amp;INDEX(Calc!$D$2:$D$1601,$AT13)&amp;" koli")</f>
        <v>26072711371829bD90OfAG (1), 26072711371829hZImrWHPpe (1), 26072711371829MedkSjEjj (1) - 3 koli</v>
      </c>
      <c r="Z13" t="str">
        <f>IF($AS13="","",Config!$B$21)</f>
        <v>FALSE</v>
      </c>
      <c r="AA13" t="str">
        <f>IF($AS13="","",Config!$B$22)</f>
        <v>RDO</v>
      </c>
      <c r="AB13">
        <f>IF($AT13="","",INDEX(Calc!$D$2:$D$1601,$AT13))</f>
        <v>3</v>
      </c>
      <c r="AC13" t="str">
        <f>IF($AT13="","",INDEX(Calc!$G$2:$G$1601,$AT13))</f>
        <v>26072711371829bD90OfAG-01, 26072711371829hZImrWHPpe-02, 26072711371829MedkSjEjj-03</v>
      </c>
      <c r="AD13">
        <f>IF($AS13="","",Config!$B$23)</f>
        <v>0</v>
      </c>
      <c r="AE13">
        <f>IF($AS13="","",Config!$B$28)</f>
        <v>1</v>
      </c>
      <c r="AF13">
        <f t="shared" si="2"/>
        <v>100</v>
      </c>
      <c r="AG13">
        <f t="shared" si="3"/>
        <v>11.7386666666667</v>
      </c>
      <c r="AH13">
        <f t="shared" si="4"/>
        <v>10</v>
      </c>
      <c r="AI13">
        <f>IF($AG13="","",SUMIF($AG$2:$AG13,$AG13,$AH$2:$AH13))</f>
        <v>10</v>
      </c>
      <c r="AJ13" t="str">
        <f>IF('TMP Paste'!$F13="","",IF('TMP Paste'!$B13="",$AJ12,'TMP Paste'!$B13))</f>
        <v/>
      </c>
      <c r="AK13" t="str">
        <f>IF('TMP Paste'!$F13="","",N('TMP Paste'!$G13))</f>
        <v/>
      </c>
      <c r="AL13" t="str">
        <f>IF('TMP Paste'!$F13="","",IF('TMP Paste'!$M13="",$AL12,'TMP Paste'!$M13))</f>
        <v/>
      </c>
      <c r="AM13" t="str">
        <f>IF('TMP Paste'!$F13="","",IF('TMP Paste'!$N13="",$AM12,'TMP Paste'!$N13))</f>
        <v/>
      </c>
      <c r="AN13" t="str">
        <f>IF('TMP Paste'!$F13="","",IF('TMP Paste'!$O13="",$AN12,'TMP Paste'!$O13))</f>
        <v/>
      </c>
      <c r="AO13" t="str">
        <f>IF('TMP Paste'!$F13="","",IF('TMP Paste'!$P13="",$AO12,'TMP Paste'!$P13))</f>
        <v/>
      </c>
      <c r="AP13">
        <f t="shared" si="5"/>
        <v>266</v>
      </c>
      <c r="AQ13" t="str">
        <f>IF($AS13="","",TRIM(IF(COUNTIFS(Calc!$B$2:$B$1601,ROW()-1,Calc!$C$2:$C$1601,"&lt;1")&gt;0,"Ada PO tanpa Koli - cek TMP. ","")&amp;IF(OR($AU13="",$AU13&lt;=0),"Volume kosong/0 - dimensi dikosongkan. ","")&amp;IF(AND($AU13&lt;&gt;"",$AU13&gt;=1000000),"Volume &gt;= 1.000.000 cm3 (di luar aturan) - dimensi dikosongkan. ","")&amp;IF(LEN($R13)&gt;500,"R &gt; 500 karakter.","")))</f>
        <v/>
      </c>
      <c r="AS13">
        <f>IFERROR(MATCH(ROW()-1,Calc!$J$2:$J$1601,0),"")</f>
        <v>26</v>
      </c>
      <c r="AT13">
        <f>IFERROR(MATCH(ROW()-1,Calc!$K$2:$K$1601,0),"")</f>
        <v>28</v>
      </c>
      <c r="AU13">
        <f>IF($AS13="","",IFERROR(INDEX('TMP Paste'!$D$2:$D$1601,$AS13)*1000000/$AB13,""))</f>
        <v>11738.6666666667</v>
      </c>
    </row>
    <row r="14" spans="1:47">
      <c r="A14" t="str">
        <f>IF($AS14="","",INDEX('TMP Paste'!$B$2:$B$1601,$AS14))</f>
        <v>AWB02WJ03</v>
      </c>
      <c r="B14">
        <f>IF($AS14="","",Config!$B$14)</f>
        <v>11398423</v>
      </c>
      <c r="C14" t="str">
        <f>IF($AS14="","",Config!$B$15)</f>
        <v>Corporate B2B Bundle</v>
      </c>
      <c r="D14" t="str">
        <f>IF($AS14="","",INDEX('TMP Paste'!$B$2:$B$1601,$AS14))</f>
        <v>AWB02WJ03</v>
      </c>
      <c r="E14" t="str">
        <f>IF($AS14="","",Config!$B$27)</f>
        <v>STANDARD</v>
      </c>
      <c r="F14" t="str">
        <f>IF($AS14="","",Config!$B$9)</f>
        <v>PT Teknologi Medika Pratama (SwipeRx) (B2BR)</v>
      </c>
      <c r="G14" t="str">
        <f>IF($AS14="","",Config!$B$10)</f>
        <v>087733785699</v>
      </c>
      <c r="H14" t="str">
        <f>IF($AS14="","",Config!$B$11)</f>
        <v>Jl. Tugu Raya, Tugu, Kec. Cimanggis, Kota Depok, Jawa Barat 16451,KUBIK LOGISTICS - Kompleks Pergudangan,Gudang E1</v>
      </c>
      <c r="I14" t="str">
        <f>IF($AS14="","",Config!$B$16)</f>
        <v>ID</v>
      </c>
      <c r="J14" t="str">
        <f>IF($AS14="","",INDEX('TMP Paste'!$A$2:$A$1601,$AS14))</f>
        <v>Apotek Clara Jaya</v>
      </c>
      <c r="K14" t="str">
        <f>IF($AS14="","",INDEX('TMP Paste'!$L$2:$L$1601,$AS14))</f>
        <v>6285748601748</v>
      </c>
      <c r="L14" t="str">
        <f>IF($AS14="","",INDEX('TMP Paste'!$I$2:$I$1601,$AS14))</f>
        <v>2649-Jalan Monumen Pancasila Sakti RT 007 RW 002 Kelurahan Lubang Buaya Kecamatan Cipayung Jakarta Timur 13810</v>
      </c>
      <c r="M14" t="str">
        <f>IF($AS14="","",Config!$B$16)</f>
        <v>ID</v>
      </c>
      <c r="N14" t="str">
        <f t="shared" si="0"/>
        <v/>
      </c>
      <c r="O14" t="str">
        <f>IF($AS14="","",INDEX('TMP Paste'!$K$2:$K$1601,$AS14))</f>
        <v>Kota Jakarta Timur</v>
      </c>
      <c r="P14" t="str">
        <f t="shared" si="1"/>
        <v/>
      </c>
      <c r="Q14">
        <f>IF($AS14="","",INDEX('TMP Paste'!$J$2:$J$1601,$AS14))</f>
        <v>13810</v>
      </c>
      <c r="R14" t="str">
        <f>IF($AS14="","",Config!$B$24)</f>
        <v>Delivery Note wajib ada nama penerima, ditandatangani dan distempel penerima. Jika di label tertera "SP Manual", maka dokumen SP Manual harus diminta ke penerima sesuai dengan jumlah PO yang butuh SP Manual. Apabila ada retur, catat di Delivery Note dan update ke IC</v>
      </c>
      <c r="S14" t="str">
        <f ca="1">IF($AS14="","",TEXT(Config!$B$4,"yyyy-mm-dd"))</f>
        <v>2026-08-18</v>
      </c>
      <c r="T14" t="str">
        <f>IF($AS14="","",Config!$B$17)</f>
        <v>09:00</v>
      </c>
      <c r="U14" t="str">
        <f>IF($AS14="","",Config!$B$18)</f>
        <v>22:00</v>
      </c>
      <c r="V14" t="str">
        <f>IF($AS14="","",Config!$B$19)</f>
        <v>Asia/Jakarta</v>
      </c>
      <c r="W14">
        <f>IF($AS14="","",INDEX('TMP Paste'!$C$2:$C$1601,$AS14))</f>
        <v>0.21</v>
      </c>
      <c r="X14" t="str">
        <f>IF($AS14="","",Config!$B$29)</f>
        <v>FALSE</v>
      </c>
      <c r="Y14" t="str">
        <f>IF($AT14="","",INDEX(Calc!$I$2:$I$1601,$AT14)&amp;" - "&amp;INDEX(Calc!$D$2:$D$1601,$AT14)&amp;" koli")</f>
        <v>260727060846087GrvfxYt (1) - 1 koli</v>
      </c>
      <c r="Z14" t="str">
        <f>IF($AS14="","",Config!$B$21)</f>
        <v>FALSE</v>
      </c>
      <c r="AA14" t="str">
        <f>IF($AS14="","",Config!$B$22)</f>
        <v>RDO</v>
      </c>
      <c r="AB14">
        <f>IF($AT14="","",INDEX(Calc!$D$2:$D$1601,$AT14))</f>
        <v>1</v>
      </c>
      <c r="AC14" t="str">
        <f>IF($AT14="","",INDEX(Calc!$G$2:$G$1601,$AT14))</f>
        <v>260727060846087GrvfxYt-01</v>
      </c>
      <c r="AD14">
        <f>IF($AS14="","",Config!$B$23)</f>
        <v>0</v>
      </c>
      <c r="AE14">
        <f>IF($AS14="","",Config!$B$28)</f>
        <v>1</v>
      </c>
      <c r="AF14">
        <f t="shared" si="2"/>
        <v>10</v>
      </c>
      <c r="AG14">
        <f t="shared" si="3"/>
        <v>16.17</v>
      </c>
      <c r="AH14">
        <f t="shared" si="4"/>
        <v>10</v>
      </c>
      <c r="AI14">
        <f>IF($AG14="","",SUMIF($AG$2:$AG14,$AG14,$AH$2:$AH14))</f>
        <v>10</v>
      </c>
      <c r="AJ14" t="str">
        <f>IF('TMP Paste'!$F14="","",IF('TMP Paste'!$B14="",$AJ13,'TMP Paste'!$B14))</f>
        <v/>
      </c>
      <c r="AK14" t="str">
        <f>IF('TMP Paste'!$F14="","",N('TMP Paste'!$G14))</f>
        <v/>
      </c>
      <c r="AL14" t="str">
        <f>IF('TMP Paste'!$F14="","",IF('TMP Paste'!$M14="",$AL13,'TMP Paste'!$M14))</f>
        <v/>
      </c>
      <c r="AM14" t="str">
        <f>IF('TMP Paste'!$F14="","",IF('TMP Paste'!$N14="",$AM13,'TMP Paste'!$N14))</f>
        <v/>
      </c>
      <c r="AN14" t="str">
        <f>IF('TMP Paste'!$F14="","",IF('TMP Paste'!$O14="",$AN13,'TMP Paste'!$O14))</f>
        <v/>
      </c>
      <c r="AO14" t="str">
        <f>IF('TMP Paste'!$F14="","",IF('TMP Paste'!$P14="",$AO13,'TMP Paste'!$P14))</f>
        <v/>
      </c>
      <c r="AP14">
        <f t="shared" si="5"/>
        <v>266</v>
      </c>
      <c r="AQ14" t="str">
        <f>IF($AS14="","",TRIM(IF(COUNTIFS(Calc!$B$2:$B$1601,ROW()-1,Calc!$C$2:$C$1601,"&lt;1")&gt;0,"Ada PO tanpa Koli - cek TMP. ","")&amp;IF(OR($AU14="",$AU14&lt;=0),"Volume kosong/0 - dimensi dikosongkan. ","")&amp;IF(AND($AU14&lt;&gt;"",$AU14&gt;=1000000),"Volume &gt;= 1.000.000 cm3 (di luar aturan) - dimensi dikosongkan. ","")&amp;IF(LEN($R14)&gt;500,"R &gt; 500 karakter.","")))</f>
        <v/>
      </c>
      <c r="AS14">
        <f>IFERROR(MATCH(ROW()-1,Calc!$J$2:$J$1601,0),"")</f>
        <v>29</v>
      </c>
      <c r="AT14">
        <f>IFERROR(MATCH(ROW()-1,Calc!$K$2:$K$1601,0),"")</f>
        <v>29</v>
      </c>
      <c r="AU14">
        <f>IF($AS14="","",IFERROR(INDEX('TMP Paste'!$D$2:$D$1601,$AS14)*1000000/$AB14,""))</f>
        <v>1617</v>
      </c>
    </row>
    <row r="15" spans="1:47">
      <c r="A15" t="str">
        <f>IF($AS15="","",INDEX('TMP Paste'!$B$2:$B$1601,$AS15))</f>
        <v>AWB02WJ9T</v>
      </c>
      <c r="B15">
        <f>IF($AS15="","",Config!$B$14)</f>
        <v>11398423</v>
      </c>
      <c r="C15" t="str">
        <f>IF($AS15="","",Config!$B$15)</f>
        <v>Corporate B2B Bundle</v>
      </c>
      <c r="D15" t="str">
        <f>IF($AS15="","",INDEX('TMP Paste'!$B$2:$B$1601,$AS15))</f>
        <v>AWB02WJ9T</v>
      </c>
      <c r="E15" t="str">
        <f>IF($AS15="","",Config!$B$27)</f>
        <v>STANDARD</v>
      </c>
      <c r="F15" t="str">
        <f>IF($AS15="","",Config!$B$9)</f>
        <v>PT Teknologi Medika Pratama (SwipeRx) (B2BR)</v>
      </c>
      <c r="G15" t="str">
        <f>IF($AS15="","",Config!$B$10)</f>
        <v>087733785699</v>
      </c>
      <c r="H15" t="str">
        <f>IF($AS15="","",Config!$B$11)</f>
        <v>Jl. Tugu Raya, Tugu, Kec. Cimanggis, Kota Depok, Jawa Barat 16451,KUBIK LOGISTICS - Kompleks Pergudangan,Gudang E1</v>
      </c>
      <c r="I15" t="str">
        <f>IF($AS15="","",Config!$B$16)</f>
        <v>ID</v>
      </c>
      <c r="J15" t="str">
        <f>IF($AS15="","",INDEX('TMP Paste'!$A$2:$A$1601,$AS15))</f>
        <v>Apotek Dafa Cipayung Cipayung</v>
      </c>
      <c r="K15" t="str">
        <f>IF($AS15="","",INDEX('TMP Paste'!$L$2:$L$1601,$AS15))</f>
        <v>6282364343108</v>
      </c>
      <c r="L15" t="str">
        <f>IF($AS15="","",INDEX('TMP Paste'!$I$2:$I$1601,$AS15))</f>
        <v>13177-Jl. Jembatan Serong RT 006 RW 002 Kel. Cipayung Kec. Cipayung Kota Depok</v>
      </c>
      <c r="M15" t="str">
        <f>IF($AS15="","",Config!$B$16)</f>
        <v>ID</v>
      </c>
      <c r="N15" t="str">
        <f t="shared" si="0"/>
        <v/>
      </c>
      <c r="O15" t="str">
        <f>IF($AS15="","",INDEX('TMP Paste'!$K$2:$K$1601,$AS15))</f>
        <v>Kota Depok</v>
      </c>
      <c r="P15" t="str">
        <f t="shared" si="1"/>
        <v/>
      </c>
      <c r="Q15">
        <f>IF($AS15="","",INDEX('TMP Paste'!$J$2:$J$1601,$AS15))</f>
        <v>16437</v>
      </c>
      <c r="R15" t="str">
        <f>IF($AS15="","",Config!$B$24)</f>
        <v>Delivery Note wajib ada nama penerima, ditandatangani dan distempel penerima. Jika di label tertera "SP Manual", maka dokumen SP Manual harus diminta ke penerima sesuai dengan jumlah PO yang butuh SP Manual. Apabila ada retur, catat di Delivery Note dan update ke IC</v>
      </c>
      <c r="S15" t="str">
        <f ca="1">IF($AS15="","",TEXT(Config!$B$4,"yyyy-mm-dd"))</f>
        <v>2026-08-18</v>
      </c>
      <c r="T15" t="str">
        <f>IF($AS15="","",Config!$B$17)</f>
        <v>09:00</v>
      </c>
      <c r="U15" t="str">
        <f>IF($AS15="","",Config!$B$18)</f>
        <v>22:00</v>
      </c>
      <c r="V15" t="str">
        <f>IF($AS15="","",Config!$B$19)</f>
        <v>Asia/Jakarta</v>
      </c>
      <c r="W15">
        <f>IF($AS15="","",INDEX('TMP Paste'!$C$2:$C$1601,$AS15))</f>
        <v>11.51</v>
      </c>
      <c r="X15" t="str">
        <f>IF($AS15="","",Config!$B$29)</f>
        <v>FALSE</v>
      </c>
      <c r="Y15" t="str">
        <f>IF($AT15="","",INDEX(Calc!$I$2:$I$1601,$AT15)&amp;" - "&amp;INDEX(Calc!$D$2:$D$1601,$AT15)&amp;" koli")</f>
        <v>26072707560190rhBnVpiLi (2), 26072707560190ymqgVdWPi (1) - 3 koli</v>
      </c>
      <c r="Z15" t="str">
        <f>IF($AS15="","",Config!$B$21)</f>
        <v>FALSE</v>
      </c>
      <c r="AA15" t="str">
        <f>IF($AS15="","",Config!$B$22)</f>
        <v>RDO</v>
      </c>
      <c r="AB15">
        <f>IF($AT15="","",INDEX(Calc!$D$2:$D$1601,$AT15))</f>
        <v>3</v>
      </c>
      <c r="AC15" t="str">
        <f>IF($AT15="","",INDEX(Calc!$G$2:$G$1601,$AT15))</f>
        <v>26072707560190rhBnVpiLi-01, 26072707560190rhBnVpiLi-02, 26072707560190ymqgVdWPi-03</v>
      </c>
      <c r="AD15">
        <f>IF($AS15="","",Config!$B$23)</f>
        <v>0</v>
      </c>
      <c r="AE15">
        <f>IF($AS15="","",Config!$B$28)</f>
        <v>1</v>
      </c>
      <c r="AF15">
        <f t="shared" si="2"/>
        <v>100</v>
      </c>
      <c r="AG15">
        <f t="shared" si="3"/>
        <v>13.3406666666667</v>
      </c>
      <c r="AH15">
        <f t="shared" si="4"/>
        <v>10</v>
      </c>
      <c r="AI15">
        <f>IF($AG15="","",SUMIF($AG$2:$AG15,$AG15,$AH$2:$AH15))</f>
        <v>10</v>
      </c>
      <c r="AJ15" t="str">
        <f>IF('TMP Paste'!$F15="","",IF('TMP Paste'!$B15="",$AJ14,'TMP Paste'!$B15))</f>
        <v/>
      </c>
      <c r="AK15" t="str">
        <f>IF('TMP Paste'!$F15="","",N('TMP Paste'!$G15))</f>
        <v/>
      </c>
      <c r="AL15" t="str">
        <f>IF('TMP Paste'!$F15="","",IF('TMP Paste'!$M15="",$AL14,'TMP Paste'!$M15))</f>
        <v/>
      </c>
      <c r="AM15" t="str">
        <f>IF('TMP Paste'!$F15="","",IF('TMP Paste'!$N15="",$AM14,'TMP Paste'!$N15))</f>
        <v/>
      </c>
      <c r="AN15" t="str">
        <f>IF('TMP Paste'!$F15="","",IF('TMP Paste'!$O15="",$AN14,'TMP Paste'!$O15))</f>
        <v/>
      </c>
      <c r="AO15" t="str">
        <f>IF('TMP Paste'!$F15="","",IF('TMP Paste'!$P15="",$AO14,'TMP Paste'!$P15))</f>
        <v/>
      </c>
      <c r="AP15">
        <f t="shared" si="5"/>
        <v>266</v>
      </c>
      <c r="AQ15" t="str">
        <f>IF($AS15="","",TRIM(IF(COUNTIFS(Calc!$B$2:$B$1601,ROW()-1,Calc!$C$2:$C$1601,"&lt;1")&gt;0,"Ada PO tanpa Koli - cek TMP. ","")&amp;IF(OR($AU15="",$AU15&lt;=0),"Volume kosong/0 - dimensi dikosongkan. ","")&amp;IF(AND($AU15&lt;&gt;"",$AU15&gt;=1000000),"Volume &gt;= 1.000.000 cm3 (di luar aturan) - dimensi dikosongkan. ","")&amp;IF(LEN($R15)&gt;500,"R &gt; 500 karakter.","")))</f>
        <v/>
      </c>
      <c r="AS15">
        <f>IFERROR(MATCH(ROW()-1,Calc!$J$2:$J$1601,0),"")</f>
        <v>30</v>
      </c>
      <c r="AT15">
        <f>IFERROR(MATCH(ROW()-1,Calc!$K$2:$K$1601,0),"")</f>
        <v>31</v>
      </c>
      <c r="AU15">
        <f>IF($AS15="","",IFERROR(INDEX('TMP Paste'!$D$2:$D$1601,$AS15)*1000000/$AB15,""))</f>
        <v>13340.6666666667</v>
      </c>
    </row>
    <row r="16" spans="1:47">
      <c r="A16" t="str">
        <f>IF($AS16="","",INDEX('TMP Paste'!$B$2:$B$1601,$AS16))</f>
        <v>AWB02WJC8</v>
      </c>
      <c r="B16">
        <f>IF($AS16="","",Config!$B$14)</f>
        <v>11398423</v>
      </c>
      <c r="C16" t="str">
        <f>IF($AS16="","",Config!$B$15)</f>
        <v>Corporate B2B Bundle</v>
      </c>
      <c r="D16" t="str">
        <f>IF($AS16="","",INDEX('TMP Paste'!$B$2:$B$1601,$AS16))</f>
        <v>AWB02WJC8</v>
      </c>
      <c r="E16" t="str">
        <f>IF($AS16="","",Config!$B$27)</f>
        <v>STANDARD</v>
      </c>
      <c r="F16" t="str">
        <f>IF($AS16="","",Config!$B$9)</f>
        <v>PT Teknologi Medika Pratama (SwipeRx) (B2BR)</v>
      </c>
      <c r="G16" t="str">
        <f>IF($AS16="","",Config!$B$10)</f>
        <v>087733785699</v>
      </c>
      <c r="H16" t="str">
        <f>IF($AS16="","",Config!$B$11)</f>
        <v>Jl. Tugu Raya, Tugu, Kec. Cimanggis, Kota Depok, Jawa Barat 16451,KUBIK LOGISTICS - Kompleks Pergudangan,Gudang E1</v>
      </c>
      <c r="I16" t="str">
        <f>IF($AS16="","",Config!$B$16)</f>
        <v>ID</v>
      </c>
      <c r="J16" t="str">
        <f>IF($AS16="","",INDEX('TMP Paste'!$A$2:$A$1601,$AS16))</f>
        <v>Apotek Damai</v>
      </c>
      <c r="K16" t="str">
        <f>IF($AS16="","",INDEX('TMP Paste'!$L$2:$L$1601,$AS16))</f>
        <v>81296144347</v>
      </c>
      <c r="L16" t="str">
        <f>IF($AS16="","",INDEX('TMP Paste'!$I$2:$I$1601,$AS16))</f>
        <v>317-Jl. Menpor No. 12, Palsigunung, RT. 007 / RW. 003, Kelurahan Tugu, Kecamatan Cimanggis, Depok, Jawa Barat 16451</v>
      </c>
      <c r="M16" t="str">
        <f>IF($AS16="","",Config!$B$16)</f>
        <v>ID</v>
      </c>
      <c r="N16" t="str">
        <f t="shared" si="0"/>
        <v/>
      </c>
      <c r="O16" t="str">
        <f>IF($AS16="","",INDEX('TMP Paste'!$K$2:$K$1601,$AS16))</f>
        <v>Kota Depok</v>
      </c>
      <c r="P16" t="str">
        <f t="shared" si="1"/>
        <v/>
      </c>
      <c r="Q16">
        <f>IF($AS16="","",INDEX('TMP Paste'!$J$2:$J$1601,$AS16))</f>
        <v>16451</v>
      </c>
      <c r="R16" t="str">
        <f>IF($AS16="","",Config!$B$24)</f>
        <v>Delivery Note wajib ada nama penerima, ditandatangani dan distempel penerima. Jika di label tertera "SP Manual", maka dokumen SP Manual harus diminta ke penerima sesuai dengan jumlah PO yang butuh SP Manual. Apabila ada retur, catat di Delivery Note dan update ke IC</v>
      </c>
      <c r="S16" t="str">
        <f ca="1">IF($AS16="","",TEXT(Config!$B$4,"yyyy-mm-dd"))</f>
        <v>2026-08-18</v>
      </c>
      <c r="T16" t="str">
        <f>IF($AS16="","",Config!$B$17)</f>
        <v>09:00</v>
      </c>
      <c r="U16" t="str">
        <f>IF($AS16="","",Config!$B$18)</f>
        <v>22:00</v>
      </c>
      <c r="V16" t="str">
        <f>IF($AS16="","",Config!$B$19)</f>
        <v>Asia/Jakarta</v>
      </c>
      <c r="W16">
        <f>IF($AS16="","",INDEX('TMP Paste'!$C$2:$C$1601,$AS16))</f>
        <v>0.25</v>
      </c>
      <c r="X16" t="str">
        <f>IF($AS16="","",Config!$B$29)</f>
        <v>FALSE</v>
      </c>
      <c r="Y16" t="str">
        <f>IF($AT16="","",INDEX(Calc!$I$2:$I$1601,$AT16)&amp;" - "&amp;INDEX(Calc!$D$2:$D$1601,$AT16)&amp;" koli")</f>
        <v>26072708294775X2jgOh7r (1) - 1 koli</v>
      </c>
      <c r="Z16" t="str">
        <f>IF($AS16="","",Config!$B$21)</f>
        <v>FALSE</v>
      </c>
      <c r="AA16" t="str">
        <f>IF($AS16="","",Config!$B$22)</f>
        <v>RDO</v>
      </c>
      <c r="AB16">
        <f>IF($AT16="","",INDEX(Calc!$D$2:$D$1601,$AT16))</f>
        <v>1</v>
      </c>
      <c r="AC16" t="str">
        <f>IF($AT16="","",INDEX(Calc!$G$2:$G$1601,$AT16))</f>
        <v>26072708294775X2jgOh7r-01</v>
      </c>
      <c r="AD16">
        <f>IF($AS16="","",Config!$B$23)</f>
        <v>0</v>
      </c>
      <c r="AE16">
        <f>IF($AS16="","",Config!$B$28)</f>
        <v>1</v>
      </c>
      <c r="AF16">
        <f t="shared" si="2"/>
        <v>10</v>
      </c>
      <c r="AG16">
        <f t="shared" si="3"/>
        <v>16.8</v>
      </c>
      <c r="AH16">
        <f t="shared" si="4"/>
        <v>10</v>
      </c>
      <c r="AI16">
        <f>IF($AG16="","",SUMIF($AG$2:$AG16,$AG16,$AH$2:$AH16))</f>
        <v>10</v>
      </c>
      <c r="AJ16" t="str">
        <f>IF('TMP Paste'!$F16="","",IF('TMP Paste'!$B16="",$AJ15,'TMP Paste'!$B16))</f>
        <v>AWB02WJRN</v>
      </c>
      <c r="AK16">
        <f>IF('TMP Paste'!$F16="","",N('TMP Paste'!$G16))</f>
        <v>0</v>
      </c>
      <c r="AL16">
        <f>IF('TMP Paste'!$F16="","",IF('TMP Paste'!$M16="",$AL15,'TMP Paste'!$M16))</f>
        <v>1</v>
      </c>
      <c r="AM16" t="str">
        <f>IF('TMP Paste'!$F16="","",IF('TMP Paste'!$N16="",$AM15,'TMP Paste'!$N16))</f>
        <v/>
      </c>
      <c r="AN16" t="str">
        <f>IF('TMP Paste'!$F16="","",IF('TMP Paste'!$O16="",$AN15,'TMP Paste'!$O16))</f>
        <v/>
      </c>
      <c r="AO16" t="str">
        <f>IF('TMP Paste'!$F16="","",IF('TMP Paste'!$P16="",$AO15,'TMP Paste'!$P16))</f>
        <v/>
      </c>
      <c r="AP16">
        <f t="shared" si="5"/>
        <v>266</v>
      </c>
      <c r="AQ16" t="str">
        <f>IF($AS16="","",TRIM(IF(COUNTIFS(Calc!$B$2:$B$1601,ROW()-1,Calc!$C$2:$C$1601,"&lt;1")&gt;0,"Ada PO tanpa Koli - cek TMP. ","")&amp;IF(OR($AU16="",$AU16&lt;=0),"Volume kosong/0 - dimensi dikosongkan. ","")&amp;IF(AND($AU16&lt;&gt;"",$AU16&gt;=1000000),"Volume &gt;= 1.000.000 cm3 (di luar aturan) - dimensi dikosongkan. ","")&amp;IF(LEN($R16)&gt;500,"R &gt; 500 karakter.","")))</f>
        <v/>
      </c>
      <c r="AS16">
        <f>IFERROR(MATCH(ROW()-1,Calc!$J$2:$J$1601,0),"")</f>
        <v>32</v>
      </c>
      <c r="AT16">
        <f>IFERROR(MATCH(ROW()-1,Calc!$K$2:$K$1601,0),"")</f>
        <v>32</v>
      </c>
      <c r="AU16">
        <f>IF($AS16="","",IFERROR(INDEX('TMP Paste'!$D$2:$D$1601,$AS16)*1000000/$AB16,""))</f>
        <v>1680</v>
      </c>
    </row>
    <row r="17" spans="1:47">
      <c r="A17" t="str">
        <f>IF($AS17="","",INDEX('TMP Paste'!$B$2:$B$1601,$AS17))</f>
        <v>AWB02WJ7E</v>
      </c>
      <c r="B17">
        <f>IF($AS17="","",Config!$B$14)</f>
        <v>11398423</v>
      </c>
      <c r="C17" t="str">
        <f>IF($AS17="","",Config!$B$15)</f>
        <v>Corporate B2B Bundle</v>
      </c>
      <c r="D17" t="str">
        <f>IF($AS17="","",INDEX('TMP Paste'!$B$2:$B$1601,$AS17))</f>
        <v>AWB02WJ7E</v>
      </c>
      <c r="E17" t="str">
        <f>IF($AS17="","",Config!$B$27)</f>
        <v>STANDARD</v>
      </c>
      <c r="F17" t="str">
        <f>IF($AS17="","",Config!$B$9)</f>
        <v>PT Teknologi Medika Pratama (SwipeRx) (B2BR)</v>
      </c>
      <c r="G17" t="str">
        <f>IF($AS17="","",Config!$B$10)</f>
        <v>087733785699</v>
      </c>
      <c r="H17" t="str">
        <f>IF($AS17="","",Config!$B$11)</f>
        <v>Jl. Tugu Raya, Tugu, Kec. Cimanggis, Kota Depok, Jawa Barat 16451,KUBIK LOGISTICS - Kompleks Pergudangan,Gudang E1</v>
      </c>
      <c r="I17" t="str">
        <f>IF($AS17="","",Config!$B$16)</f>
        <v>ID</v>
      </c>
      <c r="J17" t="str">
        <f>IF($AS17="","",INDEX('TMP Paste'!$A$2:$A$1601,$AS17))</f>
        <v>Apotek Dewi Farma</v>
      </c>
      <c r="K17" t="str">
        <f>IF($AS17="","",INDEX('TMP Paste'!$L$2:$L$1601,$AS17))</f>
        <v>85283705505</v>
      </c>
      <c r="L17" t="str">
        <f>IF($AS17="","",INDEX('TMP Paste'!$I$2:$I$1601,$AS17))</f>
        <v>724-Jalan Mess AL Kranggan Wetan RT.001/RW.012, Kelurahan Jatirangga, Kecamatan Jatisampurna, Kota Bekasi 17434</v>
      </c>
      <c r="M17" t="str">
        <f>IF($AS17="","",Config!$B$16)</f>
        <v>ID</v>
      </c>
      <c r="N17" t="str">
        <f t="shared" si="0"/>
        <v/>
      </c>
      <c r="O17" t="str">
        <f>IF($AS17="","",INDEX('TMP Paste'!$K$2:$K$1601,$AS17))</f>
        <v>Kota Bekasi</v>
      </c>
      <c r="P17" t="str">
        <f t="shared" si="1"/>
        <v/>
      </c>
      <c r="Q17">
        <f>IF($AS17="","",INDEX('TMP Paste'!$J$2:$J$1601,$AS17))</f>
        <v>17434</v>
      </c>
      <c r="R17" t="str">
        <f>IF($AS17="","",Config!$B$24)</f>
        <v>Delivery Note wajib ada nama penerima, ditandatangani dan distempel penerima. Jika di label tertera "SP Manual", maka dokumen SP Manual harus diminta ke penerima sesuai dengan jumlah PO yang butuh SP Manual. Apabila ada retur, catat di Delivery Note dan update ke IC</v>
      </c>
      <c r="S17" t="str">
        <f ca="1">IF($AS17="","",TEXT(Config!$B$4,"yyyy-mm-dd"))</f>
        <v>2026-08-18</v>
      </c>
      <c r="T17" t="str">
        <f>IF($AS17="","",Config!$B$17)</f>
        <v>09:00</v>
      </c>
      <c r="U17" t="str">
        <f>IF($AS17="","",Config!$B$18)</f>
        <v>22:00</v>
      </c>
      <c r="V17" t="str">
        <f>IF($AS17="","",Config!$B$19)</f>
        <v>Asia/Jakarta</v>
      </c>
      <c r="W17">
        <f>IF($AS17="","",INDEX('TMP Paste'!$C$2:$C$1601,$AS17))</f>
        <v>3.67</v>
      </c>
      <c r="X17" t="str">
        <f>IF($AS17="","",Config!$B$29)</f>
        <v>FALSE</v>
      </c>
      <c r="Y17" t="str">
        <f>IF($AT17="","",INDEX(Calc!$I$2:$I$1601,$AT17)&amp;" - "&amp;INDEX(Calc!$D$2:$D$1601,$AT17)&amp;" koli")</f>
        <v>26072707241110QJcTk8YNC (2) - 2 koli</v>
      </c>
      <c r="Z17" t="str">
        <f>IF($AS17="","",Config!$B$21)</f>
        <v>FALSE</v>
      </c>
      <c r="AA17" t="str">
        <f>IF($AS17="","",Config!$B$22)</f>
        <v>RDO</v>
      </c>
      <c r="AB17">
        <f>IF($AT17="","",INDEX(Calc!$D$2:$D$1601,$AT17))</f>
        <v>2</v>
      </c>
      <c r="AC17" t="str">
        <f>IF($AT17="","",INDEX(Calc!$G$2:$G$1601,$AT17))</f>
        <v>26072707241110QJcTk8YNC-01, 26072707241110QJcTk8YNC-02</v>
      </c>
      <c r="AD17">
        <f>IF($AS17="","",Config!$B$23)</f>
        <v>0</v>
      </c>
      <c r="AE17">
        <f>IF($AS17="","",Config!$B$28)</f>
        <v>1</v>
      </c>
      <c r="AF17">
        <f t="shared" si="2"/>
        <v>10</v>
      </c>
      <c r="AG17">
        <f t="shared" si="3"/>
        <v>49.835</v>
      </c>
      <c r="AH17">
        <f t="shared" si="4"/>
        <v>10</v>
      </c>
      <c r="AI17">
        <f>IF($AG17="","",SUMIF($AG$2:$AG17,$AG17,$AH$2:$AH17))</f>
        <v>10</v>
      </c>
      <c r="AJ17" t="str">
        <f>IF('TMP Paste'!$F17="","",IF('TMP Paste'!$B17="",$AJ16,'TMP Paste'!$B17))</f>
        <v/>
      </c>
      <c r="AK17" t="str">
        <f>IF('TMP Paste'!$F17="","",N('TMP Paste'!$G17))</f>
        <v/>
      </c>
      <c r="AL17" t="str">
        <f>IF('TMP Paste'!$F17="","",IF('TMP Paste'!$M17="",$AL16,'TMP Paste'!$M17))</f>
        <v/>
      </c>
      <c r="AM17" t="str">
        <f>IF('TMP Paste'!$F17="","",IF('TMP Paste'!$N17="",$AM16,'TMP Paste'!$N17))</f>
        <v/>
      </c>
      <c r="AN17" t="str">
        <f>IF('TMP Paste'!$F17="","",IF('TMP Paste'!$O17="",$AN16,'TMP Paste'!$O17))</f>
        <v/>
      </c>
      <c r="AO17" t="str">
        <f>IF('TMP Paste'!$F17="","",IF('TMP Paste'!$P17="",$AO16,'TMP Paste'!$P17))</f>
        <v/>
      </c>
      <c r="AP17">
        <f t="shared" si="5"/>
        <v>266</v>
      </c>
      <c r="AQ17" t="str">
        <f>IF($AS17="","",TRIM(IF(COUNTIFS(Calc!$B$2:$B$1601,ROW()-1,Calc!$C$2:$C$1601,"&lt;1")&gt;0,"Ada PO tanpa Koli - cek TMP. ","")&amp;IF(OR($AU17="",$AU17&lt;=0),"Volume kosong/0 - dimensi dikosongkan. ","")&amp;IF(AND($AU17&lt;&gt;"",$AU17&gt;=1000000),"Volume &gt;= 1.000.000 cm3 (di luar aturan) - dimensi dikosongkan. ","")&amp;IF(LEN($R17)&gt;500,"R &gt; 500 karakter.","")))</f>
        <v/>
      </c>
      <c r="AS17">
        <f>IFERROR(MATCH(ROW()-1,Calc!$J$2:$J$1601,0),"")</f>
        <v>33</v>
      </c>
      <c r="AT17">
        <f>IFERROR(MATCH(ROW()-1,Calc!$K$2:$K$1601,0),"")</f>
        <v>33</v>
      </c>
      <c r="AU17">
        <f>IF($AS17="","",IFERROR(INDEX('TMP Paste'!$D$2:$D$1601,$AS17)*1000000/$AB17,""))</f>
        <v>4983.5</v>
      </c>
    </row>
    <row r="18" spans="1:47">
      <c r="A18" t="str">
        <f>IF($AS18="","",INDEX('TMP Paste'!$B$2:$B$1601,$AS18))</f>
        <v>AWB02WKEL</v>
      </c>
      <c r="B18">
        <f>IF($AS18="","",Config!$B$14)</f>
        <v>11398423</v>
      </c>
      <c r="C18" t="str">
        <f>IF($AS18="","",Config!$B$15)</f>
        <v>Corporate B2B Bundle</v>
      </c>
      <c r="D18" t="str">
        <f>IF($AS18="","",INDEX('TMP Paste'!$B$2:$B$1601,$AS18))</f>
        <v>AWB02WKEL</v>
      </c>
      <c r="E18" t="str">
        <f>IF($AS18="","",Config!$B$27)</f>
        <v>STANDARD</v>
      </c>
      <c r="F18" t="str">
        <f>IF($AS18="","",Config!$B$9)</f>
        <v>PT Teknologi Medika Pratama (SwipeRx) (B2BR)</v>
      </c>
      <c r="G18" t="str">
        <f>IF($AS18="","",Config!$B$10)</f>
        <v>087733785699</v>
      </c>
      <c r="H18" t="str">
        <f>IF($AS18="","",Config!$B$11)</f>
        <v>Jl. Tugu Raya, Tugu, Kec. Cimanggis, Kota Depok, Jawa Barat 16451,KUBIK LOGISTICS - Kompleks Pergudangan,Gudang E1</v>
      </c>
      <c r="I18" t="str">
        <f>IF($AS18="","",Config!$B$16)</f>
        <v>ID</v>
      </c>
      <c r="J18" t="str">
        <f>IF($AS18="","",INDEX('TMP Paste'!$A$2:$A$1601,$AS18))</f>
        <v>Apotek Faisal</v>
      </c>
      <c r="K18" t="str">
        <f>IF($AS18="","",INDEX('TMP Paste'!$L$2:$L$1601,$AS18))</f>
        <v>87773506955</v>
      </c>
      <c r="L18" t="str">
        <f>IF($AS18="","",INDEX('TMP Paste'!$I$2:$I$1601,$AS18))</f>
        <v>1442-Jalan Tawangmangu Raya Blok C2 No. 4 RT 19 RW 07 Kelurahan Jati Cempaka Kecamatan Pondok Gede Kota Bekasi 17411</v>
      </c>
      <c r="M18" t="str">
        <f>IF($AS18="","",Config!$B$16)</f>
        <v>ID</v>
      </c>
      <c r="N18" t="str">
        <f t="shared" si="0"/>
        <v/>
      </c>
      <c r="O18" t="str">
        <f>IF($AS18="","",INDEX('TMP Paste'!$K$2:$K$1601,$AS18))</f>
        <v>Kota Bekasi</v>
      </c>
      <c r="P18" t="str">
        <f t="shared" si="1"/>
        <v/>
      </c>
      <c r="Q18">
        <f>IF($AS18="","",INDEX('TMP Paste'!$J$2:$J$1601,$AS18))</f>
        <v>17411</v>
      </c>
      <c r="R18" t="str">
        <f>IF($AS18="","",Config!$B$24)</f>
        <v>Delivery Note wajib ada nama penerima, ditandatangani dan distempel penerima. Jika di label tertera "SP Manual", maka dokumen SP Manual harus diminta ke penerima sesuai dengan jumlah PO yang butuh SP Manual. Apabila ada retur, catat di Delivery Note dan update ke IC</v>
      </c>
      <c r="S18" t="str">
        <f ca="1">IF($AS18="","",TEXT(Config!$B$4,"yyyy-mm-dd"))</f>
        <v>2026-08-18</v>
      </c>
      <c r="T18" t="str">
        <f>IF($AS18="","",Config!$B$17)</f>
        <v>09:00</v>
      </c>
      <c r="U18" t="str">
        <f>IF($AS18="","",Config!$B$18)</f>
        <v>22:00</v>
      </c>
      <c r="V18" t="str">
        <f>IF($AS18="","",Config!$B$19)</f>
        <v>Asia/Jakarta</v>
      </c>
      <c r="W18">
        <f>IF($AS18="","",INDEX('TMP Paste'!$C$2:$C$1601,$AS18))</f>
        <v>1.11</v>
      </c>
      <c r="X18" t="str">
        <f>IF($AS18="","",Config!$B$29)</f>
        <v>FALSE</v>
      </c>
      <c r="Y18" t="str">
        <f>IF($AT18="","",INDEX(Calc!$I$2:$I$1601,$AT18)&amp;" - "&amp;INDEX(Calc!$D$2:$D$1601,$AT18)&amp;" koli")</f>
        <v>26072800322508vKhc2TWx9 (1) - 1 koli</v>
      </c>
      <c r="Z18" t="str">
        <f>IF($AS18="","",Config!$B$21)</f>
        <v>FALSE</v>
      </c>
      <c r="AA18" t="str">
        <f>IF($AS18="","",Config!$B$22)</f>
        <v>RDO</v>
      </c>
      <c r="AB18">
        <f>IF($AT18="","",INDEX(Calc!$D$2:$D$1601,$AT18))</f>
        <v>1</v>
      </c>
      <c r="AC18" t="str">
        <f>IF($AT18="","",INDEX(Calc!$G$2:$G$1601,$AT18))</f>
        <v>26072800322508vKhc2TWx9-01</v>
      </c>
      <c r="AD18">
        <f>IF($AS18="","",Config!$B$23)</f>
        <v>0</v>
      </c>
      <c r="AE18">
        <f>IF($AS18="","",Config!$B$28)</f>
        <v>1</v>
      </c>
      <c r="AF18">
        <f t="shared" si="2"/>
        <v>10</v>
      </c>
      <c r="AG18">
        <f t="shared" si="3"/>
        <v>34.61</v>
      </c>
      <c r="AH18">
        <f t="shared" si="4"/>
        <v>10</v>
      </c>
      <c r="AI18">
        <f>IF($AG18="","",SUMIF($AG$2:$AG18,$AG18,$AH$2:$AH18))</f>
        <v>10</v>
      </c>
      <c r="AJ18" t="str">
        <f>IF('TMP Paste'!$F18="","",IF('TMP Paste'!$B18="",$AJ17,'TMP Paste'!$B18))</f>
        <v/>
      </c>
      <c r="AK18" t="str">
        <f>IF('TMP Paste'!$F18="","",N('TMP Paste'!$G18))</f>
        <v/>
      </c>
      <c r="AL18" t="str">
        <f>IF('TMP Paste'!$F18="","",IF('TMP Paste'!$M18="",$AL17,'TMP Paste'!$M18))</f>
        <v/>
      </c>
      <c r="AM18" t="str">
        <f>IF('TMP Paste'!$F18="","",IF('TMP Paste'!$N18="",$AM17,'TMP Paste'!$N18))</f>
        <v/>
      </c>
      <c r="AN18" t="str">
        <f>IF('TMP Paste'!$F18="","",IF('TMP Paste'!$O18="",$AN17,'TMP Paste'!$O18))</f>
        <v/>
      </c>
      <c r="AO18" t="str">
        <f>IF('TMP Paste'!$F18="","",IF('TMP Paste'!$P18="",$AO17,'TMP Paste'!$P18))</f>
        <v/>
      </c>
      <c r="AP18">
        <f t="shared" si="5"/>
        <v>266</v>
      </c>
      <c r="AQ18" t="str">
        <f>IF($AS18="","",TRIM(IF(COUNTIFS(Calc!$B$2:$B$1601,ROW()-1,Calc!$C$2:$C$1601,"&lt;1")&gt;0,"Ada PO tanpa Koli - cek TMP. ","")&amp;IF(OR($AU18="",$AU18&lt;=0),"Volume kosong/0 - dimensi dikosongkan. ","")&amp;IF(AND($AU18&lt;&gt;"",$AU18&gt;=1000000),"Volume &gt;= 1.000.000 cm3 (di luar aturan) - dimensi dikosongkan. ","")&amp;IF(LEN($R18)&gt;500,"R &gt; 500 karakter.","")))</f>
        <v/>
      </c>
      <c r="AS18">
        <f>IFERROR(MATCH(ROW()-1,Calc!$J$2:$J$1601,0),"")</f>
        <v>34</v>
      </c>
      <c r="AT18">
        <f>IFERROR(MATCH(ROW()-1,Calc!$K$2:$K$1601,0),"")</f>
        <v>34</v>
      </c>
      <c r="AU18">
        <f>IF($AS18="","",IFERROR(INDEX('TMP Paste'!$D$2:$D$1601,$AS18)*1000000/$AB18,""))</f>
        <v>3461</v>
      </c>
    </row>
    <row r="19" spans="1:47">
      <c r="A19" t="str">
        <f>IF($AS19="","",INDEX('TMP Paste'!$B$2:$B$1601,$AS19))</f>
        <v>AWB02WJT2</v>
      </c>
      <c r="B19">
        <f>IF($AS19="","",Config!$B$14)</f>
        <v>11398423</v>
      </c>
      <c r="C19" t="str">
        <f>IF($AS19="","",Config!$B$15)</f>
        <v>Corporate B2B Bundle</v>
      </c>
      <c r="D19" t="str">
        <f>IF($AS19="","",INDEX('TMP Paste'!$B$2:$B$1601,$AS19))</f>
        <v>AWB02WJT2</v>
      </c>
      <c r="E19" t="str">
        <f>IF($AS19="","",Config!$B$27)</f>
        <v>STANDARD</v>
      </c>
      <c r="F19" t="str">
        <f>IF($AS19="","",Config!$B$9)</f>
        <v>PT Teknologi Medika Pratama (SwipeRx) (B2BR)</v>
      </c>
      <c r="G19" t="str">
        <f>IF($AS19="","",Config!$B$10)</f>
        <v>087733785699</v>
      </c>
      <c r="H19" t="str">
        <f>IF($AS19="","",Config!$B$11)</f>
        <v>Jl. Tugu Raya, Tugu, Kec. Cimanggis, Kota Depok, Jawa Barat 16451,KUBIK LOGISTICS - Kompleks Pergudangan,Gudang E1</v>
      </c>
      <c r="I19" t="str">
        <f>IF($AS19="","",Config!$B$16)</f>
        <v>ID</v>
      </c>
      <c r="J19" t="str">
        <f>IF($AS19="","",INDEX('TMP Paste'!$A$2:$A$1601,$AS19))</f>
        <v>Apotek FarmaDok Jatiranggon Jatisampurna</v>
      </c>
      <c r="K19" t="str">
        <f>IF($AS19="","",INDEX('TMP Paste'!$L$2:$L$1601,$AS19))</f>
        <v>6285885477255</v>
      </c>
      <c r="L19" t="str">
        <f>IF($AS19="","",INDEX('TMP Paste'!$I$2:$I$1601,$AS19))</f>
        <v>17703-Jl. Raya Kranggan No. 93 RT.006/RW.005, Desa/Kelurahan Jatiranggon, Kec. Jatisampurna, Kota Bekasi</v>
      </c>
      <c r="M19" t="str">
        <f>IF($AS19="","",Config!$B$16)</f>
        <v>ID</v>
      </c>
      <c r="N19" t="str">
        <f t="shared" si="0"/>
        <v/>
      </c>
      <c r="O19" t="str">
        <f>IF($AS19="","",INDEX('TMP Paste'!$K$2:$K$1601,$AS19))</f>
        <v>Kota Bekasi</v>
      </c>
      <c r="P19" t="str">
        <f t="shared" si="1"/>
        <v/>
      </c>
      <c r="Q19">
        <f>IF($AS19="","",INDEX('TMP Paste'!$J$2:$J$1601,$AS19))</f>
        <v>17432</v>
      </c>
      <c r="R19" t="str">
        <f>IF($AS19="","",Config!$B$24)</f>
        <v>Delivery Note wajib ada nama penerima, ditandatangani dan distempel penerima. Jika di label tertera "SP Manual", maka dokumen SP Manual harus diminta ke penerima sesuai dengan jumlah PO yang butuh SP Manual. Apabila ada retur, catat di Delivery Note dan update ke IC</v>
      </c>
      <c r="S19" t="str">
        <f ca="1">IF($AS19="","",TEXT(Config!$B$4,"yyyy-mm-dd"))</f>
        <v>2026-08-18</v>
      </c>
      <c r="T19" t="str">
        <f>IF($AS19="","",Config!$B$17)</f>
        <v>09:00</v>
      </c>
      <c r="U19" t="str">
        <f>IF($AS19="","",Config!$B$18)</f>
        <v>22:00</v>
      </c>
      <c r="V19" t="str">
        <f>IF($AS19="","",Config!$B$19)</f>
        <v>Asia/Jakarta</v>
      </c>
      <c r="W19">
        <f>IF($AS19="","",INDEX('TMP Paste'!$C$2:$C$1601,$AS19))</f>
        <v>9.39</v>
      </c>
      <c r="X19" t="str">
        <f>IF($AS19="","",Config!$B$29)</f>
        <v>FALSE</v>
      </c>
      <c r="Y19" t="str">
        <f>IF($AT19="","",INDEX(Calc!$I$2:$I$1601,$AT19)&amp;" - "&amp;INDEX(Calc!$D$2:$D$1601,$AT19)&amp;" koli")</f>
        <v>260727130541123P9fwqGX8k (1), 26072713054112jKXG2Pgb2D (2), 26072713054112VQ5BgPLP (1) - 4 koli</v>
      </c>
      <c r="Z19" t="str">
        <f>IF($AS19="","",Config!$B$21)</f>
        <v>FALSE</v>
      </c>
      <c r="AA19" t="str">
        <f>IF($AS19="","",Config!$B$22)</f>
        <v>RDO</v>
      </c>
      <c r="AB19">
        <f>IF($AT19="","",INDEX(Calc!$D$2:$D$1601,$AT19))</f>
        <v>4</v>
      </c>
      <c r="AC19" t="str">
        <f>IF($AT19="","",INDEX(Calc!$G$2:$G$1601,$AT19))</f>
        <v>260727130541123P9fwqGX8k-01, 26072713054112jKXG2Pgb2D-02, 26072713054112jKXG2Pgb2D-03, 26072713054112VQ5BgPLP-04</v>
      </c>
      <c r="AD19">
        <f>IF($AS19="","",Config!$B$23)</f>
        <v>0</v>
      </c>
      <c r="AE19">
        <f>IF($AS19="","",Config!$B$28)</f>
        <v>1</v>
      </c>
      <c r="AF19">
        <f t="shared" si="2"/>
        <v>10</v>
      </c>
      <c r="AG19">
        <f t="shared" si="3"/>
        <v>77.7425</v>
      </c>
      <c r="AH19">
        <f t="shared" si="4"/>
        <v>10</v>
      </c>
      <c r="AI19">
        <f>IF($AG19="","",SUMIF($AG$2:$AG19,$AG19,$AH$2:$AH19))</f>
        <v>10</v>
      </c>
      <c r="AJ19" t="str">
        <f>IF('TMP Paste'!$F19="","",IF('TMP Paste'!$B19="",$AJ18,'TMP Paste'!$B19))</f>
        <v/>
      </c>
      <c r="AK19" t="str">
        <f>IF('TMP Paste'!$F19="","",N('TMP Paste'!$G19))</f>
        <v/>
      </c>
      <c r="AL19" t="str">
        <f>IF('TMP Paste'!$F19="","",IF('TMP Paste'!$M19="",$AL18,'TMP Paste'!$M19))</f>
        <v/>
      </c>
      <c r="AM19" t="str">
        <f>IF('TMP Paste'!$F19="","",IF('TMP Paste'!$N19="",$AM18,'TMP Paste'!$N19))</f>
        <v/>
      </c>
      <c r="AN19" t="str">
        <f>IF('TMP Paste'!$F19="","",IF('TMP Paste'!$O19="",$AN18,'TMP Paste'!$O19))</f>
        <v/>
      </c>
      <c r="AO19" t="str">
        <f>IF('TMP Paste'!$F19="","",IF('TMP Paste'!$P19="",$AO18,'TMP Paste'!$P19))</f>
        <v/>
      </c>
      <c r="AP19">
        <f t="shared" si="5"/>
        <v>266</v>
      </c>
      <c r="AQ19" t="str">
        <f>IF($AS19="","",TRIM(IF(COUNTIFS(Calc!$B$2:$B$1601,ROW()-1,Calc!$C$2:$C$1601,"&lt;1")&gt;0,"Ada PO tanpa Koli - cek TMP. ","")&amp;IF(OR($AU19="",$AU19&lt;=0),"Volume kosong/0 - dimensi dikosongkan. ","")&amp;IF(AND($AU19&lt;&gt;"",$AU19&gt;=1000000),"Volume &gt;= 1.000.000 cm3 (di luar aturan) - dimensi dikosongkan. ","")&amp;IF(LEN($R19)&gt;500,"R &gt; 500 karakter.","")))</f>
        <v/>
      </c>
      <c r="AS19">
        <f>IFERROR(MATCH(ROW()-1,Calc!$J$2:$J$1601,0),"")</f>
        <v>35</v>
      </c>
      <c r="AT19">
        <f>IFERROR(MATCH(ROW()-1,Calc!$K$2:$K$1601,0),"")</f>
        <v>37</v>
      </c>
      <c r="AU19">
        <f>IF($AS19="","",IFERROR(INDEX('TMP Paste'!$D$2:$D$1601,$AS19)*1000000/$AB19,""))</f>
        <v>7774.25</v>
      </c>
    </row>
    <row r="20" spans="1:47">
      <c r="A20" t="str">
        <f>IF($AS20="","",INDEX('TMP Paste'!$B$2:$B$1601,$AS20))</f>
        <v>AWB02WJMV</v>
      </c>
      <c r="B20">
        <f>IF($AS20="","",Config!$B$14)</f>
        <v>11398423</v>
      </c>
      <c r="C20" t="str">
        <f>IF($AS20="","",Config!$B$15)</f>
        <v>Corporate B2B Bundle</v>
      </c>
      <c r="D20" t="str">
        <f>IF($AS20="","",INDEX('TMP Paste'!$B$2:$B$1601,$AS20))</f>
        <v>AWB02WJMV</v>
      </c>
      <c r="E20" t="str">
        <f>IF($AS20="","",Config!$B$27)</f>
        <v>STANDARD</v>
      </c>
      <c r="F20" t="str">
        <f>IF($AS20="","",Config!$B$9)</f>
        <v>PT Teknologi Medika Pratama (SwipeRx) (B2BR)</v>
      </c>
      <c r="G20" t="str">
        <f>IF($AS20="","",Config!$B$10)</f>
        <v>087733785699</v>
      </c>
      <c r="H20" t="str">
        <f>IF($AS20="","",Config!$B$11)</f>
        <v>Jl. Tugu Raya, Tugu, Kec. Cimanggis, Kota Depok, Jawa Barat 16451,KUBIK LOGISTICS - Kompleks Pergudangan,Gudang E1</v>
      </c>
      <c r="I20" t="str">
        <f>IF($AS20="","",Config!$B$16)</f>
        <v>ID</v>
      </c>
      <c r="J20" t="str">
        <f>IF($AS20="","",INDEX('TMP Paste'!$A$2:$A$1601,$AS20))</f>
        <v>Apotek Fatih Jatibening Baru Pondok Gede</v>
      </c>
      <c r="K20" t="str">
        <f>IF($AS20="","",INDEX('TMP Paste'!$L$2:$L$1601,$AS20))</f>
        <v>6281214148920</v>
      </c>
      <c r="L20" t="str">
        <f>IF($AS20="","",INDEX('TMP Paste'!$I$2:$I$1601,$AS20))</f>
        <v>16587-Jl. Lampiri Raya No.108 B Desa/Kelurahan Jatibening Baru,Kecamatan Pondok Gede, Kota Bekasi, Jawa Barat, 17412</v>
      </c>
      <c r="M20" t="str">
        <f>IF($AS20="","",Config!$B$16)</f>
        <v>ID</v>
      </c>
      <c r="N20" t="str">
        <f t="shared" si="0"/>
        <v/>
      </c>
      <c r="O20" t="str">
        <f>IF($AS20="","",INDEX('TMP Paste'!$K$2:$K$1601,$AS20))</f>
        <v>Kota Bekasi</v>
      </c>
      <c r="P20" t="str">
        <f t="shared" si="1"/>
        <v/>
      </c>
      <c r="Q20">
        <f>IF($AS20="","",INDEX('TMP Paste'!$J$2:$J$1601,$AS20))</f>
        <v>17412</v>
      </c>
      <c r="R20" t="str">
        <f>IF($AS20="","",Config!$B$24)</f>
        <v>Delivery Note wajib ada nama penerima, ditandatangani dan distempel penerima. Jika di label tertera "SP Manual", maka dokumen SP Manual harus diminta ke penerima sesuai dengan jumlah PO yang butuh SP Manual. Apabila ada retur, catat di Delivery Note dan update ke IC</v>
      </c>
      <c r="S20" t="str">
        <f ca="1">IF($AS20="","",TEXT(Config!$B$4,"yyyy-mm-dd"))</f>
        <v>2026-08-18</v>
      </c>
      <c r="T20" t="str">
        <f>IF($AS20="","",Config!$B$17)</f>
        <v>09:00</v>
      </c>
      <c r="U20" t="str">
        <f>IF($AS20="","",Config!$B$18)</f>
        <v>22:00</v>
      </c>
      <c r="V20" t="str">
        <f>IF($AS20="","",Config!$B$19)</f>
        <v>Asia/Jakarta</v>
      </c>
      <c r="W20">
        <f>IF($AS20="","",INDEX('TMP Paste'!$C$2:$C$1601,$AS20))</f>
        <v>9.83</v>
      </c>
      <c r="X20" t="str">
        <f>IF($AS20="","",Config!$B$29)</f>
        <v>FALSE</v>
      </c>
      <c r="Y20" t="str">
        <f>IF($AT20="","",INDEX(Calc!$I$2:$I$1601,$AT20)&amp;" - "&amp;INDEX(Calc!$D$2:$D$1601,$AT20)&amp;" koli")</f>
        <v>26072711350898koIZhWruw (1), 26072711350899gtRmMQ5NSR (1), 26072711471783EBYJf2XQ8B (1), 26072711471783v1Ybwtvm (1) - 4 koli</v>
      </c>
      <c r="Z20" t="str">
        <f>IF($AS20="","",Config!$B$21)</f>
        <v>FALSE</v>
      </c>
      <c r="AA20" t="str">
        <f>IF($AS20="","",Config!$B$22)</f>
        <v>RDO</v>
      </c>
      <c r="AB20">
        <f>IF($AT20="","",INDEX(Calc!$D$2:$D$1601,$AT20))</f>
        <v>4</v>
      </c>
      <c r="AC20" t="str">
        <f>IF($AT20="","",INDEX(Calc!$G$2:$G$1601,$AT20))</f>
        <v>26072711350898koIZhWruw-01, 26072711350899gtRmMQ5NSR-02, 26072711471783EBYJf2XQ8B-03, 26072711471783v1Ybwtvm-04</v>
      </c>
      <c r="AD20">
        <f>IF($AS20="","",Config!$B$23)</f>
        <v>0</v>
      </c>
      <c r="AE20">
        <f>IF($AS20="","",Config!$B$28)</f>
        <v>1</v>
      </c>
      <c r="AF20">
        <f t="shared" si="2"/>
        <v>10</v>
      </c>
      <c r="AG20">
        <f t="shared" si="3"/>
        <v>54.1025</v>
      </c>
      <c r="AH20">
        <f t="shared" si="4"/>
        <v>10</v>
      </c>
      <c r="AI20">
        <f>IF($AG20="","",SUMIF($AG$2:$AG20,$AG20,$AH$2:$AH20))</f>
        <v>10</v>
      </c>
      <c r="AJ20" t="str">
        <f>IF('TMP Paste'!$F20="","",IF('TMP Paste'!$B20="",$AJ19,'TMP Paste'!$B20))</f>
        <v>AWB02WKH1</v>
      </c>
      <c r="AK20">
        <f>IF('TMP Paste'!$F20="","",N('TMP Paste'!$G20))</f>
        <v>0</v>
      </c>
      <c r="AL20">
        <f>IF('TMP Paste'!$F20="","",IF('TMP Paste'!$M20="",$AL19,'TMP Paste'!$M20))</f>
        <v>1</v>
      </c>
      <c r="AM20" t="str">
        <f>IF('TMP Paste'!$F20="","",IF('TMP Paste'!$N20="",$AM19,'TMP Paste'!$N20))</f>
        <v/>
      </c>
      <c r="AN20" t="str">
        <f>IF('TMP Paste'!$F20="","",IF('TMP Paste'!$O20="",$AN19,'TMP Paste'!$O20))</f>
        <v/>
      </c>
      <c r="AO20" t="str">
        <f>IF('TMP Paste'!$F20="","",IF('TMP Paste'!$P20="",$AO19,'TMP Paste'!$P20))</f>
        <v/>
      </c>
      <c r="AP20">
        <f t="shared" si="5"/>
        <v>266</v>
      </c>
      <c r="AQ20" t="str">
        <f>IF($AS20="","",TRIM(IF(COUNTIFS(Calc!$B$2:$B$1601,ROW()-1,Calc!$C$2:$C$1601,"&lt;1")&gt;0,"Ada PO tanpa Koli - cek TMP. ","")&amp;IF(OR($AU20="",$AU20&lt;=0),"Volume kosong/0 - dimensi dikosongkan. ","")&amp;IF(AND($AU20&lt;&gt;"",$AU20&gt;=1000000),"Volume &gt;= 1.000.000 cm3 (di luar aturan) - dimensi dikosongkan. ","")&amp;IF(LEN($R20)&gt;500,"R &gt; 500 karakter.","")))</f>
        <v/>
      </c>
      <c r="AS20">
        <f>IFERROR(MATCH(ROW()-1,Calc!$J$2:$J$1601,0),"")</f>
        <v>38</v>
      </c>
      <c r="AT20">
        <f>IFERROR(MATCH(ROW()-1,Calc!$K$2:$K$1601,0),"")</f>
        <v>41</v>
      </c>
      <c r="AU20">
        <f>IF($AS20="","",IFERROR(INDEX('TMP Paste'!$D$2:$D$1601,$AS20)*1000000/$AB20,""))</f>
        <v>5410.25</v>
      </c>
    </row>
    <row r="21" spans="1:47">
      <c r="A21" t="str">
        <f>IF($AS21="","",INDEX('TMP Paste'!$B$2:$B$1601,$AS21))</f>
        <v>AWB02WL7H</v>
      </c>
      <c r="B21">
        <f>IF($AS21="","",Config!$B$14)</f>
        <v>11398423</v>
      </c>
      <c r="C21" t="str">
        <f>IF($AS21="","",Config!$B$15)</f>
        <v>Corporate B2B Bundle</v>
      </c>
      <c r="D21" t="str">
        <f>IF($AS21="","",INDEX('TMP Paste'!$B$2:$B$1601,$AS21))</f>
        <v>AWB02WL7H</v>
      </c>
      <c r="E21" t="str">
        <f>IF($AS21="","",Config!$B$27)</f>
        <v>STANDARD</v>
      </c>
      <c r="F21" t="str">
        <f>IF($AS21="","",Config!$B$9)</f>
        <v>PT Teknologi Medika Pratama (SwipeRx) (B2BR)</v>
      </c>
      <c r="G21" t="str">
        <f>IF($AS21="","",Config!$B$10)</f>
        <v>087733785699</v>
      </c>
      <c r="H21" t="str">
        <f>IF($AS21="","",Config!$B$11)</f>
        <v>Jl. Tugu Raya, Tugu, Kec. Cimanggis, Kota Depok, Jawa Barat 16451,KUBIK LOGISTICS - Kompleks Pergudangan,Gudang E1</v>
      </c>
      <c r="I21" t="str">
        <f>IF($AS21="","",Config!$B$16)</f>
        <v>ID</v>
      </c>
      <c r="J21" t="str">
        <f>IF($AS21="","",INDEX('TMP Paste'!$A$2:$A$1601,$AS21))</f>
        <v>Apotek Fikri Setu Cipayung</v>
      </c>
      <c r="K21" t="str">
        <f>IF($AS21="","",INDEX('TMP Paste'!$L$2:$L$1601,$AS21))</f>
        <v>628176566205</v>
      </c>
      <c r="L21" t="str">
        <f>IF($AS21="","",INDEX('TMP Paste'!$I$2:$I$1601,$AS21))</f>
        <v>10722-Jalan Terusan Mabes Hankam RT 007 RW 004, Desa/Kelurahan Setu, Kecamatan Cipayung, Kota Administrasi Jakarta Timur, DKI Jakarta 13880</v>
      </c>
      <c r="M21" t="str">
        <f>IF($AS21="","",Config!$B$16)</f>
        <v>ID</v>
      </c>
      <c r="N21" t="str">
        <f t="shared" si="0"/>
        <v/>
      </c>
      <c r="O21" t="str">
        <f>IF($AS21="","",INDEX('TMP Paste'!$K$2:$K$1601,$AS21))</f>
        <v>Kota Jakarta Timur</v>
      </c>
      <c r="P21" t="str">
        <f t="shared" si="1"/>
        <v/>
      </c>
      <c r="Q21">
        <f>IF($AS21="","",INDEX('TMP Paste'!$J$2:$J$1601,$AS21))</f>
        <v>13880</v>
      </c>
      <c r="R21" t="str">
        <f>IF($AS21="","",Config!$B$24)</f>
        <v>Delivery Note wajib ada nama penerima, ditandatangani dan distempel penerima. Jika di label tertera "SP Manual", maka dokumen SP Manual harus diminta ke penerima sesuai dengan jumlah PO yang butuh SP Manual. Apabila ada retur, catat di Delivery Note dan update ke IC</v>
      </c>
      <c r="S21" t="str">
        <f ca="1">IF($AS21="","",TEXT(Config!$B$4,"yyyy-mm-dd"))</f>
        <v>2026-08-18</v>
      </c>
      <c r="T21" t="str">
        <f>IF($AS21="","",Config!$B$17)</f>
        <v>09:00</v>
      </c>
      <c r="U21" t="str">
        <f>IF($AS21="","",Config!$B$18)</f>
        <v>22:00</v>
      </c>
      <c r="V21" t="str">
        <f>IF($AS21="","",Config!$B$19)</f>
        <v>Asia/Jakarta</v>
      </c>
      <c r="W21">
        <f>IF($AS21="","",INDEX('TMP Paste'!$C$2:$C$1601,$AS21))</f>
        <v>2.74</v>
      </c>
      <c r="X21" t="str">
        <f>IF($AS21="","",Config!$B$29)</f>
        <v>FALSE</v>
      </c>
      <c r="Y21" t="str">
        <f>IF($AT21="","",INDEX(Calc!$I$2:$I$1601,$AT21)&amp;" - "&amp;INDEX(Calc!$D$2:$D$1601,$AT21)&amp;" koli")</f>
        <v>260728022212646PTExoyK (1), 26072802221264cGexMLOGnr (1), 26072802221264tBcTbwVSiT (1) - 3 koli</v>
      </c>
      <c r="Z21" t="str">
        <f>IF($AS21="","",Config!$B$21)</f>
        <v>FALSE</v>
      </c>
      <c r="AA21" t="str">
        <f>IF($AS21="","",Config!$B$22)</f>
        <v>RDO</v>
      </c>
      <c r="AB21">
        <f>IF($AT21="","",INDEX(Calc!$D$2:$D$1601,$AT21))</f>
        <v>3</v>
      </c>
      <c r="AC21" t="str">
        <f>IF($AT21="","",INDEX(Calc!$G$2:$G$1601,$AT21))</f>
        <v>260728022212646PTExoyK-01, 26072802221264cGexMLOGnr-02, 26072802221264tBcTbwVSiT-03</v>
      </c>
      <c r="AD21">
        <f>IF($AS21="","",Config!$B$23)</f>
        <v>0</v>
      </c>
      <c r="AE21">
        <f>IF($AS21="","",Config!$B$28)</f>
        <v>1</v>
      </c>
      <c r="AF21">
        <f t="shared" si="2"/>
        <v>10</v>
      </c>
      <c r="AG21">
        <f t="shared" si="3"/>
        <v>34.7966666666667</v>
      </c>
      <c r="AH21">
        <f t="shared" si="4"/>
        <v>10</v>
      </c>
      <c r="AI21">
        <f>IF($AG21="","",SUMIF($AG$2:$AG21,$AG21,$AH$2:$AH21))</f>
        <v>10</v>
      </c>
      <c r="AJ21" t="str">
        <f>IF('TMP Paste'!$F21="","",IF('TMP Paste'!$B21="",$AJ20,'TMP Paste'!$B21))</f>
        <v>AWB02WJ9B</v>
      </c>
      <c r="AK21">
        <f>IF('TMP Paste'!$F21="","",N('TMP Paste'!$G21))</f>
        <v>0</v>
      </c>
      <c r="AL21">
        <f>IF('TMP Paste'!$F21="","",IF('TMP Paste'!$M21="",$AL20,'TMP Paste'!$M21))</f>
        <v>1</v>
      </c>
      <c r="AM21" t="str">
        <f>IF('TMP Paste'!$F21="","",IF('TMP Paste'!$N21="",$AM20,'TMP Paste'!$N21))</f>
        <v/>
      </c>
      <c r="AN21" t="str">
        <f>IF('TMP Paste'!$F21="","",IF('TMP Paste'!$O21="",$AN20,'TMP Paste'!$O21))</f>
        <v/>
      </c>
      <c r="AO21" t="str">
        <f>IF('TMP Paste'!$F21="","",IF('TMP Paste'!$P21="",$AO20,'TMP Paste'!$P21))</f>
        <v/>
      </c>
      <c r="AP21">
        <f t="shared" si="5"/>
        <v>266</v>
      </c>
      <c r="AQ21" t="str">
        <f>IF($AS21="","",TRIM(IF(COUNTIFS(Calc!$B$2:$B$1601,ROW()-1,Calc!$C$2:$C$1601,"&lt;1")&gt;0,"Ada PO tanpa Koli - cek TMP. ","")&amp;IF(OR($AU21="",$AU21&lt;=0),"Volume kosong/0 - dimensi dikosongkan. ","")&amp;IF(AND($AU21&lt;&gt;"",$AU21&gt;=1000000),"Volume &gt;= 1.000.000 cm3 (di luar aturan) - dimensi dikosongkan. ","")&amp;IF(LEN($R21)&gt;500,"R &gt; 500 karakter.","")))</f>
        <v/>
      </c>
      <c r="AS21">
        <f>IFERROR(MATCH(ROW()-1,Calc!$J$2:$J$1601,0),"")</f>
        <v>42</v>
      </c>
      <c r="AT21">
        <f>IFERROR(MATCH(ROW()-1,Calc!$K$2:$K$1601,0),"")</f>
        <v>44</v>
      </c>
      <c r="AU21">
        <f>IF($AS21="","",IFERROR(INDEX('TMP Paste'!$D$2:$D$1601,$AS21)*1000000/$AB21,""))</f>
        <v>3479.66666666667</v>
      </c>
    </row>
    <row r="22" spans="1:47">
      <c r="A22" t="str">
        <f>IF($AS22="","",INDEX('TMP Paste'!$B$2:$B$1601,$AS22))</f>
        <v>AWB02WKJ4</v>
      </c>
      <c r="B22">
        <f>IF($AS22="","",Config!$B$14)</f>
        <v>11398423</v>
      </c>
      <c r="C22" t="str">
        <f>IF($AS22="","",Config!$B$15)</f>
        <v>Corporate B2B Bundle</v>
      </c>
      <c r="D22" t="str">
        <f>IF($AS22="","",INDEX('TMP Paste'!$B$2:$B$1601,$AS22))</f>
        <v>AWB02WKJ4</v>
      </c>
      <c r="E22" t="str">
        <f>IF($AS22="","",Config!$B$27)</f>
        <v>STANDARD</v>
      </c>
      <c r="F22" t="str">
        <f>IF($AS22="","",Config!$B$9)</f>
        <v>PT Teknologi Medika Pratama (SwipeRx) (B2BR)</v>
      </c>
      <c r="G22" t="str">
        <f>IF($AS22="","",Config!$B$10)</f>
        <v>087733785699</v>
      </c>
      <c r="H22" t="str">
        <f>IF($AS22="","",Config!$B$11)</f>
        <v>Jl. Tugu Raya, Tugu, Kec. Cimanggis, Kota Depok, Jawa Barat 16451,KUBIK LOGISTICS - Kompleks Pergudangan,Gudang E1</v>
      </c>
      <c r="I22" t="str">
        <f>IF($AS22="","",Config!$B$16)</f>
        <v>ID</v>
      </c>
      <c r="J22" t="str">
        <f>IF($AS22="","",INDEX('TMP Paste'!$A$2:$A$1601,$AS22))</f>
        <v>Apotek G Farma Kranggan</v>
      </c>
      <c r="K22" t="str">
        <f>IF($AS22="","",INDEX('TMP Paste'!$L$2:$L$1601,$AS22))</f>
        <v>81932511145</v>
      </c>
      <c r="L22" t="str">
        <f>IF($AS22="","",INDEX('TMP Paste'!$I$2:$I$1601,$AS22))</f>
        <v>552-Ruko Kranggan Permai Blok RT 2 No. 4, RT 015 RW 015, Kelurahan Jatisampurna, Kecamatan Jatisampurna, Kota Bekasi, Jawa Barat 17433</v>
      </c>
      <c r="M22" t="str">
        <f>IF($AS22="","",Config!$B$16)</f>
        <v>ID</v>
      </c>
      <c r="N22" t="str">
        <f t="shared" si="0"/>
        <v/>
      </c>
      <c r="O22" t="str">
        <f>IF($AS22="","",INDEX('TMP Paste'!$K$2:$K$1601,$AS22))</f>
        <v>Kota Bekasi</v>
      </c>
      <c r="P22" t="str">
        <f t="shared" si="1"/>
        <v/>
      </c>
      <c r="Q22">
        <f>IF($AS22="","",INDEX('TMP Paste'!$J$2:$J$1601,$AS22))</f>
        <v>17433</v>
      </c>
      <c r="R22" t="str">
        <f>IF($AS22="","",Config!$B$24)</f>
        <v>Delivery Note wajib ada nama penerima, ditandatangani dan distempel penerima. Jika di label tertera "SP Manual", maka dokumen SP Manual harus diminta ke penerima sesuai dengan jumlah PO yang butuh SP Manual. Apabila ada retur, catat di Delivery Note dan update ke IC</v>
      </c>
      <c r="S22" t="str">
        <f ca="1">IF($AS22="","",TEXT(Config!$B$4,"yyyy-mm-dd"))</f>
        <v>2026-08-18</v>
      </c>
      <c r="T22" t="str">
        <f>IF($AS22="","",Config!$B$17)</f>
        <v>09:00</v>
      </c>
      <c r="U22" t="str">
        <f>IF($AS22="","",Config!$B$18)</f>
        <v>22:00</v>
      </c>
      <c r="V22" t="str">
        <f>IF($AS22="","",Config!$B$19)</f>
        <v>Asia/Jakarta</v>
      </c>
      <c r="W22">
        <f>IF($AS22="","",INDEX('TMP Paste'!$C$2:$C$1601,$AS22))</f>
        <v>0.46</v>
      </c>
      <c r="X22" t="str">
        <f>IF($AS22="","",Config!$B$29)</f>
        <v>FALSE</v>
      </c>
      <c r="Y22" t="str">
        <f>IF($AT22="","",INDEX(Calc!$I$2:$I$1601,$AT22)&amp;" - "&amp;INDEX(Calc!$D$2:$D$1601,$AT22)&amp;" koli")</f>
        <v>26072800590510bpZcrNFC5H (1), 26072800590510PNkY214v7 (1) - 2 koli</v>
      </c>
      <c r="Z22" t="str">
        <f>IF($AS22="","",Config!$B$21)</f>
        <v>FALSE</v>
      </c>
      <c r="AA22" t="str">
        <f>IF($AS22="","",Config!$B$22)</f>
        <v>RDO</v>
      </c>
      <c r="AB22">
        <f>IF($AT22="","",INDEX(Calc!$D$2:$D$1601,$AT22))</f>
        <v>2</v>
      </c>
      <c r="AC22" t="str">
        <f>IF($AT22="","",INDEX(Calc!$G$2:$G$1601,$AT22))</f>
        <v>26072800590510bpZcrNFC5H-01, 26072800590510PNkY214v7-02</v>
      </c>
      <c r="AD22">
        <f>IF($AS22="","",Config!$B$23)</f>
        <v>0</v>
      </c>
      <c r="AE22">
        <f>IF($AS22="","",Config!$B$28)</f>
        <v>1</v>
      </c>
      <c r="AF22">
        <f t="shared" si="2"/>
        <v>10</v>
      </c>
      <c r="AG22">
        <f t="shared" si="3"/>
        <v>21.65</v>
      </c>
      <c r="AH22">
        <f t="shared" si="4"/>
        <v>10</v>
      </c>
      <c r="AI22">
        <f>IF($AG22="","",SUMIF($AG$2:$AG22,$AG22,$AH$2:$AH22))</f>
        <v>10</v>
      </c>
      <c r="AJ22" t="str">
        <f>IF('TMP Paste'!$F22="","",IF('TMP Paste'!$B22="",$AJ21,'TMP Paste'!$B22))</f>
        <v>AWB02WJJX</v>
      </c>
      <c r="AK22">
        <f>IF('TMP Paste'!$F22="","",N('TMP Paste'!$G22))</f>
        <v>0</v>
      </c>
      <c r="AL22">
        <f>IF('TMP Paste'!$F22="","",IF('TMP Paste'!$M22="",$AL21,'TMP Paste'!$M22))</f>
        <v>1</v>
      </c>
      <c r="AM22" t="str">
        <f>IF('TMP Paste'!$F22="","",IF('TMP Paste'!$N22="",$AM21,'TMP Paste'!$N22))</f>
        <v/>
      </c>
      <c r="AN22" t="str">
        <f>IF('TMP Paste'!$F22="","",IF('TMP Paste'!$O22="",$AN21,'TMP Paste'!$O22))</f>
        <v/>
      </c>
      <c r="AO22" t="str">
        <f>IF('TMP Paste'!$F22="","",IF('TMP Paste'!$P22="",$AO21,'TMP Paste'!$P22))</f>
        <v/>
      </c>
      <c r="AP22">
        <f t="shared" si="5"/>
        <v>266</v>
      </c>
      <c r="AQ22" t="str">
        <f>IF($AS22="","",TRIM(IF(COUNTIFS(Calc!$B$2:$B$1601,ROW()-1,Calc!$C$2:$C$1601,"&lt;1")&gt;0,"Ada PO tanpa Koli - cek TMP. ","")&amp;IF(OR($AU22="",$AU22&lt;=0),"Volume kosong/0 - dimensi dikosongkan. ","")&amp;IF(AND($AU22&lt;&gt;"",$AU22&gt;=1000000),"Volume &gt;= 1.000.000 cm3 (di luar aturan) - dimensi dikosongkan. ","")&amp;IF(LEN($R22)&gt;500,"R &gt; 500 karakter.","")))</f>
        <v/>
      </c>
      <c r="AS22">
        <f>IFERROR(MATCH(ROW()-1,Calc!$J$2:$J$1601,0),"")</f>
        <v>45</v>
      </c>
      <c r="AT22">
        <f>IFERROR(MATCH(ROW()-1,Calc!$K$2:$K$1601,0),"")</f>
        <v>46</v>
      </c>
      <c r="AU22">
        <f>IF($AS22="","",IFERROR(INDEX('TMP Paste'!$D$2:$D$1601,$AS22)*1000000/$AB22,""))</f>
        <v>2165</v>
      </c>
    </row>
    <row r="23" spans="1:47">
      <c r="A23" t="str">
        <f>IF($AS23="","",INDEX('TMP Paste'!$B$2:$B$1601,$AS23))</f>
        <v>AWB02WKD5</v>
      </c>
      <c r="B23">
        <f>IF($AS23="","",Config!$B$14)</f>
        <v>11398423</v>
      </c>
      <c r="C23" t="str">
        <f>IF($AS23="","",Config!$B$15)</f>
        <v>Corporate B2B Bundle</v>
      </c>
      <c r="D23" t="str">
        <f>IF($AS23="","",INDEX('TMP Paste'!$B$2:$B$1601,$AS23))</f>
        <v>AWB02WKD5</v>
      </c>
      <c r="E23" t="str">
        <f>IF($AS23="","",Config!$B$27)</f>
        <v>STANDARD</v>
      </c>
      <c r="F23" t="str">
        <f>IF($AS23="","",Config!$B$9)</f>
        <v>PT Teknologi Medika Pratama (SwipeRx) (B2BR)</v>
      </c>
      <c r="G23" t="str">
        <f>IF($AS23="","",Config!$B$10)</f>
        <v>087733785699</v>
      </c>
      <c r="H23" t="str">
        <f>IF($AS23="","",Config!$B$11)</f>
        <v>Jl. Tugu Raya, Tugu, Kec. Cimanggis, Kota Depok, Jawa Barat 16451,KUBIK LOGISTICS - Kompleks Pergudangan,Gudang E1</v>
      </c>
      <c r="I23" t="str">
        <f>IF($AS23="","",Config!$B$16)</f>
        <v>ID</v>
      </c>
      <c r="J23" t="str">
        <f>IF($AS23="","",INDEX('TMP Paste'!$A$2:$A$1601,$AS23))</f>
        <v>Apotek Gaharu 926</v>
      </c>
      <c r="K23" t="str">
        <f>IF($AS23="","",INDEX('TMP Paste'!$L$2:$L$1601,$AS23))</f>
        <v>2122920093</v>
      </c>
      <c r="L23" t="str">
        <f>IF($AS23="","",INDEX('TMP Paste'!$I$2:$I$1601,$AS23))</f>
        <v>926-Jl. Kramat 3 Ruko Perumahan Gaharu No.C7, Sukatani, Kec. Tapos, Kota Depok</v>
      </c>
      <c r="M23" t="str">
        <f>IF($AS23="","",Config!$B$16)</f>
        <v>ID</v>
      </c>
      <c r="N23" t="str">
        <f t="shared" si="0"/>
        <v/>
      </c>
      <c r="O23" t="str">
        <f>IF($AS23="","",INDEX('TMP Paste'!$K$2:$K$1601,$AS23))</f>
        <v>Kota Depok</v>
      </c>
      <c r="P23" t="str">
        <f t="shared" si="1"/>
        <v/>
      </c>
      <c r="Q23">
        <f>IF($AS23="","",INDEX('TMP Paste'!$J$2:$J$1601,$AS23))</f>
        <v>16454</v>
      </c>
      <c r="R23" t="str">
        <f>IF($AS23="","",Config!$B$24)</f>
        <v>Delivery Note wajib ada nama penerima, ditandatangani dan distempel penerima. Jika di label tertera "SP Manual", maka dokumen SP Manual harus diminta ke penerima sesuai dengan jumlah PO yang butuh SP Manual. Apabila ada retur, catat di Delivery Note dan update ke IC</v>
      </c>
      <c r="S23" t="str">
        <f ca="1">IF($AS23="","",TEXT(Config!$B$4,"yyyy-mm-dd"))</f>
        <v>2026-08-18</v>
      </c>
      <c r="T23" t="str">
        <f>IF($AS23="","",Config!$B$17)</f>
        <v>09:00</v>
      </c>
      <c r="U23" t="str">
        <f>IF($AS23="","",Config!$B$18)</f>
        <v>22:00</v>
      </c>
      <c r="V23" t="str">
        <f>IF($AS23="","",Config!$B$19)</f>
        <v>Asia/Jakarta</v>
      </c>
      <c r="W23">
        <f>IF($AS23="","",INDEX('TMP Paste'!$C$2:$C$1601,$AS23))</f>
        <v>1.4</v>
      </c>
      <c r="X23" t="str">
        <f>IF($AS23="","",Config!$B$29)</f>
        <v>FALSE</v>
      </c>
      <c r="Y23" t="str">
        <f>IF($AT23="","",INDEX(Calc!$I$2:$I$1601,$AT23)&amp;" - "&amp;INDEX(Calc!$D$2:$D$1601,$AT23)&amp;" koli")</f>
        <v>26072800084322Zg0uQsbhY (1) - 1 koli</v>
      </c>
      <c r="Z23" t="str">
        <f>IF($AS23="","",Config!$B$21)</f>
        <v>FALSE</v>
      </c>
      <c r="AA23" t="str">
        <f>IF($AS23="","",Config!$B$22)</f>
        <v>RDO</v>
      </c>
      <c r="AB23">
        <f>IF($AT23="","",INDEX(Calc!$D$2:$D$1601,$AT23))</f>
        <v>1</v>
      </c>
      <c r="AC23" t="str">
        <f>IF($AT23="","",INDEX(Calc!$G$2:$G$1601,$AT23))</f>
        <v>26072800084322Zg0uQsbhY-01</v>
      </c>
      <c r="AD23">
        <f>IF($AS23="","",Config!$B$23)</f>
        <v>0</v>
      </c>
      <c r="AE23">
        <f>IF($AS23="","",Config!$B$28)</f>
        <v>1</v>
      </c>
      <c r="AF23">
        <f t="shared" si="2"/>
        <v>10</v>
      </c>
      <c r="AG23">
        <f t="shared" si="3"/>
        <v>65.92</v>
      </c>
      <c r="AH23">
        <f t="shared" si="4"/>
        <v>10</v>
      </c>
      <c r="AI23">
        <f>IF($AG23="","",SUMIF($AG$2:$AG23,$AG23,$AH$2:$AH23))</f>
        <v>10</v>
      </c>
      <c r="AJ23" t="str">
        <f>IF('TMP Paste'!$F23="","",IF('TMP Paste'!$B23="",$AJ22,'TMP Paste'!$B23))</f>
        <v>AWB02WKTX</v>
      </c>
      <c r="AK23">
        <f>IF('TMP Paste'!$F23="","",N('TMP Paste'!$G23))</f>
        <v>0</v>
      </c>
      <c r="AL23">
        <f>IF('TMP Paste'!$F23="","",IF('TMP Paste'!$M23="",$AL22,'TMP Paste'!$M23))</f>
        <v>1</v>
      </c>
      <c r="AM23" t="str">
        <f>IF('TMP Paste'!$F23="","",IF('TMP Paste'!$N23="",$AM22,'TMP Paste'!$N23))</f>
        <v/>
      </c>
      <c r="AN23" t="str">
        <f>IF('TMP Paste'!$F23="","",IF('TMP Paste'!$O23="",$AN22,'TMP Paste'!$O23))</f>
        <v/>
      </c>
      <c r="AO23" t="str">
        <f>IF('TMP Paste'!$F23="","",IF('TMP Paste'!$P23="",$AO22,'TMP Paste'!$P23))</f>
        <v/>
      </c>
      <c r="AP23">
        <f t="shared" si="5"/>
        <v>266</v>
      </c>
      <c r="AQ23" t="str">
        <f>IF($AS23="","",TRIM(IF(COUNTIFS(Calc!$B$2:$B$1601,ROW()-1,Calc!$C$2:$C$1601,"&lt;1")&gt;0,"Ada PO tanpa Koli - cek TMP. ","")&amp;IF(OR($AU23="",$AU23&lt;=0),"Volume kosong/0 - dimensi dikosongkan. ","")&amp;IF(AND($AU23&lt;&gt;"",$AU23&gt;=1000000),"Volume &gt;= 1.000.000 cm3 (di luar aturan) - dimensi dikosongkan. ","")&amp;IF(LEN($R23)&gt;500,"R &gt; 500 karakter.","")))</f>
        <v/>
      </c>
      <c r="AS23">
        <f>IFERROR(MATCH(ROW()-1,Calc!$J$2:$J$1601,0),"")</f>
        <v>47</v>
      </c>
      <c r="AT23">
        <f>IFERROR(MATCH(ROW()-1,Calc!$K$2:$K$1601,0),"")</f>
        <v>47</v>
      </c>
      <c r="AU23">
        <f>IF($AS23="","",IFERROR(INDEX('TMP Paste'!$D$2:$D$1601,$AS23)*1000000/$AB23,""))</f>
        <v>6592</v>
      </c>
    </row>
    <row r="24" spans="1:47">
      <c r="A24" t="str">
        <f>IF($AS24="","",INDEX('TMP Paste'!$B$2:$B$1601,$AS24))</f>
        <v>AWB02WLJ2</v>
      </c>
      <c r="B24">
        <f>IF($AS24="","",Config!$B$14)</f>
        <v>11398423</v>
      </c>
      <c r="C24" t="str">
        <f>IF($AS24="","",Config!$B$15)</f>
        <v>Corporate B2B Bundle</v>
      </c>
      <c r="D24" t="str">
        <f>IF($AS24="","",INDEX('TMP Paste'!$B$2:$B$1601,$AS24))</f>
        <v>AWB02WLJ2</v>
      </c>
      <c r="E24" t="str">
        <f>IF($AS24="","",Config!$B$27)</f>
        <v>STANDARD</v>
      </c>
      <c r="F24" t="str">
        <f>IF($AS24="","",Config!$B$9)</f>
        <v>PT Teknologi Medika Pratama (SwipeRx) (B2BR)</v>
      </c>
      <c r="G24" t="str">
        <f>IF($AS24="","",Config!$B$10)</f>
        <v>087733785699</v>
      </c>
      <c r="H24" t="str">
        <f>IF($AS24="","",Config!$B$11)</f>
        <v>Jl. Tugu Raya, Tugu, Kec. Cimanggis, Kota Depok, Jawa Barat 16451,KUBIK LOGISTICS - Kompleks Pergudangan,Gudang E1</v>
      </c>
      <c r="I24" t="str">
        <f>IF($AS24="","",Config!$B$16)</f>
        <v>ID</v>
      </c>
      <c r="J24" t="str">
        <f>IF($AS24="","",INDEX('TMP Paste'!$A$2:$A$1601,$AS24))</f>
        <v>Apotek Gemintang Farma Jatimelati Pondok Melati</v>
      </c>
      <c r="K24" t="str">
        <f>IF($AS24="","",INDEX('TMP Paste'!$L$2:$L$1601,$AS24))</f>
        <v>6285691132174</v>
      </c>
      <c r="L24" t="str">
        <f>IF($AS24="","",INDEX('TMP Paste'!$I$2:$I$1601,$AS24))</f>
        <v>11120-Jalan Raya Kampung Sawah No 50, Desa/Kelurahan Jatimelati, Kecamatan Pondokmelati, Kota Bekasi,Jawa Barat,17414</v>
      </c>
      <c r="M24" t="str">
        <f>IF($AS24="","",Config!$B$16)</f>
        <v>ID</v>
      </c>
      <c r="N24" t="str">
        <f t="shared" si="0"/>
        <v/>
      </c>
      <c r="O24" t="str">
        <f>IF($AS24="","",INDEX('TMP Paste'!$K$2:$K$1601,$AS24))</f>
        <v>Kota Bekasi</v>
      </c>
      <c r="P24" t="str">
        <f t="shared" si="1"/>
        <v/>
      </c>
      <c r="Q24">
        <f>IF($AS24="","",INDEX('TMP Paste'!$J$2:$J$1601,$AS24))</f>
        <v>17414</v>
      </c>
      <c r="R24" t="str">
        <f>IF($AS24="","",Config!$B$24)</f>
        <v>Delivery Note wajib ada nama penerima, ditandatangani dan distempel penerima. Jika di label tertera "SP Manual", maka dokumen SP Manual harus diminta ke penerima sesuai dengan jumlah PO yang butuh SP Manual. Apabila ada retur, catat di Delivery Note dan update ke IC</v>
      </c>
      <c r="S24" t="str">
        <f ca="1">IF($AS24="","",TEXT(Config!$B$4,"yyyy-mm-dd"))</f>
        <v>2026-08-18</v>
      </c>
      <c r="T24" t="str">
        <f>IF($AS24="","",Config!$B$17)</f>
        <v>09:00</v>
      </c>
      <c r="U24" t="str">
        <f>IF($AS24="","",Config!$B$18)</f>
        <v>22:00</v>
      </c>
      <c r="V24" t="str">
        <f>IF($AS24="","",Config!$B$19)</f>
        <v>Asia/Jakarta</v>
      </c>
      <c r="W24">
        <f>IF($AS24="","",INDEX('TMP Paste'!$C$2:$C$1601,$AS24))</f>
        <v>8.32</v>
      </c>
      <c r="X24" t="str">
        <f>IF($AS24="","",Config!$B$29)</f>
        <v>FALSE</v>
      </c>
      <c r="Y24" t="str">
        <f>IF($AT24="","",INDEX(Calc!$I$2:$I$1601,$AT24)&amp;" - "&amp;INDEX(Calc!$D$2:$D$1601,$AT24)&amp;" koli")</f>
        <v>26072802471485AaAsvhvmkO (1), 26072802471485DBoYI0b3e (1), 26072802471485G6fx5GyCjY (1) - 3 koli</v>
      </c>
      <c r="Z24" t="str">
        <f>IF($AS24="","",Config!$B$21)</f>
        <v>FALSE</v>
      </c>
      <c r="AA24" t="str">
        <f>IF($AS24="","",Config!$B$22)</f>
        <v>RDO</v>
      </c>
      <c r="AB24">
        <f>IF($AT24="","",INDEX(Calc!$D$2:$D$1601,$AT24))</f>
        <v>3</v>
      </c>
      <c r="AC24" t="str">
        <f>IF($AT24="","",INDEX(Calc!$G$2:$G$1601,$AT24))</f>
        <v>26072802471485AaAsvhvmkO-01, 26072802471485DBoYI0b3e-02, 26072802471485G6fx5GyCjY-03</v>
      </c>
      <c r="AD24">
        <f>IF($AS24="","",Config!$B$23)</f>
        <v>0</v>
      </c>
      <c r="AE24">
        <f>IF($AS24="","",Config!$B$28)</f>
        <v>1</v>
      </c>
      <c r="AF24">
        <f t="shared" si="2"/>
        <v>10</v>
      </c>
      <c r="AG24">
        <f t="shared" si="3"/>
        <v>83.77</v>
      </c>
      <c r="AH24">
        <f t="shared" si="4"/>
        <v>10</v>
      </c>
      <c r="AI24">
        <f>IF($AG24="","",SUMIF($AG$2:$AG24,$AG24,$AH$2:$AH24))</f>
        <v>10</v>
      </c>
      <c r="AJ24" t="str">
        <f>IF('TMP Paste'!$F24="","",IF('TMP Paste'!$B24="",$AJ23,'TMP Paste'!$B24))</f>
        <v/>
      </c>
      <c r="AK24" t="str">
        <f>IF('TMP Paste'!$F24="","",N('TMP Paste'!$G24))</f>
        <v/>
      </c>
      <c r="AL24" t="str">
        <f>IF('TMP Paste'!$F24="","",IF('TMP Paste'!$M24="",$AL23,'TMP Paste'!$M24))</f>
        <v/>
      </c>
      <c r="AM24" t="str">
        <f>IF('TMP Paste'!$F24="","",IF('TMP Paste'!$N24="",$AM23,'TMP Paste'!$N24))</f>
        <v/>
      </c>
      <c r="AN24" t="str">
        <f>IF('TMP Paste'!$F24="","",IF('TMP Paste'!$O24="",$AN23,'TMP Paste'!$O24))</f>
        <v/>
      </c>
      <c r="AO24" t="str">
        <f>IF('TMP Paste'!$F24="","",IF('TMP Paste'!$P24="",$AO23,'TMP Paste'!$P24))</f>
        <v/>
      </c>
      <c r="AP24">
        <f t="shared" si="5"/>
        <v>266</v>
      </c>
      <c r="AQ24" t="str">
        <f>IF($AS24="","",TRIM(IF(COUNTIFS(Calc!$B$2:$B$1601,ROW()-1,Calc!$C$2:$C$1601,"&lt;1")&gt;0,"Ada PO tanpa Koli - cek TMP. ","")&amp;IF(OR($AU24="",$AU24&lt;=0),"Volume kosong/0 - dimensi dikosongkan. ","")&amp;IF(AND($AU24&lt;&gt;"",$AU24&gt;=1000000),"Volume &gt;= 1.000.000 cm3 (di luar aturan) - dimensi dikosongkan. ","")&amp;IF(LEN($R24)&gt;500,"R &gt; 500 karakter.","")))</f>
        <v/>
      </c>
      <c r="AS24">
        <f>IFERROR(MATCH(ROW()-1,Calc!$J$2:$J$1601,0),"")</f>
        <v>48</v>
      </c>
      <c r="AT24">
        <f>IFERROR(MATCH(ROW()-1,Calc!$K$2:$K$1601,0),"")</f>
        <v>50</v>
      </c>
      <c r="AU24">
        <f>IF($AS24="","",IFERROR(INDEX('TMP Paste'!$D$2:$D$1601,$AS24)*1000000/$AB24,""))</f>
        <v>8377</v>
      </c>
    </row>
    <row r="25" spans="1:47">
      <c r="A25" t="str">
        <f>IF($AS25="","",INDEX('TMP Paste'!$B$2:$B$1601,$AS25))</f>
        <v>AWB02WM53</v>
      </c>
      <c r="B25">
        <f>IF($AS25="","",Config!$B$14)</f>
        <v>11398423</v>
      </c>
      <c r="C25" t="str">
        <f>IF($AS25="","",Config!$B$15)</f>
        <v>Corporate B2B Bundle</v>
      </c>
      <c r="D25" t="str">
        <f>IF($AS25="","",INDEX('TMP Paste'!$B$2:$B$1601,$AS25))</f>
        <v>AWB02WM53</v>
      </c>
      <c r="E25" t="str">
        <f>IF($AS25="","",Config!$B$27)</f>
        <v>STANDARD</v>
      </c>
      <c r="F25" t="str">
        <f>IF($AS25="","",Config!$B$9)</f>
        <v>PT Teknologi Medika Pratama (SwipeRx) (B2BR)</v>
      </c>
      <c r="G25" t="str">
        <f>IF($AS25="","",Config!$B$10)</f>
        <v>087733785699</v>
      </c>
      <c r="H25" t="str">
        <f>IF($AS25="","",Config!$B$11)</f>
        <v>Jl. Tugu Raya, Tugu, Kec. Cimanggis, Kota Depok, Jawa Barat 16451,KUBIK LOGISTICS - Kompleks Pergudangan,Gudang E1</v>
      </c>
      <c r="I25" t="str">
        <f>IF($AS25="","",Config!$B$16)</f>
        <v>ID</v>
      </c>
      <c r="J25" t="str">
        <f>IF($AS25="","",INDEX('TMP Paste'!$A$2:$A$1601,$AS25))</f>
        <v>Apotek Ghanim Farma Tanah Baru Beji</v>
      </c>
      <c r="K25" t="str">
        <f>IF($AS25="","",INDEX('TMP Paste'!$L$2:$L$1601,$AS25))</f>
        <v>6282285086937</v>
      </c>
      <c r="L25" t="str">
        <f>IF($AS25="","",INDEX('TMP Paste'!$I$2:$I$1601,$AS25))</f>
        <v>17924-Jl. Raden Sanim No.77 B RT 006 RW 012, Desa/Kelurahan Tanah Baru, Kec.Beji, Kota Depok</v>
      </c>
      <c r="M25" t="str">
        <f>IF($AS25="","",Config!$B$16)</f>
        <v>ID</v>
      </c>
      <c r="N25" t="str">
        <f t="shared" si="0"/>
        <v/>
      </c>
      <c r="O25" t="str">
        <f>IF($AS25="","",INDEX('TMP Paste'!$K$2:$K$1601,$AS25))</f>
        <v>Kota Depok</v>
      </c>
      <c r="P25" t="str">
        <f t="shared" si="1"/>
        <v/>
      </c>
      <c r="Q25">
        <f>IF($AS25="","",INDEX('TMP Paste'!$J$2:$J$1601,$AS25))</f>
        <v>16426</v>
      </c>
      <c r="R25" t="str">
        <f>IF($AS25="","",Config!$B$24)</f>
        <v>Delivery Note wajib ada nama penerima, ditandatangani dan distempel penerima. Jika di label tertera "SP Manual", maka dokumen SP Manual harus diminta ke penerima sesuai dengan jumlah PO yang butuh SP Manual. Apabila ada retur, catat di Delivery Note dan update ke IC</v>
      </c>
      <c r="S25" t="str">
        <f ca="1">IF($AS25="","",TEXT(Config!$B$4,"yyyy-mm-dd"))</f>
        <v>2026-08-18</v>
      </c>
      <c r="T25" t="str">
        <f>IF($AS25="","",Config!$B$17)</f>
        <v>09:00</v>
      </c>
      <c r="U25" t="str">
        <f>IF($AS25="","",Config!$B$18)</f>
        <v>22:00</v>
      </c>
      <c r="V25" t="str">
        <f>IF($AS25="","",Config!$B$19)</f>
        <v>Asia/Jakarta</v>
      </c>
      <c r="W25">
        <f>IF($AS25="","",INDEX('TMP Paste'!$C$2:$C$1601,$AS25))</f>
        <v>2.22</v>
      </c>
      <c r="X25" t="str">
        <f>IF($AS25="","",Config!$B$29)</f>
        <v>FALSE</v>
      </c>
      <c r="Y25" t="str">
        <f>IF($AT25="","",INDEX(Calc!$I$2:$I$1601,$AT25)&amp;" - "&amp;INDEX(Calc!$D$2:$D$1601,$AT25)&amp;" koli")</f>
        <v>26072803313223Ps0Z2kIHf (1), 26072803313223vSJNdDD6HK (1) - 2 koli</v>
      </c>
      <c r="Z25" t="str">
        <f>IF($AS25="","",Config!$B$21)</f>
        <v>FALSE</v>
      </c>
      <c r="AA25" t="str">
        <f>IF($AS25="","",Config!$B$22)</f>
        <v>RDO</v>
      </c>
      <c r="AB25">
        <f>IF($AT25="","",INDEX(Calc!$D$2:$D$1601,$AT25))</f>
        <v>2</v>
      </c>
      <c r="AC25" t="str">
        <f>IF($AT25="","",INDEX(Calc!$G$2:$G$1601,$AT25))</f>
        <v>26072803313223Ps0Z2kIHf-01, 26072803313223vSJNdDD6HK-02</v>
      </c>
      <c r="AD25">
        <f>IF($AS25="","",Config!$B$23)</f>
        <v>0</v>
      </c>
      <c r="AE25">
        <f>IF($AS25="","",Config!$B$28)</f>
        <v>1</v>
      </c>
      <c r="AF25">
        <f t="shared" si="2"/>
        <v>10</v>
      </c>
      <c r="AG25">
        <f t="shared" si="3"/>
        <v>45.85</v>
      </c>
      <c r="AH25">
        <f t="shared" si="4"/>
        <v>10</v>
      </c>
      <c r="AI25">
        <f>IF($AG25="","",SUMIF($AG$2:$AG25,$AG25,$AH$2:$AH25))</f>
        <v>10</v>
      </c>
      <c r="AJ25" t="str">
        <f>IF('TMP Paste'!$F25="","",IF('TMP Paste'!$B25="",$AJ24,'TMP Paste'!$B25))</f>
        <v/>
      </c>
      <c r="AK25" t="str">
        <f>IF('TMP Paste'!$F25="","",N('TMP Paste'!$G25))</f>
        <v/>
      </c>
      <c r="AL25" t="str">
        <f>IF('TMP Paste'!$F25="","",IF('TMP Paste'!$M25="",$AL24,'TMP Paste'!$M25))</f>
        <v/>
      </c>
      <c r="AM25" t="str">
        <f>IF('TMP Paste'!$F25="","",IF('TMP Paste'!$N25="",$AM24,'TMP Paste'!$N25))</f>
        <v/>
      </c>
      <c r="AN25" t="str">
        <f>IF('TMP Paste'!$F25="","",IF('TMP Paste'!$O25="",$AN24,'TMP Paste'!$O25))</f>
        <v/>
      </c>
      <c r="AO25" t="str">
        <f>IF('TMP Paste'!$F25="","",IF('TMP Paste'!$P25="",$AO24,'TMP Paste'!$P25))</f>
        <v/>
      </c>
      <c r="AP25">
        <f t="shared" si="5"/>
        <v>266</v>
      </c>
      <c r="AQ25" t="str">
        <f>IF($AS25="","",TRIM(IF(COUNTIFS(Calc!$B$2:$B$1601,ROW()-1,Calc!$C$2:$C$1601,"&lt;1")&gt;0,"Ada PO tanpa Koli - cek TMP. ","")&amp;IF(OR($AU25="",$AU25&lt;=0),"Volume kosong/0 - dimensi dikosongkan. ","")&amp;IF(AND($AU25&lt;&gt;"",$AU25&gt;=1000000),"Volume &gt;= 1.000.000 cm3 (di luar aturan) - dimensi dikosongkan. ","")&amp;IF(LEN($R25)&gt;500,"R &gt; 500 karakter.","")))</f>
        <v/>
      </c>
      <c r="AS25">
        <f>IFERROR(MATCH(ROW()-1,Calc!$J$2:$J$1601,0),"")</f>
        <v>51</v>
      </c>
      <c r="AT25">
        <f>IFERROR(MATCH(ROW()-1,Calc!$K$2:$K$1601,0),"")</f>
        <v>52</v>
      </c>
      <c r="AU25">
        <f>IF($AS25="","",IFERROR(INDEX('TMP Paste'!$D$2:$D$1601,$AS25)*1000000/$AB25,""))</f>
        <v>4585</v>
      </c>
    </row>
    <row r="26" spans="1:47">
      <c r="A26" t="str">
        <f>IF($AS26="","",INDEX('TMP Paste'!$B$2:$B$1601,$AS26))</f>
        <v>AWB02WMFG</v>
      </c>
      <c r="B26">
        <f>IF($AS26="","",Config!$B$14)</f>
        <v>11398423</v>
      </c>
      <c r="C26" t="str">
        <f>IF($AS26="","",Config!$B$15)</f>
        <v>Corporate B2B Bundle</v>
      </c>
      <c r="D26" t="str">
        <f>IF($AS26="","",INDEX('TMP Paste'!$B$2:$B$1601,$AS26))</f>
        <v>AWB02WMFG</v>
      </c>
      <c r="E26" t="str">
        <f>IF($AS26="","",Config!$B$27)</f>
        <v>STANDARD</v>
      </c>
      <c r="F26" t="str">
        <f>IF($AS26="","",Config!$B$9)</f>
        <v>PT Teknologi Medika Pratama (SwipeRx) (B2BR)</v>
      </c>
      <c r="G26" t="str">
        <f>IF($AS26="","",Config!$B$10)</f>
        <v>087733785699</v>
      </c>
      <c r="H26" t="str">
        <f>IF($AS26="","",Config!$B$11)</f>
        <v>Jl. Tugu Raya, Tugu, Kec. Cimanggis, Kota Depok, Jawa Barat 16451,KUBIK LOGISTICS - Kompleks Pergudangan,Gudang E1</v>
      </c>
      <c r="I26" t="str">
        <f>IF($AS26="","",Config!$B$16)</f>
        <v>ID</v>
      </c>
      <c r="J26" t="str">
        <f>IF($AS26="","",INDEX('TMP Paste'!$A$2:$A$1601,$AS26))</f>
        <v>Apotek GM Pharma Cipayung Cipayung</v>
      </c>
      <c r="K26" t="str">
        <f>IF($AS26="","",INDEX('TMP Paste'!$L$2:$L$1601,$AS26))</f>
        <v>6287882243635</v>
      </c>
      <c r="L26" t="str">
        <f>IF($AS26="","",INDEX('TMP Paste'!$I$2:$I$1601,$AS26))</f>
        <v>15649-Jl. Raya Setu Cipayung No. 17C, Desa/Kelurahan Cipayung, Kec. Cipayung, Kota Adm. Jakarta Timur</v>
      </c>
      <c r="M26" t="str">
        <f>IF($AS26="","",Config!$B$16)</f>
        <v>ID</v>
      </c>
      <c r="N26" t="str">
        <f t="shared" si="0"/>
        <v/>
      </c>
      <c r="O26" t="str">
        <f>IF($AS26="","",INDEX('TMP Paste'!$K$2:$K$1601,$AS26))</f>
        <v>Kota Jakarta Timur</v>
      </c>
      <c r="P26" t="str">
        <f t="shared" si="1"/>
        <v/>
      </c>
      <c r="Q26">
        <f>IF($AS26="","",INDEX('TMP Paste'!$J$2:$J$1601,$AS26))</f>
        <v>13840</v>
      </c>
      <c r="R26" t="str">
        <f>IF($AS26="","",Config!$B$24)</f>
        <v>Delivery Note wajib ada nama penerima, ditandatangani dan distempel penerima. Jika di label tertera "SP Manual", maka dokumen SP Manual harus diminta ke penerima sesuai dengan jumlah PO yang butuh SP Manual. Apabila ada retur, catat di Delivery Note dan update ke IC</v>
      </c>
      <c r="S26" t="str">
        <f ca="1">IF($AS26="","",TEXT(Config!$B$4,"yyyy-mm-dd"))</f>
        <v>2026-08-18</v>
      </c>
      <c r="T26" t="str">
        <f>IF($AS26="","",Config!$B$17)</f>
        <v>09:00</v>
      </c>
      <c r="U26" t="str">
        <f>IF($AS26="","",Config!$B$18)</f>
        <v>22:00</v>
      </c>
      <c r="V26" t="str">
        <f>IF($AS26="","",Config!$B$19)</f>
        <v>Asia/Jakarta</v>
      </c>
      <c r="W26">
        <f>IF($AS26="","",INDEX('TMP Paste'!$C$2:$C$1601,$AS26))</f>
        <v>1.23</v>
      </c>
      <c r="X26" t="str">
        <f>IF($AS26="","",Config!$B$29)</f>
        <v>FALSE</v>
      </c>
      <c r="Y26" t="str">
        <f>IF($AT26="","",INDEX(Calc!$I$2:$I$1601,$AT26)&amp;" - "&amp;INDEX(Calc!$D$2:$D$1601,$AT26)&amp;" koli")</f>
        <v>26072803595231IFhVy7FfL (1), 26072803595231KnRYgpyZ8 (2), 26072803595231q7AHq7ty9T (1) - 4 koli</v>
      </c>
      <c r="Z26" t="str">
        <f>IF($AS26="","",Config!$B$21)</f>
        <v>FALSE</v>
      </c>
      <c r="AA26" t="str">
        <f>IF($AS26="","",Config!$B$22)</f>
        <v>RDO</v>
      </c>
      <c r="AB26">
        <f>IF($AT26="","",INDEX(Calc!$D$2:$D$1601,$AT26))</f>
        <v>4</v>
      </c>
      <c r="AC26" t="str">
        <f>IF($AT26="","",INDEX(Calc!$G$2:$G$1601,$AT26))</f>
        <v>26072803595231IFhVy7FfL-01, 26072803595231KnRYgpyZ8-02, 26072803595231KnRYgpyZ8-03, 26072803595231q7AHq7ty9T-04</v>
      </c>
      <c r="AD26">
        <f>IF($AS26="","",Config!$B$23)</f>
        <v>0</v>
      </c>
      <c r="AE26">
        <f>IF($AS26="","",Config!$B$28)</f>
        <v>1</v>
      </c>
      <c r="AF26">
        <f t="shared" si="2"/>
        <v>10</v>
      </c>
      <c r="AG26">
        <f t="shared" si="3"/>
        <v>38.605</v>
      </c>
      <c r="AH26">
        <f t="shared" si="4"/>
        <v>10</v>
      </c>
      <c r="AI26">
        <f>IF($AG26="","",SUMIF($AG$2:$AG26,$AG26,$AH$2:$AH26))</f>
        <v>10</v>
      </c>
      <c r="AJ26" t="str">
        <f>IF('TMP Paste'!$F26="","",IF('TMP Paste'!$B26="",$AJ25,'TMP Paste'!$B26))</f>
        <v/>
      </c>
      <c r="AK26" t="str">
        <f>IF('TMP Paste'!$F26="","",N('TMP Paste'!$G26))</f>
        <v/>
      </c>
      <c r="AL26" t="str">
        <f>IF('TMP Paste'!$F26="","",IF('TMP Paste'!$M26="",$AL25,'TMP Paste'!$M26))</f>
        <v/>
      </c>
      <c r="AM26" t="str">
        <f>IF('TMP Paste'!$F26="","",IF('TMP Paste'!$N26="",$AM25,'TMP Paste'!$N26))</f>
        <v/>
      </c>
      <c r="AN26" t="str">
        <f>IF('TMP Paste'!$F26="","",IF('TMP Paste'!$O26="",$AN25,'TMP Paste'!$O26))</f>
        <v/>
      </c>
      <c r="AO26" t="str">
        <f>IF('TMP Paste'!$F26="","",IF('TMP Paste'!$P26="",$AO25,'TMP Paste'!$P26))</f>
        <v/>
      </c>
      <c r="AP26">
        <f t="shared" si="5"/>
        <v>266</v>
      </c>
      <c r="AQ26" t="str">
        <f>IF($AS26="","",TRIM(IF(COUNTIFS(Calc!$B$2:$B$1601,ROW()-1,Calc!$C$2:$C$1601,"&lt;1")&gt;0,"Ada PO tanpa Koli - cek TMP. ","")&amp;IF(OR($AU26="",$AU26&lt;=0),"Volume kosong/0 - dimensi dikosongkan. ","")&amp;IF(AND($AU26&lt;&gt;"",$AU26&gt;=1000000),"Volume &gt;= 1.000.000 cm3 (di luar aturan) - dimensi dikosongkan. ","")&amp;IF(LEN($R26)&gt;500,"R &gt; 500 karakter.","")))</f>
        <v/>
      </c>
      <c r="AS26">
        <f>IFERROR(MATCH(ROW()-1,Calc!$J$2:$J$1601,0),"")</f>
        <v>53</v>
      </c>
      <c r="AT26">
        <f>IFERROR(MATCH(ROW()-1,Calc!$K$2:$K$1601,0),"")</f>
        <v>55</v>
      </c>
      <c r="AU26">
        <f>IF($AS26="","",IFERROR(INDEX('TMP Paste'!$D$2:$D$1601,$AS26)*1000000/$AB26,""))</f>
        <v>3860.5</v>
      </c>
    </row>
    <row r="27" spans="1:47">
      <c r="A27" t="str">
        <f>IF($AS27="","",INDEX('TMP Paste'!$B$2:$B$1601,$AS27))</f>
        <v>AWB02WJCE</v>
      </c>
      <c r="B27">
        <f>IF($AS27="","",Config!$B$14)</f>
        <v>11398423</v>
      </c>
      <c r="C27" t="str">
        <f>IF($AS27="","",Config!$B$15)</f>
        <v>Corporate B2B Bundle</v>
      </c>
      <c r="D27" t="str">
        <f>IF($AS27="","",INDEX('TMP Paste'!$B$2:$B$1601,$AS27))</f>
        <v>AWB02WJCE</v>
      </c>
      <c r="E27" t="str">
        <f>IF($AS27="","",Config!$B$27)</f>
        <v>STANDARD</v>
      </c>
      <c r="F27" t="str">
        <f>IF($AS27="","",Config!$B$9)</f>
        <v>PT Teknologi Medika Pratama (SwipeRx) (B2BR)</v>
      </c>
      <c r="G27" t="str">
        <f>IF($AS27="","",Config!$B$10)</f>
        <v>087733785699</v>
      </c>
      <c r="H27" t="str">
        <f>IF($AS27="","",Config!$B$11)</f>
        <v>Jl. Tugu Raya, Tugu, Kec. Cimanggis, Kota Depok, Jawa Barat 16451,KUBIK LOGISTICS - Kompleks Pergudangan,Gudang E1</v>
      </c>
      <c r="I27" t="str">
        <f>IF($AS27="","",Config!$B$16)</f>
        <v>ID</v>
      </c>
      <c r="J27" t="str">
        <f>IF($AS27="","",INDEX('TMP Paste'!$A$2:$A$1601,$AS27))</f>
        <v>Apotek GMF Farma Depok Pancoran Mas</v>
      </c>
      <c r="K27" t="str">
        <f>IF($AS27="","",INDEX('TMP Paste'!$L$2:$L$1601,$AS27))</f>
        <v>6281311908068</v>
      </c>
      <c r="L27" t="str">
        <f>IF($AS27="","",INDEX('TMP Paste'!$I$2:$I$1601,$AS27))</f>
        <v>16693-Jl. Siliwangi No. 065 Rt. 001 Rw. 010 Kelurahan Depok Jaya, Kecamatan Pancoran Mas Kota Depok</v>
      </c>
      <c r="M27" t="str">
        <f>IF($AS27="","",Config!$B$16)</f>
        <v>ID</v>
      </c>
      <c r="N27" t="str">
        <f t="shared" si="0"/>
        <v/>
      </c>
      <c r="O27" t="str">
        <f>IF($AS27="","",INDEX('TMP Paste'!$K$2:$K$1601,$AS27))</f>
        <v>Kota Depok</v>
      </c>
      <c r="P27" t="str">
        <f t="shared" si="1"/>
        <v/>
      </c>
      <c r="Q27">
        <f>IF($AS27="","",INDEX('TMP Paste'!$J$2:$J$1601,$AS27))</f>
        <v>16432</v>
      </c>
      <c r="R27" t="str">
        <f>IF($AS27="","",Config!$B$24)</f>
        <v>Delivery Note wajib ada nama penerima, ditandatangani dan distempel penerima. Jika di label tertera "SP Manual", maka dokumen SP Manual harus diminta ke penerima sesuai dengan jumlah PO yang butuh SP Manual. Apabila ada retur, catat di Delivery Note dan update ke IC</v>
      </c>
      <c r="S27" t="str">
        <f ca="1">IF($AS27="","",TEXT(Config!$B$4,"yyyy-mm-dd"))</f>
        <v>2026-08-18</v>
      </c>
      <c r="T27" t="str">
        <f>IF($AS27="","",Config!$B$17)</f>
        <v>09:00</v>
      </c>
      <c r="U27" t="str">
        <f>IF($AS27="","",Config!$B$18)</f>
        <v>22:00</v>
      </c>
      <c r="V27" t="str">
        <f>IF($AS27="","",Config!$B$19)</f>
        <v>Asia/Jakarta</v>
      </c>
      <c r="W27">
        <f>IF($AS27="","",INDEX('TMP Paste'!$C$2:$C$1601,$AS27))</f>
        <v>2.23</v>
      </c>
      <c r="X27" t="str">
        <f>IF($AS27="","",Config!$B$29)</f>
        <v>FALSE</v>
      </c>
      <c r="Y27" t="str">
        <f>IF($AT27="","",INDEX(Calc!$I$2:$I$1601,$AT27)&amp;" - "&amp;INDEX(Calc!$D$2:$D$1601,$AT27)&amp;" koli")</f>
        <v>260727083612480BwhS7OPy (1), 26072708361248hJgpwuitfd (1), 26072708361248qXuEbCMerV (1) - 3 koli</v>
      </c>
      <c r="Z27" t="str">
        <f>IF($AS27="","",Config!$B$21)</f>
        <v>FALSE</v>
      </c>
      <c r="AA27" t="str">
        <f>IF($AS27="","",Config!$B$22)</f>
        <v>RDO</v>
      </c>
      <c r="AB27">
        <f>IF($AT27="","",INDEX(Calc!$D$2:$D$1601,$AT27))</f>
        <v>3</v>
      </c>
      <c r="AC27" t="str">
        <f>IF($AT27="","",INDEX(Calc!$G$2:$G$1601,$AT27))</f>
        <v>260727083612480BwhS7OPy-01, 26072708361248hJgpwuitfd-02, 26072708361248qXuEbCMerV-03</v>
      </c>
      <c r="AD27">
        <f>IF($AS27="","",Config!$B$23)</f>
        <v>0</v>
      </c>
      <c r="AE27">
        <f>IF($AS27="","",Config!$B$28)</f>
        <v>1</v>
      </c>
      <c r="AF27">
        <f t="shared" si="2"/>
        <v>10</v>
      </c>
      <c r="AG27">
        <f t="shared" si="3"/>
        <v>24.1233333333333</v>
      </c>
      <c r="AH27">
        <f t="shared" si="4"/>
        <v>10</v>
      </c>
      <c r="AI27">
        <f>IF($AG27="","",SUMIF($AG$2:$AG27,$AG27,$AH$2:$AH27))</f>
        <v>10</v>
      </c>
      <c r="AJ27" t="str">
        <f>IF('TMP Paste'!$F27="","",IF('TMP Paste'!$B27="",$AJ26,'TMP Paste'!$B27))</f>
        <v>AWB02WJMZ</v>
      </c>
      <c r="AK27">
        <f>IF('TMP Paste'!$F27="","",N('TMP Paste'!$G27))</f>
        <v>0</v>
      </c>
      <c r="AL27">
        <f>IF('TMP Paste'!$F27="","",IF('TMP Paste'!$M27="",$AL26,'TMP Paste'!$M27))</f>
        <v>1</v>
      </c>
      <c r="AM27" t="str">
        <f>IF('TMP Paste'!$F27="","",IF('TMP Paste'!$N27="",$AM26,'TMP Paste'!$N27))</f>
        <v/>
      </c>
      <c r="AN27" t="str">
        <f>IF('TMP Paste'!$F27="","",IF('TMP Paste'!$O27="",$AN26,'TMP Paste'!$O27))</f>
        <v/>
      </c>
      <c r="AO27" t="str">
        <f>IF('TMP Paste'!$F27="","",IF('TMP Paste'!$P27="",$AO26,'TMP Paste'!$P27))</f>
        <v/>
      </c>
      <c r="AP27">
        <f t="shared" si="5"/>
        <v>266</v>
      </c>
      <c r="AQ27" t="str">
        <f>IF($AS27="","",TRIM(IF(COUNTIFS(Calc!$B$2:$B$1601,ROW()-1,Calc!$C$2:$C$1601,"&lt;1")&gt;0,"Ada PO tanpa Koli - cek TMP. ","")&amp;IF(OR($AU27="",$AU27&lt;=0),"Volume kosong/0 - dimensi dikosongkan. ","")&amp;IF(AND($AU27&lt;&gt;"",$AU27&gt;=1000000),"Volume &gt;= 1.000.000 cm3 (di luar aturan) - dimensi dikosongkan. ","")&amp;IF(LEN($R27)&gt;500,"R &gt; 500 karakter.","")))</f>
        <v/>
      </c>
      <c r="AS27">
        <f>IFERROR(MATCH(ROW()-1,Calc!$J$2:$J$1601,0),"")</f>
        <v>56</v>
      </c>
      <c r="AT27">
        <f>IFERROR(MATCH(ROW()-1,Calc!$K$2:$K$1601,0),"")</f>
        <v>58</v>
      </c>
      <c r="AU27">
        <f>IF($AS27="","",IFERROR(INDEX('TMP Paste'!$D$2:$D$1601,$AS27)*1000000/$AB27,""))</f>
        <v>2412.33333333333</v>
      </c>
    </row>
    <row r="28" spans="1:47">
      <c r="A28" t="str">
        <f>IF($AS28="","",INDEX('TMP Paste'!$B$2:$B$1601,$AS28))</f>
        <v>AWB02WKJS</v>
      </c>
      <c r="B28">
        <f>IF($AS28="","",Config!$B$14)</f>
        <v>11398423</v>
      </c>
      <c r="C28" t="str">
        <f>IF($AS28="","",Config!$B$15)</f>
        <v>Corporate B2B Bundle</v>
      </c>
      <c r="D28" t="str">
        <f>IF($AS28="","",INDEX('TMP Paste'!$B$2:$B$1601,$AS28))</f>
        <v>AWB02WKJS</v>
      </c>
      <c r="E28" t="str">
        <f>IF($AS28="","",Config!$B$27)</f>
        <v>STANDARD</v>
      </c>
      <c r="F28" t="str">
        <f>IF($AS28="","",Config!$B$9)</f>
        <v>PT Teknologi Medika Pratama (SwipeRx) (B2BR)</v>
      </c>
      <c r="G28" t="str">
        <f>IF($AS28="","",Config!$B$10)</f>
        <v>087733785699</v>
      </c>
      <c r="H28" t="str">
        <f>IF($AS28="","",Config!$B$11)</f>
        <v>Jl. Tugu Raya, Tugu, Kec. Cimanggis, Kota Depok, Jawa Barat 16451,KUBIK LOGISTICS - Kompleks Pergudangan,Gudang E1</v>
      </c>
      <c r="I28" t="str">
        <f>IF($AS28="","",Config!$B$16)</f>
        <v>ID</v>
      </c>
      <c r="J28" t="str">
        <f>IF($AS28="","",INDEX('TMP Paste'!$A$2:$A$1601,$AS28))</f>
        <v>Apotek Golden 7952</v>
      </c>
      <c r="K28" t="str">
        <f>IF($AS28="","",INDEX('TMP Paste'!$L$2:$L$1601,$AS28))</f>
        <v>81380247863</v>
      </c>
      <c r="L28" t="str">
        <f>IF($AS28="","",INDEX('TMP Paste'!$I$2:$I$1601,$AS28))</f>
        <v>7952-Jl. Bakti Abri No. 41C RT. 04 RW. 8 Kel. Sukamaju Baru, Kec. Tapos Kota Depok 16462</v>
      </c>
      <c r="M28" t="str">
        <f>IF($AS28="","",Config!$B$16)</f>
        <v>ID</v>
      </c>
      <c r="N28" t="str">
        <f t="shared" si="0"/>
        <v/>
      </c>
      <c r="O28" t="str">
        <f>IF($AS28="","",INDEX('TMP Paste'!$K$2:$K$1601,$AS28))</f>
        <v>Kota Depok</v>
      </c>
      <c r="P28" t="str">
        <f t="shared" si="1"/>
        <v/>
      </c>
      <c r="Q28">
        <f>IF($AS28="","",INDEX('TMP Paste'!$J$2:$J$1601,$AS28))</f>
        <v>16462</v>
      </c>
      <c r="R28" t="str">
        <f>IF($AS28="","",Config!$B$24)</f>
        <v>Delivery Note wajib ada nama penerima, ditandatangani dan distempel penerima. Jika di label tertera "SP Manual", maka dokumen SP Manual harus diminta ke penerima sesuai dengan jumlah PO yang butuh SP Manual. Apabila ada retur, catat di Delivery Note dan update ke IC</v>
      </c>
      <c r="S28" t="str">
        <f ca="1">IF($AS28="","",TEXT(Config!$B$4,"yyyy-mm-dd"))</f>
        <v>2026-08-18</v>
      </c>
      <c r="T28" t="str">
        <f>IF($AS28="","",Config!$B$17)</f>
        <v>09:00</v>
      </c>
      <c r="U28" t="str">
        <f>IF($AS28="","",Config!$B$18)</f>
        <v>22:00</v>
      </c>
      <c r="V28" t="str">
        <f>IF($AS28="","",Config!$B$19)</f>
        <v>Asia/Jakarta</v>
      </c>
      <c r="W28">
        <f>IF($AS28="","",INDEX('TMP Paste'!$C$2:$C$1601,$AS28))</f>
        <v>1.04</v>
      </c>
      <c r="X28" t="str">
        <f>IF($AS28="","",Config!$B$29)</f>
        <v>FALSE</v>
      </c>
      <c r="Y28" t="str">
        <f>IF($AT28="","",INDEX(Calc!$I$2:$I$1601,$AT28)&amp;" - "&amp;INDEX(Calc!$D$2:$D$1601,$AT28)&amp;" koli")</f>
        <v>26072801031567Hp24HoWZF (1) - 1 koli</v>
      </c>
      <c r="Z28" t="str">
        <f>IF($AS28="","",Config!$B$21)</f>
        <v>FALSE</v>
      </c>
      <c r="AA28" t="str">
        <f>IF($AS28="","",Config!$B$22)</f>
        <v>RDO</v>
      </c>
      <c r="AB28">
        <f>IF($AT28="","",INDEX(Calc!$D$2:$D$1601,$AT28))</f>
        <v>1</v>
      </c>
      <c r="AC28" t="str">
        <f>IF($AT28="","",INDEX(Calc!$G$2:$G$1601,$AT28))</f>
        <v>26072801031567Hp24HoWZF-01</v>
      </c>
      <c r="AD28">
        <f>IF($AS28="","",Config!$B$23)</f>
        <v>0</v>
      </c>
      <c r="AE28">
        <f>IF($AS28="","",Config!$B$28)</f>
        <v>1</v>
      </c>
      <c r="AF28">
        <f t="shared" si="2"/>
        <v>10</v>
      </c>
      <c r="AG28">
        <f t="shared" si="3"/>
        <v>31.74</v>
      </c>
      <c r="AH28">
        <f t="shared" si="4"/>
        <v>10</v>
      </c>
      <c r="AI28">
        <f>IF($AG28="","",SUMIF($AG$2:$AG28,$AG28,$AH$2:$AH28))</f>
        <v>10</v>
      </c>
      <c r="AJ28" t="str">
        <f>IF('TMP Paste'!$F28="","",IF('TMP Paste'!$B28="",$AJ27,'TMP Paste'!$B28))</f>
        <v/>
      </c>
      <c r="AK28" t="str">
        <f>IF('TMP Paste'!$F28="","",N('TMP Paste'!$G28))</f>
        <v/>
      </c>
      <c r="AL28" t="str">
        <f>IF('TMP Paste'!$F28="","",IF('TMP Paste'!$M28="",$AL27,'TMP Paste'!$M28))</f>
        <v/>
      </c>
      <c r="AM28" t="str">
        <f>IF('TMP Paste'!$F28="","",IF('TMP Paste'!$N28="",$AM27,'TMP Paste'!$N28))</f>
        <v/>
      </c>
      <c r="AN28" t="str">
        <f>IF('TMP Paste'!$F28="","",IF('TMP Paste'!$O28="",$AN27,'TMP Paste'!$O28))</f>
        <v/>
      </c>
      <c r="AO28" t="str">
        <f>IF('TMP Paste'!$F28="","",IF('TMP Paste'!$P28="",$AO27,'TMP Paste'!$P28))</f>
        <v/>
      </c>
      <c r="AP28">
        <f t="shared" si="5"/>
        <v>266</v>
      </c>
      <c r="AQ28" t="str">
        <f>IF($AS28="","",TRIM(IF(COUNTIFS(Calc!$B$2:$B$1601,ROW()-1,Calc!$C$2:$C$1601,"&lt;1")&gt;0,"Ada PO tanpa Koli - cek TMP. ","")&amp;IF(OR($AU28="",$AU28&lt;=0),"Volume kosong/0 - dimensi dikosongkan. ","")&amp;IF(AND($AU28&lt;&gt;"",$AU28&gt;=1000000),"Volume &gt;= 1.000.000 cm3 (di luar aturan) - dimensi dikosongkan. ","")&amp;IF(LEN($R28)&gt;500,"R &gt; 500 karakter.","")))</f>
        <v/>
      </c>
      <c r="AS28">
        <f>IFERROR(MATCH(ROW()-1,Calc!$J$2:$J$1601,0),"")</f>
        <v>59</v>
      </c>
      <c r="AT28">
        <f>IFERROR(MATCH(ROW()-1,Calc!$K$2:$K$1601,0),"")</f>
        <v>59</v>
      </c>
      <c r="AU28">
        <f>IF($AS28="","",IFERROR(INDEX('TMP Paste'!$D$2:$D$1601,$AS28)*1000000/$AB28,""))</f>
        <v>3174</v>
      </c>
    </row>
    <row r="29" spans="1:47">
      <c r="A29" t="str">
        <f>IF($AS29="","",INDEX('TMP Paste'!$B$2:$B$1601,$AS29))</f>
        <v>AWB02WJZ8</v>
      </c>
      <c r="B29">
        <f>IF($AS29="","",Config!$B$14)</f>
        <v>11398423</v>
      </c>
      <c r="C29" t="str">
        <f>IF($AS29="","",Config!$B$15)</f>
        <v>Corporate B2B Bundle</v>
      </c>
      <c r="D29" t="str">
        <f>IF($AS29="","",INDEX('TMP Paste'!$B$2:$B$1601,$AS29))</f>
        <v>AWB02WJZ8</v>
      </c>
      <c r="E29" t="str">
        <f>IF($AS29="","",Config!$B$27)</f>
        <v>STANDARD</v>
      </c>
      <c r="F29" t="str">
        <f>IF($AS29="","",Config!$B$9)</f>
        <v>PT Teknologi Medika Pratama (SwipeRx) (B2BR)</v>
      </c>
      <c r="G29" t="str">
        <f>IF($AS29="","",Config!$B$10)</f>
        <v>087733785699</v>
      </c>
      <c r="H29" t="str">
        <f>IF($AS29="","",Config!$B$11)</f>
        <v>Jl. Tugu Raya, Tugu, Kec. Cimanggis, Kota Depok, Jawa Barat 16451,KUBIK LOGISTICS - Kompleks Pergudangan,Gudang E1</v>
      </c>
      <c r="I29" t="str">
        <f>IF($AS29="","",Config!$B$16)</f>
        <v>ID</v>
      </c>
      <c r="J29" t="str">
        <f>IF($AS29="","",INDEX('TMP Paste'!$A$2:$A$1601,$AS29))</f>
        <v>Apotek Hanna Farma</v>
      </c>
      <c r="K29" t="str">
        <f>IF($AS29="","",INDEX('TMP Paste'!$L$2:$L$1601,$AS29))</f>
        <v>85691174363</v>
      </c>
      <c r="L29" t="str">
        <f>IF($AS29="","",INDEX('TMP Paste'!$I$2:$I$1601,$AS29))</f>
        <v>4082-Ruko Golden Land Kav 2 Jl. Kemangsari RT 018 RW 007 Kelurahan Jatibening Kecamatan Pondok Gede Kota Bekasi 17412</v>
      </c>
      <c r="M29" t="str">
        <f>IF($AS29="","",Config!$B$16)</f>
        <v>ID</v>
      </c>
      <c r="N29" t="str">
        <f t="shared" si="0"/>
        <v/>
      </c>
      <c r="O29" t="str">
        <f>IF($AS29="","",INDEX('TMP Paste'!$K$2:$K$1601,$AS29))</f>
        <v>Kota Bekasi</v>
      </c>
      <c r="P29" t="str">
        <f t="shared" si="1"/>
        <v/>
      </c>
      <c r="Q29">
        <f>IF($AS29="","",INDEX('TMP Paste'!$J$2:$J$1601,$AS29))</f>
        <v>17412</v>
      </c>
      <c r="R29" t="str">
        <f>IF($AS29="","",Config!$B$24)</f>
        <v>Delivery Note wajib ada nama penerima, ditandatangani dan distempel penerima. Jika di label tertera "SP Manual", maka dokumen SP Manual harus diminta ke penerima sesuai dengan jumlah PO yang butuh SP Manual. Apabila ada retur, catat di Delivery Note dan update ke IC</v>
      </c>
      <c r="S29" t="str">
        <f ca="1">IF($AS29="","",TEXT(Config!$B$4,"yyyy-mm-dd"))</f>
        <v>2026-08-18</v>
      </c>
      <c r="T29" t="str">
        <f>IF($AS29="","",Config!$B$17)</f>
        <v>09:00</v>
      </c>
      <c r="U29" t="str">
        <f>IF($AS29="","",Config!$B$18)</f>
        <v>22:00</v>
      </c>
      <c r="V29" t="str">
        <f>IF($AS29="","",Config!$B$19)</f>
        <v>Asia/Jakarta</v>
      </c>
      <c r="W29">
        <f>IF($AS29="","",INDEX('TMP Paste'!$C$2:$C$1601,$AS29))</f>
        <v>0.79</v>
      </c>
      <c r="X29" t="str">
        <f>IF($AS29="","",Config!$B$29)</f>
        <v>FALSE</v>
      </c>
      <c r="Y29" t="str">
        <f>IF($AT29="","",INDEX(Calc!$I$2:$I$1601,$AT29)&amp;" - "&amp;INDEX(Calc!$D$2:$D$1601,$AT29)&amp;" koli")</f>
        <v>26072714525639O5nHEBIMW (1), 26072714525639WMgyKzlcO2 (1) - 2 koli</v>
      </c>
      <c r="Z29" t="str">
        <f>IF($AS29="","",Config!$B$21)</f>
        <v>FALSE</v>
      </c>
      <c r="AA29" t="str">
        <f>IF($AS29="","",Config!$B$22)</f>
        <v>RDO</v>
      </c>
      <c r="AB29">
        <f>IF($AT29="","",INDEX(Calc!$D$2:$D$1601,$AT29))</f>
        <v>2</v>
      </c>
      <c r="AC29" t="str">
        <f>IF($AT29="","",INDEX(Calc!$G$2:$G$1601,$AT29))</f>
        <v>26072714525639O5nHEBIMW-01, 26072714525639WMgyKzlcO2-02</v>
      </c>
      <c r="AD29">
        <f>IF($AS29="","",Config!$B$23)</f>
        <v>0</v>
      </c>
      <c r="AE29">
        <f>IF($AS29="","",Config!$B$28)</f>
        <v>1</v>
      </c>
      <c r="AF29">
        <f t="shared" si="2"/>
        <v>10</v>
      </c>
      <c r="AG29">
        <f t="shared" si="3"/>
        <v>21.1</v>
      </c>
      <c r="AH29">
        <f t="shared" si="4"/>
        <v>10</v>
      </c>
      <c r="AI29">
        <f>IF($AG29="","",SUMIF($AG$2:$AG29,$AG29,$AH$2:$AH29))</f>
        <v>10</v>
      </c>
      <c r="AJ29" t="str">
        <f>IF('TMP Paste'!$F29="","",IF('TMP Paste'!$B29="",$AJ28,'TMP Paste'!$B29))</f>
        <v/>
      </c>
      <c r="AK29" t="str">
        <f>IF('TMP Paste'!$F29="","",N('TMP Paste'!$G29))</f>
        <v/>
      </c>
      <c r="AL29" t="str">
        <f>IF('TMP Paste'!$F29="","",IF('TMP Paste'!$M29="",$AL28,'TMP Paste'!$M29))</f>
        <v/>
      </c>
      <c r="AM29" t="str">
        <f>IF('TMP Paste'!$F29="","",IF('TMP Paste'!$N29="",$AM28,'TMP Paste'!$N29))</f>
        <v/>
      </c>
      <c r="AN29" t="str">
        <f>IF('TMP Paste'!$F29="","",IF('TMP Paste'!$O29="",$AN28,'TMP Paste'!$O29))</f>
        <v/>
      </c>
      <c r="AO29" t="str">
        <f>IF('TMP Paste'!$F29="","",IF('TMP Paste'!$P29="",$AO28,'TMP Paste'!$P29))</f>
        <v/>
      </c>
      <c r="AP29">
        <f t="shared" si="5"/>
        <v>266</v>
      </c>
      <c r="AQ29" t="str">
        <f>IF($AS29="","",TRIM(IF(COUNTIFS(Calc!$B$2:$B$1601,ROW()-1,Calc!$C$2:$C$1601,"&lt;1")&gt;0,"Ada PO tanpa Koli - cek TMP. ","")&amp;IF(OR($AU29="",$AU29&lt;=0),"Volume kosong/0 - dimensi dikosongkan. ","")&amp;IF(AND($AU29&lt;&gt;"",$AU29&gt;=1000000),"Volume &gt;= 1.000.000 cm3 (di luar aturan) - dimensi dikosongkan. ","")&amp;IF(LEN($R29)&gt;500,"R &gt; 500 karakter.","")))</f>
        <v/>
      </c>
      <c r="AS29">
        <f>IFERROR(MATCH(ROW()-1,Calc!$J$2:$J$1601,0),"")</f>
        <v>60</v>
      </c>
      <c r="AT29">
        <f>IFERROR(MATCH(ROW()-1,Calc!$K$2:$K$1601,0),"")</f>
        <v>61</v>
      </c>
      <c r="AU29">
        <f>IF($AS29="","",IFERROR(INDEX('TMP Paste'!$D$2:$D$1601,$AS29)*1000000/$AB29,""))</f>
        <v>2110</v>
      </c>
    </row>
    <row r="30" spans="1:47">
      <c r="A30" t="str">
        <f>IF($AS30="","",INDEX('TMP Paste'!$B$2:$B$1601,$AS30))</f>
        <v>AWB02WHJP</v>
      </c>
      <c r="B30">
        <f>IF($AS30="","",Config!$B$14)</f>
        <v>11398423</v>
      </c>
      <c r="C30" t="str">
        <f>IF($AS30="","",Config!$B$15)</f>
        <v>Corporate B2B Bundle</v>
      </c>
      <c r="D30" t="str">
        <f>IF($AS30="","",INDEX('TMP Paste'!$B$2:$B$1601,$AS30))</f>
        <v>AWB02WHJP</v>
      </c>
      <c r="E30" t="str">
        <f>IF($AS30="","",Config!$B$27)</f>
        <v>STANDARD</v>
      </c>
      <c r="F30" t="str">
        <f>IF($AS30="","",Config!$B$9)</f>
        <v>PT Teknologi Medika Pratama (SwipeRx) (B2BR)</v>
      </c>
      <c r="G30" t="str">
        <f>IF($AS30="","",Config!$B$10)</f>
        <v>087733785699</v>
      </c>
      <c r="H30" t="str">
        <f>IF($AS30="","",Config!$B$11)</f>
        <v>Jl. Tugu Raya, Tugu, Kec. Cimanggis, Kota Depok, Jawa Barat 16451,KUBIK LOGISTICS - Kompleks Pergudangan,Gudang E1</v>
      </c>
      <c r="I30" t="str">
        <f>IF($AS30="","",Config!$B$16)</f>
        <v>ID</v>
      </c>
      <c r="J30" t="str">
        <f>IF($AS30="","",INDEX('TMP Paste'!$A$2:$A$1601,$AS30))</f>
        <v>Apotek Imani</v>
      </c>
      <c r="K30" t="str">
        <f>IF($AS30="","",INDEX('TMP Paste'!$L$2:$L$1601,$AS30))</f>
        <v>8176684929</v>
      </c>
      <c r="L30" t="str">
        <f>IF($AS30="","",INDEX('TMP Paste'!$I$2:$I$1601,$AS30))</f>
        <v>2080-Jalan  KH. M. Usman No. 17 RT 004 RW 002 Kelurahan Kukusan Kecamatan Beji Kota Depok 16425</v>
      </c>
      <c r="M30" t="str">
        <f>IF($AS30="","",Config!$B$16)</f>
        <v>ID</v>
      </c>
      <c r="N30" t="str">
        <f t="shared" si="0"/>
        <v/>
      </c>
      <c r="O30" t="str">
        <f>IF($AS30="","",INDEX('TMP Paste'!$K$2:$K$1601,$AS30))</f>
        <v>Kota Depok</v>
      </c>
      <c r="P30" t="str">
        <f t="shared" si="1"/>
        <v/>
      </c>
      <c r="Q30">
        <f>IF($AS30="","",INDEX('TMP Paste'!$J$2:$J$1601,$AS30))</f>
        <v>16425</v>
      </c>
      <c r="R30" t="str">
        <f>IF($AS30="","",Config!$B$24)</f>
        <v>Delivery Note wajib ada nama penerima, ditandatangani dan distempel penerima. Jika di label tertera "SP Manual", maka dokumen SP Manual harus diminta ke penerima sesuai dengan jumlah PO yang butuh SP Manual. Apabila ada retur, catat di Delivery Note dan update ke IC</v>
      </c>
      <c r="S30" t="str">
        <f ca="1">IF($AS30="","",TEXT(Config!$B$4,"yyyy-mm-dd"))</f>
        <v>2026-08-18</v>
      </c>
      <c r="T30" t="str">
        <f>IF($AS30="","",Config!$B$17)</f>
        <v>09:00</v>
      </c>
      <c r="U30" t="str">
        <f>IF($AS30="","",Config!$B$18)</f>
        <v>22:00</v>
      </c>
      <c r="V30" t="str">
        <f>IF($AS30="","",Config!$B$19)</f>
        <v>Asia/Jakarta</v>
      </c>
      <c r="W30">
        <f>IF($AS30="","",INDEX('TMP Paste'!$C$2:$C$1601,$AS30))</f>
        <v>2.07</v>
      </c>
      <c r="X30" t="str">
        <f>IF($AS30="","",Config!$B$29)</f>
        <v>FALSE</v>
      </c>
      <c r="Y30" t="str">
        <f>IF($AT30="","",INDEX(Calc!$I$2:$I$1601,$AT30)&amp;" - "&amp;INDEX(Calc!$D$2:$D$1601,$AT30)&amp;" koli")</f>
        <v>26072704165254LSWd1kcn9 (1), 26072801104243uTFKVy5E (1) - 2 koli</v>
      </c>
      <c r="Z30" t="str">
        <f>IF($AS30="","",Config!$B$21)</f>
        <v>FALSE</v>
      </c>
      <c r="AA30" t="str">
        <f>IF($AS30="","",Config!$B$22)</f>
        <v>RDO</v>
      </c>
      <c r="AB30">
        <f>IF($AT30="","",INDEX(Calc!$D$2:$D$1601,$AT30))</f>
        <v>2</v>
      </c>
      <c r="AC30" t="str">
        <f>IF($AT30="","",INDEX(Calc!$G$2:$G$1601,$AT30))</f>
        <v>26072704165254LSWd1kcn9-01, 26072801104243uTFKVy5E-02</v>
      </c>
      <c r="AD30">
        <f>IF($AS30="","",Config!$B$23)</f>
        <v>0</v>
      </c>
      <c r="AE30">
        <f>IF($AS30="","",Config!$B$28)</f>
        <v>1</v>
      </c>
      <c r="AF30">
        <f t="shared" si="2"/>
        <v>10</v>
      </c>
      <c r="AG30">
        <f t="shared" si="3"/>
        <v>33.95</v>
      </c>
      <c r="AH30">
        <f t="shared" si="4"/>
        <v>10</v>
      </c>
      <c r="AI30">
        <f>IF($AG30="","",SUMIF($AG$2:$AG30,$AG30,$AH$2:$AH30))</f>
        <v>10</v>
      </c>
      <c r="AJ30" t="str">
        <f>IF('TMP Paste'!$F30="","",IF('TMP Paste'!$B30="",$AJ29,'TMP Paste'!$B30))</f>
        <v>AWB02WJ03</v>
      </c>
      <c r="AK30">
        <f>IF('TMP Paste'!$F30="","",N('TMP Paste'!$G30))</f>
        <v>0</v>
      </c>
      <c r="AL30">
        <f>IF('TMP Paste'!$F30="","",IF('TMP Paste'!$M30="",$AL29,'TMP Paste'!$M30))</f>
        <v>1</v>
      </c>
      <c r="AM30" t="str">
        <f>IF('TMP Paste'!$F30="","",IF('TMP Paste'!$N30="",$AM29,'TMP Paste'!$N30))</f>
        <v/>
      </c>
      <c r="AN30" t="str">
        <f>IF('TMP Paste'!$F30="","",IF('TMP Paste'!$O30="",$AN29,'TMP Paste'!$O30))</f>
        <v/>
      </c>
      <c r="AO30" t="str">
        <f>IF('TMP Paste'!$F30="","",IF('TMP Paste'!$P30="",$AO29,'TMP Paste'!$P30))</f>
        <v/>
      </c>
      <c r="AP30">
        <f t="shared" si="5"/>
        <v>266</v>
      </c>
      <c r="AQ30" t="str">
        <f>IF($AS30="","",TRIM(IF(COUNTIFS(Calc!$B$2:$B$1601,ROW()-1,Calc!$C$2:$C$1601,"&lt;1")&gt;0,"Ada PO tanpa Koli - cek TMP. ","")&amp;IF(OR($AU30="",$AU30&lt;=0),"Volume kosong/0 - dimensi dikosongkan. ","")&amp;IF(AND($AU30&lt;&gt;"",$AU30&gt;=1000000),"Volume &gt;= 1.000.000 cm3 (di luar aturan) - dimensi dikosongkan. ","")&amp;IF(LEN($R30)&gt;500,"R &gt; 500 karakter.","")))</f>
        <v/>
      </c>
      <c r="AS30">
        <f>IFERROR(MATCH(ROW()-1,Calc!$J$2:$J$1601,0),"")</f>
        <v>62</v>
      </c>
      <c r="AT30">
        <f>IFERROR(MATCH(ROW()-1,Calc!$K$2:$K$1601,0),"")</f>
        <v>63</v>
      </c>
      <c r="AU30">
        <f>IF($AS30="","",IFERROR(INDEX('TMP Paste'!$D$2:$D$1601,$AS30)*1000000/$AB30,""))</f>
        <v>3395</v>
      </c>
    </row>
    <row r="31" spans="1:47">
      <c r="A31" t="str">
        <f>IF($AS31="","",INDEX('TMP Paste'!$B$2:$B$1601,$AS31))</f>
        <v>AWB02WLVW</v>
      </c>
      <c r="B31">
        <f>IF($AS31="","",Config!$B$14)</f>
        <v>11398423</v>
      </c>
      <c r="C31" t="str">
        <f>IF($AS31="","",Config!$B$15)</f>
        <v>Corporate B2B Bundle</v>
      </c>
      <c r="D31" t="str">
        <f>IF($AS31="","",INDEX('TMP Paste'!$B$2:$B$1601,$AS31))</f>
        <v>AWB02WLVW</v>
      </c>
      <c r="E31" t="str">
        <f>IF($AS31="","",Config!$B$27)</f>
        <v>STANDARD</v>
      </c>
      <c r="F31" t="str">
        <f>IF($AS31="","",Config!$B$9)</f>
        <v>PT Teknologi Medika Pratama (SwipeRx) (B2BR)</v>
      </c>
      <c r="G31" t="str">
        <f>IF($AS31="","",Config!$B$10)</f>
        <v>087733785699</v>
      </c>
      <c r="H31" t="str">
        <f>IF($AS31="","",Config!$B$11)</f>
        <v>Jl. Tugu Raya, Tugu, Kec. Cimanggis, Kota Depok, Jawa Barat 16451,KUBIK LOGISTICS - Kompleks Pergudangan,Gudang E1</v>
      </c>
      <c r="I31" t="str">
        <f>IF($AS31="","",Config!$B$16)</f>
        <v>ID</v>
      </c>
      <c r="J31" t="str">
        <f>IF($AS31="","",INDEX('TMP Paste'!$A$2:$A$1601,$AS31))</f>
        <v>Apotek Inofarma Asmawi Beji Beji</v>
      </c>
      <c r="K31" t="str">
        <f>IF($AS31="","",INDEX('TMP Paste'!$L$2:$L$1601,$AS31))</f>
        <v>6282266622264</v>
      </c>
      <c r="L31" t="str">
        <f>IF($AS31="","",INDEX('TMP Paste'!$I$2:$I$1601,$AS31))</f>
        <v>12478-Jl. Haji Asmawi No.62A RT 004 RW 005 Kel. Beji Kec. Beji Kota Depok</v>
      </c>
      <c r="M31" t="str">
        <f>IF($AS31="","",Config!$B$16)</f>
        <v>ID</v>
      </c>
      <c r="N31" t="str">
        <f t="shared" si="0"/>
        <v/>
      </c>
      <c r="O31" t="str">
        <f>IF($AS31="","",INDEX('TMP Paste'!$K$2:$K$1601,$AS31))</f>
        <v>Kota Depok</v>
      </c>
      <c r="P31" t="str">
        <f t="shared" si="1"/>
        <v/>
      </c>
      <c r="Q31">
        <f>IF($AS31="","",INDEX('TMP Paste'!$J$2:$J$1601,$AS31))</f>
        <v>16421</v>
      </c>
      <c r="R31" t="str">
        <f>IF($AS31="","",Config!$B$24)</f>
        <v>Delivery Note wajib ada nama penerima, ditandatangani dan distempel penerima. Jika di label tertera "SP Manual", maka dokumen SP Manual harus diminta ke penerima sesuai dengan jumlah PO yang butuh SP Manual. Apabila ada retur, catat di Delivery Note dan update ke IC</v>
      </c>
      <c r="S31" t="str">
        <f ca="1">IF($AS31="","",TEXT(Config!$B$4,"yyyy-mm-dd"))</f>
        <v>2026-08-18</v>
      </c>
      <c r="T31" t="str">
        <f>IF($AS31="","",Config!$B$17)</f>
        <v>09:00</v>
      </c>
      <c r="U31" t="str">
        <f>IF($AS31="","",Config!$B$18)</f>
        <v>22:00</v>
      </c>
      <c r="V31" t="str">
        <f>IF($AS31="","",Config!$B$19)</f>
        <v>Asia/Jakarta</v>
      </c>
      <c r="W31">
        <f>IF($AS31="","",INDEX('TMP Paste'!$C$2:$C$1601,$AS31))</f>
        <v>1.83</v>
      </c>
      <c r="X31" t="str">
        <f>IF($AS31="","",Config!$B$29)</f>
        <v>FALSE</v>
      </c>
      <c r="Y31" t="str">
        <f>IF($AT31="","",INDEX(Calc!$I$2:$I$1601,$AT31)&amp;" - "&amp;INDEX(Calc!$D$2:$D$1601,$AT31)&amp;" koli")</f>
        <v>26072803133514fSeInejt (1), 26072803133514HsGJ4oecG9 (1), 26072803133514MJHAp1LhUM (1) - 3 koli</v>
      </c>
      <c r="Z31" t="str">
        <f>IF($AS31="","",Config!$B$21)</f>
        <v>FALSE</v>
      </c>
      <c r="AA31" t="str">
        <f>IF($AS31="","",Config!$B$22)</f>
        <v>RDO</v>
      </c>
      <c r="AB31">
        <f>IF($AT31="","",INDEX(Calc!$D$2:$D$1601,$AT31))</f>
        <v>3</v>
      </c>
      <c r="AC31" t="str">
        <f>IF($AT31="","",INDEX(Calc!$G$2:$G$1601,$AT31))</f>
        <v>26072803133514fSeInejt-01, 26072803133514HsGJ4oecG9-02, 26072803133514MJHAp1LhUM-03</v>
      </c>
      <c r="AD31">
        <f>IF($AS31="","",Config!$B$23)</f>
        <v>0</v>
      </c>
      <c r="AE31">
        <f>IF($AS31="","",Config!$B$28)</f>
        <v>1</v>
      </c>
      <c r="AF31">
        <f t="shared" si="2"/>
        <v>10</v>
      </c>
      <c r="AG31">
        <f t="shared" si="3"/>
        <v>19.2233333333333</v>
      </c>
      <c r="AH31">
        <f t="shared" si="4"/>
        <v>10</v>
      </c>
      <c r="AI31">
        <f>IF($AG31="","",SUMIF($AG$2:$AG31,$AG31,$AH$2:$AH31))</f>
        <v>10</v>
      </c>
      <c r="AJ31" t="str">
        <f>IF('TMP Paste'!$F31="","",IF('TMP Paste'!$B31="",$AJ30,'TMP Paste'!$B31))</f>
        <v>AWB02WJ9T</v>
      </c>
      <c r="AK31">
        <f>IF('TMP Paste'!$F31="","",N('TMP Paste'!$G31))</f>
        <v>0</v>
      </c>
      <c r="AL31">
        <f>IF('TMP Paste'!$F31="","",IF('TMP Paste'!$M31="",$AL30,'TMP Paste'!$M31))</f>
        <v>2</v>
      </c>
      <c r="AM31" t="str">
        <f>IF('TMP Paste'!$F31="","",IF('TMP Paste'!$N31="",$AM30,'TMP Paste'!$N31))</f>
        <v/>
      </c>
      <c r="AN31" t="str">
        <f>IF('TMP Paste'!$F31="","",IF('TMP Paste'!$O31="",$AN30,'TMP Paste'!$O31))</f>
        <v/>
      </c>
      <c r="AO31" t="str">
        <f>IF('TMP Paste'!$F31="","",IF('TMP Paste'!$P31="",$AO30,'TMP Paste'!$P31))</f>
        <v/>
      </c>
      <c r="AP31">
        <f t="shared" si="5"/>
        <v>266</v>
      </c>
      <c r="AQ31" t="str">
        <f>IF($AS31="","",TRIM(IF(COUNTIFS(Calc!$B$2:$B$1601,ROW()-1,Calc!$C$2:$C$1601,"&lt;1")&gt;0,"Ada PO tanpa Koli - cek TMP. ","")&amp;IF(OR($AU31="",$AU31&lt;=0),"Volume kosong/0 - dimensi dikosongkan. ","")&amp;IF(AND($AU31&lt;&gt;"",$AU31&gt;=1000000),"Volume &gt;= 1.000.000 cm3 (di luar aturan) - dimensi dikosongkan. ","")&amp;IF(LEN($R31)&gt;500,"R &gt; 500 karakter.","")))</f>
        <v/>
      </c>
      <c r="AS31">
        <f>IFERROR(MATCH(ROW()-1,Calc!$J$2:$J$1601,0),"")</f>
        <v>64</v>
      </c>
      <c r="AT31">
        <f>IFERROR(MATCH(ROW()-1,Calc!$K$2:$K$1601,0),"")</f>
        <v>66</v>
      </c>
      <c r="AU31">
        <f>IF($AS31="","",IFERROR(INDEX('TMP Paste'!$D$2:$D$1601,$AS31)*1000000/$AB31,""))</f>
        <v>1922.33333333333</v>
      </c>
    </row>
    <row r="32" spans="1:47">
      <c r="A32" t="str">
        <f>IF($AS32="","",INDEX('TMP Paste'!$B$2:$B$1601,$AS32))</f>
        <v>AWB02WKL7</v>
      </c>
      <c r="B32">
        <f>IF($AS32="","",Config!$B$14)</f>
        <v>11398423</v>
      </c>
      <c r="C32" t="str">
        <f>IF($AS32="","",Config!$B$15)</f>
        <v>Corporate B2B Bundle</v>
      </c>
      <c r="D32" t="str">
        <f>IF($AS32="","",INDEX('TMP Paste'!$B$2:$B$1601,$AS32))</f>
        <v>AWB02WKL7</v>
      </c>
      <c r="E32" t="str">
        <f>IF($AS32="","",Config!$B$27)</f>
        <v>STANDARD</v>
      </c>
      <c r="F32" t="str">
        <f>IF($AS32="","",Config!$B$9)</f>
        <v>PT Teknologi Medika Pratama (SwipeRx) (B2BR)</v>
      </c>
      <c r="G32" t="str">
        <f>IF($AS32="","",Config!$B$10)</f>
        <v>087733785699</v>
      </c>
      <c r="H32" t="str">
        <f>IF($AS32="","",Config!$B$11)</f>
        <v>Jl. Tugu Raya, Tugu, Kec. Cimanggis, Kota Depok, Jawa Barat 16451,KUBIK LOGISTICS - Kompleks Pergudangan,Gudang E1</v>
      </c>
      <c r="I32" t="str">
        <f>IF($AS32="","",Config!$B$16)</f>
        <v>ID</v>
      </c>
      <c r="J32" t="str">
        <f>IF($AS32="","",INDEX('TMP Paste'!$A$2:$A$1601,$AS32))</f>
        <v>Apotek Jati Raden Jatiraden Jatisampurna</v>
      </c>
      <c r="K32" t="str">
        <f>IF($AS32="","",INDEX('TMP Paste'!$L$2:$L$1601,$AS32))</f>
        <v>6285715877796</v>
      </c>
      <c r="L32" t="str">
        <f>IF($AS32="","",INDEX('TMP Paste'!$I$2:$I$1601,$AS32))</f>
        <v>12602-Jalan Kranggan Kulon No. 2 RT.002 RW.009, Desa/Kelurahan Jatiraden, Kec. Jatisampurna, Kota Bekasi</v>
      </c>
      <c r="M32" t="str">
        <f>IF($AS32="","",Config!$B$16)</f>
        <v>ID</v>
      </c>
      <c r="N32" t="str">
        <f t="shared" si="0"/>
        <v/>
      </c>
      <c r="O32" t="str">
        <f>IF($AS32="","",INDEX('TMP Paste'!$K$2:$K$1601,$AS32))</f>
        <v>Kota Bekasi</v>
      </c>
      <c r="P32" t="str">
        <f t="shared" si="1"/>
        <v/>
      </c>
      <c r="Q32">
        <f>IF($AS32="","",INDEX('TMP Paste'!$J$2:$J$1601,$AS32))</f>
        <v>17433</v>
      </c>
      <c r="R32" t="str">
        <f>IF($AS32="","",Config!$B$24)</f>
        <v>Delivery Note wajib ada nama penerima, ditandatangani dan distempel penerima. Jika di label tertera "SP Manual", maka dokumen SP Manual harus diminta ke penerima sesuai dengan jumlah PO yang butuh SP Manual. Apabila ada retur, catat di Delivery Note dan update ke IC</v>
      </c>
      <c r="S32" t="str">
        <f ca="1">IF($AS32="","",TEXT(Config!$B$4,"yyyy-mm-dd"))</f>
        <v>2026-08-18</v>
      </c>
      <c r="T32" t="str">
        <f>IF($AS32="","",Config!$B$17)</f>
        <v>09:00</v>
      </c>
      <c r="U32" t="str">
        <f>IF($AS32="","",Config!$B$18)</f>
        <v>22:00</v>
      </c>
      <c r="V32" t="str">
        <f>IF($AS32="","",Config!$B$19)</f>
        <v>Asia/Jakarta</v>
      </c>
      <c r="W32">
        <f>IF($AS32="","",INDEX('TMP Paste'!$C$2:$C$1601,$AS32))</f>
        <v>4.88</v>
      </c>
      <c r="X32" t="str">
        <f>IF($AS32="","",Config!$B$29)</f>
        <v>FALSE</v>
      </c>
      <c r="Y32" t="str">
        <f>IF($AT32="","",INDEX(Calc!$I$2:$I$1601,$AT32)&amp;" - "&amp;INDEX(Calc!$D$2:$D$1601,$AT32)&amp;" koli")</f>
        <v>26072801103762I3EhQmAV9 (1) - 1 koli</v>
      </c>
      <c r="Z32" t="str">
        <f>IF($AS32="","",Config!$B$21)</f>
        <v>FALSE</v>
      </c>
      <c r="AA32" t="str">
        <f>IF($AS32="","",Config!$B$22)</f>
        <v>RDO</v>
      </c>
      <c r="AB32">
        <f>IF($AT32="","",INDEX(Calc!$D$2:$D$1601,$AT32))</f>
        <v>1</v>
      </c>
      <c r="AC32" t="str">
        <f>IF($AT32="","",INDEX(Calc!$G$2:$G$1601,$AT32))</f>
        <v>26072801103762I3EhQmAV9-01</v>
      </c>
      <c r="AD32">
        <f>IF($AS32="","",Config!$B$23)</f>
        <v>0</v>
      </c>
      <c r="AE32">
        <f>IF($AS32="","",Config!$B$28)</f>
        <v>1</v>
      </c>
      <c r="AF32">
        <f t="shared" si="2"/>
        <v>10</v>
      </c>
      <c r="AG32">
        <f t="shared" si="3"/>
        <v>82.37</v>
      </c>
      <c r="AH32">
        <f t="shared" si="4"/>
        <v>10</v>
      </c>
      <c r="AI32">
        <f>IF($AG32="","",SUMIF($AG$2:$AG32,$AG32,$AH$2:$AH32))</f>
        <v>10</v>
      </c>
      <c r="AJ32" t="str">
        <f>IF('TMP Paste'!$F32="","",IF('TMP Paste'!$B32="",$AJ31,'TMP Paste'!$B32))</f>
        <v/>
      </c>
      <c r="AK32" t="str">
        <f>IF('TMP Paste'!$F32="","",N('TMP Paste'!$G32))</f>
        <v/>
      </c>
      <c r="AL32" t="str">
        <f>IF('TMP Paste'!$F32="","",IF('TMP Paste'!$M32="",$AL31,'TMP Paste'!$M32))</f>
        <v/>
      </c>
      <c r="AM32" t="str">
        <f>IF('TMP Paste'!$F32="","",IF('TMP Paste'!$N32="",$AM31,'TMP Paste'!$N32))</f>
        <v/>
      </c>
      <c r="AN32" t="str">
        <f>IF('TMP Paste'!$F32="","",IF('TMP Paste'!$O32="",$AN31,'TMP Paste'!$O32))</f>
        <v/>
      </c>
      <c r="AO32" t="str">
        <f>IF('TMP Paste'!$F32="","",IF('TMP Paste'!$P32="",$AO31,'TMP Paste'!$P32))</f>
        <v/>
      </c>
      <c r="AP32">
        <f t="shared" si="5"/>
        <v>266</v>
      </c>
      <c r="AQ32" t="str">
        <f>IF($AS32="","",TRIM(IF(COUNTIFS(Calc!$B$2:$B$1601,ROW()-1,Calc!$C$2:$C$1601,"&lt;1")&gt;0,"Ada PO tanpa Koli - cek TMP. ","")&amp;IF(OR($AU32="",$AU32&lt;=0),"Volume kosong/0 - dimensi dikosongkan. ","")&amp;IF(AND($AU32&lt;&gt;"",$AU32&gt;=1000000),"Volume &gt;= 1.000.000 cm3 (di luar aturan) - dimensi dikosongkan. ","")&amp;IF(LEN($R32)&gt;500,"R &gt; 500 karakter.","")))</f>
        <v/>
      </c>
      <c r="AS32">
        <f>IFERROR(MATCH(ROW()-1,Calc!$J$2:$J$1601,0),"")</f>
        <v>67</v>
      </c>
      <c r="AT32">
        <f>IFERROR(MATCH(ROW()-1,Calc!$K$2:$K$1601,0),"")</f>
        <v>67</v>
      </c>
      <c r="AU32">
        <f>IF($AS32="","",IFERROR(INDEX('TMP Paste'!$D$2:$D$1601,$AS32)*1000000/$AB32,""))</f>
        <v>8237</v>
      </c>
    </row>
    <row r="33" spans="1:47">
      <c r="A33" t="str">
        <f>IF($AS33="","",INDEX('TMP Paste'!$B$2:$B$1601,$AS33))</f>
        <v>AWB02WKNX</v>
      </c>
      <c r="B33">
        <f>IF($AS33="","",Config!$B$14)</f>
        <v>11398423</v>
      </c>
      <c r="C33" t="str">
        <f>IF($AS33="","",Config!$B$15)</f>
        <v>Corporate B2B Bundle</v>
      </c>
      <c r="D33" t="str">
        <f>IF($AS33="","",INDEX('TMP Paste'!$B$2:$B$1601,$AS33))</f>
        <v>AWB02WKNX</v>
      </c>
      <c r="E33" t="str">
        <f>IF($AS33="","",Config!$B$27)</f>
        <v>STANDARD</v>
      </c>
      <c r="F33" t="str">
        <f>IF($AS33="","",Config!$B$9)</f>
        <v>PT Teknologi Medika Pratama (SwipeRx) (B2BR)</v>
      </c>
      <c r="G33" t="str">
        <f>IF($AS33="","",Config!$B$10)</f>
        <v>087733785699</v>
      </c>
      <c r="H33" t="str">
        <f>IF($AS33="","",Config!$B$11)</f>
        <v>Jl. Tugu Raya, Tugu, Kec. Cimanggis, Kota Depok, Jawa Barat 16451,KUBIK LOGISTICS - Kompleks Pergudangan,Gudang E1</v>
      </c>
      <c r="I33" t="str">
        <f>IF($AS33="","",Config!$B$16)</f>
        <v>ID</v>
      </c>
      <c r="J33" t="str">
        <f>IF($AS33="","",INDEX('TMP Paste'!$A$2:$A$1601,$AS33))</f>
        <v>Apotek K24 Bintang Farma</v>
      </c>
      <c r="K33" t="str">
        <f>IF($AS33="","",INDEX('TMP Paste'!$L$2:$L$1601,$AS33))</f>
        <v>628176740151</v>
      </c>
      <c r="L33" t="str">
        <f>IF($AS33="","",INDEX('TMP Paste'!$I$2:$I$1601,$AS33))</f>
        <v>4-Jl. Kincan raya No. 17C RT.001 RW.007 Kelurahan Jatibening,Kecamatan Pondok Gede,Kota Bekasi,Jawa Barat,17412</v>
      </c>
      <c r="M33" t="str">
        <f>IF($AS33="","",Config!$B$16)</f>
        <v>ID</v>
      </c>
      <c r="N33" t="str">
        <f t="shared" si="0"/>
        <v/>
      </c>
      <c r="O33" t="str">
        <f>IF($AS33="","",INDEX('TMP Paste'!$K$2:$K$1601,$AS33))</f>
        <v>Kota Bekasi</v>
      </c>
      <c r="P33" t="str">
        <f t="shared" si="1"/>
        <v/>
      </c>
      <c r="Q33">
        <f>IF($AS33="","",INDEX('TMP Paste'!$J$2:$J$1601,$AS33))</f>
        <v>17412</v>
      </c>
      <c r="R33" t="str">
        <f>IF($AS33="","",Config!$B$24)</f>
        <v>Delivery Note wajib ada nama penerima, ditandatangani dan distempel penerima. Jika di label tertera "SP Manual", maka dokumen SP Manual harus diminta ke penerima sesuai dengan jumlah PO yang butuh SP Manual. Apabila ada retur, catat di Delivery Note dan update ke IC</v>
      </c>
      <c r="S33" t="str">
        <f ca="1">IF($AS33="","",TEXT(Config!$B$4,"yyyy-mm-dd"))</f>
        <v>2026-08-18</v>
      </c>
      <c r="T33" t="str">
        <f>IF($AS33="","",Config!$B$17)</f>
        <v>09:00</v>
      </c>
      <c r="U33" t="str">
        <f>IF($AS33="","",Config!$B$18)</f>
        <v>22:00</v>
      </c>
      <c r="V33" t="str">
        <f>IF($AS33="","",Config!$B$19)</f>
        <v>Asia/Jakarta</v>
      </c>
      <c r="W33">
        <f>IF($AS33="","",INDEX('TMP Paste'!$C$2:$C$1601,$AS33))</f>
        <v>0.03</v>
      </c>
      <c r="X33" t="str">
        <f>IF($AS33="","",Config!$B$29)</f>
        <v>FALSE</v>
      </c>
      <c r="Y33" t="str">
        <f>IF($AT33="","",INDEX(Calc!$I$2:$I$1601,$AT33)&amp;" - "&amp;INDEX(Calc!$D$2:$D$1601,$AT33)&amp;" koli")</f>
        <v>26072801220793TpsCocuVQ (1) - 1 koli</v>
      </c>
      <c r="Z33" t="str">
        <f>IF($AS33="","",Config!$B$21)</f>
        <v>FALSE</v>
      </c>
      <c r="AA33" t="str">
        <f>IF($AS33="","",Config!$B$22)</f>
        <v>RDO</v>
      </c>
      <c r="AB33">
        <f>IF($AT33="","",INDEX(Calc!$D$2:$D$1601,$AT33))</f>
        <v>1</v>
      </c>
      <c r="AC33" t="str">
        <f>IF($AT33="","",INDEX(Calc!$G$2:$G$1601,$AT33))</f>
        <v>26072801220793TpsCocuVQ-01</v>
      </c>
      <c r="AD33">
        <f>IF($AS33="","",Config!$B$23)</f>
        <v>0</v>
      </c>
      <c r="AE33">
        <f>IF($AS33="","",Config!$B$28)</f>
        <v>1</v>
      </c>
      <c r="AF33">
        <f t="shared" si="2"/>
        <v>10</v>
      </c>
      <c r="AG33">
        <f t="shared" si="3"/>
        <v>1.89</v>
      </c>
      <c r="AH33">
        <f t="shared" si="4"/>
        <v>10</v>
      </c>
      <c r="AI33">
        <f>IF($AG33="","",SUMIF($AG$2:$AG33,$AG33,$AH$2:$AH33))</f>
        <v>10</v>
      </c>
      <c r="AJ33" t="str">
        <f>IF('TMP Paste'!$F33="","",IF('TMP Paste'!$B33="",$AJ32,'TMP Paste'!$B33))</f>
        <v>AWB02WJC8</v>
      </c>
      <c r="AK33">
        <f>IF('TMP Paste'!$F33="","",N('TMP Paste'!$G33))</f>
        <v>0</v>
      </c>
      <c r="AL33">
        <f>IF('TMP Paste'!$F33="","",IF('TMP Paste'!$M33="",$AL32,'TMP Paste'!$M33))</f>
        <v>1</v>
      </c>
      <c r="AM33" t="str">
        <f>IF('TMP Paste'!$F33="","",IF('TMP Paste'!$N33="",$AM32,'TMP Paste'!$N33))</f>
        <v/>
      </c>
      <c r="AN33" t="str">
        <f>IF('TMP Paste'!$F33="","",IF('TMP Paste'!$O33="",$AN32,'TMP Paste'!$O33))</f>
        <v/>
      </c>
      <c r="AO33" t="str">
        <f>IF('TMP Paste'!$F33="","",IF('TMP Paste'!$P33="",$AO32,'TMP Paste'!$P33))</f>
        <v/>
      </c>
      <c r="AP33">
        <f t="shared" si="5"/>
        <v>266</v>
      </c>
      <c r="AQ33" t="str">
        <f>IF($AS33="","",TRIM(IF(COUNTIFS(Calc!$B$2:$B$1601,ROW()-1,Calc!$C$2:$C$1601,"&lt;1")&gt;0,"Ada PO tanpa Koli - cek TMP. ","")&amp;IF(OR($AU33="",$AU33&lt;=0),"Volume kosong/0 - dimensi dikosongkan. ","")&amp;IF(AND($AU33&lt;&gt;"",$AU33&gt;=1000000),"Volume &gt;= 1.000.000 cm3 (di luar aturan) - dimensi dikosongkan. ","")&amp;IF(LEN($R33)&gt;500,"R &gt; 500 karakter.","")))</f>
        <v/>
      </c>
      <c r="AS33">
        <f>IFERROR(MATCH(ROW()-1,Calc!$J$2:$J$1601,0),"")</f>
        <v>68</v>
      </c>
      <c r="AT33">
        <f>IFERROR(MATCH(ROW()-1,Calc!$K$2:$K$1601,0),"")</f>
        <v>68</v>
      </c>
      <c r="AU33">
        <f>IF($AS33="","",IFERROR(INDEX('TMP Paste'!$D$2:$D$1601,$AS33)*1000000/$AB33,""))</f>
        <v>189</v>
      </c>
    </row>
    <row r="34" spans="1:47">
      <c r="A34" t="str">
        <f>IF($AS34="","",INDEX('TMP Paste'!$B$2:$B$1601,$AS34))</f>
        <v>AWB02WHSE</v>
      </c>
      <c r="B34">
        <f>IF($AS34="","",Config!$B$14)</f>
        <v>11398423</v>
      </c>
      <c r="C34" t="str">
        <f>IF($AS34="","",Config!$B$15)</f>
        <v>Corporate B2B Bundle</v>
      </c>
      <c r="D34" t="str">
        <f>IF($AS34="","",INDEX('TMP Paste'!$B$2:$B$1601,$AS34))</f>
        <v>AWB02WHSE</v>
      </c>
      <c r="E34" t="str">
        <f>IF($AS34="","",Config!$B$27)</f>
        <v>STANDARD</v>
      </c>
      <c r="F34" t="str">
        <f>IF($AS34="","",Config!$B$9)</f>
        <v>PT Teknologi Medika Pratama (SwipeRx) (B2BR)</v>
      </c>
      <c r="G34" t="str">
        <f>IF($AS34="","",Config!$B$10)</f>
        <v>087733785699</v>
      </c>
      <c r="H34" t="str">
        <f>IF($AS34="","",Config!$B$11)</f>
        <v>Jl. Tugu Raya, Tugu, Kec. Cimanggis, Kota Depok, Jawa Barat 16451,KUBIK LOGISTICS - Kompleks Pergudangan,Gudang E1</v>
      </c>
      <c r="I34" t="str">
        <f>IF($AS34="","",Config!$B$16)</f>
        <v>ID</v>
      </c>
      <c r="J34" t="str">
        <f>IF($AS34="","",INDEX('TMP Paste'!$A$2:$A$1601,$AS34))</f>
        <v>Apotek K24 Grand Depok City</v>
      </c>
      <c r="K34" t="str">
        <f>IF($AS34="","",INDEX('TMP Paste'!$L$2:$L$1601,$AS34))</f>
        <v>81298228333</v>
      </c>
      <c r="L34" t="str">
        <f>IF($AS34="","",INDEX('TMP Paste'!$I$2:$I$1601,$AS34))</f>
        <v>1113-Perumahan Grand Depok City Sektor Caspia Blok B12 RT 002/006 Kelurahan Kalibaru Kecamatan Cilodong Depok 16414</v>
      </c>
      <c r="M34" t="str">
        <f>IF($AS34="","",Config!$B$16)</f>
        <v>ID</v>
      </c>
      <c r="N34" t="str">
        <f t="shared" si="0"/>
        <v/>
      </c>
      <c r="O34" t="str">
        <f>IF($AS34="","",INDEX('TMP Paste'!$K$2:$K$1601,$AS34))</f>
        <v>Kota Depok</v>
      </c>
      <c r="P34" t="str">
        <f t="shared" si="1"/>
        <v/>
      </c>
      <c r="Q34">
        <f>IF($AS34="","",INDEX('TMP Paste'!$J$2:$J$1601,$AS34))</f>
        <v>16414</v>
      </c>
      <c r="R34" t="str">
        <f>IF($AS34="","",Config!$B$24)</f>
        <v>Delivery Note wajib ada nama penerima, ditandatangani dan distempel penerima. Jika di label tertera "SP Manual", maka dokumen SP Manual harus diminta ke penerima sesuai dengan jumlah PO yang butuh SP Manual. Apabila ada retur, catat di Delivery Note dan update ke IC</v>
      </c>
      <c r="S34" t="str">
        <f ca="1">IF($AS34="","",TEXT(Config!$B$4,"yyyy-mm-dd"))</f>
        <v>2026-08-18</v>
      </c>
      <c r="T34" t="str">
        <f>IF($AS34="","",Config!$B$17)</f>
        <v>09:00</v>
      </c>
      <c r="U34" t="str">
        <f>IF($AS34="","",Config!$B$18)</f>
        <v>22:00</v>
      </c>
      <c r="V34" t="str">
        <f>IF($AS34="","",Config!$B$19)</f>
        <v>Asia/Jakarta</v>
      </c>
      <c r="W34">
        <f>IF($AS34="","",INDEX('TMP Paste'!$C$2:$C$1601,$AS34))</f>
        <v>8.93</v>
      </c>
      <c r="X34" t="str">
        <f>IF($AS34="","",Config!$B$29)</f>
        <v>FALSE</v>
      </c>
      <c r="Y34" t="str">
        <f>IF($AT34="","",INDEX(Calc!$I$2:$I$1601,$AT34)&amp;" - "&amp;INDEX(Calc!$D$2:$D$1601,$AT34)&amp;" koli")</f>
        <v>26072705014435OHwD9GRWrr (2), 26072705014435U4wjCNpuHt (1), 26072705014435VCRwd3dm (1) - 4 koli</v>
      </c>
      <c r="Z34" t="str">
        <f>IF($AS34="","",Config!$B$21)</f>
        <v>FALSE</v>
      </c>
      <c r="AA34" t="str">
        <f>IF($AS34="","",Config!$B$22)</f>
        <v>RDO</v>
      </c>
      <c r="AB34">
        <f>IF($AT34="","",INDEX(Calc!$D$2:$D$1601,$AT34))</f>
        <v>4</v>
      </c>
      <c r="AC34" t="str">
        <f>IF($AT34="","",INDEX(Calc!$G$2:$G$1601,$AT34))</f>
        <v>26072705014435OHwD9GRWrr-01, 26072705014435OHwD9GRWrr-02, 26072705014435U4wjCNpuHt-03, 26072705014435VCRwd3dm-04</v>
      </c>
      <c r="AD34">
        <f>IF($AS34="","",Config!$B$23)</f>
        <v>0</v>
      </c>
      <c r="AE34">
        <f>IF($AS34="","",Config!$B$28)</f>
        <v>1</v>
      </c>
      <c r="AF34">
        <f t="shared" si="2"/>
        <v>100</v>
      </c>
      <c r="AG34">
        <f t="shared" si="3"/>
        <v>11.46125</v>
      </c>
      <c r="AH34">
        <f t="shared" si="4"/>
        <v>10</v>
      </c>
      <c r="AI34">
        <f>IF($AG34="","",SUMIF($AG$2:$AG34,$AG34,$AH$2:$AH34))</f>
        <v>10</v>
      </c>
      <c r="AJ34" t="str">
        <f>IF('TMP Paste'!$F34="","",IF('TMP Paste'!$B34="",$AJ33,'TMP Paste'!$B34))</f>
        <v>AWB02WJ7E</v>
      </c>
      <c r="AK34">
        <f>IF('TMP Paste'!$F34="","",N('TMP Paste'!$G34))</f>
        <v>0</v>
      </c>
      <c r="AL34">
        <f>IF('TMP Paste'!$F34="","",IF('TMP Paste'!$M34="",$AL33,'TMP Paste'!$M34))</f>
        <v>2</v>
      </c>
      <c r="AM34" t="str">
        <f>IF('TMP Paste'!$F34="","",IF('TMP Paste'!$N34="",$AM33,'TMP Paste'!$N34))</f>
        <v/>
      </c>
      <c r="AN34" t="str">
        <f>IF('TMP Paste'!$F34="","",IF('TMP Paste'!$O34="",$AN33,'TMP Paste'!$O34))</f>
        <v/>
      </c>
      <c r="AO34" t="str">
        <f>IF('TMP Paste'!$F34="","",IF('TMP Paste'!$P34="",$AO33,'TMP Paste'!$P34))</f>
        <v/>
      </c>
      <c r="AP34">
        <f t="shared" si="5"/>
        <v>266</v>
      </c>
      <c r="AQ34" t="str">
        <f>IF($AS34="","",TRIM(IF(COUNTIFS(Calc!$B$2:$B$1601,ROW()-1,Calc!$C$2:$C$1601,"&lt;1")&gt;0,"Ada PO tanpa Koli - cek TMP. ","")&amp;IF(OR($AU34="",$AU34&lt;=0),"Volume kosong/0 - dimensi dikosongkan. ","")&amp;IF(AND($AU34&lt;&gt;"",$AU34&gt;=1000000),"Volume &gt;= 1.000.000 cm3 (di luar aturan) - dimensi dikosongkan. ","")&amp;IF(LEN($R34)&gt;500,"R &gt; 500 karakter.","")))</f>
        <v/>
      </c>
      <c r="AS34">
        <f>IFERROR(MATCH(ROW()-1,Calc!$J$2:$J$1601,0),"")</f>
        <v>69</v>
      </c>
      <c r="AT34">
        <f>IFERROR(MATCH(ROW()-1,Calc!$K$2:$K$1601,0),"")</f>
        <v>71</v>
      </c>
      <c r="AU34">
        <f>IF($AS34="","",IFERROR(INDEX('TMP Paste'!$D$2:$D$1601,$AS34)*1000000/$AB34,""))</f>
        <v>11461.25</v>
      </c>
    </row>
    <row r="35" spans="1:47">
      <c r="A35" t="str">
        <f>IF($AS35="","",INDEX('TMP Paste'!$B$2:$B$1601,$AS35))</f>
        <v>AWB02WHP0</v>
      </c>
      <c r="B35">
        <f>IF($AS35="","",Config!$B$14)</f>
        <v>11398423</v>
      </c>
      <c r="C35" t="str">
        <f>IF($AS35="","",Config!$B$15)</f>
        <v>Corporate B2B Bundle</v>
      </c>
      <c r="D35" t="str">
        <f>IF($AS35="","",INDEX('TMP Paste'!$B$2:$B$1601,$AS35))</f>
        <v>AWB02WHP0</v>
      </c>
      <c r="E35" t="str">
        <f>IF($AS35="","",Config!$B$27)</f>
        <v>STANDARD</v>
      </c>
      <c r="F35" t="str">
        <f>IF($AS35="","",Config!$B$9)</f>
        <v>PT Teknologi Medika Pratama (SwipeRx) (B2BR)</v>
      </c>
      <c r="G35" t="str">
        <f>IF($AS35="","",Config!$B$10)</f>
        <v>087733785699</v>
      </c>
      <c r="H35" t="str">
        <f>IF($AS35="","",Config!$B$11)</f>
        <v>Jl. Tugu Raya, Tugu, Kec. Cimanggis, Kota Depok, Jawa Barat 16451,KUBIK LOGISTICS - Kompleks Pergudangan,Gudang E1</v>
      </c>
      <c r="I35" t="str">
        <f>IF($AS35="","",Config!$B$16)</f>
        <v>ID</v>
      </c>
      <c r="J35" t="str">
        <f>IF($AS35="","",INDEX('TMP Paste'!$A$2:$A$1601,$AS35))</f>
        <v>Apotek K24 Jatiasih</v>
      </c>
      <c r="K35" t="str">
        <f>IF($AS35="","",INDEX('TMP Paste'!$L$2:$L$1601,$AS35))</f>
        <v>8561566690</v>
      </c>
      <c r="L35" t="str">
        <f>IF($AS35="","",INDEX('TMP Paste'!$I$2:$I$1601,$AS35))</f>
        <v>1474-Jalan Raya Jatiasih No. 1 Kelurahan Jatirasa Kecamatan Jatiasih Bekasi 17424</v>
      </c>
      <c r="M35" t="str">
        <f>IF($AS35="","",Config!$B$16)</f>
        <v>ID</v>
      </c>
      <c r="N35" t="str">
        <f t="shared" si="0"/>
        <v/>
      </c>
      <c r="O35" t="str">
        <f>IF($AS35="","",INDEX('TMP Paste'!$K$2:$K$1601,$AS35))</f>
        <v>Kota Bekasi</v>
      </c>
      <c r="P35" t="str">
        <f t="shared" si="1"/>
        <v/>
      </c>
      <c r="Q35">
        <f>IF($AS35="","",INDEX('TMP Paste'!$J$2:$J$1601,$AS35))</f>
        <v>17424</v>
      </c>
      <c r="R35" t="str">
        <f>IF($AS35="","",Config!$B$24)</f>
        <v>Delivery Note wajib ada nama penerima, ditandatangani dan distempel penerima. Jika di label tertera "SP Manual", maka dokumen SP Manual harus diminta ke penerima sesuai dengan jumlah PO yang butuh SP Manual. Apabila ada retur, catat di Delivery Note dan update ke IC</v>
      </c>
      <c r="S35" t="str">
        <f ca="1">IF($AS35="","",TEXT(Config!$B$4,"yyyy-mm-dd"))</f>
        <v>2026-08-18</v>
      </c>
      <c r="T35" t="str">
        <f>IF($AS35="","",Config!$B$17)</f>
        <v>09:00</v>
      </c>
      <c r="U35" t="str">
        <f>IF($AS35="","",Config!$B$18)</f>
        <v>22:00</v>
      </c>
      <c r="V35" t="str">
        <f>IF($AS35="","",Config!$B$19)</f>
        <v>Asia/Jakarta</v>
      </c>
      <c r="W35">
        <f>IF($AS35="","",INDEX('TMP Paste'!$C$2:$C$1601,$AS35))</f>
        <v>0.71</v>
      </c>
      <c r="X35" t="str">
        <f>IF($AS35="","",Config!$B$29)</f>
        <v>FALSE</v>
      </c>
      <c r="Y35" t="str">
        <f>IF($AT35="","",INDEX(Calc!$I$2:$I$1601,$AT35)&amp;" - "&amp;INDEX(Calc!$D$2:$D$1601,$AT35)&amp;" koli")</f>
        <v>260727043728560vNLRTQ (1) - 1 koli</v>
      </c>
      <c r="Z35" t="str">
        <f>IF($AS35="","",Config!$B$21)</f>
        <v>FALSE</v>
      </c>
      <c r="AA35" t="str">
        <f>IF($AS35="","",Config!$B$22)</f>
        <v>RDO</v>
      </c>
      <c r="AB35">
        <f>IF($AT35="","",INDEX(Calc!$D$2:$D$1601,$AT35))</f>
        <v>1</v>
      </c>
      <c r="AC35" t="str">
        <f>IF($AT35="","",INDEX(Calc!$G$2:$G$1601,$AT35))</f>
        <v>260727043728560vNLRTQ-01</v>
      </c>
      <c r="AD35">
        <f>IF($AS35="","",Config!$B$23)</f>
        <v>0</v>
      </c>
      <c r="AE35">
        <f>IF($AS35="","",Config!$B$28)</f>
        <v>1</v>
      </c>
      <c r="AF35">
        <f t="shared" si="2"/>
        <v>10</v>
      </c>
      <c r="AG35">
        <f t="shared" si="3"/>
        <v>23.18</v>
      </c>
      <c r="AH35">
        <f t="shared" si="4"/>
        <v>10</v>
      </c>
      <c r="AI35">
        <f>IF($AG35="","",SUMIF($AG$2:$AG35,$AG35,$AH$2:$AH35))</f>
        <v>10</v>
      </c>
      <c r="AJ35" t="str">
        <f>IF('TMP Paste'!$F35="","",IF('TMP Paste'!$B35="",$AJ34,'TMP Paste'!$B35))</f>
        <v>AWB02WKEL</v>
      </c>
      <c r="AK35">
        <f>IF('TMP Paste'!$F35="","",N('TMP Paste'!$G35))</f>
        <v>0</v>
      </c>
      <c r="AL35">
        <f>IF('TMP Paste'!$F35="","",IF('TMP Paste'!$M35="",$AL34,'TMP Paste'!$M35))</f>
        <v>1</v>
      </c>
      <c r="AM35" t="str">
        <f>IF('TMP Paste'!$F35="","",IF('TMP Paste'!$N35="",$AM34,'TMP Paste'!$N35))</f>
        <v/>
      </c>
      <c r="AN35" t="str">
        <f>IF('TMP Paste'!$F35="","",IF('TMP Paste'!$O35="",$AN34,'TMP Paste'!$O35))</f>
        <v/>
      </c>
      <c r="AO35" t="str">
        <f>IF('TMP Paste'!$F35="","",IF('TMP Paste'!$P35="",$AO34,'TMP Paste'!$P35))</f>
        <v/>
      </c>
      <c r="AP35">
        <f t="shared" si="5"/>
        <v>266</v>
      </c>
      <c r="AQ35" t="str">
        <f>IF($AS35="","",TRIM(IF(COUNTIFS(Calc!$B$2:$B$1601,ROW()-1,Calc!$C$2:$C$1601,"&lt;1")&gt;0,"Ada PO tanpa Koli - cek TMP. ","")&amp;IF(OR($AU35="",$AU35&lt;=0),"Volume kosong/0 - dimensi dikosongkan. ","")&amp;IF(AND($AU35&lt;&gt;"",$AU35&gt;=1000000),"Volume &gt;= 1.000.000 cm3 (di luar aturan) - dimensi dikosongkan. ","")&amp;IF(LEN($R35)&gt;500,"R &gt; 500 karakter.","")))</f>
        <v/>
      </c>
      <c r="AS35">
        <f>IFERROR(MATCH(ROW()-1,Calc!$J$2:$J$1601,0),"")</f>
        <v>72</v>
      </c>
      <c r="AT35">
        <f>IFERROR(MATCH(ROW()-1,Calc!$K$2:$K$1601,0),"")</f>
        <v>72</v>
      </c>
      <c r="AU35">
        <f>IF($AS35="","",IFERROR(INDEX('TMP Paste'!$D$2:$D$1601,$AS35)*1000000/$AB35,""))</f>
        <v>2318</v>
      </c>
    </row>
    <row r="36" spans="1:47">
      <c r="A36" t="str">
        <f>IF($AS36="","",INDEX('TMP Paste'!$B$2:$B$1601,$AS36))</f>
        <v>AWB02WLRF</v>
      </c>
      <c r="B36">
        <f>IF($AS36="","",Config!$B$14)</f>
        <v>11398423</v>
      </c>
      <c r="C36" t="str">
        <f>IF($AS36="","",Config!$B$15)</f>
        <v>Corporate B2B Bundle</v>
      </c>
      <c r="D36" t="str">
        <f>IF($AS36="","",INDEX('TMP Paste'!$B$2:$B$1601,$AS36))</f>
        <v>AWB02WLRF</v>
      </c>
      <c r="E36" t="str">
        <f>IF($AS36="","",Config!$B$27)</f>
        <v>STANDARD</v>
      </c>
      <c r="F36" t="str">
        <f>IF($AS36="","",Config!$B$9)</f>
        <v>PT Teknologi Medika Pratama (SwipeRx) (B2BR)</v>
      </c>
      <c r="G36" t="str">
        <f>IF($AS36="","",Config!$B$10)</f>
        <v>087733785699</v>
      </c>
      <c r="H36" t="str">
        <f>IF($AS36="","",Config!$B$11)</f>
        <v>Jl. Tugu Raya, Tugu, Kec. Cimanggis, Kota Depok, Jawa Barat 16451,KUBIK LOGISTICS - Kompleks Pergudangan,Gudang E1</v>
      </c>
      <c r="I36" t="str">
        <f>IF($AS36="","",Config!$B$16)</f>
        <v>ID</v>
      </c>
      <c r="J36" t="str">
        <f>IF($AS36="","",INDEX('TMP Paste'!$A$2:$A$1601,$AS36))</f>
        <v>Apotek K24 Jatirahayu Jatirahayu Pondok Melati</v>
      </c>
      <c r="K36" t="str">
        <f>IF($AS36="","",INDEX('TMP Paste'!$L$2:$L$1601,$AS36))</f>
        <v>6282283312589</v>
      </c>
      <c r="L36" t="str">
        <f>IF($AS36="","",INDEX('TMP Paste'!$I$2:$I$1601,$AS36))</f>
        <v>13059-Jl Raya Hankam No. 114 Kel. Jatirahayu Kec. Pondok Melati Kota Bekasi</v>
      </c>
      <c r="M36" t="str">
        <f>IF($AS36="","",Config!$B$16)</f>
        <v>ID</v>
      </c>
      <c r="N36" t="str">
        <f t="shared" si="0"/>
        <v/>
      </c>
      <c r="O36" t="str">
        <f>IF($AS36="","",INDEX('TMP Paste'!$K$2:$K$1601,$AS36))</f>
        <v>Kota Bekasi</v>
      </c>
      <c r="P36" t="str">
        <f t="shared" si="1"/>
        <v/>
      </c>
      <c r="Q36">
        <f>IF($AS36="","",INDEX('TMP Paste'!$J$2:$J$1601,$AS36))</f>
        <v>17414</v>
      </c>
      <c r="R36" t="str">
        <f>IF($AS36="","",Config!$B$24)</f>
        <v>Delivery Note wajib ada nama penerima, ditandatangani dan distempel penerima. Jika di label tertera "SP Manual", maka dokumen SP Manual harus diminta ke penerima sesuai dengan jumlah PO yang butuh SP Manual. Apabila ada retur, catat di Delivery Note dan update ke IC</v>
      </c>
      <c r="S36" t="str">
        <f ca="1">IF($AS36="","",TEXT(Config!$B$4,"yyyy-mm-dd"))</f>
        <v>2026-08-18</v>
      </c>
      <c r="T36" t="str">
        <f>IF($AS36="","",Config!$B$17)</f>
        <v>09:00</v>
      </c>
      <c r="U36" t="str">
        <f>IF($AS36="","",Config!$B$18)</f>
        <v>22:00</v>
      </c>
      <c r="V36" t="str">
        <f>IF($AS36="","",Config!$B$19)</f>
        <v>Asia/Jakarta</v>
      </c>
      <c r="W36">
        <f>IF($AS36="","",INDEX('TMP Paste'!$C$2:$C$1601,$AS36))</f>
        <v>3.02</v>
      </c>
      <c r="X36" t="str">
        <f>IF($AS36="","",Config!$B$29)</f>
        <v>FALSE</v>
      </c>
      <c r="Y36" t="str">
        <f>IF($AT36="","",INDEX(Calc!$I$2:$I$1601,$AT36)&amp;" - "&amp;INDEX(Calc!$D$2:$D$1601,$AT36)&amp;" koli")</f>
        <v>260728030109194Fw15EUDO (1), 26072803010919wmzmZTNRPG (1), 26072803010919Z6M7BwAYQ4 (1) - 3 koli</v>
      </c>
      <c r="Z36" t="str">
        <f>IF($AS36="","",Config!$B$21)</f>
        <v>FALSE</v>
      </c>
      <c r="AA36" t="str">
        <f>IF($AS36="","",Config!$B$22)</f>
        <v>RDO</v>
      </c>
      <c r="AB36">
        <f>IF($AT36="","",INDEX(Calc!$D$2:$D$1601,$AT36))</f>
        <v>3</v>
      </c>
      <c r="AC36" t="str">
        <f>IF($AT36="","",INDEX(Calc!$G$2:$G$1601,$AT36))</f>
        <v>260728030109194Fw15EUDO-01, 26072803010919wmzmZTNRPG-02, 26072803010919Z6M7BwAYQ4-03</v>
      </c>
      <c r="AD36">
        <f>IF($AS36="","",Config!$B$23)</f>
        <v>0</v>
      </c>
      <c r="AE36">
        <f>IF($AS36="","",Config!$B$28)</f>
        <v>1</v>
      </c>
      <c r="AF36">
        <f t="shared" si="2"/>
        <v>10</v>
      </c>
      <c r="AG36">
        <f t="shared" si="3"/>
        <v>27.8666666666667</v>
      </c>
      <c r="AH36">
        <f t="shared" si="4"/>
        <v>10</v>
      </c>
      <c r="AI36">
        <f>IF($AG36="","",SUMIF($AG$2:$AG36,$AG36,$AH$2:$AH36))</f>
        <v>10</v>
      </c>
      <c r="AJ36" t="str">
        <f>IF('TMP Paste'!$F36="","",IF('TMP Paste'!$B36="",$AJ35,'TMP Paste'!$B36))</f>
        <v>AWB02WJT2</v>
      </c>
      <c r="AK36">
        <f>IF('TMP Paste'!$F36="","",N('TMP Paste'!$G36))</f>
        <v>0</v>
      </c>
      <c r="AL36">
        <f>IF('TMP Paste'!$F36="","",IF('TMP Paste'!$M36="",$AL35,'TMP Paste'!$M36))</f>
        <v>1</v>
      </c>
      <c r="AM36" t="str">
        <f>IF('TMP Paste'!$F36="","",IF('TMP Paste'!$N36="",$AM35,'TMP Paste'!$N36))</f>
        <v/>
      </c>
      <c r="AN36" t="str">
        <f>IF('TMP Paste'!$F36="","",IF('TMP Paste'!$O36="",$AN35,'TMP Paste'!$O36))</f>
        <v/>
      </c>
      <c r="AO36" t="str">
        <f>IF('TMP Paste'!$F36="","",IF('TMP Paste'!$P36="",$AO35,'TMP Paste'!$P36))</f>
        <v/>
      </c>
      <c r="AP36">
        <f t="shared" si="5"/>
        <v>266</v>
      </c>
      <c r="AQ36" t="str">
        <f>IF($AS36="","",TRIM(IF(COUNTIFS(Calc!$B$2:$B$1601,ROW()-1,Calc!$C$2:$C$1601,"&lt;1")&gt;0,"Ada PO tanpa Koli - cek TMP. ","")&amp;IF(OR($AU36="",$AU36&lt;=0),"Volume kosong/0 - dimensi dikosongkan. ","")&amp;IF(AND($AU36&lt;&gt;"",$AU36&gt;=1000000),"Volume &gt;= 1.000.000 cm3 (di luar aturan) - dimensi dikosongkan. ","")&amp;IF(LEN($R36)&gt;500,"R &gt; 500 karakter.","")))</f>
        <v/>
      </c>
      <c r="AS36">
        <f>IFERROR(MATCH(ROW()-1,Calc!$J$2:$J$1601,0),"")</f>
        <v>73</v>
      </c>
      <c r="AT36">
        <f>IFERROR(MATCH(ROW()-1,Calc!$K$2:$K$1601,0),"")</f>
        <v>75</v>
      </c>
      <c r="AU36">
        <f>IF($AS36="","",IFERROR(INDEX('TMP Paste'!$D$2:$D$1601,$AS36)*1000000/$AB36,""))</f>
        <v>2786.66666666667</v>
      </c>
    </row>
    <row r="37" spans="1:47">
      <c r="A37" t="str">
        <f>IF($AS37="","",INDEX('TMP Paste'!$B$2:$B$1601,$AS37))</f>
        <v>AWB02WDF1</v>
      </c>
      <c r="B37">
        <f>IF($AS37="","",Config!$B$14)</f>
        <v>11398423</v>
      </c>
      <c r="C37" t="str">
        <f>IF($AS37="","",Config!$B$15)</f>
        <v>Corporate B2B Bundle</v>
      </c>
      <c r="D37" t="str">
        <f>IF($AS37="","",INDEX('TMP Paste'!$B$2:$B$1601,$AS37))</f>
        <v>AWB02WDF1</v>
      </c>
      <c r="E37" t="str">
        <f>IF($AS37="","",Config!$B$27)</f>
        <v>STANDARD</v>
      </c>
      <c r="F37" t="str">
        <f>IF($AS37="","",Config!$B$9)</f>
        <v>PT Teknologi Medika Pratama (SwipeRx) (B2BR)</v>
      </c>
      <c r="G37" t="str">
        <f>IF($AS37="","",Config!$B$10)</f>
        <v>087733785699</v>
      </c>
      <c r="H37" t="str">
        <f>IF($AS37="","",Config!$B$11)</f>
        <v>Jl. Tugu Raya, Tugu, Kec. Cimanggis, Kota Depok, Jawa Barat 16451,KUBIK LOGISTICS - Kompleks Pergudangan,Gudang E1</v>
      </c>
      <c r="I37" t="str">
        <f>IF($AS37="","",Config!$B$16)</f>
        <v>ID</v>
      </c>
      <c r="J37" t="str">
        <f>IF($AS37="","",INDEX('TMP Paste'!$A$2:$A$1601,$AS37))</f>
        <v>Apotek K24 Meruyung Depok</v>
      </c>
      <c r="K37" t="str">
        <f>IF($AS37="","",INDEX('TMP Paste'!$L$2:$L$1601,$AS37))</f>
        <v>6281318526502</v>
      </c>
      <c r="L37" t="str">
        <f>IF($AS37="","",INDEX('TMP Paste'!$I$2:$I$1601,$AS37))</f>
        <v>8254-Jl. Parung Bingung RT 01 RW 10 Kel. Rangkapan Jaya, Kec. Pancoran Mas, Kota Depok, 16434</v>
      </c>
      <c r="M37" t="str">
        <f>IF($AS37="","",Config!$B$16)</f>
        <v>ID</v>
      </c>
      <c r="N37" t="str">
        <f t="shared" si="0"/>
        <v/>
      </c>
      <c r="O37" t="str">
        <f>IF($AS37="","",INDEX('TMP Paste'!$K$2:$K$1601,$AS37))</f>
        <v>Kota Depok</v>
      </c>
      <c r="P37" t="str">
        <f t="shared" si="1"/>
        <v/>
      </c>
      <c r="Q37">
        <f>IF($AS37="","",INDEX('TMP Paste'!$J$2:$J$1601,$AS37))</f>
        <v>16434</v>
      </c>
      <c r="R37" t="str">
        <f>IF($AS37="","",Config!$B$24)</f>
        <v>Delivery Note wajib ada nama penerima, ditandatangani dan distempel penerima. Jika di label tertera "SP Manual", maka dokumen SP Manual harus diminta ke penerima sesuai dengan jumlah PO yang butuh SP Manual. Apabila ada retur, catat di Delivery Note dan update ke IC</v>
      </c>
      <c r="S37" t="str">
        <f ca="1">IF($AS37="","",TEXT(Config!$B$4,"yyyy-mm-dd"))</f>
        <v>2026-08-18</v>
      </c>
      <c r="T37" t="str">
        <f>IF($AS37="","",Config!$B$17)</f>
        <v>09:00</v>
      </c>
      <c r="U37" t="str">
        <f>IF($AS37="","",Config!$B$18)</f>
        <v>22:00</v>
      </c>
      <c r="V37" t="str">
        <f>IF($AS37="","",Config!$B$19)</f>
        <v>Asia/Jakarta</v>
      </c>
      <c r="W37">
        <f>IF($AS37="","",INDEX('TMP Paste'!$C$2:$C$1601,$AS37))</f>
        <v>0.85</v>
      </c>
      <c r="X37" t="str">
        <f>IF($AS37="","",Config!$B$29)</f>
        <v>FALSE</v>
      </c>
      <c r="Y37" t="str">
        <f>IF($AT37="","",INDEX(Calc!$I$2:$I$1601,$AT37)&amp;" - "&amp;INDEX(Calc!$D$2:$D$1601,$AT37)&amp;" koli")</f>
        <v>26072606505263XHL2DBii (1) - 1 koli</v>
      </c>
      <c r="Z37" t="str">
        <f>IF($AS37="","",Config!$B$21)</f>
        <v>FALSE</v>
      </c>
      <c r="AA37" t="str">
        <f>IF($AS37="","",Config!$B$22)</f>
        <v>RDO</v>
      </c>
      <c r="AB37">
        <f>IF($AT37="","",INDEX(Calc!$D$2:$D$1601,$AT37))</f>
        <v>1</v>
      </c>
      <c r="AC37" t="str">
        <f>IF($AT37="","",INDEX(Calc!$G$2:$G$1601,$AT37))</f>
        <v>26072606505263XHL2DBii-01</v>
      </c>
      <c r="AD37">
        <f>IF($AS37="","",Config!$B$23)</f>
        <v>0</v>
      </c>
      <c r="AE37">
        <f>IF($AS37="","",Config!$B$28)</f>
        <v>1</v>
      </c>
      <c r="AF37">
        <f t="shared" si="2"/>
        <v>10</v>
      </c>
      <c r="AG37">
        <f t="shared" si="3"/>
        <v>16.5</v>
      </c>
      <c r="AH37">
        <f t="shared" si="4"/>
        <v>10</v>
      </c>
      <c r="AI37">
        <f>IF($AG37="","",SUMIF($AG$2:$AG37,$AG37,$AH$2:$AH37))</f>
        <v>10</v>
      </c>
      <c r="AJ37" t="str">
        <f>IF('TMP Paste'!$F37="","",IF('TMP Paste'!$B37="",$AJ36,'TMP Paste'!$B37))</f>
        <v/>
      </c>
      <c r="AK37" t="str">
        <f>IF('TMP Paste'!$F37="","",N('TMP Paste'!$G37))</f>
        <v/>
      </c>
      <c r="AL37" t="str">
        <f>IF('TMP Paste'!$F37="","",IF('TMP Paste'!$M37="",$AL36,'TMP Paste'!$M37))</f>
        <v/>
      </c>
      <c r="AM37" t="str">
        <f>IF('TMP Paste'!$F37="","",IF('TMP Paste'!$N37="",$AM36,'TMP Paste'!$N37))</f>
        <v/>
      </c>
      <c r="AN37" t="str">
        <f>IF('TMP Paste'!$F37="","",IF('TMP Paste'!$O37="",$AN36,'TMP Paste'!$O37))</f>
        <v/>
      </c>
      <c r="AO37" t="str">
        <f>IF('TMP Paste'!$F37="","",IF('TMP Paste'!$P37="",$AO36,'TMP Paste'!$P37))</f>
        <v/>
      </c>
      <c r="AP37">
        <f t="shared" si="5"/>
        <v>266</v>
      </c>
      <c r="AQ37" t="str">
        <f>IF($AS37="","",TRIM(IF(COUNTIFS(Calc!$B$2:$B$1601,ROW()-1,Calc!$C$2:$C$1601,"&lt;1")&gt;0,"Ada PO tanpa Koli - cek TMP. ","")&amp;IF(OR($AU37="",$AU37&lt;=0),"Volume kosong/0 - dimensi dikosongkan. ","")&amp;IF(AND($AU37&lt;&gt;"",$AU37&gt;=1000000),"Volume &gt;= 1.000.000 cm3 (di luar aturan) - dimensi dikosongkan. ","")&amp;IF(LEN($R37)&gt;500,"R &gt; 500 karakter.","")))</f>
        <v/>
      </c>
      <c r="AS37">
        <f>IFERROR(MATCH(ROW()-1,Calc!$J$2:$J$1601,0),"")</f>
        <v>76</v>
      </c>
      <c r="AT37">
        <f>IFERROR(MATCH(ROW()-1,Calc!$K$2:$K$1601,0),"")</f>
        <v>76</v>
      </c>
      <c r="AU37">
        <f>IF($AS37="","",IFERROR(INDEX('TMP Paste'!$D$2:$D$1601,$AS37)*1000000/$AB37,""))</f>
        <v>1650</v>
      </c>
    </row>
    <row r="38" spans="1:47">
      <c r="A38" t="str">
        <f>IF($AS38="","",INDEX('TMP Paste'!$B$2:$B$1601,$AS38))</f>
        <v>AWB02WHMZ</v>
      </c>
      <c r="B38">
        <f>IF($AS38="","",Config!$B$14)</f>
        <v>11398423</v>
      </c>
      <c r="C38" t="str">
        <f>IF($AS38="","",Config!$B$15)</f>
        <v>Corporate B2B Bundle</v>
      </c>
      <c r="D38" t="str">
        <f>IF($AS38="","",INDEX('TMP Paste'!$B$2:$B$1601,$AS38))</f>
        <v>AWB02WHMZ</v>
      </c>
      <c r="E38" t="str">
        <f>IF($AS38="","",Config!$B$27)</f>
        <v>STANDARD</v>
      </c>
      <c r="F38" t="str">
        <f>IF($AS38="","",Config!$B$9)</f>
        <v>PT Teknologi Medika Pratama (SwipeRx) (B2BR)</v>
      </c>
      <c r="G38" t="str">
        <f>IF($AS38="","",Config!$B$10)</f>
        <v>087733785699</v>
      </c>
      <c r="H38" t="str">
        <f>IF($AS38="","",Config!$B$11)</f>
        <v>Jl. Tugu Raya, Tugu, Kec. Cimanggis, Kota Depok, Jawa Barat 16451,KUBIK LOGISTICS - Kompleks Pergudangan,Gudang E1</v>
      </c>
      <c r="I38" t="str">
        <f>IF($AS38="","",Config!$B$16)</f>
        <v>ID</v>
      </c>
      <c r="J38" t="str">
        <f>IF($AS38="","",INDEX('TMP Paste'!$A$2:$A$1601,$AS38))</f>
        <v>Apotek Kalilicin Rangkapan Jaya Pancoran Mas</v>
      </c>
      <c r="K38" t="str">
        <f>IF($AS38="","",INDEX('TMP Paste'!$L$2:$L$1601,$AS38))</f>
        <v>215703335</v>
      </c>
      <c r="L38" t="str">
        <f>IF($AS38="","",INDEX('TMP Paste'!$I$2:$I$1601,$AS38))</f>
        <v>9208-Ruko Rangkapan Jaya No 02-03, Kel. Rangkapan Jaya, Kec. Pancoran Mas, Kota Depok 16435</v>
      </c>
      <c r="M38" t="str">
        <f>IF($AS38="","",Config!$B$16)</f>
        <v>ID</v>
      </c>
      <c r="N38" t="str">
        <f t="shared" si="0"/>
        <v/>
      </c>
      <c r="O38" t="str">
        <f>IF($AS38="","",INDEX('TMP Paste'!$K$2:$K$1601,$AS38))</f>
        <v>Kota Depok</v>
      </c>
      <c r="P38" t="str">
        <f t="shared" si="1"/>
        <v/>
      </c>
      <c r="Q38">
        <f>IF($AS38="","",INDEX('TMP Paste'!$J$2:$J$1601,$AS38))</f>
        <v>16435</v>
      </c>
      <c r="R38" t="str">
        <f>IF($AS38="","",Config!$B$24)</f>
        <v>Delivery Note wajib ada nama penerima, ditandatangani dan distempel penerima. Jika di label tertera "SP Manual", maka dokumen SP Manual harus diminta ke penerima sesuai dengan jumlah PO yang butuh SP Manual. Apabila ada retur, catat di Delivery Note dan update ke IC</v>
      </c>
      <c r="S38" t="str">
        <f ca="1">IF($AS38="","",TEXT(Config!$B$4,"yyyy-mm-dd"))</f>
        <v>2026-08-18</v>
      </c>
      <c r="T38" t="str">
        <f>IF($AS38="","",Config!$B$17)</f>
        <v>09:00</v>
      </c>
      <c r="U38" t="str">
        <f>IF($AS38="","",Config!$B$18)</f>
        <v>22:00</v>
      </c>
      <c r="V38" t="str">
        <f>IF($AS38="","",Config!$B$19)</f>
        <v>Asia/Jakarta</v>
      </c>
      <c r="W38">
        <f>IF($AS38="","",INDEX('TMP Paste'!$C$2:$C$1601,$AS38))</f>
        <v>2.17</v>
      </c>
      <c r="X38" t="str">
        <f>IF($AS38="","",Config!$B$29)</f>
        <v>FALSE</v>
      </c>
      <c r="Y38" t="str">
        <f>IF($AT38="","",INDEX(Calc!$I$2:$I$1601,$AT38)&amp;" - "&amp;INDEX(Calc!$D$2:$D$1601,$AT38)&amp;" koli")</f>
        <v>26072704305528ppN2RL5 (1) - 1 koli</v>
      </c>
      <c r="Z38" t="str">
        <f>IF($AS38="","",Config!$B$21)</f>
        <v>FALSE</v>
      </c>
      <c r="AA38" t="str">
        <f>IF($AS38="","",Config!$B$22)</f>
        <v>RDO</v>
      </c>
      <c r="AB38">
        <f>IF($AT38="","",INDEX(Calc!$D$2:$D$1601,$AT38))</f>
        <v>1</v>
      </c>
      <c r="AC38" t="str">
        <f>IF($AT38="","",INDEX(Calc!$G$2:$G$1601,$AT38))</f>
        <v>26072704305528ppN2RL5-01</v>
      </c>
      <c r="AD38">
        <f>IF($AS38="","",Config!$B$23)</f>
        <v>0</v>
      </c>
      <c r="AE38">
        <f>IF($AS38="","",Config!$B$28)</f>
        <v>1</v>
      </c>
      <c r="AF38">
        <f t="shared" si="2"/>
        <v>10</v>
      </c>
      <c r="AG38">
        <f t="shared" si="3"/>
        <v>90.05</v>
      </c>
      <c r="AH38">
        <f t="shared" si="4"/>
        <v>10</v>
      </c>
      <c r="AI38">
        <f>IF($AG38="","",SUMIF($AG$2:$AG38,$AG38,$AH$2:$AH38))</f>
        <v>10</v>
      </c>
      <c r="AJ38" t="str">
        <f>IF('TMP Paste'!$F38="","",IF('TMP Paste'!$B38="",$AJ37,'TMP Paste'!$B38))</f>
        <v/>
      </c>
      <c r="AK38" t="str">
        <f>IF('TMP Paste'!$F38="","",N('TMP Paste'!$G38))</f>
        <v/>
      </c>
      <c r="AL38" t="str">
        <f>IF('TMP Paste'!$F38="","",IF('TMP Paste'!$M38="",$AL37,'TMP Paste'!$M38))</f>
        <v/>
      </c>
      <c r="AM38" t="str">
        <f>IF('TMP Paste'!$F38="","",IF('TMP Paste'!$N38="",$AM37,'TMP Paste'!$N38))</f>
        <v/>
      </c>
      <c r="AN38" t="str">
        <f>IF('TMP Paste'!$F38="","",IF('TMP Paste'!$O38="",$AN37,'TMP Paste'!$O38))</f>
        <v/>
      </c>
      <c r="AO38" t="str">
        <f>IF('TMP Paste'!$F38="","",IF('TMP Paste'!$P38="",$AO37,'TMP Paste'!$P38))</f>
        <v/>
      </c>
      <c r="AP38">
        <f t="shared" si="5"/>
        <v>266</v>
      </c>
      <c r="AQ38" t="str">
        <f>IF($AS38="","",TRIM(IF(COUNTIFS(Calc!$B$2:$B$1601,ROW()-1,Calc!$C$2:$C$1601,"&lt;1")&gt;0,"Ada PO tanpa Koli - cek TMP. ","")&amp;IF(OR($AU38="",$AU38&lt;=0),"Volume kosong/0 - dimensi dikosongkan. ","")&amp;IF(AND($AU38&lt;&gt;"",$AU38&gt;=1000000),"Volume &gt;= 1.000.000 cm3 (di luar aturan) - dimensi dikosongkan. ","")&amp;IF(LEN($R38)&gt;500,"R &gt; 500 karakter.","")))</f>
        <v/>
      </c>
      <c r="AS38">
        <f>IFERROR(MATCH(ROW()-1,Calc!$J$2:$J$1601,0),"")</f>
        <v>77</v>
      </c>
      <c r="AT38">
        <f>IFERROR(MATCH(ROW()-1,Calc!$K$2:$K$1601,0),"")</f>
        <v>77</v>
      </c>
      <c r="AU38">
        <f>IF($AS38="","",IFERROR(INDEX('TMP Paste'!$D$2:$D$1601,$AS38)*1000000/$AB38,""))</f>
        <v>9005</v>
      </c>
    </row>
    <row r="39" spans="1:47">
      <c r="A39" t="str">
        <f>IF($AS39="","",INDEX('TMP Paste'!$B$2:$B$1601,$AS39))</f>
        <v>AWB02WMBR</v>
      </c>
      <c r="B39">
        <f>IF($AS39="","",Config!$B$14)</f>
        <v>11398423</v>
      </c>
      <c r="C39" t="str">
        <f>IF($AS39="","",Config!$B$15)</f>
        <v>Corporate B2B Bundle</v>
      </c>
      <c r="D39" t="str">
        <f>IF($AS39="","",INDEX('TMP Paste'!$B$2:$B$1601,$AS39))</f>
        <v>AWB02WMBR</v>
      </c>
      <c r="E39" t="str">
        <f>IF($AS39="","",Config!$B$27)</f>
        <v>STANDARD</v>
      </c>
      <c r="F39" t="str">
        <f>IF($AS39="","",Config!$B$9)</f>
        <v>PT Teknologi Medika Pratama (SwipeRx) (B2BR)</v>
      </c>
      <c r="G39" t="str">
        <f>IF($AS39="","",Config!$B$10)</f>
        <v>087733785699</v>
      </c>
      <c r="H39" t="str">
        <f>IF($AS39="","",Config!$B$11)</f>
        <v>Jl. Tugu Raya, Tugu, Kec. Cimanggis, Kota Depok, Jawa Barat 16451,KUBIK LOGISTICS - Kompleks Pergudangan,Gudang E1</v>
      </c>
      <c r="I39" t="str">
        <f>IF($AS39="","",Config!$B$16)</f>
        <v>ID</v>
      </c>
      <c r="J39" t="str">
        <f>IF($AS39="","",INDEX('TMP Paste'!$A$2:$A$1601,$AS39))</f>
        <v>Apotek Kalimulya Kalimulya Cilodong</v>
      </c>
      <c r="K39" t="str">
        <f>IF($AS39="","",INDEX('TMP Paste'!$L$2:$L$1601,$AS39))</f>
        <v>6285263336109</v>
      </c>
      <c r="L39" t="str">
        <f>IF($AS39="","",INDEX('TMP Paste'!$I$2:$I$1601,$AS39))</f>
        <v>13426-Jl. Raya Kalimulya RT. 005 RW. 002, Desa/Kel. Kalimulya, Kec. Cilodong, Kota Depok</v>
      </c>
      <c r="M39" t="str">
        <f>IF($AS39="","",Config!$B$16)</f>
        <v>ID</v>
      </c>
      <c r="N39" t="str">
        <f t="shared" si="0"/>
        <v/>
      </c>
      <c r="O39" t="str">
        <f>IF($AS39="","",INDEX('TMP Paste'!$K$2:$K$1601,$AS39))</f>
        <v>Kota Depok</v>
      </c>
      <c r="P39" t="str">
        <f t="shared" si="1"/>
        <v/>
      </c>
      <c r="Q39">
        <f>IF($AS39="","",INDEX('TMP Paste'!$J$2:$J$1601,$AS39))</f>
        <v>16413</v>
      </c>
      <c r="R39" t="str">
        <f>IF($AS39="","",Config!$B$24)</f>
        <v>Delivery Note wajib ada nama penerima, ditandatangani dan distempel penerima. Jika di label tertera "SP Manual", maka dokumen SP Manual harus diminta ke penerima sesuai dengan jumlah PO yang butuh SP Manual. Apabila ada retur, catat di Delivery Note dan update ke IC</v>
      </c>
      <c r="S39" t="str">
        <f ca="1">IF($AS39="","",TEXT(Config!$B$4,"yyyy-mm-dd"))</f>
        <v>2026-08-18</v>
      </c>
      <c r="T39" t="str">
        <f>IF($AS39="","",Config!$B$17)</f>
        <v>09:00</v>
      </c>
      <c r="U39" t="str">
        <f>IF($AS39="","",Config!$B$18)</f>
        <v>22:00</v>
      </c>
      <c r="V39" t="str">
        <f>IF($AS39="","",Config!$B$19)</f>
        <v>Asia/Jakarta</v>
      </c>
      <c r="W39">
        <f>IF($AS39="","",INDEX('TMP Paste'!$C$2:$C$1601,$AS39))</f>
        <v>6.83</v>
      </c>
      <c r="X39" t="str">
        <f>IF($AS39="","",Config!$B$29)</f>
        <v>FALSE</v>
      </c>
      <c r="Y39" t="str">
        <f>IF($AT39="","",INDEX(Calc!$I$2:$I$1601,$AT39)&amp;" - "&amp;INDEX(Calc!$D$2:$D$1601,$AT39)&amp;" koli")</f>
        <v>260728035150397r7WBD2c6 (1), 26072803515040WR8YD6H9a (2) - 3 koli</v>
      </c>
      <c r="Z39" t="str">
        <f>IF($AS39="","",Config!$B$21)</f>
        <v>FALSE</v>
      </c>
      <c r="AA39" t="str">
        <f>IF($AS39="","",Config!$B$22)</f>
        <v>RDO</v>
      </c>
      <c r="AB39">
        <f>IF($AT39="","",INDEX(Calc!$D$2:$D$1601,$AT39))</f>
        <v>3</v>
      </c>
      <c r="AC39" t="str">
        <f>IF($AT39="","",INDEX(Calc!$G$2:$G$1601,$AT39))</f>
        <v>260728035150397r7WBD2c6-01, 26072803515040WR8YD6H9a-02, 26072803515040WR8YD6H9a-03</v>
      </c>
      <c r="AD39">
        <f>IF($AS39="","",Config!$B$23)</f>
        <v>0</v>
      </c>
      <c r="AE39">
        <f>IF($AS39="","",Config!$B$28)</f>
        <v>1</v>
      </c>
      <c r="AF39">
        <f t="shared" si="2"/>
        <v>10</v>
      </c>
      <c r="AG39">
        <f t="shared" si="3"/>
        <v>58.4066666666667</v>
      </c>
      <c r="AH39">
        <f t="shared" si="4"/>
        <v>10</v>
      </c>
      <c r="AI39">
        <f>IF($AG39="","",SUMIF($AG$2:$AG39,$AG39,$AH$2:$AH39))</f>
        <v>10</v>
      </c>
      <c r="AJ39" t="str">
        <f>IF('TMP Paste'!$F39="","",IF('TMP Paste'!$B39="",$AJ38,'TMP Paste'!$B39))</f>
        <v>AWB02WJMV</v>
      </c>
      <c r="AK39">
        <f>IF('TMP Paste'!$F39="","",N('TMP Paste'!$G39))</f>
        <v>0</v>
      </c>
      <c r="AL39">
        <f>IF('TMP Paste'!$F39="","",IF('TMP Paste'!$M39="",$AL38,'TMP Paste'!$M39))</f>
        <v>1</v>
      </c>
      <c r="AM39" t="str">
        <f>IF('TMP Paste'!$F39="","",IF('TMP Paste'!$N39="",$AM38,'TMP Paste'!$N39))</f>
        <v/>
      </c>
      <c r="AN39" t="str">
        <f>IF('TMP Paste'!$F39="","",IF('TMP Paste'!$O39="",$AN38,'TMP Paste'!$O39))</f>
        <v/>
      </c>
      <c r="AO39" t="str">
        <f>IF('TMP Paste'!$F39="","",IF('TMP Paste'!$P39="",$AO38,'TMP Paste'!$P39))</f>
        <v/>
      </c>
      <c r="AP39">
        <f t="shared" si="5"/>
        <v>266</v>
      </c>
      <c r="AQ39" t="str">
        <f>IF($AS39="","",TRIM(IF(COUNTIFS(Calc!$B$2:$B$1601,ROW()-1,Calc!$C$2:$C$1601,"&lt;1")&gt;0,"Ada PO tanpa Koli - cek TMP. ","")&amp;IF(OR($AU39="",$AU39&lt;=0),"Volume kosong/0 - dimensi dikosongkan. ","")&amp;IF(AND($AU39&lt;&gt;"",$AU39&gt;=1000000),"Volume &gt;= 1.000.000 cm3 (di luar aturan) - dimensi dikosongkan. ","")&amp;IF(LEN($R39)&gt;500,"R &gt; 500 karakter.","")))</f>
        <v/>
      </c>
      <c r="AS39">
        <f>IFERROR(MATCH(ROW()-1,Calc!$J$2:$J$1601,0),"")</f>
        <v>78</v>
      </c>
      <c r="AT39">
        <f>IFERROR(MATCH(ROW()-1,Calc!$K$2:$K$1601,0),"")</f>
        <v>79</v>
      </c>
      <c r="AU39">
        <f>IF($AS39="","",IFERROR(INDEX('TMP Paste'!$D$2:$D$1601,$AS39)*1000000/$AB39,""))</f>
        <v>5840.66666666667</v>
      </c>
    </row>
    <row r="40" spans="1:47">
      <c r="A40" t="str">
        <f>IF($AS40="","",INDEX('TMP Paste'!$B$2:$B$1601,$AS40))</f>
        <v>AWB02WHNK</v>
      </c>
      <c r="B40">
        <f>IF($AS40="","",Config!$B$14)</f>
        <v>11398423</v>
      </c>
      <c r="C40" t="str">
        <f>IF($AS40="","",Config!$B$15)</f>
        <v>Corporate B2B Bundle</v>
      </c>
      <c r="D40" t="str">
        <f>IF($AS40="","",INDEX('TMP Paste'!$B$2:$B$1601,$AS40))</f>
        <v>AWB02WHNK</v>
      </c>
      <c r="E40" t="str">
        <f>IF($AS40="","",Config!$B$27)</f>
        <v>STANDARD</v>
      </c>
      <c r="F40" t="str">
        <f>IF($AS40="","",Config!$B$9)</f>
        <v>PT Teknologi Medika Pratama (SwipeRx) (B2BR)</v>
      </c>
      <c r="G40" t="str">
        <f>IF($AS40="","",Config!$B$10)</f>
        <v>087733785699</v>
      </c>
      <c r="H40" t="str">
        <f>IF($AS40="","",Config!$B$11)</f>
        <v>Jl. Tugu Raya, Tugu, Kec. Cimanggis, Kota Depok, Jawa Barat 16451,KUBIK LOGISTICS - Kompleks Pergudangan,Gudang E1</v>
      </c>
      <c r="I40" t="str">
        <f>IF($AS40="","",Config!$B$16)</f>
        <v>ID</v>
      </c>
      <c r="J40" t="str">
        <f>IF($AS40="","",INDEX('TMP Paste'!$A$2:$A$1601,$AS40))</f>
        <v>Apotek Kartini</v>
      </c>
      <c r="K40" t="str">
        <f>IF($AS40="","",INDEX('TMP Paste'!$L$2:$L$1601,$AS40))</f>
        <v>6285719246772</v>
      </c>
      <c r="L40" t="str">
        <f>IF($AS40="","",INDEX('TMP Paste'!$I$2:$I$1601,$AS40))</f>
        <v>536-Jalan Kartini No. 78 RT 004 RW 009, Kelurahan Pancoranmas, Kecamatan Pancoranmas, Kota Depok, Jawa Barat 16436</v>
      </c>
      <c r="M40" t="str">
        <f>IF($AS40="","",Config!$B$16)</f>
        <v>ID</v>
      </c>
      <c r="N40" t="str">
        <f t="shared" si="0"/>
        <v/>
      </c>
      <c r="O40" t="str">
        <f>IF($AS40="","",INDEX('TMP Paste'!$K$2:$K$1601,$AS40))</f>
        <v>Kota Depok</v>
      </c>
      <c r="P40" t="str">
        <f t="shared" si="1"/>
        <v/>
      </c>
      <c r="Q40">
        <f>IF($AS40="","",INDEX('TMP Paste'!$J$2:$J$1601,$AS40))</f>
        <v>16436</v>
      </c>
      <c r="R40" t="str">
        <f>IF($AS40="","",Config!$B$24)</f>
        <v>Delivery Note wajib ada nama penerima, ditandatangani dan distempel penerima. Jika di label tertera "SP Manual", maka dokumen SP Manual harus diminta ke penerima sesuai dengan jumlah PO yang butuh SP Manual. Apabila ada retur, catat di Delivery Note dan update ke IC</v>
      </c>
      <c r="S40" t="str">
        <f ca="1">IF($AS40="","",TEXT(Config!$B$4,"yyyy-mm-dd"))</f>
        <v>2026-08-18</v>
      </c>
      <c r="T40" t="str">
        <f>IF($AS40="","",Config!$B$17)</f>
        <v>09:00</v>
      </c>
      <c r="U40" t="str">
        <f>IF($AS40="","",Config!$B$18)</f>
        <v>22:00</v>
      </c>
      <c r="V40" t="str">
        <f>IF($AS40="","",Config!$B$19)</f>
        <v>Asia/Jakarta</v>
      </c>
      <c r="W40">
        <f>IF($AS40="","",INDEX('TMP Paste'!$C$2:$C$1601,$AS40))</f>
        <v>1.96</v>
      </c>
      <c r="X40" t="str">
        <f>IF($AS40="","",Config!$B$29)</f>
        <v>FALSE</v>
      </c>
      <c r="Y40" t="str">
        <f>IF($AT40="","",INDEX(Calc!$I$2:$I$1601,$AT40)&amp;" - "&amp;INDEX(Calc!$D$2:$D$1601,$AT40)&amp;" koli")</f>
        <v>26072704341502qdbRVQ5P (1), 26072712032924MjdyBhu (1), 260728033101816irAnKvBHn (1), 26072803310181m8tf9X6oL (1) - 4 koli</v>
      </c>
      <c r="Z40" t="str">
        <f>IF($AS40="","",Config!$B$21)</f>
        <v>FALSE</v>
      </c>
      <c r="AA40" t="str">
        <f>IF($AS40="","",Config!$B$22)</f>
        <v>RDO</v>
      </c>
      <c r="AB40">
        <f>IF($AT40="","",INDEX(Calc!$D$2:$D$1601,$AT40))</f>
        <v>4</v>
      </c>
      <c r="AC40" t="str">
        <f>IF($AT40="","",INDEX(Calc!$G$2:$G$1601,$AT40))</f>
        <v>26072704341502qdbRVQ5P-01, 26072712032924MjdyBhu-02, 260728033101816irAnKvBHn-03, 26072803310181m8tf9X6oL-04</v>
      </c>
      <c r="AD40">
        <f>IF($AS40="","",Config!$B$23)</f>
        <v>0</v>
      </c>
      <c r="AE40">
        <f>IF($AS40="","",Config!$B$28)</f>
        <v>1</v>
      </c>
      <c r="AF40">
        <f t="shared" si="2"/>
        <v>10</v>
      </c>
      <c r="AG40">
        <f t="shared" si="3"/>
        <v>17.195</v>
      </c>
      <c r="AH40">
        <f t="shared" si="4"/>
        <v>10</v>
      </c>
      <c r="AI40">
        <f>IF($AG40="","",SUMIF($AG$2:$AG40,$AG40,$AH$2:$AH40))</f>
        <v>10</v>
      </c>
      <c r="AJ40" t="str">
        <f>IF('TMP Paste'!$F40="","",IF('TMP Paste'!$B40="",$AJ39,'TMP Paste'!$B40))</f>
        <v/>
      </c>
      <c r="AK40" t="str">
        <f>IF('TMP Paste'!$F40="","",N('TMP Paste'!$G40))</f>
        <v/>
      </c>
      <c r="AL40" t="str">
        <f>IF('TMP Paste'!$F40="","",IF('TMP Paste'!$M40="",$AL39,'TMP Paste'!$M40))</f>
        <v/>
      </c>
      <c r="AM40" t="str">
        <f>IF('TMP Paste'!$F40="","",IF('TMP Paste'!$N40="",$AM39,'TMP Paste'!$N40))</f>
        <v/>
      </c>
      <c r="AN40" t="str">
        <f>IF('TMP Paste'!$F40="","",IF('TMP Paste'!$O40="",$AN39,'TMP Paste'!$O40))</f>
        <v/>
      </c>
      <c r="AO40" t="str">
        <f>IF('TMP Paste'!$F40="","",IF('TMP Paste'!$P40="",$AO39,'TMP Paste'!$P40))</f>
        <v/>
      </c>
      <c r="AP40">
        <f t="shared" si="5"/>
        <v>266</v>
      </c>
      <c r="AQ40" t="str">
        <f>IF($AS40="","",TRIM(IF(COUNTIFS(Calc!$B$2:$B$1601,ROW()-1,Calc!$C$2:$C$1601,"&lt;1")&gt;0,"Ada PO tanpa Koli - cek TMP. ","")&amp;IF(OR($AU40="",$AU40&lt;=0),"Volume kosong/0 - dimensi dikosongkan. ","")&amp;IF(AND($AU40&lt;&gt;"",$AU40&gt;=1000000),"Volume &gt;= 1.000.000 cm3 (di luar aturan) - dimensi dikosongkan. ","")&amp;IF(LEN($R40)&gt;500,"R &gt; 500 karakter.","")))</f>
        <v/>
      </c>
      <c r="AS40">
        <f>IFERROR(MATCH(ROW()-1,Calc!$J$2:$J$1601,0),"")</f>
        <v>80</v>
      </c>
      <c r="AT40">
        <f>IFERROR(MATCH(ROW()-1,Calc!$K$2:$K$1601,0),"")</f>
        <v>83</v>
      </c>
      <c r="AU40">
        <f>IF($AS40="","",IFERROR(INDEX('TMP Paste'!$D$2:$D$1601,$AS40)*1000000/$AB40,""))</f>
        <v>1719.5</v>
      </c>
    </row>
    <row r="41" spans="1:47">
      <c r="A41" t="str">
        <f>IF($AS41="","",INDEX('TMP Paste'!$B$2:$B$1601,$AS41))</f>
        <v>AWB02WHKT</v>
      </c>
      <c r="B41">
        <f>IF($AS41="","",Config!$B$14)</f>
        <v>11398423</v>
      </c>
      <c r="C41" t="str">
        <f>IF($AS41="","",Config!$B$15)</f>
        <v>Corporate B2B Bundle</v>
      </c>
      <c r="D41" t="str">
        <f>IF($AS41="","",INDEX('TMP Paste'!$B$2:$B$1601,$AS41))</f>
        <v>AWB02WHKT</v>
      </c>
      <c r="E41" t="str">
        <f>IF($AS41="","",Config!$B$27)</f>
        <v>STANDARD</v>
      </c>
      <c r="F41" t="str">
        <f>IF($AS41="","",Config!$B$9)</f>
        <v>PT Teknologi Medika Pratama (SwipeRx) (B2BR)</v>
      </c>
      <c r="G41" t="str">
        <f>IF($AS41="","",Config!$B$10)</f>
        <v>087733785699</v>
      </c>
      <c r="H41" t="str">
        <f>IF($AS41="","",Config!$B$11)</f>
        <v>Jl. Tugu Raya, Tugu, Kec. Cimanggis, Kota Depok, Jawa Barat 16451,KUBIK LOGISTICS - Kompleks Pergudangan,Gudang E1</v>
      </c>
      <c r="I41" t="str">
        <f>IF($AS41="","",Config!$B$16)</f>
        <v>ID</v>
      </c>
      <c r="J41" t="str">
        <f>IF($AS41="","",INDEX('TMP Paste'!$A$2:$A$1601,$AS41))</f>
        <v>Apotek Karunia Farma Curug Bojongsari</v>
      </c>
      <c r="K41" t="str">
        <f>IF($AS41="","",INDEX('TMP Paste'!$L$2:$L$1601,$AS41))</f>
        <v>6282261115996</v>
      </c>
      <c r="L41" t="str">
        <f>IF($AS41="","",INDEX('TMP Paste'!$I$2:$I$1601,$AS41))</f>
        <v>16776-Jl. Raya Curug No.80 A, Desa/Kelurahan Curug, Kec. Bojongsari, Kota Depok</v>
      </c>
      <c r="M41" t="str">
        <f>IF($AS41="","",Config!$B$16)</f>
        <v>ID</v>
      </c>
      <c r="N41" t="str">
        <f t="shared" si="0"/>
        <v/>
      </c>
      <c r="O41" t="str">
        <f>IF($AS41="","",INDEX('TMP Paste'!$K$2:$K$1601,$AS41))</f>
        <v>Kota Depok</v>
      </c>
      <c r="P41" t="str">
        <f t="shared" si="1"/>
        <v/>
      </c>
      <c r="Q41">
        <f>IF($AS41="","",INDEX('TMP Paste'!$J$2:$J$1601,$AS41))</f>
        <v>16517</v>
      </c>
      <c r="R41" t="str">
        <f>IF($AS41="","",Config!$B$24)</f>
        <v>Delivery Note wajib ada nama penerima, ditandatangani dan distempel penerima. Jika di label tertera "SP Manual", maka dokumen SP Manual harus diminta ke penerima sesuai dengan jumlah PO yang butuh SP Manual. Apabila ada retur, catat di Delivery Note dan update ke IC</v>
      </c>
      <c r="S41" t="str">
        <f ca="1">IF($AS41="","",TEXT(Config!$B$4,"yyyy-mm-dd"))</f>
        <v>2026-08-18</v>
      </c>
      <c r="T41" t="str">
        <f>IF($AS41="","",Config!$B$17)</f>
        <v>09:00</v>
      </c>
      <c r="U41" t="str">
        <f>IF($AS41="","",Config!$B$18)</f>
        <v>22:00</v>
      </c>
      <c r="V41" t="str">
        <f>IF($AS41="","",Config!$B$19)</f>
        <v>Asia/Jakarta</v>
      </c>
      <c r="W41">
        <f>IF($AS41="","",INDEX('TMP Paste'!$C$2:$C$1601,$AS41))</f>
        <v>1.39</v>
      </c>
      <c r="X41" t="str">
        <f>IF($AS41="","",Config!$B$29)</f>
        <v>FALSE</v>
      </c>
      <c r="Y41" t="str">
        <f>IF($AT41="","",INDEX(Calc!$I$2:$I$1601,$AT41)&amp;" - "&amp;INDEX(Calc!$D$2:$D$1601,$AT41)&amp;" koli")</f>
        <v>260727042103423Z7gUddIeC (1), 26072704210342Ptkz57fgS (1) - 2 koli</v>
      </c>
      <c r="Z41" t="str">
        <f>IF($AS41="","",Config!$B$21)</f>
        <v>FALSE</v>
      </c>
      <c r="AA41" t="str">
        <f>IF($AS41="","",Config!$B$22)</f>
        <v>RDO</v>
      </c>
      <c r="AB41">
        <f>IF($AT41="","",INDEX(Calc!$D$2:$D$1601,$AT41))</f>
        <v>2</v>
      </c>
      <c r="AC41" t="str">
        <f>IF($AT41="","",INDEX(Calc!$G$2:$G$1601,$AT41))</f>
        <v>260727042103423Z7gUddIeC-01, 26072704210342Ptkz57fgS-02</v>
      </c>
      <c r="AD41">
        <f>IF($AS41="","",Config!$B$23)</f>
        <v>0</v>
      </c>
      <c r="AE41">
        <f>IF($AS41="","",Config!$B$28)</f>
        <v>1</v>
      </c>
      <c r="AF41">
        <f t="shared" si="2"/>
        <v>10</v>
      </c>
      <c r="AG41">
        <f t="shared" si="3"/>
        <v>22.5</v>
      </c>
      <c r="AH41">
        <f t="shared" si="4"/>
        <v>10</v>
      </c>
      <c r="AI41">
        <f>IF($AG41="","",SUMIF($AG$2:$AG41,$AG41,$AH$2:$AH41))</f>
        <v>10</v>
      </c>
      <c r="AJ41" t="str">
        <f>IF('TMP Paste'!$F41="","",IF('TMP Paste'!$B41="",$AJ40,'TMP Paste'!$B41))</f>
        <v/>
      </c>
      <c r="AK41" t="str">
        <f>IF('TMP Paste'!$F41="","",N('TMP Paste'!$G41))</f>
        <v/>
      </c>
      <c r="AL41" t="str">
        <f>IF('TMP Paste'!$F41="","",IF('TMP Paste'!$M41="",$AL40,'TMP Paste'!$M41))</f>
        <v/>
      </c>
      <c r="AM41" t="str">
        <f>IF('TMP Paste'!$F41="","",IF('TMP Paste'!$N41="",$AM40,'TMP Paste'!$N41))</f>
        <v/>
      </c>
      <c r="AN41" t="str">
        <f>IF('TMP Paste'!$F41="","",IF('TMP Paste'!$O41="",$AN40,'TMP Paste'!$O41))</f>
        <v/>
      </c>
      <c r="AO41" t="str">
        <f>IF('TMP Paste'!$F41="","",IF('TMP Paste'!$P41="",$AO40,'TMP Paste'!$P41))</f>
        <v/>
      </c>
      <c r="AP41">
        <f t="shared" si="5"/>
        <v>266</v>
      </c>
      <c r="AQ41" t="str">
        <f>IF($AS41="","",TRIM(IF(COUNTIFS(Calc!$B$2:$B$1601,ROW()-1,Calc!$C$2:$C$1601,"&lt;1")&gt;0,"Ada PO tanpa Koli - cek TMP. ","")&amp;IF(OR($AU41="",$AU41&lt;=0),"Volume kosong/0 - dimensi dikosongkan. ","")&amp;IF(AND($AU41&lt;&gt;"",$AU41&gt;=1000000),"Volume &gt;= 1.000.000 cm3 (di luar aturan) - dimensi dikosongkan. ","")&amp;IF(LEN($R41)&gt;500,"R &gt; 500 karakter.","")))</f>
        <v/>
      </c>
      <c r="AS41">
        <f>IFERROR(MATCH(ROW()-1,Calc!$J$2:$J$1601,0),"")</f>
        <v>84</v>
      </c>
      <c r="AT41">
        <f>IFERROR(MATCH(ROW()-1,Calc!$K$2:$K$1601,0),"")</f>
        <v>85</v>
      </c>
      <c r="AU41">
        <f>IF($AS41="","",IFERROR(INDEX('TMP Paste'!$D$2:$D$1601,$AS41)*1000000/$AB41,""))</f>
        <v>2250</v>
      </c>
    </row>
    <row r="42" spans="1:47">
      <c r="A42" t="str">
        <f>IF($AS42="","",INDEX('TMP Paste'!$B$2:$B$1601,$AS42))</f>
        <v>AWB02WKAF</v>
      </c>
      <c r="B42">
        <f>IF($AS42="","",Config!$B$14)</f>
        <v>11398423</v>
      </c>
      <c r="C42" t="str">
        <f>IF($AS42="","",Config!$B$15)</f>
        <v>Corporate B2B Bundle</v>
      </c>
      <c r="D42" t="str">
        <f>IF($AS42="","",INDEX('TMP Paste'!$B$2:$B$1601,$AS42))</f>
        <v>AWB02WKAF</v>
      </c>
      <c r="E42" t="str">
        <f>IF($AS42="","",Config!$B$27)</f>
        <v>STANDARD</v>
      </c>
      <c r="F42" t="str">
        <f>IF($AS42="","",Config!$B$9)</f>
        <v>PT Teknologi Medika Pratama (SwipeRx) (B2BR)</v>
      </c>
      <c r="G42" t="str">
        <f>IF($AS42="","",Config!$B$10)</f>
        <v>087733785699</v>
      </c>
      <c r="H42" t="str">
        <f>IF($AS42="","",Config!$B$11)</f>
        <v>Jl. Tugu Raya, Tugu, Kec. Cimanggis, Kota Depok, Jawa Barat 16451,KUBIK LOGISTICS - Kompleks Pergudangan,Gudang E1</v>
      </c>
      <c r="I42" t="str">
        <f>IF($AS42="","",Config!$B$16)</f>
        <v>ID</v>
      </c>
      <c r="J42" t="str">
        <f>IF($AS42="","",INDEX('TMP Paste'!$A$2:$A$1601,$AS42))</f>
        <v>Apotek Karunia Sejahtera Jatimurni Pondok Melati</v>
      </c>
      <c r="K42" t="str">
        <f>IF($AS42="","",INDEX('TMP Paste'!$L$2:$L$1601,$AS42))</f>
        <v>6285881785140</v>
      </c>
      <c r="L42" t="str">
        <f>IF($AS42="","",INDEX('TMP Paste'!$I$2:$I$1601,$AS42))</f>
        <v>12876-Jl. Raya Kampung Sawah No. 2 RT. 007 RW. 001 Desa/Kelurahan Jatimurni, Kec. Pondokmelati, Kota Bekasi</v>
      </c>
      <c r="M42" t="str">
        <f>IF($AS42="","",Config!$B$16)</f>
        <v>ID</v>
      </c>
      <c r="N42" t="str">
        <f t="shared" si="0"/>
        <v/>
      </c>
      <c r="O42" t="str">
        <f>IF($AS42="","",INDEX('TMP Paste'!$K$2:$K$1601,$AS42))</f>
        <v>Kota Bekasi</v>
      </c>
      <c r="P42" t="str">
        <f t="shared" si="1"/>
        <v/>
      </c>
      <c r="Q42">
        <f>IF($AS42="","",INDEX('TMP Paste'!$J$2:$J$1601,$AS42))</f>
        <v>17431</v>
      </c>
      <c r="R42" t="str">
        <f>IF($AS42="","",Config!$B$24)</f>
        <v>Delivery Note wajib ada nama penerima, ditandatangani dan distempel penerima. Jika di label tertera "SP Manual", maka dokumen SP Manual harus diminta ke penerima sesuai dengan jumlah PO yang butuh SP Manual. Apabila ada retur, catat di Delivery Note dan update ke IC</v>
      </c>
      <c r="S42" t="str">
        <f ca="1">IF($AS42="","",TEXT(Config!$B$4,"yyyy-mm-dd"))</f>
        <v>2026-08-18</v>
      </c>
      <c r="T42" t="str">
        <f>IF($AS42="","",Config!$B$17)</f>
        <v>09:00</v>
      </c>
      <c r="U42" t="str">
        <f>IF($AS42="","",Config!$B$18)</f>
        <v>22:00</v>
      </c>
      <c r="V42" t="str">
        <f>IF($AS42="","",Config!$B$19)</f>
        <v>Asia/Jakarta</v>
      </c>
      <c r="W42">
        <f>IF($AS42="","",INDEX('TMP Paste'!$C$2:$C$1601,$AS42))</f>
        <v>3.03</v>
      </c>
      <c r="X42" t="str">
        <f>IF($AS42="","",Config!$B$29)</f>
        <v>FALSE</v>
      </c>
      <c r="Y42" t="str">
        <f>IF($AT42="","",INDEX(Calc!$I$2:$I$1601,$AT42)&amp;" - "&amp;INDEX(Calc!$D$2:$D$1601,$AT42)&amp;" koli")</f>
        <v>26072723241347gQeGJZgTe (1), 26072802112338LNmw0XGb6 (1) - 2 koli</v>
      </c>
      <c r="Z42" t="str">
        <f>IF($AS42="","",Config!$B$21)</f>
        <v>FALSE</v>
      </c>
      <c r="AA42" t="str">
        <f>IF($AS42="","",Config!$B$22)</f>
        <v>RDO</v>
      </c>
      <c r="AB42">
        <f>IF($AT42="","",INDEX(Calc!$D$2:$D$1601,$AT42))</f>
        <v>2</v>
      </c>
      <c r="AC42" t="str">
        <f>IF($AT42="","",INDEX(Calc!$G$2:$G$1601,$AT42))</f>
        <v>26072723241347gQeGJZgTe-01, 26072802112338LNmw0XGb6-02</v>
      </c>
      <c r="AD42">
        <f>IF($AS42="","",Config!$B$23)</f>
        <v>0</v>
      </c>
      <c r="AE42">
        <f>IF($AS42="","",Config!$B$28)</f>
        <v>1</v>
      </c>
      <c r="AF42">
        <f t="shared" si="2"/>
        <v>10</v>
      </c>
      <c r="AG42">
        <f t="shared" si="3"/>
        <v>74.735</v>
      </c>
      <c r="AH42">
        <f t="shared" si="4"/>
        <v>10</v>
      </c>
      <c r="AI42">
        <f>IF($AG42="","",SUMIF($AG$2:$AG42,$AG42,$AH$2:$AH42))</f>
        <v>10</v>
      </c>
      <c r="AJ42" t="str">
        <f>IF('TMP Paste'!$F42="","",IF('TMP Paste'!$B42="",$AJ41,'TMP Paste'!$B42))</f>
        <v/>
      </c>
      <c r="AK42" t="str">
        <f>IF('TMP Paste'!$F42="","",N('TMP Paste'!$G42))</f>
        <v/>
      </c>
      <c r="AL42" t="str">
        <f>IF('TMP Paste'!$F42="","",IF('TMP Paste'!$M42="",$AL41,'TMP Paste'!$M42))</f>
        <v/>
      </c>
      <c r="AM42" t="str">
        <f>IF('TMP Paste'!$F42="","",IF('TMP Paste'!$N42="",$AM41,'TMP Paste'!$N42))</f>
        <v/>
      </c>
      <c r="AN42" t="str">
        <f>IF('TMP Paste'!$F42="","",IF('TMP Paste'!$O42="",$AN41,'TMP Paste'!$O42))</f>
        <v/>
      </c>
      <c r="AO42" t="str">
        <f>IF('TMP Paste'!$F42="","",IF('TMP Paste'!$P42="",$AO41,'TMP Paste'!$P42))</f>
        <v/>
      </c>
      <c r="AP42">
        <f t="shared" si="5"/>
        <v>266</v>
      </c>
      <c r="AQ42" t="str">
        <f>IF($AS42="","",TRIM(IF(COUNTIFS(Calc!$B$2:$B$1601,ROW()-1,Calc!$C$2:$C$1601,"&lt;1")&gt;0,"Ada PO tanpa Koli - cek TMP. ","")&amp;IF(OR($AU42="",$AU42&lt;=0),"Volume kosong/0 - dimensi dikosongkan. ","")&amp;IF(AND($AU42&lt;&gt;"",$AU42&gt;=1000000),"Volume &gt;= 1.000.000 cm3 (di luar aturan) - dimensi dikosongkan. ","")&amp;IF(LEN($R42)&gt;500,"R &gt; 500 karakter.","")))</f>
        <v/>
      </c>
      <c r="AS42">
        <f>IFERROR(MATCH(ROW()-1,Calc!$J$2:$J$1601,0),"")</f>
        <v>86</v>
      </c>
      <c r="AT42">
        <f>IFERROR(MATCH(ROW()-1,Calc!$K$2:$K$1601,0),"")</f>
        <v>87</v>
      </c>
      <c r="AU42">
        <f>IF($AS42="","",IFERROR(INDEX('TMP Paste'!$D$2:$D$1601,$AS42)*1000000/$AB42,""))</f>
        <v>7473.5</v>
      </c>
    </row>
    <row r="43" spans="1:47">
      <c r="A43" t="str">
        <f>IF($AS43="","",INDEX('TMP Paste'!$B$2:$B$1601,$AS43))</f>
        <v>AWB02WM96</v>
      </c>
      <c r="B43">
        <f>IF($AS43="","",Config!$B$14)</f>
        <v>11398423</v>
      </c>
      <c r="C43" t="str">
        <f>IF($AS43="","",Config!$B$15)</f>
        <v>Corporate B2B Bundle</v>
      </c>
      <c r="D43" t="str">
        <f>IF($AS43="","",INDEX('TMP Paste'!$B$2:$B$1601,$AS43))</f>
        <v>AWB02WM96</v>
      </c>
      <c r="E43" t="str">
        <f>IF($AS43="","",Config!$B$27)</f>
        <v>STANDARD</v>
      </c>
      <c r="F43" t="str">
        <f>IF($AS43="","",Config!$B$9)</f>
        <v>PT Teknologi Medika Pratama (SwipeRx) (B2BR)</v>
      </c>
      <c r="G43" t="str">
        <f>IF($AS43="","",Config!$B$10)</f>
        <v>087733785699</v>
      </c>
      <c r="H43" t="str">
        <f>IF($AS43="","",Config!$B$11)</f>
        <v>Jl. Tugu Raya, Tugu, Kec. Cimanggis, Kota Depok, Jawa Barat 16451,KUBIK LOGISTICS - Kompleks Pergudangan,Gudang E1</v>
      </c>
      <c r="I43" t="str">
        <f>IF($AS43="","",Config!$B$16)</f>
        <v>ID</v>
      </c>
      <c r="J43" t="str">
        <f>IF($AS43="","",INDEX('TMP Paste'!$A$2:$A$1601,$AS43))</f>
        <v>Apotek Kejayaan Abadijaya Sukmajaya</v>
      </c>
      <c r="K43" t="str">
        <f>IF($AS43="","",INDEX('TMP Paste'!$L$2:$L$1601,$AS43))</f>
        <v>6281281385101</v>
      </c>
      <c r="L43" t="str">
        <f>IF($AS43="","",INDEX('TMP Paste'!$I$2:$I$1601,$AS43))</f>
        <v>13718-Jl. Kejayaan No. 1 RT. 001 RW. 008,Desa/Kelurahan Abadijaya,Kecamatan Sukmajaya,Kota Depok,Jawa Barat,16417</v>
      </c>
      <c r="M43" t="str">
        <f>IF($AS43="","",Config!$B$16)</f>
        <v>ID</v>
      </c>
      <c r="N43" t="str">
        <f t="shared" si="0"/>
        <v/>
      </c>
      <c r="O43" t="str">
        <f>IF($AS43="","",INDEX('TMP Paste'!$K$2:$K$1601,$AS43))</f>
        <v>Kota Depok</v>
      </c>
      <c r="P43" t="str">
        <f t="shared" si="1"/>
        <v/>
      </c>
      <c r="Q43">
        <f>IF($AS43="","",INDEX('TMP Paste'!$J$2:$J$1601,$AS43))</f>
        <v>16417</v>
      </c>
      <c r="R43" t="str">
        <f>IF($AS43="","",Config!$B$24)</f>
        <v>Delivery Note wajib ada nama penerima, ditandatangani dan distempel penerima. Jika di label tertera "SP Manual", maka dokumen SP Manual harus diminta ke penerima sesuai dengan jumlah PO yang butuh SP Manual. Apabila ada retur, catat di Delivery Note dan update ke IC</v>
      </c>
      <c r="S43" t="str">
        <f ca="1">IF($AS43="","",TEXT(Config!$B$4,"yyyy-mm-dd"))</f>
        <v>2026-08-18</v>
      </c>
      <c r="T43" t="str">
        <f>IF($AS43="","",Config!$B$17)</f>
        <v>09:00</v>
      </c>
      <c r="U43" t="str">
        <f>IF($AS43="","",Config!$B$18)</f>
        <v>22:00</v>
      </c>
      <c r="V43" t="str">
        <f>IF($AS43="","",Config!$B$19)</f>
        <v>Asia/Jakarta</v>
      </c>
      <c r="W43">
        <f>IF($AS43="","",INDEX('TMP Paste'!$C$2:$C$1601,$AS43))</f>
        <v>1.14</v>
      </c>
      <c r="X43" t="str">
        <f>IF($AS43="","",Config!$B$29)</f>
        <v>FALSE</v>
      </c>
      <c r="Y43" t="str">
        <f>IF($AT43="","",INDEX(Calc!$I$2:$I$1601,$AT43)&amp;" - "&amp;INDEX(Calc!$D$2:$D$1601,$AT43)&amp;" koli")</f>
        <v>26072803451506gUV8kMu (1) - 1 koli</v>
      </c>
      <c r="Z43" t="str">
        <f>IF($AS43="","",Config!$B$21)</f>
        <v>FALSE</v>
      </c>
      <c r="AA43" t="str">
        <f>IF($AS43="","",Config!$B$22)</f>
        <v>RDO</v>
      </c>
      <c r="AB43">
        <f>IF($AT43="","",INDEX(Calc!$D$2:$D$1601,$AT43))</f>
        <v>1</v>
      </c>
      <c r="AC43" t="str">
        <f>IF($AT43="","",INDEX(Calc!$G$2:$G$1601,$AT43))</f>
        <v>26072803451506gUV8kMu-01</v>
      </c>
      <c r="AD43">
        <f>IF($AS43="","",Config!$B$23)</f>
        <v>0</v>
      </c>
      <c r="AE43">
        <f>IF($AS43="","",Config!$B$28)</f>
        <v>1</v>
      </c>
      <c r="AF43">
        <f t="shared" si="2"/>
        <v>10</v>
      </c>
      <c r="AG43">
        <f t="shared" si="3"/>
        <v>25.11</v>
      </c>
      <c r="AH43">
        <f t="shared" si="4"/>
        <v>10</v>
      </c>
      <c r="AI43">
        <f>IF($AG43="","",SUMIF($AG$2:$AG43,$AG43,$AH$2:$AH43))</f>
        <v>10</v>
      </c>
      <c r="AJ43" t="str">
        <f>IF('TMP Paste'!$F43="","",IF('TMP Paste'!$B43="",$AJ42,'TMP Paste'!$B43))</f>
        <v>AWB02WL7H</v>
      </c>
      <c r="AK43">
        <f>IF('TMP Paste'!$F43="","",N('TMP Paste'!$G43))</f>
        <v>0</v>
      </c>
      <c r="AL43">
        <f>IF('TMP Paste'!$F43="","",IF('TMP Paste'!$M43="",$AL42,'TMP Paste'!$M43))</f>
        <v>1</v>
      </c>
      <c r="AM43" t="str">
        <f>IF('TMP Paste'!$F43="","",IF('TMP Paste'!$N43="",$AM42,'TMP Paste'!$N43))</f>
        <v/>
      </c>
      <c r="AN43" t="str">
        <f>IF('TMP Paste'!$F43="","",IF('TMP Paste'!$O43="",$AN42,'TMP Paste'!$O43))</f>
        <v/>
      </c>
      <c r="AO43" t="str">
        <f>IF('TMP Paste'!$F43="","",IF('TMP Paste'!$P43="",$AO42,'TMP Paste'!$P43))</f>
        <v/>
      </c>
      <c r="AP43">
        <f t="shared" si="5"/>
        <v>266</v>
      </c>
      <c r="AQ43" t="str">
        <f>IF($AS43="","",TRIM(IF(COUNTIFS(Calc!$B$2:$B$1601,ROW()-1,Calc!$C$2:$C$1601,"&lt;1")&gt;0,"Ada PO tanpa Koli - cek TMP. ","")&amp;IF(OR($AU43="",$AU43&lt;=0),"Volume kosong/0 - dimensi dikosongkan. ","")&amp;IF(AND($AU43&lt;&gt;"",$AU43&gt;=1000000),"Volume &gt;= 1.000.000 cm3 (di luar aturan) - dimensi dikosongkan. ","")&amp;IF(LEN($R43)&gt;500,"R &gt; 500 karakter.","")))</f>
        <v/>
      </c>
      <c r="AS43">
        <f>IFERROR(MATCH(ROW()-1,Calc!$J$2:$J$1601,0),"")</f>
        <v>88</v>
      </c>
      <c r="AT43">
        <f>IFERROR(MATCH(ROW()-1,Calc!$K$2:$K$1601,0),"")</f>
        <v>88</v>
      </c>
      <c r="AU43">
        <f>IF($AS43="","",IFERROR(INDEX('TMP Paste'!$D$2:$D$1601,$AS43)*1000000/$AB43,""))</f>
        <v>2511</v>
      </c>
    </row>
    <row r="44" spans="1:47">
      <c r="A44" t="str">
        <f>IF($AS44="","",INDEX('TMP Paste'!$B$2:$B$1601,$AS44))</f>
        <v>AWB02WK0E</v>
      </c>
      <c r="B44">
        <f>IF($AS44="","",Config!$B$14)</f>
        <v>11398423</v>
      </c>
      <c r="C44" t="str">
        <f>IF($AS44="","",Config!$B$15)</f>
        <v>Corporate B2B Bundle</v>
      </c>
      <c r="D44" t="str">
        <f>IF($AS44="","",INDEX('TMP Paste'!$B$2:$B$1601,$AS44))</f>
        <v>AWB02WK0E</v>
      </c>
      <c r="E44" t="str">
        <f>IF($AS44="","",Config!$B$27)</f>
        <v>STANDARD</v>
      </c>
      <c r="F44" t="str">
        <f>IF($AS44="","",Config!$B$9)</f>
        <v>PT Teknologi Medika Pratama (SwipeRx) (B2BR)</v>
      </c>
      <c r="G44" t="str">
        <f>IF($AS44="","",Config!$B$10)</f>
        <v>087733785699</v>
      </c>
      <c r="H44" t="str">
        <f>IF($AS44="","",Config!$B$11)</f>
        <v>Jl. Tugu Raya, Tugu, Kec. Cimanggis, Kota Depok, Jawa Barat 16451,KUBIK LOGISTICS - Kompleks Pergudangan,Gudang E1</v>
      </c>
      <c r="I44" t="str">
        <f>IF($AS44="","",Config!$B$16)</f>
        <v>ID</v>
      </c>
      <c r="J44" t="str">
        <f>IF($AS44="","",INDEX('TMP Paste'!$A$2:$A$1601,$AS44))</f>
        <v>Apotek Kimora Farma</v>
      </c>
      <c r="K44" t="str">
        <f>IF($AS44="","",INDEX('TMP Paste'!$L$2:$L$1601,$AS44))</f>
        <v>81264679459</v>
      </c>
      <c r="L44" t="str">
        <f>IF($AS44="","",INDEX('TMP Paste'!$I$2:$I$1601,$AS44))</f>
        <v>2816-Jalan Raya Pondok Petir RT 01 RW 01 Kelurahan Pondok Petir Kecamatan Bojongsari Kota Depok 16517</v>
      </c>
      <c r="M44" t="str">
        <f>IF($AS44="","",Config!$B$16)</f>
        <v>ID</v>
      </c>
      <c r="N44" t="str">
        <f t="shared" si="0"/>
        <v/>
      </c>
      <c r="O44" t="str">
        <f>IF($AS44="","",INDEX('TMP Paste'!$K$2:$K$1601,$AS44))</f>
        <v>Kota Depok</v>
      </c>
      <c r="P44" t="str">
        <f t="shared" si="1"/>
        <v/>
      </c>
      <c r="Q44">
        <f>IF($AS44="","",INDEX('TMP Paste'!$J$2:$J$1601,$AS44))</f>
        <v>16517</v>
      </c>
      <c r="R44" t="str">
        <f>IF($AS44="","",Config!$B$24)</f>
        <v>Delivery Note wajib ada nama penerima, ditandatangani dan distempel penerima. Jika di label tertera "SP Manual", maka dokumen SP Manual harus diminta ke penerima sesuai dengan jumlah PO yang butuh SP Manual. Apabila ada retur, catat di Delivery Note dan update ke IC</v>
      </c>
      <c r="S44" t="str">
        <f ca="1">IF($AS44="","",TEXT(Config!$B$4,"yyyy-mm-dd"))</f>
        <v>2026-08-18</v>
      </c>
      <c r="T44" t="str">
        <f>IF($AS44="","",Config!$B$17)</f>
        <v>09:00</v>
      </c>
      <c r="U44" t="str">
        <f>IF($AS44="","",Config!$B$18)</f>
        <v>22:00</v>
      </c>
      <c r="V44" t="str">
        <f>IF($AS44="","",Config!$B$19)</f>
        <v>Asia/Jakarta</v>
      </c>
      <c r="W44">
        <f>IF($AS44="","",INDEX('TMP Paste'!$C$2:$C$1601,$AS44))</f>
        <v>44.71</v>
      </c>
      <c r="X44" t="str">
        <f>IF($AS44="","",Config!$B$29)</f>
        <v>FALSE</v>
      </c>
      <c r="Y44" t="str">
        <f>IF($AT44="","",INDEX(Calc!$I$2:$I$1601,$AT44)&amp;" - "&amp;INDEX(Calc!$D$2:$D$1601,$AT44)&amp;" koli")</f>
        <v>26072715175632enev8dlT (3), 26072715175632TXfu46KF1h (3), 26072715175632yj2F2HjwSr (3) - 9 koli</v>
      </c>
      <c r="Z44" t="str">
        <f>IF($AS44="","",Config!$B$21)</f>
        <v>FALSE</v>
      </c>
      <c r="AA44" t="str">
        <f>IF($AS44="","",Config!$B$22)</f>
        <v>RDO</v>
      </c>
      <c r="AB44">
        <f>IF($AT44="","",INDEX(Calc!$D$2:$D$1601,$AT44))</f>
        <v>9</v>
      </c>
      <c r="AC44" t="str">
        <f>IF($AT44="","",INDEX(Calc!$G$2:$G$1601,$AT44))</f>
        <v>26072715175632enev8dlT-01, 26072715175632enev8dlT-02, 26072715175632enev8dlT-03, 26072715175632TXfu46KF1h-04, 26072715175632TXfu46KF1h-05, 26072715175632TXfu46KF1h-06, 26072715175632yj2F2HjwSr-07, 26072715175632yj2F2HjwSr-08, 26072715175632yj2F2HjwSr-09</v>
      </c>
      <c r="AD44">
        <f>IF($AS44="","",Config!$B$23)</f>
        <v>0</v>
      </c>
      <c r="AE44">
        <f>IF($AS44="","",Config!$B$28)</f>
        <v>1</v>
      </c>
      <c r="AF44">
        <f t="shared" si="2"/>
        <v>100</v>
      </c>
      <c r="AG44">
        <f t="shared" si="3"/>
        <v>18.7276666666667</v>
      </c>
      <c r="AH44">
        <f t="shared" si="4"/>
        <v>10</v>
      </c>
      <c r="AI44">
        <f>IF($AG44="","",SUMIF($AG$2:$AG44,$AG44,$AH$2:$AH44))</f>
        <v>10</v>
      </c>
      <c r="AJ44" t="str">
        <f>IF('TMP Paste'!$F44="","",IF('TMP Paste'!$B44="",$AJ43,'TMP Paste'!$B44))</f>
        <v/>
      </c>
      <c r="AK44" t="str">
        <f>IF('TMP Paste'!$F44="","",N('TMP Paste'!$G44))</f>
        <v/>
      </c>
      <c r="AL44" t="str">
        <f>IF('TMP Paste'!$F44="","",IF('TMP Paste'!$M44="",$AL43,'TMP Paste'!$M44))</f>
        <v/>
      </c>
      <c r="AM44" t="str">
        <f>IF('TMP Paste'!$F44="","",IF('TMP Paste'!$N44="",$AM43,'TMP Paste'!$N44))</f>
        <v/>
      </c>
      <c r="AN44" t="str">
        <f>IF('TMP Paste'!$F44="","",IF('TMP Paste'!$O44="",$AN43,'TMP Paste'!$O44))</f>
        <v/>
      </c>
      <c r="AO44" t="str">
        <f>IF('TMP Paste'!$F44="","",IF('TMP Paste'!$P44="",$AO43,'TMP Paste'!$P44))</f>
        <v/>
      </c>
      <c r="AP44">
        <f t="shared" si="5"/>
        <v>266</v>
      </c>
      <c r="AQ44" t="str">
        <f>IF($AS44="","",TRIM(IF(COUNTIFS(Calc!$B$2:$B$1601,ROW()-1,Calc!$C$2:$C$1601,"&lt;1")&gt;0,"Ada PO tanpa Koli - cek TMP. ","")&amp;IF(OR($AU44="",$AU44&lt;=0),"Volume kosong/0 - dimensi dikosongkan. ","")&amp;IF(AND($AU44&lt;&gt;"",$AU44&gt;=1000000),"Volume &gt;= 1.000.000 cm3 (di luar aturan) - dimensi dikosongkan. ","")&amp;IF(LEN($R44)&gt;500,"R &gt; 500 karakter.","")))</f>
        <v/>
      </c>
      <c r="AS44">
        <f>IFERROR(MATCH(ROW()-1,Calc!$J$2:$J$1601,0),"")</f>
        <v>89</v>
      </c>
      <c r="AT44">
        <f>IFERROR(MATCH(ROW()-1,Calc!$K$2:$K$1601,0),"")</f>
        <v>91</v>
      </c>
      <c r="AU44">
        <f>IF($AS44="","",IFERROR(INDEX('TMP Paste'!$D$2:$D$1601,$AS44)*1000000/$AB44,""))</f>
        <v>18727.6666666667</v>
      </c>
    </row>
    <row r="45" spans="1:47">
      <c r="A45" t="str">
        <f>IF($AS45="","",INDEX('TMP Paste'!$B$2:$B$1601,$AS45))</f>
        <v>AWB02WJ8X</v>
      </c>
      <c r="B45">
        <f>IF($AS45="","",Config!$B$14)</f>
        <v>11398423</v>
      </c>
      <c r="C45" t="str">
        <f>IF($AS45="","",Config!$B$15)</f>
        <v>Corporate B2B Bundle</v>
      </c>
      <c r="D45" t="str">
        <f>IF($AS45="","",INDEX('TMP Paste'!$B$2:$B$1601,$AS45))</f>
        <v>AWB02WJ8X</v>
      </c>
      <c r="E45" t="str">
        <f>IF($AS45="","",Config!$B$27)</f>
        <v>STANDARD</v>
      </c>
      <c r="F45" t="str">
        <f>IF($AS45="","",Config!$B$9)</f>
        <v>PT Teknologi Medika Pratama (SwipeRx) (B2BR)</v>
      </c>
      <c r="G45" t="str">
        <f>IF($AS45="","",Config!$B$10)</f>
        <v>087733785699</v>
      </c>
      <c r="H45" t="str">
        <f>IF($AS45="","",Config!$B$11)</f>
        <v>Jl. Tugu Raya, Tugu, Kec. Cimanggis, Kota Depok, Jawa Barat 16451,KUBIK LOGISTICS - Kompleks Pergudangan,Gudang E1</v>
      </c>
      <c r="I45" t="str">
        <f>IF($AS45="","",Config!$B$16)</f>
        <v>ID</v>
      </c>
      <c r="J45" t="str">
        <f>IF($AS45="","",INDEX('TMP Paste'!$A$2:$A$1601,$AS45))</f>
        <v>Apotek Kiray Farma Cimpaeun Tapos</v>
      </c>
      <c r="K45" t="str">
        <f>IF($AS45="","",INDEX('TMP Paste'!$L$2:$L$1601,$AS45))</f>
        <v>6281318087890</v>
      </c>
      <c r="L45" t="str">
        <f>IF($AS45="","",INDEX('TMP Paste'!$I$2:$I$1601,$AS45))</f>
        <v>16017-Jalan Raya Tapos RT 003 RW 02, Desa/Kelurahan Cimpaeun, Kec.Tapos, Kota Depok</v>
      </c>
      <c r="M45" t="str">
        <f>IF($AS45="","",Config!$B$16)</f>
        <v>ID</v>
      </c>
      <c r="N45" t="str">
        <f t="shared" si="0"/>
        <v/>
      </c>
      <c r="O45" t="str">
        <f>IF($AS45="","",INDEX('TMP Paste'!$K$2:$K$1601,$AS45))</f>
        <v>Kota Depok</v>
      </c>
      <c r="P45" t="str">
        <f t="shared" si="1"/>
        <v/>
      </c>
      <c r="Q45">
        <f>IF($AS45="","",INDEX('TMP Paste'!$J$2:$J$1601,$AS45))</f>
        <v>16459</v>
      </c>
      <c r="R45" t="str">
        <f>IF($AS45="","",Config!$B$24)</f>
        <v>Delivery Note wajib ada nama penerima, ditandatangani dan distempel penerima. Jika di label tertera "SP Manual", maka dokumen SP Manual harus diminta ke penerima sesuai dengan jumlah PO yang butuh SP Manual. Apabila ada retur, catat di Delivery Note dan update ke IC</v>
      </c>
      <c r="S45" t="str">
        <f ca="1">IF($AS45="","",TEXT(Config!$B$4,"yyyy-mm-dd"))</f>
        <v>2026-08-18</v>
      </c>
      <c r="T45" t="str">
        <f>IF($AS45="","",Config!$B$17)</f>
        <v>09:00</v>
      </c>
      <c r="U45" t="str">
        <f>IF($AS45="","",Config!$B$18)</f>
        <v>22:00</v>
      </c>
      <c r="V45" t="str">
        <f>IF($AS45="","",Config!$B$19)</f>
        <v>Asia/Jakarta</v>
      </c>
      <c r="W45">
        <f>IF($AS45="","",INDEX('TMP Paste'!$C$2:$C$1601,$AS45))</f>
        <v>1.61</v>
      </c>
      <c r="X45" t="str">
        <f>IF($AS45="","",Config!$B$29)</f>
        <v>FALSE</v>
      </c>
      <c r="Y45" t="str">
        <f>IF($AT45="","",INDEX(Calc!$I$2:$I$1601,$AT45)&amp;" - "&amp;INDEX(Calc!$D$2:$D$1601,$AT45)&amp;" koli")</f>
        <v>26072707484123A88nijyae (1), 260727074841243wfickmqt (1) - 2 koli</v>
      </c>
      <c r="Z45" t="str">
        <f>IF($AS45="","",Config!$B$21)</f>
        <v>FALSE</v>
      </c>
      <c r="AA45" t="str">
        <f>IF($AS45="","",Config!$B$22)</f>
        <v>RDO</v>
      </c>
      <c r="AB45">
        <f>IF($AT45="","",INDEX(Calc!$D$2:$D$1601,$AT45))</f>
        <v>2</v>
      </c>
      <c r="AC45" t="str">
        <f>IF($AT45="","",INDEX(Calc!$G$2:$G$1601,$AT45))</f>
        <v>26072707484123A88nijyae-01, 260727074841243wfickmqt-02</v>
      </c>
      <c r="AD45">
        <f>IF($AS45="","",Config!$B$23)</f>
        <v>0</v>
      </c>
      <c r="AE45">
        <f>IF($AS45="","",Config!$B$28)</f>
        <v>1</v>
      </c>
      <c r="AF45">
        <f t="shared" si="2"/>
        <v>10</v>
      </c>
      <c r="AG45">
        <f t="shared" si="3"/>
        <v>33.87</v>
      </c>
      <c r="AH45">
        <f t="shared" si="4"/>
        <v>10</v>
      </c>
      <c r="AI45">
        <f>IF($AG45="","",SUMIF($AG$2:$AG45,$AG45,$AH$2:$AH45))</f>
        <v>10</v>
      </c>
      <c r="AJ45" t="str">
        <f>IF('TMP Paste'!$F45="","",IF('TMP Paste'!$B45="",$AJ44,'TMP Paste'!$B45))</f>
        <v/>
      </c>
      <c r="AK45" t="str">
        <f>IF('TMP Paste'!$F45="","",N('TMP Paste'!$G45))</f>
        <v/>
      </c>
      <c r="AL45" t="str">
        <f>IF('TMP Paste'!$F45="","",IF('TMP Paste'!$M45="",$AL44,'TMP Paste'!$M45))</f>
        <v/>
      </c>
      <c r="AM45" t="str">
        <f>IF('TMP Paste'!$F45="","",IF('TMP Paste'!$N45="",$AM44,'TMP Paste'!$N45))</f>
        <v/>
      </c>
      <c r="AN45" t="str">
        <f>IF('TMP Paste'!$F45="","",IF('TMP Paste'!$O45="",$AN44,'TMP Paste'!$O45))</f>
        <v/>
      </c>
      <c r="AO45" t="str">
        <f>IF('TMP Paste'!$F45="","",IF('TMP Paste'!$P45="",$AO44,'TMP Paste'!$P45))</f>
        <v/>
      </c>
      <c r="AP45">
        <f t="shared" si="5"/>
        <v>266</v>
      </c>
      <c r="AQ45" t="str">
        <f>IF($AS45="","",TRIM(IF(COUNTIFS(Calc!$B$2:$B$1601,ROW()-1,Calc!$C$2:$C$1601,"&lt;1")&gt;0,"Ada PO tanpa Koli - cek TMP. ","")&amp;IF(OR($AU45="",$AU45&lt;=0),"Volume kosong/0 - dimensi dikosongkan. ","")&amp;IF(AND($AU45&lt;&gt;"",$AU45&gt;=1000000),"Volume &gt;= 1.000.000 cm3 (di luar aturan) - dimensi dikosongkan. ","")&amp;IF(LEN($R45)&gt;500,"R &gt; 500 karakter.","")))</f>
        <v/>
      </c>
      <c r="AS45">
        <f>IFERROR(MATCH(ROW()-1,Calc!$J$2:$J$1601,0),"")</f>
        <v>92</v>
      </c>
      <c r="AT45">
        <f>IFERROR(MATCH(ROW()-1,Calc!$K$2:$K$1601,0),"")</f>
        <v>93</v>
      </c>
      <c r="AU45">
        <f>IF($AS45="","",IFERROR(INDEX('TMP Paste'!$D$2:$D$1601,$AS45)*1000000/$AB45,""))</f>
        <v>3387</v>
      </c>
    </row>
    <row r="46" spans="1:47">
      <c r="A46" t="str">
        <f>IF($AS46="","",INDEX('TMP Paste'!$B$2:$B$1601,$AS46))</f>
        <v>AWB02WHTA</v>
      </c>
      <c r="B46">
        <f>IF($AS46="","",Config!$B$14)</f>
        <v>11398423</v>
      </c>
      <c r="C46" t="str">
        <f>IF($AS46="","",Config!$B$15)</f>
        <v>Corporate B2B Bundle</v>
      </c>
      <c r="D46" t="str">
        <f>IF($AS46="","",INDEX('TMP Paste'!$B$2:$B$1601,$AS46))</f>
        <v>AWB02WHTA</v>
      </c>
      <c r="E46" t="str">
        <f>IF($AS46="","",Config!$B$27)</f>
        <v>STANDARD</v>
      </c>
      <c r="F46" t="str">
        <f>IF($AS46="","",Config!$B$9)</f>
        <v>PT Teknologi Medika Pratama (SwipeRx) (B2BR)</v>
      </c>
      <c r="G46" t="str">
        <f>IF($AS46="","",Config!$B$10)</f>
        <v>087733785699</v>
      </c>
      <c r="H46" t="str">
        <f>IF($AS46="","",Config!$B$11)</f>
        <v>Jl. Tugu Raya, Tugu, Kec. Cimanggis, Kota Depok, Jawa Barat 16451,KUBIK LOGISTICS - Kompleks Pergudangan,Gudang E1</v>
      </c>
      <c r="I46" t="str">
        <f>IF($AS46="","",Config!$B$16)</f>
        <v>ID</v>
      </c>
      <c r="J46" t="str">
        <f>IF($AS46="","",INDEX('TMP Paste'!$A$2:$A$1601,$AS46))</f>
        <v>Apotek Kita 2</v>
      </c>
      <c r="K46" t="str">
        <f>IF($AS46="","",INDEX('TMP Paste'!$L$2:$L$1601,$AS46))</f>
        <v>81311214281</v>
      </c>
      <c r="L46" t="str">
        <f>IF($AS46="","",INDEX('TMP Paste'!$I$2:$I$1601,$AS46))</f>
        <v>2333-Jalan Cipayung Jaya RT 04 RW 05 Kelurahan Cipayung Jaya Kecamatan Cipayung Kota Depok 16437</v>
      </c>
      <c r="M46" t="str">
        <f>IF($AS46="","",Config!$B$16)</f>
        <v>ID</v>
      </c>
      <c r="N46" t="str">
        <f t="shared" si="0"/>
        <v/>
      </c>
      <c r="O46" t="str">
        <f>IF($AS46="","",INDEX('TMP Paste'!$K$2:$K$1601,$AS46))</f>
        <v>Kota Depok</v>
      </c>
      <c r="P46" t="str">
        <f t="shared" si="1"/>
        <v/>
      </c>
      <c r="Q46">
        <f>IF($AS46="","",INDEX('TMP Paste'!$J$2:$J$1601,$AS46))</f>
        <v>16437</v>
      </c>
      <c r="R46" t="str">
        <f>IF($AS46="","",Config!$B$24)</f>
        <v>Delivery Note wajib ada nama penerima, ditandatangani dan distempel penerima. Jika di label tertera "SP Manual", maka dokumen SP Manual harus diminta ke penerima sesuai dengan jumlah PO yang butuh SP Manual. Apabila ada retur, catat di Delivery Note dan update ke IC</v>
      </c>
      <c r="S46" t="str">
        <f ca="1">IF($AS46="","",TEXT(Config!$B$4,"yyyy-mm-dd"))</f>
        <v>2026-08-18</v>
      </c>
      <c r="T46" t="str">
        <f>IF($AS46="","",Config!$B$17)</f>
        <v>09:00</v>
      </c>
      <c r="U46" t="str">
        <f>IF($AS46="","",Config!$B$18)</f>
        <v>22:00</v>
      </c>
      <c r="V46" t="str">
        <f>IF($AS46="","",Config!$B$19)</f>
        <v>Asia/Jakarta</v>
      </c>
      <c r="W46">
        <f>IF($AS46="","",INDEX('TMP Paste'!$C$2:$C$1601,$AS46))</f>
        <v>1.67</v>
      </c>
      <c r="X46" t="str">
        <f>IF($AS46="","",Config!$B$29)</f>
        <v>FALSE</v>
      </c>
      <c r="Y46" t="str">
        <f>IF($AT46="","",INDEX(Calc!$I$2:$I$1601,$AT46)&amp;" - "&amp;INDEX(Calc!$D$2:$D$1601,$AT46)&amp;" koli")</f>
        <v>26072705085896Tq3msdNjq (1), 26072705085896TYVZCvOyBK (1) - 2 koli</v>
      </c>
      <c r="Z46" t="str">
        <f>IF($AS46="","",Config!$B$21)</f>
        <v>FALSE</v>
      </c>
      <c r="AA46" t="str">
        <f>IF($AS46="","",Config!$B$22)</f>
        <v>RDO</v>
      </c>
      <c r="AB46">
        <f>IF($AT46="","",INDEX(Calc!$D$2:$D$1601,$AT46))</f>
        <v>2</v>
      </c>
      <c r="AC46" t="str">
        <f>IF($AT46="","",INDEX(Calc!$G$2:$G$1601,$AT46))</f>
        <v>26072705085896Tq3msdNjq-01, 26072705085896TYVZCvOyBK-02</v>
      </c>
      <c r="AD46">
        <f>IF($AS46="","",Config!$B$23)</f>
        <v>0</v>
      </c>
      <c r="AE46">
        <f>IF($AS46="","",Config!$B$28)</f>
        <v>1</v>
      </c>
      <c r="AF46">
        <f t="shared" si="2"/>
        <v>10</v>
      </c>
      <c r="AG46">
        <f t="shared" si="3"/>
        <v>20.97</v>
      </c>
      <c r="AH46">
        <f t="shared" si="4"/>
        <v>10</v>
      </c>
      <c r="AI46">
        <f>IF($AG46="","",SUMIF($AG$2:$AG46,$AG46,$AH$2:$AH46))</f>
        <v>10</v>
      </c>
      <c r="AJ46" t="str">
        <f>IF('TMP Paste'!$F46="","",IF('TMP Paste'!$B46="",$AJ45,'TMP Paste'!$B46))</f>
        <v>AWB02WKJ4</v>
      </c>
      <c r="AK46">
        <f>IF('TMP Paste'!$F46="","",N('TMP Paste'!$G46))</f>
        <v>0</v>
      </c>
      <c r="AL46">
        <f>IF('TMP Paste'!$F46="","",IF('TMP Paste'!$M46="",$AL45,'TMP Paste'!$M46))</f>
        <v>1</v>
      </c>
      <c r="AM46" t="str">
        <f>IF('TMP Paste'!$F46="","",IF('TMP Paste'!$N46="",$AM45,'TMP Paste'!$N46))</f>
        <v/>
      </c>
      <c r="AN46" t="str">
        <f>IF('TMP Paste'!$F46="","",IF('TMP Paste'!$O46="",$AN45,'TMP Paste'!$O46))</f>
        <v/>
      </c>
      <c r="AO46" t="str">
        <f>IF('TMP Paste'!$F46="","",IF('TMP Paste'!$P46="",$AO45,'TMP Paste'!$P46))</f>
        <v/>
      </c>
      <c r="AP46">
        <f t="shared" si="5"/>
        <v>266</v>
      </c>
      <c r="AQ46" t="str">
        <f>IF($AS46="","",TRIM(IF(COUNTIFS(Calc!$B$2:$B$1601,ROW()-1,Calc!$C$2:$C$1601,"&lt;1")&gt;0,"Ada PO tanpa Koli - cek TMP. ","")&amp;IF(OR($AU46="",$AU46&lt;=0),"Volume kosong/0 - dimensi dikosongkan. ","")&amp;IF(AND($AU46&lt;&gt;"",$AU46&gt;=1000000),"Volume &gt;= 1.000.000 cm3 (di luar aturan) - dimensi dikosongkan. ","")&amp;IF(LEN($R46)&gt;500,"R &gt; 500 karakter.","")))</f>
        <v/>
      </c>
      <c r="AS46">
        <f>IFERROR(MATCH(ROW()-1,Calc!$J$2:$J$1601,0),"")</f>
        <v>94</v>
      </c>
      <c r="AT46">
        <f>IFERROR(MATCH(ROW()-1,Calc!$K$2:$K$1601,0),"")</f>
        <v>95</v>
      </c>
      <c r="AU46">
        <f>IF($AS46="","",IFERROR(INDEX('TMP Paste'!$D$2:$D$1601,$AS46)*1000000/$AB46,""))</f>
        <v>2097</v>
      </c>
    </row>
    <row r="47" spans="1:47">
      <c r="A47" t="str">
        <f>IF($AS47="","",INDEX('TMP Paste'!$B$2:$B$1601,$AS47))</f>
        <v>AWB02WLXF</v>
      </c>
      <c r="B47">
        <f>IF($AS47="","",Config!$B$14)</f>
        <v>11398423</v>
      </c>
      <c r="C47" t="str">
        <f>IF($AS47="","",Config!$B$15)</f>
        <v>Corporate B2B Bundle</v>
      </c>
      <c r="D47" t="str">
        <f>IF($AS47="","",INDEX('TMP Paste'!$B$2:$B$1601,$AS47))</f>
        <v>AWB02WLXF</v>
      </c>
      <c r="E47" t="str">
        <f>IF($AS47="","",Config!$B$27)</f>
        <v>STANDARD</v>
      </c>
      <c r="F47" t="str">
        <f>IF($AS47="","",Config!$B$9)</f>
        <v>PT Teknologi Medika Pratama (SwipeRx) (B2BR)</v>
      </c>
      <c r="G47" t="str">
        <f>IF($AS47="","",Config!$B$10)</f>
        <v>087733785699</v>
      </c>
      <c r="H47" t="str">
        <f>IF($AS47="","",Config!$B$11)</f>
        <v>Jl. Tugu Raya, Tugu, Kec. Cimanggis, Kota Depok, Jawa Barat 16451,KUBIK LOGISTICS - Kompleks Pergudangan,Gudang E1</v>
      </c>
      <c r="I47" t="str">
        <f>IF($AS47="","",Config!$B$16)</f>
        <v>ID</v>
      </c>
      <c r="J47" t="str">
        <f>IF($AS47="","",INDEX('TMP Paste'!$A$2:$A$1601,$AS47))</f>
        <v>Apotek Kita Utama Pancoran Mas Pancoran Mas</v>
      </c>
      <c r="K47" t="str">
        <f>IF($AS47="","",INDEX('TMP Paste'!$L$2:$L$1601,$AS47))</f>
        <v>6282152156244</v>
      </c>
      <c r="L47" t="str">
        <f>IF($AS47="","",INDEX('TMP Paste'!$I$2:$I$1601,$AS47))</f>
        <v>17869-Jl. Cagar Alam RT 001 RW 006 Kel. Pancoran Mas Kec. Pancoran Mas Kota Depok</v>
      </c>
      <c r="M47" t="str">
        <f>IF($AS47="","",Config!$B$16)</f>
        <v>ID</v>
      </c>
      <c r="N47" t="str">
        <f t="shared" si="0"/>
        <v/>
      </c>
      <c r="O47" t="str">
        <f>IF($AS47="","",INDEX('TMP Paste'!$K$2:$K$1601,$AS47))</f>
        <v>Kota Depok</v>
      </c>
      <c r="P47" t="str">
        <f t="shared" si="1"/>
        <v/>
      </c>
      <c r="Q47">
        <f>IF($AS47="","",INDEX('TMP Paste'!$J$2:$J$1601,$AS47))</f>
        <v>16436</v>
      </c>
      <c r="R47" t="str">
        <f>IF($AS47="","",Config!$B$24)</f>
        <v>Delivery Note wajib ada nama penerima, ditandatangani dan distempel penerima. Jika di label tertera "SP Manual", maka dokumen SP Manual harus diminta ke penerima sesuai dengan jumlah PO yang butuh SP Manual. Apabila ada retur, catat di Delivery Note dan update ke IC</v>
      </c>
      <c r="S47" t="str">
        <f ca="1">IF($AS47="","",TEXT(Config!$B$4,"yyyy-mm-dd"))</f>
        <v>2026-08-18</v>
      </c>
      <c r="T47" t="str">
        <f>IF($AS47="","",Config!$B$17)</f>
        <v>09:00</v>
      </c>
      <c r="U47" t="str">
        <f>IF($AS47="","",Config!$B$18)</f>
        <v>22:00</v>
      </c>
      <c r="V47" t="str">
        <f>IF($AS47="","",Config!$B$19)</f>
        <v>Asia/Jakarta</v>
      </c>
      <c r="W47">
        <f>IF($AS47="","",INDEX('TMP Paste'!$C$2:$C$1601,$AS47))</f>
        <v>1.9</v>
      </c>
      <c r="X47" t="str">
        <f>IF($AS47="","",Config!$B$29)</f>
        <v>FALSE</v>
      </c>
      <c r="Y47" t="str">
        <f>IF($AT47="","",INDEX(Calc!$I$2:$I$1601,$AT47)&amp;" - "&amp;INDEX(Calc!$D$2:$D$1601,$AT47)&amp;" koli")</f>
        <v>26072803175029kCTz1OwUR (1), 26072803175030oT1RZhJws (1), 26072803175030rtBz9At5T (1) - 3 koli</v>
      </c>
      <c r="Z47" t="str">
        <f>IF($AS47="","",Config!$B$21)</f>
        <v>FALSE</v>
      </c>
      <c r="AA47" t="str">
        <f>IF($AS47="","",Config!$B$22)</f>
        <v>RDO</v>
      </c>
      <c r="AB47">
        <f>IF($AT47="","",INDEX(Calc!$D$2:$D$1601,$AT47))</f>
        <v>3</v>
      </c>
      <c r="AC47" t="str">
        <f>IF($AT47="","",INDEX(Calc!$G$2:$G$1601,$AT47))</f>
        <v>26072803175029kCTz1OwUR-01, 26072803175030oT1RZhJws-02, 26072803175030rtBz9At5T-03</v>
      </c>
      <c r="AD47">
        <f>IF($AS47="","",Config!$B$23)</f>
        <v>0</v>
      </c>
      <c r="AE47">
        <f>IF($AS47="","",Config!$B$28)</f>
        <v>1</v>
      </c>
      <c r="AF47">
        <f t="shared" si="2"/>
        <v>10</v>
      </c>
      <c r="AG47">
        <f t="shared" si="3"/>
        <v>25.93</v>
      </c>
      <c r="AH47">
        <f t="shared" si="4"/>
        <v>10</v>
      </c>
      <c r="AI47">
        <f>IF($AG47="","",SUMIF($AG$2:$AG47,$AG47,$AH$2:$AH47))</f>
        <v>10</v>
      </c>
      <c r="AJ47" t="str">
        <f>IF('TMP Paste'!$F47="","",IF('TMP Paste'!$B47="",$AJ46,'TMP Paste'!$B47))</f>
        <v/>
      </c>
      <c r="AK47" t="str">
        <f>IF('TMP Paste'!$F47="","",N('TMP Paste'!$G47))</f>
        <v/>
      </c>
      <c r="AL47" t="str">
        <f>IF('TMP Paste'!$F47="","",IF('TMP Paste'!$M47="",$AL46,'TMP Paste'!$M47))</f>
        <v/>
      </c>
      <c r="AM47" t="str">
        <f>IF('TMP Paste'!$F47="","",IF('TMP Paste'!$N47="",$AM46,'TMP Paste'!$N47))</f>
        <v/>
      </c>
      <c r="AN47" t="str">
        <f>IF('TMP Paste'!$F47="","",IF('TMP Paste'!$O47="",$AN46,'TMP Paste'!$O47))</f>
        <v/>
      </c>
      <c r="AO47" t="str">
        <f>IF('TMP Paste'!$F47="","",IF('TMP Paste'!$P47="",$AO46,'TMP Paste'!$P47))</f>
        <v/>
      </c>
      <c r="AP47">
        <f t="shared" si="5"/>
        <v>266</v>
      </c>
      <c r="AQ47" t="str">
        <f>IF($AS47="","",TRIM(IF(COUNTIFS(Calc!$B$2:$B$1601,ROW()-1,Calc!$C$2:$C$1601,"&lt;1")&gt;0,"Ada PO tanpa Koli - cek TMP. ","")&amp;IF(OR($AU47="",$AU47&lt;=0),"Volume kosong/0 - dimensi dikosongkan. ","")&amp;IF(AND($AU47&lt;&gt;"",$AU47&gt;=1000000),"Volume &gt;= 1.000.000 cm3 (di luar aturan) - dimensi dikosongkan. ","")&amp;IF(LEN($R47)&gt;500,"R &gt; 500 karakter.","")))</f>
        <v/>
      </c>
      <c r="AS47">
        <f>IFERROR(MATCH(ROW()-1,Calc!$J$2:$J$1601,0),"")</f>
        <v>96</v>
      </c>
      <c r="AT47">
        <f>IFERROR(MATCH(ROW()-1,Calc!$K$2:$K$1601,0),"")</f>
        <v>98</v>
      </c>
      <c r="AU47">
        <f>IF($AS47="","",IFERROR(INDEX('TMP Paste'!$D$2:$D$1601,$AS47)*1000000/$AB47,""))</f>
        <v>2593</v>
      </c>
    </row>
    <row r="48" spans="1:47">
      <c r="A48" t="str">
        <f>IF($AS48="","",INDEX('TMP Paste'!$B$2:$B$1601,$AS48))</f>
        <v>AWB02WHMW</v>
      </c>
      <c r="B48">
        <f>IF($AS48="","",Config!$B$14)</f>
        <v>11398423</v>
      </c>
      <c r="C48" t="str">
        <f>IF($AS48="","",Config!$B$15)</f>
        <v>Corporate B2B Bundle</v>
      </c>
      <c r="D48" t="str">
        <f>IF($AS48="","",INDEX('TMP Paste'!$B$2:$B$1601,$AS48))</f>
        <v>AWB02WHMW</v>
      </c>
      <c r="E48" t="str">
        <f>IF($AS48="","",Config!$B$27)</f>
        <v>STANDARD</v>
      </c>
      <c r="F48" t="str">
        <f>IF($AS48="","",Config!$B$9)</f>
        <v>PT Teknologi Medika Pratama (SwipeRx) (B2BR)</v>
      </c>
      <c r="G48" t="str">
        <f>IF($AS48="","",Config!$B$10)</f>
        <v>087733785699</v>
      </c>
      <c r="H48" t="str">
        <f>IF($AS48="","",Config!$B$11)</f>
        <v>Jl. Tugu Raya, Tugu, Kec. Cimanggis, Kota Depok, Jawa Barat 16451,KUBIK LOGISTICS - Kompleks Pergudangan,Gudang E1</v>
      </c>
      <c r="I48" t="str">
        <f>IF($AS48="","",Config!$B$16)</f>
        <v>ID</v>
      </c>
      <c r="J48" t="str">
        <f>IF($AS48="","",INDEX('TMP Paste'!$A$2:$A$1601,$AS48))</f>
        <v>Apotek Kopkar One Gedong Pasar Rebo</v>
      </c>
      <c r="K48" t="str">
        <f>IF($AS48="","",INDEX('TMP Paste'!$L$2:$L$1601,$AS48))</f>
        <v>6285211630292</v>
      </c>
      <c r="L48" t="str">
        <f>IF($AS48="","",INDEX('TMP Paste'!$I$2:$I$1601,$AS48))</f>
        <v>12667-Jalan Dana Karya No. 04 Rt. 003 Rw 008, Desa/Kel. Gedong, Kec. Pasar Rebo, Kota Adm. Jakarta Timur</v>
      </c>
      <c r="M48" t="str">
        <f>IF($AS48="","",Config!$B$16)</f>
        <v>ID</v>
      </c>
      <c r="N48" t="str">
        <f t="shared" si="0"/>
        <v/>
      </c>
      <c r="O48" t="str">
        <f>IF($AS48="","",INDEX('TMP Paste'!$K$2:$K$1601,$AS48))</f>
        <v>Kota Jakarta Timur</v>
      </c>
      <c r="P48" t="str">
        <f t="shared" si="1"/>
        <v/>
      </c>
      <c r="Q48">
        <f>IF($AS48="","",INDEX('TMP Paste'!$J$2:$J$1601,$AS48))</f>
        <v>13760</v>
      </c>
      <c r="R48" t="str">
        <f>IF($AS48="","",Config!$B$24)</f>
        <v>Delivery Note wajib ada nama penerima, ditandatangani dan distempel penerima. Jika di label tertera "SP Manual", maka dokumen SP Manual harus diminta ke penerima sesuai dengan jumlah PO yang butuh SP Manual. Apabila ada retur, catat di Delivery Note dan update ke IC</v>
      </c>
      <c r="S48" t="str">
        <f ca="1">IF($AS48="","",TEXT(Config!$B$4,"yyyy-mm-dd"))</f>
        <v>2026-08-18</v>
      </c>
      <c r="T48" t="str">
        <f>IF($AS48="","",Config!$B$17)</f>
        <v>09:00</v>
      </c>
      <c r="U48" t="str">
        <f>IF($AS48="","",Config!$B$18)</f>
        <v>22:00</v>
      </c>
      <c r="V48" t="str">
        <f>IF($AS48="","",Config!$B$19)</f>
        <v>Asia/Jakarta</v>
      </c>
      <c r="W48">
        <f>IF($AS48="","",INDEX('TMP Paste'!$C$2:$C$1601,$AS48))</f>
        <v>4.54</v>
      </c>
      <c r="X48" t="str">
        <f>IF($AS48="","",Config!$B$29)</f>
        <v>FALSE</v>
      </c>
      <c r="Y48" t="str">
        <f>IF($AT48="","",INDEX(Calc!$I$2:$I$1601,$AT48)&amp;" - "&amp;INDEX(Calc!$D$2:$D$1601,$AT48)&amp;" koli")</f>
        <v>26072704304684v7RLStbbD (2) - 2 koli</v>
      </c>
      <c r="Z48" t="str">
        <f>IF($AS48="","",Config!$B$21)</f>
        <v>FALSE</v>
      </c>
      <c r="AA48" t="str">
        <f>IF($AS48="","",Config!$B$22)</f>
        <v>RDO</v>
      </c>
      <c r="AB48">
        <f>IF($AT48="","",INDEX(Calc!$D$2:$D$1601,$AT48))</f>
        <v>2</v>
      </c>
      <c r="AC48" t="str">
        <f>IF($AT48="","",INDEX(Calc!$G$2:$G$1601,$AT48))</f>
        <v>26072704304684v7RLStbbD-01, 26072704304684v7RLStbbD-02</v>
      </c>
      <c r="AD48">
        <f>IF($AS48="","",Config!$B$23)</f>
        <v>0</v>
      </c>
      <c r="AE48">
        <f>IF($AS48="","",Config!$B$28)</f>
        <v>1</v>
      </c>
      <c r="AF48">
        <f t="shared" si="2"/>
        <v>100</v>
      </c>
      <c r="AG48">
        <f t="shared" si="3"/>
        <v>12.3245</v>
      </c>
      <c r="AH48">
        <f t="shared" si="4"/>
        <v>10</v>
      </c>
      <c r="AI48">
        <f>IF($AG48="","",SUMIF($AG$2:$AG48,$AG48,$AH$2:$AH48))</f>
        <v>10</v>
      </c>
      <c r="AJ48" t="str">
        <f>IF('TMP Paste'!$F48="","",IF('TMP Paste'!$B48="",$AJ47,'TMP Paste'!$B48))</f>
        <v>AWB02WKD5</v>
      </c>
      <c r="AK48">
        <f>IF('TMP Paste'!$F48="","",N('TMP Paste'!$G48))</f>
        <v>0</v>
      </c>
      <c r="AL48">
        <f>IF('TMP Paste'!$F48="","",IF('TMP Paste'!$M48="",$AL47,'TMP Paste'!$M48))</f>
        <v>1</v>
      </c>
      <c r="AM48" t="str">
        <f>IF('TMP Paste'!$F48="","",IF('TMP Paste'!$N48="",$AM47,'TMP Paste'!$N48))</f>
        <v/>
      </c>
      <c r="AN48" t="str">
        <f>IF('TMP Paste'!$F48="","",IF('TMP Paste'!$O48="",$AN47,'TMP Paste'!$O48))</f>
        <v/>
      </c>
      <c r="AO48" t="str">
        <f>IF('TMP Paste'!$F48="","",IF('TMP Paste'!$P48="",$AO47,'TMP Paste'!$P48))</f>
        <v/>
      </c>
      <c r="AP48">
        <f t="shared" si="5"/>
        <v>266</v>
      </c>
      <c r="AQ48" t="str">
        <f>IF($AS48="","",TRIM(IF(COUNTIFS(Calc!$B$2:$B$1601,ROW()-1,Calc!$C$2:$C$1601,"&lt;1")&gt;0,"Ada PO tanpa Koli - cek TMP. ","")&amp;IF(OR($AU48="",$AU48&lt;=0),"Volume kosong/0 - dimensi dikosongkan. ","")&amp;IF(AND($AU48&lt;&gt;"",$AU48&gt;=1000000),"Volume &gt;= 1.000.000 cm3 (di luar aturan) - dimensi dikosongkan. ","")&amp;IF(LEN($R48)&gt;500,"R &gt; 500 karakter.","")))</f>
        <v/>
      </c>
      <c r="AS48">
        <f>IFERROR(MATCH(ROW()-1,Calc!$J$2:$J$1601,0),"")</f>
        <v>99</v>
      </c>
      <c r="AT48">
        <f>IFERROR(MATCH(ROW()-1,Calc!$K$2:$K$1601,0),"")</f>
        <v>99</v>
      </c>
      <c r="AU48">
        <f>IF($AS48="","",IFERROR(INDEX('TMP Paste'!$D$2:$D$1601,$AS48)*1000000/$AB48,""))</f>
        <v>12324.5</v>
      </c>
    </row>
    <row r="49" spans="1:47">
      <c r="A49" t="str">
        <f>IF($AS49="","",INDEX('TMP Paste'!$B$2:$B$1601,$AS49))</f>
        <v>AWB02WHKZ</v>
      </c>
      <c r="B49">
        <f>IF($AS49="","",Config!$B$14)</f>
        <v>11398423</v>
      </c>
      <c r="C49" t="str">
        <f>IF($AS49="","",Config!$B$15)</f>
        <v>Corporate B2B Bundle</v>
      </c>
      <c r="D49" t="str">
        <f>IF($AS49="","",INDEX('TMP Paste'!$B$2:$B$1601,$AS49))</f>
        <v>AWB02WHKZ</v>
      </c>
      <c r="E49" t="str">
        <f>IF($AS49="","",Config!$B$27)</f>
        <v>STANDARD</v>
      </c>
      <c r="F49" t="str">
        <f>IF($AS49="","",Config!$B$9)</f>
        <v>PT Teknologi Medika Pratama (SwipeRx) (B2BR)</v>
      </c>
      <c r="G49" t="str">
        <f>IF($AS49="","",Config!$B$10)</f>
        <v>087733785699</v>
      </c>
      <c r="H49" t="str">
        <f>IF($AS49="","",Config!$B$11)</f>
        <v>Jl. Tugu Raya, Tugu, Kec. Cimanggis, Kota Depok, Jawa Barat 16451,KUBIK LOGISTICS - Kompleks Pergudangan,Gudang E1</v>
      </c>
      <c r="I49" t="str">
        <f>IF($AS49="","",Config!$B$16)</f>
        <v>ID</v>
      </c>
      <c r="J49" t="str">
        <f>IF($AS49="","",INDEX('TMP Paste'!$A$2:$A$1601,$AS49))</f>
        <v>Apotek Makmur Sehat</v>
      </c>
      <c r="K49" t="str">
        <f>IF($AS49="","",INDEX('TMP Paste'!$L$2:$L$1601,$AS49))</f>
        <v>81354877771</v>
      </c>
      <c r="L49" t="str">
        <f>IF($AS49="","",INDEX('TMP Paste'!$I$2:$I$1601,$AS49))</f>
        <v>1725-Jalan Raya Pondok Petir No. 38 RT. 004/005 Kelurahan Pondok Petir Kecamatan Bojongsari Kota Depok 16516</v>
      </c>
      <c r="M49" t="str">
        <f>IF($AS49="","",Config!$B$16)</f>
        <v>ID</v>
      </c>
      <c r="N49" t="str">
        <f t="shared" si="0"/>
        <v/>
      </c>
      <c r="O49" t="str">
        <f>IF($AS49="","",INDEX('TMP Paste'!$K$2:$K$1601,$AS49))</f>
        <v>Kota Depok</v>
      </c>
      <c r="P49" t="str">
        <f t="shared" si="1"/>
        <v/>
      </c>
      <c r="Q49">
        <f>IF($AS49="","",INDEX('TMP Paste'!$J$2:$J$1601,$AS49))</f>
        <v>16516</v>
      </c>
      <c r="R49" t="str">
        <f>IF($AS49="","",Config!$B$24)</f>
        <v>Delivery Note wajib ada nama penerima, ditandatangani dan distempel penerima. Jika di label tertera "SP Manual", maka dokumen SP Manual harus diminta ke penerima sesuai dengan jumlah PO yang butuh SP Manual. Apabila ada retur, catat di Delivery Note dan update ke IC</v>
      </c>
      <c r="S49" t="str">
        <f ca="1">IF($AS49="","",TEXT(Config!$B$4,"yyyy-mm-dd"))</f>
        <v>2026-08-18</v>
      </c>
      <c r="T49" t="str">
        <f>IF($AS49="","",Config!$B$17)</f>
        <v>09:00</v>
      </c>
      <c r="U49" t="str">
        <f>IF($AS49="","",Config!$B$18)</f>
        <v>22:00</v>
      </c>
      <c r="V49" t="str">
        <f>IF($AS49="","",Config!$B$19)</f>
        <v>Asia/Jakarta</v>
      </c>
      <c r="W49">
        <f>IF($AS49="","",INDEX('TMP Paste'!$C$2:$C$1601,$AS49))</f>
        <v>0.43</v>
      </c>
      <c r="X49" t="str">
        <f>IF($AS49="","",Config!$B$29)</f>
        <v>FALSE</v>
      </c>
      <c r="Y49" t="str">
        <f>IF($AT49="","",INDEX(Calc!$I$2:$I$1601,$AT49)&amp;" - "&amp;INDEX(Calc!$D$2:$D$1601,$AT49)&amp;" koli")</f>
        <v>26072704214871P5wacKs03 (1), 26072704375108dcNtw683l (1) - 2 koli</v>
      </c>
      <c r="Z49" t="str">
        <f>IF($AS49="","",Config!$B$21)</f>
        <v>FALSE</v>
      </c>
      <c r="AA49" t="str">
        <f>IF($AS49="","",Config!$B$22)</f>
        <v>RDO</v>
      </c>
      <c r="AB49">
        <f>IF($AT49="","",INDEX(Calc!$D$2:$D$1601,$AT49))</f>
        <v>2</v>
      </c>
      <c r="AC49" t="str">
        <f>IF($AT49="","",INDEX(Calc!$G$2:$G$1601,$AT49))</f>
        <v>26072704214871P5wacKs03-01, 26072704375108dcNtw683l-02</v>
      </c>
      <c r="AD49">
        <f>IF($AS49="","",Config!$B$23)</f>
        <v>0</v>
      </c>
      <c r="AE49">
        <f>IF($AS49="","",Config!$B$28)</f>
        <v>1</v>
      </c>
      <c r="AF49">
        <f t="shared" si="2"/>
        <v>10</v>
      </c>
      <c r="AG49">
        <f t="shared" si="3"/>
        <v>7.86</v>
      </c>
      <c r="AH49">
        <f t="shared" si="4"/>
        <v>10</v>
      </c>
      <c r="AI49">
        <f>IF($AG49="","",SUMIF($AG$2:$AG49,$AG49,$AH$2:$AH49))</f>
        <v>10</v>
      </c>
      <c r="AJ49" t="str">
        <f>IF('TMP Paste'!$F49="","",IF('TMP Paste'!$B49="",$AJ48,'TMP Paste'!$B49))</f>
        <v>AWB02WLJ2</v>
      </c>
      <c r="AK49">
        <f>IF('TMP Paste'!$F49="","",N('TMP Paste'!$G49))</f>
        <v>0</v>
      </c>
      <c r="AL49">
        <f>IF('TMP Paste'!$F49="","",IF('TMP Paste'!$M49="",$AL48,'TMP Paste'!$M49))</f>
        <v>1</v>
      </c>
      <c r="AM49" t="str">
        <f>IF('TMP Paste'!$F49="","",IF('TMP Paste'!$N49="",$AM48,'TMP Paste'!$N49))</f>
        <v/>
      </c>
      <c r="AN49" t="str">
        <f>IF('TMP Paste'!$F49="","",IF('TMP Paste'!$O49="",$AN48,'TMP Paste'!$O49))</f>
        <v/>
      </c>
      <c r="AO49" t="str">
        <f>IF('TMP Paste'!$F49="","",IF('TMP Paste'!$P49="",$AO48,'TMP Paste'!$P49))</f>
        <v/>
      </c>
      <c r="AP49">
        <f t="shared" si="5"/>
        <v>266</v>
      </c>
      <c r="AQ49" t="str">
        <f>IF($AS49="","",TRIM(IF(COUNTIFS(Calc!$B$2:$B$1601,ROW()-1,Calc!$C$2:$C$1601,"&lt;1")&gt;0,"Ada PO tanpa Koli - cek TMP. ","")&amp;IF(OR($AU49="",$AU49&lt;=0),"Volume kosong/0 - dimensi dikosongkan. ","")&amp;IF(AND($AU49&lt;&gt;"",$AU49&gt;=1000000),"Volume &gt;= 1.000.000 cm3 (di luar aturan) - dimensi dikosongkan. ","")&amp;IF(LEN($R49)&gt;500,"R &gt; 500 karakter.","")))</f>
        <v/>
      </c>
      <c r="AS49">
        <f>IFERROR(MATCH(ROW()-1,Calc!$J$2:$J$1601,0),"")</f>
        <v>100</v>
      </c>
      <c r="AT49">
        <f>IFERROR(MATCH(ROW()-1,Calc!$K$2:$K$1601,0),"")</f>
        <v>101</v>
      </c>
      <c r="AU49">
        <f>IF($AS49="","",IFERROR(INDEX('TMP Paste'!$D$2:$D$1601,$AS49)*1000000/$AB49,""))</f>
        <v>786</v>
      </c>
    </row>
    <row r="50" spans="1:47">
      <c r="A50" t="str">
        <f>IF($AS50="","",INDEX('TMP Paste'!$B$2:$B$1601,$AS50))</f>
        <v>AWB02WK38</v>
      </c>
      <c r="B50">
        <f>IF($AS50="","",Config!$B$14)</f>
        <v>11398423</v>
      </c>
      <c r="C50" t="str">
        <f>IF($AS50="","",Config!$B$15)</f>
        <v>Corporate B2B Bundle</v>
      </c>
      <c r="D50" t="str">
        <f>IF($AS50="","",INDEX('TMP Paste'!$B$2:$B$1601,$AS50))</f>
        <v>AWB02WK38</v>
      </c>
      <c r="E50" t="str">
        <f>IF($AS50="","",Config!$B$27)</f>
        <v>STANDARD</v>
      </c>
      <c r="F50" t="str">
        <f>IF($AS50="","",Config!$B$9)</f>
        <v>PT Teknologi Medika Pratama (SwipeRx) (B2BR)</v>
      </c>
      <c r="G50" t="str">
        <f>IF($AS50="","",Config!$B$10)</f>
        <v>087733785699</v>
      </c>
      <c r="H50" t="str">
        <f>IF($AS50="","",Config!$B$11)</f>
        <v>Jl. Tugu Raya, Tugu, Kec. Cimanggis, Kota Depok, Jawa Barat 16451,KUBIK LOGISTICS - Kompleks Pergudangan,Gudang E1</v>
      </c>
      <c r="I50" t="str">
        <f>IF($AS50="","",Config!$B$16)</f>
        <v>ID</v>
      </c>
      <c r="J50" t="str">
        <f>IF($AS50="","",INDEX('TMP Paste'!$A$2:$A$1601,$AS50))</f>
        <v>Apotek Manjur Pondok Cina Beji</v>
      </c>
      <c r="K50" t="str">
        <f>IF($AS50="","",INDEX('TMP Paste'!$L$2:$L$1601,$AS50))</f>
        <v>6282137785242</v>
      </c>
      <c r="L50" t="str">
        <f>IF($AS50="","",INDEX('TMP Paste'!$I$2:$I$1601,$AS50))</f>
        <v>16209-Jl. Margonda Raya No. 514 RT. 001 RW. 005 Jl. Raya Pondok Duta Kel. Pondok Cina Kec. Beji Kota Depok</v>
      </c>
      <c r="M50" t="str">
        <f>IF($AS50="","",Config!$B$16)</f>
        <v>ID</v>
      </c>
      <c r="N50" t="str">
        <f t="shared" si="0"/>
        <v/>
      </c>
      <c r="O50" t="str">
        <f>IF($AS50="","",INDEX('TMP Paste'!$K$2:$K$1601,$AS50))</f>
        <v>Kota Depok</v>
      </c>
      <c r="P50" t="str">
        <f t="shared" si="1"/>
        <v/>
      </c>
      <c r="Q50">
        <f>IF($AS50="","",INDEX('TMP Paste'!$J$2:$J$1601,$AS50))</f>
        <v>16424</v>
      </c>
      <c r="R50" t="str">
        <f>IF($AS50="","",Config!$B$24)</f>
        <v>Delivery Note wajib ada nama penerima, ditandatangani dan distempel penerima. Jika di label tertera "SP Manual", maka dokumen SP Manual harus diminta ke penerima sesuai dengan jumlah PO yang butuh SP Manual. Apabila ada retur, catat di Delivery Note dan update ke IC</v>
      </c>
      <c r="S50" t="str">
        <f ca="1">IF($AS50="","",TEXT(Config!$B$4,"yyyy-mm-dd"))</f>
        <v>2026-08-18</v>
      </c>
      <c r="T50" t="str">
        <f>IF($AS50="","",Config!$B$17)</f>
        <v>09:00</v>
      </c>
      <c r="U50" t="str">
        <f>IF($AS50="","",Config!$B$18)</f>
        <v>22:00</v>
      </c>
      <c r="V50" t="str">
        <f>IF($AS50="","",Config!$B$19)</f>
        <v>Asia/Jakarta</v>
      </c>
      <c r="W50">
        <f>IF($AS50="","",INDEX('TMP Paste'!$C$2:$C$1601,$AS50))</f>
        <v>0.73</v>
      </c>
      <c r="X50" t="str">
        <f>IF($AS50="","",Config!$B$29)</f>
        <v>FALSE</v>
      </c>
      <c r="Y50" t="str">
        <f>IF($AT50="","",INDEX(Calc!$I$2:$I$1601,$AT50)&amp;" - "&amp;INDEX(Calc!$D$2:$D$1601,$AT50)&amp;" koli")</f>
        <v>26072716393780FhBo299KV (1), 2607271643250944xqmndnd (1), 260727164917489wsa6agyC (1) - 3 koli</v>
      </c>
      <c r="Z50" t="str">
        <f>IF($AS50="","",Config!$B$21)</f>
        <v>FALSE</v>
      </c>
      <c r="AA50" t="str">
        <f>IF($AS50="","",Config!$B$22)</f>
        <v>RDO</v>
      </c>
      <c r="AB50">
        <f>IF($AT50="","",INDEX(Calc!$D$2:$D$1601,$AT50))</f>
        <v>3</v>
      </c>
      <c r="AC50" t="str">
        <f>IF($AT50="","",INDEX(Calc!$G$2:$G$1601,$AT50))</f>
        <v>26072716393780FhBo299KV-01, 2607271643250944xqmndnd-02, 260727164917489wsa6agyC-03</v>
      </c>
      <c r="AD50">
        <f>IF($AS50="","",Config!$B$23)</f>
        <v>0</v>
      </c>
      <c r="AE50">
        <f>IF($AS50="","",Config!$B$28)</f>
        <v>1</v>
      </c>
      <c r="AF50">
        <f t="shared" si="2"/>
        <v>10</v>
      </c>
      <c r="AG50">
        <f t="shared" si="3"/>
        <v>7.13</v>
      </c>
      <c r="AH50">
        <f t="shared" si="4"/>
        <v>10</v>
      </c>
      <c r="AI50">
        <f>IF($AG50="","",SUMIF($AG$2:$AG50,$AG50,$AH$2:$AH50))</f>
        <v>10</v>
      </c>
      <c r="AJ50" t="str">
        <f>IF('TMP Paste'!$F50="","",IF('TMP Paste'!$B50="",$AJ49,'TMP Paste'!$B50))</f>
        <v/>
      </c>
      <c r="AK50" t="str">
        <f>IF('TMP Paste'!$F50="","",N('TMP Paste'!$G50))</f>
        <v/>
      </c>
      <c r="AL50" t="str">
        <f>IF('TMP Paste'!$F50="","",IF('TMP Paste'!$M50="",$AL49,'TMP Paste'!$M50))</f>
        <v/>
      </c>
      <c r="AM50" t="str">
        <f>IF('TMP Paste'!$F50="","",IF('TMP Paste'!$N50="",$AM49,'TMP Paste'!$N50))</f>
        <v/>
      </c>
      <c r="AN50" t="str">
        <f>IF('TMP Paste'!$F50="","",IF('TMP Paste'!$O50="",$AN49,'TMP Paste'!$O50))</f>
        <v/>
      </c>
      <c r="AO50" t="str">
        <f>IF('TMP Paste'!$F50="","",IF('TMP Paste'!$P50="",$AO49,'TMP Paste'!$P50))</f>
        <v/>
      </c>
      <c r="AP50">
        <f t="shared" si="5"/>
        <v>266</v>
      </c>
      <c r="AQ50" t="str">
        <f>IF($AS50="","",TRIM(IF(COUNTIFS(Calc!$B$2:$B$1601,ROW()-1,Calc!$C$2:$C$1601,"&lt;1")&gt;0,"Ada PO tanpa Koli - cek TMP. ","")&amp;IF(OR($AU50="",$AU50&lt;=0),"Volume kosong/0 - dimensi dikosongkan. ","")&amp;IF(AND($AU50&lt;&gt;"",$AU50&gt;=1000000),"Volume &gt;= 1.000.000 cm3 (di luar aturan) - dimensi dikosongkan. ","")&amp;IF(LEN($R50)&gt;500,"R &gt; 500 karakter.","")))</f>
        <v/>
      </c>
      <c r="AS50">
        <f>IFERROR(MATCH(ROW()-1,Calc!$J$2:$J$1601,0),"")</f>
        <v>102</v>
      </c>
      <c r="AT50">
        <f>IFERROR(MATCH(ROW()-1,Calc!$K$2:$K$1601,0),"")</f>
        <v>104</v>
      </c>
      <c r="AU50">
        <f>IF($AS50="","",IFERROR(INDEX('TMP Paste'!$D$2:$D$1601,$AS50)*1000000/$AB50,""))</f>
        <v>713</v>
      </c>
    </row>
    <row r="51" spans="1:47">
      <c r="A51" t="str">
        <f>IF($AS51="","",INDEX('TMP Paste'!$B$2:$B$1601,$AS51))</f>
        <v>AWB02WHWK</v>
      </c>
      <c r="B51">
        <f>IF($AS51="","",Config!$B$14)</f>
        <v>11398423</v>
      </c>
      <c r="C51" t="str">
        <f>IF($AS51="","",Config!$B$15)</f>
        <v>Corporate B2B Bundle</v>
      </c>
      <c r="D51" t="str">
        <f>IF($AS51="","",INDEX('TMP Paste'!$B$2:$B$1601,$AS51))</f>
        <v>AWB02WHWK</v>
      </c>
      <c r="E51" t="str">
        <f>IF($AS51="","",Config!$B$27)</f>
        <v>STANDARD</v>
      </c>
      <c r="F51" t="str">
        <f>IF($AS51="","",Config!$B$9)</f>
        <v>PT Teknologi Medika Pratama (SwipeRx) (B2BR)</v>
      </c>
      <c r="G51" t="str">
        <f>IF($AS51="","",Config!$B$10)</f>
        <v>087733785699</v>
      </c>
      <c r="H51" t="str">
        <f>IF($AS51="","",Config!$B$11)</f>
        <v>Jl. Tugu Raya, Tugu, Kec. Cimanggis, Kota Depok, Jawa Barat 16451,KUBIK LOGISTICS - Kompleks Pergudangan,Gudang E1</v>
      </c>
      <c r="I51" t="str">
        <f>IF($AS51="","",Config!$B$16)</f>
        <v>ID</v>
      </c>
      <c r="J51" t="str">
        <f>IF($AS51="","",INDEX('TMP Paste'!$A$2:$A$1601,$AS51))</f>
        <v>Apotek Mars Tugu Cimanggis</v>
      </c>
      <c r="K51" t="str">
        <f>IF($AS51="","",INDEX('TMP Paste'!$L$2:$L$1601,$AS51))</f>
        <v>6281210725818</v>
      </c>
      <c r="L51" t="str">
        <f>IF($AS51="","",INDEX('TMP Paste'!$I$2:$I$1601,$AS51))</f>
        <v>12104-Jl. Hankam Raya No. 15 E, Kelapa Dua, Desa/Kelurahan Tugu, Kec. Cimanggis, Kota Depok</v>
      </c>
      <c r="M51" t="str">
        <f>IF($AS51="","",Config!$B$16)</f>
        <v>ID</v>
      </c>
      <c r="N51" t="str">
        <f t="shared" si="0"/>
        <v/>
      </c>
      <c r="O51" t="str">
        <f>IF($AS51="","",INDEX('TMP Paste'!$K$2:$K$1601,$AS51))</f>
        <v>Kota Depok</v>
      </c>
      <c r="P51" t="str">
        <f t="shared" si="1"/>
        <v/>
      </c>
      <c r="Q51">
        <f>IF($AS51="","",INDEX('TMP Paste'!$J$2:$J$1601,$AS51))</f>
        <v>16451</v>
      </c>
      <c r="R51" t="str">
        <f>IF($AS51="","",Config!$B$24)</f>
        <v>Delivery Note wajib ada nama penerima, ditandatangani dan distempel penerima. Jika di label tertera "SP Manual", maka dokumen SP Manual harus diminta ke penerima sesuai dengan jumlah PO yang butuh SP Manual. Apabila ada retur, catat di Delivery Note dan update ke IC</v>
      </c>
      <c r="S51" t="str">
        <f ca="1">IF($AS51="","",TEXT(Config!$B$4,"yyyy-mm-dd"))</f>
        <v>2026-08-18</v>
      </c>
      <c r="T51" t="str">
        <f>IF($AS51="","",Config!$B$17)</f>
        <v>09:00</v>
      </c>
      <c r="U51" t="str">
        <f>IF($AS51="","",Config!$B$18)</f>
        <v>22:00</v>
      </c>
      <c r="V51" t="str">
        <f>IF($AS51="","",Config!$B$19)</f>
        <v>Asia/Jakarta</v>
      </c>
      <c r="W51">
        <f>IF($AS51="","",INDEX('TMP Paste'!$C$2:$C$1601,$AS51))</f>
        <v>2.16</v>
      </c>
      <c r="X51" t="str">
        <f>IF($AS51="","",Config!$B$29)</f>
        <v>FALSE</v>
      </c>
      <c r="Y51" t="str">
        <f>IF($AT51="","",INDEX(Calc!$I$2:$I$1601,$AT51)&amp;" - "&amp;INDEX(Calc!$D$2:$D$1601,$AT51)&amp;" koli")</f>
        <v>26072705363473JsgtZYExG (1) - 1 koli</v>
      </c>
      <c r="Z51" t="str">
        <f>IF($AS51="","",Config!$B$21)</f>
        <v>FALSE</v>
      </c>
      <c r="AA51" t="str">
        <f>IF($AS51="","",Config!$B$22)</f>
        <v>RDO</v>
      </c>
      <c r="AB51">
        <f>IF($AT51="","",INDEX(Calc!$D$2:$D$1601,$AT51))</f>
        <v>1</v>
      </c>
      <c r="AC51" t="str">
        <f>IF($AT51="","",INDEX(Calc!$G$2:$G$1601,$AT51))</f>
        <v>26072705363473JsgtZYExG-01</v>
      </c>
      <c r="AD51">
        <f>IF($AS51="","",Config!$B$23)</f>
        <v>0</v>
      </c>
      <c r="AE51">
        <f>IF($AS51="","",Config!$B$28)</f>
        <v>1</v>
      </c>
      <c r="AF51">
        <f t="shared" si="2"/>
        <v>100</v>
      </c>
      <c r="AG51">
        <f t="shared" si="3"/>
        <v>11.897</v>
      </c>
      <c r="AH51">
        <f t="shared" si="4"/>
        <v>10</v>
      </c>
      <c r="AI51">
        <f>IF($AG51="","",SUMIF($AG$2:$AG51,$AG51,$AH$2:$AH51))</f>
        <v>10</v>
      </c>
      <c r="AJ51" t="str">
        <f>IF('TMP Paste'!$F51="","",IF('TMP Paste'!$B51="",$AJ50,'TMP Paste'!$B51))</f>
        <v/>
      </c>
      <c r="AK51" t="str">
        <f>IF('TMP Paste'!$F51="","",N('TMP Paste'!$G51))</f>
        <v/>
      </c>
      <c r="AL51" t="str">
        <f>IF('TMP Paste'!$F51="","",IF('TMP Paste'!$M51="",$AL50,'TMP Paste'!$M51))</f>
        <v/>
      </c>
      <c r="AM51" t="str">
        <f>IF('TMP Paste'!$F51="","",IF('TMP Paste'!$N51="",$AM50,'TMP Paste'!$N51))</f>
        <v/>
      </c>
      <c r="AN51" t="str">
        <f>IF('TMP Paste'!$F51="","",IF('TMP Paste'!$O51="",$AN50,'TMP Paste'!$O51))</f>
        <v/>
      </c>
      <c r="AO51" t="str">
        <f>IF('TMP Paste'!$F51="","",IF('TMP Paste'!$P51="",$AO50,'TMP Paste'!$P51))</f>
        <v/>
      </c>
      <c r="AP51">
        <f t="shared" si="5"/>
        <v>266</v>
      </c>
      <c r="AQ51" t="str">
        <f>IF($AS51="","",TRIM(IF(COUNTIFS(Calc!$B$2:$B$1601,ROW()-1,Calc!$C$2:$C$1601,"&lt;1")&gt;0,"Ada PO tanpa Koli - cek TMP. ","")&amp;IF(OR($AU51="",$AU51&lt;=0),"Volume kosong/0 - dimensi dikosongkan. ","")&amp;IF(AND($AU51&lt;&gt;"",$AU51&gt;=1000000),"Volume &gt;= 1.000.000 cm3 (di luar aturan) - dimensi dikosongkan. ","")&amp;IF(LEN($R51)&gt;500,"R &gt; 500 karakter.","")))</f>
        <v/>
      </c>
      <c r="AS51">
        <f>IFERROR(MATCH(ROW()-1,Calc!$J$2:$J$1601,0),"")</f>
        <v>105</v>
      </c>
      <c r="AT51">
        <f>IFERROR(MATCH(ROW()-1,Calc!$K$2:$K$1601,0),"")</f>
        <v>105</v>
      </c>
      <c r="AU51">
        <f>IF($AS51="","",IFERROR(INDEX('TMP Paste'!$D$2:$D$1601,$AS51)*1000000/$AB51,""))</f>
        <v>11897</v>
      </c>
    </row>
    <row r="52" spans="1:47">
      <c r="A52" t="str">
        <f>IF($AS52="","",INDEX('TMP Paste'!$B$2:$B$1601,$AS52))</f>
        <v>AWB02WL01</v>
      </c>
      <c r="B52">
        <f>IF($AS52="","",Config!$B$14)</f>
        <v>11398423</v>
      </c>
      <c r="C52" t="str">
        <f>IF($AS52="","",Config!$B$15)</f>
        <v>Corporate B2B Bundle</v>
      </c>
      <c r="D52" t="str">
        <f>IF($AS52="","",INDEX('TMP Paste'!$B$2:$B$1601,$AS52))</f>
        <v>AWB02WL01</v>
      </c>
      <c r="E52" t="str">
        <f>IF($AS52="","",Config!$B$27)</f>
        <v>STANDARD</v>
      </c>
      <c r="F52" t="str">
        <f>IF($AS52="","",Config!$B$9)</f>
        <v>PT Teknologi Medika Pratama (SwipeRx) (B2BR)</v>
      </c>
      <c r="G52" t="str">
        <f>IF($AS52="","",Config!$B$10)</f>
        <v>087733785699</v>
      </c>
      <c r="H52" t="str">
        <f>IF($AS52="","",Config!$B$11)</f>
        <v>Jl. Tugu Raya, Tugu, Kec. Cimanggis, Kota Depok, Jawa Barat 16451,KUBIK LOGISTICS - Kompleks Pergudangan,Gudang E1</v>
      </c>
      <c r="I52" t="str">
        <f>IF($AS52="","",Config!$B$16)</f>
        <v>ID</v>
      </c>
      <c r="J52" t="str">
        <f>IF($AS52="","",INDEX('TMP Paste'!$A$2:$A$1601,$AS52))</f>
        <v>Apotek Maryam Tanah Baru Beji</v>
      </c>
      <c r="K52" t="str">
        <f>IF($AS52="","",INDEX('TMP Paste'!$L$2:$L$1601,$AS52))</f>
        <v>6281902244788</v>
      </c>
      <c r="L52" t="str">
        <f>IF($AS52="","",INDEX('TMP Paste'!$I$2:$I$1601,$AS52))</f>
        <v>15970-Jl. Curug Agung No. 7 RT. 006 RW. 009 Kel. Tanah Baru Kec. Beji Kota Depok</v>
      </c>
      <c r="M52" t="str">
        <f>IF($AS52="","",Config!$B$16)</f>
        <v>ID</v>
      </c>
      <c r="N52" t="str">
        <f t="shared" si="0"/>
        <v/>
      </c>
      <c r="O52" t="str">
        <f>IF($AS52="","",INDEX('TMP Paste'!$K$2:$K$1601,$AS52))</f>
        <v>Kota Depok</v>
      </c>
      <c r="P52" t="str">
        <f t="shared" si="1"/>
        <v/>
      </c>
      <c r="Q52">
        <f>IF($AS52="","",INDEX('TMP Paste'!$J$2:$J$1601,$AS52))</f>
        <v>16426</v>
      </c>
      <c r="R52" t="str">
        <f>IF($AS52="","",Config!$B$24)</f>
        <v>Delivery Note wajib ada nama penerima, ditandatangani dan distempel penerima. Jika di label tertera "SP Manual", maka dokumen SP Manual harus diminta ke penerima sesuai dengan jumlah PO yang butuh SP Manual. Apabila ada retur, catat di Delivery Note dan update ke IC</v>
      </c>
      <c r="S52" t="str">
        <f ca="1">IF($AS52="","",TEXT(Config!$B$4,"yyyy-mm-dd"))</f>
        <v>2026-08-18</v>
      </c>
      <c r="T52" t="str">
        <f>IF($AS52="","",Config!$B$17)</f>
        <v>09:00</v>
      </c>
      <c r="U52" t="str">
        <f>IF($AS52="","",Config!$B$18)</f>
        <v>22:00</v>
      </c>
      <c r="V52" t="str">
        <f>IF($AS52="","",Config!$B$19)</f>
        <v>Asia/Jakarta</v>
      </c>
      <c r="W52">
        <f>IF($AS52="","",INDEX('TMP Paste'!$C$2:$C$1601,$AS52))</f>
        <v>1.49</v>
      </c>
      <c r="X52" t="str">
        <f>IF($AS52="","",Config!$B$29)</f>
        <v>FALSE</v>
      </c>
      <c r="Y52" t="str">
        <f>IF($AT52="","",INDEX(Calc!$I$2:$I$1601,$AT52)&amp;" - "&amp;INDEX(Calc!$D$2:$D$1601,$AT52)&amp;" koli")</f>
        <v>26072801595190vSRVlibl4 (1), 26072801595190XLGrI4ikQy (1), 26072801595190Z8oVqWEt (1) - 3 koli</v>
      </c>
      <c r="Z52" t="str">
        <f>IF($AS52="","",Config!$B$21)</f>
        <v>FALSE</v>
      </c>
      <c r="AA52" t="str">
        <f>IF($AS52="","",Config!$B$22)</f>
        <v>RDO</v>
      </c>
      <c r="AB52">
        <f>IF($AT52="","",INDEX(Calc!$D$2:$D$1601,$AT52))</f>
        <v>3</v>
      </c>
      <c r="AC52" t="str">
        <f>IF($AT52="","",INDEX(Calc!$G$2:$G$1601,$AT52))</f>
        <v>26072801595190vSRVlibl4-01, 26072801595190XLGrI4ikQy-02, 26072801595190Z8oVqWEt-03</v>
      </c>
      <c r="AD52">
        <f>IF($AS52="","",Config!$B$23)</f>
        <v>0</v>
      </c>
      <c r="AE52">
        <f>IF($AS52="","",Config!$B$28)</f>
        <v>1</v>
      </c>
      <c r="AF52">
        <f t="shared" si="2"/>
        <v>100</v>
      </c>
      <c r="AG52">
        <f t="shared" si="3"/>
        <v>40.5776666666667</v>
      </c>
      <c r="AH52">
        <f t="shared" si="4"/>
        <v>10</v>
      </c>
      <c r="AI52">
        <f>IF($AG52="","",SUMIF($AG$2:$AG52,$AG52,$AH$2:$AH52))</f>
        <v>10</v>
      </c>
      <c r="AJ52" t="str">
        <f>IF('TMP Paste'!$F52="","",IF('TMP Paste'!$B52="",$AJ51,'TMP Paste'!$B52))</f>
        <v>AWB02WM53</v>
      </c>
      <c r="AK52">
        <f>IF('TMP Paste'!$F52="","",N('TMP Paste'!$G52))</f>
        <v>0</v>
      </c>
      <c r="AL52">
        <f>IF('TMP Paste'!$F52="","",IF('TMP Paste'!$M52="",$AL51,'TMP Paste'!$M52))</f>
        <v>1</v>
      </c>
      <c r="AM52" t="str">
        <f>IF('TMP Paste'!$F52="","",IF('TMP Paste'!$N52="",$AM51,'TMP Paste'!$N52))</f>
        <v/>
      </c>
      <c r="AN52" t="str">
        <f>IF('TMP Paste'!$F52="","",IF('TMP Paste'!$O52="",$AN51,'TMP Paste'!$O52))</f>
        <v/>
      </c>
      <c r="AO52" t="str">
        <f>IF('TMP Paste'!$F52="","",IF('TMP Paste'!$P52="",$AO51,'TMP Paste'!$P52))</f>
        <v/>
      </c>
      <c r="AP52">
        <f t="shared" si="5"/>
        <v>266</v>
      </c>
      <c r="AQ52" t="str">
        <f>IF($AS52="","",TRIM(IF(COUNTIFS(Calc!$B$2:$B$1601,ROW()-1,Calc!$C$2:$C$1601,"&lt;1")&gt;0,"Ada PO tanpa Koli - cek TMP. ","")&amp;IF(OR($AU52="",$AU52&lt;=0),"Volume kosong/0 - dimensi dikosongkan. ","")&amp;IF(AND($AU52&lt;&gt;"",$AU52&gt;=1000000),"Volume &gt;= 1.000.000 cm3 (di luar aturan) - dimensi dikosongkan. ","")&amp;IF(LEN($R52)&gt;500,"R &gt; 500 karakter.","")))</f>
        <v/>
      </c>
      <c r="AS52">
        <f>IFERROR(MATCH(ROW()-1,Calc!$J$2:$J$1601,0),"")</f>
        <v>106</v>
      </c>
      <c r="AT52">
        <f>IFERROR(MATCH(ROW()-1,Calc!$K$2:$K$1601,0),"")</f>
        <v>108</v>
      </c>
      <c r="AU52">
        <f>IF($AS52="","",IFERROR(INDEX('TMP Paste'!$D$2:$D$1601,$AS52)*1000000/$AB52,""))</f>
        <v>40577.6666666667</v>
      </c>
    </row>
    <row r="53" spans="1:47">
      <c r="A53" t="str">
        <f>IF($AS53="","",INDEX('TMP Paste'!$B$2:$B$1601,$AS53))</f>
        <v>AWB02WJHH</v>
      </c>
      <c r="B53">
        <f>IF($AS53="","",Config!$B$14)</f>
        <v>11398423</v>
      </c>
      <c r="C53" t="str">
        <f>IF($AS53="","",Config!$B$15)</f>
        <v>Corporate B2B Bundle</v>
      </c>
      <c r="D53" t="str">
        <f>IF($AS53="","",INDEX('TMP Paste'!$B$2:$B$1601,$AS53))</f>
        <v>AWB02WJHH</v>
      </c>
      <c r="E53" t="str">
        <f>IF($AS53="","",Config!$B$27)</f>
        <v>STANDARD</v>
      </c>
      <c r="F53" t="str">
        <f>IF($AS53="","",Config!$B$9)</f>
        <v>PT Teknologi Medika Pratama (SwipeRx) (B2BR)</v>
      </c>
      <c r="G53" t="str">
        <f>IF($AS53="","",Config!$B$10)</f>
        <v>087733785699</v>
      </c>
      <c r="H53" t="str">
        <f>IF($AS53="","",Config!$B$11)</f>
        <v>Jl. Tugu Raya, Tugu, Kec. Cimanggis, Kota Depok, Jawa Barat 16451,KUBIK LOGISTICS - Kompleks Pergudangan,Gudang E1</v>
      </c>
      <c r="I53" t="str">
        <f>IF($AS53="","",Config!$B$16)</f>
        <v>ID</v>
      </c>
      <c r="J53" t="str">
        <f>IF($AS53="","",INDEX('TMP Paste'!$A$2:$A$1601,$AS53))</f>
        <v>Apotek Medika 126 Baru Pasar Rebo</v>
      </c>
      <c r="K53" t="str">
        <f>IF($AS53="","",INDEX('TMP Paste'!$L$2:$L$1601,$AS53))</f>
        <v>6282125844069</v>
      </c>
      <c r="L53" t="str">
        <f>IF($AS53="","",INDEX('TMP Paste'!$I$2:$I$1601,$AS53))</f>
        <v>13566-Jalan Gongseng Raya Nomor 8 B, Desa/Kelurahan Baru, Kec. Pasar Rebo, Kota Jakarta Timur</v>
      </c>
      <c r="M53" t="str">
        <f>IF($AS53="","",Config!$B$16)</f>
        <v>ID</v>
      </c>
      <c r="N53" t="str">
        <f t="shared" si="0"/>
        <v/>
      </c>
      <c r="O53" t="str">
        <f>IF($AS53="","",INDEX('TMP Paste'!$K$2:$K$1601,$AS53))</f>
        <v>Kota Jakarta Timur</v>
      </c>
      <c r="P53" t="str">
        <f t="shared" si="1"/>
        <v/>
      </c>
      <c r="Q53">
        <f>IF($AS53="","",INDEX('TMP Paste'!$J$2:$J$1601,$AS53))</f>
        <v>13780</v>
      </c>
      <c r="R53" t="str">
        <f>IF($AS53="","",Config!$B$24)</f>
        <v>Delivery Note wajib ada nama penerima, ditandatangani dan distempel penerima. Jika di label tertera "SP Manual", maka dokumen SP Manual harus diminta ke penerima sesuai dengan jumlah PO yang butuh SP Manual. Apabila ada retur, catat di Delivery Note dan update ke IC</v>
      </c>
      <c r="S53" t="str">
        <f ca="1">IF($AS53="","",TEXT(Config!$B$4,"yyyy-mm-dd"))</f>
        <v>2026-08-18</v>
      </c>
      <c r="T53" t="str">
        <f>IF($AS53="","",Config!$B$17)</f>
        <v>09:00</v>
      </c>
      <c r="U53" t="str">
        <f>IF($AS53="","",Config!$B$18)</f>
        <v>22:00</v>
      </c>
      <c r="V53" t="str">
        <f>IF($AS53="","",Config!$B$19)</f>
        <v>Asia/Jakarta</v>
      </c>
      <c r="W53">
        <f>IF($AS53="","",INDEX('TMP Paste'!$C$2:$C$1601,$AS53))</f>
        <v>0.61</v>
      </c>
      <c r="X53" t="str">
        <f>IF($AS53="","",Config!$B$29)</f>
        <v>FALSE</v>
      </c>
      <c r="Y53" t="str">
        <f>IF($AT53="","",INDEX(Calc!$I$2:$I$1601,$AT53)&amp;" - "&amp;INDEX(Calc!$D$2:$D$1601,$AT53)&amp;" koli")</f>
        <v>26072710005569qoMepCZ1K (1), 26072710415979BLVpGgsq3 (1) - 2 koli</v>
      </c>
      <c r="Z53" t="str">
        <f>IF($AS53="","",Config!$B$21)</f>
        <v>FALSE</v>
      </c>
      <c r="AA53" t="str">
        <f>IF($AS53="","",Config!$B$22)</f>
        <v>RDO</v>
      </c>
      <c r="AB53">
        <f>IF($AT53="","",INDEX(Calc!$D$2:$D$1601,$AT53))</f>
        <v>2</v>
      </c>
      <c r="AC53" t="str">
        <f>IF($AT53="","",INDEX(Calc!$G$2:$G$1601,$AT53))</f>
        <v>26072710005569qoMepCZ1K-01, 26072710415979BLVpGgsq3-02</v>
      </c>
      <c r="AD53">
        <f>IF($AS53="","",Config!$B$23)</f>
        <v>0</v>
      </c>
      <c r="AE53">
        <f>IF($AS53="","",Config!$B$28)</f>
        <v>1</v>
      </c>
      <c r="AF53">
        <f t="shared" si="2"/>
        <v>10</v>
      </c>
      <c r="AG53">
        <f t="shared" si="3"/>
        <v>10.62</v>
      </c>
      <c r="AH53">
        <f t="shared" si="4"/>
        <v>10</v>
      </c>
      <c r="AI53">
        <f>IF($AG53="","",SUMIF($AG$2:$AG53,$AG53,$AH$2:$AH53))</f>
        <v>10</v>
      </c>
      <c r="AJ53" t="str">
        <f>IF('TMP Paste'!$F53="","",IF('TMP Paste'!$B53="",$AJ52,'TMP Paste'!$B53))</f>
        <v/>
      </c>
      <c r="AK53" t="str">
        <f>IF('TMP Paste'!$F53="","",N('TMP Paste'!$G53))</f>
        <v/>
      </c>
      <c r="AL53" t="str">
        <f>IF('TMP Paste'!$F53="","",IF('TMP Paste'!$M53="",$AL52,'TMP Paste'!$M53))</f>
        <v/>
      </c>
      <c r="AM53" t="str">
        <f>IF('TMP Paste'!$F53="","",IF('TMP Paste'!$N53="",$AM52,'TMP Paste'!$N53))</f>
        <v/>
      </c>
      <c r="AN53" t="str">
        <f>IF('TMP Paste'!$F53="","",IF('TMP Paste'!$O53="",$AN52,'TMP Paste'!$O53))</f>
        <v/>
      </c>
      <c r="AO53" t="str">
        <f>IF('TMP Paste'!$F53="","",IF('TMP Paste'!$P53="",$AO52,'TMP Paste'!$P53))</f>
        <v/>
      </c>
      <c r="AP53">
        <f t="shared" si="5"/>
        <v>266</v>
      </c>
      <c r="AQ53" t="str">
        <f>IF($AS53="","",TRIM(IF(COUNTIFS(Calc!$B$2:$B$1601,ROW()-1,Calc!$C$2:$C$1601,"&lt;1")&gt;0,"Ada PO tanpa Koli - cek TMP. ","")&amp;IF(OR($AU53="",$AU53&lt;=0),"Volume kosong/0 - dimensi dikosongkan. ","")&amp;IF(AND($AU53&lt;&gt;"",$AU53&gt;=1000000),"Volume &gt;= 1.000.000 cm3 (di luar aturan) - dimensi dikosongkan. ","")&amp;IF(LEN($R53)&gt;500,"R &gt; 500 karakter.","")))</f>
        <v/>
      </c>
      <c r="AS53">
        <f>IFERROR(MATCH(ROW()-1,Calc!$J$2:$J$1601,0),"")</f>
        <v>109</v>
      </c>
      <c r="AT53">
        <f>IFERROR(MATCH(ROW()-1,Calc!$K$2:$K$1601,0),"")</f>
        <v>110</v>
      </c>
      <c r="AU53">
        <f>IF($AS53="","",IFERROR(INDEX('TMP Paste'!$D$2:$D$1601,$AS53)*1000000/$AB53,""))</f>
        <v>1062</v>
      </c>
    </row>
    <row r="54" spans="1:47">
      <c r="A54" t="str">
        <f>IF($AS54="","",INDEX('TMP Paste'!$B$2:$B$1601,$AS54))</f>
        <v>AWB02WM39</v>
      </c>
      <c r="B54">
        <f>IF($AS54="","",Config!$B$14)</f>
        <v>11398423</v>
      </c>
      <c r="C54" t="str">
        <f>IF($AS54="","",Config!$B$15)</f>
        <v>Corporate B2B Bundle</v>
      </c>
      <c r="D54" t="str">
        <f>IF($AS54="","",INDEX('TMP Paste'!$B$2:$B$1601,$AS54))</f>
        <v>AWB02WM39</v>
      </c>
      <c r="E54" t="str">
        <f>IF($AS54="","",Config!$B$27)</f>
        <v>STANDARD</v>
      </c>
      <c r="F54" t="str">
        <f>IF($AS54="","",Config!$B$9)</f>
        <v>PT Teknologi Medika Pratama (SwipeRx) (B2BR)</v>
      </c>
      <c r="G54" t="str">
        <f>IF($AS54="","",Config!$B$10)</f>
        <v>087733785699</v>
      </c>
      <c r="H54" t="str">
        <f>IF($AS54="","",Config!$B$11)</f>
        <v>Jl. Tugu Raya, Tugu, Kec. Cimanggis, Kota Depok, Jawa Barat 16451,KUBIK LOGISTICS - Kompleks Pergudangan,Gudang E1</v>
      </c>
      <c r="I54" t="str">
        <f>IF($AS54="","",Config!$B$16)</f>
        <v>ID</v>
      </c>
      <c r="J54" t="str">
        <f>IF($AS54="","",INDEX('TMP Paste'!$A$2:$A$1601,$AS54))</f>
        <v>Apotek Merapi</v>
      </c>
      <c r="K54" t="str">
        <f>IF($AS54="","",INDEX('TMP Paste'!$L$2:$L$1601,$AS54))</f>
        <v>2177833109</v>
      </c>
      <c r="L54" t="str">
        <f>IF($AS54="","",INDEX('TMP Paste'!$I$2:$I$1601,$AS54))</f>
        <v>334-Jalan Kejayaan Blok X No. 9 RT 006/ RW 012 Kelurahan Abadijaya, Kecamatan Sukmajaya Kota Depok 16417</v>
      </c>
      <c r="M54" t="str">
        <f>IF($AS54="","",Config!$B$16)</f>
        <v>ID</v>
      </c>
      <c r="N54" t="str">
        <f t="shared" si="0"/>
        <v/>
      </c>
      <c r="O54" t="str">
        <f>IF($AS54="","",INDEX('TMP Paste'!$K$2:$K$1601,$AS54))</f>
        <v>Kota Depok</v>
      </c>
      <c r="P54" t="str">
        <f t="shared" si="1"/>
        <v/>
      </c>
      <c r="Q54">
        <f>IF($AS54="","",INDEX('TMP Paste'!$J$2:$J$1601,$AS54))</f>
        <v>16417</v>
      </c>
      <c r="R54" t="str">
        <f>IF($AS54="","",Config!$B$24)</f>
        <v>Delivery Note wajib ada nama penerima, ditandatangani dan distempel penerima. Jika di label tertera "SP Manual", maka dokumen SP Manual harus diminta ke penerima sesuai dengan jumlah PO yang butuh SP Manual. Apabila ada retur, catat di Delivery Note dan update ke IC</v>
      </c>
      <c r="S54" t="str">
        <f ca="1">IF($AS54="","",TEXT(Config!$B$4,"yyyy-mm-dd"))</f>
        <v>2026-08-18</v>
      </c>
      <c r="T54" t="str">
        <f>IF($AS54="","",Config!$B$17)</f>
        <v>09:00</v>
      </c>
      <c r="U54" t="str">
        <f>IF($AS54="","",Config!$B$18)</f>
        <v>22:00</v>
      </c>
      <c r="V54" t="str">
        <f>IF($AS54="","",Config!$B$19)</f>
        <v>Asia/Jakarta</v>
      </c>
      <c r="W54">
        <f>IF($AS54="","",INDEX('TMP Paste'!$C$2:$C$1601,$AS54))</f>
        <v>9.8</v>
      </c>
      <c r="X54" t="str">
        <f>IF($AS54="","",Config!$B$29)</f>
        <v>FALSE</v>
      </c>
      <c r="Y54" t="str">
        <f>IF($AT54="","",INDEX(Calc!$I$2:$I$1601,$AT54)&amp;" - "&amp;INDEX(Calc!$D$2:$D$1601,$AT54)&amp;" koli")</f>
        <v>26072803283505cI8I77fXXj (1), 26072803283505IrS9O5GP4 (1), 26072803283505rckWTaHni (1), 26072803574432jW7lwvjk5 (1) - 4 koli</v>
      </c>
      <c r="Z54" t="str">
        <f>IF($AS54="","",Config!$B$21)</f>
        <v>FALSE</v>
      </c>
      <c r="AA54" t="str">
        <f>IF($AS54="","",Config!$B$22)</f>
        <v>RDO</v>
      </c>
      <c r="AB54">
        <f>IF($AT54="","",INDEX(Calc!$D$2:$D$1601,$AT54))</f>
        <v>4</v>
      </c>
      <c r="AC54" t="str">
        <f>IF($AT54="","",INDEX(Calc!$G$2:$G$1601,$AT54))</f>
        <v>26072803283505cI8I77fXXj-01, 26072803283505IrS9O5GP4-02, 26072803283505rckWTaHni-03, 26072803574432jW7lwvjk5-04</v>
      </c>
      <c r="AD54">
        <f>IF($AS54="","",Config!$B$23)</f>
        <v>0</v>
      </c>
      <c r="AE54">
        <f>IF($AS54="","",Config!$B$28)</f>
        <v>1</v>
      </c>
      <c r="AF54">
        <f t="shared" si="2"/>
        <v>10</v>
      </c>
      <c r="AG54">
        <f t="shared" si="3"/>
        <v>71.8475</v>
      </c>
      <c r="AH54">
        <f t="shared" si="4"/>
        <v>10</v>
      </c>
      <c r="AI54">
        <f>IF($AG54="","",SUMIF($AG$2:$AG54,$AG54,$AH$2:$AH54))</f>
        <v>10</v>
      </c>
      <c r="AJ54" t="str">
        <f>IF('TMP Paste'!$F54="","",IF('TMP Paste'!$B54="",$AJ53,'TMP Paste'!$B54))</f>
        <v>AWB02WMFG</v>
      </c>
      <c r="AK54">
        <f>IF('TMP Paste'!$F54="","",N('TMP Paste'!$G54))</f>
        <v>0</v>
      </c>
      <c r="AL54">
        <f>IF('TMP Paste'!$F54="","",IF('TMP Paste'!$M54="",$AL53,'TMP Paste'!$M54))</f>
        <v>1</v>
      </c>
      <c r="AM54" t="str">
        <f>IF('TMP Paste'!$F54="","",IF('TMP Paste'!$N54="",$AM53,'TMP Paste'!$N54))</f>
        <v/>
      </c>
      <c r="AN54" t="str">
        <f>IF('TMP Paste'!$F54="","",IF('TMP Paste'!$O54="",$AN53,'TMP Paste'!$O54))</f>
        <v/>
      </c>
      <c r="AO54" t="str">
        <f>IF('TMP Paste'!$F54="","",IF('TMP Paste'!$P54="",$AO53,'TMP Paste'!$P54))</f>
        <v/>
      </c>
      <c r="AP54">
        <f t="shared" si="5"/>
        <v>266</v>
      </c>
      <c r="AQ54" t="str">
        <f>IF($AS54="","",TRIM(IF(COUNTIFS(Calc!$B$2:$B$1601,ROW()-1,Calc!$C$2:$C$1601,"&lt;1")&gt;0,"Ada PO tanpa Koli - cek TMP. ","")&amp;IF(OR($AU54="",$AU54&lt;=0),"Volume kosong/0 - dimensi dikosongkan. ","")&amp;IF(AND($AU54&lt;&gt;"",$AU54&gt;=1000000),"Volume &gt;= 1.000.000 cm3 (di luar aturan) - dimensi dikosongkan. ","")&amp;IF(LEN($R54)&gt;500,"R &gt; 500 karakter.","")))</f>
        <v/>
      </c>
      <c r="AS54">
        <f>IFERROR(MATCH(ROW()-1,Calc!$J$2:$J$1601,0),"")</f>
        <v>111</v>
      </c>
      <c r="AT54">
        <f>IFERROR(MATCH(ROW()-1,Calc!$K$2:$K$1601,0),"")</f>
        <v>114</v>
      </c>
      <c r="AU54">
        <f>IF($AS54="","",IFERROR(INDEX('TMP Paste'!$D$2:$D$1601,$AS54)*1000000/$AB54,""))</f>
        <v>7184.75</v>
      </c>
    </row>
    <row r="55" spans="1:47">
      <c r="A55" t="str">
        <f>IF($AS55="","",INDEX('TMP Paste'!$B$2:$B$1601,$AS55))</f>
        <v>AWB02WJJL</v>
      </c>
      <c r="B55">
        <f>IF($AS55="","",Config!$B$14)</f>
        <v>11398423</v>
      </c>
      <c r="C55" t="str">
        <f>IF($AS55="","",Config!$B$15)</f>
        <v>Corporate B2B Bundle</v>
      </c>
      <c r="D55" t="str">
        <f>IF($AS55="","",INDEX('TMP Paste'!$B$2:$B$1601,$AS55))</f>
        <v>AWB02WJJL</v>
      </c>
      <c r="E55" t="str">
        <f>IF($AS55="","",Config!$B$27)</f>
        <v>STANDARD</v>
      </c>
      <c r="F55" t="str">
        <f>IF($AS55="","",Config!$B$9)</f>
        <v>PT Teknologi Medika Pratama (SwipeRx) (B2BR)</v>
      </c>
      <c r="G55" t="str">
        <f>IF($AS55="","",Config!$B$10)</f>
        <v>087733785699</v>
      </c>
      <c r="H55" t="str">
        <f>IF($AS55="","",Config!$B$11)</f>
        <v>Jl. Tugu Raya, Tugu, Kec. Cimanggis, Kota Depok, Jawa Barat 16451,KUBIK LOGISTICS - Kompleks Pergudangan,Gudang E1</v>
      </c>
      <c r="I55" t="str">
        <f>IF($AS55="","",Config!$B$16)</f>
        <v>ID</v>
      </c>
      <c r="J55" t="str">
        <f>IF($AS55="","",INDEX('TMP Paste'!$A$2:$A$1601,$AS55))</f>
        <v>Apotek Mumtaz Bedahan Sawangan</v>
      </c>
      <c r="K55" t="str">
        <f>IF($AS55="","",INDEX('TMP Paste'!$L$2:$L$1601,$AS55))</f>
        <v>6285177925786</v>
      </c>
      <c r="L55" t="str">
        <f>IF($AS55="","",INDEX('TMP Paste'!$I$2:$I$1601,$AS55))</f>
        <v>15895-Ruko Almoetamad Regency No.1 RT 005 RW 003 Kel.Bedahan Kec.Sawangan Kota Depok</v>
      </c>
      <c r="M55" t="str">
        <f>IF($AS55="","",Config!$B$16)</f>
        <v>ID</v>
      </c>
      <c r="N55" t="str">
        <f t="shared" si="0"/>
        <v/>
      </c>
      <c r="O55" t="str">
        <f>IF($AS55="","",INDEX('TMP Paste'!$K$2:$K$1601,$AS55))</f>
        <v>Kota Depok</v>
      </c>
      <c r="P55" t="str">
        <f t="shared" si="1"/>
        <v/>
      </c>
      <c r="Q55">
        <f>IF($AS55="","",INDEX('TMP Paste'!$J$2:$J$1601,$AS55))</f>
        <v>16519</v>
      </c>
      <c r="R55" t="str">
        <f>IF($AS55="","",Config!$B$24)</f>
        <v>Delivery Note wajib ada nama penerima, ditandatangani dan distempel penerima. Jika di label tertera "SP Manual", maka dokumen SP Manual harus diminta ke penerima sesuai dengan jumlah PO yang butuh SP Manual. Apabila ada retur, catat di Delivery Note dan update ke IC</v>
      </c>
      <c r="S55" t="str">
        <f ca="1">IF($AS55="","",TEXT(Config!$B$4,"yyyy-mm-dd"))</f>
        <v>2026-08-18</v>
      </c>
      <c r="T55" t="str">
        <f>IF($AS55="","",Config!$B$17)</f>
        <v>09:00</v>
      </c>
      <c r="U55" t="str">
        <f>IF($AS55="","",Config!$B$18)</f>
        <v>22:00</v>
      </c>
      <c r="V55" t="str">
        <f>IF($AS55="","",Config!$B$19)</f>
        <v>Asia/Jakarta</v>
      </c>
      <c r="W55">
        <f>IF($AS55="","",INDEX('TMP Paste'!$C$2:$C$1601,$AS55))</f>
        <v>0.97</v>
      </c>
      <c r="X55" t="str">
        <f>IF($AS55="","",Config!$B$29)</f>
        <v>FALSE</v>
      </c>
      <c r="Y55" t="str">
        <f>IF($AT55="","",INDEX(Calc!$I$2:$I$1601,$AT55)&amp;" - "&amp;INDEX(Calc!$D$2:$D$1601,$AT55)&amp;" koli")</f>
        <v>26072710133904pNcuq6ld (1), 2607271013390590AlcCl43l (1) - 2 koli</v>
      </c>
      <c r="Z55" t="str">
        <f>IF($AS55="","",Config!$B$21)</f>
        <v>FALSE</v>
      </c>
      <c r="AA55" t="str">
        <f>IF($AS55="","",Config!$B$22)</f>
        <v>RDO</v>
      </c>
      <c r="AB55">
        <f>IF($AT55="","",INDEX(Calc!$D$2:$D$1601,$AT55))</f>
        <v>2</v>
      </c>
      <c r="AC55" t="str">
        <f>IF($AT55="","",INDEX(Calc!$G$2:$G$1601,$AT55))</f>
        <v>26072710133904pNcuq6ld-01, 2607271013390590AlcCl43l-02</v>
      </c>
      <c r="AD55">
        <f>IF($AS55="","",Config!$B$23)</f>
        <v>0</v>
      </c>
      <c r="AE55">
        <f>IF($AS55="","",Config!$B$28)</f>
        <v>1</v>
      </c>
      <c r="AF55">
        <f t="shared" si="2"/>
        <v>10</v>
      </c>
      <c r="AG55">
        <f t="shared" si="3"/>
        <v>20.225</v>
      </c>
      <c r="AH55">
        <f t="shared" si="4"/>
        <v>10</v>
      </c>
      <c r="AI55">
        <f>IF($AG55="","",SUMIF($AG$2:$AG55,$AG55,$AH$2:$AH55))</f>
        <v>10</v>
      </c>
      <c r="AJ55" t="str">
        <f>IF('TMP Paste'!$F55="","",IF('TMP Paste'!$B55="",$AJ54,'TMP Paste'!$B55))</f>
        <v/>
      </c>
      <c r="AK55" t="str">
        <f>IF('TMP Paste'!$F55="","",N('TMP Paste'!$G55))</f>
        <v/>
      </c>
      <c r="AL55" t="str">
        <f>IF('TMP Paste'!$F55="","",IF('TMP Paste'!$M55="",$AL54,'TMP Paste'!$M55))</f>
        <v/>
      </c>
      <c r="AM55" t="str">
        <f>IF('TMP Paste'!$F55="","",IF('TMP Paste'!$N55="",$AM54,'TMP Paste'!$N55))</f>
        <v/>
      </c>
      <c r="AN55" t="str">
        <f>IF('TMP Paste'!$F55="","",IF('TMP Paste'!$O55="",$AN54,'TMP Paste'!$O55))</f>
        <v/>
      </c>
      <c r="AO55" t="str">
        <f>IF('TMP Paste'!$F55="","",IF('TMP Paste'!$P55="",$AO54,'TMP Paste'!$P55))</f>
        <v/>
      </c>
      <c r="AP55">
        <f t="shared" si="5"/>
        <v>266</v>
      </c>
      <c r="AQ55" t="str">
        <f>IF($AS55="","",TRIM(IF(COUNTIFS(Calc!$B$2:$B$1601,ROW()-1,Calc!$C$2:$C$1601,"&lt;1")&gt;0,"Ada PO tanpa Koli - cek TMP. ","")&amp;IF(OR($AU55="",$AU55&lt;=0),"Volume kosong/0 - dimensi dikosongkan. ","")&amp;IF(AND($AU55&lt;&gt;"",$AU55&gt;=1000000),"Volume &gt;= 1.000.000 cm3 (di luar aturan) - dimensi dikosongkan. ","")&amp;IF(LEN($R55)&gt;500,"R &gt; 500 karakter.","")))</f>
        <v/>
      </c>
      <c r="AS55">
        <f>IFERROR(MATCH(ROW()-1,Calc!$J$2:$J$1601,0),"")</f>
        <v>115</v>
      </c>
      <c r="AT55">
        <f>IFERROR(MATCH(ROW()-1,Calc!$K$2:$K$1601,0),"")</f>
        <v>116</v>
      </c>
      <c r="AU55">
        <f>IF($AS55="","",IFERROR(INDEX('TMP Paste'!$D$2:$D$1601,$AS55)*1000000/$AB55,""))</f>
        <v>2022.5</v>
      </c>
    </row>
    <row r="56" spans="1:47">
      <c r="A56" t="str">
        <f>IF($AS56="","",INDEX('TMP Paste'!$B$2:$B$1601,$AS56))</f>
        <v>AWB02WG7D</v>
      </c>
      <c r="B56">
        <f>IF($AS56="","",Config!$B$14)</f>
        <v>11398423</v>
      </c>
      <c r="C56" t="str">
        <f>IF($AS56="","",Config!$B$15)</f>
        <v>Corporate B2B Bundle</v>
      </c>
      <c r="D56" t="str">
        <f>IF($AS56="","",INDEX('TMP Paste'!$B$2:$B$1601,$AS56))</f>
        <v>AWB02WG7D</v>
      </c>
      <c r="E56" t="str">
        <f>IF($AS56="","",Config!$B$27)</f>
        <v>STANDARD</v>
      </c>
      <c r="F56" t="str">
        <f>IF($AS56="","",Config!$B$9)</f>
        <v>PT Teknologi Medika Pratama (SwipeRx) (B2BR)</v>
      </c>
      <c r="G56" t="str">
        <f>IF($AS56="","",Config!$B$10)</f>
        <v>087733785699</v>
      </c>
      <c r="H56" t="str">
        <f>IF($AS56="","",Config!$B$11)</f>
        <v>Jl. Tugu Raya, Tugu, Kec. Cimanggis, Kota Depok, Jawa Barat 16451,KUBIK LOGISTICS - Kompleks Pergudangan,Gudang E1</v>
      </c>
      <c r="I56" t="str">
        <f>IF($AS56="","",Config!$B$16)</f>
        <v>ID</v>
      </c>
      <c r="J56" t="str">
        <f>IF($AS56="","",INDEX('TMP Paste'!$A$2:$A$1601,$AS56))</f>
        <v>Apotek Mustika Waras Jatirasa Jatiasih</v>
      </c>
      <c r="K56" t="str">
        <f>IF($AS56="","",INDEX('TMP Paste'!$L$2:$L$1601,$AS56))</f>
        <v>6285770601565</v>
      </c>
      <c r="L56" t="str">
        <f>IF($AS56="","",INDEX('TMP Paste'!$I$2:$I$1601,$AS56))</f>
        <v>9079-Jl. Swatantra V No. 66 B RT 07 RW 03 Kel. Jatirasa, Kec. Jatiasih, Kota Bekasi 17424</v>
      </c>
      <c r="M56" t="str">
        <f>IF($AS56="","",Config!$B$16)</f>
        <v>ID</v>
      </c>
      <c r="N56" t="str">
        <f t="shared" si="0"/>
        <v/>
      </c>
      <c r="O56" t="str">
        <f>IF($AS56="","",INDEX('TMP Paste'!$K$2:$K$1601,$AS56))</f>
        <v>Kota Bekasi</v>
      </c>
      <c r="P56" t="str">
        <f t="shared" si="1"/>
        <v/>
      </c>
      <c r="Q56">
        <f>IF($AS56="","",INDEX('TMP Paste'!$J$2:$J$1601,$AS56))</f>
        <v>17424</v>
      </c>
      <c r="R56" t="str">
        <f>IF($AS56="","",Config!$B$24)</f>
        <v>Delivery Note wajib ada nama penerima, ditandatangani dan distempel penerima. Jika di label tertera "SP Manual", maka dokumen SP Manual harus diminta ke penerima sesuai dengan jumlah PO yang butuh SP Manual. Apabila ada retur, catat di Delivery Note dan update ke IC</v>
      </c>
      <c r="S56" t="str">
        <f ca="1">IF($AS56="","",TEXT(Config!$B$4,"yyyy-mm-dd"))</f>
        <v>2026-08-18</v>
      </c>
      <c r="T56" t="str">
        <f>IF($AS56="","",Config!$B$17)</f>
        <v>09:00</v>
      </c>
      <c r="U56" t="str">
        <f>IF($AS56="","",Config!$B$18)</f>
        <v>22:00</v>
      </c>
      <c r="V56" t="str">
        <f>IF($AS56="","",Config!$B$19)</f>
        <v>Asia/Jakarta</v>
      </c>
      <c r="W56">
        <f>IF($AS56="","",INDEX('TMP Paste'!$C$2:$C$1601,$AS56))</f>
        <v>2.99</v>
      </c>
      <c r="X56" t="str">
        <f>IF($AS56="","",Config!$B$29)</f>
        <v>FALSE</v>
      </c>
      <c r="Y56" t="str">
        <f>IF($AT56="","",INDEX(Calc!$I$2:$I$1601,$AT56)&amp;" - "&amp;INDEX(Calc!$D$2:$D$1601,$AT56)&amp;" koli")</f>
        <v>26072702572626NtbbW1wOJ (1), 26072705573895qVOjd2FOO (1), 26072803404163RnXrEhtGw (1) - 3 koli</v>
      </c>
      <c r="Z56" t="str">
        <f>IF($AS56="","",Config!$B$21)</f>
        <v>FALSE</v>
      </c>
      <c r="AA56" t="str">
        <f>IF($AS56="","",Config!$B$22)</f>
        <v>RDO</v>
      </c>
      <c r="AB56">
        <f>IF($AT56="","",INDEX(Calc!$D$2:$D$1601,$AT56))</f>
        <v>3</v>
      </c>
      <c r="AC56" t="str">
        <f>IF($AT56="","",INDEX(Calc!$G$2:$G$1601,$AT56))</f>
        <v>26072702572626NtbbW1wOJ-01, 26072705573895qVOjd2FOO-02, 26072803404163RnXrEhtGw-03</v>
      </c>
      <c r="AD56">
        <f>IF($AS56="","",Config!$B$23)</f>
        <v>0</v>
      </c>
      <c r="AE56">
        <f>IF($AS56="","",Config!$B$28)</f>
        <v>1</v>
      </c>
      <c r="AF56">
        <f t="shared" si="2"/>
        <v>10</v>
      </c>
      <c r="AG56">
        <f t="shared" si="3"/>
        <v>32.0333333333333</v>
      </c>
      <c r="AH56">
        <f t="shared" si="4"/>
        <v>10</v>
      </c>
      <c r="AI56">
        <f>IF($AG56="","",SUMIF($AG$2:$AG56,$AG56,$AH$2:$AH56))</f>
        <v>10</v>
      </c>
      <c r="AJ56" t="str">
        <f>IF('TMP Paste'!$F56="","",IF('TMP Paste'!$B56="",$AJ55,'TMP Paste'!$B56))</f>
        <v/>
      </c>
      <c r="AK56" t="str">
        <f>IF('TMP Paste'!$F56="","",N('TMP Paste'!$G56))</f>
        <v/>
      </c>
      <c r="AL56" t="str">
        <f>IF('TMP Paste'!$F56="","",IF('TMP Paste'!$M56="",$AL55,'TMP Paste'!$M56))</f>
        <v/>
      </c>
      <c r="AM56" t="str">
        <f>IF('TMP Paste'!$F56="","",IF('TMP Paste'!$N56="",$AM55,'TMP Paste'!$N56))</f>
        <v/>
      </c>
      <c r="AN56" t="str">
        <f>IF('TMP Paste'!$F56="","",IF('TMP Paste'!$O56="",$AN55,'TMP Paste'!$O56))</f>
        <v/>
      </c>
      <c r="AO56" t="str">
        <f>IF('TMP Paste'!$F56="","",IF('TMP Paste'!$P56="",$AO55,'TMP Paste'!$P56))</f>
        <v/>
      </c>
      <c r="AP56">
        <f t="shared" si="5"/>
        <v>266</v>
      </c>
      <c r="AQ56" t="str">
        <f>IF($AS56="","",TRIM(IF(COUNTIFS(Calc!$B$2:$B$1601,ROW()-1,Calc!$C$2:$C$1601,"&lt;1")&gt;0,"Ada PO tanpa Koli - cek TMP. ","")&amp;IF(OR($AU56="",$AU56&lt;=0),"Volume kosong/0 - dimensi dikosongkan. ","")&amp;IF(AND($AU56&lt;&gt;"",$AU56&gt;=1000000),"Volume &gt;= 1.000.000 cm3 (di luar aturan) - dimensi dikosongkan. ","")&amp;IF(LEN($R56)&gt;500,"R &gt; 500 karakter.","")))</f>
        <v/>
      </c>
      <c r="AS56">
        <f>IFERROR(MATCH(ROW()-1,Calc!$J$2:$J$1601,0),"")</f>
        <v>117</v>
      </c>
      <c r="AT56">
        <f>IFERROR(MATCH(ROW()-1,Calc!$K$2:$K$1601,0),"")</f>
        <v>119</v>
      </c>
      <c r="AU56">
        <f>IF($AS56="","",IFERROR(INDEX('TMP Paste'!$D$2:$D$1601,$AS56)*1000000/$AB56,""))</f>
        <v>3203.33333333333</v>
      </c>
    </row>
    <row r="57" spans="1:47">
      <c r="A57" t="str">
        <f>IF($AS57="","",INDEX('TMP Paste'!$B$2:$B$1601,$AS57))</f>
        <v>AWB02WJRJ</v>
      </c>
      <c r="B57">
        <f>IF($AS57="","",Config!$B$14)</f>
        <v>11398423</v>
      </c>
      <c r="C57" t="str">
        <f>IF($AS57="","",Config!$B$15)</f>
        <v>Corporate B2B Bundle</v>
      </c>
      <c r="D57" t="str">
        <f>IF($AS57="","",INDEX('TMP Paste'!$B$2:$B$1601,$AS57))</f>
        <v>AWB02WJRJ</v>
      </c>
      <c r="E57" t="str">
        <f>IF($AS57="","",Config!$B$27)</f>
        <v>STANDARD</v>
      </c>
      <c r="F57" t="str">
        <f>IF($AS57="","",Config!$B$9)</f>
        <v>PT Teknologi Medika Pratama (SwipeRx) (B2BR)</v>
      </c>
      <c r="G57" t="str">
        <f>IF($AS57="","",Config!$B$10)</f>
        <v>087733785699</v>
      </c>
      <c r="H57" t="str">
        <f>IF($AS57="","",Config!$B$11)</f>
        <v>Jl. Tugu Raya, Tugu, Kec. Cimanggis, Kota Depok, Jawa Barat 16451,KUBIK LOGISTICS - Kompleks Pergudangan,Gudang E1</v>
      </c>
      <c r="I57" t="str">
        <f>IF($AS57="","",Config!$B$16)</f>
        <v>ID</v>
      </c>
      <c r="J57" t="str">
        <f>IF($AS57="","",INDEX('TMP Paste'!$A$2:$A$1601,$AS57))</f>
        <v>Apotek Nakita Madalle</v>
      </c>
      <c r="K57" t="str">
        <f>IF($AS57="","",INDEX('TMP Paste'!$L$2:$L$1601,$AS57))</f>
        <v>82122191810</v>
      </c>
      <c r="L57" t="str">
        <f>IF($AS57="","",INDEX('TMP Paste'!$I$2:$I$1601,$AS57))</f>
        <v>3381-Perumahan Permata Cimanggis Blok CC No.15 RT005/RW021 Kel.Cimpaeun Kec.Tapos Depok Jawa Barat 16459</v>
      </c>
      <c r="M57" t="str">
        <f>IF($AS57="","",Config!$B$16)</f>
        <v>ID</v>
      </c>
      <c r="N57" t="str">
        <f t="shared" si="0"/>
        <v/>
      </c>
      <c r="O57" t="str">
        <f>IF($AS57="","",INDEX('TMP Paste'!$K$2:$K$1601,$AS57))</f>
        <v>Kota Depok</v>
      </c>
      <c r="P57" t="str">
        <f t="shared" si="1"/>
        <v/>
      </c>
      <c r="Q57">
        <f>IF($AS57="","",INDEX('TMP Paste'!$J$2:$J$1601,$AS57))</f>
        <v>16459</v>
      </c>
      <c r="R57" t="str">
        <f>IF($AS57="","",Config!$B$24)</f>
        <v>Delivery Note wajib ada nama penerima, ditandatangani dan distempel penerima. Jika di label tertera "SP Manual", maka dokumen SP Manual harus diminta ke penerima sesuai dengan jumlah PO yang butuh SP Manual. Apabila ada retur, catat di Delivery Note dan update ke IC</v>
      </c>
      <c r="S57" t="str">
        <f ca="1">IF($AS57="","",TEXT(Config!$B$4,"yyyy-mm-dd"))</f>
        <v>2026-08-18</v>
      </c>
      <c r="T57" t="str">
        <f>IF($AS57="","",Config!$B$17)</f>
        <v>09:00</v>
      </c>
      <c r="U57" t="str">
        <f>IF($AS57="","",Config!$B$18)</f>
        <v>22:00</v>
      </c>
      <c r="V57" t="str">
        <f>IF($AS57="","",Config!$B$19)</f>
        <v>Asia/Jakarta</v>
      </c>
      <c r="W57">
        <f>IF($AS57="","",INDEX('TMP Paste'!$C$2:$C$1601,$AS57))</f>
        <v>10.61</v>
      </c>
      <c r="X57" t="str">
        <f>IF($AS57="","",Config!$B$29)</f>
        <v>FALSE</v>
      </c>
      <c r="Y57" t="str">
        <f>IF($AT57="","",INDEX(Calc!$I$2:$I$1601,$AT57)&amp;" - "&amp;INDEX(Calc!$D$2:$D$1601,$AT57)&amp;" koli")</f>
        <v>260727124440934EgupLab9c (1), 26072712444093IXHKlo2Ay (1), 260727125219212MMDlZOLc (1), 260728023522615z7OLNzk1S (1), 26072802352261CPB3TVO4E (1), 26072802352261HUwl3S7E3E (1), 26072802523653PAwWASWwN (1) - 7 koli</v>
      </c>
      <c r="Z57" t="str">
        <f>IF($AS57="","",Config!$B$21)</f>
        <v>FALSE</v>
      </c>
      <c r="AA57" t="str">
        <f>IF($AS57="","",Config!$B$22)</f>
        <v>RDO</v>
      </c>
      <c r="AB57">
        <f>IF($AT57="","",INDEX(Calc!$D$2:$D$1601,$AT57))</f>
        <v>7</v>
      </c>
      <c r="AC57" t="str">
        <f>IF($AT57="","",INDEX(Calc!$G$2:$G$1601,$AT57))</f>
        <v>260727124440934EgupLab9c-01, 26072712444093IXHKlo2Ay-02, 260727125219212MMDlZOLc-03, 260728023522615z7OLNzk1S-04, 26072802352261CPB3TVO4E-05, 26072802352261HUwl3S7E3E-06, 26072802523653PAwWASWwN-07</v>
      </c>
      <c r="AD57">
        <f>IF($AS57="","",Config!$B$23)</f>
        <v>0</v>
      </c>
      <c r="AE57">
        <f>IF($AS57="","",Config!$B$28)</f>
        <v>1</v>
      </c>
      <c r="AF57">
        <f t="shared" si="2"/>
        <v>10</v>
      </c>
      <c r="AG57">
        <f t="shared" si="3"/>
        <v>32.9357142857143</v>
      </c>
      <c r="AH57">
        <f t="shared" si="4"/>
        <v>10</v>
      </c>
      <c r="AI57">
        <f>IF($AG57="","",SUMIF($AG$2:$AG57,$AG57,$AH$2:$AH57))</f>
        <v>10</v>
      </c>
      <c r="AJ57" t="str">
        <f>IF('TMP Paste'!$F57="","",IF('TMP Paste'!$B57="",$AJ56,'TMP Paste'!$B57))</f>
        <v>AWB02WJCE</v>
      </c>
      <c r="AK57">
        <f>IF('TMP Paste'!$F57="","",N('TMP Paste'!$G57))</f>
        <v>0</v>
      </c>
      <c r="AL57">
        <f>IF('TMP Paste'!$F57="","",IF('TMP Paste'!$M57="",$AL56,'TMP Paste'!$M57))</f>
        <v>1</v>
      </c>
      <c r="AM57" t="str">
        <f>IF('TMP Paste'!$F57="","",IF('TMP Paste'!$N57="",$AM56,'TMP Paste'!$N57))</f>
        <v/>
      </c>
      <c r="AN57" t="str">
        <f>IF('TMP Paste'!$F57="","",IF('TMP Paste'!$O57="",$AN56,'TMP Paste'!$O57))</f>
        <v/>
      </c>
      <c r="AO57" t="str">
        <f>IF('TMP Paste'!$F57="","",IF('TMP Paste'!$P57="",$AO56,'TMP Paste'!$P57))</f>
        <v/>
      </c>
      <c r="AP57">
        <f t="shared" si="5"/>
        <v>266</v>
      </c>
      <c r="AQ57" t="str">
        <f>IF($AS57="","",TRIM(IF(COUNTIFS(Calc!$B$2:$B$1601,ROW()-1,Calc!$C$2:$C$1601,"&lt;1")&gt;0,"Ada PO tanpa Koli - cek TMP. ","")&amp;IF(OR($AU57="",$AU57&lt;=0),"Volume kosong/0 - dimensi dikosongkan. ","")&amp;IF(AND($AU57&lt;&gt;"",$AU57&gt;=1000000),"Volume &gt;= 1.000.000 cm3 (di luar aturan) - dimensi dikosongkan. ","")&amp;IF(LEN($R57)&gt;500,"R &gt; 500 karakter.","")))</f>
        <v/>
      </c>
      <c r="AS57">
        <f>IFERROR(MATCH(ROW()-1,Calc!$J$2:$J$1601,0),"")</f>
        <v>120</v>
      </c>
      <c r="AT57">
        <f>IFERROR(MATCH(ROW()-1,Calc!$K$2:$K$1601,0),"")</f>
        <v>126</v>
      </c>
      <c r="AU57">
        <f>IF($AS57="","",IFERROR(INDEX('TMP Paste'!$D$2:$D$1601,$AS57)*1000000/$AB57,""))</f>
        <v>3293.57142857143</v>
      </c>
    </row>
    <row r="58" spans="1:47">
      <c r="A58" t="str">
        <f>IF($AS58="","",INDEX('TMP Paste'!$B$2:$B$1601,$AS58))</f>
        <v>AWB02WKWC</v>
      </c>
      <c r="B58">
        <f>IF($AS58="","",Config!$B$14)</f>
        <v>11398423</v>
      </c>
      <c r="C58" t="str">
        <f>IF($AS58="","",Config!$B$15)</f>
        <v>Corporate B2B Bundle</v>
      </c>
      <c r="D58" t="str">
        <f>IF($AS58="","",INDEX('TMP Paste'!$B$2:$B$1601,$AS58))</f>
        <v>AWB02WKWC</v>
      </c>
      <c r="E58" t="str">
        <f>IF($AS58="","",Config!$B$27)</f>
        <v>STANDARD</v>
      </c>
      <c r="F58" t="str">
        <f>IF($AS58="","",Config!$B$9)</f>
        <v>PT Teknologi Medika Pratama (SwipeRx) (B2BR)</v>
      </c>
      <c r="G58" t="str">
        <f>IF($AS58="","",Config!$B$10)</f>
        <v>087733785699</v>
      </c>
      <c r="H58" t="str">
        <f>IF($AS58="","",Config!$B$11)</f>
        <v>Jl. Tugu Raya, Tugu, Kec. Cimanggis, Kota Depok, Jawa Barat 16451,KUBIK LOGISTICS - Kompleks Pergudangan,Gudang E1</v>
      </c>
      <c r="I58" t="str">
        <f>IF($AS58="","",Config!$B$16)</f>
        <v>ID</v>
      </c>
      <c r="J58" t="str">
        <f>IF($AS58="","",INDEX('TMP Paste'!$A$2:$A$1601,$AS58))</f>
        <v>Apotek Pekapuran</v>
      </c>
      <c r="K58" t="str">
        <f>IF($AS58="","",INDEX('TMP Paste'!$L$2:$L$1601,$AS58))</f>
        <v>89679099392</v>
      </c>
      <c r="L58" t="str">
        <f>IF($AS58="","",INDEX('TMP Paste'!$I$2:$I$1601,$AS58))</f>
        <v>308-Jalan Raya Pekapuran No. 106 RT 001 RW 022, Kelurahan Sukatani, Kecamatan Tapos Kota Depok 16454</v>
      </c>
      <c r="M58" t="str">
        <f>IF($AS58="","",Config!$B$16)</f>
        <v>ID</v>
      </c>
      <c r="N58" t="str">
        <f t="shared" si="0"/>
        <v/>
      </c>
      <c r="O58" t="str">
        <f>IF($AS58="","",INDEX('TMP Paste'!$K$2:$K$1601,$AS58))</f>
        <v>Kota Depok</v>
      </c>
      <c r="P58" t="str">
        <f t="shared" si="1"/>
        <v/>
      </c>
      <c r="Q58">
        <f>IF($AS58="","",INDEX('TMP Paste'!$J$2:$J$1601,$AS58))</f>
        <v>16454</v>
      </c>
      <c r="R58" t="str">
        <f>IF($AS58="","",Config!$B$24)</f>
        <v>Delivery Note wajib ada nama penerima, ditandatangani dan distempel penerima. Jika di label tertera "SP Manual", maka dokumen SP Manual harus diminta ke penerima sesuai dengan jumlah PO yang butuh SP Manual. Apabila ada retur, catat di Delivery Note dan update ke IC</v>
      </c>
      <c r="S58" t="str">
        <f ca="1">IF($AS58="","",TEXT(Config!$B$4,"yyyy-mm-dd"))</f>
        <v>2026-08-18</v>
      </c>
      <c r="T58" t="str">
        <f>IF($AS58="","",Config!$B$17)</f>
        <v>09:00</v>
      </c>
      <c r="U58" t="str">
        <f>IF($AS58="","",Config!$B$18)</f>
        <v>22:00</v>
      </c>
      <c r="V58" t="str">
        <f>IF($AS58="","",Config!$B$19)</f>
        <v>Asia/Jakarta</v>
      </c>
      <c r="W58">
        <f>IF($AS58="","",INDEX('TMP Paste'!$C$2:$C$1601,$AS58))</f>
        <v>12.53</v>
      </c>
      <c r="X58" t="str">
        <f>IF($AS58="","",Config!$B$29)</f>
        <v>FALSE</v>
      </c>
      <c r="Y58" t="str">
        <f>IF($AT58="","",INDEX(Calc!$I$2:$I$1601,$AT58)&amp;" - "&amp;INDEX(Calc!$D$2:$D$1601,$AT58)&amp;" koli")</f>
        <v>26072801495840egbfgBSpN (1), 26072801495840hpcPzgh98a (2), 26072802320160NKV2NFv2Bd (1), 26072802320160vLY5ZF5av (1) - 5 koli</v>
      </c>
      <c r="Z58" t="str">
        <f>IF($AS58="","",Config!$B$21)</f>
        <v>FALSE</v>
      </c>
      <c r="AA58" t="str">
        <f>IF($AS58="","",Config!$B$22)</f>
        <v>RDO</v>
      </c>
      <c r="AB58">
        <f>IF($AT58="","",INDEX(Calc!$D$2:$D$1601,$AT58))</f>
        <v>5</v>
      </c>
      <c r="AC58" t="str">
        <f>IF($AT58="","",INDEX(Calc!$G$2:$G$1601,$AT58))</f>
        <v>26072801495840egbfgBSpN-01, 26072801495840hpcPzgh98a-02, 26072801495840hpcPzgh98a-03, 26072802320160NKV2NFv2Bd-04, 26072802320160vLY5ZF5av-05</v>
      </c>
      <c r="AD58">
        <f>IF($AS58="","",Config!$B$23)</f>
        <v>0</v>
      </c>
      <c r="AE58">
        <f>IF($AS58="","",Config!$B$28)</f>
        <v>1</v>
      </c>
      <c r="AF58">
        <f t="shared" si="2"/>
        <v>10</v>
      </c>
      <c r="AG58">
        <f t="shared" si="3"/>
        <v>73.446</v>
      </c>
      <c r="AH58">
        <f t="shared" si="4"/>
        <v>10</v>
      </c>
      <c r="AI58">
        <f>IF($AG58="","",SUMIF($AG$2:$AG58,$AG58,$AH$2:$AH58))</f>
        <v>10</v>
      </c>
      <c r="AJ58" t="str">
        <f>IF('TMP Paste'!$F58="","",IF('TMP Paste'!$B58="",$AJ57,'TMP Paste'!$B58))</f>
        <v/>
      </c>
      <c r="AK58" t="str">
        <f>IF('TMP Paste'!$F58="","",N('TMP Paste'!$G58))</f>
        <v/>
      </c>
      <c r="AL58" t="str">
        <f>IF('TMP Paste'!$F58="","",IF('TMP Paste'!$M58="",$AL57,'TMP Paste'!$M58))</f>
        <v/>
      </c>
      <c r="AM58" t="str">
        <f>IF('TMP Paste'!$F58="","",IF('TMP Paste'!$N58="",$AM57,'TMP Paste'!$N58))</f>
        <v/>
      </c>
      <c r="AN58" t="str">
        <f>IF('TMP Paste'!$F58="","",IF('TMP Paste'!$O58="",$AN57,'TMP Paste'!$O58))</f>
        <v/>
      </c>
      <c r="AO58" t="str">
        <f>IF('TMP Paste'!$F58="","",IF('TMP Paste'!$P58="",$AO57,'TMP Paste'!$P58))</f>
        <v/>
      </c>
      <c r="AP58">
        <f t="shared" si="5"/>
        <v>266</v>
      </c>
      <c r="AQ58" t="str">
        <f>IF($AS58="","",TRIM(IF(COUNTIFS(Calc!$B$2:$B$1601,ROW()-1,Calc!$C$2:$C$1601,"&lt;1")&gt;0,"Ada PO tanpa Koli - cek TMP. ","")&amp;IF(OR($AU58="",$AU58&lt;=0),"Volume kosong/0 - dimensi dikosongkan. ","")&amp;IF(AND($AU58&lt;&gt;"",$AU58&gt;=1000000),"Volume &gt;= 1.000.000 cm3 (di luar aturan) - dimensi dikosongkan. ","")&amp;IF(LEN($R58)&gt;500,"R &gt; 500 karakter.","")))</f>
        <v/>
      </c>
      <c r="AS58">
        <f>IFERROR(MATCH(ROW()-1,Calc!$J$2:$J$1601,0),"")</f>
        <v>127</v>
      </c>
      <c r="AT58">
        <f>IFERROR(MATCH(ROW()-1,Calc!$K$2:$K$1601,0),"")</f>
        <v>130</v>
      </c>
      <c r="AU58">
        <f>IF($AS58="","",IFERROR(INDEX('TMP Paste'!$D$2:$D$1601,$AS58)*1000000/$AB58,""))</f>
        <v>7344.6</v>
      </c>
    </row>
    <row r="59" spans="1:47">
      <c r="A59" t="str">
        <f>IF($AS59="","",INDEX('TMP Paste'!$B$2:$B$1601,$AS59))</f>
        <v>AWB02WLNK</v>
      </c>
      <c r="B59">
        <f>IF($AS59="","",Config!$B$14)</f>
        <v>11398423</v>
      </c>
      <c r="C59" t="str">
        <f>IF($AS59="","",Config!$B$15)</f>
        <v>Corporate B2B Bundle</v>
      </c>
      <c r="D59" t="str">
        <f>IF($AS59="","",INDEX('TMP Paste'!$B$2:$B$1601,$AS59))</f>
        <v>AWB02WLNK</v>
      </c>
      <c r="E59" t="str">
        <f>IF($AS59="","",Config!$B$27)</f>
        <v>STANDARD</v>
      </c>
      <c r="F59" t="str">
        <f>IF($AS59="","",Config!$B$9)</f>
        <v>PT Teknologi Medika Pratama (SwipeRx) (B2BR)</v>
      </c>
      <c r="G59" t="str">
        <f>IF($AS59="","",Config!$B$10)</f>
        <v>087733785699</v>
      </c>
      <c r="H59" t="str">
        <f>IF($AS59="","",Config!$B$11)</f>
        <v>Jl. Tugu Raya, Tugu, Kec. Cimanggis, Kota Depok, Jawa Barat 16451,KUBIK LOGISTICS - Kompleks Pergudangan,Gudang E1</v>
      </c>
      <c r="I59" t="str">
        <f>IF($AS59="","",Config!$B$16)</f>
        <v>ID</v>
      </c>
      <c r="J59" t="str">
        <f>IF($AS59="","",INDEX('TMP Paste'!$A$2:$A$1601,$AS59))</f>
        <v>Apotek Permata Sehat Sukamajaya Sukmajaya</v>
      </c>
      <c r="K59" t="str">
        <f>IF($AS59="","",INDEX('TMP Paste'!$L$2:$L$1601,$AS59))</f>
        <v>6285186695789</v>
      </c>
      <c r="L59" t="str">
        <f>IF($AS59="","",INDEX('TMP Paste'!$I$2:$I$1601,$AS59))</f>
        <v>11645-Jl. Raden Saleh No.45, Rt.003 Rw.005, Kel. Sukmajaya Kec. Sukmajaya Kota Depok</v>
      </c>
      <c r="M59" t="str">
        <f>IF($AS59="","",Config!$B$16)</f>
        <v>ID</v>
      </c>
      <c r="N59" t="str">
        <f t="shared" si="0"/>
        <v/>
      </c>
      <c r="O59" t="str">
        <f>IF($AS59="","",INDEX('TMP Paste'!$K$2:$K$1601,$AS59))</f>
        <v>Kota Depok</v>
      </c>
      <c r="P59" t="str">
        <f t="shared" si="1"/>
        <v/>
      </c>
      <c r="Q59">
        <f>IF($AS59="","",INDEX('TMP Paste'!$J$2:$J$1601,$AS59))</f>
        <v>16412</v>
      </c>
      <c r="R59" t="str">
        <f>IF($AS59="","",Config!$B$24)</f>
        <v>Delivery Note wajib ada nama penerima, ditandatangani dan distempel penerima. Jika di label tertera "SP Manual", maka dokumen SP Manual harus diminta ke penerima sesuai dengan jumlah PO yang butuh SP Manual. Apabila ada retur, catat di Delivery Note dan update ke IC</v>
      </c>
      <c r="S59" t="str">
        <f ca="1">IF($AS59="","",TEXT(Config!$B$4,"yyyy-mm-dd"))</f>
        <v>2026-08-18</v>
      </c>
      <c r="T59" t="str">
        <f>IF($AS59="","",Config!$B$17)</f>
        <v>09:00</v>
      </c>
      <c r="U59" t="str">
        <f>IF($AS59="","",Config!$B$18)</f>
        <v>22:00</v>
      </c>
      <c r="V59" t="str">
        <f>IF($AS59="","",Config!$B$19)</f>
        <v>Asia/Jakarta</v>
      </c>
      <c r="W59">
        <f>IF($AS59="","",INDEX('TMP Paste'!$C$2:$C$1601,$AS59))</f>
        <v>4.21</v>
      </c>
      <c r="X59" t="str">
        <f>IF($AS59="","",Config!$B$29)</f>
        <v>FALSE</v>
      </c>
      <c r="Y59" t="str">
        <f>IF($AT59="","",INDEX(Calc!$I$2:$I$1601,$AT59)&amp;" - "&amp;INDEX(Calc!$D$2:$D$1601,$AT59)&amp;" koli")</f>
        <v>26072802550278N34N9hRl (1), 26072803050134jyd0UwlxE (1), 26072803125570MWzB2f1X (1) - 3 koli</v>
      </c>
      <c r="Z59" t="str">
        <f>IF($AS59="","",Config!$B$21)</f>
        <v>FALSE</v>
      </c>
      <c r="AA59" t="str">
        <f>IF($AS59="","",Config!$B$22)</f>
        <v>RDO</v>
      </c>
      <c r="AB59">
        <f>IF($AT59="","",INDEX(Calc!$D$2:$D$1601,$AT59))</f>
        <v>3</v>
      </c>
      <c r="AC59" t="str">
        <f>IF($AT59="","",INDEX(Calc!$G$2:$G$1601,$AT59))</f>
        <v>26072802550278N34N9hRl-01, 26072803050134jyd0UwlxE-02, 26072803125570MWzB2f1X-03</v>
      </c>
      <c r="AD59">
        <f>IF($AS59="","",Config!$B$23)</f>
        <v>0</v>
      </c>
      <c r="AE59">
        <f>IF($AS59="","",Config!$B$28)</f>
        <v>1</v>
      </c>
      <c r="AF59">
        <f t="shared" si="2"/>
        <v>10</v>
      </c>
      <c r="AG59">
        <f t="shared" si="3"/>
        <v>41.43</v>
      </c>
      <c r="AH59">
        <f t="shared" si="4"/>
        <v>10</v>
      </c>
      <c r="AI59">
        <f>IF($AG59="","",SUMIF($AG$2:$AG59,$AG59,$AH$2:$AH59))</f>
        <v>10</v>
      </c>
      <c r="AJ59" t="str">
        <f>IF('TMP Paste'!$F59="","",IF('TMP Paste'!$B59="",$AJ58,'TMP Paste'!$B59))</f>
        <v/>
      </c>
      <c r="AK59" t="str">
        <f>IF('TMP Paste'!$F59="","",N('TMP Paste'!$G59))</f>
        <v/>
      </c>
      <c r="AL59" t="str">
        <f>IF('TMP Paste'!$F59="","",IF('TMP Paste'!$M59="",$AL58,'TMP Paste'!$M59))</f>
        <v/>
      </c>
      <c r="AM59" t="str">
        <f>IF('TMP Paste'!$F59="","",IF('TMP Paste'!$N59="",$AM58,'TMP Paste'!$N59))</f>
        <v/>
      </c>
      <c r="AN59" t="str">
        <f>IF('TMP Paste'!$F59="","",IF('TMP Paste'!$O59="",$AN58,'TMP Paste'!$O59))</f>
        <v/>
      </c>
      <c r="AO59" t="str">
        <f>IF('TMP Paste'!$F59="","",IF('TMP Paste'!$P59="",$AO58,'TMP Paste'!$P59))</f>
        <v/>
      </c>
      <c r="AP59">
        <f t="shared" si="5"/>
        <v>266</v>
      </c>
      <c r="AQ59" t="str">
        <f>IF($AS59="","",TRIM(IF(COUNTIFS(Calc!$B$2:$B$1601,ROW()-1,Calc!$C$2:$C$1601,"&lt;1")&gt;0,"Ada PO tanpa Koli - cek TMP. ","")&amp;IF(OR($AU59="",$AU59&lt;=0),"Volume kosong/0 - dimensi dikosongkan. ","")&amp;IF(AND($AU59&lt;&gt;"",$AU59&gt;=1000000),"Volume &gt;= 1.000.000 cm3 (di luar aturan) - dimensi dikosongkan. ","")&amp;IF(LEN($R59)&gt;500,"R &gt; 500 karakter.","")))</f>
        <v/>
      </c>
      <c r="AS59">
        <f>IFERROR(MATCH(ROW()-1,Calc!$J$2:$J$1601,0),"")</f>
        <v>131</v>
      </c>
      <c r="AT59">
        <f>IFERROR(MATCH(ROW()-1,Calc!$K$2:$K$1601,0),"")</f>
        <v>133</v>
      </c>
      <c r="AU59">
        <f>IF($AS59="","",IFERROR(INDEX('TMP Paste'!$D$2:$D$1601,$AS59)*1000000/$AB59,""))</f>
        <v>4143</v>
      </c>
    </row>
    <row r="60" spans="1:47">
      <c r="A60" t="str">
        <f>IF($AS60="","",INDEX('TMP Paste'!$B$2:$B$1601,$AS60))</f>
        <v>AWB02WL5M</v>
      </c>
      <c r="B60">
        <f>IF($AS60="","",Config!$B$14)</f>
        <v>11398423</v>
      </c>
      <c r="C60" t="str">
        <f>IF($AS60="","",Config!$B$15)</f>
        <v>Corporate B2B Bundle</v>
      </c>
      <c r="D60" t="str">
        <f>IF($AS60="","",INDEX('TMP Paste'!$B$2:$B$1601,$AS60))</f>
        <v>AWB02WL5M</v>
      </c>
      <c r="E60" t="str">
        <f>IF($AS60="","",Config!$B$27)</f>
        <v>STANDARD</v>
      </c>
      <c r="F60" t="str">
        <f>IF($AS60="","",Config!$B$9)</f>
        <v>PT Teknologi Medika Pratama (SwipeRx) (B2BR)</v>
      </c>
      <c r="G60" t="str">
        <f>IF($AS60="","",Config!$B$10)</f>
        <v>087733785699</v>
      </c>
      <c r="H60" t="str">
        <f>IF($AS60="","",Config!$B$11)</f>
        <v>Jl. Tugu Raya, Tugu, Kec. Cimanggis, Kota Depok, Jawa Barat 16451,KUBIK LOGISTICS - Kompleks Pergudangan,Gudang E1</v>
      </c>
      <c r="I60" t="str">
        <f>IF($AS60="","",Config!$B$16)</f>
        <v>ID</v>
      </c>
      <c r="J60" t="str">
        <f>IF($AS60="","",INDEX('TMP Paste'!$A$2:$A$1601,$AS60))</f>
        <v>Apotek Pondok Gede Farma</v>
      </c>
      <c r="K60" t="str">
        <f>IF($AS60="","",INDEX('TMP Paste'!$L$2:$L$1601,$AS60))</f>
        <v>81314637235</v>
      </c>
      <c r="L60" t="str">
        <f>IF($AS60="","",INDEX('TMP Paste'!$I$2:$I$1601,$AS60))</f>
        <v>982-Jalan Raya Jatiwaringin 232 B Kelurahan Jaticempaka Kecamatan Pondokgede Kota Bekasi Jawa Barat 17411</v>
      </c>
      <c r="M60" t="str">
        <f>IF($AS60="","",Config!$B$16)</f>
        <v>ID</v>
      </c>
      <c r="N60" t="str">
        <f t="shared" si="0"/>
        <v/>
      </c>
      <c r="O60" t="str">
        <f>IF($AS60="","",INDEX('TMP Paste'!$K$2:$K$1601,$AS60))</f>
        <v>Kota Bekasi</v>
      </c>
      <c r="P60" t="str">
        <f t="shared" si="1"/>
        <v/>
      </c>
      <c r="Q60">
        <f>IF($AS60="","",INDEX('TMP Paste'!$J$2:$J$1601,$AS60))</f>
        <v>17411</v>
      </c>
      <c r="R60" t="str">
        <f>IF($AS60="","",Config!$B$24)</f>
        <v>Delivery Note wajib ada nama penerima, ditandatangani dan distempel penerima. Jika di label tertera "SP Manual", maka dokumen SP Manual harus diminta ke penerima sesuai dengan jumlah PO yang butuh SP Manual. Apabila ada retur, catat di Delivery Note dan update ke IC</v>
      </c>
      <c r="S60" t="str">
        <f ca="1">IF($AS60="","",TEXT(Config!$B$4,"yyyy-mm-dd"))</f>
        <v>2026-08-18</v>
      </c>
      <c r="T60" t="str">
        <f>IF($AS60="","",Config!$B$17)</f>
        <v>09:00</v>
      </c>
      <c r="U60" t="str">
        <f>IF($AS60="","",Config!$B$18)</f>
        <v>22:00</v>
      </c>
      <c r="V60" t="str">
        <f>IF($AS60="","",Config!$B$19)</f>
        <v>Asia/Jakarta</v>
      </c>
      <c r="W60">
        <f>IF($AS60="","",INDEX('TMP Paste'!$C$2:$C$1601,$AS60))</f>
        <v>1.36</v>
      </c>
      <c r="X60" t="str">
        <f>IF($AS60="","",Config!$B$29)</f>
        <v>FALSE</v>
      </c>
      <c r="Y60" t="str">
        <f>IF($AT60="","",INDEX(Calc!$I$2:$I$1601,$AT60)&amp;" - "&amp;INDEX(Calc!$D$2:$D$1601,$AT60)&amp;" koli")</f>
        <v>260728021729684mcZToiip (1) - 1 koli</v>
      </c>
      <c r="Z60" t="str">
        <f>IF($AS60="","",Config!$B$21)</f>
        <v>FALSE</v>
      </c>
      <c r="AA60" t="str">
        <f>IF($AS60="","",Config!$B$22)</f>
        <v>RDO</v>
      </c>
      <c r="AB60">
        <f>IF($AT60="","",INDEX(Calc!$D$2:$D$1601,$AT60))</f>
        <v>1</v>
      </c>
      <c r="AC60" t="str">
        <f>IF($AT60="","",INDEX(Calc!$G$2:$G$1601,$AT60))</f>
        <v>260728021729684mcZToiip-01</v>
      </c>
      <c r="AD60">
        <f>IF($AS60="","",Config!$B$23)</f>
        <v>0</v>
      </c>
      <c r="AE60">
        <f>IF($AS60="","",Config!$B$28)</f>
        <v>1</v>
      </c>
      <c r="AF60">
        <f t="shared" si="2"/>
        <v>10</v>
      </c>
      <c r="AG60">
        <f t="shared" si="3"/>
        <v>70.58</v>
      </c>
      <c r="AH60">
        <f t="shared" si="4"/>
        <v>10</v>
      </c>
      <c r="AI60">
        <f>IF($AG60="","",SUMIF($AG$2:$AG60,$AG60,$AH$2:$AH60))</f>
        <v>10</v>
      </c>
      <c r="AJ60" t="str">
        <f>IF('TMP Paste'!$F60="","",IF('TMP Paste'!$B60="",$AJ59,'TMP Paste'!$B60))</f>
        <v>AWB02WKJS</v>
      </c>
      <c r="AK60">
        <f>IF('TMP Paste'!$F60="","",N('TMP Paste'!$G60))</f>
        <v>0</v>
      </c>
      <c r="AL60">
        <f>IF('TMP Paste'!$F60="","",IF('TMP Paste'!$M60="",$AL59,'TMP Paste'!$M60))</f>
        <v>1</v>
      </c>
      <c r="AM60" t="str">
        <f>IF('TMP Paste'!$F60="","",IF('TMP Paste'!$N60="",$AM59,'TMP Paste'!$N60))</f>
        <v/>
      </c>
      <c r="AN60" t="str">
        <f>IF('TMP Paste'!$F60="","",IF('TMP Paste'!$O60="",$AN59,'TMP Paste'!$O60))</f>
        <v/>
      </c>
      <c r="AO60" t="str">
        <f>IF('TMP Paste'!$F60="","",IF('TMP Paste'!$P60="",$AO59,'TMP Paste'!$P60))</f>
        <v/>
      </c>
      <c r="AP60">
        <f t="shared" si="5"/>
        <v>266</v>
      </c>
      <c r="AQ60" t="str">
        <f>IF($AS60="","",TRIM(IF(COUNTIFS(Calc!$B$2:$B$1601,ROW()-1,Calc!$C$2:$C$1601,"&lt;1")&gt;0,"Ada PO tanpa Koli - cek TMP. ","")&amp;IF(OR($AU60="",$AU60&lt;=0),"Volume kosong/0 - dimensi dikosongkan. ","")&amp;IF(AND($AU60&lt;&gt;"",$AU60&gt;=1000000),"Volume &gt;= 1.000.000 cm3 (di luar aturan) - dimensi dikosongkan. ","")&amp;IF(LEN($R60)&gt;500,"R &gt; 500 karakter.","")))</f>
        <v/>
      </c>
      <c r="AS60">
        <f>IFERROR(MATCH(ROW()-1,Calc!$J$2:$J$1601,0),"")</f>
        <v>134</v>
      </c>
      <c r="AT60">
        <f>IFERROR(MATCH(ROW()-1,Calc!$K$2:$K$1601,0),"")</f>
        <v>134</v>
      </c>
      <c r="AU60">
        <f>IF($AS60="","",IFERROR(INDEX('TMP Paste'!$D$2:$D$1601,$AS60)*1000000/$AB60,""))</f>
        <v>7058</v>
      </c>
    </row>
    <row r="61" spans="1:47">
      <c r="A61" t="str">
        <f>IF($AS61="","",INDEX('TMP Paste'!$B$2:$B$1601,$AS61))</f>
        <v>AWB02WHK6</v>
      </c>
      <c r="B61">
        <f>IF($AS61="","",Config!$B$14)</f>
        <v>11398423</v>
      </c>
      <c r="C61" t="str">
        <f>IF($AS61="","",Config!$B$15)</f>
        <v>Corporate B2B Bundle</v>
      </c>
      <c r="D61" t="str">
        <f>IF($AS61="","",INDEX('TMP Paste'!$B$2:$B$1601,$AS61))</f>
        <v>AWB02WHK6</v>
      </c>
      <c r="E61" t="str">
        <f>IF($AS61="","",Config!$B$27)</f>
        <v>STANDARD</v>
      </c>
      <c r="F61" t="str">
        <f>IF($AS61="","",Config!$B$9)</f>
        <v>PT Teknologi Medika Pratama (SwipeRx) (B2BR)</v>
      </c>
      <c r="G61" t="str">
        <f>IF($AS61="","",Config!$B$10)</f>
        <v>087733785699</v>
      </c>
      <c r="H61" t="str">
        <f>IF($AS61="","",Config!$B$11)</f>
        <v>Jl. Tugu Raya, Tugu, Kec. Cimanggis, Kota Depok, Jawa Barat 16451,KUBIK LOGISTICS - Kompleks Pergudangan,Gudang E1</v>
      </c>
      <c r="I61" t="str">
        <f>IF($AS61="","",Config!$B$16)</f>
        <v>ID</v>
      </c>
      <c r="J61" t="str">
        <f>IF($AS61="","",INDEX('TMP Paste'!$A$2:$A$1601,$AS61))</f>
        <v>Apotek Pritama 2 Rangkapanjaya Pancoran Mas</v>
      </c>
      <c r="K61" t="str">
        <f>IF($AS61="","",INDEX('TMP Paste'!$L$2:$L$1601,$AS61))</f>
        <v>6283807880626</v>
      </c>
      <c r="L61" t="str">
        <f>IF($AS61="","",INDEX('TMP Paste'!$I$2:$I$1601,$AS61))</f>
        <v>13758-Jl. Caringin Ruko Av-1 RT003 RW005 Kel. Rangkapan Jaya Kec. Pancoran Mas Kota Depok</v>
      </c>
      <c r="M61" t="str">
        <f>IF($AS61="","",Config!$B$16)</f>
        <v>ID</v>
      </c>
      <c r="N61" t="str">
        <f t="shared" si="0"/>
        <v/>
      </c>
      <c r="O61" t="str">
        <f>IF($AS61="","",INDEX('TMP Paste'!$K$2:$K$1601,$AS61))</f>
        <v>Kota Depok</v>
      </c>
      <c r="P61" t="str">
        <f t="shared" si="1"/>
        <v/>
      </c>
      <c r="Q61">
        <f>IF($AS61="","",INDEX('TMP Paste'!$J$2:$J$1601,$AS61))</f>
        <v>16435</v>
      </c>
      <c r="R61" t="str">
        <f>IF($AS61="","",Config!$B$24)</f>
        <v>Delivery Note wajib ada nama penerima, ditandatangani dan distempel penerima. Jika di label tertera "SP Manual", maka dokumen SP Manual harus diminta ke penerima sesuai dengan jumlah PO yang butuh SP Manual. Apabila ada retur, catat di Delivery Note dan update ke IC</v>
      </c>
      <c r="S61" t="str">
        <f ca="1">IF($AS61="","",TEXT(Config!$B$4,"yyyy-mm-dd"))</f>
        <v>2026-08-18</v>
      </c>
      <c r="T61" t="str">
        <f>IF($AS61="","",Config!$B$17)</f>
        <v>09:00</v>
      </c>
      <c r="U61" t="str">
        <f>IF($AS61="","",Config!$B$18)</f>
        <v>22:00</v>
      </c>
      <c r="V61" t="str">
        <f>IF($AS61="","",Config!$B$19)</f>
        <v>Asia/Jakarta</v>
      </c>
      <c r="W61">
        <f>IF($AS61="","",INDEX('TMP Paste'!$C$2:$C$1601,$AS61))</f>
        <v>1.34</v>
      </c>
      <c r="X61" t="str">
        <f>IF($AS61="","",Config!$B$29)</f>
        <v>FALSE</v>
      </c>
      <c r="Y61" t="str">
        <f>IF($AT61="","",INDEX(Calc!$I$2:$I$1601,$AT61)&amp;" - "&amp;INDEX(Calc!$D$2:$D$1601,$AT61)&amp;" koli")</f>
        <v>26072704182889lK6f5PbSp (1) - 1 koli</v>
      </c>
      <c r="Z61" t="str">
        <f>IF($AS61="","",Config!$B$21)</f>
        <v>FALSE</v>
      </c>
      <c r="AA61" t="str">
        <f>IF($AS61="","",Config!$B$22)</f>
        <v>RDO</v>
      </c>
      <c r="AB61">
        <f>IF($AT61="","",INDEX(Calc!$D$2:$D$1601,$AT61))</f>
        <v>1</v>
      </c>
      <c r="AC61" t="str">
        <f>IF($AT61="","",INDEX(Calc!$G$2:$G$1601,$AT61))</f>
        <v>26072704182889lK6f5PbSp-01</v>
      </c>
      <c r="AD61">
        <f>IF($AS61="","",Config!$B$23)</f>
        <v>0</v>
      </c>
      <c r="AE61">
        <f>IF($AS61="","",Config!$B$28)</f>
        <v>1</v>
      </c>
      <c r="AF61">
        <f t="shared" si="2"/>
        <v>10</v>
      </c>
      <c r="AG61">
        <f t="shared" si="3"/>
        <v>53.68</v>
      </c>
      <c r="AH61">
        <f t="shared" si="4"/>
        <v>10</v>
      </c>
      <c r="AI61">
        <f>IF($AG61="","",SUMIF($AG$2:$AG61,$AG61,$AH$2:$AH61))</f>
        <v>10</v>
      </c>
      <c r="AJ61" t="str">
        <f>IF('TMP Paste'!$F61="","",IF('TMP Paste'!$B61="",$AJ60,'TMP Paste'!$B61))</f>
        <v>AWB02WJZ8</v>
      </c>
      <c r="AK61">
        <f>IF('TMP Paste'!$F61="","",N('TMP Paste'!$G61))</f>
        <v>0</v>
      </c>
      <c r="AL61">
        <f>IF('TMP Paste'!$F61="","",IF('TMP Paste'!$M61="",$AL60,'TMP Paste'!$M61))</f>
        <v>1</v>
      </c>
      <c r="AM61" t="str">
        <f>IF('TMP Paste'!$F61="","",IF('TMP Paste'!$N61="",$AM60,'TMP Paste'!$N61))</f>
        <v/>
      </c>
      <c r="AN61" t="str">
        <f>IF('TMP Paste'!$F61="","",IF('TMP Paste'!$O61="",$AN60,'TMP Paste'!$O61))</f>
        <v/>
      </c>
      <c r="AO61" t="str">
        <f>IF('TMP Paste'!$F61="","",IF('TMP Paste'!$P61="",$AO60,'TMP Paste'!$P61))</f>
        <v/>
      </c>
      <c r="AP61">
        <f t="shared" si="5"/>
        <v>266</v>
      </c>
      <c r="AQ61" t="str">
        <f>IF($AS61="","",TRIM(IF(COUNTIFS(Calc!$B$2:$B$1601,ROW()-1,Calc!$C$2:$C$1601,"&lt;1")&gt;0,"Ada PO tanpa Koli - cek TMP. ","")&amp;IF(OR($AU61="",$AU61&lt;=0),"Volume kosong/0 - dimensi dikosongkan. ","")&amp;IF(AND($AU61&lt;&gt;"",$AU61&gt;=1000000),"Volume &gt;= 1.000.000 cm3 (di luar aturan) - dimensi dikosongkan. ","")&amp;IF(LEN($R61)&gt;500,"R &gt; 500 karakter.","")))</f>
        <v/>
      </c>
      <c r="AS61">
        <f>IFERROR(MATCH(ROW()-1,Calc!$J$2:$J$1601,0),"")</f>
        <v>135</v>
      </c>
      <c r="AT61">
        <f>IFERROR(MATCH(ROW()-1,Calc!$K$2:$K$1601,0),"")</f>
        <v>135</v>
      </c>
      <c r="AU61">
        <f>IF($AS61="","",IFERROR(INDEX('TMP Paste'!$D$2:$D$1601,$AS61)*1000000/$AB61,""))</f>
        <v>5368</v>
      </c>
    </row>
    <row r="62" spans="1:47">
      <c r="A62" t="str">
        <f>IF($AS62="","",INDEX('TMP Paste'!$B$2:$B$1601,$AS62))</f>
        <v>AWB02WM4L</v>
      </c>
      <c r="B62">
        <f>IF($AS62="","",Config!$B$14)</f>
        <v>11398423</v>
      </c>
      <c r="C62" t="str">
        <f>IF($AS62="","",Config!$B$15)</f>
        <v>Corporate B2B Bundle</v>
      </c>
      <c r="D62" t="str">
        <f>IF($AS62="","",INDEX('TMP Paste'!$B$2:$B$1601,$AS62))</f>
        <v>AWB02WM4L</v>
      </c>
      <c r="E62" t="str">
        <f>IF($AS62="","",Config!$B$27)</f>
        <v>STANDARD</v>
      </c>
      <c r="F62" t="str">
        <f>IF($AS62="","",Config!$B$9)</f>
        <v>PT Teknologi Medika Pratama (SwipeRx) (B2BR)</v>
      </c>
      <c r="G62" t="str">
        <f>IF($AS62="","",Config!$B$10)</f>
        <v>087733785699</v>
      </c>
      <c r="H62" t="str">
        <f>IF($AS62="","",Config!$B$11)</f>
        <v>Jl. Tugu Raya, Tugu, Kec. Cimanggis, Kota Depok, Jawa Barat 16451,KUBIK LOGISTICS - Kompleks Pergudangan,Gudang E1</v>
      </c>
      <c r="I62" t="str">
        <f>IF($AS62="","",Config!$B$16)</f>
        <v>ID</v>
      </c>
      <c r="J62" t="str">
        <f>IF($AS62="","",INDEX('TMP Paste'!$A$2:$A$1601,$AS62))</f>
        <v>Apotek Pulih</v>
      </c>
      <c r="K62" t="str">
        <f>IF($AS62="","",INDEX('TMP Paste'!$L$2:$L$1601,$AS62))</f>
        <v>89601216786</v>
      </c>
      <c r="L62" t="str">
        <f>IF($AS62="","",INDEX('TMP Paste'!$I$2:$I$1601,$AS62))</f>
        <v>720-Jl. Raya kranggan No. 148, RT. 004 RW..008, Kelurahan Jatiranggon, Kecamatan Jatisampurna, Kota Bekasi 17432</v>
      </c>
      <c r="M62" t="str">
        <f>IF($AS62="","",Config!$B$16)</f>
        <v>ID</v>
      </c>
      <c r="N62" t="str">
        <f t="shared" si="0"/>
        <v/>
      </c>
      <c r="O62" t="str">
        <f>IF($AS62="","",INDEX('TMP Paste'!$K$2:$K$1601,$AS62))</f>
        <v>Kota Bekasi</v>
      </c>
      <c r="P62" t="str">
        <f t="shared" si="1"/>
        <v/>
      </c>
      <c r="Q62">
        <f>IF($AS62="","",INDEX('TMP Paste'!$J$2:$J$1601,$AS62))</f>
        <v>17432</v>
      </c>
      <c r="R62" t="str">
        <f>IF($AS62="","",Config!$B$24)</f>
        <v>Delivery Note wajib ada nama penerima, ditandatangani dan distempel penerima. Jika di label tertera "SP Manual", maka dokumen SP Manual harus diminta ke penerima sesuai dengan jumlah PO yang butuh SP Manual. Apabila ada retur, catat di Delivery Note dan update ke IC</v>
      </c>
      <c r="S62" t="str">
        <f ca="1">IF($AS62="","",TEXT(Config!$B$4,"yyyy-mm-dd"))</f>
        <v>2026-08-18</v>
      </c>
      <c r="T62" t="str">
        <f>IF($AS62="","",Config!$B$17)</f>
        <v>09:00</v>
      </c>
      <c r="U62" t="str">
        <f>IF($AS62="","",Config!$B$18)</f>
        <v>22:00</v>
      </c>
      <c r="V62" t="str">
        <f>IF($AS62="","",Config!$B$19)</f>
        <v>Asia/Jakarta</v>
      </c>
      <c r="W62">
        <f>IF($AS62="","",INDEX('TMP Paste'!$C$2:$C$1601,$AS62))</f>
        <v>1.47</v>
      </c>
      <c r="X62" t="str">
        <f>IF($AS62="","",Config!$B$29)</f>
        <v>FALSE</v>
      </c>
      <c r="Y62" t="str">
        <f>IF($AT62="","",INDEX(Calc!$I$2:$I$1601,$AT62)&amp;" - "&amp;INDEX(Calc!$D$2:$D$1601,$AT62)&amp;" koli")</f>
        <v>26072803303911AGf6Dz5QP (1), 26072803303911AhreMfDPvn (1) - 2 koli</v>
      </c>
      <c r="Z62" t="str">
        <f>IF($AS62="","",Config!$B$21)</f>
        <v>FALSE</v>
      </c>
      <c r="AA62" t="str">
        <f>IF($AS62="","",Config!$B$22)</f>
        <v>RDO</v>
      </c>
      <c r="AB62">
        <f>IF($AT62="","",INDEX(Calc!$D$2:$D$1601,$AT62))</f>
        <v>2</v>
      </c>
      <c r="AC62" t="str">
        <f>IF($AT62="","",INDEX(Calc!$G$2:$G$1601,$AT62))</f>
        <v>26072803303911AGf6Dz5QP-01, 26072803303911AhreMfDPvn-02</v>
      </c>
      <c r="AD62">
        <f>IF($AS62="","",Config!$B$23)</f>
        <v>0</v>
      </c>
      <c r="AE62">
        <f>IF($AS62="","",Config!$B$28)</f>
        <v>1</v>
      </c>
      <c r="AF62">
        <f t="shared" si="2"/>
        <v>10</v>
      </c>
      <c r="AG62">
        <f t="shared" si="3"/>
        <v>30.13</v>
      </c>
      <c r="AH62">
        <f t="shared" si="4"/>
        <v>10</v>
      </c>
      <c r="AI62">
        <f>IF($AG62="","",SUMIF($AG$2:$AG62,$AG62,$AH$2:$AH62))</f>
        <v>10</v>
      </c>
      <c r="AJ62" t="str">
        <f>IF('TMP Paste'!$F62="","",IF('TMP Paste'!$B62="",$AJ61,'TMP Paste'!$B62))</f>
        <v/>
      </c>
      <c r="AK62" t="str">
        <f>IF('TMP Paste'!$F62="","",N('TMP Paste'!$G62))</f>
        <v/>
      </c>
      <c r="AL62" t="str">
        <f>IF('TMP Paste'!$F62="","",IF('TMP Paste'!$M62="",$AL61,'TMP Paste'!$M62))</f>
        <v/>
      </c>
      <c r="AM62" t="str">
        <f>IF('TMP Paste'!$F62="","",IF('TMP Paste'!$N62="",$AM61,'TMP Paste'!$N62))</f>
        <v/>
      </c>
      <c r="AN62" t="str">
        <f>IF('TMP Paste'!$F62="","",IF('TMP Paste'!$O62="",$AN61,'TMP Paste'!$O62))</f>
        <v/>
      </c>
      <c r="AO62" t="str">
        <f>IF('TMP Paste'!$F62="","",IF('TMP Paste'!$P62="",$AO61,'TMP Paste'!$P62))</f>
        <v/>
      </c>
      <c r="AP62">
        <f t="shared" si="5"/>
        <v>266</v>
      </c>
      <c r="AQ62" t="str">
        <f>IF($AS62="","",TRIM(IF(COUNTIFS(Calc!$B$2:$B$1601,ROW()-1,Calc!$C$2:$C$1601,"&lt;1")&gt;0,"Ada PO tanpa Koli - cek TMP. ","")&amp;IF(OR($AU62="",$AU62&lt;=0),"Volume kosong/0 - dimensi dikosongkan. ","")&amp;IF(AND($AU62&lt;&gt;"",$AU62&gt;=1000000),"Volume &gt;= 1.000.000 cm3 (di luar aturan) - dimensi dikosongkan. ","")&amp;IF(LEN($R62)&gt;500,"R &gt; 500 karakter.","")))</f>
        <v/>
      </c>
      <c r="AS62">
        <f>IFERROR(MATCH(ROW()-1,Calc!$J$2:$J$1601,0),"")</f>
        <v>136</v>
      </c>
      <c r="AT62">
        <f>IFERROR(MATCH(ROW()-1,Calc!$K$2:$K$1601,0),"")</f>
        <v>137</v>
      </c>
      <c r="AU62">
        <f>IF($AS62="","",IFERROR(INDEX('TMP Paste'!$D$2:$D$1601,$AS62)*1000000/$AB62,""))</f>
        <v>3013</v>
      </c>
    </row>
    <row r="63" spans="1:47">
      <c r="A63" t="str">
        <f>IF($AS63="","",INDEX('TMP Paste'!$B$2:$B$1601,$AS63))</f>
        <v>AWB02WJUA</v>
      </c>
      <c r="B63">
        <f>IF($AS63="","",Config!$B$14)</f>
        <v>11398423</v>
      </c>
      <c r="C63" t="str">
        <f>IF($AS63="","",Config!$B$15)</f>
        <v>Corporate B2B Bundle</v>
      </c>
      <c r="D63" t="str">
        <f>IF($AS63="","",INDEX('TMP Paste'!$B$2:$B$1601,$AS63))</f>
        <v>AWB02WJUA</v>
      </c>
      <c r="E63" t="str">
        <f>IF($AS63="","",Config!$B$27)</f>
        <v>STANDARD</v>
      </c>
      <c r="F63" t="str">
        <f>IF($AS63="","",Config!$B$9)</f>
        <v>PT Teknologi Medika Pratama (SwipeRx) (B2BR)</v>
      </c>
      <c r="G63" t="str">
        <f>IF($AS63="","",Config!$B$10)</f>
        <v>087733785699</v>
      </c>
      <c r="H63" t="str">
        <f>IF($AS63="","",Config!$B$11)</f>
        <v>Jl. Tugu Raya, Tugu, Kec. Cimanggis, Kota Depok, Jawa Barat 16451,KUBIK LOGISTICS - Kompleks Pergudangan,Gudang E1</v>
      </c>
      <c r="I63" t="str">
        <f>IF($AS63="","",Config!$B$16)</f>
        <v>ID</v>
      </c>
      <c r="J63" t="str">
        <f>IF($AS63="","",INDEX('TMP Paste'!$A$2:$A$1601,$AS63))</f>
        <v>Apotek Puri Pasir Putih Pasir Putih Sawangan</v>
      </c>
      <c r="K63" t="str">
        <f>IF($AS63="","",INDEX('TMP Paste'!$L$2:$L$1601,$AS63))</f>
        <v>6282311323121</v>
      </c>
      <c r="L63" t="str">
        <f>IF($AS63="","",INDEX('TMP Paste'!$I$2:$I$1601,$AS63))</f>
        <v>11879-Ruko Villagio Residence No. V4 Jl. Raya Pasir Putih Kp. Kekupu RT. 01 RW. 05 Kel. Pasir Putih Kec. Sawangan Kota Depok</v>
      </c>
      <c r="M63" t="str">
        <f>IF($AS63="","",Config!$B$16)</f>
        <v>ID</v>
      </c>
      <c r="N63" t="str">
        <f t="shared" si="0"/>
        <v/>
      </c>
      <c r="O63" t="str">
        <f>IF($AS63="","",INDEX('TMP Paste'!$K$2:$K$1601,$AS63))</f>
        <v>Kota Depok</v>
      </c>
      <c r="P63" t="str">
        <f t="shared" si="1"/>
        <v/>
      </c>
      <c r="Q63">
        <f>IF($AS63="","",INDEX('TMP Paste'!$J$2:$J$1601,$AS63))</f>
        <v>16519</v>
      </c>
      <c r="R63" t="str">
        <f>IF($AS63="","",Config!$B$24)</f>
        <v>Delivery Note wajib ada nama penerima, ditandatangani dan distempel penerima. Jika di label tertera "SP Manual", maka dokumen SP Manual harus diminta ke penerima sesuai dengan jumlah PO yang butuh SP Manual. Apabila ada retur, catat di Delivery Note dan update ke IC</v>
      </c>
      <c r="S63" t="str">
        <f ca="1">IF($AS63="","",TEXT(Config!$B$4,"yyyy-mm-dd"))</f>
        <v>2026-08-18</v>
      </c>
      <c r="T63" t="str">
        <f>IF($AS63="","",Config!$B$17)</f>
        <v>09:00</v>
      </c>
      <c r="U63" t="str">
        <f>IF($AS63="","",Config!$B$18)</f>
        <v>22:00</v>
      </c>
      <c r="V63" t="str">
        <f>IF($AS63="","",Config!$B$19)</f>
        <v>Asia/Jakarta</v>
      </c>
      <c r="W63">
        <f>IF($AS63="","",INDEX('TMP Paste'!$C$2:$C$1601,$AS63))</f>
        <v>5.21</v>
      </c>
      <c r="X63" t="str">
        <f>IF($AS63="","",Config!$B$29)</f>
        <v>FALSE</v>
      </c>
      <c r="Y63" t="str">
        <f>IF($AT63="","",INDEX(Calc!$I$2:$I$1601,$AT63)&amp;" - "&amp;INDEX(Calc!$D$2:$D$1601,$AT63)&amp;" koli")</f>
        <v>260727132612940W4ifO0ju (1) - 1 koli</v>
      </c>
      <c r="Z63" t="str">
        <f>IF($AS63="","",Config!$B$21)</f>
        <v>FALSE</v>
      </c>
      <c r="AA63" t="str">
        <f>IF($AS63="","",Config!$B$22)</f>
        <v>RDO</v>
      </c>
      <c r="AB63">
        <f>IF($AT63="","",INDEX(Calc!$D$2:$D$1601,$AT63))</f>
        <v>1</v>
      </c>
      <c r="AC63" t="str">
        <f>IF($AT63="","",INDEX(Calc!$G$2:$G$1601,$AT63))</f>
        <v>260727132612940W4ifO0ju-01</v>
      </c>
      <c r="AD63">
        <f>IF($AS63="","",Config!$B$23)</f>
        <v>0</v>
      </c>
      <c r="AE63">
        <f>IF($AS63="","",Config!$B$28)</f>
        <v>1</v>
      </c>
      <c r="AF63">
        <f t="shared" si="2"/>
        <v>100</v>
      </c>
      <c r="AG63">
        <f t="shared" si="3"/>
        <v>10.528</v>
      </c>
      <c r="AH63">
        <f t="shared" si="4"/>
        <v>10</v>
      </c>
      <c r="AI63">
        <f>IF($AG63="","",SUMIF($AG$2:$AG63,$AG63,$AH$2:$AH63))</f>
        <v>10</v>
      </c>
      <c r="AJ63" t="str">
        <f>IF('TMP Paste'!$F63="","",IF('TMP Paste'!$B63="",$AJ62,'TMP Paste'!$B63))</f>
        <v>AWB02WHJP</v>
      </c>
      <c r="AK63">
        <f>IF('TMP Paste'!$F63="","",N('TMP Paste'!$G63))</f>
        <v>0</v>
      </c>
      <c r="AL63">
        <f>IF('TMP Paste'!$F63="","",IF('TMP Paste'!$M63="",$AL62,'TMP Paste'!$M63))</f>
        <v>1</v>
      </c>
      <c r="AM63" t="str">
        <f>IF('TMP Paste'!$F63="","",IF('TMP Paste'!$N63="",$AM62,'TMP Paste'!$N63))</f>
        <v/>
      </c>
      <c r="AN63" t="str">
        <f>IF('TMP Paste'!$F63="","",IF('TMP Paste'!$O63="",$AN62,'TMP Paste'!$O63))</f>
        <v/>
      </c>
      <c r="AO63" t="str">
        <f>IF('TMP Paste'!$F63="","",IF('TMP Paste'!$P63="",$AO62,'TMP Paste'!$P63))</f>
        <v/>
      </c>
      <c r="AP63">
        <f t="shared" si="5"/>
        <v>266</v>
      </c>
      <c r="AQ63" t="str">
        <f>IF($AS63="","",TRIM(IF(COUNTIFS(Calc!$B$2:$B$1601,ROW()-1,Calc!$C$2:$C$1601,"&lt;1")&gt;0,"Ada PO tanpa Koli - cek TMP. ","")&amp;IF(OR($AU63="",$AU63&lt;=0),"Volume kosong/0 - dimensi dikosongkan. ","")&amp;IF(AND($AU63&lt;&gt;"",$AU63&gt;=1000000),"Volume &gt;= 1.000.000 cm3 (di luar aturan) - dimensi dikosongkan. ","")&amp;IF(LEN($R63)&gt;500,"R &gt; 500 karakter.","")))</f>
        <v/>
      </c>
      <c r="AS63">
        <f>IFERROR(MATCH(ROW()-1,Calc!$J$2:$J$1601,0),"")</f>
        <v>138</v>
      </c>
      <c r="AT63">
        <f>IFERROR(MATCH(ROW()-1,Calc!$K$2:$K$1601,0),"")</f>
        <v>138</v>
      </c>
      <c r="AU63">
        <f>IF($AS63="","",IFERROR(INDEX('TMP Paste'!$D$2:$D$1601,$AS63)*1000000/$AB63,""))</f>
        <v>10528</v>
      </c>
    </row>
    <row r="64" spans="1:47">
      <c r="A64" t="str">
        <f>IF($AS64="","",INDEX('TMP Paste'!$B$2:$B$1601,$AS64))</f>
        <v>AWB02WHG7</v>
      </c>
      <c r="B64">
        <f>IF($AS64="","",Config!$B$14)</f>
        <v>11398423</v>
      </c>
      <c r="C64" t="str">
        <f>IF($AS64="","",Config!$B$15)</f>
        <v>Corporate B2B Bundle</v>
      </c>
      <c r="D64" t="str">
        <f>IF($AS64="","",INDEX('TMP Paste'!$B$2:$B$1601,$AS64))</f>
        <v>AWB02WHG7</v>
      </c>
      <c r="E64" t="str">
        <f>IF($AS64="","",Config!$B$27)</f>
        <v>STANDARD</v>
      </c>
      <c r="F64" t="str">
        <f>IF($AS64="","",Config!$B$9)</f>
        <v>PT Teknologi Medika Pratama (SwipeRx) (B2BR)</v>
      </c>
      <c r="G64" t="str">
        <f>IF($AS64="","",Config!$B$10)</f>
        <v>087733785699</v>
      </c>
      <c r="H64" t="str">
        <f>IF($AS64="","",Config!$B$11)</f>
        <v>Jl. Tugu Raya, Tugu, Kec. Cimanggis, Kota Depok, Jawa Barat 16451,KUBIK LOGISTICS - Kompleks Pergudangan,Gudang E1</v>
      </c>
      <c r="I64" t="str">
        <f>IF($AS64="","",Config!$B$16)</f>
        <v>ID</v>
      </c>
      <c r="J64" t="str">
        <f>IF($AS64="","",INDEX('TMP Paste'!$A$2:$A$1601,$AS64))</f>
        <v>Apotek Pusena Pratama Duren Seribu Bojongsari</v>
      </c>
      <c r="K64" t="str">
        <f>IF($AS64="","",INDEX('TMP Paste'!$L$2:$L$1601,$AS64))</f>
        <v>6281381212509</v>
      </c>
      <c r="L64" t="str">
        <f>IF($AS64="","",INDEX('TMP Paste'!$I$2:$I$1601,$AS64))</f>
        <v>13183-Jl. Sawangan Elok No. 72 Rt 03/08 Kel. Duren Seribu Kec. Bojongsari Kota Depok</v>
      </c>
      <c r="M64" t="str">
        <f>IF($AS64="","",Config!$B$16)</f>
        <v>ID</v>
      </c>
      <c r="N64" t="str">
        <f t="shared" si="0"/>
        <v/>
      </c>
      <c r="O64" t="str">
        <f>IF($AS64="","",INDEX('TMP Paste'!$K$2:$K$1601,$AS64))</f>
        <v>Kota Depok</v>
      </c>
      <c r="P64" t="str">
        <f t="shared" si="1"/>
        <v/>
      </c>
      <c r="Q64">
        <f>IF($AS64="","",INDEX('TMP Paste'!$J$2:$J$1601,$AS64))</f>
        <v>16518</v>
      </c>
      <c r="R64" t="str">
        <f>IF($AS64="","",Config!$B$24)</f>
        <v>Delivery Note wajib ada nama penerima, ditandatangani dan distempel penerima. Jika di label tertera "SP Manual", maka dokumen SP Manual harus diminta ke penerima sesuai dengan jumlah PO yang butuh SP Manual. Apabila ada retur, catat di Delivery Note dan update ke IC</v>
      </c>
      <c r="S64" t="str">
        <f ca="1">IF($AS64="","",TEXT(Config!$B$4,"yyyy-mm-dd"))</f>
        <v>2026-08-18</v>
      </c>
      <c r="T64" t="str">
        <f>IF($AS64="","",Config!$B$17)</f>
        <v>09:00</v>
      </c>
      <c r="U64" t="str">
        <f>IF($AS64="","",Config!$B$18)</f>
        <v>22:00</v>
      </c>
      <c r="V64" t="str">
        <f>IF($AS64="","",Config!$B$19)</f>
        <v>Asia/Jakarta</v>
      </c>
      <c r="W64">
        <f>IF($AS64="","",INDEX('TMP Paste'!$C$2:$C$1601,$AS64))</f>
        <v>5.95</v>
      </c>
      <c r="X64" t="str">
        <f>IF($AS64="","",Config!$B$29)</f>
        <v>FALSE</v>
      </c>
      <c r="Y64" t="str">
        <f>IF($AT64="","",INDEX(Calc!$I$2:$I$1601,$AT64)&amp;" - "&amp;INDEX(Calc!$D$2:$D$1601,$AT64)&amp;" koli")</f>
        <v>260727040240507I1EQSEt (1), 26072704024050hpzTVyJR1J (1), 26072704024050OzkAxb3KZi (1) - 3 koli</v>
      </c>
      <c r="Z64" t="str">
        <f>IF($AS64="","",Config!$B$21)</f>
        <v>FALSE</v>
      </c>
      <c r="AA64" t="str">
        <f>IF($AS64="","",Config!$B$22)</f>
        <v>RDO</v>
      </c>
      <c r="AB64">
        <f>IF($AT64="","",INDEX(Calc!$D$2:$D$1601,$AT64))</f>
        <v>3</v>
      </c>
      <c r="AC64" t="str">
        <f>IF($AT64="","",INDEX(Calc!$G$2:$G$1601,$AT64))</f>
        <v>260727040240507I1EQSEt-01, 26072704024050hpzTVyJR1J-02, 26072704024050OzkAxb3KZi-03</v>
      </c>
      <c r="AD64">
        <f>IF($AS64="","",Config!$B$23)</f>
        <v>0</v>
      </c>
      <c r="AE64">
        <f>IF($AS64="","",Config!$B$28)</f>
        <v>1</v>
      </c>
      <c r="AF64">
        <f t="shared" si="2"/>
        <v>10</v>
      </c>
      <c r="AG64">
        <f t="shared" si="3"/>
        <v>50.4066666666667</v>
      </c>
      <c r="AH64">
        <f t="shared" si="4"/>
        <v>10</v>
      </c>
      <c r="AI64">
        <f>IF($AG64="","",SUMIF($AG$2:$AG64,$AG64,$AH$2:$AH64))</f>
        <v>10</v>
      </c>
      <c r="AJ64" t="str">
        <f>IF('TMP Paste'!$F64="","",IF('TMP Paste'!$B64="",$AJ63,'TMP Paste'!$B64))</f>
        <v/>
      </c>
      <c r="AK64" t="str">
        <f>IF('TMP Paste'!$F64="","",N('TMP Paste'!$G64))</f>
        <v/>
      </c>
      <c r="AL64" t="str">
        <f>IF('TMP Paste'!$F64="","",IF('TMP Paste'!$M64="",$AL63,'TMP Paste'!$M64))</f>
        <v/>
      </c>
      <c r="AM64" t="str">
        <f>IF('TMP Paste'!$F64="","",IF('TMP Paste'!$N64="",$AM63,'TMP Paste'!$N64))</f>
        <v/>
      </c>
      <c r="AN64" t="str">
        <f>IF('TMP Paste'!$F64="","",IF('TMP Paste'!$O64="",$AN63,'TMP Paste'!$O64))</f>
        <v/>
      </c>
      <c r="AO64" t="str">
        <f>IF('TMP Paste'!$F64="","",IF('TMP Paste'!$P64="",$AO63,'TMP Paste'!$P64))</f>
        <v/>
      </c>
      <c r="AP64">
        <f t="shared" si="5"/>
        <v>266</v>
      </c>
      <c r="AQ64" t="str">
        <f>IF($AS64="","",TRIM(IF(COUNTIFS(Calc!$B$2:$B$1601,ROW()-1,Calc!$C$2:$C$1601,"&lt;1")&gt;0,"Ada PO tanpa Koli - cek TMP. ","")&amp;IF(OR($AU64="",$AU64&lt;=0),"Volume kosong/0 - dimensi dikosongkan. ","")&amp;IF(AND($AU64&lt;&gt;"",$AU64&gt;=1000000),"Volume &gt;= 1.000.000 cm3 (di luar aturan) - dimensi dikosongkan. ","")&amp;IF(LEN($R64)&gt;500,"R &gt; 500 karakter.","")))</f>
        <v/>
      </c>
      <c r="AS64">
        <f>IFERROR(MATCH(ROW()-1,Calc!$J$2:$J$1601,0),"")</f>
        <v>139</v>
      </c>
      <c r="AT64">
        <f>IFERROR(MATCH(ROW()-1,Calc!$K$2:$K$1601,0),"")</f>
        <v>141</v>
      </c>
      <c r="AU64">
        <f>IF($AS64="","",IFERROR(INDEX('TMP Paste'!$D$2:$D$1601,$AS64)*1000000/$AB64,""))</f>
        <v>5040.66666666667</v>
      </c>
    </row>
    <row r="65" spans="1:47">
      <c r="A65" t="str">
        <f>IF($AS65="","",INDEX('TMP Paste'!$B$2:$B$1601,$AS65))</f>
        <v>AWB02WHW1</v>
      </c>
      <c r="B65">
        <f>IF($AS65="","",Config!$B$14)</f>
        <v>11398423</v>
      </c>
      <c r="C65" t="str">
        <f>IF($AS65="","",Config!$B$15)</f>
        <v>Corporate B2B Bundle</v>
      </c>
      <c r="D65" t="str">
        <f>IF($AS65="","",INDEX('TMP Paste'!$B$2:$B$1601,$AS65))</f>
        <v>AWB02WHW1</v>
      </c>
      <c r="E65" t="str">
        <f>IF($AS65="","",Config!$B$27)</f>
        <v>STANDARD</v>
      </c>
      <c r="F65" t="str">
        <f>IF($AS65="","",Config!$B$9)</f>
        <v>PT Teknologi Medika Pratama (SwipeRx) (B2BR)</v>
      </c>
      <c r="G65" t="str">
        <f>IF($AS65="","",Config!$B$10)</f>
        <v>087733785699</v>
      </c>
      <c r="H65" t="str">
        <f>IF($AS65="","",Config!$B$11)</f>
        <v>Jl. Tugu Raya, Tugu, Kec. Cimanggis, Kota Depok, Jawa Barat 16451,KUBIK LOGISTICS - Kompleks Pergudangan,Gudang E1</v>
      </c>
      <c r="I65" t="str">
        <f>IF($AS65="","",Config!$B$16)</f>
        <v>ID</v>
      </c>
      <c r="J65" t="str">
        <f>IF($AS65="","",INDEX('TMP Paste'!$A$2:$A$1601,$AS65))</f>
        <v>Apotek Quality</v>
      </c>
      <c r="K65" t="str">
        <f>IF($AS65="","",INDEX('TMP Paste'!$L$2:$L$1601,$AS65))</f>
        <v>218472816</v>
      </c>
      <c r="L65" t="str">
        <f>IF($AS65="","",INDEX('TMP Paste'!$I$2:$I$1601,$AS65))</f>
        <v>406-Jalan Caman Raya No. 23B RT 006 RW 003, Kelurahan Jatibening, Kecamatan Pondok Gede, Kota Bekasi, Jawa Barat 17412</v>
      </c>
      <c r="M65" t="str">
        <f>IF($AS65="","",Config!$B$16)</f>
        <v>ID</v>
      </c>
      <c r="N65" t="str">
        <f t="shared" si="0"/>
        <v/>
      </c>
      <c r="O65" t="str">
        <f>IF($AS65="","",INDEX('TMP Paste'!$K$2:$K$1601,$AS65))</f>
        <v>Kota Bekasi</v>
      </c>
      <c r="P65" t="str">
        <f t="shared" si="1"/>
        <v/>
      </c>
      <c r="Q65">
        <f>IF($AS65="","",INDEX('TMP Paste'!$J$2:$J$1601,$AS65))</f>
        <v>17412</v>
      </c>
      <c r="R65" t="str">
        <f>IF($AS65="","",Config!$B$24)</f>
        <v>Delivery Note wajib ada nama penerima, ditandatangani dan distempel penerima. Jika di label tertera "SP Manual", maka dokumen SP Manual harus diminta ke penerima sesuai dengan jumlah PO yang butuh SP Manual. Apabila ada retur, catat di Delivery Note dan update ke IC</v>
      </c>
      <c r="S65" t="str">
        <f ca="1">IF($AS65="","",TEXT(Config!$B$4,"yyyy-mm-dd"))</f>
        <v>2026-08-18</v>
      </c>
      <c r="T65" t="str">
        <f>IF($AS65="","",Config!$B$17)</f>
        <v>09:00</v>
      </c>
      <c r="U65" t="str">
        <f>IF($AS65="","",Config!$B$18)</f>
        <v>22:00</v>
      </c>
      <c r="V65" t="str">
        <f>IF($AS65="","",Config!$B$19)</f>
        <v>Asia/Jakarta</v>
      </c>
      <c r="W65">
        <f>IF($AS65="","",INDEX('TMP Paste'!$C$2:$C$1601,$AS65))</f>
        <v>0.2</v>
      </c>
      <c r="X65" t="str">
        <f>IF($AS65="","",Config!$B$29)</f>
        <v>FALSE</v>
      </c>
      <c r="Y65" t="str">
        <f>IF($AT65="","",INDEX(Calc!$I$2:$I$1601,$AT65)&amp;" - "&amp;INDEX(Calc!$D$2:$D$1601,$AT65)&amp;" koli")</f>
        <v>26072705340405JBvhQILbs (1) - 1 koli</v>
      </c>
      <c r="Z65" t="str">
        <f>IF($AS65="","",Config!$B$21)</f>
        <v>FALSE</v>
      </c>
      <c r="AA65" t="str">
        <f>IF($AS65="","",Config!$B$22)</f>
        <v>RDO</v>
      </c>
      <c r="AB65">
        <f>IF($AT65="","",INDEX(Calc!$D$2:$D$1601,$AT65))</f>
        <v>1</v>
      </c>
      <c r="AC65" t="str">
        <f>IF($AT65="","",INDEX(Calc!$G$2:$G$1601,$AT65))</f>
        <v>26072705340405JBvhQILbs-01</v>
      </c>
      <c r="AD65">
        <f>IF($AS65="","",Config!$B$23)</f>
        <v>0</v>
      </c>
      <c r="AE65">
        <f>IF($AS65="","",Config!$B$28)</f>
        <v>1</v>
      </c>
      <c r="AF65">
        <f t="shared" si="2"/>
        <v>10</v>
      </c>
      <c r="AG65">
        <f t="shared" si="3"/>
        <v>9.45</v>
      </c>
      <c r="AH65">
        <f t="shared" si="4"/>
        <v>10</v>
      </c>
      <c r="AI65">
        <f>IF($AG65="","",SUMIF($AG$2:$AG65,$AG65,$AH$2:$AH65))</f>
        <v>10</v>
      </c>
      <c r="AJ65" t="str">
        <f>IF('TMP Paste'!$F65="","",IF('TMP Paste'!$B65="",$AJ64,'TMP Paste'!$B65))</f>
        <v>AWB02WLVW</v>
      </c>
      <c r="AK65">
        <f>IF('TMP Paste'!$F65="","",N('TMP Paste'!$G65))</f>
        <v>0</v>
      </c>
      <c r="AL65">
        <f>IF('TMP Paste'!$F65="","",IF('TMP Paste'!$M65="",$AL64,'TMP Paste'!$M65))</f>
        <v>1</v>
      </c>
      <c r="AM65" t="str">
        <f>IF('TMP Paste'!$F65="","",IF('TMP Paste'!$N65="",$AM64,'TMP Paste'!$N65))</f>
        <v/>
      </c>
      <c r="AN65" t="str">
        <f>IF('TMP Paste'!$F65="","",IF('TMP Paste'!$O65="",$AN64,'TMP Paste'!$O65))</f>
        <v/>
      </c>
      <c r="AO65" t="str">
        <f>IF('TMP Paste'!$F65="","",IF('TMP Paste'!$P65="",$AO64,'TMP Paste'!$P65))</f>
        <v/>
      </c>
      <c r="AP65">
        <f t="shared" si="5"/>
        <v>266</v>
      </c>
      <c r="AQ65" t="str">
        <f>IF($AS65="","",TRIM(IF(COUNTIFS(Calc!$B$2:$B$1601,ROW()-1,Calc!$C$2:$C$1601,"&lt;1")&gt;0,"Ada PO tanpa Koli - cek TMP. ","")&amp;IF(OR($AU65="",$AU65&lt;=0),"Volume kosong/0 - dimensi dikosongkan. ","")&amp;IF(AND($AU65&lt;&gt;"",$AU65&gt;=1000000),"Volume &gt;= 1.000.000 cm3 (di luar aturan) - dimensi dikosongkan. ","")&amp;IF(LEN($R65)&gt;500,"R &gt; 500 karakter.","")))</f>
        <v/>
      </c>
      <c r="AS65">
        <f>IFERROR(MATCH(ROW()-1,Calc!$J$2:$J$1601,0),"")</f>
        <v>142</v>
      </c>
      <c r="AT65">
        <f>IFERROR(MATCH(ROW()-1,Calc!$K$2:$K$1601,0),"")</f>
        <v>142</v>
      </c>
      <c r="AU65">
        <f>IF($AS65="","",IFERROR(INDEX('TMP Paste'!$D$2:$D$1601,$AS65)*1000000/$AB65,""))</f>
        <v>945</v>
      </c>
    </row>
    <row r="66" spans="1:47">
      <c r="A66" t="str">
        <f>IF($AS66="","",INDEX('TMP Paste'!$B$2:$B$1601,$AS66))</f>
        <v>AWB02WJZH</v>
      </c>
      <c r="B66">
        <f>IF($AS66="","",Config!$B$14)</f>
        <v>11398423</v>
      </c>
      <c r="C66" t="str">
        <f>IF($AS66="","",Config!$B$15)</f>
        <v>Corporate B2B Bundle</v>
      </c>
      <c r="D66" t="str">
        <f>IF($AS66="","",INDEX('TMP Paste'!$B$2:$B$1601,$AS66))</f>
        <v>AWB02WJZH</v>
      </c>
      <c r="E66" t="str">
        <f>IF($AS66="","",Config!$B$27)</f>
        <v>STANDARD</v>
      </c>
      <c r="F66" t="str">
        <f>IF($AS66="","",Config!$B$9)</f>
        <v>PT Teknologi Medika Pratama (SwipeRx) (B2BR)</v>
      </c>
      <c r="G66" t="str">
        <f>IF($AS66="","",Config!$B$10)</f>
        <v>087733785699</v>
      </c>
      <c r="H66" t="str">
        <f>IF($AS66="","",Config!$B$11)</f>
        <v>Jl. Tugu Raya, Tugu, Kec. Cimanggis, Kota Depok, Jawa Barat 16451,KUBIK LOGISTICS - Kompleks Pergudangan,Gudang E1</v>
      </c>
      <c r="I66" t="str">
        <f>IF($AS66="","",Config!$B$16)</f>
        <v>ID</v>
      </c>
      <c r="J66" t="str">
        <f>IF($AS66="","",INDEX('TMP Paste'!$A$2:$A$1601,$AS66))</f>
        <v>Apotek Raudha Farma</v>
      </c>
      <c r="K66" t="str">
        <f>IF($AS66="","",INDEX('TMP Paste'!$L$2:$L$1601,$AS66))</f>
        <v>81299422172</v>
      </c>
      <c r="L66" t="str">
        <f>IF($AS66="","",INDEX('TMP Paste'!$I$2:$I$1601,$AS66))</f>
        <v>47-Jl. Raya Ceger No. 99, Ceger, Cipayung</v>
      </c>
      <c r="M66" t="str">
        <f>IF($AS66="","",Config!$B$16)</f>
        <v>ID</v>
      </c>
      <c r="N66" t="str">
        <f t="shared" ref="N66:N129" si="6">IF($AS66="","","")</f>
        <v/>
      </c>
      <c r="O66" t="str">
        <f>IF($AS66="","",INDEX('TMP Paste'!$K$2:$K$1601,$AS66))</f>
        <v>Kota Jakarta Timur</v>
      </c>
      <c r="P66" t="str">
        <f t="shared" ref="P66:P129" si="7">IF($AS66="","","")</f>
        <v/>
      </c>
      <c r="Q66">
        <f>IF($AS66="","",INDEX('TMP Paste'!$J$2:$J$1601,$AS66))</f>
        <v>13820</v>
      </c>
      <c r="R66" t="str">
        <f>IF($AS66="","",Config!$B$24)</f>
        <v>Delivery Note wajib ada nama penerima, ditandatangani dan distempel penerima. Jika di label tertera "SP Manual", maka dokumen SP Manual harus diminta ke penerima sesuai dengan jumlah PO yang butuh SP Manual. Apabila ada retur, catat di Delivery Note dan update ke IC</v>
      </c>
      <c r="S66" t="str">
        <f ca="1">IF($AS66="","",TEXT(Config!$B$4,"yyyy-mm-dd"))</f>
        <v>2026-08-18</v>
      </c>
      <c r="T66" t="str">
        <f>IF($AS66="","",Config!$B$17)</f>
        <v>09:00</v>
      </c>
      <c r="U66" t="str">
        <f>IF($AS66="","",Config!$B$18)</f>
        <v>22:00</v>
      </c>
      <c r="V66" t="str">
        <f>IF($AS66="","",Config!$B$19)</f>
        <v>Asia/Jakarta</v>
      </c>
      <c r="W66">
        <f>IF($AS66="","",INDEX('TMP Paste'!$C$2:$C$1601,$AS66))</f>
        <v>0.68</v>
      </c>
      <c r="X66" t="str">
        <f>IF($AS66="","",Config!$B$29)</f>
        <v>FALSE</v>
      </c>
      <c r="Y66" t="str">
        <f>IF($AT66="","",INDEX(Calc!$I$2:$I$1601,$AT66)&amp;" - "&amp;INDEX(Calc!$D$2:$D$1601,$AT66)&amp;" koli")</f>
        <v>26072714552972jh2qRqv9r (1) - 1 koli</v>
      </c>
      <c r="Z66" t="str">
        <f>IF($AS66="","",Config!$B$21)</f>
        <v>FALSE</v>
      </c>
      <c r="AA66" t="str">
        <f>IF($AS66="","",Config!$B$22)</f>
        <v>RDO</v>
      </c>
      <c r="AB66">
        <f>IF($AT66="","",INDEX(Calc!$D$2:$D$1601,$AT66))</f>
        <v>1</v>
      </c>
      <c r="AC66" t="str">
        <f>IF($AT66="","",INDEX(Calc!$G$2:$G$1601,$AT66))</f>
        <v>26072714552972jh2qRqv9r-01</v>
      </c>
      <c r="AD66">
        <f>IF($AS66="","",Config!$B$23)</f>
        <v>0</v>
      </c>
      <c r="AE66">
        <f>IF($AS66="","",Config!$B$28)</f>
        <v>1</v>
      </c>
      <c r="AF66">
        <f t="shared" ref="AF66:AF129" si="8">IF($AS66="","",IF(OR($AU66="",$AU66&lt;=0,$AU66&gt;=1000000),"",IF($AU66&lt;10000,10,100)))</f>
        <v>10</v>
      </c>
      <c r="AG66">
        <f t="shared" ref="AG66:AG129" si="9">IF($AS66="","",IF(OR($AU66="",$AU66&lt;=0,$AU66&gt;=1000000),"",IF($AU66&lt;10000,$AU66/100,IF($AU66&lt;100000,$AU66/1000,$AU66/10000))))</f>
        <v>35.12</v>
      </c>
      <c r="AH66">
        <f t="shared" ref="AH66:AH129" si="10">IF($AS66="","",IF(OR($AU66="",$AU66&lt;=0,$AU66&gt;=1000000),"",IF($AU66&lt;100000,10,100)))</f>
        <v>10</v>
      </c>
      <c r="AI66">
        <f>IF($AG66="","",SUMIF($AG$2:$AG66,$AG66,$AH$2:$AH66))</f>
        <v>10</v>
      </c>
      <c r="AJ66" t="str">
        <f>IF('TMP Paste'!$F66="","",IF('TMP Paste'!$B66="",$AJ65,'TMP Paste'!$B66))</f>
        <v/>
      </c>
      <c r="AK66" t="str">
        <f>IF('TMP Paste'!$F66="","",N('TMP Paste'!$G66))</f>
        <v/>
      </c>
      <c r="AL66" t="str">
        <f>IF('TMP Paste'!$F66="","",IF('TMP Paste'!$M66="",$AL65,'TMP Paste'!$M66))</f>
        <v/>
      </c>
      <c r="AM66" t="str">
        <f>IF('TMP Paste'!$F66="","",IF('TMP Paste'!$N66="",$AM65,'TMP Paste'!$N66))</f>
        <v/>
      </c>
      <c r="AN66" t="str">
        <f>IF('TMP Paste'!$F66="","",IF('TMP Paste'!$O66="",$AN65,'TMP Paste'!$O66))</f>
        <v/>
      </c>
      <c r="AO66" t="str">
        <f>IF('TMP Paste'!$F66="","",IF('TMP Paste'!$P66="",$AO65,'TMP Paste'!$P66))</f>
        <v/>
      </c>
      <c r="AP66">
        <f t="shared" ref="AP66:AP129" si="11">IF($AG66="","",LEN($R66))</f>
        <v>266</v>
      </c>
      <c r="AQ66" t="str">
        <f>IF($AS66="","",TRIM(IF(COUNTIFS(Calc!$B$2:$B$1601,ROW()-1,Calc!$C$2:$C$1601,"&lt;1")&gt;0,"Ada PO tanpa Koli - cek TMP. ","")&amp;IF(OR($AU66="",$AU66&lt;=0),"Volume kosong/0 - dimensi dikosongkan. ","")&amp;IF(AND($AU66&lt;&gt;"",$AU66&gt;=1000000),"Volume &gt;= 1.000.000 cm3 (di luar aturan) - dimensi dikosongkan. ","")&amp;IF(LEN($R66)&gt;500,"R &gt; 500 karakter.","")))</f>
        <v/>
      </c>
      <c r="AS66">
        <f>IFERROR(MATCH(ROW()-1,Calc!$J$2:$J$1601,0),"")</f>
        <v>143</v>
      </c>
      <c r="AT66">
        <f>IFERROR(MATCH(ROW()-1,Calc!$K$2:$K$1601,0),"")</f>
        <v>143</v>
      </c>
      <c r="AU66">
        <f>IF($AS66="","",IFERROR(INDEX('TMP Paste'!$D$2:$D$1601,$AS66)*1000000/$AB66,""))</f>
        <v>3512</v>
      </c>
    </row>
    <row r="67" spans="1:47">
      <c r="A67" t="str">
        <f>IF($AS67="","",INDEX('TMP Paste'!$B$2:$B$1601,$AS67))</f>
        <v>AWB02WHZX</v>
      </c>
      <c r="B67">
        <f>IF($AS67="","",Config!$B$14)</f>
        <v>11398423</v>
      </c>
      <c r="C67" t="str">
        <f>IF($AS67="","",Config!$B$15)</f>
        <v>Corporate B2B Bundle</v>
      </c>
      <c r="D67" t="str">
        <f>IF($AS67="","",INDEX('TMP Paste'!$B$2:$B$1601,$AS67))</f>
        <v>AWB02WHZX</v>
      </c>
      <c r="E67" t="str">
        <f>IF($AS67="","",Config!$B$27)</f>
        <v>STANDARD</v>
      </c>
      <c r="F67" t="str">
        <f>IF($AS67="","",Config!$B$9)</f>
        <v>PT Teknologi Medika Pratama (SwipeRx) (B2BR)</v>
      </c>
      <c r="G67" t="str">
        <f>IF($AS67="","",Config!$B$10)</f>
        <v>087733785699</v>
      </c>
      <c r="H67" t="str">
        <f>IF($AS67="","",Config!$B$11)</f>
        <v>Jl. Tugu Raya, Tugu, Kec. Cimanggis, Kota Depok, Jawa Barat 16451,KUBIK LOGISTICS - Kompleks Pergudangan,Gudang E1</v>
      </c>
      <c r="I67" t="str">
        <f>IF($AS67="","",Config!$B$16)</f>
        <v>ID</v>
      </c>
      <c r="J67" t="str">
        <f>IF($AS67="","",INDEX('TMP Paste'!$A$2:$A$1601,$AS67))</f>
        <v>Apotek Rosa Farma</v>
      </c>
      <c r="K67" t="str">
        <f>IF($AS67="","",INDEX('TMP Paste'!$L$2:$L$1601,$AS67))</f>
        <v>81212834867</v>
      </c>
      <c r="L67" t="str">
        <f>IF($AS67="","",INDEX('TMP Paste'!$I$2:$I$1601,$AS67))</f>
        <v>455-Jalan Klamono No. 17 RT 001 RW 001, Kelurahan Jatimakmur, Kecamatan Pondok Gede, Kota Bekasi 17413</v>
      </c>
      <c r="M67" t="str">
        <f>IF($AS67="","",Config!$B$16)</f>
        <v>ID</v>
      </c>
      <c r="N67" t="str">
        <f t="shared" si="6"/>
        <v/>
      </c>
      <c r="O67" t="str">
        <f>IF($AS67="","",INDEX('TMP Paste'!$K$2:$K$1601,$AS67))</f>
        <v>Kota Bekasi</v>
      </c>
      <c r="P67" t="str">
        <f t="shared" si="7"/>
        <v/>
      </c>
      <c r="Q67">
        <f>IF($AS67="","",INDEX('TMP Paste'!$J$2:$J$1601,$AS67))</f>
        <v>17413</v>
      </c>
      <c r="R67" t="str">
        <f>IF($AS67="","",Config!$B$24)</f>
        <v>Delivery Note wajib ada nama penerima, ditandatangani dan distempel penerima. Jika di label tertera "SP Manual", maka dokumen SP Manual harus diminta ke penerima sesuai dengan jumlah PO yang butuh SP Manual. Apabila ada retur, catat di Delivery Note dan update ke IC</v>
      </c>
      <c r="S67" t="str">
        <f ca="1">IF($AS67="","",TEXT(Config!$B$4,"yyyy-mm-dd"))</f>
        <v>2026-08-18</v>
      </c>
      <c r="T67" t="str">
        <f>IF($AS67="","",Config!$B$17)</f>
        <v>09:00</v>
      </c>
      <c r="U67" t="str">
        <f>IF($AS67="","",Config!$B$18)</f>
        <v>22:00</v>
      </c>
      <c r="V67" t="str">
        <f>IF($AS67="","",Config!$B$19)</f>
        <v>Asia/Jakarta</v>
      </c>
      <c r="W67">
        <f>IF($AS67="","",INDEX('TMP Paste'!$C$2:$C$1601,$AS67))</f>
        <v>2.99</v>
      </c>
      <c r="X67" t="str">
        <f>IF($AS67="","",Config!$B$29)</f>
        <v>FALSE</v>
      </c>
      <c r="Y67" t="str">
        <f>IF($AT67="","",INDEX(Calc!$I$2:$I$1601,$AT67)&amp;" - "&amp;INDEX(Calc!$D$2:$D$1601,$AT67)&amp;" koli")</f>
        <v>260727060627070ag9ElKTY (1), 26072706062707capyILlsg (1), 26072802532612MUrJaTVZ (1) - 3 koli</v>
      </c>
      <c r="Z67" t="str">
        <f>IF($AS67="","",Config!$B$21)</f>
        <v>FALSE</v>
      </c>
      <c r="AA67" t="str">
        <f>IF($AS67="","",Config!$B$22)</f>
        <v>RDO</v>
      </c>
      <c r="AB67">
        <f>IF($AT67="","",INDEX(Calc!$D$2:$D$1601,$AT67))</f>
        <v>3</v>
      </c>
      <c r="AC67" t="str">
        <f>IF($AT67="","",INDEX(Calc!$G$2:$G$1601,$AT67))</f>
        <v>260727060627070ag9ElKTY-01, 26072706062707capyILlsg-02, 26072802532612MUrJaTVZ-03</v>
      </c>
      <c r="AD67">
        <f>IF($AS67="","",Config!$B$23)</f>
        <v>0</v>
      </c>
      <c r="AE67">
        <f>IF($AS67="","",Config!$B$28)</f>
        <v>1</v>
      </c>
      <c r="AF67">
        <f t="shared" si="8"/>
        <v>10</v>
      </c>
      <c r="AG67">
        <f t="shared" si="9"/>
        <v>42.71</v>
      </c>
      <c r="AH67">
        <f t="shared" si="10"/>
        <v>10</v>
      </c>
      <c r="AI67">
        <f>IF($AG67="","",SUMIF($AG$2:$AG67,$AG67,$AH$2:$AH67))</f>
        <v>10</v>
      </c>
      <c r="AJ67" t="str">
        <f>IF('TMP Paste'!$F67="","",IF('TMP Paste'!$B67="",$AJ66,'TMP Paste'!$B67))</f>
        <v/>
      </c>
      <c r="AK67" t="str">
        <f>IF('TMP Paste'!$F67="","",N('TMP Paste'!$G67))</f>
        <v/>
      </c>
      <c r="AL67" t="str">
        <f>IF('TMP Paste'!$F67="","",IF('TMP Paste'!$M67="",$AL66,'TMP Paste'!$M67))</f>
        <v/>
      </c>
      <c r="AM67" t="str">
        <f>IF('TMP Paste'!$F67="","",IF('TMP Paste'!$N67="",$AM66,'TMP Paste'!$N67))</f>
        <v/>
      </c>
      <c r="AN67" t="str">
        <f>IF('TMP Paste'!$F67="","",IF('TMP Paste'!$O67="",$AN66,'TMP Paste'!$O67))</f>
        <v/>
      </c>
      <c r="AO67" t="str">
        <f>IF('TMP Paste'!$F67="","",IF('TMP Paste'!$P67="",$AO66,'TMP Paste'!$P67))</f>
        <v/>
      </c>
      <c r="AP67">
        <f t="shared" si="11"/>
        <v>266</v>
      </c>
      <c r="AQ67" t="str">
        <f>IF($AS67="","",TRIM(IF(COUNTIFS(Calc!$B$2:$B$1601,ROW()-1,Calc!$C$2:$C$1601,"&lt;1")&gt;0,"Ada PO tanpa Koli - cek TMP. ","")&amp;IF(OR($AU67="",$AU67&lt;=0),"Volume kosong/0 - dimensi dikosongkan. ","")&amp;IF(AND($AU67&lt;&gt;"",$AU67&gt;=1000000),"Volume &gt;= 1.000.000 cm3 (di luar aturan) - dimensi dikosongkan. ","")&amp;IF(LEN($R67)&gt;500,"R &gt; 500 karakter.","")))</f>
        <v/>
      </c>
      <c r="AS67">
        <f>IFERROR(MATCH(ROW()-1,Calc!$J$2:$J$1601,0),"")</f>
        <v>144</v>
      </c>
      <c r="AT67">
        <f>IFERROR(MATCH(ROW()-1,Calc!$K$2:$K$1601,0),"")</f>
        <v>146</v>
      </c>
      <c r="AU67">
        <f>IF($AS67="","",IFERROR(INDEX('TMP Paste'!$D$2:$D$1601,$AS67)*1000000/$AB67,""))</f>
        <v>4271</v>
      </c>
    </row>
    <row r="68" spans="1:47">
      <c r="A68" t="str">
        <f>IF($AS68="","",INDEX('TMP Paste'!$B$2:$B$1601,$AS68))</f>
        <v>AWB02WMD1</v>
      </c>
      <c r="B68">
        <f>IF($AS68="","",Config!$B$14)</f>
        <v>11398423</v>
      </c>
      <c r="C68" t="str">
        <f>IF($AS68="","",Config!$B$15)</f>
        <v>Corporate B2B Bundle</v>
      </c>
      <c r="D68" t="str">
        <f>IF($AS68="","",INDEX('TMP Paste'!$B$2:$B$1601,$AS68))</f>
        <v>AWB02WMD1</v>
      </c>
      <c r="E68" t="str">
        <f>IF($AS68="","",Config!$B$27)</f>
        <v>STANDARD</v>
      </c>
      <c r="F68" t="str">
        <f>IF($AS68="","",Config!$B$9)</f>
        <v>PT Teknologi Medika Pratama (SwipeRx) (B2BR)</v>
      </c>
      <c r="G68" t="str">
        <f>IF($AS68="","",Config!$B$10)</f>
        <v>087733785699</v>
      </c>
      <c r="H68" t="str">
        <f>IF($AS68="","",Config!$B$11)</f>
        <v>Jl. Tugu Raya, Tugu, Kec. Cimanggis, Kota Depok, Jawa Barat 16451,KUBIK LOGISTICS - Kompleks Pergudangan,Gudang E1</v>
      </c>
      <c r="I68" t="str">
        <f>IF($AS68="","",Config!$B$16)</f>
        <v>ID</v>
      </c>
      <c r="J68" t="str">
        <f>IF($AS68="","",INDEX('TMP Paste'!$A$2:$A$1601,$AS68))</f>
        <v>Apotek Ruellia Mampang Pancoran Mas</v>
      </c>
      <c r="K68" t="str">
        <f>IF($AS68="","",INDEX('TMP Paste'!$L$2:$L$1601,$AS68))</f>
        <v>6282122365183</v>
      </c>
      <c r="L68" t="str">
        <f>IF($AS68="","",INDEX('TMP Paste'!$I$2:$I$1601,$AS68))</f>
        <v>15088-Jl. Raya Sawangan No.15 (15D), Mampang, Kec. Pancoran Mas, Kota Depok</v>
      </c>
      <c r="M68" t="str">
        <f>IF($AS68="","",Config!$B$16)</f>
        <v>ID</v>
      </c>
      <c r="N68" t="str">
        <f t="shared" si="6"/>
        <v/>
      </c>
      <c r="O68" t="str">
        <f>IF($AS68="","",INDEX('TMP Paste'!$K$2:$K$1601,$AS68))</f>
        <v>Kota Depok</v>
      </c>
      <c r="P68" t="str">
        <f t="shared" si="7"/>
        <v/>
      </c>
      <c r="Q68">
        <f>IF($AS68="","",INDEX('TMP Paste'!$J$2:$J$1601,$AS68))</f>
        <v>16433</v>
      </c>
      <c r="R68" t="str">
        <f>IF($AS68="","",Config!$B$24)</f>
        <v>Delivery Note wajib ada nama penerima, ditandatangani dan distempel penerima. Jika di label tertera "SP Manual", maka dokumen SP Manual harus diminta ke penerima sesuai dengan jumlah PO yang butuh SP Manual. Apabila ada retur, catat di Delivery Note dan update ke IC</v>
      </c>
      <c r="S68" t="str">
        <f ca="1">IF($AS68="","",TEXT(Config!$B$4,"yyyy-mm-dd"))</f>
        <v>2026-08-18</v>
      </c>
      <c r="T68" t="str">
        <f>IF($AS68="","",Config!$B$17)</f>
        <v>09:00</v>
      </c>
      <c r="U68" t="str">
        <f>IF($AS68="","",Config!$B$18)</f>
        <v>22:00</v>
      </c>
      <c r="V68" t="str">
        <f>IF($AS68="","",Config!$B$19)</f>
        <v>Asia/Jakarta</v>
      </c>
      <c r="W68">
        <f>IF($AS68="","",INDEX('TMP Paste'!$C$2:$C$1601,$AS68))</f>
        <v>1.91</v>
      </c>
      <c r="X68" t="str">
        <f>IF($AS68="","",Config!$B$29)</f>
        <v>FALSE</v>
      </c>
      <c r="Y68" t="str">
        <f>IF($AT68="","",INDEX(Calc!$I$2:$I$1601,$AT68)&amp;" - "&amp;INDEX(Calc!$D$2:$D$1601,$AT68)&amp;" koli")</f>
        <v>26072803541276KOK1OoPAx (1), 26072803541276yKDEPQ58g (1) - 2 koli</v>
      </c>
      <c r="Z68" t="str">
        <f>IF($AS68="","",Config!$B$21)</f>
        <v>FALSE</v>
      </c>
      <c r="AA68" t="str">
        <f>IF($AS68="","",Config!$B$22)</f>
        <v>RDO</v>
      </c>
      <c r="AB68">
        <f>IF($AT68="","",INDEX(Calc!$D$2:$D$1601,$AT68))</f>
        <v>2</v>
      </c>
      <c r="AC68" t="str">
        <f>IF($AT68="","",INDEX(Calc!$G$2:$G$1601,$AT68))</f>
        <v>26072803541276KOK1OoPAx-01, 26072803541276yKDEPQ58g-02</v>
      </c>
      <c r="AD68">
        <f>IF($AS68="","",Config!$B$23)</f>
        <v>0</v>
      </c>
      <c r="AE68">
        <f>IF($AS68="","",Config!$B$28)</f>
        <v>1</v>
      </c>
      <c r="AF68">
        <f t="shared" si="8"/>
        <v>10</v>
      </c>
      <c r="AG68">
        <f t="shared" si="9"/>
        <v>71.365</v>
      </c>
      <c r="AH68">
        <f t="shared" si="10"/>
        <v>10</v>
      </c>
      <c r="AI68">
        <f>IF($AG68="","",SUMIF($AG$2:$AG68,$AG68,$AH$2:$AH68))</f>
        <v>10</v>
      </c>
      <c r="AJ68" t="str">
        <f>IF('TMP Paste'!$F68="","",IF('TMP Paste'!$B68="",$AJ67,'TMP Paste'!$B68))</f>
        <v>AWB02WKL7</v>
      </c>
      <c r="AK68">
        <f>IF('TMP Paste'!$F68="","",N('TMP Paste'!$G68))</f>
        <v>0</v>
      </c>
      <c r="AL68">
        <f>IF('TMP Paste'!$F68="","",IF('TMP Paste'!$M68="",$AL67,'TMP Paste'!$M68))</f>
        <v>1</v>
      </c>
      <c r="AM68" t="str">
        <f>IF('TMP Paste'!$F68="","",IF('TMP Paste'!$N68="",$AM67,'TMP Paste'!$N68))</f>
        <v/>
      </c>
      <c r="AN68" t="str">
        <f>IF('TMP Paste'!$F68="","",IF('TMP Paste'!$O68="",$AN67,'TMP Paste'!$O68))</f>
        <v/>
      </c>
      <c r="AO68" t="str">
        <f>IF('TMP Paste'!$F68="","",IF('TMP Paste'!$P68="",$AO67,'TMP Paste'!$P68))</f>
        <v/>
      </c>
      <c r="AP68">
        <f t="shared" si="11"/>
        <v>266</v>
      </c>
      <c r="AQ68" t="str">
        <f>IF($AS68="","",TRIM(IF(COUNTIFS(Calc!$B$2:$B$1601,ROW()-1,Calc!$C$2:$C$1601,"&lt;1")&gt;0,"Ada PO tanpa Koli - cek TMP. ","")&amp;IF(OR($AU68="",$AU68&lt;=0),"Volume kosong/0 - dimensi dikosongkan. ","")&amp;IF(AND($AU68&lt;&gt;"",$AU68&gt;=1000000),"Volume &gt;= 1.000.000 cm3 (di luar aturan) - dimensi dikosongkan. ","")&amp;IF(LEN($R68)&gt;500,"R &gt; 500 karakter.","")))</f>
        <v/>
      </c>
      <c r="AS68">
        <f>IFERROR(MATCH(ROW()-1,Calc!$J$2:$J$1601,0),"")</f>
        <v>147</v>
      </c>
      <c r="AT68">
        <f>IFERROR(MATCH(ROW()-1,Calc!$K$2:$K$1601,0),"")</f>
        <v>148</v>
      </c>
      <c r="AU68">
        <f>IF($AS68="","",IFERROR(INDEX('TMP Paste'!$D$2:$D$1601,$AS68)*1000000/$AB68,""))</f>
        <v>7136.5</v>
      </c>
    </row>
    <row r="69" spans="1:47">
      <c r="A69" t="str">
        <f>IF($AS69="","",INDEX('TMP Paste'!$B$2:$B$1601,$AS69))</f>
        <v>AWB02WKYZ</v>
      </c>
      <c r="B69">
        <f>IF($AS69="","",Config!$B$14)</f>
        <v>11398423</v>
      </c>
      <c r="C69" t="str">
        <f>IF($AS69="","",Config!$B$15)</f>
        <v>Corporate B2B Bundle</v>
      </c>
      <c r="D69" t="str">
        <f>IF($AS69="","",INDEX('TMP Paste'!$B$2:$B$1601,$AS69))</f>
        <v>AWB02WKYZ</v>
      </c>
      <c r="E69" t="str">
        <f>IF($AS69="","",Config!$B$27)</f>
        <v>STANDARD</v>
      </c>
      <c r="F69" t="str">
        <f>IF($AS69="","",Config!$B$9)</f>
        <v>PT Teknologi Medika Pratama (SwipeRx) (B2BR)</v>
      </c>
      <c r="G69" t="str">
        <f>IF($AS69="","",Config!$B$10)</f>
        <v>087733785699</v>
      </c>
      <c r="H69" t="str">
        <f>IF($AS69="","",Config!$B$11)</f>
        <v>Jl. Tugu Raya, Tugu, Kec. Cimanggis, Kota Depok, Jawa Barat 16451,KUBIK LOGISTICS - Kompleks Pergudangan,Gudang E1</v>
      </c>
      <c r="I69" t="str">
        <f>IF($AS69="","",Config!$B$16)</f>
        <v>ID</v>
      </c>
      <c r="J69" t="str">
        <f>IF($AS69="","",INDEX('TMP Paste'!$A$2:$A$1601,$AS69))</f>
        <v>Apotek Sabi Pharma Cilangkap Cipayung</v>
      </c>
      <c r="K69" t="str">
        <f>IF($AS69="","",INDEX('TMP Paste'!$L$2:$L$1601,$AS69))</f>
        <v>6281212537641</v>
      </c>
      <c r="L69" t="str">
        <f>IF($AS69="","",INDEX('TMP Paste'!$I$2:$I$1601,$AS69))</f>
        <v>13565-Jl. Cilangkap Baru Blok R No. 3 RT 001 RW 001 Kel. Cilangkap Kec. Cipayung Kota Jakarta Timur</v>
      </c>
      <c r="M69" t="str">
        <f>IF($AS69="","",Config!$B$16)</f>
        <v>ID</v>
      </c>
      <c r="N69" t="str">
        <f t="shared" si="6"/>
        <v/>
      </c>
      <c r="O69" t="str">
        <f>IF($AS69="","",INDEX('TMP Paste'!$K$2:$K$1601,$AS69))</f>
        <v>Kota Jakarta Timur</v>
      </c>
      <c r="P69" t="str">
        <f t="shared" si="7"/>
        <v/>
      </c>
      <c r="Q69">
        <f>IF($AS69="","",INDEX('TMP Paste'!$J$2:$J$1601,$AS69))</f>
        <v>13870</v>
      </c>
      <c r="R69" t="str">
        <f>IF($AS69="","",Config!$B$24)</f>
        <v>Delivery Note wajib ada nama penerima, ditandatangani dan distempel penerima. Jika di label tertera "SP Manual", maka dokumen SP Manual harus diminta ke penerima sesuai dengan jumlah PO yang butuh SP Manual. Apabila ada retur, catat di Delivery Note dan update ke IC</v>
      </c>
      <c r="S69" t="str">
        <f ca="1">IF($AS69="","",TEXT(Config!$B$4,"yyyy-mm-dd"))</f>
        <v>2026-08-18</v>
      </c>
      <c r="T69" t="str">
        <f>IF($AS69="","",Config!$B$17)</f>
        <v>09:00</v>
      </c>
      <c r="U69" t="str">
        <f>IF($AS69="","",Config!$B$18)</f>
        <v>22:00</v>
      </c>
      <c r="V69" t="str">
        <f>IF($AS69="","",Config!$B$19)</f>
        <v>Asia/Jakarta</v>
      </c>
      <c r="W69">
        <f>IF($AS69="","",INDEX('TMP Paste'!$C$2:$C$1601,$AS69))</f>
        <v>3.82</v>
      </c>
      <c r="X69" t="str">
        <f>IF($AS69="","",Config!$B$29)</f>
        <v>FALSE</v>
      </c>
      <c r="Y69" t="str">
        <f>IF($AT69="","",INDEX(Calc!$I$2:$I$1601,$AT69)&amp;" - "&amp;INDEX(Calc!$D$2:$D$1601,$AT69)&amp;" koli")</f>
        <v>260728015642841IWdYmhkTE (1), 26072801564284JNse9GxzU (1), 26072801564284oCeymW6moF (1) - 3 koli</v>
      </c>
      <c r="Z69" t="str">
        <f>IF($AS69="","",Config!$B$21)</f>
        <v>FALSE</v>
      </c>
      <c r="AA69" t="str">
        <f>IF($AS69="","",Config!$B$22)</f>
        <v>RDO</v>
      </c>
      <c r="AB69">
        <f>IF($AT69="","",INDEX(Calc!$D$2:$D$1601,$AT69))</f>
        <v>3</v>
      </c>
      <c r="AC69" t="str">
        <f>IF($AT69="","",INDEX(Calc!$G$2:$G$1601,$AT69))</f>
        <v>260728015642841IWdYmhkTE-01, 26072801564284JNse9GxzU-02, 26072801564284oCeymW6moF-03</v>
      </c>
      <c r="AD69">
        <f>IF($AS69="","",Config!$B$23)</f>
        <v>0</v>
      </c>
      <c r="AE69">
        <f>IF($AS69="","",Config!$B$28)</f>
        <v>1</v>
      </c>
      <c r="AF69">
        <f t="shared" si="8"/>
        <v>10</v>
      </c>
      <c r="AG69">
        <f t="shared" si="9"/>
        <v>27.6466666666667</v>
      </c>
      <c r="AH69">
        <f t="shared" si="10"/>
        <v>10</v>
      </c>
      <c r="AI69">
        <f>IF($AG69="","",SUMIF($AG$2:$AG69,$AG69,$AH$2:$AH69))</f>
        <v>10</v>
      </c>
      <c r="AJ69" t="str">
        <f>IF('TMP Paste'!$F69="","",IF('TMP Paste'!$B69="",$AJ68,'TMP Paste'!$B69))</f>
        <v>AWB02WKNX</v>
      </c>
      <c r="AK69">
        <f>IF('TMP Paste'!$F69="","",N('TMP Paste'!$G69))</f>
        <v>0</v>
      </c>
      <c r="AL69">
        <f>IF('TMP Paste'!$F69="","",IF('TMP Paste'!$M69="",$AL68,'TMP Paste'!$M69))</f>
        <v>1</v>
      </c>
      <c r="AM69" t="str">
        <f>IF('TMP Paste'!$F69="","",IF('TMP Paste'!$N69="",$AM68,'TMP Paste'!$N69))</f>
        <v/>
      </c>
      <c r="AN69" t="str">
        <f>IF('TMP Paste'!$F69="","",IF('TMP Paste'!$O69="",$AN68,'TMP Paste'!$O69))</f>
        <v/>
      </c>
      <c r="AO69" t="str">
        <f>IF('TMP Paste'!$F69="","",IF('TMP Paste'!$P69="",$AO68,'TMP Paste'!$P69))</f>
        <v/>
      </c>
      <c r="AP69">
        <f t="shared" si="11"/>
        <v>266</v>
      </c>
      <c r="AQ69" t="str">
        <f>IF($AS69="","",TRIM(IF(COUNTIFS(Calc!$B$2:$B$1601,ROW()-1,Calc!$C$2:$C$1601,"&lt;1")&gt;0,"Ada PO tanpa Koli - cek TMP. ","")&amp;IF(OR($AU69="",$AU69&lt;=0),"Volume kosong/0 - dimensi dikosongkan. ","")&amp;IF(AND($AU69&lt;&gt;"",$AU69&gt;=1000000),"Volume &gt;= 1.000.000 cm3 (di luar aturan) - dimensi dikosongkan. ","")&amp;IF(LEN($R69)&gt;500,"R &gt; 500 karakter.","")))</f>
        <v/>
      </c>
      <c r="AS69">
        <f>IFERROR(MATCH(ROW()-1,Calc!$J$2:$J$1601,0),"")</f>
        <v>149</v>
      </c>
      <c r="AT69">
        <f>IFERROR(MATCH(ROW()-1,Calc!$K$2:$K$1601,0),"")</f>
        <v>151</v>
      </c>
      <c r="AU69">
        <f>IF($AS69="","",IFERROR(INDEX('TMP Paste'!$D$2:$D$1601,$AS69)*1000000/$AB69,""))</f>
        <v>2764.66666666667</v>
      </c>
    </row>
    <row r="70" spans="1:47">
      <c r="A70" t="str">
        <f>IF($AS70="","",INDEX('TMP Paste'!$B$2:$B$1601,$AS70))</f>
        <v>AWB02WJ0D</v>
      </c>
      <c r="B70">
        <f>IF($AS70="","",Config!$B$14)</f>
        <v>11398423</v>
      </c>
      <c r="C70" t="str">
        <f>IF($AS70="","",Config!$B$15)</f>
        <v>Corporate B2B Bundle</v>
      </c>
      <c r="D70" t="str">
        <f>IF($AS70="","",INDEX('TMP Paste'!$B$2:$B$1601,$AS70))</f>
        <v>AWB02WJ0D</v>
      </c>
      <c r="E70" t="str">
        <f>IF($AS70="","",Config!$B$27)</f>
        <v>STANDARD</v>
      </c>
      <c r="F70" t="str">
        <f>IF($AS70="","",Config!$B$9)</f>
        <v>PT Teknologi Medika Pratama (SwipeRx) (B2BR)</v>
      </c>
      <c r="G70" t="str">
        <f>IF($AS70="","",Config!$B$10)</f>
        <v>087733785699</v>
      </c>
      <c r="H70" t="str">
        <f>IF($AS70="","",Config!$B$11)</f>
        <v>Jl. Tugu Raya, Tugu, Kec. Cimanggis, Kota Depok, Jawa Barat 16451,KUBIK LOGISTICS - Kompleks Pergudangan,Gudang E1</v>
      </c>
      <c r="I70" t="str">
        <f>IF($AS70="","",Config!$B$16)</f>
        <v>ID</v>
      </c>
      <c r="J70" t="str">
        <f>IF($AS70="","",INDEX('TMP Paste'!$A$2:$A$1601,$AS70))</f>
        <v>Apotek Sahabat Galenika 1 Jatiwaringin Pondok Gede</v>
      </c>
      <c r="K70" t="str">
        <f>IF($AS70="","",INDEX('TMP Paste'!$L$2:$L$1601,$AS70))</f>
        <v>6281228881173</v>
      </c>
      <c r="L70" t="str">
        <f>IF($AS70="","",INDEX('TMP Paste'!$I$2:$I$1601,$AS70))</f>
        <v>11952-Jl. Jatiwaringin No. 130 Kel. Jatiwaringin Kec. Pondok Gede  Kota Bekasi</v>
      </c>
      <c r="M70" t="str">
        <f>IF($AS70="","",Config!$B$16)</f>
        <v>ID</v>
      </c>
      <c r="N70" t="str">
        <f t="shared" si="6"/>
        <v/>
      </c>
      <c r="O70" t="str">
        <f>IF($AS70="","",INDEX('TMP Paste'!$K$2:$K$1601,$AS70))</f>
        <v>Kota Bekasi</v>
      </c>
      <c r="P70" t="str">
        <f t="shared" si="7"/>
        <v/>
      </c>
      <c r="Q70">
        <f>IF($AS70="","",INDEX('TMP Paste'!$J$2:$J$1601,$AS70))</f>
        <v>17411</v>
      </c>
      <c r="R70" t="str">
        <f>IF($AS70="","",Config!$B$24)</f>
        <v>Delivery Note wajib ada nama penerima, ditandatangani dan distempel penerima. Jika di label tertera "SP Manual", maka dokumen SP Manual harus diminta ke penerima sesuai dengan jumlah PO yang butuh SP Manual. Apabila ada retur, catat di Delivery Note dan update ke IC</v>
      </c>
      <c r="S70" t="str">
        <f ca="1">IF($AS70="","",TEXT(Config!$B$4,"yyyy-mm-dd"))</f>
        <v>2026-08-18</v>
      </c>
      <c r="T70" t="str">
        <f>IF($AS70="","",Config!$B$17)</f>
        <v>09:00</v>
      </c>
      <c r="U70" t="str">
        <f>IF($AS70="","",Config!$B$18)</f>
        <v>22:00</v>
      </c>
      <c r="V70" t="str">
        <f>IF($AS70="","",Config!$B$19)</f>
        <v>Asia/Jakarta</v>
      </c>
      <c r="W70">
        <f>IF($AS70="","",INDEX('TMP Paste'!$C$2:$C$1601,$AS70))</f>
        <v>4.89</v>
      </c>
      <c r="X70" t="str">
        <f>IF($AS70="","",Config!$B$29)</f>
        <v>FALSE</v>
      </c>
      <c r="Y70" t="str">
        <f>IF($AT70="","",INDEX(Calc!$I$2:$I$1601,$AT70)&amp;" - "&amp;INDEX(Calc!$D$2:$D$1601,$AT70)&amp;" koli")</f>
        <v>260727060943666CtJN1HnS (1), 26072706094366kjDALZWoaI (1) - 2 koli</v>
      </c>
      <c r="Z70" t="str">
        <f>IF($AS70="","",Config!$B$21)</f>
        <v>FALSE</v>
      </c>
      <c r="AA70" t="str">
        <f>IF($AS70="","",Config!$B$22)</f>
        <v>RDO</v>
      </c>
      <c r="AB70">
        <f>IF($AT70="","",INDEX(Calc!$D$2:$D$1601,$AT70))</f>
        <v>2</v>
      </c>
      <c r="AC70" t="str">
        <f>IF($AT70="","",INDEX(Calc!$G$2:$G$1601,$AT70))</f>
        <v>260727060943666CtJN1HnS-01, 26072706094366kjDALZWoaI-02</v>
      </c>
      <c r="AD70">
        <f>IF($AS70="","",Config!$B$23)</f>
        <v>0</v>
      </c>
      <c r="AE70">
        <f>IF($AS70="","",Config!$B$28)</f>
        <v>1</v>
      </c>
      <c r="AF70">
        <f t="shared" si="8"/>
        <v>10</v>
      </c>
      <c r="AG70">
        <f t="shared" si="9"/>
        <v>55.055</v>
      </c>
      <c r="AH70">
        <f t="shared" si="10"/>
        <v>10</v>
      </c>
      <c r="AI70">
        <f>IF($AG70="","",SUMIF($AG$2:$AG70,$AG70,$AH$2:$AH70))</f>
        <v>10</v>
      </c>
      <c r="AJ70" t="str">
        <f>IF('TMP Paste'!$F70="","",IF('TMP Paste'!$B70="",$AJ69,'TMP Paste'!$B70))</f>
        <v>AWB02WHSE</v>
      </c>
      <c r="AK70">
        <f>IF('TMP Paste'!$F70="","",N('TMP Paste'!$G70))</f>
        <v>0</v>
      </c>
      <c r="AL70">
        <f>IF('TMP Paste'!$F70="","",IF('TMP Paste'!$M70="",$AL69,'TMP Paste'!$M70))</f>
        <v>2</v>
      </c>
      <c r="AM70" t="str">
        <f>IF('TMP Paste'!$F70="","",IF('TMP Paste'!$N70="",$AM69,'TMP Paste'!$N70))</f>
        <v/>
      </c>
      <c r="AN70" t="str">
        <f>IF('TMP Paste'!$F70="","",IF('TMP Paste'!$O70="",$AN69,'TMP Paste'!$O70))</f>
        <v/>
      </c>
      <c r="AO70" t="str">
        <f>IF('TMP Paste'!$F70="","",IF('TMP Paste'!$P70="",$AO69,'TMP Paste'!$P70))</f>
        <v/>
      </c>
      <c r="AP70">
        <f t="shared" si="11"/>
        <v>266</v>
      </c>
      <c r="AQ70" t="str">
        <f>IF($AS70="","",TRIM(IF(COUNTIFS(Calc!$B$2:$B$1601,ROW()-1,Calc!$C$2:$C$1601,"&lt;1")&gt;0,"Ada PO tanpa Koli - cek TMP. ","")&amp;IF(OR($AU70="",$AU70&lt;=0),"Volume kosong/0 - dimensi dikosongkan. ","")&amp;IF(AND($AU70&lt;&gt;"",$AU70&gt;=1000000),"Volume &gt;= 1.000.000 cm3 (di luar aturan) - dimensi dikosongkan. ","")&amp;IF(LEN($R70)&gt;500,"R &gt; 500 karakter.","")))</f>
        <v/>
      </c>
      <c r="AS70">
        <f>IFERROR(MATCH(ROW()-1,Calc!$J$2:$J$1601,0),"")</f>
        <v>152</v>
      </c>
      <c r="AT70">
        <f>IFERROR(MATCH(ROW()-1,Calc!$K$2:$K$1601,0),"")</f>
        <v>153</v>
      </c>
      <c r="AU70">
        <f>IF($AS70="","",IFERROR(INDEX('TMP Paste'!$D$2:$D$1601,$AS70)*1000000/$AB70,""))</f>
        <v>5505.5</v>
      </c>
    </row>
    <row r="71" spans="1:47">
      <c r="A71" t="str">
        <f>IF($AS71="","",INDEX('TMP Paste'!$B$2:$B$1601,$AS71))</f>
        <v>AWB02WKBQ</v>
      </c>
      <c r="B71">
        <f>IF($AS71="","",Config!$B$14)</f>
        <v>11398423</v>
      </c>
      <c r="C71" t="str">
        <f>IF($AS71="","",Config!$B$15)</f>
        <v>Corporate B2B Bundle</v>
      </c>
      <c r="D71" t="str">
        <f>IF($AS71="","",INDEX('TMP Paste'!$B$2:$B$1601,$AS71))</f>
        <v>AWB02WKBQ</v>
      </c>
      <c r="E71" t="str">
        <f>IF($AS71="","",Config!$B$27)</f>
        <v>STANDARD</v>
      </c>
      <c r="F71" t="str">
        <f>IF($AS71="","",Config!$B$9)</f>
        <v>PT Teknologi Medika Pratama (SwipeRx) (B2BR)</v>
      </c>
      <c r="G71" t="str">
        <f>IF($AS71="","",Config!$B$10)</f>
        <v>087733785699</v>
      </c>
      <c r="H71" t="str">
        <f>IF($AS71="","",Config!$B$11)</f>
        <v>Jl. Tugu Raya, Tugu, Kec. Cimanggis, Kota Depok, Jawa Barat 16451,KUBIK LOGISTICS - Kompleks Pergudangan,Gudang E1</v>
      </c>
      <c r="I71" t="str">
        <f>IF($AS71="","",Config!$B$16)</f>
        <v>ID</v>
      </c>
      <c r="J71" t="str">
        <f>IF($AS71="","",INDEX('TMP Paste'!$A$2:$A$1601,$AS71))</f>
        <v>Apotek Sahabat Sehat 1455</v>
      </c>
      <c r="K71" t="str">
        <f>IF($AS71="","",INDEX('TMP Paste'!$L$2:$L$1601,$AS71))</f>
        <v>81314967799</v>
      </c>
      <c r="L71" t="str">
        <f>IF($AS71="","",INDEX('TMP Paste'!$I$2:$I$1601,$AS71))</f>
        <v>1455-Jl. Masjid Raya No. 30 RT 001 RW 012 Kelurahan - Jaticempaka Kecamatan - Pondok Gede Kota Bekasi</v>
      </c>
      <c r="M71" t="str">
        <f>IF($AS71="","",Config!$B$16)</f>
        <v>ID</v>
      </c>
      <c r="N71" t="str">
        <f t="shared" si="6"/>
        <v/>
      </c>
      <c r="O71" t="str">
        <f>IF($AS71="","",INDEX('TMP Paste'!$K$2:$K$1601,$AS71))</f>
        <v>Kota Bekasi</v>
      </c>
      <c r="P71" t="str">
        <f t="shared" si="7"/>
        <v/>
      </c>
      <c r="Q71">
        <f>IF($AS71="","",INDEX('TMP Paste'!$J$2:$J$1601,$AS71))</f>
        <v>17411</v>
      </c>
      <c r="R71" t="str">
        <f>IF($AS71="","",Config!$B$24)</f>
        <v>Delivery Note wajib ada nama penerima, ditandatangani dan distempel penerima. Jika di label tertera "SP Manual", maka dokumen SP Manual harus diminta ke penerima sesuai dengan jumlah PO yang butuh SP Manual. Apabila ada retur, catat di Delivery Note dan update ke IC</v>
      </c>
      <c r="S71" t="str">
        <f ca="1">IF($AS71="","",TEXT(Config!$B$4,"yyyy-mm-dd"))</f>
        <v>2026-08-18</v>
      </c>
      <c r="T71" t="str">
        <f>IF($AS71="","",Config!$B$17)</f>
        <v>09:00</v>
      </c>
      <c r="U71" t="str">
        <f>IF($AS71="","",Config!$B$18)</f>
        <v>22:00</v>
      </c>
      <c r="V71" t="str">
        <f>IF($AS71="","",Config!$B$19)</f>
        <v>Asia/Jakarta</v>
      </c>
      <c r="W71">
        <f>IF($AS71="","",INDEX('TMP Paste'!$C$2:$C$1601,$AS71))</f>
        <v>4.64</v>
      </c>
      <c r="X71" t="str">
        <f>IF($AS71="","",Config!$B$29)</f>
        <v>FALSE</v>
      </c>
      <c r="Y71" t="str">
        <f>IF($AT71="","",INDEX(Calc!$I$2:$I$1601,$AT71)&amp;" - "&amp;INDEX(Calc!$D$2:$D$1601,$AT71)&amp;" koli")</f>
        <v>26072723480157PhUIAU3y (1), 26072723480157RREEx7S9s6 (1), 260728023140878ftOWfUr (1), 26072802314087kwZkpxvszF (1), 26072802314087zwbyFhPuk (1) - 5 koli</v>
      </c>
      <c r="Z71" t="str">
        <f>IF($AS71="","",Config!$B$21)</f>
        <v>FALSE</v>
      </c>
      <c r="AA71" t="str">
        <f>IF($AS71="","",Config!$B$22)</f>
        <v>RDO</v>
      </c>
      <c r="AB71">
        <f>IF($AT71="","",INDEX(Calc!$D$2:$D$1601,$AT71))</f>
        <v>5</v>
      </c>
      <c r="AC71" t="str">
        <f>IF($AT71="","",INDEX(Calc!$G$2:$G$1601,$AT71))</f>
        <v>26072723480157PhUIAU3y-01, 26072723480157RREEx7S9s6-02, 260728023140878ftOWfUr-03, 26072802314087kwZkpxvszF-04, 26072802314087zwbyFhPuk-05</v>
      </c>
      <c r="AD71">
        <f>IF($AS71="","",Config!$B$23)</f>
        <v>0</v>
      </c>
      <c r="AE71">
        <f>IF($AS71="","",Config!$B$28)</f>
        <v>1</v>
      </c>
      <c r="AF71">
        <f t="shared" si="8"/>
        <v>10</v>
      </c>
      <c r="AG71">
        <f t="shared" si="9"/>
        <v>28.918</v>
      </c>
      <c r="AH71">
        <f t="shared" si="10"/>
        <v>10</v>
      </c>
      <c r="AI71">
        <f>IF($AG71="","",SUMIF($AG$2:$AG71,$AG71,$AH$2:$AH71))</f>
        <v>10</v>
      </c>
      <c r="AJ71" t="str">
        <f>IF('TMP Paste'!$F71="","",IF('TMP Paste'!$B71="",$AJ70,'TMP Paste'!$B71))</f>
        <v/>
      </c>
      <c r="AK71" t="str">
        <f>IF('TMP Paste'!$F71="","",N('TMP Paste'!$G71))</f>
        <v/>
      </c>
      <c r="AL71" t="str">
        <f>IF('TMP Paste'!$F71="","",IF('TMP Paste'!$M71="",$AL70,'TMP Paste'!$M71))</f>
        <v/>
      </c>
      <c r="AM71" t="str">
        <f>IF('TMP Paste'!$F71="","",IF('TMP Paste'!$N71="",$AM70,'TMP Paste'!$N71))</f>
        <v/>
      </c>
      <c r="AN71" t="str">
        <f>IF('TMP Paste'!$F71="","",IF('TMP Paste'!$O71="",$AN70,'TMP Paste'!$O71))</f>
        <v/>
      </c>
      <c r="AO71" t="str">
        <f>IF('TMP Paste'!$F71="","",IF('TMP Paste'!$P71="",$AO70,'TMP Paste'!$P71))</f>
        <v/>
      </c>
      <c r="AP71">
        <f t="shared" si="11"/>
        <v>266</v>
      </c>
      <c r="AQ71" t="str">
        <f>IF($AS71="","",TRIM(IF(COUNTIFS(Calc!$B$2:$B$1601,ROW()-1,Calc!$C$2:$C$1601,"&lt;1")&gt;0,"Ada PO tanpa Koli - cek TMP. ","")&amp;IF(OR($AU71="",$AU71&lt;=0),"Volume kosong/0 - dimensi dikosongkan. ","")&amp;IF(AND($AU71&lt;&gt;"",$AU71&gt;=1000000),"Volume &gt;= 1.000.000 cm3 (di luar aturan) - dimensi dikosongkan. ","")&amp;IF(LEN($R71)&gt;500,"R &gt; 500 karakter.","")))</f>
        <v/>
      </c>
      <c r="AS71">
        <f>IFERROR(MATCH(ROW()-1,Calc!$J$2:$J$1601,0),"")</f>
        <v>154</v>
      </c>
      <c r="AT71">
        <f>IFERROR(MATCH(ROW()-1,Calc!$K$2:$K$1601,0),"")</f>
        <v>158</v>
      </c>
      <c r="AU71">
        <f>IF($AS71="","",IFERROR(INDEX('TMP Paste'!$D$2:$D$1601,$AS71)*1000000/$AB71,""))</f>
        <v>2891.8</v>
      </c>
    </row>
    <row r="72" spans="1:47">
      <c r="A72" t="str">
        <f>IF($AS72="","",INDEX('TMP Paste'!$B$2:$B$1601,$AS72))</f>
        <v>AWB02WK01</v>
      </c>
      <c r="B72">
        <f>IF($AS72="","",Config!$B$14)</f>
        <v>11398423</v>
      </c>
      <c r="C72" t="str">
        <f>IF($AS72="","",Config!$B$15)</f>
        <v>Corporate B2B Bundle</v>
      </c>
      <c r="D72" t="str">
        <f>IF($AS72="","",INDEX('TMP Paste'!$B$2:$B$1601,$AS72))</f>
        <v>AWB02WK01</v>
      </c>
      <c r="E72" t="str">
        <f>IF($AS72="","",Config!$B$27)</f>
        <v>STANDARD</v>
      </c>
      <c r="F72" t="str">
        <f>IF($AS72="","",Config!$B$9)</f>
        <v>PT Teknologi Medika Pratama (SwipeRx) (B2BR)</v>
      </c>
      <c r="G72" t="str">
        <f>IF($AS72="","",Config!$B$10)</f>
        <v>087733785699</v>
      </c>
      <c r="H72" t="str">
        <f>IF($AS72="","",Config!$B$11)</f>
        <v>Jl. Tugu Raya, Tugu, Kec. Cimanggis, Kota Depok, Jawa Barat 16451,KUBIK LOGISTICS - Kompleks Pergudangan,Gudang E1</v>
      </c>
      <c r="I72" t="str">
        <f>IF($AS72="","",Config!$B$16)</f>
        <v>ID</v>
      </c>
      <c r="J72" t="str">
        <f>IF($AS72="","",INDEX('TMP Paste'!$A$2:$A$1601,$AS72))</f>
        <v>Apotek Sahabat Sehat 2 Jatibening Baru Pondok Gede</v>
      </c>
      <c r="K72" t="str">
        <f>IF($AS72="","",INDEX('TMP Paste'!$L$2:$L$1601,$AS72))</f>
        <v>6281382221003</v>
      </c>
      <c r="L72" t="str">
        <f>IF($AS72="","",INDEX('TMP Paste'!$I$2:$I$1601,$AS72))</f>
        <v>13278-Jl. Pangrango Terusan No. 34 RT. 01 RW. 04,Desa/Kelurahan Jatibening Baru,Kecamatan Pondok Gede,Kota Bekasi,Jawa Barat,17412</v>
      </c>
      <c r="M72" t="str">
        <f>IF($AS72="","",Config!$B$16)</f>
        <v>ID</v>
      </c>
      <c r="N72" t="str">
        <f t="shared" si="6"/>
        <v/>
      </c>
      <c r="O72" t="str">
        <f>IF($AS72="","",INDEX('TMP Paste'!$K$2:$K$1601,$AS72))</f>
        <v>Kota Bekasi</v>
      </c>
      <c r="P72" t="str">
        <f t="shared" si="7"/>
        <v/>
      </c>
      <c r="Q72">
        <f>IF($AS72="","",INDEX('TMP Paste'!$J$2:$J$1601,$AS72))</f>
        <v>17412</v>
      </c>
      <c r="R72" t="str">
        <f>IF($AS72="","",Config!$B$24)</f>
        <v>Delivery Note wajib ada nama penerima, ditandatangani dan distempel penerima. Jika di label tertera "SP Manual", maka dokumen SP Manual harus diminta ke penerima sesuai dengan jumlah PO yang butuh SP Manual. Apabila ada retur, catat di Delivery Note dan update ke IC</v>
      </c>
      <c r="S72" t="str">
        <f ca="1">IF($AS72="","",TEXT(Config!$B$4,"yyyy-mm-dd"))</f>
        <v>2026-08-18</v>
      </c>
      <c r="T72" t="str">
        <f>IF($AS72="","",Config!$B$17)</f>
        <v>09:00</v>
      </c>
      <c r="U72" t="str">
        <f>IF($AS72="","",Config!$B$18)</f>
        <v>22:00</v>
      </c>
      <c r="V72" t="str">
        <f>IF($AS72="","",Config!$B$19)</f>
        <v>Asia/Jakarta</v>
      </c>
      <c r="W72">
        <f>IF($AS72="","",INDEX('TMP Paste'!$C$2:$C$1601,$AS72))</f>
        <v>1.87</v>
      </c>
      <c r="X72" t="str">
        <f>IF($AS72="","",Config!$B$29)</f>
        <v>FALSE</v>
      </c>
      <c r="Y72" t="str">
        <f>IF($AT72="","",INDEX(Calc!$I$2:$I$1601,$AT72)&amp;" - "&amp;INDEX(Calc!$D$2:$D$1601,$AT72)&amp;" koli")</f>
        <v>26072715054749hbqR01qPb (1), 26072715054749ifvHhc4yGN (1), 26072715054749k6pyGONU8p (1) - 3 koli</v>
      </c>
      <c r="Z72" t="str">
        <f>IF($AS72="","",Config!$B$21)</f>
        <v>FALSE</v>
      </c>
      <c r="AA72" t="str">
        <f>IF($AS72="","",Config!$B$22)</f>
        <v>RDO</v>
      </c>
      <c r="AB72">
        <f>IF($AT72="","",INDEX(Calc!$D$2:$D$1601,$AT72))</f>
        <v>3</v>
      </c>
      <c r="AC72" t="str">
        <f>IF($AT72="","",INDEX(Calc!$G$2:$G$1601,$AT72))</f>
        <v>26072715054749hbqR01qPb-01, 26072715054749ifvHhc4yGN-02, 26072715054749k6pyGONU8p-03</v>
      </c>
      <c r="AD72">
        <f>IF($AS72="","",Config!$B$23)</f>
        <v>0</v>
      </c>
      <c r="AE72">
        <f>IF($AS72="","",Config!$B$28)</f>
        <v>1</v>
      </c>
      <c r="AF72">
        <f t="shared" si="8"/>
        <v>10</v>
      </c>
      <c r="AG72">
        <f t="shared" si="9"/>
        <v>21.2366666666667</v>
      </c>
      <c r="AH72">
        <f t="shared" si="10"/>
        <v>10</v>
      </c>
      <c r="AI72">
        <f>IF($AG72="","",SUMIF($AG$2:$AG72,$AG72,$AH$2:$AH72))</f>
        <v>10</v>
      </c>
      <c r="AJ72" t="str">
        <f>IF('TMP Paste'!$F72="","",IF('TMP Paste'!$B72="",$AJ71,'TMP Paste'!$B72))</f>
        <v/>
      </c>
      <c r="AK72" t="str">
        <f>IF('TMP Paste'!$F72="","",N('TMP Paste'!$G72))</f>
        <v/>
      </c>
      <c r="AL72" t="str">
        <f>IF('TMP Paste'!$F72="","",IF('TMP Paste'!$M72="",$AL71,'TMP Paste'!$M72))</f>
        <v/>
      </c>
      <c r="AM72" t="str">
        <f>IF('TMP Paste'!$F72="","",IF('TMP Paste'!$N72="",$AM71,'TMP Paste'!$N72))</f>
        <v/>
      </c>
      <c r="AN72" t="str">
        <f>IF('TMP Paste'!$F72="","",IF('TMP Paste'!$O72="",$AN71,'TMP Paste'!$O72))</f>
        <v/>
      </c>
      <c r="AO72" t="str">
        <f>IF('TMP Paste'!$F72="","",IF('TMP Paste'!$P72="",$AO71,'TMP Paste'!$P72))</f>
        <v/>
      </c>
      <c r="AP72">
        <f t="shared" si="11"/>
        <v>266</v>
      </c>
      <c r="AQ72" t="str">
        <f>IF($AS72="","",TRIM(IF(COUNTIFS(Calc!$B$2:$B$1601,ROW()-1,Calc!$C$2:$C$1601,"&lt;1")&gt;0,"Ada PO tanpa Koli - cek TMP. ","")&amp;IF(OR($AU72="",$AU72&lt;=0),"Volume kosong/0 - dimensi dikosongkan. ","")&amp;IF(AND($AU72&lt;&gt;"",$AU72&gt;=1000000),"Volume &gt;= 1.000.000 cm3 (di luar aturan) - dimensi dikosongkan. ","")&amp;IF(LEN($R72)&gt;500,"R &gt; 500 karakter.","")))</f>
        <v/>
      </c>
      <c r="AS72">
        <f>IFERROR(MATCH(ROW()-1,Calc!$J$2:$J$1601,0),"")</f>
        <v>159</v>
      </c>
      <c r="AT72">
        <f>IFERROR(MATCH(ROW()-1,Calc!$K$2:$K$1601,0),"")</f>
        <v>161</v>
      </c>
      <c r="AU72">
        <f>IF($AS72="","",IFERROR(INDEX('TMP Paste'!$D$2:$D$1601,$AS72)*1000000/$AB72,""))</f>
        <v>2123.66666666667</v>
      </c>
    </row>
    <row r="73" spans="1:47">
      <c r="A73" t="str">
        <f>IF($AS73="","",INDEX('TMP Paste'!$B$2:$B$1601,$AS73))</f>
        <v>AWB02WL89</v>
      </c>
      <c r="B73">
        <f>IF($AS73="","",Config!$B$14)</f>
        <v>11398423</v>
      </c>
      <c r="C73" t="str">
        <f>IF($AS73="","",Config!$B$15)</f>
        <v>Corporate B2B Bundle</v>
      </c>
      <c r="D73" t="str">
        <f>IF($AS73="","",INDEX('TMP Paste'!$B$2:$B$1601,$AS73))</f>
        <v>AWB02WL89</v>
      </c>
      <c r="E73" t="str">
        <f>IF($AS73="","",Config!$B$27)</f>
        <v>STANDARD</v>
      </c>
      <c r="F73" t="str">
        <f>IF($AS73="","",Config!$B$9)</f>
        <v>PT Teknologi Medika Pratama (SwipeRx) (B2BR)</v>
      </c>
      <c r="G73" t="str">
        <f>IF($AS73="","",Config!$B$10)</f>
        <v>087733785699</v>
      </c>
      <c r="H73" t="str">
        <f>IF($AS73="","",Config!$B$11)</f>
        <v>Jl. Tugu Raya, Tugu, Kec. Cimanggis, Kota Depok, Jawa Barat 16451,KUBIK LOGISTICS - Kompleks Pergudangan,Gudang E1</v>
      </c>
      <c r="I73" t="str">
        <f>IF($AS73="","",Config!$B$16)</f>
        <v>ID</v>
      </c>
      <c r="J73" t="str">
        <f>IF($AS73="","",INDEX('TMP Paste'!$A$2:$A$1601,$AS73))</f>
        <v>Apotek Sehat Bersama 4 Jatimakmur Pd Gede</v>
      </c>
      <c r="K73" t="str">
        <f>IF($AS73="","",INDEX('TMP Paste'!$L$2:$L$1601,$AS73))</f>
        <v>6287890053269</v>
      </c>
      <c r="L73" t="str">
        <f>IF($AS73="","",INDEX('TMP Paste'!$I$2:$I$1601,$AS73))</f>
        <v>11809-Jl Raya Jati Makmur, Ruko Pesona Taman Mini Blok B1 no 7 RT 001 RW 23, Desa/Kel. Jatimakmur, Kec. Pondokgede, Kota Bekasi</v>
      </c>
      <c r="M73" t="str">
        <f>IF($AS73="","",Config!$B$16)</f>
        <v>ID</v>
      </c>
      <c r="N73" t="str">
        <f t="shared" si="6"/>
        <v/>
      </c>
      <c r="O73" t="str">
        <f>IF($AS73="","",INDEX('TMP Paste'!$K$2:$K$1601,$AS73))</f>
        <v>Kota Bekasi</v>
      </c>
      <c r="P73" t="str">
        <f t="shared" si="7"/>
        <v/>
      </c>
      <c r="Q73">
        <f>IF($AS73="","",INDEX('TMP Paste'!$J$2:$J$1601,$AS73))</f>
        <v>17413</v>
      </c>
      <c r="R73" t="str">
        <f>IF($AS73="","",Config!$B$24)</f>
        <v>Delivery Note wajib ada nama penerima, ditandatangani dan distempel penerima. Jika di label tertera "SP Manual", maka dokumen SP Manual harus diminta ke penerima sesuai dengan jumlah PO yang butuh SP Manual. Apabila ada retur, catat di Delivery Note dan update ke IC</v>
      </c>
      <c r="S73" t="str">
        <f ca="1">IF($AS73="","",TEXT(Config!$B$4,"yyyy-mm-dd"))</f>
        <v>2026-08-18</v>
      </c>
      <c r="T73" t="str">
        <f>IF($AS73="","",Config!$B$17)</f>
        <v>09:00</v>
      </c>
      <c r="U73" t="str">
        <f>IF($AS73="","",Config!$B$18)</f>
        <v>22:00</v>
      </c>
      <c r="V73" t="str">
        <f>IF($AS73="","",Config!$B$19)</f>
        <v>Asia/Jakarta</v>
      </c>
      <c r="W73">
        <f>IF($AS73="","",INDEX('TMP Paste'!$C$2:$C$1601,$AS73))</f>
        <v>2.7</v>
      </c>
      <c r="X73" t="str">
        <f>IF($AS73="","",Config!$B$29)</f>
        <v>FALSE</v>
      </c>
      <c r="Y73" t="str">
        <f>IF($AT73="","",INDEX(Calc!$I$2:$I$1601,$AT73)&amp;" - "&amp;INDEX(Calc!$D$2:$D$1601,$AT73)&amp;" koli")</f>
        <v>26072802244846fYDrmdJ5L (1), 26072802244846ogMprKD4XM (1) - 2 koli</v>
      </c>
      <c r="Z73" t="str">
        <f>IF($AS73="","",Config!$B$21)</f>
        <v>FALSE</v>
      </c>
      <c r="AA73" t="str">
        <f>IF($AS73="","",Config!$B$22)</f>
        <v>RDO</v>
      </c>
      <c r="AB73">
        <f>IF($AT73="","",INDEX(Calc!$D$2:$D$1601,$AT73))</f>
        <v>2</v>
      </c>
      <c r="AC73" t="str">
        <f>IF($AT73="","",INDEX(Calc!$G$2:$G$1601,$AT73))</f>
        <v>26072802244846fYDrmdJ5L-01, 26072802244846ogMprKD4XM-02</v>
      </c>
      <c r="AD73">
        <f>IF($AS73="","",Config!$B$23)</f>
        <v>0</v>
      </c>
      <c r="AE73">
        <f>IF($AS73="","",Config!$B$28)</f>
        <v>1</v>
      </c>
      <c r="AF73">
        <f t="shared" si="8"/>
        <v>10</v>
      </c>
      <c r="AG73">
        <f t="shared" si="9"/>
        <v>44.99</v>
      </c>
      <c r="AH73">
        <f t="shared" si="10"/>
        <v>10</v>
      </c>
      <c r="AI73">
        <f>IF($AG73="","",SUMIF($AG$2:$AG73,$AG73,$AH$2:$AH73))</f>
        <v>10</v>
      </c>
      <c r="AJ73" t="str">
        <f>IF('TMP Paste'!$F73="","",IF('TMP Paste'!$B73="",$AJ72,'TMP Paste'!$B73))</f>
        <v>AWB02WHP0</v>
      </c>
      <c r="AK73">
        <f>IF('TMP Paste'!$F73="","",N('TMP Paste'!$G73))</f>
        <v>0</v>
      </c>
      <c r="AL73">
        <f>IF('TMP Paste'!$F73="","",IF('TMP Paste'!$M73="",$AL72,'TMP Paste'!$M73))</f>
        <v>1</v>
      </c>
      <c r="AM73" t="str">
        <f>IF('TMP Paste'!$F73="","",IF('TMP Paste'!$N73="",$AM72,'TMP Paste'!$N73))</f>
        <v/>
      </c>
      <c r="AN73" t="str">
        <f>IF('TMP Paste'!$F73="","",IF('TMP Paste'!$O73="",$AN72,'TMP Paste'!$O73))</f>
        <v/>
      </c>
      <c r="AO73" t="str">
        <f>IF('TMP Paste'!$F73="","",IF('TMP Paste'!$P73="",$AO72,'TMP Paste'!$P73))</f>
        <v/>
      </c>
      <c r="AP73">
        <f t="shared" si="11"/>
        <v>266</v>
      </c>
      <c r="AQ73" t="str">
        <f>IF($AS73="","",TRIM(IF(COUNTIFS(Calc!$B$2:$B$1601,ROW()-1,Calc!$C$2:$C$1601,"&lt;1")&gt;0,"Ada PO tanpa Koli - cek TMP. ","")&amp;IF(OR($AU73="",$AU73&lt;=0),"Volume kosong/0 - dimensi dikosongkan. ","")&amp;IF(AND($AU73&lt;&gt;"",$AU73&gt;=1000000),"Volume &gt;= 1.000.000 cm3 (di luar aturan) - dimensi dikosongkan. ","")&amp;IF(LEN($R73)&gt;500,"R &gt; 500 karakter.","")))</f>
        <v/>
      </c>
      <c r="AS73">
        <f>IFERROR(MATCH(ROW()-1,Calc!$J$2:$J$1601,0),"")</f>
        <v>162</v>
      </c>
      <c r="AT73">
        <f>IFERROR(MATCH(ROW()-1,Calc!$K$2:$K$1601,0),"")</f>
        <v>163</v>
      </c>
      <c r="AU73">
        <f>IF($AS73="","",IFERROR(INDEX('TMP Paste'!$D$2:$D$1601,$AS73)*1000000/$AB73,""))</f>
        <v>4499</v>
      </c>
    </row>
    <row r="74" spans="1:47">
      <c r="A74" t="str">
        <f>IF($AS74="","",INDEX('TMP Paste'!$B$2:$B$1601,$AS74))</f>
        <v>AWB02WM7S</v>
      </c>
      <c r="B74">
        <f>IF($AS74="","",Config!$B$14)</f>
        <v>11398423</v>
      </c>
      <c r="C74" t="str">
        <f>IF($AS74="","",Config!$B$15)</f>
        <v>Corporate B2B Bundle</v>
      </c>
      <c r="D74" t="str">
        <f>IF($AS74="","",INDEX('TMP Paste'!$B$2:$B$1601,$AS74))</f>
        <v>AWB02WM7S</v>
      </c>
      <c r="E74" t="str">
        <f>IF($AS74="","",Config!$B$27)</f>
        <v>STANDARD</v>
      </c>
      <c r="F74" t="str">
        <f>IF($AS74="","",Config!$B$9)</f>
        <v>PT Teknologi Medika Pratama (SwipeRx) (B2BR)</v>
      </c>
      <c r="G74" t="str">
        <f>IF($AS74="","",Config!$B$10)</f>
        <v>087733785699</v>
      </c>
      <c r="H74" t="str">
        <f>IF($AS74="","",Config!$B$11)</f>
        <v>Jl. Tugu Raya, Tugu, Kec. Cimanggis, Kota Depok, Jawa Barat 16451,KUBIK LOGISTICS - Kompleks Pergudangan,Gudang E1</v>
      </c>
      <c r="I74" t="str">
        <f>IF($AS74="","",Config!$B$16)</f>
        <v>ID</v>
      </c>
      <c r="J74" t="str">
        <f>IF($AS74="","",INDEX('TMP Paste'!$A$2:$A$1601,$AS74))</f>
        <v>Apotek Sehat Milenial Sukamaju Baru Tapos</v>
      </c>
      <c r="K74" t="str">
        <f>IF($AS74="","",INDEX('TMP Paste'!$L$2:$L$1601,$AS74))</f>
        <v>6289620265220</v>
      </c>
      <c r="L74" t="str">
        <f>IF($AS74="","",INDEX('TMP Paste'!$I$2:$I$1601,$AS74))</f>
        <v>13267-Ruko De���Khirani Village 2 T5, Kp. Sindangkarsa RT. 004 RW.006,Desa/Kelurahan Sukamaju Baru,Kecamatan Tapos,Kota Depok,Jawa Barat,</v>
      </c>
      <c r="M74" t="str">
        <f>IF($AS74="","",Config!$B$16)</f>
        <v>ID</v>
      </c>
      <c r="N74" t="str">
        <f t="shared" si="6"/>
        <v/>
      </c>
      <c r="O74" t="str">
        <f>IF($AS74="","",INDEX('TMP Paste'!$K$2:$K$1601,$AS74))</f>
        <v>Kota Depok</v>
      </c>
      <c r="P74" t="str">
        <f t="shared" si="7"/>
        <v/>
      </c>
      <c r="Q74">
        <f>IF($AS74="","",INDEX('TMP Paste'!$J$2:$J$1601,$AS74))</f>
        <v>16455</v>
      </c>
      <c r="R74" t="str">
        <f>IF($AS74="","",Config!$B$24)</f>
        <v>Delivery Note wajib ada nama penerima, ditandatangani dan distempel penerima. Jika di label tertera "SP Manual", maka dokumen SP Manual harus diminta ke penerima sesuai dengan jumlah PO yang butuh SP Manual. Apabila ada retur, catat di Delivery Note dan update ke IC</v>
      </c>
      <c r="S74" t="str">
        <f ca="1">IF($AS74="","",TEXT(Config!$B$4,"yyyy-mm-dd"))</f>
        <v>2026-08-18</v>
      </c>
      <c r="T74" t="str">
        <f>IF($AS74="","",Config!$B$17)</f>
        <v>09:00</v>
      </c>
      <c r="U74" t="str">
        <f>IF($AS74="","",Config!$B$18)</f>
        <v>22:00</v>
      </c>
      <c r="V74" t="str">
        <f>IF($AS74="","",Config!$B$19)</f>
        <v>Asia/Jakarta</v>
      </c>
      <c r="W74">
        <f>IF($AS74="","",INDEX('TMP Paste'!$C$2:$C$1601,$AS74))</f>
        <v>1.84</v>
      </c>
      <c r="X74" t="str">
        <f>IF($AS74="","",Config!$B$29)</f>
        <v>FALSE</v>
      </c>
      <c r="Y74" t="str">
        <f>IF($AT74="","",INDEX(Calc!$I$2:$I$1601,$AT74)&amp;" - "&amp;INDEX(Calc!$D$2:$D$1601,$AT74)&amp;" koli")</f>
        <v>26072803404718UjJPImcmp (1) - 1 koli</v>
      </c>
      <c r="Z74" t="str">
        <f>IF($AS74="","",Config!$B$21)</f>
        <v>FALSE</v>
      </c>
      <c r="AA74" t="str">
        <f>IF($AS74="","",Config!$B$22)</f>
        <v>RDO</v>
      </c>
      <c r="AB74">
        <f>IF($AT74="","",INDEX(Calc!$D$2:$D$1601,$AT74))</f>
        <v>1</v>
      </c>
      <c r="AC74" t="str">
        <f>IF($AT74="","",INDEX(Calc!$G$2:$G$1601,$AT74))</f>
        <v>26072803404718UjJPImcmp-01</v>
      </c>
      <c r="AD74">
        <f>IF($AS74="","",Config!$B$23)</f>
        <v>0</v>
      </c>
      <c r="AE74">
        <f>IF($AS74="","",Config!$B$28)</f>
        <v>1</v>
      </c>
      <c r="AF74">
        <f t="shared" si="8"/>
        <v>10</v>
      </c>
      <c r="AG74">
        <f t="shared" si="9"/>
        <v>43.9</v>
      </c>
      <c r="AH74">
        <f t="shared" si="10"/>
        <v>10</v>
      </c>
      <c r="AI74">
        <f>IF($AG74="","",SUMIF($AG$2:$AG74,$AG74,$AH$2:$AH74))</f>
        <v>10</v>
      </c>
      <c r="AJ74" t="str">
        <f>IF('TMP Paste'!$F74="","",IF('TMP Paste'!$B74="",$AJ73,'TMP Paste'!$B74))</f>
        <v>AWB02WLRF</v>
      </c>
      <c r="AK74">
        <f>IF('TMP Paste'!$F74="","",N('TMP Paste'!$G74))</f>
        <v>0</v>
      </c>
      <c r="AL74">
        <f>IF('TMP Paste'!$F74="","",IF('TMP Paste'!$M74="",$AL73,'TMP Paste'!$M74))</f>
        <v>1</v>
      </c>
      <c r="AM74" t="str">
        <f>IF('TMP Paste'!$F74="","",IF('TMP Paste'!$N74="",$AM73,'TMP Paste'!$N74))</f>
        <v/>
      </c>
      <c r="AN74" t="str">
        <f>IF('TMP Paste'!$F74="","",IF('TMP Paste'!$O74="",$AN73,'TMP Paste'!$O74))</f>
        <v/>
      </c>
      <c r="AO74" t="str">
        <f>IF('TMP Paste'!$F74="","",IF('TMP Paste'!$P74="",$AO73,'TMP Paste'!$P74))</f>
        <v/>
      </c>
      <c r="AP74">
        <f t="shared" si="11"/>
        <v>266</v>
      </c>
      <c r="AQ74" t="str">
        <f>IF($AS74="","",TRIM(IF(COUNTIFS(Calc!$B$2:$B$1601,ROW()-1,Calc!$C$2:$C$1601,"&lt;1")&gt;0,"Ada PO tanpa Koli - cek TMP. ","")&amp;IF(OR($AU74="",$AU74&lt;=0),"Volume kosong/0 - dimensi dikosongkan. ","")&amp;IF(AND($AU74&lt;&gt;"",$AU74&gt;=1000000),"Volume &gt;= 1.000.000 cm3 (di luar aturan) - dimensi dikosongkan. ","")&amp;IF(LEN($R74)&gt;500,"R &gt; 500 karakter.","")))</f>
        <v/>
      </c>
      <c r="AS74">
        <f>IFERROR(MATCH(ROW()-1,Calc!$J$2:$J$1601,0),"")</f>
        <v>164</v>
      </c>
      <c r="AT74">
        <f>IFERROR(MATCH(ROW()-1,Calc!$K$2:$K$1601,0),"")</f>
        <v>164</v>
      </c>
      <c r="AU74">
        <f>IF($AS74="","",IFERROR(INDEX('TMP Paste'!$D$2:$D$1601,$AS74)*1000000/$AB74,""))</f>
        <v>4390</v>
      </c>
    </row>
    <row r="75" spans="1:47">
      <c r="A75" t="str">
        <f>IF($AS75="","",INDEX('TMP Paste'!$B$2:$B$1601,$AS75))</f>
        <v>AWB02WJYG</v>
      </c>
      <c r="B75">
        <f>IF($AS75="","",Config!$B$14)</f>
        <v>11398423</v>
      </c>
      <c r="C75" t="str">
        <f>IF($AS75="","",Config!$B$15)</f>
        <v>Corporate B2B Bundle</v>
      </c>
      <c r="D75" t="str">
        <f>IF($AS75="","",INDEX('TMP Paste'!$B$2:$B$1601,$AS75))</f>
        <v>AWB02WJYG</v>
      </c>
      <c r="E75" t="str">
        <f>IF($AS75="","",Config!$B$27)</f>
        <v>STANDARD</v>
      </c>
      <c r="F75" t="str">
        <f>IF($AS75="","",Config!$B$9)</f>
        <v>PT Teknologi Medika Pratama (SwipeRx) (B2BR)</v>
      </c>
      <c r="G75" t="str">
        <f>IF($AS75="","",Config!$B$10)</f>
        <v>087733785699</v>
      </c>
      <c r="H75" t="str">
        <f>IF($AS75="","",Config!$B$11)</f>
        <v>Jl. Tugu Raya, Tugu, Kec. Cimanggis, Kota Depok, Jawa Barat 16451,KUBIK LOGISTICS - Kompleks Pergudangan,Gudang E1</v>
      </c>
      <c r="I75" t="str">
        <f>IF($AS75="","",Config!$B$16)</f>
        <v>ID</v>
      </c>
      <c r="J75" t="str">
        <f>IF($AS75="","",INDEX('TMP Paste'!$A$2:$A$1601,$AS75))</f>
        <v>Apotek Sejahtera I</v>
      </c>
      <c r="K75" t="str">
        <f>IF($AS75="","",INDEX('TMP Paste'!$L$2:$L$1601,$AS75))</f>
        <v>628990900977</v>
      </c>
      <c r="L75" t="str">
        <f>IF($AS75="","",INDEX('TMP Paste'!$I$2:$I$1601,$AS75))</f>
        <v>778-Jalan Kemang Raya No.1 RT.002 RW.005 Kelurahan Cilodong, Kecamtan Cilodong, Kota Depok 16414</v>
      </c>
      <c r="M75" t="str">
        <f>IF($AS75="","",Config!$B$16)</f>
        <v>ID</v>
      </c>
      <c r="N75" t="str">
        <f t="shared" si="6"/>
        <v/>
      </c>
      <c r="O75" t="str">
        <f>IF($AS75="","",INDEX('TMP Paste'!$K$2:$K$1601,$AS75))</f>
        <v>Kota Depok</v>
      </c>
      <c r="P75" t="str">
        <f t="shared" si="7"/>
        <v/>
      </c>
      <c r="Q75">
        <f>IF($AS75="","",INDEX('TMP Paste'!$J$2:$J$1601,$AS75))</f>
        <v>16414</v>
      </c>
      <c r="R75" t="str">
        <f>IF($AS75="","",Config!$B$24)</f>
        <v>Delivery Note wajib ada nama penerima, ditandatangani dan distempel penerima. Jika di label tertera "SP Manual", maka dokumen SP Manual harus diminta ke penerima sesuai dengan jumlah PO yang butuh SP Manual. Apabila ada retur, catat di Delivery Note dan update ke IC</v>
      </c>
      <c r="S75" t="str">
        <f ca="1">IF($AS75="","",TEXT(Config!$B$4,"yyyy-mm-dd"))</f>
        <v>2026-08-18</v>
      </c>
      <c r="T75" t="str">
        <f>IF($AS75="","",Config!$B$17)</f>
        <v>09:00</v>
      </c>
      <c r="U75" t="str">
        <f>IF($AS75="","",Config!$B$18)</f>
        <v>22:00</v>
      </c>
      <c r="V75" t="str">
        <f>IF($AS75="","",Config!$B$19)</f>
        <v>Asia/Jakarta</v>
      </c>
      <c r="W75">
        <f>IF($AS75="","",INDEX('TMP Paste'!$C$2:$C$1601,$AS75))</f>
        <v>1.88</v>
      </c>
      <c r="X75" t="str">
        <f>IF($AS75="","",Config!$B$29)</f>
        <v>FALSE</v>
      </c>
      <c r="Y75" t="str">
        <f>IF($AT75="","",INDEX(Calc!$I$2:$I$1601,$AT75)&amp;" - "&amp;INDEX(Calc!$D$2:$D$1601,$AT75)&amp;" koli")</f>
        <v>260727143936313co7MpEDE (1) - 1 koli</v>
      </c>
      <c r="Z75" t="str">
        <f>IF($AS75="","",Config!$B$21)</f>
        <v>FALSE</v>
      </c>
      <c r="AA75" t="str">
        <f>IF($AS75="","",Config!$B$22)</f>
        <v>RDO</v>
      </c>
      <c r="AB75">
        <f>IF($AT75="","",INDEX(Calc!$D$2:$D$1601,$AT75))</f>
        <v>1</v>
      </c>
      <c r="AC75" t="str">
        <f>IF($AT75="","",INDEX(Calc!$G$2:$G$1601,$AT75))</f>
        <v>260727143936313co7MpEDE-01</v>
      </c>
      <c r="AD75">
        <f>IF($AS75="","",Config!$B$23)</f>
        <v>0</v>
      </c>
      <c r="AE75">
        <f>IF($AS75="","",Config!$B$28)</f>
        <v>1</v>
      </c>
      <c r="AF75">
        <f t="shared" si="8"/>
        <v>10</v>
      </c>
      <c r="AG75">
        <f t="shared" si="9"/>
        <v>48.06</v>
      </c>
      <c r="AH75">
        <f t="shared" si="10"/>
        <v>10</v>
      </c>
      <c r="AI75">
        <f>IF($AG75="","",SUMIF($AG$2:$AG75,$AG75,$AH$2:$AH75))</f>
        <v>10</v>
      </c>
      <c r="AJ75" t="str">
        <f>IF('TMP Paste'!$F75="","",IF('TMP Paste'!$B75="",$AJ74,'TMP Paste'!$B75))</f>
        <v/>
      </c>
      <c r="AK75" t="str">
        <f>IF('TMP Paste'!$F75="","",N('TMP Paste'!$G75))</f>
        <v/>
      </c>
      <c r="AL75" t="str">
        <f>IF('TMP Paste'!$F75="","",IF('TMP Paste'!$M75="",$AL74,'TMP Paste'!$M75))</f>
        <v/>
      </c>
      <c r="AM75" t="str">
        <f>IF('TMP Paste'!$F75="","",IF('TMP Paste'!$N75="",$AM74,'TMP Paste'!$N75))</f>
        <v/>
      </c>
      <c r="AN75" t="str">
        <f>IF('TMP Paste'!$F75="","",IF('TMP Paste'!$O75="",$AN74,'TMP Paste'!$O75))</f>
        <v/>
      </c>
      <c r="AO75" t="str">
        <f>IF('TMP Paste'!$F75="","",IF('TMP Paste'!$P75="",$AO74,'TMP Paste'!$P75))</f>
        <v/>
      </c>
      <c r="AP75">
        <f t="shared" si="11"/>
        <v>266</v>
      </c>
      <c r="AQ75" t="str">
        <f>IF($AS75="","",TRIM(IF(COUNTIFS(Calc!$B$2:$B$1601,ROW()-1,Calc!$C$2:$C$1601,"&lt;1")&gt;0,"Ada PO tanpa Koli - cek TMP. ","")&amp;IF(OR($AU75="",$AU75&lt;=0),"Volume kosong/0 - dimensi dikosongkan. ","")&amp;IF(AND($AU75&lt;&gt;"",$AU75&gt;=1000000),"Volume &gt;= 1.000.000 cm3 (di luar aturan) - dimensi dikosongkan. ","")&amp;IF(LEN($R75)&gt;500,"R &gt; 500 karakter.","")))</f>
        <v/>
      </c>
      <c r="AS75">
        <f>IFERROR(MATCH(ROW()-1,Calc!$J$2:$J$1601,0),"")</f>
        <v>165</v>
      </c>
      <c r="AT75">
        <f>IFERROR(MATCH(ROW()-1,Calc!$K$2:$K$1601,0),"")</f>
        <v>165</v>
      </c>
      <c r="AU75">
        <f>IF($AS75="","",IFERROR(INDEX('TMP Paste'!$D$2:$D$1601,$AS75)*1000000/$AB75,""))</f>
        <v>4806</v>
      </c>
    </row>
    <row r="76" spans="1:47">
      <c r="A76" t="str">
        <f>IF($AS76="","",INDEX('TMP Paste'!$B$2:$B$1601,$AS76))</f>
        <v>AWB02WHP7</v>
      </c>
      <c r="B76">
        <f>IF($AS76="","",Config!$B$14)</f>
        <v>11398423</v>
      </c>
      <c r="C76" t="str">
        <f>IF($AS76="","",Config!$B$15)</f>
        <v>Corporate B2B Bundle</v>
      </c>
      <c r="D76" t="str">
        <f>IF($AS76="","",INDEX('TMP Paste'!$B$2:$B$1601,$AS76))</f>
        <v>AWB02WHP7</v>
      </c>
      <c r="E76" t="str">
        <f>IF($AS76="","",Config!$B$27)</f>
        <v>STANDARD</v>
      </c>
      <c r="F76" t="str">
        <f>IF($AS76="","",Config!$B$9)</f>
        <v>PT Teknologi Medika Pratama (SwipeRx) (B2BR)</v>
      </c>
      <c r="G76" t="str">
        <f>IF($AS76="","",Config!$B$10)</f>
        <v>087733785699</v>
      </c>
      <c r="H76" t="str">
        <f>IF($AS76="","",Config!$B$11)</f>
        <v>Jl. Tugu Raya, Tugu, Kec. Cimanggis, Kota Depok, Jawa Barat 16451,KUBIK LOGISTICS - Kompleks Pergudangan,Gudang E1</v>
      </c>
      <c r="I76" t="str">
        <f>IF($AS76="","",Config!$B$16)</f>
        <v>ID</v>
      </c>
      <c r="J76" t="str">
        <f>IF($AS76="","",INDEX('TMP Paste'!$A$2:$A$1601,$AS76))</f>
        <v>Apotek Seruni</v>
      </c>
      <c r="K76" t="str">
        <f>IF($AS76="","",INDEX('TMP Paste'!$L$2:$L$1601,$AS76))</f>
        <v>218734133</v>
      </c>
      <c r="L76" t="str">
        <f>IF($AS76="","",INDEX('TMP Paste'!$I$2:$I$1601,$AS76))</f>
        <v>642-Jalan Radar Auri No. 87, Kelurahan Mekarsari, Kecamatan Cimanggis, Kota Depok 16452</v>
      </c>
      <c r="M76" t="str">
        <f>IF($AS76="","",Config!$B$16)</f>
        <v>ID</v>
      </c>
      <c r="N76" t="str">
        <f t="shared" si="6"/>
        <v/>
      </c>
      <c r="O76" t="str">
        <f>IF($AS76="","",INDEX('TMP Paste'!$K$2:$K$1601,$AS76))</f>
        <v>Kota Depok</v>
      </c>
      <c r="P76" t="str">
        <f t="shared" si="7"/>
        <v/>
      </c>
      <c r="Q76">
        <f>IF($AS76="","",INDEX('TMP Paste'!$J$2:$J$1601,$AS76))</f>
        <v>16452</v>
      </c>
      <c r="R76" t="str">
        <f>IF($AS76="","",Config!$B$24)</f>
        <v>Delivery Note wajib ada nama penerima, ditandatangani dan distempel penerima. Jika di label tertera "SP Manual", maka dokumen SP Manual harus diminta ke penerima sesuai dengan jumlah PO yang butuh SP Manual. Apabila ada retur, catat di Delivery Note dan update ke IC</v>
      </c>
      <c r="S76" t="str">
        <f ca="1">IF($AS76="","",TEXT(Config!$B$4,"yyyy-mm-dd"))</f>
        <v>2026-08-18</v>
      </c>
      <c r="T76" t="str">
        <f>IF($AS76="","",Config!$B$17)</f>
        <v>09:00</v>
      </c>
      <c r="U76" t="str">
        <f>IF($AS76="","",Config!$B$18)</f>
        <v>22:00</v>
      </c>
      <c r="V76" t="str">
        <f>IF($AS76="","",Config!$B$19)</f>
        <v>Asia/Jakarta</v>
      </c>
      <c r="W76">
        <f>IF($AS76="","",INDEX('TMP Paste'!$C$2:$C$1601,$AS76))</f>
        <v>6.17</v>
      </c>
      <c r="X76" t="str">
        <f>IF($AS76="","",Config!$B$29)</f>
        <v>FALSE</v>
      </c>
      <c r="Y76" t="str">
        <f>IF($AT76="","",INDEX(Calc!$I$2:$I$1601,$AT76)&amp;" - "&amp;INDEX(Calc!$D$2:$D$1601,$AT76)&amp;" koli")</f>
        <v>2607270439482393zNao8sB (1), 26072704394823Gm6I9wq6hr (1), 26072704394824Ml6CU7knS (1), 260727235321734bAl7IjuPr (1), 26072723532173Xs4qp2z5Kd (1) - 5 koli</v>
      </c>
      <c r="Z76" t="str">
        <f>IF($AS76="","",Config!$B$21)</f>
        <v>FALSE</v>
      </c>
      <c r="AA76" t="str">
        <f>IF($AS76="","",Config!$B$22)</f>
        <v>RDO</v>
      </c>
      <c r="AB76">
        <f>IF($AT76="","",INDEX(Calc!$D$2:$D$1601,$AT76))</f>
        <v>5</v>
      </c>
      <c r="AC76" t="str">
        <f>IF($AT76="","",INDEX(Calc!$G$2:$G$1601,$AT76))</f>
        <v>2607270439482393zNao8sB-01, 26072704394823Gm6I9wq6hr-02, 26072704394824Ml6CU7knS-03, 260727235321734bAl7IjuPr-04, 26072723532173Xs4qp2z5Kd-05</v>
      </c>
      <c r="AD76">
        <f>IF($AS76="","",Config!$B$23)</f>
        <v>0</v>
      </c>
      <c r="AE76">
        <f>IF($AS76="","",Config!$B$28)</f>
        <v>1</v>
      </c>
      <c r="AF76">
        <f t="shared" si="8"/>
        <v>10</v>
      </c>
      <c r="AG76">
        <f t="shared" si="9"/>
        <v>62.446</v>
      </c>
      <c r="AH76">
        <f t="shared" si="10"/>
        <v>10</v>
      </c>
      <c r="AI76">
        <f>IF($AG76="","",SUMIF($AG$2:$AG76,$AG76,$AH$2:$AH76))</f>
        <v>10</v>
      </c>
      <c r="AJ76" t="str">
        <f>IF('TMP Paste'!$F76="","",IF('TMP Paste'!$B76="",$AJ75,'TMP Paste'!$B76))</f>
        <v/>
      </c>
      <c r="AK76" t="str">
        <f>IF('TMP Paste'!$F76="","",N('TMP Paste'!$G76))</f>
        <v/>
      </c>
      <c r="AL76" t="str">
        <f>IF('TMP Paste'!$F76="","",IF('TMP Paste'!$M76="",$AL75,'TMP Paste'!$M76))</f>
        <v/>
      </c>
      <c r="AM76" t="str">
        <f>IF('TMP Paste'!$F76="","",IF('TMP Paste'!$N76="",$AM75,'TMP Paste'!$N76))</f>
        <v/>
      </c>
      <c r="AN76" t="str">
        <f>IF('TMP Paste'!$F76="","",IF('TMP Paste'!$O76="",$AN75,'TMP Paste'!$O76))</f>
        <v/>
      </c>
      <c r="AO76" t="str">
        <f>IF('TMP Paste'!$F76="","",IF('TMP Paste'!$P76="",$AO75,'TMP Paste'!$P76))</f>
        <v/>
      </c>
      <c r="AP76">
        <f t="shared" si="11"/>
        <v>266</v>
      </c>
      <c r="AQ76" t="str">
        <f>IF($AS76="","",TRIM(IF(COUNTIFS(Calc!$B$2:$B$1601,ROW()-1,Calc!$C$2:$C$1601,"&lt;1")&gt;0,"Ada PO tanpa Koli - cek TMP. ","")&amp;IF(OR($AU76="",$AU76&lt;=0),"Volume kosong/0 - dimensi dikosongkan. ","")&amp;IF(AND($AU76&lt;&gt;"",$AU76&gt;=1000000),"Volume &gt;= 1.000.000 cm3 (di luar aturan) - dimensi dikosongkan. ","")&amp;IF(LEN($R76)&gt;500,"R &gt; 500 karakter.","")))</f>
        <v/>
      </c>
      <c r="AS76">
        <f>IFERROR(MATCH(ROW()-1,Calc!$J$2:$J$1601,0),"")</f>
        <v>166</v>
      </c>
      <c r="AT76">
        <f>IFERROR(MATCH(ROW()-1,Calc!$K$2:$K$1601,0),"")</f>
        <v>170</v>
      </c>
      <c r="AU76">
        <f>IF($AS76="","",IFERROR(INDEX('TMP Paste'!$D$2:$D$1601,$AS76)*1000000/$AB76,""))</f>
        <v>6244.6</v>
      </c>
    </row>
    <row r="77" spans="1:47">
      <c r="A77" t="str">
        <f>IF($AS77="","",INDEX('TMP Paste'!$B$2:$B$1601,$AS77))</f>
        <v>AWB02WKY8</v>
      </c>
      <c r="B77">
        <f>IF($AS77="","",Config!$B$14)</f>
        <v>11398423</v>
      </c>
      <c r="C77" t="str">
        <f>IF($AS77="","",Config!$B$15)</f>
        <v>Corporate B2B Bundle</v>
      </c>
      <c r="D77" t="str">
        <f>IF($AS77="","",INDEX('TMP Paste'!$B$2:$B$1601,$AS77))</f>
        <v>AWB02WKY8</v>
      </c>
      <c r="E77" t="str">
        <f>IF($AS77="","",Config!$B$27)</f>
        <v>STANDARD</v>
      </c>
      <c r="F77" t="str">
        <f>IF($AS77="","",Config!$B$9)</f>
        <v>PT Teknologi Medika Pratama (SwipeRx) (B2BR)</v>
      </c>
      <c r="G77" t="str">
        <f>IF($AS77="","",Config!$B$10)</f>
        <v>087733785699</v>
      </c>
      <c r="H77" t="str">
        <f>IF($AS77="","",Config!$B$11)</f>
        <v>Jl. Tugu Raya, Tugu, Kec. Cimanggis, Kota Depok, Jawa Barat 16451,KUBIK LOGISTICS - Kompleks Pergudangan,Gudang E1</v>
      </c>
      <c r="I77" t="str">
        <f>IF($AS77="","",Config!$B$16)</f>
        <v>ID</v>
      </c>
      <c r="J77" t="str">
        <f>IF($AS77="","",INDEX('TMP Paste'!$A$2:$A$1601,$AS77))</f>
        <v>Apotek Shakira Sehat Bersama Jaticempaka Pondok Gede</v>
      </c>
      <c r="K77" t="str">
        <f>IF($AS77="","",INDEX('TMP Paste'!$L$2:$L$1601,$AS77))</f>
        <v>6285216893936</v>
      </c>
      <c r="L77" t="str">
        <f>IF($AS77="","",INDEX('TMP Paste'!$I$2:$I$1601,$AS77))</f>
        <v>10824-Jl. MASJID No.18, Desa/Kelurahan Jaticempaka, Kec. Pondokgede, Kota Bekasi, Provinsi Jawa Barat, 17416</v>
      </c>
      <c r="M77" t="str">
        <f>IF($AS77="","",Config!$B$16)</f>
        <v>ID</v>
      </c>
      <c r="N77" t="str">
        <f t="shared" si="6"/>
        <v/>
      </c>
      <c r="O77" t="str">
        <f>IF($AS77="","",INDEX('TMP Paste'!$K$2:$K$1601,$AS77))</f>
        <v>Kota Bekasi</v>
      </c>
      <c r="P77" t="str">
        <f t="shared" si="7"/>
        <v/>
      </c>
      <c r="Q77">
        <f>IF($AS77="","",INDEX('TMP Paste'!$J$2:$J$1601,$AS77))</f>
        <v>17416</v>
      </c>
      <c r="R77" t="str">
        <f>IF($AS77="","",Config!$B$24)</f>
        <v>Delivery Note wajib ada nama penerima, ditandatangani dan distempel penerima. Jika di label tertera "SP Manual", maka dokumen SP Manual harus diminta ke penerima sesuai dengan jumlah PO yang butuh SP Manual. Apabila ada retur, catat di Delivery Note dan update ke IC</v>
      </c>
      <c r="S77" t="str">
        <f ca="1">IF($AS77="","",TEXT(Config!$B$4,"yyyy-mm-dd"))</f>
        <v>2026-08-18</v>
      </c>
      <c r="T77" t="str">
        <f>IF($AS77="","",Config!$B$17)</f>
        <v>09:00</v>
      </c>
      <c r="U77" t="str">
        <f>IF($AS77="","",Config!$B$18)</f>
        <v>22:00</v>
      </c>
      <c r="V77" t="str">
        <f>IF($AS77="","",Config!$B$19)</f>
        <v>Asia/Jakarta</v>
      </c>
      <c r="W77">
        <f>IF($AS77="","",INDEX('TMP Paste'!$C$2:$C$1601,$AS77))</f>
        <v>12.87</v>
      </c>
      <c r="X77" t="str">
        <f>IF($AS77="","",Config!$B$29)</f>
        <v>FALSE</v>
      </c>
      <c r="Y77" t="str">
        <f>IF($AT77="","",INDEX(Calc!$I$2:$I$1601,$AT77)&amp;" - "&amp;INDEX(Calc!$D$2:$D$1601,$AT77)&amp;" koli")</f>
        <v>26072801551625sxyIPgBq (1), 26072801551625WGgqp9jEp3 (2) - 3 koli</v>
      </c>
      <c r="Z77" t="str">
        <f>IF($AS77="","",Config!$B$21)</f>
        <v>FALSE</v>
      </c>
      <c r="AA77" t="str">
        <f>IF($AS77="","",Config!$B$22)</f>
        <v>RDO</v>
      </c>
      <c r="AB77">
        <f>IF($AT77="","",INDEX(Calc!$D$2:$D$1601,$AT77))</f>
        <v>3</v>
      </c>
      <c r="AC77" t="str">
        <f>IF($AT77="","",INDEX(Calc!$G$2:$G$1601,$AT77))</f>
        <v>26072801551625sxyIPgBq-01, 26072801551625WGgqp9jEp3-02, 26072801551625WGgqp9jEp3-03</v>
      </c>
      <c r="AD77">
        <f>IF($AS77="","",Config!$B$23)</f>
        <v>0</v>
      </c>
      <c r="AE77">
        <f>IF($AS77="","",Config!$B$28)</f>
        <v>1</v>
      </c>
      <c r="AF77">
        <f t="shared" si="8"/>
        <v>10</v>
      </c>
      <c r="AG77">
        <f t="shared" si="9"/>
        <v>72.6333333333333</v>
      </c>
      <c r="AH77">
        <f t="shared" si="10"/>
        <v>10</v>
      </c>
      <c r="AI77">
        <f>IF($AG77="","",SUMIF($AG$2:$AG77,$AG77,$AH$2:$AH77))</f>
        <v>10</v>
      </c>
      <c r="AJ77" t="str">
        <f>IF('TMP Paste'!$F77="","",IF('TMP Paste'!$B77="",$AJ76,'TMP Paste'!$B77))</f>
        <v>AWB02WDF1</v>
      </c>
      <c r="AK77">
        <f>IF('TMP Paste'!$F77="","",N('TMP Paste'!$G77))</f>
        <v>0</v>
      </c>
      <c r="AL77">
        <f>IF('TMP Paste'!$F77="","",IF('TMP Paste'!$M77="",$AL76,'TMP Paste'!$M77))</f>
        <v>1</v>
      </c>
      <c r="AM77" t="str">
        <f>IF('TMP Paste'!$F77="","",IF('TMP Paste'!$N77="",$AM76,'TMP Paste'!$N77))</f>
        <v/>
      </c>
      <c r="AN77" t="str">
        <f>IF('TMP Paste'!$F77="","",IF('TMP Paste'!$O77="",$AN76,'TMP Paste'!$O77))</f>
        <v/>
      </c>
      <c r="AO77" t="str">
        <f>IF('TMP Paste'!$F77="","",IF('TMP Paste'!$P77="",$AO76,'TMP Paste'!$P77))</f>
        <v/>
      </c>
      <c r="AP77">
        <f t="shared" si="11"/>
        <v>266</v>
      </c>
      <c r="AQ77" t="str">
        <f>IF($AS77="","",TRIM(IF(COUNTIFS(Calc!$B$2:$B$1601,ROW()-1,Calc!$C$2:$C$1601,"&lt;1")&gt;0,"Ada PO tanpa Koli - cek TMP. ","")&amp;IF(OR($AU77="",$AU77&lt;=0),"Volume kosong/0 - dimensi dikosongkan. ","")&amp;IF(AND($AU77&lt;&gt;"",$AU77&gt;=1000000),"Volume &gt;= 1.000.000 cm3 (di luar aturan) - dimensi dikosongkan. ","")&amp;IF(LEN($R77)&gt;500,"R &gt; 500 karakter.","")))</f>
        <v/>
      </c>
      <c r="AS77">
        <f>IFERROR(MATCH(ROW()-1,Calc!$J$2:$J$1601,0),"")</f>
        <v>171</v>
      </c>
      <c r="AT77">
        <f>IFERROR(MATCH(ROW()-1,Calc!$K$2:$K$1601,0),"")</f>
        <v>172</v>
      </c>
      <c r="AU77">
        <f>IF($AS77="","",IFERROR(INDEX('TMP Paste'!$D$2:$D$1601,$AS77)*1000000/$AB77,""))</f>
        <v>7263.33333333333</v>
      </c>
    </row>
    <row r="78" spans="1:47">
      <c r="A78" t="str">
        <f>IF($AS78="","",INDEX('TMP Paste'!$B$2:$B$1601,$AS78))</f>
        <v>AWB02WHPP</v>
      </c>
      <c r="B78">
        <f>IF($AS78="","",Config!$B$14)</f>
        <v>11398423</v>
      </c>
      <c r="C78" t="str">
        <f>IF($AS78="","",Config!$B$15)</f>
        <v>Corporate B2B Bundle</v>
      </c>
      <c r="D78" t="str">
        <f>IF($AS78="","",INDEX('TMP Paste'!$B$2:$B$1601,$AS78))</f>
        <v>AWB02WHPP</v>
      </c>
      <c r="E78" t="str">
        <f>IF($AS78="","",Config!$B$27)</f>
        <v>STANDARD</v>
      </c>
      <c r="F78" t="str">
        <f>IF($AS78="","",Config!$B$9)</f>
        <v>PT Teknologi Medika Pratama (SwipeRx) (B2BR)</v>
      </c>
      <c r="G78" t="str">
        <f>IF($AS78="","",Config!$B$10)</f>
        <v>087733785699</v>
      </c>
      <c r="H78" t="str">
        <f>IF($AS78="","",Config!$B$11)</f>
        <v>Jl. Tugu Raya, Tugu, Kec. Cimanggis, Kota Depok, Jawa Barat 16451,KUBIK LOGISTICS - Kompleks Pergudangan,Gudang E1</v>
      </c>
      <c r="I78" t="str">
        <f>IF($AS78="","",Config!$B$16)</f>
        <v>ID</v>
      </c>
      <c r="J78" t="str">
        <f>IF($AS78="","",INDEX('TMP Paste'!$A$2:$A$1601,$AS78))</f>
        <v>Apotek Via</v>
      </c>
      <c r="K78" t="str">
        <f>IF($AS78="","",INDEX('TMP Paste'!$L$2:$L$1601,$AS78))</f>
        <v>8119988989</v>
      </c>
      <c r="L78" t="str">
        <f>IF($AS78="","",INDEX('TMP Paste'!$I$2:$I$1601,$AS78))</f>
        <v>1139-Jalan Krukut Raya RT 006 RW 001 Kelurahan Krukut Kecamatan Limo Kota Depok 16512</v>
      </c>
      <c r="M78" t="str">
        <f>IF($AS78="","",Config!$B$16)</f>
        <v>ID</v>
      </c>
      <c r="N78" t="str">
        <f t="shared" si="6"/>
        <v/>
      </c>
      <c r="O78" t="str">
        <f>IF($AS78="","",INDEX('TMP Paste'!$K$2:$K$1601,$AS78))</f>
        <v>Kota Depok</v>
      </c>
      <c r="P78" t="str">
        <f t="shared" si="7"/>
        <v/>
      </c>
      <c r="Q78">
        <f>IF($AS78="","",INDEX('TMP Paste'!$J$2:$J$1601,$AS78))</f>
        <v>16512</v>
      </c>
      <c r="R78" t="str">
        <f>IF($AS78="","",Config!$B$24)</f>
        <v>Delivery Note wajib ada nama penerima, ditandatangani dan distempel penerima. Jika di label tertera "SP Manual", maka dokumen SP Manual harus diminta ke penerima sesuai dengan jumlah PO yang butuh SP Manual. Apabila ada retur, catat di Delivery Note dan update ke IC</v>
      </c>
      <c r="S78" t="str">
        <f ca="1">IF($AS78="","",TEXT(Config!$B$4,"yyyy-mm-dd"))</f>
        <v>2026-08-18</v>
      </c>
      <c r="T78" t="str">
        <f>IF($AS78="","",Config!$B$17)</f>
        <v>09:00</v>
      </c>
      <c r="U78" t="str">
        <f>IF($AS78="","",Config!$B$18)</f>
        <v>22:00</v>
      </c>
      <c r="V78" t="str">
        <f>IF($AS78="","",Config!$B$19)</f>
        <v>Asia/Jakarta</v>
      </c>
      <c r="W78">
        <f>IF($AS78="","",INDEX('TMP Paste'!$C$2:$C$1601,$AS78))</f>
        <v>5.5</v>
      </c>
      <c r="X78" t="str">
        <f>IF($AS78="","",Config!$B$29)</f>
        <v>FALSE</v>
      </c>
      <c r="Y78" t="str">
        <f>IF($AT78="","",INDEX(Calc!$I$2:$I$1601,$AT78)&amp;" - "&amp;INDEX(Calc!$D$2:$D$1601,$AT78)&amp;" koli")</f>
        <v>260727044151853iD5rxzZZQ (1), 260727044151856dvOp8PmR (1) - 2 koli</v>
      </c>
      <c r="Z78" t="str">
        <f>IF($AS78="","",Config!$B$21)</f>
        <v>FALSE</v>
      </c>
      <c r="AA78" t="str">
        <f>IF($AS78="","",Config!$B$22)</f>
        <v>RDO</v>
      </c>
      <c r="AB78">
        <f>IF($AT78="","",INDEX(Calc!$D$2:$D$1601,$AT78))</f>
        <v>2</v>
      </c>
      <c r="AC78" t="str">
        <f>IF($AT78="","",INDEX(Calc!$G$2:$G$1601,$AT78))</f>
        <v>260727044151853iD5rxzZZQ-01, 260727044151856dvOp8PmR-02</v>
      </c>
      <c r="AD78">
        <f>IF($AS78="","",Config!$B$23)</f>
        <v>0</v>
      </c>
      <c r="AE78">
        <f>IF($AS78="","",Config!$B$28)</f>
        <v>1</v>
      </c>
      <c r="AF78">
        <f t="shared" si="8"/>
        <v>100</v>
      </c>
      <c r="AG78">
        <f t="shared" si="9"/>
        <v>11.513</v>
      </c>
      <c r="AH78">
        <f t="shared" si="10"/>
        <v>10</v>
      </c>
      <c r="AI78">
        <f>IF($AG78="","",SUMIF($AG$2:$AG78,$AG78,$AH$2:$AH78))</f>
        <v>10</v>
      </c>
      <c r="AJ78" t="str">
        <f>IF('TMP Paste'!$F78="","",IF('TMP Paste'!$B78="",$AJ77,'TMP Paste'!$B78))</f>
        <v>AWB02WHMZ</v>
      </c>
      <c r="AK78">
        <f>IF('TMP Paste'!$F78="","",N('TMP Paste'!$G78))</f>
        <v>0</v>
      </c>
      <c r="AL78">
        <f>IF('TMP Paste'!$F78="","",IF('TMP Paste'!$M78="",$AL77,'TMP Paste'!$M78))</f>
        <v>1</v>
      </c>
      <c r="AM78" t="str">
        <f>IF('TMP Paste'!$F78="","",IF('TMP Paste'!$N78="",$AM77,'TMP Paste'!$N78))</f>
        <v/>
      </c>
      <c r="AN78" t="str">
        <f>IF('TMP Paste'!$F78="","",IF('TMP Paste'!$O78="",$AN77,'TMP Paste'!$O78))</f>
        <v/>
      </c>
      <c r="AO78" t="str">
        <f>IF('TMP Paste'!$F78="","",IF('TMP Paste'!$P78="",$AO77,'TMP Paste'!$P78))</f>
        <v/>
      </c>
      <c r="AP78">
        <f t="shared" si="11"/>
        <v>266</v>
      </c>
      <c r="AQ78" t="str">
        <f>IF($AS78="","",TRIM(IF(COUNTIFS(Calc!$B$2:$B$1601,ROW()-1,Calc!$C$2:$C$1601,"&lt;1")&gt;0,"Ada PO tanpa Koli - cek TMP. ","")&amp;IF(OR($AU78="",$AU78&lt;=0),"Volume kosong/0 - dimensi dikosongkan. ","")&amp;IF(AND($AU78&lt;&gt;"",$AU78&gt;=1000000),"Volume &gt;= 1.000.000 cm3 (di luar aturan) - dimensi dikosongkan. ","")&amp;IF(LEN($R78)&gt;500,"R &gt; 500 karakter.","")))</f>
        <v/>
      </c>
      <c r="AS78">
        <f>IFERROR(MATCH(ROW()-1,Calc!$J$2:$J$1601,0),"")</f>
        <v>173</v>
      </c>
      <c r="AT78">
        <f>IFERROR(MATCH(ROW()-1,Calc!$K$2:$K$1601,0),"")</f>
        <v>174</v>
      </c>
      <c r="AU78">
        <f>IF($AS78="","",IFERROR(INDEX('TMP Paste'!$D$2:$D$1601,$AS78)*1000000/$AB78,""))</f>
        <v>11513</v>
      </c>
    </row>
    <row r="79" spans="1:47">
      <c r="A79" t="str">
        <f>IF($AS79="","",INDEX('TMP Paste'!$B$2:$B$1601,$AS79))</f>
        <v>AWB02WLW5</v>
      </c>
      <c r="B79">
        <f>IF($AS79="","",Config!$B$14)</f>
        <v>11398423</v>
      </c>
      <c r="C79" t="str">
        <f>IF($AS79="","",Config!$B$15)</f>
        <v>Corporate B2B Bundle</v>
      </c>
      <c r="D79" t="str">
        <f>IF($AS79="","",INDEX('TMP Paste'!$B$2:$B$1601,$AS79))</f>
        <v>AWB02WLW5</v>
      </c>
      <c r="E79" t="str">
        <f>IF($AS79="","",Config!$B$27)</f>
        <v>STANDARD</v>
      </c>
      <c r="F79" t="str">
        <f>IF($AS79="","",Config!$B$9)</f>
        <v>PT Teknologi Medika Pratama (SwipeRx) (B2BR)</v>
      </c>
      <c r="G79" t="str">
        <f>IF($AS79="","",Config!$B$10)</f>
        <v>087733785699</v>
      </c>
      <c r="H79" t="str">
        <f>IF($AS79="","",Config!$B$11)</f>
        <v>Jl. Tugu Raya, Tugu, Kec. Cimanggis, Kota Depok, Jawa Barat 16451,KUBIK LOGISTICS - Kompleks Pergudangan,Gudang E1</v>
      </c>
      <c r="I79" t="str">
        <f>IF($AS79="","",Config!$B$16)</f>
        <v>ID</v>
      </c>
      <c r="J79" t="str">
        <f>IF($AS79="","",INDEX('TMP Paste'!$A$2:$A$1601,$AS79))</f>
        <v>Apotek Wijaya Cinangka Sawangan</v>
      </c>
      <c r="K79" t="str">
        <f>IF($AS79="","",INDEX('TMP Paste'!$L$2:$L$1601,$AS79))</f>
        <v>6282298501719</v>
      </c>
      <c r="L79" t="str">
        <f>IF($AS79="","",INDEX('TMP Paste'!$I$2:$I$1601,$AS79))</f>
        <v>15548-Perumahan Amara Residence No A-11 Desa/Kelurahan Cinangka, Kec. Sawangan, Kota Depok</v>
      </c>
      <c r="M79" t="str">
        <f>IF($AS79="","",Config!$B$16)</f>
        <v>ID</v>
      </c>
      <c r="N79" t="str">
        <f t="shared" si="6"/>
        <v/>
      </c>
      <c r="O79" t="str">
        <f>IF($AS79="","",INDEX('TMP Paste'!$K$2:$K$1601,$AS79))</f>
        <v>Kota Depok</v>
      </c>
      <c r="P79" t="str">
        <f t="shared" si="7"/>
        <v/>
      </c>
      <c r="Q79">
        <f>IF($AS79="","",INDEX('TMP Paste'!$J$2:$J$1601,$AS79))</f>
        <v>16516</v>
      </c>
      <c r="R79" t="str">
        <f>IF($AS79="","",Config!$B$24)</f>
        <v>Delivery Note wajib ada nama penerima, ditandatangani dan distempel penerima. Jika di label tertera "SP Manual", maka dokumen SP Manual harus diminta ke penerima sesuai dengan jumlah PO yang butuh SP Manual. Apabila ada retur, catat di Delivery Note dan update ke IC</v>
      </c>
      <c r="S79" t="str">
        <f ca="1">IF($AS79="","",TEXT(Config!$B$4,"yyyy-mm-dd"))</f>
        <v>2026-08-18</v>
      </c>
      <c r="T79" t="str">
        <f>IF($AS79="","",Config!$B$17)</f>
        <v>09:00</v>
      </c>
      <c r="U79" t="str">
        <f>IF($AS79="","",Config!$B$18)</f>
        <v>22:00</v>
      </c>
      <c r="V79" t="str">
        <f>IF($AS79="","",Config!$B$19)</f>
        <v>Asia/Jakarta</v>
      </c>
      <c r="W79">
        <f>IF($AS79="","",INDEX('TMP Paste'!$C$2:$C$1601,$AS79))</f>
        <v>1.37</v>
      </c>
      <c r="X79" t="str">
        <f>IF($AS79="","",Config!$B$29)</f>
        <v>FALSE</v>
      </c>
      <c r="Y79" t="str">
        <f>IF($AT79="","",INDEX(Calc!$I$2:$I$1601,$AT79)&amp;" - "&amp;INDEX(Calc!$D$2:$D$1601,$AT79)&amp;" koli")</f>
        <v>26072803135291mG4ZXPwI1L (1), 26072803135291nbcWvvqwh (1), 26072803135291Rk1rLwAi3Y (1) - 3 koli</v>
      </c>
      <c r="Z79" t="str">
        <f>IF($AS79="","",Config!$B$21)</f>
        <v>FALSE</v>
      </c>
      <c r="AA79" t="str">
        <f>IF($AS79="","",Config!$B$22)</f>
        <v>RDO</v>
      </c>
      <c r="AB79">
        <f>IF($AT79="","",INDEX(Calc!$D$2:$D$1601,$AT79))</f>
        <v>3</v>
      </c>
      <c r="AC79" t="str">
        <f>IF($AT79="","",INDEX(Calc!$G$2:$G$1601,$AT79))</f>
        <v>26072803135291mG4ZXPwI1L-01, 26072803135291nbcWvvqwh-02, 26072803135291Rk1rLwAi3Y-03</v>
      </c>
      <c r="AD79">
        <f>IF($AS79="","",Config!$B$23)</f>
        <v>0</v>
      </c>
      <c r="AE79">
        <f>IF($AS79="","",Config!$B$28)</f>
        <v>1</v>
      </c>
      <c r="AF79">
        <f t="shared" si="8"/>
        <v>10</v>
      </c>
      <c r="AG79">
        <f t="shared" si="9"/>
        <v>10.6433333333333</v>
      </c>
      <c r="AH79">
        <f t="shared" si="10"/>
        <v>10</v>
      </c>
      <c r="AI79">
        <f>IF($AG79="","",SUMIF($AG$2:$AG79,$AG79,$AH$2:$AH79))</f>
        <v>10</v>
      </c>
      <c r="AJ79" t="str">
        <f>IF('TMP Paste'!$F79="","",IF('TMP Paste'!$B79="",$AJ78,'TMP Paste'!$B79))</f>
        <v>AWB02WMBR</v>
      </c>
      <c r="AK79">
        <f>IF('TMP Paste'!$F79="","",N('TMP Paste'!$G79))</f>
        <v>0</v>
      </c>
      <c r="AL79">
        <f>IF('TMP Paste'!$F79="","",IF('TMP Paste'!$M79="",$AL78,'TMP Paste'!$M79))</f>
        <v>1</v>
      </c>
      <c r="AM79" t="str">
        <f>IF('TMP Paste'!$F79="","",IF('TMP Paste'!$N79="",$AM78,'TMP Paste'!$N79))</f>
        <v/>
      </c>
      <c r="AN79" t="str">
        <f>IF('TMP Paste'!$F79="","",IF('TMP Paste'!$O79="",$AN78,'TMP Paste'!$O79))</f>
        <v/>
      </c>
      <c r="AO79" t="str">
        <f>IF('TMP Paste'!$F79="","",IF('TMP Paste'!$P79="",$AO78,'TMP Paste'!$P79))</f>
        <v/>
      </c>
      <c r="AP79">
        <f t="shared" si="11"/>
        <v>266</v>
      </c>
      <c r="AQ79" t="str">
        <f>IF($AS79="","",TRIM(IF(COUNTIFS(Calc!$B$2:$B$1601,ROW()-1,Calc!$C$2:$C$1601,"&lt;1")&gt;0,"Ada PO tanpa Koli - cek TMP. ","")&amp;IF(OR($AU79="",$AU79&lt;=0),"Volume kosong/0 - dimensi dikosongkan. ","")&amp;IF(AND($AU79&lt;&gt;"",$AU79&gt;=1000000),"Volume &gt;= 1.000.000 cm3 (di luar aturan) - dimensi dikosongkan. ","")&amp;IF(LEN($R79)&gt;500,"R &gt; 500 karakter.","")))</f>
        <v/>
      </c>
      <c r="AS79">
        <f>IFERROR(MATCH(ROW()-1,Calc!$J$2:$J$1601,0),"")</f>
        <v>175</v>
      </c>
      <c r="AT79">
        <f>IFERROR(MATCH(ROW()-1,Calc!$K$2:$K$1601,0),"")</f>
        <v>177</v>
      </c>
      <c r="AU79">
        <f>IF($AS79="","",IFERROR(INDEX('TMP Paste'!$D$2:$D$1601,$AS79)*1000000/$AB79,""))</f>
        <v>1064.33333333333</v>
      </c>
    </row>
    <row r="80" spans="1:47">
      <c r="A80" t="str">
        <f>IF($AS80="","",INDEX('TMP Paste'!$B$2:$B$1601,$AS80))</f>
        <v>AWB02WHR8</v>
      </c>
      <c r="B80">
        <f>IF($AS80="","",Config!$B$14)</f>
        <v>11398423</v>
      </c>
      <c r="C80" t="str">
        <f>IF($AS80="","",Config!$B$15)</f>
        <v>Corporate B2B Bundle</v>
      </c>
      <c r="D80" t="str">
        <f>IF($AS80="","",INDEX('TMP Paste'!$B$2:$B$1601,$AS80))</f>
        <v>AWB02WHR8</v>
      </c>
      <c r="E80" t="str">
        <f>IF($AS80="","",Config!$B$27)</f>
        <v>STANDARD</v>
      </c>
      <c r="F80" t="str">
        <f>IF($AS80="","",Config!$B$9)</f>
        <v>PT Teknologi Medika Pratama (SwipeRx) (B2BR)</v>
      </c>
      <c r="G80" t="str">
        <f>IF($AS80="","",Config!$B$10)</f>
        <v>087733785699</v>
      </c>
      <c r="H80" t="str">
        <f>IF($AS80="","",Config!$B$11)</f>
        <v>Jl. Tugu Raya, Tugu, Kec. Cimanggis, Kota Depok, Jawa Barat 16451,KUBIK LOGISTICS - Kompleks Pergudangan,Gudang E1</v>
      </c>
      <c r="I80" t="str">
        <f>IF($AS80="","",Config!$B$16)</f>
        <v>ID</v>
      </c>
      <c r="J80" t="str">
        <f>IF($AS80="","",INDEX('TMP Paste'!$A$2:$A$1601,$AS80))</f>
        <v>Apotek Xpert Duren Mekar Bojongsari</v>
      </c>
      <c r="K80" t="str">
        <f>IF($AS80="","",INDEX('TMP Paste'!$L$2:$L$1601,$AS80))</f>
        <v>6281329779198</v>
      </c>
      <c r="L80" t="str">
        <f>IF($AS80="","",INDEX('TMP Paste'!$I$2:$I$1601,$AS80))</f>
        <v>9256-Jl. Raya Parung, Bukit Sawangan Indah No.F2/4, Desa/Kel. Duren Mekar, Kec. Bojongsari, Kota Depok 16518</v>
      </c>
      <c r="M80" t="str">
        <f>IF($AS80="","",Config!$B$16)</f>
        <v>ID</v>
      </c>
      <c r="N80" t="str">
        <f t="shared" si="6"/>
        <v/>
      </c>
      <c r="O80" t="str">
        <f>IF($AS80="","",INDEX('TMP Paste'!$K$2:$K$1601,$AS80))</f>
        <v>Kota Depok</v>
      </c>
      <c r="P80" t="str">
        <f t="shared" si="7"/>
        <v/>
      </c>
      <c r="Q80">
        <f>IF($AS80="","",INDEX('TMP Paste'!$J$2:$J$1601,$AS80))</f>
        <v>16518</v>
      </c>
      <c r="R80" t="str">
        <f>IF($AS80="","",Config!$B$24)</f>
        <v>Delivery Note wajib ada nama penerima, ditandatangani dan distempel penerima. Jika di label tertera "SP Manual", maka dokumen SP Manual harus diminta ke penerima sesuai dengan jumlah PO yang butuh SP Manual. Apabila ada retur, catat di Delivery Note dan update ke IC</v>
      </c>
      <c r="S80" t="str">
        <f ca="1">IF($AS80="","",TEXT(Config!$B$4,"yyyy-mm-dd"))</f>
        <v>2026-08-18</v>
      </c>
      <c r="T80" t="str">
        <f>IF($AS80="","",Config!$B$17)</f>
        <v>09:00</v>
      </c>
      <c r="U80" t="str">
        <f>IF($AS80="","",Config!$B$18)</f>
        <v>22:00</v>
      </c>
      <c r="V80" t="str">
        <f>IF($AS80="","",Config!$B$19)</f>
        <v>Asia/Jakarta</v>
      </c>
      <c r="W80">
        <f>IF($AS80="","",INDEX('TMP Paste'!$C$2:$C$1601,$AS80))</f>
        <v>0.78</v>
      </c>
      <c r="X80" t="str">
        <f>IF($AS80="","",Config!$B$29)</f>
        <v>FALSE</v>
      </c>
      <c r="Y80" t="str">
        <f>IF($AT80="","",INDEX(Calc!$I$2:$I$1601,$AT80)&amp;" - "&amp;INDEX(Calc!$D$2:$D$1601,$AT80)&amp;" koli")</f>
        <v>26072704525395I4KU23YdN (1), 26072718234320aGdSAWb9d (1), 26072718234320Dzbd1ptYQl (1), 26072718234320hW25wTdVx (0) - 3 koli</v>
      </c>
      <c r="Z80" t="str">
        <f>IF($AS80="","",Config!$B$21)</f>
        <v>FALSE</v>
      </c>
      <c r="AA80" t="str">
        <f>IF($AS80="","",Config!$B$22)</f>
        <v>RDO</v>
      </c>
      <c r="AB80">
        <f>IF($AT80="","",INDEX(Calc!$D$2:$D$1601,$AT80))</f>
        <v>3</v>
      </c>
      <c r="AC80" t="str">
        <f>IF($AT80="","",INDEX(Calc!$G$2:$G$1601,$AT80))</f>
        <v>26072704525395I4KU23YdN-01, 26072718234320aGdSAWb9d-02, 26072718234320Dzbd1ptYQl-03</v>
      </c>
      <c r="AD80">
        <f>IF($AS80="","",Config!$B$23)</f>
        <v>0</v>
      </c>
      <c r="AE80">
        <f>IF($AS80="","",Config!$B$28)</f>
        <v>1</v>
      </c>
      <c r="AF80">
        <f t="shared" si="8"/>
        <v>10</v>
      </c>
      <c r="AG80">
        <f t="shared" si="9"/>
        <v>15.0333333333333</v>
      </c>
      <c r="AH80">
        <f t="shared" si="10"/>
        <v>10</v>
      </c>
      <c r="AI80">
        <f>IF($AG80="","",SUMIF($AG$2:$AG80,$AG80,$AH$2:$AH80))</f>
        <v>10</v>
      </c>
      <c r="AJ80" t="str">
        <f>IF('TMP Paste'!$F80="","",IF('TMP Paste'!$B80="",$AJ79,'TMP Paste'!$B80))</f>
        <v/>
      </c>
      <c r="AK80" t="str">
        <f>IF('TMP Paste'!$F80="","",N('TMP Paste'!$G80))</f>
        <v/>
      </c>
      <c r="AL80" t="str">
        <f>IF('TMP Paste'!$F80="","",IF('TMP Paste'!$M80="",$AL79,'TMP Paste'!$M80))</f>
        <v/>
      </c>
      <c r="AM80" t="str">
        <f>IF('TMP Paste'!$F80="","",IF('TMP Paste'!$N80="",$AM79,'TMP Paste'!$N80))</f>
        <v/>
      </c>
      <c r="AN80" t="str">
        <f>IF('TMP Paste'!$F80="","",IF('TMP Paste'!$O80="",$AN79,'TMP Paste'!$O80))</f>
        <v/>
      </c>
      <c r="AO80" t="str">
        <f>IF('TMP Paste'!$F80="","",IF('TMP Paste'!$P80="",$AO79,'TMP Paste'!$P80))</f>
        <v/>
      </c>
      <c r="AP80">
        <f t="shared" si="11"/>
        <v>266</v>
      </c>
      <c r="AQ80" t="str">
        <f>IF($AS80="","",TRIM(IF(COUNTIFS(Calc!$B$2:$B$1601,ROW()-1,Calc!$C$2:$C$1601,"&lt;1")&gt;0,"Ada PO tanpa Koli - cek TMP. ","")&amp;IF(OR($AU80="",$AU80&lt;=0),"Volume kosong/0 - dimensi dikosongkan. ","")&amp;IF(AND($AU80&lt;&gt;"",$AU80&gt;=1000000),"Volume &gt;= 1.000.000 cm3 (di luar aturan) - dimensi dikosongkan. ","")&amp;IF(LEN($R80)&gt;500,"R &gt; 500 karakter.","")))</f>
        <v>Ada PO tanpa Koli - cek TMP.</v>
      </c>
      <c r="AS80">
        <f>IFERROR(MATCH(ROW()-1,Calc!$J$2:$J$1601,0),"")</f>
        <v>178</v>
      </c>
      <c r="AT80">
        <f>IFERROR(MATCH(ROW()-1,Calc!$K$2:$K$1601,0),"")</f>
        <v>181</v>
      </c>
      <c r="AU80">
        <f>IF($AS80="","",IFERROR(INDEX('TMP Paste'!$D$2:$D$1601,$AS80)*1000000/$AB80,""))</f>
        <v>1503.33333333333</v>
      </c>
    </row>
    <row r="81" spans="1:47">
      <c r="A81" t="str">
        <f>IF($AS81="","",INDEX('TMP Paste'!$B$2:$B$1601,$AS81))</f>
        <v>AWB02WMD5</v>
      </c>
      <c r="B81">
        <f>IF($AS81="","",Config!$B$14)</f>
        <v>11398423</v>
      </c>
      <c r="C81" t="str">
        <f>IF($AS81="","",Config!$B$15)</f>
        <v>Corporate B2B Bundle</v>
      </c>
      <c r="D81" t="str">
        <f>IF($AS81="","",INDEX('TMP Paste'!$B$2:$B$1601,$AS81))</f>
        <v>AWB02WMD5</v>
      </c>
      <c r="E81" t="str">
        <f>IF($AS81="","",Config!$B$27)</f>
        <v>STANDARD</v>
      </c>
      <c r="F81" t="str">
        <f>IF($AS81="","",Config!$B$9)</f>
        <v>PT Teknologi Medika Pratama (SwipeRx) (B2BR)</v>
      </c>
      <c r="G81" t="str">
        <f>IF($AS81="","",Config!$B$10)</f>
        <v>087733785699</v>
      </c>
      <c r="H81" t="str">
        <f>IF($AS81="","",Config!$B$11)</f>
        <v>Jl. Tugu Raya, Tugu, Kec. Cimanggis, Kota Depok, Jawa Barat 16451,KUBIK LOGISTICS - Kompleks Pergudangan,Gudang E1</v>
      </c>
      <c r="I81" t="str">
        <f>IF($AS81="","",Config!$B$16)</f>
        <v>ID</v>
      </c>
      <c r="J81" t="str">
        <f>IF($AS81="","",INDEX('TMP Paste'!$A$2:$A$1601,$AS81))</f>
        <v>Apotek Zahra Medika</v>
      </c>
      <c r="K81" t="str">
        <f>IF($AS81="","",INDEX('TMP Paste'!$L$2:$L$1601,$AS81))</f>
        <v>81387688857</v>
      </c>
      <c r="L81" t="str">
        <f>IF($AS81="","",INDEX('TMP Paste'!$I$2:$I$1601,$AS81))</f>
        <v>2138-Jalan Cagar Alam Raya No. 42 RT 001 RW 001 Kelurahan Pancoran Mas Kecamatann Pancoran Mas Depok 16436</v>
      </c>
      <c r="M81" t="str">
        <f>IF($AS81="","",Config!$B$16)</f>
        <v>ID</v>
      </c>
      <c r="N81" t="str">
        <f t="shared" si="6"/>
        <v/>
      </c>
      <c r="O81" t="str">
        <f>IF($AS81="","",INDEX('TMP Paste'!$K$2:$K$1601,$AS81))</f>
        <v>Kota Depok</v>
      </c>
      <c r="P81" t="str">
        <f t="shared" si="7"/>
        <v/>
      </c>
      <c r="Q81">
        <f>IF($AS81="","",INDEX('TMP Paste'!$J$2:$J$1601,$AS81))</f>
        <v>16436</v>
      </c>
      <c r="R81" t="str">
        <f>IF($AS81="","",Config!$B$24)</f>
        <v>Delivery Note wajib ada nama penerima, ditandatangani dan distempel penerima. Jika di label tertera "SP Manual", maka dokumen SP Manual harus diminta ke penerima sesuai dengan jumlah PO yang butuh SP Manual. Apabila ada retur, catat di Delivery Note dan update ke IC</v>
      </c>
      <c r="S81" t="str">
        <f ca="1">IF($AS81="","",TEXT(Config!$B$4,"yyyy-mm-dd"))</f>
        <v>2026-08-18</v>
      </c>
      <c r="T81" t="str">
        <f>IF($AS81="","",Config!$B$17)</f>
        <v>09:00</v>
      </c>
      <c r="U81" t="str">
        <f>IF($AS81="","",Config!$B$18)</f>
        <v>22:00</v>
      </c>
      <c r="V81" t="str">
        <f>IF($AS81="","",Config!$B$19)</f>
        <v>Asia/Jakarta</v>
      </c>
      <c r="W81">
        <f>IF($AS81="","",INDEX('TMP Paste'!$C$2:$C$1601,$AS81))</f>
        <v>0.32</v>
      </c>
      <c r="X81" t="str">
        <f>IF($AS81="","",Config!$B$29)</f>
        <v>FALSE</v>
      </c>
      <c r="Y81" t="str">
        <f>IF($AT81="","",INDEX(Calc!$I$2:$I$1601,$AT81)&amp;" - "&amp;INDEX(Calc!$D$2:$D$1601,$AT81)&amp;" koli")</f>
        <v>260728035413838c3In1BRD (1) - 1 koli</v>
      </c>
      <c r="Z81" t="str">
        <f>IF($AS81="","",Config!$B$21)</f>
        <v>FALSE</v>
      </c>
      <c r="AA81" t="str">
        <f>IF($AS81="","",Config!$B$22)</f>
        <v>RDO</v>
      </c>
      <c r="AB81">
        <f>IF($AT81="","",INDEX(Calc!$D$2:$D$1601,$AT81))</f>
        <v>1</v>
      </c>
      <c r="AC81" t="str">
        <f>IF($AT81="","",INDEX(Calc!$G$2:$G$1601,$AT81))</f>
        <v>260728035413838c3In1BRD-01</v>
      </c>
      <c r="AD81">
        <f>IF($AS81="","",Config!$B$23)</f>
        <v>0</v>
      </c>
      <c r="AE81">
        <f>IF($AS81="","",Config!$B$28)</f>
        <v>1</v>
      </c>
      <c r="AF81">
        <f t="shared" si="8"/>
        <v>10</v>
      </c>
      <c r="AG81">
        <f t="shared" si="9"/>
        <v>14.76</v>
      </c>
      <c r="AH81">
        <f t="shared" si="10"/>
        <v>10</v>
      </c>
      <c r="AI81">
        <f>IF($AG81="","",SUMIF($AG$2:$AG81,$AG81,$AH$2:$AH81))</f>
        <v>10</v>
      </c>
      <c r="AJ81" t="str">
        <f>IF('TMP Paste'!$F81="","",IF('TMP Paste'!$B81="",$AJ80,'TMP Paste'!$B81))</f>
        <v>AWB02WHNK</v>
      </c>
      <c r="AK81">
        <f>IF('TMP Paste'!$F81="","",N('TMP Paste'!$G81))</f>
        <v>0</v>
      </c>
      <c r="AL81">
        <f>IF('TMP Paste'!$F81="","",IF('TMP Paste'!$M81="",$AL80,'TMP Paste'!$M81))</f>
        <v>1</v>
      </c>
      <c r="AM81" t="str">
        <f>IF('TMP Paste'!$F81="","",IF('TMP Paste'!$N81="",$AM80,'TMP Paste'!$N81))</f>
        <v/>
      </c>
      <c r="AN81" t="str">
        <f>IF('TMP Paste'!$F81="","",IF('TMP Paste'!$O81="",$AN80,'TMP Paste'!$O81))</f>
        <v/>
      </c>
      <c r="AO81" t="str">
        <f>IF('TMP Paste'!$F81="","",IF('TMP Paste'!$P81="",$AO80,'TMP Paste'!$P81))</f>
        <v/>
      </c>
      <c r="AP81">
        <f t="shared" si="11"/>
        <v>266</v>
      </c>
      <c r="AQ81" t="str">
        <f>IF($AS81="","",TRIM(IF(COUNTIFS(Calc!$B$2:$B$1601,ROW()-1,Calc!$C$2:$C$1601,"&lt;1")&gt;0,"Ada PO tanpa Koli - cek TMP. ","")&amp;IF(OR($AU81="",$AU81&lt;=0),"Volume kosong/0 - dimensi dikosongkan. ","")&amp;IF(AND($AU81&lt;&gt;"",$AU81&gt;=1000000),"Volume &gt;= 1.000.000 cm3 (di luar aturan) - dimensi dikosongkan. ","")&amp;IF(LEN($R81)&gt;500,"R &gt; 500 karakter.","")))</f>
        <v/>
      </c>
      <c r="AS81">
        <f>IFERROR(MATCH(ROW()-1,Calc!$J$2:$J$1601,0),"")</f>
        <v>182</v>
      </c>
      <c r="AT81">
        <f>IFERROR(MATCH(ROW()-1,Calc!$K$2:$K$1601,0),"")</f>
        <v>182</v>
      </c>
      <c r="AU81">
        <f>IF($AS81="","",IFERROR(INDEX('TMP Paste'!$D$2:$D$1601,$AS81)*1000000/$AB81,""))</f>
        <v>1476</v>
      </c>
    </row>
    <row r="82" spans="1:47">
      <c r="A82" t="str">
        <f>IF($AS82="","",INDEX('TMP Paste'!$B$2:$B$1601,$AS82))</f>
        <v>AWB02WLBN</v>
      </c>
      <c r="B82">
        <f>IF($AS82="","",Config!$B$14)</f>
        <v>11398423</v>
      </c>
      <c r="C82" t="str">
        <f>IF($AS82="","",Config!$B$15)</f>
        <v>Corporate B2B Bundle</v>
      </c>
      <c r="D82" t="str">
        <f>IF($AS82="","",INDEX('TMP Paste'!$B$2:$B$1601,$AS82))</f>
        <v>AWB02WLBN</v>
      </c>
      <c r="E82" t="str">
        <f>IF($AS82="","",Config!$B$27)</f>
        <v>STANDARD</v>
      </c>
      <c r="F82" t="str">
        <f>IF($AS82="","",Config!$B$9)</f>
        <v>PT Teknologi Medika Pratama (SwipeRx) (B2BR)</v>
      </c>
      <c r="G82" t="str">
        <f>IF($AS82="","",Config!$B$10)</f>
        <v>087733785699</v>
      </c>
      <c r="H82" t="str">
        <f>IF($AS82="","",Config!$B$11)</f>
        <v>Jl. Tugu Raya, Tugu, Kec. Cimanggis, Kota Depok, Jawa Barat 16451,KUBIK LOGISTICS - Kompleks Pergudangan,Gudang E1</v>
      </c>
      <c r="I82" t="str">
        <f>IF($AS82="","",Config!$B$16)</f>
        <v>ID</v>
      </c>
      <c r="J82" t="str">
        <f>IF($AS82="","",INDEX('TMP Paste'!$A$2:$A$1601,$AS82))</f>
        <v>Apotek Zam Zam Mulia</v>
      </c>
      <c r="K82" t="str">
        <f>IF($AS82="","",INDEX('TMP Paste'!$L$2:$L$1601,$AS82))</f>
        <v>6281295719194</v>
      </c>
      <c r="L82" t="str">
        <f>IF($AS82="","",INDEX('TMP Paste'!$I$2:$I$1601,$AS82))</f>
        <v>103-Jl Raya Jatiwaringin no 306 Kel. jatiwaringin Kec. Pondok Gede Bekasi</v>
      </c>
      <c r="M82" t="str">
        <f>IF($AS82="","",Config!$B$16)</f>
        <v>ID</v>
      </c>
      <c r="N82" t="str">
        <f t="shared" si="6"/>
        <v/>
      </c>
      <c r="O82" t="str">
        <f>IF($AS82="","",INDEX('TMP Paste'!$K$2:$K$1601,$AS82))</f>
        <v>Kota Bekasi</v>
      </c>
      <c r="P82" t="str">
        <f t="shared" si="7"/>
        <v/>
      </c>
      <c r="Q82">
        <f>IF($AS82="","",INDEX('TMP Paste'!$J$2:$J$1601,$AS82))</f>
        <v>17411</v>
      </c>
      <c r="R82" t="str">
        <f>IF($AS82="","",Config!$B$24)</f>
        <v>Delivery Note wajib ada nama penerima, ditandatangani dan distempel penerima. Jika di label tertera "SP Manual", maka dokumen SP Manual harus diminta ke penerima sesuai dengan jumlah PO yang butuh SP Manual. Apabila ada retur, catat di Delivery Note dan update ke IC</v>
      </c>
      <c r="S82" t="str">
        <f ca="1">IF($AS82="","",TEXT(Config!$B$4,"yyyy-mm-dd"))</f>
        <v>2026-08-18</v>
      </c>
      <c r="T82" t="str">
        <f>IF($AS82="","",Config!$B$17)</f>
        <v>09:00</v>
      </c>
      <c r="U82" t="str">
        <f>IF($AS82="","",Config!$B$18)</f>
        <v>22:00</v>
      </c>
      <c r="V82" t="str">
        <f>IF($AS82="","",Config!$B$19)</f>
        <v>Asia/Jakarta</v>
      </c>
      <c r="W82">
        <f>IF($AS82="","",INDEX('TMP Paste'!$C$2:$C$1601,$AS82))</f>
        <v>3</v>
      </c>
      <c r="X82" t="str">
        <f>IF($AS82="","",Config!$B$29)</f>
        <v>FALSE</v>
      </c>
      <c r="Y82" t="str">
        <f>IF($AT82="","",INDEX(Calc!$I$2:$I$1601,$AT82)&amp;" - "&amp;INDEX(Calc!$D$2:$D$1601,$AT82)&amp;" koli")</f>
        <v>26072802325196gW8ys4jv7N (1), 26072802325196jze2QN3u (1) - 2 koli</v>
      </c>
      <c r="Z82" t="str">
        <f>IF($AS82="","",Config!$B$21)</f>
        <v>FALSE</v>
      </c>
      <c r="AA82" t="str">
        <f>IF($AS82="","",Config!$B$22)</f>
        <v>RDO</v>
      </c>
      <c r="AB82">
        <f>IF($AT82="","",INDEX(Calc!$D$2:$D$1601,$AT82))</f>
        <v>2</v>
      </c>
      <c r="AC82" t="str">
        <f>IF($AT82="","",INDEX(Calc!$G$2:$G$1601,$AT82))</f>
        <v>26072802325196gW8ys4jv7N-01, 26072802325196jze2QN3u-02</v>
      </c>
      <c r="AD82">
        <f>IF($AS82="","",Config!$B$23)</f>
        <v>0</v>
      </c>
      <c r="AE82">
        <f>IF($AS82="","",Config!$B$28)</f>
        <v>1</v>
      </c>
      <c r="AF82">
        <f t="shared" si="8"/>
        <v>10</v>
      </c>
      <c r="AG82">
        <f t="shared" si="9"/>
        <v>43.88</v>
      </c>
      <c r="AH82">
        <f t="shared" si="10"/>
        <v>10</v>
      </c>
      <c r="AI82">
        <f>IF($AG82="","",SUMIF($AG$2:$AG82,$AG82,$AH$2:$AH82))</f>
        <v>10</v>
      </c>
      <c r="AJ82" t="str">
        <f>IF('TMP Paste'!$F82="","",IF('TMP Paste'!$B82="",$AJ81,'TMP Paste'!$B82))</f>
        <v/>
      </c>
      <c r="AK82" t="str">
        <f>IF('TMP Paste'!$F82="","",N('TMP Paste'!$G82))</f>
        <v/>
      </c>
      <c r="AL82" t="str">
        <f>IF('TMP Paste'!$F82="","",IF('TMP Paste'!$M82="",$AL81,'TMP Paste'!$M82))</f>
        <v/>
      </c>
      <c r="AM82" t="str">
        <f>IF('TMP Paste'!$F82="","",IF('TMP Paste'!$N82="",$AM81,'TMP Paste'!$N82))</f>
        <v/>
      </c>
      <c r="AN82" t="str">
        <f>IF('TMP Paste'!$F82="","",IF('TMP Paste'!$O82="",$AN81,'TMP Paste'!$O82))</f>
        <v/>
      </c>
      <c r="AO82" t="str">
        <f>IF('TMP Paste'!$F82="","",IF('TMP Paste'!$P82="",$AO81,'TMP Paste'!$P82))</f>
        <v/>
      </c>
      <c r="AP82">
        <f t="shared" si="11"/>
        <v>266</v>
      </c>
      <c r="AQ82" t="str">
        <f>IF($AS82="","",TRIM(IF(COUNTIFS(Calc!$B$2:$B$1601,ROW()-1,Calc!$C$2:$C$1601,"&lt;1")&gt;0,"Ada PO tanpa Koli - cek TMP. ","")&amp;IF(OR($AU82="",$AU82&lt;=0),"Volume kosong/0 - dimensi dikosongkan. ","")&amp;IF(AND($AU82&lt;&gt;"",$AU82&gt;=1000000),"Volume &gt;= 1.000.000 cm3 (di luar aturan) - dimensi dikosongkan. ","")&amp;IF(LEN($R82)&gt;500,"R &gt; 500 karakter.","")))</f>
        <v/>
      </c>
      <c r="AS82">
        <f>IFERROR(MATCH(ROW()-1,Calc!$J$2:$J$1601,0),"")</f>
        <v>183</v>
      </c>
      <c r="AT82">
        <f>IFERROR(MATCH(ROW()-1,Calc!$K$2:$K$1601,0),"")</f>
        <v>184</v>
      </c>
      <c r="AU82">
        <f>IF($AS82="","",IFERROR(INDEX('TMP Paste'!$D$2:$D$1601,$AS82)*1000000/$AB82,""))</f>
        <v>4388</v>
      </c>
    </row>
    <row r="83" spans="1:47">
      <c r="A83" t="str">
        <f>IF($AS83="","",INDEX('TMP Paste'!$B$2:$B$1601,$AS83))</f>
        <v>AWB02WJKV</v>
      </c>
      <c r="B83">
        <f>IF($AS83="","",Config!$B$14)</f>
        <v>11398423</v>
      </c>
      <c r="C83" t="str">
        <f>IF($AS83="","",Config!$B$15)</f>
        <v>Corporate B2B Bundle</v>
      </c>
      <c r="D83" t="str">
        <f>IF($AS83="","",INDEX('TMP Paste'!$B$2:$B$1601,$AS83))</f>
        <v>AWB02WJKV</v>
      </c>
      <c r="E83" t="str">
        <f>IF($AS83="","",Config!$B$27)</f>
        <v>STANDARD</v>
      </c>
      <c r="F83" t="str">
        <f>IF($AS83="","",Config!$B$9)</f>
        <v>PT Teknologi Medika Pratama (SwipeRx) (B2BR)</v>
      </c>
      <c r="G83" t="str">
        <f>IF($AS83="","",Config!$B$10)</f>
        <v>087733785699</v>
      </c>
      <c r="H83" t="str">
        <f>IF($AS83="","",Config!$B$11)</f>
        <v>Jl. Tugu Raya, Tugu, Kec. Cimanggis, Kota Depok, Jawa Barat 16451,KUBIK LOGISTICS - Kompleks Pergudangan,Gudang E1</v>
      </c>
      <c r="I83" t="str">
        <f>IF($AS83="","",Config!$B$16)</f>
        <v>ID</v>
      </c>
      <c r="J83" t="str">
        <f>IF($AS83="","",INDEX('TMP Paste'!$A$2:$A$1601,$AS83))</f>
        <v>Apotek Zea Farma Cibubur Ciracas</v>
      </c>
      <c r="K83" t="str">
        <f>IF($AS83="","",INDEX('TMP Paste'!$L$2:$L$1601,$AS83))</f>
        <v>6285891661099</v>
      </c>
      <c r="L83" t="str">
        <f>IF($AS83="","",INDEX('TMP Paste'!$I$2:$I$1601,$AS83))</f>
        <v>12281-Ruko Cibubur Indah,Jl.Lapangan Tembak Blok A No. 27,Desa/Kelurahan Cibubur, Kec. Ciracas, Kota Adm. Jakarta Timur,DKI Jakarta,13720</v>
      </c>
      <c r="M83" t="str">
        <f>IF($AS83="","",Config!$B$16)</f>
        <v>ID</v>
      </c>
      <c r="N83" t="str">
        <f t="shared" si="6"/>
        <v/>
      </c>
      <c r="O83" t="str">
        <f>IF($AS83="","",INDEX('TMP Paste'!$K$2:$K$1601,$AS83))</f>
        <v>Kota Jakarta Timur</v>
      </c>
      <c r="P83" t="str">
        <f t="shared" si="7"/>
        <v/>
      </c>
      <c r="Q83">
        <f>IF($AS83="","",INDEX('TMP Paste'!$J$2:$J$1601,$AS83))</f>
        <v>13720</v>
      </c>
      <c r="R83" t="str">
        <f>IF($AS83="","",Config!$B$24)</f>
        <v>Delivery Note wajib ada nama penerima, ditandatangani dan distempel penerima. Jika di label tertera "SP Manual", maka dokumen SP Manual harus diminta ke penerima sesuai dengan jumlah PO yang butuh SP Manual. Apabila ada retur, catat di Delivery Note dan update ke IC</v>
      </c>
      <c r="S83" t="str">
        <f ca="1">IF($AS83="","",TEXT(Config!$B$4,"yyyy-mm-dd"))</f>
        <v>2026-08-18</v>
      </c>
      <c r="T83" t="str">
        <f>IF($AS83="","",Config!$B$17)</f>
        <v>09:00</v>
      </c>
      <c r="U83" t="str">
        <f>IF($AS83="","",Config!$B$18)</f>
        <v>22:00</v>
      </c>
      <c r="V83" t="str">
        <f>IF($AS83="","",Config!$B$19)</f>
        <v>Asia/Jakarta</v>
      </c>
      <c r="W83">
        <f>IF($AS83="","",INDEX('TMP Paste'!$C$2:$C$1601,$AS83))</f>
        <v>0.11</v>
      </c>
      <c r="X83" t="str">
        <f>IF($AS83="","",Config!$B$29)</f>
        <v>FALSE</v>
      </c>
      <c r="Y83" t="str">
        <f>IF($AT83="","",INDEX(Calc!$I$2:$I$1601,$AT83)&amp;" - "&amp;INDEX(Calc!$D$2:$D$1601,$AT83)&amp;" koli")</f>
        <v>260727103447597ygQw1Iek (1) - 1 koli</v>
      </c>
      <c r="Z83" t="str">
        <f>IF($AS83="","",Config!$B$21)</f>
        <v>FALSE</v>
      </c>
      <c r="AA83" t="str">
        <f>IF($AS83="","",Config!$B$22)</f>
        <v>RDO</v>
      </c>
      <c r="AB83">
        <f>IF($AT83="","",INDEX(Calc!$D$2:$D$1601,$AT83))</f>
        <v>1</v>
      </c>
      <c r="AC83" t="str">
        <f>IF($AT83="","",INDEX(Calc!$G$2:$G$1601,$AT83))</f>
        <v>260727103447597ygQw1Iek-01</v>
      </c>
      <c r="AD83">
        <f>IF($AS83="","",Config!$B$23)</f>
        <v>0</v>
      </c>
      <c r="AE83">
        <f>IF($AS83="","",Config!$B$28)</f>
        <v>1</v>
      </c>
      <c r="AF83">
        <f t="shared" si="8"/>
        <v>10</v>
      </c>
      <c r="AG83">
        <f t="shared" si="9"/>
        <v>4.5</v>
      </c>
      <c r="AH83">
        <f t="shared" si="10"/>
        <v>10</v>
      </c>
      <c r="AI83">
        <f>IF($AG83="","",SUMIF($AG$2:$AG83,$AG83,$AH$2:$AH83))</f>
        <v>10</v>
      </c>
      <c r="AJ83" t="str">
        <f>IF('TMP Paste'!$F83="","",IF('TMP Paste'!$B83="",$AJ82,'TMP Paste'!$B83))</f>
        <v/>
      </c>
      <c r="AK83" t="str">
        <f>IF('TMP Paste'!$F83="","",N('TMP Paste'!$G83))</f>
        <v/>
      </c>
      <c r="AL83" t="str">
        <f>IF('TMP Paste'!$F83="","",IF('TMP Paste'!$M83="",$AL82,'TMP Paste'!$M83))</f>
        <v/>
      </c>
      <c r="AM83" t="str">
        <f>IF('TMP Paste'!$F83="","",IF('TMP Paste'!$N83="",$AM82,'TMP Paste'!$N83))</f>
        <v/>
      </c>
      <c r="AN83" t="str">
        <f>IF('TMP Paste'!$F83="","",IF('TMP Paste'!$O83="",$AN82,'TMP Paste'!$O83))</f>
        <v/>
      </c>
      <c r="AO83" t="str">
        <f>IF('TMP Paste'!$F83="","",IF('TMP Paste'!$P83="",$AO82,'TMP Paste'!$P83))</f>
        <v/>
      </c>
      <c r="AP83">
        <f t="shared" si="11"/>
        <v>266</v>
      </c>
      <c r="AQ83" t="str">
        <f>IF($AS83="","",TRIM(IF(COUNTIFS(Calc!$B$2:$B$1601,ROW()-1,Calc!$C$2:$C$1601,"&lt;1")&gt;0,"Ada PO tanpa Koli - cek TMP. ","")&amp;IF(OR($AU83="",$AU83&lt;=0),"Volume kosong/0 - dimensi dikosongkan. ","")&amp;IF(AND($AU83&lt;&gt;"",$AU83&gt;=1000000),"Volume &gt;= 1.000.000 cm3 (di luar aturan) - dimensi dikosongkan. ","")&amp;IF(LEN($R83)&gt;500,"R &gt; 500 karakter.","")))</f>
        <v/>
      </c>
      <c r="AS83">
        <f>IFERROR(MATCH(ROW()-1,Calc!$J$2:$J$1601,0),"")</f>
        <v>185</v>
      </c>
      <c r="AT83">
        <f>IFERROR(MATCH(ROW()-1,Calc!$K$2:$K$1601,0),"")</f>
        <v>185</v>
      </c>
      <c r="AU83">
        <f>IF($AS83="","",IFERROR(INDEX('TMP Paste'!$D$2:$D$1601,$AS83)*1000000/$AB83,""))</f>
        <v>450</v>
      </c>
    </row>
    <row r="84" spans="1:47">
      <c r="A84" t="str">
        <f>IF($AS84="","",INDEX('TMP Paste'!$B$2:$B$1601,$AS84))</f>
        <v>AWB02WKSK</v>
      </c>
      <c r="B84">
        <f>IF($AS84="","",Config!$B$14)</f>
        <v>11398423</v>
      </c>
      <c r="C84" t="str">
        <f>IF($AS84="","",Config!$B$15)</f>
        <v>Corporate B2B Bundle</v>
      </c>
      <c r="D84" t="str">
        <f>IF($AS84="","",INDEX('TMP Paste'!$B$2:$B$1601,$AS84))</f>
        <v>AWB02WKSK</v>
      </c>
      <c r="E84" t="str">
        <f>IF($AS84="","",Config!$B$27)</f>
        <v>STANDARD</v>
      </c>
      <c r="F84" t="str">
        <f>IF($AS84="","",Config!$B$9)</f>
        <v>PT Teknologi Medika Pratama (SwipeRx) (B2BR)</v>
      </c>
      <c r="G84" t="str">
        <f>IF($AS84="","",Config!$B$10)</f>
        <v>087733785699</v>
      </c>
      <c r="H84" t="str">
        <f>IF($AS84="","",Config!$B$11)</f>
        <v>Jl. Tugu Raya, Tugu, Kec. Cimanggis, Kota Depok, Jawa Barat 16451,KUBIK LOGISTICS - Kompleks Pergudangan,Gudang E1</v>
      </c>
      <c r="I84" t="str">
        <f>IF($AS84="","",Config!$B$16)</f>
        <v>ID</v>
      </c>
      <c r="J84" t="str">
        <f>IF($AS84="","",INDEX('TMP Paste'!$A$2:$A$1601,$AS84))</f>
        <v>Apotek Zee33</v>
      </c>
      <c r="K84" t="str">
        <f>IF($AS84="","",INDEX('TMP Paste'!$L$2:$L$1601,$AS84))</f>
        <v>81398912227</v>
      </c>
      <c r="L84" t="str">
        <f>IF($AS84="","",INDEX('TMP Paste'!$I$2:$I$1601,$AS84))</f>
        <v>8423-Jl. Damai PBSI No. 3D RT.011 RW 01, Desa/Kelurahan Cipayung, Kec.  Cipayung, Kota Adm. Jakarta Timur,13840</v>
      </c>
      <c r="M84" t="str">
        <f>IF($AS84="","",Config!$B$16)</f>
        <v>ID</v>
      </c>
      <c r="N84" t="str">
        <f t="shared" si="6"/>
        <v/>
      </c>
      <c r="O84" t="str">
        <f>IF($AS84="","",INDEX('TMP Paste'!$K$2:$K$1601,$AS84))</f>
        <v>Kota Jakarta Timur</v>
      </c>
      <c r="P84" t="str">
        <f t="shared" si="7"/>
        <v/>
      </c>
      <c r="Q84">
        <f>IF($AS84="","",INDEX('TMP Paste'!$J$2:$J$1601,$AS84))</f>
        <v>13840</v>
      </c>
      <c r="R84" t="str">
        <f>IF($AS84="","",Config!$B$24)</f>
        <v>Delivery Note wajib ada nama penerima, ditandatangani dan distempel penerima. Jika di label tertera "SP Manual", maka dokumen SP Manual harus diminta ke penerima sesuai dengan jumlah PO yang butuh SP Manual. Apabila ada retur, catat di Delivery Note dan update ke IC</v>
      </c>
      <c r="S84" t="str">
        <f ca="1">IF($AS84="","",TEXT(Config!$B$4,"yyyy-mm-dd"))</f>
        <v>2026-08-18</v>
      </c>
      <c r="T84" t="str">
        <f>IF($AS84="","",Config!$B$17)</f>
        <v>09:00</v>
      </c>
      <c r="U84" t="str">
        <f>IF($AS84="","",Config!$B$18)</f>
        <v>22:00</v>
      </c>
      <c r="V84" t="str">
        <f>IF($AS84="","",Config!$B$19)</f>
        <v>Asia/Jakarta</v>
      </c>
      <c r="W84">
        <f>IF($AS84="","",INDEX('TMP Paste'!$C$2:$C$1601,$AS84))</f>
        <v>1.33</v>
      </c>
      <c r="X84" t="str">
        <f>IF($AS84="","",Config!$B$29)</f>
        <v>FALSE</v>
      </c>
      <c r="Y84" t="str">
        <f>IF($AT84="","",INDEX(Calc!$I$2:$I$1601,$AT84)&amp;" - "&amp;INDEX(Calc!$D$2:$D$1601,$AT84)&amp;" koli")</f>
        <v>26072801351421YjqMztyUO (1), 26072801381955q6rNfOrj1 (1), 26072801393651dSYnaEYGG (1) - 3 koli</v>
      </c>
      <c r="Z84" t="str">
        <f>IF($AS84="","",Config!$B$21)</f>
        <v>FALSE</v>
      </c>
      <c r="AA84" t="str">
        <f>IF($AS84="","",Config!$B$22)</f>
        <v>RDO</v>
      </c>
      <c r="AB84">
        <f>IF($AT84="","",INDEX(Calc!$D$2:$D$1601,$AT84))</f>
        <v>3</v>
      </c>
      <c r="AC84" t="str">
        <f>IF($AT84="","",INDEX(Calc!$G$2:$G$1601,$AT84))</f>
        <v>26072801351421YjqMztyUO-01, 26072801381955q6rNfOrj1-02, 26072801393651dSYnaEYGG-03</v>
      </c>
      <c r="AD84">
        <f>IF($AS84="","",Config!$B$23)</f>
        <v>0</v>
      </c>
      <c r="AE84">
        <f>IF($AS84="","",Config!$B$28)</f>
        <v>1</v>
      </c>
      <c r="AF84">
        <f t="shared" si="8"/>
        <v>10</v>
      </c>
      <c r="AG84">
        <f t="shared" si="9"/>
        <v>14.76</v>
      </c>
      <c r="AH84">
        <f t="shared" si="10"/>
        <v>10</v>
      </c>
      <c r="AI84">
        <f>IF($AG84="","",SUMIF($AG$2:$AG84,$AG84,$AH$2:$AH84))</f>
        <v>20</v>
      </c>
      <c r="AJ84" t="str">
        <f>IF('TMP Paste'!$F84="","",IF('TMP Paste'!$B84="",$AJ83,'TMP Paste'!$B84))</f>
        <v/>
      </c>
      <c r="AK84" t="str">
        <f>IF('TMP Paste'!$F84="","",N('TMP Paste'!$G84))</f>
        <v/>
      </c>
      <c r="AL84" t="str">
        <f>IF('TMP Paste'!$F84="","",IF('TMP Paste'!$M84="",$AL83,'TMP Paste'!$M84))</f>
        <v/>
      </c>
      <c r="AM84" t="str">
        <f>IF('TMP Paste'!$F84="","",IF('TMP Paste'!$N84="",$AM83,'TMP Paste'!$N84))</f>
        <v/>
      </c>
      <c r="AN84" t="str">
        <f>IF('TMP Paste'!$F84="","",IF('TMP Paste'!$O84="",$AN83,'TMP Paste'!$O84))</f>
        <v/>
      </c>
      <c r="AO84" t="str">
        <f>IF('TMP Paste'!$F84="","",IF('TMP Paste'!$P84="",$AO83,'TMP Paste'!$P84))</f>
        <v/>
      </c>
      <c r="AP84">
        <f t="shared" si="11"/>
        <v>266</v>
      </c>
      <c r="AQ84" t="str">
        <f>IF($AS84="","",TRIM(IF(COUNTIFS(Calc!$B$2:$B$1601,ROW()-1,Calc!$C$2:$C$1601,"&lt;1")&gt;0,"Ada PO tanpa Koli - cek TMP. ","")&amp;IF(OR($AU84="",$AU84&lt;=0),"Volume kosong/0 - dimensi dikosongkan. ","")&amp;IF(AND($AU84&lt;&gt;"",$AU84&gt;=1000000),"Volume &gt;= 1.000.000 cm3 (di luar aturan) - dimensi dikosongkan. ","")&amp;IF(LEN($R84)&gt;500,"R &gt; 500 karakter.","")))</f>
        <v/>
      </c>
      <c r="AS84">
        <f>IFERROR(MATCH(ROW()-1,Calc!$J$2:$J$1601,0),"")</f>
        <v>186</v>
      </c>
      <c r="AT84">
        <f>IFERROR(MATCH(ROW()-1,Calc!$K$2:$K$1601,0),"")</f>
        <v>188</v>
      </c>
      <c r="AU84">
        <f>IF($AS84="","",IFERROR(INDEX('TMP Paste'!$D$2:$D$1601,$AS84)*1000000/$AB84,""))</f>
        <v>1476</v>
      </c>
    </row>
    <row r="85" spans="1:47">
      <c r="A85" t="str">
        <f>IF($AS85="","",INDEX('TMP Paste'!$B$2:$B$1601,$AS85))</f>
        <v>AWB02WHX5</v>
      </c>
      <c r="B85">
        <f>IF($AS85="","",Config!$B$14)</f>
        <v>11398423</v>
      </c>
      <c r="C85" t="str">
        <f>IF($AS85="","",Config!$B$15)</f>
        <v>Corporate B2B Bundle</v>
      </c>
      <c r="D85" t="str">
        <f>IF($AS85="","",INDEX('TMP Paste'!$B$2:$B$1601,$AS85))</f>
        <v>AWB02WHX5</v>
      </c>
      <c r="E85" t="str">
        <f>IF($AS85="","",Config!$B$27)</f>
        <v>STANDARD</v>
      </c>
      <c r="F85" t="str">
        <f>IF($AS85="","",Config!$B$9)</f>
        <v>PT Teknologi Medika Pratama (SwipeRx) (B2BR)</v>
      </c>
      <c r="G85" t="str">
        <f>IF($AS85="","",Config!$B$10)</f>
        <v>087733785699</v>
      </c>
      <c r="H85" t="str">
        <f>IF($AS85="","",Config!$B$11)</f>
        <v>Jl. Tugu Raya, Tugu, Kec. Cimanggis, Kota Depok, Jawa Barat 16451,KUBIK LOGISTICS - Kompleks Pergudangan,Gudang E1</v>
      </c>
      <c r="I85" t="str">
        <f>IF($AS85="","",Config!$B$16)</f>
        <v>ID</v>
      </c>
      <c r="J85" t="str">
        <f>IF($AS85="","",INDEX('TMP Paste'!$A$2:$A$1601,$AS85))</f>
        <v>Klinik Berkah Medika Tirtajaya Sukmajaya</v>
      </c>
      <c r="K85" t="str">
        <f>IF($AS85="","",INDEX('TMP Paste'!$L$2:$L$1601,$AS85))</f>
        <v>6285711483438</v>
      </c>
      <c r="L85" t="str">
        <f>IF($AS85="","",INDEX('TMP Paste'!$I$2:$I$1601,$AS85))</f>
        <v>12709-Perumahan Grand Depok City, Ruko Anggrek I Blok C1 no 29 RT007 RW004 Kel. Tirtajaya Kec. Sukmajaya Kota Depok</v>
      </c>
      <c r="M85" t="str">
        <f>IF($AS85="","",Config!$B$16)</f>
        <v>ID</v>
      </c>
      <c r="N85" t="str">
        <f t="shared" si="6"/>
        <v/>
      </c>
      <c r="O85" t="str">
        <f>IF($AS85="","",INDEX('TMP Paste'!$K$2:$K$1601,$AS85))</f>
        <v>Kota Depok</v>
      </c>
      <c r="P85" t="str">
        <f t="shared" si="7"/>
        <v/>
      </c>
      <c r="Q85">
        <f>IF($AS85="","",INDEX('TMP Paste'!$J$2:$J$1601,$AS85))</f>
        <v>16412</v>
      </c>
      <c r="R85" t="str">
        <f>IF($AS85="","",Config!$B$24)</f>
        <v>Delivery Note wajib ada nama penerima, ditandatangani dan distempel penerima. Jika di label tertera "SP Manual", maka dokumen SP Manual harus diminta ke penerima sesuai dengan jumlah PO yang butuh SP Manual. Apabila ada retur, catat di Delivery Note dan update ke IC</v>
      </c>
      <c r="S85" t="str">
        <f ca="1">IF($AS85="","",TEXT(Config!$B$4,"yyyy-mm-dd"))</f>
        <v>2026-08-18</v>
      </c>
      <c r="T85" t="str">
        <f>IF($AS85="","",Config!$B$17)</f>
        <v>09:00</v>
      </c>
      <c r="U85" t="str">
        <f>IF($AS85="","",Config!$B$18)</f>
        <v>22:00</v>
      </c>
      <c r="V85" t="str">
        <f>IF($AS85="","",Config!$B$19)</f>
        <v>Asia/Jakarta</v>
      </c>
      <c r="W85">
        <f>IF($AS85="","",INDEX('TMP Paste'!$C$2:$C$1601,$AS85))</f>
        <v>0.34</v>
      </c>
      <c r="X85" t="str">
        <f>IF($AS85="","",Config!$B$29)</f>
        <v>FALSE</v>
      </c>
      <c r="Y85" t="str">
        <f>IF($AT85="","",INDEX(Calc!$I$2:$I$1601,$AT85)&amp;" - "&amp;INDEX(Calc!$D$2:$D$1601,$AT85)&amp;" koli")</f>
        <v>26072705432463mCmdfsUG (1), 26072705432463mFMaJfopF2 (1), 26072705480412Qsdw0vhHZ (1) - 3 koli</v>
      </c>
      <c r="Z85" t="str">
        <f>IF($AS85="","",Config!$B$21)</f>
        <v>FALSE</v>
      </c>
      <c r="AA85" t="str">
        <f>IF($AS85="","",Config!$B$22)</f>
        <v>RDO</v>
      </c>
      <c r="AB85">
        <f>IF($AT85="","",INDEX(Calc!$D$2:$D$1601,$AT85))</f>
        <v>3</v>
      </c>
      <c r="AC85" t="str">
        <f>IF($AT85="","",INDEX(Calc!$G$2:$G$1601,$AT85))</f>
        <v>26072705432463mCmdfsUG-01, 26072705432463mFMaJfopF2-02, 26072705480412Qsdw0vhHZ-03</v>
      </c>
      <c r="AD85">
        <f>IF($AS85="","",Config!$B$23)</f>
        <v>0</v>
      </c>
      <c r="AE85">
        <f>IF($AS85="","",Config!$B$28)</f>
        <v>1</v>
      </c>
      <c r="AF85">
        <f t="shared" si="8"/>
        <v>10</v>
      </c>
      <c r="AG85">
        <f t="shared" si="9"/>
        <v>8.41333333333333</v>
      </c>
      <c r="AH85">
        <f t="shared" si="10"/>
        <v>10</v>
      </c>
      <c r="AI85">
        <f>IF($AG85="","",SUMIF($AG$2:$AG85,$AG85,$AH$2:$AH85))</f>
        <v>10</v>
      </c>
      <c r="AJ85" t="str">
        <f>IF('TMP Paste'!$F85="","",IF('TMP Paste'!$B85="",$AJ84,'TMP Paste'!$B85))</f>
        <v>AWB02WHKT</v>
      </c>
      <c r="AK85">
        <f>IF('TMP Paste'!$F85="","",N('TMP Paste'!$G85))</f>
        <v>0</v>
      </c>
      <c r="AL85">
        <f>IF('TMP Paste'!$F85="","",IF('TMP Paste'!$M85="",$AL84,'TMP Paste'!$M85))</f>
        <v>1</v>
      </c>
      <c r="AM85" t="str">
        <f>IF('TMP Paste'!$F85="","",IF('TMP Paste'!$N85="",$AM84,'TMP Paste'!$N85))</f>
        <v/>
      </c>
      <c r="AN85" t="str">
        <f>IF('TMP Paste'!$F85="","",IF('TMP Paste'!$O85="",$AN84,'TMP Paste'!$O85))</f>
        <v/>
      </c>
      <c r="AO85" t="str">
        <f>IF('TMP Paste'!$F85="","",IF('TMP Paste'!$P85="",$AO84,'TMP Paste'!$P85))</f>
        <v/>
      </c>
      <c r="AP85">
        <f t="shared" si="11"/>
        <v>266</v>
      </c>
      <c r="AQ85" t="str">
        <f>IF($AS85="","",TRIM(IF(COUNTIFS(Calc!$B$2:$B$1601,ROW()-1,Calc!$C$2:$C$1601,"&lt;1")&gt;0,"Ada PO tanpa Koli - cek TMP. ","")&amp;IF(OR($AU85="",$AU85&lt;=0),"Volume kosong/0 - dimensi dikosongkan. ","")&amp;IF(AND($AU85&lt;&gt;"",$AU85&gt;=1000000),"Volume &gt;= 1.000.000 cm3 (di luar aturan) - dimensi dikosongkan. ","")&amp;IF(LEN($R85)&gt;500,"R &gt; 500 karakter.","")))</f>
        <v/>
      </c>
      <c r="AS85">
        <f>IFERROR(MATCH(ROW()-1,Calc!$J$2:$J$1601,0),"")</f>
        <v>189</v>
      </c>
      <c r="AT85">
        <f>IFERROR(MATCH(ROW()-1,Calc!$K$2:$K$1601,0),"")</f>
        <v>191</v>
      </c>
      <c r="AU85">
        <f>IF($AS85="","",IFERROR(INDEX('TMP Paste'!$D$2:$D$1601,$AS85)*1000000/$AB85,""))</f>
        <v>841.333333333333</v>
      </c>
    </row>
    <row r="86" spans="1:47">
      <c r="A86" t="str">
        <f>IF($AS86="","",INDEX('TMP Paste'!$B$2:$B$1601,$AS86))</f>
        <v>AWB02WKLC</v>
      </c>
      <c r="B86">
        <f>IF($AS86="","",Config!$B$14)</f>
        <v>11398423</v>
      </c>
      <c r="C86" t="str">
        <f>IF($AS86="","",Config!$B$15)</f>
        <v>Corporate B2B Bundle</v>
      </c>
      <c r="D86" t="str">
        <f>IF($AS86="","",INDEX('TMP Paste'!$B$2:$B$1601,$AS86))</f>
        <v>AWB02WKLC</v>
      </c>
      <c r="E86" t="str">
        <f>IF($AS86="","",Config!$B$27)</f>
        <v>STANDARD</v>
      </c>
      <c r="F86" t="str">
        <f>IF($AS86="","",Config!$B$9)</f>
        <v>PT Teknologi Medika Pratama (SwipeRx) (B2BR)</v>
      </c>
      <c r="G86" t="str">
        <f>IF($AS86="","",Config!$B$10)</f>
        <v>087733785699</v>
      </c>
      <c r="H86" t="str">
        <f>IF($AS86="","",Config!$B$11)</f>
        <v>Jl. Tugu Raya, Tugu, Kec. Cimanggis, Kota Depok, Jawa Barat 16451,KUBIK LOGISTICS - Kompleks Pergudangan,Gudang E1</v>
      </c>
      <c r="I86" t="str">
        <f>IF($AS86="","",Config!$B$16)</f>
        <v>ID</v>
      </c>
      <c r="J86" t="str">
        <f>IF($AS86="","",INDEX('TMP Paste'!$A$2:$A$1601,$AS86))</f>
        <v>Klinik Pratama Andani Sehat Bedahan Sawangan</v>
      </c>
      <c r="K86" t="str">
        <f>IF($AS86="","",INDEX('TMP Paste'!$L$2:$L$1601,$AS86))</f>
        <v>6281244276296</v>
      </c>
      <c r="L86" t="str">
        <f>IF($AS86="","",INDEX('TMP Paste'!$I$2:$I$1601,$AS86))</f>
        <v>12007-Jl. Babakan no. 138 RT. 05 RW. 07 Kel. Bedahan Kec. Sawangan Kota Depok</v>
      </c>
      <c r="M86" t="str">
        <f>IF($AS86="","",Config!$B$16)</f>
        <v>ID</v>
      </c>
      <c r="N86" t="str">
        <f t="shared" si="6"/>
        <v/>
      </c>
      <c r="O86" t="str">
        <f>IF($AS86="","",INDEX('TMP Paste'!$K$2:$K$1601,$AS86))</f>
        <v>Kota Depok</v>
      </c>
      <c r="P86" t="str">
        <f t="shared" si="7"/>
        <v/>
      </c>
      <c r="Q86">
        <f>IF($AS86="","",INDEX('TMP Paste'!$J$2:$J$1601,$AS86))</f>
        <v>16519</v>
      </c>
      <c r="R86" t="str">
        <f>IF($AS86="","",Config!$B$24)</f>
        <v>Delivery Note wajib ada nama penerima, ditandatangani dan distempel penerima. Jika di label tertera "SP Manual", maka dokumen SP Manual harus diminta ke penerima sesuai dengan jumlah PO yang butuh SP Manual. Apabila ada retur, catat di Delivery Note dan update ke IC</v>
      </c>
      <c r="S86" t="str">
        <f ca="1">IF($AS86="","",TEXT(Config!$B$4,"yyyy-mm-dd"))</f>
        <v>2026-08-18</v>
      </c>
      <c r="T86" t="str">
        <f>IF($AS86="","",Config!$B$17)</f>
        <v>09:00</v>
      </c>
      <c r="U86" t="str">
        <f>IF($AS86="","",Config!$B$18)</f>
        <v>22:00</v>
      </c>
      <c r="V86" t="str">
        <f>IF($AS86="","",Config!$B$19)</f>
        <v>Asia/Jakarta</v>
      </c>
      <c r="W86">
        <f>IF($AS86="","",INDEX('TMP Paste'!$C$2:$C$1601,$AS86))</f>
        <v>1.37</v>
      </c>
      <c r="X86" t="str">
        <f>IF($AS86="","",Config!$B$29)</f>
        <v>FALSE</v>
      </c>
      <c r="Y86" t="str">
        <f>IF($AT86="","",INDEX(Calc!$I$2:$I$1601,$AT86)&amp;" - "&amp;INDEX(Calc!$D$2:$D$1601,$AT86)&amp;" koli")</f>
        <v>26072801113514LZIuux8B0 (1), 26072801321757afuJi4A5 (1) - 2 koli</v>
      </c>
      <c r="Z86" t="str">
        <f>IF($AS86="","",Config!$B$21)</f>
        <v>FALSE</v>
      </c>
      <c r="AA86" t="str">
        <f>IF($AS86="","",Config!$B$22)</f>
        <v>RDO</v>
      </c>
      <c r="AB86">
        <f>IF($AT86="","",INDEX(Calc!$D$2:$D$1601,$AT86))</f>
        <v>2</v>
      </c>
      <c r="AC86" t="str">
        <f>IF($AT86="","",INDEX(Calc!$G$2:$G$1601,$AT86))</f>
        <v>26072801113514LZIuux8B0-01, 26072801321757afuJi4A5-02</v>
      </c>
      <c r="AD86">
        <f>IF($AS86="","",Config!$B$23)</f>
        <v>0</v>
      </c>
      <c r="AE86">
        <f>IF($AS86="","",Config!$B$28)</f>
        <v>1</v>
      </c>
      <c r="AF86">
        <f t="shared" si="8"/>
        <v>10</v>
      </c>
      <c r="AG86">
        <f t="shared" si="9"/>
        <v>26.11</v>
      </c>
      <c r="AH86">
        <f t="shared" si="10"/>
        <v>10</v>
      </c>
      <c r="AI86">
        <f>IF($AG86="","",SUMIF($AG$2:$AG86,$AG86,$AH$2:$AH86))</f>
        <v>10</v>
      </c>
      <c r="AJ86" t="str">
        <f>IF('TMP Paste'!$F86="","",IF('TMP Paste'!$B86="",$AJ85,'TMP Paste'!$B86))</f>
        <v/>
      </c>
      <c r="AK86" t="str">
        <f>IF('TMP Paste'!$F86="","",N('TMP Paste'!$G86))</f>
        <v/>
      </c>
      <c r="AL86" t="str">
        <f>IF('TMP Paste'!$F86="","",IF('TMP Paste'!$M86="",$AL85,'TMP Paste'!$M86))</f>
        <v/>
      </c>
      <c r="AM86" t="str">
        <f>IF('TMP Paste'!$F86="","",IF('TMP Paste'!$N86="",$AM85,'TMP Paste'!$N86))</f>
        <v/>
      </c>
      <c r="AN86" t="str">
        <f>IF('TMP Paste'!$F86="","",IF('TMP Paste'!$O86="",$AN85,'TMP Paste'!$O86))</f>
        <v/>
      </c>
      <c r="AO86" t="str">
        <f>IF('TMP Paste'!$F86="","",IF('TMP Paste'!$P86="",$AO85,'TMP Paste'!$P86))</f>
        <v/>
      </c>
      <c r="AP86">
        <f t="shared" si="11"/>
        <v>266</v>
      </c>
      <c r="AQ86" t="str">
        <f>IF($AS86="","",TRIM(IF(COUNTIFS(Calc!$B$2:$B$1601,ROW()-1,Calc!$C$2:$C$1601,"&lt;1")&gt;0,"Ada PO tanpa Koli - cek TMP. ","")&amp;IF(OR($AU86="",$AU86&lt;=0),"Volume kosong/0 - dimensi dikosongkan. ","")&amp;IF(AND($AU86&lt;&gt;"",$AU86&gt;=1000000),"Volume &gt;= 1.000.000 cm3 (di luar aturan) - dimensi dikosongkan. ","")&amp;IF(LEN($R86)&gt;500,"R &gt; 500 karakter.","")))</f>
        <v/>
      </c>
      <c r="AS86">
        <f>IFERROR(MATCH(ROW()-1,Calc!$J$2:$J$1601,0),"")</f>
        <v>192</v>
      </c>
      <c r="AT86">
        <f>IFERROR(MATCH(ROW()-1,Calc!$K$2:$K$1601,0),"")</f>
        <v>193</v>
      </c>
      <c r="AU86">
        <f>IF($AS86="","",IFERROR(INDEX('TMP Paste'!$D$2:$D$1601,$AS86)*1000000/$AB86,""))</f>
        <v>2611</v>
      </c>
    </row>
    <row r="87" spans="1:47">
      <c r="A87" t="str">
        <f>IF($AS87="","",INDEX('TMP Paste'!$B$2:$B$1601,$AS87))</f>
        <v>AWB02WMFW</v>
      </c>
      <c r="B87">
        <f>IF($AS87="","",Config!$B$14)</f>
        <v>11398423</v>
      </c>
      <c r="C87" t="str">
        <f>IF($AS87="","",Config!$B$15)</f>
        <v>Corporate B2B Bundle</v>
      </c>
      <c r="D87" t="str">
        <f>IF($AS87="","",INDEX('TMP Paste'!$B$2:$B$1601,$AS87))</f>
        <v>AWB02WMFW</v>
      </c>
      <c r="E87" t="str">
        <f>IF($AS87="","",Config!$B$27)</f>
        <v>STANDARD</v>
      </c>
      <c r="F87" t="str">
        <f>IF($AS87="","",Config!$B$9)</f>
        <v>PT Teknologi Medika Pratama (SwipeRx) (B2BR)</v>
      </c>
      <c r="G87" t="str">
        <f>IF($AS87="","",Config!$B$10)</f>
        <v>087733785699</v>
      </c>
      <c r="H87" t="str">
        <f>IF($AS87="","",Config!$B$11)</f>
        <v>Jl. Tugu Raya, Tugu, Kec. Cimanggis, Kota Depok, Jawa Barat 16451,KUBIK LOGISTICS - Kompleks Pergudangan,Gudang E1</v>
      </c>
      <c r="I87" t="str">
        <f>IF($AS87="","",Config!$B$16)</f>
        <v>ID</v>
      </c>
      <c r="J87" t="str">
        <f>IF($AS87="","",INDEX('TMP Paste'!$A$2:$A$1601,$AS87))</f>
        <v>Klinik Pratama Bhakti Kerinci</v>
      </c>
      <c r="K87" t="str">
        <f>IF($AS87="","",INDEX('TMP Paste'!$L$2:$L$1601,$AS87))</f>
        <v>87781998785</v>
      </c>
      <c r="L87" t="str">
        <f>IF($AS87="","",INDEX('TMP Paste'!$I$2:$I$1601,$AS87))</f>
        <v>1241-Jalan Kerinci III No.5 RT 001/026 Kelurahan Abadijaya Kecamatan Sukmajaya  Depok 16417</v>
      </c>
      <c r="M87" t="str">
        <f>IF($AS87="","",Config!$B$16)</f>
        <v>ID</v>
      </c>
      <c r="N87" t="str">
        <f t="shared" si="6"/>
        <v/>
      </c>
      <c r="O87" t="str">
        <f>IF($AS87="","",INDEX('TMP Paste'!$K$2:$K$1601,$AS87))</f>
        <v>Kota Depok</v>
      </c>
      <c r="P87" t="str">
        <f t="shared" si="7"/>
        <v/>
      </c>
      <c r="Q87">
        <f>IF($AS87="","",INDEX('TMP Paste'!$J$2:$J$1601,$AS87))</f>
        <v>16417</v>
      </c>
      <c r="R87" t="str">
        <f>IF($AS87="","",Config!$B$24)</f>
        <v>Delivery Note wajib ada nama penerima, ditandatangani dan distempel penerima. Jika di label tertera "SP Manual", maka dokumen SP Manual harus diminta ke penerima sesuai dengan jumlah PO yang butuh SP Manual. Apabila ada retur, catat di Delivery Note dan update ke IC</v>
      </c>
      <c r="S87" t="str">
        <f ca="1">IF($AS87="","",TEXT(Config!$B$4,"yyyy-mm-dd"))</f>
        <v>2026-08-18</v>
      </c>
      <c r="T87" t="str">
        <f>IF($AS87="","",Config!$B$17)</f>
        <v>09:00</v>
      </c>
      <c r="U87" t="str">
        <f>IF($AS87="","",Config!$B$18)</f>
        <v>22:00</v>
      </c>
      <c r="V87" t="str">
        <f>IF($AS87="","",Config!$B$19)</f>
        <v>Asia/Jakarta</v>
      </c>
      <c r="W87">
        <f>IF($AS87="","",INDEX('TMP Paste'!$C$2:$C$1601,$AS87))</f>
        <v>21.85</v>
      </c>
      <c r="X87" t="str">
        <f>IF($AS87="","",Config!$B$29)</f>
        <v>FALSE</v>
      </c>
      <c r="Y87" t="str">
        <f>IF($AT87="","",INDEX(Calc!$I$2:$I$1601,$AT87)&amp;" - "&amp;INDEX(Calc!$D$2:$D$1601,$AT87)&amp;" koli")</f>
        <v>26072804002186oZi2kDBx9 (6) - 6 koli</v>
      </c>
      <c r="Z87" t="str">
        <f>IF($AS87="","",Config!$B$21)</f>
        <v>FALSE</v>
      </c>
      <c r="AA87" t="str">
        <f>IF($AS87="","",Config!$B$22)</f>
        <v>RDO</v>
      </c>
      <c r="AB87">
        <f>IF($AT87="","",INDEX(Calc!$D$2:$D$1601,$AT87))</f>
        <v>6</v>
      </c>
      <c r="AC87" t="str">
        <f>IF($AT87="","",INDEX(Calc!$G$2:$G$1601,$AT87))</f>
        <v>26072804002186oZi2kDBx9-01, 26072804002186oZi2kDBx9-02, 26072804002186oZi2kDBx9-03, 26072804002186oZi2kDBx9-04, 26072804002186oZi2kDBx9-05, 26072804002186oZi2kDBx9-06</v>
      </c>
      <c r="AD87">
        <f>IF($AS87="","",Config!$B$23)</f>
        <v>0</v>
      </c>
      <c r="AE87">
        <f>IF($AS87="","",Config!$B$28)</f>
        <v>1</v>
      </c>
      <c r="AF87">
        <f t="shared" si="8"/>
        <v>100</v>
      </c>
      <c r="AG87">
        <f t="shared" si="9"/>
        <v>19.755</v>
      </c>
      <c r="AH87">
        <f t="shared" si="10"/>
        <v>10</v>
      </c>
      <c r="AI87">
        <f>IF($AG87="","",SUMIF($AG$2:$AG87,$AG87,$AH$2:$AH87))</f>
        <v>10</v>
      </c>
      <c r="AJ87" t="str">
        <f>IF('TMP Paste'!$F87="","",IF('TMP Paste'!$B87="",$AJ86,'TMP Paste'!$B87))</f>
        <v>AWB02WKAF</v>
      </c>
      <c r="AK87">
        <f>IF('TMP Paste'!$F87="","",N('TMP Paste'!$G87))</f>
        <v>0</v>
      </c>
      <c r="AL87">
        <f>IF('TMP Paste'!$F87="","",IF('TMP Paste'!$M87="",$AL86,'TMP Paste'!$M87))</f>
        <v>1</v>
      </c>
      <c r="AM87" t="str">
        <f>IF('TMP Paste'!$F87="","",IF('TMP Paste'!$N87="",$AM86,'TMP Paste'!$N87))</f>
        <v/>
      </c>
      <c r="AN87" t="str">
        <f>IF('TMP Paste'!$F87="","",IF('TMP Paste'!$O87="",$AN86,'TMP Paste'!$O87))</f>
        <v/>
      </c>
      <c r="AO87" t="str">
        <f>IF('TMP Paste'!$F87="","",IF('TMP Paste'!$P87="",$AO86,'TMP Paste'!$P87))</f>
        <v/>
      </c>
      <c r="AP87">
        <f t="shared" si="11"/>
        <v>266</v>
      </c>
      <c r="AQ87" t="str">
        <f>IF($AS87="","",TRIM(IF(COUNTIFS(Calc!$B$2:$B$1601,ROW()-1,Calc!$C$2:$C$1601,"&lt;1")&gt;0,"Ada PO tanpa Koli - cek TMP. ","")&amp;IF(OR($AU87="",$AU87&lt;=0),"Volume kosong/0 - dimensi dikosongkan. ","")&amp;IF(AND($AU87&lt;&gt;"",$AU87&gt;=1000000),"Volume &gt;= 1.000.000 cm3 (di luar aturan) - dimensi dikosongkan. ","")&amp;IF(LEN($R87)&gt;500,"R &gt; 500 karakter.","")))</f>
        <v/>
      </c>
      <c r="AS87">
        <f>IFERROR(MATCH(ROW()-1,Calc!$J$2:$J$1601,0),"")</f>
        <v>194</v>
      </c>
      <c r="AT87">
        <f>IFERROR(MATCH(ROW()-1,Calc!$K$2:$K$1601,0),"")</f>
        <v>194</v>
      </c>
      <c r="AU87">
        <f>IF($AS87="","",IFERROR(INDEX('TMP Paste'!$D$2:$D$1601,$AS87)*1000000/$AB87,""))</f>
        <v>19755</v>
      </c>
    </row>
    <row r="88" spans="1:47">
      <c r="A88" t="str">
        <f>IF($AS88="","",INDEX('TMP Paste'!$B$2:$B$1601,$AS88))</f>
        <v>AWB02WLRX</v>
      </c>
      <c r="B88">
        <f>IF($AS88="","",Config!$B$14)</f>
        <v>11398423</v>
      </c>
      <c r="C88" t="str">
        <f>IF($AS88="","",Config!$B$15)</f>
        <v>Corporate B2B Bundle</v>
      </c>
      <c r="D88" t="str">
        <f>IF($AS88="","",INDEX('TMP Paste'!$B$2:$B$1601,$AS88))</f>
        <v>AWB02WLRX</v>
      </c>
      <c r="E88" t="str">
        <f>IF($AS88="","",Config!$B$27)</f>
        <v>STANDARD</v>
      </c>
      <c r="F88" t="str">
        <f>IF($AS88="","",Config!$B$9)</f>
        <v>PT Teknologi Medika Pratama (SwipeRx) (B2BR)</v>
      </c>
      <c r="G88" t="str">
        <f>IF($AS88="","",Config!$B$10)</f>
        <v>087733785699</v>
      </c>
      <c r="H88" t="str">
        <f>IF($AS88="","",Config!$B$11)</f>
        <v>Jl. Tugu Raya, Tugu, Kec. Cimanggis, Kota Depok, Jawa Barat 16451,KUBIK LOGISTICS - Kompleks Pergudangan,Gudang E1</v>
      </c>
      <c r="I88" t="str">
        <f>IF($AS88="","",Config!$B$16)</f>
        <v>ID</v>
      </c>
      <c r="J88" t="str">
        <f>IF($AS88="","",INDEX('TMP Paste'!$A$2:$A$1601,$AS88))</f>
        <v>Klinik Pratama dr Salma Pd Jaya Cipayung</v>
      </c>
      <c r="K88" t="str">
        <f>IF($AS88="","",INDEX('TMP Paste'!$L$2:$L$1601,$AS88))</f>
        <v>628176684929</v>
      </c>
      <c r="L88" t="str">
        <f>IF($AS88="","",INDEX('TMP Paste'!$I$2:$I$1601,$AS88))</f>
        <v>12048-Permata Depok Berlian D1/2 RT 03 RW 07 Kel. Pondok Jaya Kec. Cipayung Kota Depok</v>
      </c>
      <c r="M88" t="str">
        <f>IF($AS88="","",Config!$B$16)</f>
        <v>ID</v>
      </c>
      <c r="N88" t="str">
        <f t="shared" si="6"/>
        <v/>
      </c>
      <c r="O88" t="str">
        <f>IF($AS88="","",INDEX('TMP Paste'!$K$2:$K$1601,$AS88))</f>
        <v>Kota Depok</v>
      </c>
      <c r="P88" t="str">
        <f t="shared" si="7"/>
        <v/>
      </c>
      <c r="Q88">
        <f>IF($AS88="","",INDEX('TMP Paste'!$J$2:$J$1601,$AS88))</f>
        <v>16438</v>
      </c>
      <c r="R88" t="str">
        <f>IF($AS88="","",Config!$B$24)</f>
        <v>Delivery Note wajib ada nama penerima, ditandatangani dan distempel penerima. Jika di label tertera "SP Manual", maka dokumen SP Manual harus diminta ke penerima sesuai dengan jumlah PO yang butuh SP Manual. Apabila ada retur, catat di Delivery Note dan update ke IC</v>
      </c>
      <c r="S88" t="str">
        <f ca="1">IF($AS88="","",TEXT(Config!$B$4,"yyyy-mm-dd"))</f>
        <v>2026-08-18</v>
      </c>
      <c r="T88" t="str">
        <f>IF($AS88="","",Config!$B$17)</f>
        <v>09:00</v>
      </c>
      <c r="U88" t="str">
        <f>IF($AS88="","",Config!$B$18)</f>
        <v>22:00</v>
      </c>
      <c r="V88" t="str">
        <f>IF($AS88="","",Config!$B$19)</f>
        <v>Asia/Jakarta</v>
      </c>
      <c r="W88">
        <f>IF($AS88="","",INDEX('TMP Paste'!$C$2:$C$1601,$AS88))</f>
        <v>2.74</v>
      </c>
      <c r="X88" t="str">
        <f>IF($AS88="","",Config!$B$29)</f>
        <v>FALSE</v>
      </c>
      <c r="Y88" t="str">
        <f>IF($AT88="","",INDEX(Calc!$I$2:$I$1601,$AT88)&amp;" - "&amp;INDEX(Calc!$D$2:$D$1601,$AT88)&amp;" koli")</f>
        <v>26072803021338Zh4QmNI (2) - 2 koli</v>
      </c>
      <c r="Z88" t="str">
        <f>IF($AS88="","",Config!$B$21)</f>
        <v>FALSE</v>
      </c>
      <c r="AA88" t="str">
        <f>IF($AS88="","",Config!$B$22)</f>
        <v>RDO</v>
      </c>
      <c r="AB88">
        <f>IF($AT88="","",INDEX(Calc!$D$2:$D$1601,$AT88))</f>
        <v>2</v>
      </c>
      <c r="AC88" t="str">
        <f>IF($AT88="","",INDEX(Calc!$G$2:$G$1601,$AT88))</f>
        <v>26072803021338Zh4QmNI-01, 26072803021338Zh4QmNI-02</v>
      </c>
      <c r="AD88">
        <f>IF($AS88="","",Config!$B$23)</f>
        <v>0</v>
      </c>
      <c r="AE88">
        <f>IF($AS88="","",Config!$B$28)</f>
        <v>1</v>
      </c>
      <c r="AF88">
        <f t="shared" si="8"/>
        <v>10</v>
      </c>
      <c r="AG88">
        <f t="shared" si="9"/>
        <v>51.26</v>
      </c>
      <c r="AH88">
        <f t="shared" si="10"/>
        <v>10</v>
      </c>
      <c r="AI88">
        <f>IF($AG88="","",SUMIF($AG$2:$AG88,$AG88,$AH$2:$AH88))</f>
        <v>10</v>
      </c>
      <c r="AJ88" t="str">
        <f>IF('TMP Paste'!$F88="","",IF('TMP Paste'!$B88="",$AJ87,'TMP Paste'!$B88))</f>
        <v/>
      </c>
      <c r="AK88" t="str">
        <f>IF('TMP Paste'!$F88="","",N('TMP Paste'!$G88))</f>
        <v/>
      </c>
      <c r="AL88" t="str">
        <f>IF('TMP Paste'!$F88="","",IF('TMP Paste'!$M88="",$AL87,'TMP Paste'!$M88))</f>
        <v/>
      </c>
      <c r="AM88" t="str">
        <f>IF('TMP Paste'!$F88="","",IF('TMP Paste'!$N88="",$AM87,'TMP Paste'!$N88))</f>
        <v/>
      </c>
      <c r="AN88" t="str">
        <f>IF('TMP Paste'!$F88="","",IF('TMP Paste'!$O88="",$AN87,'TMP Paste'!$O88))</f>
        <v/>
      </c>
      <c r="AO88" t="str">
        <f>IF('TMP Paste'!$F88="","",IF('TMP Paste'!$P88="",$AO87,'TMP Paste'!$P88))</f>
        <v/>
      </c>
      <c r="AP88">
        <f t="shared" si="11"/>
        <v>266</v>
      </c>
      <c r="AQ88" t="str">
        <f>IF($AS88="","",TRIM(IF(COUNTIFS(Calc!$B$2:$B$1601,ROW()-1,Calc!$C$2:$C$1601,"&lt;1")&gt;0,"Ada PO tanpa Koli - cek TMP. ","")&amp;IF(OR($AU88="",$AU88&lt;=0),"Volume kosong/0 - dimensi dikosongkan. ","")&amp;IF(AND($AU88&lt;&gt;"",$AU88&gt;=1000000),"Volume &gt;= 1.000.000 cm3 (di luar aturan) - dimensi dikosongkan. ","")&amp;IF(LEN($R88)&gt;500,"R &gt; 500 karakter.","")))</f>
        <v/>
      </c>
      <c r="AS88">
        <f>IFERROR(MATCH(ROW()-1,Calc!$J$2:$J$1601,0),"")</f>
        <v>195</v>
      </c>
      <c r="AT88">
        <f>IFERROR(MATCH(ROW()-1,Calc!$K$2:$K$1601,0),"")</f>
        <v>195</v>
      </c>
      <c r="AU88">
        <f>IF($AS88="","",IFERROR(INDEX('TMP Paste'!$D$2:$D$1601,$AS88)*1000000/$AB88,""))</f>
        <v>5126</v>
      </c>
    </row>
    <row r="89" spans="1:47">
      <c r="A89" t="str">
        <f>IF($AS89="","",INDEX('TMP Paste'!$B$2:$B$1601,$AS89))</f>
        <v>AWB02WLJ5</v>
      </c>
      <c r="B89">
        <f>IF($AS89="","",Config!$B$14)</f>
        <v>11398423</v>
      </c>
      <c r="C89" t="str">
        <f>IF($AS89="","",Config!$B$15)</f>
        <v>Corporate B2B Bundle</v>
      </c>
      <c r="D89" t="str">
        <f>IF($AS89="","",INDEX('TMP Paste'!$B$2:$B$1601,$AS89))</f>
        <v>AWB02WLJ5</v>
      </c>
      <c r="E89" t="str">
        <f>IF($AS89="","",Config!$B$27)</f>
        <v>STANDARD</v>
      </c>
      <c r="F89" t="str">
        <f>IF($AS89="","",Config!$B$9)</f>
        <v>PT Teknologi Medika Pratama (SwipeRx) (B2BR)</v>
      </c>
      <c r="G89" t="str">
        <f>IF($AS89="","",Config!$B$10)</f>
        <v>087733785699</v>
      </c>
      <c r="H89" t="str">
        <f>IF($AS89="","",Config!$B$11)</f>
        <v>Jl. Tugu Raya, Tugu, Kec. Cimanggis, Kota Depok, Jawa Barat 16451,KUBIK LOGISTICS - Kompleks Pergudangan,Gudang E1</v>
      </c>
      <c r="I89" t="str">
        <f>IF($AS89="","",Config!$B$16)</f>
        <v>ID</v>
      </c>
      <c r="J89" t="str">
        <f>IF($AS89="","",INDEX('TMP Paste'!$A$2:$A$1601,$AS89))</f>
        <v>Klinik Pratama Indria Medicare Jatimelati Pd Melati</v>
      </c>
      <c r="K89" t="str">
        <f>IF($AS89="","",INDEX('TMP Paste'!$L$2:$L$1601,$AS89))</f>
        <v>6281213640831</v>
      </c>
      <c r="L89" t="str">
        <f>IF($AS89="","",INDEX('TMP Paste'!$I$2:$I$1601,$AS89))</f>
        <v>11186-JI. Kp Sawah No.30 RT 005 RW 004 Kel. Jatimelati Kec. Pondok Melati Kota Bekasi</v>
      </c>
      <c r="M89" t="str">
        <f>IF($AS89="","",Config!$B$16)</f>
        <v>ID</v>
      </c>
      <c r="N89" t="str">
        <f t="shared" si="6"/>
        <v/>
      </c>
      <c r="O89" t="str">
        <f>IF($AS89="","",INDEX('TMP Paste'!$K$2:$K$1601,$AS89))</f>
        <v>Kota Bekasi</v>
      </c>
      <c r="P89" t="str">
        <f t="shared" si="7"/>
        <v/>
      </c>
      <c r="Q89">
        <f>IF($AS89="","",INDEX('TMP Paste'!$J$2:$J$1601,$AS89))</f>
        <v>17414</v>
      </c>
      <c r="R89" t="str">
        <f>IF($AS89="","",Config!$B$24)</f>
        <v>Delivery Note wajib ada nama penerima, ditandatangani dan distempel penerima. Jika di label tertera "SP Manual", maka dokumen SP Manual harus diminta ke penerima sesuai dengan jumlah PO yang butuh SP Manual. Apabila ada retur, catat di Delivery Note dan update ke IC</v>
      </c>
      <c r="S89" t="str">
        <f ca="1">IF($AS89="","",TEXT(Config!$B$4,"yyyy-mm-dd"))</f>
        <v>2026-08-18</v>
      </c>
      <c r="T89" t="str">
        <f>IF($AS89="","",Config!$B$17)</f>
        <v>09:00</v>
      </c>
      <c r="U89" t="str">
        <f>IF($AS89="","",Config!$B$18)</f>
        <v>22:00</v>
      </c>
      <c r="V89" t="str">
        <f>IF($AS89="","",Config!$B$19)</f>
        <v>Asia/Jakarta</v>
      </c>
      <c r="W89">
        <f>IF($AS89="","",INDEX('TMP Paste'!$C$2:$C$1601,$AS89))</f>
        <v>2.84</v>
      </c>
      <c r="X89" t="str">
        <f>IF($AS89="","",Config!$B$29)</f>
        <v>FALSE</v>
      </c>
      <c r="Y89" t="str">
        <f>IF($AT89="","",INDEX(Calc!$I$2:$I$1601,$AT89)&amp;" - "&amp;INDEX(Calc!$D$2:$D$1601,$AT89)&amp;" koli")</f>
        <v>26072802471526O8iugwjMu (1), 26072802471526z9hsjnLTJ (1) - 2 koli</v>
      </c>
      <c r="Z89" t="str">
        <f>IF($AS89="","",Config!$B$21)</f>
        <v>FALSE</v>
      </c>
      <c r="AA89" t="str">
        <f>IF($AS89="","",Config!$B$22)</f>
        <v>RDO</v>
      </c>
      <c r="AB89">
        <f>IF($AT89="","",INDEX(Calc!$D$2:$D$1601,$AT89))</f>
        <v>2</v>
      </c>
      <c r="AC89" t="str">
        <f>IF($AT89="","",INDEX(Calc!$G$2:$G$1601,$AT89))</f>
        <v>26072802471526O8iugwjMu-01, 26072802471526z9hsjnLTJ-02</v>
      </c>
      <c r="AD89">
        <f>IF($AS89="","",Config!$B$23)</f>
        <v>0</v>
      </c>
      <c r="AE89">
        <f>IF($AS89="","",Config!$B$28)</f>
        <v>1</v>
      </c>
      <c r="AF89">
        <f t="shared" si="8"/>
        <v>10</v>
      </c>
      <c r="AG89">
        <f t="shared" si="9"/>
        <v>52.23</v>
      </c>
      <c r="AH89">
        <f t="shared" si="10"/>
        <v>10</v>
      </c>
      <c r="AI89">
        <f>IF($AG89="","",SUMIF($AG$2:$AG89,$AG89,$AH$2:$AH89))</f>
        <v>10</v>
      </c>
      <c r="AJ89" t="str">
        <f>IF('TMP Paste'!$F89="","",IF('TMP Paste'!$B89="",$AJ88,'TMP Paste'!$B89))</f>
        <v>AWB02WM96</v>
      </c>
      <c r="AK89">
        <f>IF('TMP Paste'!$F89="","",N('TMP Paste'!$G89))</f>
        <v>0</v>
      </c>
      <c r="AL89">
        <f>IF('TMP Paste'!$F89="","",IF('TMP Paste'!$M89="",$AL88,'TMP Paste'!$M89))</f>
        <v>1</v>
      </c>
      <c r="AM89" t="str">
        <f>IF('TMP Paste'!$F89="","",IF('TMP Paste'!$N89="",$AM88,'TMP Paste'!$N89))</f>
        <v/>
      </c>
      <c r="AN89" t="str">
        <f>IF('TMP Paste'!$F89="","",IF('TMP Paste'!$O89="",$AN88,'TMP Paste'!$O89))</f>
        <v/>
      </c>
      <c r="AO89" t="str">
        <f>IF('TMP Paste'!$F89="","",IF('TMP Paste'!$P89="",$AO88,'TMP Paste'!$P89))</f>
        <v/>
      </c>
      <c r="AP89">
        <f t="shared" si="11"/>
        <v>266</v>
      </c>
      <c r="AQ89" t="str">
        <f>IF($AS89="","",TRIM(IF(COUNTIFS(Calc!$B$2:$B$1601,ROW()-1,Calc!$C$2:$C$1601,"&lt;1")&gt;0,"Ada PO tanpa Koli - cek TMP. ","")&amp;IF(OR($AU89="",$AU89&lt;=0),"Volume kosong/0 - dimensi dikosongkan. ","")&amp;IF(AND($AU89&lt;&gt;"",$AU89&gt;=1000000),"Volume &gt;= 1.000.000 cm3 (di luar aturan) - dimensi dikosongkan. ","")&amp;IF(LEN($R89)&gt;500,"R &gt; 500 karakter.","")))</f>
        <v/>
      </c>
      <c r="AS89">
        <f>IFERROR(MATCH(ROW()-1,Calc!$J$2:$J$1601,0),"")</f>
        <v>196</v>
      </c>
      <c r="AT89">
        <f>IFERROR(MATCH(ROW()-1,Calc!$K$2:$K$1601,0),"")</f>
        <v>197</v>
      </c>
      <c r="AU89">
        <f>IF($AS89="","",IFERROR(INDEX('TMP Paste'!$D$2:$D$1601,$AS89)*1000000/$AB89,""))</f>
        <v>5223</v>
      </c>
    </row>
    <row r="90" spans="1:47">
      <c r="A90" t="str">
        <f>IF($AS90="","",INDEX('TMP Paste'!$B$2:$B$1601,$AS90))</f>
        <v>AWB02WJBL</v>
      </c>
      <c r="B90">
        <f>IF($AS90="","",Config!$B$14)</f>
        <v>11398423</v>
      </c>
      <c r="C90" t="str">
        <f>IF($AS90="","",Config!$B$15)</f>
        <v>Corporate B2B Bundle</v>
      </c>
      <c r="D90" t="str">
        <f>IF($AS90="","",INDEX('TMP Paste'!$B$2:$B$1601,$AS90))</f>
        <v>AWB02WJBL</v>
      </c>
      <c r="E90" t="str">
        <f>IF($AS90="","",Config!$B$27)</f>
        <v>STANDARD</v>
      </c>
      <c r="F90" t="str">
        <f>IF($AS90="","",Config!$B$9)</f>
        <v>PT Teknologi Medika Pratama (SwipeRx) (B2BR)</v>
      </c>
      <c r="G90" t="str">
        <f>IF($AS90="","",Config!$B$10)</f>
        <v>087733785699</v>
      </c>
      <c r="H90" t="str">
        <f>IF($AS90="","",Config!$B$11)</f>
        <v>Jl. Tugu Raya, Tugu, Kec. Cimanggis, Kota Depok, Jawa Barat 16451,KUBIK LOGISTICS - Kompleks Pergudangan,Gudang E1</v>
      </c>
      <c r="I90" t="str">
        <f>IF($AS90="","",Config!$B$16)</f>
        <v>ID</v>
      </c>
      <c r="J90" t="str">
        <f>IF($AS90="","",INDEX('TMP Paste'!$A$2:$A$1601,$AS90))</f>
        <v>Klinik Pratama Rawat Inap Aras</v>
      </c>
      <c r="K90" t="str">
        <f>IF($AS90="","",INDEX('TMP Paste'!$L$2:$L$1601,$AS90))</f>
        <v>81319553273</v>
      </c>
      <c r="L90" t="str">
        <f>IF($AS90="","",INDEX('TMP Paste'!$I$2:$I$1601,$AS90))</f>
        <v>1675-Jalan Sawangan Permai Blok A RT 002 RW 009 Kelurahan Sawangan Baru Kecamatam Sawangan Kota Depok 16511</v>
      </c>
      <c r="M90" t="str">
        <f>IF($AS90="","",Config!$B$16)</f>
        <v>ID</v>
      </c>
      <c r="N90" t="str">
        <f t="shared" si="6"/>
        <v/>
      </c>
      <c r="O90" t="str">
        <f>IF($AS90="","",INDEX('TMP Paste'!$K$2:$K$1601,$AS90))</f>
        <v>Kota Depok</v>
      </c>
      <c r="P90" t="str">
        <f t="shared" si="7"/>
        <v/>
      </c>
      <c r="Q90">
        <f>IF($AS90="","",INDEX('TMP Paste'!$J$2:$J$1601,$AS90))</f>
        <v>16511</v>
      </c>
      <c r="R90" t="str">
        <f>IF($AS90="","",Config!$B$24)</f>
        <v>Delivery Note wajib ada nama penerima, ditandatangani dan distempel penerima. Jika di label tertera "SP Manual", maka dokumen SP Manual harus diminta ke penerima sesuai dengan jumlah PO yang butuh SP Manual. Apabila ada retur, catat di Delivery Note dan update ke IC</v>
      </c>
      <c r="S90" t="str">
        <f ca="1">IF($AS90="","",TEXT(Config!$B$4,"yyyy-mm-dd"))</f>
        <v>2026-08-18</v>
      </c>
      <c r="T90" t="str">
        <f>IF($AS90="","",Config!$B$17)</f>
        <v>09:00</v>
      </c>
      <c r="U90" t="str">
        <f>IF($AS90="","",Config!$B$18)</f>
        <v>22:00</v>
      </c>
      <c r="V90" t="str">
        <f>IF($AS90="","",Config!$B$19)</f>
        <v>Asia/Jakarta</v>
      </c>
      <c r="W90">
        <f>IF($AS90="","",INDEX('TMP Paste'!$C$2:$C$1601,$AS90))</f>
        <v>12.56</v>
      </c>
      <c r="X90" t="str">
        <f>IF($AS90="","",Config!$B$29)</f>
        <v>FALSE</v>
      </c>
      <c r="Y90" t="str">
        <f>IF($AT90="","",INDEX(Calc!$I$2:$I$1601,$AT90)&amp;" - "&amp;INDEX(Calc!$D$2:$D$1601,$AT90)&amp;" koli")</f>
        <v>26072708201425aYVxmwwjQ (2) - 2 koli</v>
      </c>
      <c r="Z90" t="str">
        <f>IF($AS90="","",Config!$B$21)</f>
        <v>FALSE</v>
      </c>
      <c r="AA90" t="str">
        <f>IF($AS90="","",Config!$B$22)</f>
        <v>RDO</v>
      </c>
      <c r="AB90">
        <f>IF($AT90="","",INDEX(Calc!$D$2:$D$1601,$AT90))</f>
        <v>2</v>
      </c>
      <c r="AC90" t="str">
        <f>IF($AT90="","",INDEX(Calc!$G$2:$G$1601,$AT90))</f>
        <v>26072708201425aYVxmwwjQ-01, 26072708201425aYVxmwwjQ-02</v>
      </c>
      <c r="AD90">
        <f>IF($AS90="","",Config!$B$23)</f>
        <v>0</v>
      </c>
      <c r="AE90">
        <f>IF($AS90="","",Config!$B$28)</f>
        <v>1</v>
      </c>
      <c r="AF90">
        <f t="shared" si="8"/>
        <v>100</v>
      </c>
      <c r="AG90">
        <f t="shared" si="9"/>
        <v>25.613</v>
      </c>
      <c r="AH90">
        <f t="shared" si="10"/>
        <v>10</v>
      </c>
      <c r="AI90">
        <f>IF($AG90="","",SUMIF($AG$2:$AG90,$AG90,$AH$2:$AH90))</f>
        <v>10</v>
      </c>
      <c r="AJ90" t="str">
        <f>IF('TMP Paste'!$F90="","",IF('TMP Paste'!$B90="",$AJ89,'TMP Paste'!$B90))</f>
        <v>AWB02WK0E</v>
      </c>
      <c r="AK90">
        <f>IF('TMP Paste'!$F90="","",N('TMP Paste'!$G90))</f>
        <v>0</v>
      </c>
      <c r="AL90">
        <f>IF('TMP Paste'!$F90="","",IF('TMP Paste'!$M90="",$AL89,'TMP Paste'!$M90))</f>
        <v>3</v>
      </c>
      <c r="AM90" t="str">
        <f>IF('TMP Paste'!$F90="","",IF('TMP Paste'!$N90="",$AM89,'TMP Paste'!$N90))</f>
        <v/>
      </c>
      <c r="AN90" t="str">
        <f>IF('TMP Paste'!$F90="","",IF('TMP Paste'!$O90="",$AN89,'TMP Paste'!$O90))</f>
        <v/>
      </c>
      <c r="AO90" t="str">
        <f>IF('TMP Paste'!$F90="","",IF('TMP Paste'!$P90="",$AO89,'TMP Paste'!$P90))</f>
        <v/>
      </c>
      <c r="AP90">
        <f t="shared" si="11"/>
        <v>266</v>
      </c>
      <c r="AQ90" t="str">
        <f>IF($AS90="","",TRIM(IF(COUNTIFS(Calc!$B$2:$B$1601,ROW()-1,Calc!$C$2:$C$1601,"&lt;1")&gt;0,"Ada PO tanpa Koli - cek TMP. ","")&amp;IF(OR($AU90="",$AU90&lt;=0),"Volume kosong/0 - dimensi dikosongkan. ","")&amp;IF(AND($AU90&lt;&gt;"",$AU90&gt;=1000000),"Volume &gt;= 1.000.000 cm3 (di luar aturan) - dimensi dikosongkan. ","")&amp;IF(LEN($R90)&gt;500,"R &gt; 500 karakter.","")))</f>
        <v/>
      </c>
      <c r="AS90">
        <f>IFERROR(MATCH(ROW()-1,Calc!$J$2:$J$1601,0),"")</f>
        <v>198</v>
      </c>
      <c r="AT90">
        <f>IFERROR(MATCH(ROW()-1,Calc!$K$2:$K$1601,0),"")</f>
        <v>198</v>
      </c>
      <c r="AU90">
        <f>IF($AS90="","",IFERROR(INDEX('TMP Paste'!$D$2:$D$1601,$AS90)*1000000/$AB90,""))</f>
        <v>25613</v>
      </c>
    </row>
    <row r="91" spans="1:47">
      <c r="A91" t="str">
        <f>IF($AS91="","",INDEX('TMP Paste'!$B$2:$B$1601,$AS91))</f>
        <v>AWB02WLVB</v>
      </c>
      <c r="B91">
        <f>IF($AS91="","",Config!$B$14)</f>
        <v>11398423</v>
      </c>
      <c r="C91" t="str">
        <f>IF($AS91="","",Config!$B$15)</f>
        <v>Corporate B2B Bundle</v>
      </c>
      <c r="D91" t="str">
        <f>IF($AS91="","",INDEX('TMP Paste'!$B$2:$B$1601,$AS91))</f>
        <v>AWB02WLVB</v>
      </c>
      <c r="E91" t="str">
        <f>IF($AS91="","",Config!$B$27)</f>
        <v>STANDARD</v>
      </c>
      <c r="F91" t="str">
        <f>IF($AS91="","",Config!$B$9)</f>
        <v>PT Teknologi Medika Pratama (SwipeRx) (B2BR)</v>
      </c>
      <c r="G91" t="str">
        <f>IF($AS91="","",Config!$B$10)</f>
        <v>087733785699</v>
      </c>
      <c r="H91" t="str">
        <f>IF($AS91="","",Config!$B$11)</f>
        <v>Jl. Tugu Raya, Tugu, Kec. Cimanggis, Kota Depok, Jawa Barat 16451,KUBIK LOGISTICS - Kompleks Pergudangan,Gudang E1</v>
      </c>
      <c r="I91" t="str">
        <f>IF($AS91="","",Config!$B$16)</f>
        <v>ID</v>
      </c>
      <c r="J91" t="str">
        <f>IF($AS91="","",INDEX('TMP Paste'!$A$2:$A$1601,$AS91))</f>
        <v>Klinik Pratama Rawat Jalan Ibu Mas Sukamaju Baru Tapos</v>
      </c>
      <c r="K91" t="str">
        <f>IF($AS91="","",INDEX('TMP Paste'!$L$2:$L$1601,$AS91))</f>
        <v>6281280230198</v>
      </c>
      <c r="L91" t="str">
        <f>IF($AS91="","",INDEX('TMP Paste'!$I$2:$I$1601,$AS91))</f>
        <v>11876-Jl. Raya Bogor KM. 34, RT.01/RW.01, No.1 Kel. Sukamaju Baru Kel. Tapos Kota Depok</v>
      </c>
      <c r="M91" t="str">
        <f>IF($AS91="","",Config!$B$16)</f>
        <v>ID</v>
      </c>
      <c r="N91" t="str">
        <f t="shared" si="6"/>
        <v/>
      </c>
      <c r="O91" t="str">
        <f>IF($AS91="","",INDEX('TMP Paste'!$K$2:$K$1601,$AS91))</f>
        <v>Kota Depok</v>
      </c>
      <c r="P91" t="str">
        <f t="shared" si="7"/>
        <v/>
      </c>
      <c r="Q91">
        <f>IF($AS91="","",INDEX('TMP Paste'!$J$2:$J$1601,$AS91))</f>
        <v>16455</v>
      </c>
      <c r="R91" t="str">
        <f>IF($AS91="","",Config!$B$24)</f>
        <v>Delivery Note wajib ada nama penerima, ditandatangani dan distempel penerima. Jika di label tertera "SP Manual", maka dokumen SP Manual harus diminta ke penerima sesuai dengan jumlah PO yang butuh SP Manual. Apabila ada retur, catat di Delivery Note dan update ke IC</v>
      </c>
      <c r="S91" t="str">
        <f ca="1">IF($AS91="","",TEXT(Config!$B$4,"yyyy-mm-dd"))</f>
        <v>2026-08-18</v>
      </c>
      <c r="T91" t="str">
        <f>IF($AS91="","",Config!$B$17)</f>
        <v>09:00</v>
      </c>
      <c r="U91" t="str">
        <f>IF($AS91="","",Config!$B$18)</f>
        <v>22:00</v>
      </c>
      <c r="V91" t="str">
        <f>IF($AS91="","",Config!$B$19)</f>
        <v>Asia/Jakarta</v>
      </c>
      <c r="W91">
        <f>IF($AS91="","",INDEX('TMP Paste'!$C$2:$C$1601,$AS91))</f>
        <v>1.46</v>
      </c>
      <c r="X91" t="str">
        <f>IF($AS91="","",Config!$B$29)</f>
        <v>FALSE</v>
      </c>
      <c r="Y91" t="str">
        <f>IF($AT91="","",INDEX(Calc!$I$2:$I$1601,$AT91)&amp;" - "&amp;INDEX(Calc!$D$2:$D$1601,$AT91)&amp;" koli")</f>
        <v>26072803115903LmjXVdOL3 (1) - 1 koli</v>
      </c>
      <c r="Z91" t="str">
        <f>IF($AS91="","",Config!$B$21)</f>
        <v>FALSE</v>
      </c>
      <c r="AA91" t="str">
        <f>IF($AS91="","",Config!$B$22)</f>
        <v>RDO</v>
      </c>
      <c r="AB91">
        <f>IF($AT91="","",INDEX(Calc!$D$2:$D$1601,$AT91))</f>
        <v>1</v>
      </c>
      <c r="AC91" t="str">
        <f>IF($AT91="","",INDEX(Calc!$G$2:$G$1601,$AT91))</f>
        <v>26072803115903LmjXVdOL3-01</v>
      </c>
      <c r="AD91">
        <f>IF($AS91="","",Config!$B$23)</f>
        <v>0</v>
      </c>
      <c r="AE91">
        <f>IF($AS91="","",Config!$B$28)</f>
        <v>1</v>
      </c>
      <c r="AF91">
        <f t="shared" si="8"/>
        <v>10</v>
      </c>
      <c r="AG91">
        <f t="shared" si="9"/>
        <v>94.53</v>
      </c>
      <c r="AH91">
        <f t="shared" si="10"/>
        <v>10</v>
      </c>
      <c r="AI91">
        <f>IF($AG91="","",SUMIF($AG$2:$AG91,$AG91,$AH$2:$AH91))</f>
        <v>10</v>
      </c>
      <c r="AJ91" t="str">
        <f>IF('TMP Paste'!$F91="","",IF('TMP Paste'!$B91="",$AJ90,'TMP Paste'!$B91))</f>
        <v/>
      </c>
      <c r="AK91" t="str">
        <f>IF('TMP Paste'!$F91="","",N('TMP Paste'!$G91))</f>
        <v/>
      </c>
      <c r="AL91" t="str">
        <f>IF('TMP Paste'!$F91="","",IF('TMP Paste'!$M91="",$AL90,'TMP Paste'!$M91))</f>
        <v/>
      </c>
      <c r="AM91" t="str">
        <f>IF('TMP Paste'!$F91="","",IF('TMP Paste'!$N91="",$AM90,'TMP Paste'!$N91))</f>
        <v/>
      </c>
      <c r="AN91" t="str">
        <f>IF('TMP Paste'!$F91="","",IF('TMP Paste'!$O91="",$AN90,'TMP Paste'!$O91))</f>
        <v/>
      </c>
      <c r="AO91" t="str">
        <f>IF('TMP Paste'!$F91="","",IF('TMP Paste'!$P91="",$AO90,'TMP Paste'!$P91))</f>
        <v/>
      </c>
      <c r="AP91">
        <f t="shared" si="11"/>
        <v>266</v>
      </c>
      <c r="AQ91" t="str">
        <f>IF($AS91="","",TRIM(IF(COUNTIFS(Calc!$B$2:$B$1601,ROW()-1,Calc!$C$2:$C$1601,"&lt;1")&gt;0,"Ada PO tanpa Koli - cek TMP. ","")&amp;IF(OR($AU91="",$AU91&lt;=0),"Volume kosong/0 - dimensi dikosongkan. ","")&amp;IF(AND($AU91&lt;&gt;"",$AU91&gt;=1000000),"Volume &gt;= 1.000.000 cm3 (di luar aturan) - dimensi dikosongkan. ","")&amp;IF(LEN($R91)&gt;500,"R &gt; 500 karakter.","")))</f>
        <v/>
      </c>
      <c r="AS91">
        <f>IFERROR(MATCH(ROW()-1,Calc!$J$2:$J$1601,0),"")</f>
        <v>199</v>
      </c>
      <c r="AT91">
        <f>IFERROR(MATCH(ROW()-1,Calc!$K$2:$K$1601,0),"")</f>
        <v>199</v>
      </c>
      <c r="AU91">
        <f>IF($AS91="","",IFERROR(INDEX('TMP Paste'!$D$2:$D$1601,$AS91)*1000000/$AB91,""))</f>
        <v>9453</v>
      </c>
    </row>
    <row r="92" spans="1:47">
      <c r="A92" t="str">
        <f>IF($AS92="","",INDEX('TMP Paste'!$B$2:$B$1601,$AS92))</f>
        <v>AWB02WJHG</v>
      </c>
      <c r="B92">
        <f>IF($AS92="","",Config!$B$14)</f>
        <v>11398423</v>
      </c>
      <c r="C92" t="str">
        <f>IF($AS92="","",Config!$B$15)</f>
        <v>Corporate B2B Bundle</v>
      </c>
      <c r="D92" t="str">
        <f>IF($AS92="","",INDEX('TMP Paste'!$B$2:$B$1601,$AS92))</f>
        <v>AWB02WJHG</v>
      </c>
      <c r="E92" t="str">
        <f>IF($AS92="","",Config!$B$27)</f>
        <v>STANDARD</v>
      </c>
      <c r="F92" t="str">
        <f>IF($AS92="","",Config!$B$9)</f>
        <v>PT Teknologi Medika Pratama (SwipeRx) (B2BR)</v>
      </c>
      <c r="G92" t="str">
        <f>IF($AS92="","",Config!$B$10)</f>
        <v>087733785699</v>
      </c>
      <c r="H92" t="str">
        <f>IF($AS92="","",Config!$B$11)</f>
        <v>Jl. Tugu Raya, Tugu, Kec. Cimanggis, Kota Depok, Jawa Barat 16451,KUBIK LOGISTICS - Kompleks Pergudangan,Gudang E1</v>
      </c>
      <c r="I92" t="str">
        <f>IF($AS92="","",Config!$B$16)</f>
        <v>ID</v>
      </c>
      <c r="J92" t="str">
        <f>IF($AS92="","",INDEX('TMP Paste'!$A$2:$A$1601,$AS92))</f>
        <v>Klinik Pratama Relof</v>
      </c>
      <c r="K92" t="str">
        <f>IF($AS92="","",INDEX('TMP Paste'!$L$2:$L$1601,$AS92))</f>
        <v>2184998865</v>
      </c>
      <c r="L92" t="str">
        <f>IF($AS92="","",INDEX('TMP Paste'!$I$2:$I$1601,$AS92))</f>
        <v>784-Jl. Soka No.203 Perum Jatibening RT.001 RW.006 Kel. Jatibening Kec. Pondok Gede Kota Bekasi</v>
      </c>
      <c r="M92" t="str">
        <f>IF($AS92="","",Config!$B$16)</f>
        <v>ID</v>
      </c>
      <c r="N92" t="str">
        <f t="shared" si="6"/>
        <v/>
      </c>
      <c r="O92" t="str">
        <f>IF($AS92="","",INDEX('TMP Paste'!$K$2:$K$1601,$AS92))</f>
        <v>Kota Bekasi</v>
      </c>
      <c r="P92" t="str">
        <f t="shared" si="7"/>
        <v/>
      </c>
      <c r="Q92">
        <f>IF($AS92="","",INDEX('TMP Paste'!$J$2:$J$1601,$AS92))</f>
        <v>17412</v>
      </c>
      <c r="R92" t="str">
        <f>IF($AS92="","",Config!$B$24)</f>
        <v>Delivery Note wajib ada nama penerima, ditandatangani dan distempel penerima. Jika di label tertera "SP Manual", maka dokumen SP Manual harus diminta ke penerima sesuai dengan jumlah PO yang butuh SP Manual. Apabila ada retur, catat di Delivery Note dan update ke IC</v>
      </c>
      <c r="S92" t="str">
        <f ca="1">IF($AS92="","",TEXT(Config!$B$4,"yyyy-mm-dd"))</f>
        <v>2026-08-18</v>
      </c>
      <c r="T92" t="str">
        <f>IF($AS92="","",Config!$B$17)</f>
        <v>09:00</v>
      </c>
      <c r="U92" t="str">
        <f>IF($AS92="","",Config!$B$18)</f>
        <v>22:00</v>
      </c>
      <c r="V92" t="str">
        <f>IF($AS92="","",Config!$B$19)</f>
        <v>Asia/Jakarta</v>
      </c>
      <c r="W92">
        <f>IF($AS92="","",INDEX('TMP Paste'!$C$2:$C$1601,$AS92))</f>
        <v>1.19</v>
      </c>
      <c r="X92" t="str">
        <f>IF($AS92="","",Config!$B$29)</f>
        <v>FALSE</v>
      </c>
      <c r="Y92" t="str">
        <f>IF($AT92="","",INDEX(Calc!$I$2:$I$1601,$AT92)&amp;" - "&amp;INDEX(Calc!$D$2:$D$1601,$AT92)&amp;" koli")</f>
        <v>26072710001492JtIouWR (1) - 1 koli</v>
      </c>
      <c r="Z92" t="str">
        <f>IF($AS92="","",Config!$B$21)</f>
        <v>FALSE</v>
      </c>
      <c r="AA92" t="str">
        <f>IF($AS92="","",Config!$B$22)</f>
        <v>RDO</v>
      </c>
      <c r="AB92">
        <f>IF($AT92="","",INDEX(Calc!$D$2:$D$1601,$AT92))</f>
        <v>1</v>
      </c>
      <c r="AC92" t="str">
        <f>IF($AT92="","",INDEX(Calc!$G$2:$G$1601,$AT92))</f>
        <v>26072710001492JtIouWR-01</v>
      </c>
      <c r="AD92">
        <f>IF($AS92="","",Config!$B$23)</f>
        <v>0</v>
      </c>
      <c r="AE92">
        <f>IF($AS92="","",Config!$B$28)</f>
        <v>1</v>
      </c>
      <c r="AF92">
        <f t="shared" si="8"/>
        <v>100</v>
      </c>
      <c r="AG92">
        <f t="shared" si="9"/>
        <v>11.88</v>
      </c>
      <c r="AH92">
        <f t="shared" si="10"/>
        <v>10</v>
      </c>
      <c r="AI92">
        <f>IF($AG92="","",SUMIF($AG$2:$AG92,$AG92,$AH$2:$AH92))</f>
        <v>10</v>
      </c>
      <c r="AJ92" t="str">
        <f>IF('TMP Paste'!$F92="","",IF('TMP Paste'!$B92="",$AJ91,'TMP Paste'!$B92))</f>
        <v/>
      </c>
      <c r="AK92" t="str">
        <f>IF('TMP Paste'!$F92="","",N('TMP Paste'!$G92))</f>
        <v/>
      </c>
      <c r="AL92" t="str">
        <f>IF('TMP Paste'!$F92="","",IF('TMP Paste'!$M92="",$AL91,'TMP Paste'!$M92))</f>
        <v/>
      </c>
      <c r="AM92" t="str">
        <f>IF('TMP Paste'!$F92="","",IF('TMP Paste'!$N92="",$AM91,'TMP Paste'!$N92))</f>
        <v/>
      </c>
      <c r="AN92" t="str">
        <f>IF('TMP Paste'!$F92="","",IF('TMP Paste'!$O92="",$AN91,'TMP Paste'!$O92))</f>
        <v/>
      </c>
      <c r="AO92" t="str">
        <f>IF('TMP Paste'!$F92="","",IF('TMP Paste'!$P92="",$AO91,'TMP Paste'!$P92))</f>
        <v/>
      </c>
      <c r="AP92">
        <f t="shared" si="11"/>
        <v>266</v>
      </c>
      <c r="AQ92" t="str">
        <f>IF($AS92="","",TRIM(IF(COUNTIFS(Calc!$B$2:$B$1601,ROW()-1,Calc!$C$2:$C$1601,"&lt;1")&gt;0,"Ada PO tanpa Koli - cek TMP. ","")&amp;IF(OR($AU92="",$AU92&lt;=0),"Volume kosong/0 - dimensi dikosongkan. ","")&amp;IF(AND($AU92&lt;&gt;"",$AU92&gt;=1000000),"Volume &gt;= 1.000.000 cm3 (di luar aturan) - dimensi dikosongkan. ","")&amp;IF(LEN($R92)&gt;500,"R &gt; 500 karakter.","")))</f>
        <v/>
      </c>
      <c r="AS92">
        <f>IFERROR(MATCH(ROW()-1,Calc!$J$2:$J$1601,0),"")</f>
        <v>200</v>
      </c>
      <c r="AT92">
        <f>IFERROR(MATCH(ROW()-1,Calc!$K$2:$K$1601,0),"")</f>
        <v>200</v>
      </c>
      <c r="AU92">
        <f>IF($AS92="","",IFERROR(INDEX('TMP Paste'!$D$2:$D$1601,$AS92)*1000000/$AB92,""))</f>
        <v>11880</v>
      </c>
    </row>
    <row r="93" spans="1:47">
      <c r="A93" t="str">
        <f>IF($AS93="","",INDEX('TMP Paste'!$B$2:$B$1601,$AS93))</f>
        <v>AWB02WJ0C</v>
      </c>
      <c r="B93">
        <f>IF($AS93="","",Config!$B$14)</f>
        <v>11398423</v>
      </c>
      <c r="C93" t="str">
        <f>IF($AS93="","",Config!$B$15)</f>
        <v>Corporate B2B Bundle</v>
      </c>
      <c r="D93" t="str">
        <f>IF($AS93="","",INDEX('TMP Paste'!$B$2:$B$1601,$AS93))</f>
        <v>AWB02WJ0C</v>
      </c>
      <c r="E93" t="str">
        <f>IF($AS93="","",Config!$B$27)</f>
        <v>STANDARD</v>
      </c>
      <c r="F93" t="str">
        <f>IF($AS93="","",Config!$B$9)</f>
        <v>PT Teknologi Medika Pratama (SwipeRx) (B2BR)</v>
      </c>
      <c r="G93" t="str">
        <f>IF($AS93="","",Config!$B$10)</f>
        <v>087733785699</v>
      </c>
      <c r="H93" t="str">
        <f>IF($AS93="","",Config!$B$11)</f>
        <v>Jl. Tugu Raya, Tugu, Kec. Cimanggis, Kota Depok, Jawa Barat 16451,KUBIK LOGISTICS - Kompleks Pergudangan,Gudang E1</v>
      </c>
      <c r="I93" t="str">
        <f>IF($AS93="","",Config!$B$16)</f>
        <v>ID</v>
      </c>
      <c r="J93" t="str">
        <f>IF($AS93="","",INDEX('TMP Paste'!$A$2:$A$1601,$AS93))</f>
        <v>Klinik Utama Rawat Inap Prima Husada</v>
      </c>
      <c r="K93" t="str">
        <f>IF($AS93="","",INDEX('TMP Paste'!$L$2:$L$1601,$AS93))</f>
        <v>6281381219328</v>
      </c>
      <c r="L93" t="str">
        <f>IF($AS93="","",INDEX('TMP Paste'!$I$2:$I$1601,$AS93))</f>
        <v>355-Jalan Cinere Raya Blok F1 No. 1 RT 01 RW 15, Kelurahan Cinere, Kecamatan Cinere, Kota Depok 16514</v>
      </c>
      <c r="M93" t="str">
        <f>IF($AS93="","",Config!$B$16)</f>
        <v>ID</v>
      </c>
      <c r="N93" t="str">
        <f t="shared" si="6"/>
        <v/>
      </c>
      <c r="O93" t="str">
        <f>IF($AS93="","",INDEX('TMP Paste'!$K$2:$K$1601,$AS93))</f>
        <v>Kota Depok</v>
      </c>
      <c r="P93" t="str">
        <f t="shared" si="7"/>
        <v/>
      </c>
      <c r="Q93">
        <f>IF($AS93="","",INDEX('TMP Paste'!$J$2:$J$1601,$AS93))</f>
        <v>16514</v>
      </c>
      <c r="R93" t="str">
        <f>IF($AS93="","",Config!$B$24)</f>
        <v>Delivery Note wajib ada nama penerima, ditandatangani dan distempel penerima. Jika di label tertera "SP Manual", maka dokumen SP Manual harus diminta ke penerima sesuai dengan jumlah PO yang butuh SP Manual. Apabila ada retur, catat di Delivery Note dan update ke IC</v>
      </c>
      <c r="S93" t="str">
        <f ca="1">IF($AS93="","",TEXT(Config!$B$4,"yyyy-mm-dd"))</f>
        <v>2026-08-18</v>
      </c>
      <c r="T93" t="str">
        <f>IF($AS93="","",Config!$B$17)</f>
        <v>09:00</v>
      </c>
      <c r="U93" t="str">
        <f>IF($AS93="","",Config!$B$18)</f>
        <v>22:00</v>
      </c>
      <c r="V93" t="str">
        <f>IF($AS93="","",Config!$B$19)</f>
        <v>Asia/Jakarta</v>
      </c>
      <c r="W93">
        <f>IF($AS93="","",INDEX('TMP Paste'!$C$2:$C$1601,$AS93))</f>
        <v>2.17</v>
      </c>
      <c r="X93" t="str">
        <f>IF($AS93="","",Config!$B$29)</f>
        <v>FALSE</v>
      </c>
      <c r="Y93" t="str">
        <f>IF($AT93="","",INDEX(Calc!$I$2:$I$1601,$AT93)&amp;" - "&amp;INDEX(Calc!$D$2:$D$1601,$AT93)&amp;" koli")</f>
        <v>26072706094093claGJrOPv (1) - 1 koli</v>
      </c>
      <c r="Z93" t="str">
        <f>IF($AS93="","",Config!$B$21)</f>
        <v>FALSE</v>
      </c>
      <c r="AA93" t="str">
        <f>IF($AS93="","",Config!$B$22)</f>
        <v>RDO</v>
      </c>
      <c r="AB93">
        <f>IF($AT93="","",INDEX(Calc!$D$2:$D$1601,$AT93))</f>
        <v>1</v>
      </c>
      <c r="AC93" t="str">
        <f>IF($AT93="","",INDEX(Calc!$G$2:$G$1601,$AT93))</f>
        <v>26072706094093claGJrOPv-01</v>
      </c>
      <c r="AD93">
        <f>IF($AS93="","",Config!$B$23)</f>
        <v>0</v>
      </c>
      <c r="AE93">
        <f>IF($AS93="","",Config!$B$28)</f>
        <v>1</v>
      </c>
      <c r="AF93">
        <f t="shared" si="8"/>
        <v>10</v>
      </c>
      <c r="AG93">
        <f t="shared" si="9"/>
        <v>91.38</v>
      </c>
      <c r="AH93">
        <f t="shared" si="10"/>
        <v>10</v>
      </c>
      <c r="AI93">
        <f>IF($AG93="","",SUMIF($AG$2:$AG93,$AG93,$AH$2:$AH93))</f>
        <v>10</v>
      </c>
      <c r="AJ93" t="str">
        <f>IF('TMP Paste'!$F93="","",IF('TMP Paste'!$B93="",$AJ92,'TMP Paste'!$B93))</f>
        <v>AWB02WJ8X</v>
      </c>
      <c r="AK93">
        <f>IF('TMP Paste'!$F93="","",N('TMP Paste'!$G93))</f>
        <v>0</v>
      </c>
      <c r="AL93">
        <f>IF('TMP Paste'!$F93="","",IF('TMP Paste'!$M93="",$AL92,'TMP Paste'!$M93))</f>
        <v>1</v>
      </c>
      <c r="AM93" t="str">
        <f>IF('TMP Paste'!$F93="","",IF('TMP Paste'!$N93="",$AM92,'TMP Paste'!$N93))</f>
        <v/>
      </c>
      <c r="AN93" t="str">
        <f>IF('TMP Paste'!$F93="","",IF('TMP Paste'!$O93="",$AN92,'TMP Paste'!$O93))</f>
        <v/>
      </c>
      <c r="AO93" t="str">
        <f>IF('TMP Paste'!$F93="","",IF('TMP Paste'!$P93="",$AO92,'TMP Paste'!$P93))</f>
        <v/>
      </c>
      <c r="AP93">
        <f t="shared" si="11"/>
        <v>266</v>
      </c>
      <c r="AQ93" t="str">
        <f>IF($AS93="","",TRIM(IF(COUNTIFS(Calc!$B$2:$B$1601,ROW()-1,Calc!$C$2:$C$1601,"&lt;1")&gt;0,"Ada PO tanpa Koli - cek TMP. ","")&amp;IF(OR($AU93="",$AU93&lt;=0),"Volume kosong/0 - dimensi dikosongkan. ","")&amp;IF(AND($AU93&lt;&gt;"",$AU93&gt;=1000000),"Volume &gt;= 1.000.000 cm3 (di luar aturan) - dimensi dikosongkan. ","")&amp;IF(LEN($R93)&gt;500,"R &gt; 500 karakter.","")))</f>
        <v/>
      </c>
      <c r="AS93">
        <f>IFERROR(MATCH(ROW()-1,Calc!$J$2:$J$1601,0),"")</f>
        <v>201</v>
      </c>
      <c r="AT93">
        <f>IFERROR(MATCH(ROW()-1,Calc!$K$2:$K$1601,0),"")</f>
        <v>201</v>
      </c>
      <c r="AU93">
        <f>IF($AS93="","",IFERROR(INDEX('TMP Paste'!$D$2:$D$1601,$AS93)*1000000/$AB93,""))</f>
        <v>9138</v>
      </c>
    </row>
    <row r="94" spans="1:47">
      <c r="A94" t="str">
        <f>IF($AS94="","",INDEX('TMP Paste'!$B$2:$B$1601,$AS94))</f>
        <v>AWB02WM5H</v>
      </c>
      <c r="B94">
        <f>IF($AS94="","",Config!$B$14)</f>
        <v>11398423</v>
      </c>
      <c r="C94" t="str">
        <f>IF($AS94="","",Config!$B$15)</f>
        <v>Corporate B2B Bundle</v>
      </c>
      <c r="D94" t="str">
        <f>IF($AS94="","",INDEX('TMP Paste'!$B$2:$B$1601,$AS94))</f>
        <v>AWB02WM5H</v>
      </c>
      <c r="E94" t="str">
        <f>IF($AS94="","",Config!$B$27)</f>
        <v>STANDARD</v>
      </c>
      <c r="F94" t="str">
        <f>IF($AS94="","",Config!$B$9)</f>
        <v>PT Teknologi Medika Pratama (SwipeRx) (B2BR)</v>
      </c>
      <c r="G94" t="str">
        <f>IF($AS94="","",Config!$B$10)</f>
        <v>087733785699</v>
      </c>
      <c r="H94" t="str">
        <f>IF($AS94="","",Config!$B$11)</f>
        <v>Jl. Tugu Raya, Tugu, Kec. Cimanggis, Kota Depok, Jawa Barat 16451,KUBIK LOGISTICS - Kompleks Pergudangan,Gudang E1</v>
      </c>
      <c r="I94" t="str">
        <f>IF($AS94="","",Config!$B$16)</f>
        <v>ID</v>
      </c>
      <c r="J94" t="str">
        <f>IF($AS94="","",INDEX('TMP Paste'!$A$2:$A$1601,$AS94))</f>
        <v>Klinik Utama Rawat Jalan Esa Pemuda</v>
      </c>
      <c r="K94" t="str">
        <f>IF($AS94="","",INDEX('TMP Paste'!$L$2:$L$1601,$AS94))</f>
        <v>81311664778</v>
      </c>
      <c r="L94" t="str">
        <f>IF($AS94="","",INDEX('TMP Paste'!$I$2:$I$1601,$AS94))</f>
        <v>1273-Jalan Pemuda No.6 Kelurahan Depok Kecamatan Pancoran Mas Kota Depok 16431</v>
      </c>
      <c r="M94" t="str">
        <f>IF($AS94="","",Config!$B$16)</f>
        <v>ID</v>
      </c>
      <c r="N94" t="str">
        <f t="shared" si="6"/>
        <v/>
      </c>
      <c r="O94" t="str">
        <f>IF($AS94="","",INDEX('TMP Paste'!$K$2:$K$1601,$AS94))</f>
        <v>Kota Depok</v>
      </c>
      <c r="P94" t="str">
        <f t="shared" si="7"/>
        <v/>
      </c>
      <c r="Q94">
        <f>IF($AS94="","",INDEX('TMP Paste'!$J$2:$J$1601,$AS94))</f>
        <v>16431</v>
      </c>
      <c r="R94" t="str">
        <f>IF($AS94="","",Config!$B$24)</f>
        <v>Delivery Note wajib ada nama penerima, ditandatangani dan distempel penerima. Jika di label tertera "SP Manual", maka dokumen SP Manual harus diminta ke penerima sesuai dengan jumlah PO yang butuh SP Manual. Apabila ada retur, catat di Delivery Note dan update ke IC</v>
      </c>
      <c r="S94" t="str">
        <f ca="1">IF($AS94="","",TEXT(Config!$B$4,"yyyy-mm-dd"))</f>
        <v>2026-08-18</v>
      </c>
      <c r="T94" t="str">
        <f>IF($AS94="","",Config!$B$17)</f>
        <v>09:00</v>
      </c>
      <c r="U94" t="str">
        <f>IF($AS94="","",Config!$B$18)</f>
        <v>22:00</v>
      </c>
      <c r="V94" t="str">
        <f>IF($AS94="","",Config!$B$19)</f>
        <v>Asia/Jakarta</v>
      </c>
      <c r="W94">
        <f>IF($AS94="","",INDEX('TMP Paste'!$C$2:$C$1601,$AS94))</f>
        <v>4.72</v>
      </c>
      <c r="X94" t="str">
        <f>IF($AS94="","",Config!$B$29)</f>
        <v>FALSE</v>
      </c>
      <c r="Y94" t="str">
        <f>IF($AT94="","",INDEX(Calc!$I$2:$I$1601,$AT94)&amp;" - "&amp;INDEX(Calc!$D$2:$D$1601,$AT94)&amp;" koli")</f>
        <v>26072803323613WkEOM8tgI (1) - 1 koli</v>
      </c>
      <c r="Z94" t="str">
        <f>IF($AS94="","",Config!$B$21)</f>
        <v>FALSE</v>
      </c>
      <c r="AA94" t="str">
        <f>IF($AS94="","",Config!$B$22)</f>
        <v>RDO</v>
      </c>
      <c r="AB94">
        <f>IF($AT94="","",INDEX(Calc!$D$2:$D$1601,$AT94))</f>
        <v>1</v>
      </c>
      <c r="AC94" t="str">
        <f>IF($AT94="","",INDEX(Calc!$G$2:$G$1601,$AT94))</f>
        <v>26072803323613WkEOM8tgI-01</v>
      </c>
      <c r="AD94">
        <f>IF($AS94="","",Config!$B$23)</f>
        <v>0</v>
      </c>
      <c r="AE94">
        <f>IF($AS94="","",Config!$B$28)</f>
        <v>1</v>
      </c>
      <c r="AF94">
        <f t="shared" si="8"/>
        <v>10</v>
      </c>
      <c r="AG94">
        <f t="shared" si="9"/>
        <v>50.6</v>
      </c>
      <c r="AH94">
        <f t="shared" si="10"/>
        <v>10</v>
      </c>
      <c r="AI94">
        <f>IF($AG94="","",SUMIF($AG$2:$AG94,$AG94,$AH$2:$AH94))</f>
        <v>10</v>
      </c>
      <c r="AJ94" t="str">
        <f>IF('TMP Paste'!$F94="","",IF('TMP Paste'!$B94="",$AJ93,'TMP Paste'!$B94))</f>
        <v/>
      </c>
      <c r="AK94" t="str">
        <f>IF('TMP Paste'!$F94="","",N('TMP Paste'!$G94))</f>
        <v/>
      </c>
      <c r="AL94" t="str">
        <f>IF('TMP Paste'!$F94="","",IF('TMP Paste'!$M94="",$AL93,'TMP Paste'!$M94))</f>
        <v/>
      </c>
      <c r="AM94" t="str">
        <f>IF('TMP Paste'!$F94="","",IF('TMP Paste'!$N94="",$AM93,'TMP Paste'!$N94))</f>
        <v/>
      </c>
      <c r="AN94" t="str">
        <f>IF('TMP Paste'!$F94="","",IF('TMP Paste'!$O94="",$AN93,'TMP Paste'!$O94))</f>
        <v/>
      </c>
      <c r="AO94" t="str">
        <f>IF('TMP Paste'!$F94="","",IF('TMP Paste'!$P94="",$AO93,'TMP Paste'!$P94))</f>
        <v/>
      </c>
      <c r="AP94">
        <f t="shared" si="11"/>
        <v>266</v>
      </c>
      <c r="AQ94" t="str">
        <f>IF($AS94="","",TRIM(IF(COUNTIFS(Calc!$B$2:$B$1601,ROW()-1,Calc!$C$2:$C$1601,"&lt;1")&gt;0,"Ada PO tanpa Koli - cek TMP. ","")&amp;IF(OR($AU94="",$AU94&lt;=0),"Volume kosong/0 - dimensi dikosongkan. ","")&amp;IF(AND($AU94&lt;&gt;"",$AU94&gt;=1000000),"Volume &gt;= 1.000.000 cm3 (di luar aturan) - dimensi dikosongkan. ","")&amp;IF(LEN($R94)&gt;500,"R &gt; 500 karakter.","")))</f>
        <v/>
      </c>
      <c r="AS94">
        <f>IFERROR(MATCH(ROW()-1,Calc!$J$2:$J$1601,0),"")</f>
        <v>202</v>
      </c>
      <c r="AT94">
        <f>IFERROR(MATCH(ROW()-1,Calc!$K$2:$K$1601,0),"")</f>
        <v>202</v>
      </c>
      <c r="AU94">
        <f>IF($AS94="","",IFERROR(INDEX('TMP Paste'!$D$2:$D$1601,$AS94)*1000000/$AB94,""))</f>
        <v>5060</v>
      </c>
    </row>
    <row r="95" spans="1:47">
      <c r="A95" t="str">
        <f>IF($AS95="","",INDEX('TMP Paste'!$B$2:$B$1601,$AS95))</f>
        <v>AWB02W7M3</v>
      </c>
      <c r="B95">
        <f>IF($AS95="","",Config!$B$14)</f>
        <v>11398423</v>
      </c>
      <c r="C95" t="str">
        <f>IF($AS95="","",Config!$B$15)</f>
        <v>Corporate B2B Bundle</v>
      </c>
      <c r="D95" t="str">
        <f>IF($AS95="","",INDEX('TMP Paste'!$B$2:$B$1601,$AS95))</f>
        <v>AWB02W7M3</v>
      </c>
      <c r="E95" t="str">
        <f>IF($AS95="","",Config!$B$27)</f>
        <v>STANDARD</v>
      </c>
      <c r="F95" t="str">
        <f>IF($AS95="","",Config!$B$9)</f>
        <v>PT Teknologi Medika Pratama (SwipeRx) (B2BR)</v>
      </c>
      <c r="G95" t="str">
        <f>IF($AS95="","",Config!$B$10)</f>
        <v>087733785699</v>
      </c>
      <c r="H95" t="str">
        <f>IF($AS95="","",Config!$B$11)</f>
        <v>Jl. Tugu Raya, Tugu, Kec. Cimanggis, Kota Depok, Jawa Barat 16451,KUBIK LOGISTICS - Kompleks Pergudangan,Gudang E1</v>
      </c>
      <c r="I95" t="str">
        <f>IF($AS95="","",Config!$B$16)</f>
        <v>ID</v>
      </c>
      <c r="J95" t="str">
        <f>IF($AS95="","",INDEX('TMP Paste'!$A$2:$A$1601,$AS95))</f>
        <v>Klinik Utama Saka Medika Sukamaju Cilodong</v>
      </c>
      <c r="K95" t="str">
        <f>IF($AS95="","",INDEX('TMP Paste'!$L$2:$L$1601,$AS95))</f>
        <v>6288224013983</v>
      </c>
      <c r="L95" t="str">
        <f>IF($AS95="","",INDEX('TMP Paste'!$I$2:$I$1601,$AS95))</f>
        <v>13719-Jl. Tole Iskandar RT 005 RW 014, Desa/Kelurahan Sukamaju, Kec. Cilodong, Kota Depok</v>
      </c>
      <c r="M95" t="str">
        <f>IF($AS95="","",Config!$B$16)</f>
        <v>ID</v>
      </c>
      <c r="N95" t="str">
        <f t="shared" si="6"/>
        <v/>
      </c>
      <c r="O95" t="str">
        <f>IF($AS95="","",INDEX('TMP Paste'!$K$2:$K$1601,$AS95))</f>
        <v>Kota Depok</v>
      </c>
      <c r="P95" t="str">
        <f t="shared" si="7"/>
        <v/>
      </c>
      <c r="Q95">
        <f>IF($AS95="","",INDEX('TMP Paste'!$J$2:$J$1601,$AS95))</f>
        <v>16415</v>
      </c>
      <c r="R95" t="str">
        <f>IF($AS95="","",Config!$B$24)</f>
        <v>Delivery Note wajib ada nama penerima, ditandatangani dan distempel penerima. Jika di label tertera "SP Manual", maka dokumen SP Manual harus diminta ke penerima sesuai dengan jumlah PO yang butuh SP Manual. Apabila ada retur, catat di Delivery Note dan update ke IC</v>
      </c>
      <c r="S95" t="str">
        <f ca="1">IF($AS95="","",TEXT(Config!$B$4,"yyyy-mm-dd"))</f>
        <v>2026-08-18</v>
      </c>
      <c r="T95" t="str">
        <f>IF($AS95="","",Config!$B$17)</f>
        <v>09:00</v>
      </c>
      <c r="U95" t="str">
        <f>IF($AS95="","",Config!$B$18)</f>
        <v>22:00</v>
      </c>
      <c r="V95" t="str">
        <f>IF($AS95="","",Config!$B$19)</f>
        <v>Asia/Jakarta</v>
      </c>
      <c r="W95">
        <f>IF($AS95="","",INDEX('TMP Paste'!$C$2:$C$1601,$AS95))</f>
        <v>2.43</v>
      </c>
      <c r="X95" t="str">
        <f>IF($AS95="","",Config!$B$29)</f>
        <v>FALSE</v>
      </c>
      <c r="Y95" t="str">
        <f>IF($AT95="","",INDEX(Calc!$I$2:$I$1601,$AT95)&amp;" - "&amp;INDEX(Calc!$D$2:$D$1601,$AT95)&amp;" koli")</f>
        <v>26072402204805FMqFOqqif (1) - 1 koli</v>
      </c>
      <c r="Z95" t="str">
        <f>IF($AS95="","",Config!$B$21)</f>
        <v>FALSE</v>
      </c>
      <c r="AA95" t="str">
        <f>IF($AS95="","",Config!$B$22)</f>
        <v>RDO</v>
      </c>
      <c r="AB95">
        <f>IF($AT95="","",INDEX(Calc!$D$2:$D$1601,$AT95))</f>
        <v>1</v>
      </c>
      <c r="AC95" t="str">
        <f>IF($AT95="","",INDEX(Calc!$G$2:$G$1601,$AT95))</f>
        <v>26072402204805FMqFOqqif-01</v>
      </c>
      <c r="AD95">
        <f>IF($AS95="","",Config!$B$23)</f>
        <v>0</v>
      </c>
      <c r="AE95">
        <f>IF($AS95="","",Config!$B$28)</f>
        <v>1</v>
      </c>
      <c r="AF95">
        <f t="shared" si="8"/>
        <v>10</v>
      </c>
      <c r="AG95">
        <f t="shared" si="9"/>
        <v>58.16</v>
      </c>
      <c r="AH95">
        <f t="shared" si="10"/>
        <v>10</v>
      </c>
      <c r="AI95">
        <f>IF($AG95="","",SUMIF($AG$2:$AG95,$AG95,$AH$2:$AH95))</f>
        <v>10</v>
      </c>
      <c r="AJ95" t="str">
        <f>IF('TMP Paste'!$F95="","",IF('TMP Paste'!$B95="",$AJ94,'TMP Paste'!$B95))</f>
        <v>AWB02WHTA</v>
      </c>
      <c r="AK95">
        <f>IF('TMP Paste'!$F95="","",N('TMP Paste'!$G95))</f>
        <v>0</v>
      </c>
      <c r="AL95">
        <f>IF('TMP Paste'!$F95="","",IF('TMP Paste'!$M95="",$AL94,'TMP Paste'!$M95))</f>
        <v>1</v>
      </c>
      <c r="AM95" t="str">
        <f>IF('TMP Paste'!$F95="","",IF('TMP Paste'!$N95="",$AM94,'TMP Paste'!$N95))</f>
        <v/>
      </c>
      <c r="AN95" t="str">
        <f>IF('TMP Paste'!$F95="","",IF('TMP Paste'!$O95="",$AN94,'TMP Paste'!$O95))</f>
        <v/>
      </c>
      <c r="AO95" t="str">
        <f>IF('TMP Paste'!$F95="","",IF('TMP Paste'!$P95="",$AO94,'TMP Paste'!$P95))</f>
        <v/>
      </c>
      <c r="AP95">
        <f t="shared" si="11"/>
        <v>266</v>
      </c>
      <c r="AQ95" t="str">
        <f>IF($AS95="","",TRIM(IF(COUNTIFS(Calc!$B$2:$B$1601,ROW()-1,Calc!$C$2:$C$1601,"&lt;1")&gt;0,"Ada PO tanpa Koli - cek TMP. ","")&amp;IF(OR($AU95="",$AU95&lt;=0),"Volume kosong/0 - dimensi dikosongkan. ","")&amp;IF(AND($AU95&lt;&gt;"",$AU95&gt;=1000000),"Volume &gt;= 1.000.000 cm3 (di luar aturan) - dimensi dikosongkan. ","")&amp;IF(LEN($R95)&gt;500,"R &gt; 500 karakter.","")))</f>
        <v/>
      </c>
      <c r="AS95">
        <f>IFERROR(MATCH(ROW()-1,Calc!$J$2:$J$1601,0),"")</f>
        <v>203</v>
      </c>
      <c r="AT95">
        <f>IFERROR(MATCH(ROW()-1,Calc!$K$2:$K$1601,0),"")</f>
        <v>203</v>
      </c>
      <c r="AU95">
        <f>IF($AS95="","",IFERROR(INDEX('TMP Paste'!$D$2:$D$1601,$AS95)*1000000/$AB95,""))</f>
        <v>5816</v>
      </c>
    </row>
    <row r="96" spans="1:47">
      <c r="A96" t="str">
        <f>IF($AS96="","",INDEX('TMP Paste'!$B$2:$B$1601,$AS96))</f>
        <v/>
      </c>
      <c r="B96" t="str">
        <f>IF($AS96="","",Config!$B$14)</f>
        <v/>
      </c>
      <c r="C96" t="str">
        <f>IF($AS96="","",Config!$B$15)</f>
        <v/>
      </c>
      <c r="D96" t="str">
        <f>IF($AS96="","",INDEX('TMP Paste'!$B$2:$B$1601,$AS96))</f>
        <v/>
      </c>
      <c r="E96" t="str">
        <f>IF($AS96="","",Config!$B$27)</f>
        <v/>
      </c>
      <c r="F96" t="str">
        <f>IF($AS96="","",Config!$B$9)</f>
        <v/>
      </c>
      <c r="G96" t="str">
        <f>IF($AS96="","",Config!$B$10)</f>
        <v/>
      </c>
      <c r="H96" t="str">
        <f>IF($AS96="","",Config!$B$11)</f>
        <v/>
      </c>
      <c r="I96" t="str">
        <f>IF($AS96="","",Config!$B$16)</f>
        <v/>
      </c>
      <c r="J96" t="str">
        <f>IF($AS96="","",INDEX('TMP Paste'!$A$2:$A$1601,$AS96))</f>
        <v/>
      </c>
      <c r="K96" t="str">
        <f>IF($AS96="","",INDEX('TMP Paste'!$L$2:$L$1601,$AS96))</f>
        <v/>
      </c>
      <c r="L96" t="str">
        <f>IF($AS96="","",INDEX('TMP Paste'!$I$2:$I$1601,$AS96))</f>
        <v/>
      </c>
      <c r="M96" t="str">
        <f>IF($AS96="","",Config!$B$16)</f>
        <v/>
      </c>
      <c r="N96" t="str">
        <f t="shared" si="6"/>
        <v/>
      </c>
      <c r="O96" t="str">
        <f>IF($AS96="","",INDEX('TMP Paste'!$K$2:$K$1601,$AS96))</f>
        <v/>
      </c>
      <c r="P96" t="str">
        <f t="shared" si="7"/>
        <v/>
      </c>
      <c r="Q96" t="str">
        <f>IF($AS96="","",INDEX('TMP Paste'!$J$2:$J$1601,$AS96))</f>
        <v/>
      </c>
      <c r="R96" t="str">
        <f>IF($AS96="","",Config!$B$24)</f>
        <v/>
      </c>
      <c r="S96" t="str">
        <f ca="1">IF($AS96="","",TEXT(Config!$B$4,"yyyy-mm-dd"))</f>
        <v/>
      </c>
      <c r="T96" t="str">
        <f>IF($AS96="","",Config!$B$17)</f>
        <v/>
      </c>
      <c r="U96" t="str">
        <f>IF($AS96="","",Config!$B$18)</f>
        <v/>
      </c>
      <c r="V96" t="str">
        <f>IF($AS96="","",Config!$B$19)</f>
        <v/>
      </c>
      <c r="W96" t="str">
        <f>IF($AS96="","",INDEX('TMP Paste'!$C$2:$C$1601,$AS96))</f>
        <v/>
      </c>
      <c r="X96" t="str">
        <f>IF($AS96="","",Config!$B$29)</f>
        <v/>
      </c>
      <c r="Y96" t="str">
        <f>IF($AT96="","",INDEX(Calc!$I$2:$I$1601,$AT96)&amp;" - "&amp;INDEX(Calc!$D$2:$D$1601,$AT96)&amp;" koli")</f>
        <v/>
      </c>
      <c r="Z96" t="str">
        <f>IF($AS96="","",Config!$B$21)</f>
        <v/>
      </c>
      <c r="AA96" t="str">
        <f>IF($AS96="","",Config!$B$22)</f>
        <v/>
      </c>
      <c r="AB96" t="str">
        <f>IF($AT96="","",INDEX(Calc!$D$2:$D$1601,$AT96))</f>
        <v/>
      </c>
      <c r="AC96" t="str">
        <f>IF($AT96="","",INDEX(Calc!$G$2:$G$1601,$AT96))</f>
        <v/>
      </c>
      <c r="AD96" t="str">
        <f>IF($AS96="","",Config!$B$23)</f>
        <v/>
      </c>
      <c r="AE96" t="str">
        <f>IF($AS96="","",Config!$B$28)</f>
        <v/>
      </c>
      <c r="AF96" t="str">
        <f t="shared" si="8"/>
        <v/>
      </c>
      <c r="AG96" t="str">
        <f t="shared" si="9"/>
        <v/>
      </c>
      <c r="AH96" t="str">
        <f t="shared" si="10"/>
        <v/>
      </c>
      <c r="AI96" t="str">
        <f>IF($AG96="","",SUMIF($AG$2:$AG96,$AG96,$AH$2:$AH96))</f>
        <v/>
      </c>
      <c r="AJ96" t="str">
        <f>IF('TMP Paste'!$F96="","",IF('TMP Paste'!$B96="",$AJ95,'TMP Paste'!$B96))</f>
        <v/>
      </c>
      <c r="AK96" t="str">
        <f>IF('TMP Paste'!$F96="","",N('TMP Paste'!$G96))</f>
        <v/>
      </c>
      <c r="AL96" t="str">
        <f>IF('TMP Paste'!$F96="","",IF('TMP Paste'!$M96="",$AL95,'TMP Paste'!$M96))</f>
        <v/>
      </c>
      <c r="AM96" t="str">
        <f>IF('TMP Paste'!$F96="","",IF('TMP Paste'!$N96="",$AM95,'TMP Paste'!$N96))</f>
        <v/>
      </c>
      <c r="AN96" t="str">
        <f>IF('TMP Paste'!$F96="","",IF('TMP Paste'!$O96="",$AN95,'TMP Paste'!$O96))</f>
        <v/>
      </c>
      <c r="AO96" t="str">
        <f>IF('TMP Paste'!$F96="","",IF('TMP Paste'!$P96="",$AO95,'TMP Paste'!$P96))</f>
        <v/>
      </c>
      <c r="AP96" t="str">
        <f t="shared" si="11"/>
        <v/>
      </c>
      <c r="AQ96" t="str">
        <f>IF($AS96="","",TRIM(IF(COUNTIFS(Calc!$B$2:$B$1601,ROW()-1,Calc!$C$2:$C$1601,"&lt;1")&gt;0,"Ada PO tanpa Koli - cek TMP. ","")&amp;IF(OR($AU96="",$AU96&lt;=0),"Volume kosong/0 - dimensi dikosongkan. ","")&amp;IF(AND($AU96&lt;&gt;"",$AU96&gt;=1000000),"Volume &gt;= 1.000.000 cm3 (di luar aturan) - dimensi dikosongkan. ","")&amp;IF(LEN($R96)&gt;500,"R &gt; 500 karakter.","")))</f>
        <v/>
      </c>
      <c r="AS96" t="str">
        <f>IFERROR(MATCH(ROW()-1,Calc!$J$2:$J$1601,0),"")</f>
        <v/>
      </c>
      <c r="AT96" t="str">
        <f>IFERROR(MATCH(ROW()-1,Calc!$K$2:$K$1601,0),"")</f>
        <v/>
      </c>
      <c r="AU96" t="str">
        <f>IF($AS96="","",IFERROR(INDEX('TMP Paste'!$D$2:$D$1601,$AS96)*1000000/$AB96,""))</f>
        <v/>
      </c>
    </row>
    <row r="97" spans="1:47">
      <c r="A97" t="str">
        <f>IF($AS97="","",INDEX('TMP Paste'!$B$2:$B$1601,$AS97))</f>
        <v/>
      </c>
      <c r="B97" t="str">
        <f>IF($AS97="","",Config!$B$14)</f>
        <v/>
      </c>
      <c r="C97" t="str">
        <f>IF($AS97="","",Config!$B$15)</f>
        <v/>
      </c>
      <c r="D97" t="str">
        <f>IF($AS97="","",INDEX('TMP Paste'!$B$2:$B$1601,$AS97))</f>
        <v/>
      </c>
      <c r="E97" t="str">
        <f>IF($AS97="","",Config!$B$27)</f>
        <v/>
      </c>
      <c r="F97" t="str">
        <f>IF($AS97="","",Config!$B$9)</f>
        <v/>
      </c>
      <c r="G97" t="str">
        <f>IF($AS97="","",Config!$B$10)</f>
        <v/>
      </c>
      <c r="H97" t="str">
        <f>IF($AS97="","",Config!$B$11)</f>
        <v/>
      </c>
      <c r="I97" t="str">
        <f>IF($AS97="","",Config!$B$16)</f>
        <v/>
      </c>
      <c r="J97" t="str">
        <f>IF($AS97="","",INDEX('TMP Paste'!$A$2:$A$1601,$AS97))</f>
        <v/>
      </c>
      <c r="K97" t="str">
        <f>IF($AS97="","",INDEX('TMP Paste'!$L$2:$L$1601,$AS97))</f>
        <v/>
      </c>
      <c r="L97" t="str">
        <f>IF($AS97="","",INDEX('TMP Paste'!$I$2:$I$1601,$AS97))</f>
        <v/>
      </c>
      <c r="M97" t="str">
        <f>IF($AS97="","",Config!$B$16)</f>
        <v/>
      </c>
      <c r="N97" t="str">
        <f t="shared" si="6"/>
        <v/>
      </c>
      <c r="O97" t="str">
        <f>IF($AS97="","",INDEX('TMP Paste'!$K$2:$K$1601,$AS97))</f>
        <v/>
      </c>
      <c r="P97" t="str">
        <f t="shared" si="7"/>
        <v/>
      </c>
      <c r="Q97" t="str">
        <f>IF($AS97="","",INDEX('TMP Paste'!$J$2:$J$1601,$AS97))</f>
        <v/>
      </c>
      <c r="R97" t="str">
        <f>IF($AS97="","",Config!$B$24)</f>
        <v/>
      </c>
      <c r="S97" t="str">
        <f ca="1">IF($AS97="","",TEXT(Config!$B$4,"yyyy-mm-dd"))</f>
        <v/>
      </c>
      <c r="T97" t="str">
        <f>IF($AS97="","",Config!$B$17)</f>
        <v/>
      </c>
      <c r="U97" t="str">
        <f>IF($AS97="","",Config!$B$18)</f>
        <v/>
      </c>
      <c r="V97" t="str">
        <f>IF($AS97="","",Config!$B$19)</f>
        <v/>
      </c>
      <c r="W97" t="str">
        <f>IF($AS97="","",INDEX('TMP Paste'!$C$2:$C$1601,$AS97))</f>
        <v/>
      </c>
      <c r="X97" t="str">
        <f>IF($AS97="","",Config!$B$29)</f>
        <v/>
      </c>
      <c r="Y97" t="str">
        <f>IF($AT97="","",INDEX(Calc!$I$2:$I$1601,$AT97)&amp;" - "&amp;INDEX(Calc!$D$2:$D$1601,$AT97)&amp;" koli")</f>
        <v/>
      </c>
      <c r="Z97" t="str">
        <f>IF($AS97="","",Config!$B$21)</f>
        <v/>
      </c>
      <c r="AA97" t="str">
        <f>IF($AS97="","",Config!$B$22)</f>
        <v/>
      </c>
      <c r="AB97" t="str">
        <f>IF($AT97="","",INDEX(Calc!$D$2:$D$1601,$AT97))</f>
        <v/>
      </c>
      <c r="AC97" t="str">
        <f>IF($AT97="","",INDEX(Calc!$G$2:$G$1601,$AT97))</f>
        <v/>
      </c>
      <c r="AD97" t="str">
        <f>IF($AS97="","",Config!$B$23)</f>
        <v/>
      </c>
      <c r="AE97" t="str">
        <f>IF($AS97="","",Config!$B$28)</f>
        <v/>
      </c>
      <c r="AF97" t="str">
        <f t="shared" si="8"/>
        <v/>
      </c>
      <c r="AG97" t="str">
        <f t="shared" si="9"/>
        <v/>
      </c>
      <c r="AH97" t="str">
        <f t="shared" si="10"/>
        <v/>
      </c>
      <c r="AI97" t="str">
        <f>IF($AG97="","",SUMIF($AG$2:$AG97,$AG97,$AH$2:$AH97))</f>
        <v/>
      </c>
      <c r="AJ97" t="str">
        <f>IF('TMP Paste'!$F97="","",IF('TMP Paste'!$B97="",$AJ96,'TMP Paste'!$B97))</f>
        <v>AWB02WLXF</v>
      </c>
      <c r="AK97">
        <f>IF('TMP Paste'!$F97="","",N('TMP Paste'!$G97))</f>
        <v>0</v>
      </c>
      <c r="AL97">
        <f>IF('TMP Paste'!$F97="","",IF('TMP Paste'!$M97="",$AL96,'TMP Paste'!$M97))</f>
        <v>1</v>
      </c>
      <c r="AM97" t="str">
        <f>IF('TMP Paste'!$F97="","",IF('TMP Paste'!$N97="",$AM96,'TMP Paste'!$N97))</f>
        <v/>
      </c>
      <c r="AN97" t="str">
        <f>IF('TMP Paste'!$F97="","",IF('TMP Paste'!$O97="",$AN96,'TMP Paste'!$O97))</f>
        <v/>
      </c>
      <c r="AO97" t="str">
        <f>IF('TMP Paste'!$F97="","",IF('TMP Paste'!$P97="",$AO96,'TMP Paste'!$P97))</f>
        <v/>
      </c>
      <c r="AP97" t="str">
        <f t="shared" si="11"/>
        <v/>
      </c>
      <c r="AQ97" t="str">
        <f>IF($AS97="","",TRIM(IF(COUNTIFS(Calc!$B$2:$B$1601,ROW()-1,Calc!$C$2:$C$1601,"&lt;1")&gt;0,"Ada PO tanpa Koli - cek TMP. ","")&amp;IF(OR($AU97="",$AU97&lt;=0),"Volume kosong/0 - dimensi dikosongkan. ","")&amp;IF(AND($AU97&lt;&gt;"",$AU97&gt;=1000000),"Volume &gt;= 1.000.000 cm3 (di luar aturan) - dimensi dikosongkan. ","")&amp;IF(LEN($R97)&gt;500,"R &gt; 500 karakter.","")))</f>
        <v/>
      </c>
      <c r="AS97" t="str">
        <f>IFERROR(MATCH(ROW()-1,Calc!$J$2:$J$1601,0),"")</f>
        <v/>
      </c>
      <c r="AT97" t="str">
        <f>IFERROR(MATCH(ROW()-1,Calc!$K$2:$K$1601,0),"")</f>
        <v/>
      </c>
      <c r="AU97" t="str">
        <f>IF($AS97="","",IFERROR(INDEX('TMP Paste'!$D$2:$D$1601,$AS97)*1000000/$AB97,""))</f>
        <v/>
      </c>
    </row>
    <row r="98" spans="1:47">
      <c r="A98" t="str">
        <f>IF($AS98="","",INDEX('TMP Paste'!$B$2:$B$1601,$AS98))</f>
        <v/>
      </c>
      <c r="B98" t="str">
        <f>IF($AS98="","",Config!$B$14)</f>
        <v/>
      </c>
      <c r="C98" t="str">
        <f>IF($AS98="","",Config!$B$15)</f>
        <v/>
      </c>
      <c r="D98" t="str">
        <f>IF($AS98="","",INDEX('TMP Paste'!$B$2:$B$1601,$AS98))</f>
        <v/>
      </c>
      <c r="E98" t="str">
        <f>IF($AS98="","",Config!$B$27)</f>
        <v/>
      </c>
      <c r="F98" t="str">
        <f>IF($AS98="","",Config!$B$9)</f>
        <v/>
      </c>
      <c r="G98" t="str">
        <f>IF($AS98="","",Config!$B$10)</f>
        <v/>
      </c>
      <c r="H98" t="str">
        <f>IF($AS98="","",Config!$B$11)</f>
        <v/>
      </c>
      <c r="I98" t="str">
        <f>IF($AS98="","",Config!$B$16)</f>
        <v/>
      </c>
      <c r="J98" t="str">
        <f>IF($AS98="","",INDEX('TMP Paste'!$A$2:$A$1601,$AS98))</f>
        <v/>
      </c>
      <c r="K98" t="str">
        <f>IF($AS98="","",INDEX('TMP Paste'!$L$2:$L$1601,$AS98))</f>
        <v/>
      </c>
      <c r="L98" t="str">
        <f>IF($AS98="","",INDEX('TMP Paste'!$I$2:$I$1601,$AS98))</f>
        <v/>
      </c>
      <c r="M98" t="str">
        <f>IF($AS98="","",Config!$B$16)</f>
        <v/>
      </c>
      <c r="N98" t="str">
        <f t="shared" si="6"/>
        <v/>
      </c>
      <c r="O98" t="str">
        <f>IF($AS98="","",INDEX('TMP Paste'!$K$2:$K$1601,$AS98))</f>
        <v/>
      </c>
      <c r="P98" t="str">
        <f t="shared" si="7"/>
        <v/>
      </c>
      <c r="Q98" t="str">
        <f>IF($AS98="","",INDEX('TMP Paste'!$J$2:$J$1601,$AS98))</f>
        <v/>
      </c>
      <c r="R98" t="str">
        <f>IF($AS98="","",Config!$B$24)</f>
        <v/>
      </c>
      <c r="S98" t="str">
        <f ca="1">IF($AS98="","",TEXT(Config!$B$4,"yyyy-mm-dd"))</f>
        <v/>
      </c>
      <c r="T98" t="str">
        <f>IF($AS98="","",Config!$B$17)</f>
        <v/>
      </c>
      <c r="U98" t="str">
        <f>IF($AS98="","",Config!$B$18)</f>
        <v/>
      </c>
      <c r="V98" t="str">
        <f>IF($AS98="","",Config!$B$19)</f>
        <v/>
      </c>
      <c r="W98" t="str">
        <f>IF($AS98="","",INDEX('TMP Paste'!$C$2:$C$1601,$AS98))</f>
        <v/>
      </c>
      <c r="X98" t="str">
        <f>IF($AS98="","",Config!$B$29)</f>
        <v/>
      </c>
      <c r="Y98" t="str">
        <f>IF($AT98="","",INDEX(Calc!$I$2:$I$1601,$AT98)&amp;" - "&amp;INDEX(Calc!$D$2:$D$1601,$AT98)&amp;" koli")</f>
        <v/>
      </c>
      <c r="Z98" t="str">
        <f>IF($AS98="","",Config!$B$21)</f>
        <v/>
      </c>
      <c r="AA98" t="str">
        <f>IF($AS98="","",Config!$B$22)</f>
        <v/>
      </c>
      <c r="AB98" t="str">
        <f>IF($AT98="","",INDEX(Calc!$D$2:$D$1601,$AT98))</f>
        <v/>
      </c>
      <c r="AC98" t="str">
        <f>IF($AT98="","",INDEX(Calc!$G$2:$G$1601,$AT98))</f>
        <v/>
      </c>
      <c r="AD98" t="str">
        <f>IF($AS98="","",Config!$B$23)</f>
        <v/>
      </c>
      <c r="AE98" t="str">
        <f>IF($AS98="","",Config!$B$28)</f>
        <v/>
      </c>
      <c r="AF98" t="str">
        <f t="shared" si="8"/>
        <v/>
      </c>
      <c r="AG98" t="str">
        <f t="shared" si="9"/>
        <v/>
      </c>
      <c r="AH98" t="str">
        <f t="shared" si="10"/>
        <v/>
      </c>
      <c r="AI98" t="str">
        <f>IF($AG98="","",SUMIF($AG$2:$AG98,$AG98,$AH$2:$AH98))</f>
        <v/>
      </c>
      <c r="AJ98" t="str">
        <f>IF('TMP Paste'!$F98="","",IF('TMP Paste'!$B98="",$AJ97,'TMP Paste'!$B98))</f>
        <v/>
      </c>
      <c r="AK98" t="str">
        <f>IF('TMP Paste'!$F98="","",N('TMP Paste'!$G98))</f>
        <v/>
      </c>
      <c r="AL98" t="str">
        <f>IF('TMP Paste'!$F98="","",IF('TMP Paste'!$M98="",$AL97,'TMP Paste'!$M98))</f>
        <v/>
      </c>
      <c r="AM98" t="str">
        <f>IF('TMP Paste'!$F98="","",IF('TMP Paste'!$N98="",$AM97,'TMP Paste'!$N98))</f>
        <v/>
      </c>
      <c r="AN98" t="str">
        <f>IF('TMP Paste'!$F98="","",IF('TMP Paste'!$O98="",$AN97,'TMP Paste'!$O98))</f>
        <v/>
      </c>
      <c r="AO98" t="str">
        <f>IF('TMP Paste'!$F98="","",IF('TMP Paste'!$P98="",$AO97,'TMP Paste'!$P98))</f>
        <v/>
      </c>
      <c r="AP98" t="str">
        <f t="shared" si="11"/>
        <v/>
      </c>
      <c r="AQ98" t="str">
        <f>IF($AS98="","",TRIM(IF(COUNTIFS(Calc!$B$2:$B$1601,ROW()-1,Calc!$C$2:$C$1601,"&lt;1")&gt;0,"Ada PO tanpa Koli - cek TMP. ","")&amp;IF(OR($AU98="",$AU98&lt;=0),"Volume kosong/0 - dimensi dikosongkan. ","")&amp;IF(AND($AU98&lt;&gt;"",$AU98&gt;=1000000),"Volume &gt;= 1.000.000 cm3 (di luar aturan) - dimensi dikosongkan. ","")&amp;IF(LEN($R98)&gt;500,"R &gt; 500 karakter.","")))</f>
        <v/>
      </c>
      <c r="AS98" t="str">
        <f>IFERROR(MATCH(ROW()-1,Calc!$J$2:$J$1601,0),"")</f>
        <v/>
      </c>
      <c r="AT98" t="str">
        <f>IFERROR(MATCH(ROW()-1,Calc!$K$2:$K$1601,0),"")</f>
        <v/>
      </c>
      <c r="AU98" t="str">
        <f>IF($AS98="","",IFERROR(INDEX('TMP Paste'!$D$2:$D$1601,$AS98)*1000000/$AB98,""))</f>
        <v/>
      </c>
    </row>
    <row r="99" spans="1:47">
      <c r="A99" t="str">
        <f>IF($AS99="","",INDEX('TMP Paste'!$B$2:$B$1601,$AS99))</f>
        <v/>
      </c>
      <c r="B99" t="str">
        <f>IF($AS99="","",Config!$B$14)</f>
        <v/>
      </c>
      <c r="C99" t="str">
        <f>IF($AS99="","",Config!$B$15)</f>
        <v/>
      </c>
      <c r="D99" t="str">
        <f>IF($AS99="","",INDEX('TMP Paste'!$B$2:$B$1601,$AS99))</f>
        <v/>
      </c>
      <c r="E99" t="str">
        <f>IF($AS99="","",Config!$B$27)</f>
        <v/>
      </c>
      <c r="F99" t="str">
        <f>IF($AS99="","",Config!$B$9)</f>
        <v/>
      </c>
      <c r="G99" t="str">
        <f>IF($AS99="","",Config!$B$10)</f>
        <v/>
      </c>
      <c r="H99" t="str">
        <f>IF($AS99="","",Config!$B$11)</f>
        <v/>
      </c>
      <c r="I99" t="str">
        <f>IF($AS99="","",Config!$B$16)</f>
        <v/>
      </c>
      <c r="J99" t="str">
        <f>IF($AS99="","",INDEX('TMP Paste'!$A$2:$A$1601,$AS99))</f>
        <v/>
      </c>
      <c r="K99" t="str">
        <f>IF($AS99="","",INDEX('TMP Paste'!$L$2:$L$1601,$AS99))</f>
        <v/>
      </c>
      <c r="L99" t="str">
        <f>IF($AS99="","",INDEX('TMP Paste'!$I$2:$I$1601,$AS99))</f>
        <v/>
      </c>
      <c r="M99" t="str">
        <f>IF($AS99="","",Config!$B$16)</f>
        <v/>
      </c>
      <c r="N99" t="str">
        <f t="shared" si="6"/>
        <v/>
      </c>
      <c r="O99" t="str">
        <f>IF($AS99="","",INDEX('TMP Paste'!$K$2:$K$1601,$AS99))</f>
        <v/>
      </c>
      <c r="P99" t="str">
        <f t="shared" si="7"/>
        <v/>
      </c>
      <c r="Q99" t="str">
        <f>IF($AS99="","",INDEX('TMP Paste'!$J$2:$J$1601,$AS99))</f>
        <v/>
      </c>
      <c r="R99" t="str">
        <f>IF($AS99="","",Config!$B$24)</f>
        <v/>
      </c>
      <c r="S99" t="str">
        <f ca="1">IF($AS99="","",TEXT(Config!$B$4,"yyyy-mm-dd"))</f>
        <v/>
      </c>
      <c r="T99" t="str">
        <f>IF($AS99="","",Config!$B$17)</f>
        <v/>
      </c>
      <c r="U99" t="str">
        <f>IF($AS99="","",Config!$B$18)</f>
        <v/>
      </c>
      <c r="V99" t="str">
        <f>IF($AS99="","",Config!$B$19)</f>
        <v/>
      </c>
      <c r="W99" t="str">
        <f>IF($AS99="","",INDEX('TMP Paste'!$C$2:$C$1601,$AS99))</f>
        <v/>
      </c>
      <c r="X99" t="str">
        <f>IF($AS99="","",Config!$B$29)</f>
        <v/>
      </c>
      <c r="Y99" t="str">
        <f>IF($AT99="","",INDEX(Calc!$I$2:$I$1601,$AT99)&amp;" - "&amp;INDEX(Calc!$D$2:$D$1601,$AT99)&amp;" koli")</f>
        <v/>
      </c>
      <c r="Z99" t="str">
        <f>IF($AS99="","",Config!$B$21)</f>
        <v/>
      </c>
      <c r="AA99" t="str">
        <f>IF($AS99="","",Config!$B$22)</f>
        <v/>
      </c>
      <c r="AB99" t="str">
        <f>IF($AT99="","",INDEX(Calc!$D$2:$D$1601,$AT99))</f>
        <v/>
      </c>
      <c r="AC99" t="str">
        <f>IF($AT99="","",INDEX(Calc!$G$2:$G$1601,$AT99))</f>
        <v/>
      </c>
      <c r="AD99" t="str">
        <f>IF($AS99="","",Config!$B$23)</f>
        <v/>
      </c>
      <c r="AE99" t="str">
        <f>IF($AS99="","",Config!$B$28)</f>
        <v/>
      </c>
      <c r="AF99" t="str">
        <f t="shared" si="8"/>
        <v/>
      </c>
      <c r="AG99" t="str">
        <f t="shared" si="9"/>
        <v/>
      </c>
      <c r="AH99" t="str">
        <f t="shared" si="10"/>
        <v/>
      </c>
      <c r="AI99" t="str">
        <f>IF($AG99="","",SUMIF($AG$2:$AG99,$AG99,$AH$2:$AH99))</f>
        <v/>
      </c>
      <c r="AJ99" t="str">
        <f>IF('TMP Paste'!$F99="","",IF('TMP Paste'!$B99="",$AJ98,'TMP Paste'!$B99))</f>
        <v/>
      </c>
      <c r="AK99" t="str">
        <f>IF('TMP Paste'!$F99="","",N('TMP Paste'!$G99))</f>
        <v/>
      </c>
      <c r="AL99" t="str">
        <f>IF('TMP Paste'!$F99="","",IF('TMP Paste'!$M99="",$AL98,'TMP Paste'!$M99))</f>
        <v/>
      </c>
      <c r="AM99" t="str">
        <f>IF('TMP Paste'!$F99="","",IF('TMP Paste'!$N99="",$AM98,'TMP Paste'!$N99))</f>
        <v/>
      </c>
      <c r="AN99" t="str">
        <f>IF('TMP Paste'!$F99="","",IF('TMP Paste'!$O99="",$AN98,'TMP Paste'!$O99))</f>
        <v/>
      </c>
      <c r="AO99" t="str">
        <f>IF('TMP Paste'!$F99="","",IF('TMP Paste'!$P99="",$AO98,'TMP Paste'!$P99))</f>
        <v/>
      </c>
      <c r="AP99" t="str">
        <f t="shared" si="11"/>
        <v/>
      </c>
      <c r="AQ99" t="str">
        <f>IF($AS99="","",TRIM(IF(COUNTIFS(Calc!$B$2:$B$1601,ROW()-1,Calc!$C$2:$C$1601,"&lt;1")&gt;0,"Ada PO tanpa Koli - cek TMP. ","")&amp;IF(OR($AU99="",$AU99&lt;=0),"Volume kosong/0 - dimensi dikosongkan. ","")&amp;IF(AND($AU99&lt;&gt;"",$AU99&gt;=1000000),"Volume &gt;= 1.000.000 cm3 (di luar aturan) - dimensi dikosongkan. ","")&amp;IF(LEN($R99)&gt;500,"R &gt; 500 karakter.","")))</f>
        <v/>
      </c>
      <c r="AS99" t="str">
        <f>IFERROR(MATCH(ROW()-1,Calc!$J$2:$J$1601,0),"")</f>
        <v/>
      </c>
      <c r="AT99" t="str">
        <f>IFERROR(MATCH(ROW()-1,Calc!$K$2:$K$1601,0),"")</f>
        <v/>
      </c>
      <c r="AU99" t="str">
        <f>IF($AS99="","",IFERROR(INDEX('TMP Paste'!$D$2:$D$1601,$AS99)*1000000/$AB99,""))</f>
        <v/>
      </c>
    </row>
    <row r="100" spans="1:47">
      <c r="A100" t="str">
        <f>IF($AS100="","",INDEX('TMP Paste'!$B$2:$B$1601,$AS100))</f>
        <v/>
      </c>
      <c r="B100" t="str">
        <f>IF($AS100="","",Config!$B$14)</f>
        <v/>
      </c>
      <c r="C100" t="str">
        <f>IF($AS100="","",Config!$B$15)</f>
        <v/>
      </c>
      <c r="D100" t="str">
        <f>IF($AS100="","",INDEX('TMP Paste'!$B$2:$B$1601,$AS100))</f>
        <v/>
      </c>
      <c r="E100" t="str">
        <f>IF($AS100="","",Config!$B$27)</f>
        <v/>
      </c>
      <c r="F100" t="str">
        <f>IF($AS100="","",Config!$B$9)</f>
        <v/>
      </c>
      <c r="G100" t="str">
        <f>IF($AS100="","",Config!$B$10)</f>
        <v/>
      </c>
      <c r="H100" t="str">
        <f>IF($AS100="","",Config!$B$11)</f>
        <v/>
      </c>
      <c r="I100" t="str">
        <f>IF($AS100="","",Config!$B$16)</f>
        <v/>
      </c>
      <c r="J100" t="str">
        <f>IF($AS100="","",INDEX('TMP Paste'!$A$2:$A$1601,$AS100))</f>
        <v/>
      </c>
      <c r="K100" t="str">
        <f>IF($AS100="","",INDEX('TMP Paste'!$L$2:$L$1601,$AS100))</f>
        <v/>
      </c>
      <c r="L100" t="str">
        <f>IF($AS100="","",INDEX('TMP Paste'!$I$2:$I$1601,$AS100))</f>
        <v/>
      </c>
      <c r="M100" t="str">
        <f>IF($AS100="","",Config!$B$16)</f>
        <v/>
      </c>
      <c r="N100" t="str">
        <f t="shared" si="6"/>
        <v/>
      </c>
      <c r="O100" t="str">
        <f>IF($AS100="","",INDEX('TMP Paste'!$K$2:$K$1601,$AS100))</f>
        <v/>
      </c>
      <c r="P100" t="str">
        <f t="shared" si="7"/>
        <v/>
      </c>
      <c r="Q100" t="str">
        <f>IF($AS100="","",INDEX('TMP Paste'!$J$2:$J$1601,$AS100))</f>
        <v/>
      </c>
      <c r="R100" t="str">
        <f>IF($AS100="","",Config!$B$24)</f>
        <v/>
      </c>
      <c r="S100" t="str">
        <f ca="1">IF($AS100="","",TEXT(Config!$B$4,"yyyy-mm-dd"))</f>
        <v/>
      </c>
      <c r="T100" t="str">
        <f>IF($AS100="","",Config!$B$17)</f>
        <v/>
      </c>
      <c r="U100" t="str">
        <f>IF($AS100="","",Config!$B$18)</f>
        <v/>
      </c>
      <c r="V100" t="str">
        <f>IF($AS100="","",Config!$B$19)</f>
        <v/>
      </c>
      <c r="W100" t="str">
        <f>IF($AS100="","",INDEX('TMP Paste'!$C$2:$C$1601,$AS100))</f>
        <v/>
      </c>
      <c r="X100" t="str">
        <f>IF($AS100="","",Config!$B$29)</f>
        <v/>
      </c>
      <c r="Y100" t="str">
        <f>IF($AT100="","",INDEX(Calc!$I$2:$I$1601,$AT100)&amp;" - "&amp;INDEX(Calc!$D$2:$D$1601,$AT100)&amp;" koli")</f>
        <v/>
      </c>
      <c r="Z100" t="str">
        <f>IF($AS100="","",Config!$B$21)</f>
        <v/>
      </c>
      <c r="AA100" t="str">
        <f>IF($AS100="","",Config!$B$22)</f>
        <v/>
      </c>
      <c r="AB100" t="str">
        <f>IF($AT100="","",INDEX(Calc!$D$2:$D$1601,$AT100))</f>
        <v/>
      </c>
      <c r="AC100" t="str">
        <f>IF($AT100="","",INDEX(Calc!$G$2:$G$1601,$AT100))</f>
        <v/>
      </c>
      <c r="AD100" t="str">
        <f>IF($AS100="","",Config!$B$23)</f>
        <v/>
      </c>
      <c r="AE100" t="str">
        <f>IF($AS100="","",Config!$B$28)</f>
        <v/>
      </c>
      <c r="AF100" t="str">
        <f t="shared" si="8"/>
        <v/>
      </c>
      <c r="AG100" t="str">
        <f t="shared" si="9"/>
        <v/>
      </c>
      <c r="AH100" t="str">
        <f t="shared" si="10"/>
        <v/>
      </c>
      <c r="AI100" t="str">
        <f>IF($AG100="","",SUMIF($AG$2:$AG100,$AG100,$AH$2:$AH100))</f>
        <v/>
      </c>
      <c r="AJ100" t="str">
        <f>IF('TMP Paste'!$F100="","",IF('TMP Paste'!$B100="",$AJ99,'TMP Paste'!$B100))</f>
        <v>AWB02WHMW</v>
      </c>
      <c r="AK100">
        <f>IF('TMP Paste'!$F100="","",N('TMP Paste'!$G100))</f>
        <v>0</v>
      </c>
      <c r="AL100">
        <f>IF('TMP Paste'!$F100="","",IF('TMP Paste'!$M100="",$AL99,'TMP Paste'!$M100))</f>
        <v>2</v>
      </c>
      <c r="AM100" t="str">
        <f>IF('TMP Paste'!$F100="","",IF('TMP Paste'!$N100="",$AM99,'TMP Paste'!$N100))</f>
        <v/>
      </c>
      <c r="AN100" t="str">
        <f>IF('TMP Paste'!$F100="","",IF('TMP Paste'!$O100="",$AN99,'TMP Paste'!$O100))</f>
        <v/>
      </c>
      <c r="AO100" t="str">
        <f>IF('TMP Paste'!$F100="","",IF('TMP Paste'!$P100="",$AO99,'TMP Paste'!$P100))</f>
        <v/>
      </c>
      <c r="AP100" t="str">
        <f t="shared" si="11"/>
        <v/>
      </c>
      <c r="AQ100" t="str">
        <f>IF($AS100="","",TRIM(IF(COUNTIFS(Calc!$B$2:$B$1601,ROW()-1,Calc!$C$2:$C$1601,"&lt;1")&gt;0,"Ada PO tanpa Koli - cek TMP. ","")&amp;IF(OR($AU100="",$AU100&lt;=0),"Volume kosong/0 - dimensi dikosongkan. ","")&amp;IF(AND($AU100&lt;&gt;"",$AU100&gt;=1000000),"Volume &gt;= 1.000.000 cm3 (di luar aturan) - dimensi dikosongkan. ","")&amp;IF(LEN($R100)&gt;500,"R &gt; 500 karakter.","")))</f>
        <v/>
      </c>
      <c r="AS100" t="str">
        <f>IFERROR(MATCH(ROW()-1,Calc!$J$2:$J$1601,0),"")</f>
        <v/>
      </c>
      <c r="AT100" t="str">
        <f>IFERROR(MATCH(ROW()-1,Calc!$K$2:$K$1601,0),"")</f>
        <v/>
      </c>
      <c r="AU100" t="str">
        <f>IF($AS100="","",IFERROR(INDEX('TMP Paste'!$D$2:$D$1601,$AS100)*1000000/$AB100,""))</f>
        <v/>
      </c>
    </row>
    <row r="101" spans="1:47">
      <c r="A101" t="str">
        <f>IF($AS101="","",INDEX('TMP Paste'!$B$2:$B$1601,$AS101))</f>
        <v/>
      </c>
      <c r="B101" t="str">
        <f>IF($AS101="","",Config!$B$14)</f>
        <v/>
      </c>
      <c r="C101" t="str">
        <f>IF($AS101="","",Config!$B$15)</f>
        <v/>
      </c>
      <c r="D101" t="str">
        <f>IF($AS101="","",INDEX('TMP Paste'!$B$2:$B$1601,$AS101))</f>
        <v/>
      </c>
      <c r="E101" t="str">
        <f>IF($AS101="","",Config!$B$27)</f>
        <v/>
      </c>
      <c r="F101" t="str">
        <f>IF($AS101="","",Config!$B$9)</f>
        <v/>
      </c>
      <c r="G101" t="str">
        <f>IF($AS101="","",Config!$B$10)</f>
        <v/>
      </c>
      <c r="H101" t="str">
        <f>IF($AS101="","",Config!$B$11)</f>
        <v/>
      </c>
      <c r="I101" t="str">
        <f>IF($AS101="","",Config!$B$16)</f>
        <v/>
      </c>
      <c r="J101" t="str">
        <f>IF($AS101="","",INDEX('TMP Paste'!$A$2:$A$1601,$AS101))</f>
        <v/>
      </c>
      <c r="K101" t="str">
        <f>IF($AS101="","",INDEX('TMP Paste'!$L$2:$L$1601,$AS101))</f>
        <v/>
      </c>
      <c r="L101" t="str">
        <f>IF($AS101="","",INDEX('TMP Paste'!$I$2:$I$1601,$AS101))</f>
        <v/>
      </c>
      <c r="M101" t="str">
        <f>IF($AS101="","",Config!$B$16)</f>
        <v/>
      </c>
      <c r="N101" t="str">
        <f t="shared" si="6"/>
        <v/>
      </c>
      <c r="O101" t="str">
        <f>IF($AS101="","",INDEX('TMP Paste'!$K$2:$K$1601,$AS101))</f>
        <v/>
      </c>
      <c r="P101" t="str">
        <f t="shared" si="7"/>
        <v/>
      </c>
      <c r="Q101" t="str">
        <f>IF($AS101="","",INDEX('TMP Paste'!$J$2:$J$1601,$AS101))</f>
        <v/>
      </c>
      <c r="R101" t="str">
        <f>IF($AS101="","",Config!$B$24)</f>
        <v/>
      </c>
      <c r="S101" t="str">
        <f ca="1">IF($AS101="","",TEXT(Config!$B$4,"yyyy-mm-dd"))</f>
        <v/>
      </c>
      <c r="T101" t="str">
        <f>IF($AS101="","",Config!$B$17)</f>
        <v/>
      </c>
      <c r="U101" t="str">
        <f>IF($AS101="","",Config!$B$18)</f>
        <v/>
      </c>
      <c r="V101" t="str">
        <f>IF($AS101="","",Config!$B$19)</f>
        <v/>
      </c>
      <c r="W101" t="str">
        <f>IF($AS101="","",INDEX('TMP Paste'!$C$2:$C$1601,$AS101))</f>
        <v/>
      </c>
      <c r="X101" t="str">
        <f>IF($AS101="","",Config!$B$29)</f>
        <v/>
      </c>
      <c r="Y101" t="str">
        <f>IF($AT101="","",INDEX(Calc!$I$2:$I$1601,$AT101)&amp;" - "&amp;INDEX(Calc!$D$2:$D$1601,$AT101)&amp;" koli")</f>
        <v/>
      </c>
      <c r="Z101" t="str">
        <f>IF($AS101="","",Config!$B$21)</f>
        <v/>
      </c>
      <c r="AA101" t="str">
        <f>IF($AS101="","",Config!$B$22)</f>
        <v/>
      </c>
      <c r="AB101" t="str">
        <f>IF($AT101="","",INDEX(Calc!$D$2:$D$1601,$AT101))</f>
        <v/>
      </c>
      <c r="AC101" t="str">
        <f>IF($AT101="","",INDEX(Calc!$G$2:$G$1601,$AT101))</f>
        <v/>
      </c>
      <c r="AD101" t="str">
        <f>IF($AS101="","",Config!$B$23)</f>
        <v/>
      </c>
      <c r="AE101" t="str">
        <f>IF($AS101="","",Config!$B$28)</f>
        <v/>
      </c>
      <c r="AF101" t="str">
        <f t="shared" si="8"/>
        <v/>
      </c>
      <c r="AG101" t="str">
        <f t="shared" si="9"/>
        <v/>
      </c>
      <c r="AH101" t="str">
        <f t="shared" si="10"/>
        <v/>
      </c>
      <c r="AI101" t="str">
        <f>IF($AG101="","",SUMIF($AG$2:$AG101,$AG101,$AH$2:$AH101))</f>
        <v/>
      </c>
      <c r="AJ101" t="str">
        <f>IF('TMP Paste'!$F101="","",IF('TMP Paste'!$B101="",$AJ100,'TMP Paste'!$B101))</f>
        <v>AWB02WHKZ</v>
      </c>
      <c r="AK101">
        <f>IF('TMP Paste'!$F101="","",N('TMP Paste'!$G101))</f>
        <v>0</v>
      </c>
      <c r="AL101">
        <f>IF('TMP Paste'!$F101="","",IF('TMP Paste'!$M101="",$AL100,'TMP Paste'!$M101))</f>
        <v>1</v>
      </c>
      <c r="AM101" t="str">
        <f>IF('TMP Paste'!$F101="","",IF('TMP Paste'!$N101="",$AM100,'TMP Paste'!$N101))</f>
        <v/>
      </c>
      <c r="AN101" t="str">
        <f>IF('TMP Paste'!$F101="","",IF('TMP Paste'!$O101="",$AN100,'TMP Paste'!$O101))</f>
        <v/>
      </c>
      <c r="AO101" t="str">
        <f>IF('TMP Paste'!$F101="","",IF('TMP Paste'!$P101="",$AO100,'TMP Paste'!$P101))</f>
        <v/>
      </c>
      <c r="AP101" t="str">
        <f t="shared" si="11"/>
        <v/>
      </c>
      <c r="AQ101" t="str">
        <f>IF($AS101="","",TRIM(IF(COUNTIFS(Calc!$B$2:$B$1601,ROW()-1,Calc!$C$2:$C$1601,"&lt;1")&gt;0,"Ada PO tanpa Koli - cek TMP. ","")&amp;IF(OR($AU101="",$AU101&lt;=0),"Volume kosong/0 - dimensi dikosongkan. ","")&amp;IF(AND($AU101&lt;&gt;"",$AU101&gt;=1000000),"Volume &gt;= 1.000.000 cm3 (di luar aturan) - dimensi dikosongkan. ","")&amp;IF(LEN($R101)&gt;500,"R &gt; 500 karakter.","")))</f>
        <v/>
      </c>
      <c r="AS101" t="str">
        <f>IFERROR(MATCH(ROW()-1,Calc!$J$2:$J$1601,0),"")</f>
        <v/>
      </c>
      <c r="AT101" t="str">
        <f>IFERROR(MATCH(ROW()-1,Calc!$K$2:$K$1601,0),"")</f>
        <v/>
      </c>
      <c r="AU101" t="str">
        <f>IF($AS101="","",IFERROR(INDEX('TMP Paste'!$D$2:$D$1601,$AS101)*1000000/$AB101,""))</f>
        <v/>
      </c>
    </row>
    <row r="102" spans="1:47">
      <c r="A102" t="str">
        <f>IF($AS102="","",INDEX('TMP Paste'!$B$2:$B$1601,$AS102))</f>
        <v/>
      </c>
      <c r="B102" t="str">
        <f>IF($AS102="","",Config!$B$14)</f>
        <v/>
      </c>
      <c r="C102" t="str">
        <f>IF($AS102="","",Config!$B$15)</f>
        <v/>
      </c>
      <c r="D102" t="str">
        <f>IF($AS102="","",INDEX('TMP Paste'!$B$2:$B$1601,$AS102))</f>
        <v/>
      </c>
      <c r="E102" t="str">
        <f>IF($AS102="","",Config!$B$27)</f>
        <v/>
      </c>
      <c r="F102" t="str">
        <f>IF($AS102="","",Config!$B$9)</f>
        <v/>
      </c>
      <c r="G102" t="str">
        <f>IF($AS102="","",Config!$B$10)</f>
        <v/>
      </c>
      <c r="H102" t="str">
        <f>IF($AS102="","",Config!$B$11)</f>
        <v/>
      </c>
      <c r="I102" t="str">
        <f>IF($AS102="","",Config!$B$16)</f>
        <v/>
      </c>
      <c r="J102" t="str">
        <f>IF($AS102="","",INDEX('TMP Paste'!$A$2:$A$1601,$AS102))</f>
        <v/>
      </c>
      <c r="K102" t="str">
        <f>IF($AS102="","",INDEX('TMP Paste'!$L$2:$L$1601,$AS102))</f>
        <v/>
      </c>
      <c r="L102" t="str">
        <f>IF($AS102="","",INDEX('TMP Paste'!$I$2:$I$1601,$AS102))</f>
        <v/>
      </c>
      <c r="M102" t="str">
        <f>IF($AS102="","",Config!$B$16)</f>
        <v/>
      </c>
      <c r="N102" t="str">
        <f t="shared" si="6"/>
        <v/>
      </c>
      <c r="O102" t="str">
        <f>IF($AS102="","",INDEX('TMP Paste'!$K$2:$K$1601,$AS102))</f>
        <v/>
      </c>
      <c r="P102" t="str">
        <f t="shared" si="7"/>
        <v/>
      </c>
      <c r="Q102" t="str">
        <f>IF($AS102="","",INDEX('TMP Paste'!$J$2:$J$1601,$AS102))</f>
        <v/>
      </c>
      <c r="R102" t="str">
        <f>IF($AS102="","",Config!$B$24)</f>
        <v/>
      </c>
      <c r="S102" t="str">
        <f ca="1">IF($AS102="","",TEXT(Config!$B$4,"yyyy-mm-dd"))</f>
        <v/>
      </c>
      <c r="T102" t="str">
        <f>IF($AS102="","",Config!$B$17)</f>
        <v/>
      </c>
      <c r="U102" t="str">
        <f>IF($AS102="","",Config!$B$18)</f>
        <v/>
      </c>
      <c r="V102" t="str">
        <f>IF($AS102="","",Config!$B$19)</f>
        <v/>
      </c>
      <c r="W102" t="str">
        <f>IF($AS102="","",INDEX('TMP Paste'!$C$2:$C$1601,$AS102))</f>
        <v/>
      </c>
      <c r="X102" t="str">
        <f>IF($AS102="","",Config!$B$29)</f>
        <v/>
      </c>
      <c r="Y102" t="str">
        <f>IF($AT102="","",INDEX(Calc!$I$2:$I$1601,$AT102)&amp;" - "&amp;INDEX(Calc!$D$2:$D$1601,$AT102)&amp;" koli")</f>
        <v/>
      </c>
      <c r="Z102" t="str">
        <f>IF($AS102="","",Config!$B$21)</f>
        <v/>
      </c>
      <c r="AA102" t="str">
        <f>IF($AS102="","",Config!$B$22)</f>
        <v/>
      </c>
      <c r="AB102" t="str">
        <f>IF($AT102="","",INDEX(Calc!$D$2:$D$1601,$AT102))</f>
        <v/>
      </c>
      <c r="AC102" t="str">
        <f>IF($AT102="","",INDEX(Calc!$G$2:$G$1601,$AT102))</f>
        <v/>
      </c>
      <c r="AD102" t="str">
        <f>IF($AS102="","",Config!$B$23)</f>
        <v/>
      </c>
      <c r="AE102" t="str">
        <f>IF($AS102="","",Config!$B$28)</f>
        <v/>
      </c>
      <c r="AF102" t="str">
        <f t="shared" si="8"/>
        <v/>
      </c>
      <c r="AG102" t="str">
        <f t="shared" si="9"/>
        <v/>
      </c>
      <c r="AH102" t="str">
        <f t="shared" si="10"/>
        <v/>
      </c>
      <c r="AI102" t="str">
        <f>IF($AG102="","",SUMIF($AG$2:$AG102,$AG102,$AH$2:$AH102))</f>
        <v/>
      </c>
      <c r="AJ102" t="str">
        <f>IF('TMP Paste'!$F102="","",IF('TMP Paste'!$B102="",$AJ101,'TMP Paste'!$B102))</f>
        <v/>
      </c>
      <c r="AK102" t="str">
        <f>IF('TMP Paste'!$F102="","",N('TMP Paste'!$G102))</f>
        <v/>
      </c>
      <c r="AL102" t="str">
        <f>IF('TMP Paste'!$F102="","",IF('TMP Paste'!$M102="",$AL101,'TMP Paste'!$M102))</f>
        <v/>
      </c>
      <c r="AM102" t="str">
        <f>IF('TMP Paste'!$F102="","",IF('TMP Paste'!$N102="",$AM101,'TMP Paste'!$N102))</f>
        <v/>
      </c>
      <c r="AN102" t="str">
        <f>IF('TMP Paste'!$F102="","",IF('TMP Paste'!$O102="",$AN101,'TMP Paste'!$O102))</f>
        <v/>
      </c>
      <c r="AO102" t="str">
        <f>IF('TMP Paste'!$F102="","",IF('TMP Paste'!$P102="",$AO101,'TMP Paste'!$P102))</f>
        <v/>
      </c>
      <c r="AP102" t="str">
        <f t="shared" si="11"/>
        <v/>
      </c>
      <c r="AQ102" t="str">
        <f>IF($AS102="","",TRIM(IF(COUNTIFS(Calc!$B$2:$B$1601,ROW()-1,Calc!$C$2:$C$1601,"&lt;1")&gt;0,"Ada PO tanpa Koli - cek TMP. ","")&amp;IF(OR($AU102="",$AU102&lt;=0),"Volume kosong/0 - dimensi dikosongkan. ","")&amp;IF(AND($AU102&lt;&gt;"",$AU102&gt;=1000000),"Volume &gt;= 1.000.000 cm3 (di luar aturan) - dimensi dikosongkan. ","")&amp;IF(LEN($R102)&gt;500,"R &gt; 500 karakter.","")))</f>
        <v/>
      </c>
      <c r="AS102" t="str">
        <f>IFERROR(MATCH(ROW()-1,Calc!$J$2:$J$1601,0),"")</f>
        <v/>
      </c>
      <c r="AT102" t="str">
        <f>IFERROR(MATCH(ROW()-1,Calc!$K$2:$K$1601,0),"")</f>
        <v/>
      </c>
      <c r="AU102" t="str">
        <f>IF($AS102="","",IFERROR(INDEX('TMP Paste'!$D$2:$D$1601,$AS102)*1000000/$AB102,""))</f>
        <v/>
      </c>
    </row>
    <row r="103" spans="1:47">
      <c r="A103" t="str">
        <f>IF($AS103="","",INDEX('TMP Paste'!$B$2:$B$1601,$AS103))</f>
        <v/>
      </c>
      <c r="B103" t="str">
        <f>IF($AS103="","",Config!$B$14)</f>
        <v/>
      </c>
      <c r="C103" t="str">
        <f>IF($AS103="","",Config!$B$15)</f>
        <v/>
      </c>
      <c r="D103" t="str">
        <f>IF($AS103="","",INDEX('TMP Paste'!$B$2:$B$1601,$AS103))</f>
        <v/>
      </c>
      <c r="E103" t="str">
        <f>IF($AS103="","",Config!$B$27)</f>
        <v/>
      </c>
      <c r="F103" t="str">
        <f>IF($AS103="","",Config!$B$9)</f>
        <v/>
      </c>
      <c r="G103" t="str">
        <f>IF($AS103="","",Config!$B$10)</f>
        <v/>
      </c>
      <c r="H103" t="str">
        <f>IF($AS103="","",Config!$B$11)</f>
        <v/>
      </c>
      <c r="I103" t="str">
        <f>IF($AS103="","",Config!$B$16)</f>
        <v/>
      </c>
      <c r="J103" t="str">
        <f>IF($AS103="","",INDEX('TMP Paste'!$A$2:$A$1601,$AS103))</f>
        <v/>
      </c>
      <c r="K103" t="str">
        <f>IF($AS103="","",INDEX('TMP Paste'!$L$2:$L$1601,$AS103))</f>
        <v/>
      </c>
      <c r="L103" t="str">
        <f>IF($AS103="","",INDEX('TMP Paste'!$I$2:$I$1601,$AS103))</f>
        <v/>
      </c>
      <c r="M103" t="str">
        <f>IF($AS103="","",Config!$B$16)</f>
        <v/>
      </c>
      <c r="N103" t="str">
        <f t="shared" si="6"/>
        <v/>
      </c>
      <c r="O103" t="str">
        <f>IF($AS103="","",INDEX('TMP Paste'!$K$2:$K$1601,$AS103))</f>
        <v/>
      </c>
      <c r="P103" t="str">
        <f t="shared" si="7"/>
        <v/>
      </c>
      <c r="Q103" t="str">
        <f>IF($AS103="","",INDEX('TMP Paste'!$J$2:$J$1601,$AS103))</f>
        <v/>
      </c>
      <c r="R103" t="str">
        <f>IF($AS103="","",Config!$B$24)</f>
        <v/>
      </c>
      <c r="S103" t="str">
        <f ca="1">IF($AS103="","",TEXT(Config!$B$4,"yyyy-mm-dd"))</f>
        <v/>
      </c>
      <c r="T103" t="str">
        <f>IF($AS103="","",Config!$B$17)</f>
        <v/>
      </c>
      <c r="U103" t="str">
        <f>IF($AS103="","",Config!$B$18)</f>
        <v/>
      </c>
      <c r="V103" t="str">
        <f>IF($AS103="","",Config!$B$19)</f>
        <v/>
      </c>
      <c r="W103" t="str">
        <f>IF($AS103="","",INDEX('TMP Paste'!$C$2:$C$1601,$AS103))</f>
        <v/>
      </c>
      <c r="X103" t="str">
        <f>IF($AS103="","",Config!$B$29)</f>
        <v/>
      </c>
      <c r="Y103" t="str">
        <f>IF($AT103="","",INDEX(Calc!$I$2:$I$1601,$AT103)&amp;" - "&amp;INDEX(Calc!$D$2:$D$1601,$AT103)&amp;" koli")</f>
        <v/>
      </c>
      <c r="Z103" t="str">
        <f>IF($AS103="","",Config!$B$21)</f>
        <v/>
      </c>
      <c r="AA103" t="str">
        <f>IF($AS103="","",Config!$B$22)</f>
        <v/>
      </c>
      <c r="AB103" t="str">
        <f>IF($AT103="","",INDEX(Calc!$D$2:$D$1601,$AT103))</f>
        <v/>
      </c>
      <c r="AC103" t="str">
        <f>IF($AT103="","",INDEX(Calc!$G$2:$G$1601,$AT103))</f>
        <v/>
      </c>
      <c r="AD103" t="str">
        <f>IF($AS103="","",Config!$B$23)</f>
        <v/>
      </c>
      <c r="AE103" t="str">
        <f>IF($AS103="","",Config!$B$28)</f>
        <v/>
      </c>
      <c r="AF103" t="str">
        <f t="shared" si="8"/>
        <v/>
      </c>
      <c r="AG103" t="str">
        <f t="shared" si="9"/>
        <v/>
      </c>
      <c r="AH103" t="str">
        <f t="shared" si="10"/>
        <v/>
      </c>
      <c r="AI103" t="str">
        <f>IF($AG103="","",SUMIF($AG$2:$AG103,$AG103,$AH$2:$AH103))</f>
        <v/>
      </c>
      <c r="AJ103" t="str">
        <f>IF('TMP Paste'!$F103="","",IF('TMP Paste'!$B103="",$AJ102,'TMP Paste'!$B103))</f>
        <v>AWB02WK38</v>
      </c>
      <c r="AK103">
        <f>IF('TMP Paste'!$F103="","",N('TMP Paste'!$G103))</f>
        <v>0</v>
      </c>
      <c r="AL103">
        <f>IF('TMP Paste'!$F103="","",IF('TMP Paste'!$M103="",$AL102,'TMP Paste'!$M103))</f>
        <v>1</v>
      </c>
      <c r="AM103" t="str">
        <f>IF('TMP Paste'!$F103="","",IF('TMP Paste'!$N103="",$AM102,'TMP Paste'!$N103))</f>
        <v/>
      </c>
      <c r="AN103" t="str">
        <f>IF('TMP Paste'!$F103="","",IF('TMP Paste'!$O103="",$AN102,'TMP Paste'!$O103))</f>
        <v/>
      </c>
      <c r="AO103" t="str">
        <f>IF('TMP Paste'!$F103="","",IF('TMP Paste'!$P103="",$AO102,'TMP Paste'!$P103))</f>
        <v/>
      </c>
      <c r="AP103" t="str">
        <f t="shared" si="11"/>
        <v/>
      </c>
      <c r="AQ103" t="str">
        <f>IF($AS103="","",TRIM(IF(COUNTIFS(Calc!$B$2:$B$1601,ROW()-1,Calc!$C$2:$C$1601,"&lt;1")&gt;0,"Ada PO tanpa Koli - cek TMP. ","")&amp;IF(OR($AU103="",$AU103&lt;=0),"Volume kosong/0 - dimensi dikosongkan. ","")&amp;IF(AND($AU103&lt;&gt;"",$AU103&gt;=1000000),"Volume &gt;= 1.000.000 cm3 (di luar aturan) - dimensi dikosongkan. ","")&amp;IF(LEN($R103)&gt;500,"R &gt; 500 karakter.","")))</f>
        <v/>
      </c>
      <c r="AS103" t="str">
        <f>IFERROR(MATCH(ROW()-1,Calc!$J$2:$J$1601,0),"")</f>
        <v/>
      </c>
      <c r="AT103" t="str">
        <f>IFERROR(MATCH(ROW()-1,Calc!$K$2:$K$1601,0),"")</f>
        <v/>
      </c>
      <c r="AU103" t="str">
        <f>IF($AS103="","",IFERROR(INDEX('TMP Paste'!$D$2:$D$1601,$AS103)*1000000/$AB103,""))</f>
        <v/>
      </c>
    </row>
    <row r="104" spans="1:47">
      <c r="A104" t="str">
        <f>IF($AS104="","",INDEX('TMP Paste'!$B$2:$B$1601,$AS104))</f>
        <v/>
      </c>
      <c r="B104" t="str">
        <f>IF($AS104="","",Config!$B$14)</f>
        <v/>
      </c>
      <c r="C104" t="str">
        <f>IF($AS104="","",Config!$B$15)</f>
        <v/>
      </c>
      <c r="D104" t="str">
        <f>IF($AS104="","",INDEX('TMP Paste'!$B$2:$B$1601,$AS104))</f>
        <v/>
      </c>
      <c r="E104" t="str">
        <f>IF($AS104="","",Config!$B$27)</f>
        <v/>
      </c>
      <c r="F104" t="str">
        <f>IF($AS104="","",Config!$B$9)</f>
        <v/>
      </c>
      <c r="G104" t="str">
        <f>IF($AS104="","",Config!$B$10)</f>
        <v/>
      </c>
      <c r="H104" t="str">
        <f>IF($AS104="","",Config!$B$11)</f>
        <v/>
      </c>
      <c r="I104" t="str">
        <f>IF($AS104="","",Config!$B$16)</f>
        <v/>
      </c>
      <c r="J104" t="str">
        <f>IF($AS104="","",INDEX('TMP Paste'!$A$2:$A$1601,$AS104))</f>
        <v/>
      </c>
      <c r="K104" t="str">
        <f>IF($AS104="","",INDEX('TMP Paste'!$L$2:$L$1601,$AS104))</f>
        <v/>
      </c>
      <c r="L104" t="str">
        <f>IF($AS104="","",INDEX('TMP Paste'!$I$2:$I$1601,$AS104))</f>
        <v/>
      </c>
      <c r="M104" t="str">
        <f>IF($AS104="","",Config!$B$16)</f>
        <v/>
      </c>
      <c r="N104" t="str">
        <f t="shared" si="6"/>
        <v/>
      </c>
      <c r="O104" t="str">
        <f>IF($AS104="","",INDEX('TMP Paste'!$K$2:$K$1601,$AS104))</f>
        <v/>
      </c>
      <c r="P104" t="str">
        <f t="shared" si="7"/>
        <v/>
      </c>
      <c r="Q104" t="str">
        <f>IF($AS104="","",INDEX('TMP Paste'!$J$2:$J$1601,$AS104))</f>
        <v/>
      </c>
      <c r="R104" t="str">
        <f>IF($AS104="","",Config!$B$24)</f>
        <v/>
      </c>
      <c r="S104" t="str">
        <f ca="1">IF($AS104="","",TEXT(Config!$B$4,"yyyy-mm-dd"))</f>
        <v/>
      </c>
      <c r="T104" t="str">
        <f>IF($AS104="","",Config!$B$17)</f>
        <v/>
      </c>
      <c r="U104" t="str">
        <f>IF($AS104="","",Config!$B$18)</f>
        <v/>
      </c>
      <c r="V104" t="str">
        <f>IF($AS104="","",Config!$B$19)</f>
        <v/>
      </c>
      <c r="W104" t="str">
        <f>IF($AS104="","",INDEX('TMP Paste'!$C$2:$C$1601,$AS104))</f>
        <v/>
      </c>
      <c r="X104" t="str">
        <f>IF($AS104="","",Config!$B$29)</f>
        <v/>
      </c>
      <c r="Y104" t="str">
        <f>IF($AT104="","",INDEX(Calc!$I$2:$I$1601,$AT104)&amp;" - "&amp;INDEX(Calc!$D$2:$D$1601,$AT104)&amp;" koli")</f>
        <v/>
      </c>
      <c r="Z104" t="str">
        <f>IF($AS104="","",Config!$B$21)</f>
        <v/>
      </c>
      <c r="AA104" t="str">
        <f>IF($AS104="","",Config!$B$22)</f>
        <v/>
      </c>
      <c r="AB104" t="str">
        <f>IF($AT104="","",INDEX(Calc!$D$2:$D$1601,$AT104))</f>
        <v/>
      </c>
      <c r="AC104" t="str">
        <f>IF($AT104="","",INDEX(Calc!$G$2:$G$1601,$AT104))</f>
        <v/>
      </c>
      <c r="AD104" t="str">
        <f>IF($AS104="","",Config!$B$23)</f>
        <v/>
      </c>
      <c r="AE104" t="str">
        <f>IF($AS104="","",Config!$B$28)</f>
        <v/>
      </c>
      <c r="AF104" t="str">
        <f t="shared" si="8"/>
        <v/>
      </c>
      <c r="AG104" t="str">
        <f t="shared" si="9"/>
        <v/>
      </c>
      <c r="AH104" t="str">
        <f t="shared" si="10"/>
        <v/>
      </c>
      <c r="AI104" t="str">
        <f>IF($AG104="","",SUMIF($AG$2:$AG104,$AG104,$AH$2:$AH104))</f>
        <v/>
      </c>
      <c r="AJ104" t="str">
        <f>IF('TMP Paste'!$F104="","",IF('TMP Paste'!$B104="",$AJ103,'TMP Paste'!$B104))</f>
        <v/>
      </c>
      <c r="AK104" t="str">
        <f>IF('TMP Paste'!$F104="","",N('TMP Paste'!$G104))</f>
        <v/>
      </c>
      <c r="AL104" t="str">
        <f>IF('TMP Paste'!$F104="","",IF('TMP Paste'!$M104="",$AL103,'TMP Paste'!$M104))</f>
        <v/>
      </c>
      <c r="AM104" t="str">
        <f>IF('TMP Paste'!$F104="","",IF('TMP Paste'!$N104="",$AM103,'TMP Paste'!$N104))</f>
        <v/>
      </c>
      <c r="AN104" t="str">
        <f>IF('TMP Paste'!$F104="","",IF('TMP Paste'!$O104="",$AN103,'TMP Paste'!$O104))</f>
        <v/>
      </c>
      <c r="AO104" t="str">
        <f>IF('TMP Paste'!$F104="","",IF('TMP Paste'!$P104="",$AO103,'TMP Paste'!$P104))</f>
        <v/>
      </c>
      <c r="AP104" t="str">
        <f t="shared" si="11"/>
        <v/>
      </c>
      <c r="AQ104" t="str">
        <f>IF($AS104="","",TRIM(IF(COUNTIFS(Calc!$B$2:$B$1601,ROW()-1,Calc!$C$2:$C$1601,"&lt;1")&gt;0,"Ada PO tanpa Koli - cek TMP. ","")&amp;IF(OR($AU104="",$AU104&lt;=0),"Volume kosong/0 - dimensi dikosongkan. ","")&amp;IF(AND($AU104&lt;&gt;"",$AU104&gt;=1000000),"Volume &gt;= 1.000.000 cm3 (di luar aturan) - dimensi dikosongkan. ","")&amp;IF(LEN($R104)&gt;500,"R &gt; 500 karakter.","")))</f>
        <v/>
      </c>
      <c r="AS104" t="str">
        <f>IFERROR(MATCH(ROW()-1,Calc!$J$2:$J$1601,0),"")</f>
        <v/>
      </c>
      <c r="AT104" t="str">
        <f>IFERROR(MATCH(ROW()-1,Calc!$K$2:$K$1601,0),"")</f>
        <v/>
      </c>
      <c r="AU104" t="str">
        <f>IF($AS104="","",IFERROR(INDEX('TMP Paste'!$D$2:$D$1601,$AS104)*1000000/$AB104,""))</f>
        <v/>
      </c>
    </row>
    <row r="105" spans="1:47">
      <c r="A105" t="str">
        <f>IF($AS105="","",INDEX('TMP Paste'!$B$2:$B$1601,$AS105))</f>
        <v/>
      </c>
      <c r="B105" t="str">
        <f>IF($AS105="","",Config!$B$14)</f>
        <v/>
      </c>
      <c r="C105" t="str">
        <f>IF($AS105="","",Config!$B$15)</f>
        <v/>
      </c>
      <c r="D105" t="str">
        <f>IF($AS105="","",INDEX('TMP Paste'!$B$2:$B$1601,$AS105))</f>
        <v/>
      </c>
      <c r="E105" t="str">
        <f>IF($AS105="","",Config!$B$27)</f>
        <v/>
      </c>
      <c r="F105" t="str">
        <f>IF($AS105="","",Config!$B$9)</f>
        <v/>
      </c>
      <c r="G105" t="str">
        <f>IF($AS105="","",Config!$B$10)</f>
        <v/>
      </c>
      <c r="H105" t="str">
        <f>IF($AS105="","",Config!$B$11)</f>
        <v/>
      </c>
      <c r="I105" t="str">
        <f>IF($AS105="","",Config!$B$16)</f>
        <v/>
      </c>
      <c r="J105" t="str">
        <f>IF($AS105="","",INDEX('TMP Paste'!$A$2:$A$1601,$AS105))</f>
        <v/>
      </c>
      <c r="K105" t="str">
        <f>IF($AS105="","",INDEX('TMP Paste'!$L$2:$L$1601,$AS105))</f>
        <v/>
      </c>
      <c r="L105" t="str">
        <f>IF($AS105="","",INDEX('TMP Paste'!$I$2:$I$1601,$AS105))</f>
        <v/>
      </c>
      <c r="M105" t="str">
        <f>IF($AS105="","",Config!$B$16)</f>
        <v/>
      </c>
      <c r="N105" t="str">
        <f t="shared" si="6"/>
        <v/>
      </c>
      <c r="O105" t="str">
        <f>IF($AS105="","",INDEX('TMP Paste'!$K$2:$K$1601,$AS105))</f>
        <v/>
      </c>
      <c r="P105" t="str">
        <f t="shared" si="7"/>
        <v/>
      </c>
      <c r="Q105" t="str">
        <f>IF($AS105="","",INDEX('TMP Paste'!$J$2:$J$1601,$AS105))</f>
        <v/>
      </c>
      <c r="R105" t="str">
        <f>IF($AS105="","",Config!$B$24)</f>
        <v/>
      </c>
      <c r="S105" t="str">
        <f ca="1">IF($AS105="","",TEXT(Config!$B$4,"yyyy-mm-dd"))</f>
        <v/>
      </c>
      <c r="T105" t="str">
        <f>IF($AS105="","",Config!$B$17)</f>
        <v/>
      </c>
      <c r="U105" t="str">
        <f>IF($AS105="","",Config!$B$18)</f>
        <v/>
      </c>
      <c r="V105" t="str">
        <f>IF($AS105="","",Config!$B$19)</f>
        <v/>
      </c>
      <c r="W105" t="str">
        <f>IF($AS105="","",INDEX('TMP Paste'!$C$2:$C$1601,$AS105))</f>
        <v/>
      </c>
      <c r="X105" t="str">
        <f>IF($AS105="","",Config!$B$29)</f>
        <v/>
      </c>
      <c r="Y105" t="str">
        <f>IF($AT105="","",INDEX(Calc!$I$2:$I$1601,$AT105)&amp;" - "&amp;INDEX(Calc!$D$2:$D$1601,$AT105)&amp;" koli")</f>
        <v/>
      </c>
      <c r="Z105" t="str">
        <f>IF($AS105="","",Config!$B$21)</f>
        <v/>
      </c>
      <c r="AA105" t="str">
        <f>IF($AS105="","",Config!$B$22)</f>
        <v/>
      </c>
      <c r="AB105" t="str">
        <f>IF($AT105="","",INDEX(Calc!$D$2:$D$1601,$AT105))</f>
        <v/>
      </c>
      <c r="AC105" t="str">
        <f>IF($AT105="","",INDEX(Calc!$G$2:$G$1601,$AT105))</f>
        <v/>
      </c>
      <c r="AD105" t="str">
        <f>IF($AS105="","",Config!$B$23)</f>
        <v/>
      </c>
      <c r="AE105" t="str">
        <f>IF($AS105="","",Config!$B$28)</f>
        <v/>
      </c>
      <c r="AF105" t="str">
        <f t="shared" si="8"/>
        <v/>
      </c>
      <c r="AG105" t="str">
        <f t="shared" si="9"/>
        <v/>
      </c>
      <c r="AH105" t="str">
        <f t="shared" si="10"/>
        <v/>
      </c>
      <c r="AI105" t="str">
        <f>IF($AG105="","",SUMIF($AG$2:$AG105,$AG105,$AH$2:$AH105))</f>
        <v/>
      </c>
      <c r="AJ105" t="str">
        <f>IF('TMP Paste'!$F105="","",IF('TMP Paste'!$B105="",$AJ104,'TMP Paste'!$B105))</f>
        <v/>
      </c>
      <c r="AK105" t="str">
        <f>IF('TMP Paste'!$F105="","",N('TMP Paste'!$G105))</f>
        <v/>
      </c>
      <c r="AL105" t="str">
        <f>IF('TMP Paste'!$F105="","",IF('TMP Paste'!$M105="",$AL104,'TMP Paste'!$M105))</f>
        <v/>
      </c>
      <c r="AM105" t="str">
        <f>IF('TMP Paste'!$F105="","",IF('TMP Paste'!$N105="",$AM104,'TMP Paste'!$N105))</f>
        <v/>
      </c>
      <c r="AN105" t="str">
        <f>IF('TMP Paste'!$F105="","",IF('TMP Paste'!$O105="",$AN104,'TMP Paste'!$O105))</f>
        <v/>
      </c>
      <c r="AO105" t="str">
        <f>IF('TMP Paste'!$F105="","",IF('TMP Paste'!$P105="",$AO104,'TMP Paste'!$P105))</f>
        <v/>
      </c>
      <c r="AP105" t="str">
        <f t="shared" si="11"/>
        <v/>
      </c>
      <c r="AQ105" t="str">
        <f>IF($AS105="","",TRIM(IF(COUNTIFS(Calc!$B$2:$B$1601,ROW()-1,Calc!$C$2:$C$1601,"&lt;1")&gt;0,"Ada PO tanpa Koli - cek TMP. ","")&amp;IF(OR($AU105="",$AU105&lt;=0),"Volume kosong/0 - dimensi dikosongkan. ","")&amp;IF(AND($AU105&lt;&gt;"",$AU105&gt;=1000000),"Volume &gt;= 1.000.000 cm3 (di luar aturan) - dimensi dikosongkan. ","")&amp;IF(LEN($R105)&gt;500,"R &gt; 500 karakter.","")))</f>
        <v/>
      </c>
      <c r="AS105" t="str">
        <f>IFERROR(MATCH(ROW()-1,Calc!$J$2:$J$1601,0),"")</f>
        <v/>
      </c>
      <c r="AT105" t="str">
        <f>IFERROR(MATCH(ROW()-1,Calc!$K$2:$K$1601,0),"")</f>
        <v/>
      </c>
      <c r="AU105" t="str">
        <f>IF($AS105="","",IFERROR(INDEX('TMP Paste'!$D$2:$D$1601,$AS105)*1000000/$AB105,""))</f>
        <v/>
      </c>
    </row>
    <row r="106" spans="1:47">
      <c r="A106" t="str">
        <f>IF($AS106="","",INDEX('TMP Paste'!$B$2:$B$1601,$AS106))</f>
        <v/>
      </c>
      <c r="B106" t="str">
        <f>IF($AS106="","",Config!$B$14)</f>
        <v/>
      </c>
      <c r="C106" t="str">
        <f>IF($AS106="","",Config!$B$15)</f>
        <v/>
      </c>
      <c r="D106" t="str">
        <f>IF($AS106="","",INDEX('TMP Paste'!$B$2:$B$1601,$AS106))</f>
        <v/>
      </c>
      <c r="E106" t="str">
        <f>IF($AS106="","",Config!$B$27)</f>
        <v/>
      </c>
      <c r="F106" t="str">
        <f>IF($AS106="","",Config!$B$9)</f>
        <v/>
      </c>
      <c r="G106" t="str">
        <f>IF($AS106="","",Config!$B$10)</f>
        <v/>
      </c>
      <c r="H106" t="str">
        <f>IF($AS106="","",Config!$B$11)</f>
        <v/>
      </c>
      <c r="I106" t="str">
        <f>IF($AS106="","",Config!$B$16)</f>
        <v/>
      </c>
      <c r="J106" t="str">
        <f>IF($AS106="","",INDEX('TMP Paste'!$A$2:$A$1601,$AS106))</f>
        <v/>
      </c>
      <c r="K106" t="str">
        <f>IF($AS106="","",INDEX('TMP Paste'!$L$2:$L$1601,$AS106))</f>
        <v/>
      </c>
      <c r="L106" t="str">
        <f>IF($AS106="","",INDEX('TMP Paste'!$I$2:$I$1601,$AS106))</f>
        <v/>
      </c>
      <c r="M106" t="str">
        <f>IF($AS106="","",Config!$B$16)</f>
        <v/>
      </c>
      <c r="N106" t="str">
        <f t="shared" si="6"/>
        <v/>
      </c>
      <c r="O106" t="str">
        <f>IF($AS106="","",INDEX('TMP Paste'!$K$2:$K$1601,$AS106))</f>
        <v/>
      </c>
      <c r="P106" t="str">
        <f t="shared" si="7"/>
        <v/>
      </c>
      <c r="Q106" t="str">
        <f>IF($AS106="","",INDEX('TMP Paste'!$J$2:$J$1601,$AS106))</f>
        <v/>
      </c>
      <c r="R106" t="str">
        <f>IF($AS106="","",Config!$B$24)</f>
        <v/>
      </c>
      <c r="S106" t="str">
        <f ca="1">IF($AS106="","",TEXT(Config!$B$4,"yyyy-mm-dd"))</f>
        <v/>
      </c>
      <c r="T106" t="str">
        <f>IF($AS106="","",Config!$B$17)</f>
        <v/>
      </c>
      <c r="U106" t="str">
        <f>IF($AS106="","",Config!$B$18)</f>
        <v/>
      </c>
      <c r="V106" t="str">
        <f>IF($AS106="","",Config!$B$19)</f>
        <v/>
      </c>
      <c r="W106" t="str">
        <f>IF($AS106="","",INDEX('TMP Paste'!$C$2:$C$1601,$AS106))</f>
        <v/>
      </c>
      <c r="X106" t="str">
        <f>IF($AS106="","",Config!$B$29)</f>
        <v/>
      </c>
      <c r="Y106" t="str">
        <f>IF($AT106="","",INDEX(Calc!$I$2:$I$1601,$AT106)&amp;" - "&amp;INDEX(Calc!$D$2:$D$1601,$AT106)&amp;" koli")</f>
        <v/>
      </c>
      <c r="Z106" t="str">
        <f>IF($AS106="","",Config!$B$21)</f>
        <v/>
      </c>
      <c r="AA106" t="str">
        <f>IF($AS106="","",Config!$B$22)</f>
        <v/>
      </c>
      <c r="AB106" t="str">
        <f>IF($AT106="","",INDEX(Calc!$D$2:$D$1601,$AT106))</f>
        <v/>
      </c>
      <c r="AC106" t="str">
        <f>IF($AT106="","",INDEX(Calc!$G$2:$G$1601,$AT106))</f>
        <v/>
      </c>
      <c r="AD106" t="str">
        <f>IF($AS106="","",Config!$B$23)</f>
        <v/>
      </c>
      <c r="AE106" t="str">
        <f>IF($AS106="","",Config!$B$28)</f>
        <v/>
      </c>
      <c r="AF106" t="str">
        <f t="shared" si="8"/>
        <v/>
      </c>
      <c r="AG106" t="str">
        <f t="shared" si="9"/>
        <v/>
      </c>
      <c r="AH106" t="str">
        <f t="shared" si="10"/>
        <v/>
      </c>
      <c r="AI106" t="str">
        <f>IF($AG106="","",SUMIF($AG$2:$AG106,$AG106,$AH$2:$AH106))</f>
        <v/>
      </c>
      <c r="AJ106" t="str">
        <f>IF('TMP Paste'!$F106="","",IF('TMP Paste'!$B106="",$AJ105,'TMP Paste'!$B106))</f>
        <v>AWB02WHWK</v>
      </c>
      <c r="AK106">
        <f>IF('TMP Paste'!$F106="","",N('TMP Paste'!$G106))</f>
        <v>0</v>
      </c>
      <c r="AL106">
        <f>IF('TMP Paste'!$F106="","",IF('TMP Paste'!$M106="",$AL105,'TMP Paste'!$M106))</f>
        <v>1</v>
      </c>
      <c r="AM106" t="str">
        <f>IF('TMP Paste'!$F106="","",IF('TMP Paste'!$N106="",$AM105,'TMP Paste'!$N106))</f>
        <v/>
      </c>
      <c r="AN106" t="str">
        <f>IF('TMP Paste'!$F106="","",IF('TMP Paste'!$O106="",$AN105,'TMP Paste'!$O106))</f>
        <v/>
      </c>
      <c r="AO106" t="str">
        <f>IF('TMP Paste'!$F106="","",IF('TMP Paste'!$P106="",$AO105,'TMP Paste'!$P106))</f>
        <v/>
      </c>
      <c r="AP106" t="str">
        <f t="shared" si="11"/>
        <v/>
      </c>
      <c r="AQ106" t="str">
        <f>IF($AS106="","",TRIM(IF(COUNTIFS(Calc!$B$2:$B$1601,ROW()-1,Calc!$C$2:$C$1601,"&lt;1")&gt;0,"Ada PO tanpa Koli - cek TMP. ","")&amp;IF(OR($AU106="",$AU106&lt;=0),"Volume kosong/0 - dimensi dikosongkan. ","")&amp;IF(AND($AU106&lt;&gt;"",$AU106&gt;=1000000),"Volume &gt;= 1.000.000 cm3 (di luar aturan) - dimensi dikosongkan. ","")&amp;IF(LEN($R106)&gt;500,"R &gt; 500 karakter.","")))</f>
        <v/>
      </c>
      <c r="AS106" t="str">
        <f>IFERROR(MATCH(ROW()-1,Calc!$J$2:$J$1601,0),"")</f>
        <v/>
      </c>
      <c r="AT106" t="str">
        <f>IFERROR(MATCH(ROW()-1,Calc!$K$2:$K$1601,0),"")</f>
        <v/>
      </c>
      <c r="AU106" t="str">
        <f>IF($AS106="","",IFERROR(INDEX('TMP Paste'!$D$2:$D$1601,$AS106)*1000000/$AB106,""))</f>
        <v/>
      </c>
    </row>
    <row r="107" spans="1:47">
      <c r="A107" t="str">
        <f>IF($AS107="","",INDEX('TMP Paste'!$B$2:$B$1601,$AS107))</f>
        <v/>
      </c>
      <c r="B107" t="str">
        <f>IF($AS107="","",Config!$B$14)</f>
        <v/>
      </c>
      <c r="C107" t="str">
        <f>IF($AS107="","",Config!$B$15)</f>
        <v/>
      </c>
      <c r="D107" t="str">
        <f>IF($AS107="","",INDEX('TMP Paste'!$B$2:$B$1601,$AS107))</f>
        <v/>
      </c>
      <c r="E107" t="str">
        <f>IF($AS107="","",Config!$B$27)</f>
        <v/>
      </c>
      <c r="F107" t="str">
        <f>IF($AS107="","",Config!$B$9)</f>
        <v/>
      </c>
      <c r="G107" t="str">
        <f>IF($AS107="","",Config!$B$10)</f>
        <v/>
      </c>
      <c r="H107" t="str">
        <f>IF($AS107="","",Config!$B$11)</f>
        <v/>
      </c>
      <c r="I107" t="str">
        <f>IF($AS107="","",Config!$B$16)</f>
        <v/>
      </c>
      <c r="J107" t="str">
        <f>IF($AS107="","",INDEX('TMP Paste'!$A$2:$A$1601,$AS107))</f>
        <v/>
      </c>
      <c r="K107" t="str">
        <f>IF($AS107="","",INDEX('TMP Paste'!$L$2:$L$1601,$AS107))</f>
        <v/>
      </c>
      <c r="L107" t="str">
        <f>IF($AS107="","",INDEX('TMP Paste'!$I$2:$I$1601,$AS107))</f>
        <v/>
      </c>
      <c r="M107" t="str">
        <f>IF($AS107="","",Config!$B$16)</f>
        <v/>
      </c>
      <c r="N107" t="str">
        <f t="shared" si="6"/>
        <v/>
      </c>
      <c r="O107" t="str">
        <f>IF($AS107="","",INDEX('TMP Paste'!$K$2:$K$1601,$AS107))</f>
        <v/>
      </c>
      <c r="P107" t="str">
        <f t="shared" si="7"/>
        <v/>
      </c>
      <c r="Q107" t="str">
        <f>IF($AS107="","",INDEX('TMP Paste'!$J$2:$J$1601,$AS107))</f>
        <v/>
      </c>
      <c r="R107" t="str">
        <f>IF($AS107="","",Config!$B$24)</f>
        <v/>
      </c>
      <c r="S107" t="str">
        <f ca="1">IF($AS107="","",TEXT(Config!$B$4,"yyyy-mm-dd"))</f>
        <v/>
      </c>
      <c r="T107" t="str">
        <f>IF($AS107="","",Config!$B$17)</f>
        <v/>
      </c>
      <c r="U107" t="str">
        <f>IF($AS107="","",Config!$B$18)</f>
        <v/>
      </c>
      <c r="V107" t="str">
        <f>IF($AS107="","",Config!$B$19)</f>
        <v/>
      </c>
      <c r="W107" t="str">
        <f>IF($AS107="","",INDEX('TMP Paste'!$C$2:$C$1601,$AS107))</f>
        <v/>
      </c>
      <c r="X107" t="str">
        <f>IF($AS107="","",Config!$B$29)</f>
        <v/>
      </c>
      <c r="Y107" t="str">
        <f>IF($AT107="","",INDEX(Calc!$I$2:$I$1601,$AT107)&amp;" - "&amp;INDEX(Calc!$D$2:$D$1601,$AT107)&amp;" koli")</f>
        <v/>
      </c>
      <c r="Z107" t="str">
        <f>IF($AS107="","",Config!$B$21)</f>
        <v/>
      </c>
      <c r="AA107" t="str">
        <f>IF($AS107="","",Config!$B$22)</f>
        <v/>
      </c>
      <c r="AB107" t="str">
        <f>IF($AT107="","",INDEX(Calc!$D$2:$D$1601,$AT107))</f>
        <v/>
      </c>
      <c r="AC107" t="str">
        <f>IF($AT107="","",INDEX(Calc!$G$2:$G$1601,$AT107))</f>
        <v/>
      </c>
      <c r="AD107" t="str">
        <f>IF($AS107="","",Config!$B$23)</f>
        <v/>
      </c>
      <c r="AE107" t="str">
        <f>IF($AS107="","",Config!$B$28)</f>
        <v/>
      </c>
      <c r="AF107" t="str">
        <f t="shared" si="8"/>
        <v/>
      </c>
      <c r="AG107" t="str">
        <f t="shared" si="9"/>
        <v/>
      </c>
      <c r="AH107" t="str">
        <f t="shared" si="10"/>
        <v/>
      </c>
      <c r="AI107" t="str">
        <f>IF($AG107="","",SUMIF($AG$2:$AG107,$AG107,$AH$2:$AH107))</f>
        <v/>
      </c>
      <c r="AJ107" t="str">
        <f>IF('TMP Paste'!$F107="","",IF('TMP Paste'!$B107="",$AJ106,'TMP Paste'!$B107))</f>
        <v>AWB02WL01</v>
      </c>
      <c r="AK107">
        <f>IF('TMP Paste'!$F107="","",N('TMP Paste'!$G107))</f>
        <v>0</v>
      </c>
      <c r="AL107">
        <f>IF('TMP Paste'!$F107="","",IF('TMP Paste'!$M107="",$AL106,'TMP Paste'!$M107))</f>
        <v>1</v>
      </c>
      <c r="AM107" t="str">
        <f>IF('TMP Paste'!$F107="","",IF('TMP Paste'!$N107="",$AM106,'TMP Paste'!$N107))</f>
        <v/>
      </c>
      <c r="AN107" t="str">
        <f>IF('TMP Paste'!$F107="","",IF('TMP Paste'!$O107="",$AN106,'TMP Paste'!$O107))</f>
        <v/>
      </c>
      <c r="AO107" t="str">
        <f>IF('TMP Paste'!$F107="","",IF('TMP Paste'!$P107="",$AO106,'TMP Paste'!$P107))</f>
        <v/>
      </c>
      <c r="AP107" t="str">
        <f t="shared" si="11"/>
        <v/>
      </c>
      <c r="AQ107" t="str">
        <f>IF($AS107="","",TRIM(IF(COUNTIFS(Calc!$B$2:$B$1601,ROW()-1,Calc!$C$2:$C$1601,"&lt;1")&gt;0,"Ada PO tanpa Koli - cek TMP. ","")&amp;IF(OR($AU107="",$AU107&lt;=0),"Volume kosong/0 - dimensi dikosongkan. ","")&amp;IF(AND($AU107&lt;&gt;"",$AU107&gt;=1000000),"Volume &gt;= 1.000.000 cm3 (di luar aturan) - dimensi dikosongkan. ","")&amp;IF(LEN($R107)&gt;500,"R &gt; 500 karakter.","")))</f>
        <v/>
      </c>
      <c r="AS107" t="str">
        <f>IFERROR(MATCH(ROW()-1,Calc!$J$2:$J$1601,0),"")</f>
        <v/>
      </c>
      <c r="AT107" t="str">
        <f>IFERROR(MATCH(ROW()-1,Calc!$K$2:$K$1601,0),"")</f>
        <v/>
      </c>
      <c r="AU107" t="str">
        <f>IF($AS107="","",IFERROR(INDEX('TMP Paste'!$D$2:$D$1601,$AS107)*1000000/$AB107,""))</f>
        <v/>
      </c>
    </row>
    <row r="108" spans="1:47">
      <c r="A108" t="str">
        <f>IF($AS108="","",INDEX('TMP Paste'!$B$2:$B$1601,$AS108))</f>
        <v/>
      </c>
      <c r="B108" t="str">
        <f>IF($AS108="","",Config!$B$14)</f>
        <v/>
      </c>
      <c r="C108" t="str">
        <f>IF($AS108="","",Config!$B$15)</f>
        <v/>
      </c>
      <c r="D108" t="str">
        <f>IF($AS108="","",INDEX('TMP Paste'!$B$2:$B$1601,$AS108))</f>
        <v/>
      </c>
      <c r="E108" t="str">
        <f>IF($AS108="","",Config!$B$27)</f>
        <v/>
      </c>
      <c r="F108" t="str">
        <f>IF($AS108="","",Config!$B$9)</f>
        <v/>
      </c>
      <c r="G108" t="str">
        <f>IF($AS108="","",Config!$B$10)</f>
        <v/>
      </c>
      <c r="H108" t="str">
        <f>IF($AS108="","",Config!$B$11)</f>
        <v/>
      </c>
      <c r="I108" t="str">
        <f>IF($AS108="","",Config!$B$16)</f>
        <v/>
      </c>
      <c r="J108" t="str">
        <f>IF($AS108="","",INDEX('TMP Paste'!$A$2:$A$1601,$AS108))</f>
        <v/>
      </c>
      <c r="K108" t="str">
        <f>IF($AS108="","",INDEX('TMP Paste'!$L$2:$L$1601,$AS108))</f>
        <v/>
      </c>
      <c r="L108" t="str">
        <f>IF($AS108="","",INDEX('TMP Paste'!$I$2:$I$1601,$AS108))</f>
        <v/>
      </c>
      <c r="M108" t="str">
        <f>IF($AS108="","",Config!$B$16)</f>
        <v/>
      </c>
      <c r="N108" t="str">
        <f t="shared" si="6"/>
        <v/>
      </c>
      <c r="O108" t="str">
        <f>IF($AS108="","",INDEX('TMP Paste'!$K$2:$K$1601,$AS108))</f>
        <v/>
      </c>
      <c r="P108" t="str">
        <f t="shared" si="7"/>
        <v/>
      </c>
      <c r="Q108" t="str">
        <f>IF($AS108="","",INDEX('TMP Paste'!$J$2:$J$1601,$AS108))</f>
        <v/>
      </c>
      <c r="R108" t="str">
        <f>IF($AS108="","",Config!$B$24)</f>
        <v/>
      </c>
      <c r="S108" t="str">
        <f ca="1">IF($AS108="","",TEXT(Config!$B$4,"yyyy-mm-dd"))</f>
        <v/>
      </c>
      <c r="T108" t="str">
        <f>IF($AS108="","",Config!$B$17)</f>
        <v/>
      </c>
      <c r="U108" t="str">
        <f>IF($AS108="","",Config!$B$18)</f>
        <v/>
      </c>
      <c r="V108" t="str">
        <f>IF($AS108="","",Config!$B$19)</f>
        <v/>
      </c>
      <c r="W108" t="str">
        <f>IF($AS108="","",INDEX('TMP Paste'!$C$2:$C$1601,$AS108))</f>
        <v/>
      </c>
      <c r="X108" t="str">
        <f>IF($AS108="","",Config!$B$29)</f>
        <v/>
      </c>
      <c r="Y108" t="str">
        <f>IF($AT108="","",INDEX(Calc!$I$2:$I$1601,$AT108)&amp;" - "&amp;INDEX(Calc!$D$2:$D$1601,$AT108)&amp;" koli")</f>
        <v/>
      </c>
      <c r="Z108" t="str">
        <f>IF($AS108="","",Config!$B$21)</f>
        <v/>
      </c>
      <c r="AA108" t="str">
        <f>IF($AS108="","",Config!$B$22)</f>
        <v/>
      </c>
      <c r="AB108" t="str">
        <f>IF($AT108="","",INDEX(Calc!$D$2:$D$1601,$AT108))</f>
        <v/>
      </c>
      <c r="AC108" t="str">
        <f>IF($AT108="","",INDEX(Calc!$G$2:$G$1601,$AT108))</f>
        <v/>
      </c>
      <c r="AD108" t="str">
        <f>IF($AS108="","",Config!$B$23)</f>
        <v/>
      </c>
      <c r="AE108" t="str">
        <f>IF($AS108="","",Config!$B$28)</f>
        <v/>
      </c>
      <c r="AF108" t="str">
        <f t="shared" si="8"/>
        <v/>
      </c>
      <c r="AG108" t="str">
        <f t="shared" si="9"/>
        <v/>
      </c>
      <c r="AH108" t="str">
        <f t="shared" si="10"/>
        <v/>
      </c>
      <c r="AI108" t="str">
        <f>IF($AG108="","",SUMIF($AG$2:$AG108,$AG108,$AH$2:$AH108))</f>
        <v/>
      </c>
      <c r="AJ108" t="str">
        <f>IF('TMP Paste'!$F108="","",IF('TMP Paste'!$B108="",$AJ107,'TMP Paste'!$B108))</f>
        <v/>
      </c>
      <c r="AK108" t="str">
        <f>IF('TMP Paste'!$F108="","",N('TMP Paste'!$G108))</f>
        <v/>
      </c>
      <c r="AL108" t="str">
        <f>IF('TMP Paste'!$F108="","",IF('TMP Paste'!$M108="",$AL107,'TMP Paste'!$M108))</f>
        <v/>
      </c>
      <c r="AM108" t="str">
        <f>IF('TMP Paste'!$F108="","",IF('TMP Paste'!$N108="",$AM107,'TMP Paste'!$N108))</f>
        <v/>
      </c>
      <c r="AN108" t="str">
        <f>IF('TMP Paste'!$F108="","",IF('TMP Paste'!$O108="",$AN107,'TMP Paste'!$O108))</f>
        <v/>
      </c>
      <c r="AO108" t="str">
        <f>IF('TMP Paste'!$F108="","",IF('TMP Paste'!$P108="",$AO107,'TMP Paste'!$P108))</f>
        <v/>
      </c>
      <c r="AP108" t="str">
        <f t="shared" si="11"/>
        <v/>
      </c>
      <c r="AQ108" t="str">
        <f>IF($AS108="","",TRIM(IF(COUNTIFS(Calc!$B$2:$B$1601,ROW()-1,Calc!$C$2:$C$1601,"&lt;1")&gt;0,"Ada PO tanpa Koli - cek TMP. ","")&amp;IF(OR($AU108="",$AU108&lt;=0),"Volume kosong/0 - dimensi dikosongkan. ","")&amp;IF(AND($AU108&lt;&gt;"",$AU108&gt;=1000000),"Volume &gt;= 1.000.000 cm3 (di luar aturan) - dimensi dikosongkan. ","")&amp;IF(LEN($R108)&gt;500,"R &gt; 500 karakter.","")))</f>
        <v/>
      </c>
      <c r="AS108" t="str">
        <f>IFERROR(MATCH(ROW()-1,Calc!$J$2:$J$1601,0),"")</f>
        <v/>
      </c>
      <c r="AT108" t="str">
        <f>IFERROR(MATCH(ROW()-1,Calc!$K$2:$K$1601,0),"")</f>
        <v/>
      </c>
      <c r="AU108" t="str">
        <f>IF($AS108="","",IFERROR(INDEX('TMP Paste'!$D$2:$D$1601,$AS108)*1000000/$AB108,""))</f>
        <v/>
      </c>
    </row>
    <row r="109" spans="1:47">
      <c r="A109" t="str">
        <f>IF($AS109="","",INDEX('TMP Paste'!$B$2:$B$1601,$AS109))</f>
        <v/>
      </c>
      <c r="B109" t="str">
        <f>IF($AS109="","",Config!$B$14)</f>
        <v/>
      </c>
      <c r="C109" t="str">
        <f>IF($AS109="","",Config!$B$15)</f>
        <v/>
      </c>
      <c r="D109" t="str">
        <f>IF($AS109="","",INDEX('TMP Paste'!$B$2:$B$1601,$AS109))</f>
        <v/>
      </c>
      <c r="E109" t="str">
        <f>IF($AS109="","",Config!$B$27)</f>
        <v/>
      </c>
      <c r="F109" t="str">
        <f>IF($AS109="","",Config!$B$9)</f>
        <v/>
      </c>
      <c r="G109" t="str">
        <f>IF($AS109="","",Config!$B$10)</f>
        <v/>
      </c>
      <c r="H109" t="str">
        <f>IF($AS109="","",Config!$B$11)</f>
        <v/>
      </c>
      <c r="I109" t="str">
        <f>IF($AS109="","",Config!$B$16)</f>
        <v/>
      </c>
      <c r="J109" t="str">
        <f>IF($AS109="","",INDEX('TMP Paste'!$A$2:$A$1601,$AS109))</f>
        <v/>
      </c>
      <c r="K109" t="str">
        <f>IF($AS109="","",INDEX('TMP Paste'!$L$2:$L$1601,$AS109))</f>
        <v/>
      </c>
      <c r="L109" t="str">
        <f>IF($AS109="","",INDEX('TMP Paste'!$I$2:$I$1601,$AS109))</f>
        <v/>
      </c>
      <c r="M109" t="str">
        <f>IF($AS109="","",Config!$B$16)</f>
        <v/>
      </c>
      <c r="N109" t="str">
        <f t="shared" si="6"/>
        <v/>
      </c>
      <c r="O109" t="str">
        <f>IF($AS109="","",INDEX('TMP Paste'!$K$2:$K$1601,$AS109))</f>
        <v/>
      </c>
      <c r="P109" t="str">
        <f t="shared" si="7"/>
        <v/>
      </c>
      <c r="Q109" t="str">
        <f>IF($AS109="","",INDEX('TMP Paste'!$J$2:$J$1601,$AS109))</f>
        <v/>
      </c>
      <c r="R109" t="str">
        <f>IF($AS109="","",Config!$B$24)</f>
        <v/>
      </c>
      <c r="S109" t="str">
        <f ca="1">IF($AS109="","",TEXT(Config!$B$4,"yyyy-mm-dd"))</f>
        <v/>
      </c>
      <c r="T109" t="str">
        <f>IF($AS109="","",Config!$B$17)</f>
        <v/>
      </c>
      <c r="U109" t="str">
        <f>IF($AS109="","",Config!$B$18)</f>
        <v/>
      </c>
      <c r="V109" t="str">
        <f>IF($AS109="","",Config!$B$19)</f>
        <v/>
      </c>
      <c r="W109" t="str">
        <f>IF($AS109="","",INDEX('TMP Paste'!$C$2:$C$1601,$AS109))</f>
        <v/>
      </c>
      <c r="X109" t="str">
        <f>IF($AS109="","",Config!$B$29)</f>
        <v/>
      </c>
      <c r="Y109" t="str">
        <f>IF($AT109="","",INDEX(Calc!$I$2:$I$1601,$AT109)&amp;" - "&amp;INDEX(Calc!$D$2:$D$1601,$AT109)&amp;" koli")</f>
        <v/>
      </c>
      <c r="Z109" t="str">
        <f>IF($AS109="","",Config!$B$21)</f>
        <v/>
      </c>
      <c r="AA109" t="str">
        <f>IF($AS109="","",Config!$B$22)</f>
        <v/>
      </c>
      <c r="AB109" t="str">
        <f>IF($AT109="","",INDEX(Calc!$D$2:$D$1601,$AT109))</f>
        <v/>
      </c>
      <c r="AC109" t="str">
        <f>IF($AT109="","",INDEX(Calc!$G$2:$G$1601,$AT109))</f>
        <v/>
      </c>
      <c r="AD109" t="str">
        <f>IF($AS109="","",Config!$B$23)</f>
        <v/>
      </c>
      <c r="AE109" t="str">
        <f>IF($AS109="","",Config!$B$28)</f>
        <v/>
      </c>
      <c r="AF109" t="str">
        <f t="shared" si="8"/>
        <v/>
      </c>
      <c r="AG109" t="str">
        <f t="shared" si="9"/>
        <v/>
      </c>
      <c r="AH109" t="str">
        <f t="shared" si="10"/>
        <v/>
      </c>
      <c r="AI109" t="str">
        <f>IF($AG109="","",SUMIF($AG$2:$AG109,$AG109,$AH$2:$AH109))</f>
        <v/>
      </c>
      <c r="AJ109" t="str">
        <f>IF('TMP Paste'!$F109="","",IF('TMP Paste'!$B109="",$AJ108,'TMP Paste'!$B109))</f>
        <v/>
      </c>
      <c r="AK109" t="str">
        <f>IF('TMP Paste'!$F109="","",N('TMP Paste'!$G109))</f>
        <v/>
      </c>
      <c r="AL109" t="str">
        <f>IF('TMP Paste'!$F109="","",IF('TMP Paste'!$M109="",$AL108,'TMP Paste'!$M109))</f>
        <v/>
      </c>
      <c r="AM109" t="str">
        <f>IF('TMP Paste'!$F109="","",IF('TMP Paste'!$N109="",$AM108,'TMP Paste'!$N109))</f>
        <v/>
      </c>
      <c r="AN109" t="str">
        <f>IF('TMP Paste'!$F109="","",IF('TMP Paste'!$O109="",$AN108,'TMP Paste'!$O109))</f>
        <v/>
      </c>
      <c r="AO109" t="str">
        <f>IF('TMP Paste'!$F109="","",IF('TMP Paste'!$P109="",$AO108,'TMP Paste'!$P109))</f>
        <v/>
      </c>
      <c r="AP109" t="str">
        <f t="shared" si="11"/>
        <v/>
      </c>
      <c r="AQ109" t="str">
        <f>IF($AS109="","",TRIM(IF(COUNTIFS(Calc!$B$2:$B$1601,ROW()-1,Calc!$C$2:$C$1601,"&lt;1")&gt;0,"Ada PO tanpa Koli - cek TMP. ","")&amp;IF(OR($AU109="",$AU109&lt;=0),"Volume kosong/0 - dimensi dikosongkan. ","")&amp;IF(AND($AU109&lt;&gt;"",$AU109&gt;=1000000),"Volume &gt;= 1.000.000 cm3 (di luar aturan) - dimensi dikosongkan. ","")&amp;IF(LEN($R109)&gt;500,"R &gt; 500 karakter.","")))</f>
        <v/>
      </c>
      <c r="AS109" t="str">
        <f>IFERROR(MATCH(ROW()-1,Calc!$J$2:$J$1601,0),"")</f>
        <v/>
      </c>
      <c r="AT109" t="str">
        <f>IFERROR(MATCH(ROW()-1,Calc!$K$2:$K$1601,0),"")</f>
        <v/>
      </c>
      <c r="AU109" t="str">
        <f>IF($AS109="","",IFERROR(INDEX('TMP Paste'!$D$2:$D$1601,$AS109)*1000000/$AB109,""))</f>
        <v/>
      </c>
    </row>
    <row r="110" spans="1:47">
      <c r="A110" t="str">
        <f>IF($AS110="","",INDEX('TMP Paste'!$B$2:$B$1601,$AS110))</f>
        <v/>
      </c>
      <c r="B110" t="str">
        <f>IF($AS110="","",Config!$B$14)</f>
        <v/>
      </c>
      <c r="C110" t="str">
        <f>IF($AS110="","",Config!$B$15)</f>
        <v/>
      </c>
      <c r="D110" t="str">
        <f>IF($AS110="","",INDEX('TMP Paste'!$B$2:$B$1601,$AS110))</f>
        <v/>
      </c>
      <c r="E110" t="str">
        <f>IF($AS110="","",Config!$B$27)</f>
        <v/>
      </c>
      <c r="F110" t="str">
        <f>IF($AS110="","",Config!$B$9)</f>
        <v/>
      </c>
      <c r="G110" t="str">
        <f>IF($AS110="","",Config!$B$10)</f>
        <v/>
      </c>
      <c r="H110" t="str">
        <f>IF($AS110="","",Config!$B$11)</f>
        <v/>
      </c>
      <c r="I110" t="str">
        <f>IF($AS110="","",Config!$B$16)</f>
        <v/>
      </c>
      <c r="J110" t="str">
        <f>IF($AS110="","",INDEX('TMP Paste'!$A$2:$A$1601,$AS110))</f>
        <v/>
      </c>
      <c r="K110" t="str">
        <f>IF($AS110="","",INDEX('TMP Paste'!$L$2:$L$1601,$AS110))</f>
        <v/>
      </c>
      <c r="L110" t="str">
        <f>IF($AS110="","",INDEX('TMP Paste'!$I$2:$I$1601,$AS110))</f>
        <v/>
      </c>
      <c r="M110" t="str">
        <f>IF($AS110="","",Config!$B$16)</f>
        <v/>
      </c>
      <c r="N110" t="str">
        <f t="shared" si="6"/>
        <v/>
      </c>
      <c r="O110" t="str">
        <f>IF($AS110="","",INDEX('TMP Paste'!$K$2:$K$1601,$AS110))</f>
        <v/>
      </c>
      <c r="P110" t="str">
        <f t="shared" si="7"/>
        <v/>
      </c>
      <c r="Q110" t="str">
        <f>IF($AS110="","",INDEX('TMP Paste'!$J$2:$J$1601,$AS110))</f>
        <v/>
      </c>
      <c r="R110" t="str">
        <f>IF($AS110="","",Config!$B$24)</f>
        <v/>
      </c>
      <c r="S110" t="str">
        <f ca="1">IF($AS110="","",TEXT(Config!$B$4,"yyyy-mm-dd"))</f>
        <v/>
      </c>
      <c r="T110" t="str">
        <f>IF($AS110="","",Config!$B$17)</f>
        <v/>
      </c>
      <c r="U110" t="str">
        <f>IF($AS110="","",Config!$B$18)</f>
        <v/>
      </c>
      <c r="V110" t="str">
        <f>IF($AS110="","",Config!$B$19)</f>
        <v/>
      </c>
      <c r="W110" t="str">
        <f>IF($AS110="","",INDEX('TMP Paste'!$C$2:$C$1601,$AS110))</f>
        <v/>
      </c>
      <c r="X110" t="str">
        <f>IF($AS110="","",Config!$B$29)</f>
        <v/>
      </c>
      <c r="Y110" t="str">
        <f>IF($AT110="","",INDEX(Calc!$I$2:$I$1601,$AT110)&amp;" - "&amp;INDEX(Calc!$D$2:$D$1601,$AT110)&amp;" koli")</f>
        <v/>
      </c>
      <c r="Z110" t="str">
        <f>IF($AS110="","",Config!$B$21)</f>
        <v/>
      </c>
      <c r="AA110" t="str">
        <f>IF($AS110="","",Config!$B$22)</f>
        <v/>
      </c>
      <c r="AB110" t="str">
        <f>IF($AT110="","",INDEX(Calc!$D$2:$D$1601,$AT110))</f>
        <v/>
      </c>
      <c r="AC110" t="str">
        <f>IF($AT110="","",INDEX(Calc!$G$2:$G$1601,$AT110))</f>
        <v/>
      </c>
      <c r="AD110" t="str">
        <f>IF($AS110="","",Config!$B$23)</f>
        <v/>
      </c>
      <c r="AE110" t="str">
        <f>IF($AS110="","",Config!$B$28)</f>
        <v/>
      </c>
      <c r="AF110" t="str">
        <f t="shared" si="8"/>
        <v/>
      </c>
      <c r="AG110" t="str">
        <f t="shared" si="9"/>
        <v/>
      </c>
      <c r="AH110" t="str">
        <f t="shared" si="10"/>
        <v/>
      </c>
      <c r="AI110" t="str">
        <f>IF($AG110="","",SUMIF($AG$2:$AG110,$AG110,$AH$2:$AH110))</f>
        <v/>
      </c>
      <c r="AJ110" t="str">
        <f>IF('TMP Paste'!$F110="","",IF('TMP Paste'!$B110="",$AJ109,'TMP Paste'!$B110))</f>
        <v>AWB02WJHH</v>
      </c>
      <c r="AK110">
        <f>IF('TMP Paste'!$F110="","",N('TMP Paste'!$G110))</f>
        <v>0</v>
      </c>
      <c r="AL110">
        <f>IF('TMP Paste'!$F110="","",IF('TMP Paste'!$M110="",$AL109,'TMP Paste'!$M110))</f>
        <v>1</v>
      </c>
      <c r="AM110" t="str">
        <f>IF('TMP Paste'!$F110="","",IF('TMP Paste'!$N110="",$AM109,'TMP Paste'!$N110))</f>
        <v/>
      </c>
      <c r="AN110" t="str">
        <f>IF('TMP Paste'!$F110="","",IF('TMP Paste'!$O110="",$AN109,'TMP Paste'!$O110))</f>
        <v/>
      </c>
      <c r="AO110" t="str">
        <f>IF('TMP Paste'!$F110="","",IF('TMP Paste'!$P110="",$AO109,'TMP Paste'!$P110))</f>
        <v/>
      </c>
      <c r="AP110" t="str">
        <f t="shared" si="11"/>
        <v/>
      </c>
      <c r="AQ110" t="str">
        <f>IF($AS110="","",TRIM(IF(COUNTIFS(Calc!$B$2:$B$1601,ROW()-1,Calc!$C$2:$C$1601,"&lt;1")&gt;0,"Ada PO tanpa Koli - cek TMP. ","")&amp;IF(OR($AU110="",$AU110&lt;=0),"Volume kosong/0 - dimensi dikosongkan. ","")&amp;IF(AND($AU110&lt;&gt;"",$AU110&gt;=1000000),"Volume &gt;= 1.000.000 cm3 (di luar aturan) - dimensi dikosongkan. ","")&amp;IF(LEN($R110)&gt;500,"R &gt; 500 karakter.","")))</f>
        <v/>
      </c>
      <c r="AS110" t="str">
        <f>IFERROR(MATCH(ROW()-1,Calc!$J$2:$J$1601,0),"")</f>
        <v/>
      </c>
      <c r="AT110" t="str">
        <f>IFERROR(MATCH(ROW()-1,Calc!$K$2:$K$1601,0),"")</f>
        <v/>
      </c>
      <c r="AU110" t="str">
        <f>IF($AS110="","",IFERROR(INDEX('TMP Paste'!$D$2:$D$1601,$AS110)*1000000/$AB110,""))</f>
        <v/>
      </c>
    </row>
    <row r="111" spans="1:47">
      <c r="A111" t="str">
        <f>IF($AS111="","",INDEX('TMP Paste'!$B$2:$B$1601,$AS111))</f>
        <v/>
      </c>
      <c r="B111" t="str">
        <f>IF($AS111="","",Config!$B$14)</f>
        <v/>
      </c>
      <c r="C111" t="str">
        <f>IF($AS111="","",Config!$B$15)</f>
        <v/>
      </c>
      <c r="D111" t="str">
        <f>IF($AS111="","",INDEX('TMP Paste'!$B$2:$B$1601,$AS111))</f>
        <v/>
      </c>
      <c r="E111" t="str">
        <f>IF($AS111="","",Config!$B$27)</f>
        <v/>
      </c>
      <c r="F111" t="str">
        <f>IF($AS111="","",Config!$B$9)</f>
        <v/>
      </c>
      <c r="G111" t="str">
        <f>IF($AS111="","",Config!$B$10)</f>
        <v/>
      </c>
      <c r="H111" t="str">
        <f>IF($AS111="","",Config!$B$11)</f>
        <v/>
      </c>
      <c r="I111" t="str">
        <f>IF($AS111="","",Config!$B$16)</f>
        <v/>
      </c>
      <c r="J111" t="str">
        <f>IF($AS111="","",INDEX('TMP Paste'!$A$2:$A$1601,$AS111))</f>
        <v/>
      </c>
      <c r="K111" t="str">
        <f>IF($AS111="","",INDEX('TMP Paste'!$L$2:$L$1601,$AS111))</f>
        <v/>
      </c>
      <c r="L111" t="str">
        <f>IF($AS111="","",INDEX('TMP Paste'!$I$2:$I$1601,$AS111))</f>
        <v/>
      </c>
      <c r="M111" t="str">
        <f>IF($AS111="","",Config!$B$16)</f>
        <v/>
      </c>
      <c r="N111" t="str">
        <f t="shared" si="6"/>
        <v/>
      </c>
      <c r="O111" t="str">
        <f>IF($AS111="","",INDEX('TMP Paste'!$K$2:$K$1601,$AS111))</f>
        <v/>
      </c>
      <c r="P111" t="str">
        <f t="shared" si="7"/>
        <v/>
      </c>
      <c r="Q111" t="str">
        <f>IF($AS111="","",INDEX('TMP Paste'!$J$2:$J$1601,$AS111))</f>
        <v/>
      </c>
      <c r="R111" t="str">
        <f>IF($AS111="","",Config!$B$24)</f>
        <v/>
      </c>
      <c r="S111" t="str">
        <f ca="1">IF($AS111="","",TEXT(Config!$B$4,"yyyy-mm-dd"))</f>
        <v/>
      </c>
      <c r="T111" t="str">
        <f>IF($AS111="","",Config!$B$17)</f>
        <v/>
      </c>
      <c r="U111" t="str">
        <f>IF($AS111="","",Config!$B$18)</f>
        <v/>
      </c>
      <c r="V111" t="str">
        <f>IF($AS111="","",Config!$B$19)</f>
        <v/>
      </c>
      <c r="W111" t="str">
        <f>IF($AS111="","",INDEX('TMP Paste'!$C$2:$C$1601,$AS111))</f>
        <v/>
      </c>
      <c r="X111" t="str">
        <f>IF($AS111="","",Config!$B$29)</f>
        <v/>
      </c>
      <c r="Y111" t="str">
        <f>IF($AT111="","",INDEX(Calc!$I$2:$I$1601,$AT111)&amp;" - "&amp;INDEX(Calc!$D$2:$D$1601,$AT111)&amp;" koli")</f>
        <v/>
      </c>
      <c r="Z111" t="str">
        <f>IF($AS111="","",Config!$B$21)</f>
        <v/>
      </c>
      <c r="AA111" t="str">
        <f>IF($AS111="","",Config!$B$22)</f>
        <v/>
      </c>
      <c r="AB111" t="str">
        <f>IF($AT111="","",INDEX(Calc!$D$2:$D$1601,$AT111))</f>
        <v/>
      </c>
      <c r="AC111" t="str">
        <f>IF($AT111="","",INDEX(Calc!$G$2:$G$1601,$AT111))</f>
        <v/>
      </c>
      <c r="AD111" t="str">
        <f>IF($AS111="","",Config!$B$23)</f>
        <v/>
      </c>
      <c r="AE111" t="str">
        <f>IF($AS111="","",Config!$B$28)</f>
        <v/>
      </c>
      <c r="AF111" t="str">
        <f t="shared" si="8"/>
        <v/>
      </c>
      <c r="AG111" t="str">
        <f t="shared" si="9"/>
        <v/>
      </c>
      <c r="AH111" t="str">
        <f t="shared" si="10"/>
        <v/>
      </c>
      <c r="AI111" t="str">
        <f>IF($AG111="","",SUMIF($AG$2:$AG111,$AG111,$AH$2:$AH111))</f>
        <v/>
      </c>
      <c r="AJ111" t="str">
        <f>IF('TMP Paste'!$F111="","",IF('TMP Paste'!$B111="",$AJ110,'TMP Paste'!$B111))</f>
        <v/>
      </c>
      <c r="AK111" t="str">
        <f>IF('TMP Paste'!$F111="","",N('TMP Paste'!$G111))</f>
        <v/>
      </c>
      <c r="AL111" t="str">
        <f>IF('TMP Paste'!$F111="","",IF('TMP Paste'!$M111="",$AL110,'TMP Paste'!$M111))</f>
        <v/>
      </c>
      <c r="AM111" t="str">
        <f>IF('TMP Paste'!$F111="","",IF('TMP Paste'!$N111="",$AM110,'TMP Paste'!$N111))</f>
        <v/>
      </c>
      <c r="AN111" t="str">
        <f>IF('TMP Paste'!$F111="","",IF('TMP Paste'!$O111="",$AN110,'TMP Paste'!$O111))</f>
        <v/>
      </c>
      <c r="AO111" t="str">
        <f>IF('TMP Paste'!$F111="","",IF('TMP Paste'!$P111="",$AO110,'TMP Paste'!$P111))</f>
        <v/>
      </c>
      <c r="AP111" t="str">
        <f t="shared" si="11"/>
        <v/>
      </c>
      <c r="AQ111" t="str">
        <f>IF($AS111="","",TRIM(IF(COUNTIFS(Calc!$B$2:$B$1601,ROW()-1,Calc!$C$2:$C$1601,"&lt;1")&gt;0,"Ada PO tanpa Koli - cek TMP. ","")&amp;IF(OR($AU111="",$AU111&lt;=0),"Volume kosong/0 - dimensi dikosongkan. ","")&amp;IF(AND($AU111&lt;&gt;"",$AU111&gt;=1000000),"Volume &gt;= 1.000.000 cm3 (di luar aturan) - dimensi dikosongkan. ","")&amp;IF(LEN($R111)&gt;500,"R &gt; 500 karakter.","")))</f>
        <v/>
      </c>
      <c r="AS111" t="str">
        <f>IFERROR(MATCH(ROW()-1,Calc!$J$2:$J$1601,0),"")</f>
        <v/>
      </c>
      <c r="AT111" t="str">
        <f>IFERROR(MATCH(ROW()-1,Calc!$K$2:$K$1601,0),"")</f>
        <v/>
      </c>
      <c r="AU111" t="str">
        <f>IF($AS111="","",IFERROR(INDEX('TMP Paste'!$D$2:$D$1601,$AS111)*1000000/$AB111,""))</f>
        <v/>
      </c>
    </row>
    <row r="112" spans="1:47">
      <c r="A112" t="str">
        <f>IF($AS112="","",INDEX('TMP Paste'!$B$2:$B$1601,$AS112))</f>
        <v/>
      </c>
      <c r="B112" t="str">
        <f>IF($AS112="","",Config!$B$14)</f>
        <v/>
      </c>
      <c r="C112" t="str">
        <f>IF($AS112="","",Config!$B$15)</f>
        <v/>
      </c>
      <c r="D112" t="str">
        <f>IF($AS112="","",INDEX('TMP Paste'!$B$2:$B$1601,$AS112))</f>
        <v/>
      </c>
      <c r="E112" t="str">
        <f>IF($AS112="","",Config!$B$27)</f>
        <v/>
      </c>
      <c r="F112" t="str">
        <f>IF($AS112="","",Config!$B$9)</f>
        <v/>
      </c>
      <c r="G112" t="str">
        <f>IF($AS112="","",Config!$B$10)</f>
        <v/>
      </c>
      <c r="H112" t="str">
        <f>IF($AS112="","",Config!$B$11)</f>
        <v/>
      </c>
      <c r="I112" t="str">
        <f>IF($AS112="","",Config!$B$16)</f>
        <v/>
      </c>
      <c r="J112" t="str">
        <f>IF($AS112="","",INDEX('TMP Paste'!$A$2:$A$1601,$AS112))</f>
        <v/>
      </c>
      <c r="K112" t="str">
        <f>IF($AS112="","",INDEX('TMP Paste'!$L$2:$L$1601,$AS112))</f>
        <v/>
      </c>
      <c r="L112" t="str">
        <f>IF($AS112="","",INDEX('TMP Paste'!$I$2:$I$1601,$AS112))</f>
        <v/>
      </c>
      <c r="M112" t="str">
        <f>IF($AS112="","",Config!$B$16)</f>
        <v/>
      </c>
      <c r="N112" t="str">
        <f t="shared" si="6"/>
        <v/>
      </c>
      <c r="O112" t="str">
        <f>IF($AS112="","",INDEX('TMP Paste'!$K$2:$K$1601,$AS112))</f>
        <v/>
      </c>
      <c r="P112" t="str">
        <f t="shared" si="7"/>
        <v/>
      </c>
      <c r="Q112" t="str">
        <f>IF($AS112="","",INDEX('TMP Paste'!$J$2:$J$1601,$AS112))</f>
        <v/>
      </c>
      <c r="R112" t="str">
        <f>IF($AS112="","",Config!$B$24)</f>
        <v/>
      </c>
      <c r="S112" t="str">
        <f ca="1">IF($AS112="","",TEXT(Config!$B$4,"yyyy-mm-dd"))</f>
        <v/>
      </c>
      <c r="T112" t="str">
        <f>IF($AS112="","",Config!$B$17)</f>
        <v/>
      </c>
      <c r="U112" t="str">
        <f>IF($AS112="","",Config!$B$18)</f>
        <v/>
      </c>
      <c r="V112" t="str">
        <f>IF($AS112="","",Config!$B$19)</f>
        <v/>
      </c>
      <c r="W112" t="str">
        <f>IF($AS112="","",INDEX('TMP Paste'!$C$2:$C$1601,$AS112))</f>
        <v/>
      </c>
      <c r="X112" t="str">
        <f>IF($AS112="","",Config!$B$29)</f>
        <v/>
      </c>
      <c r="Y112" t="str">
        <f>IF($AT112="","",INDEX(Calc!$I$2:$I$1601,$AT112)&amp;" - "&amp;INDEX(Calc!$D$2:$D$1601,$AT112)&amp;" koli")</f>
        <v/>
      </c>
      <c r="Z112" t="str">
        <f>IF($AS112="","",Config!$B$21)</f>
        <v/>
      </c>
      <c r="AA112" t="str">
        <f>IF($AS112="","",Config!$B$22)</f>
        <v/>
      </c>
      <c r="AB112" t="str">
        <f>IF($AT112="","",INDEX(Calc!$D$2:$D$1601,$AT112))</f>
        <v/>
      </c>
      <c r="AC112" t="str">
        <f>IF($AT112="","",INDEX(Calc!$G$2:$G$1601,$AT112))</f>
        <v/>
      </c>
      <c r="AD112" t="str">
        <f>IF($AS112="","",Config!$B$23)</f>
        <v/>
      </c>
      <c r="AE112" t="str">
        <f>IF($AS112="","",Config!$B$28)</f>
        <v/>
      </c>
      <c r="AF112" t="str">
        <f t="shared" si="8"/>
        <v/>
      </c>
      <c r="AG112" t="str">
        <f t="shared" si="9"/>
        <v/>
      </c>
      <c r="AH112" t="str">
        <f t="shared" si="10"/>
        <v/>
      </c>
      <c r="AI112" t="str">
        <f>IF($AG112="","",SUMIF($AG$2:$AG112,$AG112,$AH$2:$AH112))</f>
        <v/>
      </c>
      <c r="AJ112" t="str">
        <f>IF('TMP Paste'!$F112="","",IF('TMP Paste'!$B112="",$AJ111,'TMP Paste'!$B112))</f>
        <v>AWB02WM39</v>
      </c>
      <c r="AK112">
        <f>IF('TMP Paste'!$F112="","",N('TMP Paste'!$G112))</f>
        <v>0</v>
      </c>
      <c r="AL112">
        <f>IF('TMP Paste'!$F112="","",IF('TMP Paste'!$M112="",$AL111,'TMP Paste'!$M112))</f>
        <v>1</v>
      </c>
      <c r="AM112" t="str">
        <f>IF('TMP Paste'!$F112="","",IF('TMP Paste'!$N112="",$AM111,'TMP Paste'!$N112))</f>
        <v/>
      </c>
      <c r="AN112" t="str">
        <f>IF('TMP Paste'!$F112="","",IF('TMP Paste'!$O112="",$AN111,'TMP Paste'!$O112))</f>
        <v/>
      </c>
      <c r="AO112" t="str">
        <f>IF('TMP Paste'!$F112="","",IF('TMP Paste'!$P112="",$AO111,'TMP Paste'!$P112))</f>
        <v/>
      </c>
      <c r="AP112" t="str">
        <f t="shared" si="11"/>
        <v/>
      </c>
      <c r="AQ112" t="str">
        <f>IF($AS112="","",TRIM(IF(COUNTIFS(Calc!$B$2:$B$1601,ROW()-1,Calc!$C$2:$C$1601,"&lt;1")&gt;0,"Ada PO tanpa Koli - cek TMP. ","")&amp;IF(OR($AU112="",$AU112&lt;=0),"Volume kosong/0 - dimensi dikosongkan. ","")&amp;IF(AND($AU112&lt;&gt;"",$AU112&gt;=1000000),"Volume &gt;= 1.000.000 cm3 (di luar aturan) - dimensi dikosongkan. ","")&amp;IF(LEN($R112)&gt;500,"R &gt; 500 karakter.","")))</f>
        <v/>
      </c>
      <c r="AS112" t="str">
        <f>IFERROR(MATCH(ROW()-1,Calc!$J$2:$J$1601,0),"")</f>
        <v/>
      </c>
      <c r="AT112" t="str">
        <f>IFERROR(MATCH(ROW()-1,Calc!$K$2:$K$1601,0),"")</f>
        <v/>
      </c>
      <c r="AU112" t="str">
        <f>IF($AS112="","",IFERROR(INDEX('TMP Paste'!$D$2:$D$1601,$AS112)*1000000/$AB112,""))</f>
        <v/>
      </c>
    </row>
    <row r="113" spans="1:47">
      <c r="A113" t="str">
        <f>IF($AS113="","",INDEX('TMP Paste'!$B$2:$B$1601,$AS113))</f>
        <v/>
      </c>
      <c r="B113" t="str">
        <f>IF($AS113="","",Config!$B$14)</f>
        <v/>
      </c>
      <c r="C113" t="str">
        <f>IF($AS113="","",Config!$B$15)</f>
        <v/>
      </c>
      <c r="D113" t="str">
        <f>IF($AS113="","",INDEX('TMP Paste'!$B$2:$B$1601,$AS113))</f>
        <v/>
      </c>
      <c r="E113" t="str">
        <f>IF($AS113="","",Config!$B$27)</f>
        <v/>
      </c>
      <c r="F113" t="str">
        <f>IF($AS113="","",Config!$B$9)</f>
        <v/>
      </c>
      <c r="G113" t="str">
        <f>IF($AS113="","",Config!$B$10)</f>
        <v/>
      </c>
      <c r="H113" t="str">
        <f>IF($AS113="","",Config!$B$11)</f>
        <v/>
      </c>
      <c r="I113" t="str">
        <f>IF($AS113="","",Config!$B$16)</f>
        <v/>
      </c>
      <c r="J113" t="str">
        <f>IF($AS113="","",INDEX('TMP Paste'!$A$2:$A$1601,$AS113))</f>
        <v/>
      </c>
      <c r="K113" t="str">
        <f>IF($AS113="","",INDEX('TMP Paste'!$L$2:$L$1601,$AS113))</f>
        <v/>
      </c>
      <c r="L113" t="str">
        <f>IF($AS113="","",INDEX('TMP Paste'!$I$2:$I$1601,$AS113))</f>
        <v/>
      </c>
      <c r="M113" t="str">
        <f>IF($AS113="","",Config!$B$16)</f>
        <v/>
      </c>
      <c r="N113" t="str">
        <f t="shared" si="6"/>
        <v/>
      </c>
      <c r="O113" t="str">
        <f>IF($AS113="","",INDEX('TMP Paste'!$K$2:$K$1601,$AS113))</f>
        <v/>
      </c>
      <c r="P113" t="str">
        <f t="shared" si="7"/>
        <v/>
      </c>
      <c r="Q113" t="str">
        <f>IF($AS113="","",INDEX('TMP Paste'!$J$2:$J$1601,$AS113))</f>
        <v/>
      </c>
      <c r="R113" t="str">
        <f>IF($AS113="","",Config!$B$24)</f>
        <v/>
      </c>
      <c r="S113" t="str">
        <f ca="1">IF($AS113="","",TEXT(Config!$B$4,"yyyy-mm-dd"))</f>
        <v/>
      </c>
      <c r="T113" t="str">
        <f>IF($AS113="","",Config!$B$17)</f>
        <v/>
      </c>
      <c r="U113" t="str">
        <f>IF($AS113="","",Config!$B$18)</f>
        <v/>
      </c>
      <c r="V113" t="str">
        <f>IF($AS113="","",Config!$B$19)</f>
        <v/>
      </c>
      <c r="W113" t="str">
        <f>IF($AS113="","",INDEX('TMP Paste'!$C$2:$C$1601,$AS113))</f>
        <v/>
      </c>
      <c r="X113" t="str">
        <f>IF($AS113="","",Config!$B$29)</f>
        <v/>
      </c>
      <c r="Y113" t="str">
        <f>IF($AT113="","",INDEX(Calc!$I$2:$I$1601,$AT113)&amp;" - "&amp;INDEX(Calc!$D$2:$D$1601,$AT113)&amp;" koli")</f>
        <v/>
      </c>
      <c r="Z113" t="str">
        <f>IF($AS113="","",Config!$B$21)</f>
        <v/>
      </c>
      <c r="AA113" t="str">
        <f>IF($AS113="","",Config!$B$22)</f>
        <v/>
      </c>
      <c r="AB113" t="str">
        <f>IF($AT113="","",INDEX(Calc!$D$2:$D$1601,$AT113))</f>
        <v/>
      </c>
      <c r="AC113" t="str">
        <f>IF($AT113="","",INDEX(Calc!$G$2:$G$1601,$AT113))</f>
        <v/>
      </c>
      <c r="AD113" t="str">
        <f>IF($AS113="","",Config!$B$23)</f>
        <v/>
      </c>
      <c r="AE113" t="str">
        <f>IF($AS113="","",Config!$B$28)</f>
        <v/>
      </c>
      <c r="AF113" t="str">
        <f t="shared" si="8"/>
        <v/>
      </c>
      <c r="AG113" t="str">
        <f t="shared" si="9"/>
        <v/>
      </c>
      <c r="AH113" t="str">
        <f t="shared" si="10"/>
        <v/>
      </c>
      <c r="AI113" t="str">
        <f>IF($AG113="","",SUMIF($AG$2:$AG113,$AG113,$AH$2:$AH113))</f>
        <v/>
      </c>
      <c r="AJ113" t="str">
        <f>IF('TMP Paste'!$F113="","",IF('TMP Paste'!$B113="",$AJ112,'TMP Paste'!$B113))</f>
        <v/>
      </c>
      <c r="AK113" t="str">
        <f>IF('TMP Paste'!$F113="","",N('TMP Paste'!$G113))</f>
        <v/>
      </c>
      <c r="AL113" t="str">
        <f>IF('TMP Paste'!$F113="","",IF('TMP Paste'!$M113="",$AL112,'TMP Paste'!$M113))</f>
        <v/>
      </c>
      <c r="AM113" t="str">
        <f>IF('TMP Paste'!$F113="","",IF('TMP Paste'!$N113="",$AM112,'TMP Paste'!$N113))</f>
        <v/>
      </c>
      <c r="AN113" t="str">
        <f>IF('TMP Paste'!$F113="","",IF('TMP Paste'!$O113="",$AN112,'TMP Paste'!$O113))</f>
        <v/>
      </c>
      <c r="AO113" t="str">
        <f>IF('TMP Paste'!$F113="","",IF('TMP Paste'!$P113="",$AO112,'TMP Paste'!$P113))</f>
        <v/>
      </c>
      <c r="AP113" t="str">
        <f t="shared" si="11"/>
        <v/>
      </c>
      <c r="AQ113" t="str">
        <f>IF($AS113="","",TRIM(IF(COUNTIFS(Calc!$B$2:$B$1601,ROW()-1,Calc!$C$2:$C$1601,"&lt;1")&gt;0,"Ada PO tanpa Koli - cek TMP. ","")&amp;IF(OR($AU113="",$AU113&lt;=0),"Volume kosong/0 - dimensi dikosongkan. ","")&amp;IF(AND($AU113&lt;&gt;"",$AU113&gt;=1000000),"Volume &gt;= 1.000.000 cm3 (di luar aturan) - dimensi dikosongkan. ","")&amp;IF(LEN($R113)&gt;500,"R &gt; 500 karakter.","")))</f>
        <v/>
      </c>
      <c r="AS113" t="str">
        <f>IFERROR(MATCH(ROW()-1,Calc!$J$2:$J$1601,0),"")</f>
        <v/>
      </c>
      <c r="AT113" t="str">
        <f>IFERROR(MATCH(ROW()-1,Calc!$K$2:$K$1601,0),"")</f>
        <v/>
      </c>
      <c r="AU113" t="str">
        <f>IF($AS113="","",IFERROR(INDEX('TMP Paste'!$D$2:$D$1601,$AS113)*1000000/$AB113,""))</f>
        <v/>
      </c>
    </row>
    <row r="114" spans="1:47">
      <c r="A114" t="str">
        <f>IF($AS114="","",INDEX('TMP Paste'!$B$2:$B$1601,$AS114))</f>
        <v/>
      </c>
      <c r="B114" t="str">
        <f>IF($AS114="","",Config!$B$14)</f>
        <v/>
      </c>
      <c r="C114" t="str">
        <f>IF($AS114="","",Config!$B$15)</f>
        <v/>
      </c>
      <c r="D114" t="str">
        <f>IF($AS114="","",INDEX('TMP Paste'!$B$2:$B$1601,$AS114))</f>
        <v/>
      </c>
      <c r="E114" t="str">
        <f>IF($AS114="","",Config!$B$27)</f>
        <v/>
      </c>
      <c r="F114" t="str">
        <f>IF($AS114="","",Config!$B$9)</f>
        <v/>
      </c>
      <c r="G114" t="str">
        <f>IF($AS114="","",Config!$B$10)</f>
        <v/>
      </c>
      <c r="H114" t="str">
        <f>IF($AS114="","",Config!$B$11)</f>
        <v/>
      </c>
      <c r="I114" t="str">
        <f>IF($AS114="","",Config!$B$16)</f>
        <v/>
      </c>
      <c r="J114" t="str">
        <f>IF($AS114="","",INDEX('TMP Paste'!$A$2:$A$1601,$AS114))</f>
        <v/>
      </c>
      <c r="K114" t="str">
        <f>IF($AS114="","",INDEX('TMP Paste'!$L$2:$L$1601,$AS114))</f>
        <v/>
      </c>
      <c r="L114" t="str">
        <f>IF($AS114="","",INDEX('TMP Paste'!$I$2:$I$1601,$AS114))</f>
        <v/>
      </c>
      <c r="M114" t="str">
        <f>IF($AS114="","",Config!$B$16)</f>
        <v/>
      </c>
      <c r="N114" t="str">
        <f t="shared" si="6"/>
        <v/>
      </c>
      <c r="O114" t="str">
        <f>IF($AS114="","",INDEX('TMP Paste'!$K$2:$K$1601,$AS114))</f>
        <v/>
      </c>
      <c r="P114" t="str">
        <f t="shared" si="7"/>
        <v/>
      </c>
      <c r="Q114" t="str">
        <f>IF($AS114="","",INDEX('TMP Paste'!$J$2:$J$1601,$AS114))</f>
        <v/>
      </c>
      <c r="R114" t="str">
        <f>IF($AS114="","",Config!$B$24)</f>
        <v/>
      </c>
      <c r="S114" t="str">
        <f ca="1">IF($AS114="","",TEXT(Config!$B$4,"yyyy-mm-dd"))</f>
        <v/>
      </c>
      <c r="T114" t="str">
        <f>IF($AS114="","",Config!$B$17)</f>
        <v/>
      </c>
      <c r="U114" t="str">
        <f>IF($AS114="","",Config!$B$18)</f>
        <v/>
      </c>
      <c r="V114" t="str">
        <f>IF($AS114="","",Config!$B$19)</f>
        <v/>
      </c>
      <c r="W114" t="str">
        <f>IF($AS114="","",INDEX('TMP Paste'!$C$2:$C$1601,$AS114))</f>
        <v/>
      </c>
      <c r="X114" t="str">
        <f>IF($AS114="","",Config!$B$29)</f>
        <v/>
      </c>
      <c r="Y114" t="str">
        <f>IF($AT114="","",INDEX(Calc!$I$2:$I$1601,$AT114)&amp;" - "&amp;INDEX(Calc!$D$2:$D$1601,$AT114)&amp;" koli")</f>
        <v/>
      </c>
      <c r="Z114" t="str">
        <f>IF($AS114="","",Config!$B$21)</f>
        <v/>
      </c>
      <c r="AA114" t="str">
        <f>IF($AS114="","",Config!$B$22)</f>
        <v/>
      </c>
      <c r="AB114" t="str">
        <f>IF($AT114="","",INDEX(Calc!$D$2:$D$1601,$AT114))</f>
        <v/>
      </c>
      <c r="AC114" t="str">
        <f>IF($AT114="","",INDEX(Calc!$G$2:$G$1601,$AT114))</f>
        <v/>
      </c>
      <c r="AD114" t="str">
        <f>IF($AS114="","",Config!$B$23)</f>
        <v/>
      </c>
      <c r="AE114" t="str">
        <f>IF($AS114="","",Config!$B$28)</f>
        <v/>
      </c>
      <c r="AF114" t="str">
        <f t="shared" si="8"/>
        <v/>
      </c>
      <c r="AG114" t="str">
        <f t="shared" si="9"/>
        <v/>
      </c>
      <c r="AH114" t="str">
        <f t="shared" si="10"/>
        <v/>
      </c>
      <c r="AI114" t="str">
        <f>IF($AG114="","",SUMIF($AG$2:$AG114,$AG114,$AH$2:$AH114))</f>
        <v/>
      </c>
      <c r="AJ114" t="str">
        <f>IF('TMP Paste'!$F114="","",IF('TMP Paste'!$B114="",$AJ113,'TMP Paste'!$B114))</f>
        <v/>
      </c>
      <c r="AK114" t="str">
        <f>IF('TMP Paste'!$F114="","",N('TMP Paste'!$G114))</f>
        <v/>
      </c>
      <c r="AL114" t="str">
        <f>IF('TMP Paste'!$F114="","",IF('TMP Paste'!$M114="",$AL113,'TMP Paste'!$M114))</f>
        <v/>
      </c>
      <c r="AM114" t="str">
        <f>IF('TMP Paste'!$F114="","",IF('TMP Paste'!$N114="",$AM113,'TMP Paste'!$N114))</f>
        <v/>
      </c>
      <c r="AN114" t="str">
        <f>IF('TMP Paste'!$F114="","",IF('TMP Paste'!$O114="",$AN113,'TMP Paste'!$O114))</f>
        <v/>
      </c>
      <c r="AO114" t="str">
        <f>IF('TMP Paste'!$F114="","",IF('TMP Paste'!$P114="",$AO113,'TMP Paste'!$P114))</f>
        <v/>
      </c>
      <c r="AP114" t="str">
        <f t="shared" si="11"/>
        <v/>
      </c>
      <c r="AQ114" t="str">
        <f>IF($AS114="","",TRIM(IF(COUNTIFS(Calc!$B$2:$B$1601,ROW()-1,Calc!$C$2:$C$1601,"&lt;1")&gt;0,"Ada PO tanpa Koli - cek TMP. ","")&amp;IF(OR($AU114="",$AU114&lt;=0),"Volume kosong/0 - dimensi dikosongkan. ","")&amp;IF(AND($AU114&lt;&gt;"",$AU114&gt;=1000000),"Volume &gt;= 1.000.000 cm3 (di luar aturan) - dimensi dikosongkan. ","")&amp;IF(LEN($R114)&gt;500,"R &gt; 500 karakter.","")))</f>
        <v/>
      </c>
      <c r="AS114" t="str">
        <f>IFERROR(MATCH(ROW()-1,Calc!$J$2:$J$1601,0),"")</f>
        <v/>
      </c>
      <c r="AT114" t="str">
        <f>IFERROR(MATCH(ROW()-1,Calc!$K$2:$K$1601,0),"")</f>
        <v/>
      </c>
      <c r="AU114" t="str">
        <f>IF($AS114="","",IFERROR(INDEX('TMP Paste'!$D$2:$D$1601,$AS114)*1000000/$AB114,""))</f>
        <v/>
      </c>
    </row>
    <row r="115" spans="1:47">
      <c r="A115" t="str">
        <f>IF($AS115="","",INDEX('TMP Paste'!$B$2:$B$1601,$AS115))</f>
        <v/>
      </c>
      <c r="B115" t="str">
        <f>IF($AS115="","",Config!$B$14)</f>
        <v/>
      </c>
      <c r="C115" t="str">
        <f>IF($AS115="","",Config!$B$15)</f>
        <v/>
      </c>
      <c r="D115" t="str">
        <f>IF($AS115="","",INDEX('TMP Paste'!$B$2:$B$1601,$AS115))</f>
        <v/>
      </c>
      <c r="E115" t="str">
        <f>IF($AS115="","",Config!$B$27)</f>
        <v/>
      </c>
      <c r="F115" t="str">
        <f>IF($AS115="","",Config!$B$9)</f>
        <v/>
      </c>
      <c r="G115" t="str">
        <f>IF($AS115="","",Config!$B$10)</f>
        <v/>
      </c>
      <c r="H115" t="str">
        <f>IF($AS115="","",Config!$B$11)</f>
        <v/>
      </c>
      <c r="I115" t="str">
        <f>IF($AS115="","",Config!$B$16)</f>
        <v/>
      </c>
      <c r="J115" t="str">
        <f>IF($AS115="","",INDEX('TMP Paste'!$A$2:$A$1601,$AS115))</f>
        <v/>
      </c>
      <c r="K115" t="str">
        <f>IF($AS115="","",INDEX('TMP Paste'!$L$2:$L$1601,$AS115))</f>
        <v/>
      </c>
      <c r="L115" t="str">
        <f>IF($AS115="","",INDEX('TMP Paste'!$I$2:$I$1601,$AS115))</f>
        <v/>
      </c>
      <c r="M115" t="str">
        <f>IF($AS115="","",Config!$B$16)</f>
        <v/>
      </c>
      <c r="N115" t="str">
        <f t="shared" si="6"/>
        <v/>
      </c>
      <c r="O115" t="str">
        <f>IF($AS115="","",INDEX('TMP Paste'!$K$2:$K$1601,$AS115))</f>
        <v/>
      </c>
      <c r="P115" t="str">
        <f t="shared" si="7"/>
        <v/>
      </c>
      <c r="Q115" t="str">
        <f>IF($AS115="","",INDEX('TMP Paste'!$J$2:$J$1601,$AS115))</f>
        <v/>
      </c>
      <c r="R115" t="str">
        <f>IF($AS115="","",Config!$B$24)</f>
        <v/>
      </c>
      <c r="S115" t="str">
        <f ca="1">IF($AS115="","",TEXT(Config!$B$4,"yyyy-mm-dd"))</f>
        <v/>
      </c>
      <c r="T115" t="str">
        <f>IF($AS115="","",Config!$B$17)</f>
        <v/>
      </c>
      <c r="U115" t="str">
        <f>IF($AS115="","",Config!$B$18)</f>
        <v/>
      </c>
      <c r="V115" t="str">
        <f>IF($AS115="","",Config!$B$19)</f>
        <v/>
      </c>
      <c r="W115" t="str">
        <f>IF($AS115="","",INDEX('TMP Paste'!$C$2:$C$1601,$AS115))</f>
        <v/>
      </c>
      <c r="X115" t="str">
        <f>IF($AS115="","",Config!$B$29)</f>
        <v/>
      </c>
      <c r="Y115" t="str">
        <f>IF($AT115="","",INDEX(Calc!$I$2:$I$1601,$AT115)&amp;" - "&amp;INDEX(Calc!$D$2:$D$1601,$AT115)&amp;" koli")</f>
        <v/>
      </c>
      <c r="Z115" t="str">
        <f>IF($AS115="","",Config!$B$21)</f>
        <v/>
      </c>
      <c r="AA115" t="str">
        <f>IF($AS115="","",Config!$B$22)</f>
        <v/>
      </c>
      <c r="AB115" t="str">
        <f>IF($AT115="","",INDEX(Calc!$D$2:$D$1601,$AT115))</f>
        <v/>
      </c>
      <c r="AC115" t="str">
        <f>IF($AT115="","",INDEX(Calc!$G$2:$G$1601,$AT115))</f>
        <v/>
      </c>
      <c r="AD115" t="str">
        <f>IF($AS115="","",Config!$B$23)</f>
        <v/>
      </c>
      <c r="AE115" t="str">
        <f>IF($AS115="","",Config!$B$28)</f>
        <v/>
      </c>
      <c r="AF115" t="str">
        <f t="shared" si="8"/>
        <v/>
      </c>
      <c r="AG115" t="str">
        <f t="shared" si="9"/>
        <v/>
      </c>
      <c r="AH115" t="str">
        <f t="shared" si="10"/>
        <v/>
      </c>
      <c r="AI115" t="str">
        <f>IF($AG115="","",SUMIF($AG$2:$AG115,$AG115,$AH$2:$AH115))</f>
        <v/>
      </c>
      <c r="AJ115" t="str">
        <f>IF('TMP Paste'!$F115="","",IF('TMP Paste'!$B115="",$AJ114,'TMP Paste'!$B115))</f>
        <v/>
      </c>
      <c r="AK115" t="str">
        <f>IF('TMP Paste'!$F115="","",N('TMP Paste'!$G115))</f>
        <v/>
      </c>
      <c r="AL115" t="str">
        <f>IF('TMP Paste'!$F115="","",IF('TMP Paste'!$M115="",$AL114,'TMP Paste'!$M115))</f>
        <v/>
      </c>
      <c r="AM115" t="str">
        <f>IF('TMP Paste'!$F115="","",IF('TMP Paste'!$N115="",$AM114,'TMP Paste'!$N115))</f>
        <v/>
      </c>
      <c r="AN115" t="str">
        <f>IF('TMP Paste'!$F115="","",IF('TMP Paste'!$O115="",$AN114,'TMP Paste'!$O115))</f>
        <v/>
      </c>
      <c r="AO115" t="str">
        <f>IF('TMP Paste'!$F115="","",IF('TMP Paste'!$P115="",$AO114,'TMP Paste'!$P115))</f>
        <v/>
      </c>
      <c r="AP115" t="str">
        <f t="shared" si="11"/>
        <v/>
      </c>
      <c r="AQ115" t="str">
        <f>IF($AS115="","",TRIM(IF(COUNTIFS(Calc!$B$2:$B$1601,ROW()-1,Calc!$C$2:$C$1601,"&lt;1")&gt;0,"Ada PO tanpa Koli - cek TMP. ","")&amp;IF(OR($AU115="",$AU115&lt;=0),"Volume kosong/0 - dimensi dikosongkan. ","")&amp;IF(AND($AU115&lt;&gt;"",$AU115&gt;=1000000),"Volume &gt;= 1.000.000 cm3 (di luar aturan) - dimensi dikosongkan. ","")&amp;IF(LEN($R115)&gt;500,"R &gt; 500 karakter.","")))</f>
        <v/>
      </c>
      <c r="AS115" t="str">
        <f>IFERROR(MATCH(ROW()-1,Calc!$J$2:$J$1601,0),"")</f>
        <v/>
      </c>
      <c r="AT115" t="str">
        <f>IFERROR(MATCH(ROW()-1,Calc!$K$2:$K$1601,0),"")</f>
        <v/>
      </c>
      <c r="AU115" t="str">
        <f>IF($AS115="","",IFERROR(INDEX('TMP Paste'!$D$2:$D$1601,$AS115)*1000000/$AB115,""))</f>
        <v/>
      </c>
    </row>
    <row r="116" spans="1:47">
      <c r="A116" t="str">
        <f>IF($AS116="","",INDEX('TMP Paste'!$B$2:$B$1601,$AS116))</f>
        <v/>
      </c>
      <c r="B116" t="str">
        <f>IF($AS116="","",Config!$B$14)</f>
        <v/>
      </c>
      <c r="C116" t="str">
        <f>IF($AS116="","",Config!$B$15)</f>
        <v/>
      </c>
      <c r="D116" t="str">
        <f>IF($AS116="","",INDEX('TMP Paste'!$B$2:$B$1601,$AS116))</f>
        <v/>
      </c>
      <c r="E116" t="str">
        <f>IF($AS116="","",Config!$B$27)</f>
        <v/>
      </c>
      <c r="F116" t="str">
        <f>IF($AS116="","",Config!$B$9)</f>
        <v/>
      </c>
      <c r="G116" t="str">
        <f>IF($AS116="","",Config!$B$10)</f>
        <v/>
      </c>
      <c r="H116" t="str">
        <f>IF($AS116="","",Config!$B$11)</f>
        <v/>
      </c>
      <c r="I116" t="str">
        <f>IF($AS116="","",Config!$B$16)</f>
        <v/>
      </c>
      <c r="J116" t="str">
        <f>IF($AS116="","",INDEX('TMP Paste'!$A$2:$A$1601,$AS116))</f>
        <v/>
      </c>
      <c r="K116" t="str">
        <f>IF($AS116="","",INDEX('TMP Paste'!$L$2:$L$1601,$AS116))</f>
        <v/>
      </c>
      <c r="L116" t="str">
        <f>IF($AS116="","",INDEX('TMP Paste'!$I$2:$I$1601,$AS116))</f>
        <v/>
      </c>
      <c r="M116" t="str">
        <f>IF($AS116="","",Config!$B$16)</f>
        <v/>
      </c>
      <c r="N116" t="str">
        <f t="shared" si="6"/>
        <v/>
      </c>
      <c r="O116" t="str">
        <f>IF($AS116="","",INDEX('TMP Paste'!$K$2:$K$1601,$AS116))</f>
        <v/>
      </c>
      <c r="P116" t="str">
        <f t="shared" si="7"/>
        <v/>
      </c>
      <c r="Q116" t="str">
        <f>IF($AS116="","",INDEX('TMP Paste'!$J$2:$J$1601,$AS116))</f>
        <v/>
      </c>
      <c r="R116" t="str">
        <f>IF($AS116="","",Config!$B$24)</f>
        <v/>
      </c>
      <c r="S116" t="str">
        <f ca="1">IF($AS116="","",TEXT(Config!$B$4,"yyyy-mm-dd"))</f>
        <v/>
      </c>
      <c r="T116" t="str">
        <f>IF($AS116="","",Config!$B$17)</f>
        <v/>
      </c>
      <c r="U116" t="str">
        <f>IF($AS116="","",Config!$B$18)</f>
        <v/>
      </c>
      <c r="V116" t="str">
        <f>IF($AS116="","",Config!$B$19)</f>
        <v/>
      </c>
      <c r="W116" t="str">
        <f>IF($AS116="","",INDEX('TMP Paste'!$C$2:$C$1601,$AS116))</f>
        <v/>
      </c>
      <c r="X116" t="str">
        <f>IF($AS116="","",Config!$B$29)</f>
        <v/>
      </c>
      <c r="Y116" t="str">
        <f>IF($AT116="","",INDEX(Calc!$I$2:$I$1601,$AT116)&amp;" - "&amp;INDEX(Calc!$D$2:$D$1601,$AT116)&amp;" koli")</f>
        <v/>
      </c>
      <c r="Z116" t="str">
        <f>IF($AS116="","",Config!$B$21)</f>
        <v/>
      </c>
      <c r="AA116" t="str">
        <f>IF($AS116="","",Config!$B$22)</f>
        <v/>
      </c>
      <c r="AB116" t="str">
        <f>IF($AT116="","",INDEX(Calc!$D$2:$D$1601,$AT116))</f>
        <v/>
      </c>
      <c r="AC116" t="str">
        <f>IF($AT116="","",INDEX(Calc!$G$2:$G$1601,$AT116))</f>
        <v/>
      </c>
      <c r="AD116" t="str">
        <f>IF($AS116="","",Config!$B$23)</f>
        <v/>
      </c>
      <c r="AE116" t="str">
        <f>IF($AS116="","",Config!$B$28)</f>
        <v/>
      </c>
      <c r="AF116" t="str">
        <f t="shared" si="8"/>
        <v/>
      </c>
      <c r="AG116" t="str">
        <f t="shared" si="9"/>
        <v/>
      </c>
      <c r="AH116" t="str">
        <f t="shared" si="10"/>
        <v/>
      </c>
      <c r="AI116" t="str">
        <f>IF($AG116="","",SUMIF($AG$2:$AG116,$AG116,$AH$2:$AH116))</f>
        <v/>
      </c>
      <c r="AJ116" t="str">
        <f>IF('TMP Paste'!$F116="","",IF('TMP Paste'!$B116="",$AJ115,'TMP Paste'!$B116))</f>
        <v>AWB02WJJL</v>
      </c>
      <c r="AK116">
        <f>IF('TMP Paste'!$F116="","",N('TMP Paste'!$G116))</f>
        <v>0</v>
      </c>
      <c r="AL116">
        <f>IF('TMP Paste'!$F116="","",IF('TMP Paste'!$M116="",$AL115,'TMP Paste'!$M116))</f>
        <v>1</v>
      </c>
      <c r="AM116" t="str">
        <f>IF('TMP Paste'!$F116="","",IF('TMP Paste'!$N116="",$AM115,'TMP Paste'!$N116))</f>
        <v/>
      </c>
      <c r="AN116" t="str">
        <f>IF('TMP Paste'!$F116="","",IF('TMP Paste'!$O116="",$AN115,'TMP Paste'!$O116))</f>
        <v/>
      </c>
      <c r="AO116" t="str">
        <f>IF('TMP Paste'!$F116="","",IF('TMP Paste'!$P116="",$AO115,'TMP Paste'!$P116))</f>
        <v/>
      </c>
      <c r="AP116" t="str">
        <f t="shared" si="11"/>
        <v/>
      </c>
      <c r="AQ116" t="str">
        <f>IF($AS116="","",TRIM(IF(COUNTIFS(Calc!$B$2:$B$1601,ROW()-1,Calc!$C$2:$C$1601,"&lt;1")&gt;0,"Ada PO tanpa Koli - cek TMP. ","")&amp;IF(OR($AU116="",$AU116&lt;=0),"Volume kosong/0 - dimensi dikosongkan. ","")&amp;IF(AND($AU116&lt;&gt;"",$AU116&gt;=1000000),"Volume &gt;= 1.000.000 cm3 (di luar aturan) - dimensi dikosongkan. ","")&amp;IF(LEN($R116)&gt;500,"R &gt; 500 karakter.","")))</f>
        <v/>
      </c>
      <c r="AS116" t="str">
        <f>IFERROR(MATCH(ROW()-1,Calc!$J$2:$J$1601,0),"")</f>
        <v/>
      </c>
      <c r="AT116" t="str">
        <f>IFERROR(MATCH(ROW()-1,Calc!$K$2:$K$1601,0),"")</f>
        <v/>
      </c>
      <c r="AU116" t="str">
        <f>IF($AS116="","",IFERROR(INDEX('TMP Paste'!$D$2:$D$1601,$AS116)*1000000/$AB116,""))</f>
        <v/>
      </c>
    </row>
    <row r="117" spans="1:47">
      <c r="A117" t="str">
        <f>IF($AS117="","",INDEX('TMP Paste'!$B$2:$B$1601,$AS117))</f>
        <v/>
      </c>
      <c r="B117" t="str">
        <f>IF($AS117="","",Config!$B$14)</f>
        <v/>
      </c>
      <c r="C117" t="str">
        <f>IF($AS117="","",Config!$B$15)</f>
        <v/>
      </c>
      <c r="D117" t="str">
        <f>IF($AS117="","",INDEX('TMP Paste'!$B$2:$B$1601,$AS117))</f>
        <v/>
      </c>
      <c r="E117" t="str">
        <f>IF($AS117="","",Config!$B$27)</f>
        <v/>
      </c>
      <c r="F117" t="str">
        <f>IF($AS117="","",Config!$B$9)</f>
        <v/>
      </c>
      <c r="G117" t="str">
        <f>IF($AS117="","",Config!$B$10)</f>
        <v/>
      </c>
      <c r="H117" t="str">
        <f>IF($AS117="","",Config!$B$11)</f>
        <v/>
      </c>
      <c r="I117" t="str">
        <f>IF($AS117="","",Config!$B$16)</f>
        <v/>
      </c>
      <c r="J117" t="str">
        <f>IF($AS117="","",INDEX('TMP Paste'!$A$2:$A$1601,$AS117))</f>
        <v/>
      </c>
      <c r="K117" t="str">
        <f>IF($AS117="","",INDEX('TMP Paste'!$L$2:$L$1601,$AS117))</f>
        <v/>
      </c>
      <c r="L117" t="str">
        <f>IF($AS117="","",INDEX('TMP Paste'!$I$2:$I$1601,$AS117))</f>
        <v/>
      </c>
      <c r="M117" t="str">
        <f>IF($AS117="","",Config!$B$16)</f>
        <v/>
      </c>
      <c r="N117" t="str">
        <f t="shared" si="6"/>
        <v/>
      </c>
      <c r="O117" t="str">
        <f>IF($AS117="","",INDEX('TMP Paste'!$K$2:$K$1601,$AS117))</f>
        <v/>
      </c>
      <c r="P117" t="str">
        <f t="shared" si="7"/>
        <v/>
      </c>
      <c r="Q117" t="str">
        <f>IF($AS117="","",INDEX('TMP Paste'!$J$2:$J$1601,$AS117))</f>
        <v/>
      </c>
      <c r="R117" t="str">
        <f>IF($AS117="","",Config!$B$24)</f>
        <v/>
      </c>
      <c r="S117" t="str">
        <f ca="1">IF($AS117="","",TEXT(Config!$B$4,"yyyy-mm-dd"))</f>
        <v/>
      </c>
      <c r="T117" t="str">
        <f>IF($AS117="","",Config!$B$17)</f>
        <v/>
      </c>
      <c r="U117" t="str">
        <f>IF($AS117="","",Config!$B$18)</f>
        <v/>
      </c>
      <c r="V117" t="str">
        <f>IF($AS117="","",Config!$B$19)</f>
        <v/>
      </c>
      <c r="W117" t="str">
        <f>IF($AS117="","",INDEX('TMP Paste'!$C$2:$C$1601,$AS117))</f>
        <v/>
      </c>
      <c r="X117" t="str">
        <f>IF($AS117="","",Config!$B$29)</f>
        <v/>
      </c>
      <c r="Y117" t="str">
        <f>IF($AT117="","",INDEX(Calc!$I$2:$I$1601,$AT117)&amp;" - "&amp;INDEX(Calc!$D$2:$D$1601,$AT117)&amp;" koli")</f>
        <v/>
      </c>
      <c r="Z117" t="str">
        <f>IF($AS117="","",Config!$B$21)</f>
        <v/>
      </c>
      <c r="AA117" t="str">
        <f>IF($AS117="","",Config!$B$22)</f>
        <v/>
      </c>
      <c r="AB117" t="str">
        <f>IF($AT117="","",INDEX(Calc!$D$2:$D$1601,$AT117))</f>
        <v/>
      </c>
      <c r="AC117" t="str">
        <f>IF($AT117="","",INDEX(Calc!$G$2:$G$1601,$AT117))</f>
        <v/>
      </c>
      <c r="AD117" t="str">
        <f>IF($AS117="","",Config!$B$23)</f>
        <v/>
      </c>
      <c r="AE117" t="str">
        <f>IF($AS117="","",Config!$B$28)</f>
        <v/>
      </c>
      <c r="AF117" t="str">
        <f t="shared" si="8"/>
        <v/>
      </c>
      <c r="AG117" t="str">
        <f t="shared" si="9"/>
        <v/>
      </c>
      <c r="AH117" t="str">
        <f t="shared" si="10"/>
        <v/>
      </c>
      <c r="AI117" t="str">
        <f>IF($AG117="","",SUMIF($AG$2:$AG117,$AG117,$AH$2:$AH117))</f>
        <v/>
      </c>
      <c r="AJ117" t="str">
        <f>IF('TMP Paste'!$F117="","",IF('TMP Paste'!$B117="",$AJ116,'TMP Paste'!$B117))</f>
        <v/>
      </c>
      <c r="AK117" t="str">
        <f>IF('TMP Paste'!$F117="","",N('TMP Paste'!$G117))</f>
        <v/>
      </c>
      <c r="AL117" t="str">
        <f>IF('TMP Paste'!$F117="","",IF('TMP Paste'!$M117="",$AL116,'TMP Paste'!$M117))</f>
        <v/>
      </c>
      <c r="AM117" t="str">
        <f>IF('TMP Paste'!$F117="","",IF('TMP Paste'!$N117="",$AM116,'TMP Paste'!$N117))</f>
        <v/>
      </c>
      <c r="AN117" t="str">
        <f>IF('TMP Paste'!$F117="","",IF('TMP Paste'!$O117="",$AN116,'TMP Paste'!$O117))</f>
        <v/>
      </c>
      <c r="AO117" t="str">
        <f>IF('TMP Paste'!$F117="","",IF('TMP Paste'!$P117="",$AO116,'TMP Paste'!$P117))</f>
        <v/>
      </c>
      <c r="AP117" t="str">
        <f t="shared" si="11"/>
        <v/>
      </c>
      <c r="AQ117" t="str">
        <f>IF($AS117="","",TRIM(IF(COUNTIFS(Calc!$B$2:$B$1601,ROW()-1,Calc!$C$2:$C$1601,"&lt;1")&gt;0,"Ada PO tanpa Koli - cek TMP. ","")&amp;IF(OR($AU117="",$AU117&lt;=0),"Volume kosong/0 - dimensi dikosongkan. ","")&amp;IF(AND($AU117&lt;&gt;"",$AU117&gt;=1000000),"Volume &gt;= 1.000.000 cm3 (di luar aturan) - dimensi dikosongkan. ","")&amp;IF(LEN($R117)&gt;500,"R &gt; 500 karakter.","")))</f>
        <v/>
      </c>
      <c r="AS117" t="str">
        <f>IFERROR(MATCH(ROW()-1,Calc!$J$2:$J$1601,0),"")</f>
        <v/>
      </c>
      <c r="AT117" t="str">
        <f>IFERROR(MATCH(ROW()-1,Calc!$K$2:$K$1601,0),"")</f>
        <v/>
      </c>
      <c r="AU117" t="str">
        <f>IF($AS117="","",IFERROR(INDEX('TMP Paste'!$D$2:$D$1601,$AS117)*1000000/$AB117,""))</f>
        <v/>
      </c>
    </row>
    <row r="118" spans="1:47">
      <c r="A118" t="str">
        <f>IF($AS118="","",INDEX('TMP Paste'!$B$2:$B$1601,$AS118))</f>
        <v/>
      </c>
      <c r="B118" t="str">
        <f>IF($AS118="","",Config!$B$14)</f>
        <v/>
      </c>
      <c r="C118" t="str">
        <f>IF($AS118="","",Config!$B$15)</f>
        <v/>
      </c>
      <c r="D118" t="str">
        <f>IF($AS118="","",INDEX('TMP Paste'!$B$2:$B$1601,$AS118))</f>
        <v/>
      </c>
      <c r="E118" t="str">
        <f>IF($AS118="","",Config!$B$27)</f>
        <v/>
      </c>
      <c r="F118" t="str">
        <f>IF($AS118="","",Config!$B$9)</f>
        <v/>
      </c>
      <c r="G118" t="str">
        <f>IF($AS118="","",Config!$B$10)</f>
        <v/>
      </c>
      <c r="H118" t="str">
        <f>IF($AS118="","",Config!$B$11)</f>
        <v/>
      </c>
      <c r="I118" t="str">
        <f>IF($AS118="","",Config!$B$16)</f>
        <v/>
      </c>
      <c r="J118" t="str">
        <f>IF($AS118="","",INDEX('TMP Paste'!$A$2:$A$1601,$AS118))</f>
        <v/>
      </c>
      <c r="K118" t="str">
        <f>IF($AS118="","",INDEX('TMP Paste'!$L$2:$L$1601,$AS118))</f>
        <v/>
      </c>
      <c r="L118" t="str">
        <f>IF($AS118="","",INDEX('TMP Paste'!$I$2:$I$1601,$AS118))</f>
        <v/>
      </c>
      <c r="M118" t="str">
        <f>IF($AS118="","",Config!$B$16)</f>
        <v/>
      </c>
      <c r="N118" t="str">
        <f t="shared" si="6"/>
        <v/>
      </c>
      <c r="O118" t="str">
        <f>IF($AS118="","",INDEX('TMP Paste'!$K$2:$K$1601,$AS118))</f>
        <v/>
      </c>
      <c r="P118" t="str">
        <f t="shared" si="7"/>
        <v/>
      </c>
      <c r="Q118" t="str">
        <f>IF($AS118="","",INDEX('TMP Paste'!$J$2:$J$1601,$AS118))</f>
        <v/>
      </c>
      <c r="R118" t="str">
        <f>IF($AS118="","",Config!$B$24)</f>
        <v/>
      </c>
      <c r="S118" t="str">
        <f ca="1">IF($AS118="","",TEXT(Config!$B$4,"yyyy-mm-dd"))</f>
        <v/>
      </c>
      <c r="T118" t="str">
        <f>IF($AS118="","",Config!$B$17)</f>
        <v/>
      </c>
      <c r="U118" t="str">
        <f>IF($AS118="","",Config!$B$18)</f>
        <v/>
      </c>
      <c r="V118" t="str">
        <f>IF($AS118="","",Config!$B$19)</f>
        <v/>
      </c>
      <c r="W118" t="str">
        <f>IF($AS118="","",INDEX('TMP Paste'!$C$2:$C$1601,$AS118))</f>
        <v/>
      </c>
      <c r="X118" t="str">
        <f>IF($AS118="","",Config!$B$29)</f>
        <v/>
      </c>
      <c r="Y118" t="str">
        <f>IF($AT118="","",INDEX(Calc!$I$2:$I$1601,$AT118)&amp;" - "&amp;INDEX(Calc!$D$2:$D$1601,$AT118)&amp;" koli")</f>
        <v/>
      </c>
      <c r="Z118" t="str">
        <f>IF($AS118="","",Config!$B$21)</f>
        <v/>
      </c>
      <c r="AA118" t="str">
        <f>IF($AS118="","",Config!$B$22)</f>
        <v/>
      </c>
      <c r="AB118" t="str">
        <f>IF($AT118="","",INDEX(Calc!$D$2:$D$1601,$AT118))</f>
        <v/>
      </c>
      <c r="AC118" t="str">
        <f>IF($AT118="","",INDEX(Calc!$G$2:$G$1601,$AT118))</f>
        <v/>
      </c>
      <c r="AD118" t="str">
        <f>IF($AS118="","",Config!$B$23)</f>
        <v/>
      </c>
      <c r="AE118" t="str">
        <f>IF($AS118="","",Config!$B$28)</f>
        <v/>
      </c>
      <c r="AF118" t="str">
        <f t="shared" si="8"/>
        <v/>
      </c>
      <c r="AG118" t="str">
        <f t="shared" si="9"/>
        <v/>
      </c>
      <c r="AH118" t="str">
        <f t="shared" si="10"/>
        <v/>
      </c>
      <c r="AI118" t="str">
        <f>IF($AG118="","",SUMIF($AG$2:$AG118,$AG118,$AH$2:$AH118))</f>
        <v/>
      </c>
      <c r="AJ118" t="str">
        <f>IF('TMP Paste'!$F118="","",IF('TMP Paste'!$B118="",$AJ117,'TMP Paste'!$B118))</f>
        <v>AWB02WG7D</v>
      </c>
      <c r="AK118">
        <f>IF('TMP Paste'!$F118="","",N('TMP Paste'!$G118))</f>
        <v>0</v>
      </c>
      <c r="AL118">
        <f>IF('TMP Paste'!$F118="","",IF('TMP Paste'!$M118="",$AL117,'TMP Paste'!$M118))</f>
        <v>1</v>
      </c>
      <c r="AM118" t="str">
        <f>IF('TMP Paste'!$F118="","",IF('TMP Paste'!$N118="",$AM117,'TMP Paste'!$N118))</f>
        <v/>
      </c>
      <c r="AN118" t="str">
        <f>IF('TMP Paste'!$F118="","",IF('TMP Paste'!$O118="",$AN117,'TMP Paste'!$O118))</f>
        <v/>
      </c>
      <c r="AO118" t="str">
        <f>IF('TMP Paste'!$F118="","",IF('TMP Paste'!$P118="",$AO117,'TMP Paste'!$P118))</f>
        <v/>
      </c>
      <c r="AP118" t="str">
        <f t="shared" si="11"/>
        <v/>
      </c>
      <c r="AQ118" t="str">
        <f>IF($AS118="","",TRIM(IF(COUNTIFS(Calc!$B$2:$B$1601,ROW()-1,Calc!$C$2:$C$1601,"&lt;1")&gt;0,"Ada PO tanpa Koli - cek TMP. ","")&amp;IF(OR($AU118="",$AU118&lt;=0),"Volume kosong/0 - dimensi dikosongkan. ","")&amp;IF(AND($AU118&lt;&gt;"",$AU118&gt;=1000000),"Volume &gt;= 1.000.000 cm3 (di luar aturan) - dimensi dikosongkan. ","")&amp;IF(LEN($R118)&gt;500,"R &gt; 500 karakter.","")))</f>
        <v/>
      </c>
      <c r="AS118" t="str">
        <f>IFERROR(MATCH(ROW()-1,Calc!$J$2:$J$1601,0),"")</f>
        <v/>
      </c>
      <c r="AT118" t="str">
        <f>IFERROR(MATCH(ROW()-1,Calc!$K$2:$K$1601,0),"")</f>
        <v/>
      </c>
      <c r="AU118" t="str">
        <f>IF($AS118="","",IFERROR(INDEX('TMP Paste'!$D$2:$D$1601,$AS118)*1000000/$AB118,""))</f>
        <v/>
      </c>
    </row>
    <row r="119" spans="1:47">
      <c r="A119" t="str">
        <f>IF($AS119="","",INDEX('TMP Paste'!$B$2:$B$1601,$AS119))</f>
        <v/>
      </c>
      <c r="B119" t="str">
        <f>IF($AS119="","",Config!$B$14)</f>
        <v/>
      </c>
      <c r="C119" t="str">
        <f>IF($AS119="","",Config!$B$15)</f>
        <v/>
      </c>
      <c r="D119" t="str">
        <f>IF($AS119="","",INDEX('TMP Paste'!$B$2:$B$1601,$AS119))</f>
        <v/>
      </c>
      <c r="E119" t="str">
        <f>IF($AS119="","",Config!$B$27)</f>
        <v/>
      </c>
      <c r="F119" t="str">
        <f>IF($AS119="","",Config!$B$9)</f>
        <v/>
      </c>
      <c r="G119" t="str">
        <f>IF($AS119="","",Config!$B$10)</f>
        <v/>
      </c>
      <c r="H119" t="str">
        <f>IF($AS119="","",Config!$B$11)</f>
        <v/>
      </c>
      <c r="I119" t="str">
        <f>IF($AS119="","",Config!$B$16)</f>
        <v/>
      </c>
      <c r="J119" t="str">
        <f>IF($AS119="","",INDEX('TMP Paste'!$A$2:$A$1601,$AS119))</f>
        <v/>
      </c>
      <c r="K119" t="str">
        <f>IF($AS119="","",INDEX('TMP Paste'!$L$2:$L$1601,$AS119))</f>
        <v/>
      </c>
      <c r="L119" t="str">
        <f>IF($AS119="","",INDEX('TMP Paste'!$I$2:$I$1601,$AS119))</f>
        <v/>
      </c>
      <c r="M119" t="str">
        <f>IF($AS119="","",Config!$B$16)</f>
        <v/>
      </c>
      <c r="N119" t="str">
        <f t="shared" si="6"/>
        <v/>
      </c>
      <c r="O119" t="str">
        <f>IF($AS119="","",INDEX('TMP Paste'!$K$2:$K$1601,$AS119))</f>
        <v/>
      </c>
      <c r="P119" t="str">
        <f t="shared" si="7"/>
        <v/>
      </c>
      <c r="Q119" t="str">
        <f>IF($AS119="","",INDEX('TMP Paste'!$J$2:$J$1601,$AS119))</f>
        <v/>
      </c>
      <c r="R119" t="str">
        <f>IF($AS119="","",Config!$B$24)</f>
        <v/>
      </c>
      <c r="S119" t="str">
        <f ca="1">IF($AS119="","",TEXT(Config!$B$4,"yyyy-mm-dd"))</f>
        <v/>
      </c>
      <c r="T119" t="str">
        <f>IF($AS119="","",Config!$B$17)</f>
        <v/>
      </c>
      <c r="U119" t="str">
        <f>IF($AS119="","",Config!$B$18)</f>
        <v/>
      </c>
      <c r="V119" t="str">
        <f>IF($AS119="","",Config!$B$19)</f>
        <v/>
      </c>
      <c r="W119" t="str">
        <f>IF($AS119="","",INDEX('TMP Paste'!$C$2:$C$1601,$AS119))</f>
        <v/>
      </c>
      <c r="X119" t="str">
        <f>IF($AS119="","",Config!$B$29)</f>
        <v/>
      </c>
      <c r="Y119" t="str">
        <f>IF($AT119="","",INDEX(Calc!$I$2:$I$1601,$AT119)&amp;" - "&amp;INDEX(Calc!$D$2:$D$1601,$AT119)&amp;" koli")</f>
        <v/>
      </c>
      <c r="Z119" t="str">
        <f>IF($AS119="","",Config!$B$21)</f>
        <v/>
      </c>
      <c r="AA119" t="str">
        <f>IF($AS119="","",Config!$B$22)</f>
        <v/>
      </c>
      <c r="AB119" t="str">
        <f>IF($AT119="","",INDEX(Calc!$D$2:$D$1601,$AT119))</f>
        <v/>
      </c>
      <c r="AC119" t="str">
        <f>IF($AT119="","",INDEX(Calc!$G$2:$G$1601,$AT119))</f>
        <v/>
      </c>
      <c r="AD119" t="str">
        <f>IF($AS119="","",Config!$B$23)</f>
        <v/>
      </c>
      <c r="AE119" t="str">
        <f>IF($AS119="","",Config!$B$28)</f>
        <v/>
      </c>
      <c r="AF119" t="str">
        <f t="shared" si="8"/>
        <v/>
      </c>
      <c r="AG119" t="str">
        <f t="shared" si="9"/>
        <v/>
      </c>
      <c r="AH119" t="str">
        <f t="shared" si="10"/>
        <v/>
      </c>
      <c r="AI119" t="str">
        <f>IF($AG119="","",SUMIF($AG$2:$AG119,$AG119,$AH$2:$AH119))</f>
        <v/>
      </c>
      <c r="AJ119" t="str">
        <f>IF('TMP Paste'!$F119="","",IF('TMP Paste'!$B119="",$AJ118,'TMP Paste'!$B119))</f>
        <v/>
      </c>
      <c r="AK119" t="str">
        <f>IF('TMP Paste'!$F119="","",N('TMP Paste'!$G119))</f>
        <v/>
      </c>
      <c r="AL119" t="str">
        <f>IF('TMP Paste'!$F119="","",IF('TMP Paste'!$M119="",$AL118,'TMP Paste'!$M119))</f>
        <v/>
      </c>
      <c r="AM119" t="str">
        <f>IF('TMP Paste'!$F119="","",IF('TMP Paste'!$N119="",$AM118,'TMP Paste'!$N119))</f>
        <v/>
      </c>
      <c r="AN119" t="str">
        <f>IF('TMP Paste'!$F119="","",IF('TMP Paste'!$O119="",$AN118,'TMP Paste'!$O119))</f>
        <v/>
      </c>
      <c r="AO119" t="str">
        <f>IF('TMP Paste'!$F119="","",IF('TMP Paste'!$P119="",$AO118,'TMP Paste'!$P119))</f>
        <v/>
      </c>
      <c r="AP119" t="str">
        <f t="shared" si="11"/>
        <v/>
      </c>
      <c r="AQ119" t="str">
        <f>IF($AS119="","",TRIM(IF(COUNTIFS(Calc!$B$2:$B$1601,ROW()-1,Calc!$C$2:$C$1601,"&lt;1")&gt;0,"Ada PO tanpa Koli - cek TMP. ","")&amp;IF(OR($AU119="",$AU119&lt;=0),"Volume kosong/0 - dimensi dikosongkan. ","")&amp;IF(AND($AU119&lt;&gt;"",$AU119&gt;=1000000),"Volume &gt;= 1.000.000 cm3 (di luar aturan) - dimensi dikosongkan. ","")&amp;IF(LEN($R119)&gt;500,"R &gt; 500 karakter.","")))</f>
        <v/>
      </c>
      <c r="AS119" t="str">
        <f>IFERROR(MATCH(ROW()-1,Calc!$J$2:$J$1601,0),"")</f>
        <v/>
      </c>
      <c r="AT119" t="str">
        <f>IFERROR(MATCH(ROW()-1,Calc!$K$2:$K$1601,0),"")</f>
        <v/>
      </c>
      <c r="AU119" t="str">
        <f>IF($AS119="","",IFERROR(INDEX('TMP Paste'!$D$2:$D$1601,$AS119)*1000000/$AB119,""))</f>
        <v/>
      </c>
    </row>
    <row r="120" spans="1:47">
      <c r="A120" t="str">
        <f>IF($AS120="","",INDEX('TMP Paste'!$B$2:$B$1601,$AS120))</f>
        <v/>
      </c>
      <c r="B120" t="str">
        <f>IF($AS120="","",Config!$B$14)</f>
        <v/>
      </c>
      <c r="C120" t="str">
        <f>IF($AS120="","",Config!$B$15)</f>
        <v/>
      </c>
      <c r="D120" t="str">
        <f>IF($AS120="","",INDEX('TMP Paste'!$B$2:$B$1601,$AS120))</f>
        <v/>
      </c>
      <c r="E120" t="str">
        <f>IF($AS120="","",Config!$B$27)</f>
        <v/>
      </c>
      <c r="F120" t="str">
        <f>IF($AS120="","",Config!$B$9)</f>
        <v/>
      </c>
      <c r="G120" t="str">
        <f>IF($AS120="","",Config!$B$10)</f>
        <v/>
      </c>
      <c r="H120" t="str">
        <f>IF($AS120="","",Config!$B$11)</f>
        <v/>
      </c>
      <c r="I120" t="str">
        <f>IF($AS120="","",Config!$B$16)</f>
        <v/>
      </c>
      <c r="J120" t="str">
        <f>IF($AS120="","",INDEX('TMP Paste'!$A$2:$A$1601,$AS120))</f>
        <v/>
      </c>
      <c r="K120" t="str">
        <f>IF($AS120="","",INDEX('TMP Paste'!$L$2:$L$1601,$AS120))</f>
        <v/>
      </c>
      <c r="L120" t="str">
        <f>IF($AS120="","",INDEX('TMP Paste'!$I$2:$I$1601,$AS120))</f>
        <v/>
      </c>
      <c r="M120" t="str">
        <f>IF($AS120="","",Config!$B$16)</f>
        <v/>
      </c>
      <c r="N120" t="str">
        <f t="shared" si="6"/>
        <v/>
      </c>
      <c r="O120" t="str">
        <f>IF($AS120="","",INDEX('TMP Paste'!$K$2:$K$1601,$AS120))</f>
        <v/>
      </c>
      <c r="P120" t="str">
        <f t="shared" si="7"/>
        <v/>
      </c>
      <c r="Q120" t="str">
        <f>IF($AS120="","",INDEX('TMP Paste'!$J$2:$J$1601,$AS120))</f>
        <v/>
      </c>
      <c r="R120" t="str">
        <f>IF($AS120="","",Config!$B$24)</f>
        <v/>
      </c>
      <c r="S120" t="str">
        <f ca="1">IF($AS120="","",TEXT(Config!$B$4,"yyyy-mm-dd"))</f>
        <v/>
      </c>
      <c r="T120" t="str">
        <f>IF($AS120="","",Config!$B$17)</f>
        <v/>
      </c>
      <c r="U120" t="str">
        <f>IF($AS120="","",Config!$B$18)</f>
        <v/>
      </c>
      <c r="V120" t="str">
        <f>IF($AS120="","",Config!$B$19)</f>
        <v/>
      </c>
      <c r="W120" t="str">
        <f>IF($AS120="","",INDEX('TMP Paste'!$C$2:$C$1601,$AS120))</f>
        <v/>
      </c>
      <c r="X120" t="str">
        <f>IF($AS120="","",Config!$B$29)</f>
        <v/>
      </c>
      <c r="Y120" t="str">
        <f>IF($AT120="","",INDEX(Calc!$I$2:$I$1601,$AT120)&amp;" - "&amp;INDEX(Calc!$D$2:$D$1601,$AT120)&amp;" koli")</f>
        <v/>
      </c>
      <c r="Z120" t="str">
        <f>IF($AS120="","",Config!$B$21)</f>
        <v/>
      </c>
      <c r="AA120" t="str">
        <f>IF($AS120="","",Config!$B$22)</f>
        <v/>
      </c>
      <c r="AB120" t="str">
        <f>IF($AT120="","",INDEX(Calc!$D$2:$D$1601,$AT120))</f>
        <v/>
      </c>
      <c r="AC120" t="str">
        <f>IF($AT120="","",INDEX(Calc!$G$2:$G$1601,$AT120))</f>
        <v/>
      </c>
      <c r="AD120" t="str">
        <f>IF($AS120="","",Config!$B$23)</f>
        <v/>
      </c>
      <c r="AE120" t="str">
        <f>IF($AS120="","",Config!$B$28)</f>
        <v/>
      </c>
      <c r="AF120" t="str">
        <f t="shared" si="8"/>
        <v/>
      </c>
      <c r="AG120" t="str">
        <f t="shared" si="9"/>
        <v/>
      </c>
      <c r="AH120" t="str">
        <f t="shared" si="10"/>
        <v/>
      </c>
      <c r="AI120" t="str">
        <f>IF($AG120="","",SUMIF($AG$2:$AG120,$AG120,$AH$2:$AH120))</f>
        <v/>
      </c>
      <c r="AJ120" t="str">
        <f>IF('TMP Paste'!$F120="","",IF('TMP Paste'!$B120="",$AJ119,'TMP Paste'!$B120))</f>
        <v/>
      </c>
      <c r="AK120" t="str">
        <f>IF('TMP Paste'!$F120="","",N('TMP Paste'!$G120))</f>
        <v/>
      </c>
      <c r="AL120" t="str">
        <f>IF('TMP Paste'!$F120="","",IF('TMP Paste'!$M120="",$AL119,'TMP Paste'!$M120))</f>
        <v/>
      </c>
      <c r="AM120" t="str">
        <f>IF('TMP Paste'!$F120="","",IF('TMP Paste'!$N120="",$AM119,'TMP Paste'!$N120))</f>
        <v/>
      </c>
      <c r="AN120" t="str">
        <f>IF('TMP Paste'!$F120="","",IF('TMP Paste'!$O120="",$AN119,'TMP Paste'!$O120))</f>
        <v/>
      </c>
      <c r="AO120" t="str">
        <f>IF('TMP Paste'!$F120="","",IF('TMP Paste'!$P120="",$AO119,'TMP Paste'!$P120))</f>
        <v/>
      </c>
      <c r="AP120" t="str">
        <f t="shared" si="11"/>
        <v/>
      </c>
      <c r="AQ120" t="str">
        <f>IF($AS120="","",TRIM(IF(COUNTIFS(Calc!$B$2:$B$1601,ROW()-1,Calc!$C$2:$C$1601,"&lt;1")&gt;0,"Ada PO tanpa Koli - cek TMP. ","")&amp;IF(OR($AU120="",$AU120&lt;=0),"Volume kosong/0 - dimensi dikosongkan. ","")&amp;IF(AND($AU120&lt;&gt;"",$AU120&gt;=1000000),"Volume &gt;= 1.000.000 cm3 (di luar aturan) - dimensi dikosongkan. ","")&amp;IF(LEN($R120)&gt;500,"R &gt; 500 karakter.","")))</f>
        <v/>
      </c>
      <c r="AS120" t="str">
        <f>IFERROR(MATCH(ROW()-1,Calc!$J$2:$J$1601,0),"")</f>
        <v/>
      </c>
      <c r="AT120" t="str">
        <f>IFERROR(MATCH(ROW()-1,Calc!$K$2:$K$1601,0),"")</f>
        <v/>
      </c>
      <c r="AU120" t="str">
        <f>IF($AS120="","",IFERROR(INDEX('TMP Paste'!$D$2:$D$1601,$AS120)*1000000/$AB120,""))</f>
        <v/>
      </c>
    </row>
    <row r="121" spans="1:47">
      <c r="A121" t="str">
        <f>IF($AS121="","",INDEX('TMP Paste'!$B$2:$B$1601,$AS121))</f>
        <v/>
      </c>
      <c r="B121" t="str">
        <f>IF($AS121="","",Config!$B$14)</f>
        <v/>
      </c>
      <c r="C121" t="str">
        <f>IF($AS121="","",Config!$B$15)</f>
        <v/>
      </c>
      <c r="D121" t="str">
        <f>IF($AS121="","",INDEX('TMP Paste'!$B$2:$B$1601,$AS121))</f>
        <v/>
      </c>
      <c r="E121" t="str">
        <f>IF($AS121="","",Config!$B$27)</f>
        <v/>
      </c>
      <c r="F121" t="str">
        <f>IF($AS121="","",Config!$B$9)</f>
        <v/>
      </c>
      <c r="G121" t="str">
        <f>IF($AS121="","",Config!$B$10)</f>
        <v/>
      </c>
      <c r="H121" t="str">
        <f>IF($AS121="","",Config!$B$11)</f>
        <v/>
      </c>
      <c r="I121" t="str">
        <f>IF($AS121="","",Config!$B$16)</f>
        <v/>
      </c>
      <c r="J121" t="str">
        <f>IF($AS121="","",INDEX('TMP Paste'!$A$2:$A$1601,$AS121))</f>
        <v/>
      </c>
      <c r="K121" t="str">
        <f>IF($AS121="","",INDEX('TMP Paste'!$L$2:$L$1601,$AS121))</f>
        <v/>
      </c>
      <c r="L121" t="str">
        <f>IF($AS121="","",INDEX('TMP Paste'!$I$2:$I$1601,$AS121))</f>
        <v/>
      </c>
      <c r="M121" t="str">
        <f>IF($AS121="","",Config!$B$16)</f>
        <v/>
      </c>
      <c r="N121" t="str">
        <f t="shared" si="6"/>
        <v/>
      </c>
      <c r="O121" t="str">
        <f>IF($AS121="","",INDEX('TMP Paste'!$K$2:$K$1601,$AS121))</f>
        <v/>
      </c>
      <c r="P121" t="str">
        <f t="shared" si="7"/>
        <v/>
      </c>
      <c r="Q121" t="str">
        <f>IF($AS121="","",INDEX('TMP Paste'!$J$2:$J$1601,$AS121))</f>
        <v/>
      </c>
      <c r="R121" t="str">
        <f>IF($AS121="","",Config!$B$24)</f>
        <v/>
      </c>
      <c r="S121" t="str">
        <f ca="1">IF($AS121="","",TEXT(Config!$B$4,"yyyy-mm-dd"))</f>
        <v/>
      </c>
      <c r="T121" t="str">
        <f>IF($AS121="","",Config!$B$17)</f>
        <v/>
      </c>
      <c r="U121" t="str">
        <f>IF($AS121="","",Config!$B$18)</f>
        <v/>
      </c>
      <c r="V121" t="str">
        <f>IF($AS121="","",Config!$B$19)</f>
        <v/>
      </c>
      <c r="W121" t="str">
        <f>IF($AS121="","",INDEX('TMP Paste'!$C$2:$C$1601,$AS121))</f>
        <v/>
      </c>
      <c r="X121" t="str">
        <f>IF($AS121="","",Config!$B$29)</f>
        <v/>
      </c>
      <c r="Y121" t="str">
        <f>IF($AT121="","",INDEX(Calc!$I$2:$I$1601,$AT121)&amp;" - "&amp;INDEX(Calc!$D$2:$D$1601,$AT121)&amp;" koli")</f>
        <v/>
      </c>
      <c r="Z121" t="str">
        <f>IF($AS121="","",Config!$B$21)</f>
        <v/>
      </c>
      <c r="AA121" t="str">
        <f>IF($AS121="","",Config!$B$22)</f>
        <v/>
      </c>
      <c r="AB121" t="str">
        <f>IF($AT121="","",INDEX(Calc!$D$2:$D$1601,$AT121))</f>
        <v/>
      </c>
      <c r="AC121" t="str">
        <f>IF($AT121="","",INDEX(Calc!$G$2:$G$1601,$AT121))</f>
        <v/>
      </c>
      <c r="AD121" t="str">
        <f>IF($AS121="","",Config!$B$23)</f>
        <v/>
      </c>
      <c r="AE121" t="str">
        <f>IF($AS121="","",Config!$B$28)</f>
        <v/>
      </c>
      <c r="AF121" t="str">
        <f t="shared" si="8"/>
        <v/>
      </c>
      <c r="AG121" t="str">
        <f t="shared" si="9"/>
        <v/>
      </c>
      <c r="AH121" t="str">
        <f t="shared" si="10"/>
        <v/>
      </c>
      <c r="AI121" t="str">
        <f>IF($AG121="","",SUMIF($AG$2:$AG121,$AG121,$AH$2:$AH121))</f>
        <v/>
      </c>
      <c r="AJ121" t="str">
        <f>IF('TMP Paste'!$F121="","",IF('TMP Paste'!$B121="",$AJ120,'TMP Paste'!$B121))</f>
        <v>AWB02WJRJ</v>
      </c>
      <c r="AK121">
        <f>IF('TMP Paste'!$F121="","",N('TMP Paste'!$G121))</f>
        <v>0</v>
      </c>
      <c r="AL121">
        <f>IF('TMP Paste'!$F121="","",IF('TMP Paste'!$M121="",$AL120,'TMP Paste'!$M121))</f>
        <v>1</v>
      </c>
      <c r="AM121" t="str">
        <f>IF('TMP Paste'!$F121="","",IF('TMP Paste'!$N121="",$AM120,'TMP Paste'!$N121))</f>
        <v/>
      </c>
      <c r="AN121" t="str">
        <f>IF('TMP Paste'!$F121="","",IF('TMP Paste'!$O121="",$AN120,'TMP Paste'!$O121))</f>
        <v/>
      </c>
      <c r="AO121" t="str">
        <f>IF('TMP Paste'!$F121="","",IF('TMP Paste'!$P121="",$AO120,'TMP Paste'!$P121))</f>
        <v/>
      </c>
      <c r="AP121" t="str">
        <f t="shared" si="11"/>
        <v/>
      </c>
      <c r="AQ121" t="str">
        <f>IF($AS121="","",TRIM(IF(COUNTIFS(Calc!$B$2:$B$1601,ROW()-1,Calc!$C$2:$C$1601,"&lt;1")&gt;0,"Ada PO tanpa Koli - cek TMP. ","")&amp;IF(OR($AU121="",$AU121&lt;=0),"Volume kosong/0 - dimensi dikosongkan. ","")&amp;IF(AND($AU121&lt;&gt;"",$AU121&gt;=1000000),"Volume &gt;= 1.000.000 cm3 (di luar aturan) - dimensi dikosongkan. ","")&amp;IF(LEN($R121)&gt;500,"R &gt; 500 karakter.","")))</f>
        <v/>
      </c>
      <c r="AS121" t="str">
        <f>IFERROR(MATCH(ROW()-1,Calc!$J$2:$J$1601,0),"")</f>
        <v/>
      </c>
      <c r="AT121" t="str">
        <f>IFERROR(MATCH(ROW()-1,Calc!$K$2:$K$1601,0),"")</f>
        <v/>
      </c>
      <c r="AU121" t="str">
        <f>IF($AS121="","",IFERROR(INDEX('TMP Paste'!$D$2:$D$1601,$AS121)*1000000/$AB121,""))</f>
        <v/>
      </c>
    </row>
    <row r="122" spans="1:47">
      <c r="A122" t="str">
        <f>IF($AS122="","",INDEX('TMP Paste'!$B$2:$B$1601,$AS122))</f>
        <v/>
      </c>
      <c r="B122" t="str">
        <f>IF($AS122="","",Config!$B$14)</f>
        <v/>
      </c>
      <c r="C122" t="str">
        <f>IF($AS122="","",Config!$B$15)</f>
        <v/>
      </c>
      <c r="D122" t="str">
        <f>IF($AS122="","",INDEX('TMP Paste'!$B$2:$B$1601,$AS122))</f>
        <v/>
      </c>
      <c r="E122" t="str">
        <f>IF($AS122="","",Config!$B$27)</f>
        <v/>
      </c>
      <c r="F122" t="str">
        <f>IF($AS122="","",Config!$B$9)</f>
        <v/>
      </c>
      <c r="G122" t="str">
        <f>IF($AS122="","",Config!$B$10)</f>
        <v/>
      </c>
      <c r="H122" t="str">
        <f>IF($AS122="","",Config!$B$11)</f>
        <v/>
      </c>
      <c r="I122" t="str">
        <f>IF($AS122="","",Config!$B$16)</f>
        <v/>
      </c>
      <c r="J122" t="str">
        <f>IF($AS122="","",INDEX('TMP Paste'!$A$2:$A$1601,$AS122))</f>
        <v/>
      </c>
      <c r="K122" t="str">
        <f>IF($AS122="","",INDEX('TMP Paste'!$L$2:$L$1601,$AS122))</f>
        <v/>
      </c>
      <c r="L122" t="str">
        <f>IF($AS122="","",INDEX('TMP Paste'!$I$2:$I$1601,$AS122))</f>
        <v/>
      </c>
      <c r="M122" t="str">
        <f>IF($AS122="","",Config!$B$16)</f>
        <v/>
      </c>
      <c r="N122" t="str">
        <f t="shared" si="6"/>
        <v/>
      </c>
      <c r="O122" t="str">
        <f>IF($AS122="","",INDEX('TMP Paste'!$K$2:$K$1601,$AS122))</f>
        <v/>
      </c>
      <c r="P122" t="str">
        <f t="shared" si="7"/>
        <v/>
      </c>
      <c r="Q122" t="str">
        <f>IF($AS122="","",INDEX('TMP Paste'!$J$2:$J$1601,$AS122))</f>
        <v/>
      </c>
      <c r="R122" t="str">
        <f>IF($AS122="","",Config!$B$24)</f>
        <v/>
      </c>
      <c r="S122" t="str">
        <f ca="1">IF($AS122="","",TEXT(Config!$B$4,"yyyy-mm-dd"))</f>
        <v/>
      </c>
      <c r="T122" t="str">
        <f>IF($AS122="","",Config!$B$17)</f>
        <v/>
      </c>
      <c r="U122" t="str">
        <f>IF($AS122="","",Config!$B$18)</f>
        <v/>
      </c>
      <c r="V122" t="str">
        <f>IF($AS122="","",Config!$B$19)</f>
        <v/>
      </c>
      <c r="W122" t="str">
        <f>IF($AS122="","",INDEX('TMP Paste'!$C$2:$C$1601,$AS122))</f>
        <v/>
      </c>
      <c r="X122" t="str">
        <f>IF($AS122="","",Config!$B$29)</f>
        <v/>
      </c>
      <c r="Y122" t="str">
        <f>IF($AT122="","",INDEX(Calc!$I$2:$I$1601,$AT122)&amp;" - "&amp;INDEX(Calc!$D$2:$D$1601,$AT122)&amp;" koli")</f>
        <v/>
      </c>
      <c r="Z122" t="str">
        <f>IF($AS122="","",Config!$B$21)</f>
        <v/>
      </c>
      <c r="AA122" t="str">
        <f>IF($AS122="","",Config!$B$22)</f>
        <v/>
      </c>
      <c r="AB122" t="str">
        <f>IF($AT122="","",INDEX(Calc!$D$2:$D$1601,$AT122))</f>
        <v/>
      </c>
      <c r="AC122" t="str">
        <f>IF($AT122="","",INDEX(Calc!$G$2:$G$1601,$AT122))</f>
        <v/>
      </c>
      <c r="AD122" t="str">
        <f>IF($AS122="","",Config!$B$23)</f>
        <v/>
      </c>
      <c r="AE122" t="str">
        <f>IF($AS122="","",Config!$B$28)</f>
        <v/>
      </c>
      <c r="AF122" t="str">
        <f t="shared" si="8"/>
        <v/>
      </c>
      <c r="AG122" t="str">
        <f t="shared" si="9"/>
        <v/>
      </c>
      <c r="AH122" t="str">
        <f t="shared" si="10"/>
        <v/>
      </c>
      <c r="AI122" t="str">
        <f>IF($AG122="","",SUMIF($AG$2:$AG122,$AG122,$AH$2:$AH122))</f>
        <v/>
      </c>
      <c r="AJ122" t="str">
        <f>IF('TMP Paste'!$F122="","",IF('TMP Paste'!$B122="",$AJ121,'TMP Paste'!$B122))</f>
        <v/>
      </c>
      <c r="AK122" t="str">
        <f>IF('TMP Paste'!$F122="","",N('TMP Paste'!$G122))</f>
        <v/>
      </c>
      <c r="AL122" t="str">
        <f>IF('TMP Paste'!$F122="","",IF('TMP Paste'!$M122="",$AL121,'TMP Paste'!$M122))</f>
        <v/>
      </c>
      <c r="AM122" t="str">
        <f>IF('TMP Paste'!$F122="","",IF('TMP Paste'!$N122="",$AM121,'TMP Paste'!$N122))</f>
        <v/>
      </c>
      <c r="AN122" t="str">
        <f>IF('TMP Paste'!$F122="","",IF('TMP Paste'!$O122="",$AN121,'TMP Paste'!$O122))</f>
        <v/>
      </c>
      <c r="AO122" t="str">
        <f>IF('TMP Paste'!$F122="","",IF('TMP Paste'!$P122="",$AO121,'TMP Paste'!$P122))</f>
        <v/>
      </c>
      <c r="AP122" t="str">
        <f t="shared" si="11"/>
        <v/>
      </c>
      <c r="AQ122" t="str">
        <f>IF($AS122="","",TRIM(IF(COUNTIFS(Calc!$B$2:$B$1601,ROW()-1,Calc!$C$2:$C$1601,"&lt;1")&gt;0,"Ada PO tanpa Koli - cek TMP. ","")&amp;IF(OR($AU122="",$AU122&lt;=0),"Volume kosong/0 - dimensi dikosongkan. ","")&amp;IF(AND($AU122&lt;&gt;"",$AU122&gt;=1000000),"Volume &gt;= 1.000.000 cm3 (di luar aturan) - dimensi dikosongkan. ","")&amp;IF(LEN($R122)&gt;500,"R &gt; 500 karakter.","")))</f>
        <v/>
      </c>
      <c r="AS122" t="str">
        <f>IFERROR(MATCH(ROW()-1,Calc!$J$2:$J$1601,0),"")</f>
        <v/>
      </c>
      <c r="AT122" t="str">
        <f>IFERROR(MATCH(ROW()-1,Calc!$K$2:$K$1601,0),"")</f>
        <v/>
      </c>
      <c r="AU122" t="str">
        <f>IF($AS122="","",IFERROR(INDEX('TMP Paste'!$D$2:$D$1601,$AS122)*1000000/$AB122,""))</f>
        <v/>
      </c>
    </row>
    <row r="123" spans="1:47">
      <c r="A123" t="str">
        <f>IF($AS123="","",INDEX('TMP Paste'!$B$2:$B$1601,$AS123))</f>
        <v/>
      </c>
      <c r="B123" t="str">
        <f>IF($AS123="","",Config!$B$14)</f>
        <v/>
      </c>
      <c r="C123" t="str">
        <f>IF($AS123="","",Config!$B$15)</f>
        <v/>
      </c>
      <c r="D123" t="str">
        <f>IF($AS123="","",INDEX('TMP Paste'!$B$2:$B$1601,$AS123))</f>
        <v/>
      </c>
      <c r="E123" t="str">
        <f>IF($AS123="","",Config!$B$27)</f>
        <v/>
      </c>
      <c r="F123" t="str">
        <f>IF($AS123="","",Config!$B$9)</f>
        <v/>
      </c>
      <c r="G123" t="str">
        <f>IF($AS123="","",Config!$B$10)</f>
        <v/>
      </c>
      <c r="H123" t="str">
        <f>IF($AS123="","",Config!$B$11)</f>
        <v/>
      </c>
      <c r="I123" t="str">
        <f>IF($AS123="","",Config!$B$16)</f>
        <v/>
      </c>
      <c r="J123" t="str">
        <f>IF($AS123="","",INDEX('TMP Paste'!$A$2:$A$1601,$AS123))</f>
        <v/>
      </c>
      <c r="K123" t="str">
        <f>IF($AS123="","",INDEX('TMP Paste'!$L$2:$L$1601,$AS123))</f>
        <v/>
      </c>
      <c r="L123" t="str">
        <f>IF($AS123="","",INDEX('TMP Paste'!$I$2:$I$1601,$AS123))</f>
        <v/>
      </c>
      <c r="M123" t="str">
        <f>IF($AS123="","",Config!$B$16)</f>
        <v/>
      </c>
      <c r="N123" t="str">
        <f t="shared" si="6"/>
        <v/>
      </c>
      <c r="O123" t="str">
        <f>IF($AS123="","",INDEX('TMP Paste'!$K$2:$K$1601,$AS123))</f>
        <v/>
      </c>
      <c r="P123" t="str">
        <f t="shared" si="7"/>
        <v/>
      </c>
      <c r="Q123" t="str">
        <f>IF($AS123="","",INDEX('TMP Paste'!$J$2:$J$1601,$AS123))</f>
        <v/>
      </c>
      <c r="R123" t="str">
        <f>IF($AS123="","",Config!$B$24)</f>
        <v/>
      </c>
      <c r="S123" t="str">
        <f ca="1">IF($AS123="","",TEXT(Config!$B$4,"yyyy-mm-dd"))</f>
        <v/>
      </c>
      <c r="T123" t="str">
        <f>IF($AS123="","",Config!$B$17)</f>
        <v/>
      </c>
      <c r="U123" t="str">
        <f>IF($AS123="","",Config!$B$18)</f>
        <v/>
      </c>
      <c r="V123" t="str">
        <f>IF($AS123="","",Config!$B$19)</f>
        <v/>
      </c>
      <c r="W123" t="str">
        <f>IF($AS123="","",INDEX('TMP Paste'!$C$2:$C$1601,$AS123))</f>
        <v/>
      </c>
      <c r="X123" t="str">
        <f>IF($AS123="","",Config!$B$29)</f>
        <v/>
      </c>
      <c r="Y123" t="str">
        <f>IF($AT123="","",INDEX(Calc!$I$2:$I$1601,$AT123)&amp;" - "&amp;INDEX(Calc!$D$2:$D$1601,$AT123)&amp;" koli")</f>
        <v/>
      </c>
      <c r="Z123" t="str">
        <f>IF($AS123="","",Config!$B$21)</f>
        <v/>
      </c>
      <c r="AA123" t="str">
        <f>IF($AS123="","",Config!$B$22)</f>
        <v/>
      </c>
      <c r="AB123" t="str">
        <f>IF($AT123="","",INDEX(Calc!$D$2:$D$1601,$AT123))</f>
        <v/>
      </c>
      <c r="AC123" t="str">
        <f>IF($AT123="","",INDEX(Calc!$G$2:$G$1601,$AT123))</f>
        <v/>
      </c>
      <c r="AD123" t="str">
        <f>IF($AS123="","",Config!$B$23)</f>
        <v/>
      </c>
      <c r="AE123" t="str">
        <f>IF($AS123="","",Config!$B$28)</f>
        <v/>
      </c>
      <c r="AF123" t="str">
        <f t="shared" si="8"/>
        <v/>
      </c>
      <c r="AG123" t="str">
        <f t="shared" si="9"/>
        <v/>
      </c>
      <c r="AH123" t="str">
        <f t="shared" si="10"/>
        <v/>
      </c>
      <c r="AI123" t="str">
        <f>IF($AG123="","",SUMIF($AG$2:$AG123,$AG123,$AH$2:$AH123))</f>
        <v/>
      </c>
      <c r="AJ123" t="str">
        <f>IF('TMP Paste'!$F123="","",IF('TMP Paste'!$B123="",$AJ122,'TMP Paste'!$B123))</f>
        <v/>
      </c>
      <c r="AK123" t="str">
        <f>IF('TMP Paste'!$F123="","",N('TMP Paste'!$G123))</f>
        <v/>
      </c>
      <c r="AL123" t="str">
        <f>IF('TMP Paste'!$F123="","",IF('TMP Paste'!$M123="",$AL122,'TMP Paste'!$M123))</f>
        <v/>
      </c>
      <c r="AM123" t="str">
        <f>IF('TMP Paste'!$F123="","",IF('TMP Paste'!$N123="",$AM122,'TMP Paste'!$N123))</f>
        <v/>
      </c>
      <c r="AN123" t="str">
        <f>IF('TMP Paste'!$F123="","",IF('TMP Paste'!$O123="",$AN122,'TMP Paste'!$O123))</f>
        <v/>
      </c>
      <c r="AO123" t="str">
        <f>IF('TMP Paste'!$F123="","",IF('TMP Paste'!$P123="",$AO122,'TMP Paste'!$P123))</f>
        <v/>
      </c>
      <c r="AP123" t="str">
        <f t="shared" si="11"/>
        <v/>
      </c>
      <c r="AQ123" t="str">
        <f>IF($AS123="","",TRIM(IF(COUNTIFS(Calc!$B$2:$B$1601,ROW()-1,Calc!$C$2:$C$1601,"&lt;1")&gt;0,"Ada PO tanpa Koli - cek TMP. ","")&amp;IF(OR($AU123="",$AU123&lt;=0),"Volume kosong/0 - dimensi dikosongkan. ","")&amp;IF(AND($AU123&lt;&gt;"",$AU123&gt;=1000000),"Volume &gt;= 1.000.000 cm3 (di luar aturan) - dimensi dikosongkan. ","")&amp;IF(LEN($R123)&gt;500,"R &gt; 500 karakter.","")))</f>
        <v/>
      </c>
      <c r="AS123" t="str">
        <f>IFERROR(MATCH(ROW()-1,Calc!$J$2:$J$1601,0),"")</f>
        <v/>
      </c>
      <c r="AT123" t="str">
        <f>IFERROR(MATCH(ROW()-1,Calc!$K$2:$K$1601,0),"")</f>
        <v/>
      </c>
      <c r="AU123" t="str">
        <f>IF($AS123="","",IFERROR(INDEX('TMP Paste'!$D$2:$D$1601,$AS123)*1000000/$AB123,""))</f>
        <v/>
      </c>
    </row>
    <row r="124" spans="1:47">
      <c r="A124" t="str">
        <f>IF($AS124="","",INDEX('TMP Paste'!$B$2:$B$1601,$AS124))</f>
        <v/>
      </c>
      <c r="B124" t="str">
        <f>IF($AS124="","",Config!$B$14)</f>
        <v/>
      </c>
      <c r="C124" t="str">
        <f>IF($AS124="","",Config!$B$15)</f>
        <v/>
      </c>
      <c r="D124" t="str">
        <f>IF($AS124="","",INDEX('TMP Paste'!$B$2:$B$1601,$AS124))</f>
        <v/>
      </c>
      <c r="E124" t="str">
        <f>IF($AS124="","",Config!$B$27)</f>
        <v/>
      </c>
      <c r="F124" t="str">
        <f>IF($AS124="","",Config!$B$9)</f>
        <v/>
      </c>
      <c r="G124" t="str">
        <f>IF($AS124="","",Config!$B$10)</f>
        <v/>
      </c>
      <c r="H124" t="str">
        <f>IF($AS124="","",Config!$B$11)</f>
        <v/>
      </c>
      <c r="I124" t="str">
        <f>IF($AS124="","",Config!$B$16)</f>
        <v/>
      </c>
      <c r="J124" t="str">
        <f>IF($AS124="","",INDEX('TMP Paste'!$A$2:$A$1601,$AS124))</f>
        <v/>
      </c>
      <c r="K124" t="str">
        <f>IF($AS124="","",INDEX('TMP Paste'!$L$2:$L$1601,$AS124))</f>
        <v/>
      </c>
      <c r="L124" t="str">
        <f>IF($AS124="","",INDEX('TMP Paste'!$I$2:$I$1601,$AS124))</f>
        <v/>
      </c>
      <c r="M124" t="str">
        <f>IF($AS124="","",Config!$B$16)</f>
        <v/>
      </c>
      <c r="N124" t="str">
        <f t="shared" si="6"/>
        <v/>
      </c>
      <c r="O124" t="str">
        <f>IF($AS124="","",INDEX('TMP Paste'!$K$2:$K$1601,$AS124))</f>
        <v/>
      </c>
      <c r="P124" t="str">
        <f t="shared" si="7"/>
        <v/>
      </c>
      <c r="Q124" t="str">
        <f>IF($AS124="","",INDEX('TMP Paste'!$J$2:$J$1601,$AS124))</f>
        <v/>
      </c>
      <c r="R124" t="str">
        <f>IF($AS124="","",Config!$B$24)</f>
        <v/>
      </c>
      <c r="S124" t="str">
        <f ca="1">IF($AS124="","",TEXT(Config!$B$4,"yyyy-mm-dd"))</f>
        <v/>
      </c>
      <c r="T124" t="str">
        <f>IF($AS124="","",Config!$B$17)</f>
        <v/>
      </c>
      <c r="U124" t="str">
        <f>IF($AS124="","",Config!$B$18)</f>
        <v/>
      </c>
      <c r="V124" t="str">
        <f>IF($AS124="","",Config!$B$19)</f>
        <v/>
      </c>
      <c r="W124" t="str">
        <f>IF($AS124="","",INDEX('TMP Paste'!$C$2:$C$1601,$AS124))</f>
        <v/>
      </c>
      <c r="X124" t="str">
        <f>IF($AS124="","",Config!$B$29)</f>
        <v/>
      </c>
      <c r="Y124" t="str">
        <f>IF($AT124="","",INDEX(Calc!$I$2:$I$1601,$AT124)&amp;" - "&amp;INDEX(Calc!$D$2:$D$1601,$AT124)&amp;" koli")</f>
        <v/>
      </c>
      <c r="Z124" t="str">
        <f>IF($AS124="","",Config!$B$21)</f>
        <v/>
      </c>
      <c r="AA124" t="str">
        <f>IF($AS124="","",Config!$B$22)</f>
        <v/>
      </c>
      <c r="AB124" t="str">
        <f>IF($AT124="","",INDEX(Calc!$D$2:$D$1601,$AT124))</f>
        <v/>
      </c>
      <c r="AC124" t="str">
        <f>IF($AT124="","",INDEX(Calc!$G$2:$G$1601,$AT124))</f>
        <v/>
      </c>
      <c r="AD124" t="str">
        <f>IF($AS124="","",Config!$B$23)</f>
        <v/>
      </c>
      <c r="AE124" t="str">
        <f>IF($AS124="","",Config!$B$28)</f>
        <v/>
      </c>
      <c r="AF124" t="str">
        <f t="shared" si="8"/>
        <v/>
      </c>
      <c r="AG124" t="str">
        <f t="shared" si="9"/>
        <v/>
      </c>
      <c r="AH124" t="str">
        <f t="shared" si="10"/>
        <v/>
      </c>
      <c r="AI124" t="str">
        <f>IF($AG124="","",SUMIF($AG$2:$AG124,$AG124,$AH$2:$AH124))</f>
        <v/>
      </c>
      <c r="AJ124" t="str">
        <f>IF('TMP Paste'!$F124="","",IF('TMP Paste'!$B124="",$AJ123,'TMP Paste'!$B124))</f>
        <v/>
      </c>
      <c r="AK124" t="str">
        <f>IF('TMP Paste'!$F124="","",N('TMP Paste'!$G124))</f>
        <v/>
      </c>
      <c r="AL124" t="str">
        <f>IF('TMP Paste'!$F124="","",IF('TMP Paste'!$M124="",$AL123,'TMP Paste'!$M124))</f>
        <v/>
      </c>
      <c r="AM124" t="str">
        <f>IF('TMP Paste'!$F124="","",IF('TMP Paste'!$N124="",$AM123,'TMP Paste'!$N124))</f>
        <v/>
      </c>
      <c r="AN124" t="str">
        <f>IF('TMP Paste'!$F124="","",IF('TMP Paste'!$O124="",$AN123,'TMP Paste'!$O124))</f>
        <v/>
      </c>
      <c r="AO124" t="str">
        <f>IF('TMP Paste'!$F124="","",IF('TMP Paste'!$P124="",$AO123,'TMP Paste'!$P124))</f>
        <v/>
      </c>
      <c r="AP124" t="str">
        <f t="shared" si="11"/>
        <v/>
      </c>
      <c r="AQ124" t="str">
        <f>IF($AS124="","",TRIM(IF(COUNTIFS(Calc!$B$2:$B$1601,ROW()-1,Calc!$C$2:$C$1601,"&lt;1")&gt;0,"Ada PO tanpa Koli - cek TMP. ","")&amp;IF(OR($AU124="",$AU124&lt;=0),"Volume kosong/0 - dimensi dikosongkan. ","")&amp;IF(AND($AU124&lt;&gt;"",$AU124&gt;=1000000),"Volume &gt;= 1.000.000 cm3 (di luar aturan) - dimensi dikosongkan. ","")&amp;IF(LEN($R124)&gt;500,"R &gt; 500 karakter.","")))</f>
        <v/>
      </c>
      <c r="AS124" t="str">
        <f>IFERROR(MATCH(ROW()-1,Calc!$J$2:$J$1601,0),"")</f>
        <v/>
      </c>
      <c r="AT124" t="str">
        <f>IFERROR(MATCH(ROW()-1,Calc!$K$2:$K$1601,0),"")</f>
        <v/>
      </c>
      <c r="AU124" t="str">
        <f>IF($AS124="","",IFERROR(INDEX('TMP Paste'!$D$2:$D$1601,$AS124)*1000000/$AB124,""))</f>
        <v/>
      </c>
    </row>
    <row r="125" spans="1:47">
      <c r="A125" t="str">
        <f>IF($AS125="","",INDEX('TMP Paste'!$B$2:$B$1601,$AS125))</f>
        <v/>
      </c>
      <c r="B125" t="str">
        <f>IF($AS125="","",Config!$B$14)</f>
        <v/>
      </c>
      <c r="C125" t="str">
        <f>IF($AS125="","",Config!$B$15)</f>
        <v/>
      </c>
      <c r="D125" t="str">
        <f>IF($AS125="","",INDEX('TMP Paste'!$B$2:$B$1601,$AS125))</f>
        <v/>
      </c>
      <c r="E125" t="str">
        <f>IF($AS125="","",Config!$B$27)</f>
        <v/>
      </c>
      <c r="F125" t="str">
        <f>IF($AS125="","",Config!$B$9)</f>
        <v/>
      </c>
      <c r="G125" t="str">
        <f>IF($AS125="","",Config!$B$10)</f>
        <v/>
      </c>
      <c r="H125" t="str">
        <f>IF($AS125="","",Config!$B$11)</f>
        <v/>
      </c>
      <c r="I125" t="str">
        <f>IF($AS125="","",Config!$B$16)</f>
        <v/>
      </c>
      <c r="J125" t="str">
        <f>IF($AS125="","",INDEX('TMP Paste'!$A$2:$A$1601,$AS125))</f>
        <v/>
      </c>
      <c r="K125" t="str">
        <f>IF($AS125="","",INDEX('TMP Paste'!$L$2:$L$1601,$AS125))</f>
        <v/>
      </c>
      <c r="L125" t="str">
        <f>IF($AS125="","",INDEX('TMP Paste'!$I$2:$I$1601,$AS125))</f>
        <v/>
      </c>
      <c r="M125" t="str">
        <f>IF($AS125="","",Config!$B$16)</f>
        <v/>
      </c>
      <c r="N125" t="str">
        <f t="shared" si="6"/>
        <v/>
      </c>
      <c r="O125" t="str">
        <f>IF($AS125="","",INDEX('TMP Paste'!$K$2:$K$1601,$AS125))</f>
        <v/>
      </c>
      <c r="P125" t="str">
        <f t="shared" si="7"/>
        <v/>
      </c>
      <c r="Q125" t="str">
        <f>IF($AS125="","",INDEX('TMP Paste'!$J$2:$J$1601,$AS125))</f>
        <v/>
      </c>
      <c r="R125" t="str">
        <f>IF($AS125="","",Config!$B$24)</f>
        <v/>
      </c>
      <c r="S125" t="str">
        <f ca="1">IF($AS125="","",TEXT(Config!$B$4,"yyyy-mm-dd"))</f>
        <v/>
      </c>
      <c r="T125" t="str">
        <f>IF($AS125="","",Config!$B$17)</f>
        <v/>
      </c>
      <c r="U125" t="str">
        <f>IF($AS125="","",Config!$B$18)</f>
        <v/>
      </c>
      <c r="V125" t="str">
        <f>IF($AS125="","",Config!$B$19)</f>
        <v/>
      </c>
      <c r="W125" t="str">
        <f>IF($AS125="","",INDEX('TMP Paste'!$C$2:$C$1601,$AS125))</f>
        <v/>
      </c>
      <c r="X125" t="str">
        <f>IF($AS125="","",Config!$B$29)</f>
        <v/>
      </c>
      <c r="Y125" t="str">
        <f>IF($AT125="","",INDEX(Calc!$I$2:$I$1601,$AT125)&amp;" - "&amp;INDEX(Calc!$D$2:$D$1601,$AT125)&amp;" koli")</f>
        <v/>
      </c>
      <c r="Z125" t="str">
        <f>IF($AS125="","",Config!$B$21)</f>
        <v/>
      </c>
      <c r="AA125" t="str">
        <f>IF($AS125="","",Config!$B$22)</f>
        <v/>
      </c>
      <c r="AB125" t="str">
        <f>IF($AT125="","",INDEX(Calc!$D$2:$D$1601,$AT125))</f>
        <v/>
      </c>
      <c r="AC125" t="str">
        <f>IF($AT125="","",INDEX(Calc!$G$2:$G$1601,$AT125))</f>
        <v/>
      </c>
      <c r="AD125" t="str">
        <f>IF($AS125="","",Config!$B$23)</f>
        <v/>
      </c>
      <c r="AE125" t="str">
        <f>IF($AS125="","",Config!$B$28)</f>
        <v/>
      </c>
      <c r="AF125" t="str">
        <f t="shared" si="8"/>
        <v/>
      </c>
      <c r="AG125" t="str">
        <f t="shared" si="9"/>
        <v/>
      </c>
      <c r="AH125" t="str">
        <f t="shared" si="10"/>
        <v/>
      </c>
      <c r="AI125" t="str">
        <f>IF($AG125="","",SUMIF($AG$2:$AG125,$AG125,$AH$2:$AH125))</f>
        <v/>
      </c>
      <c r="AJ125" t="str">
        <f>IF('TMP Paste'!$F125="","",IF('TMP Paste'!$B125="",$AJ124,'TMP Paste'!$B125))</f>
        <v/>
      </c>
      <c r="AK125" t="str">
        <f>IF('TMP Paste'!$F125="","",N('TMP Paste'!$G125))</f>
        <v/>
      </c>
      <c r="AL125" t="str">
        <f>IF('TMP Paste'!$F125="","",IF('TMP Paste'!$M125="",$AL124,'TMP Paste'!$M125))</f>
        <v/>
      </c>
      <c r="AM125" t="str">
        <f>IF('TMP Paste'!$F125="","",IF('TMP Paste'!$N125="",$AM124,'TMP Paste'!$N125))</f>
        <v/>
      </c>
      <c r="AN125" t="str">
        <f>IF('TMP Paste'!$F125="","",IF('TMP Paste'!$O125="",$AN124,'TMP Paste'!$O125))</f>
        <v/>
      </c>
      <c r="AO125" t="str">
        <f>IF('TMP Paste'!$F125="","",IF('TMP Paste'!$P125="",$AO124,'TMP Paste'!$P125))</f>
        <v/>
      </c>
      <c r="AP125" t="str">
        <f t="shared" si="11"/>
        <v/>
      </c>
      <c r="AQ125" t="str">
        <f>IF($AS125="","",TRIM(IF(COUNTIFS(Calc!$B$2:$B$1601,ROW()-1,Calc!$C$2:$C$1601,"&lt;1")&gt;0,"Ada PO tanpa Koli - cek TMP. ","")&amp;IF(OR($AU125="",$AU125&lt;=0),"Volume kosong/0 - dimensi dikosongkan. ","")&amp;IF(AND($AU125&lt;&gt;"",$AU125&gt;=1000000),"Volume &gt;= 1.000.000 cm3 (di luar aturan) - dimensi dikosongkan. ","")&amp;IF(LEN($R125)&gt;500,"R &gt; 500 karakter.","")))</f>
        <v/>
      </c>
      <c r="AS125" t="str">
        <f>IFERROR(MATCH(ROW()-1,Calc!$J$2:$J$1601,0),"")</f>
        <v/>
      </c>
      <c r="AT125" t="str">
        <f>IFERROR(MATCH(ROW()-1,Calc!$K$2:$K$1601,0),"")</f>
        <v/>
      </c>
      <c r="AU125" t="str">
        <f>IF($AS125="","",IFERROR(INDEX('TMP Paste'!$D$2:$D$1601,$AS125)*1000000/$AB125,""))</f>
        <v/>
      </c>
    </row>
    <row r="126" spans="1:47">
      <c r="A126" t="str">
        <f>IF($AS126="","",INDEX('TMP Paste'!$B$2:$B$1601,$AS126))</f>
        <v/>
      </c>
      <c r="B126" t="str">
        <f>IF($AS126="","",Config!$B$14)</f>
        <v/>
      </c>
      <c r="C126" t="str">
        <f>IF($AS126="","",Config!$B$15)</f>
        <v/>
      </c>
      <c r="D126" t="str">
        <f>IF($AS126="","",INDEX('TMP Paste'!$B$2:$B$1601,$AS126))</f>
        <v/>
      </c>
      <c r="E126" t="str">
        <f>IF($AS126="","",Config!$B$27)</f>
        <v/>
      </c>
      <c r="F126" t="str">
        <f>IF($AS126="","",Config!$B$9)</f>
        <v/>
      </c>
      <c r="G126" t="str">
        <f>IF($AS126="","",Config!$B$10)</f>
        <v/>
      </c>
      <c r="H126" t="str">
        <f>IF($AS126="","",Config!$B$11)</f>
        <v/>
      </c>
      <c r="I126" t="str">
        <f>IF($AS126="","",Config!$B$16)</f>
        <v/>
      </c>
      <c r="J126" t="str">
        <f>IF($AS126="","",INDEX('TMP Paste'!$A$2:$A$1601,$AS126))</f>
        <v/>
      </c>
      <c r="K126" t="str">
        <f>IF($AS126="","",INDEX('TMP Paste'!$L$2:$L$1601,$AS126))</f>
        <v/>
      </c>
      <c r="L126" t="str">
        <f>IF($AS126="","",INDEX('TMP Paste'!$I$2:$I$1601,$AS126))</f>
        <v/>
      </c>
      <c r="M126" t="str">
        <f>IF($AS126="","",Config!$B$16)</f>
        <v/>
      </c>
      <c r="N126" t="str">
        <f t="shared" si="6"/>
        <v/>
      </c>
      <c r="O126" t="str">
        <f>IF($AS126="","",INDEX('TMP Paste'!$K$2:$K$1601,$AS126))</f>
        <v/>
      </c>
      <c r="P126" t="str">
        <f t="shared" si="7"/>
        <v/>
      </c>
      <c r="Q126" t="str">
        <f>IF($AS126="","",INDEX('TMP Paste'!$J$2:$J$1601,$AS126))</f>
        <v/>
      </c>
      <c r="R126" t="str">
        <f>IF($AS126="","",Config!$B$24)</f>
        <v/>
      </c>
      <c r="S126" t="str">
        <f ca="1">IF($AS126="","",TEXT(Config!$B$4,"yyyy-mm-dd"))</f>
        <v/>
      </c>
      <c r="T126" t="str">
        <f>IF($AS126="","",Config!$B$17)</f>
        <v/>
      </c>
      <c r="U126" t="str">
        <f>IF($AS126="","",Config!$B$18)</f>
        <v/>
      </c>
      <c r="V126" t="str">
        <f>IF($AS126="","",Config!$B$19)</f>
        <v/>
      </c>
      <c r="W126" t="str">
        <f>IF($AS126="","",INDEX('TMP Paste'!$C$2:$C$1601,$AS126))</f>
        <v/>
      </c>
      <c r="X126" t="str">
        <f>IF($AS126="","",Config!$B$29)</f>
        <v/>
      </c>
      <c r="Y126" t="str">
        <f>IF($AT126="","",INDEX(Calc!$I$2:$I$1601,$AT126)&amp;" - "&amp;INDEX(Calc!$D$2:$D$1601,$AT126)&amp;" koli")</f>
        <v/>
      </c>
      <c r="Z126" t="str">
        <f>IF($AS126="","",Config!$B$21)</f>
        <v/>
      </c>
      <c r="AA126" t="str">
        <f>IF($AS126="","",Config!$B$22)</f>
        <v/>
      </c>
      <c r="AB126" t="str">
        <f>IF($AT126="","",INDEX(Calc!$D$2:$D$1601,$AT126))</f>
        <v/>
      </c>
      <c r="AC126" t="str">
        <f>IF($AT126="","",INDEX(Calc!$G$2:$G$1601,$AT126))</f>
        <v/>
      </c>
      <c r="AD126" t="str">
        <f>IF($AS126="","",Config!$B$23)</f>
        <v/>
      </c>
      <c r="AE126" t="str">
        <f>IF($AS126="","",Config!$B$28)</f>
        <v/>
      </c>
      <c r="AF126" t="str">
        <f t="shared" si="8"/>
        <v/>
      </c>
      <c r="AG126" t="str">
        <f t="shared" si="9"/>
        <v/>
      </c>
      <c r="AH126" t="str">
        <f t="shared" si="10"/>
        <v/>
      </c>
      <c r="AI126" t="str">
        <f>IF($AG126="","",SUMIF($AG$2:$AG126,$AG126,$AH$2:$AH126))</f>
        <v/>
      </c>
      <c r="AJ126" t="str">
        <f>IF('TMP Paste'!$F126="","",IF('TMP Paste'!$B126="",$AJ125,'TMP Paste'!$B126))</f>
        <v/>
      </c>
      <c r="AK126" t="str">
        <f>IF('TMP Paste'!$F126="","",N('TMP Paste'!$G126))</f>
        <v/>
      </c>
      <c r="AL126" t="str">
        <f>IF('TMP Paste'!$F126="","",IF('TMP Paste'!$M126="",$AL125,'TMP Paste'!$M126))</f>
        <v/>
      </c>
      <c r="AM126" t="str">
        <f>IF('TMP Paste'!$F126="","",IF('TMP Paste'!$N126="",$AM125,'TMP Paste'!$N126))</f>
        <v/>
      </c>
      <c r="AN126" t="str">
        <f>IF('TMP Paste'!$F126="","",IF('TMP Paste'!$O126="",$AN125,'TMP Paste'!$O126))</f>
        <v/>
      </c>
      <c r="AO126" t="str">
        <f>IF('TMP Paste'!$F126="","",IF('TMP Paste'!$P126="",$AO125,'TMP Paste'!$P126))</f>
        <v/>
      </c>
      <c r="AP126" t="str">
        <f t="shared" si="11"/>
        <v/>
      </c>
      <c r="AQ126" t="str">
        <f>IF($AS126="","",TRIM(IF(COUNTIFS(Calc!$B$2:$B$1601,ROW()-1,Calc!$C$2:$C$1601,"&lt;1")&gt;0,"Ada PO tanpa Koli - cek TMP. ","")&amp;IF(OR($AU126="",$AU126&lt;=0),"Volume kosong/0 - dimensi dikosongkan. ","")&amp;IF(AND($AU126&lt;&gt;"",$AU126&gt;=1000000),"Volume &gt;= 1.000.000 cm3 (di luar aturan) - dimensi dikosongkan. ","")&amp;IF(LEN($R126)&gt;500,"R &gt; 500 karakter.","")))</f>
        <v/>
      </c>
      <c r="AS126" t="str">
        <f>IFERROR(MATCH(ROW()-1,Calc!$J$2:$J$1601,0),"")</f>
        <v/>
      </c>
      <c r="AT126" t="str">
        <f>IFERROR(MATCH(ROW()-1,Calc!$K$2:$K$1601,0),"")</f>
        <v/>
      </c>
      <c r="AU126" t="str">
        <f>IF($AS126="","",IFERROR(INDEX('TMP Paste'!$D$2:$D$1601,$AS126)*1000000/$AB126,""))</f>
        <v/>
      </c>
    </row>
    <row r="127" spans="1:47">
      <c r="A127" t="str">
        <f>IF($AS127="","",INDEX('TMP Paste'!$B$2:$B$1601,$AS127))</f>
        <v/>
      </c>
      <c r="B127" t="str">
        <f>IF($AS127="","",Config!$B$14)</f>
        <v/>
      </c>
      <c r="C127" t="str">
        <f>IF($AS127="","",Config!$B$15)</f>
        <v/>
      </c>
      <c r="D127" t="str">
        <f>IF($AS127="","",INDEX('TMP Paste'!$B$2:$B$1601,$AS127))</f>
        <v/>
      </c>
      <c r="E127" t="str">
        <f>IF($AS127="","",Config!$B$27)</f>
        <v/>
      </c>
      <c r="F127" t="str">
        <f>IF($AS127="","",Config!$B$9)</f>
        <v/>
      </c>
      <c r="G127" t="str">
        <f>IF($AS127="","",Config!$B$10)</f>
        <v/>
      </c>
      <c r="H127" t="str">
        <f>IF($AS127="","",Config!$B$11)</f>
        <v/>
      </c>
      <c r="I127" t="str">
        <f>IF($AS127="","",Config!$B$16)</f>
        <v/>
      </c>
      <c r="J127" t="str">
        <f>IF($AS127="","",INDEX('TMP Paste'!$A$2:$A$1601,$AS127))</f>
        <v/>
      </c>
      <c r="K127" t="str">
        <f>IF($AS127="","",INDEX('TMP Paste'!$L$2:$L$1601,$AS127))</f>
        <v/>
      </c>
      <c r="L127" t="str">
        <f>IF($AS127="","",INDEX('TMP Paste'!$I$2:$I$1601,$AS127))</f>
        <v/>
      </c>
      <c r="M127" t="str">
        <f>IF($AS127="","",Config!$B$16)</f>
        <v/>
      </c>
      <c r="N127" t="str">
        <f t="shared" si="6"/>
        <v/>
      </c>
      <c r="O127" t="str">
        <f>IF($AS127="","",INDEX('TMP Paste'!$K$2:$K$1601,$AS127))</f>
        <v/>
      </c>
      <c r="P127" t="str">
        <f t="shared" si="7"/>
        <v/>
      </c>
      <c r="Q127" t="str">
        <f>IF($AS127="","",INDEX('TMP Paste'!$J$2:$J$1601,$AS127))</f>
        <v/>
      </c>
      <c r="R127" t="str">
        <f>IF($AS127="","",Config!$B$24)</f>
        <v/>
      </c>
      <c r="S127" t="str">
        <f ca="1">IF($AS127="","",TEXT(Config!$B$4,"yyyy-mm-dd"))</f>
        <v/>
      </c>
      <c r="T127" t="str">
        <f>IF($AS127="","",Config!$B$17)</f>
        <v/>
      </c>
      <c r="U127" t="str">
        <f>IF($AS127="","",Config!$B$18)</f>
        <v/>
      </c>
      <c r="V127" t="str">
        <f>IF($AS127="","",Config!$B$19)</f>
        <v/>
      </c>
      <c r="W127" t="str">
        <f>IF($AS127="","",INDEX('TMP Paste'!$C$2:$C$1601,$AS127))</f>
        <v/>
      </c>
      <c r="X127" t="str">
        <f>IF($AS127="","",Config!$B$29)</f>
        <v/>
      </c>
      <c r="Y127" t="str">
        <f>IF($AT127="","",INDEX(Calc!$I$2:$I$1601,$AT127)&amp;" - "&amp;INDEX(Calc!$D$2:$D$1601,$AT127)&amp;" koli")</f>
        <v/>
      </c>
      <c r="Z127" t="str">
        <f>IF($AS127="","",Config!$B$21)</f>
        <v/>
      </c>
      <c r="AA127" t="str">
        <f>IF($AS127="","",Config!$B$22)</f>
        <v/>
      </c>
      <c r="AB127" t="str">
        <f>IF($AT127="","",INDEX(Calc!$D$2:$D$1601,$AT127))</f>
        <v/>
      </c>
      <c r="AC127" t="str">
        <f>IF($AT127="","",INDEX(Calc!$G$2:$G$1601,$AT127))</f>
        <v/>
      </c>
      <c r="AD127" t="str">
        <f>IF($AS127="","",Config!$B$23)</f>
        <v/>
      </c>
      <c r="AE127" t="str">
        <f>IF($AS127="","",Config!$B$28)</f>
        <v/>
      </c>
      <c r="AF127" t="str">
        <f t="shared" si="8"/>
        <v/>
      </c>
      <c r="AG127" t="str">
        <f t="shared" si="9"/>
        <v/>
      </c>
      <c r="AH127" t="str">
        <f t="shared" si="10"/>
        <v/>
      </c>
      <c r="AI127" t="str">
        <f>IF($AG127="","",SUMIF($AG$2:$AG127,$AG127,$AH$2:$AH127))</f>
        <v/>
      </c>
      <c r="AJ127" t="str">
        <f>IF('TMP Paste'!$F127="","",IF('TMP Paste'!$B127="",$AJ126,'TMP Paste'!$B127))</f>
        <v/>
      </c>
      <c r="AK127" t="str">
        <f>IF('TMP Paste'!$F127="","",N('TMP Paste'!$G127))</f>
        <v/>
      </c>
      <c r="AL127" t="str">
        <f>IF('TMP Paste'!$F127="","",IF('TMP Paste'!$M127="",$AL126,'TMP Paste'!$M127))</f>
        <v/>
      </c>
      <c r="AM127" t="str">
        <f>IF('TMP Paste'!$F127="","",IF('TMP Paste'!$N127="",$AM126,'TMP Paste'!$N127))</f>
        <v/>
      </c>
      <c r="AN127" t="str">
        <f>IF('TMP Paste'!$F127="","",IF('TMP Paste'!$O127="",$AN126,'TMP Paste'!$O127))</f>
        <v/>
      </c>
      <c r="AO127" t="str">
        <f>IF('TMP Paste'!$F127="","",IF('TMP Paste'!$P127="",$AO126,'TMP Paste'!$P127))</f>
        <v/>
      </c>
      <c r="AP127" t="str">
        <f t="shared" si="11"/>
        <v/>
      </c>
      <c r="AQ127" t="str">
        <f>IF($AS127="","",TRIM(IF(COUNTIFS(Calc!$B$2:$B$1601,ROW()-1,Calc!$C$2:$C$1601,"&lt;1")&gt;0,"Ada PO tanpa Koli - cek TMP. ","")&amp;IF(OR($AU127="",$AU127&lt;=0),"Volume kosong/0 - dimensi dikosongkan. ","")&amp;IF(AND($AU127&lt;&gt;"",$AU127&gt;=1000000),"Volume &gt;= 1.000.000 cm3 (di luar aturan) - dimensi dikosongkan. ","")&amp;IF(LEN($R127)&gt;500,"R &gt; 500 karakter.","")))</f>
        <v/>
      </c>
      <c r="AS127" t="str">
        <f>IFERROR(MATCH(ROW()-1,Calc!$J$2:$J$1601,0),"")</f>
        <v/>
      </c>
      <c r="AT127" t="str">
        <f>IFERROR(MATCH(ROW()-1,Calc!$K$2:$K$1601,0),"")</f>
        <v/>
      </c>
      <c r="AU127" t="str">
        <f>IF($AS127="","",IFERROR(INDEX('TMP Paste'!$D$2:$D$1601,$AS127)*1000000/$AB127,""))</f>
        <v/>
      </c>
    </row>
    <row r="128" spans="1:47">
      <c r="A128" t="str">
        <f>IF($AS128="","",INDEX('TMP Paste'!$B$2:$B$1601,$AS128))</f>
        <v/>
      </c>
      <c r="B128" t="str">
        <f>IF($AS128="","",Config!$B$14)</f>
        <v/>
      </c>
      <c r="C128" t="str">
        <f>IF($AS128="","",Config!$B$15)</f>
        <v/>
      </c>
      <c r="D128" t="str">
        <f>IF($AS128="","",INDEX('TMP Paste'!$B$2:$B$1601,$AS128))</f>
        <v/>
      </c>
      <c r="E128" t="str">
        <f>IF($AS128="","",Config!$B$27)</f>
        <v/>
      </c>
      <c r="F128" t="str">
        <f>IF($AS128="","",Config!$B$9)</f>
        <v/>
      </c>
      <c r="G128" t="str">
        <f>IF($AS128="","",Config!$B$10)</f>
        <v/>
      </c>
      <c r="H128" t="str">
        <f>IF($AS128="","",Config!$B$11)</f>
        <v/>
      </c>
      <c r="I128" t="str">
        <f>IF($AS128="","",Config!$B$16)</f>
        <v/>
      </c>
      <c r="J128" t="str">
        <f>IF($AS128="","",INDEX('TMP Paste'!$A$2:$A$1601,$AS128))</f>
        <v/>
      </c>
      <c r="K128" t="str">
        <f>IF($AS128="","",INDEX('TMP Paste'!$L$2:$L$1601,$AS128))</f>
        <v/>
      </c>
      <c r="L128" t="str">
        <f>IF($AS128="","",INDEX('TMP Paste'!$I$2:$I$1601,$AS128))</f>
        <v/>
      </c>
      <c r="M128" t="str">
        <f>IF($AS128="","",Config!$B$16)</f>
        <v/>
      </c>
      <c r="N128" t="str">
        <f t="shared" si="6"/>
        <v/>
      </c>
      <c r="O128" t="str">
        <f>IF($AS128="","",INDEX('TMP Paste'!$K$2:$K$1601,$AS128))</f>
        <v/>
      </c>
      <c r="P128" t="str">
        <f t="shared" si="7"/>
        <v/>
      </c>
      <c r="Q128" t="str">
        <f>IF($AS128="","",INDEX('TMP Paste'!$J$2:$J$1601,$AS128))</f>
        <v/>
      </c>
      <c r="R128" t="str">
        <f>IF($AS128="","",Config!$B$24)</f>
        <v/>
      </c>
      <c r="S128" t="str">
        <f ca="1">IF($AS128="","",TEXT(Config!$B$4,"yyyy-mm-dd"))</f>
        <v/>
      </c>
      <c r="T128" t="str">
        <f>IF($AS128="","",Config!$B$17)</f>
        <v/>
      </c>
      <c r="U128" t="str">
        <f>IF($AS128="","",Config!$B$18)</f>
        <v/>
      </c>
      <c r="V128" t="str">
        <f>IF($AS128="","",Config!$B$19)</f>
        <v/>
      </c>
      <c r="W128" t="str">
        <f>IF($AS128="","",INDEX('TMP Paste'!$C$2:$C$1601,$AS128))</f>
        <v/>
      </c>
      <c r="X128" t="str">
        <f>IF($AS128="","",Config!$B$29)</f>
        <v/>
      </c>
      <c r="Y128" t="str">
        <f>IF($AT128="","",INDEX(Calc!$I$2:$I$1601,$AT128)&amp;" - "&amp;INDEX(Calc!$D$2:$D$1601,$AT128)&amp;" koli")</f>
        <v/>
      </c>
      <c r="Z128" t="str">
        <f>IF($AS128="","",Config!$B$21)</f>
        <v/>
      </c>
      <c r="AA128" t="str">
        <f>IF($AS128="","",Config!$B$22)</f>
        <v/>
      </c>
      <c r="AB128" t="str">
        <f>IF($AT128="","",INDEX(Calc!$D$2:$D$1601,$AT128))</f>
        <v/>
      </c>
      <c r="AC128" t="str">
        <f>IF($AT128="","",INDEX(Calc!$G$2:$G$1601,$AT128))</f>
        <v/>
      </c>
      <c r="AD128" t="str">
        <f>IF($AS128="","",Config!$B$23)</f>
        <v/>
      </c>
      <c r="AE128" t="str">
        <f>IF($AS128="","",Config!$B$28)</f>
        <v/>
      </c>
      <c r="AF128" t="str">
        <f t="shared" si="8"/>
        <v/>
      </c>
      <c r="AG128" t="str">
        <f t="shared" si="9"/>
        <v/>
      </c>
      <c r="AH128" t="str">
        <f t="shared" si="10"/>
        <v/>
      </c>
      <c r="AI128" t="str">
        <f>IF($AG128="","",SUMIF($AG$2:$AG128,$AG128,$AH$2:$AH128))</f>
        <v/>
      </c>
      <c r="AJ128" t="str">
        <f>IF('TMP Paste'!$F128="","",IF('TMP Paste'!$B128="",$AJ127,'TMP Paste'!$B128))</f>
        <v>AWB02WKWC</v>
      </c>
      <c r="AK128">
        <f>IF('TMP Paste'!$F128="","",N('TMP Paste'!$G128))</f>
        <v>0</v>
      </c>
      <c r="AL128">
        <f>IF('TMP Paste'!$F128="","",IF('TMP Paste'!$M128="",$AL127,'TMP Paste'!$M128))</f>
        <v>1</v>
      </c>
      <c r="AM128" t="str">
        <f>IF('TMP Paste'!$F128="","",IF('TMP Paste'!$N128="",$AM127,'TMP Paste'!$N128))</f>
        <v/>
      </c>
      <c r="AN128" t="str">
        <f>IF('TMP Paste'!$F128="","",IF('TMP Paste'!$O128="",$AN127,'TMP Paste'!$O128))</f>
        <v/>
      </c>
      <c r="AO128" t="str">
        <f>IF('TMP Paste'!$F128="","",IF('TMP Paste'!$P128="",$AO127,'TMP Paste'!$P128))</f>
        <v/>
      </c>
      <c r="AP128" t="str">
        <f t="shared" si="11"/>
        <v/>
      </c>
      <c r="AQ128" t="str">
        <f>IF($AS128="","",TRIM(IF(COUNTIFS(Calc!$B$2:$B$1601,ROW()-1,Calc!$C$2:$C$1601,"&lt;1")&gt;0,"Ada PO tanpa Koli - cek TMP. ","")&amp;IF(OR($AU128="",$AU128&lt;=0),"Volume kosong/0 - dimensi dikosongkan. ","")&amp;IF(AND($AU128&lt;&gt;"",$AU128&gt;=1000000),"Volume &gt;= 1.000.000 cm3 (di luar aturan) - dimensi dikosongkan. ","")&amp;IF(LEN($R128)&gt;500,"R &gt; 500 karakter.","")))</f>
        <v/>
      </c>
      <c r="AS128" t="str">
        <f>IFERROR(MATCH(ROW()-1,Calc!$J$2:$J$1601,0),"")</f>
        <v/>
      </c>
      <c r="AT128" t="str">
        <f>IFERROR(MATCH(ROW()-1,Calc!$K$2:$K$1601,0),"")</f>
        <v/>
      </c>
      <c r="AU128" t="str">
        <f>IF($AS128="","",IFERROR(INDEX('TMP Paste'!$D$2:$D$1601,$AS128)*1000000/$AB128,""))</f>
        <v/>
      </c>
    </row>
    <row r="129" spans="1:47">
      <c r="A129" t="str">
        <f>IF($AS129="","",INDEX('TMP Paste'!$B$2:$B$1601,$AS129))</f>
        <v/>
      </c>
      <c r="B129" t="str">
        <f>IF($AS129="","",Config!$B$14)</f>
        <v/>
      </c>
      <c r="C129" t="str">
        <f>IF($AS129="","",Config!$B$15)</f>
        <v/>
      </c>
      <c r="D129" t="str">
        <f>IF($AS129="","",INDEX('TMP Paste'!$B$2:$B$1601,$AS129))</f>
        <v/>
      </c>
      <c r="E129" t="str">
        <f>IF($AS129="","",Config!$B$27)</f>
        <v/>
      </c>
      <c r="F129" t="str">
        <f>IF($AS129="","",Config!$B$9)</f>
        <v/>
      </c>
      <c r="G129" t="str">
        <f>IF($AS129="","",Config!$B$10)</f>
        <v/>
      </c>
      <c r="H129" t="str">
        <f>IF($AS129="","",Config!$B$11)</f>
        <v/>
      </c>
      <c r="I129" t="str">
        <f>IF($AS129="","",Config!$B$16)</f>
        <v/>
      </c>
      <c r="J129" t="str">
        <f>IF($AS129="","",INDEX('TMP Paste'!$A$2:$A$1601,$AS129))</f>
        <v/>
      </c>
      <c r="K129" t="str">
        <f>IF($AS129="","",INDEX('TMP Paste'!$L$2:$L$1601,$AS129))</f>
        <v/>
      </c>
      <c r="L129" t="str">
        <f>IF($AS129="","",INDEX('TMP Paste'!$I$2:$I$1601,$AS129))</f>
        <v/>
      </c>
      <c r="M129" t="str">
        <f>IF($AS129="","",Config!$B$16)</f>
        <v/>
      </c>
      <c r="N129" t="str">
        <f t="shared" si="6"/>
        <v/>
      </c>
      <c r="O129" t="str">
        <f>IF($AS129="","",INDEX('TMP Paste'!$K$2:$K$1601,$AS129))</f>
        <v/>
      </c>
      <c r="P129" t="str">
        <f t="shared" si="7"/>
        <v/>
      </c>
      <c r="Q129" t="str">
        <f>IF($AS129="","",INDEX('TMP Paste'!$J$2:$J$1601,$AS129))</f>
        <v/>
      </c>
      <c r="R129" t="str">
        <f>IF($AS129="","",Config!$B$24)</f>
        <v/>
      </c>
      <c r="S129" t="str">
        <f ca="1">IF($AS129="","",TEXT(Config!$B$4,"yyyy-mm-dd"))</f>
        <v/>
      </c>
      <c r="T129" t="str">
        <f>IF($AS129="","",Config!$B$17)</f>
        <v/>
      </c>
      <c r="U129" t="str">
        <f>IF($AS129="","",Config!$B$18)</f>
        <v/>
      </c>
      <c r="V129" t="str">
        <f>IF($AS129="","",Config!$B$19)</f>
        <v/>
      </c>
      <c r="W129" t="str">
        <f>IF($AS129="","",INDEX('TMP Paste'!$C$2:$C$1601,$AS129))</f>
        <v/>
      </c>
      <c r="X129" t="str">
        <f>IF($AS129="","",Config!$B$29)</f>
        <v/>
      </c>
      <c r="Y129" t="str">
        <f>IF($AT129="","",INDEX(Calc!$I$2:$I$1601,$AT129)&amp;" - "&amp;INDEX(Calc!$D$2:$D$1601,$AT129)&amp;" koli")</f>
        <v/>
      </c>
      <c r="Z129" t="str">
        <f>IF($AS129="","",Config!$B$21)</f>
        <v/>
      </c>
      <c r="AA129" t="str">
        <f>IF($AS129="","",Config!$B$22)</f>
        <v/>
      </c>
      <c r="AB129" t="str">
        <f>IF($AT129="","",INDEX(Calc!$D$2:$D$1601,$AT129))</f>
        <v/>
      </c>
      <c r="AC129" t="str">
        <f>IF($AT129="","",INDEX(Calc!$G$2:$G$1601,$AT129))</f>
        <v/>
      </c>
      <c r="AD129" t="str">
        <f>IF($AS129="","",Config!$B$23)</f>
        <v/>
      </c>
      <c r="AE129" t="str">
        <f>IF($AS129="","",Config!$B$28)</f>
        <v/>
      </c>
      <c r="AF129" t="str">
        <f t="shared" si="8"/>
        <v/>
      </c>
      <c r="AG129" t="str">
        <f t="shared" si="9"/>
        <v/>
      </c>
      <c r="AH129" t="str">
        <f t="shared" si="10"/>
        <v/>
      </c>
      <c r="AI129" t="str">
        <f>IF($AG129="","",SUMIF($AG$2:$AG129,$AG129,$AH$2:$AH129))</f>
        <v/>
      </c>
      <c r="AJ129" t="str">
        <f>IF('TMP Paste'!$F129="","",IF('TMP Paste'!$B129="",$AJ128,'TMP Paste'!$B129))</f>
        <v/>
      </c>
      <c r="AK129" t="str">
        <f>IF('TMP Paste'!$F129="","",N('TMP Paste'!$G129))</f>
        <v/>
      </c>
      <c r="AL129" t="str">
        <f>IF('TMP Paste'!$F129="","",IF('TMP Paste'!$M129="",$AL128,'TMP Paste'!$M129))</f>
        <v/>
      </c>
      <c r="AM129" t="str">
        <f>IF('TMP Paste'!$F129="","",IF('TMP Paste'!$N129="",$AM128,'TMP Paste'!$N129))</f>
        <v/>
      </c>
      <c r="AN129" t="str">
        <f>IF('TMP Paste'!$F129="","",IF('TMP Paste'!$O129="",$AN128,'TMP Paste'!$O129))</f>
        <v/>
      </c>
      <c r="AO129" t="str">
        <f>IF('TMP Paste'!$F129="","",IF('TMP Paste'!$P129="",$AO128,'TMP Paste'!$P129))</f>
        <v/>
      </c>
      <c r="AP129" t="str">
        <f t="shared" si="11"/>
        <v/>
      </c>
      <c r="AQ129" t="str">
        <f>IF($AS129="","",TRIM(IF(COUNTIFS(Calc!$B$2:$B$1601,ROW()-1,Calc!$C$2:$C$1601,"&lt;1")&gt;0,"Ada PO tanpa Koli - cek TMP. ","")&amp;IF(OR($AU129="",$AU129&lt;=0),"Volume kosong/0 - dimensi dikosongkan. ","")&amp;IF(AND($AU129&lt;&gt;"",$AU129&gt;=1000000),"Volume &gt;= 1.000.000 cm3 (di luar aturan) - dimensi dikosongkan. ","")&amp;IF(LEN($R129)&gt;500,"R &gt; 500 karakter.","")))</f>
        <v/>
      </c>
      <c r="AS129" t="str">
        <f>IFERROR(MATCH(ROW()-1,Calc!$J$2:$J$1601,0),"")</f>
        <v/>
      </c>
      <c r="AT129" t="str">
        <f>IFERROR(MATCH(ROW()-1,Calc!$K$2:$K$1601,0),"")</f>
        <v/>
      </c>
      <c r="AU129" t="str">
        <f>IF($AS129="","",IFERROR(INDEX('TMP Paste'!$D$2:$D$1601,$AS129)*1000000/$AB129,""))</f>
        <v/>
      </c>
    </row>
    <row r="130" spans="1:47">
      <c r="A130" t="str">
        <f>IF($AS130="","",INDEX('TMP Paste'!$B$2:$B$1601,$AS130))</f>
        <v/>
      </c>
      <c r="B130" t="str">
        <f>IF($AS130="","",Config!$B$14)</f>
        <v/>
      </c>
      <c r="C130" t="str">
        <f>IF($AS130="","",Config!$B$15)</f>
        <v/>
      </c>
      <c r="D130" t="str">
        <f>IF($AS130="","",INDEX('TMP Paste'!$B$2:$B$1601,$AS130))</f>
        <v/>
      </c>
      <c r="E130" t="str">
        <f>IF($AS130="","",Config!$B$27)</f>
        <v/>
      </c>
      <c r="F130" t="str">
        <f>IF($AS130="","",Config!$B$9)</f>
        <v/>
      </c>
      <c r="G130" t="str">
        <f>IF($AS130="","",Config!$B$10)</f>
        <v/>
      </c>
      <c r="H130" t="str">
        <f>IF($AS130="","",Config!$B$11)</f>
        <v/>
      </c>
      <c r="I130" t="str">
        <f>IF($AS130="","",Config!$B$16)</f>
        <v/>
      </c>
      <c r="J130" t="str">
        <f>IF($AS130="","",INDEX('TMP Paste'!$A$2:$A$1601,$AS130))</f>
        <v/>
      </c>
      <c r="K130" t="str">
        <f>IF($AS130="","",INDEX('TMP Paste'!$L$2:$L$1601,$AS130))</f>
        <v/>
      </c>
      <c r="L130" t="str">
        <f>IF($AS130="","",INDEX('TMP Paste'!$I$2:$I$1601,$AS130))</f>
        <v/>
      </c>
      <c r="M130" t="str">
        <f>IF($AS130="","",Config!$B$16)</f>
        <v/>
      </c>
      <c r="N130" t="str">
        <f t="shared" ref="N130:N193" si="12">IF($AS130="","","")</f>
        <v/>
      </c>
      <c r="O130" t="str">
        <f>IF($AS130="","",INDEX('TMP Paste'!$K$2:$K$1601,$AS130))</f>
        <v/>
      </c>
      <c r="P130" t="str">
        <f t="shared" ref="P130:P193" si="13">IF($AS130="","","")</f>
        <v/>
      </c>
      <c r="Q130" t="str">
        <f>IF($AS130="","",INDEX('TMP Paste'!$J$2:$J$1601,$AS130))</f>
        <v/>
      </c>
      <c r="R130" t="str">
        <f>IF($AS130="","",Config!$B$24)</f>
        <v/>
      </c>
      <c r="S130" t="str">
        <f ca="1">IF($AS130="","",TEXT(Config!$B$4,"yyyy-mm-dd"))</f>
        <v/>
      </c>
      <c r="T130" t="str">
        <f>IF($AS130="","",Config!$B$17)</f>
        <v/>
      </c>
      <c r="U130" t="str">
        <f>IF($AS130="","",Config!$B$18)</f>
        <v/>
      </c>
      <c r="V130" t="str">
        <f>IF($AS130="","",Config!$B$19)</f>
        <v/>
      </c>
      <c r="W130" t="str">
        <f>IF($AS130="","",INDEX('TMP Paste'!$C$2:$C$1601,$AS130))</f>
        <v/>
      </c>
      <c r="X130" t="str">
        <f>IF($AS130="","",Config!$B$29)</f>
        <v/>
      </c>
      <c r="Y130" t="str">
        <f>IF($AT130="","",INDEX(Calc!$I$2:$I$1601,$AT130)&amp;" - "&amp;INDEX(Calc!$D$2:$D$1601,$AT130)&amp;" koli")</f>
        <v/>
      </c>
      <c r="Z130" t="str">
        <f>IF($AS130="","",Config!$B$21)</f>
        <v/>
      </c>
      <c r="AA130" t="str">
        <f>IF($AS130="","",Config!$B$22)</f>
        <v/>
      </c>
      <c r="AB130" t="str">
        <f>IF($AT130="","",INDEX(Calc!$D$2:$D$1601,$AT130))</f>
        <v/>
      </c>
      <c r="AC130" t="str">
        <f>IF($AT130="","",INDEX(Calc!$G$2:$G$1601,$AT130))</f>
        <v/>
      </c>
      <c r="AD130" t="str">
        <f>IF($AS130="","",Config!$B$23)</f>
        <v/>
      </c>
      <c r="AE130" t="str">
        <f>IF($AS130="","",Config!$B$28)</f>
        <v/>
      </c>
      <c r="AF130" t="str">
        <f t="shared" ref="AF130:AF193" si="14">IF($AS130="","",IF(OR($AU130="",$AU130&lt;=0,$AU130&gt;=1000000),"",IF($AU130&lt;10000,10,100)))</f>
        <v/>
      </c>
      <c r="AG130" t="str">
        <f t="shared" ref="AG130:AG193" si="15">IF($AS130="","",IF(OR($AU130="",$AU130&lt;=0,$AU130&gt;=1000000),"",IF($AU130&lt;10000,$AU130/100,IF($AU130&lt;100000,$AU130/1000,$AU130/10000))))</f>
        <v/>
      </c>
      <c r="AH130" t="str">
        <f t="shared" ref="AH130:AH193" si="16">IF($AS130="","",IF(OR($AU130="",$AU130&lt;=0,$AU130&gt;=1000000),"",IF($AU130&lt;100000,10,100)))</f>
        <v/>
      </c>
      <c r="AI130" t="str">
        <f>IF($AG130="","",SUMIF($AG$2:$AG130,$AG130,$AH$2:$AH130))</f>
        <v/>
      </c>
      <c r="AJ130" t="str">
        <f>IF('TMP Paste'!$F130="","",IF('TMP Paste'!$B130="",$AJ129,'TMP Paste'!$B130))</f>
        <v/>
      </c>
      <c r="AK130" t="str">
        <f>IF('TMP Paste'!$F130="","",N('TMP Paste'!$G130))</f>
        <v/>
      </c>
      <c r="AL130" t="str">
        <f>IF('TMP Paste'!$F130="","",IF('TMP Paste'!$M130="",$AL129,'TMP Paste'!$M130))</f>
        <v/>
      </c>
      <c r="AM130" t="str">
        <f>IF('TMP Paste'!$F130="","",IF('TMP Paste'!$N130="",$AM129,'TMP Paste'!$N130))</f>
        <v/>
      </c>
      <c r="AN130" t="str">
        <f>IF('TMP Paste'!$F130="","",IF('TMP Paste'!$O130="",$AN129,'TMP Paste'!$O130))</f>
        <v/>
      </c>
      <c r="AO130" t="str">
        <f>IF('TMP Paste'!$F130="","",IF('TMP Paste'!$P130="",$AO129,'TMP Paste'!$P130))</f>
        <v/>
      </c>
      <c r="AP130" t="str">
        <f t="shared" ref="AP130:AP193" si="17">IF($AG130="","",LEN($R130))</f>
        <v/>
      </c>
      <c r="AQ130" t="str">
        <f>IF($AS130="","",TRIM(IF(COUNTIFS(Calc!$B$2:$B$1601,ROW()-1,Calc!$C$2:$C$1601,"&lt;1")&gt;0,"Ada PO tanpa Koli - cek TMP. ","")&amp;IF(OR($AU130="",$AU130&lt;=0),"Volume kosong/0 - dimensi dikosongkan. ","")&amp;IF(AND($AU130&lt;&gt;"",$AU130&gt;=1000000),"Volume &gt;= 1.000.000 cm3 (di luar aturan) - dimensi dikosongkan. ","")&amp;IF(LEN($R130)&gt;500,"R &gt; 500 karakter.","")))</f>
        <v/>
      </c>
      <c r="AS130" t="str">
        <f>IFERROR(MATCH(ROW()-1,Calc!$J$2:$J$1601,0),"")</f>
        <v/>
      </c>
      <c r="AT130" t="str">
        <f>IFERROR(MATCH(ROW()-1,Calc!$K$2:$K$1601,0),"")</f>
        <v/>
      </c>
      <c r="AU130" t="str">
        <f>IF($AS130="","",IFERROR(INDEX('TMP Paste'!$D$2:$D$1601,$AS130)*1000000/$AB130,""))</f>
        <v/>
      </c>
    </row>
    <row r="131" spans="1:47">
      <c r="A131" t="str">
        <f>IF($AS131="","",INDEX('TMP Paste'!$B$2:$B$1601,$AS131))</f>
        <v/>
      </c>
      <c r="B131" t="str">
        <f>IF($AS131="","",Config!$B$14)</f>
        <v/>
      </c>
      <c r="C131" t="str">
        <f>IF($AS131="","",Config!$B$15)</f>
        <v/>
      </c>
      <c r="D131" t="str">
        <f>IF($AS131="","",INDEX('TMP Paste'!$B$2:$B$1601,$AS131))</f>
        <v/>
      </c>
      <c r="E131" t="str">
        <f>IF($AS131="","",Config!$B$27)</f>
        <v/>
      </c>
      <c r="F131" t="str">
        <f>IF($AS131="","",Config!$B$9)</f>
        <v/>
      </c>
      <c r="G131" t="str">
        <f>IF($AS131="","",Config!$B$10)</f>
        <v/>
      </c>
      <c r="H131" t="str">
        <f>IF($AS131="","",Config!$B$11)</f>
        <v/>
      </c>
      <c r="I131" t="str">
        <f>IF($AS131="","",Config!$B$16)</f>
        <v/>
      </c>
      <c r="J131" t="str">
        <f>IF($AS131="","",INDEX('TMP Paste'!$A$2:$A$1601,$AS131))</f>
        <v/>
      </c>
      <c r="K131" t="str">
        <f>IF($AS131="","",INDEX('TMP Paste'!$L$2:$L$1601,$AS131))</f>
        <v/>
      </c>
      <c r="L131" t="str">
        <f>IF($AS131="","",INDEX('TMP Paste'!$I$2:$I$1601,$AS131))</f>
        <v/>
      </c>
      <c r="M131" t="str">
        <f>IF($AS131="","",Config!$B$16)</f>
        <v/>
      </c>
      <c r="N131" t="str">
        <f t="shared" si="12"/>
        <v/>
      </c>
      <c r="O131" t="str">
        <f>IF($AS131="","",INDEX('TMP Paste'!$K$2:$K$1601,$AS131))</f>
        <v/>
      </c>
      <c r="P131" t="str">
        <f t="shared" si="13"/>
        <v/>
      </c>
      <c r="Q131" t="str">
        <f>IF($AS131="","",INDEX('TMP Paste'!$J$2:$J$1601,$AS131))</f>
        <v/>
      </c>
      <c r="R131" t="str">
        <f>IF($AS131="","",Config!$B$24)</f>
        <v/>
      </c>
      <c r="S131" t="str">
        <f ca="1">IF($AS131="","",TEXT(Config!$B$4,"yyyy-mm-dd"))</f>
        <v/>
      </c>
      <c r="T131" t="str">
        <f>IF($AS131="","",Config!$B$17)</f>
        <v/>
      </c>
      <c r="U131" t="str">
        <f>IF($AS131="","",Config!$B$18)</f>
        <v/>
      </c>
      <c r="V131" t="str">
        <f>IF($AS131="","",Config!$B$19)</f>
        <v/>
      </c>
      <c r="W131" t="str">
        <f>IF($AS131="","",INDEX('TMP Paste'!$C$2:$C$1601,$AS131))</f>
        <v/>
      </c>
      <c r="X131" t="str">
        <f>IF($AS131="","",Config!$B$29)</f>
        <v/>
      </c>
      <c r="Y131" t="str">
        <f>IF($AT131="","",INDEX(Calc!$I$2:$I$1601,$AT131)&amp;" - "&amp;INDEX(Calc!$D$2:$D$1601,$AT131)&amp;" koli")</f>
        <v/>
      </c>
      <c r="Z131" t="str">
        <f>IF($AS131="","",Config!$B$21)</f>
        <v/>
      </c>
      <c r="AA131" t="str">
        <f>IF($AS131="","",Config!$B$22)</f>
        <v/>
      </c>
      <c r="AB131" t="str">
        <f>IF($AT131="","",INDEX(Calc!$D$2:$D$1601,$AT131))</f>
        <v/>
      </c>
      <c r="AC131" t="str">
        <f>IF($AT131="","",INDEX(Calc!$G$2:$G$1601,$AT131))</f>
        <v/>
      </c>
      <c r="AD131" t="str">
        <f>IF($AS131="","",Config!$B$23)</f>
        <v/>
      </c>
      <c r="AE131" t="str">
        <f>IF($AS131="","",Config!$B$28)</f>
        <v/>
      </c>
      <c r="AF131" t="str">
        <f t="shared" si="14"/>
        <v/>
      </c>
      <c r="AG131" t="str">
        <f t="shared" si="15"/>
        <v/>
      </c>
      <c r="AH131" t="str">
        <f t="shared" si="16"/>
        <v/>
      </c>
      <c r="AI131" t="str">
        <f>IF($AG131="","",SUMIF($AG$2:$AG131,$AG131,$AH$2:$AH131))</f>
        <v/>
      </c>
      <c r="AJ131" t="str">
        <f>IF('TMP Paste'!$F131="","",IF('TMP Paste'!$B131="",$AJ130,'TMP Paste'!$B131))</f>
        <v/>
      </c>
      <c r="AK131" t="str">
        <f>IF('TMP Paste'!$F131="","",N('TMP Paste'!$G131))</f>
        <v/>
      </c>
      <c r="AL131" t="str">
        <f>IF('TMP Paste'!$F131="","",IF('TMP Paste'!$M131="",$AL130,'TMP Paste'!$M131))</f>
        <v/>
      </c>
      <c r="AM131" t="str">
        <f>IF('TMP Paste'!$F131="","",IF('TMP Paste'!$N131="",$AM130,'TMP Paste'!$N131))</f>
        <v/>
      </c>
      <c r="AN131" t="str">
        <f>IF('TMP Paste'!$F131="","",IF('TMP Paste'!$O131="",$AN130,'TMP Paste'!$O131))</f>
        <v/>
      </c>
      <c r="AO131" t="str">
        <f>IF('TMP Paste'!$F131="","",IF('TMP Paste'!$P131="",$AO130,'TMP Paste'!$P131))</f>
        <v/>
      </c>
      <c r="AP131" t="str">
        <f t="shared" si="17"/>
        <v/>
      </c>
      <c r="AQ131" t="str">
        <f>IF($AS131="","",TRIM(IF(COUNTIFS(Calc!$B$2:$B$1601,ROW()-1,Calc!$C$2:$C$1601,"&lt;1")&gt;0,"Ada PO tanpa Koli - cek TMP. ","")&amp;IF(OR($AU131="",$AU131&lt;=0),"Volume kosong/0 - dimensi dikosongkan. ","")&amp;IF(AND($AU131&lt;&gt;"",$AU131&gt;=1000000),"Volume &gt;= 1.000.000 cm3 (di luar aturan) - dimensi dikosongkan. ","")&amp;IF(LEN($R131)&gt;500,"R &gt; 500 karakter.","")))</f>
        <v/>
      </c>
      <c r="AS131" t="str">
        <f>IFERROR(MATCH(ROW()-1,Calc!$J$2:$J$1601,0),"")</f>
        <v/>
      </c>
      <c r="AT131" t="str">
        <f>IFERROR(MATCH(ROW()-1,Calc!$K$2:$K$1601,0),"")</f>
        <v/>
      </c>
      <c r="AU131" t="str">
        <f>IF($AS131="","",IFERROR(INDEX('TMP Paste'!$D$2:$D$1601,$AS131)*1000000/$AB131,""))</f>
        <v/>
      </c>
    </row>
    <row r="132" spans="1:47">
      <c r="A132" t="str">
        <f>IF($AS132="","",INDEX('TMP Paste'!$B$2:$B$1601,$AS132))</f>
        <v/>
      </c>
      <c r="B132" t="str">
        <f>IF($AS132="","",Config!$B$14)</f>
        <v/>
      </c>
      <c r="C132" t="str">
        <f>IF($AS132="","",Config!$B$15)</f>
        <v/>
      </c>
      <c r="D132" t="str">
        <f>IF($AS132="","",INDEX('TMP Paste'!$B$2:$B$1601,$AS132))</f>
        <v/>
      </c>
      <c r="E132" t="str">
        <f>IF($AS132="","",Config!$B$27)</f>
        <v/>
      </c>
      <c r="F132" t="str">
        <f>IF($AS132="","",Config!$B$9)</f>
        <v/>
      </c>
      <c r="G132" t="str">
        <f>IF($AS132="","",Config!$B$10)</f>
        <v/>
      </c>
      <c r="H132" t="str">
        <f>IF($AS132="","",Config!$B$11)</f>
        <v/>
      </c>
      <c r="I132" t="str">
        <f>IF($AS132="","",Config!$B$16)</f>
        <v/>
      </c>
      <c r="J132" t="str">
        <f>IF($AS132="","",INDEX('TMP Paste'!$A$2:$A$1601,$AS132))</f>
        <v/>
      </c>
      <c r="K132" t="str">
        <f>IF($AS132="","",INDEX('TMP Paste'!$L$2:$L$1601,$AS132))</f>
        <v/>
      </c>
      <c r="L132" t="str">
        <f>IF($AS132="","",INDEX('TMP Paste'!$I$2:$I$1601,$AS132))</f>
        <v/>
      </c>
      <c r="M132" t="str">
        <f>IF($AS132="","",Config!$B$16)</f>
        <v/>
      </c>
      <c r="N132" t="str">
        <f t="shared" si="12"/>
        <v/>
      </c>
      <c r="O132" t="str">
        <f>IF($AS132="","",INDEX('TMP Paste'!$K$2:$K$1601,$AS132))</f>
        <v/>
      </c>
      <c r="P132" t="str">
        <f t="shared" si="13"/>
        <v/>
      </c>
      <c r="Q132" t="str">
        <f>IF($AS132="","",INDEX('TMP Paste'!$J$2:$J$1601,$AS132))</f>
        <v/>
      </c>
      <c r="R132" t="str">
        <f>IF($AS132="","",Config!$B$24)</f>
        <v/>
      </c>
      <c r="S132" t="str">
        <f ca="1">IF($AS132="","",TEXT(Config!$B$4,"yyyy-mm-dd"))</f>
        <v/>
      </c>
      <c r="T132" t="str">
        <f>IF($AS132="","",Config!$B$17)</f>
        <v/>
      </c>
      <c r="U132" t="str">
        <f>IF($AS132="","",Config!$B$18)</f>
        <v/>
      </c>
      <c r="V132" t="str">
        <f>IF($AS132="","",Config!$B$19)</f>
        <v/>
      </c>
      <c r="W132" t="str">
        <f>IF($AS132="","",INDEX('TMP Paste'!$C$2:$C$1601,$AS132))</f>
        <v/>
      </c>
      <c r="X132" t="str">
        <f>IF($AS132="","",Config!$B$29)</f>
        <v/>
      </c>
      <c r="Y132" t="str">
        <f>IF($AT132="","",INDEX(Calc!$I$2:$I$1601,$AT132)&amp;" - "&amp;INDEX(Calc!$D$2:$D$1601,$AT132)&amp;" koli")</f>
        <v/>
      </c>
      <c r="Z132" t="str">
        <f>IF($AS132="","",Config!$B$21)</f>
        <v/>
      </c>
      <c r="AA132" t="str">
        <f>IF($AS132="","",Config!$B$22)</f>
        <v/>
      </c>
      <c r="AB132" t="str">
        <f>IF($AT132="","",INDEX(Calc!$D$2:$D$1601,$AT132))</f>
        <v/>
      </c>
      <c r="AC132" t="str">
        <f>IF($AT132="","",INDEX(Calc!$G$2:$G$1601,$AT132))</f>
        <v/>
      </c>
      <c r="AD132" t="str">
        <f>IF($AS132="","",Config!$B$23)</f>
        <v/>
      </c>
      <c r="AE132" t="str">
        <f>IF($AS132="","",Config!$B$28)</f>
        <v/>
      </c>
      <c r="AF132" t="str">
        <f t="shared" si="14"/>
        <v/>
      </c>
      <c r="AG132" t="str">
        <f t="shared" si="15"/>
        <v/>
      </c>
      <c r="AH132" t="str">
        <f t="shared" si="16"/>
        <v/>
      </c>
      <c r="AI132" t="str">
        <f>IF($AG132="","",SUMIF($AG$2:$AG132,$AG132,$AH$2:$AH132))</f>
        <v/>
      </c>
      <c r="AJ132" t="str">
        <f>IF('TMP Paste'!$F132="","",IF('TMP Paste'!$B132="",$AJ131,'TMP Paste'!$B132))</f>
        <v>AWB02WLNK</v>
      </c>
      <c r="AK132">
        <f>IF('TMP Paste'!$F132="","",N('TMP Paste'!$G132))</f>
        <v>0</v>
      </c>
      <c r="AL132">
        <f>IF('TMP Paste'!$F132="","",IF('TMP Paste'!$M132="",$AL131,'TMP Paste'!$M132))</f>
        <v>1</v>
      </c>
      <c r="AM132" t="str">
        <f>IF('TMP Paste'!$F132="","",IF('TMP Paste'!$N132="",$AM131,'TMP Paste'!$N132))</f>
        <v/>
      </c>
      <c r="AN132" t="str">
        <f>IF('TMP Paste'!$F132="","",IF('TMP Paste'!$O132="",$AN131,'TMP Paste'!$O132))</f>
        <v/>
      </c>
      <c r="AO132" t="str">
        <f>IF('TMP Paste'!$F132="","",IF('TMP Paste'!$P132="",$AO131,'TMP Paste'!$P132))</f>
        <v/>
      </c>
      <c r="AP132" t="str">
        <f t="shared" si="17"/>
        <v/>
      </c>
      <c r="AQ132" t="str">
        <f>IF($AS132="","",TRIM(IF(COUNTIFS(Calc!$B$2:$B$1601,ROW()-1,Calc!$C$2:$C$1601,"&lt;1")&gt;0,"Ada PO tanpa Koli - cek TMP. ","")&amp;IF(OR($AU132="",$AU132&lt;=0),"Volume kosong/0 - dimensi dikosongkan. ","")&amp;IF(AND($AU132&lt;&gt;"",$AU132&gt;=1000000),"Volume &gt;= 1.000.000 cm3 (di luar aturan) - dimensi dikosongkan. ","")&amp;IF(LEN($R132)&gt;500,"R &gt; 500 karakter.","")))</f>
        <v/>
      </c>
      <c r="AS132" t="str">
        <f>IFERROR(MATCH(ROW()-1,Calc!$J$2:$J$1601,0),"")</f>
        <v/>
      </c>
      <c r="AT132" t="str">
        <f>IFERROR(MATCH(ROW()-1,Calc!$K$2:$K$1601,0),"")</f>
        <v/>
      </c>
      <c r="AU132" t="str">
        <f>IF($AS132="","",IFERROR(INDEX('TMP Paste'!$D$2:$D$1601,$AS132)*1000000/$AB132,""))</f>
        <v/>
      </c>
    </row>
    <row r="133" spans="1:47">
      <c r="A133" t="str">
        <f>IF($AS133="","",INDEX('TMP Paste'!$B$2:$B$1601,$AS133))</f>
        <v/>
      </c>
      <c r="B133" t="str">
        <f>IF($AS133="","",Config!$B$14)</f>
        <v/>
      </c>
      <c r="C133" t="str">
        <f>IF($AS133="","",Config!$B$15)</f>
        <v/>
      </c>
      <c r="D133" t="str">
        <f>IF($AS133="","",INDEX('TMP Paste'!$B$2:$B$1601,$AS133))</f>
        <v/>
      </c>
      <c r="E133" t="str">
        <f>IF($AS133="","",Config!$B$27)</f>
        <v/>
      </c>
      <c r="F133" t="str">
        <f>IF($AS133="","",Config!$B$9)</f>
        <v/>
      </c>
      <c r="G133" t="str">
        <f>IF($AS133="","",Config!$B$10)</f>
        <v/>
      </c>
      <c r="H133" t="str">
        <f>IF($AS133="","",Config!$B$11)</f>
        <v/>
      </c>
      <c r="I133" t="str">
        <f>IF($AS133="","",Config!$B$16)</f>
        <v/>
      </c>
      <c r="J133" t="str">
        <f>IF($AS133="","",INDEX('TMP Paste'!$A$2:$A$1601,$AS133))</f>
        <v/>
      </c>
      <c r="K133" t="str">
        <f>IF($AS133="","",INDEX('TMP Paste'!$L$2:$L$1601,$AS133))</f>
        <v/>
      </c>
      <c r="L133" t="str">
        <f>IF($AS133="","",INDEX('TMP Paste'!$I$2:$I$1601,$AS133))</f>
        <v/>
      </c>
      <c r="M133" t="str">
        <f>IF($AS133="","",Config!$B$16)</f>
        <v/>
      </c>
      <c r="N133" t="str">
        <f t="shared" si="12"/>
        <v/>
      </c>
      <c r="O133" t="str">
        <f>IF($AS133="","",INDEX('TMP Paste'!$K$2:$K$1601,$AS133))</f>
        <v/>
      </c>
      <c r="P133" t="str">
        <f t="shared" si="13"/>
        <v/>
      </c>
      <c r="Q133" t="str">
        <f>IF($AS133="","",INDEX('TMP Paste'!$J$2:$J$1601,$AS133))</f>
        <v/>
      </c>
      <c r="R133" t="str">
        <f>IF($AS133="","",Config!$B$24)</f>
        <v/>
      </c>
      <c r="S133" t="str">
        <f ca="1">IF($AS133="","",TEXT(Config!$B$4,"yyyy-mm-dd"))</f>
        <v/>
      </c>
      <c r="T133" t="str">
        <f>IF($AS133="","",Config!$B$17)</f>
        <v/>
      </c>
      <c r="U133" t="str">
        <f>IF($AS133="","",Config!$B$18)</f>
        <v/>
      </c>
      <c r="V133" t="str">
        <f>IF($AS133="","",Config!$B$19)</f>
        <v/>
      </c>
      <c r="W133" t="str">
        <f>IF($AS133="","",INDEX('TMP Paste'!$C$2:$C$1601,$AS133))</f>
        <v/>
      </c>
      <c r="X133" t="str">
        <f>IF($AS133="","",Config!$B$29)</f>
        <v/>
      </c>
      <c r="Y133" t="str">
        <f>IF($AT133="","",INDEX(Calc!$I$2:$I$1601,$AT133)&amp;" - "&amp;INDEX(Calc!$D$2:$D$1601,$AT133)&amp;" koli")</f>
        <v/>
      </c>
      <c r="Z133" t="str">
        <f>IF($AS133="","",Config!$B$21)</f>
        <v/>
      </c>
      <c r="AA133" t="str">
        <f>IF($AS133="","",Config!$B$22)</f>
        <v/>
      </c>
      <c r="AB133" t="str">
        <f>IF($AT133="","",INDEX(Calc!$D$2:$D$1601,$AT133))</f>
        <v/>
      </c>
      <c r="AC133" t="str">
        <f>IF($AT133="","",INDEX(Calc!$G$2:$G$1601,$AT133))</f>
        <v/>
      </c>
      <c r="AD133" t="str">
        <f>IF($AS133="","",Config!$B$23)</f>
        <v/>
      </c>
      <c r="AE133" t="str">
        <f>IF($AS133="","",Config!$B$28)</f>
        <v/>
      </c>
      <c r="AF133" t="str">
        <f t="shared" si="14"/>
        <v/>
      </c>
      <c r="AG133" t="str">
        <f t="shared" si="15"/>
        <v/>
      </c>
      <c r="AH133" t="str">
        <f t="shared" si="16"/>
        <v/>
      </c>
      <c r="AI133" t="str">
        <f>IF($AG133="","",SUMIF($AG$2:$AG133,$AG133,$AH$2:$AH133))</f>
        <v/>
      </c>
      <c r="AJ133" t="str">
        <f>IF('TMP Paste'!$F133="","",IF('TMP Paste'!$B133="",$AJ132,'TMP Paste'!$B133))</f>
        <v/>
      </c>
      <c r="AK133" t="str">
        <f>IF('TMP Paste'!$F133="","",N('TMP Paste'!$G133))</f>
        <v/>
      </c>
      <c r="AL133" t="str">
        <f>IF('TMP Paste'!$F133="","",IF('TMP Paste'!$M133="",$AL132,'TMP Paste'!$M133))</f>
        <v/>
      </c>
      <c r="AM133" t="str">
        <f>IF('TMP Paste'!$F133="","",IF('TMP Paste'!$N133="",$AM132,'TMP Paste'!$N133))</f>
        <v/>
      </c>
      <c r="AN133" t="str">
        <f>IF('TMP Paste'!$F133="","",IF('TMP Paste'!$O133="",$AN132,'TMP Paste'!$O133))</f>
        <v/>
      </c>
      <c r="AO133" t="str">
        <f>IF('TMP Paste'!$F133="","",IF('TMP Paste'!$P133="",$AO132,'TMP Paste'!$P133))</f>
        <v/>
      </c>
      <c r="AP133" t="str">
        <f t="shared" si="17"/>
        <v/>
      </c>
      <c r="AQ133" t="str">
        <f>IF($AS133="","",TRIM(IF(COUNTIFS(Calc!$B$2:$B$1601,ROW()-1,Calc!$C$2:$C$1601,"&lt;1")&gt;0,"Ada PO tanpa Koli - cek TMP. ","")&amp;IF(OR($AU133="",$AU133&lt;=0),"Volume kosong/0 - dimensi dikosongkan. ","")&amp;IF(AND($AU133&lt;&gt;"",$AU133&gt;=1000000),"Volume &gt;= 1.000.000 cm3 (di luar aturan) - dimensi dikosongkan. ","")&amp;IF(LEN($R133)&gt;500,"R &gt; 500 karakter.","")))</f>
        <v/>
      </c>
      <c r="AS133" t="str">
        <f>IFERROR(MATCH(ROW()-1,Calc!$J$2:$J$1601,0),"")</f>
        <v/>
      </c>
      <c r="AT133" t="str">
        <f>IFERROR(MATCH(ROW()-1,Calc!$K$2:$K$1601,0),"")</f>
        <v/>
      </c>
      <c r="AU133" t="str">
        <f>IF($AS133="","",IFERROR(INDEX('TMP Paste'!$D$2:$D$1601,$AS133)*1000000/$AB133,""))</f>
        <v/>
      </c>
    </row>
    <row r="134" spans="1:47">
      <c r="A134" t="str">
        <f>IF($AS134="","",INDEX('TMP Paste'!$B$2:$B$1601,$AS134))</f>
        <v/>
      </c>
      <c r="B134" t="str">
        <f>IF($AS134="","",Config!$B$14)</f>
        <v/>
      </c>
      <c r="C134" t="str">
        <f>IF($AS134="","",Config!$B$15)</f>
        <v/>
      </c>
      <c r="D134" t="str">
        <f>IF($AS134="","",INDEX('TMP Paste'!$B$2:$B$1601,$AS134))</f>
        <v/>
      </c>
      <c r="E134" t="str">
        <f>IF($AS134="","",Config!$B$27)</f>
        <v/>
      </c>
      <c r="F134" t="str">
        <f>IF($AS134="","",Config!$B$9)</f>
        <v/>
      </c>
      <c r="G134" t="str">
        <f>IF($AS134="","",Config!$B$10)</f>
        <v/>
      </c>
      <c r="H134" t="str">
        <f>IF($AS134="","",Config!$B$11)</f>
        <v/>
      </c>
      <c r="I134" t="str">
        <f>IF($AS134="","",Config!$B$16)</f>
        <v/>
      </c>
      <c r="J134" t="str">
        <f>IF($AS134="","",INDEX('TMP Paste'!$A$2:$A$1601,$AS134))</f>
        <v/>
      </c>
      <c r="K134" t="str">
        <f>IF($AS134="","",INDEX('TMP Paste'!$L$2:$L$1601,$AS134))</f>
        <v/>
      </c>
      <c r="L134" t="str">
        <f>IF($AS134="","",INDEX('TMP Paste'!$I$2:$I$1601,$AS134))</f>
        <v/>
      </c>
      <c r="M134" t="str">
        <f>IF($AS134="","",Config!$B$16)</f>
        <v/>
      </c>
      <c r="N134" t="str">
        <f t="shared" si="12"/>
        <v/>
      </c>
      <c r="O134" t="str">
        <f>IF($AS134="","",INDEX('TMP Paste'!$K$2:$K$1601,$AS134))</f>
        <v/>
      </c>
      <c r="P134" t="str">
        <f t="shared" si="13"/>
        <v/>
      </c>
      <c r="Q134" t="str">
        <f>IF($AS134="","",INDEX('TMP Paste'!$J$2:$J$1601,$AS134))</f>
        <v/>
      </c>
      <c r="R134" t="str">
        <f>IF($AS134="","",Config!$B$24)</f>
        <v/>
      </c>
      <c r="S134" t="str">
        <f ca="1">IF($AS134="","",TEXT(Config!$B$4,"yyyy-mm-dd"))</f>
        <v/>
      </c>
      <c r="T134" t="str">
        <f>IF($AS134="","",Config!$B$17)</f>
        <v/>
      </c>
      <c r="U134" t="str">
        <f>IF($AS134="","",Config!$B$18)</f>
        <v/>
      </c>
      <c r="V134" t="str">
        <f>IF($AS134="","",Config!$B$19)</f>
        <v/>
      </c>
      <c r="W134" t="str">
        <f>IF($AS134="","",INDEX('TMP Paste'!$C$2:$C$1601,$AS134))</f>
        <v/>
      </c>
      <c r="X134" t="str">
        <f>IF($AS134="","",Config!$B$29)</f>
        <v/>
      </c>
      <c r="Y134" t="str">
        <f>IF($AT134="","",INDEX(Calc!$I$2:$I$1601,$AT134)&amp;" - "&amp;INDEX(Calc!$D$2:$D$1601,$AT134)&amp;" koli")</f>
        <v/>
      </c>
      <c r="Z134" t="str">
        <f>IF($AS134="","",Config!$B$21)</f>
        <v/>
      </c>
      <c r="AA134" t="str">
        <f>IF($AS134="","",Config!$B$22)</f>
        <v/>
      </c>
      <c r="AB134" t="str">
        <f>IF($AT134="","",INDEX(Calc!$D$2:$D$1601,$AT134))</f>
        <v/>
      </c>
      <c r="AC134" t="str">
        <f>IF($AT134="","",INDEX(Calc!$G$2:$G$1601,$AT134))</f>
        <v/>
      </c>
      <c r="AD134" t="str">
        <f>IF($AS134="","",Config!$B$23)</f>
        <v/>
      </c>
      <c r="AE134" t="str">
        <f>IF($AS134="","",Config!$B$28)</f>
        <v/>
      </c>
      <c r="AF134" t="str">
        <f t="shared" si="14"/>
        <v/>
      </c>
      <c r="AG134" t="str">
        <f t="shared" si="15"/>
        <v/>
      </c>
      <c r="AH134" t="str">
        <f t="shared" si="16"/>
        <v/>
      </c>
      <c r="AI134" t="str">
        <f>IF($AG134="","",SUMIF($AG$2:$AG134,$AG134,$AH$2:$AH134))</f>
        <v/>
      </c>
      <c r="AJ134" t="str">
        <f>IF('TMP Paste'!$F134="","",IF('TMP Paste'!$B134="",$AJ133,'TMP Paste'!$B134))</f>
        <v/>
      </c>
      <c r="AK134" t="str">
        <f>IF('TMP Paste'!$F134="","",N('TMP Paste'!$G134))</f>
        <v/>
      </c>
      <c r="AL134" t="str">
        <f>IF('TMP Paste'!$F134="","",IF('TMP Paste'!$M134="",$AL133,'TMP Paste'!$M134))</f>
        <v/>
      </c>
      <c r="AM134" t="str">
        <f>IF('TMP Paste'!$F134="","",IF('TMP Paste'!$N134="",$AM133,'TMP Paste'!$N134))</f>
        <v/>
      </c>
      <c r="AN134" t="str">
        <f>IF('TMP Paste'!$F134="","",IF('TMP Paste'!$O134="",$AN133,'TMP Paste'!$O134))</f>
        <v/>
      </c>
      <c r="AO134" t="str">
        <f>IF('TMP Paste'!$F134="","",IF('TMP Paste'!$P134="",$AO133,'TMP Paste'!$P134))</f>
        <v/>
      </c>
      <c r="AP134" t="str">
        <f t="shared" si="17"/>
        <v/>
      </c>
      <c r="AQ134" t="str">
        <f>IF($AS134="","",TRIM(IF(COUNTIFS(Calc!$B$2:$B$1601,ROW()-1,Calc!$C$2:$C$1601,"&lt;1")&gt;0,"Ada PO tanpa Koli - cek TMP. ","")&amp;IF(OR($AU134="",$AU134&lt;=0),"Volume kosong/0 - dimensi dikosongkan. ","")&amp;IF(AND($AU134&lt;&gt;"",$AU134&gt;=1000000),"Volume &gt;= 1.000.000 cm3 (di luar aturan) - dimensi dikosongkan. ","")&amp;IF(LEN($R134)&gt;500,"R &gt; 500 karakter.","")))</f>
        <v/>
      </c>
      <c r="AS134" t="str">
        <f>IFERROR(MATCH(ROW()-1,Calc!$J$2:$J$1601,0),"")</f>
        <v/>
      </c>
      <c r="AT134" t="str">
        <f>IFERROR(MATCH(ROW()-1,Calc!$K$2:$K$1601,0),"")</f>
        <v/>
      </c>
      <c r="AU134" t="str">
        <f>IF($AS134="","",IFERROR(INDEX('TMP Paste'!$D$2:$D$1601,$AS134)*1000000/$AB134,""))</f>
        <v/>
      </c>
    </row>
    <row r="135" spans="1:47">
      <c r="A135" t="str">
        <f>IF($AS135="","",INDEX('TMP Paste'!$B$2:$B$1601,$AS135))</f>
        <v/>
      </c>
      <c r="B135" t="str">
        <f>IF($AS135="","",Config!$B$14)</f>
        <v/>
      </c>
      <c r="C135" t="str">
        <f>IF($AS135="","",Config!$B$15)</f>
        <v/>
      </c>
      <c r="D135" t="str">
        <f>IF($AS135="","",INDEX('TMP Paste'!$B$2:$B$1601,$AS135))</f>
        <v/>
      </c>
      <c r="E135" t="str">
        <f>IF($AS135="","",Config!$B$27)</f>
        <v/>
      </c>
      <c r="F135" t="str">
        <f>IF($AS135="","",Config!$B$9)</f>
        <v/>
      </c>
      <c r="G135" t="str">
        <f>IF($AS135="","",Config!$B$10)</f>
        <v/>
      </c>
      <c r="H135" t="str">
        <f>IF($AS135="","",Config!$B$11)</f>
        <v/>
      </c>
      <c r="I135" t="str">
        <f>IF($AS135="","",Config!$B$16)</f>
        <v/>
      </c>
      <c r="J135" t="str">
        <f>IF($AS135="","",INDEX('TMP Paste'!$A$2:$A$1601,$AS135))</f>
        <v/>
      </c>
      <c r="K135" t="str">
        <f>IF($AS135="","",INDEX('TMP Paste'!$L$2:$L$1601,$AS135))</f>
        <v/>
      </c>
      <c r="L135" t="str">
        <f>IF($AS135="","",INDEX('TMP Paste'!$I$2:$I$1601,$AS135))</f>
        <v/>
      </c>
      <c r="M135" t="str">
        <f>IF($AS135="","",Config!$B$16)</f>
        <v/>
      </c>
      <c r="N135" t="str">
        <f t="shared" si="12"/>
        <v/>
      </c>
      <c r="O135" t="str">
        <f>IF($AS135="","",INDEX('TMP Paste'!$K$2:$K$1601,$AS135))</f>
        <v/>
      </c>
      <c r="P135" t="str">
        <f t="shared" si="13"/>
        <v/>
      </c>
      <c r="Q135" t="str">
        <f>IF($AS135="","",INDEX('TMP Paste'!$J$2:$J$1601,$AS135))</f>
        <v/>
      </c>
      <c r="R135" t="str">
        <f>IF($AS135="","",Config!$B$24)</f>
        <v/>
      </c>
      <c r="S135" t="str">
        <f ca="1">IF($AS135="","",TEXT(Config!$B$4,"yyyy-mm-dd"))</f>
        <v/>
      </c>
      <c r="T135" t="str">
        <f>IF($AS135="","",Config!$B$17)</f>
        <v/>
      </c>
      <c r="U135" t="str">
        <f>IF($AS135="","",Config!$B$18)</f>
        <v/>
      </c>
      <c r="V135" t="str">
        <f>IF($AS135="","",Config!$B$19)</f>
        <v/>
      </c>
      <c r="W135" t="str">
        <f>IF($AS135="","",INDEX('TMP Paste'!$C$2:$C$1601,$AS135))</f>
        <v/>
      </c>
      <c r="X135" t="str">
        <f>IF($AS135="","",Config!$B$29)</f>
        <v/>
      </c>
      <c r="Y135" t="str">
        <f>IF($AT135="","",INDEX(Calc!$I$2:$I$1601,$AT135)&amp;" - "&amp;INDEX(Calc!$D$2:$D$1601,$AT135)&amp;" koli")</f>
        <v/>
      </c>
      <c r="Z135" t="str">
        <f>IF($AS135="","",Config!$B$21)</f>
        <v/>
      </c>
      <c r="AA135" t="str">
        <f>IF($AS135="","",Config!$B$22)</f>
        <v/>
      </c>
      <c r="AB135" t="str">
        <f>IF($AT135="","",INDEX(Calc!$D$2:$D$1601,$AT135))</f>
        <v/>
      </c>
      <c r="AC135" t="str">
        <f>IF($AT135="","",INDEX(Calc!$G$2:$G$1601,$AT135))</f>
        <v/>
      </c>
      <c r="AD135" t="str">
        <f>IF($AS135="","",Config!$B$23)</f>
        <v/>
      </c>
      <c r="AE135" t="str">
        <f>IF($AS135="","",Config!$B$28)</f>
        <v/>
      </c>
      <c r="AF135" t="str">
        <f t="shared" si="14"/>
        <v/>
      </c>
      <c r="AG135" t="str">
        <f t="shared" si="15"/>
        <v/>
      </c>
      <c r="AH135" t="str">
        <f t="shared" si="16"/>
        <v/>
      </c>
      <c r="AI135" t="str">
        <f>IF($AG135="","",SUMIF($AG$2:$AG135,$AG135,$AH$2:$AH135))</f>
        <v/>
      </c>
      <c r="AJ135" t="str">
        <f>IF('TMP Paste'!$F135="","",IF('TMP Paste'!$B135="",$AJ134,'TMP Paste'!$B135))</f>
        <v>AWB02WL5M</v>
      </c>
      <c r="AK135">
        <f>IF('TMP Paste'!$F135="","",N('TMP Paste'!$G135))</f>
        <v>0</v>
      </c>
      <c r="AL135">
        <f>IF('TMP Paste'!$F135="","",IF('TMP Paste'!$M135="",$AL134,'TMP Paste'!$M135))</f>
        <v>1</v>
      </c>
      <c r="AM135" t="str">
        <f>IF('TMP Paste'!$F135="","",IF('TMP Paste'!$N135="",$AM134,'TMP Paste'!$N135))</f>
        <v/>
      </c>
      <c r="AN135" t="str">
        <f>IF('TMP Paste'!$F135="","",IF('TMP Paste'!$O135="",$AN134,'TMP Paste'!$O135))</f>
        <v/>
      </c>
      <c r="AO135" t="str">
        <f>IF('TMP Paste'!$F135="","",IF('TMP Paste'!$P135="",$AO134,'TMP Paste'!$P135))</f>
        <v/>
      </c>
      <c r="AP135" t="str">
        <f t="shared" si="17"/>
        <v/>
      </c>
      <c r="AQ135" t="str">
        <f>IF($AS135="","",TRIM(IF(COUNTIFS(Calc!$B$2:$B$1601,ROW()-1,Calc!$C$2:$C$1601,"&lt;1")&gt;0,"Ada PO tanpa Koli - cek TMP. ","")&amp;IF(OR($AU135="",$AU135&lt;=0),"Volume kosong/0 - dimensi dikosongkan. ","")&amp;IF(AND($AU135&lt;&gt;"",$AU135&gt;=1000000),"Volume &gt;= 1.000.000 cm3 (di luar aturan) - dimensi dikosongkan. ","")&amp;IF(LEN($R135)&gt;500,"R &gt; 500 karakter.","")))</f>
        <v/>
      </c>
      <c r="AS135" t="str">
        <f>IFERROR(MATCH(ROW()-1,Calc!$J$2:$J$1601,0),"")</f>
        <v/>
      </c>
      <c r="AT135" t="str">
        <f>IFERROR(MATCH(ROW()-1,Calc!$K$2:$K$1601,0),"")</f>
        <v/>
      </c>
      <c r="AU135" t="str">
        <f>IF($AS135="","",IFERROR(INDEX('TMP Paste'!$D$2:$D$1601,$AS135)*1000000/$AB135,""))</f>
        <v/>
      </c>
    </row>
    <row r="136" spans="1:47">
      <c r="A136" t="str">
        <f>IF($AS136="","",INDEX('TMP Paste'!$B$2:$B$1601,$AS136))</f>
        <v/>
      </c>
      <c r="B136" t="str">
        <f>IF($AS136="","",Config!$B$14)</f>
        <v/>
      </c>
      <c r="C136" t="str">
        <f>IF($AS136="","",Config!$B$15)</f>
        <v/>
      </c>
      <c r="D136" t="str">
        <f>IF($AS136="","",INDEX('TMP Paste'!$B$2:$B$1601,$AS136))</f>
        <v/>
      </c>
      <c r="E136" t="str">
        <f>IF($AS136="","",Config!$B$27)</f>
        <v/>
      </c>
      <c r="F136" t="str">
        <f>IF($AS136="","",Config!$B$9)</f>
        <v/>
      </c>
      <c r="G136" t="str">
        <f>IF($AS136="","",Config!$B$10)</f>
        <v/>
      </c>
      <c r="H136" t="str">
        <f>IF($AS136="","",Config!$B$11)</f>
        <v/>
      </c>
      <c r="I136" t="str">
        <f>IF($AS136="","",Config!$B$16)</f>
        <v/>
      </c>
      <c r="J136" t="str">
        <f>IF($AS136="","",INDEX('TMP Paste'!$A$2:$A$1601,$AS136))</f>
        <v/>
      </c>
      <c r="K136" t="str">
        <f>IF($AS136="","",INDEX('TMP Paste'!$L$2:$L$1601,$AS136))</f>
        <v/>
      </c>
      <c r="L136" t="str">
        <f>IF($AS136="","",INDEX('TMP Paste'!$I$2:$I$1601,$AS136))</f>
        <v/>
      </c>
      <c r="M136" t="str">
        <f>IF($AS136="","",Config!$B$16)</f>
        <v/>
      </c>
      <c r="N136" t="str">
        <f t="shared" si="12"/>
        <v/>
      </c>
      <c r="O136" t="str">
        <f>IF($AS136="","",INDEX('TMP Paste'!$K$2:$K$1601,$AS136))</f>
        <v/>
      </c>
      <c r="P136" t="str">
        <f t="shared" si="13"/>
        <v/>
      </c>
      <c r="Q136" t="str">
        <f>IF($AS136="","",INDEX('TMP Paste'!$J$2:$J$1601,$AS136))</f>
        <v/>
      </c>
      <c r="R136" t="str">
        <f>IF($AS136="","",Config!$B$24)</f>
        <v/>
      </c>
      <c r="S136" t="str">
        <f ca="1">IF($AS136="","",TEXT(Config!$B$4,"yyyy-mm-dd"))</f>
        <v/>
      </c>
      <c r="T136" t="str">
        <f>IF($AS136="","",Config!$B$17)</f>
        <v/>
      </c>
      <c r="U136" t="str">
        <f>IF($AS136="","",Config!$B$18)</f>
        <v/>
      </c>
      <c r="V136" t="str">
        <f>IF($AS136="","",Config!$B$19)</f>
        <v/>
      </c>
      <c r="W136" t="str">
        <f>IF($AS136="","",INDEX('TMP Paste'!$C$2:$C$1601,$AS136))</f>
        <v/>
      </c>
      <c r="X136" t="str">
        <f>IF($AS136="","",Config!$B$29)</f>
        <v/>
      </c>
      <c r="Y136" t="str">
        <f>IF($AT136="","",INDEX(Calc!$I$2:$I$1601,$AT136)&amp;" - "&amp;INDEX(Calc!$D$2:$D$1601,$AT136)&amp;" koli")</f>
        <v/>
      </c>
      <c r="Z136" t="str">
        <f>IF($AS136="","",Config!$B$21)</f>
        <v/>
      </c>
      <c r="AA136" t="str">
        <f>IF($AS136="","",Config!$B$22)</f>
        <v/>
      </c>
      <c r="AB136" t="str">
        <f>IF($AT136="","",INDEX(Calc!$D$2:$D$1601,$AT136))</f>
        <v/>
      </c>
      <c r="AC136" t="str">
        <f>IF($AT136="","",INDEX(Calc!$G$2:$G$1601,$AT136))</f>
        <v/>
      </c>
      <c r="AD136" t="str">
        <f>IF($AS136="","",Config!$B$23)</f>
        <v/>
      </c>
      <c r="AE136" t="str">
        <f>IF($AS136="","",Config!$B$28)</f>
        <v/>
      </c>
      <c r="AF136" t="str">
        <f t="shared" si="14"/>
        <v/>
      </c>
      <c r="AG136" t="str">
        <f t="shared" si="15"/>
        <v/>
      </c>
      <c r="AH136" t="str">
        <f t="shared" si="16"/>
        <v/>
      </c>
      <c r="AI136" t="str">
        <f>IF($AG136="","",SUMIF($AG$2:$AG136,$AG136,$AH$2:$AH136))</f>
        <v/>
      </c>
      <c r="AJ136" t="str">
        <f>IF('TMP Paste'!$F136="","",IF('TMP Paste'!$B136="",$AJ135,'TMP Paste'!$B136))</f>
        <v>AWB02WHK6</v>
      </c>
      <c r="AK136">
        <f>IF('TMP Paste'!$F136="","",N('TMP Paste'!$G136))</f>
        <v>0</v>
      </c>
      <c r="AL136">
        <f>IF('TMP Paste'!$F136="","",IF('TMP Paste'!$M136="",$AL135,'TMP Paste'!$M136))</f>
        <v>1</v>
      </c>
      <c r="AM136" t="str">
        <f>IF('TMP Paste'!$F136="","",IF('TMP Paste'!$N136="",$AM135,'TMP Paste'!$N136))</f>
        <v/>
      </c>
      <c r="AN136" t="str">
        <f>IF('TMP Paste'!$F136="","",IF('TMP Paste'!$O136="",$AN135,'TMP Paste'!$O136))</f>
        <v/>
      </c>
      <c r="AO136" t="str">
        <f>IF('TMP Paste'!$F136="","",IF('TMP Paste'!$P136="",$AO135,'TMP Paste'!$P136))</f>
        <v/>
      </c>
      <c r="AP136" t="str">
        <f t="shared" si="17"/>
        <v/>
      </c>
      <c r="AQ136" t="str">
        <f>IF($AS136="","",TRIM(IF(COUNTIFS(Calc!$B$2:$B$1601,ROW()-1,Calc!$C$2:$C$1601,"&lt;1")&gt;0,"Ada PO tanpa Koli - cek TMP. ","")&amp;IF(OR($AU136="",$AU136&lt;=0),"Volume kosong/0 - dimensi dikosongkan. ","")&amp;IF(AND($AU136&lt;&gt;"",$AU136&gt;=1000000),"Volume &gt;= 1.000.000 cm3 (di luar aturan) - dimensi dikosongkan. ","")&amp;IF(LEN($R136)&gt;500,"R &gt; 500 karakter.","")))</f>
        <v/>
      </c>
      <c r="AS136" t="str">
        <f>IFERROR(MATCH(ROW()-1,Calc!$J$2:$J$1601,0),"")</f>
        <v/>
      </c>
      <c r="AT136" t="str">
        <f>IFERROR(MATCH(ROW()-1,Calc!$K$2:$K$1601,0),"")</f>
        <v/>
      </c>
      <c r="AU136" t="str">
        <f>IF($AS136="","",IFERROR(INDEX('TMP Paste'!$D$2:$D$1601,$AS136)*1000000/$AB136,""))</f>
        <v/>
      </c>
    </row>
    <row r="137" spans="1:47">
      <c r="A137" t="str">
        <f>IF($AS137="","",INDEX('TMP Paste'!$B$2:$B$1601,$AS137))</f>
        <v/>
      </c>
      <c r="B137" t="str">
        <f>IF($AS137="","",Config!$B$14)</f>
        <v/>
      </c>
      <c r="C137" t="str">
        <f>IF($AS137="","",Config!$B$15)</f>
        <v/>
      </c>
      <c r="D137" t="str">
        <f>IF($AS137="","",INDEX('TMP Paste'!$B$2:$B$1601,$AS137))</f>
        <v/>
      </c>
      <c r="E137" t="str">
        <f>IF($AS137="","",Config!$B$27)</f>
        <v/>
      </c>
      <c r="F137" t="str">
        <f>IF($AS137="","",Config!$B$9)</f>
        <v/>
      </c>
      <c r="G137" t="str">
        <f>IF($AS137="","",Config!$B$10)</f>
        <v/>
      </c>
      <c r="H137" t="str">
        <f>IF($AS137="","",Config!$B$11)</f>
        <v/>
      </c>
      <c r="I137" t="str">
        <f>IF($AS137="","",Config!$B$16)</f>
        <v/>
      </c>
      <c r="J137" t="str">
        <f>IF($AS137="","",INDEX('TMP Paste'!$A$2:$A$1601,$AS137))</f>
        <v/>
      </c>
      <c r="K137" t="str">
        <f>IF($AS137="","",INDEX('TMP Paste'!$L$2:$L$1601,$AS137))</f>
        <v/>
      </c>
      <c r="L137" t="str">
        <f>IF($AS137="","",INDEX('TMP Paste'!$I$2:$I$1601,$AS137))</f>
        <v/>
      </c>
      <c r="M137" t="str">
        <f>IF($AS137="","",Config!$B$16)</f>
        <v/>
      </c>
      <c r="N137" t="str">
        <f t="shared" si="12"/>
        <v/>
      </c>
      <c r="O137" t="str">
        <f>IF($AS137="","",INDEX('TMP Paste'!$K$2:$K$1601,$AS137))</f>
        <v/>
      </c>
      <c r="P137" t="str">
        <f t="shared" si="13"/>
        <v/>
      </c>
      <c r="Q137" t="str">
        <f>IF($AS137="","",INDEX('TMP Paste'!$J$2:$J$1601,$AS137))</f>
        <v/>
      </c>
      <c r="R137" t="str">
        <f>IF($AS137="","",Config!$B$24)</f>
        <v/>
      </c>
      <c r="S137" t="str">
        <f ca="1">IF($AS137="","",TEXT(Config!$B$4,"yyyy-mm-dd"))</f>
        <v/>
      </c>
      <c r="T137" t="str">
        <f>IF($AS137="","",Config!$B$17)</f>
        <v/>
      </c>
      <c r="U137" t="str">
        <f>IF($AS137="","",Config!$B$18)</f>
        <v/>
      </c>
      <c r="V137" t="str">
        <f>IF($AS137="","",Config!$B$19)</f>
        <v/>
      </c>
      <c r="W137" t="str">
        <f>IF($AS137="","",INDEX('TMP Paste'!$C$2:$C$1601,$AS137))</f>
        <v/>
      </c>
      <c r="X137" t="str">
        <f>IF($AS137="","",Config!$B$29)</f>
        <v/>
      </c>
      <c r="Y137" t="str">
        <f>IF($AT137="","",INDEX(Calc!$I$2:$I$1601,$AT137)&amp;" - "&amp;INDEX(Calc!$D$2:$D$1601,$AT137)&amp;" koli")</f>
        <v/>
      </c>
      <c r="Z137" t="str">
        <f>IF($AS137="","",Config!$B$21)</f>
        <v/>
      </c>
      <c r="AA137" t="str">
        <f>IF($AS137="","",Config!$B$22)</f>
        <v/>
      </c>
      <c r="AB137" t="str">
        <f>IF($AT137="","",INDEX(Calc!$D$2:$D$1601,$AT137))</f>
        <v/>
      </c>
      <c r="AC137" t="str">
        <f>IF($AT137="","",INDEX(Calc!$G$2:$G$1601,$AT137))</f>
        <v/>
      </c>
      <c r="AD137" t="str">
        <f>IF($AS137="","",Config!$B$23)</f>
        <v/>
      </c>
      <c r="AE137" t="str">
        <f>IF($AS137="","",Config!$B$28)</f>
        <v/>
      </c>
      <c r="AF137" t="str">
        <f t="shared" si="14"/>
        <v/>
      </c>
      <c r="AG137" t="str">
        <f t="shared" si="15"/>
        <v/>
      </c>
      <c r="AH137" t="str">
        <f t="shared" si="16"/>
        <v/>
      </c>
      <c r="AI137" t="str">
        <f>IF($AG137="","",SUMIF($AG$2:$AG137,$AG137,$AH$2:$AH137))</f>
        <v/>
      </c>
      <c r="AJ137" t="str">
        <f>IF('TMP Paste'!$F137="","",IF('TMP Paste'!$B137="",$AJ136,'TMP Paste'!$B137))</f>
        <v>AWB02WM4L</v>
      </c>
      <c r="AK137">
        <f>IF('TMP Paste'!$F137="","",N('TMP Paste'!$G137))</f>
        <v>0</v>
      </c>
      <c r="AL137">
        <f>IF('TMP Paste'!$F137="","",IF('TMP Paste'!$M137="",$AL136,'TMP Paste'!$M137))</f>
        <v>1</v>
      </c>
      <c r="AM137" t="str">
        <f>IF('TMP Paste'!$F137="","",IF('TMP Paste'!$N137="",$AM136,'TMP Paste'!$N137))</f>
        <v/>
      </c>
      <c r="AN137" t="str">
        <f>IF('TMP Paste'!$F137="","",IF('TMP Paste'!$O137="",$AN136,'TMP Paste'!$O137))</f>
        <v/>
      </c>
      <c r="AO137" t="str">
        <f>IF('TMP Paste'!$F137="","",IF('TMP Paste'!$P137="",$AO136,'TMP Paste'!$P137))</f>
        <v/>
      </c>
      <c r="AP137" t="str">
        <f t="shared" si="17"/>
        <v/>
      </c>
      <c r="AQ137" t="str">
        <f>IF($AS137="","",TRIM(IF(COUNTIFS(Calc!$B$2:$B$1601,ROW()-1,Calc!$C$2:$C$1601,"&lt;1")&gt;0,"Ada PO tanpa Koli - cek TMP. ","")&amp;IF(OR($AU137="",$AU137&lt;=0),"Volume kosong/0 - dimensi dikosongkan. ","")&amp;IF(AND($AU137&lt;&gt;"",$AU137&gt;=1000000),"Volume &gt;= 1.000.000 cm3 (di luar aturan) - dimensi dikosongkan. ","")&amp;IF(LEN($R137)&gt;500,"R &gt; 500 karakter.","")))</f>
        <v/>
      </c>
      <c r="AS137" t="str">
        <f>IFERROR(MATCH(ROW()-1,Calc!$J$2:$J$1601,0),"")</f>
        <v/>
      </c>
      <c r="AT137" t="str">
        <f>IFERROR(MATCH(ROW()-1,Calc!$K$2:$K$1601,0),"")</f>
        <v/>
      </c>
      <c r="AU137" t="str">
        <f>IF($AS137="","",IFERROR(INDEX('TMP Paste'!$D$2:$D$1601,$AS137)*1000000/$AB137,""))</f>
        <v/>
      </c>
    </row>
    <row r="138" spans="1:47">
      <c r="A138" t="str">
        <f>IF($AS138="","",INDEX('TMP Paste'!$B$2:$B$1601,$AS138))</f>
        <v/>
      </c>
      <c r="B138" t="str">
        <f>IF($AS138="","",Config!$B$14)</f>
        <v/>
      </c>
      <c r="C138" t="str">
        <f>IF($AS138="","",Config!$B$15)</f>
        <v/>
      </c>
      <c r="D138" t="str">
        <f>IF($AS138="","",INDEX('TMP Paste'!$B$2:$B$1601,$AS138))</f>
        <v/>
      </c>
      <c r="E138" t="str">
        <f>IF($AS138="","",Config!$B$27)</f>
        <v/>
      </c>
      <c r="F138" t="str">
        <f>IF($AS138="","",Config!$B$9)</f>
        <v/>
      </c>
      <c r="G138" t="str">
        <f>IF($AS138="","",Config!$B$10)</f>
        <v/>
      </c>
      <c r="H138" t="str">
        <f>IF($AS138="","",Config!$B$11)</f>
        <v/>
      </c>
      <c r="I138" t="str">
        <f>IF($AS138="","",Config!$B$16)</f>
        <v/>
      </c>
      <c r="J138" t="str">
        <f>IF($AS138="","",INDEX('TMP Paste'!$A$2:$A$1601,$AS138))</f>
        <v/>
      </c>
      <c r="K138" t="str">
        <f>IF($AS138="","",INDEX('TMP Paste'!$L$2:$L$1601,$AS138))</f>
        <v/>
      </c>
      <c r="L138" t="str">
        <f>IF($AS138="","",INDEX('TMP Paste'!$I$2:$I$1601,$AS138))</f>
        <v/>
      </c>
      <c r="M138" t="str">
        <f>IF($AS138="","",Config!$B$16)</f>
        <v/>
      </c>
      <c r="N138" t="str">
        <f t="shared" si="12"/>
        <v/>
      </c>
      <c r="O138" t="str">
        <f>IF($AS138="","",INDEX('TMP Paste'!$K$2:$K$1601,$AS138))</f>
        <v/>
      </c>
      <c r="P138" t="str">
        <f t="shared" si="13"/>
        <v/>
      </c>
      <c r="Q138" t="str">
        <f>IF($AS138="","",INDEX('TMP Paste'!$J$2:$J$1601,$AS138))</f>
        <v/>
      </c>
      <c r="R138" t="str">
        <f>IF($AS138="","",Config!$B$24)</f>
        <v/>
      </c>
      <c r="S138" t="str">
        <f ca="1">IF($AS138="","",TEXT(Config!$B$4,"yyyy-mm-dd"))</f>
        <v/>
      </c>
      <c r="T138" t="str">
        <f>IF($AS138="","",Config!$B$17)</f>
        <v/>
      </c>
      <c r="U138" t="str">
        <f>IF($AS138="","",Config!$B$18)</f>
        <v/>
      </c>
      <c r="V138" t="str">
        <f>IF($AS138="","",Config!$B$19)</f>
        <v/>
      </c>
      <c r="W138" t="str">
        <f>IF($AS138="","",INDEX('TMP Paste'!$C$2:$C$1601,$AS138))</f>
        <v/>
      </c>
      <c r="X138" t="str">
        <f>IF($AS138="","",Config!$B$29)</f>
        <v/>
      </c>
      <c r="Y138" t="str">
        <f>IF($AT138="","",INDEX(Calc!$I$2:$I$1601,$AT138)&amp;" - "&amp;INDEX(Calc!$D$2:$D$1601,$AT138)&amp;" koli")</f>
        <v/>
      </c>
      <c r="Z138" t="str">
        <f>IF($AS138="","",Config!$B$21)</f>
        <v/>
      </c>
      <c r="AA138" t="str">
        <f>IF($AS138="","",Config!$B$22)</f>
        <v/>
      </c>
      <c r="AB138" t="str">
        <f>IF($AT138="","",INDEX(Calc!$D$2:$D$1601,$AT138))</f>
        <v/>
      </c>
      <c r="AC138" t="str">
        <f>IF($AT138="","",INDEX(Calc!$G$2:$G$1601,$AT138))</f>
        <v/>
      </c>
      <c r="AD138" t="str">
        <f>IF($AS138="","",Config!$B$23)</f>
        <v/>
      </c>
      <c r="AE138" t="str">
        <f>IF($AS138="","",Config!$B$28)</f>
        <v/>
      </c>
      <c r="AF138" t="str">
        <f t="shared" si="14"/>
        <v/>
      </c>
      <c r="AG138" t="str">
        <f t="shared" si="15"/>
        <v/>
      </c>
      <c r="AH138" t="str">
        <f t="shared" si="16"/>
        <v/>
      </c>
      <c r="AI138" t="str">
        <f>IF($AG138="","",SUMIF($AG$2:$AG138,$AG138,$AH$2:$AH138))</f>
        <v/>
      </c>
      <c r="AJ138" t="str">
        <f>IF('TMP Paste'!$F138="","",IF('TMP Paste'!$B138="",$AJ137,'TMP Paste'!$B138))</f>
        <v/>
      </c>
      <c r="AK138" t="str">
        <f>IF('TMP Paste'!$F138="","",N('TMP Paste'!$G138))</f>
        <v/>
      </c>
      <c r="AL138" t="str">
        <f>IF('TMP Paste'!$F138="","",IF('TMP Paste'!$M138="",$AL137,'TMP Paste'!$M138))</f>
        <v/>
      </c>
      <c r="AM138" t="str">
        <f>IF('TMP Paste'!$F138="","",IF('TMP Paste'!$N138="",$AM137,'TMP Paste'!$N138))</f>
        <v/>
      </c>
      <c r="AN138" t="str">
        <f>IF('TMP Paste'!$F138="","",IF('TMP Paste'!$O138="",$AN137,'TMP Paste'!$O138))</f>
        <v/>
      </c>
      <c r="AO138" t="str">
        <f>IF('TMP Paste'!$F138="","",IF('TMP Paste'!$P138="",$AO137,'TMP Paste'!$P138))</f>
        <v/>
      </c>
      <c r="AP138" t="str">
        <f t="shared" si="17"/>
        <v/>
      </c>
      <c r="AQ138" t="str">
        <f>IF($AS138="","",TRIM(IF(COUNTIFS(Calc!$B$2:$B$1601,ROW()-1,Calc!$C$2:$C$1601,"&lt;1")&gt;0,"Ada PO tanpa Koli - cek TMP. ","")&amp;IF(OR($AU138="",$AU138&lt;=0),"Volume kosong/0 - dimensi dikosongkan. ","")&amp;IF(AND($AU138&lt;&gt;"",$AU138&gt;=1000000),"Volume &gt;= 1.000.000 cm3 (di luar aturan) - dimensi dikosongkan. ","")&amp;IF(LEN($R138)&gt;500,"R &gt; 500 karakter.","")))</f>
        <v/>
      </c>
      <c r="AS138" t="str">
        <f>IFERROR(MATCH(ROW()-1,Calc!$J$2:$J$1601,0),"")</f>
        <v/>
      </c>
      <c r="AT138" t="str">
        <f>IFERROR(MATCH(ROW()-1,Calc!$K$2:$K$1601,0),"")</f>
        <v/>
      </c>
      <c r="AU138" t="str">
        <f>IF($AS138="","",IFERROR(INDEX('TMP Paste'!$D$2:$D$1601,$AS138)*1000000/$AB138,""))</f>
        <v/>
      </c>
    </row>
    <row r="139" spans="1:47">
      <c r="A139" t="str">
        <f>IF($AS139="","",INDEX('TMP Paste'!$B$2:$B$1601,$AS139))</f>
        <v/>
      </c>
      <c r="B139" t="str">
        <f>IF($AS139="","",Config!$B$14)</f>
        <v/>
      </c>
      <c r="C139" t="str">
        <f>IF($AS139="","",Config!$B$15)</f>
        <v/>
      </c>
      <c r="D139" t="str">
        <f>IF($AS139="","",INDEX('TMP Paste'!$B$2:$B$1601,$AS139))</f>
        <v/>
      </c>
      <c r="E139" t="str">
        <f>IF($AS139="","",Config!$B$27)</f>
        <v/>
      </c>
      <c r="F139" t="str">
        <f>IF($AS139="","",Config!$B$9)</f>
        <v/>
      </c>
      <c r="G139" t="str">
        <f>IF($AS139="","",Config!$B$10)</f>
        <v/>
      </c>
      <c r="H139" t="str">
        <f>IF($AS139="","",Config!$B$11)</f>
        <v/>
      </c>
      <c r="I139" t="str">
        <f>IF($AS139="","",Config!$B$16)</f>
        <v/>
      </c>
      <c r="J139" t="str">
        <f>IF($AS139="","",INDEX('TMP Paste'!$A$2:$A$1601,$AS139))</f>
        <v/>
      </c>
      <c r="K139" t="str">
        <f>IF($AS139="","",INDEX('TMP Paste'!$L$2:$L$1601,$AS139))</f>
        <v/>
      </c>
      <c r="L139" t="str">
        <f>IF($AS139="","",INDEX('TMP Paste'!$I$2:$I$1601,$AS139))</f>
        <v/>
      </c>
      <c r="M139" t="str">
        <f>IF($AS139="","",Config!$B$16)</f>
        <v/>
      </c>
      <c r="N139" t="str">
        <f t="shared" si="12"/>
        <v/>
      </c>
      <c r="O139" t="str">
        <f>IF($AS139="","",INDEX('TMP Paste'!$K$2:$K$1601,$AS139))</f>
        <v/>
      </c>
      <c r="P139" t="str">
        <f t="shared" si="13"/>
        <v/>
      </c>
      <c r="Q139" t="str">
        <f>IF($AS139="","",INDEX('TMP Paste'!$J$2:$J$1601,$AS139))</f>
        <v/>
      </c>
      <c r="R139" t="str">
        <f>IF($AS139="","",Config!$B$24)</f>
        <v/>
      </c>
      <c r="S139" t="str">
        <f ca="1">IF($AS139="","",TEXT(Config!$B$4,"yyyy-mm-dd"))</f>
        <v/>
      </c>
      <c r="T139" t="str">
        <f>IF($AS139="","",Config!$B$17)</f>
        <v/>
      </c>
      <c r="U139" t="str">
        <f>IF($AS139="","",Config!$B$18)</f>
        <v/>
      </c>
      <c r="V139" t="str">
        <f>IF($AS139="","",Config!$B$19)</f>
        <v/>
      </c>
      <c r="W139" t="str">
        <f>IF($AS139="","",INDEX('TMP Paste'!$C$2:$C$1601,$AS139))</f>
        <v/>
      </c>
      <c r="X139" t="str">
        <f>IF($AS139="","",Config!$B$29)</f>
        <v/>
      </c>
      <c r="Y139" t="str">
        <f>IF($AT139="","",INDEX(Calc!$I$2:$I$1601,$AT139)&amp;" - "&amp;INDEX(Calc!$D$2:$D$1601,$AT139)&amp;" koli")</f>
        <v/>
      </c>
      <c r="Z139" t="str">
        <f>IF($AS139="","",Config!$B$21)</f>
        <v/>
      </c>
      <c r="AA139" t="str">
        <f>IF($AS139="","",Config!$B$22)</f>
        <v/>
      </c>
      <c r="AB139" t="str">
        <f>IF($AT139="","",INDEX(Calc!$D$2:$D$1601,$AT139))</f>
        <v/>
      </c>
      <c r="AC139" t="str">
        <f>IF($AT139="","",INDEX(Calc!$G$2:$G$1601,$AT139))</f>
        <v/>
      </c>
      <c r="AD139" t="str">
        <f>IF($AS139="","",Config!$B$23)</f>
        <v/>
      </c>
      <c r="AE139" t="str">
        <f>IF($AS139="","",Config!$B$28)</f>
        <v/>
      </c>
      <c r="AF139" t="str">
        <f t="shared" si="14"/>
        <v/>
      </c>
      <c r="AG139" t="str">
        <f t="shared" si="15"/>
        <v/>
      </c>
      <c r="AH139" t="str">
        <f t="shared" si="16"/>
        <v/>
      </c>
      <c r="AI139" t="str">
        <f>IF($AG139="","",SUMIF($AG$2:$AG139,$AG139,$AH$2:$AH139))</f>
        <v/>
      </c>
      <c r="AJ139" t="str">
        <f>IF('TMP Paste'!$F139="","",IF('TMP Paste'!$B139="",$AJ138,'TMP Paste'!$B139))</f>
        <v>AWB02WJUA</v>
      </c>
      <c r="AK139">
        <f>IF('TMP Paste'!$F139="","",N('TMP Paste'!$G139))</f>
        <v>0</v>
      </c>
      <c r="AL139">
        <f>IF('TMP Paste'!$F139="","",IF('TMP Paste'!$M139="",$AL138,'TMP Paste'!$M139))</f>
        <v>1</v>
      </c>
      <c r="AM139" t="str">
        <f>IF('TMP Paste'!$F139="","",IF('TMP Paste'!$N139="",$AM138,'TMP Paste'!$N139))</f>
        <v/>
      </c>
      <c r="AN139" t="str">
        <f>IF('TMP Paste'!$F139="","",IF('TMP Paste'!$O139="",$AN138,'TMP Paste'!$O139))</f>
        <v/>
      </c>
      <c r="AO139" t="str">
        <f>IF('TMP Paste'!$F139="","",IF('TMP Paste'!$P139="",$AO138,'TMP Paste'!$P139))</f>
        <v/>
      </c>
      <c r="AP139" t="str">
        <f t="shared" si="17"/>
        <v/>
      </c>
      <c r="AQ139" t="str">
        <f>IF($AS139="","",TRIM(IF(COUNTIFS(Calc!$B$2:$B$1601,ROW()-1,Calc!$C$2:$C$1601,"&lt;1")&gt;0,"Ada PO tanpa Koli - cek TMP. ","")&amp;IF(OR($AU139="",$AU139&lt;=0),"Volume kosong/0 - dimensi dikosongkan. ","")&amp;IF(AND($AU139&lt;&gt;"",$AU139&gt;=1000000),"Volume &gt;= 1.000.000 cm3 (di luar aturan) - dimensi dikosongkan. ","")&amp;IF(LEN($R139)&gt;500,"R &gt; 500 karakter.","")))</f>
        <v/>
      </c>
      <c r="AS139" t="str">
        <f>IFERROR(MATCH(ROW()-1,Calc!$J$2:$J$1601,0),"")</f>
        <v/>
      </c>
      <c r="AT139" t="str">
        <f>IFERROR(MATCH(ROW()-1,Calc!$K$2:$K$1601,0),"")</f>
        <v/>
      </c>
      <c r="AU139" t="str">
        <f>IF($AS139="","",IFERROR(INDEX('TMP Paste'!$D$2:$D$1601,$AS139)*1000000/$AB139,""))</f>
        <v/>
      </c>
    </row>
    <row r="140" spans="1:47">
      <c r="A140" t="str">
        <f>IF($AS140="","",INDEX('TMP Paste'!$B$2:$B$1601,$AS140))</f>
        <v/>
      </c>
      <c r="B140" t="str">
        <f>IF($AS140="","",Config!$B$14)</f>
        <v/>
      </c>
      <c r="C140" t="str">
        <f>IF($AS140="","",Config!$B$15)</f>
        <v/>
      </c>
      <c r="D140" t="str">
        <f>IF($AS140="","",INDEX('TMP Paste'!$B$2:$B$1601,$AS140))</f>
        <v/>
      </c>
      <c r="E140" t="str">
        <f>IF($AS140="","",Config!$B$27)</f>
        <v/>
      </c>
      <c r="F140" t="str">
        <f>IF($AS140="","",Config!$B$9)</f>
        <v/>
      </c>
      <c r="G140" t="str">
        <f>IF($AS140="","",Config!$B$10)</f>
        <v/>
      </c>
      <c r="H140" t="str">
        <f>IF($AS140="","",Config!$B$11)</f>
        <v/>
      </c>
      <c r="I140" t="str">
        <f>IF($AS140="","",Config!$B$16)</f>
        <v/>
      </c>
      <c r="J140" t="str">
        <f>IF($AS140="","",INDEX('TMP Paste'!$A$2:$A$1601,$AS140))</f>
        <v/>
      </c>
      <c r="K140" t="str">
        <f>IF($AS140="","",INDEX('TMP Paste'!$L$2:$L$1601,$AS140))</f>
        <v/>
      </c>
      <c r="L140" t="str">
        <f>IF($AS140="","",INDEX('TMP Paste'!$I$2:$I$1601,$AS140))</f>
        <v/>
      </c>
      <c r="M140" t="str">
        <f>IF($AS140="","",Config!$B$16)</f>
        <v/>
      </c>
      <c r="N140" t="str">
        <f t="shared" si="12"/>
        <v/>
      </c>
      <c r="O140" t="str">
        <f>IF($AS140="","",INDEX('TMP Paste'!$K$2:$K$1601,$AS140))</f>
        <v/>
      </c>
      <c r="P140" t="str">
        <f t="shared" si="13"/>
        <v/>
      </c>
      <c r="Q140" t="str">
        <f>IF($AS140="","",INDEX('TMP Paste'!$J$2:$J$1601,$AS140))</f>
        <v/>
      </c>
      <c r="R140" t="str">
        <f>IF($AS140="","",Config!$B$24)</f>
        <v/>
      </c>
      <c r="S140" t="str">
        <f ca="1">IF($AS140="","",TEXT(Config!$B$4,"yyyy-mm-dd"))</f>
        <v/>
      </c>
      <c r="T140" t="str">
        <f>IF($AS140="","",Config!$B$17)</f>
        <v/>
      </c>
      <c r="U140" t="str">
        <f>IF($AS140="","",Config!$B$18)</f>
        <v/>
      </c>
      <c r="V140" t="str">
        <f>IF($AS140="","",Config!$B$19)</f>
        <v/>
      </c>
      <c r="W140" t="str">
        <f>IF($AS140="","",INDEX('TMP Paste'!$C$2:$C$1601,$AS140))</f>
        <v/>
      </c>
      <c r="X140" t="str">
        <f>IF($AS140="","",Config!$B$29)</f>
        <v/>
      </c>
      <c r="Y140" t="str">
        <f>IF($AT140="","",INDEX(Calc!$I$2:$I$1601,$AT140)&amp;" - "&amp;INDEX(Calc!$D$2:$D$1601,$AT140)&amp;" koli")</f>
        <v/>
      </c>
      <c r="Z140" t="str">
        <f>IF($AS140="","",Config!$B$21)</f>
        <v/>
      </c>
      <c r="AA140" t="str">
        <f>IF($AS140="","",Config!$B$22)</f>
        <v/>
      </c>
      <c r="AB140" t="str">
        <f>IF($AT140="","",INDEX(Calc!$D$2:$D$1601,$AT140))</f>
        <v/>
      </c>
      <c r="AC140" t="str">
        <f>IF($AT140="","",INDEX(Calc!$G$2:$G$1601,$AT140))</f>
        <v/>
      </c>
      <c r="AD140" t="str">
        <f>IF($AS140="","",Config!$B$23)</f>
        <v/>
      </c>
      <c r="AE140" t="str">
        <f>IF($AS140="","",Config!$B$28)</f>
        <v/>
      </c>
      <c r="AF140" t="str">
        <f t="shared" si="14"/>
        <v/>
      </c>
      <c r="AG140" t="str">
        <f t="shared" si="15"/>
        <v/>
      </c>
      <c r="AH140" t="str">
        <f t="shared" si="16"/>
        <v/>
      </c>
      <c r="AI140" t="str">
        <f>IF($AG140="","",SUMIF($AG$2:$AG140,$AG140,$AH$2:$AH140))</f>
        <v/>
      </c>
      <c r="AJ140" t="str">
        <f>IF('TMP Paste'!$F140="","",IF('TMP Paste'!$B140="",$AJ139,'TMP Paste'!$B140))</f>
        <v>AWB02WHG7</v>
      </c>
      <c r="AK140">
        <f>IF('TMP Paste'!$F140="","",N('TMP Paste'!$G140))</f>
        <v>0</v>
      </c>
      <c r="AL140">
        <f>IF('TMP Paste'!$F140="","",IF('TMP Paste'!$M140="",$AL139,'TMP Paste'!$M140))</f>
        <v>1</v>
      </c>
      <c r="AM140" t="str">
        <f>IF('TMP Paste'!$F140="","",IF('TMP Paste'!$N140="",$AM139,'TMP Paste'!$N140))</f>
        <v/>
      </c>
      <c r="AN140" t="str">
        <f>IF('TMP Paste'!$F140="","",IF('TMP Paste'!$O140="",$AN139,'TMP Paste'!$O140))</f>
        <v/>
      </c>
      <c r="AO140" t="str">
        <f>IF('TMP Paste'!$F140="","",IF('TMP Paste'!$P140="",$AO139,'TMP Paste'!$P140))</f>
        <v/>
      </c>
      <c r="AP140" t="str">
        <f t="shared" si="17"/>
        <v/>
      </c>
      <c r="AQ140" t="str">
        <f>IF($AS140="","",TRIM(IF(COUNTIFS(Calc!$B$2:$B$1601,ROW()-1,Calc!$C$2:$C$1601,"&lt;1")&gt;0,"Ada PO tanpa Koli - cek TMP. ","")&amp;IF(OR($AU140="",$AU140&lt;=0),"Volume kosong/0 - dimensi dikosongkan. ","")&amp;IF(AND($AU140&lt;&gt;"",$AU140&gt;=1000000),"Volume &gt;= 1.000.000 cm3 (di luar aturan) - dimensi dikosongkan. ","")&amp;IF(LEN($R140)&gt;500,"R &gt; 500 karakter.","")))</f>
        <v/>
      </c>
      <c r="AS140" t="str">
        <f>IFERROR(MATCH(ROW()-1,Calc!$J$2:$J$1601,0),"")</f>
        <v/>
      </c>
      <c r="AT140" t="str">
        <f>IFERROR(MATCH(ROW()-1,Calc!$K$2:$K$1601,0),"")</f>
        <v/>
      </c>
      <c r="AU140" t="str">
        <f>IF($AS140="","",IFERROR(INDEX('TMP Paste'!$D$2:$D$1601,$AS140)*1000000/$AB140,""))</f>
        <v/>
      </c>
    </row>
    <row r="141" spans="1:47">
      <c r="A141" t="str">
        <f>IF($AS141="","",INDEX('TMP Paste'!$B$2:$B$1601,$AS141))</f>
        <v/>
      </c>
      <c r="B141" t="str">
        <f>IF($AS141="","",Config!$B$14)</f>
        <v/>
      </c>
      <c r="C141" t="str">
        <f>IF($AS141="","",Config!$B$15)</f>
        <v/>
      </c>
      <c r="D141" t="str">
        <f>IF($AS141="","",INDEX('TMP Paste'!$B$2:$B$1601,$AS141))</f>
        <v/>
      </c>
      <c r="E141" t="str">
        <f>IF($AS141="","",Config!$B$27)</f>
        <v/>
      </c>
      <c r="F141" t="str">
        <f>IF($AS141="","",Config!$B$9)</f>
        <v/>
      </c>
      <c r="G141" t="str">
        <f>IF($AS141="","",Config!$B$10)</f>
        <v/>
      </c>
      <c r="H141" t="str">
        <f>IF($AS141="","",Config!$B$11)</f>
        <v/>
      </c>
      <c r="I141" t="str">
        <f>IF($AS141="","",Config!$B$16)</f>
        <v/>
      </c>
      <c r="J141" t="str">
        <f>IF($AS141="","",INDEX('TMP Paste'!$A$2:$A$1601,$AS141))</f>
        <v/>
      </c>
      <c r="K141" t="str">
        <f>IF($AS141="","",INDEX('TMP Paste'!$L$2:$L$1601,$AS141))</f>
        <v/>
      </c>
      <c r="L141" t="str">
        <f>IF($AS141="","",INDEX('TMP Paste'!$I$2:$I$1601,$AS141))</f>
        <v/>
      </c>
      <c r="M141" t="str">
        <f>IF($AS141="","",Config!$B$16)</f>
        <v/>
      </c>
      <c r="N141" t="str">
        <f t="shared" si="12"/>
        <v/>
      </c>
      <c r="O141" t="str">
        <f>IF($AS141="","",INDEX('TMP Paste'!$K$2:$K$1601,$AS141))</f>
        <v/>
      </c>
      <c r="P141" t="str">
        <f t="shared" si="13"/>
        <v/>
      </c>
      <c r="Q141" t="str">
        <f>IF($AS141="","",INDEX('TMP Paste'!$J$2:$J$1601,$AS141))</f>
        <v/>
      </c>
      <c r="R141" t="str">
        <f>IF($AS141="","",Config!$B$24)</f>
        <v/>
      </c>
      <c r="S141" t="str">
        <f ca="1">IF($AS141="","",TEXT(Config!$B$4,"yyyy-mm-dd"))</f>
        <v/>
      </c>
      <c r="T141" t="str">
        <f>IF($AS141="","",Config!$B$17)</f>
        <v/>
      </c>
      <c r="U141" t="str">
        <f>IF($AS141="","",Config!$B$18)</f>
        <v/>
      </c>
      <c r="V141" t="str">
        <f>IF($AS141="","",Config!$B$19)</f>
        <v/>
      </c>
      <c r="W141" t="str">
        <f>IF($AS141="","",INDEX('TMP Paste'!$C$2:$C$1601,$AS141))</f>
        <v/>
      </c>
      <c r="X141" t="str">
        <f>IF($AS141="","",Config!$B$29)</f>
        <v/>
      </c>
      <c r="Y141" t="str">
        <f>IF($AT141="","",INDEX(Calc!$I$2:$I$1601,$AT141)&amp;" - "&amp;INDEX(Calc!$D$2:$D$1601,$AT141)&amp;" koli")</f>
        <v/>
      </c>
      <c r="Z141" t="str">
        <f>IF($AS141="","",Config!$B$21)</f>
        <v/>
      </c>
      <c r="AA141" t="str">
        <f>IF($AS141="","",Config!$B$22)</f>
        <v/>
      </c>
      <c r="AB141" t="str">
        <f>IF($AT141="","",INDEX(Calc!$D$2:$D$1601,$AT141))</f>
        <v/>
      </c>
      <c r="AC141" t="str">
        <f>IF($AT141="","",INDEX(Calc!$G$2:$G$1601,$AT141))</f>
        <v/>
      </c>
      <c r="AD141" t="str">
        <f>IF($AS141="","",Config!$B$23)</f>
        <v/>
      </c>
      <c r="AE141" t="str">
        <f>IF($AS141="","",Config!$B$28)</f>
        <v/>
      </c>
      <c r="AF141" t="str">
        <f t="shared" si="14"/>
        <v/>
      </c>
      <c r="AG141" t="str">
        <f t="shared" si="15"/>
        <v/>
      </c>
      <c r="AH141" t="str">
        <f t="shared" si="16"/>
        <v/>
      </c>
      <c r="AI141" t="str">
        <f>IF($AG141="","",SUMIF($AG$2:$AG141,$AG141,$AH$2:$AH141))</f>
        <v/>
      </c>
      <c r="AJ141" t="str">
        <f>IF('TMP Paste'!$F141="","",IF('TMP Paste'!$B141="",$AJ140,'TMP Paste'!$B141))</f>
        <v/>
      </c>
      <c r="AK141" t="str">
        <f>IF('TMP Paste'!$F141="","",N('TMP Paste'!$G141))</f>
        <v/>
      </c>
      <c r="AL141" t="str">
        <f>IF('TMP Paste'!$F141="","",IF('TMP Paste'!$M141="",$AL140,'TMP Paste'!$M141))</f>
        <v/>
      </c>
      <c r="AM141" t="str">
        <f>IF('TMP Paste'!$F141="","",IF('TMP Paste'!$N141="",$AM140,'TMP Paste'!$N141))</f>
        <v/>
      </c>
      <c r="AN141" t="str">
        <f>IF('TMP Paste'!$F141="","",IF('TMP Paste'!$O141="",$AN140,'TMP Paste'!$O141))</f>
        <v/>
      </c>
      <c r="AO141" t="str">
        <f>IF('TMP Paste'!$F141="","",IF('TMP Paste'!$P141="",$AO140,'TMP Paste'!$P141))</f>
        <v/>
      </c>
      <c r="AP141" t="str">
        <f t="shared" si="17"/>
        <v/>
      </c>
      <c r="AQ141" t="str">
        <f>IF($AS141="","",TRIM(IF(COUNTIFS(Calc!$B$2:$B$1601,ROW()-1,Calc!$C$2:$C$1601,"&lt;1")&gt;0,"Ada PO tanpa Koli - cek TMP. ","")&amp;IF(OR($AU141="",$AU141&lt;=0),"Volume kosong/0 - dimensi dikosongkan. ","")&amp;IF(AND($AU141&lt;&gt;"",$AU141&gt;=1000000),"Volume &gt;= 1.000.000 cm3 (di luar aturan) - dimensi dikosongkan. ","")&amp;IF(LEN($R141)&gt;500,"R &gt; 500 karakter.","")))</f>
        <v/>
      </c>
      <c r="AS141" t="str">
        <f>IFERROR(MATCH(ROW()-1,Calc!$J$2:$J$1601,0),"")</f>
        <v/>
      </c>
      <c r="AT141" t="str">
        <f>IFERROR(MATCH(ROW()-1,Calc!$K$2:$K$1601,0),"")</f>
        <v/>
      </c>
      <c r="AU141" t="str">
        <f>IF($AS141="","",IFERROR(INDEX('TMP Paste'!$D$2:$D$1601,$AS141)*1000000/$AB141,""))</f>
        <v/>
      </c>
    </row>
    <row r="142" spans="1:47">
      <c r="A142" t="str">
        <f>IF($AS142="","",INDEX('TMP Paste'!$B$2:$B$1601,$AS142))</f>
        <v/>
      </c>
      <c r="B142" t="str">
        <f>IF($AS142="","",Config!$B$14)</f>
        <v/>
      </c>
      <c r="C142" t="str">
        <f>IF($AS142="","",Config!$B$15)</f>
        <v/>
      </c>
      <c r="D142" t="str">
        <f>IF($AS142="","",INDEX('TMP Paste'!$B$2:$B$1601,$AS142))</f>
        <v/>
      </c>
      <c r="E142" t="str">
        <f>IF($AS142="","",Config!$B$27)</f>
        <v/>
      </c>
      <c r="F142" t="str">
        <f>IF($AS142="","",Config!$B$9)</f>
        <v/>
      </c>
      <c r="G142" t="str">
        <f>IF($AS142="","",Config!$B$10)</f>
        <v/>
      </c>
      <c r="H142" t="str">
        <f>IF($AS142="","",Config!$B$11)</f>
        <v/>
      </c>
      <c r="I142" t="str">
        <f>IF($AS142="","",Config!$B$16)</f>
        <v/>
      </c>
      <c r="J142" t="str">
        <f>IF($AS142="","",INDEX('TMP Paste'!$A$2:$A$1601,$AS142))</f>
        <v/>
      </c>
      <c r="K142" t="str">
        <f>IF($AS142="","",INDEX('TMP Paste'!$L$2:$L$1601,$AS142))</f>
        <v/>
      </c>
      <c r="L142" t="str">
        <f>IF($AS142="","",INDEX('TMP Paste'!$I$2:$I$1601,$AS142))</f>
        <v/>
      </c>
      <c r="M142" t="str">
        <f>IF($AS142="","",Config!$B$16)</f>
        <v/>
      </c>
      <c r="N142" t="str">
        <f t="shared" si="12"/>
        <v/>
      </c>
      <c r="O142" t="str">
        <f>IF($AS142="","",INDEX('TMP Paste'!$K$2:$K$1601,$AS142))</f>
        <v/>
      </c>
      <c r="P142" t="str">
        <f t="shared" si="13"/>
        <v/>
      </c>
      <c r="Q142" t="str">
        <f>IF($AS142="","",INDEX('TMP Paste'!$J$2:$J$1601,$AS142))</f>
        <v/>
      </c>
      <c r="R142" t="str">
        <f>IF($AS142="","",Config!$B$24)</f>
        <v/>
      </c>
      <c r="S142" t="str">
        <f ca="1">IF($AS142="","",TEXT(Config!$B$4,"yyyy-mm-dd"))</f>
        <v/>
      </c>
      <c r="T142" t="str">
        <f>IF($AS142="","",Config!$B$17)</f>
        <v/>
      </c>
      <c r="U142" t="str">
        <f>IF($AS142="","",Config!$B$18)</f>
        <v/>
      </c>
      <c r="V142" t="str">
        <f>IF($AS142="","",Config!$B$19)</f>
        <v/>
      </c>
      <c r="W142" t="str">
        <f>IF($AS142="","",INDEX('TMP Paste'!$C$2:$C$1601,$AS142))</f>
        <v/>
      </c>
      <c r="X142" t="str">
        <f>IF($AS142="","",Config!$B$29)</f>
        <v/>
      </c>
      <c r="Y142" t="str">
        <f>IF($AT142="","",INDEX(Calc!$I$2:$I$1601,$AT142)&amp;" - "&amp;INDEX(Calc!$D$2:$D$1601,$AT142)&amp;" koli")</f>
        <v/>
      </c>
      <c r="Z142" t="str">
        <f>IF($AS142="","",Config!$B$21)</f>
        <v/>
      </c>
      <c r="AA142" t="str">
        <f>IF($AS142="","",Config!$B$22)</f>
        <v/>
      </c>
      <c r="AB142" t="str">
        <f>IF($AT142="","",INDEX(Calc!$D$2:$D$1601,$AT142))</f>
        <v/>
      </c>
      <c r="AC142" t="str">
        <f>IF($AT142="","",INDEX(Calc!$G$2:$G$1601,$AT142))</f>
        <v/>
      </c>
      <c r="AD142" t="str">
        <f>IF($AS142="","",Config!$B$23)</f>
        <v/>
      </c>
      <c r="AE142" t="str">
        <f>IF($AS142="","",Config!$B$28)</f>
        <v/>
      </c>
      <c r="AF142" t="str">
        <f t="shared" si="14"/>
        <v/>
      </c>
      <c r="AG142" t="str">
        <f t="shared" si="15"/>
        <v/>
      </c>
      <c r="AH142" t="str">
        <f t="shared" si="16"/>
        <v/>
      </c>
      <c r="AI142" t="str">
        <f>IF($AG142="","",SUMIF($AG$2:$AG142,$AG142,$AH$2:$AH142))</f>
        <v/>
      </c>
      <c r="AJ142" t="str">
        <f>IF('TMP Paste'!$F142="","",IF('TMP Paste'!$B142="",$AJ141,'TMP Paste'!$B142))</f>
        <v/>
      </c>
      <c r="AK142" t="str">
        <f>IF('TMP Paste'!$F142="","",N('TMP Paste'!$G142))</f>
        <v/>
      </c>
      <c r="AL142" t="str">
        <f>IF('TMP Paste'!$F142="","",IF('TMP Paste'!$M142="",$AL141,'TMP Paste'!$M142))</f>
        <v/>
      </c>
      <c r="AM142" t="str">
        <f>IF('TMP Paste'!$F142="","",IF('TMP Paste'!$N142="",$AM141,'TMP Paste'!$N142))</f>
        <v/>
      </c>
      <c r="AN142" t="str">
        <f>IF('TMP Paste'!$F142="","",IF('TMP Paste'!$O142="",$AN141,'TMP Paste'!$O142))</f>
        <v/>
      </c>
      <c r="AO142" t="str">
        <f>IF('TMP Paste'!$F142="","",IF('TMP Paste'!$P142="",$AO141,'TMP Paste'!$P142))</f>
        <v/>
      </c>
      <c r="AP142" t="str">
        <f t="shared" si="17"/>
        <v/>
      </c>
      <c r="AQ142" t="str">
        <f>IF($AS142="","",TRIM(IF(COUNTIFS(Calc!$B$2:$B$1601,ROW()-1,Calc!$C$2:$C$1601,"&lt;1")&gt;0,"Ada PO tanpa Koli - cek TMP. ","")&amp;IF(OR($AU142="",$AU142&lt;=0),"Volume kosong/0 - dimensi dikosongkan. ","")&amp;IF(AND($AU142&lt;&gt;"",$AU142&gt;=1000000),"Volume &gt;= 1.000.000 cm3 (di luar aturan) - dimensi dikosongkan. ","")&amp;IF(LEN($R142)&gt;500,"R &gt; 500 karakter.","")))</f>
        <v/>
      </c>
      <c r="AS142" t="str">
        <f>IFERROR(MATCH(ROW()-1,Calc!$J$2:$J$1601,0),"")</f>
        <v/>
      </c>
      <c r="AT142" t="str">
        <f>IFERROR(MATCH(ROW()-1,Calc!$K$2:$K$1601,0),"")</f>
        <v/>
      </c>
      <c r="AU142" t="str">
        <f>IF($AS142="","",IFERROR(INDEX('TMP Paste'!$D$2:$D$1601,$AS142)*1000000/$AB142,""))</f>
        <v/>
      </c>
    </row>
    <row r="143" spans="1:47">
      <c r="A143" t="str">
        <f>IF($AS143="","",INDEX('TMP Paste'!$B$2:$B$1601,$AS143))</f>
        <v/>
      </c>
      <c r="B143" t="str">
        <f>IF($AS143="","",Config!$B$14)</f>
        <v/>
      </c>
      <c r="C143" t="str">
        <f>IF($AS143="","",Config!$B$15)</f>
        <v/>
      </c>
      <c r="D143" t="str">
        <f>IF($AS143="","",INDEX('TMP Paste'!$B$2:$B$1601,$AS143))</f>
        <v/>
      </c>
      <c r="E143" t="str">
        <f>IF($AS143="","",Config!$B$27)</f>
        <v/>
      </c>
      <c r="F143" t="str">
        <f>IF($AS143="","",Config!$B$9)</f>
        <v/>
      </c>
      <c r="G143" t="str">
        <f>IF($AS143="","",Config!$B$10)</f>
        <v/>
      </c>
      <c r="H143" t="str">
        <f>IF($AS143="","",Config!$B$11)</f>
        <v/>
      </c>
      <c r="I143" t="str">
        <f>IF($AS143="","",Config!$B$16)</f>
        <v/>
      </c>
      <c r="J143" t="str">
        <f>IF($AS143="","",INDEX('TMP Paste'!$A$2:$A$1601,$AS143))</f>
        <v/>
      </c>
      <c r="K143" t="str">
        <f>IF($AS143="","",INDEX('TMP Paste'!$L$2:$L$1601,$AS143))</f>
        <v/>
      </c>
      <c r="L143" t="str">
        <f>IF($AS143="","",INDEX('TMP Paste'!$I$2:$I$1601,$AS143))</f>
        <v/>
      </c>
      <c r="M143" t="str">
        <f>IF($AS143="","",Config!$B$16)</f>
        <v/>
      </c>
      <c r="N143" t="str">
        <f t="shared" si="12"/>
        <v/>
      </c>
      <c r="O143" t="str">
        <f>IF($AS143="","",INDEX('TMP Paste'!$K$2:$K$1601,$AS143))</f>
        <v/>
      </c>
      <c r="P143" t="str">
        <f t="shared" si="13"/>
        <v/>
      </c>
      <c r="Q143" t="str">
        <f>IF($AS143="","",INDEX('TMP Paste'!$J$2:$J$1601,$AS143))</f>
        <v/>
      </c>
      <c r="R143" t="str">
        <f>IF($AS143="","",Config!$B$24)</f>
        <v/>
      </c>
      <c r="S143" t="str">
        <f ca="1">IF($AS143="","",TEXT(Config!$B$4,"yyyy-mm-dd"))</f>
        <v/>
      </c>
      <c r="T143" t="str">
        <f>IF($AS143="","",Config!$B$17)</f>
        <v/>
      </c>
      <c r="U143" t="str">
        <f>IF($AS143="","",Config!$B$18)</f>
        <v/>
      </c>
      <c r="V143" t="str">
        <f>IF($AS143="","",Config!$B$19)</f>
        <v/>
      </c>
      <c r="W143" t="str">
        <f>IF($AS143="","",INDEX('TMP Paste'!$C$2:$C$1601,$AS143))</f>
        <v/>
      </c>
      <c r="X143" t="str">
        <f>IF($AS143="","",Config!$B$29)</f>
        <v/>
      </c>
      <c r="Y143" t="str">
        <f>IF($AT143="","",INDEX(Calc!$I$2:$I$1601,$AT143)&amp;" - "&amp;INDEX(Calc!$D$2:$D$1601,$AT143)&amp;" koli")</f>
        <v/>
      </c>
      <c r="Z143" t="str">
        <f>IF($AS143="","",Config!$B$21)</f>
        <v/>
      </c>
      <c r="AA143" t="str">
        <f>IF($AS143="","",Config!$B$22)</f>
        <v/>
      </c>
      <c r="AB143" t="str">
        <f>IF($AT143="","",INDEX(Calc!$D$2:$D$1601,$AT143))</f>
        <v/>
      </c>
      <c r="AC143" t="str">
        <f>IF($AT143="","",INDEX(Calc!$G$2:$G$1601,$AT143))</f>
        <v/>
      </c>
      <c r="AD143" t="str">
        <f>IF($AS143="","",Config!$B$23)</f>
        <v/>
      </c>
      <c r="AE143" t="str">
        <f>IF($AS143="","",Config!$B$28)</f>
        <v/>
      </c>
      <c r="AF143" t="str">
        <f t="shared" si="14"/>
        <v/>
      </c>
      <c r="AG143" t="str">
        <f t="shared" si="15"/>
        <v/>
      </c>
      <c r="AH143" t="str">
        <f t="shared" si="16"/>
        <v/>
      </c>
      <c r="AI143" t="str">
        <f>IF($AG143="","",SUMIF($AG$2:$AG143,$AG143,$AH$2:$AH143))</f>
        <v/>
      </c>
      <c r="AJ143" t="str">
        <f>IF('TMP Paste'!$F143="","",IF('TMP Paste'!$B143="",$AJ142,'TMP Paste'!$B143))</f>
        <v>AWB02WHW1</v>
      </c>
      <c r="AK143">
        <f>IF('TMP Paste'!$F143="","",N('TMP Paste'!$G143))</f>
        <v>0</v>
      </c>
      <c r="AL143">
        <f>IF('TMP Paste'!$F143="","",IF('TMP Paste'!$M143="",$AL142,'TMP Paste'!$M143))</f>
        <v>1</v>
      </c>
      <c r="AM143" t="str">
        <f>IF('TMP Paste'!$F143="","",IF('TMP Paste'!$N143="",$AM142,'TMP Paste'!$N143))</f>
        <v/>
      </c>
      <c r="AN143" t="str">
        <f>IF('TMP Paste'!$F143="","",IF('TMP Paste'!$O143="",$AN142,'TMP Paste'!$O143))</f>
        <v/>
      </c>
      <c r="AO143" t="str">
        <f>IF('TMP Paste'!$F143="","",IF('TMP Paste'!$P143="",$AO142,'TMP Paste'!$P143))</f>
        <v/>
      </c>
      <c r="AP143" t="str">
        <f t="shared" si="17"/>
        <v/>
      </c>
      <c r="AQ143" t="str">
        <f>IF($AS143="","",TRIM(IF(COUNTIFS(Calc!$B$2:$B$1601,ROW()-1,Calc!$C$2:$C$1601,"&lt;1")&gt;0,"Ada PO tanpa Koli - cek TMP. ","")&amp;IF(OR($AU143="",$AU143&lt;=0),"Volume kosong/0 - dimensi dikosongkan. ","")&amp;IF(AND($AU143&lt;&gt;"",$AU143&gt;=1000000),"Volume &gt;= 1.000.000 cm3 (di luar aturan) - dimensi dikosongkan. ","")&amp;IF(LEN($R143)&gt;500,"R &gt; 500 karakter.","")))</f>
        <v/>
      </c>
      <c r="AS143" t="str">
        <f>IFERROR(MATCH(ROW()-1,Calc!$J$2:$J$1601,0),"")</f>
        <v/>
      </c>
      <c r="AT143" t="str">
        <f>IFERROR(MATCH(ROW()-1,Calc!$K$2:$K$1601,0),"")</f>
        <v/>
      </c>
      <c r="AU143" t="str">
        <f>IF($AS143="","",IFERROR(INDEX('TMP Paste'!$D$2:$D$1601,$AS143)*1000000/$AB143,""))</f>
        <v/>
      </c>
    </row>
    <row r="144" spans="1:47">
      <c r="A144" t="str">
        <f>IF($AS144="","",INDEX('TMP Paste'!$B$2:$B$1601,$AS144))</f>
        <v/>
      </c>
      <c r="B144" t="str">
        <f>IF($AS144="","",Config!$B$14)</f>
        <v/>
      </c>
      <c r="C144" t="str">
        <f>IF($AS144="","",Config!$B$15)</f>
        <v/>
      </c>
      <c r="D144" t="str">
        <f>IF($AS144="","",INDEX('TMP Paste'!$B$2:$B$1601,$AS144))</f>
        <v/>
      </c>
      <c r="E144" t="str">
        <f>IF($AS144="","",Config!$B$27)</f>
        <v/>
      </c>
      <c r="F144" t="str">
        <f>IF($AS144="","",Config!$B$9)</f>
        <v/>
      </c>
      <c r="G144" t="str">
        <f>IF($AS144="","",Config!$B$10)</f>
        <v/>
      </c>
      <c r="H144" t="str">
        <f>IF($AS144="","",Config!$B$11)</f>
        <v/>
      </c>
      <c r="I144" t="str">
        <f>IF($AS144="","",Config!$B$16)</f>
        <v/>
      </c>
      <c r="J144" t="str">
        <f>IF($AS144="","",INDEX('TMP Paste'!$A$2:$A$1601,$AS144))</f>
        <v/>
      </c>
      <c r="K144" t="str">
        <f>IF($AS144="","",INDEX('TMP Paste'!$L$2:$L$1601,$AS144))</f>
        <v/>
      </c>
      <c r="L144" t="str">
        <f>IF($AS144="","",INDEX('TMP Paste'!$I$2:$I$1601,$AS144))</f>
        <v/>
      </c>
      <c r="M144" t="str">
        <f>IF($AS144="","",Config!$B$16)</f>
        <v/>
      </c>
      <c r="N144" t="str">
        <f t="shared" si="12"/>
        <v/>
      </c>
      <c r="O144" t="str">
        <f>IF($AS144="","",INDEX('TMP Paste'!$K$2:$K$1601,$AS144))</f>
        <v/>
      </c>
      <c r="P144" t="str">
        <f t="shared" si="13"/>
        <v/>
      </c>
      <c r="Q144" t="str">
        <f>IF($AS144="","",INDEX('TMP Paste'!$J$2:$J$1601,$AS144))</f>
        <v/>
      </c>
      <c r="R144" t="str">
        <f>IF($AS144="","",Config!$B$24)</f>
        <v/>
      </c>
      <c r="S144" t="str">
        <f ca="1">IF($AS144="","",TEXT(Config!$B$4,"yyyy-mm-dd"))</f>
        <v/>
      </c>
      <c r="T144" t="str">
        <f>IF($AS144="","",Config!$B$17)</f>
        <v/>
      </c>
      <c r="U144" t="str">
        <f>IF($AS144="","",Config!$B$18)</f>
        <v/>
      </c>
      <c r="V144" t="str">
        <f>IF($AS144="","",Config!$B$19)</f>
        <v/>
      </c>
      <c r="W144" t="str">
        <f>IF($AS144="","",INDEX('TMP Paste'!$C$2:$C$1601,$AS144))</f>
        <v/>
      </c>
      <c r="X144" t="str">
        <f>IF($AS144="","",Config!$B$29)</f>
        <v/>
      </c>
      <c r="Y144" t="str">
        <f>IF($AT144="","",INDEX(Calc!$I$2:$I$1601,$AT144)&amp;" - "&amp;INDEX(Calc!$D$2:$D$1601,$AT144)&amp;" koli")</f>
        <v/>
      </c>
      <c r="Z144" t="str">
        <f>IF($AS144="","",Config!$B$21)</f>
        <v/>
      </c>
      <c r="AA144" t="str">
        <f>IF($AS144="","",Config!$B$22)</f>
        <v/>
      </c>
      <c r="AB144" t="str">
        <f>IF($AT144="","",INDEX(Calc!$D$2:$D$1601,$AT144))</f>
        <v/>
      </c>
      <c r="AC144" t="str">
        <f>IF($AT144="","",INDEX(Calc!$G$2:$G$1601,$AT144))</f>
        <v/>
      </c>
      <c r="AD144" t="str">
        <f>IF($AS144="","",Config!$B$23)</f>
        <v/>
      </c>
      <c r="AE144" t="str">
        <f>IF($AS144="","",Config!$B$28)</f>
        <v/>
      </c>
      <c r="AF144" t="str">
        <f t="shared" si="14"/>
        <v/>
      </c>
      <c r="AG144" t="str">
        <f t="shared" si="15"/>
        <v/>
      </c>
      <c r="AH144" t="str">
        <f t="shared" si="16"/>
        <v/>
      </c>
      <c r="AI144" t="str">
        <f>IF($AG144="","",SUMIF($AG$2:$AG144,$AG144,$AH$2:$AH144))</f>
        <v/>
      </c>
      <c r="AJ144" t="str">
        <f>IF('TMP Paste'!$F144="","",IF('TMP Paste'!$B144="",$AJ143,'TMP Paste'!$B144))</f>
        <v>AWB02WJZH</v>
      </c>
      <c r="AK144">
        <f>IF('TMP Paste'!$F144="","",N('TMP Paste'!$G144))</f>
        <v>0</v>
      </c>
      <c r="AL144">
        <f>IF('TMP Paste'!$F144="","",IF('TMP Paste'!$M144="",$AL143,'TMP Paste'!$M144))</f>
        <v>1</v>
      </c>
      <c r="AM144" t="str">
        <f>IF('TMP Paste'!$F144="","",IF('TMP Paste'!$N144="",$AM143,'TMP Paste'!$N144))</f>
        <v/>
      </c>
      <c r="AN144" t="str">
        <f>IF('TMP Paste'!$F144="","",IF('TMP Paste'!$O144="",$AN143,'TMP Paste'!$O144))</f>
        <v/>
      </c>
      <c r="AO144" t="str">
        <f>IF('TMP Paste'!$F144="","",IF('TMP Paste'!$P144="",$AO143,'TMP Paste'!$P144))</f>
        <v/>
      </c>
      <c r="AP144" t="str">
        <f t="shared" si="17"/>
        <v/>
      </c>
      <c r="AQ144" t="str">
        <f>IF($AS144="","",TRIM(IF(COUNTIFS(Calc!$B$2:$B$1601,ROW()-1,Calc!$C$2:$C$1601,"&lt;1")&gt;0,"Ada PO tanpa Koli - cek TMP. ","")&amp;IF(OR($AU144="",$AU144&lt;=0),"Volume kosong/0 - dimensi dikosongkan. ","")&amp;IF(AND($AU144&lt;&gt;"",$AU144&gt;=1000000),"Volume &gt;= 1.000.000 cm3 (di luar aturan) - dimensi dikosongkan. ","")&amp;IF(LEN($R144)&gt;500,"R &gt; 500 karakter.","")))</f>
        <v/>
      </c>
      <c r="AS144" t="str">
        <f>IFERROR(MATCH(ROW()-1,Calc!$J$2:$J$1601,0),"")</f>
        <v/>
      </c>
      <c r="AT144" t="str">
        <f>IFERROR(MATCH(ROW()-1,Calc!$K$2:$K$1601,0),"")</f>
        <v/>
      </c>
      <c r="AU144" t="str">
        <f>IF($AS144="","",IFERROR(INDEX('TMP Paste'!$D$2:$D$1601,$AS144)*1000000/$AB144,""))</f>
        <v/>
      </c>
    </row>
    <row r="145" spans="1:47">
      <c r="A145" t="str">
        <f>IF($AS145="","",INDEX('TMP Paste'!$B$2:$B$1601,$AS145))</f>
        <v/>
      </c>
      <c r="B145" t="str">
        <f>IF($AS145="","",Config!$B$14)</f>
        <v/>
      </c>
      <c r="C145" t="str">
        <f>IF($AS145="","",Config!$B$15)</f>
        <v/>
      </c>
      <c r="D145" t="str">
        <f>IF($AS145="","",INDEX('TMP Paste'!$B$2:$B$1601,$AS145))</f>
        <v/>
      </c>
      <c r="E145" t="str">
        <f>IF($AS145="","",Config!$B$27)</f>
        <v/>
      </c>
      <c r="F145" t="str">
        <f>IF($AS145="","",Config!$B$9)</f>
        <v/>
      </c>
      <c r="G145" t="str">
        <f>IF($AS145="","",Config!$B$10)</f>
        <v/>
      </c>
      <c r="H145" t="str">
        <f>IF($AS145="","",Config!$B$11)</f>
        <v/>
      </c>
      <c r="I145" t="str">
        <f>IF($AS145="","",Config!$B$16)</f>
        <v/>
      </c>
      <c r="J145" t="str">
        <f>IF($AS145="","",INDEX('TMP Paste'!$A$2:$A$1601,$AS145))</f>
        <v/>
      </c>
      <c r="K145" t="str">
        <f>IF($AS145="","",INDEX('TMP Paste'!$L$2:$L$1601,$AS145))</f>
        <v/>
      </c>
      <c r="L145" t="str">
        <f>IF($AS145="","",INDEX('TMP Paste'!$I$2:$I$1601,$AS145))</f>
        <v/>
      </c>
      <c r="M145" t="str">
        <f>IF($AS145="","",Config!$B$16)</f>
        <v/>
      </c>
      <c r="N145" t="str">
        <f t="shared" si="12"/>
        <v/>
      </c>
      <c r="O145" t="str">
        <f>IF($AS145="","",INDEX('TMP Paste'!$K$2:$K$1601,$AS145))</f>
        <v/>
      </c>
      <c r="P145" t="str">
        <f t="shared" si="13"/>
        <v/>
      </c>
      <c r="Q145" t="str">
        <f>IF($AS145="","",INDEX('TMP Paste'!$J$2:$J$1601,$AS145))</f>
        <v/>
      </c>
      <c r="R145" t="str">
        <f>IF($AS145="","",Config!$B$24)</f>
        <v/>
      </c>
      <c r="S145" t="str">
        <f ca="1">IF($AS145="","",TEXT(Config!$B$4,"yyyy-mm-dd"))</f>
        <v/>
      </c>
      <c r="T145" t="str">
        <f>IF($AS145="","",Config!$B$17)</f>
        <v/>
      </c>
      <c r="U145" t="str">
        <f>IF($AS145="","",Config!$B$18)</f>
        <v/>
      </c>
      <c r="V145" t="str">
        <f>IF($AS145="","",Config!$B$19)</f>
        <v/>
      </c>
      <c r="W145" t="str">
        <f>IF($AS145="","",INDEX('TMP Paste'!$C$2:$C$1601,$AS145))</f>
        <v/>
      </c>
      <c r="X145" t="str">
        <f>IF($AS145="","",Config!$B$29)</f>
        <v/>
      </c>
      <c r="Y145" t="str">
        <f>IF($AT145="","",INDEX(Calc!$I$2:$I$1601,$AT145)&amp;" - "&amp;INDEX(Calc!$D$2:$D$1601,$AT145)&amp;" koli")</f>
        <v/>
      </c>
      <c r="Z145" t="str">
        <f>IF($AS145="","",Config!$B$21)</f>
        <v/>
      </c>
      <c r="AA145" t="str">
        <f>IF($AS145="","",Config!$B$22)</f>
        <v/>
      </c>
      <c r="AB145" t="str">
        <f>IF($AT145="","",INDEX(Calc!$D$2:$D$1601,$AT145))</f>
        <v/>
      </c>
      <c r="AC145" t="str">
        <f>IF($AT145="","",INDEX(Calc!$G$2:$G$1601,$AT145))</f>
        <v/>
      </c>
      <c r="AD145" t="str">
        <f>IF($AS145="","",Config!$B$23)</f>
        <v/>
      </c>
      <c r="AE145" t="str">
        <f>IF($AS145="","",Config!$B$28)</f>
        <v/>
      </c>
      <c r="AF145" t="str">
        <f t="shared" si="14"/>
        <v/>
      </c>
      <c r="AG145" t="str">
        <f t="shared" si="15"/>
        <v/>
      </c>
      <c r="AH145" t="str">
        <f t="shared" si="16"/>
        <v/>
      </c>
      <c r="AI145" t="str">
        <f>IF($AG145="","",SUMIF($AG$2:$AG145,$AG145,$AH$2:$AH145))</f>
        <v/>
      </c>
      <c r="AJ145" t="str">
        <f>IF('TMP Paste'!$F145="","",IF('TMP Paste'!$B145="",$AJ144,'TMP Paste'!$B145))</f>
        <v>AWB02WHZX</v>
      </c>
      <c r="AK145">
        <f>IF('TMP Paste'!$F145="","",N('TMP Paste'!$G145))</f>
        <v>0</v>
      </c>
      <c r="AL145">
        <f>IF('TMP Paste'!$F145="","",IF('TMP Paste'!$M145="",$AL144,'TMP Paste'!$M145))</f>
        <v>1</v>
      </c>
      <c r="AM145" t="str">
        <f>IF('TMP Paste'!$F145="","",IF('TMP Paste'!$N145="",$AM144,'TMP Paste'!$N145))</f>
        <v/>
      </c>
      <c r="AN145" t="str">
        <f>IF('TMP Paste'!$F145="","",IF('TMP Paste'!$O145="",$AN144,'TMP Paste'!$O145))</f>
        <v/>
      </c>
      <c r="AO145" t="str">
        <f>IF('TMP Paste'!$F145="","",IF('TMP Paste'!$P145="",$AO144,'TMP Paste'!$P145))</f>
        <v/>
      </c>
      <c r="AP145" t="str">
        <f t="shared" si="17"/>
        <v/>
      </c>
      <c r="AQ145" t="str">
        <f>IF($AS145="","",TRIM(IF(COUNTIFS(Calc!$B$2:$B$1601,ROW()-1,Calc!$C$2:$C$1601,"&lt;1")&gt;0,"Ada PO tanpa Koli - cek TMP. ","")&amp;IF(OR($AU145="",$AU145&lt;=0),"Volume kosong/0 - dimensi dikosongkan. ","")&amp;IF(AND($AU145&lt;&gt;"",$AU145&gt;=1000000),"Volume &gt;= 1.000.000 cm3 (di luar aturan) - dimensi dikosongkan. ","")&amp;IF(LEN($R145)&gt;500,"R &gt; 500 karakter.","")))</f>
        <v/>
      </c>
      <c r="AS145" t="str">
        <f>IFERROR(MATCH(ROW()-1,Calc!$J$2:$J$1601,0),"")</f>
        <v/>
      </c>
      <c r="AT145" t="str">
        <f>IFERROR(MATCH(ROW()-1,Calc!$K$2:$K$1601,0),"")</f>
        <v/>
      </c>
      <c r="AU145" t="str">
        <f>IF($AS145="","",IFERROR(INDEX('TMP Paste'!$D$2:$D$1601,$AS145)*1000000/$AB145,""))</f>
        <v/>
      </c>
    </row>
    <row r="146" spans="1:47">
      <c r="A146" t="str">
        <f>IF($AS146="","",INDEX('TMP Paste'!$B$2:$B$1601,$AS146))</f>
        <v/>
      </c>
      <c r="B146" t="str">
        <f>IF($AS146="","",Config!$B$14)</f>
        <v/>
      </c>
      <c r="C146" t="str">
        <f>IF($AS146="","",Config!$B$15)</f>
        <v/>
      </c>
      <c r="D146" t="str">
        <f>IF($AS146="","",INDEX('TMP Paste'!$B$2:$B$1601,$AS146))</f>
        <v/>
      </c>
      <c r="E146" t="str">
        <f>IF($AS146="","",Config!$B$27)</f>
        <v/>
      </c>
      <c r="F146" t="str">
        <f>IF($AS146="","",Config!$B$9)</f>
        <v/>
      </c>
      <c r="G146" t="str">
        <f>IF($AS146="","",Config!$B$10)</f>
        <v/>
      </c>
      <c r="H146" t="str">
        <f>IF($AS146="","",Config!$B$11)</f>
        <v/>
      </c>
      <c r="I146" t="str">
        <f>IF($AS146="","",Config!$B$16)</f>
        <v/>
      </c>
      <c r="J146" t="str">
        <f>IF($AS146="","",INDEX('TMP Paste'!$A$2:$A$1601,$AS146))</f>
        <v/>
      </c>
      <c r="K146" t="str">
        <f>IF($AS146="","",INDEX('TMP Paste'!$L$2:$L$1601,$AS146))</f>
        <v/>
      </c>
      <c r="L146" t="str">
        <f>IF($AS146="","",INDEX('TMP Paste'!$I$2:$I$1601,$AS146))</f>
        <v/>
      </c>
      <c r="M146" t="str">
        <f>IF($AS146="","",Config!$B$16)</f>
        <v/>
      </c>
      <c r="N146" t="str">
        <f t="shared" si="12"/>
        <v/>
      </c>
      <c r="O146" t="str">
        <f>IF($AS146="","",INDEX('TMP Paste'!$K$2:$K$1601,$AS146))</f>
        <v/>
      </c>
      <c r="P146" t="str">
        <f t="shared" si="13"/>
        <v/>
      </c>
      <c r="Q146" t="str">
        <f>IF($AS146="","",INDEX('TMP Paste'!$J$2:$J$1601,$AS146))</f>
        <v/>
      </c>
      <c r="R146" t="str">
        <f>IF($AS146="","",Config!$B$24)</f>
        <v/>
      </c>
      <c r="S146" t="str">
        <f ca="1">IF($AS146="","",TEXT(Config!$B$4,"yyyy-mm-dd"))</f>
        <v/>
      </c>
      <c r="T146" t="str">
        <f>IF($AS146="","",Config!$B$17)</f>
        <v/>
      </c>
      <c r="U146" t="str">
        <f>IF($AS146="","",Config!$B$18)</f>
        <v/>
      </c>
      <c r="V146" t="str">
        <f>IF($AS146="","",Config!$B$19)</f>
        <v/>
      </c>
      <c r="W146" t="str">
        <f>IF($AS146="","",INDEX('TMP Paste'!$C$2:$C$1601,$AS146))</f>
        <v/>
      </c>
      <c r="X146" t="str">
        <f>IF($AS146="","",Config!$B$29)</f>
        <v/>
      </c>
      <c r="Y146" t="str">
        <f>IF($AT146="","",INDEX(Calc!$I$2:$I$1601,$AT146)&amp;" - "&amp;INDEX(Calc!$D$2:$D$1601,$AT146)&amp;" koli")</f>
        <v/>
      </c>
      <c r="Z146" t="str">
        <f>IF($AS146="","",Config!$B$21)</f>
        <v/>
      </c>
      <c r="AA146" t="str">
        <f>IF($AS146="","",Config!$B$22)</f>
        <v/>
      </c>
      <c r="AB146" t="str">
        <f>IF($AT146="","",INDEX(Calc!$D$2:$D$1601,$AT146))</f>
        <v/>
      </c>
      <c r="AC146" t="str">
        <f>IF($AT146="","",INDEX(Calc!$G$2:$G$1601,$AT146))</f>
        <v/>
      </c>
      <c r="AD146" t="str">
        <f>IF($AS146="","",Config!$B$23)</f>
        <v/>
      </c>
      <c r="AE146" t="str">
        <f>IF($AS146="","",Config!$B$28)</f>
        <v/>
      </c>
      <c r="AF146" t="str">
        <f t="shared" si="14"/>
        <v/>
      </c>
      <c r="AG146" t="str">
        <f t="shared" si="15"/>
        <v/>
      </c>
      <c r="AH146" t="str">
        <f t="shared" si="16"/>
        <v/>
      </c>
      <c r="AI146" t="str">
        <f>IF($AG146="","",SUMIF($AG$2:$AG146,$AG146,$AH$2:$AH146))</f>
        <v/>
      </c>
      <c r="AJ146" t="str">
        <f>IF('TMP Paste'!$F146="","",IF('TMP Paste'!$B146="",$AJ145,'TMP Paste'!$B146))</f>
        <v/>
      </c>
      <c r="AK146" t="str">
        <f>IF('TMP Paste'!$F146="","",N('TMP Paste'!$G146))</f>
        <v/>
      </c>
      <c r="AL146" t="str">
        <f>IF('TMP Paste'!$F146="","",IF('TMP Paste'!$M146="",$AL145,'TMP Paste'!$M146))</f>
        <v/>
      </c>
      <c r="AM146" t="str">
        <f>IF('TMP Paste'!$F146="","",IF('TMP Paste'!$N146="",$AM145,'TMP Paste'!$N146))</f>
        <v/>
      </c>
      <c r="AN146" t="str">
        <f>IF('TMP Paste'!$F146="","",IF('TMP Paste'!$O146="",$AN145,'TMP Paste'!$O146))</f>
        <v/>
      </c>
      <c r="AO146" t="str">
        <f>IF('TMP Paste'!$F146="","",IF('TMP Paste'!$P146="",$AO145,'TMP Paste'!$P146))</f>
        <v/>
      </c>
      <c r="AP146" t="str">
        <f t="shared" si="17"/>
        <v/>
      </c>
      <c r="AQ146" t="str">
        <f>IF($AS146="","",TRIM(IF(COUNTIFS(Calc!$B$2:$B$1601,ROW()-1,Calc!$C$2:$C$1601,"&lt;1")&gt;0,"Ada PO tanpa Koli - cek TMP. ","")&amp;IF(OR($AU146="",$AU146&lt;=0),"Volume kosong/0 - dimensi dikosongkan. ","")&amp;IF(AND($AU146&lt;&gt;"",$AU146&gt;=1000000),"Volume &gt;= 1.000.000 cm3 (di luar aturan) - dimensi dikosongkan. ","")&amp;IF(LEN($R146)&gt;500,"R &gt; 500 karakter.","")))</f>
        <v/>
      </c>
      <c r="AS146" t="str">
        <f>IFERROR(MATCH(ROW()-1,Calc!$J$2:$J$1601,0),"")</f>
        <v/>
      </c>
      <c r="AT146" t="str">
        <f>IFERROR(MATCH(ROW()-1,Calc!$K$2:$K$1601,0),"")</f>
        <v/>
      </c>
      <c r="AU146" t="str">
        <f>IF($AS146="","",IFERROR(INDEX('TMP Paste'!$D$2:$D$1601,$AS146)*1000000/$AB146,""))</f>
        <v/>
      </c>
    </row>
    <row r="147" spans="1:47">
      <c r="A147" t="str">
        <f>IF($AS147="","",INDEX('TMP Paste'!$B$2:$B$1601,$AS147))</f>
        <v/>
      </c>
      <c r="B147" t="str">
        <f>IF($AS147="","",Config!$B$14)</f>
        <v/>
      </c>
      <c r="C147" t="str">
        <f>IF($AS147="","",Config!$B$15)</f>
        <v/>
      </c>
      <c r="D147" t="str">
        <f>IF($AS147="","",INDEX('TMP Paste'!$B$2:$B$1601,$AS147))</f>
        <v/>
      </c>
      <c r="E147" t="str">
        <f>IF($AS147="","",Config!$B$27)</f>
        <v/>
      </c>
      <c r="F147" t="str">
        <f>IF($AS147="","",Config!$B$9)</f>
        <v/>
      </c>
      <c r="G147" t="str">
        <f>IF($AS147="","",Config!$B$10)</f>
        <v/>
      </c>
      <c r="H147" t="str">
        <f>IF($AS147="","",Config!$B$11)</f>
        <v/>
      </c>
      <c r="I147" t="str">
        <f>IF($AS147="","",Config!$B$16)</f>
        <v/>
      </c>
      <c r="J147" t="str">
        <f>IF($AS147="","",INDEX('TMP Paste'!$A$2:$A$1601,$AS147))</f>
        <v/>
      </c>
      <c r="K147" t="str">
        <f>IF($AS147="","",INDEX('TMP Paste'!$L$2:$L$1601,$AS147))</f>
        <v/>
      </c>
      <c r="L147" t="str">
        <f>IF($AS147="","",INDEX('TMP Paste'!$I$2:$I$1601,$AS147))</f>
        <v/>
      </c>
      <c r="M147" t="str">
        <f>IF($AS147="","",Config!$B$16)</f>
        <v/>
      </c>
      <c r="N147" t="str">
        <f t="shared" si="12"/>
        <v/>
      </c>
      <c r="O147" t="str">
        <f>IF($AS147="","",INDEX('TMP Paste'!$K$2:$K$1601,$AS147))</f>
        <v/>
      </c>
      <c r="P147" t="str">
        <f t="shared" si="13"/>
        <v/>
      </c>
      <c r="Q147" t="str">
        <f>IF($AS147="","",INDEX('TMP Paste'!$J$2:$J$1601,$AS147))</f>
        <v/>
      </c>
      <c r="R147" t="str">
        <f>IF($AS147="","",Config!$B$24)</f>
        <v/>
      </c>
      <c r="S147" t="str">
        <f ca="1">IF($AS147="","",TEXT(Config!$B$4,"yyyy-mm-dd"))</f>
        <v/>
      </c>
      <c r="T147" t="str">
        <f>IF($AS147="","",Config!$B$17)</f>
        <v/>
      </c>
      <c r="U147" t="str">
        <f>IF($AS147="","",Config!$B$18)</f>
        <v/>
      </c>
      <c r="V147" t="str">
        <f>IF($AS147="","",Config!$B$19)</f>
        <v/>
      </c>
      <c r="W147" t="str">
        <f>IF($AS147="","",INDEX('TMP Paste'!$C$2:$C$1601,$AS147))</f>
        <v/>
      </c>
      <c r="X147" t="str">
        <f>IF($AS147="","",Config!$B$29)</f>
        <v/>
      </c>
      <c r="Y147" t="str">
        <f>IF($AT147="","",INDEX(Calc!$I$2:$I$1601,$AT147)&amp;" - "&amp;INDEX(Calc!$D$2:$D$1601,$AT147)&amp;" koli")</f>
        <v/>
      </c>
      <c r="Z147" t="str">
        <f>IF($AS147="","",Config!$B$21)</f>
        <v/>
      </c>
      <c r="AA147" t="str">
        <f>IF($AS147="","",Config!$B$22)</f>
        <v/>
      </c>
      <c r="AB147" t="str">
        <f>IF($AT147="","",INDEX(Calc!$D$2:$D$1601,$AT147))</f>
        <v/>
      </c>
      <c r="AC147" t="str">
        <f>IF($AT147="","",INDEX(Calc!$G$2:$G$1601,$AT147))</f>
        <v/>
      </c>
      <c r="AD147" t="str">
        <f>IF($AS147="","",Config!$B$23)</f>
        <v/>
      </c>
      <c r="AE147" t="str">
        <f>IF($AS147="","",Config!$B$28)</f>
        <v/>
      </c>
      <c r="AF147" t="str">
        <f t="shared" si="14"/>
        <v/>
      </c>
      <c r="AG147" t="str">
        <f t="shared" si="15"/>
        <v/>
      </c>
      <c r="AH147" t="str">
        <f t="shared" si="16"/>
        <v/>
      </c>
      <c r="AI147" t="str">
        <f>IF($AG147="","",SUMIF($AG$2:$AG147,$AG147,$AH$2:$AH147))</f>
        <v/>
      </c>
      <c r="AJ147" t="str">
        <f>IF('TMP Paste'!$F147="","",IF('TMP Paste'!$B147="",$AJ146,'TMP Paste'!$B147))</f>
        <v/>
      </c>
      <c r="AK147" t="str">
        <f>IF('TMP Paste'!$F147="","",N('TMP Paste'!$G147))</f>
        <v/>
      </c>
      <c r="AL147" t="str">
        <f>IF('TMP Paste'!$F147="","",IF('TMP Paste'!$M147="",$AL146,'TMP Paste'!$M147))</f>
        <v/>
      </c>
      <c r="AM147" t="str">
        <f>IF('TMP Paste'!$F147="","",IF('TMP Paste'!$N147="",$AM146,'TMP Paste'!$N147))</f>
        <v/>
      </c>
      <c r="AN147" t="str">
        <f>IF('TMP Paste'!$F147="","",IF('TMP Paste'!$O147="",$AN146,'TMP Paste'!$O147))</f>
        <v/>
      </c>
      <c r="AO147" t="str">
        <f>IF('TMP Paste'!$F147="","",IF('TMP Paste'!$P147="",$AO146,'TMP Paste'!$P147))</f>
        <v/>
      </c>
      <c r="AP147" t="str">
        <f t="shared" si="17"/>
        <v/>
      </c>
      <c r="AQ147" t="str">
        <f>IF($AS147="","",TRIM(IF(COUNTIFS(Calc!$B$2:$B$1601,ROW()-1,Calc!$C$2:$C$1601,"&lt;1")&gt;0,"Ada PO tanpa Koli - cek TMP. ","")&amp;IF(OR($AU147="",$AU147&lt;=0),"Volume kosong/0 - dimensi dikosongkan. ","")&amp;IF(AND($AU147&lt;&gt;"",$AU147&gt;=1000000),"Volume &gt;= 1.000.000 cm3 (di luar aturan) - dimensi dikosongkan. ","")&amp;IF(LEN($R147)&gt;500,"R &gt; 500 karakter.","")))</f>
        <v/>
      </c>
      <c r="AS147" t="str">
        <f>IFERROR(MATCH(ROW()-1,Calc!$J$2:$J$1601,0),"")</f>
        <v/>
      </c>
      <c r="AT147" t="str">
        <f>IFERROR(MATCH(ROW()-1,Calc!$K$2:$K$1601,0),"")</f>
        <v/>
      </c>
      <c r="AU147" t="str">
        <f>IF($AS147="","",IFERROR(INDEX('TMP Paste'!$D$2:$D$1601,$AS147)*1000000/$AB147,""))</f>
        <v/>
      </c>
    </row>
    <row r="148" spans="1:47">
      <c r="A148" t="str">
        <f>IF($AS148="","",INDEX('TMP Paste'!$B$2:$B$1601,$AS148))</f>
        <v/>
      </c>
      <c r="B148" t="str">
        <f>IF($AS148="","",Config!$B$14)</f>
        <v/>
      </c>
      <c r="C148" t="str">
        <f>IF($AS148="","",Config!$B$15)</f>
        <v/>
      </c>
      <c r="D148" t="str">
        <f>IF($AS148="","",INDEX('TMP Paste'!$B$2:$B$1601,$AS148))</f>
        <v/>
      </c>
      <c r="E148" t="str">
        <f>IF($AS148="","",Config!$B$27)</f>
        <v/>
      </c>
      <c r="F148" t="str">
        <f>IF($AS148="","",Config!$B$9)</f>
        <v/>
      </c>
      <c r="G148" t="str">
        <f>IF($AS148="","",Config!$B$10)</f>
        <v/>
      </c>
      <c r="H148" t="str">
        <f>IF($AS148="","",Config!$B$11)</f>
        <v/>
      </c>
      <c r="I148" t="str">
        <f>IF($AS148="","",Config!$B$16)</f>
        <v/>
      </c>
      <c r="J148" t="str">
        <f>IF($AS148="","",INDEX('TMP Paste'!$A$2:$A$1601,$AS148))</f>
        <v/>
      </c>
      <c r="K148" t="str">
        <f>IF($AS148="","",INDEX('TMP Paste'!$L$2:$L$1601,$AS148))</f>
        <v/>
      </c>
      <c r="L148" t="str">
        <f>IF($AS148="","",INDEX('TMP Paste'!$I$2:$I$1601,$AS148))</f>
        <v/>
      </c>
      <c r="M148" t="str">
        <f>IF($AS148="","",Config!$B$16)</f>
        <v/>
      </c>
      <c r="N148" t="str">
        <f t="shared" si="12"/>
        <v/>
      </c>
      <c r="O148" t="str">
        <f>IF($AS148="","",INDEX('TMP Paste'!$K$2:$K$1601,$AS148))</f>
        <v/>
      </c>
      <c r="P148" t="str">
        <f t="shared" si="13"/>
        <v/>
      </c>
      <c r="Q148" t="str">
        <f>IF($AS148="","",INDEX('TMP Paste'!$J$2:$J$1601,$AS148))</f>
        <v/>
      </c>
      <c r="R148" t="str">
        <f>IF($AS148="","",Config!$B$24)</f>
        <v/>
      </c>
      <c r="S148" t="str">
        <f ca="1">IF($AS148="","",TEXT(Config!$B$4,"yyyy-mm-dd"))</f>
        <v/>
      </c>
      <c r="T148" t="str">
        <f>IF($AS148="","",Config!$B$17)</f>
        <v/>
      </c>
      <c r="U148" t="str">
        <f>IF($AS148="","",Config!$B$18)</f>
        <v/>
      </c>
      <c r="V148" t="str">
        <f>IF($AS148="","",Config!$B$19)</f>
        <v/>
      </c>
      <c r="W148" t="str">
        <f>IF($AS148="","",INDEX('TMP Paste'!$C$2:$C$1601,$AS148))</f>
        <v/>
      </c>
      <c r="X148" t="str">
        <f>IF($AS148="","",Config!$B$29)</f>
        <v/>
      </c>
      <c r="Y148" t="str">
        <f>IF($AT148="","",INDEX(Calc!$I$2:$I$1601,$AT148)&amp;" - "&amp;INDEX(Calc!$D$2:$D$1601,$AT148)&amp;" koli")</f>
        <v/>
      </c>
      <c r="Z148" t="str">
        <f>IF($AS148="","",Config!$B$21)</f>
        <v/>
      </c>
      <c r="AA148" t="str">
        <f>IF($AS148="","",Config!$B$22)</f>
        <v/>
      </c>
      <c r="AB148" t="str">
        <f>IF($AT148="","",INDEX(Calc!$D$2:$D$1601,$AT148))</f>
        <v/>
      </c>
      <c r="AC148" t="str">
        <f>IF($AT148="","",INDEX(Calc!$G$2:$G$1601,$AT148))</f>
        <v/>
      </c>
      <c r="AD148" t="str">
        <f>IF($AS148="","",Config!$B$23)</f>
        <v/>
      </c>
      <c r="AE148" t="str">
        <f>IF($AS148="","",Config!$B$28)</f>
        <v/>
      </c>
      <c r="AF148" t="str">
        <f t="shared" si="14"/>
        <v/>
      </c>
      <c r="AG148" t="str">
        <f t="shared" si="15"/>
        <v/>
      </c>
      <c r="AH148" t="str">
        <f t="shared" si="16"/>
        <v/>
      </c>
      <c r="AI148" t="str">
        <f>IF($AG148="","",SUMIF($AG$2:$AG148,$AG148,$AH$2:$AH148))</f>
        <v/>
      </c>
      <c r="AJ148" t="str">
        <f>IF('TMP Paste'!$F148="","",IF('TMP Paste'!$B148="",$AJ147,'TMP Paste'!$B148))</f>
        <v>AWB02WMD1</v>
      </c>
      <c r="AK148">
        <f>IF('TMP Paste'!$F148="","",N('TMP Paste'!$G148))</f>
        <v>0</v>
      </c>
      <c r="AL148">
        <f>IF('TMP Paste'!$F148="","",IF('TMP Paste'!$M148="",$AL147,'TMP Paste'!$M148))</f>
        <v>1</v>
      </c>
      <c r="AM148" t="str">
        <f>IF('TMP Paste'!$F148="","",IF('TMP Paste'!$N148="",$AM147,'TMP Paste'!$N148))</f>
        <v/>
      </c>
      <c r="AN148" t="str">
        <f>IF('TMP Paste'!$F148="","",IF('TMP Paste'!$O148="",$AN147,'TMP Paste'!$O148))</f>
        <v/>
      </c>
      <c r="AO148" t="str">
        <f>IF('TMP Paste'!$F148="","",IF('TMP Paste'!$P148="",$AO147,'TMP Paste'!$P148))</f>
        <v/>
      </c>
      <c r="AP148" t="str">
        <f t="shared" si="17"/>
        <v/>
      </c>
      <c r="AQ148" t="str">
        <f>IF($AS148="","",TRIM(IF(COUNTIFS(Calc!$B$2:$B$1601,ROW()-1,Calc!$C$2:$C$1601,"&lt;1")&gt;0,"Ada PO tanpa Koli - cek TMP. ","")&amp;IF(OR($AU148="",$AU148&lt;=0),"Volume kosong/0 - dimensi dikosongkan. ","")&amp;IF(AND($AU148&lt;&gt;"",$AU148&gt;=1000000),"Volume &gt;= 1.000.000 cm3 (di luar aturan) - dimensi dikosongkan. ","")&amp;IF(LEN($R148)&gt;500,"R &gt; 500 karakter.","")))</f>
        <v/>
      </c>
      <c r="AS148" t="str">
        <f>IFERROR(MATCH(ROW()-1,Calc!$J$2:$J$1601,0),"")</f>
        <v/>
      </c>
      <c r="AT148" t="str">
        <f>IFERROR(MATCH(ROW()-1,Calc!$K$2:$K$1601,0),"")</f>
        <v/>
      </c>
      <c r="AU148" t="str">
        <f>IF($AS148="","",IFERROR(INDEX('TMP Paste'!$D$2:$D$1601,$AS148)*1000000/$AB148,""))</f>
        <v/>
      </c>
    </row>
    <row r="149" spans="1:47">
      <c r="A149" t="str">
        <f>IF($AS149="","",INDEX('TMP Paste'!$B$2:$B$1601,$AS149))</f>
        <v/>
      </c>
      <c r="B149" t="str">
        <f>IF($AS149="","",Config!$B$14)</f>
        <v/>
      </c>
      <c r="C149" t="str">
        <f>IF($AS149="","",Config!$B$15)</f>
        <v/>
      </c>
      <c r="D149" t="str">
        <f>IF($AS149="","",INDEX('TMP Paste'!$B$2:$B$1601,$AS149))</f>
        <v/>
      </c>
      <c r="E149" t="str">
        <f>IF($AS149="","",Config!$B$27)</f>
        <v/>
      </c>
      <c r="F149" t="str">
        <f>IF($AS149="","",Config!$B$9)</f>
        <v/>
      </c>
      <c r="G149" t="str">
        <f>IF($AS149="","",Config!$B$10)</f>
        <v/>
      </c>
      <c r="H149" t="str">
        <f>IF($AS149="","",Config!$B$11)</f>
        <v/>
      </c>
      <c r="I149" t="str">
        <f>IF($AS149="","",Config!$B$16)</f>
        <v/>
      </c>
      <c r="J149" t="str">
        <f>IF($AS149="","",INDEX('TMP Paste'!$A$2:$A$1601,$AS149))</f>
        <v/>
      </c>
      <c r="K149" t="str">
        <f>IF($AS149="","",INDEX('TMP Paste'!$L$2:$L$1601,$AS149))</f>
        <v/>
      </c>
      <c r="L149" t="str">
        <f>IF($AS149="","",INDEX('TMP Paste'!$I$2:$I$1601,$AS149))</f>
        <v/>
      </c>
      <c r="M149" t="str">
        <f>IF($AS149="","",Config!$B$16)</f>
        <v/>
      </c>
      <c r="N149" t="str">
        <f t="shared" si="12"/>
        <v/>
      </c>
      <c r="O149" t="str">
        <f>IF($AS149="","",INDEX('TMP Paste'!$K$2:$K$1601,$AS149))</f>
        <v/>
      </c>
      <c r="P149" t="str">
        <f t="shared" si="13"/>
        <v/>
      </c>
      <c r="Q149" t="str">
        <f>IF($AS149="","",INDEX('TMP Paste'!$J$2:$J$1601,$AS149))</f>
        <v/>
      </c>
      <c r="R149" t="str">
        <f>IF($AS149="","",Config!$B$24)</f>
        <v/>
      </c>
      <c r="S149" t="str">
        <f ca="1">IF($AS149="","",TEXT(Config!$B$4,"yyyy-mm-dd"))</f>
        <v/>
      </c>
      <c r="T149" t="str">
        <f>IF($AS149="","",Config!$B$17)</f>
        <v/>
      </c>
      <c r="U149" t="str">
        <f>IF($AS149="","",Config!$B$18)</f>
        <v/>
      </c>
      <c r="V149" t="str">
        <f>IF($AS149="","",Config!$B$19)</f>
        <v/>
      </c>
      <c r="W149" t="str">
        <f>IF($AS149="","",INDEX('TMP Paste'!$C$2:$C$1601,$AS149))</f>
        <v/>
      </c>
      <c r="X149" t="str">
        <f>IF($AS149="","",Config!$B$29)</f>
        <v/>
      </c>
      <c r="Y149" t="str">
        <f>IF($AT149="","",INDEX(Calc!$I$2:$I$1601,$AT149)&amp;" - "&amp;INDEX(Calc!$D$2:$D$1601,$AT149)&amp;" koli")</f>
        <v/>
      </c>
      <c r="Z149" t="str">
        <f>IF($AS149="","",Config!$B$21)</f>
        <v/>
      </c>
      <c r="AA149" t="str">
        <f>IF($AS149="","",Config!$B$22)</f>
        <v/>
      </c>
      <c r="AB149" t="str">
        <f>IF($AT149="","",INDEX(Calc!$D$2:$D$1601,$AT149))</f>
        <v/>
      </c>
      <c r="AC149" t="str">
        <f>IF($AT149="","",INDEX(Calc!$G$2:$G$1601,$AT149))</f>
        <v/>
      </c>
      <c r="AD149" t="str">
        <f>IF($AS149="","",Config!$B$23)</f>
        <v/>
      </c>
      <c r="AE149" t="str">
        <f>IF($AS149="","",Config!$B$28)</f>
        <v/>
      </c>
      <c r="AF149" t="str">
        <f t="shared" si="14"/>
        <v/>
      </c>
      <c r="AG149" t="str">
        <f t="shared" si="15"/>
        <v/>
      </c>
      <c r="AH149" t="str">
        <f t="shared" si="16"/>
        <v/>
      </c>
      <c r="AI149" t="str">
        <f>IF($AG149="","",SUMIF($AG$2:$AG149,$AG149,$AH$2:$AH149))</f>
        <v/>
      </c>
      <c r="AJ149" t="str">
        <f>IF('TMP Paste'!$F149="","",IF('TMP Paste'!$B149="",$AJ148,'TMP Paste'!$B149))</f>
        <v/>
      </c>
      <c r="AK149" t="str">
        <f>IF('TMP Paste'!$F149="","",N('TMP Paste'!$G149))</f>
        <v/>
      </c>
      <c r="AL149" t="str">
        <f>IF('TMP Paste'!$F149="","",IF('TMP Paste'!$M149="",$AL148,'TMP Paste'!$M149))</f>
        <v/>
      </c>
      <c r="AM149" t="str">
        <f>IF('TMP Paste'!$F149="","",IF('TMP Paste'!$N149="",$AM148,'TMP Paste'!$N149))</f>
        <v/>
      </c>
      <c r="AN149" t="str">
        <f>IF('TMP Paste'!$F149="","",IF('TMP Paste'!$O149="",$AN148,'TMP Paste'!$O149))</f>
        <v/>
      </c>
      <c r="AO149" t="str">
        <f>IF('TMP Paste'!$F149="","",IF('TMP Paste'!$P149="",$AO148,'TMP Paste'!$P149))</f>
        <v/>
      </c>
      <c r="AP149" t="str">
        <f t="shared" si="17"/>
        <v/>
      </c>
      <c r="AQ149" t="str">
        <f>IF($AS149="","",TRIM(IF(COUNTIFS(Calc!$B$2:$B$1601,ROW()-1,Calc!$C$2:$C$1601,"&lt;1")&gt;0,"Ada PO tanpa Koli - cek TMP. ","")&amp;IF(OR($AU149="",$AU149&lt;=0),"Volume kosong/0 - dimensi dikosongkan. ","")&amp;IF(AND($AU149&lt;&gt;"",$AU149&gt;=1000000),"Volume &gt;= 1.000.000 cm3 (di luar aturan) - dimensi dikosongkan. ","")&amp;IF(LEN($R149)&gt;500,"R &gt; 500 karakter.","")))</f>
        <v/>
      </c>
      <c r="AS149" t="str">
        <f>IFERROR(MATCH(ROW()-1,Calc!$J$2:$J$1601,0),"")</f>
        <v/>
      </c>
      <c r="AT149" t="str">
        <f>IFERROR(MATCH(ROW()-1,Calc!$K$2:$K$1601,0),"")</f>
        <v/>
      </c>
      <c r="AU149" t="str">
        <f>IF($AS149="","",IFERROR(INDEX('TMP Paste'!$D$2:$D$1601,$AS149)*1000000/$AB149,""))</f>
        <v/>
      </c>
    </row>
    <row r="150" spans="1:47">
      <c r="A150" t="str">
        <f>IF($AS150="","",INDEX('TMP Paste'!$B$2:$B$1601,$AS150))</f>
        <v/>
      </c>
      <c r="B150" t="str">
        <f>IF($AS150="","",Config!$B$14)</f>
        <v/>
      </c>
      <c r="C150" t="str">
        <f>IF($AS150="","",Config!$B$15)</f>
        <v/>
      </c>
      <c r="D150" t="str">
        <f>IF($AS150="","",INDEX('TMP Paste'!$B$2:$B$1601,$AS150))</f>
        <v/>
      </c>
      <c r="E150" t="str">
        <f>IF($AS150="","",Config!$B$27)</f>
        <v/>
      </c>
      <c r="F150" t="str">
        <f>IF($AS150="","",Config!$B$9)</f>
        <v/>
      </c>
      <c r="G150" t="str">
        <f>IF($AS150="","",Config!$B$10)</f>
        <v/>
      </c>
      <c r="H150" t="str">
        <f>IF($AS150="","",Config!$B$11)</f>
        <v/>
      </c>
      <c r="I150" t="str">
        <f>IF($AS150="","",Config!$B$16)</f>
        <v/>
      </c>
      <c r="J150" t="str">
        <f>IF($AS150="","",INDEX('TMP Paste'!$A$2:$A$1601,$AS150))</f>
        <v/>
      </c>
      <c r="K150" t="str">
        <f>IF($AS150="","",INDEX('TMP Paste'!$L$2:$L$1601,$AS150))</f>
        <v/>
      </c>
      <c r="L150" t="str">
        <f>IF($AS150="","",INDEX('TMP Paste'!$I$2:$I$1601,$AS150))</f>
        <v/>
      </c>
      <c r="M150" t="str">
        <f>IF($AS150="","",Config!$B$16)</f>
        <v/>
      </c>
      <c r="N150" t="str">
        <f t="shared" si="12"/>
        <v/>
      </c>
      <c r="O150" t="str">
        <f>IF($AS150="","",INDEX('TMP Paste'!$K$2:$K$1601,$AS150))</f>
        <v/>
      </c>
      <c r="P150" t="str">
        <f t="shared" si="13"/>
        <v/>
      </c>
      <c r="Q150" t="str">
        <f>IF($AS150="","",INDEX('TMP Paste'!$J$2:$J$1601,$AS150))</f>
        <v/>
      </c>
      <c r="R150" t="str">
        <f>IF($AS150="","",Config!$B$24)</f>
        <v/>
      </c>
      <c r="S150" t="str">
        <f ca="1">IF($AS150="","",TEXT(Config!$B$4,"yyyy-mm-dd"))</f>
        <v/>
      </c>
      <c r="T150" t="str">
        <f>IF($AS150="","",Config!$B$17)</f>
        <v/>
      </c>
      <c r="U150" t="str">
        <f>IF($AS150="","",Config!$B$18)</f>
        <v/>
      </c>
      <c r="V150" t="str">
        <f>IF($AS150="","",Config!$B$19)</f>
        <v/>
      </c>
      <c r="W150" t="str">
        <f>IF($AS150="","",INDEX('TMP Paste'!$C$2:$C$1601,$AS150))</f>
        <v/>
      </c>
      <c r="X150" t="str">
        <f>IF($AS150="","",Config!$B$29)</f>
        <v/>
      </c>
      <c r="Y150" t="str">
        <f>IF($AT150="","",INDEX(Calc!$I$2:$I$1601,$AT150)&amp;" - "&amp;INDEX(Calc!$D$2:$D$1601,$AT150)&amp;" koli")</f>
        <v/>
      </c>
      <c r="Z150" t="str">
        <f>IF($AS150="","",Config!$B$21)</f>
        <v/>
      </c>
      <c r="AA150" t="str">
        <f>IF($AS150="","",Config!$B$22)</f>
        <v/>
      </c>
      <c r="AB150" t="str">
        <f>IF($AT150="","",INDEX(Calc!$D$2:$D$1601,$AT150))</f>
        <v/>
      </c>
      <c r="AC150" t="str">
        <f>IF($AT150="","",INDEX(Calc!$G$2:$G$1601,$AT150))</f>
        <v/>
      </c>
      <c r="AD150" t="str">
        <f>IF($AS150="","",Config!$B$23)</f>
        <v/>
      </c>
      <c r="AE150" t="str">
        <f>IF($AS150="","",Config!$B$28)</f>
        <v/>
      </c>
      <c r="AF150" t="str">
        <f t="shared" si="14"/>
        <v/>
      </c>
      <c r="AG150" t="str">
        <f t="shared" si="15"/>
        <v/>
      </c>
      <c r="AH150" t="str">
        <f t="shared" si="16"/>
        <v/>
      </c>
      <c r="AI150" t="str">
        <f>IF($AG150="","",SUMIF($AG$2:$AG150,$AG150,$AH$2:$AH150))</f>
        <v/>
      </c>
      <c r="AJ150" t="str">
        <f>IF('TMP Paste'!$F150="","",IF('TMP Paste'!$B150="",$AJ149,'TMP Paste'!$B150))</f>
        <v>AWB02WKYZ</v>
      </c>
      <c r="AK150">
        <f>IF('TMP Paste'!$F150="","",N('TMP Paste'!$G150))</f>
        <v>0</v>
      </c>
      <c r="AL150">
        <f>IF('TMP Paste'!$F150="","",IF('TMP Paste'!$M150="",$AL149,'TMP Paste'!$M150))</f>
        <v>1</v>
      </c>
      <c r="AM150" t="str">
        <f>IF('TMP Paste'!$F150="","",IF('TMP Paste'!$N150="",$AM149,'TMP Paste'!$N150))</f>
        <v/>
      </c>
      <c r="AN150" t="str">
        <f>IF('TMP Paste'!$F150="","",IF('TMP Paste'!$O150="",$AN149,'TMP Paste'!$O150))</f>
        <v/>
      </c>
      <c r="AO150" t="str">
        <f>IF('TMP Paste'!$F150="","",IF('TMP Paste'!$P150="",$AO149,'TMP Paste'!$P150))</f>
        <v/>
      </c>
      <c r="AP150" t="str">
        <f t="shared" si="17"/>
        <v/>
      </c>
      <c r="AQ150" t="str">
        <f>IF($AS150="","",TRIM(IF(COUNTIFS(Calc!$B$2:$B$1601,ROW()-1,Calc!$C$2:$C$1601,"&lt;1")&gt;0,"Ada PO tanpa Koli - cek TMP. ","")&amp;IF(OR($AU150="",$AU150&lt;=0),"Volume kosong/0 - dimensi dikosongkan. ","")&amp;IF(AND($AU150&lt;&gt;"",$AU150&gt;=1000000),"Volume &gt;= 1.000.000 cm3 (di luar aturan) - dimensi dikosongkan. ","")&amp;IF(LEN($R150)&gt;500,"R &gt; 500 karakter.","")))</f>
        <v/>
      </c>
      <c r="AS150" t="str">
        <f>IFERROR(MATCH(ROW()-1,Calc!$J$2:$J$1601,0),"")</f>
        <v/>
      </c>
      <c r="AT150" t="str">
        <f>IFERROR(MATCH(ROW()-1,Calc!$K$2:$K$1601,0),"")</f>
        <v/>
      </c>
      <c r="AU150" t="str">
        <f>IF($AS150="","",IFERROR(INDEX('TMP Paste'!$D$2:$D$1601,$AS150)*1000000/$AB150,""))</f>
        <v/>
      </c>
    </row>
    <row r="151" spans="1:47">
      <c r="A151" t="str">
        <f>IF($AS151="","",INDEX('TMP Paste'!$B$2:$B$1601,$AS151))</f>
        <v/>
      </c>
      <c r="B151" t="str">
        <f>IF($AS151="","",Config!$B$14)</f>
        <v/>
      </c>
      <c r="C151" t="str">
        <f>IF($AS151="","",Config!$B$15)</f>
        <v/>
      </c>
      <c r="D151" t="str">
        <f>IF($AS151="","",INDEX('TMP Paste'!$B$2:$B$1601,$AS151))</f>
        <v/>
      </c>
      <c r="E151" t="str">
        <f>IF($AS151="","",Config!$B$27)</f>
        <v/>
      </c>
      <c r="F151" t="str">
        <f>IF($AS151="","",Config!$B$9)</f>
        <v/>
      </c>
      <c r="G151" t="str">
        <f>IF($AS151="","",Config!$B$10)</f>
        <v/>
      </c>
      <c r="H151" t="str">
        <f>IF($AS151="","",Config!$B$11)</f>
        <v/>
      </c>
      <c r="I151" t="str">
        <f>IF($AS151="","",Config!$B$16)</f>
        <v/>
      </c>
      <c r="J151" t="str">
        <f>IF($AS151="","",INDEX('TMP Paste'!$A$2:$A$1601,$AS151))</f>
        <v/>
      </c>
      <c r="K151" t="str">
        <f>IF($AS151="","",INDEX('TMP Paste'!$L$2:$L$1601,$AS151))</f>
        <v/>
      </c>
      <c r="L151" t="str">
        <f>IF($AS151="","",INDEX('TMP Paste'!$I$2:$I$1601,$AS151))</f>
        <v/>
      </c>
      <c r="M151" t="str">
        <f>IF($AS151="","",Config!$B$16)</f>
        <v/>
      </c>
      <c r="N151" t="str">
        <f t="shared" si="12"/>
        <v/>
      </c>
      <c r="O151" t="str">
        <f>IF($AS151="","",INDEX('TMP Paste'!$K$2:$K$1601,$AS151))</f>
        <v/>
      </c>
      <c r="P151" t="str">
        <f t="shared" si="13"/>
        <v/>
      </c>
      <c r="Q151" t="str">
        <f>IF($AS151="","",INDEX('TMP Paste'!$J$2:$J$1601,$AS151))</f>
        <v/>
      </c>
      <c r="R151" t="str">
        <f>IF($AS151="","",Config!$B$24)</f>
        <v/>
      </c>
      <c r="S151" t="str">
        <f ca="1">IF($AS151="","",TEXT(Config!$B$4,"yyyy-mm-dd"))</f>
        <v/>
      </c>
      <c r="T151" t="str">
        <f>IF($AS151="","",Config!$B$17)</f>
        <v/>
      </c>
      <c r="U151" t="str">
        <f>IF($AS151="","",Config!$B$18)</f>
        <v/>
      </c>
      <c r="V151" t="str">
        <f>IF($AS151="","",Config!$B$19)</f>
        <v/>
      </c>
      <c r="W151" t="str">
        <f>IF($AS151="","",INDEX('TMP Paste'!$C$2:$C$1601,$AS151))</f>
        <v/>
      </c>
      <c r="X151" t="str">
        <f>IF($AS151="","",Config!$B$29)</f>
        <v/>
      </c>
      <c r="Y151" t="str">
        <f>IF($AT151="","",INDEX(Calc!$I$2:$I$1601,$AT151)&amp;" - "&amp;INDEX(Calc!$D$2:$D$1601,$AT151)&amp;" koli")</f>
        <v/>
      </c>
      <c r="Z151" t="str">
        <f>IF($AS151="","",Config!$B$21)</f>
        <v/>
      </c>
      <c r="AA151" t="str">
        <f>IF($AS151="","",Config!$B$22)</f>
        <v/>
      </c>
      <c r="AB151" t="str">
        <f>IF($AT151="","",INDEX(Calc!$D$2:$D$1601,$AT151))</f>
        <v/>
      </c>
      <c r="AC151" t="str">
        <f>IF($AT151="","",INDEX(Calc!$G$2:$G$1601,$AT151))</f>
        <v/>
      </c>
      <c r="AD151" t="str">
        <f>IF($AS151="","",Config!$B$23)</f>
        <v/>
      </c>
      <c r="AE151" t="str">
        <f>IF($AS151="","",Config!$B$28)</f>
        <v/>
      </c>
      <c r="AF151" t="str">
        <f t="shared" si="14"/>
        <v/>
      </c>
      <c r="AG151" t="str">
        <f t="shared" si="15"/>
        <v/>
      </c>
      <c r="AH151" t="str">
        <f t="shared" si="16"/>
        <v/>
      </c>
      <c r="AI151" t="str">
        <f>IF($AG151="","",SUMIF($AG$2:$AG151,$AG151,$AH$2:$AH151))</f>
        <v/>
      </c>
      <c r="AJ151" t="str">
        <f>IF('TMP Paste'!$F151="","",IF('TMP Paste'!$B151="",$AJ150,'TMP Paste'!$B151))</f>
        <v/>
      </c>
      <c r="AK151" t="str">
        <f>IF('TMP Paste'!$F151="","",N('TMP Paste'!$G151))</f>
        <v/>
      </c>
      <c r="AL151" t="str">
        <f>IF('TMP Paste'!$F151="","",IF('TMP Paste'!$M151="",$AL150,'TMP Paste'!$M151))</f>
        <v/>
      </c>
      <c r="AM151" t="str">
        <f>IF('TMP Paste'!$F151="","",IF('TMP Paste'!$N151="",$AM150,'TMP Paste'!$N151))</f>
        <v/>
      </c>
      <c r="AN151" t="str">
        <f>IF('TMP Paste'!$F151="","",IF('TMP Paste'!$O151="",$AN150,'TMP Paste'!$O151))</f>
        <v/>
      </c>
      <c r="AO151" t="str">
        <f>IF('TMP Paste'!$F151="","",IF('TMP Paste'!$P151="",$AO150,'TMP Paste'!$P151))</f>
        <v/>
      </c>
      <c r="AP151" t="str">
        <f t="shared" si="17"/>
        <v/>
      </c>
      <c r="AQ151" t="str">
        <f>IF($AS151="","",TRIM(IF(COUNTIFS(Calc!$B$2:$B$1601,ROW()-1,Calc!$C$2:$C$1601,"&lt;1")&gt;0,"Ada PO tanpa Koli - cek TMP. ","")&amp;IF(OR($AU151="",$AU151&lt;=0),"Volume kosong/0 - dimensi dikosongkan. ","")&amp;IF(AND($AU151&lt;&gt;"",$AU151&gt;=1000000),"Volume &gt;= 1.000.000 cm3 (di luar aturan) - dimensi dikosongkan. ","")&amp;IF(LEN($R151)&gt;500,"R &gt; 500 karakter.","")))</f>
        <v/>
      </c>
      <c r="AS151" t="str">
        <f>IFERROR(MATCH(ROW()-1,Calc!$J$2:$J$1601,0),"")</f>
        <v/>
      </c>
      <c r="AT151" t="str">
        <f>IFERROR(MATCH(ROW()-1,Calc!$K$2:$K$1601,0),"")</f>
        <v/>
      </c>
      <c r="AU151" t="str">
        <f>IF($AS151="","",IFERROR(INDEX('TMP Paste'!$D$2:$D$1601,$AS151)*1000000/$AB151,""))</f>
        <v/>
      </c>
    </row>
    <row r="152" spans="1:47">
      <c r="A152" t="str">
        <f>IF($AS152="","",INDEX('TMP Paste'!$B$2:$B$1601,$AS152))</f>
        <v/>
      </c>
      <c r="B152" t="str">
        <f>IF($AS152="","",Config!$B$14)</f>
        <v/>
      </c>
      <c r="C152" t="str">
        <f>IF($AS152="","",Config!$B$15)</f>
        <v/>
      </c>
      <c r="D152" t="str">
        <f>IF($AS152="","",INDEX('TMP Paste'!$B$2:$B$1601,$AS152))</f>
        <v/>
      </c>
      <c r="E152" t="str">
        <f>IF($AS152="","",Config!$B$27)</f>
        <v/>
      </c>
      <c r="F152" t="str">
        <f>IF($AS152="","",Config!$B$9)</f>
        <v/>
      </c>
      <c r="G152" t="str">
        <f>IF($AS152="","",Config!$B$10)</f>
        <v/>
      </c>
      <c r="H152" t="str">
        <f>IF($AS152="","",Config!$B$11)</f>
        <v/>
      </c>
      <c r="I152" t="str">
        <f>IF($AS152="","",Config!$B$16)</f>
        <v/>
      </c>
      <c r="J152" t="str">
        <f>IF($AS152="","",INDEX('TMP Paste'!$A$2:$A$1601,$AS152))</f>
        <v/>
      </c>
      <c r="K152" t="str">
        <f>IF($AS152="","",INDEX('TMP Paste'!$L$2:$L$1601,$AS152))</f>
        <v/>
      </c>
      <c r="L152" t="str">
        <f>IF($AS152="","",INDEX('TMP Paste'!$I$2:$I$1601,$AS152))</f>
        <v/>
      </c>
      <c r="M152" t="str">
        <f>IF($AS152="","",Config!$B$16)</f>
        <v/>
      </c>
      <c r="N152" t="str">
        <f t="shared" si="12"/>
        <v/>
      </c>
      <c r="O152" t="str">
        <f>IF($AS152="","",INDEX('TMP Paste'!$K$2:$K$1601,$AS152))</f>
        <v/>
      </c>
      <c r="P152" t="str">
        <f t="shared" si="13"/>
        <v/>
      </c>
      <c r="Q152" t="str">
        <f>IF($AS152="","",INDEX('TMP Paste'!$J$2:$J$1601,$AS152))</f>
        <v/>
      </c>
      <c r="R152" t="str">
        <f>IF($AS152="","",Config!$B$24)</f>
        <v/>
      </c>
      <c r="S152" t="str">
        <f ca="1">IF($AS152="","",TEXT(Config!$B$4,"yyyy-mm-dd"))</f>
        <v/>
      </c>
      <c r="T152" t="str">
        <f>IF($AS152="","",Config!$B$17)</f>
        <v/>
      </c>
      <c r="U152" t="str">
        <f>IF($AS152="","",Config!$B$18)</f>
        <v/>
      </c>
      <c r="V152" t="str">
        <f>IF($AS152="","",Config!$B$19)</f>
        <v/>
      </c>
      <c r="W152" t="str">
        <f>IF($AS152="","",INDEX('TMP Paste'!$C$2:$C$1601,$AS152))</f>
        <v/>
      </c>
      <c r="X152" t="str">
        <f>IF($AS152="","",Config!$B$29)</f>
        <v/>
      </c>
      <c r="Y152" t="str">
        <f>IF($AT152="","",INDEX(Calc!$I$2:$I$1601,$AT152)&amp;" - "&amp;INDEX(Calc!$D$2:$D$1601,$AT152)&amp;" koli")</f>
        <v/>
      </c>
      <c r="Z152" t="str">
        <f>IF($AS152="","",Config!$B$21)</f>
        <v/>
      </c>
      <c r="AA152" t="str">
        <f>IF($AS152="","",Config!$B$22)</f>
        <v/>
      </c>
      <c r="AB152" t="str">
        <f>IF($AT152="","",INDEX(Calc!$D$2:$D$1601,$AT152))</f>
        <v/>
      </c>
      <c r="AC152" t="str">
        <f>IF($AT152="","",INDEX(Calc!$G$2:$G$1601,$AT152))</f>
        <v/>
      </c>
      <c r="AD152" t="str">
        <f>IF($AS152="","",Config!$B$23)</f>
        <v/>
      </c>
      <c r="AE152" t="str">
        <f>IF($AS152="","",Config!$B$28)</f>
        <v/>
      </c>
      <c r="AF152" t="str">
        <f t="shared" si="14"/>
        <v/>
      </c>
      <c r="AG152" t="str">
        <f t="shared" si="15"/>
        <v/>
      </c>
      <c r="AH152" t="str">
        <f t="shared" si="16"/>
        <v/>
      </c>
      <c r="AI152" t="str">
        <f>IF($AG152="","",SUMIF($AG$2:$AG152,$AG152,$AH$2:$AH152))</f>
        <v/>
      </c>
      <c r="AJ152" t="str">
        <f>IF('TMP Paste'!$F152="","",IF('TMP Paste'!$B152="",$AJ151,'TMP Paste'!$B152))</f>
        <v/>
      </c>
      <c r="AK152" t="str">
        <f>IF('TMP Paste'!$F152="","",N('TMP Paste'!$G152))</f>
        <v/>
      </c>
      <c r="AL152" t="str">
        <f>IF('TMP Paste'!$F152="","",IF('TMP Paste'!$M152="",$AL151,'TMP Paste'!$M152))</f>
        <v/>
      </c>
      <c r="AM152" t="str">
        <f>IF('TMP Paste'!$F152="","",IF('TMP Paste'!$N152="",$AM151,'TMP Paste'!$N152))</f>
        <v/>
      </c>
      <c r="AN152" t="str">
        <f>IF('TMP Paste'!$F152="","",IF('TMP Paste'!$O152="",$AN151,'TMP Paste'!$O152))</f>
        <v/>
      </c>
      <c r="AO152" t="str">
        <f>IF('TMP Paste'!$F152="","",IF('TMP Paste'!$P152="",$AO151,'TMP Paste'!$P152))</f>
        <v/>
      </c>
      <c r="AP152" t="str">
        <f t="shared" si="17"/>
        <v/>
      </c>
      <c r="AQ152" t="str">
        <f>IF($AS152="","",TRIM(IF(COUNTIFS(Calc!$B$2:$B$1601,ROW()-1,Calc!$C$2:$C$1601,"&lt;1")&gt;0,"Ada PO tanpa Koli - cek TMP. ","")&amp;IF(OR($AU152="",$AU152&lt;=0),"Volume kosong/0 - dimensi dikosongkan. ","")&amp;IF(AND($AU152&lt;&gt;"",$AU152&gt;=1000000),"Volume &gt;= 1.000.000 cm3 (di luar aturan) - dimensi dikosongkan. ","")&amp;IF(LEN($R152)&gt;500,"R &gt; 500 karakter.","")))</f>
        <v/>
      </c>
      <c r="AS152" t="str">
        <f>IFERROR(MATCH(ROW()-1,Calc!$J$2:$J$1601,0),"")</f>
        <v/>
      </c>
      <c r="AT152" t="str">
        <f>IFERROR(MATCH(ROW()-1,Calc!$K$2:$K$1601,0),"")</f>
        <v/>
      </c>
      <c r="AU152" t="str">
        <f>IF($AS152="","",IFERROR(INDEX('TMP Paste'!$D$2:$D$1601,$AS152)*1000000/$AB152,""))</f>
        <v/>
      </c>
    </row>
    <row r="153" spans="1:47">
      <c r="A153" t="str">
        <f>IF($AS153="","",INDEX('TMP Paste'!$B$2:$B$1601,$AS153))</f>
        <v/>
      </c>
      <c r="B153" t="str">
        <f>IF($AS153="","",Config!$B$14)</f>
        <v/>
      </c>
      <c r="C153" t="str">
        <f>IF($AS153="","",Config!$B$15)</f>
        <v/>
      </c>
      <c r="D153" t="str">
        <f>IF($AS153="","",INDEX('TMP Paste'!$B$2:$B$1601,$AS153))</f>
        <v/>
      </c>
      <c r="E153" t="str">
        <f>IF($AS153="","",Config!$B$27)</f>
        <v/>
      </c>
      <c r="F153" t="str">
        <f>IF($AS153="","",Config!$B$9)</f>
        <v/>
      </c>
      <c r="G153" t="str">
        <f>IF($AS153="","",Config!$B$10)</f>
        <v/>
      </c>
      <c r="H153" t="str">
        <f>IF($AS153="","",Config!$B$11)</f>
        <v/>
      </c>
      <c r="I153" t="str">
        <f>IF($AS153="","",Config!$B$16)</f>
        <v/>
      </c>
      <c r="J153" t="str">
        <f>IF($AS153="","",INDEX('TMP Paste'!$A$2:$A$1601,$AS153))</f>
        <v/>
      </c>
      <c r="K153" t="str">
        <f>IF($AS153="","",INDEX('TMP Paste'!$L$2:$L$1601,$AS153))</f>
        <v/>
      </c>
      <c r="L153" t="str">
        <f>IF($AS153="","",INDEX('TMP Paste'!$I$2:$I$1601,$AS153))</f>
        <v/>
      </c>
      <c r="M153" t="str">
        <f>IF($AS153="","",Config!$B$16)</f>
        <v/>
      </c>
      <c r="N153" t="str">
        <f t="shared" si="12"/>
        <v/>
      </c>
      <c r="O153" t="str">
        <f>IF($AS153="","",INDEX('TMP Paste'!$K$2:$K$1601,$AS153))</f>
        <v/>
      </c>
      <c r="P153" t="str">
        <f t="shared" si="13"/>
        <v/>
      </c>
      <c r="Q153" t="str">
        <f>IF($AS153="","",INDEX('TMP Paste'!$J$2:$J$1601,$AS153))</f>
        <v/>
      </c>
      <c r="R153" t="str">
        <f>IF($AS153="","",Config!$B$24)</f>
        <v/>
      </c>
      <c r="S153" t="str">
        <f ca="1">IF($AS153="","",TEXT(Config!$B$4,"yyyy-mm-dd"))</f>
        <v/>
      </c>
      <c r="T153" t="str">
        <f>IF($AS153="","",Config!$B$17)</f>
        <v/>
      </c>
      <c r="U153" t="str">
        <f>IF($AS153="","",Config!$B$18)</f>
        <v/>
      </c>
      <c r="V153" t="str">
        <f>IF($AS153="","",Config!$B$19)</f>
        <v/>
      </c>
      <c r="W153" t="str">
        <f>IF($AS153="","",INDEX('TMP Paste'!$C$2:$C$1601,$AS153))</f>
        <v/>
      </c>
      <c r="X153" t="str">
        <f>IF($AS153="","",Config!$B$29)</f>
        <v/>
      </c>
      <c r="Y153" t="str">
        <f>IF($AT153="","",INDEX(Calc!$I$2:$I$1601,$AT153)&amp;" - "&amp;INDEX(Calc!$D$2:$D$1601,$AT153)&amp;" koli")</f>
        <v/>
      </c>
      <c r="Z153" t="str">
        <f>IF($AS153="","",Config!$B$21)</f>
        <v/>
      </c>
      <c r="AA153" t="str">
        <f>IF($AS153="","",Config!$B$22)</f>
        <v/>
      </c>
      <c r="AB153" t="str">
        <f>IF($AT153="","",INDEX(Calc!$D$2:$D$1601,$AT153))</f>
        <v/>
      </c>
      <c r="AC153" t="str">
        <f>IF($AT153="","",INDEX(Calc!$G$2:$G$1601,$AT153))</f>
        <v/>
      </c>
      <c r="AD153" t="str">
        <f>IF($AS153="","",Config!$B$23)</f>
        <v/>
      </c>
      <c r="AE153" t="str">
        <f>IF($AS153="","",Config!$B$28)</f>
        <v/>
      </c>
      <c r="AF153" t="str">
        <f t="shared" si="14"/>
        <v/>
      </c>
      <c r="AG153" t="str">
        <f t="shared" si="15"/>
        <v/>
      </c>
      <c r="AH153" t="str">
        <f t="shared" si="16"/>
        <v/>
      </c>
      <c r="AI153" t="str">
        <f>IF($AG153="","",SUMIF($AG$2:$AG153,$AG153,$AH$2:$AH153))</f>
        <v/>
      </c>
      <c r="AJ153" t="str">
        <f>IF('TMP Paste'!$F153="","",IF('TMP Paste'!$B153="",$AJ152,'TMP Paste'!$B153))</f>
        <v>AWB02WJ0D</v>
      </c>
      <c r="AK153">
        <f>IF('TMP Paste'!$F153="","",N('TMP Paste'!$G153))</f>
        <v>0</v>
      </c>
      <c r="AL153">
        <f>IF('TMP Paste'!$F153="","",IF('TMP Paste'!$M153="",$AL152,'TMP Paste'!$M153))</f>
        <v>1</v>
      </c>
      <c r="AM153" t="str">
        <f>IF('TMP Paste'!$F153="","",IF('TMP Paste'!$N153="",$AM152,'TMP Paste'!$N153))</f>
        <v/>
      </c>
      <c r="AN153" t="str">
        <f>IF('TMP Paste'!$F153="","",IF('TMP Paste'!$O153="",$AN152,'TMP Paste'!$O153))</f>
        <v/>
      </c>
      <c r="AO153" t="str">
        <f>IF('TMP Paste'!$F153="","",IF('TMP Paste'!$P153="",$AO152,'TMP Paste'!$P153))</f>
        <v/>
      </c>
      <c r="AP153" t="str">
        <f t="shared" si="17"/>
        <v/>
      </c>
      <c r="AQ153" t="str">
        <f>IF($AS153="","",TRIM(IF(COUNTIFS(Calc!$B$2:$B$1601,ROW()-1,Calc!$C$2:$C$1601,"&lt;1")&gt;0,"Ada PO tanpa Koli - cek TMP. ","")&amp;IF(OR($AU153="",$AU153&lt;=0),"Volume kosong/0 - dimensi dikosongkan. ","")&amp;IF(AND($AU153&lt;&gt;"",$AU153&gt;=1000000),"Volume &gt;= 1.000.000 cm3 (di luar aturan) - dimensi dikosongkan. ","")&amp;IF(LEN($R153)&gt;500,"R &gt; 500 karakter.","")))</f>
        <v/>
      </c>
      <c r="AS153" t="str">
        <f>IFERROR(MATCH(ROW()-1,Calc!$J$2:$J$1601,0),"")</f>
        <v/>
      </c>
      <c r="AT153" t="str">
        <f>IFERROR(MATCH(ROW()-1,Calc!$K$2:$K$1601,0),"")</f>
        <v/>
      </c>
      <c r="AU153" t="str">
        <f>IF($AS153="","",IFERROR(INDEX('TMP Paste'!$D$2:$D$1601,$AS153)*1000000/$AB153,""))</f>
        <v/>
      </c>
    </row>
    <row r="154" spans="1:47">
      <c r="A154" t="str">
        <f>IF($AS154="","",INDEX('TMP Paste'!$B$2:$B$1601,$AS154))</f>
        <v/>
      </c>
      <c r="B154" t="str">
        <f>IF($AS154="","",Config!$B$14)</f>
        <v/>
      </c>
      <c r="C154" t="str">
        <f>IF($AS154="","",Config!$B$15)</f>
        <v/>
      </c>
      <c r="D154" t="str">
        <f>IF($AS154="","",INDEX('TMP Paste'!$B$2:$B$1601,$AS154))</f>
        <v/>
      </c>
      <c r="E154" t="str">
        <f>IF($AS154="","",Config!$B$27)</f>
        <v/>
      </c>
      <c r="F154" t="str">
        <f>IF($AS154="","",Config!$B$9)</f>
        <v/>
      </c>
      <c r="G154" t="str">
        <f>IF($AS154="","",Config!$B$10)</f>
        <v/>
      </c>
      <c r="H154" t="str">
        <f>IF($AS154="","",Config!$B$11)</f>
        <v/>
      </c>
      <c r="I154" t="str">
        <f>IF($AS154="","",Config!$B$16)</f>
        <v/>
      </c>
      <c r="J154" t="str">
        <f>IF($AS154="","",INDEX('TMP Paste'!$A$2:$A$1601,$AS154))</f>
        <v/>
      </c>
      <c r="K154" t="str">
        <f>IF($AS154="","",INDEX('TMP Paste'!$L$2:$L$1601,$AS154))</f>
        <v/>
      </c>
      <c r="L154" t="str">
        <f>IF($AS154="","",INDEX('TMP Paste'!$I$2:$I$1601,$AS154))</f>
        <v/>
      </c>
      <c r="M154" t="str">
        <f>IF($AS154="","",Config!$B$16)</f>
        <v/>
      </c>
      <c r="N154" t="str">
        <f t="shared" si="12"/>
        <v/>
      </c>
      <c r="O154" t="str">
        <f>IF($AS154="","",INDEX('TMP Paste'!$K$2:$K$1601,$AS154))</f>
        <v/>
      </c>
      <c r="P154" t="str">
        <f t="shared" si="13"/>
        <v/>
      </c>
      <c r="Q154" t="str">
        <f>IF($AS154="","",INDEX('TMP Paste'!$J$2:$J$1601,$AS154))</f>
        <v/>
      </c>
      <c r="R154" t="str">
        <f>IF($AS154="","",Config!$B$24)</f>
        <v/>
      </c>
      <c r="S154" t="str">
        <f ca="1">IF($AS154="","",TEXT(Config!$B$4,"yyyy-mm-dd"))</f>
        <v/>
      </c>
      <c r="T154" t="str">
        <f>IF($AS154="","",Config!$B$17)</f>
        <v/>
      </c>
      <c r="U154" t="str">
        <f>IF($AS154="","",Config!$B$18)</f>
        <v/>
      </c>
      <c r="V154" t="str">
        <f>IF($AS154="","",Config!$B$19)</f>
        <v/>
      </c>
      <c r="W154" t="str">
        <f>IF($AS154="","",INDEX('TMP Paste'!$C$2:$C$1601,$AS154))</f>
        <v/>
      </c>
      <c r="X154" t="str">
        <f>IF($AS154="","",Config!$B$29)</f>
        <v/>
      </c>
      <c r="Y154" t="str">
        <f>IF($AT154="","",INDEX(Calc!$I$2:$I$1601,$AT154)&amp;" - "&amp;INDEX(Calc!$D$2:$D$1601,$AT154)&amp;" koli")</f>
        <v/>
      </c>
      <c r="Z154" t="str">
        <f>IF($AS154="","",Config!$B$21)</f>
        <v/>
      </c>
      <c r="AA154" t="str">
        <f>IF($AS154="","",Config!$B$22)</f>
        <v/>
      </c>
      <c r="AB154" t="str">
        <f>IF($AT154="","",INDEX(Calc!$D$2:$D$1601,$AT154))</f>
        <v/>
      </c>
      <c r="AC154" t="str">
        <f>IF($AT154="","",INDEX(Calc!$G$2:$G$1601,$AT154))</f>
        <v/>
      </c>
      <c r="AD154" t="str">
        <f>IF($AS154="","",Config!$B$23)</f>
        <v/>
      </c>
      <c r="AE154" t="str">
        <f>IF($AS154="","",Config!$B$28)</f>
        <v/>
      </c>
      <c r="AF154" t="str">
        <f t="shared" si="14"/>
        <v/>
      </c>
      <c r="AG154" t="str">
        <f t="shared" si="15"/>
        <v/>
      </c>
      <c r="AH154" t="str">
        <f t="shared" si="16"/>
        <v/>
      </c>
      <c r="AI154" t="str">
        <f>IF($AG154="","",SUMIF($AG$2:$AG154,$AG154,$AH$2:$AH154))</f>
        <v/>
      </c>
      <c r="AJ154" t="str">
        <f>IF('TMP Paste'!$F154="","",IF('TMP Paste'!$B154="",$AJ153,'TMP Paste'!$B154))</f>
        <v/>
      </c>
      <c r="AK154" t="str">
        <f>IF('TMP Paste'!$F154="","",N('TMP Paste'!$G154))</f>
        <v/>
      </c>
      <c r="AL154" t="str">
        <f>IF('TMP Paste'!$F154="","",IF('TMP Paste'!$M154="",$AL153,'TMP Paste'!$M154))</f>
        <v/>
      </c>
      <c r="AM154" t="str">
        <f>IF('TMP Paste'!$F154="","",IF('TMP Paste'!$N154="",$AM153,'TMP Paste'!$N154))</f>
        <v/>
      </c>
      <c r="AN154" t="str">
        <f>IF('TMP Paste'!$F154="","",IF('TMP Paste'!$O154="",$AN153,'TMP Paste'!$O154))</f>
        <v/>
      </c>
      <c r="AO154" t="str">
        <f>IF('TMP Paste'!$F154="","",IF('TMP Paste'!$P154="",$AO153,'TMP Paste'!$P154))</f>
        <v/>
      </c>
      <c r="AP154" t="str">
        <f t="shared" si="17"/>
        <v/>
      </c>
      <c r="AQ154" t="str">
        <f>IF($AS154="","",TRIM(IF(COUNTIFS(Calc!$B$2:$B$1601,ROW()-1,Calc!$C$2:$C$1601,"&lt;1")&gt;0,"Ada PO tanpa Koli - cek TMP. ","")&amp;IF(OR($AU154="",$AU154&lt;=0),"Volume kosong/0 - dimensi dikosongkan. ","")&amp;IF(AND($AU154&lt;&gt;"",$AU154&gt;=1000000),"Volume &gt;= 1.000.000 cm3 (di luar aturan) - dimensi dikosongkan. ","")&amp;IF(LEN($R154)&gt;500,"R &gt; 500 karakter.","")))</f>
        <v/>
      </c>
      <c r="AS154" t="str">
        <f>IFERROR(MATCH(ROW()-1,Calc!$J$2:$J$1601,0),"")</f>
        <v/>
      </c>
      <c r="AT154" t="str">
        <f>IFERROR(MATCH(ROW()-1,Calc!$K$2:$K$1601,0),"")</f>
        <v/>
      </c>
      <c r="AU154" t="str">
        <f>IF($AS154="","",IFERROR(INDEX('TMP Paste'!$D$2:$D$1601,$AS154)*1000000/$AB154,""))</f>
        <v/>
      </c>
    </row>
    <row r="155" spans="1:47">
      <c r="A155" t="str">
        <f>IF($AS155="","",INDEX('TMP Paste'!$B$2:$B$1601,$AS155))</f>
        <v/>
      </c>
      <c r="B155" t="str">
        <f>IF($AS155="","",Config!$B$14)</f>
        <v/>
      </c>
      <c r="C155" t="str">
        <f>IF($AS155="","",Config!$B$15)</f>
        <v/>
      </c>
      <c r="D155" t="str">
        <f>IF($AS155="","",INDEX('TMP Paste'!$B$2:$B$1601,$AS155))</f>
        <v/>
      </c>
      <c r="E155" t="str">
        <f>IF($AS155="","",Config!$B$27)</f>
        <v/>
      </c>
      <c r="F155" t="str">
        <f>IF($AS155="","",Config!$B$9)</f>
        <v/>
      </c>
      <c r="G155" t="str">
        <f>IF($AS155="","",Config!$B$10)</f>
        <v/>
      </c>
      <c r="H155" t="str">
        <f>IF($AS155="","",Config!$B$11)</f>
        <v/>
      </c>
      <c r="I155" t="str">
        <f>IF($AS155="","",Config!$B$16)</f>
        <v/>
      </c>
      <c r="J155" t="str">
        <f>IF($AS155="","",INDEX('TMP Paste'!$A$2:$A$1601,$AS155))</f>
        <v/>
      </c>
      <c r="K155" t="str">
        <f>IF($AS155="","",INDEX('TMP Paste'!$L$2:$L$1601,$AS155))</f>
        <v/>
      </c>
      <c r="L155" t="str">
        <f>IF($AS155="","",INDEX('TMP Paste'!$I$2:$I$1601,$AS155))</f>
        <v/>
      </c>
      <c r="M155" t="str">
        <f>IF($AS155="","",Config!$B$16)</f>
        <v/>
      </c>
      <c r="N155" t="str">
        <f t="shared" si="12"/>
        <v/>
      </c>
      <c r="O155" t="str">
        <f>IF($AS155="","",INDEX('TMP Paste'!$K$2:$K$1601,$AS155))</f>
        <v/>
      </c>
      <c r="P155" t="str">
        <f t="shared" si="13"/>
        <v/>
      </c>
      <c r="Q155" t="str">
        <f>IF($AS155="","",INDEX('TMP Paste'!$J$2:$J$1601,$AS155))</f>
        <v/>
      </c>
      <c r="R155" t="str">
        <f>IF($AS155="","",Config!$B$24)</f>
        <v/>
      </c>
      <c r="S155" t="str">
        <f ca="1">IF($AS155="","",TEXT(Config!$B$4,"yyyy-mm-dd"))</f>
        <v/>
      </c>
      <c r="T155" t="str">
        <f>IF($AS155="","",Config!$B$17)</f>
        <v/>
      </c>
      <c r="U155" t="str">
        <f>IF($AS155="","",Config!$B$18)</f>
        <v/>
      </c>
      <c r="V155" t="str">
        <f>IF($AS155="","",Config!$B$19)</f>
        <v/>
      </c>
      <c r="W155" t="str">
        <f>IF($AS155="","",INDEX('TMP Paste'!$C$2:$C$1601,$AS155))</f>
        <v/>
      </c>
      <c r="X155" t="str">
        <f>IF($AS155="","",Config!$B$29)</f>
        <v/>
      </c>
      <c r="Y155" t="str">
        <f>IF($AT155="","",INDEX(Calc!$I$2:$I$1601,$AT155)&amp;" - "&amp;INDEX(Calc!$D$2:$D$1601,$AT155)&amp;" koli")</f>
        <v/>
      </c>
      <c r="Z155" t="str">
        <f>IF($AS155="","",Config!$B$21)</f>
        <v/>
      </c>
      <c r="AA155" t="str">
        <f>IF($AS155="","",Config!$B$22)</f>
        <v/>
      </c>
      <c r="AB155" t="str">
        <f>IF($AT155="","",INDEX(Calc!$D$2:$D$1601,$AT155))</f>
        <v/>
      </c>
      <c r="AC155" t="str">
        <f>IF($AT155="","",INDEX(Calc!$G$2:$G$1601,$AT155))</f>
        <v/>
      </c>
      <c r="AD155" t="str">
        <f>IF($AS155="","",Config!$B$23)</f>
        <v/>
      </c>
      <c r="AE155" t="str">
        <f>IF($AS155="","",Config!$B$28)</f>
        <v/>
      </c>
      <c r="AF155" t="str">
        <f t="shared" si="14"/>
        <v/>
      </c>
      <c r="AG155" t="str">
        <f t="shared" si="15"/>
        <v/>
      </c>
      <c r="AH155" t="str">
        <f t="shared" si="16"/>
        <v/>
      </c>
      <c r="AI155" t="str">
        <f>IF($AG155="","",SUMIF($AG$2:$AG155,$AG155,$AH$2:$AH155))</f>
        <v/>
      </c>
      <c r="AJ155" t="str">
        <f>IF('TMP Paste'!$F155="","",IF('TMP Paste'!$B155="",$AJ154,'TMP Paste'!$B155))</f>
        <v>AWB02WKBQ</v>
      </c>
      <c r="AK155">
        <f>IF('TMP Paste'!$F155="","",N('TMP Paste'!$G155))</f>
        <v>0</v>
      </c>
      <c r="AL155">
        <f>IF('TMP Paste'!$F155="","",IF('TMP Paste'!$M155="",$AL154,'TMP Paste'!$M155))</f>
        <v>1</v>
      </c>
      <c r="AM155" t="str">
        <f>IF('TMP Paste'!$F155="","",IF('TMP Paste'!$N155="",$AM154,'TMP Paste'!$N155))</f>
        <v/>
      </c>
      <c r="AN155" t="str">
        <f>IF('TMP Paste'!$F155="","",IF('TMP Paste'!$O155="",$AN154,'TMP Paste'!$O155))</f>
        <v/>
      </c>
      <c r="AO155" t="str">
        <f>IF('TMP Paste'!$F155="","",IF('TMP Paste'!$P155="",$AO154,'TMP Paste'!$P155))</f>
        <v/>
      </c>
      <c r="AP155" t="str">
        <f t="shared" si="17"/>
        <v/>
      </c>
      <c r="AQ155" t="str">
        <f>IF($AS155="","",TRIM(IF(COUNTIFS(Calc!$B$2:$B$1601,ROW()-1,Calc!$C$2:$C$1601,"&lt;1")&gt;0,"Ada PO tanpa Koli - cek TMP. ","")&amp;IF(OR($AU155="",$AU155&lt;=0),"Volume kosong/0 - dimensi dikosongkan. ","")&amp;IF(AND($AU155&lt;&gt;"",$AU155&gt;=1000000),"Volume &gt;= 1.000.000 cm3 (di luar aturan) - dimensi dikosongkan. ","")&amp;IF(LEN($R155)&gt;500,"R &gt; 500 karakter.","")))</f>
        <v/>
      </c>
      <c r="AS155" t="str">
        <f>IFERROR(MATCH(ROW()-1,Calc!$J$2:$J$1601,0),"")</f>
        <v/>
      </c>
      <c r="AT155" t="str">
        <f>IFERROR(MATCH(ROW()-1,Calc!$K$2:$K$1601,0),"")</f>
        <v/>
      </c>
      <c r="AU155" t="str">
        <f>IF($AS155="","",IFERROR(INDEX('TMP Paste'!$D$2:$D$1601,$AS155)*1000000/$AB155,""))</f>
        <v/>
      </c>
    </row>
    <row r="156" spans="1:47">
      <c r="A156" t="str">
        <f>IF($AS156="","",INDEX('TMP Paste'!$B$2:$B$1601,$AS156))</f>
        <v/>
      </c>
      <c r="B156" t="str">
        <f>IF($AS156="","",Config!$B$14)</f>
        <v/>
      </c>
      <c r="C156" t="str">
        <f>IF($AS156="","",Config!$B$15)</f>
        <v/>
      </c>
      <c r="D156" t="str">
        <f>IF($AS156="","",INDEX('TMP Paste'!$B$2:$B$1601,$AS156))</f>
        <v/>
      </c>
      <c r="E156" t="str">
        <f>IF($AS156="","",Config!$B$27)</f>
        <v/>
      </c>
      <c r="F156" t="str">
        <f>IF($AS156="","",Config!$B$9)</f>
        <v/>
      </c>
      <c r="G156" t="str">
        <f>IF($AS156="","",Config!$B$10)</f>
        <v/>
      </c>
      <c r="H156" t="str">
        <f>IF($AS156="","",Config!$B$11)</f>
        <v/>
      </c>
      <c r="I156" t="str">
        <f>IF($AS156="","",Config!$B$16)</f>
        <v/>
      </c>
      <c r="J156" t="str">
        <f>IF($AS156="","",INDEX('TMP Paste'!$A$2:$A$1601,$AS156))</f>
        <v/>
      </c>
      <c r="K156" t="str">
        <f>IF($AS156="","",INDEX('TMP Paste'!$L$2:$L$1601,$AS156))</f>
        <v/>
      </c>
      <c r="L156" t="str">
        <f>IF($AS156="","",INDEX('TMP Paste'!$I$2:$I$1601,$AS156))</f>
        <v/>
      </c>
      <c r="M156" t="str">
        <f>IF($AS156="","",Config!$B$16)</f>
        <v/>
      </c>
      <c r="N156" t="str">
        <f t="shared" si="12"/>
        <v/>
      </c>
      <c r="O156" t="str">
        <f>IF($AS156="","",INDEX('TMP Paste'!$K$2:$K$1601,$AS156))</f>
        <v/>
      </c>
      <c r="P156" t="str">
        <f t="shared" si="13"/>
        <v/>
      </c>
      <c r="Q156" t="str">
        <f>IF($AS156="","",INDEX('TMP Paste'!$J$2:$J$1601,$AS156))</f>
        <v/>
      </c>
      <c r="R156" t="str">
        <f>IF($AS156="","",Config!$B$24)</f>
        <v/>
      </c>
      <c r="S156" t="str">
        <f ca="1">IF($AS156="","",TEXT(Config!$B$4,"yyyy-mm-dd"))</f>
        <v/>
      </c>
      <c r="T156" t="str">
        <f>IF($AS156="","",Config!$B$17)</f>
        <v/>
      </c>
      <c r="U156" t="str">
        <f>IF($AS156="","",Config!$B$18)</f>
        <v/>
      </c>
      <c r="V156" t="str">
        <f>IF($AS156="","",Config!$B$19)</f>
        <v/>
      </c>
      <c r="W156" t="str">
        <f>IF($AS156="","",INDEX('TMP Paste'!$C$2:$C$1601,$AS156))</f>
        <v/>
      </c>
      <c r="X156" t="str">
        <f>IF($AS156="","",Config!$B$29)</f>
        <v/>
      </c>
      <c r="Y156" t="str">
        <f>IF($AT156="","",INDEX(Calc!$I$2:$I$1601,$AT156)&amp;" - "&amp;INDEX(Calc!$D$2:$D$1601,$AT156)&amp;" koli")</f>
        <v/>
      </c>
      <c r="Z156" t="str">
        <f>IF($AS156="","",Config!$B$21)</f>
        <v/>
      </c>
      <c r="AA156" t="str">
        <f>IF($AS156="","",Config!$B$22)</f>
        <v/>
      </c>
      <c r="AB156" t="str">
        <f>IF($AT156="","",INDEX(Calc!$D$2:$D$1601,$AT156))</f>
        <v/>
      </c>
      <c r="AC156" t="str">
        <f>IF($AT156="","",INDEX(Calc!$G$2:$G$1601,$AT156))</f>
        <v/>
      </c>
      <c r="AD156" t="str">
        <f>IF($AS156="","",Config!$B$23)</f>
        <v/>
      </c>
      <c r="AE156" t="str">
        <f>IF($AS156="","",Config!$B$28)</f>
        <v/>
      </c>
      <c r="AF156" t="str">
        <f t="shared" si="14"/>
        <v/>
      </c>
      <c r="AG156" t="str">
        <f t="shared" si="15"/>
        <v/>
      </c>
      <c r="AH156" t="str">
        <f t="shared" si="16"/>
        <v/>
      </c>
      <c r="AI156" t="str">
        <f>IF($AG156="","",SUMIF($AG$2:$AG156,$AG156,$AH$2:$AH156))</f>
        <v/>
      </c>
      <c r="AJ156" t="str">
        <f>IF('TMP Paste'!$F156="","",IF('TMP Paste'!$B156="",$AJ155,'TMP Paste'!$B156))</f>
        <v/>
      </c>
      <c r="AK156" t="str">
        <f>IF('TMP Paste'!$F156="","",N('TMP Paste'!$G156))</f>
        <v/>
      </c>
      <c r="AL156" t="str">
        <f>IF('TMP Paste'!$F156="","",IF('TMP Paste'!$M156="",$AL155,'TMP Paste'!$M156))</f>
        <v/>
      </c>
      <c r="AM156" t="str">
        <f>IF('TMP Paste'!$F156="","",IF('TMP Paste'!$N156="",$AM155,'TMP Paste'!$N156))</f>
        <v/>
      </c>
      <c r="AN156" t="str">
        <f>IF('TMP Paste'!$F156="","",IF('TMP Paste'!$O156="",$AN155,'TMP Paste'!$O156))</f>
        <v/>
      </c>
      <c r="AO156" t="str">
        <f>IF('TMP Paste'!$F156="","",IF('TMP Paste'!$P156="",$AO155,'TMP Paste'!$P156))</f>
        <v/>
      </c>
      <c r="AP156" t="str">
        <f t="shared" si="17"/>
        <v/>
      </c>
      <c r="AQ156" t="str">
        <f>IF($AS156="","",TRIM(IF(COUNTIFS(Calc!$B$2:$B$1601,ROW()-1,Calc!$C$2:$C$1601,"&lt;1")&gt;0,"Ada PO tanpa Koli - cek TMP. ","")&amp;IF(OR($AU156="",$AU156&lt;=0),"Volume kosong/0 - dimensi dikosongkan. ","")&amp;IF(AND($AU156&lt;&gt;"",$AU156&gt;=1000000),"Volume &gt;= 1.000.000 cm3 (di luar aturan) - dimensi dikosongkan. ","")&amp;IF(LEN($R156)&gt;500,"R &gt; 500 karakter.","")))</f>
        <v/>
      </c>
      <c r="AS156" t="str">
        <f>IFERROR(MATCH(ROW()-1,Calc!$J$2:$J$1601,0),"")</f>
        <v/>
      </c>
      <c r="AT156" t="str">
        <f>IFERROR(MATCH(ROW()-1,Calc!$K$2:$K$1601,0),"")</f>
        <v/>
      </c>
      <c r="AU156" t="str">
        <f>IF($AS156="","",IFERROR(INDEX('TMP Paste'!$D$2:$D$1601,$AS156)*1000000/$AB156,""))</f>
        <v/>
      </c>
    </row>
    <row r="157" spans="1:47">
      <c r="A157" t="str">
        <f>IF($AS157="","",INDEX('TMP Paste'!$B$2:$B$1601,$AS157))</f>
        <v/>
      </c>
      <c r="B157" t="str">
        <f>IF($AS157="","",Config!$B$14)</f>
        <v/>
      </c>
      <c r="C157" t="str">
        <f>IF($AS157="","",Config!$B$15)</f>
        <v/>
      </c>
      <c r="D157" t="str">
        <f>IF($AS157="","",INDEX('TMP Paste'!$B$2:$B$1601,$AS157))</f>
        <v/>
      </c>
      <c r="E157" t="str">
        <f>IF($AS157="","",Config!$B$27)</f>
        <v/>
      </c>
      <c r="F157" t="str">
        <f>IF($AS157="","",Config!$B$9)</f>
        <v/>
      </c>
      <c r="G157" t="str">
        <f>IF($AS157="","",Config!$B$10)</f>
        <v/>
      </c>
      <c r="H157" t="str">
        <f>IF($AS157="","",Config!$B$11)</f>
        <v/>
      </c>
      <c r="I157" t="str">
        <f>IF($AS157="","",Config!$B$16)</f>
        <v/>
      </c>
      <c r="J157" t="str">
        <f>IF($AS157="","",INDEX('TMP Paste'!$A$2:$A$1601,$AS157))</f>
        <v/>
      </c>
      <c r="K157" t="str">
        <f>IF($AS157="","",INDEX('TMP Paste'!$L$2:$L$1601,$AS157))</f>
        <v/>
      </c>
      <c r="L157" t="str">
        <f>IF($AS157="","",INDEX('TMP Paste'!$I$2:$I$1601,$AS157))</f>
        <v/>
      </c>
      <c r="M157" t="str">
        <f>IF($AS157="","",Config!$B$16)</f>
        <v/>
      </c>
      <c r="N157" t="str">
        <f t="shared" si="12"/>
        <v/>
      </c>
      <c r="O157" t="str">
        <f>IF($AS157="","",INDEX('TMP Paste'!$K$2:$K$1601,$AS157))</f>
        <v/>
      </c>
      <c r="P157" t="str">
        <f t="shared" si="13"/>
        <v/>
      </c>
      <c r="Q157" t="str">
        <f>IF($AS157="","",INDEX('TMP Paste'!$J$2:$J$1601,$AS157))</f>
        <v/>
      </c>
      <c r="R157" t="str">
        <f>IF($AS157="","",Config!$B$24)</f>
        <v/>
      </c>
      <c r="S157" t="str">
        <f ca="1">IF($AS157="","",TEXT(Config!$B$4,"yyyy-mm-dd"))</f>
        <v/>
      </c>
      <c r="T157" t="str">
        <f>IF($AS157="","",Config!$B$17)</f>
        <v/>
      </c>
      <c r="U157" t="str">
        <f>IF($AS157="","",Config!$B$18)</f>
        <v/>
      </c>
      <c r="V157" t="str">
        <f>IF($AS157="","",Config!$B$19)</f>
        <v/>
      </c>
      <c r="W157" t="str">
        <f>IF($AS157="","",INDEX('TMP Paste'!$C$2:$C$1601,$AS157))</f>
        <v/>
      </c>
      <c r="X157" t="str">
        <f>IF($AS157="","",Config!$B$29)</f>
        <v/>
      </c>
      <c r="Y157" t="str">
        <f>IF($AT157="","",INDEX(Calc!$I$2:$I$1601,$AT157)&amp;" - "&amp;INDEX(Calc!$D$2:$D$1601,$AT157)&amp;" koli")</f>
        <v/>
      </c>
      <c r="Z157" t="str">
        <f>IF($AS157="","",Config!$B$21)</f>
        <v/>
      </c>
      <c r="AA157" t="str">
        <f>IF($AS157="","",Config!$B$22)</f>
        <v/>
      </c>
      <c r="AB157" t="str">
        <f>IF($AT157="","",INDEX(Calc!$D$2:$D$1601,$AT157))</f>
        <v/>
      </c>
      <c r="AC157" t="str">
        <f>IF($AT157="","",INDEX(Calc!$G$2:$G$1601,$AT157))</f>
        <v/>
      </c>
      <c r="AD157" t="str">
        <f>IF($AS157="","",Config!$B$23)</f>
        <v/>
      </c>
      <c r="AE157" t="str">
        <f>IF($AS157="","",Config!$B$28)</f>
        <v/>
      </c>
      <c r="AF157" t="str">
        <f t="shared" si="14"/>
        <v/>
      </c>
      <c r="AG157" t="str">
        <f t="shared" si="15"/>
        <v/>
      </c>
      <c r="AH157" t="str">
        <f t="shared" si="16"/>
        <v/>
      </c>
      <c r="AI157" t="str">
        <f>IF($AG157="","",SUMIF($AG$2:$AG157,$AG157,$AH$2:$AH157))</f>
        <v/>
      </c>
      <c r="AJ157" t="str">
        <f>IF('TMP Paste'!$F157="","",IF('TMP Paste'!$B157="",$AJ156,'TMP Paste'!$B157))</f>
        <v/>
      </c>
      <c r="AK157" t="str">
        <f>IF('TMP Paste'!$F157="","",N('TMP Paste'!$G157))</f>
        <v/>
      </c>
      <c r="AL157" t="str">
        <f>IF('TMP Paste'!$F157="","",IF('TMP Paste'!$M157="",$AL156,'TMP Paste'!$M157))</f>
        <v/>
      </c>
      <c r="AM157" t="str">
        <f>IF('TMP Paste'!$F157="","",IF('TMP Paste'!$N157="",$AM156,'TMP Paste'!$N157))</f>
        <v/>
      </c>
      <c r="AN157" t="str">
        <f>IF('TMP Paste'!$F157="","",IF('TMP Paste'!$O157="",$AN156,'TMP Paste'!$O157))</f>
        <v/>
      </c>
      <c r="AO157" t="str">
        <f>IF('TMP Paste'!$F157="","",IF('TMP Paste'!$P157="",$AO156,'TMP Paste'!$P157))</f>
        <v/>
      </c>
      <c r="AP157" t="str">
        <f t="shared" si="17"/>
        <v/>
      </c>
      <c r="AQ157" t="str">
        <f>IF($AS157="","",TRIM(IF(COUNTIFS(Calc!$B$2:$B$1601,ROW()-1,Calc!$C$2:$C$1601,"&lt;1")&gt;0,"Ada PO tanpa Koli - cek TMP. ","")&amp;IF(OR($AU157="",$AU157&lt;=0),"Volume kosong/0 - dimensi dikosongkan. ","")&amp;IF(AND($AU157&lt;&gt;"",$AU157&gt;=1000000),"Volume &gt;= 1.000.000 cm3 (di luar aturan) - dimensi dikosongkan. ","")&amp;IF(LEN($R157)&gt;500,"R &gt; 500 karakter.","")))</f>
        <v/>
      </c>
      <c r="AS157" t="str">
        <f>IFERROR(MATCH(ROW()-1,Calc!$J$2:$J$1601,0),"")</f>
        <v/>
      </c>
      <c r="AT157" t="str">
        <f>IFERROR(MATCH(ROW()-1,Calc!$K$2:$K$1601,0),"")</f>
        <v/>
      </c>
      <c r="AU157" t="str">
        <f>IF($AS157="","",IFERROR(INDEX('TMP Paste'!$D$2:$D$1601,$AS157)*1000000/$AB157,""))</f>
        <v/>
      </c>
    </row>
    <row r="158" spans="1:47">
      <c r="A158" t="str">
        <f>IF($AS158="","",INDEX('TMP Paste'!$B$2:$B$1601,$AS158))</f>
        <v/>
      </c>
      <c r="B158" t="str">
        <f>IF($AS158="","",Config!$B$14)</f>
        <v/>
      </c>
      <c r="C158" t="str">
        <f>IF($AS158="","",Config!$B$15)</f>
        <v/>
      </c>
      <c r="D158" t="str">
        <f>IF($AS158="","",INDEX('TMP Paste'!$B$2:$B$1601,$AS158))</f>
        <v/>
      </c>
      <c r="E158" t="str">
        <f>IF($AS158="","",Config!$B$27)</f>
        <v/>
      </c>
      <c r="F158" t="str">
        <f>IF($AS158="","",Config!$B$9)</f>
        <v/>
      </c>
      <c r="G158" t="str">
        <f>IF($AS158="","",Config!$B$10)</f>
        <v/>
      </c>
      <c r="H158" t="str">
        <f>IF($AS158="","",Config!$B$11)</f>
        <v/>
      </c>
      <c r="I158" t="str">
        <f>IF($AS158="","",Config!$B$16)</f>
        <v/>
      </c>
      <c r="J158" t="str">
        <f>IF($AS158="","",INDEX('TMP Paste'!$A$2:$A$1601,$AS158))</f>
        <v/>
      </c>
      <c r="K158" t="str">
        <f>IF($AS158="","",INDEX('TMP Paste'!$L$2:$L$1601,$AS158))</f>
        <v/>
      </c>
      <c r="L158" t="str">
        <f>IF($AS158="","",INDEX('TMP Paste'!$I$2:$I$1601,$AS158))</f>
        <v/>
      </c>
      <c r="M158" t="str">
        <f>IF($AS158="","",Config!$B$16)</f>
        <v/>
      </c>
      <c r="N158" t="str">
        <f t="shared" si="12"/>
        <v/>
      </c>
      <c r="O158" t="str">
        <f>IF($AS158="","",INDEX('TMP Paste'!$K$2:$K$1601,$AS158))</f>
        <v/>
      </c>
      <c r="P158" t="str">
        <f t="shared" si="13"/>
        <v/>
      </c>
      <c r="Q158" t="str">
        <f>IF($AS158="","",INDEX('TMP Paste'!$J$2:$J$1601,$AS158))</f>
        <v/>
      </c>
      <c r="R158" t="str">
        <f>IF($AS158="","",Config!$B$24)</f>
        <v/>
      </c>
      <c r="S158" t="str">
        <f ca="1">IF($AS158="","",TEXT(Config!$B$4,"yyyy-mm-dd"))</f>
        <v/>
      </c>
      <c r="T158" t="str">
        <f>IF($AS158="","",Config!$B$17)</f>
        <v/>
      </c>
      <c r="U158" t="str">
        <f>IF($AS158="","",Config!$B$18)</f>
        <v/>
      </c>
      <c r="V158" t="str">
        <f>IF($AS158="","",Config!$B$19)</f>
        <v/>
      </c>
      <c r="W158" t="str">
        <f>IF($AS158="","",INDEX('TMP Paste'!$C$2:$C$1601,$AS158))</f>
        <v/>
      </c>
      <c r="X158" t="str">
        <f>IF($AS158="","",Config!$B$29)</f>
        <v/>
      </c>
      <c r="Y158" t="str">
        <f>IF($AT158="","",INDEX(Calc!$I$2:$I$1601,$AT158)&amp;" - "&amp;INDEX(Calc!$D$2:$D$1601,$AT158)&amp;" koli")</f>
        <v/>
      </c>
      <c r="Z158" t="str">
        <f>IF($AS158="","",Config!$B$21)</f>
        <v/>
      </c>
      <c r="AA158" t="str">
        <f>IF($AS158="","",Config!$B$22)</f>
        <v/>
      </c>
      <c r="AB158" t="str">
        <f>IF($AT158="","",INDEX(Calc!$D$2:$D$1601,$AT158))</f>
        <v/>
      </c>
      <c r="AC158" t="str">
        <f>IF($AT158="","",INDEX(Calc!$G$2:$G$1601,$AT158))</f>
        <v/>
      </c>
      <c r="AD158" t="str">
        <f>IF($AS158="","",Config!$B$23)</f>
        <v/>
      </c>
      <c r="AE158" t="str">
        <f>IF($AS158="","",Config!$B$28)</f>
        <v/>
      </c>
      <c r="AF158" t="str">
        <f t="shared" si="14"/>
        <v/>
      </c>
      <c r="AG158" t="str">
        <f t="shared" si="15"/>
        <v/>
      </c>
      <c r="AH158" t="str">
        <f t="shared" si="16"/>
        <v/>
      </c>
      <c r="AI158" t="str">
        <f>IF($AG158="","",SUMIF($AG$2:$AG158,$AG158,$AH$2:$AH158))</f>
        <v/>
      </c>
      <c r="AJ158" t="str">
        <f>IF('TMP Paste'!$F158="","",IF('TMP Paste'!$B158="",$AJ157,'TMP Paste'!$B158))</f>
        <v/>
      </c>
      <c r="AK158" t="str">
        <f>IF('TMP Paste'!$F158="","",N('TMP Paste'!$G158))</f>
        <v/>
      </c>
      <c r="AL158" t="str">
        <f>IF('TMP Paste'!$F158="","",IF('TMP Paste'!$M158="",$AL157,'TMP Paste'!$M158))</f>
        <v/>
      </c>
      <c r="AM158" t="str">
        <f>IF('TMP Paste'!$F158="","",IF('TMP Paste'!$N158="",$AM157,'TMP Paste'!$N158))</f>
        <v/>
      </c>
      <c r="AN158" t="str">
        <f>IF('TMP Paste'!$F158="","",IF('TMP Paste'!$O158="",$AN157,'TMP Paste'!$O158))</f>
        <v/>
      </c>
      <c r="AO158" t="str">
        <f>IF('TMP Paste'!$F158="","",IF('TMP Paste'!$P158="",$AO157,'TMP Paste'!$P158))</f>
        <v/>
      </c>
      <c r="AP158" t="str">
        <f t="shared" si="17"/>
        <v/>
      </c>
      <c r="AQ158" t="str">
        <f>IF($AS158="","",TRIM(IF(COUNTIFS(Calc!$B$2:$B$1601,ROW()-1,Calc!$C$2:$C$1601,"&lt;1")&gt;0,"Ada PO tanpa Koli - cek TMP. ","")&amp;IF(OR($AU158="",$AU158&lt;=0),"Volume kosong/0 - dimensi dikosongkan. ","")&amp;IF(AND($AU158&lt;&gt;"",$AU158&gt;=1000000),"Volume &gt;= 1.000.000 cm3 (di luar aturan) - dimensi dikosongkan. ","")&amp;IF(LEN($R158)&gt;500,"R &gt; 500 karakter.","")))</f>
        <v/>
      </c>
      <c r="AS158" t="str">
        <f>IFERROR(MATCH(ROW()-1,Calc!$J$2:$J$1601,0),"")</f>
        <v/>
      </c>
      <c r="AT158" t="str">
        <f>IFERROR(MATCH(ROW()-1,Calc!$K$2:$K$1601,0),"")</f>
        <v/>
      </c>
      <c r="AU158" t="str">
        <f>IF($AS158="","",IFERROR(INDEX('TMP Paste'!$D$2:$D$1601,$AS158)*1000000/$AB158,""))</f>
        <v/>
      </c>
    </row>
    <row r="159" spans="1:47">
      <c r="A159" t="str">
        <f>IF($AS159="","",INDEX('TMP Paste'!$B$2:$B$1601,$AS159))</f>
        <v/>
      </c>
      <c r="B159" t="str">
        <f>IF($AS159="","",Config!$B$14)</f>
        <v/>
      </c>
      <c r="C159" t="str">
        <f>IF($AS159="","",Config!$B$15)</f>
        <v/>
      </c>
      <c r="D159" t="str">
        <f>IF($AS159="","",INDEX('TMP Paste'!$B$2:$B$1601,$AS159))</f>
        <v/>
      </c>
      <c r="E159" t="str">
        <f>IF($AS159="","",Config!$B$27)</f>
        <v/>
      </c>
      <c r="F159" t="str">
        <f>IF($AS159="","",Config!$B$9)</f>
        <v/>
      </c>
      <c r="G159" t="str">
        <f>IF($AS159="","",Config!$B$10)</f>
        <v/>
      </c>
      <c r="H159" t="str">
        <f>IF($AS159="","",Config!$B$11)</f>
        <v/>
      </c>
      <c r="I159" t="str">
        <f>IF($AS159="","",Config!$B$16)</f>
        <v/>
      </c>
      <c r="J159" t="str">
        <f>IF($AS159="","",INDEX('TMP Paste'!$A$2:$A$1601,$AS159))</f>
        <v/>
      </c>
      <c r="K159" t="str">
        <f>IF($AS159="","",INDEX('TMP Paste'!$L$2:$L$1601,$AS159))</f>
        <v/>
      </c>
      <c r="L159" t="str">
        <f>IF($AS159="","",INDEX('TMP Paste'!$I$2:$I$1601,$AS159))</f>
        <v/>
      </c>
      <c r="M159" t="str">
        <f>IF($AS159="","",Config!$B$16)</f>
        <v/>
      </c>
      <c r="N159" t="str">
        <f t="shared" si="12"/>
        <v/>
      </c>
      <c r="O159" t="str">
        <f>IF($AS159="","",INDEX('TMP Paste'!$K$2:$K$1601,$AS159))</f>
        <v/>
      </c>
      <c r="P159" t="str">
        <f t="shared" si="13"/>
        <v/>
      </c>
      <c r="Q159" t="str">
        <f>IF($AS159="","",INDEX('TMP Paste'!$J$2:$J$1601,$AS159))</f>
        <v/>
      </c>
      <c r="R159" t="str">
        <f>IF($AS159="","",Config!$B$24)</f>
        <v/>
      </c>
      <c r="S159" t="str">
        <f ca="1">IF($AS159="","",TEXT(Config!$B$4,"yyyy-mm-dd"))</f>
        <v/>
      </c>
      <c r="T159" t="str">
        <f>IF($AS159="","",Config!$B$17)</f>
        <v/>
      </c>
      <c r="U159" t="str">
        <f>IF($AS159="","",Config!$B$18)</f>
        <v/>
      </c>
      <c r="V159" t="str">
        <f>IF($AS159="","",Config!$B$19)</f>
        <v/>
      </c>
      <c r="W159" t="str">
        <f>IF($AS159="","",INDEX('TMP Paste'!$C$2:$C$1601,$AS159))</f>
        <v/>
      </c>
      <c r="X159" t="str">
        <f>IF($AS159="","",Config!$B$29)</f>
        <v/>
      </c>
      <c r="Y159" t="str">
        <f>IF($AT159="","",INDEX(Calc!$I$2:$I$1601,$AT159)&amp;" - "&amp;INDEX(Calc!$D$2:$D$1601,$AT159)&amp;" koli")</f>
        <v/>
      </c>
      <c r="Z159" t="str">
        <f>IF($AS159="","",Config!$B$21)</f>
        <v/>
      </c>
      <c r="AA159" t="str">
        <f>IF($AS159="","",Config!$B$22)</f>
        <v/>
      </c>
      <c r="AB159" t="str">
        <f>IF($AT159="","",INDEX(Calc!$D$2:$D$1601,$AT159))</f>
        <v/>
      </c>
      <c r="AC159" t="str">
        <f>IF($AT159="","",INDEX(Calc!$G$2:$G$1601,$AT159))</f>
        <v/>
      </c>
      <c r="AD159" t="str">
        <f>IF($AS159="","",Config!$B$23)</f>
        <v/>
      </c>
      <c r="AE159" t="str">
        <f>IF($AS159="","",Config!$B$28)</f>
        <v/>
      </c>
      <c r="AF159" t="str">
        <f t="shared" si="14"/>
        <v/>
      </c>
      <c r="AG159" t="str">
        <f t="shared" si="15"/>
        <v/>
      </c>
      <c r="AH159" t="str">
        <f t="shared" si="16"/>
        <v/>
      </c>
      <c r="AI159" t="str">
        <f>IF($AG159="","",SUMIF($AG$2:$AG159,$AG159,$AH$2:$AH159))</f>
        <v/>
      </c>
      <c r="AJ159" t="str">
        <f>IF('TMP Paste'!$F159="","",IF('TMP Paste'!$B159="",$AJ158,'TMP Paste'!$B159))</f>
        <v/>
      </c>
      <c r="AK159" t="str">
        <f>IF('TMP Paste'!$F159="","",N('TMP Paste'!$G159))</f>
        <v/>
      </c>
      <c r="AL159" t="str">
        <f>IF('TMP Paste'!$F159="","",IF('TMP Paste'!$M159="",$AL158,'TMP Paste'!$M159))</f>
        <v/>
      </c>
      <c r="AM159" t="str">
        <f>IF('TMP Paste'!$F159="","",IF('TMP Paste'!$N159="",$AM158,'TMP Paste'!$N159))</f>
        <v/>
      </c>
      <c r="AN159" t="str">
        <f>IF('TMP Paste'!$F159="","",IF('TMP Paste'!$O159="",$AN158,'TMP Paste'!$O159))</f>
        <v/>
      </c>
      <c r="AO159" t="str">
        <f>IF('TMP Paste'!$F159="","",IF('TMP Paste'!$P159="",$AO158,'TMP Paste'!$P159))</f>
        <v/>
      </c>
      <c r="AP159" t="str">
        <f t="shared" si="17"/>
        <v/>
      </c>
      <c r="AQ159" t="str">
        <f>IF($AS159="","",TRIM(IF(COUNTIFS(Calc!$B$2:$B$1601,ROW()-1,Calc!$C$2:$C$1601,"&lt;1")&gt;0,"Ada PO tanpa Koli - cek TMP. ","")&amp;IF(OR($AU159="",$AU159&lt;=0),"Volume kosong/0 - dimensi dikosongkan. ","")&amp;IF(AND($AU159&lt;&gt;"",$AU159&gt;=1000000),"Volume &gt;= 1.000.000 cm3 (di luar aturan) - dimensi dikosongkan. ","")&amp;IF(LEN($R159)&gt;500,"R &gt; 500 karakter.","")))</f>
        <v/>
      </c>
      <c r="AS159" t="str">
        <f>IFERROR(MATCH(ROW()-1,Calc!$J$2:$J$1601,0),"")</f>
        <v/>
      </c>
      <c r="AT159" t="str">
        <f>IFERROR(MATCH(ROW()-1,Calc!$K$2:$K$1601,0),"")</f>
        <v/>
      </c>
      <c r="AU159" t="str">
        <f>IF($AS159="","",IFERROR(INDEX('TMP Paste'!$D$2:$D$1601,$AS159)*1000000/$AB159,""))</f>
        <v/>
      </c>
    </row>
    <row r="160" spans="1:47">
      <c r="A160" t="str">
        <f>IF($AS160="","",INDEX('TMP Paste'!$B$2:$B$1601,$AS160))</f>
        <v/>
      </c>
      <c r="B160" t="str">
        <f>IF($AS160="","",Config!$B$14)</f>
        <v/>
      </c>
      <c r="C160" t="str">
        <f>IF($AS160="","",Config!$B$15)</f>
        <v/>
      </c>
      <c r="D160" t="str">
        <f>IF($AS160="","",INDEX('TMP Paste'!$B$2:$B$1601,$AS160))</f>
        <v/>
      </c>
      <c r="E160" t="str">
        <f>IF($AS160="","",Config!$B$27)</f>
        <v/>
      </c>
      <c r="F160" t="str">
        <f>IF($AS160="","",Config!$B$9)</f>
        <v/>
      </c>
      <c r="G160" t="str">
        <f>IF($AS160="","",Config!$B$10)</f>
        <v/>
      </c>
      <c r="H160" t="str">
        <f>IF($AS160="","",Config!$B$11)</f>
        <v/>
      </c>
      <c r="I160" t="str">
        <f>IF($AS160="","",Config!$B$16)</f>
        <v/>
      </c>
      <c r="J160" t="str">
        <f>IF($AS160="","",INDEX('TMP Paste'!$A$2:$A$1601,$AS160))</f>
        <v/>
      </c>
      <c r="K160" t="str">
        <f>IF($AS160="","",INDEX('TMP Paste'!$L$2:$L$1601,$AS160))</f>
        <v/>
      </c>
      <c r="L160" t="str">
        <f>IF($AS160="","",INDEX('TMP Paste'!$I$2:$I$1601,$AS160))</f>
        <v/>
      </c>
      <c r="M160" t="str">
        <f>IF($AS160="","",Config!$B$16)</f>
        <v/>
      </c>
      <c r="N160" t="str">
        <f t="shared" si="12"/>
        <v/>
      </c>
      <c r="O160" t="str">
        <f>IF($AS160="","",INDEX('TMP Paste'!$K$2:$K$1601,$AS160))</f>
        <v/>
      </c>
      <c r="P160" t="str">
        <f t="shared" si="13"/>
        <v/>
      </c>
      <c r="Q160" t="str">
        <f>IF($AS160="","",INDEX('TMP Paste'!$J$2:$J$1601,$AS160))</f>
        <v/>
      </c>
      <c r="R160" t="str">
        <f>IF($AS160="","",Config!$B$24)</f>
        <v/>
      </c>
      <c r="S160" t="str">
        <f ca="1">IF($AS160="","",TEXT(Config!$B$4,"yyyy-mm-dd"))</f>
        <v/>
      </c>
      <c r="T160" t="str">
        <f>IF($AS160="","",Config!$B$17)</f>
        <v/>
      </c>
      <c r="U160" t="str">
        <f>IF($AS160="","",Config!$B$18)</f>
        <v/>
      </c>
      <c r="V160" t="str">
        <f>IF($AS160="","",Config!$B$19)</f>
        <v/>
      </c>
      <c r="W160" t="str">
        <f>IF($AS160="","",INDEX('TMP Paste'!$C$2:$C$1601,$AS160))</f>
        <v/>
      </c>
      <c r="X160" t="str">
        <f>IF($AS160="","",Config!$B$29)</f>
        <v/>
      </c>
      <c r="Y160" t="str">
        <f>IF($AT160="","",INDEX(Calc!$I$2:$I$1601,$AT160)&amp;" - "&amp;INDEX(Calc!$D$2:$D$1601,$AT160)&amp;" koli")</f>
        <v/>
      </c>
      <c r="Z160" t="str">
        <f>IF($AS160="","",Config!$B$21)</f>
        <v/>
      </c>
      <c r="AA160" t="str">
        <f>IF($AS160="","",Config!$B$22)</f>
        <v/>
      </c>
      <c r="AB160" t="str">
        <f>IF($AT160="","",INDEX(Calc!$D$2:$D$1601,$AT160))</f>
        <v/>
      </c>
      <c r="AC160" t="str">
        <f>IF($AT160="","",INDEX(Calc!$G$2:$G$1601,$AT160))</f>
        <v/>
      </c>
      <c r="AD160" t="str">
        <f>IF($AS160="","",Config!$B$23)</f>
        <v/>
      </c>
      <c r="AE160" t="str">
        <f>IF($AS160="","",Config!$B$28)</f>
        <v/>
      </c>
      <c r="AF160" t="str">
        <f t="shared" si="14"/>
        <v/>
      </c>
      <c r="AG160" t="str">
        <f t="shared" si="15"/>
        <v/>
      </c>
      <c r="AH160" t="str">
        <f t="shared" si="16"/>
        <v/>
      </c>
      <c r="AI160" t="str">
        <f>IF($AG160="","",SUMIF($AG$2:$AG160,$AG160,$AH$2:$AH160))</f>
        <v/>
      </c>
      <c r="AJ160" t="str">
        <f>IF('TMP Paste'!$F160="","",IF('TMP Paste'!$B160="",$AJ159,'TMP Paste'!$B160))</f>
        <v>AWB02WK01</v>
      </c>
      <c r="AK160">
        <f>IF('TMP Paste'!$F160="","",N('TMP Paste'!$G160))</f>
        <v>0</v>
      </c>
      <c r="AL160">
        <f>IF('TMP Paste'!$F160="","",IF('TMP Paste'!$M160="",$AL159,'TMP Paste'!$M160))</f>
        <v>1</v>
      </c>
      <c r="AM160" t="str">
        <f>IF('TMP Paste'!$F160="","",IF('TMP Paste'!$N160="",$AM159,'TMP Paste'!$N160))</f>
        <v/>
      </c>
      <c r="AN160" t="str">
        <f>IF('TMP Paste'!$F160="","",IF('TMP Paste'!$O160="",$AN159,'TMP Paste'!$O160))</f>
        <v/>
      </c>
      <c r="AO160" t="str">
        <f>IF('TMP Paste'!$F160="","",IF('TMP Paste'!$P160="",$AO159,'TMP Paste'!$P160))</f>
        <v/>
      </c>
      <c r="AP160" t="str">
        <f t="shared" si="17"/>
        <v/>
      </c>
      <c r="AQ160" t="str">
        <f>IF($AS160="","",TRIM(IF(COUNTIFS(Calc!$B$2:$B$1601,ROW()-1,Calc!$C$2:$C$1601,"&lt;1")&gt;0,"Ada PO tanpa Koli - cek TMP. ","")&amp;IF(OR($AU160="",$AU160&lt;=0),"Volume kosong/0 - dimensi dikosongkan. ","")&amp;IF(AND($AU160&lt;&gt;"",$AU160&gt;=1000000),"Volume &gt;= 1.000.000 cm3 (di luar aturan) - dimensi dikosongkan. ","")&amp;IF(LEN($R160)&gt;500,"R &gt; 500 karakter.","")))</f>
        <v/>
      </c>
      <c r="AS160" t="str">
        <f>IFERROR(MATCH(ROW()-1,Calc!$J$2:$J$1601,0),"")</f>
        <v/>
      </c>
      <c r="AT160" t="str">
        <f>IFERROR(MATCH(ROW()-1,Calc!$K$2:$K$1601,0),"")</f>
        <v/>
      </c>
      <c r="AU160" t="str">
        <f>IF($AS160="","",IFERROR(INDEX('TMP Paste'!$D$2:$D$1601,$AS160)*1000000/$AB160,""))</f>
        <v/>
      </c>
    </row>
    <row r="161" spans="1:47">
      <c r="A161" t="str">
        <f>IF($AS161="","",INDEX('TMP Paste'!$B$2:$B$1601,$AS161))</f>
        <v/>
      </c>
      <c r="B161" t="str">
        <f>IF($AS161="","",Config!$B$14)</f>
        <v/>
      </c>
      <c r="C161" t="str">
        <f>IF($AS161="","",Config!$B$15)</f>
        <v/>
      </c>
      <c r="D161" t="str">
        <f>IF($AS161="","",INDEX('TMP Paste'!$B$2:$B$1601,$AS161))</f>
        <v/>
      </c>
      <c r="E161" t="str">
        <f>IF($AS161="","",Config!$B$27)</f>
        <v/>
      </c>
      <c r="F161" t="str">
        <f>IF($AS161="","",Config!$B$9)</f>
        <v/>
      </c>
      <c r="G161" t="str">
        <f>IF($AS161="","",Config!$B$10)</f>
        <v/>
      </c>
      <c r="H161" t="str">
        <f>IF($AS161="","",Config!$B$11)</f>
        <v/>
      </c>
      <c r="I161" t="str">
        <f>IF($AS161="","",Config!$B$16)</f>
        <v/>
      </c>
      <c r="J161" t="str">
        <f>IF($AS161="","",INDEX('TMP Paste'!$A$2:$A$1601,$AS161))</f>
        <v/>
      </c>
      <c r="K161" t="str">
        <f>IF($AS161="","",INDEX('TMP Paste'!$L$2:$L$1601,$AS161))</f>
        <v/>
      </c>
      <c r="L161" t="str">
        <f>IF($AS161="","",INDEX('TMP Paste'!$I$2:$I$1601,$AS161))</f>
        <v/>
      </c>
      <c r="M161" t="str">
        <f>IF($AS161="","",Config!$B$16)</f>
        <v/>
      </c>
      <c r="N161" t="str">
        <f t="shared" si="12"/>
        <v/>
      </c>
      <c r="O161" t="str">
        <f>IF($AS161="","",INDEX('TMP Paste'!$K$2:$K$1601,$AS161))</f>
        <v/>
      </c>
      <c r="P161" t="str">
        <f t="shared" si="13"/>
        <v/>
      </c>
      <c r="Q161" t="str">
        <f>IF($AS161="","",INDEX('TMP Paste'!$J$2:$J$1601,$AS161))</f>
        <v/>
      </c>
      <c r="R161" t="str">
        <f>IF($AS161="","",Config!$B$24)</f>
        <v/>
      </c>
      <c r="S161" t="str">
        <f ca="1">IF($AS161="","",TEXT(Config!$B$4,"yyyy-mm-dd"))</f>
        <v/>
      </c>
      <c r="T161" t="str">
        <f>IF($AS161="","",Config!$B$17)</f>
        <v/>
      </c>
      <c r="U161" t="str">
        <f>IF($AS161="","",Config!$B$18)</f>
        <v/>
      </c>
      <c r="V161" t="str">
        <f>IF($AS161="","",Config!$B$19)</f>
        <v/>
      </c>
      <c r="W161" t="str">
        <f>IF($AS161="","",INDEX('TMP Paste'!$C$2:$C$1601,$AS161))</f>
        <v/>
      </c>
      <c r="X161" t="str">
        <f>IF($AS161="","",Config!$B$29)</f>
        <v/>
      </c>
      <c r="Y161" t="str">
        <f>IF($AT161="","",INDEX(Calc!$I$2:$I$1601,$AT161)&amp;" - "&amp;INDEX(Calc!$D$2:$D$1601,$AT161)&amp;" koli")</f>
        <v/>
      </c>
      <c r="Z161" t="str">
        <f>IF($AS161="","",Config!$B$21)</f>
        <v/>
      </c>
      <c r="AA161" t="str">
        <f>IF($AS161="","",Config!$B$22)</f>
        <v/>
      </c>
      <c r="AB161" t="str">
        <f>IF($AT161="","",INDEX(Calc!$D$2:$D$1601,$AT161))</f>
        <v/>
      </c>
      <c r="AC161" t="str">
        <f>IF($AT161="","",INDEX(Calc!$G$2:$G$1601,$AT161))</f>
        <v/>
      </c>
      <c r="AD161" t="str">
        <f>IF($AS161="","",Config!$B$23)</f>
        <v/>
      </c>
      <c r="AE161" t="str">
        <f>IF($AS161="","",Config!$B$28)</f>
        <v/>
      </c>
      <c r="AF161" t="str">
        <f t="shared" si="14"/>
        <v/>
      </c>
      <c r="AG161" t="str">
        <f t="shared" si="15"/>
        <v/>
      </c>
      <c r="AH161" t="str">
        <f t="shared" si="16"/>
        <v/>
      </c>
      <c r="AI161" t="str">
        <f>IF($AG161="","",SUMIF($AG$2:$AG161,$AG161,$AH$2:$AH161))</f>
        <v/>
      </c>
      <c r="AJ161" t="str">
        <f>IF('TMP Paste'!$F161="","",IF('TMP Paste'!$B161="",$AJ160,'TMP Paste'!$B161))</f>
        <v/>
      </c>
      <c r="AK161" t="str">
        <f>IF('TMP Paste'!$F161="","",N('TMP Paste'!$G161))</f>
        <v/>
      </c>
      <c r="AL161" t="str">
        <f>IF('TMP Paste'!$F161="","",IF('TMP Paste'!$M161="",$AL160,'TMP Paste'!$M161))</f>
        <v/>
      </c>
      <c r="AM161" t="str">
        <f>IF('TMP Paste'!$F161="","",IF('TMP Paste'!$N161="",$AM160,'TMP Paste'!$N161))</f>
        <v/>
      </c>
      <c r="AN161" t="str">
        <f>IF('TMP Paste'!$F161="","",IF('TMP Paste'!$O161="",$AN160,'TMP Paste'!$O161))</f>
        <v/>
      </c>
      <c r="AO161" t="str">
        <f>IF('TMP Paste'!$F161="","",IF('TMP Paste'!$P161="",$AO160,'TMP Paste'!$P161))</f>
        <v/>
      </c>
      <c r="AP161" t="str">
        <f t="shared" si="17"/>
        <v/>
      </c>
      <c r="AQ161" t="str">
        <f>IF($AS161="","",TRIM(IF(COUNTIFS(Calc!$B$2:$B$1601,ROW()-1,Calc!$C$2:$C$1601,"&lt;1")&gt;0,"Ada PO tanpa Koli - cek TMP. ","")&amp;IF(OR($AU161="",$AU161&lt;=0),"Volume kosong/0 - dimensi dikosongkan. ","")&amp;IF(AND($AU161&lt;&gt;"",$AU161&gt;=1000000),"Volume &gt;= 1.000.000 cm3 (di luar aturan) - dimensi dikosongkan. ","")&amp;IF(LEN($R161)&gt;500,"R &gt; 500 karakter.","")))</f>
        <v/>
      </c>
      <c r="AS161" t="str">
        <f>IFERROR(MATCH(ROW()-1,Calc!$J$2:$J$1601,0),"")</f>
        <v/>
      </c>
      <c r="AT161" t="str">
        <f>IFERROR(MATCH(ROW()-1,Calc!$K$2:$K$1601,0),"")</f>
        <v/>
      </c>
      <c r="AU161" t="str">
        <f>IF($AS161="","",IFERROR(INDEX('TMP Paste'!$D$2:$D$1601,$AS161)*1000000/$AB161,""))</f>
        <v/>
      </c>
    </row>
    <row r="162" spans="1:47">
      <c r="A162" t="str">
        <f>IF($AS162="","",INDEX('TMP Paste'!$B$2:$B$1601,$AS162))</f>
        <v/>
      </c>
      <c r="B162" t="str">
        <f>IF($AS162="","",Config!$B$14)</f>
        <v/>
      </c>
      <c r="C162" t="str">
        <f>IF($AS162="","",Config!$B$15)</f>
        <v/>
      </c>
      <c r="D162" t="str">
        <f>IF($AS162="","",INDEX('TMP Paste'!$B$2:$B$1601,$AS162))</f>
        <v/>
      </c>
      <c r="E162" t="str">
        <f>IF($AS162="","",Config!$B$27)</f>
        <v/>
      </c>
      <c r="F162" t="str">
        <f>IF($AS162="","",Config!$B$9)</f>
        <v/>
      </c>
      <c r="G162" t="str">
        <f>IF($AS162="","",Config!$B$10)</f>
        <v/>
      </c>
      <c r="H162" t="str">
        <f>IF($AS162="","",Config!$B$11)</f>
        <v/>
      </c>
      <c r="I162" t="str">
        <f>IF($AS162="","",Config!$B$16)</f>
        <v/>
      </c>
      <c r="J162" t="str">
        <f>IF($AS162="","",INDEX('TMP Paste'!$A$2:$A$1601,$AS162))</f>
        <v/>
      </c>
      <c r="K162" t="str">
        <f>IF($AS162="","",INDEX('TMP Paste'!$L$2:$L$1601,$AS162))</f>
        <v/>
      </c>
      <c r="L162" t="str">
        <f>IF($AS162="","",INDEX('TMP Paste'!$I$2:$I$1601,$AS162))</f>
        <v/>
      </c>
      <c r="M162" t="str">
        <f>IF($AS162="","",Config!$B$16)</f>
        <v/>
      </c>
      <c r="N162" t="str">
        <f t="shared" si="12"/>
        <v/>
      </c>
      <c r="O162" t="str">
        <f>IF($AS162="","",INDEX('TMP Paste'!$K$2:$K$1601,$AS162))</f>
        <v/>
      </c>
      <c r="P162" t="str">
        <f t="shared" si="13"/>
        <v/>
      </c>
      <c r="Q162" t="str">
        <f>IF($AS162="","",INDEX('TMP Paste'!$J$2:$J$1601,$AS162))</f>
        <v/>
      </c>
      <c r="R162" t="str">
        <f>IF($AS162="","",Config!$B$24)</f>
        <v/>
      </c>
      <c r="S162" t="str">
        <f ca="1">IF($AS162="","",TEXT(Config!$B$4,"yyyy-mm-dd"))</f>
        <v/>
      </c>
      <c r="T162" t="str">
        <f>IF($AS162="","",Config!$B$17)</f>
        <v/>
      </c>
      <c r="U162" t="str">
        <f>IF($AS162="","",Config!$B$18)</f>
        <v/>
      </c>
      <c r="V162" t="str">
        <f>IF($AS162="","",Config!$B$19)</f>
        <v/>
      </c>
      <c r="W162" t="str">
        <f>IF($AS162="","",INDEX('TMP Paste'!$C$2:$C$1601,$AS162))</f>
        <v/>
      </c>
      <c r="X162" t="str">
        <f>IF($AS162="","",Config!$B$29)</f>
        <v/>
      </c>
      <c r="Y162" t="str">
        <f>IF($AT162="","",INDEX(Calc!$I$2:$I$1601,$AT162)&amp;" - "&amp;INDEX(Calc!$D$2:$D$1601,$AT162)&amp;" koli")</f>
        <v/>
      </c>
      <c r="Z162" t="str">
        <f>IF($AS162="","",Config!$B$21)</f>
        <v/>
      </c>
      <c r="AA162" t="str">
        <f>IF($AS162="","",Config!$B$22)</f>
        <v/>
      </c>
      <c r="AB162" t="str">
        <f>IF($AT162="","",INDEX(Calc!$D$2:$D$1601,$AT162))</f>
        <v/>
      </c>
      <c r="AC162" t="str">
        <f>IF($AT162="","",INDEX(Calc!$G$2:$G$1601,$AT162))</f>
        <v/>
      </c>
      <c r="AD162" t="str">
        <f>IF($AS162="","",Config!$B$23)</f>
        <v/>
      </c>
      <c r="AE162" t="str">
        <f>IF($AS162="","",Config!$B$28)</f>
        <v/>
      </c>
      <c r="AF162" t="str">
        <f t="shared" si="14"/>
        <v/>
      </c>
      <c r="AG162" t="str">
        <f t="shared" si="15"/>
        <v/>
      </c>
      <c r="AH162" t="str">
        <f t="shared" si="16"/>
        <v/>
      </c>
      <c r="AI162" t="str">
        <f>IF($AG162="","",SUMIF($AG$2:$AG162,$AG162,$AH$2:$AH162))</f>
        <v/>
      </c>
      <c r="AJ162" t="str">
        <f>IF('TMP Paste'!$F162="","",IF('TMP Paste'!$B162="",$AJ161,'TMP Paste'!$B162))</f>
        <v/>
      </c>
      <c r="AK162" t="str">
        <f>IF('TMP Paste'!$F162="","",N('TMP Paste'!$G162))</f>
        <v/>
      </c>
      <c r="AL162" t="str">
        <f>IF('TMP Paste'!$F162="","",IF('TMP Paste'!$M162="",$AL161,'TMP Paste'!$M162))</f>
        <v/>
      </c>
      <c r="AM162" t="str">
        <f>IF('TMP Paste'!$F162="","",IF('TMP Paste'!$N162="",$AM161,'TMP Paste'!$N162))</f>
        <v/>
      </c>
      <c r="AN162" t="str">
        <f>IF('TMP Paste'!$F162="","",IF('TMP Paste'!$O162="",$AN161,'TMP Paste'!$O162))</f>
        <v/>
      </c>
      <c r="AO162" t="str">
        <f>IF('TMP Paste'!$F162="","",IF('TMP Paste'!$P162="",$AO161,'TMP Paste'!$P162))</f>
        <v/>
      </c>
      <c r="AP162" t="str">
        <f t="shared" si="17"/>
        <v/>
      </c>
      <c r="AQ162" t="str">
        <f>IF($AS162="","",TRIM(IF(COUNTIFS(Calc!$B$2:$B$1601,ROW()-1,Calc!$C$2:$C$1601,"&lt;1")&gt;0,"Ada PO tanpa Koli - cek TMP. ","")&amp;IF(OR($AU162="",$AU162&lt;=0),"Volume kosong/0 - dimensi dikosongkan. ","")&amp;IF(AND($AU162&lt;&gt;"",$AU162&gt;=1000000),"Volume &gt;= 1.000.000 cm3 (di luar aturan) - dimensi dikosongkan. ","")&amp;IF(LEN($R162)&gt;500,"R &gt; 500 karakter.","")))</f>
        <v/>
      </c>
      <c r="AS162" t="str">
        <f>IFERROR(MATCH(ROW()-1,Calc!$J$2:$J$1601,0),"")</f>
        <v/>
      </c>
      <c r="AT162" t="str">
        <f>IFERROR(MATCH(ROW()-1,Calc!$K$2:$K$1601,0),"")</f>
        <v/>
      </c>
      <c r="AU162" t="str">
        <f>IF($AS162="","",IFERROR(INDEX('TMP Paste'!$D$2:$D$1601,$AS162)*1000000/$AB162,""))</f>
        <v/>
      </c>
    </row>
    <row r="163" spans="1:47">
      <c r="A163" t="str">
        <f>IF($AS163="","",INDEX('TMP Paste'!$B$2:$B$1601,$AS163))</f>
        <v/>
      </c>
      <c r="B163" t="str">
        <f>IF($AS163="","",Config!$B$14)</f>
        <v/>
      </c>
      <c r="C163" t="str">
        <f>IF($AS163="","",Config!$B$15)</f>
        <v/>
      </c>
      <c r="D163" t="str">
        <f>IF($AS163="","",INDEX('TMP Paste'!$B$2:$B$1601,$AS163))</f>
        <v/>
      </c>
      <c r="E163" t="str">
        <f>IF($AS163="","",Config!$B$27)</f>
        <v/>
      </c>
      <c r="F163" t="str">
        <f>IF($AS163="","",Config!$B$9)</f>
        <v/>
      </c>
      <c r="G163" t="str">
        <f>IF($AS163="","",Config!$B$10)</f>
        <v/>
      </c>
      <c r="H163" t="str">
        <f>IF($AS163="","",Config!$B$11)</f>
        <v/>
      </c>
      <c r="I163" t="str">
        <f>IF($AS163="","",Config!$B$16)</f>
        <v/>
      </c>
      <c r="J163" t="str">
        <f>IF($AS163="","",INDEX('TMP Paste'!$A$2:$A$1601,$AS163))</f>
        <v/>
      </c>
      <c r="K163" t="str">
        <f>IF($AS163="","",INDEX('TMP Paste'!$L$2:$L$1601,$AS163))</f>
        <v/>
      </c>
      <c r="L163" t="str">
        <f>IF($AS163="","",INDEX('TMP Paste'!$I$2:$I$1601,$AS163))</f>
        <v/>
      </c>
      <c r="M163" t="str">
        <f>IF($AS163="","",Config!$B$16)</f>
        <v/>
      </c>
      <c r="N163" t="str">
        <f t="shared" si="12"/>
        <v/>
      </c>
      <c r="O163" t="str">
        <f>IF($AS163="","",INDEX('TMP Paste'!$K$2:$K$1601,$AS163))</f>
        <v/>
      </c>
      <c r="P163" t="str">
        <f t="shared" si="13"/>
        <v/>
      </c>
      <c r="Q163" t="str">
        <f>IF($AS163="","",INDEX('TMP Paste'!$J$2:$J$1601,$AS163))</f>
        <v/>
      </c>
      <c r="R163" t="str">
        <f>IF($AS163="","",Config!$B$24)</f>
        <v/>
      </c>
      <c r="S163" t="str">
        <f ca="1">IF($AS163="","",TEXT(Config!$B$4,"yyyy-mm-dd"))</f>
        <v/>
      </c>
      <c r="T163" t="str">
        <f>IF($AS163="","",Config!$B$17)</f>
        <v/>
      </c>
      <c r="U163" t="str">
        <f>IF($AS163="","",Config!$B$18)</f>
        <v/>
      </c>
      <c r="V163" t="str">
        <f>IF($AS163="","",Config!$B$19)</f>
        <v/>
      </c>
      <c r="W163" t="str">
        <f>IF($AS163="","",INDEX('TMP Paste'!$C$2:$C$1601,$AS163))</f>
        <v/>
      </c>
      <c r="X163" t="str">
        <f>IF($AS163="","",Config!$B$29)</f>
        <v/>
      </c>
      <c r="Y163" t="str">
        <f>IF($AT163="","",INDEX(Calc!$I$2:$I$1601,$AT163)&amp;" - "&amp;INDEX(Calc!$D$2:$D$1601,$AT163)&amp;" koli")</f>
        <v/>
      </c>
      <c r="Z163" t="str">
        <f>IF($AS163="","",Config!$B$21)</f>
        <v/>
      </c>
      <c r="AA163" t="str">
        <f>IF($AS163="","",Config!$B$22)</f>
        <v/>
      </c>
      <c r="AB163" t="str">
        <f>IF($AT163="","",INDEX(Calc!$D$2:$D$1601,$AT163))</f>
        <v/>
      </c>
      <c r="AC163" t="str">
        <f>IF($AT163="","",INDEX(Calc!$G$2:$G$1601,$AT163))</f>
        <v/>
      </c>
      <c r="AD163" t="str">
        <f>IF($AS163="","",Config!$B$23)</f>
        <v/>
      </c>
      <c r="AE163" t="str">
        <f>IF($AS163="","",Config!$B$28)</f>
        <v/>
      </c>
      <c r="AF163" t="str">
        <f t="shared" si="14"/>
        <v/>
      </c>
      <c r="AG163" t="str">
        <f t="shared" si="15"/>
        <v/>
      </c>
      <c r="AH163" t="str">
        <f t="shared" si="16"/>
        <v/>
      </c>
      <c r="AI163" t="str">
        <f>IF($AG163="","",SUMIF($AG$2:$AG163,$AG163,$AH$2:$AH163))</f>
        <v/>
      </c>
      <c r="AJ163" t="str">
        <f>IF('TMP Paste'!$F163="","",IF('TMP Paste'!$B163="",$AJ162,'TMP Paste'!$B163))</f>
        <v>AWB02WL89</v>
      </c>
      <c r="AK163">
        <f>IF('TMP Paste'!$F163="","",N('TMP Paste'!$G163))</f>
        <v>0</v>
      </c>
      <c r="AL163">
        <f>IF('TMP Paste'!$F163="","",IF('TMP Paste'!$M163="",$AL162,'TMP Paste'!$M163))</f>
        <v>1</v>
      </c>
      <c r="AM163" t="str">
        <f>IF('TMP Paste'!$F163="","",IF('TMP Paste'!$N163="",$AM162,'TMP Paste'!$N163))</f>
        <v/>
      </c>
      <c r="AN163" t="str">
        <f>IF('TMP Paste'!$F163="","",IF('TMP Paste'!$O163="",$AN162,'TMP Paste'!$O163))</f>
        <v/>
      </c>
      <c r="AO163" t="str">
        <f>IF('TMP Paste'!$F163="","",IF('TMP Paste'!$P163="",$AO162,'TMP Paste'!$P163))</f>
        <v/>
      </c>
      <c r="AP163" t="str">
        <f t="shared" si="17"/>
        <v/>
      </c>
      <c r="AQ163" t="str">
        <f>IF($AS163="","",TRIM(IF(COUNTIFS(Calc!$B$2:$B$1601,ROW()-1,Calc!$C$2:$C$1601,"&lt;1")&gt;0,"Ada PO tanpa Koli - cek TMP. ","")&amp;IF(OR($AU163="",$AU163&lt;=0),"Volume kosong/0 - dimensi dikosongkan. ","")&amp;IF(AND($AU163&lt;&gt;"",$AU163&gt;=1000000),"Volume &gt;= 1.000.000 cm3 (di luar aturan) - dimensi dikosongkan. ","")&amp;IF(LEN($R163)&gt;500,"R &gt; 500 karakter.","")))</f>
        <v/>
      </c>
      <c r="AS163" t="str">
        <f>IFERROR(MATCH(ROW()-1,Calc!$J$2:$J$1601,0),"")</f>
        <v/>
      </c>
      <c r="AT163" t="str">
        <f>IFERROR(MATCH(ROW()-1,Calc!$K$2:$K$1601,0),"")</f>
        <v/>
      </c>
      <c r="AU163" t="str">
        <f>IF($AS163="","",IFERROR(INDEX('TMP Paste'!$D$2:$D$1601,$AS163)*1000000/$AB163,""))</f>
        <v/>
      </c>
    </row>
    <row r="164" spans="1:47">
      <c r="A164" t="str">
        <f>IF($AS164="","",INDEX('TMP Paste'!$B$2:$B$1601,$AS164))</f>
        <v/>
      </c>
      <c r="B164" t="str">
        <f>IF($AS164="","",Config!$B$14)</f>
        <v/>
      </c>
      <c r="C164" t="str">
        <f>IF($AS164="","",Config!$B$15)</f>
        <v/>
      </c>
      <c r="D164" t="str">
        <f>IF($AS164="","",INDEX('TMP Paste'!$B$2:$B$1601,$AS164))</f>
        <v/>
      </c>
      <c r="E164" t="str">
        <f>IF($AS164="","",Config!$B$27)</f>
        <v/>
      </c>
      <c r="F164" t="str">
        <f>IF($AS164="","",Config!$B$9)</f>
        <v/>
      </c>
      <c r="G164" t="str">
        <f>IF($AS164="","",Config!$B$10)</f>
        <v/>
      </c>
      <c r="H164" t="str">
        <f>IF($AS164="","",Config!$B$11)</f>
        <v/>
      </c>
      <c r="I164" t="str">
        <f>IF($AS164="","",Config!$B$16)</f>
        <v/>
      </c>
      <c r="J164" t="str">
        <f>IF($AS164="","",INDEX('TMP Paste'!$A$2:$A$1601,$AS164))</f>
        <v/>
      </c>
      <c r="K164" t="str">
        <f>IF($AS164="","",INDEX('TMP Paste'!$L$2:$L$1601,$AS164))</f>
        <v/>
      </c>
      <c r="L164" t="str">
        <f>IF($AS164="","",INDEX('TMP Paste'!$I$2:$I$1601,$AS164))</f>
        <v/>
      </c>
      <c r="M164" t="str">
        <f>IF($AS164="","",Config!$B$16)</f>
        <v/>
      </c>
      <c r="N164" t="str">
        <f t="shared" si="12"/>
        <v/>
      </c>
      <c r="O164" t="str">
        <f>IF($AS164="","",INDEX('TMP Paste'!$K$2:$K$1601,$AS164))</f>
        <v/>
      </c>
      <c r="P164" t="str">
        <f t="shared" si="13"/>
        <v/>
      </c>
      <c r="Q164" t="str">
        <f>IF($AS164="","",INDEX('TMP Paste'!$J$2:$J$1601,$AS164))</f>
        <v/>
      </c>
      <c r="R164" t="str">
        <f>IF($AS164="","",Config!$B$24)</f>
        <v/>
      </c>
      <c r="S164" t="str">
        <f ca="1">IF($AS164="","",TEXT(Config!$B$4,"yyyy-mm-dd"))</f>
        <v/>
      </c>
      <c r="T164" t="str">
        <f>IF($AS164="","",Config!$B$17)</f>
        <v/>
      </c>
      <c r="U164" t="str">
        <f>IF($AS164="","",Config!$B$18)</f>
        <v/>
      </c>
      <c r="V164" t="str">
        <f>IF($AS164="","",Config!$B$19)</f>
        <v/>
      </c>
      <c r="W164" t="str">
        <f>IF($AS164="","",INDEX('TMP Paste'!$C$2:$C$1601,$AS164))</f>
        <v/>
      </c>
      <c r="X164" t="str">
        <f>IF($AS164="","",Config!$B$29)</f>
        <v/>
      </c>
      <c r="Y164" t="str">
        <f>IF($AT164="","",INDEX(Calc!$I$2:$I$1601,$AT164)&amp;" - "&amp;INDEX(Calc!$D$2:$D$1601,$AT164)&amp;" koli")</f>
        <v/>
      </c>
      <c r="Z164" t="str">
        <f>IF($AS164="","",Config!$B$21)</f>
        <v/>
      </c>
      <c r="AA164" t="str">
        <f>IF($AS164="","",Config!$B$22)</f>
        <v/>
      </c>
      <c r="AB164" t="str">
        <f>IF($AT164="","",INDEX(Calc!$D$2:$D$1601,$AT164))</f>
        <v/>
      </c>
      <c r="AC164" t="str">
        <f>IF($AT164="","",INDEX(Calc!$G$2:$G$1601,$AT164))</f>
        <v/>
      </c>
      <c r="AD164" t="str">
        <f>IF($AS164="","",Config!$B$23)</f>
        <v/>
      </c>
      <c r="AE164" t="str">
        <f>IF($AS164="","",Config!$B$28)</f>
        <v/>
      </c>
      <c r="AF164" t="str">
        <f t="shared" si="14"/>
        <v/>
      </c>
      <c r="AG164" t="str">
        <f t="shared" si="15"/>
        <v/>
      </c>
      <c r="AH164" t="str">
        <f t="shared" si="16"/>
        <v/>
      </c>
      <c r="AI164" t="str">
        <f>IF($AG164="","",SUMIF($AG$2:$AG164,$AG164,$AH$2:$AH164))</f>
        <v/>
      </c>
      <c r="AJ164" t="str">
        <f>IF('TMP Paste'!$F164="","",IF('TMP Paste'!$B164="",$AJ163,'TMP Paste'!$B164))</f>
        <v/>
      </c>
      <c r="AK164" t="str">
        <f>IF('TMP Paste'!$F164="","",N('TMP Paste'!$G164))</f>
        <v/>
      </c>
      <c r="AL164" t="str">
        <f>IF('TMP Paste'!$F164="","",IF('TMP Paste'!$M164="",$AL163,'TMP Paste'!$M164))</f>
        <v/>
      </c>
      <c r="AM164" t="str">
        <f>IF('TMP Paste'!$F164="","",IF('TMP Paste'!$N164="",$AM163,'TMP Paste'!$N164))</f>
        <v/>
      </c>
      <c r="AN164" t="str">
        <f>IF('TMP Paste'!$F164="","",IF('TMP Paste'!$O164="",$AN163,'TMP Paste'!$O164))</f>
        <v/>
      </c>
      <c r="AO164" t="str">
        <f>IF('TMP Paste'!$F164="","",IF('TMP Paste'!$P164="",$AO163,'TMP Paste'!$P164))</f>
        <v/>
      </c>
      <c r="AP164" t="str">
        <f t="shared" si="17"/>
        <v/>
      </c>
      <c r="AQ164" t="str">
        <f>IF($AS164="","",TRIM(IF(COUNTIFS(Calc!$B$2:$B$1601,ROW()-1,Calc!$C$2:$C$1601,"&lt;1")&gt;0,"Ada PO tanpa Koli - cek TMP. ","")&amp;IF(OR($AU164="",$AU164&lt;=0),"Volume kosong/0 - dimensi dikosongkan. ","")&amp;IF(AND($AU164&lt;&gt;"",$AU164&gt;=1000000),"Volume &gt;= 1.000.000 cm3 (di luar aturan) - dimensi dikosongkan. ","")&amp;IF(LEN($R164)&gt;500,"R &gt; 500 karakter.","")))</f>
        <v/>
      </c>
      <c r="AS164" t="str">
        <f>IFERROR(MATCH(ROW()-1,Calc!$J$2:$J$1601,0),"")</f>
        <v/>
      </c>
      <c r="AT164" t="str">
        <f>IFERROR(MATCH(ROW()-1,Calc!$K$2:$K$1601,0),"")</f>
        <v/>
      </c>
      <c r="AU164" t="str">
        <f>IF($AS164="","",IFERROR(INDEX('TMP Paste'!$D$2:$D$1601,$AS164)*1000000/$AB164,""))</f>
        <v/>
      </c>
    </row>
    <row r="165" spans="1:47">
      <c r="A165" t="str">
        <f>IF($AS165="","",INDEX('TMP Paste'!$B$2:$B$1601,$AS165))</f>
        <v/>
      </c>
      <c r="B165" t="str">
        <f>IF($AS165="","",Config!$B$14)</f>
        <v/>
      </c>
      <c r="C165" t="str">
        <f>IF($AS165="","",Config!$B$15)</f>
        <v/>
      </c>
      <c r="D165" t="str">
        <f>IF($AS165="","",INDEX('TMP Paste'!$B$2:$B$1601,$AS165))</f>
        <v/>
      </c>
      <c r="E165" t="str">
        <f>IF($AS165="","",Config!$B$27)</f>
        <v/>
      </c>
      <c r="F165" t="str">
        <f>IF($AS165="","",Config!$B$9)</f>
        <v/>
      </c>
      <c r="G165" t="str">
        <f>IF($AS165="","",Config!$B$10)</f>
        <v/>
      </c>
      <c r="H165" t="str">
        <f>IF($AS165="","",Config!$B$11)</f>
        <v/>
      </c>
      <c r="I165" t="str">
        <f>IF($AS165="","",Config!$B$16)</f>
        <v/>
      </c>
      <c r="J165" t="str">
        <f>IF($AS165="","",INDEX('TMP Paste'!$A$2:$A$1601,$AS165))</f>
        <v/>
      </c>
      <c r="K165" t="str">
        <f>IF($AS165="","",INDEX('TMP Paste'!$L$2:$L$1601,$AS165))</f>
        <v/>
      </c>
      <c r="L165" t="str">
        <f>IF($AS165="","",INDEX('TMP Paste'!$I$2:$I$1601,$AS165))</f>
        <v/>
      </c>
      <c r="M165" t="str">
        <f>IF($AS165="","",Config!$B$16)</f>
        <v/>
      </c>
      <c r="N165" t="str">
        <f t="shared" si="12"/>
        <v/>
      </c>
      <c r="O165" t="str">
        <f>IF($AS165="","",INDEX('TMP Paste'!$K$2:$K$1601,$AS165))</f>
        <v/>
      </c>
      <c r="P165" t="str">
        <f t="shared" si="13"/>
        <v/>
      </c>
      <c r="Q165" t="str">
        <f>IF($AS165="","",INDEX('TMP Paste'!$J$2:$J$1601,$AS165))</f>
        <v/>
      </c>
      <c r="R165" t="str">
        <f>IF($AS165="","",Config!$B$24)</f>
        <v/>
      </c>
      <c r="S165" t="str">
        <f ca="1">IF($AS165="","",TEXT(Config!$B$4,"yyyy-mm-dd"))</f>
        <v/>
      </c>
      <c r="T165" t="str">
        <f>IF($AS165="","",Config!$B$17)</f>
        <v/>
      </c>
      <c r="U165" t="str">
        <f>IF($AS165="","",Config!$B$18)</f>
        <v/>
      </c>
      <c r="V165" t="str">
        <f>IF($AS165="","",Config!$B$19)</f>
        <v/>
      </c>
      <c r="W165" t="str">
        <f>IF($AS165="","",INDEX('TMP Paste'!$C$2:$C$1601,$AS165))</f>
        <v/>
      </c>
      <c r="X165" t="str">
        <f>IF($AS165="","",Config!$B$29)</f>
        <v/>
      </c>
      <c r="Y165" t="str">
        <f>IF($AT165="","",INDEX(Calc!$I$2:$I$1601,$AT165)&amp;" - "&amp;INDEX(Calc!$D$2:$D$1601,$AT165)&amp;" koli")</f>
        <v/>
      </c>
      <c r="Z165" t="str">
        <f>IF($AS165="","",Config!$B$21)</f>
        <v/>
      </c>
      <c r="AA165" t="str">
        <f>IF($AS165="","",Config!$B$22)</f>
        <v/>
      </c>
      <c r="AB165" t="str">
        <f>IF($AT165="","",INDEX(Calc!$D$2:$D$1601,$AT165))</f>
        <v/>
      </c>
      <c r="AC165" t="str">
        <f>IF($AT165="","",INDEX(Calc!$G$2:$G$1601,$AT165))</f>
        <v/>
      </c>
      <c r="AD165" t="str">
        <f>IF($AS165="","",Config!$B$23)</f>
        <v/>
      </c>
      <c r="AE165" t="str">
        <f>IF($AS165="","",Config!$B$28)</f>
        <v/>
      </c>
      <c r="AF165" t="str">
        <f t="shared" si="14"/>
        <v/>
      </c>
      <c r="AG165" t="str">
        <f t="shared" si="15"/>
        <v/>
      </c>
      <c r="AH165" t="str">
        <f t="shared" si="16"/>
        <v/>
      </c>
      <c r="AI165" t="str">
        <f>IF($AG165="","",SUMIF($AG$2:$AG165,$AG165,$AH$2:$AH165))</f>
        <v/>
      </c>
      <c r="AJ165" t="str">
        <f>IF('TMP Paste'!$F165="","",IF('TMP Paste'!$B165="",$AJ164,'TMP Paste'!$B165))</f>
        <v>AWB02WM7S</v>
      </c>
      <c r="AK165">
        <f>IF('TMP Paste'!$F165="","",N('TMP Paste'!$G165))</f>
        <v>0</v>
      </c>
      <c r="AL165">
        <f>IF('TMP Paste'!$F165="","",IF('TMP Paste'!$M165="",$AL164,'TMP Paste'!$M165))</f>
        <v>1</v>
      </c>
      <c r="AM165" t="str">
        <f>IF('TMP Paste'!$F165="","",IF('TMP Paste'!$N165="",$AM164,'TMP Paste'!$N165))</f>
        <v/>
      </c>
      <c r="AN165" t="str">
        <f>IF('TMP Paste'!$F165="","",IF('TMP Paste'!$O165="",$AN164,'TMP Paste'!$O165))</f>
        <v/>
      </c>
      <c r="AO165" t="str">
        <f>IF('TMP Paste'!$F165="","",IF('TMP Paste'!$P165="",$AO164,'TMP Paste'!$P165))</f>
        <v/>
      </c>
      <c r="AP165" t="str">
        <f t="shared" si="17"/>
        <v/>
      </c>
      <c r="AQ165" t="str">
        <f>IF($AS165="","",TRIM(IF(COUNTIFS(Calc!$B$2:$B$1601,ROW()-1,Calc!$C$2:$C$1601,"&lt;1")&gt;0,"Ada PO tanpa Koli - cek TMP. ","")&amp;IF(OR($AU165="",$AU165&lt;=0),"Volume kosong/0 - dimensi dikosongkan. ","")&amp;IF(AND($AU165&lt;&gt;"",$AU165&gt;=1000000),"Volume &gt;= 1.000.000 cm3 (di luar aturan) - dimensi dikosongkan. ","")&amp;IF(LEN($R165)&gt;500,"R &gt; 500 karakter.","")))</f>
        <v/>
      </c>
      <c r="AS165" t="str">
        <f>IFERROR(MATCH(ROW()-1,Calc!$J$2:$J$1601,0),"")</f>
        <v/>
      </c>
      <c r="AT165" t="str">
        <f>IFERROR(MATCH(ROW()-1,Calc!$K$2:$K$1601,0),"")</f>
        <v/>
      </c>
      <c r="AU165" t="str">
        <f>IF($AS165="","",IFERROR(INDEX('TMP Paste'!$D$2:$D$1601,$AS165)*1000000/$AB165,""))</f>
        <v/>
      </c>
    </row>
    <row r="166" spans="1:47">
      <c r="A166" t="str">
        <f>IF($AS166="","",INDEX('TMP Paste'!$B$2:$B$1601,$AS166))</f>
        <v/>
      </c>
      <c r="B166" t="str">
        <f>IF($AS166="","",Config!$B$14)</f>
        <v/>
      </c>
      <c r="C166" t="str">
        <f>IF($AS166="","",Config!$B$15)</f>
        <v/>
      </c>
      <c r="D166" t="str">
        <f>IF($AS166="","",INDEX('TMP Paste'!$B$2:$B$1601,$AS166))</f>
        <v/>
      </c>
      <c r="E166" t="str">
        <f>IF($AS166="","",Config!$B$27)</f>
        <v/>
      </c>
      <c r="F166" t="str">
        <f>IF($AS166="","",Config!$B$9)</f>
        <v/>
      </c>
      <c r="G166" t="str">
        <f>IF($AS166="","",Config!$B$10)</f>
        <v/>
      </c>
      <c r="H166" t="str">
        <f>IF($AS166="","",Config!$B$11)</f>
        <v/>
      </c>
      <c r="I166" t="str">
        <f>IF($AS166="","",Config!$B$16)</f>
        <v/>
      </c>
      <c r="J166" t="str">
        <f>IF($AS166="","",INDEX('TMP Paste'!$A$2:$A$1601,$AS166))</f>
        <v/>
      </c>
      <c r="K166" t="str">
        <f>IF($AS166="","",INDEX('TMP Paste'!$L$2:$L$1601,$AS166))</f>
        <v/>
      </c>
      <c r="L166" t="str">
        <f>IF($AS166="","",INDEX('TMP Paste'!$I$2:$I$1601,$AS166))</f>
        <v/>
      </c>
      <c r="M166" t="str">
        <f>IF($AS166="","",Config!$B$16)</f>
        <v/>
      </c>
      <c r="N166" t="str">
        <f t="shared" si="12"/>
        <v/>
      </c>
      <c r="O166" t="str">
        <f>IF($AS166="","",INDEX('TMP Paste'!$K$2:$K$1601,$AS166))</f>
        <v/>
      </c>
      <c r="P166" t="str">
        <f t="shared" si="13"/>
        <v/>
      </c>
      <c r="Q166" t="str">
        <f>IF($AS166="","",INDEX('TMP Paste'!$J$2:$J$1601,$AS166))</f>
        <v/>
      </c>
      <c r="R166" t="str">
        <f>IF($AS166="","",Config!$B$24)</f>
        <v/>
      </c>
      <c r="S166" t="str">
        <f ca="1">IF($AS166="","",TEXT(Config!$B$4,"yyyy-mm-dd"))</f>
        <v/>
      </c>
      <c r="T166" t="str">
        <f>IF($AS166="","",Config!$B$17)</f>
        <v/>
      </c>
      <c r="U166" t="str">
        <f>IF($AS166="","",Config!$B$18)</f>
        <v/>
      </c>
      <c r="V166" t="str">
        <f>IF($AS166="","",Config!$B$19)</f>
        <v/>
      </c>
      <c r="W166" t="str">
        <f>IF($AS166="","",INDEX('TMP Paste'!$C$2:$C$1601,$AS166))</f>
        <v/>
      </c>
      <c r="X166" t="str">
        <f>IF($AS166="","",Config!$B$29)</f>
        <v/>
      </c>
      <c r="Y166" t="str">
        <f>IF($AT166="","",INDEX(Calc!$I$2:$I$1601,$AT166)&amp;" - "&amp;INDEX(Calc!$D$2:$D$1601,$AT166)&amp;" koli")</f>
        <v/>
      </c>
      <c r="Z166" t="str">
        <f>IF($AS166="","",Config!$B$21)</f>
        <v/>
      </c>
      <c r="AA166" t="str">
        <f>IF($AS166="","",Config!$B$22)</f>
        <v/>
      </c>
      <c r="AB166" t="str">
        <f>IF($AT166="","",INDEX(Calc!$D$2:$D$1601,$AT166))</f>
        <v/>
      </c>
      <c r="AC166" t="str">
        <f>IF($AT166="","",INDEX(Calc!$G$2:$G$1601,$AT166))</f>
        <v/>
      </c>
      <c r="AD166" t="str">
        <f>IF($AS166="","",Config!$B$23)</f>
        <v/>
      </c>
      <c r="AE166" t="str">
        <f>IF($AS166="","",Config!$B$28)</f>
        <v/>
      </c>
      <c r="AF166" t="str">
        <f t="shared" si="14"/>
        <v/>
      </c>
      <c r="AG166" t="str">
        <f t="shared" si="15"/>
        <v/>
      </c>
      <c r="AH166" t="str">
        <f t="shared" si="16"/>
        <v/>
      </c>
      <c r="AI166" t="str">
        <f>IF($AG166="","",SUMIF($AG$2:$AG166,$AG166,$AH$2:$AH166))</f>
        <v/>
      </c>
      <c r="AJ166" t="str">
        <f>IF('TMP Paste'!$F166="","",IF('TMP Paste'!$B166="",$AJ165,'TMP Paste'!$B166))</f>
        <v>AWB02WJYG</v>
      </c>
      <c r="AK166">
        <f>IF('TMP Paste'!$F166="","",N('TMP Paste'!$G166))</f>
        <v>0</v>
      </c>
      <c r="AL166">
        <f>IF('TMP Paste'!$F166="","",IF('TMP Paste'!$M166="",$AL165,'TMP Paste'!$M166))</f>
        <v>1</v>
      </c>
      <c r="AM166" t="str">
        <f>IF('TMP Paste'!$F166="","",IF('TMP Paste'!$N166="",$AM165,'TMP Paste'!$N166))</f>
        <v/>
      </c>
      <c r="AN166" t="str">
        <f>IF('TMP Paste'!$F166="","",IF('TMP Paste'!$O166="",$AN165,'TMP Paste'!$O166))</f>
        <v/>
      </c>
      <c r="AO166" t="str">
        <f>IF('TMP Paste'!$F166="","",IF('TMP Paste'!$P166="",$AO165,'TMP Paste'!$P166))</f>
        <v/>
      </c>
      <c r="AP166" t="str">
        <f t="shared" si="17"/>
        <v/>
      </c>
      <c r="AQ166" t="str">
        <f>IF($AS166="","",TRIM(IF(COUNTIFS(Calc!$B$2:$B$1601,ROW()-1,Calc!$C$2:$C$1601,"&lt;1")&gt;0,"Ada PO tanpa Koli - cek TMP. ","")&amp;IF(OR($AU166="",$AU166&lt;=0),"Volume kosong/0 - dimensi dikosongkan. ","")&amp;IF(AND($AU166&lt;&gt;"",$AU166&gt;=1000000),"Volume &gt;= 1.000.000 cm3 (di luar aturan) - dimensi dikosongkan. ","")&amp;IF(LEN($R166)&gt;500,"R &gt; 500 karakter.","")))</f>
        <v/>
      </c>
      <c r="AS166" t="str">
        <f>IFERROR(MATCH(ROW()-1,Calc!$J$2:$J$1601,0),"")</f>
        <v/>
      </c>
      <c r="AT166" t="str">
        <f>IFERROR(MATCH(ROW()-1,Calc!$K$2:$K$1601,0),"")</f>
        <v/>
      </c>
      <c r="AU166" t="str">
        <f>IF($AS166="","",IFERROR(INDEX('TMP Paste'!$D$2:$D$1601,$AS166)*1000000/$AB166,""))</f>
        <v/>
      </c>
    </row>
    <row r="167" spans="1:47">
      <c r="A167" t="str">
        <f>IF($AS167="","",INDEX('TMP Paste'!$B$2:$B$1601,$AS167))</f>
        <v/>
      </c>
      <c r="B167" t="str">
        <f>IF($AS167="","",Config!$B$14)</f>
        <v/>
      </c>
      <c r="C167" t="str">
        <f>IF($AS167="","",Config!$B$15)</f>
        <v/>
      </c>
      <c r="D167" t="str">
        <f>IF($AS167="","",INDEX('TMP Paste'!$B$2:$B$1601,$AS167))</f>
        <v/>
      </c>
      <c r="E167" t="str">
        <f>IF($AS167="","",Config!$B$27)</f>
        <v/>
      </c>
      <c r="F167" t="str">
        <f>IF($AS167="","",Config!$B$9)</f>
        <v/>
      </c>
      <c r="G167" t="str">
        <f>IF($AS167="","",Config!$B$10)</f>
        <v/>
      </c>
      <c r="H167" t="str">
        <f>IF($AS167="","",Config!$B$11)</f>
        <v/>
      </c>
      <c r="I167" t="str">
        <f>IF($AS167="","",Config!$B$16)</f>
        <v/>
      </c>
      <c r="J167" t="str">
        <f>IF($AS167="","",INDEX('TMP Paste'!$A$2:$A$1601,$AS167))</f>
        <v/>
      </c>
      <c r="K167" t="str">
        <f>IF($AS167="","",INDEX('TMP Paste'!$L$2:$L$1601,$AS167))</f>
        <v/>
      </c>
      <c r="L167" t="str">
        <f>IF($AS167="","",INDEX('TMP Paste'!$I$2:$I$1601,$AS167))</f>
        <v/>
      </c>
      <c r="M167" t="str">
        <f>IF($AS167="","",Config!$B$16)</f>
        <v/>
      </c>
      <c r="N167" t="str">
        <f t="shared" si="12"/>
        <v/>
      </c>
      <c r="O167" t="str">
        <f>IF($AS167="","",INDEX('TMP Paste'!$K$2:$K$1601,$AS167))</f>
        <v/>
      </c>
      <c r="P167" t="str">
        <f t="shared" si="13"/>
        <v/>
      </c>
      <c r="Q167" t="str">
        <f>IF($AS167="","",INDEX('TMP Paste'!$J$2:$J$1601,$AS167))</f>
        <v/>
      </c>
      <c r="R167" t="str">
        <f>IF($AS167="","",Config!$B$24)</f>
        <v/>
      </c>
      <c r="S167" t="str">
        <f ca="1">IF($AS167="","",TEXT(Config!$B$4,"yyyy-mm-dd"))</f>
        <v/>
      </c>
      <c r="T167" t="str">
        <f>IF($AS167="","",Config!$B$17)</f>
        <v/>
      </c>
      <c r="U167" t="str">
        <f>IF($AS167="","",Config!$B$18)</f>
        <v/>
      </c>
      <c r="V167" t="str">
        <f>IF($AS167="","",Config!$B$19)</f>
        <v/>
      </c>
      <c r="W167" t="str">
        <f>IF($AS167="","",INDEX('TMP Paste'!$C$2:$C$1601,$AS167))</f>
        <v/>
      </c>
      <c r="X167" t="str">
        <f>IF($AS167="","",Config!$B$29)</f>
        <v/>
      </c>
      <c r="Y167" t="str">
        <f>IF($AT167="","",INDEX(Calc!$I$2:$I$1601,$AT167)&amp;" - "&amp;INDEX(Calc!$D$2:$D$1601,$AT167)&amp;" koli")</f>
        <v/>
      </c>
      <c r="Z167" t="str">
        <f>IF($AS167="","",Config!$B$21)</f>
        <v/>
      </c>
      <c r="AA167" t="str">
        <f>IF($AS167="","",Config!$B$22)</f>
        <v/>
      </c>
      <c r="AB167" t="str">
        <f>IF($AT167="","",INDEX(Calc!$D$2:$D$1601,$AT167))</f>
        <v/>
      </c>
      <c r="AC167" t="str">
        <f>IF($AT167="","",INDEX(Calc!$G$2:$G$1601,$AT167))</f>
        <v/>
      </c>
      <c r="AD167" t="str">
        <f>IF($AS167="","",Config!$B$23)</f>
        <v/>
      </c>
      <c r="AE167" t="str">
        <f>IF($AS167="","",Config!$B$28)</f>
        <v/>
      </c>
      <c r="AF167" t="str">
        <f t="shared" si="14"/>
        <v/>
      </c>
      <c r="AG167" t="str">
        <f t="shared" si="15"/>
        <v/>
      </c>
      <c r="AH167" t="str">
        <f t="shared" si="16"/>
        <v/>
      </c>
      <c r="AI167" t="str">
        <f>IF($AG167="","",SUMIF($AG$2:$AG167,$AG167,$AH$2:$AH167))</f>
        <v/>
      </c>
      <c r="AJ167" t="str">
        <f>IF('TMP Paste'!$F167="","",IF('TMP Paste'!$B167="",$AJ166,'TMP Paste'!$B167))</f>
        <v>AWB02WHP7</v>
      </c>
      <c r="AK167">
        <f>IF('TMP Paste'!$F167="","",N('TMP Paste'!$G167))</f>
        <v>0</v>
      </c>
      <c r="AL167">
        <f>IF('TMP Paste'!$F167="","",IF('TMP Paste'!$M167="",$AL166,'TMP Paste'!$M167))</f>
        <v>1</v>
      </c>
      <c r="AM167" t="str">
        <f>IF('TMP Paste'!$F167="","",IF('TMP Paste'!$N167="",$AM166,'TMP Paste'!$N167))</f>
        <v/>
      </c>
      <c r="AN167" t="str">
        <f>IF('TMP Paste'!$F167="","",IF('TMP Paste'!$O167="",$AN166,'TMP Paste'!$O167))</f>
        <v/>
      </c>
      <c r="AO167" t="str">
        <f>IF('TMP Paste'!$F167="","",IF('TMP Paste'!$P167="",$AO166,'TMP Paste'!$P167))</f>
        <v/>
      </c>
      <c r="AP167" t="str">
        <f t="shared" si="17"/>
        <v/>
      </c>
      <c r="AQ167" t="str">
        <f>IF($AS167="","",TRIM(IF(COUNTIFS(Calc!$B$2:$B$1601,ROW()-1,Calc!$C$2:$C$1601,"&lt;1")&gt;0,"Ada PO tanpa Koli - cek TMP. ","")&amp;IF(OR($AU167="",$AU167&lt;=0),"Volume kosong/0 - dimensi dikosongkan. ","")&amp;IF(AND($AU167&lt;&gt;"",$AU167&gt;=1000000),"Volume &gt;= 1.000.000 cm3 (di luar aturan) - dimensi dikosongkan. ","")&amp;IF(LEN($R167)&gt;500,"R &gt; 500 karakter.","")))</f>
        <v/>
      </c>
      <c r="AS167" t="str">
        <f>IFERROR(MATCH(ROW()-1,Calc!$J$2:$J$1601,0),"")</f>
        <v/>
      </c>
      <c r="AT167" t="str">
        <f>IFERROR(MATCH(ROW()-1,Calc!$K$2:$K$1601,0),"")</f>
        <v/>
      </c>
      <c r="AU167" t="str">
        <f>IF($AS167="","",IFERROR(INDEX('TMP Paste'!$D$2:$D$1601,$AS167)*1000000/$AB167,""))</f>
        <v/>
      </c>
    </row>
    <row r="168" spans="1:47">
      <c r="A168" t="str">
        <f>IF($AS168="","",INDEX('TMP Paste'!$B$2:$B$1601,$AS168))</f>
        <v/>
      </c>
      <c r="B168" t="str">
        <f>IF($AS168="","",Config!$B$14)</f>
        <v/>
      </c>
      <c r="C168" t="str">
        <f>IF($AS168="","",Config!$B$15)</f>
        <v/>
      </c>
      <c r="D168" t="str">
        <f>IF($AS168="","",INDEX('TMP Paste'!$B$2:$B$1601,$AS168))</f>
        <v/>
      </c>
      <c r="E168" t="str">
        <f>IF($AS168="","",Config!$B$27)</f>
        <v/>
      </c>
      <c r="F168" t="str">
        <f>IF($AS168="","",Config!$B$9)</f>
        <v/>
      </c>
      <c r="G168" t="str">
        <f>IF($AS168="","",Config!$B$10)</f>
        <v/>
      </c>
      <c r="H168" t="str">
        <f>IF($AS168="","",Config!$B$11)</f>
        <v/>
      </c>
      <c r="I168" t="str">
        <f>IF($AS168="","",Config!$B$16)</f>
        <v/>
      </c>
      <c r="J168" t="str">
        <f>IF($AS168="","",INDEX('TMP Paste'!$A$2:$A$1601,$AS168))</f>
        <v/>
      </c>
      <c r="K168" t="str">
        <f>IF($AS168="","",INDEX('TMP Paste'!$L$2:$L$1601,$AS168))</f>
        <v/>
      </c>
      <c r="L168" t="str">
        <f>IF($AS168="","",INDEX('TMP Paste'!$I$2:$I$1601,$AS168))</f>
        <v/>
      </c>
      <c r="M168" t="str">
        <f>IF($AS168="","",Config!$B$16)</f>
        <v/>
      </c>
      <c r="N168" t="str">
        <f t="shared" si="12"/>
        <v/>
      </c>
      <c r="O168" t="str">
        <f>IF($AS168="","",INDEX('TMP Paste'!$K$2:$K$1601,$AS168))</f>
        <v/>
      </c>
      <c r="P168" t="str">
        <f t="shared" si="13"/>
        <v/>
      </c>
      <c r="Q168" t="str">
        <f>IF($AS168="","",INDEX('TMP Paste'!$J$2:$J$1601,$AS168))</f>
        <v/>
      </c>
      <c r="R168" t="str">
        <f>IF($AS168="","",Config!$B$24)</f>
        <v/>
      </c>
      <c r="S168" t="str">
        <f ca="1">IF($AS168="","",TEXT(Config!$B$4,"yyyy-mm-dd"))</f>
        <v/>
      </c>
      <c r="T168" t="str">
        <f>IF($AS168="","",Config!$B$17)</f>
        <v/>
      </c>
      <c r="U168" t="str">
        <f>IF($AS168="","",Config!$B$18)</f>
        <v/>
      </c>
      <c r="V168" t="str">
        <f>IF($AS168="","",Config!$B$19)</f>
        <v/>
      </c>
      <c r="W168" t="str">
        <f>IF($AS168="","",INDEX('TMP Paste'!$C$2:$C$1601,$AS168))</f>
        <v/>
      </c>
      <c r="X168" t="str">
        <f>IF($AS168="","",Config!$B$29)</f>
        <v/>
      </c>
      <c r="Y168" t="str">
        <f>IF($AT168="","",INDEX(Calc!$I$2:$I$1601,$AT168)&amp;" - "&amp;INDEX(Calc!$D$2:$D$1601,$AT168)&amp;" koli")</f>
        <v/>
      </c>
      <c r="Z168" t="str">
        <f>IF($AS168="","",Config!$B$21)</f>
        <v/>
      </c>
      <c r="AA168" t="str">
        <f>IF($AS168="","",Config!$B$22)</f>
        <v/>
      </c>
      <c r="AB168" t="str">
        <f>IF($AT168="","",INDEX(Calc!$D$2:$D$1601,$AT168))</f>
        <v/>
      </c>
      <c r="AC168" t="str">
        <f>IF($AT168="","",INDEX(Calc!$G$2:$G$1601,$AT168))</f>
        <v/>
      </c>
      <c r="AD168" t="str">
        <f>IF($AS168="","",Config!$B$23)</f>
        <v/>
      </c>
      <c r="AE168" t="str">
        <f>IF($AS168="","",Config!$B$28)</f>
        <v/>
      </c>
      <c r="AF168" t="str">
        <f t="shared" si="14"/>
        <v/>
      </c>
      <c r="AG168" t="str">
        <f t="shared" si="15"/>
        <v/>
      </c>
      <c r="AH168" t="str">
        <f t="shared" si="16"/>
        <v/>
      </c>
      <c r="AI168" t="str">
        <f>IF($AG168="","",SUMIF($AG$2:$AG168,$AG168,$AH$2:$AH168))</f>
        <v/>
      </c>
      <c r="AJ168" t="str">
        <f>IF('TMP Paste'!$F168="","",IF('TMP Paste'!$B168="",$AJ167,'TMP Paste'!$B168))</f>
        <v/>
      </c>
      <c r="AK168" t="str">
        <f>IF('TMP Paste'!$F168="","",N('TMP Paste'!$G168))</f>
        <v/>
      </c>
      <c r="AL168" t="str">
        <f>IF('TMP Paste'!$F168="","",IF('TMP Paste'!$M168="",$AL167,'TMP Paste'!$M168))</f>
        <v/>
      </c>
      <c r="AM168" t="str">
        <f>IF('TMP Paste'!$F168="","",IF('TMP Paste'!$N168="",$AM167,'TMP Paste'!$N168))</f>
        <v/>
      </c>
      <c r="AN168" t="str">
        <f>IF('TMP Paste'!$F168="","",IF('TMP Paste'!$O168="",$AN167,'TMP Paste'!$O168))</f>
        <v/>
      </c>
      <c r="AO168" t="str">
        <f>IF('TMP Paste'!$F168="","",IF('TMP Paste'!$P168="",$AO167,'TMP Paste'!$P168))</f>
        <v/>
      </c>
      <c r="AP168" t="str">
        <f t="shared" si="17"/>
        <v/>
      </c>
      <c r="AQ168" t="str">
        <f>IF($AS168="","",TRIM(IF(COUNTIFS(Calc!$B$2:$B$1601,ROW()-1,Calc!$C$2:$C$1601,"&lt;1")&gt;0,"Ada PO tanpa Koli - cek TMP. ","")&amp;IF(OR($AU168="",$AU168&lt;=0),"Volume kosong/0 - dimensi dikosongkan. ","")&amp;IF(AND($AU168&lt;&gt;"",$AU168&gt;=1000000),"Volume &gt;= 1.000.000 cm3 (di luar aturan) - dimensi dikosongkan. ","")&amp;IF(LEN($R168)&gt;500,"R &gt; 500 karakter.","")))</f>
        <v/>
      </c>
      <c r="AS168" t="str">
        <f>IFERROR(MATCH(ROW()-1,Calc!$J$2:$J$1601,0),"")</f>
        <v/>
      </c>
      <c r="AT168" t="str">
        <f>IFERROR(MATCH(ROW()-1,Calc!$K$2:$K$1601,0),"")</f>
        <v/>
      </c>
      <c r="AU168" t="str">
        <f>IF($AS168="","",IFERROR(INDEX('TMP Paste'!$D$2:$D$1601,$AS168)*1000000/$AB168,""))</f>
        <v/>
      </c>
    </row>
    <row r="169" spans="1:47">
      <c r="A169" t="str">
        <f>IF($AS169="","",INDEX('TMP Paste'!$B$2:$B$1601,$AS169))</f>
        <v/>
      </c>
      <c r="B169" t="str">
        <f>IF($AS169="","",Config!$B$14)</f>
        <v/>
      </c>
      <c r="C169" t="str">
        <f>IF($AS169="","",Config!$B$15)</f>
        <v/>
      </c>
      <c r="D169" t="str">
        <f>IF($AS169="","",INDEX('TMP Paste'!$B$2:$B$1601,$AS169))</f>
        <v/>
      </c>
      <c r="E169" t="str">
        <f>IF($AS169="","",Config!$B$27)</f>
        <v/>
      </c>
      <c r="F169" t="str">
        <f>IF($AS169="","",Config!$B$9)</f>
        <v/>
      </c>
      <c r="G169" t="str">
        <f>IF($AS169="","",Config!$B$10)</f>
        <v/>
      </c>
      <c r="H169" t="str">
        <f>IF($AS169="","",Config!$B$11)</f>
        <v/>
      </c>
      <c r="I169" t="str">
        <f>IF($AS169="","",Config!$B$16)</f>
        <v/>
      </c>
      <c r="J169" t="str">
        <f>IF($AS169="","",INDEX('TMP Paste'!$A$2:$A$1601,$AS169))</f>
        <v/>
      </c>
      <c r="K169" t="str">
        <f>IF($AS169="","",INDEX('TMP Paste'!$L$2:$L$1601,$AS169))</f>
        <v/>
      </c>
      <c r="L169" t="str">
        <f>IF($AS169="","",INDEX('TMP Paste'!$I$2:$I$1601,$AS169))</f>
        <v/>
      </c>
      <c r="M169" t="str">
        <f>IF($AS169="","",Config!$B$16)</f>
        <v/>
      </c>
      <c r="N169" t="str">
        <f t="shared" si="12"/>
        <v/>
      </c>
      <c r="O169" t="str">
        <f>IF($AS169="","",INDEX('TMP Paste'!$K$2:$K$1601,$AS169))</f>
        <v/>
      </c>
      <c r="P169" t="str">
        <f t="shared" si="13"/>
        <v/>
      </c>
      <c r="Q169" t="str">
        <f>IF($AS169="","",INDEX('TMP Paste'!$J$2:$J$1601,$AS169))</f>
        <v/>
      </c>
      <c r="R169" t="str">
        <f>IF($AS169="","",Config!$B$24)</f>
        <v/>
      </c>
      <c r="S169" t="str">
        <f ca="1">IF($AS169="","",TEXT(Config!$B$4,"yyyy-mm-dd"))</f>
        <v/>
      </c>
      <c r="T169" t="str">
        <f>IF($AS169="","",Config!$B$17)</f>
        <v/>
      </c>
      <c r="U169" t="str">
        <f>IF($AS169="","",Config!$B$18)</f>
        <v/>
      </c>
      <c r="V169" t="str">
        <f>IF($AS169="","",Config!$B$19)</f>
        <v/>
      </c>
      <c r="W169" t="str">
        <f>IF($AS169="","",INDEX('TMP Paste'!$C$2:$C$1601,$AS169))</f>
        <v/>
      </c>
      <c r="X169" t="str">
        <f>IF($AS169="","",Config!$B$29)</f>
        <v/>
      </c>
      <c r="Y169" t="str">
        <f>IF($AT169="","",INDEX(Calc!$I$2:$I$1601,$AT169)&amp;" - "&amp;INDEX(Calc!$D$2:$D$1601,$AT169)&amp;" koli")</f>
        <v/>
      </c>
      <c r="Z169" t="str">
        <f>IF($AS169="","",Config!$B$21)</f>
        <v/>
      </c>
      <c r="AA169" t="str">
        <f>IF($AS169="","",Config!$B$22)</f>
        <v/>
      </c>
      <c r="AB169" t="str">
        <f>IF($AT169="","",INDEX(Calc!$D$2:$D$1601,$AT169))</f>
        <v/>
      </c>
      <c r="AC169" t="str">
        <f>IF($AT169="","",INDEX(Calc!$G$2:$G$1601,$AT169))</f>
        <v/>
      </c>
      <c r="AD169" t="str">
        <f>IF($AS169="","",Config!$B$23)</f>
        <v/>
      </c>
      <c r="AE169" t="str">
        <f>IF($AS169="","",Config!$B$28)</f>
        <v/>
      </c>
      <c r="AF169" t="str">
        <f t="shared" si="14"/>
        <v/>
      </c>
      <c r="AG169" t="str">
        <f t="shared" si="15"/>
        <v/>
      </c>
      <c r="AH169" t="str">
        <f t="shared" si="16"/>
        <v/>
      </c>
      <c r="AI169" t="str">
        <f>IF($AG169="","",SUMIF($AG$2:$AG169,$AG169,$AH$2:$AH169))</f>
        <v/>
      </c>
      <c r="AJ169" t="str">
        <f>IF('TMP Paste'!$F169="","",IF('TMP Paste'!$B169="",$AJ168,'TMP Paste'!$B169))</f>
        <v/>
      </c>
      <c r="AK169" t="str">
        <f>IF('TMP Paste'!$F169="","",N('TMP Paste'!$G169))</f>
        <v/>
      </c>
      <c r="AL169" t="str">
        <f>IF('TMP Paste'!$F169="","",IF('TMP Paste'!$M169="",$AL168,'TMP Paste'!$M169))</f>
        <v/>
      </c>
      <c r="AM169" t="str">
        <f>IF('TMP Paste'!$F169="","",IF('TMP Paste'!$N169="",$AM168,'TMP Paste'!$N169))</f>
        <v/>
      </c>
      <c r="AN169" t="str">
        <f>IF('TMP Paste'!$F169="","",IF('TMP Paste'!$O169="",$AN168,'TMP Paste'!$O169))</f>
        <v/>
      </c>
      <c r="AO169" t="str">
        <f>IF('TMP Paste'!$F169="","",IF('TMP Paste'!$P169="",$AO168,'TMP Paste'!$P169))</f>
        <v/>
      </c>
      <c r="AP169" t="str">
        <f t="shared" si="17"/>
        <v/>
      </c>
      <c r="AQ169" t="str">
        <f>IF($AS169="","",TRIM(IF(COUNTIFS(Calc!$B$2:$B$1601,ROW()-1,Calc!$C$2:$C$1601,"&lt;1")&gt;0,"Ada PO tanpa Koli - cek TMP. ","")&amp;IF(OR($AU169="",$AU169&lt;=0),"Volume kosong/0 - dimensi dikosongkan. ","")&amp;IF(AND($AU169&lt;&gt;"",$AU169&gt;=1000000),"Volume &gt;= 1.000.000 cm3 (di luar aturan) - dimensi dikosongkan. ","")&amp;IF(LEN($R169)&gt;500,"R &gt; 500 karakter.","")))</f>
        <v/>
      </c>
      <c r="AS169" t="str">
        <f>IFERROR(MATCH(ROW()-1,Calc!$J$2:$J$1601,0),"")</f>
        <v/>
      </c>
      <c r="AT169" t="str">
        <f>IFERROR(MATCH(ROW()-1,Calc!$K$2:$K$1601,0),"")</f>
        <v/>
      </c>
      <c r="AU169" t="str">
        <f>IF($AS169="","",IFERROR(INDEX('TMP Paste'!$D$2:$D$1601,$AS169)*1000000/$AB169,""))</f>
        <v/>
      </c>
    </row>
    <row r="170" spans="1:47">
      <c r="A170" t="str">
        <f>IF($AS170="","",INDEX('TMP Paste'!$B$2:$B$1601,$AS170))</f>
        <v/>
      </c>
      <c r="B170" t="str">
        <f>IF($AS170="","",Config!$B$14)</f>
        <v/>
      </c>
      <c r="C170" t="str">
        <f>IF($AS170="","",Config!$B$15)</f>
        <v/>
      </c>
      <c r="D170" t="str">
        <f>IF($AS170="","",INDEX('TMP Paste'!$B$2:$B$1601,$AS170))</f>
        <v/>
      </c>
      <c r="E170" t="str">
        <f>IF($AS170="","",Config!$B$27)</f>
        <v/>
      </c>
      <c r="F170" t="str">
        <f>IF($AS170="","",Config!$B$9)</f>
        <v/>
      </c>
      <c r="G170" t="str">
        <f>IF($AS170="","",Config!$B$10)</f>
        <v/>
      </c>
      <c r="H170" t="str">
        <f>IF($AS170="","",Config!$B$11)</f>
        <v/>
      </c>
      <c r="I170" t="str">
        <f>IF($AS170="","",Config!$B$16)</f>
        <v/>
      </c>
      <c r="J170" t="str">
        <f>IF($AS170="","",INDEX('TMP Paste'!$A$2:$A$1601,$AS170))</f>
        <v/>
      </c>
      <c r="K170" t="str">
        <f>IF($AS170="","",INDEX('TMP Paste'!$L$2:$L$1601,$AS170))</f>
        <v/>
      </c>
      <c r="L170" t="str">
        <f>IF($AS170="","",INDEX('TMP Paste'!$I$2:$I$1601,$AS170))</f>
        <v/>
      </c>
      <c r="M170" t="str">
        <f>IF($AS170="","",Config!$B$16)</f>
        <v/>
      </c>
      <c r="N170" t="str">
        <f t="shared" si="12"/>
        <v/>
      </c>
      <c r="O170" t="str">
        <f>IF($AS170="","",INDEX('TMP Paste'!$K$2:$K$1601,$AS170))</f>
        <v/>
      </c>
      <c r="P170" t="str">
        <f t="shared" si="13"/>
        <v/>
      </c>
      <c r="Q170" t="str">
        <f>IF($AS170="","",INDEX('TMP Paste'!$J$2:$J$1601,$AS170))</f>
        <v/>
      </c>
      <c r="R170" t="str">
        <f>IF($AS170="","",Config!$B$24)</f>
        <v/>
      </c>
      <c r="S170" t="str">
        <f ca="1">IF($AS170="","",TEXT(Config!$B$4,"yyyy-mm-dd"))</f>
        <v/>
      </c>
      <c r="T170" t="str">
        <f>IF($AS170="","",Config!$B$17)</f>
        <v/>
      </c>
      <c r="U170" t="str">
        <f>IF($AS170="","",Config!$B$18)</f>
        <v/>
      </c>
      <c r="V170" t="str">
        <f>IF($AS170="","",Config!$B$19)</f>
        <v/>
      </c>
      <c r="W170" t="str">
        <f>IF($AS170="","",INDEX('TMP Paste'!$C$2:$C$1601,$AS170))</f>
        <v/>
      </c>
      <c r="X170" t="str">
        <f>IF($AS170="","",Config!$B$29)</f>
        <v/>
      </c>
      <c r="Y170" t="str">
        <f>IF($AT170="","",INDEX(Calc!$I$2:$I$1601,$AT170)&amp;" - "&amp;INDEX(Calc!$D$2:$D$1601,$AT170)&amp;" koli")</f>
        <v/>
      </c>
      <c r="Z170" t="str">
        <f>IF($AS170="","",Config!$B$21)</f>
        <v/>
      </c>
      <c r="AA170" t="str">
        <f>IF($AS170="","",Config!$B$22)</f>
        <v/>
      </c>
      <c r="AB170" t="str">
        <f>IF($AT170="","",INDEX(Calc!$D$2:$D$1601,$AT170))</f>
        <v/>
      </c>
      <c r="AC170" t="str">
        <f>IF($AT170="","",INDEX(Calc!$G$2:$G$1601,$AT170))</f>
        <v/>
      </c>
      <c r="AD170" t="str">
        <f>IF($AS170="","",Config!$B$23)</f>
        <v/>
      </c>
      <c r="AE170" t="str">
        <f>IF($AS170="","",Config!$B$28)</f>
        <v/>
      </c>
      <c r="AF170" t="str">
        <f t="shared" si="14"/>
        <v/>
      </c>
      <c r="AG170" t="str">
        <f t="shared" si="15"/>
        <v/>
      </c>
      <c r="AH170" t="str">
        <f t="shared" si="16"/>
        <v/>
      </c>
      <c r="AI170" t="str">
        <f>IF($AG170="","",SUMIF($AG$2:$AG170,$AG170,$AH$2:$AH170))</f>
        <v/>
      </c>
      <c r="AJ170" t="str">
        <f>IF('TMP Paste'!$F170="","",IF('TMP Paste'!$B170="",$AJ169,'TMP Paste'!$B170))</f>
        <v/>
      </c>
      <c r="AK170" t="str">
        <f>IF('TMP Paste'!$F170="","",N('TMP Paste'!$G170))</f>
        <v/>
      </c>
      <c r="AL170" t="str">
        <f>IF('TMP Paste'!$F170="","",IF('TMP Paste'!$M170="",$AL169,'TMP Paste'!$M170))</f>
        <v/>
      </c>
      <c r="AM170" t="str">
        <f>IF('TMP Paste'!$F170="","",IF('TMP Paste'!$N170="",$AM169,'TMP Paste'!$N170))</f>
        <v/>
      </c>
      <c r="AN170" t="str">
        <f>IF('TMP Paste'!$F170="","",IF('TMP Paste'!$O170="",$AN169,'TMP Paste'!$O170))</f>
        <v/>
      </c>
      <c r="AO170" t="str">
        <f>IF('TMP Paste'!$F170="","",IF('TMP Paste'!$P170="",$AO169,'TMP Paste'!$P170))</f>
        <v/>
      </c>
      <c r="AP170" t="str">
        <f t="shared" si="17"/>
        <v/>
      </c>
      <c r="AQ170" t="str">
        <f>IF($AS170="","",TRIM(IF(COUNTIFS(Calc!$B$2:$B$1601,ROW()-1,Calc!$C$2:$C$1601,"&lt;1")&gt;0,"Ada PO tanpa Koli - cek TMP. ","")&amp;IF(OR($AU170="",$AU170&lt;=0),"Volume kosong/0 - dimensi dikosongkan. ","")&amp;IF(AND($AU170&lt;&gt;"",$AU170&gt;=1000000),"Volume &gt;= 1.000.000 cm3 (di luar aturan) - dimensi dikosongkan. ","")&amp;IF(LEN($R170)&gt;500,"R &gt; 500 karakter.","")))</f>
        <v/>
      </c>
      <c r="AS170" t="str">
        <f>IFERROR(MATCH(ROW()-1,Calc!$J$2:$J$1601,0),"")</f>
        <v/>
      </c>
      <c r="AT170" t="str">
        <f>IFERROR(MATCH(ROW()-1,Calc!$K$2:$K$1601,0),"")</f>
        <v/>
      </c>
      <c r="AU170" t="str">
        <f>IF($AS170="","",IFERROR(INDEX('TMP Paste'!$D$2:$D$1601,$AS170)*1000000/$AB170,""))</f>
        <v/>
      </c>
    </row>
    <row r="171" spans="1:47">
      <c r="A171" t="str">
        <f>IF($AS171="","",INDEX('TMP Paste'!$B$2:$B$1601,$AS171))</f>
        <v/>
      </c>
      <c r="B171" t="str">
        <f>IF($AS171="","",Config!$B$14)</f>
        <v/>
      </c>
      <c r="C171" t="str">
        <f>IF($AS171="","",Config!$B$15)</f>
        <v/>
      </c>
      <c r="D171" t="str">
        <f>IF($AS171="","",INDEX('TMP Paste'!$B$2:$B$1601,$AS171))</f>
        <v/>
      </c>
      <c r="E171" t="str">
        <f>IF($AS171="","",Config!$B$27)</f>
        <v/>
      </c>
      <c r="F171" t="str">
        <f>IF($AS171="","",Config!$B$9)</f>
        <v/>
      </c>
      <c r="G171" t="str">
        <f>IF($AS171="","",Config!$B$10)</f>
        <v/>
      </c>
      <c r="H171" t="str">
        <f>IF($AS171="","",Config!$B$11)</f>
        <v/>
      </c>
      <c r="I171" t="str">
        <f>IF($AS171="","",Config!$B$16)</f>
        <v/>
      </c>
      <c r="J171" t="str">
        <f>IF($AS171="","",INDEX('TMP Paste'!$A$2:$A$1601,$AS171))</f>
        <v/>
      </c>
      <c r="K171" t="str">
        <f>IF($AS171="","",INDEX('TMP Paste'!$L$2:$L$1601,$AS171))</f>
        <v/>
      </c>
      <c r="L171" t="str">
        <f>IF($AS171="","",INDEX('TMP Paste'!$I$2:$I$1601,$AS171))</f>
        <v/>
      </c>
      <c r="M171" t="str">
        <f>IF($AS171="","",Config!$B$16)</f>
        <v/>
      </c>
      <c r="N171" t="str">
        <f t="shared" si="12"/>
        <v/>
      </c>
      <c r="O171" t="str">
        <f>IF($AS171="","",INDEX('TMP Paste'!$K$2:$K$1601,$AS171))</f>
        <v/>
      </c>
      <c r="P171" t="str">
        <f t="shared" si="13"/>
        <v/>
      </c>
      <c r="Q171" t="str">
        <f>IF($AS171="","",INDEX('TMP Paste'!$J$2:$J$1601,$AS171))</f>
        <v/>
      </c>
      <c r="R171" t="str">
        <f>IF($AS171="","",Config!$B$24)</f>
        <v/>
      </c>
      <c r="S171" t="str">
        <f ca="1">IF($AS171="","",TEXT(Config!$B$4,"yyyy-mm-dd"))</f>
        <v/>
      </c>
      <c r="T171" t="str">
        <f>IF($AS171="","",Config!$B$17)</f>
        <v/>
      </c>
      <c r="U171" t="str">
        <f>IF($AS171="","",Config!$B$18)</f>
        <v/>
      </c>
      <c r="V171" t="str">
        <f>IF($AS171="","",Config!$B$19)</f>
        <v/>
      </c>
      <c r="W171" t="str">
        <f>IF($AS171="","",INDEX('TMP Paste'!$C$2:$C$1601,$AS171))</f>
        <v/>
      </c>
      <c r="X171" t="str">
        <f>IF($AS171="","",Config!$B$29)</f>
        <v/>
      </c>
      <c r="Y171" t="str">
        <f>IF($AT171="","",INDEX(Calc!$I$2:$I$1601,$AT171)&amp;" - "&amp;INDEX(Calc!$D$2:$D$1601,$AT171)&amp;" koli")</f>
        <v/>
      </c>
      <c r="Z171" t="str">
        <f>IF($AS171="","",Config!$B$21)</f>
        <v/>
      </c>
      <c r="AA171" t="str">
        <f>IF($AS171="","",Config!$B$22)</f>
        <v/>
      </c>
      <c r="AB171" t="str">
        <f>IF($AT171="","",INDEX(Calc!$D$2:$D$1601,$AT171))</f>
        <v/>
      </c>
      <c r="AC171" t="str">
        <f>IF($AT171="","",INDEX(Calc!$G$2:$G$1601,$AT171))</f>
        <v/>
      </c>
      <c r="AD171" t="str">
        <f>IF($AS171="","",Config!$B$23)</f>
        <v/>
      </c>
      <c r="AE171" t="str">
        <f>IF($AS171="","",Config!$B$28)</f>
        <v/>
      </c>
      <c r="AF171" t="str">
        <f t="shared" si="14"/>
        <v/>
      </c>
      <c r="AG171" t="str">
        <f t="shared" si="15"/>
        <v/>
      </c>
      <c r="AH171" t="str">
        <f t="shared" si="16"/>
        <v/>
      </c>
      <c r="AI171" t="str">
        <f>IF($AG171="","",SUMIF($AG$2:$AG171,$AG171,$AH$2:$AH171))</f>
        <v/>
      </c>
      <c r="AJ171" t="str">
        <f>IF('TMP Paste'!$F171="","",IF('TMP Paste'!$B171="",$AJ170,'TMP Paste'!$B171))</f>
        <v/>
      </c>
      <c r="AK171" t="str">
        <f>IF('TMP Paste'!$F171="","",N('TMP Paste'!$G171))</f>
        <v/>
      </c>
      <c r="AL171" t="str">
        <f>IF('TMP Paste'!$F171="","",IF('TMP Paste'!$M171="",$AL170,'TMP Paste'!$M171))</f>
        <v/>
      </c>
      <c r="AM171" t="str">
        <f>IF('TMP Paste'!$F171="","",IF('TMP Paste'!$N171="",$AM170,'TMP Paste'!$N171))</f>
        <v/>
      </c>
      <c r="AN171" t="str">
        <f>IF('TMP Paste'!$F171="","",IF('TMP Paste'!$O171="",$AN170,'TMP Paste'!$O171))</f>
        <v/>
      </c>
      <c r="AO171" t="str">
        <f>IF('TMP Paste'!$F171="","",IF('TMP Paste'!$P171="",$AO170,'TMP Paste'!$P171))</f>
        <v/>
      </c>
      <c r="AP171" t="str">
        <f t="shared" si="17"/>
        <v/>
      </c>
      <c r="AQ171" t="str">
        <f>IF($AS171="","",TRIM(IF(COUNTIFS(Calc!$B$2:$B$1601,ROW()-1,Calc!$C$2:$C$1601,"&lt;1")&gt;0,"Ada PO tanpa Koli - cek TMP. ","")&amp;IF(OR($AU171="",$AU171&lt;=0),"Volume kosong/0 - dimensi dikosongkan. ","")&amp;IF(AND($AU171&lt;&gt;"",$AU171&gt;=1000000),"Volume &gt;= 1.000.000 cm3 (di luar aturan) - dimensi dikosongkan. ","")&amp;IF(LEN($R171)&gt;500,"R &gt; 500 karakter.","")))</f>
        <v/>
      </c>
      <c r="AS171" t="str">
        <f>IFERROR(MATCH(ROW()-1,Calc!$J$2:$J$1601,0),"")</f>
        <v/>
      </c>
      <c r="AT171" t="str">
        <f>IFERROR(MATCH(ROW()-1,Calc!$K$2:$K$1601,0),"")</f>
        <v/>
      </c>
      <c r="AU171" t="str">
        <f>IF($AS171="","",IFERROR(INDEX('TMP Paste'!$D$2:$D$1601,$AS171)*1000000/$AB171,""))</f>
        <v/>
      </c>
    </row>
    <row r="172" spans="1:47">
      <c r="A172" t="str">
        <f>IF($AS172="","",INDEX('TMP Paste'!$B$2:$B$1601,$AS172))</f>
        <v/>
      </c>
      <c r="B172" t="str">
        <f>IF($AS172="","",Config!$B$14)</f>
        <v/>
      </c>
      <c r="C172" t="str">
        <f>IF($AS172="","",Config!$B$15)</f>
        <v/>
      </c>
      <c r="D172" t="str">
        <f>IF($AS172="","",INDEX('TMP Paste'!$B$2:$B$1601,$AS172))</f>
        <v/>
      </c>
      <c r="E172" t="str">
        <f>IF($AS172="","",Config!$B$27)</f>
        <v/>
      </c>
      <c r="F172" t="str">
        <f>IF($AS172="","",Config!$B$9)</f>
        <v/>
      </c>
      <c r="G172" t="str">
        <f>IF($AS172="","",Config!$B$10)</f>
        <v/>
      </c>
      <c r="H172" t="str">
        <f>IF($AS172="","",Config!$B$11)</f>
        <v/>
      </c>
      <c r="I172" t="str">
        <f>IF($AS172="","",Config!$B$16)</f>
        <v/>
      </c>
      <c r="J172" t="str">
        <f>IF($AS172="","",INDEX('TMP Paste'!$A$2:$A$1601,$AS172))</f>
        <v/>
      </c>
      <c r="K172" t="str">
        <f>IF($AS172="","",INDEX('TMP Paste'!$L$2:$L$1601,$AS172))</f>
        <v/>
      </c>
      <c r="L172" t="str">
        <f>IF($AS172="","",INDEX('TMP Paste'!$I$2:$I$1601,$AS172))</f>
        <v/>
      </c>
      <c r="M172" t="str">
        <f>IF($AS172="","",Config!$B$16)</f>
        <v/>
      </c>
      <c r="N172" t="str">
        <f t="shared" si="12"/>
        <v/>
      </c>
      <c r="O172" t="str">
        <f>IF($AS172="","",INDEX('TMP Paste'!$K$2:$K$1601,$AS172))</f>
        <v/>
      </c>
      <c r="P172" t="str">
        <f t="shared" si="13"/>
        <v/>
      </c>
      <c r="Q172" t="str">
        <f>IF($AS172="","",INDEX('TMP Paste'!$J$2:$J$1601,$AS172))</f>
        <v/>
      </c>
      <c r="R172" t="str">
        <f>IF($AS172="","",Config!$B$24)</f>
        <v/>
      </c>
      <c r="S172" t="str">
        <f ca="1">IF($AS172="","",TEXT(Config!$B$4,"yyyy-mm-dd"))</f>
        <v/>
      </c>
      <c r="T172" t="str">
        <f>IF($AS172="","",Config!$B$17)</f>
        <v/>
      </c>
      <c r="U172" t="str">
        <f>IF($AS172="","",Config!$B$18)</f>
        <v/>
      </c>
      <c r="V172" t="str">
        <f>IF($AS172="","",Config!$B$19)</f>
        <v/>
      </c>
      <c r="W172" t="str">
        <f>IF($AS172="","",INDEX('TMP Paste'!$C$2:$C$1601,$AS172))</f>
        <v/>
      </c>
      <c r="X172" t="str">
        <f>IF($AS172="","",Config!$B$29)</f>
        <v/>
      </c>
      <c r="Y172" t="str">
        <f>IF($AT172="","",INDEX(Calc!$I$2:$I$1601,$AT172)&amp;" - "&amp;INDEX(Calc!$D$2:$D$1601,$AT172)&amp;" koli")</f>
        <v/>
      </c>
      <c r="Z172" t="str">
        <f>IF($AS172="","",Config!$B$21)</f>
        <v/>
      </c>
      <c r="AA172" t="str">
        <f>IF($AS172="","",Config!$B$22)</f>
        <v/>
      </c>
      <c r="AB172" t="str">
        <f>IF($AT172="","",INDEX(Calc!$D$2:$D$1601,$AT172))</f>
        <v/>
      </c>
      <c r="AC172" t="str">
        <f>IF($AT172="","",INDEX(Calc!$G$2:$G$1601,$AT172))</f>
        <v/>
      </c>
      <c r="AD172" t="str">
        <f>IF($AS172="","",Config!$B$23)</f>
        <v/>
      </c>
      <c r="AE172" t="str">
        <f>IF($AS172="","",Config!$B$28)</f>
        <v/>
      </c>
      <c r="AF172" t="str">
        <f t="shared" si="14"/>
        <v/>
      </c>
      <c r="AG172" t="str">
        <f t="shared" si="15"/>
        <v/>
      </c>
      <c r="AH172" t="str">
        <f t="shared" si="16"/>
        <v/>
      </c>
      <c r="AI172" t="str">
        <f>IF($AG172="","",SUMIF($AG$2:$AG172,$AG172,$AH$2:$AH172))</f>
        <v/>
      </c>
      <c r="AJ172" t="str">
        <f>IF('TMP Paste'!$F172="","",IF('TMP Paste'!$B172="",$AJ171,'TMP Paste'!$B172))</f>
        <v>AWB02WKY8</v>
      </c>
      <c r="AK172">
        <f>IF('TMP Paste'!$F172="","",N('TMP Paste'!$G172))</f>
        <v>0</v>
      </c>
      <c r="AL172">
        <f>IF('TMP Paste'!$F172="","",IF('TMP Paste'!$M172="",$AL171,'TMP Paste'!$M172))</f>
        <v>1</v>
      </c>
      <c r="AM172" t="str">
        <f>IF('TMP Paste'!$F172="","",IF('TMP Paste'!$N172="",$AM171,'TMP Paste'!$N172))</f>
        <v/>
      </c>
      <c r="AN172" t="str">
        <f>IF('TMP Paste'!$F172="","",IF('TMP Paste'!$O172="",$AN171,'TMP Paste'!$O172))</f>
        <v/>
      </c>
      <c r="AO172" t="str">
        <f>IF('TMP Paste'!$F172="","",IF('TMP Paste'!$P172="",$AO171,'TMP Paste'!$P172))</f>
        <v/>
      </c>
      <c r="AP172" t="str">
        <f t="shared" si="17"/>
        <v/>
      </c>
      <c r="AQ172" t="str">
        <f>IF($AS172="","",TRIM(IF(COUNTIFS(Calc!$B$2:$B$1601,ROW()-1,Calc!$C$2:$C$1601,"&lt;1")&gt;0,"Ada PO tanpa Koli - cek TMP. ","")&amp;IF(OR($AU172="",$AU172&lt;=0),"Volume kosong/0 - dimensi dikosongkan. ","")&amp;IF(AND($AU172&lt;&gt;"",$AU172&gt;=1000000),"Volume &gt;= 1.000.000 cm3 (di luar aturan) - dimensi dikosongkan. ","")&amp;IF(LEN($R172)&gt;500,"R &gt; 500 karakter.","")))</f>
        <v/>
      </c>
      <c r="AS172" t="str">
        <f>IFERROR(MATCH(ROW()-1,Calc!$J$2:$J$1601,0),"")</f>
        <v/>
      </c>
      <c r="AT172" t="str">
        <f>IFERROR(MATCH(ROW()-1,Calc!$K$2:$K$1601,0),"")</f>
        <v/>
      </c>
      <c r="AU172" t="str">
        <f>IF($AS172="","",IFERROR(INDEX('TMP Paste'!$D$2:$D$1601,$AS172)*1000000/$AB172,""))</f>
        <v/>
      </c>
    </row>
    <row r="173" spans="1:47">
      <c r="A173" t="str">
        <f>IF($AS173="","",INDEX('TMP Paste'!$B$2:$B$1601,$AS173))</f>
        <v/>
      </c>
      <c r="B173" t="str">
        <f>IF($AS173="","",Config!$B$14)</f>
        <v/>
      </c>
      <c r="C173" t="str">
        <f>IF($AS173="","",Config!$B$15)</f>
        <v/>
      </c>
      <c r="D173" t="str">
        <f>IF($AS173="","",INDEX('TMP Paste'!$B$2:$B$1601,$AS173))</f>
        <v/>
      </c>
      <c r="E173" t="str">
        <f>IF($AS173="","",Config!$B$27)</f>
        <v/>
      </c>
      <c r="F173" t="str">
        <f>IF($AS173="","",Config!$B$9)</f>
        <v/>
      </c>
      <c r="G173" t="str">
        <f>IF($AS173="","",Config!$B$10)</f>
        <v/>
      </c>
      <c r="H173" t="str">
        <f>IF($AS173="","",Config!$B$11)</f>
        <v/>
      </c>
      <c r="I173" t="str">
        <f>IF($AS173="","",Config!$B$16)</f>
        <v/>
      </c>
      <c r="J173" t="str">
        <f>IF($AS173="","",INDEX('TMP Paste'!$A$2:$A$1601,$AS173))</f>
        <v/>
      </c>
      <c r="K173" t="str">
        <f>IF($AS173="","",INDEX('TMP Paste'!$L$2:$L$1601,$AS173))</f>
        <v/>
      </c>
      <c r="L173" t="str">
        <f>IF($AS173="","",INDEX('TMP Paste'!$I$2:$I$1601,$AS173))</f>
        <v/>
      </c>
      <c r="M173" t="str">
        <f>IF($AS173="","",Config!$B$16)</f>
        <v/>
      </c>
      <c r="N173" t="str">
        <f t="shared" si="12"/>
        <v/>
      </c>
      <c r="O173" t="str">
        <f>IF($AS173="","",INDEX('TMP Paste'!$K$2:$K$1601,$AS173))</f>
        <v/>
      </c>
      <c r="P173" t="str">
        <f t="shared" si="13"/>
        <v/>
      </c>
      <c r="Q173" t="str">
        <f>IF($AS173="","",INDEX('TMP Paste'!$J$2:$J$1601,$AS173))</f>
        <v/>
      </c>
      <c r="R173" t="str">
        <f>IF($AS173="","",Config!$B$24)</f>
        <v/>
      </c>
      <c r="S173" t="str">
        <f ca="1">IF($AS173="","",TEXT(Config!$B$4,"yyyy-mm-dd"))</f>
        <v/>
      </c>
      <c r="T173" t="str">
        <f>IF($AS173="","",Config!$B$17)</f>
        <v/>
      </c>
      <c r="U173" t="str">
        <f>IF($AS173="","",Config!$B$18)</f>
        <v/>
      </c>
      <c r="V173" t="str">
        <f>IF($AS173="","",Config!$B$19)</f>
        <v/>
      </c>
      <c r="W173" t="str">
        <f>IF($AS173="","",INDEX('TMP Paste'!$C$2:$C$1601,$AS173))</f>
        <v/>
      </c>
      <c r="X173" t="str">
        <f>IF($AS173="","",Config!$B$29)</f>
        <v/>
      </c>
      <c r="Y173" t="str">
        <f>IF($AT173="","",INDEX(Calc!$I$2:$I$1601,$AT173)&amp;" - "&amp;INDEX(Calc!$D$2:$D$1601,$AT173)&amp;" koli")</f>
        <v/>
      </c>
      <c r="Z173" t="str">
        <f>IF($AS173="","",Config!$B$21)</f>
        <v/>
      </c>
      <c r="AA173" t="str">
        <f>IF($AS173="","",Config!$B$22)</f>
        <v/>
      </c>
      <c r="AB173" t="str">
        <f>IF($AT173="","",INDEX(Calc!$D$2:$D$1601,$AT173))</f>
        <v/>
      </c>
      <c r="AC173" t="str">
        <f>IF($AT173="","",INDEX(Calc!$G$2:$G$1601,$AT173))</f>
        <v/>
      </c>
      <c r="AD173" t="str">
        <f>IF($AS173="","",Config!$B$23)</f>
        <v/>
      </c>
      <c r="AE173" t="str">
        <f>IF($AS173="","",Config!$B$28)</f>
        <v/>
      </c>
      <c r="AF173" t="str">
        <f t="shared" si="14"/>
        <v/>
      </c>
      <c r="AG173" t="str">
        <f t="shared" si="15"/>
        <v/>
      </c>
      <c r="AH173" t="str">
        <f t="shared" si="16"/>
        <v/>
      </c>
      <c r="AI173" t="str">
        <f>IF($AG173="","",SUMIF($AG$2:$AG173,$AG173,$AH$2:$AH173))</f>
        <v/>
      </c>
      <c r="AJ173" t="str">
        <f>IF('TMP Paste'!$F173="","",IF('TMP Paste'!$B173="",$AJ172,'TMP Paste'!$B173))</f>
        <v/>
      </c>
      <c r="AK173" t="str">
        <f>IF('TMP Paste'!$F173="","",N('TMP Paste'!$G173))</f>
        <v/>
      </c>
      <c r="AL173" t="str">
        <f>IF('TMP Paste'!$F173="","",IF('TMP Paste'!$M173="",$AL172,'TMP Paste'!$M173))</f>
        <v/>
      </c>
      <c r="AM173" t="str">
        <f>IF('TMP Paste'!$F173="","",IF('TMP Paste'!$N173="",$AM172,'TMP Paste'!$N173))</f>
        <v/>
      </c>
      <c r="AN173" t="str">
        <f>IF('TMP Paste'!$F173="","",IF('TMP Paste'!$O173="",$AN172,'TMP Paste'!$O173))</f>
        <v/>
      </c>
      <c r="AO173" t="str">
        <f>IF('TMP Paste'!$F173="","",IF('TMP Paste'!$P173="",$AO172,'TMP Paste'!$P173))</f>
        <v/>
      </c>
      <c r="AP173" t="str">
        <f t="shared" si="17"/>
        <v/>
      </c>
      <c r="AQ173" t="str">
        <f>IF($AS173="","",TRIM(IF(COUNTIFS(Calc!$B$2:$B$1601,ROW()-1,Calc!$C$2:$C$1601,"&lt;1")&gt;0,"Ada PO tanpa Koli - cek TMP. ","")&amp;IF(OR($AU173="",$AU173&lt;=0),"Volume kosong/0 - dimensi dikosongkan. ","")&amp;IF(AND($AU173&lt;&gt;"",$AU173&gt;=1000000),"Volume &gt;= 1.000.000 cm3 (di luar aturan) - dimensi dikosongkan. ","")&amp;IF(LEN($R173)&gt;500,"R &gt; 500 karakter.","")))</f>
        <v/>
      </c>
      <c r="AS173" t="str">
        <f>IFERROR(MATCH(ROW()-1,Calc!$J$2:$J$1601,0),"")</f>
        <v/>
      </c>
      <c r="AT173" t="str">
        <f>IFERROR(MATCH(ROW()-1,Calc!$K$2:$K$1601,0),"")</f>
        <v/>
      </c>
      <c r="AU173" t="str">
        <f>IF($AS173="","",IFERROR(INDEX('TMP Paste'!$D$2:$D$1601,$AS173)*1000000/$AB173,""))</f>
        <v/>
      </c>
    </row>
    <row r="174" spans="1:47">
      <c r="A174" t="str">
        <f>IF($AS174="","",INDEX('TMP Paste'!$B$2:$B$1601,$AS174))</f>
        <v/>
      </c>
      <c r="B174" t="str">
        <f>IF($AS174="","",Config!$B$14)</f>
        <v/>
      </c>
      <c r="C174" t="str">
        <f>IF($AS174="","",Config!$B$15)</f>
        <v/>
      </c>
      <c r="D174" t="str">
        <f>IF($AS174="","",INDEX('TMP Paste'!$B$2:$B$1601,$AS174))</f>
        <v/>
      </c>
      <c r="E174" t="str">
        <f>IF($AS174="","",Config!$B$27)</f>
        <v/>
      </c>
      <c r="F174" t="str">
        <f>IF($AS174="","",Config!$B$9)</f>
        <v/>
      </c>
      <c r="G174" t="str">
        <f>IF($AS174="","",Config!$B$10)</f>
        <v/>
      </c>
      <c r="H174" t="str">
        <f>IF($AS174="","",Config!$B$11)</f>
        <v/>
      </c>
      <c r="I174" t="str">
        <f>IF($AS174="","",Config!$B$16)</f>
        <v/>
      </c>
      <c r="J174" t="str">
        <f>IF($AS174="","",INDEX('TMP Paste'!$A$2:$A$1601,$AS174))</f>
        <v/>
      </c>
      <c r="K174" t="str">
        <f>IF($AS174="","",INDEX('TMP Paste'!$L$2:$L$1601,$AS174))</f>
        <v/>
      </c>
      <c r="L174" t="str">
        <f>IF($AS174="","",INDEX('TMP Paste'!$I$2:$I$1601,$AS174))</f>
        <v/>
      </c>
      <c r="M174" t="str">
        <f>IF($AS174="","",Config!$B$16)</f>
        <v/>
      </c>
      <c r="N174" t="str">
        <f t="shared" si="12"/>
        <v/>
      </c>
      <c r="O174" t="str">
        <f>IF($AS174="","",INDEX('TMP Paste'!$K$2:$K$1601,$AS174))</f>
        <v/>
      </c>
      <c r="P174" t="str">
        <f t="shared" si="13"/>
        <v/>
      </c>
      <c r="Q174" t="str">
        <f>IF($AS174="","",INDEX('TMP Paste'!$J$2:$J$1601,$AS174))</f>
        <v/>
      </c>
      <c r="R174" t="str">
        <f>IF($AS174="","",Config!$B$24)</f>
        <v/>
      </c>
      <c r="S174" t="str">
        <f ca="1">IF($AS174="","",TEXT(Config!$B$4,"yyyy-mm-dd"))</f>
        <v/>
      </c>
      <c r="T174" t="str">
        <f>IF($AS174="","",Config!$B$17)</f>
        <v/>
      </c>
      <c r="U174" t="str">
        <f>IF($AS174="","",Config!$B$18)</f>
        <v/>
      </c>
      <c r="V174" t="str">
        <f>IF($AS174="","",Config!$B$19)</f>
        <v/>
      </c>
      <c r="W174" t="str">
        <f>IF($AS174="","",INDEX('TMP Paste'!$C$2:$C$1601,$AS174))</f>
        <v/>
      </c>
      <c r="X174" t="str">
        <f>IF($AS174="","",Config!$B$29)</f>
        <v/>
      </c>
      <c r="Y174" t="str">
        <f>IF($AT174="","",INDEX(Calc!$I$2:$I$1601,$AT174)&amp;" - "&amp;INDEX(Calc!$D$2:$D$1601,$AT174)&amp;" koli")</f>
        <v/>
      </c>
      <c r="Z174" t="str">
        <f>IF($AS174="","",Config!$B$21)</f>
        <v/>
      </c>
      <c r="AA174" t="str">
        <f>IF($AS174="","",Config!$B$22)</f>
        <v/>
      </c>
      <c r="AB174" t="str">
        <f>IF($AT174="","",INDEX(Calc!$D$2:$D$1601,$AT174))</f>
        <v/>
      </c>
      <c r="AC174" t="str">
        <f>IF($AT174="","",INDEX(Calc!$G$2:$G$1601,$AT174))</f>
        <v/>
      </c>
      <c r="AD174" t="str">
        <f>IF($AS174="","",Config!$B$23)</f>
        <v/>
      </c>
      <c r="AE174" t="str">
        <f>IF($AS174="","",Config!$B$28)</f>
        <v/>
      </c>
      <c r="AF174" t="str">
        <f t="shared" si="14"/>
        <v/>
      </c>
      <c r="AG174" t="str">
        <f t="shared" si="15"/>
        <v/>
      </c>
      <c r="AH174" t="str">
        <f t="shared" si="16"/>
        <v/>
      </c>
      <c r="AI174" t="str">
        <f>IF($AG174="","",SUMIF($AG$2:$AG174,$AG174,$AH$2:$AH174))</f>
        <v/>
      </c>
      <c r="AJ174" t="str">
        <f>IF('TMP Paste'!$F174="","",IF('TMP Paste'!$B174="",$AJ173,'TMP Paste'!$B174))</f>
        <v>AWB02WHPP</v>
      </c>
      <c r="AK174">
        <f>IF('TMP Paste'!$F174="","",N('TMP Paste'!$G174))</f>
        <v>0</v>
      </c>
      <c r="AL174">
        <f>IF('TMP Paste'!$F174="","",IF('TMP Paste'!$M174="",$AL173,'TMP Paste'!$M174))</f>
        <v>1</v>
      </c>
      <c r="AM174" t="str">
        <f>IF('TMP Paste'!$F174="","",IF('TMP Paste'!$N174="",$AM173,'TMP Paste'!$N174))</f>
        <v/>
      </c>
      <c r="AN174" t="str">
        <f>IF('TMP Paste'!$F174="","",IF('TMP Paste'!$O174="",$AN173,'TMP Paste'!$O174))</f>
        <v/>
      </c>
      <c r="AO174" t="str">
        <f>IF('TMP Paste'!$F174="","",IF('TMP Paste'!$P174="",$AO173,'TMP Paste'!$P174))</f>
        <v/>
      </c>
      <c r="AP174" t="str">
        <f t="shared" si="17"/>
        <v/>
      </c>
      <c r="AQ174" t="str">
        <f>IF($AS174="","",TRIM(IF(COUNTIFS(Calc!$B$2:$B$1601,ROW()-1,Calc!$C$2:$C$1601,"&lt;1")&gt;0,"Ada PO tanpa Koli - cek TMP. ","")&amp;IF(OR($AU174="",$AU174&lt;=0),"Volume kosong/0 - dimensi dikosongkan. ","")&amp;IF(AND($AU174&lt;&gt;"",$AU174&gt;=1000000),"Volume &gt;= 1.000.000 cm3 (di luar aturan) - dimensi dikosongkan. ","")&amp;IF(LEN($R174)&gt;500,"R &gt; 500 karakter.","")))</f>
        <v/>
      </c>
      <c r="AS174" t="str">
        <f>IFERROR(MATCH(ROW()-1,Calc!$J$2:$J$1601,0),"")</f>
        <v/>
      </c>
      <c r="AT174" t="str">
        <f>IFERROR(MATCH(ROW()-1,Calc!$K$2:$K$1601,0),"")</f>
        <v/>
      </c>
      <c r="AU174" t="str">
        <f>IF($AS174="","",IFERROR(INDEX('TMP Paste'!$D$2:$D$1601,$AS174)*1000000/$AB174,""))</f>
        <v/>
      </c>
    </row>
    <row r="175" spans="1:47">
      <c r="A175" t="str">
        <f>IF($AS175="","",INDEX('TMP Paste'!$B$2:$B$1601,$AS175))</f>
        <v/>
      </c>
      <c r="B175" t="str">
        <f>IF($AS175="","",Config!$B$14)</f>
        <v/>
      </c>
      <c r="C175" t="str">
        <f>IF($AS175="","",Config!$B$15)</f>
        <v/>
      </c>
      <c r="D175" t="str">
        <f>IF($AS175="","",INDEX('TMP Paste'!$B$2:$B$1601,$AS175))</f>
        <v/>
      </c>
      <c r="E175" t="str">
        <f>IF($AS175="","",Config!$B$27)</f>
        <v/>
      </c>
      <c r="F175" t="str">
        <f>IF($AS175="","",Config!$B$9)</f>
        <v/>
      </c>
      <c r="G175" t="str">
        <f>IF($AS175="","",Config!$B$10)</f>
        <v/>
      </c>
      <c r="H175" t="str">
        <f>IF($AS175="","",Config!$B$11)</f>
        <v/>
      </c>
      <c r="I175" t="str">
        <f>IF($AS175="","",Config!$B$16)</f>
        <v/>
      </c>
      <c r="J175" t="str">
        <f>IF($AS175="","",INDEX('TMP Paste'!$A$2:$A$1601,$AS175))</f>
        <v/>
      </c>
      <c r="K175" t="str">
        <f>IF($AS175="","",INDEX('TMP Paste'!$L$2:$L$1601,$AS175))</f>
        <v/>
      </c>
      <c r="L175" t="str">
        <f>IF($AS175="","",INDEX('TMP Paste'!$I$2:$I$1601,$AS175))</f>
        <v/>
      </c>
      <c r="M175" t="str">
        <f>IF($AS175="","",Config!$B$16)</f>
        <v/>
      </c>
      <c r="N175" t="str">
        <f t="shared" si="12"/>
        <v/>
      </c>
      <c r="O175" t="str">
        <f>IF($AS175="","",INDEX('TMP Paste'!$K$2:$K$1601,$AS175))</f>
        <v/>
      </c>
      <c r="P175" t="str">
        <f t="shared" si="13"/>
        <v/>
      </c>
      <c r="Q175" t="str">
        <f>IF($AS175="","",INDEX('TMP Paste'!$J$2:$J$1601,$AS175))</f>
        <v/>
      </c>
      <c r="R175" t="str">
        <f>IF($AS175="","",Config!$B$24)</f>
        <v/>
      </c>
      <c r="S175" t="str">
        <f ca="1">IF($AS175="","",TEXT(Config!$B$4,"yyyy-mm-dd"))</f>
        <v/>
      </c>
      <c r="T175" t="str">
        <f>IF($AS175="","",Config!$B$17)</f>
        <v/>
      </c>
      <c r="U175" t="str">
        <f>IF($AS175="","",Config!$B$18)</f>
        <v/>
      </c>
      <c r="V175" t="str">
        <f>IF($AS175="","",Config!$B$19)</f>
        <v/>
      </c>
      <c r="W175" t="str">
        <f>IF($AS175="","",INDEX('TMP Paste'!$C$2:$C$1601,$AS175))</f>
        <v/>
      </c>
      <c r="X175" t="str">
        <f>IF($AS175="","",Config!$B$29)</f>
        <v/>
      </c>
      <c r="Y175" t="str">
        <f>IF($AT175="","",INDEX(Calc!$I$2:$I$1601,$AT175)&amp;" - "&amp;INDEX(Calc!$D$2:$D$1601,$AT175)&amp;" koli")</f>
        <v/>
      </c>
      <c r="Z175" t="str">
        <f>IF($AS175="","",Config!$B$21)</f>
        <v/>
      </c>
      <c r="AA175" t="str">
        <f>IF($AS175="","",Config!$B$22)</f>
        <v/>
      </c>
      <c r="AB175" t="str">
        <f>IF($AT175="","",INDEX(Calc!$D$2:$D$1601,$AT175))</f>
        <v/>
      </c>
      <c r="AC175" t="str">
        <f>IF($AT175="","",INDEX(Calc!$G$2:$G$1601,$AT175))</f>
        <v/>
      </c>
      <c r="AD175" t="str">
        <f>IF($AS175="","",Config!$B$23)</f>
        <v/>
      </c>
      <c r="AE175" t="str">
        <f>IF($AS175="","",Config!$B$28)</f>
        <v/>
      </c>
      <c r="AF175" t="str">
        <f t="shared" si="14"/>
        <v/>
      </c>
      <c r="AG175" t="str">
        <f t="shared" si="15"/>
        <v/>
      </c>
      <c r="AH175" t="str">
        <f t="shared" si="16"/>
        <v/>
      </c>
      <c r="AI175" t="str">
        <f>IF($AG175="","",SUMIF($AG$2:$AG175,$AG175,$AH$2:$AH175))</f>
        <v/>
      </c>
      <c r="AJ175" t="str">
        <f>IF('TMP Paste'!$F175="","",IF('TMP Paste'!$B175="",$AJ174,'TMP Paste'!$B175))</f>
        <v/>
      </c>
      <c r="AK175" t="str">
        <f>IF('TMP Paste'!$F175="","",N('TMP Paste'!$G175))</f>
        <v/>
      </c>
      <c r="AL175" t="str">
        <f>IF('TMP Paste'!$F175="","",IF('TMP Paste'!$M175="",$AL174,'TMP Paste'!$M175))</f>
        <v/>
      </c>
      <c r="AM175" t="str">
        <f>IF('TMP Paste'!$F175="","",IF('TMP Paste'!$N175="",$AM174,'TMP Paste'!$N175))</f>
        <v/>
      </c>
      <c r="AN175" t="str">
        <f>IF('TMP Paste'!$F175="","",IF('TMP Paste'!$O175="",$AN174,'TMP Paste'!$O175))</f>
        <v/>
      </c>
      <c r="AO175" t="str">
        <f>IF('TMP Paste'!$F175="","",IF('TMP Paste'!$P175="",$AO174,'TMP Paste'!$P175))</f>
        <v/>
      </c>
      <c r="AP175" t="str">
        <f t="shared" si="17"/>
        <v/>
      </c>
      <c r="AQ175" t="str">
        <f>IF($AS175="","",TRIM(IF(COUNTIFS(Calc!$B$2:$B$1601,ROW()-1,Calc!$C$2:$C$1601,"&lt;1")&gt;0,"Ada PO tanpa Koli - cek TMP. ","")&amp;IF(OR($AU175="",$AU175&lt;=0),"Volume kosong/0 - dimensi dikosongkan. ","")&amp;IF(AND($AU175&lt;&gt;"",$AU175&gt;=1000000),"Volume &gt;= 1.000.000 cm3 (di luar aturan) - dimensi dikosongkan. ","")&amp;IF(LEN($R175)&gt;500,"R &gt; 500 karakter.","")))</f>
        <v/>
      </c>
      <c r="AS175" t="str">
        <f>IFERROR(MATCH(ROW()-1,Calc!$J$2:$J$1601,0),"")</f>
        <v/>
      </c>
      <c r="AT175" t="str">
        <f>IFERROR(MATCH(ROW()-1,Calc!$K$2:$K$1601,0),"")</f>
        <v/>
      </c>
      <c r="AU175" t="str">
        <f>IF($AS175="","",IFERROR(INDEX('TMP Paste'!$D$2:$D$1601,$AS175)*1000000/$AB175,""))</f>
        <v/>
      </c>
    </row>
    <row r="176" spans="1:47">
      <c r="A176" t="str">
        <f>IF($AS176="","",INDEX('TMP Paste'!$B$2:$B$1601,$AS176))</f>
        <v/>
      </c>
      <c r="B176" t="str">
        <f>IF($AS176="","",Config!$B$14)</f>
        <v/>
      </c>
      <c r="C176" t="str">
        <f>IF($AS176="","",Config!$B$15)</f>
        <v/>
      </c>
      <c r="D176" t="str">
        <f>IF($AS176="","",INDEX('TMP Paste'!$B$2:$B$1601,$AS176))</f>
        <v/>
      </c>
      <c r="E176" t="str">
        <f>IF($AS176="","",Config!$B$27)</f>
        <v/>
      </c>
      <c r="F176" t="str">
        <f>IF($AS176="","",Config!$B$9)</f>
        <v/>
      </c>
      <c r="G176" t="str">
        <f>IF($AS176="","",Config!$B$10)</f>
        <v/>
      </c>
      <c r="H176" t="str">
        <f>IF($AS176="","",Config!$B$11)</f>
        <v/>
      </c>
      <c r="I176" t="str">
        <f>IF($AS176="","",Config!$B$16)</f>
        <v/>
      </c>
      <c r="J176" t="str">
        <f>IF($AS176="","",INDEX('TMP Paste'!$A$2:$A$1601,$AS176))</f>
        <v/>
      </c>
      <c r="K176" t="str">
        <f>IF($AS176="","",INDEX('TMP Paste'!$L$2:$L$1601,$AS176))</f>
        <v/>
      </c>
      <c r="L176" t="str">
        <f>IF($AS176="","",INDEX('TMP Paste'!$I$2:$I$1601,$AS176))</f>
        <v/>
      </c>
      <c r="M176" t="str">
        <f>IF($AS176="","",Config!$B$16)</f>
        <v/>
      </c>
      <c r="N176" t="str">
        <f t="shared" si="12"/>
        <v/>
      </c>
      <c r="O176" t="str">
        <f>IF($AS176="","",INDEX('TMP Paste'!$K$2:$K$1601,$AS176))</f>
        <v/>
      </c>
      <c r="P176" t="str">
        <f t="shared" si="13"/>
        <v/>
      </c>
      <c r="Q176" t="str">
        <f>IF($AS176="","",INDEX('TMP Paste'!$J$2:$J$1601,$AS176))</f>
        <v/>
      </c>
      <c r="R176" t="str">
        <f>IF($AS176="","",Config!$B$24)</f>
        <v/>
      </c>
      <c r="S176" t="str">
        <f ca="1">IF($AS176="","",TEXT(Config!$B$4,"yyyy-mm-dd"))</f>
        <v/>
      </c>
      <c r="T176" t="str">
        <f>IF($AS176="","",Config!$B$17)</f>
        <v/>
      </c>
      <c r="U176" t="str">
        <f>IF($AS176="","",Config!$B$18)</f>
        <v/>
      </c>
      <c r="V176" t="str">
        <f>IF($AS176="","",Config!$B$19)</f>
        <v/>
      </c>
      <c r="W176" t="str">
        <f>IF($AS176="","",INDEX('TMP Paste'!$C$2:$C$1601,$AS176))</f>
        <v/>
      </c>
      <c r="X176" t="str">
        <f>IF($AS176="","",Config!$B$29)</f>
        <v/>
      </c>
      <c r="Y176" t="str">
        <f>IF($AT176="","",INDEX(Calc!$I$2:$I$1601,$AT176)&amp;" - "&amp;INDEX(Calc!$D$2:$D$1601,$AT176)&amp;" koli")</f>
        <v/>
      </c>
      <c r="Z176" t="str">
        <f>IF($AS176="","",Config!$B$21)</f>
        <v/>
      </c>
      <c r="AA176" t="str">
        <f>IF($AS176="","",Config!$B$22)</f>
        <v/>
      </c>
      <c r="AB176" t="str">
        <f>IF($AT176="","",INDEX(Calc!$D$2:$D$1601,$AT176))</f>
        <v/>
      </c>
      <c r="AC176" t="str">
        <f>IF($AT176="","",INDEX(Calc!$G$2:$G$1601,$AT176))</f>
        <v/>
      </c>
      <c r="AD176" t="str">
        <f>IF($AS176="","",Config!$B$23)</f>
        <v/>
      </c>
      <c r="AE176" t="str">
        <f>IF($AS176="","",Config!$B$28)</f>
        <v/>
      </c>
      <c r="AF176" t="str">
        <f t="shared" si="14"/>
        <v/>
      </c>
      <c r="AG176" t="str">
        <f t="shared" si="15"/>
        <v/>
      </c>
      <c r="AH176" t="str">
        <f t="shared" si="16"/>
        <v/>
      </c>
      <c r="AI176" t="str">
        <f>IF($AG176="","",SUMIF($AG$2:$AG176,$AG176,$AH$2:$AH176))</f>
        <v/>
      </c>
      <c r="AJ176" t="str">
        <f>IF('TMP Paste'!$F176="","",IF('TMP Paste'!$B176="",$AJ175,'TMP Paste'!$B176))</f>
        <v>AWB02WLW5</v>
      </c>
      <c r="AK176">
        <f>IF('TMP Paste'!$F176="","",N('TMP Paste'!$G176))</f>
        <v>0</v>
      </c>
      <c r="AL176">
        <f>IF('TMP Paste'!$F176="","",IF('TMP Paste'!$M176="",$AL175,'TMP Paste'!$M176))</f>
        <v>1</v>
      </c>
      <c r="AM176" t="str">
        <f>IF('TMP Paste'!$F176="","",IF('TMP Paste'!$N176="",$AM175,'TMP Paste'!$N176))</f>
        <v/>
      </c>
      <c r="AN176" t="str">
        <f>IF('TMP Paste'!$F176="","",IF('TMP Paste'!$O176="",$AN175,'TMP Paste'!$O176))</f>
        <v/>
      </c>
      <c r="AO176" t="str">
        <f>IF('TMP Paste'!$F176="","",IF('TMP Paste'!$P176="",$AO175,'TMP Paste'!$P176))</f>
        <v/>
      </c>
      <c r="AP176" t="str">
        <f t="shared" si="17"/>
        <v/>
      </c>
      <c r="AQ176" t="str">
        <f>IF($AS176="","",TRIM(IF(COUNTIFS(Calc!$B$2:$B$1601,ROW()-1,Calc!$C$2:$C$1601,"&lt;1")&gt;0,"Ada PO tanpa Koli - cek TMP. ","")&amp;IF(OR($AU176="",$AU176&lt;=0),"Volume kosong/0 - dimensi dikosongkan. ","")&amp;IF(AND($AU176&lt;&gt;"",$AU176&gt;=1000000),"Volume &gt;= 1.000.000 cm3 (di luar aturan) - dimensi dikosongkan. ","")&amp;IF(LEN($R176)&gt;500,"R &gt; 500 karakter.","")))</f>
        <v/>
      </c>
      <c r="AS176" t="str">
        <f>IFERROR(MATCH(ROW()-1,Calc!$J$2:$J$1601,0),"")</f>
        <v/>
      </c>
      <c r="AT176" t="str">
        <f>IFERROR(MATCH(ROW()-1,Calc!$K$2:$K$1601,0),"")</f>
        <v/>
      </c>
      <c r="AU176" t="str">
        <f>IF($AS176="","",IFERROR(INDEX('TMP Paste'!$D$2:$D$1601,$AS176)*1000000/$AB176,""))</f>
        <v/>
      </c>
    </row>
    <row r="177" spans="1:47">
      <c r="A177" t="str">
        <f>IF($AS177="","",INDEX('TMP Paste'!$B$2:$B$1601,$AS177))</f>
        <v/>
      </c>
      <c r="B177" t="str">
        <f>IF($AS177="","",Config!$B$14)</f>
        <v/>
      </c>
      <c r="C177" t="str">
        <f>IF($AS177="","",Config!$B$15)</f>
        <v/>
      </c>
      <c r="D177" t="str">
        <f>IF($AS177="","",INDEX('TMP Paste'!$B$2:$B$1601,$AS177))</f>
        <v/>
      </c>
      <c r="E177" t="str">
        <f>IF($AS177="","",Config!$B$27)</f>
        <v/>
      </c>
      <c r="F177" t="str">
        <f>IF($AS177="","",Config!$B$9)</f>
        <v/>
      </c>
      <c r="G177" t="str">
        <f>IF($AS177="","",Config!$B$10)</f>
        <v/>
      </c>
      <c r="H177" t="str">
        <f>IF($AS177="","",Config!$B$11)</f>
        <v/>
      </c>
      <c r="I177" t="str">
        <f>IF($AS177="","",Config!$B$16)</f>
        <v/>
      </c>
      <c r="J177" t="str">
        <f>IF($AS177="","",INDEX('TMP Paste'!$A$2:$A$1601,$AS177))</f>
        <v/>
      </c>
      <c r="K177" t="str">
        <f>IF($AS177="","",INDEX('TMP Paste'!$L$2:$L$1601,$AS177))</f>
        <v/>
      </c>
      <c r="L177" t="str">
        <f>IF($AS177="","",INDEX('TMP Paste'!$I$2:$I$1601,$AS177))</f>
        <v/>
      </c>
      <c r="M177" t="str">
        <f>IF($AS177="","",Config!$B$16)</f>
        <v/>
      </c>
      <c r="N177" t="str">
        <f t="shared" si="12"/>
        <v/>
      </c>
      <c r="O177" t="str">
        <f>IF($AS177="","",INDEX('TMP Paste'!$K$2:$K$1601,$AS177))</f>
        <v/>
      </c>
      <c r="P177" t="str">
        <f t="shared" si="13"/>
        <v/>
      </c>
      <c r="Q177" t="str">
        <f>IF($AS177="","",INDEX('TMP Paste'!$J$2:$J$1601,$AS177))</f>
        <v/>
      </c>
      <c r="R177" t="str">
        <f>IF($AS177="","",Config!$B$24)</f>
        <v/>
      </c>
      <c r="S177" t="str">
        <f ca="1">IF($AS177="","",TEXT(Config!$B$4,"yyyy-mm-dd"))</f>
        <v/>
      </c>
      <c r="T177" t="str">
        <f>IF($AS177="","",Config!$B$17)</f>
        <v/>
      </c>
      <c r="U177" t="str">
        <f>IF($AS177="","",Config!$B$18)</f>
        <v/>
      </c>
      <c r="V177" t="str">
        <f>IF($AS177="","",Config!$B$19)</f>
        <v/>
      </c>
      <c r="W177" t="str">
        <f>IF($AS177="","",INDEX('TMP Paste'!$C$2:$C$1601,$AS177))</f>
        <v/>
      </c>
      <c r="X177" t="str">
        <f>IF($AS177="","",Config!$B$29)</f>
        <v/>
      </c>
      <c r="Y177" t="str">
        <f>IF($AT177="","",INDEX(Calc!$I$2:$I$1601,$AT177)&amp;" - "&amp;INDEX(Calc!$D$2:$D$1601,$AT177)&amp;" koli")</f>
        <v/>
      </c>
      <c r="Z177" t="str">
        <f>IF($AS177="","",Config!$B$21)</f>
        <v/>
      </c>
      <c r="AA177" t="str">
        <f>IF($AS177="","",Config!$B$22)</f>
        <v/>
      </c>
      <c r="AB177" t="str">
        <f>IF($AT177="","",INDEX(Calc!$D$2:$D$1601,$AT177))</f>
        <v/>
      </c>
      <c r="AC177" t="str">
        <f>IF($AT177="","",INDEX(Calc!$G$2:$G$1601,$AT177))</f>
        <v/>
      </c>
      <c r="AD177" t="str">
        <f>IF($AS177="","",Config!$B$23)</f>
        <v/>
      </c>
      <c r="AE177" t="str">
        <f>IF($AS177="","",Config!$B$28)</f>
        <v/>
      </c>
      <c r="AF177" t="str">
        <f t="shared" si="14"/>
        <v/>
      </c>
      <c r="AG177" t="str">
        <f t="shared" si="15"/>
        <v/>
      </c>
      <c r="AH177" t="str">
        <f t="shared" si="16"/>
        <v/>
      </c>
      <c r="AI177" t="str">
        <f>IF($AG177="","",SUMIF($AG$2:$AG177,$AG177,$AH$2:$AH177))</f>
        <v/>
      </c>
      <c r="AJ177" t="str">
        <f>IF('TMP Paste'!$F177="","",IF('TMP Paste'!$B177="",$AJ176,'TMP Paste'!$B177))</f>
        <v/>
      </c>
      <c r="AK177" t="str">
        <f>IF('TMP Paste'!$F177="","",N('TMP Paste'!$G177))</f>
        <v/>
      </c>
      <c r="AL177" t="str">
        <f>IF('TMP Paste'!$F177="","",IF('TMP Paste'!$M177="",$AL176,'TMP Paste'!$M177))</f>
        <v/>
      </c>
      <c r="AM177" t="str">
        <f>IF('TMP Paste'!$F177="","",IF('TMP Paste'!$N177="",$AM176,'TMP Paste'!$N177))</f>
        <v/>
      </c>
      <c r="AN177" t="str">
        <f>IF('TMP Paste'!$F177="","",IF('TMP Paste'!$O177="",$AN176,'TMP Paste'!$O177))</f>
        <v/>
      </c>
      <c r="AO177" t="str">
        <f>IF('TMP Paste'!$F177="","",IF('TMP Paste'!$P177="",$AO176,'TMP Paste'!$P177))</f>
        <v/>
      </c>
      <c r="AP177" t="str">
        <f t="shared" si="17"/>
        <v/>
      </c>
      <c r="AQ177" t="str">
        <f>IF($AS177="","",TRIM(IF(COUNTIFS(Calc!$B$2:$B$1601,ROW()-1,Calc!$C$2:$C$1601,"&lt;1")&gt;0,"Ada PO tanpa Koli - cek TMP. ","")&amp;IF(OR($AU177="",$AU177&lt;=0),"Volume kosong/0 - dimensi dikosongkan. ","")&amp;IF(AND($AU177&lt;&gt;"",$AU177&gt;=1000000),"Volume &gt;= 1.000.000 cm3 (di luar aturan) - dimensi dikosongkan. ","")&amp;IF(LEN($R177)&gt;500,"R &gt; 500 karakter.","")))</f>
        <v/>
      </c>
      <c r="AS177" t="str">
        <f>IFERROR(MATCH(ROW()-1,Calc!$J$2:$J$1601,0),"")</f>
        <v/>
      </c>
      <c r="AT177" t="str">
        <f>IFERROR(MATCH(ROW()-1,Calc!$K$2:$K$1601,0),"")</f>
        <v/>
      </c>
      <c r="AU177" t="str">
        <f>IF($AS177="","",IFERROR(INDEX('TMP Paste'!$D$2:$D$1601,$AS177)*1000000/$AB177,""))</f>
        <v/>
      </c>
    </row>
    <row r="178" spans="1:47">
      <c r="A178" t="str">
        <f>IF($AS178="","",INDEX('TMP Paste'!$B$2:$B$1601,$AS178))</f>
        <v/>
      </c>
      <c r="B178" t="str">
        <f>IF($AS178="","",Config!$B$14)</f>
        <v/>
      </c>
      <c r="C178" t="str">
        <f>IF($AS178="","",Config!$B$15)</f>
        <v/>
      </c>
      <c r="D178" t="str">
        <f>IF($AS178="","",INDEX('TMP Paste'!$B$2:$B$1601,$AS178))</f>
        <v/>
      </c>
      <c r="E178" t="str">
        <f>IF($AS178="","",Config!$B$27)</f>
        <v/>
      </c>
      <c r="F178" t="str">
        <f>IF($AS178="","",Config!$B$9)</f>
        <v/>
      </c>
      <c r="G178" t="str">
        <f>IF($AS178="","",Config!$B$10)</f>
        <v/>
      </c>
      <c r="H178" t="str">
        <f>IF($AS178="","",Config!$B$11)</f>
        <v/>
      </c>
      <c r="I178" t="str">
        <f>IF($AS178="","",Config!$B$16)</f>
        <v/>
      </c>
      <c r="J178" t="str">
        <f>IF($AS178="","",INDEX('TMP Paste'!$A$2:$A$1601,$AS178))</f>
        <v/>
      </c>
      <c r="K178" t="str">
        <f>IF($AS178="","",INDEX('TMP Paste'!$L$2:$L$1601,$AS178))</f>
        <v/>
      </c>
      <c r="L178" t="str">
        <f>IF($AS178="","",INDEX('TMP Paste'!$I$2:$I$1601,$AS178))</f>
        <v/>
      </c>
      <c r="M178" t="str">
        <f>IF($AS178="","",Config!$B$16)</f>
        <v/>
      </c>
      <c r="N178" t="str">
        <f t="shared" si="12"/>
        <v/>
      </c>
      <c r="O178" t="str">
        <f>IF($AS178="","",INDEX('TMP Paste'!$K$2:$K$1601,$AS178))</f>
        <v/>
      </c>
      <c r="P178" t="str">
        <f t="shared" si="13"/>
        <v/>
      </c>
      <c r="Q178" t="str">
        <f>IF($AS178="","",INDEX('TMP Paste'!$J$2:$J$1601,$AS178))</f>
        <v/>
      </c>
      <c r="R178" t="str">
        <f>IF($AS178="","",Config!$B$24)</f>
        <v/>
      </c>
      <c r="S178" t="str">
        <f ca="1">IF($AS178="","",TEXT(Config!$B$4,"yyyy-mm-dd"))</f>
        <v/>
      </c>
      <c r="T178" t="str">
        <f>IF($AS178="","",Config!$B$17)</f>
        <v/>
      </c>
      <c r="U178" t="str">
        <f>IF($AS178="","",Config!$B$18)</f>
        <v/>
      </c>
      <c r="V178" t="str">
        <f>IF($AS178="","",Config!$B$19)</f>
        <v/>
      </c>
      <c r="W178" t="str">
        <f>IF($AS178="","",INDEX('TMP Paste'!$C$2:$C$1601,$AS178))</f>
        <v/>
      </c>
      <c r="X178" t="str">
        <f>IF($AS178="","",Config!$B$29)</f>
        <v/>
      </c>
      <c r="Y178" t="str">
        <f>IF($AT178="","",INDEX(Calc!$I$2:$I$1601,$AT178)&amp;" - "&amp;INDEX(Calc!$D$2:$D$1601,$AT178)&amp;" koli")</f>
        <v/>
      </c>
      <c r="Z178" t="str">
        <f>IF($AS178="","",Config!$B$21)</f>
        <v/>
      </c>
      <c r="AA178" t="str">
        <f>IF($AS178="","",Config!$B$22)</f>
        <v/>
      </c>
      <c r="AB178" t="str">
        <f>IF($AT178="","",INDEX(Calc!$D$2:$D$1601,$AT178))</f>
        <v/>
      </c>
      <c r="AC178" t="str">
        <f>IF($AT178="","",INDEX(Calc!$G$2:$G$1601,$AT178))</f>
        <v/>
      </c>
      <c r="AD178" t="str">
        <f>IF($AS178="","",Config!$B$23)</f>
        <v/>
      </c>
      <c r="AE178" t="str">
        <f>IF($AS178="","",Config!$B$28)</f>
        <v/>
      </c>
      <c r="AF178" t="str">
        <f t="shared" si="14"/>
        <v/>
      </c>
      <c r="AG178" t="str">
        <f t="shared" si="15"/>
        <v/>
      </c>
      <c r="AH178" t="str">
        <f t="shared" si="16"/>
        <v/>
      </c>
      <c r="AI178" t="str">
        <f>IF($AG178="","",SUMIF($AG$2:$AG178,$AG178,$AH$2:$AH178))</f>
        <v/>
      </c>
      <c r="AJ178" t="str">
        <f>IF('TMP Paste'!$F178="","",IF('TMP Paste'!$B178="",$AJ177,'TMP Paste'!$B178))</f>
        <v/>
      </c>
      <c r="AK178" t="str">
        <f>IF('TMP Paste'!$F178="","",N('TMP Paste'!$G178))</f>
        <v/>
      </c>
      <c r="AL178" t="str">
        <f>IF('TMP Paste'!$F178="","",IF('TMP Paste'!$M178="",$AL177,'TMP Paste'!$M178))</f>
        <v/>
      </c>
      <c r="AM178" t="str">
        <f>IF('TMP Paste'!$F178="","",IF('TMP Paste'!$N178="",$AM177,'TMP Paste'!$N178))</f>
        <v/>
      </c>
      <c r="AN178" t="str">
        <f>IF('TMP Paste'!$F178="","",IF('TMP Paste'!$O178="",$AN177,'TMP Paste'!$O178))</f>
        <v/>
      </c>
      <c r="AO178" t="str">
        <f>IF('TMP Paste'!$F178="","",IF('TMP Paste'!$P178="",$AO177,'TMP Paste'!$P178))</f>
        <v/>
      </c>
      <c r="AP178" t="str">
        <f t="shared" si="17"/>
        <v/>
      </c>
      <c r="AQ178" t="str">
        <f>IF($AS178="","",TRIM(IF(COUNTIFS(Calc!$B$2:$B$1601,ROW()-1,Calc!$C$2:$C$1601,"&lt;1")&gt;0,"Ada PO tanpa Koli - cek TMP. ","")&amp;IF(OR($AU178="",$AU178&lt;=0),"Volume kosong/0 - dimensi dikosongkan. ","")&amp;IF(AND($AU178&lt;&gt;"",$AU178&gt;=1000000),"Volume &gt;= 1.000.000 cm3 (di luar aturan) - dimensi dikosongkan. ","")&amp;IF(LEN($R178)&gt;500,"R &gt; 500 karakter.","")))</f>
        <v/>
      </c>
      <c r="AS178" t="str">
        <f>IFERROR(MATCH(ROW()-1,Calc!$J$2:$J$1601,0),"")</f>
        <v/>
      </c>
      <c r="AT178" t="str">
        <f>IFERROR(MATCH(ROW()-1,Calc!$K$2:$K$1601,0),"")</f>
        <v/>
      </c>
      <c r="AU178" t="str">
        <f>IF($AS178="","",IFERROR(INDEX('TMP Paste'!$D$2:$D$1601,$AS178)*1000000/$AB178,""))</f>
        <v/>
      </c>
    </row>
    <row r="179" spans="1:47">
      <c r="A179" t="str">
        <f>IF($AS179="","",INDEX('TMP Paste'!$B$2:$B$1601,$AS179))</f>
        <v/>
      </c>
      <c r="B179" t="str">
        <f>IF($AS179="","",Config!$B$14)</f>
        <v/>
      </c>
      <c r="C179" t="str">
        <f>IF($AS179="","",Config!$B$15)</f>
        <v/>
      </c>
      <c r="D179" t="str">
        <f>IF($AS179="","",INDEX('TMP Paste'!$B$2:$B$1601,$AS179))</f>
        <v/>
      </c>
      <c r="E179" t="str">
        <f>IF($AS179="","",Config!$B$27)</f>
        <v/>
      </c>
      <c r="F179" t="str">
        <f>IF($AS179="","",Config!$B$9)</f>
        <v/>
      </c>
      <c r="G179" t="str">
        <f>IF($AS179="","",Config!$B$10)</f>
        <v/>
      </c>
      <c r="H179" t="str">
        <f>IF($AS179="","",Config!$B$11)</f>
        <v/>
      </c>
      <c r="I179" t="str">
        <f>IF($AS179="","",Config!$B$16)</f>
        <v/>
      </c>
      <c r="J179" t="str">
        <f>IF($AS179="","",INDEX('TMP Paste'!$A$2:$A$1601,$AS179))</f>
        <v/>
      </c>
      <c r="K179" t="str">
        <f>IF($AS179="","",INDEX('TMP Paste'!$L$2:$L$1601,$AS179))</f>
        <v/>
      </c>
      <c r="L179" t="str">
        <f>IF($AS179="","",INDEX('TMP Paste'!$I$2:$I$1601,$AS179))</f>
        <v/>
      </c>
      <c r="M179" t="str">
        <f>IF($AS179="","",Config!$B$16)</f>
        <v/>
      </c>
      <c r="N179" t="str">
        <f t="shared" si="12"/>
        <v/>
      </c>
      <c r="O179" t="str">
        <f>IF($AS179="","",INDEX('TMP Paste'!$K$2:$K$1601,$AS179))</f>
        <v/>
      </c>
      <c r="P179" t="str">
        <f t="shared" si="13"/>
        <v/>
      </c>
      <c r="Q179" t="str">
        <f>IF($AS179="","",INDEX('TMP Paste'!$J$2:$J$1601,$AS179))</f>
        <v/>
      </c>
      <c r="R179" t="str">
        <f>IF($AS179="","",Config!$B$24)</f>
        <v/>
      </c>
      <c r="S179" t="str">
        <f ca="1">IF($AS179="","",TEXT(Config!$B$4,"yyyy-mm-dd"))</f>
        <v/>
      </c>
      <c r="T179" t="str">
        <f>IF($AS179="","",Config!$B$17)</f>
        <v/>
      </c>
      <c r="U179" t="str">
        <f>IF($AS179="","",Config!$B$18)</f>
        <v/>
      </c>
      <c r="V179" t="str">
        <f>IF($AS179="","",Config!$B$19)</f>
        <v/>
      </c>
      <c r="W179" t="str">
        <f>IF($AS179="","",INDEX('TMP Paste'!$C$2:$C$1601,$AS179))</f>
        <v/>
      </c>
      <c r="X179" t="str">
        <f>IF($AS179="","",Config!$B$29)</f>
        <v/>
      </c>
      <c r="Y179" t="str">
        <f>IF($AT179="","",INDEX(Calc!$I$2:$I$1601,$AT179)&amp;" - "&amp;INDEX(Calc!$D$2:$D$1601,$AT179)&amp;" koli")</f>
        <v/>
      </c>
      <c r="Z179" t="str">
        <f>IF($AS179="","",Config!$B$21)</f>
        <v/>
      </c>
      <c r="AA179" t="str">
        <f>IF($AS179="","",Config!$B$22)</f>
        <v/>
      </c>
      <c r="AB179" t="str">
        <f>IF($AT179="","",INDEX(Calc!$D$2:$D$1601,$AT179))</f>
        <v/>
      </c>
      <c r="AC179" t="str">
        <f>IF($AT179="","",INDEX(Calc!$G$2:$G$1601,$AT179))</f>
        <v/>
      </c>
      <c r="AD179" t="str">
        <f>IF($AS179="","",Config!$B$23)</f>
        <v/>
      </c>
      <c r="AE179" t="str">
        <f>IF($AS179="","",Config!$B$28)</f>
        <v/>
      </c>
      <c r="AF179" t="str">
        <f t="shared" si="14"/>
        <v/>
      </c>
      <c r="AG179" t="str">
        <f t="shared" si="15"/>
        <v/>
      </c>
      <c r="AH179" t="str">
        <f t="shared" si="16"/>
        <v/>
      </c>
      <c r="AI179" t="str">
        <f>IF($AG179="","",SUMIF($AG$2:$AG179,$AG179,$AH$2:$AH179))</f>
        <v/>
      </c>
      <c r="AJ179" t="str">
        <f>IF('TMP Paste'!$F179="","",IF('TMP Paste'!$B179="",$AJ178,'TMP Paste'!$B179))</f>
        <v>AWB02WHR8</v>
      </c>
      <c r="AK179">
        <f>IF('TMP Paste'!$F179="","",N('TMP Paste'!$G179))</f>
        <v>0</v>
      </c>
      <c r="AL179">
        <f>IF('TMP Paste'!$F179="","",IF('TMP Paste'!$M179="",$AL178,'TMP Paste'!$M179))</f>
        <v>1</v>
      </c>
      <c r="AM179" t="str">
        <f>IF('TMP Paste'!$F179="","",IF('TMP Paste'!$N179="",$AM178,'TMP Paste'!$N179))</f>
        <v/>
      </c>
      <c r="AN179" t="str">
        <f>IF('TMP Paste'!$F179="","",IF('TMP Paste'!$O179="",$AN178,'TMP Paste'!$O179))</f>
        <v/>
      </c>
      <c r="AO179" t="str">
        <f>IF('TMP Paste'!$F179="","",IF('TMP Paste'!$P179="",$AO178,'TMP Paste'!$P179))</f>
        <v/>
      </c>
      <c r="AP179" t="str">
        <f t="shared" si="17"/>
        <v/>
      </c>
      <c r="AQ179" t="str">
        <f>IF($AS179="","",TRIM(IF(COUNTIFS(Calc!$B$2:$B$1601,ROW()-1,Calc!$C$2:$C$1601,"&lt;1")&gt;0,"Ada PO tanpa Koli - cek TMP. ","")&amp;IF(OR($AU179="",$AU179&lt;=0),"Volume kosong/0 - dimensi dikosongkan. ","")&amp;IF(AND($AU179&lt;&gt;"",$AU179&gt;=1000000),"Volume &gt;= 1.000.000 cm3 (di luar aturan) - dimensi dikosongkan. ","")&amp;IF(LEN($R179)&gt;500,"R &gt; 500 karakter.","")))</f>
        <v/>
      </c>
      <c r="AS179" t="str">
        <f>IFERROR(MATCH(ROW()-1,Calc!$J$2:$J$1601,0),"")</f>
        <v/>
      </c>
      <c r="AT179" t="str">
        <f>IFERROR(MATCH(ROW()-1,Calc!$K$2:$K$1601,0),"")</f>
        <v/>
      </c>
      <c r="AU179" t="str">
        <f>IF($AS179="","",IFERROR(INDEX('TMP Paste'!$D$2:$D$1601,$AS179)*1000000/$AB179,""))</f>
        <v/>
      </c>
    </row>
    <row r="180" spans="1:47">
      <c r="A180" t="str">
        <f>IF($AS180="","",INDEX('TMP Paste'!$B$2:$B$1601,$AS180))</f>
        <v/>
      </c>
      <c r="B180" t="str">
        <f>IF($AS180="","",Config!$B$14)</f>
        <v/>
      </c>
      <c r="C180" t="str">
        <f>IF($AS180="","",Config!$B$15)</f>
        <v/>
      </c>
      <c r="D180" t="str">
        <f>IF($AS180="","",INDEX('TMP Paste'!$B$2:$B$1601,$AS180))</f>
        <v/>
      </c>
      <c r="E180" t="str">
        <f>IF($AS180="","",Config!$B$27)</f>
        <v/>
      </c>
      <c r="F180" t="str">
        <f>IF($AS180="","",Config!$B$9)</f>
        <v/>
      </c>
      <c r="G180" t="str">
        <f>IF($AS180="","",Config!$B$10)</f>
        <v/>
      </c>
      <c r="H180" t="str">
        <f>IF($AS180="","",Config!$B$11)</f>
        <v/>
      </c>
      <c r="I180" t="str">
        <f>IF($AS180="","",Config!$B$16)</f>
        <v/>
      </c>
      <c r="J180" t="str">
        <f>IF($AS180="","",INDEX('TMP Paste'!$A$2:$A$1601,$AS180))</f>
        <v/>
      </c>
      <c r="K180" t="str">
        <f>IF($AS180="","",INDEX('TMP Paste'!$L$2:$L$1601,$AS180))</f>
        <v/>
      </c>
      <c r="L180" t="str">
        <f>IF($AS180="","",INDEX('TMP Paste'!$I$2:$I$1601,$AS180))</f>
        <v/>
      </c>
      <c r="M180" t="str">
        <f>IF($AS180="","",Config!$B$16)</f>
        <v/>
      </c>
      <c r="N180" t="str">
        <f t="shared" si="12"/>
        <v/>
      </c>
      <c r="O180" t="str">
        <f>IF($AS180="","",INDEX('TMP Paste'!$K$2:$K$1601,$AS180))</f>
        <v/>
      </c>
      <c r="P180" t="str">
        <f t="shared" si="13"/>
        <v/>
      </c>
      <c r="Q180" t="str">
        <f>IF($AS180="","",INDEX('TMP Paste'!$J$2:$J$1601,$AS180))</f>
        <v/>
      </c>
      <c r="R180" t="str">
        <f>IF($AS180="","",Config!$B$24)</f>
        <v/>
      </c>
      <c r="S180" t="str">
        <f ca="1">IF($AS180="","",TEXT(Config!$B$4,"yyyy-mm-dd"))</f>
        <v/>
      </c>
      <c r="T180" t="str">
        <f>IF($AS180="","",Config!$B$17)</f>
        <v/>
      </c>
      <c r="U180" t="str">
        <f>IF($AS180="","",Config!$B$18)</f>
        <v/>
      </c>
      <c r="V180" t="str">
        <f>IF($AS180="","",Config!$B$19)</f>
        <v/>
      </c>
      <c r="W180" t="str">
        <f>IF($AS180="","",INDEX('TMP Paste'!$C$2:$C$1601,$AS180))</f>
        <v/>
      </c>
      <c r="X180" t="str">
        <f>IF($AS180="","",Config!$B$29)</f>
        <v/>
      </c>
      <c r="Y180" t="str">
        <f>IF($AT180="","",INDEX(Calc!$I$2:$I$1601,$AT180)&amp;" - "&amp;INDEX(Calc!$D$2:$D$1601,$AT180)&amp;" koli")</f>
        <v/>
      </c>
      <c r="Z180" t="str">
        <f>IF($AS180="","",Config!$B$21)</f>
        <v/>
      </c>
      <c r="AA180" t="str">
        <f>IF($AS180="","",Config!$B$22)</f>
        <v/>
      </c>
      <c r="AB180" t="str">
        <f>IF($AT180="","",INDEX(Calc!$D$2:$D$1601,$AT180))</f>
        <v/>
      </c>
      <c r="AC180" t="str">
        <f>IF($AT180="","",INDEX(Calc!$G$2:$G$1601,$AT180))</f>
        <v/>
      </c>
      <c r="AD180" t="str">
        <f>IF($AS180="","",Config!$B$23)</f>
        <v/>
      </c>
      <c r="AE180" t="str">
        <f>IF($AS180="","",Config!$B$28)</f>
        <v/>
      </c>
      <c r="AF180" t="str">
        <f t="shared" si="14"/>
        <v/>
      </c>
      <c r="AG180" t="str">
        <f t="shared" si="15"/>
        <v/>
      </c>
      <c r="AH180" t="str">
        <f t="shared" si="16"/>
        <v/>
      </c>
      <c r="AI180" t="str">
        <f>IF($AG180="","",SUMIF($AG$2:$AG180,$AG180,$AH$2:$AH180))</f>
        <v/>
      </c>
      <c r="AJ180" t="str">
        <f>IF('TMP Paste'!$F180="","",IF('TMP Paste'!$B180="",$AJ179,'TMP Paste'!$B180))</f>
        <v/>
      </c>
      <c r="AK180" t="str">
        <f>IF('TMP Paste'!$F180="","",N('TMP Paste'!$G180))</f>
        <v/>
      </c>
      <c r="AL180" t="str">
        <f>IF('TMP Paste'!$F180="","",IF('TMP Paste'!$M180="",$AL179,'TMP Paste'!$M180))</f>
        <v/>
      </c>
      <c r="AM180" t="str">
        <f>IF('TMP Paste'!$F180="","",IF('TMP Paste'!$N180="",$AM179,'TMP Paste'!$N180))</f>
        <v/>
      </c>
      <c r="AN180" t="str">
        <f>IF('TMP Paste'!$F180="","",IF('TMP Paste'!$O180="",$AN179,'TMP Paste'!$O180))</f>
        <v/>
      </c>
      <c r="AO180" t="str">
        <f>IF('TMP Paste'!$F180="","",IF('TMP Paste'!$P180="",$AO179,'TMP Paste'!$P180))</f>
        <v/>
      </c>
      <c r="AP180" t="str">
        <f t="shared" si="17"/>
        <v/>
      </c>
      <c r="AQ180" t="str">
        <f>IF($AS180="","",TRIM(IF(COUNTIFS(Calc!$B$2:$B$1601,ROW()-1,Calc!$C$2:$C$1601,"&lt;1")&gt;0,"Ada PO tanpa Koli - cek TMP. ","")&amp;IF(OR($AU180="",$AU180&lt;=0),"Volume kosong/0 - dimensi dikosongkan. ","")&amp;IF(AND($AU180&lt;&gt;"",$AU180&gt;=1000000),"Volume &gt;= 1.000.000 cm3 (di luar aturan) - dimensi dikosongkan. ","")&amp;IF(LEN($R180)&gt;500,"R &gt; 500 karakter.","")))</f>
        <v/>
      </c>
      <c r="AS180" t="str">
        <f>IFERROR(MATCH(ROW()-1,Calc!$J$2:$J$1601,0),"")</f>
        <v/>
      </c>
      <c r="AT180" t="str">
        <f>IFERROR(MATCH(ROW()-1,Calc!$K$2:$K$1601,0),"")</f>
        <v/>
      </c>
      <c r="AU180" t="str">
        <f>IF($AS180="","",IFERROR(INDEX('TMP Paste'!$D$2:$D$1601,$AS180)*1000000/$AB180,""))</f>
        <v/>
      </c>
    </row>
    <row r="181" spans="1:47">
      <c r="A181" t="str">
        <f>IF($AS181="","",INDEX('TMP Paste'!$B$2:$B$1601,$AS181))</f>
        <v/>
      </c>
      <c r="B181" t="str">
        <f>IF($AS181="","",Config!$B$14)</f>
        <v/>
      </c>
      <c r="C181" t="str">
        <f>IF($AS181="","",Config!$B$15)</f>
        <v/>
      </c>
      <c r="D181" t="str">
        <f>IF($AS181="","",INDEX('TMP Paste'!$B$2:$B$1601,$AS181))</f>
        <v/>
      </c>
      <c r="E181" t="str">
        <f>IF($AS181="","",Config!$B$27)</f>
        <v/>
      </c>
      <c r="F181" t="str">
        <f>IF($AS181="","",Config!$B$9)</f>
        <v/>
      </c>
      <c r="G181" t="str">
        <f>IF($AS181="","",Config!$B$10)</f>
        <v/>
      </c>
      <c r="H181" t="str">
        <f>IF($AS181="","",Config!$B$11)</f>
        <v/>
      </c>
      <c r="I181" t="str">
        <f>IF($AS181="","",Config!$B$16)</f>
        <v/>
      </c>
      <c r="J181" t="str">
        <f>IF($AS181="","",INDEX('TMP Paste'!$A$2:$A$1601,$AS181))</f>
        <v/>
      </c>
      <c r="K181" t="str">
        <f>IF($AS181="","",INDEX('TMP Paste'!$L$2:$L$1601,$AS181))</f>
        <v/>
      </c>
      <c r="L181" t="str">
        <f>IF($AS181="","",INDEX('TMP Paste'!$I$2:$I$1601,$AS181))</f>
        <v/>
      </c>
      <c r="M181" t="str">
        <f>IF($AS181="","",Config!$B$16)</f>
        <v/>
      </c>
      <c r="N181" t="str">
        <f t="shared" si="12"/>
        <v/>
      </c>
      <c r="O181" t="str">
        <f>IF($AS181="","",INDEX('TMP Paste'!$K$2:$K$1601,$AS181))</f>
        <v/>
      </c>
      <c r="P181" t="str">
        <f t="shared" si="13"/>
        <v/>
      </c>
      <c r="Q181" t="str">
        <f>IF($AS181="","",INDEX('TMP Paste'!$J$2:$J$1601,$AS181))</f>
        <v/>
      </c>
      <c r="R181" t="str">
        <f>IF($AS181="","",Config!$B$24)</f>
        <v/>
      </c>
      <c r="S181" t="str">
        <f ca="1">IF($AS181="","",TEXT(Config!$B$4,"yyyy-mm-dd"))</f>
        <v/>
      </c>
      <c r="T181" t="str">
        <f>IF($AS181="","",Config!$B$17)</f>
        <v/>
      </c>
      <c r="U181" t="str">
        <f>IF($AS181="","",Config!$B$18)</f>
        <v/>
      </c>
      <c r="V181" t="str">
        <f>IF($AS181="","",Config!$B$19)</f>
        <v/>
      </c>
      <c r="W181" t="str">
        <f>IF($AS181="","",INDEX('TMP Paste'!$C$2:$C$1601,$AS181))</f>
        <v/>
      </c>
      <c r="X181" t="str">
        <f>IF($AS181="","",Config!$B$29)</f>
        <v/>
      </c>
      <c r="Y181" t="str">
        <f>IF($AT181="","",INDEX(Calc!$I$2:$I$1601,$AT181)&amp;" - "&amp;INDEX(Calc!$D$2:$D$1601,$AT181)&amp;" koli")</f>
        <v/>
      </c>
      <c r="Z181" t="str">
        <f>IF($AS181="","",Config!$B$21)</f>
        <v/>
      </c>
      <c r="AA181" t="str">
        <f>IF($AS181="","",Config!$B$22)</f>
        <v/>
      </c>
      <c r="AB181" t="str">
        <f>IF($AT181="","",INDEX(Calc!$D$2:$D$1601,$AT181))</f>
        <v/>
      </c>
      <c r="AC181" t="str">
        <f>IF($AT181="","",INDEX(Calc!$G$2:$G$1601,$AT181))</f>
        <v/>
      </c>
      <c r="AD181" t="str">
        <f>IF($AS181="","",Config!$B$23)</f>
        <v/>
      </c>
      <c r="AE181" t="str">
        <f>IF($AS181="","",Config!$B$28)</f>
        <v/>
      </c>
      <c r="AF181" t="str">
        <f t="shared" si="14"/>
        <v/>
      </c>
      <c r="AG181" t="str">
        <f t="shared" si="15"/>
        <v/>
      </c>
      <c r="AH181" t="str">
        <f t="shared" si="16"/>
        <v/>
      </c>
      <c r="AI181" t="str">
        <f>IF($AG181="","",SUMIF($AG$2:$AG181,$AG181,$AH$2:$AH181))</f>
        <v/>
      </c>
      <c r="AJ181" t="str">
        <f>IF('TMP Paste'!$F181="","",IF('TMP Paste'!$B181="",$AJ180,'TMP Paste'!$B181))</f>
        <v/>
      </c>
      <c r="AK181" t="str">
        <f>IF('TMP Paste'!$F181="","",N('TMP Paste'!$G181))</f>
        <v/>
      </c>
      <c r="AL181" t="str">
        <f>IF('TMP Paste'!$F181="","",IF('TMP Paste'!$M181="",$AL180,'TMP Paste'!$M181))</f>
        <v/>
      </c>
      <c r="AM181" t="str">
        <f>IF('TMP Paste'!$F181="","",IF('TMP Paste'!$N181="",$AM180,'TMP Paste'!$N181))</f>
        <v/>
      </c>
      <c r="AN181" t="str">
        <f>IF('TMP Paste'!$F181="","",IF('TMP Paste'!$O181="",$AN180,'TMP Paste'!$O181))</f>
        <v/>
      </c>
      <c r="AO181" t="str">
        <f>IF('TMP Paste'!$F181="","",IF('TMP Paste'!$P181="",$AO180,'TMP Paste'!$P181))</f>
        <v/>
      </c>
      <c r="AP181" t="str">
        <f t="shared" si="17"/>
        <v/>
      </c>
      <c r="AQ181" t="str">
        <f>IF($AS181="","",TRIM(IF(COUNTIFS(Calc!$B$2:$B$1601,ROW()-1,Calc!$C$2:$C$1601,"&lt;1")&gt;0,"Ada PO tanpa Koli - cek TMP. ","")&amp;IF(OR($AU181="",$AU181&lt;=0),"Volume kosong/0 - dimensi dikosongkan. ","")&amp;IF(AND($AU181&lt;&gt;"",$AU181&gt;=1000000),"Volume &gt;= 1.000.000 cm3 (di luar aturan) - dimensi dikosongkan. ","")&amp;IF(LEN($R181)&gt;500,"R &gt; 500 karakter.","")))</f>
        <v/>
      </c>
      <c r="AS181" t="str">
        <f>IFERROR(MATCH(ROW()-1,Calc!$J$2:$J$1601,0),"")</f>
        <v/>
      </c>
      <c r="AT181" t="str">
        <f>IFERROR(MATCH(ROW()-1,Calc!$K$2:$K$1601,0),"")</f>
        <v/>
      </c>
      <c r="AU181" t="str">
        <f>IF($AS181="","",IFERROR(INDEX('TMP Paste'!$D$2:$D$1601,$AS181)*1000000/$AB181,""))</f>
        <v/>
      </c>
    </row>
    <row r="182" spans="1:47">
      <c r="A182" t="str">
        <f>IF($AS182="","",INDEX('TMP Paste'!$B$2:$B$1601,$AS182))</f>
        <v/>
      </c>
      <c r="B182" t="str">
        <f>IF($AS182="","",Config!$B$14)</f>
        <v/>
      </c>
      <c r="C182" t="str">
        <f>IF($AS182="","",Config!$B$15)</f>
        <v/>
      </c>
      <c r="D182" t="str">
        <f>IF($AS182="","",INDEX('TMP Paste'!$B$2:$B$1601,$AS182))</f>
        <v/>
      </c>
      <c r="E182" t="str">
        <f>IF($AS182="","",Config!$B$27)</f>
        <v/>
      </c>
      <c r="F182" t="str">
        <f>IF($AS182="","",Config!$B$9)</f>
        <v/>
      </c>
      <c r="G182" t="str">
        <f>IF($AS182="","",Config!$B$10)</f>
        <v/>
      </c>
      <c r="H182" t="str">
        <f>IF($AS182="","",Config!$B$11)</f>
        <v/>
      </c>
      <c r="I182" t="str">
        <f>IF($AS182="","",Config!$B$16)</f>
        <v/>
      </c>
      <c r="J182" t="str">
        <f>IF($AS182="","",INDEX('TMP Paste'!$A$2:$A$1601,$AS182))</f>
        <v/>
      </c>
      <c r="K182" t="str">
        <f>IF($AS182="","",INDEX('TMP Paste'!$L$2:$L$1601,$AS182))</f>
        <v/>
      </c>
      <c r="L182" t="str">
        <f>IF($AS182="","",INDEX('TMP Paste'!$I$2:$I$1601,$AS182))</f>
        <v/>
      </c>
      <c r="M182" t="str">
        <f>IF($AS182="","",Config!$B$16)</f>
        <v/>
      </c>
      <c r="N182" t="str">
        <f t="shared" si="12"/>
        <v/>
      </c>
      <c r="O182" t="str">
        <f>IF($AS182="","",INDEX('TMP Paste'!$K$2:$K$1601,$AS182))</f>
        <v/>
      </c>
      <c r="P182" t="str">
        <f t="shared" si="13"/>
        <v/>
      </c>
      <c r="Q182" t="str">
        <f>IF($AS182="","",INDEX('TMP Paste'!$J$2:$J$1601,$AS182))</f>
        <v/>
      </c>
      <c r="R182" t="str">
        <f>IF($AS182="","",Config!$B$24)</f>
        <v/>
      </c>
      <c r="S182" t="str">
        <f ca="1">IF($AS182="","",TEXT(Config!$B$4,"yyyy-mm-dd"))</f>
        <v/>
      </c>
      <c r="T182" t="str">
        <f>IF($AS182="","",Config!$B$17)</f>
        <v/>
      </c>
      <c r="U182" t="str">
        <f>IF($AS182="","",Config!$B$18)</f>
        <v/>
      </c>
      <c r="V182" t="str">
        <f>IF($AS182="","",Config!$B$19)</f>
        <v/>
      </c>
      <c r="W182" t="str">
        <f>IF($AS182="","",INDEX('TMP Paste'!$C$2:$C$1601,$AS182))</f>
        <v/>
      </c>
      <c r="X182" t="str">
        <f>IF($AS182="","",Config!$B$29)</f>
        <v/>
      </c>
      <c r="Y182" t="str">
        <f>IF($AT182="","",INDEX(Calc!$I$2:$I$1601,$AT182)&amp;" - "&amp;INDEX(Calc!$D$2:$D$1601,$AT182)&amp;" koli")</f>
        <v/>
      </c>
      <c r="Z182" t="str">
        <f>IF($AS182="","",Config!$B$21)</f>
        <v/>
      </c>
      <c r="AA182" t="str">
        <f>IF($AS182="","",Config!$B$22)</f>
        <v/>
      </c>
      <c r="AB182" t="str">
        <f>IF($AT182="","",INDEX(Calc!$D$2:$D$1601,$AT182))</f>
        <v/>
      </c>
      <c r="AC182" t="str">
        <f>IF($AT182="","",INDEX(Calc!$G$2:$G$1601,$AT182))</f>
        <v/>
      </c>
      <c r="AD182" t="str">
        <f>IF($AS182="","",Config!$B$23)</f>
        <v/>
      </c>
      <c r="AE182" t="str">
        <f>IF($AS182="","",Config!$B$28)</f>
        <v/>
      </c>
      <c r="AF182" t="str">
        <f t="shared" si="14"/>
        <v/>
      </c>
      <c r="AG182" t="str">
        <f t="shared" si="15"/>
        <v/>
      </c>
      <c r="AH182" t="str">
        <f t="shared" si="16"/>
        <v/>
      </c>
      <c r="AI182" t="str">
        <f>IF($AG182="","",SUMIF($AG$2:$AG182,$AG182,$AH$2:$AH182))</f>
        <v/>
      </c>
      <c r="AJ182" t="str">
        <f>IF('TMP Paste'!$F182="","",IF('TMP Paste'!$B182="",$AJ181,'TMP Paste'!$B182))</f>
        <v/>
      </c>
      <c r="AK182" t="str">
        <f>IF('TMP Paste'!$F182="","",N('TMP Paste'!$G182))</f>
        <v/>
      </c>
      <c r="AL182" t="str">
        <f>IF('TMP Paste'!$F182="","",IF('TMP Paste'!$M182="",$AL181,'TMP Paste'!$M182))</f>
        <v/>
      </c>
      <c r="AM182" t="str">
        <f>IF('TMP Paste'!$F182="","",IF('TMP Paste'!$N182="",$AM181,'TMP Paste'!$N182))</f>
        <v/>
      </c>
      <c r="AN182" t="str">
        <f>IF('TMP Paste'!$F182="","",IF('TMP Paste'!$O182="",$AN181,'TMP Paste'!$O182))</f>
        <v/>
      </c>
      <c r="AO182" t="str">
        <f>IF('TMP Paste'!$F182="","",IF('TMP Paste'!$P182="",$AO181,'TMP Paste'!$P182))</f>
        <v/>
      </c>
      <c r="AP182" t="str">
        <f t="shared" si="17"/>
        <v/>
      </c>
      <c r="AQ182" t="str">
        <f>IF($AS182="","",TRIM(IF(COUNTIFS(Calc!$B$2:$B$1601,ROW()-1,Calc!$C$2:$C$1601,"&lt;1")&gt;0,"Ada PO tanpa Koli - cek TMP. ","")&amp;IF(OR($AU182="",$AU182&lt;=0),"Volume kosong/0 - dimensi dikosongkan. ","")&amp;IF(AND($AU182&lt;&gt;"",$AU182&gt;=1000000),"Volume &gt;= 1.000.000 cm3 (di luar aturan) - dimensi dikosongkan. ","")&amp;IF(LEN($R182)&gt;500,"R &gt; 500 karakter.","")))</f>
        <v/>
      </c>
      <c r="AS182" t="str">
        <f>IFERROR(MATCH(ROW()-1,Calc!$J$2:$J$1601,0),"")</f>
        <v/>
      </c>
      <c r="AT182" t="str">
        <f>IFERROR(MATCH(ROW()-1,Calc!$K$2:$K$1601,0),"")</f>
        <v/>
      </c>
      <c r="AU182" t="str">
        <f>IF($AS182="","",IFERROR(INDEX('TMP Paste'!$D$2:$D$1601,$AS182)*1000000/$AB182,""))</f>
        <v/>
      </c>
    </row>
    <row r="183" spans="1:47">
      <c r="A183" t="str">
        <f>IF($AS183="","",INDEX('TMP Paste'!$B$2:$B$1601,$AS183))</f>
        <v/>
      </c>
      <c r="B183" t="str">
        <f>IF($AS183="","",Config!$B$14)</f>
        <v/>
      </c>
      <c r="C183" t="str">
        <f>IF($AS183="","",Config!$B$15)</f>
        <v/>
      </c>
      <c r="D183" t="str">
        <f>IF($AS183="","",INDEX('TMP Paste'!$B$2:$B$1601,$AS183))</f>
        <v/>
      </c>
      <c r="E183" t="str">
        <f>IF($AS183="","",Config!$B$27)</f>
        <v/>
      </c>
      <c r="F183" t="str">
        <f>IF($AS183="","",Config!$B$9)</f>
        <v/>
      </c>
      <c r="G183" t="str">
        <f>IF($AS183="","",Config!$B$10)</f>
        <v/>
      </c>
      <c r="H183" t="str">
        <f>IF($AS183="","",Config!$B$11)</f>
        <v/>
      </c>
      <c r="I183" t="str">
        <f>IF($AS183="","",Config!$B$16)</f>
        <v/>
      </c>
      <c r="J183" t="str">
        <f>IF($AS183="","",INDEX('TMP Paste'!$A$2:$A$1601,$AS183))</f>
        <v/>
      </c>
      <c r="K183" t="str">
        <f>IF($AS183="","",INDEX('TMP Paste'!$L$2:$L$1601,$AS183))</f>
        <v/>
      </c>
      <c r="L183" t="str">
        <f>IF($AS183="","",INDEX('TMP Paste'!$I$2:$I$1601,$AS183))</f>
        <v/>
      </c>
      <c r="M183" t="str">
        <f>IF($AS183="","",Config!$B$16)</f>
        <v/>
      </c>
      <c r="N183" t="str">
        <f t="shared" si="12"/>
        <v/>
      </c>
      <c r="O183" t="str">
        <f>IF($AS183="","",INDEX('TMP Paste'!$K$2:$K$1601,$AS183))</f>
        <v/>
      </c>
      <c r="P183" t="str">
        <f t="shared" si="13"/>
        <v/>
      </c>
      <c r="Q183" t="str">
        <f>IF($AS183="","",INDEX('TMP Paste'!$J$2:$J$1601,$AS183))</f>
        <v/>
      </c>
      <c r="R183" t="str">
        <f>IF($AS183="","",Config!$B$24)</f>
        <v/>
      </c>
      <c r="S183" t="str">
        <f ca="1">IF($AS183="","",TEXT(Config!$B$4,"yyyy-mm-dd"))</f>
        <v/>
      </c>
      <c r="T183" t="str">
        <f>IF($AS183="","",Config!$B$17)</f>
        <v/>
      </c>
      <c r="U183" t="str">
        <f>IF($AS183="","",Config!$B$18)</f>
        <v/>
      </c>
      <c r="V183" t="str">
        <f>IF($AS183="","",Config!$B$19)</f>
        <v/>
      </c>
      <c r="W183" t="str">
        <f>IF($AS183="","",INDEX('TMP Paste'!$C$2:$C$1601,$AS183))</f>
        <v/>
      </c>
      <c r="X183" t="str">
        <f>IF($AS183="","",Config!$B$29)</f>
        <v/>
      </c>
      <c r="Y183" t="str">
        <f>IF($AT183="","",INDEX(Calc!$I$2:$I$1601,$AT183)&amp;" - "&amp;INDEX(Calc!$D$2:$D$1601,$AT183)&amp;" koli")</f>
        <v/>
      </c>
      <c r="Z183" t="str">
        <f>IF($AS183="","",Config!$B$21)</f>
        <v/>
      </c>
      <c r="AA183" t="str">
        <f>IF($AS183="","",Config!$B$22)</f>
        <v/>
      </c>
      <c r="AB183" t="str">
        <f>IF($AT183="","",INDEX(Calc!$D$2:$D$1601,$AT183))</f>
        <v/>
      </c>
      <c r="AC183" t="str">
        <f>IF($AT183="","",INDEX(Calc!$G$2:$G$1601,$AT183))</f>
        <v/>
      </c>
      <c r="AD183" t="str">
        <f>IF($AS183="","",Config!$B$23)</f>
        <v/>
      </c>
      <c r="AE183" t="str">
        <f>IF($AS183="","",Config!$B$28)</f>
        <v/>
      </c>
      <c r="AF183" t="str">
        <f t="shared" si="14"/>
        <v/>
      </c>
      <c r="AG183" t="str">
        <f t="shared" si="15"/>
        <v/>
      </c>
      <c r="AH183" t="str">
        <f t="shared" si="16"/>
        <v/>
      </c>
      <c r="AI183" t="str">
        <f>IF($AG183="","",SUMIF($AG$2:$AG183,$AG183,$AH$2:$AH183))</f>
        <v/>
      </c>
      <c r="AJ183" t="str">
        <f>IF('TMP Paste'!$F183="","",IF('TMP Paste'!$B183="",$AJ182,'TMP Paste'!$B183))</f>
        <v>AWB02WMD5</v>
      </c>
      <c r="AK183">
        <f>IF('TMP Paste'!$F183="","",N('TMP Paste'!$G183))</f>
        <v>0</v>
      </c>
      <c r="AL183">
        <f>IF('TMP Paste'!$F183="","",IF('TMP Paste'!$M183="",$AL182,'TMP Paste'!$M183))</f>
        <v>1</v>
      </c>
      <c r="AM183" t="str">
        <f>IF('TMP Paste'!$F183="","",IF('TMP Paste'!$N183="",$AM182,'TMP Paste'!$N183))</f>
        <v/>
      </c>
      <c r="AN183" t="str">
        <f>IF('TMP Paste'!$F183="","",IF('TMP Paste'!$O183="",$AN182,'TMP Paste'!$O183))</f>
        <v/>
      </c>
      <c r="AO183" t="str">
        <f>IF('TMP Paste'!$F183="","",IF('TMP Paste'!$P183="",$AO182,'TMP Paste'!$P183))</f>
        <v/>
      </c>
      <c r="AP183" t="str">
        <f t="shared" si="17"/>
        <v/>
      </c>
      <c r="AQ183" t="str">
        <f>IF($AS183="","",TRIM(IF(COUNTIFS(Calc!$B$2:$B$1601,ROW()-1,Calc!$C$2:$C$1601,"&lt;1")&gt;0,"Ada PO tanpa Koli - cek TMP. ","")&amp;IF(OR($AU183="",$AU183&lt;=0),"Volume kosong/0 - dimensi dikosongkan. ","")&amp;IF(AND($AU183&lt;&gt;"",$AU183&gt;=1000000),"Volume &gt;= 1.000.000 cm3 (di luar aturan) - dimensi dikosongkan. ","")&amp;IF(LEN($R183)&gt;500,"R &gt; 500 karakter.","")))</f>
        <v/>
      </c>
      <c r="AS183" t="str">
        <f>IFERROR(MATCH(ROW()-1,Calc!$J$2:$J$1601,0),"")</f>
        <v/>
      </c>
      <c r="AT183" t="str">
        <f>IFERROR(MATCH(ROW()-1,Calc!$K$2:$K$1601,0),"")</f>
        <v/>
      </c>
      <c r="AU183" t="str">
        <f>IF($AS183="","",IFERROR(INDEX('TMP Paste'!$D$2:$D$1601,$AS183)*1000000/$AB183,""))</f>
        <v/>
      </c>
    </row>
    <row r="184" spans="1:47">
      <c r="A184" t="str">
        <f>IF($AS184="","",INDEX('TMP Paste'!$B$2:$B$1601,$AS184))</f>
        <v/>
      </c>
      <c r="B184" t="str">
        <f>IF($AS184="","",Config!$B$14)</f>
        <v/>
      </c>
      <c r="C184" t="str">
        <f>IF($AS184="","",Config!$B$15)</f>
        <v/>
      </c>
      <c r="D184" t="str">
        <f>IF($AS184="","",INDEX('TMP Paste'!$B$2:$B$1601,$AS184))</f>
        <v/>
      </c>
      <c r="E184" t="str">
        <f>IF($AS184="","",Config!$B$27)</f>
        <v/>
      </c>
      <c r="F184" t="str">
        <f>IF($AS184="","",Config!$B$9)</f>
        <v/>
      </c>
      <c r="G184" t="str">
        <f>IF($AS184="","",Config!$B$10)</f>
        <v/>
      </c>
      <c r="H184" t="str">
        <f>IF($AS184="","",Config!$B$11)</f>
        <v/>
      </c>
      <c r="I184" t="str">
        <f>IF($AS184="","",Config!$B$16)</f>
        <v/>
      </c>
      <c r="J184" t="str">
        <f>IF($AS184="","",INDEX('TMP Paste'!$A$2:$A$1601,$AS184))</f>
        <v/>
      </c>
      <c r="K184" t="str">
        <f>IF($AS184="","",INDEX('TMP Paste'!$L$2:$L$1601,$AS184))</f>
        <v/>
      </c>
      <c r="L184" t="str">
        <f>IF($AS184="","",INDEX('TMP Paste'!$I$2:$I$1601,$AS184))</f>
        <v/>
      </c>
      <c r="M184" t="str">
        <f>IF($AS184="","",Config!$B$16)</f>
        <v/>
      </c>
      <c r="N184" t="str">
        <f t="shared" si="12"/>
        <v/>
      </c>
      <c r="O184" t="str">
        <f>IF($AS184="","",INDEX('TMP Paste'!$K$2:$K$1601,$AS184))</f>
        <v/>
      </c>
      <c r="P184" t="str">
        <f t="shared" si="13"/>
        <v/>
      </c>
      <c r="Q184" t="str">
        <f>IF($AS184="","",INDEX('TMP Paste'!$J$2:$J$1601,$AS184))</f>
        <v/>
      </c>
      <c r="R184" t="str">
        <f>IF($AS184="","",Config!$B$24)</f>
        <v/>
      </c>
      <c r="S184" t="str">
        <f ca="1">IF($AS184="","",TEXT(Config!$B$4,"yyyy-mm-dd"))</f>
        <v/>
      </c>
      <c r="T184" t="str">
        <f>IF($AS184="","",Config!$B$17)</f>
        <v/>
      </c>
      <c r="U184" t="str">
        <f>IF($AS184="","",Config!$B$18)</f>
        <v/>
      </c>
      <c r="V184" t="str">
        <f>IF($AS184="","",Config!$B$19)</f>
        <v/>
      </c>
      <c r="W184" t="str">
        <f>IF($AS184="","",INDEX('TMP Paste'!$C$2:$C$1601,$AS184))</f>
        <v/>
      </c>
      <c r="X184" t="str">
        <f>IF($AS184="","",Config!$B$29)</f>
        <v/>
      </c>
      <c r="Y184" t="str">
        <f>IF($AT184="","",INDEX(Calc!$I$2:$I$1601,$AT184)&amp;" - "&amp;INDEX(Calc!$D$2:$D$1601,$AT184)&amp;" koli")</f>
        <v/>
      </c>
      <c r="Z184" t="str">
        <f>IF($AS184="","",Config!$B$21)</f>
        <v/>
      </c>
      <c r="AA184" t="str">
        <f>IF($AS184="","",Config!$B$22)</f>
        <v/>
      </c>
      <c r="AB184" t="str">
        <f>IF($AT184="","",INDEX(Calc!$D$2:$D$1601,$AT184))</f>
        <v/>
      </c>
      <c r="AC184" t="str">
        <f>IF($AT184="","",INDEX(Calc!$G$2:$G$1601,$AT184))</f>
        <v/>
      </c>
      <c r="AD184" t="str">
        <f>IF($AS184="","",Config!$B$23)</f>
        <v/>
      </c>
      <c r="AE184" t="str">
        <f>IF($AS184="","",Config!$B$28)</f>
        <v/>
      </c>
      <c r="AF184" t="str">
        <f t="shared" si="14"/>
        <v/>
      </c>
      <c r="AG184" t="str">
        <f t="shared" si="15"/>
        <v/>
      </c>
      <c r="AH184" t="str">
        <f t="shared" si="16"/>
        <v/>
      </c>
      <c r="AI184" t="str">
        <f>IF($AG184="","",SUMIF($AG$2:$AG184,$AG184,$AH$2:$AH184))</f>
        <v/>
      </c>
      <c r="AJ184" t="str">
        <f>IF('TMP Paste'!$F184="","",IF('TMP Paste'!$B184="",$AJ183,'TMP Paste'!$B184))</f>
        <v>AWB02WLBN</v>
      </c>
      <c r="AK184">
        <f>IF('TMP Paste'!$F184="","",N('TMP Paste'!$G184))</f>
        <v>0</v>
      </c>
      <c r="AL184">
        <f>IF('TMP Paste'!$F184="","",IF('TMP Paste'!$M184="",$AL183,'TMP Paste'!$M184))</f>
        <v>1</v>
      </c>
      <c r="AM184" t="str">
        <f>IF('TMP Paste'!$F184="","",IF('TMP Paste'!$N184="",$AM183,'TMP Paste'!$N184))</f>
        <v/>
      </c>
      <c r="AN184" t="str">
        <f>IF('TMP Paste'!$F184="","",IF('TMP Paste'!$O184="",$AN183,'TMP Paste'!$O184))</f>
        <v/>
      </c>
      <c r="AO184" t="str">
        <f>IF('TMP Paste'!$F184="","",IF('TMP Paste'!$P184="",$AO183,'TMP Paste'!$P184))</f>
        <v/>
      </c>
      <c r="AP184" t="str">
        <f t="shared" si="17"/>
        <v/>
      </c>
      <c r="AQ184" t="str">
        <f>IF($AS184="","",TRIM(IF(COUNTIFS(Calc!$B$2:$B$1601,ROW()-1,Calc!$C$2:$C$1601,"&lt;1")&gt;0,"Ada PO tanpa Koli - cek TMP. ","")&amp;IF(OR($AU184="",$AU184&lt;=0),"Volume kosong/0 - dimensi dikosongkan. ","")&amp;IF(AND($AU184&lt;&gt;"",$AU184&gt;=1000000),"Volume &gt;= 1.000.000 cm3 (di luar aturan) - dimensi dikosongkan. ","")&amp;IF(LEN($R184)&gt;500,"R &gt; 500 karakter.","")))</f>
        <v/>
      </c>
      <c r="AS184" t="str">
        <f>IFERROR(MATCH(ROW()-1,Calc!$J$2:$J$1601,0),"")</f>
        <v/>
      </c>
      <c r="AT184" t="str">
        <f>IFERROR(MATCH(ROW()-1,Calc!$K$2:$K$1601,0),"")</f>
        <v/>
      </c>
      <c r="AU184" t="str">
        <f>IF($AS184="","",IFERROR(INDEX('TMP Paste'!$D$2:$D$1601,$AS184)*1000000/$AB184,""))</f>
        <v/>
      </c>
    </row>
    <row r="185" spans="1:47">
      <c r="A185" t="str">
        <f>IF($AS185="","",INDEX('TMP Paste'!$B$2:$B$1601,$AS185))</f>
        <v/>
      </c>
      <c r="B185" t="str">
        <f>IF($AS185="","",Config!$B$14)</f>
        <v/>
      </c>
      <c r="C185" t="str">
        <f>IF($AS185="","",Config!$B$15)</f>
        <v/>
      </c>
      <c r="D185" t="str">
        <f>IF($AS185="","",INDEX('TMP Paste'!$B$2:$B$1601,$AS185))</f>
        <v/>
      </c>
      <c r="E185" t="str">
        <f>IF($AS185="","",Config!$B$27)</f>
        <v/>
      </c>
      <c r="F185" t="str">
        <f>IF($AS185="","",Config!$B$9)</f>
        <v/>
      </c>
      <c r="G185" t="str">
        <f>IF($AS185="","",Config!$B$10)</f>
        <v/>
      </c>
      <c r="H185" t="str">
        <f>IF($AS185="","",Config!$B$11)</f>
        <v/>
      </c>
      <c r="I185" t="str">
        <f>IF($AS185="","",Config!$B$16)</f>
        <v/>
      </c>
      <c r="J185" t="str">
        <f>IF($AS185="","",INDEX('TMP Paste'!$A$2:$A$1601,$AS185))</f>
        <v/>
      </c>
      <c r="K185" t="str">
        <f>IF($AS185="","",INDEX('TMP Paste'!$L$2:$L$1601,$AS185))</f>
        <v/>
      </c>
      <c r="L185" t="str">
        <f>IF($AS185="","",INDEX('TMP Paste'!$I$2:$I$1601,$AS185))</f>
        <v/>
      </c>
      <c r="M185" t="str">
        <f>IF($AS185="","",Config!$B$16)</f>
        <v/>
      </c>
      <c r="N185" t="str">
        <f t="shared" si="12"/>
        <v/>
      </c>
      <c r="O185" t="str">
        <f>IF($AS185="","",INDEX('TMP Paste'!$K$2:$K$1601,$AS185))</f>
        <v/>
      </c>
      <c r="P185" t="str">
        <f t="shared" si="13"/>
        <v/>
      </c>
      <c r="Q185" t="str">
        <f>IF($AS185="","",INDEX('TMP Paste'!$J$2:$J$1601,$AS185))</f>
        <v/>
      </c>
      <c r="R185" t="str">
        <f>IF($AS185="","",Config!$B$24)</f>
        <v/>
      </c>
      <c r="S185" t="str">
        <f ca="1">IF($AS185="","",TEXT(Config!$B$4,"yyyy-mm-dd"))</f>
        <v/>
      </c>
      <c r="T185" t="str">
        <f>IF($AS185="","",Config!$B$17)</f>
        <v/>
      </c>
      <c r="U185" t="str">
        <f>IF($AS185="","",Config!$B$18)</f>
        <v/>
      </c>
      <c r="V185" t="str">
        <f>IF($AS185="","",Config!$B$19)</f>
        <v/>
      </c>
      <c r="W185" t="str">
        <f>IF($AS185="","",INDEX('TMP Paste'!$C$2:$C$1601,$AS185))</f>
        <v/>
      </c>
      <c r="X185" t="str">
        <f>IF($AS185="","",Config!$B$29)</f>
        <v/>
      </c>
      <c r="Y185" t="str">
        <f>IF($AT185="","",INDEX(Calc!$I$2:$I$1601,$AT185)&amp;" - "&amp;INDEX(Calc!$D$2:$D$1601,$AT185)&amp;" koli")</f>
        <v/>
      </c>
      <c r="Z185" t="str">
        <f>IF($AS185="","",Config!$B$21)</f>
        <v/>
      </c>
      <c r="AA185" t="str">
        <f>IF($AS185="","",Config!$B$22)</f>
        <v/>
      </c>
      <c r="AB185" t="str">
        <f>IF($AT185="","",INDEX(Calc!$D$2:$D$1601,$AT185))</f>
        <v/>
      </c>
      <c r="AC185" t="str">
        <f>IF($AT185="","",INDEX(Calc!$G$2:$G$1601,$AT185))</f>
        <v/>
      </c>
      <c r="AD185" t="str">
        <f>IF($AS185="","",Config!$B$23)</f>
        <v/>
      </c>
      <c r="AE185" t="str">
        <f>IF($AS185="","",Config!$B$28)</f>
        <v/>
      </c>
      <c r="AF185" t="str">
        <f t="shared" si="14"/>
        <v/>
      </c>
      <c r="AG185" t="str">
        <f t="shared" si="15"/>
        <v/>
      </c>
      <c r="AH185" t="str">
        <f t="shared" si="16"/>
        <v/>
      </c>
      <c r="AI185" t="str">
        <f>IF($AG185="","",SUMIF($AG$2:$AG185,$AG185,$AH$2:$AH185))</f>
        <v/>
      </c>
      <c r="AJ185" t="str">
        <f>IF('TMP Paste'!$F185="","",IF('TMP Paste'!$B185="",$AJ184,'TMP Paste'!$B185))</f>
        <v/>
      </c>
      <c r="AK185" t="str">
        <f>IF('TMP Paste'!$F185="","",N('TMP Paste'!$G185))</f>
        <v/>
      </c>
      <c r="AL185" t="str">
        <f>IF('TMP Paste'!$F185="","",IF('TMP Paste'!$M185="",$AL184,'TMP Paste'!$M185))</f>
        <v/>
      </c>
      <c r="AM185" t="str">
        <f>IF('TMP Paste'!$F185="","",IF('TMP Paste'!$N185="",$AM184,'TMP Paste'!$N185))</f>
        <v/>
      </c>
      <c r="AN185" t="str">
        <f>IF('TMP Paste'!$F185="","",IF('TMP Paste'!$O185="",$AN184,'TMP Paste'!$O185))</f>
        <v/>
      </c>
      <c r="AO185" t="str">
        <f>IF('TMP Paste'!$F185="","",IF('TMP Paste'!$P185="",$AO184,'TMP Paste'!$P185))</f>
        <v/>
      </c>
      <c r="AP185" t="str">
        <f t="shared" si="17"/>
        <v/>
      </c>
      <c r="AQ185" t="str">
        <f>IF($AS185="","",TRIM(IF(COUNTIFS(Calc!$B$2:$B$1601,ROW()-1,Calc!$C$2:$C$1601,"&lt;1")&gt;0,"Ada PO tanpa Koli - cek TMP. ","")&amp;IF(OR($AU185="",$AU185&lt;=0),"Volume kosong/0 - dimensi dikosongkan. ","")&amp;IF(AND($AU185&lt;&gt;"",$AU185&gt;=1000000),"Volume &gt;= 1.000.000 cm3 (di luar aturan) - dimensi dikosongkan. ","")&amp;IF(LEN($R185)&gt;500,"R &gt; 500 karakter.","")))</f>
        <v/>
      </c>
      <c r="AS185" t="str">
        <f>IFERROR(MATCH(ROW()-1,Calc!$J$2:$J$1601,0),"")</f>
        <v/>
      </c>
      <c r="AT185" t="str">
        <f>IFERROR(MATCH(ROW()-1,Calc!$K$2:$K$1601,0),"")</f>
        <v/>
      </c>
      <c r="AU185" t="str">
        <f>IF($AS185="","",IFERROR(INDEX('TMP Paste'!$D$2:$D$1601,$AS185)*1000000/$AB185,""))</f>
        <v/>
      </c>
    </row>
    <row r="186" spans="1:47">
      <c r="A186" t="str">
        <f>IF($AS186="","",INDEX('TMP Paste'!$B$2:$B$1601,$AS186))</f>
        <v/>
      </c>
      <c r="B186" t="str">
        <f>IF($AS186="","",Config!$B$14)</f>
        <v/>
      </c>
      <c r="C186" t="str">
        <f>IF($AS186="","",Config!$B$15)</f>
        <v/>
      </c>
      <c r="D186" t="str">
        <f>IF($AS186="","",INDEX('TMP Paste'!$B$2:$B$1601,$AS186))</f>
        <v/>
      </c>
      <c r="E186" t="str">
        <f>IF($AS186="","",Config!$B$27)</f>
        <v/>
      </c>
      <c r="F186" t="str">
        <f>IF($AS186="","",Config!$B$9)</f>
        <v/>
      </c>
      <c r="G186" t="str">
        <f>IF($AS186="","",Config!$B$10)</f>
        <v/>
      </c>
      <c r="H186" t="str">
        <f>IF($AS186="","",Config!$B$11)</f>
        <v/>
      </c>
      <c r="I186" t="str">
        <f>IF($AS186="","",Config!$B$16)</f>
        <v/>
      </c>
      <c r="J186" t="str">
        <f>IF($AS186="","",INDEX('TMP Paste'!$A$2:$A$1601,$AS186))</f>
        <v/>
      </c>
      <c r="K186" t="str">
        <f>IF($AS186="","",INDEX('TMP Paste'!$L$2:$L$1601,$AS186))</f>
        <v/>
      </c>
      <c r="L186" t="str">
        <f>IF($AS186="","",INDEX('TMP Paste'!$I$2:$I$1601,$AS186))</f>
        <v/>
      </c>
      <c r="M186" t="str">
        <f>IF($AS186="","",Config!$B$16)</f>
        <v/>
      </c>
      <c r="N186" t="str">
        <f t="shared" si="12"/>
        <v/>
      </c>
      <c r="O186" t="str">
        <f>IF($AS186="","",INDEX('TMP Paste'!$K$2:$K$1601,$AS186))</f>
        <v/>
      </c>
      <c r="P186" t="str">
        <f t="shared" si="13"/>
        <v/>
      </c>
      <c r="Q186" t="str">
        <f>IF($AS186="","",INDEX('TMP Paste'!$J$2:$J$1601,$AS186))</f>
        <v/>
      </c>
      <c r="R186" t="str">
        <f>IF($AS186="","",Config!$B$24)</f>
        <v/>
      </c>
      <c r="S186" t="str">
        <f ca="1">IF($AS186="","",TEXT(Config!$B$4,"yyyy-mm-dd"))</f>
        <v/>
      </c>
      <c r="T186" t="str">
        <f>IF($AS186="","",Config!$B$17)</f>
        <v/>
      </c>
      <c r="U186" t="str">
        <f>IF($AS186="","",Config!$B$18)</f>
        <v/>
      </c>
      <c r="V186" t="str">
        <f>IF($AS186="","",Config!$B$19)</f>
        <v/>
      </c>
      <c r="W186" t="str">
        <f>IF($AS186="","",INDEX('TMP Paste'!$C$2:$C$1601,$AS186))</f>
        <v/>
      </c>
      <c r="X186" t="str">
        <f>IF($AS186="","",Config!$B$29)</f>
        <v/>
      </c>
      <c r="Y186" t="str">
        <f>IF($AT186="","",INDEX(Calc!$I$2:$I$1601,$AT186)&amp;" - "&amp;INDEX(Calc!$D$2:$D$1601,$AT186)&amp;" koli")</f>
        <v/>
      </c>
      <c r="Z186" t="str">
        <f>IF($AS186="","",Config!$B$21)</f>
        <v/>
      </c>
      <c r="AA186" t="str">
        <f>IF($AS186="","",Config!$B$22)</f>
        <v/>
      </c>
      <c r="AB186" t="str">
        <f>IF($AT186="","",INDEX(Calc!$D$2:$D$1601,$AT186))</f>
        <v/>
      </c>
      <c r="AC186" t="str">
        <f>IF($AT186="","",INDEX(Calc!$G$2:$G$1601,$AT186))</f>
        <v/>
      </c>
      <c r="AD186" t="str">
        <f>IF($AS186="","",Config!$B$23)</f>
        <v/>
      </c>
      <c r="AE186" t="str">
        <f>IF($AS186="","",Config!$B$28)</f>
        <v/>
      </c>
      <c r="AF186" t="str">
        <f t="shared" si="14"/>
        <v/>
      </c>
      <c r="AG186" t="str">
        <f t="shared" si="15"/>
        <v/>
      </c>
      <c r="AH186" t="str">
        <f t="shared" si="16"/>
        <v/>
      </c>
      <c r="AI186" t="str">
        <f>IF($AG186="","",SUMIF($AG$2:$AG186,$AG186,$AH$2:$AH186))</f>
        <v/>
      </c>
      <c r="AJ186" t="str">
        <f>IF('TMP Paste'!$F186="","",IF('TMP Paste'!$B186="",$AJ185,'TMP Paste'!$B186))</f>
        <v>AWB02WJKV</v>
      </c>
      <c r="AK186">
        <f>IF('TMP Paste'!$F186="","",N('TMP Paste'!$G186))</f>
        <v>0</v>
      </c>
      <c r="AL186">
        <f>IF('TMP Paste'!$F186="","",IF('TMP Paste'!$M186="",$AL185,'TMP Paste'!$M186))</f>
        <v>1</v>
      </c>
      <c r="AM186" t="str">
        <f>IF('TMP Paste'!$F186="","",IF('TMP Paste'!$N186="",$AM185,'TMP Paste'!$N186))</f>
        <v/>
      </c>
      <c r="AN186" t="str">
        <f>IF('TMP Paste'!$F186="","",IF('TMP Paste'!$O186="",$AN185,'TMP Paste'!$O186))</f>
        <v/>
      </c>
      <c r="AO186" t="str">
        <f>IF('TMP Paste'!$F186="","",IF('TMP Paste'!$P186="",$AO185,'TMP Paste'!$P186))</f>
        <v/>
      </c>
      <c r="AP186" t="str">
        <f t="shared" si="17"/>
        <v/>
      </c>
      <c r="AQ186" t="str">
        <f>IF($AS186="","",TRIM(IF(COUNTIFS(Calc!$B$2:$B$1601,ROW()-1,Calc!$C$2:$C$1601,"&lt;1")&gt;0,"Ada PO tanpa Koli - cek TMP. ","")&amp;IF(OR($AU186="",$AU186&lt;=0),"Volume kosong/0 - dimensi dikosongkan. ","")&amp;IF(AND($AU186&lt;&gt;"",$AU186&gt;=1000000),"Volume &gt;= 1.000.000 cm3 (di luar aturan) - dimensi dikosongkan. ","")&amp;IF(LEN($R186)&gt;500,"R &gt; 500 karakter.","")))</f>
        <v/>
      </c>
      <c r="AS186" t="str">
        <f>IFERROR(MATCH(ROW()-1,Calc!$J$2:$J$1601,0),"")</f>
        <v/>
      </c>
      <c r="AT186" t="str">
        <f>IFERROR(MATCH(ROW()-1,Calc!$K$2:$K$1601,0),"")</f>
        <v/>
      </c>
      <c r="AU186" t="str">
        <f>IF($AS186="","",IFERROR(INDEX('TMP Paste'!$D$2:$D$1601,$AS186)*1000000/$AB186,""))</f>
        <v/>
      </c>
    </row>
    <row r="187" spans="1:47">
      <c r="A187" t="str">
        <f>IF($AS187="","",INDEX('TMP Paste'!$B$2:$B$1601,$AS187))</f>
        <v/>
      </c>
      <c r="B187" t="str">
        <f>IF($AS187="","",Config!$B$14)</f>
        <v/>
      </c>
      <c r="C187" t="str">
        <f>IF($AS187="","",Config!$B$15)</f>
        <v/>
      </c>
      <c r="D187" t="str">
        <f>IF($AS187="","",INDEX('TMP Paste'!$B$2:$B$1601,$AS187))</f>
        <v/>
      </c>
      <c r="E187" t="str">
        <f>IF($AS187="","",Config!$B$27)</f>
        <v/>
      </c>
      <c r="F187" t="str">
        <f>IF($AS187="","",Config!$B$9)</f>
        <v/>
      </c>
      <c r="G187" t="str">
        <f>IF($AS187="","",Config!$B$10)</f>
        <v/>
      </c>
      <c r="H187" t="str">
        <f>IF($AS187="","",Config!$B$11)</f>
        <v/>
      </c>
      <c r="I187" t="str">
        <f>IF($AS187="","",Config!$B$16)</f>
        <v/>
      </c>
      <c r="J187" t="str">
        <f>IF($AS187="","",INDEX('TMP Paste'!$A$2:$A$1601,$AS187))</f>
        <v/>
      </c>
      <c r="K187" t="str">
        <f>IF($AS187="","",INDEX('TMP Paste'!$L$2:$L$1601,$AS187))</f>
        <v/>
      </c>
      <c r="L187" t="str">
        <f>IF($AS187="","",INDEX('TMP Paste'!$I$2:$I$1601,$AS187))</f>
        <v/>
      </c>
      <c r="M187" t="str">
        <f>IF($AS187="","",Config!$B$16)</f>
        <v/>
      </c>
      <c r="N187" t="str">
        <f t="shared" si="12"/>
        <v/>
      </c>
      <c r="O187" t="str">
        <f>IF($AS187="","",INDEX('TMP Paste'!$K$2:$K$1601,$AS187))</f>
        <v/>
      </c>
      <c r="P187" t="str">
        <f t="shared" si="13"/>
        <v/>
      </c>
      <c r="Q187" t="str">
        <f>IF($AS187="","",INDEX('TMP Paste'!$J$2:$J$1601,$AS187))</f>
        <v/>
      </c>
      <c r="R187" t="str">
        <f>IF($AS187="","",Config!$B$24)</f>
        <v/>
      </c>
      <c r="S187" t="str">
        <f ca="1">IF($AS187="","",TEXT(Config!$B$4,"yyyy-mm-dd"))</f>
        <v/>
      </c>
      <c r="T187" t="str">
        <f>IF($AS187="","",Config!$B$17)</f>
        <v/>
      </c>
      <c r="U187" t="str">
        <f>IF($AS187="","",Config!$B$18)</f>
        <v/>
      </c>
      <c r="V187" t="str">
        <f>IF($AS187="","",Config!$B$19)</f>
        <v/>
      </c>
      <c r="W187" t="str">
        <f>IF($AS187="","",INDEX('TMP Paste'!$C$2:$C$1601,$AS187))</f>
        <v/>
      </c>
      <c r="X187" t="str">
        <f>IF($AS187="","",Config!$B$29)</f>
        <v/>
      </c>
      <c r="Y187" t="str">
        <f>IF($AT187="","",INDEX(Calc!$I$2:$I$1601,$AT187)&amp;" - "&amp;INDEX(Calc!$D$2:$D$1601,$AT187)&amp;" koli")</f>
        <v/>
      </c>
      <c r="Z187" t="str">
        <f>IF($AS187="","",Config!$B$21)</f>
        <v/>
      </c>
      <c r="AA187" t="str">
        <f>IF($AS187="","",Config!$B$22)</f>
        <v/>
      </c>
      <c r="AB187" t="str">
        <f>IF($AT187="","",INDEX(Calc!$D$2:$D$1601,$AT187))</f>
        <v/>
      </c>
      <c r="AC187" t="str">
        <f>IF($AT187="","",INDEX(Calc!$G$2:$G$1601,$AT187))</f>
        <v/>
      </c>
      <c r="AD187" t="str">
        <f>IF($AS187="","",Config!$B$23)</f>
        <v/>
      </c>
      <c r="AE187" t="str">
        <f>IF($AS187="","",Config!$B$28)</f>
        <v/>
      </c>
      <c r="AF187" t="str">
        <f t="shared" si="14"/>
        <v/>
      </c>
      <c r="AG187" t="str">
        <f t="shared" si="15"/>
        <v/>
      </c>
      <c r="AH187" t="str">
        <f t="shared" si="16"/>
        <v/>
      </c>
      <c r="AI187" t="str">
        <f>IF($AG187="","",SUMIF($AG$2:$AG187,$AG187,$AH$2:$AH187))</f>
        <v/>
      </c>
      <c r="AJ187" t="str">
        <f>IF('TMP Paste'!$F187="","",IF('TMP Paste'!$B187="",$AJ186,'TMP Paste'!$B187))</f>
        <v>AWB02WKSK</v>
      </c>
      <c r="AK187">
        <f>IF('TMP Paste'!$F187="","",N('TMP Paste'!$G187))</f>
        <v>0</v>
      </c>
      <c r="AL187">
        <f>IF('TMP Paste'!$F187="","",IF('TMP Paste'!$M187="",$AL186,'TMP Paste'!$M187))</f>
        <v>1</v>
      </c>
      <c r="AM187" t="str">
        <f>IF('TMP Paste'!$F187="","",IF('TMP Paste'!$N187="",$AM186,'TMP Paste'!$N187))</f>
        <v/>
      </c>
      <c r="AN187" t="str">
        <f>IF('TMP Paste'!$F187="","",IF('TMP Paste'!$O187="",$AN186,'TMP Paste'!$O187))</f>
        <v/>
      </c>
      <c r="AO187" t="str">
        <f>IF('TMP Paste'!$F187="","",IF('TMP Paste'!$P187="",$AO186,'TMP Paste'!$P187))</f>
        <v/>
      </c>
      <c r="AP187" t="str">
        <f t="shared" si="17"/>
        <v/>
      </c>
      <c r="AQ187" t="str">
        <f>IF($AS187="","",TRIM(IF(COUNTIFS(Calc!$B$2:$B$1601,ROW()-1,Calc!$C$2:$C$1601,"&lt;1")&gt;0,"Ada PO tanpa Koli - cek TMP. ","")&amp;IF(OR($AU187="",$AU187&lt;=0),"Volume kosong/0 - dimensi dikosongkan. ","")&amp;IF(AND($AU187&lt;&gt;"",$AU187&gt;=1000000),"Volume &gt;= 1.000.000 cm3 (di luar aturan) - dimensi dikosongkan. ","")&amp;IF(LEN($R187)&gt;500,"R &gt; 500 karakter.","")))</f>
        <v/>
      </c>
      <c r="AS187" t="str">
        <f>IFERROR(MATCH(ROW()-1,Calc!$J$2:$J$1601,0),"")</f>
        <v/>
      </c>
      <c r="AT187" t="str">
        <f>IFERROR(MATCH(ROW()-1,Calc!$K$2:$K$1601,0),"")</f>
        <v/>
      </c>
      <c r="AU187" t="str">
        <f>IF($AS187="","",IFERROR(INDEX('TMP Paste'!$D$2:$D$1601,$AS187)*1000000/$AB187,""))</f>
        <v/>
      </c>
    </row>
    <row r="188" spans="1:47">
      <c r="A188" t="str">
        <f>IF($AS188="","",INDEX('TMP Paste'!$B$2:$B$1601,$AS188))</f>
        <v/>
      </c>
      <c r="B188" t="str">
        <f>IF($AS188="","",Config!$B$14)</f>
        <v/>
      </c>
      <c r="C188" t="str">
        <f>IF($AS188="","",Config!$B$15)</f>
        <v/>
      </c>
      <c r="D188" t="str">
        <f>IF($AS188="","",INDEX('TMP Paste'!$B$2:$B$1601,$AS188))</f>
        <v/>
      </c>
      <c r="E188" t="str">
        <f>IF($AS188="","",Config!$B$27)</f>
        <v/>
      </c>
      <c r="F188" t="str">
        <f>IF($AS188="","",Config!$B$9)</f>
        <v/>
      </c>
      <c r="G188" t="str">
        <f>IF($AS188="","",Config!$B$10)</f>
        <v/>
      </c>
      <c r="H188" t="str">
        <f>IF($AS188="","",Config!$B$11)</f>
        <v/>
      </c>
      <c r="I188" t="str">
        <f>IF($AS188="","",Config!$B$16)</f>
        <v/>
      </c>
      <c r="J188" t="str">
        <f>IF($AS188="","",INDEX('TMP Paste'!$A$2:$A$1601,$AS188))</f>
        <v/>
      </c>
      <c r="K188" t="str">
        <f>IF($AS188="","",INDEX('TMP Paste'!$L$2:$L$1601,$AS188))</f>
        <v/>
      </c>
      <c r="L188" t="str">
        <f>IF($AS188="","",INDEX('TMP Paste'!$I$2:$I$1601,$AS188))</f>
        <v/>
      </c>
      <c r="M188" t="str">
        <f>IF($AS188="","",Config!$B$16)</f>
        <v/>
      </c>
      <c r="N188" t="str">
        <f t="shared" si="12"/>
        <v/>
      </c>
      <c r="O188" t="str">
        <f>IF($AS188="","",INDEX('TMP Paste'!$K$2:$K$1601,$AS188))</f>
        <v/>
      </c>
      <c r="P188" t="str">
        <f t="shared" si="13"/>
        <v/>
      </c>
      <c r="Q188" t="str">
        <f>IF($AS188="","",INDEX('TMP Paste'!$J$2:$J$1601,$AS188))</f>
        <v/>
      </c>
      <c r="R188" t="str">
        <f>IF($AS188="","",Config!$B$24)</f>
        <v/>
      </c>
      <c r="S188" t="str">
        <f ca="1">IF($AS188="","",TEXT(Config!$B$4,"yyyy-mm-dd"))</f>
        <v/>
      </c>
      <c r="T188" t="str">
        <f>IF($AS188="","",Config!$B$17)</f>
        <v/>
      </c>
      <c r="U188" t="str">
        <f>IF($AS188="","",Config!$B$18)</f>
        <v/>
      </c>
      <c r="V188" t="str">
        <f>IF($AS188="","",Config!$B$19)</f>
        <v/>
      </c>
      <c r="W188" t="str">
        <f>IF($AS188="","",INDEX('TMP Paste'!$C$2:$C$1601,$AS188))</f>
        <v/>
      </c>
      <c r="X188" t="str">
        <f>IF($AS188="","",Config!$B$29)</f>
        <v/>
      </c>
      <c r="Y188" t="str">
        <f>IF($AT188="","",INDEX(Calc!$I$2:$I$1601,$AT188)&amp;" - "&amp;INDEX(Calc!$D$2:$D$1601,$AT188)&amp;" koli")</f>
        <v/>
      </c>
      <c r="Z188" t="str">
        <f>IF($AS188="","",Config!$B$21)</f>
        <v/>
      </c>
      <c r="AA188" t="str">
        <f>IF($AS188="","",Config!$B$22)</f>
        <v/>
      </c>
      <c r="AB188" t="str">
        <f>IF($AT188="","",INDEX(Calc!$D$2:$D$1601,$AT188))</f>
        <v/>
      </c>
      <c r="AC188" t="str">
        <f>IF($AT188="","",INDEX(Calc!$G$2:$G$1601,$AT188))</f>
        <v/>
      </c>
      <c r="AD188" t="str">
        <f>IF($AS188="","",Config!$B$23)</f>
        <v/>
      </c>
      <c r="AE188" t="str">
        <f>IF($AS188="","",Config!$B$28)</f>
        <v/>
      </c>
      <c r="AF188" t="str">
        <f t="shared" si="14"/>
        <v/>
      </c>
      <c r="AG188" t="str">
        <f t="shared" si="15"/>
        <v/>
      </c>
      <c r="AH188" t="str">
        <f t="shared" si="16"/>
        <v/>
      </c>
      <c r="AI188" t="str">
        <f>IF($AG188="","",SUMIF($AG$2:$AG188,$AG188,$AH$2:$AH188))</f>
        <v/>
      </c>
      <c r="AJ188" t="str">
        <f>IF('TMP Paste'!$F188="","",IF('TMP Paste'!$B188="",$AJ187,'TMP Paste'!$B188))</f>
        <v/>
      </c>
      <c r="AK188" t="str">
        <f>IF('TMP Paste'!$F188="","",N('TMP Paste'!$G188))</f>
        <v/>
      </c>
      <c r="AL188" t="str">
        <f>IF('TMP Paste'!$F188="","",IF('TMP Paste'!$M188="",$AL187,'TMP Paste'!$M188))</f>
        <v/>
      </c>
      <c r="AM188" t="str">
        <f>IF('TMP Paste'!$F188="","",IF('TMP Paste'!$N188="",$AM187,'TMP Paste'!$N188))</f>
        <v/>
      </c>
      <c r="AN188" t="str">
        <f>IF('TMP Paste'!$F188="","",IF('TMP Paste'!$O188="",$AN187,'TMP Paste'!$O188))</f>
        <v/>
      </c>
      <c r="AO188" t="str">
        <f>IF('TMP Paste'!$F188="","",IF('TMP Paste'!$P188="",$AO187,'TMP Paste'!$P188))</f>
        <v/>
      </c>
      <c r="AP188" t="str">
        <f t="shared" si="17"/>
        <v/>
      </c>
      <c r="AQ188" t="str">
        <f>IF($AS188="","",TRIM(IF(COUNTIFS(Calc!$B$2:$B$1601,ROW()-1,Calc!$C$2:$C$1601,"&lt;1")&gt;0,"Ada PO tanpa Koli - cek TMP. ","")&amp;IF(OR($AU188="",$AU188&lt;=0),"Volume kosong/0 - dimensi dikosongkan. ","")&amp;IF(AND($AU188&lt;&gt;"",$AU188&gt;=1000000),"Volume &gt;= 1.000.000 cm3 (di luar aturan) - dimensi dikosongkan. ","")&amp;IF(LEN($R188)&gt;500,"R &gt; 500 karakter.","")))</f>
        <v/>
      </c>
      <c r="AS188" t="str">
        <f>IFERROR(MATCH(ROW()-1,Calc!$J$2:$J$1601,0),"")</f>
        <v/>
      </c>
      <c r="AT188" t="str">
        <f>IFERROR(MATCH(ROW()-1,Calc!$K$2:$K$1601,0),"")</f>
        <v/>
      </c>
      <c r="AU188" t="str">
        <f>IF($AS188="","",IFERROR(INDEX('TMP Paste'!$D$2:$D$1601,$AS188)*1000000/$AB188,""))</f>
        <v/>
      </c>
    </row>
    <row r="189" spans="1:47">
      <c r="A189" t="str">
        <f>IF($AS189="","",INDEX('TMP Paste'!$B$2:$B$1601,$AS189))</f>
        <v/>
      </c>
      <c r="B189" t="str">
        <f>IF($AS189="","",Config!$B$14)</f>
        <v/>
      </c>
      <c r="C189" t="str">
        <f>IF($AS189="","",Config!$B$15)</f>
        <v/>
      </c>
      <c r="D189" t="str">
        <f>IF($AS189="","",INDEX('TMP Paste'!$B$2:$B$1601,$AS189))</f>
        <v/>
      </c>
      <c r="E189" t="str">
        <f>IF($AS189="","",Config!$B$27)</f>
        <v/>
      </c>
      <c r="F189" t="str">
        <f>IF($AS189="","",Config!$B$9)</f>
        <v/>
      </c>
      <c r="G189" t="str">
        <f>IF($AS189="","",Config!$B$10)</f>
        <v/>
      </c>
      <c r="H189" t="str">
        <f>IF($AS189="","",Config!$B$11)</f>
        <v/>
      </c>
      <c r="I189" t="str">
        <f>IF($AS189="","",Config!$B$16)</f>
        <v/>
      </c>
      <c r="J189" t="str">
        <f>IF($AS189="","",INDEX('TMP Paste'!$A$2:$A$1601,$AS189))</f>
        <v/>
      </c>
      <c r="K189" t="str">
        <f>IF($AS189="","",INDEX('TMP Paste'!$L$2:$L$1601,$AS189))</f>
        <v/>
      </c>
      <c r="L189" t="str">
        <f>IF($AS189="","",INDEX('TMP Paste'!$I$2:$I$1601,$AS189))</f>
        <v/>
      </c>
      <c r="M189" t="str">
        <f>IF($AS189="","",Config!$B$16)</f>
        <v/>
      </c>
      <c r="N189" t="str">
        <f t="shared" si="12"/>
        <v/>
      </c>
      <c r="O189" t="str">
        <f>IF($AS189="","",INDEX('TMP Paste'!$K$2:$K$1601,$AS189))</f>
        <v/>
      </c>
      <c r="P189" t="str">
        <f t="shared" si="13"/>
        <v/>
      </c>
      <c r="Q189" t="str">
        <f>IF($AS189="","",INDEX('TMP Paste'!$J$2:$J$1601,$AS189))</f>
        <v/>
      </c>
      <c r="R189" t="str">
        <f>IF($AS189="","",Config!$B$24)</f>
        <v/>
      </c>
      <c r="S189" t="str">
        <f ca="1">IF($AS189="","",TEXT(Config!$B$4,"yyyy-mm-dd"))</f>
        <v/>
      </c>
      <c r="T189" t="str">
        <f>IF($AS189="","",Config!$B$17)</f>
        <v/>
      </c>
      <c r="U189" t="str">
        <f>IF($AS189="","",Config!$B$18)</f>
        <v/>
      </c>
      <c r="V189" t="str">
        <f>IF($AS189="","",Config!$B$19)</f>
        <v/>
      </c>
      <c r="W189" t="str">
        <f>IF($AS189="","",INDEX('TMP Paste'!$C$2:$C$1601,$AS189))</f>
        <v/>
      </c>
      <c r="X189" t="str">
        <f>IF($AS189="","",Config!$B$29)</f>
        <v/>
      </c>
      <c r="Y189" t="str">
        <f>IF($AT189="","",INDEX(Calc!$I$2:$I$1601,$AT189)&amp;" - "&amp;INDEX(Calc!$D$2:$D$1601,$AT189)&amp;" koli")</f>
        <v/>
      </c>
      <c r="Z189" t="str">
        <f>IF($AS189="","",Config!$B$21)</f>
        <v/>
      </c>
      <c r="AA189" t="str">
        <f>IF($AS189="","",Config!$B$22)</f>
        <v/>
      </c>
      <c r="AB189" t="str">
        <f>IF($AT189="","",INDEX(Calc!$D$2:$D$1601,$AT189))</f>
        <v/>
      </c>
      <c r="AC189" t="str">
        <f>IF($AT189="","",INDEX(Calc!$G$2:$G$1601,$AT189))</f>
        <v/>
      </c>
      <c r="AD189" t="str">
        <f>IF($AS189="","",Config!$B$23)</f>
        <v/>
      </c>
      <c r="AE189" t="str">
        <f>IF($AS189="","",Config!$B$28)</f>
        <v/>
      </c>
      <c r="AF189" t="str">
        <f t="shared" si="14"/>
        <v/>
      </c>
      <c r="AG189" t="str">
        <f t="shared" si="15"/>
        <v/>
      </c>
      <c r="AH189" t="str">
        <f t="shared" si="16"/>
        <v/>
      </c>
      <c r="AI189" t="str">
        <f>IF($AG189="","",SUMIF($AG$2:$AG189,$AG189,$AH$2:$AH189))</f>
        <v/>
      </c>
      <c r="AJ189" t="str">
        <f>IF('TMP Paste'!$F189="","",IF('TMP Paste'!$B189="",$AJ188,'TMP Paste'!$B189))</f>
        <v/>
      </c>
      <c r="AK189" t="str">
        <f>IF('TMP Paste'!$F189="","",N('TMP Paste'!$G189))</f>
        <v/>
      </c>
      <c r="AL189" t="str">
        <f>IF('TMP Paste'!$F189="","",IF('TMP Paste'!$M189="",$AL188,'TMP Paste'!$M189))</f>
        <v/>
      </c>
      <c r="AM189" t="str">
        <f>IF('TMP Paste'!$F189="","",IF('TMP Paste'!$N189="",$AM188,'TMP Paste'!$N189))</f>
        <v/>
      </c>
      <c r="AN189" t="str">
        <f>IF('TMP Paste'!$F189="","",IF('TMP Paste'!$O189="",$AN188,'TMP Paste'!$O189))</f>
        <v/>
      </c>
      <c r="AO189" t="str">
        <f>IF('TMP Paste'!$F189="","",IF('TMP Paste'!$P189="",$AO188,'TMP Paste'!$P189))</f>
        <v/>
      </c>
      <c r="AP189" t="str">
        <f t="shared" si="17"/>
        <v/>
      </c>
      <c r="AQ189" t="str">
        <f>IF($AS189="","",TRIM(IF(COUNTIFS(Calc!$B$2:$B$1601,ROW()-1,Calc!$C$2:$C$1601,"&lt;1")&gt;0,"Ada PO tanpa Koli - cek TMP. ","")&amp;IF(OR($AU189="",$AU189&lt;=0),"Volume kosong/0 - dimensi dikosongkan. ","")&amp;IF(AND($AU189&lt;&gt;"",$AU189&gt;=1000000),"Volume &gt;= 1.000.000 cm3 (di luar aturan) - dimensi dikosongkan. ","")&amp;IF(LEN($R189)&gt;500,"R &gt; 500 karakter.","")))</f>
        <v/>
      </c>
      <c r="AS189" t="str">
        <f>IFERROR(MATCH(ROW()-1,Calc!$J$2:$J$1601,0),"")</f>
        <v/>
      </c>
      <c r="AT189" t="str">
        <f>IFERROR(MATCH(ROW()-1,Calc!$K$2:$K$1601,0),"")</f>
        <v/>
      </c>
      <c r="AU189" t="str">
        <f>IF($AS189="","",IFERROR(INDEX('TMP Paste'!$D$2:$D$1601,$AS189)*1000000/$AB189,""))</f>
        <v/>
      </c>
    </row>
    <row r="190" spans="1:47">
      <c r="A190" t="str">
        <f>IF($AS190="","",INDEX('TMP Paste'!$B$2:$B$1601,$AS190))</f>
        <v/>
      </c>
      <c r="B190" t="str">
        <f>IF($AS190="","",Config!$B$14)</f>
        <v/>
      </c>
      <c r="C190" t="str">
        <f>IF($AS190="","",Config!$B$15)</f>
        <v/>
      </c>
      <c r="D190" t="str">
        <f>IF($AS190="","",INDEX('TMP Paste'!$B$2:$B$1601,$AS190))</f>
        <v/>
      </c>
      <c r="E190" t="str">
        <f>IF($AS190="","",Config!$B$27)</f>
        <v/>
      </c>
      <c r="F190" t="str">
        <f>IF($AS190="","",Config!$B$9)</f>
        <v/>
      </c>
      <c r="G190" t="str">
        <f>IF($AS190="","",Config!$B$10)</f>
        <v/>
      </c>
      <c r="H190" t="str">
        <f>IF($AS190="","",Config!$B$11)</f>
        <v/>
      </c>
      <c r="I190" t="str">
        <f>IF($AS190="","",Config!$B$16)</f>
        <v/>
      </c>
      <c r="J190" t="str">
        <f>IF($AS190="","",INDEX('TMP Paste'!$A$2:$A$1601,$AS190))</f>
        <v/>
      </c>
      <c r="K190" t="str">
        <f>IF($AS190="","",INDEX('TMP Paste'!$L$2:$L$1601,$AS190))</f>
        <v/>
      </c>
      <c r="L190" t="str">
        <f>IF($AS190="","",INDEX('TMP Paste'!$I$2:$I$1601,$AS190))</f>
        <v/>
      </c>
      <c r="M190" t="str">
        <f>IF($AS190="","",Config!$B$16)</f>
        <v/>
      </c>
      <c r="N190" t="str">
        <f t="shared" si="12"/>
        <v/>
      </c>
      <c r="O190" t="str">
        <f>IF($AS190="","",INDEX('TMP Paste'!$K$2:$K$1601,$AS190))</f>
        <v/>
      </c>
      <c r="P190" t="str">
        <f t="shared" si="13"/>
        <v/>
      </c>
      <c r="Q190" t="str">
        <f>IF($AS190="","",INDEX('TMP Paste'!$J$2:$J$1601,$AS190))</f>
        <v/>
      </c>
      <c r="R190" t="str">
        <f>IF($AS190="","",Config!$B$24)</f>
        <v/>
      </c>
      <c r="S190" t="str">
        <f ca="1">IF($AS190="","",TEXT(Config!$B$4,"yyyy-mm-dd"))</f>
        <v/>
      </c>
      <c r="T190" t="str">
        <f>IF($AS190="","",Config!$B$17)</f>
        <v/>
      </c>
      <c r="U190" t="str">
        <f>IF($AS190="","",Config!$B$18)</f>
        <v/>
      </c>
      <c r="V190" t="str">
        <f>IF($AS190="","",Config!$B$19)</f>
        <v/>
      </c>
      <c r="W190" t="str">
        <f>IF($AS190="","",INDEX('TMP Paste'!$C$2:$C$1601,$AS190))</f>
        <v/>
      </c>
      <c r="X190" t="str">
        <f>IF($AS190="","",Config!$B$29)</f>
        <v/>
      </c>
      <c r="Y190" t="str">
        <f>IF($AT190="","",INDEX(Calc!$I$2:$I$1601,$AT190)&amp;" - "&amp;INDEX(Calc!$D$2:$D$1601,$AT190)&amp;" koli")</f>
        <v/>
      </c>
      <c r="Z190" t="str">
        <f>IF($AS190="","",Config!$B$21)</f>
        <v/>
      </c>
      <c r="AA190" t="str">
        <f>IF($AS190="","",Config!$B$22)</f>
        <v/>
      </c>
      <c r="AB190" t="str">
        <f>IF($AT190="","",INDEX(Calc!$D$2:$D$1601,$AT190))</f>
        <v/>
      </c>
      <c r="AC190" t="str">
        <f>IF($AT190="","",INDEX(Calc!$G$2:$G$1601,$AT190))</f>
        <v/>
      </c>
      <c r="AD190" t="str">
        <f>IF($AS190="","",Config!$B$23)</f>
        <v/>
      </c>
      <c r="AE190" t="str">
        <f>IF($AS190="","",Config!$B$28)</f>
        <v/>
      </c>
      <c r="AF190" t="str">
        <f t="shared" si="14"/>
        <v/>
      </c>
      <c r="AG190" t="str">
        <f t="shared" si="15"/>
        <v/>
      </c>
      <c r="AH190" t="str">
        <f t="shared" si="16"/>
        <v/>
      </c>
      <c r="AI190" t="str">
        <f>IF($AG190="","",SUMIF($AG$2:$AG190,$AG190,$AH$2:$AH190))</f>
        <v/>
      </c>
      <c r="AJ190" t="str">
        <f>IF('TMP Paste'!$F190="","",IF('TMP Paste'!$B190="",$AJ189,'TMP Paste'!$B190))</f>
        <v>AWB02WHX5</v>
      </c>
      <c r="AK190">
        <f>IF('TMP Paste'!$F190="","",N('TMP Paste'!$G190))</f>
        <v>0</v>
      </c>
      <c r="AL190">
        <f>IF('TMP Paste'!$F190="","",IF('TMP Paste'!$M190="",$AL189,'TMP Paste'!$M190))</f>
        <v>1</v>
      </c>
      <c r="AM190" t="str">
        <f>IF('TMP Paste'!$F190="","",IF('TMP Paste'!$N190="",$AM189,'TMP Paste'!$N190))</f>
        <v/>
      </c>
      <c r="AN190" t="str">
        <f>IF('TMP Paste'!$F190="","",IF('TMP Paste'!$O190="",$AN189,'TMP Paste'!$O190))</f>
        <v/>
      </c>
      <c r="AO190" t="str">
        <f>IF('TMP Paste'!$F190="","",IF('TMP Paste'!$P190="",$AO189,'TMP Paste'!$P190))</f>
        <v/>
      </c>
      <c r="AP190" t="str">
        <f t="shared" si="17"/>
        <v/>
      </c>
      <c r="AQ190" t="str">
        <f>IF($AS190="","",TRIM(IF(COUNTIFS(Calc!$B$2:$B$1601,ROW()-1,Calc!$C$2:$C$1601,"&lt;1")&gt;0,"Ada PO tanpa Koli - cek TMP. ","")&amp;IF(OR($AU190="",$AU190&lt;=0),"Volume kosong/0 - dimensi dikosongkan. ","")&amp;IF(AND($AU190&lt;&gt;"",$AU190&gt;=1000000),"Volume &gt;= 1.000.000 cm3 (di luar aturan) - dimensi dikosongkan. ","")&amp;IF(LEN($R190)&gt;500,"R &gt; 500 karakter.","")))</f>
        <v/>
      </c>
      <c r="AS190" t="str">
        <f>IFERROR(MATCH(ROW()-1,Calc!$J$2:$J$1601,0),"")</f>
        <v/>
      </c>
      <c r="AT190" t="str">
        <f>IFERROR(MATCH(ROW()-1,Calc!$K$2:$K$1601,0),"")</f>
        <v/>
      </c>
      <c r="AU190" t="str">
        <f>IF($AS190="","",IFERROR(INDEX('TMP Paste'!$D$2:$D$1601,$AS190)*1000000/$AB190,""))</f>
        <v/>
      </c>
    </row>
    <row r="191" spans="1:47">
      <c r="A191" t="str">
        <f>IF($AS191="","",INDEX('TMP Paste'!$B$2:$B$1601,$AS191))</f>
        <v/>
      </c>
      <c r="B191" t="str">
        <f>IF($AS191="","",Config!$B$14)</f>
        <v/>
      </c>
      <c r="C191" t="str">
        <f>IF($AS191="","",Config!$B$15)</f>
        <v/>
      </c>
      <c r="D191" t="str">
        <f>IF($AS191="","",INDEX('TMP Paste'!$B$2:$B$1601,$AS191))</f>
        <v/>
      </c>
      <c r="E191" t="str">
        <f>IF($AS191="","",Config!$B$27)</f>
        <v/>
      </c>
      <c r="F191" t="str">
        <f>IF($AS191="","",Config!$B$9)</f>
        <v/>
      </c>
      <c r="G191" t="str">
        <f>IF($AS191="","",Config!$B$10)</f>
        <v/>
      </c>
      <c r="H191" t="str">
        <f>IF($AS191="","",Config!$B$11)</f>
        <v/>
      </c>
      <c r="I191" t="str">
        <f>IF($AS191="","",Config!$B$16)</f>
        <v/>
      </c>
      <c r="J191" t="str">
        <f>IF($AS191="","",INDEX('TMP Paste'!$A$2:$A$1601,$AS191))</f>
        <v/>
      </c>
      <c r="K191" t="str">
        <f>IF($AS191="","",INDEX('TMP Paste'!$L$2:$L$1601,$AS191))</f>
        <v/>
      </c>
      <c r="L191" t="str">
        <f>IF($AS191="","",INDEX('TMP Paste'!$I$2:$I$1601,$AS191))</f>
        <v/>
      </c>
      <c r="M191" t="str">
        <f>IF($AS191="","",Config!$B$16)</f>
        <v/>
      </c>
      <c r="N191" t="str">
        <f t="shared" si="12"/>
        <v/>
      </c>
      <c r="O191" t="str">
        <f>IF($AS191="","",INDEX('TMP Paste'!$K$2:$K$1601,$AS191))</f>
        <v/>
      </c>
      <c r="P191" t="str">
        <f t="shared" si="13"/>
        <v/>
      </c>
      <c r="Q191" t="str">
        <f>IF($AS191="","",INDEX('TMP Paste'!$J$2:$J$1601,$AS191))</f>
        <v/>
      </c>
      <c r="R191" t="str">
        <f>IF($AS191="","",Config!$B$24)</f>
        <v/>
      </c>
      <c r="S191" t="str">
        <f ca="1">IF($AS191="","",TEXT(Config!$B$4,"yyyy-mm-dd"))</f>
        <v/>
      </c>
      <c r="T191" t="str">
        <f>IF($AS191="","",Config!$B$17)</f>
        <v/>
      </c>
      <c r="U191" t="str">
        <f>IF($AS191="","",Config!$B$18)</f>
        <v/>
      </c>
      <c r="V191" t="str">
        <f>IF($AS191="","",Config!$B$19)</f>
        <v/>
      </c>
      <c r="W191" t="str">
        <f>IF($AS191="","",INDEX('TMP Paste'!$C$2:$C$1601,$AS191))</f>
        <v/>
      </c>
      <c r="X191" t="str">
        <f>IF($AS191="","",Config!$B$29)</f>
        <v/>
      </c>
      <c r="Y191" t="str">
        <f>IF($AT191="","",INDEX(Calc!$I$2:$I$1601,$AT191)&amp;" - "&amp;INDEX(Calc!$D$2:$D$1601,$AT191)&amp;" koli")</f>
        <v/>
      </c>
      <c r="Z191" t="str">
        <f>IF($AS191="","",Config!$B$21)</f>
        <v/>
      </c>
      <c r="AA191" t="str">
        <f>IF($AS191="","",Config!$B$22)</f>
        <v/>
      </c>
      <c r="AB191" t="str">
        <f>IF($AT191="","",INDEX(Calc!$D$2:$D$1601,$AT191))</f>
        <v/>
      </c>
      <c r="AC191" t="str">
        <f>IF($AT191="","",INDEX(Calc!$G$2:$G$1601,$AT191))</f>
        <v/>
      </c>
      <c r="AD191" t="str">
        <f>IF($AS191="","",Config!$B$23)</f>
        <v/>
      </c>
      <c r="AE191" t="str">
        <f>IF($AS191="","",Config!$B$28)</f>
        <v/>
      </c>
      <c r="AF191" t="str">
        <f t="shared" si="14"/>
        <v/>
      </c>
      <c r="AG191" t="str">
        <f t="shared" si="15"/>
        <v/>
      </c>
      <c r="AH191" t="str">
        <f t="shared" si="16"/>
        <v/>
      </c>
      <c r="AI191" t="str">
        <f>IF($AG191="","",SUMIF($AG$2:$AG191,$AG191,$AH$2:$AH191))</f>
        <v/>
      </c>
      <c r="AJ191" t="str">
        <f>IF('TMP Paste'!$F191="","",IF('TMP Paste'!$B191="",$AJ190,'TMP Paste'!$B191))</f>
        <v/>
      </c>
      <c r="AK191" t="str">
        <f>IF('TMP Paste'!$F191="","",N('TMP Paste'!$G191))</f>
        <v/>
      </c>
      <c r="AL191" t="str">
        <f>IF('TMP Paste'!$F191="","",IF('TMP Paste'!$M191="",$AL190,'TMP Paste'!$M191))</f>
        <v/>
      </c>
      <c r="AM191" t="str">
        <f>IF('TMP Paste'!$F191="","",IF('TMP Paste'!$N191="",$AM190,'TMP Paste'!$N191))</f>
        <v/>
      </c>
      <c r="AN191" t="str">
        <f>IF('TMP Paste'!$F191="","",IF('TMP Paste'!$O191="",$AN190,'TMP Paste'!$O191))</f>
        <v/>
      </c>
      <c r="AO191" t="str">
        <f>IF('TMP Paste'!$F191="","",IF('TMP Paste'!$P191="",$AO190,'TMP Paste'!$P191))</f>
        <v/>
      </c>
      <c r="AP191" t="str">
        <f t="shared" si="17"/>
        <v/>
      </c>
      <c r="AQ191" t="str">
        <f>IF($AS191="","",TRIM(IF(COUNTIFS(Calc!$B$2:$B$1601,ROW()-1,Calc!$C$2:$C$1601,"&lt;1")&gt;0,"Ada PO tanpa Koli - cek TMP. ","")&amp;IF(OR($AU191="",$AU191&lt;=0),"Volume kosong/0 - dimensi dikosongkan. ","")&amp;IF(AND($AU191&lt;&gt;"",$AU191&gt;=1000000),"Volume &gt;= 1.000.000 cm3 (di luar aturan) - dimensi dikosongkan. ","")&amp;IF(LEN($R191)&gt;500,"R &gt; 500 karakter.","")))</f>
        <v/>
      </c>
      <c r="AS191" t="str">
        <f>IFERROR(MATCH(ROW()-1,Calc!$J$2:$J$1601,0),"")</f>
        <v/>
      </c>
      <c r="AT191" t="str">
        <f>IFERROR(MATCH(ROW()-1,Calc!$K$2:$K$1601,0),"")</f>
        <v/>
      </c>
      <c r="AU191" t="str">
        <f>IF($AS191="","",IFERROR(INDEX('TMP Paste'!$D$2:$D$1601,$AS191)*1000000/$AB191,""))</f>
        <v/>
      </c>
    </row>
    <row r="192" spans="1:47">
      <c r="A192" t="str">
        <f>IF($AS192="","",INDEX('TMP Paste'!$B$2:$B$1601,$AS192))</f>
        <v/>
      </c>
      <c r="B192" t="str">
        <f>IF($AS192="","",Config!$B$14)</f>
        <v/>
      </c>
      <c r="C192" t="str">
        <f>IF($AS192="","",Config!$B$15)</f>
        <v/>
      </c>
      <c r="D192" t="str">
        <f>IF($AS192="","",INDEX('TMP Paste'!$B$2:$B$1601,$AS192))</f>
        <v/>
      </c>
      <c r="E192" t="str">
        <f>IF($AS192="","",Config!$B$27)</f>
        <v/>
      </c>
      <c r="F192" t="str">
        <f>IF($AS192="","",Config!$B$9)</f>
        <v/>
      </c>
      <c r="G192" t="str">
        <f>IF($AS192="","",Config!$B$10)</f>
        <v/>
      </c>
      <c r="H192" t="str">
        <f>IF($AS192="","",Config!$B$11)</f>
        <v/>
      </c>
      <c r="I192" t="str">
        <f>IF($AS192="","",Config!$B$16)</f>
        <v/>
      </c>
      <c r="J192" t="str">
        <f>IF($AS192="","",INDEX('TMP Paste'!$A$2:$A$1601,$AS192))</f>
        <v/>
      </c>
      <c r="K192" t="str">
        <f>IF($AS192="","",INDEX('TMP Paste'!$L$2:$L$1601,$AS192))</f>
        <v/>
      </c>
      <c r="L192" t="str">
        <f>IF($AS192="","",INDEX('TMP Paste'!$I$2:$I$1601,$AS192))</f>
        <v/>
      </c>
      <c r="M192" t="str">
        <f>IF($AS192="","",Config!$B$16)</f>
        <v/>
      </c>
      <c r="N192" t="str">
        <f t="shared" si="12"/>
        <v/>
      </c>
      <c r="O192" t="str">
        <f>IF($AS192="","",INDEX('TMP Paste'!$K$2:$K$1601,$AS192))</f>
        <v/>
      </c>
      <c r="P192" t="str">
        <f t="shared" si="13"/>
        <v/>
      </c>
      <c r="Q192" t="str">
        <f>IF($AS192="","",INDEX('TMP Paste'!$J$2:$J$1601,$AS192))</f>
        <v/>
      </c>
      <c r="R192" t="str">
        <f>IF($AS192="","",Config!$B$24)</f>
        <v/>
      </c>
      <c r="S192" t="str">
        <f ca="1">IF($AS192="","",TEXT(Config!$B$4,"yyyy-mm-dd"))</f>
        <v/>
      </c>
      <c r="T192" t="str">
        <f>IF($AS192="","",Config!$B$17)</f>
        <v/>
      </c>
      <c r="U192" t="str">
        <f>IF($AS192="","",Config!$B$18)</f>
        <v/>
      </c>
      <c r="V192" t="str">
        <f>IF($AS192="","",Config!$B$19)</f>
        <v/>
      </c>
      <c r="W192" t="str">
        <f>IF($AS192="","",INDEX('TMP Paste'!$C$2:$C$1601,$AS192))</f>
        <v/>
      </c>
      <c r="X192" t="str">
        <f>IF($AS192="","",Config!$B$29)</f>
        <v/>
      </c>
      <c r="Y192" t="str">
        <f>IF($AT192="","",INDEX(Calc!$I$2:$I$1601,$AT192)&amp;" - "&amp;INDEX(Calc!$D$2:$D$1601,$AT192)&amp;" koli")</f>
        <v/>
      </c>
      <c r="Z192" t="str">
        <f>IF($AS192="","",Config!$B$21)</f>
        <v/>
      </c>
      <c r="AA192" t="str">
        <f>IF($AS192="","",Config!$B$22)</f>
        <v/>
      </c>
      <c r="AB192" t="str">
        <f>IF($AT192="","",INDEX(Calc!$D$2:$D$1601,$AT192))</f>
        <v/>
      </c>
      <c r="AC192" t="str">
        <f>IF($AT192="","",INDEX(Calc!$G$2:$G$1601,$AT192))</f>
        <v/>
      </c>
      <c r="AD192" t="str">
        <f>IF($AS192="","",Config!$B$23)</f>
        <v/>
      </c>
      <c r="AE192" t="str">
        <f>IF($AS192="","",Config!$B$28)</f>
        <v/>
      </c>
      <c r="AF192" t="str">
        <f t="shared" si="14"/>
        <v/>
      </c>
      <c r="AG192" t="str">
        <f t="shared" si="15"/>
        <v/>
      </c>
      <c r="AH192" t="str">
        <f t="shared" si="16"/>
        <v/>
      </c>
      <c r="AI192" t="str">
        <f>IF($AG192="","",SUMIF($AG$2:$AG192,$AG192,$AH$2:$AH192))</f>
        <v/>
      </c>
      <c r="AJ192" t="str">
        <f>IF('TMP Paste'!$F192="","",IF('TMP Paste'!$B192="",$AJ191,'TMP Paste'!$B192))</f>
        <v/>
      </c>
      <c r="AK192" t="str">
        <f>IF('TMP Paste'!$F192="","",N('TMP Paste'!$G192))</f>
        <v/>
      </c>
      <c r="AL192" t="str">
        <f>IF('TMP Paste'!$F192="","",IF('TMP Paste'!$M192="",$AL191,'TMP Paste'!$M192))</f>
        <v/>
      </c>
      <c r="AM192" t="str">
        <f>IF('TMP Paste'!$F192="","",IF('TMP Paste'!$N192="",$AM191,'TMP Paste'!$N192))</f>
        <v/>
      </c>
      <c r="AN192" t="str">
        <f>IF('TMP Paste'!$F192="","",IF('TMP Paste'!$O192="",$AN191,'TMP Paste'!$O192))</f>
        <v/>
      </c>
      <c r="AO192" t="str">
        <f>IF('TMP Paste'!$F192="","",IF('TMP Paste'!$P192="",$AO191,'TMP Paste'!$P192))</f>
        <v/>
      </c>
      <c r="AP192" t="str">
        <f t="shared" si="17"/>
        <v/>
      </c>
      <c r="AQ192" t="str">
        <f>IF($AS192="","",TRIM(IF(COUNTIFS(Calc!$B$2:$B$1601,ROW()-1,Calc!$C$2:$C$1601,"&lt;1")&gt;0,"Ada PO tanpa Koli - cek TMP. ","")&amp;IF(OR($AU192="",$AU192&lt;=0),"Volume kosong/0 - dimensi dikosongkan. ","")&amp;IF(AND($AU192&lt;&gt;"",$AU192&gt;=1000000),"Volume &gt;= 1.000.000 cm3 (di luar aturan) - dimensi dikosongkan. ","")&amp;IF(LEN($R192)&gt;500,"R &gt; 500 karakter.","")))</f>
        <v/>
      </c>
      <c r="AS192" t="str">
        <f>IFERROR(MATCH(ROW()-1,Calc!$J$2:$J$1601,0),"")</f>
        <v/>
      </c>
      <c r="AT192" t="str">
        <f>IFERROR(MATCH(ROW()-1,Calc!$K$2:$K$1601,0),"")</f>
        <v/>
      </c>
      <c r="AU192" t="str">
        <f>IF($AS192="","",IFERROR(INDEX('TMP Paste'!$D$2:$D$1601,$AS192)*1000000/$AB192,""))</f>
        <v/>
      </c>
    </row>
    <row r="193" spans="1:47">
      <c r="A193" t="str">
        <f>IF($AS193="","",INDEX('TMP Paste'!$B$2:$B$1601,$AS193))</f>
        <v/>
      </c>
      <c r="B193" t="str">
        <f>IF($AS193="","",Config!$B$14)</f>
        <v/>
      </c>
      <c r="C193" t="str">
        <f>IF($AS193="","",Config!$B$15)</f>
        <v/>
      </c>
      <c r="D193" t="str">
        <f>IF($AS193="","",INDEX('TMP Paste'!$B$2:$B$1601,$AS193))</f>
        <v/>
      </c>
      <c r="E193" t="str">
        <f>IF($AS193="","",Config!$B$27)</f>
        <v/>
      </c>
      <c r="F193" t="str">
        <f>IF($AS193="","",Config!$B$9)</f>
        <v/>
      </c>
      <c r="G193" t="str">
        <f>IF($AS193="","",Config!$B$10)</f>
        <v/>
      </c>
      <c r="H193" t="str">
        <f>IF($AS193="","",Config!$B$11)</f>
        <v/>
      </c>
      <c r="I193" t="str">
        <f>IF($AS193="","",Config!$B$16)</f>
        <v/>
      </c>
      <c r="J193" t="str">
        <f>IF($AS193="","",INDEX('TMP Paste'!$A$2:$A$1601,$AS193))</f>
        <v/>
      </c>
      <c r="K193" t="str">
        <f>IF($AS193="","",INDEX('TMP Paste'!$L$2:$L$1601,$AS193))</f>
        <v/>
      </c>
      <c r="L193" t="str">
        <f>IF($AS193="","",INDEX('TMP Paste'!$I$2:$I$1601,$AS193))</f>
        <v/>
      </c>
      <c r="M193" t="str">
        <f>IF($AS193="","",Config!$B$16)</f>
        <v/>
      </c>
      <c r="N193" t="str">
        <f t="shared" si="12"/>
        <v/>
      </c>
      <c r="O193" t="str">
        <f>IF($AS193="","",INDEX('TMP Paste'!$K$2:$K$1601,$AS193))</f>
        <v/>
      </c>
      <c r="P193" t="str">
        <f t="shared" si="13"/>
        <v/>
      </c>
      <c r="Q193" t="str">
        <f>IF($AS193="","",INDEX('TMP Paste'!$J$2:$J$1601,$AS193))</f>
        <v/>
      </c>
      <c r="R193" t="str">
        <f>IF($AS193="","",Config!$B$24)</f>
        <v/>
      </c>
      <c r="S193" t="str">
        <f ca="1">IF($AS193="","",TEXT(Config!$B$4,"yyyy-mm-dd"))</f>
        <v/>
      </c>
      <c r="T193" t="str">
        <f>IF($AS193="","",Config!$B$17)</f>
        <v/>
      </c>
      <c r="U193" t="str">
        <f>IF($AS193="","",Config!$B$18)</f>
        <v/>
      </c>
      <c r="V193" t="str">
        <f>IF($AS193="","",Config!$B$19)</f>
        <v/>
      </c>
      <c r="W193" t="str">
        <f>IF($AS193="","",INDEX('TMP Paste'!$C$2:$C$1601,$AS193))</f>
        <v/>
      </c>
      <c r="X193" t="str">
        <f>IF($AS193="","",Config!$B$29)</f>
        <v/>
      </c>
      <c r="Y193" t="str">
        <f>IF($AT193="","",INDEX(Calc!$I$2:$I$1601,$AT193)&amp;" - "&amp;INDEX(Calc!$D$2:$D$1601,$AT193)&amp;" koli")</f>
        <v/>
      </c>
      <c r="Z193" t="str">
        <f>IF($AS193="","",Config!$B$21)</f>
        <v/>
      </c>
      <c r="AA193" t="str">
        <f>IF($AS193="","",Config!$B$22)</f>
        <v/>
      </c>
      <c r="AB193" t="str">
        <f>IF($AT193="","",INDEX(Calc!$D$2:$D$1601,$AT193))</f>
        <v/>
      </c>
      <c r="AC193" t="str">
        <f>IF($AT193="","",INDEX(Calc!$G$2:$G$1601,$AT193))</f>
        <v/>
      </c>
      <c r="AD193" t="str">
        <f>IF($AS193="","",Config!$B$23)</f>
        <v/>
      </c>
      <c r="AE193" t="str">
        <f>IF($AS193="","",Config!$B$28)</f>
        <v/>
      </c>
      <c r="AF193" t="str">
        <f t="shared" si="14"/>
        <v/>
      </c>
      <c r="AG193" t="str">
        <f t="shared" si="15"/>
        <v/>
      </c>
      <c r="AH193" t="str">
        <f t="shared" si="16"/>
        <v/>
      </c>
      <c r="AI193" t="str">
        <f>IF($AG193="","",SUMIF($AG$2:$AG193,$AG193,$AH$2:$AH193))</f>
        <v/>
      </c>
      <c r="AJ193" t="str">
        <f>IF('TMP Paste'!$F193="","",IF('TMP Paste'!$B193="",$AJ192,'TMP Paste'!$B193))</f>
        <v>AWB02WKLC</v>
      </c>
      <c r="AK193">
        <f>IF('TMP Paste'!$F193="","",N('TMP Paste'!$G193))</f>
        <v>0</v>
      </c>
      <c r="AL193">
        <f>IF('TMP Paste'!$F193="","",IF('TMP Paste'!$M193="",$AL192,'TMP Paste'!$M193))</f>
        <v>1</v>
      </c>
      <c r="AM193" t="str">
        <f>IF('TMP Paste'!$F193="","",IF('TMP Paste'!$N193="",$AM192,'TMP Paste'!$N193))</f>
        <v/>
      </c>
      <c r="AN193" t="str">
        <f>IF('TMP Paste'!$F193="","",IF('TMP Paste'!$O193="",$AN192,'TMP Paste'!$O193))</f>
        <v/>
      </c>
      <c r="AO193" t="str">
        <f>IF('TMP Paste'!$F193="","",IF('TMP Paste'!$P193="",$AO192,'TMP Paste'!$P193))</f>
        <v/>
      </c>
      <c r="AP193" t="str">
        <f t="shared" si="17"/>
        <v/>
      </c>
      <c r="AQ193" t="str">
        <f>IF($AS193="","",TRIM(IF(COUNTIFS(Calc!$B$2:$B$1601,ROW()-1,Calc!$C$2:$C$1601,"&lt;1")&gt;0,"Ada PO tanpa Koli - cek TMP. ","")&amp;IF(OR($AU193="",$AU193&lt;=0),"Volume kosong/0 - dimensi dikosongkan. ","")&amp;IF(AND($AU193&lt;&gt;"",$AU193&gt;=1000000),"Volume &gt;= 1.000.000 cm3 (di luar aturan) - dimensi dikosongkan. ","")&amp;IF(LEN($R193)&gt;500,"R &gt; 500 karakter.","")))</f>
        <v/>
      </c>
      <c r="AS193" t="str">
        <f>IFERROR(MATCH(ROW()-1,Calc!$J$2:$J$1601,0),"")</f>
        <v/>
      </c>
      <c r="AT193" t="str">
        <f>IFERROR(MATCH(ROW()-1,Calc!$K$2:$K$1601,0),"")</f>
        <v/>
      </c>
      <c r="AU193" t="str">
        <f>IF($AS193="","",IFERROR(INDEX('TMP Paste'!$D$2:$D$1601,$AS193)*1000000/$AB193,""))</f>
        <v/>
      </c>
    </row>
    <row r="194" spans="1:47">
      <c r="A194" t="str">
        <f>IF($AS194="","",INDEX('TMP Paste'!$B$2:$B$1601,$AS194))</f>
        <v/>
      </c>
      <c r="B194" t="str">
        <f>IF($AS194="","",Config!$B$14)</f>
        <v/>
      </c>
      <c r="C194" t="str">
        <f>IF($AS194="","",Config!$B$15)</f>
        <v/>
      </c>
      <c r="D194" t="str">
        <f>IF($AS194="","",INDEX('TMP Paste'!$B$2:$B$1601,$AS194))</f>
        <v/>
      </c>
      <c r="E194" t="str">
        <f>IF($AS194="","",Config!$B$27)</f>
        <v/>
      </c>
      <c r="F194" t="str">
        <f>IF($AS194="","",Config!$B$9)</f>
        <v/>
      </c>
      <c r="G194" t="str">
        <f>IF($AS194="","",Config!$B$10)</f>
        <v/>
      </c>
      <c r="H194" t="str">
        <f>IF($AS194="","",Config!$B$11)</f>
        <v/>
      </c>
      <c r="I194" t="str">
        <f>IF($AS194="","",Config!$B$16)</f>
        <v/>
      </c>
      <c r="J194" t="str">
        <f>IF($AS194="","",INDEX('TMP Paste'!$A$2:$A$1601,$AS194))</f>
        <v/>
      </c>
      <c r="K194" t="str">
        <f>IF($AS194="","",INDEX('TMP Paste'!$L$2:$L$1601,$AS194))</f>
        <v/>
      </c>
      <c r="L194" t="str">
        <f>IF($AS194="","",INDEX('TMP Paste'!$I$2:$I$1601,$AS194))</f>
        <v/>
      </c>
      <c r="M194" t="str">
        <f>IF($AS194="","",Config!$B$16)</f>
        <v/>
      </c>
      <c r="N194" t="str">
        <f t="shared" ref="N194:N257" si="18">IF($AS194="","","")</f>
        <v/>
      </c>
      <c r="O194" t="str">
        <f>IF($AS194="","",INDEX('TMP Paste'!$K$2:$K$1601,$AS194))</f>
        <v/>
      </c>
      <c r="P194" t="str">
        <f t="shared" ref="P194:P257" si="19">IF($AS194="","","")</f>
        <v/>
      </c>
      <c r="Q194" t="str">
        <f>IF($AS194="","",INDEX('TMP Paste'!$J$2:$J$1601,$AS194))</f>
        <v/>
      </c>
      <c r="R194" t="str">
        <f>IF($AS194="","",Config!$B$24)</f>
        <v/>
      </c>
      <c r="S194" t="str">
        <f ca="1">IF($AS194="","",TEXT(Config!$B$4,"yyyy-mm-dd"))</f>
        <v/>
      </c>
      <c r="T194" t="str">
        <f>IF($AS194="","",Config!$B$17)</f>
        <v/>
      </c>
      <c r="U194" t="str">
        <f>IF($AS194="","",Config!$B$18)</f>
        <v/>
      </c>
      <c r="V194" t="str">
        <f>IF($AS194="","",Config!$B$19)</f>
        <v/>
      </c>
      <c r="W194" t="str">
        <f>IF($AS194="","",INDEX('TMP Paste'!$C$2:$C$1601,$AS194))</f>
        <v/>
      </c>
      <c r="X194" t="str">
        <f>IF($AS194="","",Config!$B$29)</f>
        <v/>
      </c>
      <c r="Y194" t="str">
        <f>IF($AT194="","",INDEX(Calc!$I$2:$I$1601,$AT194)&amp;" - "&amp;INDEX(Calc!$D$2:$D$1601,$AT194)&amp;" koli")</f>
        <v/>
      </c>
      <c r="Z194" t="str">
        <f>IF($AS194="","",Config!$B$21)</f>
        <v/>
      </c>
      <c r="AA194" t="str">
        <f>IF($AS194="","",Config!$B$22)</f>
        <v/>
      </c>
      <c r="AB194" t="str">
        <f>IF($AT194="","",INDEX(Calc!$D$2:$D$1601,$AT194))</f>
        <v/>
      </c>
      <c r="AC194" t="str">
        <f>IF($AT194="","",INDEX(Calc!$G$2:$G$1601,$AT194))</f>
        <v/>
      </c>
      <c r="AD194" t="str">
        <f>IF($AS194="","",Config!$B$23)</f>
        <v/>
      </c>
      <c r="AE194" t="str">
        <f>IF($AS194="","",Config!$B$28)</f>
        <v/>
      </c>
      <c r="AF194" t="str">
        <f t="shared" ref="AF194:AF257" si="20">IF($AS194="","",IF(OR($AU194="",$AU194&lt;=0,$AU194&gt;=1000000),"",IF($AU194&lt;10000,10,100)))</f>
        <v/>
      </c>
      <c r="AG194" t="str">
        <f t="shared" ref="AG194:AG257" si="21">IF($AS194="","",IF(OR($AU194="",$AU194&lt;=0,$AU194&gt;=1000000),"",IF($AU194&lt;10000,$AU194/100,IF($AU194&lt;100000,$AU194/1000,$AU194/10000))))</f>
        <v/>
      </c>
      <c r="AH194" t="str">
        <f t="shared" ref="AH194:AH257" si="22">IF($AS194="","",IF(OR($AU194="",$AU194&lt;=0,$AU194&gt;=1000000),"",IF($AU194&lt;100000,10,100)))</f>
        <v/>
      </c>
      <c r="AI194" t="str">
        <f>IF($AG194="","",SUMIF($AG$2:$AG194,$AG194,$AH$2:$AH194))</f>
        <v/>
      </c>
      <c r="AJ194" t="str">
        <f>IF('TMP Paste'!$F194="","",IF('TMP Paste'!$B194="",$AJ193,'TMP Paste'!$B194))</f>
        <v/>
      </c>
      <c r="AK194" t="str">
        <f>IF('TMP Paste'!$F194="","",N('TMP Paste'!$G194))</f>
        <v/>
      </c>
      <c r="AL194" t="str">
        <f>IF('TMP Paste'!$F194="","",IF('TMP Paste'!$M194="",$AL193,'TMP Paste'!$M194))</f>
        <v/>
      </c>
      <c r="AM194" t="str">
        <f>IF('TMP Paste'!$F194="","",IF('TMP Paste'!$N194="",$AM193,'TMP Paste'!$N194))</f>
        <v/>
      </c>
      <c r="AN194" t="str">
        <f>IF('TMP Paste'!$F194="","",IF('TMP Paste'!$O194="",$AN193,'TMP Paste'!$O194))</f>
        <v/>
      </c>
      <c r="AO194" t="str">
        <f>IF('TMP Paste'!$F194="","",IF('TMP Paste'!$P194="",$AO193,'TMP Paste'!$P194))</f>
        <v/>
      </c>
      <c r="AP194" t="str">
        <f t="shared" ref="AP194:AP257" si="23">IF($AG194="","",LEN($R194))</f>
        <v/>
      </c>
      <c r="AQ194" t="str">
        <f>IF($AS194="","",TRIM(IF(COUNTIFS(Calc!$B$2:$B$1601,ROW()-1,Calc!$C$2:$C$1601,"&lt;1")&gt;0,"Ada PO tanpa Koli - cek TMP. ","")&amp;IF(OR($AU194="",$AU194&lt;=0),"Volume kosong/0 - dimensi dikosongkan. ","")&amp;IF(AND($AU194&lt;&gt;"",$AU194&gt;=1000000),"Volume &gt;= 1.000.000 cm3 (di luar aturan) - dimensi dikosongkan. ","")&amp;IF(LEN($R194)&gt;500,"R &gt; 500 karakter.","")))</f>
        <v/>
      </c>
      <c r="AS194" t="str">
        <f>IFERROR(MATCH(ROW()-1,Calc!$J$2:$J$1601,0),"")</f>
        <v/>
      </c>
      <c r="AT194" t="str">
        <f>IFERROR(MATCH(ROW()-1,Calc!$K$2:$K$1601,0),"")</f>
        <v/>
      </c>
      <c r="AU194" t="str">
        <f>IF($AS194="","",IFERROR(INDEX('TMP Paste'!$D$2:$D$1601,$AS194)*1000000/$AB194,""))</f>
        <v/>
      </c>
    </row>
    <row r="195" spans="1:47">
      <c r="A195" t="str">
        <f>IF($AS195="","",INDEX('TMP Paste'!$B$2:$B$1601,$AS195))</f>
        <v/>
      </c>
      <c r="B195" t="str">
        <f>IF($AS195="","",Config!$B$14)</f>
        <v/>
      </c>
      <c r="C195" t="str">
        <f>IF($AS195="","",Config!$B$15)</f>
        <v/>
      </c>
      <c r="D195" t="str">
        <f>IF($AS195="","",INDEX('TMP Paste'!$B$2:$B$1601,$AS195))</f>
        <v/>
      </c>
      <c r="E195" t="str">
        <f>IF($AS195="","",Config!$B$27)</f>
        <v/>
      </c>
      <c r="F195" t="str">
        <f>IF($AS195="","",Config!$B$9)</f>
        <v/>
      </c>
      <c r="G195" t="str">
        <f>IF($AS195="","",Config!$B$10)</f>
        <v/>
      </c>
      <c r="H195" t="str">
        <f>IF($AS195="","",Config!$B$11)</f>
        <v/>
      </c>
      <c r="I195" t="str">
        <f>IF($AS195="","",Config!$B$16)</f>
        <v/>
      </c>
      <c r="J195" t="str">
        <f>IF($AS195="","",INDEX('TMP Paste'!$A$2:$A$1601,$AS195))</f>
        <v/>
      </c>
      <c r="K195" t="str">
        <f>IF($AS195="","",INDEX('TMP Paste'!$L$2:$L$1601,$AS195))</f>
        <v/>
      </c>
      <c r="L195" t="str">
        <f>IF($AS195="","",INDEX('TMP Paste'!$I$2:$I$1601,$AS195))</f>
        <v/>
      </c>
      <c r="M195" t="str">
        <f>IF($AS195="","",Config!$B$16)</f>
        <v/>
      </c>
      <c r="N195" t="str">
        <f t="shared" si="18"/>
        <v/>
      </c>
      <c r="O195" t="str">
        <f>IF($AS195="","",INDEX('TMP Paste'!$K$2:$K$1601,$AS195))</f>
        <v/>
      </c>
      <c r="P195" t="str">
        <f t="shared" si="19"/>
        <v/>
      </c>
      <c r="Q195" t="str">
        <f>IF($AS195="","",INDEX('TMP Paste'!$J$2:$J$1601,$AS195))</f>
        <v/>
      </c>
      <c r="R195" t="str">
        <f>IF($AS195="","",Config!$B$24)</f>
        <v/>
      </c>
      <c r="S195" t="str">
        <f ca="1">IF($AS195="","",TEXT(Config!$B$4,"yyyy-mm-dd"))</f>
        <v/>
      </c>
      <c r="T195" t="str">
        <f>IF($AS195="","",Config!$B$17)</f>
        <v/>
      </c>
      <c r="U195" t="str">
        <f>IF($AS195="","",Config!$B$18)</f>
        <v/>
      </c>
      <c r="V195" t="str">
        <f>IF($AS195="","",Config!$B$19)</f>
        <v/>
      </c>
      <c r="W195" t="str">
        <f>IF($AS195="","",INDEX('TMP Paste'!$C$2:$C$1601,$AS195))</f>
        <v/>
      </c>
      <c r="X195" t="str">
        <f>IF($AS195="","",Config!$B$29)</f>
        <v/>
      </c>
      <c r="Y195" t="str">
        <f>IF($AT195="","",INDEX(Calc!$I$2:$I$1601,$AT195)&amp;" - "&amp;INDEX(Calc!$D$2:$D$1601,$AT195)&amp;" koli")</f>
        <v/>
      </c>
      <c r="Z195" t="str">
        <f>IF($AS195="","",Config!$B$21)</f>
        <v/>
      </c>
      <c r="AA195" t="str">
        <f>IF($AS195="","",Config!$B$22)</f>
        <v/>
      </c>
      <c r="AB195" t="str">
        <f>IF($AT195="","",INDEX(Calc!$D$2:$D$1601,$AT195))</f>
        <v/>
      </c>
      <c r="AC195" t="str">
        <f>IF($AT195="","",INDEX(Calc!$G$2:$G$1601,$AT195))</f>
        <v/>
      </c>
      <c r="AD195" t="str">
        <f>IF($AS195="","",Config!$B$23)</f>
        <v/>
      </c>
      <c r="AE195" t="str">
        <f>IF($AS195="","",Config!$B$28)</f>
        <v/>
      </c>
      <c r="AF195" t="str">
        <f t="shared" si="20"/>
        <v/>
      </c>
      <c r="AG195" t="str">
        <f t="shared" si="21"/>
        <v/>
      </c>
      <c r="AH195" t="str">
        <f t="shared" si="22"/>
        <v/>
      </c>
      <c r="AI195" t="str">
        <f>IF($AG195="","",SUMIF($AG$2:$AG195,$AG195,$AH$2:$AH195))</f>
        <v/>
      </c>
      <c r="AJ195" t="str">
        <f>IF('TMP Paste'!$F195="","",IF('TMP Paste'!$B195="",$AJ194,'TMP Paste'!$B195))</f>
        <v>AWB02WMFW</v>
      </c>
      <c r="AK195">
        <f>IF('TMP Paste'!$F195="","",N('TMP Paste'!$G195))</f>
        <v>0</v>
      </c>
      <c r="AL195">
        <f>IF('TMP Paste'!$F195="","",IF('TMP Paste'!$M195="",$AL194,'TMP Paste'!$M195))</f>
        <v>6</v>
      </c>
      <c r="AM195" t="str">
        <f>IF('TMP Paste'!$F195="","",IF('TMP Paste'!$N195="",$AM194,'TMP Paste'!$N195))</f>
        <v/>
      </c>
      <c r="AN195" t="str">
        <f>IF('TMP Paste'!$F195="","",IF('TMP Paste'!$O195="",$AN194,'TMP Paste'!$O195))</f>
        <v/>
      </c>
      <c r="AO195" t="str">
        <f>IF('TMP Paste'!$F195="","",IF('TMP Paste'!$P195="",$AO194,'TMP Paste'!$P195))</f>
        <v/>
      </c>
      <c r="AP195" t="str">
        <f t="shared" si="23"/>
        <v/>
      </c>
      <c r="AQ195" t="str">
        <f>IF($AS195="","",TRIM(IF(COUNTIFS(Calc!$B$2:$B$1601,ROW()-1,Calc!$C$2:$C$1601,"&lt;1")&gt;0,"Ada PO tanpa Koli - cek TMP. ","")&amp;IF(OR($AU195="",$AU195&lt;=0),"Volume kosong/0 - dimensi dikosongkan. ","")&amp;IF(AND($AU195&lt;&gt;"",$AU195&gt;=1000000),"Volume &gt;= 1.000.000 cm3 (di luar aturan) - dimensi dikosongkan. ","")&amp;IF(LEN($R195)&gt;500,"R &gt; 500 karakter.","")))</f>
        <v/>
      </c>
      <c r="AS195" t="str">
        <f>IFERROR(MATCH(ROW()-1,Calc!$J$2:$J$1601,0),"")</f>
        <v/>
      </c>
      <c r="AT195" t="str">
        <f>IFERROR(MATCH(ROW()-1,Calc!$K$2:$K$1601,0),"")</f>
        <v/>
      </c>
      <c r="AU195" t="str">
        <f>IF($AS195="","",IFERROR(INDEX('TMP Paste'!$D$2:$D$1601,$AS195)*1000000/$AB195,""))</f>
        <v/>
      </c>
    </row>
    <row r="196" spans="1:47">
      <c r="A196" t="str">
        <f>IF($AS196="","",INDEX('TMP Paste'!$B$2:$B$1601,$AS196))</f>
        <v/>
      </c>
      <c r="B196" t="str">
        <f>IF($AS196="","",Config!$B$14)</f>
        <v/>
      </c>
      <c r="C196" t="str">
        <f>IF($AS196="","",Config!$B$15)</f>
        <v/>
      </c>
      <c r="D196" t="str">
        <f>IF($AS196="","",INDEX('TMP Paste'!$B$2:$B$1601,$AS196))</f>
        <v/>
      </c>
      <c r="E196" t="str">
        <f>IF($AS196="","",Config!$B$27)</f>
        <v/>
      </c>
      <c r="F196" t="str">
        <f>IF($AS196="","",Config!$B$9)</f>
        <v/>
      </c>
      <c r="G196" t="str">
        <f>IF($AS196="","",Config!$B$10)</f>
        <v/>
      </c>
      <c r="H196" t="str">
        <f>IF($AS196="","",Config!$B$11)</f>
        <v/>
      </c>
      <c r="I196" t="str">
        <f>IF($AS196="","",Config!$B$16)</f>
        <v/>
      </c>
      <c r="J196" t="str">
        <f>IF($AS196="","",INDEX('TMP Paste'!$A$2:$A$1601,$AS196))</f>
        <v/>
      </c>
      <c r="K196" t="str">
        <f>IF($AS196="","",INDEX('TMP Paste'!$L$2:$L$1601,$AS196))</f>
        <v/>
      </c>
      <c r="L196" t="str">
        <f>IF($AS196="","",INDEX('TMP Paste'!$I$2:$I$1601,$AS196))</f>
        <v/>
      </c>
      <c r="M196" t="str">
        <f>IF($AS196="","",Config!$B$16)</f>
        <v/>
      </c>
      <c r="N196" t="str">
        <f t="shared" si="18"/>
        <v/>
      </c>
      <c r="O196" t="str">
        <f>IF($AS196="","",INDEX('TMP Paste'!$K$2:$K$1601,$AS196))</f>
        <v/>
      </c>
      <c r="P196" t="str">
        <f t="shared" si="19"/>
        <v/>
      </c>
      <c r="Q196" t="str">
        <f>IF($AS196="","",INDEX('TMP Paste'!$J$2:$J$1601,$AS196))</f>
        <v/>
      </c>
      <c r="R196" t="str">
        <f>IF($AS196="","",Config!$B$24)</f>
        <v/>
      </c>
      <c r="S196" t="str">
        <f ca="1">IF($AS196="","",TEXT(Config!$B$4,"yyyy-mm-dd"))</f>
        <v/>
      </c>
      <c r="T196" t="str">
        <f>IF($AS196="","",Config!$B$17)</f>
        <v/>
      </c>
      <c r="U196" t="str">
        <f>IF($AS196="","",Config!$B$18)</f>
        <v/>
      </c>
      <c r="V196" t="str">
        <f>IF($AS196="","",Config!$B$19)</f>
        <v/>
      </c>
      <c r="W196" t="str">
        <f>IF($AS196="","",INDEX('TMP Paste'!$C$2:$C$1601,$AS196))</f>
        <v/>
      </c>
      <c r="X196" t="str">
        <f>IF($AS196="","",Config!$B$29)</f>
        <v/>
      </c>
      <c r="Y196" t="str">
        <f>IF($AT196="","",INDEX(Calc!$I$2:$I$1601,$AT196)&amp;" - "&amp;INDEX(Calc!$D$2:$D$1601,$AT196)&amp;" koli")</f>
        <v/>
      </c>
      <c r="Z196" t="str">
        <f>IF($AS196="","",Config!$B$21)</f>
        <v/>
      </c>
      <c r="AA196" t="str">
        <f>IF($AS196="","",Config!$B$22)</f>
        <v/>
      </c>
      <c r="AB196" t="str">
        <f>IF($AT196="","",INDEX(Calc!$D$2:$D$1601,$AT196))</f>
        <v/>
      </c>
      <c r="AC196" t="str">
        <f>IF($AT196="","",INDEX(Calc!$G$2:$G$1601,$AT196))</f>
        <v/>
      </c>
      <c r="AD196" t="str">
        <f>IF($AS196="","",Config!$B$23)</f>
        <v/>
      </c>
      <c r="AE196" t="str">
        <f>IF($AS196="","",Config!$B$28)</f>
        <v/>
      </c>
      <c r="AF196" t="str">
        <f t="shared" si="20"/>
        <v/>
      </c>
      <c r="AG196" t="str">
        <f t="shared" si="21"/>
        <v/>
      </c>
      <c r="AH196" t="str">
        <f t="shared" si="22"/>
        <v/>
      </c>
      <c r="AI196" t="str">
        <f>IF($AG196="","",SUMIF($AG$2:$AG196,$AG196,$AH$2:$AH196))</f>
        <v/>
      </c>
      <c r="AJ196" t="str">
        <f>IF('TMP Paste'!$F196="","",IF('TMP Paste'!$B196="",$AJ195,'TMP Paste'!$B196))</f>
        <v>AWB02WLRX</v>
      </c>
      <c r="AK196">
        <f>IF('TMP Paste'!$F196="","",N('TMP Paste'!$G196))</f>
        <v>0</v>
      </c>
      <c r="AL196">
        <f>IF('TMP Paste'!$F196="","",IF('TMP Paste'!$M196="",$AL195,'TMP Paste'!$M196))</f>
        <v>2</v>
      </c>
      <c r="AM196" t="str">
        <f>IF('TMP Paste'!$F196="","",IF('TMP Paste'!$N196="",$AM195,'TMP Paste'!$N196))</f>
        <v/>
      </c>
      <c r="AN196" t="str">
        <f>IF('TMP Paste'!$F196="","",IF('TMP Paste'!$O196="",$AN195,'TMP Paste'!$O196))</f>
        <v/>
      </c>
      <c r="AO196" t="str">
        <f>IF('TMP Paste'!$F196="","",IF('TMP Paste'!$P196="",$AO195,'TMP Paste'!$P196))</f>
        <v/>
      </c>
      <c r="AP196" t="str">
        <f t="shared" si="23"/>
        <v/>
      </c>
      <c r="AQ196" t="str">
        <f>IF($AS196="","",TRIM(IF(COUNTIFS(Calc!$B$2:$B$1601,ROW()-1,Calc!$C$2:$C$1601,"&lt;1")&gt;0,"Ada PO tanpa Koli - cek TMP. ","")&amp;IF(OR($AU196="",$AU196&lt;=0),"Volume kosong/0 - dimensi dikosongkan. ","")&amp;IF(AND($AU196&lt;&gt;"",$AU196&gt;=1000000),"Volume &gt;= 1.000.000 cm3 (di luar aturan) - dimensi dikosongkan. ","")&amp;IF(LEN($R196)&gt;500,"R &gt; 500 karakter.","")))</f>
        <v/>
      </c>
      <c r="AS196" t="str">
        <f>IFERROR(MATCH(ROW()-1,Calc!$J$2:$J$1601,0),"")</f>
        <v/>
      </c>
      <c r="AT196" t="str">
        <f>IFERROR(MATCH(ROW()-1,Calc!$K$2:$K$1601,0),"")</f>
        <v/>
      </c>
      <c r="AU196" t="str">
        <f>IF($AS196="","",IFERROR(INDEX('TMP Paste'!$D$2:$D$1601,$AS196)*1000000/$AB196,""))</f>
        <v/>
      </c>
    </row>
    <row r="197" spans="1:47">
      <c r="A197" t="str">
        <f>IF($AS197="","",INDEX('TMP Paste'!$B$2:$B$1601,$AS197))</f>
        <v/>
      </c>
      <c r="B197" t="str">
        <f>IF($AS197="","",Config!$B$14)</f>
        <v/>
      </c>
      <c r="C197" t="str">
        <f>IF($AS197="","",Config!$B$15)</f>
        <v/>
      </c>
      <c r="D197" t="str">
        <f>IF($AS197="","",INDEX('TMP Paste'!$B$2:$B$1601,$AS197))</f>
        <v/>
      </c>
      <c r="E197" t="str">
        <f>IF($AS197="","",Config!$B$27)</f>
        <v/>
      </c>
      <c r="F197" t="str">
        <f>IF($AS197="","",Config!$B$9)</f>
        <v/>
      </c>
      <c r="G197" t="str">
        <f>IF($AS197="","",Config!$B$10)</f>
        <v/>
      </c>
      <c r="H197" t="str">
        <f>IF($AS197="","",Config!$B$11)</f>
        <v/>
      </c>
      <c r="I197" t="str">
        <f>IF($AS197="","",Config!$B$16)</f>
        <v/>
      </c>
      <c r="J197" t="str">
        <f>IF($AS197="","",INDEX('TMP Paste'!$A$2:$A$1601,$AS197))</f>
        <v/>
      </c>
      <c r="K197" t="str">
        <f>IF($AS197="","",INDEX('TMP Paste'!$L$2:$L$1601,$AS197))</f>
        <v/>
      </c>
      <c r="L197" t="str">
        <f>IF($AS197="","",INDEX('TMP Paste'!$I$2:$I$1601,$AS197))</f>
        <v/>
      </c>
      <c r="M197" t="str">
        <f>IF($AS197="","",Config!$B$16)</f>
        <v/>
      </c>
      <c r="N197" t="str">
        <f t="shared" si="18"/>
        <v/>
      </c>
      <c r="O197" t="str">
        <f>IF($AS197="","",INDEX('TMP Paste'!$K$2:$K$1601,$AS197))</f>
        <v/>
      </c>
      <c r="P197" t="str">
        <f t="shared" si="19"/>
        <v/>
      </c>
      <c r="Q197" t="str">
        <f>IF($AS197="","",INDEX('TMP Paste'!$J$2:$J$1601,$AS197))</f>
        <v/>
      </c>
      <c r="R197" t="str">
        <f>IF($AS197="","",Config!$B$24)</f>
        <v/>
      </c>
      <c r="S197" t="str">
        <f ca="1">IF($AS197="","",TEXT(Config!$B$4,"yyyy-mm-dd"))</f>
        <v/>
      </c>
      <c r="T197" t="str">
        <f>IF($AS197="","",Config!$B$17)</f>
        <v/>
      </c>
      <c r="U197" t="str">
        <f>IF($AS197="","",Config!$B$18)</f>
        <v/>
      </c>
      <c r="V197" t="str">
        <f>IF($AS197="","",Config!$B$19)</f>
        <v/>
      </c>
      <c r="W197" t="str">
        <f>IF($AS197="","",INDEX('TMP Paste'!$C$2:$C$1601,$AS197))</f>
        <v/>
      </c>
      <c r="X197" t="str">
        <f>IF($AS197="","",Config!$B$29)</f>
        <v/>
      </c>
      <c r="Y197" t="str">
        <f>IF($AT197="","",INDEX(Calc!$I$2:$I$1601,$AT197)&amp;" - "&amp;INDEX(Calc!$D$2:$D$1601,$AT197)&amp;" koli")</f>
        <v/>
      </c>
      <c r="Z197" t="str">
        <f>IF($AS197="","",Config!$B$21)</f>
        <v/>
      </c>
      <c r="AA197" t="str">
        <f>IF($AS197="","",Config!$B$22)</f>
        <v/>
      </c>
      <c r="AB197" t="str">
        <f>IF($AT197="","",INDEX(Calc!$D$2:$D$1601,$AT197))</f>
        <v/>
      </c>
      <c r="AC197" t="str">
        <f>IF($AT197="","",INDEX(Calc!$G$2:$G$1601,$AT197))</f>
        <v/>
      </c>
      <c r="AD197" t="str">
        <f>IF($AS197="","",Config!$B$23)</f>
        <v/>
      </c>
      <c r="AE197" t="str">
        <f>IF($AS197="","",Config!$B$28)</f>
        <v/>
      </c>
      <c r="AF197" t="str">
        <f t="shared" si="20"/>
        <v/>
      </c>
      <c r="AG197" t="str">
        <f t="shared" si="21"/>
        <v/>
      </c>
      <c r="AH197" t="str">
        <f t="shared" si="22"/>
        <v/>
      </c>
      <c r="AI197" t="str">
        <f>IF($AG197="","",SUMIF($AG$2:$AG197,$AG197,$AH$2:$AH197))</f>
        <v/>
      </c>
      <c r="AJ197" t="str">
        <f>IF('TMP Paste'!$F197="","",IF('TMP Paste'!$B197="",$AJ196,'TMP Paste'!$B197))</f>
        <v>AWB02WLJ5</v>
      </c>
      <c r="AK197">
        <f>IF('TMP Paste'!$F197="","",N('TMP Paste'!$G197))</f>
        <v>0</v>
      </c>
      <c r="AL197">
        <f>IF('TMP Paste'!$F197="","",IF('TMP Paste'!$M197="",$AL196,'TMP Paste'!$M197))</f>
        <v>1</v>
      </c>
      <c r="AM197" t="str">
        <f>IF('TMP Paste'!$F197="","",IF('TMP Paste'!$N197="",$AM196,'TMP Paste'!$N197))</f>
        <v/>
      </c>
      <c r="AN197" t="str">
        <f>IF('TMP Paste'!$F197="","",IF('TMP Paste'!$O197="",$AN196,'TMP Paste'!$O197))</f>
        <v/>
      </c>
      <c r="AO197" t="str">
        <f>IF('TMP Paste'!$F197="","",IF('TMP Paste'!$P197="",$AO196,'TMP Paste'!$P197))</f>
        <v/>
      </c>
      <c r="AP197" t="str">
        <f t="shared" si="23"/>
        <v/>
      </c>
      <c r="AQ197" t="str">
        <f>IF($AS197="","",TRIM(IF(COUNTIFS(Calc!$B$2:$B$1601,ROW()-1,Calc!$C$2:$C$1601,"&lt;1")&gt;0,"Ada PO tanpa Koli - cek TMP. ","")&amp;IF(OR($AU197="",$AU197&lt;=0),"Volume kosong/0 - dimensi dikosongkan. ","")&amp;IF(AND($AU197&lt;&gt;"",$AU197&gt;=1000000),"Volume &gt;= 1.000.000 cm3 (di luar aturan) - dimensi dikosongkan. ","")&amp;IF(LEN($R197)&gt;500,"R &gt; 500 karakter.","")))</f>
        <v/>
      </c>
      <c r="AS197" t="str">
        <f>IFERROR(MATCH(ROW()-1,Calc!$J$2:$J$1601,0),"")</f>
        <v/>
      </c>
      <c r="AT197" t="str">
        <f>IFERROR(MATCH(ROW()-1,Calc!$K$2:$K$1601,0),"")</f>
        <v/>
      </c>
      <c r="AU197" t="str">
        <f>IF($AS197="","",IFERROR(INDEX('TMP Paste'!$D$2:$D$1601,$AS197)*1000000/$AB197,""))</f>
        <v/>
      </c>
    </row>
    <row r="198" spans="1:47">
      <c r="A198" t="str">
        <f>IF($AS198="","",INDEX('TMP Paste'!$B$2:$B$1601,$AS198))</f>
        <v/>
      </c>
      <c r="B198" t="str">
        <f>IF($AS198="","",Config!$B$14)</f>
        <v/>
      </c>
      <c r="C198" t="str">
        <f>IF($AS198="","",Config!$B$15)</f>
        <v/>
      </c>
      <c r="D198" t="str">
        <f>IF($AS198="","",INDEX('TMP Paste'!$B$2:$B$1601,$AS198))</f>
        <v/>
      </c>
      <c r="E198" t="str">
        <f>IF($AS198="","",Config!$B$27)</f>
        <v/>
      </c>
      <c r="F198" t="str">
        <f>IF($AS198="","",Config!$B$9)</f>
        <v/>
      </c>
      <c r="G198" t="str">
        <f>IF($AS198="","",Config!$B$10)</f>
        <v/>
      </c>
      <c r="H198" t="str">
        <f>IF($AS198="","",Config!$B$11)</f>
        <v/>
      </c>
      <c r="I198" t="str">
        <f>IF($AS198="","",Config!$B$16)</f>
        <v/>
      </c>
      <c r="J198" t="str">
        <f>IF($AS198="","",INDEX('TMP Paste'!$A$2:$A$1601,$AS198))</f>
        <v/>
      </c>
      <c r="K198" t="str">
        <f>IF($AS198="","",INDEX('TMP Paste'!$L$2:$L$1601,$AS198))</f>
        <v/>
      </c>
      <c r="L198" t="str">
        <f>IF($AS198="","",INDEX('TMP Paste'!$I$2:$I$1601,$AS198))</f>
        <v/>
      </c>
      <c r="M198" t="str">
        <f>IF($AS198="","",Config!$B$16)</f>
        <v/>
      </c>
      <c r="N198" t="str">
        <f t="shared" si="18"/>
        <v/>
      </c>
      <c r="O198" t="str">
        <f>IF($AS198="","",INDEX('TMP Paste'!$K$2:$K$1601,$AS198))</f>
        <v/>
      </c>
      <c r="P198" t="str">
        <f t="shared" si="19"/>
        <v/>
      </c>
      <c r="Q198" t="str">
        <f>IF($AS198="","",INDEX('TMP Paste'!$J$2:$J$1601,$AS198))</f>
        <v/>
      </c>
      <c r="R198" t="str">
        <f>IF($AS198="","",Config!$B$24)</f>
        <v/>
      </c>
      <c r="S198" t="str">
        <f ca="1">IF($AS198="","",TEXT(Config!$B$4,"yyyy-mm-dd"))</f>
        <v/>
      </c>
      <c r="T198" t="str">
        <f>IF($AS198="","",Config!$B$17)</f>
        <v/>
      </c>
      <c r="U198" t="str">
        <f>IF($AS198="","",Config!$B$18)</f>
        <v/>
      </c>
      <c r="V198" t="str">
        <f>IF($AS198="","",Config!$B$19)</f>
        <v/>
      </c>
      <c r="W198" t="str">
        <f>IF($AS198="","",INDEX('TMP Paste'!$C$2:$C$1601,$AS198))</f>
        <v/>
      </c>
      <c r="X198" t="str">
        <f>IF($AS198="","",Config!$B$29)</f>
        <v/>
      </c>
      <c r="Y198" t="str">
        <f>IF($AT198="","",INDEX(Calc!$I$2:$I$1601,$AT198)&amp;" - "&amp;INDEX(Calc!$D$2:$D$1601,$AT198)&amp;" koli")</f>
        <v/>
      </c>
      <c r="Z198" t="str">
        <f>IF($AS198="","",Config!$B$21)</f>
        <v/>
      </c>
      <c r="AA198" t="str">
        <f>IF($AS198="","",Config!$B$22)</f>
        <v/>
      </c>
      <c r="AB198" t="str">
        <f>IF($AT198="","",INDEX(Calc!$D$2:$D$1601,$AT198))</f>
        <v/>
      </c>
      <c r="AC198" t="str">
        <f>IF($AT198="","",INDEX(Calc!$G$2:$G$1601,$AT198))</f>
        <v/>
      </c>
      <c r="AD198" t="str">
        <f>IF($AS198="","",Config!$B$23)</f>
        <v/>
      </c>
      <c r="AE198" t="str">
        <f>IF($AS198="","",Config!$B$28)</f>
        <v/>
      </c>
      <c r="AF198" t="str">
        <f t="shared" si="20"/>
        <v/>
      </c>
      <c r="AG198" t="str">
        <f t="shared" si="21"/>
        <v/>
      </c>
      <c r="AH198" t="str">
        <f t="shared" si="22"/>
        <v/>
      </c>
      <c r="AI198" t="str">
        <f>IF($AG198="","",SUMIF($AG$2:$AG198,$AG198,$AH$2:$AH198))</f>
        <v/>
      </c>
      <c r="AJ198" t="str">
        <f>IF('TMP Paste'!$F198="","",IF('TMP Paste'!$B198="",$AJ197,'TMP Paste'!$B198))</f>
        <v/>
      </c>
      <c r="AK198" t="str">
        <f>IF('TMP Paste'!$F198="","",N('TMP Paste'!$G198))</f>
        <v/>
      </c>
      <c r="AL198" t="str">
        <f>IF('TMP Paste'!$F198="","",IF('TMP Paste'!$M198="",$AL197,'TMP Paste'!$M198))</f>
        <v/>
      </c>
      <c r="AM198" t="str">
        <f>IF('TMP Paste'!$F198="","",IF('TMP Paste'!$N198="",$AM197,'TMP Paste'!$N198))</f>
        <v/>
      </c>
      <c r="AN198" t="str">
        <f>IF('TMP Paste'!$F198="","",IF('TMP Paste'!$O198="",$AN197,'TMP Paste'!$O198))</f>
        <v/>
      </c>
      <c r="AO198" t="str">
        <f>IF('TMP Paste'!$F198="","",IF('TMP Paste'!$P198="",$AO197,'TMP Paste'!$P198))</f>
        <v/>
      </c>
      <c r="AP198" t="str">
        <f t="shared" si="23"/>
        <v/>
      </c>
      <c r="AQ198" t="str">
        <f>IF($AS198="","",TRIM(IF(COUNTIFS(Calc!$B$2:$B$1601,ROW()-1,Calc!$C$2:$C$1601,"&lt;1")&gt;0,"Ada PO tanpa Koli - cek TMP. ","")&amp;IF(OR($AU198="",$AU198&lt;=0),"Volume kosong/0 - dimensi dikosongkan. ","")&amp;IF(AND($AU198&lt;&gt;"",$AU198&gt;=1000000),"Volume &gt;= 1.000.000 cm3 (di luar aturan) - dimensi dikosongkan. ","")&amp;IF(LEN($R198)&gt;500,"R &gt; 500 karakter.","")))</f>
        <v/>
      </c>
      <c r="AS198" t="str">
        <f>IFERROR(MATCH(ROW()-1,Calc!$J$2:$J$1601,0),"")</f>
        <v/>
      </c>
      <c r="AT198" t="str">
        <f>IFERROR(MATCH(ROW()-1,Calc!$K$2:$K$1601,0),"")</f>
        <v/>
      </c>
      <c r="AU198" t="str">
        <f>IF($AS198="","",IFERROR(INDEX('TMP Paste'!$D$2:$D$1601,$AS198)*1000000/$AB198,""))</f>
        <v/>
      </c>
    </row>
    <row r="199" spans="1:47">
      <c r="A199" t="str">
        <f>IF($AS199="","",INDEX('TMP Paste'!$B$2:$B$1601,$AS199))</f>
        <v/>
      </c>
      <c r="B199" t="str">
        <f>IF($AS199="","",Config!$B$14)</f>
        <v/>
      </c>
      <c r="C199" t="str">
        <f>IF($AS199="","",Config!$B$15)</f>
        <v/>
      </c>
      <c r="D199" t="str">
        <f>IF($AS199="","",INDEX('TMP Paste'!$B$2:$B$1601,$AS199))</f>
        <v/>
      </c>
      <c r="E199" t="str">
        <f>IF($AS199="","",Config!$B$27)</f>
        <v/>
      </c>
      <c r="F199" t="str">
        <f>IF($AS199="","",Config!$B$9)</f>
        <v/>
      </c>
      <c r="G199" t="str">
        <f>IF($AS199="","",Config!$B$10)</f>
        <v/>
      </c>
      <c r="H199" t="str">
        <f>IF($AS199="","",Config!$B$11)</f>
        <v/>
      </c>
      <c r="I199" t="str">
        <f>IF($AS199="","",Config!$B$16)</f>
        <v/>
      </c>
      <c r="J199" t="str">
        <f>IF($AS199="","",INDEX('TMP Paste'!$A$2:$A$1601,$AS199))</f>
        <v/>
      </c>
      <c r="K199" t="str">
        <f>IF($AS199="","",INDEX('TMP Paste'!$L$2:$L$1601,$AS199))</f>
        <v/>
      </c>
      <c r="L199" t="str">
        <f>IF($AS199="","",INDEX('TMP Paste'!$I$2:$I$1601,$AS199))</f>
        <v/>
      </c>
      <c r="M199" t="str">
        <f>IF($AS199="","",Config!$B$16)</f>
        <v/>
      </c>
      <c r="N199" t="str">
        <f t="shared" si="18"/>
        <v/>
      </c>
      <c r="O199" t="str">
        <f>IF($AS199="","",INDEX('TMP Paste'!$K$2:$K$1601,$AS199))</f>
        <v/>
      </c>
      <c r="P199" t="str">
        <f t="shared" si="19"/>
        <v/>
      </c>
      <c r="Q199" t="str">
        <f>IF($AS199="","",INDEX('TMP Paste'!$J$2:$J$1601,$AS199))</f>
        <v/>
      </c>
      <c r="R199" t="str">
        <f>IF($AS199="","",Config!$B$24)</f>
        <v/>
      </c>
      <c r="S199" t="str">
        <f ca="1">IF($AS199="","",TEXT(Config!$B$4,"yyyy-mm-dd"))</f>
        <v/>
      </c>
      <c r="T199" t="str">
        <f>IF($AS199="","",Config!$B$17)</f>
        <v/>
      </c>
      <c r="U199" t="str">
        <f>IF($AS199="","",Config!$B$18)</f>
        <v/>
      </c>
      <c r="V199" t="str">
        <f>IF($AS199="","",Config!$B$19)</f>
        <v/>
      </c>
      <c r="W199" t="str">
        <f>IF($AS199="","",INDEX('TMP Paste'!$C$2:$C$1601,$AS199))</f>
        <v/>
      </c>
      <c r="X199" t="str">
        <f>IF($AS199="","",Config!$B$29)</f>
        <v/>
      </c>
      <c r="Y199" t="str">
        <f>IF($AT199="","",INDEX(Calc!$I$2:$I$1601,$AT199)&amp;" - "&amp;INDEX(Calc!$D$2:$D$1601,$AT199)&amp;" koli")</f>
        <v/>
      </c>
      <c r="Z199" t="str">
        <f>IF($AS199="","",Config!$B$21)</f>
        <v/>
      </c>
      <c r="AA199" t="str">
        <f>IF($AS199="","",Config!$B$22)</f>
        <v/>
      </c>
      <c r="AB199" t="str">
        <f>IF($AT199="","",INDEX(Calc!$D$2:$D$1601,$AT199))</f>
        <v/>
      </c>
      <c r="AC199" t="str">
        <f>IF($AT199="","",INDEX(Calc!$G$2:$G$1601,$AT199))</f>
        <v/>
      </c>
      <c r="AD199" t="str">
        <f>IF($AS199="","",Config!$B$23)</f>
        <v/>
      </c>
      <c r="AE199" t="str">
        <f>IF($AS199="","",Config!$B$28)</f>
        <v/>
      </c>
      <c r="AF199" t="str">
        <f t="shared" si="20"/>
        <v/>
      </c>
      <c r="AG199" t="str">
        <f t="shared" si="21"/>
        <v/>
      </c>
      <c r="AH199" t="str">
        <f t="shared" si="22"/>
        <v/>
      </c>
      <c r="AI199" t="str">
        <f>IF($AG199="","",SUMIF($AG$2:$AG199,$AG199,$AH$2:$AH199))</f>
        <v/>
      </c>
      <c r="AJ199" t="str">
        <f>IF('TMP Paste'!$F199="","",IF('TMP Paste'!$B199="",$AJ198,'TMP Paste'!$B199))</f>
        <v>AWB02WJBL</v>
      </c>
      <c r="AK199">
        <f>IF('TMP Paste'!$F199="","",N('TMP Paste'!$G199))</f>
        <v>0</v>
      </c>
      <c r="AL199">
        <f>IF('TMP Paste'!$F199="","",IF('TMP Paste'!$M199="",$AL198,'TMP Paste'!$M199))</f>
        <v>2</v>
      </c>
      <c r="AM199" t="str">
        <f>IF('TMP Paste'!$F199="","",IF('TMP Paste'!$N199="",$AM198,'TMP Paste'!$N199))</f>
        <v/>
      </c>
      <c r="AN199" t="str">
        <f>IF('TMP Paste'!$F199="","",IF('TMP Paste'!$O199="",$AN198,'TMP Paste'!$O199))</f>
        <v/>
      </c>
      <c r="AO199" t="str">
        <f>IF('TMP Paste'!$F199="","",IF('TMP Paste'!$P199="",$AO198,'TMP Paste'!$P199))</f>
        <v/>
      </c>
      <c r="AP199" t="str">
        <f t="shared" si="23"/>
        <v/>
      </c>
      <c r="AQ199" t="str">
        <f>IF($AS199="","",TRIM(IF(COUNTIFS(Calc!$B$2:$B$1601,ROW()-1,Calc!$C$2:$C$1601,"&lt;1")&gt;0,"Ada PO tanpa Koli - cek TMP. ","")&amp;IF(OR($AU199="",$AU199&lt;=0),"Volume kosong/0 - dimensi dikosongkan. ","")&amp;IF(AND($AU199&lt;&gt;"",$AU199&gt;=1000000),"Volume &gt;= 1.000.000 cm3 (di luar aturan) - dimensi dikosongkan. ","")&amp;IF(LEN($R199)&gt;500,"R &gt; 500 karakter.","")))</f>
        <v/>
      </c>
      <c r="AS199" t="str">
        <f>IFERROR(MATCH(ROW()-1,Calc!$J$2:$J$1601,0),"")</f>
        <v/>
      </c>
      <c r="AT199" t="str">
        <f>IFERROR(MATCH(ROW()-1,Calc!$K$2:$K$1601,0),"")</f>
        <v/>
      </c>
      <c r="AU199" t="str">
        <f>IF($AS199="","",IFERROR(INDEX('TMP Paste'!$D$2:$D$1601,$AS199)*1000000/$AB199,""))</f>
        <v/>
      </c>
    </row>
    <row r="200" spans="1:47">
      <c r="A200" t="str">
        <f>IF($AS200="","",INDEX('TMP Paste'!$B$2:$B$1601,$AS200))</f>
        <v/>
      </c>
      <c r="B200" t="str">
        <f>IF($AS200="","",Config!$B$14)</f>
        <v/>
      </c>
      <c r="C200" t="str">
        <f>IF($AS200="","",Config!$B$15)</f>
        <v/>
      </c>
      <c r="D200" t="str">
        <f>IF($AS200="","",INDEX('TMP Paste'!$B$2:$B$1601,$AS200))</f>
        <v/>
      </c>
      <c r="E200" t="str">
        <f>IF($AS200="","",Config!$B$27)</f>
        <v/>
      </c>
      <c r="F200" t="str">
        <f>IF($AS200="","",Config!$B$9)</f>
        <v/>
      </c>
      <c r="G200" t="str">
        <f>IF($AS200="","",Config!$B$10)</f>
        <v/>
      </c>
      <c r="H200" t="str">
        <f>IF($AS200="","",Config!$B$11)</f>
        <v/>
      </c>
      <c r="I200" t="str">
        <f>IF($AS200="","",Config!$B$16)</f>
        <v/>
      </c>
      <c r="J200" t="str">
        <f>IF($AS200="","",INDEX('TMP Paste'!$A$2:$A$1601,$AS200))</f>
        <v/>
      </c>
      <c r="K200" t="str">
        <f>IF($AS200="","",INDEX('TMP Paste'!$L$2:$L$1601,$AS200))</f>
        <v/>
      </c>
      <c r="L200" t="str">
        <f>IF($AS200="","",INDEX('TMP Paste'!$I$2:$I$1601,$AS200))</f>
        <v/>
      </c>
      <c r="M200" t="str">
        <f>IF($AS200="","",Config!$B$16)</f>
        <v/>
      </c>
      <c r="N200" t="str">
        <f t="shared" si="18"/>
        <v/>
      </c>
      <c r="O200" t="str">
        <f>IF($AS200="","",INDEX('TMP Paste'!$K$2:$K$1601,$AS200))</f>
        <v/>
      </c>
      <c r="P200" t="str">
        <f t="shared" si="19"/>
        <v/>
      </c>
      <c r="Q200" t="str">
        <f>IF($AS200="","",INDEX('TMP Paste'!$J$2:$J$1601,$AS200))</f>
        <v/>
      </c>
      <c r="R200" t="str">
        <f>IF($AS200="","",Config!$B$24)</f>
        <v/>
      </c>
      <c r="S200" t="str">
        <f ca="1">IF($AS200="","",TEXT(Config!$B$4,"yyyy-mm-dd"))</f>
        <v/>
      </c>
      <c r="T200" t="str">
        <f>IF($AS200="","",Config!$B$17)</f>
        <v/>
      </c>
      <c r="U200" t="str">
        <f>IF($AS200="","",Config!$B$18)</f>
        <v/>
      </c>
      <c r="V200" t="str">
        <f>IF($AS200="","",Config!$B$19)</f>
        <v/>
      </c>
      <c r="W200" t="str">
        <f>IF($AS200="","",INDEX('TMP Paste'!$C$2:$C$1601,$AS200))</f>
        <v/>
      </c>
      <c r="X200" t="str">
        <f>IF($AS200="","",Config!$B$29)</f>
        <v/>
      </c>
      <c r="Y200" t="str">
        <f>IF($AT200="","",INDEX(Calc!$I$2:$I$1601,$AT200)&amp;" - "&amp;INDEX(Calc!$D$2:$D$1601,$AT200)&amp;" koli")</f>
        <v/>
      </c>
      <c r="Z200" t="str">
        <f>IF($AS200="","",Config!$B$21)</f>
        <v/>
      </c>
      <c r="AA200" t="str">
        <f>IF($AS200="","",Config!$B$22)</f>
        <v/>
      </c>
      <c r="AB200" t="str">
        <f>IF($AT200="","",INDEX(Calc!$D$2:$D$1601,$AT200))</f>
        <v/>
      </c>
      <c r="AC200" t="str">
        <f>IF($AT200="","",INDEX(Calc!$G$2:$G$1601,$AT200))</f>
        <v/>
      </c>
      <c r="AD200" t="str">
        <f>IF($AS200="","",Config!$B$23)</f>
        <v/>
      </c>
      <c r="AE200" t="str">
        <f>IF($AS200="","",Config!$B$28)</f>
        <v/>
      </c>
      <c r="AF200" t="str">
        <f t="shared" si="20"/>
        <v/>
      </c>
      <c r="AG200" t="str">
        <f t="shared" si="21"/>
        <v/>
      </c>
      <c r="AH200" t="str">
        <f t="shared" si="22"/>
        <v/>
      </c>
      <c r="AI200" t="str">
        <f>IF($AG200="","",SUMIF($AG$2:$AG200,$AG200,$AH$2:$AH200))</f>
        <v/>
      </c>
      <c r="AJ200" t="str">
        <f>IF('TMP Paste'!$F200="","",IF('TMP Paste'!$B200="",$AJ199,'TMP Paste'!$B200))</f>
        <v>AWB02WLVB</v>
      </c>
      <c r="AK200">
        <f>IF('TMP Paste'!$F200="","",N('TMP Paste'!$G200))</f>
        <v>0</v>
      </c>
      <c r="AL200">
        <f>IF('TMP Paste'!$F200="","",IF('TMP Paste'!$M200="",$AL199,'TMP Paste'!$M200))</f>
        <v>1</v>
      </c>
      <c r="AM200" t="str">
        <f>IF('TMP Paste'!$F200="","",IF('TMP Paste'!$N200="",$AM199,'TMP Paste'!$N200))</f>
        <v/>
      </c>
      <c r="AN200" t="str">
        <f>IF('TMP Paste'!$F200="","",IF('TMP Paste'!$O200="",$AN199,'TMP Paste'!$O200))</f>
        <v/>
      </c>
      <c r="AO200" t="str">
        <f>IF('TMP Paste'!$F200="","",IF('TMP Paste'!$P200="",$AO199,'TMP Paste'!$P200))</f>
        <v/>
      </c>
      <c r="AP200" t="str">
        <f t="shared" si="23"/>
        <v/>
      </c>
      <c r="AQ200" t="str">
        <f>IF($AS200="","",TRIM(IF(COUNTIFS(Calc!$B$2:$B$1601,ROW()-1,Calc!$C$2:$C$1601,"&lt;1")&gt;0,"Ada PO tanpa Koli - cek TMP. ","")&amp;IF(OR($AU200="",$AU200&lt;=0),"Volume kosong/0 - dimensi dikosongkan. ","")&amp;IF(AND($AU200&lt;&gt;"",$AU200&gt;=1000000),"Volume &gt;= 1.000.000 cm3 (di luar aturan) - dimensi dikosongkan. ","")&amp;IF(LEN($R200)&gt;500,"R &gt; 500 karakter.","")))</f>
        <v/>
      </c>
      <c r="AS200" t="str">
        <f>IFERROR(MATCH(ROW()-1,Calc!$J$2:$J$1601,0),"")</f>
        <v/>
      </c>
      <c r="AT200" t="str">
        <f>IFERROR(MATCH(ROW()-1,Calc!$K$2:$K$1601,0),"")</f>
        <v/>
      </c>
      <c r="AU200" t="str">
        <f>IF($AS200="","",IFERROR(INDEX('TMP Paste'!$D$2:$D$1601,$AS200)*1000000/$AB200,""))</f>
        <v/>
      </c>
    </row>
    <row r="201" spans="1:47">
      <c r="A201" t="str">
        <f>IF($AS201="","",INDEX('TMP Paste'!$B$2:$B$1601,$AS201))</f>
        <v/>
      </c>
      <c r="B201" t="str">
        <f>IF($AS201="","",Config!$B$14)</f>
        <v/>
      </c>
      <c r="C201" t="str">
        <f>IF($AS201="","",Config!$B$15)</f>
        <v/>
      </c>
      <c r="D201" t="str">
        <f>IF($AS201="","",INDEX('TMP Paste'!$B$2:$B$1601,$AS201))</f>
        <v/>
      </c>
      <c r="E201" t="str">
        <f>IF($AS201="","",Config!$B$27)</f>
        <v/>
      </c>
      <c r="F201" t="str">
        <f>IF($AS201="","",Config!$B$9)</f>
        <v/>
      </c>
      <c r="G201" t="str">
        <f>IF($AS201="","",Config!$B$10)</f>
        <v/>
      </c>
      <c r="H201" t="str">
        <f>IF($AS201="","",Config!$B$11)</f>
        <v/>
      </c>
      <c r="I201" t="str">
        <f>IF($AS201="","",Config!$B$16)</f>
        <v/>
      </c>
      <c r="J201" t="str">
        <f>IF($AS201="","",INDEX('TMP Paste'!$A$2:$A$1601,$AS201))</f>
        <v/>
      </c>
      <c r="K201" t="str">
        <f>IF($AS201="","",INDEX('TMP Paste'!$L$2:$L$1601,$AS201))</f>
        <v/>
      </c>
      <c r="L201" t="str">
        <f>IF($AS201="","",INDEX('TMP Paste'!$I$2:$I$1601,$AS201))</f>
        <v/>
      </c>
      <c r="M201" t="str">
        <f>IF($AS201="","",Config!$B$16)</f>
        <v/>
      </c>
      <c r="N201" t="str">
        <f t="shared" si="18"/>
        <v/>
      </c>
      <c r="O201" t="str">
        <f>IF($AS201="","",INDEX('TMP Paste'!$K$2:$K$1601,$AS201))</f>
        <v/>
      </c>
      <c r="P201" t="str">
        <f t="shared" si="19"/>
        <v/>
      </c>
      <c r="Q201" t="str">
        <f>IF($AS201="","",INDEX('TMP Paste'!$J$2:$J$1601,$AS201))</f>
        <v/>
      </c>
      <c r="R201" t="str">
        <f>IF($AS201="","",Config!$B$24)</f>
        <v/>
      </c>
      <c r="S201" t="str">
        <f ca="1">IF($AS201="","",TEXT(Config!$B$4,"yyyy-mm-dd"))</f>
        <v/>
      </c>
      <c r="T201" t="str">
        <f>IF($AS201="","",Config!$B$17)</f>
        <v/>
      </c>
      <c r="U201" t="str">
        <f>IF($AS201="","",Config!$B$18)</f>
        <v/>
      </c>
      <c r="V201" t="str">
        <f>IF($AS201="","",Config!$B$19)</f>
        <v/>
      </c>
      <c r="W201" t="str">
        <f>IF($AS201="","",INDEX('TMP Paste'!$C$2:$C$1601,$AS201))</f>
        <v/>
      </c>
      <c r="X201" t="str">
        <f>IF($AS201="","",Config!$B$29)</f>
        <v/>
      </c>
      <c r="Y201" t="str">
        <f>IF($AT201="","",INDEX(Calc!$I$2:$I$1601,$AT201)&amp;" - "&amp;INDEX(Calc!$D$2:$D$1601,$AT201)&amp;" koli")</f>
        <v/>
      </c>
      <c r="Z201" t="str">
        <f>IF($AS201="","",Config!$B$21)</f>
        <v/>
      </c>
      <c r="AA201" t="str">
        <f>IF($AS201="","",Config!$B$22)</f>
        <v/>
      </c>
      <c r="AB201" t="str">
        <f>IF($AT201="","",INDEX(Calc!$D$2:$D$1601,$AT201))</f>
        <v/>
      </c>
      <c r="AC201" t="str">
        <f>IF($AT201="","",INDEX(Calc!$G$2:$G$1601,$AT201))</f>
        <v/>
      </c>
      <c r="AD201" t="str">
        <f>IF($AS201="","",Config!$B$23)</f>
        <v/>
      </c>
      <c r="AE201" t="str">
        <f>IF($AS201="","",Config!$B$28)</f>
        <v/>
      </c>
      <c r="AF201" t="str">
        <f t="shared" si="20"/>
        <v/>
      </c>
      <c r="AG201" t="str">
        <f t="shared" si="21"/>
        <v/>
      </c>
      <c r="AH201" t="str">
        <f t="shared" si="22"/>
        <v/>
      </c>
      <c r="AI201" t="str">
        <f>IF($AG201="","",SUMIF($AG$2:$AG201,$AG201,$AH$2:$AH201))</f>
        <v/>
      </c>
      <c r="AJ201" t="str">
        <f>IF('TMP Paste'!$F201="","",IF('TMP Paste'!$B201="",$AJ200,'TMP Paste'!$B201))</f>
        <v>AWB02WJHG</v>
      </c>
      <c r="AK201">
        <f>IF('TMP Paste'!$F201="","",N('TMP Paste'!$G201))</f>
        <v>0</v>
      </c>
      <c r="AL201">
        <f>IF('TMP Paste'!$F201="","",IF('TMP Paste'!$M201="",$AL200,'TMP Paste'!$M201))</f>
        <v>1</v>
      </c>
      <c r="AM201" t="str">
        <f>IF('TMP Paste'!$F201="","",IF('TMP Paste'!$N201="",$AM200,'TMP Paste'!$N201))</f>
        <v/>
      </c>
      <c r="AN201" t="str">
        <f>IF('TMP Paste'!$F201="","",IF('TMP Paste'!$O201="",$AN200,'TMP Paste'!$O201))</f>
        <v/>
      </c>
      <c r="AO201" t="str">
        <f>IF('TMP Paste'!$F201="","",IF('TMP Paste'!$P201="",$AO200,'TMP Paste'!$P201))</f>
        <v/>
      </c>
      <c r="AP201" t="str">
        <f t="shared" si="23"/>
        <v/>
      </c>
      <c r="AQ201" t="str">
        <f>IF($AS201="","",TRIM(IF(COUNTIFS(Calc!$B$2:$B$1601,ROW()-1,Calc!$C$2:$C$1601,"&lt;1")&gt;0,"Ada PO tanpa Koli - cek TMP. ","")&amp;IF(OR($AU201="",$AU201&lt;=0),"Volume kosong/0 - dimensi dikosongkan. ","")&amp;IF(AND($AU201&lt;&gt;"",$AU201&gt;=1000000),"Volume &gt;= 1.000.000 cm3 (di luar aturan) - dimensi dikosongkan. ","")&amp;IF(LEN($R201)&gt;500,"R &gt; 500 karakter.","")))</f>
        <v/>
      </c>
      <c r="AS201" t="str">
        <f>IFERROR(MATCH(ROW()-1,Calc!$J$2:$J$1601,0),"")</f>
        <v/>
      </c>
      <c r="AT201" t="str">
        <f>IFERROR(MATCH(ROW()-1,Calc!$K$2:$K$1601,0),"")</f>
        <v/>
      </c>
      <c r="AU201" t="str">
        <f>IF($AS201="","",IFERROR(INDEX('TMP Paste'!$D$2:$D$1601,$AS201)*1000000/$AB201,""))</f>
        <v/>
      </c>
    </row>
    <row r="202" spans="1:47">
      <c r="A202" t="str">
        <f>IF($AS202="","",INDEX('TMP Paste'!$B$2:$B$1601,$AS202))</f>
        <v/>
      </c>
      <c r="B202" t="str">
        <f>IF($AS202="","",Config!$B$14)</f>
        <v/>
      </c>
      <c r="C202" t="str">
        <f>IF($AS202="","",Config!$B$15)</f>
        <v/>
      </c>
      <c r="D202" t="str">
        <f>IF($AS202="","",INDEX('TMP Paste'!$B$2:$B$1601,$AS202))</f>
        <v/>
      </c>
      <c r="E202" t="str">
        <f>IF($AS202="","",Config!$B$27)</f>
        <v/>
      </c>
      <c r="F202" t="str">
        <f>IF($AS202="","",Config!$B$9)</f>
        <v/>
      </c>
      <c r="G202" t="str">
        <f>IF($AS202="","",Config!$B$10)</f>
        <v/>
      </c>
      <c r="H202" t="str">
        <f>IF($AS202="","",Config!$B$11)</f>
        <v/>
      </c>
      <c r="I202" t="str">
        <f>IF($AS202="","",Config!$B$16)</f>
        <v/>
      </c>
      <c r="J202" t="str">
        <f>IF($AS202="","",INDEX('TMP Paste'!$A$2:$A$1601,$AS202))</f>
        <v/>
      </c>
      <c r="K202" t="str">
        <f>IF($AS202="","",INDEX('TMP Paste'!$L$2:$L$1601,$AS202))</f>
        <v/>
      </c>
      <c r="L202" t="str">
        <f>IF($AS202="","",INDEX('TMP Paste'!$I$2:$I$1601,$AS202))</f>
        <v/>
      </c>
      <c r="M202" t="str">
        <f>IF($AS202="","",Config!$B$16)</f>
        <v/>
      </c>
      <c r="N202" t="str">
        <f t="shared" si="18"/>
        <v/>
      </c>
      <c r="O202" t="str">
        <f>IF($AS202="","",INDEX('TMP Paste'!$K$2:$K$1601,$AS202))</f>
        <v/>
      </c>
      <c r="P202" t="str">
        <f t="shared" si="19"/>
        <v/>
      </c>
      <c r="Q202" t="str">
        <f>IF($AS202="","",INDEX('TMP Paste'!$J$2:$J$1601,$AS202))</f>
        <v/>
      </c>
      <c r="R202" t="str">
        <f>IF($AS202="","",Config!$B$24)</f>
        <v/>
      </c>
      <c r="S202" t="str">
        <f ca="1">IF($AS202="","",TEXT(Config!$B$4,"yyyy-mm-dd"))</f>
        <v/>
      </c>
      <c r="T202" t="str">
        <f>IF($AS202="","",Config!$B$17)</f>
        <v/>
      </c>
      <c r="U202" t="str">
        <f>IF($AS202="","",Config!$B$18)</f>
        <v/>
      </c>
      <c r="V202" t="str">
        <f>IF($AS202="","",Config!$B$19)</f>
        <v/>
      </c>
      <c r="W202" t="str">
        <f>IF($AS202="","",INDEX('TMP Paste'!$C$2:$C$1601,$AS202))</f>
        <v/>
      </c>
      <c r="X202" t="str">
        <f>IF($AS202="","",Config!$B$29)</f>
        <v/>
      </c>
      <c r="Y202" t="str">
        <f>IF($AT202="","",INDEX(Calc!$I$2:$I$1601,$AT202)&amp;" - "&amp;INDEX(Calc!$D$2:$D$1601,$AT202)&amp;" koli")</f>
        <v/>
      </c>
      <c r="Z202" t="str">
        <f>IF($AS202="","",Config!$B$21)</f>
        <v/>
      </c>
      <c r="AA202" t="str">
        <f>IF($AS202="","",Config!$B$22)</f>
        <v/>
      </c>
      <c r="AB202" t="str">
        <f>IF($AT202="","",INDEX(Calc!$D$2:$D$1601,$AT202))</f>
        <v/>
      </c>
      <c r="AC202" t="str">
        <f>IF($AT202="","",INDEX(Calc!$G$2:$G$1601,$AT202))</f>
        <v/>
      </c>
      <c r="AD202" t="str">
        <f>IF($AS202="","",Config!$B$23)</f>
        <v/>
      </c>
      <c r="AE202" t="str">
        <f>IF($AS202="","",Config!$B$28)</f>
        <v/>
      </c>
      <c r="AF202" t="str">
        <f t="shared" si="20"/>
        <v/>
      </c>
      <c r="AG202" t="str">
        <f t="shared" si="21"/>
        <v/>
      </c>
      <c r="AH202" t="str">
        <f t="shared" si="22"/>
        <v/>
      </c>
      <c r="AI202" t="str">
        <f>IF($AG202="","",SUMIF($AG$2:$AG202,$AG202,$AH$2:$AH202))</f>
        <v/>
      </c>
      <c r="AJ202" t="str">
        <f>IF('TMP Paste'!$F202="","",IF('TMP Paste'!$B202="",$AJ201,'TMP Paste'!$B202))</f>
        <v>AWB02WJ0C</v>
      </c>
      <c r="AK202">
        <f>IF('TMP Paste'!$F202="","",N('TMP Paste'!$G202))</f>
        <v>0</v>
      </c>
      <c r="AL202">
        <f>IF('TMP Paste'!$F202="","",IF('TMP Paste'!$M202="",$AL201,'TMP Paste'!$M202))</f>
        <v>1</v>
      </c>
      <c r="AM202" t="str">
        <f>IF('TMP Paste'!$F202="","",IF('TMP Paste'!$N202="",$AM201,'TMP Paste'!$N202))</f>
        <v/>
      </c>
      <c r="AN202" t="str">
        <f>IF('TMP Paste'!$F202="","",IF('TMP Paste'!$O202="",$AN201,'TMP Paste'!$O202))</f>
        <v/>
      </c>
      <c r="AO202" t="str">
        <f>IF('TMP Paste'!$F202="","",IF('TMP Paste'!$P202="",$AO201,'TMP Paste'!$P202))</f>
        <v/>
      </c>
      <c r="AP202" t="str">
        <f t="shared" si="23"/>
        <v/>
      </c>
      <c r="AQ202" t="str">
        <f>IF($AS202="","",TRIM(IF(COUNTIFS(Calc!$B$2:$B$1601,ROW()-1,Calc!$C$2:$C$1601,"&lt;1")&gt;0,"Ada PO tanpa Koli - cek TMP. ","")&amp;IF(OR($AU202="",$AU202&lt;=0),"Volume kosong/0 - dimensi dikosongkan. ","")&amp;IF(AND($AU202&lt;&gt;"",$AU202&gt;=1000000),"Volume &gt;= 1.000.000 cm3 (di luar aturan) - dimensi dikosongkan. ","")&amp;IF(LEN($R202)&gt;500,"R &gt; 500 karakter.","")))</f>
        <v/>
      </c>
      <c r="AS202" t="str">
        <f>IFERROR(MATCH(ROW()-1,Calc!$J$2:$J$1601,0),"")</f>
        <v/>
      </c>
      <c r="AT202" t="str">
        <f>IFERROR(MATCH(ROW()-1,Calc!$K$2:$K$1601,0),"")</f>
        <v/>
      </c>
      <c r="AU202" t="str">
        <f>IF($AS202="","",IFERROR(INDEX('TMP Paste'!$D$2:$D$1601,$AS202)*1000000/$AB202,""))</f>
        <v/>
      </c>
    </row>
    <row r="203" spans="1:47">
      <c r="A203" t="str">
        <f>IF($AS203="","",INDEX('TMP Paste'!$B$2:$B$1601,$AS203))</f>
        <v/>
      </c>
      <c r="B203" t="str">
        <f>IF($AS203="","",Config!$B$14)</f>
        <v/>
      </c>
      <c r="C203" t="str">
        <f>IF($AS203="","",Config!$B$15)</f>
        <v/>
      </c>
      <c r="D203" t="str">
        <f>IF($AS203="","",INDEX('TMP Paste'!$B$2:$B$1601,$AS203))</f>
        <v/>
      </c>
      <c r="E203" t="str">
        <f>IF($AS203="","",Config!$B$27)</f>
        <v/>
      </c>
      <c r="F203" t="str">
        <f>IF($AS203="","",Config!$B$9)</f>
        <v/>
      </c>
      <c r="G203" t="str">
        <f>IF($AS203="","",Config!$B$10)</f>
        <v/>
      </c>
      <c r="H203" t="str">
        <f>IF($AS203="","",Config!$B$11)</f>
        <v/>
      </c>
      <c r="I203" t="str">
        <f>IF($AS203="","",Config!$B$16)</f>
        <v/>
      </c>
      <c r="J203" t="str">
        <f>IF($AS203="","",INDEX('TMP Paste'!$A$2:$A$1601,$AS203))</f>
        <v/>
      </c>
      <c r="K203" t="str">
        <f>IF($AS203="","",INDEX('TMP Paste'!$L$2:$L$1601,$AS203))</f>
        <v/>
      </c>
      <c r="L203" t="str">
        <f>IF($AS203="","",INDEX('TMP Paste'!$I$2:$I$1601,$AS203))</f>
        <v/>
      </c>
      <c r="M203" t="str">
        <f>IF($AS203="","",Config!$B$16)</f>
        <v/>
      </c>
      <c r="N203" t="str">
        <f t="shared" si="18"/>
        <v/>
      </c>
      <c r="O203" t="str">
        <f>IF($AS203="","",INDEX('TMP Paste'!$K$2:$K$1601,$AS203))</f>
        <v/>
      </c>
      <c r="P203" t="str">
        <f t="shared" si="19"/>
        <v/>
      </c>
      <c r="Q203" t="str">
        <f>IF($AS203="","",INDEX('TMP Paste'!$J$2:$J$1601,$AS203))</f>
        <v/>
      </c>
      <c r="R203" t="str">
        <f>IF($AS203="","",Config!$B$24)</f>
        <v/>
      </c>
      <c r="S203" t="str">
        <f ca="1">IF($AS203="","",TEXT(Config!$B$4,"yyyy-mm-dd"))</f>
        <v/>
      </c>
      <c r="T203" t="str">
        <f>IF($AS203="","",Config!$B$17)</f>
        <v/>
      </c>
      <c r="U203" t="str">
        <f>IF($AS203="","",Config!$B$18)</f>
        <v/>
      </c>
      <c r="V203" t="str">
        <f>IF($AS203="","",Config!$B$19)</f>
        <v/>
      </c>
      <c r="W203" t="str">
        <f>IF($AS203="","",INDEX('TMP Paste'!$C$2:$C$1601,$AS203))</f>
        <v/>
      </c>
      <c r="X203" t="str">
        <f>IF($AS203="","",Config!$B$29)</f>
        <v/>
      </c>
      <c r="Y203" t="str">
        <f>IF($AT203="","",INDEX(Calc!$I$2:$I$1601,$AT203)&amp;" - "&amp;INDEX(Calc!$D$2:$D$1601,$AT203)&amp;" koli")</f>
        <v/>
      </c>
      <c r="Z203" t="str">
        <f>IF($AS203="","",Config!$B$21)</f>
        <v/>
      </c>
      <c r="AA203" t="str">
        <f>IF($AS203="","",Config!$B$22)</f>
        <v/>
      </c>
      <c r="AB203" t="str">
        <f>IF($AT203="","",INDEX(Calc!$D$2:$D$1601,$AT203))</f>
        <v/>
      </c>
      <c r="AC203" t="str">
        <f>IF($AT203="","",INDEX(Calc!$G$2:$G$1601,$AT203))</f>
        <v/>
      </c>
      <c r="AD203" t="str">
        <f>IF($AS203="","",Config!$B$23)</f>
        <v/>
      </c>
      <c r="AE203" t="str">
        <f>IF($AS203="","",Config!$B$28)</f>
        <v/>
      </c>
      <c r="AF203" t="str">
        <f t="shared" si="20"/>
        <v/>
      </c>
      <c r="AG203" t="str">
        <f t="shared" si="21"/>
        <v/>
      </c>
      <c r="AH203" t="str">
        <f t="shared" si="22"/>
        <v/>
      </c>
      <c r="AI203" t="str">
        <f>IF($AG203="","",SUMIF($AG$2:$AG203,$AG203,$AH$2:$AH203))</f>
        <v/>
      </c>
      <c r="AJ203" t="str">
        <f>IF('TMP Paste'!$F203="","",IF('TMP Paste'!$B203="",$AJ202,'TMP Paste'!$B203))</f>
        <v>AWB02WM5H</v>
      </c>
      <c r="AK203">
        <f>IF('TMP Paste'!$F203="","",N('TMP Paste'!$G203))</f>
        <v>0</v>
      </c>
      <c r="AL203">
        <f>IF('TMP Paste'!$F203="","",IF('TMP Paste'!$M203="",$AL202,'TMP Paste'!$M203))</f>
        <v>1</v>
      </c>
      <c r="AM203" t="str">
        <f>IF('TMP Paste'!$F203="","",IF('TMP Paste'!$N203="",$AM202,'TMP Paste'!$N203))</f>
        <v/>
      </c>
      <c r="AN203" t="str">
        <f>IF('TMP Paste'!$F203="","",IF('TMP Paste'!$O203="",$AN202,'TMP Paste'!$O203))</f>
        <v/>
      </c>
      <c r="AO203" t="str">
        <f>IF('TMP Paste'!$F203="","",IF('TMP Paste'!$P203="",$AO202,'TMP Paste'!$P203))</f>
        <v/>
      </c>
      <c r="AP203" t="str">
        <f t="shared" si="23"/>
        <v/>
      </c>
      <c r="AQ203" t="str">
        <f>IF($AS203="","",TRIM(IF(COUNTIFS(Calc!$B$2:$B$1601,ROW()-1,Calc!$C$2:$C$1601,"&lt;1")&gt;0,"Ada PO tanpa Koli - cek TMP. ","")&amp;IF(OR($AU203="",$AU203&lt;=0),"Volume kosong/0 - dimensi dikosongkan. ","")&amp;IF(AND($AU203&lt;&gt;"",$AU203&gt;=1000000),"Volume &gt;= 1.000.000 cm3 (di luar aturan) - dimensi dikosongkan. ","")&amp;IF(LEN($R203)&gt;500,"R &gt; 500 karakter.","")))</f>
        <v/>
      </c>
      <c r="AS203" t="str">
        <f>IFERROR(MATCH(ROW()-1,Calc!$J$2:$J$1601,0),"")</f>
        <v/>
      </c>
      <c r="AT203" t="str">
        <f>IFERROR(MATCH(ROW()-1,Calc!$K$2:$K$1601,0),"")</f>
        <v/>
      </c>
      <c r="AU203" t="str">
        <f>IF($AS203="","",IFERROR(INDEX('TMP Paste'!$D$2:$D$1601,$AS203)*1000000/$AB203,""))</f>
        <v/>
      </c>
    </row>
    <row r="204" spans="1:47">
      <c r="A204" t="str">
        <f>IF($AS204="","",INDEX('TMP Paste'!$B$2:$B$1601,$AS204))</f>
        <v/>
      </c>
      <c r="B204" t="str">
        <f>IF($AS204="","",Config!$B$14)</f>
        <v/>
      </c>
      <c r="C204" t="str">
        <f>IF($AS204="","",Config!$B$15)</f>
        <v/>
      </c>
      <c r="D204" t="str">
        <f>IF($AS204="","",INDEX('TMP Paste'!$B$2:$B$1601,$AS204))</f>
        <v/>
      </c>
      <c r="E204" t="str">
        <f>IF($AS204="","",Config!$B$27)</f>
        <v/>
      </c>
      <c r="F204" t="str">
        <f>IF($AS204="","",Config!$B$9)</f>
        <v/>
      </c>
      <c r="G204" t="str">
        <f>IF($AS204="","",Config!$B$10)</f>
        <v/>
      </c>
      <c r="H204" t="str">
        <f>IF($AS204="","",Config!$B$11)</f>
        <v/>
      </c>
      <c r="I204" t="str">
        <f>IF($AS204="","",Config!$B$16)</f>
        <v/>
      </c>
      <c r="J204" t="str">
        <f>IF($AS204="","",INDEX('TMP Paste'!$A$2:$A$1601,$AS204))</f>
        <v/>
      </c>
      <c r="K204" t="str">
        <f>IF($AS204="","",INDEX('TMP Paste'!$L$2:$L$1601,$AS204))</f>
        <v/>
      </c>
      <c r="L204" t="str">
        <f>IF($AS204="","",INDEX('TMP Paste'!$I$2:$I$1601,$AS204))</f>
        <v/>
      </c>
      <c r="M204" t="str">
        <f>IF($AS204="","",Config!$B$16)</f>
        <v/>
      </c>
      <c r="N204" t="str">
        <f t="shared" si="18"/>
        <v/>
      </c>
      <c r="O204" t="str">
        <f>IF($AS204="","",INDEX('TMP Paste'!$K$2:$K$1601,$AS204))</f>
        <v/>
      </c>
      <c r="P204" t="str">
        <f t="shared" si="19"/>
        <v/>
      </c>
      <c r="Q204" t="str">
        <f>IF($AS204="","",INDEX('TMP Paste'!$J$2:$J$1601,$AS204))</f>
        <v/>
      </c>
      <c r="R204" t="str">
        <f>IF($AS204="","",Config!$B$24)</f>
        <v/>
      </c>
      <c r="S204" t="str">
        <f ca="1">IF($AS204="","",TEXT(Config!$B$4,"yyyy-mm-dd"))</f>
        <v/>
      </c>
      <c r="T204" t="str">
        <f>IF($AS204="","",Config!$B$17)</f>
        <v/>
      </c>
      <c r="U204" t="str">
        <f>IF($AS204="","",Config!$B$18)</f>
        <v/>
      </c>
      <c r="V204" t="str">
        <f>IF($AS204="","",Config!$B$19)</f>
        <v/>
      </c>
      <c r="W204" t="str">
        <f>IF($AS204="","",INDEX('TMP Paste'!$C$2:$C$1601,$AS204))</f>
        <v/>
      </c>
      <c r="X204" t="str">
        <f>IF($AS204="","",Config!$B$29)</f>
        <v/>
      </c>
      <c r="Y204" t="str">
        <f>IF($AT204="","",INDEX(Calc!$I$2:$I$1601,$AT204)&amp;" - "&amp;INDEX(Calc!$D$2:$D$1601,$AT204)&amp;" koli")</f>
        <v/>
      </c>
      <c r="Z204" t="str">
        <f>IF($AS204="","",Config!$B$21)</f>
        <v/>
      </c>
      <c r="AA204" t="str">
        <f>IF($AS204="","",Config!$B$22)</f>
        <v/>
      </c>
      <c r="AB204" t="str">
        <f>IF($AT204="","",INDEX(Calc!$D$2:$D$1601,$AT204))</f>
        <v/>
      </c>
      <c r="AC204" t="str">
        <f>IF($AT204="","",INDEX(Calc!$G$2:$G$1601,$AT204))</f>
        <v/>
      </c>
      <c r="AD204" t="str">
        <f>IF($AS204="","",Config!$B$23)</f>
        <v/>
      </c>
      <c r="AE204" t="str">
        <f>IF($AS204="","",Config!$B$28)</f>
        <v/>
      </c>
      <c r="AF204" t="str">
        <f t="shared" si="20"/>
        <v/>
      </c>
      <c r="AG204" t="str">
        <f t="shared" si="21"/>
        <v/>
      </c>
      <c r="AH204" t="str">
        <f t="shared" si="22"/>
        <v/>
      </c>
      <c r="AI204" t="str">
        <f>IF($AG204="","",SUMIF($AG$2:$AG204,$AG204,$AH$2:$AH204))</f>
        <v/>
      </c>
      <c r="AJ204" t="str">
        <f>IF('TMP Paste'!$F204="","",IF('TMP Paste'!$B204="",$AJ203,'TMP Paste'!$B204))</f>
        <v>AWB02W7M3</v>
      </c>
      <c r="AK204">
        <f>IF('TMP Paste'!$F204="","",N('TMP Paste'!$G204))</f>
        <v>0</v>
      </c>
      <c r="AL204">
        <f>IF('TMP Paste'!$F204="","",IF('TMP Paste'!$M204="",$AL203,'TMP Paste'!$M204))</f>
        <v>1</v>
      </c>
      <c r="AM204" t="str">
        <f>IF('TMP Paste'!$F204="","",IF('TMP Paste'!$N204="",$AM203,'TMP Paste'!$N204))</f>
        <v/>
      </c>
      <c r="AN204" t="str">
        <f>IF('TMP Paste'!$F204="","",IF('TMP Paste'!$O204="",$AN203,'TMP Paste'!$O204))</f>
        <v/>
      </c>
      <c r="AO204" t="str">
        <f>IF('TMP Paste'!$F204="","",IF('TMP Paste'!$P204="",$AO203,'TMP Paste'!$P204))</f>
        <v/>
      </c>
      <c r="AP204" t="str">
        <f t="shared" si="23"/>
        <v/>
      </c>
      <c r="AQ204" t="str">
        <f>IF($AS204="","",TRIM(IF(COUNTIFS(Calc!$B$2:$B$1601,ROW()-1,Calc!$C$2:$C$1601,"&lt;1")&gt;0,"Ada PO tanpa Koli - cek TMP. ","")&amp;IF(OR($AU204="",$AU204&lt;=0),"Volume kosong/0 - dimensi dikosongkan. ","")&amp;IF(AND($AU204&lt;&gt;"",$AU204&gt;=1000000),"Volume &gt;= 1.000.000 cm3 (di luar aturan) - dimensi dikosongkan. ","")&amp;IF(LEN($R204)&gt;500,"R &gt; 500 karakter.","")))</f>
        <v/>
      </c>
      <c r="AS204" t="str">
        <f>IFERROR(MATCH(ROW()-1,Calc!$J$2:$J$1601,0),"")</f>
        <v/>
      </c>
      <c r="AT204" t="str">
        <f>IFERROR(MATCH(ROW()-1,Calc!$K$2:$K$1601,0),"")</f>
        <v/>
      </c>
      <c r="AU204" t="str">
        <f>IF($AS204="","",IFERROR(INDEX('TMP Paste'!$D$2:$D$1601,$AS204)*1000000/$AB204,""))</f>
        <v/>
      </c>
    </row>
    <row r="205" spans="1:47">
      <c r="A205" t="str">
        <f>IF($AS205="","",INDEX('TMP Paste'!$B$2:$B$1601,$AS205))</f>
        <v/>
      </c>
      <c r="B205" t="str">
        <f>IF($AS205="","",Config!$B$14)</f>
        <v/>
      </c>
      <c r="C205" t="str">
        <f>IF($AS205="","",Config!$B$15)</f>
        <v/>
      </c>
      <c r="D205" t="str">
        <f>IF($AS205="","",INDEX('TMP Paste'!$B$2:$B$1601,$AS205))</f>
        <v/>
      </c>
      <c r="E205" t="str">
        <f>IF($AS205="","",Config!$B$27)</f>
        <v/>
      </c>
      <c r="F205" t="str">
        <f>IF($AS205="","",Config!$B$9)</f>
        <v/>
      </c>
      <c r="G205" t="str">
        <f>IF($AS205="","",Config!$B$10)</f>
        <v/>
      </c>
      <c r="H205" t="str">
        <f>IF($AS205="","",Config!$B$11)</f>
        <v/>
      </c>
      <c r="I205" t="str">
        <f>IF($AS205="","",Config!$B$16)</f>
        <v/>
      </c>
      <c r="J205" t="str">
        <f>IF($AS205="","",INDEX('TMP Paste'!$A$2:$A$1601,$AS205))</f>
        <v/>
      </c>
      <c r="K205" t="str">
        <f>IF($AS205="","",INDEX('TMP Paste'!$L$2:$L$1601,$AS205))</f>
        <v/>
      </c>
      <c r="L205" t="str">
        <f>IF($AS205="","",INDEX('TMP Paste'!$I$2:$I$1601,$AS205))</f>
        <v/>
      </c>
      <c r="M205" t="str">
        <f>IF($AS205="","",Config!$B$16)</f>
        <v/>
      </c>
      <c r="N205" t="str">
        <f t="shared" si="18"/>
        <v/>
      </c>
      <c r="O205" t="str">
        <f>IF($AS205="","",INDEX('TMP Paste'!$K$2:$K$1601,$AS205))</f>
        <v/>
      </c>
      <c r="P205" t="str">
        <f t="shared" si="19"/>
        <v/>
      </c>
      <c r="Q205" t="str">
        <f>IF($AS205="","",INDEX('TMP Paste'!$J$2:$J$1601,$AS205))</f>
        <v/>
      </c>
      <c r="R205" t="str">
        <f>IF($AS205="","",Config!$B$24)</f>
        <v/>
      </c>
      <c r="S205" t="str">
        <f ca="1">IF($AS205="","",TEXT(Config!$B$4,"yyyy-mm-dd"))</f>
        <v/>
      </c>
      <c r="T205" t="str">
        <f>IF($AS205="","",Config!$B$17)</f>
        <v/>
      </c>
      <c r="U205" t="str">
        <f>IF($AS205="","",Config!$B$18)</f>
        <v/>
      </c>
      <c r="V205" t="str">
        <f>IF($AS205="","",Config!$B$19)</f>
        <v/>
      </c>
      <c r="W205" t="str">
        <f>IF($AS205="","",INDEX('TMP Paste'!$C$2:$C$1601,$AS205))</f>
        <v/>
      </c>
      <c r="X205" t="str">
        <f>IF($AS205="","",Config!$B$29)</f>
        <v/>
      </c>
      <c r="Y205" t="str">
        <f>IF($AT205="","",INDEX(Calc!$I$2:$I$1601,$AT205)&amp;" - "&amp;INDEX(Calc!$D$2:$D$1601,$AT205)&amp;" koli")</f>
        <v/>
      </c>
      <c r="Z205" t="str">
        <f>IF($AS205="","",Config!$B$21)</f>
        <v/>
      </c>
      <c r="AA205" t="str">
        <f>IF($AS205="","",Config!$B$22)</f>
        <v/>
      </c>
      <c r="AB205" t="str">
        <f>IF($AT205="","",INDEX(Calc!$D$2:$D$1601,$AT205))</f>
        <v/>
      </c>
      <c r="AC205" t="str">
        <f>IF($AT205="","",INDEX(Calc!$G$2:$G$1601,$AT205))</f>
        <v/>
      </c>
      <c r="AD205" t="str">
        <f>IF($AS205="","",Config!$B$23)</f>
        <v/>
      </c>
      <c r="AE205" t="str">
        <f>IF($AS205="","",Config!$B$28)</f>
        <v/>
      </c>
      <c r="AF205" t="str">
        <f t="shared" si="20"/>
        <v/>
      </c>
      <c r="AG205" t="str">
        <f t="shared" si="21"/>
        <v/>
      </c>
      <c r="AH205" t="str">
        <f t="shared" si="22"/>
        <v/>
      </c>
      <c r="AI205" t="str">
        <f>IF($AG205="","",SUMIF($AG$2:$AG205,$AG205,$AH$2:$AH205))</f>
        <v/>
      </c>
      <c r="AJ205" t="str">
        <f>IF('TMP Paste'!$F205="","",IF('TMP Paste'!$B205="",$AJ204,'TMP Paste'!$B205))</f>
        <v/>
      </c>
      <c r="AK205" t="str">
        <f>IF('TMP Paste'!$F205="","",N('TMP Paste'!$G205))</f>
        <v/>
      </c>
      <c r="AL205" t="str">
        <f>IF('TMP Paste'!$F205="","",IF('TMP Paste'!$M205="",$AL204,'TMP Paste'!$M205))</f>
        <v/>
      </c>
      <c r="AM205" t="str">
        <f>IF('TMP Paste'!$F205="","",IF('TMP Paste'!$N205="",$AM204,'TMP Paste'!$N205))</f>
        <v/>
      </c>
      <c r="AN205" t="str">
        <f>IF('TMP Paste'!$F205="","",IF('TMP Paste'!$O205="",$AN204,'TMP Paste'!$O205))</f>
        <v/>
      </c>
      <c r="AO205" t="str">
        <f>IF('TMP Paste'!$F205="","",IF('TMP Paste'!$P205="",$AO204,'TMP Paste'!$P205))</f>
        <v/>
      </c>
      <c r="AP205" t="str">
        <f t="shared" si="23"/>
        <v/>
      </c>
      <c r="AQ205" t="str">
        <f>IF($AS205="","",TRIM(IF(COUNTIFS(Calc!$B$2:$B$1601,ROW()-1,Calc!$C$2:$C$1601,"&lt;1")&gt;0,"Ada PO tanpa Koli - cek TMP. ","")&amp;IF(OR($AU205="",$AU205&lt;=0),"Volume kosong/0 - dimensi dikosongkan. ","")&amp;IF(AND($AU205&lt;&gt;"",$AU205&gt;=1000000),"Volume &gt;= 1.000.000 cm3 (di luar aturan) - dimensi dikosongkan. ","")&amp;IF(LEN($R205)&gt;500,"R &gt; 500 karakter.","")))</f>
        <v/>
      </c>
      <c r="AS205" t="str">
        <f>IFERROR(MATCH(ROW()-1,Calc!$J$2:$J$1601,0),"")</f>
        <v/>
      </c>
      <c r="AT205" t="str">
        <f>IFERROR(MATCH(ROW()-1,Calc!$K$2:$K$1601,0),"")</f>
        <v/>
      </c>
      <c r="AU205" t="str">
        <f>IF($AS205="","",IFERROR(INDEX('TMP Paste'!$D$2:$D$1601,$AS205)*1000000/$AB205,""))</f>
        <v/>
      </c>
    </row>
    <row r="206" spans="1:47">
      <c r="A206" t="str">
        <f>IF($AS206="","",INDEX('TMP Paste'!$B$2:$B$1601,$AS206))</f>
        <v/>
      </c>
      <c r="B206" t="str">
        <f>IF($AS206="","",Config!$B$14)</f>
        <v/>
      </c>
      <c r="C206" t="str">
        <f>IF($AS206="","",Config!$B$15)</f>
        <v/>
      </c>
      <c r="D206" t="str">
        <f>IF($AS206="","",INDEX('TMP Paste'!$B$2:$B$1601,$AS206))</f>
        <v/>
      </c>
      <c r="E206" t="str">
        <f>IF($AS206="","",Config!$B$27)</f>
        <v/>
      </c>
      <c r="F206" t="str">
        <f>IF($AS206="","",Config!$B$9)</f>
        <v/>
      </c>
      <c r="G206" t="str">
        <f>IF($AS206="","",Config!$B$10)</f>
        <v/>
      </c>
      <c r="H206" t="str">
        <f>IF($AS206="","",Config!$B$11)</f>
        <v/>
      </c>
      <c r="I206" t="str">
        <f>IF($AS206="","",Config!$B$16)</f>
        <v/>
      </c>
      <c r="J206" t="str">
        <f>IF($AS206="","",INDEX('TMP Paste'!$A$2:$A$1601,$AS206))</f>
        <v/>
      </c>
      <c r="K206" t="str">
        <f>IF($AS206="","",INDEX('TMP Paste'!$L$2:$L$1601,$AS206))</f>
        <v/>
      </c>
      <c r="L206" t="str">
        <f>IF($AS206="","",INDEX('TMP Paste'!$I$2:$I$1601,$AS206))</f>
        <v/>
      </c>
      <c r="M206" t="str">
        <f>IF($AS206="","",Config!$B$16)</f>
        <v/>
      </c>
      <c r="N206" t="str">
        <f t="shared" si="18"/>
        <v/>
      </c>
      <c r="O206" t="str">
        <f>IF($AS206="","",INDEX('TMP Paste'!$K$2:$K$1601,$AS206))</f>
        <v/>
      </c>
      <c r="P206" t="str">
        <f t="shared" si="19"/>
        <v/>
      </c>
      <c r="Q206" t="str">
        <f>IF($AS206="","",INDEX('TMP Paste'!$J$2:$J$1601,$AS206))</f>
        <v/>
      </c>
      <c r="R206" t="str">
        <f>IF($AS206="","",Config!$B$24)</f>
        <v/>
      </c>
      <c r="S206" t="str">
        <f ca="1">IF($AS206="","",TEXT(Config!$B$4,"yyyy-mm-dd"))</f>
        <v/>
      </c>
      <c r="T206" t="str">
        <f>IF($AS206="","",Config!$B$17)</f>
        <v/>
      </c>
      <c r="U206" t="str">
        <f>IF($AS206="","",Config!$B$18)</f>
        <v/>
      </c>
      <c r="V206" t="str">
        <f>IF($AS206="","",Config!$B$19)</f>
        <v/>
      </c>
      <c r="W206" t="str">
        <f>IF($AS206="","",INDEX('TMP Paste'!$C$2:$C$1601,$AS206))</f>
        <v/>
      </c>
      <c r="X206" t="str">
        <f>IF($AS206="","",Config!$B$29)</f>
        <v/>
      </c>
      <c r="Y206" t="str">
        <f>IF($AT206="","",INDEX(Calc!$I$2:$I$1601,$AT206)&amp;" - "&amp;INDEX(Calc!$D$2:$D$1601,$AT206)&amp;" koli")</f>
        <v/>
      </c>
      <c r="Z206" t="str">
        <f>IF($AS206="","",Config!$B$21)</f>
        <v/>
      </c>
      <c r="AA206" t="str">
        <f>IF($AS206="","",Config!$B$22)</f>
        <v/>
      </c>
      <c r="AB206" t="str">
        <f>IF($AT206="","",INDEX(Calc!$D$2:$D$1601,$AT206))</f>
        <v/>
      </c>
      <c r="AC206" t="str">
        <f>IF($AT206="","",INDEX(Calc!$G$2:$G$1601,$AT206))</f>
        <v/>
      </c>
      <c r="AD206" t="str">
        <f>IF($AS206="","",Config!$B$23)</f>
        <v/>
      </c>
      <c r="AE206" t="str">
        <f>IF($AS206="","",Config!$B$28)</f>
        <v/>
      </c>
      <c r="AF206" t="str">
        <f t="shared" si="20"/>
        <v/>
      </c>
      <c r="AG206" t="str">
        <f t="shared" si="21"/>
        <v/>
      </c>
      <c r="AH206" t="str">
        <f t="shared" si="22"/>
        <v/>
      </c>
      <c r="AI206" t="str">
        <f>IF($AG206="","",SUMIF($AG$2:$AG206,$AG206,$AH$2:$AH206))</f>
        <v/>
      </c>
      <c r="AJ206" t="str">
        <f>IF('TMP Paste'!$F206="","",IF('TMP Paste'!$B206="",$AJ205,'TMP Paste'!$B206))</f>
        <v/>
      </c>
      <c r="AK206" t="str">
        <f>IF('TMP Paste'!$F206="","",N('TMP Paste'!$G206))</f>
        <v/>
      </c>
      <c r="AL206" t="str">
        <f>IF('TMP Paste'!$F206="","",IF('TMP Paste'!$M206="",$AL205,'TMP Paste'!$M206))</f>
        <v/>
      </c>
      <c r="AM206" t="str">
        <f>IF('TMP Paste'!$F206="","",IF('TMP Paste'!$N206="",$AM205,'TMP Paste'!$N206))</f>
        <v/>
      </c>
      <c r="AN206" t="str">
        <f>IF('TMP Paste'!$F206="","",IF('TMP Paste'!$O206="",$AN205,'TMP Paste'!$O206))</f>
        <v/>
      </c>
      <c r="AO206" t="str">
        <f>IF('TMP Paste'!$F206="","",IF('TMP Paste'!$P206="",$AO205,'TMP Paste'!$P206))</f>
        <v/>
      </c>
      <c r="AP206" t="str">
        <f t="shared" si="23"/>
        <v/>
      </c>
      <c r="AQ206" t="str">
        <f>IF($AS206="","",TRIM(IF(COUNTIFS(Calc!$B$2:$B$1601,ROW()-1,Calc!$C$2:$C$1601,"&lt;1")&gt;0,"Ada PO tanpa Koli - cek TMP. ","")&amp;IF(OR($AU206="",$AU206&lt;=0),"Volume kosong/0 - dimensi dikosongkan. ","")&amp;IF(AND($AU206&lt;&gt;"",$AU206&gt;=1000000),"Volume &gt;= 1.000.000 cm3 (di luar aturan) - dimensi dikosongkan. ","")&amp;IF(LEN($R206)&gt;500,"R &gt; 500 karakter.","")))</f>
        <v/>
      </c>
      <c r="AS206" t="str">
        <f>IFERROR(MATCH(ROW()-1,Calc!$J$2:$J$1601,0),"")</f>
        <v/>
      </c>
      <c r="AT206" t="str">
        <f>IFERROR(MATCH(ROW()-1,Calc!$K$2:$K$1601,0),"")</f>
        <v/>
      </c>
      <c r="AU206" t="str">
        <f>IF($AS206="","",IFERROR(INDEX('TMP Paste'!$D$2:$D$1601,$AS206)*1000000/$AB206,""))</f>
        <v/>
      </c>
    </row>
    <row r="207" spans="1:47">
      <c r="A207" t="str">
        <f>IF($AS207="","",INDEX('TMP Paste'!$B$2:$B$1601,$AS207))</f>
        <v/>
      </c>
      <c r="B207" t="str">
        <f>IF($AS207="","",Config!$B$14)</f>
        <v/>
      </c>
      <c r="C207" t="str">
        <f>IF($AS207="","",Config!$B$15)</f>
        <v/>
      </c>
      <c r="D207" t="str">
        <f>IF($AS207="","",INDEX('TMP Paste'!$B$2:$B$1601,$AS207))</f>
        <v/>
      </c>
      <c r="E207" t="str">
        <f>IF($AS207="","",Config!$B$27)</f>
        <v/>
      </c>
      <c r="F207" t="str">
        <f>IF($AS207="","",Config!$B$9)</f>
        <v/>
      </c>
      <c r="G207" t="str">
        <f>IF($AS207="","",Config!$B$10)</f>
        <v/>
      </c>
      <c r="H207" t="str">
        <f>IF($AS207="","",Config!$B$11)</f>
        <v/>
      </c>
      <c r="I207" t="str">
        <f>IF($AS207="","",Config!$B$16)</f>
        <v/>
      </c>
      <c r="J207" t="str">
        <f>IF($AS207="","",INDEX('TMP Paste'!$A$2:$A$1601,$AS207))</f>
        <v/>
      </c>
      <c r="K207" t="str">
        <f>IF($AS207="","",INDEX('TMP Paste'!$L$2:$L$1601,$AS207))</f>
        <v/>
      </c>
      <c r="L207" t="str">
        <f>IF($AS207="","",INDEX('TMP Paste'!$I$2:$I$1601,$AS207))</f>
        <v/>
      </c>
      <c r="M207" t="str">
        <f>IF($AS207="","",Config!$B$16)</f>
        <v/>
      </c>
      <c r="N207" t="str">
        <f t="shared" si="18"/>
        <v/>
      </c>
      <c r="O207" t="str">
        <f>IF($AS207="","",INDEX('TMP Paste'!$K$2:$K$1601,$AS207))</f>
        <v/>
      </c>
      <c r="P207" t="str">
        <f t="shared" si="19"/>
        <v/>
      </c>
      <c r="Q207" t="str">
        <f>IF($AS207="","",INDEX('TMP Paste'!$J$2:$J$1601,$AS207))</f>
        <v/>
      </c>
      <c r="R207" t="str">
        <f>IF($AS207="","",Config!$B$24)</f>
        <v/>
      </c>
      <c r="S207" t="str">
        <f ca="1">IF($AS207="","",TEXT(Config!$B$4,"yyyy-mm-dd"))</f>
        <v/>
      </c>
      <c r="T207" t="str">
        <f>IF($AS207="","",Config!$B$17)</f>
        <v/>
      </c>
      <c r="U207" t="str">
        <f>IF($AS207="","",Config!$B$18)</f>
        <v/>
      </c>
      <c r="V207" t="str">
        <f>IF($AS207="","",Config!$B$19)</f>
        <v/>
      </c>
      <c r="W207" t="str">
        <f>IF($AS207="","",INDEX('TMP Paste'!$C$2:$C$1601,$AS207))</f>
        <v/>
      </c>
      <c r="X207" t="str">
        <f>IF($AS207="","",Config!$B$29)</f>
        <v/>
      </c>
      <c r="Y207" t="str">
        <f>IF($AT207="","",INDEX(Calc!$I$2:$I$1601,$AT207)&amp;" - "&amp;INDEX(Calc!$D$2:$D$1601,$AT207)&amp;" koli")</f>
        <v/>
      </c>
      <c r="Z207" t="str">
        <f>IF($AS207="","",Config!$B$21)</f>
        <v/>
      </c>
      <c r="AA207" t="str">
        <f>IF($AS207="","",Config!$B$22)</f>
        <v/>
      </c>
      <c r="AB207" t="str">
        <f>IF($AT207="","",INDEX(Calc!$D$2:$D$1601,$AT207))</f>
        <v/>
      </c>
      <c r="AC207" t="str">
        <f>IF($AT207="","",INDEX(Calc!$G$2:$G$1601,$AT207))</f>
        <v/>
      </c>
      <c r="AD207" t="str">
        <f>IF($AS207="","",Config!$B$23)</f>
        <v/>
      </c>
      <c r="AE207" t="str">
        <f>IF($AS207="","",Config!$B$28)</f>
        <v/>
      </c>
      <c r="AF207" t="str">
        <f t="shared" si="20"/>
        <v/>
      </c>
      <c r="AG207" t="str">
        <f t="shared" si="21"/>
        <v/>
      </c>
      <c r="AH207" t="str">
        <f t="shared" si="22"/>
        <v/>
      </c>
      <c r="AI207" t="str">
        <f>IF($AG207="","",SUMIF($AG$2:$AG207,$AG207,$AH$2:$AH207))</f>
        <v/>
      </c>
      <c r="AJ207" t="str">
        <f>IF('TMP Paste'!$F207="","",IF('TMP Paste'!$B207="",$AJ206,'TMP Paste'!$B207))</f>
        <v/>
      </c>
      <c r="AK207" t="str">
        <f>IF('TMP Paste'!$F207="","",N('TMP Paste'!$G207))</f>
        <v/>
      </c>
      <c r="AL207" t="str">
        <f>IF('TMP Paste'!$F207="","",IF('TMP Paste'!$M207="",$AL206,'TMP Paste'!$M207))</f>
        <v/>
      </c>
      <c r="AM207" t="str">
        <f>IF('TMP Paste'!$F207="","",IF('TMP Paste'!$N207="",$AM206,'TMP Paste'!$N207))</f>
        <v/>
      </c>
      <c r="AN207" t="str">
        <f>IF('TMP Paste'!$F207="","",IF('TMP Paste'!$O207="",$AN206,'TMP Paste'!$O207))</f>
        <v/>
      </c>
      <c r="AO207" t="str">
        <f>IF('TMP Paste'!$F207="","",IF('TMP Paste'!$P207="",$AO206,'TMP Paste'!$P207))</f>
        <v/>
      </c>
      <c r="AP207" t="str">
        <f t="shared" si="23"/>
        <v/>
      </c>
      <c r="AQ207" t="str">
        <f>IF($AS207="","",TRIM(IF(COUNTIFS(Calc!$B$2:$B$1601,ROW()-1,Calc!$C$2:$C$1601,"&lt;1")&gt;0,"Ada PO tanpa Koli - cek TMP. ","")&amp;IF(OR($AU207="",$AU207&lt;=0),"Volume kosong/0 - dimensi dikosongkan. ","")&amp;IF(AND($AU207&lt;&gt;"",$AU207&gt;=1000000),"Volume &gt;= 1.000.000 cm3 (di luar aturan) - dimensi dikosongkan. ","")&amp;IF(LEN($R207)&gt;500,"R &gt; 500 karakter.","")))</f>
        <v/>
      </c>
      <c r="AS207" t="str">
        <f>IFERROR(MATCH(ROW()-1,Calc!$J$2:$J$1601,0),"")</f>
        <v/>
      </c>
      <c r="AT207" t="str">
        <f>IFERROR(MATCH(ROW()-1,Calc!$K$2:$K$1601,0),"")</f>
        <v/>
      </c>
      <c r="AU207" t="str">
        <f>IF($AS207="","",IFERROR(INDEX('TMP Paste'!$D$2:$D$1601,$AS207)*1000000/$AB207,""))</f>
        <v/>
      </c>
    </row>
    <row r="208" spans="1:47">
      <c r="A208" t="str">
        <f>IF($AS208="","",INDEX('TMP Paste'!$B$2:$B$1601,$AS208))</f>
        <v/>
      </c>
      <c r="B208" t="str">
        <f>IF($AS208="","",Config!$B$14)</f>
        <v/>
      </c>
      <c r="C208" t="str">
        <f>IF($AS208="","",Config!$B$15)</f>
        <v/>
      </c>
      <c r="D208" t="str">
        <f>IF($AS208="","",INDEX('TMP Paste'!$B$2:$B$1601,$AS208))</f>
        <v/>
      </c>
      <c r="E208" t="str">
        <f>IF($AS208="","",Config!$B$27)</f>
        <v/>
      </c>
      <c r="F208" t="str">
        <f>IF($AS208="","",Config!$B$9)</f>
        <v/>
      </c>
      <c r="G208" t="str">
        <f>IF($AS208="","",Config!$B$10)</f>
        <v/>
      </c>
      <c r="H208" t="str">
        <f>IF($AS208="","",Config!$B$11)</f>
        <v/>
      </c>
      <c r="I208" t="str">
        <f>IF($AS208="","",Config!$B$16)</f>
        <v/>
      </c>
      <c r="J208" t="str">
        <f>IF($AS208="","",INDEX('TMP Paste'!$A$2:$A$1601,$AS208))</f>
        <v/>
      </c>
      <c r="K208" t="str">
        <f>IF($AS208="","",INDEX('TMP Paste'!$L$2:$L$1601,$AS208))</f>
        <v/>
      </c>
      <c r="L208" t="str">
        <f>IF($AS208="","",INDEX('TMP Paste'!$I$2:$I$1601,$AS208))</f>
        <v/>
      </c>
      <c r="M208" t="str">
        <f>IF($AS208="","",Config!$B$16)</f>
        <v/>
      </c>
      <c r="N208" t="str">
        <f t="shared" si="18"/>
        <v/>
      </c>
      <c r="O208" t="str">
        <f>IF($AS208="","",INDEX('TMP Paste'!$K$2:$K$1601,$AS208))</f>
        <v/>
      </c>
      <c r="P208" t="str">
        <f t="shared" si="19"/>
        <v/>
      </c>
      <c r="Q208" t="str">
        <f>IF($AS208="","",INDEX('TMP Paste'!$J$2:$J$1601,$AS208))</f>
        <v/>
      </c>
      <c r="R208" t="str">
        <f>IF($AS208="","",Config!$B$24)</f>
        <v/>
      </c>
      <c r="S208" t="str">
        <f ca="1">IF($AS208="","",TEXT(Config!$B$4,"yyyy-mm-dd"))</f>
        <v/>
      </c>
      <c r="T208" t="str">
        <f>IF($AS208="","",Config!$B$17)</f>
        <v/>
      </c>
      <c r="U208" t="str">
        <f>IF($AS208="","",Config!$B$18)</f>
        <v/>
      </c>
      <c r="V208" t="str">
        <f>IF($AS208="","",Config!$B$19)</f>
        <v/>
      </c>
      <c r="W208" t="str">
        <f>IF($AS208="","",INDEX('TMP Paste'!$C$2:$C$1601,$AS208))</f>
        <v/>
      </c>
      <c r="X208" t="str">
        <f>IF($AS208="","",Config!$B$29)</f>
        <v/>
      </c>
      <c r="Y208" t="str">
        <f>IF($AT208="","",INDEX(Calc!$I$2:$I$1601,$AT208)&amp;" - "&amp;INDEX(Calc!$D$2:$D$1601,$AT208)&amp;" koli")</f>
        <v/>
      </c>
      <c r="Z208" t="str">
        <f>IF($AS208="","",Config!$B$21)</f>
        <v/>
      </c>
      <c r="AA208" t="str">
        <f>IF($AS208="","",Config!$B$22)</f>
        <v/>
      </c>
      <c r="AB208" t="str">
        <f>IF($AT208="","",INDEX(Calc!$D$2:$D$1601,$AT208))</f>
        <v/>
      </c>
      <c r="AC208" t="str">
        <f>IF($AT208="","",INDEX(Calc!$G$2:$G$1601,$AT208))</f>
        <v/>
      </c>
      <c r="AD208" t="str">
        <f>IF($AS208="","",Config!$B$23)</f>
        <v/>
      </c>
      <c r="AE208" t="str">
        <f>IF($AS208="","",Config!$B$28)</f>
        <v/>
      </c>
      <c r="AF208" t="str">
        <f t="shared" si="20"/>
        <v/>
      </c>
      <c r="AG208" t="str">
        <f t="shared" si="21"/>
        <v/>
      </c>
      <c r="AH208" t="str">
        <f t="shared" si="22"/>
        <v/>
      </c>
      <c r="AI208" t="str">
        <f>IF($AG208="","",SUMIF($AG$2:$AG208,$AG208,$AH$2:$AH208))</f>
        <v/>
      </c>
      <c r="AJ208" t="str">
        <f>IF('TMP Paste'!$F208="","",IF('TMP Paste'!$B208="",$AJ207,'TMP Paste'!$B208))</f>
        <v/>
      </c>
      <c r="AK208" t="str">
        <f>IF('TMP Paste'!$F208="","",N('TMP Paste'!$G208))</f>
        <v/>
      </c>
      <c r="AL208" t="str">
        <f>IF('TMP Paste'!$F208="","",IF('TMP Paste'!$M208="",$AL207,'TMP Paste'!$M208))</f>
        <v/>
      </c>
      <c r="AM208" t="str">
        <f>IF('TMP Paste'!$F208="","",IF('TMP Paste'!$N208="",$AM207,'TMP Paste'!$N208))</f>
        <v/>
      </c>
      <c r="AN208" t="str">
        <f>IF('TMP Paste'!$F208="","",IF('TMP Paste'!$O208="",$AN207,'TMP Paste'!$O208))</f>
        <v/>
      </c>
      <c r="AO208" t="str">
        <f>IF('TMP Paste'!$F208="","",IF('TMP Paste'!$P208="",$AO207,'TMP Paste'!$P208))</f>
        <v/>
      </c>
      <c r="AP208" t="str">
        <f t="shared" si="23"/>
        <v/>
      </c>
      <c r="AQ208" t="str">
        <f>IF($AS208="","",TRIM(IF(COUNTIFS(Calc!$B$2:$B$1601,ROW()-1,Calc!$C$2:$C$1601,"&lt;1")&gt;0,"Ada PO tanpa Koli - cek TMP. ","")&amp;IF(OR($AU208="",$AU208&lt;=0),"Volume kosong/0 - dimensi dikosongkan. ","")&amp;IF(AND($AU208&lt;&gt;"",$AU208&gt;=1000000),"Volume &gt;= 1.000.000 cm3 (di luar aturan) - dimensi dikosongkan. ","")&amp;IF(LEN($R208)&gt;500,"R &gt; 500 karakter.","")))</f>
        <v/>
      </c>
      <c r="AS208" t="str">
        <f>IFERROR(MATCH(ROW()-1,Calc!$J$2:$J$1601,0),"")</f>
        <v/>
      </c>
      <c r="AT208" t="str">
        <f>IFERROR(MATCH(ROW()-1,Calc!$K$2:$K$1601,0),"")</f>
        <v/>
      </c>
      <c r="AU208" t="str">
        <f>IF($AS208="","",IFERROR(INDEX('TMP Paste'!$D$2:$D$1601,$AS208)*1000000/$AB208,""))</f>
        <v/>
      </c>
    </row>
    <row r="209" spans="1:47">
      <c r="A209" t="str">
        <f>IF($AS209="","",INDEX('TMP Paste'!$B$2:$B$1601,$AS209))</f>
        <v/>
      </c>
      <c r="B209" t="str">
        <f>IF($AS209="","",Config!$B$14)</f>
        <v/>
      </c>
      <c r="C209" t="str">
        <f>IF($AS209="","",Config!$B$15)</f>
        <v/>
      </c>
      <c r="D209" t="str">
        <f>IF($AS209="","",INDEX('TMP Paste'!$B$2:$B$1601,$AS209))</f>
        <v/>
      </c>
      <c r="E209" t="str">
        <f>IF($AS209="","",Config!$B$27)</f>
        <v/>
      </c>
      <c r="F209" t="str">
        <f>IF($AS209="","",Config!$B$9)</f>
        <v/>
      </c>
      <c r="G209" t="str">
        <f>IF($AS209="","",Config!$B$10)</f>
        <v/>
      </c>
      <c r="H209" t="str">
        <f>IF($AS209="","",Config!$B$11)</f>
        <v/>
      </c>
      <c r="I209" t="str">
        <f>IF($AS209="","",Config!$B$16)</f>
        <v/>
      </c>
      <c r="J209" t="str">
        <f>IF($AS209="","",INDEX('TMP Paste'!$A$2:$A$1601,$AS209))</f>
        <v/>
      </c>
      <c r="K209" t="str">
        <f>IF($AS209="","",INDEX('TMP Paste'!$L$2:$L$1601,$AS209))</f>
        <v/>
      </c>
      <c r="L209" t="str">
        <f>IF($AS209="","",INDEX('TMP Paste'!$I$2:$I$1601,$AS209))</f>
        <v/>
      </c>
      <c r="M209" t="str">
        <f>IF($AS209="","",Config!$B$16)</f>
        <v/>
      </c>
      <c r="N209" t="str">
        <f t="shared" si="18"/>
        <v/>
      </c>
      <c r="O209" t="str">
        <f>IF($AS209="","",INDEX('TMP Paste'!$K$2:$K$1601,$AS209))</f>
        <v/>
      </c>
      <c r="P209" t="str">
        <f t="shared" si="19"/>
        <v/>
      </c>
      <c r="Q209" t="str">
        <f>IF($AS209="","",INDEX('TMP Paste'!$J$2:$J$1601,$AS209))</f>
        <v/>
      </c>
      <c r="R209" t="str">
        <f>IF($AS209="","",Config!$B$24)</f>
        <v/>
      </c>
      <c r="S209" t="str">
        <f ca="1">IF($AS209="","",TEXT(Config!$B$4,"yyyy-mm-dd"))</f>
        <v/>
      </c>
      <c r="T209" t="str">
        <f>IF($AS209="","",Config!$B$17)</f>
        <v/>
      </c>
      <c r="U209" t="str">
        <f>IF($AS209="","",Config!$B$18)</f>
        <v/>
      </c>
      <c r="V209" t="str">
        <f>IF($AS209="","",Config!$B$19)</f>
        <v/>
      </c>
      <c r="W209" t="str">
        <f>IF($AS209="","",INDEX('TMP Paste'!$C$2:$C$1601,$AS209))</f>
        <v/>
      </c>
      <c r="X209" t="str">
        <f>IF($AS209="","",Config!$B$29)</f>
        <v/>
      </c>
      <c r="Y209" t="str">
        <f>IF($AT209="","",INDEX(Calc!$I$2:$I$1601,$AT209)&amp;" - "&amp;INDEX(Calc!$D$2:$D$1601,$AT209)&amp;" koli")</f>
        <v/>
      </c>
      <c r="Z209" t="str">
        <f>IF($AS209="","",Config!$B$21)</f>
        <v/>
      </c>
      <c r="AA209" t="str">
        <f>IF($AS209="","",Config!$B$22)</f>
        <v/>
      </c>
      <c r="AB209" t="str">
        <f>IF($AT209="","",INDEX(Calc!$D$2:$D$1601,$AT209))</f>
        <v/>
      </c>
      <c r="AC209" t="str">
        <f>IF($AT209="","",INDEX(Calc!$G$2:$G$1601,$AT209))</f>
        <v/>
      </c>
      <c r="AD209" t="str">
        <f>IF($AS209="","",Config!$B$23)</f>
        <v/>
      </c>
      <c r="AE209" t="str">
        <f>IF($AS209="","",Config!$B$28)</f>
        <v/>
      </c>
      <c r="AF209" t="str">
        <f t="shared" si="20"/>
        <v/>
      </c>
      <c r="AG209" t="str">
        <f t="shared" si="21"/>
        <v/>
      </c>
      <c r="AH209" t="str">
        <f t="shared" si="22"/>
        <v/>
      </c>
      <c r="AI209" t="str">
        <f>IF($AG209="","",SUMIF($AG$2:$AG209,$AG209,$AH$2:$AH209))</f>
        <v/>
      </c>
      <c r="AJ209" t="str">
        <f>IF('TMP Paste'!$F209="","",IF('TMP Paste'!$B209="",$AJ208,'TMP Paste'!$B209))</f>
        <v/>
      </c>
      <c r="AK209" t="str">
        <f>IF('TMP Paste'!$F209="","",N('TMP Paste'!$G209))</f>
        <v/>
      </c>
      <c r="AL209" t="str">
        <f>IF('TMP Paste'!$F209="","",IF('TMP Paste'!$M209="",$AL208,'TMP Paste'!$M209))</f>
        <v/>
      </c>
      <c r="AM209" t="str">
        <f>IF('TMP Paste'!$F209="","",IF('TMP Paste'!$N209="",$AM208,'TMP Paste'!$N209))</f>
        <v/>
      </c>
      <c r="AN209" t="str">
        <f>IF('TMP Paste'!$F209="","",IF('TMP Paste'!$O209="",$AN208,'TMP Paste'!$O209))</f>
        <v/>
      </c>
      <c r="AO209" t="str">
        <f>IF('TMP Paste'!$F209="","",IF('TMP Paste'!$P209="",$AO208,'TMP Paste'!$P209))</f>
        <v/>
      </c>
      <c r="AP209" t="str">
        <f t="shared" si="23"/>
        <v/>
      </c>
      <c r="AQ209" t="str">
        <f>IF($AS209="","",TRIM(IF(COUNTIFS(Calc!$B$2:$B$1601,ROW()-1,Calc!$C$2:$C$1601,"&lt;1")&gt;0,"Ada PO tanpa Koli - cek TMP. ","")&amp;IF(OR($AU209="",$AU209&lt;=0),"Volume kosong/0 - dimensi dikosongkan. ","")&amp;IF(AND($AU209&lt;&gt;"",$AU209&gt;=1000000),"Volume &gt;= 1.000.000 cm3 (di luar aturan) - dimensi dikosongkan. ","")&amp;IF(LEN($R209)&gt;500,"R &gt; 500 karakter.","")))</f>
        <v/>
      </c>
      <c r="AS209" t="str">
        <f>IFERROR(MATCH(ROW()-1,Calc!$J$2:$J$1601,0),"")</f>
        <v/>
      </c>
      <c r="AT209" t="str">
        <f>IFERROR(MATCH(ROW()-1,Calc!$K$2:$K$1601,0),"")</f>
        <v/>
      </c>
      <c r="AU209" t="str">
        <f>IF($AS209="","",IFERROR(INDEX('TMP Paste'!$D$2:$D$1601,$AS209)*1000000/$AB209,""))</f>
        <v/>
      </c>
    </row>
    <row r="210" spans="1:47">
      <c r="A210" t="str">
        <f>IF($AS210="","",INDEX('TMP Paste'!$B$2:$B$1601,$AS210))</f>
        <v/>
      </c>
      <c r="B210" t="str">
        <f>IF($AS210="","",Config!$B$14)</f>
        <v/>
      </c>
      <c r="C210" t="str">
        <f>IF($AS210="","",Config!$B$15)</f>
        <v/>
      </c>
      <c r="D210" t="str">
        <f>IF($AS210="","",INDEX('TMP Paste'!$B$2:$B$1601,$AS210))</f>
        <v/>
      </c>
      <c r="E210" t="str">
        <f>IF($AS210="","",Config!$B$27)</f>
        <v/>
      </c>
      <c r="F210" t="str">
        <f>IF($AS210="","",Config!$B$9)</f>
        <v/>
      </c>
      <c r="G210" t="str">
        <f>IF($AS210="","",Config!$B$10)</f>
        <v/>
      </c>
      <c r="H210" t="str">
        <f>IF($AS210="","",Config!$B$11)</f>
        <v/>
      </c>
      <c r="I210" t="str">
        <f>IF($AS210="","",Config!$B$16)</f>
        <v/>
      </c>
      <c r="J210" t="str">
        <f>IF($AS210="","",INDEX('TMP Paste'!$A$2:$A$1601,$AS210))</f>
        <v/>
      </c>
      <c r="K210" t="str">
        <f>IF($AS210="","",INDEX('TMP Paste'!$L$2:$L$1601,$AS210))</f>
        <v/>
      </c>
      <c r="L210" t="str">
        <f>IF($AS210="","",INDEX('TMP Paste'!$I$2:$I$1601,$AS210))</f>
        <v/>
      </c>
      <c r="M210" t="str">
        <f>IF($AS210="","",Config!$B$16)</f>
        <v/>
      </c>
      <c r="N210" t="str">
        <f t="shared" si="18"/>
        <v/>
      </c>
      <c r="O210" t="str">
        <f>IF($AS210="","",INDEX('TMP Paste'!$K$2:$K$1601,$AS210))</f>
        <v/>
      </c>
      <c r="P210" t="str">
        <f t="shared" si="19"/>
        <v/>
      </c>
      <c r="Q210" t="str">
        <f>IF($AS210="","",INDEX('TMP Paste'!$J$2:$J$1601,$AS210))</f>
        <v/>
      </c>
      <c r="R210" t="str">
        <f>IF($AS210="","",Config!$B$24)</f>
        <v/>
      </c>
      <c r="S210" t="str">
        <f ca="1">IF($AS210="","",TEXT(Config!$B$4,"yyyy-mm-dd"))</f>
        <v/>
      </c>
      <c r="T210" t="str">
        <f>IF($AS210="","",Config!$B$17)</f>
        <v/>
      </c>
      <c r="U210" t="str">
        <f>IF($AS210="","",Config!$B$18)</f>
        <v/>
      </c>
      <c r="V210" t="str">
        <f>IF($AS210="","",Config!$B$19)</f>
        <v/>
      </c>
      <c r="W210" t="str">
        <f>IF($AS210="","",INDEX('TMP Paste'!$C$2:$C$1601,$AS210))</f>
        <v/>
      </c>
      <c r="X210" t="str">
        <f>IF($AS210="","",Config!$B$29)</f>
        <v/>
      </c>
      <c r="Y210" t="str">
        <f>IF($AT210="","",INDEX(Calc!$I$2:$I$1601,$AT210)&amp;" - "&amp;INDEX(Calc!$D$2:$D$1601,$AT210)&amp;" koli")</f>
        <v/>
      </c>
      <c r="Z210" t="str">
        <f>IF($AS210="","",Config!$B$21)</f>
        <v/>
      </c>
      <c r="AA210" t="str">
        <f>IF($AS210="","",Config!$B$22)</f>
        <v/>
      </c>
      <c r="AB210" t="str">
        <f>IF($AT210="","",INDEX(Calc!$D$2:$D$1601,$AT210))</f>
        <v/>
      </c>
      <c r="AC210" t="str">
        <f>IF($AT210="","",INDEX(Calc!$G$2:$G$1601,$AT210))</f>
        <v/>
      </c>
      <c r="AD210" t="str">
        <f>IF($AS210="","",Config!$B$23)</f>
        <v/>
      </c>
      <c r="AE210" t="str">
        <f>IF($AS210="","",Config!$B$28)</f>
        <v/>
      </c>
      <c r="AF210" t="str">
        <f t="shared" si="20"/>
        <v/>
      </c>
      <c r="AG210" t="str">
        <f t="shared" si="21"/>
        <v/>
      </c>
      <c r="AH210" t="str">
        <f t="shared" si="22"/>
        <v/>
      </c>
      <c r="AI210" t="str">
        <f>IF($AG210="","",SUMIF($AG$2:$AG210,$AG210,$AH$2:$AH210))</f>
        <v/>
      </c>
      <c r="AJ210" t="str">
        <f>IF('TMP Paste'!$F210="","",IF('TMP Paste'!$B210="",$AJ209,'TMP Paste'!$B210))</f>
        <v/>
      </c>
      <c r="AK210" t="str">
        <f>IF('TMP Paste'!$F210="","",N('TMP Paste'!$G210))</f>
        <v/>
      </c>
      <c r="AL210" t="str">
        <f>IF('TMP Paste'!$F210="","",IF('TMP Paste'!$M210="",$AL209,'TMP Paste'!$M210))</f>
        <v/>
      </c>
      <c r="AM210" t="str">
        <f>IF('TMP Paste'!$F210="","",IF('TMP Paste'!$N210="",$AM209,'TMP Paste'!$N210))</f>
        <v/>
      </c>
      <c r="AN210" t="str">
        <f>IF('TMP Paste'!$F210="","",IF('TMP Paste'!$O210="",$AN209,'TMP Paste'!$O210))</f>
        <v/>
      </c>
      <c r="AO210" t="str">
        <f>IF('TMP Paste'!$F210="","",IF('TMP Paste'!$P210="",$AO209,'TMP Paste'!$P210))</f>
        <v/>
      </c>
      <c r="AP210" t="str">
        <f t="shared" si="23"/>
        <v/>
      </c>
      <c r="AQ210" t="str">
        <f>IF($AS210="","",TRIM(IF(COUNTIFS(Calc!$B$2:$B$1601,ROW()-1,Calc!$C$2:$C$1601,"&lt;1")&gt;0,"Ada PO tanpa Koli - cek TMP. ","")&amp;IF(OR($AU210="",$AU210&lt;=0),"Volume kosong/0 - dimensi dikosongkan. ","")&amp;IF(AND($AU210&lt;&gt;"",$AU210&gt;=1000000),"Volume &gt;= 1.000.000 cm3 (di luar aturan) - dimensi dikosongkan. ","")&amp;IF(LEN($R210)&gt;500,"R &gt; 500 karakter.","")))</f>
        <v/>
      </c>
      <c r="AS210" t="str">
        <f>IFERROR(MATCH(ROW()-1,Calc!$J$2:$J$1601,0),"")</f>
        <v/>
      </c>
      <c r="AT210" t="str">
        <f>IFERROR(MATCH(ROW()-1,Calc!$K$2:$K$1601,0),"")</f>
        <v/>
      </c>
      <c r="AU210" t="str">
        <f>IF($AS210="","",IFERROR(INDEX('TMP Paste'!$D$2:$D$1601,$AS210)*1000000/$AB210,""))</f>
        <v/>
      </c>
    </row>
    <row r="211" spans="1:47">
      <c r="A211" t="str">
        <f>IF($AS211="","",INDEX('TMP Paste'!$B$2:$B$1601,$AS211))</f>
        <v/>
      </c>
      <c r="B211" t="str">
        <f>IF($AS211="","",Config!$B$14)</f>
        <v/>
      </c>
      <c r="C211" t="str">
        <f>IF($AS211="","",Config!$B$15)</f>
        <v/>
      </c>
      <c r="D211" t="str">
        <f>IF($AS211="","",INDEX('TMP Paste'!$B$2:$B$1601,$AS211))</f>
        <v/>
      </c>
      <c r="E211" t="str">
        <f>IF($AS211="","",Config!$B$27)</f>
        <v/>
      </c>
      <c r="F211" t="str">
        <f>IF($AS211="","",Config!$B$9)</f>
        <v/>
      </c>
      <c r="G211" t="str">
        <f>IF($AS211="","",Config!$B$10)</f>
        <v/>
      </c>
      <c r="H211" t="str">
        <f>IF($AS211="","",Config!$B$11)</f>
        <v/>
      </c>
      <c r="I211" t="str">
        <f>IF($AS211="","",Config!$B$16)</f>
        <v/>
      </c>
      <c r="J211" t="str">
        <f>IF($AS211="","",INDEX('TMP Paste'!$A$2:$A$1601,$AS211))</f>
        <v/>
      </c>
      <c r="K211" t="str">
        <f>IF($AS211="","",INDEX('TMP Paste'!$L$2:$L$1601,$AS211))</f>
        <v/>
      </c>
      <c r="L211" t="str">
        <f>IF($AS211="","",INDEX('TMP Paste'!$I$2:$I$1601,$AS211))</f>
        <v/>
      </c>
      <c r="M211" t="str">
        <f>IF($AS211="","",Config!$B$16)</f>
        <v/>
      </c>
      <c r="N211" t="str">
        <f t="shared" si="18"/>
        <v/>
      </c>
      <c r="O211" t="str">
        <f>IF($AS211="","",INDEX('TMP Paste'!$K$2:$K$1601,$AS211))</f>
        <v/>
      </c>
      <c r="P211" t="str">
        <f t="shared" si="19"/>
        <v/>
      </c>
      <c r="Q211" t="str">
        <f>IF($AS211="","",INDEX('TMP Paste'!$J$2:$J$1601,$AS211))</f>
        <v/>
      </c>
      <c r="R211" t="str">
        <f>IF($AS211="","",Config!$B$24)</f>
        <v/>
      </c>
      <c r="S211" t="str">
        <f ca="1">IF($AS211="","",TEXT(Config!$B$4,"yyyy-mm-dd"))</f>
        <v/>
      </c>
      <c r="T211" t="str">
        <f>IF($AS211="","",Config!$B$17)</f>
        <v/>
      </c>
      <c r="U211" t="str">
        <f>IF($AS211="","",Config!$B$18)</f>
        <v/>
      </c>
      <c r="V211" t="str">
        <f>IF($AS211="","",Config!$B$19)</f>
        <v/>
      </c>
      <c r="W211" t="str">
        <f>IF($AS211="","",INDEX('TMP Paste'!$C$2:$C$1601,$AS211))</f>
        <v/>
      </c>
      <c r="X211" t="str">
        <f>IF($AS211="","",Config!$B$29)</f>
        <v/>
      </c>
      <c r="Y211" t="str">
        <f>IF($AT211="","",INDEX(Calc!$I$2:$I$1601,$AT211)&amp;" - "&amp;INDEX(Calc!$D$2:$D$1601,$AT211)&amp;" koli")</f>
        <v/>
      </c>
      <c r="Z211" t="str">
        <f>IF($AS211="","",Config!$B$21)</f>
        <v/>
      </c>
      <c r="AA211" t="str">
        <f>IF($AS211="","",Config!$B$22)</f>
        <v/>
      </c>
      <c r="AB211" t="str">
        <f>IF($AT211="","",INDEX(Calc!$D$2:$D$1601,$AT211))</f>
        <v/>
      </c>
      <c r="AC211" t="str">
        <f>IF($AT211="","",INDEX(Calc!$G$2:$G$1601,$AT211))</f>
        <v/>
      </c>
      <c r="AD211" t="str">
        <f>IF($AS211="","",Config!$B$23)</f>
        <v/>
      </c>
      <c r="AE211" t="str">
        <f>IF($AS211="","",Config!$B$28)</f>
        <v/>
      </c>
      <c r="AF211" t="str">
        <f t="shared" si="20"/>
        <v/>
      </c>
      <c r="AG211" t="str">
        <f t="shared" si="21"/>
        <v/>
      </c>
      <c r="AH211" t="str">
        <f t="shared" si="22"/>
        <v/>
      </c>
      <c r="AI211" t="str">
        <f>IF($AG211="","",SUMIF($AG$2:$AG211,$AG211,$AH$2:$AH211))</f>
        <v/>
      </c>
      <c r="AJ211" t="str">
        <f>IF('TMP Paste'!$F211="","",IF('TMP Paste'!$B211="",$AJ210,'TMP Paste'!$B211))</f>
        <v/>
      </c>
      <c r="AK211" t="str">
        <f>IF('TMP Paste'!$F211="","",N('TMP Paste'!$G211))</f>
        <v/>
      </c>
      <c r="AL211" t="str">
        <f>IF('TMP Paste'!$F211="","",IF('TMP Paste'!$M211="",$AL210,'TMP Paste'!$M211))</f>
        <v/>
      </c>
      <c r="AM211" t="str">
        <f>IF('TMP Paste'!$F211="","",IF('TMP Paste'!$N211="",$AM210,'TMP Paste'!$N211))</f>
        <v/>
      </c>
      <c r="AN211" t="str">
        <f>IF('TMP Paste'!$F211="","",IF('TMP Paste'!$O211="",$AN210,'TMP Paste'!$O211))</f>
        <v/>
      </c>
      <c r="AO211" t="str">
        <f>IF('TMP Paste'!$F211="","",IF('TMP Paste'!$P211="",$AO210,'TMP Paste'!$P211))</f>
        <v/>
      </c>
      <c r="AP211" t="str">
        <f t="shared" si="23"/>
        <v/>
      </c>
      <c r="AQ211" t="str">
        <f>IF($AS211="","",TRIM(IF(COUNTIFS(Calc!$B$2:$B$1601,ROW()-1,Calc!$C$2:$C$1601,"&lt;1")&gt;0,"Ada PO tanpa Koli - cek TMP. ","")&amp;IF(OR($AU211="",$AU211&lt;=0),"Volume kosong/0 - dimensi dikosongkan. ","")&amp;IF(AND($AU211&lt;&gt;"",$AU211&gt;=1000000),"Volume &gt;= 1.000.000 cm3 (di luar aturan) - dimensi dikosongkan. ","")&amp;IF(LEN($R211)&gt;500,"R &gt; 500 karakter.","")))</f>
        <v/>
      </c>
      <c r="AS211" t="str">
        <f>IFERROR(MATCH(ROW()-1,Calc!$J$2:$J$1601,0),"")</f>
        <v/>
      </c>
      <c r="AT211" t="str">
        <f>IFERROR(MATCH(ROW()-1,Calc!$K$2:$K$1601,0),"")</f>
        <v/>
      </c>
      <c r="AU211" t="str">
        <f>IF($AS211="","",IFERROR(INDEX('TMP Paste'!$D$2:$D$1601,$AS211)*1000000/$AB211,""))</f>
        <v/>
      </c>
    </row>
    <row r="212" spans="1:47">
      <c r="A212" t="str">
        <f>IF($AS212="","",INDEX('TMP Paste'!$B$2:$B$1601,$AS212))</f>
        <v/>
      </c>
      <c r="B212" t="str">
        <f>IF($AS212="","",Config!$B$14)</f>
        <v/>
      </c>
      <c r="C212" t="str">
        <f>IF($AS212="","",Config!$B$15)</f>
        <v/>
      </c>
      <c r="D212" t="str">
        <f>IF($AS212="","",INDEX('TMP Paste'!$B$2:$B$1601,$AS212))</f>
        <v/>
      </c>
      <c r="E212" t="str">
        <f>IF($AS212="","",Config!$B$27)</f>
        <v/>
      </c>
      <c r="F212" t="str">
        <f>IF($AS212="","",Config!$B$9)</f>
        <v/>
      </c>
      <c r="G212" t="str">
        <f>IF($AS212="","",Config!$B$10)</f>
        <v/>
      </c>
      <c r="H212" t="str">
        <f>IF($AS212="","",Config!$B$11)</f>
        <v/>
      </c>
      <c r="I212" t="str">
        <f>IF($AS212="","",Config!$B$16)</f>
        <v/>
      </c>
      <c r="J212" t="str">
        <f>IF($AS212="","",INDEX('TMP Paste'!$A$2:$A$1601,$AS212))</f>
        <v/>
      </c>
      <c r="K212" t="str">
        <f>IF($AS212="","",INDEX('TMP Paste'!$L$2:$L$1601,$AS212))</f>
        <v/>
      </c>
      <c r="L212" t="str">
        <f>IF($AS212="","",INDEX('TMP Paste'!$I$2:$I$1601,$AS212))</f>
        <v/>
      </c>
      <c r="M212" t="str">
        <f>IF($AS212="","",Config!$B$16)</f>
        <v/>
      </c>
      <c r="N212" t="str">
        <f t="shared" si="18"/>
        <v/>
      </c>
      <c r="O212" t="str">
        <f>IF($AS212="","",INDEX('TMP Paste'!$K$2:$K$1601,$AS212))</f>
        <v/>
      </c>
      <c r="P212" t="str">
        <f t="shared" si="19"/>
        <v/>
      </c>
      <c r="Q212" t="str">
        <f>IF($AS212="","",INDEX('TMP Paste'!$J$2:$J$1601,$AS212))</f>
        <v/>
      </c>
      <c r="R212" t="str">
        <f>IF($AS212="","",Config!$B$24)</f>
        <v/>
      </c>
      <c r="S212" t="str">
        <f ca="1">IF($AS212="","",TEXT(Config!$B$4,"yyyy-mm-dd"))</f>
        <v/>
      </c>
      <c r="T212" t="str">
        <f>IF($AS212="","",Config!$B$17)</f>
        <v/>
      </c>
      <c r="U212" t="str">
        <f>IF($AS212="","",Config!$B$18)</f>
        <v/>
      </c>
      <c r="V212" t="str">
        <f>IF($AS212="","",Config!$B$19)</f>
        <v/>
      </c>
      <c r="W212" t="str">
        <f>IF($AS212="","",INDEX('TMP Paste'!$C$2:$C$1601,$AS212))</f>
        <v/>
      </c>
      <c r="X212" t="str">
        <f>IF($AS212="","",Config!$B$29)</f>
        <v/>
      </c>
      <c r="Y212" t="str">
        <f>IF($AT212="","",INDEX(Calc!$I$2:$I$1601,$AT212)&amp;" - "&amp;INDEX(Calc!$D$2:$D$1601,$AT212)&amp;" koli")</f>
        <v/>
      </c>
      <c r="Z212" t="str">
        <f>IF($AS212="","",Config!$B$21)</f>
        <v/>
      </c>
      <c r="AA212" t="str">
        <f>IF($AS212="","",Config!$B$22)</f>
        <v/>
      </c>
      <c r="AB212" t="str">
        <f>IF($AT212="","",INDEX(Calc!$D$2:$D$1601,$AT212))</f>
        <v/>
      </c>
      <c r="AC212" t="str">
        <f>IF($AT212="","",INDEX(Calc!$G$2:$G$1601,$AT212))</f>
        <v/>
      </c>
      <c r="AD212" t="str">
        <f>IF($AS212="","",Config!$B$23)</f>
        <v/>
      </c>
      <c r="AE212" t="str">
        <f>IF($AS212="","",Config!$B$28)</f>
        <v/>
      </c>
      <c r="AF212" t="str">
        <f t="shared" si="20"/>
        <v/>
      </c>
      <c r="AG212" t="str">
        <f t="shared" si="21"/>
        <v/>
      </c>
      <c r="AH212" t="str">
        <f t="shared" si="22"/>
        <v/>
      </c>
      <c r="AI212" t="str">
        <f>IF($AG212="","",SUMIF($AG$2:$AG212,$AG212,$AH$2:$AH212))</f>
        <v/>
      </c>
      <c r="AJ212" t="str">
        <f>IF('TMP Paste'!$F212="","",IF('TMP Paste'!$B212="",$AJ211,'TMP Paste'!$B212))</f>
        <v/>
      </c>
      <c r="AK212" t="str">
        <f>IF('TMP Paste'!$F212="","",N('TMP Paste'!$G212))</f>
        <v/>
      </c>
      <c r="AL212" t="str">
        <f>IF('TMP Paste'!$F212="","",IF('TMP Paste'!$M212="",$AL211,'TMP Paste'!$M212))</f>
        <v/>
      </c>
      <c r="AM212" t="str">
        <f>IF('TMP Paste'!$F212="","",IF('TMP Paste'!$N212="",$AM211,'TMP Paste'!$N212))</f>
        <v/>
      </c>
      <c r="AN212" t="str">
        <f>IF('TMP Paste'!$F212="","",IF('TMP Paste'!$O212="",$AN211,'TMP Paste'!$O212))</f>
        <v/>
      </c>
      <c r="AO212" t="str">
        <f>IF('TMP Paste'!$F212="","",IF('TMP Paste'!$P212="",$AO211,'TMP Paste'!$P212))</f>
        <v/>
      </c>
      <c r="AP212" t="str">
        <f t="shared" si="23"/>
        <v/>
      </c>
      <c r="AQ212" t="str">
        <f>IF($AS212="","",TRIM(IF(COUNTIFS(Calc!$B$2:$B$1601,ROW()-1,Calc!$C$2:$C$1601,"&lt;1")&gt;0,"Ada PO tanpa Koli - cek TMP. ","")&amp;IF(OR($AU212="",$AU212&lt;=0),"Volume kosong/0 - dimensi dikosongkan. ","")&amp;IF(AND($AU212&lt;&gt;"",$AU212&gt;=1000000),"Volume &gt;= 1.000.000 cm3 (di luar aturan) - dimensi dikosongkan. ","")&amp;IF(LEN($R212)&gt;500,"R &gt; 500 karakter.","")))</f>
        <v/>
      </c>
      <c r="AS212" t="str">
        <f>IFERROR(MATCH(ROW()-1,Calc!$J$2:$J$1601,0),"")</f>
        <v/>
      </c>
      <c r="AT212" t="str">
        <f>IFERROR(MATCH(ROW()-1,Calc!$K$2:$K$1601,0),"")</f>
        <v/>
      </c>
      <c r="AU212" t="str">
        <f>IF($AS212="","",IFERROR(INDEX('TMP Paste'!$D$2:$D$1601,$AS212)*1000000/$AB212,""))</f>
        <v/>
      </c>
    </row>
    <row r="213" spans="1:47">
      <c r="A213" t="str">
        <f>IF($AS213="","",INDEX('TMP Paste'!$B$2:$B$1601,$AS213))</f>
        <v/>
      </c>
      <c r="B213" t="str">
        <f>IF($AS213="","",Config!$B$14)</f>
        <v/>
      </c>
      <c r="C213" t="str">
        <f>IF($AS213="","",Config!$B$15)</f>
        <v/>
      </c>
      <c r="D213" t="str">
        <f>IF($AS213="","",INDEX('TMP Paste'!$B$2:$B$1601,$AS213))</f>
        <v/>
      </c>
      <c r="E213" t="str">
        <f>IF($AS213="","",Config!$B$27)</f>
        <v/>
      </c>
      <c r="F213" t="str">
        <f>IF($AS213="","",Config!$B$9)</f>
        <v/>
      </c>
      <c r="G213" t="str">
        <f>IF($AS213="","",Config!$B$10)</f>
        <v/>
      </c>
      <c r="H213" t="str">
        <f>IF($AS213="","",Config!$B$11)</f>
        <v/>
      </c>
      <c r="I213" t="str">
        <f>IF($AS213="","",Config!$B$16)</f>
        <v/>
      </c>
      <c r="J213" t="str">
        <f>IF($AS213="","",INDEX('TMP Paste'!$A$2:$A$1601,$AS213))</f>
        <v/>
      </c>
      <c r="K213" t="str">
        <f>IF($AS213="","",INDEX('TMP Paste'!$L$2:$L$1601,$AS213))</f>
        <v/>
      </c>
      <c r="L213" t="str">
        <f>IF($AS213="","",INDEX('TMP Paste'!$I$2:$I$1601,$AS213))</f>
        <v/>
      </c>
      <c r="M213" t="str">
        <f>IF($AS213="","",Config!$B$16)</f>
        <v/>
      </c>
      <c r="N213" t="str">
        <f t="shared" si="18"/>
        <v/>
      </c>
      <c r="O213" t="str">
        <f>IF($AS213="","",INDEX('TMP Paste'!$K$2:$K$1601,$AS213))</f>
        <v/>
      </c>
      <c r="P213" t="str">
        <f t="shared" si="19"/>
        <v/>
      </c>
      <c r="Q213" t="str">
        <f>IF($AS213="","",INDEX('TMP Paste'!$J$2:$J$1601,$AS213))</f>
        <v/>
      </c>
      <c r="R213" t="str">
        <f>IF($AS213="","",Config!$B$24)</f>
        <v/>
      </c>
      <c r="S213" t="str">
        <f ca="1">IF($AS213="","",TEXT(Config!$B$4,"yyyy-mm-dd"))</f>
        <v/>
      </c>
      <c r="T213" t="str">
        <f>IF($AS213="","",Config!$B$17)</f>
        <v/>
      </c>
      <c r="U213" t="str">
        <f>IF($AS213="","",Config!$B$18)</f>
        <v/>
      </c>
      <c r="V213" t="str">
        <f>IF($AS213="","",Config!$B$19)</f>
        <v/>
      </c>
      <c r="W213" t="str">
        <f>IF($AS213="","",INDEX('TMP Paste'!$C$2:$C$1601,$AS213))</f>
        <v/>
      </c>
      <c r="X213" t="str">
        <f>IF($AS213="","",Config!$B$29)</f>
        <v/>
      </c>
      <c r="Y213" t="str">
        <f>IF($AT213="","",INDEX(Calc!$I$2:$I$1601,$AT213)&amp;" - "&amp;INDEX(Calc!$D$2:$D$1601,$AT213)&amp;" koli")</f>
        <v/>
      </c>
      <c r="Z213" t="str">
        <f>IF($AS213="","",Config!$B$21)</f>
        <v/>
      </c>
      <c r="AA213" t="str">
        <f>IF($AS213="","",Config!$B$22)</f>
        <v/>
      </c>
      <c r="AB213" t="str">
        <f>IF($AT213="","",INDEX(Calc!$D$2:$D$1601,$AT213))</f>
        <v/>
      </c>
      <c r="AC213" t="str">
        <f>IF($AT213="","",INDEX(Calc!$G$2:$G$1601,$AT213))</f>
        <v/>
      </c>
      <c r="AD213" t="str">
        <f>IF($AS213="","",Config!$B$23)</f>
        <v/>
      </c>
      <c r="AE213" t="str">
        <f>IF($AS213="","",Config!$B$28)</f>
        <v/>
      </c>
      <c r="AF213" t="str">
        <f t="shared" si="20"/>
        <v/>
      </c>
      <c r="AG213" t="str">
        <f t="shared" si="21"/>
        <v/>
      </c>
      <c r="AH213" t="str">
        <f t="shared" si="22"/>
        <v/>
      </c>
      <c r="AI213" t="str">
        <f>IF($AG213="","",SUMIF($AG$2:$AG213,$AG213,$AH$2:$AH213))</f>
        <v/>
      </c>
      <c r="AJ213" t="str">
        <f>IF('TMP Paste'!$F213="","",IF('TMP Paste'!$B213="",$AJ212,'TMP Paste'!$B213))</f>
        <v/>
      </c>
      <c r="AK213" t="str">
        <f>IF('TMP Paste'!$F213="","",N('TMP Paste'!$G213))</f>
        <v/>
      </c>
      <c r="AL213" t="str">
        <f>IF('TMP Paste'!$F213="","",IF('TMP Paste'!$M213="",$AL212,'TMP Paste'!$M213))</f>
        <v/>
      </c>
      <c r="AM213" t="str">
        <f>IF('TMP Paste'!$F213="","",IF('TMP Paste'!$N213="",$AM212,'TMP Paste'!$N213))</f>
        <v/>
      </c>
      <c r="AN213" t="str">
        <f>IF('TMP Paste'!$F213="","",IF('TMP Paste'!$O213="",$AN212,'TMP Paste'!$O213))</f>
        <v/>
      </c>
      <c r="AO213" t="str">
        <f>IF('TMP Paste'!$F213="","",IF('TMP Paste'!$P213="",$AO212,'TMP Paste'!$P213))</f>
        <v/>
      </c>
      <c r="AP213" t="str">
        <f t="shared" si="23"/>
        <v/>
      </c>
      <c r="AQ213" t="str">
        <f>IF($AS213="","",TRIM(IF(COUNTIFS(Calc!$B$2:$B$1601,ROW()-1,Calc!$C$2:$C$1601,"&lt;1")&gt;0,"Ada PO tanpa Koli - cek TMP. ","")&amp;IF(OR($AU213="",$AU213&lt;=0),"Volume kosong/0 - dimensi dikosongkan. ","")&amp;IF(AND($AU213&lt;&gt;"",$AU213&gt;=1000000),"Volume &gt;= 1.000.000 cm3 (di luar aturan) - dimensi dikosongkan. ","")&amp;IF(LEN($R213)&gt;500,"R &gt; 500 karakter.","")))</f>
        <v/>
      </c>
      <c r="AS213" t="str">
        <f>IFERROR(MATCH(ROW()-1,Calc!$J$2:$J$1601,0),"")</f>
        <v/>
      </c>
      <c r="AT213" t="str">
        <f>IFERROR(MATCH(ROW()-1,Calc!$K$2:$K$1601,0),"")</f>
        <v/>
      </c>
      <c r="AU213" t="str">
        <f>IF($AS213="","",IFERROR(INDEX('TMP Paste'!$D$2:$D$1601,$AS213)*1000000/$AB213,""))</f>
        <v/>
      </c>
    </row>
    <row r="214" spans="1:47">
      <c r="A214" t="str">
        <f>IF($AS214="","",INDEX('TMP Paste'!$B$2:$B$1601,$AS214))</f>
        <v/>
      </c>
      <c r="B214" t="str">
        <f>IF($AS214="","",Config!$B$14)</f>
        <v/>
      </c>
      <c r="C214" t="str">
        <f>IF($AS214="","",Config!$B$15)</f>
        <v/>
      </c>
      <c r="D214" t="str">
        <f>IF($AS214="","",INDEX('TMP Paste'!$B$2:$B$1601,$AS214))</f>
        <v/>
      </c>
      <c r="E214" t="str">
        <f>IF($AS214="","",Config!$B$27)</f>
        <v/>
      </c>
      <c r="F214" t="str">
        <f>IF($AS214="","",Config!$B$9)</f>
        <v/>
      </c>
      <c r="G214" t="str">
        <f>IF($AS214="","",Config!$B$10)</f>
        <v/>
      </c>
      <c r="H214" t="str">
        <f>IF($AS214="","",Config!$B$11)</f>
        <v/>
      </c>
      <c r="I214" t="str">
        <f>IF($AS214="","",Config!$B$16)</f>
        <v/>
      </c>
      <c r="J214" t="str">
        <f>IF($AS214="","",INDEX('TMP Paste'!$A$2:$A$1601,$AS214))</f>
        <v/>
      </c>
      <c r="K214" t="str">
        <f>IF($AS214="","",INDEX('TMP Paste'!$L$2:$L$1601,$AS214))</f>
        <v/>
      </c>
      <c r="L214" t="str">
        <f>IF($AS214="","",INDEX('TMP Paste'!$I$2:$I$1601,$AS214))</f>
        <v/>
      </c>
      <c r="M214" t="str">
        <f>IF($AS214="","",Config!$B$16)</f>
        <v/>
      </c>
      <c r="N214" t="str">
        <f t="shared" si="18"/>
        <v/>
      </c>
      <c r="O214" t="str">
        <f>IF($AS214="","",INDEX('TMP Paste'!$K$2:$K$1601,$AS214))</f>
        <v/>
      </c>
      <c r="P214" t="str">
        <f t="shared" si="19"/>
        <v/>
      </c>
      <c r="Q214" t="str">
        <f>IF($AS214="","",INDEX('TMP Paste'!$J$2:$J$1601,$AS214))</f>
        <v/>
      </c>
      <c r="R214" t="str">
        <f>IF($AS214="","",Config!$B$24)</f>
        <v/>
      </c>
      <c r="S214" t="str">
        <f ca="1">IF($AS214="","",TEXT(Config!$B$4,"yyyy-mm-dd"))</f>
        <v/>
      </c>
      <c r="T214" t="str">
        <f>IF($AS214="","",Config!$B$17)</f>
        <v/>
      </c>
      <c r="U214" t="str">
        <f>IF($AS214="","",Config!$B$18)</f>
        <v/>
      </c>
      <c r="V214" t="str">
        <f>IF($AS214="","",Config!$B$19)</f>
        <v/>
      </c>
      <c r="W214" t="str">
        <f>IF($AS214="","",INDEX('TMP Paste'!$C$2:$C$1601,$AS214))</f>
        <v/>
      </c>
      <c r="X214" t="str">
        <f>IF($AS214="","",Config!$B$29)</f>
        <v/>
      </c>
      <c r="Y214" t="str">
        <f>IF($AT214="","",INDEX(Calc!$I$2:$I$1601,$AT214)&amp;" - "&amp;INDEX(Calc!$D$2:$D$1601,$AT214)&amp;" koli")</f>
        <v/>
      </c>
      <c r="Z214" t="str">
        <f>IF($AS214="","",Config!$B$21)</f>
        <v/>
      </c>
      <c r="AA214" t="str">
        <f>IF($AS214="","",Config!$B$22)</f>
        <v/>
      </c>
      <c r="AB214" t="str">
        <f>IF($AT214="","",INDEX(Calc!$D$2:$D$1601,$AT214))</f>
        <v/>
      </c>
      <c r="AC214" t="str">
        <f>IF($AT214="","",INDEX(Calc!$G$2:$G$1601,$AT214))</f>
        <v/>
      </c>
      <c r="AD214" t="str">
        <f>IF($AS214="","",Config!$B$23)</f>
        <v/>
      </c>
      <c r="AE214" t="str">
        <f>IF($AS214="","",Config!$B$28)</f>
        <v/>
      </c>
      <c r="AF214" t="str">
        <f t="shared" si="20"/>
        <v/>
      </c>
      <c r="AG214" t="str">
        <f t="shared" si="21"/>
        <v/>
      </c>
      <c r="AH214" t="str">
        <f t="shared" si="22"/>
        <v/>
      </c>
      <c r="AI214" t="str">
        <f>IF($AG214="","",SUMIF($AG$2:$AG214,$AG214,$AH$2:$AH214))</f>
        <v/>
      </c>
      <c r="AJ214" t="str">
        <f>IF('TMP Paste'!$F214="","",IF('TMP Paste'!$B214="",$AJ213,'TMP Paste'!$B214))</f>
        <v/>
      </c>
      <c r="AK214" t="str">
        <f>IF('TMP Paste'!$F214="","",N('TMP Paste'!$G214))</f>
        <v/>
      </c>
      <c r="AL214" t="str">
        <f>IF('TMP Paste'!$F214="","",IF('TMP Paste'!$M214="",$AL213,'TMP Paste'!$M214))</f>
        <v/>
      </c>
      <c r="AM214" t="str">
        <f>IF('TMP Paste'!$F214="","",IF('TMP Paste'!$N214="",$AM213,'TMP Paste'!$N214))</f>
        <v/>
      </c>
      <c r="AN214" t="str">
        <f>IF('TMP Paste'!$F214="","",IF('TMP Paste'!$O214="",$AN213,'TMP Paste'!$O214))</f>
        <v/>
      </c>
      <c r="AO214" t="str">
        <f>IF('TMP Paste'!$F214="","",IF('TMP Paste'!$P214="",$AO213,'TMP Paste'!$P214))</f>
        <v/>
      </c>
      <c r="AP214" t="str">
        <f t="shared" si="23"/>
        <v/>
      </c>
      <c r="AQ214" t="str">
        <f>IF($AS214="","",TRIM(IF(COUNTIFS(Calc!$B$2:$B$1601,ROW()-1,Calc!$C$2:$C$1601,"&lt;1")&gt;0,"Ada PO tanpa Koli - cek TMP. ","")&amp;IF(OR($AU214="",$AU214&lt;=0),"Volume kosong/0 - dimensi dikosongkan. ","")&amp;IF(AND($AU214&lt;&gt;"",$AU214&gt;=1000000),"Volume &gt;= 1.000.000 cm3 (di luar aturan) - dimensi dikosongkan. ","")&amp;IF(LEN($R214)&gt;500,"R &gt; 500 karakter.","")))</f>
        <v/>
      </c>
      <c r="AS214" t="str">
        <f>IFERROR(MATCH(ROW()-1,Calc!$J$2:$J$1601,0),"")</f>
        <v/>
      </c>
      <c r="AT214" t="str">
        <f>IFERROR(MATCH(ROW()-1,Calc!$K$2:$K$1601,0),"")</f>
        <v/>
      </c>
      <c r="AU214" t="str">
        <f>IF($AS214="","",IFERROR(INDEX('TMP Paste'!$D$2:$D$1601,$AS214)*1000000/$AB214,""))</f>
        <v/>
      </c>
    </row>
    <row r="215" spans="1:47">
      <c r="A215" t="str">
        <f>IF($AS215="","",INDEX('TMP Paste'!$B$2:$B$1601,$AS215))</f>
        <v/>
      </c>
      <c r="B215" t="str">
        <f>IF($AS215="","",Config!$B$14)</f>
        <v/>
      </c>
      <c r="C215" t="str">
        <f>IF($AS215="","",Config!$B$15)</f>
        <v/>
      </c>
      <c r="D215" t="str">
        <f>IF($AS215="","",INDEX('TMP Paste'!$B$2:$B$1601,$AS215))</f>
        <v/>
      </c>
      <c r="E215" t="str">
        <f>IF($AS215="","",Config!$B$27)</f>
        <v/>
      </c>
      <c r="F215" t="str">
        <f>IF($AS215="","",Config!$B$9)</f>
        <v/>
      </c>
      <c r="G215" t="str">
        <f>IF($AS215="","",Config!$B$10)</f>
        <v/>
      </c>
      <c r="H215" t="str">
        <f>IF($AS215="","",Config!$B$11)</f>
        <v/>
      </c>
      <c r="I215" t="str">
        <f>IF($AS215="","",Config!$B$16)</f>
        <v/>
      </c>
      <c r="J215" t="str">
        <f>IF($AS215="","",INDEX('TMP Paste'!$A$2:$A$1601,$AS215))</f>
        <v/>
      </c>
      <c r="K215" t="str">
        <f>IF($AS215="","",INDEX('TMP Paste'!$L$2:$L$1601,$AS215))</f>
        <v/>
      </c>
      <c r="L215" t="str">
        <f>IF($AS215="","",INDEX('TMP Paste'!$I$2:$I$1601,$AS215))</f>
        <v/>
      </c>
      <c r="M215" t="str">
        <f>IF($AS215="","",Config!$B$16)</f>
        <v/>
      </c>
      <c r="N215" t="str">
        <f t="shared" si="18"/>
        <v/>
      </c>
      <c r="O215" t="str">
        <f>IF($AS215="","",INDEX('TMP Paste'!$K$2:$K$1601,$AS215))</f>
        <v/>
      </c>
      <c r="P215" t="str">
        <f t="shared" si="19"/>
        <v/>
      </c>
      <c r="Q215" t="str">
        <f>IF($AS215="","",INDEX('TMP Paste'!$J$2:$J$1601,$AS215))</f>
        <v/>
      </c>
      <c r="R215" t="str">
        <f>IF($AS215="","",Config!$B$24)</f>
        <v/>
      </c>
      <c r="S215" t="str">
        <f ca="1">IF($AS215="","",TEXT(Config!$B$4,"yyyy-mm-dd"))</f>
        <v/>
      </c>
      <c r="T215" t="str">
        <f>IF($AS215="","",Config!$B$17)</f>
        <v/>
      </c>
      <c r="U215" t="str">
        <f>IF($AS215="","",Config!$B$18)</f>
        <v/>
      </c>
      <c r="V215" t="str">
        <f>IF($AS215="","",Config!$B$19)</f>
        <v/>
      </c>
      <c r="W215" t="str">
        <f>IF($AS215="","",INDEX('TMP Paste'!$C$2:$C$1601,$AS215))</f>
        <v/>
      </c>
      <c r="X215" t="str">
        <f>IF($AS215="","",Config!$B$29)</f>
        <v/>
      </c>
      <c r="Y215" t="str">
        <f>IF($AT215="","",INDEX(Calc!$I$2:$I$1601,$AT215)&amp;" - "&amp;INDEX(Calc!$D$2:$D$1601,$AT215)&amp;" koli")</f>
        <v/>
      </c>
      <c r="Z215" t="str">
        <f>IF($AS215="","",Config!$B$21)</f>
        <v/>
      </c>
      <c r="AA215" t="str">
        <f>IF($AS215="","",Config!$B$22)</f>
        <v/>
      </c>
      <c r="AB215" t="str">
        <f>IF($AT215="","",INDEX(Calc!$D$2:$D$1601,$AT215))</f>
        <v/>
      </c>
      <c r="AC215" t="str">
        <f>IF($AT215="","",INDEX(Calc!$G$2:$G$1601,$AT215))</f>
        <v/>
      </c>
      <c r="AD215" t="str">
        <f>IF($AS215="","",Config!$B$23)</f>
        <v/>
      </c>
      <c r="AE215" t="str">
        <f>IF($AS215="","",Config!$B$28)</f>
        <v/>
      </c>
      <c r="AF215" t="str">
        <f t="shared" si="20"/>
        <v/>
      </c>
      <c r="AG215" t="str">
        <f t="shared" si="21"/>
        <v/>
      </c>
      <c r="AH215" t="str">
        <f t="shared" si="22"/>
        <v/>
      </c>
      <c r="AI215" t="str">
        <f>IF($AG215="","",SUMIF($AG$2:$AG215,$AG215,$AH$2:$AH215))</f>
        <v/>
      </c>
      <c r="AJ215" t="str">
        <f>IF('TMP Paste'!$F215="","",IF('TMP Paste'!$B215="",$AJ214,'TMP Paste'!$B215))</f>
        <v/>
      </c>
      <c r="AK215" t="str">
        <f>IF('TMP Paste'!$F215="","",N('TMP Paste'!$G215))</f>
        <v/>
      </c>
      <c r="AL215" t="str">
        <f>IF('TMP Paste'!$F215="","",IF('TMP Paste'!$M215="",$AL214,'TMP Paste'!$M215))</f>
        <v/>
      </c>
      <c r="AM215" t="str">
        <f>IF('TMP Paste'!$F215="","",IF('TMP Paste'!$N215="",$AM214,'TMP Paste'!$N215))</f>
        <v/>
      </c>
      <c r="AN215" t="str">
        <f>IF('TMP Paste'!$F215="","",IF('TMP Paste'!$O215="",$AN214,'TMP Paste'!$O215))</f>
        <v/>
      </c>
      <c r="AO215" t="str">
        <f>IF('TMP Paste'!$F215="","",IF('TMP Paste'!$P215="",$AO214,'TMP Paste'!$P215))</f>
        <v/>
      </c>
      <c r="AP215" t="str">
        <f t="shared" si="23"/>
        <v/>
      </c>
      <c r="AQ215" t="str">
        <f>IF($AS215="","",TRIM(IF(COUNTIFS(Calc!$B$2:$B$1601,ROW()-1,Calc!$C$2:$C$1601,"&lt;1")&gt;0,"Ada PO tanpa Koli - cek TMP. ","")&amp;IF(OR($AU215="",$AU215&lt;=0),"Volume kosong/0 - dimensi dikosongkan. ","")&amp;IF(AND($AU215&lt;&gt;"",$AU215&gt;=1000000),"Volume &gt;= 1.000.000 cm3 (di luar aturan) - dimensi dikosongkan. ","")&amp;IF(LEN($R215)&gt;500,"R &gt; 500 karakter.","")))</f>
        <v/>
      </c>
      <c r="AS215" t="str">
        <f>IFERROR(MATCH(ROW()-1,Calc!$J$2:$J$1601,0),"")</f>
        <v/>
      </c>
      <c r="AT215" t="str">
        <f>IFERROR(MATCH(ROW()-1,Calc!$K$2:$K$1601,0),"")</f>
        <v/>
      </c>
      <c r="AU215" t="str">
        <f>IF($AS215="","",IFERROR(INDEX('TMP Paste'!$D$2:$D$1601,$AS215)*1000000/$AB215,""))</f>
        <v/>
      </c>
    </row>
    <row r="216" spans="1:47">
      <c r="A216" t="str">
        <f>IF($AS216="","",INDEX('TMP Paste'!$B$2:$B$1601,$AS216))</f>
        <v/>
      </c>
      <c r="B216" t="str">
        <f>IF($AS216="","",Config!$B$14)</f>
        <v/>
      </c>
      <c r="C216" t="str">
        <f>IF($AS216="","",Config!$B$15)</f>
        <v/>
      </c>
      <c r="D216" t="str">
        <f>IF($AS216="","",INDEX('TMP Paste'!$B$2:$B$1601,$AS216))</f>
        <v/>
      </c>
      <c r="E216" t="str">
        <f>IF($AS216="","",Config!$B$27)</f>
        <v/>
      </c>
      <c r="F216" t="str">
        <f>IF($AS216="","",Config!$B$9)</f>
        <v/>
      </c>
      <c r="G216" t="str">
        <f>IF($AS216="","",Config!$B$10)</f>
        <v/>
      </c>
      <c r="H216" t="str">
        <f>IF($AS216="","",Config!$B$11)</f>
        <v/>
      </c>
      <c r="I216" t="str">
        <f>IF($AS216="","",Config!$B$16)</f>
        <v/>
      </c>
      <c r="J216" t="str">
        <f>IF($AS216="","",INDEX('TMP Paste'!$A$2:$A$1601,$AS216))</f>
        <v/>
      </c>
      <c r="K216" t="str">
        <f>IF($AS216="","",INDEX('TMP Paste'!$L$2:$L$1601,$AS216))</f>
        <v/>
      </c>
      <c r="L216" t="str">
        <f>IF($AS216="","",INDEX('TMP Paste'!$I$2:$I$1601,$AS216))</f>
        <v/>
      </c>
      <c r="M216" t="str">
        <f>IF($AS216="","",Config!$B$16)</f>
        <v/>
      </c>
      <c r="N216" t="str">
        <f t="shared" si="18"/>
        <v/>
      </c>
      <c r="O216" t="str">
        <f>IF($AS216="","",INDEX('TMP Paste'!$K$2:$K$1601,$AS216))</f>
        <v/>
      </c>
      <c r="P216" t="str">
        <f t="shared" si="19"/>
        <v/>
      </c>
      <c r="Q216" t="str">
        <f>IF($AS216="","",INDEX('TMP Paste'!$J$2:$J$1601,$AS216))</f>
        <v/>
      </c>
      <c r="R216" t="str">
        <f>IF($AS216="","",Config!$B$24)</f>
        <v/>
      </c>
      <c r="S216" t="str">
        <f ca="1">IF($AS216="","",TEXT(Config!$B$4,"yyyy-mm-dd"))</f>
        <v/>
      </c>
      <c r="T216" t="str">
        <f>IF($AS216="","",Config!$B$17)</f>
        <v/>
      </c>
      <c r="U216" t="str">
        <f>IF($AS216="","",Config!$B$18)</f>
        <v/>
      </c>
      <c r="V216" t="str">
        <f>IF($AS216="","",Config!$B$19)</f>
        <v/>
      </c>
      <c r="W216" t="str">
        <f>IF($AS216="","",INDEX('TMP Paste'!$C$2:$C$1601,$AS216))</f>
        <v/>
      </c>
      <c r="X216" t="str">
        <f>IF($AS216="","",Config!$B$29)</f>
        <v/>
      </c>
      <c r="Y216" t="str">
        <f>IF($AT216="","",INDEX(Calc!$I$2:$I$1601,$AT216)&amp;" - "&amp;INDEX(Calc!$D$2:$D$1601,$AT216)&amp;" koli")</f>
        <v/>
      </c>
      <c r="Z216" t="str">
        <f>IF($AS216="","",Config!$B$21)</f>
        <v/>
      </c>
      <c r="AA216" t="str">
        <f>IF($AS216="","",Config!$B$22)</f>
        <v/>
      </c>
      <c r="AB216" t="str">
        <f>IF($AT216="","",INDEX(Calc!$D$2:$D$1601,$AT216))</f>
        <v/>
      </c>
      <c r="AC216" t="str">
        <f>IF($AT216="","",INDEX(Calc!$G$2:$G$1601,$AT216))</f>
        <v/>
      </c>
      <c r="AD216" t="str">
        <f>IF($AS216="","",Config!$B$23)</f>
        <v/>
      </c>
      <c r="AE216" t="str">
        <f>IF($AS216="","",Config!$B$28)</f>
        <v/>
      </c>
      <c r="AF216" t="str">
        <f t="shared" si="20"/>
        <v/>
      </c>
      <c r="AG216" t="str">
        <f t="shared" si="21"/>
        <v/>
      </c>
      <c r="AH216" t="str">
        <f t="shared" si="22"/>
        <v/>
      </c>
      <c r="AI216" t="str">
        <f>IF($AG216="","",SUMIF($AG$2:$AG216,$AG216,$AH$2:$AH216))</f>
        <v/>
      </c>
      <c r="AJ216" t="str">
        <f>IF('TMP Paste'!$F216="","",IF('TMP Paste'!$B216="",$AJ215,'TMP Paste'!$B216))</f>
        <v/>
      </c>
      <c r="AK216" t="str">
        <f>IF('TMP Paste'!$F216="","",N('TMP Paste'!$G216))</f>
        <v/>
      </c>
      <c r="AL216" t="str">
        <f>IF('TMP Paste'!$F216="","",IF('TMP Paste'!$M216="",$AL215,'TMP Paste'!$M216))</f>
        <v/>
      </c>
      <c r="AM216" t="str">
        <f>IF('TMP Paste'!$F216="","",IF('TMP Paste'!$N216="",$AM215,'TMP Paste'!$N216))</f>
        <v/>
      </c>
      <c r="AN216" t="str">
        <f>IF('TMP Paste'!$F216="","",IF('TMP Paste'!$O216="",$AN215,'TMP Paste'!$O216))</f>
        <v/>
      </c>
      <c r="AO216" t="str">
        <f>IF('TMP Paste'!$F216="","",IF('TMP Paste'!$P216="",$AO215,'TMP Paste'!$P216))</f>
        <v/>
      </c>
      <c r="AP216" t="str">
        <f t="shared" si="23"/>
        <v/>
      </c>
      <c r="AQ216" t="str">
        <f>IF($AS216="","",TRIM(IF(COUNTIFS(Calc!$B$2:$B$1601,ROW()-1,Calc!$C$2:$C$1601,"&lt;1")&gt;0,"Ada PO tanpa Koli - cek TMP. ","")&amp;IF(OR($AU216="",$AU216&lt;=0),"Volume kosong/0 - dimensi dikosongkan. ","")&amp;IF(AND($AU216&lt;&gt;"",$AU216&gt;=1000000),"Volume &gt;= 1.000.000 cm3 (di luar aturan) - dimensi dikosongkan. ","")&amp;IF(LEN($R216)&gt;500,"R &gt; 500 karakter.","")))</f>
        <v/>
      </c>
      <c r="AS216" t="str">
        <f>IFERROR(MATCH(ROW()-1,Calc!$J$2:$J$1601,0),"")</f>
        <v/>
      </c>
      <c r="AT216" t="str">
        <f>IFERROR(MATCH(ROW()-1,Calc!$K$2:$K$1601,0),"")</f>
        <v/>
      </c>
      <c r="AU216" t="str">
        <f>IF($AS216="","",IFERROR(INDEX('TMP Paste'!$D$2:$D$1601,$AS216)*1000000/$AB216,""))</f>
        <v/>
      </c>
    </row>
    <row r="217" spans="1:47">
      <c r="A217" t="str">
        <f>IF($AS217="","",INDEX('TMP Paste'!$B$2:$B$1601,$AS217))</f>
        <v/>
      </c>
      <c r="B217" t="str">
        <f>IF($AS217="","",Config!$B$14)</f>
        <v/>
      </c>
      <c r="C217" t="str">
        <f>IF($AS217="","",Config!$B$15)</f>
        <v/>
      </c>
      <c r="D217" t="str">
        <f>IF($AS217="","",INDEX('TMP Paste'!$B$2:$B$1601,$AS217))</f>
        <v/>
      </c>
      <c r="E217" t="str">
        <f>IF($AS217="","",Config!$B$27)</f>
        <v/>
      </c>
      <c r="F217" t="str">
        <f>IF($AS217="","",Config!$B$9)</f>
        <v/>
      </c>
      <c r="G217" t="str">
        <f>IF($AS217="","",Config!$B$10)</f>
        <v/>
      </c>
      <c r="H217" t="str">
        <f>IF($AS217="","",Config!$B$11)</f>
        <v/>
      </c>
      <c r="I217" t="str">
        <f>IF($AS217="","",Config!$B$16)</f>
        <v/>
      </c>
      <c r="J217" t="str">
        <f>IF($AS217="","",INDEX('TMP Paste'!$A$2:$A$1601,$AS217))</f>
        <v/>
      </c>
      <c r="K217" t="str">
        <f>IF($AS217="","",INDEX('TMP Paste'!$L$2:$L$1601,$AS217))</f>
        <v/>
      </c>
      <c r="L217" t="str">
        <f>IF($AS217="","",INDEX('TMP Paste'!$I$2:$I$1601,$AS217))</f>
        <v/>
      </c>
      <c r="M217" t="str">
        <f>IF($AS217="","",Config!$B$16)</f>
        <v/>
      </c>
      <c r="N217" t="str">
        <f t="shared" si="18"/>
        <v/>
      </c>
      <c r="O217" t="str">
        <f>IF($AS217="","",INDEX('TMP Paste'!$K$2:$K$1601,$AS217))</f>
        <v/>
      </c>
      <c r="P217" t="str">
        <f t="shared" si="19"/>
        <v/>
      </c>
      <c r="Q217" t="str">
        <f>IF($AS217="","",INDEX('TMP Paste'!$J$2:$J$1601,$AS217))</f>
        <v/>
      </c>
      <c r="R217" t="str">
        <f>IF($AS217="","",Config!$B$24)</f>
        <v/>
      </c>
      <c r="S217" t="str">
        <f ca="1">IF($AS217="","",TEXT(Config!$B$4,"yyyy-mm-dd"))</f>
        <v/>
      </c>
      <c r="T217" t="str">
        <f>IF($AS217="","",Config!$B$17)</f>
        <v/>
      </c>
      <c r="U217" t="str">
        <f>IF($AS217="","",Config!$B$18)</f>
        <v/>
      </c>
      <c r="V217" t="str">
        <f>IF($AS217="","",Config!$B$19)</f>
        <v/>
      </c>
      <c r="W217" t="str">
        <f>IF($AS217="","",INDEX('TMP Paste'!$C$2:$C$1601,$AS217))</f>
        <v/>
      </c>
      <c r="X217" t="str">
        <f>IF($AS217="","",Config!$B$29)</f>
        <v/>
      </c>
      <c r="Y217" t="str">
        <f>IF($AT217="","",INDEX(Calc!$I$2:$I$1601,$AT217)&amp;" - "&amp;INDEX(Calc!$D$2:$D$1601,$AT217)&amp;" koli")</f>
        <v/>
      </c>
      <c r="Z217" t="str">
        <f>IF($AS217="","",Config!$B$21)</f>
        <v/>
      </c>
      <c r="AA217" t="str">
        <f>IF($AS217="","",Config!$B$22)</f>
        <v/>
      </c>
      <c r="AB217" t="str">
        <f>IF($AT217="","",INDEX(Calc!$D$2:$D$1601,$AT217))</f>
        <v/>
      </c>
      <c r="AC217" t="str">
        <f>IF($AT217="","",INDEX(Calc!$G$2:$G$1601,$AT217))</f>
        <v/>
      </c>
      <c r="AD217" t="str">
        <f>IF($AS217="","",Config!$B$23)</f>
        <v/>
      </c>
      <c r="AE217" t="str">
        <f>IF($AS217="","",Config!$B$28)</f>
        <v/>
      </c>
      <c r="AF217" t="str">
        <f t="shared" si="20"/>
        <v/>
      </c>
      <c r="AG217" t="str">
        <f t="shared" si="21"/>
        <v/>
      </c>
      <c r="AH217" t="str">
        <f t="shared" si="22"/>
        <v/>
      </c>
      <c r="AI217" t="str">
        <f>IF($AG217="","",SUMIF($AG$2:$AG217,$AG217,$AH$2:$AH217))</f>
        <v/>
      </c>
      <c r="AJ217" t="str">
        <f>IF('TMP Paste'!$F217="","",IF('TMP Paste'!$B217="",$AJ216,'TMP Paste'!$B217))</f>
        <v/>
      </c>
      <c r="AK217" t="str">
        <f>IF('TMP Paste'!$F217="","",N('TMP Paste'!$G217))</f>
        <v/>
      </c>
      <c r="AL217" t="str">
        <f>IF('TMP Paste'!$F217="","",IF('TMP Paste'!$M217="",$AL216,'TMP Paste'!$M217))</f>
        <v/>
      </c>
      <c r="AM217" t="str">
        <f>IF('TMP Paste'!$F217="","",IF('TMP Paste'!$N217="",$AM216,'TMP Paste'!$N217))</f>
        <v/>
      </c>
      <c r="AN217" t="str">
        <f>IF('TMP Paste'!$F217="","",IF('TMP Paste'!$O217="",$AN216,'TMP Paste'!$O217))</f>
        <v/>
      </c>
      <c r="AO217" t="str">
        <f>IF('TMP Paste'!$F217="","",IF('TMP Paste'!$P217="",$AO216,'TMP Paste'!$P217))</f>
        <v/>
      </c>
      <c r="AP217" t="str">
        <f t="shared" si="23"/>
        <v/>
      </c>
      <c r="AQ217" t="str">
        <f>IF($AS217="","",TRIM(IF(COUNTIFS(Calc!$B$2:$B$1601,ROW()-1,Calc!$C$2:$C$1601,"&lt;1")&gt;0,"Ada PO tanpa Koli - cek TMP. ","")&amp;IF(OR($AU217="",$AU217&lt;=0),"Volume kosong/0 - dimensi dikosongkan. ","")&amp;IF(AND($AU217&lt;&gt;"",$AU217&gt;=1000000),"Volume &gt;= 1.000.000 cm3 (di luar aturan) - dimensi dikosongkan. ","")&amp;IF(LEN($R217)&gt;500,"R &gt; 500 karakter.","")))</f>
        <v/>
      </c>
      <c r="AS217" t="str">
        <f>IFERROR(MATCH(ROW()-1,Calc!$J$2:$J$1601,0),"")</f>
        <v/>
      </c>
      <c r="AT217" t="str">
        <f>IFERROR(MATCH(ROW()-1,Calc!$K$2:$K$1601,0),"")</f>
        <v/>
      </c>
      <c r="AU217" t="str">
        <f>IF($AS217="","",IFERROR(INDEX('TMP Paste'!$D$2:$D$1601,$AS217)*1000000/$AB217,""))</f>
        <v/>
      </c>
    </row>
    <row r="218" spans="1:47">
      <c r="A218" t="str">
        <f>IF($AS218="","",INDEX('TMP Paste'!$B$2:$B$1601,$AS218))</f>
        <v/>
      </c>
      <c r="B218" t="str">
        <f>IF($AS218="","",Config!$B$14)</f>
        <v/>
      </c>
      <c r="C218" t="str">
        <f>IF($AS218="","",Config!$B$15)</f>
        <v/>
      </c>
      <c r="D218" t="str">
        <f>IF($AS218="","",INDEX('TMP Paste'!$B$2:$B$1601,$AS218))</f>
        <v/>
      </c>
      <c r="E218" t="str">
        <f>IF($AS218="","",Config!$B$27)</f>
        <v/>
      </c>
      <c r="F218" t="str">
        <f>IF($AS218="","",Config!$B$9)</f>
        <v/>
      </c>
      <c r="G218" t="str">
        <f>IF($AS218="","",Config!$B$10)</f>
        <v/>
      </c>
      <c r="H218" t="str">
        <f>IF($AS218="","",Config!$B$11)</f>
        <v/>
      </c>
      <c r="I218" t="str">
        <f>IF($AS218="","",Config!$B$16)</f>
        <v/>
      </c>
      <c r="J218" t="str">
        <f>IF($AS218="","",INDEX('TMP Paste'!$A$2:$A$1601,$AS218))</f>
        <v/>
      </c>
      <c r="K218" t="str">
        <f>IF($AS218="","",INDEX('TMP Paste'!$L$2:$L$1601,$AS218))</f>
        <v/>
      </c>
      <c r="L218" t="str">
        <f>IF($AS218="","",INDEX('TMP Paste'!$I$2:$I$1601,$AS218))</f>
        <v/>
      </c>
      <c r="M218" t="str">
        <f>IF($AS218="","",Config!$B$16)</f>
        <v/>
      </c>
      <c r="N218" t="str">
        <f t="shared" si="18"/>
        <v/>
      </c>
      <c r="O218" t="str">
        <f>IF($AS218="","",INDEX('TMP Paste'!$K$2:$K$1601,$AS218))</f>
        <v/>
      </c>
      <c r="P218" t="str">
        <f t="shared" si="19"/>
        <v/>
      </c>
      <c r="Q218" t="str">
        <f>IF($AS218="","",INDEX('TMP Paste'!$J$2:$J$1601,$AS218))</f>
        <v/>
      </c>
      <c r="R218" t="str">
        <f>IF($AS218="","",Config!$B$24)</f>
        <v/>
      </c>
      <c r="S218" t="str">
        <f ca="1">IF($AS218="","",TEXT(Config!$B$4,"yyyy-mm-dd"))</f>
        <v/>
      </c>
      <c r="T218" t="str">
        <f>IF($AS218="","",Config!$B$17)</f>
        <v/>
      </c>
      <c r="U218" t="str">
        <f>IF($AS218="","",Config!$B$18)</f>
        <v/>
      </c>
      <c r="V218" t="str">
        <f>IF($AS218="","",Config!$B$19)</f>
        <v/>
      </c>
      <c r="W218" t="str">
        <f>IF($AS218="","",INDEX('TMP Paste'!$C$2:$C$1601,$AS218))</f>
        <v/>
      </c>
      <c r="X218" t="str">
        <f>IF($AS218="","",Config!$B$29)</f>
        <v/>
      </c>
      <c r="Y218" t="str">
        <f>IF($AT218="","",INDEX(Calc!$I$2:$I$1601,$AT218)&amp;" - "&amp;INDEX(Calc!$D$2:$D$1601,$AT218)&amp;" koli")</f>
        <v/>
      </c>
      <c r="Z218" t="str">
        <f>IF($AS218="","",Config!$B$21)</f>
        <v/>
      </c>
      <c r="AA218" t="str">
        <f>IF($AS218="","",Config!$B$22)</f>
        <v/>
      </c>
      <c r="AB218" t="str">
        <f>IF($AT218="","",INDEX(Calc!$D$2:$D$1601,$AT218))</f>
        <v/>
      </c>
      <c r="AC218" t="str">
        <f>IF($AT218="","",INDEX(Calc!$G$2:$G$1601,$AT218))</f>
        <v/>
      </c>
      <c r="AD218" t="str">
        <f>IF($AS218="","",Config!$B$23)</f>
        <v/>
      </c>
      <c r="AE218" t="str">
        <f>IF($AS218="","",Config!$B$28)</f>
        <v/>
      </c>
      <c r="AF218" t="str">
        <f t="shared" si="20"/>
        <v/>
      </c>
      <c r="AG218" t="str">
        <f t="shared" si="21"/>
        <v/>
      </c>
      <c r="AH218" t="str">
        <f t="shared" si="22"/>
        <v/>
      </c>
      <c r="AI218" t="str">
        <f>IF($AG218="","",SUMIF($AG$2:$AG218,$AG218,$AH$2:$AH218))</f>
        <v/>
      </c>
      <c r="AJ218" t="str">
        <f>IF('TMP Paste'!$F218="","",IF('TMP Paste'!$B218="",$AJ217,'TMP Paste'!$B218))</f>
        <v/>
      </c>
      <c r="AK218" t="str">
        <f>IF('TMP Paste'!$F218="","",N('TMP Paste'!$G218))</f>
        <v/>
      </c>
      <c r="AL218" t="str">
        <f>IF('TMP Paste'!$F218="","",IF('TMP Paste'!$M218="",$AL217,'TMP Paste'!$M218))</f>
        <v/>
      </c>
      <c r="AM218" t="str">
        <f>IF('TMP Paste'!$F218="","",IF('TMP Paste'!$N218="",$AM217,'TMP Paste'!$N218))</f>
        <v/>
      </c>
      <c r="AN218" t="str">
        <f>IF('TMP Paste'!$F218="","",IF('TMP Paste'!$O218="",$AN217,'TMP Paste'!$O218))</f>
        <v/>
      </c>
      <c r="AO218" t="str">
        <f>IF('TMP Paste'!$F218="","",IF('TMP Paste'!$P218="",$AO217,'TMP Paste'!$P218))</f>
        <v/>
      </c>
      <c r="AP218" t="str">
        <f t="shared" si="23"/>
        <v/>
      </c>
      <c r="AQ218" t="str">
        <f>IF($AS218="","",TRIM(IF(COUNTIFS(Calc!$B$2:$B$1601,ROW()-1,Calc!$C$2:$C$1601,"&lt;1")&gt;0,"Ada PO tanpa Koli - cek TMP. ","")&amp;IF(OR($AU218="",$AU218&lt;=0),"Volume kosong/0 - dimensi dikosongkan. ","")&amp;IF(AND($AU218&lt;&gt;"",$AU218&gt;=1000000),"Volume &gt;= 1.000.000 cm3 (di luar aturan) - dimensi dikosongkan. ","")&amp;IF(LEN($R218)&gt;500,"R &gt; 500 karakter.","")))</f>
        <v/>
      </c>
      <c r="AS218" t="str">
        <f>IFERROR(MATCH(ROW()-1,Calc!$J$2:$J$1601,0),"")</f>
        <v/>
      </c>
      <c r="AT218" t="str">
        <f>IFERROR(MATCH(ROW()-1,Calc!$K$2:$K$1601,0),"")</f>
        <v/>
      </c>
      <c r="AU218" t="str">
        <f>IF($AS218="","",IFERROR(INDEX('TMP Paste'!$D$2:$D$1601,$AS218)*1000000/$AB218,""))</f>
        <v/>
      </c>
    </row>
    <row r="219" spans="1:47">
      <c r="A219" t="str">
        <f>IF($AS219="","",INDEX('TMP Paste'!$B$2:$B$1601,$AS219))</f>
        <v/>
      </c>
      <c r="B219" t="str">
        <f>IF($AS219="","",Config!$B$14)</f>
        <v/>
      </c>
      <c r="C219" t="str">
        <f>IF($AS219="","",Config!$B$15)</f>
        <v/>
      </c>
      <c r="D219" t="str">
        <f>IF($AS219="","",INDEX('TMP Paste'!$B$2:$B$1601,$AS219))</f>
        <v/>
      </c>
      <c r="E219" t="str">
        <f>IF($AS219="","",Config!$B$27)</f>
        <v/>
      </c>
      <c r="F219" t="str">
        <f>IF($AS219="","",Config!$B$9)</f>
        <v/>
      </c>
      <c r="G219" t="str">
        <f>IF($AS219="","",Config!$B$10)</f>
        <v/>
      </c>
      <c r="H219" t="str">
        <f>IF($AS219="","",Config!$B$11)</f>
        <v/>
      </c>
      <c r="I219" t="str">
        <f>IF($AS219="","",Config!$B$16)</f>
        <v/>
      </c>
      <c r="J219" t="str">
        <f>IF($AS219="","",INDEX('TMP Paste'!$A$2:$A$1601,$AS219))</f>
        <v/>
      </c>
      <c r="K219" t="str">
        <f>IF($AS219="","",INDEX('TMP Paste'!$L$2:$L$1601,$AS219))</f>
        <v/>
      </c>
      <c r="L219" t="str">
        <f>IF($AS219="","",INDEX('TMP Paste'!$I$2:$I$1601,$AS219))</f>
        <v/>
      </c>
      <c r="M219" t="str">
        <f>IF($AS219="","",Config!$B$16)</f>
        <v/>
      </c>
      <c r="N219" t="str">
        <f t="shared" si="18"/>
        <v/>
      </c>
      <c r="O219" t="str">
        <f>IF($AS219="","",INDEX('TMP Paste'!$K$2:$K$1601,$AS219))</f>
        <v/>
      </c>
      <c r="P219" t="str">
        <f t="shared" si="19"/>
        <v/>
      </c>
      <c r="Q219" t="str">
        <f>IF($AS219="","",INDEX('TMP Paste'!$J$2:$J$1601,$AS219))</f>
        <v/>
      </c>
      <c r="R219" t="str">
        <f>IF($AS219="","",Config!$B$24)</f>
        <v/>
      </c>
      <c r="S219" t="str">
        <f ca="1">IF($AS219="","",TEXT(Config!$B$4,"yyyy-mm-dd"))</f>
        <v/>
      </c>
      <c r="T219" t="str">
        <f>IF($AS219="","",Config!$B$17)</f>
        <v/>
      </c>
      <c r="U219" t="str">
        <f>IF($AS219="","",Config!$B$18)</f>
        <v/>
      </c>
      <c r="V219" t="str">
        <f>IF($AS219="","",Config!$B$19)</f>
        <v/>
      </c>
      <c r="W219" t="str">
        <f>IF($AS219="","",INDEX('TMP Paste'!$C$2:$C$1601,$AS219))</f>
        <v/>
      </c>
      <c r="X219" t="str">
        <f>IF($AS219="","",Config!$B$29)</f>
        <v/>
      </c>
      <c r="Y219" t="str">
        <f>IF($AT219="","",INDEX(Calc!$I$2:$I$1601,$AT219)&amp;" - "&amp;INDEX(Calc!$D$2:$D$1601,$AT219)&amp;" koli")</f>
        <v/>
      </c>
      <c r="Z219" t="str">
        <f>IF($AS219="","",Config!$B$21)</f>
        <v/>
      </c>
      <c r="AA219" t="str">
        <f>IF($AS219="","",Config!$B$22)</f>
        <v/>
      </c>
      <c r="AB219" t="str">
        <f>IF($AT219="","",INDEX(Calc!$D$2:$D$1601,$AT219))</f>
        <v/>
      </c>
      <c r="AC219" t="str">
        <f>IF($AT219="","",INDEX(Calc!$G$2:$G$1601,$AT219))</f>
        <v/>
      </c>
      <c r="AD219" t="str">
        <f>IF($AS219="","",Config!$B$23)</f>
        <v/>
      </c>
      <c r="AE219" t="str">
        <f>IF($AS219="","",Config!$B$28)</f>
        <v/>
      </c>
      <c r="AF219" t="str">
        <f t="shared" si="20"/>
        <v/>
      </c>
      <c r="AG219" t="str">
        <f t="shared" si="21"/>
        <v/>
      </c>
      <c r="AH219" t="str">
        <f t="shared" si="22"/>
        <v/>
      </c>
      <c r="AI219" t="str">
        <f>IF($AG219="","",SUMIF($AG$2:$AG219,$AG219,$AH$2:$AH219))</f>
        <v/>
      </c>
      <c r="AJ219" t="str">
        <f>IF('TMP Paste'!$F219="","",IF('TMP Paste'!$B219="",$AJ218,'TMP Paste'!$B219))</f>
        <v/>
      </c>
      <c r="AK219" t="str">
        <f>IF('TMP Paste'!$F219="","",N('TMP Paste'!$G219))</f>
        <v/>
      </c>
      <c r="AL219" t="str">
        <f>IF('TMP Paste'!$F219="","",IF('TMP Paste'!$M219="",$AL218,'TMP Paste'!$M219))</f>
        <v/>
      </c>
      <c r="AM219" t="str">
        <f>IF('TMP Paste'!$F219="","",IF('TMP Paste'!$N219="",$AM218,'TMP Paste'!$N219))</f>
        <v/>
      </c>
      <c r="AN219" t="str">
        <f>IF('TMP Paste'!$F219="","",IF('TMP Paste'!$O219="",$AN218,'TMP Paste'!$O219))</f>
        <v/>
      </c>
      <c r="AO219" t="str">
        <f>IF('TMP Paste'!$F219="","",IF('TMP Paste'!$P219="",$AO218,'TMP Paste'!$P219))</f>
        <v/>
      </c>
      <c r="AP219" t="str">
        <f t="shared" si="23"/>
        <v/>
      </c>
      <c r="AQ219" t="str">
        <f>IF($AS219="","",TRIM(IF(COUNTIFS(Calc!$B$2:$B$1601,ROW()-1,Calc!$C$2:$C$1601,"&lt;1")&gt;0,"Ada PO tanpa Koli - cek TMP. ","")&amp;IF(OR($AU219="",$AU219&lt;=0),"Volume kosong/0 - dimensi dikosongkan. ","")&amp;IF(AND($AU219&lt;&gt;"",$AU219&gt;=1000000),"Volume &gt;= 1.000.000 cm3 (di luar aturan) - dimensi dikosongkan. ","")&amp;IF(LEN($R219)&gt;500,"R &gt; 500 karakter.","")))</f>
        <v/>
      </c>
      <c r="AS219" t="str">
        <f>IFERROR(MATCH(ROW()-1,Calc!$J$2:$J$1601,0),"")</f>
        <v/>
      </c>
      <c r="AT219" t="str">
        <f>IFERROR(MATCH(ROW()-1,Calc!$K$2:$K$1601,0),"")</f>
        <v/>
      </c>
      <c r="AU219" t="str">
        <f>IF($AS219="","",IFERROR(INDEX('TMP Paste'!$D$2:$D$1601,$AS219)*1000000/$AB219,""))</f>
        <v/>
      </c>
    </row>
    <row r="220" spans="1:47">
      <c r="A220" t="str">
        <f>IF($AS220="","",INDEX('TMP Paste'!$B$2:$B$1601,$AS220))</f>
        <v/>
      </c>
      <c r="B220" t="str">
        <f>IF($AS220="","",Config!$B$14)</f>
        <v/>
      </c>
      <c r="C220" t="str">
        <f>IF($AS220="","",Config!$B$15)</f>
        <v/>
      </c>
      <c r="D220" t="str">
        <f>IF($AS220="","",INDEX('TMP Paste'!$B$2:$B$1601,$AS220))</f>
        <v/>
      </c>
      <c r="E220" t="str">
        <f>IF($AS220="","",Config!$B$27)</f>
        <v/>
      </c>
      <c r="F220" t="str">
        <f>IF($AS220="","",Config!$B$9)</f>
        <v/>
      </c>
      <c r="G220" t="str">
        <f>IF($AS220="","",Config!$B$10)</f>
        <v/>
      </c>
      <c r="H220" t="str">
        <f>IF($AS220="","",Config!$B$11)</f>
        <v/>
      </c>
      <c r="I220" t="str">
        <f>IF($AS220="","",Config!$B$16)</f>
        <v/>
      </c>
      <c r="J220" t="str">
        <f>IF($AS220="","",INDEX('TMP Paste'!$A$2:$A$1601,$AS220))</f>
        <v/>
      </c>
      <c r="K220" t="str">
        <f>IF($AS220="","",INDEX('TMP Paste'!$L$2:$L$1601,$AS220))</f>
        <v/>
      </c>
      <c r="L220" t="str">
        <f>IF($AS220="","",INDEX('TMP Paste'!$I$2:$I$1601,$AS220))</f>
        <v/>
      </c>
      <c r="M220" t="str">
        <f>IF($AS220="","",Config!$B$16)</f>
        <v/>
      </c>
      <c r="N220" t="str">
        <f t="shared" si="18"/>
        <v/>
      </c>
      <c r="O220" t="str">
        <f>IF($AS220="","",INDEX('TMP Paste'!$K$2:$K$1601,$AS220))</f>
        <v/>
      </c>
      <c r="P220" t="str">
        <f t="shared" si="19"/>
        <v/>
      </c>
      <c r="Q220" t="str">
        <f>IF($AS220="","",INDEX('TMP Paste'!$J$2:$J$1601,$AS220))</f>
        <v/>
      </c>
      <c r="R220" t="str">
        <f>IF($AS220="","",Config!$B$24)</f>
        <v/>
      </c>
      <c r="S220" t="str">
        <f ca="1">IF($AS220="","",TEXT(Config!$B$4,"yyyy-mm-dd"))</f>
        <v/>
      </c>
      <c r="T220" t="str">
        <f>IF($AS220="","",Config!$B$17)</f>
        <v/>
      </c>
      <c r="U220" t="str">
        <f>IF($AS220="","",Config!$B$18)</f>
        <v/>
      </c>
      <c r="V220" t="str">
        <f>IF($AS220="","",Config!$B$19)</f>
        <v/>
      </c>
      <c r="W220" t="str">
        <f>IF($AS220="","",INDEX('TMP Paste'!$C$2:$C$1601,$AS220))</f>
        <v/>
      </c>
      <c r="X220" t="str">
        <f>IF($AS220="","",Config!$B$29)</f>
        <v/>
      </c>
      <c r="Y220" t="str">
        <f>IF($AT220="","",INDEX(Calc!$I$2:$I$1601,$AT220)&amp;" - "&amp;INDEX(Calc!$D$2:$D$1601,$AT220)&amp;" koli")</f>
        <v/>
      </c>
      <c r="Z220" t="str">
        <f>IF($AS220="","",Config!$B$21)</f>
        <v/>
      </c>
      <c r="AA220" t="str">
        <f>IF($AS220="","",Config!$B$22)</f>
        <v/>
      </c>
      <c r="AB220" t="str">
        <f>IF($AT220="","",INDEX(Calc!$D$2:$D$1601,$AT220))</f>
        <v/>
      </c>
      <c r="AC220" t="str">
        <f>IF($AT220="","",INDEX(Calc!$G$2:$G$1601,$AT220))</f>
        <v/>
      </c>
      <c r="AD220" t="str">
        <f>IF($AS220="","",Config!$B$23)</f>
        <v/>
      </c>
      <c r="AE220" t="str">
        <f>IF($AS220="","",Config!$B$28)</f>
        <v/>
      </c>
      <c r="AF220" t="str">
        <f t="shared" si="20"/>
        <v/>
      </c>
      <c r="AG220" t="str">
        <f t="shared" si="21"/>
        <v/>
      </c>
      <c r="AH220" t="str">
        <f t="shared" si="22"/>
        <v/>
      </c>
      <c r="AI220" t="str">
        <f>IF($AG220="","",SUMIF($AG$2:$AG220,$AG220,$AH$2:$AH220))</f>
        <v/>
      </c>
      <c r="AJ220" t="str">
        <f>IF('TMP Paste'!$F220="","",IF('TMP Paste'!$B220="",$AJ219,'TMP Paste'!$B220))</f>
        <v/>
      </c>
      <c r="AK220" t="str">
        <f>IF('TMP Paste'!$F220="","",N('TMP Paste'!$G220))</f>
        <v/>
      </c>
      <c r="AL220" t="str">
        <f>IF('TMP Paste'!$F220="","",IF('TMP Paste'!$M220="",$AL219,'TMP Paste'!$M220))</f>
        <v/>
      </c>
      <c r="AM220" t="str">
        <f>IF('TMP Paste'!$F220="","",IF('TMP Paste'!$N220="",$AM219,'TMP Paste'!$N220))</f>
        <v/>
      </c>
      <c r="AN220" t="str">
        <f>IF('TMP Paste'!$F220="","",IF('TMP Paste'!$O220="",$AN219,'TMP Paste'!$O220))</f>
        <v/>
      </c>
      <c r="AO220" t="str">
        <f>IF('TMP Paste'!$F220="","",IF('TMP Paste'!$P220="",$AO219,'TMP Paste'!$P220))</f>
        <v/>
      </c>
      <c r="AP220" t="str">
        <f t="shared" si="23"/>
        <v/>
      </c>
      <c r="AQ220" t="str">
        <f>IF($AS220="","",TRIM(IF(COUNTIFS(Calc!$B$2:$B$1601,ROW()-1,Calc!$C$2:$C$1601,"&lt;1")&gt;0,"Ada PO tanpa Koli - cek TMP. ","")&amp;IF(OR($AU220="",$AU220&lt;=0),"Volume kosong/0 - dimensi dikosongkan. ","")&amp;IF(AND($AU220&lt;&gt;"",$AU220&gt;=1000000),"Volume &gt;= 1.000.000 cm3 (di luar aturan) - dimensi dikosongkan. ","")&amp;IF(LEN($R220)&gt;500,"R &gt; 500 karakter.","")))</f>
        <v/>
      </c>
      <c r="AS220" t="str">
        <f>IFERROR(MATCH(ROW()-1,Calc!$J$2:$J$1601,0),"")</f>
        <v/>
      </c>
      <c r="AT220" t="str">
        <f>IFERROR(MATCH(ROW()-1,Calc!$K$2:$K$1601,0),"")</f>
        <v/>
      </c>
      <c r="AU220" t="str">
        <f>IF($AS220="","",IFERROR(INDEX('TMP Paste'!$D$2:$D$1601,$AS220)*1000000/$AB220,""))</f>
        <v/>
      </c>
    </row>
    <row r="221" spans="1:47">
      <c r="A221" t="str">
        <f>IF($AS221="","",INDEX('TMP Paste'!$B$2:$B$1601,$AS221))</f>
        <v/>
      </c>
      <c r="B221" t="str">
        <f>IF($AS221="","",Config!$B$14)</f>
        <v/>
      </c>
      <c r="C221" t="str">
        <f>IF($AS221="","",Config!$B$15)</f>
        <v/>
      </c>
      <c r="D221" t="str">
        <f>IF($AS221="","",INDEX('TMP Paste'!$B$2:$B$1601,$AS221))</f>
        <v/>
      </c>
      <c r="E221" t="str">
        <f>IF($AS221="","",Config!$B$27)</f>
        <v/>
      </c>
      <c r="F221" t="str">
        <f>IF($AS221="","",Config!$B$9)</f>
        <v/>
      </c>
      <c r="G221" t="str">
        <f>IF($AS221="","",Config!$B$10)</f>
        <v/>
      </c>
      <c r="H221" t="str">
        <f>IF($AS221="","",Config!$B$11)</f>
        <v/>
      </c>
      <c r="I221" t="str">
        <f>IF($AS221="","",Config!$B$16)</f>
        <v/>
      </c>
      <c r="J221" t="str">
        <f>IF($AS221="","",INDEX('TMP Paste'!$A$2:$A$1601,$AS221))</f>
        <v/>
      </c>
      <c r="K221" t="str">
        <f>IF($AS221="","",INDEX('TMP Paste'!$L$2:$L$1601,$AS221))</f>
        <v/>
      </c>
      <c r="L221" t="str">
        <f>IF($AS221="","",INDEX('TMP Paste'!$I$2:$I$1601,$AS221))</f>
        <v/>
      </c>
      <c r="M221" t="str">
        <f>IF($AS221="","",Config!$B$16)</f>
        <v/>
      </c>
      <c r="N221" t="str">
        <f t="shared" si="18"/>
        <v/>
      </c>
      <c r="O221" t="str">
        <f>IF($AS221="","",INDEX('TMP Paste'!$K$2:$K$1601,$AS221))</f>
        <v/>
      </c>
      <c r="P221" t="str">
        <f t="shared" si="19"/>
        <v/>
      </c>
      <c r="Q221" t="str">
        <f>IF($AS221="","",INDEX('TMP Paste'!$J$2:$J$1601,$AS221))</f>
        <v/>
      </c>
      <c r="R221" t="str">
        <f>IF($AS221="","",Config!$B$24)</f>
        <v/>
      </c>
      <c r="S221" t="str">
        <f ca="1">IF($AS221="","",TEXT(Config!$B$4,"yyyy-mm-dd"))</f>
        <v/>
      </c>
      <c r="T221" t="str">
        <f>IF($AS221="","",Config!$B$17)</f>
        <v/>
      </c>
      <c r="U221" t="str">
        <f>IF($AS221="","",Config!$B$18)</f>
        <v/>
      </c>
      <c r="V221" t="str">
        <f>IF($AS221="","",Config!$B$19)</f>
        <v/>
      </c>
      <c r="W221" t="str">
        <f>IF($AS221="","",INDEX('TMP Paste'!$C$2:$C$1601,$AS221))</f>
        <v/>
      </c>
      <c r="X221" t="str">
        <f>IF($AS221="","",Config!$B$29)</f>
        <v/>
      </c>
      <c r="Y221" t="str">
        <f>IF($AT221="","",INDEX(Calc!$I$2:$I$1601,$AT221)&amp;" - "&amp;INDEX(Calc!$D$2:$D$1601,$AT221)&amp;" koli")</f>
        <v/>
      </c>
      <c r="Z221" t="str">
        <f>IF($AS221="","",Config!$B$21)</f>
        <v/>
      </c>
      <c r="AA221" t="str">
        <f>IF($AS221="","",Config!$B$22)</f>
        <v/>
      </c>
      <c r="AB221" t="str">
        <f>IF($AT221="","",INDEX(Calc!$D$2:$D$1601,$AT221))</f>
        <v/>
      </c>
      <c r="AC221" t="str">
        <f>IF($AT221="","",INDEX(Calc!$G$2:$G$1601,$AT221))</f>
        <v/>
      </c>
      <c r="AD221" t="str">
        <f>IF($AS221="","",Config!$B$23)</f>
        <v/>
      </c>
      <c r="AE221" t="str">
        <f>IF($AS221="","",Config!$B$28)</f>
        <v/>
      </c>
      <c r="AF221" t="str">
        <f t="shared" si="20"/>
        <v/>
      </c>
      <c r="AG221" t="str">
        <f t="shared" si="21"/>
        <v/>
      </c>
      <c r="AH221" t="str">
        <f t="shared" si="22"/>
        <v/>
      </c>
      <c r="AI221" t="str">
        <f>IF($AG221="","",SUMIF($AG$2:$AG221,$AG221,$AH$2:$AH221))</f>
        <v/>
      </c>
      <c r="AJ221" t="str">
        <f>IF('TMP Paste'!$F221="","",IF('TMP Paste'!$B221="",$AJ220,'TMP Paste'!$B221))</f>
        <v/>
      </c>
      <c r="AK221" t="str">
        <f>IF('TMP Paste'!$F221="","",N('TMP Paste'!$G221))</f>
        <v/>
      </c>
      <c r="AL221" t="str">
        <f>IF('TMP Paste'!$F221="","",IF('TMP Paste'!$M221="",$AL220,'TMP Paste'!$M221))</f>
        <v/>
      </c>
      <c r="AM221" t="str">
        <f>IF('TMP Paste'!$F221="","",IF('TMP Paste'!$N221="",$AM220,'TMP Paste'!$N221))</f>
        <v/>
      </c>
      <c r="AN221" t="str">
        <f>IF('TMP Paste'!$F221="","",IF('TMP Paste'!$O221="",$AN220,'TMP Paste'!$O221))</f>
        <v/>
      </c>
      <c r="AO221" t="str">
        <f>IF('TMP Paste'!$F221="","",IF('TMP Paste'!$P221="",$AO220,'TMP Paste'!$P221))</f>
        <v/>
      </c>
      <c r="AP221" t="str">
        <f t="shared" si="23"/>
        <v/>
      </c>
      <c r="AQ221" t="str">
        <f>IF($AS221="","",TRIM(IF(COUNTIFS(Calc!$B$2:$B$1601,ROW()-1,Calc!$C$2:$C$1601,"&lt;1")&gt;0,"Ada PO tanpa Koli - cek TMP. ","")&amp;IF(OR($AU221="",$AU221&lt;=0),"Volume kosong/0 - dimensi dikosongkan. ","")&amp;IF(AND($AU221&lt;&gt;"",$AU221&gt;=1000000),"Volume &gt;= 1.000.000 cm3 (di luar aturan) - dimensi dikosongkan. ","")&amp;IF(LEN($R221)&gt;500,"R &gt; 500 karakter.","")))</f>
        <v/>
      </c>
      <c r="AS221" t="str">
        <f>IFERROR(MATCH(ROW()-1,Calc!$J$2:$J$1601,0),"")</f>
        <v/>
      </c>
      <c r="AT221" t="str">
        <f>IFERROR(MATCH(ROW()-1,Calc!$K$2:$K$1601,0),"")</f>
        <v/>
      </c>
      <c r="AU221" t="str">
        <f>IF($AS221="","",IFERROR(INDEX('TMP Paste'!$D$2:$D$1601,$AS221)*1000000/$AB221,""))</f>
        <v/>
      </c>
    </row>
    <row r="222" spans="1:47">
      <c r="A222" t="str">
        <f>IF($AS222="","",INDEX('TMP Paste'!$B$2:$B$1601,$AS222))</f>
        <v/>
      </c>
      <c r="B222" t="str">
        <f>IF($AS222="","",Config!$B$14)</f>
        <v/>
      </c>
      <c r="C222" t="str">
        <f>IF($AS222="","",Config!$B$15)</f>
        <v/>
      </c>
      <c r="D222" t="str">
        <f>IF($AS222="","",INDEX('TMP Paste'!$B$2:$B$1601,$AS222))</f>
        <v/>
      </c>
      <c r="E222" t="str">
        <f>IF($AS222="","",Config!$B$27)</f>
        <v/>
      </c>
      <c r="F222" t="str">
        <f>IF($AS222="","",Config!$B$9)</f>
        <v/>
      </c>
      <c r="G222" t="str">
        <f>IF($AS222="","",Config!$B$10)</f>
        <v/>
      </c>
      <c r="H222" t="str">
        <f>IF($AS222="","",Config!$B$11)</f>
        <v/>
      </c>
      <c r="I222" t="str">
        <f>IF($AS222="","",Config!$B$16)</f>
        <v/>
      </c>
      <c r="J222" t="str">
        <f>IF($AS222="","",INDEX('TMP Paste'!$A$2:$A$1601,$AS222))</f>
        <v/>
      </c>
      <c r="K222" t="str">
        <f>IF($AS222="","",INDEX('TMP Paste'!$L$2:$L$1601,$AS222))</f>
        <v/>
      </c>
      <c r="L222" t="str">
        <f>IF($AS222="","",INDEX('TMP Paste'!$I$2:$I$1601,$AS222))</f>
        <v/>
      </c>
      <c r="M222" t="str">
        <f>IF($AS222="","",Config!$B$16)</f>
        <v/>
      </c>
      <c r="N222" t="str">
        <f t="shared" si="18"/>
        <v/>
      </c>
      <c r="O222" t="str">
        <f>IF($AS222="","",INDEX('TMP Paste'!$K$2:$K$1601,$AS222))</f>
        <v/>
      </c>
      <c r="P222" t="str">
        <f t="shared" si="19"/>
        <v/>
      </c>
      <c r="Q222" t="str">
        <f>IF($AS222="","",INDEX('TMP Paste'!$J$2:$J$1601,$AS222))</f>
        <v/>
      </c>
      <c r="R222" t="str">
        <f>IF($AS222="","",Config!$B$24)</f>
        <v/>
      </c>
      <c r="S222" t="str">
        <f ca="1">IF($AS222="","",TEXT(Config!$B$4,"yyyy-mm-dd"))</f>
        <v/>
      </c>
      <c r="T222" t="str">
        <f>IF($AS222="","",Config!$B$17)</f>
        <v/>
      </c>
      <c r="U222" t="str">
        <f>IF($AS222="","",Config!$B$18)</f>
        <v/>
      </c>
      <c r="V222" t="str">
        <f>IF($AS222="","",Config!$B$19)</f>
        <v/>
      </c>
      <c r="W222" t="str">
        <f>IF($AS222="","",INDEX('TMP Paste'!$C$2:$C$1601,$AS222))</f>
        <v/>
      </c>
      <c r="X222" t="str">
        <f>IF($AS222="","",Config!$B$29)</f>
        <v/>
      </c>
      <c r="Y222" t="str">
        <f>IF($AT222="","",INDEX(Calc!$I$2:$I$1601,$AT222)&amp;" - "&amp;INDEX(Calc!$D$2:$D$1601,$AT222)&amp;" koli")</f>
        <v/>
      </c>
      <c r="Z222" t="str">
        <f>IF($AS222="","",Config!$B$21)</f>
        <v/>
      </c>
      <c r="AA222" t="str">
        <f>IF($AS222="","",Config!$B$22)</f>
        <v/>
      </c>
      <c r="AB222" t="str">
        <f>IF($AT222="","",INDEX(Calc!$D$2:$D$1601,$AT222))</f>
        <v/>
      </c>
      <c r="AC222" t="str">
        <f>IF($AT222="","",INDEX(Calc!$G$2:$G$1601,$AT222))</f>
        <v/>
      </c>
      <c r="AD222" t="str">
        <f>IF($AS222="","",Config!$B$23)</f>
        <v/>
      </c>
      <c r="AE222" t="str">
        <f>IF($AS222="","",Config!$B$28)</f>
        <v/>
      </c>
      <c r="AF222" t="str">
        <f t="shared" si="20"/>
        <v/>
      </c>
      <c r="AG222" t="str">
        <f t="shared" si="21"/>
        <v/>
      </c>
      <c r="AH222" t="str">
        <f t="shared" si="22"/>
        <v/>
      </c>
      <c r="AI222" t="str">
        <f>IF($AG222="","",SUMIF($AG$2:$AG222,$AG222,$AH$2:$AH222))</f>
        <v/>
      </c>
      <c r="AJ222" t="str">
        <f>IF('TMP Paste'!$F222="","",IF('TMP Paste'!$B222="",$AJ221,'TMP Paste'!$B222))</f>
        <v/>
      </c>
      <c r="AK222" t="str">
        <f>IF('TMP Paste'!$F222="","",N('TMP Paste'!$G222))</f>
        <v/>
      </c>
      <c r="AL222" t="str">
        <f>IF('TMP Paste'!$F222="","",IF('TMP Paste'!$M222="",$AL221,'TMP Paste'!$M222))</f>
        <v/>
      </c>
      <c r="AM222" t="str">
        <f>IF('TMP Paste'!$F222="","",IF('TMP Paste'!$N222="",$AM221,'TMP Paste'!$N222))</f>
        <v/>
      </c>
      <c r="AN222" t="str">
        <f>IF('TMP Paste'!$F222="","",IF('TMP Paste'!$O222="",$AN221,'TMP Paste'!$O222))</f>
        <v/>
      </c>
      <c r="AO222" t="str">
        <f>IF('TMP Paste'!$F222="","",IF('TMP Paste'!$P222="",$AO221,'TMP Paste'!$P222))</f>
        <v/>
      </c>
      <c r="AP222" t="str">
        <f t="shared" si="23"/>
        <v/>
      </c>
      <c r="AQ222" t="str">
        <f>IF($AS222="","",TRIM(IF(COUNTIFS(Calc!$B$2:$B$1601,ROW()-1,Calc!$C$2:$C$1601,"&lt;1")&gt;0,"Ada PO tanpa Koli - cek TMP. ","")&amp;IF(OR($AU222="",$AU222&lt;=0),"Volume kosong/0 - dimensi dikosongkan. ","")&amp;IF(AND($AU222&lt;&gt;"",$AU222&gt;=1000000),"Volume &gt;= 1.000.000 cm3 (di luar aturan) - dimensi dikosongkan. ","")&amp;IF(LEN($R222)&gt;500,"R &gt; 500 karakter.","")))</f>
        <v/>
      </c>
      <c r="AS222" t="str">
        <f>IFERROR(MATCH(ROW()-1,Calc!$J$2:$J$1601,0),"")</f>
        <v/>
      </c>
      <c r="AT222" t="str">
        <f>IFERROR(MATCH(ROW()-1,Calc!$K$2:$K$1601,0),"")</f>
        <v/>
      </c>
      <c r="AU222" t="str">
        <f>IF($AS222="","",IFERROR(INDEX('TMP Paste'!$D$2:$D$1601,$AS222)*1000000/$AB222,""))</f>
        <v/>
      </c>
    </row>
    <row r="223" spans="1:47">
      <c r="A223" t="str">
        <f>IF($AS223="","",INDEX('TMP Paste'!$B$2:$B$1601,$AS223))</f>
        <v/>
      </c>
      <c r="B223" t="str">
        <f>IF($AS223="","",Config!$B$14)</f>
        <v/>
      </c>
      <c r="C223" t="str">
        <f>IF($AS223="","",Config!$B$15)</f>
        <v/>
      </c>
      <c r="D223" t="str">
        <f>IF($AS223="","",INDEX('TMP Paste'!$B$2:$B$1601,$AS223))</f>
        <v/>
      </c>
      <c r="E223" t="str">
        <f>IF($AS223="","",Config!$B$27)</f>
        <v/>
      </c>
      <c r="F223" t="str">
        <f>IF($AS223="","",Config!$B$9)</f>
        <v/>
      </c>
      <c r="G223" t="str">
        <f>IF($AS223="","",Config!$B$10)</f>
        <v/>
      </c>
      <c r="H223" t="str">
        <f>IF($AS223="","",Config!$B$11)</f>
        <v/>
      </c>
      <c r="I223" t="str">
        <f>IF($AS223="","",Config!$B$16)</f>
        <v/>
      </c>
      <c r="J223" t="str">
        <f>IF($AS223="","",INDEX('TMP Paste'!$A$2:$A$1601,$AS223))</f>
        <v/>
      </c>
      <c r="K223" t="str">
        <f>IF($AS223="","",INDEX('TMP Paste'!$L$2:$L$1601,$AS223))</f>
        <v/>
      </c>
      <c r="L223" t="str">
        <f>IF($AS223="","",INDEX('TMP Paste'!$I$2:$I$1601,$AS223))</f>
        <v/>
      </c>
      <c r="M223" t="str">
        <f>IF($AS223="","",Config!$B$16)</f>
        <v/>
      </c>
      <c r="N223" t="str">
        <f t="shared" si="18"/>
        <v/>
      </c>
      <c r="O223" t="str">
        <f>IF($AS223="","",INDEX('TMP Paste'!$K$2:$K$1601,$AS223))</f>
        <v/>
      </c>
      <c r="P223" t="str">
        <f t="shared" si="19"/>
        <v/>
      </c>
      <c r="Q223" t="str">
        <f>IF($AS223="","",INDEX('TMP Paste'!$J$2:$J$1601,$AS223))</f>
        <v/>
      </c>
      <c r="R223" t="str">
        <f>IF($AS223="","",Config!$B$24)</f>
        <v/>
      </c>
      <c r="S223" t="str">
        <f ca="1">IF($AS223="","",TEXT(Config!$B$4,"yyyy-mm-dd"))</f>
        <v/>
      </c>
      <c r="T223" t="str">
        <f>IF($AS223="","",Config!$B$17)</f>
        <v/>
      </c>
      <c r="U223" t="str">
        <f>IF($AS223="","",Config!$B$18)</f>
        <v/>
      </c>
      <c r="V223" t="str">
        <f>IF($AS223="","",Config!$B$19)</f>
        <v/>
      </c>
      <c r="W223" t="str">
        <f>IF($AS223="","",INDEX('TMP Paste'!$C$2:$C$1601,$AS223))</f>
        <v/>
      </c>
      <c r="X223" t="str">
        <f>IF($AS223="","",Config!$B$29)</f>
        <v/>
      </c>
      <c r="Y223" t="str">
        <f>IF($AT223="","",INDEX(Calc!$I$2:$I$1601,$AT223)&amp;" - "&amp;INDEX(Calc!$D$2:$D$1601,$AT223)&amp;" koli")</f>
        <v/>
      </c>
      <c r="Z223" t="str">
        <f>IF($AS223="","",Config!$B$21)</f>
        <v/>
      </c>
      <c r="AA223" t="str">
        <f>IF($AS223="","",Config!$B$22)</f>
        <v/>
      </c>
      <c r="AB223" t="str">
        <f>IF($AT223="","",INDEX(Calc!$D$2:$D$1601,$AT223))</f>
        <v/>
      </c>
      <c r="AC223" t="str">
        <f>IF($AT223="","",INDEX(Calc!$G$2:$G$1601,$AT223))</f>
        <v/>
      </c>
      <c r="AD223" t="str">
        <f>IF($AS223="","",Config!$B$23)</f>
        <v/>
      </c>
      <c r="AE223" t="str">
        <f>IF($AS223="","",Config!$B$28)</f>
        <v/>
      </c>
      <c r="AF223" t="str">
        <f t="shared" si="20"/>
        <v/>
      </c>
      <c r="AG223" t="str">
        <f t="shared" si="21"/>
        <v/>
      </c>
      <c r="AH223" t="str">
        <f t="shared" si="22"/>
        <v/>
      </c>
      <c r="AI223" t="str">
        <f>IF($AG223="","",SUMIF($AG$2:$AG223,$AG223,$AH$2:$AH223))</f>
        <v/>
      </c>
      <c r="AJ223" t="str">
        <f>IF('TMP Paste'!$F223="","",IF('TMP Paste'!$B223="",$AJ222,'TMP Paste'!$B223))</f>
        <v/>
      </c>
      <c r="AK223" t="str">
        <f>IF('TMP Paste'!$F223="","",N('TMP Paste'!$G223))</f>
        <v/>
      </c>
      <c r="AL223" t="str">
        <f>IF('TMP Paste'!$F223="","",IF('TMP Paste'!$M223="",$AL222,'TMP Paste'!$M223))</f>
        <v/>
      </c>
      <c r="AM223" t="str">
        <f>IF('TMP Paste'!$F223="","",IF('TMP Paste'!$N223="",$AM222,'TMP Paste'!$N223))</f>
        <v/>
      </c>
      <c r="AN223" t="str">
        <f>IF('TMP Paste'!$F223="","",IF('TMP Paste'!$O223="",$AN222,'TMP Paste'!$O223))</f>
        <v/>
      </c>
      <c r="AO223" t="str">
        <f>IF('TMP Paste'!$F223="","",IF('TMP Paste'!$P223="",$AO222,'TMP Paste'!$P223))</f>
        <v/>
      </c>
      <c r="AP223" t="str">
        <f t="shared" si="23"/>
        <v/>
      </c>
      <c r="AQ223" t="str">
        <f>IF($AS223="","",TRIM(IF(COUNTIFS(Calc!$B$2:$B$1601,ROW()-1,Calc!$C$2:$C$1601,"&lt;1")&gt;0,"Ada PO tanpa Koli - cek TMP. ","")&amp;IF(OR($AU223="",$AU223&lt;=0),"Volume kosong/0 - dimensi dikosongkan. ","")&amp;IF(AND($AU223&lt;&gt;"",$AU223&gt;=1000000),"Volume &gt;= 1.000.000 cm3 (di luar aturan) - dimensi dikosongkan. ","")&amp;IF(LEN($R223)&gt;500,"R &gt; 500 karakter.","")))</f>
        <v/>
      </c>
      <c r="AS223" t="str">
        <f>IFERROR(MATCH(ROW()-1,Calc!$J$2:$J$1601,0),"")</f>
        <v/>
      </c>
      <c r="AT223" t="str">
        <f>IFERROR(MATCH(ROW()-1,Calc!$K$2:$K$1601,0),"")</f>
        <v/>
      </c>
      <c r="AU223" t="str">
        <f>IF($AS223="","",IFERROR(INDEX('TMP Paste'!$D$2:$D$1601,$AS223)*1000000/$AB223,""))</f>
        <v/>
      </c>
    </row>
    <row r="224" spans="1:47">
      <c r="A224" t="str">
        <f>IF($AS224="","",INDEX('TMP Paste'!$B$2:$B$1601,$AS224))</f>
        <v/>
      </c>
      <c r="B224" t="str">
        <f>IF($AS224="","",Config!$B$14)</f>
        <v/>
      </c>
      <c r="C224" t="str">
        <f>IF($AS224="","",Config!$B$15)</f>
        <v/>
      </c>
      <c r="D224" t="str">
        <f>IF($AS224="","",INDEX('TMP Paste'!$B$2:$B$1601,$AS224))</f>
        <v/>
      </c>
      <c r="E224" t="str">
        <f>IF($AS224="","",Config!$B$27)</f>
        <v/>
      </c>
      <c r="F224" t="str">
        <f>IF($AS224="","",Config!$B$9)</f>
        <v/>
      </c>
      <c r="G224" t="str">
        <f>IF($AS224="","",Config!$B$10)</f>
        <v/>
      </c>
      <c r="H224" t="str">
        <f>IF($AS224="","",Config!$B$11)</f>
        <v/>
      </c>
      <c r="I224" t="str">
        <f>IF($AS224="","",Config!$B$16)</f>
        <v/>
      </c>
      <c r="J224" t="str">
        <f>IF($AS224="","",INDEX('TMP Paste'!$A$2:$A$1601,$AS224))</f>
        <v/>
      </c>
      <c r="K224" t="str">
        <f>IF($AS224="","",INDEX('TMP Paste'!$L$2:$L$1601,$AS224))</f>
        <v/>
      </c>
      <c r="L224" t="str">
        <f>IF($AS224="","",INDEX('TMP Paste'!$I$2:$I$1601,$AS224))</f>
        <v/>
      </c>
      <c r="M224" t="str">
        <f>IF($AS224="","",Config!$B$16)</f>
        <v/>
      </c>
      <c r="N224" t="str">
        <f t="shared" si="18"/>
        <v/>
      </c>
      <c r="O224" t="str">
        <f>IF($AS224="","",INDEX('TMP Paste'!$K$2:$K$1601,$AS224))</f>
        <v/>
      </c>
      <c r="P224" t="str">
        <f t="shared" si="19"/>
        <v/>
      </c>
      <c r="Q224" t="str">
        <f>IF($AS224="","",INDEX('TMP Paste'!$J$2:$J$1601,$AS224))</f>
        <v/>
      </c>
      <c r="R224" t="str">
        <f>IF($AS224="","",Config!$B$24)</f>
        <v/>
      </c>
      <c r="S224" t="str">
        <f ca="1">IF($AS224="","",TEXT(Config!$B$4,"yyyy-mm-dd"))</f>
        <v/>
      </c>
      <c r="T224" t="str">
        <f>IF($AS224="","",Config!$B$17)</f>
        <v/>
      </c>
      <c r="U224" t="str">
        <f>IF($AS224="","",Config!$B$18)</f>
        <v/>
      </c>
      <c r="V224" t="str">
        <f>IF($AS224="","",Config!$B$19)</f>
        <v/>
      </c>
      <c r="W224" t="str">
        <f>IF($AS224="","",INDEX('TMP Paste'!$C$2:$C$1601,$AS224))</f>
        <v/>
      </c>
      <c r="X224" t="str">
        <f>IF($AS224="","",Config!$B$29)</f>
        <v/>
      </c>
      <c r="Y224" t="str">
        <f>IF($AT224="","",INDEX(Calc!$I$2:$I$1601,$AT224)&amp;" - "&amp;INDEX(Calc!$D$2:$D$1601,$AT224)&amp;" koli")</f>
        <v/>
      </c>
      <c r="Z224" t="str">
        <f>IF($AS224="","",Config!$B$21)</f>
        <v/>
      </c>
      <c r="AA224" t="str">
        <f>IF($AS224="","",Config!$B$22)</f>
        <v/>
      </c>
      <c r="AB224" t="str">
        <f>IF($AT224="","",INDEX(Calc!$D$2:$D$1601,$AT224))</f>
        <v/>
      </c>
      <c r="AC224" t="str">
        <f>IF($AT224="","",INDEX(Calc!$G$2:$G$1601,$AT224))</f>
        <v/>
      </c>
      <c r="AD224" t="str">
        <f>IF($AS224="","",Config!$B$23)</f>
        <v/>
      </c>
      <c r="AE224" t="str">
        <f>IF($AS224="","",Config!$B$28)</f>
        <v/>
      </c>
      <c r="AF224" t="str">
        <f t="shared" si="20"/>
        <v/>
      </c>
      <c r="AG224" t="str">
        <f t="shared" si="21"/>
        <v/>
      </c>
      <c r="AH224" t="str">
        <f t="shared" si="22"/>
        <v/>
      </c>
      <c r="AI224" t="str">
        <f>IF($AG224="","",SUMIF($AG$2:$AG224,$AG224,$AH$2:$AH224))</f>
        <v/>
      </c>
      <c r="AJ224" t="str">
        <f>IF('TMP Paste'!$F224="","",IF('TMP Paste'!$B224="",$AJ223,'TMP Paste'!$B224))</f>
        <v/>
      </c>
      <c r="AK224" t="str">
        <f>IF('TMP Paste'!$F224="","",N('TMP Paste'!$G224))</f>
        <v/>
      </c>
      <c r="AL224" t="str">
        <f>IF('TMP Paste'!$F224="","",IF('TMP Paste'!$M224="",$AL223,'TMP Paste'!$M224))</f>
        <v/>
      </c>
      <c r="AM224" t="str">
        <f>IF('TMP Paste'!$F224="","",IF('TMP Paste'!$N224="",$AM223,'TMP Paste'!$N224))</f>
        <v/>
      </c>
      <c r="AN224" t="str">
        <f>IF('TMP Paste'!$F224="","",IF('TMP Paste'!$O224="",$AN223,'TMP Paste'!$O224))</f>
        <v/>
      </c>
      <c r="AO224" t="str">
        <f>IF('TMP Paste'!$F224="","",IF('TMP Paste'!$P224="",$AO223,'TMP Paste'!$P224))</f>
        <v/>
      </c>
      <c r="AP224" t="str">
        <f t="shared" si="23"/>
        <v/>
      </c>
      <c r="AQ224" t="str">
        <f>IF($AS224="","",TRIM(IF(COUNTIFS(Calc!$B$2:$B$1601,ROW()-1,Calc!$C$2:$C$1601,"&lt;1")&gt;0,"Ada PO tanpa Koli - cek TMP. ","")&amp;IF(OR($AU224="",$AU224&lt;=0),"Volume kosong/0 - dimensi dikosongkan. ","")&amp;IF(AND($AU224&lt;&gt;"",$AU224&gt;=1000000),"Volume &gt;= 1.000.000 cm3 (di luar aturan) - dimensi dikosongkan. ","")&amp;IF(LEN($R224)&gt;500,"R &gt; 500 karakter.","")))</f>
        <v/>
      </c>
      <c r="AS224" t="str">
        <f>IFERROR(MATCH(ROW()-1,Calc!$J$2:$J$1601,0),"")</f>
        <v/>
      </c>
      <c r="AT224" t="str">
        <f>IFERROR(MATCH(ROW()-1,Calc!$K$2:$K$1601,0),"")</f>
        <v/>
      </c>
      <c r="AU224" t="str">
        <f>IF($AS224="","",IFERROR(INDEX('TMP Paste'!$D$2:$D$1601,$AS224)*1000000/$AB224,""))</f>
        <v/>
      </c>
    </row>
    <row r="225" spans="1:47">
      <c r="A225" t="str">
        <f>IF($AS225="","",INDEX('TMP Paste'!$B$2:$B$1601,$AS225))</f>
        <v/>
      </c>
      <c r="B225" t="str">
        <f>IF($AS225="","",Config!$B$14)</f>
        <v/>
      </c>
      <c r="C225" t="str">
        <f>IF($AS225="","",Config!$B$15)</f>
        <v/>
      </c>
      <c r="D225" t="str">
        <f>IF($AS225="","",INDEX('TMP Paste'!$B$2:$B$1601,$AS225))</f>
        <v/>
      </c>
      <c r="E225" t="str">
        <f>IF($AS225="","",Config!$B$27)</f>
        <v/>
      </c>
      <c r="F225" t="str">
        <f>IF($AS225="","",Config!$B$9)</f>
        <v/>
      </c>
      <c r="G225" t="str">
        <f>IF($AS225="","",Config!$B$10)</f>
        <v/>
      </c>
      <c r="H225" t="str">
        <f>IF($AS225="","",Config!$B$11)</f>
        <v/>
      </c>
      <c r="I225" t="str">
        <f>IF($AS225="","",Config!$B$16)</f>
        <v/>
      </c>
      <c r="J225" t="str">
        <f>IF($AS225="","",INDEX('TMP Paste'!$A$2:$A$1601,$AS225))</f>
        <v/>
      </c>
      <c r="K225" t="str">
        <f>IF($AS225="","",INDEX('TMP Paste'!$L$2:$L$1601,$AS225))</f>
        <v/>
      </c>
      <c r="L225" t="str">
        <f>IF($AS225="","",INDEX('TMP Paste'!$I$2:$I$1601,$AS225))</f>
        <v/>
      </c>
      <c r="M225" t="str">
        <f>IF($AS225="","",Config!$B$16)</f>
        <v/>
      </c>
      <c r="N225" t="str">
        <f t="shared" si="18"/>
        <v/>
      </c>
      <c r="O225" t="str">
        <f>IF($AS225="","",INDEX('TMP Paste'!$K$2:$K$1601,$AS225))</f>
        <v/>
      </c>
      <c r="P225" t="str">
        <f t="shared" si="19"/>
        <v/>
      </c>
      <c r="Q225" t="str">
        <f>IF($AS225="","",INDEX('TMP Paste'!$J$2:$J$1601,$AS225))</f>
        <v/>
      </c>
      <c r="R225" t="str">
        <f>IF($AS225="","",Config!$B$24)</f>
        <v/>
      </c>
      <c r="S225" t="str">
        <f ca="1">IF($AS225="","",TEXT(Config!$B$4,"yyyy-mm-dd"))</f>
        <v/>
      </c>
      <c r="T225" t="str">
        <f>IF($AS225="","",Config!$B$17)</f>
        <v/>
      </c>
      <c r="U225" t="str">
        <f>IF($AS225="","",Config!$B$18)</f>
        <v/>
      </c>
      <c r="V225" t="str">
        <f>IF($AS225="","",Config!$B$19)</f>
        <v/>
      </c>
      <c r="W225" t="str">
        <f>IF($AS225="","",INDEX('TMP Paste'!$C$2:$C$1601,$AS225))</f>
        <v/>
      </c>
      <c r="X225" t="str">
        <f>IF($AS225="","",Config!$B$29)</f>
        <v/>
      </c>
      <c r="Y225" t="str">
        <f>IF($AT225="","",INDEX(Calc!$I$2:$I$1601,$AT225)&amp;" - "&amp;INDEX(Calc!$D$2:$D$1601,$AT225)&amp;" koli")</f>
        <v/>
      </c>
      <c r="Z225" t="str">
        <f>IF($AS225="","",Config!$B$21)</f>
        <v/>
      </c>
      <c r="AA225" t="str">
        <f>IF($AS225="","",Config!$B$22)</f>
        <v/>
      </c>
      <c r="AB225" t="str">
        <f>IF($AT225="","",INDEX(Calc!$D$2:$D$1601,$AT225))</f>
        <v/>
      </c>
      <c r="AC225" t="str">
        <f>IF($AT225="","",INDEX(Calc!$G$2:$G$1601,$AT225))</f>
        <v/>
      </c>
      <c r="AD225" t="str">
        <f>IF($AS225="","",Config!$B$23)</f>
        <v/>
      </c>
      <c r="AE225" t="str">
        <f>IF($AS225="","",Config!$B$28)</f>
        <v/>
      </c>
      <c r="AF225" t="str">
        <f t="shared" si="20"/>
        <v/>
      </c>
      <c r="AG225" t="str">
        <f t="shared" si="21"/>
        <v/>
      </c>
      <c r="AH225" t="str">
        <f t="shared" si="22"/>
        <v/>
      </c>
      <c r="AI225" t="str">
        <f>IF($AG225="","",SUMIF($AG$2:$AG225,$AG225,$AH$2:$AH225))</f>
        <v/>
      </c>
      <c r="AJ225" t="str">
        <f>IF('TMP Paste'!$F225="","",IF('TMP Paste'!$B225="",$AJ224,'TMP Paste'!$B225))</f>
        <v/>
      </c>
      <c r="AK225" t="str">
        <f>IF('TMP Paste'!$F225="","",N('TMP Paste'!$G225))</f>
        <v/>
      </c>
      <c r="AL225" t="str">
        <f>IF('TMP Paste'!$F225="","",IF('TMP Paste'!$M225="",$AL224,'TMP Paste'!$M225))</f>
        <v/>
      </c>
      <c r="AM225" t="str">
        <f>IF('TMP Paste'!$F225="","",IF('TMP Paste'!$N225="",$AM224,'TMP Paste'!$N225))</f>
        <v/>
      </c>
      <c r="AN225" t="str">
        <f>IF('TMP Paste'!$F225="","",IF('TMP Paste'!$O225="",$AN224,'TMP Paste'!$O225))</f>
        <v/>
      </c>
      <c r="AO225" t="str">
        <f>IF('TMP Paste'!$F225="","",IF('TMP Paste'!$P225="",$AO224,'TMP Paste'!$P225))</f>
        <v/>
      </c>
      <c r="AP225" t="str">
        <f t="shared" si="23"/>
        <v/>
      </c>
      <c r="AQ225" t="str">
        <f>IF($AS225="","",TRIM(IF(COUNTIFS(Calc!$B$2:$B$1601,ROW()-1,Calc!$C$2:$C$1601,"&lt;1")&gt;0,"Ada PO tanpa Koli - cek TMP. ","")&amp;IF(OR($AU225="",$AU225&lt;=0),"Volume kosong/0 - dimensi dikosongkan. ","")&amp;IF(AND($AU225&lt;&gt;"",$AU225&gt;=1000000),"Volume &gt;= 1.000.000 cm3 (di luar aturan) - dimensi dikosongkan. ","")&amp;IF(LEN($R225)&gt;500,"R &gt; 500 karakter.","")))</f>
        <v/>
      </c>
      <c r="AS225" t="str">
        <f>IFERROR(MATCH(ROW()-1,Calc!$J$2:$J$1601,0),"")</f>
        <v/>
      </c>
      <c r="AT225" t="str">
        <f>IFERROR(MATCH(ROW()-1,Calc!$K$2:$K$1601,0),"")</f>
        <v/>
      </c>
      <c r="AU225" t="str">
        <f>IF($AS225="","",IFERROR(INDEX('TMP Paste'!$D$2:$D$1601,$AS225)*1000000/$AB225,""))</f>
        <v/>
      </c>
    </row>
    <row r="226" spans="1:47">
      <c r="A226" t="str">
        <f>IF($AS226="","",INDEX('TMP Paste'!$B$2:$B$1601,$AS226))</f>
        <v/>
      </c>
      <c r="B226" t="str">
        <f>IF($AS226="","",Config!$B$14)</f>
        <v/>
      </c>
      <c r="C226" t="str">
        <f>IF($AS226="","",Config!$B$15)</f>
        <v/>
      </c>
      <c r="D226" t="str">
        <f>IF($AS226="","",INDEX('TMP Paste'!$B$2:$B$1601,$AS226))</f>
        <v/>
      </c>
      <c r="E226" t="str">
        <f>IF($AS226="","",Config!$B$27)</f>
        <v/>
      </c>
      <c r="F226" t="str">
        <f>IF($AS226="","",Config!$B$9)</f>
        <v/>
      </c>
      <c r="G226" t="str">
        <f>IF($AS226="","",Config!$B$10)</f>
        <v/>
      </c>
      <c r="H226" t="str">
        <f>IF($AS226="","",Config!$B$11)</f>
        <v/>
      </c>
      <c r="I226" t="str">
        <f>IF($AS226="","",Config!$B$16)</f>
        <v/>
      </c>
      <c r="J226" t="str">
        <f>IF($AS226="","",INDEX('TMP Paste'!$A$2:$A$1601,$AS226))</f>
        <v/>
      </c>
      <c r="K226" t="str">
        <f>IF($AS226="","",INDEX('TMP Paste'!$L$2:$L$1601,$AS226))</f>
        <v/>
      </c>
      <c r="L226" t="str">
        <f>IF($AS226="","",INDEX('TMP Paste'!$I$2:$I$1601,$AS226))</f>
        <v/>
      </c>
      <c r="M226" t="str">
        <f>IF($AS226="","",Config!$B$16)</f>
        <v/>
      </c>
      <c r="N226" t="str">
        <f t="shared" si="18"/>
        <v/>
      </c>
      <c r="O226" t="str">
        <f>IF($AS226="","",INDEX('TMP Paste'!$K$2:$K$1601,$AS226))</f>
        <v/>
      </c>
      <c r="P226" t="str">
        <f t="shared" si="19"/>
        <v/>
      </c>
      <c r="Q226" t="str">
        <f>IF($AS226="","",INDEX('TMP Paste'!$J$2:$J$1601,$AS226))</f>
        <v/>
      </c>
      <c r="R226" t="str">
        <f>IF($AS226="","",Config!$B$24)</f>
        <v/>
      </c>
      <c r="S226" t="str">
        <f ca="1">IF($AS226="","",TEXT(Config!$B$4,"yyyy-mm-dd"))</f>
        <v/>
      </c>
      <c r="T226" t="str">
        <f>IF($AS226="","",Config!$B$17)</f>
        <v/>
      </c>
      <c r="U226" t="str">
        <f>IF($AS226="","",Config!$B$18)</f>
        <v/>
      </c>
      <c r="V226" t="str">
        <f>IF($AS226="","",Config!$B$19)</f>
        <v/>
      </c>
      <c r="W226" t="str">
        <f>IF($AS226="","",INDEX('TMP Paste'!$C$2:$C$1601,$AS226))</f>
        <v/>
      </c>
      <c r="X226" t="str">
        <f>IF($AS226="","",Config!$B$29)</f>
        <v/>
      </c>
      <c r="Y226" t="str">
        <f>IF($AT226="","",INDEX(Calc!$I$2:$I$1601,$AT226)&amp;" - "&amp;INDEX(Calc!$D$2:$D$1601,$AT226)&amp;" koli")</f>
        <v/>
      </c>
      <c r="Z226" t="str">
        <f>IF($AS226="","",Config!$B$21)</f>
        <v/>
      </c>
      <c r="AA226" t="str">
        <f>IF($AS226="","",Config!$B$22)</f>
        <v/>
      </c>
      <c r="AB226" t="str">
        <f>IF($AT226="","",INDEX(Calc!$D$2:$D$1601,$AT226))</f>
        <v/>
      </c>
      <c r="AC226" t="str">
        <f>IF($AT226="","",INDEX(Calc!$G$2:$G$1601,$AT226))</f>
        <v/>
      </c>
      <c r="AD226" t="str">
        <f>IF($AS226="","",Config!$B$23)</f>
        <v/>
      </c>
      <c r="AE226" t="str">
        <f>IF($AS226="","",Config!$B$28)</f>
        <v/>
      </c>
      <c r="AF226" t="str">
        <f t="shared" si="20"/>
        <v/>
      </c>
      <c r="AG226" t="str">
        <f t="shared" si="21"/>
        <v/>
      </c>
      <c r="AH226" t="str">
        <f t="shared" si="22"/>
        <v/>
      </c>
      <c r="AI226" t="str">
        <f>IF($AG226="","",SUMIF($AG$2:$AG226,$AG226,$AH$2:$AH226))</f>
        <v/>
      </c>
      <c r="AJ226" t="str">
        <f>IF('TMP Paste'!$F226="","",IF('TMP Paste'!$B226="",$AJ225,'TMP Paste'!$B226))</f>
        <v/>
      </c>
      <c r="AK226" t="str">
        <f>IF('TMP Paste'!$F226="","",N('TMP Paste'!$G226))</f>
        <v/>
      </c>
      <c r="AL226" t="str">
        <f>IF('TMP Paste'!$F226="","",IF('TMP Paste'!$M226="",$AL225,'TMP Paste'!$M226))</f>
        <v/>
      </c>
      <c r="AM226" t="str">
        <f>IF('TMP Paste'!$F226="","",IF('TMP Paste'!$N226="",$AM225,'TMP Paste'!$N226))</f>
        <v/>
      </c>
      <c r="AN226" t="str">
        <f>IF('TMP Paste'!$F226="","",IF('TMP Paste'!$O226="",$AN225,'TMP Paste'!$O226))</f>
        <v/>
      </c>
      <c r="AO226" t="str">
        <f>IF('TMP Paste'!$F226="","",IF('TMP Paste'!$P226="",$AO225,'TMP Paste'!$P226))</f>
        <v/>
      </c>
      <c r="AP226" t="str">
        <f t="shared" si="23"/>
        <v/>
      </c>
      <c r="AQ226" t="str">
        <f>IF($AS226="","",TRIM(IF(COUNTIFS(Calc!$B$2:$B$1601,ROW()-1,Calc!$C$2:$C$1601,"&lt;1")&gt;0,"Ada PO tanpa Koli - cek TMP. ","")&amp;IF(OR($AU226="",$AU226&lt;=0),"Volume kosong/0 - dimensi dikosongkan. ","")&amp;IF(AND($AU226&lt;&gt;"",$AU226&gt;=1000000),"Volume &gt;= 1.000.000 cm3 (di luar aturan) - dimensi dikosongkan. ","")&amp;IF(LEN($R226)&gt;500,"R &gt; 500 karakter.","")))</f>
        <v/>
      </c>
      <c r="AS226" t="str">
        <f>IFERROR(MATCH(ROW()-1,Calc!$J$2:$J$1601,0),"")</f>
        <v/>
      </c>
      <c r="AT226" t="str">
        <f>IFERROR(MATCH(ROW()-1,Calc!$K$2:$K$1601,0),"")</f>
        <v/>
      </c>
      <c r="AU226" t="str">
        <f>IF($AS226="","",IFERROR(INDEX('TMP Paste'!$D$2:$D$1601,$AS226)*1000000/$AB226,""))</f>
        <v/>
      </c>
    </row>
    <row r="227" spans="1:47">
      <c r="A227" t="str">
        <f>IF($AS227="","",INDEX('TMP Paste'!$B$2:$B$1601,$AS227))</f>
        <v/>
      </c>
      <c r="B227" t="str">
        <f>IF($AS227="","",Config!$B$14)</f>
        <v/>
      </c>
      <c r="C227" t="str">
        <f>IF($AS227="","",Config!$B$15)</f>
        <v/>
      </c>
      <c r="D227" t="str">
        <f>IF($AS227="","",INDEX('TMP Paste'!$B$2:$B$1601,$AS227))</f>
        <v/>
      </c>
      <c r="E227" t="str">
        <f>IF($AS227="","",Config!$B$27)</f>
        <v/>
      </c>
      <c r="F227" t="str">
        <f>IF($AS227="","",Config!$B$9)</f>
        <v/>
      </c>
      <c r="G227" t="str">
        <f>IF($AS227="","",Config!$B$10)</f>
        <v/>
      </c>
      <c r="H227" t="str">
        <f>IF($AS227="","",Config!$B$11)</f>
        <v/>
      </c>
      <c r="I227" t="str">
        <f>IF($AS227="","",Config!$B$16)</f>
        <v/>
      </c>
      <c r="J227" t="str">
        <f>IF($AS227="","",INDEX('TMP Paste'!$A$2:$A$1601,$AS227))</f>
        <v/>
      </c>
      <c r="K227" t="str">
        <f>IF($AS227="","",INDEX('TMP Paste'!$L$2:$L$1601,$AS227))</f>
        <v/>
      </c>
      <c r="L227" t="str">
        <f>IF($AS227="","",INDEX('TMP Paste'!$I$2:$I$1601,$AS227))</f>
        <v/>
      </c>
      <c r="M227" t="str">
        <f>IF($AS227="","",Config!$B$16)</f>
        <v/>
      </c>
      <c r="N227" t="str">
        <f t="shared" si="18"/>
        <v/>
      </c>
      <c r="O227" t="str">
        <f>IF($AS227="","",INDEX('TMP Paste'!$K$2:$K$1601,$AS227))</f>
        <v/>
      </c>
      <c r="P227" t="str">
        <f t="shared" si="19"/>
        <v/>
      </c>
      <c r="Q227" t="str">
        <f>IF($AS227="","",INDEX('TMP Paste'!$J$2:$J$1601,$AS227))</f>
        <v/>
      </c>
      <c r="R227" t="str">
        <f>IF($AS227="","",Config!$B$24)</f>
        <v/>
      </c>
      <c r="S227" t="str">
        <f ca="1">IF($AS227="","",TEXT(Config!$B$4,"yyyy-mm-dd"))</f>
        <v/>
      </c>
      <c r="T227" t="str">
        <f>IF($AS227="","",Config!$B$17)</f>
        <v/>
      </c>
      <c r="U227" t="str">
        <f>IF($AS227="","",Config!$B$18)</f>
        <v/>
      </c>
      <c r="V227" t="str">
        <f>IF($AS227="","",Config!$B$19)</f>
        <v/>
      </c>
      <c r="W227" t="str">
        <f>IF($AS227="","",INDEX('TMP Paste'!$C$2:$C$1601,$AS227))</f>
        <v/>
      </c>
      <c r="X227" t="str">
        <f>IF($AS227="","",Config!$B$29)</f>
        <v/>
      </c>
      <c r="Y227" t="str">
        <f>IF($AT227="","",INDEX(Calc!$I$2:$I$1601,$AT227)&amp;" - "&amp;INDEX(Calc!$D$2:$D$1601,$AT227)&amp;" koli")</f>
        <v/>
      </c>
      <c r="Z227" t="str">
        <f>IF($AS227="","",Config!$B$21)</f>
        <v/>
      </c>
      <c r="AA227" t="str">
        <f>IF($AS227="","",Config!$B$22)</f>
        <v/>
      </c>
      <c r="AB227" t="str">
        <f>IF($AT227="","",INDEX(Calc!$D$2:$D$1601,$AT227))</f>
        <v/>
      </c>
      <c r="AC227" t="str">
        <f>IF($AT227="","",INDEX(Calc!$G$2:$G$1601,$AT227))</f>
        <v/>
      </c>
      <c r="AD227" t="str">
        <f>IF($AS227="","",Config!$B$23)</f>
        <v/>
      </c>
      <c r="AE227" t="str">
        <f>IF($AS227="","",Config!$B$28)</f>
        <v/>
      </c>
      <c r="AF227" t="str">
        <f t="shared" si="20"/>
        <v/>
      </c>
      <c r="AG227" t="str">
        <f t="shared" si="21"/>
        <v/>
      </c>
      <c r="AH227" t="str">
        <f t="shared" si="22"/>
        <v/>
      </c>
      <c r="AI227" t="str">
        <f>IF($AG227="","",SUMIF($AG$2:$AG227,$AG227,$AH$2:$AH227))</f>
        <v/>
      </c>
      <c r="AJ227" t="str">
        <f>IF('TMP Paste'!$F227="","",IF('TMP Paste'!$B227="",$AJ226,'TMP Paste'!$B227))</f>
        <v/>
      </c>
      <c r="AK227" t="str">
        <f>IF('TMP Paste'!$F227="","",N('TMP Paste'!$G227))</f>
        <v/>
      </c>
      <c r="AL227" t="str">
        <f>IF('TMP Paste'!$F227="","",IF('TMP Paste'!$M227="",$AL226,'TMP Paste'!$M227))</f>
        <v/>
      </c>
      <c r="AM227" t="str">
        <f>IF('TMP Paste'!$F227="","",IF('TMP Paste'!$N227="",$AM226,'TMP Paste'!$N227))</f>
        <v/>
      </c>
      <c r="AN227" t="str">
        <f>IF('TMP Paste'!$F227="","",IF('TMP Paste'!$O227="",$AN226,'TMP Paste'!$O227))</f>
        <v/>
      </c>
      <c r="AO227" t="str">
        <f>IF('TMP Paste'!$F227="","",IF('TMP Paste'!$P227="",$AO226,'TMP Paste'!$P227))</f>
        <v/>
      </c>
      <c r="AP227" t="str">
        <f t="shared" si="23"/>
        <v/>
      </c>
      <c r="AQ227" t="str">
        <f>IF($AS227="","",TRIM(IF(COUNTIFS(Calc!$B$2:$B$1601,ROW()-1,Calc!$C$2:$C$1601,"&lt;1")&gt;0,"Ada PO tanpa Koli - cek TMP. ","")&amp;IF(OR($AU227="",$AU227&lt;=0),"Volume kosong/0 - dimensi dikosongkan. ","")&amp;IF(AND($AU227&lt;&gt;"",$AU227&gt;=1000000),"Volume &gt;= 1.000.000 cm3 (di luar aturan) - dimensi dikosongkan. ","")&amp;IF(LEN($R227)&gt;500,"R &gt; 500 karakter.","")))</f>
        <v/>
      </c>
      <c r="AS227" t="str">
        <f>IFERROR(MATCH(ROW()-1,Calc!$J$2:$J$1601,0),"")</f>
        <v/>
      </c>
      <c r="AT227" t="str">
        <f>IFERROR(MATCH(ROW()-1,Calc!$K$2:$K$1601,0),"")</f>
        <v/>
      </c>
      <c r="AU227" t="str">
        <f>IF($AS227="","",IFERROR(INDEX('TMP Paste'!$D$2:$D$1601,$AS227)*1000000/$AB227,""))</f>
        <v/>
      </c>
    </row>
    <row r="228" spans="1:47">
      <c r="A228" t="str">
        <f>IF($AS228="","",INDEX('TMP Paste'!$B$2:$B$1601,$AS228))</f>
        <v/>
      </c>
      <c r="B228" t="str">
        <f>IF($AS228="","",Config!$B$14)</f>
        <v/>
      </c>
      <c r="C228" t="str">
        <f>IF($AS228="","",Config!$B$15)</f>
        <v/>
      </c>
      <c r="D228" t="str">
        <f>IF($AS228="","",INDEX('TMP Paste'!$B$2:$B$1601,$AS228))</f>
        <v/>
      </c>
      <c r="E228" t="str">
        <f>IF($AS228="","",Config!$B$27)</f>
        <v/>
      </c>
      <c r="F228" t="str">
        <f>IF($AS228="","",Config!$B$9)</f>
        <v/>
      </c>
      <c r="G228" t="str">
        <f>IF($AS228="","",Config!$B$10)</f>
        <v/>
      </c>
      <c r="H228" t="str">
        <f>IF($AS228="","",Config!$B$11)</f>
        <v/>
      </c>
      <c r="I228" t="str">
        <f>IF($AS228="","",Config!$B$16)</f>
        <v/>
      </c>
      <c r="J228" t="str">
        <f>IF($AS228="","",INDEX('TMP Paste'!$A$2:$A$1601,$AS228))</f>
        <v/>
      </c>
      <c r="K228" t="str">
        <f>IF($AS228="","",INDEX('TMP Paste'!$L$2:$L$1601,$AS228))</f>
        <v/>
      </c>
      <c r="L228" t="str">
        <f>IF($AS228="","",INDEX('TMP Paste'!$I$2:$I$1601,$AS228))</f>
        <v/>
      </c>
      <c r="M228" t="str">
        <f>IF($AS228="","",Config!$B$16)</f>
        <v/>
      </c>
      <c r="N228" t="str">
        <f t="shared" si="18"/>
        <v/>
      </c>
      <c r="O228" t="str">
        <f>IF($AS228="","",INDEX('TMP Paste'!$K$2:$K$1601,$AS228))</f>
        <v/>
      </c>
      <c r="P228" t="str">
        <f t="shared" si="19"/>
        <v/>
      </c>
      <c r="Q228" t="str">
        <f>IF($AS228="","",INDEX('TMP Paste'!$J$2:$J$1601,$AS228))</f>
        <v/>
      </c>
      <c r="R228" t="str">
        <f>IF($AS228="","",Config!$B$24)</f>
        <v/>
      </c>
      <c r="S228" t="str">
        <f ca="1">IF($AS228="","",TEXT(Config!$B$4,"yyyy-mm-dd"))</f>
        <v/>
      </c>
      <c r="T228" t="str">
        <f>IF($AS228="","",Config!$B$17)</f>
        <v/>
      </c>
      <c r="U228" t="str">
        <f>IF($AS228="","",Config!$B$18)</f>
        <v/>
      </c>
      <c r="V228" t="str">
        <f>IF($AS228="","",Config!$B$19)</f>
        <v/>
      </c>
      <c r="W228" t="str">
        <f>IF($AS228="","",INDEX('TMP Paste'!$C$2:$C$1601,$AS228))</f>
        <v/>
      </c>
      <c r="X228" t="str">
        <f>IF($AS228="","",Config!$B$29)</f>
        <v/>
      </c>
      <c r="Y228" t="str">
        <f>IF($AT228="","",INDEX(Calc!$I$2:$I$1601,$AT228)&amp;" - "&amp;INDEX(Calc!$D$2:$D$1601,$AT228)&amp;" koli")</f>
        <v/>
      </c>
      <c r="Z228" t="str">
        <f>IF($AS228="","",Config!$B$21)</f>
        <v/>
      </c>
      <c r="AA228" t="str">
        <f>IF($AS228="","",Config!$B$22)</f>
        <v/>
      </c>
      <c r="AB228" t="str">
        <f>IF($AT228="","",INDEX(Calc!$D$2:$D$1601,$AT228))</f>
        <v/>
      </c>
      <c r="AC228" t="str">
        <f>IF($AT228="","",INDEX(Calc!$G$2:$G$1601,$AT228))</f>
        <v/>
      </c>
      <c r="AD228" t="str">
        <f>IF($AS228="","",Config!$B$23)</f>
        <v/>
      </c>
      <c r="AE228" t="str">
        <f>IF($AS228="","",Config!$B$28)</f>
        <v/>
      </c>
      <c r="AF228" t="str">
        <f t="shared" si="20"/>
        <v/>
      </c>
      <c r="AG228" t="str">
        <f t="shared" si="21"/>
        <v/>
      </c>
      <c r="AH228" t="str">
        <f t="shared" si="22"/>
        <v/>
      </c>
      <c r="AI228" t="str">
        <f>IF($AG228="","",SUMIF($AG$2:$AG228,$AG228,$AH$2:$AH228))</f>
        <v/>
      </c>
      <c r="AJ228" t="str">
        <f>IF('TMP Paste'!$F228="","",IF('TMP Paste'!$B228="",$AJ227,'TMP Paste'!$B228))</f>
        <v/>
      </c>
      <c r="AK228" t="str">
        <f>IF('TMP Paste'!$F228="","",N('TMP Paste'!$G228))</f>
        <v/>
      </c>
      <c r="AL228" t="str">
        <f>IF('TMP Paste'!$F228="","",IF('TMP Paste'!$M228="",$AL227,'TMP Paste'!$M228))</f>
        <v/>
      </c>
      <c r="AM228" t="str">
        <f>IF('TMP Paste'!$F228="","",IF('TMP Paste'!$N228="",$AM227,'TMP Paste'!$N228))</f>
        <v/>
      </c>
      <c r="AN228" t="str">
        <f>IF('TMP Paste'!$F228="","",IF('TMP Paste'!$O228="",$AN227,'TMP Paste'!$O228))</f>
        <v/>
      </c>
      <c r="AO228" t="str">
        <f>IF('TMP Paste'!$F228="","",IF('TMP Paste'!$P228="",$AO227,'TMP Paste'!$P228))</f>
        <v/>
      </c>
      <c r="AP228" t="str">
        <f t="shared" si="23"/>
        <v/>
      </c>
      <c r="AQ228" t="str">
        <f>IF($AS228="","",TRIM(IF(COUNTIFS(Calc!$B$2:$B$1601,ROW()-1,Calc!$C$2:$C$1601,"&lt;1")&gt;0,"Ada PO tanpa Koli - cek TMP. ","")&amp;IF(OR($AU228="",$AU228&lt;=0),"Volume kosong/0 - dimensi dikosongkan. ","")&amp;IF(AND($AU228&lt;&gt;"",$AU228&gt;=1000000),"Volume &gt;= 1.000.000 cm3 (di luar aturan) - dimensi dikosongkan. ","")&amp;IF(LEN($R228)&gt;500,"R &gt; 500 karakter.","")))</f>
        <v/>
      </c>
      <c r="AS228" t="str">
        <f>IFERROR(MATCH(ROW()-1,Calc!$J$2:$J$1601,0),"")</f>
        <v/>
      </c>
      <c r="AT228" t="str">
        <f>IFERROR(MATCH(ROW()-1,Calc!$K$2:$K$1601,0),"")</f>
        <v/>
      </c>
      <c r="AU228" t="str">
        <f>IF($AS228="","",IFERROR(INDEX('TMP Paste'!$D$2:$D$1601,$AS228)*1000000/$AB228,""))</f>
        <v/>
      </c>
    </row>
    <row r="229" spans="1:47">
      <c r="A229" t="str">
        <f>IF($AS229="","",INDEX('TMP Paste'!$B$2:$B$1601,$AS229))</f>
        <v/>
      </c>
      <c r="B229" t="str">
        <f>IF($AS229="","",Config!$B$14)</f>
        <v/>
      </c>
      <c r="C229" t="str">
        <f>IF($AS229="","",Config!$B$15)</f>
        <v/>
      </c>
      <c r="D229" t="str">
        <f>IF($AS229="","",INDEX('TMP Paste'!$B$2:$B$1601,$AS229))</f>
        <v/>
      </c>
      <c r="E229" t="str">
        <f>IF($AS229="","",Config!$B$27)</f>
        <v/>
      </c>
      <c r="F229" t="str">
        <f>IF($AS229="","",Config!$B$9)</f>
        <v/>
      </c>
      <c r="G229" t="str">
        <f>IF($AS229="","",Config!$B$10)</f>
        <v/>
      </c>
      <c r="H229" t="str">
        <f>IF($AS229="","",Config!$B$11)</f>
        <v/>
      </c>
      <c r="I229" t="str">
        <f>IF($AS229="","",Config!$B$16)</f>
        <v/>
      </c>
      <c r="J229" t="str">
        <f>IF($AS229="","",INDEX('TMP Paste'!$A$2:$A$1601,$AS229))</f>
        <v/>
      </c>
      <c r="K229" t="str">
        <f>IF($AS229="","",INDEX('TMP Paste'!$L$2:$L$1601,$AS229))</f>
        <v/>
      </c>
      <c r="L229" t="str">
        <f>IF($AS229="","",INDEX('TMP Paste'!$I$2:$I$1601,$AS229))</f>
        <v/>
      </c>
      <c r="M229" t="str">
        <f>IF($AS229="","",Config!$B$16)</f>
        <v/>
      </c>
      <c r="N229" t="str">
        <f t="shared" si="18"/>
        <v/>
      </c>
      <c r="O229" t="str">
        <f>IF($AS229="","",INDEX('TMP Paste'!$K$2:$K$1601,$AS229))</f>
        <v/>
      </c>
      <c r="P229" t="str">
        <f t="shared" si="19"/>
        <v/>
      </c>
      <c r="Q229" t="str">
        <f>IF($AS229="","",INDEX('TMP Paste'!$J$2:$J$1601,$AS229))</f>
        <v/>
      </c>
      <c r="R229" t="str">
        <f>IF($AS229="","",Config!$B$24)</f>
        <v/>
      </c>
      <c r="S229" t="str">
        <f ca="1">IF($AS229="","",TEXT(Config!$B$4,"yyyy-mm-dd"))</f>
        <v/>
      </c>
      <c r="T229" t="str">
        <f>IF($AS229="","",Config!$B$17)</f>
        <v/>
      </c>
      <c r="U229" t="str">
        <f>IF($AS229="","",Config!$B$18)</f>
        <v/>
      </c>
      <c r="V229" t="str">
        <f>IF($AS229="","",Config!$B$19)</f>
        <v/>
      </c>
      <c r="W229" t="str">
        <f>IF($AS229="","",INDEX('TMP Paste'!$C$2:$C$1601,$AS229))</f>
        <v/>
      </c>
      <c r="X229" t="str">
        <f>IF($AS229="","",Config!$B$29)</f>
        <v/>
      </c>
      <c r="Y229" t="str">
        <f>IF($AT229="","",INDEX(Calc!$I$2:$I$1601,$AT229)&amp;" - "&amp;INDEX(Calc!$D$2:$D$1601,$AT229)&amp;" koli")</f>
        <v/>
      </c>
      <c r="Z229" t="str">
        <f>IF($AS229="","",Config!$B$21)</f>
        <v/>
      </c>
      <c r="AA229" t="str">
        <f>IF($AS229="","",Config!$B$22)</f>
        <v/>
      </c>
      <c r="AB229" t="str">
        <f>IF($AT229="","",INDEX(Calc!$D$2:$D$1601,$AT229))</f>
        <v/>
      </c>
      <c r="AC229" t="str">
        <f>IF($AT229="","",INDEX(Calc!$G$2:$G$1601,$AT229))</f>
        <v/>
      </c>
      <c r="AD229" t="str">
        <f>IF($AS229="","",Config!$B$23)</f>
        <v/>
      </c>
      <c r="AE229" t="str">
        <f>IF($AS229="","",Config!$B$28)</f>
        <v/>
      </c>
      <c r="AF229" t="str">
        <f t="shared" si="20"/>
        <v/>
      </c>
      <c r="AG229" t="str">
        <f t="shared" si="21"/>
        <v/>
      </c>
      <c r="AH229" t="str">
        <f t="shared" si="22"/>
        <v/>
      </c>
      <c r="AI229" t="str">
        <f>IF($AG229="","",SUMIF($AG$2:$AG229,$AG229,$AH$2:$AH229))</f>
        <v/>
      </c>
      <c r="AJ229" t="str">
        <f>IF('TMP Paste'!$F229="","",IF('TMP Paste'!$B229="",$AJ228,'TMP Paste'!$B229))</f>
        <v/>
      </c>
      <c r="AK229" t="str">
        <f>IF('TMP Paste'!$F229="","",N('TMP Paste'!$G229))</f>
        <v/>
      </c>
      <c r="AL229" t="str">
        <f>IF('TMP Paste'!$F229="","",IF('TMP Paste'!$M229="",$AL228,'TMP Paste'!$M229))</f>
        <v/>
      </c>
      <c r="AM229" t="str">
        <f>IF('TMP Paste'!$F229="","",IF('TMP Paste'!$N229="",$AM228,'TMP Paste'!$N229))</f>
        <v/>
      </c>
      <c r="AN229" t="str">
        <f>IF('TMP Paste'!$F229="","",IF('TMP Paste'!$O229="",$AN228,'TMP Paste'!$O229))</f>
        <v/>
      </c>
      <c r="AO229" t="str">
        <f>IF('TMP Paste'!$F229="","",IF('TMP Paste'!$P229="",$AO228,'TMP Paste'!$P229))</f>
        <v/>
      </c>
      <c r="AP229" t="str">
        <f t="shared" si="23"/>
        <v/>
      </c>
      <c r="AQ229" t="str">
        <f>IF($AS229="","",TRIM(IF(COUNTIFS(Calc!$B$2:$B$1601,ROW()-1,Calc!$C$2:$C$1601,"&lt;1")&gt;0,"Ada PO tanpa Koli - cek TMP. ","")&amp;IF(OR($AU229="",$AU229&lt;=0),"Volume kosong/0 - dimensi dikosongkan. ","")&amp;IF(AND($AU229&lt;&gt;"",$AU229&gt;=1000000),"Volume &gt;= 1.000.000 cm3 (di luar aturan) - dimensi dikosongkan. ","")&amp;IF(LEN($R229)&gt;500,"R &gt; 500 karakter.","")))</f>
        <v/>
      </c>
      <c r="AS229" t="str">
        <f>IFERROR(MATCH(ROW()-1,Calc!$J$2:$J$1601,0),"")</f>
        <v/>
      </c>
      <c r="AT229" t="str">
        <f>IFERROR(MATCH(ROW()-1,Calc!$K$2:$K$1601,0),"")</f>
        <v/>
      </c>
      <c r="AU229" t="str">
        <f>IF($AS229="","",IFERROR(INDEX('TMP Paste'!$D$2:$D$1601,$AS229)*1000000/$AB229,""))</f>
        <v/>
      </c>
    </row>
    <row r="230" spans="1:47">
      <c r="A230" t="str">
        <f>IF($AS230="","",INDEX('TMP Paste'!$B$2:$B$1601,$AS230))</f>
        <v/>
      </c>
      <c r="B230" t="str">
        <f>IF($AS230="","",Config!$B$14)</f>
        <v/>
      </c>
      <c r="C230" t="str">
        <f>IF($AS230="","",Config!$B$15)</f>
        <v/>
      </c>
      <c r="D230" t="str">
        <f>IF($AS230="","",INDEX('TMP Paste'!$B$2:$B$1601,$AS230))</f>
        <v/>
      </c>
      <c r="E230" t="str">
        <f>IF($AS230="","",Config!$B$27)</f>
        <v/>
      </c>
      <c r="F230" t="str">
        <f>IF($AS230="","",Config!$B$9)</f>
        <v/>
      </c>
      <c r="G230" t="str">
        <f>IF($AS230="","",Config!$B$10)</f>
        <v/>
      </c>
      <c r="H230" t="str">
        <f>IF($AS230="","",Config!$B$11)</f>
        <v/>
      </c>
      <c r="I230" t="str">
        <f>IF($AS230="","",Config!$B$16)</f>
        <v/>
      </c>
      <c r="J230" t="str">
        <f>IF($AS230="","",INDEX('TMP Paste'!$A$2:$A$1601,$AS230))</f>
        <v/>
      </c>
      <c r="K230" t="str">
        <f>IF($AS230="","",INDEX('TMP Paste'!$L$2:$L$1601,$AS230))</f>
        <v/>
      </c>
      <c r="L230" t="str">
        <f>IF($AS230="","",INDEX('TMP Paste'!$I$2:$I$1601,$AS230))</f>
        <v/>
      </c>
      <c r="M230" t="str">
        <f>IF($AS230="","",Config!$B$16)</f>
        <v/>
      </c>
      <c r="N230" t="str">
        <f t="shared" si="18"/>
        <v/>
      </c>
      <c r="O230" t="str">
        <f>IF($AS230="","",INDEX('TMP Paste'!$K$2:$K$1601,$AS230))</f>
        <v/>
      </c>
      <c r="P230" t="str">
        <f t="shared" si="19"/>
        <v/>
      </c>
      <c r="Q230" t="str">
        <f>IF($AS230="","",INDEX('TMP Paste'!$J$2:$J$1601,$AS230))</f>
        <v/>
      </c>
      <c r="R230" t="str">
        <f>IF($AS230="","",Config!$B$24)</f>
        <v/>
      </c>
      <c r="S230" t="str">
        <f ca="1">IF($AS230="","",TEXT(Config!$B$4,"yyyy-mm-dd"))</f>
        <v/>
      </c>
      <c r="T230" t="str">
        <f>IF($AS230="","",Config!$B$17)</f>
        <v/>
      </c>
      <c r="U230" t="str">
        <f>IF($AS230="","",Config!$B$18)</f>
        <v/>
      </c>
      <c r="V230" t="str">
        <f>IF($AS230="","",Config!$B$19)</f>
        <v/>
      </c>
      <c r="W230" t="str">
        <f>IF($AS230="","",INDEX('TMP Paste'!$C$2:$C$1601,$AS230))</f>
        <v/>
      </c>
      <c r="X230" t="str">
        <f>IF($AS230="","",Config!$B$29)</f>
        <v/>
      </c>
      <c r="Y230" t="str">
        <f>IF($AT230="","",INDEX(Calc!$I$2:$I$1601,$AT230)&amp;" - "&amp;INDEX(Calc!$D$2:$D$1601,$AT230)&amp;" koli")</f>
        <v/>
      </c>
      <c r="Z230" t="str">
        <f>IF($AS230="","",Config!$B$21)</f>
        <v/>
      </c>
      <c r="AA230" t="str">
        <f>IF($AS230="","",Config!$B$22)</f>
        <v/>
      </c>
      <c r="AB230" t="str">
        <f>IF($AT230="","",INDEX(Calc!$D$2:$D$1601,$AT230))</f>
        <v/>
      </c>
      <c r="AC230" t="str">
        <f>IF($AT230="","",INDEX(Calc!$G$2:$G$1601,$AT230))</f>
        <v/>
      </c>
      <c r="AD230" t="str">
        <f>IF($AS230="","",Config!$B$23)</f>
        <v/>
      </c>
      <c r="AE230" t="str">
        <f>IF($AS230="","",Config!$B$28)</f>
        <v/>
      </c>
      <c r="AF230" t="str">
        <f t="shared" si="20"/>
        <v/>
      </c>
      <c r="AG230" t="str">
        <f t="shared" si="21"/>
        <v/>
      </c>
      <c r="AH230" t="str">
        <f t="shared" si="22"/>
        <v/>
      </c>
      <c r="AI230" t="str">
        <f>IF($AG230="","",SUMIF($AG$2:$AG230,$AG230,$AH$2:$AH230))</f>
        <v/>
      </c>
      <c r="AJ230" t="str">
        <f>IF('TMP Paste'!$F230="","",IF('TMP Paste'!$B230="",$AJ229,'TMP Paste'!$B230))</f>
        <v/>
      </c>
      <c r="AK230" t="str">
        <f>IF('TMP Paste'!$F230="","",N('TMP Paste'!$G230))</f>
        <v/>
      </c>
      <c r="AL230" t="str">
        <f>IF('TMP Paste'!$F230="","",IF('TMP Paste'!$M230="",$AL229,'TMP Paste'!$M230))</f>
        <v/>
      </c>
      <c r="AM230" t="str">
        <f>IF('TMP Paste'!$F230="","",IF('TMP Paste'!$N230="",$AM229,'TMP Paste'!$N230))</f>
        <v/>
      </c>
      <c r="AN230" t="str">
        <f>IF('TMP Paste'!$F230="","",IF('TMP Paste'!$O230="",$AN229,'TMP Paste'!$O230))</f>
        <v/>
      </c>
      <c r="AO230" t="str">
        <f>IF('TMP Paste'!$F230="","",IF('TMP Paste'!$P230="",$AO229,'TMP Paste'!$P230))</f>
        <v/>
      </c>
      <c r="AP230" t="str">
        <f t="shared" si="23"/>
        <v/>
      </c>
      <c r="AQ230" t="str">
        <f>IF($AS230="","",TRIM(IF(COUNTIFS(Calc!$B$2:$B$1601,ROW()-1,Calc!$C$2:$C$1601,"&lt;1")&gt;0,"Ada PO tanpa Koli - cek TMP. ","")&amp;IF(OR($AU230="",$AU230&lt;=0),"Volume kosong/0 - dimensi dikosongkan. ","")&amp;IF(AND($AU230&lt;&gt;"",$AU230&gt;=1000000),"Volume &gt;= 1.000.000 cm3 (di luar aturan) - dimensi dikosongkan. ","")&amp;IF(LEN($R230)&gt;500,"R &gt; 500 karakter.","")))</f>
        <v/>
      </c>
      <c r="AS230" t="str">
        <f>IFERROR(MATCH(ROW()-1,Calc!$J$2:$J$1601,0),"")</f>
        <v/>
      </c>
      <c r="AT230" t="str">
        <f>IFERROR(MATCH(ROW()-1,Calc!$K$2:$K$1601,0),"")</f>
        <v/>
      </c>
      <c r="AU230" t="str">
        <f>IF($AS230="","",IFERROR(INDEX('TMP Paste'!$D$2:$D$1601,$AS230)*1000000/$AB230,""))</f>
        <v/>
      </c>
    </row>
    <row r="231" spans="1:47">
      <c r="A231" t="str">
        <f>IF($AS231="","",INDEX('TMP Paste'!$B$2:$B$1601,$AS231))</f>
        <v/>
      </c>
      <c r="B231" t="str">
        <f>IF($AS231="","",Config!$B$14)</f>
        <v/>
      </c>
      <c r="C231" t="str">
        <f>IF($AS231="","",Config!$B$15)</f>
        <v/>
      </c>
      <c r="D231" t="str">
        <f>IF($AS231="","",INDEX('TMP Paste'!$B$2:$B$1601,$AS231))</f>
        <v/>
      </c>
      <c r="E231" t="str">
        <f>IF($AS231="","",Config!$B$27)</f>
        <v/>
      </c>
      <c r="F231" t="str">
        <f>IF($AS231="","",Config!$B$9)</f>
        <v/>
      </c>
      <c r="G231" t="str">
        <f>IF($AS231="","",Config!$B$10)</f>
        <v/>
      </c>
      <c r="H231" t="str">
        <f>IF($AS231="","",Config!$B$11)</f>
        <v/>
      </c>
      <c r="I231" t="str">
        <f>IF($AS231="","",Config!$B$16)</f>
        <v/>
      </c>
      <c r="J231" t="str">
        <f>IF($AS231="","",INDEX('TMP Paste'!$A$2:$A$1601,$AS231))</f>
        <v/>
      </c>
      <c r="K231" t="str">
        <f>IF($AS231="","",INDEX('TMP Paste'!$L$2:$L$1601,$AS231))</f>
        <v/>
      </c>
      <c r="L231" t="str">
        <f>IF($AS231="","",INDEX('TMP Paste'!$I$2:$I$1601,$AS231))</f>
        <v/>
      </c>
      <c r="M231" t="str">
        <f>IF($AS231="","",Config!$B$16)</f>
        <v/>
      </c>
      <c r="N231" t="str">
        <f t="shared" si="18"/>
        <v/>
      </c>
      <c r="O231" t="str">
        <f>IF($AS231="","",INDEX('TMP Paste'!$K$2:$K$1601,$AS231))</f>
        <v/>
      </c>
      <c r="P231" t="str">
        <f t="shared" si="19"/>
        <v/>
      </c>
      <c r="Q231" t="str">
        <f>IF($AS231="","",INDEX('TMP Paste'!$J$2:$J$1601,$AS231))</f>
        <v/>
      </c>
      <c r="R231" t="str">
        <f>IF($AS231="","",Config!$B$24)</f>
        <v/>
      </c>
      <c r="S231" t="str">
        <f ca="1">IF($AS231="","",TEXT(Config!$B$4,"yyyy-mm-dd"))</f>
        <v/>
      </c>
      <c r="T231" t="str">
        <f>IF($AS231="","",Config!$B$17)</f>
        <v/>
      </c>
      <c r="U231" t="str">
        <f>IF($AS231="","",Config!$B$18)</f>
        <v/>
      </c>
      <c r="V231" t="str">
        <f>IF($AS231="","",Config!$B$19)</f>
        <v/>
      </c>
      <c r="W231" t="str">
        <f>IF($AS231="","",INDEX('TMP Paste'!$C$2:$C$1601,$AS231))</f>
        <v/>
      </c>
      <c r="X231" t="str">
        <f>IF($AS231="","",Config!$B$29)</f>
        <v/>
      </c>
      <c r="Y231" t="str">
        <f>IF($AT231="","",INDEX(Calc!$I$2:$I$1601,$AT231)&amp;" - "&amp;INDEX(Calc!$D$2:$D$1601,$AT231)&amp;" koli")</f>
        <v/>
      </c>
      <c r="Z231" t="str">
        <f>IF($AS231="","",Config!$B$21)</f>
        <v/>
      </c>
      <c r="AA231" t="str">
        <f>IF($AS231="","",Config!$B$22)</f>
        <v/>
      </c>
      <c r="AB231" t="str">
        <f>IF($AT231="","",INDEX(Calc!$D$2:$D$1601,$AT231))</f>
        <v/>
      </c>
      <c r="AC231" t="str">
        <f>IF($AT231="","",INDEX(Calc!$G$2:$G$1601,$AT231))</f>
        <v/>
      </c>
      <c r="AD231" t="str">
        <f>IF($AS231="","",Config!$B$23)</f>
        <v/>
      </c>
      <c r="AE231" t="str">
        <f>IF($AS231="","",Config!$B$28)</f>
        <v/>
      </c>
      <c r="AF231" t="str">
        <f t="shared" si="20"/>
        <v/>
      </c>
      <c r="AG231" t="str">
        <f t="shared" si="21"/>
        <v/>
      </c>
      <c r="AH231" t="str">
        <f t="shared" si="22"/>
        <v/>
      </c>
      <c r="AI231" t="str">
        <f>IF($AG231="","",SUMIF($AG$2:$AG231,$AG231,$AH$2:$AH231))</f>
        <v/>
      </c>
      <c r="AJ231" t="str">
        <f>IF('TMP Paste'!$F231="","",IF('TMP Paste'!$B231="",$AJ230,'TMP Paste'!$B231))</f>
        <v/>
      </c>
      <c r="AK231" t="str">
        <f>IF('TMP Paste'!$F231="","",N('TMP Paste'!$G231))</f>
        <v/>
      </c>
      <c r="AL231" t="str">
        <f>IF('TMP Paste'!$F231="","",IF('TMP Paste'!$M231="",$AL230,'TMP Paste'!$M231))</f>
        <v/>
      </c>
      <c r="AM231" t="str">
        <f>IF('TMP Paste'!$F231="","",IF('TMP Paste'!$N231="",$AM230,'TMP Paste'!$N231))</f>
        <v/>
      </c>
      <c r="AN231" t="str">
        <f>IF('TMP Paste'!$F231="","",IF('TMP Paste'!$O231="",$AN230,'TMP Paste'!$O231))</f>
        <v/>
      </c>
      <c r="AO231" t="str">
        <f>IF('TMP Paste'!$F231="","",IF('TMP Paste'!$P231="",$AO230,'TMP Paste'!$P231))</f>
        <v/>
      </c>
      <c r="AP231" t="str">
        <f t="shared" si="23"/>
        <v/>
      </c>
      <c r="AQ231" t="str">
        <f>IF($AS231="","",TRIM(IF(COUNTIFS(Calc!$B$2:$B$1601,ROW()-1,Calc!$C$2:$C$1601,"&lt;1")&gt;0,"Ada PO tanpa Koli - cek TMP. ","")&amp;IF(OR($AU231="",$AU231&lt;=0),"Volume kosong/0 - dimensi dikosongkan. ","")&amp;IF(AND($AU231&lt;&gt;"",$AU231&gt;=1000000),"Volume &gt;= 1.000.000 cm3 (di luar aturan) - dimensi dikosongkan. ","")&amp;IF(LEN($R231)&gt;500,"R &gt; 500 karakter.","")))</f>
        <v/>
      </c>
      <c r="AS231" t="str">
        <f>IFERROR(MATCH(ROW()-1,Calc!$J$2:$J$1601,0),"")</f>
        <v/>
      </c>
      <c r="AT231" t="str">
        <f>IFERROR(MATCH(ROW()-1,Calc!$K$2:$K$1601,0),"")</f>
        <v/>
      </c>
      <c r="AU231" t="str">
        <f>IF($AS231="","",IFERROR(INDEX('TMP Paste'!$D$2:$D$1601,$AS231)*1000000/$AB231,""))</f>
        <v/>
      </c>
    </row>
    <row r="232" spans="1:47">
      <c r="A232" t="str">
        <f>IF($AS232="","",INDEX('TMP Paste'!$B$2:$B$1601,$AS232))</f>
        <v/>
      </c>
      <c r="B232" t="str">
        <f>IF($AS232="","",Config!$B$14)</f>
        <v/>
      </c>
      <c r="C232" t="str">
        <f>IF($AS232="","",Config!$B$15)</f>
        <v/>
      </c>
      <c r="D232" t="str">
        <f>IF($AS232="","",INDEX('TMP Paste'!$B$2:$B$1601,$AS232))</f>
        <v/>
      </c>
      <c r="E232" t="str">
        <f>IF($AS232="","",Config!$B$27)</f>
        <v/>
      </c>
      <c r="F232" t="str">
        <f>IF($AS232="","",Config!$B$9)</f>
        <v/>
      </c>
      <c r="G232" t="str">
        <f>IF($AS232="","",Config!$B$10)</f>
        <v/>
      </c>
      <c r="H232" t="str">
        <f>IF($AS232="","",Config!$B$11)</f>
        <v/>
      </c>
      <c r="I232" t="str">
        <f>IF($AS232="","",Config!$B$16)</f>
        <v/>
      </c>
      <c r="J232" t="str">
        <f>IF($AS232="","",INDEX('TMP Paste'!$A$2:$A$1601,$AS232))</f>
        <v/>
      </c>
      <c r="K232" t="str">
        <f>IF($AS232="","",INDEX('TMP Paste'!$L$2:$L$1601,$AS232))</f>
        <v/>
      </c>
      <c r="L232" t="str">
        <f>IF($AS232="","",INDEX('TMP Paste'!$I$2:$I$1601,$AS232))</f>
        <v/>
      </c>
      <c r="M232" t="str">
        <f>IF($AS232="","",Config!$B$16)</f>
        <v/>
      </c>
      <c r="N232" t="str">
        <f t="shared" si="18"/>
        <v/>
      </c>
      <c r="O232" t="str">
        <f>IF($AS232="","",INDEX('TMP Paste'!$K$2:$K$1601,$AS232))</f>
        <v/>
      </c>
      <c r="P232" t="str">
        <f t="shared" si="19"/>
        <v/>
      </c>
      <c r="Q232" t="str">
        <f>IF($AS232="","",INDEX('TMP Paste'!$J$2:$J$1601,$AS232))</f>
        <v/>
      </c>
      <c r="R232" t="str">
        <f>IF($AS232="","",Config!$B$24)</f>
        <v/>
      </c>
      <c r="S232" t="str">
        <f ca="1">IF($AS232="","",TEXT(Config!$B$4,"yyyy-mm-dd"))</f>
        <v/>
      </c>
      <c r="T232" t="str">
        <f>IF($AS232="","",Config!$B$17)</f>
        <v/>
      </c>
      <c r="U232" t="str">
        <f>IF($AS232="","",Config!$B$18)</f>
        <v/>
      </c>
      <c r="V232" t="str">
        <f>IF($AS232="","",Config!$B$19)</f>
        <v/>
      </c>
      <c r="W232" t="str">
        <f>IF($AS232="","",INDEX('TMP Paste'!$C$2:$C$1601,$AS232))</f>
        <v/>
      </c>
      <c r="X232" t="str">
        <f>IF($AS232="","",Config!$B$29)</f>
        <v/>
      </c>
      <c r="Y232" t="str">
        <f>IF($AT232="","",INDEX(Calc!$I$2:$I$1601,$AT232)&amp;" - "&amp;INDEX(Calc!$D$2:$D$1601,$AT232)&amp;" koli")</f>
        <v/>
      </c>
      <c r="Z232" t="str">
        <f>IF($AS232="","",Config!$B$21)</f>
        <v/>
      </c>
      <c r="AA232" t="str">
        <f>IF($AS232="","",Config!$B$22)</f>
        <v/>
      </c>
      <c r="AB232" t="str">
        <f>IF($AT232="","",INDEX(Calc!$D$2:$D$1601,$AT232))</f>
        <v/>
      </c>
      <c r="AC232" t="str">
        <f>IF($AT232="","",INDEX(Calc!$G$2:$G$1601,$AT232))</f>
        <v/>
      </c>
      <c r="AD232" t="str">
        <f>IF($AS232="","",Config!$B$23)</f>
        <v/>
      </c>
      <c r="AE232" t="str">
        <f>IF($AS232="","",Config!$B$28)</f>
        <v/>
      </c>
      <c r="AF232" t="str">
        <f t="shared" si="20"/>
        <v/>
      </c>
      <c r="AG232" t="str">
        <f t="shared" si="21"/>
        <v/>
      </c>
      <c r="AH232" t="str">
        <f t="shared" si="22"/>
        <v/>
      </c>
      <c r="AI232" t="str">
        <f>IF($AG232="","",SUMIF($AG$2:$AG232,$AG232,$AH$2:$AH232))</f>
        <v/>
      </c>
      <c r="AJ232" t="str">
        <f>IF('TMP Paste'!$F232="","",IF('TMP Paste'!$B232="",$AJ231,'TMP Paste'!$B232))</f>
        <v/>
      </c>
      <c r="AK232" t="str">
        <f>IF('TMP Paste'!$F232="","",N('TMP Paste'!$G232))</f>
        <v/>
      </c>
      <c r="AL232" t="str">
        <f>IF('TMP Paste'!$F232="","",IF('TMP Paste'!$M232="",$AL231,'TMP Paste'!$M232))</f>
        <v/>
      </c>
      <c r="AM232" t="str">
        <f>IF('TMP Paste'!$F232="","",IF('TMP Paste'!$N232="",$AM231,'TMP Paste'!$N232))</f>
        <v/>
      </c>
      <c r="AN232" t="str">
        <f>IF('TMP Paste'!$F232="","",IF('TMP Paste'!$O232="",$AN231,'TMP Paste'!$O232))</f>
        <v/>
      </c>
      <c r="AO232" t="str">
        <f>IF('TMP Paste'!$F232="","",IF('TMP Paste'!$P232="",$AO231,'TMP Paste'!$P232))</f>
        <v/>
      </c>
      <c r="AP232" t="str">
        <f t="shared" si="23"/>
        <v/>
      </c>
      <c r="AQ232" t="str">
        <f>IF($AS232="","",TRIM(IF(COUNTIFS(Calc!$B$2:$B$1601,ROW()-1,Calc!$C$2:$C$1601,"&lt;1")&gt;0,"Ada PO tanpa Koli - cek TMP. ","")&amp;IF(OR($AU232="",$AU232&lt;=0),"Volume kosong/0 - dimensi dikosongkan. ","")&amp;IF(AND($AU232&lt;&gt;"",$AU232&gt;=1000000),"Volume &gt;= 1.000.000 cm3 (di luar aturan) - dimensi dikosongkan. ","")&amp;IF(LEN($R232)&gt;500,"R &gt; 500 karakter.","")))</f>
        <v/>
      </c>
      <c r="AS232" t="str">
        <f>IFERROR(MATCH(ROW()-1,Calc!$J$2:$J$1601,0),"")</f>
        <v/>
      </c>
      <c r="AT232" t="str">
        <f>IFERROR(MATCH(ROW()-1,Calc!$K$2:$K$1601,0),"")</f>
        <v/>
      </c>
      <c r="AU232" t="str">
        <f>IF($AS232="","",IFERROR(INDEX('TMP Paste'!$D$2:$D$1601,$AS232)*1000000/$AB232,""))</f>
        <v/>
      </c>
    </row>
    <row r="233" spans="1:47">
      <c r="A233" t="str">
        <f>IF($AS233="","",INDEX('TMP Paste'!$B$2:$B$1601,$AS233))</f>
        <v/>
      </c>
      <c r="B233" t="str">
        <f>IF($AS233="","",Config!$B$14)</f>
        <v/>
      </c>
      <c r="C233" t="str">
        <f>IF($AS233="","",Config!$B$15)</f>
        <v/>
      </c>
      <c r="D233" t="str">
        <f>IF($AS233="","",INDEX('TMP Paste'!$B$2:$B$1601,$AS233))</f>
        <v/>
      </c>
      <c r="E233" t="str">
        <f>IF($AS233="","",Config!$B$27)</f>
        <v/>
      </c>
      <c r="F233" t="str">
        <f>IF($AS233="","",Config!$B$9)</f>
        <v/>
      </c>
      <c r="G233" t="str">
        <f>IF($AS233="","",Config!$B$10)</f>
        <v/>
      </c>
      <c r="H233" t="str">
        <f>IF($AS233="","",Config!$B$11)</f>
        <v/>
      </c>
      <c r="I233" t="str">
        <f>IF($AS233="","",Config!$B$16)</f>
        <v/>
      </c>
      <c r="J233" t="str">
        <f>IF($AS233="","",INDEX('TMP Paste'!$A$2:$A$1601,$AS233))</f>
        <v/>
      </c>
      <c r="K233" t="str">
        <f>IF($AS233="","",INDEX('TMP Paste'!$L$2:$L$1601,$AS233))</f>
        <v/>
      </c>
      <c r="L233" t="str">
        <f>IF($AS233="","",INDEX('TMP Paste'!$I$2:$I$1601,$AS233))</f>
        <v/>
      </c>
      <c r="M233" t="str">
        <f>IF($AS233="","",Config!$B$16)</f>
        <v/>
      </c>
      <c r="N233" t="str">
        <f t="shared" si="18"/>
        <v/>
      </c>
      <c r="O233" t="str">
        <f>IF($AS233="","",INDEX('TMP Paste'!$K$2:$K$1601,$AS233))</f>
        <v/>
      </c>
      <c r="P233" t="str">
        <f t="shared" si="19"/>
        <v/>
      </c>
      <c r="Q233" t="str">
        <f>IF($AS233="","",INDEX('TMP Paste'!$J$2:$J$1601,$AS233))</f>
        <v/>
      </c>
      <c r="R233" t="str">
        <f>IF($AS233="","",Config!$B$24)</f>
        <v/>
      </c>
      <c r="S233" t="str">
        <f ca="1">IF($AS233="","",TEXT(Config!$B$4,"yyyy-mm-dd"))</f>
        <v/>
      </c>
      <c r="T233" t="str">
        <f>IF($AS233="","",Config!$B$17)</f>
        <v/>
      </c>
      <c r="U233" t="str">
        <f>IF($AS233="","",Config!$B$18)</f>
        <v/>
      </c>
      <c r="V233" t="str">
        <f>IF($AS233="","",Config!$B$19)</f>
        <v/>
      </c>
      <c r="W233" t="str">
        <f>IF($AS233="","",INDEX('TMP Paste'!$C$2:$C$1601,$AS233))</f>
        <v/>
      </c>
      <c r="X233" t="str">
        <f>IF($AS233="","",Config!$B$29)</f>
        <v/>
      </c>
      <c r="Y233" t="str">
        <f>IF($AT233="","",INDEX(Calc!$I$2:$I$1601,$AT233)&amp;" - "&amp;INDEX(Calc!$D$2:$D$1601,$AT233)&amp;" koli")</f>
        <v/>
      </c>
      <c r="Z233" t="str">
        <f>IF($AS233="","",Config!$B$21)</f>
        <v/>
      </c>
      <c r="AA233" t="str">
        <f>IF($AS233="","",Config!$B$22)</f>
        <v/>
      </c>
      <c r="AB233" t="str">
        <f>IF($AT233="","",INDEX(Calc!$D$2:$D$1601,$AT233))</f>
        <v/>
      </c>
      <c r="AC233" t="str">
        <f>IF($AT233="","",INDEX(Calc!$G$2:$G$1601,$AT233))</f>
        <v/>
      </c>
      <c r="AD233" t="str">
        <f>IF($AS233="","",Config!$B$23)</f>
        <v/>
      </c>
      <c r="AE233" t="str">
        <f>IF($AS233="","",Config!$B$28)</f>
        <v/>
      </c>
      <c r="AF233" t="str">
        <f t="shared" si="20"/>
        <v/>
      </c>
      <c r="AG233" t="str">
        <f t="shared" si="21"/>
        <v/>
      </c>
      <c r="AH233" t="str">
        <f t="shared" si="22"/>
        <v/>
      </c>
      <c r="AI233" t="str">
        <f>IF($AG233="","",SUMIF($AG$2:$AG233,$AG233,$AH$2:$AH233))</f>
        <v/>
      </c>
      <c r="AJ233" t="str">
        <f>IF('TMP Paste'!$F233="","",IF('TMP Paste'!$B233="",$AJ232,'TMP Paste'!$B233))</f>
        <v/>
      </c>
      <c r="AK233" t="str">
        <f>IF('TMP Paste'!$F233="","",N('TMP Paste'!$G233))</f>
        <v/>
      </c>
      <c r="AL233" t="str">
        <f>IF('TMP Paste'!$F233="","",IF('TMP Paste'!$M233="",$AL232,'TMP Paste'!$M233))</f>
        <v/>
      </c>
      <c r="AM233" t="str">
        <f>IF('TMP Paste'!$F233="","",IF('TMP Paste'!$N233="",$AM232,'TMP Paste'!$N233))</f>
        <v/>
      </c>
      <c r="AN233" t="str">
        <f>IF('TMP Paste'!$F233="","",IF('TMP Paste'!$O233="",$AN232,'TMP Paste'!$O233))</f>
        <v/>
      </c>
      <c r="AO233" t="str">
        <f>IF('TMP Paste'!$F233="","",IF('TMP Paste'!$P233="",$AO232,'TMP Paste'!$P233))</f>
        <v/>
      </c>
      <c r="AP233" t="str">
        <f t="shared" si="23"/>
        <v/>
      </c>
      <c r="AQ233" t="str">
        <f>IF($AS233="","",TRIM(IF(COUNTIFS(Calc!$B$2:$B$1601,ROW()-1,Calc!$C$2:$C$1601,"&lt;1")&gt;0,"Ada PO tanpa Koli - cek TMP. ","")&amp;IF(OR($AU233="",$AU233&lt;=0),"Volume kosong/0 - dimensi dikosongkan. ","")&amp;IF(AND($AU233&lt;&gt;"",$AU233&gt;=1000000),"Volume &gt;= 1.000.000 cm3 (di luar aturan) - dimensi dikosongkan. ","")&amp;IF(LEN($R233)&gt;500,"R &gt; 500 karakter.","")))</f>
        <v/>
      </c>
      <c r="AS233" t="str">
        <f>IFERROR(MATCH(ROW()-1,Calc!$J$2:$J$1601,0),"")</f>
        <v/>
      </c>
      <c r="AT233" t="str">
        <f>IFERROR(MATCH(ROW()-1,Calc!$K$2:$K$1601,0),"")</f>
        <v/>
      </c>
      <c r="AU233" t="str">
        <f>IF($AS233="","",IFERROR(INDEX('TMP Paste'!$D$2:$D$1601,$AS233)*1000000/$AB233,""))</f>
        <v/>
      </c>
    </row>
    <row r="234" spans="1:47">
      <c r="A234" t="str">
        <f>IF($AS234="","",INDEX('TMP Paste'!$B$2:$B$1601,$AS234))</f>
        <v/>
      </c>
      <c r="B234" t="str">
        <f>IF($AS234="","",Config!$B$14)</f>
        <v/>
      </c>
      <c r="C234" t="str">
        <f>IF($AS234="","",Config!$B$15)</f>
        <v/>
      </c>
      <c r="D234" t="str">
        <f>IF($AS234="","",INDEX('TMP Paste'!$B$2:$B$1601,$AS234))</f>
        <v/>
      </c>
      <c r="E234" t="str">
        <f>IF($AS234="","",Config!$B$27)</f>
        <v/>
      </c>
      <c r="F234" t="str">
        <f>IF($AS234="","",Config!$B$9)</f>
        <v/>
      </c>
      <c r="G234" t="str">
        <f>IF($AS234="","",Config!$B$10)</f>
        <v/>
      </c>
      <c r="H234" t="str">
        <f>IF($AS234="","",Config!$B$11)</f>
        <v/>
      </c>
      <c r="I234" t="str">
        <f>IF($AS234="","",Config!$B$16)</f>
        <v/>
      </c>
      <c r="J234" t="str">
        <f>IF($AS234="","",INDEX('TMP Paste'!$A$2:$A$1601,$AS234))</f>
        <v/>
      </c>
      <c r="K234" t="str">
        <f>IF($AS234="","",INDEX('TMP Paste'!$L$2:$L$1601,$AS234))</f>
        <v/>
      </c>
      <c r="L234" t="str">
        <f>IF($AS234="","",INDEX('TMP Paste'!$I$2:$I$1601,$AS234))</f>
        <v/>
      </c>
      <c r="M234" t="str">
        <f>IF($AS234="","",Config!$B$16)</f>
        <v/>
      </c>
      <c r="N234" t="str">
        <f t="shared" si="18"/>
        <v/>
      </c>
      <c r="O234" t="str">
        <f>IF($AS234="","",INDEX('TMP Paste'!$K$2:$K$1601,$AS234))</f>
        <v/>
      </c>
      <c r="P234" t="str">
        <f t="shared" si="19"/>
        <v/>
      </c>
      <c r="Q234" t="str">
        <f>IF($AS234="","",INDEX('TMP Paste'!$J$2:$J$1601,$AS234))</f>
        <v/>
      </c>
      <c r="R234" t="str">
        <f>IF($AS234="","",Config!$B$24)</f>
        <v/>
      </c>
      <c r="S234" t="str">
        <f ca="1">IF($AS234="","",TEXT(Config!$B$4,"yyyy-mm-dd"))</f>
        <v/>
      </c>
      <c r="T234" t="str">
        <f>IF($AS234="","",Config!$B$17)</f>
        <v/>
      </c>
      <c r="U234" t="str">
        <f>IF($AS234="","",Config!$B$18)</f>
        <v/>
      </c>
      <c r="V234" t="str">
        <f>IF($AS234="","",Config!$B$19)</f>
        <v/>
      </c>
      <c r="W234" t="str">
        <f>IF($AS234="","",INDEX('TMP Paste'!$C$2:$C$1601,$AS234))</f>
        <v/>
      </c>
      <c r="X234" t="str">
        <f>IF($AS234="","",Config!$B$29)</f>
        <v/>
      </c>
      <c r="Y234" t="str">
        <f>IF($AT234="","",INDEX(Calc!$I$2:$I$1601,$AT234)&amp;" - "&amp;INDEX(Calc!$D$2:$D$1601,$AT234)&amp;" koli")</f>
        <v/>
      </c>
      <c r="Z234" t="str">
        <f>IF($AS234="","",Config!$B$21)</f>
        <v/>
      </c>
      <c r="AA234" t="str">
        <f>IF($AS234="","",Config!$B$22)</f>
        <v/>
      </c>
      <c r="AB234" t="str">
        <f>IF($AT234="","",INDEX(Calc!$D$2:$D$1601,$AT234))</f>
        <v/>
      </c>
      <c r="AC234" t="str">
        <f>IF($AT234="","",INDEX(Calc!$G$2:$G$1601,$AT234))</f>
        <v/>
      </c>
      <c r="AD234" t="str">
        <f>IF($AS234="","",Config!$B$23)</f>
        <v/>
      </c>
      <c r="AE234" t="str">
        <f>IF($AS234="","",Config!$B$28)</f>
        <v/>
      </c>
      <c r="AF234" t="str">
        <f t="shared" si="20"/>
        <v/>
      </c>
      <c r="AG234" t="str">
        <f t="shared" si="21"/>
        <v/>
      </c>
      <c r="AH234" t="str">
        <f t="shared" si="22"/>
        <v/>
      </c>
      <c r="AI234" t="str">
        <f>IF($AG234="","",SUMIF($AG$2:$AG234,$AG234,$AH$2:$AH234))</f>
        <v/>
      </c>
      <c r="AJ234" t="str">
        <f>IF('TMP Paste'!$F234="","",IF('TMP Paste'!$B234="",$AJ233,'TMP Paste'!$B234))</f>
        <v/>
      </c>
      <c r="AK234" t="str">
        <f>IF('TMP Paste'!$F234="","",N('TMP Paste'!$G234))</f>
        <v/>
      </c>
      <c r="AL234" t="str">
        <f>IF('TMP Paste'!$F234="","",IF('TMP Paste'!$M234="",$AL233,'TMP Paste'!$M234))</f>
        <v/>
      </c>
      <c r="AM234" t="str">
        <f>IF('TMP Paste'!$F234="","",IF('TMP Paste'!$N234="",$AM233,'TMP Paste'!$N234))</f>
        <v/>
      </c>
      <c r="AN234" t="str">
        <f>IF('TMP Paste'!$F234="","",IF('TMP Paste'!$O234="",$AN233,'TMP Paste'!$O234))</f>
        <v/>
      </c>
      <c r="AO234" t="str">
        <f>IF('TMP Paste'!$F234="","",IF('TMP Paste'!$P234="",$AO233,'TMP Paste'!$P234))</f>
        <v/>
      </c>
      <c r="AP234" t="str">
        <f t="shared" si="23"/>
        <v/>
      </c>
      <c r="AQ234" t="str">
        <f>IF($AS234="","",TRIM(IF(COUNTIFS(Calc!$B$2:$B$1601,ROW()-1,Calc!$C$2:$C$1601,"&lt;1")&gt;0,"Ada PO tanpa Koli - cek TMP. ","")&amp;IF(OR($AU234="",$AU234&lt;=0),"Volume kosong/0 - dimensi dikosongkan. ","")&amp;IF(AND($AU234&lt;&gt;"",$AU234&gt;=1000000),"Volume &gt;= 1.000.000 cm3 (di luar aturan) - dimensi dikosongkan. ","")&amp;IF(LEN($R234)&gt;500,"R &gt; 500 karakter.","")))</f>
        <v/>
      </c>
      <c r="AS234" t="str">
        <f>IFERROR(MATCH(ROW()-1,Calc!$J$2:$J$1601,0),"")</f>
        <v/>
      </c>
      <c r="AT234" t="str">
        <f>IFERROR(MATCH(ROW()-1,Calc!$K$2:$K$1601,0),"")</f>
        <v/>
      </c>
      <c r="AU234" t="str">
        <f>IF($AS234="","",IFERROR(INDEX('TMP Paste'!$D$2:$D$1601,$AS234)*1000000/$AB234,""))</f>
        <v/>
      </c>
    </row>
    <row r="235" spans="1:47">
      <c r="A235" t="str">
        <f>IF($AS235="","",INDEX('TMP Paste'!$B$2:$B$1601,$AS235))</f>
        <v/>
      </c>
      <c r="B235" t="str">
        <f>IF($AS235="","",Config!$B$14)</f>
        <v/>
      </c>
      <c r="C235" t="str">
        <f>IF($AS235="","",Config!$B$15)</f>
        <v/>
      </c>
      <c r="D235" t="str">
        <f>IF($AS235="","",INDEX('TMP Paste'!$B$2:$B$1601,$AS235))</f>
        <v/>
      </c>
      <c r="E235" t="str">
        <f>IF($AS235="","",Config!$B$27)</f>
        <v/>
      </c>
      <c r="F235" t="str">
        <f>IF($AS235="","",Config!$B$9)</f>
        <v/>
      </c>
      <c r="G235" t="str">
        <f>IF($AS235="","",Config!$B$10)</f>
        <v/>
      </c>
      <c r="H235" t="str">
        <f>IF($AS235="","",Config!$B$11)</f>
        <v/>
      </c>
      <c r="I235" t="str">
        <f>IF($AS235="","",Config!$B$16)</f>
        <v/>
      </c>
      <c r="J235" t="str">
        <f>IF($AS235="","",INDEX('TMP Paste'!$A$2:$A$1601,$AS235))</f>
        <v/>
      </c>
      <c r="K235" t="str">
        <f>IF($AS235="","",INDEX('TMP Paste'!$L$2:$L$1601,$AS235))</f>
        <v/>
      </c>
      <c r="L235" t="str">
        <f>IF($AS235="","",INDEX('TMP Paste'!$I$2:$I$1601,$AS235))</f>
        <v/>
      </c>
      <c r="M235" t="str">
        <f>IF($AS235="","",Config!$B$16)</f>
        <v/>
      </c>
      <c r="N235" t="str">
        <f t="shared" si="18"/>
        <v/>
      </c>
      <c r="O235" t="str">
        <f>IF($AS235="","",INDEX('TMP Paste'!$K$2:$K$1601,$AS235))</f>
        <v/>
      </c>
      <c r="P235" t="str">
        <f t="shared" si="19"/>
        <v/>
      </c>
      <c r="Q235" t="str">
        <f>IF($AS235="","",INDEX('TMP Paste'!$J$2:$J$1601,$AS235))</f>
        <v/>
      </c>
      <c r="R235" t="str">
        <f>IF($AS235="","",Config!$B$24)</f>
        <v/>
      </c>
      <c r="S235" t="str">
        <f ca="1">IF($AS235="","",TEXT(Config!$B$4,"yyyy-mm-dd"))</f>
        <v/>
      </c>
      <c r="T235" t="str">
        <f>IF($AS235="","",Config!$B$17)</f>
        <v/>
      </c>
      <c r="U235" t="str">
        <f>IF($AS235="","",Config!$B$18)</f>
        <v/>
      </c>
      <c r="V235" t="str">
        <f>IF($AS235="","",Config!$B$19)</f>
        <v/>
      </c>
      <c r="W235" t="str">
        <f>IF($AS235="","",INDEX('TMP Paste'!$C$2:$C$1601,$AS235))</f>
        <v/>
      </c>
      <c r="X235" t="str">
        <f>IF($AS235="","",Config!$B$29)</f>
        <v/>
      </c>
      <c r="Y235" t="str">
        <f>IF($AT235="","",INDEX(Calc!$I$2:$I$1601,$AT235)&amp;" - "&amp;INDEX(Calc!$D$2:$D$1601,$AT235)&amp;" koli")</f>
        <v/>
      </c>
      <c r="Z235" t="str">
        <f>IF($AS235="","",Config!$B$21)</f>
        <v/>
      </c>
      <c r="AA235" t="str">
        <f>IF($AS235="","",Config!$B$22)</f>
        <v/>
      </c>
      <c r="AB235" t="str">
        <f>IF($AT235="","",INDEX(Calc!$D$2:$D$1601,$AT235))</f>
        <v/>
      </c>
      <c r="AC235" t="str">
        <f>IF($AT235="","",INDEX(Calc!$G$2:$G$1601,$AT235))</f>
        <v/>
      </c>
      <c r="AD235" t="str">
        <f>IF($AS235="","",Config!$B$23)</f>
        <v/>
      </c>
      <c r="AE235" t="str">
        <f>IF($AS235="","",Config!$B$28)</f>
        <v/>
      </c>
      <c r="AF235" t="str">
        <f t="shared" si="20"/>
        <v/>
      </c>
      <c r="AG235" t="str">
        <f t="shared" si="21"/>
        <v/>
      </c>
      <c r="AH235" t="str">
        <f t="shared" si="22"/>
        <v/>
      </c>
      <c r="AI235" t="str">
        <f>IF($AG235="","",SUMIF($AG$2:$AG235,$AG235,$AH$2:$AH235))</f>
        <v/>
      </c>
      <c r="AJ235" t="str">
        <f>IF('TMP Paste'!$F235="","",IF('TMP Paste'!$B235="",$AJ234,'TMP Paste'!$B235))</f>
        <v/>
      </c>
      <c r="AK235" t="str">
        <f>IF('TMP Paste'!$F235="","",N('TMP Paste'!$G235))</f>
        <v/>
      </c>
      <c r="AL235" t="str">
        <f>IF('TMP Paste'!$F235="","",IF('TMP Paste'!$M235="",$AL234,'TMP Paste'!$M235))</f>
        <v/>
      </c>
      <c r="AM235" t="str">
        <f>IF('TMP Paste'!$F235="","",IF('TMP Paste'!$N235="",$AM234,'TMP Paste'!$N235))</f>
        <v/>
      </c>
      <c r="AN235" t="str">
        <f>IF('TMP Paste'!$F235="","",IF('TMP Paste'!$O235="",$AN234,'TMP Paste'!$O235))</f>
        <v/>
      </c>
      <c r="AO235" t="str">
        <f>IF('TMP Paste'!$F235="","",IF('TMP Paste'!$P235="",$AO234,'TMP Paste'!$P235))</f>
        <v/>
      </c>
      <c r="AP235" t="str">
        <f t="shared" si="23"/>
        <v/>
      </c>
      <c r="AQ235" t="str">
        <f>IF($AS235="","",TRIM(IF(COUNTIFS(Calc!$B$2:$B$1601,ROW()-1,Calc!$C$2:$C$1601,"&lt;1")&gt;0,"Ada PO tanpa Koli - cek TMP. ","")&amp;IF(OR($AU235="",$AU235&lt;=0),"Volume kosong/0 - dimensi dikosongkan. ","")&amp;IF(AND($AU235&lt;&gt;"",$AU235&gt;=1000000),"Volume &gt;= 1.000.000 cm3 (di luar aturan) - dimensi dikosongkan. ","")&amp;IF(LEN($R235)&gt;500,"R &gt; 500 karakter.","")))</f>
        <v/>
      </c>
      <c r="AS235" t="str">
        <f>IFERROR(MATCH(ROW()-1,Calc!$J$2:$J$1601,0),"")</f>
        <v/>
      </c>
      <c r="AT235" t="str">
        <f>IFERROR(MATCH(ROW()-1,Calc!$K$2:$K$1601,0),"")</f>
        <v/>
      </c>
      <c r="AU235" t="str">
        <f>IF($AS235="","",IFERROR(INDEX('TMP Paste'!$D$2:$D$1601,$AS235)*1000000/$AB235,""))</f>
        <v/>
      </c>
    </row>
    <row r="236" spans="1:47">
      <c r="A236" t="str">
        <f>IF($AS236="","",INDEX('TMP Paste'!$B$2:$B$1601,$AS236))</f>
        <v/>
      </c>
      <c r="B236" t="str">
        <f>IF($AS236="","",Config!$B$14)</f>
        <v/>
      </c>
      <c r="C236" t="str">
        <f>IF($AS236="","",Config!$B$15)</f>
        <v/>
      </c>
      <c r="D236" t="str">
        <f>IF($AS236="","",INDEX('TMP Paste'!$B$2:$B$1601,$AS236))</f>
        <v/>
      </c>
      <c r="E236" t="str">
        <f>IF($AS236="","",Config!$B$27)</f>
        <v/>
      </c>
      <c r="F236" t="str">
        <f>IF($AS236="","",Config!$B$9)</f>
        <v/>
      </c>
      <c r="G236" t="str">
        <f>IF($AS236="","",Config!$B$10)</f>
        <v/>
      </c>
      <c r="H236" t="str">
        <f>IF($AS236="","",Config!$B$11)</f>
        <v/>
      </c>
      <c r="I236" t="str">
        <f>IF($AS236="","",Config!$B$16)</f>
        <v/>
      </c>
      <c r="J236" t="str">
        <f>IF($AS236="","",INDEX('TMP Paste'!$A$2:$A$1601,$AS236))</f>
        <v/>
      </c>
      <c r="K236" t="str">
        <f>IF($AS236="","",INDEX('TMP Paste'!$L$2:$L$1601,$AS236))</f>
        <v/>
      </c>
      <c r="L236" t="str">
        <f>IF($AS236="","",INDEX('TMP Paste'!$I$2:$I$1601,$AS236))</f>
        <v/>
      </c>
      <c r="M236" t="str">
        <f>IF($AS236="","",Config!$B$16)</f>
        <v/>
      </c>
      <c r="N236" t="str">
        <f t="shared" si="18"/>
        <v/>
      </c>
      <c r="O236" t="str">
        <f>IF($AS236="","",INDEX('TMP Paste'!$K$2:$K$1601,$AS236))</f>
        <v/>
      </c>
      <c r="P236" t="str">
        <f t="shared" si="19"/>
        <v/>
      </c>
      <c r="Q236" t="str">
        <f>IF($AS236="","",INDEX('TMP Paste'!$J$2:$J$1601,$AS236))</f>
        <v/>
      </c>
      <c r="R236" t="str">
        <f>IF($AS236="","",Config!$B$24)</f>
        <v/>
      </c>
      <c r="S236" t="str">
        <f ca="1">IF($AS236="","",TEXT(Config!$B$4,"yyyy-mm-dd"))</f>
        <v/>
      </c>
      <c r="T236" t="str">
        <f>IF($AS236="","",Config!$B$17)</f>
        <v/>
      </c>
      <c r="U236" t="str">
        <f>IF($AS236="","",Config!$B$18)</f>
        <v/>
      </c>
      <c r="V236" t="str">
        <f>IF($AS236="","",Config!$B$19)</f>
        <v/>
      </c>
      <c r="W236" t="str">
        <f>IF($AS236="","",INDEX('TMP Paste'!$C$2:$C$1601,$AS236))</f>
        <v/>
      </c>
      <c r="X236" t="str">
        <f>IF($AS236="","",Config!$B$29)</f>
        <v/>
      </c>
      <c r="Y236" t="str">
        <f>IF($AT236="","",INDEX(Calc!$I$2:$I$1601,$AT236)&amp;" - "&amp;INDEX(Calc!$D$2:$D$1601,$AT236)&amp;" koli")</f>
        <v/>
      </c>
      <c r="Z236" t="str">
        <f>IF($AS236="","",Config!$B$21)</f>
        <v/>
      </c>
      <c r="AA236" t="str">
        <f>IF($AS236="","",Config!$B$22)</f>
        <v/>
      </c>
      <c r="AB236" t="str">
        <f>IF($AT236="","",INDEX(Calc!$D$2:$D$1601,$AT236))</f>
        <v/>
      </c>
      <c r="AC236" t="str">
        <f>IF($AT236="","",INDEX(Calc!$G$2:$G$1601,$AT236))</f>
        <v/>
      </c>
      <c r="AD236" t="str">
        <f>IF($AS236="","",Config!$B$23)</f>
        <v/>
      </c>
      <c r="AE236" t="str">
        <f>IF($AS236="","",Config!$B$28)</f>
        <v/>
      </c>
      <c r="AF236" t="str">
        <f t="shared" si="20"/>
        <v/>
      </c>
      <c r="AG236" t="str">
        <f t="shared" si="21"/>
        <v/>
      </c>
      <c r="AH236" t="str">
        <f t="shared" si="22"/>
        <v/>
      </c>
      <c r="AI236" t="str">
        <f>IF($AG236="","",SUMIF($AG$2:$AG236,$AG236,$AH$2:$AH236))</f>
        <v/>
      </c>
      <c r="AJ236" t="str">
        <f>IF('TMP Paste'!$F236="","",IF('TMP Paste'!$B236="",$AJ235,'TMP Paste'!$B236))</f>
        <v/>
      </c>
      <c r="AK236" t="str">
        <f>IF('TMP Paste'!$F236="","",N('TMP Paste'!$G236))</f>
        <v/>
      </c>
      <c r="AL236" t="str">
        <f>IF('TMP Paste'!$F236="","",IF('TMP Paste'!$M236="",$AL235,'TMP Paste'!$M236))</f>
        <v/>
      </c>
      <c r="AM236" t="str">
        <f>IF('TMP Paste'!$F236="","",IF('TMP Paste'!$N236="",$AM235,'TMP Paste'!$N236))</f>
        <v/>
      </c>
      <c r="AN236" t="str">
        <f>IF('TMP Paste'!$F236="","",IF('TMP Paste'!$O236="",$AN235,'TMP Paste'!$O236))</f>
        <v/>
      </c>
      <c r="AO236" t="str">
        <f>IF('TMP Paste'!$F236="","",IF('TMP Paste'!$P236="",$AO235,'TMP Paste'!$P236))</f>
        <v/>
      </c>
      <c r="AP236" t="str">
        <f t="shared" si="23"/>
        <v/>
      </c>
      <c r="AQ236" t="str">
        <f>IF($AS236="","",TRIM(IF(COUNTIFS(Calc!$B$2:$B$1601,ROW()-1,Calc!$C$2:$C$1601,"&lt;1")&gt;0,"Ada PO tanpa Koli - cek TMP. ","")&amp;IF(OR($AU236="",$AU236&lt;=0),"Volume kosong/0 - dimensi dikosongkan. ","")&amp;IF(AND($AU236&lt;&gt;"",$AU236&gt;=1000000),"Volume &gt;= 1.000.000 cm3 (di luar aturan) - dimensi dikosongkan. ","")&amp;IF(LEN($R236)&gt;500,"R &gt; 500 karakter.","")))</f>
        <v/>
      </c>
      <c r="AS236" t="str">
        <f>IFERROR(MATCH(ROW()-1,Calc!$J$2:$J$1601,0),"")</f>
        <v/>
      </c>
      <c r="AT236" t="str">
        <f>IFERROR(MATCH(ROW()-1,Calc!$K$2:$K$1601,0),"")</f>
        <v/>
      </c>
      <c r="AU236" t="str">
        <f>IF($AS236="","",IFERROR(INDEX('TMP Paste'!$D$2:$D$1601,$AS236)*1000000/$AB236,""))</f>
        <v/>
      </c>
    </row>
    <row r="237" spans="1:47">
      <c r="A237" t="str">
        <f>IF($AS237="","",INDEX('TMP Paste'!$B$2:$B$1601,$AS237))</f>
        <v/>
      </c>
      <c r="B237" t="str">
        <f>IF($AS237="","",Config!$B$14)</f>
        <v/>
      </c>
      <c r="C237" t="str">
        <f>IF($AS237="","",Config!$B$15)</f>
        <v/>
      </c>
      <c r="D237" t="str">
        <f>IF($AS237="","",INDEX('TMP Paste'!$B$2:$B$1601,$AS237))</f>
        <v/>
      </c>
      <c r="E237" t="str">
        <f>IF($AS237="","",Config!$B$27)</f>
        <v/>
      </c>
      <c r="F237" t="str">
        <f>IF($AS237="","",Config!$B$9)</f>
        <v/>
      </c>
      <c r="G237" t="str">
        <f>IF($AS237="","",Config!$B$10)</f>
        <v/>
      </c>
      <c r="H237" t="str">
        <f>IF($AS237="","",Config!$B$11)</f>
        <v/>
      </c>
      <c r="I237" t="str">
        <f>IF($AS237="","",Config!$B$16)</f>
        <v/>
      </c>
      <c r="J237" t="str">
        <f>IF($AS237="","",INDEX('TMP Paste'!$A$2:$A$1601,$AS237))</f>
        <v/>
      </c>
      <c r="K237" t="str">
        <f>IF($AS237="","",INDEX('TMP Paste'!$L$2:$L$1601,$AS237))</f>
        <v/>
      </c>
      <c r="L237" t="str">
        <f>IF($AS237="","",INDEX('TMP Paste'!$I$2:$I$1601,$AS237))</f>
        <v/>
      </c>
      <c r="M237" t="str">
        <f>IF($AS237="","",Config!$B$16)</f>
        <v/>
      </c>
      <c r="N237" t="str">
        <f t="shared" si="18"/>
        <v/>
      </c>
      <c r="O237" t="str">
        <f>IF($AS237="","",INDEX('TMP Paste'!$K$2:$K$1601,$AS237))</f>
        <v/>
      </c>
      <c r="P237" t="str">
        <f t="shared" si="19"/>
        <v/>
      </c>
      <c r="Q237" t="str">
        <f>IF($AS237="","",INDEX('TMP Paste'!$J$2:$J$1601,$AS237))</f>
        <v/>
      </c>
      <c r="R237" t="str">
        <f>IF($AS237="","",Config!$B$24)</f>
        <v/>
      </c>
      <c r="S237" t="str">
        <f ca="1">IF($AS237="","",TEXT(Config!$B$4,"yyyy-mm-dd"))</f>
        <v/>
      </c>
      <c r="T237" t="str">
        <f>IF($AS237="","",Config!$B$17)</f>
        <v/>
      </c>
      <c r="U237" t="str">
        <f>IF($AS237="","",Config!$B$18)</f>
        <v/>
      </c>
      <c r="V237" t="str">
        <f>IF($AS237="","",Config!$B$19)</f>
        <v/>
      </c>
      <c r="W237" t="str">
        <f>IF($AS237="","",INDEX('TMP Paste'!$C$2:$C$1601,$AS237))</f>
        <v/>
      </c>
      <c r="X237" t="str">
        <f>IF($AS237="","",Config!$B$29)</f>
        <v/>
      </c>
      <c r="Y237" t="str">
        <f>IF($AT237="","",INDEX(Calc!$I$2:$I$1601,$AT237)&amp;" - "&amp;INDEX(Calc!$D$2:$D$1601,$AT237)&amp;" koli")</f>
        <v/>
      </c>
      <c r="Z237" t="str">
        <f>IF($AS237="","",Config!$B$21)</f>
        <v/>
      </c>
      <c r="AA237" t="str">
        <f>IF($AS237="","",Config!$B$22)</f>
        <v/>
      </c>
      <c r="AB237" t="str">
        <f>IF($AT237="","",INDEX(Calc!$D$2:$D$1601,$AT237))</f>
        <v/>
      </c>
      <c r="AC237" t="str">
        <f>IF($AT237="","",INDEX(Calc!$G$2:$G$1601,$AT237))</f>
        <v/>
      </c>
      <c r="AD237" t="str">
        <f>IF($AS237="","",Config!$B$23)</f>
        <v/>
      </c>
      <c r="AE237" t="str">
        <f>IF($AS237="","",Config!$B$28)</f>
        <v/>
      </c>
      <c r="AF237" t="str">
        <f t="shared" si="20"/>
        <v/>
      </c>
      <c r="AG237" t="str">
        <f t="shared" si="21"/>
        <v/>
      </c>
      <c r="AH237" t="str">
        <f t="shared" si="22"/>
        <v/>
      </c>
      <c r="AI237" t="str">
        <f>IF($AG237="","",SUMIF($AG$2:$AG237,$AG237,$AH$2:$AH237))</f>
        <v/>
      </c>
      <c r="AJ237" t="str">
        <f>IF('TMP Paste'!$F237="","",IF('TMP Paste'!$B237="",$AJ236,'TMP Paste'!$B237))</f>
        <v/>
      </c>
      <c r="AK237" t="str">
        <f>IF('TMP Paste'!$F237="","",N('TMP Paste'!$G237))</f>
        <v/>
      </c>
      <c r="AL237" t="str">
        <f>IF('TMP Paste'!$F237="","",IF('TMP Paste'!$M237="",$AL236,'TMP Paste'!$M237))</f>
        <v/>
      </c>
      <c r="AM237" t="str">
        <f>IF('TMP Paste'!$F237="","",IF('TMP Paste'!$N237="",$AM236,'TMP Paste'!$N237))</f>
        <v/>
      </c>
      <c r="AN237" t="str">
        <f>IF('TMP Paste'!$F237="","",IF('TMP Paste'!$O237="",$AN236,'TMP Paste'!$O237))</f>
        <v/>
      </c>
      <c r="AO237" t="str">
        <f>IF('TMP Paste'!$F237="","",IF('TMP Paste'!$P237="",$AO236,'TMP Paste'!$P237))</f>
        <v/>
      </c>
      <c r="AP237" t="str">
        <f t="shared" si="23"/>
        <v/>
      </c>
      <c r="AQ237" t="str">
        <f>IF($AS237="","",TRIM(IF(COUNTIFS(Calc!$B$2:$B$1601,ROW()-1,Calc!$C$2:$C$1601,"&lt;1")&gt;0,"Ada PO tanpa Koli - cek TMP. ","")&amp;IF(OR($AU237="",$AU237&lt;=0),"Volume kosong/0 - dimensi dikosongkan. ","")&amp;IF(AND($AU237&lt;&gt;"",$AU237&gt;=1000000),"Volume &gt;= 1.000.000 cm3 (di luar aturan) - dimensi dikosongkan. ","")&amp;IF(LEN($R237)&gt;500,"R &gt; 500 karakter.","")))</f>
        <v/>
      </c>
      <c r="AS237" t="str">
        <f>IFERROR(MATCH(ROW()-1,Calc!$J$2:$J$1601,0),"")</f>
        <v/>
      </c>
      <c r="AT237" t="str">
        <f>IFERROR(MATCH(ROW()-1,Calc!$K$2:$K$1601,0),"")</f>
        <v/>
      </c>
      <c r="AU237" t="str">
        <f>IF($AS237="","",IFERROR(INDEX('TMP Paste'!$D$2:$D$1601,$AS237)*1000000/$AB237,""))</f>
        <v/>
      </c>
    </row>
    <row r="238" spans="1:47">
      <c r="A238" t="str">
        <f>IF($AS238="","",INDEX('TMP Paste'!$B$2:$B$1601,$AS238))</f>
        <v/>
      </c>
      <c r="B238" t="str">
        <f>IF($AS238="","",Config!$B$14)</f>
        <v/>
      </c>
      <c r="C238" t="str">
        <f>IF($AS238="","",Config!$B$15)</f>
        <v/>
      </c>
      <c r="D238" t="str">
        <f>IF($AS238="","",INDEX('TMP Paste'!$B$2:$B$1601,$AS238))</f>
        <v/>
      </c>
      <c r="E238" t="str">
        <f>IF($AS238="","",Config!$B$27)</f>
        <v/>
      </c>
      <c r="F238" t="str">
        <f>IF($AS238="","",Config!$B$9)</f>
        <v/>
      </c>
      <c r="G238" t="str">
        <f>IF($AS238="","",Config!$B$10)</f>
        <v/>
      </c>
      <c r="H238" t="str">
        <f>IF($AS238="","",Config!$B$11)</f>
        <v/>
      </c>
      <c r="I238" t="str">
        <f>IF($AS238="","",Config!$B$16)</f>
        <v/>
      </c>
      <c r="J238" t="str">
        <f>IF($AS238="","",INDEX('TMP Paste'!$A$2:$A$1601,$AS238))</f>
        <v/>
      </c>
      <c r="K238" t="str">
        <f>IF($AS238="","",INDEX('TMP Paste'!$L$2:$L$1601,$AS238))</f>
        <v/>
      </c>
      <c r="L238" t="str">
        <f>IF($AS238="","",INDEX('TMP Paste'!$I$2:$I$1601,$AS238))</f>
        <v/>
      </c>
      <c r="M238" t="str">
        <f>IF($AS238="","",Config!$B$16)</f>
        <v/>
      </c>
      <c r="N238" t="str">
        <f t="shared" si="18"/>
        <v/>
      </c>
      <c r="O238" t="str">
        <f>IF($AS238="","",INDEX('TMP Paste'!$K$2:$K$1601,$AS238))</f>
        <v/>
      </c>
      <c r="P238" t="str">
        <f t="shared" si="19"/>
        <v/>
      </c>
      <c r="Q238" t="str">
        <f>IF($AS238="","",INDEX('TMP Paste'!$J$2:$J$1601,$AS238))</f>
        <v/>
      </c>
      <c r="R238" t="str">
        <f>IF($AS238="","",Config!$B$24)</f>
        <v/>
      </c>
      <c r="S238" t="str">
        <f ca="1">IF($AS238="","",TEXT(Config!$B$4,"yyyy-mm-dd"))</f>
        <v/>
      </c>
      <c r="T238" t="str">
        <f>IF($AS238="","",Config!$B$17)</f>
        <v/>
      </c>
      <c r="U238" t="str">
        <f>IF($AS238="","",Config!$B$18)</f>
        <v/>
      </c>
      <c r="V238" t="str">
        <f>IF($AS238="","",Config!$B$19)</f>
        <v/>
      </c>
      <c r="W238" t="str">
        <f>IF($AS238="","",INDEX('TMP Paste'!$C$2:$C$1601,$AS238))</f>
        <v/>
      </c>
      <c r="X238" t="str">
        <f>IF($AS238="","",Config!$B$29)</f>
        <v/>
      </c>
      <c r="Y238" t="str">
        <f>IF($AT238="","",INDEX(Calc!$I$2:$I$1601,$AT238)&amp;" - "&amp;INDEX(Calc!$D$2:$D$1601,$AT238)&amp;" koli")</f>
        <v/>
      </c>
      <c r="Z238" t="str">
        <f>IF($AS238="","",Config!$B$21)</f>
        <v/>
      </c>
      <c r="AA238" t="str">
        <f>IF($AS238="","",Config!$B$22)</f>
        <v/>
      </c>
      <c r="AB238" t="str">
        <f>IF($AT238="","",INDEX(Calc!$D$2:$D$1601,$AT238))</f>
        <v/>
      </c>
      <c r="AC238" t="str">
        <f>IF($AT238="","",INDEX(Calc!$G$2:$G$1601,$AT238))</f>
        <v/>
      </c>
      <c r="AD238" t="str">
        <f>IF($AS238="","",Config!$B$23)</f>
        <v/>
      </c>
      <c r="AE238" t="str">
        <f>IF($AS238="","",Config!$B$28)</f>
        <v/>
      </c>
      <c r="AF238" t="str">
        <f t="shared" si="20"/>
        <v/>
      </c>
      <c r="AG238" t="str">
        <f t="shared" si="21"/>
        <v/>
      </c>
      <c r="AH238" t="str">
        <f t="shared" si="22"/>
        <v/>
      </c>
      <c r="AI238" t="str">
        <f>IF($AG238="","",SUMIF($AG$2:$AG238,$AG238,$AH$2:$AH238))</f>
        <v/>
      </c>
      <c r="AJ238" t="str">
        <f>IF('TMP Paste'!$F238="","",IF('TMP Paste'!$B238="",$AJ237,'TMP Paste'!$B238))</f>
        <v/>
      </c>
      <c r="AK238" t="str">
        <f>IF('TMP Paste'!$F238="","",N('TMP Paste'!$G238))</f>
        <v/>
      </c>
      <c r="AL238" t="str">
        <f>IF('TMP Paste'!$F238="","",IF('TMP Paste'!$M238="",$AL237,'TMP Paste'!$M238))</f>
        <v/>
      </c>
      <c r="AM238" t="str">
        <f>IF('TMP Paste'!$F238="","",IF('TMP Paste'!$N238="",$AM237,'TMP Paste'!$N238))</f>
        <v/>
      </c>
      <c r="AN238" t="str">
        <f>IF('TMP Paste'!$F238="","",IF('TMP Paste'!$O238="",$AN237,'TMP Paste'!$O238))</f>
        <v/>
      </c>
      <c r="AO238" t="str">
        <f>IF('TMP Paste'!$F238="","",IF('TMP Paste'!$P238="",$AO237,'TMP Paste'!$P238))</f>
        <v/>
      </c>
      <c r="AP238" t="str">
        <f t="shared" si="23"/>
        <v/>
      </c>
      <c r="AQ238" t="str">
        <f>IF($AS238="","",TRIM(IF(COUNTIFS(Calc!$B$2:$B$1601,ROW()-1,Calc!$C$2:$C$1601,"&lt;1")&gt;0,"Ada PO tanpa Koli - cek TMP. ","")&amp;IF(OR($AU238="",$AU238&lt;=0),"Volume kosong/0 - dimensi dikosongkan. ","")&amp;IF(AND($AU238&lt;&gt;"",$AU238&gt;=1000000),"Volume &gt;= 1.000.000 cm3 (di luar aturan) - dimensi dikosongkan. ","")&amp;IF(LEN($R238)&gt;500,"R &gt; 500 karakter.","")))</f>
        <v/>
      </c>
      <c r="AS238" t="str">
        <f>IFERROR(MATCH(ROW()-1,Calc!$J$2:$J$1601,0),"")</f>
        <v/>
      </c>
      <c r="AT238" t="str">
        <f>IFERROR(MATCH(ROW()-1,Calc!$K$2:$K$1601,0),"")</f>
        <v/>
      </c>
      <c r="AU238" t="str">
        <f>IF($AS238="","",IFERROR(INDEX('TMP Paste'!$D$2:$D$1601,$AS238)*1000000/$AB238,""))</f>
        <v/>
      </c>
    </row>
    <row r="239" spans="1:47">
      <c r="A239" t="str">
        <f>IF($AS239="","",INDEX('TMP Paste'!$B$2:$B$1601,$AS239))</f>
        <v/>
      </c>
      <c r="B239" t="str">
        <f>IF($AS239="","",Config!$B$14)</f>
        <v/>
      </c>
      <c r="C239" t="str">
        <f>IF($AS239="","",Config!$B$15)</f>
        <v/>
      </c>
      <c r="D239" t="str">
        <f>IF($AS239="","",INDEX('TMP Paste'!$B$2:$B$1601,$AS239))</f>
        <v/>
      </c>
      <c r="E239" t="str">
        <f>IF($AS239="","",Config!$B$27)</f>
        <v/>
      </c>
      <c r="F239" t="str">
        <f>IF($AS239="","",Config!$B$9)</f>
        <v/>
      </c>
      <c r="G239" t="str">
        <f>IF($AS239="","",Config!$B$10)</f>
        <v/>
      </c>
      <c r="H239" t="str">
        <f>IF($AS239="","",Config!$B$11)</f>
        <v/>
      </c>
      <c r="I239" t="str">
        <f>IF($AS239="","",Config!$B$16)</f>
        <v/>
      </c>
      <c r="J239" t="str">
        <f>IF($AS239="","",INDEX('TMP Paste'!$A$2:$A$1601,$AS239))</f>
        <v/>
      </c>
      <c r="K239" t="str">
        <f>IF($AS239="","",INDEX('TMP Paste'!$L$2:$L$1601,$AS239))</f>
        <v/>
      </c>
      <c r="L239" t="str">
        <f>IF($AS239="","",INDEX('TMP Paste'!$I$2:$I$1601,$AS239))</f>
        <v/>
      </c>
      <c r="M239" t="str">
        <f>IF($AS239="","",Config!$B$16)</f>
        <v/>
      </c>
      <c r="N239" t="str">
        <f t="shared" si="18"/>
        <v/>
      </c>
      <c r="O239" t="str">
        <f>IF($AS239="","",INDEX('TMP Paste'!$K$2:$K$1601,$AS239))</f>
        <v/>
      </c>
      <c r="P239" t="str">
        <f t="shared" si="19"/>
        <v/>
      </c>
      <c r="Q239" t="str">
        <f>IF($AS239="","",INDEX('TMP Paste'!$J$2:$J$1601,$AS239))</f>
        <v/>
      </c>
      <c r="R239" t="str">
        <f>IF($AS239="","",Config!$B$24)</f>
        <v/>
      </c>
      <c r="S239" t="str">
        <f ca="1">IF($AS239="","",TEXT(Config!$B$4,"yyyy-mm-dd"))</f>
        <v/>
      </c>
      <c r="T239" t="str">
        <f>IF($AS239="","",Config!$B$17)</f>
        <v/>
      </c>
      <c r="U239" t="str">
        <f>IF($AS239="","",Config!$B$18)</f>
        <v/>
      </c>
      <c r="V239" t="str">
        <f>IF($AS239="","",Config!$B$19)</f>
        <v/>
      </c>
      <c r="W239" t="str">
        <f>IF($AS239="","",INDEX('TMP Paste'!$C$2:$C$1601,$AS239))</f>
        <v/>
      </c>
      <c r="X239" t="str">
        <f>IF($AS239="","",Config!$B$29)</f>
        <v/>
      </c>
      <c r="Y239" t="str">
        <f>IF($AT239="","",INDEX(Calc!$I$2:$I$1601,$AT239)&amp;" - "&amp;INDEX(Calc!$D$2:$D$1601,$AT239)&amp;" koli")</f>
        <v/>
      </c>
      <c r="Z239" t="str">
        <f>IF($AS239="","",Config!$B$21)</f>
        <v/>
      </c>
      <c r="AA239" t="str">
        <f>IF($AS239="","",Config!$B$22)</f>
        <v/>
      </c>
      <c r="AB239" t="str">
        <f>IF($AT239="","",INDEX(Calc!$D$2:$D$1601,$AT239))</f>
        <v/>
      </c>
      <c r="AC239" t="str">
        <f>IF($AT239="","",INDEX(Calc!$G$2:$G$1601,$AT239))</f>
        <v/>
      </c>
      <c r="AD239" t="str">
        <f>IF($AS239="","",Config!$B$23)</f>
        <v/>
      </c>
      <c r="AE239" t="str">
        <f>IF($AS239="","",Config!$B$28)</f>
        <v/>
      </c>
      <c r="AF239" t="str">
        <f t="shared" si="20"/>
        <v/>
      </c>
      <c r="AG239" t="str">
        <f t="shared" si="21"/>
        <v/>
      </c>
      <c r="AH239" t="str">
        <f t="shared" si="22"/>
        <v/>
      </c>
      <c r="AI239" t="str">
        <f>IF($AG239="","",SUMIF($AG$2:$AG239,$AG239,$AH$2:$AH239))</f>
        <v/>
      </c>
      <c r="AJ239" t="str">
        <f>IF('TMP Paste'!$F239="","",IF('TMP Paste'!$B239="",$AJ238,'TMP Paste'!$B239))</f>
        <v/>
      </c>
      <c r="AK239" t="str">
        <f>IF('TMP Paste'!$F239="","",N('TMP Paste'!$G239))</f>
        <v/>
      </c>
      <c r="AL239" t="str">
        <f>IF('TMP Paste'!$F239="","",IF('TMP Paste'!$M239="",$AL238,'TMP Paste'!$M239))</f>
        <v/>
      </c>
      <c r="AM239" t="str">
        <f>IF('TMP Paste'!$F239="","",IF('TMP Paste'!$N239="",$AM238,'TMP Paste'!$N239))</f>
        <v/>
      </c>
      <c r="AN239" t="str">
        <f>IF('TMP Paste'!$F239="","",IF('TMP Paste'!$O239="",$AN238,'TMP Paste'!$O239))</f>
        <v/>
      </c>
      <c r="AO239" t="str">
        <f>IF('TMP Paste'!$F239="","",IF('TMP Paste'!$P239="",$AO238,'TMP Paste'!$P239))</f>
        <v/>
      </c>
      <c r="AP239" t="str">
        <f t="shared" si="23"/>
        <v/>
      </c>
      <c r="AQ239" t="str">
        <f>IF($AS239="","",TRIM(IF(COUNTIFS(Calc!$B$2:$B$1601,ROW()-1,Calc!$C$2:$C$1601,"&lt;1")&gt;0,"Ada PO tanpa Koli - cek TMP. ","")&amp;IF(OR($AU239="",$AU239&lt;=0),"Volume kosong/0 - dimensi dikosongkan. ","")&amp;IF(AND($AU239&lt;&gt;"",$AU239&gt;=1000000),"Volume &gt;= 1.000.000 cm3 (di luar aturan) - dimensi dikosongkan. ","")&amp;IF(LEN($R239)&gt;500,"R &gt; 500 karakter.","")))</f>
        <v/>
      </c>
      <c r="AS239" t="str">
        <f>IFERROR(MATCH(ROW()-1,Calc!$J$2:$J$1601,0),"")</f>
        <v/>
      </c>
      <c r="AT239" t="str">
        <f>IFERROR(MATCH(ROW()-1,Calc!$K$2:$K$1601,0),"")</f>
        <v/>
      </c>
      <c r="AU239" t="str">
        <f>IF($AS239="","",IFERROR(INDEX('TMP Paste'!$D$2:$D$1601,$AS239)*1000000/$AB239,""))</f>
        <v/>
      </c>
    </row>
    <row r="240" spans="1:47">
      <c r="A240" t="str">
        <f>IF($AS240="","",INDEX('TMP Paste'!$B$2:$B$1601,$AS240))</f>
        <v/>
      </c>
      <c r="B240" t="str">
        <f>IF($AS240="","",Config!$B$14)</f>
        <v/>
      </c>
      <c r="C240" t="str">
        <f>IF($AS240="","",Config!$B$15)</f>
        <v/>
      </c>
      <c r="D240" t="str">
        <f>IF($AS240="","",INDEX('TMP Paste'!$B$2:$B$1601,$AS240))</f>
        <v/>
      </c>
      <c r="E240" t="str">
        <f>IF($AS240="","",Config!$B$27)</f>
        <v/>
      </c>
      <c r="F240" t="str">
        <f>IF($AS240="","",Config!$B$9)</f>
        <v/>
      </c>
      <c r="G240" t="str">
        <f>IF($AS240="","",Config!$B$10)</f>
        <v/>
      </c>
      <c r="H240" t="str">
        <f>IF($AS240="","",Config!$B$11)</f>
        <v/>
      </c>
      <c r="I240" t="str">
        <f>IF($AS240="","",Config!$B$16)</f>
        <v/>
      </c>
      <c r="J240" t="str">
        <f>IF($AS240="","",INDEX('TMP Paste'!$A$2:$A$1601,$AS240))</f>
        <v/>
      </c>
      <c r="K240" t="str">
        <f>IF($AS240="","",INDEX('TMP Paste'!$L$2:$L$1601,$AS240))</f>
        <v/>
      </c>
      <c r="L240" t="str">
        <f>IF($AS240="","",INDEX('TMP Paste'!$I$2:$I$1601,$AS240))</f>
        <v/>
      </c>
      <c r="M240" t="str">
        <f>IF($AS240="","",Config!$B$16)</f>
        <v/>
      </c>
      <c r="N240" t="str">
        <f t="shared" si="18"/>
        <v/>
      </c>
      <c r="O240" t="str">
        <f>IF($AS240="","",INDEX('TMP Paste'!$K$2:$K$1601,$AS240))</f>
        <v/>
      </c>
      <c r="P240" t="str">
        <f t="shared" si="19"/>
        <v/>
      </c>
      <c r="Q240" t="str">
        <f>IF($AS240="","",INDEX('TMP Paste'!$J$2:$J$1601,$AS240))</f>
        <v/>
      </c>
      <c r="R240" t="str">
        <f>IF($AS240="","",Config!$B$24)</f>
        <v/>
      </c>
      <c r="S240" t="str">
        <f ca="1">IF($AS240="","",TEXT(Config!$B$4,"yyyy-mm-dd"))</f>
        <v/>
      </c>
      <c r="T240" t="str">
        <f>IF($AS240="","",Config!$B$17)</f>
        <v/>
      </c>
      <c r="U240" t="str">
        <f>IF($AS240="","",Config!$B$18)</f>
        <v/>
      </c>
      <c r="V240" t="str">
        <f>IF($AS240="","",Config!$B$19)</f>
        <v/>
      </c>
      <c r="W240" t="str">
        <f>IF($AS240="","",INDEX('TMP Paste'!$C$2:$C$1601,$AS240))</f>
        <v/>
      </c>
      <c r="X240" t="str">
        <f>IF($AS240="","",Config!$B$29)</f>
        <v/>
      </c>
      <c r="Y240" t="str">
        <f>IF($AT240="","",INDEX(Calc!$I$2:$I$1601,$AT240)&amp;" - "&amp;INDEX(Calc!$D$2:$D$1601,$AT240)&amp;" koli")</f>
        <v/>
      </c>
      <c r="Z240" t="str">
        <f>IF($AS240="","",Config!$B$21)</f>
        <v/>
      </c>
      <c r="AA240" t="str">
        <f>IF($AS240="","",Config!$B$22)</f>
        <v/>
      </c>
      <c r="AB240" t="str">
        <f>IF($AT240="","",INDEX(Calc!$D$2:$D$1601,$AT240))</f>
        <v/>
      </c>
      <c r="AC240" t="str">
        <f>IF($AT240="","",INDEX(Calc!$G$2:$G$1601,$AT240))</f>
        <v/>
      </c>
      <c r="AD240" t="str">
        <f>IF($AS240="","",Config!$B$23)</f>
        <v/>
      </c>
      <c r="AE240" t="str">
        <f>IF($AS240="","",Config!$B$28)</f>
        <v/>
      </c>
      <c r="AF240" t="str">
        <f t="shared" si="20"/>
        <v/>
      </c>
      <c r="AG240" t="str">
        <f t="shared" si="21"/>
        <v/>
      </c>
      <c r="AH240" t="str">
        <f t="shared" si="22"/>
        <v/>
      </c>
      <c r="AI240" t="str">
        <f>IF($AG240="","",SUMIF($AG$2:$AG240,$AG240,$AH$2:$AH240))</f>
        <v/>
      </c>
      <c r="AJ240" t="str">
        <f>IF('TMP Paste'!$F240="","",IF('TMP Paste'!$B240="",$AJ239,'TMP Paste'!$B240))</f>
        <v/>
      </c>
      <c r="AK240" t="str">
        <f>IF('TMP Paste'!$F240="","",N('TMP Paste'!$G240))</f>
        <v/>
      </c>
      <c r="AL240" t="str">
        <f>IF('TMP Paste'!$F240="","",IF('TMP Paste'!$M240="",$AL239,'TMP Paste'!$M240))</f>
        <v/>
      </c>
      <c r="AM240" t="str">
        <f>IF('TMP Paste'!$F240="","",IF('TMP Paste'!$N240="",$AM239,'TMP Paste'!$N240))</f>
        <v/>
      </c>
      <c r="AN240" t="str">
        <f>IF('TMP Paste'!$F240="","",IF('TMP Paste'!$O240="",$AN239,'TMP Paste'!$O240))</f>
        <v/>
      </c>
      <c r="AO240" t="str">
        <f>IF('TMP Paste'!$F240="","",IF('TMP Paste'!$P240="",$AO239,'TMP Paste'!$P240))</f>
        <v/>
      </c>
      <c r="AP240" t="str">
        <f t="shared" si="23"/>
        <v/>
      </c>
      <c r="AQ240" t="str">
        <f>IF($AS240="","",TRIM(IF(COUNTIFS(Calc!$B$2:$B$1601,ROW()-1,Calc!$C$2:$C$1601,"&lt;1")&gt;0,"Ada PO tanpa Koli - cek TMP. ","")&amp;IF(OR($AU240="",$AU240&lt;=0),"Volume kosong/0 - dimensi dikosongkan. ","")&amp;IF(AND($AU240&lt;&gt;"",$AU240&gt;=1000000),"Volume &gt;= 1.000.000 cm3 (di luar aturan) - dimensi dikosongkan. ","")&amp;IF(LEN($R240)&gt;500,"R &gt; 500 karakter.","")))</f>
        <v/>
      </c>
      <c r="AS240" t="str">
        <f>IFERROR(MATCH(ROW()-1,Calc!$J$2:$J$1601,0),"")</f>
        <v/>
      </c>
      <c r="AT240" t="str">
        <f>IFERROR(MATCH(ROW()-1,Calc!$K$2:$K$1601,0),"")</f>
        <v/>
      </c>
      <c r="AU240" t="str">
        <f>IF($AS240="","",IFERROR(INDEX('TMP Paste'!$D$2:$D$1601,$AS240)*1000000/$AB240,""))</f>
        <v/>
      </c>
    </row>
    <row r="241" spans="1:47">
      <c r="A241" t="str">
        <f>IF($AS241="","",INDEX('TMP Paste'!$B$2:$B$1601,$AS241))</f>
        <v/>
      </c>
      <c r="B241" t="str">
        <f>IF($AS241="","",Config!$B$14)</f>
        <v/>
      </c>
      <c r="C241" t="str">
        <f>IF($AS241="","",Config!$B$15)</f>
        <v/>
      </c>
      <c r="D241" t="str">
        <f>IF($AS241="","",INDEX('TMP Paste'!$B$2:$B$1601,$AS241))</f>
        <v/>
      </c>
      <c r="E241" t="str">
        <f>IF($AS241="","",Config!$B$27)</f>
        <v/>
      </c>
      <c r="F241" t="str">
        <f>IF($AS241="","",Config!$B$9)</f>
        <v/>
      </c>
      <c r="G241" t="str">
        <f>IF($AS241="","",Config!$B$10)</f>
        <v/>
      </c>
      <c r="H241" t="str">
        <f>IF($AS241="","",Config!$B$11)</f>
        <v/>
      </c>
      <c r="I241" t="str">
        <f>IF($AS241="","",Config!$B$16)</f>
        <v/>
      </c>
      <c r="J241" t="str">
        <f>IF($AS241="","",INDEX('TMP Paste'!$A$2:$A$1601,$AS241))</f>
        <v/>
      </c>
      <c r="K241" t="str">
        <f>IF($AS241="","",INDEX('TMP Paste'!$L$2:$L$1601,$AS241))</f>
        <v/>
      </c>
      <c r="L241" t="str">
        <f>IF($AS241="","",INDEX('TMP Paste'!$I$2:$I$1601,$AS241))</f>
        <v/>
      </c>
      <c r="M241" t="str">
        <f>IF($AS241="","",Config!$B$16)</f>
        <v/>
      </c>
      <c r="N241" t="str">
        <f t="shared" si="18"/>
        <v/>
      </c>
      <c r="O241" t="str">
        <f>IF($AS241="","",INDEX('TMP Paste'!$K$2:$K$1601,$AS241))</f>
        <v/>
      </c>
      <c r="P241" t="str">
        <f t="shared" si="19"/>
        <v/>
      </c>
      <c r="Q241" t="str">
        <f>IF($AS241="","",INDEX('TMP Paste'!$J$2:$J$1601,$AS241))</f>
        <v/>
      </c>
      <c r="R241" t="str">
        <f>IF($AS241="","",Config!$B$24)</f>
        <v/>
      </c>
      <c r="S241" t="str">
        <f ca="1">IF($AS241="","",TEXT(Config!$B$4,"yyyy-mm-dd"))</f>
        <v/>
      </c>
      <c r="T241" t="str">
        <f>IF($AS241="","",Config!$B$17)</f>
        <v/>
      </c>
      <c r="U241" t="str">
        <f>IF($AS241="","",Config!$B$18)</f>
        <v/>
      </c>
      <c r="V241" t="str">
        <f>IF($AS241="","",Config!$B$19)</f>
        <v/>
      </c>
      <c r="W241" t="str">
        <f>IF($AS241="","",INDEX('TMP Paste'!$C$2:$C$1601,$AS241))</f>
        <v/>
      </c>
      <c r="X241" t="str">
        <f>IF($AS241="","",Config!$B$29)</f>
        <v/>
      </c>
      <c r="Y241" t="str">
        <f>IF($AT241="","",INDEX(Calc!$I$2:$I$1601,$AT241)&amp;" - "&amp;INDEX(Calc!$D$2:$D$1601,$AT241)&amp;" koli")</f>
        <v/>
      </c>
      <c r="Z241" t="str">
        <f>IF($AS241="","",Config!$B$21)</f>
        <v/>
      </c>
      <c r="AA241" t="str">
        <f>IF($AS241="","",Config!$B$22)</f>
        <v/>
      </c>
      <c r="AB241" t="str">
        <f>IF($AT241="","",INDEX(Calc!$D$2:$D$1601,$AT241))</f>
        <v/>
      </c>
      <c r="AC241" t="str">
        <f>IF($AT241="","",INDEX(Calc!$G$2:$G$1601,$AT241))</f>
        <v/>
      </c>
      <c r="AD241" t="str">
        <f>IF($AS241="","",Config!$B$23)</f>
        <v/>
      </c>
      <c r="AE241" t="str">
        <f>IF($AS241="","",Config!$B$28)</f>
        <v/>
      </c>
      <c r="AF241" t="str">
        <f t="shared" si="20"/>
        <v/>
      </c>
      <c r="AG241" t="str">
        <f t="shared" si="21"/>
        <v/>
      </c>
      <c r="AH241" t="str">
        <f t="shared" si="22"/>
        <v/>
      </c>
      <c r="AI241" t="str">
        <f>IF($AG241="","",SUMIF($AG$2:$AG241,$AG241,$AH$2:$AH241))</f>
        <v/>
      </c>
      <c r="AJ241" t="str">
        <f>IF('TMP Paste'!$F241="","",IF('TMP Paste'!$B241="",$AJ240,'TMP Paste'!$B241))</f>
        <v/>
      </c>
      <c r="AK241" t="str">
        <f>IF('TMP Paste'!$F241="","",N('TMP Paste'!$G241))</f>
        <v/>
      </c>
      <c r="AL241" t="str">
        <f>IF('TMP Paste'!$F241="","",IF('TMP Paste'!$M241="",$AL240,'TMP Paste'!$M241))</f>
        <v/>
      </c>
      <c r="AM241" t="str">
        <f>IF('TMP Paste'!$F241="","",IF('TMP Paste'!$N241="",$AM240,'TMP Paste'!$N241))</f>
        <v/>
      </c>
      <c r="AN241" t="str">
        <f>IF('TMP Paste'!$F241="","",IF('TMP Paste'!$O241="",$AN240,'TMP Paste'!$O241))</f>
        <v/>
      </c>
      <c r="AO241" t="str">
        <f>IF('TMP Paste'!$F241="","",IF('TMP Paste'!$P241="",$AO240,'TMP Paste'!$P241))</f>
        <v/>
      </c>
      <c r="AP241" t="str">
        <f t="shared" si="23"/>
        <v/>
      </c>
      <c r="AQ241" t="str">
        <f>IF($AS241="","",TRIM(IF(COUNTIFS(Calc!$B$2:$B$1601,ROW()-1,Calc!$C$2:$C$1601,"&lt;1")&gt;0,"Ada PO tanpa Koli - cek TMP. ","")&amp;IF(OR($AU241="",$AU241&lt;=0),"Volume kosong/0 - dimensi dikosongkan. ","")&amp;IF(AND($AU241&lt;&gt;"",$AU241&gt;=1000000),"Volume &gt;= 1.000.000 cm3 (di luar aturan) - dimensi dikosongkan. ","")&amp;IF(LEN($R241)&gt;500,"R &gt; 500 karakter.","")))</f>
        <v/>
      </c>
      <c r="AS241" t="str">
        <f>IFERROR(MATCH(ROW()-1,Calc!$J$2:$J$1601,0),"")</f>
        <v/>
      </c>
      <c r="AT241" t="str">
        <f>IFERROR(MATCH(ROW()-1,Calc!$K$2:$K$1601,0),"")</f>
        <v/>
      </c>
      <c r="AU241" t="str">
        <f>IF($AS241="","",IFERROR(INDEX('TMP Paste'!$D$2:$D$1601,$AS241)*1000000/$AB241,""))</f>
        <v/>
      </c>
    </row>
    <row r="242" spans="1:47">
      <c r="A242" t="str">
        <f>IF($AS242="","",INDEX('TMP Paste'!$B$2:$B$1601,$AS242))</f>
        <v/>
      </c>
      <c r="B242" t="str">
        <f>IF($AS242="","",Config!$B$14)</f>
        <v/>
      </c>
      <c r="C242" t="str">
        <f>IF($AS242="","",Config!$B$15)</f>
        <v/>
      </c>
      <c r="D242" t="str">
        <f>IF($AS242="","",INDEX('TMP Paste'!$B$2:$B$1601,$AS242))</f>
        <v/>
      </c>
      <c r="E242" t="str">
        <f>IF($AS242="","",Config!$B$27)</f>
        <v/>
      </c>
      <c r="F242" t="str">
        <f>IF($AS242="","",Config!$B$9)</f>
        <v/>
      </c>
      <c r="G242" t="str">
        <f>IF($AS242="","",Config!$B$10)</f>
        <v/>
      </c>
      <c r="H242" t="str">
        <f>IF($AS242="","",Config!$B$11)</f>
        <v/>
      </c>
      <c r="I242" t="str">
        <f>IF($AS242="","",Config!$B$16)</f>
        <v/>
      </c>
      <c r="J242" t="str">
        <f>IF($AS242="","",INDEX('TMP Paste'!$A$2:$A$1601,$AS242))</f>
        <v/>
      </c>
      <c r="K242" t="str">
        <f>IF($AS242="","",INDEX('TMP Paste'!$L$2:$L$1601,$AS242))</f>
        <v/>
      </c>
      <c r="L242" t="str">
        <f>IF($AS242="","",INDEX('TMP Paste'!$I$2:$I$1601,$AS242))</f>
        <v/>
      </c>
      <c r="M242" t="str">
        <f>IF($AS242="","",Config!$B$16)</f>
        <v/>
      </c>
      <c r="N242" t="str">
        <f t="shared" si="18"/>
        <v/>
      </c>
      <c r="O242" t="str">
        <f>IF($AS242="","",INDEX('TMP Paste'!$K$2:$K$1601,$AS242))</f>
        <v/>
      </c>
      <c r="P242" t="str">
        <f t="shared" si="19"/>
        <v/>
      </c>
      <c r="Q242" t="str">
        <f>IF($AS242="","",INDEX('TMP Paste'!$J$2:$J$1601,$AS242))</f>
        <v/>
      </c>
      <c r="R242" t="str">
        <f>IF($AS242="","",Config!$B$24)</f>
        <v/>
      </c>
      <c r="S242" t="str">
        <f ca="1">IF($AS242="","",TEXT(Config!$B$4,"yyyy-mm-dd"))</f>
        <v/>
      </c>
      <c r="T242" t="str">
        <f>IF($AS242="","",Config!$B$17)</f>
        <v/>
      </c>
      <c r="U242" t="str">
        <f>IF($AS242="","",Config!$B$18)</f>
        <v/>
      </c>
      <c r="V242" t="str">
        <f>IF($AS242="","",Config!$B$19)</f>
        <v/>
      </c>
      <c r="W242" t="str">
        <f>IF($AS242="","",INDEX('TMP Paste'!$C$2:$C$1601,$AS242))</f>
        <v/>
      </c>
      <c r="X242" t="str">
        <f>IF($AS242="","",Config!$B$29)</f>
        <v/>
      </c>
      <c r="Y242" t="str">
        <f>IF($AT242="","",INDEX(Calc!$I$2:$I$1601,$AT242)&amp;" - "&amp;INDEX(Calc!$D$2:$D$1601,$AT242)&amp;" koli")</f>
        <v/>
      </c>
      <c r="Z242" t="str">
        <f>IF($AS242="","",Config!$B$21)</f>
        <v/>
      </c>
      <c r="AA242" t="str">
        <f>IF($AS242="","",Config!$B$22)</f>
        <v/>
      </c>
      <c r="AB242" t="str">
        <f>IF($AT242="","",INDEX(Calc!$D$2:$D$1601,$AT242))</f>
        <v/>
      </c>
      <c r="AC242" t="str">
        <f>IF($AT242="","",INDEX(Calc!$G$2:$G$1601,$AT242))</f>
        <v/>
      </c>
      <c r="AD242" t="str">
        <f>IF($AS242="","",Config!$B$23)</f>
        <v/>
      </c>
      <c r="AE242" t="str">
        <f>IF($AS242="","",Config!$B$28)</f>
        <v/>
      </c>
      <c r="AF242" t="str">
        <f t="shared" si="20"/>
        <v/>
      </c>
      <c r="AG242" t="str">
        <f t="shared" si="21"/>
        <v/>
      </c>
      <c r="AH242" t="str">
        <f t="shared" si="22"/>
        <v/>
      </c>
      <c r="AI242" t="str">
        <f>IF($AG242="","",SUMIF($AG$2:$AG242,$AG242,$AH$2:$AH242))</f>
        <v/>
      </c>
      <c r="AJ242" t="str">
        <f>IF('TMP Paste'!$F242="","",IF('TMP Paste'!$B242="",$AJ241,'TMP Paste'!$B242))</f>
        <v/>
      </c>
      <c r="AK242" t="str">
        <f>IF('TMP Paste'!$F242="","",N('TMP Paste'!$G242))</f>
        <v/>
      </c>
      <c r="AL242" t="str">
        <f>IF('TMP Paste'!$F242="","",IF('TMP Paste'!$M242="",$AL241,'TMP Paste'!$M242))</f>
        <v/>
      </c>
      <c r="AM242" t="str">
        <f>IF('TMP Paste'!$F242="","",IF('TMP Paste'!$N242="",$AM241,'TMP Paste'!$N242))</f>
        <v/>
      </c>
      <c r="AN242" t="str">
        <f>IF('TMP Paste'!$F242="","",IF('TMP Paste'!$O242="",$AN241,'TMP Paste'!$O242))</f>
        <v/>
      </c>
      <c r="AO242" t="str">
        <f>IF('TMP Paste'!$F242="","",IF('TMP Paste'!$P242="",$AO241,'TMP Paste'!$P242))</f>
        <v/>
      </c>
      <c r="AP242" t="str">
        <f t="shared" si="23"/>
        <v/>
      </c>
      <c r="AQ242" t="str">
        <f>IF($AS242="","",TRIM(IF(COUNTIFS(Calc!$B$2:$B$1601,ROW()-1,Calc!$C$2:$C$1601,"&lt;1")&gt;0,"Ada PO tanpa Koli - cek TMP. ","")&amp;IF(OR($AU242="",$AU242&lt;=0),"Volume kosong/0 - dimensi dikosongkan. ","")&amp;IF(AND($AU242&lt;&gt;"",$AU242&gt;=1000000),"Volume &gt;= 1.000.000 cm3 (di luar aturan) - dimensi dikosongkan. ","")&amp;IF(LEN($R242)&gt;500,"R &gt; 500 karakter.","")))</f>
        <v/>
      </c>
      <c r="AS242" t="str">
        <f>IFERROR(MATCH(ROW()-1,Calc!$J$2:$J$1601,0),"")</f>
        <v/>
      </c>
      <c r="AT242" t="str">
        <f>IFERROR(MATCH(ROW()-1,Calc!$K$2:$K$1601,0),"")</f>
        <v/>
      </c>
      <c r="AU242" t="str">
        <f>IF($AS242="","",IFERROR(INDEX('TMP Paste'!$D$2:$D$1601,$AS242)*1000000/$AB242,""))</f>
        <v/>
      </c>
    </row>
    <row r="243" spans="1:47">
      <c r="A243" t="str">
        <f>IF($AS243="","",INDEX('TMP Paste'!$B$2:$B$1601,$AS243))</f>
        <v/>
      </c>
      <c r="B243" t="str">
        <f>IF($AS243="","",Config!$B$14)</f>
        <v/>
      </c>
      <c r="C243" t="str">
        <f>IF($AS243="","",Config!$B$15)</f>
        <v/>
      </c>
      <c r="D243" t="str">
        <f>IF($AS243="","",INDEX('TMP Paste'!$B$2:$B$1601,$AS243))</f>
        <v/>
      </c>
      <c r="E243" t="str">
        <f>IF($AS243="","",Config!$B$27)</f>
        <v/>
      </c>
      <c r="F243" t="str">
        <f>IF($AS243="","",Config!$B$9)</f>
        <v/>
      </c>
      <c r="G243" t="str">
        <f>IF($AS243="","",Config!$B$10)</f>
        <v/>
      </c>
      <c r="H243" t="str">
        <f>IF($AS243="","",Config!$B$11)</f>
        <v/>
      </c>
      <c r="I243" t="str">
        <f>IF($AS243="","",Config!$B$16)</f>
        <v/>
      </c>
      <c r="J243" t="str">
        <f>IF($AS243="","",INDEX('TMP Paste'!$A$2:$A$1601,$AS243))</f>
        <v/>
      </c>
      <c r="K243" t="str">
        <f>IF($AS243="","",INDEX('TMP Paste'!$L$2:$L$1601,$AS243))</f>
        <v/>
      </c>
      <c r="L243" t="str">
        <f>IF($AS243="","",INDEX('TMP Paste'!$I$2:$I$1601,$AS243))</f>
        <v/>
      </c>
      <c r="M243" t="str">
        <f>IF($AS243="","",Config!$B$16)</f>
        <v/>
      </c>
      <c r="N243" t="str">
        <f t="shared" si="18"/>
        <v/>
      </c>
      <c r="O243" t="str">
        <f>IF($AS243="","",INDEX('TMP Paste'!$K$2:$K$1601,$AS243))</f>
        <v/>
      </c>
      <c r="P243" t="str">
        <f t="shared" si="19"/>
        <v/>
      </c>
      <c r="Q243" t="str">
        <f>IF($AS243="","",INDEX('TMP Paste'!$J$2:$J$1601,$AS243))</f>
        <v/>
      </c>
      <c r="R243" t="str">
        <f>IF($AS243="","",Config!$B$24)</f>
        <v/>
      </c>
      <c r="S243" t="str">
        <f ca="1">IF($AS243="","",TEXT(Config!$B$4,"yyyy-mm-dd"))</f>
        <v/>
      </c>
      <c r="T243" t="str">
        <f>IF($AS243="","",Config!$B$17)</f>
        <v/>
      </c>
      <c r="U243" t="str">
        <f>IF($AS243="","",Config!$B$18)</f>
        <v/>
      </c>
      <c r="V243" t="str">
        <f>IF($AS243="","",Config!$B$19)</f>
        <v/>
      </c>
      <c r="W243" t="str">
        <f>IF($AS243="","",INDEX('TMP Paste'!$C$2:$C$1601,$AS243))</f>
        <v/>
      </c>
      <c r="X243" t="str">
        <f>IF($AS243="","",Config!$B$29)</f>
        <v/>
      </c>
      <c r="Y243" t="str">
        <f>IF($AT243="","",INDEX(Calc!$I$2:$I$1601,$AT243)&amp;" - "&amp;INDEX(Calc!$D$2:$D$1601,$AT243)&amp;" koli")</f>
        <v/>
      </c>
      <c r="Z243" t="str">
        <f>IF($AS243="","",Config!$B$21)</f>
        <v/>
      </c>
      <c r="AA243" t="str">
        <f>IF($AS243="","",Config!$B$22)</f>
        <v/>
      </c>
      <c r="AB243" t="str">
        <f>IF($AT243="","",INDEX(Calc!$D$2:$D$1601,$AT243))</f>
        <v/>
      </c>
      <c r="AC243" t="str">
        <f>IF($AT243="","",INDEX(Calc!$G$2:$G$1601,$AT243))</f>
        <v/>
      </c>
      <c r="AD243" t="str">
        <f>IF($AS243="","",Config!$B$23)</f>
        <v/>
      </c>
      <c r="AE243" t="str">
        <f>IF($AS243="","",Config!$B$28)</f>
        <v/>
      </c>
      <c r="AF243" t="str">
        <f t="shared" si="20"/>
        <v/>
      </c>
      <c r="AG243" t="str">
        <f t="shared" si="21"/>
        <v/>
      </c>
      <c r="AH243" t="str">
        <f t="shared" si="22"/>
        <v/>
      </c>
      <c r="AI243" t="str">
        <f>IF($AG243="","",SUMIF($AG$2:$AG243,$AG243,$AH$2:$AH243))</f>
        <v/>
      </c>
      <c r="AJ243" t="str">
        <f>IF('TMP Paste'!$F243="","",IF('TMP Paste'!$B243="",$AJ242,'TMP Paste'!$B243))</f>
        <v/>
      </c>
      <c r="AK243" t="str">
        <f>IF('TMP Paste'!$F243="","",N('TMP Paste'!$G243))</f>
        <v/>
      </c>
      <c r="AL243" t="str">
        <f>IF('TMP Paste'!$F243="","",IF('TMP Paste'!$M243="",$AL242,'TMP Paste'!$M243))</f>
        <v/>
      </c>
      <c r="AM243" t="str">
        <f>IF('TMP Paste'!$F243="","",IF('TMP Paste'!$N243="",$AM242,'TMP Paste'!$N243))</f>
        <v/>
      </c>
      <c r="AN243" t="str">
        <f>IF('TMP Paste'!$F243="","",IF('TMP Paste'!$O243="",$AN242,'TMP Paste'!$O243))</f>
        <v/>
      </c>
      <c r="AO243" t="str">
        <f>IF('TMP Paste'!$F243="","",IF('TMP Paste'!$P243="",$AO242,'TMP Paste'!$P243))</f>
        <v/>
      </c>
      <c r="AP243" t="str">
        <f t="shared" si="23"/>
        <v/>
      </c>
      <c r="AQ243" t="str">
        <f>IF($AS243="","",TRIM(IF(COUNTIFS(Calc!$B$2:$B$1601,ROW()-1,Calc!$C$2:$C$1601,"&lt;1")&gt;0,"Ada PO tanpa Koli - cek TMP. ","")&amp;IF(OR($AU243="",$AU243&lt;=0),"Volume kosong/0 - dimensi dikosongkan. ","")&amp;IF(AND($AU243&lt;&gt;"",$AU243&gt;=1000000),"Volume &gt;= 1.000.000 cm3 (di luar aturan) - dimensi dikosongkan. ","")&amp;IF(LEN($R243)&gt;500,"R &gt; 500 karakter.","")))</f>
        <v/>
      </c>
      <c r="AS243" t="str">
        <f>IFERROR(MATCH(ROW()-1,Calc!$J$2:$J$1601,0),"")</f>
        <v/>
      </c>
      <c r="AT243" t="str">
        <f>IFERROR(MATCH(ROW()-1,Calc!$K$2:$K$1601,0),"")</f>
        <v/>
      </c>
      <c r="AU243" t="str">
        <f>IF($AS243="","",IFERROR(INDEX('TMP Paste'!$D$2:$D$1601,$AS243)*1000000/$AB243,""))</f>
        <v/>
      </c>
    </row>
    <row r="244" spans="1:47">
      <c r="A244" t="str">
        <f>IF($AS244="","",INDEX('TMP Paste'!$B$2:$B$1601,$AS244))</f>
        <v/>
      </c>
      <c r="B244" t="str">
        <f>IF($AS244="","",Config!$B$14)</f>
        <v/>
      </c>
      <c r="C244" t="str">
        <f>IF($AS244="","",Config!$B$15)</f>
        <v/>
      </c>
      <c r="D244" t="str">
        <f>IF($AS244="","",INDEX('TMP Paste'!$B$2:$B$1601,$AS244))</f>
        <v/>
      </c>
      <c r="E244" t="str">
        <f>IF($AS244="","",Config!$B$27)</f>
        <v/>
      </c>
      <c r="F244" t="str">
        <f>IF($AS244="","",Config!$B$9)</f>
        <v/>
      </c>
      <c r="G244" t="str">
        <f>IF($AS244="","",Config!$B$10)</f>
        <v/>
      </c>
      <c r="H244" t="str">
        <f>IF($AS244="","",Config!$B$11)</f>
        <v/>
      </c>
      <c r="I244" t="str">
        <f>IF($AS244="","",Config!$B$16)</f>
        <v/>
      </c>
      <c r="J244" t="str">
        <f>IF($AS244="","",INDEX('TMP Paste'!$A$2:$A$1601,$AS244))</f>
        <v/>
      </c>
      <c r="K244" t="str">
        <f>IF($AS244="","",INDEX('TMP Paste'!$L$2:$L$1601,$AS244))</f>
        <v/>
      </c>
      <c r="L244" t="str">
        <f>IF($AS244="","",INDEX('TMP Paste'!$I$2:$I$1601,$AS244))</f>
        <v/>
      </c>
      <c r="M244" t="str">
        <f>IF($AS244="","",Config!$B$16)</f>
        <v/>
      </c>
      <c r="N244" t="str">
        <f t="shared" si="18"/>
        <v/>
      </c>
      <c r="O244" t="str">
        <f>IF($AS244="","",INDEX('TMP Paste'!$K$2:$K$1601,$AS244))</f>
        <v/>
      </c>
      <c r="P244" t="str">
        <f t="shared" si="19"/>
        <v/>
      </c>
      <c r="Q244" t="str">
        <f>IF($AS244="","",INDEX('TMP Paste'!$J$2:$J$1601,$AS244))</f>
        <v/>
      </c>
      <c r="R244" t="str">
        <f>IF($AS244="","",Config!$B$24)</f>
        <v/>
      </c>
      <c r="S244" t="str">
        <f ca="1">IF($AS244="","",TEXT(Config!$B$4,"yyyy-mm-dd"))</f>
        <v/>
      </c>
      <c r="T244" t="str">
        <f>IF($AS244="","",Config!$B$17)</f>
        <v/>
      </c>
      <c r="U244" t="str">
        <f>IF($AS244="","",Config!$B$18)</f>
        <v/>
      </c>
      <c r="V244" t="str">
        <f>IF($AS244="","",Config!$B$19)</f>
        <v/>
      </c>
      <c r="W244" t="str">
        <f>IF($AS244="","",INDEX('TMP Paste'!$C$2:$C$1601,$AS244))</f>
        <v/>
      </c>
      <c r="X244" t="str">
        <f>IF($AS244="","",Config!$B$29)</f>
        <v/>
      </c>
      <c r="Y244" t="str">
        <f>IF($AT244="","",INDEX(Calc!$I$2:$I$1601,$AT244)&amp;" - "&amp;INDEX(Calc!$D$2:$D$1601,$AT244)&amp;" koli")</f>
        <v/>
      </c>
      <c r="Z244" t="str">
        <f>IF($AS244="","",Config!$B$21)</f>
        <v/>
      </c>
      <c r="AA244" t="str">
        <f>IF($AS244="","",Config!$B$22)</f>
        <v/>
      </c>
      <c r="AB244" t="str">
        <f>IF($AT244="","",INDEX(Calc!$D$2:$D$1601,$AT244))</f>
        <v/>
      </c>
      <c r="AC244" t="str">
        <f>IF($AT244="","",INDEX(Calc!$G$2:$G$1601,$AT244))</f>
        <v/>
      </c>
      <c r="AD244" t="str">
        <f>IF($AS244="","",Config!$B$23)</f>
        <v/>
      </c>
      <c r="AE244" t="str">
        <f>IF($AS244="","",Config!$B$28)</f>
        <v/>
      </c>
      <c r="AF244" t="str">
        <f t="shared" si="20"/>
        <v/>
      </c>
      <c r="AG244" t="str">
        <f t="shared" si="21"/>
        <v/>
      </c>
      <c r="AH244" t="str">
        <f t="shared" si="22"/>
        <v/>
      </c>
      <c r="AI244" t="str">
        <f>IF($AG244="","",SUMIF($AG$2:$AG244,$AG244,$AH$2:$AH244))</f>
        <v/>
      </c>
      <c r="AJ244" t="str">
        <f>IF('TMP Paste'!$F244="","",IF('TMP Paste'!$B244="",$AJ243,'TMP Paste'!$B244))</f>
        <v/>
      </c>
      <c r="AK244" t="str">
        <f>IF('TMP Paste'!$F244="","",N('TMP Paste'!$G244))</f>
        <v/>
      </c>
      <c r="AL244" t="str">
        <f>IF('TMP Paste'!$F244="","",IF('TMP Paste'!$M244="",$AL243,'TMP Paste'!$M244))</f>
        <v/>
      </c>
      <c r="AM244" t="str">
        <f>IF('TMP Paste'!$F244="","",IF('TMP Paste'!$N244="",$AM243,'TMP Paste'!$N244))</f>
        <v/>
      </c>
      <c r="AN244" t="str">
        <f>IF('TMP Paste'!$F244="","",IF('TMP Paste'!$O244="",$AN243,'TMP Paste'!$O244))</f>
        <v/>
      </c>
      <c r="AO244" t="str">
        <f>IF('TMP Paste'!$F244="","",IF('TMP Paste'!$P244="",$AO243,'TMP Paste'!$P244))</f>
        <v/>
      </c>
      <c r="AP244" t="str">
        <f t="shared" si="23"/>
        <v/>
      </c>
      <c r="AQ244" t="str">
        <f>IF($AS244="","",TRIM(IF(COUNTIFS(Calc!$B$2:$B$1601,ROW()-1,Calc!$C$2:$C$1601,"&lt;1")&gt;0,"Ada PO tanpa Koli - cek TMP. ","")&amp;IF(OR($AU244="",$AU244&lt;=0),"Volume kosong/0 - dimensi dikosongkan. ","")&amp;IF(AND($AU244&lt;&gt;"",$AU244&gt;=1000000),"Volume &gt;= 1.000.000 cm3 (di luar aturan) - dimensi dikosongkan. ","")&amp;IF(LEN($R244)&gt;500,"R &gt; 500 karakter.","")))</f>
        <v/>
      </c>
      <c r="AS244" t="str">
        <f>IFERROR(MATCH(ROW()-1,Calc!$J$2:$J$1601,0),"")</f>
        <v/>
      </c>
      <c r="AT244" t="str">
        <f>IFERROR(MATCH(ROW()-1,Calc!$K$2:$K$1601,0),"")</f>
        <v/>
      </c>
      <c r="AU244" t="str">
        <f>IF($AS244="","",IFERROR(INDEX('TMP Paste'!$D$2:$D$1601,$AS244)*1000000/$AB244,""))</f>
        <v/>
      </c>
    </row>
    <row r="245" spans="1:47">
      <c r="A245" t="str">
        <f>IF($AS245="","",INDEX('TMP Paste'!$B$2:$B$1601,$AS245))</f>
        <v/>
      </c>
      <c r="B245" t="str">
        <f>IF($AS245="","",Config!$B$14)</f>
        <v/>
      </c>
      <c r="C245" t="str">
        <f>IF($AS245="","",Config!$B$15)</f>
        <v/>
      </c>
      <c r="D245" t="str">
        <f>IF($AS245="","",INDEX('TMP Paste'!$B$2:$B$1601,$AS245))</f>
        <v/>
      </c>
      <c r="E245" t="str">
        <f>IF($AS245="","",Config!$B$27)</f>
        <v/>
      </c>
      <c r="F245" t="str">
        <f>IF($AS245="","",Config!$B$9)</f>
        <v/>
      </c>
      <c r="G245" t="str">
        <f>IF($AS245="","",Config!$B$10)</f>
        <v/>
      </c>
      <c r="H245" t="str">
        <f>IF($AS245="","",Config!$B$11)</f>
        <v/>
      </c>
      <c r="I245" t="str">
        <f>IF($AS245="","",Config!$B$16)</f>
        <v/>
      </c>
      <c r="J245" t="str">
        <f>IF($AS245="","",INDEX('TMP Paste'!$A$2:$A$1601,$AS245))</f>
        <v/>
      </c>
      <c r="K245" t="str">
        <f>IF($AS245="","",INDEX('TMP Paste'!$L$2:$L$1601,$AS245))</f>
        <v/>
      </c>
      <c r="L245" t="str">
        <f>IF($AS245="","",INDEX('TMP Paste'!$I$2:$I$1601,$AS245))</f>
        <v/>
      </c>
      <c r="M245" t="str">
        <f>IF($AS245="","",Config!$B$16)</f>
        <v/>
      </c>
      <c r="N245" t="str">
        <f t="shared" si="18"/>
        <v/>
      </c>
      <c r="O245" t="str">
        <f>IF($AS245="","",INDEX('TMP Paste'!$K$2:$K$1601,$AS245))</f>
        <v/>
      </c>
      <c r="P245" t="str">
        <f t="shared" si="19"/>
        <v/>
      </c>
      <c r="Q245" t="str">
        <f>IF($AS245="","",INDEX('TMP Paste'!$J$2:$J$1601,$AS245))</f>
        <v/>
      </c>
      <c r="R245" t="str">
        <f>IF($AS245="","",Config!$B$24)</f>
        <v/>
      </c>
      <c r="S245" t="str">
        <f ca="1">IF($AS245="","",TEXT(Config!$B$4,"yyyy-mm-dd"))</f>
        <v/>
      </c>
      <c r="T245" t="str">
        <f>IF($AS245="","",Config!$B$17)</f>
        <v/>
      </c>
      <c r="U245" t="str">
        <f>IF($AS245="","",Config!$B$18)</f>
        <v/>
      </c>
      <c r="V245" t="str">
        <f>IF($AS245="","",Config!$B$19)</f>
        <v/>
      </c>
      <c r="W245" t="str">
        <f>IF($AS245="","",INDEX('TMP Paste'!$C$2:$C$1601,$AS245))</f>
        <v/>
      </c>
      <c r="X245" t="str">
        <f>IF($AS245="","",Config!$B$29)</f>
        <v/>
      </c>
      <c r="Y245" t="str">
        <f>IF($AT245="","",INDEX(Calc!$I$2:$I$1601,$AT245)&amp;" - "&amp;INDEX(Calc!$D$2:$D$1601,$AT245)&amp;" koli")</f>
        <v/>
      </c>
      <c r="Z245" t="str">
        <f>IF($AS245="","",Config!$B$21)</f>
        <v/>
      </c>
      <c r="AA245" t="str">
        <f>IF($AS245="","",Config!$B$22)</f>
        <v/>
      </c>
      <c r="AB245" t="str">
        <f>IF($AT245="","",INDEX(Calc!$D$2:$D$1601,$AT245))</f>
        <v/>
      </c>
      <c r="AC245" t="str">
        <f>IF($AT245="","",INDEX(Calc!$G$2:$G$1601,$AT245))</f>
        <v/>
      </c>
      <c r="AD245" t="str">
        <f>IF($AS245="","",Config!$B$23)</f>
        <v/>
      </c>
      <c r="AE245" t="str">
        <f>IF($AS245="","",Config!$B$28)</f>
        <v/>
      </c>
      <c r="AF245" t="str">
        <f t="shared" si="20"/>
        <v/>
      </c>
      <c r="AG245" t="str">
        <f t="shared" si="21"/>
        <v/>
      </c>
      <c r="AH245" t="str">
        <f t="shared" si="22"/>
        <v/>
      </c>
      <c r="AI245" t="str">
        <f>IF($AG245="","",SUMIF($AG$2:$AG245,$AG245,$AH$2:$AH245))</f>
        <v/>
      </c>
      <c r="AJ245" t="str">
        <f>IF('TMP Paste'!$F245="","",IF('TMP Paste'!$B245="",$AJ244,'TMP Paste'!$B245))</f>
        <v/>
      </c>
      <c r="AK245" t="str">
        <f>IF('TMP Paste'!$F245="","",N('TMP Paste'!$G245))</f>
        <v/>
      </c>
      <c r="AL245" t="str">
        <f>IF('TMP Paste'!$F245="","",IF('TMP Paste'!$M245="",$AL244,'TMP Paste'!$M245))</f>
        <v/>
      </c>
      <c r="AM245" t="str">
        <f>IF('TMP Paste'!$F245="","",IF('TMP Paste'!$N245="",$AM244,'TMP Paste'!$N245))</f>
        <v/>
      </c>
      <c r="AN245" t="str">
        <f>IF('TMP Paste'!$F245="","",IF('TMP Paste'!$O245="",$AN244,'TMP Paste'!$O245))</f>
        <v/>
      </c>
      <c r="AO245" t="str">
        <f>IF('TMP Paste'!$F245="","",IF('TMP Paste'!$P245="",$AO244,'TMP Paste'!$P245))</f>
        <v/>
      </c>
      <c r="AP245" t="str">
        <f t="shared" si="23"/>
        <v/>
      </c>
      <c r="AQ245" t="str">
        <f>IF($AS245="","",TRIM(IF(COUNTIFS(Calc!$B$2:$B$1601,ROW()-1,Calc!$C$2:$C$1601,"&lt;1")&gt;0,"Ada PO tanpa Koli - cek TMP. ","")&amp;IF(OR($AU245="",$AU245&lt;=0),"Volume kosong/0 - dimensi dikosongkan. ","")&amp;IF(AND($AU245&lt;&gt;"",$AU245&gt;=1000000),"Volume &gt;= 1.000.000 cm3 (di luar aturan) - dimensi dikosongkan. ","")&amp;IF(LEN($R245)&gt;500,"R &gt; 500 karakter.","")))</f>
        <v/>
      </c>
      <c r="AS245" t="str">
        <f>IFERROR(MATCH(ROW()-1,Calc!$J$2:$J$1601,0),"")</f>
        <v/>
      </c>
      <c r="AT245" t="str">
        <f>IFERROR(MATCH(ROW()-1,Calc!$K$2:$K$1601,0),"")</f>
        <v/>
      </c>
      <c r="AU245" t="str">
        <f>IF($AS245="","",IFERROR(INDEX('TMP Paste'!$D$2:$D$1601,$AS245)*1000000/$AB245,""))</f>
        <v/>
      </c>
    </row>
    <row r="246" spans="1:47">
      <c r="A246" t="str">
        <f>IF($AS246="","",INDEX('TMP Paste'!$B$2:$B$1601,$AS246))</f>
        <v/>
      </c>
      <c r="B246" t="str">
        <f>IF($AS246="","",Config!$B$14)</f>
        <v/>
      </c>
      <c r="C246" t="str">
        <f>IF($AS246="","",Config!$B$15)</f>
        <v/>
      </c>
      <c r="D246" t="str">
        <f>IF($AS246="","",INDEX('TMP Paste'!$B$2:$B$1601,$AS246))</f>
        <v/>
      </c>
      <c r="E246" t="str">
        <f>IF($AS246="","",Config!$B$27)</f>
        <v/>
      </c>
      <c r="F246" t="str">
        <f>IF($AS246="","",Config!$B$9)</f>
        <v/>
      </c>
      <c r="G246" t="str">
        <f>IF($AS246="","",Config!$B$10)</f>
        <v/>
      </c>
      <c r="H246" t="str">
        <f>IF($AS246="","",Config!$B$11)</f>
        <v/>
      </c>
      <c r="I246" t="str">
        <f>IF($AS246="","",Config!$B$16)</f>
        <v/>
      </c>
      <c r="J246" t="str">
        <f>IF($AS246="","",INDEX('TMP Paste'!$A$2:$A$1601,$AS246))</f>
        <v/>
      </c>
      <c r="K246" t="str">
        <f>IF($AS246="","",INDEX('TMP Paste'!$L$2:$L$1601,$AS246))</f>
        <v/>
      </c>
      <c r="L246" t="str">
        <f>IF($AS246="","",INDEX('TMP Paste'!$I$2:$I$1601,$AS246))</f>
        <v/>
      </c>
      <c r="M246" t="str">
        <f>IF($AS246="","",Config!$B$16)</f>
        <v/>
      </c>
      <c r="N246" t="str">
        <f t="shared" si="18"/>
        <v/>
      </c>
      <c r="O246" t="str">
        <f>IF($AS246="","",INDEX('TMP Paste'!$K$2:$K$1601,$AS246))</f>
        <v/>
      </c>
      <c r="P246" t="str">
        <f t="shared" si="19"/>
        <v/>
      </c>
      <c r="Q246" t="str">
        <f>IF($AS246="","",INDEX('TMP Paste'!$J$2:$J$1601,$AS246))</f>
        <v/>
      </c>
      <c r="R246" t="str">
        <f>IF($AS246="","",Config!$B$24)</f>
        <v/>
      </c>
      <c r="S246" t="str">
        <f ca="1">IF($AS246="","",TEXT(Config!$B$4,"yyyy-mm-dd"))</f>
        <v/>
      </c>
      <c r="T246" t="str">
        <f>IF($AS246="","",Config!$B$17)</f>
        <v/>
      </c>
      <c r="U246" t="str">
        <f>IF($AS246="","",Config!$B$18)</f>
        <v/>
      </c>
      <c r="V246" t="str">
        <f>IF($AS246="","",Config!$B$19)</f>
        <v/>
      </c>
      <c r="W246" t="str">
        <f>IF($AS246="","",INDEX('TMP Paste'!$C$2:$C$1601,$AS246))</f>
        <v/>
      </c>
      <c r="X246" t="str">
        <f>IF($AS246="","",Config!$B$29)</f>
        <v/>
      </c>
      <c r="Y246" t="str">
        <f>IF($AT246="","",INDEX(Calc!$I$2:$I$1601,$AT246)&amp;" - "&amp;INDEX(Calc!$D$2:$D$1601,$AT246)&amp;" koli")</f>
        <v/>
      </c>
      <c r="Z246" t="str">
        <f>IF($AS246="","",Config!$B$21)</f>
        <v/>
      </c>
      <c r="AA246" t="str">
        <f>IF($AS246="","",Config!$B$22)</f>
        <v/>
      </c>
      <c r="AB246" t="str">
        <f>IF($AT246="","",INDEX(Calc!$D$2:$D$1601,$AT246))</f>
        <v/>
      </c>
      <c r="AC246" t="str">
        <f>IF($AT246="","",INDEX(Calc!$G$2:$G$1601,$AT246))</f>
        <v/>
      </c>
      <c r="AD246" t="str">
        <f>IF($AS246="","",Config!$B$23)</f>
        <v/>
      </c>
      <c r="AE246" t="str">
        <f>IF($AS246="","",Config!$B$28)</f>
        <v/>
      </c>
      <c r="AF246" t="str">
        <f t="shared" si="20"/>
        <v/>
      </c>
      <c r="AG246" t="str">
        <f t="shared" si="21"/>
        <v/>
      </c>
      <c r="AH246" t="str">
        <f t="shared" si="22"/>
        <v/>
      </c>
      <c r="AI246" t="str">
        <f>IF($AG246="","",SUMIF($AG$2:$AG246,$AG246,$AH$2:$AH246))</f>
        <v/>
      </c>
      <c r="AJ246" t="str">
        <f>IF('TMP Paste'!$F246="","",IF('TMP Paste'!$B246="",$AJ245,'TMP Paste'!$B246))</f>
        <v/>
      </c>
      <c r="AK246" t="str">
        <f>IF('TMP Paste'!$F246="","",N('TMP Paste'!$G246))</f>
        <v/>
      </c>
      <c r="AL246" t="str">
        <f>IF('TMP Paste'!$F246="","",IF('TMP Paste'!$M246="",$AL245,'TMP Paste'!$M246))</f>
        <v/>
      </c>
      <c r="AM246" t="str">
        <f>IF('TMP Paste'!$F246="","",IF('TMP Paste'!$N246="",$AM245,'TMP Paste'!$N246))</f>
        <v/>
      </c>
      <c r="AN246" t="str">
        <f>IF('TMP Paste'!$F246="","",IF('TMP Paste'!$O246="",$AN245,'TMP Paste'!$O246))</f>
        <v/>
      </c>
      <c r="AO246" t="str">
        <f>IF('TMP Paste'!$F246="","",IF('TMP Paste'!$P246="",$AO245,'TMP Paste'!$P246))</f>
        <v/>
      </c>
      <c r="AP246" t="str">
        <f t="shared" si="23"/>
        <v/>
      </c>
      <c r="AQ246" t="str">
        <f>IF($AS246="","",TRIM(IF(COUNTIFS(Calc!$B$2:$B$1601,ROW()-1,Calc!$C$2:$C$1601,"&lt;1")&gt;0,"Ada PO tanpa Koli - cek TMP. ","")&amp;IF(OR($AU246="",$AU246&lt;=0),"Volume kosong/0 - dimensi dikosongkan. ","")&amp;IF(AND($AU246&lt;&gt;"",$AU246&gt;=1000000),"Volume &gt;= 1.000.000 cm3 (di luar aturan) - dimensi dikosongkan. ","")&amp;IF(LEN($R246)&gt;500,"R &gt; 500 karakter.","")))</f>
        <v/>
      </c>
      <c r="AS246" t="str">
        <f>IFERROR(MATCH(ROW()-1,Calc!$J$2:$J$1601,0),"")</f>
        <v/>
      </c>
      <c r="AT246" t="str">
        <f>IFERROR(MATCH(ROW()-1,Calc!$K$2:$K$1601,0),"")</f>
        <v/>
      </c>
      <c r="AU246" t="str">
        <f>IF($AS246="","",IFERROR(INDEX('TMP Paste'!$D$2:$D$1601,$AS246)*1000000/$AB246,""))</f>
        <v/>
      </c>
    </row>
    <row r="247" spans="1:47">
      <c r="A247" t="str">
        <f>IF($AS247="","",INDEX('TMP Paste'!$B$2:$B$1601,$AS247))</f>
        <v/>
      </c>
      <c r="B247" t="str">
        <f>IF($AS247="","",Config!$B$14)</f>
        <v/>
      </c>
      <c r="C247" t="str">
        <f>IF($AS247="","",Config!$B$15)</f>
        <v/>
      </c>
      <c r="D247" t="str">
        <f>IF($AS247="","",INDEX('TMP Paste'!$B$2:$B$1601,$AS247))</f>
        <v/>
      </c>
      <c r="E247" t="str">
        <f>IF($AS247="","",Config!$B$27)</f>
        <v/>
      </c>
      <c r="F247" t="str">
        <f>IF($AS247="","",Config!$B$9)</f>
        <v/>
      </c>
      <c r="G247" t="str">
        <f>IF($AS247="","",Config!$B$10)</f>
        <v/>
      </c>
      <c r="H247" t="str">
        <f>IF($AS247="","",Config!$B$11)</f>
        <v/>
      </c>
      <c r="I247" t="str">
        <f>IF($AS247="","",Config!$B$16)</f>
        <v/>
      </c>
      <c r="J247" t="str">
        <f>IF($AS247="","",INDEX('TMP Paste'!$A$2:$A$1601,$AS247))</f>
        <v/>
      </c>
      <c r="K247" t="str">
        <f>IF($AS247="","",INDEX('TMP Paste'!$L$2:$L$1601,$AS247))</f>
        <v/>
      </c>
      <c r="L247" t="str">
        <f>IF($AS247="","",INDEX('TMP Paste'!$I$2:$I$1601,$AS247))</f>
        <v/>
      </c>
      <c r="M247" t="str">
        <f>IF($AS247="","",Config!$B$16)</f>
        <v/>
      </c>
      <c r="N247" t="str">
        <f t="shared" si="18"/>
        <v/>
      </c>
      <c r="O247" t="str">
        <f>IF($AS247="","",INDEX('TMP Paste'!$K$2:$K$1601,$AS247))</f>
        <v/>
      </c>
      <c r="P247" t="str">
        <f t="shared" si="19"/>
        <v/>
      </c>
      <c r="Q247" t="str">
        <f>IF($AS247="","",INDEX('TMP Paste'!$J$2:$J$1601,$AS247))</f>
        <v/>
      </c>
      <c r="R247" t="str">
        <f>IF($AS247="","",Config!$B$24)</f>
        <v/>
      </c>
      <c r="S247" t="str">
        <f ca="1">IF($AS247="","",TEXT(Config!$B$4,"yyyy-mm-dd"))</f>
        <v/>
      </c>
      <c r="T247" t="str">
        <f>IF($AS247="","",Config!$B$17)</f>
        <v/>
      </c>
      <c r="U247" t="str">
        <f>IF($AS247="","",Config!$B$18)</f>
        <v/>
      </c>
      <c r="V247" t="str">
        <f>IF($AS247="","",Config!$B$19)</f>
        <v/>
      </c>
      <c r="W247" t="str">
        <f>IF($AS247="","",INDEX('TMP Paste'!$C$2:$C$1601,$AS247))</f>
        <v/>
      </c>
      <c r="X247" t="str">
        <f>IF($AS247="","",Config!$B$29)</f>
        <v/>
      </c>
      <c r="Y247" t="str">
        <f>IF($AT247="","",INDEX(Calc!$I$2:$I$1601,$AT247)&amp;" - "&amp;INDEX(Calc!$D$2:$D$1601,$AT247)&amp;" koli")</f>
        <v/>
      </c>
      <c r="Z247" t="str">
        <f>IF($AS247="","",Config!$B$21)</f>
        <v/>
      </c>
      <c r="AA247" t="str">
        <f>IF($AS247="","",Config!$B$22)</f>
        <v/>
      </c>
      <c r="AB247" t="str">
        <f>IF($AT247="","",INDEX(Calc!$D$2:$D$1601,$AT247))</f>
        <v/>
      </c>
      <c r="AC247" t="str">
        <f>IF($AT247="","",INDEX(Calc!$G$2:$G$1601,$AT247))</f>
        <v/>
      </c>
      <c r="AD247" t="str">
        <f>IF($AS247="","",Config!$B$23)</f>
        <v/>
      </c>
      <c r="AE247" t="str">
        <f>IF($AS247="","",Config!$B$28)</f>
        <v/>
      </c>
      <c r="AF247" t="str">
        <f t="shared" si="20"/>
        <v/>
      </c>
      <c r="AG247" t="str">
        <f t="shared" si="21"/>
        <v/>
      </c>
      <c r="AH247" t="str">
        <f t="shared" si="22"/>
        <v/>
      </c>
      <c r="AI247" t="str">
        <f>IF($AG247="","",SUMIF($AG$2:$AG247,$AG247,$AH$2:$AH247))</f>
        <v/>
      </c>
      <c r="AJ247" t="str">
        <f>IF('TMP Paste'!$F247="","",IF('TMP Paste'!$B247="",$AJ246,'TMP Paste'!$B247))</f>
        <v/>
      </c>
      <c r="AK247" t="str">
        <f>IF('TMP Paste'!$F247="","",N('TMP Paste'!$G247))</f>
        <v/>
      </c>
      <c r="AL247" t="str">
        <f>IF('TMP Paste'!$F247="","",IF('TMP Paste'!$M247="",$AL246,'TMP Paste'!$M247))</f>
        <v/>
      </c>
      <c r="AM247" t="str">
        <f>IF('TMP Paste'!$F247="","",IF('TMP Paste'!$N247="",$AM246,'TMP Paste'!$N247))</f>
        <v/>
      </c>
      <c r="AN247" t="str">
        <f>IF('TMP Paste'!$F247="","",IF('TMP Paste'!$O247="",$AN246,'TMP Paste'!$O247))</f>
        <v/>
      </c>
      <c r="AO247" t="str">
        <f>IF('TMP Paste'!$F247="","",IF('TMP Paste'!$P247="",$AO246,'TMP Paste'!$P247))</f>
        <v/>
      </c>
      <c r="AP247" t="str">
        <f t="shared" si="23"/>
        <v/>
      </c>
      <c r="AQ247" t="str">
        <f>IF($AS247="","",TRIM(IF(COUNTIFS(Calc!$B$2:$B$1601,ROW()-1,Calc!$C$2:$C$1601,"&lt;1")&gt;0,"Ada PO tanpa Koli - cek TMP. ","")&amp;IF(OR($AU247="",$AU247&lt;=0),"Volume kosong/0 - dimensi dikosongkan. ","")&amp;IF(AND($AU247&lt;&gt;"",$AU247&gt;=1000000),"Volume &gt;= 1.000.000 cm3 (di luar aturan) - dimensi dikosongkan. ","")&amp;IF(LEN($R247)&gt;500,"R &gt; 500 karakter.","")))</f>
        <v/>
      </c>
      <c r="AS247" t="str">
        <f>IFERROR(MATCH(ROW()-1,Calc!$J$2:$J$1601,0),"")</f>
        <v/>
      </c>
      <c r="AT247" t="str">
        <f>IFERROR(MATCH(ROW()-1,Calc!$K$2:$K$1601,0),"")</f>
        <v/>
      </c>
      <c r="AU247" t="str">
        <f>IF($AS247="","",IFERROR(INDEX('TMP Paste'!$D$2:$D$1601,$AS247)*1000000/$AB247,""))</f>
        <v/>
      </c>
    </row>
    <row r="248" spans="1:47">
      <c r="A248" t="str">
        <f>IF($AS248="","",INDEX('TMP Paste'!$B$2:$B$1601,$AS248))</f>
        <v/>
      </c>
      <c r="B248" t="str">
        <f>IF($AS248="","",Config!$B$14)</f>
        <v/>
      </c>
      <c r="C248" t="str">
        <f>IF($AS248="","",Config!$B$15)</f>
        <v/>
      </c>
      <c r="D248" t="str">
        <f>IF($AS248="","",INDEX('TMP Paste'!$B$2:$B$1601,$AS248))</f>
        <v/>
      </c>
      <c r="E248" t="str">
        <f>IF($AS248="","",Config!$B$27)</f>
        <v/>
      </c>
      <c r="F248" t="str">
        <f>IF($AS248="","",Config!$B$9)</f>
        <v/>
      </c>
      <c r="G248" t="str">
        <f>IF($AS248="","",Config!$B$10)</f>
        <v/>
      </c>
      <c r="H248" t="str">
        <f>IF($AS248="","",Config!$B$11)</f>
        <v/>
      </c>
      <c r="I248" t="str">
        <f>IF($AS248="","",Config!$B$16)</f>
        <v/>
      </c>
      <c r="J248" t="str">
        <f>IF($AS248="","",INDEX('TMP Paste'!$A$2:$A$1601,$AS248))</f>
        <v/>
      </c>
      <c r="K248" t="str">
        <f>IF($AS248="","",INDEX('TMP Paste'!$L$2:$L$1601,$AS248))</f>
        <v/>
      </c>
      <c r="L248" t="str">
        <f>IF($AS248="","",INDEX('TMP Paste'!$I$2:$I$1601,$AS248))</f>
        <v/>
      </c>
      <c r="M248" t="str">
        <f>IF($AS248="","",Config!$B$16)</f>
        <v/>
      </c>
      <c r="N248" t="str">
        <f t="shared" si="18"/>
        <v/>
      </c>
      <c r="O248" t="str">
        <f>IF($AS248="","",INDEX('TMP Paste'!$K$2:$K$1601,$AS248))</f>
        <v/>
      </c>
      <c r="P248" t="str">
        <f t="shared" si="19"/>
        <v/>
      </c>
      <c r="Q248" t="str">
        <f>IF($AS248="","",INDEX('TMP Paste'!$J$2:$J$1601,$AS248))</f>
        <v/>
      </c>
      <c r="R248" t="str">
        <f>IF($AS248="","",Config!$B$24)</f>
        <v/>
      </c>
      <c r="S248" t="str">
        <f ca="1">IF($AS248="","",TEXT(Config!$B$4,"yyyy-mm-dd"))</f>
        <v/>
      </c>
      <c r="T248" t="str">
        <f>IF($AS248="","",Config!$B$17)</f>
        <v/>
      </c>
      <c r="U248" t="str">
        <f>IF($AS248="","",Config!$B$18)</f>
        <v/>
      </c>
      <c r="V248" t="str">
        <f>IF($AS248="","",Config!$B$19)</f>
        <v/>
      </c>
      <c r="W248" t="str">
        <f>IF($AS248="","",INDEX('TMP Paste'!$C$2:$C$1601,$AS248))</f>
        <v/>
      </c>
      <c r="X248" t="str">
        <f>IF($AS248="","",Config!$B$29)</f>
        <v/>
      </c>
      <c r="Y248" t="str">
        <f>IF($AT248="","",INDEX(Calc!$I$2:$I$1601,$AT248)&amp;" - "&amp;INDEX(Calc!$D$2:$D$1601,$AT248)&amp;" koli")</f>
        <v/>
      </c>
      <c r="Z248" t="str">
        <f>IF($AS248="","",Config!$B$21)</f>
        <v/>
      </c>
      <c r="AA248" t="str">
        <f>IF($AS248="","",Config!$B$22)</f>
        <v/>
      </c>
      <c r="AB248" t="str">
        <f>IF($AT248="","",INDEX(Calc!$D$2:$D$1601,$AT248))</f>
        <v/>
      </c>
      <c r="AC248" t="str">
        <f>IF($AT248="","",INDEX(Calc!$G$2:$G$1601,$AT248))</f>
        <v/>
      </c>
      <c r="AD248" t="str">
        <f>IF($AS248="","",Config!$B$23)</f>
        <v/>
      </c>
      <c r="AE248" t="str">
        <f>IF($AS248="","",Config!$B$28)</f>
        <v/>
      </c>
      <c r="AF248" t="str">
        <f t="shared" si="20"/>
        <v/>
      </c>
      <c r="AG248" t="str">
        <f t="shared" si="21"/>
        <v/>
      </c>
      <c r="AH248" t="str">
        <f t="shared" si="22"/>
        <v/>
      </c>
      <c r="AI248" t="str">
        <f>IF($AG248="","",SUMIF($AG$2:$AG248,$AG248,$AH$2:$AH248))</f>
        <v/>
      </c>
      <c r="AJ248" t="str">
        <f>IF('TMP Paste'!$F248="","",IF('TMP Paste'!$B248="",$AJ247,'TMP Paste'!$B248))</f>
        <v/>
      </c>
      <c r="AK248" t="str">
        <f>IF('TMP Paste'!$F248="","",N('TMP Paste'!$G248))</f>
        <v/>
      </c>
      <c r="AL248" t="str">
        <f>IF('TMP Paste'!$F248="","",IF('TMP Paste'!$M248="",$AL247,'TMP Paste'!$M248))</f>
        <v/>
      </c>
      <c r="AM248" t="str">
        <f>IF('TMP Paste'!$F248="","",IF('TMP Paste'!$N248="",$AM247,'TMP Paste'!$N248))</f>
        <v/>
      </c>
      <c r="AN248" t="str">
        <f>IF('TMP Paste'!$F248="","",IF('TMP Paste'!$O248="",$AN247,'TMP Paste'!$O248))</f>
        <v/>
      </c>
      <c r="AO248" t="str">
        <f>IF('TMP Paste'!$F248="","",IF('TMP Paste'!$P248="",$AO247,'TMP Paste'!$P248))</f>
        <v/>
      </c>
      <c r="AP248" t="str">
        <f t="shared" si="23"/>
        <v/>
      </c>
      <c r="AQ248" t="str">
        <f>IF($AS248="","",TRIM(IF(COUNTIFS(Calc!$B$2:$B$1601,ROW()-1,Calc!$C$2:$C$1601,"&lt;1")&gt;0,"Ada PO tanpa Koli - cek TMP. ","")&amp;IF(OR($AU248="",$AU248&lt;=0),"Volume kosong/0 - dimensi dikosongkan. ","")&amp;IF(AND($AU248&lt;&gt;"",$AU248&gt;=1000000),"Volume &gt;= 1.000.000 cm3 (di luar aturan) - dimensi dikosongkan. ","")&amp;IF(LEN($R248)&gt;500,"R &gt; 500 karakter.","")))</f>
        <v/>
      </c>
      <c r="AS248" t="str">
        <f>IFERROR(MATCH(ROW()-1,Calc!$J$2:$J$1601,0),"")</f>
        <v/>
      </c>
      <c r="AT248" t="str">
        <f>IFERROR(MATCH(ROW()-1,Calc!$K$2:$K$1601,0),"")</f>
        <v/>
      </c>
      <c r="AU248" t="str">
        <f>IF($AS248="","",IFERROR(INDEX('TMP Paste'!$D$2:$D$1601,$AS248)*1000000/$AB248,""))</f>
        <v/>
      </c>
    </row>
    <row r="249" spans="1:47">
      <c r="A249" t="str">
        <f>IF($AS249="","",INDEX('TMP Paste'!$B$2:$B$1601,$AS249))</f>
        <v/>
      </c>
      <c r="B249" t="str">
        <f>IF($AS249="","",Config!$B$14)</f>
        <v/>
      </c>
      <c r="C249" t="str">
        <f>IF($AS249="","",Config!$B$15)</f>
        <v/>
      </c>
      <c r="D249" t="str">
        <f>IF($AS249="","",INDEX('TMP Paste'!$B$2:$B$1601,$AS249))</f>
        <v/>
      </c>
      <c r="E249" t="str">
        <f>IF($AS249="","",Config!$B$27)</f>
        <v/>
      </c>
      <c r="F249" t="str">
        <f>IF($AS249="","",Config!$B$9)</f>
        <v/>
      </c>
      <c r="G249" t="str">
        <f>IF($AS249="","",Config!$B$10)</f>
        <v/>
      </c>
      <c r="H249" t="str">
        <f>IF($AS249="","",Config!$B$11)</f>
        <v/>
      </c>
      <c r="I249" t="str">
        <f>IF($AS249="","",Config!$B$16)</f>
        <v/>
      </c>
      <c r="J249" t="str">
        <f>IF($AS249="","",INDEX('TMP Paste'!$A$2:$A$1601,$AS249))</f>
        <v/>
      </c>
      <c r="K249" t="str">
        <f>IF($AS249="","",INDEX('TMP Paste'!$L$2:$L$1601,$AS249))</f>
        <v/>
      </c>
      <c r="L249" t="str">
        <f>IF($AS249="","",INDEX('TMP Paste'!$I$2:$I$1601,$AS249))</f>
        <v/>
      </c>
      <c r="M249" t="str">
        <f>IF($AS249="","",Config!$B$16)</f>
        <v/>
      </c>
      <c r="N249" t="str">
        <f t="shared" si="18"/>
        <v/>
      </c>
      <c r="O249" t="str">
        <f>IF($AS249="","",INDEX('TMP Paste'!$K$2:$K$1601,$AS249))</f>
        <v/>
      </c>
      <c r="P249" t="str">
        <f t="shared" si="19"/>
        <v/>
      </c>
      <c r="Q249" t="str">
        <f>IF($AS249="","",INDEX('TMP Paste'!$J$2:$J$1601,$AS249))</f>
        <v/>
      </c>
      <c r="R249" t="str">
        <f>IF($AS249="","",Config!$B$24)</f>
        <v/>
      </c>
      <c r="S249" t="str">
        <f ca="1">IF($AS249="","",TEXT(Config!$B$4,"yyyy-mm-dd"))</f>
        <v/>
      </c>
      <c r="T249" t="str">
        <f>IF($AS249="","",Config!$B$17)</f>
        <v/>
      </c>
      <c r="U249" t="str">
        <f>IF($AS249="","",Config!$B$18)</f>
        <v/>
      </c>
      <c r="V249" t="str">
        <f>IF($AS249="","",Config!$B$19)</f>
        <v/>
      </c>
      <c r="W249" t="str">
        <f>IF($AS249="","",INDEX('TMP Paste'!$C$2:$C$1601,$AS249))</f>
        <v/>
      </c>
      <c r="X249" t="str">
        <f>IF($AS249="","",Config!$B$29)</f>
        <v/>
      </c>
      <c r="Y249" t="str">
        <f>IF($AT249="","",INDEX(Calc!$I$2:$I$1601,$AT249)&amp;" - "&amp;INDEX(Calc!$D$2:$D$1601,$AT249)&amp;" koli")</f>
        <v/>
      </c>
      <c r="Z249" t="str">
        <f>IF($AS249="","",Config!$B$21)</f>
        <v/>
      </c>
      <c r="AA249" t="str">
        <f>IF($AS249="","",Config!$B$22)</f>
        <v/>
      </c>
      <c r="AB249" t="str">
        <f>IF($AT249="","",INDEX(Calc!$D$2:$D$1601,$AT249))</f>
        <v/>
      </c>
      <c r="AC249" t="str">
        <f>IF($AT249="","",INDEX(Calc!$G$2:$G$1601,$AT249))</f>
        <v/>
      </c>
      <c r="AD249" t="str">
        <f>IF($AS249="","",Config!$B$23)</f>
        <v/>
      </c>
      <c r="AE249" t="str">
        <f>IF($AS249="","",Config!$B$28)</f>
        <v/>
      </c>
      <c r="AF249" t="str">
        <f t="shared" si="20"/>
        <v/>
      </c>
      <c r="AG249" t="str">
        <f t="shared" si="21"/>
        <v/>
      </c>
      <c r="AH249" t="str">
        <f t="shared" si="22"/>
        <v/>
      </c>
      <c r="AI249" t="str">
        <f>IF($AG249="","",SUMIF($AG$2:$AG249,$AG249,$AH$2:$AH249))</f>
        <v/>
      </c>
      <c r="AJ249" t="str">
        <f>IF('TMP Paste'!$F249="","",IF('TMP Paste'!$B249="",$AJ248,'TMP Paste'!$B249))</f>
        <v/>
      </c>
      <c r="AK249" t="str">
        <f>IF('TMP Paste'!$F249="","",N('TMP Paste'!$G249))</f>
        <v/>
      </c>
      <c r="AL249" t="str">
        <f>IF('TMP Paste'!$F249="","",IF('TMP Paste'!$M249="",$AL248,'TMP Paste'!$M249))</f>
        <v/>
      </c>
      <c r="AM249" t="str">
        <f>IF('TMP Paste'!$F249="","",IF('TMP Paste'!$N249="",$AM248,'TMP Paste'!$N249))</f>
        <v/>
      </c>
      <c r="AN249" t="str">
        <f>IF('TMP Paste'!$F249="","",IF('TMP Paste'!$O249="",$AN248,'TMP Paste'!$O249))</f>
        <v/>
      </c>
      <c r="AO249" t="str">
        <f>IF('TMP Paste'!$F249="","",IF('TMP Paste'!$P249="",$AO248,'TMP Paste'!$P249))</f>
        <v/>
      </c>
      <c r="AP249" t="str">
        <f t="shared" si="23"/>
        <v/>
      </c>
      <c r="AQ249" t="str">
        <f>IF($AS249="","",TRIM(IF(COUNTIFS(Calc!$B$2:$B$1601,ROW()-1,Calc!$C$2:$C$1601,"&lt;1")&gt;0,"Ada PO tanpa Koli - cek TMP. ","")&amp;IF(OR($AU249="",$AU249&lt;=0),"Volume kosong/0 - dimensi dikosongkan. ","")&amp;IF(AND($AU249&lt;&gt;"",$AU249&gt;=1000000),"Volume &gt;= 1.000.000 cm3 (di luar aturan) - dimensi dikosongkan. ","")&amp;IF(LEN($R249)&gt;500,"R &gt; 500 karakter.","")))</f>
        <v/>
      </c>
      <c r="AS249" t="str">
        <f>IFERROR(MATCH(ROW()-1,Calc!$J$2:$J$1601,0),"")</f>
        <v/>
      </c>
      <c r="AT249" t="str">
        <f>IFERROR(MATCH(ROW()-1,Calc!$K$2:$K$1601,0),"")</f>
        <v/>
      </c>
      <c r="AU249" t="str">
        <f>IF($AS249="","",IFERROR(INDEX('TMP Paste'!$D$2:$D$1601,$AS249)*1000000/$AB249,""))</f>
        <v/>
      </c>
    </row>
    <row r="250" spans="1:47">
      <c r="A250" t="str">
        <f>IF($AS250="","",INDEX('TMP Paste'!$B$2:$B$1601,$AS250))</f>
        <v/>
      </c>
      <c r="B250" t="str">
        <f>IF($AS250="","",Config!$B$14)</f>
        <v/>
      </c>
      <c r="C250" t="str">
        <f>IF($AS250="","",Config!$B$15)</f>
        <v/>
      </c>
      <c r="D250" t="str">
        <f>IF($AS250="","",INDEX('TMP Paste'!$B$2:$B$1601,$AS250))</f>
        <v/>
      </c>
      <c r="E250" t="str">
        <f>IF($AS250="","",Config!$B$27)</f>
        <v/>
      </c>
      <c r="F250" t="str">
        <f>IF($AS250="","",Config!$B$9)</f>
        <v/>
      </c>
      <c r="G250" t="str">
        <f>IF($AS250="","",Config!$B$10)</f>
        <v/>
      </c>
      <c r="H250" t="str">
        <f>IF($AS250="","",Config!$B$11)</f>
        <v/>
      </c>
      <c r="I250" t="str">
        <f>IF($AS250="","",Config!$B$16)</f>
        <v/>
      </c>
      <c r="J250" t="str">
        <f>IF($AS250="","",INDEX('TMP Paste'!$A$2:$A$1601,$AS250))</f>
        <v/>
      </c>
      <c r="K250" t="str">
        <f>IF($AS250="","",INDEX('TMP Paste'!$L$2:$L$1601,$AS250))</f>
        <v/>
      </c>
      <c r="L250" t="str">
        <f>IF($AS250="","",INDEX('TMP Paste'!$I$2:$I$1601,$AS250))</f>
        <v/>
      </c>
      <c r="M250" t="str">
        <f>IF($AS250="","",Config!$B$16)</f>
        <v/>
      </c>
      <c r="N250" t="str">
        <f t="shared" si="18"/>
        <v/>
      </c>
      <c r="O250" t="str">
        <f>IF($AS250="","",INDEX('TMP Paste'!$K$2:$K$1601,$AS250))</f>
        <v/>
      </c>
      <c r="P250" t="str">
        <f t="shared" si="19"/>
        <v/>
      </c>
      <c r="Q250" t="str">
        <f>IF($AS250="","",INDEX('TMP Paste'!$J$2:$J$1601,$AS250))</f>
        <v/>
      </c>
      <c r="R250" t="str">
        <f>IF($AS250="","",Config!$B$24)</f>
        <v/>
      </c>
      <c r="S250" t="str">
        <f ca="1">IF($AS250="","",TEXT(Config!$B$4,"yyyy-mm-dd"))</f>
        <v/>
      </c>
      <c r="T250" t="str">
        <f>IF($AS250="","",Config!$B$17)</f>
        <v/>
      </c>
      <c r="U250" t="str">
        <f>IF($AS250="","",Config!$B$18)</f>
        <v/>
      </c>
      <c r="V250" t="str">
        <f>IF($AS250="","",Config!$B$19)</f>
        <v/>
      </c>
      <c r="W250" t="str">
        <f>IF($AS250="","",INDEX('TMP Paste'!$C$2:$C$1601,$AS250))</f>
        <v/>
      </c>
      <c r="X250" t="str">
        <f>IF($AS250="","",Config!$B$29)</f>
        <v/>
      </c>
      <c r="Y250" t="str">
        <f>IF($AT250="","",INDEX(Calc!$I$2:$I$1601,$AT250)&amp;" - "&amp;INDEX(Calc!$D$2:$D$1601,$AT250)&amp;" koli")</f>
        <v/>
      </c>
      <c r="Z250" t="str">
        <f>IF($AS250="","",Config!$B$21)</f>
        <v/>
      </c>
      <c r="AA250" t="str">
        <f>IF($AS250="","",Config!$B$22)</f>
        <v/>
      </c>
      <c r="AB250" t="str">
        <f>IF($AT250="","",INDEX(Calc!$D$2:$D$1601,$AT250))</f>
        <v/>
      </c>
      <c r="AC250" t="str">
        <f>IF($AT250="","",INDEX(Calc!$G$2:$G$1601,$AT250))</f>
        <v/>
      </c>
      <c r="AD250" t="str">
        <f>IF($AS250="","",Config!$B$23)</f>
        <v/>
      </c>
      <c r="AE250" t="str">
        <f>IF($AS250="","",Config!$B$28)</f>
        <v/>
      </c>
      <c r="AF250" t="str">
        <f t="shared" si="20"/>
        <v/>
      </c>
      <c r="AG250" t="str">
        <f t="shared" si="21"/>
        <v/>
      </c>
      <c r="AH250" t="str">
        <f t="shared" si="22"/>
        <v/>
      </c>
      <c r="AI250" t="str">
        <f>IF($AG250="","",SUMIF($AG$2:$AG250,$AG250,$AH$2:$AH250))</f>
        <v/>
      </c>
      <c r="AJ250" t="str">
        <f>IF('TMP Paste'!$F250="","",IF('TMP Paste'!$B250="",$AJ249,'TMP Paste'!$B250))</f>
        <v/>
      </c>
      <c r="AK250" t="str">
        <f>IF('TMP Paste'!$F250="","",N('TMP Paste'!$G250))</f>
        <v/>
      </c>
      <c r="AL250" t="str">
        <f>IF('TMP Paste'!$F250="","",IF('TMP Paste'!$M250="",$AL249,'TMP Paste'!$M250))</f>
        <v/>
      </c>
      <c r="AM250" t="str">
        <f>IF('TMP Paste'!$F250="","",IF('TMP Paste'!$N250="",$AM249,'TMP Paste'!$N250))</f>
        <v/>
      </c>
      <c r="AN250" t="str">
        <f>IF('TMP Paste'!$F250="","",IF('TMP Paste'!$O250="",$AN249,'TMP Paste'!$O250))</f>
        <v/>
      </c>
      <c r="AO250" t="str">
        <f>IF('TMP Paste'!$F250="","",IF('TMP Paste'!$P250="",$AO249,'TMP Paste'!$P250))</f>
        <v/>
      </c>
      <c r="AP250" t="str">
        <f t="shared" si="23"/>
        <v/>
      </c>
      <c r="AQ250" t="str">
        <f>IF($AS250="","",TRIM(IF(COUNTIFS(Calc!$B$2:$B$1601,ROW()-1,Calc!$C$2:$C$1601,"&lt;1")&gt;0,"Ada PO tanpa Koli - cek TMP. ","")&amp;IF(OR($AU250="",$AU250&lt;=0),"Volume kosong/0 - dimensi dikosongkan. ","")&amp;IF(AND($AU250&lt;&gt;"",$AU250&gt;=1000000),"Volume &gt;= 1.000.000 cm3 (di luar aturan) - dimensi dikosongkan. ","")&amp;IF(LEN($R250)&gt;500,"R &gt; 500 karakter.","")))</f>
        <v/>
      </c>
      <c r="AS250" t="str">
        <f>IFERROR(MATCH(ROW()-1,Calc!$J$2:$J$1601,0),"")</f>
        <v/>
      </c>
      <c r="AT250" t="str">
        <f>IFERROR(MATCH(ROW()-1,Calc!$K$2:$K$1601,0),"")</f>
        <v/>
      </c>
      <c r="AU250" t="str">
        <f>IF($AS250="","",IFERROR(INDEX('TMP Paste'!$D$2:$D$1601,$AS250)*1000000/$AB250,""))</f>
        <v/>
      </c>
    </row>
    <row r="251" spans="1:47">
      <c r="A251" t="str">
        <f>IF($AS251="","",INDEX('TMP Paste'!$B$2:$B$1601,$AS251))</f>
        <v/>
      </c>
      <c r="B251" t="str">
        <f>IF($AS251="","",Config!$B$14)</f>
        <v/>
      </c>
      <c r="C251" t="str">
        <f>IF($AS251="","",Config!$B$15)</f>
        <v/>
      </c>
      <c r="D251" t="str">
        <f>IF($AS251="","",INDEX('TMP Paste'!$B$2:$B$1601,$AS251))</f>
        <v/>
      </c>
      <c r="E251" t="str">
        <f>IF($AS251="","",Config!$B$27)</f>
        <v/>
      </c>
      <c r="F251" t="str">
        <f>IF($AS251="","",Config!$B$9)</f>
        <v/>
      </c>
      <c r="G251" t="str">
        <f>IF($AS251="","",Config!$B$10)</f>
        <v/>
      </c>
      <c r="H251" t="str">
        <f>IF($AS251="","",Config!$B$11)</f>
        <v/>
      </c>
      <c r="I251" t="str">
        <f>IF($AS251="","",Config!$B$16)</f>
        <v/>
      </c>
      <c r="J251" t="str">
        <f>IF($AS251="","",INDEX('TMP Paste'!$A$2:$A$1601,$AS251))</f>
        <v/>
      </c>
      <c r="K251" t="str">
        <f>IF($AS251="","",INDEX('TMP Paste'!$L$2:$L$1601,$AS251))</f>
        <v/>
      </c>
      <c r="L251" t="str">
        <f>IF($AS251="","",INDEX('TMP Paste'!$I$2:$I$1601,$AS251))</f>
        <v/>
      </c>
      <c r="M251" t="str">
        <f>IF($AS251="","",Config!$B$16)</f>
        <v/>
      </c>
      <c r="N251" t="str">
        <f t="shared" si="18"/>
        <v/>
      </c>
      <c r="O251" t="str">
        <f>IF($AS251="","",INDEX('TMP Paste'!$K$2:$K$1601,$AS251))</f>
        <v/>
      </c>
      <c r="P251" t="str">
        <f t="shared" si="19"/>
        <v/>
      </c>
      <c r="Q251" t="str">
        <f>IF($AS251="","",INDEX('TMP Paste'!$J$2:$J$1601,$AS251))</f>
        <v/>
      </c>
      <c r="R251" t="str">
        <f>IF($AS251="","",Config!$B$24)</f>
        <v/>
      </c>
      <c r="S251" t="str">
        <f ca="1">IF($AS251="","",TEXT(Config!$B$4,"yyyy-mm-dd"))</f>
        <v/>
      </c>
      <c r="T251" t="str">
        <f>IF($AS251="","",Config!$B$17)</f>
        <v/>
      </c>
      <c r="U251" t="str">
        <f>IF($AS251="","",Config!$B$18)</f>
        <v/>
      </c>
      <c r="V251" t="str">
        <f>IF($AS251="","",Config!$B$19)</f>
        <v/>
      </c>
      <c r="W251" t="str">
        <f>IF($AS251="","",INDEX('TMP Paste'!$C$2:$C$1601,$AS251))</f>
        <v/>
      </c>
      <c r="X251" t="str">
        <f>IF($AS251="","",Config!$B$29)</f>
        <v/>
      </c>
      <c r="Y251" t="str">
        <f>IF($AT251="","",INDEX(Calc!$I$2:$I$1601,$AT251)&amp;" - "&amp;INDEX(Calc!$D$2:$D$1601,$AT251)&amp;" koli")</f>
        <v/>
      </c>
      <c r="Z251" t="str">
        <f>IF($AS251="","",Config!$B$21)</f>
        <v/>
      </c>
      <c r="AA251" t="str">
        <f>IF($AS251="","",Config!$B$22)</f>
        <v/>
      </c>
      <c r="AB251" t="str">
        <f>IF($AT251="","",INDEX(Calc!$D$2:$D$1601,$AT251))</f>
        <v/>
      </c>
      <c r="AC251" t="str">
        <f>IF($AT251="","",INDEX(Calc!$G$2:$G$1601,$AT251))</f>
        <v/>
      </c>
      <c r="AD251" t="str">
        <f>IF($AS251="","",Config!$B$23)</f>
        <v/>
      </c>
      <c r="AE251" t="str">
        <f>IF($AS251="","",Config!$B$28)</f>
        <v/>
      </c>
      <c r="AF251" t="str">
        <f t="shared" si="20"/>
        <v/>
      </c>
      <c r="AG251" t="str">
        <f t="shared" si="21"/>
        <v/>
      </c>
      <c r="AH251" t="str">
        <f t="shared" si="22"/>
        <v/>
      </c>
      <c r="AI251" t="str">
        <f>IF($AG251="","",SUMIF($AG$2:$AG251,$AG251,$AH$2:$AH251))</f>
        <v/>
      </c>
      <c r="AJ251" t="str">
        <f>IF('TMP Paste'!$F251="","",IF('TMP Paste'!$B251="",$AJ250,'TMP Paste'!$B251))</f>
        <v/>
      </c>
      <c r="AK251" t="str">
        <f>IF('TMP Paste'!$F251="","",N('TMP Paste'!$G251))</f>
        <v/>
      </c>
      <c r="AL251" t="str">
        <f>IF('TMP Paste'!$F251="","",IF('TMP Paste'!$M251="",$AL250,'TMP Paste'!$M251))</f>
        <v/>
      </c>
      <c r="AM251" t="str">
        <f>IF('TMP Paste'!$F251="","",IF('TMP Paste'!$N251="",$AM250,'TMP Paste'!$N251))</f>
        <v/>
      </c>
      <c r="AN251" t="str">
        <f>IF('TMP Paste'!$F251="","",IF('TMP Paste'!$O251="",$AN250,'TMP Paste'!$O251))</f>
        <v/>
      </c>
      <c r="AO251" t="str">
        <f>IF('TMP Paste'!$F251="","",IF('TMP Paste'!$P251="",$AO250,'TMP Paste'!$P251))</f>
        <v/>
      </c>
      <c r="AP251" t="str">
        <f t="shared" si="23"/>
        <v/>
      </c>
      <c r="AQ251" t="str">
        <f>IF($AS251="","",TRIM(IF(COUNTIFS(Calc!$B$2:$B$1601,ROW()-1,Calc!$C$2:$C$1601,"&lt;1")&gt;0,"Ada PO tanpa Koli - cek TMP. ","")&amp;IF(OR($AU251="",$AU251&lt;=0),"Volume kosong/0 - dimensi dikosongkan. ","")&amp;IF(AND($AU251&lt;&gt;"",$AU251&gt;=1000000),"Volume &gt;= 1.000.000 cm3 (di luar aturan) - dimensi dikosongkan. ","")&amp;IF(LEN($R251)&gt;500,"R &gt; 500 karakter.","")))</f>
        <v/>
      </c>
      <c r="AS251" t="str">
        <f>IFERROR(MATCH(ROW()-1,Calc!$J$2:$J$1601,0),"")</f>
        <v/>
      </c>
      <c r="AT251" t="str">
        <f>IFERROR(MATCH(ROW()-1,Calc!$K$2:$K$1601,0),"")</f>
        <v/>
      </c>
      <c r="AU251" t="str">
        <f>IF($AS251="","",IFERROR(INDEX('TMP Paste'!$D$2:$D$1601,$AS251)*1000000/$AB251,""))</f>
        <v/>
      </c>
    </row>
    <row r="252" spans="1:47">
      <c r="A252" t="str">
        <f>IF($AS252="","",INDEX('TMP Paste'!$B$2:$B$1601,$AS252))</f>
        <v/>
      </c>
      <c r="B252" t="str">
        <f>IF($AS252="","",Config!$B$14)</f>
        <v/>
      </c>
      <c r="C252" t="str">
        <f>IF($AS252="","",Config!$B$15)</f>
        <v/>
      </c>
      <c r="D252" t="str">
        <f>IF($AS252="","",INDEX('TMP Paste'!$B$2:$B$1601,$AS252))</f>
        <v/>
      </c>
      <c r="E252" t="str">
        <f>IF($AS252="","",Config!$B$27)</f>
        <v/>
      </c>
      <c r="F252" t="str">
        <f>IF($AS252="","",Config!$B$9)</f>
        <v/>
      </c>
      <c r="G252" t="str">
        <f>IF($AS252="","",Config!$B$10)</f>
        <v/>
      </c>
      <c r="H252" t="str">
        <f>IF($AS252="","",Config!$B$11)</f>
        <v/>
      </c>
      <c r="I252" t="str">
        <f>IF($AS252="","",Config!$B$16)</f>
        <v/>
      </c>
      <c r="J252" t="str">
        <f>IF($AS252="","",INDEX('TMP Paste'!$A$2:$A$1601,$AS252))</f>
        <v/>
      </c>
      <c r="K252" t="str">
        <f>IF($AS252="","",INDEX('TMP Paste'!$L$2:$L$1601,$AS252))</f>
        <v/>
      </c>
      <c r="L252" t="str">
        <f>IF($AS252="","",INDEX('TMP Paste'!$I$2:$I$1601,$AS252))</f>
        <v/>
      </c>
      <c r="M252" t="str">
        <f>IF($AS252="","",Config!$B$16)</f>
        <v/>
      </c>
      <c r="N252" t="str">
        <f t="shared" si="18"/>
        <v/>
      </c>
      <c r="O252" t="str">
        <f>IF($AS252="","",INDEX('TMP Paste'!$K$2:$K$1601,$AS252))</f>
        <v/>
      </c>
      <c r="P252" t="str">
        <f t="shared" si="19"/>
        <v/>
      </c>
      <c r="Q252" t="str">
        <f>IF($AS252="","",INDEX('TMP Paste'!$J$2:$J$1601,$AS252))</f>
        <v/>
      </c>
      <c r="R252" t="str">
        <f>IF($AS252="","",Config!$B$24)</f>
        <v/>
      </c>
      <c r="S252" t="str">
        <f ca="1">IF($AS252="","",TEXT(Config!$B$4,"yyyy-mm-dd"))</f>
        <v/>
      </c>
      <c r="T252" t="str">
        <f>IF($AS252="","",Config!$B$17)</f>
        <v/>
      </c>
      <c r="U252" t="str">
        <f>IF($AS252="","",Config!$B$18)</f>
        <v/>
      </c>
      <c r="V252" t="str">
        <f>IF($AS252="","",Config!$B$19)</f>
        <v/>
      </c>
      <c r="W252" t="str">
        <f>IF($AS252="","",INDEX('TMP Paste'!$C$2:$C$1601,$AS252))</f>
        <v/>
      </c>
      <c r="X252" t="str">
        <f>IF($AS252="","",Config!$B$29)</f>
        <v/>
      </c>
      <c r="Y252" t="str">
        <f>IF($AT252="","",INDEX(Calc!$I$2:$I$1601,$AT252)&amp;" - "&amp;INDEX(Calc!$D$2:$D$1601,$AT252)&amp;" koli")</f>
        <v/>
      </c>
      <c r="Z252" t="str">
        <f>IF($AS252="","",Config!$B$21)</f>
        <v/>
      </c>
      <c r="AA252" t="str">
        <f>IF($AS252="","",Config!$B$22)</f>
        <v/>
      </c>
      <c r="AB252" t="str">
        <f>IF($AT252="","",INDEX(Calc!$D$2:$D$1601,$AT252))</f>
        <v/>
      </c>
      <c r="AC252" t="str">
        <f>IF($AT252="","",INDEX(Calc!$G$2:$G$1601,$AT252))</f>
        <v/>
      </c>
      <c r="AD252" t="str">
        <f>IF($AS252="","",Config!$B$23)</f>
        <v/>
      </c>
      <c r="AE252" t="str">
        <f>IF($AS252="","",Config!$B$28)</f>
        <v/>
      </c>
      <c r="AF252" t="str">
        <f t="shared" si="20"/>
        <v/>
      </c>
      <c r="AG252" t="str">
        <f t="shared" si="21"/>
        <v/>
      </c>
      <c r="AH252" t="str">
        <f t="shared" si="22"/>
        <v/>
      </c>
      <c r="AI252" t="str">
        <f>IF($AG252="","",SUMIF($AG$2:$AG252,$AG252,$AH$2:$AH252))</f>
        <v/>
      </c>
      <c r="AJ252" t="str">
        <f>IF('TMP Paste'!$F252="","",IF('TMP Paste'!$B252="",$AJ251,'TMP Paste'!$B252))</f>
        <v/>
      </c>
      <c r="AK252" t="str">
        <f>IF('TMP Paste'!$F252="","",N('TMP Paste'!$G252))</f>
        <v/>
      </c>
      <c r="AL252" t="str">
        <f>IF('TMP Paste'!$F252="","",IF('TMP Paste'!$M252="",$AL251,'TMP Paste'!$M252))</f>
        <v/>
      </c>
      <c r="AM252" t="str">
        <f>IF('TMP Paste'!$F252="","",IF('TMP Paste'!$N252="",$AM251,'TMP Paste'!$N252))</f>
        <v/>
      </c>
      <c r="AN252" t="str">
        <f>IF('TMP Paste'!$F252="","",IF('TMP Paste'!$O252="",$AN251,'TMP Paste'!$O252))</f>
        <v/>
      </c>
      <c r="AO252" t="str">
        <f>IF('TMP Paste'!$F252="","",IF('TMP Paste'!$P252="",$AO251,'TMP Paste'!$P252))</f>
        <v/>
      </c>
      <c r="AP252" t="str">
        <f t="shared" si="23"/>
        <v/>
      </c>
      <c r="AQ252" t="str">
        <f>IF($AS252="","",TRIM(IF(COUNTIFS(Calc!$B$2:$B$1601,ROW()-1,Calc!$C$2:$C$1601,"&lt;1")&gt;0,"Ada PO tanpa Koli - cek TMP. ","")&amp;IF(OR($AU252="",$AU252&lt;=0),"Volume kosong/0 - dimensi dikosongkan. ","")&amp;IF(AND($AU252&lt;&gt;"",$AU252&gt;=1000000),"Volume &gt;= 1.000.000 cm3 (di luar aturan) - dimensi dikosongkan. ","")&amp;IF(LEN($R252)&gt;500,"R &gt; 500 karakter.","")))</f>
        <v/>
      </c>
      <c r="AS252" t="str">
        <f>IFERROR(MATCH(ROW()-1,Calc!$J$2:$J$1601,0),"")</f>
        <v/>
      </c>
      <c r="AT252" t="str">
        <f>IFERROR(MATCH(ROW()-1,Calc!$K$2:$K$1601,0),"")</f>
        <v/>
      </c>
      <c r="AU252" t="str">
        <f>IF($AS252="","",IFERROR(INDEX('TMP Paste'!$D$2:$D$1601,$AS252)*1000000/$AB252,""))</f>
        <v/>
      </c>
    </row>
    <row r="253" spans="1:47">
      <c r="A253" t="str">
        <f>IF($AS253="","",INDEX('TMP Paste'!$B$2:$B$1601,$AS253))</f>
        <v/>
      </c>
      <c r="B253" t="str">
        <f>IF($AS253="","",Config!$B$14)</f>
        <v/>
      </c>
      <c r="C253" t="str">
        <f>IF($AS253="","",Config!$B$15)</f>
        <v/>
      </c>
      <c r="D253" t="str">
        <f>IF($AS253="","",INDEX('TMP Paste'!$B$2:$B$1601,$AS253))</f>
        <v/>
      </c>
      <c r="E253" t="str">
        <f>IF($AS253="","",Config!$B$27)</f>
        <v/>
      </c>
      <c r="F253" t="str">
        <f>IF($AS253="","",Config!$B$9)</f>
        <v/>
      </c>
      <c r="G253" t="str">
        <f>IF($AS253="","",Config!$B$10)</f>
        <v/>
      </c>
      <c r="H253" t="str">
        <f>IF($AS253="","",Config!$B$11)</f>
        <v/>
      </c>
      <c r="I253" t="str">
        <f>IF($AS253="","",Config!$B$16)</f>
        <v/>
      </c>
      <c r="J253" t="str">
        <f>IF($AS253="","",INDEX('TMP Paste'!$A$2:$A$1601,$AS253))</f>
        <v/>
      </c>
      <c r="K253" t="str">
        <f>IF($AS253="","",INDEX('TMP Paste'!$L$2:$L$1601,$AS253))</f>
        <v/>
      </c>
      <c r="L253" t="str">
        <f>IF($AS253="","",INDEX('TMP Paste'!$I$2:$I$1601,$AS253))</f>
        <v/>
      </c>
      <c r="M253" t="str">
        <f>IF($AS253="","",Config!$B$16)</f>
        <v/>
      </c>
      <c r="N253" t="str">
        <f t="shared" si="18"/>
        <v/>
      </c>
      <c r="O253" t="str">
        <f>IF($AS253="","",INDEX('TMP Paste'!$K$2:$K$1601,$AS253))</f>
        <v/>
      </c>
      <c r="P253" t="str">
        <f t="shared" si="19"/>
        <v/>
      </c>
      <c r="Q253" t="str">
        <f>IF($AS253="","",INDEX('TMP Paste'!$J$2:$J$1601,$AS253))</f>
        <v/>
      </c>
      <c r="R253" t="str">
        <f>IF($AS253="","",Config!$B$24)</f>
        <v/>
      </c>
      <c r="S253" t="str">
        <f ca="1">IF($AS253="","",TEXT(Config!$B$4,"yyyy-mm-dd"))</f>
        <v/>
      </c>
      <c r="T253" t="str">
        <f>IF($AS253="","",Config!$B$17)</f>
        <v/>
      </c>
      <c r="U253" t="str">
        <f>IF($AS253="","",Config!$B$18)</f>
        <v/>
      </c>
      <c r="V253" t="str">
        <f>IF($AS253="","",Config!$B$19)</f>
        <v/>
      </c>
      <c r="W253" t="str">
        <f>IF($AS253="","",INDEX('TMP Paste'!$C$2:$C$1601,$AS253))</f>
        <v/>
      </c>
      <c r="X253" t="str">
        <f>IF($AS253="","",Config!$B$29)</f>
        <v/>
      </c>
      <c r="Y253" t="str">
        <f>IF($AT253="","",INDEX(Calc!$I$2:$I$1601,$AT253)&amp;" - "&amp;INDEX(Calc!$D$2:$D$1601,$AT253)&amp;" koli")</f>
        <v/>
      </c>
      <c r="Z253" t="str">
        <f>IF($AS253="","",Config!$B$21)</f>
        <v/>
      </c>
      <c r="AA253" t="str">
        <f>IF($AS253="","",Config!$B$22)</f>
        <v/>
      </c>
      <c r="AB253" t="str">
        <f>IF($AT253="","",INDEX(Calc!$D$2:$D$1601,$AT253))</f>
        <v/>
      </c>
      <c r="AC253" t="str">
        <f>IF($AT253="","",INDEX(Calc!$G$2:$G$1601,$AT253))</f>
        <v/>
      </c>
      <c r="AD253" t="str">
        <f>IF($AS253="","",Config!$B$23)</f>
        <v/>
      </c>
      <c r="AE253" t="str">
        <f>IF($AS253="","",Config!$B$28)</f>
        <v/>
      </c>
      <c r="AF253" t="str">
        <f t="shared" si="20"/>
        <v/>
      </c>
      <c r="AG253" t="str">
        <f t="shared" si="21"/>
        <v/>
      </c>
      <c r="AH253" t="str">
        <f t="shared" si="22"/>
        <v/>
      </c>
      <c r="AI253" t="str">
        <f>IF($AG253="","",SUMIF($AG$2:$AG253,$AG253,$AH$2:$AH253))</f>
        <v/>
      </c>
      <c r="AJ253" t="str">
        <f>IF('TMP Paste'!$F253="","",IF('TMP Paste'!$B253="",$AJ252,'TMP Paste'!$B253))</f>
        <v/>
      </c>
      <c r="AK253" t="str">
        <f>IF('TMP Paste'!$F253="","",N('TMP Paste'!$G253))</f>
        <v/>
      </c>
      <c r="AL253" t="str">
        <f>IF('TMP Paste'!$F253="","",IF('TMP Paste'!$M253="",$AL252,'TMP Paste'!$M253))</f>
        <v/>
      </c>
      <c r="AM253" t="str">
        <f>IF('TMP Paste'!$F253="","",IF('TMP Paste'!$N253="",$AM252,'TMP Paste'!$N253))</f>
        <v/>
      </c>
      <c r="AN253" t="str">
        <f>IF('TMP Paste'!$F253="","",IF('TMP Paste'!$O253="",$AN252,'TMP Paste'!$O253))</f>
        <v/>
      </c>
      <c r="AO253" t="str">
        <f>IF('TMP Paste'!$F253="","",IF('TMP Paste'!$P253="",$AO252,'TMP Paste'!$P253))</f>
        <v/>
      </c>
      <c r="AP253" t="str">
        <f t="shared" si="23"/>
        <v/>
      </c>
      <c r="AQ253" t="str">
        <f>IF($AS253="","",TRIM(IF(COUNTIFS(Calc!$B$2:$B$1601,ROW()-1,Calc!$C$2:$C$1601,"&lt;1")&gt;0,"Ada PO tanpa Koli - cek TMP. ","")&amp;IF(OR($AU253="",$AU253&lt;=0),"Volume kosong/0 - dimensi dikosongkan. ","")&amp;IF(AND($AU253&lt;&gt;"",$AU253&gt;=1000000),"Volume &gt;= 1.000.000 cm3 (di luar aturan) - dimensi dikosongkan. ","")&amp;IF(LEN($R253)&gt;500,"R &gt; 500 karakter.","")))</f>
        <v/>
      </c>
      <c r="AS253" t="str">
        <f>IFERROR(MATCH(ROW()-1,Calc!$J$2:$J$1601,0),"")</f>
        <v/>
      </c>
      <c r="AT253" t="str">
        <f>IFERROR(MATCH(ROW()-1,Calc!$K$2:$K$1601,0),"")</f>
        <v/>
      </c>
      <c r="AU253" t="str">
        <f>IF($AS253="","",IFERROR(INDEX('TMP Paste'!$D$2:$D$1601,$AS253)*1000000/$AB253,""))</f>
        <v/>
      </c>
    </row>
    <row r="254" spans="1:47">
      <c r="A254" t="str">
        <f>IF($AS254="","",INDEX('TMP Paste'!$B$2:$B$1601,$AS254))</f>
        <v/>
      </c>
      <c r="B254" t="str">
        <f>IF($AS254="","",Config!$B$14)</f>
        <v/>
      </c>
      <c r="C254" t="str">
        <f>IF($AS254="","",Config!$B$15)</f>
        <v/>
      </c>
      <c r="D254" t="str">
        <f>IF($AS254="","",INDEX('TMP Paste'!$B$2:$B$1601,$AS254))</f>
        <v/>
      </c>
      <c r="E254" t="str">
        <f>IF($AS254="","",Config!$B$27)</f>
        <v/>
      </c>
      <c r="F254" t="str">
        <f>IF($AS254="","",Config!$B$9)</f>
        <v/>
      </c>
      <c r="G254" t="str">
        <f>IF($AS254="","",Config!$B$10)</f>
        <v/>
      </c>
      <c r="H254" t="str">
        <f>IF($AS254="","",Config!$B$11)</f>
        <v/>
      </c>
      <c r="I254" t="str">
        <f>IF($AS254="","",Config!$B$16)</f>
        <v/>
      </c>
      <c r="J254" t="str">
        <f>IF($AS254="","",INDEX('TMP Paste'!$A$2:$A$1601,$AS254))</f>
        <v/>
      </c>
      <c r="K254" t="str">
        <f>IF($AS254="","",INDEX('TMP Paste'!$L$2:$L$1601,$AS254))</f>
        <v/>
      </c>
      <c r="L254" t="str">
        <f>IF($AS254="","",INDEX('TMP Paste'!$I$2:$I$1601,$AS254))</f>
        <v/>
      </c>
      <c r="M254" t="str">
        <f>IF($AS254="","",Config!$B$16)</f>
        <v/>
      </c>
      <c r="N254" t="str">
        <f t="shared" si="18"/>
        <v/>
      </c>
      <c r="O254" t="str">
        <f>IF($AS254="","",INDEX('TMP Paste'!$K$2:$K$1601,$AS254))</f>
        <v/>
      </c>
      <c r="P254" t="str">
        <f t="shared" si="19"/>
        <v/>
      </c>
      <c r="Q254" t="str">
        <f>IF($AS254="","",INDEX('TMP Paste'!$J$2:$J$1601,$AS254))</f>
        <v/>
      </c>
      <c r="R254" t="str">
        <f>IF($AS254="","",Config!$B$24)</f>
        <v/>
      </c>
      <c r="S254" t="str">
        <f ca="1">IF($AS254="","",TEXT(Config!$B$4,"yyyy-mm-dd"))</f>
        <v/>
      </c>
      <c r="T254" t="str">
        <f>IF($AS254="","",Config!$B$17)</f>
        <v/>
      </c>
      <c r="U254" t="str">
        <f>IF($AS254="","",Config!$B$18)</f>
        <v/>
      </c>
      <c r="V254" t="str">
        <f>IF($AS254="","",Config!$B$19)</f>
        <v/>
      </c>
      <c r="W254" t="str">
        <f>IF($AS254="","",INDEX('TMP Paste'!$C$2:$C$1601,$AS254))</f>
        <v/>
      </c>
      <c r="X254" t="str">
        <f>IF($AS254="","",Config!$B$29)</f>
        <v/>
      </c>
      <c r="Y254" t="str">
        <f>IF($AT254="","",INDEX(Calc!$I$2:$I$1601,$AT254)&amp;" - "&amp;INDEX(Calc!$D$2:$D$1601,$AT254)&amp;" koli")</f>
        <v/>
      </c>
      <c r="Z254" t="str">
        <f>IF($AS254="","",Config!$B$21)</f>
        <v/>
      </c>
      <c r="AA254" t="str">
        <f>IF($AS254="","",Config!$B$22)</f>
        <v/>
      </c>
      <c r="AB254" t="str">
        <f>IF($AT254="","",INDEX(Calc!$D$2:$D$1601,$AT254))</f>
        <v/>
      </c>
      <c r="AC254" t="str">
        <f>IF($AT254="","",INDEX(Calc!$G$2:$G$1601,$AT254))</f>
        <v/>
      </c>
      <c r="AD254" t="str">
        <f>IF($AS254="","",Config!$B$23)</f>
        <v/>
      </c>
      <c r="AE254" t="str">
        <f>IF($AS254="","",Config!$B$28)</f>
        <v/>
      </c>
      <c r="AF254" t="str">
        <f t="shared" si="20"/>
        <v/>
      </c>
      <c r="AG254" t="str">
        <f t="shared" si="21"/>
        <v/>
      </c>
      <c r="AH254" t="str">
        <f t="shared" si="22"/>
        <v/>
      </c>
      <c r="AI254" t="str">
        <f>IF($AG254="","",SUMIF($AG$2:$AG254,$AG254,$AH$2:$AH254))</f>
        <v/>
      </c>
      <c r="AJ254" t="str">
        <f>IF('TMP Paste'!$F254="","",IF('TMP Paste'!$B254="",$AJ253,'TMP Paste'!$B254))</f>
        <v/>
      </c>
      <c r="AK254" t="str">
        <f>IF('TMP Paste'!$F254="","",N('TMP Paste'!$G254))</f>
        <v/>
      </c>
      <c r="AL254" t="str">
        <f>IF('TMP Paste'!$F254="","",IF('TMP Paste'!$M254="",$AL253,'TMP Paste'!$M254))</f>
        <v/>
      </c>
      <c r="AM254" t="str">
        <f>IF('TMP Paste'!$F254="","",IF('TMP Paste'!$N254="",$AM253,'TMP Paste'!$N254))</f>
        <v/>
      </c>
      <c r="AN254" t="str">
        <f>IF('TMP Paste'!$F254="","",IF('TMP Paste'!$O254="",$AN253,'TMP Paste'!$O254))</f>
        <v/>
      </c>
      <c r="AO254" t="str">
        <f>IF('TMP Paste'!$F254="","",IF('TMP Paste'!$P254="",$AO253,'TMP Paste'!$P254))</f>
        <v/>
      </c>
      <c r="AP254" t="str">
        <f t="shared" si="23"/>
        <v/>
      </c>
      <c r="AQ254" t="str">
        <f>IF($AS254="","",TRIM(IF(COUNTIFS(Calc!$B$2:$B$1601,ROW()-1,Calc!$C$2:$C$1601,"&lt;1")&gt;0,"Ada PO tanpa Koli - cek TMP. ","")&amp;IF(OR($AU254="",$AU254&lt;=0),"Volume kosong/0 - dimensi dikosongkan. ","")&amp;IF(AND($AU254&lt;&gt;"",$AU254&gt;=1000000),"Volume &gt;= 1.000.000 cm3 (di luar aturan) - dimensi dikosongkan. ","")&amp;IF(LEN($R254)&gt;500,"R &gt; 500 karakter.","")))</f>
        <v/>
      </c>
      <c r="AS254" t="str">
        <f>IFERROR(MATCH(ROW()-1,Calc!$J$2:$J$1601,0),"")</f>
        <v/>
      </c>
      <c r="AT254" t="str">
        <f>IFERROR(MATCH(ROW()-1,Calc!$K$2:$K$1601,0),"")</f>
        <v/>
      </c>
      <c r="AU254" t="str">
        <f>IF($AS254="","",IFERROR(INDEX('TMP Paste'!$D$2:$D$1601,$AS254)*1000000/$AB254,""))</f>
        <v/>
      </c>
    </row>
    <row r="255" spans="1:47">
      <c r="A255" t="str">
        <f>IF($AS255="","",INDEX('TMP Paste'!$B$2:$B$1601,$AS255))</f>
        <v/>
      </c>
      <c r="B255" t="str">
        <f>IF($AS255="","",Config!$B$14)</f>
        <v/>
      </c>
      <c r="C255" t="str">
        <f>IF($AS255="","",Config!$B$15)</f>
        <v/>
      </c>
      <c r="D255" t="str">
        <f>IF($AS255="","",INDEX('TMP Paste'!$B$2:$B$1601,$AS255))</f>
        <v/>
      </c>
      <c r="E255" t="str">
        <f>IF($AS255="","",Config!$B$27)</f>
        <v/>
      </c>
      <c r="F255" t="str">
        <f>IF($AS255="","",Config!$B$9)</f>
        <v/>
      </c>
      <c r="G255" t="str">
        <f>IF($AS255="","",Config!$B$10)</f>
        <v/>
      </c>
      <c r="H255" t="str">
        <f>IF($AS255="","",Config!$B$11)</f>
        <v/>
      </c>
      <c r="I255" t="str">
        <f>IF($AS255="","",Config!$B$16)</f>
        <v/>
      </c>
      <c r="J255" t="str">
        <f>IF($AS255="","",INDEX('TMP Paste'!$A$2:$A$1601,$AS255))</f>
        <v/>
      </c>
      <c r="K255" t="str">
        <f>IF($AS255="","",INDEX('TMP Paste'!$L$2:$L$1601,$AS255))</f>
        <v/>
      </c>
      <c r="L255" t="str">
        <f>IF($AS255="","",INDEX('TMP Paste'!$I$2:$I$1601,$AS255))</f>
        <v/>
      </c>
      <c r="M255" t="str">
        <f>IF($AS255="","",Config!$B$16)</f>
        <v/>
      </c>
      <c r="N255" t="str">
        <f t="shared" si="18"/>
        <v/>
      </c>
      <c r="O255" t="str">
        <f>IF($AS255="","",INDEX('TMP Paste'!$K$2:$K$1601,$AS255))</f>
        <v/>
      </c>
      <c r="P255" t="str">
        <f t="shared" si="19"/>
        <v/>
      </c>
      <c r="Q255" t="str">
        <f>IF($AS255="","",INDEX('TMP Paste'!$J$2:$J$1601,$AS255))</f>
        <v/>
      </c>
      <c r="R255" t="str">
        <f>IF($AS255="","",Config!$B$24)</f>
        <v/>
      </c>
      <c r="S255" t="str">
        <f ca="1">IF($AS255="","",TEXT(Config!$B$4,"yyyy-mm-dd"))</f>
        <v/>
      </c>
      <c r="T255" t="str">
        <f>IF($AS255="","",Config!$B$17)</f>
        <v/>
      </c>
      <c r="U255" t="str">
        <f>IF($AS255="","",Config!$B$18)</f>
        <v/>
      </c>
      <c r="V255" t="str">
        <f>IF($AS255="","",Config!$B$19)</f>
        <v/>
      </c>
      <c r="W255" t="str">
        <f>IF($AS255="","",INDEX('TMP Paste'!$C$2:$C$1601,$AS255))</f>
        <v/>
      </c>
      <c r="X255" t="str">
        <f>IF($AS255="","",Config!$B$29)</f>
        <v/>
      </c>
      <c r="Y255" t="str">
        <f>IF($AT255="","",INDEX(Calc!$I$2:$I$1601,$AT255)&amp;" - "&amp;INDEX(Calc!$D$2:$D$1601,$AT255)&amp;" koli")</f>
        <v/>
      </c>
      <c r="Z255" t="str">
        <f>IF($AS255="","",Config!$B$21)</f>
        <v/>
      </c>
      <c r="AA255" t="str">
        <f>IF($AS255="","",Config!$B$22)</f>
        <v/>
      </c>
      <c r="AB255" t="str">
        <f>IF($AT255="","",INDEX(Calc!$D$2:$D$1601,$AT255))</f>
        <v/>
      </c>
      <c r="AC255" t="str">
        <f>IF($AT255="","",INDEX(Calc!$G$2:$G$1601,$AT255))</f>
        <v/>
      </c>
      <c r="AD255" t="str">
        <f>IF($AS255="","",Config!$B$23)</f>
        <v/>
      </c>
      <c r="AE255" t="str">
        <f>IF($AS255="","",Config!$B$28)</f>
        <v/>
      </c>
      <c r="AF255" t="str">
        <f t="shared" si="20"/>
        <v/>
      </c>
      <c r="AG255" t="str">
        <f t="shared" si="21"/>
        <v/>
      </c>
      <c r="AH255" t="str">
        <f t="shared" si="22"/>
        <v/>
      </c>
      <c r="AI255" t="str">
        <f>IF($AG255="","",SUMIF($AG$2:$AG255,$AG255,$AH$2:$AH255))</f>
        <v/>
      </c>
      <c r="AJ255" t="str">
        <f>IF('TMP Paste'!$F255="","",IF('TMP Paste'!$B255="",$AJ254,'TMP Paste'!$B255))</f>
        <v/>
      </c>
      <c r="AK255" t="str">
        <f>IF('TMP Paste'!$F255="","",N('TMP Paste'!$G255))</f>
        <v/>
      </c>
      <c r="AL255" t="str">
        <f>IF('TMP Paste'!$F255="","",IF('TMP Paste'!$M255="",$AL254,'TMP Paste'!$M255))</f>
        <v/>
      </c>
      <c r="AM255" t="str">
        <f>IF('TMP Paste'!$F255="","",IF('TMP Paste'!$N255="",$AM254,'TMP Paste'!$N255))</f>
        <v/>
      </c>
      <c r="AN255" t="str">
        <f>IF('TMP Paste'!$F255="","",IF('TMP Paste'!$O255="",$AN254,'TMP Paste'!$O255))</f>
        <v/>
      </c>
      <c r="AO255" t="str">
        <f>IF('TMP Paste'!$F255="","",IF('TMP Paste'!$P255="",$AO254,'TMP Paste'!$P255))</f>
        <v/>
      </c>
      <c r="AP255" t="str">
        <f t="shared" si="23"/>
        <v/>
      </c>
      <c r="AQ255" t="str">
        <f>IF($AS255="","",TRIM(IF(COUNTIFS(Calc!$B$2:$B$1601,ROW()-1,Calc!$C$2:$C$1601,"&lt;1")&gt;0,"Ada PO tanpa Koli - cek TMP. ","")&amp;IF(OR($AU255="",$AU255&lt;=0),"Volume kosong/0 - dimensi dikosongkan. ","")&amp;IF(AND($AU255&lt;&gt;"",$AU255&gt;=1000000),"Volume &gt;= 1.000.000 cm3 (di luar aturan) - dimensi dikosongkan. ","")&amp;IF(LEN($R255)&gt;500,"R &gt; 500 karakter.","")))</f>
        <v/>
      </c>
      <c r="AS255" t="str">
        <f>IFERROR(MATCH(ROW()-1,Calc!$J$2:$J$1601,0),"")</f>
        <v/>
      </c>
      <c r="AT255" t="str">
        <f>IFERROR(MATCH(ROW()-1,Calc!$K$2:$K$1601,0),"")</f>
        <v/>
      </c>
      <c r="AU255" t="str">
        <f>IF($AS255="","",IFERROR(INDEX('TMP Paste'!$D$2:$D$1601,$AS255)*1000000/$AB255,""))</f>
        <v/>
      </c>
    </row>
    <row r="256" spans="1:47">
      <c r="A256" t="str">
        <f>IF($AS256="","",INDEX('TMP Paste'!$B$2:$B$1601,$AS256))</f>
        <v/>
      </c>
      <c r="B256" t="str">
        <f>IF($AS256="","",Config!$B$14)</f>
        <v/>
      </c>
      <c r="C256" t="str">
        <f>IF($AS256="","",Config!$B$15)</f>
        <v/>
      </c>
      <c r="D256" t="str">
        <f>IF($AS256="","",INDEX('TMP Paste'!$B$2:$B$1601,$AS256))</f>
        <v/>
      </c>
      <c r="E256" t="str">
        <f>IF($AS256="","",Config!$B$27)</f>
        <v/>
      </c>
      <c r="F256" t="str">
        <f>IF($AS256="","",Config!$B$9)</f>
        <v/>
      </c>
      <c r="G256" t="str">
        <f>IF($AS256="","",Config!$B$10)</f>
        <v/>
      </c>
      <c r="H256" t="str">
        <f>IF($AS256="","",Config!$B$11)</f>
        <v/>
      </c>
      <c r="I256" t="str">
        <f>IF($AS256="","",Config!$B$16)</f>
        <v/>
      </c>
      <c r="J256" t="str">
        <f>IF($AS256="","",INDEX('TMP Paste'!$A$2:$A$1601,$AS256))</f>
        <v/>
      </c>
      <c r="K256" t="str">
        <f>IF($AS256="","",INDEX('TMP Paste'!$L$2:$L$1601,$AS256))</f>
        <v/>
      </c>
      <c r="L256" t="str">
        <f>IF($AS256="","",INDEX('TMP Paste'!$I$2:$I$1601,$AS256))</f>
        <v/>
      </c>
      <c r="M256" t="str">
        <f>IF($AS256="","",Config!$B$16)</f>
        <v/>
      </c>
      <c r="N256" t="str">
        <f t="shared" si="18"/>
        <v/>
      </c>
      <c r="O256" t="str">
        <f>IF($AS256="","",INDEX('TMP Paste'!$K$2:$K$1601,$AS256))</f>
        <v/>
      </c>
      <c r="P256" t="str">
        <f t="shared" si="19"/>
        <v/>
      </c>
      <c r="Q256" t="str">
        <f>IF($AS256="","",INDEX('TMP Paste'!$J$2:$J$1601,$AS256))</f>
        <v/>
      </c>
      <c r="R256" t="str">
        <f>IF($AS256="","",Config!$B$24)</f>
        <v/>
      </c>
      <c r="S256" t="str">
        <f ca="1">IF($AS256="","",TEXT(Config!$B$4,"yyyy-mm-dd"))</f>
        <v/>
      </c>
      <c r="T256" t="str">
        <f>IF($AS256="","",Config!$B$17)</f>
        <v/>
      </c>
      <c r="U256" t="str">
        <f>IF($AS256="","",Config!$B$18)</f>
        <v/>
      </c>
      <c r="V256" t="str">
        <f>IF($AS256="","",Config!$B$19)</f>
        <v/>
      </c>
      <c r="W256" t="str">
        <f>IF($AS256="","",INDEX('TMP Paste'!$C$2:$C$1601,$AS256))</f>
        <v/>
      </c>
      <c r="X256" t="str">
        <f>IF($AS256="","",Config!$B$29)</f>
        <v/>
      </c>
      <c r="Y256" t="str">
        <f>IF($AT256="","",INDEX(Calc!$I$2:$I$1601,$AT256)&amp;" - "&amp;INDEX(Calc!$D$2:$D$1601,$AT256)&amp;" koli")</f>
        <v/>
      </c>
      <c r="Z256" t="str">
        <f>IF($AS256="","",Config!$B$21)</f>
        <v/>
      </c>
      <c r="AA256" t="str">
        <f>IF($AS256="","",Config!$B$22)</f>
        <v/>
      </c>
      <c r="AB256" t="str">
        <f>IF($AT256="","",INDEX(Calc!$D$2:$D$1601,$AT256))</f>
        <v/>
      </c>
      <c r="AC256" t="str">
        <f>IF($AT256="","",INDEX(Calc!$G$2:$G$1601,$AT256))</f>
        <v/>
      </c>
      <c r="AD256" t="str">
        <f>IF($AS256="","",Config!$B$23)</f>
        <v/>
      </c>
      <c r="AE256" t="str">
        <f>IF($AS256="","",Config!$B$28)</f>
        <v/>
      </c>
      <c r="AF256" t="str">
        <f t="shared" si="20"/>
        <v/>
      </c>
      <c r="AG256" t="str">
        <f t="shared" si="21"/>
        <v/>
      </c>
      <c r="AH256" t="str">
        <f t="shared" si="22"/>
        <v/>
      </c>
      <c r="AI256" t="str">
        <f>IF($AG256="","",SUMIF($AG$2:$AG256,$AG256,$AH$2:$AH256))</f>
        <v/>
      </c>
      <c r="AJ256" t="str">
        <f>IF('TMP Paste'!$F256="","",IF('TMP Paste'!$B256="",$AJ255,'TMP Paste'!$B256))</f>
        <v/>
      </c>
      <c r="AK256" t="str">
        <f>IF('TMP Paste'!$F256="","",N('TMP Paste'!$G256))</f>
        <v/>
      </c>
      <c r="AL256" t="str">
        <f>IF('TMP Paste'!$F256="","",IF('TMP Paste'!$M256="",$AL255,'TMP Paste'!$M256))</f>
        <v/>
      </c>
      <c r="AM256" t="str">
        <f>IF('TMP Paste'!$F256="","",IF('TMP Paste'!$N256="",$AM255,'TMP Paste'!$N256))</f>
        <v/>
      </c>
      <c r="AN256" t="str">
        <f>IF('TMP Paste'!$F256="","",IF('TMP Paste'!$O256="",$AN255,'TMP Paste'!$O256))</f>
        <v/>
      </c>
      <c r="AO256" t="str">
        <f>IF('TMP Paste'!$F256="","",IF('TMP Paste'!$P256="",$AO255,'TMP Paste'!$P256))</f>
        <v/>
      </c>
      <c r="AP256" t="str">
        <f t="shared" si="23"/>
        <v/>
      </c>
      <c r="AQ256" t="str">
        <f>IF($AS256="","",TRIM(IF(COUNTIFS(Calc!$B$2:$B$1601,ROW()-1,Calc!$C$2:$C$1601,"&lt;1")&gt;0,"Ada PO tanpa Koli - cek TMP. ","")&amp;IF(OR($AU256="",$AU256&lt;=0),"Volume kosong/0 - dimensi dikosongkan. ","")&amp;IF(AND($AU256&lt;&gt;"",$AU256&gt;=1000000),"Volume &gt;= 1.000.000 cm3 (di luar aturan) - dimensi dikosongkan. ","")&amp;IF(LEN($R256)&gt;500,"R &gt; 500 karakter.","")))</f>
        <v/>
      </c>
      <c r="AS256" t="str">
        <f>IFERROR(MATCH(ROW()-1,Calc!$J$2:$J$1601,0),"")</f>
        <v/>
      </c>
      <c r="AT256" t="str">
        <f>IFERROR(MATCH(ROW()-1,Calc!$K$2:$K$1601,0),"")</f>
        <v/>
      </c>
      <c r="AU256" t="str">
        <f>IF($AS256="","",IFERROR(INDEX('TMP Paste'!$D$2:$D$1601,$AS256)*1000000/$AB256,""))</f>
        <v/>
      </c>
    </row>
    <row r="257" spans="1:47">
      <c r="A257" t="str">
        <f>IF($AS257="","",INDEX('TMP Paste'!$B$2:$B$1601,$AS257))</f>
        <v/>
      </c>
      <c r="B257" t="str">
        <f>IF($AS257="","",Config!$B$14)</f>
        <v/>
      </c>
      <c r="C257" t="str">
        <f>IF($AS257="","",Config!$B$15)</f>
        <v/>
      </c>
      <c r="D257" t="str">
        <f>IF($AS257="","",INDEX('TMP Paste'!$B$2:$B$1601,$AS257))</f>
        <v/>
      </c>
      <c r="E257" t="str">
        <f>IF($AS257="","",Config!$B$27)</f>
        <v/>
      </c>
      <c r="F257" t="str">
        <f>IF($AS257="","",Config!$B$9)</f>
        <v/>
      </c>
      <c r="G257" t="str">
        <f>IF($AS257="","",Config!$B$10)</f>
        <v/>
      </c>
      <c r="H257" t="str">
        <f>IF($AS257="","",Config!$B$11)</f>
        <v/>
      </c>
      <c r="I257" t="str">
        <f>IF($AS257="","",Config!$B$16)</f>
        <v/>
      </c>
      <c r="J257" t="str">
        <f>IF($AS257="","",INDEX('TMP Paste'!$A$2:$A$1601,$AS257))</f>
        <v/>
      </c>
      <c r="K257" t="str">
        <f>IF($AS257="","",INDEX('TMP Paste'!$L$2:$L$1601,$AS257))</f>
        <v/>
      </c>
      <c r="L257" t="str">
        <f>IF($AS257="","",INDEX('TMP Paste'!$I$2:$I$1601,$AS257))</f>
        <v/>
      </c>
      <c r="M257" t="str">
        <f>IF($AS257="","",Config!$B$16)</f>
        <v/>
      </c>
      <c r="N257" t="str">
        <f t="shared" si="18"/>
        <v/>
      </c>
      <c r="O257" t="str">
        <f>IF($AS257="","",INDEX('TMP Paste'!$K$2:$K$1601,$AS257))</f>
        <v/>
      </c>
      <c r="P257" t="str">
        <f t="shared" si="19"/>
        <v/>
      </c>
      <c r="Q257" t="str">
        <f>IF($AS257="","",INDEX('TMP Paste'!$J$2:$J$1601,$AS257))</f>
        <v/>
      </c>
      <c r="R257" t="str">
        <f>IF($AS257="","",Config!$B$24)</f>
        <v/>
      </c>
      <c r="S257" t="str">
        <f ca="1">IF($AS257="","",TEXT(Config!$B$4,"yyyy-mm-dd"))</f>
        <v/>
      </c>
      <c r="T257" t="str">
        <f>IF($AS257="","",Config!$B$17)</f>
        <v/>
      </c>
      <c r="U257" t="str">
        <f>IF($AS257="","",Config!$B$18)</f>
        <v/>
      </c>
      <c r="V257" t="str">
        <f>IF($AS257="","",Config!$B$19)</f>
        <v/>
      </c>
      <c r="W257" t="str">
        <f>IF($AS257="","",INDEX('TMP Paste'!$C$2:$C$1601,$AS257))</f>
        <v/>
      </c>
      <c r="X257" t="str">
        <f>IF($AS257="","",Config!$B$29)</f>
        <v/>
      </c>
      <c r="Y257" t="str">
        <f>IF($AT257="","",INDEX(Calc!$I$2:$I$1601,$AT257)&amp;" - "&amp;INDEX(Calc!$D$2:$D$1601,$AT257)&amp;" koli")</f>
        <v/>
      </c>
      <c r="Z257" t="str">
        <f>IF($AS257="","",Config!$B$21)</f>
        <v/>
      </c>
      <c r="AA257" t="str">
        <f>IF($AS257="","",Config!$B$22)</f>
        <v/>
      </c>
      <c r="AB257" t="str">
        <f>IF($AT257="","",INDEX(Calc!$D$2:$D$1601,$AT257))</f>
        <v/>
      </c>
      <c r="AC257" t="str">
        <f>IF($AT257="","",INDEX(Calc!$G$2:$G$1601,$AT257))</f>
        <v/>
      </c>
      <c r="AD257" t="str">
        <f>IF($AS257="","",Config!$B$23)</f>
        <v/>
      </c>
      <c r="AE257" t="str">
        <f>IF($AS257="","",Config!$B$28)</f>
        <v/>
      </c>
      <c r="AF257" t="str">
        <f t="shared" si="20"/>
        <v/>
      </c>
      <c r="AG257" t="str">
        <f t="shared" si="21"/>
        <v/>
      </c>
      <c r="AH257" t="str">
        <f t="shared" si="22"/>
        <v/>
      </c>
      <c r="AI257" t="str">
        <f>IF($AG257="","",SUMIF($AG$2:$AG257,$AG257,$AH$2:$AH257))</f>
        <v/>
      </c>
      <c r="AJ257" t="str">
        <f>IF('TMP Paste'!$F257="","",IF('TMP Paste'!$B257="",$AJ256,'TMP Paste'!$B257))</f>
        <v/>
      </c>
      <c r="AK257" t="str">
        <f>IF('TMP Paste'!$F257="","",N('TMP Paste'!$G257))</f>
        <v/>
      </c>
      <c r="AL257" t="str">
        <f>IF('TMP Paste'!$F257="","",IF('TMP Paste'!$M257="",$AL256,'TMP Paste'!$M257))</f>
        <v/>
      </c>
      <c r="AM257" t="str">
        <f>IF('TMP Paste'!$F257="","",IF('TMP Paste'!$N257="",$AM256,'TMP Paste'!$N257))</f>
        <v/>
      </c>
      <c r="AN257" t="str">
        <f>IF('TMP Paste'!$F257="","",IF('TMP Paste'!$O257="",$AN256,'TMP Paste'!$O257))</f>
        <v/>
      </c>
      <c r="AO257" t="str">
        <f>IF('TMP Paste'!$F257="","",IF('TMP Paste'!$P257="",$AO256,'TMP Paste'!$P257))</f>
        <v/>
      </c>
      <c r="AP257" t="str">
        <f t="shared" si="23"/>
        <v/>
      </c>
      <c r="AQ257" t="str">
        <f>IF($AS257="","",TRIM(IF(COUNTIFS(Calc!$B$2:$B$1601,ROW()-1,Calc!$C$2:$C$1601,"&lt;1")&gt;0,"Ada PO tanpa Koli - cek TMP. ","")&amp;IF(OR($AU257="",$AU257&lt;=0),"Volume kosong/0 - dimensi dikosongkan. ","")&amp;IF(AND($AU257&lt;&gt;"",$AU257&gt;=1000000),"Volume &gt;= 1.000.000 cm3 (di luar aturan) - dimensi dikosongkan. ","")&amp;IF(LEN($R257)&gt;500,"R &gt; 500 karakter.","")))</f>
        <v/>
      </c>
      <c r="AS257" t="str">
        <f>IFERROR(MATCH(ROW()-1,Calc!$J$2:$J$1601,0),"")</f>
        <v/>
      </c>
      <c r="AT257" t="str">
        <f>IFERROR(MATCH(ROW()-1,Calc!$K$2:$K$1601,0),"")</f>
        <v/>
      </c>
      <c r="AU257" t="str">
        <f>IF($AS257="","",IFERROR(INDEX('TMP Paste'!$D$2:$D$1601,$AS257)*1000000/$AB257,""))</f>
        <v/>
      </c>
    </row>
    <row r="258" spans="1:47">
      <c r="A258" t="str">
        <f>IF($AS258="","",INDEX('TMP Paste'!$B$2:$B$1601,$AS258))</f>
        <v/>
      </c>
      <c r="B258" t="str">
        <f>IF($AS258="","",Config!$B$14)</f>
        <v/>
      </c>
      <c r="C258" t="str">
        <f>IF($AS258="","",Config!$B$15)</f>
        <v/>
      </c>
      <c r="D258" t="str">
        <f>IF($AS258="","",INDEX('TMP Paste'!$B$2:$B$1601,$AS258))</f>
        <v/>
      </c>
      <c r="E258" t="str">
        <f>IF($AS258="","",Config!$B$27)</f>
        <v/>
      </c>
      <c r="F258" t="str">
        <f>IF($AS258="","",Config!$B$9)</f>
        <v/>
      </c>
      <c r="G258" t="str">
        <f>IF($AS258="","",Config!$B$10)</f>
        <v/>
      </c>
      <c r="H258" t="str">
        <f>IF($AS258="","",Config!$B$11)</f>
        <v/>
      </c>
      <c r="I258" t="str">
        <f>IF($AS258="","",Config!$B$16)</f>
        <v/>
      </c>
      <c r="J258" t="str">
        <f>IF($AS258="","",INDEX('TMP Paste'!$A$2:$A$1601,$AS258))</f>
        <v/>
      </c>
      <c r="K258" t="str">
        <f>IF($AS258="","",INDEX('TMP Paste'!$L$2:$L$1601,$AS258))</f>
        <v/>
      </c>
      <c r="L258" t="str">
        <f>IF($AS258="","",INDEX('TMP Paste'!$I$2:$I$1601,$AS258))</f>
        <v/>
      </c>
      <c r="M258" t="str">
        <f>IF($AS258="","",Config!$B$16)</f>
        <v/>
      </c>
      <c r="N258" t="str">
        <f t="shared" ref="N258:N321" si="24">IF($AS258="","","")</f>
        <v/>
      </c>
      <c r="O258" t="str">
        <f>IF($AS258="","",INDEX('TMP Paste'!$K$2:$K$1601,$AS258))</f>
        <v/>
      </c>
      <c r="P258" t="str">
        <f t="shared" ref="P258:P321" si="25">IF($AS258="","","")</f>
        <v/>
      </c>
      <c r="Q258" t="str">
        <f>IF($AS258="","",INDEX('TMP Paste'!$J$2:$J$1601,$AS258))</f>
        <v/>
      </c>
      <c r="R258" t="str">
        <f>IF($AS258="","",Config!$B$24)</f>
        <v/>
      </c>
      <c r="S258" t="str">
        <f ca="1">IF($AS258="","",TEXT(Config!$B$4,"yyyy-mm-dd"))</f>
        <v/>
      </c>
      <c r="T258" t="str">
        <f>IF($AS258="","",Config!$B$17)</f>
        <v/>
      </c>
      <c r="U258" t="str">
        <f>IF($AS258="","",Config!$B$18)</f>
        <v/>
      </c>
      <c r="V258" t="str">
        <f>IF($AS258="","",Config!$B$19)</f>
        <v/>
      </c>
      <c r="W258" t="str">
        <f>IF($AS258="","",INDEX('TMP Paste'!$C$2:$C$1601,$AS258))</f>
        <v/>
      </c>
      <c r="X258" t="str">
        <f>IF($AS258="","",Config!$B$29)</f>
        <v/>
      </c>
      <c r="Y258" t="str">
        <f>IF($AT258="","",INDEX(Calc!$I$2:$I$1601,$AT258)&amp;" - "&amp;INDEX(Calc!$D$2:$D$1601,$AT258)&amp;" koli")</f>
        <v/>
      </c>
      <c r="Z258" t="str">
        <f>IF($AS258="","",Config!$B$21)</f>
        <v/>
      </c>
      <c r="AA258" t="str">
        <f>IF($AS258="","",Config!$B$22)</f>
        <v/>
      </c>
      <c r="AB258" t="str">
        <f>IF($AT258="","",INDEX(Calc!$D$2:$D$1601,$AT258))</f>
        <v/>
      </c>
      <c r="AC258" t="str">
        <f>IF($AT258="","",INDEX(Calc!$G$2:$G$1601,$AT258))</f>
        <v/>
      </c>
      <c r="AD258" t="str">
        <f>IF($AS258="","",Config!$B$23)</f>
        <v/>
      </c>
      <c r="AE258" t="str">
        <f>IF($AS258="","",Config!$B$28)</f>
        <v/>
      </c>
      <c r="AF258" t="str">
        <f t="shared" ref="AF258:AF321" si="26">IF($AS258="","",IF(OR($AU258="",$AU258&lt;=0,$AU258&gt;=1000000),"",IF($AU258&lt;10000,10,100)))</f>
        <v/>
      </c>
      <c r="AG258" t="str">
        <f t="shared" ref="AG258:AG321" si="27">IF($AS258="","",IF(OR($AU258="",$AU258&lt;=0,$AU258&gt;=1000000),"",IF($AU258&lt;10000,$AU258/100,IF($AU258&lt;100000,$AU258/1000,$AU258/10000))))</f>
        <v/>
      </c>
      <c r="AH258" t="str">
        <f t="shared" ref="AH258:AH321" si="28">IF($AS258="","",IF(OR($AU258="",$AU258&lt;=0,$AU258&gt;=1000000),"",IF($AU258&lt;100000,10,100)))</f>
        <v/>
      </c>
      <c r="AI258" t="str">
        <f>IF($AG258="","",SUMIF($AG$2:$AG258,$AG258,$AH$2:$AH258))</f>
        <v/>
      </c>
      <c r="AJ258" t="str">
        <f>IF('TMP Paste'!$F258="","",IF('TMP Paste'!$B258="",$AJ257,'TMP Paste'!$B258))</f>
        <v/>
      </c>
      <c r="AK258" t="str">
        <f>IF('TMP Paste'!$F258="","",N('TMP Paste'!$G258))</f>
        <v/>
      </c>
      <c r="AL258" t="str">
        <f>IF('TMP Paste'!$F258="","",IF('TMP Paste'!$M258="",$AL257,'TMP Paste'!$M258))</f>
        <v/>
      </c>
      <c r="AM258" t="str">
        <f>IF('TMP Paste'!$F258="","",IF('TMP Paste'!$N258="",$AM257,'TMP Paste'!$N258))</f>
        <v/>
      </c>
      <c r="AN258" t="str">
        <f>IF('TMP Paste'!$F258="","",IF('TMP Paste'!$O258="",$AN257,'TMP Paste'!$O258))</f>
        <v/>
      </c>
      <c r="AO258" t="str">
        <f>IF('TMP Paste'!$F258="","",IF('TMP Paste'!$P258="",$AO257,'TMP Paste'!$P258))</f>
        <v/>
      </c>
      <c r="AP258" t="str">
        <f t="shared" ref="AP258:AP321" si="29">IF($AG258="","",LEN($R258))</f>
        <v/>
      </c>
      <c r="AQ258" t="str">
        <f>IF($AS258="","",TRIM(IF(COUNTIFS(Calc!$B$2:$B$1601,ROW()-1,Calc!$C$2:$C$1601,"&lt;1")&gt;0,"Ada PO tanpa Koli - cek TMP. ","")&amp;IF(OR($AU258="",$AU258&lt;=0),"Volume kosong/0 - dimensi dikosongkan. ","")&amp;IF(AND($AU258&lt;&gt;"",$AU258&gt;=1000000),"Volume &gt;= 1.000.000 cm3 (di luar aturan) - dimensi dikosongkan. ","")&amp;IF(LEN($R258)&gt;500,"R &gt; 500 karakter.","")))</f>
        <v/>
      </c>
      <c r="AS258" t="str">
        <f>IFERROR(MATCH(ROW()-1,Calc!$J$2:$J$1601,0),"")</f>
        <v/>
      </c>
      <c r="AT258" t="str">
        <f>IFERROR(MATCH(ROW()-1,Calc!$K$2:$K$1601,0),"")</f>
        <v/>
      </c>
      <c r="AU258" t="str">
        <f>IF($AS258="","",IFERROR(INDEX('TMP Paste'!$D$2:$D$1601,$AS258)*1000000/$AB258,""))</f>
        <v/>
      </c>
    </row>
    <row r="259" spans="1:47">
      <c r="A259" t="str">
        <f>IF($AS259="","",INDEX('TMP Paste'!$B$2:$B$1601,$AS259))</f>
        <v/>
      </c>
      <c r="B259" t="str">
        <f>IF($AS259="","",Config!$B$14)</f>
        <v/>
      </c>
      <c r="C259" t="str">
        <f>IF($AS259="","",Config!$B$15)</f>
        <v/>
      </c>
      <c r="D259" t="str">
        <f>IF($AS259="","",INDEX('TMP Paste'!$B$2:$B$1601,$AS259))</f>
        <v/>
      </c>
      <c r="E259" t="str">
        <f>IF($AS259="","",Config!$B$27)</f>
        <v/>
      </c>
      <c r="F259" t="str">
        <f>IF($AS259="","",Config!$B$9)</f>
        <v/>
      </c>
      <c r="G259" t="str">
        <f>IF($AS259="","",Config!$B$10)</f>
        <v/>
      </c>
      <c r="H259" t="str">
        <f>IF($AS259="","",Config!$B$11)</f>
        <v/>
      </c>
      <c r="I259" t="str">
        <f>IF($AS259="","",Config!$B$16)</f>
        <v/>
      </c>
      <c r="J259" t="str">
        <f>IF($AS259="","",INDEX('TMP Paste'!$A$2:$A$1601,$AS259))</f>
        <v/>
      </c>
      <c r="K259" t="str">
        <f>IF($AS259="","",INDEX('TMP Paste'!$L$2:$L$1601,$AS259))</f>
        <v/>
      </c>
      <c r="L259" t="str">
        <f>IF($AS259="","",INDEX('TMP Paste'!$I$2:$I$1601,$AS259))</f>
        <v/>
      </c>
      <c r="M259" t="str">
        <f>IF($AS259="","",Config!$B$16)</f>
        <v/>
      </c>
      <c r="N259" t="str">
        <f t="shared" si="24"/>
        <v/>
      </c>
      <c r="O259" t="str">
        <f>IF($AS259="","",INDEX('TMP Paste'!$K$2:$K$1601,$AS259))</f>
        <v/>
      </c>
      <c r="P259" t="str">
        <f t="shared" si="25"/>
        <v/>
      </c>
      <c r="Q259" t="str">
        <f>IF($AS259="","",INDEX('TMP Paste'!$J$2:$J$1601,$AS259))</f>
        <v/>
      </c>
      <c r="R259" t="str">
        <f>IF($AS259="","",Config!$B$24)</f>
        <v/>
      </c>
      <c r="S259" t="str">
        <f ca="1">IF($AS259="","",TEXT(Config!$B$4,"yyyy-mm-dd"))</f>
        <v/>
      </c>
      <c r="T259" t="str">
        <f>IF($AS259="","",Config!$B$17)</f>
        <v/>
      </c>
      <c r="U259" t="str">
        <f>IF($AS259="","",Config!$B$18)</f>
        <v/>
      </c>
      <c r="V259" t="str">
        <f>IF($AS259="","",Config!$B$19)</f>
        <v/>
      </c>
      <c r="W259" t="str">
        <f>IF($AS259="","",INDEX('TMP Paste'!$C$2:$C$1601,$AS259))</f>
        <v/>
      </c>
      <c r="X259" t="str">
        <f>IF($AS259="","",Config!$B$29)</f>
        <v/>
      </c>
      <c r="Y259" t="str">
        <f>IF($AT259="","",INDEX(Calc!$I$2:$I$1601,$AT259)&amp;" - "&amp;INDEX(Calc!$D$2:$D$1601,$AT259)&amp;" koli")</f>
        <v/>
      </c>
      <c r="Z259" t="str">
        <f>IF($AS259="","",Config!$B$21)</f>
        <v/>
      </c>
      <c r="AA259" t="str">
        <f>IF($AS259="","",Config!$B$22)</f>
        <v/>
      </c>
      <c r="AB259" t="str">
        <f>IF($AT259="","",INDEX(Calc!$D$2:$D$1601,$AT259))</f>
        <v/>
      </c>
      <c r="AC259" t="str">
        <f>IF($AT259="","",INDEX(Calc!$G$2:$G$1601,$AT259))</f>
        <v/>
      </c>
      <c r="AD259" t="str">
        <f>IF($AS259="","",Config!$B$23)</f>
        <v/>
      </c>
      <c r="AE259" t="str">
        <f>IF($AS259="","",Config!$B$28)</f>
        <v/>
      </c>
      <c r="AF259" t="str">
        <f t="shared" si="26"/>
        <v/>
      </c>
      <c r="AG259" t="str">
        <f t="shared" si="27"/>
        <v/>
      </c>
      <c r="AH259" t="str">
        <f t="shared" si="28"/>
        <v/>
      </c>
      <c r="AI259" t="str">
        <f>IF($AG259="","",SUMIF($AG$2:$AG259,$AG259,$AH$2:$AH259))</f>
        <v/>
      </c>
      <c r="AJ259" t="str">
        <f>IF('TMP Paste'!$F259="","",IF('TMP Paste'!$B259="",$AJ258,'TMP Paste'!$B259))</f>
        <v/>
      </c>
      <c r="AK259" t="str">
        <f>IF('TMP Paste'!$F259="","",N('TMP Paste'!$G259))</f>
        <v/>
      </c>
      <c r="AL259" t="str">
        <f>IF('TMP Paste'!$F259="","",IF('TMP Paste'!$M259="",$AL258,'TMP Paste'!$M259))</f>
        <v/>
      </c>
      <c r="AM259" t="str">
        <f>IF('TMP Paste'!$F259="","",IF('TMP Paste'!$N259="",$AM258,'TMP Paste'!$N259))</f>
        <v/>
      </c>
      <c r="AN259" t="str">
        <f>IF('TMP Paste'!$F259="","",IF('TMP Paste'!$O259="",$AN258,'TMP Paste'!$O259))</f>
        <v/>
      </c>
      <c r="AO259" t="str">
        <f>IF('TMP Paste'!$F259="","",IF('TMP Paste'!$P259="",$AO258,'TMP Paste'!$P259))</f>
        <v/>
      </c>
      <c r="AP259" t="str">
        <f t="shared" si="29"/>
        <v/>
      </c>
      <c r="AQ259" t="str">
        <f>IF($AS259="","",TRIM(IF(COUNTIFS(Calc!$B$2:$B$1601,ROW()-1,Calc!$C$2:$C$1601,"&lt;1")&gt;0,"Ada PO tanpa Koli - cek TMP. ","")&amp;IF(OR($AU259="",$AU259&lt;=0),"Volume kosong/0 - dimensi dikosongkan. ","")&amp;IF(AND($AU259&lt;&gt;"",$AU259&gt;=1000000),"Volume &gt;= 1.000.000 cm3 (di luar aturan) - dimensi dikosongkan. ","")&amp;IF(LEN($R259)&gt;500,"R &gt; 500 karakter.","")))</f>
        <v/>
      </c>
      <c r="AS259" t="str">
        <f>IFERROR(MATCH(ROW()-1,Calc!$J$2:$J$1601,0),"")</f>
        <v/>
      </c>
      <c r="AT259" t="str">
        <f>IFERROR(MATCH(ROW()-1,Calc!$K$2:$K$1601,0),"")</f>
        <v/>
      </c>
      <c r="AU259" t="str">
        <f>IF($AS259="","",IFERROR(INDEX('TMP Paste'!$D$2:$D$1601,$AS259)*1000000/$AB259,""))</f>
        <v/>
      </c>
    </row>
    <row r="260" spans="1:47">
      <c r="A260" t="str">
        <f>IF($AS260="","",INDEX('TMP Paste'!$B$2:$B$1601,$AS260))</f>
        <v/>
      </c>
      <c r="B260" t="str">
        <f>IF($AS260="","",Config!$B$14)</f>
        <v/>
      </c>
      <c r="C260" t="str">
        <f>IF($AS260="","",Config!$B$15)</f>
        <v/>
      </c>
      <c r="D260" t="str">
        <f>IF($AS260="","",INDEX('TMP Paste'!$B$2:$B$1601,$AS260))</f>
        <v/>
      </c>
      <c r="E260" t="str">
        <f>IF($AS260="","",Config!$B$27)</f>
        <v/>
      </c>
      <c r="F260" t="str">
        <f>IF($AS260="","",Config!$B$9)</f>
        <v/>
      </c>
      <c r="G260" t="str">
        <f>IF($AS260="","",Config!$B$10)</f>
        <v/>
      </c>
      <c r="H260" t="str">
        <f>IF($AS260="","",Config!$B$11)</f>
        <v/>
      </c>
      <c r="I260" t="str">
        <f>IF($AS260="","",Config!$B$16)</f>
        <v/>
      </c>
      <c r="J260" t="str">
        <f>IF($AS260="","",INDEX('TMP Paste'!$A$2:$A$1601,$AS260))</f>
        <v/>
      </c>
      <c r="K260" t="str">
        <f>IF($AS260="","",INDEX('TMP Paste'!$L$2:$L$1601,$AS260))</f>
        <v/>
      </c>
      <c r="L260" t="str">
        <f>IF($AS260="","",INDEX('TMP Paste'!$I$2:$I$1601,$AS260))</f>
        <v/>
      </c>
      <c r="M260" t="str">
        <f>IF($AS260="","",Config!$B$16)</f>
        <v/>
      </c>
      <c r="N260" t="str">
        <f t="shared" si="24"/>
        <v/>
      </c>
      <c r="O260" t="str">
        <f>IF($AS260="","",INDEX('TMP Paste'!$K$2:$K$1601,$AS260))</f>
        <v/>
      </c>
      <c r="P260" t="str">
        <f t="shared" si="25"/>
        <v/>
      </c>
      <c r="Q260" t="str">
        <f>IF($AS260="","",INDEX('TMP Paste'!$J$2:$J$1601,$AS260))</f>
        <v/>
      </c>
      <c r="R260" t="str">
        <f>IF($AS260="","",Config!$B$24)</f>
        <v/>
      </c>
      <c r="S260" t="str">
        <f ca="1">IF($AS260="","",TEXT(Config!$B$4,"yyyy-mm-dd"))</f>
        <v/>
      </c>
      <c r="T260" t="str">
        <f>IF($AS260="","",Config!$B$17)</f>
        <v/>
      </c>
      <c r="U260" t="str">
        <f>IF($AS260="","",Config!$B$18)</f>
        <v/>
      </c>
      <c r="V260" t="str">
        <f>IF($AS260="","",Config!$B$19)</f>
        <v/>
      </c>
      <c r="W260" t="str">
        <f>IF($AS260="","",INDEX('TMP Paste'!$C$2:$C$1601,$AS260))</f>
        <v/>
      </c>
      <c r="X260" t="str">
        <f>IF($AS260="","",Config!$B$29)</f>
        <v/>
      </c>
      <c r="Y260" t="str">
        <f>IF($AT260="","",INDEX(Calc!$I$2:$I$1601,$AT260)&amp;" - "&amp;INDEX(Calc!$D$2:$D$1601,$AT260)&amp;" koli")</f>
        <v/>
      </c>
      <c r="Z260" t="str">
        <f>IF($AS260="","",Config!$B$21)</f>
        <v/>
      </c>
      <c r="AA260" t="str">
        <f>IF($AS260="","",Config!$B$22)</f>
        <v/>
      </c>
      <c r="AB260" t="str">
        <f>IF($AT260="","",INDEX(Calc!$D$2:$D$1601,$AT260))</f>
        <v/>
      </c>
      <c r="AC260" t="str">
        <f>IF($AT260="","",INDEX(Calc!$G$2:$G$1601,$AT260))</f>
        <v/>
      </c>
      <c r="AD260" t="str">
        <f>IF($AS260="","",Config!$B$23)</f>
        <v/>
      </c>
      <c r="AE260" t="str">
        <f>IF($AS260="","",Config!$B$28)</f>
        <v/>
      </c>
      <c r="AF260" t="str">
        <f t="shared" si="26"/>
        <v/>
      </c>
      <c r="AG260" t="str">
        <f t="shared" si="27"/>
        <v/>
      </c>
      <c r="AH260" t="str">
        <f t="shared" si="28"/>
        <v/>
      </c>
      <c r="AI260" t="str">
        <f>IF($AG260="","",SUMIF($AG$2:$AG260,$AG260,$AH$2:$AH260))</f>
        <v/>
      </c>
      <c r="AJ260" t="str">
        <f>IF('TMP Paste'!$F260="","",IF('TMP Paste'!$B260="",$AJ259,'TMP Paste'!$B260))</f>
        <v/>
      </c>
      <c r="AK260" t="str">
        <f>IF('TMP Paste'!$F260="","",N('TMP Paste'!$G260))</f>
        <v/>
      </c>
      <c r="AL260" t="str">
        <f>IF('TMP Paste'!$F260="","",IF('TMP Paste'!$M260="",$AL259,'TMP Paste'!$M260))</f>
        <v/>
      </c>
      <c r="AM260" t="str">
        <f>IF('TMP Paste'!$F260="","",IF('TMP Paste'!$N260="",$AM259,'TMP Paste'!$N260))</f>
        <v/>
      </c>
      <c r="AN260" t="str">
        <f>IF('TMP Paste'!$F260="","",IF('TMP Paste'!$O260="",$AN259,'TMP Paste'!$O260))</f>
        <v/>
      </c>
      <c r="AO260" t="str">
        <f>IF('TMP Paste'!$F260="","",IF('TMP Paste'!$P260="",$AO259,'TMP Paste'!$P260))</f>
        <v/>
      </c>
      <c r="AP260" t="str">
        <f t="shared" si="29"/>
        <v/>
      </c>
      <c r="AQ260" t="str">
        <f>IF($AS260="","",TRIM(IF(COUNTIFS(Calc!$B$2:$B$1601,ROW()-1,Calc!$C$2:$C$1601,"&lt;1")&gt;0,"Ada PO tanpa Koli - cek TMP. ","")&amp;IF(OR($AU260="",$AU260&lt;=0),"Volume kosong/0 - dimensi dikosongkan. ","")&amp;IF(AND($AU260&lt;&gt;"",$AU260&gt;=1000000),"Volume &gt;= 1.000.000 cm3 (di luar aturan) - dimensi dikosongkan. ","")&amp;IF(LEN($R260)&gt;500,"R &gt; 500 karakter.","")))</f>
        <v/>
      </c>
      <c r="AS260" t="str">
        <f>IFERROR(MATCH(ROW()-1,Calc!$J$2:$J$1601,0),"")</f>
        <v/>
      </c>
      <c r="AT260" t="str">
        <f>IFERROR(MATCH(ROW()-1,Calc!$K$2:$K$1601,0),"")</f>
        <v/>
      </c>
      <c r="AU260" t="str">
        <f>IF($AS260="","",IFERROR(INDEX('TMP Paste'!$D$2:$D$1601,$AS260)*1000000/$AB260,""))</f>
        <v/>
      </c>
    </row>
    <row r="261" spans="1:47">
      <c r="A261" t="str">
        <f>IF($AS261="","",INDEX('TMP Paste'!$B$2:$B$1601,$AS261))</f>
        <v/>
      </c>
      <c r="B261" t="str">
        <f>IF($AS261="","",Config!$B$14)</f>
        <v/>
      </c>
      <c r="C261" t="str">
        <f>IF($AS261="","",Config!$B$15)</f>
        <v/>
      </c>
      <c r="D261" t="str">
        <f>IF($AS261="","",INDEX('TMP Paste'!$B$2:$B$1601,$AS261))</f>
        <v/>
      </c>
      <c r="E261" t="str">
        <f>IF($AS261="","",Config!$B$27)</f>
        <v/>
      </c>
      <c r="F261" t="str">
        <f>IF($AS261="","",Config!$B$9)</f>
        <v/>
      </c>
      <c r="G261" t="str">
        <f>IF($AS261="","",Config!$B$10)</f>
        <v/>
      </c>
      <c r="H261" t="str">
        <f>IF($AS261="","",Config!$B$11)</f>
        <v/>
      </c>
      <c r="I261" t="str">
        <f>IF($AS261="","",Config!$B$16)</f>
        <v/>
      </c>
      <c r="J261" t="str">
        <f>IF($AS261="","",INDEX('TMP Paste'!$A$2:$A$1601,$AS261))</f>
        <v/>
      </c>
      <c r="K261" t="str">
        <f>IF($AS261="","",INDEX('TMP Paste'!$L$2:$L$1601,$AS261))</f>
        <v/>
      </c>
      <c r="L261" t="str">
        <f>IF($AS261="","",INDEX('TMP Paste'!$I$2:$I$1601,$AS261))</f>
        <v/>
      </c>
      <c r="M261" t="str">
        <f>IF($AS261="","",Config!$B$16)</f>
        <v/>
      </c>
      <c r="N261" t="str">
        <f t="shared" si="24"/>
        <v/>
      </c>
      <c r="O261" t="str">
        <f>IF($AS261="","",INDEX('TMP Paste'!$K$2:$K$1601,$AS261))</f>
        <v/>
      </c>
      <c r="P261" t="str">
        <f t="shared" si="25"/>
        <v/>
      </c>
      <c r="Q261" t="str">
        <f>IF($AS261="","",INDEX('TMP Paste'!$J$2:$J$1601,$AS261))</f>
        <v/>
      </c>
      <c r="R261" t="str">
        <f>IF($AS261="","",Config!$B$24)</f>
        <v/>
      </c>
      <c r="S261" t="str">
        <f ca="1">IF($AS261="","",TEXT(Config!$B$4,"yyyy-mm-dd"))</f>
        <v/>
      </c>
      <c r="T261" t="str">
        <f>IF($AS261="","",Config!$B$17)</f>
        <v/>
      </c>
      <c r="U261" t="str">
        <f>IF($AS261="","",Config!$B$18)</f>
        <v/>
      </c>
      <c r="V261" t="str">
        <f>IF($AS261="","",Config!$B$19)</f>
        <v/>
      </c>
      <c r="W261" t="str">
        <f>IF($AS261="","",INDEX('TMP Paste'!$C$2:$C$1601,$AS261))</f>
        <v/>
      </c>
      <c r="X261" t="str">
        <f>IF($AS261="","",Config!$B$29)</f>
        <v/>
      </c>
      <c r="Y261" t="str">
        <f>IF($AT261="","",INDEX(Calc!$I$2:$I$1601,$AT261)&amp;" - "&amp;INDEX(Calc!$D$2:$D$1601,$AT261)&amp;" koli")</f>
        <v/>
      </c>
      <c r="Z261" t="str">
        <f>IF($AS261="","",Config!$B$21)</f>
        <v/>
      </c>
      <c r="AA261" t="str">
        <f>IF($AS261="","",Config!$B$22)</f>
        <v/>
      </c>
      <c r="AB261" t="str">
        <f>IF($AT261="","",INDEX(Calc!$D$2:$D$1601,$AT261))</f>
        <v/>
      </c>
      <c r="AC261" t="str">
        <f>IF($AT261="","",INDEX(Calc!$G$2:$G$1601,$AT261))</f>
        <v/>
      </c>
      <c r="AD261" t="str">
        <f>IF($AS261="","",Config!$B$23)</f>
        <v/>
      </c>
      <c r="AE261" t="str">
        <f>IF($AS261="","",Config!$B$28)</f>
        <v/>
      </c>
      <c r="AF261" t="str">
        <f t="shared" si="26"/>
        <v/>
      </c>
      <c r="AG261" t="str">
        <f t="shared" si="27"/>
        <v/>
      </c>
      <c r="AH261" t="str">
        <f t="shared" si="28"/>
        <v/>
      </c>
      <c r="AI261" t="str">
        <f>IF($AG261="","",SUMIF($AG$2:$AG261,$AG261,$AH$2:$AH261))</f>
        <v/>
      </c>
      <c r="AJ261" t="str">
        <f>IF('TMP Paste'!$F261="","",IF('TMP Paste'!$B261="",$AJ260,'TMP Paste'!$B261))</f>
        <v/>
      </c>
      <c r="AK261" t="str">
        <f>IF('TMP Paste'!$F261="","",N('TMP Paste'!$G261))</f>
        <v/>
      </c>
      <c r="AL261" t="str">
        <f>IF('TMP Paste'!$F261="","",IF('TMP Paste'!$M261="",$AL260,'TMP Paste'!$M261))</f>
        <v/>
      </c>
      <c r="AM261" t="str">
        <f>IF('TMP Paste'!$F261="","",IF('TMP Paste'!$N261="",$AM260,'TMP Paste'!$N261))</f>
        <v/>
      </c>
      <c r="AN261" t="str">
        <f>IF('TMP Paste'!$F261="","",IF('TMP Paste'!$O261="",$AN260,'TMP Paste'!$O261))</f>
        <v/>
      </c>
      <c r="AO261" t="str">
        <f>IF('TMP Paste'!$F261="","",IF('TMP Paste'!$P261="",$AO260,'TMP Paste'!$P261))</f>
        <v/>
      </c>
      <c r="AP261" t="str">
        <f t="shared" si="29"/>
        <v/>
      </c>
      <c r="AQ261" t="str">
        <f>IF($AS261="","",TRIM(IF(COUNTIFS(Calc!$B$2:$B$1601,ROW()-1,Calc!$C$2:$C$1601,"&lt;1")&gt;0,"Ada PO tanpa Koli - cek TMP. ","")&amp;IF(OR($AU261="",$AU261&lt;=0),"Volume kosong/0 - dimensi dikosongkan. ","")&amp;IF(AND($AU261&lt;&gt;"",$AU261&gt;=1000000),"Volume &gt;= 1.000.000 cm3 (di luar aturan) - dimensi dikosongkan. ","")&amp;IF(LEN($R261)&gt;500,"R &gt; 500 karakter.","")))</f>
        <v/>
      </c>
      <c r="AS261" t="str">
        <f>IFERROR(MATCH(ROW()-1,Calc!$J$2:$J$1601,0),"")</f>
        <v/>
      </c>
      <c r="AT261" t="str">
        <f>IFERROR(MATCH(ROW()-1,Calc!$K$2:$K$1601,0),"")</f>
        <v/>
      </c>
      <c r="AU261" t="str">
        <f>IF($AS261="","",IFERROR(INDEX('TMP Paste'!$D$2:$D$1601,$AS261)*1000000/$AB261,""))</f>
        <v/>
      </c>
    </row>
    <row r="262" spans="1:47">
      <c r="A262" t="str">
        <f>IF($AS262="","",INDEX('TMP Paste'!$B$2:$B$1601,$AS262))</f>
        <v/>
      </c>
      <c r="B262" t="str">
        <f>IF($AS262="","",Config!$B$14)</f>
        <v/>
      </c>
      <c r="C262" t="str">
        <f>IF($AS262="","",Config!$B$15)</f>
        <v/>
      </c>
      <c r="D262" t="str">
        <f>IF($AS262="","",INDEX('TMP Paste'!$B$2:$B$1601,$AS262))</f>
        <v/>
      </c>
      <c r="E262" t="str">
        <f>IF($AS262="","",Config!$B$27)</f>
        <v/>
      </c>
      <c r="F262" t="str">
        <f>IF($AS262="","",Config!$B$9)</f>
        <v/>
      </c>
      <c r="G262" t="str">
        <f>IF($AS262="","",Config!$B$10)</f>
        <v/>
      </c>
      <c r="H262" t="str">
        <f>IF($AS262="","",Config!$B$11)</f>
        <v/>
      </c>
      <c r="I262" t="str">
        <f>IF($AS262="","",Config!$B$16)</f>
        <v/>
      </c>
      <c r="J262" t="str">
        <f>IF($AS262="","",INDEX('TMP Paste'!$A$2:$A$1601,$AS262))</f>
        <v/>
      </c>
      <c r="K262" t="str">
        <f>IF($AS262="","",INDEX('TMP Paste'!$L$2:$L$1601,$AS262))</f>
        <v/>
      </c>
      <c r="L262" t="str">
        <f>IF($AS262="","",INDEX('TMP Paste'!$I$2:$I$1601,$AS262))</f>
        <v/>
      </c>
      <c r="M262" t="str">
        <f>IF($AS262="","",Config!$B$16)</f>
        <v/>
      </c>
      <c r="N262" t="str">
        <f t="shared" si="24"/>
        <v/>
      </c>
      <c r="O262" t="str">
        <f>IF($AS262="","",INDEX('TMP Paste'!$K$2:$K$1601,$AS262))</f>
        <v/>
      </c>
      <c r="P262" t="str">
        <f t="shared" si="25"/>
        <v/>
      </c>
      <c r="Q262" t="str">
        <f>IF($AS262="","",INDEX('TMP Paste'!$J$2:$J$1601,$AS262))</f>
        <v/>
      </c>
      <c r="R262" t="str">
        <f>IF($AS262="","",Config!$B$24)</f>
        <v/>
      </c>
      <c r="S262" t="str">
        <f ca="1">IF($AS262="","",TEXT(Config!$B$4,"yyyy-mm-dd"))</f>
        <v/>
      </c>
      <c r="T262" t="str">
        <f>IF($AS262="","",Config!$B$17)</f>
        <v/>
      </c>
      <c r="U262" t="str">
        <f>IF($AS262="","",Config!$B$18)</f>
        <v/>
      </c>
      <c r="V262" t="str">
        <f>IF($AS262="","",Config!$B$19)</f>
        <v/>
      </c>
      <c r="W262" t="str">
        <f>IF($AS262="","",INDEX('TMP Paste'!$C$2:$C$1601,$AS262))</f>
        <v/>
      </c>
      <c r="X262" t="str">
        <f>IF($AS262="","",Config!$B$29)</f>
        <v/>
      </c>
      <c r="Y262" t="str">
        <f>IF($AT262="","",INDEX(Calc!$I$2:$I$1601,$AT262)&amp;" - "&amp;INDEX(Calc!$D$2:$D$1601,$AT262)&amp;" koli")</f>
        <v/>
      </c>
      <c r="Z262" t="str">
        <f>IF($AS262="","",Config!$B$21)</f>
        <v/>
      </c>
      <c r="AA262" t="str">
        <f>IF($AS262="","",Config!$B$22)</f>
        <v/>
      </c>
      <c r="AB262" t="str">
        <f>IF($AT262="","",INDEX(Calc!$D$2:$D$1601,$AT262))</f>
        <v/>
      </c>
      <c r="AC262" t="str">
        <f>IF($AT262="","",INDEX(Calc!$G$2:$G$1601,$AT262))</f>
        <v/>
      </c>
      <c r="AD262" t="str">
        <f>IF($AS262="","",Config!$B$23)</f>
        <v/>
      </c>
      <c r="AE262" t="str">
        <f>IF($AS262="","",Config!$B$28)</f>
        <v/>
      </c>
      <c r="AF262" t="str">
        <f t="shared" si="26"/>
        <v/>
      </c>
      <c r="AG262" t="str">
        <f t="shared" si="27"/>
        <v/>
      </c>
      <c r="AH262" t="str">
        <f t="shared" si="28"/>
        <v/>
      </c>
      <c r="AI262" t="str">
        <f>IF($AG262="","",SUMIF($AG$2:$AG262,$AG262,$AH$2:$AH262))</f>
        <v/>
      </c>
      <c r="AJ262" t="str">
        <f>IF('TMP Paste'!$F262="","",IF('TMP Paste'!$B262="",$AJ261,'TMP Paste'!$B262))</f>
        <v/>
      </c>
      <c r="AK262" t="str">
        <f>IF('TMP Paste'!$F262="","",N('TMP Paste'!$G262))</f>
        <v/>
      </c>
      <c r="AL262" t="str">
        <f>IF('TMP Paste'!$F262="","",IF('TMP Paste'!$M262="",$AL261,'TMP Paste'!$M262))</f>
        <v/>
      </c>
      <c r="AM262" t="str">
        <f>IF('TMP Paste'!$F262="","",IF('TMP Paste'!$N262="",$AM261,'TMP Paste'!$N262))</f>
        <v/>
      </c>
      <c r="AN262" t="str">
        <f>IF('TMP Paste'!$F262="","",IF('TMP Paste'!$O262="",$AN261,'TMP Paste'!$O262))</f>
        <v/>
      </c>
      <c r="AO262" t="str">
        <f>IF('TMP Paste'!$F262="","",IF('TMP Paste'!$P262="",$AO261,'TMP Paste'!$P262))</f>
        <v/>
      </c>
      <c r="AP262" t="str">
        <f t="shared" si="29"/>
        <v/>
      </c>
      <c r="AQ262" t="str">
        <f>IF($AS262="","",TRIM(IF(COUNTIFS(Calc!$B$2:$B$1601,ROW()-1,Calc!$C$2:$C$1601,"&lt;1")&gt;0,"Ada PO tanpa Koli - cek TMP. ","")&amp;IF(OR($AU262="",$AU262&lt;=0),"Volume kosong/0 - dimensi dikosongkan. ","")&amp;IF(AND($AU262&lt;&gt;"",$AU262&gt;=1000000),"Volume &gt;= 1.000.000 cm3 (di luar aturan) - dimensi dikosongkan. ","")&amp;IF(LEN($R262)&gt;500,"R &gt; 500 karakter.","")))</f>
        <v/>
      </c>
      <c r="AS262" t="str">
        <f>IFERROR(MATCH(ROW()-1,Calc!$J$2:$J$1601,0),"")</f>
        <v/>
      </c>
      <c r="AT262" t="str">
        <f>IFERROR(MATCH(ROW()-1,Calc!$K$2:$K$1601,0),"")</f>
        <v/>
      </c>
      <c r="AU262" t="str">
        <f>IF($AS262="","",IFERROR(INDEX('TMP Paste'!$D$2:$D$1601,$AS262)*1000000/$AB262,""))</f>
        <v/>
      </c>
    </row>
    <row r="263" spans="1:47">
      <c r="A263" t="str">
        <f>IF($AS263="","",INDEX('TMP Paste'!$B$2:$B$1601,$AS263))</f>
        <v/>
      </c>
      <c r="B263" t="str">
        <f>IF($AS263="","",Config!$B$14)</f>
        <v/>
      </c>
      <c r="C263" t="str">
        <f>IF($AS263="","",Config!$B$15)</f>
        <v/>
      </c>
      <c r="D263" t="str">
        <f>IF($AS263="","",INDEX('TMP Paste'!$B$2:$B$1601,$AS263))</f>
        <v/>
      </c>
      <c r="E263" t="str">
        <f>IF($AS263="","",Config!$B$27)</f>
        <v/>
      </c>
      <c r="F263" t="str">
        <f>IF($AS263="","",Config!$B$9)</f>
        <v/>
      </c>
      <c r="G263" t="str">
        <f>IF($AS263="","",Config!$B$10)</f>
        <v/>
      </c>
      <c r="H263" t="str">
        <f>IF($AS263="","",Config!$B$11)</f>
        <v/>
      </c>
      <c r="I263" t="str">
        <f>IF($AS263="","",Config!$B$16)</f>
        <v/>
      </c>
      <c r="J263" t="str">
        <f>IF($AS263="","",INDEX('TMP Paste'!$A$2:$A$1601,$AS263))</f>
        <v/>
      </c>
      <c r="K263" t="str">
        <f>IF($AS263="","",INDEX('TMP Paste'!$L$2:$L$1601,$AS263))</f>
        <v/>
      </c>
      <c r="L263" t="str">
        <f>IF($AS263="","",INDEX('TMP Paste'!$I$2:$I$1601,$AS263))</f>
        <v/>
      </c>
      <c r="M263" t="str">
        <f>IF($AS263="","",Config!$B$16)</f>
        <v/>
      </c>
      <c r="N263" t="str">
        <f t="shared" si="24"/>
        <v/>
      </c>
      <c r="O263" t="str">
        <f>IF($AS263="","",INDEX('TMP Paste'!$K$2:$K$1601,$AS263))</f>
        <v/>
      </c>
      <c r="P263" t="str">
        <f t="shared" si="25"/>
        <v/>
      </c>
      <c r="Q263" t="str">
        <f>IF($AS263="","",INDEX('TMP Paste'!$J$2:$J$1601,$AS263))</f>
        <v/>
      </c>
      <c r="R263" t="str">
        <f>IF($AS263="","",Config!$B$24)</f>
        <v/>
      </c>
      <c r="S263" t="str">
        <f ca="1">IF($AS263="","",TEXT(Config!$B$4,"yyyy-mm-dd"))</f>
        <v/>
      </c>
      <c r="T263" t="str">
        <f>IF($AS263="","",Config!$B$17)</f>
        <v/>
      </c>
      <c r="U263" t="str">
        <f>IF($AS263="","",Config!$B$18)</f>
        <v/>
      </c>
      <c r="V263" t="str">
        <f>IF($AS263="","",Config!$B$19)</f>
        <v/>
      </c>
      <c r="W263" t="str">
        <f>IF($AS263="","",INDEX('TMP Paste'!$C$2:$C$1601,$AS263))</f>
        <v/>
      </c>
      <c r="X263" t="str">
        <f>IF($AS263="","",Config!$B$29)</f>
        <v/>
      </c>
      <c r="Y263" t="str">
        <f>IF($AT263="","",INDEX(Calc!$I$2:$I$1601,$AT263)&amp;" - "&amp;INDEX(Calc!$D$2:$D$1601,$AT263)&amp;" koli")</f>
        <v/>
      </c>
      <c r="Z263" t="str">
        <f>IF($AS263="","",Config!$B$21)</f>
        <v/>
      </c>
      <c r="AA263" t="str">
        <f>IF($AS263="","",Config!$B$22)</f>
        <v/>
      </c>
      <c r="AB263" t="str">
        <f>IF($AT263="","",INDEX(Calc!$D$2:$D$1601,$AT263))</f>
        <v/>
      </c>
      <c r="AC263" t="str">
        <f>IF($AT263="","",INDEX(Calc!$G$2:$G$1601,$AT263))</f>
        <v/>
      </c>
      <c r="AD263" t="str">
        <f>IF($AS263="","",Config!$B$23)</f>
        <v/>
      </c>
      <c r="AE263" t="str">
        <f>IF($AS263="","",Config!$B$28)</f>
        <v/>
      </c>
      <c r="AF263" t="str">
        <f t="shared" si="26"/>
        <v/>
      </c>
      <c r="AG263" t="str">
        <f t="shared" si="27"/>
        <v/>
      </c>
      <c r="AH263" t="str">
        <f t="shared" si="28"/>
        <v/>
      </c>
      <c r="AI263" t="str">
        <f>IF($AG263="","",SUMIF($AG$2:$AG263,$AG263,$AH$2:$AH263))</f>
        <v/>
      </c>
      <c r="AJ263" t="str">
        <f>IF('TMP Paste'!$F263="","",IF('TMP Paste'!$B263="",$AJ262,'TMP Paste'!$B263))</f>
        <v/>
      </c>
      <c r="AK263" t="str">
        <f>IF('TMP Paste'!$F263="","",N('TMP Paste'!$G263))</f>
        <v/>
      </c>
      <c r="AL263" t="str">
        <f>IF('TMP Paste'!$F263="","",IF('TMP Paste'!$M263="",$AL262,'TMP Paste'!$M263))</f>
        <v/>
      </c>
      <c r="AM263" t="str">
        <f>IF('TMP Paste'!$F263="","",IF('TMP Paste'!$N263="",$AM262,'TMP Paste'!$N263))</f>
        <v/>
      </c>
      <c r="AN263" t="str">
        <f>IF('TMP Paste'!$F263="","",IF('TMP Paste'!$O263="",$AN262,'TMP Paste'!$O263))</f>
        <v/>
      </c>
      <c r="AO263" t="str">
        <f>IF('TMP Paste'!$F263="","",IF('TMP Paste'!$P263="",$AO262,'TMP Paste'!$P263))</f>
        <v/>
      </c>
      <c r="AP263" t="str">
        <f t="shared" si="29"/>
        <v/>
      </c>
      <c r="AQ263" t="str">
        <f>IF($AS263="","",TRIM(IF(COUNTIFS(Calc!$B$2:$B$1601,ROW()-1,Calc!$C$2:$C$1601,"&lt;1")&gt;0,"Ada PO tanpa Koli - cek TMP. ","")&amp;IF(OR($AU263="",$AU263&lt;=0),"Volume kosong/0 - dimensi dikosongkan. ","")&amp;IF(AND($AU263&lt;&gt;"",$AU263&gt;=1000000),"Volume &gt;= 1.000.000 cm3 (di luar aturan) - dimensi dikosongkan. ","")&amp;IF(LEN($R263)&gt;500,"R &gt; 500 karakter.","")))</f>
        <v/>
      </c>
      <c r="AS263" t="str">
        <f>IFERROR(MATCH(ROW()-1,Calc!$J$2:$J$1601,0),"")</f>
        <v/>
      </c>
      <c r="AT263" t="str">
        <f>IFERROR(MATCH(ROW()-1,Calc!$K$2:$K$1601,0),"")</f>
        <v/>
      </c>
      <c r="AU263" t="str">
        <f>IF($AS263="","",IFERROR(INDEX('TMP Paste'!$D$2:$D$1601,$AS263)*1000000/$AB263,""))</f>
        <v/>
      </c>
    </row>
    <row r="264" spans="1:47">
      <c r="A264" t="str">
        <f>IF($AS264="","",INDEX('TMP Paste'!$B$2:$B$1601,$AS264))</f>
        <v/>
      </c>
      <c r="B264" t="str">
        <f>IF($AS264="","",Config!$B$14)</f>
        <v/>
      </c>
      <c r="C264" t="str">
        <f>IF($AS264="","",Config!$B$15)</f>
        <v/>
      </c>
      <c r="D264" t="str">
        <f>IF($AS264="","",INDEX('TMP Paste'!$B$2:$B$1601,$AS264))</f>
        <v/>
      </c>
      <c r="E264" t="str">
        <f>IF($AS264="","",Config!$B$27)</f>
        <v/>
      </c>
      <c r="F264" t="str">
        <f>IF($AS264="","",Config!$B$9)</f>
        <v/>
      </c>
      <c r="G264" t="str">
        <f>IF($AS264="","",Config!$B$10)</f>
        <v/>
      </c>
      <c r="H264" t="str">
        <f>IF($AS264="","",Config!$B$11)</f>
        <v/>
      </c>
      <c r="I264" t="str">
        <f>IF($AS264="","",Config!$B$16)</f>
        <v/>
      </c>
      <c r="J264" t="str">
        <f>IF($AS264="","",INDEX('TMP Paste'!$A$2:$A$1601,$AS264))</f>
        <v/>
      </c>
      <c r="K264" t="str">
        <f>IF($AS264="","",INDEX('TMP Paste'!$L$2:$L$1601,$AS264))</f>
        <v/>
      </c>
      <c r="L264" t="str">
        <f>IF($AS264="","",INDEX('TMP Paste'!$I$2:$I$1601,$AS264))</f>
        <v/>
      </c>
      <c r="M264" t="str">
        <f>IF($AS264="","",Config!$B$16)</f>
        <v/>
      </c>
      <c r="N264" t="str">
        <f t="shared" si="24"/>
        <v/>
      </c>
      <c r="O264" t="str">
        <f>IF($AS264="","",INDEX('TMP Paste'!$K$2:$K$1601,$AS264))</f>
        <v/>
      </c>
      <c r="P264" t="str">
        <f t="shared" si="25"/>
        <v/>
      </c>
      <c r="Q264" t="str">
        <f>IF($AS264="","",INDEX('TMP Paste'!$J$2:$J$1601,$AS264))</f>
        <v/>
      </c>
      <c r="R264" t="str">
        <f>IF($AS264="","",Config!$B$24)</f>
        <v/>
      </c>
      <c r="S264" t="str">
        <f ca="1">IF($AS264="","",TEXT(Config!$B$4,"yyyy-mm-dd"))</f>
        <v/>
      </c>
      <c r="T264" t="str">
        <f>IF($AS264="","",Config!$B$17)</f>
        <v/>
      </c>
      <c r="U264" t="str">
        <f>IF($AS264="","",Config!$B$18)</f>
        <v/>
      </c>
      <c r="V264" t="str">
        <f>IF($AS264="","",Config!$B$19)</f>
        <v/>
      </c>
      <c r="W264" t="str">
        <f>IF($AS264="","",INDEX('TMP Paste'!$C$2:$C$1601,$AS264))</f>
        <v/>
      </c>
      <c r="X264" t="str">
        <f>IF($AS264="","",Config!$B$29)</f>
        <v/>
      </c>
      <c r="Y264" t="str">
        <f>IF($AT264="","",INDEX(Calc!$I$2:$I$1601,$AT264)&amp;" - "&amp;INDEX(Calc!$D$2:$D$1601,$AT264)&amp;" koli")</f>
        <v/>
      </c>
      <c r="Z264" t="str">
        <f>IF($AS264="","",Config!$B$21)</f>
        <v/>
      </c>
      <c r="AA264" t="str">
        <f>IF($AS264="","",Config!$B$22)</f>
        <v/>
      </c>
      <c r="AB264" t="str">
        <f>IF($AT264="","",INDEX(Calc!$D$2:$D$1601,$AT264))</f>
        <v/>
      </c>
      <c r="AC264" t="str">
        <f>IF($AT264="","",INDEX(Calc!$G$2:$G$1601,$AT264))</f>
        <v/>
      </c>
      <c r="AD264" t="str">
        <f>IF($AS264="","",Config!$B$23)</f>
        <v/>
      </c>
      <c r="AE264" t="str">
        <f>IF($AS264="","",Config!$B$28)</f>
        <v/>
      </c>
      <c r="AF264" t="str">
        <f t="shared" si="26"/>
        <v/>
      </c>
      <c r="AG264" t="str">
        <f t="shared" si="27"/>
        <v/>
      </c>
      <c r="AH264" t="str">
        <f t="shared" si="28"/>
        <v/>
      </c>
      <c r="AI264" t="str">
        <f>IF($AG264="","",SUMIF($AG$2:$AG264,$AG264,$AH$2:$AH264))</f>
        <v/>
      </c>
      <c r="AJ264" t="str">
        <f>IF('TMP Paste'!$F264="","",IF('TMP Paste'!$B264="",$AJ263,'TMP Paste'!$B264))</f>
        <v/>
      </c>
      <c r="AK264" t="str">
        <f>IF('TMP Paste'!$F264="","",N('TMP Paste'!$G264))</f>
        <v/>
      </c>
      <c r="AL264" t="str">
        <f>IF('TMP Paste'!$F264="","",IF('TMP Paste'!$M264="",$AL263,'TMP Paste'!$M264))</f>
        <v/>
      </c>
      <c r="AM264" t="str">
        <f>IF('TMP Paste'!$F264="","",IF('TMP Paste'!$N264="",$AM263,'TMP Paste'!$N264))</f>
        <v/>
      </c>
      <c r="AN264" t="str">
        <f>IF('TMP Paste'!$F264="","",IF('TMP Paste'!$O264="",$AN263,'TMP Paste'!$O264))</f>
        <v/>
      </c>
      <c r="AO264" t="str">
        <f>IF('TMP Paste'!$F264="","",IF('TMP Paste'!$P264="",$AO263,'TMP Paste'!$P264))</f>
        <v/>
      </c>
      <c r="AP264" t="str">
        <f t="shared" si="29"/>
        <v/>
      </c>
      <c r="AQ264" t="str">
        <f>IF($AS264="","",TRIM(IF(COUNTIFS(Calc!$B$2:$B$1601,ROW()-1,Calc!$C$2:$C$1601,"&lt;1")&gt;0,"Ada PO tanpa Koli - cek TMP. ","")&amp;IF(OR($AU264="",$AU264&lt;=0),"Volume kosong/0 - dimensi dikosongkan. ","")&amp;IF(AND($AU264&lt;&gt;"",$AU264&gt;=1000000),"Volume &gt;= 1.000.000 cm3 (di luar aturan) - dimensi dikosongkan. ","")&amp;IF(LEN($R264)&gt;500,"R &gt; 500 karakter.","")))</f>
        <v/>
      </c>
      <c r="AS264" t="str">
        <f>IFERROR(MATCH(ROW()-1,Calc!$J$2:$J$1601,0),"")</f>
        <v/>
      </c>
      <c r="AT264" t="str">
        <f>IFERROR(MATCH(ROW()-1,Calc!$K$2:$K$1601,0),"")</f>
        <v/>
      </c>
      <c r="AU264" t="str">
        <f>IF($AS264="","",IFERROR(INDEX('TMP Paste'!$D$2:$D$1601,$AS264)*1000000/$AB264,""))</f>
        <v/>
      </c>
    </row>
    <row r="265" spans="1:47">
      <c r="A265" t="str">
        <f>IF($AS265="","",INDEX('TMP Paste'!$B$2:$B$1601,$AS265))</f>
        <v/>
      </c>
      <c r="B265" t="str">
        <f>IF($AS265="","",Config!$B$14)</f>
        <v/>
      </c>
      <c r="C265" t="str">
        <f>IF($AS265="","",Config!$B$15)</f>
        <v/>
      </c>
      <c r="D265" t="str">
        <f>IF($AS265="","",INDEX('TMP Paste'!$B$2:$B$1601,$AS265))</f>
        <v/>
      </c>
      <c r="E265" t="str">
        <f>IF($AS265="","",Config!$B$27)</f>
        <v/>
      </c>
      <c r="F265" t="str">
        <f>IF($AS265="","",Config!$B$9)</f>
        <v/>
      </c>
      <c r="G265" t="str">
        <f>IF($AS265="","",Config!$B$10)</f>
        <v/>
      </c>
      <c r="H265" t="str">
        <f>IF($AS265="","",Config!$B$11)</f>
        <v/>
      </c>
      <c r="I265" t="str">
        <f>IF($AS265="","",Config!$B$16)</f>
        <v/>
      </c>
      <c r="J265" t="str">
        <f>IF($AS265="","",INDEX('TMP Paste'!$A$2:$A$1601,$AS265))</f>
        <v/>
      </c>
      <c r="K265" t="str">
        <f>IF($AS265="","",INDEX('TMP Paste'!$L$2:$L$1601,$AS265))</f>
        <v/>
      </c>
      <c r="L265" t="str">
        <f>IF($AS265="","",INDEX('TMP Paste'!$I$2:$I$1601,$AS265))</f>
        <v/>
      </c>
      <c r="M265" t="str">
        <f>IF($AS265="","",Config!$B$16)</f>
        <v/>
      </c>
      <c r="N265" t="str">
        <f t="shared" si="24"/>
        <v/>
      </c>
      <c r="O265" t="str">
        <f>IF($AS265="","",INDEX('TMP Paste'!$K$2:$K$1601,$AS265))</f>
        <v/>
      </c>
      <c r="P265" t="str">
        <f t="shared" si="25"/>
        <v/>
      </c>
      <c r="Q265" t="str">
        <f>IF($AS265="","",INDEX('TMP Paste'!$J$2:$J$1601,$AS265))</f>
        <v/>
      </c>
      <c r="R265" t="str">
        <f>IF($AS265="","",Config!$B$24)</f>
        <v/>
      </c>
      <c r="S265" t="str">
        <f ca="1">IF($AS265="","",TEXT(Config!$B$4,"yyyy-mm-dd"))</f>
        <v/>
      </c>
      <c r="T265" t="str">
        <f>IF($AS265="","",Config!$B$17)</f>
        <v/>
      </c>
      <c r="U265" t="str">
        <f>IF($AS265="","",Config!$B$18)</f>
        <v/>
      </c>
      <c r="V265" t="str">
        <f>IF($AS265="","",Config!$B$19)</f>
        <v/>
      </c>
      <c r="W265" t="str">
        <f>IF($AS265="","",INDEX('TMP Paste'!$C$2:$C$1601,$AS265))</f>
        <v/>
      </c>
      <c r="X265" t="str">
        <f>IF($AS265="","",Config!$B$29)</f>
        <v/>
      </c>
      <c r="Y265" t="str">
        <f>IF($AT265="","",INDEX(Calc!$I$2:$I$1601,$AT265)&amp;" - "&amp;INDEX(Calc!$D$2:$D$1601,$AT265)&amp;" koli")</f>
        <v/>
      </c>
      <c r="Z265" t="str">
        <f>IF($AS265="","",Config!$B$21)</f>
        <v/>
      </c>
      <c r="AA265" t="str">
        <f>IF($AS265="","",Config!$B$22)</f>
        <v/>
      </c>
      <c r="AB265" t="str">
        <f>IF($AT265="","",INDEX(Calc!$D$2:$D$1601,$AT265))</f>
        <v/>
      </c>
      <c r="AC265" t="str">
        <f>IF($AT265="","",INDEX(Calc!$G$2:$G$1601,$AT265))</f>
        <v/>
      </c>
      <c r="AD265" t="str">
        <f>IF($AS265="","",Config!$B$23)</f>
        <v/>
      </c>
      <c r="AE265" t="str">
        <f>IF($AS265="","",Config!$B$28)</f>
        <v/>
      </c>
      <c r="AF265" t="str">
        <f t="shared" si="26"/>
        <v/>
      </c>
      <c r="AG265" t="str">
        <f t="shared" si="27"/>
        <v/>
      </c>
      <c r="AH265" t="str">
        <f t="shared" si="28"/>
        <v/>
      </c>
      <c r="AI265" t="str">
        <f>IF($AG265="","",SUMIF($AG$2:$AG265,$AG265,$AH$2:$AH265))</f>
        <v/>
      </c>
      <c r="AJ265" t="str">
        <f>IF('TMP Paste'!$F265="","",IF('TMP Paste'!$B265="",$AJ264,'TMP Paste'!$B265))</f>
        <v/>
      </c>
      <c r="AK265" t="str">
        <f>IF('TMP Paste'!$F265="","",N('TMP Paste'!$G265))</f>
        <v/>
      </c>
      <c r="AL265" t="str">
        <f>IF('TMP Paste'!$F265="","",IF('TMP Paste'!$M265="",$AL264,'TMP Paste'!$M265))</f>
        <v/>
      </c>
      <c r="AM265" t="str">
        <f>IF('TMP Paste'!$F265="","",IF('TMP Paste'!$N265="",$AM264,'TMP Paste'!$N265))</f>
        <v/>
      </c>
      <c r="AN265" t="str">
        <f>IF('TMP Paste'!$F265="","",IF('TMP Paste'!$O265="",$AN264,'TMP Paste'!$O265))</f>
        <v/>
      </c>
      <c r="AO265" t="str">
        <f>IF('TMP Paste'!$F265="","",IF('TMP Paste'!$P265="",$AO264,'TMP Paste'!$P265))</f>
        <v/>
      </c>
      <c r="AP265" t="str">
        <f t="shared" si="29"/>
        <v/>
      </c>
      <c r="AQ265" t="str">
        <f>IF($AS265="","",TRIM(IF(COUNTIFS(Calc!$B$2:$B$1601,ROW()-1,Calc!$C$2:$C$1601,"&lt;1")&gt;0,"Ada PO tanpa Koli - cek TMP. ","")&amp;IF(OR($AU265="",$AU265&lt;=0),"Volume kosong/0 - dimensi dikosongkan. ","")&amp;IF(AND($AU265&lt;&gt;"",$AU265&gt;=1000000),"Volume &gt;= 1.000.000 cm3 (di luar aturan) - dimensi dikosongkan. ","")&amp;IF(LEN($R265)&gt;500,"R &gt; 500 karakter.","")))</f>
        <v/>
      </c>
      <c r="AS265" t="str">
        <f>IFERROR(MATCH(ROW()-1,Calc!$J$2:$J$1601,0),"")</f>
        <v/>
      </c>
      <c r="AT265" t="str">
        <f>IFERROR(MATCH(ROW()-1,Calc!$K$2:$K$1601,0),"")</f>
        <v/>
      </c>
      <c r="AU265" t="str">
        <f>IF($AS265="","",IFERROR(INDEX('TMP Paste'!$D$2:$D$1601,$AS265)*1000000/$AB265,""))</f>
        <v/>
      </c>
    </row>
    <row r="266" spans="1:47">
      <c r="A266" t="str">
        <f>IF($AS266="","",INDEX('TMP Paste'!$B$2:$B$1601,$AS266))</f>
        <v/>
      </c>
      <c r="B266" t="str">
        <f>IF($AS266="","",Config!$B$14)</f>
        <v/>
      </c>
      <c r="C266" t="str">
        <f>IF($AS266="","",Config!$B$15)</f>
        <v/>
      </c>
      <c r="D266" t="str">
        <f>IF($AS266="","",INDEX('TMP Paste'!$B$2:$B$1601,$AS266))</f>
        <v/>
      </c>
      <c r="E266" t="str">
        <f>IF($AS266="","",Config!$B$27)</f>
        <v/>
      </c>
      <c r="F266" t="str">
        <f>IF($AS266="","",Config!$B$9)</f>
        <v/>
      </c>
      <c r="G266" t="str">
        <f>IF($AS266="","",Config!$B$10)</f>
        <v/>
      </c>
      <c r="H266" t="str">
        <f>IF($AS266="","",Config!$B$11)</f>
        <v/>
      </c>
      <c r="I266" t="str">
        <f>IF($AS266="","",Config!$B$16)</f>
        <v/>
      </c>
      <c r="J266" t="str">
        <f>IF($AS266="","",INDEX('TMP Paste'!$A$2:$A$1601,$AS266))</f>
        <v/>
      </c>
      <c r="K266" t="str">
        <f>IF($AS266="","",INDEX('TMP Paste'!$L$2:$L$1601,$AS266))</f>
        <v/>
      </c>
      <c r="L266" t="str">
        <f>IF($AS266="","",INDEX('TMP Paste'!$I$2:$I$1601,$AS266))</f>
        <v/>
      </c>
      <c r="M266" t="str">
        <f>IF($AS266="","",Config!$B$16)</f>
        <v/>
      </c>
      <c r="N266" t="str">
        <f t="shared" si="24"/>
        <v/>
      </c>
      <c r="O266" t="str">
        <f>IF($AS266="","",INDEX('TMP Paste'!$K$2:$K$1601,$AS266))</f>
        <v/>
      </c>
      <c r="P266" t="str">
        <f t="shared" si="25"/>
        <v/>
      </c>
      <c r="Q266" t="str">
        <f>IF($AS266="","",INDEX('TMP Paste'!$J$2:$J$1601,$AS266))</f>
        <v/>
      </c>
      <c r="R266" t="str">
        <f>IF($AS266="","",Config!$B$24)</f>
        <v/>
      </c>
      <c r="S266" t="str">
        <f ca="1">IF($AS266="","",TEXT(Config!$B$4,"yyyy-mm-dd"))</f>
        <v/>
      </c>
      <c r="T266" t="str">
        <f>IF($AS266="","",Config!$B$17)</f>
        <v/>
      </c>
      <c r="U266" t="str">
        <f>IF($AS266="","",Config!$B$18)</f>
        <v/>
      </c>
      <c r="V266" t="str">
        <f>IF($AS266="","",Config!$B$19)</f>
        <v/>
      </c>
      <c r="W266" t="str">
        <f>IF($AS266="","",INDEX('TMP Paste'!$C$2:$C$1601,$AS266))</f>
        <v/>
      </c>
      <c r="X266" t="str">
        <f>IF($AS266="","",Config!$B$29)</f>
        <v/>
      </c>
      <c r="Y266" t="str">
        <f>IF($AT266="","",INDEX(Calc!$I$2:$I$1601,$AT266)&amp;" - "&amp;INDEX(Calc!$D$2:$D$1601,$AT266)&amp;" koli")</f>
        <v/>
      </c>
      <c r="Z266" t="str">
        <f>IF($AS266="","",Config!$B$21)</f>
        <v/>
      </c>
      <c r="AA266" t="str">
        <f>IF($AS266="","",Config!$B$22)</f>
        <v/>
      </c>
      <c r="AB266" t="str">
        <f>IF($AT266="","",INDEX(Calc!$D$2:$D$1601,$AT266))</f>
        <v/>
      </c>
      <c r="AC266" t="str">
        <f>IF($AT266="","",INDEX(Calc!$G$2:$G$1601,$AT266))</f>
        <v/>
      </c>
      <c r="AD266" t="str">
        <f>IF($AS266="","",Config!$B$23)</f>
        <v/>
      </c>
      <c r="AE266" t="str">
        <f>IF($AS266="","",Config!$B$28)</f>
        <v/>
      </c>
      <c r="AF266" t="str">
        <f t="shared" si="26"/>
        <v/>
      </c>
      <c r="AG266" t="str">
        <f t="shared" si="27"/>
        <v/>
      </c>
      <c r="AH266" t="str">
        <f t="shared" si="28"/>
        <v/>
      </c>
      <c r="AI266" t="str">
        <f>IF($AG266="","",SUMIF($AG$2:$AG266,$AG266,$AH$2:$AH266))</f>
        <v/>
      </c>
      <c r="AJ266" t="str">
        <f>IF('TMP Paste'!$F266="","",IF('TMP Paste'!$B266="",$AJ265,'TMP Paste'!$B266))</f>
        <v/>
      </c>
      <c r="AK266" t="str">
        <f>IF('TMP Paste'!$F266="","",N('TMP Paste'!$G266))</f>
        <v/>
      </c>
      <c r="AL266" t="str">
        <f>IF('TMP Paste'!$F266="","",IF('TMP Paste'!$M266="",$AL265,'TMP Paste'!$M266))</f>
        <v/>
      </c>
      <c r="AM266" t="str">
        <f>IF('TMP Paste'!$F266="","",IF('TMP Paste'!$N266="",$AM265,'TMP Paste'!$N266))</f>
        <v/>
      </c>
      <c r="AN266" t="str">
        <f>IF('TMP Paste'!$F266="","",IF('TMP Paste'!$O266="",$AN265,'TMP Paste'!$O266))</f>
        <v/>
      </c>
      <c r="AO266" t="str">
        <f>IF('TMP Paste'!$F266="","",IF('TMP Paste'!$P266="",$AO265,'TMP Paste'!$P266))</f>
        <v/>
      </c>
      <c r="AP266" t="str">
        <f t="shared" si="29"/>
        <v/>
      </c>
      <c r="AQ266" t="str">
        <f>IF($AS266="","",TRIM(IF(COUNTIFS(Calc!$B$2:$B$1601,ROW()-1,Calc!$C$2:$C$1601,"&lt;1")&gt;0,"Ada PO tanpa Koli - cek TMP. ","")&amp;IF(OR($AU266="",$AU266&lt;=0),"Volume kosong/0 - dimensi dikosongkan. ","")&amp;IF(AND($AU266&lt;&gt;"",$AU266&gt;=1000000),"Volume &gt;= 1.000.000 cm3 (di luar aturan) - dimensi dikosongkan. ","")&amp;IF(LEN($R266)&gt;500,"R &gt; 500 karakter.","")))</f>
        <v/>
      </c>
      <c r="AS266" t="str">
        <f>IFERROR(MATCH(ROW()-1,Calc!$J$2:$J$1601,0),"")</f>
        <v/>
      </c>
      <c r="AT266" t="str">
        <f>IFERROR(MATCH(ROW()-1,Calc!$K$2:$K$1601,0),"")</f>
        <v/>
      </c>
      <c r="AU266" t="str">
        <f>IF($AS266="","",IFERROR(INDEX('TMP Paste'!$D$2:$D$1601,$AS266)*1000000/$AB266,""))</f>
        <v/>
      </c>
    </row>
    <row r="267" spans="1:47">
      <c r="A267" t="str">
        <f>IF($AS267="","",INDEX('TMP Paste'!$B$2:$B$1601,$AS267))</f>
        <v/>
      </c>
      <c r="B267" t="str">
        <f>IF($AS267="","",Config!$B$14)</f>
        <v/>
      </c>
      <c r="C267" t="str">
        <f>IF($AS267="","",Config!$B$15)</f>
        <v/>
      </c>
      <c r="D267" t="str">
        <f>IF($AS267="","",INDEX('TMP Paste'!$B$2:$B$1601,$AS267))</f>
        <v/>
      </c>
      <c r="E267" t="str">
        <f>IF($AS267="","",Config!$B$27)</f>
        <v/>
      </c>
      <c r="F267" t="str">
        <f>IF($AS267="","",Config!$B$9)</f>
        <v/>
      </c>
      <c r="G267" t="str">
        <f>IF($AS267="","",Config!$B$10)</f>
        <v/>
      </c>
      <c r="H267" t="str">
        <f>IF($AS267="","",Config!$B$11)</f>
        <v/>
      </c>
      <c r="I267" t="str">
        <f>IF($AS267="","",Config!$B$16)</f>
        <v/>
      </c>
      <c r="J267" t="str">
        <f>IF($AS267="","",INDEX('TMP Paste'!$A$2:$A$1601,$AS267))</f>
        <v/>
      </c>
      <c r="K267" t="str">
        <f>IF($AS267="","",INDEX('TMP Paste'!$L$2:$L$1601,$AS267))</f>
        <v/>
      </c>
      <c r="L267" t="str">
        <f>IF($AS267="","",INDEX('TMP Paste'!$I$2:$I$1601,$AS267))</f>
        <v/>
      </c>
      <c r="M267" t="str">
        <f>IF($AS267="","",Config!$B$16)</f>
        <v/>
      </c>
      <c r="N267" t="str">
        <f t="shared" si="24"/>
        <v/>
      </c>
      <c r="O267" t="str">
        <f>IF($AS267="","",INDEX('TMP Paste'!$K$2:$K$1601,$AS267))</f>
        <v/>
      </c>
      <c r="P267" t="str">
        <f t="shared" si="25"/>
        <v/>
      </c>
      <c r="Q267" t="str">
        <f>IF($AS267="","",INDEX('TMP Paste'!$J$2:$J$1601,$AS267))</f>
        <v/>
      </c>
      <c r="R267" t="str">
        <f>IF($AS267="","",Config!$B$24)</f>
        <v/>
      </c>
      <c r="S267" t="str">
        <f ca="1">IF($AS267="","",TEXT(Config!$B$4,"yyyy-mm-dd"))</f>
        <v/>
      </c>
      <c r="T267" t="str">
        <f>IF($AS267="","",Config!$B$17)</f>
        <v/>
      </c>
      <c r="U267" t="str">
        <f>IF($AS267="","",Config!$B$18)</f>
        <v/>
      </c>
      <c r="V267" t="str">
        <f>IF($AS267="","",Config!$B$19)</f>
        <v/>
      </c>
      <c r="W267" t="str">
        <f>IF($AS267="","",INDEX('TMP Paste'!$C$2:$C$1601,$AS267))</f>
        <v/>
      </c>
      <c r="X267" t="str">
        <f>IF($AS267="","",Config!$B$29)</f>
        <v/>
      </c>
      <c r="Y267" t="str">
        <f>IF($AT267="","",INDEX(Calc!$I$2:$I$1601,$AT267)&amp;" - "&amp;INDEX(Calc!$D$2:$D$1601,$AT267)&amp;" koli")</f>
        <v/>
      </c>
      <c r="Z267" t="str">
        <f>IF($AS267="","",Config!$B$21)</f>
        <v/>
      </c>
      <c r="AA267" t="str">
        <f>IF($AS267="","",Config!$B$22)</f>
        <v/>
      </c>
      <c r="AB267" t="str">
        <f>IF($AT267="","",INDEX(Calc!$D$2:$D$1601,$AT267))</f>
        <v/>
      </c>
      <c r="AC267" t="str">
        <f>IF($AT267="","",INDEX(Calc!$G$2:$G$1601,$AT267))</f>
        <v/>
      </c>
      <c r="AD267" t="str">
        <f>IF($AS267="","",Config!$B$23)</f>
        <v/>
      </c>
      <c r="AE267" t="str">
        <f>IF($AS267="","",Config!$B$28)</f>
        <v/>
      </c>
      <c r="AF267" t="str">
        <f t="shared" si="26"/>
        <v/>
      </c>
      <c r="AG267" t="str">
        <f t="shared" si="27"/>
        <v/>
      </c>
      <c r="AH267" t="str">
        <f t="shared" si="28"/>
        <v/>
      </c>
      <c r="AI267" t="str">
        <f>IF($AG267="","",SUMIF($AG$2:$AG267,$AG267,$AH$2:$AH267))</f>
        <v/>
      </c>
      <c r="AJ267" t="str">
        <f>IF('TMP Paste'!$F267="","",IF('TMP Paste'!$B267="",$AJ266,'TMP Paste'!$B267))</f>
        <v/>
      </c>
      <c r="AK267" t="str">
        <f>IF('TMP Paste'!$F267="","",N('TMP Paste'!$G267))</f>
        <v/>
      </c>
      <c r="AL267" t="str">
        <f>IF('TMP Paste'!$F267="","",IF('TMP Paste'!$M267="",$AL266,'TMP Paste'!$M267))</f>
        <v/>
      </c>
      <c r="AM267" t="str">
        <f>IF('TMP Paste'!$F267="","",IF('TMP Paste'!$N267="",$AM266,'TMP Paste'!$N267))</f>
        <v/>
      </c>
      <c r="AN267" t="str">
        <f>IF('TMP Paste'!$F267="","",IF('TMP Paste'!$O267="",$AN266,'TMP Paste'!$O267))</f>
        <v/>
      </c>
      <c r="AO267" t="str">
        <f>IF('TMP Paste'!$F267="","",IF('TMP Paste'!$P267="",$AO266,'TMP Paste'!$P267))</f>
        <v/>
      </c>
      <c r="AP267" t="str">
        <f t="shared" si="29"/>
        <v/>
      </c>
      <c r="AQ267" t="str">
        <f>IF($AS267="","",TRIM(IF(COUNTIFS(Calc!$B$2:$B$1601,ROW()-1,Calc!$C$2:$C$1601,"&lt;1")&gt;0,"Ada PO tanpa Koli - cek TMP. ","")&amp;IF(OR($AU267="",$AU267&lt;=0),"Volume kosong/0 - dimensi dikosongkan. ","")&amp;IF(AND($AU267&lt;&gt;"",$AU267&gt;=1000000),"Volume &gt;= 1.000.000 cm3 (di luar aturan) - dimensi dikosongkan. ","")&amp;IF(LEN($R267)&gt;500,"R &gt; 500 karakter.","")))</f>
        <v/>
      </c>
      <c r="AS267" t="str">
        <f>IFERROR(MATCH(ROW()-1,Calc!$J$2:$J$1601,0),"")</f>
        <v/>
      </c>
      <c r="AT267" t="str">
        <f>IFERROR(MATCH(ROW()-1,Calc!$K$2:$K$1601,0),"")</f>
        <v/>
      </c>
      <c r="AU267" t="str">
        <f>IF($AS267="","",IFERROR(INDEX('TMP Paste'!$D$2:$D$1601,$AS267)*1000000/$AB267,""))</f>
        <v/>
      </c>
    </row>
    <row r="268" spans="1:47">
      <c r="A268" t="str">
        <f>IF($AS268="","",INDEX('TMP Paste'!$B$2:$B$1601,$AS268))</f>
        <v/>
      </c>
      <c r="B268" t="str">
        <f>IF($AS268="","",Config!$B$14)</f>
        <v/>
      </c>
      <c r="C268" t="str">
        <f>IF($AS268="","",Config!$B$15)</f>
        <v/>
      </c>
      <c r="D268" t="str">
        <f>IF($AS268="","",INDEX('TMP Paste'!$B$2:$B$1601,$AS268))</f>
        <v/>
      </c>
      <c r="E268" t="str">
        <f>IF($AS268="","",Config!$B$27)</f>
        <v/>
      </c>
      <c r="F268" t="str">
        <f>IF($AS268="","",Config!$B$9)</f>
        <v/>
      </c>
      <c r="G268" t="str">
        <f>IF($AS268="","",Config!$B$10)</f>
        <v/>
      </c>
      <c r="H268" t="str">
        <f>IF($AS268="","",Config!$B$11)</f>
        <v/>
      </c>
      <c r="I268" t="str">
        <f>IF($AS268="","",Config!$B$16)</f>
        <v/>
      </c>
      <c r="J268" t="str">
        <f>IF($AS268="","",INDEX('TMP Paste'!$A$2:$A$1601,$AS268))</f>
        <v/>
      </c>
      <c r="K268" t="str">
        <f>IF($AS268="","",INDEX('TMP Paste'!$L$2:$L$1601,$AS268))</f>
        <v/>
      </c>
      <c r="L268" t="str">
        <f>IF($AS268="","",INDEX('TMP Paste'!$I$2:$I$1601,$AS268))</f>
        <v/>
      </c>
      <c r="M268" t="str">
        <f>IF($AS268="","",Config!$B$16)</f>
        <v/>
      </c>
      <c r="N268" t="str">
        <f t="shared" si="24"/>
        <v/>
      </c>
      <c r="O268" t="str">
        <f>IF($AS268="","",INDEX('TMP Paste'!$K$2:$K$1601,$AS268))</f>
        <v/>
      </c>
      <c r="P268" t="str">
        <f t="shared" si="25"/>
        <v/>
      </c>
      <c r="Q268" t="str">
        <f>IF($AS268="","",INDEX('TMP Paste'!$J$2:$J$1601,$AS268))</f>
        <v/>
      </c>
      <c r="R268" t="str">
        <f>IF($AS268="","",Config!$B$24)</f>
        <v/>
      </c>
      <c r="S268" t="str">
        <f ca="1">IF($AS268="","",TEXT(Config!$B$4,"yyyy-mm-dd"))</f>
        <v/>
      </c>
      <c r="T268" t="str">
        <f>IF($AS268="","",Config!$B$17)</f>
        <v/>
      </c>
      <c r="U268" t="str">
        <f>IF($AS268="","",Config!$B$18)</f>
        <v/>
      </c>
      <c r="V268" t="str">
        <f>IF($AS268="","",Config!$B$19)</f>
        <v/>
      </c>
      <c r="W268" t="str">
        <f>IF($AS268="","",INDEX('TMP Paste'!$C$2:$C$1601,$AS268))</f>
        <v/>
      </c>
      <c r="X268" t="str">
        <f>IF($AS268="","",Config!$B$29)</f>
        <v/>
      </c>
      <c r="Y268" t="str">
        <f>IF($AT268="","",INDEX(Calc!$I$2:$I$1601,$AT268)&amp;" - "&amp;INDEX(Calc!$D$2:$D$1601,$AT268)&amp;" koli")</f>
        <v/>
      </c>
      <c r="Z268" t="str">
        <f>IF($AS268="","",Config!$B$21)</f>
        <v/>
      </c>
      <c r="AA268" t="str">
        <f>IF($AS268="","",Config!$B$22)</f>
        <v/>
      </c>
      <c r="AB268" t="str">
        <f>IF($AT268="","",INDEX(Calc!$D$2:$D$1601,$AT268))</f>
        <v/>
      </c>
      <c r="AC268" t="str">
        <f>IF($AT268="","",INDEX(Calc!$G$2:$G$1601,$AT268))</f>
        <v/>
      </c>
      <c r="AD268" t="str">
        <f>IF($AS268="","",Config!$B$23)</f>
        <v/>
      </c>
      <c r="AE268" t="str">
        <f>IF($AS268="","",Config!$B$28)</f>
        <v/>
      </c>
      <c r="AF268" t="str">
        <f t="shared" si="26"/>
        <v/>
      </c>
      <c r="AG268" t="str">
        <f t="shared" si="27"/>
        <v/>
      </c>
      <c r="AH268" t="str">
        <f t="shared" si="28"/>
        <v/>
      </c>
      <c r="AI268" t="str">
        <f>IF($AG268="","",SUMIF($AG$2:$AG268,$AG268,$AH$2:$AH268))</f>
        <v/>
      </c>
      <c r="AJ268" t="str">
        <f>IF('TMP Paste'!$F268="","",IF('TMP Paste'!$B268="",$AJ267,'TMP Paste'!$B268))</f>
        <v/>
      </c>
      <c r="AK268" t="str">
        <f>IF('TMP Paste'!$F268="","",N('TMP Paste'!$G268))</f>
        <v/>
      </c>
      <c r="AL268" t="str">
        <f>IF('TMP Paste'!$F268="","",IF('TMP Paste'!$M268="",$AL267,'TMP Paste'!$M268))</f>
        <v/>
      </c>
      <c r="AM268" t="str">
        <f>IF('TMP Paste'!$F268="","",IF('TMP Paste'!$N268="",$AM267,'TMP Paste'!$N268))</f>
        <v/>
      </c>
      <c r="AN268" t="str">
        <f>IF('TMP Paste'!$F268="","",IF('TMP Paste'!$O268="",$AN267,'TMP Paste'!$O268))</f>
        <v/>
      </c>
      <c r="AO268" t="str">
        <f>IF('TMP Paste'!$F268="","",IF('TMP Paste'!$P268="",$AO267,'TMP Paste'!$P268))</f>
        <v/>
      </c>
      <c r="AP268" t="str">
        <f t="shared" si="29"/>
        <v/>
      </c>
      <c r="AQ268" t="str">
        <f>IF($AS268="","",TRIM(IF(COUNTIFS(Calc!$B$2:$B$1601,ROW()-1,Calc!$C$2:$C$1601,"&lt;1")&gt;0,"Ada PO tanpa Koli - cek TMP. ","")&amp;IF(OR($AU268="",$AU268&lt;=0),"Volume kosong/0 - dimensi dikosongkan. ","")&amp;IF(AND($AU268&lt;&gt;"",$AU268&gt;=1000000),"Volume &gt;= 1.000.000 cm3 (di luar aturan) - dimensi dikosongkan. ","")&amp;IF(LEN($R268)&gt;500,"R &gt; 500 karakter.","")))</f>
        <v/>
      </c>
      <c r="AS268" t="str">
        <f>IFERROR(MATCH(ROW()-1,Calc!$J$2:$J$1601,0),"")</f>
        <v/>
      </c>
      <c r="AT268" t="str">
        <f>IFERROR(MATCH(ROW()-1,Calc!$K$2:$K$1601,0),"")</f>
        <v/>
      </c>
      <c r="AU268" t="str">
        <f>IF($AS268="","",IFERROR(INDEX('TMP Paste'!$D$2:$D$1601,$AS268)*1000000/$AB268,""))</f>
        <v/>
      </c>
    </row>
    <row r="269" spans="1:47">
      <c r="A269" t="str">
        <f>IF($AS269="","",INDEX('TMP Paste'!$B$2:$B$1601,$AS269))</f>
        <v/>
      </c>
      <c r="B269" t="str">
        <f>IF($AS269="","",Config!$B$14)</f>
        <v/>
      </c>
      <c r="C269" t="str">
        <f>IF($AS269="","",Config!$B$15)</f>
        <v/>
      </c>
      <c r="D269" t="str">
        <f>IF($AS269="","",INDEX('TMP Paste'!$B$2:$B$1601,$AS269))</f>
        <v/>
      </c>
      <c r="E269" t="str">
        <f>IF($AS269="","",Config!$B$27)</f>
        <v/>
      </c>
      <c r="F269" t="str">
        <f>IF($AS269="","",Config!$B$9)</f>
        <v/>
      </c>
      <c r="G269" t="str">
        <f>IF($AS269="","",Config!$B$10)</f>
        <v/>
      </c>
      <c r="H269" t="str">
        <f>IF($AS269="","",Config!$B$11)</f>
        <v/>
      </c>
      <c r="I269" t="str">
        <f>IF($AS269="","",Config!$B$16)</f>
        <v/>
      </c>
      <c r="J269" t="str">
        <f>IF($AS269="","",INDEX('TMP Paste'!$A$2:$A$1601,$AS269))</f>
        <v/>
      </c>
      <c r="K269" t="str">
        <f>IF($AS269="","",INDEX('TMP Paste'!$L$2:$L$1601,$AS269))</f>
        <v/>
      </c>
      <c r="L269" t="str">
        <f>IF($AS269="","",INDEX('TMP Paste'!$I$2:$I$1601,$AS269))</f>
        <v/>
      </c>
      <c r="M269" t="str">
        <f>IF($AS269="","",Config!$B$16)</f>
        <v/>
      </c>
      <c r="N269" t="str">
        <f t="shared" si="24"/>
        <v/>
      </c>
      <c r="O269" t="str">
        <f>IF($AS269="","",INDEX('TMP Paste'!$K$2:$K$1601,$AS269))</f>
        <v/>
      </c>
      <c r="P269" t="str">
        <f t="shared" si="25"/>
        <v/>
      </c>
      <c r="Q269" t="str">
        <f>IF($AS269="","",INDEX('TMP Paste'!$J$2:$J$1601,$AS269))</f>
        <v/>
      </c>
      <c r="R269" t="str">
        <f>IF($AS269="","",Config!$B$24)</f>
        <v/>
      </c>
      <c r="S269" t="str">
        <f ca="1">IF($AS269="","",TEXT(Config!$B$4,"yyyy-mm-dd"))</f>
        <v/>
      </c>
      <c r="T269" t="str">
        <f>IF($AS269="","",Config!$B$17)</f>
        <v/>
      </c>
      <c r="U269" t="str">
        <f>IF($AS269="","",Config!$B$18)</f>
        <v/>
      </c>
      <c r="V269" t="str">
        <f>IF($AS269="","",Config!$B$19)</f>
        <v/>
      </c>
      <c r="W269" t="str">
        <f>IF($AS269="","",INDEX('TMP Paste'!$C$2:$C$1601,$AS269))</f>
        <v/>
      </c>
      <c r="X269" t="str">
        <f>IF($AS269="","",Config!$B$29)</f>
        <v/>
      </c>
      <c r="Y269" t="str">
        <f>IF($AT269="","",INDEX(Calc!$I$2:$I$1601,$AT269)&amp;" - "&amp;INDEX(Calc!$D$2:$D$1601,$AT269)&amp;" koli")</f>
        <v/>
      </c>
      <c r="Z269" t="str">
        <f>IF($AS269="","",Config!$B$21)</f>
        <v/>
      </c>
      <c r="AA269" t="str">
        <f>IF($AS269="","",Config!$B$22)</f>
        <v/>
      </c>
      <c r="AB269" t="str">
        <f>IF($AT269="","",INDEX(Calc!$D$2:$D$1601,$AT269))</f>
        <v/>
      </c>
      <c r="AC269" t="str">
        <f>IF($AT269="","",INDEX(Calc!$G$2:$G$1601,$AT269))</f>
        <v/>
      </c>
      <c r="AD269" t="str">
        <f>IF($AS269="","",Config!$B$23)</f>
        <v/>
      </c>
      <c r="AE269" t="str">
        <f>IF($AS269="","",Config!$B$28)</f>
        <v/>
      </c>
      <c r="AF269" t="str">
        <f t="shared" si="26"/>
        <v/>
      </c>
      <c r="AG269" t="str">
        <f t="shared" si="27"/>
        <v/>
      </c>
      <c r="AH269" t="str">
        <f t="shared" si="28"/>
        <v/>
      </c>
      <c r="AI269" t="str">
        <f>IF($AG269="","",SUMIF($AG$2:$AG269,$AG269,$AH$2:$AH269))</f>
        <v/>
      </c>
      <c r="AJ269" t="str">
        <f>IF('TMP Paste'!$F269="","",IF('TMP Paste'!$B269="",$AJ268,'TMP Paste'!$B269))</f>
        <v/>
      </c>
      <c r="AK269" t="str">
        <f>IF('TMP Paste'!$F269="","",N('TMP Paste'!$G269))</f>
        <v/>
      </c>
      <c r="AL269" t="str">
        <f>IF('TMP Paste'!$F269="","",IF('TMP Paste'!$M269="",$AL268,'TMP Paste'!$M269))</f>
        <v/>
      </c>
      <c r="AM269" t="str">
        <f>IF('TMP Paste'!$F269="","",IF('TMP Paste'!$N269="",$AM268,'TMP Paste'!$N269))</f>
        <v/>
      </c>
      <c r="AN269" t="str">
        <f>IF('TMP Paste'!$F269="","",IF('TMP Paste'!$O269="",$AN268,'TMP Paste'!$O269))</f>
        <v/>
      </c>
      <c r="AO269" t="str">
        <f>IF('TMP Paste'!$F269="","",IF('TMP Paste'!$P269="",$AO268,'TMP Paste'!$P269))</f>
        <v/>
      </c>
      <c r="AP269" t="str">
        <f t="shared" si="29"/>
        <v/>
      </c>
      <c r="AQ269" t="str">
        <f>IF($AS269="","",TRIM(IF(COUNTIFS(Calc!$B$2:$B$1601,ROW()-1,Calc!$C$2:$C$1601,"&lt;1")&gt;0,"Ada PO tanpa Koli - cek TMP. ","")&amp;IF(OR($AU269="",$AU269&lt;=0),"Volume kosong/0 - dimensi dikosongkan. ","")&amp;IF(AND($AU269&lt;&gt;"",$AU269&gt;=1000000),"Volume &gt;= 1.000.000 cm3 (di luar aturan) - dimensi dikosongkan. ","")&amp;IF(LEN($R269)&gt;500,"R &gt; 500 karakter.","")))</f>
        <v/>
      </c>
      <c r="AS269" t="str">
        <f>IFERROR(MATCH(ROW()-1,Calc!$J$2:$J$1601,0),"")</f>
        <v/>
      </c>
      <c r="AT269" t="str">
        <f>IFERROR(MATCH(ROW()-1,Calc!$K$2:$K$1601,0),"")</f>
        <v/>
      </c>
      <c r="AU269" t="str">
        <f>IF($AS269="","",IFERROR(INDEX('TMP Paste'!$D$2:$D$1601,$AS269)*1000000/$AB269,""))</f>
        <v/>
      </c>
    </row>
    <row r="270" spans="1:47">
      <c r="A270" t="str">
        <f>IF($AS270="","",INDEX('TMP Paste'!$B$2:$B$1601,$AS270))</f>
        <v/>
      </c>
      <c r="B270" t="str">
        <f>IF($AS270="","",Config!$B$14)</f>
        <v/>
      </c>
      <c r="C270" t="str">
        <f>IF($AS270="","",Config!$B$15)</f>
        <v/>
      </c>
      <c r="D270" t="str">
        <f>IF($AS270="","",INDEX('TMP Paste'!$B$2:$B$1601,$AS270))</f>
        <v/>
      </c>
      <c r="E270" t="str">
        <f>IF($AS270="","",Config!$B$27)</f>
        <v/>
      </c>
      <c r="F270" t="str">
        <f>IF($AS270="","",Config!$B$9)</f>
        <v/>
      </c>
      <c r="G270" t="str">
        <f>IF($AS270="","",Config!$B$10)</f>
        <v/>
      </c>
      <c r="H270" t="str">
        <f>IF($AS270="","",Config!$B$11)</f>
        <v/>
      </c>
      <c r="I270" t="str">
        <f>IF($AS270="","",Config!$B$16)</f>
        <v/>
      </c>
      <c r="J270" t="str">
        <f>IF($AS270="","",INDEX('TMP Paste'!$A$2:$A$1601,$AS270))</f>
        <v/>
      </c>
      <c r="K270" t="str">
        <f>IF($AS270="","",INDEX('TMP Paste'!$L$2:$L$1601,$AS270))</f>
        <v/>
      </c>
      <c r="L270" t="str">
        <f>IF($AS270="","",INDEX('TMP Paste'!$I$2:$I$1601,$AS270))</f>
        <v/>
      </c>
      <c r="M270" t="str">
        <f>IF($AS270="","",Config!$B$16)</f>
        <v/>
      </c>
      <c r="N270" t="str">
        <f t="shared" si="24"/>
        <v/>
      </c>
      <c r="O270" t="str">
        <f>IF($AS270="","",INDEX('TMP Paste'!$K$2:$K$1601,$AS270))</f>
        <v/>
      </c>
      <c r="P270" t="str">
        <f t="shared" si="25"/>
        <v/>
      </c>
      <c r="Q270" t="str">
        <f>IF($AS270="","",INDEX('TMP Paste'!$J$2:$J$1601,$AS270))</f>
        <v/>
      </c>
      <c r="R270" t="str">
        <f>IF($AS270="","",Config!$B$24)</f>
        <v/>
      </c>
      <c r="S270" t="str">
        <f ca="1">IF($AS270="","",TEXT(Config!$B$4,"yyyy-mm-dd"))</f>
        <v/>
      </c>
      <c r="T270" t="str">
        <f>IF($AS270="","",Config!$B$17)</f>
        <v/>
      </c>
      <c r="U270" t="str">
        <f>IF($AS270="","",Config!$B$18)</f>
        <v/>
      </c>
      <c r="V270" t="str">
        <f>IF($AS270="","",Config!$B$19)</f>
        <v/>
      </c>
      <c r="W270" t="str">
        <f>IF($AS270="","",INDEX('TMP Paste'!$C$2:$C$1601,$AS270))</f>
        <v/>
      </c>
      <c r="X270" t="str">
        <f>IF($AS270="","",Config!$B$29)</f>
        <v/>
      </c>
      <c r="Y270" t="str">
        <f>IF($AT270="","",INDEX(Calc!$I$2:$I$1601,$AT270)&amp;" - "&amp;INDEX(Calc!$D$2:$D$1601,$AT270)&amp;" koli")</f>
        <v/>
      </c>
      <c r="Z270" t="str">
        <f>IF($AS270="","",Config!$B$21)</f>
        <v/>
      </c>
      <c r="AA270" t="str">
        <f>IF($AS270="","",Config!$B$22)</f>
        <v/>
      </c>
      <c r="AB270" t="str">
        <f>IF($AT270="","",INDEX(Calc!$D$2:$D$1601,$AT270))</f>
        <v/>
      </c>
      <c r="AC270" t="str">
        <f>IF($AT270="","",INDEX(Calc!$G$2:$G$1601,$AT270))</f>
        <v/>
      </c>
      <c r="AD270" t="str">
        <f>IF($AS270="","",Config!$B$23)</f>
        <v/>
      </c>
      <c r="AE270" t="str">
        <f>IF($AS270="","",Config!$B$28)</f>
        <v/>
      </c>
      <c r="AF270" t="str">
        <f t="shared" si="26"/>
        <v/>
      </c>
      <c r="AG270" t="str">
        <f t="shared" si="27"/>
        <v/>
      </c>
      <c r="AH270" t="str">
        <f t="shared" si="28"/>
        <v/>
      </c>
      <c r="AI270" t="str">
        <f>IF($AG270="","",SUMIF($AG$2:$AG270,$AG270,$AH$2:$AH270))</f>
        <v/>
      </c>
      <c r="AJ270" t="str">
        <f>IF('TMP Paste'!$F270="","",IF('TMP Paste'!$B270="",$AJ269,'TMP Paste'!$B270))</f>
        <v/>
      </c>
      <c r="AK270" t="str">
        <f>IF('TMP Paste'!$F270="","",N('TMP Paste'!$G270))</f>
        <v/>
      </c>
      <c r="AL270" t="str">
        <f>IF('TMP Paste'!$F270="","",IF('TMP Paste'!$M270="",$AL269,'TMP Paste'!$M270))</f>
        <v/>
      </c>
      <c r="AM270" t="str">
        <f>IF('TMP Paste'!$F270="","",IF('TMP Paste'!$N270="",$AM269,'TMP Paste'!$N270))</f>
        <v/>
      </c>
      <c r="AN270" t="str">
        <f>IF('TMP Paste'!$F270="","",IF('TMP Paste'!$O270="",$AN269,'TMP Paste'!$O270))</f>
        <v/>
      </c>
      <c r="AO270" t="str">
        <f>IF('TMP Paste'!$F270="","",IF('TMP Paste'!$P270="",$AO269,'TMP Paste'!$P270))</f>
        <v/>
      </c>
      <c r="AP270" t="str">
        <f t="shared" si="29"/>
        <v/>
      </c>
      <c r="AQ270" t="str">
        <f>IF($AS270="","",TRIM(IF(COUNTIFS(Calc!$B$2:$B$1601,ROW()-1,Calc!$C$2:$C$1601,"&lt;1")&gt;0,"Ada PO tanpa Koli - cek TMP. ","")&amp;IF(OR($AU270="",$AU270&lt;=0),"Volume kosong/0 - dimensi dikosongkan. ","")&amp;IF(AND($AU270&lt;&gt;"",$AU270&gt;=1000000),"Volume &gt;= 1.000.000 cm3 (di luar aturan) - dimensi dikosongkan. ","")&amp;IF(LEN($R270)&gt;500,"R &gt; 500 karakter.","")))</f>
        <v/>
      </c>
      <c r="AS270" t="str">
        <f>IFERROR(MATCH(ROW()-1,Calc!$J$2:$J$1601,0),"")</f>
        <v/>
      </c>
      <c r="AT270" t="str">
        <f>IFERROR(MATCH(ROW()-1,Calc!$K$2:$K$1601,0),"")</f>
        <v/>
      </c>
      <c r="AU270" t="str">
        <f>IF($AS270="","",IFERROR(INDEX('TMP Paste'!$D$2:$D$1601,$AS270)*1000000/$AB270,""))</f>
        <v/>
      </c>
    </row>
    <row r="271" spans="1:47">
      <c r="A271" t="str">
        <f>IF($AS271="","",INDEX('TMP Paste'!$B$2:$B$1601,$AS271))</f>
        <v/>
      </c>
      <c r="B271" t="str">
        <f>IF($AS271="","",Config!$B$14)</f>
        <v/>
      </c>
      <c r="C271" t="str">
        <f>IF($AS271="","",Config!$B$15)</f>
        <v/>
      </c>
      <c r="D271" t="str">
        <f>IF($AS271="","",INDEX('TMP Paste'!$B$2:$B$1601,$AS271))</f>
        <v/>
      </c>
      <c r="E271" t="str">
        <f>IF($AS271="","",Config!$B$27)</f>
        <v/>
      </c>
      <c r="F271" t="str">
        <f>IF($AS271="","",Config!$B$9)</f>
        <v/>
      </c>
      <c r="G271" t="str">
        <f>IF($AS271="","",Config!$B$10)</f>
        <v/>
      </c>
      <c r="H271" t="str">
        <f>IF($AS271="","",Config!$B$11)</f>
        <v/>
      </c>
      <c r="I271" t="str">
        <f>IF($AS271="","",Config!$B$16)</f>
        <v/>
      </c>
      <c r="J271" t="str">
        <f>IF($AS271="","",INDEX('TMP Paste'!$A$2:$A$1601,$AS271))</f>
        <v/>
      </c>
      <c r="K271" t="str">
        <f>IF($AS271="","",INDEX('TMP Paste'!$L$2:$L$1601,$AS271))</f>
        <v/>
      </c>
      <c r="L271" t="str">
        <f>IF($AS271="","",INDEX('TMP Paste'!$I$2:$I$1601,$AS271))</f>
        <v/>
      </c>
      <c r="M271" t="str">
        <f>IF($AS271="","",Config!$B$16)</f>
        <v/>
      </c>
      <c r="N271" t="str">
        <f t="shared" si="24"/>
        <v/>
      </c>
      <c r="O271" t="str">
        <f>IF($AS271="","",INDEX('TMP Paste'!$K$2:$K$1601,$AS271))</f>
        <v/>
      </c>
      <c r="P271" t="str">
        <f t="shared" si="25"/>
        <v/>
      </c>
      <c r="Q271" t="str">
        <f>IF($AS271="","",INDEX('TMP Paste'!$J$2:$J$1601,$AS271))</f>
        <v/>
      </c>
      <c r="R271" t="str">
        <f>IF($AS271="","",Config!$B$24)</f>
        <v/>
      </c>
      <c r="S271" t="str">
        <f ca="1">IF($AS271="","",TEXT(Config!$B$4,"yyyy-mm-dd"))</f>
        <v/>
      </c>
      <c r="T271" t="str">
        <f>IF($AS271="","",Config!$B$17)</f>
        <v/>
      </c>
      <c r="U271" t="str">
        <f>IF($AS271="","",Config!$B$18)</f>
        <v/>
      </c>
      <c r="V271" t="str">
        <f>IF($AS271="","",Config!$B$19)</f>
        <v/>
      </c>
      <c r="W271" t="str">
        <f>IF($AS271="","",INDEX('TMP Paste'!$C$2:$C$1601,$AS271))</f>
        <v/>
      </c>
      <c r="X271" t="str">
        <f>IF($AS271="","",Config!$B$29)</f>
        <v/>
      </c>
      <c r="Y271" t="str">
        <f>IF($AT271="","",INDEX(Calc!$I$2:$I$1601,$AT271)&amp;" - "&amp;INDEX(Calc!$D$2:$D$1601,$AT271)&amp;" koli")</f>
        <v/>
      </c>
      <c r="Z271" t="str">
        <f>IF($AS271="","",Config!$B$21)</f>
        <v/>
      </c>
      <c r="AA271" t="str">
        <f>IF($AS271="","",Config!$B$22)</f>
        <v/>
      </c>
      <c r="AB271" t="str">
        <f>IF($AT271="","",INDEX(Calc!$D$2:$D$1601,$AT271))</f>
        <v/>
      </c>
      <c r="AC271" t="str">
        <f>IF($AT271="","",INDEX(Calc!$G$2:$G$1601,$AT271))</f>
        <v/>
      </c>
      <c r="AD271" t="str">
        <f>IF($AS271="","",Config!$B$23)</f>
        <v/>
      </c>
      <c r="AE271" t="str">
        <f>IF($AS271="","",Config!$B$28)</f>
        <v/>
      </c>
      <c r="AF271" t="str">
        <f t="shared" si="26"/>
        <v/>
      </c>
      <c r="AG271" t="str">
        <f t="shared" si="27"/>
        <v/>
      </c>
      <c r="AH271" t="str">
        <f t="shared" si="28"/>
        <v/>
      </c>
      <c r="AI271" t="str">
        <f>IF($AG271="","",SUMIF($AG$2:$AG271,$AG271,$AH$2:$AH271))</f>
        <v/>
      </c>
      <c r="AJ271" t="str">
        <f>IF('TMP Paste'!$F271="","",IF('TMP Paste'!$B271="",$AJ270,'TMP Paste'!$B271))</f>
        <v/>
      </c>
      <c r="AK271" t="str">
        <f>IF('TMP Paste'!$F271="","",N('TMP Paste'!$G271))</f>
        <v/>
      </c>
      <c r="AL271" t="str">
        <f>IF('TMP Paste'!$F271="","",IF('TMP Paste'!$M271="",$AL270,'TMP Paste'!$M271))</f>
        <v/>
      </c>
      <c r="AM271" t="str">
        <f>IF('TMP Paste'!$F271="","",IF('TMP Paste'!$N271="",$AM270,'TMP Paste'!$N271))</f>
        <v/>
      </c>
      <c r="AN271" t="str">
        <f>IF('TMP Paste'!$F271="","",IF('TMP Paste'!$O271="",$AN270,'TMP Paste'!$O271))</f>
        <v/>
      </c>
      <c r="AO271" t="str">
        <f>IF('TMP Paste'!$F271="","",IF('TMP Paste'!$P271="",$AO270,'TMP Paste'!$P271))</f>
        <v/>
      </c>
      <c r="AP271" t="str">
        <f t="shared" si="29"/>
        <v/>
      </c>
      <c r="AQ271" t="str">
        <f>IF($AS271="","",TRIM(IF(COUNTIFS(Calc!$B$2:$B$1601,ROW()-1,Calc!$C$2:$C$1601,"&lt;1")&gt;0,"Ada PO tanpa Koli - cek TMP. ","")&amp;IF(OR($AU271="",$AU271&lt;=0),"Volume kosong/0 - dimensi dikosongkan. ","")&amp;IF(AND($AU271&lt;&gt;"",$AU271&gt;=1000000),"Volume &gt;= 1.000.000 cm3 (di luar aturan) - dimensi dikosongkan. ","")&amp;IF(LEN($R271)&gt;500,"R &gt; 500 karakter.","")))</f>
        <v/>
      </c>
      <c r="AS271" t="str">
        <f>IFERROR(MATCH(ROW()-1,Calc!$J$2:$J$1601,0),"")</f>
        <v/>
      </c>
      <c r="AT271" t="str">
        <f>IFERROR(MATCH(ROW()-1,Calc!$K$2:$K$1601,0),"")</f>
        <v/>
      </c>
      <c r="AU271" t="str">
        <f>IF($AS271="","",IFERROR(INDEX('TMP Paste'!$D$2:$D$1601,$AS271)*1000000/$AB271,""))</f>
        <v/>
      </c>
    </row>
    <row r="272" spans="1:47">
      <c r="A272" t="str">
        <f>IF($AS272="","",INDEX('TMP Paste'!$B$2:$B$1601,$AS272))</f>
        <v/>
      </c>
      <c r="B272" t="str">
        <f>IF($AS272="","",Config!$B$14)</f>
        <v/>
      </c>
      <c r="C272" t="str">
        <f>IF($AS272="","",Config!$B$15)</f>
        <v/>
      </c>
      <c r="D272" t="str">
        <f>IF($AS272="","",INDEX('TMP Paste'!$B$2:$B$1601,$AS272))</f>
        <v/>
      </c>
      <c r="E272" t="str">
        <f>IF($AS272="","",Config!$B$27)</f>
        <v/>
      </c>
      <c r="F272" t="str">
        <f>IF($AS272="","",Config!$B$9)</f>
        <v/>
      </c>
      <c r="G272" t="str">
        <f>IF($AS272="","",Config!$B$10)</f>
        <v/>
      </c>
      <c r="H272" t="str">
        <f>IF($AS272="","",Config!$B$11)</f>
        <v/>
      </c>
      <c r="I272" t="str">
        <f>IF($AS272="","",Config!$B$16)</f>
        <v/>
      </c>
      <c r="J272" t="str">
        <f>IF($AS272="","",INDEX('TMP Paste'!$A$2:$A$1601,$AS272))</f>
        <v/>
      </c>
      <c r="K272" t="str">
        <f>IF($AS272="","",INDEX('TMP Paste'!$L$2:$L$1601,$AS272))</f>
        <v/>
      </c>
      <c r="L272" t="str">
        <f>IF($AS272="","",INDEX('TMP Paste'!$I$2:$I$1601,$AS272))</f>
        <v/>
      </c>
      <c r="M272" t="str">
        <f>IF($AS272="","",Config!$B$16)</f>
        <v/>
      </c>
      <c r="N272" t="str">
        <f t="shared" si="24"/>
        <v/>
      </c>
      <c r="O272" t="str">
        <f>IF($AS272="","",INDEX('TMP Paste'!$K$2:$K$1601,$AS272))</f>
        <v/>
      </c>
      <c r="P272" t="str">
        <f t="shared" si="25"/>
        <v/>
      </c>
      <c r="Q272" t="str">
        <f>IF($AS272="","",INDEX('TMP Paste'!$J$2:$J$1601,$AS272))</f>
        <v/>
      </c>
      <c r="R272" t="str">
        <f>IF($AS272="","",Config!$B$24)</f>
        <v/>
      </c>
      <c r="S272" t="str">
        <f ca="1">IF($AS272="","",TEXT(Config!$B$4,"yyyy-mm-dd"))</f>
        <v/>
      </c>
      <c r="T272" t="str">
        <f>IF($AS272="","",Config!$B$17)</f>
        <v/>
      </c>
      <c r="U272" t="str">
        <f>IF($AS272="","",Config!$B$18)</f>
        <v/>
      </c>
      <c r="V272" t="str">
        <f>IF($AS272="","",Config!$B$19)</f>
        <v/>
      </c>
      <c r="W272" t="str">
        <f>IF($AS272="","",INDEX('TMP Paste'!$C$2:$C$1601,$AS272))</f>
        <v/>
      </c>
      <c r="X272" t="str">
        <f>IF($AS272="","",Config!$B$29)</f>
        <v/>
      </c>
      <c r="Y272" t="str">
        <f>IF($AT272="","",INDEX(Calc!$I$2:$I$1601,$AT272)&amp;" - "&amp;INDEX(Calc!$D$2:$D$1601,$AT272)&amp;" koli")</f>
        <v/>
      </c>
      <c r="Z272" t="str">
        <f>IF($AS272="","",Config!$B$21)</f>
        <v/>
      </c>
      <c r="AA272" t="str">
        <f>IF($AS272="","",Config!$B$22)</f>
        <v/>
      </c>
      <c r="AB272" t="str">
        <f>IF($AT272="","",INDEX(Calc!$D$2:$D$1601,$AT272))</f>
        <v/>
      </c>
      <c r="AC272" t="str">
        <f>IF($AT272="","",INDEX(Calc!$G$2:$G$1601,$AT272))</f>
        <v/>
      </c>
      <c r="AD272" t="str">
        <f>IF($AS272="","",Config!$B$23)</f>
        <v/>
      </c>
      <c r="AE272" t="str">
        <f>IF($AS272="","",Config!$B$28)</f>
        <v/>
      </c>
      <c r="AF272" t="str">
        <f t="shared" si="26"/>
        <v/>
      </c>
      <c r="AG272" t="str">
        <f t="shared" si="27"/>
        <v/>
      </c>
      <c r="AH272" t="str">
        <f t="shared" si="28"/>
        <v/>
      </c>
      <c r="AI272" t="str">
        <f>IF($AG272="","",SUMIF($AG$2:$AG272,$AG272,$AH$2:$AH272))</f>
        <v/>
      </c>
      <c r="AJ272" t="str">
        <f>IF('TMP Paste'!$F272="","",IF('TMP Paste'!$B272="",$AJ271,'TMP Paste'!$B272))</f>
        <v/>
      </c>
      <c r="AK272" t="str">
        <f>IF('TMP Paste'!$F272="","",N('TMP Paste'!$G272))</f>
        <v/>
      </c>
      <c r="AL272" t="str">
        <f>IF('TMP Paste'!$F272="","",IF('TMP Paste'!$M272="",$AL271,'TMP Paste'!$M272))</f>
        <v/>
      </c>
      <c r="AM272" t="str">
        <f>IF('TMP Paste'!$F272="","",IF('TMP Paste'!$N272="",$AM271,'TMP Paste'!$N272))</f>
        <v/>
      </c>
      <c r="AN272" t="str">
        <f>IF('TMP Paste'!$F272="","",IF('TMP Paste'!$O272="",$AN271,'TMP Paste'!$O272))</f>
        <v/>
      </c>
      <c r="AO272" t="str">
        <f>IF('TMP Paste'!$F272="","",IF('TMP Paste'!$P272="",$AO271,'TMP Paste'!$P272))</f>
        <v/>
      </c>
      <c r="AP272" t="str">
        <f t="shared" si="29"/>
        <v/>
      </c>
      <c r="AQ272" t="str">
        <f>IF($AS272="","",TRIM(IF(COUNTIFS(Calc!$B$2:$B$1601,ROW()-1,Calc!$C$2:$C$1601,"&lt;1")&gt;0,"Ada PO tanpa Koli - cek TMP. ","")&amp;IF(OR($AU272="",$AU272&lt;=0),"Volume kosong/0 - dimensi dikosongkan. ","")&amp;IF(AND($AU272&lt;&gt;"",$AU272&gt;=1000000),"Volume &gt;= 1.000.000 cm3 (di luar aturan) - dimensi dikosongkan. ","")&amp;IF(LEN($R272)&gt;500,"R &gt; 500 karakter.","")))</f>
        <v/>
      </c>
      <c r="AS272" t="str">
        <f>IFERROR(MATCH(ROW()-1,Calc!$J$2:$J$1601,0),"")</f>
        <v/>
      </c>
      <c r="AT272" t="str">
        <f>IFERROR(MATCH(ROW()-1,Calc!$K$2:$K$1601,0),"")</f>
        <v/>
      </c>
      <c r="AU272" t="str">
        <f>IF($AS272="","",IFERROR(INDEX('TMP Paste'!$D$2:$D$1601,$AS272)*1000000/$AB272,""))</f>
        <v/>
      </c>
    </row>
    <row r="273" spans="1:47">
      <c r="A273" t="str">
        <f>IF($AS273="","",INDEX('TMP Paste'!$B$2:$B$1601,$AS273))</f>
        <v/>
      </c>
      <c r="B273" t="str">
        <f>IF($AS273="","",Config!$B$14)</f>
        <v/>
      </c>
      <c r="C273" t="str">
        <f>IF($AS273="","",Config!$B$15)</f>
        <v/>
      </c>
      <c r="D273" t="str">
        <f>IF($AS273="","",INDEX('TMP Paste'!$B$2:$B$1601,$AS273))</f>
        <v/>
      </c>
      <c r="E273" t="str">
        <f>IF($AS273="","",Config!$B$27)</f>
        <v/>
      </c>
      <c r="F273" t="str">
        <f>IF($AS273="","",Config!$B$9)</f>
        <v/>
      </c>
      <c r="G273" t="str">
        <f>IF($AS273="","",Config!$B$10)</f>
        <v/>
      </c>
      <c r="H273" t="str">
        <f>IF($AS273="","",Config!$B$11)</f>
        <v/>
      </c>
      <c r="I273" t="str">
        <f>IF($AS273="","",Config!$B$16)</f>
        <v/>
      </c>
      <c r="J273" t="str">
        <f>IF($AS273="","",INDEX('TMP Paste'!$A$2:$A$1601,$AS273))</f>
        <v/>
      </c>
      <c r="K273" t="str">
        <f>IF($AS273="","",INDEX('TMP Paste'!$L$2:$L$1601,$AS273))</f>
        <v/>
      </c>
      <c r="L273" t="str">
        <f>IF($AS273="","",INDEX('TMP Paste'!$I$2:$I$1601,$AS273))</f>
        <v/>
      </c>
      <c r="M273" t="str">
        <f>IF($AS273="","",Config!$B$16)</f>
        <v/>
      </c>
      <c r="N273" t="str">
        <f t="shared" si="24"/>
        <v/>
      </c>
      <c r="O273" t="str">
        <f>IF($AS273="","",INDEX('TMP Paste'!$K$2:$K$1601,$AS273))</f>
        <v/>
      </c>
      <c r="P273" t="str">
        <f t="shared" si="25"/>
        <v/>
      </c>
      <c r="Q273" t="str">
        <f>IF($AS273="","",INDEX('TMP Paste'!$J$2:$J$1601,$AS273))</f>
        <v/>
      </c>
      <c r="R273" t="str">
        <f>IF($AS273="","",Config!$B$24)</f>
        <v/>
      </c>
      <c r="S273" t="str">
        <f ca="1">IF($AS273="","",TEXT(Config!$B$4,"yyyy-mm-dd"))</f>
        <v/>
      </c>
      <c r="T273" t="str">
        <f>IF($AS273="","",Config!$B$17)</f>
        <v/>
      </c>
      <c r="U273" t="str">
        <f>IF($AS273="","",Config!$B$18)</f>
        <v/>
      </c>
      <c r="V273" t="str">
        <f>IF($AS273="","",Config!$B$19)</f>
        <v/>
      </c>
      <c r="W273" t="str">
        <f>IF($AS273="","",INDEX('TMP Paste'!$C$2:$C$1601,$AS273))</f>
        <v/>
      </c>
      <c r="X273" t="str">
        <f>IF($AS273="","",Config!$B$29)</f>
        <v/>
      </c>
      <c r="Y273" t="str">
        <f>IF($AT273="","",INDEX(Calc!$I$2:$I$1601,$AT273)&amp;" - "&amp;INDEX(Calc!$D$2:$D$1601,$AT273)&amp;" koli")</f>
        <v/>
      </c>
      <c r="Z273" t="str">
        <f>IF($AS273="","",Config!$B$21)</f>
        <v/>
      </c>
      <c r="AA273" t="str">
        <f>IF($AS273="","",Config!$B$22)</f>
        <v/>
      </c>
      <c r="AB273" t="str">
        <f>IF($AT273="","",INDEX(Calc!$D$2:$D$1601,$AT273))</f>
        <v/>
      </c>
      <c r="AC273" t="str">
        <f>IF($AT273="","",INDEX(Calc!$G$2:$G$1601,$AT273))</f>
        <v/>
      </c>
      <c r="AD273" t="str">
        <f>IF($AS273="","",Config!$B$23)</f>
        <v/>
      </c>
      <c r="AE273" t="str">
        <f>IF($AS273="","",Config!$B$28)</f>
        <v/>
      </c>
      <c r="AF273" t="str">
        <f t="shared" si="26"/>
        <v/>
      </c>
      <c r="AG273" t="str">
        <f t="shared" si="27"/>
        <v/>
      </c>
      <c r="AH273" t="str">
        <f t="shared" si="28"/>
        <v/>
      </c>
      <c r="AI273" t="str">
        <f>IF($AG273="","",SUMIF($AG$2:$AG273,$AG273,$AH$2:$AH273))</f>
        <v/>
      </c>
      <c r="AJ273" t="str">
        <f>IF('TMP Paste'!$F273="","",IF('TMP Paste'!$B273="",$AJ272,'TMP Paste'!$B273))</f>
        <v/>
      </c>
      <c r="AK273" t="str">
        <f>IF('TMP Paste'!$F273="","",N('TMP Paste'!$G273))</f>
        <v/>
      </c>
      <c r="AL273" t="str">
        <f>IF('TMP Paste'!$F273="","",IF('TMP Paste'!$M273="",$AL272,'TMP Paste'!$M273))</f>
        <v/>
      </c>
      <c r="AM273" t="str">
        <f>IF('TMP Paste'!$F273="","",IF('TMP Paste'!$N273="",$AM272,'TMP Paste'!$N273))</f>
        <v/>
      </c>
      <c r="AN273" t="str">
        <f>IF('TMP Paste'!$F273="","",IF('TMP Paste'!$O273="",$AN272,'TMP Paste'!$O273))</f>
        <v/>
      </c>
      <c r="AO273" t="str">
        <f>IF('TMP Paste'!$F273="","",IF('TMP Paste'!$P273="",$AO272,'TMP Paste'!$P273))</f>
        <v/>
      </c>
      <c r="AP273" t="str">
        <f t="shared" si="29"/>
        <v/>
      </c>
      <c r="AQ273" t="str">
        <f>IF($AS273="","",TRIM(IF(COUNTIFS(Calc!$B$2:$B$1601,ROW()-1,Calc!$C$2:$C$1601,"&lt;1")&gt;0,"Ada PO tanpa Koli - cek TMP. ","")&amp;IF(OR($AU273="",$AU273&lt;=0),"Volume kosong/0 - dimensi dikosongkan. ","")&amp;IF(AND($AU273&lt;&gt;"",$AU273&gt;=1000000),"Volume &gt;= 1.000.000 cm3 (di luar aturan) - dimensi dikosongkan. ","")&amp;IF(LEN($R273)&gt;500,"R &gt; 500 karakter.","")))</f>
        <v/>
      </c>
      <c r="AS273" t="str">
        <f>IFERROR(MATCH(ROW()-1,Calc!$J$2:$J$1601,0),"")</f>
        <v/>
      </c>
      <c r="AT273" t="str">
        <f>IFERROR(MATCH(ROW()-1,Calc!$K$2:$K$1601,0),"")</f>
        <v/>
      </c>
      <c r="AU273" t="str">
        <f>IF($AS273="","",IFERROR(INDEX('TMP Paste'!$D$2:$D$1601,$AS273)*1000000/$AB273,""))</f>
        <v/>
      </c>
    </row>
    <row r="274" spans="1:47">
      <c r="A274" t="str">
        <f>IF($AS274="","",INDEX('TMP Paste'!$B$2:$B$1601,$AS274))</f>
        <v/>
      </c>
      <c r="B274" t="str">
        <f>IF($AS274="","",Config!$B$14)</f>
        <v/>
      </c>
      <c r="C274" t="str">
        <f>IF($AS274="","",Config!$B$15)</f>
        <v/>
      </c>
      <c r="D274" t="str">
        <f>IF($AS274="","",INDEX('TMP Paste'!$B$2:$B$1601,$AS274))</f>
        <v/>
      </c>
      <c r="E274" t="str">
        <f>IF($AS274="","",Config!$B$27)</f>
        <v/>
      </c>
      <c r="F274" t="str">
        <f>IF($AS274="","",Config!$B$9)</f>
        <v/>
      </c>
      <c r="G274" t="str">
        <f>IF($AS274="","",Config!$B$10)</f>
        <v/>
      </c>
      <c r="H274" t="str">
        <f>IF($AS274="","",Config!$B$11)</f>
        <v/>
      </c>
      <c r="I274" t="str">
        <f>IF($AS274="","",Config!$B$16)</f>
        <v/>
      </c>
      <c r="J274" t="str">
        <f>IF($AS274="","",INDEX('TMP Paste'!$A$2:$A$1601,$AS274))</f>
        <v/>
      </c>
      <c r="K274" t="str">
        <f>IF($AS274="","",INDEX('TMP Paste'!$L$2:$L$1601,$AS274))</f>
        <v/>
      </c>
      <c r="L274" t="str">
        <f>IF($AS274="","",INDEX('TMP Paste'!$I$2:$I$1601,$AS274))</f>
        <v/>
      </c>
      <c r="M274" t="str">
        <f>IF($AS274="","",Config!$B$16)</f>
        <v/>
      </c>
      <c r="N274" t="str">
        <f t="shared" si="24"/>
        <v/>
      </c>
      <c r="O274" t="str">
        <f>IF($AS274="","",INDEX('TMP Paste'!$K$2:$K$1601,$AS274))</f>
        <v/>
      </c>
      <c r="P274" t="str">
        <f t="shared" si="25"/>
        <v/>
      </c>
      <c r="Q274" t="str">
        <f>IF($AS274="","",INDEX('TMP Paste'!$J$2:$J$1601,$AS274))</f>
        <v/>
      </c>
      <c r="R274" t="str">
        <f>IF($AS274="","",Config!$B$24)</f>
        <v/>
      </c>
      <c r="S274" t="str">
        <f ca="1">IF($AS274="","",TEXT(Config!$B$4,"yyyy-mm-dd"))</f>
        <v/>
      </c>
      <c r="T274" t="str">
        <f>IF($AS274="","",Config!$B$17)</f>
        <v/>
      </c>
      <c r="U274" t="str">
        <f>IF($AS274="","",Config!$B$18)</f>
        <v/>
      </c>
      <c r="V274" t="str">
        <f>IF($AS274="","",Config!$B$19)</f>
        <v/>
      </c>
      <c r="W274" t="str">
        <f>IF($AS274="","",INDEX('TMP Paste'!$C$2:$C$1601,$AS274))</f>
        <v/>
      </c>
      <c r="X274" t="str">
        <f>IF($AS274="","",Config!$B$29)</f>
        <v/>
      </c>
      <c r="Y274" t="str">
        <f>IF($AT274="","",INDEX(Calc!$I$2:$I$1601,$AT274)&amp;" - "&amp;INDEX(Calc!$D$2:$D$1601,$AT274)&amp;" koli")</f>
        <v/>
      </c>
      <c r="Z274" t="str">
        <f>IF($AS274="","",Config!$B$21)</f>
        <v/>
      </c>
      <c r="AA274" t="str">
        <f>IF($AS274="","",Config!$B$22)</f>
        <v/>
      </c>
      <c r="AB274" t="str">
        <f>IF($AT274="","",INDEX(Calc!$D$2:$D$1601,$AT274))</f>
        <v/>
      </c>
      <c r="AC274" t="str">
        <f>IF($AT274="","",INDEX(Calc!$G$2:$G$1601,$AT274))</f>
        <v/>
      </c>
      <c r="AD274" t="str">
        <f>IF($AS274="","",Config!$B$23)</f>
        <v/>
      </c>
      <c r="AE274" t="str">
        <f>IF($AS274="","",Config!$B$28)</f>
        <v/>
      </c>
      <c r="AF274" t="str">
        <f t="shared" si="26"/>
        <v/>
      </c>
      <c r="AG274" t="str">
        <f t="shared" si="27"/>
        <v/>
      </c>
      <c r="AH274" t="str">
        <f t="shared" si="28"/>
        <v/>
      </c>
      <c r="AI274" t="str">
        <f>IF($AG274="","",SUMIF($AG$2:$AG274,$AG274,$AH$2:$AH274))</f>
        <v/>
      </c>
      <c r="AJ274" t="str">
        <f>IF('TMP Paste'!$F274="","",IF('TMP Paste'!$B274="",$AJ273,'TMP Paste'!$B274))</f>
        <v/>
      </c>
      <c r="AK274" t="str">
        <f>IF('TMP Paste'!$F274="","",N('TMP Paste'!$G274))</f>
        <v/>
      </c>
      <c r="AL274" t="str">
        <f>IF('TMP Paste'!$F274="","",IF('TMP Paste'!$M274="",$AL273,'TMP Paste'!$M274))</f>
        <v/>
      </c>
      <c r="AM274" t="str">
        <f>IF('TMP Paste'!$F274="","",IF('TMP Paste'!$N274="",$AM273,'TMP Paste'!$N274))</f>
        <v/>
      </c>
      <c r="AN274" t="str">
        <f>IF('TMP Paste'!$F274="","",IF('TMP Paste'!$O274="",$AN273,'TMP Paste'!$O274))</f>
        <v/>
      </c>
      <c r="AO274" t="str">
        <f>IF('TMP Paste'!$F274="","",IF('TMP Paste'!$P274="",$AO273,'TMP Paste'!$P274))</f>
        <v/>
      </c>
      <c r="AP274" t="str">
        <f t="shared" si="29"/>
        <v/>
      </c>
      <c r="AQ274" t="str">
        <f>IF($AS274="","",TRIM(IF(COUNTIFS(Calc!$B$2:$B$1601,ROW()-1,Calc!$C$2:$C$1601,"&lt;1")&gt;0,"Ada PO tanpa Koli - cek TMP. ","")&amp;IF(OR($AU274="",$AU274&lt;=0),"Volume kosong/0 - dimensi dikosongkan. ","")&amp;IF(AND($AU274&lt;&gt;"",$AU274&gt;=1000000),"Volume &gt;= 1.000.000 cm3 (di luar aturan) - dimensi dikosongkan. ","")&amp;IF(LEN($R274)&gt;500,"R &gt; 500 karakter.","")))</f>
        <v/>
      </c>
      <c r="AS274" t="str">
        <f>IFERROR(MATCH(ROW()-1,Calc!$J$2:$J$1601,0),"")</f>
        <v/>
      </c>
      <c r="AT274" t="str">
        <f>IFERROR(MATCH(ROW()-1,Calc!$K$2:$K$1601,0),"")</f>
        <v/>
      </c>
      <c r="AU274" t="str">
        <f>IF($AS274="","",IFERROR(INDEX('TMP Paste'!$D$2:$D$1601,$AS274)*1000000/$AB274,""))</f>
        <v/>
      </c>
    </row>
    <row r="275" spans="1:47">
      <c r="A275" t="str">
        <f>IF($AS275="","",INDEX('TMP Paste'!$B$2:$B$1601,$AS275))</f>
        <v/>
      </c>
      <c r="B275" t="str">
        <f>IF($AS275="","",Config!$B$14)</f>
        <v/>
      </c>
      <c r="C275" t="str">
        <f>IF($AS275="","",Config!$B$15)</f>
        <v/>
      </c>
      <c r="D275" t="str">
        <f>IF($AS275="","",INDEX('TMP Paste'!$B$2:$B$1601,$AS275))</f>
        <v/>
      </c>
      <c r="E275" t="str">
        <f>IF($AS275="","",Config!$B$27)</f>
        <v/>
      </c>
      <c r="F275" t="str">
        <f>IF($AS275="","",Config!$B$9)</f>
        <v/>
      </c>
      <c r="G275" t="str">
        <f>IF($AS275="","",Config!$B$10)</f>
        <v/>
      </c>
      <c r="H275" t="str">
        <f>IF($AS275="","",Config!$B$11)</f>
        <v/>
      </c>
      <c r="I275" t="str">
        <f>IF($AS275="","",Config!$B$16)</f>
        <v/>
      </c>
      <c r="J275" t="str">
        <f>IF($AS275="","",INDEX('TMP Paste'!$A$2:$A$1601,$AS275))</f>
        <v/>
      </c>
      <c r="K275" t="str">
        <f>IF($AS275="","",INDEX('TMP Paste'!$L$2:$L$1601,$AS275))</f>
        <v/>
      </c>
      <c r="L275" t="str">
        <f>IF($AS275="","",INDEX('TMP Paste'!$I$2:$I$1601,$AS275))</f>
        <v/>
      </c>
      <c r="M275" t="str">
        <f>IF($AS275="","",Config!$B$16)</f>
        <v/>
      </c>
      <c r="N275" t="str">
        <f t="shared" si="24"/>
        <v/>
      </c>
      <c r="O275" t="str">
        <f>IF($AS275="","",INDEX('TMP Paste'!$K$2:$K$1601,$AS275))</f>
        <v/>
      </c>
      <c r="P275" t="str">
        <f t="shared" si="25"/>
        <v/>
      </c>
      <c r="Q275" t="str">
        <f>IF($AS275="","",INDEX('TMP Paste'!$J$2:$J$1601,$AS275))</f>
        <v/>
      </c>
      <c r="R275" t="str">
        <f>IF($AS275="","",Config!$B$24)</f>
        <v/>
      </c>
      <c r="S275" t="str">
        <f ca="1">IF($AS275="","",TEXT(Config!$B$4,"yyyy-mm-dd"))</f>
        <v/>
      </c>
      <c r="T275" t="str">
        <f>IF($AS275="","",Config!$B$17)</f>
        <v/>
      </c>
      <c r="U275" t="str">
        <f>IF($AS275="","",Config!$B$18)</f>
        <v/>
      </c>
      <c r="V275" t="str">
        <f>IF($AS275="","",Config!$B$19)</f>
        <v/>
      </c>
      <c r="W275" t="str">
        <f>IF($AS275="","",INDEX('TMP Paste'!$C$2:$C$1601,$AS275))</f>
        <v/>
      </c>
      <c r="X275" t="str">
        <f>IF($AS275="","",Config!$B$29)</f>
        <v/>
      </c>
      <c r="Y275" t="str">
        <f>IF($AT275="","",INDEX(Calc!$I$2:$I$1601,$AT275)&amp;" - "&amp;INDEX(Calc!$D$2:$D$1601,$AT275)&amp;" koli")</f>
        <v/>
      </c>
      <c r="Z275" t="str">
        <f>IF($AS275="","",Config!$B$21)</f>
        <v/>
      </c>
      <c r="AA275" t="str">
        <f>IF($AS275="","",Config!$B$22)</f>
        <v/>
      </c>
      <c r="AB275" t="str">
        <f>IF($AT275="","",INDEX(Calc!$D$2:$D$1601,$AT275))</f>
        <v/>
      </c>
      <c r="AC275" t="str">
        <f>IF($AT275="","",INDEX(Calc!$G$2:$G$1601,$AT275))</f>
        <v/>
      </c>
      <c r="AD275" t="str">
        <f>IF($AS275="","",Config!$B$23)</f>
        <v/>
      </c>
      <c r="AE275" t="str">
        <f>IF($AS275="","",Config!$B$28)</f>
        <v/>
      </c>
      <c r="AF275" t="str">
        <f t="shared" si="26"/>
        <v/>
      </c>
      <c r="AG275" t="str">
        <f t="shared" si="27"/>
        <v/>
      </c>
      <c r="AH275" t="str">
        <f t="shared" si="28"/>
        <v/>
      </c>
      <c r="AI275" t="str">
        <f>IF($AG275="","",SUMIF($AG$2:$AG275,$AG275,$AH$2:$AH275))</f>
        <v/>
      </c>
      <c r="AJ275" t="str">
        <f>IF('TMP Paste'!$F275="","",IF('TMP Paste'!$B275="",$AJ274,'TMP Paste'!$B275))</f>
        <v/>
      </c>
      <c r="AK275" t="str">
        <f>IF('TMP Paste'!$F275="","",N('TMP Paste'!$G275))</f>
        <v/>
      </c>
      <c r="AL275" t="str">
        <f>IF('TMP Paste'!$F275="","",IF('TMP Paste'!$M275="",$AL274,'TMP Paste'!$M275))</f>
        <v/>
      </c>
      <c r="AM275" t="str">
        <f>IF('TMP Paste'!$F275="","",IF('TMP Paste'!$N275="",$AM274,'TMP Paste'!$N275))</f>
        <v/>
      </c>
      <c r="AN275" t="str">
        <f>IF('TMP Paste'!$F275="","",IF('TMP Paste'!$O275="",$AN274,'TMP Paste'!$O275))</f>
        <v/>
      </c>
      <c r="AO275" t="str">
        <f>IF('TMP Paste'!$F275="","",IF('TMP Paste'!$P275="",$AO274,'TMP Paste'!$P275))</f>
        <v/>
      </c>
      <c r="AP275" t="str">
        <f t="shared" si="29"/>
        <v/>
      </c>
      <c r="AQ275" t="str">
        <f>IF($AS275="","",TRIM(IF(COUNTIFS(Calc!$B$2:$B$1601,ROW()-1,Calc!$C$2:$C$1601,"&lt;1")&gt;0,"Ada PO tanpa Koli - cek TMP. ","")&amp;IF(OR($AU275="",$AU275&lt;=0),"Volume kosong/0 - dimensi dikosongkan. ","")&amp;IF(AND($AU275&lt;&gt;"",$AU275&gt;=1000000),"Volume &gt;= 1.000.000 cm3 (di luar aturan) - dimensi dikosongkan. ","")&amp;IF(LEN($R275)&gt;500,"R &gt; 500 karakter.","")))</f>
        <v/>
      </c>
      <c r="AS275" t="str">
        <f>IFERROR(MATCH(ROW()-1,Calc!$J$2:$J$1601,0),"")</f>
        <v/>
      </c>
      <c r="AT275" t="str">
        <f>IFERROR(MATCH(ROW()-1,Calc!$K$2:$K$1601,0),"")</f>
        <v/>
      </c>
      <c r="AU275" t="str">
        <f>IF($AS275="","",IFERROR(INDEX('TMP Paste'!$D$2:$D$1601,$AS275)*1000000/$AB275,""))</f>
        <v/>
      </c>
    </row>
    <row r="276" spans="1:47">
      <c r="A276" t="str">
        <f>IF($AS276="","",INDEX('TMP Paste'!$B$2:$B$1601,$AS276))</f>
        <v/>
      </c>
      <c r="B276" t="str">
        <f>IF($AS276="","",Config!$B$14)</f>
        <v/>
      </c>
      <c r="C276" t="str">
        <f>IF($AS276="","",Config!$B$15)</f>
        <v/>
      </c>
      <c r="D276" t="str">
        <f>IF($AS276="","",INDEX('TMP Paste'!$B$2:$B$1601,$AS276))</f>
        <v/>
      </c>
      <c r="E276" t="str">
        <f>IF($AS276="","",Config!$B$27)</f>
        <v/>
      </c>
      <c r="F276" t="str">
        <f>IF($AS276="","",Config!$B$9)</f>
        <v/>
      </c>
      <c r="G276" t="str">
        <f>IF($AS276="","",Config!$B$10)</f>
        <v/>
      </c>
      <c r="H276" t="str">
        <f>IF($AS276="","",Config!$B$11)</f>
        <v/>
      </c>
      <c r="I276" t="str">
        <f>IF($AS276="","",Config!$B$16)</f>
        <v/>
      </c>
      <c r="J276" t="str">
        <f>IF($AS276="","",INDEX('TMP Paste'!$A$2:$A$1601,$AS276))</f>
        <v/>
      </c>
      <c r="K276" t="str">
        <f>IF($AS276="","",INDEX('TMP Paste'!$L$2:$L$1601,$AS276))</f>
        <v/>
      </c>
      <c r="L276" t="str">
        <f>IF($AS276="","",INDEX('TMP Paste'!$I$2:$I$1601,$AS276))</f>
        <v/>
      </c>
      <c r="M276" t="str">
        <f>IF($AS276="","",Config!$B$16)</f>
        <v/>
      </c>
      <c r="N276" t="str">
        <f t="shared" si="24"/>
        <v/>
      </c>
      <c r="O276" t="str">
        <f>IF($AS276="","",INDEX('TMP Paste'!$K$2:$K$1601,$AS276))</f>
        <v/>
      </c>
      <c r="P276" t="str">
        <f t="shared" si="25"/>
        <v/>
      </c>
      <c r="Q276" t="str">
        <f>IF($AS276="","",INDEX('TMP Paste'!$J$2:$J$1601,$AS276))</f>
        <v/>
      </c>
      <c r="R276" t="str">
        <f>IF($AS276="","",Config!$B$24)</f>
        <v/>
      </c>
      <c r="S276" t="str">
        <f ca="1">IF($AS276="","",TEXT(Config!$B$4,"yyyy-mm-dd"))</f>
        <v/>
      </c>
      <c r="T276" t="str">
        <f>IF($AS276="","",Config!$B$17)</f>
        <v/>
      </c>
      <c r="U276" t="str">
        <f>IF($AS276="","",Config!$B$18)</f>
        <v/>
      </c>
      <c r="V276" t="str">
        <f>IF($AS276="","",Config!$B$19)</f>
        <v/>
      </c>
      <c r="W276" t="str">
        <f>IF($AS276="","",INDEX('TMP Paste'!$C$2:$C$1601,$AS276))</f>
        <v/>
      </c>
      <c r="X276" t="str">
        <f>IF($AS276="","",Config!$B$29)</f>
        <v/>
      </c>
      <c r="Y276" t="str">
        <f>IF($AT276="","",INDEX(Calc!$I$2:$I$1601,$AT276)&amp;" - "&amp;INDEX(Calc!$D$2:$D$1601,$AT276)&amp;" koli")</f>
        <v/>
      </c>
      <c r="Z276" t="str">
        <f>IF($AS276="","",Config!$B$21)</f>
        <v/>
      </c>
      <c r="AA276" t="str">
        <f>IF($AS276="","",Config!$B$22)</f>
        <v/>
      </c>
      <c r="AB276" t="str">
        <f>IF($AT276="","",INDEX(Calc!$D$2:$D$1601,$AT276))</f>
        <v/>
      </c>
      <c r="AC276" t="str">
        <f>IF($AT276="","",INDEX(Calc!$G$2:$G$1601,$AT276))</f>
        <v/>
      </c>
      <c r="AD276" t="str">
        <f>IF($AS276="","",Config!$B$23)</f>
        <v/>
      </c>
      <c r="AE276" t="str">
        <f>IF($AS276="","",Config!$B$28)</f>
        <v/>
      </c>
      <c r="AF276" t="str">
        <f t="shared" si="26"/>
        <v/>
      </c>
      <c r="AG276" t="str">
        <f t="shared" si="27"/>
        <v/>
      </c>
      <c r="AH276" t="str">
        <f t="shared" si="28"/>
        <v/>
      </c>
      <c r="AI276" t="str">
        <f>IF($AG276="","",SUMIF($AG$2:$AG276,$AG276,$AH$2:$AH276))</f>
        <v/>
      </c>
      <c r="AJ276" t="str">
        <f>IF('TMP Paste'!$F276="","",IF('TMP Paste'!$B276="",$AJ275,'TMP Paste'!$B276))</f>
        <v/>
      </c>
      <c r="AK276" t="str">
        <f>IF('TMP Paste'!$F276="","",N('TMP Paste'!$G276))</f>
        <v/>
      </c>
      <c r="AL276" t="str">
        <f>IF('TMP Paste'!$F276="","",IF('TMP Paste'!$M276="",$AL275,'TMP Paste'!$M276))</f>
        <v/>
      </c>
      <c r="AM276" t="str">
        <f>IF('TMP Paste'!$F276="","",IF('TMP Paste'!$N276="",$AM275,'TMP Paste'!$N276))</f>
        <v/>
      </c>
      <c r="AN276" t="str">
        <f>IF('TMP Paste'!$F276="","",IF('TMP Paste'!$O276="",$AN275,'TMP Paste'!$O276))</f>
        <v/>
      </c>
      <c r="AO276" t="str">
        <f>IF('TMP Paste'!$F276="","",IF('TMP Paste'!$P276="",$AO275,'TMP Paste'!$P276))</f>
        <v/>
      </c>
      <c r="AP276" t="str">
        <f t="shared" si="29"/>
        <v/>
      </c>
      <c r="AQ276" t="str">
        <f>IF($AS276="","",TRIM(IF(COUNTIFS(Calc!$B$2:$B$1601,ROW()-1,Calc!$C$2:$C$1601,"&lt;1")&gt;0,"Ada PO tanpa Koli - cek TMP. ","")&amp;IF(OR($AU276="",$AU276&lt;=0),"Volume kosong/0 - dimensi dikosongkan. ","")&amp;IF(AND($AU276&lt;&gt;"",$AU276&gt;=1000000),"Volume &gt;= 1.000.000 cm3 (di luar aturan) - dimensi dikosongkan. ","")&amp;IF(LEN($R276)&gt;500,"R &gt; 500 karakter.","")))</f>
        <v/>
      </c>
      <c r="AS276" t="str">
        <f>IFERROR(MATCH(ROW()-1,Calc!$J$2:$J$1601,0),"")</f>
        <v/>
      </c>
      <c r="AT276" t="str">
        <f>IFERROR(MATCH(ROW()-1,Calc!$K$2:$K$1601,0),"")</f>
        <v/>
      </c>
      <c r="AU276" t="str">
        <f>IF($AS276="","",IFERROR(INDEX('TMP Paste'!$D$2:$D$1601,$AS276)*1000000/$AB276,""))</f>
        <v/>
      </c>
    </row>
    <row r="277" spans="1:47">
      <c r="A277" t="str">
        <f>IF($AS277="","",INDEX('TMP Paste'!$B$2:$B$1601,$AS277))</f>
        <v/>
      </c>
      <c r="B277" t="str">
        <f>IF($AS277="","",Config!$B$14)</f>
        <v/>
      </c>
      <c r="C277" t="str">
        <f>IF($AS277="","",Config!$B$15)</f>
        <v/>
      </c>
      <c r="D277" t="str">
        <f>IF($AS277="","",INDEX('TMP Paste'!$B$2:$B$1601,$AS277))</f>
        <v/>
      </c>
      <c r="E277" t="str">
        <f>IF($AS277="","",Config!$B$27)</f>
        <v/>
      </c>
      <c r="F277" t="str">
        <f>IF($AS277="","",Config!$B$9)</f>
        <v/>
      </c>
      <c r="G277" t="str">
        <f>IF($AS277="","",Config!$B$10)</f>
        <v/>
      </c>
      <c r="H277" t="str">
        <f>IF($AS277="","",Config!$B$11)</f>
        <v/>
      </c>
      <c r="I277" t="str">
        <f>IF($AS277="","",Config!$B$16)</f>
        <v/>
      </c>
      <c r="J277" t="str">
        <f>IF($AS277="","",INDEX('TMP Paste'!$A$2:$A$1601,$AS277))</f>
        <v/>
      </c>
      <c r="K277" t="str">
        <f>IF($AS277="","",INDEX('TMP Paste'!$L$2:$L$1601,$AS277))</f>
        <v/>
      </c>
      <c r="L277" t="str">
        <f>IF($AS277="","",INDEX('TMP Paste'!$I$2:$I$1601,$AS277))</f>
        <v/>
      </c>
      <c r="M277" t="str">
        <f>IF($AS277="","",Config!$B$16)</f>
        <v/>
      </c>
      <c r="N277" t="str">
        <f t="shared" si="24"/>
        <v/>
      </c>
      <c r="O277" t="str">
        <f>IF($AS277="","",INDEX('TMP Paste'!$K$2:$K$1601,$AS277))</f>
        <v/>
      </c>
      <c r="P277" t="str">
        <f t="shared" si="25"/>
        <v/>
      </c>
      <c r="Q277" t="str">
        <f>IF($AS277="","",INDEX('TMP Paste'!$J$2:$J$1601,$AS277))</f>
        <v/>
      </c>
      <c r="R277" t="str">
        <f>IF($AS277="","",Config!$B$24)</f>
        <v/>
      </c>
      <c r="S277" t="str">
        <f ca="1">IF($AS277="","",TEXT(Config!$B$4,"yyyy-mm-dd"))</f>
        <v/>
      </c>
      <c r="T277" t="str">
        <f>IF($AS277="","",Config!$B$17)</f>
        <v/>
      </c>
      <c r="U277" t="str">
        <f>IF($AS277="","",Config!$B$18)</f>
        <v/>
      </c>
      <c r="V277" t="str">
        <f>IF($AS277="","",Config!$B$19)</f>
        <v/>
      </c>
      <c r="W277" t="str">
        <f>IF($AS277="","",INDEX('TMP Paste'!$C$2:$C$1601,$AS277))</f>
        <v/>
      </c>
      <c r="X277" t="str">
        <f>IF($AS277="","",Config!$B$29)</f>
        <v/>
      </c>
      <c r="Y277" t="str">
        <f>IF($AT277="","",INDEX(Calc!$I$2:$I$1601,$AT277)&amp;" - "&amp;INDEX(Calc!$D$2:$D$1601,$AT277)&amp;" koli")</f>
        <v/>
      </c>
      <c r="Z277" t="str">
        <f>IF($AS277="","",Config!$B$21)</f>
        <v/>
      </c>
      <c r="AA277" t="str">
        <f>IF($AS277="","",Config!$B$22)</f>
        <v/>
      </c>
      <c r="AB277" t="str">
        <f>IF($AT277="","",INDEX(Calc!$D$2:$D$1601,$AT277))</f>
        <v/>
      </c>
      <c r="AC277" t="str">
        <f>IF($AT277="","",INDEX(Calc!$G$2:$G$1601,$AT277))</f>
        <v/>
      </c>
      <c r="AD277" t="str">
        <f>IF($AS277="","",Config!$B$23)</f>
        <v/>
      </c>
      <c r="AE277" t="str">
        <f>IF($AS277="","",Config!$B$28)</f>
        <v/>
      </c>
      <c r="AF277" t="str">
        <f t="shared" si="26"/>
        <v/>
      </c>
      <c r="AG277" t="str">
        <f t="shared" si="27"/>
        <v/>
      </c>
      <c r="AH277" t="str">
        <f t="shared" si="28"/>
        <v/>
      </c>
      <c r="AI277" t="str">
        <f>IF($AG277="","",SUMIF($AG$2:$AG277,$AG277,$AH$2:$AH277))</f>
        <v/>
      </c>
      <c r="AJ277" t="str">
        <f>IF('TMP Paste'!$F277="","",IF('TMP Paste'!$B277="",$AJ276,'TMP Paste'!$B277))</f>
        <v/>
      </c>
      <c r="AK277" t="str">
        <f>IF('TMP Paste'!$F277="","",N('TMP Paste'!$G277))</f>
        <v/>
      </c>
      <c r="AL277" t="str">
        <f>IF('TMP Paste'!$F277="","",IF('TMP Paste'!$M277="",$AL276,'TMP Paste'!$M277))</f>
        <v/>
      </c>
      <c r="AM277" t="str">
        <f>IF('TMP Paste'!$F277="","",IF('TMP Paste'!$N277="",$AM276,'TMP Paste'!$N277))</f>
        <v/>
      </c>
      <c r="AN277" t="str">
        <f>IF('TMP Paste'!$F277="","",IF('TMP Paste'!$O277="",$AN276,'TMP Paste'!$O277))</f>
        <v/>
      </c>
      <c r="AO277" t="str">
        <f>IF('TMP Paste'!$F277="","",IF('TMP Paste'!$P277="",$AO276,'TMP Paste'!$P277))</f>
        <v/>
      </c>
      <c r="AP277" t="str">
        <f t="shared" si="29"/>
        <v/>
      </c>
      <c r="AQ277" t="str">
        <f>IF($AS277="","",TRIM(IF(COUNTIFS(Calc!$B$2:$B$1601,ROW()-1,Calc!$C$2:$C$1601,"&lt;1")&gt;0,"Ada PO tanpa Koli - cek TMP. ","")&amp;IF(OR($AU277="",$AU277&lt;=0),"Volume kosong/0 - dimensi dikosongkan. ","")&amp;IF(AND($AU277&lt;&gt;"",$AU277&gt;=1000000),"Volume &gt;= 1.000.000 cm3 (di luar aturan) - dimensi dikosongkan. ","")&amp;IF(LEN($R277)&gt;500,"R &gt; 500 karakter.","")))</f>
        <v/>
      </c>
      <c r="AS277" t="str">
        <f>IFERROR(MATCH(ROW()-1,Calc!$J$2:$J$1601,0),"")</f>
        <v/>
      </c>
      <c r="AT277" t="str">
        <f>IFERROR(MATCH(ROW()-1,Calc!$K$2:$K$1601,0),"")</f>
        <v/>
      </c>
      <c r="AU277" t="str">
        <f>IF($AS277="","",IFERROR(INDEX('TMP Paste'!$D$2:$D$1601,$AS277)*1000000/$AB277,""))</f>
        <v/>
      </c>
    </row>
    <row r="278" spans="1:47">
      <c r="A278" t="str">
        <f>IF($AS278="","",INDEX('TMP Paste'!$B$2:$B$1601,$AS278))</f>
        <v/>
      </c>
      <c r="B278" t="str">
        <f>IF($AS278="","",Config!$B$14)</f>
        <v/>
      </c>
      <c r="C278" t="str">
        <f>IF($AS278="","",Config!$B$15)</f>
        <v/>
      </c>
      <c r="D278" t="str">
        <f>IF($AS278="","",INDEX('TMP Paste'!$B$2:$B$1601,$AS278))</f>
        <v/>
      </c>
      <c r="E278" t="str">
        <f>IF($AS278="","",Config!$B$27)</f>
        <v/>
      </c>
      <c r="F278" t="str">
        <f>IF($AS278="","",Config!$B$9)</f>
        <v/>
      </c>
      <c r="G278" t="str">
        <f>IF($AS278="","",Config!$B$10)</f>
        <v/>
      </c>
      <c r="H278" t="str">
        <f>IF($AS278="","",Config!$B$11)</f>
        <v/>
      </c>
      <c r="I278" t="str">
        <f>IF($AS278="","",Config!$B$16)</f>
        <v/>
      </c>
      <c r="J278" t="str">
        <f>IF($AS278="","",INDEX('TMP Paste'!$A$2:$A$1601,$AS278))</f>
        <v/>
      </c>
      <c r="K278" t="str">
        <f>IF($AS278="","",INDEX('TMP Paste'!$L$2:$L$1601,$AS278))</f>
        <v/>
      </c>
      <c r="L278" t="str">
        <f>IF($AS278="","",INDEX('TMP Paste'!$I$2:$I$1601,$AS278))</f>
        <v/>
      </c>
      <c r="M278" t="str">
        <f>IF($AS278="","",Config!$B$16)</f>
        <v/>
      </c>
      <c r="N278" t="str">
        <f t="shared" si="24"/>
        <v/>
      </c>
      <c r="O278" t="str">
        <f>IF($AS278="","",INDEX('TMP Paste'!$K$2:$K$1601,$AS278))</f>
        <v/>
      </c>
      <c r="P278" t="str">
        <f t="shared" si="25"/>
        <v/>
      </c>
      <c r="Q278" t="str">
        <f>IF($AS278="","",INDEX('TMP Paste'!$J$2:$J$1601,$AS278))</f>
        <v/>
      </c>
      <c r="R278" t="str">
        <f>IF($AS278="","",Config!$B$24)</f>
        <v/>
      </c>
      <c r="S278" t="str">
        <f ca="1">IF($AS278="","",TEXT(Config!$B$4,"yyyy-mm-dd"))</f>
        <v/>
      </c>
      <c r="T278" t="str">
        <f>IF($AS278="","",Config!$B$17)</f>
        <v/>
      </c>
      <c r="U278" t="str">
        <f>IF($AS278="","",Config!$B$18)</f>
        <v/>
      </c>
      <c r="V278" t="str">
        <f>IF($AS278="","",Config!$B$19)</f>
        <v/>
      </c>
      <c r="W278" t="str">
        <f>IF($AS278="","",INDEX('TMP Paste'!$C$2:$C$1601,$AS278))</f>
        <v/>
      </c>
      <c r="X278" t="str">
        <f>IF($AS278="","",Config!$B$29)</f>
        <v/>
      </c>
      <c r="Y278" t="str">
        <f>IF($AT278="","",INDEX(Calc!$I$2:$I$1601,$AT278)&amp;" - "&amp;INDEX(Calc!$D$2:$D$1601,$AT278)&amp;" koli")</f>
        <v/>
      </c>
      <c r="Z278" t="str">
        <f>IF($AS278="","",Config!$B$21)</f>
        <v/>
      </c>
      <c r="AA278" t="str">
        <f>IF($AS278="","",Config!$B$22)</f>
        <v/>
      </c>
      <c r="AB278" t="str">
        <f>IF($AT278="","",INDEX(Calc!$D$2:$D$1601,$AT278))</f>
        <v/>
      </c>
      <c r="AC278" t="str">
        <f>IF($AT278="","",INDEX(Calc!$G$2:$G$1601,$AT278))</f>
        <v/>
      </c>
      <c r="AD278" t="str">
        <f>IF($AS278="","",Config!$B$23)</f>
        <v/>
      </c>
      <c r="AE278" t="str">
        <f>IF($AS278="","",Config!$B$28)</f>
        <v/>
      </c>
      <c r="AF278" t="str">
        <f t="shared" si="26"/>
        <v/>
      </c>
      <c r="AG278" t="str">
        <f t="shared" si="27"/>
        <v/>
      </c>
      <c r="AH278" t="str">
        <f t="shared" si="28"/>
        <v/>
      </c>
      <c r="AI278" t="str">
        <f>IF($AG278="","",SUMIF($AG$2:$AG278,$AG278,$AH$2:$AH278))</f>
        <v/>
      </c>
      <c r="AJ278" t="str">
        <f>IF('TMP Paste'!$F278="","",IF('TMP Paste'!$B278="",$AJ277,'TMP Paste'!$B278))</f>
        <v/>
      </c>
      <c r="AK278" t="str">
        <f>IF('TMP Paste'!$F278="","",N('TMP Paste'!$G278))</f>
        <v/>
      </c>
      <c r="AL278" t="str">
        <f>IF('TMP Paste'!$F278="","",IF('TMP Paste'!$M278="",$AL277,'TMP Paste'!$M278))</f>
        <v/>
      </c>
      <c r="AM278" t="str">
        <f>IF('TMP Paste'!$F278="","",IF('TMP Paste'!$N278="",$AM277,'TMP Paste'!$N278))</f>
        <v/>
      </c>
      <c r="AN278" t="str">
        <f>IF('TMP Paste'!$F278="","",IF('TMP Paste'!$O278="",$AN277,'TMP Paste'!$O278))</f>
        <v/>
      </c>
      <c r="AO278" t="str">
        <f>IF('TMP Paste'!$F278="","",IF('TMP Paste'!$P278="",$AO277,'TMP Paste'!$P278))</f>
        <v/>
      </c>
      <c r="AP278" t="str">
        <f t="shared" si="29"/>
        <v/>
      </c>
      <c r="AQ278" t="str">
        <f>IF($AS278="","",TRIM(IF(COUNTIFS(Calc!$B$2:$B$1601,ROW()-1,Calc!$C$2:$C$1601,"&lt;1")&gt;0,"Ada PO tanpa Koli - cek TMP. ","")&amp;IF(OR($AU278="",$AU278&lt;=0),"Volume kosong/0 - dimensi dikosongkan. ","")&amp;IF(AND($AU278&lt;&gt;"",$AU278&gt;=1000000),"Volume &gt;= 1.000.000 cm3 (di luar aturan) - dimensi dikosongkan. ","")&amp;IF(LEN($R278)&gt;500,"R &gt; 500 karakter.","")))</f>
        <v/>
      </c>
      <c r="AS278" t="str">
        <f>IFERROR(MATCH(ROW()-1,Calc!$J$2:$J$1601,0),"")</f>
        <v/>
      </c>
      <c r="AT278" t="str">
        <f>IFERROR(MATCH(ROW()-1,Calc!$K$2:$K$1601,0),"")</f>
        <v/>
      </c>
      <c r="AU278" t="str">
        <f>IF($AS278="","",IFERROR(INDEX('TMP Paste'!$D$2:$D$1601,$AS278)*1000000/$AB278,""))</f>
        <v/>
      </c>
    </row>
    <row r="279" spans="1:47">
      <c r="A279" t="str">
        <f>IF($AS279="","",INDEX('TMP Paste'!$B$2:$B$1601,$AS279))</f>
        <v/>
      </c>
      <c r="B279" t="str">
        <f>IF($AS279="","",Config!$B$14)</f>
        <v/>
      </c>
      <c r="C279" t="str">
        <f>IF($AS279="","",Config!$B$15)</f>
        <v/>
      </c>
      <c r="D279" t="str">
        <f>IF($AS279="","",INDEX('TMP Paste'!$B$2:$B$1601,$AS279))</f>
        <v/>
      </c>
      <c r="E279" t="str">
        <f>IF($AS279="","",Config!$B$27)</f>
        <v/>
      </c>
      <c r="F279" t="str">
        <f>IF($AS279="","",Config!$B$9)</f>
        <v/>
      </c>
      <c r="G279" t="str">
        <f>IF($AS279="","",Config!$B$10)</f>
        <v/>
      </c>
      <c r="H279" t="str">
        <f>IF($AS279="","",Config!$B$11)</f>
        <v/>
      </c>
      <c r="I279" t="str">
        <f>IF($AS279="","",Config!$B$16)</f>
        <v/>
      </c>
      <c r="J279" t="str">
        <f>IF($AS279="","",INDEX('TMP Paste'!$A$2:$A$1601,$AS279))</f>
        <v/>
      </c>
      <c r="K279" t="str">
        <f>IF($AS279="","",INDEX('TMP Paste'!$L$2:$L$1601,$AS279))</f>
        <v/>
      </c>
      <c r="L279" t="str">
        <f>IF($AS279="","",INDEX('TMP Paste'!$I$2:$I$1601,$AS279))</f>
        <v/>
      </c>
      <c r="M279" t="str">
        <f>IF($AS279="","",Config!$B$16)</f>
        <v/>
      </c>
      <c r="N279" t="str">
        <f t="shared" si="24"/>
        <v/>
      </c>
      <c r="O279" t="str">
        <f>IF($AS279="","",INDEX('TMP Paste'!$K$2:$K$1601,$AS279))</f>
        <v/>
      </c>
      <c r="P279" t="str">
        <f t="shared" si="25"/>
        <v/>
      </c>
      <c r="Q279" t="str">
        <f>IF($AS279="","",INDEX('TMP Paste'!$J$2:$J$1601,$AS279))</f>
        <v/>
      </c>
      <c r="R279" t="str">
        <f>IF($AS279="","",Config!$B$24)</f>
        <v/>
      </c>
      <c r="S279" t="str">
        <f ca="1">IF($AS279="","",TEXT(Config!$B$4,"yyyy-mm-dd"))</f>
        <v/>
      </c>
      <c r="T279" t="str">
        <f>IF($AS279="","",Config!$B$17)</f>
        <v/>
      </c>
      <c r="U279" t="str">
        <f>IF($AS279="","",Config!$B$18)</f>
        <v/>
      </c>
      <c r="V279" t="str">
        <f>IF($AS279="","",Config!$B$19)</f>
        <v/>
      </c>
      <c r="W279" t="str">
        <f>IF($AS279="","",INDEX('TMP Paste'!$C$2:$C$1601,$AS279))</f>
        <v/>
      </c>
      <c r="X279" t="str">
        <f>IF($AS279="","",Config!$B$29)</f>
        <v/>
      </c>
      <c r="Y279" t="str">
        <f>IF($AT279="","",INDEX(Calc!$I$2:$I$1601,$AT279)&amp;" - "&amp;INDEX(Calc!$D$2:$D$1601,$AT279)&amp;" koli")</f>
        <v/>
      </c>
      <c r="Z279" t="str">
        <f>IF($AS279="","",Config!$B$21)</f>
        <v/>
      </c>
      <c r="AA279" t="str">
        <f>IF($AS279="","",Config!$B$22)</f>
        <v/>
      </c>
      <c r="AB279" t="str">
        <f>IF($AT279="","",INDEX(Calc!$D$2:$D$1601,$AT279))</f>
        <v/>
      </c>
      <c r="AC279" t="str">
        <f>IF($AT279="","",INDEX(Calc!$G$2:$G$1601,$AT279))</f>
        <v/>
      </c>
      <c r="AD279" t="str">
        <f>IF($AS279="","",Config!$B$23)</f>
        <v/>
      </c>
      <c r="AE279" t="str">
        <f>IF($AS279="","",Config!$B$28)</f>
        <v/>
      </c>
      <c r="AF279" t="str">
        <f t="shared" si="26"/>
        <v/>
      </c>
      <c r="AG279" t="str">
        <f t="shared" si="27"/>
        <v/>
      </c>
      <c r="AH279" t="str">
        <f t="shared" si="28"/>
        <v/>
      </c>
      <c r="AI279" t="str">
        <f>IF($AG279="","",SUMIF($AG$2:$AG279,$AG279,$AH$2:$AH279))</f>
        <v/>
      </c>
      <c r="AJ279" t="str">
        <f>IF('TMP Paste'!$F279="","",IF('TMP Paste'!$B279="",$AJ278,'TMP Paste'!$B279))</f>
        <v/>
      </c>
      <c r="AK279" t="str">
        <f>IF('TMP Paste'!$F279="","",N('TMP Paste'!$G279))</f>
        <v/>
      </c>
      <c r="AL279" t="str">
        <f>IF('TMP Paste'!$F279="","",IF('TMP Paste'!$M279="",$AL278,'TMP Paste'!$M279))</f>
        <v/>
      </c>
      <c r="AM279" t="str">
        <f>IF('TMP Paste'!$F279="","",IF('TMP Paste'!$N279="",$AM278,'TMP Paste'!$N279))</f>
        <v/>
      </c>
      <c r="AN279" t="str">
        <f>IF('TMP Paste'!$F279="","",IF('TMP Paste'!$O279="",$AN278,'TMP Paste'!$O279))</f>
        <v/>
      </c>
      <c r="AO279" t="str">
        <f>IF('TMP Paste'!$F279="","",IF('TMP Paste'!$P279="",$AO278,'TMP Paste'!$P279))</f>
        <v/>
      </c>
      <c r="AP279" t="str">
        <f t="shared" si="29"/>
        <v/>
      </c>
      <c r="AQ279" t="str">
        <f>IF($AS279="","",TRIM(IF(COUNTIFS(Calc!$B$2:$B$1601,ROW()-1,Calc!$C$2:$C$1601,"&lt;1")&gt;0,"Ada PO tanpa Koli - cek TMP. ","")&amp;IF(OR($AU279="",$AU279&lt;=0),"Volume kosong/0 - dimensi dikosongkan. ","")&amp;IF(AND($AU279&lt;&gt;"",$AU279&gt;=1000000),"Volume &gt;= 1.000.000 cm3 (di luar aturan) - dimensi dikosongkan. ","")&amp;IF(LEN($R279)&gt;500,"R &gt; 500 karakter.","")))</f>
        <v/>
      </c>
      <c r="AS279" t="str">
        <f>IFERROR(MATCH(ROW()-1,Calc!$J$2:$J$1601,0),"")</f>
        <v/>
      </c>
      <c r="AT279" t="str">
        <f>IFERROR(MATCH(ROW()-1,Calc!$K$2:$K$1601,0),"")</f>
        <v/>
      </c>
      <c r="AU279" t="str">
        <f>IF($AS279="","",IFERROR(INDEX('TMP Paste'!$D$2:$D$1601,$AS279)*1000000/$AB279,""))</f>
        <v/>
      </c>
    </row>
    <row r="280" spans="1:47">
      <c r="A280" t="str">
        <f>IF($AS280="","",INDEX('TMP Paste'!$B$2:$B$1601,$AS280))</f>
        <v/>
      </c>
      <c r="B280" t="str">
        <f>IF($AS280="","",Config!$B$14)</f>
        <v/>
      </c>
      <c r="C280" t="str">
        <f>IF($AS280="","",Config!$B$15)</f>
        <v/>
      </c>
      <c r="D280" t="str">
        <f>IF($AS280="","",INDEX('TMP Paste'!$B$2:$B$1601,$AS280))</f>
        <v/>
      </c>
      <c r="E280" t="str">
        <f>IF($AS280="","",Config!$B$27)</f>
        <v/>
      </c>
      <c r="F280" t="str">
        <f>IF($AS280="","",Config!$B$9)</f>
        <v/>
      </c>
      <c r="G280" t="str">
        <f>IF($AS280="","",Config!$B$10)</f>
        <v/>
      </c>
      <c r="H280" t="str">
        <f>IF($AS280="","",Config!$B$11)</f>
        <v/>
      </c>
      <c r="I280" t="str">
        <f>IF($AS280="","",Config!$B$16)</f>
        <v/>
      </c>
      <c r="J280" t="str">
        <f>IF($AS280="","",INDEX('TMP Paste'!$A$2:$A$1601,$AS280))</f>
        <v/>
      </c>
      <c r="K280" t="str">
        <f>IF($AS280="","",INDEX('TMP Paste'!$L$2:$L$1601,$AS280))</f>
        <v/>
      </c>
      <c r="L280" t="str">
        <f>IF($AS280="","",INDEX('TMP Paste'!$I$2:$I$1601,$AS280))</f>
        <v/>
      </c>
      <c r="M280" t="str">
        <f>IF($AS280="","",Config!$B$16)</f>
        <v/>
      </c>
      <c r="N280" t="str">
        <f t="shared" si="24"/>
        <v/>
      </c>
      <c r="O280" t="str">
        <f>IF($AS280="","",INDEX('TMP Paste'!$K$2:$K$1601,$AS280))</f>
        <v/>
      </c>
      <c r="P280" t="str">
        <f t="shared" si="25"/>
        <v/>
      </c>
      <c r="Q280" t="str">
        <f>IF($AS280="","",INDEX('TMP Paste'!$J$2:$J$1601,$AS280))</f>
        <v/>
      </c>
      <c r="R280" t="str">
        <f>IF($AS280="","",Config!$B$24)</f>
        <v/>
      </c>
      <c r="S280" t="str">
        <f ca="1">IF($AS280="","",TEXT(Config!$B$4,"yyyy-mm-dd"))</f>
        <v/>
      </c>
      <c r="T280" t="str">
        <f>IF($AS280="","",Config!$B$17)</f>
        <v/>
      </c>
      <c r="U280" t="str">
        <f>IF($AS280="","",Config!$B$18)</f>
        <v/>
      </c>
      <c r="V280" t="str">
        <f>IF($AS280="","",Config!$B$19)</f>
        <v/>
      </c>
      <c r="W280" t="str">
        <f>IF($AS280="","",INDEX('TMP Paste'!$C$2:$C$1601,$AS280))</f>
        <v/>
      </c>
      <c r="X280" t="str">
        <f>IF($AS280="","",Config!$B$29)</f>
        <v/>
      </c>
      <c r="Y280" t="str">
        <f>IF($AT280="","",INDEX(Calc!$I$2:$I$1601,$AT280)&amp;" - "&amp;INDEX(Calc!$D$2:$D$1601,$AT280)&amp;" koli")</f>
        <v/>
      </c>
      <c r="Z280" t="str">
        <f>IF($AS280="","",Config!$B$21)</f>
        <v/>
      </c>
      <c r="AA280" t="str">
        <f>IF($AS280="","",Config!$B$22)</f>
        <v/>
      </c>
      <c r="AB280" t="str">
        <f>IF($AT280="","",INDEX(Calc!$D$2:$D$1601,$AT280))</f>
        <v/>
      </c>
      <c r="AC280" t="str">
        <f>IF($AT280="","",INDEX(Calc!$G$2:$G$1601,$AT280))</f>
        <v/>
      </c>
      <c r="AD280" t="str">
        <f>IF($AS280="","",Config!$B$23)</f>
        <v/>
      </c>
      <c r="AE280" t="str">
        <f>IF($AS280="","",Config!$B$28)</f>
        <v/>
      </c>
      <c r="AF280" t="str">
        <f t="shared" si="26"/>
        <v/>
      </c>
      <c r="AG280" t="str">
        <f t="shared" si="27"/>
        <v/>
      </c>
      <c r="AH280" t="str">
        <f t="shared" si="28"/>
        <v/>
      </c>
      <c r="AI280" t="str">
        <f>IF($AG280="","",SUMIF($AG$2:$AG280,$AG280,$AH$2:$AH280))</f>
        <v/>
      </c>
      <c r="AJ280" t="str">
        <f>IF('TMP Paste'!$F280="","",IF('TMP Paste'!$B280="",$AJ279,'TMP Paste'!$B280))</f>
        <v/>
      </c>
      <c r="AK280" t="str">
        <f>IF('TMP Paste'!$F280="","",N('TMP Paste'!$G280))</f>
        <v/>
      </c>
      <c r="AL280" t="str">
        <f>IF('TMP Paste'!$F280="","",IF('TMP Paste'!$M280="",$AL279,'TMP Paste'!$M280))</f>
        <v/>
      </c>
      <c r="AM280" t="str">
        <f>IF('TMP Paste'!$F280="","",IF('TMP Paste'!$N280="",$AM279,'TMP Paste'!$N280))</f>
        <v/>
      </c>
      <c r="AN280" t="str">
        <f>IF('TMP Paste'!$F280="","",IF('TMP Paste'!$O280="",$AN279,'TMP Paste'!$O280))</f>
        <v/>
      </c>
      <c r="AO280" t="str">
        <f>IF('TMP Paste'!$F280="","",IF('TMP Paste'!$P280="",$AO279,'TMP Paste'!$P280))</f>
        <v/>
      </c>
      <c r="AP280" t="str">
        <f t="shared" si="29"/>
        <v/>
      </c>
      <c r="AQ280" t="str">
        <f>IF($AS280="","",TRIM(IF(COUNTIFS(Calc!$B$2:$B$1601,ROW()-1,Calc!$C$2:$C$1601,"&lt;1")&gt;0,"Ada PO tanpa Koli - cek TMP. ","")&amp;IF(OR($AU280="",$AU280&lt;=0),"Volume kosong/0 - dimensi dikosongkan. ","")&amp;IF(AND($AU280&lt;&gt;"",$AU280&gt;=1000000),"Volume &gt;= 1.000.000 cm3 (di luar aturan) - dimensi dikosongkan. ","")&amp;IF(LEN($R280)&gt;500,"R &gt; 500 karakter.","")))</f>
        <v/>
      </c>
      <c r="AS280" t="str">
        <f>IFERROR(MATCH(ROW()-1,Calc!$J$2:$J$1601,0),"")</f>
        <v/>
      </c>
      <c r="AT280" t="str">
        <f>IFERROR(MATCH(ROW()-1,Calc!$K$2:$K$1601,0),"")</f>
        <v/>
      </c>
      <c r="AU280" t="str">
        <f>IF($AS280="","",IFERROR(INDEX('TMP Paste'!$D$2:$D$1601,$AS280)*1000000/$AB280,""))</f>
        <v/>
      </c>
    </row>
    <row r="281" spans="1:47">
      <c r="A281" t="str">
        <f>IF($AS281="","",INDEX('TMP Paste'!$B$2:$B$1601,$AS281))</f>
        <v/>
      </c>
      <c r="B281" t="str">
        <f>IF($AS281="","",Config!$B$14)</f>
        <v/>
      </c>
      <c r="C281" t="str">
        <f>IF($AS281="","",Config!$B$15)</f>
        <v/>
      </c>
      <c r="D281" t="str">
        <f>IF($AS281="","",INDEX('TMP Paste'!$B$2:$B$1601,$AS281))</f>
        <v/>
      </c>
      <c r="E281" t="str">
        <f>IF($AS281="","",Config!$B$27)</f>
        <v/>
      </c>
      <c r="F281" t="str">
        <f>IF($AS281="","",Config!$B$9)</f>
        <v/>
      </c>
      <c r="G281" t="str">
        <f>IF($AS281="","",Config!$B$10)</f>
        <v/>
      </c>
      <c r="H281" t="str">
        <f>IF($AS281="","",Config!$B$11)</f>
        <v/>
      </c>
      <c r="I281" t="str">
        <f>IF($AS281="","",Config!$B$16)</f>
        <v/>
      </c>
      <c r="J281" t="str">
        <f>IF($AS281="","",INDEX('TMP Paste'!$A$2:$A$1601,$AS281))</f>
        <v/>
      </c>
      <c r="K281" t="str">
        <f>IF($AS281="","",INDEX('TMP Paste'!$L$2:$L$1601,$AS281))</f>
        <v/>
      </c>
      <c r="L281" t="str">
        <f>IF($AS281="","",INDEX('TMP Paste'!$I$2:$I$1601,$AS281))</f>
        <v/>
      </c>
      <c r="M281" t="str">
        <f>IF($AS281="","",Config!$B$16)</f>
        <v/>
      </c>
      <c r="N281" t="str">
        <f t="shared" si="24"/>
        <v/>
      </c>
      <c r="O281" t="str">
        <f>IF($AS281="","",INDEX('TMP Paste'!$K$2:$K$1601,$AS281))</f>
        <v/>
      </c>
      <c r="P281" t="str">
        <f t="shared" si="25"/>
        <v/>
      </c>
      <c r="Q281" t="str">
        <f>IF($AS281="","",INDEX('TMP Paste'!$J$2:$J$1601,$AS281))</f>
        <v/>
      </c>
      <c r="R281" t="str">
        <f>IF($AS281="","",Config!$B$24)</f>
        <v/>
      </c>
      <c r="S281" t="str">
        <f ca="1">IF($AS281="","",TEXT(Config!$B$4,"yyyy-mm-dd"))</f>
        <v/>
      </c>
      <c r="T281" t="str">
        <f>IF($AS281="","",Config!$B$17)</f>
        <v/>
      </c>
      <c r="U281" t="str">
        <f>IF($AS281="","",Config!$B$18)</f>
        <v/>
      </c>
      <c r="V281" t="str">
        <f>IF($AS281="","",Config!$B$19)</f>
        <v/>
      </c>
      <c r="W281" t="str">
        <f>IF($AS281="","",INDEX('TMP Paste'!$C$2:$C$1601,$AS281))</f>
        <v/>
      </c>
      <c r="X281" t="str">
        <f>IF($AS281="","",Config!$B$29)</f>
        <v/>
      </c>
      <c r="Y281" t="str">
        <f>IF($AT281="","",INDEX(Calc!$I$2:$I$1601,$AT281)&amp;" - "&amp;INDEX(Calc!$D$2:$D$1601,$AT281)&amp;" koli")</f>
        <v/>
      </c>
      <c r="Z281" t="str">
        <f>IF($AS281="","",Config!$B$21)</f>
        <v/>
      </c>
      <c r="AA281" t="str">
        <f>IF($AS281="","",Config!$B$22)</f>
        <v/>
      </c>
      <c r="AB281" t="str">
        <f>IF($AT281="","",INDEX(Calc!$D$2:$D$1601,$AT281))</f>
        <v/>
      </c>
      <c r="AC281" t="str">
        <f>IF($AT281="","",INDEX(Calc!$G$2:$G$1601,$AT281))</f>
        <v/>
      </c>
      <c r="AD281" t="str">
        <f>IF($AS281="","",Config!$B$23)</f>
        <v/>
      </c>
      <c r="AE281" t="str">
        <f>IF($AS281="","",Config!$B$28)</f>
        <v/>
      </c>
      <c r="AF281" t="str">
        <f t="shared" si="26"/>
        <v/>
      </c>
      <c r="AG281" t="str">
        <f t="shared" si="27"/>
        <v/>
      </c>
      <c r="AH281" t="str">
        <f t="shared" si="28"/>
        <v/>
      </c>
      <c r="AI281" t="str">
        <f>IF($AG281="","",SUMIF($AG$2:$AG281,$AG281,$AH$2:$AH281))</f>
        <v/>
      </c>
      <c r="AJ281" t="str">
        <f>IF('TMP Paste'!$F281="","",IF('TMP Paste'!$B281="",$AJ280,'TMP Paste'!$B281))</f>
        <v/>
      </c>
      <c r="AK281" t="str">
        <f>IF('TMP Paste'!$F281="","",N('TMP Paste'!$G281))</f>
        <v/>
      </c>
      <c r="AL281" t="str">
        <f>IF('TMP Paste'!$F281="","",IF('TMP Paste'!$M281="",$AL280,'TMP Paste'!$M281))</f>
        <v/>
      </c>
      <c r="AM281" t="str">
        <f>IF('TMP Paste'!$F281="","",IF('TMP Paste'!$N281="",$AM280,'TMP Paste'!$N281))</f>
        <v/>
      </c>
      <c r="AN281" t="str">
        <f>IF('TMP Paste'!$F281="","",IF('TMP Paste'!$O281="",$AN280,'TMP Paste'!$O281))</f>
        <v/>
      </c>
      <c r="AO281" t="str">
        <f>IF('TMP Paste'!$F281="","",IF('TMP Paste'!$P281="",$AO280,'TMP Paste'!$P281))</f>
        <v/>
      </c>
      <c r="AP281" t="str">
        <f t="shared" si="29"/>
        <v/>
      </c>
      <c r="AQ281" t="str">
        <f>IF($AS281="","",TRIM(IF(COUNTIFS(Calc!$B$2:$B$1601,ROW()-1,Calc!$C$2:$C$1601,"&lt;1")&gt;0,"Ada PO tanpa Koli - cek TMP. ","")&amp;IF(OR($AU281="",$AU281&lt;=0),"Volume kosong/0 - dimensi dikosongkan. ","")&amp;IF(AND($AU281&lt;&gt;"",$AU281&gt;=1000000),"Volume &gt;= 1.000.000 cm3 (di luar aturan) - dimensi dikosongkan. ","")&amp;IF(LEN($R281)&gt;500,"R &gt; 500 karakter.","")))</f>
        <v/>
      </c>
      <c r="AS281" t="str">
        <f>IFERROR(MATCH(ROW()-1,Calc!$J$2:$J$1601,0),"")</f>
        <v/>
      </c>
      <c r="AT281" t="str">
        <f>IFERROR(MATCH(ROW()-1,Calc!$K$2:$K$1601,0),"")</f>
        <v/>
      </c>
      <c r="AU281" t="str">
        <f>IF($AS281="","",IFERROR(INDEX('TMP Paste'!$D$2:$D$1601,$AS281)*1000000/$AB281,""))</f>
        <v/>
      </c>
    </row>
    <row r="282" spans="1:47">
      <c r="A282" t="str">
        <f>IF($AS282="","",INDEX('TMP Paste'!$B$2:$B$1601,$AS282))</f>
        <v/>
      </c>
      <c r="B282" t="str">
        <f>IF($AS282="","",Config!$B$14)</f>
        <v/>
      </c>
      <c r="C282" t="str">
        <f>IF($AS282="","",Config!$B$15)</f>
        <v/>
      </c>
      <c r="D282" t="str">
        <f>IF($AS282="","",INDEX('TMP Paste'!$B$2:$B$1601,$AS282))</f>
        <v/>
      </c>
      <c r="E282" t="str">
        <f>IF($AS282="","",Config!$B$27)</f>
        <v/>
      </c>
      <c r="F282" t="str">
        <f>IF($AS282="","",Config!$B$9)</f>
        <v/>
      </c>
      <c r="G282" t="str">
        <f>IF($AS282="","",Config!$B$10)</f>
        <v/>
      </c>
      <c r="H282" t="str">
        <f>IF($AS282="","",Config!$B$11)</f>
        <v/>
      </c>
      <c r="I282" t="str">
        <f>IF($AS282="","",Config!$B$16)</f>
        <v/>
      </c>
      <c r="J282" t="str">
        <f>IF($AS282="","",INDEX('TMP Paste'!$A$2:$A$1601,$AS282))</f>
        <v/>
      </c>
      <c r="K282" t="str">
        <f>IF($AS282="","",INDEX('TMP Paste'!$L$2:$L$1601,$AS282))</f>
        <v/>
      </c>
      <c r="L282" t="str">
        <f>IF($AS282="","",INDEX('TMP Paste'!$I$2:$I$1601,$AS282))</f>
        <v/>
      </c>
      <c r="M282" t="str">
        <f>IF($AS282="","",Config!$B$16)</f>
        <v/>
      </c>
      <c r="N282" t="str">
        <f t="shared" si="24"/>
        <v/>
      </c>
      <c r="O282" t="str">
        <f>IF($AS282="","",INDEX('TMP Paste'!$K$2:$K$1601,$AS282))</f>
        <v/>
      </c>
      <c r="P282" t="str">
        <f t="shared" si="25"/>
        <v/>
      </c>
      <c r="Q282" t="str">
        <f>IF($AS282="","",INDEX('TMP Paste'!$J$2:$J$1601,$AS282))</f>
        <v/>
      </c>
      <c r="R282" t="str">
        <f>IF($AS282="","",Config!$B$24)</f>
        <v/>
      </c>
      <c r="S282" t="str">
        <f ca="1">IF($AS282="","",TEXT(Config!$B$4,"yyyy-mm-dd"))</f>
        <v/>
      </c>
      <c r="T282" t="str">
        <f>IF($AS282="","",Config!$B$17)</f>
        <v/>
      </c>
      <c r="U282" t="str">
        <f>IF($AS282="","",Config!$B$18)</f>
        <v/>
      </c>
      <c r="V282" t="str">
        <f>IF($AS282="","",Config!$B$19)</f>
        <v/>
      </c>
      <c r="W282" t="str">
        <f>IF($AS282="","",INDEX('TMP Paste'!$C$2:$C$1601,$AS282))</f>
        <v/>
      </c>
      <c r="X282" t="str">
        <f>IF($AS282="","",Config!$B$29)</f>
        <v/>
      </c>
      <c r="Y282" t="str">
        <f>IF($AT282="","",INDEX(Calc!$I$2:$I$1601,$AT282)&amp;" - "&amp;INDEX(Calc!$D$2:$D$1601,$AT282)&amp;" koli")</f>
        <v/>
      </c>
      <c r="Z282" t="str">
        <f>IF($AS282="","",Config!$B$21)</f>
        <v/>
      </c>
      <c r="AA282" t="str">
        <f>IF($AS282="","",Config!$B$22)</f>
        <v/>
      </c>
      <c r="AB282" t="str">
        <f>IF($AT282="","",INDEX(Calc!$D$2:$D$1601,$AT282))</f>
        <v/>
      </c>
      <c r="AC282" t="str">
        <f>IF($AT282="","",INDEX(Calc!$G$2:$G$1601,$AT282))</f>
        <v/>
      </c>
      <c r="AD282" t="str">
        <f>IF($AS282="","",Config!$B$23)</f>
        <v/>
      </c>
      <c r="AE282" t="str">
        <f>IF($AS282="","",Config!$B$28)</f>
        <v/>
      </c>
      <c r="AF282" t="str">
        <f t="shared" si="26"/>
        <v/>
      </c>
      <c r="AG282" t="str">
        <f t="shared" si="27"/>
        <v/>
      </c>
      <c r="AH282" t="str">
        <f t="shared" si="28"/>
        <v/>
      </c>
      <c r="AI282" t="str">
        <f>IF($AG282="","",SUMIF($AG$2:$AG282,$AG282,$AH$2:$AH282))</f>
        <v/>
      </c>
      <c r="AJ282" t="str">
        <f>IF('TMP Paste'!$F282="","",IF('TMP Paste'!$B282="",$AJ281,'TMP Paste'!$B282))</f>
        <v/>
      </c>
      <c r="AK282" t="str">
        <f>IF('TMP Paste'!$F282="","",N('TMP Paste'!$G282))</f>
        <v/>
      </c>
      <c r="AL282" t="str">
        <f>IF('TMP Paste'!$F282="","",IF('TMP Paste'!$M282="",$AL281,'TMP Paste'!$M282))</f>
        <v/>
      </c>
      <c r="AM282" t="str">
        <f>IF('TMP Paste'!$F282="","",IF('TMP Paste'!$N282="",$AM281,'TMP Paste'!$N282))</f>
        <v/>
      </c>
      <c r="AN282" t="str">
        <f>IF('TMP Paste'!$F282="","",IF('TMP Paste'!$O282="",$AN281,'TMP Paste'!$O282))</f>
        <v/>
      </c>
      <c r="AO282" t="str">
        <f>IF('TMP Paste'!$F282="","",IF('TMP Paste'!$P282="",$AO281,'TMP Paste'!$P282))</f>
        <v/>
      </c>
      <c r="AP282" t="str">
        <f t="shared" si="29"/>
        <v/>
      </c>
      <c r="AQ282" t="str">
        <f>IF($AS282="","",TRIM(IF(COUNTIFS(Calc!$B$2:$B$1601,ROW()-1,Calc!$C$2:$C$1601,"&lt;1")&gt;0,"Ada PO tanpa Koli - cek TMP. ","")&amp;IF(OR($AU282="",$AU282&lt;=0),"Volume kosong/0 - dimensi dikosongkan. ","")&amp;IF(AND($AU282&lt;&gt;"",$AU282&gt;=1000000),"Volume &gt;= 1.000.000 cm3 (di luar aturan) - dimensi dikosongkan. ","")&amp;IF(LEN($R282)&gt;500,"R &gt; 500 karakter.","")))</f>
        <v/>
      </c>
      <c r="AS282" t="str">
        <f>IFERROR(MATCH(ROW()-1,Calc!$J$2:$J$1601,0),"")</f>
        <v/>
      </c>
      <c r="AT282" t="str">
        <f>IFERROR(MATCH(ROW()-1,Calc!$K$2:$K$1601,0),"")</f>
        <v/>
      </c>
      <c r="AU282" t="str">
        <f>IF($AS282="","",IFERROR(INDEX('TMP Paste'!$D$2:$D$1601,$AS282)*1000000/$AB282,""))</f>
        <v/>
      </c>
    </row>
    <row r="283" spans="1:47">
      <c r="A283" t="str">
        <f>IF($AS283="","",INDEX('TMP Paste'!$B$2:$B$1601,$AS283))</f>
        <v/>
      </c>
      <c r="B283" t="str">
        <f>IF($AS283="","",Config!$B$14)</f>
        <v/>
      </c>
      <c r="C283" t="str">
        <f>IF($AS283="","",Config!$B$15)</f>
        <v/>
      </c>
      <c r="D283" t="str">
        <f>IF($AS283="","",INDEX('TMP Paste'!$B$2:$B$1601,$AS283))</f>
        <v/>
      </c>
      <c r="E283" t="str">
        <f>IF($AS283="","",Config!$B$27)</f>
        <v/>
      </c>
      <c r="F283" t="str">
        <f>IF($AS283="","",Config!$B$9)</f>
        <v/>
      </c>
      <c r="G283" t="str">
        <f>IF($AS283="","",Config!$B$10)</f>
        <v/>
      </c>
      <c r="H283" t="str">
        <f>IF($AS283="","",Config!$B$11)</f>
        <v/>
      </c>
      <c r="I283" t="str">
        <f>IF($AS283="","",Config!$B$16)</f>
        <v/>
      </c>
      <c r="J283" t="str">
        <f>IF($AS283="","",INDEX('TMP Paste'!$A$2:$A$1601,$AS283))</f>
        <v/>
      </c>
      <c r="K283" t="str">
        <f>IF($AS283="","",INDEX('TMP Paste'!$L$2:$L$1601,$AS283))</f>
        <v/>
      </c>
      <c r="L283" t="str">
        <f>IF($AS283="","",INDEX('TMP Paste'!$I$2:$I$1601,$AS283))</f>
        <v/>
      </c>
      <c r="M283" t="str">
        <f>IF($AS283="","",Config!$B$16)</f>
        <v/>
      </c>
      <c r="N283" t="str">
        <f t="shared" si="24"/>
        <v/>
      </c>
      <c r="O283" t="str">
        <f>IF($AS283="","",INDEX('TMP Paste'!$K$2:$K$1601,$AS283))</f>
        <v/>
      </c>
      <c r="P283" t="str">
        <f t="shared" si="25"/>
        <v/>
      </c>
      <c r="Q283" t="str">
        <f>IF($AS283="","",INDEX('TMP Paste'!$J$2:$J$1601,$AS283))</f>
        <v/>
      </c>
      <c r="R283" t="str">
        <f>IF($AS283="","",Config!$B$24)</f>
        <v/>
      </c>
      <c r="S283" t="str">
        <f ca="1">IF($AS283="","",TEXT(Config!$B$4,"yyyy-mm-dd"))</f>
        <v/>
      </c>
      <c r="T283" t="str">
        <f>IF($AS283="","",Config!$B$17)</f>
        <v/>
      </c>
      <c r="U283" t="str">
        <f>IF($AS283="","",Config!$B$18)</f>
        <v/>
      </c>
      <c r="V283" t="str">
        <f>IF($AS283="","",Config!$B$19)</f>
        <v/>
      </c>
      <c r="W283" t="str">
        <f>IF($AS283="","",INDEX('TMP Paste'!$C$2:$C$1601,$AS283))</f>
        <v/>
      </c>
      <c r="X283" t="str">
        <f>IF($AS283="","",Config!$B$29)</f>
        <v/>
      </c>
      <c r="Y283" t="str">
        <f>IF($AT283="","",INDEX(Calc!$I$2:$I$1601,$AT283)&amp;" - "&amp;INDEX(Calc!$D$2:$D$1601,$AT283)&amp;" koli")</f>
        <v/>
      </c>
      <c r="Z283" t="str">
        <f>IF($AS283="","",Config!$B$21)</f>
        <v/>
      </c>
      <c r="AA283" t="str">
        <f>IF($AS283="","",Config!$B$22)</f>
        <v/>
      </c>
      <c r="AB283" t="str">
        <f>IF($AT283="","",INDEX(Calc!$D$2:$D$1601,$AT283))</f>
        <v/>
      </c>
      <c r="AC283" t="str">
        <f>IF($AT283="","",INDEX(Calc!$G$2:$G$1601,$AT283))</f>
        <v/>
      </c>
      <c r="AD283" t="str">
        <f>IF($AS283="","",Config!$B$23)</f>
        <v/>
      </c>
      <c r="AE283" t="str">
        <f>IF($AS283="","",Config!$B$28)</f>
        <v/>
      </c>
      <c r="AF283" t="str">
        <f t="shared" si="26"/>
        <v/>
      </c>
      <c r="AG283" t="str">
        <f t="shared" si="27"/>
        <v/>
      </c>
      <c r="AH283" t="str">
        <f t="shared" si="28"/>
        <v/>
      </c>
      <c r="AI283" t="str">
        <f>IF($AG283="","",SUMIF($AG$2:$AG283,$AG283,$AH$2:$AH283))</f>
        <v/>
      </c>
      <c r="AJ283" t="str">
        <f>IF('TMP Paste'!$F283="","",IF('TMP Paste'!$B283="",$AJ282,'TMP Paste'!$B283))</f>
        <v/>
      </c>
      <c r="AK283" t="str">
        <f>IF('TMP Paste'!$F283="","",N('TMP Paste'!$G283))</f>
        <v/>
      </c>
      <c r="AL283" t="str">
        <f>IF('TMP Paste'!$F283="","",IF('TMP Paste'!$M283="",$AL282,'TMP Paste'!$M283))</f>
        <v/>
      </c>
      <c r="AM283" t="str">
        <f>IF('TMP Paste'!$F283="","",IF('TMP Paste'!$N283="",$AM282,'TMP Paste'!$N283))</f>
        <v/>
      </c>
      <c r="AN283" t="str">
        <f>IF('TMP Paste'!$F283="","",IF('TMP Paste'!$O283="",$AN282,'TMP Paste'!$O283))</f>
        <v/>
      </c>
      <c r="AO283" t="str">
        <f>IF('TMP Paste'!$F283="","",IF('TMP Paste'!$P283="",$AO282,'TMP Paste'!$P283))</f>
        <v/>
      </c>
      <c r="AP283" t="str">
        <f t="shared" si="29"/>
        <v/>
      </c>
      <c r="AQ283" t="str">
        <f>IF($AS283="","",TRIM(IF(COUNTIFS(Calc!$B$2:$B$1601,ROW()-1,Calc!$C$2:$C$1601,"&lt;1")&gt;0,"Ada PO tanpa Koli - cek TMP. ","")&amp;IF(OR($AU283="",$AU283&lt;=0),"Volume kosong/0 - dimensi dikosongkan. ","")&amp;IF(AND($AU283&lt;&gt;"",$AU283&gt;=1000000),"Volume &gt;= 1.000.000 cm3 (di luar aturan) - dimensi dikosongkan. ","")&amp;IF(LEN($R283)&gt;500,"R &gt; 500 karakter.","")))</f>
        <v/>
      </c>
      <c r="AS283" t="str">
        <f>IFERROR(MATCH(ROW()-1,Calc!$J$2:$J$1601,0),"")</f>
        <v/>
      </c>
      <c r="AT283" t="str">
        <f>IFERROR(MATCH(ROW()-1,Calc!$K$2:$K$1601,0),"")</f>
        <v/>
      </c>
      <c r="AU283" t="str">
        <f>IF($AS283="","",IFERROR(INDEX('TMP Paste'!$D$2:$D$1601,$AS283)*1000000/$AB283,""))</f>
        <v/>
      </c>
    </row>
    <row r="284" spans="1:47">
      <c r="A284" t="str">
        <f>IF($AS284="","",INDEX('TMP Paste'!$B$2:$B$1601,$AS284))</f>
        <v/>
      </c>
      <c r="B284" t="str">
        <f>IF($AS284="","",Config!$B$14)</f>
        <v/>
      </c>
      <c r="C284" t="str">
        <f>IF($AS284="","",Config!$B$15)</f>
        <v/>
      </c>
      <c r="D284" t="str">
        <f>IF($AS284="","",INDEX('TMP Paste'!$B$2:$B$1601,$AS284))</f>
        <v/>
      </c>
      <c r="E284" t="str">
        <f>IF($AS284="","",Config!$B$27)</f>
        <v/>
      </c>
      <c r="F284" t="str">
        <f>IF($AS284="","",Config!$B$9)</f>
        <v/>
      </c>
      <c r="G284" t="str">
        <f>IF($AS284="","",Config!$B$10)</f>
        <v/>
      </c>
      <c r="H284" t="str">
        <f>IF($AS284="","",Config!$B$11)</f>
        <v/>
      </c>
      <c r="I284" t="str">
        <f>IF($AS284="","",Config!$B$16)</f>
        <v/>
      </c>
      <c r="J284" t="str">
        <f>IF($AS284="","",INDEX('TMP Paste'!$A$2:$A$1601,$AS284))</f>
        <v/>
      </c>
      <c r="K284" t="str">
        <f>IF($AS284="","",INDEX('TMP Paste'!$L$2:$L$1601,$AS284))</f>
        <v/>
      </c>
      <c r="L284" t="str">
        <f>IF($AS284="","",INDEX('TMP Paste'!$I$2:$I$1601,$AS284))</f>
        <v/>
      </c>
      <c r="M284" t="str">
        <f>IF($AS284="","",Config!$B$16)</f>
        <v/>
      </c>
      <c r="N284" t="str">
        <f t="shared" si="24"/>
        <v/>
      </c>
      <c r="O284" t="str">
        <f>IF($AS284="","",INDEX('TMP Paste'!$K$2:$K$1601,$AS284))</f>
        <v/>
      </c>
      <c r="P284" t="str">
        <f t="shared" si="25"/>
        <v/>
      </c>
      <c r="Q284" t="str">
        <f>IF($AS284="","",INDEX('TMP Paste'!$J$2:$J$1601,$AS284))</f>
        <v/>
      </c>
      <c r="R284" t="str">
        <f>IF($AS284="","",Config!$B$24)</f>
        <v/>
      </c>
      <c r="S284" t="str">
        <f ca="1">IF($AS284="","",TEXT(Config!$B$4,"yyyy-mm-dd"))</f>
        <v/>
      </c>
      <c r="T284" t="str">
        <f>IF($AS284="","",Config!$B$17)</f>
        <v/>
      </c>
      <c r="U284" t="str">
        <f>IF($AS284="","",Config!$B$18)</f>
        <v/>
      </c>
      <c r="V284" t="str">
        <f>IF($AS284="","",Config!$B$19)</f>
        <v/>
      </c>
      <c r="W284" t="str">
        <f>IF($AS284="","",INDEX('TMP Paste'!$C$2:$C$1601,$AS284))</f>
        <v/>
      </c>
      <c r="X284" t="str">
        <f>IF($AS284="","",Config!$B$29)</f>
        <v/>
      </c>
      <c r="Y284" t="str">
        <f>IF($AT284="","",INDEX(Calc!$I$2:$I$1601,$AT284)&amp;" - "&amp;INDEX(Calc!$D$2:$D$1601,$AT284)&amp;" koli")</f>
        <v/>
      </c>
      <c r="Z284" t="str">
        <f>IF($AS284="","",Config!$B$21)</f>
        <v/>
      </c>
      <c r="AA284" t="str">
        <f>IF($AS284="","",Config!$B$22)</f>
        <v/>
      </c>
      <c r="AB284" t="str">
        <f>IF($AT284="","",INDEX(Calc!$D$2:$D$1601,$AT284))</f>
        <v/>
      </c>
      <c r="AC284" t="str">
        <f>IF($AT284="","",INDEX(Calc!$G$2:$G$1601,$AT284))</f>
        <v/>
      </c>
      <c r="AD284" t="str">
        <f>IF($AS284="","",Config!$B$23)</f>
        <v/>
      </c>
      <c r="AE284" t="str">
        <f>IF($AS284="","",Config!$B$28)</f>
        <v/>
      </c>
      <c r="AF284" t="str">
        <f t="shared" si="26"/>
        <v/>
      </c>
      <c r="AG284" t="str">
        <f t="shared" si="27"/>
        <v/>
      </c>
      <c r="AH284" t="str">
        <f t="shared" si="28"/>
        <v/>
      </c>
      <c r="AI284" t="str">
        <f>IF($AG284="","",SUMIF($AG$2:$AG284,$AG284,$AH$2:$AH284))</f>
        <v/>
      </c>
      <c r="AJ284" t="str">
        <f>IF('TMP Paste'!$F284="","",IF('TMP Paste'!$B284="",$AJ283,'TMP Paste'!$B284))</f>
        <v/>
      </c>
      <c r="AK284" t="str">
        <f>IF('TMP Paste'!$F284="","",N('TMP Paste'!$G284))</f>
        <v/>
      </c>
      <c r="AL284" t="str">
        <f>IF('TMP Paste'!$F284="","",IF('TMP Paste'!$M284="",$AL283,'TMP Paste'!$M284))</f>
        <v/>
      </c>
      <c r="AM284" t="str">
        <f>IF('TMP Paste'!$F284="","",IF('TMP Paste'!$N284="",$AM283,'TMP Paste'!$N284))</f>
        <v/>
      </c>
      <c r="AN284" t="str">
        <f>IF('TMP Paste'!$F284="","",IF('TMP Paste'!$O284="",$AN283,'TMP Paste'!$O284))</f>
        <v/>
      </c>
      <c r="AO284" t="str">
        <f>IF('TMP Paste'!$F284="","",IF('TMP Paste'!$P284="",$AO283,'TMP Paste'!$P284))</f>
        <v/>
      </c>
      <c r="AP284" t="str">
        <f t="shared" si="29"/>
        <v/>
      </c>
      <c r="AQ284" t="str">
        <f>IF($AS284="","",TRIM(IF(COUNTIFS(Calc!$B$2:$B$1601,ROW()-1,Calc!$C$2:$C$1601,"&lt;1")&gt;0,"Ada PO tanpa Koli - cek TMP. ","")&amp;IF(OR($AU284="",$AU284&lt;=0),"Volume kosong/0 - dimensi dikosongkan. ","")&amp;IF(AND($AU284&lt;&gt;"",$AU284&gt;=1000000),"Volume &gt;= 1.000.000 cm3 (di luar aturan) - dimensi dikosongkan. ","")&amp;IF(LEN($R284)&gt;500,"R &gt; 500 karakter.","")))</f>
        <v/>
      </c>
      <c r="AS284" t="str">
        <f>IFERROR(MATCH(ROW()-1,Calc!$J$2:$J$1601,0),"")</f>
        <v/>
      </c>
      <c r="AT284" t="str">
        <f>IFERROR(MATCH(ROW()-1,Calc!$K$2:$K$1601,0),"")</f>
        <v/>
      </c>
      <c r="AU284" t="str">
        <f>IF($AS284="","",IFERROR(INDEX('TMP Paste'!$D$2:$D$1601,$AS284)*1000000/$AB284,""))</f>
        <v/>
      </c>
    </row>
    <row r="285" spans="1:47">
      <c r="A285" t="str">
        <f>IF($AS285="","",INDEX('TMP Paste'!$B$2:$B$1601,$AS285))</f>
        <v/>
      </c>
      <c r="B285" t="str">
        <f>IF($AS285="","",Config!$B$14)</f>
        <v/>
      </c>
      <c r="C285" t="str">
        <f>IF($AS285="","",Config!$B$15)</f>
        <v/>
      </c>
      <c r="D285" t="str">
        <f>IF($AS285="","",INDEX('TMP Paste'!$B$2:$B$1601,$AS285))</f>
        <v/>
      </c>
      <c r="E285" t="str">
        <f>IF($AS285="","",Config!$B$27)</f>
        <v/>
      </c>
      <c r="F285" t="str">
        <f>IF($AS285="","",Config!$B$9)</f>
        <v/>
      </c>
      <c r="G285" t="str">
        <f>IF($AS285="","",Config!$B$10)</f>
        <v/>
      </c>
      <c r="H285" t="str">
        <f>IF($AS285="","",Config!$B$11)</f>
        <v/>
      </c>
      <c r="I285" t="str">
        <f>IF($AS285="","",Config!$B$16)</f>
        <v/>
      </c>
      <c r="J285" t="str">
        <f>IF($AS285="","",INDEX('TMP Paste'!$A$2:$A$1601,$AS285))</f>
        <v/>
      </c>
      <c r="K285" t="str">
        <f>IF($AS285="","",INDEX('TMP Paste'!$L$2:$L$1601,$AS285))</f>
        <v/>
      </c>
      <c r="L285" t="str">
        <f>IF($AS285="","",INDEX('TMP Paste'!$I$2:$I$1601,$AS285))</f>
        <v/>
      </c>
      <c r="M285" t="str">
        <f>IF($AS285="","",Config!$B$16)</f>
        <v/>
      </c>
      <c r="N285" t="str">
        <f t="shared" si="24"/>
        <v/>
      </c>
      <c r="O285" t="str">
        <f>IF($AS285="","",INDEX('TMP Paste'!$K$2:$K$1601,$AS285))</f>
        <v/>
      </c>
      <c r="P285" t="str">
        <f t="shared" si="25"/>
        <v/>
      </c>
      <c r="Q285" t="str">
        <f>IF($AS285="","",INDEX('TMP Paste'!$J$2:$J$1601,$AS285))</f>
        <v/>
      </c>
      <c r="R285" t="str">
        <f>IF($AS285="","",Config!$B$24)</f>
        <v/>
      </c>
      <c r="S285" t="str">
        <f ca="1">IF($AS285="","",TEXT(Config!$B$4,"yyyy-mm-dd"))</f>
        <v/>
      </c>
      <c r="T285" t="str">
        <f>IF($AS285="","",Config!$B$17)</f>
        <v/>
      </c>
      <c r="U285" t="str">
        <f>IF($AS285="","",Config!$B$18)</f>
        <v/>
      </c>
      <c r="V285" t="str">
        <f>IF($AS285="","",Config!$B$19)</f>
        <v/>
      </c>
      <c r="W285" t="str">
        <f>IF($AS285="","",INDEX('TMP Paste'!$C$2:$C$1601,$AS285))</f>
        <v/>
      </c>
      <c r="X285" t="str">
        <f>IF($AS285="","",Config!$B$29)</f>
        <v/>
      </c>
      <c r="Y285" t="str">
        <f>IF($AT285="","",INDEX(Calc!$I$2:$I$1601,$AT285)&amp;" - "&amp;INDEX(Calc!$D$2:$D$1601,$AT285)&amp;" koli")</f>
        <v/>
      </c>
      <c r="Z285" t="str">
        <f>IF($AS285="","",Config!$B$21)</f>
        <v/>
      </c>
      <c r="AA285" t="str">
        <f>IF($AS285="","",Config!$B$22)</f>
        <v/>
      </c>
      <c r="AB285" t="str">
        <f>IF($AT285="","",INDEX(Calc!$D$2:$D$1601,$AT285))</f>
        <v/>
      </c>
      <c r="AC285" t="str">
        <f>IF($AT285="","",INDEX(Calc!$G$2:$G$1601,$AT285))</f>
        <v/>
      </c>
      <c r="AD285" t="str">
        <f>IF($AS285="","",Config!$B$23)</f>
        <v/>
      </c>
      <c r="AE285" t="str">
        <f>IF($AS285="","",Config!$B$28)</f>
        <v/>
      </c>
      <c r="AF285" t="str">
        <f t="shared" si="26"/>
        <v/>
      </c>
      <c r="AG285" t="str">
        <f t="shared" si="27"/>
        <v/>
      </c>
      <c r="AH285" t="str">
        <f t="shared" si="28"/>
        <v/>
      </c>
      <c r="AI285" t="str">
        <f>IF($AG285="","",SUMIF($AG$2:$AG285,$AG285,$AH$2:$AH285))</f>
        <v/>
      </c>
      <c r="AJ285" t="str">
        <f>IF('TMP Paste'!$F285="","",IF('TMP Paste'!$B285="",$AJ284,'TMP Paste'!$B285))</f>
        <v/>
      </c>
      <c r="AK285" t="str">
        <f>IF('TMP Paste'!$F285="","",N('TMP Paste'!$G285))</f>
        <v/>
      </c>
      <c r="AL285" t="str">
        <f>IF('TMP Paste'!$F285="","",IF('TMP Paste'!$M285="",$AL284,'TMP Paste'!$M285))</f>
        <v/>
      </c>
      <c r="AM285" t="str">
        <f>IF('TMP Paste'!$F285="","",IF('TMP Paste'!$N285="",$AM284,'TMP Paste'!$N285))</f>
        <v/>
      </c>
      <c r="AN285" t="str">
        <f>IF('TMP Paste'!$F285="","",IF('TMP Paste'!$O285="",$AN284,'TMP Paste'!$O285))</f>
        <v/>
      </c>
      <c r="AO285" t="str">
        <f>IF('TMP Paste'!$F285="","",IF('TMP Paste'!$P285="",$AO284,'TMP Paste'!$P285))</f>
        <v/>
      </c>
      <c r="AP285" t="str">
        <f t="shared" si="29"/>
        <v/>
      </c>
      <c r="AQ285" t="str">
        <f>IF($AS285="","",TRIM(IF(COUNTIFS(Calc!$B$2:$B$1601,ROW()-1,Calc!$C$2:$C$1601,"&lt;1")&gt;0,"Ada PO tanpa Koli - cek TMP. ","")&amp;IF(OR($AU285="",$AU285&lt;=0),"Volume kosong/0 - dimensi dikosongkan. ","")&amp;IF(AND($AU285&lt;&gt;"",$AU285&gt;=1000000),"Volume &gt;= 1.000.000 cm3 (di luar aturan) - dimensi dikosongkan. ","")&amp;IF(LEN($R285)&gt;500,"R &gt; 500 karakter.","")))</f>
        <v/>
      </c>
      <c r="AS285" t="str">
        <f>IFERROR(MATCH(ROW()-1,Calc!$J$2:$J$1601,0),"")</f>
        <v/>
      </c>
      <c r="AT285" t="str">
        <f>IFERROR(MATCH(ROW()-1,Calc!$K$2:$K$1601,0),"")</f>
        <v/>
      </c>
      <c r="AU285" t="str">
        <f>IF($AS285="","",IFERROR(INDEX('TMP Paste'!$D$2:$D$1601,$AS285)*1000000/$AB285,""))</f>
        <v/>
      </c>
    </row>
    <row r="286" spans="1:47">
      <c r="A286" t="str">
        <f>IF($AS286="","",INDEX('TMP Paste'!$B$2:$B$1601,$AS286))</f>
        <v/>
      </c>
      <c r="B286" t="str">
        <f>IF($AS286="","",Config!$B$14)</f>
        <v/>
      </c>
      <c r="C286" t="str">
        <f>IF($AS286="","",Config!$B$15)</f>
        <v/>
      </c>
      <c r="D286" t="str">
        <f>IF($AS286="","",INDEX('TMP Paste'!$B$2:$B$1601,$AS286))</f>
        <v/>
      </c>
      <c r="E286" t="str">
        <f>IF($AS286="","",Config!$B$27)</f>
        <v/>
      </c>
      <c r="F286" t="str">
        <f>IF($AS286="","",Config!$B$9)</f>
        <v/>
      </c>
      <c r="G286" t="str">
        <f>IF($AS286="","",Config!$B$10)</f>
        <v/>
      </c>
      <c r="H286" t="str">
        <f>IF($AS286="","",Config!$B$11)</f>
        <v/>
      </c>
      <c r="I286" t="str">
        <f>IF($AS286="","",Config!$B$16)</f>
        <v/>
      </c>
      <c r="J286" t="str">
        <f>IF($AS286="","",INDEX('TMP Paste'!$A$2:$A$1601,$AS286))</f>
        <v/>
      </c>
      <c r="K286" t="str">
        <f>IF($AS286="","",INDEX('TMP Paste'!$L$2:$L$1601,$AS286))</f>
        <v/>
      </c>
      <c r="L286" t="str">
        <f>IF($AS286="","",INDEX('TMP Paste'!$I$2:$I$1601,$AS286))</f>
        <v/>
      </c>
      <c r="M286" t="str">
        <f>IF($AS286="","",Config!$B$16)</f>
        <v/>
      </c>
      <c r="N286" t="str">
        <f t="shared" si="24"/>
        <v/>
      </c>
      <c r="O286" t="str">
        <f>IF($AS286="","",INDEX('TMP Paste'!$K$2:$K$1601,$AS286))</f>
        <v/>
      </c>
      <c r="P286" t="str">
        <f t="shared" si="25"/>
        <v/>
      </c>
      <c r="Q286" t="str">
        <f>IF($AS286="","",INDEX('TMP Paste'!$J$2:$J$1601,$AS286))</f>
        <v/>
      </c>
      <c r="R286" t="str">
        <f>IF($AS286="","",Config!$B$24)</f>
        <v/>
      </c>
      <c r="S286" t="str">
        <f ca="1">IF($AS286="","",TEXT(Config!$B$4,"yyyy-mm-dd"))</f>
        <v/>
      </c>
      <c r="T286" t="str">
        <f>IF($AS286="","",Config!$B$17)</f>
        <v/>
      </c>
      <c r="U286" t="str">
        <f>IF($AS286="","",Config!$B$18)</f>
        <v/>
      </c>
      <c r="V286" t="str">
        <f>IF($AS286="","",Config!$B$19)</f>
        <v/>
      </c>
      <c r="W286" t="str">
        <f>IF($AS286="","",INDEX('TMP Paste'!$C$2:$C$1601,$AS286))</f>
        <v/>
      </c>
      <c r="X286" t="str">
        <f>IF($AS286="","",Config!$B$29)</f>
        <v/>
      </c>
      <c r="Y286" t="str">
        <f>IF($AT286="","",INDEX(Calc!$I$2:$I$1601,$AT286)&amp;" - "&amp;INDEX(Calc!$D$2:$D$1601,$AT286)&amp;" koli")</f>
        <v/>
      </c>
      <c r="Z286" t="str">
        <f>IF($AS286="","",Config!$B$21)</f>
        <v/>
      </c>
      <c r="AA286" t="str">
        <f>IF($AS286="","",Config!$B$22)</f>
        <v/>
      </c>
      <c r="AB286" t="str">
        <f>IF($AT286="","",INDEX(Calc!$D$2:$D$1601,$AT286))</f>
        <v/>
      </c>
      <c r="AC286" t="str">
        <f>IF($AT286="","",INDEX(Calc!$G$2:$G$1601,$AT286))</f>
        <v/>
      </c>
      <c r="AD286" t="str">
        <f>IF($AS286="","",Config!$B$23)</f>
        <v/>
      </c>
      <c r="AE286" t="str">
        <f>IF($AS286="","",Config!$B$28)</f>
        <v/>
      </c>
      <c r="AF286" t="str">
        <f t="shared" si="26"/>
        <v/>
      </c>
      <c r="AG286" t="str">
        <f t="shared" si="27"/>
        <v/>
      </c>
      <c r="AH286" t="str">
        <f t="shared" si="28"/>
        <v/>
      </c>
      <c r="AI286" t="str">
        <f>IF($AG286="","",SUMIF($AG$2:$AG286,$AG286,$AH$2:$AH286))</f>
        <v/>
      </c>
      <c r="AJ286" t="str">
        <f>IF('TMP Paste'!$F286="","",IF('TMP Paste'!$B286="",$AJ285,'TMP Paste'!$B286))</f>
        <v/>
      </c>
      <c r="AK286" t="str">
        <f>IF('TMP Paste'!$F286="","",N('TMP Paste'!$G286))</f>
        <v/>
      </c>
      <c r="AL286" t="str">
        <f>IF('TMP Paste'!$F286="","",IF('TMP Paste'!$M286="",$AL285,'TMP Paste'!$M286))</f>
        <v/>
      </c>
      <c r="AM286" t="str">
        <f>IF('TMP Paste'!$F286="","",IF('TMP Paste'!$N286="",$AM285,'TMP Paste'!$N286))</f>
        <v/>
      </c>
      <c r="AN286" t="str">
        <f>IF('TMP Paste'!$F286="","",IF('TMP Paste'!$O286="",$AN285,'TMP Paste'!$O286))</f>
        <v/>
      </c>
      <c r="AO286" t="str">
        <f>IF('TMP Paste'!$F286="","",IF('TMP Paste'!$P286="",$AO285,'TMP Paste'!$P286))</f>
        <v/>
      </c>
      <c r="AP286" t="str">
        <f t="shared" si="29"/>
        <v/>
      </c>
      <c r="AQ286" t="str">
        <f>IF($AS286="","",TRIM(IF(COUNTIFS(Calc!$B$2:$B$1601,ROW()-1,Calc!$C$2:$C$1601,"&lt;1")&gt;0,"Ada PO tanpa Koli - cek TMP. ","")&amp;IF(OR($AU286="",$AU286&lt;=0),"Volume kosong/0 - dimensi dikosongkan. ","")&amp;IF(AND($AU286&lt;&gt;"",$AU286&gt;=1000000),"Volume &gt;= 1.000.000 cm3 (di luar aturan) - dimensi dikosongkan. ","")&amp;IF(LEN($R286)&gt;500,"R &gt; 500 karakter.","")))</f>
        <v/>
      </c>
      <c r="AS286" t="str">
        <f>IFERROR(MATCH(ROW()-1,Calc!$J$2:$J$1601,0),"")</f>
        <v/>
      </c>
      <c r="AT286" t="str">
        <f>IFERROR(MATCH(ROW()-1,Calc!$K$2:$K$1601,0),"")</f>
        <v/>
      </c>
      <c r="AU286" t="str">
        <f>IF($AS286="","",IFERROR(INDEX('TMP Paste'!$D$2:$D$1601,$AS286)*1000000/$AB286,""))</f>
        <v/>
      </c>
    </row>
    <row r="287" spans="1:47">
      <c r="A287" t="str">
        <f>IF($AS287="","",INDEX('TMP Paste'!$B$2:$B$1601,$AS287))</f>
        <v/>
      </c>
      <c r="B287" t="str">
        <f>IF($AS287="","",Config!$B$14)</f>
        <v/>
      </c>
      <c r="C287" t="str">
        <f>IF($AS287="","",Config!$B$15)</f>
        <v/>
      </c>
      <c r="D287" t="str">
        <f>IF($AS287="","",INDEX('TMP Paste'!$B$2:$B$1601,$AS287))</f>
        <v/>
      </c>
      <c r="E287" t="str">
        <f>IF($AS287="","",Config!$B$27)</f>
        <v/>
      </c>
      <c r="F287" t="str">
        <f>IF($AS287="","",Config!$B$9)</f>
        <v/>
      </c>
      <c r="G287" t="str">
        <f>IF($AS287="","",Config!$B$10)</f>
        <v/>
      </c>
      <c r="H287" t="str">
        <f>IF($AS287="","",Config!$B$11)</f>
        <v/>
      </c>
      <c r="I287" t="str">
        <f>IF($AS287="","",Config!$B$16)</f>
        <v/>
      </c>
      <c r="J287" t="str">
        <f>IF($AS287="","",INDEX('TMP Paste'!$A$2:$A$1601,$AS287))</f>
        <v/>
      </c>
      <c r="K287" t="str">
        <f>IF($AS287="","",INDEX('TMP Paste'!$L$2:$L$1601,$AS287))</f>
        <v/>
      </c>
      <c r="L287" t="str">
        <f>IF($AS287="","",INDEX('TMP Paste'!$I$2:$I$1601,$AS287))</f>
        <v/>
      </c>
      <c r="M287" t="str">
        <f>IF($AS287="","",Config!$B$16)</f>
        <v/>
      </c>
      <c r="N287" t="str">
        <f t="shared" si="24"/>
        <v/>
      </c>
      <c r="O287" t="str">
        <f>IF($AS287="","",INDEX('TMP Paste'!$K$2:$K$1601,$AS287))</f>
        <v/>
      </c>
      <c r="P287" t="str">
        <f t="shared" si="25"/>
        <v/>
      </c>
      <c r="Q287" t="str">
        <f>IF($AS287="","",INDEX('TMP Paste'!$J$2:$J$1601,$AS287))</f>
        <v/>
      </c>
      <c r="R287" t="str">
        <f>IF($AS287="","",Config!$B$24)</f>
        <v/>
      </c>
      <c r="S287" t="str">
        <f ca="1">IF($AS287="","",TEXT(Config!$B$4,"yyyy-mm-dd"))</f>
        <v/>
      </c>
      <c r="T287" t="str">
        <f>IF($AS287="","",Config!$B$17)</f>
        <v/>
      </c>
      <c r="U287" t="str">
        <f>IF($AS287="","",Config!$B$18)</f>
        <v/>
      </c>
      <c r="V287" t="str">
        <f>IF($AS287="","",Config!$B$19)</f>
        <v/>
      </c>
      <c r="W287" t="str">
        <f>IF($AS287="","",INDEX('TMP Paste'!$C$2:$C$1601,$AS287))</f>
        <v/>
      </c>
      <c r="X287" t="str">
        <f>IF($AS287="","",Config!$B$29)</f>
        <v/>
      </c>
      <c r="Y287" t="str">
        <f>IF($AT287="","",INDEX(Calc!$I$2:$I$1601,$AT287)&amp;" - "&amp;INDEX(Calc!$D$2:$D$1601,$AT287)&amp;" koli")</f>
        <v/>
      </c>
      <c r="Z287" t="str">
        <f>IF($AS287="","",Config!$B$21)</f>
        <v/>
      </c>
      <c r="AA287" t="str">
        <f>IF($AS287="","",Config!$B$22)</f>
        <v/>
      </c>
      <c r="AB287" t="str">
        <f>IF($AT287="","",INDEX(Calc!$D$2:$D$1601,$AT287))</f>
        <v/>
      </c>
      <c r="AC287" t="str">
        <f>IF($AT287="","",INDEX(Calc!$G$2:$G$1601,$AT287))</f>
        <v/>
      </c>
      <c r="AD287" t="str">
        <f>IF($AS287="","",Config!$B$23)</f>
        <v/>
      </c>
      <c r="AE287" t="str">
        <f>IF($AS287="","",Config!$B$28)</f>
        <v/>
      </c>
      <c r="AF287" t="str">
        <f t="shared" si="26"/>
        <v/>
      </c>
      <c r="AG287" t="str">
        <f t="shared" si="27"/>
        <v/>
      </c>
      <c r="AH287" t="str">
        <f t="shared" si="28"/>
        <v/>
      </c>
      <c r="AI287" t="str">
        <f>IF($AG287="","",SUMIF($AG$2:$AG287,$AG287,$AH$2:$AH287))</f>
        <v/>
      </c>
      <c r="AJ287" t="str">
        <f>IF('TMP Paste'!$F287="","",IF('TMP Paste'!$B287="",$AJ286,'TMP Paste'!$B287))</f>
        <v/>
      </c>
      <c r="AK287" t="str">
        <f>IF('TMP Paste'!$F287="","",N('TMP Paste'!$G287))</f>
        <v/>
      </c>
      <c r="AL287" t="str">
        <f>IF('TMP Paste'!$F287="","",IF('TMP Paste'!$M287="",$AL286,'TMP Paste'!$M287))</f>
        <v/>
      </c>
      <c r="AM287" t="str">
        <f>IF('TMP Paste'!$F287="","",IF('TMP Paste'!$N287="",$AM286,'TMP Paste'!$N287))</f>
        <v/>
      </c>
      <c r="AN287" t="str">
        <f>IF('TMP Paste'!$F287="","",IF('TMP Paste'!$O287="",$AN286,'TMP Paste'!$O287))</f>
        <v/>
      </c>
      <c r="AO287" t="str">
        <f>IF('TMP Paste'!$F287="","",IF('TMP Paste'!$P287="",$AO286,'TMP Paste'!$P287))</f>
        <v/>
      </c>
      <c r="AP287" t="str">
        <f t="shared" si="29"/>
        <v/>
      </c>
      <c r="AQ287" t="str">
        <f>IF($AS287="","",TRIM(IF(COUNTIFS(Calc!$B$2:$B$1601,ROW()-1,Calc!$C$2:$C$1601,"&lt;1")&gt;0,"Ada PO tanpa Koli - cek TMP. ","")&amp;IF(OR($AU287="",$AU287&lt;=0),"Volume kosong/0 - dimensi dikosongkan. ","")&amp;IF(AND($AU287&lt;&gt;"",$AU287&gt;=1000000),"Volume &gt;= 1.000.000 cm3 (di luar aturan) - dimensi dikosongkan. ","")&amp;IF(LEN($R287)&gt;500,"R &gt; 500 karakter.","")))</f>
        <v/>
      </c>
      <c r="AS287" t="str">
        <f>IFERROR(MATCH(ROW()-1,Calc!$J$2:$J$1601,0),"")</f>
        <v/>
      </c>
      <c r="AT287" t="str">
        <f>IFERROR(MATCH(ROW()-1,Calc!$K$2:$K$1601,0),"")</f>
        <v/>
      </c>
      <c r="AU287" t="str">
        <f>IF($AS287="","",IFERROR(INDEX('TMP Paste'!$D$2:$D$1601,$AS287)*1000000/$AB287,""))</f>
        <v/>
      </c>
    </row>
    <row r="288" spans="1:47">
      <c r="A288" t="str">
        <f>IF($AS288="","",INDEX('TMP Paste'!$B$2:$B$1601,$AS288))</f>
        <v/>
      </c>
      <c r="B288" t="str">
        <f>IF($AS288="","",Config!$B$14)</f>
        <v/>
      </c>
      <c r="C288" t="str">
        <f>IF($AS288="","",Config!$B$15)</f>
        <v/>
      </c>
      <c r="D288" t="str">
        <f>IF($AS288="","",INDEX('TMP Paste'!$B$2:$B$1601,$AS288))</f>
        <v/>
      </c>
      <c r="E288" t="str">
        <f>IF($AS288="","",Config!$B$27)</f>
        <v/>
      </c>
      <c r="F288" t="str">
        <f>IF($AS288="","",Config!$B$9)</f>
        <v/>
      </c>
      <c r="G288" t="str">
        <f>IF($AS288="","",Config!$B$10)</f>
        <v/>
      </c>
      <c r="H288" t="str">
        <f>IF($AS288="","",Config!$B$11)</f>
        <v/>
      </c>
      <c r="I288" t="str">
        <f>IF($AS288="","",Config!$B$16)</f>
        <v/>
      </c>
      <c r="J288" t="str">
        <f>IF($AS288="","",INDEX('TMP Paste'!$A$2:$A$1601,$AS288))</f>
        <v/>
      </c>
      <c r="K288" t="str">
        <f>IF($AS288="","",INDEX('TMP Paste'!$L$2:$L$1601,$AS288))</f>
        <v/>
      </c>
      <c r="L288" t="str">
        <f>IF($AS288="","",INDEX('TMP Paste'!$I$2:$I$1601,$AS288))</f>
        <v/>
      </c>
      <c r="M288" t="str">
        <f>IF($AS288="","",Config!$B$16)</f>
        <v/>
      </c>
      <c r="N288" t="str">
        <f t="shared" si="24"/>
        <v/>
      </c>
      <c r="O288" t="str">
        <f>IF($AS288="","",INDEX('TMP Paste'!$K$2:$K$1601,$AS288))</f>
        <v/>
      </c>
      <c r="P288" t="str">
        <f t="shared" si="25"/>
        <v/>
      </c>
      <c r="Q288" t="str">
        <f>IF($AS288="","",INDEX('TMP Paste'!$J$2:$J$1601,$AS288))</f>
        <v/>
      </c>
      <c r="R288" t="str">
        <f>IF($AS288="","",Config!$B$24)</f>
        <v/>
      </c>
      <c r="S288" t="str">
        <f ca="1">IF($AS288="","",TEXT(Config!$B$4,"yyyy-mm-dd"))</f>
        <v/>
      </c>
      <c r="T288" t="str">
        <f>IF($AS288="","",Config!$B$17)</f>
        <v/>
      </c>
      <c r="U288" t="str">
        <f>IF($AS288="","",Config!$B$18)</f>
        <v/>
      </c>
      <c r="V288" t="str">
        <f>IF($AS288="","",Config!$B$19)</f>
        <v/>
      </c>
      <c r="W288" t="str">
        <f>IF($AS288="","",INDEX('TMP Paste'!$C$2:$C$1601,$AS288))</f>
        <v/>
      </c>
      <c r="X288" t="str">
        <f>IF($AS288="","",Config!$B$29)</f>
        <v/>
      </c>
      <c r="Y288" t="str">
        <f>IF($AT288="","",INDEX(Calc!$I$2:$I$1601,$AT288)&amp;" - "&amp;INDEX(Calc!$D$2:$D$1601,$AT288)&amp;" koli")</f>
        <v/>
      </c>
      <c r="Z288" t="str">
        <f>IF($AS288="","",Config!$B$21)</f>
        <v/>
      </c>
      <c r="AA288" t="str">
        <f>IF($AS288="","",Config!$B$22)</f>
        <v/>
      </c>
      <c r="AB288" t="str">
        <f>IF($AT288="","",INDEX(Calc!$D$2:$D$1601,$AT288))</f>
        <v/>
      </c>
      <c r="AC288" t="str">
        <f>IF($AT288="","",INDEX(Calc!$G$2:$G$1601,$AT288))</f>
        <v/>
      </c>
      <c r="AD288" t="str">
        <f>IF($AS288="","",Config!$B$23)</f>
        <v/>
      </c>
      <c r="AE288" t="str">
        <f>IF($AS288="","",Config!$B$28)</f>
        <v/>
      </c>
      <c r="AF288" t="str">
        <f t="shared" si="26"/>
        <v/>
      </c>
      <c r="AG288" t="str">
        <f t="shared" si="27"/>
        <v/>
      </c>
      <c r="AH288" t="str">
        <f t="shared" si="28"/>
        <v/>
      </c>
      <c r="AI288" t="str">
        <f>IF($AG288="","",SUMIF($AG$2:$AG288,$AG288,$AH$2:$AH288))</f>
        <v/>
      </c>
      <c r="AJ288" t="str">
        <f>IF('TMP Paste'!$F288="","",IF('TMP Paste'!$B288="",$AJ287,'TMP Paste'!$B288))</f>
        <v/>
      </c>
      <c r="AK288" t="str">
        <f>IF('TMP Paste'!$F288="","",N('TMP Paste'!$G288))</f>
        <v/>
      </c>
      <c r="AL288" t="str">
        <f>IF('TMP Paste'!$F288="","",IF('TMP Paste'!$M288="",$AL287,'TMP Paste'!$M288))</f>
        <v/>
      </c>
      <c r="AM288" t="str">
        <f>IF('TMP Paste'!$F288="","",IF('TMP Paste'!$N288="",$AM287,'TMP Paste'!$N288))</f>
        <v/>
      </c>
      <c r="AN288" t="str">
        <f>IF('TMP Paste'!$F288="","",IF('TMP Paste'!$O288="",$AN287,'TMP Paste'!$O288))</f>
        <v/>
      </c>
      <c r="AO288" t="str">
        <f>IF('TMP Paste'!$F288="","",IF('TMP Paste'!$P288="",$AO287,'TMP Paste'!$P288))</f>
        <v/>
      </c>
      <c r="AP288" t="str">
        <f t="shared" si="29"/>
        <v/>
      </c>
      <c r="AQ288" t="str">
        <f>IF($AS288="","",TRIM(IF(COUNTIFS(Calc!$B$2:$B$1601,ROW()-1,Calc!$C$2:$C$1601,"&lt;1")&gt;0,"Ada PO tanpa Koli - cek TMP. ","")&amp;IF(OR($AU288="",$AU288&lt;=0),"Volume kosong/0 - dimensi dikosongkan. ","")&amp;IF(AND($AU288&lt;&gt;"",$AU288&gt;=1000000),"Volume &gt;= 1.000.000 cm3 (di luar aturan) - dimensi dikosongkan. ","")&amp;IF(LEN($R288)&gt;500,"R &gt; 500 karakter.","")))</f>
        <v/>
      </c>
      <c r="AS288" t="str">
        <f>IFERROR(MATCH(ROW()-1,Calc!$J$2:$J$1601,0),"")</f>
        <v/>
      </c>
      <c r="AT288" t="str">
        <f>IFERROR(MATCH(ROW()-1,Calc!$K$2:$K$1601,0),"")</f>
        <v/>
      </c>
      <c r="AU288" t="str">
        <f>IF($AS288="","",IFERROR(INDEX('TMP Paste'!$D$2:$D$1601,$AS288)*1000000/$AB288,""))</f>
        <v/>
      </c>
    </row>
    <row r="289" spans="1:47">
      <c r="A289" t="str">
        <f>IF($AS289="","",INDEX('TMP Paste'!$B$2:$B$1601,$AS289))</f>
        <v/>
      </c>
      <c r="B289" t="str">
        <f>IF($AS289="","",Config!$B$14)</f>
        <v/>
      </c>
      <c r="C289" t="str">
        <f>IF($AS289="","",Config!$B$15)</f>
        <v/>
      </c>
      <c r="D289" t="str">
        <f>IF($AS289="","",INDEX('TMP Paste'!$B$2:$B$1601,$AS289))</f>
        <v/>
      </c>
      <c r="E289" t="str">
        <f>IF($AS289="","",Config!$B$27)</f>
        <v/>
      </c>
      <c r="F289" t="str">
        <f>IF($AS289="","",Config!$B$9)</f>
        <v/>
      </c>
      <c r="G289" t="str">
        <f>IF($AS289="","",Config!$B$10)</f>
        <v/>
      </c>
      <c r="H289" t="str">
        <f>IF($AS289="","",Config!$B$11)</f>
        <v/>
      </c>
      <c r="I289" t="str">
        <f>IF($AS289="","",Config!$B$16)</f>
        <v/>
      </c>
      <c r="J289" t="str">
        <f>IF($AS289="","",INDEX('TMP Paste'!$A$2:$A$1601,$AS289))</f>
        <v/>
      </c>
      <c r="K289" t="str">
        <f>IF($AS289="","",INDEX('TMP Paste'!$L$2:$L$1601,$AS289))</f>
        <v/>
      </c>
      <c r="L289" t="str">
        <f>IF($AS289="","",INDEX('TMP Paste'!$I$2:$I$1601,$AS289))</f>
        <v/>
      </c>
      <c r="M289" t="str">
        <f>IF($AS289="","",Config!$B$16)</f>
        <v/>
      </c>
      <c r="N289" t="str">
        <f t="shared" si="24"/>
        <v/>
      </c>
      <c r="O289" t="str">
        <f>IF($AS289="","",INDEX('TMP Paste'!$K$2:$K$1601,$AS289))</f>
        <v/>
      </c>
      <c r="P289" t="str">
        <f t="shared" si="25"/>
        <v/>
      </c>
      <c r="Q289" t="str">
        <f>IF($AS289="","",INDEX('TMP Paste'!$J$2:$J$1601,$AS289))</f>
        <v/>
      </c>
      <c r="R289" t="str">
        <f>IF($AS289="","",Config!$B$24)</f>
        <v/>
      </c>
      <c r="S289" t="str">
        <f ca="1">IF($AS289="","",TEXT(Config!$B$4,"yyyy-mm-dd"))</f>
        <v/>
      </c>
      <c r="T289" t="str">
        <f>IF($AS289="","",Config!$B$17)</f>
        <v/>
      </c>
      <c r="U289" t="str">
        <f>IF($AS289="","",Config!$B$18)</f>
        <v/>
      </c>
      <c r="V289" t="str">
        <f>IF($AS289="","",Config!$B$19)</f>
        <v/>
      </c>
      <c r="W289" t="str">
        <f>IF($AS289="","",INDEX('TMP Paste'!$C$2:$C$1601,$AS289))</f>
        <v/>
      </c>
      <c r="X289" t="str">
        <f>IF($AS289="","",Config!$B$29)</f>
        <v/>
      </c>
      <c r="Y289" t="str">
        <f>IF($AT289="","",INDEX(Calc!$I$2:$I$1601,$AT289)&amp;" - "&amp;INDEX(Calc!$D$2:$D$1601,$AT289)&amp;" koli")</f>
        <v/>
      </c>
      <c r="Z289" t="str">
        <f>IF($AS289="","",Config!$B$21)</f>
        <v/>
      </c>
      <c r="AA289" t="str">
        <f>IF($AS289="","",Config!$B$22)</f>
        <v/>
      </c>
      <c r="AB289" t="str">
        <f>IF($AT289="","",INDEX(Calc!$D$2:$D$1601,$AT289))</f>
        <v/>
      </c>
      <c r="AC289" t="str">
        <f>IF($AT289="","",INDEX(Calc!$G$2:$G$1601,$AT289))</f>
        <v/>
      </c>
      <c r="AD289" t="str">
        <f>IF($AS289="","",Config!$B$23)</f>
        <v/>
      </c>
      <c r="AE289" t="str">
        <f>IF($AS289="","",Config!$B$28)</f>
        <v/>
      </c>
      <c r="AF289" t="str">
        <f t="shared" si="26"/>
        <v/>
      </c>
      <c r="AG289" t="str">
        <f t="shared" si="27"/>
        <v/>
      </c>
      <c r="AH289" t="str">
        <f t="shared" si="28"/>
        <v/>
      </c>
      <c r="AI289" t="str">
        <f>IF($AG289="","",SUMIF($AG$2:$AG289,$AG289,$AH$2:$AH289))</f>
        <v/>
      </c>
      <c r="AJ289" t="str">
        <f>IF('TMP Paste'!$F289="","",IF('TMP Paste'!$B289="",$AJ288,'TMP Paste'!$B289))</f>
        <v/>
      </c>
      <c r="AK289" t="str">
        <f>IF('TMP Paste'!$F289="","",N('TMP Paste'!$G289))</f>
        <v/>
      </c>
      <c r="AL289" t="str">
        <f>IF('TMP Paste'!$F289="","",IF('TMP Paste'!$M289="",$AL288,'TMP Paste'!$M289))</f>
        <v/>
      </c>
      <c r="AM289" t="str">
        <f>IF('TMP Paste'!$F289="","",IF('TMP Paste'!$N289="",$AM288,'TMP Paste'!$N289))</f>
        <v/>
      </c>
      <c r="AN289" t="str">
        <f>IF('TMP Paste'!$F289="","",IF('TMP Paste'!$O289="",$AN288,'TMP Paste'!$O289))</f>
        <v/>
      </c>
      <c r="AO289" t="str">
        <f>IF('TMP Paste'!$F289="","",IF('TMP Paste'!$P289="",$AO288,'TMP Paste'!$P289))</f>
        <v/>
      </c>
      <c r="AP289" t="str">
        <f t="shared" si="29"/>
        <v/>
      </c>
      <c r="AQ289" t="str">
        <f>IF($AS289="","",TRIM(IF(COUNTIFS(Calc!$B$2:$B$1601,ROW()-1,Calc!$C$2:$C$1601,"&lt;1")&gt;0,"Ada PO tanpa Koli - cek TMP. ","")&amp;IF(OR($AU289="",$AU289&lt;=0),"Volume kosong/0 - dimensi dikosongkan. ","")&amp;IF(AND($AU289&lt;&gt;"",$AU289&gt;=1000000),"Volume &gt;= 1.000.000 cm3 (di luar aturan) - dimensi dikosongkan. ","")&amp;IF(LEN($R289)&gt;500,"R &gt; 500 karakter.","")))</f>
        <v/>
      </c>
      <c r="AS289" t="str">
        <f>IFERROR(MATCH(ROW()-1,Calc!$J$2:$J$1601,0),"")</f>
        <v/>
      </c>
      <c r="AT289" t="str">
        <f>IFERROR(MATCH(ROW()-1,Calc!$K$2:$K$1601,0),"")</f>
        <v/>
      </c>
      <c r="AU289" t="str">
        <f>IF($AS289="","",IFERROR(INDEX('TMP Paste'!$D$2:$D$1601,$AS289)*1000000/$AB289,""))</f>
        <v/>
      </c>
    </row>
    <row r="290" spans="1:47">
      <c r="A290" t="str">
        <f>IF($AS290="","",INDEX('TMP Paste'!$B$2:$B$1601,$AS290))</f>
        <v/>
      </c>
      <c r="B290" t="str">
        <f>IF($AS290="","",Config!$B$14)</f>
        <v/>
      </c>
      <c r="C290" t="str">
        <f>IF($AS290="","",Config!$B$15)</f>
        <v/>
      </c>
      <c r="D290" t="str">
        <f>IF($AS290="","",INDEX('TMP Paste'!$B$2:$B$1601,$AS290))</f>
        <v/>
      </c>
      <c r="E290" t="str">
        <f>IF($AS290="","",Config!$B$27)</f>
        <v/>
      </c>
      <c r="F290" t="str">
        <f>IF($AS290="","",Config!$B$9)</f>
        <v/>
      </c>
      <c r="G290" t="str">
        <f>IF($AS290="","",Config!$B$10)</f>
        <v/>
      </c>
      <c r="H290" t="str">
        <f>IF($AS290="","",Config!$B$11)</f>
        <v/>
      </c>
      <c r="I290" t="str">
        <f>IF($AS290="","",Config!$B$16)</f>
        <v/>
      </c>
      <c r="J290" t="str">
        <f>IF($AS290="","",INDEX('TMP Paste'!$A$2:$A$1601,$AS290))</f>
        <v/>
      </c>
      <c r="K290" t="str">
        <f>IF($AS290="","",INDEX('TMP Paste'!$L$2:$L$1601,$AS290))</f>
        <v/>
      </c>
      <c r="L290" t="str">
        <f>IF($AS290="","",INDEX('TMP Paste'!$I$2:$I$1601,$AS290))</f>
        <v/>
      </c>
      <c r="M290" t="str">
        <f>IF($AS290="","",Config!$B$16)</f>
        <v/>
      </c>
      <c r="N290" t="str">
        <f t="shared" si="24"/>
        <v/>
      </c>
      <c r="O290" t="str">
        <f>IF($AS290="","",INDEX('TMP Paste'!$K$2:$K$1601,$AS290))</f>
        <v/>
      </c>
      <c r="P290" t="str">
        <f t="shared" si="25"/>
        <v/>
      </c>
      <c r="Q290" t="str">
        <f>IF($AS290="","",INDEX('TMP Paste'!$J$2:$J$1601,$AS290))</f>
        <v/>
      </c>
      <c r="R290" t="str">
        <f>IF($AS290="","",Config!$B$24)</f>
        <v/>
      </c>
      <c r="S290" t="str">
        <f ca="1">IF($AS290="","",TEXT(Config!$B$4,"yyyy-mm-dd"))</f>
        <v/>
      </c>
      <c r="T290" t="str">
        <f>IF($AS290="","",Config!$B$17)</f>
        <v/>
      </c>
      <c r="U290" t="str">
        <f>IF($AS290="","",Config!$B$18)</f>
        <v/>
      </c>
      <c r="V290" t="str">
        <f>IF($AS290="","",Config!$B$19)</f>
        <v/>
      </c>
      <c r="W290" t="str">
        <f>IF($AS290="","",INDEX('TMP Paste'!$C$2:$C$1601,$AS290))</f>
        <v/>
      </c>
      <c r="X290" t="str">
        <f>IF($AS290="","",Config!$B$29)</f>
        <v/>
      </c>
      <c r="Y290" t="str">
        <f>IF($AT290="","",INDEX(Calc!$I$2:$I$1601,$AT290)&amp;" - "&amp;INDEX(Calc!$D$2:$D$1601,$AT290)&amp;" koli")</f>
        <v/>
      </c>
      <c r="Z290" t="str">
        <f>IF($AS290="","",Config!$B$21)</f>
        <v/>
      </c>
      <c r="AA290" t="str">
        <f>IF($AS290="","",Config!$B$22)</f>
        <v/>
      </c>
      <c r="AB290" t="str">
        <f>IF($AT290="","",INDEX(Calc!$D$2:$D$1601,$AT290))</f>
        <v/>
      </c>
      <c r="AC290" t="str">
        <f>IF($AT290="","",INDEX(Calc!$G$2:$G$1601,$AT290))</f>
        <v/>
      </c>
      <c r="AD290" t="str">
        <f>IF($AS290="","",Config!$B$23)</f>
        <v/>
      </c>
      <c r="AE290" t="str">
        <f>IF($AS290="","",Config!$B$28)</f>
        <v/>
      </c>
      <c r="AF290" t="str">
        <f t="shared" si="26"/>
        <v/>
      </c>
      <c r="AG290" t="str">
        <f t="shared" si="27"/>
        <v/>
      </c>
      <c r="AH290" t="str">
        <f t="shared" si="28"/>
        <v/>
      </c>
      <c r="AI290" t="str">
        <f>IF($AG290="","",SUMIF($AG$2:$AG290,$AG290,$AH$2:$AH290))</f>
        <v/>
      </c>
      <c r="AJ290" t="str">
        <f>IF('TMP Paste'!$F290="","",IF('TMP Paste'!$B290="",$AJ289,'TMP Paste'!$B290))</f>
        <v/>
      </c>
      <c r="AK290" t="str">
        <f>IF('TMP Paste'!$F290="","",N('TMP Paste'!$G290))</f>
        <v/>
      </c>
      <c r="AL290" t="str">
        <f>IF('TMP Paste'!$F290="","",IF('TMP Paste'!$M290="",$AL289,'TMP Paste'!$M290))</f>
        <v/>
      </c>
      <c r="AM290" t="str">
        <f>IF('TMP Paste'!$F290="","",IF('TMP Paste'!$N290="",$AM289,'TMP Paste'!$N290))</f>
        <v/>
      </c>
      <c r="AN290" t="str">
        <f>IF('TMP Paste'!$F290="","",IF('TMP Paste'!$O290="",$AN289,'TMP Paste'!$O290))</f>
        <v/>
      </c>
      <c r="AO290" t="str">
        <f>IF('TMP Paste'!$F290="","",IF('TMP Paste'!$P290="",$AO289,'TMP Paste'!$P290))</f>
        <v/>
      </c>
      <c r="AP290" t="str">
        <f t="shared" si="29"/>
        <v/>
      </c>
      <c r="AQ290" t="str">
        <f>IF($AS290="","",TRIM(IF(COUNTIFS(Calc!$B$2:$B$1601,ROW()-1,Calc!$C$2:$C$1601,"&lt;1")&gt;0,"Ada PO tanpa Koli - cek TMP. ","")&amp;IF(OR($AU290="",$AU290&lt;=0),"Volume kosong/0 - dimensi dikosongkan. ","")&amp;IF(AND($AU290&lt;&gt;"",$AU290&gt;=1000000),"Volume &gt;= 1.000.000 cm3 (di luar aturan) - dimensi dikosongkan. ","")&amp;IF(LEN($R290)&gt;500,"R &gt; 500 karakter.","")))</f>
        <v/>
      </c>
      <c r="AS290" t="str">
        <f>IFERROR(MATCH(ROW()-1,Calc!$J$2:$J$1601,0),"")</f>
        <v/>
      </c>
      <c r="AT290" t="str">
        <f>IFERROR(MATCH(ROW()-1,Calc!$K$2:$K$1601,0),"")</f>
        <v/>
      </c>
      <c r="AU290" t="str">
        <f>IF($AS290="","",IFERROR(INDEX('TMP Paste'!$D$2:$D$1601,$AS290)*1000000/$AB290,""))</f>
        <v/>
      </c>
    </row>
    <row r="291" spans="1:47">
      <c r="A291" t="str">
        <f>IF($AS291="","",INDEX('TMP Paste'!$B$2:$B$1601,$AS291))</f>
        <v/>
      </c>
      <c r="B291" t="str">
        <f>IF($AS291="","",Config!$B$14)</f>
        <v/>
      </c>
      <c r="C291" t="str">
        <f>IF($AS291="","",Config!$B$15)</f>
        <v/>
      </c>
      <c r="D291" t="str">
        <f>IF($AS291="","",INDEX('TMP Paste'!$B$2:$B$1601,$AS291))</f>
        <v/>
      </c>
      <c r="E291" t="str">
        <f>IF($AS291="","",Config!$B$27)</f>
        <v/>
      </c>
      <c r="F291" t="str">
        <f>IF($AS291="","",Config!$B$9)</f>
        <v/>
      </c>
      <c r="G291" t="str">
        <f>IF($AS291="","",Config!$B$10)</f>
        <v/>
      </c>
      <c r="H291" t="str">
        <f>IF($AS291="","",Config!$B$11)</f>
        <v/>
      </c>
      <c r="I291" t="str">
        <f>IF($AS291="","",Config!$B$16)</f>
        <v/>
      </c>
      <c r="J291" t="str">
        <f>IF($AS291="","",INDEX('TMP Paste'!$A$2:$A$1601,$AS291))</f>
        <v/>
      </c>
      <c r="K291" t="str">
        <f>IF($AS291="","",INDEX('TMP Paste'!$L$2:$L$1601,$AS291))</f>
        <v/>
      </c>
      <c r="L291" t="str">
        <f>IF($AS291="","",INDEX('TMP Paste'!$I$2:$I$1601,$AS291))</f>
        <v/>
      </c>
      <c r="M291" t="str">
        <f>IF($AS291="","",Config!$B$16)</f>
        <v/>
      </c>
      <c r="N291" t="str">
        <f t="shared" si="24"/>
        <v/>
      </c>
      <c r="O291" t="str">
        <f>IF($AS291="","",INDEX('TMP Paste'!$K$2:$K$1601,$AS291))</f>
        <v/>
      </c>
      <c r="P291" t="str">
        <f t="shared" si="25"/>
        <v/>
      </c>
      <c r="Q291" t="str">
        <f>IF($AS291="","",INDEX('TMP Paste'!$J$2:$J$1601,$AS291))</f>
        <v/>
      </c>
      <c r="R291" t="str">
        <f>IF($AS291="","",Config!$B$24)</f>
        <v/>
      </c>
      <c r="S291" t="str">
        <f ca="1">IF($AS291="","",TEXT(Config!$B$4,"yyyy-mm-dd"))</f>
        <v/>
      </c>
      <c r="T291" t="str">
        <f>IF($AS291="","",Config!$B$17)</f>
        <v/>
      </c>
      <c r="U291" t="str">
        <f>IF($AS291="","",Config!$B$18)</f>
        <v/>
      </c>
      <c r="V291" t="str">
        <f>IF($AS291="","",Config!$B$19)</f>
        <v/>
      </c>
      <c r="W291" t="str">
        <f>IF($AS291="","",INDEX('TMP Paste'!$C$2:$C$1601,$AS291))</f>
        <v/>
      </c>
      <c r="X291" t="str">
        <f>IF($AS291="","",Config!$B$29)</f>
        <v/>
      </c>
      <c r="Y291" t="str">
        <f>IF($AT291="","",INDEX(Calc!$I$2:$I$1601,$AT291)&amp;" - "&amp;INDEX(Calc!$D$2:$D$1601,$AT291)&amp;" koli")</f>
        <v/>
      </c>
      <c r="Z291" t="str">
        <f>IF($AS291="","",Config!$B$21)</f>
        <v/>
      </c>
      <c r="AA291" t="str">
        <f>IF($AS291="","",Config!$B$22)</f>
        <v/>
      </c>
      <c r="AB291" t="str">
        <f>IF($AT291="","",INDEX(Calc!$D$2:$D$1601,$AT291))</f>
        <v/>
      </c>
      <c r="AC291" t="str">
        <f>IF($AT291="","",INDEX(Calc!$G$2:$G$1601,$AT291))</f>
        <v/>
      </c>
      <c r="AD291" t="str">
        <f>IF($AS291="","",Config!$B$23)</f>
        <v/>
      </c>
      <c r="AE291" t="str">
        <f>IF($AS291="","",Config!$B$28)</f>
        <v/>
      </c>
      <c r="AF291" t="str">
        <f t="shared" si="26"/>
        <v/>
      </c>
      <c r="AG291" t="str">
        <f t="shared" si="27"/>
        <v/>
      </c>
      <c r="AH291" t="str">
        <f t="shared" si="28"/>
        <v/>
      </c>
      <c r="AI291" t="str">
        <f>IF($AG291="","",SUMIF($AG$2:$AG291,$AG291,$AH$2:$AH291))</f>
        <v/>
      </c>
      <c r="AJ291" t="str">
        <f>IF('TMP Paste'!$F291="","",IF('TMP Paste'!$B291="",$AJ290,'TMP Paste'!$B291))</f>
        <v/>
      </c>
      <c r="AK291" t="str">
        <f>IF('TMP Paste'!$F291="","",N('TMP Paste'!$G291))</f>
        <v/>
      </c>
      <c r="AL291" t="str">
        <f>IF('TMP Paste'!$F291="","",IF('TMP Paste'!$M291="",$AL290,'TMP Paste'!$M291))</f>
        <v/>
      </c>
      <c r="AM291" t="str">
        <f>IF('TMP Paste'!$F291="","",IF('TMP Paste'!$N291="",$AM290,'TMP Paste'!$N291))</f>
        <v/>
      </c>
      <c r="AN291" t="str">
        <f>IF('TMP Paste'!$F291="","",IF('TMP Paste'!$O291="",$AN290,'TMP Paste'!$O291))</f>
        <v/>
      </c>
      <c r="AO291" t="str">
        <f>IF('TMP Paste'!$F291="","",IF('TMP Paste'!$P291="",$AO290,'TMP Paste'!$P291))</f>
        <v/>
      </c>
      <c r="AP291" t="str">
        <f t="shared" si="29"/>
        <v/>
      </c>
      <c r="AQ291" t="str">
        <f>IF($AS291="","",TRIM(IF(COUNTIFS(Calc!$B$2:$B$1601,ROW()-1,Calc!$C$2:$C$1601,"&lt;1")&gt;0,"Ada PO tanpa Koli - cek TMP. ","")&amp;IF(OR($AU291="",$AU291&lt;=0),"Volume kosong/0 - dimensi dikosongkan. ","")&amp;IF(AND($AU291&lt;&gt;"",$AU291&gt;=1000000),"Volume &gt;= 1.000.000 cm3 (di luar aturan) - dimensi dikosongkan. ","")&amp;IF(LEN($R291)&gt;500,"R &gt; 500 karakter.","")))</f>
        <v/>
      </c>
      <c r="AS291" t="str">
        <f>IFERROR(MATCH(ROW()-1,Calc!$J$2:$J$1601,0),"")</f>
        <v/>
      </c>
      <c r="AT291" t="str">
        <f>IFERROR(MATCH(ROW()-1,Calc!$K$2:$K$1601,0),"")</f>
        <v/>
      </c>
      <c r="AU291" t="str">
        <f>IF($AS291="","",IFERROR(INDEX('TMP Paste'!$D$2:$D$1601,$AS291)*1000000/$AB291,""))</f>
        <v/>
      </c>
    </row>
    <row r="292" spans="1:47">
      <c r="A292" t="str">
        <f>IF($AS292="","",INDEX('TMP Paste'!$B$2:$B$1601,$AS292))</f>
        <v/>
      </c>
      <c r="B292" t="str">
        <f>IF($AS292="","",Config!$B$14)</f>
        <v/>
      </c>
      <c r="C292" t="str">
        <f>IF($AS292="","",Config!$B$15)</f>
        <v/>
      </c>
      <c r="D292" t="str">
        <f>IF($AS292="","",INDEX('TMP Paste'!$B$2:$B$1601,$AS292))</f>
        <v/>
      </c>
      <c r="E292" t="str">
        <f>IF($AS292="","",Config!$B$27)</f>
        <v/>
      </c>
      <c r="F292" t="str">
        <f>IF($AS292="","",Config!$B$9)</f>
        <v/>
      </c>
      <c r="G292" t="str">
        <f>IF($AS292="","",Config!$B$10)</f>
        <v/>
      </c>
      <c r="H292" t="str">
        <f>IF($AS292="","",Config!$B$11)</f>
        <v/>
      </c>
      <c r="I292" t="str">
        <f>IF($AS292="","",Config!$B$16)</f>
        <v/>
      </c>
      <c r="J292" t="str">
        <f>IF($AS292="","",INDEX('TMP Paste'!$A$2:$A$1601,$AS292))</f>
        <v/>
      </c>
      <c r="K292" t="str">
        <f>IF($AS292="","",INDEX('TMP Paste'!$L$2:$L$1601,$AS292))</f>
        <v/>
      </c>
      <c r="L292" t="str">
        <f>IF($AS292="","",INDEX('TMP Paste'!$I$2:$I$1601,$AS292))</f>
        <v/>
      </c>
      <c r="M292" t="str">
        <f>IF($AS292="","",Config!$B$16)</f>
        <v/>
      </c>
      <c r="N292" t="str">
        <f t="shared" si="24"/>
        <v/>
      </c>
      <c r="O292" t="str">
        <f>IF($AS292="","",INDEX('TMP Paste'!$K$2:$K$1601,$AS292))</f>
        <v/>
      </c>
      <c r="P292" t="str">
        <f t="shared" si="25"/>
        <v/>
      </c>
      <c r="Q292" t="str">
        <f>IF($AS292="","",INDEX('TMP Paste'!$J$2:$J$1601,$AS292))</f>
        <v/>
      </c>
      <c r="R292" t="str">
        <f>IF($AS292="","",Config!$B$24)</f>
        <v/>
      </c>
      <c r="S292" t="str">
        <f ca="1">IF($AS292="","",TEXT(Config!$B$4,"yyyy-mm-dd"))</f>
        <v/>
      </c>
      <c r="T292" t="str">
        <f>IF($AS292="","",Config!$B$17)</f>
        <v/>
      </c>
      <c r="U292" t="str">
        <f>IF($AS292="","",Config!$B$18)</f>
        <v/>
      </c>
      <c r="V292" t="str">
        <f>IF($AS292="","",Config!$B$19)</f>
        <v/>
      </c>
      <c r="W292" t="str">
        <f>IF($AS292="","",INDEX('TMP Paste'!$C$2:$C$1601,$AS292))</f>
        <v/>
      </c>
      <c r="X292" t="str">
        <f>IF($AS292="","",Config!$B$29)</f>
        <v/>
      </c>
      <c r="Y292" t="str">
        <f>IF($AT292="","",INDEX(Calc!$I$2:$I$1601,$AT292)&amp;" - "&amp;INDEX(Calc!$D$2:$D$1601,$AT292)&amp;" koli")</f>
        <v/>
      </c>
      <c r="Z292" t="str">
        <f>IF($AS292="","",Config!$B$21)</f>
        <v/>
      </c>
      <c r="AA292" t="str">
        <f>IF($AS292="","",Config!$B$22)</f>
        <v/>
      </c>
      <c r="AB292" t="str">
        <f>IF($AT292="","",INDEX(Calc!$D$2:$D$1601,$AT292))</f>
        <v/>
      </c>
      <c r="AC292" t="str">
        <f>IF($AT292="","",INDEX(Calc!$G$2:$G$1601,$AT292))</f>
        <v/>
      </c>
      <c r="AD292" t="str">
        <f>IF($AS292="","",Config!$B$23)</f>
        <v/>
      </c>
      <c r="AE292" t="str">
        <f>IF($AS292="","",Config!$B$28)</f>
        <v/>
      </c>
      <c r="AF292" t="str">
        <f t="shared" si="26"/>
        <v/>
      </c>
      <c r="AG292" t="str">
        <f t="shared" si="27"/>
        <v/>
      </c>
      <c r="AH292" t="str">
        <f t="shared" si="28"/>
        <v/>
      </c>
      <c r="AI292" t="str">
        <f>IF($AG292="","",SUMIF($AG$2:$AG292,$AG292,$AH$2:$AH292))</f>
        <v/>
      </c>
      <c r="AJ292" t="str">
        <f>IF('TMP Paste'!$F292="","",IF('TMP Paste'!$B292="",$AJ291,'TMP Paste'!$B292))</f>
        <v/>
      </c>
      <c r="AK292" t="str">
        <f>IF('TMP Paste'!$F292="","",N('TMP Paste'!$G292))</f>
        <v/>
      </c>
      <c r="AL292" t="str">
        <f>IF('TMP Paste'!$F292="","",IF('TMP Paste'!$M292="",$AL291,'TMP Paste'!$M292))</f>
        <v/>
      </c>
      <c r="AM292" t="str">
        <f>IF('TMP Paste'!$F292="","",IF('TMP Paste'!$N292="",$AM291,'TMP Paste'!$N292))</f>
        <v/>
      </c>
      <c r="AN292" t="str">
        <f>IF('TMP Paste'!$F292="","",IF('TMP Paste'!$O292="",$AN291,'TMP Paste'!$O292))</f>
        <v/>
      </c>
      <c r="AO292" t="str">
        <f>IF('TMP Paste'!$F292="","",IF('TMP Paste'!$P292="",$AO291,'TMP Paste'!$P292))</f>
        <v/>
      </c>
      <c r="AP292" t="str">
        <f t="shared" si="29"/>
        <v/>
      </c>
      <c r="AQ292" t="str">
        <f>IF($AS292="","",TRIM(IF(COUNTIFS(Calc!$B$2:$B$1601,ROW()-1,Calc!$C$2:$C$1601,"&lt;1")&gt;0,"Ada PO tanpa Koli - cek TMP. ","")&amp;IF(OR($AU292="",$AU292&lt;=0),"Volume kosong/0 - dimensi dikosongkan. ","")&amp;IF(AND($AU292&lt;&gt;"",$AU292&gt;=1000000),"Volume &gt;= 1.000.000 cm3 (di luar aturan) - dimensi dikosongkan. ","")&amp;IF(LEN($R292)&gt;500,"R &gt; 500 karakter.","")))</f>
        <v/>
      </c>
      <c r="AS292" t="str">
        <f>IFERROR(MATCH(ROW()-1,Calc!$J$2:$J$1601,0),"")</f>
        <v/>
      </c>
      <c r="AT292" t="str">
        <f>IFERROR(MATCH(ROW()-1,Calc!$K$2:$K$1601,0),"")</f>
        <v/>
      </c>
      <c r="AU292" t="str">
        <f>IF($AS292="","",IFERROR(INDEX('TMP Paste'!$D$2:$D$1601,$AS292)*1000000/$AB292,""))</f>
        <v/>
      </c>
    </row>
    <row r="293" spans="1:47">
      <c r="A293" t="str">
        <f>IF($AS293="","",INDEX('TMP Paste'!$B$2:$B$1601,$AS293))</f>
        <v/>
      </c>
      <c r="B293" t="str">
        <f>IF($AS293="","",Config!$B$14)</f>
        <v/>
      </c>
      <c r="C293" t="str">
        <f>IF($AS293="","",Config!$B$15)</f>
        <v/>
      </c>
      <c r="D293" t="str">
        <f>IF($AS293="","",INDEX('TMP Paste'!$B$2:$B$1601,$AS293))</f>
        <v/>
      </c>
      <c r="E293" t="str">
        <f>IF($AS293="","",Config!$B$27)</f>
        <v/>
      </c>
      <c r="F293" t="str">
        <f>IF($AS293="","",Config!$B$9)</f>
        <v/>
      </c>
      <c r="G293" t="str">
        <f>IF($AS293="","",Config!$B$10)</f>
        <v/>
      </c>
      <c r="H293" t="str">
        <f>IF($AS293="","",Config!$B$11)</f>
        <v/>
      </c>
      <c r="I293" t="str">
        <f>IF($AS293="","",Config!$B$16)</f>
        <v/>
      </c>
      <c r="J293" t="str">
        <f>IF($AS293="","",INDEX('TMP Paste'!$A$2:$A$1601,$AS293))</f>
        <v/>
      </c>
      <c r="K293" t="str">
        <f>IF($AS293="","",INDEX('TMP Paste'!$L$2:$L$1601,$AS293))</f>
        <v/>
      </c>
      <c r="L293" t="str">
        <f>IF($AS293="","",INDEX('TMP Paste'!$I$2:$I$1601,$AS293))</f>
        <v/>
      </c>
      <c r="M293" t="str">
        <f>IF($AS293="","",Config!$B$16)</f>
        <v/>
      </c>
      <c r="N293" t="str">
        <f t="shared" si="24"/>
        <v/>
      </c>
      <c r="O293" t="str">
        <f>IF($AS293="","",INDEX('TMP Paste'!$K$2:$K$1601,$AS293))</f>
        <v/>
      </c>
      <c r="P293" t="str">
        <f t="shared" si="25"/>
        <v/>
      </c>
      <c r="Q293" t="str">
        <f>IF($AS293="","",INDEX('TMP Paste'!$J$2:$J$1601,$AS293))</f>
        <v/>
      </c>
      <c r="R293" t="str">
        <f>IF($AS293="","",Config!$B$24)</f>
        <v/>
      </c>
      <c r="S293" t="str">
        <f ca="1">IF($AS293="","",TEXT(Config!$B$4,"yyyy-mm-dd"))</f>
        <v/>
      </c>
      <c r="T293" t="str">
        <f>IF($AS293="","",Config!$B$17)</f>
        <v/>
      </c>
      <c r="U293" t="str">
        <f>IF($AS293="","",Config!$B$18)</f>
        <v/>
      </c>
      <c r="V293" t="str">
        <f>IF($AS293="","",Config!$B$19)</f>
        <v/>
      </c>
      <c r="W293" t="str">
        <f>IF($AS293="","",INDEX('TMP Paste'!$C$2:$C$1601,$AS293))</f>
        <v/>
      </c>
      <c r="X293" t="str">
        <f>IF($AS293="","",Config!$B$29)</f>
        <v/>
      </c>
      <c r="Y293" t="str">
        <f>IF($AT293="","",INDEX(Calc!$I$2:$I$1601,$AT293)&amp;" - "&amp;INDEX(Calc!$D$2:$D$1601,$AT293)&amp;" koli")</f>
        <v/>
      </c>
      <c r="Z293" t="str">
        <f>IF($AS293="","",Config!$B$21)</f>
        <v/>
      </c>
      <c r="AA293" t="str">
        <f>IF($AS293="","",Config!$B$22)</f>
        <v/>
      </c>
      <c r="AB293" t="str">
        <f>IF($AT293="","",INDEX(Calc!$D$2:$D$1601,$AT293))</f>
        <v/>
      </c>
      <c r="AC293" t="str">
        <f>IF($AT293="","",INDEX(Calc!$G$2:$G$1601,$AT293))</f>
        <v/>
      </c>
      <c r="AD293" t="str">
        <f>IF($AS293="","",Config!$B$23)</f>
        <v/>
      </c>
      <c r="AE293" t="str">
        <f>IF($AS293="","",Config!$B$28)</f>
        <v/>
      </c>
      <c r="AF293" t="str">
        <f t="shared" si="26"/>
        <v/>
      </c>
      <c r="AG293" t="str">
        <f t="shared" si="27"/>
        <v/>
      </c>
      <c r="AH293" t="str">
        <f t="shared" si="28"/>
        <v/>
      </c>
      <c r="AI293" t="str">
        <f>IF($AG293="","",SUMIF($AG$2:$AG293,$AG293,$AH$2:$AH293))</f>
        <v/>
      </c>
      <c r="AJ293" t="str">
        <f>IF('TMP Paste'!$F293="","",IF('TMP Paste'!$B293="",$AJ292,'TMP Paste'!$B293))</f>
        <v/>
      </c>
      <c r="AK293" t="str">
        <f>IF('TMP Paste'!$F293="","",N('TMP Paste'!$G293))</f>
        <v/>
      </c>
      <c r="AL293" t="str">
        <f>IF('TMP Paste'!$F293="","",IF('TMP Paste'!$M293="",$AL292,'TMP Paste'!$M293))</f>
        <v/>
      </c>
      <c r="AM293" t="str">
        <f>IF('TMP Paste'!$F293="","",IF('TMP Paste'!$N293="",$AM292,'TMP Paste'!$N293))</f>
        <v/>
      </c>
      <c r="AN293" t="str">
        <f>IF('TMP Paste'!$F293="","",IF('TMP Paste'!$O293="",$AN292,'TMP Paste'!$O293))</f>
        <v/>
      </c>
      <c r="AO293" t="str">
        <f>IF('TMP Paste'!$F293="","",IF('TMP Paste'!$P293="",$AO292,'TMP Paste'!$P293))</f>
        <v/>
      </c>
      <c r="AP293" t="str">
        <f t="shared" si="29"/>
        <v/>
      </c>
      <c r="AQ293" t="str">
        <f>IF($AS293="","",TRIM(IF(COUNTIFS(Calc!$B$2:$B$1601,ROW()-1,Calc!$C$2:$C$1601,"&lt;1")&gt;0,"Ada PO tanpa Koli - cek TMP. ","")&amp;IF(OR($AU293="",$AU293&lt;=0),"Volume kosong/0 - dimensi dikosongkan. ","")&amp;IF(AND($AU293&lt;&gt;"",$AU293&gt;=1000000),"Volume &gt;= 1.000.000 cm3 (di luar aturan) - dimensi dikosongkan. ","")&amp;IF(LEN($R293)&gt;500,"R &gt; 500 karakter.","")))</f>
        <v/>
      </c>
      <c r="AS293" t="str">
        <f>IFERROR(MATCH(ROW()-1,Calc!$J$2:$J$1601,0),"")</f>
        <v/>
      </c>
      <c r="AT293" t="str">
        <f>IFERROR(MATCH(ROW()-1,Calc!$K$2:$K$1601,0),"")</f>
        <v/>
      </c>
      <c r="AU293" t="str">
        <f>IF($AS293="","",IFERROR(INDEX('TMP Paste'!$D$2:$D$1601,$AS293)*1000000/$AB293,""))</f>
        <v/>
      </c>
    </row>
    <row r="294" spans="1:47">
      <c r="A294" t="str">
        <f>IF($AS294="","",INDEX('TMP Paste'!$B$2:$B$1601,$AS294))</f>
        <v/>
      </c>
      <c r="B294" t="str">
        <f>IF($AS294="","",Config!$B$14)</f>
        <v/>
      </c>
      <c r="C294" t="str">
        <f>IF($AS294="","",Config!$B$15)</f>
        <v/>
      </c>
      <c r="D294" t="str">
        <f>IF($AS294="","",INDEX('TMP Paste'!$B$2:$B$1601,$AS294))</f>
        <v/>
      </c>
      <c r="E294" t="str">
        <f>IF($AS294="","",Config!$B$27)</f>
        <v/>
      </c>
      <c r="F294" t="str">
        <f>IF($AS294="","",Config!$B$9)</f>
        <v/>
      </c>
      <c r="G294" t="str">
        <f>IF($AS294="","",Config!$B$10)</f>
        <v/>
      </c>
      <c r="H294" t="str">
        <f>IF($AS294="","",Config!$B$11)</f>
        <v/>
      </c>
      <c r="I294" t="str">
        <f>IF($AS294="","",Config!$B$16)</f>
        <v/>
      </c>
      <c r="J294" t="str">
        <f>IF($AS294="","",INDEX('TMP Paste'!$A$2:$A$1601,$AS294))</f>
        <v/>
      </c>
      <c r="K294" t="str">
        <f>IF($AS294="","",INDEX('TMP Paste'!$L$2:$L$1601,$AS294))</f>
        <v/>
      </c>
      <c r="L294" t="str">
        <f>IF($AS294="","",INDEX('TMP Paste'!$I$2:$I$1601,$AS294))</f>
        <v/>
      </c>
      <c r="M294" t="str">
        <f>IF($AS294="","",Config!$B$16)</f>
        <v/>
      </c>
      <c r="N294" t="str">
        <f t="shared" si="24"/>
        <v/>
      </c>
      <c r="O294" t="str">
        <f>IF($AS294="","",INDEX('TMP Paste'!$K$2:$K$1601,$AS294))</f>
        <v/>
      </c>
      <c r="P294" t="str">
        <f t="shared" si="25"/>
        <v/>
      </c>
      <c r="Q294" t="str">
        <f>IF($AS294="","",INDEX('TMP Paste'!$J$2:$J$1601,$AS294))</f>
        <v/>
      </c>
      <c r="R294" t="str">
        <f>IF($AS294="","",Config!$B$24)</f>
        <v/>
      </c>
      <c r="S294" t="str">
        <f ca="1">IF($AS294="","",TEXT(Config!$B$4,"yyyy-mm-dd"))</f>
        <v/>
      </c>
      <c r="T294" t="str">
        <f>IF($AS294="","",Config!$B$17)</f>
        <v/>
      </c>
      <c r="U294" t="str">
        <f>IF($AS294="","",Config!$B$18)</f>
        <v/>
      </c>
      <c r="V294" t="str">
        <f>IF($AS294="","",Config!$B$19)</f>
        <v/>
      </c>
      <c r="W294" t="str">
        <f>IF($AS294="","",INDEX('TMP Paste'!$C$2:$C$1601,$AS294))</f>
        <v/>
      </c>
      <c r="X294" t="str">
        <f>IF($AS294="","",Config!$B$29)</f>
        <v/>
      </c>
      <c r="Y294" t="str">
        <f>IF($AT294="","",INDEX(Calc!$I$2:$I$1601,$AT294)&amp;" - "&amp;INDEX(Calc!$D$2:$D$1601,$AT294)&amp;" koli")</f>
        <v/>
      </c>
      <c r="Z294" t="str">
        <f>IF($AS294="","",Config!$B$21)</f>
        <v/>
      </c>
      <c r="AA294" t="str">
        <f>IF($AS294="","",Config!$B$22)</f>
        <v/>
      </c>
      <c r="AB294" t="str">
        <f>IF($AT294="","",INDEX(Calc!$D$2:$D$1601,$AT294))</f>
        <v/>
      </c>
      <c r="AC294" t="str">
        <f>IF($AT294="","",INDEX(Calc!$G$2:$G$1601,$AT294))</f>
        <v/>
      </c>
      <c r="AD294" t="str">
        <f>IF($AS294="","",Config!$B$23)</f>
        <v/>
      </c>
      <c r="AE294" t="str">
        <f>IF($AS294="","",Config!$B$28)</f>
        <v/>
      </c>
      <c r="AF294" t="str">
        <f t="shared" si="26"/>
        <v/>
      </c>
      <c r="AG294" t="str">
        <f t="shared" si="27"/>
        <v/>
      </c>
      <c r="AH294" t="str">
        <f t="shared" si="28"/>
        <v/>
      </c>
      <c r="AI294" t="str">
        <f>IF($AG294="","",SUMIF($AG$2:$AG294,$AG294,$AH$2:$AH294))</f>
        <v/>
      </c>
      <c r="AJ294" t="str">
        <f>IF('TMP Paste'!$F294="","",IF('TMP Paste'!$B294="",$AJ293,'TMP Paste'!$B294))</f>
        <v/>
      </c>
      <c r="AK294" t="str">
        <f>IF('TMP Paste'!$F294="","",N('TMP Paste'!$G294))</f>
        <v/>
      </c>
      <c r="AL294" t="str">
        <f>IF('TMP Paste'!$F294="","",IF('TMP Paste'!$M294="",$AL293,'TMP Paste'!$M294))</f>
        <v/>
      </c>
      <c r="AM294" t="str">
        <f>IF('TMP Paste'!$F294="","",IF('TMP Paste'!$N294="",$AM293,'TMP Paste'!$N294))</f>
        <v/>
      </c>
      <c r="AN294" t="str">
        <f>IF('TMP Paste'!$F294="","",IF('TMP Paste'!$O294="",$AN293,'TMP Paste'!$O294))</f>
        <v/>
      </c>
      <c r="AO294" t="str">
        <f>IF('TMP Paste'!$F294="","",IF('TMP Paste'!$P294="",$AO293,'TMP Paste'!$P294))</f>
        <v/>
      </c>
      <c r="AP294" t="str">
        <f t="shared" si="29"/>
        <v/>
      </c>
      <c r="AQ294" t="str">
        <f>IF($AS294="","",TRIM(IF(COUNTIFS(Calc!$B$2:$B$1601,ROW()-1,Calc!$C$2:$C$1601,"&lt;1")&gt;0,"Ada PO tanpa Koli - cek TMP. ","")&amp;IF(OR($AU294="",$AU294&lt;=0),"Volume kosong/0 - dimensi dikosongkan. ","")&amp;IF(AND($AU294&lt;&gt;"",$AU294&gt;=1000000),"Volume &gt;= 1.000.000 cm3 (di luar aturan) - dimensi dikosongkan. ","")&amp;IF(LEN($R294)&gt;500,"R &gt; 500 karakter.","")))</f>
        <v/>
      </c>
      <c r="AS294" t="str">
        <f>IFERROR(MATCH(ROW()-1,Calc!$J$2:$J$1601,0),"")</f>
        <v/>
      </c>
      <c r="AT294" t="str">
        <f>IFERROR(MATCH(ROW()-1,Calc!$K$2:$K$1601,0),"")</f>
        <v/>
      </c>
      <c r="AU294" t="str">
        <f>IF($AS294="","",IFERROR(INDEX('TMP Paste'!$D$2:$D$1601,$AS294)*1000000/$AB294,""))</f>
        <v/>
      </c>
    </row>
    <row r="295" spans="1:47">
      <c r="A295" t="str">
        <f>IF($AS295="","",INDEX('TMP Paste'!$B$2:$B$1601,$AS295))</f>
        <v/>
      </c>
      <c r="B295" t="str">
        <f>IF($AS295="","",Config!$B$14)</f>
        <v/>
      </c>
      <c r="C295" t="str">
        <f>IF($AS295="","",Config!$B$15)</f>
        <v/>
      </c>
      <c r="D295" t="str">
        <f>IF($AS295="","",INDEX('TMP Paste'!$B$2:$B$1601,$AS295))</f>
        <v/>
      </c>
      <c r="E295" t="str">
        <f>IF($AS295="","",Config!$B$27)</f>
        <v/>
      </c>
      <c r="F295" t="str">
        <f>IF($AS295="","",Config!$B$9)</f>
        <v/>
      </c>
      <c r="G295" t="str">
        <f>IF($AS295="","",Config!$B$10)</f>
        <v/>
      </c>
      <c r="H295" t="str">
        <f>IF($AS295="","",Config!$B$11)</f>
        <v/>
      </c>
      <c r="I295" t="str">
        <f>IF($AS295="","",Config!$B$16)</f>
        <v/>
      </c>
      <c r="J295" t="str">
        <f>IF($AS295="","",INDEX('TMP Paste'!$A$2:$A$1601,$AS295))</f>
        <v/>
      </c>
      <c r="K295" t="str">
        <f>IF($AS295="","",INDEX('TMP Paste'!$L$2:$L$1601,$AS295))</f>
        <v/>
      </c>
      <c r="L295" t="str">
        <f>IF($AS295="","",INDEX('TMP Paste'!$I$2:$I$1601,$AS295))</f>
        <v/>
      </c>
      <c r="M295" t="str">
        <f>IF($AS295="","",Config!$B$16)</f>
        <v/>
      </c>
      <c r="N295" t="str">
        <f t="shared" si="24"/>
        <v/>
      </c>
      <c r="O295" t="str">
        <f>IF($AS295="","",INDEX('TMP Paste'!$K$2:$K$1601,$AS295))</f>
        <v/>
      </c>
      <c r="P295" t="str">
        <f t="shared" si="25"/>
        <v/>
      </c>
      <c r="Q295" t="str">
        <f>IF($AS295="","",INDEX('TMP Paste'!$J$2:$J$1601,$AS295))</f>
        <v/>
      </c>
      <c r="R295" t="str">
        <f>IF($AS295="","",Config!$B$24)</f>
        <v/>
      </c>
      <c r="S295" t="str">
        <f ca="1">IF($AS295="","",TEXT(Config!$B$4,"yyyy-mm-dd"))</f>
        <v/>
      </c>
      <c r="T295" t="str">
        <f>IF($AS295="","",Config!$B$17)</f>
        <v/>
      </c>
      <c r="U295" t="str">
        <f>IF($AS295="","",Config!$B$18)</f>
        <v/>
      </c>
      <c r="V295" t="str">
        <f>IF($AS295="","",Config!$B$19)</f>
        <v/>
      </c>
      <c r="W295" t="str">
        <f>IF($AS295="","",INDEX('TMP Paste'!$C$2:$C$1601,$AS295))</f>
        <v/>
      </c>
      <c r="X295" t="str">
        <f>IF($AS295="","",Config!$B$29)</f>
        <v/>
      </c>
      <c r="Y295" t="str">
        <f>IF($AT295="","",INDEX(Calc!$I$2:$I$1601,$AT295)&amp;" - "&amp;INDEX(Calc!$D$2:$D$1601,$AT295)&amp;" koli")</f>
        <v/>
      </c>
      <c r="Z295" t="str">
        <f>IF($AS295="","",Config!$B$21)</f>
        <v/>
      </c>
      <c r="AA295" t="str">
        <f>IF($AS295="","",Config!$B$22)</f>
        <v/>
      </c>
      <c r="AB295" t="str">
        <f>IF($AT295="","",INDEX(Calc!$D$2:$D$1601,$AT295))</f>
        <v/>
      </c>
      <c r="AC295" t="str">
        <f>IF($AT295="","",INDEX(Calc!$G$2:$G$1601,$AT295))</f>
        <v/>
      </c>
      <c r="AD295" t="str">
        <f>IF($AS295="","",Config!$B$23)</f>
        <v/>
      </c>
      <c r="AE295" t="str">
        <f>IF($AS295="","",Config!$B$28)</f>
        <v/>
      </c>
      <c r="AF295" t="str">
        <f t="shared" si="26"/>
        <v/>
      </c>
      <c r="AG295" t="str">
        <f t="shared" si="27"/>
        <v/>
      </c>
      <c r="AH295" t="str">
        <f t="shared" si="28"/>
        <v/>
      </c>
      <c r="AI295" t="str">
        <f>IF($AG295="","",SUMIF($AG$2:$AG295,$AG295,$AH$2:$AH295))</f>
        <v/>
      </c>
      <c r="AJ295" t="str">
        <f>IF('TMP Paste'!$F295="","",IF('TMP Paste'!$B295="",$AJ294,'TMP Paste'!$B295))</f>
        <v/>
      </c>
      <c r="AK295" t="str">
        <f>IF('TMP Paste'!$F295="","",N('TMP Paste'!$G295))</f>
        <v/>
      </c>
      <c r="AL295" t="str">
        <f>IF('TMP Paste'!$F295="","",IF('TMP Paste'!$M295="",$AL294,'TMP Paste'!$M295))</f>
        <v/>
      </c>
      <c r="AM295" t="str">
        <f>IF('TMP Paste'!$F295="","",IF('TMP Paste'!$N295="",$AM294,'TMP Paste'!$N295))</f>
        <v/>
      </c>
      <c r="AN295" t="str">
        <f>IF('TMP Paste'!$F295="","",IF('TMP Paste'!$O295="",$AN294,'TMP Paste'!$O295))</f>
        <v/>
      </c>
      <c r="AO295" t="str">
        <f>IF('TMP Paste'!$F295="","",IF('TMP Paste'!$P295="",$AO294,'TMP Paste'!$P295))</f>
        <v/>
      </c>
      <c r="AP295" t="str">
        <f t="shared" si="29"/>
        <v/>
      </c>
      <c r="AQ295" t="str">
        <f>IF($AS295="","",TRIM(IF(COUNTIFS(Calc!$B$2:$B$1601,ROW()-1,Calc!$C$2:$C$1601,"&lt;1")&gt;0,"Ada PO tanpa Koli - cek TMP. ","")&amp;IF(OR($AU295="",$AU295&lt;=0),"Volume kosong/0 - dimensi dikosongkan. ","")&amp;IF(AND($AU295&lt;&gt;"",$AU295&gt;=1000000),"Volume &gt;= 1.000.000 cm3 (di luar aturan) - dimensi dikosongkan. ","")&amp;IF(LEN($R295)&gt;500,"R &gt; 500 karakter.","")))</f>
        <v/>
      </c>
      <c r="AS295" t="str">
        <f>IFERROR(MATCH(ROW()-1,Calc!$J$2:$J$1601,0),"")</f>
        <v/>
      </c>
      <c r="AT295" t="str">
        <f>IFERROR(MATCH(ROW()-1,Calc!$K$2:$K$1601,0),"")</f>
        <v/>
      </c>
      <c r="AU295" t="str">
        <f>IF($AS295="","",IFERROR(INDEX('TMP Paste'!$D$2:$D$1601,$AS295)*1000000/$AB295,""))</f>
        <v/>
      </c>
    </row>
    <row r="296" spans="1:47">
      <c r="A296" t="str">
        <f>IF($AS296="","",INDEX('TMP Paste'!$B$2:$B$1601,$AS296))</f>
        <v/>
      </c>
      <c r="B296" t="str">
        <f>IF($AS296="","",Config!$B$14)</f>
        <v/>
      </c>
      <c r="C296" t="str">
        <f>IF($AS296="","",Config!$B$15)</f>
        <v/>
      </c>
      <c r="D296" t="str">
        <f>IF($AS296="","",INDEX('TMP Paste'!$B$2:$B$1601,$AS296))</f>
        <v/>
      </c>
      <c r="E296" t="str">
        <f>IF($AS296="","",Config!$B$27)</f>
        <v/>
      </c>
      <c r="F296" t="str">
        <f>IF($AS296="","",Config!$B$9)</f>
        <v/>
      </c>
      <c r="G296" t="str">
        <f>IF($AS296="","",Config!$B$10)</f>
        <v/>
      </c>
      <c r="H296" t="str">
        <f>IF($AS296="","",Config!$B$11)</f>
        <v/>
      </c>
      <c r="I296" t="str">
        <f>IF($AS296="","",Config!$B$16)</f>
        <v/>
      </c>
      <c r="J296" t="str">
        <f>IF($AS296="","",INDEX('TMP Paste'!$A$2:$A$1601,$AS296))</f>
        <v/>
      </c>
      <c r="K296" t="str">
        <f>IF($AS296="","",INDEX('TMP Paste'!$L$2:$L$1601,$AS296))</f>
        <v/>
      </c>
      <c r="L296" t="str">
        <f>IF($AS296="","",INDEX('TMP Paste'!$I$2:$I$1601,$AS296))</f>
        <v/>
      </c>
      <c r="M296" t="str">
        <f>IF($AS296="","",Config!$B$16)</f>
        <v/>
      </c>
      <c r="N296" t="str">
        <f t="shared" si="24"/>
        <v/>
      </c>
      <c r="O296" t="str">
        <f>IF($AS296="","",INDEX('TMP Paste'!$K$2:$K$1601,$AS296))</f>
        <v/>
      </c>
      <c r="P296" t="str">
        <f t="shared" si="25"/>
        <v/>
      </c>
      <c r="Q296" t="str">
        <f>IF($AS296="","",INDEX('TMP Paste'!$J$2:$J$1601,$AS296))</f>
        <v/>
      </c>
      <c r="R296" t="str">
        <f>IF($AS296="","",Config!$B$24)</f>
        <v/>
      </c>
      <c r="S296" t="str">
        <f ca="1">IF($AS296="","",TEXT(Config!$B$4,"yyyy-mm-dd"))</f>
        <v/>
      </c>
      <c r="T296" t="str">
        <f>IF($AS296="","",Config!$B$17)</f>
        <v/>
      </c>
      <c r="U296" t="str">
        <f>IF($AS296="","",Config!$B$18)</f>
        <v/>
      </c>
      <c r="V296" t="str">
        <f>IF($AS296="","",Config!$B$19)</f>
        <v/>
      </c>
      <c r="W296" t="str">
        <f>IF($AS296="","",INDEX('TMP Paste'!$C$2:$C$1601,$AS296))</f>
        <v/>
      </c>
      <c r="X296" t="str">
        <f>IF($AS296="","",Config!$B$29)</f>
        <v/>
      </c>
      <c r="Y296" t="str">
        <f>IF($AT296="","",INDEX(Calc!$I$2:$I$1601,$AT296)&amp;" - "&amp;INDEX(Calc!$D$2:$D$1601,$AT296)&amp;" koli")</f>
        <v/>
      </c>
      <c r="Z296" t="str">
        <f>IF($AS296="","",Config!$B$21)</f>
        <v/>
      </c>
      <c r="AA296" t="str">
        <f>IF($AS296="","",Config!$B$22)</f>
        <v/>
      </c>
      <c r="AB296" t="str">
        <f>IF($AT296="","",INDEX(Calc!$D$2:$D$1601,$AT296))</f>
        <v/>
      </c>
      <c r="AC296" t="str">
        <f>IF($AT296="","",INDEX(Calc!$G$2:$G$1601,$AT296))</f>
        <v/>
      </c>
      <c r="AD296" t="str">
        <f>IF($AS296="","",Config!$B$23)</f>
        <v/>
      </c>
      <c r="AE296" t="str">
        <f>IF($AS296="","",Config!$B$28)</f>
        <v/>
      </c>
      <c r="AF296" t="str">
        <f t="shared" si="26"/>
        <v/>
      </c>
      <c r="AG296" t="str">
        <f t="shared" si="27"/>
        <v/>
      </c>
      <c r="AH296" t="str">
        <f t="shared" si="28"/>
        <v/>
      </c>
      <c r="AI296" t="str">
        <f>IF($AG296="","",SUMIF($AG$2:$AG296,$AG296,$AH$2:$AH296))</f>
        <v/>
      </c>
      <c r="AJ296" t="str">
        <f>IF('TMP Paste'!$F296="","",IF('TMP Paste'!$B296="",$AJ295,'TMP Paste'!$B296))</f>
        <v/>
      </c>
      <c r="AK296" t="str">
        <f>IF('TMP Paste'!$F296="","",N('TMP Paste'!$G296))</f>
        <v/>
      </c>
      <c r="AL296" t="str">
        <f>IF('TMP Paste'!$F296="","",IF('TMP Paste'!$M296="",$AL295,'TMP Paste'!$M296))</f>
        <v/>
      </c>
      <c r="AM296" t="str">
        <f>IF('TMP Paste'!$F296="","",IF('TMP Paste'!$N296="",$AM295,'TMP Paste'!$N296))</f>
        <v/>
      </c>
      <c r="AN296" t="str">
        <f>IF('TMP Paste'!$F296="","",IF('TMP Paste'!$O296="",$AN295,'TMP Paste'!$O296))</f>
        <v/>
      </c>
      <c r="AO296" t="str">
        <f>IF('TMP Paste'!$F296="","",IF('TMP Paste'!$P296="",$AO295,'TMP Paste'!$P296))</f>
        <v/>
      </c>
      <c r="AP296" t="str">
        <f t="shared" si="29"/>
        <v/>
      </c>
      <c r="AQ296" t="str">
        <f>IF($AS296="","",TRIM(IF(COUNTIFS(Calc!$B$2:$B$1601,ROW()-1,Calc!$C$2:$C$1601,"&lt;1")&gt;0,"Ada PO tanpa Koli - cek TMP. ","")&amp;IF(OR($AU296="",$AU296&lt;=0),"Volume kosong/0 - dimensi dikosongkan. ","")&amp;IF(AND($AU296&lt;&gt;"",$AU296&gt;=1000000),"Volume &gt;= 1.000.000 cm3 (di luar aturan) - dimensi dikosongkan. ","")&amp;IF(LEN($R296)&gt;500,"R &gt; 500 karakter.","")))</f>
        <v/>
      </c>
      <c r="AS296" t="str">
        <f>IFERROR(MATCH(ROW()-1,Calc!$J$2:$J$1601,0),"")</f>
        <v/>
      </c>
      <c r="AT296" t="str">
        <f>IFERROR(MATCH(ROW()-1,Calc!$K$2:$K$1601,0),"")</f>
        <v/>
      </c>
      <c r="AU296" t="str">
        <f>IF($AS296="","",IFERROR(INDEX('TMP Paste'!$D$2:$D$1601,$AS296)*1000000/$AB296,""))</f>
        <v/>
      </c>
    </row>
    <row r="297" spans="1:47">
      <c r="A297" t="str">
        <f>IF($AS297="","",INDEX('TMP Paste'!$B$2:$B$1601,$AS297))</f>
        <v/>
      </c>
      <c r="B297" t="str">
        <f>IF($AS297="","",Config!$B$14)</f>
        <v/>
      </c>
      <c r="C297" t="str">
        <f>IF($AS297="","",Config!$B$15)</f>
        <v/>
      </c>
      <c r="D297" t="str">
        <f>IF($AS297="","",INDEX('TMP Paste'!$B$2:$B$1601,$AS297))</f>
        <v/>
      </c>
      <c r="E297" t="str">
        <f>IF($AS297="","",Config!$B$27)</f>
        <v/>
      </c>
      <c r="F297" t="str">
        <f>IF($AS297="","",Config!$B$9)</f>
        <v/>
      </c>
      <c r="G297" t="str">
        <f>IF($AS297="","",Config!$B$10)</f>
        <v/>
      </c>
      <c r="H297" t="str">
        <f>IF($AS297="","",Config!$B$11)</f>
        <v/>
      </c>
      <c r="I297" t="str">
        <f>IF($AS297="","",Config!$B$16)</f>
        <v/>
      </c>
      <c r="J297" t="str">
        <f>IF($AS297="","",INDEX('TMP Paste'!$A$2:$A$1601,$AS297))</f>
        <v/>
      </c>
      <c r="K297" t="str">
        <f>IF($AS297="","",INDEX('TMP Paste'!$L$2:$L$1601,$AS297))</f>
        <v/>
      </c>
      <c r="L297" t="str">
        <f>IF($AS297="","",INDEX('TMP Paste'!$I$2:$I$1601,$AS297))</f>
        <v/>
      </c>
      <c r="M297" t="str">
        <f>IF($AS297="","",Config!$B$16)</f>
        <v/>
      </c>
      <c r="N297" t="str">
        <f t="shared" si="24"/>
        <v/>
      </c>
      <c r="O297" t="str">
        <f>IF($AS297="","",INDEX('TMP Paste'!$K$2:$K$1601,$AS297))</f>
        <v/>
      </c>
      <c r="P297" t="str">
        <f t="shared" si="25"/>
        <v/>
      </c>
      <c r="Q297" t="str">
        <f>IF($AS297="","",INDEX('TMP Paste'!$J$2:$J$1601,$AS297))</f>
        <v/>
      </c>
      <c r="R297" t="str">
        <f>IF($AS297="","",Config!$B$24)</f>
        <v/>
      </c>
      <c r="S297" t="str">
        <f ca="1">IF($AS297="","",TEXT(Config!$B$4,"yyyy-mm-dd"))</f>
        <v/>
      </c>
      <c r="T297" t="str">
        <f>IF($AS297="","",Config!$B$17)</f>
        <v/>
      </c>
      <c r="U297" t="str">
        <f>IF($AS297="","",Config!$B$18)</f>
        <v/>
      </c>
      <c r="V297" t="str">
        <f>IF($AS297="","",Config!$B$19)</f>
        <v/>
      </c>
      <c r="W297" t="str">
        <f>IF($AS297="","",INDEX('TMP Paste'!$C$2:$C$1601,$AS297))</f>
        <v/>
      </c>
      <c r="X297" t="str">
        <f>IF($AS297="","",Config!$B$29)</f>
        <v/>
      </c>
      <c r="Y297" t="str">
        <f>IF($AT297="","",INDEX(Calc!$I$2:$I$1601,$AT297)&amp;" - "&amp;INDEX(Calc!$D$2:$D$1601,$AT297)&amp;" koli")</f>
        <v/>
      </c>
      <c r="Z297" t="str">
        <f>IF($AS297="","",Config!$B$21)</f>
        <v/>
      </c>
      <c r="AA297" t="str">
        <f>IF($AS297="","",Config!$B$22)</f>
        <v/>
      </c>
      <c r="AB297" t="str">
        <f>IF($AT297="","",INDEX(Calc!$D$2:$D$1601,$AT297))</f>
        <v/>
      </c>
      <c r="AC297" t="str">
        <f>IF($AT297="","",INDEX(Calc!$G$2:$G$1601,$AT297))</f>
        <v/>
      </c>
      <c r="AD297" t="str">
        <f>IF($AS297="","",Config!$B$23)</f>
        <v/>
      </c>
      <c r="AE297" t="str">
        <f>IF($AS297="","",Config!$B$28)</f>
        <v/>
      </c>
      <c r="AF297" t="str">
        <f t="shared" si="26"/>
        <v/>
      </c>
      <c r="AG297" t="str">
        <f t="shared" si="27"/>
        <v/>
      </c>
      <c r="AH297" t="str">
        <f t="shared" si="28"/>
        <v/>
      </c>
      <c r="AI297" t="str">
        <f>IF($AG297="","",SUMIF($AG$2:$AG297,$AG297,$AH$2:$AH297))</f>
        <v/>
      </c>
      <c r="AJ297" t="str">
        <f>IF('TMP Paste'!$F297="","",IF('TMP Paste'!$B297="",$AJ296,'TMP Paste'!$B297))</f>
        <v/>
      </c>
      <c r="AK297" t="str">
        <f>IF('TMP Paste'!$F297="","",N('TMP Paste'!$G297))</f>
        <v/>
      </c>
      <c r="AL297" t="str">
        <f>IF('TMP Paste'!$F297="","",IF('TMP Paste'!$M297="",$AL296,'TMP Paste'!$M297))</f>
        <v/>
      </c>
      <c r="AM297" t="str">
        <f>IF('TMP Paste'!$F297="","",IF('TMP Paste'!$N297="",$AM296,'TMP Paste'!$N297))</f>
        <v/>
      </c>
      <c r="AN297" t="str">
        <f>IF('TMP Paste'!$F297="","",IF('TMP Paste'!$O297="",$AN296,'TMP Paste'!$O297))</f>
        <v/>
      </c>
      <c r="AO297" t="str">
        <f>IF('TMP Paste'!$F297="","",IF('TMP Paste'!$P297="",$AO296,'TMP Paste'!$P297))</f>
        <v/>
      </c>
      <c r="AP297" t="str">
        <f t="shared" si="29"/>
        <v/>
      </c>
      <c r="AQ297" t="str">
        <f>IF($AS297="","",TRIM(IF(COUNTIFS(Calc!$B$2:$B$1601,ROW()-1,Calc!$C$2:$C$1601,"&lt;1")&gt;0,"Ada PO tanpa Koli - cek TMP. ","")&amp;IF(OR($AU297="",$AU297&lt;=0),"Volume kosong/0 - dimensi dikosongkan. ","")&amp;IF(AND($AU297&lt;&gt;"",$AU297&gt;=1000000),"Volume &gt;= 1.000.000 cm3 (di luar aturan) - dimensi dikosongkan. ","")&amp;IF(LEN($R297)&gt;500,"R &gt; 500 karakter.","")))</f>
        <v/>
      </c>
      <c r="AS297" t="str">
        <f>IFERROR(MATCH(ROW()-1,Calc!$J$2:$J$1601,0),"")</f>
        <v/>
      </c>
      <c r="AT297" t="str">
        <f>IFERROR(MATCH(ROW()-1,Calc!$K$2:$K$1601,0),"")</f>
        <v/>
      </c>
      <c r="AU297" t="str">
        <f>IF($AS297="","",IFERROR(INDEX('TMP Paste'!$D$2:$D$1601,$AS297)*1000000/$AB297,""))</f>
        <v/>
      </c>
    </row>
    <row r="298" spans="1:47">
      <c r="A298" t="str">
        <f>IF($AS298="","",INDEX('TMP Paste'!$B$2:$B$1601,$AS298))</f>
        <v/>
      </c>
      <c r="B298" t="str">
        <f>IF($AS298="","",Config!$B$14)</f>
        <v/>
      </c>
      <c r="C298" t="str">
        <f>IF($AS298="","",Config!$B$15)</f>
        <v/>
      </c>
      <c r="D298" t="str">
        <f>IF($AS298="","",INDEX('TMP Paste'!$B$2:$B$1601,$AS298))</f>
        <v/>
      </c>
      <c r="E298" t="str">
        <f>IF($AS298="","",Config!$B$27)</f>
        <v/>
      </c>
      <c r="F298" t="str">
        <f>IF($AS298="","",Config!$B$9)</f>
        <v/>
      </c>
      <c r="G298" t="str">
        <f>IF($AS298="","",Config!$B$10)</f>
        <v/>
      </c>
      <c r="H298" t="str">
        <f>IF($AS298="","",Config!$B$11)</f>
        <v/>
      </c>
      <c r="I298" t="str">
        <f>IF($AS298="","",Config!$B$16)</f>
        <v/>
      </c>
      <c r="J298" t="str">
        <f>IF($AS298="","",INDEX('TMP Paste'!$A$2:$A$1601,$AS298))</f>
        <v/>
      </c>
      <c r="K298" t="str">
        <f>IF($AS298="","",INDEX('TMP Paste'!$L$2:$L$1601,$AS298))</f>
        <v/>
      </c>
      <c r="L298" t="str">
        <f>IF($AS298="","",INDEX('TMP Paste'!$I$2:$I$1601,$AS298))</f>
        <v/>
      </c>
      <c r="M298" t="str">
        <f>IF($AS298="","",Config!$B$16)</f>
        <v/>
      </c>
      <c r="N298" t="str">
        <f t="shared" si="24"/>
        <v/>
      </c>
      <c r="O298" t="str">
        <f>IF($AS298="","",INDEX('TMP Paste'!$K$2:$K$1601,$AS298))</f>
        <v/>
      </c>
      <c r="P298" t="str">
        <f t="shared" si="25"/>
        <v/>
      </c>
      <c r="Q298" t="str">
        <f>IF($AS298="","",INDEX('TMP Paste'!$J$2:$J$1601,$AS298))</f>
        <v/>
      </c>
      <c r="R298" t="str">
        <f>IF($AS298="","",Config!$B$24)</f>
        <v/>
      </c>
      <c r="S298" t="str">
        <f ca="1">IF($AS298="","",TEXT(Config!$B$4,"yyyy-mm-dd"))</f>
        <v/>
      </c>
      <c r="T298" t="str">
        <f>IF($AS298="","",Config!$B$17)</f>
        <v/>
      </c>
      <c r="U298" t="str">
        <f>IF($AS298="","",Config!$B$18)</f>
        <v/>
      </c>
      <c r="V298" t="str">
        <f>IF($AS298="","",Config!$B$19)</f>
        <v/>
      </c>
      <c r="W298" t="str">
        <f>IF($AS298="","",INDEX('TMP Paste'!$C$2:$C$1601,$AS298))</f>
        <v/>
      </c>
      <c r="X298" t="str">
        <f>IF($AS298="","",Config!$B$29)</f>
        <v/>
      </c>
      <c r="Y298" t="str">
        <f>IF($AT298="","",INDEX(Calc!$I$2:$I$1601,$AT298)&amp;" - "&amp;INDEX(Calc!$D$2:$D$1601,$AT298)&amp;" koli")</f>
        <v/>
      </c>
      <c r="Z298" t="str">
        <f>IF($AS298="","",Config!$B$21)</f>
        <v/>
      </c>
      <c r="AA298" t="str">
        <f>IF($AS298="","",Config!$B$22)</f>
        <v/>
      </c>
      <c r="AB298" t="str">
        <f>IF($AT298="","",INDEX(Calc!$D$2:$D$1601,$AT298))</f>
        <v/>
      </c>
      <c r="AC298" t="str">
        <f>IF($AT298="","",INDEX(Calc!$G$2:$G$1601,$AT298))</f>
        <v/>
      </c>
      <c r="AD298" t="str">
        <f>IF($AS298="","",Config!$B$23)</f>
        <v/>
      </c>
      <c r="AE298" t="str">
        <f>IF($AS298="","",Config!$B$28)</f>
        <v/>
      </c>
      <c r="AF298" t="str">
        <f t="shared" si="26"/>
        <v/>
      </c>
      <c r="AG298" t="str">
        <f t="shared" si="27"/>
        <v/>
      </c>
      <c r="AH298" t="str">
        <f t="shared" si="28"/>
        <v/>
      </c>
      <c r="AI298" t="str">
        <f>IF($AG298="","",SUMIF($AG$2:$AG298,$AG298,$AH$2:$AH298))</f>
        <v/>
      </c>
      <c r="AJ298" t="str">
        <f>IF('TMP Paste'!$F298="","",IF('TMP Paste'!$B298="",$AJ297,'TMP Paste'!$B298))</f>
        <v/>
      </c>
      <c r="AK298" t="str">
        <f>IF('TMP Paste'!$F298="","",N('TMP Paste'!$G298))</f>
        <v/>
      </c>
      <c r="AL298" t="str">
        <f>IF('TMP Paste'!$F298="","",IF('TMP Paste'!$M298="",$AL297,'TMP Paste'!$M298))</f>
        <v/>
      </c>
      <c r="AM298" t="str">
        <f>IF('TMP Paste'!$F298="","",IF('TMP Paste'!$N298="",$AM297,'TMP Paste'!$N298))</f>
        <v/>
      </c>
      <c r="AN298" t="str">
        <f>IF('TMP Paste'!$F298="","",IF('TMP Paste'!$O298="",$AN297,'TMP Paste'!$O298))</f>
        <v/>
      </c>
      <c r="AO298" t="str">
        <f>IF('TMP Paste'!$F298="","",IF('TMP Paste'!$P298="",$AO297,'TMP Paste'!$P298))</f>
        <v/>
      </c>
      <c r="AP298" t="str">
        <f t="shared" si="29"/>
        <v/>
      </c>
      <c r="AQ298" t="str">
        <f>IF($AS298="","",TRIM(IF(COUNTIFS(Calc!$B$2:$B$1601,ROW()-1,Calc!$C$2:$C$1601,"&lt;1")&gt;0,"Ada PO tanpa Koli - cek TMP. ","")&amp;IF(OR($AU298="",$AU298&lt;=0),"Volume kosong/0 - dimensi dikosongkan. ","")&amp;IF(AND($AU298&lt;&gt;"",$AU298&gt;=1000000),"Volume &gt;= 1.000.000 cm3 (di luar aturan) - dimensi dikosongkan. ","")&amp;IF(LEN($R298)&gt;500,"R &gt; 500 karakter.","")))</f>
        <v/>
      </c>
      <c r="AS298" t="str">
        <f>IFERROR(MATCH(ROW()-1,Calc!$J$2:$J$1601,0),"")</f>
        <v/>
      </c>
      <c r="AT298" t="str">
        <f>IFERROR(MATCH(ROW()-1,Calc!$K$2:$K$1601,0),"")</f>
        <v/>
      </c>
      <c r="AU298" t="str">
        <f>IF($AS298="","",IFERROR(INDEX('TMP Paste'!$D$2:$D$1601,$AS298)*1000000/$AB298,""))</f>
        <v/>
      </c>
    </row>
    <row r="299" spans="1:47">
      <c r="A299" t="str">
        <f>IF($AS299="","",INDEX('TMP Paste'!$B$2:$B$1601,$AS299))</f>
        <v/>
      </c>
      <c r="B299" t="str">
        <f>IF($AS299="","",Config!$B$14)</f>
        <v/>
      </c>
      <c r="C299" t="str">
        <f>IF($AS299="","",Config!$B$15)</f>
        <v/>
      </c>
      <c r="D299" t="str">
        <f>IF($AS299="","",INDEX('TMP Paste'!$B$2:$B$1601,$AS299))</f>
        <v/>
      </c>
      <c r="E299" t="str">
        <f>IF($AS299="","",Config!$B$27)</f>
        <v/>
      </c>
      <c r="F299" t="str">
        <f>IF($AS299="","",Config!$B$9)</f>
        <v/>
      </c>
      <c r="G299" t="str">
        <f>IF($AS299="","",Config!$B$10)</f>
        <v/>
      </c>
      <c r="H299" t="str">
        <f>IF($AS299="","",Config!$B$11)</f>
        <v/>
      </c>
      <c r="I299" t="str">
        <f>IF($AS299="","",Config!$B$16)</f>
        <v/>
      </c>
      <c r="J299" t="str">
        <f>IF($AS299="","",INDEX('TMP Paste'!$A$2:$A$1601,$AS299))</f>
        <v/>
      </c>
      <c r="K299" t="str">
        <f>IF($AS299="","",INDEX('TMP Paste'!$L$2:$L$1601,$AS299))</f>
        <v/>
      </c>
      <c r="L299" t="str">
        <f>IF($AS299="","",INDEX('TMP Paste'!$I$2:$I$1601,$AS299))</f>
        <v/>
      </c>
      <c r="M299" t="str">
        <f>IF($AS299="","",Config!$B$16)</f>
        <v/>
      </c>
      <c r="N299" t="str">
        <f t="shared" si="24"/>
        <v/>
      </c>
      <c r="O299" t="str">
        <f>IF($AS299="","",INDEX('TMP Paste'!$K$2:$K$1601,$AS299))</f>
        <v/>
      </c>
      <c r="P299" t="str">
        <f t="shared" si="25"/>
        <v/>
      </c>
      <c r="Q299" t="str">
        <f>IF($AS299="","",INDEX('TMP Paste'!$J$2:$J$1601,$AS299))</f>
        <v/>
      </c>
      <c r="R299" t="str">
        <f>IF($AS299="","",Config!$B$24)</f>
        <v/>
      </c>
      <c r="S299" t="str">
        <f ca="1">IF($AS299="","",TEXT(Config!$B$4,"yyyy-mm-dd"))</f>
        <v/>
      </c>
      <c r="T299" t="str">
        <f>IF($AS299="","",Config!$B$17)</f>
        <v/>
      </c>
      <c r="U299" t="str">
        <f>IF($AS299="","",Config!$B$18)</f>
        <v/>
      </c>
      <c r="V299" t="str">
        <f>IF($AS299="","",Config!$B$19)</f>
        <v/>
      </c>
      <c r="W299" t="str">
        <f>IF($AS299="","",INDEX('TMP Paste'!$C$2:$C$1601,$AS299))</f>
        <v/>
      </c>
      <c r="X299" t="str">
        <f>IF($AS299="","",Config!$B$29)</f>
        <v/>
      </c>
      <c r="Y299" t="str">
        <f>IF($AT299="","",INDEX(Calc!$I$2:$I$1601,$AT299)&amp;" - "&amp;INDEX(Calc!$D$2:$D$1601,$AT299)&amp;" koli")</f>
        <v/>
      </c>
      <c r="Z299" t="str">
        <f>IF($AS299="","",Config!$B$21)</f>
        <v/>
      </c>
      <c r="AA299" t="str">
        <f>IF($AS299="","",Config!$B$22)</f>
        <v/>
      </c>
      <c r="AB299" t="str">
        <f>IF($AT299="","",INDEX(Calc!$D$2:$D$1601,$AT299))</f>
        <v/>
      </c>
      <c r="AC299" t="str">
        <f>IF($AT299="","",INDEX(Calc!$G$2:$G$1601,$AT299))</f>
        <v/>
      </c>
      <c r="AD299" t="str">
        <f>IF($AS299="","",Config!$B$23)</f>
        <v/>
      </c>
      <c r="AE299" t="str">
        <f>IF($AS299="","",Config!$B$28)</f>
        <v/>
      </c>
      <c r="AF299" t="str">
        <f t="shared" si="26"/>
        <v/>
      </c>
      <c r="AG299" t="str">
        <f t="shared" si="27"/>
        <v/>
      </c>
      <c r="AH299" t="str">
        <f t="shared" si="28"/>
        <v/>
      </c>
      <c r="AI299" t="str">
        <f>IF($AG299="","",SUMIF($AG$2:$AG299,$AG299,$AH$2:$AH299))</f>
        <v/>
      </c>
      <c r="AJ299" t="str">
        <f>IF('TMP Paste'!$F299="","",IF('TMP Paste'!$B299="",$AJ298,'TMP Paste'!$B299))</f>
        <v/>
      </c>
      <c r="AK299" t="str">
        <f>IF('TMP Paste'!$F299="","",N('TMP Paste'!$G299))</f>
        <v/>
      </c>
      <c r="AL299" t="str">
        <f>IF('TMP Paste'!$F299="","",IF('TMP Paste'!$M299="",$AL298,'TMP Paste'!$M299))</f>
        <v/>
      </c>
      <c r="AM299" t="str">
        <f>IF('TMP Paste'!$F299="","",IF('TMP Paste'!$N299="",$AM298,'TMP Paste'!$N299))</f>
        <v/>
      </c>
      <c r="AN299" t="str">
        <f>IF('TMP Paste'!$F299="","",IF('TMP Paste'!$O299="",$AN298,'TMP Paste'!$O299))</f>
        <v/>
      </c>
      <c r="AO299" t="str">
        <f>IF('TMP Paste'!$F299="","",IF('TMP Paste'!$P299="",$AO298,'TMP Paste'!$P299))</f>
        <v/>
      </c>
      <c r="AP299" t="str">
        <f t="shared" si="29"/>
        <v/>
      </c>
      <c r="AQ299" t="str">
        <f>IF($AS299="","",TRIM(IF(COUNTIFS(Calc!$B$2:$B$1601,ROW()-1,Calc!$C$2:$C$1601,"&lt;1")&gt;0,"Ada PO tanpa Koli - cek TMP. ","")&amp;IF(OR($AU299="",$AU299&lt;=0),"Volume kosong/0 - dimensi dikosongkan. ","")&amp;IF(AND($AU299&lt;&gt;"",$AU299&gt;=1000000),"Volume &gt;= 1.000.000 cm3 (di luar aturan) - dimensi dikosongkan. ","")&amp;IF(LEN($R299)&gt;500,"R &gt; 500 karakter.","")))</f>
        <v/>
      </c>
      <c r="AS299" t="str">
        <f>IFERROR(MATCH(ROW()-1,Calc!$J$2:$J$1601,0),"")</f>
        <v/>
      </c>
      <c r="AT299" t="str">
        <f>IFERROR(MATCH(ROW()-1,Calc!$K$2:$K$1601,0),"")</f>
        <v/>
      </c>
      <c r="AU299" t="str">
        <f>IF($AS299="","",IFERROR(INDEX('TMP Paste'!$D$2:$D$1601,$AS299)*1000000/$AB299,""))</f>
        <v/>
      </c>
    </row>
    <row r="300" spans="1:47">
      <c r="A300" t="str">
        <f>IF($AS300="","",INDEX('TMP Paste'!$B$2:$B$1601,$AS300))</f>
        <v/>
      </c>
      <c r="B300" t="str">
        <f>IF($AS300="","",Config!$B$14)</f>
        <v/>
      </c>
      <c r="C300" t="str">
        <f>IF($AS300="","",Config!$B$15)</f>
        <v/>
      </c>
      <c r="D300" t="str">
        <f>IF($AS300="","",INDEX('TMP Paste'!$B$2:$B$1601,$AS300))</f>
        <v/>
      </c>
      <c r="E300" t="str">
        <f>IF($AS300="","",Config!$B$27)</f>
        <v/>
      </c>
      <c r="F300" t="str">
        <f>IF($AS300="","",Config!$B$9)</f>
        <v/>
      </c>
      <c r="G300" t="str">
        <f>IF($AS300="","",Config!$B$10)</f>
        <v/>
      </c>
      <c r="H300" t="str">
        <f>IF($AS300="","",Config!$B$11)</f>
        <v/>
      </c>
      <c r="I300" t="str">
        <f>IF($AS300="","",Config!$B$16)</f>
        <v/>
      </c>
      <c r="J300" t="str">
        <f>IF($AS300="","",INDEX('TMP Paste'!$A$2:$A$1601,$AS300))</f>
        <v/>
      </c>
      <c r="K300" t="str">
        <f>IF($AS300="","",INDEX('TMP Paste'!$L$2:$L$1601,$AS300))</f>
        <v/>
      </c>
      <c r="L300" t="str">
        <f>IF($AS300="","",INDEX('TMP Paste'!$I$2:$I$1601,$AS300))</f>
        <v/>
      </c>
      <c r="M300" t="str">
        <f>IF($AS300="","",Config!$B$16)</f>
        <v/>
      </c>
      <c r="N300" t="str">
        <f t="shared" si="24"/>
        <v/>
      </c>
      <c r="O300" t="str">
        <f>IF($AS300="","",INDEX('TMP Paste'!$K$2:$K$1601,$AS300))</f>
        <v/>
      </c>
      <c r="P300" t="str">
        <f t="shared" si="25"/>
        <v/>
      </c>
      <c r="Q300" t="str">
        <f>IF($AS300="","",INDEX('TMP Paste'!$J$2:$J$1601,$AS300))</f>
        <v/>
      </c>
      <c r="R300" t="str">
        <f>IF($AS300="","",Config!$B$24)</f>
        <v/>
      </c>
      <c r="S300" t="str">
        <f ca="1">IF($AS300="","",TEXT(Config!$B$4,"yyyy-mm-dd"))</f>
        <v/>
      </c>
      <c r="T300" t="str">
        <f>IF($AS300="","",Config!$B$17)</f>
        <v/>
      </c>
      <c r="U300" t="str">
        <f>IF($AS300="","",Config!$B$18)</f>
        <v/>
      </c>
      <c r="V300" t="str">
        <f>IF($AS300="","",Config!$B$19)</f>
        <v/>
      </c>
      <c r="W300" t="str">
        <f>IF($AS300="","",INDEX('TMP Paste'!$C$2:$C$1601,$AS300))</f>
        <v/>
      </c>
      <c r="X300" t="str">
        <f>IF($AS300="","",Config!$B$29)</f>
        <v/>
      </c>
      <c r="Y300" t="str">
        <f>IF($AT300="","",INDEX(Calc!$I$2:$I$1601,$AT300)&amp;" - "&amp;INDEX(Calc!$D$2:$D$1601,$AT300)&amp;" koli")</f>
        <v/>
      </c>
      <c r="Z300" t="str">
        <f>IF($AS300="","",Config!$B$21)</f>
        <v/>
      </c>
      <c r="AA300" t="str">
        <f>IF($AS300="","",Config!$B$22)</f>
        <v/>
      </c>
      <c r="AB300" t="str">
        <f>IF($AT300="","",INDEX(Calc!$D$2:$D$1601,$AT300))</f>
        <v/>
      </c>
      <c r="AC300" t="str">
        <f>IF($AT300="","",INDEX(Calc!$G$2:$G$1601,$AT300))</f>
        <v/>
      </c>
      <c r="AD300" t="str">
        <f>IF($AS300="","",Config!$B$23)</f>
        <v/>
      </c>
      <c r="AE300" t="str">
        <f>IF($AS300="","",Config!$B$28)</f>
        <v/>
      </c>
      <c r="AF300" t="str">
        <f t="shared" si="26"/>
        <v/>
      </c>
      <c r="AG300" t="str">
        <f t="shared" si="27"/>
        <v/>
      </c>
      <c r="AH300" t="str">
        <f t="shared" si="28"/>
        <v/>
      </c>
      <c r="AI300" t="str">
        <f>IF($AG300="","",SUMIF($AG$2:$AG300,$AG300,$AH$2:$AH300))</f>
        <v/>
      </c>
      <c r="AJ300" t="str">
        <f>IF('TMP Paste'!$F300="","",IF('TMP Paste'!$B300="",$AJ299,'TMP Paste'!$B300))</f>
        <v/>
      </c>
      <c r="AK300" t="str">
        <f>IF('TMP Paste'!$F300="","",N('TMP Paste'!$G300))</f>
        <v/>
      </c>
      <c r="AL300" t="str">
        <f>IF('TMP Paste'!$F300="","",IF('TMP Paste'!$M300="",$AL299,'TMP Paste'!$M300))</f>
        <v/>
      </c>
      <c r="AM300" t="str">
        <f>IF('TMP Paste'!$F300="","",IF('TMP Paste'!$N300="",$AM299,'TMP Paste'!$N300))</f>
        <v/>
      </c>
      <c r="AN300" t="str">
        <f>IF('TMP Paste'!$F300="","",IF('TMP Paste'!$O300="",$AN299,'TMP Paste'!$O300))</f>
        <v/>
      </c>
      <c r="AO300" t="str">
        <f>IF('TMP Paste'!$F300="","",IF('TMP Paste'!$P300="",$AO299,'TMP Paste'!$P300))</f>
        <v/>
      </c>
      <c r="AP300" t="str">
        <f t="shared" si="29"/>
        <v/>
      </c>
      <c r="AQ300" t="str">
        <f>IF($AS300="","",TRIM(IF(COUNTIFS(Calc!$B$2:$B$1601,ROW()-1,Calc!$C$2:$C$1601,"&lt;1")&gt;0,"Ada PO tanpa Koli - cek TMP. ","")&amp;IF(OR($AU300="",$AU300&lt;=0),"Volume kosong/0 - dimensi dikosongkan. ","")&amp;IF(AND($AU300&lt;&gt;"",$AU300&gt;=1000000),"Volume &gt;= 1.000.000 cm3 (di luar aturan) - dimensi dikosongkan. ","")&amp;IF(LEN($R300)&gt;500,"R &gt; 500 karakter.","")))</f>
        <v/>
      </c>
      <c r="AS300" t="str">
        <f>IFERROR(MATCH(ROW()-1,Calc!$J$2:$J$1601,0),"")</f>
        <v/>
      </c>
      <c r="AT300" t="str">
        <f>IFERROR(MATCH(ROW()-1,Calc!$K$2:$K$1601,0),"")</f>
        <v/>
      </c>
      <c r="AU300" t="str">
        <f>IF($AS300="","",IFERROR(INDEX('TMP Paste'!$D$2:$D$1601,$AS300)*1000000/$AB300,""))</f>
        <v/>
      </c>
    </row>
    <row r="301" spans="1:47">
      <c r="A301" t="str">
        <f>IF($AS301="","",INDEX('TMP Paste'!$B$2:$B$1601,$AS301))</f>
        <v/>
      </c>
      <c r="B301" t="str">
        <f>IF($AS301="","",Config!$B$14)</f>
        <v/>
      </c>
      <c r="C301" t="str">
        <f>IF($AS301="","",Config!$B$15)</f>
        <v/>
      </c>
      <c r="D301" t="str">
        <f>IF($AS301="","",INDEX('TMP Paste'!$B$2:$B$1601,$AS301))</f>
        <v/>
      </c>
      <c r="E301" t="str">
        <f>IF($AS301="","",Config!$B$27)</f>
        <v/>
      </c>
      <c r="F301" t="str">
        <f>IF($AS301="","",Config!$B$9)</f>
        <v/>
      </c>
      <c r="G301" t="str">
        <f>IF($AS301="","",Config!$B$10)</f>
        <v/>
      </c>
      <c r="H301" t="str">
        <f>IF($AS301="","",Config!$B$11)</f>
        <v/>
      </c>
      <c r="I301" t="str">
        <f>IF($AS301="","",Config!$B$16)</f>
        <v/>
      </c>
      <c r="J301" t="str">
        <f>IF($AS301="","",INDEX('TMP Paste'!$A$2:$A$1601,$AS301))</f>
        <v/>
      </c>
      <c r="K301" t="str">
        <f>IF($AS301="","",INDEX('TMP Paste'!$L$2:$L$1601,$AS301))</f>
        <v/>
      </c>
      <c r="L301" t="str">
        <f>IF($AS301="","",INDEX('TMP Paste'!$I$2:$I$1601,$AS301))</f>
        <v/>
      </c>
      <c r="M301" t="str">
        <f>IF($AS301="","",Config!$B$16)</f>
        <v/>
      </c>
      <c r="N301" t="str">
        <f t="shared" si="24"/>
        <v/>
      </c>
      <c r="O301" t="str">
        <f>IF($AS301="","",INDEX('TMP Paste'!$K$2:$K$1601,$AS301))</f>
        <v/>
      </c>
      <c r="P301" t="str">
        <f t="shared" si="25"/>
        <v/>
      </c>
      <c r="Q301" t="str">
        <f>IF($AS301="","",INDEX('TMP Paste'!$J$2:$J$1601,$AS301))</f>
        <v/>
      </c>
      <c r="R301" t="str">
        <f>IF($AS301="","",Config!$B$24)</f>
        <v/>
      </c>
      <c r="S301" t="str">
        <f ca="1">IF($AS301="","",TEXT(Config!$B$4,"yyyy-mm-dd"))</f>
        <v/>
      </c>
      <c r="T301" t="str">
        <f>IF($AS301="","",Config!$B$17)</f>
        <v/>
      </c>
      <c r="U301" t="str">
        <f>IF($AS301="","",Config!$B$18)</f>
        <v/>
      </c>
      <c r="V301" t="str">
        <f>IF($AS301="","",Config!$B$19)</f>
        <v/>
      </c>
      <c r="W301" t="str">
        <f>IF($AS301="","",INDEX('TMP Paste'!$C$2:$C$1601,$AS301))</f>
        <v/>
      </c>
      <c r="X301" t="str">
        <f>IF($AS301="","",Config!$B$29)</f>
        <v/>
      </c>
      <c r="Y301" t="str">
        <f>IF($AT301="","",INDEX(Calc!$I$2:$I$1601,$AT301)&amp;" - "&amp;INDEX(Calc!$D$2:$D$1601,$AT301)&amp;" koli")</f>
        <v/>
      </c>
      <c r="Z301" t="str">
        <f>IF($AS301="","",Config!$B$21)</f>
        <v/>
      </c>
      <c r="AA301" t="str">
        <f>IF($AS301="","",Config!$B$22)</f>
        <v/>
      </c>
      <c r="AB301" t="str">
        <f>IF($AT301="","",INDEX(Calc!$D$2:$D$1601,$AT301))</f>
        <v/>
      </c>
      <c r="AC301" t="str">
        <f>IF($AT301="","",INDEX(Calc!$G$2:$G$1601,$AT301))</f>
        <v/>
      </c>
      <c r="AD301" t="str">
        <f>IF($AS301="","",Config!$B$23)</f>
        <v/>
      </c>
      <c r="AE301" t="str">
        <f>IF($AS301="","",Config!$B$28)</f>
        <v/>
      </c>
      <c r="AF301" t="str">
        <f t="shared" si="26"/>
        <v/>
      </c>
      <c r="AG301" t="str">
        <f t="shared" si="27"/>
        <v/>
      </c>
      <c r="AH301" t="str">
        <f t="shared" si="28"/>
        <v/>
      </c>
      <c r="AI301" t="str">
        <f>IF($AG301="","",SUMIF($AG$2:$AG301,$AG301,$AH$2:$AH301))</f>
        <v/>
      </c>
      <c r="AJ301" t="str">
        <f>IF('TMP Paste'!$F301="","",IF('TMP Paste'!$B301="",$AJ300,'TMP Paste'!$B301))</f>
        <v/>
      </c>
      <c r="AK301" t="str">
        <f>IF('TMP Paste'!$F301="","",N('TMP Paste'!$G301))</f>
        <v/>
      </c>
      <c r="AL301" t="str">
        <f>IF('TMP Paste'!$F301="","",IF('TMP Paste'!$M301="",$AL300,'TMP Paste'!$M301))</f>
        <v/>
      </c>
      <c r="AM301" t="str">
        <f>IF('TMP Paste'!$F301="","",IF('TMP Paste'!$N301="",$AM300,'TMP Paste'!$N301))</f>
        <v/>
      </c>
      <c r="AN301" t="str">
        <f>IF('TMP Paste'!$F301="","",IF('TMP Paste'!$O301="",$AN300,'TMP Paste'!$O301))</f>
        <v/>
      </c>
      <c r="AO301" t="str">
        <f>IF('TMP Paste'!$F301="","",IF('TMP Paste'!$P301="",$AO300,'TMP Paste'!$P301))</f>
        <v/>
      </c>
      <c r="AP301" t="str">
        <f t="shared" si="29"/>
        <v/>
      </c>
      <c r="AQ301" t="str">
        <f>IF($AS301="","",TRIM(IF(COUNTIFS(Calc!$B$2:$B$1601,ROW()-1,Calc!$C$2:$C$1601,"&lt;1")&gt;0,"Ada PO tanpa Koli - cek TMP. ","")&amp;IF(OR($AU301="",$AU301&lt;=0),"Volume kosong/0 - dimensi dikosongkan. ","")&amp;IF(AND($AU301&lt;&gt;"",$AU301&gt;=1000000),"Volume &gt;= 1.000.000 cm3 (di luar aturan) - dimensi dikosongkan. ","")&amp;IF(LEN($R301)&gt;500,"R &gt; 500 karakter.","")))</f>
        <v/>
      </c>
      <c r="AS301" t="str">
        <f>IFERROR(MATCH(ROW()-1,Calc!$J$2:$J$1601,0),"")</f>
        <v/>
      </c>
      <c r="AT301" t="str">
        <f>IFERROR(MATCH(ROW()-1,Calc!$K$2:$K$1601,0),"")</f>
        <v/>
      </c>
      <c r="AU301" t="str">
        <f>IF($AS301="","",IFERROR(INDEX('TMP Paste'!$D$2:$D$1601,$AS301)*1000000/$AB301,""))</f>
        <v/>
      </c>
    </row>
    <row r="302" spans="1:47">
      <c r="A302" t="str">
        <f>IF($AS302="","",INDEX('TMP Paste'!$B$2:$B$1601,$AS302))</f>
        <v/>
      </c>
      <c r="B302" t="str">
        <f>IF($AS302="","",Config!$B$14)</f>
        <v/>
      </c>
      <c r="C302" t="str">
        <f>IF($AS302="","",Config!$B$15)</f>
        <v/>
      </c>
      <c r="D302" t="str">
        <f>IF($AS302="","",INDEX('TMP Paste'!$B$2:$B$1601,$AS302))</f>
        <v/>
      </c>
      <c r="E302" t="str">
        <f>IF($AS302="","",Config!$B$27)</f>
        <v/>
      </c>
      <c r="F302" t="str">
        <f>IF($AS302="","",Config!$B$9)</f>
        <v/>
      </c>
      <c r="G302" t="str">
        <f>IF($AS302="","",Config!$B$10)</f>
        <v/>
      </c>
      <c r="H302" t="str">
        <f>IF($AS302="","",Config!$B$11)</f>
        <v/>
      </c>
      <c r="I302" t="str">
        <f>IF($AS302="","",Config!$B$16)</f>
        <v/>
      </c>
      <c r="J302" t="str">
        <f>IF($AS302="","",INDEX('TMP Paste'!$A$2:$A$1601,$AS302))</f>
        <v/>
      </c>
      <c r="K302" t="str">
        <f>IF($AS302="","",INDEX('TMP Paste'!$L$2:$L$1601,$AS302))</f>
        <v/>
      </c>
      <c r="L302" t="str">
        <f>IF($AS302="","",INDEX('TMP Paste'!$I$2:$I$1601,$AS302))</f>
        <v/>
      </c>
      <c r="M302" t="str">
        <f>IF($AS302="","",Config!$B$16)</f>
        <v/>
      </c>
      <c r="N302" t="str">
        <f t="shared" si="24"/>
        <v/>
      </c>
      <c r="O302" t="str">
        <f>IF($AS302="","",INDEX('TMP Paste'!$K$2:$K$1601,$AS302))</f>
        <v/>
      </c>
      <c r="P302" t="str">
        <f t="shared" si="25"/>
        <v/>
      </c>
      <c r="Q302" t="str">
        <f>IF($AS302="","",INDEX('TMP Paste'!$J$2:$J$1601,$AS302))</f>
        <v/>
      </c>
      <c r="R302" t="str">
        <f>IF($AS302="","",Config!$B$24)</f>
        <v/>
      </c>
      <c r="S302" t="str">
        <f ca="1">IF($AS302="","",TEXT(Config!$B$4,"yyyy-mm-dd"))</f>
        <v/>
      </c>
      <c r="T302" t="str">
        <f>IF($AS302="","",Config!$B$17)</f>
        <v/>
      </c>
      <c r="U302" t="str">
        <f>IF($AS302="","",Config!$B$18)</f>
        <v/>
      </c>
      <c r="V302" t="str">
        <f>IF($AS302="","",Config!$B$19)</f>
        <v/>
      </c>
      <c r="W302" t="str">
        <f>IF($AS302="","",INDEX('TMP Paste'!$C$2:$C$1601,$AS302))</f>
        <v/>
      </c>
      <c r="X302" t="str">
        <f>IF($AS302="","",Config!$B$29)</f>
        <v/>
      </c>
      <c r="Y302" t="str">
        <f>IF($AT302="","",INDEX(Calc!$I$2:$I$1601,$AT302)&amp;" - "&amp;INDEX(Calc!$D$2:$D$1601,$AT302)&amp;" koli")</f>
        <v/>
      </c>
      <c r="Z302" t="str">
        <f>IF($AS302="","",Config!$B$21)</f>
        <v/>
      </c>
      <c r="AA302" t="str">
        <f>IF($AS302="","",Config!$B$22)</f>
        <v/>
      </c>
      <c r="AB302" t="str">
        <f>IF($AT302="","",INDEX(Calc!$D$2:$D$1601,$AT302))</f>
        <v/>
      </c>
      <c r="AC302" t="str">
        <f>IF($AT302="","",INDEX(Calc!$G$2:$G$1601,$AT302))</f>
        <v/>
      </c>
      <c r="AD302" t="str">
        <f>IF($AS302="","",Config!$B$23)</f>
        <v/>
      </c>
      <c r="AE302" t="str">
        <f>IF($AS302="","",Config!$B$28)</f>
        <v/>
      </c>
      <c r="AF302" t="str">
        <f t="shared" si="26"/>
        <v/>
      </c>
      <c r="AG302" t="str">
        <f t="shared" si="27"/>
        <v/>
      </c>
      <c r="AH302" t="str">
        <f t="shared" si="28"/>
        <v/>
      </c>
      <c r="AI302" t="str">
        <f>IF($AG302="","",SUMIF($AG$2:$AG302,$AG302,$AH$2:$AH302))</f>
        <v/>
      </c>
      <c r="AJ302" t="str">
        <f>IF('TMP Paste'!$F302="","",IF('TMP Paste'!$B302="",$AJ301,'TMP Paste'!$B302))</f>
        <v/>
      </c>
      <c r="AK302" t="str">
        <f>IF('TMP Paste'!$F302="","",N('TMP Paste'!$G302))</f>
        <v/>
      </c>
      <c r="AL302" t="str">
        <f>IF('TMP Paste'!$F302="","",IF('TMP Paste'!$M302="",$AL301,'TMP Paste'!$M302))</f>
        <v/>
      </c>
      <c r="AM302" t="str">
        <f>IF('TMP Paste'!$F302="","",IF('TMP Paste'!$N302="",$AM301,'TMP Paste'!$N302))</f>
        <v/>
      </c>
      <c r="AN302" t="str">
        <f>IF('TMP Paste'!$F302="","",IF('TMP Paste'!$O302="",$AN301,'TMP Paste'!$O302))</f>
        <v/>
      </c>
      <c r="AO302" t="str">
        <f>IF('TMP Paste'!$F302="","",IF('TMP Paste'!$P302="",$AO301,'TMP Paste'!$P302))</f>
        <v/>
      </c>
      <c r="AP302" t="str">
        <f t="shared" si="29"/>
        <v/>
      </c>
      <c r="AQ302" t="str">
        <f>IF($AS302="","",TRIM(IF(COUNTIFS(Calc!$B$2:$B$1601,ROW()-1,Calc!$C$2:$C$1601,"&lt;1")&gt;0,"Ada PO tanpa Koli - cek TMP. ","")&amp;IF(OR($AU302="",$AU302&lt;=0),"Volume kosong/0 - dimensi dikosongkan. ","")&amp;IF(AND($AU302&lt;&gt;"",$AU302&gt;=1000000),"Volume &gt;= 1.000.000 cm3 (di luar aturan) - dimensi dikosongkan. ","")&amp;IF(LEN($R302)&gt;500,"R &gt; 500 karakter.","")))</f>
        <v/>
      </c>
      <c r="AS302" t="str">
        <f>IFERROR(MATCH(ROW()-1,Calc!$J$2:$J$1601,0),"")</f>
        <v/>
      </c>
      <c r="AT302" t="str">
        <f>IFERROR(MATCH(ROW()-1,Calc!$K$2:$K$1601,0),"")</f>
        <v/>
      </c>
      <c r="AU302" t="str">
        <f>IF($AS302="","",IFERROR(INDEX('TMP Paste'!$D$2:$D$1601,$AS302)*1000000/$AB302,""))</f>
        <v/>
      </c>
    </row>
    <row r="303" spans="1:47">
      <c r="A303" t="str">
        <f>IF($AS303="","",INDEX('TMP Paste'!$B$2:$B$1601,$AS303))</f>
        <v/>
      </c>
      <c r="B303" t="str">
        <f>IF($AS303="","",Config!$B$14)</f>
        <v/>
      </c>
      <c r="C303" t="str">
        <f>IF($AS303="","",Config!$B$15)</f>
        <v/>
      </c>
      <c r="D303" t="str">
        <f>IF($AS303="","",INDEX('TMP Paste'!$B$2:$B$1601,$AS303))</f>
        <v/>
      </c>
      <c r="E303" t="str">
        <f>IF($AS303="","",Config!$B$27)</f>
        <v/>
      </c>
      <c r="F303" t="str">
        <f>IF($AS303="","",Config!$B$9)</f>
        <v/>
      </c>
      <c r="G303" t="str">
        <f>IF($AS303="","",Config!$B$10)</f>
        <v/>
      </c>
      <c r="H303" t="str">
        <f>IF($AS303="","",Config!$B$11)</f>
        <v/>
      </c>
      <c r="I303" t="str">
        <f>IF($AS303="","",Config!$B$16)</f>
        <v/>
      </c>
      <c r="J303" t="str">
        <f>IF($AS303="","",INDEX('TMP Paste'!$A$2:$A$1601,$AS303))</f>
        <v/>
      </c>
      <c r="K303" t="str">
        <f>IF($AS303="","",INDEX('TMP Paste'!$L$2:$L$1601,$AS303))</f>
        <v/>
      </c>
      <c r="L303" t="str">
        <f>IF($AS303="","",INDEX('TMP Paste'!$I$2:$I$1601,$AS303))</f>
        <v/>
      </c>
      <c r="M303" t="str">
        <f>IF($AS303="","",Config!$B$16)</f>
        <v/>
      </c>
      <c r="N303" t="str">
        <f t="shared" si="24"/>
        <v/>
      </c>
      <c r="O303" t="str">
        <f>IF($AS303="","",INDEX('TMP Paste'!$K$2:$K$1601,$AS303))</f>
        <v/>
      </c>
      <c r="P303" t="str">
        <f t="shared" si="25"/>
        <v/>
      </c>
      <c r="Q303" t="str">
        <f>IF($AS303="","",INDEX('TMP Paste'!$J$2:$J$1601,$AS303))</f>
        <v/>
      </c>
      <c r="R303" t="str">
        <f>IF($AS303="","",Config!$B$24)</f>
        <v/>
      </c>
      <c r="S303" t="str">
        <f ca="1">IF($AS303="","",TEXT(Config!$B$4,"yyyy-mm-dd"))</f>
        <v/>
      </c>
      <c r="T303" t="str">
        <f>IF($AS303="","",Config!$B$17)</f>
        <v/>
      </c>
      <c r="U303" t="str">
        <f>IF($AS303="","",Config!$B$18)</f>
        <v/>
      </c>
      <c r="V303" t="str">
        <f>IF($AS303="","",Config!$B$19)</f>
        <v/>
      </c>
      <c r="W303" t="str">
        <f>IF($AS303="","",INDEX('TMP Paste'!$C$2:$C$1601,$AS303))</f>
        <v/>
      </c>
      <c r="X303" t="str">
        <f>IF($AS303="","",Config!$B$29)</f>
        <v/>
      </c>
      <c r="Y303" t="str">
        <f>IF($AT303="","",INDEX(Calc!$I$2:$I$1601,$AT303)&amp;" - "&amp;INDEX(Calc!$D$2:$D$1601,$AT303)&amp;" koli")</f>
        <v/>
      </c>
      <c r="Z303" t="str">
        <f>IF($AS303="","",Config!$B$21)</f>
        <v/>
      </c>
      <c r="AA303" t="str">
        <f>IF($AS303="","",Config!$B$22)</f>
        <v/>
      </c>
      <c r="AB303" t="str">
        <f>IF($AT303="","",INDEX(Calc!$D$2:$D$1601,$AT303))</f>
        <v/>
      </c>
      <c r="AC303" t="str">
        <f>IF($AT303="","",INDEX(Calc!$G$2:$G$1601,$AT303))</f>
        <v/>
      </c>
      <c r="AD303" t="str">
        <f>IF($AS303="","",Config!$B$23)</f>
        <v/>
      </c>
      <c r="AE303" t="str">
        <f>IF($AS303="","",Config!$B$28)</f>
        <v/>
      </c>
      <c r="AF303" t="str">
        <f t="shared" si="26"/>
        <v/>
      </c>
      <c r="AG303" t="str">
        <f t="shared" si="27"/>
        <v/>
      </c>
      <c r="AH303" t="str">
        <f t="shared" si="28"/>
        <v/>
      </c>
      <c r="AI303" t="str">
        <f>IF($AG303="","",SUMIF($AG$2:$AG303,$AG303,$AH$2:$AH303))</f>
        <v/>
      </c>
      <c r="AJ303" t="str">
        <f>IF('TMP Paste'!$F303="","",IF('TMP Paste'!$B303="",$AJ302,'TMP Paste'!$B303))</f>
        <v/>
      </c>
      <c r="AK303" t="str">
        <f>IF('TMP Paste'!$F303="","",N('TMP Paste'!$G303))</f>
        <v/>
      </c>
      <c r="AL303" t="str">
        <f>IF('TMP Paste'!$F303="","",IF('TMP Paste'!$M303="",$AL302,'TMP Paste'!$M303))</f>
        <v/>
      </c>
      <c r="AM303" t="str">
        <f>IF('TMP Paste'!$F303="","",IF('TMP Paste'!$N303="",$AM302,'TMP Paste'!$N303))</f>
        <v/>
      </c>
      <c r="AN303" t="str">
        <f>IF('TMP Paste'!$F303="","",IF('TMP Paste'!$O303="",$AN302,'TMP Paste'!$O303))</f>
        <v/>
      </c>
      <c r="AO303" t="str">
        <f>IF('TMP Paste'!$F303="","",IF('TMP Paste'!$P303="",$AO302,'TMP Paste'!$P303))</f>
        <v/>
      </c>
      <c r="AP303" t="str">
        <f t="shared" si="29"/>
        <v/>
      </c>
      <c r="AQ303" t="str">
        <f>IF($AS303="","",TRIM(IF(COUNTIFS(Calc!$B$2:$B$1601,ROW()-1,Calc!$C$2:$C$1601,"&lt;1")&gt;0,"Ada PO tanpa Koli - cek TMP. ","")&amp;IF(OR($AU303="",$AU303&lt;=0),"Volume kosong/0 - dimensi dikosongkan. ","")&amp;IF(AND($AU303&lt;&gt;"",$AU303&gt;=1000000),"Volume &gt;= 1.000.000 cm3 (di luar aturan) - dimensi dikosongkan. ","")&amp;IF(LEN($R303)&gt;500,"R &gt; 500 karakter.","")))</f>
        <v/>
      </c>
      <c r="AS303" t="str">
        <f>IFERROR(MATCH(ROW()-1,Calc!$J$2:$J$1601,0),"")</f>
        <v/>
      </c>
      <c r="AT303" t="str">
        <f>IFERROR(MATCH(ROW()-1,Calc!$K$2:$K$1601,0),"")</f>
        <v/>
      </c>
      <c r="AU303" t="str">
        <f>IF($AS303="","",IFERROR(INDEX('TMP Paste'!$D$2:$D$1601,$AS303)*1000000/$AB303,""))</f>
        <v/>
      </c>
    </row>
    <row r="304" spans="1:47">
      <c r="A304" t="str">
        <f>IF($AS304="","",INDEX('TMP Paste'!$B$2:$B$1601,$AS304))</f>
        <v/>
      </c>
      <c r="B304" t="str">
        <f>IF($AS304="","",Config!$B$14)</f>
        <v/>
      </c>
      <c r="C304" t="str">
        <f>IF($AS304="","",Config!$B$15)</f>
        <v/>
      </c>
      <c r="D304" t="str">
        <f>IF($AS304="","",INDEX('TMP Paste'!$B$2:$B$1601,$AS304))</f>
        <v/>
      </c>
      <c r="E304" t="str">
        <f>IF($AS304="","",Config!$B$27)</f>
        <v/>
      </c>
      <c r="F304" t="str">
        <f>IF($AS304="","",Config!$B$9)</f>
        <v/>
      </c>
      <c r="G304" t="str">
        <f>IF($AS304="","",Config!$B$10)</f>
        <v/>
      </c>
      <c r="H304" t="str">
        <f>IF($AS304="","",Config!$B$11)</f>
        <v/>
      </c>
      <c r="I304" t="str">
        <f>IF($AS304="","",Config!$B$16)</f>
        <v/>
      </c>
      <c r="J304" t="str">
        <f>IF($AS304="","",INDEX('TMP Paste'!$A$2:$A$1601,$AS304))</f>
        <v/>
      </c>
      <c r="K304" t="str">
        <f>IF($AS304="","",INDEX('TMP Paste'!$L$2:$L$1601,$AS304))</f>
        <v/>
      </c>
      <c r="L304" t="str">
        <f>IF($AS304="","",INDEX('TMP Paste'!$I$2:$I$1601,$AS304))</f>
        <v/>
      </c>
      <c r="M304" t="str">
        <f>IF($AS304="","",Config!$B$16)</f>
        <v/>
      </c>
      <c r="N304" t="str">
        <f t="shared" si="24"/>
        <v/>
      </c>
      <c r="O304" t="str">
        <f>IF($AS304="","",INDEX('TMP Paste'!$K$2:$K$1601,$AS304))</f>
        <v/>
      </c>
      <c r="P304" t="str">
        <f t="shared" si="25"/>
        <v/>
      </c>
      <c r="Q304" t="str">
        <f>IF($AS304="","",INDEX('TMP Paste'!$J$2:$J$1601,$AS304))</f>
        <v/>
      </c>
      <c r="R304" t="str">
        <f>IF($AS304="","",Config!$B$24)</f>
        <v/>
      </c>
      <c r="S304" t="str">
        <f ca="1">IF($AS304="","",TEXT(Config!$B$4,"yyyy-mm-dd"))</f>
        <v/>
      </c>
      <c r="T304" t="str">
        <f>IF($AS304="","",Config!$B$17)</f>
        <v/>
      </c>
      <c r="U304" t="str">
        <f>IF($AS304="","",Config!$B$18)</f>
        <v/>
      </c>
      <c r="V304" t="str">
        <f>IF($AS304="","",Config!$B$19)</f>
        <v/>
      </c>
      <c r="W304" t="str">
        <f>IF($AS304="","",INDEX('TMP Paste'!$C$2:$C$1601,$AS304))</f>
        <v/>
      </c>
      <c r="X304" t="str">
        <f>IF($AS304="","",Config!$B$29)</f>
        <v/>
      </c>
      <c r="Y304" t="str">
        <f>IF($AT304="","",INDEX(Calc!$I$2:$I$1601,$AT304)&amp;" - "&amp;INDEX(Calc!$D$2:$D$1601,$AT304)&amp;" koli")</f>
        <v/>
      </c>
      <c r="Z304" t="str">
        <f>IF($AS304="","",Config!$B$21)</f>
        <v/>
      </c>
      <c r="AA304" t="str">
        <f>IF($AS304="","",Config!$B$22)</f>
        <v/>
      </c>
      <c r="AB304" t="str">
        <f>IF($AT304="","",INDEX(Calc!$D$2:$D$1601,$AT304))</f>
        <v/>
      </c>
      <c r="AC304" t="str">
        <f>IF($AT304="","",INDEX(Calc!$G$2:$G$1601,$AT304))</f>
        <v/>
      </c>
      <c r="AD304" t="str">
        <f>IF($AS304="","",Config!$B$23)</f>
        <v/>
      </c>
      <c r="AE304" t="str">
        <f>IF($AS304="","",Config!$B$28)</f>
        <v/>
      </c>
      <c r="AF304" t="str">
        <f t="shared" si="26"/>
        <v/>
      </c>
      <c r="AG304" t="str">
        <f t="shared" si="27"/>
        <v/>
      </c>
      <c r="AH304" t="str">
        <f t="shared" si="28"/>
        <v/>
      </c>
      <c r="AI304" t="str">
        <f>IF($AG304="","",SUMIF($AG$2:$AG304,$AG304,$AH$2:$AH304))</f>
        <v/>
      </c>
      <c r="AJ304" t="str">
        <f>IF('TMP Paste'!$F304="","",IF('TMP Paste'!$B304="",$AJ303,'TMP Paste'!$B304))</f>
        <v/>
      </c>
      <c r="AK304" t="str">
        <f>IF('TMP Paste'!$F304="","",N('TMP Paste'!$G304))</f>
        <v/>
      </c>
      <c r="AL304" t="str">
        <f>IF('TMP Paste'!$F304="","",IF('TMP Paste'!$M304="",$AL303,'TMP Paste'!$M304))</f>
        <v/>
      </c>
      <c r="AM304" t="str">
        <f>IF('TMP Paste'!$F304="","",IF('TMP Paste'!$N304="",$AM303,'TMP Paste'!$N304))</f>
        <v/>
      </c>
      <c r="AN304" t="str">
        <f>IF('TMP Paste'!$F304="","",IF('TMP Paste'!$O304="",$AN303,'TMP Paste'!$O304))</f>
        <v/>
      </c>
      <c r="AO304" t="str">
        <f>IF('TMP Paste'!$F304="","",IF('TMP Paste'!$P304="",$AO303,'TMP Paste'!$P304))</f>
        <v/>
      </c>
      <c r="AP304" t="str">
        <f t="shared" si="29"/>
        <v/>
      </c>
      <c r="AQ304" t="str">
        <f>IF($AS304="","",TRIM(IF(COUNTIFS(Calc!$B$2:$B$1601,ROW()-1,Calc!$C$2:$C$1601,"&lt;1")&gt;0,"Ada PO tanpa Koli - cek TMP. ","")&amp;IF(OR($AU304="",$AU304&lt;=0),"Volume kosong/0 - dimensi dikosongkan. ","")&amp;IF(AND($AU304&lt;&gt;"",$AU304&gt;=1000000),"Volume &gt;= 1.000.000 cm3 (di luar aturan) - dimensi dikosongkan. ","")&amp;IF(LEN($R304)&gt;500,"R &gt; 500 karakter.","")))</f>
        <v/>
      </c>
      <c r="AS304" t="str">
        <f>IFERROR(MATCH(ROW()-1,Calc!$J$2:$J$1601,0),"")</f>
        <v/>
      </c>
      <c r="AT304" t="str">
        <f>IFERROR(MATCH(ROW()-1,Calc!$K$2:$K$1601,0),"")</f>
        <v/>
      </c>
      <c r="AU304" t="str">
        <f>IF($AS304="","",IFERROR(INDEX('TMP Paste'!$D$2:$D$1601,$AS304)*1000000/$AB304,""))</f>
        <v/>
      </c>
    </row>
    <row r="305" spans="1:47">
      <c r="A305" t="str">
        <f>IF($AS305="","",INDEX('TMP Paste'!$B$2:$B$1601,$AS305))</f>
        <v/>
      </c>
      <c r="B305" t="str">
        <f>IF($AS305="","",Config!$B$14)</f>
        <v/>
      </c>
      <c r="C305" t="str">
        <f>IF($AS305="","",Config!$B$15)</f>
        <v/>
      </c>
      <c r="D305" t="str">
        <f>IF($AS305="","",INDEX('TMP Paste'!$B$2:$B$1601,$AS305))</f>
        <v/>
      </c>
      <c r="E305" t="str">
        <f>IF($AS305="","",Config!$B$27)</f>
        <v/>
      </c>
      <c r="F305" t="str">
        <f>IF($AS305="","",Config!$B$9)</f>
        <v/>
      </c>
      <c r="G305" t="str">
        <f>IF($AS305="","",Config!$B$10)</f>
        <v/>
      </c>
      <c r="H305" t="str">
        <f>IF($AS305="","",Config!$B$11)</f>
        <v/>
      </c>
      <c r="I305" t="str">
        <f>IF($AS305="","",Config!$B$16)</f>
        <v/>
      </c>
      <c r="J305" t="str">
        <f>IF($AS305="","",INDEX('TMP Paste'!$A$2:$A$1601,$AS305))</f>
        <v/>
      </c>
      <c r="K305" t="str">
        <f>IF($AS305="","",INDEX('TMP Paste'!$L$2:$L$1601,$AS305))</f>
        <v/>
      </c>
      <c r="L305" t="str">
        <f>IF($AS305="","",INDEX('TMP Paste'!$I$2:$I$1601,$AS305))</f>
        <v/>
      </c>
      <c r="M305" t="str">
        <f>IF($AS305="","",Config!$B$16)</f>
        <v/>
      </c>
      <c r="N305" t="str">
        <f t="shared" si="24"/>
        <v/>
      </c>
      <c r="O305" t="str">
        <f>IF($AS305="","",INDEX('TMP Paste'!$K$2:$K$1601,$AS305))</f>
        <v/>
      </c>
      <c r="P305" t="str">
        <f t="shared" si="25"/>
        <v/>
      </c>
      <c r="Q305" t="str">
        <f>IF($AS305="","",INDEX('TMP Paste'!$J$2:$J$1601,$AS305))</f>
        <v/>
      </c>
      <c r="R305" t="str">
        <f>IF($AS305="","",Config!$B$24)</f>
        <v/>
      </c>
      <c r="S305" t="str">
        <f ca="1">IF($AS305="","",TEXT(Config!$B$4,"yyyy-mm-dd"))</f>
        <v/>
      </c>
      <c r="T305" t="str">
        <f>IF($AS305="","",Config!$B$17)</f>
        <v/>
      </c>
      <c r="U305" t="str">
        <f>IF($AS305="","",Config!$B$18)</f>
        <v/>
      </c>
      <c r="V305" t="str">
        <f>IF($AS305="","",Config!$B$19)</f>
        <v/>
      </c>
      <c r="W305" t="str">
        <f>IF($AS305="","",INDEX('TMP Paste'!$C$2:$C$1601,$AS305))</f>
        <v/>
      </c>
      <c r="X305" t="str">
        <f>IF($AS305="","",Config!$B$29)</f>
        <v/>
      </c>
      <c r="Y305" t="str">
        <f>IF($AT305="","",INDEX(Calc!$I$2:$I$1601,$AT305)&amp;" - "&amp;INDEX(Calc!$D$2:$D$1601,$AT305)&amp;" koli")</f>
        <v/>
      </c>
      <c r="Z305" t="str">
        <f>IF($AS305="","",Config!$B$21)</f>
        <v/>
      </c>
      <c r="AA305" t="str">
        <f>IF($AS305="","",Config!$B$22)</f>
        <v/>
      </c>
      <c r="AB305" t="str">
        <f>IF($AT305="","",INDEX(Calc!$D$2:$D$1601,$AT305))</f>
        <v/>
      </c>
      <c r="AC305" t="str">
        <f>IF($AT305="","",INDEX(Calc!$G$2:$G$1601,$AT305))</f>
        <v/>
      </c>
      <c r="AD305" t="str">
        <f>IF($AS305="","",Config!$B$23)</f>
        <v/>
      </c>
      <c r="AE305" t="str">
        <f>IF($AS305="","",Config!$B$28)</f>
        <v/>
      </c>
      <c r="AF305" t="str">
        <f t="shared" si="26"/>
        <v/>
      </c>
      <c r="AG305" t="str">
        <f t="shared" si="27"/>
        <v/>
      </c>
      <c r="AH305" t="str">
        <f t="shared" si="28"/>
        <v/>
      </c>
      <c r="AI305" t="str">
        <f>IF($AG305="","",SUMIF($AG$2:$AG305,$AG305,$AH$2:$AH305))</f>
        <v/>
      </c>
      <c r="AJ305" t="str">
        <f>IF('TMP Paste'!$F305="","",IF('TMP Paste'!$B305="",$AJ304,'TMP Paste'!$B305))</f>
        <v/>
      </c>
      <c r="AK305" t="str">
        <f>IF('TMP Paste'!$F305="","",N('TMP Paste'!$G305))</f>
        <v/>
      </c>
      <c r="AL305" t="str">
        <f>IF('TMP Paste'!$F305="","",IF('TMP Paste'!$M305="",$AL304,'TMP Paste'!$M305))</f>
        <v/>
      </c>
      <c r="AM305" t="str">
        <f>IF('TMP Paste'!$F305="","",IF('TMP Paste'!$N305="",$AM304,'TMP Paste'!$N305))</f>
        <v/>
      </c>
      <c r="AN305" t="str">
        <f>IF('TMP Paste'!$F305="","",IF('TMP Paste'!$O305="",$AN304,'TMP Paste'!$O305))</f>
        <v/>
      </c>
      <c r="AO305" t="str">
        <f>IF('TMP Paste'!$F305="","",IF('TMP Paste'!$P305="",$AO304,'TMP Paste'!$P305))</f>
        <v/>
      </c>
      <c r="AP305" t="str">
        <f t="shared" si="29"/>
        <v/>
      </c>
      <c r="AQ305" t="str">
        <f>IF($AS305="","",TRIM(IF(COUNTIFS(Calc!$B$2:$B$1601,ROW()-1,Calc!$C$2:$C$1601,"&lt;1")&gt;0,"Ada PO tanpa Koli - cek TMP. ","")&amp;IF(OR($AU305="",$AU305&lt;=0),"Volume kosong/0 - dimensi dikosongkan. ","")&amp;IF(AND($AU305&lt;&gt;"",$AU305&gt;=1000000),"Volume &gt;= 1.000.000 cm3 (di luar aturan) - dimensi dikosongkan. ","")&amp;IF(LEN($R305)&gt;500,"R &gt; 500 karakter.","")))</f>
        <v/>
      </c>
      <c r="AS305" t="str">
        <f>IFERROR(MATCH(ROW()-1,Calc!$J$2:$J$1601,0),"")</f>
        <v/>
      </c>
      <c r="AT305" t="str">
        <f>IFERROR(MATCH(ROW()-1,Calc!$K$2:$K$1601,0),"")</f>
        <v/>
      </c>
      <c r="AU305" t="str">
        <f>IF($AS305="","",IFERROR(INDEX('TMP Paste'!$D$2:$D$1601,$AS305)*1000000/$AB305,""))</f>
        <v/>
      </c>
    </row>
    <row r="306" spans="1:47">
      <c r="A306" t="str">
        <f>IF($AS306="","",INDEX('TMP Paste'!$B$2:$B$1601,$AS306))</f>
        <v/>
      </c>
      <c r="B306" t="str">
        <f>IF($AS306="","",Config!$B$14)</f>
        <v/>
      </c>
      <c r="C306" t="str">
        <f>IF($AS306="","",Config!$B$15)</f>
        <v/>
      </c>
      <c r="D306" t="str">
        <f>IF($AS306="","",INDEX('TMP Paste'!$B$2:$B$1601,$AS306))</f>
        <v/>
      </c>
      <c r="E306" t="str">
        <f>IF($AS306="","",Config!$B$27)</f>
        <v/>
      </c>
      <c r="F306" t="str">
        <f>IF($AS306="","",Config!$B$9)</f>
        <v/>
      </c>
      <c r="G306" t="str">
        <f>IF($AS306="","",Config!$B$10)</f>
        <v/>
      </c>
      <c r="H306" t="str">
        <f>IF($AS306="","",Config!$B$11)</f>
        <v/>
      </c>
      <c r="I306" t="str">
        <f>IF($AS306="","",Config!$B$16)</f>
        <v/>
      </c>
      <c r="J306" t="str">
        <f>IF($AS306="","",INDEX('TMP Paste'!$A$2:$A$1601,$AS306))</f>
        <v/>
      </c>
      <c r="K306" t="str">
        <f>IF($AS306="","",INDEX('TMP Paste'!$L$2:$L$1601,$AS306))</f>
        <v/>
      </c>
      <c r="L306" t="str">
        <f>IF($AS306="","",INDEX('TMP Paste'!$I$2:$I$1601,$AS306))</f>
        <v/>
      </c>
      <c r="M306" t="str">
        <f>IF($AS306="","",Config!$B$16)</f>
        <v/>
      </c>
      <c r="N306" t="str">
        <f t="shared" si="24"/>
        <v/>
      </c>
      <c r="O306" t="str">
        <f>IF($AS306="","",INDEX('TMP Paste'!$K$2:$K$1601,$AS306))</f>
        <v/>
      </c>
      <c r="P306" t="str">
        <f t="shared" si="25"/>
        <v/>
      </c>
      <c r="Q306" t="str">
        <f>IF($AS306="","",INDEX('TMP Paste'!$J$2:$J$1601,$AS306))</f>
        <v/>
      </c>
      <c r="R306" t="str">
        <f>IF($AS306="","",Config!$B$24)</f>
        <v/>
      </c>
      <c r="S306" t="str">
        <f ca="1">IF($AS306="","",TEXT(Config!$B$4,"yyyy-mm-dd"))</f>
        <v/>
      </c>
      <c r="T306" t="str">
        <f>IF($AS306="","",Config!$B$17)</f>
        <v/>
      </c>
      <c r="U306" t="str">
        <f>IF($AS306="","",Config!$B$18)</f>
        <v/>
      </c>
      <c r="V306" t="str">
        <f>IF($AS306="","",Config!$B$19)</f>
        <v/>
      </c>
      <c r="W306" t="str">
        <f>IF($AS306="","",INDEX('TMP Paste'!$C$2:$C$1601,$AS306))</f>
        <v/>
      </c>
      <c r="X306" t="str">
        <f>IF($AS306="","",Config!$B$29)</f>
        <v/>
      </c>
      <c r="Y306" t="str">
        <f>IF($AT306="","",INDEX(Calc!$I$2:$I$1601,$AT306)&amp;" - "&amp;INDEX(Calc!$D$2:$D$1601,$AT306)&amp;" koli")</f>
        <v/>
      </c>
      <c r="Z306" t="str">
        <f>IF($AS306="","",Config!$B$21)</f>
        <v/>
      </c>
      <c r="AA306" t="str">
        <f>IF($AS306="","",Config!$B$22)</f>
        <v/>
      </c>
      <c r="AB306" t="str">
        <f>IF($AT306="","",INDEX(Calc!$D$2:$D$1601,$AT306))</f>
        <v/>
      </c>
      <c r="AC306" t="str">
        <f>IF($AT306="","",INDEX(Calc!$G$2:$G$1601,$AT306))</f>
        <v/>
      </c>
      <c r="AD306" t="str">
        <f>IF($AS306="","",Config!$B$23)</f>
        <v/>
      </c>
      <c r="AE306" t="str">
        <f>IF($AS306="","",Config!$B$28)</f>
        <v/>
      </c>
      <c r="AF306" t="str">
        <f t="shared" si="26"/>
        <v/>
      </c>
      <c r="AG306" t="str">
        <f t="shared" si="27"/>
        <v/>
      </c>
      <c r="AH306" t="str">
        <f t="shared" si="28"/>
        <v/>
      </c>
      <c r="AI306" t="str">
        <f>IF($AG306="","",SUMIF($AG$2:$AG306,$AG306,$AH$2:$AH306))</f>
        <v/>
      </c>
      <c r="AJ306" t="str">
        <f>IF('TMP Paste'!$F306="","",IF('TMP Paste'!$B306="",$AJ305,'TMP Paste'!$B306))</f>
        <v/>
      </c>
      <c r="AK306" t="str">
        <f>IF('TMP Paste'!$F306="","",N('TMP Paste'!$G306))</f>
        <v/>
      </c>
      <c r="AL306" t="str">
        <f>IF('TMP Paste'!$F306="","",IF('TMP Paste'!$M306="",$AL305,'TMP Paste'!$M306))</f>
        <v/>
      </c>
      <c r="AM306" t="str">
        <f>IF('TMP Paste'!$F306="","",IF('TMP Paste'!$N306="",$AM305,'TMP Paste'!$N306))</f>
        <v/>
      </c>
      <c r="AN306" t="str">
        <f>IF('TMP Paste'!$F306="","",IF('TMP Paste'!$O306="",$AN305,'TMP Paste'!$O306))</f>
        <v/>
      </c>
      <c r="AO306" t="str">
        <f>IF('TMP Paste'!$F306="","",IF('TMP Paste'!$P306="",$AO305,'TMP Paste'!$P306))</f>
        <v/>
      </c>
      <c r="AP306" t="str">
        <f t="shared" si="29"/>
        <v/>
      </c>
      <c r="AQ306" t="str">
        <f>IF($AS306="","",TRIM(IF(COUNTIFS(Calc!$B$2:$B$1601,ROW()-1,Calc!$C$2:$C$1601,"&lt;1")&gt;0,"Ada PO tanpa Koli - cek TMP. ","")&amp;IF(OR($AU306="",$AU306&lt;=0),"Volume kosong/0 - dimensi dikosongkan. ","")&amp;IF(AND($AU306&lt;&gt;"",$AU306&gt;=1000000),"Volume &gt;= 1.000.000 cm3 (di luar aturan) - dimensi dikosongkan. ","")&amp;IF(LEN($R306)&gt;500,"R &gt; 500 karakter.","")))</f>
        <v/>
      </c>
      <c r="AS306" t="str">
        <f>IFERROR(MATCH(ROW()-1,Calc!$J$2:$J$1601,0),"")</f>
        <v/>
      </c>
      <c r="AT306" t="str">
        <f>IFERROR(MATCH(ROW()-1,Calc!$K$2:$K$1601,0),"")</f>
        <v/>
      </c>
      <c r="AU306" t="str">
        <f>IF($AS306="","",IFERROR(INDEX('TMP Paste'!$D$2:$D$1601,$AS306)*1000000/$AB306,""))</f>
        <v/>
      </c>
    </row>
    <row r="307" spans="1:47">
      <c r="A307" t="str">
        <f>IF($AS307="","",INDEX('TMP Paste'!$B$2:$B$1601,$AS307))</f>
        <v/>
      </c>
      <c r="B307" t="str">
        <f>IF($AS307="","",Config!$B$14)</f>
        <v/>
      </c>
      <c r="C307" t="str">
        <f>IF($AS307="","",Config!$B$15)</f>
        <v/>
      </c>
      <c r="D307" t="str">
        <f>IF($AS307="","",INDEX('TMP Paste'!$B$2:$B$1601,$AS307))</f>
        <v/>
      </c>
      <c r="E307" t="str">
        <f>IF($AS307="","",Config!$B$27)</f>
        <v/>
      </c>
      <c r="F307" t="str">
        <f>IF($AS307="","",Config!$B$9)</f>
        <v/>
      </c>
      <c r="G307" t="str">
        <f>IF($AS307="","",Config!$B$10)</f>
        <v/>
      </c>
      <c r="H307" t="str">
        <f>IF($AS307="","",Config!$B$11)</f>
        <v/>
      </c>
      <c r="I307" t="str">
        <f>IF($AS307="","",Config!$B$16)</f>
        <v/>
      </c>
      <c r="J307" t="str">
        <f>IF($AS307="","",INDEX('TMP Paste'!$A$2:$A$1601,$AS307))</f>
        <v/>
      </c>
      <c r="K307" t="str">
        <f>IF($AS307="","",INDEX('TMP Paste'!$L$2:$L$1601,$AS307))</f>
        <v/>
      </c>
      <c r="L307" t="str">
        <f>IF($AS307="","",INDEX('TMP Paste'!$I$2:$I$1601,$AS307))</f>
        <v/>
      </c>
      <c r="M307" t="str">
        <f>IF($AS307="","",Config!$B$16)</f>
        <v/>
      </c>
      <c r="N307" t="str">
        <f t="shared" si="24"/>
        <v/>
      </c>
      <c r="O307" t="str">
        <f>IF($AS307="","",INDEX('TMP Paste'!$K$2:$K$1601,$AS307))</f>
        <v/>
      </c>
      <c r="P307" t="str">
        <f t="shared" si="25"/>
        <v/>
      </c>
      <c r="Q307" t="str">
        <f>IF($AS307="","",INDEX('TMP Paste'!$J$2:$J$1601,$AS307))</f>
        <v/>
      </c>
      <c r="R307" t="str">
        <f>IF($AS307="","",Config!$B$24)</f>
        <v/>
      </c>
      <c r="S307" t="str">
        <f ca="1">IF($AS307="","",TEXT(Config!$B$4,"yyyy-mm-dd"))</f>
        <v/>
      </c>
      <c r="T307" t="str">
        <f>IF($AS307="","",Config!$B$17)</f>
        <v/>
      </c>
      <c r="U307" t="str">
        <f>IF($AS307="","",Config!$B$18)</f>
        <v/>
      </c>
      <c r="V307" t="str">
        <f>IF($AS307="","",Config!$B$19)</f>
        <v/>
      </c>
      <c r="W307" t="str">
        <f>IF($AS307="","",INDEX('TMP Paste'!$C$2:$C$1601,$AS307))</f>
        <v/>
      </c>
      <c r="X307" t="str">
        <f>IF($AS307="","",Config!$B$29)</f>
        <v/>
      </c>
      <c r="Y307" t="str">
        <f>IF($AT307="","",INDEX(Calc!$I$2:$I$1601,$AT307)&amp;" - "&amp;INDEX(Calc!$D$2:$D$1601,$AT307)&amp;" koli")</f>
        <v/>
      </c>
      <c r="Z307" t="str">
        <f>IF($AS307="","",Config!$B$21)</f>
        <v/>
      </c>
      <c r="AA307" t="str">
        <f>IF($AS307="","",Config!$B$22)</f>
        <v/>
      </c>
      <c r="AB307" t="str">
        <f>IF($AT307="","",INDEX(Calc!$D$2:$D$1601,$AT307))</f>
        <v/>
      </c>
      <c r="AC307" t="str">
        <f>IF($AT307="","",INDEX(Calc!$G$2:$G$1601,$AT307))</f>
        <v/>
      </c>
      <c r="AD307" t="str">
        <f>IF($AS307="","",Config!$B$23)</f>
        <v/>
      </c>
      <c r="AE307" t="str">
        <f>IF($AS307="","",Config!$B$28)</f>
        <v/>
      </c>
      <c r="AF307" t="str">
        <f t="shared" si="26"/>
        <v/>
      </c>
      <c r="AG307" t="str">
        <f t="shared" si="27"/>
        <v/>
      </c>
      <c r="AH307" t="str">
        <f t="shared" si="28"/>
        <v/>
      </c>
      <c r="AI307" t="str">
        <f>IF($AG307="","",SUMIF($AG$2:$AG307,$AG307,$AH$2:$AH307))</f>
        <v/>
      </c>
      <c r="AJ307" t="str">
        <f>IF('TMP Paste'!$F307="","",IF('TMP Paste'!$B307="",$AJ306,'TMP Paste'!$B307))</f>
        <v/>
      </c>
      <c r="AK307" t="str">
        <f>IF('TMP Paste'!$F307="","",N('TMP Paste'!$G307))</f>
        <v/>
      </c>
      <c r="AL307" t="str">
        <f>IF('TMP Paste'!$F307="","",IF('TMP Paste'!$M307="",$AL306,'TMP Paste'!$M307))</f>
        <v/>
      </c>
      <c r="AM307" t="str">
        <f>IF('TMP Paste'!$F307="","",IF('TMP Paste'!$N307="",$AM306,'TMP Paste'!$N307))</f>
        <v/>
      </c>
      <c r="AN307" t="str">
        <f>IF('TMP Paste'!$F307="","",IF('TMP Paste'!$O307="",$AN306,'TMP Paste'!$O307))</f>
        <v/>
      </c>
      <c r="AO307" t="str">
        <f>IF('TMP Paste'!$F307="","",IF('TMP Paste'!$P307="",$AO306,'TMP Paste'!$P307))</f>
        <v/>
      </c>
      <c r="AP307" t="str">
        <f t="shared" si="29"/>
        <v/>
      </c>
      <c r="AQ307" t="str">
        <f>IF($AS307="","",TRIM(IF(COUNTIFS(Calc!$B$2:$B$1601,ROW()-1,Calc!$C$2:$C$1601,"&lt;1")&gt;0,"Ada PO tanpa Koli - cek TMP. ","")&amp;IF(OR($AU307="",$AU307&lt;=0),"Volume kosong/0 - dimensi dikosongkan. ","")&amp;IF(AND($AU307&lt;&gt;"",$AU307&gt;=1000000),"Volume &gt;= 1.000.000 cm3 (di luar aturan) - dimensi dikosongkan. ","")&amp;IF(LEN($R307)&gt;500,"R &gt; 500 karakter.","")))</f>
        <v/>
      </c>
      <c r="AS307" t="str">
        <f>IFERROR(MATCH(ROW()-1,Calc!$J$2:$J$1601,0),"")</f>
        <v/>
      </c>
      <c r="AT307" t="str">
        <f>IFERROR(MATCH(ROW()-1,Calc!$K$2:$K$1601,0),"")</f>
        <v/>
      </c>
      <c r="AU307" t="str">
        <f>IF($AS307="","",IFERROR(INDEX('TMP Paste'!$D$2:$D$1601,$AS307)*1000000/$AB307,""))</f>
        <v/>
      </c>
    </row>
    <row r="308" spans="1:47">
      <c r="A308" t="str">
        <f>IF($AS308="","",INDEX('TMP Paste'!$B$2:$B$1601,$AS308))</f>
        <v/>
      </c>
      <c r="B308" t="str">
        <f>IF($AS308="","",Config!$B$14)</f>
        <v/>
      </c>
      <c r="C308" t="str">
        <f>IF($AS308="","",Config!$B$15)</f>
        <v/>
      </c>
      <c r="D308" t="str">
        <f>IF($AS308="","",INDEX('TMP Paste'!$B$2:$B$1601,$AS308))</f>
        <v/>
      </c>
      <c r="E308" t="str">
        <f>IF($AS308="","",Config!$B$27)</f>
        <v/>
      </c>
      <c r="F308" t="str">
        <f>IF($AS308="","",Config!$B$9)</f>
        <v/>
      </c>
      <c r="G308" t="str">
        <f>IF($AS308="","",Config!$B$10)</f>
        <v/>
      </c>
      <c r="H308" t="str">
        <f>IF($AS308="","",Config!$B$11)</f>
        <v/>
      </c>
      <c r="I308" t="str">
        <f>IF($AS308="","",Config!$B$16)</f>
        <v/>
      </c>
      <c r="J308" t="str">
        <f>IF($AS308="","",INDEX('TMP Paste'!$A$2:$A$1601,$AS308))</f>
        <v/>
      </c>
      <c r="K308" t="str">
        <f>IF($AS308="","",INDEX('TMP Paste'!$L$2:$L$1601,$AS308))</f>
        <v/>
      </c>
      <c r="L308" t="str">
        <f>IF($AS308="","",INDEX('TMP Paste'!$I$2:$I$1601,$AS308))</f>
        <v/>
      </c>
      <c r="M308" t="str">
        <f>IF($AS308="","",Config!$B$16)</f>
        <v/>
      </c>
      <c r="N308" t="str">
        <f t="shared" si="24"/>
        <v/>
      </c>
      <c r="O308" t="str">
        <f>IF($AS308="","",INDEX('TMP Paste'!$K$2:$K$1601,$AS308))</f>
        <v/>
      </c>
      <c r="P308" t="str">
        <f t="shared" si="25"/>
        <v/>
      </c>
      <c r="Q308" t="str">
        <f>IF($AS308="","",INDEX('TMP Paste'!$J$2:$J$1601,$AS308))</f>
        <v/>
      </c>
      <c r="R308" t="str">
        <f>IF($AS308="","",Config!$B$24)</f>
        <v/>
      </c>
      <c r="S308" t="str">
        <f ca="1">IF($AS308="","",TEXT(Config!$B$4,"yyyy-mm-dd"))</f>
        <v/>
      </c>
      <c r="T308" t="str">
        <f>IF($AS308="","",Config!$B$17)</f>
        <v/>
      </c>
      <c r="U308" t="str">
        <f>IF($AS308="","",Config!$B$18)</f>
        <v/>
      </c>
      <c r="V308" t="str">
        <f>IF($AS308="","",Config!$B$19)</f>
        <v/>
      </c>
      <c r="W308" t="str">
        <f>IF($AS308="","",INDEX('TMP Paste'!$C$2:$C$1601,$AS308))</f>
        <v/>
      </c>
      <c r="X308" t="str">
        <f>IF($AS308="","",Config!$B$29)</f>
        <v/>
      </c>
      <c r="Y308" t="str">
        <f>IF($AT308="","",INDEX(Calc!$I$2:$I$1601,$AT308)&amp;" - "&amp;INDEX(Calc!$D$2:$D$1601,$AT308)&amp;" koli")</f>
        <v/>
      </c>
      <c r="Z308" t="str">
        <f>IF($AS308="","",Config!$B$21)</f>
        <v/>
      </c>
      <c r="AA308" t="str">
        <f>IF($AS308="","",Config!$B$22)</f>
        <v/>
      </c>
      <c r="AB308" t="str">
        <f>IF($AT308="","",INDEX(Calc!$D$2:$D$1601,$AT308))</f>
        <v/>
      </c>
      <c r="AC308" t="str">
        <f>IF($AT308="","",INDEX(Calc!$G$2:$G$1601,$AT308))</f>
        <v/>
      </c>
      <c r="AD308" t="str">
        <f>IF($AS308="","",Config!$B$23)</f>
        <v/>
      </c>
      <c r="AE308" t="str">
        <f>IF($AS308="","",Config!$B$28)</f>
        <v/>
      </c>
      <c r="AF308" t="str">
        <f t="shared" si="26"/>
        <v/>
      </c>
      <c r="AG308" t="str">
        <f t="shared" si="27"/>
        <v/>
      </c>
      <c r="AH308" t="str">
        <f t="shared" si="28"/>
        <v/>
      </c>
      <c r="AI308" t="str">
        <f>IF($AG308="","",SUMIF($AG$2:$AG308,$AG308,$AH$2:$AH308))</f>
        <v/>
      </c>
      <c r="AJ308" t="str">
        <f>IF('TMP Paste'!$F308="","",IF('TMP Paste'!$B308="",$AJ307,'TMP Paste'!$B308))</f>
        <v/>
      </c>
      <c r="AK308" t="str">
        <f>IF('TMP Paste'!$F308="","",N('TMP Paste'!$G308))</f>
        <v/>
      </c>
      <c r="AL308" t="str">
        <f>IF('TMP Paste'!$F308="","",IF('TMP Paste'!$M308="",$AL307,'TMP Paste'!$M308))</f>
        <v/>
      </c>
      <c r="AM308" t="str">
        <f>IF('TMP Paste'!$F308="","",IF('TMP Paste'!$N308="",$AM307,'TMP Paste'!$N308))</f>
        <v/>
      </c>
      <c r="AN308" t="str">
        <f>IF('TMP Paste'!$F308="","",IF('TMP Paste'!$O308="",$AN307,'TMP Paste'!$O308))</f>
        <v/>
      </c>
      <c r="AO308" t="str">
        <f>IF('TMP Paste'!$F308="","",IF('TMP Paste'!$P308="",$AO307,'TMP Paste'!$P308))</f>
        <v/>
      </c>
      <c r="AP308" t="str">
        <f t="shared" si="29"/>
        <v/>
      </c>
      <c r="AQ308" t="str">
        <f>IF($AS308="","",TRIM(IF(COUNTIFS(Calc!$B$2:$B$1601,ROW()-1,Calc!$C$2:$C$1601,"&lt;1")&gt;0,"Ada PO tanpa Koli - cek TMP. ","")&amp;IF(OR($AU308="",$AU308&lt;=0),"Volume kosong/0 - dimensi dikosongkan. ","")&amp;IF(AND($AU308&lt;&gt;"",$AU308&gt;=1000000),"Volume &gt;= 1.000.000 cm3 (di luar aturan) - dimensi dikosongkan. ","")&amp;IF(LEN($R308)&gt;500,"R &gt; 500 karakter.","")))</f>
        <v/>
      </c>
      <c r="AS308" t="str">
        <f>IFERROR(MATCH(ROW()-1,Calc!$J$2:$J$1601,0),"")</f>
        <v/>
      </c>
      <c r="AT308" t="str">
        <f>IFERROR(MATCH(ROW()-1,Calc!$K$2:$K$1601,0),"")</f>
        <v/>
      </c>
      <c r="AU308" t="str">
        <f>IF($AS308="","",IFERROR(INDEX('TMP Paste'!$D$2:$D$1601,$AS308)*1000000/$AB308,""))</f>
        <v/>
      </c>
    </row>
    <row r="309" spans="1:47">
      <c r="A309" t="str">
        <f>IF($AS309="","",INDEX('TMP Paste'!$B$2:$B$1601,$AS309))</f>
        <v/>
      </c>
      <c r="B309" t="str">
        <f>IF($AS309="","",Config!$B$14)</f>
        <v/>
      </c>
      <c r="C309" t="str">
        <f>IF($AS309="","",Config!$B$15)</f>
        <v/>
      </c>
      <c r="D309" t="str">
        <f>IF($AS309="","",INDEX('TMP Paste'!$B$2:$B$1601,$AS309))</f>
        <v/>
      </c>
      <c r="E309" t="str">
        <f>IF($AS309="","",Config!$B$27)</f>
        <v/>
      </c>
      <c r="F309" t="str">
        <f>IF($AS309="","",Config!$B$9)</f>
        <v/>
      </c>
      <c r="G309" t="str">
        <f>IF($AS309="","",Config!$B$10)</f>
        <v/>
      </c>
      <c r="H309" t="str">
        <f>IF($AS309="","",Config!$B$11)</f>
        <v/>
      </c>
      <c r="I309" t="str">
        <f>IF($AS309="","",Config!$B$16)</f>
        <v/>
      </c>
      <c r="J309" t="str">
        <f>IF($AS309="","",INDEX('TMP Paste'!$A$2:$A$1601,$AS309))</f>
        <v/>
      </c>
      <c r="K309" t="str">
        <f>IF($AS309="","",INDEX('TMP Paste'!$L$2:$L$1601,$AS309))</f>
        <v/>
      </c>
      <c r="L309" t="str">
        <f>IF($AS309="","",INDEX('TMP Paste'!$I$2:$I$1601,$AS309))</f>
        <v/>
      </c>
      <c r="M309" t="str">
        <f>IF($AS309="","",Config!$B$16)</f>
        <v/>
      </c>
      <c r="N309" t="str">
        <f t="shared" si="24"/>
        <v/>
      </c>
      <c r="O309" t="str">
        <f>IF($AS309="","",INDEX('TMP Paste'!$K$2:$K$1601,$AS309))</f>
        <v/>
      </c>
      <c r="P309" t="str">
        <f t="shared" si="25"/>
        <v/>
      </c>
      <c r="Q309" t="str">
        <f>IF($AS309="","",INDEX('TMP Paste'!$J$2:$J$1601,$AS309))</f>
        <v/>
      </c>
      <c r="R309" t="str">
        <f>IF($AS309="","",Config!$B$24)</f>
        <v/>
      </c>
      <c r="S309" t="str">
        <f ca="1">IF($AS309="","",TEXT(Config!$B$4,"yyyy-mm-dd"))</f>
        <v/>
      </c>
      <c r="T309" t="str">
        <f>IF($AS309="","",Config!$B$17)</f>
        <v/>
      </c>
      <c r="U309" t="str">
        <f>IF($AS309="","",Config!$B$18)</f>
        <v/>
      </c>
      <c r="V309" t="str">
        <f>IF($AS309="","",Config!$B$19)</f>
        <v/>
      </c>
      <c r="W309" t="str">
        <f>IF($AS309="","",INDEX('TMP Paste'!$C$2:$C$1601,$AS309))</f>
        <v/>
      </c>
      <c r="X309" t="str">
        <f>IF($AS309="","",Config!$B$29)</f>
        <v/>
      </c>
      <c r="Y309" t="str">
        <f>IF($AT309="","",INDEX(Calc!$I$2:$I$1601,$AT309)&amp;" - "&amp;INDEX(Calc!$D$2:$D$1601,$AT309)&amp;" koli")</f>
        <v/>
      </c>
      <c r="Z309" t="str">
        <f>IF($AS309="","",Config!$B$21)</f>
        <v/>
      </c>
      <c r="AA309" t="str">
        <f>IF($AS309="","",Config!$B$22)</f>
        <v/>
      </c>
      <c r="AB309" t="str">
        <f>IF($AT309="","",INDEX(Calc!$D$2:$D$1601,$AT309))</f>
        <v/>
      </c>
      <c r="AC309" t="str">
        <f>IF($AT309="","",INDEX(Calc!$G$2:$G$1601,$AT309))</f>
        <v/>
      </c>
      <c r="AD309" t="str">
        <f>IF($AS309="","",Config!$B$23)</f>
        <v/>
      </c>
      <c r="AE309" t="str">
        <f>IF($AS309="","",Config!$B$28)</f>
        <v/>
      </c>
      <c r="AF309" t="str">
        <f t="shared" si="26"/>
        <v/>
      </c>
      <c r="AG309" t="str">
        <f t="shared" si="27"/>
        <v/>
      </c>
      <c r="AH309" t="str">
        <f t="shared" si="28"/>
        <v/>
      </c>
      <c r="AI309" t="str">
        <f>IF($AG309="","",SUMIF($AG$2:$AG309,$AG309,$AH$2:$AH309))</f>
        <v/>
      </c>
      <c r="AJ309" t="str">
        <f>IF('TMP Paste'!$F309="","",IF('TMP Paste'!$B309="",$AJ308,'TMP Paste'!$B309))</f>
        <v/>
      </c>
      <c r="AK309" t="str">
        <f>IF('TMP Paste'!$F309="","",N('TMP Paste'!$G309))</f>
        <v/>
      </c>
      <c r="AL309" t="str">
        <f>IF('TMP Paste'!$F309="","",IF('TMP Paste'!$M309="",$AL308,'TMP Paste'!$M309))</f>
        <v/>
      </c>
      <c r="AM309" t="str">
        <f>IF('TMP Paste'!$F309="","",IF('TMP Paste'!$N309="",$AM308,'TMP Paste'!$N309))</f>
        <v/>
      </c>
      <c r="AN309" t="str">
        <f>IF('TMP Paste'!$F309="","",IF('TMP Paste'!$O309="",$AN308,'TMP Paste'!$O309))</f>
        <v/>
      </c>
      <c r="AO309" t="str">
        <f>IF('TMP Paste'!$F309="","",IF('TMP Paste'!$P309="",$AO308,'TMP Paste'!$P309))</f>
        <v/>
      </c>
      <c r="AP309" t="str">
        <f t="shared" si="29"/>
        <v/>
      </c>
      <c r="AQ309" t="str">
        <f>IF($AS309="","",TRIM(IF(COUNTIFS(Calc!$B$2:$B$1601,ROW()-1,Calc!$C$2:$C$1601,"&lt;1")&gt;0,"Ada PO tanpa Koli - cek TMP. ","")&amp;IF(OR($AU309="",$AU309&lt;=0),"Volume kosong/0 - dimensi dikosongkan. ","")&amp;IF(AND($AU309&lt;&gt;"",$AU309&gt;=1000000),"Volume &gt;= 1.000.000 cm3 (di luar aturan) - dimensi dikosongkan. ","")&amp;IF(LEN($R309)&gt;500,"R &gt; 500 karakter.","")))</f>
        <v/>
      </c>
      <c r="AS309" t="str">
        <f>IFERROR(MATCH(ROW()-1,Calc!$J$2:$J$1601,0),"")</f>
        <v/>
      </c>
      <c r="AT309" t="str">
        <f>IFERROR(MATCH(ROW()-1,Calc!$K$2:$K$1601,0),"")</f>
        <v/>
      </c>
      <c r="AU309" t="str">
        <f>IF($AS309="","",IFERROR(INDEX('TMP Paste'!$D$2:$D$1601,$AS309)*1000000/$AB309,""))</f>
        <v/>
      </c>
    </row>
    <row r="310" spans="1:47">
      <c r="A310" t="str">
        <f>IF($AS310="","",INDEX('TMP Paste'!$B$2:$B$1601,$AS310))</f>
        <v/>
      </c>
      <c r="B310" t="str">
        <f>IF($AS310="","",Config!$B$14)</f>
        <v/>
      </c>
      <c r="C310" t="str">
        <f>IF($AS310="","",Config!$B$15)</f>
        <v/>
      </c>
      <c r="D310" t="str">
        <f>IF($AS310="","",INDEX('TMP Paste'!$B$2:$B$1601,$AS310))</f>
        <v/>
      </c>
      <c r="E310" t="str">
        <f>IF($AS310="","",Config!$B$27)</f>
        <v/>
      </c>
      <c r="F310" t="str">
        <f>IF($AS310="","",Config!$B$9)</f>
        <v/>
      </c>
      <c r="G310" t="str">
        <f>IF($AS310="","",Config!$B$10)</f>
        <v/>
      </c>
      <c r="H310" t="str">
        <f>IF($AS310="","",Config!$B$11)</f>
        <v/>
      </c>
      <c r="I310" t="str">
        <f>IF($AS310="","",Config!$B$16)</f>
        <v/>
      </c>
      <c r="J310" t="str">
        <f>IF($AS310="","",INDEX('TMP Paste'!$A$2:$A$1601,$AS310))</f>
        <v/>
      </c>
      <c r="K310" t="str">
        <f>IF($AS310="","",INDEX('TMP Paste'!$L$2:$L$1601,$AS310))</f>
        <v/>
      </c>
      <c r="L310" t="str">
        <f>IF($AS310="","",INDEX('TMP Paste'!$I$2:$I$1601,$AS310))</f>
        <v/>
      </c>
      <c r="M310" t="str">
        <f>IF($AS310="","",Config!$B$16)</f>
        <v/>
      </c>
      <c r="N310" t="str">
        <f t="shared" si="24"/>
        <v/>
      </c>
      <c r="O310" t="str">
        <f>IF($AS310="","",INDEX('TMP Paste'!$K$2:$K$1601,$AS310))</f>
        <v/>
      </c>
      <c r="P310" t="str">
        <f t="shared" si="25"/>
        <v/>
      </c>
      <c r="Q310" t="str">
        <f>IF($AS310="","",INDEX('TMP Paste'!$J$2:$J$1601,$AS310))</f>
        <v/>
      </c>
      <c r="R310" t="str">
        <f>IF($AS310="","",Config!$B$24)</f>
        <v/>
      </c>
      <c r="S310" t="str">
        <f ca="1">IF($AS310="","",TEXT(Config!$B$4,"yyyy-mm-dd"))</f>
        <v/>
      </c>
      <c r="T310" t="str">
        <f>IF($AS310="","",Config!$B$17)</f>
        <v/>
      </c>
      <c r="U310" t="str">
        <f>IF($AS310="","",Config!$B$18)</f>
        <v/>
      </c>
      <c r="V310" t="str">
        <f>IF($AS310="","",Config!$B$19)</f>
        <v/>
      </c>
      <c r="W310" t="str">
        <f>IF($AS310="","",INDEX('TMP Paste'!$C$2:$C$1601,$AS310))</f>
        <v/>
      </c>
      <c r="X310" t="str">
        <f>IF($AS310="","",Config!$B$29)</f>
        <v/>
      </c>
      <c r="Y310" t="str">
        <f>IF($AT310="","",INDEX(Calc!$I$2:$I$1601,$AT310)&amp;" - "&amp;INDEX(Calc!$D$2:$D$1601,$AT310)&amp;" koli")</f>
        <v/>
      </c>
      <c r="Z310" t="str">
        <f>IF($AS310="","",Config!$B$21)</f>
        <v/>
      </c>
      <c r="AA310" t="str">
        <f>IF($AS310="","",Config!$B$22)</f>
        <v/>
      </c>
      <c r="AB310" t="str">
        <f>IF($AT310="","",INDEX(Calc!$D$2:$D$1601,$AT310))</f>
        <v/>
      </c>
      <c r="AC310" t="str">
        <f>IF($AT310="","",INDEX(Calc!$G$2:$G$1601,$AT310))</f>
        <v/>
      </c>
      <c r="AD310" t="str">
        <f>IF($AS310="","",Config!$B$23)</f>
        <v/>
      </c>
      <c r="AE310" t="str">
        <f>IF($AS310="","",Config!$B$28)</f>
        <v/>
      </c>
      <c r="AF310" t="str">
        <f t="shared" si="26"/>
        <v/>
      </c>
      <c r="AG310" t="str">
        <f t="shared" si="27"/>
        <v/>
      </c>
      <c r="AH310" t="str">
        <f t="shared" si="28"/>
        <v/>
      </c>
      <c r="AI310" t="str">
        <f>IF($AG310="","",SUMIF($AG$2:$AG310,$AG310,$AH$2:$AH310))</f>
        <v/>
      </c>
      <c r="AJ310" t="str">
        <f>IF('TMP Paste'!$F310="","",IF('TMP Paste'!$B310="",$AJ309,'TMP Paste'!$B310))</f>
        <v/>
      </c>
      <c r="AK310" t="str">
        <f>IF('TMP Paste'!$F310="","",N('TMP Paste'!$G310))</f>
        <v/>
      </c>
      <c r="AL310" t="str">
        <f>IF('TMP Paste'!$F310="","",IF('TMP Paste'!$M310="",$AL309,'TMP Paste'!$M310))</f>
        <v/>
      </c>
      <c r="AM310" t="str">
        <f>IF('TMP Paste'!$F310="","",IF('TMP Paste'!$N310="",$AM309,'TMP Paste'!$N310))</f>
        <v/>
      </c>
      <c r="AN310" t="str">
        <f>IF('TMP Paste'!$F310="","",IF('TMP Paste'!$O310="",$AN309,'TMP Paste'!$O310))</f>
        <v/>
      </c>
      <c r="AO310" t="str">
        <f>IF('TMP Paste'!$F310="","",IF('TMP Paste'!$P310="",$AO309,'TMP Paste'!$P310))</f>
        <v/>
      </c>
      <c r="AP310" t="str">
        <f t="shared" si="29"/>
        <v/>
      </c>
      <c r="AQ310" t="str">
        <f>IF($AS310="","",TRIM(IF(COUNTIFS(Calc!$B$2:$B$1601,ROW()-1,Calc!$C$2:$C$1601,"&lt;1")&gt;0,"Ada PO tanpa Koli - cek TMP. ","")&amp;IF(OR($AU310="",$AU310&lt;=0),"Volume kosong/0 - dimensi dikosongkan. ","")&amp;IF(AND($AU310&lt;&gt;"",$AU310&gt;=1000000),"Volume &gt;= 1.000.000 cm3 (di luar aturan) - dimensi dikosongkan. ","")&amp;IF(LEN($R310)&gt;500,"R &gt; 500 karakter.","")))</f>
        <v/>
      </c>
      <c r="AS310" t="str">
        <f>IFERROR(MATCH(ROW()-1,Calc!$J$2:$J$1601,0),"")</f>
        <v/>
      </c>
      <c r="AT310" t="str">
        <f>IFERROR(MATCH(ROW()-1,Calc!$K$2:$K$1601,0),"")</f>
        <v/>
      </c>
      <c r="AU310" t="str">
        <f>IF($AS310="","",IFERROR(INDEX('TMP Paste'!$D$2:$D$1601,$AS310)*1000000/$AB310,""))</f>
        <v/>
      </c>
    </row>
    <row r="311" spans="1:47">
      <c r="A311" t="str">
        <f>IF($AS311="","",INDEX('TMP Paste'!$B$2:$B$1601,$AS311))</f>
        <v/>
      </c>
      <c r="B311" t="str">
        <f>IF($AS311="","",Config!$B$14)</f>
        <v/>
      </c>
      <c r="C311" t="str">
        <f>IF($AS311="","",Config!$B$15)</f>
        <v/>
      </c>
      <c r="D311" t="str">
        <f>IF($AS311="","",INDEX('TMP Paste'!$B$2:$B$1601,$AS311))</f>
        <v/>
      </c>
      <c r="E311" t="str">
        <f>IF($AS311="","",Config!$B$27)</f>
        <v/>
      </c>
      <c r="F311" t="str">
        <f>IF($AS311="","",Config!$B$9)</f>
        <v/>
      </c>
      <c r="G311" t="str">
        <f>IF($AS311="","",Config!$B$10)</f>
        <v/>
      </c>
      <c r="H311" t="str">
        <f>IF($AS311="","",Config!$B$11)</f>
        <v/>
      </c>
      <c r="I311" t="str">
        <f>IF($AS311="","",Config!$B$16)</f>
        <v/>
      </c>
      <c r="J311" t="str">
        <f>IF($AS311="","",INDEX('TMP Paste'!$A$2:$A$1601,$AS311))</f>
        <v/>
      </c>
      <c r="K311" t="str">
        <f>IF($AS311="","",INDEX('TMP Paste'!$L$2:$L$1601,$AS311))</f>
        <v/>
      </c>
      <c r="L311" t="str">
        <f>IF($AS311="","",INDEX('TMP Paste'!$I$2:$I$1601,$AS311))</f>
        <v/>
      </c>
      <c r="M311" t="str">
        <f>IF($AS311="","",Config!$B$16)</f>
        <v/>
      </c>
      <c r="N311" t="str">
        <f t="shared" si="24"/>
        <v/>
      </c>
      <c r="O311" t="str">
        <f>IF($AS311="","",INDEX('TMP Paste'!$K$2:$K$1601,$AS311))</f>
        <v/>
      </c>
      <c r="P311" t="str">
        <f t="shared" si="25"/>
        <v/>
      </c>
      <c r="Q311" t="str">
        <f>IF($AS311="","",INDEX('TMP Paste'!$J$2:$J$1601,$AS311))</f>
        <v/>
      </c>
      <c r="R311" t="str">
        <f>IF($AS311="","",Config!$B$24)</f>
        <v/>
      </c>
      <c r="S311" t="str">
        <f ca="1">IF($AS311="","",TEXT(Config!$B$4,"yyyy-mm-dd"))</f>
        <v/>
      </c>
      <c r="T311" t="str">
        <f>IF($AS311="","",Config!$B$17)</f>
        <v/>
      </c>
      <c r="U311" t="str">
        <f>IF($AS311="","",Config!$B$18)</f>
        <v/>
      </c>
      <c r="V311" t="str">
        <f>IF($AS311="","",Config!$B$19)</f>
        <v/>
      </c>
      <c r="W311" t="str">
        <f>IF($AS311="","",INDEX('TMP Paste'!$C$2:$C$1601,$AS311))</f>
        <v/>
      </c>
      <c r="X311" t="str">
        <f>IF($AS311="","",Config!$B$29)</f>
        <v/>
      </c>
      <c r="Y311" t="str">
        <f>IF($AT311="","",INDEX(Calc!$I$2:$I$1601,$AT311)&amp;" - "&amp;INDEX(Calc!$D$2:$D$1601,$AT311)&amp;" koli")</f>
        <v/>
      </c>
      <c r="Z311" t="str">
        <f>IF($AS311="","",Config!$B$21)</f>
        <v/>
      </c>
      <c r="AA311" t="str">
        <f>IF($AS311="","",Config!$B$22)</f>
        <v/>
      </c>
      <c r="AB311" t="str">
        <f>IF($AT311="","",INDEX(Calc!$D$2:$D$1601,$AT311))</f>
        <v/>
      </c>
      <c r="AC311" t="str">
        <f>IF($AT311="","",INDEX(Calc!$G$2:$G$1601,$AT311))</f>
        <v/>
      </c>
      <c r="AD311" t="str">
        <f>IF($AS311="","",Config!$B$23)</f>
        <v/>
      </c>
      <c r="AE311" t="str">
        <f>IF($AS311="","",Config!$B$28)</f>
        <v/>
      </c>
      <c r="AF311" t="str">
        <f t="shared" si="26"/>
        <v/>
      </c>
      <c r="AG311" t="str">
        <f t="shared" si="27"/>
        <v/>
      </c>
      <c r="AH311" t="str">
        <f t="shared" si="28"/>
        <v/>
      </c>
      <c r="AI311" t="str">
        <f>IF($AG311="","",SUMIF($AG$2:$AG311,$AG311,$AH$2:$AH311))</f>
        <v/>
      </c>
      <c r="AJ311" t="str">
        <f>IF('TMP Paste'!$F311="","",IF('TMP Paste'!$B311="",$AJ310,'TMP Paste'!$B311))</f>
        <v/>
      </c>
      <c r="AK311" t="str">
        <f>IF('TMP Paste'!$F311="","",N('TMP Paste'!$G311))</f>
        <v/>
      </c>
      <c r="AL311" t="str">
        <f>IF('TMP Paste'!$F311="","",IF('TMP Paste'!$M311="",$AL310,'TMP Paste'!$M311))</f>
        <v/>
      </c>
      <c r="AM311" t="str">
        <f>IF('TMP Paste'!$F311="","",IF('TMP Paste'!$N311="",$AM310,'TMP Paste'!$N311))</f>
        <v/>
      </c>
      <c r="AN311" t="str">
        <f>IF('TMP Paste'!$F311="","",IF('TMP Paste'!$O311="",$AN310,'TMP Paste'!$O311))</f>
        <v/>
      </c>
      <c r="AO311" t="str">
        <f>IF('TMP Paste'!$F311="","",IF('TMP Paste'!$P311="",$AO310,'TMP Paste'!$P311))</f>
        <v/>
      </c>
      <c r="AP311" t="str">
        <f t="shared" si="29"/>
        <v/>
      </c>
      <c r="AQ311" t="str">
        <f>IF($AS311="","",TRIM(IF(COUNTIFS(Calc!$B$2:$B$1601,ROW()-1,Calc!$C$2:$C$1601,"&lt;1")&gt;0,"Ada PO tanpa Koli - cek TMP. ","")&amp;IF(OR($AU311="",$AU311&lt;=0),"Volume kosong/0 - dimensi dikosongkan. ","")&amp;IF(AND($AU311&lt;&gt;"",$AU311&gt;=1000000),"Volume &gt;= 1.000.000 cm3 (di luar aturan) - dimensi dikosongkan. ","")&amp;IF(LEN($R311)&gt;500,"R &gt; 500 karakter.","")))</f>
        <v/>
      </c>
      <c r="AS311" t="str">
        <f>IFERROR(MATCH(ROW()-1,Calc!$J$2:$J$1601,0),"")</f>
        <v/>
      </c>
      <c r="AT311" t="str">
        <f>IFERROR(MATCH(ROW()-1,Calc!$K$2:$K$1601,0),"")</f>
        <v/>
      </c>
      <c r="AU311" t="str">
        <f>IF($AS311="","",IFERROR(INDEX('TMP Paste'!$D$2:$D$1601,$AS311)*1000000/$AB311,""))</f>
        <v/>
      </c>
    </row>
    <row r="312" spans="1:47">
      <c r="A312" t="str">
        <f>IF($AS312="","",INDEX('TMP Paste'!$B$2:$B$1601,$AS312))</f>
        <v/>
      </c>
      <c r="B312" t="str">
        <f>IF($AS312="","",Config!$B$14)</f>
        <v/>
      </c>
      <c r="C312" t="str">
        <f>IF($AS312="","",Config!$B$15)</f>
        <v/>
      </c>
      <c r="D312" t="str">
        <f>IF($AS312="","",INDEX('TMP Paste'!$B$2:$B$1601,$AS312))</f>
        <v/>
      </c>
      <c r="E312" t="str">
        <f>IF($AS312="","",Config!$B$27)</f>
        <v/>
      </c>
      <c r="F312" t="str">
        <f>IF($AS312="","",Config!$B$9)</f>
        <v/>
      </c>
      <c r="G312" t="str">
        <f>IF($AS312="","",Config!$B$10)</f>
        <v/>
      </c>
      <c r="H312" t="str">
        <f>IF($AS312="","",Config!$B$11)</f>
        <v/>
      </c>
      <c r="I312" t="str">
        <f>IF($AS312="","",Config!$B$16)</f>
        <v/>
      </c>
      <c r="J312" t="str">
        <f>IF($AS312="","",INDEX('TMP Paste'!$A$2:$A$1601,$AS312))</f>
        <v/>
      </c>
      <c r="K312" t="str">
        <f>IF($AS312="","",INDEX('TMP Paste'!$L$2:$L$1601,$AS312))</f>
        <v/>
      </c>
      <c r="L312" t="str">
        <f>IF($AS312="","",INDEX('TMP Paste'!$I$2:$I$1601,$AS312))</f>
        <v/>
      </c>
      <c r="M312" t="str">
        <f>IF($AS312="","",Config!$B$16)</f>
        <v/>
      </c>
      <c r="N312" t="str">
        <f t="shared" si="24"/>
        <v/>
      </c>
      <c r="O312" t="str">
        <f>IF($AS312="","",INDEX('TMP Paste'!$K$2:$K$1601,$AS312))</f>
        <v/>
      </c>
      <c r="P312" t="str">
        <f t="shared" si="25"/>
        <v/>
      </c>
      <c r="Q312" t="str">
        <f>IF($AS312="","",INDEX('TMP Paste'!$J$2:$J$1601,$AS312))</f>
        <v/>
      </c>
      <c r="R312" t="str">
        <f>IF($AS312="","",Config!$B$24)</f>
        <v/>
      </c>
      <c r="S312" t="str">
        <f ca="1">IF($AS312="","",TEXT(Config!$B$4,"yyyy-mm-dd"))</f>
        <v/>
      </c>
      <c r="T312" t="str">
        <f>IF($AS312="","",Config!$B$17)</f>
        <v/>
      </c>
      <c r="U312" t="str">
        <f>IF($AS312="","",Config!$B$18)</f>
        <v/>
      </c>
      <c r="V312" t="str">
        <f>IF($AS312="","",Config!$B$19)</f>
        <v/>
      </c>
      <c r="W312" t="str">
        <f>IF($AS312="","",INDEX('TMP Paste'!$C$2:$C$1601,$AS312))</f>
        <v/>
      </c>
      <c r="X312" t="str">
        <f>IF($AS312="","",Config!$B$29)</f>
        <v/>
      </c>
      <c r="Y312" t="str">
        <f>IF($AT312="","",INDEX(Calc!$I$2:$I$1601,$AT312)&amp;" - "&amp;INDEX(Calc!$D$2:$D$1601,$AT312)&amp;" koli")</f>
        <v/>
      </c>
      <c r="Z312" t="str">
        <f>IF($AS312="","",Config!$B$21)</f>
        <v/>
      </c>
      <c r="AA312" t="str">
        <f>IF($AS312="","",Config!$B$22)</f>
        <v/>
      </c>
      <c r="AB312" t="str">
        <f>IF($AT312="","",INDEX(Calc!$D$2:$D$1601,$AT312))</f>
        <v/>
      </c>
      <c r="AC312" t="str">
        <f>IF($AT312="","",INDEX(Calc!$G$2:$G$1601,$AT312))</f>
        <v/>
      </c>
      <c r="AD312" t="str">
        <f>IF($AS312="","",Config!$B$23)</f>
        <v/>
      </c>
      <c r="AE312" t="str">
        <f>IF($AS312="","",Config!$B$28)</f>
        <v/>
      </c>
      <c r="AF312" t="str">
        <f t="shared" si="26"/>
        <v/>
      </c>
      <c r="AG312" t="str">
        <f t="shared" si="27"/>
        <v/>
      </c>
      <c r="AH312" t="str">
        <f t="shared" si="28"/>
        <v/>
      </c>
      <c r="AI312" t="str">
        <f>IF($AG312="","",SUMIF($AG$2:$AG312,$AG312,$AH$2:$AH312))</f>
        <v/>
      </c>
      <c r="AJ312" t="str">
        <f>IF('TMP Paste'!$F312="","",IF('TMP Paste'!$B312="",$AJ311,'TMP Paste'!$B312))</f>
        <v/>
      </c>
      <c r="AK312" t="str">
        <f>IF('TMP Paste'!$F312="","",N('TMP Paste'!$G312))</f>
        <v/>
      </c>
      <c r="AL312" t="str">
        <f>IF('TMP Paste'!$F312="","",IF('TMP Paste'!$M312="",$AL311,'TMP Paste'!$M312))</f>
        <v/>
      </c>
      <c r="AM312" t="str">
        <f>IF('TMP Paste'!$F312="","",IF('TMP Paste'!$N312="",$AM311,'TMP Paste'!$N312))</f>
        <v/>
      </c>
      <c r="AN312" t="str">
        <f>IF('TMP Paste'!$F312="","",IF('TMP Paste'!$O312="",$AN311,'TMP Paste'!$O312))</f>
        <v/>
      </c>
      <c r="AO312" t="str">
        <f>IF('TMP Paste'!$F312="","",IF('TMP Paste'!$P312="",$AO311,'TMP Paste'!$P312))</f>
        <v/>
      </c>
      <c r="AP312" t="str">
        <f t="shared" si="29"/>
        <v/>
      </c>
      <c r="AQ312" t="str">
        <f>IF($AS312="","",TRIM(IF(COUNTIFS(Calc!$B$2:$B$1601,ROW()-1,Calc!$C$2:$C$1601,"&lt;1")&gt;0,"Ada PO tanpa Koli - cek TMP. ","")&amp;IF(OR($AU312="",$AU312&lt;=0),"Volume kosong/0 - dimensi dikosongkan. ","")&amp;IF(AND($AU312&lt;&gt;"",$AU312&gt;=1000000),"Volume &gt;= 1.000.000 cm3 (di luar aturan) - dimensi dikosongkan. ","")&amp;IF(LEN($R312)&gt;500,"R &gt; 500 karakter.","")))</f>
        <v/>
      </c>
      <c r="AS312" t="str">
        <f>IFERROR(MATCH(ROW()-1,Calc!$J$2:$J$1601,0),"")</f>
        <v/>
      </c>
      <c r="AT312" t="str">
        <f>IFERROR(MATCH(ROW()-1,Calc!$K$2:$K$1601,0),"")</f>
        <v/>
      </c>
      <c r="AU312" t="str">
        <f>IF($AS312="","",IFERROR(INDEX('TMP Paste'!$D$2:$D$1601,$AS312)*1000000/$AB312,""))</f>
        <v/>
      </c>
    </row>
    <row r="313" spans="1:47">
      <c r="A313" t="str">
        <f>IF($AS313="","",INDEX('TMP Paste'!$B$2:$B$1601,$AS313))</f>
        <v/>
      </c>
      <c r="B313" t="str">
        <f>IF($AS313="","",Config!$B$14)</f>
        <v/>
      </c>
      <c r="C313" t="str">
        <f>IF($AS313="","",Config!$B$15)</f>
        <v/>
      </c>
      <c r="D313" t="str">
        <f>IF($AS313="","",INDEX('TMP Paste'!$B$2:$B$1601,$AS313))</f>
        <v/>
      </c>
      <c r="E313" t="str">
        <f>IF($AS313="","",Config!$B$27)</f>
        <v/>
      </c>
      <c r="F313" t="str">
        <f>IF($AS313="","",Config!$B$9)</f>
        <v/>
      </c>
      <c r="G313" t="str">
        <f>IF($AS313="","",Config!$B$10)</f>
        <v/>
      </c>
      <c r="H313" t="str">
        <f>IF($AS313="","",Config!$B$11)</f>
        <v/>
      </c>
      <c r="I313" t="str">
        <f>IF($AS313="","",Config!$B$16)</f>
        <v/>
      </c>
      <c r="J313" t="str">
        <f>IF($AS313="","",INDEX('TMP Paste'!$A$2:$A$1601,$AS313))</f>
        <v/>
      </c>
      <c r="K313" t="str">
        <f>IF($AS313="","",INDEX('TMP Paste'!$L$2:$L$1601,$AS313))</f>
        <v/>
      </c>
      <c r="L313" t="str">
        <f>IF($AS313="","",INDEX('TMP Paste'!$I$2:$I$1601,$AS313))</f>
        <v/>
      </c>
      <c r="M313" t="str">
        <f>IF($AS313="","",Config!$B$16)</f>
        <v/>
      </c>
      <c r="N313" t="str">
        <f t="shared" si="24"/>
        <v/>
      </c>
      <c r="O313" t="str">
        <f>IF($AS313="","",INDEX('TMP Paste'!$K$2:$K$1601,$AS313))</f>
        <v/>
      </c>
      <c r="P313" t="str">
        <f t="shared" si="25"/>
        <v/>
      </c>
      <c r="Q313" t="str">
        <f>IF($AS313="","",INDEX('TMP Paste'!$J$2:$J$1601,$AS313))</f>
        <v/>
      </c>
      <c r="R313" t="str">
        <f>IF($AS313="","",Config!$B$24)</f>
        <v/>
      </c>
      <c r="S313" t="str">
        <f ca="1">IF($AS313="","",TEXT(Config!$B$4,"yyyy-mm-dd"))</f>
        <v/>
      </c>
      <c r="T313" t="str">
        <f>IF($AS313="","",Config!$B$17)</f>
        <v/>
      </c>
      <c r="U313" t="str">
        <f>IF($AS313="","",Config!$B$18)</f>
        <v/>
      </c>
      <c r="V313" t="str">
        <f>IF($AS313="","",Config!$B$19)</f>
        <v/>
      </c>
      <c r="W313" t="str">
        <f>IF($AS313="","",INDEX('TMP Paste'!$C$2:$C$1601,$AS313))</f>
        <v/>
      </c>
      <c r="X313" t="str">
        <f>IF($AS313="","",Config!$B$29)</f>
        <v/>
      </c>
      <c r="Y313" t="str">
        <f>IF($AT313="","",INDEX(Calc!$I$2:$I$1601,$AT313)&amp;" - "&amp;INDEX(Calc!$D$2:$D$1601,$AT313)&amp;" koli")</f>
        <v/>
      </c>
      <c r="Z313" t="str">
        <f>IF($AS313="","",Config!$B$21)</f>
        <v/>
      </c>
      <c r="AA313" t="str">
        <f>IF($AS313="","",Config!$B$22)</f>
        <v/>
      </c>
      <c r="AB313" t="str">
        <f>IF($AT313="","",INDEX(Calc!$D$2:$D$1601,$AT313))</f>
        <v/>
      </c>
      <c r="AC313" t="str">
        <f>IF($AT313="","",INDEX(Calc!$G$2:$G$1601,$AT313))</f>
        <v/>
      </c>
      <c r="AD313" t="str">
        <f>IF($AS313="","",Config!$B$23)</f>
        <v/>
      </c>
      <c r="AE313" t="str">
        <f>IF($AS313="","",Config!$B$28)</f>
        <v/>
      </c>
      <c r="AF313" t="str">
        <f t="shared" si="26"/>
        <v/>
      </c>
      <c r="AG313" t="str">
        <f t="shared" si="27"/>
        <v/>
      </c>
      <c r="AH313" t="str">
        <f t="shared" si="28"/>
        <v/>
      </c>
      <c r="AI313" t="str">
        <f>IF($AG313="","",SUMIF($AG$2:$AG313,$AG313,$AH$2:$AH313))</f>
        <v/>
      </c>
      <c r="AJ313" t="str">
        <f>IF('TMP Paste'!$F313="","",IF('TMP Paste'!$B313="",$AJ312,'TMP Paste'!$B313))</f>
        <v/>
      </c>
      <c r="AK313" t="str">
        <f>IF('TMP Paste'!$F313="","",N('TMP Paste'!$G313))</f>
        <v/>
      </c>
      <c r="AL313" t="str">
        <f>IF('TMP Paste'!$F313="","",IF('TMP Paste'!$M313="",$AL312,'TMP Paste'!$M313))</f>
        <v/>
      </c>
      <c r="AM313" t="str">
        <f>IF('TMP Paste'!$F313="","",IF('TMP Paste'!$N313="",$AM312,'TMP Paste'!$N313))</f>
        <v/>
      </c>
      <c r="AN313" t="str">
        <f>IF('TMP Paste'!$F313="","",IF('TMP Paste'!$O313="",$AN312,'TMP Paste'!$O313))</f>
        <v/>
      </c>
      <c r="AO313" t="str">
        <f>IF('TMP Paste'!$F313="","",IF('TMP Paste'!$P313="",$AO312,'TMP Paste'!$P313))</f>
        <v/>
      </c>
      <c r="AP313" t="str">
        <f t="shared" si="29"/>
        <v/>
      </c>
      <c r="AQ313" t="str">
        <f>IF($AS313="","",TRIM(IF(COUNTIFS(Calc!$B$2:$B$1601,ROW()-1,Calc!$C$2:$C$1601,"&lt;1")&gt;0,"Ada PO tanpa Koli - cek TMP. ","")&amp;IF(OR($AU313="",$AU313&lt;=0),"Volume kosong/0 - dimensi dikosongkan. ","")&amp;IF(AND($AU313&lt;&gt;"",$AU313&gt;=1000000),"Volume &gt;= 1.000.000 cm3 (di luar aturan) - dimensi dikosongkan. ","")&amp;IF(LEN($R313)&gt;500,"R &gt; 500 karakter.","")))</f>
        <v/>
      </c>
      <c r="AS313" t="str">
        <f>IFERROR(MATCH(ROW()-1,Calc!$J$2:$J$1601,0),"")</f>
        <v/>
      </c>
      <c r="AT313" t="str">
        <f>IFERROR(MATCH(ROW()-1,Calc!$K$2:$K$1601,0),"")</f>
        <v/>
      </c>
      <c r="AU313" t="str">
        <f>IF($AS313="","",IFERROR(INDEX('TMP Paste'!$D$2:$D$1601,$AS313)*1000000/$AB313,""))</f>
        <v/>
      </c>
    </row>
    <row r="314" spans="1:47">
      <c r="A314" t="str">
        <f>IF($AS314="","",INDEX('TMP Paste'!$B$2:$B$1601,$AS314))</f>
        <v/>
      </c>
      <c r="B314" t="str">
        <f>IF($AS314="","",Config!$B$14)</f>
        <v/>
      </c>
      <c r="C314" t="str">
        <f>IF($AS314="","",Config!$B$15)</f>
        <v/>
      </c>
      <c r="D314" t="str">
        <f>IF($AS314="","",INDEX('TMP Paste'!$B$2:$B$1601,$AS314))</f>
        <v/>
      </c>
      <c r="E314" t="str">
        <f>IF($AS314="","",Config!$B$27)</f>
        <v/>
      </c>
      <c r="F314" t="str">
        <f>IF($AS314="","",Config!$B$9)</f>
        <v/>
      </c>
      <c r="G314" t="str">
        <f>IF($AS314="","",Config!$B$10)</f>
        <v/>
      </c>
      <c r="H314" t="str">
        <f>IF($AS314="","",Config!$B$11)</f>
        <v/>
      </c>
      <c r="I314" t="str">
        <f>IF($AS314="","",Config!$B$16)</f>
        <v/>
      </c>
      <c r="J314" t="str">
        <f>IF($AS314="","",INDEX('TMP Paste'!$A$2:$A$1601,$AS314))</f>
        <v/>
      </c>
      <c r="K314" t="str">
        <f>IF($AS314="","",INDEX('TMP Paste'!$L$2:$L$1601,$AS314))</f>
        <v/>
      </c>
      <c r="L314" t="str">
        <f>IF($AS314="","",INDEX('TMP Paste'!$I$2:$I$1601,$AS314))</f>
        <v/>
      </c>
      <c r="M314" t="str">
        <f>IF($AS314="","",Config!$B$16)</f>
        <v/>
      </c>
      <c r="N314" t="str">
        <f t="shared" si="24"/>
        <v/>
      </c>
      <c r="O314" t="str">
        <f>IF($AS314="","",INDEX('TMP Paste'!$K$2:$K$1601,$AS314))</f>
        <v/>
      </c>
      <c r="P314" t="str">
        <f t="shared" si="25"/>
        <v/>
      </c>
      <c r="Q314" t="str">
        <f>IF($AS314="","",INDEX('TMP Paste'!$J$2:$J$1601,$AS314))</f>
        <v/>
      </c>
      <c r="R314" t="str">
        <f>IF($AS314="","",Config!$B$24)</f>
        <v/>
      </c>
      <c r="S314" t="str">
        <f ca="1">IF($AS314="","",TEXT(Config!$B$4,"yyyy-mm-dd"))</f>
        <v/>
      </c>
      <c r="T314" t="str">
        <f>IF($AS314="","",Config!$B$17)</f>
        <v/>
      </c>
      <c r="U314" t="str">
        <f>IF($AS314="","",Config!$B$18)</f>
        <v/>
      </c>
      <c r="V314" t="str">
        <f>IF($AS314="","",Config!$B$19)</f>
        <v/>
      </c>
      <c r="W314" t="str">
        <f>IF($AS314="","",INDEX('TMP Paste'!$C$2:$C$1601,$AS314))</f>
        <v/>
      </c>
      <c r="X314" t="str">
        <f>IF($AS314="","",Config!$B$29)</f>
        <v/>
      </c>
      <c r="Y314" t="str">
        <f>IF($AT314="","",INDEX(Calc!$I$2:$I$1601,$AT314)&amp;" - "&amp;INDEX(Calc!$D$2:$D$1601,$AT314)&amp;" koli")</f>
        <v/>
      </c>
      <c r="Z314" t="str">
        <f>IF($AS314="","",Config!$B$21)</f>
        <v/>
      </c>
      <c r="AA314" t="str">
        <f>IF($AS314="","",Config!$B$22)</f>
        <v/>
      </c>
      <c r="AB314" t="str">
        <f>IF($AT314="","",INDEX(Calc!$D$2:$D$1601,$AT314))</f>
        <v/>
      </c>
      <c r="AC314" t="str">
        <f>IF($AT314="","",INDEX(Calc!$G$2:$G$1601,$AT314))</f>
        <v/>
      </c>
      <c r="AD314" t="str">
        <f>IF($AS314="","",Config!$B$23)</f>
        <v/>
      </c>
      <c r="AE314" t="str">
        <f>IF($AS314="","",Config!$B$28)</f>
        <v/>
      </c>
      <c r="AF314" t="str">
        <f t="shared" si="26"/>
        <v/>
      </c>
      <c r="AG314" t="str">
        <f t="shared" si="27"/>
        <v/>
      </c>
      <c r="AH314" t="str">
        <f t="shared" si="28"/>
        <v/>
      </c>
      <c r="AI314" t="str">
        <f>IF($AG314="","",SUMIF($AG$2:$AG314,$AG314,$AH$2:$AH314))</f>
        <v/>
      </c>
      <c r="AJ314" t="str">
        <f>IF('TMP Paste'!$F314="","",IF('TMP Paste'!$B314="",$AJ313,'TMP Paste'!$B314))</f>
        <v/>
      </c>
      <c r="AK314" t="str">
        <f>IF('TMP Paste'!$F314="","",N('TMP Paste'!$G314))</f>
        <v/>
      </c>
      <c r="AL314" t="str">
        <f>IF('TMP Paste'!$F314="","",IF('TMP Paste'!$M314="",$AL313,'TMP Paste'!$M314))</f>
        <v/>
      </c>
      <c r="AM314" t="str">
        <f>IF('TMP Paste'!$F314="","",IF('TMP Paste'!$N314="",$AM313,'TMP Paste'!$N314))</f>
        <v/>
      </c>
      <c r="AN314" t="str">
        <f>IF('TMP Paste'!$F314="","",IF('TMP Paste'!$O314="",$AN313,'TMP Paste'!$O314))</f>
        <v/>
      </c>
      <c r="AO314" t="str">
        <f>IF('TMP Paste'!$F314="","",IF('TMP Paste'!$P314="",$AO313,'TMP Paste'!$P314))</f>
        <v/>
      </c>
      <c r="AP314" t="str">
        <f t="shared" si="29"/>
        <v/>
      </c>
      <c r="AQ314" t="str">
        <f>IF($AS314="","",TRIM(IF(COUNTIFS(Calc!$B$2:$B$1601,ROW()-1,Calc!$C$2:$C$1601,"&lt;1")&gt;0,"Ada PO tanpa Koli - cek TMP. ","")&amp;IF(OR($AU314="",$AU314&lt;=0),"Volume kosong/0 - dimensi dikosongkan. ","")&amp;IF(AND($AU314&lt;&gt;"",$AU314&gt;=1000000),"Volume &gt;= 1.000.000 cm3 (di luar aturan) - dimensi dikosongkan. ","")&amp;IF(LEN($R314)&gt;500,"R &gt; 500 karakter.","")))</f>
        <v/>
      </c>
      <c r="AS314" t="str">
        <f>IFERROR(MATCH(ROW()-1,Calc!$J$2:$J$1601,0),"")</f>
        <v/>
      </c>
      <c r="AT314" t="str">
        <f>IFERROR(MATCH(ROW()-1,Calc!$K$2:$K$1601,0),"")</f>
        <v/>
      </c>
      <c r="AU314" t="str">
        <f>IF($AS314="","",IFERROR(INDEX('TMP Paste'!$D$2:$D$1601,$AS314)*1000000/$AB314,""))</f>
        <v/>
      </c>
    </row>
    <row r="315" spans="1:47">
      <c r="A315" t="str">
        <f>IF($AS315="","",INDEX('TMP Paste'!$B$2:$B$1601,$AS315))</f>
        <v/>
      </c>
      <c r="B315" t="str">
        <f>IF($AS315="","",Config!$B$14)</f>
        <v/>
      </c>
      <c r="C315" t="str">
        <f>IF($AS315="","",Config!$B$15)</f>
        <v/>
      </c>
      <c r="D315" t="str">
        <f>IF($AS315="","",INDEX('TMP Paste'!$B$2:$B$1601,$AS315))</f>
        <v/>
      </c>
      <c r="E315" t="str">
        <f>IF($AS315="","",Config!$B$27)</f>
        <v/>
      </c>
      <c r="F315" t="str">
        <f>IF($AS315="","",Config!$B$9)</f>
        <v/>
      </c>
      <c r="G315" t="str">
        <f>IF($AS315="","",Config!$B$10)</f>
        <v/>
      </c>
      <c r="H315" t="str">
        <f>IF($AS315="","",Config!$B$11)</f>
        <v/>
      </c>
      <c r="I315" t="str">
        <f>IF($AS315="","",Config!$B$16)</f>
        <v/>
      </c>
      <c r="J315" t="str">
        <f>IF($AS315="","",INDEX('TMP Paste'!$A$2:$A$1601,$AS315))</f>
        <v/>
      </c>
      <c r="K315" t="str">
        <f>IF($AS315="","",INDEX('TMP Paste'!$L$2:$L$1601,$AS315))</f>
        <v/>
      </c>
      <c r="L315" t="str">
        <f>IF($AS315="","",INDEX('TMP Paste'!$I$2:$I$1601,$AS315))</f>
        <v/>
      </c>
      <c r="M315" t="str">
        <f>IF($AS315="","",Config!$B$16)</f>
        <v/>
      </c>
      <c r="N315" t="str">
        <f t="shared" si="24"/>
        <v/>
      </c>
      <c r="O315" t="str">
        <f>IF($AS315="","",INDEX('TMP Paste'!$K$2:$K$1601,$AS315))</f>
        <v/>
      </c>
      <c r="P315" t="str">
        <f t="shared" si="25"/>
        <v/>
      </c>
      <c r="Q315" t="str">
        <f>IF($AS315="","",INDEX('TMP Paste'!$J$2:$J$1601,$AS315))</f>
        <v/>
      </c>
      <c r="R315" t="str">
        <f>IF($AS315="","",Config!$B$24)</f>
        <v/>
      </c>
      <c r="S315" t="str">
        <f ca="1">IF($AS315="","",TEXT(Config!$B$4,"yyyy-mm-dd"))</f>
        <v/>
      </c>
      <c r="T315" t="str">
        <f>IF($AS315="","",Config!$B$17)</f>
        <v/>
      </c>
      <c r="U315" t="str">
        <f>IF($AS315="","",Config!$B$18)</f>
        <v/>
      </c>
      <c r="V315" t="str">
        <f>IF($AS315="","",Config!$B$19)</f>
        <v/>
      </c>
      <c r="W315" t="str">
        <f>IF($AS315="","",INDEX('TMP Paste'!$C$2:$C$1601,$AS315))</f>
        <v/>
      </c>
      <c r="X315" t="str">
        <f>IF($AS315="","",Config!$B$29)</f>
        <v/>
      </c>
      <c r="Y315" t="str">
        <f>IF($AT315="","",INDEX(Calc!$I$2:$I$1601,$AT315)&amp;" - "&amp;INDEX(Calc!$D$2:$D$1601,$AT315)&amp;" koli")</f>
        <v/>
      </c>
      <c r="Z315" t="str">
        <f>IF($AS315="","",Config!$B$21)</f>
        <v/>
      </c>
      <c r="AA315" t="str">
        <f>IF($AS315="","",Config!$B$22)</f>
        <v/>
      </c>
      <c r="AB315" t="str">
        <f>IF($AT315="","",INDEX(Calc!$D$2:$D$1601,$AT315))</f>
        <v/>
      </c>
      <c r="AC315" t="str">
        <f>IF($AT315="","",INDEX(Calc!$G$2:$G$1601,$AT315))</f>
        <v/>
      </c>
      <c r="AD315" t="str">
        <f>IF($AS315="","",Config!$B$23)</f>
        <v/>
      </c>
      <c r="AE315" t="str">
        <f>IF($AS315="","",Config!$B$28)</f>
        <v/>
      </c>
      <c r="AF315" t="str">
        <f t="shared" si="26"/>
        <v/>
      </c>
      <c r="AG315" t="str">
        <f t="shared" si="27"/>
        <v/>
      </c>
      <c r="AH315" t="str">
        <f t="shared" si="28"/>
        <v/>
      </c>
      <c r="AI315" t="str">
        <f>IF($AG315="","",SUMIF($AG$2:$AG315,$AG315,$AH$2:$AH315))</f>
        <v/>
      </c>
      <c r="AJ315" t="str">
        <f>IF('TMP Paste'!$F315="","",IF('TMP Paste'!$B315="",$AJ314,'TMP Paste'!$B315))</f>
        <v/>
      </c>
      <c r="AK315" t="str">
        <f>IF('TMP Paste'!$F315="","",N('TMP Paste'!$G315))</f>
        <v/>
      </c>
      <c r="AL315" t="str">
        <f>IF('TMP Paste'!$F315="","",IF('TMP Paste'!$M315="",$AL314,'TMP Paste'!$M315))</f>
        <v/>
      </c>
      <c r="AM315" t="str">
        <f>IF('TMP Paste'!$F315="","",IF('TMP Paste'!$N315="",$AM314,'TMP Paste'!$N315))</f>
        <v/>
      </c>
      <c r="AN315" t="str">
        <f>IF('TMP Paste'!$F315="","",IF('TMP Paste'!$O315="",$AN314,'TMP Paste'!$O315))</f>
        <v/>
      </c>
      <c r="AO315" t="str">
        <f>IF('TMP Paste'!$F315="","",IF('TMP Paste'!$P315="",$AO314,'TMP Paste'!$P315))</f>
        <v/>
      </c>
      <c r="AP315" t="str">
        <f t="shared" si="29"/>
        <v/>
      </c>
      <c r="AQ315" t="str">
        <f>IF($AS315="","",TRIM(IF(COUNTIFS(Calc!$B$2:$B$1601,ROW()-1,Calc!$C$2:$C$1601,"&lt;1")&gt;0,"Ada PO tanpa Koli - cek TMP. ","")&amp;IF(OR($AU315="",$AU315&lt;=0),"Volume kosong/0 - dimensi dikosongkan. ","")&amp;IF(AND($AU315&lt;&gt;"",$AU315&gt;=1000000),"Volume &gt;= 1.000.000 cm3 (di luar aturan) - dimensi dikosongkan. ","")&amp;IF(LEN($R315)&gt;500,"R &gt; 500 karakter.","")))</f>
        <v/>
      </c>
      <c r="AS315" t="str">
        <f>IFERROR(MATCH(ROW()-1,Calc!$J$2:$J$1601,0),"")</f>
        <v/>
      </c>
      <c r="AT315" t="str">
        <f>IFERROR(MATCH(ROW()-1,Calc!$K$2:$K$1601,0),"")</f>
        <v/>
      </c>
      <c r="AU315" t="str">
        <f>IF($AS315="","",IFERROR(INDEX('TMP Paste'!$D$2:$D$1601,$AS315)*1000000/$AB315,""))</f>
        <v/>
      </c>
    </row>
    <row r="316" spans="1:47">
      <c r="A316" t="str">
        <f>IF($AS316="","",INDEX('TMP Paste'!$B$2:$B$1601,$AS316))</f>
        <v/>
      </c>
      <c r="B316" t="str">
        <f>IF($AS316="","",Config!$B$14)</f>
        <v/>
      </c>
      <c r="C316" t="str">
        <f>IF($AS316="","",Config!$B$15)</f>
        <v/>
      </c>
      <c r="D316" t="str">
        <f>IF($AS316="","",INDEX('TMP Paste'!$B$2:$B$1601,$AS316))</f>
        <v/>
      </c>
      <c r="E316" t="str">
        <f>IF($AS316="","",Config!$B$27)</f>
        <v/>
      </c>
      <c r="F316" t="str">
        <f>IF($AS316="","",Config!$B$9)</f>
        <v/>
      </c>
      <c r="G316" t="str">
        <f>IF($AS316="","",Config!$B$10)</f>
        <v/>
      </c>
      <c r="H316" t="str">
        <f>IF($AS316="","",Config!$B$11)</f>
        <v/>
      </c>
      <c r="I316" t="str">
        <f>IF($AS316="","",Config!$B$16)</f>
        <v/>
      </c>
      <c r="J316" t="str">
        <f>IF($AS316="","",INDEX('TMP Paste'!$A$2:$A$1601,$AS316))</f>
        <v/>
      </c>
      <c r="K316" t="str">
        <f>IF($AS316="","",INDEX('TMP Paste'!$L$2:$L$1601,$AS316))</f>
        <v/>
      </c>
      <c r="L316" t="str">
        <f>IF($AS316="","",INDEX('TMP Paste'!$I$2:$I$1601,$AS316))</f>
        <v/>
      </c>
      <c r="M316" t="str">
        <f>IF($AS316="","",Config!$B$16)</f>
        <v/>
      </c>
      <c r="N316" t="str">
        <f t="shared" si="24"/>
        <v/>
      </c>
      <c r="O316" t="str">
        <f>IF($AS316="","",INDEX('TMP Paste'!$K$2:$K$1601,$AS316))</f>
        <v/>
      </c>
      <c r="P316" t="str">
        <f t="shared" si="25"/>
        <v/>
      </c>
      <c r="Q316" t="str">
        <f>IF($AS316="","",INDEX('TMP Paste'!$J$2:$J$1601,$AS316))</f>
        <v/>
      </c>
      <c r="R316" t="str">
        <f>IF($AS316="","",Config!$B$24)</f>
        <v/>
      </c>
      <c r="S316" t="str">
        <f ca="1">IF($AS316="","",TEXT(Config!$B$4,"yyyy-mm-dd"))</f>
        <v/>
      </c>
      <c r="T316" t="str">
        <f>IF($AS316="","",Config!$B$17)</f>
        <v/>
      </c>
      <c r="U316" t="str">
        <f>IF($AS316="","",Config!$B$18)</f>
        <v/>
      </c>
      <c r="V316" t="str">
        <f>IF($AS316="","",Config!$B$19)</f>
        <v/>
      </c>
      <c r="W316" t="str">
        <f>IF($AS316="","",INDEX('TMP Paste'!$C$2:$C$1601,$AS316))</f>
        <v/>
      </c>
      <c r="X316" t="str">
        <f>IF($AS316="","",Config!$B$29)</f>
        <v/>
      </c>
      <c r="Y316" t="str">
        <f>IF($AT316="","",INDEX(Calc!$I$2:$I$1601,$AT316)&amp;" - "&amp;INDEX(Calc!$D$2:$D$1601,$AT316)&amp;" koli")</f>
        <v/>
      </c>
      <c r="Z316" t="str">
        <f>IF($AS316="","",Config!$B$21)</f>
        <v/>
      </c>
      <c r="AA316" t="str">
        <f>IF($AS316="","",Config!$B$22)</f>
        <v/>
      </c>
      <c r="AB316" t="str">
        <f>IF($AT316="","",INDEX(Calc!$D$2:$D$1601,$AT316))</f>
        <v/>
      </c>
      <c r="AC316" t="str">
        <f>IF($AT316="","",INDEX(Calc!$G$2:$G$1601,$AT316))</f>
        <v/>
      </c>
      <c r="AD316" t="str">
        <f>IF($AS316="","",Config!$B$23)</f>
        <v/>
      </c>
      <c r="AE316" t="str">
        <f>IF($AS316="","",Config!$B$28)</f>
        <v/>
      </c>
      <c r="AF316" t="str">
        <f t="shared" si="26"/>
        <v/>
      </c>
      <c r="AG316" t="str">
        <f t="shared" si="27"/>
        <v/>
      </c>
      <c r="AH316" t="str">
        <f t="shared" si="28"/>
        <v/>
      </c>
      <c r="AI316" t="str">
        <f>IF($AG316="","",SUMIF($AG$2:$AG316,$AG316,$AH$2:$AH316))</f>
        <v/>
      </c>
      <c r="AJ316" t="str">
        <f>IF('TMP Paste'!$F316="","",IF('TMP Paste'!$B316="",$AJ315,'TMP Paste'!$B316))</f>
        <v/>
      </c>
      <c r="AK316" t="str">
        <f>IF('TMP Paste'!$F316="","",N('TMP Paste'!$G316))</f>
        <v/>
      </c>
      <c r="AL316" t="str">
        <f>IF('TMP Paste'!$F316="","",IF('TMP Paste'!$M316="",$AL315,'TMP Paste'!$M316))</f>
        <v/>
      </c>
      <c r="AM316" t="str">
        <f>IF('TMP Paste'!$F316="","",IF('TMP Paste'!$N316="",$AM315,'TMP Paste'!$N316))</f>
        <v/>
      </c>
      <c r="AN316" t="str">
        <f>IF('TMP Paste'!$F316="","",IF('TMP Paste'!$O316="",$AN315,'TMP Paste'!$O316))</f>
        <v/>
      </c>
      <c r="AO316" t="str">
        <f>IF('TMP Paste'!$F316="","",IF('TMP Paste'!$P316="",$AO315,'TMP Paste'!$P316))</f>
        <v/>
      </c>
      <c r="AP316" t="str">
        <f t="shared" si="29"/>
        <v/>
      </c>
      <c r="AQ316" t="str">
        <f>IF($AS316="","",TRIM(IF(COUNTIFS(Calc!$B$2:$B$1601,ROW()-1,Calc!$C$2:$C$1601,"&lt;1")&gt;0,"Ada PO tanpa Koli - cek TMP. ","")&amp;IF(OR($AU316="",$AU316&lt;=0),"Volume kosong/0 - dimensi dikosongkan. ","")&amp;IF(AND($AU316&lt;&gt;"",$AU316&gt;=1000000),"Volume &gt;= 1.000.000 cm3 (di luar aturan) - dimensi dikosongkan. ","")&amp;IF(LEN($R316)&gt;500,"R &gt; 500 karakter.","")))</f>
        <v/>
      </c>
      <c r="AS316" t="str">
        <f>IFERROR(MATCH(ROW()-1,Calc!$J$2:$J$1601,0),"")</f>
        <v/>
      </c>
      <c r="AT316" t="str">
        <f>IFERROR(MATCH(ROW()-1,Calc!$K$2:$K$1601,0),"")</f>
        <v/>
      </c>
      <c r="AU316" t="str">
        <f>IF($AS316="","",IFERROR(INDEX('TMP Paste'!$D$2:$D$1601,$AS316)*1000000/$AB316,""))</f>
        <v/>
      </c>
    </row>
    <row r="317" spans="1:47">
      <c r="A317" t="str">
        <f>IF($AS317="","",INDEX('TMP Paste'!$B$2:$B$1601,$AS317))</f>
        <v/>
      </c>
      <c r="B317" t="str">
        <f>IF($AS317="","",Config!$B$14)</f>
        <v/>
      </c>
      <c r="C317" t="str">
        <f>IF($AS317="","",Config!$B$15)</f>
        <v/>
      </c>
      <c r="D317" t="str">
        <f>IF($AS317="","",INDEX('TMP Paste'!$B$2:$B$1601,$AS317))</f>
        <v/>
      </c>
      <c r="E317" t="str">
        <f>IF($AS317="","",Config!$B$27)</f>
        <v/>
      </c>
      <c r="F317" t="str">
        <f>IF($AS317="","",Config!$B$9)</f>
        <v/>
      </c>
      <c r="G317" t="str">
        <f>IF($AS317="","",Config!$B$10)</f>
        <v/>
      </c>
      <c r="H317" t="str">
        <f>IF($AS317="","",Config!$B$11)</f>
        <v/>
      </c>
      <c r="I317" t="str">
        <f>IF($AS317="","",Config!$B$16)</f>
        <v/>
      </c>
      <c r="J317" t="str">
        <f>IF($AS317="","",INDEX('TMP Paste'!$A$2:$A$1601,$AS317))</f>
        <v/>
      </c>
      <c r="K317" t="str">
        <f>IF($AS317="","",INDEX('TMP Paste'!$L$2:$L$1601,$AS317))</f>
        <v/>
      </c>
      <c r="L317" t="str">
        <f>IF($AS317="","",INDEX('TMP Paste'!$I$2:$I$1601,$AS317))</f>
        <v/>
      </c>
      <c r="M317" t="str">
        <f>IF($AS317="","",Config!$B$16)</f>
        <v/>
      </c>
      <c r="N317" t="str">
        <f t="shared" si="24"/>
        <v/>
      </c>
      <c r="O317" t="str">
        <f>IF($AS317="","",INDEX('TMP Paste'!$K$2:$K$1601,$AS317))</f>
        <v/>
      </c>
      <c r="P317" t="str">
        <f t="shared" si="25"/>
        <v/>
      </c>
      <c r="Q317" t="str">
        <f>IF($AS317="","",INDEX('TMP Paste'!$J$2:$J$1601,$AS317))</f>
        <v/>
      </c>
      <c r="R317" t="str">
        <f>IF($AS317="","",Config!$B$24)</f>
        <v/>
      </c>
      <c r="S317" t="str">
        <f ca="1">IF($AS317="","",TEXT(Config!$B$4,"yyyy-mm-dd"))</f>
        <v/>
      </c>
      <c r="T317" t="str">
        <f>IF($AS317="","",Config!$B$17)</f>
        <v/>
      </c>
      <c r="U317" t="str">
        <f>IF($AS317="","",Config!$B$18)</f>
        <v/>
      </c>
      <c r="V317" t="str">
        <f>IF($AS317="","",Config!$B$19)</f>
        <v/>
      </c>
      <c r="W317" t="str">
        <f>IF($AS317="","",INDEX('TMP Paste'!$C$2:$C$1601,$AS317))</f>
        <v/>
      </c>
      <c r="X317" t="str">
        <f>IF($AS317="","",Config!$B$29)</f>
        <v/>
      </c>
      <c r="Y317" t="str">
        <f>IF($AT317="","",INDEX(Calc!$I$2:$I$1601,$AT317)&amp;" - "&amp;INDEX(Calc!$D$2:$D$1601,$AT317)&amp;" koli")</f>
        <v/>
      </c>
      <c r="Z317" t="str">
        <f>IF($AS317="","",Config!$B$21)</f>
        <v/>
      </c>
      <c r="AA317" t="str">
        <f>IF($AS317="","",Config!$B$22)</f>
        <v/>
      </c>
      <c r="AB317" t="str">
        <f>IF($AT317="","",INDEX(Calc!$D$2:$D$1601,$AT317))</f>
        <v/>
      </c>
      <c r="AC317" t="str">
        <f>IF($AT317="","",INDEX(Calc!$G$2:$G$1601,$AT317))</f>
        <v/>
      </c>
      <c r="AD317" t="str">
        <f>IF($AS317="","",Config!$B$23)</f>
        <v/>
      </c>
      <c r="AE317" t="str">
        <f>IF($AS317="","",Config!$B$28)</f>
        <v/>
      </c>
      <c r="AF317" t="str">
        <f t="shared" si="26"/>
        <v/>
      </c>
      <c r="AG317" t="str">
        <f t="shared" si="27"/>
        <v/>
      </c>
      <c r="AH317" t="str">
        <f t="shared" si="28"/>
        <v/>
      </c>
      <c r="AI317" t="str">
        <f>IF($AG317="","",SUMIF($AG$2:$AG317,$AG317,$AH$2:$AH317))</f>
        <v/>
      </c>
      <c r="AJ317" t="str">
        <f>IF('TMP Paste'!$F317="","",IF('TMP Paste'!$B317="",$AJ316,'TMP Paste'!$B317))</f>
        <v/>
      </c>
      <c r="AK317" t="str">
        <f>IF('TMP Paste'!$F317="","",N('TMP Paste'!$G317))</f>
        <v/>
      </c>
      <c r="AL317" t="str">
        <f>IF('TMP Paste'!$F317="","",IF('TMP Paste'!$M317="",$AL316,'TMP Paste'!$M317))</f>
        <v/>
      </c>
      <c r="AM317" t="str">
        <f>IF('TMP Paste'!$F317="","",IF('TMP Paste'!$N317="",$AM316,'TMP Paste'!$N317))</f>
        <v/>
      </c>
      <c r="AN317" t="str">
        <f>IF('TMP Paste'!$F317="","",IF('TMP Paste'!$O317="",$AN316,'TMP Paste'!$O317))</f>
        <v/>
      </c>
      <c r="AO317" t="str">
        <f>IF('TMP Paste'!$F317="","",IF('TMP Paste'!$P317="",$AO316,'TMP Paste'!$P317))</f>
        <v/>
      </c>
      <c r="AP317" t="str">
        <f t="shared" si="29"/>
        <v/>
      </c>
      <c r="AQ317" t="str">
        <f>IF($AS317="","",TRIM(IF(COUNTIFS(Calc!$B$2:$B$1601,ROW()-1,Calc!$C$2:$C$1601,"&lt;1")&gt;0,"Ada PO tanpa Koli - cek TMP. ","")&amp;IF(OR($AU317="",$AU317&lt;=0),"Volume kosong/0 - dimensi dikosongkan. ","")&amp;IF(AND($AU317&lt;&gt;"",$AU317&gt;=1000000),"Volume &gt;= 1.000.000 cm3 (di luar aturan) - dimensi dikosongkan. ","")&amp;IF(LEN($R317)&gt;500,"R &gt; 500 karakter.","")))</f>
        <v/>
      </c>
      <c r="AS317" t="str">
        <f>IFERROR(MATCH(ROW()-1,Calc!$J$2:$J$1601,0),"")</f>
        <v/>
      </c>
      <c r="AT317" t="str">
        <f>IFERROR(MATCH(ROW()-1,Calc!$K$2:$K$1601,0),"")</f>
        <v/>
      </c>
      <c r="AU317" t="str">
        <f>IF($AS317="","",IFERROR(INDEX('TMP Paste'!$D$2:$D$1601,$AS317)*1000000/$AB317,""))</f>
        <v/>
      </c>
    </row>
    <row r="318" spans="1:47">
      <c r="A318" t="str">
        <f>IF($AS318="","",INDEX('TMP Paste'!$B$2:$B$1601,$AS318))</f>
        <v/>
      </c>
      <c r="B318" t="str">
        <f>IF($AS318="","",Config!$B$14)</f>
        <v/>
      </c>
      <c r="C318" t="str">
        <f>IF($AS318="","",Config!$B$15)</f>
        <v/>
      </c>
      <c r="D318" t="str">
        <f>IF($AS318="","",INDEX('TMP Paste'!$B$2:$B$1601,$AS318))</f>
        <v/>
      </c>
      <c r="E318" t="str">
        <f>IF($AS318="","",Config!$B$27)</f>
        <v/>
      </c>
      <c r="F318" t="str">
        <f>IF($AS318="","",Config!$B$9)</f>
        <v/>
      </c>
      <c r="G318" t="str">
        <f>IF($AS318="","",Config!$B$10)</f>
        <v/>
      </c>
      <c r="H318" t="str">
        <f>IF($AS318="","",Config!$B$11)</f>
        <v/>
      </c>
      <c r="I318" t="str">
        <f>IF($AS318="","",Config!$B$16)</f>
        <v/>
      </c>
      <c r="J318" t="str">
        <f>IF($AS318="","",INDEX('TMP Paste'!$A$2:$A$1601,$AS318))</f>
        <v/>
      </c>
      <c r="K318" t="str">
        <f>IF($AS318="","",INDEX('TMP Paste'!$L$2:$L$1601,$AS318))</f>
        <v/>
      </c>
      <c r="L318" t="str">
        <f>IF($AS318="","",INDEX('TMP Paste'!$I$2:$I$1601,$AS318))</f>
        <v/>
      </c>
      <c r="M318" t="str">
        <f>IF($AS318="","",Config!$B$16)</f>
        <v/>
      </c>
      <c r="N318" t="str">
        <f t="shared" si="24"/>
        <v/>
      </c>
      <c r="O318" t="str">
        <f>IF($AS318="","",INDEX('TMP Paste'!$K$2:$K$1601,$AS318))</f>
        <v/>
      </c>
      <c r="P318" t="str">
        <f t="shared" si="25"/>
        <v/>
      </c>
      <c r="Q318" t="str">
        <f>IF($AS318="","",INDEX('TMP Paste'!$J$2:$J$1601,$AS318))</f>
        <v/>
      </c>
      <c r="R318" t="str">
        <f>IF($AS318="","",Config!$B$24)</f>
        <v/>
      </c>
      <c r="S318" t="str">
        <f ca="1">IF($AS318="","",TEXT(Config!$B$4,"yyyy-mm-dd"))</f>
        <v/>
      </c>
      <c r="T318" t="str">
        <f>IF($AS318="","",Config!$B$17)</f>
        <v/>
      </c>
      <c r="U318" t="str">
        <f>IF($AS318="","",Config!$B$18)</f>
        <v/>
      </c>
      <c r="V318" t="str">
        <f>IF($AS318="","",Config!$B$19)</f>
        <v/>
      </c>
      <c r="W318" t="str">
        <f>IF($AS318="","",INDEX('TMP Paste'!$C$2:$C$1601,$AS318))</f>
        <v/>
      </c>
      <c r="X318" t="str">
        <f>IF($AS318="","",Config!$B$29)</f>
        <v/>
      </c>
      <c r="Y318" t="str">
        <f>IF($AT318="","",INDEX(Calc!$I$2:$I$1601,$AT318)&amp;" - "&amp;INDEX(Calc!$D$2:$D$1601,$AT318)&amp;" koli")</f>
        <v/>
      </c>
      <c r="Z318" t="str">
        <f>IF($AS318="","",Config!$B$21)</f>
        <v/>
      </c>
      <c r="AA318" t="str">
        <f>IF($AS318="","",Config!$B$22)</f>
        <v/>
      </c>
      <c r="AB318" t="str">
        <f>IF($AT318="","",INDEX(Calc!$D$2:$D$1601,$AT318))</f>
        <v/>
      </c>
      <c r="AC318" t="str">
        <f>IF($AT318="","",INDEX(Calc!$G$2:$G$1601,$AT318))</f>
        <v/>
      </c>
      <c r="AD318" t="str">
        <f>IF($AS318="","",Config!$B$23)</f>
        <v/>
      </c>
      <c r="AE318" t="str">
        <f>IF($AS318="","",Config!$B$28)</f>
        <v/>
      </c>
      <c r="AF318" t="str">
        <f t="shared" si="26"/>
        <v/>
      </c>
      <c r="AG318" t="str">
        <f t="shared" si="27"/>
        <v/>
      </c>
      <c r="AH318" t="str">
        <f t="shared" si="28"/>
        <v/>
      </c>
      <c r="AI318" t="str">
        <f>IF($AG318="","",SUMIF($AG$2:$AG318,$AG318,$AH$2:$AH318))</f>
        <v/>
      </c>
      <c r="AJ318" t="str">
        <f>IF('TMP Paste'!$F318="","",IF('TMP Paste'!$B318="",$AJ317,'TMP Paste'!$B318))</f>
        <v/>
      </c>
      <c r="AK318" t="str">
        <f>IF('TMP Paste'!$F318="","",N('TMP Paste'!$G318))</f>
        <v/>
      </c>
      <c r="AL318" t="str">
        <f>IF('TMP Paste'!$F318="","",IF('TMP Paste'!$M318="",$AL317,'TMP Paste'!$M318))</f>
        <v/>
      </c>
      <c r="AM318" t="str">
        <f>IF('TMP Paste'!$F318="","",IF('TMP Paste'!$N318="",$AM317,'TMP Paste'!$N318))</f>
        <v/>
      </c>
      <c r="AN318" t="str">
        <f>IF('TMP Paste'!$F318="","",IF('TMP Paste'!$O318="",$AN317,'TMP Paste'!$O318))</f>
        <v/>
      </c>
      <c r="AO318" t="str">
        <f>IF('TMP Paste'!$F318="","",IF('TMP Paste'!$P318="",$AO317,'TMP Paste'!$P318))</f>
        <v/>
      </c>
      <c r="AP318" t="str">
        <f t="shared" si="29"/>
        <v/>
      </c>
      <c r="AQ318" t="str">
        <f>IF($AS318="","",TRIM(IF(COUNTIFS(Calc!$B$2:$B$1601,ROW()-1,Calc!$C$2:$C$1601,"&lt;1")&gt;0,"Ada PO tanpa Koli - cek TMP. ","")&amp;IF(OR($AU318="",$AU318&lt;=0),"Volume kosong/0 - dimensi dikosongkan. ","")&amp;IF(AND($AU318&lt;&gt;"",$AU318&gt;=1000000),"Volume &gt;= 1.000.000 cm3 (di luar aturan) - dimensi dikosongkan. ","")&amp;IF(LEN($R318)&gt;500,"R &gt; 500 karakter.","")))</f>
        <v/>
      </c>
      <c r="AS318" t="str">
        <f>IFERROR(MATCH(ROW()-1,Calc!$J$2:$J$1601,0),"")</f>
        <v/>
      </c>
      <c r="AT318" t="str">
        <f>IFERROR(MATCH(ROW()-1,Calc!$K$2:$K$1601,0),"")</f>
        <v/>
      </c>
      <c r="AU318" t="str">
        <f>IF($AS318="","",IFERROR(INDEX('TMP Paste'!$D$2:$D$1601,$AS318)*1000000/$AB318,""))</f>
        <v/>
      </c>
    </row>
    <row r="319" spans="1:47">
      <c r="A319" t="str">
        <f>IF($AS319="","",INDEX('TMP Paste'!$B$2:$B$1601,$AS319))</f>
        <v/>
      </c>
      <c r="B319" t="str">
        <f>IF($AS319="","",Config!$B$14)</f>
        <v/>
      </c>
      <c r="C319" t="str">
        <f>IF($AS319="","",Config!$B$15)</f>
        <v/>
      </c>
      <c r="D319" t="str">
        <f>IF($AS319="","",INDEX('TMP Paste'!$B$2:$B$1601,$AS319))</f>
        <v/>
      </c>
      <c r="E319" t="str">
        <f>IF($AS319="","",Config!$B$27)</f>
        <v/>
      </c>
      <c r="F319" t="str">
        <f>IF($AS319="","",Config!$B$9)</f>
        <v/>
      </c>
      <c r="G319" t="str">
        <f>IF($AS319="","",Config!$B$10)</f>
        <v/>
      </c>
      <c r="H319" t="str">
        <f>IF($AS319="","",Config!$B$11)</f>
        <v/>
      </c>
      <c r="I319" t="str">
        <f>IF($AS319="","",Config!$B$16)</f>
        <v/>
      </c>
      <c r="J319" t="str">
        <f>IF($AS319="","",INDEX('TMP Paste'!$A$2:$A$1601,$AS319))</f>
        <v/>
      </c>
      <c r="K319" t="str">
        <f>IF($AS319="","",INDEX('TMP Paste'!$L$2:$L$1601,$AS319))</f>
        <v/>
      </c>
      <c r="L319" t="str">
        <f>IF($AS319="","",INDEX('TMP Paste'!$I$2:$I$1601,$AS319))</f>
        <v/>
      </c>
      <c r="M319" t="str">
        <f>IF($AS319="","",Config!$B$16)</f>
        <v/>
      </c>
      <c r="N319" t="str">
        <f t="shared" si="24"/>
        <v/>
      </c>
      <c r="O319" t="str">
        <f>IF($AS319="","",INDEX('TMP Paste'!$K$2:$K$1601,$AS319))</f>
        <v/>
      </c>
      <c r="P319" t="str">
        <f t="shared" si="25"/>
        <v/>
      </c>
      <c r="Q319" t="str">
        <f>IF($AS319="","",INDEX('TMP Paste'!$J$2:$J$1601,$AS319))</f>
        <v/>
      </c>
      <c r="R319" t="str">
        <f>IF($AS319="","",Config!$B$24)</f>
        <v/>
      </c>
      <c r="S319" t="str">
        <f ca="1">IF($AS319="","",TEXT(Config!$B$4,"yyyy-mm-dd"))</f>
        <v/>
      </c>
      <c r="T319" t="str">
        <f>IF($AS319="","",Config!$B$17)</f>
        <v/>
      </c>
      <c r="U319" t="str">
        <f>IF($AS319="","",Config!$B$18)</f>
        <v/>
      </c>
      <c r="V319" t="str">
        <f>IF($AS319="","",Config!$B$19)</f>
        <v/>
      </c>
      <c r="W319" t="str">
        <f>IF($AS319="","",INDEX('TMP Paste'!$C$2:$C$1601,$AS319))</f>
        <v/>
      </c>
      <c r="X319" t="str">
        <f>IF($AS319="","",Config!$B$29)</f>
        <v/>
      </c>
      <c r="Y319" t="str">
        <f>IF($AT319="","",INDEX(Calc!$I$2:$I$1601,$AT319)&amp;" - "&amp;INDEX(Calc!$D$2:$D$1601,$AT319)&amp;" koli")</f>
        <v/>
      </c>
      <c r="Z319" t="str">
        <f>IF($AS319="","",Config!$B$21)</f>
        <v/>
      </c>
      <c r="AA319" t="str">
        <f>IF($AS319="","",Config!$B$22)</f>
        <v/>
      </c>
      <c r="AB319" t="str">
        <f>IF($AT319="","",INDEX(Calc!$D$2:$D$1601,$AT319))</f>
        <v/>
      </c>
      <c r="AC319" t="str">
        <f>IF($AT319="","",INDEX(Calc!$G$2:$G$1601,$AT319))</f>
        <v/>
      </c>
      <c r="AD319" t="str">
        <f>IF($AS319="","",Config!$B$23)</f>
        <v/>
      </c>
      <c r="AE319" t="str">
        <f>IF($AS319="","",Config!$B$28)</f>
        <v/>
      </c>
      <c r="AF319" t="str">
        <f t="shared" si="26"/>
        <v/>
      </c>
      <c r="AG319" t="str">
        <f t="shared" si="27"/>
        <v/>
      </c>
      <c r="AH319" t="str">
        <f t="shared" si="28"/>
        <v/>
      </c>
      <c r="AI319" t="str">
        <f>IF($AG319="","",SUMIF($AG$2:$AG319,$AG319,$AH$2:$AH319))</f>
        <v/>
      </c>
      <c r="AJ319" t="str">
        <f>IF('TMP Paste'!$F319="","",IF('TMP Paste'!$B319="",$AJ318,'TMP Paste'!$B319))</f>
        <v/>
      </c>
      <c r="AK319" t="str">
        <f>IF('TMP Paste'!$F319="","",N('TMP Paste'!$G319))</f>
        <v/>
      </c>
      <c r="AL319" t="str">
        <f>IF('TMP Paste'!$F319="","",IF('TMP Paste'!$M319="",$AL318,'TMP Paste'!$M319))</f>
        <v/>
      </c>
      <c r="AM319" t="str">
        <f>IF('TMP Paste'!$F319="","",IF('TMP Paste'!$N319="",$AM318,'TMP Paste'!$N319))</f>
        <v/>
      </c>
      <c r="AN319" t="str">
        <f>IF('TMP Paste'!$F319="","",IF('TMP Paste'!$O319="",$AN318,'TMP Paste'!$O319))</f>
        <v/>
      </c>
      <c r="AO319" t="str">
        <f>IF('TMP Paste'!$F319="","",IF('TMP Paste'!$P319="",$AO318,'TMP Paste'!$P319))</f>
        <v/>
      </c>
      <c r="AP319" t="str">
        <f t="shared" si="29"/>
        <v/>
      </c>
      <c r="AQ319" t="str">
        <f>IF($AS319="","",TRIM(IF(COUNTIFS(Calc!$B$2:$B$1601,ROW()-1,Calc!$C$2:$C$1601,"&lt;1")&gt;0,"Ada PO tanpa Koli - cek TMP. ","")&amp;IF(OR($AU319="",$AU319&lt;=0),"Volume kosong/0 - dimensi dikosongkan. ","")&amp;IF(AND($AU319&lt;&gt;"",$AU319&gt;=1000000),"Volume &gt;= 1.000.000 cm3 (di luar aturan) - dimensi dikosongkan. ","")&amp;IF(LEN($R319)&gt;500,"R &gt; 500 karakter.","")))</f>
        <v/>
      </c>
      <c r="AS319" t="str">
        <f>IFERROR(MATCH(ROW()-1,Calc!$J$2:$J$1601,0),"")</f>
        <v/>
      </c>
      <c r="AT319" t="str">
        <f>IFERROR(MATCH(ROW()-1,Calc!$K$2:$K$1601,0),"")</f>
        <v/>
      </c>
      <c r="AU319" t="str">
        <f>IF($AS319="","",IFERROR(INDEX('TMP Paste'!$D$2:$D$1601,$AS319)*1000000/$AB319,""))</f>
        <v/>
      </c>
    </row>
    <row r="320" spans="1:47">
      <c r="A320" t="str">
        <f>IF($AS320="","",INDEX('TMP Paste'!$B$2:$B$1601,$AS320))</f>
        <v/>
      </c>
      <c r="B320" t="str">
        <f>IF($AS320="","",Config!$B$14)</f>
        <v/>
      </c>
      <c r="C320" t="str">
        <f>IF($AS320="","",Config!$B$15)</f>
        <v/>
      </c>
      <c r="D320" t="str">
        <f>IF($AS320="","",INDEX('TMP Paste'!$B$2:$B$1601,$AS320))</f>
        <v/>
      </c>
      <c r="E320" t="str">
        <f>IF($AS320="","",Config!$B$27)</f>
        <v/>
      </c>
      <c r="F320" t="str">
        <f>IF($AS320="","",Config!$B$9)</f>
        <v/>
      </c>
      <c r="G320" t="str">
        <f>IF($AS320="","",Config!$B$10)</f>
        <v/>
      </c>
      <c r="H320" t="str">
        <f>IF($AS320="","",Config!$B$11)</f>
        <v/>
      </c>
      <c r="I320" t="str">
        <f>IF($AS320="","",Config!$B$16)</f>
        <v/>
      </c>
      <c r="J320" t="str">
        <f>IF($AS320="","",INDEX('TMP Paste'!$A$2:$A$1601,$AS320))</f>
        <v/>
      </c>
      <c r="K320" t="str">
        <f>IF($AS320="","",INDEX('TMP Paste'!$L$2:$L$1601,$AS320))</f>
        <v/>
      </c>
      <c r="L320" t="str">
        <f>IF($AS320="","",INDEX('TMP Paste'!$I$2:$I$1601,$AS320))</f>
        <v/>
      </c>
      <c r="M320" t="str">
        <f>IF($AS320="","",Config!$B$16)</f>
        <v/>
      </c>
      <c r="N320" t="str">
        <f t="shared" si="24"/>
        <v/>
      </c>
      <c r="O320" t="str">
        <f>IF($AS320="","",INDEX('TMP Paste'!$K$2:$K$1601,$AS320))</f>
        <v/>
      </c>
      <c r="P320" t="str">
        <f t="shared" si="25"/>
        <v/>
      </c>
      <c r="Q320" t="str">
        <f>IF($AS320="","",INDEX('TMP Paste'!$J$2:$J$1601,$AS320))</f>
        <v/>
      </c>
      <c r="R320" t="str">
        <f>IF($AS320="","",Config!$B$24)</f>
        <v/>
      </c>
      <c r="S320" t="str">
        <f ca="1">IF($AS320="","",TEXT(Config!$B$4,"yyyy-mm-dd"))</f>
        <v/>
      </c>
      <c r="T320" t="str">
        <f>IF($AS320="","",Config!$B$17)</f>
        <v/>
      </c>
      <c r="U320" t="str">
        <f>IF($AS320="","",Config!$B$18)</f>
        <v/>
      </c>
      <c r="V320" t="str">
        <f>IF($AS320="","",Config!$B$19)</f>
        <v/>
      </c>
      <c r="W320" t="str">
        <f>IF($AS320="","",INDEX('TMP Paste'!$C$2:$C$1601,$AS320))</f>
        <v/>
      </c>
      <c r="X320" t="str">
        <f>IF($AS320="","",Config!$B$29)</f>
        <v/>
      </c>
      <c r="Y320" t="str">
        <f>IF($AT320="","",INDEX(Calc!$I$2:$I$1601,$AT320)&amp;" - "&amp;INDEX(Calc!$D$2:$D$1601,$AT320)&amp;" koli")</f>
        <v/>
      </c>
      <c r="Z320" t="str">
        <f>IF($AS320="","",Config!$B$21)</f>
        <v/>
      </c>
      <c r="AA320" t="str">
        <f>IF($AS320="","",Config!$B$22)</f>
        <v/>
      </c>
      <c r="AB320" t="str">
        <f>IF($AT320="","",INDEX(Calc!$D$2:$D$1601,$AT320))</f>
        <v/>
      </c>
      <c r="AC320" t="str">
        <f>IF($AT320="","",INDEX(Calc!$G$2:$G$1601,$AT320))</f>
        <v/>
      </c>
      <c r="AD320" t="str">
        <f>IF($AS320="","",Config!$B$23)</f>
        <v/>
      </c>
      <c r="AE320" t="str">
        <f>IF($AS320="","",Config!$B$28)</f>
        <v/>
      </c>
      <c r="AF320" t="str">
        <f t="shared" si="26"/>
        <v/>
      </c>
      <c r="AG320" t="str">
        <f t="shared" si="27"/>
        <v/>
      </c>
      <c r="AH320" t="str">
        <f t="shared" si="28"/>
        <v/>
      </c>
      <c r="AI320" t="str">
        <f>IF($AG320="","",SUMIF($AG$2:$AG320,$AG320,$AH$2:$AH320))</f>
        <v/>
      </c>
      <c r="AJ320" t="str">
        <f>IF('TMP Paste'!$F320="","",IF('TMP Paste'!$B320="",$AJ319,'TMP Paste'!$B320))</f>
        <v/>
      </c>
      <c r="AK320" t="str">
        <f>IF('TMP Paste'!$F320="","",N('TMP Paste'!$G320))</f>
        <v/>
      </c>
      <c r="AL320" t="str">
        <f>IF('TMP Paste'!$F320="","",IF('TMP Paste'!$M320="",$AL319,'TMP Paste'!$M320))</f>
        <v/>
      </c>
      <c r="AM320" t="str">
        <f>IF('TMP Paste'!$F320="","",IF('TMP Paste'!$N320="",$AM319,'TMP Paste'!$N320))</f>
        <v/>
      </c>
      <c r="AN320" t="str">
        <f>IF('TMP Paste'!$F320="","",IF('TMP Paste'!$O320="",$AN319,'TMP Paste'!$O320))</f>
        <v/>
      </c>
      <c r="AO320" t="str">
        <f>IF('TMP Paste'!$F320="","",IF('TMP Paste'!$P320="",$AO319,'TMP Paste'!$P320))</f>
        <v/>
      </c>
      <c r="AP320" t="str">
        <f t="shared" si="29"/>
        <v/>
      </c>
      <c r="AQ320" t="str">
        <f>IF($AS320="","",TRIM(IF(COUNTIFS(Calc!$B$2:$B$1601,ROW()-1,Calc!$C$2:$C$1601,"&lt;1")&gt;0,"Ada PO tanpa Koli - cek TMP. ","")&amp;IF(OR($AU320="",$AU320&lt;=0),"Volume kosong/0 - dimensi dikosongkan. ","")&amp;IF(AND($AU320&lt;&gt;"",$AU320&gt;=1000000),"Volume &gt;= 1.000.000 cm3 (di luar aturan) - dimensi dikosongkan. ","")&amp;IF(LEN($R320)&gt;500,"R &gt; 500 karakter.","")))</f>
        <v/>
      </c>
      <c r="AS320" t="str">
        <f>IFERROR(MATCH(ROW()-1,Calc!$J$2:$J$1601,0),"")</f>
        <v/>
      </c>
      <c r="AT320" t="str">
        <f>IFERROR(MATCH(ROW()-1,Calc!$K$2:$K$1601,0),"")</f>
        <v/>
      </c>
      <c r="AU320" t="str">
        <f>IF($AS320="","",IFERROR(INDEX('TMP Paste'!$D$2:$D$1601,$AS320)*1000000/$AB320,""))</f>
        <v/>
      </c>
    </row>
    <row r="321" spans="1:47">
      <c r="A321" t="str">
        <f>IF($AS321="","",INDEX('TMP Paste'!$B$2:$B$1601,$AS321))</f>
        <v/>
      </c>
      <c r="B321" t="str">
        <f>IF($AS321="","",Config!$B$14)</f>
        <v/>
      </c>
      <c r="C321" t="str">
        <f>IF($AS321="","",Config!$B$15)</f>
        <v/>
      </c>
      <c r="D321" t="str">
        <f>IF($AS321="","",INDEX('TMP Paste'!$B$2:$B$1601,$AS321))</f>
        <v/>
      </c>
      <c r="E321" t="str">
        <f>IF($AS321="","",Config!$B$27)</f>
        <v/>
      </c>
      <c r="F321" t="str">
        <f>IF($AS321="","",Config!$B$9)</f>
        <v/>
      </c>
      <c r="G321" t="str">
        <f>IF($AS321="","",Config!$B$10)</f>
        <v/>
      </c>
      <c r="H321" t="str">
        <f>IF($AS321="","",Config!$B$11)</f>
        <v/>
      </c>
      <c r="I321" t="str">
        <f>IF($AS321="","",Config!$B$16)</f>
        <v/>
      </c>
      <c r="J321" t="str">
        <f>IF($AS321="","",INDEX('TMP Paste'!$A$2:$A$1601,$AS321))</f>
        <v/>
      </c>
      <c r="K321" t="str">
        <f>IF($AS321="","",INDEX('TMP Paste'!$L$2:$L$1601,$AS321))</f>
        <v/>
      </c>
      <c r="L321" t="str">
        <f>IF($AS321="","",INDEX('TMP Paste'!$I$2:$I$1601,$AS321))</f>
        <v/>
      </c>
      <c r="M321" t="str">
        <f>IF($AS321="","",Config!$B$16)</f>
        <v/>
      </c>
      <c r="N321" t="str">
        <f t="shared" si="24"/>
        <v/>
      </c>
      <c r="O321" t="str">
        <f>IF($AS321="","",INDEX('TMP Paste'!$K$2:$K$1601,$AS321))</f>
        <v/>
      </c>
      <c r="P321" t="str">
        <f t="shared" si="25"/>
        <v/>
      </c>
      <c r="Q321" t="str">
        <f>IF($AS321="","",INDEX('TMP Paste'!$J$2:$J$1601,$AS321))</f>
        <v/>
      </c>
      <c r="R321" t="str">
        <f>IF($AS321="","",Config!$B$24)</f>
        <v/>
      </c>
      <c r="S321" t="str">
        <f ca="1">IF($AS321="","",TEXT(Config!$B$4,"yyyy-mm-dd"))</f>
        <v/>
      </c>
      <c r="T321" t="str">
        <f>IF($AS321="","",Config!$B$17)</f>
        <v/>
      </c>
      <c r="U321" t="str">
        <f>IF($AS321="","",Config!$B$18)</f>
        <v/>
      </c>
      <c r="V321" t="str">
        <f>IF($AS321="","",Config!$B$19)</f>
        <v/>
      </c>
      <c r="W321" t="str">
        <f>IF($AS321="","",INDEX('TMP Paste'!$C$2:$C$1601,$AS321))</f>
        <v/>
      </c>
      <c r="X321" t="str">
        <f>IF($AS321="","",Config!$B$29)</f>
        <v/>
      </c>
      <c r="Y321" t="str">
        <f>IF($AT321="","",INDEX(Calc!$I$2:$I$1601,$AT321)&amp;" - "&amp;INDEX(Calc!$D$2:$D$1601,$AT321)&amp;" koli")</f>
        <v/>
      </c>
      <c r="Z321" t="str">
        <f>IF($AS321="","",Config!$B$21)</f>
        <v/>
      </c>
      <c r="AA321" t="str">
        <f>IF($AS321="","",Config!$B$22)</f>
        <v/>
      </c>
      <c r="AB321" t="str">
        <f>IF($AT321="","",INDEX(Calc!$D$2:$D$1601,$AT321))</f>
        <v/>
      </c>
      <c r="AC321" t="str">
        <f>IF($AT321="","",INDEX(Calc!$G$2:$G$1601,$AT321))</f>
        <v/>
      </c>
      <c r="AD321" t="str">
        <f>IF($AS321="","",Config!$B$23)</f>
        <v/>
      </c>
      <c r="AE321" t="str">
        <f>IF($AS321="","",Config!$B$28)</f>
        <v/>
      </c>
      <c r="AF321" t="str">
        <f t="shared" si="26"/>
        <v/>
      </c>
      <c r="AG321" t="str">
        <f t="shared" si="27"/>
        <v/>
      </c>
      <c r="AH321" t="str">
        <f t="shared" si="28"/>
        <v/>
      </c>
      <c r="AI321" t="str">
        <f>IF($AG321="","",SUMIF($AG$2:$AG321,$AG321,$AH$2:$AH321))</f>
        <v/>
      </c>
      <c r="AJ321" t="str">
        <f>IF('TMP Paste'!$F321="","",IF('TMP Paste'!$B321="",$AJ320,'TMP Paste'!$B321))</f>
        <v/>
      </c>
      <c r="AK321" t="str">
        <f>IF('TMP Paste'!$F321="","",N('TMP Paste'!$G321))</f>
        <v/>
      </c>
      <c r="AL321" t="str">
        <f>IF('TMP Paste'!$F321="","",IF('TMP Paste'!$M321="",$AL320,'TMP Paste'!$M321))</f>
        <v/>
      </c>
      <c r="AM321" t="str">
        <f>IF('TMP Paste'!$F321="","",IF('TMP Paste'!$N321="",$AM320,'TMP Paste'!$N321))</f>
        <v/>
      </c>
      <c r="AN321" t="str">
        <f>IF('TMP Paste'!$F321="","",IF('TMP Paste'!$O321="",$AN320,'TMP Paste'!$O321))</f>
        <v/>
      </c>
      <c r="AO321" t="str">
        <f>IF('TMP Paste'!$F321="","",IF('TMP Paste'!$P321="",$AO320,'TMP Paste'!$P321))</f>
        <v/>
      </c>
      <c r="AP321" t="str">
        <f t="shared" si="29"/>
        <v/>
      </c>
      <c r="AQ321" t="str">
        <f>IF($AS321="","",TRIM(IF(COUNTIFS(Calc!$B$2:$B$1601,ROW()-1,Calc!$C$2:$C$1601,"&lt;1")&gt;0,"Ada PO tanpa Koli - cek TMP. ","")&amp;IF(OR($AU321="",$AU321&lt;=0),"Volume kosong/0 - dimensi dikosongkan. ","")&amp;IF(AND($AU321&lt;&gt;"",$AU321&gt;=1000000),"Volume &gt;= 1.000.000 cm3 (di luar aturan) - dimensi dikosongkan. ","")&amp;IF(LEN($R321)&gt;500,"R &gt; 500 karakter.","")))</f>
        <v/>
      </c>
      <c r="AS321" t="str">
        <f>IFERROR(MATCH(ROW()-1,Calc!$J$2:$J$1601,0),"")</f>
        <v/>
      </c>
      <c r="AT321" t="str">
        <f>IFERROR(MATCH(ROW()-1,Calc!$K$2:$K$1601,0),"")</f>
        <v/>
      </c>
      <c r="AU321" t="str">
        <f>IF($AS321="","",IFERROR(INDEX('TMP Paste'!$D$2:$D$1601,$AS321)*1000000/$AB321,""))</f>
        <v/>
      </c>
    </row>
    <row r="322" spans="1:47">
      <c r="A322" t="str">
        <f>IF($AS322="","",INDEX('TMP Paste'!$B$2:$B$1601,$AS322))</f>
        <v/>
      </c>
      <c r="B322" t="str">
        <f>IF($AS322="","",Config!$B$14)</f>
        <v/>
      </c>
      <c r="C322" t="str">
        <f>IF($AS322="","",Config!$B$15)</f>
        <v/>
      </c>
      <c r="D322" t="str">
        <f>IF($AS322="","",INDEX('TMP Paste'!$B$2:$B$1601,$AS322))</f>
        <v/>
      </c>
      <c r="E322" t="str">
        <f>IF($AS322="","",Config!$B$27)</f>
        <v/>
      </c>
      <c r="F322" t="str">
        <f>IF($AS322="","",Config!$B$9)</f>
        <v/>
      </c>
      <c r="G322" t="str">
        <f>IF($AS322="","",Config!$B$10)</f>
        <v/>
      </c>
      <c r="H322" t="str">
        <f>IF($AS322="","",Config!$B$11)</f>
        <v/>
      </c>
      <c r="I322" t="str">
        <f>IF($AS322="","",Config!$B$16)</f>
        <v/>
      </c>
      <c r="J322" t="str">
        <f>IF($AS322="","",INDEX('TMP Paste'!$A$2:$A$1601,$AS322))</f>
        <v/>
      </c>
      <c r="K322" t="str">
        <f>IF($AS322="","",INDEX('TMP Paste'!$L$2:$L$1601,$AS322))</f>
        <v/>
      </c>
      <c r="L322" t="str">
        <f>IF($AS322="","",INDEX('TMP Paste'!$I$2:$I$1601,$AS322))</f>
        <v/>
      </c>
      <c r="M322" t="str">
        <f>IF($AS322="","",Config!$B$16)</f>
        <v/>
      </c>
      <c r="N322" t="str">
        <f t="shared" ref="N322:N385" si="30">IF($AS322="","","")</f>
        <v/>
      </c>
      <c r="O322" t="str">
        <f>IF($AS322="","",INDEX('TMP Paste'!$K$2:$K$1601,$AS322))</f>
        <v/>
      </c>
      <c r="P322" t="str">
        <f t="shared" ref="P322:P385" si="31">IF($AS322="","","")</f>
        <v/>
      </c>
      <c r="Q322" t="str">
        <f>IF($AS322="","",INDEX('TMP Paste'!$J$2:$J$1601,$AS322))</f>
        <v/>
      </c>
      <c r="R322" t="str">
        <f>IF($AS322="","",Config!$B$24)</f>
        <v/>
      </c>
      <c r="S322" t="str">
        <f ca="1">IF($AS322="","",TEXT(Config!$B$4,"yyyy-mm-dd"))</f>
        <v/>
      </c>
      <c r="T322" t="str">
        <f>IF($AS322="","",Config!$B$17)</f>
        <v/>
      </c>
      <c r="U322" t="str">
        <f>IF($AS322="","",Config!$B$18)</f>
        <v/>
      </c>
      <c r="V322" t="str">
        <f>IF($AS322="","",Config!$B$19)</f>
        <v/>
      </c>
      <c r="W322" t="str">
        <f>IF($AS322="","",INDEX('TMP Paste'!$C$2:$C$1601,$AS322))</f>
        <v/>
      </c>
      <c r="X322" t="str">
        <f>IF($AS322="","",Config!$B$29)</f>
        <v/>
      </c>
      <c r="Y322" t="str">
        <f>IF($AT322="","",INDEX(Calc!$I$2:$I$1601,$AT322)&amp;" - "&amp;INDEX(Calc!$D$2:$D$1601,$AT322)&amp;" koli")</f>
        <v/>
      </c>
      <c r="Z322" t="str">
        <f>IF($AS322="","",Config!$B$21)</f>
        <v/>
      </c>
      <c r="AA322" t="str">
        <f>IF($AS322="","",Config!$B$22)</f>
        <v/>
      </c>
      <c r="AB322" t="str">
        <f>IF($AT322="","",INDEX(Calc!$D$2:$D$1601,$AT322))</f>
        <v/>
      </c>
      <c r="AC322" t="str">
        <f>IF($AT322="","",INDEX(Calc!$G$2:$G$1601,$AT322))</f>
        <v/>
      </c>
      <c r="AD322" t="str">
        <f>IF($AS322="","",Config!$B$23)</f>
        <v/>
      </c>
      <c r="AE322" t="str">
        <f>IF($AS322="","",Config!$B$28)</f>
        <v/>
      </c>
      <c r="AF322" t="str">
        <f t="shared" ref="AF322:AF385" si="32">IF($AS322="","",IF(OR($AU322="",$AU322&lt;=0,$AU322&gt;=1000000),"",IF($AU322&lt;10000,10,100)))</f>
        <v/>
      </c>
      <c r="AG322" t="str">
        <f t="shared" ref="AG322:AG385" si="33">IF($AS322="","",IF(OR($AU322="",$AU322&lt;=0,$AU322&gt;=1000000),"",IF($AU322&lt;10000,$AU322/100,IF($AU322&lt;100000,$AU322/1000,$AU322/10000))))</f>
        <v/>
      </c>
      <c r="AH322" t="str">
        <f t="shared" ref="AH322:AH385" si="34">IF($AS322="","",IF(OR($AU322="",$AU322&lt;=0,$AU322&gt;=1000000),"",IF($AU322&lt;100000,10,100)))</f>
        <v/>
      </c>
      <c r="AI322" t="str">
        <f>IF($AG322="","",SUMIF($AG$2:$AG322,$AG322,$AH$2:$AH322))</f>
        <v/>
      </c>
      <c r="AJ322" t="str">
        <f>IF('TMP Paste'!$F322="","",IF('TMP Paste'!$B322="",$AJ321,'TMP Paste'!$B322))</f>
        <v/>
      </c>
      <c r="AK322" t="str">
        <f>IF('TMP Paste'!$F322="","",N('TMP Paste'!$G322))</f>
        <v/>
      </c>
      <c r="AL322" t="str">
        <f>IF('TMP Paste'!$F322="","",IF('TMP Paste'!$M322="",$AL321,'TMP Paste'!$M322))</f>
        <v/>
      </c>
      <c r="AM322" t="str">
        <f>IF('TMP Paste'!$F322="","",IF('TMP Paste'!$N322="",$AM321,'TMP Paste'!$N322))</f>
        <v/>
      </c>
      <c r="AN322" t="str">
        <f>IF('TMP Paste'!$F322="","",IF('TMP Paste'!$O322="",$AN321,'TMP Paste'!$O322))</f>
        <v/>
      </c>
      <c r="AO322" t="str">
        <f>IF('TMP Paste'!$F322="","",IF('TMP Paste'!$P322="",$AO321,'TMP Paste'!$P322))</f>
        <v/>
      </c>
      <c r="AP322" t="str">
        <f t="shared" ref="AP322:AP385" si="35">IF($AG322="","",LEN($R322))</f>
        <v/>
      </c>
      <c r="AQ322" t="str">
        <f>IF($AS322="","",TRIM(IF(COUNTIFS(Calc!$B$2:$B$1601,ROW()-1,Calc!$C$2:$C$1601,"&lt;1")&gt;0,"Ada PO tanpa Koli - cek TMP. ","")&amp;IF(OR($AU322="",$AU322&lt;=0),"Volume kosong/0 - dimensi dikosongkan. ","")&amp;IF(AND($AU322&lt;&gt;"",$AU322&gt;=1000000),"Volume &gt;= 1.000.000 cm3 (di luar aturan) - dimensi dikosongkan. ","")&amp;IF(LEN($R322)&gt;500,"R &gt; 500 karakter.","")))</f>
        <v/>
      </c>
      <c r="AS322" t="str">
        <f>IFERROR(MATCH(ROW()-1,Calc!$J$2:$J$1601,0),"")</f>
        <v/>
      </c>
      <c r="AT322" t="str">
        <f>IFERROR(MATCH(ROW()-1,Calc!$K$2:$K$1601,0),"")</f>
        <v/>
      </c>
      <c r="AU322" t="str">
        <f>IF($AS322="","",IFERROR(INDEX('TMP Paste'!$D$2:$D$1601,$AS322)*1000000/$AB322,""))</f>
        <v/>
      </c>
    </row>
    <row r="323" spans="1:47">
      <c r="A323" t="str">
        <f>IF($AS323="","",INDEX('TMP Paste'!$B$2:$B$1601,$AS323))</f>
        <v/>
      </c>
      <c r="B323" t="str">
        <f>IF($AS323="","",Config!$B$14)</f>
        <v/>
      </c>
      <c r="C323" t="str">
        <f>IF($AS323="","",Config!$B$15)</f>
        <v/>
      </c>
      <c r="D323" t="str">
        <f>IF($AS323="","",INDEX('TMP Paste'!$B$2:$B$1601,$AS323))</f>
        <v/>
      </c>
      <c r="E323" t="str">
        <f>IF($AS323="","",Config!$B$27)</f>
        <v/>
      </c>
      <c r="F323" t="str">
        <f>IF($AS323="","",Config!$B$9)</f>
        <v/>
      </c>
      <c r="G323" t="str">
        <f>IF($AS323="","",Config!$B$10)</f>
        <v/>
      </c>
      <c r="H323" t="str">
        <f>IF($AS323="","",Config!$B$11)</f>
        <v/>
      </c>
      <c r="I323" t="str">
        <f>IF($AS323="","",Config!$B$16)</f>
        <v/>
      </c>
      <c r="J323" t="str">
        <f>IF($AS323="","",INDEX('TMP Paste'!$A$2:$A$1601,$AS323))</f>
        <v/>
      </c>
      <c r="K323" t="str">
        <f>IF($AS323="","",INDEX('TMP Paste'!$L$2:$L$1601,$AS323))</f>
        <v/>
      </c>
      <c r="L323" t="str">
        <f>IF($AS323="","",INDEX('TMP Paste'!$I$2:$I$1601,$AS323))</f>
        <v/>
      </c>
      <c r="M323" t="str">
        <f>IF($AS323="","",Config!$B$16)</f>
        <v/>
      </c>
      <c r="N323" t="str">
        <f t="shared" si="30"/>
        <v/>
      </c>
      <c r="O323" t="str">
        <f>IF($AS323="","",INDEX('TMP Paste'!$K$2:$K$1601,$AS323))</f>
        <v/>
      </c>
      <c r="P323" t="str">
        <f t="shared" si="31"/>
        <v/>
      </c>
      <c r="Q323" t="str">
        <f>IF($AS323="","",INDEX('TMP Paste'!$J$2:$J$1601,$AS323))</f>
        <v/>
      </c>
      <c r="R323" t="str">
        <f>IF($AS323="","",Config!$B$24)</f>
        <v/>
      </c>
      <c r="S323" t="str">
        <f ca="1">IF($AS323="","",TEXT(Config!$B$4,"yyyy-mm-dd"))</f>
        <v/>
      </c>
      <c r="T323" t="str">
        <f>IF($AS323="","",Config!$B$17)</f>
        <v/>
      </c>
      <c r="U323" t="str">
        <f>IF($AS323="","",Config!$B$18)</f>
        <v/>
      </c>
      <c r="V323" t="str">
        <f>IF($AS323="","",Config!$B$19)</f>
        <v/>
      </c>
      <c r="W323" t="str">
        <f>IF($AS323="","",INDEX('TMP Paste'!$C$2:$C$1601,$AS323))</f>
        <v/>
      </c>
      <c r="X323" t="str">
        <f>IF($AS323="","",Config!$B$29)</f>
        <v/>
      </c>
      <c r="Y323" t="str">
        <f>IF($AT323="","",INDEX(Calc!$I$2:$I$1601,$AT323)&amp;" - "&amp;INDEX(Calc!$D$2:$D$1601,$AT323)&amp;" koli")</f>
        <v/>
      </c>
      <c r="Z323" t="str">
        <f>IF($AS323="","",Config!$B$21)</f>
        <v/>
      </c>
      <c r="AA323" t="str">
        <f>IF($AS323="","",Config!$B$22)</f>
        <v/>
      </c>
      <c r="AB323" t="str">
        <f>IF($AT323="","",INDEX(Calc!$D$2:$D$1601,$AT323))</f>
        <v/>
      </c>
      <c r="AC323" t="str">
        <f>IF($AT323="","",INDEX(Calc!$G$2:$G$1601,$AT323))</f>
        <v/>
      </c>
      <c r="AD323" t="str">
        <f>IF($AS323="","",Config!$B$23)</f>
        <v/>
      </c>
      <c r="AE323" t="str">
        <f>IF($AS323="","",Config!$B$28)</f>
        <v/>
      </c>
      <c r="AF323" t="str">
        <f t="shared" si="32"/>
        <v/>
      </c>
      <c r="AG323" t="str">
        <f t="shared" si="33"/>
        <v/>
      </c>
      <c r="AH323" t="str">
        <f t="shared" si="34"/>
        <v/>
      </c>
      <c r="AI323" t="str">
        <f>IF($AG323="","",SUMIF($AG$2:$AG323,$AG323,$AH$2:$AH323))</f>
        <v/>
      </c>
      <c r="AJ323" t="str">
        <f>IF('TMP Paste'!$F323="","",IF('TMP Paste'!$B323="",$AJ322,'TMP Paste'!$B323))</f>
        <v/>
      </c>
      <c r="AK323" t="str">
        <f>IF('TMP Paste'!$F323="","",N('TMP Paste'!$G323))</f>
        <v/>
      </c>
      <c r="AL323" t="str">
        <f>IF('TMP Paste'!$F323="","",IF('TMP Paste'!$M323="",$AL322,'TMP Paste'!$M323))</f>
        <v/>
      </c>
      <c r="AM323" t="str">
        <f>IF('TMP Paste'!$F323="","",IF('TMP Paste'!$N323="",$AM322,'TMP Paste'!$N323))</f>
        <v/>
      </c>
      <c r="AN323" t="str">
        <f>IF('TMP Paste'!$F323="","",IF('TMP Paste'!$O323="",$AN322,'TMP Paste'!$O323))</f>
        <v/>
      </c>
      <c r="AO323" t="str">
        <f>IF('TMP Paste'!$F323="","",IF('TMP Paste'!$P323="",$AO322,'TMP Paste'!$P323))</f>
        <v/>
      </c>
      <c r="AP323" t="str">
        <f t="shared" si="35"/>
        <v/>
      </c>
      <c r="AQ323" t="str">
        <f>IF($AS323="","",TRIM(IF(COUNTIFS(Calc!$B$2:$B$1601,ROW()-1,Calc!$C$2:$C$1601,"&lt;1")&gt;0,"Ada PO tanpa Koli - cek TMP. ","")&amp;IF(OR($AU323="",$AU323&lt;=0),"Volume kosong/0 - dimensi dikosongkan. ","")&amp;IF(AND($AU323&lt;&gt;"",$AU323&gt;=1000000),"Volume &gt;= 1.000.000 cm3 (di luar aturan) - dimensi dikosongkan. ","")&amp;IF(LEN($R323)&gt;500,"R &gt; 500 karakter.","")))</f>
        <v/>
      </c>
      <c r="AS323" t="str">
        <f>IFERROR(MATCH(ROW()-1,Calc!$J$2:$J$1601,0),"")</f>
        <v/>
      </c>
      <c r="AT323" t="str">
        <f>IFERROR(MATCH(ROW()-1,Calc!$K$2:$K$1601,0),"")</f>
        <v/>
      </c>
      <c r="AU323" t="str">
        <f>IF($AS323="","",IFERROR(INDEX('TMP Paste'!$D$2:$D$1601,$AS323)*1000000/$AB323,""))</f>
        <v/>
      </c>
    </row>
    <row r="324" spans="1:47">
      <c r="A324" t="str">
        <f>IF($AS324="","",INDEX('TMP Paste'!$B$2:$B$1601,$AS324))</f>
        <v/>
      </c>
      <c r="B324" t="str">
        <f>IF($AS324="","",Config!$B$14)</f>
        <v/>
      </c>
      <c r="C324" t="str">
        <f>IF($AS324="","",Config!$B$15)</f>
        <v/>
      </c>
      <c r="D324" t="str">
        <f>IF($AS324="","",INDEX('TMP Paste'!$B$2:$B$1601,$AS324))</f>
        <v/>
      </c>
      <c r="E324" t="str">
        <f>IF($AS324="","",Config!$B$27)</f>
        <v/>
      </c>
      <c r="F324" t="str">
        <f>IF($AS324="","",Config!$B$9)</f>
        <v/>
      </c>
      <c r="G324" t="str">
        <f>IF($AS324="","",Config!$B$10)</f>
        <v/>
      </c>
      <c r="H324" t="str">
        <f>IF($AS324="","",Config!$B$11)</f>
        <v/>
      </c>
      <c r="I324" t="str">
        <f>IF($AS324="","",Config!$B$16)</f>
        <v/>
      </c>
      <c r="J324" t="str">
        <f>IF($AS324="","",INDEX('TMP Paste'!$A$2:$A$1601,$AS324))</f>
        <v/>
      </c>
      <c r="K324" t="str">
        <f>IF($AS324="","",INDEX('TMP Paste'!$L$2:$L$1601,$AS324))</f>
        <v/>
      </c>
      <c r="L324" t="str">
        <f>IF($AS324="","",INDEX('TMP Paste'!$I$2:$I$1601,$AS324))</f>
        <v/>
      </c>
      <c r="M324" t="str">
        <f>IF($AS324="","",Config!$B$16)</f>
        <v/>
      </c>
      <c r="N324" t="str">
        <f t="shared" si="30"/>
        <v/>
      </c>
      <c r="O324" t="str">
        <f>IF($AS324="","",INDEX('TMP Paste'!$K$2:$K$1601,$AS324))</f>
        <v/>
      </c>
      <c r="P324" t="str">
        <f t="shared" si="31"/>
        <v/>
      </c>
      <c r="Q324" t="str">
        <f>IF($AS324="","",INDEX('TMP Paste'!$J$2:$J$1601,$AS324))</f>
        <v/>
      </c>
      <c r="R324" t="str">
        <f>IF($AS324="","",Config!$B$24)</f>
        <v/>
      </c>
      <c r="S324" t="str">
        <f ca="1">IF($AS324="","",TEXT(Config!$B$4,"yyyy-mm-dd"))</f>
        <v/>
      </c>
      <c r="T324" t="str">
        <f>IF($AS324="","",Config!$B$17)</f>
        <v/>
      </c>
      <c r="U324" t="str">
        <f>IF($AS324="","",Config!$B$18)</f>
        <v/>
      </c>
      <c r="V324" t="str">
        <f>IF($AS324="","",Config!$B$19)</f>
        <v/>
      </c>
      <c r="W324" t="str">
        <f>IF($AS324="","",INDEX('TMP Paste'!$C$2:$C$1601,$AS324))</f>
        <v/>
      </c>
      <c r="X324" t="str">
        <f>IF($AS324="","",Config!$B$29)</f>
        <v/>
      </c>
      <c r="Y324" t="str">
        <f>IF($AT324="","",INDEX(Calc!$I$2:$I$1601,$AT324)&amp;" - "&amp;INDEX(Calc!$D$2:$D$1601,$AT324)&amp;" koli")</f>
        <v/>
      </c>
      <c r="Z324" t="str">
        <f>IF($AS324="","",Config!$B$21)</f>
        <v/>
      </c>
      <c r="AA324" t="str">
        <f>IF($AS324="","",Config!$B$22)</f>
        <v/>
      </c>
      <c r="AB324" t="str">
        <f>IF($AT324="","",INDEX(Calc!$D$2:$D$1601,$AT324))</f>
        <v/>
      </c>
      <c r="AC324" t="str">
        <f>IF($AT324="","",INDEX(Calc!$G$2:$G$1601,$AT324))</f>
        <v/>
      </c>
      <c r="AD324" t="str">
        <f>IF($AS324="","",Config!$B$23)</f>
        <v/>
      </c>
      <c r="AE324" t="str">
        <f>IF($AS324="","",Config!$B$28)</f>
        <v/>
      </c>
      <c r="AF324" t="str">
        <f t="shared" si="32"/>
        <v/>
      </c>
      <c r="AG324" t="str">
        <f t="shared" si="33"/>
        <v/>
      </c>
      <c r="AH324" t="str">
        <f t="shared" si="34"/>
        <v/>
      </c>
      <c r="AI324" t="str">
        <f>IF($AG324="","",SUMIF($AG$2:$AG324,$AG324,$AH$2:$AH324))</f>
        <v/>
      </c>
      <c r="AJ324" t="str">
        <f>IF('TMP Paste'!$F324="","",IF('TMP Paste'!$B324="",$AJ323,'TMP Paste'!$B324))</f>
        <v/>
      </c>
      <c r="AK324" t="str">
        <f>IF('TMP Paste'!$F324="","",N('TMP Paste'!$G324))</f>
        <v/>
      </c>
      <c r="AL324" t="str">
        <f>IF('TMP Paste'!$F324="","",IF('TMP Paste'!$M324="",$AL323,'TMP Paste'!$M324))</f>
        <v/>
      </c>
      <c r="AM324" t="str">
        <f>IF('TMP Paste'!$F324="","",IF('TMP Paste'!$N324="",$AM323,'TMP Paste'!$N324))</f>
        <v/>
      </c>
      <c r="AN324" t="str">
        <f>IF('TMP Paste'!$F324="","",IF('TMP Paste'!$O324="",$AN323,'TMP Paste'!$O324))</f>
        <v/>
      </c>
      <c r="AO324" t="str">
        <f>IF('TMP Paste'!$F324="","",IF('TMP Paste'!$P324="",$AO323,'TMP Paste'!$P324))</f>
        <v/>
      </c>
      <c r="AP324" t="str">
        <f t="shared" si="35"/>
        <v/>
      </c>
      <c r="AQ324" t="str">
        <f>IF($AS324="","",TRIM(IF(COUNTIFS(Calc!$B$2:$B$1601,ROW()-1,Calc!$C$2:$C$1601,"&lt;1")&gt;0,"Ada PO tanpa Koli - cek TMP. ","")&amp;IF(OR($AU324="",$AU324&lt;=0),"Volume kosong/0 - dimensi dikosongkan. ","")&amp;IF(AND($AU324&lt;&gt;"",$AU324&gt;=1000000),"Volume &gt;= 1.000.000 cm3 (di luar aturan) - dimensi dikosongkan. ","")&amp;IF(LEN($R324)&gt;500,"R &gt; 500 karakter.","")))</f>
        <v/>
      </c>
      <c r="AS324" t="str">
        <f>IFERROR(MATCH(ROW()-1,Calc!$J$2:$J$1601,0),"")</f>
        <v/>
      </c>
      <c r="AT324" t="str">
        <f>IFERROR(MATCH(ROW()-1,Calc!$K$2:$K$1601,0),"")</f>
        <v/>
      </c>
      <c r="AU324" t="str">
        <f>IF($AS324="","",IFERROR(INDEX('TMP Paste'!$D$2:$D$1601,$AS324)*1000000/$AB324,""))</f>
        <v/>
      </c>
    </row>
    <row r="325" spans="1:47">
      <c r="A325" t="str">
        <f>IF($AS325="","",INDEX('TMP Paste'!$B$2:$B$1601,$AS325))</f>
        <v/>
      </c>
      <c r="B325" t="str">
        <f>IF($AS325="","",Config!$B$14)</f>
        <v/>
      </c>
      <c r="C325" t="str">
        <f>IF($AS325="","",Config!$B$15)</f>
        <v/>
      </c>
      <c r="D325" t="str">
        <f>IF($AS325="","",INDEX('TMP Paste'!$B$2:$B$1601,$AS325))</f>
        <v/>
      </c>
      <c r="E325" t="str">
        <f>IF($AS325="","",Config!$B$27)</f>
        <v/>
      </c>
      <c r="F325" t="str">
        <f>IF($AS325="","",Config!$B$9)</f>
        <v/>
      </c>
      <c r="G325" t="str">
        <f>IF($AS325="","",Config!$B$10)</f>
        <v/>
      </c>
      <c r="H325" t="str">
        <f>IF($AS325="","",Config!$B$11)</f>
        <v/>
      </c>
      <c r="I325" t="str">
        <f>IF($AS325="","",Config!$B$16)</f>
        <v/>
      </c>
      <c r="J325" t="str">
        <f>IF($AS325="","",INDEX('TMP Paste'!$A$2:$A$1601,$AS325))</f>
        <v/>
      </c>
      <c r="K325" t="str">
        <f>IF($AS325="","",INDEX('TMP Paste'!$L$2:$L$1601,$AS325))</f>
        <v/>
      </c>
      <c r="L325" t="str">
        <f>IF($AS325="","",INDEX('TMP Paste'!$I$2:$I$1601,$AS325))</f>
        <v/>
      </c>
      <c r="M325" t="str">
        <f>IF($AS325="","",Config!$B$16)</f>
        <v/>
      </c>
      <c r="N325" t="str">
        <f t="shared" si="30"/>
        <v/>
      </c>
      <c r="O325" t="str">
        <f>IF($AS325="","",INDEX('TMP Paste'!$K$2:$K$1601,$AS325))</f>
        <v/>
      </c>
      <c r="P325" t="str">
        <f t="shared" si="31"/>
        <v/>
      </c>
      <c r="Q325" t="str">
        <f>IF($AS325="","",INDEX('TMP Paste'!$J$2:$J$1601,$AS325))</f>
        <v/>
      </c>
      <c r="R325" t="str">
        <f>IF($AS325="","",Config!$B$24)</f>
        <v/>
      </c>
      <c r="S325" t="str">
        <f ca="1">IF($AS325="","",TEXT(Config!$B$4,"yyyy-mm-dd"))</f>
        <v/>
      </c>
      <c r="T325" t="str">
        <f>IF($AS325="","",Config!$B$17)</f>
        <v/>
      </c>
      <c r="U325" t="str">
        <f>IF($AS325="","",Config!$B$18)</f>
        <v/>
      </c>
      <c r="V325" t="str">
        <f>IF($AS325="","",Config!$B$19)</f>
        <v/>
      </c>
      <c r="W325" t="str">
        <f>IF($AS325="","",INDEX('TMP Paste'!$C$2:$C$1601,$AS325))</f>
        <v/>
      </c>
      <c r="X325" t="str">
        <f>IF($AS325="","",Config!$B$29)</f>
        <v/>
      </c>
      <c r="Y325" t="str">
        <f>IF($AT325="","",INDEX(Calc!$I$2:$I$1601,$AT325)&amp;" - "&amp;INDEX(Calc!$D$2:$D$1601,$AT325)&amp;" koli")</f>
        <v/>
      </c>
      <c r="Z325" t="str">
        <f>IF($AS325="","",Config!$B$21)</f>
        <v/>
      </c>
      <c r="AA325" t="str">
        <f>IF($AS325="","",Config!$B$22)</f>
        <v/>
      </c>
      <c r="AB325" t="str">
        <f>IF($AT325="","",INDEX(Calc!$D$2:$D$1601,$AT325))</f>
        <v/>
      </c>
      <c r="AC325" t="str">
        <f>IF($AT325="","",INDEX(Calc!$G$2:$G$1601,$AT325))</f>
        <v/>
      </c>
      <c r="AD325" t="str">
        <f>IF($AS325="","",Config!$B$23)</f>
        <v/>
      </c>
      <c r="AE325" t="str">
        <f>IF($AS325="","",Config!$B$28)</f>
        <v/>
      </c>
      <c r="AF325" t="str">
        <f t="shared" si="32"/>
        <v/>
      </c>
      <c r="AG325" t="str">
        <f t="shared" si="33"/>
        <v/>
      </c>
      <c r="AH325" t="str">
        <f t="shared" si="34"/>
        <v/>
      </c>
      <c r="AI325" t="str">
        <f>IF($AG325="","",SUMIF($AG$2:$AG325,$AG325,$AH$2:$AH325))</f>
        <v/>
      </c>
      <c r="AJ325" t="str">
        <f>IF('TMP Paste'!$F325="","",IF('TMP Paste'!$B325="",$AJ324,'TMP Paste'!$B325))</f>
        <v/>
      </c>
      <c r="AK325" t="str">
        <f>IF('TMP Paste'!$F325="","",N('TMP Paste'!$G325))</f>
        <v/>
      </c>
      <c r="AL325" t="str">
        <f>IF('TMP Paste'!$F325="","",IF('TMP Paste'!$M325="",$AL324,'TMP Paste'!$M325))</f>
        <v/>
      </c>
      <c r="AM325" t="str">
        <f>IF('TMP Paste'!$F325="","",IF('TMP Paste'!$N325="",$AM324,'TMP Paste'!$N325))</f>
        <v/>
      </c>
      <c r="AN325" t="str">
        <f>IF('TMP Paste'!$F325="","",IF('TMP Paste'!$O325="",$AN324,'TMP Paste'!$O325))</f>
        <v/>
      </c>
      <c r="AO325" t="str">
        <f>IF('TMP Paste'!$F325="","",IF('TMP Paste'!$P325="",$AO324,'TMP Paste'!$P325))</f>
        <v/>
      </c>
      <c r="AP325" t="str">
        <f t="shared" si="35"/>
        <v/>
      </c>
      <c r="AQ325" t="str">
        <f>IF($AS325="","",TRIM(IF(COUNTIFS(Calc!$B$2:$B$1601,ROW()-1,Calc!$C$2:$C$1601,"&lt;1")&gt;0,"Ada PO tanpa Koli - cek TMP. ","")&amp;IF(OR($AU325="",$AU325&lt;=0),"Volume kosong/0 - dimensi dikosongkan. ","")&amp;IF(AND($AU325&lt;&gt;"",$AU325&gt;=1000000),"Volume &gt;= 1.000.000 cm3 (di luar aturan) - dimensi dikosongkan. ","")&amp;IF(LEN($R325)&gt;500,"R &gt; 500 karakter.","")))</f>
        <v/>
      </c>
      <c r="AS325" t="str">
        <f>IFERROR(MATCH(ROW()-1,Calc!$J$2:$J$1601,0),"")</f>
        <v/>
      </c>
      <c r="AT325" t="str">
        <f>IFERROR(MATCH(ROW()-1,Calc!$K$2:$K$1601,0),"")</f>
        <v/>
      </c>
      <c r="AU325" t="str">
        <f>IF($AS325="","",IFERROR(INDEX('TMP Paste'!$D$2:$D$1601,$AS325)*1000000/$AB325,""))</f>
        <v/>
      </c>
    </row>
    <row r="326" spans="1:47">
      <c r="A326" t="str">
        <f>IF($AS326="","",INDEX('TMP Paste'!$B$2:$B$1601,$AS326))</f>
        <v/>
      </c>
      <c r="B326" t="str">
        <f>IF($AS326="","",Config!$B$14)</f>
        <v/>
      </c>
      <c r="C326" t="str">
        <f>IF($AS326="","",Config!$B$15)</f>
        <v/>
      </c>
      <c r="D326" t="str">
        <f>IF($AS326="","",INDEX('TMP Paste'!$B$2:$B$1601,$AS326))</f>
        <v/>
      </c>
      <c r="E326" t="str">
        <f>IF($AS326="","",Config!$B$27)</f>
        <v/>
      </c>
      <c r="F326" t="str">
        <f>IF($AS326="","",Config!$B$9)</f>
        <v/>
      </c>
      <c r="G326" t="str">
        <f>IF($AS326="","",Config!$B$10)</f>
        <v/>
      </c>
      <c r="H326" t="str">
        <f>IF($AS326="","",Config!$B$11)</f>
        <v/>
      </c>
      <c r="I326" t="str">
        <f>IF($AS326="","",Config!$B$16)</f>
        <v/>
      </c>
      <c r="J326" t="str">
        <f>IF($AS326="","",INDEX('TMP Paste'!$A$2:$A$1601,$AS326))</f>
        <v/>
      </c>
      <c r="K326" t="str">
        <f>IF($AS326="","",INDEX('TMP Paste'!$L$2:$L$1601,$AS326))</f>
        <v/>
      </c>
      <c r="L326" t="str">
        <f>IF($AS326="","",INDEX('TMP Paste'!$I$2:$I$1601,$AS326))</f>
        <v/>
      </c>
      <c r="M326" t="str">
        <f>IF($AS326="","",Config!$B$16)</f>
        <v/>
      </c>
      <c r="N326" t="str">
        <f t="shared" si="30"/>
        <v/>
      </c>
      <c r="O326" t="str">
        <f>IF($AS326="","",INDEX('TMP Paste'!$K$2:$K$1601,$AS326))</f>
        <v/>
      </c>
      <c r="P326" t="str">
        <f t="shared" si="31"/>
        <v/>
      </c>
      <c r="Q326" t="str">
        <f>IF($AS326="","",INDEX('TMP Paste'!$J$2:$J$1601,$AS326))</f>
        <v/>
      </c>
      <c r="R326" t="str">
        <f>IF($AS326="","",Config!$B$24)</f>
        <v/>
      </c>
      <c r="S326" t="str">
        <f ca="1">IF($AS326="","",TEXT(Config!$B$4,"yyyy-mm-dd"))</f>
        <v/>
      </c>
      <c r="T326" t="str">
        <f>IF($AS326="","",Config!$B$17)</f>
        <v/>
      </c>
      <c r="U326" t="str">
        <f>IF($AS326="","",Config!$B$18)</f>
        <v/>
      </c>
      <c r="V326" t="str">
        <f>IF($AS326="","",Config!$B$19)</f>
        <v/>
      </c>
      <c r="W326" t="str">
        <f>IF($AS326="","",INDEX('TMP Paste'!$C$2:$C$1601,$AS326))</f>
        <v/>
      </c>
      <c r="X326" t="str">
        <f>IF($AS326="","",Config!$B$29)</f>
        <v/>
      </c>
      <c r="Y326" t="str">
        <f>IF($AT326="","",INDEX(Calc!$I$2:$I$1601,$AT326)&amp;" - "&amp;INDEX(Calc!$D$2:$D$1601,$AT326)&amp;" koli")</f>
        <v/>
      </c>
      <c r="Z326" t="str">
        <f>IF($AS326="","",Config!$B$21)</f>
        <v/>
      </c>
      <c r="AA326" t="str">
        <f>IF($AS326="","",Config!$B$22)</f>
        <v/>
      </c>
      <c r="AB326" t="str">
        <f>IF($AT326="","",INDEX(Calc!$D$2:$D$1601,$AT326))</f>
        <v/>
      </c>
      <c r="AC326" t="str">
        <f>IF($AT326="","",INDEX(Calc!$G$2:$G$1601,$AT326))</f>
        <v/>
      </c>
      <c r="AD326" t="str">
        <f>IF($AS326="","",Config!$B$23)</f>
        <v/>
      </c>
      <c r="AE326" t="str">
        <f>IF($AS326="","",Config!$B$28)</f>
        <v/>
      </c>
      <c r="AF326" t="str">
        <f t="shared" si="32"/>
        <v/>
      </c>
      <c r="AG326" t="str">
        <f t="shared" si="33"/>
        <v/>
      </c>
      <c r="AH326" t="str">
        <f t="shared" si="34"/>
        <v/>
      </c>
      <c r="AI326" t="str">
        <f>IF($AG326="","",SUMIF($AG$2:$AG326,$AG326,$AH$2:$AH326))</f>
        <v/>
      </c>
      <c r="AJ326" t="str">
        <f>IF('TMP Paste'!$F326="","",IF('TMP Paste'!$B326="",$AJ325,'TMP Paste'!$B326))</f>
        <v/>
      </c>
      <c r="AK326" t="str">
        <f>IF('TMP Paste'!$F326="","",N('TMP Paste'!$G326))</f>
        <v/>
      </c>
      <c r="AL326" t="str">
        <f>IF('TMP Paste'!$F326="","",IF('TMP Paste'!$M326="",$AL325,'TMP Paste'!$M326))</f>
        <v/>
      </c>
      <c r="AM326" t="str">
        <f>IF('TMP Paste'!$F326="","",IF('TMP Paste'!$N326="",$AM325,'TMP Paste'!$N326))</f>
        <v/>
      </c>
      <c r="AN326" t="str">
        <f>IF('TMP Paste'!$F326="","",IF('TMP Paste'!$O326="",$AN325,'TMP Paste'!$O326))</f>
        <v/>
      </c>
      <c r="AO326" t="str">
        <f>IF('TMP Paste'!$F326="","",IF('TMP Paste'!$P326="",$AO325,'TMP Paste'!$P326))</f>
        <v/>
      </c>
      <c r="AP326" t="str">
        <f t="shared" si="35"/>
        <v/>
      </c>
      <c r="AQ326" t="str">
        <f>IF($AS326="","",TRIM(IF(COUNTIFS(Calc!$B$2:$B$1601,ROW()-1,Calc!$C$2:$C$1601,"&lt;1")&gt;0,"Ada PO tanpa Koli - cek TMP. ","")&amp;IF(OR($AU326="",$AU326&lt;=0),"Volume kosong/0 - dimensi dikosongkan. ","")&amp;IF(AND($AU326&lt;&gt;"",$AU326&gt;=1000000),"Volume &gt;= 1.000.000 cm3 (di luar aturan) - dimensi dikosongkan. ","")&amp;IF(LEN($R326)&gt;500,"R &gt; 500 karakter.","")))</f>
        <v/>
      </c>
      <c r="AS326" t="str">
        <f>IFERROR(MATCH(ROW()-1,Calc!$J$2:$J$1601,0),"")</f>
        <v/>
      </c>
      <c r="AT326" t="str">
        <f>IFERROR(MATCH(ROW()-1,Calc!$K$2:$K$1601,0),"")</f>
        <v/>
      </c>
      <c r="AU326" t="str">
        <f>IF($AS326="","",IFERROR(INDEX('TMP Paste'!$D$2:$D$1601,$AS326)*1000000/$AB326,""))</f>
        <v/>
      </c>
    </row>
    <row r="327" spans="1:47">
      <c r="A327" t="str">
        <f>IF($AS327="","",INDEX('TMP Paste'!$B$2:$B$1601,$AS327))</f>
        <v/>
      </c>
      <c r="B327" t="str">
        <f>IF($AS327="","",Config!$B$14)</f>
        <v/>
      </c>
      <c r="C327" t="str">
        <f>IF($AS327="","",Config!$B$15)</f>
        <v/>
      </c>
      <c r="D327" t="str">
        <f>IF($AS327="","",INDEX('TMP Paste'!$B$2:$B$1601,$AS327))</f>
        <v/>
      </c>
      <c r="E327" t="str">
        <f>IF($AS327="","",Config!$B$27)</f>
        <v/>
      </c>
      <c r="F327" t="str">
        <f>IF($AS327="","",Config!$B$9)</f>
        <v/>
      </c>
      <c r="G327" t="str">
        <f>IF($AS327="","",Config!$B$10)</f>
        <v/>
      </c>
      <c r="H327" t="str">
        <f>IF($AS327="","",Config!$B$11)</f>
        <v/>
      </c>
      <c r="I327" t="str">
        <f>IF($AS327="","",Config!$B$16)</f>
        <v/>
      </c>
      <c r="J327" t="str">
        <f>IF($AS327="","",INDEX('TMP Paste'!$A$2:$A$1601,$AS327))</f>
        <v/>
      </c>
      <c r="K327" t="str">
        <f>IF($AS327="","",INDEX('TMP Paste'!$L$2:$L$1601,$AS327))</f>
        <v/>
      </c>
      <c r="L327" t="str">
        <f>IF($AS327="","",INDEX('TMP Paste'!$I$2:$I$1601,$AS327))</f>
        <v/>
      </c>
      <c r="M327" t="str">
        <f>IF($AS327="","",Config!$B$16)</f>
        <v/>
      </c>
      <c r="N327" t="str">
        <f t="shared" si="30"/>
        <v/>
      </c>
      <c r="O327" t="str">
        <f>IF($AS327="","",INDEX('TMP Paste'!$K$2:$K$1601,$AS327))</f>
        <v/>
      </c>
      <c r="P327" t="str">
        <f t="shared" si="31"/>
        <v/>
      </c>
      <c r="Q327" t="str">
        <f>IF($AS327="","",INDEX('TMP Paste'!$J$2:$J$1601,$AS327))</f>
        <v/>
      </c>
      <c r="R327" t="str">
        <f>IF($AS327="","",Config!$B$24)</f>
        <v/>
      </c>
      <c r="S327" t="str">
        <f ca="1">IF($AS327="","",TEXT(Config!$B$4,"yyyy-mm-dd"))</f>
        <v/>
      </c>
      <c r="T327" t="str">
        <f>IF($AS327="","",Config!$B$17)</f>
        <v/>
      </c>
      <c r="U327" t="str">
        <f>IF($AS327="","",Config!$B$18)</f>
        <v/>
      </c>
      <c r="V327" t="str">
        <f>IF($AS327="","",Config!$B$19)</f>
        <v/>
      </c>
      <c r="W327" t="str">
        <f>IF($AS327="","",INDEX('TMP Paste'!$C$2:$C$1601,$AS327))</f>
        <v/>
      </c>
      <c r="X327" t="str">
        <f>IF($AS327="","",Config!$B$29)</f>
        <v/>
      </c>
      <c r="Y327" t="str">
        <f>IF($AT327="","",INDEX(Calc!$I$2:$I$1601,$AT327)&amp;" - "&amp;INDEX(Calc!$D$2:$D$1601,$AT327)&amp;" koli")</f>
        <v/>
      </c>
      <c r="Z327" t="str">
        <f>IF($AS327="","",Config!$B$21)</f>
        <v/>
      </c>
      <c r="AA327" t="str">
        <f>IF($AS327="","",Config!$B$22)</f>
        <v/>
      </c>
      <c r="AB327" t="str">
        <f>IF($AT327="","",INDEX(Calc!$D$2:$D$1601,$AT327))</f>
        <v/>
      </c>
      <c r="AC327" t="str">
        <f>IF($AT327="","",INDEX(Calc!$G$2:$G$1601,$AT327))</f>
        <v/>
      </c>
      <c r="AD327" t="str">
        <f>IF($AS327="","",Config!$B$23)</f>
        <v/>
      </c>
      <c r="AE327" t="str">
        <f>IF($AS327="","",Config!$B$28)</f>
        <v/>
      </c>
      <c r="AF327" t="str">
        <f t="shared" si="32"/>
        <v/>
      </c>
      <c r="AG327" t="str">
        <f t="shared" si="33"/>
        <v/>
      </c>
      <c r="AH327" t="str">
        <f t="shared" si="34"/>
        <v/>
      </c>
      <c r="AI327" t="str">
        <f>IF($AG327="","",SUMIF($AG$2:$AG327,$AG327,$AH$2:$AH327))</f>
        <v/>
      </c>
      <c r="AJ327" t="str">
        <f>IF('TMP Paste'!$F327="","",IF('TMP Paste'!$B327="",$AJ326,'TMP Paste'!$B327))</f>
        <v/>
      </c>
      <c r="AK327" t="str">
        <f>IF('TMP Paste'!$F327="","",N('TMP Paste'!$G327))</f>
        <v/>
      </c>
      <c r="AL327" t="str">
        <f>IF('TMP Paste'!$F327="","",IF('TMP Paste'!$M327="",$AL326,'TMP Paste'!$M327))</f>
        <v/>
      </c>
      <c r="AM327" t="str">
        <f>IF('TMP Paste'!$F327="","",IF('TMP Paste'!$N327="",$AM326,'TMP Paste'!$N327))</f>
        <v/>
      </c>
      <c r="AN327" t="str">
        <f>IF('TMP Paste'!$F327="","",IF('TMP Paste'!$O327="",$AN326,'TMP Paste'!$O327))</f>
        <v/>
      </c>
      <c r="AO327" t="str">
        <f>IF('TMP Paste'!$F327="","",IF('TMP Paste'!$P327="",$AO326,'TMP Paste'!$P327))</f>
        <v/>
      </c>
      <c r="AP327" t="str">
        <f t="shared" si="35"/>
        <v/>
      </c>
      <c r="AQ327" t="str">
        <f>IF($AS327="","",TRIM(IF(COUNTIFS(Calc!$B$2:$B$1601,ROW()-1,Calc!$C$2:$C$1601,"&lt;1")&gt;0,"Ada PO tanpa Koli - cek TMP. ","")&amp;IF(OR($AU327="",$AU327&lt;=0),"Volume kosong/0 - dimensi dikosongkan. ","")&amp;IF(AND($AU327&lt;&gt;"",$AU327&gt;=1000000),"Volume &gt;= 1.000.000 cm3 (di luar aturan) - dimensi dikosongkan. ","")&amp;IF(LEN($R327)&gt;500,"R &gt; 500 karakter.","")))</f>
        <v/>
      </c>
      <c r="AS327" t="str">
        <f>IFERROR(MATCH(ROW()-1,Calc!$J$2:$J$1601,0),"")</f>
        <v/>
      </c>
      <c r="AT327" t="str">
        <f>IFERROR(MATCH(ROW()-1,Calc!$K$2:$K$1601,0),"")</f>
        <v/>
      </c>
      <c r="AU327" t="str">
        <f>IF($AS327="","",IFERROR(INDEX('TMP Paste'!$D$2:$D$1601,$AS327)*1000000/$AB327,""))</f>
        <v/>
      </c>
    </row>
    <row r="328" spans="1:47">
      <c r="A328" t="str">
        <f>IF($AS328="","",INDEX('TMP Paste'!$B$2:$B$1601,$AS328))</f>
        <v/>
      </c>
      <c r="B328" t="str">
        <f>IF($AS328="","",Config!$B$14)</f>
        <v/>
      </c>
      <c r="C328" t="str">
        <f>IF($AS328="","",Config!$B$15)</f>
        <v/>
      </c>
      <c r="D328" t="str">
        <f>IF($AS328="","",INDEX('TMP Paste'!$B$2:$B$1601,$AS328))</f>
        <v/>
      </c>
      <c r="E328" t="str">
        <f>IF($AS328="","",Config!$B$27)</f>
        <v/>
      </c>
      <c r="F328" t="str">
        <f>IF($AS328="","",Config!$B$9)</f>
        <v/>
      </c>
      <c r="G328" t="str">
        <f>IF($AS328="","",Config!$B$10)</f>
        <v/>
      </c>
      <c r="H328" t="str">
        <f>IF($AS328="","",Config!$B$11)</f>
        <v/>
      </c>
      <c r="I328" t="str">
        <f>IF($AS328="","",Config!$B$16)</f>
        <v/>
      </c>
      <c r="J328" t="str">
        <f>IF($AS328="","",INDEX('TMP Paste'!$A$2:$A$1601,$AS328))</f>
        <v/>
      </c>
      <c r="K328" t="str">
        <f>IF($AS328="","",INDEX('TMP Paste'!$L$2:$L$1601,$AS328))</f>
        <v/>
      </c>
      <c r="L328" t="str">
        <f>IF($AS328="","",INDEX('TMP Paste'!$I$2:$I$1601,$AS328))</f>
        <v/>
      </c>
      <c r="M328" t="str">
        <f>IF($AS328="","",Config!$B$16)</f>
        <v/>
      </c>
      <c r="N328" t="str">
        <f t="shared" si="30"/>
        <v/>
      </c>
      <c r="O328" t="str">
        <f>IF($AS328="","",INDEX('TMP Paste'!$K$2:$K$1601,$AS328))</f>
        <v/>
      </c>
      <c r="P328" t="str">
        <f t="shared" si="31"/>
        <v/>
      </c>
      <c r="Q328" t="str">
        <f>IF($AS328="","",INDEX('TMP Paste'!$J$2:$J$1601,$AS328))</f>
        <v/>
      </c>
      <c r="R328" t="str">
        <f>IF($AS328="","",Config!$B$24)</f>
        <v/>
      </c>
      <c r="S328" t="str">
        <f ca="1">IF($AS328="","",TEXT(Config!$B$4,"yyyy-mm-dd"))</f>
        <v/>
      </c>
      <c r="T328" t="str">
        <f>IF($AS328="","",Config!$B$17)</f>
        <v/>
      </c>
      <c r="U328" t="str">
        <f>IF($AS328="","",Config!$B$18)</f>
        <v/>
      </c>
      <c r="V328" t="str">
        <f>IF($AS328="","",Config!$B$19)</f>
        <v/>
      </c>
      <c r="W328" t="str">
        <f>IF($AS328="","",INDEX('TMP Paste'!$C$2:$C$1601,$AS328))</f>
        <v/>
      </c>
      <c r="X328" t="str">
        <f>IF($AS328="","",Config!$B$29)</f>
        <v/>
      </c>
      <c r="Y328" t="str">
        <f>IF($AT328="","",INDEX(Calc!$I$2:$I$1601,$AT328)&amp;" - "&amp;INDEX(Calc!$D$2:$D$1601,$AT328)&amp;" koli")</f>
        <v/>
      </c>
      <c r="Z328" t="str">
        <f>IF($AS328="","",Config!$B$21)</f>
        <v/>
      </c>
      <c r="AA328" t="str">
        <f>IF($AS328="","",Config!$B$22)</f>
        <v/>
      </c>
      <c r="AB328" t="str">
        <f>IF($AT328="","",INDEX(Calc!$D$2:$D$1601,$AT328))</f>
        <v/>
      </c>
      <c r="AC328" t="str">
        <f>IF($AT328="","",INDEX(Calc!$G$2:$G$1601,$AT328))</f>
        <v/>
      </c>
      <c r="AD328" t="str">
        <f>IF($AS328="","",Config!$B$23)</f>
        <v/>
      </c>
      <c r="AE328" t="str">
        <f>IF($AS328="","",Config!$B$28)</f>
        <v/>
      </c>
      <c r="AF328" t="str">
        <f t="shared" si="32"/>
        <v/>
      </c>
      <c r="AG328" t="str">
        <f t="shared" si="33"/>
        <v/>
      </c>
      <c r="AH328" t="str">
        <f t="shared" si="34"/>
        <v/>
      </c>
      <c r="AI328" t="str">
        <f>IF($AG328="","",SUMIF($AG$2:$AG328,$AG328,$AH$2:$AH328))</f>
        <v/>
      </c>
      <c r="AJ328" t="str">
        <f>IF('TMP Paste'!$F328="","",IF('TMP Paste'!$B328="",$AJ327,'TMP Paste'!$B328))</f>
        <v/>
      </c>
      <c r="AK328" t="str">
        <f>IF('TMP Paste'!$F328="","",N('TMP Paste'!$G328))</f>
        <v/>
      </c>
      <c r="AL328" t="str">
        <f>IF('TMP Paste'!$F328="","",IF('TMP Paste'!$M328="",$AL327,'TMP Paste'!$M328))</f>
        <v/>
      </c>
      <c r="AM328" t="str">
        <f>IF('TMP Paste'!$F328="","",IF('TMP Paste'!$N328="",$AM327,'TMP Paste'!$N328))</f>
        <v/>
      </c>
      <c r="AN328" t="str">
        <f>IF('TMP Paste'!$F328="","",IF('TMP Paste'!$O328="",$AN327,'TMP Paste'!$O328))</f>
        <v/>
      </c>
      <c r="AO328" t="str">
        <f>IF('TMP Paste'!$F328="","",IF('TMP Paste'!$P328="",$AO327,'TMP Paste'!$P328))</f>
        <v/>
      </c>
      <c r="AP328" t="str">
        <f t="shared" si="35"/>
        <v/>
      </c>
      <c r="AQ328" t="str">
        <f>IF($AS328="","",TRIM(IF(COUNTIFS(Calc!$B$2:$B$1601,ROW()-1,Calc!$C$2:$C$1601,"&lt;1")&gt;0,"Ada PO tanpa Koli - cek TMP. ","")&amp;IF(OR($AU328="",$AU328&lt;=0),"Volume kosong/0 - dimensi dikosongkan. ","")&amp;IF(AND($AU328&lt;&gt;"",$AU328&gt;=1000000),"Volume &gt;= 1.000.000 cm3 (di luar aturan) - dimensi dikosongkan. ","")&amp;IF(LEN($R328)&gt;500,"R &gt; 500 karakter.","")))</f>
        <v/>
      </c>
      <c r="AS328" t="str">
        <f>IFERROR(MATCH(ROW()-1,Calc!$J$2:$J$1601,0),"")</f>
        <v/>
      </c>
      <c r="AT328" t="str">
        <f>IFERROR(MATCH(ROW()-1,Calc!$K$2:$K$1601,0),"")</f>
        <v/>
      </c>
      <c r="AU328" t="str">
        <f>IF($AS328="","",IFERROR(INDEX('TMP Paste'!$D$2:$D$1601,$AS328)*1000000/$AB328,""))</f>
        <v/>
      </c>
    </row>
    <row r="329" spans="1:47">
      <c r="A329" t="str">
        <f>IF($AS329="","",INDEX('TMP Paste'!$B$2:$B$1601,$AS329))</f>
        <v/>
      </c>
      <c r="B329" t="str">
        <f>IF($AS329="","",Config!$B$14)</f>
        <v/>
      </c>
      <c r="C329" t="str">
        <f>IF($AS329="","",Config!$B$15)</f>
        <v/>
      </c>
      <c r="D329" t="str">
        <f>IF($AS329="","",INDEX('TMP Paste'!$B$2:$B$1601,$AS329))</f>
        <v/>
      </c>
      <c r="E329" t="str">
        <f>IF($AS329="","",Config!$B$27)</f>
        <v/>
      </c>
      <c r="F329" t="str">
        <f>IF($AS329="","",Config!$B$9)</f>
        <v/>
      </c>
      <c r="G329" t="str">
        <f>IF($AS329="","",Config!$B$10)</f>
        <v/>
      </c>
      <c r="H329" t="str">
        <f>IF($AS329="","",Config!$B$11)</f>
        <v/>
      </c>
      <c r="I329" t="str">
        <f>IF($AS329="","",Config!$B$16)</f>
        <v/>
      </c>
      <c r="J329" t="str">
        <f>IF($AS329="","",INDEX('TMP Paste'!$A$2:$A$1601,$AS329))</f>
        <v/>
      </c>
      <c r="K329" t="str">
        <f>IF($AS329="","",INDEX('TMP Paste'!$L$2:$L$1601,$AS329))</f>
        <v/>
      </c>
      <c r="L329" t="str">
        <f>IF($AS329="","",INDEX('TMP Paste'!$I$2:$I$1601,$AS329))</f>
        <v/>
      </c>
      <c r="M329" t="str">
        <f>IF($AS329="","",Config!$B$16)</f>
        <v/>
      </c>
      <c r="N329" t="str">
        <f t="shared" si="30"/>
        <v/>
      </c>
      <c r="O329" t="str">
        <f>IF($AS329="","",INDEX('TMP Paste'!$K$2:$K$1601,$AS329))</f>
        <v/>
      </c>
      <c r="P329" t="str">
        <f t="shared" si="31"/>
        <v/>
      </c>
      <c r="Q329" t="str">
        <f>IF($AS329="","",INDEX('TMP Paste'!$J$2:$J$1601,$AS329))</f>
        <v/>
      </c>
      <c r="R329" t="str">
        <f>IF($AS329="","",Config!$B$24)</f>
        <v/>
      </c>
      <c r="S329" t="str">
        <f ca="1">IF($AS329="","",TEXT(Config!$B$4,"yyyy-mm-dd"))</f>
        <v/>
      </c>
      <c r="T329" t="str">
        <f>IF($AS329="","",Config!$B$17)</f>
        <v/>
      </c>
      <c r="U329" t="str">
        <f>IF($AS329="","",Config!$B$18)</f>
        <v/>
      </c>
      <c r="V329" t="str">
        <f>IF($AS329="","",Config!$B$19)</f>
        <v/>
      </c>
      <c r="W329" t="str">
        <f>IF($AS329="","",INDEX('TMP Paste'!$C$2:$C$1601,$AS329))</f>
        <v/>
      </c>
      <c r="X329" t="str">
        <f>IF($AS329="","",Config!$B$29)</f>
        <v/>
      </c>
      <c r="Y329" t="str">
        <f>IF($AT329="","",INDEX(Calc!$I$2:$I$1601,$AT329)&amp;" - "&amp;INDEX(Calc!$D$2:$D$1601,$AT329)&amp;" koli")</f>
        <v/>
      </c>
      <c r="Z329" t="str">
        <f>IF($AS329="","",Config!$B$21)</f>
        <v/>
      </c>
      <c r="AA329" t="str">
        <f>IF($AS329="","",Config!$B$22)</f>
        <v/>
      </c>
      <c r="AB329" t="str">
        <f>IF($AT329="","",INDEX(Calc!$D$2:$D$1601,$AT329))</f>
        <v/>
      </c>
      <c r="AC329" t="str">
        <f>IF($AT329="","",INDEX(Calc!$G$2:$G$1601,$AT329))</f>
        <v/>
      </c>
      <c r="AD329" t="str">
        <f>IF($AS329="","",Config!$B$23)</f>
        <v/>
      </c>
      <c r="AE329" t="str">
        <f>IF($AS329="","",Config!$B$28)</f>
        <v/>
      </c>
      <c r="AF329" t="str">
        <f t="shared" si="32"/>
        <v/>
      </c>
      <c r="AG329" t="str">
        <f t="shared" si="33"/>
        <v/>
      </c>
      <c r="AH329" t="str">
        <f t="shared" si="34"/>
        <v/>
      </c>
      <c r="AI329" t="str">
        <f>IF($AG329="","",SUMIF($AG$2:$AG329,$AG329,$AH$2:$AH329))</f>
        <v/>
      </c>
      <c r="AJ329" t="str">
        <f>IF('TMP Paste'!$F329="","",IF('TMP Paste'!$B329="",$AJ328,'TMP Paste'!$B329))</f>
        <v/>
      </c>
      <c r="AK329" t="str">
        <f>IF('TMP Paste'!$F329="","",N('TMP Paste'!$G329))</f>
        <v/>
      </c>
      <c r="AL329" t="str">
        <f>IF('TMP Paste'!$F329="","",IF('TMP Paste'!$M329="",$AL328,'TMP Paste'!$M329))</f>
        <v/>
      </c>
      <c r="AM329" t="str">
        <f>IF('TMP Paste'!$F329="","",IF('TMP Paste'!$N329="",$AM328,'TMP Paste'!$N329))</f>
        <v/>
      </c>
      <c r="AN329" t="str">
        <f>IF('TMP Paste'!$F329="","",IF('TMP Paste'!$O329="",$AN328,'TMP Paste'!$O329))</f>
        <v/>
      </c>
      <c r="AO329" t="str">
        <f>IF('TMP Paste'!$F329="","",IF('TMP Paste'!$P329="",$AO328,'TMP Paste'!$P329))</f>
        <v/>
      </c>
      <c r="AP329" t="str">
        <f t="shared" si="35"/>
        <v/>
      </c>
      <c r="AQ329" t="str">
        <f>IF($AS329="","",TRIM(IF(COUNTIFS(Calc!$B$2:$B$1601,ROW()-1,Calc!$C$2:$C$1601,"&lt;1")&gt;0,"Ada PO tanpa Koli - cek TMP. ","")&amp;IF(OR($AU329="",$AU329&lt;=0),"Volume kosong/0 - dimensi dikosongkan. ","")&amp;IF(AND($AU329&lt;&gt;"",$AU329&gt;=1000000),"Volume &gt;= 1.000.000 cm3 (di luar aturan) - dimensi dikosongkan. ","")&amp;IF(LEN($R329)&gt;500,"R &gt; 500 karakter.","")))</f>
        <v/>
      </c>
      <c r="AS329" t="str">
        <f>IFERROR(MATCH(ROW()-1,Calc!$J$2:$J$1601,0),"")</f>
        <v/>
      </c>
      <c r="AT329" t="str">
        <f>IFERROR(MATCH(ROW()-1,Calc!$K$2:$K$1601,0),"")</f>
        <v/>
      </c>
      <c r="AU329" t="str">
        <f>IF($AS329="","",IFERROR(INDEX('TMP Paste'!$D$2:$D$1601,$AS329)*1000000/$AB329,""))</f>
        <v/>
      </c>
    </row>
    <row r="330" spans="1:47">
      <c r="A330" t="str">
        <f>IF($AS330="","",INDEX('TMP Paste'!$B$2:$B$1601,$AS330))</f>
        <v/>
      </c>
      <c r="B330" t="str">
        <f>IF($AS330="","",Config!$B$14)</f>
        <v/>
      </c>
      <c r="C330" t="str">
        <f>IF($AS330="","",Config!$B$15)</f>
        <v/>
      </c>
      <c r="D330" t="str">
        <f>IF($AS330="","",INDEX('TMP Paste'!$B$2:$B$1601,$AS330))</f>
        <v/>
      </c>
      <c r="E330" t="str">
        <f>IF($AS330="","",Config!$B$27)</f>
        <v/>
      </c>
      <c r="F330" t="str">
        <f>IF($AS330="","",Config!$B$9)</f>
        <v/>
      </c>
      <c r="G330" t="str">
        <f>IF($AS330="","",Config!$B$10)</f>
        <v/>
      </c>
      <c r="H330" t="str">
        <f>IF($AS330="","",Config!$B$11)</f>
        <v/>
      </c>
      <c r="I330" t="str">
        <f>IF($AS330="","",Config!$B$16)</f>
        <v/>
      </c>
      <c r="J330" t="str">
        <f>IF($AS330="","",INDEX('TMP Paste'!$A$2:$A$1601,$AS330))</f>
        <v/>
      </c>
      <c r="K330" t="str">
        <f>IF($AS330="","",INDEX('TMP Paste'!$L$2:$L$1601,$AS330))</f>
        <v/>
      </c>
      <c r="L330" t="str">
        <f>IF($AS330="","",INDEX('TMP Paste'!$I$2:$I$1601,$AS330))</f>
        <v/>
      </c>
      <c r="M330" t="str">
        <f>IF($AS330="","",Config!$B$16)</f>
        <v/>
      </c>
      <c r="N330" t="str">
        <f t="shared" si="30"/>
        <v/>
      </c>
      <c r="O330" t="str">
        <f>IF($AS330="","",INDEX('TMP Paste'!$K$2:$K$1601,$AS330))</f>
        <v/>
      </c>
      <c r="P330" t="str">
        <f t="shared" si="31"/>
        <v/>
      </c>
      <c r="Q330" t="str">
        <f>IF($AS330="","",INDEX('TMP Paste'!$J$2:$J$1601,$AS330))</f>
        <v/>
      </c>
      <c r="R330" t="str">
        <f>IF($AS330="","",Config!$B$24)</f>
        <v/>
      </c>
      <c r="S330" t="str">
        <f ca="1">IF($AS330="","",TEXT(Config!$B$4,"yyyy-mm-dd"))</f>
        <v/>
      </c>
      <c r="T330" t="str">
        <f>IF($AS330="","",Config!$B$17)</f>
        <v/>
      </c>
      <c r="U330" t="str">
        <f>IF($AS330="","",Config!$B$18)</f>
        <v/>
      </c>
      <c r="V330" t="str">
        <f>IF($AS330="","",Config!$B$19)</f>
        <v/>
      </c>
      <c r="W330" t="str">
        <f>IF($AS330="","",INDEX('TMP Paste'!$C$2:$C$1601,$AS330))</f>
        <v/>
      </c>
      <c r="X330" t="str">
        <f>IF($AS330="","",Config!$B$29)</f>
        <v/>
      </c>
      <c r="Y330" t="str">
        <f>IF($AT330="","",INDEX(Calc!$I$2:$I$1601,$AT330)&amp;" - "&amp;INDEX(Calc!$D$2:$D$1601,$AT330)&amp;" koli")</f>
        <v/>
      </c>
      <c r="Z330" t="str">
        <f>IF($AS330="","",Config!$B$21)</f>
        <v/>
      </c>
      <c r="AA330" t="str">
        <f>IF($AS330="","",Config!$B$22)</f>
        <v/>
      </c>
      <c r="AB330" t="str">
        <f>IF($AT330="","",INDEX(Calc!$D$2:$D$1601,$AT330))</f>
        <v/>
      </c>
      <c r="AC330" t="str">
        <f>IF($AT330="","",INDEX(Calc!$G$2:$G$1601,$AT330))</f>
        <v/>
      </c>
      <c r="AD330" t="str">
        <f>IF($AS330="","",Config!$B$23)</f>
        <v/>
      </c>
      <c r="AE330" t="str">
        <f>IF($AS330="","",Config!$B$28)</f>
        <v/>
      </c>
      <c r="AF330" t="str">
        <f t="shared" si="32"/>
        <v/>
      </c>
      <c r="AG330" t="str">
        <f t="shared" si="33"/>
        <v/>
      </c>
      <c r="AH330" t="str">
        <f t="shared" si="34"/>
        <v/>
      </c>
      <c r="AI330" t="str">
        <f>IF($AG330="","",SUMIF($AG$2:$AG330,$AG330,$AH$2:$AH330))</f>
        <v/>
      </c>
      <c r="AJ330" t="str">
        <f>IF('TMP Paste'!$F330="","",IF('TMP Paste'!$B330="",$AJ329,'TMP Paste'!$B330))</f>
        <v/>
      </c>
      <c r="AK330" t="str">
        <f>IF('TMP Paste'!$F330="","",N('TMP Paste'!$G330))</f>
        <v/>
      </c>
      <c r="AL330" t="str">
        <f>IF('TMP Paste'!$F330="","",IF('TMP Paste'!$M330="",$AL329,'TMP Paste'!$M330))</f>
        <v/>
      </c>
      <c r="AM330" t="str">
        <f>IF('TMP Paste'!$F330="","",IF('TMP Paste'!$N330="",$AM329,'TMP Paste'!$N330))</f>
        <v/>
      </c>
      <c r="AN330" t="str">
        <f>IF('TMP Paste'!$F330="","",IF('TMP Paste'!$O330="",$AN329,'TMP Paste'!$O330))</f>
        <v/>
      </c>
      <c r="AO330" t="str">
        <f>IF('TMP Paste'!$F330="","",IF('TMP Paste'!$P330="",$AO329,'TMP Paste'!$P330))</f>
        <v/>
      </c>
      <c r="AP330" t="str">
        <f t="shared" si="35"/>
        <v/>
      </c>
      <c r="AQ330" t="str">
        <f>IF($AS330="","",TRIM(IF(COUNTIFS(Calc!$B$2:$B$1601,ROW()-1,Calc!$C$2:$C$1601,"&lt;1")&gt;0,"Ada PO tanpa Koli - cek TMP. ","")&amp;IF(OR($AU330="",$AU330&lt;=0),"Volume kosong/0 - dimensi dikosongkan. ","")&amp;IF(AND($AU330&lt;&gt;"",$AU330&gt;=1000000),"Volume &gt;= 1.000.000 cm3 (di luar aturan) - dimensi dikosongkan. ","")&amp;IF(LEN($R330)&gt;500,"R &gt; 500 karakter.","")))</f>
        <v/>
      </c>
      <c r="AS330" t="str">
        <f>IFERROR(MATCH(ROW()-1,Calc!$J$2:$J$1601,0),"")</f>
        <v/>
      </c>
      <c r="AT330" t="str">
        <f>IFERROR(MATCH(ROW()-1,Calc!$K$2:$K$1601,0),"")</f>
        <v/>
      </c>
      <c r="AU330" t="str">
        <f>IF($AS330="","",IFERROR(INDEX('TMP Paste'!$D$2:$D$1601,$AS330)*1000000/$AB330,""))</f>
        <v/>
      </c>
    </row>
    <row r="331" spans="1:47">
      <c r="A331" t="str">
        <f>IF($AS331="","",INDEX('TMP Paste'!$B$2:$B$1601,$AS331))</f>
        <v/>
      </c>
      <c r="B331" t="str">
        <f>IF($AS331="","",Config!$B$14)</f>
        <v/>
      </c>
      <c r="C331" t="str">
        <f>IF($AS331="","",Config!$B$15)</f>
        <v/>
      </c>
      <c r="D331" t="str">
        <f>IF($AS331="","",INDEX('TMP Paste'!$B$2:$B$1601,$AS331))</f>
        <v/>
      </c>
      <c r="E331" t="str">
        <f>IF($AS331="","",Config!$B$27)</f>
        <v/>
      </c>
      <c r="F331" t="str">
        <f>IF($AS331="","",Config!$B$9)</f>
        <v/>
      </c>
      <c r="G331" t="str">
        <f>IF($AS331="","",Config!$B$10)</f>
        <v/>
      </c>
      <c r="H331" t="str">
        <f>IF($AS331="","",Config!$B$11)</f>
        <v/>
      </c>
      <c r="I331" t="str">
        <f>IF($AS331="","",Config!$B$16)</f>
        <v/>
      </c>
      <c r="J331" t="str">
        <f>IF($AS331="","",INDEX('TMP Paste'!$A$2:$A$1601,$AS331))</f>
        <v/>
      </c>
      <c r="K331" t="str">
        <f>IF($AS331="","",INDEX('TMP Paste'!$L$2:$L$1601,$AS331))</f>
        <v/>
      </c>
      <c r="L331" t="str">
        <f>IF($AS331="","",INDEX('TMP Paste'!$I$2:$I$1601,$AS331))</f>
        <v/>
      </c>
      <c r="M331" t="str">
        <f>IF($AS331="","",Config!$B$16)</f>
        <v/>
      </c>
      <c r="N331" t="str">
        <f t="shared" si="30"/>
        <v/>
      </c>
      <c r="O331" t="str">
        <f>IF($AS331="","",INDEX('TMP Paste'!$K$2:$K$1601,$AS331))</f>
        <v/>
      </c>
      <c r="P331" t="str">
        <f t="shared" si="31"/>
        <v/>
      </c>
      <c r="Q331" t="str">
        <f>IF($AS331="","",INDEX('TMP Paste'!$J$2:$J$1601,$AS331))</f>
        <v/>
      </c>
      <c r="R331" t="str">
        <f>IF($AS331="","",Config!$B$24)</f>
        <v/>
      </c>
      <c r="S331" t="str">
        <f ca="1">IF($AS331="","",TEXT(Config!$B$4,"yyyy-mm-dd"))</f>
        <v/>
      </c>
      <c r="T331" t="str">
        <f>IF($AS331="","",Config!$B$17)</f>
        <v/>
      </c>
      <c r="U331" t="str">
        <f>IF($AS331="","",Config!$B$18)</f>
        <v/>
      </c>
      <c r="V331" t="str">
        <f>IF($AS331="","",Config!$B$19)</f>
        <v/>
      </c>
      <c r="W331" t="str">
        <f>IF($AS331="","",INDEX('TMP Paste'!$C$2:$C$1601,$AS331))</f>
        <v/>
      </c>
      <c r="X331" t="str">
        <f>IF($AS331="","",Config!$B$29)</f>
        <v/>
      </c>
      <c r="Y331" t="str">
        <f>IF($AT331="","",INDEX(Calc!$I$2:$I$1601,$AT331)&amp;" - "&amp;INDEX(Calc!$D$2:$D$1601,$AT331)&amp;" koli")</f>
        <v/>
      </c>
      <c r="Z331" t="str">
        <f>IF($AS331="","",Config!$B$21)</f>
        <v/>
      </c>
      <c r="AA331" t="str">
        <f>IF($AS331="","",Config!$B$22)</f>
        <v/>
      </c>
      <c r="AB331" t="str">
        <f>IF($AT331="","",INDEX(Calc!$D$2:$D$1601,$AT331))</f>
        <v/>
      </c>
      <c r="AC331" t="str">
        <f>IF($AT331="","",INDEX(Calc!$G$2:$G$1601,$AT331))</f>
        <v/>
      </c>
      <c r="AD331" t="str">
        <f>IF($AS331="","",Config!$B$23)</f>
        <v/>
      </c>
      <c r="AE331" t="str">
        <f>IF($AS331="","",Config!$B$28)</f>
        <v/>
      </c>
      <c r="AF331" t="str">
        <f t="shared" si="32"/>
        <v/>
      </c>
      <c r="AG331" t="str">
        <f t="shared" si="33"/>
        <v/>
      </c>
      <c r="AH331" t="str">
        <f t="shared" si="34"/>
        <v/>
      </c>
      <c r="AI331" t="str">
        <f>IF($AG331="","",SUMIF($AG$2:$AG331,$AG331,$AH$2:$AH331))</f>
        <v/>
      </c>
      <c r="AJ331" t="str">
        <f>IF('TMP Paste'!$F331="","",IF('TMP Paste'!$B331="",$AJ330,'TMP Paste'!$B331))</f>
        <v/>
      </c>
      <c r="AK331" t="str">
        <f>IF('TMP Paste'!$F331="","",N('TMP Paste'!$G331))</f>
        <v/>
      </c>
      <c r="AL331" t="str">
        <f>IF('TMP Paste'!$F331="","",IF('TMP Paste'!$M331="",$AL330,'TMP Paste'!$M331))</f>
        <v/>
      </c>
      <c r="AM331" t="str">
        <f>IF('TMP Paste'!$F331="","",IF('TMP Paste'!$N331="",$AM330,'TMP Paste'!$N331))</f>
        <v/>
      </c>
      <c r="AN331" t="str">
        <f>IF('TMP Paste'!$F331="","",IF('TMP Paste'!$O331="",$AN330,'TMP Paste'!$O331))</f>
        <v/>
      </c>
      <c r="AO331" t="str">
        <f>IF('TMP Paste'!$F331="","",IF('TMP Paste'!$P331="",$AO330,'TMP Paste'!$P331))</f>
        <v/>
      </c>
      <c r="AP331" t="str">
        <f t="shared" si="35"/>
        <v/>
      </c>
      <c r="AQ331" t="str">
        <f>IF($AS331="","",TRIM(IF(COUNTIFS(Calc!$B$2:$B$1601,ROW()-1,Calc!$C$2:$C$1601,"&lt;1")&gt;0,"Ada PO tanpa Koli - cek TMP. ","")&amp;IF(OR($AU331="",$AU331&lt;=0),"Volume kosong/0 - dimensi dikosongkan. ","")&amp;IF(AND($AU331&lt;&gt;"",$AU331&gt;=1000000),"Volume &gt;= 1.000.000 cm3 (di luar aturan) - dimensi dikosongkan. ","")&amp;IF(LEN($R331)&gt;500,"R &gt; 500 karakter.","")))</f>
        <v/>
      </c>
      <c r="AS331" t="str">
        <f>IFERROR(MATCH(ROW()-1,Calc!$J$2:$J$1601,0),"")</f>
        <v/>
      </c>
      <c r="AT331" t="str">
        <f>IFERROR(MATCH(ROW()-1,Calc!$K$2:$K$1601,0),"")</f>
        <v/>
      </c>
      <c r="AU331" t="str">
        <f>IF($AS331="","",IFERROR(INDEX('TMP Paste'!$D$2:$D$1601,$AS331)*1000000/$AB331,""))</f>
        <v/>
      </c>
    </row>
    <row r="332" spans="1:47">
      <c r="A332" t="str">
        <f>IF($AS332="","",INDEX('TMP Paste'!$B$2:$B$1601,$AS332))</f>
        <v/>
      </c>
      <c r="B332" t="str">
        <f>IF($AS332="","",Config!$B$14)</f>
        <v/>
      </c>
      <c r="C332" t="str">
        <f>IF($AS332="","",Config!$B$15)</f>
        <v/>
      </c>
      <c r="D332" t="str">
        <f>IF($AS332="","",INDEX('TMP Paste'!$B$2:$B$1601,$AS332))</f>
        <v/>
      </c>
      <c r="E332" t="str">
        <f>IF($AS332="","",Config!$B$27)</f>
        <v/>
      </c>
      <c r="F332" t="str">
        <f>IF($AS332="","",Config!$B$9)</f>
        <v/>
      </c>
      <c r="G332" t="str">
        <f>IF($AS332="","",Config!$B$10)</f>
        <v/>
      </c>
      <c r="H332" t="str">
        <f>IF($AS332="","",Config!$B$11)</f>
        <v/>
      </c>
      <c r="I332" t="str">
        <f>IF($AS332="","",Config!$B$16)</f>
        <v/>
      </c>
      <c r="J332" t="str">
        <f>IF($AS332="","",INDEX('TMP Paste'!$A$2:$A$1601,$AS332))</f>
        <v/>
      </c>
      <c r="K332" t="str">
        <f>IF($AS332="","",INDEX('TMP Paste'!$L$2:$L$1601,$AS332))</f>
        <v/>
      </c>
      <c r="L332" t="str">
        <f>IF($AS332="","",INDEX('TMP Paste'!$I$2:$I$1601,$AS332))</f>
        <v/>
      </c>
      <c r="M332" t="str">
        <f>IF($AS332="","",Config!$B$16)</f>
        <v/>
      </c>
      <c r="N332" t="str">
        <f t="shared" si="30"/>
        <v/>
      </c>
      <c r="O332" t="str">
        <f>IF($AS332="","",INDEX('TMP Paste'!$K$2:$K$1601,$AS332))</f>
        <v/>
      </c>
      <c r="P332" t="str">
        <f t="shared" si="31"/>
        <v/>
      </c>
      <c r="Q332" t="str">
        <f>IF($AS332="","",INDEX('TMP Paste'!$J$2:$J$1601,$AS332))</f>
        <v/>
      </c>
      <c r="R332" t="str">
        <f>IF($AS332="","",Config!$B$24)</f>
        <v/>
      </c>
      <c r="S332" t="str">
        <f ca="1">IF($AS332="","",TEXT(Config!$B$4,"yyyy-mm-dd"))</f>
        <v/>
      </c>
      <c r="T332" t="str">
        <f>IF($AS332="","",Config!$B$17)</f>
        <v/>
      </c>
      <c r="U332" t="str">
        <f>IF($AS332="","",Config!$B$18)</f>
        <v/>
      </c>
      <c r="V332" t="str">
        <f>IF($AS332="","",Config!$B$19)</f>
        <v/>
      </c>
      <c r="W332" t="str">
        <f>IF($AS332="","",INDEX('TMP Paste'!$C$2:$C$1601,$AS332))</f>
        <v/>
      </c>
      <c r="X332" t="str">
        <f>IF($AS332="","",Config!$B$29)</f>
        <v/>
      </c>
      <c r="Y332" t="str">
        <f>IF($AT332="","",INDEX(Calc!$I$2:$I$1601,$AT332)&amp;" - "&amp;INDEX(Calc!$D$2:$D$1601,$AT332)&amp;" koli")</f>
        <v/>
      </c>
      <c r="Z332" t="str">
        <f>IF($AS332="","",Config!$B$21)</f>
        <v/>
      </c>
      <c r="AA332" t="str">
        <f>IF($AS332="","",Config!$B$22)</f>
        <v/>
      </c>
      <c r="AB332" t="str">
        <f>IF($AT332="","",INDEX(Calc!$D$2:$D$1601,$AT332))</f>
        <v/>
      </c>
      <c r="AC332" t="str">
        <f>IF($AT332="","",INDEX(Calc!$G$2:$G$1601,$AT332))</f>
        <v/>
      </c>
      <c r="AD332" t="str">
        <f>IF($AS332="","",Config!$B$23)</f>
        <v/>
      </c>
      <c r="AE332" t="str">
        <f>IF($AS332="","",Config!$B$28)</f>
        <v/>
      </c>
      <c r="AF332" t="str">
        <f t="shared" si="32"/>
        <v/>
      </c>
      <c r="AG332" t="str">
        <f t="shared" si="33"/>
        <v/>
      </c>
      <c r="AH332" t="str">
        <f t="shared" si="34"/>
        <v/>
      </c>
      <c r="AI332" t="str">
        <f>IF($AG332="","",SUMIF($AG$2:$AG332,$AG332,$AH$2:$AH332))</f>
        <v/>
      </c>
      <c r="AJ332" t="str">
        <f>IF('TMP Paste'!$F332="","",IF('TMP Paste'!$B332="",$AJ331,'TMP Paste'!$B332))</f>
        <v/>
      </c>
      <c r="AK332" t="str">
        <f>IF('TMP Paste'!$F332="","",N('TMP Paste'!$G332))</f>
        <v/>
      </c>
      <c r="AL332" t="str">
        <f>IF('TMP Paste'!$F332="","",IF('TMP Paste'!$M332="",$AL331,'TMP Paste'!$M332))</f>
        <v/>
      </c>
      <c r="AM332" t="str">
        <f>IF('TMP Paste'!$F332="","",IF('TMP Paste'!$N332="",$AM331,'TMP Paste'!$N332))</f>
        <v/>
      </c>
      <c r="AN332" t="str">
        <f>IF('TMP Paste'!$F332="","",IF('TMP Paste'!$O332="",$AN331,'TMP Paste'!$O332))</f>
        <v/>
      </c>
      <c r="AO332" t="str">
        <f>IF('TMP Paste'!$F332="","",IF('TMP Paste'!$P332="",$AO331,'TMP Paste'!$P332))</f>
        <v/>
      </c>
      <c r="AP332" t="str">
        <f t="shared" si="35"/>
        <v/>
      </c>
      <c r="AQ332" t="str">
        <f>IF($AS332="","",TRIM(IF(COUNTIFS(Calc!$B$2:$B$1601,ROW()-1,Calc!$C$2:$C$1601,"&lt;1")&gt;0,"Ada PO tanpa Koli - cek TMP. ","")&amp;IF(OR($AU332="",$AU332&lt;=0),"Volume kosong/0 - dimensi dikosongkan. ","")&amp;IF(AND($AU332&lt;&gt;"",$AU332&gt;=1000000),"Volume &gt;= 1.000.000 cm3 (di luar aturan) - dimensi dikosongkan. ","")&amp;IF(LEN($R332)&gt;500,"R &gt; 500 karakter.","")))</f>
        <v/>
      </c>
      <c r="AS332" t="str">
        <f>IFERROR(MATCH(ROW()-1,Calc!$J$2:$J$1601,0),"")</f>
        <v/>
      </c>
      <c r="AT332" t="str">
        <f>IFERROR(MATCH(ROW()-1,Calc!$K$2:$K$1601,0),"")</f>
        <v/>
      </c>
      <c r="AU332" t="str">
        <f>IF($AS332="","",IFERROR(INDEX('TMP Paste'!$D$2:$D$1601,$AS332)*1000000/$AB332,""))</f>
        <v/>
      </c>
    </row>
    <row r="333" spans="1:47">
      <c r="A333" t="str">
        <f>IF($AS333="","",INDEX('TMP Paste'!$B$2:$B$1601,$AS333))</f>
        <v/>
      </c>
      <c r="B333" t="str">
        <f>IF($AS333="","",Config!$B$14)</f>
        <v/>
      </c>
      <c r="C333" t="str">
        <f>IF($AS333="","",Config!$B$15)</f>
        <v/>
      </c>
      <c r="D333" t="str">
        <f>IF($AS333="","",INDEX('TMP Paste'!$B$2:$B$1601,$AS333))</f>
        <v/>
      </c>
      <c r="E333" t="str">
        <f>IF($AS333="","",Config!$B$27)</f>
        <v/>
      </c>
      <c r="F333" t="str">
        <f>IF($AS333="","",Config!$B$9)</f>
        <v/>
      </c>
      <c r="G333" t="str">
        <f>IF($AS333="","",Config!$B$10)</f>
        <v/>
      </c>
      <c r="H333" t="str">
        <f>IF($AS333="","",Config!$B$11)</f>
        <v/>
      </c>
      <c r="I333" t="str">
        <f>IF($AS333="","",Config!$B$16)</f>
        <v/>
      </c>
      <c r="J333" t="str">
        <f>IF($AS333="","",INDEX('TMP Paste'!$A$2:$A$1601,$AS333))</f>
        <v/>
      </c>
      <c r="K333" t="str">
        <f>IF($AS333="","",INDEX('TMP Paste'!$L$2:$L$1601,$AS333))</f>
        <v/>
      </c>
      <c r="L333" t="str">
        <f>IF($AS333="","",INDEX('TMP Paste'!$I$2:$I$1601,$AS333))</f>
        <v/>
      </c>
      <c r="M333" t="str">
        <f>IF($AS333="","",Config!$B$16)</f>
        <v/>
      </c>
      <c r="N333" t="str">
        <f t="shared" si="30"/>
        <v/>
      </c>
      <c r="O333" t="str">
        <f>IF($AS333="","",INDEX('TMP Paste'!$K$2:$K$1601,$AS333))</f>
        <v/>
      </c>
      <c r="P333" t="str">
        <f t="shared" si="31"/>
        <v/>
      </c>
      <c r="Q333" t="str">
        <f>IF($AS333="","",INDEX('TMP Paste'!$J$2:$J$1601,$AS333))</f>
        <v/>
      </c>
      <c r="R333" t="str">
        <f>IF($AS333="","",Config!$B$24)</f>
        <v/>
      </c>
      <c r="S333" t="str">
        <f ca="1">IF($AS333="","",TEXT(Config!$B$4,"yyyy-mm-dd"))</f>
        <v/>
      </c>
      <c r="T333" t="str">
        <f>IF($AS333="","",Config!$B$17)</f>
        <v/>
      </c>
      <c r="U333" t="str">
        <f>IF($AS333="","",Config!$B$18)</f>
        <v/>
      </c>
      <c r="V333" t="str">
        <f>IF($AS333="","",Config!$B$19)</f>
        <v/>
      </c>
      <c r="W333" t="str">
        <f>IF($AS333="","",INDEX('TMP Paste'!$C$2:$C$1601,$AS333))</f>
        <v/>
      </c>
      <c r="X333" t="str">
        <f>IF($AS333="","",Config!$B$29)</f>
        <v/>
      </c>
      <c r="Y333" t="str">
        <f>IF($AT333="","",INDEX(Calc!$I$2:$I$1601,$AT333)&amp;" - "&amp;INDEX(Calc!$D$2:$D$1601,$AT333)&amp;" koli")</f>
        <v/>
      </c>
      <c r="Z333" t="str">
        <f>IF($AS333="","",Config!$B$21)</f>
        <v/>
      </c>
      <c r="AA333" t="str">
        <f>IF($AS333="","",Config!$B$22)</f>
        <v/>
      </c>
      <c r="AB333" t="str">
        <f>IF($AT333="","",INDEX(Calc!$D$2:$D$1601,$AT333))</f>
        <v/>
      </c>
      <c r="AC333" t="str">
        <f>IF($AT333="","",INDEX(Calc!$G$2:$G$1601,$AT333))</f>
        <v/>
      </c>
      <c r="AD333" t="str">
        <f>IF($AS333="","",Config!$B$23)</f>
        <v/>
      </c>
      <c r="AE333" t="str">
        <f>IF($AS333="","",Config!$B$28)</f>
        <v/>
      </c>
      <c r="AF333" t="str">
        <f t="shared" si="32"/>
        <v/>
      </c>
      <c r="AG333" t="str">
        <f t="shared" si="33"/>
        <v/>
      </c>
      <c r="AH333" t="str">
        <f t="shared" si="34"/>
        <v/>
      </c>
      <c r="AI333" t="str">
        <f>IF($AG333="","",SUMIF($AG$2:$AG333,$AG333,$AH$2:$AH333))</f>
        <v/>
      </c>
      <c r="AJ333" t="str">
        <f>IF('TMP Paste'!$F333="","",IF('TMP Paste'!$B333="",$AJ332,'TMP Paste'!$B333))</f>
        <v/>
      </c>
      <c r="AK333" t="str">
        <f>IF('TMP Paste'!$F333="","",N('TMP Paste'!$G333))</f>
        <v/>
      </c>
      <c r="AL333" t="str">
        <f>IF('TMP Paste'!$F333="","",IF('TMP Paste'!$M333="",$AL332,'TMP Paste'!$M333))</f>
        <v/>
      </c>
      <c r="AM333" t="str">
        <f>IF('TMP Paste'!$F333="","",IF('TMP Paste'!$N333="",$AM332,'TMP Paste'!$N333))</f>
        <v/>
      </c>
      <c r="AN333" t="str">
        <f>IF('TMP Paste'!$F333="","",IF('TMP Paste'!$O333="",$AN332,'TMP Paste'!$O333))</f>
        <v/>
      </c>
      <c r="AO333" t="str">
        <f>IF('TMP Paste'!$F333="","",IF('TMP Paste'!$P333="",$AO332,'TMP Paste'!$P333))</f>
        <v/>
      </c>
      <c r="AP333" t="str">
        <f t="shared" si="35"/>
        <v/>
      </c>
      <c r="AQ333" t="str">
        <f>IF($AS333="","",TRIM(IF(COUNTIFS(Calc!$B$2:$B$1601,ROW()-1,Calc!$C$2:$C$1601,"&lt;1")&gt;0,"Ada PO tanpa Koli - cek TMP. ","")&amp;IF(OR($AU333="",$AU333&lt;=0),"Volume kosong/0 - dimensi dikosongkan. ","")&amp;IF(AND($AU333&lt;&gt;"",$AU333&gt;=1000000),"Volume &gt;= 1.000.000 cm3 (di luar aturan) - dimensi dikosongkan. ","")&amp;IF(LEN($R333)&gt;500,"R &gt; 500 karakter.","")))</f>
        <v/>
      </c>
      <c r="AS333" t="str">
        <f>IFERROR(MATCH(ROW()-1,Calc!$J$2:$J$1601,0),"")</f>
        <v/>
      </c>
      <c r="AT333" t="str">
        <f>IFERROR(MATCH(ROW()-1,Calc!$K$2:$K$1601,0),"")</f>
        <v/>
      </c>
      <c r="AU333" t="str">
        <f>IF($AS333="","",IFERROR(INDEX('TMP Paste'!$D$2:$D$1601,$AS333)*1000000/$AB333,""))</f>
        <v/>
      </c>
    </row>
    <row r="334" spans="1:47">
      <c r="A334" t="str">
        <f>IF($AS334="","",INDEX('TMP Paste'!$B$2:$B$1601,$AS334))</f>
        <v/>
      </c>
      <c r="B334" t="str">
        <f>IF($AS334="","",Config!$B$14)</f>
        <v/>
      </c>
      <c r="C334" t="str">
        <f>IF($AS334="","",Config!$B$15)</f>
        <v/>
      </c>
      <c r="D334" t="str">
        <f>IF($AS334="","",INDEX('TMP Paste'!$B$2:$B$1601,$AS334))</f>
        <v/>
      </c>
      <c r="E334" t="str">
        <f>IF($AS334="","",Config!$B$27)</f>
        <v/>
      </c>
      <c r="F334" t="str">
        <f>IF($AS334="","",Config!$B$9)</f>
        <v/>
      </c>
      <c r="G334" t="str">
        <f>IF($AS334="","",Config!$B$10)</f>
        <v/>
      </c>
      <c r="H334" t="str">
        <f>IF($AS334="","",Config!$B$11)</f>
        <v/>
      </c>
      <c r="I334" t="str">
        <f>IF($AS334="","",Config!$B$16)</f>
        <v/>
      </c>
      <c r="J334" t="str">
        <f>IF($AS334="","",INDEX('TMP Paste'!$A$2:$A$1601,$AS334))</f>
        <v/>
      </c>
      <c r="K334" t="str">
        <f>IF($AS334="","",INDEX('TMP Paste'!$L$2:$L$1601,$AS334))</f>
        <v/>
      </c>
      <c r="L334" t="str">
        <f>IF($AS334="","",INDEX('TMP Paste'!$I$2:$I$1601,$AS334))</f>
        <v/>
      </c>
      <c r="M334" t="str">
        <f>IF($AS334="","",Config!$B$16)</f>
        <v/>
      </c>
      <c r="N334" t="str">
        <f t="shared" si="30"/>
        <v/>
      </c>
      <c r="O334" t="str">
        <f>IF($AS334="","",INDEX('TMP Paste'!$K$2:$K$1601,$AS334))</f>
        <v/>
      </c>
      <c r="P334" t="str">
        <f t="shared" si="31"/>
        <v/>
      </c>
      <c r="Q334" t="str">
        <f>IF($AS334="","",INDEX('TMP Paste'!$J$2:$J$1601,$AS334))</f>
        <v/>
      </c>
      <c r="R334" t="str">
        <f>IF($AS334="","",Config!$B$24)</f>
        <v/>
      </c>
      <c r="S334" t="str">
        <f ca="1">IF($AS334="","",TEXT(Config!$B$4,"yyyy-mm-dd"))</f>
        <v/>
      </c>
      <c r="T334" t="str">
        <f>IF($AS334="","",Config!$B$17)</f>
        <v/>
      </c>
      <c r="U334" t="str">
        <f>IF($AS334="","",Config!$B$18)</f>
        <v/>
      </c>
      <c r="V334" t="str">
        <f>IF($AS334="","",Config!$B$19)</f>
        <v/>
      </c>
      <c r="W334" t="str">
        <f>IF($AS334="","",INDEX('TMP Paste'!$C$2:$C$1601,$AS334))</f>
        <v/>
      </c>
      <c r="X334" t="str">
        <f>IF($AS334="","",Config!$B$29)</f>
        <v/>
      </c>
      <c r="Y334" t="str">
        <f>IF($AT334="","",INDEX(Calc!$I$2:$I$1601,$AT334)&amp;" - "&amp;INDEX(Calc!$D$2:$D$1601,$AT334)&amp;" koli")</f>
        <v/>
      </c>
      <c r="Z334" t="str">
        <f>IF($AS334="","",Config!$B$21)</f>
        <v/>
      </c>
      <c r="AA334" t="str">
        <f>IF($AS334="","",Config!$B$22)</f>
        <v/>
      </c>
      <c r="AB334" t="str">
        <f>IF($AT334="","",INDEX(Calc!$D$2:$D$1601,$AT334))</f>
        <v/>
      </c>
      <c r="AC334" t="str">
        <f>IF($AT334="","",INDEX(Calc!$G$2:$G$1601,$AT334))</f>
        <v/>
      </c>
      <c r="AD334" t="str">
        <f>IF($AS334="","",Config!$B$23)</f>
        <v/>
      </c>
      <c r="AE334" t="str">
        <f>IF($AS334="","",Config!$B$28)</f>
        <v/>
      </c>
      <c r="AF334" t="str">
        <f t="shared" si="32"/>
        <v/>
      </c>
      <c r="AG334" t="str">
        <f t="shared" si="33"/>
        <v/>
      </c>
      <c r="AH334" t="str">
        <f t="shared" si="34"/>
        <v/>
      </c>
      <c r="AI334" t="str">
        <f>IF($AG334="","",SUMIF($AG$2:$AG334,$AG334,$AH$2:$AH334))</f>
        <v/>
      </c>
      <c r="AJ334" t="str">
        <f>IF('TMP Paste'!$F334="","",IF('TMP Paste'!$B334="",$AJ333,'TMP Paste'!$B334))</f>
        <v/>
      </c>
      <c r="AK334" t="str">
        <f>IF('TMP Paste'!$F334="","",N('TMP Paste'!$G334))</f>
        <v/>
      </c>
      <c r="AL334" t="str">
        <f>IF('TMP Paste'!$F334="","",IF('TMP Paste'!$M334="",$AL333,'TMP Paste'!$M334))</f>
        <v/>
      </c>
      <c r="AM334" t="str">
        <f>IF('TMP Paste'!$F334="","",IF('TMP Paste'!$N334="",$AM333,'TMP Paste'!$N334))</f>
        <v/>
      </c>
      <c r="AN334" t="str">
        <f>IF('TMP Paste'!$F334="","",IF('TMP Paste'!$O334="",$AN333,'TMP Paste'!$O334))</f>
        <v/>
      </c>
      <c r="AO334" t="str">
        <f>IF('TMP Paste'!$F334="","",IF('TMP Paste'!$P334="",$AO333,'TMP Paste'!$P334))</f>
        <v/>
      </c>
      <c r="AP334" t="str">
        <f t="shared" si="35"/>
        <v/>
      </c>
      <c r="AQ334" t="str">
        <f>IF($AS334="","",TRIM(IF(COUNTIFS(Calc!$B$2:$B$1601,ROW()-1,Calc!$C$2:$C$1601,"&lt;1")&gt;0,"Ada PO tanpa Koli - cek TMP. ","")&amp;IF(OR($AU334="",$AU334&lt;=0),"Volume kosong/0 - dimensi dikosongkan. ","")&amp;IF(AND($AU334&lt;&gt;"",$AU334&gt;=1000000),"Volume &gt;= 1.000.000 cm3 (di luar aturan) - dimensi dikosongkan. ","")&amp;IF(LEN($R334)&gt;500,"R &gt; 500 karakter.","")))</f>
        <v/>
      </c>
      <c r="AS334" t="str">
        <f>IFERROR(MATCH(ROW()-1,Calc!$J$2:$J$1601,0),"")</f>
        <v/>
      </c>
      <c r="AT334" t="str">
        <f>IFERROR(MATCH(ROW()-1,Calc!$K$2:$K$1601,0),"")</f>
        <v/>
      </c>
      <c r="AU334" t="str">
        <f>IF($AS334="","",IFERROR(INDEX('TMP Paste'!$D$2:$D$1601,$AS334)*1000000/$AB334,""))</f>
        <v/>
      </c>
    </row>
    <row r="335" spans="1:47">
      <c r="A335" t="str">
        <f>IF($AS335="","",INDEX('TMP Paste'!$B$2:$B$1601,$AS335))</f>
        <v/>
      </c>
      <c r="B335" t="str">
        <f>IF($AS335="","",Config!$B$14)</f>
        <v/>
      </c>
      <c r="C335" t="str">
        <f>IF($AS335="","",Config!$B$15)</f>
        <v/>
      </c>
      <c r="D335" t="str">
        <f>IF($AS335="","",INDEX('TMP Paste'!$B$2:$B$1601,$AS335))</f>
        <v/>
      </c>
      <c r="E335" t="str">
        <f>IF($AS335="","",Config!$B$27)</f>
        <v/>
      </c>
      <c r="F335" t="str">
        <f>IF($AS335="","",Config!$B$9)</f>
        <v/>
      </c>
      <c r="G335" t="str">
        <f>IF($AS335="","",Config!$B$10)</f>
        <v/>
      </c>
      <c r="H335" t="str">
        <f>IF($AS335="","",Config!$B$11)</f>
        <v/>
      </c>
      <c r="I335" t="str">
        <f>IF($AS335="","",Config!$B$16)</f>
        <v/>
      </c>
      <c r="J335" t="str">
        <f>IF($AS335="","",INDEX('TMP Paste'!$A$2:$A$1601,$AS335))</f>
        <v/>
      </c>
      <c r="K335" t="str">
        <f>IF($AS335="","",INDEX('TMP Paste'!$L$2:$L$1601,$AS335))</f>
        <v/>
      </c>
      <c r="L335" t="str">
        <f>IF($AS335="","",INDEX('TMP Paste'!$I$2:$I$1601,$AS335))</f>
        <v/>
      </c>
      <c r="M335" t="str">
        <f>IF($AS335="","",Config!$B$16)</f>
        <v/>
      </c>
      <c r="N335" t="str">
        <f t="shared" si="30"/>
        <v/>
      </c>
      <c r="O335" t="str">
        <f>IF($AS335="","",INDEX('TMP Paste'!$K$2:$K$1601,$AS335))</f>
        <v/>
      </c>
      <c r="P335" t="str">
        <f t="shared" si="31"/>
        <v/>
      </c>
      <c r="Q335" t="str">
        <f>IF($AS335="","",INDEX('TMP Paste'!$J$2:$J$1601,$AS335))</f>
        <v/>
      </c>
      <c r="R335" t="str">
        <f>IF($AS335="","",Config!$B$24)</f>
        <v/>
      </c>
      <c r="S335" t="str">
        <f ca="1">IF($AS335="","",TEXT(Config!$B$4,"yyyy-mm-dd"))</f>
        <v/>
      </c>
      <c r="T335" t="str">
        <f>IF($AS335="","",Config!$B$17)</f>
        <v/>
      </c>
      <c r="U335" t="str">
        <f>IF($AS335="","",Config!$B$18)</f>
        <v/>
      </c>
      <c r="V335" t="str">
        <f>IF($AS335="","",Config!$B$19)</f>
        <v/>
      </c>
      <c r="W335" t="str">
        <f>IF($AS335="","",INDEX('TMP Paste'!$C$2:$C$1601,$AS335))</f>
        <v/>
      </c>
      <c r="X335" t="str">
        <f>IF($AS335="","",Config!$B$29)</f>
        <v/>
      </c>
      <c r="Y335" t="str">
        <f>IF($AT335="","",INDEX(Calc!$I$2:$I$1601,$AT335)&amp;" - "&amp;INDEX(Calc!$D$2:$D$1601,$AT335)&amp;" koli")</f>
        <v/>
      </c>
      <c r="Z335" t="str">
        <f>IF($AS335="","",Config!$B$21)</f>
        <v/>
      </c>
      <c r="AA335" t="str">
        <f>IF($AS335="","",Config!$B$22)</f>
        <v/>
      </c>
      <c r="AB335" t="str">
        <f>IF($AT335="","",INDEX(Calc!$D$2:$D$1601,$AT335))</f>
        <v/>
      </c>
      <c r="AC335" t="str">
        <f>IF($AT335="","",INDEX(Calc!$G$2:$G$1601,$AT335))</f>
        <v/>
      </c>
      <c r="AD335" t="str">
        <f>IF($AS335="","",Config!$B$23)</f>
        <v/>
      </c>
      <c r="AE335" t="str">
        <f>IF($AS335="","",Config!$B$28)</f>
        <v/>
      </c>
      <c r="AF335" t="str">
        <f t="shared" si="32"/>
        <v/>
      </c>
      <c r="AG335" t="str">
        <f t="shared" si="33"/>
        <v/>
      </c>
      <c r="AH335" t="str">
        <f t="shared" si="34"/>
        <v/>
      </c>
      <c r="AI335" t="str">
        <f>IF($AG335="","",SUMIF($AG$2:$AG335,$AG335,$AH$2:$AH335))</f>
        <v/>
      </c>
      <c r="AJ335" t="str">
        <f>IF('TMP Paste'!$F335="","",IF('TMP Paste'!$B335="",$AJ334,'TMP Paste'!$B335))</f>
        <v/>
      </c>
      <c r="AK335" t="str">
        <f>IF('TMP Paste'!$F335="","",N('TMP Paste'!$G335))</f>
        <v/>
      </c>
      <c r="AL335" t="str">
        <f>IF('TMP Paste'!$F335="","",IF('TMP Paste'!$M335="",$AL334,'TMP Paste'!$M335))</f>
        <v/>
      </c>
      <c r="AM335" t="str">
        <f>IF('TMP Paste'!$F335="","",IF('TMP Paste'!$N335="",$AM334,'TMP Paste'!$N335))</f>
        <v/>
      </c>
      <c r="AN335" t="str">
        <f>IF('TMP Paste'!$F335="","",IF('TMP Paste'!$O335="",$AN334,'TMP Paste'!$O335))</f>
        <v/>
      </c>
      <c r="AO335" t="str">
        <f>IF('TMP Paste'!$F335="","",IF('TMP Paste'!$P335="",$AO334,'TMP Paste'!$P335))</f>
        <v/>
      </c>
      <c r="AP335" t="str">
        <f t="shared" si="35"/>
        <v/>
      </c>
      <c r="AQ335" t="str">
        <f>IF($AS335="","",TRIM(IF(COUNTIFS(Calc!$B$2:$B$1601,ROW()-1,Calc!$C$2:$C$1601,"&lt;1")&gt;0,"Ada PO tanpa Koli - cek TMP. ","")&amp;IF(OR($AU335="",$AU335&lt;=0),"Volume kosong/0 - dimensi dikosongkan. ","")&amp;IF(AND($AU335&lt;&gt;"",$AU335&gt;=1000000),"Volume &gt;= 1.000.000 cm3 (di luar aturan) - dimensi dikosongkan. ","")&amp;IF(LEN($R335)&gt;500,"R &gt; 500 karakter.","")))</f>
        <v/>
      </c>
      <c r="AS335" t="str">
        <f>IFERROR(MATCH(ROW()-1,Calc!$J$2:$J$1601,0),"")</f>
        <v/>
      </c>
      <c r="AT335" t="str">
        <f>IFERROR(MATCH(ROW()-1,Calc!$K$2:$K$1601,0),"")</f>
        <v/>
      </c>
      <c r="AU335" t="str">
        <f>IF($AS335="","",IFERROR(INDEX('TMP Paste'!$D$2:$D$1601,$AS335)*1000000/$AB335,""))</f>
        <v/>
      </c>
    </row>
    <row r="336" spans="1:47">
      <c r="A336" t="str">
        <f>IF($AS336="","",INDEX('TMP Paste'!$B$2:$B$1601,$AS336))</f>
        <v/>
      </c>
      <c r="B336" t="str">
        <f>IF($AS336="","",Config!$B$14)</f>
        <v/>
      </c>
      <c r="C336" t="str">
        <f>IF($AS336="","",Config!$B$15)</f>
        <v/>
      </c>
      <c r="D336" t="str">
        <f>IF($AS336="","",INDEX('TMP Paste'!$B$2:$B$1601,$AS336))</f>
        <v/>
      </c>
      <c r="E336" t="str">
        <f>IF($AS336="","",Config!$B$27)</f>
        <v/>
      </c>
      <c r="F336" t="str">
        <f>IF($AS336="","",Config!$B$9)</f>
        <v/>
      </c>
      <c r="G336" t="str">
        <f>IF($AS336="","",Config!$B$10)</f>
        <v/>
      </c>
      <c r="H336" t="str">
        <f>IF($AS336="","",Config!$B$11)</f>
        <v/>
      </c>
      <c r="I336" t="str">
        <f>IF($AS336="","",Config!$B$16)</f>
        <v/>
      </c>
      <c r="J336" t="str">
        <f>IF($AS336="","",INDEX('TMP Paste'!$A$2:$A$1601,$AS336))</f>
        <v/>
      </c>
      <c r="K336" t="str">
        <f>IF($AS336="","",INDEX('TMP Paste'!$L$2:$L$1601,$AS336))</f>
        <v/>
      </c>
      <c r="L336" t="str">
        <f>IF($AS336="","",INDEX('TMP Paste'!$I$2:$I$1601,$AS336))</f>
        <v/>
      </c>
      <c r="M336" t="str">
        <f>IF($AS336="","",Config!$B$16)</f>
        <v/>
      </c>
      <c r="N336" t="str">
        <f t="shared" si="30"/>
        <v/>
      </c>
      <c r="O336" t="str">
        <f>IF($AS336="","",INDEX('TMP Paste'!$K$2:$K$1601,$AS336))</f>
        <v/>
      </c>
      <c r="P336" t="str">
        <f t="shared" si="31"/>
        <v/>
      </c>
      <c r="Q336" t="str">
        <f>IF($AS336="","",INDEX('TMP Paste'!$J$2:$J$1601,$AS336))</f>
        <v/>
      </c>
      <c r="R336" t="str">
        <f>IF($AS336="","",Config!$B$24)</f>
        <v/>
      </c>
      <c r="S336" t="str">
        <f ca="1">IF($AS336="","",TEXT(Config!$B$4,"yyyy-mm-dd"))</f>
        <v/>
      </c>
      <c r="T336" t="str">
        <f>IF($AS336="","",Config!$B$17)</f>
        <v/>
      </c>
      <c r="U336" t="str">
        <f>IF($AS336="","",Config!$B$18)</f>
        <v/>
      </c>
      <c r="V336" t="str">
        <f>IF($AS336="","",Config!$B$19)</f>
        <v/>
      </c>
      <c r="W336" t="str">
        <f>IF($AS336="","",INDEX('TMP Paste'!$C$2:$C$1601,$AS336))</f>
        <v/>
      </c>
      <c r="X336" t="str">
        <f>IF($AS336="","",Config!$B$29)</f>
        <v/>
      </c>
      <c r="Y336" t="str">
        <f>IF($AT336="","",INDEX(Calc!$I$2:$I$1601,$AT336)&amp;" - "&amp;INDEX(Calc!$D$2:$D$1601,$AT336)&amp;" koli")</f>
        <v/>
      </c>
      <c r="Z336" t="str">
        <f>IF($AS336="","",Config!$B$21)</f>
        <v/>
      </c>
      <c r="AA336" t="str">
        <f>IF($AS336="","",Config!$B$22)</f>
        <v/>
      </c>
      <c r="AB336" t="str">
        <f>IF($AT336="","",INDEX(Calc!$D$2:$D$1601,$AT336))</f>
        <v/>
      </c>
      <c r="AC336" t="str">
        <f>IF($AT336="","",INDEX(Calc!$G$2:$G$1601,$AT336))</f>
        <v/>
      </c>
      <c r="AD336" t="str">
        <f>IF($AS336="","",Config!$B$23)</f>
        <v/>
      </c>
      <c r="AE336" t="str">
        <f>IF($AS336="","",Config!$B$28)</f>
        <v/>
      </c>
      <c r="AF336" t="str">
        <f t="shared" si="32"/>
        <v/>
      </c>
      <c r="AG336" t="str">
        <f t="shared" si="33"/>
        <v/>
      </c>
      <c r="AH336" t="str">
        <f t="shared" si="34"/>
        <v/>
      </c>
      <c r="AI336" t="str">
        <f>IF($AG336="","",SUMIF($AG$2:$AG336,$AG336,$AH$2:$AH336))</f>
        <v/>
      </c>
      <c r="AJ336" t="str">
        <f>IF('TMP Paste'!$F336="","",IF('TMP Paste'!$B336="",$AJ335,'TMP Paste'!$B336))</f>
        <v/>
      </c>
      <c r="AK336" t="str">
        <f>IF('TMP Paste'!$F336="","",N('TMP Paste'!$G336))</f>
        <v/>
      </c>
      <c r="AL336" t="str">
        <f>IF('TMP Paste'!$F336="","",IF('TMP Paste'!$M336="",$AL335,'TMP Paste'!$M336))</f>
        <v/>
      </c>
      <c r="AM336" t="str">
        <f>IF('TMP Paste'!$F336="","",IF('TMP Paste'!$N336="",$AM335,'TMP Paste'!$N336))</f>
        <v/>
      </c>
      <c r="AN336" t="str">
        <f>IF('TMP Paste'!$F336="","",IF('TMP Paste'!$O336="",$AN335,'TMP Paste'!$O336))</f>
        <v/>
      </c>
      <c r="AO336" t="str">
        <f>IF('TMP Paste'!$F336="","",IF('TMP Paste'!$P336="",$AO335,'TMP Paste'!$P336))</f>
        <v/>
      </c>
      <c r="AP336" t="str">
        <f t="shared" si="35"/>
        <v/>
      </c>
      <c r="AQ336" t="str">
        <f>IF($AS336="","",TRIM(IF(COUNTIFS(Calc!$B$2:$B$1601,ROW()-1,Calc!$C$2:$C$1601,"&lt;1")&gt;0,"Ada PO tanpa Koli - cek TMP. ","")&amp;IF(OR($AU336="",$AU336&lt;=0),"Volume kosong/0 - dimensi dikosongkan. ","")&amp;IF(AND($AU336&lt;&gt;"",$AU336&gt;=1000000),"Volume &gt;= 1.000.000 cm3 (di luar aturan) - dimensi dikosongkan. ","")&amp;IF(LEN($R336)&gt;500,"R &gt; 500 karakter.","")))</f>
        <v/>
      </c>
      <c r="AS336" t="str">
        <f>IFERROR(MATCH(ROW()-1,Calc!$J$2:$J$1601,0),"")</f>
        <v/>
      </c>
      <c r="AT336" t="str">
        <f>IFERROR(MATCH(ROW()-1,Calc!$K$2:$K$1601,0),"")</f>
        <v/>
      </c>
      <c r="AU336" t="str">
        <f>IF($AS336="","",IFERROR(INDEX('TMP Paste'!$D$2:$D$1601,$AS336)*1000000/$AB336,""))</f>
        <v/>
      </c>
    </row>
    <row r="337" spans="1:47">
      <c r="A337" t="str">
        <f>IF($AS337="","",INDEX('TMP Paste'!$B$2:$B$1601,$AS337))</f>
        <v/>
      </c>
      <c r="B337" t="str">
        <f>IF($AS337="","",Config!$B$14)</f>
        <v/>
      </c>
      <c r="C337" t="str">
        <f>IF($AS337="","",Config!$B$15)</f>
        <v/>
      </c>
      <c r="D337" t="str">
        <f>IF($AS337="","",INDEX('TMP Paste'!$B$2:$B$1601,$AS337))</f>
        <v/>
      </c>
      <c r="E337" t="str">
        <f>IF($AS337="","",Config!$B$27)</f>
        <v/>
      </c>
      <c r="F337" t="str">
        <f>IF($AS337="","",Config!$B$9)</f>
        <v/>
      </c>
      <c r="G337" t="str">
        <f>IF($AS337="","",Config!$B$10)</f>
        <v/>
      </c>
      <c r="H337" t="str">
        <f>IF($AS337="","",Config!$B$11)</f>
        <v/>
      </c>
      <c r="I337" t="str">
        <f>IF($AS337="","",Config!$B$16)</f>
        <v/>
      </c>
      <c r="J337" t="str">
        <f>IF($AS337="","",INDEX('TMP Paste'!$A$2:$A$1601,$AS337))</f>
        <v/>
      </c>
      <c r="K337" t="str">
        <f>IF($AS337="","",INDEX('TMP Paste'!$L$2:$L$1601,$AS337))</f>
        <v/>
      </c>
      <c r="L337" t="str">
        <f>IF($AS337="","",INDEX('TMP Paste'!$I$2:$I$1601,$AS337))</f>
        <v/>
      </c>
      <c r="M337" t="str">
        <f>IF($AS337="","",Config!$B$16)</f>
        <v/>
      </c>
      <c r="N337" t="str">
        <f t="shared" si="30"/>
        <v/>
      </c>
      <c r="O337" t="str">
        <f>IF($AS337="","",INDEX('TMP Paste'!$K$2:$K$1601,$AS337))</f>
        <v/>
      </c>
      <c r="P337" t="str">
        <f t="shared" si="31"/>
        <v/>
      </c>
      <c r="Q337" t="str">
        <f>IF($AS337="","",INDEX('TMP Paste'!$J$2:$J$1601,$AS337))</f>
        <v/>
      </c>
      <c r="R337" t="str">
        <f>IF($AS337="","",Config!$B$24)</f>
        <v/>
      </c>
      <c r="S337" t="str">
        <f ca="1">IF($AS337="","",TEXT(Config!$B$4,"yyyy-mm-dd"))</f>
        <v/>
      </c>
      <c r="T337" t="str">
        <f>IF($AS337="","",Config!$B$17)</f>
        <v/>
      </c>
      <c r="U337" t="str">
        <f>IF($AS337="","",Config!$B$18)</f>
        <v/>
      </c>
      <c r="V337" t="str">
        <f>IF($AS337="","",Config!$B$19)</f>
        <v/>
      </c>
      <c r="W337" t="str">
        <f>IF($AS337="","",INDEX('TMP Paste'!$C$2:$C$1601,$AS337))</f>
        <v/>
      </c>
      <c r="X337" t="str">
        <f>IF($AS337="","",Config!$B$29)</f>
        <v/>
      </c>
      <c r="Y337" t="str">
        <f>IF($AT337="","",INDEX(Calc!$I$2:$I$1601,$AT337)&amp;" - "&amp;INDEX(Calc!$D$2:$D$1601,$AT337)&amp;" koli")</f>
        <v/>
      </c>
      <c r="Z337" t="str">
        <f>IF($AS337="","",Config!$B$21)</f>
        <v/>
      </c>
      <c r="AA337" t="str">
        <f>IF($AS337="","",Config!$B$22)</f>
        <v/>
      </c>
      <c r="AB337" t="str">
        <f>IF($AT337="","",INDEX(Calc!$D$2:$D$1601,$AT337))</f>
        <v/>
      </c>
      <c r="AC337" t="str">
        <f>IF($AT337="","",INDEX(Calc!$G$2:$G$1601,$AT337))</f>
        <v/>
      </c>
      <c r="AD337" t="str">
        <f>IF($AS337="","",Config!$B$23)</f>
        <v/>
      </c>
      <c r="AE337" t="str">
        <f>IF($AS337="","",Config!$B$28)</f>
        <v/>
      </c>
      <c r="AF337" t="str">
        <f t="shared" si="32"/>
        <v/>
      </c>
      <c r="AG337" t="str">
        <f t="shared" si="33"/>
        <v/>
      </c>
      <c r="AH337" t="str">
        <f t="shared" si="34"/>
        <v/>
      </c>
      <c r="AI337" t="str">
        <f>IF($AG337="","",SUMIF($AG$2:$AG337,$AG337,$AH$2:$AH337))</f>
        <v/>
      </c>
      <c r="AJ337" t="str">
        <f>IF('TMP Paste'!$F337="","",IF('TMP Paste'!$B337="",$AJ336,'TMP Paste'!$B337))</f>
        <v/>
      </c>
      <c r="AK337" t="str">
        <f>IF('TMP Paste'!$F337="","",N('TMP Paste'!$G337))</f>
        <v/>
      </c>
      <c r="AL337" t="str">
        <f>IF('TMP Paste'!$F337="","",IF('TMP Paste'!$M337="",$AL336,'TMP Paste'!$M337))</f>
        <v/>
      </c>
      <c r="AM337" t="str">
        <f>IF('TMP Paste'!$F337="","",IF('TMP Paste'!$N337="",$AM336,'TMP Paste'!$N337))</f>
        <v/>
      </c>
      <c r="AN337" t="str">
        <f>IF('TMP Paste'!$F337="","",IF('TMP Paste'!$O337="",$AN336,'TMP Paste'!$O337))</f>
        <v/>
      </c>
      <c r="AO337" t="str">
        <f>IF('TMP Paste'!$F337="","",IF('TMP Paste'!$P337="",$AO336,'TMP Paste'!$P337))</f>
        <v/>
      </c>
      <c r="AP337" t="str">
        <f t="shared" si="35"/>
        <v/>
      </c>
      <c r="AQ337" t="str">
        <f>IF($AS337="","",TRIM(IF(COUNTIFS(Calc!$B$2:$B$1601,ROW()-1,Calc!$C$2:$C$1601,"&lt;1")&gt;0,"Ada PO tanpa Koli - cek TMP. ","")&amp;IF(OR($AU337="",$AU337&lt;=0),"Volume kosong/0 - dimensi dikosongkan. ","")&amp;IF(AND($AU337&lt;&gt;"",$AU337&gt;=1000000),"Volume &gt;= 1.000.000 cm3 (di luar aturan) - dimensi dikosongkan. ","")&amp;IF(LEN($R337)&gt;500,"R &gt; 500 karakter.","")))</f>
        <v/>
      </c>
      <c r="AS337" t="str">
        <f>IFERROR(MATCH(ROW()-1,Calc!$J$2:$J$1601,0),"")</f>
        <v/>
      </c>
      <c r="AT337" t="str">
        <f>IFERROR(MATCH(ROW()-1,Calc!$K$2:$K$1601,0),"")</f>
        <v/>
      </c>
      <c r="AU337" t="str">
        <f>IF($AS337="","",IFERROR(INDEX('TMP Paste'!$D$2:$D$1601,$AS337)*1000000/$AB337,""))</f>
        <v/>
      </c>
    </row>
    <row r="338" spans="1:47">
      <c r="A338" t="str">
        <f>IF($AS338="","",INDEX('TMP Paste'!$B$2:$B$1601,$AS338))</f>
        <v/>
      </c>
      <c r="B338" t="str">
        <f>IF($AS338="","",Config!$B$14)</f>
        <v/>
      </c>
      <c r="C338" t="str">
        <f>IF($AS338="","",Config!$B$15)</f>
        <v/>
      </c>
      <c r="D338" t="str">
        <f>IF($AS338="","",INDEX('TMP Paste'!$B$2:$B$1601,$AS338))</f>
        <v/>
      </c>
      <c r="E338" t="str">
        <f>IF($AS338="","",Config!$B$27)</f>
        <v/>
      </c>
      <c r="F338" t="str">
        <f>IF($AS338="","",Config!$B$9)</f>
        <v/>
      </c>
      <c r="G338" t="str">
        <f>IF($AS338="","",Config!$B$10)</f>
        <v/>
      </c>
      <c r="H338" t="str">
        <f>IF($AS338="","",Config!$B$11)</f>
        <v/>
      </c>
      <c r="I338" t="str">
        <f>IF($AS338="","",Config!$B$16)</f>
        <v/>
      </c>
      <c r="J338" t="str">
        <f>IF($AS338="","",INDEX('TMP Paste'!$A$2:$A$1601,$AS338))</f>
        <v/>
      </c>
      <c r="K338" t="str">
        <f>IF($AS338="","",INDEX('TMP Paste'!$L$2:$L$1601,$AS338))</f>
        <v/>
      </c>
      <c r="L338" t="str">
        <f>IF($AS338="","",INDEX('TMP Paste'!$I$2:$I$1601,$AS338))</f>
        <v/>
      </c>
      <c r="M338" t="str">
        <f>IF($AS338="","",Config!$B$16)</f>
        <v/>
      </c>
      <c r="N338" t="str">
        <f t="shared" si="30"/>
        <v/>
      </c>
      <c r="O338" t="str">
        <f>IF($AS338="","",INDEX('TMP Paste'!$K$2:$K$1601,$AS338))</f>
        <v/>
      </c>
      <c r="P338" t="str">
        <f t="shared" si="31"/>
        <v/>
      </c>
      <c r="Q338" t="str">
        <f>IF($AS338="","",INDEX('TMP Paste'!$J$2:$J$1601,$AS338))</f>
        <v/>
      </c>
      <c r="R338" t="str">
        <f>IF($AS338="","",Config!$B$24)</f>
        <v/>
      </c>
      <c r="S338" t="str">
        <f ca="1">IF($AS338="","",TEXT(Config!$B$4,"yyyy-mm-dd"))</f>
        <v/>
      </c>
      <c r="T338" t="str">
        <f>IF($AS338="","",Config!$B$17)</f>
        <v/>
      </c>
      <c r="U338" t="str">
        <f>IF($AS338="","",Config!$B$18)</f>
        <v/>
      </c>
      <c r="V338" t="str">
        <f>IF($AS338="","",Config!$B$19)</f>
        <v/>
      </c>
      <c r="W338" t="str">
        <f>IF($AS338="","",INDEX('TMP Paste'!$C$2:$C$1601,$AS338))</f>
        <v/>
      </c>
      <c r="X338" t="str">
        <f>IF($AS338="","",Config!$B$29)</f>
        <v/>
      </c>
      <c r="Y338" t="str">
        <f>IF($AT338="","",INDEX(Calc!$I$2:$I$1601,$AT338)&amp;" - "&amp;INDEX(Calc!$D$2:$D$1601,$AT338)&amp;" koli")</f>
        <v/>
      </c>
      <c r="Z338" t="str">
        <f>IF($AS338="","",Config!$B$21)</f>
        <v/>
      </c>
      <c r="AA338" t="str">
        <f>IF($AS338="","",Config!$B$22)</f>
        <v/>
      </c>
      <c r="AB338" t="str">
        <f>IF($AT338="","",INDEX(Calc!$D$2:$D$1601,$AT338))</f>
        <v/>
      </c>
      <c r="AC338" t="str">
        <f>IF($AT338="","",INDEX(Calc!$G$2:$G$1601,$AT338))</f>
        <v/>
      </c>
      <c r="AD338" t="str">
        <f>IF($AS338="","",Config!$B$23)</f>
        <v/>
      </c>
      <c r="AE338" t="str">
        <f>IF($AS338="","",Config!$B$28)</f>
        <v/>
      </c>
      <c r="AF338" t="str">
        <f t="shared" si="32"/>
        <v/>
      </c>
      <c r="AG338" t="str">
        <f t="shared" si="33"/>
        <v/>
      </c>
      <c r="AH338" t="str">
        <f t="shared" si="34"/>
        <v/>
      </c>
      <c r="AI338" t="str">
        <f>IF($AG338="","",SUMIF($AG$2:$AG338,$AG338,$AH$2:$AH338))</f>
        <v/>
      </c>
      <c r="AJ338" t="str">
        <f>IF('TMP Paste'!$F338="","",IF('TMP Paste'!$B338="",$AJ337,'TMP Paste'!$B338))</f>
        <v/>
      </c>
      <c r="AK338" t="str">
        <f>IF('TMP Paste'!$F338="","",N('TMP Paste'!$G338))</f>
        <v/>
      </c>
      <c r="AL338" t="str">
        <f>IF('TMP Paste'!$F338="","",IF('TMP Paste'!$M338="",$AL337,'TMP Paste'!$M338))</f>
        <v/>
      </c>
      <c r="AM338" t="str">
        <f>IF('TMP Paste'!$F338="","",IF('TMP Paste'!$N338="",$AM337,'TMP Paste'!$N338))</f>
        <v/>
      </c>
      <c r="AN338" t="str">
        <f>IF('TMP Paste'!$F338="","",IF('TMP Paste'!$O338="",$AN337,'TMP Paste'!$O338))</f>
        <v/>
      </c>
      <c r="AO338" t="str">
        <f>IF('TMP Paste'!$F338="","",IF('TMP Paste'!$P338="",$AO337,'TMP Paste'!$P338))</f>
        <v/>
      </c>
      <c r="AP338" t="str">
        <f t="shared" si="35"/>
        <v/>
      </c>
      <c r="AQ338" t="str">
        <f>IF($AS338="","",TRIM(IF(COUNTIFS(Calc!$B$2:$B$1601,ROW()-1,Calc!$C$2:$C$1601,"&lt;1")&gt;0,"Ada PO tanpa Koli - cek TMP. ","")&amp;IF(OR($AU338="",$AU338&lt;=0),"Volume kosong/0 - dimensi dikosongkan. ","")&amp;IF(AND($AU338&lt;&gt;"",$AU338&gt;=1000000),"Volume &gt;= 1.000.000 cm3 (di luar aturan) - dimensi dikosongkan. ","")&amp;IF(LEN($R338)&gt;500,"R &gt; 500 karakter.","")))</f>
        <v/>
      </c>
      <c r="AS338" t="str">
        <f>IFERROR(MATCH(ROW()-1,Calc!$J$2:$J$1601,0),"")</f>
        <v/>
      </c>
      <c r="AT338" t="str">
        <f>IFERROR(MATCH(ROW()-1,Calc!$K$2:$K$1601,0),"")</f>
        <v/>
      </c>
      <c r="AU338" t="str">
        <f>IF($AS338="","",IFERROR(INDEX('TMP Paste'!$D$2:$D$1601,$AS338)*1000000/$AB338,""))</f>
        <v/>
      </c>
    </row>
    <row r="339" spans="1:47">
      <c r="A339" t="str">
        <f>IF($AS339="","",INDEX('TMP Paste'!$B$2:$B$1601,$AS339))</f>
        <v/>
      </c>
      <c r="B339" t="str">
        <f>IF($AS339="","",Config!$B$14)</f>
        <v/>
      </c>
      <c r="C339" t="str">
        <f>IF($AS339="","",Config!$B$15)</f>
        <v/>
      </c>
      <c r="D339" t="str">
        <f>IF($AS339="","",INDEX('TMP Paste'!$B$2:$B$1601,$AS339))</f>
        <v/>
      </c>
      <c r="E339" t="str">
        <f>IF($AS339="","",Config!$B$27)</f>
        <v/>
      </c>
      <c r="F339" t="str">
        <f>IF($AS339="","",Config!$B$9)</f>
        <v/>
      </c>
      <c r="G339" t="str">
        <f>IF($AS339="","",Config!$B$10)</f>
        <v/>
      </c>
      <c r="H339" t="str">
        <f>IF($AS339="","",Config!$B$11)</f>
        <v/>
      </c>
      <c r="I339" t="str">
        <f>IF($AS339="","",Config!$B$16)</f>
        <v/>
      </c>
      <c r="J339" t="str">
        <f>IF($AS339="","",INDEX('TMP Paste'!$A$2:$A$1601,$AS339))</f>
        <v/>
      </c>
      <c r="K339" t="str">
        <f>IF($AS339="","",INDEX('TMP Paste'!$L$2:$L$1601,$AS339))</f>
        <v/>
      </c>
      <c r="L339" t="str">
        <f>IF($AS339="","",INDEX('TMP Paste'!$I$2:$I$1601,$AS339))</f>
        <v/>
      </c>
      <c r="M339" t="str">
        <f>IF($AS339="","",Config!$B$16)</f>
        <v/>
      </c>
      <c r="N339" t="str">
        <f t="shared" si="30"/>
        <v/>
      </c>
      <c r="O339" t="str">
        <f>IF($AS339="","",INDEX('TMP Paste'!$K$2:$K$1601,$AS339))</f>
        <v/>
      </c>
      <c r="P339" t="str">
        <f t="shared" si="31"/>
        <v/>
      </c>
      <c r="Q339" t="str">
        <f>IF($AS339="","",INDEX('TMP Paste'!$J$2:$J$1601,$AS339))</f>
        <v/>
      </c>
      <c r="R339" t="str">
        <f>IF($AS339="","",Config!$B$24)</f>
        <v/>
      </c>
      <c r="S339" t="str">
        <f ca="1">IF($AS339="","",TEXT(Config!$B$4,"yyyy-mm-dd"))</f>
        <v/>
      </c>
      <c r="T339" t="str">
        <f>IF($AS339="","",Config!$B$17)</f>
        <v/>
      </c>
      <c r="U339" t="str">
        <f>IF($AS339="","",Config!$B$18)</f>
        <v/>
      </c>
      <c r="V339" t="str">
        <f>IF($AS339="","",Config!$B$19)</f>
        <v/>
      </c>
      <c r="W339" t="str">
        <f>IF($AS339="","",INDEX('TMP Paste'!$C$2:$C$1601,$AS339))</f>
        <v/>
      </c>
      <c r="X339" t="str">
        <f>IF($AS339="","",Config!$B$29)</f>
        <v/>
      </c>
      <c r="Y339" t="str">
        <f>IF($AT339="","",INDEX(Calc!$I$2:$I$1601,$AT339)&amp;" - "&amp;INDEX(Calc!$D$2:$D$1601,$AT339)&amp;" koli")</f>
        <v/>
      </c>
      <c r="Z339" t="str">
        <f>IF($AS339="","",Config!$B$21)</f>
        <v/>
      </c>
      <c r="AA339" t="str">
        <f>IF($AS339="","",Config!$B$22)</f>
        <v/>
      </c>
      <c r="AB339" t="str">
        <f>IF($AT339="","",INDEX(Calc!$D$2:$D$1601,$AT339))</f>
        <v/>
      </c>
      <c r="AC339" t="str">
        <f>IF($AT339="","",INDEX(Calc!$G$2:$G$1601,$AT339))</f>
        <v/>
      </c>
      <c r="AD339" t="str">
        <f>IF($AS339="","",Config!$B$23)</f>
        <v/>
      </c>
      <c r="AE339" t="str">
        <f>IF($AS339="","",Config!$B$28)</f>
        <v/>
      </c>
      <c r="AF339" t="str">
        <f t="shared" si="32"/>
        <v/>
      </c>
      <c r="AG339" t="str">
        <f t="shared" si="33"/>
        <v/>
      </c>
      <c r="AH339" t="str">
        <f t="shared" si="34"/>
        <v/>
      </c>
      <c r="AI339" t="str">
        <f>IF($AG339="","",SUMIF($AG$2:$AG339,$AG339,$AH$2:$AH339))</f>
        <v/>
      </c>
      <c r="AJ339" t="str">
        <f>IF('TMP Paste'!$F339="","",IF('TMP Paste'!$B339="",$AJ338,'TMP Paste'!$B339))</f>
        <v/>
      </c>
      <c r="AK339" t="str">
        <f>IF('TMP Paste'!$F339="","",N('TMP Paste'!$G339))</f>
        <v/>
      </c>
      <c r="AL339" t="str">
        <f>IF('TMP Paste'!$F339="","",IF('TMP Paste'!$M339="",$AL338,'TMP Paste'!$M339))</f>
        <v/>
      </c>
      <c r="AM339" t="str">
        <f>IF('TMP Paste'!$F339="","",IF('TMP Paste'!$N339="",$AM338,'TMP Paste'!$N339))</f>
        <v/>
      </c>
      <c r="AN339" t="str">
        <f>IF('TMP Paste'!$F339="","",IF('TMP Paste'!$O339="",$AN338,'TMP Paste'!$O339))</f>
        <v/>
      </c>
      <c r="AO339" t="str">
        <f>IF('TMP Paste'!$F339="","",IF('TMP Paste'!$P339="",$AO338,'TMP Paste'!$P339))</f>
        <v/>
      </c>
      <c r="AP339" t="str">
        <f t="shared" si="35"/>
        <v/>
      </c>
      <c r="AQ339" t="str">
        <f>IF($AS339="","",TRIM(IF(COUNTIFS(Calc!$B$2:$B$1601,ROW()-1,Calc!$C$2:$C$1601,"&lt;1")&gt;0,"Ada PO tanpa Koli - cek TMP. ","")&amp;IF(OR($AU339="",$AU339&lt;=0),"Volume kosong/0 - dimensi dikosongkan. ","")&amp;IF(AND($AU339&lt;&gt;"",$AU339&gt;=1000000),"Volume &gt;= 1.000.000 cm3 (di luar aturan) - dimensi dikosongkan. ","")&amp;IF(LEN($R339)&gt;500,"R &gt; 500 karakter.","")))</f>
        <v/>
      </c>
      <c r="AS339" t="str">
        <f>IFERROR(MATCH(ROW()-1,Calc!$J$2:$J$1601,0),"")</f>
        <v/>
      </c>
      <c r="AT339" t="str">
        <f>IFERROR(MATCH(ROW()-1,Calc!$K$2:$K$1601,0),"")</f>
        <v/>
      </c>
      <c r="AU339" t="str">
        <f>IF($AS339="","",IFERROR(INDEX('TMP Paste'!$D$2:$D$1601,$AS339)*1000000/$AB339,""))</f>
        <v/>
      </c>
    </row>
    <row r="340" spans="1:47">
      <c r="A340" t="str">
        <f>IF($AS340="","",INDEX('TMP Paste'!$B$2:$B$1601,$AS340))</f>
        <v/>
      </c>
      <c r="B340" t="str">
        <f>IF($AS340="","",Config!$B$14)</f>
        <v/>
      </c>
      <c r="C340" t="str">
        <f>IF($AS340="","",Config!$B$15)</f>
        <v/>
      </c>
      <c r="D340" t="str">
        <f>IF($AS340="","",INDEX('TMP Paste'!$B$2:$B$1601,$AS340))</f>
        <v/>
      </c>
      <c r="E340" t="str">
        <f>IF($AS340="","",Config!$B$27)</f>
        <v/>
      </c>
      <c r="F340" t="str">
        <f>IF($AS340="","",Config!$B$9)</f>
        <v/>
      </c>
      <c r="G340" t="str">
        <f>IF($AS340="","",Config!$B$10)</f>
        <v/>
      </c>
      <c r="H340" t="str">
        <f>IF($AS340="","",Config!$B$11)</f>
        <v/>
      </c>
      <c r="I340" t="str">
        <f>IF($AS340="","",Config!$B$16)</f>
        <v/>
      </c>
      <c r="J340" t="str">
        <f>IF($AS340="","",INDEX('TMP Paste'!$A$2:$A$1601,$AS340))</f>
        <v/>
      </c>
      <c r="K340" t="str">
        <f>IF($AS340="","",INDEX('TMP Paste'!$L$2:$L$1601,$AS340))</f>
        <v/>
      </c>
      <c r="L340" t="str">
        <f>IF($AS340="","",INDEX('TMP Paste'!$I$2:$I$1601,$AS340))</f>
        <v/>
      </c>
      <c r="M340" t="str">
        <f>IF($AS340="","",Config!$B$16)</f>
        <v/>
      </c>
      <c r="N340" t="str">
        <f t="shared" si="30"/>
        <v/>
      </c>
      <c r="O340" t="str">
        <f>IF($AS340="","",INDEX('TMP Paste'!$K$2:$K$1601,$AS340))</f>
        <v/>
      </c>
      <c r="P340" t="str">
        <f t="shared" si="31"/>
        <v/>
      </c>
      <c r="Q340" t="str">
        <f>IF($AS340="","",INDEX('TMP Paste'!$J$2:$J$1601,$AS340))</f>
        <v/>
      </c>
      <c r="R340" t="str">
        <f>IF($AS340="","",Config!$B$24)</f>
        <v/>
      </c>
      <c r="S340" t="str">
        <f ca="1">IF($AS340="","",TEXT(Config!$B$4,"yyyy-mm-dd"))</f>
        <v/>
      </c>
      <c r="T340" t="str">
        <f>IF($AS340="","",Config!$B$17)</f>
        <v/>
      </c>
      <c r="U340" t="str">
        <f>IF($AS340="","",Config!$B$18)</f>
        <v/>
      </c>
      <c r="V340" t="str">
        <f>IF($AS340="","",Config!$B$19)</f>
        <v/>
      </c>
      <c r="W340" t="str">
        <f>IF($AS340="","",INDEX('TMP Paste'!$C$2:$C$1601,$AS340))</f>
        <v/>
      </c>
      <c r="X340" t="str">
        <f>IF($AS340="","",Config!$B$29)</f>
        <v/>
      </c>
      <c r="Y340" t="str">
        <f>IF($AT340="","",INDEX(Calc!$I$2:$I$1601,$AT340)&amp;" - "&amp;INDEX(Calc!$D$2:$D$1601,$AT340)&amp;" koli")</f>
        <v/>
      </c>
      <c r="Z340" t="str">
        <f>IF($AS340="","",Config!$B$21)</f>
        <v/>
      </c>
      <c r="AA340" t="str">
        <f>IF($AS340="","",Config!$B$22)</f>
        <v/>
      </c>
      <c r="AB340" t="str">
        <f>IF($AT340="","",INDEX(Calc!$D$2:$D$1601,$AT340))</f>
        <v/>
      </c>
      <c r="AC340" t="str">
        <f>IF($AT340="","",INDEX(Calc!$G$2:$G$1601,$AT340))</f>
        <v/>
      </c>
      <c r="AD340" t="str">
        <f>IF($AS340="","",Config!$B$23)</f>
        <v/>
      </c>
      <c r="AE340" t="str">
        <f>IF($AS340="","",Config!$B$28)</f>
        <v/>
      </c>
      <c r="AF340" t="str">
        <f t="shared" si="32"/>
        <v/>
      </c>
      <c r="AG340" t="str">
        <f t="shared" si="33"/>
        <v/>
      </c>
      <c r="AH340" t="str">
        <f t="shared" si="34"/>
        <v/>
      </c>
      <c r="AI340" t="str">
        <f>IF($AG340="","",SUMIF($AG$2:$AG340,$AG340,$AH$2:$AH340))</f>
        <v/>
      </c>
      <c r="AJ340" t="str">
        <f>IF('TMP Paste'!$F340="","",IF('TMP Paste'!$B340="",$AJ339,'TMP Paste'!$B340))</f>
        <v/>
      </c>
      <c r="AK340" t="str">
        <f>IF('TMP Paste'!$F340="","",N('TMP Paste'!$G340))</f>
        <v/>
      </c>
      <c r="AL340" t="str">
        <f>IF('TMP Paste'!$F340="","",IF('TMP Paste'!$M340="",$AL339,'TMP Paste'!$M340))</f>
        <v/>
      </c>
      <c r="AM340" t="str">
        <f>IF('TMP Paste'!$F340="","",IF('TMP Paste'!$N340="",$AM339,'TMP Paste'!$N340))</f>
        <v/>
      </c>
      <c r="AN340" t="str">
        <f>IF('TMP Paste'!$F340="","",IF('TMP Paste'!$O340="",$AN339,'TMP Paste'!$O340))</f>
        <v/>
      </c>
      <c r="AO340" t="str">
        <f>IF('TMP Paste'!$F340="","",IF('TMP Paste'!$P340="",$AO339,'TMP Paste'!$P340))</f>
        <v/>
      </c>
      <c r="AP340" t="str">
        <f t="shared" si="35"/>
        <v/>
      </c>
      <c r="AQ340" t="str">
        <f>IF($AS340="","",TRIM(IF(COUNTIFS(Calc!$B$2:$B$1601,ROW()-1,Calc!$C$2:$C$1601,"&lt;1")&gt;0,"Ada PO tanpa Koli - cek TMP. ","")&amp;IF(OR($AU340="",$AU340&lt;=0),"Volume kosong/0 - dimensi dikosongkan. ","")&amp;IF(AND($AU340&lt;&gt;"",$AU340&gt;=1000000),"Volume &gt;= 1.000.000 cm3 (di luar aturan) - dimensi dikosongkan. ","")&amp;IF(LEN($R340)&gt;500,"R &gt; 500 karakter.","")))</f>
        <v/>
      </c>
      <c r="AS340" t="str">
        <f>IFERROR(MATCH(ROW()-1,Calc!$J$2:$J$1601,0),"")</f>
        <v/>
      </c>
      <c r="AT340" t="str">
        <f>IFERROR(MATCH(ROW()-1,Calc!$K$2:$K$1601,0),"")</f>
        <v/>
      </c>
      <c r="AU340" t="str">
        <f>IF($AS340="","",IFERROR(INDEX('TMP Paste'!$D$2:$D$1601,$AS340)*1000000/$AB340,""))</f>
        <v/>
      </c>
    </row>
    <row r="341" spans="1:47">
      <c r="A341" t="str">
        <f>IF($AS341="","",INDEX('TMP Paste'!$B$2:$B$1601,$AS341))</f>
        <v/>
      </c>
      <c r="B341" t="str">
        <f>IF($AS341="","",Config!$B$14)</f>
        <v/>
      </c>
      <c r="C341" t="str">
        <f>IF($AS341="","",Config!$B$15)</f>
        <v/>
      </c>
      <c r="D341" t="str">
        <f>IF($AS341="","",INDEX('TMP Paste'!$B$2:$B$1601,$AS341))</f>
        <v/>
      </c>
      <c r="E341" t="str">
        <f>IF($AS341="","",Config!$B$27)</f>
        <v/>
      </c>
      <c r="F341" t="str">
        <f>IF($AS341="","",Config!$B$9)</f>
        <v/>
      </c>
      <c r="G341" t="str">
        <f>IF($AS341="","",Config!$B$10)</f>
        <v/>
      </c>
      <c r="H341" t="str">
        <f>IF($AS341="","",Config!$B$11)</f>
        <v/>
      </c>
      <c r="I341" t="str">
        <f>IF($AS341="","",Config!$B$16)</f>
        <v/>
      </c>
      <c r="J341" t="str">
        <f>IF($AS341="","",INDEX('TMP Paste'!$A$2:$A$1601,$AS341))</f>
        <v/>
      </c>
      <c r="K341" t="str">
        <f>IF($AS341="","",INDEX('TMP Paste'!$L$2:$L$1601,$AS341))</f>
        <v/>
      </c>
      <c r="L341" t="str">
        <f>IF($AS341="","",INDEX('TMP Paste'!$I$2:$I$1601,$AS341))</f>
        <v/>
      </c>
      <c r="M341" t="str">
        <f>IF($AS341="","",Config!$B$16)</f>
        <v/>
      </c>
      <c r="N341" t="str">
        <f t="shared" si="30"/>
        <v/>
      </c>
      <c r="O341" t="str">
        <f>IF($AS341="","",INDEX('TMP Paste'!$K$2:$K$1601,$AS341))</f>
        <v/>
      </c>
      <c r="P341" t="str">
        <f t="shared" si="31"/>
        <v/>
      </c>
      <c r="Q341" t="str">
        <f>IF($AS341="","",INDEX('TMP Paste'!$J$2:$J$1601,$AS341))</f>
        <v/>
      </c>
      <c r="R341" t="str">
        <f>IF($AS341="","",Config!$B$24)</f>
        <v/>
      </c>
      <c r="S341" t="str">
        <f ca="1">IF($AS341="","",TEXT(Config!$B$4,"yyyy-mm-dd"))</f>
        <v/>
      </c>
      <c r="T341" t="str">
        <f>IF($AS341="","",Config!$B$17)</f>
        <v/>
      </c>
      <c r="U341" t="str">
        <f>IF($AS341="","",Config!$B$18)</f>
        <v/>
      </c>
      <c r="V341" t="str">
        <f>IF($AS341="","",Config!$B$19)</f>
        <v/>
      </c>
      <c r="W341" t="str">
        <f>IF($AS341="","",INDEX('TMP Paste'!$C$2:$C$1601,$AS341))</f>
        <v/>
      </c>
      <c r="X341" t="str">
        <f>IF($AS341="","",Config!$B$29)</f>
        <v/>
      </c>
      <c r="Y341" t="str">
        <f>IF($AT341="","",INDEX(Calc!$I$2:$I$1601,$AT341)&amp;" - "&amp;INDEX(Calc!$D$2:$D$1601,$AT341)&amp;" koli")</f>
        <v/>
      </c>
      <c r="Z341" t="str">
        <f>IF($AS341="","",Config!$B$21)</f>
        <v/>
      </c>
      <c r="AA341" t="str">
        <f>IF($AS341="","",Config!$B$22)</f>
        <v/>
      </c>
      <c r="AB341" t="str">
        <f>IF($AT341="","",INDEX(Calc!$D$2:$D$1601,$AT341))</f>
        <v/>
      </c>
      <c r="AC341" t="str">
        <f>IF($AT341="","",INDEX(Calc!$G$2:$G$1601,$AT341))</f>
        <v/>
      </c>
      <c r="AD341" t="str">
        <f>IF($AS341="","",Config!$B$23)</f>
        <v/>
      </c>
      <c r="AE341" t="str">
        <f>IF($AS341="","",Config!$B$28)</f>
        <v/>
      </c>
      <c r="AF341" t="str">
        <f t="shared" si="32"/>
        <v/>
      </c>
      <c r="AG341" t="str">
        <f t="shared" si="33"/>
        <v/>
      </c>
      <c r="AH341" t="str">
        <f t="shared" si="34"/>
        <v/>
      </c>
      <c r="AI341" t="str">
        <f>IF($AG341="","",SUMIF($AG$2:$AG341,$AG341,$AH$2:$AH341))</f>
        <v/>
      </c>
      <c r="AJ341" t="str">
        <f>IF('TMP Paste'!$F341="","",IF('TMP Paste'!$B341="",$AJ340,'TMP Paste'!$B341))</f>
        <v/>
      </c>
      <c r="AK341" t="str">
        <f>IF('TMP Paste'!$F341="","",N('TMP Paste'!$G341))</f>
        <v/>
      </c>
      <c r="AL341" t="str">
        <f>IF('TMP Paste'!$F341="","",IF('TMP Paste'!$M341="",$AL340,'TMP Paste'!$M341))</f>
        <v/>
      </c>
      <c r="AM341" t="str">
        <f>IF('TMP Paste'!$F341="","",IF('TMP Paste'!$N341="",$AM340,'TMP Paste'!$N341))</f>
        <v/>
      </c>
      <c r="AN341" t="str">
        <f>IF('TMP Paste'!$F341="","",IF('TMP Paste'!$O341="",$AN340,'TMP Paste'!$O341))</f>
        <v/>
      </c>
      <c r="AO341" t="str">
        <f>IF('TMP Paste'!$F341="","",IF('TMP Paste'!$P341="",$AO340,'TMP Paste'!$P341))</f>
        <v/>
      </c>
      <c r="AP341" t="str">
        <f t="shared" si="35"/>
        <v/>
      </c>
      <c r="AQ341" t="str">
        <f>IF($AS341="","",TRIM(IF(COUNTIFS(Calc!$B$2:$B$1601,ROW()-1,Calc!$C$2:$C$1601,"&lt;1")&gt;0,"Ada PO tanpa Koli - cek TMP. ","")&amp;IF(OR($AU341="",$AU341&lt;=0),"Volume kosong/0 - dimensi dikosongkan. ","")&amp;IF(AND($AU341&lt;&gt;"",$AU341&gt;=1000000),"Volume &gt;= 1.000.000 cm3 (di luar aturan) - dimensi dikosongkan. ","")&amp;IF(LEN($R341)&gt;500,"R &gt; 500 karakter.","")))</f>
        <v/>
      </c>
      <c r="AS341" t="str">
        <f>IFERROR(MATCH(ROW()-1,Calc!$J$2:$J$1601,0),"")</f>
        <v/>
      </c>
      <c r="AT341" t="str">
        <f>IFERROR(MATCH(ROW()-1,Calc!$K$2:$K$1601,0),"")</f>
        <v/>
      </c>
      <c r="AU341" t="str">
        <f>IF($AS341="","",IFERROR(INDEX('TMP Paste'!$D$2:$D$1601,$AS341)*1000000/$AB341,""))</f>
        <v/>
      </c>
    </row>
    <row r="342" spans="1:47">
      <c r="A342" t="str">
        <f>IF($AS342="","",INDEX('TMP Paste'!$B$2:$B$1601,$AS342))</f>
        <v/>
      </c>
      <c r="B342" t="str">
        <f>IF($AS342="","",Config!$B$14)</f>
        <v/>
      </c>
      <c r="C342" t="str">
        <f>IF($AS342="","",Config!$B$15)</f>
        <v/>
      </c>
      <c r="D342" t="str">
        <f>IF($AS342="","",INDEX('TMP Paste'!$B$2:$B$1601,$AS342))</f>
        <v/>
      </c>
      <c r="E342" t="str">
        <f>IF($AS342="","",Config!$B$27)</f>
        <v/>
      </c>
      <c r="F342" t="str">
        <f>IF($AS342="","",Config!$B$9)</f>
        <v/>
      </c>
      <c r="G342" t="str">
        <f>IF($AS342="","",Config!$B$10)</f>
        <v/>
      </c>
      <c r="H342" t="str">
        <f>IF($AS342="","",Config!$B$11)</f>
        <v/>
      </c>
      <c r="I342" t="str">
        <f>IF($AS342="","",Config!$B$16)</f>
        <v/>
      </c>
      <c r="J342" t="str">
        <f>IF($AS342="","",INDEX('TMP Paste'!$A$2:$A$1601,$AS342))</f>
        <v/>
      </c>
      <c r="K342" t="str">
        <f>IF($AS342="","",INDEX('TMP Paste'!$L$2:$L$1601,$AS342))</f>
        <v/>
      </c>
      <c r="L342" t="str">
        <f>IF($AS342="","",INDEX('TMP Paste'!$I$2:$I$1601,$AS342))</f>
        <v/>
      </c>
      <c r="M342" t="str">
        <f>IF($AS342="","",Config!$B$16)</f>
        <v/>
      </c>
      <c r="N342" t="str">
        <f t="shared" si="30"/>
        <v/>
      </c>
      <c r="O342" t="str">
        <f>IF($AS342="","",INDEX('TMP Paste'!$K$2:$K$1601,$AS342))</f>
        <v/>
      </c>
      <c r="P342" t="str">
        <f t="shared" si="31"/>
        <v/>
      </c>
      <c r="Q342" t="str">
        <f>IF($AS342="","",INDEX('TMP Paste'!$J$2:$J$1601,$AS342))</f>
        <v/>
      </c>
      <c r="R342" t="str">
        <f>IF($AS342="","",Config!$B$24)</f>
        <v/>
      </c>
      <c r="S342" t="str">
        <f ca="1">IF($AS342="","",TEXT(Config!$B$4,"yyyy-mm-dd"))</f>
        <v/>
      </c>
      <c r="T342" t="str">
        <f>IF($AS342="","",Config!$B$17)</f>
        <v/>
      </c>
      <c r="U342" t="str">
        <f>IF($AS342="","",Config!$B$18)</f>
        <v/>
      </c>
      <c r="V342" t="str">
        <f>IF($AS342="","",Config!$B$19)</f>
        <v/>
      </c>
      <c r="W342" t="str">
        <f>IF($AS342="","",INDEX('TMP Paste'!$C$2:$C$1601,$AS342))</f>
        <v/>
      </c>
      <c r="X342" t="str">
        <f>IF($AS342="","",Config!$B$29)</f>
        <v/>
      </c>
      <c r="Y342" t="str">
        <f>IF($AT342="","",INDEX(Calc!$I$2:$I$1601,$AT342)&amp;" - "&amp;INDEX(Calc!$D$2:$D$1601,$AT342)&amp;" koli")</f>
        <v/>
      </c>
      <c r="Z342" t="str">
        <f>IF($AS342="","",Config!$B$21)</f>
        <v/>
      </c>
      <c r="AA342" t="str">
        <f>IF($AS342="","",Config!$B$22)</f>
        <v/>
      </c>
      <c r="AB342" t="str">
        <f>IF($AT342="","",INDEX(Calc!$D$2:$D$1601,$AT342))</f>
        <v/>
      </c>
      <c r="AC342" t="str">
        <f>IF($AT342="","",INDEX(Calc!$G$2:$G$1601,$AT342))</f>
        <v/>
      </c>
      <c r="AD342" t="str">
        <f>IF($AS342="","",Config!$B$23)</f>
        <v/>
      </c>
      <c r="AE342" t="str">
        <f>IF($AS342="","",Config!$B$28)</f>
        <v/>
      </c>
      <c r="AF342" t="str">
        <f t="shared" si="32"/>
        <v/>
      </c>
      <c r="AG342" t="str">
        <f t="shared" si="33"/>
        <v/>
      </c>
      <c r="AH342" t="str">
        <f t="shared" si="34"/>
        <v/>
      </c>
      <c r="AI342" t="str">
        <f>IF($AG342="","",SUMIF($AG$2:$AG342,$AG342,$AH$2:$AH342))</f>
        <v/>
      </c>
      <c r="AJ342" t="str">
        <f>IF('TMP Paste'!$F342="","",IF('TMP Paste'!$B342="",$AJ341,'TMP Paste'!$B342))</f>
        <v/>
      </c>
      <c r="AK342" t="str">
        <f>IF('TMP Paste'!$F342="","",N('TMP Paste'!$G342))</f>
        <v/>
      </c>
      <c r="AL342" t="str">
        <f>IF('TMP Paste'!$F342="","",IF('TMP Paste'!$M342="",$AL341,'TMP Paste'!$M342))</f>
        <v/>
      </c>
      <c r="AM342" t="str">
        <f>IF('TMP Paste'!$F342="","",IF('TMP Paste'!$N342="",$AM341,'TMP Paste'!$N342))</f>
        <v/>
      </c>
      <c r="AN342" t="str">
        <f>IF('TMP Paste'!$F342="","",IF('TMP Paste'!$O342="",$AN341,'TMP Paste'!$O342))</f>
        <v/>
      </c>
      <c r="AO342" t="str">
        <f>IF('TMP Paste'!$F342="","",IF('TMP Paste'!$P342="",$AO341,'TMP Paste'!$P342))</f>
        <v/>
      </c>
      <c r="AP342" t="str">
        <f t="shared" si="35"/>
        <v/>
      </c>
      <c r="AQ342" t="str">
        <f>IF($AS342="","",TRIM(IF(COUNTIFS(Calc!$B$2:$B$1601,ROW()-1,Calc!$C$2:$C$1601,"&lt;1")&gt;0,"Ada PO tanpa Koli - cek TMP. ","")&amp;IF(OR($AU342="",$AU342&lt;=0),"Volume kosong/0 - dimensi dikosongkan. ","")&amp;IF(AND($AU342&lt;&gt;"",$AU342&gt;=1000000),"Volume &gt;= 1.000.000 cm3 (di luar aturan) - dimensi dikosongkan. ","")&amp;IF(LEN($R342)&gt;500,"R &gt; 500 karakter.","")))</f>
        <v/>
      </c>
      <c r="AS342" t="str">
        <f>IFERROR(MATCH(ROW()-1,Calc!$J$2:$J$1601,0),"")</f>
        <v/>
      </c>
      <c r="AT342" t="str">
        <f>IFERROR(MATCH(ROW()-1,Calc!$K$2:$K$1601,0),"")</f>
        <v/>
      </c>
      <c r="AU342" t="str">
        <f>IF($AS342="","",IFERROR(INDEX('TMP Paste'!$D$2:$D$1601,$AS342)*1000000/$AB342,""))</f>
        <v/>
      </c>
    </row>
    <row r="343" spans="1:47">
      <c r="A343" t="str">
        <f>IF($AS343="","",INDEX('TMP Paste'!$B$2:$B$1601,$AS343))</f>
        <v/>
      </c>
      <c r="B343" t="str">
        <f>IF($AS343="","",Config!$B$14)</f>
        <v/>
      </c>
      <c r="C343" t="str">
        <f>IF($AS343="","",Config!$B$15)</f>
        <v/>
      </c>
      <c r="D343" t="str">
        <f>IF($AS343="","",INDEX('TMP Paste'!$B$2:$B$1601,$AS343))</f>
        <v/>
      </c>
      <c r="E343" t="str">
        <f>IF($AS343="","",Config!$B$27)</f>
        <v/>
      </c>
      <c r="F343" t="str">
        <f>IF($AS343="","",Config!$B$9)</f>
        <v/>
      </c>
      <c r="G343" t="str">
        <f>IF($AS343="","",Config!$B$10)</f>
        <v/>
      </c>
      <c r="H343" t="str">
        <f>IF($AS343="","",Config!$B$11)</f>
        <v/>
      </c>
      <c r="I343" t="str">
        <f>IF($AS343="","",Config!$B$16)</f>
        <v/>
      </c>
      <c r="J343" t="str">
        <f>IF($AS343="","",INDEX('TMP Paste'!$A$2:$A$1601,$AS343))</f>
        <v/>
      </c>
      <c r="K343" t="str">
        <f>IF($AS343="","",INDEX('TMP Paste'!$L$2:$L$1601,$AS343))</f>
        <v/>
      </c>
      <c r="L343" t="str">
        <f>IF($AS343="","",INDEX('TMP Paste'!$I$2:$I$1601,$AS343))</f>
        <v/>
      </c>
      <c r="M343" t="str">
        <f>IF($AS343="","",Config!$B$16)</f>
        <v/>
      </c>
      <c r="N343" t="str">
        <f t="shared" si="30"/>
        <v/>
      </c>
      <c r="O343" t="str">
        <f>IF($AS343="","",INDEX('TMP Paste'!$K$2:$K$1601,$AS343))</f>
        <v/>
      </c>
      <c r="P343" t="str">
        <f t="shared" si="31"/>
        <v/>
      </c>
      <c r="Q343" t="str">
        <f>IF($AS343="","",INDEX('TMP Paste'!$J$2:$J$1601,$AS343))</f>
        <v/>
      </c>
      <c r="R343" t="str">
        <f>IF($AS343="","",Config!$B$24)</f>
        <v/>
      </c>
      <c r="S343" t="str">
        <f ca="1">IF($AS343="","",TEXT(Config!$B$4,"yyyy-mm-dd"))</f>
        <v/>
      </c>
      <c r="T343" t="str">
        <f>IF($AS343="","",Config!$B$17)</f>
        <v/>
      </c>
      <c r="U343" t="str">
        <f>IF($AS343="","",Config!$B$18)</f>
        <v/>
      </c>
      <c r="V343" t="str">
        <f>IF($AS343="","",Config!$B$19)</f>
        <v/>
      </c>
      <c r="W343" t="str">
        <f>IF($AS343="","",INDEX('TMP Paste'!$C$2:$C$1601,$AS343))</f>
        <v/>
      </c>
      <c r="X343" t="str">
        <f>IF($AS343="","",Config!$B$29)</f>
        <v/>
      </c>
      <c r="Y343" t="str">
        <f>IF($AT343="","",INDEX(Calc!$I$2:$I$1601,$AT343)&amp;" - "&amp;INDEX(Calc!$D$2:$D$1601,$AT343)&amp;" koli")</f>
        <v/>
      </c>
      <c r="Z343" t="str">
        <f>IF($AS343="","",Config!$B$21)</f>
        <v/>
      </c>
      <c r="AA343" t="str">
        <f>IF($AS343="","",Config!$B$22)</f>
        <v/>
      </c>
      <c r="AB343" t="str">
        <f>IF($AT343="","",INDEX(Calc!$D$2:$D$1601,$AT343))</f>
        <v/>
      </c>
      <c r="AC343" t="str">
        <f>IF($AT343="","",INDEX(Calc!$G$2:$G$1601,$AT343))</f>
        <v/>
      </c>
      <c r="AD343" t="str">
        <f>IF($AS343="","",Config!$B$23)</f>
        <v/>
      </c>
      <c r="AE343" t="str">
        <f>IF($AS343="","",Config!$B$28)</f>
        <v/>
      </c>
      <c r="AF343" t="str">
        <f t="shared" si="32"/>
        <v/>
      </c>
      <c r="AG343" t="str">
        <f t="shared" si="33"/>
        <v/>
      </c>
      <c r="AH343" t="str">
        <f t="shared" si="34"/>
        <v/>
      </c>
      <c r="AI343" t="str">
        <f>IF($AG343="","",SUMIF($AG$2:$AG343,$AG343,$AH$2:$AH343))</f>
        <v/>
      </c>
      <c r="AJ343" t="str">
        <f>IF('TMP Paste'!$F343="","",IF('TMP Paste'!$B343="",$AJ342,'TMP Paste'!$B343))</f>
        <v/>
      </c>
      <c r="AK343" t="str">
        <f>IF('TMP Paste'!$F343="","",N('TMP Paste'!$G343))</f>
        <v/>
      </c>
      <c r="AL343" t="str">
        <f>IF('TMP Paste'!$F343="","",IF('TMP Paste'!$M343="",$AL342,'TMP Paste'!$M343))</f>
        <v/>
      </c>
      <c r="AM343" t="str">
        <f>IF('TMP Paste'!$F343="","",IF('TMP Paste'!$N343="",$AM342,'TMP Paste'!$N343))</f>
        <v/>
      </c>
      <c r="AN343" t="str">
        <f>IF('TMP Paste'!$F343="","",IF('TMP Paste'!$O343="",$AN342,'TMP Paste'!$O343))</f>
        <v/>
      </c>
      <c r="AO343" t="str">
        <f>IF('TMP Paste'!$F343="","",IF('TMP Paste'!$P343="",$AO342,'TMP Paste'!$P343))</f>
        <v/>
      </c>
      <c r="AP343" t="str">
        <f t="shared" si="35"/>
        <v/>
      </c>
      <c r="AQ343" t="str">
        <f>IF($AS343="","",TRIM(IF(COUNTIFS(Calc!$B$2:$B$1601,ROW()-1,Calc!$C$2:$C$1601,"&lt;1")&gt;0,"Ada PO tanpa Koli - cek TMP. ","")&amp;IF(OR($AU343="",$AU343&lt;=0),"Volume kosong/0 - dimensi dikosongkan. ","")&amp;IF(AND($AU343&lt;&gt;"",$AU343&gt;=1000000),"Volume &gt;= 1.000.000 cm3 (di luar aturan) - dimensi dikosongkan. ","")&amp;IF(LEN($R343)&gt;500,"R &gt; 500 karakter.","")))</f>
        <v/>
      </c>
      <c r="AS343" t="str">
        <f>IFERROR(MATCH(ROW()-1,Calc!$J$2:$J$1601,0),"")</f>
        <v/>
      </c>
      <c r="AT343" t="str">
        <f>IFERROR(MATCH(ROW()-1,Calc!$K$2:$K$1601,0),"")</f>
        <v/>
      </c>
      <c r="AU343" t="str">
        <f>IF($AS343="","",IFERROR(INDEX('TMP Paste'!$D$2:$D$1601,$AS343)*1000000/$AB343,""))</f>
        <v/>
      </c>
    </row>
    <row r="344" spans="1:47">
      <c r="A344" t="str">
        <f>IF($AS344="","",INDEX('TMP Paste'!$B$2:$B$1601,$AS344))</f>
        <v/>
      </c>
      <c r="B344" t="str">
        <f>IF($AS344="","",Config!$B$14)</f>
        <v/>
      </c>
      <c r="C344" t="str">
        <f>IF($AS344="","",Config!$B$15)</f>
        <v/>
      </c>
      <c r="D344" t="str">
        <f>IF($AS344="","",INDEX('TMP Paste'!$B$2:$B$1601,$AS344))</f>
        <v/>
      </c>
      <c r="E344" t="str">
        <f>IF($AS344="","",Config!$B$27)</f>
        <v/>
      </c>
      <c r="F344" t="str">
        <f>IF($AS344="","",Config!$B$9)</f>
        <v/>
      </c>
      <c r="G344" t="str">
        <f>IF($AS344="","",Config!$B$10)</f>
        <v/>
      </c>
      <c r="H344" t="str">
        <f>IF($AS344="","",Config!$B$11)</f>
        <v/>
      </c>
      <c r="I344" t="str">
        <f>IF($AS344="","",Config!$B$16)</f>
        <v/>
      </c>
      <c r="J344" t="str">
        <f>IF($AS344="","",INDEX('TMP Paste'!$A$2:$A$1601,$AS344))</f>
        <v/>
      </c>
      <c r="K344" t="str">
        <f>IF($AS344="","",INDEX('TMP Paste'!$L$2:$L$1601,$AS344))</f>
        <v/>
      </c>
      <c r="L344" t="str">
        <f>IF($AS344="","",INDEX('TMP Paste'!$I$2:$I$1601,$AS344))</f>
        <v/>
      </c>
      <c r="M344" t="str">
        <f>IF($AS344="","",Config!$B$16)</f>
        <v/>
      </c>
      <c r="N344" t="str">
        <f t="shared" si="30"/>
        <v/>
      </c>
      <c r="O344" t="str">
        <f>IF($AS344="","",INDEX('TMP Paste'!$K$2:$K$1601,$AS344))</f>
        <v/>
      </c>
      <c r="P344" t="str">
        <f t="shared" si="31"/>
        <v/>
      </c>
      <c r="Q344" t="str">
        <f>IF($AS344="","",INDEX('TMP Paste'!$J$2:$J$1601,$AS344))</f>
        <v/>
      </c>
      <c r="R344" t="str">
        <f>IF($AS344="","",Config!$B$24)</f>
        <v/>
      </c>
      <c r="S344" t="str">
        <f ca="1">IF($AS344="","",TEXT(Config!$B$4,"yyyy-mm-dd"))</f>
        <v/>
      </c>
      <c r="T344" t="str">
        <f>IF($AS344="","",Config!$B$17)</f>
        <v/>
      </c>
      <c r="U344" t="str">
        <f>IF($AS344="","",Config!$B$18)</f>
        <v/>
      </c>
      <c r="V344" t="str">
        <f>IF($AS344="","",Config!$B$19)</f>
        <v/>
      </c>
      <c r="W344" t="str">
        <f>IF($AS344="","",INDEX('TMP Paste'!$C$2:$C$1601,$AS344))</f>
        <v/>
      </c>
      <c r="X344" t="str">
        <f>IF($AS344="","",Config!$B$29)</f>
        <v/>
      </c>
      <c r="Y344" t="str">
        <f>IF($AT344="","",INDEX(Calc!$I$2:$I$1601,$AT344)&amp;" - "&amp;INDEX(Calc!$D$2:$D$1601,$AT344)&amp;" koli")</f>
        <v/>
      </c>
      <c r="Z344" t="str">
        <f>IF($AS344="","",Config!$B$21)</f>
        <v/>
      </c>
      <c r="AA344" t="str">
        <f>IF($AS344="","",Config!$B$22)</f>
        <v/>
      </c>
      <c r="AB344" t="str">
        <f>IF($AT344="","",INDEX(Calc!$D$2:$D$1601,$AT344))</f>
        <v/>
      </c>
      <c r="AC344" t="str">
        <f>IF($AT344="","",INDEX(Calc!$G$2:$G$1601,$AT344))</f>
        <v/>
      </c>
      <c r="AD344" t="str">
        <f>IF($AS344="","",Config!$B$23)</f>
        <v/>
      </c>
      <c r="AE344" t="str">
        <f>IF($AS344="","",Config!$B$28)</f>
        <v/>
      </c>
      <c r="AF344" t="str">
        <f t="shared" si="32"/>
        <v/>
      </c>
      <c r="AG344" t="str">
        <f t="shared" si="33"/>
        <v/>
      </c>
      <c r="AH344" t="str">
        <f t="shared" si="34"/>
        <v/>
      </c>
      <c r="AI344" t="str">
        <f>IF($AG344="","",SUMIF($AG$2:$AG344,$AG344,$AH$2:$AH344))</f>
        <v/>
      </c>
      <c r="AJ344" t="str">
        <f>IF('TMP Paste'!$F344="","",IF('TMP Paste'!$B344="",$AJ343,'TMP Paste'!$B344))</f>
        <v/>
      </c>
      <c r="AK344" t="str">
        <f>IF('TMP Paste'!$F344="","",N('TMP Paste'!$G344))</f>
        <v/>
      </c>
      <c r="AL344" t="str">
        <f>IF('TMP Paste'!$F344="","",IF('TMP Paste'!$M344="",$AL343,'TMP Paste'!$M344))</f>
        <v/>
      </c>
      <c r="AM344" t="str">
        <f>IF('TMP Paste'!$F344="","",IF('TMP Paste'!$N344="",$AM343,'TMP Paste'!$N344))</f>
        <v/>
      </c>
      <c r="AN344" t="str">
        <f>IF('TMP Paste'!$F344="","",IF('TMP Paste'!$O344="",$AN343,'TMP Paste'!$O344))</f>
        <v/>
      </c>
      <c r="AO344" t="str">
        <f>IF('TMP Paste'!$F344="","",IF('TMP Paste'!$P344="",$AO343,'TMP Paste'!$P344))</f>
        <v/>
      </c>
      <c r="AP344" t="str">
        <f t="shared" si="35"/>
        <v/>
      </c>
      <c r="AQ344" t="str">
        <f>IF($AS344="","",TRIM(IF(COUNTIFS(Calc!$B$2:$B$1601,ROW()-1,Calc!$C$2:$C$1601,"&lt;1")&gt;0,"Ada PO tanpa Koli - cek TMP. ","")&amp;IF(OR($AU344="",$AU344&lt;=0),"Volume kosong/0 - dimensi dikosongkan. ","")&amp;IF(AND($AU344&lt;&gt;"",$AU344&gt;=1000000),"Volume &gt;= 1.000.000 cm3 (di luar aturan) - dimensi dikosongkan. ","")&amp;IF(LEN($R344)&gt;500,"R &gt; 500 karakter.","")))</f>
        <v/>
      </c>
      <c r="AS344" t="str">
        <f>IFERROR(MATCH(ROW()-1,Calc!$J$2:$J$1601,0),"")</f>
        <v/>
      </c>
      <c r="AT344" t="str">
        <f>IFERROR(MATCH(ROW()-1,Calc!$K$2:$K$1601,0),"")</f>
        <v/>
      </c>
      <c r="AU344" t="str">
        <f>IF($AS344="","",IFERROR(INDEX('TMP Paste'!$D$2:$D$1601,$AS344)*1000000/$AB344,""))</f>
        <v/>
      </c>
    </row>
    <row r="345" spans="1:47">
      <c r="A345" t="str">
        <f>IF($AS345="","",INDEX('TMP Paste'!$B$2:$B$1601,$AS345))</f>
        <v/>
      </c>
      <c r="B345" t="str">
        <f>IF($AS345="","",Config!$B$14)</f>
        <v/>
      </c>
      <c r="C345" t="str">
        <f>IF($AS345="","",Config!$B$15)</f>
        <v/>
      </c>
      <c r="D345" t="str">
        <f>IF($AS345="","",INDEX('TMP Paste'!$B$2:$B$1601,$AS345))</f>
        <v/>
      </c>
      <c r="E345" t="str">
        <f>IF($AS345="","",Config!$B$27)</f>
        <v/>
      </c>
      <c r="F345" t="str">
        <f>IF($AS345="","",Config!$B$9)</f>
        <v/>
      </c>
      <c r="G345" t="str">
        <f>IF($AS345="","",Config!$B$10)</f>
        <v/>
      </c>
      <c r="H345" t="str">
        <f>IF($AS345="","",Config!$B$11)</f>
        <v/>
      </c>
      <c r="I345" t="str">
        <f>IF($AS345="","",Config!$B$16)</f>
        <v/>
      </c>
      <c r="J345" t="str">
        <f>IF($AS345="","",INDEX('TMP Paste'!$A$2:$A$1601,$AS345))</f>
        <v/>
      </c>
      <c r="K345" t="str">
        <f>IF($AS345="","",INDEX('TMP Paste'!$L$2:$L$1601,$AS345))</f>
        <v/>
      </c>
      <c r="L345" t="str">
        <f>IF($AS345="","",INDEX('TMP Paste'!$I$2:$I$1601,$AS345))</f>
        <v/>
      </c>
      <c r="M345" t="str">
        <f>IF($AS345="","",Config!$B$16)</f>
        <v/>
      </c>
      <c r="N345" t="str">
        <f t="shared" si="30"/>
        <v/>
      </c>
      <c r="O345" t="str">
        <f>IF($AS345="","",INDEX('TMP Paste'!$K$2:$K$1601,$AS345))</f>
        <v/>
      </c>
      <c r="P345" t="str">
        <f t="shared" si="31"/>
        <v/>
      </c>
      <c r="Q345" t="str">
        <f>IF($AS345="","",INDEX('TMP Paste'!$J$2:$J$1601,$AS345))</f>
        <v/>
      </c>
      <c r="R345" t="str">
        <f>IF($AS345="","",Config!$B$24)</f>
        <v/>
      </c>
      <c r="S345" t="str">
        <f ca="1">IF($AS345="","",TEXT(Config!$B$4,"yyyy-mm-dd"))</f>
        <v/>
      </c>
      <c r="T345" t="str">
        <f>IF($AS345="","",Config!$B$17)</f>
        <v/>
      </c>
      <c r="U345" t="str">
        <f>IF($AS345="","",Config!$B$18)</f>
        <v/>
      </c>
      <c r="V345" t="str">
        <f>IF($AS345="","",Config!$B$19)</f>
        <v/>
      </c>
      <c r="W345" t="str">
        <f>IF($AS345="","",INDEX('TMP Paste'!$C$2:$C$1601,$AS345))</f>
        <v/>
      </c>
      <c r="X345" t="str">
        <f>IF($AS345="","",Config!$B$29)</f>
        <v/>
      </c>
      <c r="Y345" t="str">
        <f>IF($AT345="","",INDEX(Calc!$I$2:$I$1601,$AT345)&amp;" - "&amp;INDEX(Calc!$D$2:$D$1601,$AT345)&amp;" koli")</f>
        <v/>
      </c>
      <c r="Z345" t="str">
        <f>IF($AS345="","",Config!$B$21)</f>
        <v/>
      </c>
      <c r="AA345" t="str">
        <f>IF($AS345="","",Config!$B$22)</f>
        <v/>
      </c>
      <c r="AB345" t="str">
        <f>IF($AT345="","",INDEX(Calc!$D$2:$D$1601,$AT345))</f>
        <v/>
      </c>
      <c r="AC345" t="str">
        <f>IF($AT345="","",INDEX(Calc!$G$2:$G$1601,$AT345))</f>
        <v/>
      </c>
      <c r="AD345" t="str">
        <f>IF($AS345="","",Config!$B$23)</f>
        <v/>
      </c>
      <c r="AE345" t="str">
        <f>IF($AS345="","",Config!$B$28)</f>
        <v/>
      </c>
      <c r="AF345" t="str">
        <f t="shared" si="32"/>
        <v/>
      </c>
      <c r="AG345" t="str">
        <f t="shared" si="33"/>
        <v/>
      </c>
      <c r="AH345" t="str">
        <f t="shared" si="34"/>
        <v/>
      </c>
      <c r="AI345" t="str">
        <f>IF($AG345="","",SUMIF($AG$2:$AG345,$AG345,$AH$2:$AH345))</f>
        <v/>
      </c>
      <c r="AJ345" t="str">
        <f>IF('TMP Paste'!$F345="","",IF('TMP Paste'!$B345="",$AJ344,'TMP Paste'!$B345))</f>
        <v/>
      </c>
      <c r="AK345" t="str">
        <f>IF('TMP Paste'!$F345="","",N('TMP Paste'!$G345))</f>
        <v/>
      </c>
      <c r="AL345" t="str">
        <f>IF('TMP Paste'!$F345="","",IF('TMP Paste'!$M345="",$AL344,'TMP Paste'!$M345))</f>
        <v/>
      </c>
      <c r="AM345" t="str">
        <f>IF('TMP Paste'!$F345="","",IF('TMP Paste'!$N345="",$AM344,'TMP Paste'!$N345))</f>
        <v/>
      </c>
      <c r="AN345" t="str">
        <f>IF('TMP Paste'!$F345="","",IF('TMP Paste'!$O345="",$AN344,'TMP Paste'!$O345))</f>
        <v/>
      </c>
      <c r="AO345" t="str">
        <f>IF('TMP Paste'!$F345="","",IF('TMP Paste'!$P345="",$AO344,'TMP Paste'!$P345))</f>
        <v/>
      </c>
      <c r="AP345" t="str">
        <f t="shared" si="35"/>
        <v/>
      </c>
      <c r="AQ345" t="str">
        <f>IF($AS345="","",TRIM(IF(COUNTIFS(Calc!$B$2:$B$1601,ROW()-1,Calc!$C$2:$C$1601,"&lt;1")&gt;0,"Ada PO tanpa Koli - cek TMP. ","")&amp;IF(OR($AU345="",$AU345&lt;=0),"Volume kosong/0 - dimensi dikosongkan. ","")&amp;IF(AND($AU345&lt;&gt;"",$AU345&gt;=1000000),"Volume &gt;= 1.000.000 cm3 (di luar aturan) - dimensi dikosongkan. ","")&amp;IF(LEN($R345)&gt;500,"R &gt; 500 karakter.","")))</f>
        <v/>
      </c>
      <c r="AS345" t="str">
        <f>IFERROR(MATCH(ROW()-1,Calc!$J$2:$J$1601,0),"")</f>
        <v/>
      </c>
      <c r="AT345" t="str">
        <f>IFERROR(MATCH(ROW()-1,Calc!$K$2:$K$1601,0),"")</f>
        <v/>
      </c>
      <c r="AU345" t="str">
        <f>IF($AS345="","",IFERROR(INDEX('TMP Paste'!$D$2:$D$1601,$AS345)*1000000/$AB345,""))</f>
        <v/>
      </c>
    </row>
    <row r="346" spans="1:47">
      <c r="A346" t="str">
        <f>IF($AS346="","",INDEX('TMP Paste'!$B$2:$B$1601,$AS346))</f>
        <v/>
      </c>
      <c r="B346" t="str">
        <f>IF($AS346="","",Config!$B$14)</f>
        <v/>
      </c>
      <c r="C346" t="str">
        <f>IF($AS346="","",Config!$B$15)</f>
        <v/>
      </c>
      <c r="D346" t="str">
        <f>IF($AS346="","",INDEX('TMP Paste'!$B$2:$B$1601,$AS346))</f>
        <v/>
      </c>
      <c r="E346" t="str">
        <f>IF($AS346="","",Config!$B$27)</f>
        <v/>
      </c>
      <c r="F346" t="str">
        <f>IF($AS346="","",Config!$B$9)</f>
        <v/>
      </c>
      <c r="G346" t="str">
        <f>IF($AS346="","",Config!$B$10)</f>
        <v/>
      </c>
      <c r="H346" t="str">
        <f>IF($AS346="","",Config!$B$11)</f>
        <v/>
      </c>
      <c r="I346" t="str">
        <f>IF($AS346="","",Config!$B$16)</f>
        <v/>
      </c>
      <c r="J346" t="str">
        <f>IF($AS346="","",INDEX('TMP Paste'!$A$2:$A$1601,$AS346))</f>
        <v/>
      </c>
      <c r="K346" t="str">
        <f>IF($AS346="","",INDEX('TMP Paste'!$L$2:$L$1601,$AS346))</f>
        <v/>
      </c>
      <c r="L346" t="str">
        <f>IF($AS346="","",INDEX('TMP Paste'!$I$2:$I$1601,$AS346))</f>
        <v/>
      </c>
      <c r="M346" t="str">
        <f>IF($AS346="","",Config!$B$16)</f>
        <v/>
      </c>
      <c r="N346" t="str">
        <f t="shared" si="30"/>
        <v/>
      </c>
      <c r="O346" t="str">
        <f>IF($AS346="","",INDEX('TMP Paste'!$K$2:$K$1601,$AS346))</f>
        <v/>
      </c>
      <c r="P346" t="str">
        <f t="shared" si="31"/>
        <v/>
      </c>
      <c r="Q346" t="str">
        <f>IF($AS346="","",INDEX('TMP Paste'!$J$2:$J$1601,$AS346))</f>
        <v/>
      </c>
      <c r="R346" t="str">
        <f>IF($AS346="","",Config!$B$24)</f>
        <v/>
      </c>
      <c r="S346" t="str">
        <f ca="1">IF($AS346="","",TEXT(Config!$B$4,"yyyy-mm-dd"))</f>
        <v/>
      </c>
      <c r="T346" t="str">
        <f>IF($AS346="","",Config!$B$17)</f>
        <v/>
      </c>
      <c r="U346" t="str">
        <f>IF($AS346="","",Config!$B$18)</f>
        <v/>
      </c>
      <c r="V346" t="str">
        <f>IF($AS346="","",Config!$B$19)</f>
        <v/>
      </c>
      <c r="W346" t="str">
        <f>IF($AS346="","",INDEX('TMP Paste'!$C$2:$C$1601,$AS346))</f>
        <v/>
      </c>
      <c r="X346" t="str">
        <f>IF($AS346="","",Config!$B$29)</f>
        <v/>
      </c>
      <c r="Y346" t="str">
        <f>IF($AT346="","",INDEX(Calc!$I$2:$I$1601,$AT346)&amp;" - "&amp;INDEX(Calc!$D$2:$D$1601,$AT346)&amp;" koli")</f>
        <v/>
      </c>
      <c r="Z346" t="str">
        <f>IF($AS346="","",Config!$B$21)</f>
        <v/>
      </c>
      <c r="AA346" t="str">
        <f>IF($AS346="","",Config!$B$22)</f>
        <v/>
      </c>
      <c r="AB346" t="str">
        <f>IF($AT346="","",INDEX(Calc!$D$2:$D$1601,$AT346))</f>
        <v/>
      </c>
      <c r="AC346" t="str">
        <f>IF($AT346="","",INDEX(Calc!$G$2:$G$1601,$AT346))</f>
        <v/>
      </c>
      <c r="AD346" t="str">
        <f>IF($AS346="","",Config!$B$23)</f>
        <v/>
      </c>
      <c r="AE346" t="str">
        <f>IF($AS346="","",Config!$B$28)</f>
        <v/>
      </c>
      <c r="AF346" t="str">
        <f t="shared" si="32"/>
        <v/>
      </c>
      <c r="AG346" t="str">
        <f t="shared" si="33"/>
        <v/>
      </c>
      <c r="AH346" t="str">
        <f t="shared" si="34"/>
        <v/>
      </c>
      <c r="AI346" t="str">
        <f>IF($AG346="","",SUMIF($AG$2:$AG346,$AG346,$AH$2:$AH346))</f>
        <v/>
      </c>
      <c r="AJ346" t="str">
        <f>IF('TMP Paste'!$F346="","",IF('TMP Paste'!$B346="",$AJ345,'TMP Paste'!$B346))</f>
        <v/>
      </c>
      <c r="AK346" t="str">
        <f>IF('TMP Paste'!$F346="","",N('TMP Paste'!$G346))</f>
        <v/>
      </c>
      <c r="AL346" t="str">
        <f>IF('TMP Paste'!$F346="","",IF('TMP Paste'!$M346="",$AL345,'TMP Paste'!$M346))</f>
        <v/>
      </c>
      <c r="AM346" t="str">
        <f>IF('TMP Paste'!$F346="","",IF('TMP Paste'!$N346="",$AM345,'TMP Paste'!$N346))</f>
        <v/>
      </c>
      <c r="AN346" t="str">
        <f>IF('TMP Paste'!$F346="","",IF('TMP Paste'!$O346="",$AN345,'TMP Paste'!$O346))</f>
        <v/>
      </c>
      <c r="AO346" t="str">
        <f>IF('TMP Paste'!$F346="","",IF('TMP Paste'!$P346="",$AO345,'TMP Paste'!$P346))</f>
        <v/>
      </c>
      <c r="AP346" t="str">
        <f t="shared" si="35"/>
        <v/>
      </c>
      <c r="AQ346" t="str">
        <f>IF($AS346="","",TRIM(IF(COUNTIFS(Calc!$B$2:$B$1601,ROW()-1,Calc!$C$2:$C$1601,"&lt;1")&gt;0,"Ada PO tanpa Koli - cek TMP. ","")&amp;IF(OR($AU346="",$AU346&lt;=0),"Volume kosong/0 - dimensi dikosongkan. ","")&amp;IF(AND($AU346&lt;&gt;"",$AU346&gt;=1000000),"Volume &gt;= 1.000.000 cm3 (di luar aturan) - dimensi dikosongkan. ","")&amp;IF(LEN($R346)&gt;500,"R &gt; 500 karakter.","")))</f>
        <v/>
      </c>
      <c r="AS346" t="str">
        <f>IFERROR(MATCH(ROW()-1,Calc!$J$2:$J$1601,0),"")</f>
        <v/>
      </c>
      <c r="AT346" t="str">
        <f>IFERROR(MATCH(ROW()-1,Calc!$K$2:$K$1601,0),"")</f>
        <v/>
      </c>
      <c r="AU346" t="str">
        <f>IF($AS346="","",IFERROR(INDEX('TMP Paste'!$D$2:$D$1601,$AS346)*1000000/$AB346,""))</f>
        <v/>
      </c>
    </row>
    <row r="347" spans="1:47">
      <c r="A347" t="str">
        <f>IF($AS347="","",INDEX('TMP Paste'!$B$2:$B$1601,$AS347))</f>
        <v/>
      </c>
      <c r="B347" t="str">
        <f>IF($AS347="","",Config!$B$14)</f>
        <v/>
      </c>
      <c r="C347" t="str">
        <f>IF($AS347="","",Config!$B$15)</f>
        <v/>
      </c>
      <c r="D347" t="str">
        <f>IF($AS347="","",INDEX('TMP Paste'!$B$2:$B$1601,$AS347))</f>
        <v/>
      </c>
      <c r="E347" t="str">
        <f>IF($AS347="","",Config!$B$27)</f>
        <v/>
      </c>
      <c r="F347" t="str">
        <f>IF($AS347="","",Config!$B$9)</f>
        <v/>
      </c>
      <c r="G347" t="str">
        <f>IF($AS347="","",Config!$B$10)</f>
        <v/>
      </c>
      <c r="H347" t="str">
        <f>IF($AS347="","",Config!$B$11)</f>
        <v/>
      </c>
      <c r="I347" t="str">
        <f>IF($AS347="","",Config!$B$16)</f>
        <v/>
      </c>
      <c r="J347" t="str">
        <f>IF($AS347="","",INDEX('TMP Paste'!$A$2:$A$1601,$AS347))</f>
        <v/>
      </c>
      <c r="K347" t="str">
        <f>IF($AS347="","",INDEX('TMP Paste'!$L$2:$L$1601,$AS347))</f>
        <v/>
      </c>
      <c r="L347" t="str">
        <f>IF($AS347="","",INDEX('TMP Paste'!$I$2:$I$1601,$AS347))</f>
        <v/>
      </c>
      <c r="M347" t="str">
        <f>IF($AS347="","",Config!$B$16)</f>
        <v/>
      </c>
      <c r="N347" t="str">
        <f t="shared" si="30"/>
        <v/>
      </c>
      <c r="O347" t="str">
        <f>IF($AS347="","",INDEX('TMP Paste'!$K$2:$K$1601,$AS347))</f>
        <v/>
      </c>
      <c r="P347" t="str">
        <f t="shared" si="31"/>
        <v/>
      </c>
      <c r="Q347" t="str">
        <f>IF($AS347="","",INDEX('TMP Paste'!$J$2:$J$1601,$AS347))</f>
        <v/>
      </c>
      <c r="R347" t="str">
        <f>IF($AS347="","",Config!$B$24)</f>
        <v/>
      </c>
      <c r="S347" t="str">
        <f ca="1">IF($AS347="","",TEXT(Config!$B$4,"yyyy-mm-dd"))</f>
        <v/>
      </c>
      <c r="T347" t="str">
        <f>IF($AS347="","",Config!$B$17)</f>
        <v/>
      </c>
      <c r="U347" t="str">
        <f>IF($AS347="","",Config!$B$18)</f>
        <v/>
      </c>
      <c r="V347" t="str">
        <f>IF($AS347="","",Config!$B$19)</f>
        <v/>
      </c>
      <c r="W347" t="str">
        <f>IF($AS347="","",INDEX('TMP Paste'!$C$2:$C$1601,$AS347))</f>
        <v/>
      </c>
      <c r="X347" t="str">
        <f>IF($AS347="","",Config!$B$29)</f>
        <v/>
      </c>
      <c r="Y347" t="str">
        <f>IF($AT347="","",INDEX(Calc!$I$2:$I$1601,$AT347)&amp;" - "&amp;INDEX(Calc!$D$2:$D$1601,$AT347)&amp;" koli")</f>
        <v/>
      </c>
      <c r="Z347" t="str">
        <f>IF($AS347="","",Config!$B$21)</f>
        <v/>
      </c>
      <c r="AA347" t="str">
        <f>IF($AS347="","",Config!$B$22)</f>
        <v/>
      </c>
      <c r="AB347" t="str">
        <f>IF($AT347="","",INDEX(Calc!$D$2:$D$1601,$AT347))</f>
        <v/>
      </c>
      <c r="AC347" t="str">
        <f>IF($AT347="","",INDEX(Calc!$G$2:$G$1601,$AT347))</f>
        <v/>
      </c>
      <c r="AD347" t="str">
        <f>IF($AS347="","",Config!$B$23)</f>
        <v/>
      </c>
      <c r="AE347" t="str">
        <f>IF($AS347="","",Config!$B$28)</f>
        <v/>
      </c>
      <c r="AF347" t="str">
        <f t="shared" si="32"/>
        <v/>
      </c>
      <c r="AG347" t="str">
        <f t="shared" si="33"/>
        <v/>
      </c>
      <c r="AH347" t="str">
        <f t="shared" si="34"/>
        <v/>
      </c>
      <c r="AI347" t="str">
        <f>IF($AG347="","",SUMIF($AG$2:$AG347,$AG347,$AH$2:$AH347))</f>
        <v/>
      </c>
      <c r="AJ347" t="str">
        <f>IF('TMP Paste'!$F347="","",IF('TMP Paste'!$B347="",$AJ346,'TMP Paste'!$B347))</f>
        <v/>
      </c>
      <c r="AK347" t="str">
        <f>IF('TMP Paste'!$F347="","",N('TMP Paste'!$G347))</f>
        <v/>
      </c>
      <c r="AL347" t="str">
        <f>IF('TMP Paste'!$F347="","",IF('TMP Paste'!$M347="",$AL346,'TMP Paste'!$M347))</f>
        <v/>
      </c>
      <c r="AM347" t="str">
        <f>IF('TMP Paste'!$F347="","",IF('TMP Paste'!$N347="",$AM346,'TMP Paste'!$N347))</f>
        <v/>
      </c>
      <c r="AN347" t="str">
        <f>IF('TMP Paste'!$F347="","",IF('TMP Paste'!$O347="",$AN346,'TMP Paste'!$O347))</f>
        <v/>
      </c>
      <c r="AO347" t="str">
        <f>IF('TMP Paste'!$F347="","",IF('TMP Paste'!$P347="",$AO346,'TMP Paste'!$P347))</f>
        <v/>
      </c>
      <c r="AP347" t="str">
        <f t="shared" si="35"/>
        <v/>
      </c>
      <c r="AQ347" t="str">
        <f>IF($AS347="","",TRIM(IF(COUNTIFS(Calc!$B$2:$B$1601,ROW()-1,Calc!$C$2:$C$1601,"&lt;1")&gt;0,"Ada PO tanpa Koli - cek TMP. ","")&amp;IF(OR($AU347="",$AU347&lt;=0),"Volume kosong/0 - dimensi dikosongkan. ","")&amp;IF(AND($AU347&lt;&gt;"",$AU347&gt;=1000000),"Volume &gt;= 1.000.000 cm3 (di luar aturan) - dimensi dikosongkan. ","")&amp;IF(LEN($R347)&gt;500,"R &gt; 500 karakter.","")))</f>
        <v/>
      </c>
      <c r="AS347" t="str">
        <f>IFERROR(MATCH(ROW()-1,Calc!$J$2:$J$1601,0),"")</f>
        <v/>
      </c>
      <c r="AT347" t="str">
        <f>IFERROR(MATCH(ROW()-1,Calc!$K$2:$K$1601,0),"")</f>
        <v/>
      </c>
      <c r="AU347" t="str">
        <f>IF($AS347="","",IFERROR(INDEX('TMP Paste'!$D$2:$D$1601,$AS347)*1000000/$AB347,""))</f>
        <v/>
      </c>
    </row>
    <row r="348" spans="1:47">
      <c r="A348" t="str">
        <f>IF($AS348="","",INDEX('TMP Paste'!$B$2:$B$1601,$AS348))</f>
        <v/>
      </c>
      <c r="B348" t="str">
        <f>IF($AS348="","",Config!$B$14)</f>
        <v/>
      </c>
      <c r="C348" t="str">
        <f>IF($AS348="","",Config!$B$15)</f>
        <v/>
      </c>
      <c r="D348" t="str">
        <f>IF($AS348="","",INDEX('TMP Paste'!$B$2:$B$1601,$AS348))</f>
        <v/>
      </c>
      <c r="E348" t="str">
        <f>IF($AS348="","",Config!$B$27)</f>
        <v/>
      </c>
      <c r="F348" t="str">
        <f>IF($AS348="","",Config!$B$9)</f>
        <v/>
      </c>
      <c r="G348" t="str">
        <f>IF($AS348="","",Config!$B$10)</f>
        <v/>
      </c>
      <c r="H348" t="str">
        <f>IF($AS348="","",Config!$B$11)</f>
        <v/>
      </c>
      <c r="I348" t="str">
        <f>IF($AS348="","",Config!$B$16)</f>
        <v/>
      </c>
      <c r="J348" t="str">
        <f>IF($AS348="","",INDEX('TMP Paste'!$A$2:$A$1601,$AS348))</f>
        <v/>
      </c>
      <c r="K348" t="str">
        <f>IF($AS348="","",INDEX('TMP Paste'!$L$2:$L$1601,$AS348))</f>
        <v/>
      </c>
      <c r="L348" t="str">
        <f>IF($AS348="","",INDEX('TMP Paste'!$I$2:$I$1601,$AS348))</f>
        <v/>
      </c>
      <c r="M348" t="str">
        <f>IF($AS348="","",Config!$B$16)</f>
        <v/>
      </c>
      <c r="N348" t="str">
        <f t="shared" si="30"/>
        <v/>
      </c>
      <c r="O348" t="str">
        <f>IF($AS348="","",INDEX('TMP Paste'!$K$2:$K$1601,$AS348))</f>
        <v/>
      </c>
      <c r="P348" t="str">
        <f t="shared" si="31"/>
        <v/>
      </c>
      <c r="Q348" t="str">
        <f>IF($AS348="","",INDEX('TMP Paste'!$J$2:$J$1601,$AS348))</f>
        <v/>
      </c>
      <c r="R348" t="str">
        <f>IF($AS348="","",Config!$B$24)</f>
        <v/>
      </c>
      <c r="S348" t="str">
        <f ca="1">IF($AS348="","",TEXT(Config!$B$4,"yyyy-mm-dd"))</f>
        <v/>
      </c>
      <c r="T348" t="str">
        <f>IF($AS348="","",Config!$B$17)</f>
        <v/>
      </c>
      <c r="U348" t="str">
        <f>IF($AS348="","",Config!$B$18)</f>
        <v/>
      </c>
      <c r="V348" t="str">
        <f>IF($AS348="","",Config!$B$19)</f>
        <v/>
      </c>
      <c r="W348" t="str">
        <f>IF($AS348="","",INDEX('TMP Paste'!$C$2:$C$1601,$AS348))</f>
        <v/>
      </c>
      <c r="X348" t="str">
        <f>IF($AS348="","",Config!$B$29)</f>
        <v/>
      </c>
      <c r="Y348" t="str">
        <f>IF($AT348="","",INDEX(Calc!$I$2:$I$1601,$AT348)&amp;" - "&amp;INDEX(Calc!$D$2:$D$1601,$AT348)&amp;" koli")</f>
        <v/>
      </c>
      <c r="Z348" t="str">
        <f>IF($AS348="","",Config!$B$21)</f>
        <v/>
      </c>
      <c r="AA348" t="str">
        <f>IF($AS348="","",Config!$B$22)</f>
        <v/>
      </c>
      <c r="AB348" t="str">
        <f>IF($AT348="","",INDEX(Calc!$D$2:$D$1601,$AT348))</f>
        <v/>
      </c>
      <c r="AC348" t="str">
        <f>IF($AT348="","",INDEX(Calc!$G$2:$G$1601,$AT348))</f>
        <v/>
      </c>
      <c r="AD348" t="str">
        <f>IF($AS348="","",Config!$B$23)</f>
        <v/>
      </c>
      <c r="AE348" t="str">
        <f>IF($AS348="","",Config!$B$28)</f>
        <v/>
      </c>
      <c r="AF348" t="str">
        <f t="shared" si="32"/>
        <v/>
      </c>
      <c r="AG348" t="str">
        <f t="shared" si="33"/>
        <v/>
      </c>
      <c r="AH348" t="str">
        <f t="shared" si="34"/>
        <v/>
      </c>
      <c r="AI348" t="str">
        <f>IF($AG348="","",SUMIF($AG$2:$AG348,$AG348,$AH$2:$AH348))</f>
        <v/>
      </c>
      <c r="AJ348" t="str">
        <f>IF('TMP Paste'!$F348="","",IF('TMP Paste'!$B348="",$AJ347,'TMP Paste'!$B348))</f>
        <v/>
      </c>
      <c r="AK348" t="str">
        <f>IF('TMP Paste'!$F348="","",N('TMP Paste'!$G348))</f>
        <v/>
      </c>
      <c r="AL348" t="str">
        <f>IF('TMP Paste'!$F348="","",IF('TMP Paste'!$M348="",$AL347,'TMP Paste'!$M348))</f>
        <v/>
      </c>
      <c r="AM348" t="str">
        <f>IF('TMP Paste'!$F348="","",IF('TMP Paste'!$N348="",$AM347,'TMP Paste'!$N348))</f>
        <v/>
      </c>
      <c r="AN348" t="str">
        <f>IF('TMP Paste'!$F348="","",IF('TMP Paste'!$O348="",$AN347,'TMP Paste'!$O348))</f>
        <v/>
      </c>
      <c r="AO348" t="str">
        <f>IF('TMP Paste'!$F348="","",IF('TMP Paste'!$P348="",$AO347,'TMP Paste'!$P348))</f>
        <v/>
      </c>
      <c r="AP348" t="str">
        <f t="shared" si="35"/>
        <v/>
      </c>
      <c r="AQ348" t="str">
        <f>IF($AS348="","",TRIM(IF(COUNTIFS(Calc!$B$2:$B$1601,ROW()-1,Calc!$C$2:$C$1601,"&lt;1")&gt;0,"Ada PO tanpa Koli - cek TMP. ","")&amp;IF(OR($AU348="",$AU348&lt;=0),"Volume kosong/0 - dimensi dikosongkan. ","")&amp;IF(AND($AU348&lt;&gt;"",$AU348&gt;=1000000),"Volume &gt;= 1.000.000 cm3 (di luar aturan) - dimensi dikosongkan. ","")&amp;IF(LEN($R348)&gt;500,"R &gt; 500 karakter.","")))</f>
        <v/>
      </c>
      <c r="AS348" t="str">
        <f>IFERROR(MATCH(ROW()-1,Calc!$J$2:$J$1601,0),"")</f>
        <v/>
      </c>
      <c r="AT348" t="str">
        <f>IFERROR(MATCH(ROW()-1,Calc!$K$2:$K$1601,0),"")</f>
        <v/>
      </c>
      <c r="AU348" t="str">
        <f>IF($AS348="","",IFERROR(INDEX('TMP Paste'!$D$2:$D$1601,$AS348)*1000000/$AB348,""))</f>
        <v/>
      </c>
    </row>
    <row r="349" spans="1:47">
      <c r="A349" t="str">
        <f>IF($AS349="","",INDEX('TMP Paste'!$B$2:$B$1601,$AS349))</f>
        <v/>
      </c>
      <c r="B349" t="str">
        <f>IF($AS349="","",Config!$B$14)</f>
        <v/>
      </c>
      <c r="C349" t="str">
        <f>IF($AS349="","",Config!$B$15)</f>
        <v/>
      </c>
      <c r="D349" t="str">
        <f>IF($AS349="","",INDEX('TMP Paste'!$B$2:$B$1601,$AS349))</f>
        <v/>
      </c>
      <c r="E349" t="str">
        <f>IF($AS349="","",Config!$B$27)</f>
        <v/>
      </c>
      <c r="F349" t="str">
        <f>IF($AS349="","",Config!$B$9)</f>
        <v/>
      </c>
      <c r="G349" t="str">
        <f>IF($AS349="","",Config!$B$10)</f>
        <v/>
      </c>
      <c r="H349" t="str">
        <f>IF($AS349="","",Config!$B$11)</f>
        <v/>
      </c>
      <c r="I349" t="str">
        <f>IF($AS349="","",Config!$B$16)</f>
        <v/>
      </c>
      <c r="J349" t="str">
        <f>IF($AS349="","",INDEX('TMP Paste'!$A$2:$A$1601,$AS349))</f>
        <v/>
      </c>
      <c r="K349" t="str">
        <f>IF($AS349="","",INDEX('TMP Paste'!$L$2:$L$1601,$AS349))</f>
        <v/>
      </c>
      <c r="L349" t="str">
        <f>IF($AS349="","",INDEX('TMP Paste'!$I$2:$I$1601,$AS349))</f>
        <v/>
      </c>
      <c r="M349" t="str">
        <f>IF($AS349="","",Config!$B$16)</f>
        <v/>
      </c>
      <c r="N349" t="str">
        <f t="shared" si="30"/>
        <v/>
      </c>
      <c r="O349" t="str">
        <f>IF($AS349="","",INDEX('TMP Paste'!$K$2:$K$1601,$AS349))</f>
        <v/>
      </c>
      <c r="P349" t="str">
        <f t="shared" si="31"/>
        <v/>
      </c>
      <c r="Q349" t="str">
        <f>IF($AS349="","",INDEX('TMP Paste'!$J$2:$J$1601,$AS349))</f>
        <v/>
      </c>
      <c r="R349" t="str">
        <f>IF($AS349="","",Config!$B$24)</f>
        <v/>
      </c>
      <c r="S349" t="str">
        <f ca="1">IF($AS349="","",TEXT(Config!$B$4,"yyyy-mm-dd"))</f>
        <v/>
      </c>
      <c r="T349" t="str">
        <f>IF($AS349="","",Config!$B$17)</f>
        <v/>
      </c>
      <c r="U349" t="str">
        <f>IF($AS349="","",Config!$B$18)</f>
        <v/>
      </c>
      <c r="V349" t="str">
        <f>IF($AS349="","",Config!$B$19)</f>
        <v/>
      </c>
      <c r="W349" t="str">
        <f>IF($AS349="","",INDEX('TMP Paste'!$C$2:$C$1601,$AS349))</f>
        <v/>
      </c>
      <c r="X349" t="str">
        <f>IF($AS349="","",Config!$B$29)</f>
        <v/>
      </c>
      <c r="Y349" t="str">
        <f>IF($AT349="","",INDEX(Calc!$I$2:$I$1601,$AT349)&amp;" - "&amp;INDEX(Calc!$D$2:$D$1601,$AT349)&amp;" koli")</f>
        <v/>
      </c>
      <c r="Z349" t="str">
        <f>IF($AS349="","",Config!$B$21)</f>
        <v/>
      </c>
      <c r="AA349" t="str">
        <f>IF($AS349="","",Config!$B$22)</f>
        <v/>
      </c>
      <c r="AB349" t="str">
        <f>IF($AT349="","",INDEX(Calc!$D$2:$D$1601,$AT349))</f>
        <v/>
      </c>
      <c r="AC349" t="str">
        <f>IF($AT349="","",INDEX(Calc!$G$2:$G$1601,$AT349))</f>
        <v/>
      </c>
      <c r="AD349" t="str">
        <f>IF($AS349="","",Config!$B$23)</f>
        <v/>
      </c>
      <c r="AE349" t="str">
        <f>IF($AS349="","",Config!$B$28)</f>
        <v/>
      </c>
      <c r="AF349" t="str">
        <f t="shared" si="32"/>
        <v/>
      </c>
      <c r="AG349" t="str">
        <f t="shared" si="33"/>
        <v/>
      </c>
      <c r="AH349" t="str">
        <f t="shared" si="34"/>
        <v/>
      </c>
      <c r="AI349" t="str">
        <f>IF($AG349="","",SUMIF($AG$2:$AG349,$AG349,$AH$2:$AH349))</f>
        <v/>
      </c>
      <c r="AJ349" t="str">
        <f>IF('TMP Paste'!$F349="","",IF('TMP Paste'!$B349="",$AJ348,'TMP Paste'!$B349))</f>
        <v/>
      </c>
      <c r="AK349" t="str">
        <f>IF('TMP Paste'!$F349="","",N('TMP Paste'!$G349))</f>
        <v/>
      </c>
      <c r="AL349" t="str">
        <f>IF('TMP Paste'!$F349="","",IF('TMP Paste'!$M349="",$AL348,'TMP Paste'!$M349))</f>
        <v/>
      </c>
      <c r="AM349" t="str">
        <f>IF('TMP Paste'!$F349="","",IF('TMP Paste'!$N349="",$AM348,'TMP Paste'!$N349))</f>
        <v/>
      </c>
      <c r="AN349" t="str">
        <f>IF('TMP Paste'!$F349="","",IF('TMP Paste'!$O349="",$AN348,'TMP Paste'!$O349))</f>
        <v/>
      </c>
      <c r="AO349" t="str">
        <f>IF('TMP Paste'!$F349="","",IF('TMP Paste'!$P349="",$AO348,'TMP Paste'!$P349))</f>
        <v/>
      </c>
      <c r="AP349" t="str">
        <f t="shared" si="35"/>
        <v/>
      </c>
      <c r="AQ349" t="str">
        <f>IF($AS349="","",TRIM(IF(COUNTIFS(Calc!$B$2:$B$1601,ROW()-1,Calc!$C$2:$C$1601,"&lt;1")&gt;0,"Ada PO tanpa Koli - cek TMP. ","")&amp;IF(OR($AU349="",$AU349&lt;=0),"Volume kosong/0 - dimensi dikosongkan. ","")&amp;IF(AND($AU349&lt;&gt;"",$AU349&gt;=1000000),"Volume &gt;= 1.000.000 cm3 (di luar aturan) - dimensi dikosongkan. ","")&amp;IF(LEN($R349)&gt;500,"R &gt; 500 karakter.","")))</f>
        <v/>
      </c>
      <c r="AS349" t="str">
        <f>IFERROR(MATCH(ROW()-1,Calc!$J$2:$J$1601,0),"")</f>
        <v/>
      </c>
      <c r="AT349" t="str">
        <f>IFERROR(MATCH(ROW()-1,Calc!$K$2:$K$1601,0),"")</f>
        <v/>
      </c>
      <c r="AU349" t="str">
        <f>IF($AS349="","",IFERROR(INDEX('TMP Paste'!$D$2:$D$1601,$AS349)*1000000/$AB349,""))</f>
        <v/>
      </c>
    </row>
    <row r="350" spans="1:47">
      <c r="A350" t="str">
        <f>IF($AS350="","",INDEX('TMP Paste'!$B$2:$B$1601,$AS350))</f>
        <v/>
      </c>
      <c r="B350" t="str">
        <f>IF($AS350="","",Config!$B$14)</f>
        <v/>
      </c>
      <c r="C350" t="str">
        <f>IF($AS350="","",Config!$B$15)</f>
        <v/>
      </c>
      <c r="D350" t="str">
        <f>IF($AS350="","",INDEX('TMP Paste'!$B$2:$B$1601,$AS350))</f>
        <v/>
      </c>
      <c r="E350" t="str">
        <f>IF($AS350="","",Config!$B$27)</f>
        <v/>
      </c>
      <c r="F350" t="str">
        <f>IF($AS350="","",Config!$B$9)</f>
        <v/>
      </c>
      <c r="G350" t="str">
        <f>IF($AS350="","",Config!$B$10)</f>
        <v/>
      </c>
      <c r="H350" t="str">
        <f>IF($AS350="","",Config!$B$11)</f>
        <v/>
      </c>
      <c r="I350" t="str">
        <f>IF($AS350="","",Config!$B$16)</f>
        <v/>
      </c>
      <c r="J350" t="str">
        <f>IF($AS350="","",INDEX('TMP Paste'!$A$2:$A$1601,$AS350))</f>
        <v/>
      </c>
      <c r="K350" t="str">
        <f>IF($AS350="","",INDEX('TMP Paste'!$L$2:$L$1601,$AS350))</f>
        <v/>
      </c>
      <c r="L350" t="str">
        <f>IF($AS350="","",INDEX('TMP Paste'!$I$2:$I$1601,$AS350))</f>
        <v/>
      </c>
      <c r="M350" t="str">
        <f>IF($AS350="","",Config!$B$16)</f>
        <v/>
      </c>
      <c r="N350" t="str">
        <f t="shared" si="30"/>
        <v/>
      </c>
      <c r="O350" t="str">
        <f>IF($AS350="","",INDEX('TMP Paste'!$K$2:$K$1601,$AS350))</f>
        <v/>
      </c>
      <c r="P350" t="str">
        <f t="shared" si="31"/>
        <v/>
      </c>
      <c r="Q350" t="str">
        <f>IF($AS350="","",INDEX('TMP Paste'!$J$2:$J$1601,$AS350))</f>
        <v/>
      </c>
      <c r="R350" t="str">
        <f>IF($AS350="","",Config!$B$24)</f>
        <v/>
      </c>
      <c r="S350" t="str">
        <f ca="1">IF($AS350="","",TEXT(Config!$B$4,"yyyy-mm-dd"))</f>
        <v/>
      </c>
      <c r="T350" t="str">
        <f>IF($AS350="","",Config!$B$17)</f>
        <v/>
      </c>
      <c r="U350" t="str">
        <f>IF($AS350="","",Config!$B$18)</f>
        <v/>
      </c>
      <c r="V350" t="str">
        <f>IF($AS350="","",Config!$B$19)</f>
        <v/>
      </c>
      <c r="W350" t="str">
        <f>IF($AS350="","",INDEX('TMP Paste'!$C$2:$C$1601,$AS350))</f>
        <v/>
      </c>
      <c r="X350" t="str">
        <f>IF($AS350="","",Config!$B$29)</f>
        <v/>
      </c>
      <c r="Y350" t="str">
        <f>IF($AT350="","",INDEX(Calc!$I$2:$I$1601,$AT350)&amp;" - "&amp;INDEX(Calc!$D$2:$D$1601,$AT350)&amp;" koli")</f>
        <v/>
      </c>
      <c r="Z350" t="str">
        <f>IF($AS350="","",Config!$B$21)</f>
        <v/>
      </c>
      <c r="AA350" t="str">
        <f>IF($AS350="","",Config!$B$22)</f>
        <v/>
      </c>
      <c r="AB350" t="str">
        <f>IF($AT350="","",INDEX(Calc!$D$2:$D$1601,$AT350))</f>
        <v/>
      </c>
      <c r="AC350" t="str">
        <f>IF($AT350="","",INDEX(Calc!$G$2:$G$1601,$AT350))</f>
        <v/>
      </c>
      <c r="AD350" t="str">
        <f>IF($AS350="","",Config!$B$23)</f>
        <v/>
      </c>
      <c r="AE350" t="str">
        <f>IF($AS350="","",Config!$B$28)</f>
        <v/>
      </c>
      <c r="AF350" t="str">
        <f t="shared" si="32"/>
        <v/>
      </c>
      <c r="AG350" t="str">
        <f t="shared" si="33"/>
        <v/>
      </c>
      <c r="AH350" t="str">
        <f t="shared" si="34"/>
        <v/>
      </c>
      <c r="AI350" t="str">
        <f>IF($AG350="","",SUMIF($AG$2:$AG350,$AG350,$AH$2:$AH350))</f>
        <v/>
      </c>
      <c r="AJ350" t="str">
        <f>IF('TMP Paste'!$F350="","",IF('TMP Paste'!$B350="",$AJ349,'TMP Paste'!$B350))</f>
        <v/>
      </c>
      <c r="AK350" t="str">
        <f>IF('TMP Paste'!$F350="","",N('TMP Paste'!$G350))</f>
        <v/>
      </c>
      <c r="AL350" t="str">
        <f>IF('TMP Paste'!$F350="","",IF('TMP Paste'!$M350="",$AL349,'TMP Paste'!$M350))</f>
        <v/>
      </c>
      <c r="AM350" t="str">
        <f>IF('TMP Paste'!$F350="","",IF('TMP Paste'!$N350="",$AM349,'TMP Paste'!$N350))</f>
        <v/>
      </c>
      <c r="AN350" t="str">
        <f>IF('TMP Paste'!$F350="","",IF('TMP Paste'!$O350="",$AN349,'TMP Paste'!$O350))</f>
        <v/>
      </c>
      <c r="AO350" t="str">
        <f>IF('TMP Paste'!$F350="","",IF('TMP Paste'!$P350="",$AO349,'TMP Paste'!$P350))</f>
        <v/>
      </c>
      <c r="AP350" t="str">
        <f t="shared" si="35"/>
        <v/>
      </c>
      <c r="AQ350" t="str">
        <f>IF($AS350="","",TRIM(IF(COUNTIFS(Calc!$B$2:$B$1601,ROW()-1,Calc!$C$2:$C$1601,"&lt;1")&gt;0,"Ada PO tanpa Koli - cek TMP. ","")&amp;IF(OR($AU350="",$AU350&lt;=0),"Volume kosong/0 - dimensi dikosongkan. ","")&amp;IF(AND($AU350&lt;&gt;"",$AU350&gt;=1000000),"Volume &gt;= 1.000.000 cm3 (di luar aturan) - dimensi dikosongkan. ","")&amp;IF(LEN($R350)&gt;500,"R &gt; 500 karakter.","")))</f>
        <v/>
      </c>
      <c r="AS350" t="str">
        <f>IFERROR(MATCH(ROW()-1,Calc!$J$2:$J$1601,0),"")</f>
        <v/>
      </c>
      <c r="AT350" t="str">
        <f>IFERROR(MATCH(ROW()-1,Calc!$K$2:$K$1601,0),"")</f>
        <v/>
      </c>
      <c r="AU350" t="str">
        <f>IF($AS350="","",IFERROR(INDEX('TMP Paste'!$D$2:$D$1601,$AS350)*1000000/$AB350,""))</f>
        <v/>
      </c>
    </row>
    <row r="351" spans="1:47">
      <c r="A351" t="str">
        <f>IF($AS351="","",INDEX('TMP Paste'!$B$2:$B$1601,$AS351))</f>
        <v/>
      </c>
      <c r="B351" t="str">
        <f>IF($AS351="","",Config!$B$14)</f>
        <v/>
      </c>
      <c r="C351" t="str">
        <f>IF($AS351="","",Config!$B$15)</f>
        <v/>
      </c>
      <c r="D351" t="str">
        <f>IF($AS351="","",INDEX('TMP Paste'!$B$2:$B$1601,$AS351))</f>
        <v/>
      </c>
      <c r="E351" t="str">
        <f>IF($AS351="","",Config!$B$27)</f>
        <v/>
      </c>
      <c r="F351" t="str">
        <f>IF($AS351="","",Config!$B$9)</f>
        <v/>
      </c>
      <c r="G351" t="str">
        <f>IF($AS351="","",Config!$B$10)</f>
        <v/>
      </c>
      <c r="H351" t="str">
        <f>IF($AS351="","",Config!$B$11)</f>
        <v/>
      </c>
      <c r="I351" t="str">
        <f>IF($AS351="","",Config!$B$16)</f>
        <v/>
      </c>
      <c r="J351" t="str">
        <f>IF($AS351="","",INDEX('TMP Paste'!$A$2:$A$1601,$AS351))</f>
        <v/>
      </c>
      <c r="K351" t="str">
        <f>IF($AS351="","",INDEX('TMP Paste'!$L$2:$L$1601,$AS351))</f>
        <v/>
      </c>
      <c r="L351" t="str">
        <f>IF($AS351="","",INDEX('TMP Paste'!$I$2:$I$1601,$AS351))</f>
        <v/>
      </c>
      <c r="M351" t="str">
        <f>IF($AS351="","",Config!$B$16)</f>
        <v/>
      </c>
      <c r="N351" t="str">
        <f t="shared" si="30"/>
        <v/>
      </c>
      <c r="O351" t="str">
        <f>IF($AS351="","",INDEX('TMP Paste'!$K$2:$K$1601,$AS351))</f>
        <v/>
      </c>
      <c r="P351" t="str">
        <f t="shared" si="31"/>
        <v/>
      </c>
      <c r="Q351" t="str">
        <f>IF($AS351="","",INDEX('TMP Paste'!$J$2:$J$1601,$AS351))</f>
        <v/>
      </c>
      <c r="R351" t="str">
        <f>IF($AS351="","",Config!$B$24)</f>
        <v/>
      </c>
      <c r="S351" t="str">
        <f ca="1">IF($AS351="","",TEXT(Config!$B$4,"yyyy-mm-dd"))</f>
        <v/>
      </c>
      <c r="T351" t="str">
        <f>IF($AS351="","",Config!$B$17)</f>
        <v/>
      </c>
      <c r="U351" t="str">
        <f>IF($AS351="","",Config!$B$18)</f>
        <v/>
      </c>
      <c r="V351" t="str">
        <f>IF($AS351="","",Config!$B$19)</f>
        <v/>
      </c>
      <c r="W351" t="str">
        <f>IF($AS351="","",INDEX('TMP Paste'!$C$2:$C$1601,$AS351))</f>
        <v/>
      </c>
      <c r="X351" t="str">
        <f>IF($AS351="","",Config!$B$29)</f>
        <v/>
      </c>
      <c r="Y351" t="str">
        <f>IF($AT351="","",INDEX(Calc!$I$2:$I$1601,$AT351)&amp;" - "&amp;INDEX(Calc!$D$2:$D$1601,$AT351)&amp;" koli")</f>
        <v/>
      </c>
      <c r="Z351" t="str">
        <f>IF($AS351="","",Config!$B$21)</f>
        <v/>
      </c>
      <c r="AA351" t="str">
        <f>IF($AS351="","",Config!$B$22)</f>
        <v/>
      </c>
      <c r="AB351" t="str">
        <f>IF($AT351="","",INDEX(Calc!$D$2:$D$1601,$AT351))</f>
        <v/>
      </c>
      <c r="AC351" t="str">
        <f>IF($AT351="","",INDEX(Calc!$G$2:$G$1601,$AT351))</f>
        <v/>
      </c>
      <c r="AD351" t="str">
        <f>IF($AS351="","",Config!$B$23)</f>
        <v/>
      </c>
      <c r="AE351" t="str">
        <f>IF($AS351="","",Config!$B$28)</f>
        <v/>
      </c>
      <c r="AF351" t="str">
        <f t="shared" si="32"/>
        <v/>
      </c>
      <c r="AG351" t="str">
        <f t="shared" si="33"/>
        <v/>
      </c>
      <c r="AH351" t="str">
        <f t="shared" si="34"/>
        <v/>
      </c>
      <c r="AI351" t="str">
        <f>IF($AG351="","",SUMIF($AG$2:$AG351,$AG351,$AH$2:$AH351))</f>
        <v/>
      </c>
      <c r="AJ351" t="str">
        <f>IF('TMP Paste'!$F351="","",IF('TMP Paste'!$B351="",$AJ350,'TMP Paste'!$B351))</f>
        <v/>
      </c>
      <c r="AK351" t="str">
        <f>IF('TMP Paste'!$F351="","",N('TMP Paste'!$G351))</f>
        <v/>
      </c>
      <c r="AL351" t="str">
        <f>IF('TMP Paste'!$F351="","",IF('TMP Paste'!$M351="",$AL350,'TMP Paste'!$M351))</f>
        <v/>
      </c>
      <c r="AM351" t="str">
        <f>IF('TMP Paste'!$F351="","",IF('TMP Paste'!$N351="",$AM350,'TMP Paste'!$N351))</f>
        <v/>
      </c>
      <c r="AN351" t="str">
        <f>IF('TMP Paste'!$F351="","",IF('TMP Paste'!$O351="",$AN350,'TMP Paste'!$O351))</f>
        <v/>
      </c>
      <c r="AO351" t="str">
        <f>IF('TMP Paste'!$F351="","",IF('TMP Paste'!$P351="",$AO350,'TMP Paste'!$P351))</f>
        <v/>
      </c>
      <c r="AP351" t="str">
        <f t="shared" si="35"/>
        <v/>
      </c>
      <c r="AQ351" t="str">
        <f>IF($AS351="","",TRIM(IF(COUNTIFS(Calc!$B$2:$B$1601,ROW()-1,Calc!$C$2:$C$1601,"&lt;1")&gt;0,"Ada PO tanpa Koli - cek TMP. ","")&amp;IF(OR($AU351="",$AU351&lt;=0),"Volume kosong/0 - dimensi dikosongkan. ","")&amp;IF(AND($AU351&lt;&gt;"",$AU351&gt;=1000000),"Volume &gt;= 1.000.000 cm3 (di luar aturan) - dimensi dikosongkan. ","")&amp;IF(LEN($R351)&gt;500,"R &gt; 500 karakter.","")))</f>
        <v/>
      </c>
      <c r="AS351" t="str">
        <f>IFERROR(MATCH(ROW()-1,Calc!$J$2:$J$1601,0),"")</f>
        <v/>
      </c>
      <c r="AT351" t="str">
        <f>IFERROR(MATCH(ROW()-1,Calc!$K$2:$K$1601,0),"")</f>
        <v/>
      </c>
      <c r="AU351" t="str">
        <f>IF($AS351="","",IFERROR(INDEX('TMP Paste'!$D$2:$D$1601,$AS351)*1000000/$AB351,""))</f>
        <v/>
      </c>
    </row>
    <row r="352" spans="1:47">
      <c r="A352" t="str">
        <f>IF($AS352="","",INDEX('TMP Paste'!$B$2:$B$1601,$AS352))</f>
        <v/>
      </c>
      <c r="B352" t="str">
        <f>IF($AS352="","",Config!$B$14)</f>
        <v/>
      </c>
      <c r="C352" t="str">
        <f>IF($AS352="","",Config!$B$15)</f>
        <v/>
      </c>
      <c r="D352" t="str">
        <f>IF($AS352="","",INDEX('TMP Paste'!$B$2:$B$1601,$AS352))</f>
        <v/>
      </c>
      <c r="E352" t="str">
        <f>IF($AS352="","",Config!$B$27)</f>
        <v/>
      </c>
      <c r="F352" t="str">
        <f>IF($AS352="","",Config!$B$9)</f>
        <v/>
      </c>
      <c r="G352" t="str">
        <f>IF($AS352="","",Config!$B$10)</f>
        <v/>
      </c>
      <c r="H352" t="str">
        <f>IF($AS352="","",Config!$B$11)</f>
        <v/>
      </c>
      <c r="I352" t="str">
        <f>IF($AS352="","",Config!$B$16)</f>
        <v/>
      </c>
      <c r="J352" t="str">
        <f>IF($AS352="","",INDEX('TMP Paste'!$A$2:$A$1601,$AS352))</f>
        <v/>
      </c>
      <c r="K352" t="str">
        <f>IF($AS352="","",INDEX('TMP Paste'!$L$2:$L$1601,$AS352))</f>
        <v/>
      </c>
      <c r="L352" t="str">
        <f>IF($AS352="","",INDEX('TMP Paste'!$I$2:$I$1601,$AS352))</f>
        <v/>
      </c>
      <c r="M352" t="str">
        <f>IF($AS352="","",Config!$B$16)</f>
        <v/>
      </c>
      <c r="N352" t="str">
        <f t="shared" si="30"/>
        <v/>
      </c>
      <c r="O352" t="str">
        <f>IF($AS352="","",INDEX('TMP Paste'!$K$2:$K$1601,$AS352))</f>
        <v/>
      </c>
      <c r="P352" t="str">
        <f t="shared" si="31"/>
        <v/>
      </c>
      <c r="Q352" t="str">
        <f>IF($AS352="","",INDEX('TMP Paste'!$J$2:$J$1601,$AS352))</f>
        <v/>
      </c>
      <c r="R352" t="str">
        <f>IF($AS352="","",Config!$B$24)</f>
        <v/>
      </c>
      <c r="S352" t="str">
        <f ca="1">IF($AS352="","",TEXT(Config!$B$4,"yyyy-mm-dd"))</f>
        <v/>
      </c>
      <c r="T352" t="str">
        <f>IF($AS352="","",Config!$B$17)</f>
        <v/>
      </c>
      <c r="U352" t="str">
        <f>IF($AS352="","",Config!$B$18)</f>
        <v/>
      </c>
      <c r="V352" t="str">
        <f>IF($AS352="","",Config!$B$19)</f>
        <v/>
      </c>
      <c r="W352" t="str">
        <f>IF($AS352="","",INDEX('TMP Paste'!$C$2:$C$1601,$AS352))</f>
        <v/>
      </c>
      <c r="X352" t="str">
        <f>IF($AS352="","",Config!$B$29)</f>
        <v/>
      </c>
      <c r="Y352" t="str">
        <f>IF($AT352="","",INDEX(Calc!$I$2:$I$1601,$AT352)&amp;" - "&amp;INDEX(Calc!$D$2:$D$1601,$AT352)&amp;" koli")</f>
        <v/>
      </c>
      <c r="Z352" t="str">
        <f>IF($AS352="","",Config!$B$21)</f>
        <v/>
      </c>
      <c r="AA352" t="str">
        <f>IF($AS352="","",Config!$B$22)</f>
        <v/>
      </c>
      <c r="AB352" t="str">
        <f>IF($AT352="","",INDEX(Calc!$D$2:$D$1601,$AT352))</f>
        <v/>
      </c>
      <c r="AC352" t="str">
        <f>IF($AT352="","",INDEX(Calc!$G$2:$G$1601,$AT352))</f>
        <v/>
      </c>
      <c r="AD352" t="str">
        <f>IF($AS352="","",Config!$B$23)</f>
        <v/>
      </c>
      <c r="AE352" t="str">
        <f>IF($AS352="","",Config!$B$28)</f>
        <v/>
      </c>
      <c r="AF352" t="str">
        <f t="shared" si="32"/>
        <v/>
      </c>
      <c r="AG352" t="str">
        <f t="shared" si="33"/>
        <v/>
      </c>
      <c r="AH352" t="str">
        <f t="shared" si="34"/>
        <v/>
      </c>
      <c r="AI352" t="str">
        <f>IF($AG352="","",SUMIF($AG$2:$AG352,$AG352,$AH$2:$AH352))</f>
        <v/>
      </c>
      <c r="AJ352" t="str">
        <f>IF('TMP Paste'!$F352="","",IF('TMP Paste'!$B352="",$AJ351,'TMP Paste'!$B352))</f>
        <v/>
      </c>
      <c r="AK352" t="str">
        <f>IF('TMP Paste'!$F352="","",N('TMP Paste'!$G352))</f>
        <v/>
      </c>
      <c r="AL352" t="str">
        <f>IF('TMP Paste'!$F352="","",IF('TMP Paste'!$M352="",$AL351,'TMP Paste'!$M352))</f>
        <v/>
      </c>
      <c r="AM352" t="str">
        <f>IF('TMP Paste'!$F352="","",IF('TMP Paste'!$N352="",$AM351,'TMP Paste'!$N352))</f>
        <v/>
      </c>
      <c r="AN352" t="str">
        <f>IF('TMP Paste'!$F352="","",IF('TMP Paste'!$O352="",$AN351,'TMP Paste'!$O352))</f>
        <v/>
      </c>
      <c r="AO352" t="str">
        <f>IF('TMP Paste'!$F352="","",IF('TMP Paste'!$P352="",$AO351,'TMP Paste'!$P352))</f>
        <v/>
      </c>
      <c r="AP352" t="str">
        <f t="shared" si="35"/>
        <v/>
      </c>
      <c r="AQ352" t="str">
        <f>IF($AS352="","",TRIM(IF(COUNTIFS(Calc!$B$2:$B$1601,ROW()-1,Calc!$C$2:$C$1601,"&lt;1")&gt;0,"Ada PO tanpa Koli - cek TMP. ","")&amp;IF(OR($AU352="",$AU352&lt;=0),"Volume kosong/0 - dimensi dikosongkan. ","")&amp;IF(AND($AU352&lt;&gt;"",$AU352&gt;=1000000),"Volume &gt;= 1.000.000 cm3 (di luar aturan) - dimensi dikosongkan. ","")&amp;IF(LEN($R352)&gt;500,"R &gt; 500 karakter.","")))</f>
        <v/>
      </c>
      <c r="AS352" t="str">
        <f>IFERROR(MATCH(ROW()-1,Calc!$J$2:$J$1601,0),"")</f>
        <v/>
      </c>
      <c r="AT352" t="str">
        <f>IFERROR(MATCH(ROW()-1,Calc!$K$2:$K$1601,0),"")</f>
        <v/>
      </c>
      <c r="AU352" t="str">
        <f>IF($AS352="","",IFERROR(INDEX('TMP Paste'!$D$2:$D$1601,$AS352)*1000000/$AB352,""))</f>
        <v/>
      </c>
    </row>
    <row r="353" spans="1:47">
      <c r="A353" t="str">
        <f>IF($AS353="","",INDEX('TMP Paste'!$B$2:$B$1601,$AS353))</f>
        <v/>
      </c>
      <c r="B353" t="str">
        <f>IF($AS353="","",Config!$B$14)</f>
        <v/>
      </c>
      <c r="C353" t="str">
        <f>IF($AS353="","",Config!$B$15)</f>
        <v/>
      </c>
      <c r="D353" t="str">
        <f>IF($AS353="","",INDEX('TMP Paste'!$B$2:$B$1601,$AS353))</f>
        <v/>
      </c>
      <c r="E353" t="str">
        <f>IF($AS353="","",Config!$B$27)</f>
        <v/>
      </c>
      <c r="F353" t="str">
        <f>IF($AS353="","",Config!$B$9)</f>
        <v/>
      </c>
      <c r="G353" t="str">
        <f>IF($AS353="","",Config!$B$10)</f>
        <v/>
      </c>
      <c r="H353" t="str">
        <f>IF($AS353="","",Config!$B$11)</f>
        <v/>
      </c>
      <c r="I353" t="str">
        <f>IF($AS353="","",Config!$B$16)</f>
        <v/>
      </c>
      <c r="J353" t="str">
        <f>IF($AS353="","",INDEX('TMP Paste'!$A$2:$A$1601,$AS353))</f>
        <v/>
      </c>
      <c r="K353" t="str">
        <f>IF($AS353="","",INDEX('TMP Paste'!$L$2:$L$1601,$AS353))</f>
        <v/>
      </c>
      <c r="L353" t="str">
        <f>IF($AS353="","",INDEX('TMP Paste'!$I$2:$I$1601,$AS353))</f>
        <v/>
      </c>
      <c r="M353" t="str">
        <f>IF($AS353="","",Config!$B$16)</f>
        <v/>
      </c>
      <c r="N353" t="str">
        <f t="shared" si="30"/>
        <v/>
      </c>
      <c r="O353" t="str">
        <f>IF($AS353="","",INDEX('TMP Paste'!$K$2:$K$1601,$AS353))</f>
        <v/>
      </c>
      <c r="P353" t="str">
        <f t="shared" si="31"/>
        <v/>
      </c>
      <c r="Q353" t="str">
        <f>IF($AS353="","",INDEX('TMP Paste'!$J$2:$J$1601,$AS353))</f>
        <v/>
      </c>
      <c r="R353" t="str">
        <f>IF($AS353="","",Config!$B$24)</f>
        <v/>
      </c>
      <c r="S353" t="str">
        <f ca="1">IF($AS353="","",TEXT(Config!$B$4,"yyyy-mm-dd"))</f>
        <v/>
      </c>
      <c r="T353" t="str">
        <f>IF($AS353="","",Config!$B$17)</f>
        <v/>
      </c>
      <c r="U353" t="str">
        <f>IF($AS353="","",Config!$B$18)</f>
        <v/>
      </c>
      <c r="V353" t="str">
        <f>IF($AS353="","",Config!$B$19)</f>
        <v/>
      </c>
      <c r="W353" t="str">
        <f>IF($AS353="","",INDEX('TMP Paste'!$C$2:$C$1601,$AS353))</f>
        <v/>
      </c>
      <c r="X353" t="str">
        <f>IF($AS353="","",Config!$B$29)</f>
        <v/>
      </c>
      <c r="Y353" t="str">
        <f>IF($AT353="","",INDEX(Calc!$I$2:$I$1601,$AT353)&amp;" - "&amp;INDEX(Calc!$D$2:$D$1601,$AT353)&amp;" koli")</f>
        <v/>
      </c>
      <c r="Z353" t="str">
        <f>IF($AS353="","",Config!$B$21)</f>
        <v/>
      </c>
      <c r="AA353" t="str">
        <f>IF($AS353="","",Config!$B$22)</f>
        <v/>
      </c>
      <c r="AB353" t="str">
        <f>IF($AT353="","",INDEX(Calc!$D$2:$D$1601,$AT353))</f>
        <v/>
      </c>
      <c r="AC353" t="str">
        <f>IF($AT353="","",INDEX(Calc!$G$2:$G$1601,$AT353))</f>
        <v/>
      </c>
      <c r="AD353" t="str">
        <f>IF($AS353="","",Config!$B$23)</f>
        <v/>
      </c>
      <c r="AE353" t="str">
        <f>IF($AS353="","",Config!$B$28)</f>
        <v/>
      </c>
      <c r="AF353" t="str">
        <f t="shared" si="32"/>
        <v/>
      </c>
      <c r="AG353" t="str">
        <f t="shared" si="33"/>
        <v/>
      </c>
      <c r="AH353" t="str">
        <f t="shared" si="34"/>
        <v/>
      </c>
      <c r="AI353" t="str">
        <f>IF($AG353="","",SUMIF($AG$2:$AG353,$AG353,$AH$2:$AH353))</f>
        <v/>
      </c>
      <c r="AJ353" t="str">
        <f>IF('TMP Paste'!$F353="","",IF('TMP Paste'!$B353="",$AJ352,'TMP Paste'!$B353))</f>
        <v/>
      </c>
      <c r="AK353" t="str">
        <f>IF('TMP Paste'!$F353="","",N('TMP Paste'!$G353))</f>
        <v/>
      </c>
      <c r="AL353" t="str">
        <f>IF('TMP Paste'!$F353="","",IF('TMP Paste'!$M353="",$AL352,'TMP Paste'!$M353))</f>
        <v/>
      </c>
      <c r="AM353" t="str">
        <f>IF('TMP Paste'!$F353="","",IF('TMP Paste'!$N353="",$AM352,'TMP Paste'!$N353))</f>
        <v/>
      </c>
      <c r="AN353" t="str">
        <f>IF('TMP Paste'!$F353="","",IF('TMP Paste'!$O353="",$AN352,'TMP Paste'!$O353))</f>
        <v/>
      </c>
      <c r="AO353" t="str">
        <f>IF('TMP Paste'!$F353="","",IF('TMP Paste'!$P353="",$AO352,'TMP Paste'!$P353))</f>
        <v/>
      </c>
      <c r="AP353" t="str">
        <f t="shared" si="35"/>
        <v/>
      </c>
      <c r="AQ353" t="str">
        <f>IF($AS353="","",TRIM(IF(COUNTIFS(Calc!$B$2:$B$1601,ROW()-1,Calc!$C$2:$C$1601,"&lt;1")&gt;0,"Ada PO tanpa Koli - cek TMP. ","")&amp;IF(OR($AU353="",$AU353&lt;=0),"Volume kosong/0 - dimensi dikosongkan. ","")&amp;IF(AND($AU353&lt;&gt;"",$AU353&gt;=1000000),"Volume &gt;= 1.000.000 cm3 (di luar aturan) - dimensi dikosongkan. ","")&amp;IF(LEN($R353)&gt;500,"R &gt; 500 karakter.","")))</f>
        <v/>
      </c>
      <c r="AS353" t="str">
        <f>IFERROR(MATCH(ROW()-1,Calc!$J$2:$J$1601,0),"")</f>
        <v/>
      </c>
      <c r="AT353" t="str">
        <f>IFERROR(MATCH(ROW()-1,Calc!$K$2:$K$1601,0),"")</f>
        <v/>
      </c>
      <c r="AU353" t="str">
        <f>IF($AS353="","",IFERROR(INDEX('TMP Paste'!$D$2:$D$1601,$AS353)*1000000/$AB353,""))</f>
        <v/>
      </c>
    </row>
    <row r="354" spans="1:47">
      <c r="A354" t="str">
        <f>IF($AS354="","",INDEX('TMP Paste'!$B$2:$B$1601,$AS354))</f>
        <v/>
      </c>
      <c r="B354" t="str">
        <f>IF($AS354="","",Config!$B$14)</f>
        <v/>
      </c>
      <c r="C354" t="str">
        <f>IF($AS354="","",Config!$B$15)</f>
        <v/>
      </c>
      <c r="D354" t="str">
        <f>IF($AS354="","",INDEX('TMP Paste'!$B$2:$B$1601,$AS354))</f>
        <v/>
      </c>
      <c r="E354" t="str">
        <f>IF($AS354="","",Config!$B$27)</f>
        <v/>
      </c>
      <c r="F354" t="str">
        <f>IF($AS354="","",Config!$B$9)</f>
        <v/>
      </c>
      <c r="G354" t="str">
        <f>IF($AS354="","",Config!$B$10)</f>
        <v/>
      </c>
      <c r="H354" t="str">
        <f>IF($AS354="","",Config!$B$11)</f>
        <v/>
      </c>
      <c r="I354" t="str">
        <f>IF($AS354="","",Config!$B$16)</f>
        <v/>
      </c>
      <c r="J354" t="str">
        <f>IF($AS354="","",INDEX('TMP Paste'!$A$2:$A$1601,$AS354))</f>
        <v/>
      </c>
      <c r="K354" t="str">
        <f>IF($AS354="","",INDEX('TMP Paste'!$L$2:$L$1601,$AS354))</f>
        <v/>
      </c>
      <c r="L354" t="str">
        <f>IF($AS354="","",INDEX('TMP Paste'!$I$2:$I$1601,$AS354))</f>
        <v/>
      </c>
      <c r="M354" t="str">
        <f>IF($AS354="","",Config!$B$16)</f>
        <v/>
      </c>
      <c r="N354" t="str">
        <f t="shared" si="30"/>
        <v/>
      </c>
      <c r="O354" t="str">
        <f>IF($AS354="","",INDEX('TMP Paste'!$K$2:$K$1601,$AS354))</f>
        <v/>
      </c>
      <c r="P354" t="str">
        <f t="shared" si="31"/>
        <v/>
      </c>
      <c r="Q354" t="str">
        <f>IF($AS354="","",INDEX('TMP Paste'!$J$2:$J$1601,$AS354))</f>
        <v/>
      </c>
      <c r="R354" t="str">
        <f>IF($AS354="","",Config!$B$24)</f>
        <v/>
      </c>
      <c r="S354" t="str">
        <f ca="1">IF($AS354="","",TEXT(Config!$B$4,"yyyy-mm-dd"))</f>
        <v/>
      </c>
      <c r="T354" t="str">
        <f>IF($AS354="","",Config!$B$17)</f>
        <v/>
      </c>
      <c r="U354" t="str">
        <f>IF($AS354="","",Config!$B$18)</f>
        <v/>
      </c>
      <c r="V354" t="str">
        <f>IF($AS354="","",Config!$B$19)</f>
        <v/>
      </c>
      <c r="W354" t="str">
        <f>IF($AS354="","",INDEX('TMP Paste'!$C$2:$C$1601,$AS354))</f>
        <v/>
      </c>
      <c r="X354" t="str">
        <f>IF($AS354="","",Config!$B$29)</f>
        <v/>
      </c>
      <c r="Y354" t="str">
        <f>IF($AT354="","",INDEX(Calc!$I$2:$I$1601,$AT354)&amp;" - "&amp;INDEX(Calc!$D$2:$D$1601,$AT354)&amp;" koli")</f>
        <v/>
      </c>
      <c r="Z354" t="str">
        <f>IF($AS354="","",Config!$B$21)</f>
        <v/>
      </c>
      <c r="AA354" t="str">
        <f>IF($AS354="","",Config!$B$22)</f>
        <v/>
      </c>
      <c r="AB354" t="str">
        <f>IF($AT354="","",INDEX(Calc!$D$2:$D$1601,$AT354))</f>
        <v/>
      </c>
      <c r="AC354" t="str">
        <f>IF($AT354="","",INDEX(Calc!$G$2:$G$1601,$AT354))</f>
        <v/>
      </c>
      <c r="AD354" t="str">
        <f>IF($AS354="","",Config!$B$23)</f>
        <v/>
      </c>
      <c r="AE354" t="str">
        <f>IF($AS354="","",Config!$B$28)</f>
        <v/>
      </c>
      <c r="AF354" t="str">
        <f t="shared" si="32"/>
        <v/>
      </c>
      <c r="AG354" t="str">
        <f t="shared" si="33"/>
        <v/>
      </c>
      <c r="AH354" t="str">
        <f t="shared" si="34"/>
        <v/>
      </c>
      <c r="AI354" t="str">
        <f>IF($AG354="","",SUMIF($AG$2:$AG354,$AG354,$AH$2:$AH354))</f>
        <v/>
      </c>
      <c r="AJ354" t="str">
        <f>IF('TMP Paste'!$F354="","",IF('TMP Paste'!$B354="",$AJ353,'TMP Paste'!$B354))</f>
        <v/>
      </c>
      <c r="AK354" t="str">
        <f>IF('TMP Paste'!$F354="","",N('TMP Paste'!$G354))</f>
        <v/>
      </c>
      <c r="AL354" t="str">
        <f>IF('TMP Paste'!$F354="","",IF('TMP Paste'!$M354="",$AL353,'TMP Paste'!$M354))</f>
        <v/>
      </c>
      <c r="AM354" t="str">
        <f>IF('TMP Paste'!$F354="","",IF('TMP Paste'!$N354="",$AM353,'TMP Paste'!$N354))</f>
        <v/>
      </c>
      <c r="AN354" t="str">
        <f>IF('TMP Paste'!$F354="","",IF('TMP Paste'!$O354="",$AN353,'TMP Paste'!$O354))</f>
        <v/>
      </c>
      <c r="AO354" t="str">
        <f>IF('TMP Paste'!$F354="","",IF('TMP Paste'!$P354="",$AO353,'TMP Paste'!$P354))</f>
        <v/>
      </c>
      <c r="AP354" t="str">
        <f t="shared" si="35"/>
        <v/>
      </c>
      <c r="AQ354" t="str">
        <f>IF($AS354="","",TRIM(IF(COUNTIFS(Calc!$B$2:$B$1601,ROW()-1,Calc!$C$2:$C$1601,"&lt;1")&gt;0,"Ada PO tanpa Koli - cek TMP. ","")&amp;IF(OR($AU354="",$AU354&lt;=0),"Volume kosong/0 - dimensi dikosongkan. ","")&amp;IF(AND($AU354&lt;&gt;"",$AU354&gt;=1000000),"Volume &gt;= 1.000.000 cm3 (di luar aturan) - dimensi dikosongkan. ","")&amp;IF(LEN($R354)&gt;500,"R &gt; 500 karakter.","")))</f>
        <v/>
      </c>
      <c r="AS354" t="str">
        <f>IFERROR(MATCH(ROW()-1,Calc!$J$2:$J$1601,0),"")</f>
        <v/>
      </c>
      <c r="AT354" t="str">
        <f>IFERROR(MATCH(ROW()-1,Calc!$K$2:$K$1601,0),"")</f>
        <v/>
      </c>
      <c r="AU354" t="str">
        <f>IF($AS354="","",IFERROR(INDEX('TMP Paste'!$D$2:$D$1601,$AS354)*1000000/$AB354,""))</f>
        <v/>
      </c>
    </row>
    <row r="355" spans="1:47">
      <c r="A355" t="str">
        <f>IF($AS355="","",INDEX('TMP Paste'!$B$2:$B$1601,$AS355))</f>
        <v/>
      </c>
      <c r="B355" t="str">
        <f>IF($AS355="","",Config!$B$14)</f>
        <v/>
      </c>
      <c r="C355" t="str">
        <f>IF($AS355="","",Config!$B$15)</f>
        <v/>
      </c>
      <c r="D355" t="str">
        <f>IF($AS355="","",INDEX('TMP Paste'!$B$2:$B$1601,$AS355))</f>
        <v/>
      </c>
      <c r="E355" t="str">
        <f>IF($AS355="","",Config!$B$27)</f>
        <v/>
      </c>
      <c r="F355" t="str">
        <f>IF($AS355="","",Config!$B$9)</f>
        <v/>
      </c>
      <c r="G355" t="str">
        <f>IF($AS355="","",Config!$B$10)</f>
        <v/>
      </c>
      <c r="H355" t="str">
        <f>IF($AS355="","",Config!$B$11)</f>
        <v/>
      </c>
      <c r="I355" t="str">
        <f>IF($AS355="","",Config!$B$16)</f>
        <v/>
      </c>
      <c r="J355" t="str">
        <f>IF($AS355="","",INDEX('TMP Paste'!$A$2:$A$1601,$AS355))</f>
        <v/>
      </c>
      <c r="K355" t="str">
        <f>IF($AS355="","",INDEX('TMP Paste'!$L$2:$L$1601,$AS355))</f>
        <v/>
      </c>
      <c r="L355" t="str">
        <f>IF($AS355="","",INDEX('TMP Paste'!$I$2:$I$1601,$AS355))</f>
        <v/>
      </c>
      <c r="M355" t="str">
        <f>IF($AS355="","",Config!$B$16)</f>
        <v/>
      </c>
      <c r="N355" t="str">
        <f t="shared" si="30"/>
        <v/>
      </c>
      <c r="O355" t="str">
        <f>IF($AS355="","",INDEX('TMP Paste'!$K$2:$K$1601,$AS355))</f>
        <v/>
      </c>
      <c r="P355" t="str">
        <f t="shared" si="31"/>
        <v/>
      </c>
      <c r="Q355" t="str">
        <f>IF($AS355="","",INDEX('TMP Paste'!$J$2:$J$1601,$AS355))</f>
        <v/>
      </c>
      <c r="R355" t="str">
        <f>IF($AS355="","",Config!$B$24)</f>
        <v/>
      </c>
      <c r="S355" t="str">
        <f ca="1">IF($AS355="","",TEXT(Config!$B$4,"yyyy-mm-dd"))</f>
        <v/>
      </c>
      <c r="T355" t="str">
        <f>IF($AS355="","",Config!$B$17)</f>
        <v/>
      </c>
      <c r="U355" t="str">
        <f>IF($AS355="","",Config!$B$18)</f>
        <v/>
      </c>
      <c r="V355" t="str">
        <f>IF($AS355="","",Config!$B$19)</f>
        <v/>
      </c>
      <c r="W355" t="str">
        <f>IF($AS355="","",INDEX('TMP Paste'!$C$2:$C$1601,$AS355))</f>
        <v/>
      </c>
      <c r="X355" t="str">
        <f>IF($AS355="","",Config!$B$29)</f>
        <v/>
      </c>
      <c r="Y355" t="str">
        <f>IF($AT355="","",INDEX(Calc!$I$2:$I$1601,$AT355)&amp;" - "&amp;INDEX(Calc!$D$2:$D$1601,$AT355)&amp;" koli")</f>
        <v/>
      </c>
      <c r="Z355" t="str">
        <f>IF($AS355="","",Config!$B$21)</f>
        <v/>
      </c>
      <c r="AA355" t="str">
        <f>IF($AS355="","",Config!$B$22)</f>
        <v/>
      </c>
      <c r="AB355" t="str">
        <f>IF($AT355="","",INDEX(Calc!$D$2:$D$1601,$AT355))</f>
        <v/>
      </c>
      <c r="AC355" t="str">
        <f>IF($AT355="","",INDEX(Calc!$G$2:$G$1601,$AT355))</f>
        <v/>
      </c>
      <c r="AD355" t="str">
        <f>IF($AS355="","",Config!$B$23)</f>
        <v/>
      </c>
      <c r="AE355" t="str">
        <f>IF($AS355="","",Config!$B$28)</f>
        <v/>
      </c>
      <c r="AF355" t="str">
        <f t="shared" si="32"/>
        <v/>
      </c>
      <c r="AG355" t="str">
        <f t="shared" si="33"/>
        <v/>
      </c>
      <c r="AH355" t="str">
        <f t="shared" si="34"/>
        <v/>
      </c>
      <c r="AI355" t="str">
        <f>IF($AG355="","",SUMIF($AG$2:$AG355,$AG355,$AH$2:$AH355))</f>
        <v/>
      </c>
      <c r="AJ355" t="str">
        <f>IF('TMP Paste'!$F355="","",IF('TMP Paste'!$B355="",$AJ354,'TMP Paste'!$B355))</f>
        <v/>
      </c>
      <c r="AK355" t="str">
        <f>IF('TMP Paste'!$F355="","",N('TMP Paste'!$G355))</f>
        <v/>
      </c>
      <c r="AL355" t="str">
        <f>IF('TMP Paste'!$F355="","",IF('TMP Paste'!$M355="",$AL354,'TMP Paste'!$M355))</f>
        <v/>
      </c>
      <c r="AM355" t="str">
        <f>IF('TMP Paste'!$F355="","",IF('TMP Paste'!$N355="",$AM354,'TMP Paste'!$N355))</f>
        <v/>
      </c>
      <c r="AN355" t="str">
        <f>IF('TMP Paste'!$F355="","",IF('TMP Paste'!$O355="",$AN354,'TMP Paste'!$O355))</f>
        <v/>
      </c>
      <c r="AO355" t="str">
        <f>IF('TMP Paste'!$F355="","",IF('TMP Paste'!$P355="",$AO354,'TMP Paste'!$P355))</f>
        <v/>
      </c>
      <c r="AP355" t="str">
        <f t="shared" si="35"/>
        <v/>
      </c>
      <c r="AQ355" t="str">
        <f>IF($AS355="","",TRIM(IF(COUNTIFS(Calc!$B$2:$B$1601,ROW()-1,Calc!$C$2:$C$1601,"&lt;1")&gt;0,"Ada PO tanpa Koli - cek TMP. ","")&amp;IF(OR($AU355="",$AU355&lt;=0),"Volume kosong/0 - dimensi dikosongkan. ","")&amp;IF(AND($AU355&lt;&gt;"",$AU355&gt;=1000000),"Volume &gt;= 1.000.000 cm3 (di luar aturan) - dimensi dikosongkan. ","")&amp;IF(LEN($R355)&gt;500,"R &gt; 500 karakter.","")))</f>
        <v/>
      </c>
      <c r="AS355" t="str">
        <f>IFERROR(MATCH(ROW()-1,Calc!$J$2:$J$1601,0),"")</f>
        <v/>
      </c>
      <c r="AT355" t="str">
        <f>IFERROR(MATCH(ROW()-1,Calc!$K$2:$K$1601,0),"")</f>
        <v/>
      </c>
      <c r="AU355" t="str">
        <f>IF($AS355="","",IFERROR(INDEX('TMP Paste'!$D$2:$D$1601,$AS355)*1000000/$AB355,""))</f>
        <v/>
      </c>
    </row>
    <row r="356" spans="1:47">
      <c r="A356" t="str">
        <f>IF($AS356="","",INDEX('TMP Paste'!$B$2:$B$1601,$AS356))</f>
        <v/>
      </c>
      <c r="B356" t="str">
        <f>IF($AS356="","",Config!$B$14)</f>
        <v/>
      </c>
      <c r="C356" t="str">
        <f>IF($AS356="","",Config!$B$15)</f>
        <v/>
      </c>
      <c r="D356" t="str">
        <f>IF($AS356="","",INDEX('TMP Paste'!$B$2:$B$1601,$AS356))</f>
        <v/>
      </c>
      <c r="E356" t="str">
        <f>IF($AS356="","",Config!$B$27)</f>
        <v/>
      </c>
      <c r="F356" t="str">
        <f>IF($AS356="","",Config!$B$9)</f>
        <v/>
      </c>
      <c r="G356" t="str">
        <f>IF($AS356="","",Config!$B$10)</f>
        <v/>
      </c>
      <c r="H356" t="str">
        <f>IF($AS356="","",Config!$B$11)</f>
        <v/>
      </c>
      <c r="I356" t="str">
        <f>IF($AS356="","",Config!$B$16)</f>
        <v/>
      </c>
      <c r="J356" t="str">
        <f>IF($AS356="","",INDEX('TMP Paste'!$A$2:$A$1601,$AS356))</f>
        <v/>
      </c>
      <c r="K356" t="str">
        <f>IF($AS356="","",INDEX('TMP Paste'!$L$2:$L$1601,$AS356))</f>
        <v/>
      </c>
      <c r="L356" t="str">
        <f>IF($AS356="","",INDEX('TMP Paste'!$I$2:$I$1601,$AS356))</f>
        <v/>
      </c>
      <c r="M356" t="str">
        <f>IF($AS356="","",Config!$B$16)</f>
        <v/>
      </c>
      <c r="N356" t="str">
        <f t="shared" si="30"/>
        <v/>
      </c>
      <c r="O356" t="str">
        <f>IF($AS356="","",INDEX('TMP Paste'!$K$2:$K$1601,$AS356))</f>
        <v/>
      </c>
      <c r="P356" t="str">
        <f t="shared" si="31"/>
        <v/>
      </c>
      <c r="Q356" t="str">
        <f>IF($AS356="","",INDEX('TMP Paste'!$J$2:$J$1601,$AS356))</f>
        <v/>
      </c>
      <c r="R356" t="str">
        <f>IF($AS356="","",Config!$B$24)</f>
        <v/>
      </c>
      <c r="S356" t="str">
        <f ca="1">IF($AS356="","",TEXT(Config!$B$4,"yyyy-mm-dd"))</f>
        <v/>
      </c>
      <c r="T356" t="str">
        <f>IF($AS356="","",Config!$B$17)</f>
        <v/>
      </c>
      <c r="U356" t="str">
        <f>IF($AS356="","",Config!$B$18)</f>
        <v/>
      </c>
      <c r="V356" t="str">
        <f>IF($AS356="","",Config!$B$19)</f>
        <v/>
      </c>
      <c r="W356" t="str">
        <f>IF($AS356="","",INDEX('TMP Paste'!$C$2:$C$1601,$AS356))</f>
        <v/>
      </c>
      <c r="X356" t="str">
        <f>IF($AS356="","",Config!$B$29)</f>
        <v/>
      </c>
      <c r="Y356" t="str">
        <f>IF($AT356="","",INDEX(Calc!$I$2:$I$1601,$AT356)&amp;" - "&amp;INDEX(Calc!$D$2:$D$1601,$AT356)&amp;" koli")</f>
        <v/>
      </c>
      <c r="Z356" t="str">
        <f>IF($AS356="","",Config!$B$21)</f>
        <v/>
      </c>
      <c r="AA356" t="str">
        <f>IF($AS356="","",Config!$B$22)</f>
        <v/>
      </c>
      <c r="AB356" t="str">
        <f>IF($AT356="","",INDEX(Calc!$D$2:$D$1601,$AT356))</f>
        <v/>
      </c>
      <c r="AC356" t="str">
        <f>IF($AT356="","",INDEX(Calc!$G$2:$G$1601,$AT356))</f>
        <v/>
      </c>
      <c r="AD356" t="str">
        <f>IF($AS356="","",Config!$B$23)</f>
        <v/>
      </c>
      <c r="AE356" t="str">
        <f>IF($AS356="","",Config!$B$28)</f>
        <v/>
      </c>
      <c r="AF356" t="str">
        <f t="shared" si="32"/>
        <v/>
      </c>
      <c r="AG356" t="str">
        <f t="shared" si="33"/>
        <v/>
      </c>
      <c r="AH356" t="str">
        <f t="shared" si="34"/>
        <v/>
      </c>
      <c r="AI356" t="str">
        <f>IF($AG356="","",SUMIF($AG$2:$AG356,$AG356,$AH$2:$AH356))</f>
        <v/>
      </c>
      <c r="AJ356" t="str">
        <f>IF('TMP Paste'!$F356="","",IF('TMP Paste'!$B356="",$AJ355,'TMP Paste'!$B356))</f>
        <v/>
      </c>
      <c r="AK356" t="str">
        <f>IF('TMP Paste'!$F356="","",N('TMP Paste'!$G356))</f>
        <v/>
      </c>
      <c r="AL356" t="str">
        <f>IF('TMP Paste'!$F356="","",IF('TMP Paste'!$M356="",$AL355,'TMP Paste'!$M356))</f>
        <v/>
      </c>
      <c r="AM356" t="str">
        <f>IF('TMP Paste'!$F356="","",IF('TMP Paste'!$N356="",$AM355,'TMP Paste'!$N356))</f>
        <v/>
      </c>
      <c r="AN356" t="str">
        <f>IF('TMP Paste'!$F356="","",IF('TMP Paste'!$O356="",$AN355,'TMP Paste'!$O356))</f>
        <v/>
      </c>
      <c r="AO356" t="str">
        <f>IF('TMP Paste'!$F356="","",IF('TMP Paste'!$P356="",$AO355,'TMP Paste'!$P356))</f>
        <v/>
      </c>
      <c r="AP356" t="str">
        <f t="shared" si="35"/>
        <v/>
      </c>
      <c r="AQ356" t="str">
        <f>IF($AS356="","",TRIM(IF(COUNTIFS(Calc!$B$2:$B$1601,ROW()-1,Calc!$C$2:$C$1601,"&lt;1")&gt;0,"Ada PO tanpa Koli - cek TMP. ","")&amp;IF(OR($AU356="",$AU356&lt;=0),"Volume kosong/0 - dimensi dikosongkan. ","")&amp;IF(AND($AU356&lt;&gt;"",$AU356&gt;=1000000),"Volume &gt;= 1.000.000 cm3 (di luar aturan) - dimensi dikosongkan. ","")&amp;IF(LEN($R356)&gt;500,"R &gt; 500 karakter.","")))</f>
        <v/>
      </c>
      <c r="AS356" t="str">
        <f>IFERROR(MATCH(ROW()-1,Calc!$J$2:$J$1601,0),"")</f>
        <v/>
      </c>
      <c r="AT356" t="str">
        <f>IFERROR(MATCH(ROW()-1,Calc!$K$2:$K$1601,0),"")</f>
        <v/>
      </c>
      <c r="AU356" t="str">
        <f>IF($AS356="","",IFERROR(INDEX('TMP Paste'!$D$2:$D$1601,$AS356)*1000000/$AB356,""))</f>
        <v/>
      </c>
    </row>
    <row r="357" spans="1:47">
      <c r="A357" t="str">
        <f>IF($AS357="","",INDEX('TMP Paste'!$B$2:$B$1601,$AS357))</f>
        <v/>
      </c>
      <c r="B357" t="str">
        <f>IF($AS357="","",Config!$B$14)</f>
        <v/>
      </c>
      <c r="C357" t="str">
        <f>IF($AS357="","",Config!$B$15)</f>
        <v/>
      </c>
      <c r="D357" t="str">
        <f>IF($AS357="","",INDEX('TMP Paste'!$B$2:$B$1601,$AS357))</f>
        <v/>
      </c>
      <c r="E357" t="str">
        <f>IF($AS357="","",Config!$B$27)</f>
        <v/>
      </c>
      <c r="F357" t="str">
        <f>IF($AS357="","",Config!$B$9)</f>
        <v/>
      </c>
      <c r="G357" t="str">
        <f>IF($AS357="","",Config!$B$10)</f>
        <v/>
      </c>
      <c r="H357" t="str">
        <f>IF($AS357="","",Config!$B$11)</f>
        <v/>
      </c>
      <c r="I357" t="str">
        <f>IF($AS357="","",Config!$B$16)</f>
        <v/>
      </c>
      <c r="J357" t="str">
        <f>IF($AS357="","",INDEX('TMP Paste'!$A$2:$A$1601,$AS357))</f>
        <v/>
      </c>
      <c r="K357" t="str">
        <f>IF($AS357="","",INDEX('TMP Paste'!$L$2:$L$1601,$AS357))</f>
        <v/>
      </c>
      <c r="L357" t="str">
        <f>IF($AS357="","",INDEX('TMP Paste'!$I$2:$I$1601,$AS357))</f>
        <v/>
      </c>
      <c r="M357" t="str">
        <f>IF($AS357="","",Config!$B$16)</f>
        <v/>
      </c>
      <c r="N357" t="str">
        <f t="shared" si="30"/>
        <v/>
      </c>
      <c r="O357" t="str">
        <f>IF($AS357="","",INDEX('TMP Paste'!$K$2:$K$1601,$AS357))</f>
        <v/>
      </c>
      <c r="P357" t="str">
        <f t="shared" si="31"/>
        <v/>
      </c>
      <c r="Q357" t="str">
        <f>IF($AS357="","",INDEX('TMP Paste'!$J$2:$J$1601,$AS357))</f>
        <v/>
      </c>
      <c r="R357" t="str">
        <f>IF($AS357="","",Config!$B$24)</f>
        <v/>
      </c>
      <c r="S357" t="str">
        <f ca="1">IF($AS357="","",TEXT(Config!$B$4,"yyyy-mm-dd"))</f>
        <v/>
      </c>
      <c r="T357" t="str">
        <f>IF($AS357="","",Config!$B$17)</f>
        <v/>
      </c>
      <c r="U357" t="str">
        <f>IF($AS357="","",Config!$B$18)</f>
        <v/>
      </c>
      <c r="V357" t="str">
        <f>IF($AS357="","",Config!$B$19)</f>
        <v/>
      </c>
      <c r="W357" t="str">
        <f>IF($AS357="","",INDEX('TMP Paste'!$C$2:$C$1601,$AS357))</f>
        <v/>
      </c>
      <c r="X357" t="str">
        <f>IF($AS357="","",Config!$B$29)</f>
        <v/>
      </c>
      <c r="Y357" t="str">
        <f>IF($AT357="","",INDEX(Calc!$I$2:$I$1601,$AT357)&amp;" - "&amp;INDEX(Calc!$D$2:$D$1601,$AT357)&amp;" koli")</f>
        <v/>
      </c>
      <c r="Z357" t="str">
        <f>IF($AS357="","",Config!$B$21)</f>
        <v/>
      </c>
      <c r="AA357" t="str">
        <f>IF($AS357="","",Config!$B$22)</f>
        <v/>
      </c>
      <c r="AB357" t="str">
        <f>IF($AT357="","",INDEX(Calc!$D$2:$D$1601,$AT357))</f>
        <v/>
      </c>
      <c r="AC357" t="str">
        <f>IF($AT357="","",INDEX(Calc!$G$2:$G$1601,$AT357))</f>
        <v/>
      </c>
      <c r="AD357" t="str">
        <f>IF($AS357="","",Config!$B$23)</f>
        <v/>
      </c>
      <c r="AE357" t="str">
        <f>IF($AS357="","",Config!$B$28)</f>
        <v/>
      </c>
      <c r="AF357" t="str">
        <f t="shared" si="32"/>
        <v/>
      </c>
      <c r="AG357" t="str">
        <f t="shared" si="33"/>
        <v/>
      </c>
      <c r="AH357" t="str">
        <f t="shared" si="34"/>
        <v/>
      </c>
      <c r="AI357" t="str">
        <f>IF($AG357="","",SUMIF($AG$2:$AG357,$AG357,$AH$2:$AH357))</f>
        <v/>
      </c>
      <c r="AJ357" t="str">
        <f>IF('TMP Paste'!$F357="","",IF('TMP Paste'!$B357="",$AJ356,'TMP Paste'!$B357))</f>
        <v/>
      </c>
      <c r="AK357" t="str">
        <f>IF('TMP Paste'!$F357="","",N('TMP Paste'!$G357))</f>
        <v/>
      </c>
      <c r="AL357" t="str">
        <f>IF('TMP Paste'!$F357="","",IF('TMP Paste'!$M357="",$AL356,'TMP Paste'!$M357))</f>
        <v/>
      </c>
      <c r="AM357" t="str">
        <f>IF('TMP Paste'!$F357="","",IF('TMP Paste'!$N357="",$AM356,'TMP Paste'!$N357))</f>
        <v/>
      </c>
      <c r="AN357" t="str">
        <f>IF('TMP Paste'!$F357="","",IF('TMP Paste'!$O357="",$AN356,'TMP Paste'!$O357))</f>
        <v/>
      </c>
      <c r="AO357" t="str">
        <f>IF('TMP Paste'!$F357="","",IF('TMP Paste'!$P357="",$AO356,'TMP Paste'!$P357))</f>
        <v/>
      </c>
      <c r="AP357" t="str">
        <f t="shared" si="35"/>
        <v/>
      </c>
      <c r="AQ357" t="str">
        <f>IF($AS357="","",TRIM(IF(COUNTIFS(Calc!$B$2:$B$1601,ROW()-1,Calc!$C$2:$C$1601,"&lt;1")&gt;0,"Ada PO tanpa Koli - cek TMP. ","")&amp;IF(OR($AU357="",$AU357&lt;=0),"Volume kosong/0 - dimensi dikosongkan. ","")&amp;IF(AND($AU357&lt;&gt;"",$AU357&gt;=1000000),"Volume &gt;= 1.000.000 cm3 (di luar aturan) - dimensi dikosongkan. ","")&amp;IF(LEN($R357)&gt;500,"R &gt; 500 karakter.","")))</f>
        <v/>
      </c>
      <c r="AS357" t="str">
        <f>IFERROR(MATCH(ROW()-1,Calc!$J$2:$J$1601,0),"")</f>
        <v/>
      </c>
      <c r="AT357" t="str">
        <f>IFERROR(MATCH(ROW()-1,Calc!$K$2:$K$1601,0),"")</f>
        <v/>
      </c>
      <c r="AU357" t="str">
        <f>IF($AS357="","",IFERROR(INDEX('TMP Paste'!$D$2:$D$1601,$AS357)*1000000/$AB357,""))</f>
        <v/>
      </c>
    </row>
    <row r="358" spans="1:47">
      <c r="A358" t="str">
        <f>IF($AS358="","",INDEX('TMP Paste'!$B$2:$B$1601,$AS358))</f>
        <v/>
      </c>
      <c r="B358" t="str">
        <f>IF($AS358="","",Config!$B$14)</f>
        <v/>
      </c>
      <c r="C358" t="str">
        <f>IF($AS358="","",Config!$B$15)</f>
        <v/>
      </c>
      <c r="D358" t="str">
        <f>IF($AS358="","",INDEX('TMP Paste'!$B$2:$B$1601,$AS358))</f>
        <v/>
      </c>
      <c r="E358" t="str">
        <f>IF($AS358="","",Config!$B$27)</f>
        <v/>
      </c>
      <c r="F358" t="str">
        <f>IF($AS358="","",Config!$B$9)</f>
        <v/>
      </c>
      <c r="G358" t="str">
        <f>IF($AS358="","",Config!$B$10)</f>
        <v/>
      </c>
      <c r="H358" t="str">
        <f>IF($AS358="","",Config!$B$11)</f>
        <v/>
      </c>
      <c r="I358" t="str">
        <f>IF($AS358="","",Config!$B$16)</f>
        <v/>
      </c>
      <c r="J358" t="str">
        <f>IF($AS358="","",INDEX('TMP Paste'!$A$2:$A$1601,$AS358))</f>
        <v/>
      </c>
      <c r="K358" t="str">
        <f>IF($AS358="","",INDEX('TMP Paste'!$L$2:$L$1601,$AS358))</f>
        <v/>
      </c>
      <c r="L358" t="str">
        <f>IF($AS358="","",INDEX('TMP Paste'!$I$2:$I$1601,$AS358))</f>
        <v/>
      </c>
      <c r="M358" t="str">
        <f>IF($AS358="","",Config!$B$16)</f>
        <v/>
      </c>
      <c r="N358" t="str">
        <f t="shared" si="30"/>
        <v/>
      </c>
      <c r="O358" t="str">
        <f>IF($AS358="","",INDEX('TMP Paste'!$K$2:$K$1601,$AS358))</f>
        <v/>
      </c>
      <c r="P358" t="str">
        <f t="shared" si="31"/>
        <v/>
      </c>
      <c r="Q358" t="str">
        <f>IF($AS358="","",INDEX('TMP Paste'!$J$2:$J$1601,$AS358))</f>
        <v/>
      </c>
      <c r="R358" t="str">
        <f>IF($AS358="","",Config!$B$24)</f>
        <v/>
      </c>
      <c r="S358" t="str">
        <f ca="1">IF($AS358="","",TEXT(Config!$B$4,"yyyy-mm-dd"))</f>
        <v/>
      </c>
      <c r="T358" t="str">
        <f>IF($AS358="","",Config!$B$17)</f>
        <v/>
      </c>
      <c r="U358" t="str">
        <f>IF($AS358="","",Config!$B$18)</f>
        <v/>
      </c>
      <c r="V358" t="str">
        <f>IF($AS358="","",Config!$B$19)</f>
        <v/>
      </c>
      <c r="W358" t="str">
        <f>IF($AS358="","",INDEX('TMP Paste'!$C$2:$C$1601,$AS358))</f>
        <v/>
      </c>
      <c r="X358" t="str">
        <f>IF($AS358="","",Config!$B$29)</f>
        <v/>
      </c>
      <c r="Y358" t="str">
        <f>IF($AT358="","",INDEX(Calc!$I$2:$I$1601,$AT358)&amp;" - "&amp;INDEX(Calc!$D$2:$D$1601,$AT358)&amp;" koli")</f>
        <v/>
      </c>
      <c r="Z358" t="str">
        <f>IF($AS358="","",Config!$B$21)</f>
        <v/>
      </c>
      <c r="AA358" t="str">
        <f>IF($AS358="","",Config!$B$22)</f>
        <v/>
      </c>
      <c r="AB358" t="str">
        <f>IF($AT358="","",INDEX(Calc!$D$2:$D$1601,$AT358))</f>
        <v/>
      </c>
      <c r="AC358" t="str">
        <f>IF($AT358="","",INDEX(Calc!$G$2:$G$1601,$AT358))</f>
        <v/>
      </c>
      <c r="AD358" t="str">
        <f>IF($AS358="","",Config!$B$23)</f>
        <v/>
      </c>
      <c r="AE358" t="str">
        <f>IF($AS358="","",Config!$B$28)</f>
        <v/>
      </c>
      <c r="AF358" t="str">
        <f t="shared" si="32"/>
        <v/>
      </c>
      <c r="AG358" t="str">
        <f t="shared" si="33"/>
        <v/>
      </c>
      <c r="AH358" t="str">
        <f t="shared" si="34"/>
        <v/>
      </c>
      <c r="AI358" t="str">
        <f>IF($AG358="","",SUMIF($AG$2:$AG358,$AG358,$AH$2:$AH358))</f>
        <v/>
      </c>
      <c r="AJ358" t="str">
        <f>IF('TMP Paste'!$F358="","",IF('TMP Paste'!$B358="",$AJ357,'TMP Paste'!$B358))</f>
        <v/>
      </c>
      <c r="AK358" t="str">
        <f>IF('TMP Paste'!$F358="","",N('TMP Paste'!$G358))</f>
        <v/>
      </c>
      <c r="AL358" t="str">
        <f>IF('TMP Paste'!$F358="","",IF('TMP Paste'!$M358="",$AL357,'TMP Paste'!$M358))</f>
        <v/>
      </c>
      <c r="AM358" t="str">
        <f>IF('TMP Paste'!$F358="","",IF('TMP Paste'!$N358="",$AM357,'TMP Paste'!$N358))</f>
        <v/>
      </c>
      <c r="AN358" t="str">
        <f>IF('TMP Paste'!$F358="","",IF('TMP Paste'!$O358="",$AN357,'TMP Paste'!$O358))</f>
        <v/>
      </c>
      <c r="AO358" t="str">
        <f>IF('TMP Paste'!$F358="","",IF('TMP Paste'!$P358="",$AO357,'TMP Paste'!$P358))</f>
        <v/>
      </c>
      <c r="AP358" t="str">
        <f t="shared" si="35"/>
        <v/>
      </c>
      <c r="AQ358" t="str">
        <f>IF($AS358="","",TRIM(IF(COUNTIFS(Calc!$B$2:$B$1601,ROW()-1,Calc!$C$2:$C$1601,"&lt;1")&gt;0,"Ada PO tanpa Koli - cek TMP. ","")&amp;IF(OR($AU358="",$AU358&lt;=0),"Volume kosong/0 - dimensi dikosongkan. ","")&amp;IF(AND($AU358&lt;&gt;"",$AU358&gt;=1000000),"Volume &gt;= 1.000.000 cm3 (di luar aturan) - dimensi dikosongkan. ","")&amp;IF(LEN($R358)&gt;500,"R &gt; 500 karakter.","")))</f>
        <v/>
      </c>
      <c r="AS358" t="str">
        <f>IFERROR(MATCH(ROW()-1,Calc!$J$2:$J$1601,0),"")</f>
        <v/>
      </c>
      <c r="AT358" t="str">
        <f>IFERROR(MATCH(ROW()-1,Calc!$K$2:$K$1601,0),"")</f>
        <v/>
      </c>
      <c r="AU358" t="str">
        <f>IF($AS358="","",IFERROR(INDEX('TMP Paste'!$D$2:$D$1601,$AS358)*1000000/$AB358,""))</f>
        <v/>
      </c>
    </row>
    <row r="359" spans="1:47">
      <c r="A359" t="str">
        <f>IF($AS359="","",INDEX('TMP Paste'!$B$2:$B$1601,$AS359))</f>
        <v/>
      </c>
      <c r="B359" t="str">
        <f>IF($AS359="","",Config!$B$14)</f>
        <v/>
      </c>
      <c r="C359" t="str">
        <f>IF($AS359="","",Config!$B$15)</f>
        <v/>
      </c>
      <c r="D359" t="str">
        <f>IF($AS359="","",INDEX('TMP Paste'!$B$2:$B$1601,$AS359))</f>
        <v/>
      </c>
      <c r="E359" t="str">
        <f>IF($AS359="","",Config!$B$27)</f>
        <v/>
      </c>
      <c r="F359" t="str">
        <f>IF($AS359="","",Config!$B$9)</f>
        <v/>
      </c>
      <c r="G359" t="str">
        <f>IF($AS359="","",Config!$B$10)</f>
        <v/>
      </c>
      <c r="H359" t="str">
        <f>IF($AS359="","",Config!$B$11)</f>
        <v/>
      </c>
      <c r="I359" t="str">
        <f>IF($AS359="","",Config!$B$16)</f>
        <v/>
      </c>
      <c r="J359" t="str">
        <f>IF($AS359="","",INDEX('TMP Paste'!$A$2:$A$1601,$AS359))</f>
        <v/>
      </c>
      <c r="K359" t="str">
        <f>IF($AS359="","",INDEX('TMP Paste'!$L$2:$L$1601,$AS359))</f>
        <v/>
      </c>
      <c r="L359" t="str">
        <f>IF($AS359="","",INDEX('TMP Paste'!$I$2:$I$1601,$AS359))</f>
        <v/>
      </c>
      <c r="M359" t="str">
        <f>IF($AS359="","",Config!$B$16)</f>
        <v/>
      </c>
      <c r="N359" t="str">
        <f t="shared" si="30"/>
        <v/>
      </c>
      <c r="O359" t="str">
        <f>IF($AS359="","",INDEX('TMP Paste'!$K$2:$K$1601,$AS359))</f>
        <v/>
      </c>
      <c r="P359" t="str">
        <f t="shared" si="31"/>
        <v/>
      </c>
      <c r="Q359" t="str">
        <f>IF($AS359="","",INDEX('TMP Paste'!$J$2:$J$1601,$AS359))</f>
        <v/>
      </c>
      <c r="R359" t="str">
        <f>IF($AS359="","",Config!$B$24)</f>
        <v/>
      </c>
      <c r="S359" t="str">
        <f ca="1">IF($AS359="","",TEXT(Config!$B$4,"yyyy-mm-dd"))</f>
        <v/>
      </c>
      <c r="T359" t="str">
        <f>IF($AS359="","",Config!$B$17)</f>
        <v/>
      </c>
      <c r="U359" t="str">
        <f>IF($AS359="","",Config!$B$18)</f>
        <v/>
      </c>
      <c r="V359" t="str">
        <f>IF($AS359="","",Config!$B$19)</f>
        <v/>
      </c>
      <c r="W359" t="str">
        <f>IF($AS359="","",INDEX('TMP Paste'!$C$2:$C$1601,$AS359))</f>
        <v/>
      </c>
      <c r="X359" t="str">
        <f>IF($AS359="","",Config!$B$29)</f>
        <v/>
      </c>
      <c r="Y359" t="str">
        <f>IF($AT359="","",INDEX(Calc!$I$2:$I$1601,$AT359)&amp;" - "&amp;INDEX(Calc!$D$2:$D$1601,$AT359)&amp;" koli")</f>
        <v/>
      </c>
      <c r="Z359" t="str">
        <f>IF($AS359="","",Config!$B$21)</f>
        <v/>
      </c>
      <c r="AA359" t="str">
        <f>IF($AS359="","",Config!$B$22)</f>
        <v/>
      </c>
      <c r="AB359" t="str">
        <f>IF($AT359="","",INDEX(Calc!$D$2:$D$1601,$AT359))</f>
        <v/>
      </c>
      <c r="AC359" t="str">
        <f>IF($AT359="","",INDEX(Calc!$G$2:$G$1601,$AT359))</f>
        <v/>
      </c>
      <c r="AD359" t="str">
        <f>IF($AS359="","",Config!$B$23)</f>
        <v/>
      </c>
      <c r="AE359" t="str">
        <f>IF($AS359="","",Config!$B$28)</f>
        <v/>
      </c>
      <c r="AF359" t="str">
        <f t="shared" si="32"/>
        <v/>
      </c>
      <c r="AG359" t="str">
        <f t="shared" si="33"/>
        <v/>
      </c>
      <c r="AH359" t="str">
        <f t="shared" si="34"/>
        <v/>
      </c>
      <c r="AI359" t="str">
        <f>IF($AG359="","",SUMIF($AG$2:$AG359,$AG359,$AH$2:$AH359))</f>
        <v/>
      </c>
      <c r="AJ359" t="str">
        <f>IF('TMP Paste'!$F359="","",IF('TMP Paste'!$B359="",$AJ358,'TMP Paste'!$B359))</f>
        <v/>
      </c>
      <c r="AK359" t="str">
        <f>IF('TMP Paste'!$F359="","",N('TMP Paste'!$G359))</f>
        <v/>
      </c>
      <c r="AL359" t="str">
        <f>IF('TMP Paste'!$F359="","",IF('TMP Paste'!$M359="",$AL358,'TMP Paste'!$M359))</f>
        <v/>
      </c>
      <c r="AM359" t="str">
        <f>IF('TMP Paste'!$F359="","",IF('TMP Paste'!$N359="",$AM358,'TMP Paste'!$N359))</f>
        <v/>
      </c>
      <c r="AN359" t="str">
        <f>IF('TMP Paste'!$F359="","",IF('TMP Paste'!$O359="",$AN358,'TMP Paste'!$O359))</f>
        <v/>
      </c>
      <c r="AO359" t="str">
        <f>IF('TMP Paste'!$F359="","",IF('TMP Paste'!$P359="",$AO358,'TMP Paste'!$P359))</f>
        <v/>
      </c>
      <c r="AP359" t="str">
        <f t="shared" si="35"/>
        <v/>
      </c>
      <c r="AQ359" t="str">
        <f>IF($AS359="","",TRIM(IF(COUNTIFS(Calc!$B$2:$B$1601,ROW()-1,Calc!$C$2:$C$1601,"&lt;1")&gt;0,"Ada PO tanpa Koli - cek TMP. ","")&amp;IF(OR($AU359="",$AU359&lt;=0),"Volume kosong/0 - dimensi dikosongkan. ","")&amp;IF(AND($AU359&lt;&gt;"",$AU359&gt;=1000000),"Volume &gt;= 1.000.000 cm3 (di luar aturan) - dimensi dikosongkan. ","")&amp;IF(LEN($R359)&gt;500,"R &gt; 500 karakter.","")))</f>
        <v/>
      </c>
      <c r="AS359" t="str">
        <f>IFERROR(MATCH(ROW()-1,Calc!$J$2:$J$1601,0),"")</f>
        <v/>
      </c>
      <c r="AT359" t="str">
        <f>IFERROR(MATCH(ROW()-1,Calc!$K$2:$K$1601,0),"")</f>
        <v/>
      </c>
      <c r="AU359" t="str">
        <f>IF($AS359="","",IFERROR(INDEX('TMP Paste'!$D$2:$D$1601,$AS359)*1000000/$AB359,""))</f>
        <v/>
      </c>
    </row>
    <row r="360" spans="1:47">
      <c r="A360" t="str">
        <f>IF($AS360="","",INDEX('TMP Paste'!$B$2:$B$1601,$AS360))</f>
        <v/>
      </c>
      <c r="B360" t="str">
        <f>IF($AS360="","",Config!$B$14)</f>
        <v/>
      </c>
      <c r="C360" t="str">
        <f>IF($AS360="","",Config!$B$15)</f>
        <v/>
      </c>
      <c r="D360" t="str">
        <f>IF($AS360="","",INDEX('TMP Paste'!$B$2:$B$1601,$AS360))</f>
        <v/>
      </c>
      <c r="E360" t="str">
        <f>IF($AS360="","",Config!$B$27)</f>
        <v/>
      </c>
      <c r="F360" t="str">
        <f>IF($AS360="","",Config!$B$9)</f>
        <v/>
      </c>
      <c r="G360" t="str">
        <f>IF($AS360="","",Config!$B$10)</f>
        <v/>
      </c>
      <c r="H360" t="str">
        <f>IF($AS360="","",Config!$B$11)</f>
        <v/>
      </c>
      <c r="I360" t="str">
        <f>IF($AS360="","",Config!$B$16)</f>
        <v/>
      </c>
      <c r="J360" t="str">
        <f>IF($AS360="","",INDEX('TMP Paste'!$A$2:$A$1601,$AS360))</f>
        <v/>
      </c>
      <c r="K360" t="str">
        <f>IF($AS360="","",INDEX('TMP Paste'!$L$2:$L$1601,$AS360))</f>
        <v/>
      </c>
      <c r="L360" t="str">
        <f>IF($AS360="","",INDEX('TMP Paste'!$I$2:$I$1601,$AS360))</f>
        <v/>
      </c>
      <c r="M360" t="str">
        <f>IF($AS360="","",Config!$B$16)</f>
        <v/>
      </c>
      <c r="N360" t="str">
        <f t="shared" si="30"/>
        <v/>
      </c>
      <c r="O360" t="str">
        <f>IF($AS360="","",INDEX('TMP Paste'!$K$2:$K$1601,$AS360))</f>
        <v/>
      </c>
      <c r="P360" t="str">
        <f t="shared" si="31"/>
        <v/>
      </c>
      <c r="Q360" t="str">
        <f>IF($AS360="","",INDEX('TMP Paste'!$J$2:$J$1601,$AS360))</f>
        <v/>
      </c>
      <c r="R360" t="str">
        <f>IF($AS360="","",Config!$B$24)</f>
        <v/>
      </c>
      <c r="S360" t="str">
        <f ca="1">IF($AS360="","",TEXT(Config!$B$4,"yyyy-mm-dd"))</f>
        <v/>
      </c>
      <c r="T360" t="str">
        <f>IF($AS360="","",Config!$B$17)</f>
        <v/>
      </c>
      <c r="U360" t="str">
        <f>IF($AS360="","",Config!$B$18)</f>
        <v/>
      </c>
      <c r="V360" t="str">
        <f>IF($AS360="","",Config!$B$19)</f>
        <v/>
      </c>
      <c r="W360" t="str">
        <f>IF($AS360="","",INDEX('TMP Paste'!$C$2:$C$1601,$AS360))</f>
        <v/>
      </c>
      <c r="X360" t="str">
        <f>IF($AS360="","",Config!$B$29)</f>
        <v/>
      </c>
      <c r="Y360" t="str">
        <f>IF($AT360="","",INDEX(Calc!$I$2:$I$1601,$AT360)&amp;" - "&amp;INDEX(Calc!$D$2:$D$1601,$AT360)&amp;" koli")</f>
        <v/>
      </c>
      <c r="Z360" t="str">
        <f>IF($AS360="","",Config!$B$21)</f>
        <v/>
      </c>
      <c r="AA360" t="str">
        <f>IF($AS360="","",Config!$B$22)</f>
        <v/>
      </c>
      <c r="AB360" t="str">
        <f>IF($AT360="","",INDEX(Calc!$D$2:$D$1601,$AT360))</f>
        <v/>
      </c>
      <c r="AC360" t="str">
        <f>IF($AT360="","",INDEX(Calc!$G$2:$G$1601,$AT360))</f>
        <v/>
      </c>
      <c r="AD360" t="str">
        <f>IF($AS360="","",Config!$B$23)</f>
        <v/>
      </c>
      <c r="AE360" t="str">
        <f>IF($AS360="","",Config!$B$28)</f>
        <v/>
      </c>
      <c r="AF360" t="str">
        <f t="shared" si="32"/>
        <v/>
      </c>
      <c r="AG360" t="str">
        <f t="shared" si="33"/>
        <v/>
      </c>
      <c r="AH360" t="str">
        <f t="shared" si="34"/>
        <v/>
      </c>
      <c r="AI360" t="str">
        <f>IF($AG360="","",SUMIF($AG$2:$AG360,$AG360,$AH$2:$AH360))</f>
        <v/>
      </c>
      <c r="AJ360" t="str">
        <f>IF('TMP Paste'!$F360="","",IF('TMP Paste'!$B360="",$AJ359,'TMP Paste'!$B360))</f>
        <v/>
      </c>
      <c r="AK360" t="str">
        <f>IF('TMP Paste'!$F360="","",N('TMP Paste'!$G360))</f>
        <v/>
      </c>
      <c r="AL360" t="str">
        <f>IF('TMP Paste'!$F360="","",IF('TMP Paste'!$M360="",$AL359,'TMP Paste'!$M360))</f>
        <v/>
      </c>
      <c r="AM360" t="str">
        <f>IF('TMP Paste'!$F360="","",IF('TMP Paste'!$N360="",$AM359,'TMP Paste'!$N360))</f>
        <v/>
      </c>
      <c r="AN360" t="str">
        <f>IF('TMP Paste'!$F360="","",IF('TMP Paste'!$O360="",$AN359,'TMP Paste'!$O360))</f>
        <v/>
      </c>
      <c r="AO360" t="str">
        <f>IF('TMP Paste'!$F360="","",IF('TMP Paste'!$P360="",$AO359,'TMP Paste'!$P360))</f>
        <v/>
      </c>
      <c r="AP360" t="str">
        <f t="shared" si="35"/>
        <v/>
      </c>
      <c r="AQ360" t="str">
        <f>IF($AS360="","",TRIM(IF(COUNTIFS(Calc!$B$2:$B$1601,ROW()-1,Calc!$C$2:$C$1601,"&lt;1")&gt;0,"Ada PO tanpa Koli - cek TMP. ","")&amp;IF(OR($AU360="",$AU360&lt;=0),"Volume kosong/0 - dimensi dikosongkan. ","")&amp;IF(AND($AU360&lt;&gt;"",$AU360&gt;=1000000),"Volume &gt;= 1.000.000 cm3 (di luar aturan) - dimensi dikosongkan. ","")&amp;IF(LEN($R360)&gt;500,"R &gt; 500 karakter.","")))</f>
        <v/>
      </c>
      <c r="AS360" t="str">
        <f>IFERROR(MATCH(ROW()-1,Calc!$J$2:$J$1601,0),"")</f>
        <v/>
      </c>
      <c r="AT360" t="str">
        <f>IFERROR(MATCH(ROW()-1,Calc!$K$2:$K$1601,0),"")</f>
        <v/>
      </c>
      <c r="AU360" t="str">
        <f>IF($AS360="","",IFERROR(INDEX('TMP Paste'!$D$2:$D$1601,$AS360)*1000000/$AB360,""))</f>
        <v/>
      </c>
    </row>
    <row r="361" spans="1:47">
      <c r="A361" t="str">
        <f>IF($AS361="","",INDEX('TMP Paste'!$B$2:$B$1601,$AS361))</f>
        <v/>
      </c>
      <c r="B361" t="str">
        <f>IF($AS361="","",Config!$B$14)</f>
        <v/>
      </c>
      <c r="C361" t="str">
        <f>IF($AS361="","",Config!$B$15)</f>
        <v/>
      </c>
      <c r="D361" t="str">
        <f>IF($AS361="","",INDEX('TMP Paste'!$B$2:$B$1601,$AS361))</f>
        <v/>
      </c>
      <c r="E361" t="str">
        <f>IF($AS361="","",Config!$B$27)</f>
        <v/>
      </c>
      <c r="F361" t="str">
        <f>IF($AS361="","",Config!$B$9)</f>
        <v/>
      </c>
      <c r="G361" t="str">
        <f>IF($AS361="","",Config!$B$10)</f>
        <v/>
      </c>
      <c r="H361" t="str">
        <f>IF($AS361="","",Config!$B$11)</f>
        <v/>
      </c>
      <c r="I361" t="str">
        <f>IF($AS361="","",Config!$B$16)</f>
        <v/>
      </c>
      <c r="J361" t="str">
        <f>IF($AS361="","",INDEX('TMP Paste'!$A$2:$A$1601,$AS361))</f>
        <v/>
      </c>
      <c r="K361" t="str">
        <f>IF($AS361="","",INDEX('TMP Paste'!$L$2:$L$1601,$AS361))</f>
        <v/>
      </c>
      <c r="L361" t="str">
        <f>IF($AS361="","",INDEX('TMP Paste'!$I$2:$I$1601,$AS361))</f>
        <v/>
      </c>
      <c r="M361" t="str">
        <f>IF($AS361="","",Config!$B$16)</f>
        <v/>
      </c>
      <c r="N361" t="str">
        <f t="shared" si="30"/>
        <v/>
      </c>
      <c r="O361" t="str">
        <f>IF($AS361="","",INDEX('TMP Paste'!$K$2:$K$1601,$AS361))</f>
        <v/>
      </c>
      <c r="P361" t="str">
        <f t="shared" si="31"/>
        <v/>
      </c>
      <c r="Q361" t="str">
        <f>IF($AS361="","",INDEX('TMP Paste'!$J$2:$J$1601,$AS361))</f>
        <v/>
      </c>
      <c r="R361" t="str">
        <f>IF($AS361="","",Config!$B$24)</f>
        <v/>
      </c>
      <c r="S361" t="str">
        <f ca="1">IF($AS361="","",TEXT(Config!$B$4,"yyyy-mm-dd"))</f>
        <v/>
      </c>
      <c r="T361" t="str">
        <f>IF($AS361="","",Config!$B$17)</f>
        <v/>
      </c>
      <c r="U361" t="str">
        <f>IF($AS361="","",Config!$B$18)</f>
        <v/>
      </c>
      <c r="V361" t="str">
        <f>IF($AS361="","",Config!$B$19)</f>
        <v/>
      </c>
      <c r="W361" t="str">
        <f>IF($AS361="","",INDEX('TMP Paste'!$C$2:$C$1601,$AS361))</f>
        <v/>
      </c>
      <c r="X361" t="str">
        <f>IF($AS361="","",Config!$B$29)</f>
        <v/>
      </c>
      <c r="Y361" t="str">
        <f>IF($AT361="","",INDEX(Calc!$I$2:$I$1601,$AT361)&amp;" - "&amp;INDEX(Calc!$D$2:$D$1601,$AT361)&amp;" koli")</f>
        <v/>
      </c>
      <c r="Z361" t="str">
        <f>IF($AS361="","",Config!$B$21)</f>
        <v/>
      </c>
      <c r="AA361" t="str">
        <f>IF($AS361="","",Config!$B$22)</f>
        <v/>
      </c>
      <c r="AB361" t="str">
        <f>IF($AT361="","",INDEX(Calc!$D$2:$D$1601,$AT361))</f>
        <v/>
      </c>
      <c r="AC361" t="str">
        <f>IF($AT361="","",INDEX(Calc!$G$2:$G$1601,$AT361))</f>
        <v/>
      </c>
      <c r="AD361" t="str">
        <f>IF($AS361="","",Config!$B$23)</f>
        <v/>
      </c>
      <c r="AE361" t="str">
        <f>IF($AS361="","",Config!$B$28)</f>
        <v/>
      </c>
      <c r="AF361" t="str">
        <f t="shared" si="32"/>
        <v/>
      </c>
      <c r="AG361" t="str">
        <f t="shared" si="33"/>
        <v/>
      </c>
      <c r="AH361" t="str">
        <f t="shared" si="34"/>
        <v/>
      </c>
      <c r="AI361" t="str">
        <f>IF($AG361="","",SUMIF($AG$2:$AG361,$AG361,$AH$2:$AH361))</f>
        <v/>
      </c>
      <c r="AJ361" t="str">
        <f>IF('TMP Paste'!$F361="","",IF('TMP Paste'!$B361="",$AJ360,'TMP Paste'!$B361))</f>
        <v/>
      </c>
      <c r="AK361" t="str">
        <f>IF('TMP Paste'!$F361="","",N('TMP Paste'!$G361))</f>
        <v/>
      </c>
      <c r="AL361" t="str">
        <f>IF('TMP Paste'!$F361="","",IF('TMP Paste'!$M361="",$AL360,'TMP Paste'!$M361))</f>
        <v/>
      </c>
      <c r="AM361" t="str">
        <f>IF('TMP Paste'!$F361="","",IF('TMP Paste'!$N361="",$AM360,'TMP Paste'!$N361))</f>
        <v/>
      </c>
      <c r="AN361" t="str">
        <f>IF('TMP Paste'!$F361="","",IF('TMP Paste'!$O361="",$AN360,'TMP Paste'!$O361))</f>
        <v/>
      </c>
      <c r="AO361" t="str">
        <f>IF('TMP Paste'!$F361="","",IF('TMP Paste'!$P361="",$AO360,'TMP Paste'!$P361))</f>
        <v/>
      </c>
      <c r="AP361" t="str">
        <f t="shared" si="35"/>
        <v/>
      </c>
      <c r="AQ361" t="str">
        <f>IF($AS361="","",TRIM(IF(COUNTIFS(Calc!$B$2:$B$1601,ROW()-1,Calc!$C$2:$C$1601,"&lt;1")&gt;0,"Ada PO tanpa Koli - cek TMP. ","")&amp;IF(OR($AU361="",$AU361&lt;=0),"Volume kosong/0 - dimensi dikosongkan. ","")&amp;IF(AND($AU361&lt;&gt;"",$AU361&gt;=1000000),"Volume &gt;= 1.000.000 cm3 (di luar aturan) - dimensi dikosongkan. ","")&amp;IF(LEN($R361)&gt;500,"R &gt; 500 karakter.","")))</f>
        <v/>
      </c>
      <c r="AS361" t="str">
        <f>IFERROR(MATCH(ROW()-1,Calc!$J$2:$J$1601,0),"")</f>
        <v/>
      </c>
      <c r="AT361" t="str">
        <f>IFERROR(MATCH(ROW()-1,Calc!$K$2:$K$1601,0),"")</f>
        <v/>
      </c>
      <c r="AU361" t="str">
        <f>IF($AS361="","",IFERROR(INDEX('TMP Paste'!$D$2:$D$1601,$AS361)*1000000/$AB361,""))</f>
        <v/>
      </c>
    </row>
    <row r="362" spans="1:47">
      <c r="A362" t="str">
        <f>IF($AS362="","",INDEX('TMP Paste'!$B$2:$B$1601,$AS362))</f>
        <v/>
      </c>
      <c r="B362" t="str">
        <f>IF($AS362="","",Config!$B$14)</f>
        <v/>
      </c>
      <c r="C362" t="str">
        <f>IF($AS362="","",Config!$B$15)</f>
        <v/>
      </c>
      <c r="D362" t="str">
        <f>IF($AS362="","",INDEX('TMP Paste'!$B$2:$B$1601,$AS362))</f>
        <v/>
      </c>
      <c r="E362" t="str">
        <f>IF($AS362="","",Config!$B$27)</f>
        <v/>
      </c>
      <c r="F362" t="str">
        <f>IF($AS362="","",Config!$B$9)</f>
        <v/>
      </c>
      <c r="G362" t="str">
        <f>IF($AS362="","",Config!$B$10)</f>
        <v/>
      </c>
      <c r="H362" t="str">
        <f>IF($AS362="","",Config!$B$11)</f>
        <v/>
      </c>
      <c r="I362" t="str">
        <f>IF($AS362="","",Config!$B$16)</f>
        <v/>
      </c>
      <c r="J362" t="str">
        <f>IF($AS362="","",INDEX('TMP Paste'!$A$2:$A$1601,$AS362))</f>
        <v/>
      </c>
      <c r="K362" t="str">
        <f>IF($AS362="","",INDEX('TMP Paste'!$L$2:$L$1601,$AS362))</f>
        <v/>
      </c>
      <c r="L362" t="str">
        <f>IF($AS362="","",INDEX('TMP Paste'!$I$2:$I$1601,$AS362))</f>
        <v/>
      </c>
      <c r="M362" t="str">
        <f>IF($AS362="","",Config!$B$16)</f>
        <v/>
      </c>
      <c r="N362" t="str">
        <f t="shared" si="30"/>
        <v/>
      </c>
      <c r="O362" t="str">
        <f>IF($AS362="","",INDEX('TMP Paste'!$K$2:$K$1601,$AS362))</f>
        <v/>
      </c>
      <c r="P362" t="str">
        <f t="shared" si="31"/>
        <v/>
      </c>
      <c r="Q362" t="str">
        <f>IF($AS362="","",INDEX('TMP Paste'!$J$2:$J$1601,$AS362))</f>
        <v/>
      </c>
      <c r="R362" t="str">
        <f>IF($AS362="","",Config!$B$24)</f>
        <v/>
      </c>
      <c r="S362" t="str">
        <f ca="1">IF($AS362="","",TEXT(Config!$B$4,"yyyy-mm-dd"))</f>
        <v/>
      </c>
      <c r="T362" t="str">
        <f>IF($AS362="","",Config!$B$17)</f>
        <v/>
      </c>
      <c r="U362" t="str">
        <f>IF($AS362="","",Config!$B$18)</f>
        <v/>
      </c>
      <c r="V362" t="str">
        <f>IF($AS362="","",Config!$B$19)</f>
        <v/>
      </c>
      <c r="W362" t="str">
        <f>IF($AS362="","",INDEX('TMP Paste'!$C$2:$C$1601,$AS362))</f>
        <v/>
      </c>
      <c r="X362" t="str">
        <f>IF($AS362="","",Config!$B$29)</f>
        <v/>
      </c>
      <c r="Y362" t="str">
        <f>IF($AT362="","",INDEX(Calc!$I$2:$I$1601,$AT362)&amp;" - "&amp;INDEX(Calc!$D$2:$D$1601,$AT362)&amp;" koli")</f>
        <v/>
      </c>
      <c r="Z362" t="str">
        <f>IF($AS362="","",Config!$B$21)</f>
        <v/>
      </c>
      <c r="AA362" t="str">
        <f>IF($AS362="","",Config!$B$22)</f>
        <v/>
      </c>
      <c r="AB362" t="str">
        <f>IF($AT362="","",INDEX(Calc!$D$2:$D$1601,$AT362))</f>
        <v/>
      </c>
      <c r="AC362" t="str">
        <f>IF($AT362="","",INDEX(Calc!$G$2:$G$1601,$AT362))</f>
        <v/>
      </c>
      <c r="AD362" t="str">
        <f>IF($AS362="","",Config!$B$23)</f>
        <v/>
      </c>
      <c r="AE362" t="str">
        <f>IF($AS362="","",Config!$B$28)</f>
        <v/>
      </c>
      <c r="AF362" t="str">
        <f t="shared" si="32"/>
        <v/>
      </c>
      <c r="AG362" t="str">
        <f t="shared" si="33"/>
        <v/>
      </c>
      <c r="AH362" t="str">
        <f t="shared" si="34"/>
        <v/>
      </c>
      <c r="AI362" t="str">
        <f>IF($AG362="","",SUMIF($AG$2:$AG362,$AG362,$AH$2:$AH362))</f>
        <v/>
      </c>
      <c r="AJ362" t="str">
        <f>IF('TMP Paste'!$F362="","",IF('TMP Paste'!$B362="",$AJ361,'TMP Paste'!$B362))</f>
        <v/>
      </c>
      <c r="AK362" t="str">
        <f>IF('TMP Paste'!$F362="","",N('TMP Paste'!$G362))</f>
        <v/>
      </c>
      <c r="AL362" t="str">
        <f>IF('TMP Paste'!$F362="","",IF('TMP Paste'!$M362="",$AL361,'TMP Paste'!$M362))</f>
        <v/>
      </c>
      <c r="AM362" t="str">
        <f>IF('TMP Paste'!$F362="","",IF('TMP Paste'!$N362="",$AM361,'TMP Paste'!$N362))</f>
        <v/>
      </c>
      <c r="AN362" t="str">
        <f>IF('TMP Paste'!$F362="","",IF('TMP Paste'!$O362="",$AN361,'TMP Paste'!$O362))</f>
        <v/>
      </c>
      <c r="AO362" t="str">
        <f>IF('TMP Paste'!$F362="","",IF('TMP Paste'!$P362="",$AO361,'TMP Paste'!$P362))</f>
        <v/>
      </c>
      <c r="AP362" t="str">
        <f t="shared" si="35"/>
        <v/>
      </c>
      <c r="AQ362" t="str">
        <f>IF($AS362="","",TRIM(IF(COUNTIFS(Calc!$B$2:$B$1601,ROW()-1,Calc!$C$2:$C$1601,"&lt;1")&gt;0,"Ada PO tanpa Koli - cek TMP. ","")&amp;IF(OR($AU362="",$AU362&lt;=0),"Volume kosong/0 - dimensi dikosongkan. ","")&amp;IF(AND($AU362&lt;&gt;"",$AU362&gt;=1000000),"Volume &gt;= 1.000.000 cm3 (di luar aturan) - dimensi dikosongkan. ","")&amp;IF(LEN($R362)&gt;500,"R &gt; 500 karakter.","")))</f>
        <v/>
      </c>
      <c r="AS362" t="str">
        <f>IFERROR(MATCH(ROW()-1,Calc!$J$2:$J$1601,0),"")</f>
        <v/>
      </c>
      <c r="AT362" t="str">
        <f>IFERROR(MATCH(ROW()-1,Calc!$K$2:$K$1601,0),"")</f>
        <v/>
      </c>
      <c r="AU362" t="str">
        <f>IF($AS362="","",IFERROR(INDEX('TMP Paste'!$D$2:$D$1601,$AS362)*1000000/$AB362,""))</f>
        <v/>
      </c>
    </row>
    <row r="363" spans="1:47">
      <c r="A363" t="str">
        <f>IF($AS363="","",INDEX('TMP Paste'!$B$2:$B$1601,$AS363))</f>
        <v/>
      </c>
      <c r="B363" t="str">
        <f>IF($AS363="","",Config!$B$14)</f>
        <v/>
      </c>
      <c r="C363" t="str">
        <f>IF($AS363="","",Config!$B$15)</f>
        <v/>
      </c>
      <c r="D363" t="str">
        <f>IF($AS363="","",INDEX('TMP Paste'!$B$2:$B$1601,$AS363))</f>
        <v/>
      </c>
      <c r="E363" t="str">
        <f>IF($AS363="","",Config!$B$27)</f>
        <v/>
      </c>
      <c r="F363" t="str">
        <f>IF($AS363="","",Config!$B$9)</f>
        <v/>
      </c>
      <c r="G363" t="str">
        <f>IF($AS363="","",Config!$B$10)</f>
        <v/>
      </c>
      <c r="H363" t="str">
        <f>IF($AS363="","",Config!$B$11)</f>
        <v/>
      </c>
      <c r="I363" t="str">
        <f>IF($AS363="","",Config!$B$16)</f>
        <v/>
      </c>
      <c r="J363" t="str">
        <f>IF($AS363="","",INDEX('TMP Paste'!$A$2:$A$1601,$AS363))</f>
        <v/>
      </c>
      <c r="K363" t="str">
        <f>IF($AS363="","",INDEX('TMP Paste'!$L$2:$L$1601,$AS363))</f>
        <v/>
      </c>
      <c r="L363" t="str">
        <f>IF($AS363="","",INDEX('TMP Paste'!$I$2:$I$1601,$AS363))</f>
        <v/>
      </c>
      <c r="M363" t="str">
        <f>IF($AS363="","",Config!$B$16)</f>
        <v/>
      </c>
      <c r="N363" t="str">
        <f t="shared" si="30"/>
        <v/>
      </c>
      <c r="O363" t="str">
        <f>IF($AS363="","",INDEX('TMP Paste'!$K$2:$K$1601,$AS363))</f>
        <v/>
      </c>
      <c r="P363" t="str">
        <f t="shared" si="31"/>
        <v/>
      </c>
      <c r="Q363" t="str">
        <f>IF($AS363="","",INDEX('TMP Paste'!$J$2:$J$1601,$AS363))</f>
        <v/>
      </c>
      <c r="R363" t="str">
        <f>IF($AS363="","",Config!$B$24)</f>
        <v/>
      </c>
      <c r="S363" t="str">
        <f ca="1">IF($AS363="","",TEXT(Config!$B$4,"yyyy-mm-dd"))</f>
        <v/>
      </c>
      <c r="T363" t="str">
        <f>IF($AS363="","",Config!$B$17)</f>
        <v/>
      </c>
      <c r="U363" t="str">
        <f>IF($AS363="","",Config!$B$18)</f>
        <v/>
      </c>
      <c r="V363" t="str">
        <f>IF($AS363="","",Config!$B$19)</f>
        <v/>
      </c>
      <c r="W363" t="str">
        <f>IF($AS363="","",INDEX('TMP Paste'!$C$2:$C$1601,$AS363))</f>
        <v/>
      </c>
      <c r="X363" t="str">
        <f>IF($AS363="","",Config!$B$29)</f>
        <v/>
      </c>
      <c r="Y363" t="str">
        <f>IF($AT363="","",INDEX(Calc!$I$2:$I$1601,$AT363)&amp;" - "&amp;INDEX(Calc!$D$2:$D$1601,$AT363)&amp;" koli")</f>
        <v/>
      </c>
      <c r="Z363" t="str">
        <f>IF($AS363="","",Config!$B$21)</f>
        <v/>
      </c>
      <c r="AA363" t="str">
        <f>IF($AS363="","",Config!$B$22)</f>
        <v/>
      </c>
      <c r="AB363" t="str">
        <f>IF($AT363="","",INDEX(Calc!$D$2:$D$1601,$AT363))</f>
        <v/>
      </c>
      <c r="AC363" t="str">
        <f>IF($AT363="","",INDEX(Calc!$G$2:$G$1601,$AT363))</f>
        <v/>
      </c>
      <c r="AD363" t="str">
        <f>IF($AS363="","",Config!$B$23)</f>
        <v/>
      </c>
      <c r="AE363" t="str">
        <f>IF($AS363="","",Config!$B$28)</f>
        <v/>
      </c>
      <c r="AF363" t="str">
        <f t="shared" si="32"/>
        <v/>
      </c>
      <c r="AG363" t="str">
        <f t="shared" si="33"/>
        <v/>
      </c>
      <c r="AH363" t="str">
        <f t="shared" si="34"/>
        <v/>
      </c>
      <c r="AI363" t="str">
        <f>IF($AG363="","",SUMIF($AG$2:$AG363,$AG363,$AH$2:$AH363))</f>
        <v/>
      </c>
      <c r="AJ363" t="str">
        <f>IF('TMP Paste'!$F363="","",IF('TMP Paste'!$B363="",$AJ362,'TMP Paste'!$B363))</f>
        <v/>
      </c>
      <c r="AK363" t="str">
        <f>IF('TMP Paste'!$F363="","",N('TMP Paste'!$G363))</f>
        <v/>
      </c>
      <c r="AL363" t="str">
        <f>IF('TMP Paste'!$F363="","",IF('TMP Paste'!$M363="",$AL362,'TMP Paste'!$M363))</f>
        <v/>
      </c>
      <c r="AM363" t="str">
        <f>IF('TMP Paste'!$F363="","",IF('TMP Paste'!$N363="",$AM362,'TMP Paste'!$N363))</f>
        <v/>
      </c>
      <c r="AN363" t="str">
        <f>IF('TMP Paste'!$F363="","",IF('TMP Paste'!$O363="",$AN362,'TMP Paste'!$O363))</f>
        <v/>
      </c>
      <c r="AO363" t="str">
        <f>IF('TMP Paste'!$F363="","",IF('TMP Paste'!$P363="",$AO362,'TMP Paste'!$P363))</f>
        <v/>
      </c>
      <c r="AP363" t="str">
        <f t="shared" si="35"/>
        <v/>
      </c>
      <c r="AQ363" t="str">
        <f>IF($AS363="","",TRIM(IF(COUNTIFS(Calc!$B$2:$B$1601,ROW()-1,Calc!$C$2:$C$1601,"&lt;1")&gt;0,"Ada PO tanpa Koli - cek TMP. ","")&amp;IF(OR($AU363="",$AU363&lt;=0),"Volume kosong/0 - dimensi dikosongkan. ","")&amp;IF(AND($AU363&lt;&gt;"",$AU363&gt;=1000000),"Volume &gt;= 1.000.000 cm3 (di luar aturan) - dimensi dikosongkan. ","")&amp;IF(LEN($R363)&gt;500,"R &gt; 500 karakter.","")))</f>
        <v/>
      </c>
      <c r="AS363" t="str">
        <f>IFERROR(MATCH(ROW()-1,Calc!$J$2:$J$1601,0),"")</f>
        <v/>
      </c>
      <c r="AT363" t="str">
        <f>IFERROR(MATCH(ROW()-1,Calc!$K$2:$K$1601,0),"")</f>
        <v/>
      </c>
      <c r="AU363" t="str">
        <f>IF($AS363="","",IFERROR(INDEX('TMP Paste'!$D$2:$D$1601,$AS363)*1000000/$AB363,""))</f>
        <v/>
      </c>
    </row>
    <row r="364" spans="1:47">
      <c r="A364" t="str">
        <f>IF($AS364="","",INDEX('TMP Paste'!$B$2:$B$1601,$AS364))</f>
        <v/>
      </c>
      <c r="B364" t="str">
        <f>IF($AS364="","",Config!$B$14)</f>
        <v/>
      </c>
      <c r="C364" t="str">
        <f>IF($AS364="","",Config!$B$15)</f>
        <v/>
      </c>
      <c r="D364" t="str">
        <f>IF($AS364="","",INDEX('TMP Paste'!$B$2:$B$1601,$AS364))</f>
        <v/>
      </c>
      <c r="E364" t="str">
        <f>IF($AS364="","",Config!$B$27)</f>
        <v/>
      </c>
      <c r="F364" t="str">
        <f>IF($AS364="","",Config!$B$9)</f>
        <v/>
      </c>
      <c r="G364" t="str">
        <f>IF($AS364="","",Config!$B$10)</f>
        <v/>
      </c>
      <c r="H364" t="str">
        <f>IF($AS364="","",Config!$B$11)</f>
        <v/>
      </c>
      <c r="I364" t="str">
        <f>IF($AS364="","",Config!$B$16)</f>
        <v/>
      </c>
      <c r="J364" t="str">
        <f>IF($AS364="","",INDEX('TMP Paste'!$A$2:$A$1601,$AS364))</f>
        <v/>
      </c>
      <c r="K364" t="str">
        <f>IF($AS364="","",INDEX('TMP Paste'!$L$2:$L$1601,$AS364))</f>
        <v/>
      </c>
      <c r="L364" t="str">
        <f>IF($AS364="","",INDEX('TMP Paste'!$I$2:$I$1601,$AS364))</f>
        <v/>
      </c>
      <c r="M364" t="str">
        <f>IF($AS364="","",Config!$B$16)</f>
        <v/>
      </c>
      <c r="N364" t="str">
        <f t="shared" si="30"/>
        <v/>
      </c>
      <c r="O364" t="str">
        <f>IF($AS364="","",INDEX('TMP Paste'!$K$2:$K$1601,$AS364))</f>
        <v/>
      </c>
      <c r="P364" t="str">
        <f t="shared" si="31"/>
        <v/>
      </c>
      <c r="Q364" t="str">
        <f>IF($AS364="","",INDEX('TMP Paste'!$J$2:$J$1601,$AS364))</f>
        <v/>
      </c>
      <c r="R364" t="str">
        <f>IF($AS364="","",Config!$B$24)</f>
        <v/>
      </c>
      <c r="S364" t="str">
        <f ca="1">IF($AS364="","",TEXT(Config!$B$4,"yyyy-mm-dd"))</f>
        <v/>
      </c>
      <c r="T364" t="str">
        <f>IF($AS364="","",Config!$B$17)</f>
        <v/>
      </c>
      <c r="U364" t="str">
        <f>IF($AS364="","",Config!$B$18)</f>
        <v/>
      </c>
      <c r="V364" t="str">
        <f>IF($AS364="","",Config!$B$19)</f>
        <v/>
      </c>
      <c r="W364" t="str">
        <f>IF($AS364="","",INDEX('TMP Paste'!$C$2:$C$1601,$AS364))</f>
        <v/>
      </c>
      <c r="X364" t="str">
        <f>IF($AS364="","",Config!$B$29)</f>
        <v/>
      </c>
      <c r="Y364" t="str">
        <f>IF($AT364="","",INDEX(Calc!$I$2:$I$1601,$AT364)&amp;" - "&amp;INDEX(Calc!$D$2:$D$1601,$AT364)&amp;" koli")</f>
        <v/>
      </c>
      <c r="Z364" t="str">
        <f>IF($AS364="","",Config!$B$21)</f>
        <v/>
      </c>
      <c r="AA364" t="str">
        <f>IF($AS364="","",Config!$B$22)</f>
        <v/>
      </c>
      <c r="AB364" t="str">
        <f>IF($AT364="","",INDEX(Calc!$D$2:$D$1601,$AT364))</f>
        <v/>
      </c>
      <c r="AC364" t="str">
        <f>IF($AT364="","",INDEX(Calc!$G$2:$G$1601,$AT364))</f>
        <v/>
      </c>
      <c r="AD364" t="str">
        <f>IF($AS364="","",Config!$B$23)</f>
        <v/>
      </c>
      <c r="AE364" t="str">
        <f>IF($AS364="","",Config!$B$28)</f>
        <v/>
      </c>
      <c r="AF364" t="str">
        <f t="shared" si="32"/>
        <v/>
      </c>
      <c r="AG364" t="str">
        <f t="shared" si="33"/>
        <v/>
      </c>
      <c r="AH364" t="str">
        <f t="shared" si="34"/>
        <v/>
      </c>
      <c r="AI364" t="str">
        <f>IF($AG364="","",SUMIF($AG$2:$AG364,$AG364,$AH$2:$AH364))</f>
        <v/>
      </c>
      <c r="AJ364" t="str">
        <f>IF('TMP Paste'!$F364="","",IF('TMP Paste'!$B364="",$AJ363,'TMP Paste'!$B364))</f>
        <v/>
      </c>
      <c r="AK364" t="str">
        <f>IF('TMP Paste'!$F364="","",N('TMP Paste'!$G364))</f>
        <v/>
      </c>
      <c r="AL364" t="str">
        <f>IF('TMP Paste'!$F364="","",IF('TMP Paste'!$M364="",$AL363,'TMP Paste'!$M364))</f>
        <v/>
      </c>
      <c r="AM364" t="str">
        <f>IF('TMP Paste'!$F364="","",IF('TMP Paste'!$N364="",$AM363,'TMP Paste'!$N364))</f>
        <v/>
      </c>
      <c r="AN364" t="str">
        <f>IF('TMP Paste'!$F364="","",IF('TMP Paste'!$O364="",$AN363,'TMP Paste'!$O364))</f>
        <v/>
      </c>
      <c r="AO364" t="str">
        <f>IF('TMP Paste'!$F364="","",IF('TMP Paste'!$P364="",$AO363,'TMP Paste'!$P364))</f>
        <v/>
      </c>
      <c r="AP364" t="str">
        <f t="shared" si="35"/>
        <v/>
      </c>
      <c r="AQ364" t="str">
        <f>IF($AS364="","",TRIM(IF(COUNTIFS(Calc!$B$2:$B$1601,ROW()-1,Calc!$C$2:$C$1601,"&lt;1")&gt;0,"Ada PO tanpa Koli - cek TMP. ","")&amp;IF(OR($AU364="",$AU364&lt;=0),"Volume kosong/0 - dimensi dikosongkan. ","")&amp;IF(AND($AU364&lt;&gt;"",$AU364&gt;=1000000),"Volume &gt;= 1.000.000 cm3 (di luar aturan) - dimensi dikosongkan. ","")&amp;IF(LEN($R364)&gt;500,"R &gt; 500 karakter.","")))</f>
        <v/>
      </c>
      <c r="AS364" t="str">
        <f>IFERROR(MATCH(ROW()-1,Calc!$J$2:$J$1601,0),"")</f>
        <v/>
      </c>
      <c r="AT364" t="str">
        <f>IFERROR(MATCH(ROW()-1,Calc!$K$2:$K$1601,0),"")</f>
        <v/>
      </c>
      <c r="AU364" t="str">
        <f>IF($AS364="","",IFERROR(INDEX('TMP Paste'!$D$2:$D$1601,$AS364)*1000000/$AB364,""))</f>
        <v/>
      </c>
    </row>
    <row r="365" spans="1:47">
      <c r="A365" t="str">
        <f>IF($AS365="","",INDEX('TMP Paste'!$B$2:$B$1601,$AS365))</f>
        <v/>
      </c>
      <c r="B365" t="str">
        <f>IF($AS365="","",Config!$B$14)</f>
        <v/>
      </c>
      <c r="C365" t="str">
        <f>IF($AS365="","",Config!$B$15)</f>
        <v/>
      </c>
      <c r="D365" t="str">
        <f>IF($AS365="","",INDEX('TMP Paste'!$B$2:$B$1601,$AS365))</f>
        <v/>
      </c>
      <c r="E365" t="str">
        <f>IF($AS365="","",Config!$B$27)</f>
        <v/>
      </c>
      <c r="F365" t="str">
        <f>IF($AS365="","",Config!$B$9)</f>
        <v/>
      </c>
      <c r="G365" t="str">
        <f>IF($AS365="","",Config!$B$10)</f>
        <v/>
      </c>
      <c r="H365" t="str">
        <f>IF($AS365="","",Config!$B$11)</f>
        <v/>
      </c>
      <c r="I365" t="str">
        <f>IF($AS365="","",Config!$B$16)</f>
        <v/>
      </c>
      <c r="J365" t="str">
        <f>IF($AS365="","",INDEX('TMP Paste'!$A$2:$A$1601,$AS365))</f>
        <v/>
      </c>
      <c r="K365" t="str">
        <f>IF($AS365="","",INDEX('TMP Paste'!$L$2:$L$1601,$AS365))</f>
        <v/>
      </c>
      <c r="L365" t="str">
        <f>IF($AS365="","",INDEX('TMP Paste'!$I$2:$I$1601,$AS365))</f>
        <v/>
      </c>
      <c r="M365" t="str">
        <f>IF($AS365="","",Config!$B$16)</f>
        <v/>
      </c>
      <c r="N365" t="str">
        <f t="shared" si="30"/>
        <v/>
      </c>
      <c r="O365" t="str">
        <f>IF($AS365="","",INDEX('TMP Paste'!$K$2:$K$1601,$AS365))</f>
        <v/>
      </c>
      <c r="P365" t="str">
        <f t="shared" si="31"/>
        <v/>
      </c>
      <c r="Q365" t="str">
        <f>IF($AS365="","",INDEX('TMP Paste'!$J$2:$J$1601,$AS365))</f>
        <v/>
      </c>
      <c r="R365" t="str">
        <f>IF($AS365="","",Config!$B$24)</f>
        <v/>
      </c>
      <c r="S365" t="str">
        <f ca="1">IF($AS365="","",TEXT(Config!$B$4,"yyyy-mm-dd"))</f>
        <v/>
      </c>
      <c r="T365" t="str">
        <f>IF($AS365="","",Config!$B$17)</f>
        <v/>
      </c>
      <c r="U365" t="str">
        <f>IF($AS365="","",Config!$B$18)</f>
        <v/>
      </c>
      <c r="V365" t="str">
        <f>IF($AS365="","",Config!$B$19)</f>
        <v/>
      </c>
      <c r="W365" t="str">
        <f>IF($AS365="","",INDEX('TMP Paste'!$C$2:$C$1601,$AS365))</f>
        <v/>
      </c>
      <c r="X365" t="str">
        <f>IF($AS365="","",Config!$B$29)</f>
        <v/>
      </c>
      <c r="Y365" t="str">
        <f>IF($AT365="","",INDEX(Calc!$I$2:$I$1601,$AT365)&amp;" - "&amp;INDEX(Calc!$D$2:$D$1601,$AT365)&amp;" koli")</f>
        <v/>
      </c>
      <c r="Z365" t="str">
        <f>IF($AS365="","",Config!$B$21)</f>
        <v/>
      </c>
      <c r="AA365" t="str">
        <f>IF($AS365="","",Config!$B$22)</f>
        <v/>
      </c>
      <c r="AB365" t="str">
        <f>IF($AT365="","",INDEX(Calc!$D$2:$D$1601,$AT365))</f>
        <v/>
      </c>
      <c r="AC365" t="str">
        <f>IF($AT365="","",INDEX(Calc!$G$2:$G$1601,$AT365))</f>
        <v/>
      </c>
      <c r="AD365" t="str">
        <f>IF($AS365="","",Config!$B$23)</f>
        <v/>
      </c>
      <c r="AE365" t="str">
        <f>IF($AS365="","",Config!$B$28)</f>
        <v/>
      </c>
      <c r="AF365" t="str">
        <f t="shared" si="32"/>
        <v/>
      </c>
      <c r="AG365" t="str">
        <f t="shared" si="33"/>
        <v/>
      </c>
      <c r="AH365" t="str">
        <f t="shared" si="34"/>
        <v/>
      </c>
      <c r="AI365" t="str">
        <f>IF($AG365="","",SUMIF($AG$2:$AG365,$AG365,$AH$2:$AH365))</f>
        <v/>
      </c>
      <c r="AJ365" t="str">
        <f>IF('TMP Paste'!$F365="","",IF('TMP Paste'!$B365="",$AJ364,'TMP Paste'!$B365))</f>
        <v/>
      </c>
      <c r="AK365" t="str">
        <f>IF('TMP Paste'!$F365="","",N('TMP Paste'!$G365))</f>
        <v/>
      </c>
      <c r="AL365" t="str">
        <f>IF('TMP Paste'!$F365="","",IF('TMP Paste'!$M365="",$AL364,'TMP Paste'!$M365))</f>
        <v/>
      </c>
      <c r="AM365" t="str">
        <f>IF('TMP Paste'!$F365="","",IF('TMP Paste'!$N365="",$AM364,'TMP Paste'!$N365))</f>
        <v/>
      </c>
      <c r="AN365" t="str">
        <f>IF('TMP Paste'!$F365="","",IF('TMP Paste'!$O365="",$AN364,'TMP Paste'!$O365))</f>
        <v/>
      </c>
      <c r="AO365" t="str">
        <f>IF('TMP Paste'!$F365="","",IF('TMP Paste'!$P365="",$AO364,'TMP Paste'!$P365))</f>
        <v/>
      </c>
      <c r="AP365" t="str">
        <f t="shared" si="35"/>
        <v/>
      </c>
      <c r="AQ365" t="str">
        <f>IF($AS365="","",TRIM(IF(COUNTIFS(Calc!$B$2:$B$1601,ROW()-1,Calc!$C$2:$C$1601,"&lt;1")&gt;0,"Ada PO tanpa Koli - cek TMP. ","")&amp;IF(OR($AU365="",$AU365&lt;=0),"Volume kosong/0 - dimensi dikosongkan. ","")&amp;IF(AND($AU365&lt;&gt;"",$AU365&gt;=1000000),"Volume &gt;= 1.000.000 cm3 (di luar aturan) - dimensi dikosongkan. ","")&amp;IF(LEN($R365)&gt;500,"R &gt; 500 karakter.","")))</f>
        <v/>
      </c>
      <c r="AS365" t="str">
        <f>IFERROR(MATCH(ROW()-1,Calc!$J$2:$J$1601,0),"")</f>
        <v/>
      </c>
      <c r="AT365" t="str">
        <f>IFERROR(MATCH(ROW()-1,Calc!$K$2:$K$1601,0),"")</f>
        <v/>
      </c>
      <c r="AU365" t="str">
        <f>IF($AS365="","",IFERROR(INDEX('TMP Paste'!$D$2:$D$1601,$AS365)*1000000/$AB365,""))</f>
        <v/>
      </c>
    </row>
    <row r="366" spans="1:47">
      <c r="A366" t="str">
        <f>IF($AS366="","",INDEX('TMP Paste'!$B$2:$B$1601,$AS366))</f>
        <v/>
      </c>
      <c r="B366" t="str">
        <f>IF($AS366="","",Config!$B$14)</f>
        <v/>
      </c>
      <c r="C366" t="str">
        <f>IF($AS366="","",Config!$B$15)</f>
        <v/>
      </c>
      <c r="D366" t="str">
        <f>IF($AS366="","",INDEX('TMP Paste'!$B$2:$B$1601,$AS366))</f>
        <v/>
      </c>
      <c r="E366" t="str">
        <f>IF($AS366="","",Config!$B$27)</f>
        <v/>
      </c>
      <c r="F366" t="str">
        <f>IF($AS366="","",Config!$B$9)</f>
        <v/>
      </c>
      <c r="G366" t="str">
        <f>IF($AS366="","",Config!$B$10)</f>
        <v/>
      </c>
      <c r="H366" t="str">
        <f>IF($AS366="","",Config!$B$11)</f>
        <v/>
      </c>
      <c r="I366" t="str">
        <f>IF($AS366="","",Config!$B$16)</f>
        <v/>
      </c>
      <c r="J366" t="str">
        <f>IF($AS366="","",INDEX('TMP Paste'!$A$2:$A$1601,$AS366))</f>
        <v/>
      </c>
      <c r="K366" t="str">
        <f>IF($AS366="","",INDEX('TMP Paste'!$L$2:$L$1601,$AS366))</f>
        <v/>
      </c>
      <c r="L366" t="str">
        <f>IF($AS366="","",INDEX('TMP Paste'!$I$2:$I$1601,$AS366))</f>
        <v/>
      </c>
      <c r="M366" t="str">
        <f>IF($AS366="","",Config!$B$16)</f>
        <v/>
      </c>
      <c r="N366" t="str">
        <f t="shared" si="30"/>
        <v/>
      </c>
      <c r="O366" t="str">
        <f>IF($AS366="","",INDEX('TMP Paste'!$K$2:$K$1601,$AS366))</f>
        <v/>
      </c>
      <c r="P366" t="str">
        <f t="shared" si="31"/>
        <v/>
      </c>
      <c r="Q366" t="str">
        <f>IF($AS366="","",INDEX('TMP Paste'!$J$2:$J$1601,$AS366))</f>
        <v/>
      </c>
      <c r="R366" t="str">
        <f>IF($AS366="","",Config!$B$24)</f>
        <v/>
      </c>
      <c r="S366" t="str">
        <f ca="1">IF($AS366="","",TEXT(Config!$B$4,"yyyy-mm-dd"))</f>
        <v/>
      </c>
      <c r="T366" t="str">
        <f>IF($AS366="","",Config!$B$17)</f>
        <v/>
      </c>
      <c r="U366" t="str">
        <f>IF($AS366="","",Config!$B$18)</f>
        <v/>
      </c>
      <c r="V366" t="str">
        <f>IF($AS366="","",Config!$B$19)</f>
        <v/>
      </c>
      <c r="W366" t="str">
        <f>IF($AS366="","",INDEX('TMP Paste'!$C$2:$C$1601,$AS366))</f>
        <v/>
      </c>
      <c r="X366" t="str">
        <f>IF($AS366="","",Config!$B$29)</f>
        <v/>
      </c>
      <c r="Y366" t="str">
        <f>IF($AT366="","",INDEX(Calc!$I$2:$I$1601,$AT366)&amp;" - "&amp;INDEX(Calc!$D$2:$D$1601,$AT366)&amp;" koli")</f>
        <v/>
      </c>
      <c r="Z366" t="str">
        <f>IF($AS366="","",Config!$B$21)</f>
        <v/>
      </c>
      <c r="AA366" t="str">
        <f>IF($AS366="","",Config!$B$22)</f>
        <v/>
      </c>
      <c r="AB366" t="str">
        <f>IF($AT366="","",INDEX(Calc!$D$2:$D$1601,$AT366))</f>
        <v/>
      </c>
      <c r="AC366" t="str">
        <f>IF($AT366="","",INDEX(Calc!$G$2:$G$1601,$AT366))</f>
        <v/>
      </c>
      <c r="AD366" t="str">
        <f>IF($AS366="","",Config!$B$23)</f>
        <v/>
      </c>
      <c r="AE366" t="str">
        <f>IF($AS366="","",Config!$B$28)</f>
        <v/>
      </c>
      <c r="AF366" t="str">
        <f t="shared" si="32"/>
        <v/>
      </c>
      <c r="AG366" t="str">
        <f t="shared" si="33"/>
        <v/>
      </c>
      <c r="AH366" t="str">
        <f t="shared" si="34"/>
        <v/>
      </c>
      <c r="AI366" t="str">
        <f>IF($AG366="","",SUMIF($AG$2:$AG366,$AG366,$AH$2:$AH366))</f>
        <v/>
      </c>
      <c r="AJ366" t="str">
        <f>IF('TMP Paste'!$F366="","",IF('TMP Paste'!$B366="",$AJ365,'TMP Paste'!$B366))</f>
        <v/>
      </c>
      <c r="AK366" t="str">
        <f>IF('TMP Paste'!$F366="","",N('TMP Paste'!$G366))</f>
        <v/>
      </c>
      <c r="AL366" t="str">
        <f>IF('TMP Paste'!$F366="","",IF('TMP Paste'!$M366="",$AL365,'TMP Paste'!$M366))</f>
        <v/>
      </c>
      <c r="AM366" t="str">
        <f>IF('TMP Paste'!$F366="","",IF('TMP Paste'!$N366="",$AM365,'TMP Paste'!$N366))</f>
        <v/>
      </c>
      <c r="AN366" t="str">
        <f>IF('TMP Paste'!$F366="","",IF('TMP Paste'!$O366="",$AN365,'TMP Paste'!$O366))</f>
        <v/>
      </c>
      <c r="AO366" t="str">
        <f>IF('TMP Paste'!$F366="","",IF('TMP Paste'!$P366="",$AO365,'TMP Paste'!$P366))</f>
        <v/>
      </c>
      <c r="AP366" t="str">
        <f t="shared" si="35"/>
        <v/>
      </c>
      <c r="AQ366" t="str">
        <f>IF($AS366="","",TRIM(IF(COUNTIFS(Calc!$B$2:$B$1601,ROW()-1,Calc!$C$2:$C$1601,"&lt;1")&gt;0,"Ada PO tanpa Koli - cek TMP. ","")&amp;IF(OR($AU366="",$AU366&lt;=0),"Volume kosong/0 - dimensi dikosongkan. ","")&amp;IF(AND($AU366&lt;&gt;"",$AU366&gt;=1000000),"Volume &gt;= 1.000.000 cm3 (di luar aturan) - dimensi dikosongkan. ","")&amp;IF(LEN($R366)&gt;500,"R &gt; 500 karakter.","")))</f>
        <v/>
      </c>
      <c r="AS366" t="str">
        <f>IFERROR(MATCH(ROW()-1,Calc!$J$2:$J$1601,0),"")</f>
        <v/>
      </c>
      <c r="AT366" t="str">
        <f>IFERROR(MATCH(ROW()-1,Calc!$K$2:$K$1601,0),"")</f>
        <v/>
      </c>
      <c r="AU366" t="str">
        <f>IF($AS366="","",IFERROR(INDEX('TMP Paste'!$D$2:$D$1601,$AS366)*1000000/$AB366,""))</f>
        <v/>
      </c>
    </row>
    <row r="367" spans="1:47">
      <c r="A367" t="str">
        <f>IF($AS367="","",INDEX('TMP Paste'!$B$2:$B$1601,$AS367))</f>
        <v/>
      </c>
      <c r="B367" t="str">
        <f>IF($AS367="","",Config!$B$14)</f>
        <v/>
      </c>
      <c r="C367" t="str">
        <f>IF($AS367="","",Config!$B$15)</f>
        <v/>
      </c>
      <c r="D367" t="str">
        <f>IF($AS367="","",INDEX('TMP Paste'!$B$2:$B$1601,$AS367))</f>
        <v/>
      </c>
      <c r="E367" t="str">
        <f>IF($AS367="","",Config!$B$27)</f>
        <v/>
      </c>
      <c r="F367" t="str">
        <f>IF($AS367="","",Config!$B$9)</f>
        <v/>
      </c>
      <c r="G367" t="str">
        <f>IF($AS367="","",Config!$B$10)</f>
        <v/>
      </c>
      <c r="H367" t="str">
        <f>IF($AS367="","",Config!$B$11)</f>
        <v/>
      </c>
      <c r="I367" t="str">
        <f>IF($AS367="","",Config!$B$16)</f>
        <v/>
      </c>
      <c r="J367" t="str">
        <f>IF($AS367="","",INDEX('TMP Paste'!$A$2:$A$1601,$AS367))</f>
        <v/>
      </c>
      <c r="K367" t="str">
        <f>IF($AS367="","",INDEX('TMP Paste'!$L$2:$L$1601,$AS367))</f>
        <v/>
      </c>
      <c r="L367" t="str">
        <f>IF($AS367="","",INDEX('TMP Paste'!$I$2:$I$1601,$AS367))</f>
        <v/>
      </c>
      <c r="M367" t="str">
        <f>IF($AS367="","",Config!$B$16)</f>
        <v/>
      </c>
      <c r="N367" t="str">
        <f t="shared" si="30"/>
        <v/>
      </c>
      <c r="O367" t="str">
        <f>IF($AS367="","",INDEX('TMP Paste'!$K$2:$K$1601,$AS367))</f>
        <v/>
      </c>
      <c r="P367" t="str">
        <f t="shared" si="31"/>
        <v/>
      </c>
      <c r="Q367" t="str">
        <f>IF($AS367="","",INDEX('TMP Paste'!$J$2:$J$1601,$AS367))</f>
        <v/>
      </c>
      <c r="R367" t="str">
        <f>IF($AS367="","",Config!$B$24)</f>
        <v/>
      </c>
      <c r="S367" t="str">
        <f ca="1">IF($AS367="","",TEXT(Config!$B$4,"yyyy-mm-dd"))</f>
        <v/>
      </c>
      <c r="T367" t="str">
        <f>IF($AS367="","",Config!$B$17)</f>
        <v/>
      </c>
      <c r="U367" t="str">
        <f>IF($AS367="","",Config!$B$18)</f>
        <v/>
      </c>
      <c r="V367" t="str">
        <f>IF($AS367="","",Config!$B$19)</f>
        <v/>
      </c>
      <c r="W367" t="str">
        <f>IF($AS367="","",INDEX('TMP Paste'!$C$2:$C$1601,$AS367))</f>
        <v/>
      </c>
      <c r="X367" t="str">
        <f>IF($AS367="","",Config!$B$29)</f>
        <v/>
      </c>
      <c r="Y367" t="str">
        <f>IF($AT367="","",INDEX(Calc!$I$2:$I$1601,$AT367)&amp;" - "&amp;INDEX(Calc!$D$2:$D$1601,$AT367)&amp;" koli")</f>
        <v/>
      </c>
      <c r="Z367" t="str">
        <f>IF($AS367="","",Config!$B$21)</f>
        <v/>
      </c>
      <c r="AA367" t="str">
        <f>IF($AS367="","",Config!$B$22)</f>
        <v/>
      </c>
      <c r="AB367" t="str">
        <f>IF($AT367="","",INDEX(Calc!$D$2:$D$1601,$AT367))</f>
        <v/>
      </c>
      <c r="AC367" t="str">
        <f>IF($AT367="","",INDEX(Calc!$G$2:$G$1601,$AT367))</f>
        <v/>
      </c>
      <c r="AD367" t="str">
        <f>IF($AS367="","",Config!$B$23)</f>
        <v/>
      </c>
      <c r="AE367" t="str">
        <f>IF($AS367="","",Config!$B$28)</f>
        <v/>
      </c>
      <c r="AF367" t="str">
        <f t="shared" si="32"/>
        <v/>
      </c>
      <c r="AG367" t="str">
        <f t="shared" si="33"/>
        <v/>
      </c>
      <c r="AH367" t="str">
        <f t="shared" si="34"/>
        <v/>
      </c>
      <c r="AI367" t="str">
        <f>IF($AG367="","",SUMIF($AG$2:$AG367,$AG367,$AH$2:$AH367))</f>
        <v/>
      </c>
      <c r="AJ367" t="str">
        <f>IF('TMP Paste'!$F367="","",IF('TMP Paste'!$B367="",$AJ366,'TMP Paste'!$B367))</f>
        <v/>
      </c>
      <c r="AK367" t="str">
        <f>IF('TMP Paste'!$F367="","",N('TMP Paste'!$G367))</f>
        <v/>
      </c>
      <c r="AL367" t="str">
        <f>IF('TMP Paste'!$F367="","",IF('TMP Paste'!$M367="",$AL366,'TMP Paste'!$M367))</f>
        <v/>
      </c>
      <c r="AM367" t="str">
        <f>IF('TMP Paste'!$F367="","",IF('TMP Paste'!$N367="",$AM366,'TMP Paste'!$N367))</f>
        <v/>
      </c>
      <c r="AN367" t="str">
        <f>IF('TMP Paste'!$F367="","",IF('TMP Paste'!$O367="",$AN366,'TMP Paste'!$O367))</f>
        <v/>
      </c>
      <c r="AO367" t="str">
        <f>IF('TMP Paste'!$F367="","",IF('TMP Paste'!$P367="",$AO366,'TMP Paste'!$P367))</f>
        <v/>
      </c>
      <c r="AP367" t="str">
        <f t="shared" si="35"/>
        <v/>
      </c>
      <c r="AQ367" t="str">
        <f>IF($AS367="","",TRIM(IF(COUNTIFS(Calc!$B$2:$B$1601,ROW()-1,Calc!$C$2:$C$1601,"&lt;1")&gt;0,"Ada PO tanpa Koli - cek TMP. ","")&amp;IF(OR($AU367="",$AU367&lt;=0),"Volume kosong/0 - dimensi dikosongkan. ","")&amp;IF(AND($AU367&lt;&gt;"",$AU367&gt;=1000000),"Volume &gt;= 1.000.000 cm3 (di luar aturan) - dimensi dikosongkan. ","")&amp;IF(LEN($R367)&gt;500,"R &gt; 500 karakter.","")))</f>
        <v/>
      </c>
      <c r="AS367" t="str">
        <f>IFERROR(MATCH(ROW()-1,Calc!$J$2:$J$1601,0),"")</f>
        <v/>
      </c>
      <c r="AT367" t="str">
        <f>IFERROR(MATCH(ROW()-1,Calc!$K$2:$K$1601,0),"")</f>
        <v/>
      </c>
      <c r="AU367" t="str">
        <f>IF($AS367="","",IFERROR(INDEX('TMP Paste'!$D$2:$D$1601,$AS367)*1000000/$AB367,""))</f>
        <v/>
      </c>
    </row>
    <row r="368" spans="1:47">
      <c r="A368" t="str">
        <f>IF($AS368="","",INDEX('TMP Paste'!$B$2:$B$1601,$AS368))</f>
        <v/>
      </c>
      <c r="B368" t="str">
        <f>IF($AS368="","",Config!$B$14)</f>
        <v/>
      </c>
      <c r="C368" t="str">
        <f>IF($AS368="","",Config!$B$15)</f>
        <v/>
      </c>
      <c r="D368" t="str">
        <f>IF($AS368="","",INDEX('TMP Paste'!$B$2:$B$1601,$AS368))</f>
        <v/>
      </c>
      <c r="E368" t="str">
        <f>IF($AS368="","",Config!$B$27)</f>
        <v/>
      </c>
      <c r="F368" t="str">
        <f>IF($AS368="","",Config!$B$9)</f>
        <v/>
      </c>
      <c r="G368" t="str">
        <f>IF($AS368="","",Config!$B$10)</f>
        <v/>
      </c>
      <c r="H368" t="str">
        <f>IF($AS368="","",Config!$B$11)</f>
        <v/>
      </c>
      <c r="I368" t="str">
        <f>IF($AS368="","",Config!$B$16)</f>
        <v/>
      </c>
      <c r="J368" t="str">
        <f>IF($AS368="","",INDEX('TMP Paste'!$A$2:$A$1601,$AS368))</f>
        <v/>
      </c>
      <c r="K368" t="str">
        <f>IF($AS368="","",INDEX('TMP Paste'!$L$2:$L$1601,$AS368))</f>
        <v/>
      </c>
      <c r="L368" t="str">
        <f>IF($AS368="","",INDEX('TMP Paste'!$I$2:$I$1601,$AS368))</f>
        <v/>
      </c>
      <c r="M368" t="str">
        <f>IF($AS368="","",Config!$B$16)</f>
        <v/>
      </c>
      <c r="N368" t="str">
        <f t="shared" si="30"/>
        <v/>
      </c>
      <c r="O368" t="str">
        <f>IF($AS368="","",INDEX('TMP Paste'!$K$2:$K$1601,$AS368))</f>
        <v/>
      </c>
      <c r="P368" t="str">
        <f t="shared" si="31"/>
        <v/>
      </c>
      <c r="Q368" t="str">
        <f>IF($AS368="","",INDEX('TMP Paste'!$J$2:$J$1601,$AS368))</f>
        <v/>
      </c>
      <c r="R368" t="str">
        <f>IF($AS368="","",Config!$B$24)</f>
        <v/>
      </c>
      <c r="S368" t="str">
        <f ca="1">IF($AS368="","",TEXT(Config!$B$4,"yyyy-mm-dd"))</f>
        <v/>
      </c>
      <c r="T368" t="str">
        <f>IF($AS368="","",Config!$B$17)</f>
        <v/>
      </c>
      <c r="U368" t="str">
        <f>IF($AS368="","",Config!$B$18)</f>
        <v/>
      </c>
      <c r="V368" t="str">
        <f>IF($AS368="","",Config!$B$19)</f>
        <v/>
      </c>
      <c r="W368" t="str">
        <f>IF($AS368="","",INDEX('TMP Paste'!$C$2:$C$1601,$AS368))</f>
        <v/>
      </c>
      <c r="X368" t="str">
        <f>IF($AS368="","",Config!$B$29)</f>
        <v/>
      </c>
      <c r="Y368" t="str">
        <f>IF($AT368="","",INDEX(Calc!$I$2:$I$1601,$AT368)&amp;" - "&amp;INDEX(Calc!$D$2:$D$1601,$AT368)&amp;" koli")</f>
        <v/>
      </c>
      <c r="Z368" t="str">
        <f>IF($AS368="","",Config!$B$21)</f>
        <v/>
      </c>
      <c r="AA368" t="str">
        <f>IF($AS368="","",Config!$B$22)</f>
        <v/>
      </c>
      <c r="AB368" t="str">
        <f>IF($AT368="","",INDEX(Calc!$D$2:$D$1601,$AT368))</f>
        <v/>
      </c>
      <c r="AC368" t="str">
        <f>IF($AT368="","",INDEX(Calc!$G$2:$G$1601,$AT368))</f>
        <v/>
      </c>
      <c r="AD368" t="str">
        <f>IF($AS368="","",Config!$B$23)</f>
        <v/>
      </c>
      <c r="AE368" t="str">
        <f>IF($AS368="","",Config!$B$28)</f>
        <v/>
      </c>
      <c r="AF368" t="str">
        <f t="shared" si="32"/>
        <v/>
      </c>
      <c r="AG368" t="str">
        <f t="shared" si="33"/>
        <v/>
      </c>
      <c r="AH368" t="str">
        <f t="shared" si="34"/>
        <v/>
      </c>
      <c r="AI368" t="str">
        <f>IF($AG368="","",SUMIF($AG$2:$AG368,$AG368,$AH$2:$AH368))</f>
        <v/>
      </c>
      <c r="AJ368" t="str">
        <f>IF('TMP Paste'!$F368="","",IF('TMP Paste'!$B368="",$AJ367,'TMP Paste'!$B368))</f>
        <v/>
      </c>
      <c r="AK368" t="str">
        <f>IF('TMP Paste'!$F368="","",N('TMP Paste'!$G368))</f>
        <v/>
      </c>
      <c r="AL368" t="str">
        <f>IF('TMP Paste'!$F368="","",IF('TMP Paste'!$M368="",$AL367,'TMP Paste'!$M368))</f>
        <v/>
      </c>
      <c r="AM368" t="str">
        <f>IF('TMP Paste'!$F368="","",IF('TMP Paste'!$N368="",$AM367,'TMP Paste'!$N368))</f>
        <v/>
      </c>
      <c r="AN368" t="str">
        <f>IF('TMP Paste'!$F368="","",IF('TMP Paste'!$O368="",$AN367,'TMP Paste'!$O368))</f>
        <v/>
      </c>
      <c r="AO368" t="str">
        <f>IF('TMP Paste'!$F368="","",IF('TMP Paste'!$P368="",$AO367,'TMP Paste'!$P368))</f>
        <v/>
      </c>
      <c r="AP368" t="str">
        <f t="shared" si="35"/>
        <v/>
      </c>
      <c r="AQ368" t="str">
        <f>IF($AS368="","",TRIM(IF(COUNTIFS(Calc!$B$2:$B$1601,ROW()-1,Calc!$C$2:$C$1601,"&lt;1")&gt;0,"Ada PO tanpa Koli - cek TMP. ","")&amp;IF(OR($AU368="",$AU368&lt;=0),"Volume kosong/0 - dimensi dikosongkan. ","")&amp;IF(AND($AU368&lt;&gt;"",$AU368&gt;=1000000),"Volume &gt;= 1.000.000 cm3 (di luar aturan) - dimensi dikosongkan. ","")&amp;IF(LEN($R368)&gt;500,"R &gt; 500 karakter.","")))</f>
        <v/>
      </c>
      <c r="AS368" t="str">
        <f>IFERROR(MATCH(ROW()-1,Calc!$J$2:$J$1601,0),"")</f>
        <v/>
      </c>
      <c r="AT368" t="str">
        <f>IFERROR(MATCH(ROW()-1,Calc!$K$2:$K$1601,0),"")</f>
        <v/>
      </c>
      <c r="AU368" t="str">
        <f>IF($AS368="","",IFERROR(INDEX('TMP Paste'!$D$2:$D$1601,$AS368)*1000000/$AB368,""))</f>
        <v/>
      </c>
    </row>
    <row r="369" spans="1:47">
      <c r="A369" t="str">
        <f>IF($AS369="","",INDEX('TMP Paste'!$B$2:$B$1601,$AS369))</f>
        <v/>
      </c>
      <c r="B369" t="str">
        <f>IF($AS369="","",Config!$B$14)</f>
        <v/>
      </c>
      <c r="C369" t="str">
        <f>IF($AS369="","",Config!$B$15)</f>
        <v/>
      </c>
      <c r="D369" t="str">
        <f>IF($AS369="","",INDEX('TMP Paste'!$B$2:$B$1601,$AS369))</f>
        <v/>
      </c>
      <c r="E369" t="str">
        <f>IF($AS369="","",Config!$B$27)</f>
        <v/>
      </c>
      <c r="F369" t="str">
        <f>IF($AS369="","",Config!$B$9)</f>
        <v/>
      </c>
      <c r="G369" t="str">
        <f>IF($AS369="","",Config!$B$10)</f>
        <v/>
      </c>
      <c r="H369" t="str">
        <f>IF($AS369="","",Config!$B$11)</f>
        <v/>
      </c>
      <c r="I369" t="str">
        <f>IF($AS369="","",Config!$B$16)</f>
        <v/>
      </c>
      <c r="J369" t="str">
        <f>IF($AS369="","",INDEX('TMP Paste'!$A$2:$A$1601,$AS369))</f>
        <v/>
      </c>
      <c r="K369" t="str">
        <f>IF($AS369="","",INDEX('TMP Paste'!$L$2:$L$1601,$AS369))</f>
        <v/>
      </c>
      <c r="L369" t="str">
        <f>IF($AS369="","",INDEX('TMP Paste'!$I$2:$I$1601,$AS369))</f>
        <v/>
      </c>
      <c r="M369" t="str">
        <f>IF($AS369="","",Config!$B$16)</f>
        <v/>
      </c>
      <c r="N369" t="str">
        <f t="shared" si="30"/>
        <v/>
      </c>
      <c r="O369" t="str">
        <f>IF($AS369="","",INDEX('TMP Paste'!$K$2:$K$1601,$AS369))</f>
        <v/>
      </c>
      <c r="P369" t="str">
        <f t="shared" si="31"/>
        <v/>
      </c>
      <c r="Q369" t="str">
        <f>IF($AS369="","",INDEX('TMP Paste'!$J$2:$J$1601,$AS369))</f>
        <v/>
      </c>
      <c r="R369" t="str">
        <f>IF($AS369="","",Config!$B$24)</f>
        <v/>
      </c>
      <c r="S369" t="str">
        <f ca="1">IF($AS369="","",TEXT(Config!$B$4,"yyyy-mm-dd"))</f>
        <v/>
      </c>
      <c r="T369" t="str">
        <f>IF($AS369="","",Config!$B$17)</f>
        <v/>
      </c>
      <c r="U369" t="str">
        <f>IF($AS369="","",Config!$B$18)</f>
        <v/>
      </c>
      <c r="V369" t="str">
        <f>IF($AS369="","",Config!$B$19)</f>
        <v/>
      </c>
      <c r="W369" t="str">
        <f>IF($AS369="","",INDEX('TMP Paste'!$C$2:$C$1601,$AS369))</f>
        <v/>
      </c>
      <c r="X369" t="str">
        <f>IF($AS369="","",Config!$B$29)</f>
        <v/>
      </c>
      <c r="Y369" t="str">
        <f>IF($AT369="","",INDEX(Calc!$I$2:$I$1601,$AT369)&amp;" - "&amp;INDEX(Calc!$D$2:$D$1601,$AT369)&amp;" koli")</f>
        <v/>
      </c>
      <c r="Z369" t="str">
        <f>IF($AS369="","",Config!$B$21)</f>
        <v/>
      </c>
      <c r="AA369" t="str">
        <f>IF($AS369="","",Config!$B$22)</f>
        <v/>
      </c>
      <c r="AB369" t="str">
        <f>IF($AT369="","",INDEX(Calc!$D$2:$D$1601,$AT369))</f>
        <v/>
      </c>
      <c r="AC369" t="str">
        <f>IF($AT369="","",INDEX(Calc!$G$2:$G$1601,$AT369))</f>
        <v/>
      </c>
      <c r="AD369" t="str">
        <f>IF($AS369="","",Config!$B$23)</f>
        <v/>
      </c>
      <c r="AE369" t="str">
        <f>IF($AS369="","",Config!$B$28)</f>
        <v/>
      </c>
      <c r="AF369" t="str">
        <f t="shared" si="32"/>
        <v/>
      </c>
      <c r="AG369" t="str">
        <f t="shared" si="33"/>
        <v/>
      </c>
      <c r="AH369" t="str">
        <f t="shared" si="34"/>
        <v/>
      </c>
      <c r="AI369" t="str">
        <f>IF($AG369="","",SUMIF($AG$2:$AG369,$AG369,$AH$2:$AH369))</f>
        <v/>
      </c>
      <c r="AJ369" t="str">
        <f>IF('TMP Paste'!$F369="","",IF('TMP Paste'!$B369="",$AJ368,'TMP Paste'!$B369))</f>
        <v/>
      </c>
      <c r="AK369" t="str">
        <f>IF('TMP Paste'!$F369="","",N('TMP Paste'!$G369))</f>
        <v/>
      </c>
      <c r="AL369" t="str">
        <f>IF('TMP Paste'!$F369="","",IF('TMP Paste'!$M369="",$AL368,'TMP Paste'!$M369))</f>
        <v/>
      </c>
      <c r="AM369" t="str">
        <f>IF('TMP Paste'!$F369="","",IF('TMP Paste'!$N369="",$AM368,'TMP Paste'!$N369))</f>
        <v/>
      </c>
      <c r="AN369" t="str">
        <f>IF('TMP Paste'!$F369="","",IF('TMP Paste'!$O369="",$AN368,'TMP Paste'!$O369))</f>
        <v/>
      </c>
      <c r="AO369" t="str">
        <f>IF('TMP Paste'!$F369="","",IF('TMP Paste'!$P369="",$AO368,'TMP Paste'!$P369))</f>
        <v/>
      </c>
      <c r="AP369" t="str">
        <f t="shared" si="35"/>
        <v/>
      </c>
      <c r="AQ369" t="str">
        <f>IF($AS369="","",TRIM(IF(COUNTIFS(Calc!$B$2:$B$1601,ROW()-1,Calc!$C$2:$C$1601,"&lt;1")&gt;0,"Ada PO tanpa Koli - cek TMP. ","")&amp;IF(OR($AU369="",$AU369&lt;=0),"Volume kosong/0 - dimensi dikosongkan. ","")&amp;IF(AND($AU369&lt;&gt;"",$AU369&gt;=1000000),"Volume &gt;= 1.000.000 cm3 (di luar aturan) - dimensi dikosongkan. ","")&amp;IF(LEN($R369)&gt;500,"R &gt; 500 karakter.","")))</f>
        <v/>
      </c>
      <c r="AS369" t="str">
        <f>IFERROR(MATCH(ROW()-1,Calc!$J$2:$J$1601,0),"")</f>
        <v/>
      </c>
      <c r="AT369" t="str">
        <f>IFERROR(MATCH(ROW()-1,Calc!$K$2:$K$1601,0),"")</f>
        <v/>
      </c>
      <c r="AU369" t="str">
        <f>IF($AS369="","",IFERROR(INDEX('TMP Paste'!$D$2:$D$1601,$AS369)*1000000/$AB369,""))</f>
        <v/>
      </c>
    </row>
    <row r="370" spans="1:47">
      <c r="A370" t="str">
        <f>IF($AS370="","",INDEX('TMP Paste'!$B$2:$B$1601,$AS370))</f>
        <v/>
      </c>
      <c r="B370" t="str">
        <f>IF($AS370="","",Config!$B$14)</f>
        <v/>
      </c>
      <c r="C370" t="str">
        <f>IF($AS370="","",Config!$B$15)</f>
        <v/>
      </c>
      <c r="D370" t="str">
        <f>IF($AS370="","",INDEX('TMP Paste'!$B$2:$B$1601,$AS370))</f>
        <v/>
      </c>
      <c r="E370" t="str">
        <f>IF($AS370="","",Config!$B$27)</f>
        <v/>
      </c>
      <c r="F370" t="str">
        <f>IF($AS370="","",Config!$B$9)</f>
        <v/>
      </c>
      <c r="G370" t="str">
        <f>IF($AS370="","",Config!$B$10)</f>
        <v/>
      </c>
      <c r="H370" t="str">
        <f>IF($AS370="","",Config!$B$11)</f>
        <v/>
      </c>
      <c r="I370" t="str">
        <f>IF($AS370="","",Config!$B$16)</f>
        <v/>
      </c>
      <c r="J370" t="str">
        <f>IF($AS370="","",INDEX('TMP Paste'!$A$2:$A$1601,$AS370))</f>
        <v/>
      </c>
      <c r="K370" t="str">
        <f>IF($AS370="","",INDEX('TMP Paste'!$L$2:$L$1601,$AS370))</f>
        <v/>
      </c>
      <c r="L370" t="str">
        <f>IF($AS370="","",INDEX('TMP Paste'!$I$2:$I$1601,$AS370))</f>
        <v/>
      </c>
      <c r="M370" t="str">
        <f>IF($AS370="","",Config!$B$16)</f>
        <v/>
      </c>
      <c r="N370" t="str">
        <f t="shared" si="30"/>
        <v/>
      </c>
      <c r="O370" t="str">
        <f>IF($AS370="","",INDEX('TMP Paste'!$K$2:$K$1601,$AS370))</f>
        <v/>
      </c>
      <c r="P370" t="str">
        <f t="shared" si="31"/>
        <v/>
      </c>
      <c r="Q370" t="str">
        <f>IF($AS370="","",INDEX('TMP Paste'!$J$2:$J$1601,$AS370))</f>
        <v/>
      </c>
      <c r="R370" t="str">
        <f>IF($AS370="","",Config!$B$24)</f>
        <v/>
      </c>
      <c r="S370" t="str">
        <f ca="1">IF($AS370="","",TEXT(Config!$B$4,"yyyy-mm-dd"))</f>
        <v/>
      </c>
      <c r="T370" t="str">
        <f>IF($AS370="","",Config!$B$17)</f>
        <v/>
      </c>
      <c r="U370" t="str">
        <f>IF($AS370="","",Config!$B$18)</f>
        <v/>
      </c>
      <c r="V370" t="str">
        <f>IF($AS370="","",Config!$B$19)</f>
        <v/>
      </c>
      <c r="W370" t="str">
        <f>IF($AS370="","",INDEX('TMP Paste'!$C$2:$C$1601,$AS370))</f>
        <v/>
      </c>
      <c r="X370" t="str">
        <f>IF($AS370="","",Config!$B$29)</f>
        <v/>
      </c>
      <c r="Y370" t="str">
        <f>IF($AT370="","",INDEX(Calc!$I$2:$I$1601,$AT370)&amp;" - "&amp;INDEX(Calc!$D$2:$D$1601,$AT370)&amp;" koli")</f>
        <v/>
      </c>
      <c r="Z370" t="str">
        <f>IF($AS370="","",Config!$B$21)</f>
        <v/>
      </c>
      <c r="AA370" t="str">
        <f>IF($AS370="","",Config!$B$22)</f>
        <v/>
      </c>
      <c r="AB370" t="str">
        <f>IF($AT370="","",INDEX(Calc!$D$2:$D$1601,$AT370))</f>
        <v/>
      </c>
      <c r="AC370" t="str">
        <f>IF($AT370="","",INDEX(Calc!$G$2:$G$1601,$AT370))</f>
        <v/>
      </c>
      <c r="AD370" t="str">
        <f>IF($AS370="","",Config!$B$23)</f>
        <v/>
      </c>
      <c r="AE370" t="str">
        <f>IF($AS370="","",Config!$B$28)</f>
        <v/>
      </c>
      <c r="AF370" t="str">
        <f t="shared" si="32"/>
        <v/>
      </c>
      <c r="AG370" t="str">
        <f t="shared" si="33"/>
        <v/>
      </c>
      <c r="AH370" t="str">
        <f t="shared" si="34"/>
        <v/>
      </c>
      <c r="AI370" t="str">
        <f>IF($AG370="","",SUMIF($AG$2:$AG370,$AG370,$AH$2:$AH370))</f>
        <v/>
      </c>
      <c r="AJ370" t="str">
        <f>IF('TMP Paste'!$F370="","",IF('TMP Paste'!$B370="",$AJ369,'TMP Paste'!$B370))</f>
        <v/>
      </c>
      <c r="AK370" t="str">
        <f>IF('TMP Paste'!$F370="","",N('TMP Paste'!$G370))</f>
        <v/>
      </c>
      <c r="AL370" t="str">
        <f>IF('TMP Paste'!$F370="","",IF('TMP Paste'!$M370="",$AL369,'TMP Paste'!$M370))</f>
        <v/>
      </c>
      <c r="AM370" t="str">
        <f>IF('TMP Paste'!$F370="","",IF('TMP Paste'!$N370="",$AM369,'TMP Paste'!$N370))</f>
        <v/>
      </c>
      <c r="AN370" t="str">
        <f>IF('TMP Paste'!$F370="","",IF('TMP Paste'!$O370="",$AN369,'TMP Paste'!$O370))</f>
        <v/>
      </c>
      <c r="AO370" t="str">
        <f>IF('TMP Paste'!$F370="","",IF('TMP Paste'!$P370="",$AO369,'TMP Paste'!$P370))</f>
        <v/>
      </c>
      <c r="AP370" t="str">
        <f t="shared" si="35"/>
        <v/>
      </c>
      <c r="AQ370" t="str">
        <f>IF($AS370="","",TRIM(IF(COUNTIFS(Calc!$B$2:$B$1601,ROW()-1,Calc!$C$2:$C$1601,"&lt;1")&gt;0,"Ada PO tanpa Koli - cek TMP. ","")&amp;IF(OR($AU370="",$AU370&lt;=0),"Volume kosong/0 - dimensi dikosongkan. ","")&amp;IF(AND($AU370&lt;&gt;"",$AU370&gt;=1000000),"Volume &gt;= 1.000.000 cm3 (di luar aturan) - dimensi dikosongkan. ","")&amp;IF(LEN($R370)&gt;500,"R &gt; 500 karakter.","")))</f>
        <v/>
      </c>
      <c r="AS370" t="str">
        <f>IFERROR(MATCH(ROW()-1,Calc!$J$2:$J$1601,0),"")</f>
        <v/>
      </c>
      <c r="AT370" t="str">
        <f>IFERROR(MATCH(ROW()-1,Calc!$K$2:$K$1601,0),"")</f>
        <v/>
      </c>
      <c r="AU370" t="str">
        <f>IF($AS370="","",IFERROR(INDEX('TMP Paste'!$D$2:$D$1601,$AS370)*1000000/$AB370,""))</f>
        <v/>
      </c>
    </row>
    <row r="371" spans="1:47">
      <c r="A371" t="str">
        <f>IF($AS371="","",INDEX('TMP Paste'!$B$2:$B$1601,$AS371))</f>
        <v/>
      </c>
      <c r="B371" t="str">
        <f>IF($AS371="","",Config!$B$14)</f>
        <v/>
      </c>
      <c r="C371" t="str">
        <f>IF($AS371="","",Config!$B$15)</f>
        <v/>
      </c>
      <c r="D371" t="str">
        <f>IF($AS371="","",INDEX('TMP Paste'!$B$2:$B$1601,$AS371))</f>
        <v/>
      </c>
      <c r="E371" t="str">
        <f>IF($AS371="","",Config!$B$27)</f>
        <v/>
      </c>
      <c r="F371" t="str">
        <f>IF($AS371="","",Config!$B$9)</f>
        <v/>
      </c>
      <c r="G371" t="str">
        <f>IF($AS371="","",Config!$B$10)</f>
        <v/>
      </c>
      <c r="H371" t="str">
        <f>IF($AS371="","",Config!$B$11)</f>
        <v/>
      </c>
      <c r="I371" t="str">
        <f>IF($AS371="","",Config!$B$16)</f>
        <v/>
      </c>
      <c r="J371" t="str">
        <f>IF($AS371="","",INDEX('TMP Paste'!$A$2:$A$1601,$AS371))</f>
        <v/>
      </c>
      <c r="K371" t="str">
        <f>IF($AS371="","",INDEX('TMP Paste'!$L$2:$L$1601,$AS371))</f>
        <v/>
      </c>
      <c r="L371" t="str">
        <f>IF($AS371="","",INDEX('TMP Paste'!$I$2:$I$1601,$AS371))</f>
        <v/>
      </c>
      <c r="M371" t="str">
        <f>IF($AS371="","",Config!$B$16)</f>
        <v/>
      </c>
      <c r="N371" t="str">
        <f t="shared" si="30"/>
        <v/>
      </c>
      <c r="O371" t="str">
        <f>IF($AS371="","",INDEX('TMP Paste'!$K$2:$K$1601,$AS371))</f>
        <v/>
      </c>
      <c r="P371" t="str">
        <f t="shared" si="31"/>
        <v/>
      </c>
      <c r="Q371" t="str">
        <f>IF($AS371="","",INDEX('TMP Paste'!$J$2:$J$1601,$AS371))</f>
        <v/>
      </c>
      <c r="R371" t="str">
        <f>IF($AS371="","",Config!$B$24)</f>
        <v/>
      </c>
      <c r="S371" t="str">
        <f ca="1">IF($AS371="","",TEXT(Config!$B$4,"yyyy-mm-dd"))</f>
        <v/>
      </c>
      <c r="T371" t="str">
        <f>IF($AS371="","",Config!$B$17)</f>
        <v/>
      </c>
      <c r="U371" t="str">
        <f>IF($AS371="","",Config!$B$18)</f>
        <v/>
      </c>
      <c r="V371" t="str">
        <f>IF($AS371="","",Config!$B$19)</f>
        <v/>
      </c>
      <c r="W371" t="str">
        <f>IF($AS371="","",INDEX('TMP Paste'!$C$2:$C$1601,$AS371))</f>
        <v/>
      </c>
      <c r="X371" t="str">
        <f>IF($AS371="","",Config!$B$29)</f>
        <v/>
      </c>
      <c r="Y371" t="str">
        <f>IF($AT371="","",INDEX(Calc!$I$2:$I$1601,$AT371)&amp;" - "&amp;INDEX(Calc!$D$2:$D$1601,$AT371)&amp;" koli")</f>
        <v/>
      </c>
      <c r="Z371" t="str">
        <f>IF($AS371="","",Config!$B$21)</f>
        <v/>
      </c>
      <c r="AA371" t="str">
        <f>IF($AS371="","",Config!$B$22)</f>
        <v/>
      </c>
      <c r="AB371" t="str">
        <f>IF($AT371="","",INDEX(Calc!$D$2:$D$1601,$AT371))</f>
        <v/>
      </c>
      <c r="AC371" t="str">
        <f>IF($AT371="","",INDEX(Calc!$G$2:$G$1601,$AT371))</f>
        <v/>
      </c>
      <c r="AD371" t="str">
        <f>IF($AS371="","",Config!$B$23)</f>
        <v/>
      </c>
      <c r="AE371" t="str">
        <f>IF($AS371="","",Config!$B$28)</f>
        <v/>
      </c>
      <c r="AF371" t="str">
        <f t="shared" si="32"/>
        <v/>
      </c>
      <c r="AG371" t="str">
        <f t="shared" si="33"/>
        <v/>
      </c>
      <c r="AH371" t="str">
        <f t="shared" si="34"/>
        <v/>
      </c>
      <c r="AI371" t="str">
        <f>IF($AG371="","",SUMIF($AG$2:$AG371,$AG371,$AH$2:$AH371))</f>
        <v/>
      </c>
      <c r="AJ371" t="str">
        <f>IF('TMP Paste'!$F371="","",IF('TMP Paste'!$B371="",$AJ370,'TMP Paste'!$B371))</f>
        <v/>
      </c>
      <c r="AK371" t="str">
        <f>IF('TMP Paste'!$F371="","",N('TMP Paste'!$G371))</f>
        <v/>
      </c>
      <c r="AL371" t="str">
        <f>IF('TMP Paste'!$F371="","",IF('TMP Paste'!$M371="",$AL370,'TMP Paste'!$M371))</f>
        <v/>
      </c>
      <c r="AM371" t="str">
        <f>IF('TMP Paste'!$F371="","",IF('TMP Paste'!$N371="",$AM370,'TMP Paste'!$N371))</f>
        <v/>
      </c>
      <c r="AN371" t="str">
        <f>IF('TMP Paste'!$F371="","",IF('TMP Paste'!$O371="",$AN370,'TMP Paste'!$O371))</f>
        <v/>
      </c>
      <c r="AO371" t="str">
        <f>IF('TMP Paste'!$F371="","",IF('TMP Paste'!$P371="",$AO370,'TMP Paste'!$P371))</f>
        <v/>
      </c>
      <c r="AP371" t="str">
        <f t="shared" si="35"/>
        <v/>
      </c>
      <c r="AQ371" t="str">
        <f>IF($AS371="","",TRIM(IF(COUNTIFS(Calc!$B$2:$B$1601,ROW()-1,Calc!$C$2:$C$1601,"&lt;1")&gt;0,"Ada PO tanpa Koli - cek TMP. ","")&amp;IF(OR($AU371="",$AU371&lt;=0),"Volume kosong/0 - dimensi dikosongkan. ","")&amp;IF(AND($AU371&lt;&gt;"",$AU371&gt;=1000000),"Volume &gt;= 1.000.000 cm3 (di luar aturan) - dimensi dikosongkan. ","")&amp;IF(LEN($R371)&gt;500,"R &gt; 500 karakter.","")))</f>
        <v/>
      </c>
      <c r="AS371" t="str">
        <f>IFERROR(MATCH(ROW()-1,Calc!$J$2:$J$1601,0),"")</f>
        <v/>
      </c>
      <c r="AT371" t="str">
        <f>IFERROR(MATCH(ROW()-1,Calc!$K$2:$K$1601,0),"")</f>
        <v/>
      </c>
      <c r="AU371" t="str">
        <f>IF($AS371="","",IFERROR(INDEX('TMP Paste'!$D$2:$D$1601,$AS371)*1000000/$AB371,""))</f>
        <v/>
      </c>
    </row>
    <row r="372" spans="1:47">
      <c r="A372" t="str">
        <f>IF($AS372="","",INDEX('TMP Paste'!$B$2:$B$1601,$AS372))</f>
        <v/>
      </c>
      <c r="B372" t="str">
        <f>IF($AS372="","",Config!$B$14)</f>
        <v/>
      </c>
      <c r="C372" t="str">
        <f>IF($AS372="","",Config!$B$15)</f>
        <v/>
      </c>
      <c r="D372" t="str">
        <f>IF($AS372="","",INDEX('TMP Paste'!$B$2:$B$1601,$AS372))</f>
        <v/>
      </c>
      <c r="E372" t="str">
        <f>IF($AS372="","",Config!$B$27)</f>
        <v/>
      </c>
      <c r="F372" t="str">
        <f>IF($AS372="","",Config!$B$9)</f>
        <v/>
      </c>
      <c r="G372" t="str">
        <f>IF($AS372="","",Config!$B$10)</f>
        <v/>
      </c>
      <c r="H372" t="str">
        <f>IF($AS372="","",Config!$B$11)</f>
        <v/>
      </c>
      <c r="I372" t="str">
        <f>IF($AS372="","",Config!$B$16)</f>
        <v/>
      </c>
      <c r="J372" t="str">
        <f>IF($AS372="","",INDEX('TMP Paste'!$A$2:$A$1601,$AS372))</f>
        <v/>
      </c>
      <c r="K372" t="str">
        <f>IF($AS372="","",INDEX('TMP Paste'!$L$2:$L$1601,$AS372))</f>
        <v/>
      </c>
      <c r="L372" t="str">
        <f>IF($AS372="","",INDEX('TMP Paste'!$I$2:$I$1601,$AS372))</f>
        <v/>
      </c>
      <c r="M372" t="str">
        <f>IF($AS372="","",Config!$B$16)</f>
        <v/>
      </c>
      <c r="N372" t="str">
        <f t="shared" si="30"/>
        <v/>
      </c>
      <c r="O372" t="str">
        <f>IF($AS372="","",INDEX('TMP Paste'!$K$2:$K$1601,$AS372))</f>
        <v/>
      </c>
      <c r="P372" t="str">
        <f t="shared" si="31"/>
        <v/>
      </c>
      <c r="Q372" t="str">
        <f>IF($AS372="","",INDEX('TMP Paste'!$J$2:$J$1601,$AS372))</f>
        <v/>
      </c>
      <c r="R372" t="str">
        <f>IF($AS372="","",Config!$B$24)</f>
        <v/>
      </c>
      <c r="S372" t="str">
        <f ca="1">IF($AS372="","",TEXT(Config!$B$4,"yyyy-mm-dd"))</f>
        <v/>
      </c>
      <c r="T372" t="str">
        <f>IF($AS372="","",Config!$B$17)</f>
        <v/>
      </c>
      <c r="U372" t="str">
        <f>IF($AS372="","",Config!$B$18)</f>
        <v/>
      </c>
      <c r="V372" t="str">
        <f>IF($AS372="","",Config!$B$19)</f>
        <v/>
      </c>
      <c r="W372" t="str">
        <f>IF($AS372="","",INDEX('TMP Paste'!$C$2:$C$1601,$AS372))</f>
        <v/>
      </c>
      <c r="X372" t="str">
        <f>IF($AS372="","",Config!$B$29)</f>
        <v/>
      </c>
      <c r="Y372" t="str">
        <f>IF($AT372="","",INDEX(Calc!$I$2:$I$1601,$AT372)&amp;" - "&amp;INDEX(Calc!$D$2:$D$1601,$AT372)&amp;" koli")</f>
        <v/>
      </c>
      <c r="Z372" t="str">
        <f>IF($AS372="","",Config!$B$21)</f>
        <v/>
      </c>
      <c r="AA372" t="str">
        <f>IF($AS372="","",Config!$B$22)</f>
        <v/>
      </c>
      <c r="AB372" t="str">
        <f>IF($AT372="","",INDEX(Calc!$D$2:$D$1601,$AT372))</f>
        <v/>
      </c>
      <c r="AC372" t="str">
        <f>IF($AT372="","",INDEX(Calc!$G$2:$G$1601,$AT372))</f>
        <v/>
      </c>
      <c r="AD372" t="str">
        <f>IF($AS372="","",Config!$B$23)</f>
        <v/>
      </c>
      <c r="AE372" t="str">
        <f>IF($AS372="","",Config!$B$28)</f>
        <v/>
      </c>
      <c r="AF372" t="str">
        <f t="shared" si="32"/>
        <v/>
      </c>
      <c r="AG372" t="str">
        <f t="shared" si="33"/>
        <v/>
      </c>
      <c r="AH372" t="str">
        <f t="shared" si="34"/>
        <v/>
      </c>
      <c r="AI372" t="str">
        <f>IF($AG372="","",SUMIF($AG$2:$AG372,$AG372,$AH$2:$AH372))</f>
        <v/>
      </c>
      <c r="AJ372" t="str">
        <f>IF('TMP Paste'!$F372="","",IF('TMP Paste'!$B372="",$AJ371,'TMP Paste'!$B372))</f>
        <v/>
      </c>
      <c r="AK372" t="str">
        <f>IF('TMP Paste'!$F372="","",N('TMP Paste'!$G372))</f>
        <v/>
      </c>
      <c r="AL372" t="str">
        <f>IF('TMP Paste'!$F372="","",IF('TMP Paste'!$M372="",$AL371,'TMP Paste'!$M372))</f>
        <v/>
      </c>
      <c r="AM372" t="str">
        <f>IF('TMP Paste'!$F372="","",IF('TMP Paste'!$N372="",$AM371,'TMP Paste'!$N372))</f>
        <v/>
      </c>
      <c r="AN372" t="str">
        <f>IF('TMP Paste'!$F372="","",IF('TMP Paste'!$O372="",$AN371,'TMP Paste'!$O372))</f>
        <v/>
      </c>
      <c r="AO372" t="str">
        <f>IF('TMP Paste'!$F372="","",IF('TMP Paste'!$P372="",$AO371,'TMP Paste'!$P372))</f>
        <v/>
      </c>
      <c r="AP372" t="str">
        <f t="shared" si="35"/>
        <v/>
      </c>
      <c r="AQ372" t="str">
        <f>IF($AS372="","",TRIM(IF(COUNTIFS(Calc!$B$2:$B$1601,ROW()-1,Calc!$C$2:$C$1601,"&lt;1")&gt;0,"Ada PO tanpa Koli - cek TMP. ","")&amp;IF(OR($AU372="",$AU372&lt;=0),"Volume kosong/0 - dimensi dikosongkan. ","")&amp;IF(AND($AU372&lt;&gt;"",$AU372&gt;=1000000),"Volume &gt;= 1.000.000 cm3 (di luar aturan) - dimensi dikosongkan. ","")&amp;IF(LEN($R372)&gt;500,"R &gt; 500 karakter.","")))</f>
        <v/>
      </c>
      <c r="AS372" t="str">
        <f>IFERROR(MATCH(ROW()-1,Calc!$J$2:$J$1601,0),"")</f>
        <v/>
      </c>
      <c r="AT372" t="str">
        <f>IFERROR(MATCH(ROW()-1,Calc!$K$2:$K$1601,0),"")</f>
        <v/>
      </c>
      <c r="AU372" t="str">
        <f>IF($AS372="","",IFERROR(INDEX('TMP Paste'!$D$2:$D$1601,$AS372)*1000000/$AB372,""))</f>
        <v/>
      </c>
    </row>
    <row r="373" spans="1:47">
      <c r="A373" t="str">
        <f>IF($AS373="","",INDEX('TMP Paste'!$B$2:$B$1601,$AS373))</f>
        <v/>
      </c>
      <c r="B373" t="str">
        <f>IF($AS373="","",Config!$B$14)</f>
        <v/>
      </c>
      <c r="C373" t="str">
        <f>IF($AS373="","",Config!$B$15)</f>
        <v/>
      </c>
      <c r="D373" t="str">
        <f>IF($AS373="","",INDEX('TMP Paste'!$B$2:$B$1601,$AS373))</f>
        <v/>
      </c>
      <c r="E373" t="str">
        <f>IF($AS373="","",Config!$B$27)</f>
        <v/>
      </c>
      <c r="F373" t="str">
        <f>IF($AS373="","",Config!$B$9)</f>
        <v/>
      </c>
      <c r="G373" t="str">
        <f>IF($AS373="","",Config!$B$10)</f>
        <v/>
      </c>
      <c r="H373" t="str">
        <f>IF($AS373="","",Config!$B$11)</f>
        <v/>
      </c>
      <c r="I373" t="str">
        <f>IF($AS373="","",Config!$B$16)</f>
        <v/>
      </c>
      <c r="J373" t="str">
        <f>IF($AS373="","",INDEX('TMP Paste'!$A$2:$A$1601,$AS373))</f>
        <v/>
      </c>
      <c r="K373" t="str">
        <f>IF($AS373="","",INDEX('TMP Paste'!$L$2:$L$1601,$AS373))</f>
        <v/>
      </c>
      <c r="L373" t="str">
        <f>IF($AS373="","",INDEX('TMP Paste'!$I$2:$I$1601,$AS373))</f>
        <v/>
      </c>
      <c r="M373" t="str">
        <f>IF($AS373="","",Config!$B$16)</f>
        <v/>
      </c>
      <c r="N373" t="str">
        <f t="shared" si="30"/>
        <v/>
      </c>
      <c r="O373" t="str">
        <f>IF($AS373="","",INDEX('TMP Paste'!$K$2:$K$1601,$AS373))</f>
        <v/>
      </c>
      <c r="P373" t="str">
        <f t="shared" si="31"/>
        <v/>
      </c>
      <c r="Q373" t="str">
        <f>IF($AS373="","",INDEX('TMP Paste'!$J$2:$J$1601,$AS373))</f>
        <v/>
      </c>
      <c r="R373" t="str">
        <f>IF($AS373="","",Config!$B$24)</f>
        <v/>
      </c>
      <c r="S373" t="str">
        <f ca="1">IF($AS373="","",TEXT(Config!$B$4,"yyyy-mm-dd"))</f>
        <v/>
      </c>
      <c r="T373" t="str">
        <f>IF($AS373="","",Config!$B$17)</f>
        <v/>
      </c>
      <c r="U373" t="str">
        <f>IF($AS373="","",Config!$B$18)</f>
        <v/>
      </c>
      <c r="V373" t="str">
        <f>IF($AS373="","",Config!$B$19)</f>
        <v/>
      </c>
      <c r="W373" t="str">
        <f>IF($AS373="","",INDEX('TMP Paste'!$C$2:$C$1601,$AS373))</f>
        <v/>
      </c>
      <c r="X373" t="str">
        <f>IF($AS373="","",Config!$B$29)</f>
        <v/>
      </c>
      <c r="Y373" t="str">
        <f>IF($AT373="","",INDEX(Calc!$I$2:$I$1601,$AT373)&amp;" - "&amp;INDEX(Calc!$D$2:$D$1601,$AT373)&amp;" koli")</f>
        <v/>
      </c>
      <c r="Z373" t="str">
        <f>IF($AS373="","",Config!$B$21)</f>
        <v/>
      </c>
      <c r="AA373" t="str">
        <f>IF($AS373="","",Config!$B$22)</f>
        <v/>
      </c>
      <c r="AB373" t="str">
        <f>IF($AT373="","",INDEX(Calc!$D$2:$D$1601,$AT373))</f>
        <v/>
      </c>
      <c r="AC373" t="str">
        <f>IF($AT373="","",INDEX(Calc!$G$2:$G$1601,$AT373))</f>
        <v/>
      </c>
      <c r="AD373" t="str">
        <f>IF($AS373="","",Config!$B$23)</f>
        <v/>
      </c>
      <c r="AE373" t="str">
        <f>IF($AS373="","",Config!$B$28)</f>
        <v/>
      </c>
      <c r="AF373" t="str">
        <f t="shared" si="32"/>
        <v/>
      </c>
      <c r="AG373" t="str">
        <f t="shared" si="33"/>
        <v/>
      </c>
      <c r="AH373" t="str">
        <f t="shared" si="34"/>
        <v/>
      </c>
      <c r="AI373" t="str">
        <f>IF($AG373="","",SUMIF($AG$2:$AG373,$AG373,$AH$2:$AH373))</f>
        <v/>
      </c>
      <c r="AJ373" t="str">
        <f>IF('TMP Paste'!$F373="","",IF('TMP Paste'!$B373="",$AJ372,'TMP Paste'!$B373))</f>
        <v/>
      </c>
      <c r="AK373" t="str">
        <f>IF('TMP Paste'!$F373="","",N('TMP Paste'!$G373))</f>
        <v/>
      </c>
      <c r="AL373" t="str">
        <f>IF('TMP Paste'!$F373="","",IF('TMP Paste'!$M373="",$AL372,'TMP Paste'!$M373))</f>
        <v/>
      </c>
      <c r="AM373" t="str">
        <f>IF('TMP Paste'!$F373="","",IF('TMP Paste'!$N373="",$AM372,'TMP Paste'!$N373))</f>
        <v/>
      </c>
      <c r="AN373" t="str">
        <f>IF('TMP Paste'!$F373="","",IF('TMP Paste'!$O373="",$AN372,'TMP Paste'!$O373))</f>
        <v/>
      </c>
      <c r="AO373" t="str">
        <f>IF('TMP Paste'!$F373="","",IF('TMP Paste'!$P373="",$AO372,'TMP Paste'!$P373))</f>
        <v/>
      </c>
      <c r="AP373" t="str">
        <f t="shared" si="35"/>
        <v/>
      </c>
      <c r="AQ373" t="str">
        <f>IF($AS373="","",TRIM(IF(COUNTIFS(Calc!$B$2:$B$1601,ROW()-1,Calc!$C$2:$C$1601,"&lt;1")&gt;0,"Ada PO tanpa Koli - cek TMP. ","")&amp;IF(OR($AU373="",$AU373&lt;=0),"Volume kosong/0 - dimensi dikosongkan. ","")&amp;IF(AND($AU373&lt;&gt;"",$AU373&gt;=1000000),"Volume &gt;= 1.000.000 cm3 (di luar aturan) - dimensi dikosongkan. ","")&amp;IF(LEN($R373)&gt;500,"R &gt; 500 karakter.","")))</f>
        <v/>
      </c>
      <c r="AS373" t="str">
        <f>IFERROR(MATCH(ROW()-1,Calc!$J$2:$J$1601,0),"")</f>
        <v/>
      </c>
      <c r="AT373" t="str">
        <f>IFERROR(MATCH(ROW()-1,Calc!$K$2:$K$1601,0),"")</f>
        <v/>
      </c>
      <c r="AU373" t="str">
        <f>IF($AS373="","",IFERROR(INDEX('TMP Paste'!$D$2:$D$1601,$AS373)*1000000/$AB373,""))</f>
        <v/>
      </c>
    </row>
    <row r="374" spans="1:47">
      <c r="A374" t="str">
        <f>IF($AS374="","",INDEX('TMP Paste'!$B$2:$B$1601,$AS374))</f>
        <v/>
      </c>
      <c r="B374" t="str">
        <f>IF($AS374="","",Config!$B$14)</f>
        <v/>
      </c>
      <c r="C374" t="str">
        <f>IF($AS374="","",Config!$B$15)</f>
        <v/>
      </c>
      <c r="D374" t="str">
        <f>IF($AS374="","",INDEX('TMP Paste'!$B$2:$B$1601,$AS374))</f>
        <v/>
      </c>
      <c r="E374" t="str">
        <f>IF($AS374="","",Config!$B$27)</f>
        <v/>
      </c>
      <c r="F374" t="str">
        <f>IF($AS374="","",Config!$B$9)</f>
        <v/>
      </c>
      <c r="G374" t="str">
        <f>IF($AS374="","",Config!$B$10)</f>
        <v/>
      </c>
      <c r="H374" t="str">
        <f>IF($AS374="","",Config!$B$11)</f>
        <v/>
      </c>
      <c r="I374" t="str">
        <f>IF($AS374="","",Config!$B$16)</f>
        <v/>
      </c>
      <c r="J374" t="str">
        <f>IF($AS374="","",INDEX('TMP Paste'!$A$2:$A$1601,$AS374))</f>
        <v/>
      </c>
      <c r="K374" t="str">
        <f>IF($AS374="","",INDEX('TMP Paste'!$L$2:$L$1601,$AS374))</f>
        <v/>
      </c>
      <c r="L374" t="str">
        <f>IF($AS374="","",INDEX('TMP Paste'!$I$2:$I$1601,$AS374))</f>
        <v/>
      </c>
      <c r="M374" t="str">
        <f>IF($AS374="","",Config!$B$16)</f>
        <v/>
      </c>
      <c r="N374" t="str">
        <f t="shared" si="30"/>
        <v/>
      </c>
      <c r="O374" t="str">
        <f>IF($AS374="","",INDEX('TMP Paste'!$K$2:$K$1601,$AS374))</f>
        <v/>
      </c>
      <c r="P374" t="str">
        <f t="shared" si="31"/>
        <v/>
      </c>
      <c r="Q374" t="str">
        <f>IF($AS374="","",INDEX('TMP Paste'!$J$2:$J$1601,$AS374))</f>
        <v/>
      </c>
      <c r="R374" t="str">
        <f>IF($AS374="","",Config!$B$24)</f>
        <v/>
      </c>
      <c r="S374" t="str">
        <f ca="1">IF($AS374="","",TEXT(Config!$B$4,"yyyy-mm-dd"))</f>
        <v/>
      </c>
      <c r="T374" t="str">
        <f>IF($AS374="","",Config!$B$17)</f>
        <v/>
      </c>
      <c r="U374" t="str">
        <f>IF($AS374="","",Config!$B$18)</f>
        <v/>
      </c>
      <c r="V374" t="str">
        <f>IF($AS374="","",Config!$B$19)</f>
        <v/>
      </c>
      <c r="W374" t="str">
        <f>IF($AS374="","",INDEX('TMP Paste'!$C$2:$C$1601,$AS374))</f>
        <v/>
      </c>
      <c r="X374" t="str">
        <f>IF($AS374="","",Config!$B$29)</f>
        <v/>
      </c>
      <c r="Y374" t="str">
        <f>IF($AT374="","",INDEX(Calc!$I$2:$I$1601,$AT374)&amp;" - "&amp;INDEX(Calc!$D$2:$D$1601,$AT374)&amp;" koli")</f>
        <v/>
      </c>
      <c r="Z374" t="str">
        <f>IF($AS374="","",Config!$B$21)</f>
        <v/>
      </c>
      <c r="AA374" t="str">
        <f>IF($AS374="","",Config!$B$22)</f>
        <v/>
      </c>
      <c r="AB374" t="str">
        <f>IF($AT374="","",INDEX(Calc!$D$2:$D$1601,$AT374))</f>
        <v/>
      </c>
      <c r="AC374" t="str">
        <f>IF($AT374="","",INDEX(Calc!$G$2:$G$1601,$AT374))</f>
        <v/>
      </c>
      <c r="AD374" t="str">
        <f>IF($AS374="","",Config!$B$23)</f>
        <v/>
      </c>
      <c r="AE374" t="str">
        <f>IF($AS374="","",Config!$B$28)</f>
        <v/>
      </c>
      <c r="AF374" t="str">
        <f t="shared" si="32"/>
        <v/>
      </c>
      <c r="AG374" t="str">
        <f t="shared" si="33"/>
        <v/>
      </c>
      <c r="AH374" t="str">
        <f t="shared" si="34"/>
        <v/>
      </c>
      <c r="AI374" t="str">
        <f>IF($AG374="","",SUMIF($AG$2:$AG374,$AG374,$AH$2:$AH374))</f>
        <v/>
      </c>
      <c r="AJ374" t="str">
        <f>IF('TMP Paste'!$F374="","",IF('TMP Paste'!$B374="",$AJ373,'TMP Paste'!$B374))</f>
        <v/>
      </c>
      <c r="AK374" t="str">
        <f>IF('TMP Paste'!$F374="","",N('TMP Paste'!$G374))</f>
        <v/>
      </c>
      <c r="AL374" t="str">
        <f>IF('TMP Paste'!$F374="","",IF('TMP Paste'!$M374="",$AL373,'TMP Paste'!$M374))</f>
        <v/>
      </c>
      <c r="AM374" t="str">
        <f>IF('TMP Paste'!$F374="","",IF('TMP Paste'!$N374="",$AM373,'TMP Paste'!$N374))</f>
        <v/>
      </c>
      <c r="AN374" t="str">
        <f>IF('TMP Paste'!$F374="","",IF('TMP Paste'!$O374="",$AN373,'TMP Paste'!$O374))</f>
        <v/>
      </c>
      <c r="AO374" t="str">
        <f>IF('TMP Paste'!$F374="","",IF('TMP Paste'!$P374="",$AO373,'TMP Paste'!$P374))</f>
        <v/>
      </c>
      <c r="AP374" t="str">
        <f t="shared" si="35"/>
        <v/>
      </c>
      <c r="AQ374" t="str">
        <f>IF($AS374="","",TRIM(IF(COUNTIFS(Calc!$B$2:$B$1601,ROW()-1,Calc!$C$2:$C$1601,"&lt;1")&gt;0,"Ada PO tanpa Koli - cek TMP. ","")&amp;IF(OR($AU374="",$AU374&lt;=0),"Volume kosong/0 - dimensi dikosongkan. ","")&amp;IF(AND($AU374&lt;&gt;"",$AU374&gt;=1000000),"Volume &gt;= 1.000.000 cm3 (di luar aturan) - dimensi dikosongkan. ","")&amp;IF(LEN($R374)&gt;500,"R &gt; 500 karakter.","")))</f>
        <v/>
      </c>
      <c r="AS374" t="str">
        <f>IFERROR(MATCH(ROW()-1,Calc!$J$2:$J$1601,0),"")</f>
        <v/>
      </c>
      <c r="AT374" t="str">
        <f>IFERROR(MATCH(ROW()-1,Calc!$K$2:$K$1601,0),"")</f>
        <v/>
      </c>
      <c r="AU374" t="str">
        <f>IF($AS374="","",IFERROR(INDEX('TMP Paste'!$D$2:$D$1601,$AS374)*1000000/$AB374,""))</f>
        <v/>
      </c>
    </row>
    <row r="375" spans="1:47">
      <c r="A375" t="str">
        <f>IF($AS375="","",INDEX('TMP Paste'!$B$2:$B$1601,$AS375))</f>
        <v/>
      </c>
      <c r="B375" t="str">
        <f>IF($AS375="","",Config!$B$14)</f>
        <v/>
      </c>
      <c r="C375" t="str">
        <f>IF($AS375="","",Config!$B$15)</f>
        <v/>
      </c>
      <c r="D375" t="str">
        <f>IF($AS375="","",INDEX('TMP Paste'!$B$2:$B$1601,$AS375))</f>
        <v/>
      </c>
      <c r="E375" t="str">
        <f>IF($AS375="","",Config!$B$27)</f>
        <v/>
      </c>
      <c r="F375" t="str">
        <f>IF($AS375="","",Config!$B$9)</f>
        <v/>
      </c>
      <c r="G375" t="str">
        <f>IF($AS375="","",Config!$B$10)</f>
        <v/>
      </c>
      <c r="H375" t="str">
        <f>IF($AS375="","",Config!$B$11)</f>
        <v/>
      </c>
      <c r="I375" t="str">
        <f>IF($AS375="","",Config!$B$16)</f>
        <v/>
      </c>
      <c r="J375" t="str">
        <f>IF($AS375="","",INDEX('TMP Paste'!$A$2:$A$1601,$AS375))</f>
        <v/>
      </c>
      <c r="K375" t="str">
        <f>IF($AS375="","",INDEX('TMP Paste'!$L$2:$L$1601,$AS375))</f>
        <v/>
      </c>
      <c r="L375" t="str">
        <f>IF($AS375="","",INDEX('TMP Paste'!$I$2:$I$1601,$AS375))</f>
        <v/>
      </c>
      <c r="M375" t="str">
        <f>IF($AS375="","",Config!$B$16)</f>
        <v/>
      </c>
      <c r="N375" t="str">
        <f t="shared" si="30"/>
        <v/>
      </c>
      <c r="O375" t="str">
        <f>IF($AS375="","",INDEX('TMP Paste'!$K$2:$K$1601,$AS375))</f>
        <v/>
      </c>
      <c r="P375" t="str">
        <f t="shared" si="31"/>
        <v/>
      </c>
      <c r="Q375" t="str">
        <f>IF($AS375="","",INDEX('TMP Paste'!$J$2:$J$1601,$AS375))</f>
        <v/>
      </c>
      <c r="R375" t="str">
        <f>IF($AS375="","",Config!$B$24)</f>
        <v/>
      </c>
      <c r="S375" t="str">
        <f ca="1">IF($AS375="","",TEXT(Config!$B$4,"yyyy-mm-dd"))</f>
        <v/>
      </c>
      <c r="T375" t="str">
        <f>IF($AS375="","",Config!$B$17)</f>
        <v/>
      </c>
      <c r="U375" t="str">
        <f>IF($AS375="","",Config!$B$18)</f>
        <v/>
      </c>
      <c r="V375" t="str">
        <f>IF($AS375="","",Config!$B$19)</f>
        <v/>
      </c>
      <c r="W375" t="str">
        <f>IF($AS375="","",INDEX('TMP Paste'!$C$2:$C$1601,$AS375))</f>
        <v/>
      </c>
      <c r="X375" t="str">
        <f>IF($AS375="","",Config!$B$29)</f>
        <v/>
      </c>
      <c r="Y375" t="str">
        <f>IF($AT375="","",INDEX(Calc!$I$2:$I$1601,$AT375)&amp;" - "&amp;INDEX(Calc!$D$2:$D$1601,$AT375)&amp;" koli")</f>
        <v/>
      </c>
      <c r="Z375" t="str">
        <f>IF($AS375="","",Config!$B$21)</f>
        <v/>
      </c>
      <c r="AA375" t="str">
        <f>IF($AS375="","",Config!$B$22)</f>
        <v/>
      </c>
      <c r="AB375" t="str">
        <f>IF($AT375="","",INDEX(Calc!$D$2:$D$1601,$AT375))</f>
        <v/>
      </c>
      <c r="AC375" t="str">
        <f>IF($AT375="","",INDEX(Calc!$G$2:$G$1601,$AT375))</f>
        <v/>
      </c>
      <c r="AD375" t="str">
        <f>IF($AS375="","",Config!$B$23)</f>
        <v/>
      </c>
      <c r="AE375" t="str">
        <f>IF($AS375="","",Config!$B$28)</f>
        <v/>
      </c>
      <c r="AF375" t="str">
        <f t="shared" si="32"/>
        <v/>
      </c>
      <c r="AG375" t="str">
        <f t="shared" si="33"/>
        <v/>
      </c>
      <c r="AH375" t="str">
        <f t="shared" si="34"/>
        <v/>
      </c>
      <c r="AI375" t="str">
        <f>IF($AG375="","",SUMIF($AG$2:$AG375,$AG375,$AH$2:$AH375))</f>
        <v/>
      </c>
      <c r="AJ375" t="str">
        <f>IF('TMP Paste'!$F375="","",IF('TMP Paste'!$B375="",$AJ374,'TMP Paste'!$B375))</f>
        <v/>
      </c>
      <c r="AK375" t="str">
        <f>IF('TMP Paste'!$F375="","",N('TMP Paste'!$G375))</f>
        <v/>
      </c>
      <c r="AL375" t="str">
        <f>IF('TMP Paste'!$F375="","",IF('TMP Paste'!$M375="",$AL374,'TMP Paste'!$M375))</f>
        <v/>
      </c>
      <c r="AM375" t="str">
        <f>IF('TMP Paste'!$F375="","",IF('TMP Paste'!$N375="",$AM374,'TMP Paste'!$N375))</f>
        <v/>
      </c>
      <c r="AN375" t="str">
        <f>IF('TMP Paste'!$F375="","",IF('TMP Paste'!$O375="",$AN374,'TMP Paste'!$O375))</f>
        <v/>
      </c>
      <c r="AO375" t="str">
        <f>IF('TMP Paste'!$F375="","",IF('TMP Paste'!$P375="",$AO374,'TMP Paste'!$P375))</f>
        <v/>
      </c>
      <c r="AP375" t="str">
        <f t="shared" si="35"/>
        <v/>
      </c>
      <c r="AQ375" t="str">
        <f>IF($AS375="","",TRIM(IF(COUNTIFS(Calc!$B$2:$B$1601,ROW()-1,Calc!$C$2:$C$1601,"&lt;1")&gt;0,"Ada PO tanpa Koli - cek TMP. ","")&amp;IF(OR($AU375="",$AU375&lt;=0),"Volume kosong/0 - dimensi dikosongkan. ","")&amp;IF(AND($AU375&lt;&gt;"",$AU375&gt;=1000000),"Volume &gt;= 1.000.000 cm3 (di luar aturan) - dimensi dikosongkan. ","")&amp;IF(LEN($R375)&gt;500,"R &gt; 500 karakter.","")))</f>
        <v/>
      </c>
      <c r="AS375" t="str">
        <f>IFERROR(MATCH(ROW()-1,Calc!$J$2:$J$1601,0),"")</f>
        <v/>
      </c>
      <c r="AT375" t="str">
        <f>IFERROR(MATCH(ROW()-1,Calc!$K$2:$K$1601,0),"")</f>
        <v/>
      </c>
      <c r="AU375" t="str">
        <f>IF($AS375="","",IFERROR(INDEX('TMP Paste'!$D$2:$D$1601,$AS375)*1000000/$AB375,""))</f>
        <v/>
      </c>
    </row>
    <row r="376" spans="1:47">
      <c r="A376" t="str">
        <f>IF($AS376="","",INDEX('TMP Paste'!$B$2:$B$1601,$AS376))</f>
        <v/>
      </c>
      <c r="B376" t="str">
        <f>IF($AS376="","",Config!$B$14)</f>
        <v/>
      </c>
      <c r="C376" t="str">
        <f>IF($AS376="","",Config!$B$15)</f>
        <v/>
      </c>
      <c r="D376" t="str">
        <f>IF($AS376="","",INDEX('TMP Paste'!$B$2:$B$1601,$AS376))</f>
        <v/>
      </c>
      <c r="E376" t="str">
        <f>IF($AS376="","",Config!$B$27)</f>
        <v/>
      </c>
      <c r="F376" t="str">
        <f>IF($AS376="","",Config!$B$9)</f>
        <v/>
      </c>
      <c r="G376" t="str">
        <f>IF($AS376="","",Config!$B$10)</f>
        <v/>
      </c>
      <c r="H376" t="str">
        <f>IF($AS376="","",Config!$B$11)</f>
        <v/>
      </c>
      <c r="I376" t="str">
        <f>IF($AS376="","",Config!$B$16)</f>
        <v/>
      </c>
      <c r="J376" t="str">
        <f>IF($AS376="","",INDEX('TMP Paste'!$A$2:$A$1601,$AS376))</f>
        <v/>
      </c>
      <c r="K376" t="str">
        <f>IF($AS376="","",INDEX('TMP Paste'!$L$2:$L$1601,$AS376))</f>
        <v/>
      </c>
      <c r="L376" t="str">
        <f>IF($AS376="","",INDEX('TMP Paste'!$I$2:$I$1601,$AS376))</f>
        <v/>
      </c>
      <c r="M376" t="str">
        <f>IF($AS376="","",Config!$B$16)</f>
        <v/>
      </c>
      <c r="N376" t="str">
        <f t="shared" si="30"/>
        <v/>
      </c>
      <c r="O376" t="str">
        <f>IF($AS376="","",INDEX('TMP Paste'!$K$2:$K$1601,$AS376))</f>
        <v/>
      </c>
      <c r="P376" t="str">
        <f t="shared" si="31"/>
        <v/>
      </c>
      <c r="Q376" t="str">
        <f>IF($AS376="","",INDEX('TMP Paste'!$J$2:$J$1601,$AS376))</f>
        <v/>
      </c>
      <c r="R376" t="str">
        <f>IF($AS376="","",Config!$B$24)</f>
        <v/>
      </c>
      <c r="S376" t="str">
        <f ca="1">IF($AS376="","",TEXT(Config!$B$4,"yyyy-mm-dd"))</f>
        <v/>
      </c>
      <c r="T376" t="str">
        <f>IF($AS376="","",Config!$B$17)</f>
        <v/>
      </c>
      <c r="U376" t="str">
        <f>IF($AS376="","",Config!$B$18)</f>
        <v/>
      </c>
      <c r="V376" t="str">
        <f>IF($AS376="","",Config!$B$19)</f>
        <v/>
      </c>
      <c r="W376" t="str">
        <f>IF($AS376="","",INDEX('TMP Paste'!$C$2:$C$1601,$AS376))</f>
        <v/>
      </c>
      <c r="X376" t="str">
        <f>IF($AS376="","",Config!$B$29)</f>
        <v/>
      </c>
      <c r="Y376" t="str">
        <f>IF($AT376="","",INDEX(Calc!$I$2:$I$1601,$AT376)&amp;" - "&amp;INDEX(Calc!$D$2:$D$1601,$AT376)&amp;" koli")</f>
        <v/>
      </c>
      <c r="Z376" t="str">
        <f>IF($AS376="","",Config!$B$21)</f>
        <v/>
      </c>
      <c r="AA376" t="str">
        <f>IF($AS376="","",Config!$B$22)</f>
        <v/>
      </c>
      <c r="AB376" t="str">
        <f>IF($AT376="","",INDEX(Calc!$D$2:$D$1601,$AT376))</f>
        <v/>
      </c>
      <c r="AC376" t="str">
        <f>IF($AT376="","",INDEX(Calc!$G$2:$G$1601,$AT376))</f>
        <v/>
      </c>
      <c r="AD376" t="str">
        <f>IF($AS376="","",Config!$B$23)</f>
        <v/>
      </c>
      <c r="AE376" t="str">
        <f>IF($AS376="","",Config!$B$28)</f>
        <v/>
      </c>
      <c r="AF376" t="str">
        <f t="shared" si="32"/>
        <v/>
      </c>
      <c r="AG376" t="str">
        <f t="shared" si="33"/>
        <v/>
      </c>
      <c r="AH376" t="str">
        <f t="shared" si="34"/>
        <v/>
      </c>
      <c r="AI376" t="str">
        <f>IF($AG376="","",SUMIF($AG$2:$AG376,$AG376,$AH$2:$AH376))</f>
        <v/>
      </c>
      <c r="AJ376" t="str">
        <f>IF('TMP Paste'!$F376="","",IF('TMP Paste'!$B376="",$AJ375,'TMP Paste'!$B376))</f>
        <v/>
      </c>
      <c r="AK376" t="str">
        <f>IF('TMP Paste'!$F376="","",N('TMP Paste'!$G376))</f>
        <v/>
      </c>
      <c r="AL376" t="str">
        <f>IF('TMP Paste'!$F376="","",IF('TMP Paste'!$M376="",$AL375,'TMP Paste'!$M376))</f>
        <v/>
      </c>
      <c r="AM376" t="str">
        <f>IF('TMP Paste'!$F376="","",IF('TMP Paste'!$N376="",$AM375,'TMP Paste'!$N376))</f>
        <v/>
      </c>
      <c r="AN376" t="str">
        <f>IF('TMP Paste'!$F376="","",IF('TMP Paste'!$O376="",$AN375,'TMP Paste'!$O376))</f>
        <v/>
      </c>
      <c r="AO376" t="str">
        <f>IF('TMP Paste'!$F376="","",IF('TMP Paste'!$P376="",$AO375,'TMP Paste'!$P376))</f>
        <v/>
      </c>
      <c r="AP376" t="str">
        <f t="shared" si="35"/>
        <v/>
      </c>
      <c r="AQ376" t="str">
        <f>IF($AS376="","",TRIM(IF(COUNTIFS(Calc!$B$2:$B$1601,ROW()-1,Calc!$C$2:$C$1601,"&lt;1")&gt;0,"Ada PO tanpa Koli - cek TMP. ","")&amp;IF(OR($AU376="",$AU376&lt;=0),"Volume kosong/0 - dimensi dikosongkan. ","")&amp;IF(AND($AU376&lt;&gt;"",$AU376&gt;=1000000),"Volume &gt;= 1.000.000 cm3 (di luar aturan) - dimensi dikosongkan. ","")&amp;IF(LEN($R376)&gt;500,"R &gt; 500 karakter.","")))</f>
        <v/>
      </c>
      <c r="AS376" t="str">
        <f>IFERROR(MATCH(ROW()-1,Calc!$J$2:$J$1601,0),"")</f>
        <v/>
      </c>
      <c r="AT376" t="str">
        <f>IFERROR(MATCH(ROW()-1,Calc!$K$2:$K$1601,0),"")</f>
        <v/>
      </c>
      <c r="AU376" t="str">
        <f>IF($AS376="","",IFERROR(INDEX('TMP Paste'!$D$2:$D$1601,$AS376)*1000000/$AB376,""))</f>
        <v/>
      </c>
    </row>
    <row r="377" spans="1:47">
      <c r="A377" t="str">
        <f>IF($AS377="","",INDEX('TMP Paste'!$B$2:$B$1601,$AS377))</f>
        <v/>
      </c>
      <c r="B377" t="str">
        <f>IF($AS377="","",Config!$B$14)</f>
        <v/>
      </c>
      <c r="C377" t="str">
        <f>IF($AS377="","",Config!$B$15)</f>
        <v/>
      </c>
      <c r="D377" t="str">
        <f>IF($AS377="","",INDEX('TMP Paste'!$B$2:$B$1601,$AS377))</f>
        <v/>
      </c>
      <c r="E377" t="str">
        <f>IF($AS377="","",Config!$B$27)</f>
        <v/>
      </c>
      <c r="F377" t="str">
        <f>IF($AS377="","",Config!$B$9)</f>
        <v/>
      </c>
      <c r="G377" t="str">
        <f>IF($AS377="","",Config!$B$10)</f>
        <v/>
      </c>
      <c r="H377" t="str">
        <f>IF($AS377="","",Config!$B$11)</f>
        <v/>
      </c>
      <c r="I377" t="str">
        <f>IF($AS377="","",Config!$B$16)</f>
        <v/>
      </c>
      <c r="J377" t="str">
        <f>IF($AS377="","",INDEX('TMP Paste'!$A$2:$A$1601,$AS377))</f>
        <v/>
      </c>
      <c r="K377" t="str">
        <f>IF($AS377="","",INDEX('TMP Paste'!$L$2:$L$1601,$AS377))</f>
        <v/>
      </c>
      <c r="L377" t="str">
        <f>IF($AS377="","",INDEX('TMP Paste'!$I$2:$I$1601,$AS377))</f>
        <v/>
      </c>
      <c r="M377" t="str">
        <f>IF($AS377="","",Config!$B$16)</f>
        <v/>
      </c>
      <c r="N377" t="str">
        <f t="shared" si="30"/>
        <v/>
      </c>
      <c r="O377" t="str">
        <f>IF($AS377="","",INDEX('TMP Paste'!$K$2:$K$1601,$AS377))</f>
        <v/>
      </c>
      <c r="P377" t="str">
        <f t="shared" si="31"/>
        <v/>
      </c>
      <c r="Q377" t="str">
        <f>IF($AS377="","",INDEX('TMP Paste'!$J$2:$J$1601,$AS377))</f>
        <v/>
      </c>
      <c r="R377" t="str">
        <f>IF($AS377="","",Config!$B$24)</f>
        <v/>
      </c>
      <c r="S377" t="str">
        <f ca="1">IF($AS377="","",TEXT(Config!$B$4,"yyyy-mm-dd"))</f>
        <v/>
      </c>
      <c r="T377" t="str">
        <f>IF($AS377="","",Config!$B$17)</f>
        <v/>
      </c>
      <c r="U377" t="str">
        <f>IF($AS377="","",Config!$B$18)</f>
        <v/>
      </c>
      <c r="V377" t="str">
        <f>IF($AS377="","",Config!$B$19)</f>
        <v/>
      </c>
      <c r="W377" t="str">
        <f>IF($AS377="","",INDEX('TMP Paste'!$C$2:$C$1601,$AS377))</f>
        <v/>
      </c>
      <c r="X377" t="str">
        <f>IF($AS377="","",Config!$B$29)</f>
        <v/>
      </c>
      <c r="Y377" t="str">
        <f>IF($AT377="","",INDEX(Calc!$I$2:$I$1601,$AT377)&amp;" - "&amp;INDEX(Calc!$D$2:$D$1601,$AT377)&amp;" koli")</f>
        <v/>
      </c>
      <c r="Z377" t="str">
        <f>IF($AS377="","",Config!$B$21)</f>
        <v/>
      </c>
      <c r="AA377" t="str">
        <f>IF($AS377="","",Config!$B$22)</f>
        <v/>
      </c>
      <c r="AB377" t="str">
        <f>IF($AT377="","",INDEX(Calc!$D$2:$D$1601,$AT377))</f>
        <v/>
      </c>
      <c r="AC377" t="str">
        <f>IF($AT377="","",INDEX(Calc!$G$2:$G$1601,$AT377))</f>
        <v/>
      </c>
      <c r="AD377" t="str">
        <f>IF($AS377="","",Config!$B$23)</f>
        <v/>
      </c>
      <c r="AE377" t="str">
        <f>IF($AS377="","",Config!$B$28)</f>
        <v/>
      </c>
      <c r="AF377" t="str">
        <f t="shared" si="32"/>
        <v/>
      </c>
      <c r="AG377" t="str">
        <f t="shared" si="33"/>
        <v/>
      </c>
      <c r="AH377" t="str">
        <f t="shared" si="34"/>
        <v/>
      </c>
      <c r="AI377" t="str">
        <f>IF($AG377="","",SUMIF($AG$2:$AG377,$AG377,$AH$2:$AH377))</f>
        <v/>
      </c>
      <c r="AJ377" t="str">
        <f>IF('TMP Paste'!$F377="","",IF('TMP Paste'!$B377="",$AJ376,'TMP Paste'!$B377))</f>
        <v/>
      </c>
      <c r="AK377" t="str">
        <f>IF('TMP Paste'!$F377="","",N('TMP Paste'!$G377))</f>
        <v/>
      </c>
      <c r="AL377" t="str">
        <f>IF('TMP Paste'!$F377="","",IF('TMP Paste'!$M377="",$AL376,'TMP Paste'!$M377))</f>
        <v/>
      </c>
      <c r="AM377" t="str">
        <f>IF('TMP Paste'!$F377="","",IF('TMP Paste'!$N377="",$AM376,'TMP Paste'!$N377))</f>
        <v/>
      </c>
      <c r="AN377" t="str">
        <f>IF('TMP Paste'!$F377="","",IF('TMP Paste'!$O377="",$AN376,'TMP Paste'!$O377))</f>
        <v/>
      </c>
      <c r="AO377" t="str">
        <f>IF('TMP Paste'!$F377="","",IF('TMP Paste'!$P377="",$AO376,'TMP Paste'!$P377))</f>
        <v/>
      </c>
      <c r="AP377" t="str">
        <f t="shared" si="35"/>
        <v/>
      </c>
      <c r="AQ377" t="str">
        <f>IF($AS377="","",TRIM(IF(COUNTIFS(Calc!$B$2:$B$1601,ROW()-1,Calc!$C$2:$C$1601,"&lt;1")&gt;0,"Ada PO tanpa Koli - cek TMP. ","")&amp;IF(OR($AU377="",$AU377&lt;=0),"Volume kosong/0 - dimensi dikosongkan. ","")&amp;IF(AND($AU377&lt;&gt;"",$AU377&gt;=1000000),"Volume &gt;= 1.000.000 cm3 (di luar aturan) - dimensi dikosongkan. ","")&amp;IF(LEN($R377)&gt;500,"R &gt; 500 karakter.","")))</f>
        <v/>
      </c>
      <c r="AS377" t="str">
        <f>IFERROR(MATCH(ROW()-1,Calc!$J$2:$J$1601,0),"")</f>
        <v/>
      </c>
      <c r="AT377" t="str">
        <f>IFERROR(MATCH(ROW()-1,Calc!$K$2:$K$1601,0),"")</f>
        <v/>
      </c>
      <c r="AU377" t="str">
        <f>IF($AS377="","",IFERROR(INDEX('TMP Paste'!$D$2:$D$1601,$AS377)*1000000/$AB377,""))</f>
        <v/>
      </c>
    </row>
    <row r="378" spans="1:47">
      <c r="A378" t="str">
        <f>IF($AS378="","",INDEX('TMP Paste'!$B$2:$B$1601,$AS378))</f>
        <v/>
      </c>
      <c r="B378" t="str">
        <f>IF($AS378="","",Config!$B$14)</f>
        <v/>
      </c>
      <c r="C378" t="str">
        <f>IF($AS378="","",Config!$B$15)</f>
        <v/>
      </c>
      <c r="D378" t="str">
        <f>IF($AS378="","",INDEX('TMP Paste'!$B$2:$B$1601,$AS378))</f>
        <v/>
      </c>
      <c r="E378" t="str">
        <f>IF($AS378="","",Config!$B$27)</f>
        <v/>
      </c>
      <c r="F378" t="str">
        <f>IF($AS378="","",Config!$B$9)</f>
        <v/>
      </c>
      <c r="G378" t="str">
        <f>IF($AS378="","",Config!$B$10)</f>
        <v/>
      </c>
      <c r="H378" t="str">
        <f>IF($AS378="","",Config!$B$11)</f>
        <v/>
      </c>
      <c r="I378" t="str">
        <f>IF($AS378="","",Config!$B$16)</f>
        <v/>
      </c>
      <c r="J378" t="str">
        <f>IF($AS378="","",INDEX('TMP Paste'!$A$2:$A$1601,$AS378))</f>
        <v/>
      </c>
      <c r="K378" t="str">
        <f>IF($AS378="","",INDEX('TMP Paste'!$L$2:$L$1601,$AS378))</f>
        <v/>
      </c>
      <c r="L378" t="str">
        <f>IF($AS378="","",INDEX('TMP Paste'!$I$2:$I$1601,$AS378))</f>
        <v/>
      </c>
      <c r="M378" t="str">
        <f>IF($AS378="","",Config!$B$16)</f>
        <v/>
      </c>
      <c r="N378" t="str">
        <f t="shared" si="30"/>
        <v/>
      </c>
      <c r="O378" t="str">
        <f>IF($AS378="","",INDEX('TMP Paste'!$K$2:$K$1601,$AS378))</f>
        <v/>
      </c>
      <c r="P378" t="str">
        <f t="shared" si="31"/>
        <v/>
      </c>
      <c r="Q378" t="str">
        <f>IF($AS378="","",INDEX('TMP Paste'!$J$2:$J$1601,$AS378))</f>
        <v/>
      </c>
      <c r="R378" t="str">
        <f>IF($AS378="","",Config!$B$24)</f>
        <v/>
      </c>
      <c r="S378" t="str">
        <f ca="1">IF($AS378="","",TEXT(Config!$B$4,"yyyy-mm-dd"))</f>
        <v/>
      </c>
      <c r="T378" t="str">
        <f>IF($AS378="","",Config!$B$17)</f>
        <v/>
      </c>
      <c r="U378" t="str">
        <f>IF($AS378="","",Config!$B$18)</f>
        <v/>
      </c>
      <c r="V378" t="str">
        <f>IF($AS378="","",Config!$B$19)</f>
        <v/>
      </c>
      <c r="W378" t="str">
        <f>IF($AS378="","",INDEX('TMP Paste'!$C$2:$C$1601,$AS378))</f>
        <v/>
      </c>
      <c r="X378" t="str">
        <f>IF($AS378="","",Config!$B$29)</f>
        <v/>
      </c>
      <c r="Y378" t="str">
        <f>IF($AT378="","",INDEX(Calc!$I$2:$I$1601,$AT378)&amp;" - "&amp;INDEX(Calc!$D$2:$D$1601,$AT378)&amp;" koli")</f>
        <v/>
      </c>
      <c r="Z378" t="str">
        <f>IF($AS378="","",Config!$B$21)</f>
        <v/>
      </c>
      <c r="AA378" t="str">
        <f>IF($AS378="","",Config!$B$22)</f>
        <v/>
      </c>
      <c r="AB378" t="str">
        <f>IF($AT378="","",INDEX(Calc!$D$2:$D$1601,$AT378))</f>
        <v/>
      </c>
      <c r="AC378" t="str">
        <f>IF($AT378="","",INDEX(Calc!$G$2:$G$1601,$AT378))</f>
        <v/>
      </c>
      <c r="AD378" t="str">
        <f>IF($AS378="","",Config!$B$23)</f>
        <v/>
      </c>
      <c r="AE378" t="str">
        <f>IF($AS378="","",Config!$B$28)</f>
        <v/>
      </c>
      <c r="AF378" t="str">
        <f t="shared" si="32"/>
        <v/>
      </c>
      <c r="AG378" t="str">
        <f t="shared" si="33"/>
        <v/>
      </c>
      <c r="AH378" t="str">
        <f t="shared" si="34"/>
        <v/>
      </c>
      <c r="AI378" t="str">
        <f>IF($AG378="","",SUMIF($AG$2:$AG378,$AG378,$AH$2:$AH378))</f>
        <v/>
      </c>
      <c r="AJ378" t="str">
        <f>IF('TMP Paste'!$F378="","",IF('TMP Paste'!$B378="",$AJ377,'TMP Paste'!$B378))</f>
        <v/>
      </c>
      <c r="AK378" t="str">
        <f>IF('TMP Paste'!$F378="","",N('TMP Paste'!$G378))</f>
        <v/>
      </c>
      <c r="AL378" t="str">
        <f>IF('TMP Paste'!$F378="","",IF('TMP Paste'!$M378="",$AL377,'TMP Paste'!$M378))</f>
        <v/>
      </c>
      <c r="AM378" t="str">
        <f>IF('TMP Paste'!$F378="","",IF('TMP Paste'!$N378="",$AM377,'TMP Paste'!$N378))</f>
        <v/>
      </c>
      <c r="AN378" t="str">
        <f>IF('TMP Paste'!$F378="","",IF('TMP Paste'!$O378="",$AN377,'TMP Paste'!$O378))</f>
        <v/>
      </c>
      <c r="AO378" t="str">
        <f>IF('TMP Paste'!$F378="","",IF('TMP Paste'!$P378="",$AO377,'TMP Paste'!$P378))</f>
        <v/>
      </c>
      <c r="AP378" t="str">
        <f t="shared" si="35"/>
        <v/>
      </c>
      <c r="AQ378" t="str">
        <f>IF($AS378="","",TRIM(IF(COUNTIFS(Calc!$B$2:$B$1601,ROW()-1,Calc!$C$2:$C$1601,"&lt;1")&gt;0,"Ada PO tanpa Koli - cek TMP. ","")&amp;IF(OR($AU378="",$AU378&lt;=0),"Volume kosong/0 - dimensi dikosongkan. ","")&amp;IF(AND($AU378&lt;&gt;"",$AU378&gt;=1000000),"Volume &gt;= 1.000.000 cm3 (di luar aturan) - dimensi dikosongkan. ","")&amp;IF(LEN($R378)&gt;500,"R &gt; 500 karakter.","")))</f>
        <v/>
      </c>
      <c r="AS378" t="str">
        <f>IFERROR(MATCH(ROW()-1,Calc!$J$2:$J$1601,0),"")</f>
        <v/>
      </c>
      <c r="AT378" t="str">
        <f>IFERROR(MATCH(ROW()-1,Calc!$K$2:$K$1601,0),"")</f>
        <v/>
      </c>
      <c r="AU378" t="str">
        <f>IF($AS378="","",IFERROR(INDEX('TMP Paste'!$D$2:$D$1601,$AS378)*1000000/$AB378,""))</f>
        <v/>
      </c>
    </row>
    <row r="379" spans="1:47">
      <c r="A379" t="str">
        <f>IF($AS379="","",INDEX('TMP Paste'!$B$2:$B$1601,$AS379))</f>
        <v/>
      </c>
      <c r="B379" t="str">
        <f>IF($AS379="","",Config!$B$14)</f>
        <v/>
      </c>
      <c r="C379" t="str">
        <f>IF($AS379="","",Config!$B$15)</f>
        <v/>
      </c>
      <c r="D379" t="str">
        <f>IF($AS379="","",INDEX('TMP Paste'!$B$2:$B$1601,$AS379))</f>
        <v/>
      </c>
      <c r="E379" t="str">
        <f>IF($AS379="","",Config!$B$27)</f>
        <v/>
      </c>
      <c r="F379" t="str">
        <f>IF($AS379="","",Config!$B$9)</f>
        <v/>
      </c>
      <c r="G379" t="str">
        <f>IF($AS379="","",Config!$B$10)</f>
        <v/>
      </c>
      <c r="H379" t="str">
        <f>IF($AS379="","",Config!$B$11)</f>
        <v/>
      </c>
      <c r="I379" t="str">
        <f>IF($AS379="","",Config!$B$16)</f>
        <v/>
      </c>
      <c r="J379" t="str">
        <f>IF($AS379="","",INDEX('TMP Paste'!$A$2:$A$1601,$AS379))</f>
        <v/>
      </c>
      <c r="K379" t="str">
        <f>IF($AS379="","",INDEX('TMP Paste'!$L$2:$L$1601,$AS379))</f>
        <v/>
      </c>
      <c r="L379" t="str">
        <f>IF($AS379="","",INDEX('TMP Paste'!$I$2:$I$1601,$AS379))</f>
        <v/>
      </c>
      <c r="M379" t="str">
        <f>IF($AS379="","",Config!$B$16)</f>
        <v/>
      </c>
      <c r="N379" t="str">
        <f t="shared" si="30"/>
        <v/>
      </c>
      <c r="O379" t="str">
        <f>IF($AS379="","",INDEX('TMP Paste'!$K$2:$K$1601,$AS379))</f>
        <v/>
      </c>
      <c r="P379" t="str">
        <f t="shared" si="31"/>
        <v/>
      </c>
      <c r="Q379" t="str">
        <f>IF($AS379="","",INDEX('TMP Paste'!$J$2:$J$1601,$AS379))</f>
        <v/>
      </c>
      <c r="R379" t="str">
        <f>IF($AS379="","",Config!$B$24)</f>
        <v/>
      </c>
      <c r="S379" t="str">
        <f ca="1">IF($AS379="","",TEXT(Config!$B$4,"yyyy-mm-dd"))</f>
        <v/>
      </c>
      <c r="T379" t="str">
        <f>IF($AS379="","",Config!$B$17)</f>
        <v/>
      </c>
      <c r="U379" t="str">
        <f>IF($AS379="","",Config!$B$18)</f>
        <v/>
      </c>
      <c r="V379" t="str">
        <f>IF($AS379="","",Config!$B$19)</f>
        <v/>
      </c>
      <c r="W379" t="str">
        <f>IF($AS379="","",INDEX('TMP Paste'!$C$2:$C$1601,$AS379))</f>
        <v/>
      </c>
      <c r="X379" t="str">
        <f>IF($AS379="","",Config!$B$29)</f>
        <v/>
      </c>
      <c r="Y379" t="str">
        <f>IF($AT379="","",INDEX(Calc!$I$2:$I$1601,$AT379)&amp;" - "&amp;INDEX(Calc!$D$2:$D$1601,$AT379)&amp;" koli")</f>
        <v/>
      </c>
      <c r="Z379" t="str">
        <f>IF($AS379="","",Config!$B$21)</f>
        <v/>
      </c>
      <c r="AA379" t="str">
        <f>IF($AS379="","",Config!$B$22)</f>
        <v/>
      </c>
      <c r="AB379" t="str">
        <f>IF($AT379="","",INDEX(Calc!$D$2:$D$1601,$AT379))</f>
        <v/>
      </c>
      <c r="AC379" t="str">
        <f>IF($AT379="","",INDEX(Calc!$G$2:$G$1601,$AT379))</f>
        <v/>
      </c>
      <c r="AD379" t="str">
        <f>IF($AS379="","",Config!$B$23)</f>
        <v/>
      </c>
      <c r="AE379" t="str">
        <f>IF($AS379="","",Config!$B$28)</f>
        <v/>
      </c>
      <c r="AF379" t="str">
        <f t="shared" si="32"/>
        <v/>
      </c>
      <c r="AG379" t="str">
        <f t="shared" si="33"/>
        <v/>
      </c>
      <c r="AH379" t="str">
        <f t="shared" si="34"/>
        <v/>
      </c>
      <c r="AI379" t="str">
        <f>IF($AG379="","",SUMIF($AG$2:$AG379,$AG379,$AH$2:$AH379))</f>
        <v/>
      </c>
      <c r="AJ379" t="str">
        <f>IF('TMP Paste'!$F379="","",IF('TMP Paste'!$B379="",$AJ378,'TMP Paste'!$B379))</f>
        <v/>
      </c>
      <c r="AK379" t="str">
        <f>IF('TMP Paste'!$F379="","",N('TMP Paste'!$G379))</f>
        <v/>
      </c>
      <c r="AL379" t="str">
        <f>IF('TMP Paste'!$F379="","",IF('TMP Paste'!$M379="",$AL378,'TMP Paste'!$M379))</f>
        <v/>
      </c>
      <c r="AM379" t="str">
        <f>IF('TMP Paste'!$F379="","",IF('TMP Paste'!$N379="",$AM378,'TMP Paste'!$N379))</f>
        <v/>
      </c>
      <c r="AN379" t="str">
        <f>IF('TMP Paste'!$F379="","",IF('TMP Paste'!$O379="",$AN378,'TMP Paste'!$O379))</f>
        <v/>
      </c>
      <c r="AO379" t="str">
        <f>IF('TMP Paste'!$F379="","",IF('TMP Paste'!$P379="",$AO378,'TMP Paste'!$P379))</f>
        <v/>
      </c>
      <c r="AP379" t="str">
        <f t="shared" si="35"/>
        <v/>
      </c>
      <c r="AQ379" t="str">
        <f>IF($AS379="","",TRIM(IF(COUNTIFS(Calc!$B$2:$B$1601,ROW()-1,Calc!$C$2:$C$1601,"&lt;1")&gt;0,"Ada PO tanpa Koli - cek TMP. ","")&amp;IF(OR($AU379="",$AU379&lt;=0),"Volume kosong/0 - dimensi dikosongkan. ","")&amp;IF(AND($AU379&lt;&gt;"",$AU379&gt;=1000000),"Volume &gt;= 1.000.000 cm3 (di luar aturan) - dimensi dikosongkan. ","")&amp;IF(LEN($R379)&gt;500,"R &gt; 500 karakter.","")))</f>
        <v/>
      </c>
      <c r="AS379" t="str">
        <f>IFERROR(MATCH(ROW()-1,Calc!$J$2:$J$1601,0),"")</f>
        <v/>
      </c>
      <c r="AT379" t="str">
        <f>IFERROR(MATCH(ROW()-1,Calc!$K$2:$K$1601,0),"")</f>
        <v/>
      </c>
      <c r="AU379" t="str">
        <f>IF($AS379="","",IFERROR(INDEX('TMP Paste'!$D$2:$D$1601,$AS379)*1000000/$AB379,""))</f>
        <v/>
      </c>
    </row>
    <row r="380" spans="1:47">
      <c r="A380" t="str">
        <f>IF($AS380="","",INDEX('TMP Paste'!$B$2:$B$1601,$AS380))</f>
        <v/>
      </c>
      <c r="B380" t="str">
        <f>IF($AS380="","",Config!$B$14)</f>
        <v/>
      </c>
      <c r="C380" t="str">
        <f>IF($AS380="","",Config!$B$15)</f>
        <v/>
      </c>
      <c r="D380" t="str">
        <f>IF($AS380="","",INDEX('TMP Paste'!$B$2:$B$1601,$AS380))</f>
        <v/>
      </c>
      <c r="E380" t="str">
        <f>IF($AS380="","",Config!$B$27)</f>
        <v/>
      </c>
      <c r="F380" t="str">
        <f>IF($AS380="","",Config!$B$9)</f>
        <v/>
      </c>
      <c r="G380" t="str">
        <f>IF($AS380="","",Config!$B$10)</f>
        <v/>
      </c>
      <c r="H380" t="str">
        <f>IF($AS380="","",Config!$B$11)</f>
        <v/>
      </c>
      <c r="I380" t="str">
        <f>IF($AS380="","",Config!$B$16)</f>
        <v/>
      </c>
      <c r="J380" t="str">
        <f>IF($AS380="","",INDEX('TMP Paste'!$A$2:$A$1601,$AS380))</f>
        <v/>
      </c>
      <c r="K380" t="str">
        <f>IF($AS380="","",INDEX('TMP Paste'!$L$2:$L$1601,$AS380))</f>
        <v/>
      </c>
      <c r="L380" t="str">
        <f>IF($AS380="","",INDEX('TMP Paste'!$I$2:$I$1601,$AS380))</f>
        <v/>
      </c>
      <c r="M380" t="str">
        <f>IF($AS380="","",Config!$B$16)</f>
        <v/>
      </c>
      <c r="N380" t="str">
        <f t="shared" si="30"/>
        <v/>
      </c>
      <c r="O380" t="str">
        <f>IF($AS380="","",INDEX('TMP Paste'!$K$2:$K$1601,$AS380))</f>
        <v/>
      </c>
      <c r="P380" t="str">
        <f t="shared" si="31"/>
        <v/>
      </c>
      <c r="Q380" t="str">
        <f>IF($AS380="","",INDEX('TMP Paste'!$J$2:$J$1601,$AS380))</f>
        <v/>
      </c>
      <c r="R380" t="str">
        <f>IF($AS380="","",Config!$B$24)</f>
        <v/>
      </c>
      <c r="S380" t="str">
        <f ca="1">IF($AS380="","",TEXT(Config!$B$4,"yyyy-mm-dd"))</f>
        <v/>
      </c>
      <c r="T380" t="str">
        <f>IF($AS380="","",Config!$B$17)</f>
        <v/>
      </c>
      <c r="U380" t="str">
        <f>IF($AS380="","",Config!$B$18)</f>
        <v/>
      </c>
      <c r="V380" t="str">
        <f>IF($AS380="","",Config!$B$19)</f>
        <v/>
      </c>
      <c r="W380" t="str">
        <f>IF($AS380="","",INDEX('TMP Paste'!$C$2:$C$1601,$AS380))</f>
        <v/>
      </c>
      <c r="X380" t="str">
        <f>IF($AS380="","",Config!$B$29)</f>
        <v/>
      </c>
      <c r="Y380" t="str">
        <f>IF($AT380="","",INDEX(Calc!$I$2:$I$1601,$AT380)&amp;" - "&amp;INDEX(Calc!$D$2:$D$1601,$AT380)&amp;" koli")</f>
        <v/>
      </c>
      <c r="Z380" t="str">
        <f>IF($AS380="","",Config!$B$21)</f>
        <v/>
      </c>
      <c r="AA380" t="str">
        <f>IF($AS380="","",Config!$B$22)</f>
        <v/>
      </c>
      <c r="AB380" t="str">
        <f>IF($AT380="","",INDEX(Calc!$D$2:$D$1601,$AT380))</f>
        <v/>
      </c>
      <c r="AC380" t="str">
        <f>IF($AT380="","",INDEX(Calc!$G$2:$G$1601,$AT380))</f>
        <v/>
      </c>
      <c r="AD380" t="str">
        <f>IF($AS380="","",Config!$B$23)</f>
        <v/>
      </c>
      <c r="AE380" t="str">
        <f>IF($AS380="","",Config!$B$28)</f>
        <v/>
      </c>
      <c r="AF380" t="str">
        <f t="shared" si="32"/>
        <v/>
      </c>
      <c r="AG380" t="str">
        <f t="shared" si="33"/>
        <v/>
      </c>
      <c r="AH380" t="str">
        <f t="shared" si="34"/>
        <v/>
      </c>
      <c r="AI380" t="str">
        <f>IF($AG380="","",SUMIF($AG$2:$AG380,$AG380,$AH$2:$AH380))</f>
        <v/>
      </c>
      <c r="AJ380" t="str">
        <f>IF('TMP Paste'!$F380="","",IF('TMP Paste'!$B380="",$AJ379,'TMP Paste'!$B380))</f>
        <v/>
      </c>
      <c r="AK380" t="str">
        <f>IF('TMP Paste'!$F380="","",N('TMP Paste'!$G380))</f>
        <v/>
      </c>
      <c r="AL380" t="str">
        <f>IF('TMP Paste'!$F380="","",IF('TMP Paste'!$M380="",$AL379,'TMP Paste'!$M380))</f>
        <v/>
      </c>
      <c r="AM380" t="str">
        <f>IF('TMP Paste'!$F380="","",IF('TMP Paste'!$N380="",$AM379,'TMP Paste'!$N380))</f>
        <v/>
      </c>
      <c r="AN380" t="str">
        <f>IF('TMP Paste'!$F380="","",IF('TMP Paste'!$O380="",$AN379,'TMP Paste'!$O380))</f>
        <v/>
      </c>
      <c r="AO380" t="str">
        <f>IF('TMP Paste'!$F380="","",IF('TMP Paste'!$P380="",$AO379,'TMP Paste'!$P380))</f>
        <v/>
      </c>
      <c r="AP380" t="str">
        <f t="shared" si="35"/>
        <v/>
      </c>
      <c r="AQ380" t="str">
        <f>IF($AS380="","",TRIM(IF(COUNTIFS(Calc!$B$2:$B$1601,ROW()-1,Calc!$C$2:$C$1601,"&lt;1")&gt;0,"Ada PO tanpa Koli - cek TMP. ","")&amp;IF(OR($AU380="",$AU380&lt;=0),"Volume kosong/0 - dimensi dikosongkan. ","")&amp;IF(AND($AU380&lt;&gt;"",$AU380&gt;=1000000),"Volume &gt;= 1.000.000 cm3 (di luar aturan) - dimensi dikosongkan. ","")&amp;IF(LEN($R380)&gt;500,"R &gt; 500 karakter.","")))</f>
        <v/>
      </c>
      <c r="AS380" t="str">
        <f>IFERROR(MATCH(ROW()-1,Calc!$J$2:$J$1601,0),"")</f>
        <v/>
      </c>
      <c r="AT380" t="str">
        <f>IFERROR(MATCH(ROW()-1,Calc!$K$2:$K$1601,0),"")</f>
        <v/>
      </c>
      <c r="AU380" t="str">
        <f>IF($AS380="","",IFERROR(INDEX('TMP Paste'!$D$2:$D$1601,$AS380)*1000000/$AB380,""))</f>
        <v/>
      </c>
    </row>
    <row r="381" spans="1:47">
      <c r="A381" t="str">
        <f>IF($AS381="","",INDEX('TMP Paste'!$B$2:$B$1601,$AS381))</f>
        <v/>
      </c>
      <c r="B381" t="str">
        <f>IF($AS381="","",Config!$B$14)</f>
        <v/>
      </c>
      <c r="C381" t="str">
        <f>IF($AS381="","",Config!$B$15)</f>
        <v/>
      </c>
      <c r="D381" t="str">
        <f>IF($AS381="","",INDEX('TMP Paste'!$B$2:$B$1601,$AS381))</f>
        <v/>
      </c>
      <c r="E381" t="str">
        <f>IF($AS381="","",Config!$B$27)</f>
        <v/>
      </c>
      <c r="F381" t="str">
        <f>IF($AS381="","",Config!$B$9)</f>
        <v/>
      </c>
      <c r="G381" t="str">
        <f>IF($AS381="","",Config!$B$10)</f>
        <v/>
      </c>
      <c r="H381" t="str">
        <f>IF($AS381="","",Config!$B$11)</f>
        <v/>
      </c>
      <c r="I381" t="str">
        <f>IF($AS381="","",Config!$B$16)</f>
        <v/>
      </c>
      <c r="J381" t="str">
        <f>IF($AS381="","",INDEX('TMP Paste'!$A$2:$A$1601,$AS381))</f>
        <v/>
      </c>
      <c r="K381" t="str">
        <f>IF($AS381="","",INDEX('TMP Paste'!$L$2:$L$1601,$AS381))</f>
        <v/>
      </c>
      <c r="L381" t="str">
        <f>IF($AS381="","",INDEX('TMP Paste'!$I$2:$I$1601,$AS381))</f>
        <v/>
      </c>
      <c r="M381" t="str">
        <f>IF($AS381="","",Config!$B$16)</f>
        <v/>
      </c>
      <c r="N381" t="str">
        <f t="shared" si="30"/>
        <v/>
      </c>
      <c r="O381" t="str">
        <f>IF($AS381="","",INDEX('TMP Paste'!$K$2:$K$1601,$AS381))</f>
        <v/>
      </c>
      <c r="P381" t="str">
        <f t="shared" si="31"/>
        <v/>
      </c>
      <c r="Q381" t="str">
        <f>IF($AS381="","",INDEX('TMP Paste'!$J$2:$J$1601,$AS381))</f>
        <v/>
      </c>
      <c r="R381" t="str">
        <f>IF($AS381="","",Config!$B$24)</f>
        <v/>
      </c>
      <c r="S381" t="str">
        <f ca="1">IF($AS381="","",TEXT(Config!$B$4,"yyyy-mm-dd"))</f>
        <v/>
      </c>
      <c r="T381" t="str">
        <f>IF($AS381="","",Config!$B$17)</f>
        <v/>
      </c>
      <c r="U381" t="str">
        <f>IF($AS381="","",Config!$B$18)</f>
        <v/>
      </c>
      <c r="V381" t="str">
        <f>IF($AS381="","",Config!$B$19)</f>
        <v/>
      </c>
      <c r="W381" t="str">
        <f>IF($AS381="","",INDEX('TMP Paste'!$C$2:$C$1601,$AS381))</f>
        <v/>
      </c>
      <c r="X381" t="str">
        <f>IF($AS381="","",Config!$B$29)</f>
        <v/>
      </c>
      <c r="Y381" t="str">
        <f>IF($AT381="","",INDEX(Calc!$I$2:$I$1601,$AT381)&amp;" - "&amp;INDEX(Calc!$D$2:$D$1601,$AT381)&amp;" koli")</f>
        <v/>
      </c>
      <c r="Z381" t="str">
        <f>IF($AS381="","",Config!$B$21)</f>
        <v/>
      </c>
      <c r="AA381" t="str">
        <f>IF($AS381="","",Config!$B$22)</f>
        <v/>
      </c>
      <c r="AB381" t="str">
        <f>IF($AT381="","",INDEX(Calc!$D$2:$D$1601,$AT381))</f>
        <v/>
      </c>
      <c r="AC381" t="str">
        <f>IF($AT381="","",INDEX(Calc!$G$2:$G$1601,$AT381))</f>
        <v/>
      </c>
      <c r="AD381" t="str">
        <f>IF($AS381="","",Config!$B$23)</f>
        <v/>
      </c>
      <c r="AE381" t="str">
        <f>IF($AS381="","",Config!$B$28)</f>
        <v/>
      </c>
      <c r="AF381" t="str">
        <f t="shared" si="32"/>
        <v/>
      </c>
      <c r="AG381" t="str">
        <f t="shared" si="33"/>
        <v/>
      </c>
      <c r="AH381" t="str">
        <f t="shared" si="34"/>
        <v/>
      </c>
      <c r="AI381" t="str">
        <f>IF($AG381="","",SUMIF($AG$2:$AG381,$AG381,$AH$2:$AH381))</f>
        <v/>
      </c>
      <c r="AJ381" t="str">
        <f>IF('TMP Paste'!$F381="","",IF('TMP Paste'!$B381="",$AJ380,'TMP Paste'!$B381))</f>
        <v/>
      </c>
      <c r="AK381" t="str">
        <f>IF('TMP Paste'!$F381="","",N('TMP Paste'!$G381))</f>
        <v/>
      </c>
      <c r="AL381" t="str">
        <f>IF('TMP Paste'!$F381="","",IF('TMP Paste'!$M381="",$AL380,'TMP Paste'!$M381))</f>
        <v/>
      </c>
      <c r="AM381" t="str">
        <f>IF('TMP Paste'!$F381="","",IF('TMP Paste'!$N381="",$AM380,'TMP Paste'!$N381))</f>
        <v/>
      </c>
      <c r="AN381" t="str">
        <f>IF('TMP Paste'!$F381="","",IF('TMP Paste'!$O381="",$AN380,'TMP Paste'!$O381))</f>
        <v/>
      </c>
      <c r="AO381" t="str">
        <f>IF('TMP Paste'!$F381="","",IF('TMP Paste'!$P381="",$AO380,'TMP Paste'!$P381))</f>
        <v/>
      </c>
      <c r="AP381" t="str">
        <f t="shared" si="35"/>
        <v/>
      </c>
      <c r="AQ381" t="str">
        <f>IF($AS381="","",TRIM(IF(COUNTIFS(Calc!$B$2:$B$1601,ROW()-1,Calc!$C$2:$C$1601,"&lt;1")&gt;0,"Ada PO tanpa Koli - cek TMP. ","")&amp;IF(OR($AU381="",$AU381&lt;=0),"Volume kosong/0 - dimensi dikosongkan. ","")&amp;IF(AND($AU381&lt;&gt;"",$AU381&gt;=1000000),"Volume &gt;= 1.000.000 cm3 (di luar aturan) - dimensi dikosongkan. ","")&amp;IF(LEN($R381)&gt;500,"R &gt; 500 karakter.","")))</f>
        <v/>
      </c>
      <c r="AS381" t="str">
        <f>IFERROR(MATCH(ROW()-1,Calc!$J$2:$J$1601,0),"")</f>
        <v/>
      </c>
      <c r="AT381" t="str">
        <f>IFERROR(MATCH(ROW()-1,Calc!$K$2:$K$1601,0),"")</f>
        <v/>
      </c>
      <c r="AU381" t="str">
        <f>IF($AS381="","",IFERROR(INDEX('TMP Paste'!$D$2:$D$1601,$AS381)*1000000/$AB381,""))</f>
        <v/>
      </c>
    </row>
    <row r="382" spans="1:47">
      <c r="A382" t="str">
        <f>IF($AS382="","",INDEX('TMP Paste'!$B$2:$B$1601,$AS382))</f>
        <v/>
      </c>
      <c r="B382" t="str">
        <f>IF($AS382="","",Config!$B$14)</f>
        <v/>
      </c>
      <c r="C382" t="str">
        <f>IF($AS382="","",Config!$B$15)</f>
        <v/>
      </c>
      <c r="D382" t="str">
        <f>IF($AS382="","",INDEX('TMP Paste'!$B$2:$B$1601,$AS382))</f>
        <v/>
      </c>
      <c r="E382" t="str">
        <f>IF($AS382="","",Config!$B$27)</f>
        <v/>
      </c>
      <c r="F382" t="str">
        <f>IF($AS382="","",Config!$B$9)</f>
        <v/>
      </c>
      <c r="G382" t="str">
        <f>IF($AS382="","",Config!$B$10)</f>
        <v/>
      </c>
      <c r="H382" t="str">
        <f>IF($AS382="","",Config!$B$11)</f>
        <v/>
      </c>
      <c r="I382" t="str">
        <f>IF($AS382="","",Config!$B$16)</f>
        <v/>
      </c>
      <c r="J382" t="str">
        <f>IF($AS382="","",INDEX('TMP Paste'!$A$2:$A$1601,$AS382))</f>
        <v/>
      </c>
      <c r="K382" t="str">
        <f>IF($AS382="","",INDEX('TMP Paste'!$L$2:$L$1601,$AS382))</f>
        <v/>
      </c>
      <c r="L382" t="str">
        <f>IF($AS382="","",INDEX('TMP Paste'!$I$2:$I$1601,$AS382))</f>
        <v/>
      </c>
      <c r="M382" t="str">
        <f>IF($AS382="","",Config!$B$16)</f>
        <v/>
      </c>
      <c r="N382" t="str">
        <f t="shared" si="30"/>
        <v/>
      </c>
      <c r="O382" t="str">
        <f>IF($AS382="","",INDEX('TMP Paste'!$K$2:$K$1601,$AS382))</f>
        <v/>
      </c>
      <c r="P382" t="str">
        <f t="shared" si="31"/>
        <v/>
      </c>
      <c r="Q382" t="str">
        <f>IF($AS382="","",INDEX('TMP Paste'!$J$2:$J$1601,$AS382))</f>
        <v/>
      </c>
      <c r="R382" t="str">
        <f>IF($AS382="","",Config!$B$24)</f>
        <v/>
      </c>
      <c r="S382" t="str">
        <f ca="1">IF($AS382="","",TEXT(Config!$B$4,"yyyy-mm-dd"))</f>
        <v/>
      </c>
      <c r="T382" t="str">
        <f>IF($AS382="","",Config!$B$17)</f>
        <v/>
      </c>
      <c r="U382" t="str">
        <f>IF($AS382="","",Config!$B$18)</f>
        <v/>
      </c>
      <c r="V382" t="str">
        <f>IF($AS382="","",Config!$B$19)</f>
        <v/>
      </c>
      <c r="W382" t="str">
        <f>IF($AS382="","",INDEX('TMP Paste'!$C$2:$C$1601,$AS382))</f>
        <v/>
      </c>
      <c r="X382" t="str">
        <f>IF($AS382="","",Config!$B$29)</f>
        <v/>
      </c>
      <c r="Y382" t="str">
        <f>IF($AT382="","",INDEX(Calc!$I$2:$I$1601,$AT382)&amp;" - "&amp;INDEX(Calc!$D$2:$D$1601,$AT382)&amp;" koli")</f>
        <v/>
      </c>
      <c r="Z382" t="str">
        <f>IF($AS382="","",Config!$B$21)</f>
        <v/>
      </c>
      <c r="AA382" t="str">
        <f>IF($AS382="","",Config!$B$22)</f>
        <v/>
      </c>
      <c r="AB382" t="str">
        <f>IF($AT382="","",INDEX(Calc!$D$2:$D$1601,$AT382))</f>
        <v/>
      </c>
      <c r="AC382" t="str">
        <f>IF($AT382="","",INDEX(Calc!$G$2:$G$1601,$AT382))</f>
        <v/>
      </c>
      <c r="AD382" t="str">
        <f>IF($AS382="","",Config!$B$23)</f>
        <v/>
      </c>
      <c r="AE382" t="str">
        <f>IF($AS382="","",Config!$B$28)</f>
        <v/>
      </c>
      <c r="AF382" t="str">
        <f t="shared" si="32"/>
        <v/>
      </c>
      <c r="AG382" t="str">
        <f t="shared" si="33"/>
        <v/>
      </c>
      <c r="AH382" t="str">
        <f t="shared" si="34"/>
        <v/>
      </c>
      <c r="AI382" t="str">
        <f>IF($AG382="","",SUMIF($AG$2:$AG382,$AG382,$AH$2:$AH382))</f>
        <v/>
      </c>
      <c r="AJ382" t="str">
        <f>IF('TMP Paste'!$F382="","",IF('TMP Paste'!$B382="",$AJ381,'TMP Paste'!$B382))</f>
        <v/>
      </c>
      <c r="AK382" t="str">
        <f>IF('TMP Paste'!$F382="","",N('TMP Paste'!$G382))</f>
        <v/>
      </c>
      <c r="AL382" t="str">
        <f>IF('TMP Paste'!$F382="","",IF('TMP Paste'!$M382="",$AL381,'TMP Paste'!$M382))</f>
        <v/>
      </c>
      <c r="AM382" t="str">
        <f>IF('TMP Paste'!$F382="","",IF('TMP Paste'!$N382="",$AM381,'TMP Paste'!$N382))</f>
        <v/>
      </c>
      <c r="AN382" t="str">
        <f>IF('TMP Paste'!$F382="","",IF('TMP Paste'!$O382="",$AN381,'TMP Paste'!$O382))</f>
        <v/>
      </c>
      <c r="AO382" t="str">
        <f>IF('TMP Paste'!$F382="","",IF('TMP Paste'!$P382="",$AO381,'TMP Paste'!$P382))</f>
        <v/>
      </c>
      <c r="AP382" t="str">
        <f t="shared" si="35"/>
        <v/>
      </c>
      <c r="AQ382" t="str">
        <f>IF($AS382="","",TRIM(IF(COUNTIFS(Calc!$B$2:$B$1601,ROW()-1,Calc!$C$2:$C$1601,"&lt;1")&gt;0,"Ada PO tanpa Koli - cek TMP. ","")&amp;IF(OR($AU382="",$AU382&lt;=0),"Volume kosong/0 - dimensi dikosongkan. ","")&amp;IF(AND($AU382&lt;&gt;"",$AU382&gt;=1000000),"Volume &gt;= 1.000.000 cm3 (di luar aturan) - dimensi dikosongkan. ","")&amp;IF(LEN($R382)&gt;500,"R &gt; 500 karakter.","")))</f>
        <v/>
      </c>
      <c r="AS382" t="str">
        <f>IFERROR(MATCH(ROW()-1,Calc!$J$2:$J$1601,0),"")</f>
        <v/>
      </c>
      <c r="AT382" t="str">
        <f>IFERROR(MATCH(ROW()-1,Calc!$K$2:$K$1601,0),"")</f>
        <v/>
      </c>
      <c r="AU382" t="str">
        <f>IF($AS382="","",IFERROR(INDEX('TMP Paste'!$D$2:$D$1601,$AS382)*1000000/$AB382,""))</f>
        <v/>
      </c>
    </row>
    <row r="383" spans="1:47">
      <c r="A383" t="str">
        <f>IF($AS383="","",INDEX('TMP Paste'!$B$2:$B$1601,$AS383))</f>
        <v/>
      </c>
      <c r="B383" t="str">
        <f>IF($AS383="","",Config!$B$14)</f>
        <v/>
      </c>
      <c r="C383" t="str">
        <f>IF($AS383="","",Config!$B$15)</f>
        <v/>
      </c>
      <c r="D383" t="str">
        <f>IF($AS383="","",INDEX('TMP Paste'!$B$2:$B$1601,$AS383))</f>
        <v/>
      </c>
      <c r="E383" t="str">
        <f>IF($AS383="","",Config!$B$27)</f>
        <v/>
      </c>
      <c r="F383" t="str">
        <f>IF($AS383="","",Config!$B$9)</f>
        <v/>
      </c>
      <c r="G383" t="str">
        <f>IF($AS383="","",Config!$B$10)</f>
        <v/>
      </c>
      <c r="H383" t="str">
        <f>IF($AS383="","",Config!$B$11)</f>
        <v/>
      </c>
      <c r="I383" t="str">
        <f>IF($AS383="","",Config!$B$16)</f>
        <v/>
      </c>
      <c r="J383" t="str">
        <f>IF($AS383="","",INDEX('TMP Paste'!$A$2:$A$1601,$AS383))</f>
        <v/>
      </c>
      <c r="K383" t="str">
        <f>IF($AS383="","",INDEX('TMP Paste'!$L$2:$L$1601,$AS383))</f>
        <v/>
      </c>
      <c r="L383" t="str">
        <f>IF($AS383="","",INDEX('TMP Paste'!$I$2:$I$1601,$AS383))</f>
        <v/>
      </c>
      <c r="M383" t="str">
        <f>IF($AS383="","",Config!$B$16)</f>
        <v/>
      </c>
      <c r="N383" t="str">
        <f t="shared" si="30"/>
        <v/>
      </c>
      <c r="O383" t="str">
        <f>IF($AS383="","",INDEX('TMP Paste'!$K$2:$K$1601,$AS383))</f>
        <v/>
      </c>
      <c r="P383" t="str">
        <f t="shared" si="31"/>
        <v/>
      </c>
      <c r="Q383" t="str">
        <f>IF($AS383="","",INDEX('TMP Paste'!$J$2:$J$1601,$AS383))</f>
        <v/>
      </c>
      <c r="R383" t="str">
        <f>IF($AS383="","",Config!$B$24)</f>
        <v/>
      </c>
      <c r="S383" t="str">
        <f ca="1">IF($AS383="","",TEXT(Config!$B$4,"yyyy-mm-dd"))</f>
        <v/>
      </c>
      <c r="T383" t="str">
        <f>IF($AS383="","",Config!$B$17)</f>
        <v/>
      </c>
      <c r="U383" t="str">
        <f>IF($AS383="","",Config!$B$18)</f>
        <v/>
      </c>
      <c r="V383" t="str">
        <f>IF($AS383="","",Config!$B$19)</f>
        <v/>
      </c>
      <c r="W383" t="str">
        <f>IF($AS383="","",INDEX('TMP Paste'!$C$2:$C$1601,$AS383))</f>
        <v/>
      </c>
      <c r="X383" t="str">
        <f>IF($AS383="","",Config!$B$29)</f>
        <v/>
      </c>
      <c r="Y383" t="str">
        <f>IF($AT383="","",INDEX(Calc!$I$2:$I$1601,$AT383)&amp;" - "&amp;INDEX(Calc!$D$2:$D$1601,$AT383)&amp;" koli")</f>
        <v/>
      </c>
      <c r="Z383" t="str">
        <f>IF($AS383="","",Config!$B$21)</f>
        <v/>
      </c>
      <c r="AA383" t="str">
        <f>IF($AS383="","",Config!$B$22)</f>
        <v/>
      </c>
      <c r="AB383" t="str">
        <f>IF($AT383="","",INDEX(Calc!$D$2:$D$1601,$AT383))</f>
        <v/>
      </c>
      <c r="AC383" t="str">
        <f>IF($AT383="","",INDEX(Calc!$G$2:$G$1601,$AT383))</f>
        <v/>
      </c>
      <c r="AD383" t="str">
        <f>IF($AS383="","",Config!$B$23)</f>
        <v/>
      </c>
      <c r="AE383" t="str">
        <f>IF($AS383="","",Config!$B$28)</f>
        <v/>
      </c>
      <c r="AF383" t="str">
        <f t="shared" si="32"/>
        <v/>
      </c>
      <c r="AG383" t="str">
        <f t="shared" si="33"/>
        <v/>
      </c>
      <c r="AH383" t="str">
        <f t="shared" si="34"/>
        <v/>
      </c>
      <c r="AI383" t="str">
        <f>IF($AG383="","",SUMIF($AG$2:$AG383,$AG383,$AH$2:$AH383))</f>
        <v/>
      </c>
      <c r="AJ383" t="str">
        <f>IF('TMP Paste'!$F383="","",IF('TMP Paste'!$B383="",$AJ382,'TMP Paste'!$B383))</f>
        <v/>
      </c>
      <c r="AK383" t="str">
        <f>IF('TMP Paste'!$F383="","",N('TMP Paste'!$G383))</f>
        <v/>
      </c>
      <c r="AL383" t="str">
        <f>IF('TMP Paste'!$F383="","",IF('TMP Paste'!$M383="",$AL382,'TMP Paste'!$M383))</f>
        <v/>
      </c>
      <c r="AM383" t="str">
        <f>IF('TMP Paste'!$F383="","",IF('TMP Paste'!$N383="",$AM382,'TMP Paste'!$N383))</f>
        <v/>
      </c>
      <c r="AN383" t="str">
        <f>IF('TMP Paste'!$F383="","",IF('TMP Paste'!$O383="",$AN382,'TMP Paste'!$O383))</f>
        <v/>
      </c>
      <c r="AO383" t="str">
        <f>IF('TMP Paste'!$F383="","",IF('TMP Paste'!$P383="",$AO382,'TMP Paste'!$P383))</f>
        <v/>
      </c>
      <c r="AP383" t="str">
        <f t="shared" si="35"/>
        <v/>
      </c>
      <c r="AQ383" t="str">
        <f>IF($AS383="","",TRIM(IF(COUNTIFS(Calc!$B$2:$B$1601,ROW()-1,Calc!$C$2:$C$1601,"&lt;1")&gt;0,"Ada PO tanpa Koli - cek TMP. ","")&amp;IF(OR($AU383="",$AU383&lt;=0),"Volume kosong/0 - dimensi dikosongkan. ","")&amp;IF(AND($AU383&lt;&gt;"",$AU383&gt;=1000000),"Volume &gt;= 1.000.000 cm3 (di luar aturan) - dimensi dikosongkan. ","")&amp;IF(LEN($R383)&gt;500,"R &gt; 500 karakter.","")))</f>
        <v/>
      </c>
      <c r="AS383" t="str">
        <f>IFERROR(MATCH(ROW()-1,Calc!$J$2:$J$1601,0),"")</f>
        <v/>
      </c>
      <c r="AT383" t="str">
        <f>IFERROR(MATCH(ROW()-1,Calc!$K$2:$K$1601,0),"")</f>
        <v/>
      </c>
      <c r="AU383" t="str">
        <f>IF($AS383="","",IFERROR(INDEX('TMP Paste'!$D$2:$D$1601,$AS383)*1000000/$AB383,""))</f>
        <v/>
      </c>
    </row>
    <row r="384" spans="1:47">
      <c r="A384" t="str">
        <f>IF($AS384="","",INDEX('TMP Paste'!$B$2:$B$1601,$AS384))</f>
        <v/>
      </c>
      <c r="B384" t="str">
        <f>IF($AS384="","",Config!$B$14)</f>
        <v/>
      </c>
      <c r="C384" t="str">
        <f>IF($AS384="","",Config!$B$15)</f>
        <v/>
      </c>
      <c r="D384" t="str">
        <f>IF($AS384="","",INDEX('TMP Paste'!$B$2:$B$1601,$AS384))</f>
        <v/>
      </c>
      <c r="E384" t="str">
        <f>IF($AS384="","",Config!$B$27)</f>
        <v/>
      </c>
      <c r="F384" t="str">
        <f>IF($AS384="","",Config!$B$9)</f>
        <v/>
      </c>
      <c r="G384" t="str">
        <f>IF($AS384="","",Config!$B$10)</f>
        <v/>
      </c>
      <c r="H384" t="str">
        <f>IF($AS384="","",Config!$B$11)</f>
        <v/>
      </c>
      <c r="I384" t="str">
        <f>IF($AS384="","",Config!$B$16)</f>
        <v/>
      </c>
      <c r="J384" t="str">
        <f>IF($AS384="","",INDEX('TMP Paste'!$A$2:$A$1601,$AS384))</f>
        <v/>
      </c>
      <c r="K384" t="str">
        <f>IF($AS384="","",INDEX('TMP Paste'!$L$2:$L$1601,$AS384))</f>
        <v/>
      </c>
      <c r="L384" t="str">
        <f>IF($AS384="","",INDEX('TMP Paste'!$I$2:$I$1601,$AS384))</f>
        <v/>
      </c>
      <c r="M384" t="str">
        <f>IF($AS384="","",Config!$B$16)</f>
        <v/>
      </c>
      <c r="N384" t="str">
        <f t="shared" si="30"/>
        <v/>
      </c>
      <c r="O384" t="str">
        <f>IF($AS384="","",INDEX('TMP Paste'!$K$2:$K$1601,$AS384))</f>
        <v/>
      </c>
      <c r="P384" t="str">
        <f t="shared" si="31"/>
        <v/>
      </c>
      <c r="Q384" t="str">
        <f>IF($AS384="","",INDEX('TMP Paste'!$J$2:$J$1601,$AS384))</f>
        <v/>
      </c>
      <c r="R384" t="str">
        <f>IF($AS384="","",Config!$B$24)</f>
        <v/>
      </c>
      <c r="S384" t="str">
        <f ca="1">IF($AS384="","",TEXT(Config!$B$4,"yyyy-mm-dd"))</f>
        <v/>
      </c>
      <c r="T384" t="str">
        <f>IF($AS384="","",Config!$B$17)</f>
        <v/>
      </c>
      <c r="U384" t="str">
        <f>IF($AS384="","",Config!$B$18)</f>
        <v/>
      </c>
      <c r="V384" t="str">
        <f>IF($AS384="","",Config!$B$19)</f>
        <v/>
      </c>
      <c r="W384" t="str">
        <f>IF($AS384="","",INDEX('TMP Paste'!$C$2:$C$1601,$AS384))</f>
        <v/>
      </c>
      <c r="X384" t="str">
        <f>IF($AS384="","",Config!$B$29)</f>
        <v/>
      </c>
      <c r="Y384" t="str">
        <f>IF($AT384="","",INDEX(Calc!$I$2:$I$1601,$AT384)&amp;" - "&amp;INDEX(Calc!$D$2:$D$1601,$AT384)&amp;" koli")</f>
        <v/>
      </c>
      <c r="Z384" t="str">
        <f>IF($AS384="","",Config!$B$21)</f>
        <v/>
      </c>
      <c r="AA384" t="str">
        <f>IF($AS384="","",Config!$B$22)</f>
        <v/>
      </c>
      <c r="AB384" t="str">
        <f>IF($AT384="","",INDEX(Calc!$D$2:$D$1601,$AT384))</f>
        <v/>
      </c>
      <c r="AC384" t="str">
        <f>IF($AT384="","",INDEX(Calc!$G$2:$G$1601,$AT384))</f>
        <v/>
      </c>
      <c r="AD384" t="str">
        <f>IF($AS384="","",Config!$B$23)</f>
        <v/>
      </c>
      <c r="AE384" t="str">
        <f>IF($AS384="","",Config!$B$28)</f>
        <v/>
      </c>
      <c r="AF384" t="str">
        <f t="shared" si="32"/>
        <v/>
      </c>
      <c r="AG384" t="str">
        <f t="shared" si="33"/>
        <v/>
      </c>
      <c r="AH384" t="str">
        <f t="shared" si="34"/>
        <v/>
      </c>
      <c r="AI384" t="str">
        <f>IF($AG384="","",SUMIF($AG$2:$AG384,$AG384,$AH$2:$AH384))</f>
        <v/>
      </c>
      <c r="AJ384" t="str">
        <f>IF('TMP Paste'!$F384="","",IF('TMP Paste'!$B384="",$AJ383,'TMP Paste'!$B384))</f>
        <v/>
      </c>
      <c r="AK384" t="str">
        <f>IF('TMP Paste'!$F384="","",N('TMP Paste'!$G384))</f>
        <v/>
      </c>
      <c r="AL384" t="str">
        <f>IF('TMP Paste'!$F384="","",IF('TMP Paste'!$M384="",$AL383,'TMP Paste'!$M384))</f>
        <v/>
      </c>
      <c r="AM384" t="str">
        <f>IF('TMP Paste'!$F384="","",IF('TMP Paste'!$N384="",$AM383,'TMP Paste'!$N384))</f>
        <v/>
      </c>
      <c r="AN384" t="str">
        <f>IF('TMP Paste'!$F384="","",IF('TMP Paste'!$O384="",$AN383,'TMP Paste'!$O384))</f>
        <v/>
      </c>
      <c r="AO384" t="str">
        <f>IF('TMP Paste'!$F384="","",IF('TMP Paste'!$P384="",$AO383,'TMP Paste'!$P384))</f>
        <v/>
      </c>
      <c r="AP384" t="str">
        <f t="shared" si="35"/>
        <v/>
      </c>
      <c r="AQ384" t="str">
        <f>IF($AS384="","",TRIM(IF(COUNTIFS(Calc!$B$2:$B$1601,ROW()-1,Calc!$C$2:$C$1601,"&lt;1")&gt;0,"Ada PO tanpa Koli - cek TMP. ","")&amp;IF(OR($AU384="",$AU384&lt;=0),"Volume kosong/0 - dimensi dikosongkan. ","")&amp;IF(AND($AU384&lt;&gt;"",$AU384&gt;=1000000),"Volume &gt;= 1.000.000 cm3 (di luar aturan) - dimensi dikosongkan. ","")&amp;IF(LEN($R384)&gt;500,"R &gt; 500 karakter.","")))</f>
        <v/>
      </c>
      <c r="AS384" t="str">
        <f>IFERROR(MATCH(ROW()-1,Calc!$J$2:$J$1601,0),"")</f>
        <v/>
      </c>
      <c r="AT384" t="str">
        <f>IFERROR(MATCH(ROW()-1,Calc!$K$2:$K$1601,0),"")</f>
        <v/>
      </c>
      <c r="AU384" t="str">
        <f>IF($AS384="","",IFERROR(INDEX('TMP Paste'!$D$2:$D$1601,$AS384)*1000000/$AB384,""))</f>
        <v/>
      </c>
    </row>
    <row r="385" spans="1:47">
      <c r="A385" t="str">
        <f>IF($AS385="","",INDEX('TMP Paste'!$B$2:$B$1601,$AS385))</f>
        <v/>
      </c>
      <c r="B385" t="str">
        <f>IF($AS385="","",Config!$B$14)</f>
        <v/>
      </c>
      <c r="C385" t="str">
        <f>IF($AS385="","",Config!$B$15)</f>
        <v/>
      </c>
      <c r="D385" t="str">
        <f>IF($AS385="","",INDEX('TMP Paste'!$B$2:$B$1601,$AS385))</f>
        <v/>
      </c>
      <c r="E385" t="str">
        <f>IF($AS385="","",Config!$B$27)</f>
        <v/>
      </c>
      <c r="F385" t="str">
        <f>IF($AS385="","",Config!$B$9)</f>
        <v/>
      </c>
      <c r="G385" t="str">
        <f>IF($AS385="","",Config!$B$10)</f>
        <v/>
      </c>
      <c r="H385" t="str">
        <f>IF($AS385="","",Config!$B$11)</f>
        <v/>
      </c>
      <c r="I385" t="str">
        <f>IF($AS385="","",Config!$B$16)</f>
        <v/>
      </c>
      <c r="J385" t="str">
        <f>IF($AS385="","",INDEX('TMP Paste'!$A$2:$A$1601,$AS385))</f>
        <v/>
      </c>
      <c r="K385" t="str">
        <f>IF($AS385="","",INDEX('TMP Paste'!$L$2:$L$1601,$AS385))</f>
        <v/>
      </c>
      <c r="L385" t="str">
        <f>IF($AS385="","",INDEX('TMP Paste'!$I$2:$I$1601,$AS385))</f>
        <v/>
      </c>
      <c r="M385" t="str">
        <f>IF($AS385="","",Config!$B$16)</f>
        <v/>
      </c>
      <c r="N385" t="str">
        <f t="shared" si="30"/>
        <v/>
      </c>
      <c r="O385" t="str">
        <f>IF($AS385="","",INDEX('TMP Paste'!$K$2:$K$1601,$AS385))</f>
        <v/>
      </c>
      <c r="P385" t="str">
        <f t="shared" si="31"/>
        <v/>
      </c>
      <c r="Q385" t="str">
        <f>IF($AS385="","",INDEX('TMP Paste'!$J$2:$J$1601,$AS385))</f>
        <v/>
      </c>
      <c r="R385" t="str">
        <f>IF($AS385="","",Config!$B$24)</f>
        <v/>
      </c>
      <c r="S385" t="str">
        <f ca="1">IF($AS385="","",TEXT(Config!$B$4,"yyyy-mm-dd"))</f>
        <v/>
      </c>
      <c r="T385" t="str">
        <f>IF($AS385="","",Config!$B$17)</f>
        <v/>
      </c>
      <c r="U385" t="str">
        <f>IF($AS385="","",Config!$B$18)</f>
        <v/>
      </c>
      <c r="V385" t="str">
        <f>IF($AS385="","",Config!$B$19)</f>
        <v/>
      </c>
      <c r="W385" t="str">
        <f>IF($AS385="","",INDEX('TMP Paste'!$C$2:$C$1601,$AS385))</f>
        <v/>
      </c>
      <c r="X385" t="str">
        <f>IF($AS385="","",Config!$B$29)</f>
        <v/>
      </c>
      <c r="Y385" t="str">
        <f>IF($AT385="","",INDEX(Calc!$I$2:$I$1601,$AT385)&amp;" - "&amp;INDEX(Calc!$D$2:$D$1601,$AT385)&amp;" koli")</f>
        <v/>
      </c>
      <c r="Z385" t="str">
        <f>IF($AS385="","",Config!$B$21)</f>
        <v/>
      </c>
      <c r="AA385" t="str">
        <f>IF($AS385="","",Config!$B$22)</f>
        <v/>
      </c>
      <c r="AB385" t="str">
        <f>IF($AT385="","",INDEX(Calc!$D$2:$D$1601,$AT385))</f>
        <v/>
      </c>
      <c r="AC385" t="str">
        <f>IF($AT385="","",INDEX(Calc!$G$2:$G$1601,$AT385))</f>
        <v/>
      </c>
      <c r="AD385" t="str">
        <f>IF($AS385="","",Config!$B$23)</f>
        <v/>
      </c>
      <c r="AE385" t="str">
        <f>IF($AS385="","",Config!$B$28)</f>
        <v/>
      </c>
      <c r="AF385" t="str">
        <f t="shared" si="32"/>
        <v/>
      </c>
      <c r="AG385" t="str">
        <f t="shared" si="33"/>
        <v/>
      </c>
      <c r="AH385" t="str">
        <f t="shared" si="34"/>
        <v/>
      </c>
      <c r="AI385" t="str">
        <f>IF($AG385="","",SUMIF($AG$2:$AG385,$AG385,$AH$2:$AH385))</f>
        <v/>
      </c>
      <c r="AJ385" t="str">
        <f>IF('TMP Paste'!$F385="","",IF('TMP Paste'!$B385="",$AJ384,'TMP Paste'!$B385))</f>
        <v/>
      </c>
      <c r="AK385" t="str">
        <f>IF('TMP Paste'!$F385="","",N('TMP Paste'!$G385))</f>
        <v/>
      </c>
      <c r="AL385" t="str">
        <f>IF('TMP Paste'!$F385="","",IF('TMP Paste'!$M385="",$AL384,'TMP Paste'!$M385))</f>
        <v/>
      </c>
      <c r="AM385" t="str">
        <f>IF('TMP Paste'!$F385="","",IF('TMP Paste'!$N385="",$AM384,'TMP Paste'!$N385))</f>
        <v/>
      </c>
      <c r="AN385" t="str">
        <f>IF('TMP Paste'!$F385="","",IF('TMP Paste'!$O385="",$AN384,'TMP Paste'!$O385))</f>
        <v/>
      </c>
      <c r="AO385" t="str">
        <f>IF('TMP Paste'!$F385="","",IF('TMP Paste'!$P385="",$AO384,'TMP Paste'!$P385))</f>
        <v/>
      </c>
      <c r="AP385" t="str">
        <f t="shared" si="35"/>
        <v/>
      </c>
      <c r="AQ385" t="str">
        <f>IF($AS385="","",TRIM(IF(COUNTIFS(Calc!$B$2:$B$1601,ROW()-1,Calc!$C$2:$C$1601,"&lt;1")&gt;0,"Ada PO tanpa Koli - cek TMP. ","")&amp;IF(OR($AU385="",$AU385&lt;=0),"Volume kosong/0 - dimensi dikosongkan. ","")&amp;IF(AND($AU385&lt;&gt;"",$AU385&gt;=1000000),"Volume &gt;= 1.000.000 cm3 (di luar aturan) - dimensi dikosongkan. ","")&amp;IF(LEN($R385)&gt;500,"R &gt; 500 karakter.","")))</f>
        <v/>
      </c>
      <c r="AS385" t="str">
        <f>IFERROR(MATCH(ROW()-1,Calc!$J$2:$J$1601,0),"")</f>
        <v/>
      </c>
      <c r="AT385" t="str">
        <f>IFERROR(MATCH(ROW()-1,Calc!$K$2:$K$1601,0),"")</f>
        <v/>
      </c>
      <c r="AU385" t="str">
        <f>IF($AS385="","",IFERROR(INDEX('TMP Paste'!$D$2:$D$1601,$AS385)*1000000/$AB385,""))</f>
        <v/>
      </c>
    </row>
    <row r="386" spans="1:47">
      <c r="A386" t="str">
        <f>IF($AS386="","",INDEX('TMP Paste'!$B$2:$B$1601,$AS386))</f>
        <v/>
      </c>
      <c r="B386" t="str">
        <f>IF($AS386="","",Config!$B$14)</f>
        <v/>
      </c>
      <c r="C386" t="str">
        <f>IF($AS386="","",Config!$B$15)</f>
        <v/>
      </c>
      <c r="D386" t="str">
        <f>IF($AS386="","",INDEX('TMP Paste'!$B$2:$B$1601,$AS386))</f>
        <v/>
      </c>
      <c r="E386" t="str">
        <f>IF($AS386="","",Config!$B$27)</f>
        <v/>
      </c>
      <c r="F386" t="str">
        <f>IF($AS386="","",Config!$B$9)</f>
        <v/>
      </c>
      <c r="G386" t="str">
        <f>IF($AS386="","",Config!$B$10)</f>
        <v/>
      </c>
      <c r="H386" t="str">
        <f>IF($AS386="","",Config!$B$11)</f>
        <v/>
      </c>
      <c r="I386" t="str">
        <f>IF($AS386="","",Config!$B$16)</f>
        <v/>
      </c>
      <c r="J386" t="str">
        <f>IF($AS386="","",INDEX('TMP Paste'!$A$2:$A$1601,$AS386))</f>
        <v/>
      </c>
      <c r="K386" t="str">
        <f>IF($AS386="","",INDEX('TMP Paste'!$L$2:$L$1601,$AS386))</f>
        <v/>
      </c>
      <c r="L386" t="str">
        <f>IF($AS386="","",INDEX('TMP Paste'!$I$2:$I$1601,$AS386))</f>
        <v/>
      </c>
      <c r="M386" t="str">
        <f>IF($AS386="","",Config!$B$16)</f>
        <v/>
      </c>
      <c r="N386" t="str">
        <f t="shared" ref="N386:N449" si="36">IF($AS386="","","")</f>
        <v/>
      </c>
      <c r="O386" t="str">
        <f>IF($AS386="","",INDEX('TMP Paste'!$K$2:$K$1601,$AS386))</f>
        <v/>
      </c>
      <c r="P386" t="str">
        <f t="shared" ref="P386:P449" si="37">IF($AS386="","","")</f>
        <v/>
      </c>
      <c r="Q386" t="str">
        <f>IF($AS386="","",INDEX('TMP Paste'!$J$2:$J$1601,$AS386))</f>
        <v/>
      </c>
      <c r="R386" t="str">
        <f>IF($AS386="","",Config!$B$24)</f>
        <v/>
      </c>
      <c r="S386" t="str">
        <f ca="1">IF($AS386="","",TEXT(Config!$B$4,"yyyy-mm-dd"))</f>
        <v/>
      </c>
      <c r="T386" t="str">
        <f>IF($AS386="","",Config!$B$17)</f>
        <v/>
      </c>
      <c r="U386" t="str">
        <f>IF($AS386="","",Config!$B$18)</f>
        <v/>
      </c>
      <c r="V386" t="str">
        <f>IF($AS386="","",Config!$B$19)</f>
        <v/>
      </c>
      <c r="W386" t="str">
        <f>IF($AS386="","",INDEX('TMP Paste'!$C$2:$C$1601,$AS386))</f>
        <v/>
      </c>
      <c r="X386" t="str">
        <f>IF($AS386="","",Config!$B$29)</f>
        <v/>
      </c>
      <c r="Y386" t="str">
        <f>IF($AT386="","",INDEX(Calc!$I$2:$I$1601,$AT386)&amp;" - "&amp;INDEX(Calc!$D$2:$D$1601,$AT386)&amp;" koli")</f>
        <v/>
      </c>
      <c r="Z386" t="str">
        <f>IF($AS386="","",Config!$B$21)</f>
        <v/>
      </c>
      <c r="AA386" t="str">
        <f>IF($AS386="","",Config!$B$22)</f>
        <v/>
      </c>
      <c r="AB386" t="str">
        <f>IF($AT386="","",INDEX(Calc!$D$2:$D$1601,$AT386))</f>
        <v/>
      </c>
      <c r="AC386" t="str">
        <f>IF($AT386="","",INDEX(Calc!$G$2:$G$1601,$AT386))</f>
        <v/>
      </c>
      <c r="AD386" t="str">
        <f>IF($AS386="","",Config!$B$23)</f>
        <v/>
      </c>
      <c r="AE386" t="str">
        <f>IF($AS386="","",Config!$B$28)</f>
        <v/>
      </c>
      <c r="AF386" t="str">
        <f t="shared" ref="AF386:AF449" si="38">IF($AS386="","",IF(OR($AU386="",$AU386&lt;=0,$AU386&gt;=1000000),"",IF($AU386&lt;10000,10,100)))</f>
        <v/>
      </c>
      <c r="AG386" t="str">
        <f t="shared" ref="AG386:AG449" si="39">IF($AS386="","",IF(OR($AU386="",$AU386&lt;=0,$AU386&gt;=1000000),"",IF($AU386&lt;10000,$AU386/100,IF($AU386&lt;100000,$AU386/1000,$AU386/10000))))</f>
        <v/>
      </c>
      <c r="AH386" t="str">
        <f t="shared" ref="AH386:AH449" si="40">IF($AS386="","",IF(OR($AU386="",$AU386&lt;=0,$AU386&gt;=1000000),"",IF($AU386&lt;100000,10,100)))</f>
        <v/>
      </c>
      <c r="AI386" t="str">
        <f>IF($AG386="","",SUMIF($AG$2:$AG386,$AG386,$AH$2:$AH386))</f>
        <v/>
      </c>
      <c r="AJ386" t="str">
        <f>IF('TMP Paste'!$F386="","",IF('TMP Paste'!$B386="",$AJ385,'TMP Paste'!$B386))</f>
        <v/>
      </c>
      <c r="AK386" t="str">
        <f>IF('TMP Paste'!$F386="","",N('TMP Paste'!$G386))</f>
        <v/>
      </c>
      <c r="AL386" t="str">
        <f>IF('TMP Paste'!$F386="","",IF('TMP Paste'!$M386="",$AL385,'TMP Paste'!$M386))</f>
        <v/>
      </c>
      <c r="AM386" t="str">
        <f>IF('TMP Paste'!$F386="","",IF('TMP Paste'!$N386="",$AM385,'TMP Paste'!$N386))</f>
        <v/>
      </c>
      <c r="AN386" t="str">
        <f>IF('TMP Paste'!$F386="","",IF('TMP Paste'!$O386="",$AN385,'TMP Paste'!$O386))</f>
        <v/>
      </c>
      <c r="AO386" t="str">
        <f>IF('TMP Paste'!$F386="","",IF('TMP Paste'!$P386="",$AO385,'TMP Paste'!$P386))</f>
        <v/>
      </c>
      <c r="AP386" t="str">
        <f t="shared" ref="AP386:AP449" si="41">IF($AG386="","",LEN($R386))</f>
        <v/>
      </c>
      <c r="AQ386" t="str">
        <f>IF($AS386="","",TRIM(IF(COUNTIFS(Calc!$B$2:$B$1601,ROW()-1,Calc!$C$2:$C$1601,"&lt;1")&gt;0,"Ada PO tanpa Koli - cek TMP. ","")&amp;IF(OR($AU386="",$AU386&lt;=0),"Volume kosong/0 - dimensi dikosongkan. ","")&amp;IF(AND($AU386&lt;&gt;"",$AU386&gt;=1000000),"Volume &gt;= 1.000.000 cm3 (di luar aturan) - dimensi dikosongkan. ","")&amp;IF(LEN($R386)&gt;500,"R &gt; 500 karakter.","")))</f>
        <v/>
      </c>
      <c r="AS386" t="str">
        <f>IFERROR(MATCH(ROW()-1,Calc!$J$2:$J$1601,0),"")</f>
        <v/>
      </c>
      <c r="AT386" t="str">
        <f>IFERROR(MATCH(ROW()-1,Calc!$K$2:$K$1601,0),"")</f>
        <v/>
      </c>
      <c r="AU386" t="str">
        <f>IF($AS386="","",IFERROR(INDEX('TMP Paste'!$D$2:$D$1601,$AS386)*1000000/$AB386,""))</f>
        <v/>
      </c>
    </row>
    <row r="387" spans="1:47">
      <c r="A387" t="str">
        <f>IF($AS387="","",INDEX('TMP Paste'!$B$2:$B$1601,$AS387))</f>
        <v/>
      </c>
      <c r="B387" t="str">
        <f>IF($AS387="","",Config!$B$14)</f>
        <v/>
      </c>
      <c r="C387" t="str">
        <f>IF($AS387="","",Config!$B$15)</f>
        <v/>
      </c>
      <c r="D387" t="str">
        <f>IF($AS387="","",INDEX('TMP Paste'!$B$2:$B$1601,$AS387))</f>
        <v/>
      </c>
      <c r="E387" t="str">
        <f>IF($AS387="","",Config!$B$27)</f>
        <v/>
      </c>
      <c r="F387" t="str">
        <f>IF($AS387="","",Config!$B$9)</f>
        <v/>
      </c>
      <c r="G387" t="str">
        <f>IF($AS387="","",Config!$B$10)</f>
        <v/>
      </c>
      <c r="H387" t="str">
        <f>IF($AS387="","",Config!$B$11)</f>
        <v/>
      </c>
      <c r="I387" t="str">
        <f>IF($AS387="","",Config!$B$16)</f>
        <v/>
      </c>
      <c r="J387" t="str">
        <f>IF($AS387="","",INDEX('TMP Paste'!$A$2:$A$1601,$AS387))</f>
        <v/>
      </c>
      <c r="K387" t="str">
        <f>IF($AS387="","",INDEX('TMP Paste'!$L$2:$L$1601,$AS387))</f>
        <v/>
      </c>
      <c r="L387" t="str">
        <f>IF($AS387="","",INDEX('TMP Paste'!$I$2:$I$1601,$AS387))</f>
        <v/>
      </c>
      <c r="M387" t="str">
        <f>IF($AS387="","",Config!$B$16)</f>
        <v/>
      </c>
      <c r="N387" t="str">
        <f t="shared" si="36"/>
        <v/>
      </c>
      <c r="O387" t="str">
        <f>IF($AS387="","",INDEX('TMP Paste'!$K$2:$K$1601,$AS387))</f>
        <v/>
      </c>
      <c r="P387" t="str">
        <f t="shared" si="37"/>
        <v/>
      </c>
      <c r="Q387" t="str">
        <f>IF($AS387="","",INDEX('TMP Paste'!$J$2:$J$1601,$AS387))</f>
        <v/>
      </c>
      <c r="R387" t="str">
        <f>IF($AS387="","",Config!$B$24)</f>
        <v/>
      </c>
      <c r="S387" t="str">
        <f ca="1">IF($AS387="","",TEXT(Config!$B$4,"yyyy-mm-dd"))</f>
        <v/>
      </c>
      <c r="T387" t="str">
        <f>IF($AS387="","",Config!$B$17)</f>
        <v/>
      </c>
      <c r="U387" t="str">
        <f>IF($AS387="","",Config!$B$18)</f>
        <v/>
      </c>
      <c r="V387" t="str">
        <f>IF($AS387="","",Config!$B$19)</f>
        <v/>
      </c>
      <c r="W387" t="str">
        <f>IF($AS387="","",INDEX('TMP Paste'!$C$2:$C$1601,$AS387))</f>
        <v/>
      </c>
      <c r="X387" t="str">
        <f>IF($AS387="","",Config!$B$29)</f>
        <v/>
      </c>
      <c r="Y387" t="str">
        <f>IF($AT387="","",INDEX(Calc!$I$2:$I$1601,$AT387)&amp;" - "&amp;INDEX(Calc!$D$2:$D$1601,$AT387)&amp;" koli")</f>
        <v/>
      </c>
      <c r="Z387" t="str">
        <f>IF($AS387="","",Config!$B$21)</f>
        <v/>
      </c>
      <c r="AA387" t="str">
        <f>IF($AS387="","",Config!$B$22)</f>
        <v/>
      </c>
      <c r="AB387" t="str">
        <f>IF($AT387="","",INDEX(Calc!$D$2:$D$1601,$AT387))</f>
        <v/>
      </c>
      <c r="AC387" t="str">
        <f>IF($AT387="","",INDEX(Calc!$G$2:$G$1601,$AT387))</f>
        <v/>
      </c>
      <c r="AD387" t="str">
        <f>IF($AS387="","",Config!$B$23)</f>
        <v/>
      </c>
      <c r="AE387" t="str">
        <f>IF($AS387="","",Config!$B$28)</f>
        <v/>
      </c>
      <c r="AF387" t="str">
        <f t="shared" si="38"/>
        <v/>
      </c>
      <c r="AG387" t="str">
        <f t="shared" si="39"/>
        <v/>
      </c>
      <c r="AH387" t="str">
        <f t="shared" si="40"/>
        <v/>
      </c>
      <c r="AI387" t="str">
        <f>IF($AG387="","",SUMIF($AG$2:$AG387,$AG387,$AH$2:$AH387))</f>
        <v/>
      </c>
      <c r="AJ387" t="str">
        <f>IF('TMP Paste'!$F387="","",IF('TMP Paste'!$B387="",$AJ386,'TMP Paste'!$B387))</f>
        <v/>
      </c>
      <c r="AK387" t="str">
        <f>IF('TMP Paste'!$F387="","",N('TMP Paste'!$G387))</f>
        <v/>
      </c>
      <c r="AL387" t="str">
        <f>IF('TMP Paste'!$F387="","",IF('TMP Paste'!$M387="",$AL386,'TMP Paste'!$M387))</f>
        <v/>
      </c>
      <c r="AM387" t="str">
        <f>IF('TMP Paste'!$F387="","",IF('TMP Paste'!$N387="",$AM386,'TMP Paste'!$N387))</f>
        <v/>
      </c>
      <c r="AN387" t="str">
        <f>IF('TMP Paste'!$F387="","",IF('TMP Paste'!$O387="",$AN386,'TMP Paste'!$O387))</f>
        <v/>
      </c>
      <c r="AO387" t="str">
        <f>IF('TMP Paste'!$F387="","",IF('TMP Paste'!$P387="",$AO386,'TMP Paste'!$P387))</f>
        <v/>
      </c>
      <c r="AP387" t="str">
        <f t="shared" si="41"/>
        <v/>
      </c>
      <c r="AQ387" t="str">
        <f>IF($AS387="","",TRIM(IF(COUNTIFS(Calc!$B$2:$B$1601,ROW()-1,Calc!$C$2:$C$1601,"&lt;1")&gt;0,"Ada PO tanpa Koli - cek TMP. ","")&amp;IF(OR($AU387="",$AU387&lt;=0),"Volume kosong/0 - dimensi dikosongkan. ","")&amp;IF(AND($AU387&lt;&gt;"",$AU387&gt;=1000000),"Volume &gt;= 1.000.000 cm3 (di luar aturan) - dimensi dikosongkan. ","")&amp;IF(LEN($R387)&gt;500,"R &gt; 500 karakter.","")))</f>
        <v/>
      </c>
      <c r="AS387" t="str">
        <f>IFERROR(MATCH(ROW()-1,Calc!$J$2:$J$1601,0),"")</f>
        <v/>
      </c>
      <c r="AT387" t="str">
        <f>IFERROR(MATCH(ROW()-1,Calc!$K$2:$K$1601,0),"")</f>
        <v/>
      </c>
      <c r="AU387" t="str">
        <f>IF($AS387="","",IFERROR(INDEX('TMP Paste'!$D$2:$D$1601,$AS387)*1000000/$AB387,""))</f>
        <v/>
      </c>
    </row>
    <row r="388" spans="1:47">
      <c r="A388" t="str">
        <f>IF($AS388="","",INDEX('TMP Paste'!$B$2:$B$1601,$AS388))</f>
        <v/>
      </c>
      <c r="B388" t="str">
        <f>IF($AS388="","",Config!$B$14)</f>
        <v/>
      </c>
      <c r="C388" t="str">
        <f>IF($AS388="","",Config!$B$15)</f>
        <v/>
      </c>
      <c r="D388" t="str">
        <f>IF($AS388="","",INDEX('TMP Paste'!$B$2:$B$1601,$AS388))</f>
        <v/>
      </c>
      <c r="E388" t="str">
        <f>IF($AS388="","",Config!$B$27)</f>
        <v/>
      </c>
      <c r="F388" t="str">
        <f>IF($AS388="","",Config!$B$9)</f>
        <v/>
      </c>
      <c r="G388" t="str">
        <f>IF($AS388="","",Config!$B$10)</f>
        <v/>
      </c>
      <c r="H388" t="str">
        <f>IF($AS388="","",Config!$B$11)</f>
        <v/>
      </c>
      <c r="I388" t="str">
        <f>IF($AS388="","",Config!$B$16)</f>
        <v/>
      </c>
      <c r="J388" t="str">
        <f>IF($AS388="","",INDEX('TMP Paste'!$A$2:$A$1601,$AS388))</f>
        <v/>
      </c>
      <c r="K388" t="str">
        <f>IF($AS388="","",INDEX('TMP Paste'!$L$2:$L$1601,$AS388))</f>
        <v/>
      </c>
      <c r="L388" t="str">
        <f>IF($AS388="","",INDEX('TMP Paste'!$I$2:$I$1601,$AS388))</f>
        <v/>
      </c>
      <c r="M388" t="str">
        <f>IF($AS388="","",Config!$B$16)</f>
        <v/>
      </c>
      <c r="N388" t="str">
        <f t="shared" si="36"/>
        <v/>
      </c>
      <c r="O388" t="str">
        <f>IF($AS388="","",INDEX('TMP Paste'!$K$2:$K$1601,$AS388))</f>
        <v/>
      </c>
      <c r="P388" t="str">
        <f t="shared" si="37"/>
        <v/>
      </c>
      <c r="Q388" t="str">
        <f>IF($AS388="","",INDEX('TMP Paste'!$J$2:$J$1601,$AS388))</f>
        <v/>
      </c>
      <c r="R388" t="str">
        <f>IF($AS388="","",Config!$B$24)</f>
        <v/>
      </c>
      <c r="S388" t="str">
        <f ca="1">IF($AS388="","",TEXT(Config!$B$4,"yyyy-mm-dd"))</f>
        <v/>
      </c>
      <c r="T388" t="str">
        <f>IF($AS388="","",Config!$B$17)</f>
        <v/>
      </c>
      <c r="U388" t="str">
        <f>IF($AS388="","",Config!$B$18)</f>
        <v/>
      </c>
      <c r="V388" t="str">
        <f>IF($AS388="","",Config!$B$19)</f>
        <v/>
      </c>
      <c r="W388" t="str">
        <f>IF($AS388="","",INDEX('TMP Paste'!$C$2:$C$1601,$AS388))</f>
        <v/>
      </c>
      <c r="X388" t="str">
        <f>IF($AS388="","",Config!$B$29)</f>
        <v/>
      </c>
      <c r="Y388" t="str">
        <f>IF($AT388="","",INDEX(Calc!$I$2:$I$1601,$AT388)&amp;" - "&amp;INDEX(Calc!$D$2:$D$1601,$AT388)&amp;" koli")</f>
        <v/>
      </c>
      <c r="Z388" t="str">
        <f>IF($AS388="","",Config!$B$21)</f>
        <v/>
      </c>
      <c r="AA388" t="str">
        <f>IF($AS388="","",Config!$B$22)</f>
        <v/>
      </c>
      <c r="AB388" t="str">
        <f>IF($AT388="","",INDEX(Calc!$D$2:$D$1601,$AT388))</f>
        <v/>
      </c>
      <c r="AC388" t="str">
        <f>IF($AT388="","",INDEX(Calc!$G$2:$G$1601,$AT388))</f>
        <v/>
      </c>
      <c r="AD388" t="str">
        <f>IF($AS388="","",Config!$B$23)</f>
        <v/>
      </c>
      <c r="AE388" t="str">
        <f>IF($AS388="","",Config!$B$28)</f>
        <v/>
      </c>
      <c r="AF388" t="str">
        <f t="shared" si="38"/>
        <v/>
      </c>
      <c r="AG388" t="str">
        <f t="shared" si="39"/>
        <v/>
      </c>
      <c r="AH388" t="str">
        <f t="shared" si="40"/>
        <v/>
      </c>
      <c r="AI388" t="str">
        <f>IF($AG388="","",SUMIF($AG$2:$AG388,$AG388,$AH$2:$AH388))</f>
        <v/>
      </c>
      <c r="AJ388" t="str">
        <f>IF('TMP Paste'!$F388="","",IF('TMP Paste'!$B388="",$AJ387,'TMP Paste'!$B388))</f>
        <v/>
      </c>
      <c r="AK388" t="str">
        <f>IF('TMP Paste'!$F388="","",N('TMP Paste'!$G388))</f>
        <v/>
      </c>
      <c r="AL388" t="str">
        <f>IF('TMP Paste'!$F388="","",IF('TMP Paste'!$M388="",$AL387,'TMP Paste'!$M388))</f>
        <v/>
      </c>
      <c r="AM388" t="str">
        <f>IF('TMP Paste'!$F388="","",IF('TMP Paste'!$N388="",$AM387,'TMP Paste'!$N388))</f>
        <v/>
      </c>
      <c r="AN388" t="str">
        <f>IF('TMP Paste'!$F388="","",IF('TMP Paste'!$O388="",$AN387,'TMP Paste'!$O388))</f>
        <v/>
      </c>
      <c r="AO388" t="str">
        <f>IF('TMP Paste'!$F388="","",IF('TMP Paste'!$P388="",$AO387,'TMP Paste'!$P388))</f>
        <v/>
      </c>
      <c r="AP388" t="str">
        <f t="shared" si="41"/>
        <v/>
      </c>
      <c r="AQ388" t="str">
        <f>IF($AS388="","",TRIM(IF(COUNTIFS(Calc!$B$2:$B$1601,ROW()-1,Calc!$C$2:$C$1601,"&lt;1")&gt;0,"Ada PO tanpa Koli - cek TMP. ","")&amp;IF(OR($AU388="",$AU388&lt;=0),"Volume kosong/0 - dimensi dikosongkan. ","")&amp;IF(AND($AU388&lt;&gt;"",$AU388&gt;=1000000),"Volume &gt;= 1.000.000 cm3 (di luar aturan) - dimensi dikosongkan. ","")&amp;IF(LEN($R388)&gt;500,"R &gt; 500 karakter.","")))</f>
        <v/>
      </c>
      <c r="AS388" t="str">
        <f>IFERROR(MATCH(ROW()-1,Calc!$J$2:$J$1601,0),"")</f>
        <v/>
      </c>
      <c r="AT388" t="str">
        <f>IFERROR(MATCH(ROW()-1,Calc!$K$2:$K$1601,0),"")</f>
        <v/>
      </c>
      <c r="AU388" t="str">
        <f>IF($AS388="","",IFERROR(INDEX('TMP Paste'!$D$2:$D$1601,$AS388)*1000000/$AB388,""))</f>
        <v/>
      </c>
    </row>
    <row r="389" spans="1:47">
      <c r="A389" t="str">
        <f>IF($AS389="","",INDEX('TMP Paste'!$B$2:$B$1601,$AS389))</f>
        <v/>
      </c>
      <c r="B389" t="str">
        <f>IF($AS389="","",Config!$B$14)</f>
        <v/>
      </c>
      <c r="C389" t="str">
        <f>IF($AS389="","",Config!$B$15)</f>
        <v/>
      </c>
      <c r="D389" t="str">
        <f>IF($AS389="","",INDEX('TMP Paste'!$B$2:$B$1601,$AS389))</f>
        <v/>
      </c>
      <c r="E389" t="str">
        <f>IF($AS389="","",Config!$B$27)</f>
        <v/>
      </c>
      <c r="F389" t="str">
        <f>IF($AS389="","",Config!$B$9)</f>
        <v/>
      </c>
      <c r="G389" t="str">
        <f>IF($AS389="","",Config!$B$10)</f>
        <v/>
      </c>
      <c r="H389" t="str">
        <f>IF($AS389="","",Config!$B$11)</f>
        <v/>
      </c>
      <c r="I389" t="str">
        <f>IF($AS389="","",Config!$B$16)</f>
        <v/>
      </c>
      <c r="J389" t="str">
        <f>IF($AS389="","",INDEX('TMP Paste'!$A$2:$A$1601,$AS389))</f>
        <v/>
      </c>
      <c r="K389" t="str">
        <f>IF($AS389="","",INDEX('TMP Paste'!$L$2:$L$1601,$AS389))</f>
        <v/>
      </c>
      <c r="L389" t="str">
        <f>IF($AS389="","",INDEX('TMP Paste'!$I$2:$I$1601,$AS389))</f>
        <v/>
      </c>
      <c r="M389" t="str">
        <f>IF($AS389="","",Config!$B$16)</f>
        <v/>
      </c>
      <c r="N389" t="str">
        <f t="shared" si="36"/>
        <v/>
      </c>
      <c r="O389" t="str">
        <f>IF($AS389="","",INDEX('TMP Paste'!$K$2:$K$1601,$AS389))</f>
        <v/>
      </c>
      <c r="P389" t="str">
        <f t="shared" si="37"/>
        <v/>
      </c>
      <c r="Q389" t="str">
        <f>IF($AS389="","",INDEX('TMP Paste'!$J$2:$J$1601,$AS389))</f>
        <v/>
      </c>
      <c r="R389" t="str">
        <f>IF($AS389="","",Config!$B$24)</f>
        <v/>
      </c>
      <c r="S389" t="str">
        <f ca="1">IF($AS389="","",TEXT(Config!$B$4,"yyyy-mm-dd"))</f>
        <v/>
      </c>
      <c r="T389" t="str">
        <f>IF($AS389="","",Config!$B$17)</f>
        <v/>
      </c>
      <c r="U389" t="str">
        <f>IF($AS389="","",Config!$B$18)</f>
        <v/>
      </c>
      <c r="V389" t="str">
        <f>IF($AS389="","",Config!$B$19)</f>
        <v/>
      </c>
      <c r="W389" t="str">
        <f>IF($AS389="","",INDEX('TMP Paste'!$C$2:$C$1601,$AS389))</f>
        <v/>
      </c>
      <c r="X389" t="str">
        <f>IF($AS389="","",Config!$B$29)</f>
        <v/>
      </c>
      <c r="Y389" t="str">
        <f>IF($AT389="","",INDEX(Calc!$I$2:$I$1601,$AT389)&amp;" - "&amp;INDEX(Calc!$D$2:$D$1601,$AT389)&amp;" koli")</f>
        <v/>
      </c>
      <c r="Z389" t="str">
        <f>IF($AS389="","",Config!$B$21)</f>
        <v/>
      </c>
      <c r="AA389" t="str">
        <f>IF($AS389="","",Config!$B$22)</f>
        <v/>
      </c>
      <c r="AB389" t="str">
        <f>IF($AT389="","",INDEX(Calc!$D$2:$D$1601,$AT389))</f>
        <v/>
      </c>
      <c r="AC389" t="str">
        <f>IF($AT389="","",INDEX(Calc!$G$2:$G$1601,$AT389))</f>
        <v/>
      </c>
      <c r="AD389" t="str">
        <f>IF($AS389="","",Config!$B$23)</f>
        <v/>
      </c>
      <c r="AE389" t="str">
        <f>IF($AS389="","",Config!$B$28)</f>
        <v/>
      </c>
      <c r="AF389" t="str">
        <f t="shared" si="38"/>
        <v/>
      </c>
      <c r="AG389" t="str">
        <f t="shared" si="39"/>
        <v/>
      </c>
      <c r="AH389" t="str">
        <f t="shared" si="40"/>
        <v/>
      </c>
      <c r="AI389" t="str">
        <f>IF($AG389="","",SUMIF($AG$2:$AG389,$AG389,$AH$2:$AH389))</f>
        <v/>
      </c>
      <c r="AJ389" t="str">
        <f>IF('TMP Paste'!$F389="","",IF('TMP Paste'!$B389="",$AJ388,'TMP Paste'!$B389))</f>
        <v/>
      </c>
      <c r="AK389" t="str">
        <f>IF('TMP Paste'!$F389="","",N('TMP Paste'!$G389))</f>
        <v/>
      </c>
      <c r="AL389" t="str">
        <f>IF('TMP Paste'!$F389="","",IF('TMP Paste'!$M389="",$AL388,'TMP Paste'!$M389))</f>
        <v/>
      </c>
      <c r="AM389" t="str">
        <f>IF('TMP Paste'!$F389="","",IF('TMP Paste'!$N389="",$AM388,'TMP Paste'!$N389))</f>
        <v/>
      </c>
      <c r="AN389" t="str">
        <f>IF('TMP Paste'!$F389="","",IF('TMP Paste'!$O389="",$AN388,'TMP Paste'!$O389))</f>
        <v/>
      </c>
      <c r="AO389" t="str">
        <f>IF('TMP Paste'!$F389="","",IF('TMP Paste'!$P389="",$AO388,'TMP Paste'!$P389))</f>
        <v/>
      </c>
      <c r="AP389" t="str">
        <f t="shared" si="41"/>
        <v/>
      </c>
      <c r="AQ389" t="str">
        <f>IF($AS389="","",TRIM(IF(COUNTIFS(Calc!$B$2:$B$1601,ROW()-1,Calc!$C$2:$C$1601,"&lt;1")&gt;0,"Ada PO tanpa Koli - cek TMP. ","")&amp;IF(OR($AU389="",$AU389&lt;=0),"Volume kosong/0 - dimensi dikosongkan. ","")&amp;IF(AND($AU389&lt;&gt;"",$AU389&gt;=1000000),"Volume &gt;= 1.000.000 cm3 (di luar aturan) - dimensi dikosongkan. ","")&amp;IF(LEN($R389)&gt;500,"R &gt; 500 karakter.","")))</f>
        <v/>
      </c>
      <c r="AS389" t="str">
        <f>IFERROR(MATCH(ROW()-1,Calc!$J$2:$J$1601,0),"")</f>
        <v/>
      </c>
      <c r="AT389" t="str">
        <f>IFERROR(MATCH(ROW()-1,Calc!$K$2:$K$1601,0),"")</f>
        <v/>
      </c>
      <c r="AU389" t="str">
        <f>IF($AS389="","",IFERROR(INDEX('TMP Paste'!$D$2:$D$1601,$AS389)*1000000/$AB389,""))</f>
        <v/>
      </c>
    </row>
    <row r="390" spans="1:47">
      <c r="A390" t="str">
        <f>IF($AS390="","",INDEX('TMP Paste'!$B$2:$B$1601,$AS390))</f>
        <v/>
      </c>
      <c r="B390" t="str">
        <f>IF($AS390="","",Config!$B$14)</f>
        <v/>
      </c>
      <c r="C390" t="str">
        <f>IF($AS390="","",Config!$B$15)</f>
        <v/>
      </c>
      <c r="D390" t="str">
        <f>IF($AS390="","",INDEX('TMP Paste'!$B$2:$B$1601,$AS390))</f>
        <v/>
      </c>
      <c r="E390" t="str">
        <f>IF($AS390="","",Config!$B$27)</f>
        <v/>
      </c>
      <c r="F390" t="str">
        <f>IF($AS390="","",Config!$B$9)</f>
        <v/>
      </c>
      <c r="G390" t="str">
        <f>IF($AS390="","",Config!$B$10)</f>
        <v/>
      </c>
      <c r="H390" t="str">
        <f>IF($AS390="","",Config!$B$11)</f>
        <v/>
      </c>
      <c r="I390" t="str">
        <f>IF($AS390="","",Config!$B$16)</f>
        <v/>
      </c>
      <c r="J390" t="str">
        <f>IF($AS390="","",INDEX('TMP Paste'!$A$2:$A$1601,$AS390))</f>
        <v/>
      </c>
      <c r="K390" t="str">
        <f>IF($AS390="","",INDEX('TMP Paste'!$L$2:$L$1601,$AS390))</f>
        <v/>
      </c>
      <c r="L390" t="str">
        <f>IF($AS390="","",INDEX('TMP Paste'!$I$2:$I$1601,$AS390))</f>
        <v/>
      </c>
      <c r="M390" t="str">
        <f>IF($AS390="","",Config!$B$16)</f>
        <v/>
      </c>
      <c r="N390" t="str">
        <f t="shared" si="36"/>
        <v/>
      </c>
      <c r="O390" t="str">
        <f>IF($AS390="","",INDEX('TMP Paste'!$K$2:$K$1601,$AS390))</f>
        <v/>
      </c>
      <c r="P390" t="str">
        <f t="shared" si="37"/>
        <v/>
      </c>
      <c r="Q390" t="str">
        <f>IF($AS390="","",INDEX('TMP Paste'!$J$2:$J$1601,$AS390))</f>
        <v/>
      </c>
      <c r="R390" t="str">
        <f>IF($AS390="","",Config!$B$24)</f>
        <v/>
      </c>
      <c r="S390" t="str">
        <f ca="1">IF($AS390="","",TEXT(Config!$B$4,"yyyy-mm-dd"))</f>
        <v/>
      </c>
      <c r="T390" t="str">
        <f>IF($AS390="","",Config!$B$17)</f>
        <v/>
      </c>
      <c r="U390" t="str">
        <f>IF($AS390="","",Config!$B$18)</f>
        <v/>
      </c>
      <c r="V390" t="str">
        <f>IF($AS390="","",Config!$B$19)</f>
        <v/>
      </c>
      <c r="W390" t="str">
        <f>IF($AS390="","",INDEX('TMP Paste'!$C$2:$C$1601,$AS390))</f>
        <v/>
      </c>
      <c r="X390" t="str">
        <f>IF($AS390="","",Config!$B$29)</f>
        <v/>
      </c>
      <c r="Y390" t="str">
        <f>IF($AT390="","",INDEX(Calc!$I$2:$I$1601,$AT390)&amp;" - "&amp;INDEX(Calc!$D$2:$D$1601,$AT390)&amp;" koli")</f>
        <v/>
      </c>
      <c r="Z390" t="str">
        <f>IF($AS390="","",Config!$B$21)</f>
        <v/>
      </c>
      <c r="AA390" t="str">
        <f>IF($AS390="","",Config!$B$22)</f>
        <v/>
      </c>
      <c r="AB390" t="str">
        <f>IF($AT390="","",INDEX(Calc!$D$2:$D$1601,$AT390))</f>
        <v/>
      </c>
      <c r="AC390" t="str">
        <f>IF($AT390="","",INDEX(Calc!$G$2:$G$1601,$AT390))</f>
        <v/>
      </c>
      <c r="AD390" t="str">
        <f>IF($AS390="","",Config!$B$23)</f>
        <v/>
      </c>
      <c r="AE390" t="str">
        <f>IF($AS390="","",Config!$B$28)</f>
        <v/>
      </c>
      <c r="AF390" t="str">
        <f t="shared" si="38"/>
        <v/>
      </c>
      <c r="AG390" t="str">
        <f t="shared" si="39"/>
        <v/>
      </c>
      <c r="AH390" t="str">
        <f t="shared" si="40"/>
        <v/>
      </c>
      <c r="AI390" t="str">
        <f>IF($AG390="","",SUMIF($AG$2:$AG390,$AG390,$AH$2:$AH390))</f>
        <v/>
      </c>
      <c r="AJ390" t="str">
        <f>IF('TMP Paste'!$F390="","",IF('TMP Paste'!$B390="",$AJ389,'TMP Paste'!$B390))</f>
        <v/>
      </c>
      <c r="AK390" t="str">
        <f>IF('TMP Paste'!$F390="","",N('TMP Paste'!$G390))</f>
        <v/>
      </c>
      <c r="AL390" t="str">
        <f>IF('TMP Paste'!$F390="","",IF('TMP Paste'!$M390="",$AL389,'TMP Paste'!$M390))</f>
        <v/>
      </c>
      <c r="AM390" t="str">
        <f>IF('TMP Paste'!$F390="","",IF('TMP Paste'!$N390="",$AM389,'TMP Paste'!$N390))</f>
        <v/>
      </c>
      <c r="AN390" t="str">
        <f>IF('TMP Paste'!$F390="","",IF('TMP Paste'!$O390="",$AN389,'TMP Paste'!$O390))</f>
        <v/>
      </c>
      <c r="AO390" t="str">
        <f>IF('TMP Paste'!$F390="","",IF('TMP Paste'!$P390="",$AO389,'TMP Paste'!$P390))</f>
        <v/>
      </c>
      <c r="AP390" t="str">
        <f t="shared" si="41"/>
        <v/>
      </c>
      <c r="AQ390" t="str">
        <f>IF($AS390="","",TRIM(IF(COUNTIFS(Calc!$B$2:$B$1601,ROW()-1,Calc!$C$2:$C$1601,"&lt;1")&gt;0,"Ada PO tanpa Koli - cek TMP. ","")&amp;IF(OR($AU390="",$AU390&lt;=0),"Volume kosong/0 - dimensi dikosongkan. ","")&amp;IF(AND($AU390&lt;&gt;"",$AU390&gt;=1000000),"Volume &gt;= 1.000.000 cm3 (di luar aturan) - dimensi dikosongkan. ","")&amp;IF(LEN($R390)&gt;500,"R &gt; 500 karakter.","")))</f>
        <v/>
      </c>
      <c r="AS390" t="str">
        <f>IFERROR(MATCH(ROW()-1,Calc!$J$2:$J$1601,0),"")</f>
        <v/>
      </c>
      <c r="AT390" t="str">
        <f>IFERROR(MATCH(ROW()-1,Calc!$K$2:$K$1601,0),"")</f>
        <v/>
      </c>
      <c r="AU390" t="str">
        <f>IF($AS390="","",IFERROR(INDEX('TMP Paste'!$D$2:$D$1601,$AS390)*1000000/$AB390,""))</f>
        <v/>
      </c>
    </row>
    <row r="391" spans="1:47">
      <c r="A391" t="str">
        <f>IF($AS391="","",INDEX('TMP Paste'!$B$2:$B$1601,$AS391))</f>
        <v/>
      </c>
      <c r="B391" t="str">
        <f>IF($AS391="","",Config!$B$14)</f>
        <v/>
      </c>
      <c r="C391" t="str">
        <f>IF($AS391="","",Config!$B$15)</f>
        <v/>
      </c>
      <c r="D391" t="str">
        <f>IF($AS391="","",INDEX('TMP Paste'!$B$2:$B$1601,$AS391))</f>
        <v/>
      </c>
      <c r="E391" t="str">
        <f>IF($AS391="","",Config!$B$27)</f>
        <v/>
      </c>
      <c r="F391" t="str">
        <f>IF($AS391="","",Config!$B$9)</f>
        <v/>
      </c>
      <c r="G391" t="str">
        <f>IF($AS391="","",Config!$B$10)</f>
        <v/>
      </c>
      <c r="H391" t="str">
        <f>IF($AS391="","",Config!$B$11)</f>
        <v/>
      </c>
      <c r="I391" t="str">
        <f>IF($AS391="","",Config!$B$16)</f>
        <v/>
      </c>
      <c r="J391" t="str">
        <f>IF($AS391="","",INDEX('TMP Paste'!$A$2:$A$1601,$AS391))</f>
        <v/>
      </c>
      <c r="K391" t="str">
        <f>IF($AS391="","",INDEX('TMP Paste'!$L$2:$L$1601,$AS391))</f>
        <v/>
      </c>
      <c r="L391" t="str">
        <f>IF($AS391="","",INDEX('TMP Paste'!$I$2:$I$1601,$AS391))</f>
        <v/>
      </c>
      <c r="M391" t="str">
        <f>IF($AS391="","",Config!$B$16)</f>
        <v/>
      </c>
      <c r="N391" t="str">
        <f t="shared" si="36"/>
        <v/>
      </c>
      <c r="O391" t="str">
        <f>IF($AS391="","",INDEX('TMP Paste'!$K$2:$K$1601,$AS391))</f>
        <v/>
      </c>
      <c r="P391" t="str">
        <f t="shared" si="37"/>
        <v/>
      </c>
      <c r="Q391" t="str">
        <f>IF($AS391="","",INDEX('TMP Paste'!$J$2:$J$1601,$AS391))</f>
        <v/>
      </c>
      <c r="R391" t="str">
        <f>IF($AS391="","",Config!$B$24)</f>
        <v/>
      </c>
      <c r="S391" t="str">
        <f ca="1">IF($AS391="","",TEXT(Config!$B$4,"yyyy-mm-dd"))</f>
        <v/>
      </c>
      <c r="T391" t="str">
        <f>IF($AS391="","",Config!$B$17)</f>
        <v/>
      </c>
      <c r="U391" t="str">
        <f>IF($AS391="","",Config!$B$18)</f>
        <v/>
      </c>
      <c r="V391" t="str">
        <f>IF($AS391="","",Config!$B$19)</f>
        <v/>
      </c>
      <c r="W391" t="str">
        <f>IF($AS391="","",INDEX('TMP Paste'!$C$2:$C$1601,$AS391))</f>
        <v/>
      </c>
      <c r="X391" t="str">
        <f>IF($AS391="","",Config!$B$29)</f>
        <v/>
      </c>
      <c r="Y391" t="str">
        <f>IF($AT391="","",INDEX(Calc!$I$2:$I$1601,$AT391)&amp;" - "&amp;INDEX(Calc!$D$2:$D$1601,$AT391)&amp;" koli")</f>
        <v/>
      </c>
      <c r="Z391" t="str">
        <f>IF($AS391="","",Config!$B$21)</f>
        <v/>
      </c>
      <c r="AA391" t="str">
        <f>IF($AS391="","",Config!$B$22)</f>
        <v/>
      </c>
      <c r="AB391" t="str">
        <f>IF($AT391="","",INDEX(Calc!$D$2:$D$1601,$AT391))</f>
        <v/>
      </c>
      <c r="AC391" t="str">
        <f>IF($AT391="","",INDEX(Calc!$G$2:$G$1601,$AT391))</f>
        <v/>
      </c>
      <c r="AD391" t="str">
        <f>IF($AS391="","",Config!$B$23)</f>
        <v/>
      </c>
      <c r="AE391" t="str">
        <f>IF($AS391="","",Config!$B$28)</f>
        <v/>
      </c>
      <c r="AF391" t="str">
        <f t="shared" si="38"/>
        <v/>
      </c>
      <c r="AG391" t="str">
        <f t="shared" si="39"/>
        <v/>
      </c>
      <c r="AH391" t="str">
        <f t="shared" si="40"/>
        <v/>
      </c>
      <c r="AI391" t="str">
        <f>IF($AG391="","",SUMIF($AG$2:$AG391,$AG391,$AH$2:$AH391))</f>
        <v/>
      </c>
      <c r="AJ391" t="str">
        <f>IF('TMP Paste'!$F391="","",IF('TMP Paste'!$B391="",$AJ390,'TMP Paste'!$B391))</f>
        <v/>
      </c>
      <c r="AK391" t="str">
        <f>IF('TMP Paste'!$F391="","",N('TMP Paste'!$G391))</f>
        <v/>
      </c>
      <c r="AL391" t="str">
        <f>IF('TMP Paste'!$F391="","",IF('TMP Paste'!$M391="",$AL390,'TMP Paste'!$M391))</f>
        <v/>
      </c>
      <c r="AM391" t="str">
        <f>IF('TMP Paste'!$F391="","",IF('TMP Paste'!$N391="",$AM390,'TMP Paste'!$N391))</f>
        <v/>
      </c>
      <c r="AN391" t="str">
        <f>IF('TMP Paste'!$F391="","",IF('TMP Paste'!$O391="",$AN390,'TMP Paste'!$O391))</f>
        <v/>
      </c>
      <c r="AO391" t="str">
        <f>IF('TMP Paste'!$F391="","",IF('TMP Paste'!$P391="",$AO390,'TMP Paste'!$P391))</f>
        <v/>
      </c>
      <c r="AP391" t="str">
        <f t="shared" si="41"/>
        <v/>
      </c>
      <c r="AQ391" t="str">
        <f>IF($AS391="","",TRIM(IF(COUNTIFS(Calc!$B$2:$B$1601,ROW()-1,Calc!$C$2:$C$1601,"&lt;1")&gt;0,"Ada PO tanpa Koli - cek TMP. ","")&amp;IF(OR($AU391="",$AU391&lt;=0),"Volume kosong/0 - dimensi dikosongkan. ","")&amp;IF(AND($AU391&lt;&gt;"",$AU391&gt;=1000000),"Volume &gt;= 1.000.000 cm3 (di luar aturan) - dimensi dikosongkan. ","")&amp;IF(LEN($R391)&gt;500,"R &gt; 500 karakter.","")))</f>
        <v/>
      </c>
      <c r="AS391" t="str">
        <f>IFERROR(MATCH(ROW()-1,Calc!$J$2:$J$1601,0),"")</f>
        <v/>
      </c>
      <c r="AT391" t="str">
        <f>IFERROR(MATCH(ROW()-1,Calc!$K$2:$K$1601,0),"")</f>
        <v/>
      </c>
      <c r="AU391" t="str">
        <f>IF($AS391="","",IFERROR(INDEX('TMP Paste'!$D$2:$D$1601,$AS391)*1000000/$AB391,""))</f>
        <v/>
      </c>
    </row>
    <row r="392" spans="1:47">
      <c r="A392" t="str">
        <f>IF($AS392="","",INDEX('TMP Paste'!$B$2:$B$1601,$AS392))</f>
        <v/>
      </c>
      <c r="B392" t="str">
        <f>IF($AS392="","",Config!$B$14)</f>
        <v/>
      </c>
      <c r="C392" t="str">
        <f>IF($AS392="","",Config!$B$15)</f>
        <v/>
      </c>
      <c r="D392" t="str">
        <f>IF($AS392="","",INDEX('TMP Paste'!$B$2:$B$1601,$AS392))</f>
        <v/>
      </c>
      <c r="E392" t="str">
        <f>IF($AS392="","",Config!$B$27)</f>
        <v/>
      </c>
      <c r="F392" t="str">
        <f>IF($AS392="","",Config!$B$9)</f>
        <v/>
      </c>
      <c r="G392" t="str">
        <f>IF($AS392="","",Config!$B$10)</f>
        <v/>
      </c>
      <c r="H392" t="str">
        <f>IF($AS392="","",Config!$B$11)</f>
        <v/>
      </c>
      <c r="I392" t="str">
        <f>IF($AS392="","",Config!$B$16)</f>
        <v/>
      </c>
      <c r="J392" t="str">
        <f>IF($AS392="","",INDEX('TMP Paste'!$A$2:$A$1601,$AS392))</f>
        <v/>
      </c>
      <c r="K392" t="str">
        <f>IF($AS392="","",INDEX('TMP Paste'!$L$2:$L$1601,$AS392))</f>
        <v/>
      </c>
      <c r="L392" t="str">
        <f>IF($AS392="","",INDEX('TMP Paste'!$I$2:$I$1601,$AS392))</f>
        <v/>
      </c>
      <c r="M392" t="str">
        <f>IF($AS392="","",Config!$B$16)</f>
        <v/>
      </c>
      <c r="N392" t="str">
        <f t="shared" si="36"/>
        <v/>
      </c>
      <c r="O392" t="str">
        <f>IF($AS392="","",INDEX('TMP Paste'!$K$2:$K$1601,$AS392))</f>
        <v/>
      </c>
      <c r="P392" t="str">
        <f t="shared" si="37"/>
        <v/>
      </c>
      <c r="Q392" t="str">
        <f>IF($AS392="","",INDEX('TMP Paste'!$J$2:$J$1601,$AS392))</f>
        <v/>
      </c>
      <c r="R392" t="str">
        <f>IF($AS392="","",Config!$B$24)</f>
        <v/>
      </c>
      <c r="S392" t="str">
        <f ca="1">IF($AS392="","",TEXT(Config!$B$4,"yyyy-mm-dd"))</f>
        <v/>
      </c>
      <c r="T392" t="str">
        <f>IF($AS392="","",Config!$B$17)</f>
        <v/>
      </c>
      <c r="U392" t="str">
        <f>IF($AS392="","",Config!$B$18)</f>
        <v/>
      </c>
      <c r="V392" t="str">
        <f>IF($AS392="","",Config!$B$19)</f>
        <v/>
      </c>
      <c r="W392" t="str">
        <f>IF($AS392="","",INDEX('TMP Paste'!$C$2:$C$1601,$AS392))</f>
        <v/>
      </c>
      <c r="X392" t="str">
        <f>IF($AS392="","",Config!$B$29)</f>
        <v/>
      </c>
      <c r="Y392" t="str">
        <f>IF($AT392="","",INDEX(Calc!$I$2:$I$1601,$AT392)&amp;" - "&amp;INDEX(Calc!$D$2:$D$1601,$AT392)&amp;" koli")</f>
        <v/>
      </c>
      <c r="Z392" t="str">
        <f>IF($AS392="","",Config!$B$21)</f>
        <v/>
      </c>
      <c r="AA392" t="str">
        <f>IF($AS392="","",Config!$B$22)</f>
        <v/>
      </c>
      <c r="AB392" t="str">
        <f>IF($AT392="","",INDEX(Calc!$D$2:$D$1601,$AT392))</f>
        <v/>
      </c>
      <c r="AC392" t="str">
        <f>IF($AT392="","",INDEX(Calc!$G$2:$G$1601,$AT392))</f>
        <v/>
      </c>
      <c r="AD392" t="str">
        <f>IF($AS392="","",Config!$B$23)</f>
        <v/>
      </c>
      <c r="AE392" t="str">
        <f>IF($AS392="","",Config!$B$28)</f>
        <v/>
      </c>
      <c r="AF392" t="str">
        <f t="shared" si="38"/>
        <v/>
      </c>
      <c r="AG392" t="str">
        <f t="shared" si="39"/>
        <v/>
      </c>
      <c r="AH392" t="str">
        <f t="shared" si="40"/>
        <v/>
      </c>
      <c r="AI392" t="str">
        <f>IF($AG392="","",SUMIF($AG$2:$AG392,$AG392,$AH$2:$AH392))</f>
        <v/>
      </c>
      <c r="AJ392" t="str">
        <f>IF('TMP Paste'!$F392="","",IF('TMP Paste'!$B392="",$AJ391,'TMP Paste'!$B392))</f>
        <v/>
      </c>
      <c r="AK392" t="str">
        <f>IF('TMP Paste'!$F392="","",N('TMP Paste'!$G392))</f>
        <v/>
      </c>
      <c r="AL392" t="str">
        <f>IF('TMP Paste'!$F392="","",IF('TMP Paste'!$M392="",$AL391,'TMP Paste'!$M392))</f>
        <v/>
      </c>
      <c r="AM392" t="str">
        <f>IF('TMP Paste'!$F392="","",IF('TMP Paste'!$N392="",$AM391,'TMP Paste'!$N392))</f>
        <v/>
      </c>
      <c r="AN392" t="str">
        <f>IF('TMP Paste'!$F392="","",IF('TMP Paste'!$O392="",$AN391,'TMP Paste'!$O392))</f>
        <v/>
      </c>
      <c r="AO392" t="str">
        <f>IF('TMP Paste'!$F392="","",IF('TMP Paste'!$P392="",$AO391,'TMP Paste'!$P392))</f>
        <v/>
      </c>
      <c r="AP392" t="str">
        <f t="shared" si="41"/>
        <v/>
      </c>
      <c r="AQ392" t="str">
        <f>IF($AS392="","",TRIM(IF(COUNTIFS(Calc!$B$2:$B$1601,ROW()-1,Calc!$C$2:$C$1601,"&lt;1")&gt;0,"Ada PO tanpa Koli - cek TMP. ","")&amp;IF(OR($AU392="",$AU392&lt;=0),"Volume kosong/0 - dimensi dikosongkan. ","")&amp;IF(AND($AU392&lt;&gt;"",$AU392&gt;=1000000),"Volume &gt;= 1.000.000 cm3 (di luar aturan) - dimensi dikosongkan. ","")&amp;IF(LEN($R392)&gt;500,"R &gt; 500 karakter.","")))</f>
        <v/>
      </c>
      <c r="AS392" t="str">
        <f>IFERROR(MATCH(ROW()-1,Calc!$J$2:$J$1601,0),"")</f>
        <v/>
      </c>
      <c r="AT392" t="str">
        <f>IFERROR(MATCH(ROW()-1,Calc!$K$2:$K$1601,0),"")</f>
        <v/>
      </c>
      <c r="AU392" t="str">
        <f>IF($AS392="","",IFERROR(INDEX('TMP Paste'!$D$2:$D$1601,$AS392)*1000000/$AB392,""))</f>
        <v/>
      </c>
    </row>
    <row r="393" spans="1:47">
      <c r="A393" t="str">
        <f>IF($AS393="","",INDEX('TMP Paste'!$B$2:$B$1601,$AS393))</f>
        <v/>
      </c>
      <c r="B393" t="str">
        <f>IF($AS393="","",Config!$B$14)</f>
        <v/>
      </c>
      <c r="C393" t="str">
        <f>IF($AS393="","",Config!$B$15)</f>
        <v/>
      </c>
      <c r="D393" t="str">
        <f>IF($AS393="","",INDEX('TMP Paste'!$B$2:$B$1601,$AS393))</f>
        <v/>
      </c>
      <c r="E393" t="str">
        <f>IF($AS393="","",Config!$B$27)</f>
        <v/>
      </c>
      <c r="F393" t="str">
        <f>IF($AS393="","",Config!$B$9)</f>
        <v/>
      </c>
      <c r="G393" t="str">
        <f>IF($AS393="","",Config!$B$10)</f>
        <v/>
      </c>
      <c r="H393" t="str">
        <f>IF($AS393="","",Config!$B$11)</f>
        <v/>
      </c>
      <c r="I393" t="str">
        <f>IF($AS393="","",Config!$B$16)</f>
        <v/>
      </c>
      <c r="J393" t="str">
        <f>IF($AS393="","",INDEX('TMP Paste'!$A$2:$A$1601,$AS393))</f>
        <v/>
      </c>
      <c r="K393" t="str">
        <f>IF($AS393="","",INDEX('TMP Paste'!$L$2:$L$1601,$AS393))</f>
        <v/>
      </c>
      <c r="L393" t="str">
        <f>IF($AS393="","",INDEX('TMP Paste'!$I$2:$I$1601,$AS393))</f>
        <v/>
      </c>
      <c r="M393" t="str">
        <f>IF($AS393="","",Config!$B$16)</f>
        <v/>
      </c>
      <c r="N393" t="str">
        <f t="shared" si="36"/>
        <v/>
      </c>
      <c r="O393" t="str">
        <f>IF($AS393="","",INDEX('TMP Paste'!$K$2:$K$1601,$AS393))</f>
        <v/>
      </c>
      <c r="P393" t="str">
        <f t="shared" si="37"/>
        <v/>
      </c>
      <c r="Q393" t="str">
        <f>IF($AS393="","",INDEX('TMP Paste'!$J$2:$J$1601,$AS393))</f>
        <v/>
      </c>
      <c r="R393" t="str">
        <f>IF($AS393="","",Config!$B$24)</f>
        <v/>
      </c>
      <c r="S393" t="str">
        <f ca="1">IF($AS393="","",TEXT(Config!$B$4,"yyyy-mm-dd"))</f>
        <v/>
      </c>
      <c r="T393" t="str">
        <f>IF($AS393="","",Config!$B$17)</f>
        <v/>
      </c>
      <c r="U393" t="str">
        <f>IF($AS393="","",Config!$B$18)</f>
        <v/>
      </c>
      <c r="V393" t="str">
        <f>IF($AS393="","",Config!$B$19)</f>
        <v/>
      </c>
      <c r="W393" t="str">
        <f>IF($AS393="","",INDEX('TMP Paste'!$C$2:$C$1601,$AS393))</f>
        <v/>
      </c>
      <c r="X393" t="str">
        <f>IF($AS393="","",Config!$B$29)</f>
        <v/>
      </c>
      <c r="Y393" t="str">
        <f>IF($AT393="","",INDEX(Calc!$I$2:$I$1601,$AT393)&amp;" - "&amp;INDEX(Calc!$D$2:$D$1601,$AT393)&amp;" koli")</f>
        <v/>
      </c>
      <c r="Z393" t="str">
        <f>IF($AS393="","",Config!$B$21)</f>
        <v/>
      </c>
      <c r="AA393" t="str">
        <f>IF($AS393="","",Config!$B$22)</f>
        <v/>
      </c>
      <c r="AB393" t="str">
        <f>IF($AT393="","",INDEX(Calc!$D$2:$D$1601,$AT393))</f>
        <v/>
      </c>
      <c r="AC393" t="str">
        <f>IF($AT393="","",INDEX(Calc!$G$2:$G$1601,$AT393))</f>
        <v/>
      </c>
      <c r="AD393" t="str">
        <f>IF($AS393="","",Config!$B$23)</f>
        <v/>
      </c>
      <c r="AE393" t="str">
        <f>IF($AS393="","",Config!$B$28)</f>
        <v/>
      </c>
      <c r="AF393" t="str">
        <f t="shared" si="38"/>
        <v/>
      </c>
      <c r="AG393" t="str">
        <f t="shared" si="39"/>
        <v/>
      </c>
      <c r="AH393" t="str">
        <f t="shared" si="40"/>
        <v/>
      </c>
      <c r="AI393" t="str">
        <f>IF($AG393="","",SUMIF($AG$2:$AG393,$AG393,$AH$2:$AH393))</f>
        <v/>
      </c>
      <c r="AJ393" t="str">
        <f>IF('TMP Paste'!$F393="","",IF('TMP Paste'!$B393="",$AJ392,'TMP Paste'!$B393))</f>
        <v/>
      </c>
      <c r="AK393" t="str">
        <f>IF('TMP Paste'!$F393="","",N('TMP Paste'!$G393))</f>
        <v/>
      </c>
      <c r="AL393" t="str">
        <f>IF('TMP Paste'!$F393="","",IF('TMP Paste'!$M393="",$AL392,'TMP Paste'!$M393))</f>
        <v/>
      </c>
      <c r="AM393" t="str">
        <f>IF('TMP Paste'!$F393="","",IF('TMP Paste'!$N393="",$AM392,'TMP Paste'!$N393))</f>
        <v/>
      </c>
      <c r="AN393" t="str">
        <f>IF('TMP Paste'!$F393="","",IF('TMP Paste'!$O393="",$AN392,'TMP Paste'!$O393))</f>
        <v/>
      </c>
      <c r="AO393" t="str">
        <f>IF('TMP Paste'!$F393="","",IF('TMP Paste'!$P393="",$AO392,'TMP Paste'!$P393))</f>
        <v/>
      </c>
      <c r="AP393" t="str">
        <f t="shared" si="41"/>
        <v/>
      </c>
      <c r="AQ393" t="str">
        <f>IF($AS393="","",TRIM(IF(COUNTIFS(Calc!$B$2:$B$1601,ROW()-1,Calc!$C$2:$C$1601,"&lt;1")&gt;0,"Ada PO tanpa Koli - cek TMP. ","")&amp;IF(OR($AU393="",$AU393&lt;=0),"Volume kosong/0 - dimensi dikosongkan. ","")&amp;IF(AND($AU393&lt;&gt;"",$AU393&gt;=1000000),"Volume &gt;= 1.000.000 cm3 (di luar aturan) - dimensi dikosongkan. ","")&amp;IF(LEN($R393)&gt;500,"R &gt; 500 karakter.","")))</f>
        <v/>
      </c>
      <c r="AS393" t="str">
        <f>IFERROR(MATCH(ROW()-1,Calc!$J$2:$J$1601,0),"")</f>
        <v/>
      </c>
      <c r="AT393" t="str">
        <f>IFERROR(MATCH(ROW()-1,Calc!$K$2:$K$1601,0),"")</f>
        <v/>
      </c>
      <c r="AU393" t="str">
        <f>IF($AS393="","",IFERROR(INDEX('TMP Paste'!$D$2:$D$1601,$AS393)*1000000/$AB393,""))</f>
        <v/>
      </c>
    </row>
    <row r="394" spans="1:47">
      <c r="A394" t="str">
        <f>IF($AS394="","",INDEX('TMP Paste'!$B$2:$B$1601,$AS394))</f>
        <v/>
      </c>
      <c r="B394" t="str">
        <f>IF($AS394="","",Config!$B$14)</f>
        <v/>
      </c>
      <c r="C394" t="str">
        <f>IF($AS394="","",Config!$B$15)</f>
        <v/>
      </c>
      <c r="D394" t="str">
        <f>IF($AS394="","",INDEX('TMP Paste'!$B$2:$B$1601,$AS394))</f>
        <v/>
      </c>
      <c r="E394" t="str">
        <f>IF($AS394="","",Config!$B$27)</f>
        <v/>
      </c>
      <c r="F394" t="str">
        <f>IF($AS394="","",Config!$B$9)</f>
        <v/>
      </c>
      <c r="G394" t="str">
        <f>IF($AS394="","",Config!$B$10)</f>
        <v/>
      </c>
      <c r="H394" t="str">
        <f>IF($AS394="","",Config!$B$11)</f>
        <v/>
      </c>
      <c r="I394" t="str">
        <f>IF($AS394="","",Config!$B$16)</f>
        <v/>
      </c>
      <c r="J394" t="str">
        <f>IF($AS394="","",INDEX('TMP Paste'!$A$2:$A$1601,$AS394))</f>
        <v/>
      </c>
      <c r="K394" t="str">
        <f>IF($AS394="","",INDEX('TMP Paste'!$L$2:$L$1601,$AS394))</f>
        <v/>
      </c>
      <c r="L394" t="str">
        <f>IF($AS394="","",INDEX('TMP Paste'!$I$2:$I$1601,$AS394))</f>
        <v/>
      </c>
      <c r="M394" t="str">
        <f>IF($AS394="","",Config!$B$16)</f>
        <v/>
      </c>
      <c r="N394" t="str">
        <f t="shared" si="36"/>
        <v/>
      </c>
      <c r="O394" t="str">
        <f>IF($AS394="","",INDEX('TMP Paste'!$K$2:$K$1601,$AS394))</f>
        <v/>
      </c>
      <c r="P394" t="str">
        <f t="shared" si="37"/>
        <v/>
      </c>
      <c r="Q394" t="str">
        <f>IF($AS394="","",INDEX('TMP Paste'!$J$2:$J$1601,$AS394))</f>
        <v/>
      </c>
      <c r="R394" t="str">
        <f>IF($AS394="","",Config!$B$24)</f>
        <v/>
      </c>
      <c r="S394" t="str">
        <f ca="1">IF($AS394="","",TEXT(Config!$B$4,"yyyy-mm-dd"))</f>
        <v/>
      </c>
      <c r="T394" t="str">
        <f>IF($AS394="","",Config!$B$17)</f>
        <v/>
      </c>
      <c r="U394" t="str">
        <f>IF($AS394="","",Config!$B$18)</f>
        <v/>
      </c>
      <c r="V394" t="str">
        <f>IF($AS394="","",Config!$B$19)</f>
        <v/>
      </c>
      <c r="W394" t="str">
        <f>IF($AS394="","",INDEX('TMP Paste'!$C$2:$C$1601,$AS394))</f>
        <v/>
      </c>
      <c r="X394" t="str">
        <f>IF($AS394="","",Config!$B$29)</f>
        <v/>
      </c>
      <c r="Y394" t="str">
        <f>IF($AT394="","",INDEX(Calc!$I$2:$I$1601,$AT394)&amp;" - "&amp;INDEX(Calc!$D$2:$D$1601,$AT394)&amp;" koli")</f>
        <v/>
      </c>
      <c r="Z394" t="str">
        <f>IF($AS394="","",Config!$B$21)</f>
        <v/>
      </c>
      <c r="AA394" t="str">
        <f>IF($AS394="","",Config!$B$22)</f>
        <v/>
      </c>
      <c r="AB394" t="str">
        <f>IF($AT394="","",INDEX(Calc!$D$2:$D$1601,$AT394))</f>
        <v/>
      </c>
      <c r="AC394" t="str">
        <f>IF($AT394="","",INDEX(Calc!$G$2:$G$1601,$AT394))</f>
        <v/>
      </c>
      <c r="AD394" t="str">
        <f>IF($AS394="","",Config!$B$23)</f>
        <v/>
      </c>
      <c r="AE394" t="str">
        <f>IF($AS394="","",Config!$B$28)</f>
        <v/>
      </c>
      <c r="AF394" t="str">
        <f t="shared" si="38"/>
        <v/>
      </c>
      <c r="AG394" t="str">
        <f t="shared" si="39"/>
        <v/>
      </c>
      <c r="AH394" t="str">
        <f t="shared" si="40"/>
        <v/>
      </c>
      <c r="AI394" t="str">
        <f>IF($AG394="","",SUMIF($AG$2:$AG394,$AG394,$AH$2:$AH394))</f>
        <v/>
      </c>
      <c r="AJ394" t="str">
        <f>IF('TMP Paste'!$F394="","",IF('TMP Paste'!$B394="",$AJ393,'TMP Paste'!$B394))</f>
        <v/>
      </c>
      <c r="AK394" t="str">
        <f>IF('TMP Paste'!$F394="","",N('TMP Paste'!$G394))</f>
        <v/>
      </c>
      <c r="AL394" t="str">
        <f>IF('TMP Paste'!$F394="","",IF('TMP Paste'!$M394="",$AL393,'TMP Paste'!$M394))</f>
        <v/>
      </c>
      <c r="AM394" t="str">
        <f>IF('TMP Paste'!$F394="","",IF('TMP Paste'!$N394="",$AM393,'TMP Paste'!$N394))</f>
        <v/>
      </c>
      <c r="AN394" t="str">
        <f>IF('TMP Paste'!$F394="","",IF('TMP Paste'!$O394="",$AN393,'TMP Paste'!$O394))</f>
        <v/>
      </c>
      <c r="AO394" t="str">
        <f>IF('TMP Paste'!$F394="","",IF('TMP Paste'!$P394="",$AO393,'TMP Paste'!$P394))</f>
        <v/>
      </c>
      <c r="AP394" t="str">
        <f t="shared" si="41"/>
        <v/>
      </c>
      <c r="AQ394" t="str">
        <f>IF($AS394="","",TRIM(IF(COUNTIFS(Calc!$B$2:$B$1601,ROW()-1,Calc!$C$2:$C$1601,"&lt;1")&gt;0,"Ada PO tanpa Koli - cek TMP. ","")&amp;IF(OR($AU394="",$AU394&lt;=0),"Volume kosong/0 - dimensi dikosongkan. ","")&amp;IF(AND($AU394&lt;&gt;"",$AU394&gt;=1000000),"Volume &gt;= 1.000.000 cm3 (di luar aturan) - dimensi dikosongkan. ","")&amp;IF(LEN($R394)&gt;500,"R &gt; 500 karakter.","")))</f>
        <v/>
      </c>
      <c r="AS394" t="str">
        <f>IFERROR(MATCH(ROW()-1,Calc!$J$2:$J$1601,0),"")</f>
        <v/>
      </c>
      <c r="AT394" t="str">
        <f>IFERROR(MATCH(ROW()-1,Calc!$K$2:$K$1601,0),"")</f>
        <v/>
      </c>
      <c r="AU394" t="str">
        <f>IF($AS394="","",IFERROR(INDEX('TMP Paste'!$D$2:$D$1601,$AS394)*1000000/$AB394,""))</f>
        <v/>
      </c>
    </row>
    <row r="395" spans="1:47">
      <c r="A395" t="str">
        <f>IF($AS395="","",INDEX('TMP Paste'!$B$2:$B$1601,$AS395))</f>
        <v/>
      </c>
      <c r="B395" t="str">
        <f>IF($AS395="","",Config!$B$14)</f>
        <v/>
      </c>
      <c r="C395" t="str">
        <f>IF($AS395="","",Config!$B$15)</f>
        <v/>
      </c>
      <c r="D395" t="str">
        <f>IF($AS395="","",INDEX('TMP Paste'!$B$2:$B$1601,$AS395))</f>
        <v/>
      </c>
      <c r="E395" t="str">
        <f>IF($AS395="","",Config!$B$27)</f>
        <v/>
      </c>
      <c r="F395" t="str">
        <f>IF($AS395="","",Config!$B$9)</f>
        <v/>
      </c>
      <c r="G395" t="str">
        <f>IF($AS395="","",Config!$B$10)</f>
        <v/>
      </c>
      <c r="H395" t="str">
        <f>IF($AS395="","",Config!$B$11)</f>
        <v/>
      </c>
      <c r="I395" t="str">
        <f>IF($AS395="","",Config!$B$16)</f>
        <v/>
      </c>
      <c r="J395" t="str">
        <f>IF($AS395="","",INDEX('TMP Paste'!$A$2:$A$1601,$AS395))</f>
        <v/>
      </c>
      <c r="K395" t="str">
        <f>IF($AS395="","",INDEX('TMP Paste'!$L$2:$L$1601,$AS395))</f>
        <v/>
      </c>
      <c r="L395" t="str">
        <f>IF($AS395="","",INDEX('TMP Paste'!$I$2:$I$1601,$AS395))</f>
        <v/>
      </c>
      <c r="M395" t="str">
        <f>IF($AS395="","",Config!$B$16)</f>
        <v/>
      </c>
      <c r="N395" t="str">
        <f t="shared" si="36"/>
        <v/>
      </c>
      <c r="O395" t="str">
        <f>IF($AS395="","",INDEX('TMP Paste'!$K$2:$K$1601,$AS395))</f>
        <v/>
      </c>
      <c r="P395" t="str">
        <f t="shared" si="37"/>
        <v/>
      </c>
      <c r="Q395" t="str">
        <f>IF($AS395="","",INDEX('TMP Paste'!$J$2:$J$1601,$AS395))</f>
        <v/>
      </c>
      <c r="R395" t="str">
        <f>IF($AS395="","",Config!$B$24)</f>
        <v/>
      </c>
      <c r="S395" t="str">
        <f ca="1">IF($AS395="","",TEXT(Config!$B$4,"yyyy-mm-dd"))</f>
        <v/>
      </c>
      <c r="T395" t="str">
        <f>IF($AS395="","",Config!$B$17)</f>
        <v/>
      </c>
      <c r="U395" t="str">
        <f>IF($AS395="","",Config!$B$18)</f>
        <v/>
      </c>
      <c r="V395" t="str">
        <f>IF($AS395="","",Config!$B$19)</f>
        <v/>
      </c>
      <c r="W395" t="str">
        <f>IF($AS395="","",INDEX('TMP Paste'!$C$2:$C$1601,$AS395))</f>
        <v/>
      </c>
      <c r="X395" t="str">
        <f>IF($AS395="","",Config!$B$29)</f>
        <v/>
      </c>
      <c r="Y395" t="str">
        <f>IF($AT395="","",INDEX(Calc!$I$2:$I$1601,$AT395)&amp;" - "&amp;INDEX(Calc!$D$2:$D$1601,$AT395)&amp;" koli")</f>
        <v/>
      </c>
      <c r="Z395" t="str">
        <f>IF($AS395="","",Config!$B$21)</f>
        <v/>
      </c>
      <c r="AA395" t="str">
        <f>IF($AS395="","",Config!$B$22)</f>
        <v/>
      </c>
      <c r="AB395" t="str">
        <f>IF($AT395="","",INDEX(Calc!$D$2:$D$1601,$AT395))</f>
        <v/>
      </c>
      <c r="AC395" t="str">
        <f>IF($AT395="","",INDEX(Calc!$G$2:$G$1601,$AT395))</f>
        <v/>
      </c>
      <c r="AD395" t="str">
        <f>IF($AS395="","",Config!$B$23)</f>
        <v/>
      </c>
      <c r="AE395" t="str">
        <f>IF($AS395="","",Config!$B$28)</f>
        <v/>
      </c>
      <c r="AF395" t="str">
        <f t="shared" si="38"/>
        <v/>
      </c>
      <c r="AG395" t="str">
        <f t="shared" si="39"/>
        <v/>
      </c>
      <c r="AH395" t="str">
        <f t="shared" si="40"/>
        <v/>
      </c>
      <c r="AI395" t="str">
        <f>IF($AG395="","",SUMIF($AG$2:$AG395,$AG395,$AH$2:$AH395))</f>
        <v/>
      </c>
      <c r="AJ395" t="str">
        <f>IF('TMP Paste'!$F395="","",IF('TMP Paste'!$B395="",$AJ394,'TMP Paste'!$B395))</f>
        <v/>
      </c>
      <c r="AK395" t="str">
        <f>IF('TMP Paste'!$F395="","",N('TMP Paste'!$G395))</f>
        <v/>
      </c>
      <c r="AL395" t="str">
        <f>IF('TMP Paste'!$F395="","",IF('TMP Paste'!$M395="",$AL394,'TMP Paste'!$M395))</f>
        <v/>
      </c>
      <c r="AM395" t="str">
        <f>IF('TMP Paste'!$F395="","",IF('TMP Paste'!$N395="",$AM394,'TMP Paste'!$N395))</f>
        <v/>
      </c>
      <c r="AN395" t="str">
        <f>IF('TMP Paste'!$F395="","",IF('TMP Paste'!$O395="",$AN394,'TMP Paste'!$O395))</f>
        <v/>
      </c>
      <c r="AO395" t="str">
        <f>IF('TMP Paste'!$F395="","",IF('TMP Paste'!$P395="",$AO394,'TMP Paste'!$P395))</f>
        <v/>
      </c>
      <c r="AP395" t="str">
        <f t="shared" si="41"/>
        <v/>
      </c>
      <c r="AQ395" t="str">
        <f>IF($AS395="","",TRIM(IF(COUNTIFS(Calc!$B$2:$B$1601,ROW()-1,Calc!$C$2:$C$1601,"&lt;1")&gt;0,"Ada PO tanpa Koli - cek TMP. ","")&amp;IF(OR($AU395="",$AU395&lt;=0),"Volume kosong/0 - dimensi dikosongkan. ","")&amp;IF(AND($AU395&lt;&gt;"",$AU395&gt;=1000000),"Volume &gt;= 1.000.000 cm3 (di luar aturan) - dimensi dikosongkan. ","")&amp;IF(LEN($R395)&gt;500,"R &gt; 500 karakter.","")))</f>
        <v/>
      </c>
      <c r="AS395" t="str">
        <f>IFERROR(MATCH(ROW()-1,Calc!$J$2:$J$1601,0),"")</f>
        <v/>
      </c>
      <c r="AT395" t="str">
        <f>IFERROR(MATCH(ROW()-1,Calc!$K$2:$K$1601,0),"")</f>
        <v/>
      </c>
      <c r="AU395" t="str">
        <f>IF($AS395="","",IFERROR(INDEX('TMP Paste'!$D$2:$D$1601,$AS395)*1000000/$AB395,""))</f>
        <v/>
      </c>
    </row>
    <row r="396" spans="1:47">
      <c r="A396" t="str">
        <f>IF($AS396="","",INDEX('TMP Paste'!$B$2:$B$1601,$AS396))</f>
        <v/>
      </c>
      <c r="B396" t="str">
        <f>IF($AS396="","",Config!$B$14)</f>
        <v/>
      </c>
      <c r="C396" t="str">
        <f>IF($AS396="","",Config!$B$15)</f>
        <v/>
      </c>
      <c r="D396" t="str">
        <f>IF($AS396="","",INDEX('TMP Paste'!$B$2:$B$1601,$AS396))</f>
        <v/>
      </c>
      <c r="E396" t="str">
        <f>IF($AS396="","",Config!$B$27)</f>
        <v/>
      </c>
      <c r="F396" t="str">
        <f>IF($AS396="","",Config!$B$9)</f>
        <v/>
      </c>
      <c r="G396" t="str">
        <f>IF($AS396="","",Config!$B$10)</f>
        <v/>
      </c>
      <c r="H396" t="str">
        <f>IF($AS396="","",Config!$B$11)</f>
        <v/>
      </c>
      <c r="I396" t="str">
        <f>IF($AS396="","",Config!$B$16)</f>
        <v/>
      </c>
      <c r="J396" t="str">
        <f>IF($AS396="","",INDEX('TMP Paste'!$A$2:$A$1601,$AS396))</f>
        <v/>
      </c>
      <c r="K396" t="str">
        <f>IF($AS396="","",INDEX('TMP Paste'!$L$2:$L$1601,$AS396))</f>
        <v/>
      </c>
      <c r="L396" t="str">
        <f>IF($AS396="","",INDEX('TMP Paste'!$I$2:$I$1601,$AS396))</f>
        <v/>
      </c>
      <c r="M396" t="str">
        <f>IF($AS396="","",Config!$B$16)</f>
        <v/>
      </c>
      <c r="N396" t="str">
        <f t="shared" si="36"/>
        <v/>
      </c>
      <c r="O396" t="str">
        <f>IF($AS396="","",INDEX('TMP Paste'!$K$2:$K$1601,$AS396))</f>
        <v/>
      </c>
      <c r="P396" t="str">
        <f t="shared" si="37"/>
        <v/>
      </c>
      <c r="Q396" t="str">
        <f>IF($AS396="","",INDEX('TMP Paste'!$J$2:$J$1601,$AS396))</f>
        <v/>
      </c>
      <c r="R396" t="str">
        <f>IF($AS396="","",Config!$B$24)</f>
        <v/>
      </c>
      <c r="S396" t="str">
        <f ca="1">IF($AS396="","",TEXT(Config!$B$4,"yyyy-mm-dd"))</f>
        <v/>
      </c>
      <c r="T396" t="str">
        <f>IF($AS396="","",Config!$B$17)</f>
        <v/>
      </c>
      <c r="U396" t="str">
        <f>IF($AS396="","",Config!$B$18)</f>
        <v/>
      </c>
      <c r="V396" t="str">
        <f>IF($AS396="","",Config!$B$19)</f>
        <v/>
      </c>
      <c r="W396" t="str">
        <f>IF($AS396="","",INDEX('TMP Paste'!$C$2:$C$1601,$AS396))</f>
        <v/>
      </c>
      <c r="X396" t="str">
        <f>IF($AS396="","",Config!$B$29)</f>
        <v/>
      </c>
      <c r="Y396" t="str">
        <f>IF($AT396="","",INDEX(Calc!$I$2:$I$1601,$AT396)&amp;" - "&amp;INDEX(Calc!$D$2:$D$1601,$AT396)&amp;" koli")</f>
        <v/>
      </c>
      <c r="Z396" t="str">
        <f>IF($AS396="","",Config!$B$21)</f>
        <v/>
      </c>
      <c r="AA396" t="str">
        <f>IF($AS396="","",Config!$B$22)</f>
        <v/>
      </c>
      <c r="AB396" t="str">
        <f>IF($AT396="","",INDEX(Calc!$D$2:$D$1601,$AT396))</f>
        <v/>
      </c>
      <c r="AC396" t="str">
        <f>IF($AT396="","",INDEX(Calc!$G$2:$G$1601,$AT396))</f>
        <v/>
      </c>
      <c r="AD396" t="str">
        <f>IF($AS396="","",Config!$B$23)</f>
        <v/>
      </c>
      <c r="AE396" t="str">
        <f>IF($AS396="","",Config!$B$28)</f>
        <v/>
      </c>
      <c r="AF396" t="str">
        <f t="shared" si="38"/>
        <v/>
      </c>
      <c r="AG396" t="str">
        <f t="shared" si="39"/>
        <v/>
      </c>
      <c r="AH396" t="str">
        <f t="shared" si="40"/>
        <v/>
      </c>
      <c r="AI396" t="str">
        <f>IF($AG396="","",SUMIF($AG$2:$AG396,$AG396,$AH$2:$AH396))</f>
        <v/>
      </c>
      <c r="AJ396" t="str">
        <f>IF('TMP Paste'!$F396="","",IF('TMP Paste'!$B396="",$AJ395,'TMP Paste'!$B396))</f>
        <v/>
      </c>
      <c r="AK396" t="str">
        <f>IF('TMP Paste'!$F396="","",N('TMP Paste'!$G396))</f>
        <v/>
      </c>
      <c r="AL396" t="str">
        <f>IF('TMP Paste'!$F396="","",IF('TMP Paste'!$M396="",$AL395,'TMP Paste'!$M396))</f>
        <v/>
      </c>
      <c r="AM396" t="str">
        <f>IF('TMP Paste'!$F396="","",IF('TMP Paste'!$N396="",$AM395,'TMP Paste'!$N396))</f>
        <v/>
      </c>
      <c r="AN396" t="str">
        <f>IF('TMP Paste'!$F396="","",IF('TMP Paste'!$O396="",$AN395,'TMP Paste'!$O396))</f>
        <v/>
      </c>
      <c r="AO396" t="str">
        <f>IF('TMP Paste'!$F396="","",IF('TMP Paste'!$P396="",$AO395,'TMP Paste'!$P396))</f>
        <v/>
      </c>
      <c r="AP396" t="str">
        <f t="shared" si="41"/>
        <v/>
      </c>
      <c r="AQ396" t="str">
        <f>IF($AS396="","",TRIM(IF(COUNTIFS(Calc!$B$2:$B$1601,ROW()-1,Calc!$C$2:$C$1601,"&lt;1")&gt;0,"Ada PO tanpa Koli - cek TMP. ","")&amp;IF(OR($AU396="",$AU396&lt;=0),"Volume kosong/0 - dimensi dikosongkan. ","")&amp;IF(AND($AU396&lt;&gt;"",$AU396&gt;=1000000),"Volume &gt;= 1.000.000 cm3 (di luar aturan) - dimensi dikosongkan. ","")&amp;IF(LEN($R396)&gt;500,"R &gt; 500 karakter.","")))</f>
        <v/>
      </c>
      <c r="AS396" t="str">
        <f>IFERROR(MATCH(ROW()-1,Calc!$J$2:$J$1601,0),"")</f>
        <v/>
      </c>
      <c r="AT396" t="str">
        <f>IFERROR(MATCH(ROW()-1,Calc!$K$2:$K$1601,0),"")</f>
        <v/>
      </c>
      <c r="AU396" t="str">
        <f>IF($AS396="","",IFERROR(INDEX('TMP Paste'!$D$2:$D$1601,$AS396)*1000000/$AB396,""))</f>
        <v/>
      </c>
    </row>
    <row r="397" spans="1:47">
      <c r="A397" t="str">
        <f>IF($AS397="","",INDEX('TMP Paste'!$B$2:$B$1601,$AS397))</f>
        <v/>
      </c>
      <c r="B397" t="str">
        <f>IF($AS397="","",Config!$B$14)</f>
        <v/>
      </c>
      <c r="C397" t="str">
        <f>IF($AS397="","",Config!$B$15)</f>
        <v/>
      </c>
      <c r="D397" t="str">
        <f>IF($AS397="","",INDEX('TMP Paste'!$B$2:$B$1601,$AS397))</f>
        <v/>
      </c>
      <c r="E397" t="str">
        <f>IF($AS397="","",Config!$B$27)</f>
        <v/>
      </c>
      <c r="F397" t="str">
        <f>IF($AS397="","",Config!$B$9)</f>
        <v/>
      </c>
      <c r="G397" t="str">
        <f>IF($AS397="","",Config!$B$10)</f>
        <v/>
      </c>
      <c r="H397" t="str">
        <f>IF($AS397="","",Config!$B$11)</f>
        <v/>
      </c>
      <c r="I397" t="str">
        <f>IF($AS397="","",Config!$B$16)</f>
        <v/>
      </c>
      <c r="J397" t="str">
        <f>IF($AS397="","",INDEX('TMP Paste'!$A$2:$A$1601,$AS397))</f>
        <v/>
      </c>
      <c r="K397" t="str">
        <f>IF($AS397="","",INDEX('TMP Paste'!$L$2:$L$1601,$AS397))</f>
        <v/>
      </c>
      <c r="L397" t="str">
        <f>IF($AS397="","",INDEX('TMP Paste'!$I$2:$I$1601,$AS397))</f>
        <v/>
      </c>
      <c r="M397" t="str">
        <f>IF($AS397="","",Config!$B$16)</f>
        <v/>
      </c>
      <c r="N397" t="str">
        <f t="shared" si="36"/>
        <v/>
      </c>
      <c r="O397" t="str">
        <f>IF($AS397="","",INDEX('TMP Paste'!$K$2:$K$1601,$AS397))</f>
        <v/>
      </c>
      <c r="P397" t="str">
        <f t="shared" si="37"/>
        <v/>
      </c>
      <c r="Q397" t="str">
        <f>IF($AS397="","",INDEX('TMP Paste'!$J$2:$J$1601,$AS397))</f>
        <v/>
      </c>
      <c r="R397" t="str">
        <f>IF($AS397="","",Config!$B$24)</f>
        <v/>
      </c>
      <c r="S397" t="str">
        <f ca="1">IF($AS397="","",TEXT(Config!$B$4,"yyyy-mm-dd"))</f>
        <v/>
      </c>
      <c r="T397" t="str">
        <f>IF($AS397="","",Config!$B$17)</f>
        <v/>
      </c>
      <c r="U397" t="str">
        <f>IF($AS397="","",Config!$B$18)</f>
        <v/>
      </c>
      <c r="V397" t="str">
        <f>IF($AS397="","",Config!$B$19)</f>
        <v/>
      </c>
      <c r="W397" t="str">
        <f>IF($AS397="","",INDEX('TMP Paste'!$C$2:$C$1601,$AS397))</f>
        <v/>
      </c>
      <c r="X397" t="str">
        <f>IF($AS397="","",Config!$B$29)</f>
        <v/>
      </c>
      <c r="Y397" t="str">
        <f>IF($AT397="","",INDEX(Calc!$I$2:$I$1601,$AT397)&amp;" - "&amp;INDEX(Calc!$D$2:$D$1601,$AT397)&amp;" koli")</f>
        <v/>
      </c>
      <c r="Z397" t="str">
        <f>IF($AS397="","",Config!$B$21)</f>
        <v/>
      </c>
      <c r="AA397" t="str">
        <f>IF($AS397="","",Config!$B$22)</f>
        <v/>
      </c>
      <c r="AB397" t="str">
        <f>IF($AT397="","",INDEX(Calc!$D$2:$D$1601,$AT397))</f>
        <v/>
      </c>
      <c r="AC397" t="str">
        <f>IF($AT397="","",INDEX(Calc!$G$2:$G$1601,$AT397))</f>
        <v/>
      </c>
      <c r="AD397" t="str">
        <f>IF($AS397="","",Config!$B$23)</f>
        <v/>
      </c>
      <c r="AE397" t="str">
        <f>IF($AS397="","",Config!$B$28)</f>
        <v/>
      </c>
      <c r="AF397" t="str">
        <f t="shared" si="38"/>
        <v/>
      </c>
      <c r="AG397" t="str">
        <f t="shared" si="39"/>
        <v/>
      </c>
      <c r="AH397" t="str">
        <f t="shared" si="40"/>
        <v/>
      </c>
      <c r="AI397" t="str">
        <f>IF($AG397="","",SUMIF($AG$2:$AG397,$AG397,$AH$2:$AH397))</f>
        <v/>
      </c>
      <c r="AJ397" t="str">
        <f>IF('TMP Paste'!$F397="","",IF('TMP Paste'!$B397="",$AJ396,'TMP Paste'!$B397))</f>
        <v/>
      </c>
      <c r="AK397" t="str">
        <f>IF('TMP Paste'!$F397="","",N('TMP Paste'!$G397))</f>
        <v/>
      </c>
      <c r="AL397" t="str">
        <f>IF('TMP Paste'!$F397="","",IF('TMP Paste'!$M397="",$AL396,'TMP Paste'!$M397))</f>
        <v/>
      </c>
      <c r="AM397" t="str">
        <f>IF('TMP Paste'!$F397="","",IF('TMP Paste'!$N397="",$AM396,'TMP Paste'!$N397))</f>
        <v/>
      </c>
      <c r="AN397" t="str">
        <f>IF('TMP Paste'!$F397="","",IF('TMP Paste'!$O397="",$AN396,'TMP Paste'!$O397))</f>
        <v/>
      </c>
      <c r="AO397" t="str">
        <f>IF('TMP Paste'!$F397="","",IF('TMP Paste'!$P397="",$AO396,'TMP Paste'!$P397))</f>
        <v/>
      </c>
      <c r="AP397" t="str">
        <f t="shared" si="41"/>
        <v/>
      </c>
      <c r="AQ397" t="str">
        <f>IF($AS397="","",TRIM(IF(COUNTIFS(Calc!$B$2:$B$1601,ROW()-1,Calc!$C$2:$C$1601,"&lt;1")&gt;0,"Ada PO tanpa Koli - cek TMP. ","")&amp;IF(OR($AU397="",$AU397&lt;=0),"Volume kosong/0 - dimensi dikosongkan. ","")&amp;IF(AND($AU397&lt;&gt;"",$AU397&gt;=1000000),"Volume &gt;= 1.000.000 cm3 (di luar aturan) - dimensi dikosongkan. ","")&amp;IF(LEN($R397)&gt;500,"R &gt; 500 karakter.","")))</f>
        <v/>
      </c>
      <c r="AS397" t="str">
        <f>IFERROR(MATCH(ROW()-1,Calc!$J$2:$J$1601,0),"")</f>
        <v/>
      </c>
      <c r="AT397" t="str">
        <f>IFERROR(MATCH(ROW()-1,Calc!$K$2:$K$1601,0),"")</f>
        <v/>
      </c>
      <c r="AU397" t="str">
        <f>IF($AS397="","",IFERROR(INDEX('TMP Paste'!$D$2:$D$1601,$AS397)*1000000/$AB397,""))</f>
        <v/>
      </c>
    </row>
    <row r="398" spans="1:47">
      <c r="A398" t="str">
        <f>IF($AS398="","",INDEX('TMP Paste'!$B$2:$B$1601,$AS398))</f>
        <v/>
      </c>
      <c r="B398" t="str">
        <f>IF($AS398="","",Config!$B$14)</f>
        <v/>
      </c>
      <c r="C398" t="str">
        <f>IF($AS398="","",Config!$B$15)</f>
        <v/>
      </c>
      <c r="D398" t="str">
        <f>IF($AS398="","",INDEX('TMP Paste'!$B$2:$B$1601,$AS398))</f>
        <v/>
      </c>
      <c r="E398" t="str">
        <f>IF($AS398="","",Config!$B$27)</f>
        <v/>
      </c>
      <c r="F398" t="str">
        <f>IF($AS398="","",Config!$B$9)</f>
        <v/>
      </c>
      <c r="G398" t="str">
        <f>IF($AS398="","",Config!$B$10)</f>
        <v/>
      </c>
      <c r="H398" t="str">
        <f>IF($AS398="","",Config!$B$11)</f>
        <v/>
      </c>
      <c r="I398" t="str">
        <f>IF($AS398="","",Config!$B$16)</f>
        <v/>
      </c>
      <c r="J398" t="str">
        <f>IF($AS398="","",INDEX('TMP Paste'!$A$2:$A$1601,$AS398))</f>
        <v/>
      </c>
      <c r="K398" t="str">
        <f>IF($AS398="","",INDEX('TMP Paste'!$L$2:$L$1601,$AS398))</f>
        <v/>
      </c>
      <c r="L398" t="str">
        <f>IF($AS398="","",INDEX('TMP Paste'!$I$2:$I$1601,$AS398))</f>
        <v/>
      </c>
      <c r="M398" t="str">
        <f>IF($AS398="","",Config!$B$16)</f>
        <v/>
      </c>
      <c r="N398" t="str">
        <f t="shared" si="36"/>
        <v/>
      </c>
      <c r="O398" t="str">
        <f>IF($AS398="","",INDEX('TMP Paste'!$K$2:$K$1601,$AS398))</f>
        <v/>
      </c>
      <c r="P398" t="str">
        <f t="shared" si="37"/>
        <v/>
      </c>
      <c r="Q398" t="str">
        <f>IF($AS398="","",INDEX('TMP Paste'!$J$2:$J$1601,$AS398))</f>
        <v/>
      </c>
      <c r="R398" t="str">
        <f>IF($AS398="","",Config!$B$24)</f>
        <v/>
      </c>
      <c r="S398" t="str">
        <f ca="1">IF($AS398="","",TEXT(Config!$B$4,"yyyy-mm-dd"))</f>
        <v/>
      </c>
      <c r="T398" t="str">
        <f>IF($AS398="","",Config!$B$17)</f>
        <v/>
      </c>
      <c r="U398" t="str">
        <f>IF($AS398="","",Config!$B$18)</f>
        <v/>
      </c>
      <c r="V398" t="str">
        <f>IF($AS398="","",Config!$B$19)</f>
        <v/>
      </c>
      <c r="W398" t="str">
        <f>IF($AS398="","",INDEX('TMP Paste'!$C$2:$C$1601,$AS398))</f>
        <v/>
      </c>
      <c r="X398" t="str">
        <f>IF($AS398="","",Config!$B$29)</f>
        <v/>
      </c>
      <c r="Y398" t="str">
        <f>IF($AT398="","",INDEX(Calc!$I$2:$I$1601,$AT398)&amp;" - "&amp;INDEX(Calc!$D$2:$D$1601,$AT398)&amp;" koli")</f>
        <v/>
      </c>
      <c r="Z398" t="str">
        <f>IF($AS398="","",Config!$B$21)</f>
        <v/>
      </c>
      <c r="AA398" t="str">
        <f>IF($AS398="","",Config!$B$22)</f>
        <v/>
      </c>
      <c r="AB398" t="str">
        <f>IF($AT398="","",INDEX(Calc!$D$2:$D$1601,$AT398))</f>
        <v/>
      </c>
      <c r="AC398" t="str">
        <f>IF($AT398="","",INDEX(Calc!$G$2:$G$1601,$AT398))</f>
        <v/>
      </c>
      <c r="AD398" t="str">
        <f>IF($AS398="","",Config!$B$23)</f>
        <v/>
      </c>
      <c r="AE398" t="str">
        <f>IF($AS398="","",Config!$B$28)</f>
        <v/>
      </c>
      <c r="AF398" t="str">
        <f t="shared" si="38"/>
        <v/>
      </c>
      <c r="AG398" t="str">
        <f t="shared" si="39"/>
        <v/>
      </c>
      <c r="AH398" t="str">
        <f t="shared" si="40"/>
        <v/>
      </c>
      <c r="AI398" t="str">
        <f>IF($AG398="","",SUMIF($AG$2:$AG398,$AG398,$AH$2:$AH398))</f>
        <v/>
      </c>
      <c r="AJ398" t="str">
        <f>IF('TMP Paste'!$F398="","",IF('TMP Paste'!$B398="",$AJ397,'TMP Paste'!$B398))</f>
        <v/>
      </c>
      <c r="AK398" t="str">
        <f>IF('TMP Paste'!$F398="","",N('TMP Paste'!$G398))</f>
        <v/>
      </c>
      <c r="AL398" t="str">
        <f>IF('TMP Paste'!$F398="","",IF('TMP Paste'!$M398="",$AL397,'TMP Paste'!$M398))</f>
        <v/>
      </c>
      <c r="AM398" t="str">
        <f>IF('TMP Paste'!$F398="","",IF('TMP Paste'!$N398="",$AM397,'TMP Paste'!$N398))</f>
        <v/>
      </c>
      <c r="AN398" t="str">
        <f>IF('TMP Paste'!$F398="","",IF('TMP Paste'!$O398="",$AN397,'TMP Paste'!$O398))</f>
        <v/>
      </c>
      <c r="AO398" t="str">
        <f>IF('TMP Paste'!$F398="","",IF('TMP Paste'!$P398="",$AO397,'TMP Paste'!$P398))</f>
        <v/>
      </c>
      <c r="AP398" t="str">
        <f t="shared" si="41"/>
        <v/>
      </c>
      <c r="AQ398" t="str">
        <f>IF($AS398="","",TRIM(IF(COUNTIFS(Calc!$B$2:$B$1601,ROW()-1,Calc!$C$2:$C$1601,"&lt;1")&gt;0,"Ada PO tanpa Koli - cek TMP. ","")&amp;IF(OR($AU398="",$AU398&lt;=0),"Volume kosong/0 - dimensi dikosongkan. ","")&amp;IF(AND($AU398&lt;&gt;"",$AU398&gt;=1000000),"Volume &gt;= 1.000.000 cm3 (di luar aturan) - dimensi dikosongkan. ","")&amp;IF(LEN($R398)&gt;500,"R &gt; 500 karakter.","")))</f>
        <v/>
      </c>
      <c r="AS398" t="str">
        <f>IFERROR(MATCH(ROW()-1,Calc!$J$2:$J$1601,0),"")</f>
        <v/>
      </c>
      <c r="AT398" t="str">
        <f>IFERROR(MATCH(ROW()-1,Calc!$K$2:$K$1601,0),"")</f>
        <v/>
      </c>
      <c r="AU398" t="str">
        <f>IF($AS398="","",IFERROR(INDEX('TMP Paste'!$D$2:$D$1601,$AS398)*1000000/$AB398,""))</f>
        <v/>
      </c>
    </row>
    <row r="399" spans="1:47">
      <c r="A399" t="str">
        <f>IF($AS399="","",INDEX('TMP Paste'!$B$2:$B$1601,$AS399))</f>
        <v/>
      </c>
      <c r="B399" t="str">
        <f>IF($AS399="","",Config!$B$14)</f>
        <v/>
      </c>
      <c r="C399" t="str">
        <f>IF($AS399="","",Config!$B$15)</f>
        <v/>
      </c>
      <c r="D399" t="str">
        <f>IF($AS399="","",INDEX('TMP Paste'!$B$2:$B$1601,$AS399))</f>
        <v/>
      </c>
      <c r="E399" t="str">
        <f>IF($AS399="","",Config!$B$27)</f>
        <v/>
      </c>
      <c r="F399" t="str">
        <f>IF($AS399="","",Config!$B$9)</f>
        <v/>
      </c>
      <c r="G399" t="str">
        <f>IF($AS399="","",Config!$B$10)</f>
        <v/>
      </c>
      <c r="H399" t="str">
        <f>IF($AS399="","",Config!$B$11)</f>
        <v/>
      </c>
      <c r="I399" t="str">
        <f>IF($AS399="","",Config!$B$16)</f>
        <v/>
      </c>
      <c r="J399" t="str">
        <f>IF($AS399="","",INDEX('TMP Paste'!$A$2:$A$1601,$AS399))</f>
        <v/>
      </c>
      <c r="K399" t="str">
        <f>IF($AS399="","",INDEX('TMP Paste'!$L$2:$L$1601,$AS399))</f>
        <v/>
      </c>
      <c r="L399" t="str">
        <f>IF($AS399="","",INDEX('TMP Paste'!$I$2:$I$1601,$AS399))</f>
        <v/>
      </c>
      <c r="M399" t="str">
        <f>IF($AS399="","",Config!$B$16)</f>
        <v/>
      </c>
      <c r="N399" t="str">
        <f t="shared" si="36"/>
        <v/>
      </c>
      <c r="O399" t="str">
        <f>IF($AS399="","",INDEX('TMP Paste'!$K$2:$K$1601,$AS399))</f>
        <v/>
      </c>
      <c r="P399" t="str">
        <f t="shared" si="37"/>
        <v/>
      </c>
      <c r="Q399" t="str">
        <f>IF($AS399="","",INDEX('TMP Paste'!$J$2:$J$1601,$AS399))</f>
        <v/>
      </c>
      <c r="R399" t="str">
        <f>IF($AS399="","",Config!$B$24)</f>
        <v/>
      </c>
      <c r="S399" t="str">
        <f ca="1">IF($AS399="","",TEXT(Config!$B$4,"yyyy-mm-dd"))</f>
        <v/>
      </c>
      <c r="T399" t="str">
        <f>IF($AS399="","",Config!$B$17)</f>
        <v/>
      </c>
      <c r="U399" t="str">
        <f>IF($AS399="","",Config!$B$18)</f>
        <v/>
      </c>
      <c r="V399" t="str">
        <f>IF($AS399="","",Config!$B$19)</f>
        <v/>
      </c>
      <c r="W399" t="str">
        <f>IF($AS399="","",INDEX('TMP Paste'!$C$2:$C$1601,$AS399))</f>
        <v/>
      </c>
      <c r="X399" t="str">
        <f>IF($AS399="","",Config!$B$29)</f>
        <v/>
      </c>
      <c r="Y399" t="str">
        <f>IF($AT399="","",INDEX(Calc!$I$2:$I$1601,$AT399)&amp;" - "&amp;INDEX(Calc!$D$2:$D$1601,$AT399)&amp;" koli")</f>
        <v/>
      </c>
      <c r="Z399" t="str">
        <f>IF($AS399="","",Config!$B$21)</f>
        <v/>
      </c>
      <c r="AA399" t="str">
        <f>IF($AS399="","",Config!$B$22)</f>
        <v/>
      </c>
      <c r="AB399" t="str">
        <f>IF($AT399="","",INDEX(Calc!$D$2:$D$1601,$AT399))</f>
        <v/>
      </c>
      <c r="AC399" t="str">
        <f>IF($AT399="","",INDEX(Calc!$G$2:$G$1601,$AT399))</f>
        <v/>
      </c>
      <c r="AD399" t="str">
        <f>IF($AS399="","",Config!$B$23)</f>
        <v/>
      </c>
      <c r="AE399" t="str">
        <f>IF($AS399="","",Config!$B$28)</f>
        <v/>
      </c>
      <c r="AF399" t="str">
        <f t="shared" si="38"/>
        <v/>
      </c>
      <c r="AG399" t="str">
        <f t="shared" si="39"/>
        <v/>
      </c>
      <c r="AH399" t="str">
        <f t="shared" si="40"/>
        <v/>
      </c>
      <c r="AI399" t="str">
        <f>IF($AG399="","",SUMIF($AG$2:$AG399,$AG399,$AH$2:$AH399))</f>
        <v/>
      </c>
      <c r="AJ399" t="str">
        <f>IF('TMP Paste'!$F399="","",IF('TMP Paste'!$B399="",$AJ398,'TMP Paste'!$B399))</f>
        <v/>
      </c>
      <c r="AK399" t="str">
        <f>IF('TMP Paste'!$F399="","",N('TMP Paste'!$G399))</f>
        <v/>
      </c>
      <c r="AL399" t="str">
        <f>IF('TMP Paste'!$F399="","",IF('TMP Paste'!$M399="",$AL398,'TMP Paste'!$M399))</f>
        <v/>
      </c>
      <c r="AM399" t="str">
        <f>IF('TMP Paste'!$F399="","",IF('TMP Paste'!$N399="",$AM398,'TMP Paste'!$N399))</f>
        <v/>
      </c>
      <c r="AN399" t="str">
        <f>IF('TMP Paste'!$F399="","",IF('TMP Paste'!$O399="",$AN398,'TMP Paste'!$O399))</f>
        <v/>
      </c>
      <c r="AO399" t="str">
        <f>IF('TMP Paste'!$F399="","",IF('TMP Paste'!$P399="",$AO398,'TMP Paste'!$P399))</f>
        <v/>
      </c>
      <c r="AP399" t="str">
        <f t="shared" si="41"/>
        <v/>
      </c>
      <c r="AQ399" t="str">
        <f>IF($AS399="","",TRIM(IF(COUNTIFS(Calc!$B$2:$B$1601,ROW()-1,Calc!$C$2:$C$1601,"&lt;1")&gt;0,"Ada PO tanpa Koli - cek TMP. ","")&amp;IF(OR($AU399="",$AU399&lt;=0),"Volume kosong/0 - dimensi dikosongkan. ","")&amp;IF(AND($AU399&lt;&gt;"",$AU399&gt;=1000000),"Volume &gt;= 1.000.000 cm3 (di luar aturan) - dimensi dikosongkan. ","")&amp;IF(LEN($R399)&gt;500,"R &gt; 500 karakter.","")))</f>
        <v/>
      </c>
      <c r="AS399" t="str">
        <f>IFERROR(MATCH(ROW()-1,Calc!$J$2:$J$1601,0),"")</f>
        <v/>
      </c>
      <c r="AT399" t="str">
        <f>IFERROR(MATCH(ROW()-1,Calc!$K$2:$K$1601,0),"")</f>
        <v/>
      </c>
      <c r="AU399" t="str">
        <f>IF($AS399="","",IFERROR(INDEX('TMP Paste'!$D$2:$D$1601,$AS399)*1000000/$AB399,""))</f>
        <v/>
      </c>
    </row>
    <row r="400" spans="1:47">
      <c r="A400" t="str">
        <f>IF($AS400="","",INDEX('TMP Paste'!$B$2:$B$1601,$AS400))</f>
        <v/>
      </c>
      <c r="B400" t="str">
        <f>IF($AS400="","",Config!$B$14)</f>
        <v/>
      </c>
      <c r="C400" t="str">
        <f>IF($AS400="","",Config!$B$15)</f>
        <v/>
      </c>
      <c r="D400" t="str">
        <f>IF($AS400="","",INDEX('TMP Paste'!$B$2:$B$1601,$AS400))</f>
        <v/>
      </c>
      <c r="E400" t="str">
        <f>IF($AS400="","",Config!$B$27)</f>
        <v/>
      </c>
      <c r="F400" t="str">
        <f>IF($AS400="","",Config!$B$9)</f>
        <v/>
      </c>
      <c r="G400" t="str">
        <f>IF($AS400="","",Config!$B$10)</f>
        <v/>
      </c>
      <c r="H400" t="str">
        <f>IF($AS400="","",Config!$B$11)</f>
        <v/>
      </c>
      <c r="I400" t="str">
        <f>IF($AS400="","",Config!$B$16)</f>
        <v/>
      </c>
      <c r="J400" t="str">
        <f>IF($AS400="","",INDEX('TMP Paste'!$A$2:$A$1601,$AS400))</f>
        <v/>
      </c>
      <c r="K400" t="str">
        <f>IF($AS400="","",INDEX('TMP Paste'!$L$2:$L$1601,$AS400))</f>
        <v/>
      </c>
      <c r="L400" t="str">
        <f>IF($AS400="","",INDEX('TMP Paste'!$I$2:$I$1601,$AS400))</f>
        <v/>
      </c>
      <c r="M400" t="str">
        <f>IF($AS400="","",Config!$B$16)</f>
        <v/>
      </c>
      <c r="N400" t="str">
        <f t="shared" si="36"/>
        <v/>
      </c>
      <c r="O400" t="str">
        <f>IF($AS400="","",INDEX('TMP Paste'!$K$2:$K$1601,$AS400))</f>
        <v/>
      </c>
      <c r="P400" t="str">
        <f t="shared" si="37"/>
        <v/>
      </c>
      <c r="Q400" t="str">
        <f>IF($AS400="","",INDEX('TMP Paste'!$J$2:$J$1601,$AS400))</f>
        <v/>
      </c>
      <c r="R400" t="str">
        <f>IF($AS400="","",Config!$B$24)</f>
        <v/>
      </c>
      <c r="S400" t="str">
        <f ca="1">IF($AS400="","",TEXT(Config!$B$4,"yyyy-mm-dd"))</f>
        <v/>
      </c>
      <c r="T400" t="str">
        <f>IF($AS400="","",Config!$B$17)</f>
        <v/>
      </c>
      <c r="U400" t="str">
        <f>IF($AS400="","",Config!$B$18)</f>
        <v/>
      </c>
      <c r="V400" t="str">
        <f>IF($AS400="","",Config!$B$19)</f>
        <v/>
      </c>
      <c r="W400" t="str">
        <f>IF($AS400="","",INDEX('TMP Paste'!$C$2:$C$1601,$AS400))</f>
        <v/>
      </c>
      <c r="X400" t="str">
        <f>IF($AS400="","",Config!$B$29)</f>
        <v/>
      </c>
      <c r="Y400" t="str">
        <f>IF($AT400="","",INDEX(Calc!$I$2:$I$1601,$AT400)&amp;" - "&amp;INDEX(Calc!$D$2:$D$1601,$AT400)&amp;" koli")</f>
        <v/>
      </c>
      <c r="Z400" t="str">
        <f>IF($AS400="","",Config!$B$21)</f>
        <v/>
      </c>
      <c r="AA400" t="str">
        <f>IF($AS400="","",Config!$B$22)</f>
        <v/>
      </c>
      <c r="AB400" t="str">
        <f>IF($AT400="","",INDEX(Calc!$D$2:$D$1601,$AT400))</f>
        <v/>
      </c>
      <c r="AC400" t="str">
        <f>IF($AT400="","",INDEX(Calc!$G$2:$G$1601,$AT400))</f>
        <v/>
      </c>
      <c r="AD400" t="str">
        <f>IF($AS400="","",Config!$B$23)</f>
        <v/>
      </c>
      <c r="AE400" t="str">
        <f>IF($AS400="","",Config!$B$28)</f>
        <v/>
      </c>
      <c r="AF400" t="str">
        <f t="shared" si="38"/>
        <v/>
      </c>
      <c r="AG400" t="str">
        <f t="shared" si="39"/>
        <v/>
      </c>
      <c r="AH400" t="str">
        <f t="shared" si="40"/>
        <v/>
      </c>
      <c r="AI400" t="str">
        <f>IF($AG400="","",SUMIF($AG$2:$AG400,$AG400,$AH$2:$AH400))</f>
        <v/>
      </c>
      <c r="AJ400" t="str">
        <f>IF('TMP Paste'!$F400="","",IF('TMP Paste'!$B400="",$AJ399,'TMP Paste'!$B400))</f>
        <v/>
      </c>
      <c r="AK400" t="str">
        <f>IF('TMP Paste'!$F400="","",N('TMP Paste'!$G400))</f>
        <v/>
      </c>
      <c r="AL400" t="str">
        <f>IF('TMP Paste'!$F400="","",IF('TMP Paste'!$M400="",$AL399,'TMP Paste'!$M400))</f>
        <v/>
      </c>
      <c r="AM400" t="str">
        <f>IF('TMP Paste'!$F400="","",IF('TMP Paste'!$N400="",$AM399,'TMP Paste'!$N400))</f>
        <v/>
      </c>
      <c r="AN400" t="str">
        <f>IF('TMP Paste'!$F400="","",IF('TMP Paste'!$O400="",$AN399,'TMP Paste'!$O400))</f>
        <v/>
      </c>
      <c r="AO400" t="str">
        <f>IF('TMP Paste'!$F400="","",IF('TMP Paste'!$P400="",$AO399,'TMP Paste'!$P400))</f>
        <v/>
      </c>
      <c r="AP400" t="str">
        <f t="shared" si="41"/>
        <v/>
      </c>
      <c r="AQ400" t="str">
        <f>IF($AS400="","",TRIM(IF(COUNTIFS(Calc!$B$2:$B$1601,ROW()-1,Calc!$C$2:$C$1601,"&lt;1")&gt;0,"Ada PO tanpa Koli - cek TMP. ","")&amp;IF(OR($AU400="",$AU400&lt;=0),"Volume kosong/0 - dimensi dikosongkan. ","")&amp;IF(AND($AU400&lt;&gt;"",$AU400&gt;=1000000),"Volume &gt;= 1.000.000 cm3 (di luar aturan) - dimensi dikosongkan. ","")&amp;IF(LEN($R400)&gt;500,"R &gt; 500 karakter.","")))</f>
        <v/>
      </c>
      <c r="AS400" t="str">
        <f>IFERROR(MATCH(ROW()-1,Calc!$J$2:$J$1601,0),"")</f>
        <v/>
      </c>
      <c r="AT400" t="str">
        <f>IFERROR(MATCH(ROW()-1,Calc!$K$2:$K$1601,0),"")</f>
        <v/>
      </c>
      <c r="AU400" t="str">
        <f>IF($AS400="","",IFERROR(INDEX('TMP Paste'!$D$2:$D$1601,$AS400)*1000000/$AB400,""))</f>
        <v/>
      </c>
    </row>
    <row r="401" spans="1:47">
      <c r="A401" t="str">
        <f>IF($AS401="","",INDEX('TMP Paste'!$B$2:$B$1601,$AS401))</f>
        <v/>
      </c>
      <c r="B401" t="str">
        <f>IF($AS401="","",Config!$B$14)</f>
        <v/>
      </c>
      <c r="C401" t="str">
        <f>IF($AS401="","",Config!$B$15)</f>
        <v/>
      </c>
      <c r="D401" t="str">
        <f>IF($AS401="","",INDEX('TMP Paste'!$B$2:$B$1601,$AS401))</f>
        <v/>
      </c>
      <c r="E401" t="str">
        <f>IF($AS401="","",Config!$B$27)</f>
        <v/>
      </c>
      <c r="F401" t="str">
        <f>IF($AS401="","",Config!$B$9)</f>
        <v/>
      </c>
      <c r="G401" t="str">
        <f>IF($AS401="","",Config!$B$10)</f>
        <v/>
      </c>
      <c r="H401" t="str">
        <f>IF($AS401="","",Config!$B$11)</f>
        <v/>
      </c>
      <c r="I401" t="str">
        <f>IF($AS401="","",Config!$B$16)</f>
        <v/>
      </c>
      <c r="J401" t="str">
        <f>IF($AS401="","",INDEX('TMP Paste'!$A$2:$A$1601,$AS401))</f>
        <v/>
      </c>
      <c r="K401" t="str">
        <f>IF($AS401="","",INDEX('TMP Paste'!$L$2:$L$1601,$AS401))</f>
        <v/>
      </c>
      <c r="L401" t="str">
        <f>IF($AS401="","",INDEX('TMP Paste'!$I$2:$I$1601,$AS401))</f>
        <v/>
      </c>
      <c r="M401" t="str">
        <f>IF($AS401="","",Config!$B$16)</f>
        <v/>
      </c>
      <c r="N401" t="str">
        <f t="shared" si="36"/>
        <v/>
      </c>
      <c r="O401" t="str">
        <f>IF($AS401="","",INDEX('TMP Paste'!$K$2:$K$1601,$AS401))</f>
        <v/>
      </c>
      <c r="P401" t="str">
        <f t="shared" si="37"/>
        <v/>
      </c>
      <c r="Q401" t="str">
        <f>IF($AS401="","",INDEX('TMP Paste'!$J$2:$J$1601,$AS401))</f>
        <v/>
      </c>
      <c r="R401" t="str">
        <f>IF($AS401="","",Config!$B$24)</f>
        <v/>
      </c>
      <c r="S401" t="str">
        <f ca="1">IF($AS401="","",TEXT(Config!$B$4,"yyyy-mm-dd"))</f>
        <v/>
      </c>
      <c r="T401" t="str">
        <f>IF($AS401="","",Config!$B$17)</f>
        <v/>
      </c>
      <c r="U401" t="str">
        <f>IF($AS401="","",Config!$B$18)</f>
        <v/>
      </c>
      <c r="V401" t="str">
        <f>IF($AS401="","",Config!$B$19)</f>
        <v/>
      </c>
      <c r="W401" t="str">
        <f>IF($AS401="","",INDEX('TMP Paste'!$C$2:$C$1601,$AS401))</f>
        <v/>
      </c>
      <c r="X401" t="str">
        <f>IF($AS401="","",Config!$B$29)</f>
        <v/>
      </c>
      <c r="Y401" t="str">
        <f>IF($AT401="","",INDEX(Calc!$I$2:$I$1601,$AT401)&amp;" - "&amp;INDEX(Calc!$D$2:$D$1601,$AT401)&amp;" koli")</f>
        <v/>
      </c>
      <c r="Z401" t="str">
        <f>IF($AS401="","",Config!$B$21)</f>
        <v/>
      </c>
      <c r="AA401" t="str">
        <f>IF($AS401="","",Config!$B$22)</f>
        <v/>
      </c>
      <c r="AB401" t="str">
        <f>IF($AT401="","",INDEX(Calc!$D$2:$D$1601,$AT401))</f>
        <v/>
      </c>
      <c r="AC401" t="str">
        <f>IF($AT401="","",INDEX(Calc!$G$2:$G$1601,$AT401))</f>
        <v/>
      </c>
      <c r="AD401" t="str">
        <f>IF($AS401="","",Config!$B$23)</f>
        <v/>
      </c>
      <c r="AE401" t="str">
        <f>IF($AS401="","",Config!$B$28)</f>
        <v/>
      </c>
      <c r="AF401" t="str">
        <f t="shared" si="38"/>
        <v/>
      </c>
      <c r="AG401" t="str">
        <f t="shared" si="39"/>
        <v/>
      </c>
      <c r="AH401" t="str">
        <f t="shared" si="40"/>
        <v/>
      </c>
      <c r="AI401" t="str">
        <f>IF($AG401="","",SUMIF($AG$2:$AG401,$AG401,$AH$2:$AH401))</f>
        <v/>
      </c>
      <c r="AJ401" t="str">
        <f>IF('TMP Paste'!$F401="","",IF('TMP Paste'!$B401="",$AJ400,'TMP Paste'!$B401))</f>
        <v/>
      </c>
      <c r="AK401" t="str">
        <f>IF('TMP Paste'!$F401="","",N('TMP Paste'!$G401))</f>
        <v/>
      </c>
      <c r="AL401" t="str">
        <f>IF('TMP Paste'!$F401="","",IF('TMP Paste'!$M401="",$AL400,'TMP Paste'!$M401))</f>
        <v/>
      </c>
      <c r="AM401" t="str">
        <f>IF('TMP Paste'!$F401="","",IF('TMP Paste'!$N401="",$AM400,'TMP Paste'!$N401))</f>
        <v/>
      </c>
      <c r="AN401" t="str">
        <f>IF('TMP Paste'!$F401="","",IF('TMP Paste'!$O401="",$AN400,'TMP Paste'!$O401))</f>
        <v/>
      </c>
      <c r="AO401" t="str">
        <f>IF('TMP Paste'!$F401="","",IF('TMP Paste'!$P401="",$AO400,'TMP Paste'!$P401))</f>
        <v/>
      </c>
      <c r="AP401" t="str">
        <f t="shared" si="41"/>
        <v/>
      </c>
      <c r="AQ401" t="str">
        <f>IF($AS401="","",TRIM(IF(COUNTIFS(Calc!$B$2:$B$1601,ROW()-1,Calc!$C$2:$C$1601,"&lt;1")&gt;0,"Ada PO tanpa Koli - cek TMP. ","")&amp;IF(OR($AU401="",$AU401&lt;=0),"Volume kosong/0 - dimensi dikosongkan. ","")&amp;IF(AND($AU401&lt;&gt;"",$AU401&gt;=1000000),"Volume &gt;= 1.000.000 cm3 (di luar aturan) - dimensi dikosongkan. ","")&amp;IF(LEN($R401)&gt;500,"R &gt; 500 karakter.","")))</f>
        <v/>
      </c>
      <c r="AS401" t="str">
        <f>IFERROR(MATCH(ROW()-1,Calc!$J$2:$J$1601,0),"")</f>
        <v/>
      </c>
      <c r="AT401" t="str">
        <f>IFERROR(MATCH(ROW()-1,Calc!$K$2:$K$1601,0),"")</f>
        <v/>
      </c>
      <c r="AU401" t="str">
        <f>IF($AS401="","",IFERROR(INDEX('TMP Paste'!$D$2:$D$1601,$AS401)*1000000/$AB401,""))</f>
        <v/>
      </c>
    </row>
    <row r="402" spans="1:47">
      <c r="A402" t="str">
        <f>IF($AS402="","",INDEX('TMP Paste'!$B$2:$B$1601,$AS402))</f>
        <v/>
      </c>
      <c r="B402" t="str">
        <f>IF($AS402="","",Config!$B$14)</f>
        <v/>
      </c>
      <c r="C402" t="str">
        <f>IF($AS402="","",Config!$B$15)</f>
        <v/>
      </c>
      <c r="D402" t="str">
        <f>IF($AS402="","",INDEX('TMP Paste'!$B$2:$B$1601,$AS402))</f>
        <v/>
      </c>
      <c r="E402" t="str">
        <f>IF($AS402="","",Config!$B$27)</f>
        <v/>
      </c>
      <c r="F402" t="str">
        <f>IF($AS402="","",Config!$B$9)</f>
        <v/>
      </c>
      <c r="G402" t="str">
        <f>IF($AS402="","",Config!$B$10)</f>
        <v/>
      </c>
      <c r="H402" t="str">
        <f>IF($AS402="","",Config!$B$11)</f>
        <v/>
      </c>
      <c r="I402" t="str">
        <f>IF($AS402="","",Config!$B$16)</f>
        <v/>
      </c>
      <c r="J402" t="str">
        <f>IF($AS402="","",INDEX('TMP Paste'!$A$2:$A$1601,$AS402))</f>
        <v/>
      </c>
      <c r="K402" t="str">
        <f>IF($AS402="","",INDEX('TMP Paste'!$L$2:$L$1601,$AS402))</f>
        <v/>
      </c>
      <c r="L402" t="str">
        <f>IF($AS402="","",INDEX('TMP Paste'!$I$2:$I$1601,$AS402))</f>
        <v/>
      </c>
      <c r="M402" t="str">
        <f>IF($AS402="","",Config!$B$16)</f>
        <v/>
      </c>
      <c r="N402" t="str">
        <f t="shared" si="36"/>
        <v/>
      </c>
      <c r="O402" t="str">
        <f>IF($AS402="","",INDEX('TMP Paste'!$K$2:$K$1601,$AS402))</f>
        <v/>
      </c>
      <c r="P402" t="str">
        <f t="shared" si="37"/>
        <v/>
      </c>
      <c r="Q402" t="str">
        <f>IF($AS402="","",INDEX('TMP Paste'!$J$2:$J$1601,$AS402))</f>
        <v/>
      </c>
      <c r="R402" t="str">
        <f>IF($AS402="","",Config!$B$24)</f>
        <v/>
      </c>
      <c r="S402" t="str">
        <f ca="1">IF($AS402="","",TEXT(Config!$B$4,"yyyy-mm-dd"))</f>
        <v/>
      </c>
      <c r="T402" t="str">
        <f>IF($AS402="","",Config!$B$17)</f>
        <v/>
      </c>
      <c r="U402" t="str">
        <f>IF($AS402="","",Config!$B$18)</f>
        <v/>
      </c>
      <c r="V402" t="str">
        <f>IF($AS402="","",Config!$B$19)</f>
        <v/>
      </c>
      <c r="W402" t="str">
        <f>IF($AS402="","",INDEX('TMP Paste'!$C$2:$C$1601,$AS402))</f>
        <v/>
      </c>
      <c r="X402" t="str">
        <f>IF($AS402="","",Config!$B$29)</f>
        <v/>
      </c>
      <c r="Y402" t="str">
        <f>IF($AT402="","",INDEX(Calc!$I$2:$I$1601,$AT402)&amp;" - "&amp;INDEX(Calc!$D$2:$D$1601,$AT402)&amp;" koli")</f>
        <v/>
      </c>
      <c r="Z402" t="str">
        <f>IF($AS402="","",Config!$B$21)</f>
        <v/>
      </c>
      <c r="AA402" t="str">
        <f>IF($AS402="","",Config!$B$22)</f>
        <v/>
      </c>
      <c r="AB402" t="str">
        <f>IF($AT402="","",INDEX(Calc!$D$2:$D$1601,$AT402))</f>
        <v/>
      </c>
      <c r="AC402" t="str">
        <f>IF($AT402="","",INDEX(Calc!$G$2:$G$1601,$AT402))</f>
        <v/>
      </c>
      <c r="AD402" t="str">
        <f>IF($AS402="","",Config!$B$23)</f>
        <v/>
      </c>
      <c r="AE402" t="str">
        <f>IF($AS402="","",Config!$B$28)</f>
        <v/>
      </c>
      <c r="AF402" t="str">
        <f t="shared" si="38"/>
        <v/>
      </c>
      <c r="AG402" t="str">
        <f t="shared" si="39"/>
        <v/>
      </c>
      <c r="AH402" t="str">
        <f t="shared" si="40"/>
        <v/>
      </c>
      <c r="AI402" t="str">
        <f>IF($AG402="","",SUMIF($AG$2:$AG402,$AG402,$AH$2:$AH402))</f>
        <v/>
      </c>
      <c r="AJ402" t="str">
        <f>IF('TMP Paste'!$F402="","",IF('TMP Paste'!$B402="",$AJ401,'TMP Paste'!$B402))</f>
        <v/>
      </c>
      <c r="AK402" t="str">
        <f>IF('TMP Paste'!$F402="","",N('TMP Paste'!$G402))</f>
        <v/>
      </c>
      <c r="AL402" t="str">
        <f>IF('TMP Paste'!$F402="","",IF('TMP Paste'!$M402="",$AL401,'TMP Paste'!$M402))</f>
        <v/>
      </c>
      <c r="AM402" t="str">
        <f>IF('TMP Paste'!$F402="","",IF('TMP Paste'!$N402="",$AM401,'TMP Paste'!$N402))</f>
        <v/>
      </c>
      <c r="AN402" t="str">
        <f>IF('TMP Paste'!$F402="","",IF('TMP Paste'!$O402="",$AN401,'TMP Paste'!$O402))</f>
        <v/>
      </c>
      <c r="AO402" t="str">
        <f>IF('TMP Paste'!$F402="","",IF('TMP Paste'!$P402="",$AO401,'TMP Paste'!$P402))</f>
        <v/>
      </c>
      <c r="AP402" t="str">
        <f t="shared" si="41"/>
        <v/>
      </c>
      <c r="AQ402" t="str">
        <f>IF($AS402="","",TRIM(IF(COUNTIFS(Calc!$B$2:$B$1601,ROW()-1,Calc!$C$2:$C$1601,"&lt;1")&gt;0,"Ada PO tanpa Koli - cek TMP. ","")&amp;IF(OR($AU402="",$AU402&lt;=0),"Volume kosong/0 - dimensi dikosongkan. ","")&amp;IF(AND($AU402&lt;&gt;"",$AU402&gt;=1000000),"Volume &gt;= 1.000.000 cm3 (di luar aturan) - dimensi dikosongkan. ","")&amp;IF(LEN($R402)&gt;500,"R &gt; 500 karakter.","")))</f>
        <v/>
      </c>
      <c r="AS402" t="str">
        <f>IFERROR(MATCH(ROW()-1,Calc!$J$2:$J$1601,0),"")</f>
        <v/>
      </c>
      <c r="AT402" t="str">
        <f>IFERROR(MATCH(ROW()-1,Calc!$K$2:$K$1601,0),"")</f>
        <v/>
      </c>
      <c r="AU402" t="str">
        <f>IF($AS402="","",IFERROR(INDEX('TMP Paste'!$D$2:$D$1601,$AS402)*1000000/$AB402,""))</f>
        <v/>
      </c>
    </row>
    <row r="403" spans="1:47">
      <c r="A403" t="str">
        <f>IF($AS403="","",INDEX('TMP Paste'!$B$2:$B$1601,$AS403))</f>
        <v/>
      </c>
      <c r="B403" t="str">
        <f>IF($AS403="","",Config!$B$14)</f>
        <v/>
      </c>
      <c r="C403" t="str">
        <f>IF($AS403="","",Config!$B$15)</f>
        <v/>
      </c>
      <c r="D403" t="str">
        <f>IF($AS403="","",INDEX('TMP Paste'!$B$2:$B$1601,$AS403))</f>
        <v/>
      </c>
      <c r="E403" t="str">
        <f>IF($AS403="","",Config!$B$27)</f>
        <v/>
      </c>
      <c r="F403" t="str">
        <f>IF($AS403="","",Config!$B$9)</f>
        <v/>
      </c>
      <c r="G403" t="str">
        <f>IF($AS403="","",Config!$B$10)</f>
        <v/>
      </c>
      <c r="H403" t="str">
        <f>IF($AS403="","",Config!$B$11)</f>
        <v/>
      </c>
      <c r="I403" t="str">
        <f>IF($AS403="","",Config!$B$16)</f>
        <v/>
      </c>
      <c r="J403" t="str">
        <f>IF($AS403="","",INDEX('TMP Paste'!$A$2:$A$1601,$AS403))</f>
        <v/>
      </c>
      <c r="K403" t="str">
        <f>IF($AS403="","",INDEX('TMP Paste'!$L$2:$L$1601,$AS403))</f>
        <v/>
      </c>
      <c r="L403" t="str">
        <f>IF($AS403="","",INDEX('TMP Paste'!$I$2:$I$1601,$AS403))</f>
        <v/>
      </c>
      <c r="M403" t="str">
        <f>IF($AS403="","",Config!$B$16)</f>
        <v/>
      </c>
      <c r="N403" t="str">
        <f t="shared" si="36"/>
        <v/>
      </c>
      <c r="O403" t="str">
        <f>IF($AS403="","",INDEX('TMP Paste'!$K$2:$K$1601,$AS403))</f>
        <v/>
      </c>
      <c r="P403" t="str">
        <f t="shared" si="37"/>
        <v/>
      </c>
      <c r="Q403" t="str">
        <f>IF($AS403="","",INDEX('TMP Paste'!$J$2:$J$1601,$AS403))</f>
        <v/>
      </c>
      <c r="R403" t="str">
        <f>IF($AS403="","",Config!$B$24)</f>
        <v/>
      </c>
      <c r="S403" t="str">
        <f ca="1">IF($AS403="","",TEXT(Config!$B$4,"yyyy-mm-dd"))</f>
        <v/>
      </c>
      <c r="T403" t="str">
        <f>IF($AS403="","",Config!$B$17)</f>
        <v/>
      </c>
      <c r="U403" t="str">
        <f>IF($AS403="","",Config!$B$18)</f>
        <v/>
      </c>
      <c r="V403" t="str">
        <f>IF($AS403="","",Config!$B$19)</f>
        <v/>
      </c>
      <c r="W403" t="str">
        <f>IF($AS403="","",INDEX('TMP Paste'!$C$2:$C$1601,$AS403))</f>
        <v/>
      </c>
      <c r="X403" t="str">
        <f>IF($AS403="","",Config!$B$29)</f>
        <v/>
      </c>
      <c r="Y403" t="str">
        <f>IF($AT403="","",INDEX(Calc!$I$2:$I$1601,$AT403)&amp;" - "&amp;INDEX(Calc!$D$2:$D$1601,$AT403)&amp;" koli")</f>
        <v/>
      </c>
      <c r="Z403" t="str">
        <f>IF($AS403="","",Config!$B$21)</f>
        <v/>
      </c>
      <c r="AA403" t="str">
        <f>IF($AS403="","",Config!$B$22)</f>
        <v/>
      </c>
      <c r="AB403" t="str">
        <f>IF($AT403="","",INDEX(Calc!$D$2:$D$1601,$AT403))</f>
        <v/>
      </c>
      <c r="AC403" t="str">
        <f>IF($AT403="","",INDEX(Calc!$G$2:$G$1601,$AT403))</f>
        <v/>
      </c>
      <c r="AD403" t="str">
        <f>IF($AS403="","",Config!$B$23)</f>
        <v/>
      </c>
      <c r="AE403" t="str">
        <f>IF($AS403="","",Config!$B$28)</f>
        <v/>
      </c>
      <c r="AF403" t="str">
        <f t="shared" si="38"/>
        <v/>
      </c>
      <c r="AG403" t="str">
        <f t="shared" si="39"/>
        <v/>
      </c>
      <c r="AH403" t="str">
        <f t="shared" si="40"/>
        <v/>
      </c>
      <c r="AI403" t="str">
        <f>IF($AG403="","",SUMIF($AG$2:$AG403,$AG403,$AH$2:$AH403))</f>
        <v/>
      </c>
      <c r="AJ403" t="str">
        <f>IF('TMP Paste'!$F403="","",IF('TMP Paste'!$B403="",$AJ402,'TMP Paste'!$B403))</f>
        <v/>
      </c>
      <c r="AK403" t="str">
        <f>IF('TMP Paste'!$F403="","",N('TMP Paste'!$G403))</f>
        <v/>
      </c>
      <c r="AL403" t="str">
        <f>IF('TMP Paste'!$F403="","",IF('TMP Paste'!$M403="",$AL402,'TMP Paste'!$M403))</f>
        <v/>
      </c>
      <c r="AM403" t="str">
        <f>IF('TMP Paste'!$F403="","",IF('TMP Paste'!$N403="",$AM402,'TMP Paste'!$N403))</f>
        <v/>
      </c>
      <c r="AN403" t="str">
        <f>IF('TMP Paste'!$F403="","",IF('TMP Paste'!$O403="",$AN402,'TMP Paste'!$O403))</f>
        <v/>
      </c>
      <c r="AO403" t="str">
        <f>IF('TMP Paste'!$F403="","",IF('TMP Paste'!$P403="",$AO402,'TMP Paste'!$P403))</f>
        <v/>
      </c>
      <c r="AP403" t="str">
        <f t="shared" si="41"/>
        <v/>
      </c>
      <c r="AQ403" t="str">
        <f>IF($AS403="","",TRIM(IF(COUNTIFS(Calc!$B$2:$B$1601,ROW()-1,Calc!$C$2:$C$1601,"&lt;1")&gt;0,"Ada PO tanpa Koli - cek TMP. ","")&amp;IF(OR($AU403="",$AU403&lt;=0),"Volume kosong/0 - dimensi dikosongkan. ","")&amp;IF(AND($AU403&lt;&gt;"",$AU403&gt;=1000000),"Volume &gt;= 1.000.000 cm3 (di luar aturan) - dimensi dikosongkan. ","")&amp;IF(LEN($R403)&gt;500,"R &gt; 500 karakter.","")))</f>
        <v/>
      </c>
      <c r="AS403" t="str">
        <f>IFERROR(MATCH(ROW()-1,Calc!$J$2:$J$1601,0),"")</f>
        <v/>
      </c>
      <c r="AT403" t="str">
        <f>IFERROR(MATCH(ROW()-1,Calc!$K$2:$K$1601,0),"")</f>
        <v/>
      </c>
      <c r="AU403" t="str">
        <f>IF($AS403="","",IFERROR(INDEX('TMP Paste'!$D$2:$D$1601,$AS403)*1000000/$AB403,""))</f>
        <v/>
      </c>
    </row>
    <row r="404" spans="1:47">
      <c r="A404" t="str">
        <f>IF($AS404="","",INDEX('TMP Paste'!$B$2:$B$1601,$AS404))</f>
        <v/>
      </c>
      <c r="B404" t="str">
        <f>IF($AS404="","",Config!$B$14)</f>
        <v/>
      </c>
      <c r="C404" t="str">
        <f>IF($AS404="","",Config!$B$15)</f>
        <v/>
      </c>
      <c r="D404" t="str">
        <f>IF($AS404="","",INDEX('TMP Paste'!$B$2:$B$1601,$AS404))</f>
        <v/>
      </c>
      <c r="E404" t="str">
        <f>IF($AS404="","",Config!$B$27)</f>
        <v/>
      </c>
      <c r="F404" t="str">
        <f>IF($AS404="","",Config!$B$9)</f>
        <v/>
      </c>
      <c r="G404" t="str">
        <f>IF($AS404="","",Config!$B$10)</f>
        <v/>
      </c>
      <c r="H404" t="str">
        <f>IF($AS404="","",Config!$B$11)</f>
        <v/>
      </c>
      <c r="I404" t="str">
        <f>IF($AS404="","",Config!$B$16)</f>
        <v/>
      </c>
      <c r="J404" t="str">
        <f>IF($AS404="","",INDEX('TMP Paste'!$A$2:$A$1601,$AS404))</f>
        <v/>
      </c>
      <c r="K404" t="str">
        <f>IF($AS404="","",INDEX('TMP Paste'!$L$2:$L$1601,$AS404))</f>
        <v/>
      </c>
      <c r="L404" t="str">
        <f>IF($AS404="","",INDEX('TMP Paste'!$I$2:$I$1601,$AS404))</f>
        <v/>
      </c>
      <c r="M404" t="str">
        <f>IF($AS404="","",Config!$B$16)</f>
        <v/>
      </c>
      <c r="N404" t="str">
        <f t="shared" si="36"/>
        <v/>
      </c>
      <c r="O404" t="str">
        <f>IF($AS404="","",INDEX('TMP Paste'!$K$2:$K$1601,$AS404))</f>
        <v/>
      </c>
      <c r="P404" t="str">
        <f t="shared" si="37"/>
        <v/>
      </c>
      <c r="Q404" t="str">
        <f>IF($AS404="","",INDEX('TMP Paste'!$J$2:$J$1601,$AS404))</f>
        <v/>
      </c>
      <c r="R404" t="str">
        <f>IF($AS404="","",Config!$B$24)</f>
        <v/>
      </c>
      <c r="S404" t="str">
        <f ca="1">IF($AS404="","",TEXT(Config!$B$4,"yyyy-mm-dd"))</f>
        <v/>
      </c>
      <c r="T404" t="str">
        <f>IF($AS404="","",Config!$B$17)</f>
        <v/>
      </c>
      <c r="U404" t="str">
        <f>IF($AS404="","",Config!$B$18)</f>
        <v/>
      </c>
      <c r="V404" t="str">
        <f>IF($AS404="","",Config!$B$19)</f>
        <v/>
      </c>
      <c r="W404" t="str">
        <f>IF($AS404="","",INDEX('TMP Paste'!$C$2:$C$1601,$AS404))</f>
        <v/>
      </c>
      <c r="X404" t="str">
        <f>IF($AS404="","",Config!$B$29)</f>
        <v/>
      </c>
      <c r="Y404" t="str">
        <f>IF($AT404="","",INDEX(Calc!$I$2:$I$1601,$AT404)&amp;" - "&amp;INDEX(Calc!$D$2:$D$1601,$AT404)&amp;" koli")</f>
        <v/>
      </c>
      <c r="Z404" t="str">
        <f>IF($AS404="","",Config!$B$21)</f>
        <v/>
      </c>
      <c r="AA404" t="str">
        <f>IF($AS404="","",Config!$B$22)</f>
        <v/>
      </c>
      <c r="AB404" t="str">
        <f>IF($AT404="","",INDEX(Calc!$D$2:$D$1601,$AT404))</f>
        <v/>
      </c>
      <c r="AC404" t="str">
        <f>IF($AT404="","",INDEX(Calc!$G$2:$G$1601,$AT404))</f>
        <v/>
      </c>
      <c r="AD404" t="str">
        <f>IF($AS404="","",Config!$B$23)</f>
        <v/>
      </c>
      <c r="AE404" t="str">
        <f>IF($AS404="","",Config!$B$28)</f>
        <v/>
      </c>
      <c r="AF404" t="str">
        <f t="shared" si="38"/>
        <v/>
      </c>
      <c r="AG404" t="str">
        <f t="shared" si="39"/>
        <v/>
      </c>
      <c r="AH404" t="str">
        <f t="shared" si="40"/>
        <v/>
      </c>
      <c r="AI404" t="str">
        <f>IF($AG404="","",SUMIF($AG$2:$AG404,$AG404,$AH$2:$AH404))</f>
        <v/>
      </c>
      <c r="AJ404" t="str">
        <f>IF('TMP Paste'!$F404="","",IF('TMP Paste'!$B404="",$AJ403,'TMP Paste'!$B404))</f>
        <v/>
      </c>
      <c r="AK404" t="str">
        <f>IF('TMP Paste'!$F404="","",N('TMP Paste'!$G404))</f>
        <v/>
      </c>
      <c r="AL404" t="str">
        <f>IF('TMP Paste'!$F404="","",IF('TMP Paste'!$M404="",$AL403,'TMP Paste'!$M404))</f>
        <v/>
      </c>
      <c r="AM404" t="str">
        <f>IF('TMP Paste'!$F404="","",IF('TMP Paste'!$N404="",$AM403,'TMP Paste'!$N404))</f>
        <v/>
      </c>
      <c r="AN404" t="str">
        <f>IF('TMP Paste'!$F404="","",IF('TMP Paste'!$O404="",$AN403,'TMP Paste'!$O404))</f>
        <v/>
      </c>
      <c r="AO404" t="str">
        <f>IF('TMP Paste'!$F404="","",IF('TMP Paste'!$P404="",$AO403,'TMP Paste'!$P404))</f>
        <v/>
      </c>
      <c r="AP404" t="str">
        <f t="shared" si="41"/>
        <v/>
      </c>
      <c r="AQ404" t="str">
        <f>IF($AS404="","",TRIM(IF(COUNTIFS(Calc!$B$2:$B$1601,ROW()-1,Calc!$C$2:$C$1601,"&lt;1")&gt;0,"Ada PO tanpa Koli - cek TMP. ","")&amp;IF(OR($AU404="",$AU404&lt;=0),"Volume kosong/0 - dimensi dikosongkan. ","")&amp;IF(AND($AU404&lt;&gt;"",$AU404&gt;=1000000),"Volume &gt;= 1.000.000 cm3 (di luar aturan) - dimensi dikosongkan. ","")&amp;IF(LEN($R404)&gt;500,"R &gt; 500 karakter.","")))</f>
        <v/>
      </c>
      <c r="AS404" t="str">
        <f>IFERROR(MATCH(ROW()-1,Calc!$J$2:$J$1601,0),"")</f>
        <v/>
      </c>
      <c r="AT404" t="str">
        <f>IFERROR(MATCH(ROW()-1,Calc!$K$2:$K$1601,0),"")</f>
        <v/>
      </c>
      <c r="AU404" t="str">
        <f>IF($AS404="","",IFERROR(INDEX('TMP Paste'!$D$2:$D$1601,$AS404)*1000000/$AB404,""))</f>
        <v/>
      </c>
    </row>
    <row r="405" spans="1:47">
      <c r="A405" t="str">
        <f>IF($AS405="","",INDEX('TMP Paste'!$B$2:$B$1601,$AS405))</f>
        <v/>
      </c>
      <c r="B405" t="str">
        <f>IF($AS405="","",Config!$B$14)</f>
        <v/>
      </c>
      <c r="C405" t="str">
        <f>IF($AS405="","",Config!$B$15)</f>
        <v/>
      </c>
      <c r="D405" t="str">
        <f>IF($AS405="","",INDEX('TMP Paste'!$B$2:$B$1601,$AS405))</f>
        <v/>
      </c>
      <c r="E405" t="str">
        <f>IF($AS405="","",Config!$B$27)</f>
        <v/>
      </c>
      <c r="F405" t="str">
        <f>IF($AS405="","",Config!$B$9)</f>
        <v/>
      </c>
      <c r="G405" t="str">
        <f>IF($AS405="","",Config!$B$10)</f>
        <v/>
      </c>
      <c r="H405" t="str">
        <f>IF($AS405="","",Config!$B$11)</f>
        <v/>
      </c>
      <c r="I405" t="str">
        <f>IF($AS405="","",Config!$B$16)</f>
        <v/>
      </c>
      <c r="J405" t="str">
        <f>IF($AS405="","",INDEX('TMP Paste'!$A$2:$A$1601,$AS405))</f>
        <v/>
      </c>
      <c r="K405" t="str">
        <f>IF($AS405="","",INDEX('TMP Paste'!$L$2:$L$1601,$AS405))</f>
        <v/>
      </c>
      <c r="L405" t="str">
        <f>IF($AS405="","",INDEX('TMP Paste'!$I$2:$I$1601,$AS405))</f>
        <v/>
      </c>
      <c r="M405" t="str">
        <f>IF($AS405="","",Config!$B$16)</f>
        <v/>
      </c>
      <c r="N405" t="str">
        <f t="shared" si="36"/>
        <v/>
      </c>
      <c r="O405" t="str">
        <f>IF($AS405="","",INDEX('TMP Paste'!$K$2:$K$1601,$AS405))</f>
        <v/>
      </c>
      <c r="P405" t="str">
        <f t="shared" si="37"/>
        <v/>
      </c>
      <c r="Q405" t="str">
        <f>IF($AS405="","",INDEX('TMP Paste'!$J$2:$J$1601,$AS405))</f>
        <v/>
      </c>
      <c r="R405" t="str">
        <f>IF($AS405="","",Config!$B$24)</f>
        <v/>
      </c>
      <c r="S405" t="str">
        <f ca="1">IF($AS405="","",TEXT(Config!$B$4,"yyyy-mm-dd"))</f>
        <v/>
      </c>
      <c r="T405" t="str">
        <f>IF($AS405="","",Config!$B$17)</f>
        <v/>
      </c>
      <c r="U405" t="str">
        <f>IF($AS405="","",Config!$B$18)</f>
        <v/>
      </c>
      <c r="V405" t="str">
        <f>IF($AS405="","",Config!$B$19)</f>
        <v/>
      </c>
      <c r="W405" t="str">
        <f>IF($AS405="","",INDEX('TMP Paste'!$C$2:$C$1601,$AS405))</f>
        <v/>
      </c>
      <c r="X405" t="str">
        <f>IF($AS405="","",Config!$B$29)</f>
        <v/>
      </c>
      <c r="Y405" t="str">
        <f>IF($AT405="","",INDEX(Calc!$I$2:$I$1601,$AT405)&amp;" - "&amp;INDEX(Calc!$D$2:$D$1601,$AT405)&amp;" koli")</f>
        <v/>
      </c>
      <c r="Z405" t="str">
        <f>IF($AS405="","",Config!$B$21)</f>
        <v/>
      </c>
      <c r="AA405" t="str">
        <f>IF($AS405="","",Config!$B$22)</f>
        <v/>
      </c>
      <c r="AB405" t="str">
        <f>IF($AT405="","",INDEX(Calc!$D$2:$D$1601,$AT405))</f>
        <v/>
      </c>
      <c r="AC405" t="str">
        <f>IF($AT405="","",INDEX(Calc!$G$2:$G$1601,$AT405))</f>
        <v/>
      </c>
      <c r="AD405" t="str">
        <f>IF($AS405="","",Config!$B$23)</f>
        <v/>
      </c>
      <c r="AE405" t="str">
        <f>IF($AS405="","",Config!$B$28)</f>
        <v/>
      </c>
      <c r="AF405" t="str">
        <f t="shared" si="38"/>
        <v/>
      </c>
      <c r="AG405" t="str">
        <f t="shared" si="39"/>
        <v/>
      </c>
      <c r="AH405" t="str">
        <f t="shared" si="40"/>
        <v/>
      </c>
      <c r="AI405" t="str">
        <f>IF($AG405="","",SUMIF($AG$2:$AG405,$AG405,$AH$2:$AH405))</f>
        <v/>
      </c>
      <c r="AJ405" t="str">
        <f>IF('TMP Paste'!$F405="","",IF('TMP Paste'!$B405="",$AJ404,'TMP Paste'!$B405))</f>
        <v/>
      </c>
      <c r="AK405" t="str">
        <f>IF('TMP Paste'!$F405="","",N('TMP Paste'!$G405))</f>
        <v/>
      </c>
      <c r="AL405" t="str">
        <f>IF('TMP Paste'!$F405="","",IF('TMP Paste'!$M405="",$AL404,'TMP Paste'!$M405))</f>
        <v/>
      </c>
      <c r="AM405" t="str">
        <f>IF('TMP Paste'!$F405="","",IF('TMP Paste'!$N405="",$AM404,'TMP Paste'!$N405))</f>
        <v/>
      </c>
      <c r="AN405" t="str">
        <f>IF('TMP Paste'!$F405="","",IF('TMP Paste'!$O405="",$AN404,'TMP Paste'!$O405))</f>
        <v/>
      </c>
      <c r="AO405" t="str">
        <f>IF('TMP Paste'!$F405="","",IF('TMP Paste'!$P405="",$AO404,'TMP Paste'!$P405))</f>
        <v/>
      </c>
      <c r="AP405" t="str">
        <f t="shared" si="41"/>
        <v/>
      </c>
      <c r="AQ405" t="str">
        <f>IF($AS405="","",TRIM(IF(COUNTIFS(Calc!$B$2:$B$1601,ROW()-1,Calc!$C$2:$C$1601,"&lt;1")&gt;0,"Ada PO tanpa Koli - cek TMP. ","")&amp;IF(OR($AU405="",$AU405&lt;=0),"Volume kosong/0 - dimensi dikosongkan. ","")&amp;IF(AND($AU405&lt;&gt;"",$AU405&gt;=1000000),"Volume &gt;= 1.000.000 cm3 (di luar aturan) - dimensi dikosongkan. ","")&amp;IF(LEN($R405)&gt;500,"R &gt; 500 karakter.","")))</f>
        <v/>
      </c>
      <c r="AS405" t="str">
        <f>IFERROR(MATCH(ROW()-1,Calc!$J$2:$J$1601,0),"")</f>
        <v/>
      </c>
      <c r="AT405" t="str">
        <f>IFERROR(MATCH(ROW()-1,Calc!$K$2:$K$1601,0),"")</f>
        <v/>
      </c>
      <c r="AU405" t="str">
        <f>IF($AS405="","",IFERROR(INDEX('TMP Paste'!$D$2:$D$1601,$AS405)*1000000/$AB405,""))</f>
        <v/>
      </c>
    </row>
    <row r="406" spans="1:47">
      <c r="A406" t="str">
        <f>IF($AS406="","",INDEX('TMP Paste'!$B$2:$B$1601,$AS406))</f>
        <v/>
      </c>
      <c r="B406" t="str">
        <f>IF($AS406="","",Config!$B$14)</f>
        <v/>
      </c>
      <c r="C406" t="str">
        <f>IF($AS406="","",Config!$B$15)</f>
        <v/>
      </c>
      <c r="D406" t="str">
        <f>IF($AS406="","",INDEX('TMP Paste'!$B$2:$B$1601,$AS406))</f>
        <v/>
      </c>
      <c r="E406" t="str">
        <f>IF($AS406="","",Config!$B$27)</f>
        <v/>
      </c>
      <c r="F406" t="str">
        <f>IF($AS406="","",Config!$B$9)</f>
        <v/>
      </c>
      <c r="G406" t="str">
        <f>IF($AS406="","",Config!$B$10)</f>
        <v/>
      </c>
      <c r="H406" t="str">
        <f>IF($AS406="","",Config!$B$11)</f>
        <v/>
      </c>
      <c r="I406" t="str">
        <f>IF($AS406="","",Config!$B$16)</f>
        <v/>
      </c>
      <c r="J406" t="str">
        <f>IF($AS406="","",INDEX('TMP Paste'!$A$2:$A$1601,$AS406))</f>
        <v/>
      </c>
      <c r="K406" t="str">
        <f>IF($AS406="","",INDEX('TMP Paste'!$L$2:$L$1601,$AS406))</f>
        <v/>
      </c>
      <c r="L406" t="str">
        <f>IF($AS406="","",INDEX('TMP Paste'!$I$2:$I$1601,$AS406))</f>
        <v/>
      </c>
      <c r="M406" t="str">
        <f>IF($AS406="","",Config!$B$16)</f>
        <v/>
      </c>
      <c r="N406" t="str">
        <f t="shared" si="36"/>
        <v/>
      </c>
      <c r="O406" t="str">
        <f>IF($AS406="","",INDEX('TMP Paste'!$K$2:$K$1601,$AS406))</f>
        <v/>
      </c>
      <c r="P406" t="str">
        <f t="shared" si="37"/>
        <v/>
      </c>
      <c r="Q406" t="str">
        <f>IF($AS406="","",INDEX('TMP Paste'!$J$2:$J$1601,$AS406))</f>
        <v/>
      </c>
      <c r="R406" t="str">
        <f>IF($AS406="","",Config!$B$24)</f>
        <v/>
      </c>
      <c r="S406" t="str">
        <f ca="1">IF($AS406="","",TEXT(Config!$B$4,"yyyy-mm-dd"))</f>
        <v/>
      </c>
      <c r="T406" t="str">
        <f>IF($AS406="","",Config!$B$17)</f>
        <v/>
      </c>
      <c r="U406" t="str">
        <f>IF($AS406="","",Config!$B$18)</f>
        <v/>
      </c>
      <c r="V406" t="str">
        <f>IF($AS406="","",Config!$B$19)</f>
        <v/>
      </c>
      <c r="W406" t="str">
        <f>IF($AS406="","",INDEX('TMP Paste'!$C$2:$C$1601,$AS406))</f>
        <v/>
      </c>
      <c r="X406" t="str">
        <f>IF($AS406="","",Config!$B$29)</f>
        <v/>
      </c>
      <c r="Y406" t="str">
        <f>IF($AT406="","",INDEX(Calc!$I$2:$I$1601,$AT406)&amp;" - "&amp;INDEX(Calc!$D$2:$D$1601,$AT406)&amp;" koli")</f>
        <v/>
      </c>
      <c r="Z406" t="str">
        <f>IF($AS406="","",Config!$B$21)</f>
        <v/>
      </c>
      <c r="AA406" t="str">
        <f>IF($AS406="","",Config!$B$22)</f>
        <v/>
      </c>
      <c r="AB406" t="str">
        <f>IF($AT406="","",INDEX(Calc!$D$2:$D$1601,$AT406))</f>
        <v/>
      </c>
      <c r="AC406" t="str">
        <f>IF($AT406="","",INDEX(Calc!$G$2:$G$1601,$AT406))</f>
        <v/>
      </c>
      <c r="AD406" t="str">
        <f>IF($AS406="","",Config!$B$23)</f>
        <v/>
      </c>
      <c r="AE406" t="str">
        <f>IF($AS406="","",Config!$B$28)</f>
        <v/>
      </c>
      <c r="AF406" t="str">
        <f t="shared" si="38"/>
        <v/>
      </c>
      <c r="AG406" t="str">
        <f t="shared" si="39"/>
        <v/>
      </c>
      <c r="AH406" t="str">
        <f t="shared" si="40"/>
        <v/>
      </c>
      <c r="AI406" t="str">
        <f>IF($AG406="","",SUMIF($AG$2:$AG406,$AG406,$AH$2:$AH406))</f>
        <v/>
      </c>
      <c r="AJ406" t="str">
        <f>IF('TMP Paste'!$F406="","",IF('TMP Paste'!$B406="",$AJ405,'TMP Paste'!$B406))</f>
        <v/>
      </c>
      <c r="AK406" t="str">
        <f>IF('TMP Paste'!$F406="","",N('TMP Paste'!$G406))</f>
        <v/>
      </c>
      <c r="AL406" t="str">
        <f>IF('TMP Paste'!$F406="","",IF('TMP Paste'!$M406="",$AL405,'TMP Paste'!$M406))</f>
        <v/>
      </c>
      <c r="AM406" t="str">
        <f>IF('TMP Paste'!$F406="","",IF('TMP Paste'!$N406="",$AM405,'TMP Paste'!$N406))</f>
        <v/>
      </c>
      <c r="AN406" t="str">
        <f>IF('TMP Paste'!$F406="","",IF('TMP Paste'!$O406="",$AN405,'TMP Paste'!$O406))</f>
        <v/>
      </c>
      <c r="AO406" t="str">
        <f>IF('TMP Paste'!$F406="","",IF('TMP Paste'!$P406="",$AO405,'TMP Paste'!$P406))</f>
        <v/>
      </c>
      <c r="AP406" t="str">
        <f t="shared" si="41"/>
        <v/>
      </c>
      <c r="AQ406" t="str">
        <f>IF($AS406="","",TRIM(IF(COUNTIFS(Calc!$B$2:$B$1601,ROW()-1,Calc!$C$2:$C$1601,"&lt;1")&gt;0,"Ada PO tanpa Koli - cek TMP. ","")&amp;IF(OR($AU406="",$AU406&lt;=0),"Volume kosong/0 - dimensi dikosongkan. ","")&amp;IF(AND($AU406&lt;&gt;"",$AU406&gt;=1000000),"Volume &gt;= 1.000.000 cm3 (di luar aturan) - dimensi dikosongkan. ","")&amp;IF(LEN($R406)&gt;500,"R &gt; 500 karakter.","")))</f>
        <v/>
      </c>
      <c r="AS406" t="str">
        <f>IFERROR(MATCH(ROW()-1,Calc!$J$2:$J$1601,0),"")</f>
        <v/>
      </c>
      <c r="AT406" t="str">
        <f>IFERROR(MATCH(ROW()-1,Calc!$K$2:$K$1601,0),"")</f>
        <v/>
      </c>
      <c r="AU406" t="str">
        <f>IF($AS406="","",IFERROR(INDEX('TMP Paste'!$D$2:$D$1601,$AS406)*1000000/$AB406,""))</f>
        <v/>
      </c>
    </row>
    <row r="407" spans="1:47">
      <c r="A407" t="str">
        <f>IF($AS407="","",INDEX('TMP Paste'!$B$2:$B$1601,$AS407))</f>
        <v/>
      </c>
      <c r="B407" t="str">
        <f>IF($AS407="","",Config!$B$14)</f>
        <v/>
      </c>
      <c r="C407" t="str">
        <f>IF($AS407="","",Config!$B$15)</f>
        <v/>
      </c>
      <c r="D407" t="str">
        <f>IF($AS407="","",INDEX('TMP Paste'!$B$2:$B$1601,$AS407))</f>
        <v/>
      </c>
      <c r="E407" t="str">
        <f>IF($AS407="","",Config!$B$27)</f>
        <v/>
      </c>
      <c r="F407" t="str">
        <f>IF($AS407="","",Config!$B$9)</f>
        <v/>
      </c>
      <c r="G407" t="str">
        <f>IF($AS407="","",Config!$B$10)</f>
        <v/>
      </c>
      <c r="H407" t="str">
        <f>IF($AS407="","",Config!$B$11)</f>
        <v/>
      </c>
      <c r="I407" t="str">
        <f>IF($AS407="","",Config!$B$16)</f>
        <v/>
      </c>
      <c r="J407" t="str">
        <f>IF($AS407="","",INDEX('TMP Paste'!$A$2:$A$1601,$AS407))</f>
        <v/>
      </c>
      <c r="K407" t="str">
        <f>IF($AS407="","",INDEX('TMP Paste'!$L$2:$L$1601,$AS407))</f>
        <v/>
      </c>
      <c r="L407" t="str">
        <f>IF($AS407="","",INDEX('TMP Paste'!$I$2:$I$1601,$AS407))</f>
        <v/>
      </c>
      <c r="M407" t="str">
        <f>IF($AS407="","",Config!$B$16)</f>
        <v/>
      </c>
      <c r="N407" t="str">
        <f t="shared" si="36"/>
        <v/>
      </c>
      <c r="O407" t="str">
        <f>IF($AS407="","",INDEX('TMP Paste'!$K$2:$K$1601,$AS407))</f>
        <v/>
      </c>
      <c r="P407" t="str">
        <f t="shared" si="37"/>
        <v/>
      </c>
      <c r="Q407" t="str">
        <f>IF($AS407="","",INDEX('TMP Paste'!$J$2:$J$1601,$AS407))</f>
        <v/>
      </c>
      <c r="R407" t="str">
        <f>IF($AS407="","",Config!$B$24)</f>
        <v/>
      </c>
      <c r="S407" t="str">
        <f ca="1">IF($AS407="","",TEXT(Config!$B$4,"yyyy-mm-dd"))</f>
        <v/>
      </c>
      <c r="T407" t="str">
        <f>IF($AS407="","",Config!$B$17)</f>
        <v/>
      </c>
      <c r="U407" t="str">
        <f>IF($AS407="","",Config!$B$18)</f>
        <v/>
      </c>
      <c r="V407" t="str">
        <f>IF($AS407="","",Config!$B$19)</f>
        <v/>
      </c>
      <c r="W407" t="str">
        <f>IF($AS407="","",INDEX('TMP Paste'!$C$2:$C$1601,$AS407))</f>
        <v/>
      </c>
      <c r="X407" t="str">
        <f>IF($AS407="","",Config!$B$29)</f>
        <v/>
      </c>
      <c r="Y407" t="str">
        <f>IF($AT407="","",INDEX(Calc!$I$2:$I$1601,$AT407)&amp;" - "&amp;INDEX(Calc!$D$2:$D$1601,$AT407)&amp;" koli")</f>
        <v/>
      </c>
      <c r="Z407" t="str">
        <f>IF($AS407="","",Config!$B$21)</f>
        <v/>
      </c>
      <c r="AA407" t="str">
        <f>IF($AS407="","",Config!$B$22)</f>
        <v/>
      </c>
      <c r="AB407" t="str">
        <f>IF($AT407="","",INDEX(Calc!$D$2:$D$1601,$AT407))</f>
        <v/>
      </c>
      <c r="AC407" t="str">
        <f>IF($AT407="","",INDEX(Calc!$G$2:$G$1601,$AT407))</f>
        <v/>
      </c>
      <c r="AD407" t="str">
        <f>IF($AS407="","",Config!$B$23)</f>
        <v/>
      </c>
      <c r="AE407" t="str">
        <f>IF($AS407="","",Config!$B$28)</f>
        <v/>
      </c>
      <c r="AF407" t="str">
        <f t="shared" si="38"/>
        <v/>
      </c>
      <c r="AG407" t="str">
        <f t="shared" si="39"/>
        <v/>
      </c>
      <c r="AH407" t="str">
        <f t="shared" si="40"/>
        <v/>
      </c>
      <c r="AI407" t="str">
        <f>IF($AG407="","",SUMIF($AG$2:$AG407,$AG407,$AH$2:$AH407))</f>
        <v/>
      </c>
      <c r="AJ407" t="str">
        <f>IF('TMP Paste'!$F407="","",IF('TMP Paste'!$B407="",$AJ406,'TMP Paste'!$B407))</f>
        <v/>
      </c>
      <c r="AK407" t="str">
        <f>IF('TMP Paste'!$F407="","",N('TMP Paste'!$G407))</f>
        <v/>
      </c>
      <c r="AL407" t="str">
        <f>IF('TMP Paste'!$F407="","",IF('TMP Paste'!$M407="",$AL406,'TMP Paste'!$M407))</f>
        <v/>
      </c>
      <c r="AM407" t="str">
        <f>IF('TMP Paste'!$F407="","",IF('TMP Paste'!$N407="",$AM406,'TMP Paste'!$N407))</f>
        <v/>
      </c>
      <c r="AN407" t="str">
        <f>IF('TMP Paste'!$F407="","",IF('TMP Paste'!$O407="",$AN406,'TMP Paste'!$O407))</f>
        <v/>
      </c>
      <c r="AO407" t="str">
        <f>IF('TMP Paste'!$F407="","",IF('TMP Paste'!$P407="",$AO406,'TMP Paste'!$P407))</f>
        <v/>
      </c>
      <c r="AP407" t="str">
        <f t="shared" si="41"/>
        <v/>
      </c>
      <c r="AQ407" t="str">
        <f>IF($AS407="","",TRIM(IF(COUNTIFS(Calc!$B$2:$B$1601,ROW()-1,Calc!$C$2:$C$1601,"&lt;1")&gt;0,"Ada PO tanpa Koli - cek TMP. ","")&amp;IF(OR($AU407="",$AU407&lt;=0),"Volume kosong/0 - dimensi dikosongkan. ","")&amp;IF(AND($AU407&lt;&gt;"",$AU407&gt;=1000000),"Volume &gt;= 1.000.000 cm3 (di luar aturan) - dimensi dikosongkan. ","")&amp;IF(LEN($R407)&gt;500,"R &gt; 500 karakter.","")))</f>
        <v/>
      </c>
      <c r="AS407" t="str">
        <f>IFERROR(MATCH(ROW()-1,Calc!$J$2:$J$1601,0),"")</f>
        <v/>
      </c>
      <c r="AT407" t="str">
        <f>IFERROR(MATCH(ROW()-1,Calc!$K$2:$K$1601,0),"")</f>
        <v/>
      </c>
      <c r="AU407" t="str">
        <f>IF($AS407="","",IFERROR(INDEX('TMP Paste'!$D$2:$D$1601,$AS407)*1000000/$AB407,""))</f>
        <v/>
      </c>
    </row>
    <row r="408" spans="1:47">
      <c r="A408" t="str">
        <f>IF($AS408="","",INDEX('TMP Paste'!$B$2:$B$1601,$AS408))</f>
        <v/>
      </c>
      <c r="B408" t="str">
        <f>IF($AS408="","",Config!$B$14)</f>
        <v/>
      </c>
      <c r="C408" t="str">
        <f>IF($AS408="","",Config!$B$15)</f>
        <v/>
      </c>
      <c r="D408" t="str">
        <f>IF($AS408="","",INDEX('TMP Paste'!$B$2:$B$1601,$AS408))</f>
        <v/>
      </c>
      <c r="E408" t="str">
        <f>IF($AS408="","",Config!$B$27)</f>
        <v/>
      </c>
      <c r="F408" t="str">
        <f>IF($AS408="","",Config!$B$9)</f>
        <v/>
      </c>
      <c r="G408" t="str">
        <f>IF($AS408="","",Config!$B$10)</f>
        <v/>
      </c>
      <c r="H408" t="str">
        <f>IF($AS408="","",Config!$B$11)</f>
        <v/>
      </c>
      <c r="I408" t="str">
        <f>IF($AS408="","",Config!$B$16)</f>
        <v/>
      </c>
      <c r="J408" t="str">
        <f>IF($AS408="","",INDEX('TMP Paste'!$A$2:$A$1601,$AS408))</f>
        <v/>
      </c>
      <c r="K408" t="str">
        <f>IF($AS408="","",INDEX('TMP Paste'!$L$2:$L$1601,$AS408))</f>
        <v/>
      </c>
      <c r="L408" t="str">
        <f>IF($AS408="","",INDEX('TMP Paste'!$I$2:$I$1601,$AS408))</f>
        <v/>
      </c>
      <c r="M408" t="str">
        <f>IF($AS408="","",Config!$B$16)</f>
        <v/>
      </c>
      <c r="N408" t="str">
        <f t="shared" si="36"/>
        <v/>
      </c>
      <c r="O408" t="str">
        <f>IF($AS408="","",INDEX('TMP Paste'!$K$2:$K$1601,$AS408))</f>
        <v/>
      </c>
      <c r="P408" t="str">
        <f t="shared" si="37"/>
        <v/>
      </c>
      <c r="Q408" t="str">
        <f>IF($AS408="","",INDEX('TMP Paste'!$J$2:$J$1601,$AS408))</f>
        <v/>
      </c>
      <c r="R408" t="str">
        <f>IF($AS408="","",Config!$B$24)</f>
        <v/>
      </c>
      <c r="S408" t="str">
        <f ca="1">IF($AS408="","",TEXT(Config!$B$4,"yyyy-mm-dd"))</f>
        <v/>
      </c>
      <c r="T408" t="str">
        <f>IF($AS408="","",Config!$B$17)</f>
        <v/>
      </c>
      <c r="U408" t="str">
        <f>IF($AS408="","",Config!$B$18)</f>
        <v/>
      </c>
      <c r="V408" t="str">
        <f>IF($AS408="","",Config!$B$19)</f>
        <v/>
      </c>
      <c r="W408" t="str">
        <f>IF($AS408="","",INDEX('TMP Paste'!$C$2:$C$1601,$AS408))</f>
        <v/>
      </c>
      <c r="X408" t="str">
        <f>IF($AS408="","",Config!$B$29)</f>
        <v/>
      </c>
      <c r="Y408" t="str">
        <f>IF($AT408="","",INDEX(Calc!$I$2:$I$1601,$AT408)&amp;" - "&amp;INDEX(Calc!$D$2:$D$1601,$AT408)&amp;" koli")</f>
        <v/>
      </c>
      <c r="Z408" t="str">
        <f>IF($AS408="","",Config!$B$21)</f>
        <v/>
      </c>
      <c r="AA408" t="str">
        <f>IF($AS408="","",Config!$B$22)</f>
        <v/>
      </c>
      <c r="AB408" t="str">
        <f>IF($AT408="","",INDEX(Calc!$D$2:$D$1601,$AT408))</f>
        <v/>
      </c>
      <c r="AC408" t="str">
        <f>IF($AT408="","",INDEX(Calc!$G$2:$G$1601,$AT408))</f>
        <v/>
      </c>
      <c r="AD408" t="str">
        <f>IF($AS408="","",Config!$B$23)</f>
        <v/>
      </c>
      <c r="AE408" t="str">
        <f>IF($AS408="","",Config!$B$28)</f>
        <v/>
      </c>
      <c r="AF408" t="str">
        <f t="shared" si="38"/>
        <v/>
      </c>
      <c r="AG408" t="str">
        <f t="shared" si="39"/>
        <v/>
      </c>
      <c r="AH408" t="str">
        <f t="shared" si="40"/>
        <v/>
      </c>
      <c r="AI408" t="str">
        <f>IF($AG408="","",SUMIF($AG$2:$AG408,$AG408,$AH$2:$AH408))</f>
        <v/>
      </c>
      <c r="AJ408" t="str">
        <f>IF('TMP Paste'!$F408="","",IF('TMP Paste'!$B408="",$AJ407,'TMP Paste'!$B408))</f>
        <v/>
      </c>
      <c r="AK408" t="str">
        <f>IF('TMP Paste'!$F408="","",N('TMP Paste'!$G408))</f>
        <v/>
      </c>
      <c r="AL408" t="str">
        <f>IF('TMP Paste'!$F408="","",IF('TMP Paste'!$M408="",$AL407,'TMP Paste'!$M408))</f>
        <v/>
      </c>
      <c r="AM408" t="str">
        <f>IF('TMP Paste'!$F408="","",IF('TMP Paste'!$N408="",$AM407,'TMP Paste'!$N408))</f>
        <v/>
      </c>
      <c r="AN408" t="str">
        <f>IF('TMP Paste'!$F408="","",IF('TMP Paste'!$O408="",$AN407,'TMP Paste'!$O408))</f>
        <v/>
      </c>
      <c r="AO408" t="str">
        <f>IF('TMP Paste'!$F408="","",IF('TMP Paste'!$P408="",$AO407,'TMP Paste'!$P408))</f>
        <v/>
      </c>
      <c r="AP408" t="str">
        <f t="shared" si="41"/>
        <v/>
      </c>
      <c r="AQ408" t="str">
        <f>IF($AS408="","",TRIM(IF(COUNTIFS(Calc!$B$2:$B$1601,ROW()-1,Calc!$C$2:$C$1601,"&lt;1")&gt;0,"Ada PO tanpa Koli - cek TMP. ","")&amp;IF(OR($AU408="",$AU408&lt;=0),"Volume kosong/0 - dimensi dikosongkan. ","")&amp;IF(AND($AU408&lt;&gt;"",$AU408&gt;=1000000),"Volume &gt;= 1.000.000 cm3 (di luar aturan) - dimensi dikosongkan. ","")&amp;IF(LEN($R408)&gt;500,"R &gt; 500 karakter.","")))</f>
        <v/>
      </c>
      <c r="AS408" t="str">
        <f>IFERROR(MATCH(ROW()-1,Calc!$J$2:$J$1601,0),"")</f>
        <v/>
      </c>
      <c r="AT408" t="str">
        <f>IFERROR(MATCH(ROW()-1,Calc!$K$2:$K$1601,0),"")</f>
        <v/>
      </c>
      <c r="AU408" t="str">
        <f>IF($AS408="","",IFERROR(INDEX('TMP Paste'!$D$2:$D$1601,$AS408)*1000000/$AB408,""))</f>
        <v/>
      </c>
    </row>
    <row r="409" spans="1:47">
      <c r="A409" t="str">
        <f>IF($AS409="","",INDEX('TMP Paste'!$B$2:$B$1601,$AS409))</f>
        <v/>
      </c>
      <c r="B409" t="str">
        <f>IF($AS409="","",Config!$B$14)</f>
        <v/>
      </c>
      <c r="C409" t="str">
        <f>IF($AS409="","",Config!$B$15)</f>
        <v/>
      </c>
      <c r="D409" t="str">
        <f>IF($AS409="","",INDEX('TMP Paste'!$B$2:$B$1601,$AS409))</f>
        <v/>
      </c>
      <c r="E409" t="str">
        <f>IF($AS409="","",Config!$B$27)</f>
        <v/>
      </c>
      <c r="F409" t="str">
        <f>IF($AS409="","",Config!$B$9)</f>
        <v/>
      </c>
      <c r="G409" t="str">
        <f>IF($AS409="","",Config!$B$10)</f>
        <v/>
      </c>
      <c r="H409" t="str">
        <f>IF($AS409="","",Config!$B$11)</f>
        <v/>
      </c>
      <c r="I409" t="str">
        <f>IF($AS409="","",Config!$B$16)</f>
        <v/>
      </c>
      <c r="J409" t="str">
        <f>IF($AS409="","",INDEX('TMP Paste'!$A$2:$A$1601,$AS409))</f>
        <v/>
      </c>
      <c r="K409" t="str">
        <f>IF($AS409="","",INDEX('TMP Paste'!$L$2:$L$1601,$AS409))</f>
        <v/>
      </c>
      <c r="L409" t="str">
        <f>IF($AS409="","",INDEX('TMP Paste'!$I$2:$I$1601,$AS409))</f>
        <v/>
      </c>
      <c r="M409" t="str">
        <f>IF($AS409="","",Config!$B$16)</f>
        <v/>
      </c>
      <c r="N409" t="str">
        <f t="shared" si="36"/>
        <v/>
      </c>
      <c r="O409" t="str">
        <f>IF($AS409="","",INDEX('TMP Paste'!$K$2:$K$1601,$AS409))</f>
        <v/>
      </c>
      <c r="P409" t="str">
        <f t="shared" si="37"/>
        <v/>
      </c>
      <c r="Q409" t="str">
        <f>IF($AS409="","",INDEX('TMP Paste'!$J$2:$J$1601,$AS409))</f>
        <v/>
      </c>
      <c r="R409" t="str">
        <f>IF($AS409="","",Config!$B$24)</f>
        <v/>
      </c>
      <c r="S409" t="str">
        <f ca="1">IF($AS409="","",TEXT(Config!$B$4,"yyyy-mm-dd"))</f>
        <v/>
      </c>
      <c r="T409" t="str">
        <f>IF($AS409="","",Config!$B$17)</f>
        <v/>
      </c>
      <c r="U409" t="str">
        <f>IF($AS409="","",Config!$B$18)</f>
        <v/>
      </c>
      <c r="V409" t="str">
        <f>IF($AS409="","",Config!$B$19)</f>
        <v/>
      </c>
      <c r="W409" t="str">
        <f>IF($AS409="","",INDEX('TMP Paste'!$C$2:$C$1601,$AS409))</f>
        <v/>
      </c>
      <c r="X409" t="str">
        <f>IF($AS409="","",Config!$B$29)</f>
        <v/>
      </c>
      <c r="Y409" t="str">
        <f>IF($AT409="","",INDEX(Calc!$I$2:$I$1601,$AT409)&amp;" - "&amp;INDEX(Calc!$D$2:$D$1601,$AT409)&amp;" koli")</f>
        <v/>
      </c>
      <c r="Z409" t="str">
        <f>IF($AS409="","",Config!$B$21)</f>
        <v/>
      </c>
      <c r="AA409" t="str">
        <f>IF($AS409="","",Config!$B$22)</f>
        <v/>
      </c>
      <c r="AB409" t="str">
        <f>IF($AT409="","",INDEX(Calc!$D$2:$D$1601,$AT409))</f>
        <v/>
      </c>
      <c r="AC409" t="str">
        <f>IF($AT409="","",INDEX(Calc!$G$2:$G$1601,$AT409))</f>
        <v/>
      </c>
      <c r="AD409" t="str">
        <f>IF($AS409="","",Config!$B$23)</f>
        <v/>
      </c>
      <c r="AE409" t="str">
        <f>IF($AS409="","",Config!$B$28)</f>
        <v/>
      </c>
      <c r="AF409" t="str">
        <f t="shared" si="38"/>
        <v/>
      </c>
      <c r="AG409" t="str">
        <f t="shared" si="39"/>
        <v/>
      </c>
      <c r="AH409" t="str">
        <f t="shared" si="40"/>
        <v/>
      </c>
      <c r="AI409" t="str">
        <f>IF($AG409="","",SUMIF($AG$2:$AG409,$AG409,$AH$2:$AH409))</f>
        <v/>
      </c>
      <c r="AJ409" t="str">
        <f>IF('TMP Paste'!$F409="","",IF('TMP Paste'!$B409="",$AJ408,'TMP Paste'!$B409))</f>
        <v/>
      </c>
      <c r="AK409" t="str">
        <f>IF('TMP Paste'!$F409="","",N('TMP Paste'!$G409))</f>
        <v/>
      </c>
      <c r="AL409" t="str">
        <f>IF('TMP Paste'!$F409="","",IF('TMP Paste'!$M409="",$AL408,'TMP Paste'!$M409))</f>
        <v/>
      </c>
      <c r="AM409" t="str">
        <f>IF('TMP Paste'!$F409="","",IF('TMP Paste'!$N409="",$AM408,'TMP Paste'!$N409))</f>
        <v/>
      </c>
      <c r="AN409" t="str">
        <f>IF('TMP Paste'!$F409="","",IF('TMP Paste'!$O409="",$AN408,'TMP Paste'!$O409))</f>
        <v/>
      </c>
      <c r="AO409" t="str">
        <f>IF('TMP Paste'!$F409="","",IF('TMP Paste'!$P409="",$AO408,'TMP Paste'!$P409))</f>
        <v/>
      </c>
      <c r="AP409" t="str">
        <f t="shared" si="41"/>
        <v/>
      </c>
      <c r="AQ409" t="str">
        <f>IF($AS409="","",TRIM(IF(COUNTIFS(Calc!$B$2:$B$1601,ROW()-1,Calc!$C$2:$C$1601,"&lt;1")&gt;0,"Ada PO tanpa Koli - cek TMP. ","")&amp;IF(OR($AU409="",$AU409&lt;=0),"Volume kosong/0 - dimensi dikosongkan. ","")&amp;IF(AND($AU409&lt;&gt;"",$AU409&gt;=1000000),"Volume &gt;= 1.000.000 cm3 (di luar aturan) - dimensi dikosongkan. ","")&amp;IF(LEN($R409)&gt;500,"R &gt; 500 karakter.","")))</f>
        <v/>
      </c>
      <c r="AS409" t="str">
        <f>IFERROR(MATCH(ROW()-1,Calc!$J$2:$J$1601,0),"")</f>
        <v/>
      </c>
      <c r="AT409" t="str">
        <f>IFERROR(MATCH(ROW()-1,Calc!$K$2:$K$1601,0),"")</f>
        <v/>
      </c>
      <c r="AU409" t="str">
        <f>IF($AS409="","",IFERROR(INDEX('TMP Paste'!$D$2:$D$1601,$AS409)*1000000/$AB409,""))</f>
        <v/>
      </c>
    </row>
    <row r="410" spans="1:47">
      <c r="A410" t="str">
        <f>IF($AS410="","",INDEX('TMP Paste'!$B$2:$B$1601,$AS410))</f>
        <v/>
      </c>
      <c r="B410" t="str">
        <f>IF($AS410="","",Config!$B$14)</f>
        <v/>
      </c>
      <c r="C410" t="str">
        <f>IF($AS410="","",Config!$B$15)</f>
        <v/>
      </c>
      <c r="D410" t="str">
        <f>IF($AS410="","",INDEX('TMP Paste'!$B$2:$B$1601,$AS410))</f>
        <v/>
      </c>
      <c r="E410" t="str">
        <f>IF($AS410="","",Config!$B$27)</f>
        <v/>
      </c>
      <c r="F410" t="str">
        <f>IF($AS410="","",Config!$B$9)</f>
        <v/>
      </c>
      <c r="G410" t="str">
        <f>IF($AS410="","",Config!$B$10)</f>
        <v/>
      </c>
      <c r="H410" t="str">
        <f>IF($AS410="","",Config!$B$11)</f>
        <v/>
      </c>
      <c r="I410" t="str">
        <f>IF($AS410="","",Config!$B$16)</f>
        <v/>
      </c>
      <c r="J410" t="str">
        <f>IF($AS410="","",INDEX('TMP Paste'!$A$2:$A$1601,$AS410))</f>
        <v/>
      </c>
      <c r="K410" t="str">
        <f>IF($AS410="","",INDEX('TMP Paste'!$L$2:$L$1601,$AS410))</f>
        <v/>
      </c>
      <c r="L410" t="str">
        <f>IF($AS410="","",INDEX('TMP Paste'!$I$2:$I$1601,$AS410))</f>
        <v/>
      </c>
      <c r="M410" t="str">
        <f>IF($AS410="","",Config!$B$16)</f>
        <v/>
      </c>
      <c r="N410" t="str">
        <f t="shared" si="36"/>
        <v/>
      </c>
      <c r="O410" t="str">
        <f>IF($AS410="","",INDEX('TMP Paste'!$K$2:$K$1601,$AS410))</f>
        <v/>
      </c>
      <c r="P410" t="str">
        <f t="shared" si="37"/>
        <v/>
      </c>
      <c r="Q410" t="str">
        <f>IF($AS410="","",INDEX('TMP Paste'!$J$2:$J$1601,$AS410))</f>
        <v/>
      </c>
      <c r="R410" t="str">
        <f>IF($AS410="","",Config!$B$24)</f>
        <v/>
      </c>
      <c r="S410" t="str">
        <f ca="1">IF($AS410="","",TEXT(Config!$B$4,"yyyy-mm-dd"))</f>
        <v/>
      </c>
      <c r="T410" t="str">
        <f>IF($AS410="","",Config!$B$17)</f>
        <v/>
      </c>
      <c r="U410" t="str">
        <f>IF($AS410="","",Config!$B$18)</f>
        <v/>
      </c>
      <c r="V410" t="str">
        <f>IF($AS410="","",Config!$B$19)</f>
        <v/>
      </c>
      <c r="W410" t="str">
        <f>IF($AS410="","",INDEX('TMP Paste'!$C$2:$C$1601,$AS410))</f>
        <v/>
      </c>
      <c r="X410" t="str">
        <f>IF($AS410="","",Config!$B$29)</f>
        <v/>
      </c>
      <c r="Y410" t="str">
        <f>IF($AT410="","",INDEX(Calc!$I$2:$I$1601,$AT410)&amp;" - "&amp;INDEX(Calc!$D$2:$D$1601,$AT410)&amp;" koli")</f>
        <v/>
      </c>
      <c r="Z410" t="str">
        <f>IF($AS410="","",Config!$B$21)</f>
        <v/>
      </c>
      <c r="AA410" t="str">
        <f>IF($AS410="","",Config!$B$22)</f>
        <v/>
      </c>
      <c r="AB410" t="str">
        <f>IF($AT410="","",INDEX(Calc!$D$2:$D$1601,$AT410))</f>
        <v/>
      </c>
      <c r="AC410" t="str">
        <f>IF($AT410="","",INDEX(Calc!$G$2:$G$1601,$AT410))</f>
        <v/>
      </c>
      <c r="AD410" t="str">
        <f>IF($AS410="","",Config!$B$23)</f>
        <v/>
      </c>
      <c r="AE410" t="str">
        <f>IF($AS410="","",Config!$B$28)</f>
        <v/>
      </c>
      <c r="AF410" t="str">
        <f t="shared" si="38"/>
        <v/>
      </c>
      <c r="AG410" t="str">
        <f t="shared" si="39"/>
        <v/>
      </c>
      <c r="AH410" t="str">
        <f t="shared" si="40"/>
        <v/>
      </c>
      <c r="AI410" t="str">
        <f>IF($AG410="","",SUMIF($AG$2:$AG410,$AG410,$AH$2:$AH410))</f>
        <v/>
      </c>
      <c r="AJ410" t="str">
        <f>IF('TMP Paste'!$F410="","",IF('TMP Paste'!$B410="",$AJ409,'TMP Paste'!$B410))</f>
        <v/>
      </c>
      <c r="AK410" t="str">
        <f>IF('TMP Paste'!$F410="","",N('TMP Paste'!$G410))</f>
        <v/>
      </c>
      <c r="AL410" t="str">
        <f>IF('TMP Paste'!$F410="","",IF('TMP Paste'!$M410="",$AL409,'TMP Paste'!$M410))</f>
        <v/>
      </c>
      <c r="AM410" t="str">
        <f>IF('TMP Paste'!$F410="","",IF('TMP Paste'!$N410="",$AM409,'TMP Paste'!$N410))</f>
        <v/>
      </c>
      <c r="AN410" t="str">
        <f>IF('TMP Paste'!$F410="","",IF('TMP Paste'!$O410="",$AN409,'TMP Paste'!$O410))</f>
        <v/>
      </c>
      <c r="AO410" t="str">
        <f>IF('TMP Paste'!$F410="","",IF('TMP Paste'!$P410="",$AO409,'TMP Paste'!$P410))</f>
        <v/>
      </c>
      <c r="AP410" t="str">
        <f t="shared" si="41"/>
        <v/>
      </c>
      <c r="AQ410" t="str">
        <f>IF($AS410="","",TRIM(IF(COUNTIFS(Calc!$B$2:$B$1601,ROW()-1,Calc!$C$2:$C$1601,"&lt;1")&gt;0,"Ada PO tanpa Koli - cek TMP. ","")&amp;IF(OR($AU410="",$AU410&lt;=0),"Volume kosong/0 - dimensi dikosongkan. ","")&amp;IF(AND($AU410&lt;&gt;"",$AU410&gt;=1000000),"Volume &gt;= 1.000.000 cm3 (di luar aturan) - dimensi dikosongkan. ","")&amp;IF(LEN($R410)&gt;500,"R &gt; 500 karakter.","")))</f>
        <v/>
      </c>
      <c r="AS410" t="str">
        <f>IFERROR(MATCH(ROW()-1,Calc!$J$2:$J$1601,0),"")</f>
        <v/>
      </c>
      <c r="AT410" t="str">
        <f>IFERROR(MATCH(ROW()-1,Calc!$K$2:$K$1601,0),"")</f>
        <v/>
      </c>
      <c r="AU410" t="str">
        <f>IF($AS410="","",IFERROR(INDEX('TMP Paste'!$D$2:$D$1601,$AS410)*1000000/$AB410,""))</f>
        <v/>
      </c>
    </row>
    <row r="411" spans="1:47">
      <c r="A411" t="str">
        <f>IF($AS411="","",INDEX('TMP Paste'!$B$2:$B$1601,$AS411))</f>
        <v/>
      </c>
      <c r="B411" t="str">
        <f>IF($AS411="","",Config!$B$14)</f>
        <v/>
      </c>
      <c r="C411" t="str">
        <f>IF($AS411="","",Config!$B$15)</f>
        <v/>
      </c>
      <c r="D411" t="str">
        <f>IF($AS411="","",INDEX('TMP Paste'!$B$2:$B$1601,$AS411))</f>
        <v/>
      </c>
      <c r="E411" t="str">
        <f>IF($AS411="","",Config!$B$27)</f>
        <v/>
      </c>
      <c r="F411" t="str">
        <f>IF($AS411="","",Config!$B$9)</f>
        <v/>
      </c>
      <c r="G411" t="str">
        <f>IF($AS411="","",Config!$B$10)</f>
        <v/>
      </c>
      <c r="H411" t="str">
        <f>IF($AS411="","",Config!$B$11)</f>
        <v/>
      </c>
      <c r="I411" t="str">
        <f>IF($AS411="","",Config!$B$16)</f>
        <v/>
      </c>
      <c r="J411" t="str">
        <f>IF($AS411="","",INDEX('TMP Paste'!$A$2:$A$1601,$AS411))</f>
        <v/>
      </c>
      <c r="K411" t="str">
        <f>IF($AS411="","",INDEX('TMP Paste'!$L$2:$L$1601,$AS411))</f>
        <v/>
      </c>
      <c r="L411" t="str">
        <f>IF($AS411="","",INDEX('TMP Paste'!$I$2:$I$1601,$AS411))</f>
        <v/>
      </c>
      <c r="M411" t="str">
        <f>IF($AS411="","",Config!$B$16)</f>
        <v/>
      </c>
      <c r="N411" t="str">
        <f t="shared" si="36"/>
        <v/>
      </c>
      <c r="O411" t="str">
        <f>IF($AS411="","",INDEX('TMP Paste'!$K$2:$K$1601,$AS411))</f>
        <v/>
      </c>
      <c r="P411" t="str">
        <f t="shared" si="37"/>
        <v/>
      </c>
      <c r="Q411" t="str">
        <f>IF($AS411="","",INDEX('TMP Paste'!$J$2:$J$1601,$AS411))</f>
        <v/>
      </c>
      <c r="R411" t="str">
        <f>IF($AS411="","",Config!$B$24)</f>
        <v/>
      </c>
      <c r="S411" t="str">
        <f ca="1">IF($AS411="","",TEXT(Config!$B$4,"yyyy-mm-dd"))</f>
        <v/>
      </c>
      <c r="T411" t="str">
        <f>IF($AS411="","",Config!$B$17)</f>
        <v/>
      </c>
      <c r="U411" t="str">
        <f>IF($AS411="","",Config!$B$18)</f>
        <v/>
      </c>
      <c r="V411" t="str">
        <f>IF($AS411="","",Config!$B$19)</f>
        <v/>
      </c>
      <c r="W411" t="str">
        <f>IF($AS411="","",INDEX('TMP Paste'!$C$2:$C$1601,$AS411))</f>
        <v/>
      </c>
      <c r="X411" t="str">
        <f>IF($AS411="","",Config!$B$29)</f>
        <v/>
      </c>
      <c r="Y411" t="str">
        <f>IF($AT411="","",INDEX(Calc!$I$2:$I$1601,$AT411)&amp;" - "&amp;INDEX(Calc!$D$2:$D$1601,$AT411)&amp;" koli")</f>
        <v/>
      </c>
      <c r="Z411" t="str">
        <f>IF($AS411="","",Config!$B$21)</f>
        <v/>
      </c>
      <c r="AA411" t="str">
        <f>IF($AS411="","",Config!$B$22)</f>
        <v/>
      </c>
      <c r="AB411" t="str">
        <f>IF($AT411="","",INDEX(Calc!$D$2:$D$1601,$AT411))</f>
        <v/>
      </c>
      <c r="AC411" t="str">
        <f>IF($AT411="","",INDEX(Calc!$G$2:$G$1601,$AT411))</f>
        <v/>
      </c>
      <c r="AD411" t="str">
        <f>IF($AS411="","",Config!$B$23)</f>
        <v/>
      </c>
      <c r="AE411" t="str">
        <f>IF($AS411="","",Config!$B$28)</f>
        <v/>
      </c>
      <c r="AF411" t="str">
        <f t="shared" si="38"/>
        <v/>
      </c>
      <c r="AG411" t="str">
        <f t="shared" si="39"/>
        <v/>
      </c>
      <c r="AH411" t="str">
        <f t="shared" si="40"/>
        <v/>
      </c>
      <c r="AI411" t="str">
        <f>IF($AG411="","",SUMIF($AG$2:$AG411,$AG411,$AH$2:$AH411))</f>
        <v/>
      </c>
      <c r="AJ411" t="str">
        <f>IF('TMP Paste'!$F411="","",IF('TMP Paste'!$B411="",$AJ410,'TMP Paste'!$B411))</f>
        <v/>
      </c>
      <c r="AK411" t="str">
        <f>IF('TMP Paste'!$F411="","",N('TMP Paste'!$G411))</f>
        <v/>
      </c>
      <c r="AL411" t="str">
        <f>IF('TMP Paste'!$F411="","",IF('TMP Paste'!$M411="",$AL410,'TMP Paste'!$M411))</f>
        <v/>
      </c>
      <c r="AM411" t="str">
        <f>IF('TMP Paste'!$F411="","",IF('TMP Paste'!$N411="",$AM410,'TMP Paste'!$N411))</f>
        <v/>
      </c>
      <c r="AN411" t="str">
        <f>IF('TMP Paste'!$F411="","",IF('TMP Paste'!$O411="",$AN410,'TMP Paste'!$O411))</f>
        <v/>
      </c>
      <c r="AO411" t="str">
        <f>IF('TMP Paste'!$F411="","",IF('TMP Paste'!$P411="",$AO410,'TMP Paste'!$P411))</f>
        <v/>
      </c>
      <c r="AP411" t="str">
        <f t="shared" si="41"/>
        <v/>
      </c>
      <c r="AQ411" t="str">
        <f>IF($AS411="","",TRIM(IF(COUNTIFS(Calc!$B$2:$B$1601,ROW()-1,Calc!$C$2:$C$1601,"&lt;1")&gt;0,"Ada PO tanpa Koli - cek TMP. ","")&amp;IF(OR($AU411="",$AU411&lt;=0),"Volume kosong/0 - dimensi dikosongkan. ","")&amp;IF(AND($AU411&lt;&gt;"",$AU411&gt;=1000000),"Volume &gt;= 1.000.000 cm3 (di luar aturan) - dimensi dikosongkan. ","")&amp;IF(LEN($R411)&gt;500,"R &gt; 500 karakter.","")))</f>
        <v/>
      </c>
      <c r="AS411" t="str">
        <f>IFERROR(MATCH(ROW()-1,Calc!$J$2:$J$1601,0),"")</f>
        <v/>
      </c>
      <c r="AT411" t="str">
        <f>IFERROR(MATCH(ROW()-1,Calc!$K$2:$K$1601,0),"")</f>
        <v/>
      </c>
      <c r="AU411" t="str">
        <f>IF($AS411="","",IFERROR(INDEX('TMP Paste'!$D$2:$D$1601,$AS411)*1000000/$AB411,""))</f>
        <v/>
      </c>
    </row>
    <row r="412" spans="1:47">
      <c r="A412" t="str">
        <f>IF($AS412="","",INDEX('TMP Paste'!$B$2:$B$1601,$AS412))</f>
        <v/>
      </c>
      <c r="B412" t="str">
        <f>IF($AS412="","",Config!$B$14)</f>
        <v/>
      </c>
      <c r="C412" t="str">
        <f>IF($AS412="","",Config!$B$15)</f>
        <v/>
      </c>
      <c r="D412" t="str">
        <f>IF($AS412="","",INDEX('TMP Paste'!$B$2:$B$1601,$AS412))</f>
        <v/>
      </c>
      <c r="E412" t="str">
        <f>IF($AS412="","",Config!$B$27)</f>
        <v/>
      </c>
      <c r="F412" t="str">
        <f>IF($AS412="","",Config!$B$9)</f>
        <v/>
      </c>
      <c r="G412" t="str">
        <f>IF($AS412="","",Config!$B$10)</f>
        <v/>
      </c>
      <c r="H412" t="str">
        <f>IF($AS412="","",Config!$B$11)</f>
        <v/>
      </c>
      <c r="I412" t="str">
        <f>IF($AS412="","",Config!$B$16)</f>
        <v/>
      </c>
      <c r="J412" t="str">
        <f>IF($AS412="","",INDEX('TMP Paste'!$A$2:$A$1601,$AS412))</f>
        <v/>
      </c>
      <c r="K412" t="str">
        <f>IF($AS412="","",INDEX('TMP Paste'!$L$2:$L$1601,$AS412))</f>
        <v/>
      </c>
      <c r="L412" t="str">
        <f>IF($AS412="","",INDEX('TMP Paste'!$I$2:$I$1601,$AS412))</f>
        <v/>
      </c>
      <c r="M412" t="str">
        <f>IF($AS412="","",Config!$B$16)</f>
        <v/>
      </c>
      <c r="N412" t="str">
        <f t="shared" si="36"/>
        <v/>
      </c>
      <c r="O412" t="str">
        <f>IF($AS412="","",INDEX('TMP Paste'!$K$2:$K$1601,$AS412))</f>
        <v/>
      </c>
      <c r="P412" t="str">
        <f t="shared" si="37"/>
        <v/>
      </c>
      <c r="Q412" t="str">
        <f>IF($AS412="","",INDEX('TMP Paste'!$J$2:$J$1601,$AS412))</f>
        <v/>
      </c>
      <c r="R412" t="str">
        <f>IF($AS412="","",Config!$B$24)</f>
        <v/>
      </c>
      <c r="S412" t="str">
        <f ca="1">IF($AS412="","",TEXT(Config!$B$4,"yyyy-mm-dd"))</f>
        <v/>
      </c>
      <c r="T412" t="str">
        <f>IF($AS412="","",Config!$B$17)</f>
        <v/>
      </c>
      <c r="U412" t="str">
        <f>IF($AS412="","",Config!$B$18)</f>
        <v/>
      </c>
      <c r="V412" t="str">
        <f>IF($AS412="","",Config!$B$19)</f>
        <v/>
      </c>
      <c r="W412" t="str">
        <f>IF($AS412="","",INDEX('TMP Paste'!$C$2:$C$1601,$AS412))</f>
        <v/>
      </c>
      <c r="X412" t="str">
        <f>IF($AS412="","",Config!$B$29)</f>
        <v/>
      </c>
      <c r="Y412" t="str">
        <f>IF($AT412="","",INDEX(Calc!$I$2:$I$1601,$AT412)&amp;" - "&amp;INDEX(Calc!$D$2:$D$1601,$AT412)&amp;" koli")</f>
        <v/>
      </c>
      <c r="Z412" t="str">
        <f>IF($AS412="","",Config!$B$21)</f>
        <v/>
      </c>
      <c r="AA412" t="str">
        <f>IF($AS412="","",Config!$B$22)</f>
        <v/>
      </c>
      <c r="AB412" t="str">
        <f>IF($AT412="","",INDEX(Calc!$D$2:$D$1601,$AT412))</f>
        <v/>
      </c>
      <c r="AC412" t="str">
        <f>IF($AT412="","",INDEX(Calc!$G$2:$G$1601,$AT412))</f>
        <v/>
      </c>
      <c r="AD412" t="str">
        <f>IF($AS412="","",Config!$B$23)</f>
        <v/>
      </c>
      <c r="AE412" t="str">
        <f>IF($AS412="","",Config!$B$28)</f>
        <v/>
      </c>
      <c r="AF412" t="str">
        <f t="shared" si="38"/>
        <v/>
      </c>
      <c r="AG412" t="str">
        <f t="shared" si="39"/>
        <v/>
      </c>
      <c r="AH412" t="str">
        <f t="shared" si="40"/>
        <v/>
      </c>
      <c r="AI412" t="str">
        <f>IF($AG412="","",SUMIF($AG$2:$AG412,$AG412,$AH$2:$AH412))</f>
        <v/>
      </c>
      <c r="AJ412" t="str">
        <f>IF('TMP Paste'!$F412="","",IF('TMP Paste'!$B412="",$AJ411,'TMP Paste'!$B412))</f>
        <v/>
      </c>
      <c r="AK412" t="str">
        <f>IF('TMP Paste'!$F412="","",N('TMP Paste'!$G412))</f>
        <v/>
      </c>
      <c r="AL412" t="str">
        <f>IF('TMP Paste'!$F412="","",IF('TMP Paste'!$M412="",$AL411,'TMP Paste'!$M412))</f>
        <v/>
      </c>
      <c r="AM412" t="str">
        <f>IF('TMP Paste'!$F412="","",IF('TMP Paste'!$N412="",$AM411,'TMP Paste'!$N412))</f>
        <v/>
      </c>
      <c r="AN412" t="str">
        <f>IF('TMP Paste'!$F412="","",IF('TMP Paste'!$O412="",$AN411,'TMP Paste'!$O412))</f>
        <v/>
      </c>
      <c r="AO412" t="str">
        <f>IF('TMP Paste'!$F412="","",IF('TMP Paste'!$P412="",$AO411,'TMP Paste'!$P412))</f>
        <v/>
      </c>
      <c r="AP412" t="str">
        <f t="shared" si="41"/>
        <v/>
      </c>
      <c r="AQ412" t="str">
        <f>IF($AS412="","",TRIM(IF(COUNTIFS(Calc!$B$2:$B$1601,ROW()-1,Calc!$C$2:$C$1601,"&lt;1")&gt;0,"Ada PO tanpa Koli - cek TMP. ","")&amp;IF(OR($AU412="",$AU412&lt;=0),"Volume kosong/0 - dimensi dikosongkan. ","")&amp;IF(AND($AU412&lt;&gt;"",$AU412&gt;=1000000),"Volume &gt;= 1.000.000 cm3 (di luar aturan) - dimensi dikosongkan. ","")&amp;IF(LEN($R412)&gt;500,"R &gt; 500 karakter.","")))</f>
        <v/>
      </c>
      <c r="AS412" t="str">
        <f>IFERROR(MATCH(ROW()-1,Calc!$J$2:$J$1601,0),"")</f>
        <v/>
      </c>
      <c r="AT412" t="str">
        <f>IFERROR(MATCH(ROW()-1,Calc!$K$2:$K$1601,0),"")</f>
        <v/>
      </c>
      <c r="AU412" t="str">
        <f>IF($AS412="","",IFERROR(INDEX('TMP Paste'!$D$2:$D$1601,$AS412)*1000000/$AB412,""))</f>
        <v/>
      </c>
    </row>
    <row r="413" spans="1:47">
      <c r="A413" t="str">
        <f>IF($AS413="","",INDEX('TMP Paste'!$B$2:$B$1601,$AS413))</f>
        <v/>
      </c>
      <c r="B413" t="str">
        <f>IF($AS413="","",Config!$B$14)</f>
        <v/>
      </c>
      <c r="C413" t="str">
        <f>IF($AS413="","",Config!$B$15)</f>
        <v/>
      </c>
      <c r="D413" t="str">
        <f>IF($AS413="","",INDEX('TMP Paste'!$B$2:$B$1601,$AS413))</f>
        <v/>
      </c>
      <c r="E413" t="str">
        <f>IF($AS413="","",Config!$B$27)</f>
        <v/>
      </c>
      <c r="F413" t="str">
        <f>IF($AS413="","",Config!$B$9)</f>
        <v/>
      </c>
      <c r="G413" t="str">
        <f>IF($AS413="","",Config!$B$10)</f>
        <v/>
      </c>
      <c r="H413" t="str">
        <f>IF($AS413="","",Config!$B$11)</f>
        <v/>
      </c>
      <c r="I413" t="str">
        <f>IF($AS413="","",Config!$B$16)</f>
        <v/>
      </c>
      <c r="J413" t="str">
        <f>IF($AS413="","",INDEX('TMP Paste'!$A$2:$A$1601,$AS413))</f>
        <v/>
      </c>
      <c r="K413" t="str">
        <f>IF($AS413="","",INDEX('TMP Paste'!$L$2:$L$1601,$AS413))</f>
        <v/>
      </c>
      <c r="L413" t="str">
        <f>IF($AS413="","",INDEX('TMP Paste'!$I$2:$I$1601,$AS413))</f>
        <v/>
      </c>
      <c r="M413" t="str">
        <f>IF($AS413="","",Config!$B$16)</f>
        <v/>
      </c>
      <c r="N413" t="str">
        <f t="shared" si="36"/>
        <v/>
      </c>
      <c r="O413" t="str">
        <f>IF($AS413="","",INDEX('TMP Paste'!$K$2:$K$1601,$AS413))</f>
        <v/>
      </c>
      <c r="P413" t="str">
        <f t="shared" si="37"/>
        <v/>
      </c>
      <c r="Q413" t="str">
        <f>IF($AS413="","",INDEX('TMP Paste'!$J$2:$J$1601,$AS413))</f>
        <v/>
      </c>
      <c r="R413" t="str">
        <f>IF($AS413="","",Config!$B$24)</f>
        <v/>
      </c>
      <c r="S413" t="str">
        <f ca="1">IF($AS413="","",TEXT(Config!$B$4,"yyyy-mm-dd"))</f>
        <v/>
      </c>
      <c r="T413" t="str">
        <f>IF($AS413="","",Config!$B$17)</f>
        <v/>
      </c>
      <c r="U413" t="str">
        <f>IF($AS413="","",Config!$B$18)</f>
        <v/>
      </c>
      <c r="V413" t="str">
        <f>IF($AS413="","",Config!$B$19)</f>
        <v/>
      </c>
      <c r="W413" t="str">
        <f>IF($AS413="","",INDEX('TMP Paste'!$C$2:$C$1601,$AS413))</f>
        <v/>
      </c>
      <c r="X413" t="str">
        <f>IF($AS413="","",Config!$B$29)</f>
        <v/>
      </c>
      <c r="Y413" t="str">
        <f>IF($AT413="","",INDEX(Calc!$I$2:$I$1601,$AT413)&amp;" - "&amp;INDEX(Calc!$D$2:$D$1601,$AT413)&amp;" koli")</f>
        <v/>
      </c>
      <c r="Z413" t="str">
        <f>IF($AS413="","",Config!$B$21)</f>
        <v/>
      </c>
      <c r="AA413" t="str">
        <f>IF($AS413="","",Config!$B$22)</f>
        <v/>
      </c>
      <c r="AB413" t="str">
        <f>IF($AT413="","",INDEX(Calc!$D$2:$D$1601,$AT413))</f>
        <v/>
      </c>
      <c r="AC413" t="str">
        <f>IF($AT413="","",INDEX(Calc!$G$2:$G$1601,$AT413))</f>
        <v/>
      </c>
      <c r="AD413" t="str">
        <f>IF($AS413="","",Config!$B$23)</f>
        <v/>
      </c>
      <c r="AE413" t="str">
        <f>IF($AS413="","",Config!$B$28)</f>
        <v/>
      </c>
      <c r="AF413" t="str">
        <f t="shared" si="38"/>
        <v/>
      </c>
      <c r="AG413" t="str">
        <f t="shared" si="39"/>
        <v/>
      </c>
      <c r="AH413" t="str">
        <f t="shared" si="40"/>
        <v/>
      </c>
      <c r="AI413" t="str">
        <f>IF($AG413="","",SUMIF($AG$2:$AG413,$AG413,$AH$2:$AH413))</f>
        <v/>
      </c>
      <c r="AJ413" t="str">
        <f>IF('TMP Paste'!$F413="","",IF('TMP Paste'!$B413="",$AJ412,'TMP Paste'!$B413))</f>
        <v/>
      </c>
      <c r="AK413" t="str">
        <f>IF('TMP Paste'!$F413="","",N('TMP Paste'!$G413))</f>
        <v/>
      </c>
      <c r="AL413" t="str">
        <f>IF('TMP Paste'!$F413="","",IF('TMP Paste'!$M413="",$AL412,'TMP Paste'!$M413))</f>
        <v/>
      </c>
      <c r="AM413" t="str">
        <f>IF('TMP Paste'!$F413="","",IF('TMP Paste'!$N413="",$AM412,'TMP Paste'!$N413))</f>
        <v/>
      </c>
      <c r="AN413" t="str">
        <f>IF('TMP Paste'!$F413="","",IF('TMP Paste'!$O413="",$AN412,'TMP Paste'!$O413))</f>
        <v/>
      </c>
      <c r="AO413" t="str">
        <f>IF('TMP Paste'!$F413="","",IF('TMP Paste'!$P413="",$AO412,'TMP Paste'!$P413))</f>
        <v/>
      </c>
      <c r="AP413" t="str">
        <f t="shared" si="41"/>
        <v/>
      </c>
      <c r="AQ413" t="str">
        <f>IF($AS413="","",TRIM(IF(COUNTIFS(Calc!$B$2:$B$1601,ROW()-1,Calc!$C$2:$C$1601,"&lt;1")&gt;0,"Ada PO tanpa Koli - cek TMP. ","")&amp;IF(OR($AU413="",$AU413&lt;=0),"Volume kosong/0 - dimensi dikosongkan. ","")&amp;IF(AND($AU413&lt;&gt;"",$AU413&gt;=1000000),"Volume &gt;= 1.000.000 cm3 (di luar aturan) - dimensi dikosongkan. ","")&amp;IF(LEN($R413)&gt;500,"R &gt; 500 karakter.","")))</f>
        <v/>
      </c>
      <c r="AS413" t="str">
        <f>IFERROR(MATCH(ROW()-1,Calc!$J$2:$J$1601,0),"")</f>
        <v/>
      </c>
      <c r="AT413" t="str">
        <f>IFERROR(MATCH(ROW()-1,Calc!$K$2:$K$1601,0),"")</f>
        <v/>
      </c>
      <c r="AU413" t="str">
        <f>IF($AS413="","",IFERROR(INDEX('TMP Paste'!$D$2:$D$1601,$AS413)*1000000/$AB413,""))</f>
        <v/>
      </c>
    </row>
    <row r="414" spans="1:47">
      <c r="A414" t="str">
        <f>IF($AS414="","",INDEX('TMP Paste'!$B$2:$B$1601,$AS414))</f>
        <v/>
      </c>
      <c r="B414" t="str">
        <f>IF($AS414="","",Config!$B$14)</f>
        <v/>
      </c>
      <c r="C414" t="str">
        <f>IF($AS414="","",Config!$B$15)</f>
        <v/>
      </c>
      <c r="D414" t="str">
        <f>IF($AS414="","",INDEX('TMP Paste'!$B$2:$B$1601,$AS414))</f>
        <v/>
      </c>
      <c r="E414" t="str">
        <f>IF($AS414="","",Config!$B$27)</f>
        <v/>
      </c>
      <c r="F414" t="str">
        <f>IF($AS414="","",Config!$B$9)</f>
        <v/>
      </c>
      <c r="G414" t="str">
        <f>IF($AS414="","",Config!$B$10)</f>
        <v/>
      </c>
      <c r="H414" t="str">
        <f>IF($AS414="","",Config!$B$11)</f>
        <v/>
      </c>
      <c r="I414" t="str">
        <f>IF($AS414="","",Config!$B$16)</f>
        <v/>
      </c>
      <c r="J414" t="str">
        <f>IF($AS414="","",INDEX('TMP Paste'!$A$2:$A$1601,$AS414))</f>
        <v/>
      </c>
      <c r="K414" t="str">
        <f>IF($AS414="","",INDEX('TMP Paste'!$L$2:$L$1601,$AS414))</f>
        <v/>
      </c>
      <c r="L414" t="str">
        <f>IF($AS414="","",INDEX('TMP Paste'!$I$2:$I$1601,$AS414))</f>
        <v/>
      </c>
      <c r="M414" t="str">
        <f>IF($AS414="","",Config!$B$16)</f>
        <v/>
      </c>
      <c r="N414" t="str">
        <f t="shared" si="36"/>
        <v/>
      </c>
      <c r="O414" t="str">
        <f>IF($AS414="","",INDEX('TMP Paste'!$K$2:$K$1601,$AS414))</f>
        <v/>
      </c>
      <c r="P414" t="str">
        <f t="shared" si="37"/>
        <v/>
      </c>
      <c r="Q414" t="str">
        <f>IF($AS414="","",INDEX('TMP Paste'!$J$2:$J$1601,$AS414))</f>
        <v/>
      </c>
      <c r="R414" t="str">
        <f>IF($AS414="","",Config!$B$24)</f>
        <v/>
      </c>
      <c r="S414" t="str">
        <f ca="1">IF($AS414="","",TEXT(Config!$B$4,"yyyy-mm-dd"))</f>
        <v/>
      </c>
      <c r="T414" t="str">
        <f>IF($AS414="","",Config!$B$17)</f>
        <v/>
      </c>
      <c r="U414" t="str">
        <f>IF($AS414="","",Config!$B$18)</f>
        <v/>
      </c>
      <c r="V414" t="str">
        <f>IF($AS414="","",Config!$B$19)</f>
        <v/>
      </c>
      <c r="W414" t="str">
        <f>IF($AS414="","",INDEX('TMP Paste'!$C$2:$C$1601,$AS414))</f>
        <v/>
      </c>
      <c r="X414" t="str">
        <f>IF($AS414="","",Config!$B$29)</f>
        <v/>
      </c>
      <c r="Y414" t="str">
        <f>IF($AT414="","",INDEX(Calc!$I$2:$I$1601,$AT414)&amp;" - "&amp;INDEX(Calc!$D$2:$D$1601,$AT414)&amp;" koli")</f>
        <v/>
      </c>
      <c r="Z414" t="str">
        <f>IF($AS414="","",Config!$B$21)</f>
        <v/>
      </c>
      <c r="AA414" t="str">
        <f>IF($AS414="","",Config!$B$22)</f>
        <v/>
      </c>
      <c r="AB414" t="str">
        <f>IF($AT414="","",INDEX(Calc!$D$2:$D$1601,$AT414))</f>
        <v/>
      </c>
      <c r="AC414" t="str">
        <f>IF($AT414="","",INDEX(Calc!$G$2:$G$1601,$AT414))</f>
        <v/>
      </c>
      <c r="AD414" t="str">
        <f>IF($AS414="","",Config!$B$23)</f>
        <v/>
      </c>
      <c r="AE414" t="str">
        <f>IF($AS414="","",Config!$B$28)</f>
        <v/>
      </c>
      <c r="AF414" t="str">
        <f t="shared" si="38"/>
        <v/>
      </c>
      <c r="AG414" t="str">
        <f t="shared" si="39"/>
        <v/>
      </c>
      <c r="AH414" t="str">
        <f t="shared" si="40"/>
        <v/>
      </c>
      <c r="AI414" t="str">
        <f>IF($AG414="","",SUMIF($AG$2:$AG414,$AG414,$AH$2:$AH414))</f>
        <v/>
      </c>
      <c r="AJ414" t="str">
        <f>IF('TMP Paste'!$F414="","",IF('TMP Paste'!$B414="",$AJ413,'TMP Paste'!$B414))</f>
        <v/>
      </c>
      <c r="AK414" t="str">
        <f>IF('TMP Paste'!$F414="","",N('TMP Paste'!$G414))</f>
        <v/>
      </c>
      <c r="AL414" t="str">
        <f>IF('TMP Paste'!$F414="","",IF('TMP Paste'!$M414="",$AL413,'TMP Paste'!$M414))</f>
        <v/>
      </c>
      <c r="AM414" t="str">
        <f>IF('TMP Paste'!$F414="","",IF('TMP Paste'!$N414="",$AM413,'TMP Paste'!$N414))</f>
        <v/>
      </c>
      <c r="AN414" t="str">
        <f>IF('TMP Paste'!$F414="","",IF('TMP Paste'!$O414="",$AN413,'TMP Paste'!$O414))</f>
        <v/>
      </c>
      <c r="AO414" t="str">
        <f>IF('TMP Paste'!$F414="","",IF('TMP Paste'!$P414="",$AO413,'TMP Paste'!$P414))</f>
        <v/>
      </c>
      <c r="AP414" t="str">
        <f t="shared" si="41"/>
        <v/>
      </c>
      <c r="AQ414" t="str">
        <f>IF($AS414="","",TRIM(IF(COUNTIFS(Calc!$B$2:$B$1601,ROW()-1,Calc!$C$2:$C$1601,"&lt;1")&gt;0,"Ada PO tanpa Koli - cek TMP. ","")&amp;IF(OR($AU414="",$AU414&lt;=0),"Volume kosong/0 - dimensi dikosongkan. ","")&amp;IF(AND($AU414&lt;&gt;"",$AU414&gt;=1000000),"Volume &gt;= 1.000.000 cm3 (di luar aturan) - dimensi dikosongkan. ","")&amp;IF(LEN($R414)&gt;500,"R &gt; 500 karakter.","")))</f>
        <v/>
      </c>
      <c r="AS414" t="str">
        <f>IFERROR(MATCH(ROW()-1,Calc!$J$2:$J$1601,0),"")</f>
        <v/>
      </c>
      <c r="AT414" t="str">
        <f>IFERROR(MATCH(ROW()-1,Calc!$K$2:$K$1601,0),"")</f>
        <v/>
      </c>
      <c r="AU414" t="str">
        <f>IF($AS414="","",IFERROR(INDEX('TMP Paste'!$D$2:$D$1601,$AS414)*1000000/$AB414,""))</f>
        <v/>
      </c>
    </row>
    <row r="415" spans="1:47">
      <c r="A415" t="str">
        <f>IF($AS415="","",INDEX('TMP Paste'!$B$2:$B$1601,$AS415))</f>
        <v/>
      </c>
      <c r="B415" t="str">
        <f>IF($AS415="","",Config!$B$14)</f>
        <v/>
      </c>
      <c r="C415" t="str">
        <f>IF($AS415="","",Config!$B$15)</f>
        <v/>
      </c>
      <c r="D415" t="str">
        <f>IF($AS415="","",INDEX('TMP Paste'!$B$2:$B$1601,$AS415))</f>
        <v/>
      </c>
      <c r="E415" t="str">
        <f>IF($AS415="","",Config!$B$27)</f>
        <v/>
      </c>
      <c r="F415" t="str">
        <f>IF($AS415="","",Config!$B$9)</f>
        <v/>
      </c>
      <c r="G415" t="str">
        <f>IF($AS415="","",Config!$B$10)</f>
        <v/>
      </c>
      <c r="H415" t="str">
        <f>IF($AS415="","",Config!$B$11)</f>
        <v/>
      </c>
      <c r="I415" t="str">
        <f>IF($AS415="","",Config!$B$16)</f>
        <v/>
      </c>
      <c r="J415" t="str">
        <f>IF($AS415="","",INDEX('TMP Paste'!$A$2:$A$1601,$AS415))</f>
        <v/>
      </c>
      <c r="K415" t="str">
        <f>IF($AS415="","",INDEX('TMP Paste'!$L$2:$L$1601,$AS415))</f>
        <v/>
      </c>
      <c r="L415" t="str">
        <f>IF($AS415="","",INDEX('TMP Paste'!$I$2:$I$1601,$AS415))</f>
        <v/>
      </c>
      <c r="M415" t="str">
        <f>IF($AS415="","",Config!$B$16)</f>
        <v/>
      </c>
      <c r="N415" t="str">
        <f t="shared" si="36"/>
        <v/>
      </c>
      <c r="O415" t="str">
        <f>IF($AS415="","",INDEX('TMP Paste'!$K$2:$K$1601,$AS415))</f>
        <v/>
      </c>
      <c r="P415" t="str">
        <f t="shared" si="37"/>
        <v/>
      </c>
      <c r="Q415" t="str">
        <f>IF($AS415="","",INDEX('TMP Paste'!$J$2:$J$1601,$AS415))</f>
        <v/>
      </c>
      <c r="R415" t="str">
        <f>IF($AS415="","",Config!$B$24)</f>
        <v/>
      </c>
      <c r="S415" t="str">
        <f ca="1">IF($AS415="","",TEXT(Config!$B$4,"yyyy-mm-dd"))</f>
        <v/>
      </c>
      <c r="T415" t="str">
        <f>IF($AS415="","",Config!$B$17)</f>
        <v/>
      </c>
      <c r="U415" t="str">
        <f>IF($AS415="","",Config!$B$18)</f>
        <v/>
      </c>
      <c r="V415" t="str">
        <f>IF($AS415="","",Config!$B$19)</f>
        <v/>
      </c>
      <c r="W415" t="str">
        <f>IF($AS415="","",INDEX('TMP Paste'!$C$2:$C$1601,$AS415))</f>
        <v/>
      </c>
      <c r="X415" t="str">
        <f>IF($AS415="","",Config!$B$29)</f>
        <v/>
      </c>
      <c r="Y415" t="str">
        <f>IF($AT415="","",INDEX(Calc!$I$2:$I$1601,$AT415)&amp;" - "&amp;INDEX(Calc!$D$2:$D$1601,$AT415)&amp;" koli")</f>
        <v/>
      </c>
      <c r="Z415" t="str">
        <f>IF($AS415="","",Config!$B$21)</f>
        <v/>
      </c>
      <c r="AA415" t="str">
        <f>IF($AS415="","",Config!$B$22)</f>
        <v/>
      </c>
      <c r="AB415" t="str">
        <f>IF($AT415="","",INDEX(Calc!$D$2:$D$1601,$AT415))</f>
        <v/>
      </c>
      <c r="AC415" t="str">
        <f>IF($AT415="","",INDEX(Calc!$G$2:$G$1601,$AT415))</f>
        <v/>
      </c>
      <c r="AD415" t="str">
        <f>IF($AS415="","",Config!$B$23)</f>
        <v/>
      </c>
      <c r="AE415" t="str">
        <f>IF($AS415="","",Config!$B$28)</f>
        <v/>
      </c>
      <c r="AF415" t="str">
        <f t="shared" si="38"/>
        <v/>
      </c>
      <c r="AG415" t="str">
        <f t="shared" si="39"/>
        <v/>
      </c>
      <c r="AH415" t="str">
        <f t="shared" si="40"/>
        <v/>
      </c>
      <c r="AI415" t="str">
        <f>IF($AG415="","",SUMIF($AG$2:$AG415,$AG415,$AH$2:$AH415))</f>
        <v/>
      </c>
      <c r="AJ415" t="str">
        <f>IF('TMP Paste'!$F415="","",IF('TMP Paste'!$B415="",$AJ414,'TMP Paste'!$B415))</f>
        <v/>
      </c>
      <c r="AK415" t="str">
        <f>IF('TMP Paste'!$F415="","",N('TMP Paste'!$G415))</f>
        <v/>
      </c>
      <c r="AL415" t="str">
        <f>IF('TMP Paste'!$F415="","",IF('TMP Paste'!$M415="",$AL414,'TMP Paste'!$M415))</f>
        <v/>
      </c>
      <c r="AM415" t="str">
        <f>IF('TMP Paste'!$F415="","",IF('TMP Paste'!$N415="",$AM414,'TMP Paste'!$N415))</f>
        <v/>
      </c>
      <c r="AN415" t="str">
        <f>IF('TMP Paste'!$F415="","",IF('TMP Paste'!$O415="",$AN414,'TMP Paste'!$O415))</f>
        <v/>
      </c>
      <c r="AO415" t="str">
        <f>IF('TMP Paste'!$F415="","",IF('TMP Paste'!$P415="",$AO414,'TMP Paste'!$P415))</f>
        <v/>
      </c>
      <c r="AP415" t="str">
        <f t="shared" si="41"/>
        <v/>
      </c>
      <c r="AQ415" t="str">
        <f>IF($AS415="","",TRIM(IF(COUNTIFS(Calc!$B$2:$B$1601,ROW()-1,Calc!$C$2:$C$1601,"&lt;1")&gt;0,"Ada PO tanpa Koli - cek TMP. ","")&amp;IF(OR($AU415="",$AU415&lt;=0),"Volume kosong/0 - dimensi dikosongkan. ","")&amp;IF(AND($AU415&lt;&gt;"",$AU415&gt;=1000000),"Volume &gt;= 1.000.000 cm3 (di luar aturan) - dimensi dikosongkan. ","")&amp;IF(LEN($R415)&gt;500,"R &gt; 500 karakter.","")))</f>
        <v/>
      </c>
      <c r="AS415" t="str">
        <f>IFERROR(MATCH(ROW()-1,Calc!$J$2:$J$1601,0),"")</f>
        <v/>
      </c>
      <c r="AT415" t="str">
        <f>IFERROR(MATCH(ROW()-1,Calc!$K$2:$K$1601,0),"")</f>
        <v/>
      </c>
      <c r="AU415" t="str">
        <f>IF($AS415="","",IFERROR(INDEX('TMP Paste'!$D$2:$D$1601,$AS415)*1000000/$AB415,""))</f>
        <v/>
      </c>
    </row>
    <row r="416" spans="1:47">
      <c r="A416" t="str">
        <f>IF($AS416="","",INDEX('TMP Paste'!$B$2:$B$1601,$AS416))</f>
        <v/>
      </c>
      <c r="B416" t="str">
        <f>IF($AS416="","",Config!$B$14)</f>
        <v/>
      </c>
      <c r="C416" t="str">
        <f>IF($AS416="","",Config!$B$15)</f>
        <v/>
      </c>
      <c r="D416" t="str">
        <f>IF($AS416="","",INDEX('TMP Paste'!$B$2:$B$1601,$AS416))</f>
        <v/>
      </c>
      <c r="E416" t="str">
        <f>IF($AS416="","",Config!$B$27)</f>
        <v/>
      </c>
      <c r="F416" t="str">
        <f>IF($AS416="","",Config!$B$9)</f>
        <v/>
      </c>
      <c r="G416" t="str">
        <f>IF($AS416="","",Config!$B$10)</f>
        <v/>
      </c>
      <c r="H416" t="str">
        <f>IF($AS416="","",Config!$B$11)</f>
        <v/>
      </c>
      <c r="I416" t="str">
        <f>IF($AS416="","",Config!$B$16)</f>
        <v/>
      </c>
      <c r="J416" t="str">
        <f>IF($AS416="","",INDEX('TMP Paste'!$A$2:$A$1601,$AS416))</f>
        <v/>
      </c>
      <c r="K416" t="str">
        <f>IF($AS416="","",INDEX('TMP Paste'!$L$2:$L$1601,$AS416))</f>
        <v/>
      </c>
      <c r="L416" t="str">
        <f>IF($AS416="","",INDEX('TMP Paste'!$I$2:$I$1601,$AS416))</f>
        <v/>
      </c>
      <c r="M416" t="str">
        <f>IF($AS416="","",Config!$B$16)</f>
        <v/>
      </c>
      <c r="N416" t="str">
        <f t="shared" si="36"/>
        <v/>
      </c>
      <c r="O416" t="str">
        <f>IF($AS416="","",INDEX('TMP Paste'!$K$2:$K$1601,$AS416))</f>
        <v/>
      </c>
      <c r="P416" t="str">
        <f t="shared" si="37"/>
        <v/>
      </c>
      <c r="Q416" t="str">
        <f>IF($AS416="","",INDEX('TMP Paste'!$J$2:$J$1601,$AS416))</f>
        <v/>
      </c>
      <c r="R416" t="str">
        <f>IF($AS416="","",Config!$B$24)</f>
        <v/>
      </c>
      <c r="S416" t="str">
        <f ca="1">IF($AS416="","",TEXT(Config!$B$4,"yyyy-mm-dd"))</f>
        <v/>
      </c>
      <c r="T416" t="str">
        <f>IF($AS416="","",Config!$B$17)</f>
        <v/>
      </c>
      <c r="U416" t="str">
        <f>IF($AS416="","",Config!$B$18)</f>
        <v/>
      </c>
      <c r="V416" t="str">
        <f>IF($AS416="","",Config!$B$19)</f>
        <v/>
      </c>
      <c r="W416" t="str">
        <f>IF($AS416="","",INDEX('TMP Paste'!$C$2:$C$1601,$AS416))</f>
        <v/>
      </c>
      <c r="X416" t="str">
        <f>IF($AS416="","",Config!$B$29)</f>
        <v/>
      </c>
      <c r="Y416" t="str">
        <f>IF($AT416="","",INDEX(Calc!$I$2:$I$1601,$AT416)&amp;" - "&amp;INDEX(Calc!$D$2:$D$1601,$AT416)&amp;" koli")</f>
        <v/>
      </c>
      <c r="Z416" t="str">
        <f>IF($AS416="","",Config!$B$21)</f>
        <v/>
      </c>
      <c r="AA416" t="str">
        <f>IF($AS416="","",Config!$B$22)</f>
        <v/>
      </c>
      <c r="AB416" t="str">
        <f>IF($AT416="","",INDEX(Calc!$D$2:$D$1601,$AT416))</f>
        <v/>
      </c>
      <c r="AC416" t="str">
        <f>IF($AT416="","",INDEX(Calc!$G$2:$G$1601,$AT416))</f>
        <v/>
      </c>
      <c r="AD416" t="str">
        <f>IF($AS416="","",Config!$B$23)</f>
        <v/>
      </c>
      <c r="AE416" t="str">
        <f>IF($AS416="","",Config!$B$28)</f>
        <v/>
      </c>
      <c r="AF416" t="str">
        <f t="shared" si="38"/>
        <v/>
      </c>
      <c r="AG416" t="str">
        <f t="shared" si="39"/>
        <v/>
      </c>
      <c r="AH416" t="str">
        <f t="shared" si="40"/>
        <v/>
      </c>
      <c r="AI416" t="str">
        <f>IF($AG416="","",SUMIF($AG$2:$AG416,$AG416,$AH$2:$AH416))</f>
        <v/>
      </c>
      <c r="AJ416" t="str">
        <f>IF('TMP Paste'!$F416="","",IF('TMP Paste'!$B416="",$AJ415,'TMP Paste'!$B416))</f>
        <v/>
      </c>
      <c r="AK416" t="str">
        <f>IF('TMP Paste'!$F416="","",N('TMP Paste'!$G416))</f>
        <v/>
      </c>
      <c r="AL416" t="str">
        <f>IF('TMP Paste'!$F416="","",IF('TMP Paste'!$M416="",$AL415,'TMP Paste'!$M416))</f>
        <v/>
      </c>
      <c r="AM416" t="str">
        <f>IF('TMP Paste'!$F416="","",IF('TMP Paste'!$N416="",$AM415,'TMP Paste'!$N416))</f>
        <v/>
      </c>
      <c r="AN416" t="str">
        <f>IF('TMP Paste'!$F416="","",IF('TMP Paste'!$O416="",$AN415,'TMP Paste'!$O416))</f>
        <v/>
      </c>
      <c r="AO416" t="str">
        <f>IF('TMP Paste'!$F416="","",IF('TMP Paste'!$P416="",$AO415,'TMP Paste'!$P416))</f>
        <v/>
      </c>
      <c r="AP416" t="str">
        <f t="shared" si="41"/>
        <v/>
      </c>
      <c r="AQ416" t="str">
        <f>IF($AS416="","",TRIM(IF(COUNTIFS(Calc!$B$2:$B$1601,ROW()-1,Calc!$C$2:$C$1601,"&lt;1")&gt;0,"Ada PO tanpa Koli - cek TMP. ","")&amp;IF(OR($AU416="",$AU416&lt;=0),"Volume kosong/0 - dimensi dikosongkan. ","")&amp;IF(AND($AU416&lt;&gt;"",$AU416&gt;=1000000),"Volume &gt;= 1.000.000 cm3 (di luar aturan) - dimensi dikosongkan. ","")&amp;IF(LEN($R416)&gt;500,"R &gt; 500 karakter.","")))</f>
        <v/>
      </c>
      <c r="AS416" t="str">
        <f>IFERROR(MATCH(ROW()-1,Calc!$J$2:$J$1601,0),"")</f>
        <v/>
      </c>
      <c r="AT416" t="str">
        <f>IFERROR(MATCH(ROW()-1,Calc!$K$2:$K$1601,0),"")</f>
        <v/>
      </c>
      <c r="AU416" t="str">
        <f>IF($AS416="","",IFERROR(INDEX('TMP Paste'!$D$2:$D$1601,$AS416)*1000000/$AB416,""))</f>
        <v/>
      </c>
    </row>
    <row r="417" spans="1:47">
      <c r="A417" t="str">
        <f>IF($AS417="","",INDEX('TMP Paste'!$B$2:$B$1601,$AS417))</f>
        <v/>
      </c>
      <c r="B417" t="str">
        <f>IF($AS417="","",Config!$B$14)</f>
        <v/>
      </c>
      <c r="C417" t="str">
        <f>IF($AS417="","",Config!$B$15)</f>
        <v/>
      </c>
      <c r="D417" t="str">
        <f>IF($AS417="","",INDEX('TMP Paste'!$B$2:$B$1601,$AS417))</f>
        <v/>
      </c>
      <c r="E417" t="str">
        <f>IF($AS417="","",Config!$B$27)</f>
        <v/>
      </c>
      <c r="F417" t="str">
        <f>IF($AS417="","",Config!$B$9)</f>
        <v/>
      </c>
      <c r="G417" t="str">
        <f>IF($AS417="","",Config!$B$10)</f>
        <v/>
      </c>
      <c r="H417" t="str">
        <f>IF($AS417="","",Config!$B$11)</f>
        <v/>
      </c>
      <c r="I417" t="str">
        <f>IF($AS417="","",Config!$B$16)</f>
        <v/>
      </c>
      <c r="J417" t="str">
        <f>IF($AS417="","",INDEX('TMP Paste'!$A$2:$A$1601,$AS417))</f>
        <v/>
      </c>
      <c r="K417" t="str">
        <f>IF($AS417="","",INDEX('TMP Paste'!$L$2:$L$1601,$AS417))</f>
        <v/>
      </c>
      <c r="L417" t="str">
        <f>IF($AS417="","",INDEX('TMP Paste'!$I$2:$I$1601,$AS417))</f>
        <v/>
      </c>
      <c r="M417" t="str">
        <f>IF($AS417="","",Config!$B$16)</f>
        <v/>
      </c>
      <c r="N417" t="str">
        <f t="shared" si="36"/>
        <v/>
      </c>
      <c r="O417" t="str">
        <f>IF($AS417="","",INDEX('TMP Paste'!$K$2:$K$1601,$AS417))</f>
        <v/>
      </c>
      <c r="P417" t="str">
        <f t="shared" si="37"/>
        <v/>
      </c>
      <c r="Q417" t="str">
        <f>IF($AS417="","",INDEX('TMP Paste'!$J$2:$J$1601,$AS417))</f>
        <v/>
      </c>
      <c r="R417" t="str">
        <f>IF($AS417="","",Config!$B$24)</f>
        <v/>
      </c>
      <c r="S417" t="str">
        <f ca="1">IF($AS417="","",TEXT(Config!$B$4,"yyyy-mm-dd"))</f>
        <v/>
      </c>
      <c r="T417" t="str">
        <f>IF($AS417="","",Config!$B$17)</f>
        <v/>
      </c>
      <c r="U417" t="str">
        <f>IF($AS417="","",Config!$B$18)</f>
        <v/>
      </c>
      <c r="V417" t="str">
        <f>IF($AS417="","",Config!$B$19)</f>
        <v/>
      </c>
      <c r="W417" t="str">
        <f>IF($AS417="","",INDEX('TMP Paste'!$C$2:$C$1601,$AS417))</f>
        <v/>
      </c>
      <c r="X417" t="str">
        <f>IF($AS417="","",Config!$B$29)</f>
        <v/>
      </c>
      <c r="Y417" t="str">
        <f>IF($AT417="","",INDEX(Calc!$I$2:$I$1601,$AT417)&amp;" - "&amp;INDEX(Calc!$D$2:$D$1601,$AT417)&amp;" koli")</f>
        <v/>
      </c>
      <c r="Z417" t="str">
        <f>IF($AS417="","",Config!$B$21)</f>
        <v/>
      </c>
      <c r="AA417" t="str">
        <f>IF($AS417="","",Config!$B$22)</f>
        <v/>
      </c>
      <c r="AB417" t="str">
        <f>IF($AT417="","",INDEX(Calc!$D$2:$D$1601,$AT417))</f>
        <v/>
      </c>
      <c r="AC417" t="str">
        <f>IF($AT417="","",INDEX(Calc!$G$2:$G$1601,$AT417))</f>
        <v/>
      </c>
      <c r="AD417" t="str">
        <f>IF($AS417="","",Config!$B$23)</f>
        <v/>
      </c>
      <c r="AE417" t="str">
        <f>IF($AS417="","",Config!$B$28)</f>
        <v/>
      </c>
      <c r="AF417" t="str">
        <f t="shared" si="38"/>
        <v/>
      </c>
      <c r="AG417" t="str">
        <f t="shared" si="39"/>
        <v/>
      </c>
      <c r="AH417" t="str">
        <f t="shared" si="40"/>
        <v/>
      </c>
      <c r="AI417" t="str">
        <f>IF($AG417="","",SUMIF($AG$2:$AG417,$AG417,$AH$2:$AH417))</f>
        <v/>
      </c>
      <c r="AJ417" t="str">
        <f>IF('TMP Paste'!$F417="","",IF('TMP Paste'!$B417="",$AJ416,'TMP Paste'!$B417))</f>
        <v/>
      </c>
      <c r="AK417" t="str">
        <f>IF('TMP Paste'!$F417="","",N('TMP Paste'!$G417))</f>
        <v/>
      </c>
      <c r="AL417" t="str">
        <f>IF('TMP Paste'!$F417="","",IF('TMP Paste'!$M417="",$AL416,'TMP Paste'!$M417))</f>
        <v/>
      </c>
      <c r="AM417" t="str">
        <f>IF('TMP Paste'!$F417="","",IF('TMP Paste'!$N417="",$AM416,'TMP Paste'!$N417))</f>
        <v/>
      </c>
      <c r="AN417" t="str">
        <f>IF('TMP Paste'!$F417="","",IF('TMP Paste'!$O417="",$AN416,'TMP Paste'!$O417))</f>
        <v/>
      </c>
      <c r="AO417" t="str">
        <f>IF('TMP Paste'!$F417="","",IF('TMP Paste'!$P417="",$AO416,'TMP Paste'!$P417))</f>
        <v/>
      </c>
      <c r="AP417" t="str">
        <f t="shared" si="41"/>
        <v/>
      </c>
      <c r="AQ417" t="str">
        <f>IF($AS417="","",TRIM(IF(COUNTIFS(Calc!$B$2:$B$1601,ROW()-1,Calc!$C$2:$C$1601,"&lt;1")&gt;0,"Ada PO tanpa Koli - cek TMP. ","")&amp;IF(OR($AU417="",$AU417&lt;=0),"Volume kosong/0 - dimensi dikosongkan. ","")&amp;IF(AND($AU417&lt;&gt;"",$AU417&gt;=1000000),"Volume &gt;= 1.000.000 cm3 (di luar aturan) - dimensi dikosongkan. ","")&amp;IF(LEN($R417)&gt;500,"R &gt; 500 karakter.","")))</f>
        <v/>
      </c>
      <c r="AS417" t="str">
        <f>IFERROR(MATCH(ROW()-1,Calc!$J$2:$J$1601,0),"")</f>
        <v/>
      </c>
      <c r="AT417" t="str">
        <f>IFERROR(MATCH(ROW()-1,Calc!$K$2:$K$1601,0),"")</f>
        <v/>
      </c>
      <c r="AU417" t="str">
        <f>IF($AS417="","",IFERROR(INDEX('TMP Paste'!$D$2:$D$1601,$AS417)*1000000/$AB417,""))</f>
        <v/>
      </c>
    </row>
    <row r="418" spans="1:47">
      <c r="A418" t="str">
        <f>IF($AS418="","",INDEX('TMP Paste'!$B$2:$B$1601,$AS418))</f>
        <v/>
      </c>
      <c r="B418" t="str">
        <f>IF($AS418="","",Config!$B$14)</f>
        <v/>
      </c>
      <c r="C418" t="str">
        <f>IF($AS418="","",Config!$B$15)</f>
        <v/>
      </c>
      <c r="D418" t="str">
        <f>IF($AS418="","",INDEX('TMP Paste'!$B$2:$B$1601,$AS418))</f>
        <v/>
      </c>
      <c r="E418" t="str">
        <f>IF($AS418="","",Config!$B$27)</f>
        <v/>
      </c>
      <c r="F418" t="str">
        <f>IF($AS418="","",Config!$B$9)</f>
        <v/>
      </c>
      <c r="G418" t="str">
        <f>IF($AS418="","",Config!$B$10)</f>
        <v/>
      </c>
      <c r="H418" t="str">
        <f>IF($AS418="","",Config!$B$11)</f>
        <v/>
      </c>
      <c r="I418" t="str">
        <f>IF($AS418="","",Config!$B$16)</f>
        <v/>
      </c>
      <c r="J418" t="str">
        <f>IF($AS418="","",INDEX('TMP Paste'!$A$2:$A$1601,$AS418))</f>
        <v/>
      </c>
      <c r="K418" t="str">
        <f>IF($AS418="","",INDEX('TMP Paste'!$L$2:$L$1601,$AS418))</f>
        <v/>
      </c>
      <c r="L418" t="str">
        <f>IF($AS418="","",INDEX('TMP Paste'!$I$2:$I$1601,$AS418))</f>
        <v/>
      </c>
      <c r="M418" t="str">
        <f>IF($AS418="","",Config!$B$16)</f>
        <v/>
      </c>
      <c r="N418" t="str">
        <f t="shared" si="36"/>
        <v/>
      </c>
      <c r="O418" t="str">
        <f>IF($AS418="","",INDEX('TMP Paste'!$K$2:$K$1601,$AS418))</f>
        <v/>
      </c>
      <c r="P418" t="str">
        <f t="shared" si="37"/>
        <v/>
      </c>
      <c r="Q418" t="str">
        <f>IF($AS418="","",INDEX('TMP Paste'!$J$2:$J$1601,$AS418))</f>
        <v/>
      </c>
      <c r="R418" t="str">
        <f>IF($AS418="","",Config!$B$24)</f>
        <v/>
      </c>
      <c r="S418" t="str">
        <f ca="1">IF($AS418="","",TEXT(Config!$B$4,"yyyy-mm-dd"))</f>
        <v/>
      </c>
      <c r="T418" t="str">
        <f>IF($AS418="","",Config!$B$17)</f>
        <v/>
      </c>
      <c r="U418" t="str">
        <f>IF($AS418="","",Config!$B$18)</f>
        <v/>
      </c>
      <c r="V418" t="str">
        <f>IF($AS418="","",Config!$B$19)</f>
        <v/>
      </c>
      <c r="W418" t="str">
        <f>IF($AS418="","",INDEX('TMP Paste'!$C$2:$C$1601,$AS418))</f>
        <v/>
      </c>
      <c r="X418" t="str">
        <f>IF($AS418="","",Config!$B$29)</f>
        <v/>
      </c>
      <c r="Y418" t="str">
        <f>IF($AT418="","",INDEX(Calc!$I$2:$I$1601,$AT418)&amp;" - "&amp;INDEX(Calc!$D$2:$D$1601,$AT418)&amp;" koli")</f>
        <v/>
      </c>
      <c r="Z418" t="str">
        <f>IF($AS418="","",Config!$B$21)</f>
        <v/>
      </c>
      <c r="AA418" t="str">
        <f>IF($AS418="","",Config!$B$22)</f>
        <v/>
      </c>
      <c r="AB418" t="str">
        <f>IF($AT418="","",INDEX(Calc!$D$2:$D$1601,$AT418))</f>
        <v/>
      </c>
      <c r="AC418" t="str">
        <f>IF($AT418="","",INDEX(Calc!$G$2:$G$1601,$AT418))</f>
        <v/>
      </c>
      <c r="AD418" t="str">
        <f>IF($AS418="","",Config!$B$23)</f>
        <v/>
      </c>
      <c r="AE418" t="str">
        <f>IF($AS418="","",Config!$B$28)</f>
        <v/>
      </c>
      <c r="AF418" t="str">
        <f t="shared" si="38"/>
        <v/>
      </c>
      <c r="AG418" t="str">
        <f t="shared" si="39"/>
        <v/>
      </c>
      <c r="AH418" t="str">
        <f t="shared" si="40"/>
        <v/>
      </c>
      <c r="AI418" t="str">
        <f>IF($AG418="","",SUMIF($AG$2:$AG418,$AG418,$AH$2:$AH418))</f>
        <v/>
      </c>
      <c r="AJ418" t="str">
        <f>IF('TMP Paste'!$F418="","",IF('TMP Paste'!$B418="",$AJ417,'TMP Paste'!$B418))</f>
        <v/>
      </c>
      <c r="AK418" t="str">
        <f>IF('TMP Paste'!$F418="","",N('TMP Paste'!$G418))</f>
        <v/>
      </c>
      <c r="AL418" t="str">
        <f>IF('TMP Paste'!$F418="","",IF('TMP Paste'!$M418="",$AL417,'TMP Paste'!$M418))</f>
        <v/>
      </c>
      <c r="AM418" t="str">
        <f>IF('TMP Paste'!$F418="","",IF('TMP Paste'!$N418="",$AM417,'TMP Paste'!$N418))</f>
        <v/>
      </c>
      <c r="AN418" t="str">
        <f>IF('TMP Paste'!$F418="","",IF('TMP Paste'!$O418="",$AN417,'TMP Paste'!$O418))</f>
        <v/>
      </c>
      <c r="AO418" t="str">
        <f>IF('TMP Paste'!$F418="","",IF('TMP Paste'!$P418="",$AO417,'TMP Paste'!$P418))</f>
        <v/>
      </c>
      <c r="AP418" t="str">
        <f t="shared" si="41"/>
        <v/>
      </c>
      <c r="AQ418" t="str">
        <f>IF($AS418="","",TRIM(IF(COUNTIFS(Calc!$B$2:$B$1601,ROW()-1,Calc!$C$2:$C$1601,"&lt;1")&gt;0,"Ada PO tanpa Koli - cek TMP. ","")&amp;IF(OR($AU418="",$AU418&lt;=0),"Volume kosong/0 - dimensi dikosongkan. ","")&amp;IF(AND($AU418&lt;&gt;"",$AU418&gt;=1000000),"Volume &gt;= 1.000.000 cm3 (di luar aturan) - dimensi dikosongkan. ","")&amp;IF(LEN($R418)&gt;500,"R &gt; 500 karakter.","")))</f>
        <v/>
      </c>
      <c r="AS418" t="str">
        <f>IFERROR(MATCH(ROW()-1,Calc!$J$2:$J$1601,0),"")</f>
        <v/>
      </c>
      <c r="AT418" t="str">
        <f>IFERROR(MATCH(ROW()-1,Calc!$K$2:$K$1601,0),"")</f>
        <v/>
      </c>
      <c r="AU418" t="str">
        <f>IF($AS418="","",IFERROR(INDEX('TMP Paste'!$D$2:$D$1601,$AS418)*1000000/$AB418,""))</f>
        <v/>
      </c>
    </row>
    <row r="419" spans="1:47">
      <c r="A419" t="str">
        <f>IF($AS419="","",INDEX('TMP Paste'!$B$2:$B$1601,$AS419))</f>
        <v/>
      </c>
      <c r="B419" t="str">
        <f>IF($AS419="","",Config!$B$14)</f>
        <v/>
      </c>
      <c r="C419" t="str">
        <f>IF($AS419="","",Config!$B$15)</f>
        <v/>
      </c>
      <c r="D419" t="str">
        <f>IF($AS419="","",INDEX('TMP Paste'!$B$2:$B$1601,$AS419))</f>
        <v/>
      </c>
      <c r="E419" t="str">
        <f>IF($AS419="","",Config!$B$27)</f>
        <v/>
      </c>
      <c r="F419" t="str">
        <f>IF($AS419="","",Config!$B$9)</f>
        <v/>
      </c>
      <c r="G419" t="str">
        <f>IF($AS419="","",Config!$B$10)</f>
        <v/>
      </c>
      <c r="H419" t="str">
        <f>IF($AS419="","",Config!$B$11)</f>
        <v/>
      </c>
      <c r="I419" t="str">
        <f>IF($AS419="","",Config!$B$16)</f>
        <v/>
      </c>
      <c r="J419" t="str">
        <f>IF($AS419="","",INDEX('TMP Paste'!$A$2:$A$1601,$AS419))</f>
        <v/>
      </c>
      <c r="K419" t="str">
        <f>IF($AS419="","",INDEX('TMP Paste'!$L$2:$L$1601,$AS419))</f>
        <v/>
      </c>
      <c r="L419" t="str">
        <f>IF($AS419="","",INDEX('TMP Paste'!$I$2:$I$1601,$AS419))</f>
        <v/>
      </c>
      <c r="M419" t="str">
        <f>IF($AS419="","",Config!$B$16)</f>
        <v/>
      </c>
      <c r="N419" t="str">
        <f t="shared" si="36"/>
        <v/>
      </c>
      <c r="O419" t="str">
        <f>IF($AS419="","",INDEX('TMP Paste'!$K$2:$K$1601,$AS419))</f>
        <v/>
      </c>
      <c r="P419" t="str">
        <f t="shared" si="37"/>
        <v/>
      </c>
      <c r="Q419" t="str">
        <f>IF($AS419="","",INDEX('TMP Paste'!$J$2:$J$1601,$AS419))</f>
        <v/>
      </c>
      <c r="R419" t="str">
        <f>IF($AS419="","",Config!$B$24)</f>
        <v/>
      </c>
      <c r="S419" t="str">
        <f ca="1">IF($AS419="","",TEXT(Config!$B$4,"yyyy-mm-dd"))</f>
        <v/>
      </c>
      <c r="T419" t="str">
        <f>IF($AS419="","",Config!$B$17)</f>
        <v/>
      </c>
      <c r="U419" t="str">
        <f>IF($AS419="","",Config!$B$18)</f>
        <v/>
      </c>
      <c r="V419" t="str">
        <f>IF($AS419="","",Config!$B$19)</f>
        <v/>
      </c>
      <c r="W419" t="str">
        <f>IF($AS419="","",INDEX('TMP Paste'!$C$2:$C$1601,$AS419))</f>
        <v/>
      </c>
      <c r="X419" t="str">
        <f>IF($AS419="","",Config!$B$29)</f>
        <v/>
      </c>
      <c r="Y419" t="str">
        <f>IF($AT419="","",INDEX(Calc!$I$2:$I$1601,$AT419)&amp;" - "&amp;INDEX(Calc!$D$2:$D$1601,$AT419)&amp;" koli")</f>
        <v/>
      </c>
      <c r="Z419" t="str">
        <f>IF($AS419="","",Config!$B$21)</f>
        <v/>
      </c>
      <c r="AA419" t="str">
        <f>IF($AS419="","",Config!$B$22)</f>
        <v/>
      </c>
      <c r="AB419" t="str">
        <f>IF($AT419="","",INDEX(Calc!$D$2:$D$1601,$AT419))</f>
        <v/>
      </c>
      <c r="AC419" t="str">
        <f>IF($AT419="","",INDEX(Calc!$G$2:$G$1601,$AT419))</f>
        <v/>
      </c>
      <c r="AD419" t="str">
        <f>IF($AS419="","",Config!$B$23)</f>
        <v/>
      </c>
      <c r="AE419" t="str">
        <f>IF($AS419="","",Config!$B$28)</f>
        <v/>
      </c>
      <c r="AF419" t="str">
        <f t="shared" si="38"/>
        <v/>
      </c>
      <c r="AG419" t="str">
        <f t="shared" si="39"/>
        <v/>
      </c>
      <c r="AH419" t="str">
        <f t="shared" si="40"/>
        <v/>
      </c>
      <c r="AI419" t="str">
        <f>IF($AG419="","",SUMIF($AG$2:$AG419,$AG419,$AH$2:$AH419))</f>
        <v/>
      </c>
      <c r="AJ419" t="str">
        <f>IF('TMP Paste'!$F419="","",IF('TMP Paste'!$B419="",$AJ418,'TMP Paste'!$B419))</f>
        <v/>
      </c>
      <c r="AK419" t="str">
        <f>IF('TMP Paste'!$F419="","",N('TMP Paste'!$G419))</f>
        <v/>
      </c>
      <c r="AL419" t="str">
        <f>IF('TMP Paste'!$F419="","",IF('TMP Paste'!$M419="",$AL418,'TMP Paste'!$M419))</f>
        <v/>
      </c>
      <c r="AM419" t="str">
        <f>IF('TMP Paste'!$F419="","",IF('TMP Paste'!$N419="",$AM418,'TMP Paste'!$N419))</f>
        <v/>
      </c>
      <c r="AN419" t="str">
        <f>IF('TMP Paste'!$F419="","",IF('TMP Paste'!$O419="",$AN418,'TMP Paste'!$O419))</f>
        <v/>
      </c>
      <c r="AO419" t="str">
        <f>IF('TMP Paste'!$F419="","",IF('TMP Paste'!$P419="",$AO418,'TMP Paste'!$P419))</f>
        <v/>
      </c>
      <c r="AP419" t="str">
        <f t="shared" si="41"/>
        <v/>
      </c>
      <c r="AQ419" t="str">
        <f>IF($AS419="","",TRIM(IF(COUNTIFS(Calc!$B$2:$B$1601,ROW()-1,Calc!$C$2:$C$1601,"&lt;1")&gt;0,"Ada PO tanpa Koli - cek TMP. ","")&amp;IF(OR($AU419="",$AU419&lt;=0),"Volume kosong/0 - dimensi dikosongkan. ","")&amp;IF(AND($AU419&lt;&gt;"",$AU419&gt;=1000000),"Volume &gt;= 1.000.000 cm3 (di luar aturan) - dimensi dikosongkan. ","")&amp;IF(LEN($R419)&gt;500,"R &gt; 500 karakter.","")))</f>
        <v/>
      </c>
      <c r="AS419" t="str">
        <f>IFERROR(MATCH(ROW()-1,Calc!$J$2:$J$1601,0),"")</f>
        <v/>
      </c>
      <c r="AT419" t="str">
        <f>IFERROR(MATCH(ROW()-1,Calc!$K$2:$K$1601,0),"")</f>
        <v/>
      </c>
      <c r="AU419" t="str">
        <f>IF($AS419="","",IFERROR(INDEX('TMP Paste'!$D$2:$D$1601,$AS419)*1000000/$AB419,""))</f>
        <v/>
      </c>
    </row>
    <row r="420" spans="1:47">
      <c r="A420" t="str">
        <f>IF($AS420="","",INDEX('TMP Paste'!$B$2:$B$1601,$AS420))</f>
        <v/>
      </c>
      <c r="B420" t="str">
        <f>IF($AS420="","",Config!$B$14)</f>
        <v/>
      </c>
      <c r="C420" t="str">
        <f>IF($AS420="","",Config!$B$15)</f>
        <v/>
      </c>
      <c r="D420" t="str">
        <f>IF($AS420="","",INDEX('TMP Paste'!$B$2:$B$1601,$AS420))</f>
        <v/>
      </c>
      <c r="E420" t="str">
        <f>IF($AS420="","",Config!$B$27)</f>
        <v/>
      </c>
      <c r="F420" t="str">
        <f>IF($AS420="","",Config!$B$9)</f>
        <v/>
      </c>
      <c r="G420" t="str">
        <f>IF($AS420="","",Config!$B$10)</f>
        <v/>
      </c>
      <c r="H420" t="str">
        <f>IF($AS420="","",Config!$B$11)</f>
        <v/>
      </c>
      <c r="I420" t="str">
        <f>IF($AS420="","",Config!$B$16)</f>
        <v/>
      </c>
      <c r="J420" t="str">
        <f>IF($AS420="","",INDEX('TMP Paste'!$A$2:$A$1601,$AS420))</f>
        <v/>
      </c>
      <c r="K420" t="str">
        <f>IF($AS420="","",INDEX('TMP Paste'!$L$2:$L$1601,$AS420))</f>
        <v/>
      </c>
      <c r="L420" t="str">
        <f>IF($AS420="","",INDEX('TMP Paste'!$I$2:$I$1601,$AS420))</f>
        <v/>
      </c>
      <c r="M420" t="str">
        <f>IF($AS420="","",Config!$B$16)</f>
        <v/>
      </c>
      <c r="N420" t="str">
        <f t="shared" si="36"/>
        <v/>
      </c>
      <c r="O420" t="str">
        <f>IF($AS420="","",INDEX('TMP Paste'!$K$2:$K$1601,$AS420))</f>
        <v/>
      </c>
      <c r="P420" t="str">
        <f t="shared" si="37"/>
        <v/>
      </c>
      <c r="Q420" t="str">
        <f>IF($AS420="","",INDEX('TMP Paste'!$J$2:$J$1601,$AS420))</f>
        <v/>
      </c>
      <c r="R420" t="str">
        <f>IF($AS420="","",Config!$B$24)</f>
        <v/>
      </c>
      <c r="S420" t="str">
        <f ca="1">IF($AS420="","",TEXT(Config!$B$4,"yyyy-mm-dd"))</f>
        <v/>
      </c>
      <c r="T420" t="str">
        <f>IF($AS420="","",Config!$B$17)</f>
        <v/>
      </c>
      <c r="U420" t="str">
        <f>IF($AS420="","",Config!$B$18)</f>
        <v/>
      </c>
      <c r="V420" t="str">
        <f>IF($AS420="","",Config!$B$19)</f>
        <v/>
      </c>
      <c r="W420" t="str">
        <f>IF($AS420="","",INDEX('TMP Paste'!$C$2:$C$1601,$AS420))</f>
        <v/>
      </c>
      <c r="X420" t="str">
        <f>IF($AS420="","",Config!$B$29)</f>
        <v/>
      </c>
      <c r="Y420" t="str">
        <f>IF($AT420="","",INDEX(Calc!$I$2:$I$1601,$AT420)&amp;" - "&amp;INDEX(Calc!$D$2:$D$1601,$AT420)&amp;" koli")</f>
        <v/>
      </c>
      <c r="Z420" t="str">
        <f>IF($AS420="","",Config!$B$21)</f>
        <v/>
      </c>
      <c r="AA420" t="str">
        <f>IF($AS420="","",Config!$B$22)</f>
        <v/>
      </c>
      <c r="AB420" t="str">
        <f>IF($AT420="","",INDEX(Calc!$D$2:$D$1601,$AT420))</f>
        <v/>
      </c>
      <c r="AC420" t="str">
        <f>IF($AT420="","",INDEX(Calc!$G$2:$G$1601,$AT420))</f>
        <v/>
      </c>
      <c r="AD420" t="str">
        <f>IF($AS420="","",Config!$B$23)</f>
        <v/>
      </c>
      <c r="AE420" t="str">
        <f>IF($AS420="","",Config!$B$28)</f>
        <v/>
      </c>
      <c r="AF420" t="str">
        <f t="shared" si="38"/>
        <v/>
      </c>
      <c r="AG420" t="str">
        <f t="shared" si="39"/>
        <v/>
      </c>
      <c r="AH420" t="str">
        <f t="shared" si="40"/>
        <v/>
      </c>
      <c r="AI420" t="str">
        <f>IF($AG420="","",SUMIF($AG$2:$AG420,$AG420,$AH$2:$AH420))</f>
        <v/>
      </c>
      <c r="AJ420" t="str">
        <f>IF('TMP Paste'!$F420="","",IF('TMP Paste'!$B420="",$AJ419,'TMP Paste'!$B420))</f>
        <v/>
      </c>
      <c r="AK420" t="str">
        <f>IF('TMP Paste'!$F420="","",N('TMP Paste'!$G420))</f>
        <v/>
      </c>
      <c r="AL420" t="str">
        <f>IF('TMP Paste'!$F420="","",IF('TMP Paste'!$M420="",$AL419,'TMP Paste'!$M420))</f>
        <v/>
      </c>
      <c r="AM420" t="str">
        <f>IF('TMP Paste'!$F420="","",IF('TMP Paste'!$N420="",$AM419,'TMP Paste'!$N420))</f>
        <v/>
      </c>
      <c r="AN420" t="str">
        <f>IF('TMP Paste'!$F420="","",IF('TMP Paste'!$O420="",$AN419,'TMP Paste'!$O420))</f>
        <v/>
      </c>
      <c r="AO420" t="str">
        <f>IF('TMP Paste'!$F420="","",IF('TMP Paste'!$P420="",$AO419,'TMP Paste'!$P420))</f>
        <v/>
      </c>
      <c r="AP420" t="str">
        <f t="shared" si="41"/>
        <v/>
      </c>
      <c r="AQ420" t="str">
        <f>IF($AS420="","",TRIM(IF(COUNTIFS(Calc!$B$2:$B$1601,ROW()-1,Calc!$C$2:$C$1601,"&lt;1")&gt;0,"Ada PO tanpa Koli - cek TMP. ","")&amp;IF(OR($AU420="",$AU420&lt;=0),"Volume kosong/0 - dimensi dikosongkan. ","")&amp;IF(AND($AU420&lt;&gt;"",$AU420&gt;=1000000),"Volume &gt;= 1.000.000 cm3 (di luar aturan) - dimensi dikosongkan. ","")&amp;IF(LEN($R420)&gt;500,"R &gt; 500 karakter.","")))</f>
        <v/>
      </c>
      <c r="AS420" t="str">
        <f>IFERROR(MATCH(ROW()-1,Calc!$J$2:$J$1601,0),"")</f>
        <v/>
      </c>
      <c r="AT420" t="str">
        <f>IFERROR(MATCH(ROW()-1,Calc!$K$2:$K$1601,0),"")</f>
        <v/>
      </c>
      <c r="AU420" t="str">
        <f>IF($AS420="","",IFERROR(INDEX('TMP Paste'!$D$2:$D$1601,$AS420)*1000000/$AB420,""))</f>
        <v/>
      </c>
    </row>
    <row r="421" spans="1:47">
      <c r="A421" t="str">
        <f>IF($AS421="","",INDEX('TMP Paste'!$B$2:$B$1601,$AS421))</f>
        <v/>
      </c>
      <c r="B421" t="str">
        <f>IF($AS421="","",Config!$B$14)</f>
        <v/>
      </c>
      <c r="C421" t="str">
        <f>IF($AS421="","",Config!$B$15)</f>
        <v/>
      </c>
      <c r="D421" t="str">
        <f>IF($AS421="","",INDEX('TMP Paste'!$B$2:$B$1601,$AS421))</f>
        <v/>
      </c>
      <c r="E421" t="str">
        <f>IF($AS421="","",Config!$B$27)</f>
        <v/>
      </c>
      <c r="F421" t="str">
        <f>IF($AS421="","",Config!$B$9)</f>
        <v/>
      </c>
      <c r="G421" t="str">
        <f>IF($AS421="","",Config!$B$10)</f>
        <v/>
      </c>
      <c r="H421" t="str">
        <f>IF($AS421="","",Config!$B$11)</f>
        <v/>
      </c>
      <c r="I421" t="str">
        <f>IF($AS421="","",Config!$B$16)</f>
        <v/>
      </c>
      <c r="J421" t="str">
        <f>IF($AS421="","",INDEX('TMP Paste'!$A$2:$A$1601,$AS421))</f>
        <v/>
      </c>
      <c r="K421" t="str">
        <f>IF($AS421="","",INDEX('TMP Paste'!$L$2:$L$1601,$AS421))</f>
        <v/>
      </c>
      <c r="L421" t="str">
        <f>IF($AS421="","",INDEX('TMP Paste'!$I$2:$I$1601,$AS421))</f>
        <v/>
      </c>
      <c r="M421" t="str">
        <f>IF($AS421="","",Config!$B$16)</f>
        <v/>
      </c>
      <c r="N421" t="str">
        <f t="shared" si="36"/>
        <v/>
      </c>
      <c r="O421" t="str">
        <f>IF($AS421="","",INDEX('TMP Paste'!$K$2:$K$1601,$AS421))</f>
        <v/>
      </c>
      <c r="P421" t="str">
        <f t="shared" si="37"/>
        <v/>
      </c>
      <c r="Q421" t="str">
        <f>IF($AS421="","",INDEX('TMP Paste'!$J$2:$J$1601,$AS421))</f>
        <v/>
      </c>
      <c r="R421" t="str">
        <f>IF($AS421="","",Config!$B$24)</f>
        <v/>
      </c>
      <c r="S421" t="str">
        <f ca="1">IF($AS421="","",TEXT(Config!$B$4,"yyyy-mm-dd"))</f>
        <v/>
      </c>
      <c r="T421" t="str">
        <f>IF($AS421="","",Config!$B$17)</f>
        <v/>
      </c>
      <c r="U421" t="str">
        <f>IF($AS421="","",Config!$B$18)</f>
        <v/>
      </c>
      <c r="V421" t="str">
        <f>IF($AS421="","",Config!$B$19)</f>
        <v/>
      </c>
      <c r="W421" t="str">
        <f>IF($AS421="","",INDEX('TMP Paste'!$C$2:$C$1601,$AS421))</f>
        <v/>
      </c>
      <c r="X421" t="str">
        <f>IF($AS421="","",Config!$B$29)</f>
        <v/>
      </c>
      <c r="Y421" t="str">
        <f>IF($AT421="","",INDEX(Calc!$I$2:$I$1601,$AT421)&amp;" - "&amp;INDEX(Calc!$D$2:$D$1601,$AT421)&amp;" koli")</f>
        <v/>
      </c>
      <c r="Z421" t="str">
        <f>IF($AS421="","",Config!$B$21)</f>
        <v/>
      </c>
      <c r="AA421" t="str">
        <f>IF($AS421="","",Config!$B$22)</f>
        <v/>
      </c>
      <c r="AB421" t="str">
        <f>IF($AT421="","",INDEX(Calc!$D$2:$D$1601,$AT421))</f>
        <v/>
      </c>
      <c r="AC421" t="str">
        <f>IF($AT421="","",INDEX(Calc!$G$2:$G$1601,$AT421))</f>
        <v/>
      </c>
      <c r="AD421" t="str">
        <f>IF($AS421="","",Config!$B$23)</f>
        <v/>
      </c>
      <c r="AE421" t="str">
        <f>IF($AS421="","",Config!$B$28)</f>
        <v/>
      </c>
      <c r="AF421" t="str">
        <f t="shared" si="38"/>
        <v/>
      </c>
      <c r="AG421" t="str">
        <f t="shared" si="39"/>
        <v/>
      </c>
      <c r="AH421" t="str">
        <f t="shared" si="40"/>
        <v/>
      </c>
      <c r="AI421" t="str">
        <f>IF($AG421="","",SUMIF($AG$2:$AG421,$AG421,$AH$2:$AH421))</f>
        <v/>
      </c>
      <c r="AJ421" t="str">
        <f>IF('TMP Paste'!$F421="","",IF('TMP Paste'!$B421="",$AJ420,'TMP Paste'!$B421))</f>
        <v/>
      </c>
      <c r="AK421" t="str">
        <f>IF('TMP Paste'!$F421="","",N('TMP Paste'!$G421))</f>
        <v/>
      </c>
      <c r="AL421" t="str">
        <f>IF('TMP Paste'!$F421="","",IF('TMP Paste'!$M421="",$AL420,'TMP Paste'!$M421))</f>
        <v/>
      </c>
      <c r="AM421" t="str">
        <f>IF('TMP Paste'!$F421="","",IF('TMP Paste'!$N421="",$AM420,'TMP Paste'!$N421))</f>
        <v/>
      </c>
      <c r="AN421" t="str">
        <f>IF('TMP Paste'!$F421="","",IF('TMP Paste'!$O421="",$AN420,'TMP Paste'!$O421))</f>
        <v/>
      </c>
      <c r="AO421" t="str">
        <f>IF('TMP Paste'!$F421="","",IF('TMP Paste'!$P421="",$AO420,'TMP Paste'!$P421))</f>
        <v/>
      </c>
      <c r="AP421" t="str">
        <f t="shared" si="41"/>
        <v/>
      </c>
      <c r="AQ421" t="str">
        <f>IF($AS421="","",TRIM(IF(COUNTIFS(Calc!$B$2:$B$1601,ROW()-1,Calc!$C$2:$C$1601,"&lt;1")&gt;0,"Ada PO tanpa Koli - cek TMP. ","")&amp;IF(OR($AU421="",$AU421&lt;=0),"Volume kosong/0 - dimensi dikosongkan. ","")&amp;IF(AND($AU421&lt;&gt;"",$AU421&gt;=1000000),"Volume &gt;= 1.000.000 cm3 (di luar aturan) - dimensi dikosongkan. ","")&amp;IF(LEN($R421)&gt;500,"R &gt; 500 karakter.","")))</f>
        <v/>
      </c>
      <c r="AS421" t="str">
        <f>IFERROR(MATCH(ROW()-1,Calc!$J$2:$J$1601,0),"")</f>
        <v/>
      </c>
      <c r="AT421" t="str">
        <f>IFERROR(MATCH(ROW()-1,Calc!$K$2:$K$1601,0),"")</f>
        <v/>
      </c>
      <c r="AU421" t="str">
        <f>IF($AS421="","",IFERROR(INDEX('TMP Paste'!$D$2:$D$1601,$AS421)*1000000/$AB421,""))</f>
        <v/>
      </c>
    </row>
    <row r="422" spans="1:47">
      <c r="A422" t="str">
        <f>IF($AS422="","",INDEX('TMP Paste'!$B$2:$B$1601,$AS422))</f>
        <v/>
      </c>
      <c r="B422" t="str">
        <f>IF($AS422="","",Config!$B$14)</f>
        <v/>
      </c>
      <c r="C422" t="str">
        <f>IF($AS422="","",Config!$B$15)</f>
        <v/>
      </c>
      <c r="D422" t="str">
        <f>IF($AS422="","",INDEX('TMP Paste'!$B$2:$B$1601,$AS422))</f>
        <v/>
      </c>
      <c r="E422" t="str">
        <f>IF($AS422="","",Config!$B$27)</f>
        <v/>
      </c>
      <c r="F422" t="str">
        <f>IF($AS422="","",Config!$B$9)</f>
        <v/>
      </c>
      <c r="G422" t="str">
        <f>IF($AS422="","",Config!$B$10)</f>
        <v/>
      </c>
      <c r="H422" t="str">
        <f>IF($AS422="","",Config!$B$11)</f>
        <v/>
      </c>
      <c r="I422" t="str">
        <f>IF($AS422="","",Config!$B$16)</f>
        <v/>
      </c>
      <c r="J422" t="str">
        <f>IF($AS422="","",INDEX('TMP Paste'!$A$2:$A$1601,$AS422))</f>
        <v/>
      </c>
      <c r="K422" t="str">
        <f>IF($AS422="","",INDEX('TMP Paste'!$L$2:$L$1601,$AS422))</f>
        <v/>
      </c>
      <c r="L422" t="str">
        <f>IF($AS422="","",INDEX('TMP Paste'!$I$2:$I$1601,$AS422))</f>
        <v/>
      </c>
      <c r="M422" t="str">
        <f>IF($AS422="","",Config!$B$16)</f>
        <v/>
      </c>
      <c r="N422" t="str">
        <f t="shared" si="36"/>
        <v/>
      </c>
      <c r="O422" t="str">
        <f>IF($AS422="","",INDEX('TMP Paste'!$K$2:$K$1601,$AS422))</f>
        <v/>
      </c>
      <c r="P422" t="str">
        <f t="shared" si="37"/>
        <v/>
      </c>
      <c r="Q422" t="str">
        <f>IF($AS422="","",INDEX('TMP Paste'!$J$2:$J$1601,$AS422))</f>
        <v/>
      </c>
      <c r="R422" t="str">
        <f>IF($AS422="","",Config!$B$24)</f>
        <v/>
      </c>
      <c r="S422" t="str">
        <f ca="1">IF($AS422="","",TEXT(Config!$B$4,"yyyy-mm-dd"))</f>
        <v/>
      </c>
      <c r="T422" t="str">
        <f>IF($AS422="","",Config!$B$17)</f>
        <v/>
      </c>
      <c r="U422" t="str">
        <f>IF($AS422="","",Config!$B$18)</f>
        <v/>
      </c>
      <c r="V422" t="str">
        <f>IF($AS422="","",Config!$B$19)</f>
        <v/>
      </c>
      <c r="W422" t="str">
        <f>IF($AS422="","",INDEX('TMP Paste'!$C$2:$C$1601,$AS422))</f>
        <v/>
      </c>
      <c r="X422" t="str">
        <f>IF($AS422="","",Config!$B$29)</f>
        <v/>
      </c>
      <c r="Y422" t="str">
        <f>IF($AT422="","",INDEX(Calc!$I$2:$I$1601,$AT422)&amp;" - "&amp;INDEX(Calc!$D$2:$D$1601,$AT422)&amp;" koli")</f>
        <v/>
      </c>
      <c r="Z422" t="str">
        <f>IF($AS422="","",Config!$B$21)</f>
        <v/>
      </c>
      <c r="AA422" t="str">
        <f>IF($AS422="","",Config!$B$22)</f>
        <v/>
      </c>
      <c r="AB422" t="str">
        <f>IF($AT422="","",INDEX(Calc!$D$2:$D$1601,$AT422))</f>
        <v/>
      </c>
      <c r="AC422" t="str">
        <f>IF($AT422="","",INDEX(Calc!$G$2:$G$1601,$AT422))</f>
        <v/>
      </c>
      <c r="AD422" t="str">
        <f>IF($AS422="","",Config!$B$23)</f>
        <v/>
      </c>
      <c r="AE422" t="str">
        <f>IF($AS422="","",Config!$B$28)</f>
        <v/>
      </c>
      <c r="AF422" t="str">
        <f t="shared" si="38"/>
        <v/>
      </c>
      <c r="AG422" t="str">
        <f t="shared" si="39"/>
        <v/>
      </c>
      <c r="AH422" t="str">
        <f t="shared" si="40"/>
        <v/>
      </c>
      <c r="AI422" t="str">
        <f>IF($AG422="","",SUMIF($AG$2:$AG422,$AG422,$AH$2:$AH422))</f>
        <v/>
      </c>
      <c r="AJ422" t="str">
        <f>IF('TMP Paste'!$F422="","",IF('TMP Paste'!$B422="",$AJ421,'TMP Paste'!$B422))</f>
        <v/>
      </c>
      <c r="AK422" t="str">
        <f>IF('TMP Paste'!$F422="","",N('TMP Paste'!$G422))</f>
        <v/>
      </c>
      <c r="AL422" t="str">
        <f>IF('TMP Paste'!$F422="","",IF('TMP Paste'!$M422="",$AL421,'TMP Paste'!$M422))</f>
        <v/>
      </c>
      <c r="AM422" t="str">
        <f>IF('TMP Paste'!$F422="","",IF('TMP Paste'!$N422="",$AM421,'TMP Paste'!$N422))</f>
        <v/>
      </c>
      <c r="AN422" t="str">
        <f>IF('TMP Paste'!$F422="","",IF('TMP Paste'!$O422="",$AN421,'TMP Paste'!$O422))</f>
        <v/>
      </c>
      <c r="AO422" t="str">
        <f>IF('TMP Paste'!$F422="","",IF('TMP Paste'!$P422="",$AO421,'TMP Paste'!$P422))</f>
        <v/>
      </c>
      <c r="AP422" t="str">
        <f t="shared" si="41"/>
        <v/>
      </c>
      <c r="AQ422" t="str">
        <f>IF($AS422="","",TRIM(IF(COUNTIFS(Calc!$B$2:$B$1601,ROW()-1,Calc!$C$2:$C$1601,"&lt;1")&gt;0,"Ada PO tanpa Koli - cek TMP. ","")&amp;IF(OR($AU422="",$AU422&lt;=0),"Volume kosong/0 - dimensi dikosongkan. ","")&amp;IF(AND($AU422&lt;&gt;"",$AU422&gt;=1000000),"Volume &gt;= 1.000.000 cm3 (di luar aturan) - dimensi dikosongkan. ","")&amp;IF(LEN($R422)&gt;500,"R &gt; 500 karakter.","")))</f>
        <v/>
      </c>
      <c r="AS422" t="str">
        <f>IFERROR(MATCH(ROW()-1,Calc!$J$2:$J$1601,0),"")</f>
        <v/>
      </c>
      <c r="AT422" t="str">
        <f>IFERROR(MATCH(ROW()-1,Calc!$K$2:$K$1601,0),"")</f>
        <v/>
      </c>
      <c r="AU422" t="str">
        <f>IF($AS422="","",IFERROR(INDEX('TMP Paste'!$D$2:$D$1601,$AS422)*1000000/$AB422,""))</f>
        <v/>
      </c>
    </row>
    <row r="423" spans="1:47">
      <c r="A423" t="str">
        <f>IF($AS423="","",INDEX('TMP Paste'!$B$2:$B$1601,$AS423))</f>
        <v/>
      </c>
      <c r="B423" t="str">
        <f>IF($AS423="","",Config!$B$14)</f>
        <v/>
      </c>
      <c r="C423" t="str">
        <f>IF($AS423="","",Config!$B$15)</f>
        <v/>
      </c>
      <c r="D423" t="str">
        <f>IF($AS423="","",INDEX('TMP Paste'!$B$2:$B$1601,$AS423))</f>
        <v/>
      </c>
      <c r="E423" t="str">
        <f>IF($AS423="","",Config!$B$27)</f>
        <v/>
      </c>
      <c r="F423" t="str">
        <f>IF($AS423="","",Config!$B$9)</f>
        <v/>
      </c>
      <c r="G423" t="str">
        <f>IF($AS423="","",Config!$B$10)</f>
        <v/>
      </c>
      <c r="H423" t="str">
        <f>IF($AS423="","",Config!$B$11)</f>
        <v/>
      </c>
      <c r="I423" t="str">
        <f>IF($AS423="","",Config!$B$16)</f>
        <v/>
      </c>
      <c r="J423" t="str">
        <f>IF($AS423="","",INDEX('TMP Paste'!$A$2:$A$1601,$AS423))</f>
        <v/>
      </c>
      <c r="K423" t="str">
        <f>IF($AS423="","",INDEX('TMP Paste'!$L$2:$L$1601,$AS423))</f>
        <v/>
      </c>
      <c r="L423" t="str">
        <f>IF($AS423="","",INDEX('TMP Paste'!$I$2:$I$1601,$AS423))</f>
        <v/>
      </c>
      <c r="M423" t="str">
        <f>IF($AS423="","",Config!$B$16)</f>
        <v/>
      </c>
      <c r="N423" t="str">
        <f t="shared" si="36"/>
        <v/>
      </c>
      <c r="O423" t="str">
        <f>IF($AS423="","",INDEX('TMP Paste'!$K$2:$K$1601,$AS423))</f>
        <v/>
      </c>
      <c r="P423" t="str">
        <f t="shared" si="37"/>
        <v/>
      </c>
      <c r="Q423" t="str">
        <f>IF($AS423="","",INDEX('TMP Paste'!$J$2:$J$1601,$AS423))</f>
        <v/>
      </c>
      <c r="R423" t="str">
        <f>IF($AS423="","",Config!$B$24)</f>
        <v/>
      </c>
      <c r="S423" t="str">
        <f ca="1">IF($AS423="","",TEXT(Config!$B$4,"yyyy-mm-dd"))</f>
        <v/>
      </c>
      <c r="T423" t="str">
        <f>IF($AS423="","",Config!$B$17)</f>
        <v/>
      </c>
      <c r="U423" t="str">
        <f>IF($AS423="","",Config!$B$18)</f>
        <v/>
      </c>
      <c r="V423" t="str">
        <f>IF($AS423="","",Config!$B$19)</f>
        <v/>
      </c>
      <c r="W423" t="str">
        <f>IF($AS423="","",INDEX('TMP Paste'!$C$2:$C$1601,$AS423))</f>
        <v/>
      </c>
      <c r="X423" t="str">
        <f>IF($AS423="","",Config!$B$29)</f>
        <v/>
      </c>
      <c r="Y423" t="str">
        <f>IF($AT423="","",INDEX(Calc!$I$2:$I$1601,$AT423)&amp;" - "&amp;INDEX(Calc!$D$2:$D$1601,$AT423)&amp;" koli")</f>
        <v/>
      </c>
      <c r="Z423" t="str">
        <f>IF($AS423="","",Config!$B$21)</f>
        <v/>
      </c>
      <c r="AA423" t="str">
        <f>IF($AS423="","",Config!$B$22)</f>
        <v/>
      </c>
      <c r="AB423" t="str">
        <f>IF($AT423="","",INDEX(Calc!$D$2:$D$1601,$AT423))</f>
        <v/>
      </c>
      <c r="AC423" t="str">
        <f>IF($AT423="","",INDEX(Calc!$G$2:$G$1601,$AT423))</f>
        <v/>
      </c>
      <c r="AD423" t="str">
        <f>IF($AS423="","",Config!$B$23)</f>
        <v/>
      </c>
      <c r="AE423" t="str">
        <f>IF($AS423="","",Config!$B$28)</f>
        <v/>
      </c>
      <c r="AF423" t="str">
        <f t="shared" si="38"/>
        <v/>
      </c>
      <c r="AG423" t="str">
        <f t="shared" si="39"/>
        <v/>
      </c>
      <c r="AH423" t="str">
        <f t="shared" si="40"/>
        <v/>
      </c>
      <c r="AI423" t="str">
        <f>IF($AG423="","",SUMIF($AG$2:$AG423,$AG423,$AH$2:$AH423))</f>
        <v/>
      </c>
      <c r="AJ423" t="str">
        <f>IF('TMP Paste'!$F423="","",IF('TMP Paste'!$B423="",$AJ422,'TMP Paste'!$B423))</f>
        <v/>
      </c>
      <c r="AK423" t="str">
        <f>IF('TMP Paste'!$F423="","",N('TMP Paste'!$G423))</f>
        <v/>
      </c>
      <c r="AL423" t="str">
        <f>IF('TMP Paste'!$F423="","",IF('TMP Paste'!$M423="",$AL422,'TMP Paste'!$M423))</f>
        <v/>
      </c>
      <c r="AM423" t="str">
        <f>IF('TMP Paste'!$F423="","",IF('TMP Paste'!$N423="",$AM422,'TMP Paste'!$N423))</f>
        <v/>
      </c>
      <c r="AN423" t="str">
        <f>IF('TMP Paste'!$F423="","",IF('TMP Paste'!$O423="",$AN422,'TMP Paste'!$O423))</f>
        <v/>
      </c>
      <c r="AO423" t="str">
        <f>IF('TMP Paste'!$F423="","",IF('TMP Paste'!$P423="",$AO422,'TMP Paste'!$P423))</f>
        <v/>
      </c>
      <c r="AP423" t="str">
        <f t="shared" si="41"/>
        <v/>
      </c>
      <c r="AQ423" t="str">
        <f>IF($AS423="","",TRIM(IF(COUNTIFS(Calc!$B$2:$B$1601,ROW()-1,Calc!$C$2:$C$1601,"&lt;1")&gt;0,"Ada PO tanpa Koli - cek TMP. ","")&amp;IF(OR($AU423="",$AU423&lt;=0),"Volume kosong/0 - dimensi dikosongkan. ","")&amp;IF(AND($AU423&lt;&gt;"",$AU423&gt;=1000000),"Volume &gt;= 1.000.000 cm3 (di luar aturan) - dimensi dikosongkan. ","")&amp;IF(LEN($R423)&gt;500,"R &gt; 500 karakter.","")))</f>
        <v/>
      </c>
      <c r="AS423" t="str">
        <f>IFERROR(MATCH(ROW()-1,Calc!$J$2:$J$1601,0),"")</f>
        <v/>
      </c>
      <c r="AT423" t="str">
        <f>IFERROR(MATCH(ROW()-1,Calc!$K$2:$K$1601,0),"")</f>
        <v/>
      </c>
      <c r="AU423" t="str">
        <f>IF($AS423="","",IFERROR(INDEX('TMP Paste'!$D$2:$D$1601,$AS423)*1000000/$AB423,""))</f>
        <v/>
      </c>
    </row>
    <row r="424" spans="1:47">
      <c r="A424" t="str">
        <f>IF($AS424="","",INDEX('TMP Paste'!$B$2:$B$1601,$AS424))</f>
        <v/>
      </c>
      <c r="B424" t="str">
        <f>IF($AS424="","",Config!$B$14)</f>
        <v/>
      </c>
      <c r="C424" t="str">
        <f>IF($AS424="","",Config!$B$15)</f>
        <v/>
      </c>
      <c r="D424" t="str">
        <f>IF($AS424="","",INDEX('TMP Paste'!$B$2:$B$1601,$AS424))</f>
        <v/>
      </c>
      <c r="E424" t="str">
        <f>IF($AS424="","",Config!$B$27)</f>
        <v/>
      </c>
      <c r="F424" t="str">
        <f>IF($AS424="","",Config!$B$9)</f>
        <v/>
      </c>
      <c r="G424" t="str">
        <f>IF($AS424="","",Config!$B$10)</f>
        <v/>
      </c>
      <c r="H424" t="str">
        <f>IF($AS424="","",Config!$B$11)</f>
        <v/>
      </c>
      <c r="I424" t="str">
        <f>IF($AS424="","",Config!$B$16)</f>
        <v/>
      </c>
      <c r="J424" t="str">
        <f>IF($AS424="","",INDEX('TMP Paste'!$A$2:$A$1601,$AS424))</f>
        <v/>
      </c>
      <c r="K424" t="str">
        <f>IF($AS424="","",INDEX('TMP Paste'!$L$2:$L$1601,$AS424))</f>
        <v/>
      </c>
      <c r="L424" t="str">
        <f>IF($AS424="","",INDEX('TMP Paste'!$I$2:$I$1601,$AS424))</f>
        <v/>
      </c>
      <c r="M424" t="str">
        <f>IF($AS424="","",Config!$B$16)</f>
        <v/>
      </c>
      <c r="N424" t="str">
        <f t="shared" si="36"/>
        <v/>
      </c>
      <c r="O424" t="str">
        <f>IF($AS424="","",INDEX('TMP Paste'!$K$2:$K$1601,$AS424))</f>
        <v/>
      </c>
      <c r="P424" t="str">
        <f t="shared" si="37"/>
        <v/>
      </c>
      <c r="Q424" t="str">
        <f>IF($AS424="","",INDEX('TMP Paste'!$J$2:$J$1601,$AS424))</f>
        <v/>
      </c>
      <c r="R424" t="str">
        <f>IF($AS424="","",Config!$B$24)</f>
        <v/>
      </c>
      <c r="S424" t="str">
        <f ca="1">IF($AS424="","",TEXT(Config!$B$4,"yyyy-mm-dd"))</f>
        <v/>
      </c>
      <c r="T424" t="str">
        <f>IF($AS424="","",Config!$B$17)</f>
        <v/>
      </c>
      <c r="U424" t="str">
        <f>IF($AS424="","",Config!$B$18)</f>
        <v/>
      </c>
      <c r="V424" t="str">
        <f>IF($AS424="","",Config!$B$19)</f>
        <v/>
      </c>
      <c r="W424" t="str">
        <f>IF($AS424="","",INDEX('TMP Paste'!$C$2:$C$1601,$AS424))</f>
        <v/>
      </c>
      <c r="X424" t="str">
        <f>IF($AS424="","",Config!$B$29)</f>
        <v/>
      </c>
      <c r="Y424" t="str">
        <f>IF($AT424="","",INDEX(Calc!$I$2:$I$1601,$AT424)&amp;" - "&amp;INDEX(Calc!$D$2:$D$1601,$AT424)&amp;" koli")</f>
        <v/>
      </c>
      <c r="Z424" t="str">
        <f>IF($AS424="","",Config!$B$21)</f>
        <v/>
      </c>
      <c r="AA424" t="str">
        <f>IF($AS424="","",Config!$B$22)</f>
        <v/>
      </c>
      <c r="AB424" t="str">
        <f>IF($AT424="","",INDEX(Calc!$D$2:$D$1601,$AT424))</f>
        <v/>
      </c>
      <c r="AC424" t="str">
        <f>IF($AT424="","",INDEX(Calc!$G$2:$G$1601,$AT424))</f>
        <v/>
      </c>
      <c r="AD424" t="str">
        <f>IF($AS424="","",Config!$B$23)</f>
        <v/>
      </c>
      <c r="AE424" t="str">
        <f>IF($AS424="","",Config!$B$28)</f>
        <v/>
      </c>
      <c r="AF424" t="str">
        <f t="shared" si="38"/>
        <v/>
      </c>
      <c r="AG424" t="str">
        <f t="shared" si="39"/>
        <v/>
      </c>
      <c r="AH424" t="str">
        <f t="shared" si="40"/>
        <v/>
      </c>
      <c r="AI424" t="str">
        <f>IF($AG424="","",SUMIF($AG$2:$AG424,$AG424,$AH$2:$AH424))</f>
        <v/>
      </c>
      <c r="AJ424" t="str">
        <f>IF('TMP Paste'!$F424="","",IF('TMP Paste'!$B424="",$AJ423,'TMP Paste'!$B424))</f>
        <v/>
      </c>
      <c r="AK424" t="str">
        <f>IF('TMP Paste'!$F424="","",N('TMP Paste'!$G424))</f>
        <v/>
      </c>
      <c r="AL424" t="str">
        <f>IF('TMP Paste'!$F424="","",IF('TMP Paste'!$M424="",$AL423,'TMP Paste'!$M424))</f>
        <v/>
      </c>
      <c r="AM424" t="str">
        <f>IF('TMP Paste'!$F424="","",IF('TMP Paste'!$N424="",$AM423,'TMP Paste'!$N424))</f>
        <v/>
      </c>
      <c r="AN424" t="str">
        <f>IF('TMP Paste'!$F424="","",IF('TMP Paste'!$O424="",$AN423,'TMP Paste'!$O424))</f>
        <v/>
      </c>
      <c r="AO424" t="str">
        <f>IF('TMP Paste'!$F424="","",IF('TMP Paste'!$P424="",$AO423,'TMP Paste'!$P424))</f>
        <v/>
      </c>
      <c r="AP424" t="str">
        <f t="shared" si="41"/>
        <v/>
      </c>
      <c r="AQ424" t="str">
        <f>IF($AS424="","",TRIM(IF(COUNTIFS(Calc!$B$2:$B$1601,ROW()-1,Calc!$C$2:$C$1601,"&lt;1")&gt;0,"Ada PO tanpa Koli - cek TMP. ","")&amp;IF(OR($AU424="",$AU424&lt;=0),"Volume kosong/0 - dimensi dikosongkan. ","")&amp;IF(AND($AU424&lt;&gt;"",$AU424&gt;=1000000),"Volume &gt;= 1.000.000 cm3 (di luar aturan) - dimensi dikosongkan. ","")&amp;IF(LEN($R424)&gt;500,"R &gt; 500 karakter.","")))</f>
        <v/>
      </c>
      <c r="AS424" t="str">
        <f>IFERROR(MATCH(ROW()-1,Calc!$J$2:$J$1601,0),"")</f>
        <v/>
      </c>
      <c r="AT424" t="str">
        <f>IFERROR(MATCH(ROW()-1,Calc!$K$2:$K$1601,0),"")</f>
        <v/>
      </c>
      <c r="AU424" t="str">
        <f>IF($AS424="","",IFERROR(INDEX('TMP Paste'!$D$2:$D$1601,$AS424)*1000000/$AB424,""))</f>
        <v/>
      </c>
    </row>
    <row r="425" spans="1:47">
      <c r="A425" t="str">
        <f>IF($AS425="","",INDEX('TMP Paste'!$B$2:$B$1601,$AS425))</f>
        <v/>
      </c>
      <c r="B425" t="str">
        <f>IF($AS425="","",Config!$B$14)</f>
        <v/>
      </c>
      <c r="C425" t="str">
        <f>IF($AS425="","",Config!$B$15)</f>
        <v/>
      </c>
      <c r="D425" t="str">
        <f>IF($AS425="","",INDEX('TMP Paste'!$B$2:$B$1601,$AS425))</f>
        <v/>
      </c>
      <c r="E425" t="str">
        <f>IF($AS425="","",Config!$B$27)</f>
        <v/>
      </c>
      <c r="F425" t="str">
        <f>IF($AS425="","",Config!$B$9)</f>
        <v/>
      </c>
      <c r="G425" t="str">
        <f>IF($AS425="","",Config!$B$10)</f>
        <v/>
      </c>
      <c r="H425" t="str">
        <f>IF($AS425="","",Config!$B$11)</f>
        <v/>
      </c>
      <c r="I425" t="str">
        <f>IF($AS425="","",Config!$B$16)</f>
        <v/>
      </c>
      <c r="J425" t="str">
        <f>IF($AS425="","",INDEX('TMP Paste'!$A$2:$A$1601,$AS425))</f>
        <v/>
      </c>
      <c r="K425" t="str">
        <f>IF($AS425="","",INDEX('TMP Paste'!$L$2:$L$1601,$AS425))</f>
        <v/>
      </c>
      <c r="L425" t="str">
        <f>IF($AS425="","",INDEX('TMP Paste'!$I$2:$I$1601,$AS425))</f>
        <v/>
      </c>
      <c r="M425" t="str">
        <f>IF($AS425="","",Config!$B$16)</f>
        <v/>
      </c>
      <c r="N425" t="str">
        <f t="shared" si="36"/>
        <v/>
      </c>
      <c r="O425" t="str">
        <f>IF($AS425="","",INDEX('TMP Paste'!$K$2:$K$1601,$AS425))</f>
        <v/>
      </c>
      <c r="P425" t="str">
        <f t="shared" si="37"/>
        <v/>
      </c>
      <c r="Q425" t="str">
        <f>IF($AS425="","",INDEX('TMP Paste'!$J$2:$J$1601,$AS425))</f>
        <v/>
      </c>
      <c r="R425" t="str">
        <f>IF($AS425="","",Config!$B$24)</f>
        <v/>
      </c>
      <c r="S425" t="str">
        <f ca="1">IF($AS425="","",TEXT(Config!$B$4,"yyyy-mm-dd"))</f>
        <v/>
      </c>
      <c r="T425" t="str">
        <f>IF($AS425="","",Config!$B$17)</f>
        <v/>
      </c>
      <c r="U425" t="str">
        <f>IF($AS425="","",Config!$B$18)</f>
        <v/>
      </c>
      <c r="V425" t="str">
        <f>IF($AS425="","",Config!$B$19)</f>
        <v/>
      </c>
      <c r="W425" t="str">
        <f>IF($AS425="","",INDEX('TMP Paste'!$C$2:$C$1601,$AS425))</f>
        <v/>
      </c>
      <c r="X425" t="str">
        <f>IF($AS425="","",Config!$B$29)</f>
        <v/>
      </c>
      <c r="Y425" t="str">
        <f>IF($AT425="","",INDEX(Calc!$I$2:$I$1601,$AT425)&amp;" - "&amp;INDEX(Calc!$D$2:$D$1601,$AT425)&amp;" koli")</f>
        <v/>
      </c>
      <c r="Z425" t="str">
        <f>IF($AS425="","",Config!$B$21)</f>
        <v/>
      </c>
      <c r="AA425" t="str">
        <f>IF($AS425="","",Config!$B$22)</f>
        <v/>
      </c>
      <c r="AB425" t="str">
        <f>IF($AT425="","",INDEX(Calc!$D$2:$D$1601,$AT425))</f>
        <v/>
      </c>
      <c r="AC425" t="str">
        <f>IF($AT425="","",INDEX(Calc!$G$2:$G$1601,$AT425))</f>
        <v/>
      </c>
      <c r="AD425" t="str">
        <f>IF($AS425="","",Config!$B$23)</f>
        <v/>
      </c>
      <c r="AE425" t="str">
        <f>IF($AS425="","",Config!$B$28)</f>
        <v/>
      </c>
      <c r="AF425" t="str">
        <f t="shared" si="38"/>
        <v/>
      </c>
      <c r="AG425" t="str">
        <f t="shared" si="39"/>
        <v/>
      </c>
      <c r="AH425" t="str">
        <f t="shared" si="40"/>
        <v/>
      </c>
      <c r="AI425" t="str">
        <f>IF($AG425="","",SUMIF($AG$2:$AG425,$AG425,$AH$2:$AH425))</f>
        <v/>
      </c>
      <c r="AJ425" t="str">
        <f>IF('TMP Paste'!$F425="","",IF('TMP Paste'!$B425="",$AJ424,'TMP Paste'!$B425))</f>
        <v/>
      </c>
      <c r="AK425" t="str">
        <f>IF('TMP Paste'!$F425="","",N('TMP Paste'!$G425))</f>
        <v/>
      </c>
      <c r="AL425" t="str">
        <f>IF('TMP Paste'!$F425="","",IF('TMP Paste'!$M425="",$AL424,'TMP Paste'!$M425))</f>
        <v/>
      </c>
      <c r="AM425" t="str">
        <f>IF('TMP Paste'!$F425="","",IF('TMP Paste'!$N425="",$AM424,'TMP Paste'!$N425))</f>
        <v/>
      </c>
      <c r="AN425" t="str">
        <f>IF('TMP Paste'!$F425="","",IF('TMP Paste'!$O425="",$AN424,'TMP Paste'!$O425))</f>
        <v/>
      </c>
      <c r="AO425" t="str">
        <f>IF('TMP Paste'!$F425="","",IF('TMP Paste'!$P425="",$AO424,'TMP Paste'!$P425))</f>
        <v/>
      </c>
      <c r="AP425" t="str">
        <f t="shared" si="41"/>
        <v/>
      </c>
      <c r="AQ425" t="str">
        <f>IF($AS425="","",TRIM(IF(COUNTIFS(Calc!$B$2:$B$1601,ROW()-1,Calc!$C$2:$C$1601,"&lt;1")&gt;0,"Ada PO tanpa Koli - cek TMP. ","")&amp;IF(OR($AU425="",$AU425&lt;=0),"Volume kosong/0 - dimensi dikosongkan. ","")&amp;IF(AND($AU425&lt;&gt;"",$AU425&gt;=1000000),"Volume &gt;= 1.000.000 cm3 (di luar aturan) - dimensi dikosongkan. ","")&amp;IF(LEN($R425)&gt;500,"R &gt; 500 karakter.","")))</f>
        <v/>
      </c>
      <c r="AS425" t="str">
        <f>IFERROR(MATCH(ROW()-1,Calc!$J$2:$J$1601,0),"")</f>
        <v/>
      </c>
      <c r="AT425" t="str">
        <f>IFERROR(MATCH(ROW()-1,Calc!$K$2:$K$1601,0),"")</f>
        <v/>
      </c>
      <c r="AU425" t="str">
        <f>IF($AS425="","",IFERROR(INDEX('TMP Paste'!$D$2:$D$1601,$AS425)*1000000/$AB425,""))</f>
        <v/>
      </c>
    </row>
    <row r="426" spans="1:47">
      <c r="A426" t="str">
        <f>IF($AS426="","",INDEX('TMP Paste'!$B$2:$B$1601,$AS426))</f>
        <v/>
      </c>
      <c r="B426" t="str">
        <f>IF($AS426="","",Config!$B$14)</f>
        <v/>
      </c>
      <c r="C426" t="str">
        <f>IF($AS426="","",Config!$B$15)</f>
        <v/>
      </c>
      <c r="D426" t="str">
        <f>IF($AS426="","",INDEX('TMP Paste'!$B$2:$B$1601,$AS426))</f>
        <v/>
      </c>
      <c r="E426" t="str">
        <f>IF($AS426="","",Config!$B$27)</f>
        <v/>
      </c>
      <c r="F426" t="str">
        <f>IF($AS426="","",Config!$B$9)</f>
        <v/>
      </c>
      <c r="G426" t="str">
        <f>IF($AS426="","",Config!$B$10)</f>
        <v/>
      </c>
      <c r="H426" t="str">
        <f>IF($AS426="","",Config!$B$11)</f>
        <v/>
      </c>
      <c r="I426" t="str">
        <f>IF($AS426="","",Config!$B$16)</f>
        <v/>
      </c>
      <c r="J426" t="str">
        <f>IF($AS426="","",INDEX('TMP Paste'!$A$2:$A$1601,$AS426))</f>
        <v/>
      </c>
      <c r="K426" t="str">
        <f>IF($AS426="","",INDEX('TMP Paste'!$L$2:$L$1601,$AS426))</f>
        <v/>
      </c>
      <c r="L426" t="str">
        <f>IF($AS426="","",INDEX('TMP Paste'!$I$2:$I$1601,$AS426))</f>
        <v/>
      </c>
      <c r="M426" t="str">
        <f>IF($AS426="","",Config!$B$16)</f>
        <v/>
      </c>
      <c r="N426" t="str">
        <f t="shared" si="36"/>
        <v/>
      </c>
      <c r="O426" t="str">
        <f>IF($AS426="","",INDEX('TMP Paste'!$K$2:$K$1601,$AS426))</f>
        <v/>
      </c>
      <c r="P426" t="str">
        <f t="shared" si="37"/>
        <v/>
      </c>
      <c r="Q426" t="str">
        <f>IF($AS426="","",INDEX('TMP Paste'!$J$2:$J$1601,$AS426))</f>
        <v/>
      </c>
      <c r="R426" t="str">
        <f>IF($AS426="","",Config!$B$24)</f>
        <v/>
      </c>
      <c r="S426" t="str">
        <f ca="1">IF($AS426="","",TEXT(Config!$B$4,"yyyy-mm-dd"))</f>
        <v/>
      </c>
      <c r="T426" t="str">
        <f>IF($AS426="","",Config!$B$17)</f>
        <v/>
      </c>
      <c r="U426" t="str">
        <f>IF($AS426="","",Config!$B$18)</f>
        <v/>
      </c>
      <c r="V426" t="str">
        <f>IF($AS426="","",Config!$B$19)</f>
        <v/>
      </c>
      <c r="W426" t="str">
        <f>IF($AS426="","",INDEX('TMP Paste'!$C$2:$C$1601,$AS426))</f>
        <v/>
      </c>
      <c r="X426" t="str">
        <f>IF($AS426="","",Config!$B$29)</f>
        <v/>
      </c>
      <c r="Y426" t="str">
        <f>IF($AT426="","",INDEX(Calc!$I$2:$I$1601,$AT426)&amp;" - "&amp;INDEX(Calc!$D$2:$D$1601,$AT426)&amp;" koli")</f>
        <v/>
      </c>
      <c r="Z426" t="str">
        <f>IF($AS426="","",Config!$B$21)</f>
        <v/>
      </c>
      <c r="AA426" t="str">
        <f>IF($AS426="","",Config!$B$22)</f>
        <v/>
      </c>
      <c r="AB426" t="str">
        <f>IF($AT426="","",INDEX(Calc!$D$2:$D$1601,$AT426))</f>
        <v/>
      </c>
      <c r="AC426" t="str">
        <f>IF($AT426="","",INDEX(Calc!$G$2:$G$1601,$AT426))</f>
        <v/>
      </c>
      <c r="AD426" t="str">
        <f>IF($AS426="","",Config!$B$23)</f>
        <v/>
      </c>
      <c r="AE426" t="str">
        <f>IF($AS426="","",Config!$B$28)</f>
        <v/>
      </c>
      <c r="AF426" t="str">
        <f t="shared" si="38"/>
        <v/>
      </c>
      <c r="AG426" t="str">
        <f t="shared" si="39"/>
        <v/>
      </c>
      <c r="AH426" t="str">
        <f t="shared" si="40"/>
        <v/>
      </c>
      <c r="AI426" t="str">
        <f>IF($AG426="","",SUMIF($AG$2:$AG426,$AG426,$AH$2:$AH426))</f>
        <v/>
      </c>
      <c r="AJ426" t="str">
        <f>IF('TMP Paste'!$F426="","",IF('TMP Paste'!$B426="",$AJ425,'TMP Paste'!$B426))</f>
        <v/>
      </c>
      <c r="AK426" t="str">
        <f>IF('TMP Paste'!$F426="","",N('TMP Paste'!$G426))</f>
        <v/>
      </c>
      <c r="AL426" t="str">
        <f>IF('TMP Paste'!$F426="","",IF('TMP Paste'!$M426="",$AL425,'TMP Paste'!$M426))</f>
        <v/>
      </c>
      <c r="AM426" t="str">
        <f>IF('TMP Paste'!$F426="","",IF('TMP Paste'!$N426="",$AM425,'TMP Paste'!$N426))</f>
        <v/>
      </c>
      <c r="AN426" t="str">
        <f>IF('TMP Paste'!$F426="","",IF('TMP Paste'!$O426="",$AN425,'TMP Paste'!$O426))</f>
        <v/>
      </c>
      <c r="AO426" t="str">
        <f>IF('TMP Paste'!$F426="","",IF('TMP Paste'!$P426="",$AO425,'TMP Paste'!$P426))</f>
        <v/>
      </c>
      <c r="AP426" t="str">
        <f t="shared" si="41"/>
        <v/>
      </c>
      <c r="AQ426" t="str">
        <f>IF($AS426="","",TRIM(IF(COUNTIFS(Calc!$B$2:$B$1601,ROW()-1,Calc!$C$2:$C$1601,"&lt;1")&gt;0,"Ada PO tanpa Koli - cek TMP. ","")&amp;IF(OR($AU426="",$AU426&lt;=0),"Volume kosong/0 - dimensi dikosongkan. ","")&amp;IF(AND($AU426&lt;&gt;"",$AU426&gt;=1000000),"Volume &gt;= 1.000.000 cm3 (di luar aturan) - dimensi dikosongkan. ","")&amp;IF(LEN($R426)&gt;500,"R &gt; 500 karakter.","")))</f>
        <v/>
      </c>
      <c r="AS426" t="str">
        <f>IFERROR(MATCH(ROW()-1,Calc!$J$2:$J$1601,0),"")</f>
        <v/>
      </c>
      <c r="AT426" t="str">
        <f>IFERROR(MATCH(ROW()-1,Calc!$K$2:$K$1601,0),"")</f>
        <v/>
      </c>
      <c r="AU426" t="str">
        <f>IF($AS426="","",IFERROR(INDEX('TMP Paste'!$D$2:$D$1601,$AS426)*1000000/$AB426,""))</f>
        <v/>
      </c>
    </row>
    <row r="427" spans="1:47">
      <c r="A427" t="str">
        <f>IF($AS427="","",INDEX('TMP Paste'!$B$2:$B$1601,$AS427))</f>
        <v/>
      </c>
      <c r="B427" t="str">
        <f>IF($AS427="","",Config!$B$14)</f>
        <v/>
      </c>
      <c r="C427" t="str">
        <f>IF($AS427="","",Config!$B$15)</f>
        <v/>
      </c>
      <c r="D427" t="str">
        <f>IF($AS427="","",INDEX('TMP Paste'!$B$2:$B$1601,$AS427))</f>
        <v/>
      </c>
      <c r="E427" t="str">
        <f>IF($AS427="","",Config!$B$27)</f>
        <v/>
      </c>
      <c r="F427" t="str">
        <f>IF($AS427="","",Config!$B$9)</f>
        <v/>
      </c>
      <c r="G427" t="str">
        <f>IF($AS427="","",Config!$B$10)</f>
        <v/>
      </c>
      <c r="H427" t="str">
        <f>IF($AS427="","",Config!$B$11)</f>
        <v/>
      </c>
      <c r="I427" t="str">
        <f>IF($AS427="","",Config!$B$16)</f>
        <v/>
      </c>
      <c r="J427" t="str">
        <f>IF($AS427="","",INDEX('TMP Paste'!$A$2:$A$1601,$AS427))</f>
        <v/>
      </c>
      <c r="K427" t="str">
        <f>IF($AS427="","",INDEX('TMP Paste'!$L$2:$L$1601,$AS427))</f>
        <v/>
      </c>
      <c r="L427" t="str">
        <f>IF($AS427="","",INDEX('TMP Paste'!$I$2:$I$1601,$AS427))</f>
        <v/>
      </c>
      <c r="M427" t="str">
        <f>IF($AS427="","",Config!$B$16)</f>
        <v/>
      </c>
      <c r="N427" t="str">
        <f t="shared" si="36"/>
        <v/>
      </c>
      <c r="O427" t="str">
        <f>IF($AS427="","",INDEX('TMP Paste'!$K$2:$K$1601,$AS427))</f>
        <v/>
      </c>
      <c r="P427" t="str">
        <f t="shared" si="37"/>
        <v/>
      </c>
      <c r="Q427" t="str">
        <f>IF($AS427="","",INDEX('TMP Paste'!$J$2:$J$1601,$AS427))</f>
        <v/>
      </c>
      <c r="R427" t="str">
        <f>IF($AS427="","",Config!$B$24)</f>
        <v/>
      </c>
      <c r="S427" t="str">
        <f ca="1">IF($AS427="","",TEXT(Config!$B$4,"yyyy-mm-dd"))</f>
        <v/>
      </c>
      <c r="T427" t="str">
        <f>IF($AS427="","",Config!$B$17)</f>
        <v/>
      </c>
      <c r="U427" t="str">
        <f>IF($AS427="","",Config!$B$18)</f>
        <v/>
      </c>
      <c r="V427" t="str">
        <f>IF($AS427="","",Config!$B$19)</f>
        <v/>
      </c>
      <c r="W427" t="str">
        <f>IF($AS427="","",INDEX('TMP Paste'!$C$2:$C$1601,$AS427))</f>
        <v/>
      </c>
      <c r="X427" t="str">
        <f>IF($AS427="","",Config!$B$29)</f>
        <v/>
      </c>
      <c r="Y427" t="str">
        <f>IF($AT427="","",INDEX(Calc!$I$2:$I$1601,$AT427)&amp;" - "&amp;INDEX(Calc!$D$2:$D$1601,$AT427)&amp;" koli")</f>
        <v/>
      </c>
      <c r="Z427" t="str">
        <f>IF($AS427="","",Config!$B$21)</f>
        <v/>
      </c>
      <c r="AA427" t="str">
        <f>IF($AS427="","",Config!$B$22)</f>
        <v/>
      </c>
      <c r="AB427" t="str">
        <f>IF($AT427="","",INDEX(Calc!$D$2:$D$1601,$AT427))</f>
        <v/>
      </c>
      <c r="AC427" t="str">
        <f>IF($AT427="","",INDEX(Calc!$G$2:$G$1601,$AT427))</f>
        <v/>
      </c>
      <c r="AD427" t="str">
        <f>IF($AS427="","",Config!$B$23)</f>
        <v/>
      </c>
      <c r="AE427" t="str">
        <f>IF($AS427="","",Config!$B$28)</f>
        <v/>
      </c>
      <c r="AF427" t="str">
        <f t="shared" si="38"/>
        <v/>
      </c>
      <c r="AG427" t="str">
        <f t="shared" si="39"/>
        <v/>
      </c>
      <c r="AH427" t="str">
        <f t="shared" si="40"/>
        <v/>
      </c>
      <c r="AI427" t="str">
        <f>IF($AG427="","",SUMIF($AG$2:$AG427,$AG427,$AH$2:$AH427))</f>
        <v/>
      </c>
      <c r="AJ427" t="str">
        <f>IF('TMP Paste'!$F427="","",IF('TMP Paste'!$B427="",$AJ426,'TMP Paste'!$B427))</f>
        <v/>
      </c>
      <c r="AK427" t="str">
        <f>IF('TMP Paste'!$F427="","",N('TMP Paste'!$G427))</f>
        <v/>
      </c>
      <c r="AL427" t="str">
        <f>IF('TMP Paste'!$F427="","",IF('TMP Paste'!$M427="",$AL426,'TMP Paste'!$M427))</f>
        <v/>
      </c>
      <c r="AM427" t="str">
        <f>IF('TMP Paste'!$F427="","",IF('TMP Paste'!$N427="",$AM426,'TMP Paste'!$N427))</f>
        <v/>
      </c>
      <c r="AN427" t="str">
        <f>IF('TMP Paste'!$F427="","",IF('TMP Paste'!$O427="",$AN426,'TMP Paste'!$O427))</f>
        <v/>
      </c>
      <c r="AO427" t="str">
        <f>IF('TMP Paste'!$F427="","",IF('TMP Paste'!$P427="",$AO426,'TMP Paste'!$P427))</f>
        <v/>
      </c>
      <c r="AP427" t="str">
        <f t="shared" si="41"/>
        <v/>
      </c>
      <c r="AQ427" t="str">
        <f>IF($AS427="","",TRIM(IF(COUNTIFS(Calc!$B$2:$B$1601,ROW()-1,Calc!$C$2:$C$1601,"&lt;1")&gt;0,"Ada PO tanpa Koli - cek TMP. ","")&amp;IF(OR($AU427="",$AU427&lt;=0),"Volume kosong/0 - dimensi dikosongkan. ","")&amp;IF(AND($AU427&lt;&gt;"",$AU427&gt;=1000000),"Volume &gt;= 1.000.000 cm3 (di luar aturan) - dimensi dikosongkan. ","")&amp;IF(LEN($R427)&gt;500,"R &gt; 500 karakter.","")))</f>
        <v/>
      </c>
      <c r="AS427" t="str">
        <f>IFERROR(MATCH(ROW()-1,Calc!$J$2:$J$1601,0),"")</f>
        <v/>
      </c>
      <c r="AT427" t="str">
        <f>IFERROR(MATCH(ROW()-1,Calc!$K$2:$K$1601,0),"")</f>
        <v/>
      </c>
      <c r="AU427" t="str">
        <f>IF($AS427="","",IFERROR(INDEX('TMP Paste'!$D$2:$D$1601,$AS427)*1000000/$AB427,""))</f>
        <v/>
      </c>
    </row>
    <row r="428" spans="1:47">
      <c r="A428" t="str">
        <f>IF($AS428="","",INDEX('TMP Paste'!$B$2:$B$1601,$AS428))</f>
        <v/>
      </c>
      <c r="B428" t="str">
        <f>IF($AS428="","",Config!$B$14)</f>
        <v/>
      </c>
      <c r="C428" t="str">
        <f>IF($AS428="","",Config!$B$15)</f>
        <v/>
      </c>
      <c r="D428" t="str">
        <f>IF($AS428="","",INDEX('TMP Paste'!$B$2:$B$1601,$AS428))</f>
        <v/>
      </c>
      <c r="E428" t="str">
        <f>IF($AS428="","",Config!$B$27)</f>
        <v/>
      </c>
      <c r="F428" t="str">
        <f>IF($AS428="","",Config!$B$9)</f>
        <v/>
      </c>
      <c r="G428" t="str">
        <f>IF($AS428="","",Config!$B$10)</f>
        <v/>
      </c>
      <c r="H428" t="str">
        <f>IF($AS428="","",Config!$B$11)</f>
        <v/>
      </c>
      <c r="I428" t="str">
        <f>IF($AS428="","",Config!$B$16)</f>
        <v/>
      </c>
      <c r="J428" t="str">
        <f>IF($AS428="","",INDEX('TMP Paste'!$A$2:$A$1601,$AS428))</f>
        <v/>
      </c>
      <c r="K428" t="str">
        <f>IF($AS428="","",INDEX('TMP Paste'!$L$2:$L$1601,$AS428))</f>
        <v/>
      </c>
      <c r="L428" t="str">
        <f>IF($AS428="","",INDEX('TMP Paste'!$I$2:$I$1601,$AS428))</f>
        <v/>
      </c>
      <c r="M428" t="str">
        <f>IF($AS428="","",Config!$B$16)</f>
        <v/>
      </c>
      <c r="N428" t="str">
        <f t="shared" si="36"/>
        <v/>
      </c>
      <c r="O428" t="str">
        <f>IF($AS428="","",INDEX('TMP Paste'!$K$2:$K$1601,$AS428))</f>
        <v/>
      </c>
      <c r="P428" t="str">
        <f t="shared" si="37"/>
        <v/>
      </c>
      <c r="Q428" t="str">
        <f>IF($AS428="","",INDEX('TMP Paste'!$J$2:$J$1601,$AS428))</f>
        <v/>
      </c>
      <c r="R428" t="str">
        <f>IF($AS428="","",Config!$B$24)</f>
        <v/>
      </c>
      <c r="S428" t="str">
        <f ca="1">IF($AS428="","",TEXT(Config!$B$4,"yyyy-mm-dd"))</f>
        <v/>
      </c>
      <c r="T428" t="str">
        <f>IF($AS428="","",Config!$B$17)</f>
        <v/>
      </c>
      <c r="U428" t="str">
        <f>IF($AS428="","",Config!$B$18)</f>
        <v/>
      </c>
      <c r="V428" t="str">
        <f>IF($AS428="","",Config!$B$19)</f>
        <v/>
      </c>
      <c r="W428" t="str">
        <f>IF($AS428="","",INDEX('TMP Paste'!$C$2:$C$1601,$AS428))</f>
        <v/>
      </c>
      <c r="X428" t="str">
        <f>IF($AS428="","",Config!$B$29)</f>
        <v/>
      </c>
      <c r="Y428" t="str">
        <f>IF($AT428="","",INDEX(Calc!$I$2:$I$1601,$AT428)&amp;" - "&amp;INDEX(Calc!$D$2:$D$1601,$AT428)&amp;" koli")</f>
        <v/>
      </c>
      <c r="Z428" t="str">
        <f>IF($AS428="","",Config!$B$21)</f>
        <v/>
      </c>
      <c r="AA428" t="str">
        <f>IF($AS428="","",Config!$B$22)</f>
        <v/>
      </c>
      <c r="AB428" t="str">
        <f>IF($AT428="","",INDEX(Calc!$D$2:$D$1601,$AT428))</f>
        <v/>
      </c>
      <c r="AC428" t="str">
        <f>IF($AT428="","",INDEX(Calc!$G$2:$G$1601,$AT428))</f>
        <v/>
      </c>
      <c r="AD428" t="str">
        <f>IF($AS428="","",Config!$B$23)</f>
        <v/>
      </c>
      <c r="AE428" t="str">
        <f>IF($AS428="","",Config!$B$28)</f>
        <v/>
      </c>
      <c r="AF428" t="str">
        <f t="shared" si="38"/>
        <v/>
      </c>
      <c r="AG428" t="str">
        <f t="shared" si="39"/>
        <v/>
      </c>
      <c r="AH428" t="str">
        <f t="shared" si="40"/>
        <v/>
      </c>
      <c r="AI428" t="str">
        <f>IF($AG428="","",SUMIF($AG$2:$AG428,$AG428,$AH$2:$AH428))</f>
        <v/>
      </c>
      <c r="AJ428" t="str">
        <f>IF('TMP Paste'!$F428="","",IF('TMP Paste'!$B428="",$AJ427,'TMP Paste'!$B428))</f>
        <v/>
      </c>
      <c r="AK428" t="str">
        <f>IF('TMP Paste'!$F428="","",N('TMP Paste'!$G428))</f>
        <v/>
      </c>
      <c r="AL428" t="str">
        <f>IF('TMP Paste'!$F428="","",IF('TMP Paste'!$M428="",$AL427,'TMP Paste'!$M428))</f>
        <v/>
      </c>
      <c r="AM428" t="str">
        <f>IF('TMP Paste'!$F428="","",IF('TMP Paste'!$N428="",$AM427,'TMP Paste'!$N428))</f>
        <v/>
      </c>
      <c r="AN428" t="str">
        <f>IF('TMP Paste'!$F428="","",IF('TMP Paste'!$O428="",$AN427,'TMP Paste'!$O428))</f>
        <v/>
      </c>
      <c r="AO428" t="str">
        <f>IF('TMP Paste'!$F428="","",IF('TMP Paste'!$P428="",$AO427,'TMP Paste'!$P428))</f>
        <v/>
      </c>
      <c r="AP428" t="str">
        <f t="shared" si="41"/>
        <v/>
      </c>
      <c r="AQ428" t="str">
        <f>IF($AS428="","",TRIM(IF(COUNTIFS(Calc!$B$2:$B$1601,ROW()-1,Calc!$C$2:$C$1601,"&lt;1")&gt;0,"Ada PO tanpa Koli - cek TMP. ","")&amp;IF(OR($AU428="",$AU428&lt;=0),"Volume kosong/0 - dimensi dikosongkan. ","")&amp;IF(AND($AU428&lt;&gt;"",$AU428&gt;=1000000),"Volume &gt;= 1.000.000 cm3 (di luar aturan) - dimensi dikosongkan. ","")&amp;IF(LEN($R428)&gt;500,"R &gt; 500 karakter.","")))</f>
        <v/>
      </c>
      <c r="AS428" t="str">
        <f>IFERROR(MATCH(ROW()-1,Calc!$J$2:$J$1601,0),"")</f>
        <v/>
      </c>
      <c r="AT428" t="str">
        <f>IFERROR(MATCH(ROW()-1,Calc!$K$2:$K$1601,0),"")</f>
        <v/>
      </c>
      <c r="AU428" t="str">
        <f>IF($AS428="","",IFERROR(INDEX('TMP Paste'!$D$2:$D$1601,$AS428)*1000000/$AB428,""))</f>
        <v/>
      </c>
    </row>
    <row r="429" spans="1:47">
      <c r="A429" t="str">
        <f>IF($AS429="","",INDEX('TMP Paste'!$B$2:$B$1601,$AS429))</f>
        <v/>
      </c>
      <c r="B429" t="str">
        <f>IF($AS429="","",Config!$B$14)</f>
        <v/>
      </c>
      <c r="C429" t="str">
        <f>IF($AS429="","",Config!$B$15)</f>
        <v/>
      </c>
      <c r="D429" t="str">
        <f>IF($AS429="","",INDEX('TMP Paste'!$B$2:$B$1601,$AS429))</f>
        <v/>
      </c>
      <c r="E429" t="str">
        <f>IF($AS429="","",Config!$B$27)</f>
        <v/>
      </c>
      <c r="F429" t="str">
        <f>IF($AS429="","",Config!$B$9)</f>
        <v/>
      </c>
      <c r="G429" t="str">
        <f>IF($AS429="","",Config!$B$10)</f>
        <v/>
      </c>
      <c r="H429" t="str">
        <f>IF($AS429="","",Config!$B$11)</f>
        <v/>
      </c>
      <c r="I429" t="str">
        <f>IF($AS429="","",Config!$B$16)</f>
        <v/>
      </c>
      <c r="J429" t="str">
        <f>IF($AS429="","",INDEX('TMP Paste'!$A$2:$A$1601,$AS429))</f>
        <v/>
      </c>
      <c r="K429" t="str">
        <f>IF($AS429="","",INDEX('TMP Paste'!$L$2:$L$1601,$AS429))</f>
        <v/>
      </c>
      <c r="L429" t="str">
        <f>IF($AS429="","",INDEX('TMP Paste'!$I$2:$I$1601,$AS429))</f>
        <v/>
      </c>
      <c r="M429" t="str">
        <f>IF($AS429="","",Config!$B$16)</f>
        <v/>
      </c>
      <c r="N429" t="str">
        <f t="shared" si="36"/>
        <v/>
      </c>
      <c r="O429" t="str">
        <f>IF($AS429="","",INDEX('TMP Paste'!$K$2:$K$1601,$AS429))</f>
        <v/>
      </c>
      <c r="P429" t="str">
        <f t="shared" si="37"/>
        <v/>
      </c>
      <c r="Q429" t="str">
        <f>IF($AS429="","",INDEX('TMP Paste'!$J$2:$J$1601,$AS429))</f>
        <v/>
      </c>
      <c r="R429" t="str">
        <f>IF($AS429="","",Config!$B$24)</f>
        <v/>
      </c>
      <c r="S429" t="str">
        <f ca="1">IF($AS429="","",TEXT(Config!$B$4,"yyyy-mm-dd"))</f>
        <v/>
      </c>
      <c r="T429" t="str">
        <f>IF($AS429="","",Config!$B$17)</f>
        <v/>
      </c>
      <c r="U429" t="str">
        <f>IF($AS429="","",Config!$B$18)</f>
        <v/>
      </c>
      <c r="V429" t="str">
        <f>IF($AS429="","",Config!$B$19)</f>
        <v/>
      </c>
      <c r="W429" t="str">
        <f>IF($AS429="","",INDEX('TMP Paste'!$C$2:$C$1601,$AS429))</f>
        <v/>
      </c>
      <c r="X429" t="str">
        <f>IF($AS429="","",Config!$B$29)</f>
        <v/>
      </c>
      <c r="Y429" t="str">
        <f>IF($AT429="","",INDEX(Calc!$I$2:$I$1601,$AT429)&amp;" - "&amp;INDEX(Calc!$D$2:$D$1601,$AT429)&amp;" koli")</f>
        <v/>
      </c>
      <c r="Z429" t="str">
        <f>IF($AS429="","",Config!$B$21)</f>
        <v/>
      </c>
      <c r="AA429" t="str">
        <f>IF($AS429="","",Config!$B$22)</f>
        <v/>
      </c>
      <c r="AB429" t="str">
        <f>IF($AT429="","",INDEX(Calc!$D$2:$D$1601,$AT429))</f>
        <v/>
      </c>
      <c r="AC429" t="str">
        <f>IF($AT429="","",INDEX(Calc!$G$2:$G$1601,$AT429))</f>
        <v/>
      </c>
      <c r="AD429" t="str">
        <f>IF($AS429="","",Config!$B$23)</f>
        <v/>
      </c>
      <c r="AE429" t="str">
        <f>IF($AS429="","",Config!$B$28)</f>
        <v/>
      </c>
      <c r="AF429" t="str">
        <f t="shared" si="38"/>
        <v/>
      </c>
      <c r="AG429" t="str">
        <f t="shared" si="39"/>
        <v/>
      </c>
      <c r="AH429" t="str">
        <f t="shared" si="40"/>
        <v/>
      </c>
      <c r="AI429" t="str">
        <f>IF($AG429="","",SUMIF($AG$2:$AG429,$AG429,$AH$2:$AH429))</f>
        <v/>
      </c>
      <c r="AJ429" t="str">
        <f>IF('TMP Paste'!$F429="","",IF('TMP Paste'!$B429="",$AJ428,'TMP Paste'!$B429))</f>
        <v/>
      </c>
      <c r="AK429" t="str">
        <f>IF('TMP Paste'!$F429="","",N('TMP Paste'!$G429))</f>
        <v/>
      </c>
      <c r="AL429" t="str">
        <f>IF('TMP Paste'!$F429="","",IF('TMP Paste'!$M429="",$AL428,'TMP Paste'!$M429))</f>
        <v/>
      </c>
      <c r="AM429" t="str">
        <f>IF('TMP Paste'!$F429="","",IF('TMP Paste'!$N429="",$AM428,'TMP Paste'!$N429))</f>
        <v/>
      </c>
      <c r="AN429" t="str">
        <f>IF('TMP Paste'!$F429="","",IF('TMP Paste'!$O429="",$AN428,'TMP Paste'!$O429))</f>
        <v/>
      </c>
      <c r="AO429" t="str">
        <f>IF('TMP Paste'!$F429="","",IF('TMP Paste'!$P429="",$AO428,'TMP Paste'!$P429))</f>
        <v/>
      </c>
      <c r="AP429" t="str">
        <f t="shared" si="41"/>
        <v/>
      </c>
      <c r="AQ429" t="str">
        <f>IF($AS429="","",TRIM(IF(COUNTIFS(Calc!$B$2:$B$1601,ROW()-1,Calc!$C$2:$C$1601,"&lt;1")&gt;0,"Ada PO tanpa Koli - cek TMP. ","")&amp;IF(OR($AU429="",$AU429&lt;=0),"Volume kosong/0 - dimensi dikosongkan. ","")&amp;IF(AND($AU429&lt;&gt;"",$AU429&gt;=1000000),"Volume &gt;= 1.000.000 cm3 (di luar aturan) - dimensi dikosongkan. ","")&amp;IF(LEN($R429)&gt;500,"R &gt; 500 karakter.","")))</f>
        <v/>
      </c>
      <c r="AS429" t="str">
        <f>IFERROR(MATCH(ROW()-1,Calc!$J$2:$J$1601,0),"")</f>
        <v/>
      </c>
      <c r="AT429" t="str">
        <f>IFERROR(MATCH(ROW()-1,Calc!$K$2:$K$1601,0),"")</f>
        <v/>
      </c>
      <c r="AU429" t="str">
        <f>IF($AS429="","",IFERROR(INDEX('TMP Paste'!$D$2:$D$1601,$AS429)*1000000/$AB429,""))</f>
        <v/>
      </c>
    </row>
    <row r="430" spans="1:47">
      <c r="A430" t="str">
        <f>IF($AS430="","",INDEX('TMP Paste'!$B$2:$B$1601,$AS430))</f>
        <v/>
      </c>
      <c r="B430" t="str">
        <f>IF($AS430="","",Config!$B$14)</f>
        <v/>
      </c>
      <c r="C430" t="str">
        <f>IF($AS430="","",Config!$B$15)</f>
        <v/>
      </c>
      <c r="D430" t="str">
        <f>IF($AS430="","",INDEX('TMP Paste'!$B$2:$B$1601,$AS430))</f>
        <v/>
      </c>
      <c r="E430" t="str">
        <f>IF($AS430="","",Config!$B$27)</f>
        <v/>
      </c>
      <c r="F430" t="str">
        <f>IF($AS430="","",Config!$B$9)</f>
        <v/>
      </c>
      <c r="G430" t="str">
        <f>IF($AS430="","",Config!$B$10)</f>
        <v/>
      </c>
      <c r="H430" t="str">
        <f>IF($AS430="","",Config!$B$11)</f>
        <v/>
      </c>
      <c r="I430" t="str">
        <f>IF($AS430="","",Config!$B$16)</f>
        <v/>
      </c>
      <c r="J430" t="str">
        <f>IF($AS430="","",INDEX('TMP Paste'!$A$2:$A$1601,$AS430))</f>
        <v/>
      </c>
      <c r="K430" t="str">
        <f>IF($AS430="","",INDEX('TMP Paste'!$L$2:$L$1601,$AS430))</f>
        <v/>
      </c>
      <c r="L430" t="str">
        <f>IF($AS430="","",INDEX('TMP Paste'!$I$2:$I$1601,$AS430))</f>
        <v/>
      </c>
      <c r="M430" t="str">
        <f>IF($AS430="","",Config!$B$16)</f>
        <v/>
      </c>
      <c r="N430" t="str">
        <f t="shared" si="36"/>
        <v/>
      </c>
      <c r="O430" t="str">
        <f>IF($AS430="","",INDEX('TMP Paste'!$K$2:$K$1601,$AS430))</f>
        <v/>
      </c>
      <c r="P430" t="str">
        <f t="shared" si="37"/>
        <v/>
      </c>
      <c r="Q430" t="str">
        <f>IF($AS430="","",INDEX('TMP Paste'!$J$2:$J$1601,$AS430))</f>
        <v/>
      </c>
      <c r="R430" t="str">
        <f>IF($AS430="","",Config!$B$24)</f>
        <v/>
      </c>
      <c r="S430" t="str">
        <f ca="1">IF($AS430="","",TEXT(Config!$B$4,"yyyy-mm-dd"))</f>
        <v/>
      </c>
      <c r="T430" t="str">
        <f>IF($AS430="","",Config!$B$17)</f>
        <v/>
      </c>
      <c r="U430" t="str">
        <f>IF($AS430="","",Config!$B$18)</f>
        <v/>
      </c>
      <c r="V430" t="str">
        <f>IF($AS430="","",Config!$B$19)</f>
        <v/>
      </c>
      <c r="W430" t="str">
        <f>IF($AS430="","",INDEX('TMP Paste'!$C$2:$C$1601,$AS430))</f>
        <v/>
      </c>
      <c r="X430" t="str">
        <f>IF($AS430="","",Config!$B$29)</f>
        <v/>
      </c>
      <c r="Y430" t="str">
        <f>IF($AT430="","",INDEX(Calc!$I$2:$I$1601,$AT430)&amp;" - "&amp;INDEX(Calc!$D$2:$D$1601,$AT430)&amp;" koli")</f>
        <v/>
      </c>
      <c r="Z430" t="str">
        <f>IF($AS430="","",Config!$B$21)</f>
        <v/>
      </c>
      <c r="AA430" t="str">
        <f>IF($AS430="","",Config!$B$22)</f>
        <v/>
      </c>
      <c r="AB430" t="str">
        <f>IF($AT430="","",INDEX(Calc!$D$2:$D$1601,$AT430))</f>
        <v/>
      </c>
      <c r="AC430" t="str">
        <f>IF($AT430="","",INDEX(Calc!$G$2:$G$1601,$AT430))</f>
        <v/>
      </c>
      <c r="AD430" t="str">
        <f>IF($AS430="","",Config!$B$23)</f>
        <v/>
      </c>
      <c r="AE430" t="str">
        <f>IF($AS430="","",Config!$B$28)</f>
        <v/>
      </c>
      <c r="AF430" t="str">
        <f t="shared" si="38"/>
        <v/>
      </c>
      <c r="AG430" t="str">
        <f t="shared" si="39"/>
        <v/>
      </c>
      <c r="AH430" t="str">
        <f t="shared" si="40"/>
        <v/>
      </c>
      <c r="AI430" t="str">
        <f>IF($AG430="","",SUMIF($AG$2:$AG430,$AG430,$AH$2:$AH430))</f>
        <v/>
      </c>
      <c r="AJ430" t="str">
        <f>IF('TMP Paste'!$F430="","",IF('TMP Paste'!$B430="",$AJ429,'TMP Paste'!$B430))</f>
        <v/>
      </c>
      <c r="AK430" t="str">
        <f>IF('TMP Paste'!$F430="","",N('TMP Paste'!$G430))</f>
        <v/>
      </c>
      <c r="AL430" t="str">
        <f>IF('TMP Paste'!$F430="","",IF('TMP Paste'!$M430="",$AL429,'TMP Paste'!$M430))</f>
        <v/>
      </c>
      <c r="AM430" t="str">
        <f>IF('TMP Paste'!$F430="","",IF('TMP Paste'!$N430="",$AM429,'TMP Paste'!$N430))</f>
        <v/>
      </c>
      <c r="AN430" t="str">
        <f>IF('TMP Paste'!$F430="","",IF('TMP Paste'!$O430="",$AN429,'TMP Paste'!$O430))</f>
        <v/>
      </c>
      <c r="AO430" t="str">
        <f>IF('TMP Paste'!$F430="","",IF('TMP Paste'!$P430="",$AO429,'TMP Paste'!$P430))</f>
        <v/>
      </c>
      <c r="AP430" t="str">
        <f t="shared" si="41"/>
        <v/>
      </c>
      <c r="AQ430" t="str">
        <f>IF($AS430="","",TRIM(IF(COUNTIFS(Calc!$B$2:$B$1601,ROW()-1,Calc!$C$2:$C$1601,"&lt;1")&gt;0,"Ada PO tanpa Koli - cek TMP. ","")&amp;IF(OR($AU430="",$AU430&lt;=0),"Volume kosong/0 - dimensi dikosongkan. ","")&amp;IF(AND($AU430&lt;&gt;"",$AU430&gt;=1000000),"Volume &gt;= 1.000.000 cm3 (di luar aturan) - dimensi dikosongkan. ","")&amp;IF(LEN($R430)&gt;500,"R &gt; 500 karakter.","")))</f>
        <v/>
      </c>
      <c r="AS430" t="str">
        <f>IFERROR(MATCH(ROW()-1,Calc!$J$2:$J$1601,0),"")</f>
        <v/>
      </c>
      <c r="AT430" t="str">
        <f>IFERROR(MATCH(ROW()-1,Calc!$K$2:$K$1601,0),"")</f>
        <v/>
      </c>
      <c r="AU430" t="str">
        <f>IF($AS430="","",IFERROR(INDEX('TMP Paste'!$D$2:$D$1601,$AS430)*1000000/$AB430,""))</f>
        <v/>
      </c>
    </row>
    <row r="431" spans="1:47">
      <c r="A431" t="str">
        <f>IF($AS431="","",INDEX('TMP Paste'!$B$2:$B$1601,$AS431))</f>
        <v/>
      </c>
      <c r="B431" t="str">
        <f>IF($AS431="","",Config!$B$14)</f>
        <v/>
      </c>
      <c r="C431" t="str">
        <f>IF($AS431="","",Config!$B$15)</f>
        <v/>
      </c>
      <c r="D431" t="str">
        <f>IF($AS431="","",INDEX('TMP Paste'!$B$2:$B$1601,$AS431))</f>
        <v/>
      </c>
      <c r="E431" t="str">
        <f>IF($AS431="","",Config!$B$27)</f>
        <v/>
      </c>
      <c r="F431" t="str">
        <f>IF($AS431="","",Config!$B$9)</f>
        <v/>
      </c>
      <c r="G431" t="str">
        <f>IF($AS431="","",Config!$B$10)</f>
        <v/>
      </c>
      <c r="H431" t="str">
        <f>IF($AS431="","",Config!$B$11)</f>
        <v/>
      </c>
      <c r="I431" t="str">
        <f>IF($AS431="","",Config!$B$16)</f>
        <v/>
      </c>
      <c r="J431" t="str">
        <f>IF($AS431="","",INDEX('TMP Paste'!$A$2:$A$1601,$AS431))</f>
        <v/>
      </c>
      <c r="K431" t="str">
        <f>IF($AS431="","",INDEX('TMP Paste'!$L$2:$L$1601,$AS431))</f>
        <v/>
      </c>
      <c r="L431" t="str">
        <f>IF($AS431="","",INDEX('TMP Paste'!$I$2:$I$1601,$AS431))</f>
        <v/>
      </c>
      <c r="M431" t="str">
        <f>IF($AS431="","",Config!$B$16)</f>
        <v/>
      </c>
      <c r="N431" t="str">
        <f t="shared" si="36"/>
        <v/>
      </c>
      <c r="O431" t="str">
        <f>IF($AS431="","",INDEX('TMP Paste'!$K$2:$K$1601,$AS431))</f>
        <v/>
      </c>
      <c r="P431" t="str">
        <f t="shared" si="37"/>
        <v/>
      </c>
      <c r="Q431" t="str">
        <f>IF($AS431="","",INDEX('TMP Paste'!$J$2:$J$1601,$AS431))</f>
        <v/>
      </c>
      <c r="R431" t="str">
        <f>IF($AS431="","",Config!$B$24)</f>
        <v/>
      </c>
      <c r="S431" t="str">
        <f ca="1">IF($AS431="","",TEXT(Config!$B$4,"yyyy-mm-dd"))</f>
        <v/>
      </c>
      <c r="T431" t="str">
        <f>IF($AS431="","",Config!$B$17)</f>
        <v/>
      </c>
      <c r="U431" t="str">
        <f>IF($AS431="","",Config!$B$18)</f>
        <v/>
      </c>
      <c r="V431" t="str">
        <f>IF($AS431="","",Config!$B$19)</f>
        <v/>
      </c>
      <c r="W431" t="str">
        <f>IF($AS431="","",INDEX('TMP Paste'!$C$2:$C$1601,$AS431))</f>
        <v/>
      </c>
      <c r="X431" t="str">
        <f>IF($AS431="","",Config!$B$29)</f>
        <v/>
      </c>
      <c r="Y431" t="str">
        <f>IF($AT431="","",INDEX(Calc!$I$2:$I$1601,$AT431)&amp;" - "&amp;INDEX(Calc!$D$2:$D$1601,$AT431)&amp;" koli")</f>
        <v/>
      </c>
      <c r="Z431" t="str">
        <f>IF($AS431="","",Config!$B$21)</f>
        <v/>
      </c>
      <c r="AA431" t="str">
        <f>IF($AS431="","",Config!$B$22)</f>
        <v/>
      </c>
      <c r="AB431" t="str">
        <f>IF($AT431="","",INDEX(Calc!$D$2:$D$1601,$AT431))</f>
        <v/>
      </c>
      <c r="AC431" t="str">
        <f>IF($AT431="","",INDEX(Calc!$G$2:$G$1601,$AT431))</f>
        <v/>
      </c>
      <c r="AD431" t="str">
        <f>IF($AS431="","",Config!$B$23)</f>
        <v/>
      </c>
      <c r="AE431" t="str">
        <f>IF($AS431="","",Config!$B$28)</f>
        <v/>
      </c>
      <c r="AF431" t="str">
        <f t="shared" si="38"/>
        <v/>
      </c>
      <c r="AG431" t="str">
        <f t="shared" si="39"/>
        <v/>
      </c>
      <c r="AH431" t="str">
        <f t="shared" si="40"/>
        <v/>
      </c>
      <c r="AI431" t="str">
        <f>IF($AG431="","",SUMIF($AG$2:$AG431,$AG431,$AH$2:$AH431))</f>
        <v/>
      </c>
      <c r="AJ431" t="str">
        <f>IF('TMP Paste'!$F431="","",IF('TMP Paste'!$B431="",$AJ430,'TMP Paste'!$B431))</f>
        <v/>
      </c>
      <c r="AK431" t="str">
        <f>IF('TMP Paste'!$F431="","",N('TMP Paste'!$G431))</f>
        <v/>
      </c>
      <c r="AL431" t="str">
        <f>IF('TMP Paste'!$F431="","",IF('TMP Paste'!$M431="",$AL430,'TMP Paste'!$M431))</f>
        <v/>
      </c>
      <c r="AM431" t="str">
        <f>IF('TMP Paste'!$F431="","",IF('TMP Paste'!$N431="",$AM430,'TMP Paste'!$N431))</f>
        <v/>
      </c>
      <c r="AN431" t="str">
        <f>IF('TMP Paste'!$F431="","",IF('TMP Paste'!$O431="",$AN430,'TMP Paste'!$O431))</f>
        <v/>
      </c>
      <c r="AO431" t="str">
        <f>IF('TMP Paste'!$F431="","",IF('TMP Paste'!$P431="",$AO430,'TMP Paste'!$P431))</f>
        <v/>
      </c>
      <c r="AP431" t="str">
        <f t="shared" si="41"/>
        <v/>
      </c>
      <c r="AQ431" t="str">
        <f>IF($AS431="","",TRIM(IF(COUNTIFS(Calc!$B$2:$B$1601,ROW()-1,Calc!$C$2:$C$1601,"&lt;1")&gt;0,"Ada PO tanpa Koli - cek TMP. ","")&amp;IF(OR($AU431="",$AU431&lt;=0),"Volume kosong/0 - dimensi dikosongkan. ","")&amp;IF(AND($AU431&lt;&gt;"",$AU431&gt;=1000000),"Volume &gt;= 1.000.000 cm3 (di luar aturan) - dimensi dikosongkan. ","")&amp;IF(LEN($R431)&gt;500,"R &gt; 500 karakter.","")))</f>
        <v/>
      </c>
      <c r="AS431" t="str">
        <f>IFERROR(MATCH(ROW()-1,Calc!$J$2:$J$1601,0),"")</f>
        <v/>
      </c>
      <c r="AT431" t="str">
        <f>IFERROR(MATCH(ROW()-1,Calc!$K$2:$K$1601,0),"")</f>
        <v/>
      </c>
      <c r="AU431" t="str">
        <f>IF($AS431="","",IFERROR(INDEX('TMP Paste'!$D$2:$D$1601,$AS431)*1000000/$AB431,""))</f>
        <v/>
      </c>
    </row>
    <row r="432" spans="1:47">
      <c r="A432" t="str">
        <f>IF($AS432="","",INDEX('TMP Paste'!$B$2:$B$1601,$AS432))</f>
        <v/>
      </c>
      <c r="B432" t="str">
        <f>IF($AS432="","",Config!$B$14)</f>
        <v/>
      </c>
      <c r="C432" t="str">
        <f>IF($AS432="","",Config!$B$15)</f>
        <v/>
      </c>
      <c r="D432" t="str">
        <f>IF($AS432="","",INDEX('TMP Paste'!$B$2:$B$1601,$AS432))</f>
        <v/>
      </c>
      <c r="E432" t="str">
        <f>IF($AS432="","",Config!$B$27)</f>
        <v/>
      </c>
      <c r="F432" t="str">
        <f>IF($AS432="","",Config!$B$9)</f>
        <v/>
      </c>
      <c r="G432" t="str">
        <f>IF($AS432="","",Config!$B$10)</f>
        <v/>
      </c>
      <c r="H432" t="str">
        <f>IF($AS432="","",Config!$B$11)</f>
        <v/>
      </c>
      <c r="I432" t="str">
        <f>IF($AS432="","",Config!$B$16)</f>
        <v/>
      </c>
      <c r="J432" t="str">
        <f>IF($AS432="","",INDEX('TMP Paste'!$A$2:$A$1601,$AS432))</f>
        <v/>
      </c>
      <c r="K432" t="str">
        <f>IF($AS432="","",INDEX('TMP Paste'!$L$2:$L$1601,$AS432))</f>
        <v/>
      </c>
      <c r="L432" t="str">
        <f>IF($AS432="","",INDEX('TMP Paste'!$I$2:$I$1601,$AS432))</f>
        <v/>
      </c>
      <c r="M432" t="str">
        <f>IF($AS432="","",Config!$B$16)</f>
        <v/>
      </c>
      <c r="N432" t="str">
        <f t="shared" si="36"/>
        <v/>
      </c>
      <c r="O432" t="str">
        <f>IF($AS432="","",INDEX('TMP Paste'!$K$2:$K$1601,$AS432))</f>
        <v/>
      </c>
      <c r="P432" t="str">
        <f t="shared" si="37"/>
        <v/>
      </c>
      <c r="Q432" t="str">
        <f>IF($AS432="","",INDEX('TMP Paste'!$J$2:$J$1601,$AS432))</f>
        <v/>
      </c>
      <c r="R432" t="str">
        <f>IF($AS432="","",Config!$B$24)</f>
        <v/>
      </c>
      <c r="S432" t="str">
        <f ca="1">IF($AS432="","",TEXT(Config!$B$4,"yyyy-mm-dd"))</f>
        <v/>
      </c>
      <c r="T432" t="str">
        <f>IF($AS432="","",Config!$B$17)</f>
        <v/>
      </c>
      <c r="U432" t="str">
        <f>IF($AS432="","",Config!$B$18)</f>
        <v/>
      </c>
      <c r="V432" t="str">
        <f>IF($AS432="","",Config!$B$19)</f>
        <v/>
      </c>
      <c r="W432" t="str">
        <f>IF($AS432="","",INDEX('TMP Paste'!$C$2:$C$1601,$AS432))</f>
        <v/>
      </c>
      <c r="X432" t="str">
        <f>IF($AS432="","",Config!$B$29)</f>
        <v/>
      </c>
      <c r="Y432" t="str">
        <f>IF($AT432="","",INDEX(Calc!$I$2:$I$1601,$AT432)&amp;" - "&amp;INDEX(Calc!$D$2:$D$1601,$AT432)&amp;" koli")</f>
        <v/>
      </c>
      <c r="Z432" t="str">
        <f>IF($AS432="","",Config!$B$21)</f>
        <v/>
      </c>
      <c r="AA432" t="str">
        <f>IF($AS432="","",Config!$B$22)</f>
        <v/>
      </c>
      <c r="AB432" t="str">
        <f>IF($AT432="","",INDEX(Calc!$D$2:$D$1601,$AT432))</f>
        <v/>
      </c>
      <c r="AC432" t="str">
        <f>IF($AT432="","",INDEX(Calc!$G$2:$G$1601,$AT432))</f>
        <v/>
      </c>
      <c r="AD432" t="str">
        <f>IF($AS432="","",Config!$B$23)</f>
        <v/>
      </c>
      <c r="AE432" t="str">
        <f>IF($AS432="","",Config!$B$28)</f>
        <v/>
      </c>
      <c r="AF432" t="str">
        <f t="shared" si="38"/>
        <v/>
      </c>
      <c r="AG432" t="str">
        <f t="shared" si="39"/>
        <v/>
      </c>
      <c r="AH432" t="str">
        <f t="shared" si="40"/>
        <v/>
      </c>
      <c r="AI432" t="str">
        <f>IF($AG432="","",SUMIF($AG$2:$AG432,$AG432,$AH$2:$AH432))</f>
        <v/>
      </c>
      <c r="AJ432" t="str">
        <f>IF('TMP Paste'!$F432="","",IF('TMP Paste'!$B432="",$AJ431,'TMP Paste'!$B432))</f>
        <v/>
      </c>
      <c r="AK432" t="str">
        <f>IF('TMP Paste'!$F432="","",N('TMP Paste'!$G432))</f>
        <v/>
      </c>
      <c r="AL432" t="str">
        <f>IF('TMP Paste'!$F432="","",IF('TMP Paste'!$M432="",$AL431,'TMP Paste'!$M432))</f>
        <v/>
      </c>
      <c r="AM432" t="str">
        <f>IF('TMP Paste'!$F432="","",IF('TMP Paste'!$N432="",$AM431,'TMP Paste'!$N432))</f>
        <v/>
      </c>
      <c r="AN432" t="str">
        <f>IF('TMP Paste'!$F432="","",IF('TMP Paste'!$O432="",$AN431,'TMP Paste'!$O432))</f>
        <v/>
      </c>
      <c r="AO432" t="str">
        <f>IF('TMP Paste'!$F432="","",IF('TMP Paste'!$P432="",$AO431,'TMP Paste'!$P432))</f>
        <v/>
      </c>
      <c r="AP432" t="str">
        <f t="shared" si="41"/>
        <v/>
      </c>
      <c r="AQ432" t="str">
        <f>IF($AS432="","",TRIM(IF(COUNTIFS(Calc!$B$2:$B$1601,ROW()-1,Calc!$C$2:$C$1601,"&lt;1")&gt;0,"Ada PO tanpa Koli - cek TMP. ","")&amp;IF(OR($AU432="",$AU432&lt;=0),"Volume kosong/0 - dimensi dikosongkan. ","")&amp;IF(AND($AU432&lt;&gt;"",$AU432&gt;=1000000),"Volume &gt;= 1.000.000 cm3 (di luar aturan) - dimensi dikosongkan. ","")&amp;IF(LEN($R432)&gt;500,"R &gt; 500 karakter.","")))</f>
        <v/>
      </c>
      <c r="AS432" t="str">
        <f>IFERROR(MATCH(ROW()-1,Calc!$J$2:$J$1601,0),"")</f>
        <v/>
      </c>
      <c r="AT432" t="str">
        <f>IFERROR(MATCH(ROW()-1,Calc!$K$2:$K$1601,0),"")</f>
        <v/>
      </c>
      <c r="AU432" t="str">
        <f>IF($AS432="","",IFERROR(INDEX('TMP Paste'!$D$2:$D$1601,$AS432)*1000000/$AB432,""))</f>
        <v/>
      </c>
    </row>
    <row r="433" spans="1:47">
      <c r="A433" t="str">
        <f>IF($AS433="","",INDEX('TMP Paste'!$B$2:$B$1601,$AS433))</f>
        <v/>
      </c>
      <c r="B433" t="str">
        <f>IF($AS433="","",Config!$B$14)</f>
        <v/>
      </c>
      <c r="C433" t="str">
        <f>IF($AS433="","",Config!$B$15)</f>
        <v/>
      </c>
      <c r="D433" t="str">
        <f>IF($AS433="","",INDEX('TMP Paste'!$B$2:$B$1601,$AS433))</f>
        <v/>
      </c>
      <c r="E433" t="str">
        <f>IF($AS433="","",Config!$B$27)</f>
        <v/>
      </c>
      <c r="F433" t="str">
        <f>IF($AS433="","",Config!$B$9)</f>
        <v/>
      </c>
      <c r="G433" t="str">
        <f>IF($AS433="","",Config!$B$10)</f>
        <v/>
      </c>
      <c r="H433" t="str">
        <f>IF($AS433="","",Config!$B$11)</f>
        <v/>
      </c>
      <c r="I433" t="str">
        <f>IF($AS433="","",Config!$B$16)</f>
        <v/>
      </c>
      <c r="J433" t="str">
        <f>IF($AS433="","",INDEX('TMP Paste'!$A$2:$A$1601,$AS433))</f>
        <v/>
      </c>
      <c r="K433" t="str">
        <f>IF($AS433="","",INDEX('TMP Paste'!$L$2:$L$1601,$AS433))</f>
        <v/>
      </c>
      <c r="L433" t="str">
        <f>IF($AS433="","",INDEX('TMP Paste'!$I$2:$I$1601,$AS433))</f>
        <v/>
      </c>
      <c r="M433" t="str">
        <f>IF($AS433="","",Config!$B$16)</f>
        <v/>
      </c>
      <c r="N433" t="str">
        <f t="shared" si="36"/>
        <v/>
      </c>
      <c r="O433" t="str">
        <f>IF($AS433="","",INDEX('TMP Paste'!$K$2:$K$1601,$AS433))</f>
        <v/>
      </c>
      <c r="P433" t="str">
        <f t="shared" si="37"/>
        <v/>
      </c>
      <c r="Q433" t="str">
        <f>IF($AS433="","",INDEX('TMP Paste'!$J$2:$J$1601,$AS433))</f>
        <v/>
      </c>
      <c r="R433" t="str">
        <f>IF($AS433="","",Config!$B$24)</f>
        <v/>
      </c>
      <c r="S433" t="str">
        <f ca="1">IF($AS433="","",TEXT(Config!$B$4,"yyyy-mm-dd"))</f>
        <v/>
      </c>
      <c r="T433" t="str">
        <f>IF($AS433="","",Config!$B$17)</f>
        <v/>
      </c>
      <c r="U433" t="str">
        <f>IF($AS433="","",Config!$B$18)</f>
        <v/>
      </c>
      <c r="V433" t="str">
        <f>IF($AS433="","",Config!$B$19)</f>
        <v/>
      </c>
      <c r="W433" t="str">
        <f>IF($AS433="","",INDEX('TMP Paste'!$C$2:$C$1601,$AS433))</f>
        <v/>
      </c>
      <c r="X433" t="str">
        <f>IF($AS433="","",Config!$B$29)</f>
        <v/>
      </c>
      <c r="Y433" t="str">
        <f>IF($AT433="","",INDEX(Calc!$I$2:$I$1601,$AT433)&amp;" - "&amp;INDEX(Calc!$D$2:$D$1601,$AT433)&amp;" koli")</f>
        <v/>
      </c>
      <c r="Z433" t="str">
        <f>IF($AS433="","",Config!$B$21)</f>
        <v/>
      </c>
      <c r="AA433" t="str">
        <f>IF($AS433="","",Config!$B$22)</f>
        <v/>
      </c>
      <c r="AB433" t="str">
        <f>IF($AT433="","",INDEX(Calc!$D$2:$D$1601,$AT433))</f>
        <v/>
      </c>
      <c r="AC433" t="str">
        <f>IF($AT433="","",INDEX(Calc!$G$2:$G$1601,$AT433))</f>
        <v/>
      </c>
      <c r="AD433" t="str">
        <f>IF($AS433="","",Config!$B$23)</f>
        <v/>
      </c>
      <c r="AE433" t="str">
        <f>IF($AS433="","",Config!$B$28)</f>
        <v/>
      </c>
      <c r="AF433" t="str">
        <f t="shared" si="38"/>
        <v/>
      </c>
      <c r="AG433" t="str">
        <f t="shared" si="39"/>
        <v/>
      </c>
      <c r="AH433" t="str">
        <f t="shared" si="40"/>
        <v/>
      </c>
      <c r="AI433" t="str">
        <f>IF($AG433="","",SUMIF($AG$2:$AG433,$AG433,$AH$2:$AH433))</f>
        <v/>
      </c>
      <c r="AJ433" t="str">
        <f>IF('TMP Paste'!$F433="","",IF('TMP Paste'!$B433="",$AJ432,'TMP Paste'!$B433))</f>
        <v/>
      </c>
      <c r="AK433" t="str">
        <f>IF('TMP Paste'!$F433="","",N('TMP Paste'!$G433))</f>
        <v/>
      </c>
      <c r="AL433" t="str">
        <f>IF('TMP Paste'!$F433="","",IF('TMP Paste'!$M433="",$AL432,'TMP Paste'!$M433))</f>
        <v/>
      </c>
      <c r="AM433" t="str">
        <f>IF('TMP Paste'!$F433="","",IF('TMP Paste'!$N433="",$AM432,'TMP Paste'!$N433))</f>
        <v/>
      </c>
      <c r="AN433" t="str">
        <f>IF('TMP Paste'!$F433="","",IF('TMP Paste'!$O433="",$AN432,'TMP Paste'!$O433))</f>
        <v/>
      </c>
      <c r="AO433" t="str">
        <f>IF('TMP Paste'!$F433="","",IF('TMP Paste'!$P433="",$AO432,'TMP Paste'!$P433))</f>
        <v/>
      </c>
      <c r="AP433" t="str">
        <f t="shared" si="41"/>
        <v/>
      </c>
      <c r="AQ433" t="str">
        <f>IF($AS433="","",TRIM(IF(COUNTIFS(Calc!$B$2:$B$1601,ROW()-1,Calc!$C$2:$C$1601,"&lt;1")&gt;0,"Ada PO tanpa Koli - cek TMP. ","")&amp;IF(OR($AU433="",$AU433&lt;=0),"Volume kosong/0 - dimensi dikosongkan. ","")&amp;IF(AND($AU433&lt;&gt;"",$AU433&gt;=1000000),"Volume &gt;= 1.000.000 cm3 (di luar aturan) - dimensi dikosongkan. ","")&amp;IF(LEN($R433)&gt;500,"R &gt; 500 karakter.","")))</f>
        <v/>
      </c>
      <c r="AS433" t="str">
        <f>IFERROR(MATCH(ROW()-1,Calc!$J$2:$J$1601,0),"")</f>
        <v/>
      </c>
      <c r="AT433" t="str">
        <f>IFERROR(MATCH(ROW()-1,Calc!$K$2:$K$1601,0),"")</f>
        <v/>
      </c>
      <c r="AU433" t="str">
        <f>IF($AS433="","",IFERROR(INDEX('TMP Paste'!$D$2:$D$1601,$AS433)*1000000/$AB433,""))</f>
        <v/>
      </c>
    </row>
    <row r="434" spans="1:47">
      <c r="A434" t="str">
        <f>IF($AS434="","",INDEX('TMP Paste'!$B$2:$B$1601,$AS434))</f>
        <v/>
      </c>
      <c r="B434" t="str">
        <f>IF($AS434="","",Config!$B$14)</f>
        <v/>
      </c>
      <c r="C434" t="str">
        <f>IF($AS434="","",Config!$B$15)</f>
        <v/>
      </c>
      <c r="D434" t="str">
        <f>IF($AS434="","",INDEX('TMP Paste'!$B$2:$B$1601,$AS434))</f>
        <v/>
      </c>
      <c r="E434" t="str">
        <f>IF($AS434="","",Config!$B$27)</f>
        <v/>
      </c>
      <c r="F434" t="str">
        <f>IF($AS434="","",Config!$B$9)</f>
        <v/>
      </c>
      <c r="G434" t="str">
        <f>IF($AS434="","",Config!$B$10)</f>
        <v/>
      </c>
      <c r="H434" t="str">
        <f>IF($AS434="","",Config!$B$11)</f>
        <v/>
      </c>
      <c r="I434" t="str">
        <f>IF($AS434="","",Config!$B$16)</f>
        <v/>
      </c>
      <c r="J434" t="str">
        <f>IF($AS434="","",INDEX('TMP Paste'!$A$2:$A$1601,$AS434))</f>
        <v/>
      </c>
      <c r="K434" t="str">
        <f>IF($AS434="","",INDEX('TMP Paste'!$L$2:$L$1601,$AS434))</f>
        <v/>
      </c>
      <c r="L434" t="str">
        <f>IF($AS434="","",INDEX('TMP Paste'!$I$2:$I$1601,$AS434))</f>
        <v/>
      </c>
      <c r="M434" t="str">
        <f>IF($AS434="","",Config!$B$16)</f>
        <v/>
      </c>
      <c r="N434" t="str">
        <f t="shared" si="36"/>
        <v/>
      </c>
      <c r="O434" t="str">
        <f>IF($AS434="","",INDEX('TMP Paste'!$K$2:$K$1601,$AS434))</f>
        <v/>
      </c>
      <c r="P434" t="str">
        <f t="shared" si="37"/>
        <v/>
      </c>
      <c r="Q434" t="str">
        <f>IF($AS434="","",INDEX('TMP Paste'!$J$2:$J$1601,$AS434))</f>
        <v/>
      </c>
      <c r="R434" t="str">
        <f>IF($AS434="","",Config!$B$24)</f>
        <v/>
      </c>
      <c r="S434" t="str">
        <f ca="1">IF($AS434="","",TEXT(Config!$B$4,"yyyy-mm-dd"))</f>
        <v/>
      </c>
      <c r="T434" t="str">
        <f>IF($AS434="","",Config!$B$17)</f>
        <v/>
      </c>
      <c r="U434" t="str">
        <f>IF($AS434="","",Config!$B$18)</f>
        <v/>
      </c>
      <c r="V434" t="str">
        <f>IF($AS434="","",Config!$B$19)</f>
        <v/>
      </c>
      <c r="W434" t="str">
        <f>IF($AS434="","",INDEX('TMP Paste'!$C$2:$C$1601,$AS434))</f>
        <v/>
      </c>
      <c r="X434" t="str">
        <f>IF($AS434="","",Config!$B$29)</f>
        <v/>
      </c>
      <c r="Y434" t="str">
        <f>IF($AT434="","",INDEX(Calc!$I$2:$I$1601,$AT434)&amp;" - "&amp;INDEX(Calc!$D$2:$D$1601,$AT434)&amp;" koli")</f>
        <v/>
      </c>
      <c r="Z434" t="str">
        <f>IF($AS434="","",Config!$B$21)</f>
        <v/>
      </c>
      <c r="AA434" t="str">
        <f>IF($AS434="","",Config!$B$22)</f>
        <v/>
      </c>
      <c r="AB434" t="str">
        <f>IF($AT434="","",INDEX(Calc!$D$2:$D$1601,$AT434))</f>
        <v/>
      </c>
      <c r="AC434" t="str">
        <f>IF($AT434="","",INDEX(Calc!$G$2:$G$1601,$AT434))</f>
        <v/>
      </c>
      <c r="AD434" t="str">
        <f>IF($AS434="","",Config!$B$23)</f>
        <v/>
      </c>
      <c r="AE434" t="str">
        <f>IF($AS434="","",Config!$B$28)</f>
        <v/>
      </c>
      <c r="AF434" t="str">
        <f t="shared" si="38"/>
        <v/>
      </c>
      <c r="AG434" t="str">
        <f t="shared" si="39"/>
        <v/>
      </c>
      <c r="AH434" t="str">
        <f t="shared" si="40"/>
        <v/>
      </c>
      <c r="AI434" t="str">
        <f>IF($AG434="","",SUMIF($AG$2:$AG434,$AG434,$AH$2:$AH434))</f>
        <v/>
      </c>
      <c r="AJ434" t="str">
        <f>IF('TMP Paste'!$F434="","",IF('TMP Paste'!$B434="",$AJ433,'TMP Paste'!$B434))</f>
        <v/>
      </c>
      <c r="AK434" t="str">
        <f>IF('TMP Paste'!$F434="","",N('TMP Paste'!$G434))</f>
        <v/>
      </c>
      <c r="AL434" t="str">
        <f>IF('TMP Paste'!$F434="","",IF('TMP Paste'!$M434="",$AL433,'TMP Paste'!$M434))</f>
        <v/>
      </c>
      <c r="AM434" t="str">
        <f>IF('TMP Paste'!$F434="","",IF('TMP Paste'!$N434="",$AM433,'TMP Paste'!$N434))</f>
        <v/>
      </c>
      <c r="AN434" t="str">
        <f>IF('TMP Paste'!$F434="","",IF('TMP Paste'!$O434="",$AN433,'TMP Paste'!$O434))</f>
        <v/>
      </c>
      <c r="AO434" t="str">
        <f>IF('TMP Paste'!$F434="","",IF('TMP Paste'!$P434="",$AO433,'TMP Paste'!$P434))</f>
        <v/>
      </c>
      <c r="AP434" t="str">
        <f t="shared" si="41"/>
        <v/>
      </c>
      <c r="AQ434" t="str">
        <f>IF($AS434="","",TRIM(IF(COUNTIFS(Calc!$B$2:$B$1601,ROW()-1,Calc!$C$2:$C$1601,"&lt;1")&gt;0,"Ada PO tanpa Koli - cek TMP. ","")&amp;IF(OR($AU434="",$AU434&lt;=0),"Volume kosong/0 - dimensi dikosongkan. ","")&amp;IF(AND($AU434&lt;&gt;"",$AU434&gt;=1000000),"Volume &gt;= 1.000.000 cm3 (di luar aturan) - dimensi dikosongkan. ","")&amp;IF(LEN($R434)&gt;500,"R &gt; 500 karakter.","")))</f>
        <v/>
      </c>
      <c r="AS434" t="str">
        <f>IFERROR(MATCH(ROW()-1,Calc!$J$2:$J$1601,0),"")</f>
        <v/>
      </c>
      <c r="AT434" t="str">
        <f>IFERROR(MATCH(ROW()-1,Calc!$K$2:$K$1601,0),"")</f>
        <v/>
      </c>
      <c r="AU434" t="str">
        <f>IF($AS434="","",IFERROR(INDEX('TMP Paste'!$D$2:$D$1601,$AS434)*1000000/$AB434,""))</f>
        <v/>
      </c>
    </row>
    <row r="435" spans="1:47">
      <c r="A435" t="str">
        <f>IF($AS435="","",INDEX('TMP Paste'!$B$2:$B$1601,$AS435))</f>
        <v/>
      </c>
      <c r="B435" t="str">
        <f>IF($AS435="","",Config!$B$14)</f>
        <v/>
      </c>
      <c r="C435" t="str">
        <f>IF($AS435="","",Config!$B$15)</f>
        <v/>
      </c>
      <c r="D435" t="str">
        <f>IF($AS435="","",INDEX('TMP Paste'!$B$2:$B$1601,$AS435))</f>
        <v/>
      </c>
      <c r="E435" t="str">
        <f>IF($AS435="","",Config!$B$27)</f>
        <v/>
      </c>
      <c r="F435" t="str">
        <f>IF($AS435="","",Config!$B$9)</f>
        <v/>
      </c>
      <c r="G435" t="str">
        <f>IF($AS435="","",Config!$B$10)</f>
        <v/>
      </c>
      <c r="H435" t="str">
        <f>IF($AS435="","",Config!$B$11)</f>
        <v/>
      </c>
      <c r="I435" t="str">
        <f>IF($AS435="","",Config!$B$16)</f>
        <v/>
      </c>
      <c r="J435" t="str">
        <f>IF($AS435="","",INDEX('TMP Paste'!$A$2:$A$1601,$AS435))</f>
        <v/>
      </c>
      <c r="K435" t="str">
        <f>IF($AS435="","",INDEX('TMP Paste'!$L$2:$L$1601,$AS435))</f>
        <v/>
      </c>
      <c r="L435" t="str">
        <f>IF($AS435="","",INDEX('TMP Paste'!$I$2:$I$1601,$AS435))</f>
        <v/>
      </c>
      <c r="M435" t="str">
        <f>IF($AS435="","",Config!$B$16)</f>
        <v/>
      </c>
      <c r="N435" t="str">
        <f t="shared" si="36"/>
        <v/>
      </c>
      <c r="O435" t="str">
        <f>IF($AS435="","",INDEX('TMP Paste'!$K$2:$K$1601,$AS435))</f>
        <v/>
      </c>
      <c r="P435" t="str">
        <f t="shared" si="37"/>
        <v/>
      </c>
      <c r="Q435" t="str">
        <f>IF($AS435="","",INDEX('TMP Paste'!$J$2:$J$1601,$AS435))</f>
        <v/>
      </c>
      <c r="R435" t="str">
        <f>IF($AS435="","",Config!$B$24)</f>
        <v/>
      </c>
      <c r="S435" t="str">
        <f ca="1">IF($AS435="","",TEXT(Config!$B$4,"yyyy-mm-dd"))</f>
        <v/>
      </c>
      <c r="T435" t="str">
        <f>IF($AS435="","",Config!$B$17)</f>
        <v/>
      </c>
      <c r="U435" t="str">
        <f>IF($AS435="","",Config!$B$18)</f>
        <v/>
      </c>
      <c r="V435" t="str">
        <f>IF($AS435="","",Config!$B$19)</f>
        <v/>
      </c>
      <c r="W435" t="str">
        <f>IF($AS435="","",INDEX('TMP Paste'!$C$2:$C$1601,$AS435))</f>
        <v/>
      </c>
      <c r="X435" t="str">
        <f>IF($AS435="","",Config!$B$29)</f>
        <v/>
      </c>
      <c r="Y435" t="str">
        <f>IF($AT435="","",INDEX(Calc!$I$2:$I$1601,$AT435)&amp;" - "&amp;INDEX(Calc!$D$2:$D$1601,$AT435)&amp;" koli")</f>
        <v/>
      </c>
      <c r="Z435" t="str">
        <f>IF($AS435="","",Config!$B$21)</f>
        <v/>
      </c>
      <c r="AA435" t="str">
        <f>IF($AS435="","",Config!$B$22)</f>
        <v/>
      </c>
      <c r="AB435" t="str">
        <f>IF($AT435="","",INDEX(Calc!$D$2:$D$1601,$AT435))</f>
        <v/>
      </c>
      <c r="AC435" t="str">
        <f>IF($AT435="","",INDEX(Calc!$G$2:$G$1601,$AT435))</f>
        <v/>
      </c>
      <c r="AD435" t="str">
        <f>IF($AS435="","",Config!$B$23)</f>
        <v/>
      </c>
      <c r="AE435" t="str">
        <f>IF($AS435="","",Config!$B$28)</f>
        <v/>
      </c>
      <c r="AF435" t="str">
        <f t="shared" si="38"/>
        <v/>
      </c>
      <c r="AG435" t="str">
        <f t="shared" si="39"/>
        <v/>
      </c>
      <c r="AH435" t="str">
        <f t="shared" si="40"/>
        <v/>
      </c>
      <c r="AI435" t="str">
        <f>IF($AG435="","",SUMIF($AG$2:$AG435,$AG435,$AH$2:$AH435))</f>
        <v/>
      </c>
      <c r="AJ435" t="str">
        <f>IF('TMP Paste'!$F435="","",IF('TMP Paste'!$B435="",$AJ434,'TMP Paste'!$B435))</f>
        <v/>
      </c>
      <c r="AK435" t="str">
        <f>IF('TMP Paste'!$F435="","",N('TMP Paste'!$G435))</f>
        <v/>
      </c>
      <c r="AL435" t="str">
        <f>IF('TMP Paste'!$F435="","",IF('TMP Paste'!$M435="",$AL434,'TMP Paste'!$M435))</f>
        <v/>
      </c>
      <c r="AM435" t="str">
        <f>IF('TMP Paste'!$F435="","",IF('TMP Paste'!$N435="",$AM434,'TMP Paste'!$N435))</f>
        <v/>
      </c>
      <c r="AN435" t="str">
        <f>IF('TMP Paste'!$F435="","",IF('TMP Paste'!$O435="",$AN434,'TMP Paste'!$O435))</f>
        <v/>
      </c>
      <c r="AO435" t="str">
        <f>IF('TMP Paste'!$F435="","",IF('TMP Paste'!$P435="",$AO434,'TMP Paste'!$P435))</f>
        <v/>
      </c>
      <c r="AP435" t="str">
        <f t="shared" si="41"/>
        <v/>
      </c>
      <c r="AQ435" t="str">
        <f>IF($AS435="","",TRIM(IF(COUNTIFS(Calc!$B$2:$B$1601,ROW()-1,Calc!$C$2:$C$1601,"&lt;1")&gt;0,"Ada PO tanpa Koli - cek TMP. ","")&amp;IF(OR($AU435="",$AU435&lt;=0),"Volume kosong/0 - dimensi dikosongkan. ","")&amp;IF(AND($AU435&lt;&gt;"",$AU435&gt;=1000000),"Volume &gt;= 1.000.000 cm3 (di luar aturan) - dimensi dikosongkan. ","")&amp;IF(LEN($R435)&gt;500,"R &gt; 500 karakter.","")))</f>
        <v/>
      </c>
      <c r="AS435" t="str">
        <f>IFERROR(MATCH(ROW()-1,Calc!$J$2:$J$1601,0),"")</f>
        <v/>
      </c>
      <c r="AT435" t="str">
        <f>IFERROR(MATCH(ROW()-1,Calc!$K$2:$K$1601,0),"")</f>
        <v/>
      </c>
      <c r="AU435" t="str">
        <f>IF($AS435="","",IFERROR(INDEX('TMP Paste'!$D$2:$D$1601,$AS435)*1000000/$AB435,""))</f>
        <v/>
      </c>
    </row>
    <row r="436" spans="1:47">
      <c r="A436" t="str">
        <f>IF($AS436="","",INDEX('TMP Paste'!$B$2:$B$1601,$AS436))</f>
        <v/>
      </c>
      <c r="B436" t="str">
        <f>IF($AS436="","",Config!$B$14)</f>
        <v/>
      </c>
      <c r="C436" t="str">
        <f>IF($AS436="","",Config!$B$15)</f>
        <v/>
      </c>
      <c r="D436" t="str">
        <f>IF($AS436="","",INDEX('TMP Paste'!$B$2:$B$1601,$AS436))</f>
        <v/>
      </c>
      <c r="E436" t="str">
        <f>IF($AS436="","",Config!$B$27)</f>
        <v/>
      </c>
      <c r="F436" t="str">
        <f>IF($AS436="","",Config!$B$9)</f>
        <v/>
      </c>
      <c r="G436" t="str">
        <f>IF($AS436="","",Config!$B$10)</f>
        <v/>
      </c>
      <c r="H436" t="str">
        <f>IF($AS436="","",Config!$B$11)</f>
        <v/>
      </c>
      <c r="I436" t="str">
        <f>IF($AS436="","",Config!$B$16)</f>
        <v/>
      </c>
      <c r="J436" t="str">
        <f>IF($AS436="","",INDEX('TMP Paste'!$A$2:$A$1601,$AS436))</f>
        <v/>
      </c>
      <c r="K436" t="str">
        <f>IF($AS436="","",INDEX('TMP Paste'!$L$2:$L$1601,$AS436))</f>
        <v/>
      </c>
      <c r="L436" t="str">
        <f>IF($AS436="","",INDEX('TMP Paste'!$I$2:$I$1601,$AS436))</f>
        <v/>
      </c>
      <c r="M436" t="str">
        <f>IF($AS436="","",Config!$B$16)</f>
        <v/>
      </c>
      <c r="N436" t="str">
        <f t="shared" si="36"/>
        <v/>
      </c>
      <c r="O436" t="str">
        <f>IF($AS436="","",INDEX('TMP Paste'!$K$2:$K$1601,$AS436))</f>
        <v/>
      </c>
      <c r="P436" t="str">
        <f t="shared" si="37"/>
        <v/>
      </c>
      <c r="Q436" t="str">
        <f>IF($AS436="","",INDEX('TMP Paste'!$J$2:$J$1601,$AS436))</f>
        <v/>
      </c>
      <c r="R436" t="str">
        <f>IF($AS436="","",Config!$B$24)</f>
        <v/>
      </c>
      <c r="S436" t="str">
        <f ca="1">IF($AS436="","",TEXT(Config!$B$4,"yyyy-mm-dd"))</f>
        <v/>
      </c>
      <c r="T436" t="str">
        <f>IF($AS436="","",Config!$B$17)</f>
        <v/>
      </c>
      <c r="U436" t="str">
        <f>IF($AS436="","",Config!$B$18)</f>
        <v/>
      </c>
      <c r="V436" t="str">
        <f>IF($AS436="","",Config!$B$19)</f>
        <v/>
      </c>
      <c r="W436" t="str">
        <f>IF($AS436="","",INDEX('TMP Paste'!$C$2:$C$1601,$AS436))</f>
        <v/>
      </c>
      <c r="X436" t="str">
        <f>IF($AS436="","",Config!$B$29)</f>
        <v/>
      </c>
      <c r="Y436" t="str">
        <f>IF($AT436="","",INDEX(Calc!$I$2:$I$1601,$AT436)&amp;" - "&amp;INDEX(Calc!$D$2:$D$1601,$AT436)&amp;" koli")</f>
        <v/>
      </c>
      <c r="Z436" t="str">
        <f>IF($AS436="","",Config!$B$21)</f>
        <v/>
      </c>
      <c r="AA436" t="str">
        <f>IF($AS436="","",Config!$B$22)</f>
        <v/>
      </c>
      <c r="AB436" t="str">
        <f>IF($AT436="","",INDEX(Calc!$D$2:$D$1601,$AT436))</f>
        <v/>
      </c>
      <c r="AC436" t="str">
        <f>IF($AT436="","",INDEX(Calc!$G$2:$G$1601,$AT436))</f>
        <v/>
      </c>
      <c r="AD436" t="str">
        <f>IF($AS436="","",Config!$B$23)</f>
        <v/>
      </c>
      <c r="AE436" t="str">
        <f>IF($AS436="","",Config!$B$28)</f>
        <v/>
      </c>
      <c r="AF436" t="str">
        <f t="shared" si="38"/>
        <v/>
      </c>
      <c r="AG436" t="str">
        <f t="shared" si="39"/>
        <v/>
      </c>
      <c r="AH436" t="str">
        <f t="shared" si="40"/>
        <v/>
      </c>
      <c r="AI436" t="str">
        <f>IF($AG436="","",SUMIF($AG$2:$AG436,$AG436,$AH$2:$AH436))</f>
        <v/>
      </c>
      <c r="AJ436" t="str">
        <f>IF('TMP Paste'!$F436="","",IF('TMP Paste'!$B436="",$AJ435,'TMP Paste'!$B436))</f>
        <v/>
      </c>
      <c r="AK436" t="str">
        <f>IF('TMP Paste'!$F436="","",N('TMP Paste'!$G436))</f>
        <v/>
      </c>
      <c r="AL436" t="str">
        <f>IF('TMP Paste'!$F436="","",IF('TMP Paste'!$M436="",$AL435,'TMP Paste'!$M436))</f>
        <v/>
      </c>
      <c r="AM436" t="str">
        <f>IF('TMP Paste'!$F436="","",IF('TMP Paste'!$N436="",$AM435,'TMP Paste'!$N436))</f>
        <v/>
      </c>
      <c r="AN436" t="str">
        <f>IF('TMP Paste'!$F436="","",IF('TMP Paste'!$O436="",$AN435,'TMP Paste'!$O436))</f>
        <v/>
      </c>
      <c r="AO436" t="str">
        <f>IF('TMP Paste'!$F436="","",IF('TMP Paste'!$P436="",$AO435,'TMP Paste'!$P436))</f>
        <v/>
      </c>
      <c r="AP436" t="str">
        <f t="shared" si="41"/>
        <v/>
      </c>
      <c r="AQ436" t="str">
        <f>IF($AS436="","",TRIM(IF(COUNTIFS(Calc!$B$2:$B$1601,ROW()-1,Calc!$C$2:$C$1601,"&lt;1")&gt;0,"Ada PO tanpa Koli - cek TMP. ","")&amp;IF(OR($AU436="",$AU436&lt;=0),"Volume kosong/0 - dimensi dikosongkan. ","")&amp;IF(AND($AU436&lt;&gt;"",$AU436&gt;=1000000),"Volume &gt;= 1.000.000 cm3 (di luar aturan) - dimensi dikosongkan. ","")&amp;IF(LEN($R436)&gt;500,"R &gt; 500 karakter.","")))</f>
        <v/>
      </c>
      <c r="AS436" t="str">
        <f>IFERROR(MATCH(ROW()-1,Calc!$J$2:$J$1601,0),"")</f>
        <v/>
      </c>
      <c r="AT436" t="str">
        <f>IFERROR(MATCH(ROW()-1,Calc!$K$2:$K$1601,0),"")</f>
        <v/>
      </c>
      <c r="AU436" t="str">
        <f>IF($AS436="","",IFERROR(INDEX('TMP Paste'!$D$2:$D$1601,$AS436)*1000000/$AB436,""))</f>
        <v/>
      </c>
    </row>
    <row r="437" spans="1:47">
      <c r="A437" t="str">
        <f>IF($AS437="","",INDEX('TMP Paste'!$B$2:$B$1601,$AS437))</f>
        <v/>
      </c>
      <c r="B437" t="str">
        <f>IF($AS437="","",Config!$B$14)</f>
        <v/>
      </c>
      <c r="C437" t="str">
        <f>IF($AS437="","",Config!$B$15)</f>
        <v/>
      </c>
      <c r="D437" t="str">
        <f>IF($AS437="","",INDEX('TMP Paste'!$B$2:$B$1601,$AS437))</f>
        <v/>
      </c>
      <c r="E437" t="str">
        <f>IF($AS437="","",Config!$B$27)</f>
        <v/>
      </c>
      <c r="F437" t="str">
        <f>IF($AS437="","",Config!$B$9)</f>
        <v/>
      </c>
      <c r="G437" t="str">
        <f>IF($AS437="","",Config!$B$10)</f>
        <v/>
      </c>
      <c r="H437" t="str">
        <f>IF($AS437="","",Config!$B$11)</f>
        <v/>
      </c>
      <c r="I437" t="str">
        <f>IF($AS437="","",Config!$B$16)</f>
        <v/>
      </c>
      <c r="J437" t="str">
        <f>IF($AS437="","",INDEX('TMP Paste'!$A$2:$A$1601,$AS437))</f>
        <v/>
      </c>
      <c r="K437" t="str">
        <f>IF($AS437="","",INDEX('TMP Paste'!$L$2:$L$1601,$AS437))</f>
        <v/>
      </c>
      <c r="L437" t="str">
        <f>IF($AS437="","",INDEX('TMP Paste'!$I$2:$I$1601,$AS437))</f>
        <v/>
      </c>
      <c r="M437" t="str">
        <f>IF($AS437="","",Config!$B$16)</f>
        <v/>
      </c>
      <c r="N437" t="str">
        <f t="shared" si="36"/>
        <v/>
      </c>
      <c r="O437" t="str">
        <f>IF($AS437="","",INDEX('TMP Paste'!$K$2:$K$1601,$AS437))</f>
        <v/>
      </c>
      <c r="P437" t="str">
        <f t="shared" si="37"/>
        <v/>
      </c>
      <c r="Q437" t="str">
        <f>IF($AS437="","",INDEX('TMP Paste'!$J$2:$J$1601,$AS437))</f>
        <v/>
      </c>
      <c r="R437" t="str">
        <f>IF($AS437="","",Config!$B$24)</f>
        <v/>
      </c>
      <c r="S437" t="str">
        <f ca="1">IF($AS437="","",TEXT(Config!$B$4,"yyyy-mm-dd"))</f>
        <v/>
      </c>
      <c r="T437" t="str">
        <f>IF($AS437="","",Config!$B$17)</f>
        <v/>
      </c>
      <c r="U437" t="str">
        <f>IF($AS437="","",Config!$B$18)</f>
        <v/>
      </c>
      <c r="V437" t="str">
        <f>IF($AS437="","",Config!$B$19)</f>
        <v/>
      </c>
      <c r="W437" t="str">
        <f>IF($AS437="","",INDEX('TMP Paste'!$C$2:$C$1601,$AS437))</f>
        <v/>
      </c>
      <c r="X437" t="str">
        <f>IF($AS437="","",Config!$B$29)</f>
        <v/>
      </c>
      <c r="Y437" t="str">
        <f>IF($AT437="","",INDEX(Calc!$I$2:$I$1601,$AT437)&amp;" - "&amp;INDEX(Calc!$D$2:$D$1601,$AT437)&amp;" koli")</f>
        <v/>
      </c>
      <c r="Z437" t="str">
        <f>IF($AS437="","",Config!$B$21)</f>
        <v/>
      </c>
      <c r="AA437" t="str">
        <f>IF($AS437="","",Config!$B$22)</f>
        <v/>
      </c>
      <c r="AB437" t="str">
        <f>IF($AT437="","",INDEX(Calc!$D$2:$D$1601,$AT437))</f>
        <v/>
      </c>
      <c r="AC437" t="str">
        <f>IF($AT437="","",INDEX(Calc!$G$2:$G$1601,$AT437))</f>
        <v/>
      </c>
      <c r="AD437" t="str">
        <f>IF($AS437="","",Config!$B$23)</f>
        <v/>
      </c>
      <c r="AE437" t="str">
        <f>IF($AS437="","",Config!$B$28)</f>
        <v/>
      </c>
      <c r="AF437" t="str">
        <f t="shared" si="38"/>
        <v/>
      </c>
      <c r="AG437" t="str">
        <f t="shared" si="39"/>
        <v/>
      </c>
      <c r="AH437" t="str">
        <f t="shared" si="40"/>
        <v/>
      </c>
      <c r="AI437" t="str">
        <f>IF($AG437="","",SUMIF($AG$2:$AG437,$AG437,$AH$2:$AH437))</f>
        <v/>
      </c>
      <c r="AJ437" t="str">
        <f>IF('TMP Paste'!$F437="","",IF('TMP Paste'!$B437="",$AJ436,'TMP Paste'!$B437))</f>
        <v/>
      </c>
      <c r="AK437" t="str">
        <f>IF('TMP Paste'!$F437="","",N('TMP Paste'!$G437))</f>
        <v/>
      </c>
      <c r="AL437" t="str">
        <f>IF('TMP Paste'!$F437="","",IF('TMP Paste'!$M437="",$AL436,'TMP Paste'!$M437))</f>
        <v/>
      </c>
      <c r="AM437" t="str">
        <f>IF('TMP Paste'!$F437="","",IF('TMP Paste'!$N437="",$AM436,'TMP Paste'!$N437))</f>
        <v/>
      </c>
      <c r="AN437" t="str">
        <f>IF('TMP Paste'!$F437="","",IF('TMP Paste'!$O437="",$AN436,'TMP Paste'!$O437))</f>
        <v/>
      </c>
      <c r="AO437" t="str">
        <f>IF('TMP Paste'!$F437="","",IF('TMP Paste'!$P437="",$AO436,'TMP Paste'!$P437))</f>
        <v/>
      </c>
      <c r="AP437" t="str">
        <f t="shared" si="41"/>
        <v/>
      </c>
      <c r="AQ437" t="str">
        <f>IF($AS437="","",TRIM(IF(COUNTIFS(Calc!$B$2:$B$1601,ROW()-1,Calc!$C$2:$C$1601,"&lt;1")&gt;0,"Ada PO tanpa Koli - cek TMP. ","")&amp;IF(OR($AU437="",$AU437&lt;=0),"Volume kosong/0 - dimensi dikosongkan. ","")&amp;IF(AND($AU437&lt;&gt;"",$AU437&gt;=1000000),"Volume &gt;= 1.000.000 cm3 (di luar aturan) - dimensi dikosongkan. ","")&amp;IF(LEN($R437)&gt;500,"R &gt; 500 karakter.","")))</f>
        <v/>
      </c>
      <c r="AS437" t="str">
        <f>IFERROR(MATCH(ROW()-1,Calc!$J$2:$J$1601,0),"")</f>
        <v/>
      </c>
      <c r="AT437" t="str">
        <f>IFERROR(MATCH(ROW()-1,Calc!$K$2:$K$1601,0),"")</f>
        <v/>
      </c>
      <c r="AU437" t="str">
        <f>IF($AS437="","",IFERROR(INDEX('TMP Paste'!$D$2:$D$1601,$AS437)*1000000/$AB437,""))</f>
        <v/>
      </c>
    </row>
    <row r="438" spans="1:47">
      <c r="A438" t="str">
        <f>IF($AS438="","",INDEX('TMP Paste'!$B$2:$B$1601,$AS438))</f>
        <v/>
      </c>
      <c r="B438" t="str">
        <f>IF($AS438="","",Config!$B$14)</f>
        <v/>
      </c>
      <c r="C438" t="str">
        <f>IF($AS438="","",Config!$B$15)</f>
        <v/>
      </c>
      <c r="D438" t="str">
        <f>IF($AS438="","",INDEX('TMP Paste'!$B$2:$B$1601,$AS438))</f>
        <v/>
      </c>
      <c r="E438" t="str">
        <f>IF($AS438="","",Config!$B$27)</f>
        <v/>
      </c>
      <c r="F438" t="str">
        <f>IF($AS438="","",Config!$B$9)</f>
        <v/>
      </c>
      <c r="G438" t="str">
        <f>IF($AS438="","",Config!$B$10)</f>
        <v/>
      </c>
      <c r="H438" t="str">
        <f>IF($AS438="","",Config!$B$11)</f>
        <v/>
      </c>
      <c r="I438" t="str">
        <f>IF($AS438="","",Config!$B$16)</f>
        <v/>
      </c>
      <c r="J438" t="str">
        <f>IF($AS438="","",INDEX('TMP Paste'!$A$2:$A$1601,$AS438))</f>
        <v/>
      </c>
      <c r="K438" t="str">
        <f>IF($AS438="","",INDEX('TMP Paste'!$L$2:$L$1601,$AS438))</f>
        <v/>
      </c>
      <c r="L438" t="str">
        <f>IF($AS438="","",INDEX('TMP Paste'!$I$2:$I$1601,$AS438))</f>
        <v/>
      </c>
      <c r="M438" t="str">
        <f>IF($AS438="","",Config!$B$16)</f>
        <v/>
      </c>
      <c r="N438" t="str">
        <f t="shared" si="36"/>
        <v/>
      </c>
      <c r="O438" t="str">
        <f>IF($AS438="","",INDEX('TMP Paste'!$K$2:$K$1601,$AS438))</f>
        <v/>
      </c>
      <c r="P438" t="str">
        <f t="shared" si="37"/>
        <v/>
      </c>
      <c r="Q438" t="str">
        <f>IF($AS438="","",INDEX('TMP Paste'!$J$2:$J$1601,$AS438))</f>
        <v/>
      </c>
      <c r="R438" t="str">
        <f>IF($AS438="","",Config!$B$24)</f>
        <v/>
      </c>
      <c r="S438" t="str">
        <f ca="1">IF($AS438="","",TEXT(Config!$B$4,"yyyy-mm-dd"))</f>
        <v/>
      </c>
      <c r="T438" t="str">
        <f>IF($AS438="","",Config!$B$17)</f>
        <v/>
      </c>
      <c r="U438" t="str">
        <f>IF($AS438="","",Config!$B$18)</f>
        <v/>
      </c>
      <c r="V438" t="str">
        <f>IF($AS438="","",Config!$B$19)</f>
        <v/>
      </c>
      <c r="W438" t="str">
        <f>IF($AS438="","",INDEX('TMP Paste'!$C$2:$C$1601,$AS438))</f>
        <v/>
      </c>
      <c r="X438" t="str">
        <f>IF($AS438="","",Config!$B$29)</f>
        <v/>
      </c>
      <c r="Y438" t="str">
        <f>IF($AT438="","",INDEX(Calc!$I$2:$I$1601,$AT438)&amp;" - "&amp;INDEX(Calc!$D$2:$D$1601,$AT438)&amp;" koli")</f>
        <v/>
      </c>
      <c r="Z438" t="str">
        <f>IF($AS438="","",Config!$B$21)</f>
        <v/>
      </c>
      <c r="AA438" t="str">
        <f>IF($AS438="","",Config!$B$22)</f>
        <v/>
      </c>
      <c r="AB438" t="str">
        <f>IF($AT438="","",INDEX(Calc!$D$2:$D$1601,$AT438))</f>
        <v/>
      </c>
      <c r="AC438" t="str">
        <f>IF($AT438="","",INDEX(Calc!$G$2:$G$1601,$AT438))</f>
        <v/>
      </c>
      <c r="AD438" t="str">
        <f>IF($AS438="","",Config!$B$23)</f>
        <v/>
      </c>
      <c r="AE438" t="str">
        <f>IF($AS438="","",Config!$B$28)</f>
        <v/>
      </c>
      <c r="AF438" t="str">
        <f t="shared" si="38"/>
        <v/>
      </c>
      <c r="AG438" t="str">
        <f t="shared" si="39"/>
        <v/>
      </c>
      <c r="AH438" t="str">
        <f t="shared" si="40"/>
        <v/>
      </c>
      <c r="AI438" t="str">
        <f>IF($AG438="","",SUMIF($AG$2:$AG438,$AG438,$AH$2:$AH438))</f>
        <v/>
      </c>
      <c r="AJ438" t="str">
        <f>IF('TMP Paste'!$F438="","",IF('TMP Paste'!$B438="",$AJ437,'TMP Paste'!$B438))</f>
        <v/>
      </c>
      <c r="AK438" t="str">
        <f>IF('TMP Paste'!$F438="","",N('TMP Paste'!$G438))</f>
        <v/>
      </c>
      <c r="AL438" t="str">
        <f>IF('TMP Paste'!$F438="","",IF('TMP Paste'!$M438="",$AL437,'TMP Paste'!$M438))</f>
        <v/>
      </c>
      <c r="AM438" t="str">
        <f>IF('TMP Paste'!$F438="","",IF('TMP Paste'!$N438="",$AM437,'TMP Paste'!$N438))</f>
        <v/>
      </c>
      <c r="AN438" t="str">
        <f>IF('TMP Paste'!$F438="","",IF('TMP Paste'!$O438="",$AN437,'TMP Paste'!$O438))</f>
        <v/>
      </c>
      <c r="AO438" t="str">
        <f>IF('TMP Paste'!$F438="","",IF('TMP Paste'!$P438="",$AO437,'TMP Paste'!$P438))</f>
        <v/>
      </c>
      <c r="AP438" t="str">
        <f t="shared" si="41"/>
        <v/>
      </c>
      <c r="AQ438" t="str">
        <f>IF($AS438="","",TRIM(IF(COUNTIFS(Calc!$B$2:$B$1601,ROW()-1,Calc!$C$2:$C$1601,"&lt;1")&gt;0,"Ada PO tanpa Koli - cek TMP. ","")&amp;IF(OR($AU438="",$AU438&lt;=0),"Volume kosong/0 - dimensi dikosongkan. ","")&amp;IF(AND($AU438&lt;&gt;"",$AU438&gt;=1000000),"Volume &gt;= 1.000.000 cm3 (di luar aturan) - dimensi dikosongkan. ","")&amp;IF(LEN($R438)&gt;500,"R &gt; 500 karakter.","")))</f>
        <v/>
      </c>
      <c r="AS438" t="str">
        <f>IFERROR(MATCH(ROW()-1,Calc!$J$2:$J$1601,0),"")</f>
        <v/>
      </c>
      <c r="AT438" t="str">
        <f>IFERROR(MATCH(ROW()-1,Calc!$K$2:$K$1601,0),"")</f>
        <v/>
      </c>
      <c r="AU438" t="str">
        <f>IF($AS438="","",IFERROR(INDEX('TMP Paste'!$D$2:$D$1601,$AS438)*1000000/$AB438,""))</f>
        <v/>
      </c>
    </row>
    <row r="439" spans="1:47">
      <c r="A439" t="str">
        <f>IF($AS439="","",INDEX('TMP Paste'!$B$2:$B$1601,$AS439))</f>
        <v/>
      </c>
      <c r="B439" t="str">
        <f>IF($AS439="","",Config!$B$14)</f>
        <v/>
      </c>
      <c r="C439" t="str">
        <f>IF($AS439="","",Config!$B$15)</f>
        <v/>
      </c>
      <c r="D439" t="str">
        <f>IF($AS439="","",INDEX('TMP Paste'!$B$2:$B$1601,$AS439))</f>
        <v/>
      </c>
      <c r="E439" t="str">
        <f>IF($AS439="","",Config!$B$27)</f>
        <v/>
      </c>
      <c r="F439" t="str">
        <f>IF($AS439="","",Config!$B$9)</f>
        <v/>
      </c>
      <c r="G439" t="str">
        <f>IF($AS439="","",Config!$B$10)</f>
        <v/>
      </c>
      <c r="H439" t="str">
        <f>IF($AS439="","",Config!$B$11)</f>
        <v/>
      </c>
      <c r="I439" t="str">
        <f>IF($AS439="","",Config!$B$16)</f>
        <v/>
      </c>
      <c r="J439" t="str">
        <f>IF($AS439="","",INDEX('TMP Paste'!$A$2:$A$1601,$AS439))</f>
        <v/>
      </c>
      <c r="K439" t="str">
        <f>IF($AS439="","",INDEX('TMP Paste'!$L$2:$L$1601,$AS439))</f>
        <v/>
      </c>
      <c r="L439" t="str">
        <f>IF($AS439="","",INDEX('TMP Paste'!$I$2:$I$1601,$AS439))</f>
        <v/>
      </c>
      <c r="M439" t="str">
        <f>IF($AS439="","",Config!$B$16)</f>
        <v/>
      </c>
      <c r="N439" t="str">
        <f t="shared" si="36"/>
        <v/>
      </c>
      <c r="O439" t="str">
        <f>IF($AS439="","",INDEX('TMP Paste'!$K$2:$K$1601,$AS439))</f>
        <v/>
      </c>
      <c r="P439" t="str">
        <f t="shared" si="37"/>
        <v/>
      </c>
      <c r="Q439" t="str">
        <f>IF($AS439="","",INDEX('TMP Paste'!$J$2:$J$1601,$AS439))</f>
        <v/>
      </c>
      <c r="R439" t="str">
        <f>IF($AS439="","",Config!$B$24)</f>
        <v/>
      </c>
      <c r="S439" t="str">
        <f ca="1">IF($AS439="","",TEXT(Config!$B$4,"yyyy-mm-dd"))</f>
        <v/>
      </c>
      <c r="T439" t="str">
        <f>IF($AS439="","",Config!$B$17)</f>
        <v/>
      </c>
      <c r="U439" t="str">
        <f>IF($AS439="","",Config!$B$18)</f>
        <v/>
      </c>
      <c r="V439" t="str">
        <f>IF($AS439="","",Config!$B$19)</f>
        <v/>
      </c>
      <c r="W439" t="str">
        <f>IF($AS439="","",INDEX('TMP Paste'!$C$2:$C$1601,$AS439))</f>
        <v/>
      </c>
      <c r="X439" t="str">
        <f>IF($AS439="","",Config!$B$29)</f>
        <v/>
      </c>
      <c r="Y439" t="str">
        <f>IF($AT439="","",INDEX(Calc!$I$2:$I$1601,$AT439)&amp;" - "&amp;INDEX(Calc!$D$2:$D$1601,$AT439)&amp;" koli")</f>
        <v/>
      </c>
      <c r="Z439" t="str">
        <f>IF($AS439="","",Config!$B$21)</f>
        <v/>
      </c>
      <c r="AA439" t="str">
        <f>IF($AS439="","",Config!$B$22)</f>
        <v/>
      </c>
      <c r="AB439" t="str">
        <f>IF($AT439="","",INDEX(Calc!$D$2:$D$1601,$AT439))</f>
        <v/>
      </c>
      <c r="AC439" t="str">
        <f>IF($AT439="","",INDEX(Calc!$G$2:$G$1601,$AT439))</f>
        <v/>
      </c>
      <c r="AD439" t="str">
        <f>IF($AS439="","",Config!$B$23)</f>
        <v/>
      </c>
      <c r="AE439" t="str">
        <f>IF($AS439="","",Config!$B$28)</f>
        <v/>
      </c>
      <c r="AF439" t="str">
        <f t="shared" si="38"/>
        <v/>
      </c>
      <c r="AG439" t="str">
        <f t="shared" si="39"/>
        <v/>
      </c>
      <c r="AH439" t="str">
        <f t="shared" si="40"/>
        <v/>
      </c>
      <c r="AI439" t="str">
        <f>IF($AG439="","",SUMIF($AG$2:$AG439,$AG439,$AH$2:$AH439))</f>
        <v/>
      </c>
      <c r="AJ439" t="str">
        <f>IF('TMP Paste'!$F439="","",IF('TMP Paste'!$B439="",$AJ438,'TMP Paste'!$B439))</f>
        <v/>
      </c>
      <c r="AK439" t="str">
        <f>IF('TMP Paste'!$F439="","",N('TMP Paste'!$G439))</f>
        <v/>
      </c>
      <c r="AL439" t="str">
        <f>IF('TMP Paste'!$F439="","",IF('TMP Paste'!$M439="",$AL438,'TMP Paste'!$M439))</f>
        <v/>
      </c>
      <c r="AM439" t="str">
        <f>IF('TMP Paste'!$F439="","",IF('TMP Paste'!$N439="",$AM438,'TMP Paste'!$N439))</f>
        <v/>
      </c>
      <c r="AN439" t="str">
        <f>IF('TMP Paste'!$F439="","",IF('TMP Paste'!$O439="",$AN438,'TMP Paste'!$O439))</f>
        <v/>
      </c>
      <c r="AO439" t="str">
        <f>IF('TMP Paste'!$F439="","",IF('TMP Paste'!$P439="",$AO438,'TMP Paste'!$P439))</f>
        <v/>
      </c>
      <c r="AP439" t="str">
        <f t="shared" si="41"/>
        <v/>
      </c>
      <c r="AQ439" t="str">
        <f>IF($AS439="","",TRIM(IF(COUNTIFS(Calc!$B$2:$B$1601,ROW()-1,Calc!$C$2:$C$1601,"&lt;1")&gt;0,"Ada PO tanpa Koli - cek TMP. ","")&amp;IF(OR($AU439="",$AU439&lt;=0),"Volume kosong/0 - dimensi dikosongkan. ","")&amp;IF(AND($AU439&lt;&gt;"",$AU439&gt;=1000000),"Volume &gt;= 1.000.000 cm3 (di luar aturan) - dimensi dikosongkan. ","")&amp;IF(LEN($R439)&gt;500,"R &gt; 500 karakter.","")))</f>
        <v/>
      </c>
      <c r="AS439" t="str">
        <f>IFERROR(MATCH(ROW()-1,Calc!$J$2:$J$1601,0),"")</f>
        <v/>
      </c>
      <c r="AT439" t="str">
        <f>IFERROR(MATCH(ROW()-1,Calc!$K$2:$K$1601,0),"")</f>
        <v/>
      </c>
      <c r="AU439" t="str">
        <f>IF($AS439="","",IFERROR(INDEX('TMP Paste'!$D$2:$D$1601,$AS439)*1000000/$AB439,""))</f>
        <v/>
      </c>
    </row>
    <row r="440" spans="1:47">
      <c r="A440" t="str">
        <f>IF($AS440="","",INDEX('TMP Paste'!$B$2:$B$1601,$AS440))</f>
        <v/>
      </c>
      <c r="B440" t="str">
        <f>IF($AS440="","",Config!$B$14)</f>
        <v/>
      </c>
      <c r="C440" t="str">
        <f>IF($AS440="","",Config!$B$15)</f>
        <v/>
      </c>
      <c r="D440" t="str">
        <f>IF($AS440="","",INDEX('TMP Paste'!$B$2:$B$1601,$AS440))</f>
        <v/>
      </c>
      <c r="E440" t="str">
        <f>IF($AS440="","",Config!$B$27)</f>
        <v/>
      </c>
      <c r="F440" t="str">
        <f>IF($AS440="","",Config!$B$9)</f>
        <v/>
      </c>
      <c r="G440" t="str">
        <f>IF($AS440="","",Config!$B$10)</f>
        <v/>
      </c>
      <c r="H440" t="str">
        <f>IF($AS440="","",Config!$B$11)</f>
        <v/>
      </c>
      <c r="I440" t="str">
        <f>IF($AS440="","",Config!$B$16)</f>
        <v/>
      </c>
      <c r="J440" t="str">
        <f>IF($AS440="","",INDEX('TMP Paste'!$A$2:$A$1601,$AS440))</f>
        <v/>
      </c>
      <c r="K440" t="str">
        <f>IF($AS440="","",INDEX('TMP Paste'!$L$2:$L$1601,$AS440))</f>
        <v/>
      </c>
      <c r="L440" t="str">
        <f>IF($AS440="","",INDEX('TMP Paste'!$I$2:$I$1601,$AS440))</f>
        <v/>
      </c>
      <c r="M440" t="str">
        <f>IF($AS440="","",Config!$B$16)</f>
        <v/>
      </c>
      <c r="N440" t="str">
        <f t="shared" si="36"/>
        <v/>
      </c>
      <c r="O440" t="str">
        <f>IF($AS440="","",INDEX('TMP Paste'!$K$2:$K$1601,$AS440))</f>
        <v/>
      </c>
      <c r="P440" t="str">
        <f t="shared" si="37"/>
        <v/>
      </c>
      <c r="Q440" t="str">
        <f>IF($AS440="","",INDEX('TMP Paste'!$J$2:$J$1601,$AS440))</f>
        <v/>
      </c>
      <c r="R440" t="str">
        <f>IF($AS440="","",Config!$B$24)</f>
        <v/>
      </c>
      <c r="S440" t="str">
        <f ca="1">IF($AS440="","",TEXT(Config!$B$4,"yyyy-mm-dd"))</f>
        <v/>
      </c>
      <c r="T440" t="str">
        <f>IF($AS440="","",Config!$B$17)</f>
        <v/>
      </c>
      <c r="U440" t="str">
        <f>IF($AS440="","",Config!$B$18)</f>
        <v/>
      </c>
      <c r="V440" t="str">
        <f>IF($AS440="","",Config!$B$19)</f>
        <v/>
      </c>
      <c r="W440" t="str">
        <f>IF($AS440="","",INDEX('TMP Paste'!$C$2:$C$1601,$AS440))</f>
        <v/>
      </c>
      <c r="X440" t="str">
        <f>IF($AS440="","",Config!$B$29)</f>
        <v/>
      </c>
      <c r="Y440" t="str">
        <f>IF($AT440="","",INDEX(Calc!$I$2:$I$1601,$AT440)&amp;" - "&amp;INDEX(Calc!$D$2:$D$1601,$AT440)&amp;" koli")</f>
        <v/>
      </c>
      <c r="Z440" t="str">
        <f>IF($AS440="","",Config!$B$21)</f>
        <v/>
      </c>
      <c r="AA440" t="str">
        <f>IF($AS440="","",Config!$B$22)</f>
        <v/>
      </c>
      <c r="AB440" t="str">
        <f>IF($AT440="","",INDEX(Calc!$D$2:$D$1601,$AT440))</f>
        <v/>
      </c>
      <c r="AC440" t="str">
        <f>IF($AT440="","",INDEX(Calc!$G$2:$G$1601,$AT440))</f>
        <v/>
      </c>
      <c r="AD440" t="str">
        <f>IF($AS440="","",Config!$B$23)</f>
        <v/>
      </c>
      <c r="AE440" t="str">
        <f>IF($AS440="","",Config!$B$28)</f>
        <v/>
      </c>
      <c r="AF440" t="str">
        <f t="shared" si="38"/>
        <v/>
      </c>
      <c r="AG440" t="str">
        <f t="shared" si="39"/>
        <v/>
      </c>
      <c r="AH440" t="str">
        <f t="shared" si="40"/>
        <v/>
      </c>
      <c r="AI440" t="str">
        <f>IF($AG440="","",SUMIF($AG$2:$AG440,$AG440,$AH$2:$AH440))</f>
        <v/>
      </c>
      <c r="AJ440" t="str">
        <f>IF('TMP Paste'!$F440="","",IF('TMP Paste'!$B440="",$AJ439,'TMP Paste'!$B440))</f>
        <v/>
      </c>
      <c r="AK440" t="str">
        <f>IF('TMP Paste'!$F440="","",N('TMP Paste'!$G440))</f>
        <v/>
      </c>
      <c r="AL440" t="str">
        <f>IF('TMP Paste'!$F440="","",IF('TMP Paste'!$M440="",$AL439,'TMP Paste'!$M440))</f>
        <v/>
      </c>
      <c r="AM440" t="str">
        <f>IF('TMP Paste'!$F440="","",IF('TMP Paste'!$N440="",$AM439,'TMP Paste'!$N440))</f>
        <v/>
      </c>
      <c r="AN440" t="str">
        <f>IF('TMP Paste'!$F440="","",IF('TMP Paste'!$O440="",$AN439,'TMP Paste'!$O440))</f>
        <v/>
      </c>
      <c r="AO440" t="str">
        <f>IF('TMP Paste'!$F440="","",IF('TMP Paste'!$P440="",$AO439,'TMP Paste'!$P440))</f>
        <v/>
      </c>
      <c r="AP440" t="str">
        <f t="shared" si="41"/>
        <v/>
      </c>
      <c r="AQ440" t="str">
        <f>IF($AS440="","",TRIM(IF(COUNTIFS(Calc!$B$2:$B$1601,ROW()-1,Calc!$C$2:$C$1601,"&lt;1")&gt;0,"Ada PO tanpa Koli - cek TMP. ","")&amp;IF(OR($AU440="",$AU440&lt;=0),"Volume kosong/0 - dimensi dikosongkan. ","")&amp;IF(AND($AU440&lt;&gt;"",$AU440&gt;=1000000),"Volume &gt;= 1.000.000 cm3 (di luar aturan) - dimensi dikosongkan. ","")&amp;IF(LEN($R440)&gt;500,"R &gt; 500 karakter.","")))</f>
        <v/>
      </c>
      <c r="AS440" t="str">
        <f>IFERROR(MATCH(ROW()-1,Calc!$J$2:$J$1601,0),"")</f>
        <v/>
      </c>
      <c r="AT440" t="str">
        <f>IFERROR(MATCH(ROW()-1,Calc!$K$2:$K$1601,0),"")</f>
        <v/>
      </c>
      <c r="AU440" t="str">
        <f>IF($AS440="","",IFERROR(INDEX('TMP Paste'!$D$2:$D$1601,$AS440)*1000000/$AB440,""))</f>
        <v/>
      </c>
    </row>
    <row r="441" spans="1:47">
      <c r="A441" t="str">
        <f>IF($AS441="","",INDEX('TMP Paste'!$B$2:$B$1601,$AS441))</f>
        <v/>
      </c>
      <c r="B441" t="str">
        <f>IF($AS441="","",Config!$B$14)</f>
        <v/>
      </c>
      <c r="C441" t="str">
        <f>IF($AS441="","",Config!$B$15)</f>
        <v/>
      </c>
      <c r="D441" t="str">
        <f>IF($AS441="","",INDEX('TMP Paste'!$B$2:$B$1601,$AS441))</f>
        <v/>
      </c>
      <c r="E441" t="str">
        <f>IF($AS441="","",Config!$B$27)</f>
        <v/>
      </c>
      <c r="F441" t="str">
        <f>IF($AS441="","",Config!$B$9)</f>
        <v/>
      </c>
      <c r="G441" t="str">
        <f>IF($AS441="","",Config!$B$10)</f>
        <v/>
      </c>
      <c r="H441" t="str">
        <f>IF($AS441="","",Config!$B$11)</f>
        <v/>
      </c>
      <c r="I441" t="str">
        <f>IF($AS441="","",Config!$B$16)</f>
        <v/>
      </c>
      <c r="J441" t="str">
        <f>IF($AS441="","",INDEX('TMP Paste'!$A$2:$A$1601,$AS441))</f>
        <v/>
      </c>
      <c r="K441" t="str">
        <f>IF($AS441="","",INDEX('TMP Paste'!$L$2:$L$1601,$AS441))</f>
        <v/>
      </c>
      <c r="L441" t="str">
        <f>IF($AS441="","",INDEX('TMP Paste'!$I$2:$I$1601,$AS441))</f>
        <v/>
      </c>
      <c r="M441" t="str">
        <f>IF($AS441="","",Config!$B$16)</f>
        <v/>
      </c>
      <c r="N441" t="str">
        <f t="shared" si="36"/>
        <v/>
      </c>
      <c r="O441" t="str">
        <f>IF($AS441="","",INDEX('TMP Paste'!$K$2:$K$1601,$AS441))</f>
        <v/>
      </c>
      <c r="P441" t="str">
        <f t="shared" si="37"/>
        <v/>
      </c>
      <c r="Q441" t="str">
        <f>IF($AS441="","",INDEX('TMP Paste'!$J$2:$J$1601,$AS441))</f>
        <v/>
      </c>
      <c r="R441" t="str">
        <f>IF($AS441="","",Config!$B$24)</f>
        <v/>
      </c>
      <c r="S441" t="str">
        <f ca="1">IF($AS441="","",TEXT(Config!$B$4,"yyyy-mm-dd"))</f>
        <v/>
      </c>
      <c r="T441" t="str">
        <f>IF($AS441="","",Config!$B$17)</f>
        <v/>
      </c>
      <c r="U441" t="str">
        <f>IF($AS441="","",Config!$B$18)</f>
        <v/>
      </c>
      <c r="V441" t="str">
        <f>IF($AS441="","",Config!$B$19)</f>
        <v/>
      </c>
      <c r="W441" t="str">
        <f>IF($AS441="","",INDEX('TMP Paste'!$C$2:$C$1601,$AS441))</f>
        <v/>
      </c>
      <c r="X441" t="str">
        <f>IF($AS441="","",Config!$B$29)</f>
        <v/>
      </c>
      <c r="Y441" t="str">
        <f>IF($AT441="","",INDEX(Calc!$I$2:$I$1601,$AT441)&amp;" - "&amp;INDEX(Calc!$D$2:$D$1601,$AT441)&amp;" koli")</f>
        <v/>
      </c>
      <c r="Z441" t="str">
        <f>IF($AS441="","",Config!$B$21)</f>
        <v/>
      </c>
      <c r="AA441" t="str">
        <f>IF($AS441="","",Config!$B$22)</f>
        <v/>
      </c>
      <c r="AB441" t="str">
        <f>IF($AT441="","",INDEX(Calc!$D$2:$D$1601,$AT441))</f>
        <v/>
      </c>
      <c r="AC441" t="str">
        <f>IF($AT441="","",INDEX(Calc!$G$2:$G$1601,$AT441))</f>
        <v/>
      </c>
      <c r="AD441" t="str">
        <f>IF($AS441="","",Config!$B$23)</f>
        <v/>
      </c>
      <c r="AE441" t="str">
        <f>IF($AS441="","",Config!$B$28)</f>
        <v/>
      </c>
      <c r="AF441" t="str">
        <f t="shared" si="38"/>
        <v/>
      </c>
      <c r="AG441" t="str">
        <f t="shared" si="39"/>
        <v/>
      </c>
      <c r="AH441" t="str">
        <f t="shared" si="40"/>
        <v/>
      </c>
      <c r="AI441" t="str">
        <f>IF($AG441="","",SUMIF($AG$2:$AG441,$AG441,$AH$2:$AH441))</f>
        <v/>
      </c>
      <c r="AJ441" t="str">
        <f>IF('TMP Paste'!$F441="","",IF('TMP Paste'!$B441="",$AJ440,'TMP Paste'!$B441))</f>
        <v/>
      </c>
      <c r="AK441" t="str">
        <f>IF('TMP Paste'!$F441="","",N('TMP Paste'!$G441))</f>
        <v/>
      </c>
      <c r="AL441" t="str">
        <f>IF('TMP Paste'!$F441="","",IF('TMP Paste'!$M441="",$AL440,'TMP Paste'!$M441))</f>
        <v/>
      </c>
      <c r="AM441" t="str">
        <f>IF('TMP Paste'!$F441="","",IF('TMP Paste'!$N441="",$AM440,'TMP Paste'!$N441))</f>
        <v/>
      </c>
      <c r="AN441" t="str">
        <f>IF('TMP Paste'!$F441="","",IF('TMP Paste'!$O441="",$AN440,'TMP Paste'!$O441))</f>
        <v/>
      </c>
      <c r="AO441" t="str">
        <f>IF('TMP Paste'!$F441="","",IF('TMP Paste'!$P441="",$AO440,'TMP Paste'!$P441))</f>
        <v/>
      </c>
      <c r="AP441" t="str">
        <f t="shared" si="41"/>
        <v/>
      </c>
      <c r="AQ441" t="str">
        <f>IF($AS441="","",TRIM(IF(COUNTIFS(Calc!$B$2:$B$1601,ROW()-1,Calc!$C$2:$C$1601,"&lt;1")&gt;0,"Ada PO tanpa Koli - cek TMP. ","")&amp;IF(OR($AU441="",$AU441&lt;=0),"Volume kosong/0 - dimensi dikosongkan. ","")&amp;IF(AND($AU441&lt;&gt;"",$AU441&gt;=1000000),"Volume &gt;= 1.000.000 cm3 (di luar aturan) - dimensi dikosongkan. ","")&amp;IF(LEN($R441)&gt;500,"R &gt; 500 karakter.","")))</f>
        <v/>
      </c>
      <c r="AS441" t="str">
        <f>IFERROR(MATCH(ROW()-1,Calc!$J$2:$J$1601,0),"")</f>
        <v/>
      </c>
      <c r="AT441" t="str">
        <f>IFERROR(MATCH(ROW()-1,Calc!$K$2:$K$1601,0),"")</f>
        <v/>
      </c>
      <c r="AU441" t="str">
        <f>IF($AS441="","",IFERROR(INDEX('TMP Paste'!$D$2:$D$1601,$AS441)*1000000/$AB441,""))</f>
        <v/>
      </c>
    </row>
    <row r="442" spans="1:47">
      <c r="A442" t="str">
        <f>IF($AS442="","",INDEX('TMP Paste'!$B$2:$B$1601,$AS442))</f>
        <v/>
      </c>
      <c r="B442" t="str">
        <f>IF($AS442="","",Config!$B$14)</f>
        <v/>
      </c>
      <c r="C442" t="str">
        <f>IF($AS442="","",Config!$B$15)</f>
        <v/>
      </c>
      <c r="D442" t="str">
        <f>IF($AS442="","",INDEX('TMP Paste'!$B$2:$B$1601,$AS442))</f>
        <v/>
      </c>
      <c r="E442" t="str">
        <f>IF($AS442="","",Config!$B$27)</f>
        <v/>
      </c>
      <c r="F442" t="str">
        <f>IF($AS442="","",Config!$B$9)</f>
        <v/>
      </c>
      <c r="G442" t="str">
        <f>IF($AS442="","",Config!$B$10)</f>
        <v/>
      </c>
      <c r="H442" t="str">
        <f>IF($AS442="","",Config!$B$11)</f>
        <v/>
      </c>
      <c r="I442" t="str">
        <f>IF($AS442="","",Config!$B$16)</f>
        <v/>
      </c>
      <c r="J442" t="str">
        <f>IF($AS442="","",INDEX('TMP Paste'!$A$2:$A$1601,$AS442))</f>
        <v/>
      </c>
      <c r="K442" t="str">
        <f>IF($AS442="","",INDEX('TMP Paste'!$L$2:$L$1601,$AS442))</f>
        <v/>
      </c>
      <c r="L442" t="str">
        <f>IF($AS442="","",INDEX('TMP Paste'!$I$2:$I$1601,$AS442))</f>
        <v/>
      </c>
      <c r="M442" t="str">
        <f>IF($AS442="","",Config!$B$16)</f>
        <v/>
      </c>
      <c r="N442" t="str">
        <f t="shared" si="36"/>
        <v/>
      </c>
      <c r="O442" t="str">
        <f>IF($AS442="","",INDEX('TMP Paste'!$K$2:$K$1601,$AS442))</f>
        <v/>
      </c>
      <c r="P442" t="str">
        <f t="shared" si="37"/>
        <v/>
      </c>
      <c r="Q442" t="str">
        <f>IF($AS442="","",INDEX('TMP Paste'!$J$2:$J$1601,$AS442))</f>
        <v/>
      </c>
      <c r="R442" t="str">
        <f>IF($AS442="","",Config!$B$24)</f>
        <v/>
      </c>
      <c r="S442" t="str">
        <f ca="1">IF($AS442="","",TEXT(Config!$B$4,"yyyy-mm-dd"))</f>
        <v/>
      </c>
      <c r="T442" t="str">
        <f>IF($AS442="","",Config!$B$17)</f>
        <v/>
      </c>
      <c r="U442" t="str">
        <f>IF($AS442="","",Config!$B$18)</f>
        <v/>
      </c>
      <c r="V442" t="str">
        <f>IF($AS442="","",Config!$B$19)</f>
        <v/>
      </c>
      <c r="W442" t="str">
        <f>IF($AS442="","",INDEX('TMP Paste'!$C$2:$C$1601,$AS442))</f>
        <v/>
      </c>
      <c r="X442" t="str">
        <f>IF($AS442="","",Config!$B$29)</f>
        <v/>
      </c>
      <c r="Y442" t="str">
        <f>IF($AT442="","",INDEX(Calc!$I$2:$I$1601,$AT442)&amp;" - "&amp;INDEX(Calc!$D$2:$D$1601,$AT442)&amp;" koli")</f>
        <v/>
      </c>
      <c r="Z442" t="str">
        <f>IF($AS442="","",Config!$B$21)</f>
        <v/>
      </c>
      <c r="AA442" t="str">
        <f>IF($AS442="","",Config!$B$22)</f>
        <v/>
      </c>
      <c r="AB442" t="str">
        <f>IF($AT442="","",INDEX(Calc!$D$2:$D$1601,$AT442))</f>
        <v/>
      </c>
      <c r="AC442" t="str">
        <f>IF($AT442="","",INDEX(Calc!$G$2:$G$1601,$AT442))</f>
        <v/>
      </c>
      <c r="AD442" t="str">
        <f>IF($AS442="","",Config!$B$23)</f>
        <v/>
      </c>
      <c r="AE442" t="str">
        <f>IF($AS442="","",Config!$B$28)</f>
        <v/>
      </c>
      <c r="AF442" t="str">
        <f t="shared" si="38"/>
        <v/>
      </c>
      <c r="AG442" t="str">
        <f t="shared" si="39"/>
        <v/>
      </c>
      <c r="AH442" t="str">
        <f t="shared" si="40"/>
        <v/>
      </c>
      <c r="AI442" t="str">
        <f>IF($AG442="","",SUMIF($AG$2:$AG442,$AG442,$AH$2:$AH442))</f>
        <v/>
      </c>
      <c r="AJ442" t="str">
        <f>IF('TMP Paste'!$F442="","",IF('TMP Paste'!$B442="",$AJ441,'TMP Paste'!$B442))</f>
        <v/>
      </c>
      <c r="AK442" t="str">
        <f>IF('TMP Paste'!$F442="","",N('TMP Paste'!$G442))</f>
        <v/>
      </c>
      <c r="AL442" t="str">
        <f>IF('TMP Paste'!$F442="","",IF('TMP Paste'!$M442="",$AL441,'TMP Paste'!$M442))</f>
        <v/>
      </c>
      <c r="AM442" t="str">
        <f>IF('TMP Paste'!$F442="","",IF('TMP Paste'!$N442="",$AM441,'TMP Paste'!$N442))</f>
        <v/>
      </c>
      <c r="AN442" t="str">
        <f>IF('TMP Paste'!$F442="","",IF('TMP Paste'!$O442="",$AN441,'TMP Paste'!$O442))</f>
        <v/>
      </c>
      <c r="AO442" t="str">
        <f>IF('TMP Paste'!$F442="","",IF('TMP Paste'!$P442="",$AO441,'TMP Paste'!$P442))</f>
        <v/>
      </c>
      <c r="AP442" t="str">
        <f t="shared" si="41"/>
        <v/>
      </c>
      <c r="AQ442" t="str">
        <f>IF($AS442="","",TRIM(IF(COUNTIFS(Calc!$B$2:$B$1601,ROW()-1,Calc!$C$2:$C$1601,"&lt;1")&gt;0,"Ada PO tanpa Koli - cek TMP. ","")&amp;IF(OR($AU442="",$AU442&lt;=0),"Volume kosong/0 - dimensi dikosongkan. ","")&amp;IF(AND($AU442&lt;&gt;"",$AU442&gt;=1000000),"Volume &gt;= 1.000.000 cm3 (di luar aturan) - dimensi dikosongkan. ","")&amp;IF(LEN($R442)&gt;500,"R &gt; 500 karakter.","")))</f>
        <v/>
      </c>
      <c r="AS442" t="str">
        <f>IFERROR(MATCH(ROW()-1,Calc!$J$2:$J$1601,0),"")</f>
        <v/>
      </c>
      <c r="AT442" t="str">
        <f>IFERROR(MATCH(ROW()-1,Calc!$K$2:$K$1601,0),"")</f>
        <v/>
      </c>
      <c r="AU442" t="str">
        <f>IF($AS442="","",IFERROR(INDEX('TMP Paste'!$D$2:$D$1601,$AS442)*1000000/$AB442,""))</f>
        <v/>
      </c>
    </row>
    <row r="443" spans="1:47">
      <c r="A443" t="str">
        <f>IF($AS443="","",INDEX('TMP Paste'!$B$2:$B$1601,$AS443))</f>
        <v/>
      </c>
      <c r="B443" t="str">
        <f>IF($AS443="","",Config!$B$14)</f>
        <v/>
      </c>
      <c r="C443" t="str">
        <f>IF($AS443="","",Config!$B$15)</f>
        <v/>
      </c>
      <c r="D443" t="str">
        <f>IF($AS443="","",INDEX('TMP Paste'!$B$2:$B$1601,$AS443))</f>
        <v/>
      </c>
      <c r="E443" t="str">
        <f>IF($AS443="","",Config!$B$27)</f>
        <v/>
      </c>
      <c r="F443" t="str">
        <f>IF($AS443="","",Config!$B$9)</f>
        <v/>
      </c>
      <c r="G443" t="str">
        <f>IF($AS443="","",Config!$B$10)</f>
        <v/>
      </c>
      <c r="H443" t="str">
        <f>IF($AS443="","",Config!$B$11)</f>
        <v/>
      </c>
      <c r="I443" t="str">
        <f>IF($AS443="","",Config!$B$16)</f>
        <v/>
      </c>
      <c r="J443" t="str">
        <f>IF($AS443="","",INDEX('TMP Paste'!$A$2:$A$1601,$AS443))</f>
        <v/>
      </c>
      <c r="K443" t="str">
        <f>IF($AS443="","",INDEX('TMP Paste'!$L$2:$L$1601,$AS443))</f>
        <v/>
      </c>
      <c r="L443" t="str">
        <f>IF($AS443="","",INDEX('TMP Paste'!$I$2:$I$1601,$AS443))</f>
        <v/>
      </c>
      <c r="M443" t="str">
        <f>IF($AS443="","",Config!$B$16)</f>
        <v/>
      </c>
      <c r="N443" t="str">
        <f t="shared" si="36"/>
        <v/>
      </c>
      <c r="O443" t="str">
        <f>IF($AS443="","",INDEX('TMP Paste'!$K$2:$K$1601,$AS443))</f>
        <v/>
      </c>
      <c r="P443" t="str">
        <f t="shared" si="37"/>
        <v/>
      </c>
      <c r="Q443" t="str">
        <f>IF($AS443="","",INDEX('TMP Paste'!$J$2:$J$1601,$AS443))</f>
        <v/>
      </c>
      <c r="R443" t="str">
        <f>IF($AS443="","",Config!$B$24)</f>
        <v/>
      </c>
      <c r="S443" t="str">
        <f ca="1">IF($AS443="","",TEXT(Config!$B$4,"yyyy-mm-dd"))</f>
        <v/>
      </c>
      <c r="T443" t="str">
        <f>IF($AS443="","",Config!$B$17)</f>
        <v/>
      </c>
      <c r="U443" t="str">
        <f>IF($AS443="","",Config!$B$18)</f>
        <v/>
      </c>
      <c r="V443" t="str">
        <f>IF($AS443="","",Config!$B$19)</f>
        <v/>
      </c>
      <c r="W443" t="str">
        <f>IF($AS443="","",INDEX('TMP Paste'!$C$2:$C$1601,$AS443))</f>
        <v/>
      </c>
      <c r="X443" t="str">
        <f>IF($AS443="","",Config!$B$29)</f>
        <v/>
      </c>
      <c r="Y443" t="str">
        <f>IF($AT443="","",INDEX(Calc!$I$2:$I$1601,$AT443)&amp;" - "&amp;INDEX(Calc!$D$2:$D$1601,$AT443)&amp;" koli")</f>
        <v/>
      </c>
      <c r="Z443" t="str">
        <f>IF($AS443="","",Config!$B$21)</f>
        <v/>
      </c>
      <c r="AA443" t="str">
        <f>IF($AS443="","",Config!$B$22)</f>
        <v/>
      </c>
      <c r="AB443" t="str">
        <f>IF($AT443="","",INDEX(Calc!$D$2:$D$1601,$AT443))</f>
        <v/>
      </c>
      <c r="AC443" t="str">
        <f>IF($AT443="","",INDEX(Calc!$G$2:$G$1601,$AT443))</f>
        <v/>
      </c>
      <c r="AD443" t="str">
        <f>IF($AS443="","",Config!$B$23)</f>
        <v/>
      </c>
      <c r="AE443" t="str">
        <f>IF($AS443="","",Config!$B$28)</f>
        <v/>
      </c>
      <c r="AF443" t="str">
        <f t="shared" si="38"/>
        <v/>
      </c>
      <c r="AG443" t="str">
        <f t="shared" si="39"/>
        <v/>
      </c>
      <c r="AH443" t="str">
        <f t="shared" si="40"/>
        <v/>
      </c>
      <c r="AI443" t="str">
        <f>IF($AG443="","",SUMIF($AG$2:$AG443,$AG443,$AH$2:$AH443))</f>
        <v/>
      </c>
      <c r="AJ443" t="str">
        <f>IF('TMP Paste'!$F443="","",IF('TMP Paste'!$B443="",$AJ442,'TMP Paste'!$B443))</f>
        <v/>
      </c>
      <c r="AK443" t="str">
        <f>IF('TMP Paste'!$F443="","",N('TMP Paste'!$G443))</f>
        <v/>
      </c>
      <c r="AL443" t="str">
        <f>IF('TMP Paste'!$F443="","",IF('TMP Paste'!$M443="",$AL442,'TMP Paste'!$M443))</f>
        <v/>
      </c>
      <c r="AM443" t="str">
        <f>IF('TMP Paste'!$F443="","",IF('TMP Paste'!$N443="",$AM442,'TMP Paste'!$N443))</f>
        <v/>
      </c>
      <c r="AN443" t="str">
        <f>IF('TMP Paste'!$F443="","",IF('TMP Paste'!$O443="",$AN442,'TMP Paste'!$O443))</f>
        <v/>
      </c>
      <c r="AO443" t="str">
        <f>IF('TMP Paste'!$F443="","",IF('TMP Paste'!$P443="",$AO442,'TMP Paste'!$P443))</f>
        <v/>
      </c>
      <c r="AP443" t="str">
        <f t="shared" si="41"/>
        <v/>
      </c>
      <c r="AQ443" t="str">
        <f>IF($AS443="","",TRIM(IF(COUNTIFS(Calc!$B$2:$B$1601,ROW()-1,Calc!$C$2:$C$1601,"&lt;1")&gt;0,"Ada PO tanpa Koli - cek TMP. ","")&amp;IF(OR($AU443="",$AU443&lt;=0),"Volume kosong/0 - dimensi dikosongkan. ","")&amp;IF(AND($AU443&lt;&gt;"",$AU443&gt;=1000000),"Volume &gt;= 1.000.000 cm3 (di luar aturan) - dimensi dikosongkan. ","")&amp;IF(LEN($R443)&gt;500,"R &gt; 500 karakter.","")))</f>
        <v/>
      </c>
      <c r="AS443" t="str">
        <f>IFERROR(MATCH(ROW()-1,Calc!$J$2:$J$1601,0),"")</f>
        <v/>
      </c>
      <c r="AT443" t="str">
        <f>IFERROR(MATCH(ROW()-1,Calc!$K$2:$K$1601,0),"")</f>
        <v/>
      </c>
      <c r="AU443" t="str">
        <f>IF($AS443="","",IFERROR(INDEX('TMP Paste'!$D$2:$D$1601,$AS443)*1000000/$AB443,""))</f>
        <v/>
      </c>
    </row>
    <row r="444" spans="1:47">
      <c r="A444" t="str">
        <f>IF($AS444="","",INDEX('TMP Paste'!$B$2:$B$1601,$AS444))</f>
        <v/>
      </c>
      <c r="B444" t="str">
        <f>IF($AS444="","",Config!$B$14)</f>
        <v/>
      </c>
      <c r="C444" t="str">
        <f>IF($AS444="","",Config!$B$15)</f>
        <v/>
      </c>
      <c r="D444" t="str">
        <f>IF($AS444="","",INDEX('TMP Paste'!$B$2:$B$1601,$AS444))</f>
        <v/>
      </c>
      <c r="E444" t="str">
        <f>IF($AS444="","",Config!$B$27)</f>
        <v/>
      </c>
      <c r="F444" t="str">
        <f>IF($AS444="","",Config!$B$9)</f>
        <v/>
      </c>
      <c r="G444" t="str">
        <f>IF($AS444="","",Config!$B$10)</f>
        <v/>
      </c>
      <c r="H444" t="str">
        <f>IF($AS444="","",Config!$B$11)</f>
        <v/>
      </c>
      <c r="I444" t="str">
        <f>IF($AS444="","",Config!$B$16)</f>
        <v/>
      </c>
      <c r="J444" t="str">
        <f>IF($AS444="","",INDEX('TMP Paste'!$A$2:$A$1601,$AS444))</f>
        <v/>
      </c>
      <c r="K444" t="str">
        <f>IF($AS444="","",INDEX('TMP Paste'!$L$2:$L$1601,$AS444))</f>
        <v/>
      </c>
      <c r="L444" t="str">
        <f>IF($AS444="","",INDEX('TMP Paste'!$I$2:$I$1601,$AS444))</f>
        <v/>
      </c>
      <c r="M444" t="str">
        <f>IF($AS444="","",Config!$B$16)</f>
        <v/>
      </c>
      <c r="N444" t="str">
        <f t="shared" si="36"/>
        <v/>
      </c>
      <c r="O444" t="str">
        <f>IF($AS444="","",INDEX('TMP Paste'!$K$2:$K$1601,$AS444))</f>
        <v/>
      </c>
      <c r="P444" t="str">
        <f t="shared" si="37"/>
        <v/>
      </c>
      <c r="Q444" t="str">
        <f>IF($AS444="","",INDEX('TMP Paste'!$J$2:$J$1601,$AS444))</f>
        <v/>
      </c>
      <c r="R444" t="str">
        <f>IF($AS444="","",Config!$B$24)</f>
        <v/>
      </c>
      <c r="S444" t="str">
        <f ca="1">IF($AS444="","",TEXT(Config!$B$4,"yyyy-mm-dd"))</f>
        <v/>
      </c>
      <c r="T444" t="str">
        <f>IF($AS444="","",Config!$B$17)</f>
        <v/>
      </c>
      <c r="U444" t="str">
        <f>IF($AS444="","",Config!$B$18)</f>
        <v/>
      </c>
      <c r="V444" t="str">
        <f>IF($AS444="","",Config!$B$19)</f>
        <v/>
      </c>
      <c r="W444" t="str">
        <f>IF($AS444="","",INDEX('TMP Paste'!$C$2:$C$1601,$AS444))</f>
        <v/>
      </c>
      <c r="X444" t="str">
        <f>IF($AS444="","",Config!$B$29)</f>
        <v/>
      </c>
      <c r="Y444" t="str">
        <f>IF($AT444="","",INDEX(Calc!$I$2:$I$1601,$AT444)&amp;" - "&amp;INDEX(Calc!$D$2:$D$1601,$AT444)&amp;" koli")</f>
        <v/>
      </c>
      <c r="Z444" t="str">
        <f>IF($AS444="","",Config!$B$21)</f>
        <v/>
      </c>
      <c r="AA444" t="str">
        <f>IF($AS444="","",Config!$B$22)</f>
        <v/>
      </c>
      <c r="AB444" t="str">
        <f>IF($AT444="","",INDEX(Calc!$D$2:$D$1601,$AT444))</f>
        <v/>
      </c>
      <c r="AC444" t="str">
        <f>IF($AT444="","",INDEX(Calc!$G$2:$G$1601,$AT444))</f>
        <v/>
      </c>
      <c r="AD444" t="str">
        <f>IF($AS444="","",Config!$B$23)</f>
        <v/>
      </c>
      <c r="AE444" t="str">
        <f>IF($AS444="","",Config!$B$28)</f>
        <v/>
      </c>
      <c r="AF444" t="str">
        <f t="shared" si="38"/>
        <v/>
      </c>
      <c r="AG444" t="str">
        <f t="shared" si="39"/>
        <v/>
      </c>
      <c r="AH444" t="str">
        <f t="shared" si="40"/>
        <v/>
      </c>
      <c r="AI444" t="str">
        <f>IF($AG444="","",SUMIF($AG$2:$AG444,$AG444,$AH$2:$AH444))</f>
        <v/>
      </c>
      <c r="AJ444" t="str">
        <f>IF('TMP Paste'!$F444="","",IF('TMP Paste'!$B444="",$AJ443,'TMP Paste'!$B444))</f>
        <v/>
      </c>
      <c r="AK444" t="str">
        <f>IF('TMP Paste'!$F444="","",N('TMP Paste'!$G444))</f>
        <v/>
      </c>
      <c r="AL444" t="str">
        <f>IF('TMP Paste'!$F444="","",IF('TMP Paste'!$M444="",$AL443,'TMP Paste'!$M444))</f>
        <v/>
      </c>
      <c r="AM444" t="str">
        <f>IF('TMP Paste'!$F444="","",IF('TMP Paste'!$N444="",$AM443,'TMP Paste'!$N444))</f>
        <v/>
      </c>
      <c r="AN444" t="str">
        <f>IF('TMP Paste'!$F444="","",IF('TMP Paste'!$O444="",$AN443,'TMP Paste'!$O444))</f>
        <v/>
      </c>
      <c r="AO444" t="str">
        <f>IF('TMP Paste'!$F444="","",IF('TMP Paste'!$P444="",$AO443,'TMP Paste'!$P444))</f>
        <v/>
      </c>
      <c r="AP444" t="str">
        <f t="shared" si="41"/>
        <v/>
      </c>
      <c r="AQ444" t="str">
        <f>IF($AS444="","",TRIM(IF(COUNTIFS(Calc!$B$2:$B$1601,ROW()-1,Calc!$C$2:$C$1601,"&lt;1")&gt;0,"Ada PO tanpa Koli - cek TMP. ","")&amp;IF(OR($AU444="",$AU444&lt;=0),"Volume kosong/0 - dimensi dikosongkan. ","")&amp;IF(AND($AU444&lt;&gt;"",$AU444&gt;=1000000),"Volume &gt;= 1.000.000 cm3 (di luar aturan) - dimensi dikosongkan. ","")&amp;IF(LEN($R444)&gt;500,"R &gt; 500 karakter.","")))</f>
        <v/>
      </c>
      <c r="AS444" t="str">
        <f>IFERROR(MATCH(ROW()-1,Calc!$J$2:$J$1601,0),"")</f>
        <v/>
      </c>
      <c r="AT444" t="str">
        <f>IFERROR(MATCH(ROW()-1,Calc!$K$2:$K$1601,0),"")</f>
        <v/>
      </c>
      <c r="AU444" t="str">
        <f>IF($AS444="","",IFERROR(INDEX('TMP Paste'!$D$2:$D$1601,$AS444)*1000000/$AB444,""))</f>
        <v/>
      </c>
    </row>
    <row r="445" spans="1:47">
      <c r="A445" t="str">
        <f>IF($AS445="","",INDEX('TMP Paste'!$B$2:$B$1601,$AS445))</f>
        <v/>
      </c>
      <c r="B445" t="str">
        <f>IF($AS445="","",Config!$B$14)</f>
        <v/>
      </c>
      <c r="C445" t="str">
        <f>IF($AS445="","",Config!$B$15)</f>
        <v/>
      </c>
      <c r="D445" t="str">
        <f>IF($AS445="","",INDEX('TMP Paste'!$B$2:$B$1601,$AS445))</f>
        <v/>
      </c>
      <c r="E445" t="str">
        <f>IF($AS445="","",Config!$B$27)</f>
        <v/>
      </c>
      <c r="F445" t="str">
        <f>IF($AS445="","",Config!$B$9)</f>
        <v/>
      </c>
      <c r="G445" t="str">
        <f>IF($AS445="","",Config!$B$10)</f>
        <v/>
      </c>
      <c r="H445" t="str">
        <f>IF($AS445="","",Config!$B$11)</f>
        <v/>
      </c>
      <c r="I445" t="str">
        <f>IF($AS445="","",Config!$B$16)</f>
        <v/>
      </c>
      <c r="J445" t="str">
        <f>IF($AS445="","",INDEX('TMP Paste'!$A$2:$A$1601,$AS445))</f>
        <v/>
      </c>
      <c r="K445" t="str">
        <f>IF($AS445="","",INDEX('TMP Paste'!$L$2:$L$1601,$AS445))</f>
        <v/>
      </c>
      <c r="L445" t="str">
        <f>IF($AS445="","",INDEX('TMP Paste'!$I$2:$I$1601,$AS445))</f>
        <v/>
      </c>
      <c r="M445" t="str">
        <f>IF($AS445="","",Config!$B$16)</f>
        <v/>
      </c>
      <c r="N445" t="str">
        <f t="shared" si="36"/>
        <v/>
      </c>
      <c r="O445" t="str">
        <f>IF($AS445="","",INDEX('TMP Paste'!$K$2:$K$1601,$AS445))</f>
        <v/>
      </c>
      <c r="P445" t="str">
        <f t="shared" si="37"/>
        <v/>
      </c>
      <c r="Q445" t="str">
        <f>IF($AS445="","",INDEX('TMP Paste'!$J$2:$J$1601,$AS445))</f>
        <v/>
      </c>
      <c r="R445" t="str">
        <f>IF($AS445="","",Config!$B$24)</f>
        <v/>
      </c>
      <c r="S445" t="str">
        <f ca="1">IF($AS445="","",TEXT(Config!$B$4,"yyyy-mm-dd"))</f>
        <v/>
      </c>
      <c r="T445" t="str">
        <f>IF($AS445="","",Config!$B$17)</f>
        <v/>
      </c>
      <c r="U445" t="str">
        <f>IF($AS445="","",Config!$B$18)</f>
        <v/>
      </c>
      <c r="V445" t="str">
        <f>IF($AS445="","",Config!$B$19)</f>
        <v/>
      </c>
      <c r="W445" t="str">
        <f>IF($AS445="","",INDEX('TMP Paste'!$C$2:$C$1601,$AS445))</f>
        <v/>
      </c>
      <c r="X445" t="str">
        <f>IF($AS445="","",Config!$B$29)</f>
        <v/>
      </c>
      <c r="Y445" t="str">
        <f>IF($AT445="","",INDEX(Calc!$I$2:$I$1601,$AT445)&amp;" - "&amp;INDEX(Calc!$D$2:$D$1601,$AT445)&amp;" koli")</f>
        <v/>
      </c>
      <c r="Z445" t="str">
        <f>IF($AS445="","",Config!$B$21)</f>
        <v/>
      </c>
      <c r="AA445" t="str">
        <f>IF($AS445="","",Config!$B$22)</f>
        <v/>
      </c>
      <c r="AB445" t="str">
        <f>IF($AT445="","",INDEX(Calc!$D$2:$D$1601,$AT445))</f>
        <v/>
      </c>
      <c r="AC445" t="str">
        <f>IF($AT445="","",INDEX(Calc!$G$2:$G$1601,$AT445))</f>
        <v/>
      </c>
      <c r="AD445" t="str">
        <f>IF($AS445="","",Config!$B$23)</f>
        <v/>
      </c>
      <c r="AE445" t="str">
        <f>IF($AS445="","",Config!$B$28)</f>
        <v/>
      </c>
      <c r="AF445" t="str">
        <f t="shared" si="38"/>
        <v/>
      </c>
      <c r="AG445" t="str">
        <f t="shared" si="39"/>
        <v/>
      </c>
      <c r="AH445" t="str">
        <f t="shared" si="40"/>
        <v/>
      </c>
      <c r="AI445" t="str">
        <f>IF($AG445="","",SUMIF($AG$2:$AG445,$AG445,$AH$2:$AH445))</f>
        <v/>
      </c>
      <c r="AJ445" t="str">
        <f>IF('TMP Paste'!$F445="","",IF('TMP Paste'!$B445="",$AJ444,'TMP Paste'!$B445))</f>
        <v/>
      </c>
      <c r="AK445" t="str">
        <f>IF('TMP Paste'!$F445="","",N('TMP Paste'!$G445))</f>
        <v/>
      </c>
      <c r="AL445" t="str">
        <f>IF('TMP Paste'!$F445="","",IF('TMP Paste'!$M445="",$AL444,'TMP Paste'!$M445))</f>
        <v/>
      </c>
      <c r="AM445" t="str">
        <f>IF('TMP Paste'!$F445="","",IF('TMP Paste'!$N445="",$AM444,'TMP Paste'!$N445))</f>
        <v/>
      </c>
      <c r="AN445" t="str">
        <f>IF('TMP Paste'!$F445="","",IF('TMP Paste'!$O445="",$AN444,'TMP Paste'!$O445))</f>
        <v/>
      </c>
      <c r="AO445" t="str">
        <f>IF('TMP Paste'!$F445="","",IF('TMP Paste'!$P445="",$AO444,'TMP Paste'!$P445))</f>
        <v/>
      </c>
      <c r="AP445" t="str">
        <f t="shared" si="41"/>
        <v/>
      </c>
      <c r="AQ445" t="str">
        <f>IF($AS445="","",TRIM(IF(COUNTIFS(Calc!$B$2:$B$1601,ROW()-1,Calc!$C$2:$C$1601,"&lt;1")&gt;0,"Ada PO tanpa Koli - cek TMP. ","")&amp;IF(OR($AU445="",$AU445&lt;=0),"Volume kosong/0 - dimensi dikosongkan. ","")&amp;IF(AND($AU445&lt;&gt;"",$AU445&gt;=1000000),"Volume &gt;= 1.000.000 cm3 (di luar aturan) - dimensi dikosongkan. ","")&amp;IF(LEN($R445)&gt;500,"R &gt; 500 karakter.","")))</f>
        <v/>
      </c>
      <c r="AS445" t="str">
        <f>IFERROR(MATCH(ROW()-1,Calc!$J$2:$J$1601,0),"")</f>
        <v/>
      </c>
      <c r="AT445" t="str">
        <f>IFERROR(MATCH(ROW()-1,Calc!$K$2:$K$1601,0),"")</f>
        <v/>
      </c>
      <c r="AU445" t="str">
        <f>IF($AS445="","",IFERROR(INDEX('TMP Paste'!$D$2:$D$1601,$AS445)*1000000/$AB445,""))</f>
        <v/>
      </c>
    </row>
    <row r="446" spans="1:47">
      <c r="A446" t="str">
        <f>IF($AS446="","",INDEX('TMP Paste'!$B$2:$B$1601,$AS446))</f>
        <v/>
      </c>
      <c r="B446" t="str">
        <f>IF($AS446="","",Config!$B$14)</f>
        <v/>
      </c>
      <c r="C446" t="str">
        <f>IF($AS446="","",Config!$B$15)</f>
        <v/>
      </c>
      <c r="D446" t="str">
        <f>IF($AS446="","",INDEX('TMP Paste'!$B$2:$B$1601,$AS446))</f>
        <v/>
      </c>
      <c r="E446" t="str">
        <f>IF($AS446="","",Config!$B$27)</f>
        <v/>
      </c>
      <c r="F446" t="str">
        <f>IF($AS446="","",Config!$B$9)</f>
        <v/>
      </c>
      <c r="G446" t="str">
        <f>IF($AS446="","",Config!$B$10)</f>
        <v/>
      </c>
      <c r="H446" t="str">
        <f>IF($AS446="","",Config!$B$11)</f>
        <v/>
      </c>
      <c r="I446" t="str">
        <f>IF($AS446="","",Config!$B$16)</f>
        <v/>
      </c>
      <c r="J446" t="str">
        <f>IF($AS446="","",INDEX('TMP Paste'!$A$2:$A$1601,$AS446))</f>
        <v/>
      </c>
      <c r="K446" t="str">
        <f>IF($AS446="","",INDEX('TMP Paste'!$L$2:$L$1601,$AS446))</f>
        <v/>
      </c>
      <c r="L446" t="str">
        <f>IF($AS446="","",INDEX('TMP Paste'!$I$2:$I$1601,$AS446))</f>
        <v/>
      </c>
      <c r="M446" t="str">
        <f>IF($AS446="","",Config!$B$16)</f>
        <v/>
      </c>
      <c r="N446" t="str">
        <f t="shared" si="36"/>
        <v/>
      </c>
      <c r="O446" t="str">
        <f>IF($AS446="","",INDEX('TMP Paste'!$K$2:$K$1601,$AS446))</f>
        <v/>
      </c>
      <c r="P446" t="str">
        <f t="shared" si="37"/>
        <v/>
      </c>
      <c r="Q446" t="str">
        <f>IF($AS446="","",INDEX('TMP Paste'!$J$2:$J$1601,$AS446))</f>
        <v/>
      </c>
      <c r="R446" t="str">
        <f>IF($AS446="","",Config!$B$24)</f>
        <v/>
      </c>
      <c r="S446" t="str">
        <f ca="1">IF($AS446="","",TEXT(Config!$B$4,"yyyy-mm-dd"))</f>
        <v/>
      </c>
      <c r="T446" t="str">
        <f>IF($AS446="","",Config!$B$17)</f>
        <v/>
      </c>
      <c r="U446" t="str">
        <f>IF($AS446="","",Config!$B$18)</f>
        <v/>
      </c>
      <c r="V446" t="str">
        <f>IF($AS446="","",Config!$B$19)</f>
        <v/>
      </c>
      <c r="W446" t="str">
        <f>IF($AS446="","",INDEX('TMP Paste'!$C$2:$C$1601,$AS446))</f>
        <v/>
      </c>
      <c r="X446" t="str">
        <f>IF($AS446="","",Config!$B$29)</f>
        <v/>
      </c>
      <c r="Y446" t="str">
        <f>IF($AT446="","",INDEX(Calc!$I$2:$I$1601,$AT446)&amp;" - "&amp;INDEX(Calc!$D$2:$D$1601,$AT446)&amp;" koli")</f>
        <v/>
      </c>
      <c r="Z446" t="str">
        <f>IF($AS446="","",Config!$B$21)</f>
        <v/>
      </c>
      <c r="AA446" t="str">
        <f>IF($AS446="","",Config!$B$22)</f>
        <v/>
      </c>
      <c r="AB446" t="str">
        <f>IF($AT446="","",INDEX(Calc!$D$2:$D$1601,$AT446))</f>
        <v/>
      </c>
      <c r="AC446" t="str">
        <f>IF($AT446="","",INDEX(Calc!$G$2:$G$1601,$AT446))</f>
        <v/>
      </c>
      <c r="AD446" t="str">
        <f>IF($AS446="","",Config!$B$23)</f>
        <v/>
      </c>
      <c r="AE446" t="str">
        <f>IF($AS446="","",Config!$B$28)</f>
        <v/>
      </c>
      <c r="AF446" t="str">
        <f t="shared" si="38"/>
        <v/>
      </c>
      <c r="AG446" t="str">
        <f t="shared" si="39"/>
        <v/>
      </c>
      <c r="AH446" t="str">
        <f t="shared" si="40"/>
        <v/>
      </c>
      <c r="AI446" t="str">
        <f>IF($AG446="","",SUMIF($AG$2:$AG446,$AG446,$AH$2:$AH446))</f>
        <v/>
      </c>
      <c r="AJ446" t="str">
        <f>IF('TMP Paste'!$F446="","",IF('TMP Paste'!$B446="",$AJ445,'TMP Paste'!$B446))</f>
        <v/>
      </c>
      <c r="AK446" t="str">
        <f>IF('TMP Paste'!$F446="","",N('TMP Paste'!$G446))</f>
        <v/>
      </c>
      <c r="AL446" t="str">
        <f>IF('TMP Paste'!$F446="","",IF('TMP Paste'!$M446="",$AL445,'TMP Paste'!$M446))</f>
        <v/>
      </c>
      <c r="AM446" t="str">
        <f>IF('TMP Paste'!$F446="","",IF('TMP Paste'!$N446="",$AM445,'TMP Paste'!$N446))</f>
        <v/>
      </c>
      <c r="AN446" t="str">
        <f>IF('TMP Paste'!$F446="","",IF('TMP Paste'!$O446="",$AN445,'TMP Paste'!$O446))</f>
        <v/>
      </c>
      <c r="AO446" t="str">
        <f>IF('TMP Paste'!$F446="","",IF('TMP Paste'!$P446="",$AO445,'TMP Paste'!$P446))</f>
        <v/>
      </c>
      <c r="AP446" t="str">
        <f t="shared" si="41"/>
        <v/>
      </c>
      <c r="AQ446" t="str">
        <f>IF($AS446="","",TRIM(IF(COUNTIFS(Calc!$B$2:$B$1601,ROW()-1,Calc!$C$2:$C$1601,"&lt;1")&gt;0,"Ada PO tanpa Koli - cek TMP. ","")&amp;IF(OR($AU446="",$AU446&lt;=0),"Volume kosong/0 - dimensi dikosongkan. ","")&amp;IF(AND($AU446&lt;&gt;"",$AU446&gt;=1000000),"Volume &gt;= 1.000.000 cm3 (di luar aturan) - dimensi dikosongkan. ","")&amp;IF(LEN($R446)&gt;500,"R &gt; 500 karakter.","")))</f>
        <v/>
      </c>
      <c r="AS446" t="str">
        <f>IFERROR(MATCH(ROW()-1,Calc!$J$2:$J$1601,0),"")</f>
        <v/>
      </c>
      <c r="AT446" t="str">
        <f>IFERROR(MATCH(ROW()-1,Calc!$K$2:$K$1601,0),"")</f>
        <v/>
      </c>
      <c r="AU446" t="str">
        <f>IF($AS446="","",IFERROR(INDEX('TMP Paste'!$D$2:$D$1601,$AS446)*1000000/$AB446,""))</f>
        <v/>
      </c>
    </row>
    <row r="447" spans="1:47">
      <c r="A447" t="str">
        <f>IF($AS447="","",INDEX('TMP Paste'!$B$2:$B$1601,$AS447))</f>
        <v/>
      </c>
      <c r="B447" t="str">
        <f>IF($AS447="","",Config!$B$14)</f>
        <v/>
      </c>
      <c r="C447" t="str">
        <f>IF($AS447="","",Config!$B$15)</f>
        <v/>
      </c>
      <c r="D447" t="str">
        <f>IF($AS447="","",INDEX('TMP Paste'!$B$2:$B$1601,$AS447))</f>
        <v/>
      </c>
      <c r="E447" t="str">
        <f>IF($AS447="","",Config!$B$27)</f>
        <v/>
      </c>
      <c r="F447" t="str">
        <f>IF($AS447="","",Config!$B$9)</f>
        <v/>
      </c>
      <c r="G447" t="str">
        <f>IF($AS447="","",Config!$B$10)</f>
        <v/>
      </c>
      <c r="H447" t="str">
        <f>IF($AS447="","",Config!$B$11)</f>
        <v/>
      </c>
      <c r="I447" t="str">
        <f>IF($AS447="","",Config!$B$16)</f>
        <v/>
      </c>
      <c r="J447" t="str">
        <f>IF($AS447="","",INDEX('TMP Paste'!$A$2:$A$1601,$AS447))</f>
        <v/>
      </c>
      <c r="K447" t="str">
        <f>IF($AS447="","",INDEX('TMP Paste'!$L$2:$L$1601,$AS447))</f>
        <v/>
      </c>
      <c r="L447" t="str">
        <f>IF($AS447="","",INDEX('TMP Paste'!$I$2:$I$1601,$AS447))</f>
        <v/>
      </c>
      <c r="M447" t="str">
        <f>IF($AS447="","",Config!$B$16)</f>
        <v/>
      </c>
      <c r="N447" t="str">
        <f t="shared" si="36"/>
        <v/>
      </c>
      <c r="O447" t="str">
        <f>IF($AS447="","",INDEX('TMP Paste'!$K$2:$K$1601,$AS447))</f>
        <v/>
      </c>
      <c r="P447" t="str">
        <f t="shared" si="37"/>
        <v/>
      </c>
      <c r="Q447" t="str">
        <f>IF($AS447="","",INDEX('TMP Paste'!$J$2:$J$1601,$AS447))</f>
        <v/>
      </c>
      <c r="R447" t="str">
        <f>IF($AS447="","",Config!$B$24)</f>
        <v/>
      </c>
      <c r="S447" t="str">
        <f ca="1">IF($AS447="","",TEXT(Config!$B$4,"yyyy-mm-dd"))</f>
        <v/>
      </c>
      <c r="T447" t="str">
        <f>IF($AS447="","",Config!$B$17)</f>
        <v/>
      </c>
      <c r="U447" t="str">
        <f>IF($AS447="","",Config!$B$18)</f>
        <v/>
      </c>
      <c r="V447" t="str">
        <f>IF($AS447="","",Config!$B$19)</f>
        <v/>
      </c>
      <c r="W447" t="str">
        <f>IF($AS447="","",INDEX('TMP Paste'!$C$2:$C$1601,$AS447))</f>
        <v/>
      </c>
      <c r="X447" t="str">
        <f>IF($AS447="","",Config!$B$29)</f>
        <v/>
      </c>
      <c r="Y447" t="str">
        <f>IF($AT447="","",INDEX(Calc!$I$2:$I$1601,$AT447)&amp;" - "&amp;INDEX(Calc!$D$2:$D$1601,$AT447)&amp;" koli")</f>
        <v/>
      </c>
      <c r="Z447" t="str">
        <f>IF($AS447="","",Config!$B$21)</f>
        <v/>
      </c>
      <c r="AA447" t="str">
        <f>IF($AS447="","",Config!$B$22)</f>
        <v/>
      </c>
      <c r="AB447" t="str">
        <f>IF($AT447="","",INDEX(Calc!$D$2:$D$1601,$AT447))</f>
        <v/>
      </c>
      <c r="AC447" t="str">
        <f>IF($AT447="","",INDEX(Calc!$G$2:$G$1601,$AT447))</f>
        <v/>
      </c>
      <c r="AD447" t="str">
        <f>IF($AS447="","",Config!$B$23)</f>
        <v/>
      </c>
      <c r="AE447" t="str">
        <f>IF($AS447="","",Config!$B$28)</f>
        <v/>
      </c>
      <c r="AF447" t="str">
        <f t="shared" si="38"/>
        <v/>
      </c>
      <c r="AG447" t="str">
        <f t="shared" si="39"/>
        <v/>
      </c>
      <c r="AH447" t="str">
        <f t="shared" si="40"/>
        <v/>
      </c>
      <c r="AI447" t="str">
        <f>IF($AG447="","",SUMIF($AG$2:$AG447,$AG447,$AH$2:$AH447))</f>
        <v/>
      </c>
      <c r="AJ447" t="str">
        <f>IF('TMP Paste'!$F447="","",IF('TMP Paste'!$B447="",$AJ446,'TMP Paste'!$B447))</f>
        <v/>
      </c>
      <c r="AK447" t="str">
        <f>IF('TMP Paste'!$F447="","",N('TMP Paste'!$G447))</f>
        <v/>
      </c>
      <c r="AL447" t="str">
        <f>IF('TMP Paste'!$F447="","",IF('TMP Paste'!$M447="",$AL446,'TMP Paste'!$M447))</f>
        <v/>
      </c>
      <c r="AM447" t="str">
        <f>IF('TMP Paste'!$F447="","",IF('TMP Paste'!$N447="",$AM446,'TMP Paste'!$N447))</f>
        <v/>
      </c>
      <c r="AN447" t="str">
        <f>IF('TMP Paste'!$F447="","",IF('TMP Paste'!$O447="",$AN446,'TMP Paste'!$O447))</f>
        <v/>
      </c>
      <c r="AO447" t="str">
        <f>IF('TMP Paste'!$F447="","",IF('TMP Paste'!$P447="",$AO446,'TMP Paste'!$P447))</f>
        <v/>
      </c>
      <c r="AP447" t="str">
        <f t="shared" si="41"/>
        <v/>
      </c>
      <c r="AQ447" t="str">
        <f>IF($AS447="","",TRIM(IF(COUNTIFS(Calc!$B$2:$B$1601,ROW()-1,Calc!$C$2:$C$1601,"&lt;1")&gt;0,"Ada PO tanpa Koli - cek TMP. ","")&amp;IF(OR($AU447="",$AU447&lt;=0),"Volume kosong/0 - dimensi dikosongkan. ","")&amp;IF(AND($AU447&lt;&gt;"",$AU447&gt;=1000000),"Volume &gt;= 1.000.000 cm3 (di luar aturan) - dimensi dikosongkan. ","")&amp;IF(LEN($R447)&gt;500,"R &gt; 500 karakter.","")))</f>
        <v/>
      </c>
      <c r="AS447" t="str">
        <f>IFERROR(MATCH(ROW()-1,Calc!$J$2:$J$1601,0),"")</f>
        <v/>
      </c>
      <c r="AT447" t="str">
        <f>IFERROR(MATCH(ROW()-1,Calc!$K$2:$K$1601,0),"")</f>
        <v/>
      </c>
      <c r="AU447" t="str">
        <f>IF($AS447="","",IFERROR(INDEX('TMP Paste'!$D$2:$D$1601,$AS447)*1000000/$AB447,""))</f>
        <v/>
      </c>
    </row>
    <row r="448" spans="1:47">
      <c r="A448" t="str">
        <f>IF($AS448="","",INDEX('TMP Paste'!$B$2:$B$1601,$AS448))</f>
        <v/>
      </c>
      <c r="B448" t="str">
        <f>IF($AS448="","",Config!$B$14)</f>
        <v/>
      </c>
      <c r="C448" t="str">
        <f>IF($AS448="","",Config!$B$15)</f>
        <v/>
      </c>
      <c r="D448" t="str">
        <f>IF($AS448="","",INDEX('TMP Paste'!$B$2:$B$1601,$AS448))</f>
        <v/>
      </c>
      <c r="E448" t="str">
        <f>IF($AS448="","",Config!$B$27)</f>
        <v/>
      </c>
      <c r="F448" t="str">
        <f>IF($AS448="","",Config!$B$9)</f>
        <v/>
      </c>
      <c r="G448" t="str">
        <f>IF($AS448="","",Config!$B$10)</f>
        <v/>
      </c>
      <c r="H448" t="str">
        <f>IF($AS448="","",Config!$B$11)</f>
        <v/>
      </c>
      <c r="I448" t="str">
        <f>IF($AS448="","",Config!$B$16)</f>
        <v/>
      </c>
      <c r="J448" t="str">
        <f>IF($AS448="","",INDEX('TMP Paste'!$A$2:$A$1601,$AS448))</f>
        <v/>
      </c>
      <c r="K448" t="str">
        <f>IF($AS448="","",INDEX('TMP Paste'!$L$2:$L$1601,$AS448))</f>
        <v/>
      </c>
      <c r="L448" t="str">
        <f>IF($AS448="","",INDEX('TMP Paste'!$I$2:$I$1601,$AS448))</f>
        <v/>
      </c>
      <c r="M448" t="str">
        <f>IF($AS448="","",Config!$B$16)</f>
        <v/>
      </c>
      <c r="N448" t="str">
        <f t="shared" si="36"/>
        <v/>
      </c>
      <c r="O448" t="str">
        <f>IF($AS448="","",INDEX('TMP Paste'!$K$2:$K$1601,$AS448))</f>
        <v/>
      </c>
      <c r="P448" t="str">
        <f t="shared" si="37"/>
        <v/>
      </c>
      <c r="Q448" t="str">
        <f>IF($AS448="","",INDEX('TMP Paste'!$J$2:$J$1601,$AS448))</f>
        <v/>
      </c>
      <c r="R448" t="str">
        <f>IF($AS448="","",Config!$B$24)</f>
        <v/>
      </c>
      <c r="S448" t="str">
        <f ca="1">IF($AS448="","",TEXT(Config!$B$4,"yyyy-mm-dd"))</f>
        <v/>
      </c>
      <c r="T448" t="str">
        <f>IF($AS448="","",Config!$B$17)</f>
        <v/>
      </c>
      <c r="U448" t="str">
        <f>IF($AS448="","",Config!$B$18)</f>
        <v/>
      </c>
      <c r="V448" t="str">
        <f>IF($AS448="","",Config!$B$19)</f>
        <v/>
      </c>
      <c r="W448" t="str">
        <f>IF($AS448="","",INDEX('TMP Paste'!$C$2:$C$1601,$AS448))</f>
        <v/>
      </c>
      <c r="X448" t="str">
        <f>IF($AS448="","",Config!$B$29)</f>
        <v/>
      </c>
      <c r="Y448" t="str">
        <f>IF($AT448="","",INDEX(Calc!$I$2:$I$1601,$AT448)&amp;" - "&amp;INDEX(Calc!$D$2:$D$1601,$AT448)&amp;" koli")</f>
        <v/>
      </c>
      <c r="Z448" t="str">
        <f>IF($AS448="","",Config!$B$21)</f>
        <v/>
      </c>
      <c r="AA448" t="str">
        <f>IF($AS448="","",Config!$B$22)</f>
        <v/>
      </c>
      <c r="AB448" t="str">
        <f>IF($AT448="","",INDEX(Calc!$D$2:$D$1601,$AT448))</f>
        <v/>
      </c>
      <c r="AC448" t="str">
        <f>IF($AT448="","",INDEX(Calc!$G$2:$G$1601,$AT448))</f>
        <v/>
      </c>
      <c r="AD448" t="str">
        <f>IF($AS448="","",Config!$B$23)</f>
        <v/>
      </c>
      <c r="AE448" t="str">
        <f>IF($AS448="","",Config!$B$28)</f>
        <v/>
      </c>
      <c r="AF448" t="str">
        <f t="shared" si="38"/>
        <v/>
      </c>
      <c r="AG448" t="str">
        <f t="shared" si="39"/>
        <v/>
      </c>
      <c r="AH448" t="str">
        <f t="shared" si="40"/>
        <v/>
      </c>
      <c r="AI448" t="str">
        <f>IF($AG448="","",SUMIF($AG$2:$AG448,$AG448,$AH$2:$AH448))</f>
        <v/>
      </c>
      <c r="AJ448" t="str">
        <f>IF('TMP Paste'!$F448="","",IF('TMP Paste'!$B448="",$AJ447,'TMP Paste'!$B448))</f>
        <v/>
      </c>
      <c r="AK448" t="str">
        <f>IF('TMP Paste'!$F448="","",N('TMP Paste'!$G448))</f>
        <v/>
      </c>
      <c r="AL448" t="str">
        <f>IF('TMP Paste'!$F448="","",IF('TMP Paste'!$M448="",$AL447,'TMP Paste'!$M448))</f>
        <v/>
      </c>
      <c r="AM448" t="str">
        <f>IF('TMP Paste'!$F448="","",IF('TMP Paste'!$N448="",$AM447,'TMP Paste'!$N448))</f>
        <v/>
      </c>
      <c r="AN448" t="str">
        <f>IF('TMP Paste'!$F448="","",IF('TMP Paste'!$O448="",$AN447,'TMP Paste'!$O448))</f>
        <v/>
      </c>
      <c r="AO448" t="str">
        <f>IF('TMP Paste'!$F448="","",IF('TMP Paste'!$P448="",$AO447,'TMP Paste'!$P448))</f>
        <v/>
      </c>
      <c r="AP448" t="str">
        <f t="shared" si="41"/>
        <v/>
      </c>
      <c r="AQ448" t="str">
        <f>IF($AS448="","",TRIM(IF(COUNTIFS(Calc!$B$2:$B$1601,ROW()-1,Calc!$C$2:$C$1601,"&lt;1")&gt;0,"Ada PO tanpa Koli - cek TMP. ","")&amp;IF(OR($AU448="",$AU448&lt;=0),"Volume kosong/0 - dimensi dikosongkan. ","")&amp;IF(AND($AU448&lt;&gt;"",$AU448&gt;=1000000),"Volume &gt;= 1.000.000 cm3 (di luar aturan) - dimensi dikosongkan. ","")&amp;IF(LEN($R448)&gt;500,"R &gt; 500 karakter.","")))</f>
        <v/>
      </c>
      <c r="AS448" t="str">
        <f>IFERROR(MATCH(ROW()-1,Calc!$J$2:$J$1601,0),"")</f>
        <v/>
      </c>
      <c r="AT448" t="str">
        <f>IFERROR(MATCH(ROW()-1,Calc!$K$2:$K$1601,0),"")</f>
        <v/>
      </c>
      <c r="AU448" t="str">
        <f>IF($AS448="","",IFERROR(INDEX('TMP Paste'!$D$2:$D$1601,$AS448)*1000000/$AB448,""))</f>
        <v/>
      </c>
    </row>
    <row r="449" spans="1:47">
      <c r="A449" t="str">
        <f>IF($AS449="","",INDEX('TMP Paste'!$B$2:$B$1601,$AS449))</f>
        <v/>
      </c>
      <c r="B449" t="str">
        <f>IF($AS449="","",Config!$B$14)</f>
        <v/>
      </c>
      <c r="C449" t="str">
        <f>IF($AS449="","",Config!$B$15)</f>
        <v/>
      </c>
      <c r="D449" t="str">
        <f>IF($AS449="","",INDEX('TMP Paste'!$B$2:$B$1601,$AS449))</f>
        <v/>
      </c>
      <c r="E449" t="str">
        <f>IF($AS449="","",Config!$B$27)</f>
        <v/>
      </c>
      <c r="F449" t="str">
        <f>IF($AS449="","",Config!$B$9)</f>
        <v/>
      </c>
      <c r="G449" t="str">
        <f>IF($AS449="","",Config!$B$10)</f>
        <v/>
      </c>
      <c r="H449" t="str">
        <f>IF($AS449="","",Config!$B$11)</f>
        <v/>
      </c>
      <c r="I449" t="str">
        <f>IF($AS449="","",Config!$B$16)</f>
        <v/>
      </c>
      <c r="J449" t="str">
        <f>IF($AS449="","",INDEX('TMP Paste'!$A$2:$A$1601,$AS449))</f>
        <v/>
      </c>
      <c r="K449" t="str">
        <f>IF($AS449="","",INDEX('TMP Paste'!$L$2:$L$1601,$AS449))</f>
        <v/>
      </c>
      <c r="L449" t="str">
        <f>IF($AS449="","",INDEX('TMP Paste'!$I$2:$I$1601,$AS449))</f>
        <v/>
      </c>
      <c r="M449" t="str">
        <f>IF($AS449="","",Config!$B$16)</f>
        <v/>
      </c>
      <c r="N449" t="str">
        <f t="shared" si="36"/>
        <v/>
      </c>
      <c r="O449" t="str">
        <f>IF($AS449="","",INDEX('TMP Paste'!$K$2:$K$1601,$AS449))</f>
        <v/>
      </c>
      <c r="P449" t="str">
        <f t="shared" si="37"/>
        <v/>
      </c>
      <c r="Q449" t="str">
        <f>IF($AS449="","",INDEX('TMP Paste'!$J$2:$J$1601,$AS449))</f>
        <v/>
      </c>
      <c r="R449" t="str">
        <f>IF($AS449="","",Config!$B$24)</f>
        <v/>
      </c>
      <c r="S449" t="str">
        <f ca="1">IF($AS449="","",TEXT(Config!$B$4,"yyyy-mm-dd"))</f>
        <v/>
      </c>
      <c r="T449" t="str">
        <f>IF($AS449="","",Config!$B$17)</f>
        <v/>
      </c>
      <c r="U449" t="str">
        <f>IF($AS449="","",Config!$B$18)</f>
        <v/>
      </c>
      <c r="V449" t="str">
        <f>IF($AS449="","",Config!$B$19)</f>
        <v/>
      </c>
      <c r="W449" t="str">
        <f>IF($AS449="","",INDEX('TMP Paste'!$C$2:$C$1601,$AS449))</f>
        <v/>
      </c>
      <c r="X449" t="str">
        <f>IF($AS449="","",Config!$B$29)</f>
        <v/>
      </c>
      <c r="Y449" t="str">
        <f>IF($AT449="","",INDEX(Calc!$I$2:$I$1601,$AT449)&amp;" - "&amp;INDEX(Calc!$D$2:$D$1601,$AT449)&amp;" koli")</f>
        <v/>
      </c>
      <c r="Z449" t="str">
        <f>IF($AS449="","",Config!$B$21)</f>
        <v/>
      </c>
      <c r="AA449" t="str">
        <f>IF($AS449="","",Config!$B$22)</f>
        <v/>
      </c>
      <c r="AB449" t="str">
        <f>IF($AT449="","",INDEX(Calc!$D$2:$D$1601,$AT449))</f>
        <v/>
      </c>
      <c r="AC449" t="str">
        <f>IF($AT449="","",INDEX(Calc!$G$2:$G$1601,$AT449))</f>
        <v/>
      </c>
      <c r="AD449" t="str">
        <f>IF($AS449="","",Config!$B$23)</f>
        <v/>
      </c>
      <c r="AE449" t="str">
        <f>IF($AS449="","",Config!$B$28)</f>
        <v/>
      </c>
      <c r="AF449" t="str">
        <f t="shared" si="38"/>
        <v/>
      </c>
      <c r="AG449" t="str">
        <f t="shared" si="39"/>
        <v/>
      </c>
      <c r="AH449" t="str">
        <f t="shared" si="40"/>
        <v/>
      </c>
      <c r="AI449" t="str">
        <f>IF($AG449="","",SUMIF($AG$2:$AG449,$AG449,$AH$2:$AH449))</f>
        <v/>
      </c>
      <c r="AJ449" t="str">
        <f>IF('TMP Paste'!$F449="","",IF('TMP Paste'!$B449="",$AJ448,'TMP Paste'!$B449))</f>
        <v/>
      </c>
      <c r="AK449" t="str">
        <f>IF('TMP Paste'!$F449="","",N('TMP Paste'!$G449))</f>
        <v/>
      </c>
      <c r="AL449" t="str">
        <f>IF('TMP Paste'!$F449="","",IF('TMP Paste'!$M449="",$AL448,'TMP Paste'!$M449))</f>
        <v/>
      </c>
      <c r="AM449" t="str">
        <f>IF('TMP Paste'!$F449="","",IF('TMP Paste'!$N449="",$AM448,'TMP Paste'!$N449))</f>
        <v/>
      </c>
      <c r="AN449" t="str">
        <f>IF('TMP Paste'!$F449="","",IF('TMP Paste'!$O449="",$AN448,'TMP Paste'!$O449))</f>
        <v/>
      </c>
      <c r="AO449" t="str">
        <f>IF('TMP Paste'!$F449="","",IF('TMP Paste'!$P449="",$AO448,'TMP Paste'!$P449))</f>
        <v/>
      </c>
      <c r="AP449" t="str">
        <f t="shared" si="41"/>
        <v/>
      </c>
      <c r="AQ449" t="str">
        <f>IF($AS449="","",TRIM(IF(COUNTIFS(Calc!$B$2:$B$1601,ROW()-1,Calc!$C$2:$C$1601,"&lt;1")&gt;0,"Ada PO tanpa Koli - cek TMP. ","")&amp;IF(OR($AU449="",$AU449&lt;=0),"Volume kosong/0 - dimensi dikosongkan. ","")&amp;IF(AND($AU449&lt;&gt;"",$AU449&gt;=1000000),"Volume &gt;= 1.000.000 cm3 (di luar aturan) - dimensi dikosongkan. ","")&amp;IF(LEN($R449)&gt;500,"R &gt; 500 karakter.","")))</f>
        <v/>
      </c>
      <c r="AS449" t="str">
        <f>IFERROR(MATCH(ROW()-1,Calc!$J$2:$J$1601,0),"")</f>
        <v/>
      </c>
      <c r="AT449" t="str">
        <f>IFERROR(MATCH(ROW()-1,Calc!$K$2:$K$1601,0),"")</f>
        <v/>
      </c>
      <c r="AU449" t="str">
        <f>IF($AS449="","",IFERROR(INDEX('TMP Paste'!$D$2:$D$1601,$AS449)*1000000/$AB449,""))</f>
        <v/>
      </c>
    </row>
    <row r="450" spans="1:47">
      <c r="A450" t="str">
        <f>IF($AS450="","",INDEX('TMP Paste'!$B$2:$B$1601,$AS450))</f>
        <v/>
      </c>
      <c r="B450" t="str">
        <f>IF($AS450="","",Config!$B$14)</f>
        <v/>
      </c>
      <c r="C450" t="str">
        <f>IF($AS450="","",Config!$B$15)</f>
        <v/>
      </c>
      <c r="D450" t="str">
        <f>IF($AS450="","",INDEX('TMP Paste'!$B$2:$B$1601,$AS450))</f>
        <v/>
      </c>
      <c r="E450" t="str">
        <f>IF($AS450="","",Config!$B$27)</f>
        <v/>
      </c>
      <c r="F450" t="str">
        <f>IF($AS450="","",Config!$B$9)</f>
        <v/>
      </c>
      <c r="G450" t="str">
        <f>IF($AS450="","",Config!$B$10)</f>
        <v/>
      </c>
      <c r="H450" t="str">
        <f>IF($AS450="","",Config!$B$11)</f>
        <v/>
      </c>
      <c r="I450" t="str">
        <f>IF($AS450="","",Config!$B$16)</f>
        <v/>
      </c>
      <c r="J450" t="str">
        <f>IF($AS450="","",INDEX('TMP Paste'!$A$2:$A$1601,$AS450))</f>
        <v/>
      </c>
      <c r="K450" t="str">
        <f>IF($AS450="","",INDEX('TMP Paste'!$L$2:$L$1601,$AS450))</f>
        <v/>
      </c>
      <c r="L450" t="str">
        <f>IF($AS450="","",INDEX('TMP Paste'!$I$2:$I$1601,$AS450))</f>
        <v/>
      </c>
      <c r="M450" t="str">
        <f>IF($AS450="","",Config!$B$16)</f>
        <v/>
      </c>
      <c r="N450" t="str">
        <f t="shared" ref="N450:N513" si="42">IF($AS450="","","")</f>
        <v/>
      </c>
      <c r="O450" t="str">
        <f>IF($AS450="","",INDEX('TMP Paste'!$K$2:$K$1601,$AS450))</f>
        <v/>
      </c>
      <c r="P450" t="str">
        <f t="shared" ref="P450:P513" si="43">IF($AS450="","","")</f>
        <v/>
      </c>
      <c r="Q450" t="str">
        <f>IF($AS450="","",INDEX('TMP Paste'!$J$2:$J$1601,$AS450))</f>
        <v/>
      </c>
      <c r="R450" t="str">
        <f>IF($AS450="","",Config!$B$24)</f>
        <v/>
      </c>
      <c r="S450" t="str">
        <f ca="1">IF($AS450="","",TEXT(Config!$B$4,"yyyy-mm-dd"))</f>
        <v/>
      </c>
      <c r="T450" t="str">
        <f>IF($AS450="","",Config!$B$17)</f>
        <v/>
      </c>
      <c r="U450" t="str">
        <f>IF($AS450="","",Config!$B$18)</f>
        <v/>
      </c>
      <c r="V450" t="str">
        <f>IF($AS450="","",Config!$B$19)</f>
        <v/>
      </c>
      <c r="W450" t="str">
        <f>IF($AS450="","",INDEX('TMP Paste'!$C$2:$C$1601,$AS450))</f>
        <v/>
      </c>
      <c r="X450" t="str">
        <f>IF($AS450="","",Config!$B$29)</f>
        <v/>
      </c>
      <c r="Y450" t="str">
        <f>IF($AT450="","",INDEX(Calc!$I$2:$I$1601,$AT450)&amp;" - "&amp;INDEX(Calc!$D$2:$D$1601,$AT450)&amp;" koli")</f>
        <v/>
      </c>
      <c r="Z450" t="str">
        <f>IF($AS450="","",Config!$B$21)</f>
        <v/>
      </c>
      <c r="AA450" t="str">
        <f>IF($AS450="","",Config!$B$22)</f>
        <v/>
      </c>
      <c r="AB450" t="str">
        <f>IF($AT450="","",INDEX(Calc!$D$2:$D$1601,$AT450))</f>
        <v/>
      </c>
      <c r="AC450" t="str">
        <f>IF($AT450="","",INDEX(Calc!$G$2:$G$1601,$AT450))</f>
        <v/>
      </c>
      <c r="AD450" t="str">
        <f>IF($AS450="","",Config!$B$23)</f>
        <v/>
      </c>
      <c r="AE450" t="str">
        <f>IF($AS450="","",Config!$B$28)</f>
        <v/>
      </c>
      <c r="AF450" t="str">
        <f t="shared" ref="AF450:AF513" si="44">IF($AS450="","",IF(OR($AU450="",$AU450&lt;=0,$AU450&gt;=1000000),"",IF($AU450&lt;10000,10,100)))</f>
        <v/>
      </c>
      <c r="AG450" t="str">
        <f t="shared" ref="AG450:AG513" si="45">IF($AS450="","",IF(OR($AU450="",$AU450&lt;=0,$AU450&gt;=1000000),"",IF($AU450&lt;10000,$AU450/100,IF($AU450&lt;100000,$AU450/1000,$AU450/10000))))</f>
        <v/>
      </c>
      <c r="AH450" t="str">
        <f t="shared" ref="AH450:AH513" si="46">IF($AS450="","",IF(OR($AU450="",$AU450&lt;=0,$AU450&gt;=1000000),"",IF($AU450&lt;100000,10,100)))</f>
        <v/>
      </c>
      <c r="AI450" t="str">
        <f>IF($AG450="","",SUMIF($AG$2:$AG450,$AG450,$AH$2:$AH450))</f>
        <v/>
      </c>
      <c r="AJ450" t="str">
        <f>IF('TMP Paste'!$F450="","",IF('TMP Paste'!$B450="",$AJ449,'TMP Paste'!$B450))</f>
        <v/>
      </c>
      <c r="AK450" t="str">
        <f>IF('TMP Paste'!$F450="","",N('TMP Paste'!$G450))</f>
        <v/>
      </c>
      <c r="AL450" t="str">
        <f>IF('TMP Paste'!$F450="","",IF('TMP Paste'!$M450="",$AL449,'TMP Paste'!$M450))</f>
        <v/>
      </c>
      <c r="AM450" t="str">
        <f>IF('TMP Paste'!$F450="","",IF('TMP Paste'!$N450="",$AM449,'TMP Paste'!$N450))</f>
        <v/>
      </c>
      <c r="AN450" t="str">
        <f>IF('TMP Paste'!$F450="","",IF('TMP Paste'!$O450="",$AN449,'TMP Paste'!$O450))</f>
        <v/>
      </c>
      <c r="AO450" t="str">
        <f>IF('TMP Paste'!$F450="","",IF('TMP Paste'!$P450="",$AO449,'TMP Paste'!$P450))</f>
        <v/>
      </c>
      <c r="AP450" t="str">
        <f t="shared" ref="AP450:AP513" si="47">IF($AG450="","",LEN($R450))</f>
        <v/>
      </c>
      <c r="AQ450" t="str">
        <f>IF($AS450="","",TRIM(IF(COUNTIFS(Calc!$B$2:$B$1601,ROW()-1,Calc!$C$2:$C$1601,"&lt;1")&gt;0,"Ada PO tanpa Koli - cek TMP. ","")&amp;IF(OR($AU450="",$AU450&lt;=0),"Volume kosong/0 - dimensi dikosongkan. ","")&amp;IF(AND($AU450&lt;&gt;"",$AU450&gt;=1000000),"Volume &gt;= 1.000.000 cm3 (di luar aturan) - dimensi dikosongkan. ","")&amp;IF(LEN($R450)&gt;500,"R &gt; 500 karakter.","")))</f>
        <v/>
      </c>
      <c r="AS450" t="str">
        <f>IFERROR(MATCH(ROW()-1,Calc!$J$2:$J$1601,0),"")</f>
        <v/>
      </c>
      <c r="AT450" t="str">
        <f>IFERROR(MATCH(ROW()-1,Calc!$K$2:$K$1601,0),"")</f>
        <v/>
      </c>
      <c r="AU450" t="str">
        <f>IF($AS450="","",IFERROR(INDEX('TMP Paste'!$D$2:$D$1601,$AS450)*1000000/$AB450,""))</f>
        <v/>
      </c>
    </row>
    <row r="451" spans="1:47">
      <c r="A451" t="str">
        <f>IF($AS451="","",INDEX('TMP Paste'!$B$2:$B$1601,$AS451))</f>
        <v/>
      </c>
      <c r="B451" t="str">
        <f>IF($AS451="","",Config!$B$14)</f>
        <v/>
      </c>
      <c r="C451" t="str">
        <f>IF($AS451="","",Config!$B$15)</f>
        <v/>
      </c>
      <c r="D451" t="str">
        <f>IF($AS451="","",INDEX('TMP Paste'!$B$2:$B$1601,$AS451))</f>
        <v/>
      </c>
      <c r="E451" t="str">
        <f>IF($AS451="","",Config!$B$27)</f>
        <v/>
      </c>
      <c r="F451" t="str">
        <f>IF($AS451="","",Config!$B$9)</f>
        <v/>
      </c>
      <c r="G451" t="str">
        <f>IF($AS451="","",Config!$B$10)</f>
        <v/>
      </c>
      <c r="H451" t="str">
        <f>IF($AS451="","",Config!$B$11)</f>
        <v/>
      </c>
      <c r="I451" t="str">
        <f>IF($AS451="","",Config!$B$16)</f>
        <v/>
      </c>
      <c r="J451" t="str">
        <f>IF($AS451="","",INDEX('TMP Paste'!$A$2:$A$1601,$AS451))</f>
        <v/>
      </c>
      <c r="K451" t="str">
        <f>IF($AS451="","",INDEX('TMP Paste'!$L$2:$L$1601,$AS451))</f>
        <v/>
      </c>
      <c r="L451" t="str">
        <f>IF($AS451="","",INDEX('TMP Paste'!$I$2:$I$1601,$AS451))</f>
        <v/>
      </c>
      <c r="M451" t="str">
        <f>IF($AS451="","",Config!$B$16)</f>
        <v/>
      </c>
      <c r="N451" t="str">
        <f t="shared" si="42"/>
        <v/>
      </c>
      <c r="O451" t="str">
        <f>IF($AS451="","",INDEX('TMP Paste'!$K$2:$K$1601,$AS451))</f>
        <v/>
      </c>
      <c r="P451" t="str">
        <f t="shared" si="43"/>
        <v/>
      </c>
      <c r="Q451" t="str">
        <f>IF($AS451="","",INDEX('TMP Paste'!$J$2:$J$1601,$AS451))</f>
        <v/>
      </c>
      <c r="R451" t="str">
        <f>IF($AS451="","",Config!$B$24)</f>
        <v/>
      </c>
      <c r="S451" t="str">
        <f ca="1">IF($AS451="","",TEXT(Config!$B$4,"yyyy-mm-dd"))</f>
        <v/>
      </c>
      <c r="T451" t="str">
        <f>IF($AS451="","",Config!$B$17)</f>
        <v/>
      </c>
      <c r="U451" t="str">
        <f>IF($AS451="","",Config!$B$18)</f>
        <v/>
      </c>
      <c r="V451" t="str">
        <f>IF($AS451="","",Config!$B$19)</f>
        <v/>
      </c>
      <c r="W451" t="str">
        <f>IF($AS451="","",INDEX('TMP Paste'!$C$2:$C$1601,$AS451))</f>
        <v/>
      </c>
      <c r="X451" t="str">
        <f>IF($AS451="","",Config!$B$29)</f>
        <v/>
      </c>
      <c r="Y451" t="str">
        <f>IF($AT451="","",INDEX(Calc!$I$2:$I$1601,$AT451)&amp;" - "&amp;INDEX(Calc!$D$2:$D$1601,$AT451)&amp;" koli")</f>
        <v/>
      </c>
      <c r="Z451" t="str">
        <f>IF($AS451="","",Config!$B$21)</f>
        <v/>
      </c>
      <c r="AA451" t="str">
        <f>IF($AS451="","",Config!$B$22)</f>
        <v/>
      </c>
      <c r="AB451" t="str">
        <f>IF($AT451="","",INDEX(Calc!$D$2:$D$1601,$AT451))</f>
        <v/>
      </c>
      <c r="AC451" t="str">
        <f>IF($AT451="","",INDEX(Calc!$G$2:$G$1601,$AT451))</f>
        <v/>
      </c>
      <c r="AD451" t="str">
        <f>IF($AS451="","",Config!$B$23)</f>
        <v/>
      </c>
      <c r="AE451" t="str">
        <f>IF($AS451="","",Config!$B$28)</f>
        <v/>
      </c>
      <c r="AF451" t="str">
        <f t="shared" si="44"/>
        <v/>
      </c>
      <c r="AG451" t="str">
        <f t="shared" si="45"/>
        <v/>
      </c>
      <c r="AH451" t="str">
        <f t="shared" si="46"/>
        <v/>
      </c>
      <c r="AI451" t="str">
        <f>IF($AG451="","",SUMIF($AG$2:$AG451,$AG451,$AH$2:$AH451))</f>
        <v/>
      </c>
      <c r="AJ451" t="str">
        <f>IF('TMP Paste'!$F451="","",IF('TMP Paste'!$B451="",$AJ450,'TMP Paste'!$B451))</f>
        <v/>
      </c>
      <c r="AK451" t="str">
        <f>IF('TMP Paste'!$F451="","",N('TMP Paste'!$G451))</f>
        <v/>
      </c>
      <c r="AL451" t="str">
        <f>IF('TMP Paste'!$F451="","",IF('TMP Paste'!$M451="",$AL450,'TMP Paste'!$M451))</f>
        <v/>
      </c>
      <c r="AM451" t="str">
        <f>IF('TMP Paste'!$F451="","",IF('TMP Paste'!$N451="",$AM450,'TMP Paste'!$N451))</f>
        <v/>
      </c>
      <c r="AN451" t="str">
        <f>IF('TMP Paste'!$F451="","",IF('TMP Paste'!$O451="",$AN450,'TMP Paste'!$O451))</f>
        <v/>
      </c>
      <c r="AO451" t="str">
        <f>IF('TMP Paste'!$F451="","",IF('TMP Paste'!$P451="",$AO450,'TMP Paste'!$P451))</f>
        <v/>
      </c>
      <c r="AP451" t="str">
        <f t="shared" si="47"/>
        <v/>
      </c>
      <c r="AQ451" t="str">
        <f>IF($AS451="","",TRIM(IF(COUNTIFS(Calc!$B$2:$B$1601,ROW()-1,Calc!$C$2:$C$1601,"&lt;1")&gt;0,"Ada PO tanpa Koli - cek TMP. ","")&amp;IF(OR($AU451="",$AU451&lt;=0),"Volume kosong/0 - dimensi dikosongkan. ","")&amp;IF(AND($AU451&lt;&gt;"",$AU451&gt;=1000000),"Volume &gt;= 1.000.000 cm3 (di luar aturan) - dimensi dikosongkan. ","")&amp;IF(LEN($R451)&gt;500,"R &gt; 500 karakter.","")))</f>
        <v/>
      </c>
      <c r="AS451" t="str">
        <f>IFERROR(MATCH(ROW()-1,Calc!$J$2:$J$1601,0),"")</f>
        <v/>
      </c>
      <c r="AT451" t="str">
        <f>IFERROR(MATCH(ROW()-1,Calc!$K$2:$K$1601,0),"")</f>
        <v/>
      </c>
      <c r="AU451" t="str">
        <f>IF($AS451="","",IFERROR(INDEX('TMP Paste'!$D$2:$D$1601,$AS451)*1000000/$AB451,""))</f>
        <v/>
      </c>
    </row>
    <row r="452" spans="1:47">
      <c r="A452" t="str">
        <f>IF($AS452="","",INDEX('TMP Paste'!$B$2:$B$1601,$AS452))</f>
        <v/>
      </c>
      <c r="B452" t="str">
        <f>IF($AS452="","",Config!$B$14)</f>
        <v/>
      </c>
      <c r="C452" t="str">
        <f>IF($AS452="","",Config!$B$15)</f>
        <v/>
      </c>
      <c r="D452" t="str">
        <f>IF($AS452="","",INDEX('TMP Paste'!$B$2:$B$1601,$AS452))</f>
        <v/>
      </c>
      <c r="E452" t="str">
        <f>IF($AS452="","",Config!$B$27)</f>
        <v/>
      </c>
      <c r="F452" t="str">
        <f>IF($AS452="","",Config!$B$9)</f>
        <v/>
      </c>
      <c r="G452" t="str">
        <f>IF($AS452="","",Config!$B$10)</f>
        <v/>
      </c>
      <c r="H452" t="str">
        <f>IF($AS452="","",Config!$B$11)</f>
        <v/>
      </c>
      <c r="I452" t="str">
        <f>IF($AS452="","",Config!$B$16)</f>
        <v/>
      </c>
      <c r="J452" t="str">
        <f>IF($AS452="","",INDEX('TMP Paste'!$A$2:$A$1601,$AS452))</f>
        <v/>
      </c>
      <c r="K452" t="str">
        <f>IF($AS452="","",INDEX('TMP Paste'!$L$2:$L$1601,$AS452))</f>
        <v/>
      </c>
      <c r="L452" t="str">
        <f>IF($AS452="","",INDEX('TMP Paste'!$I$2:$I$1601,$AS452))</f>
        <v/>
      </c>
      <c r="M452" t="str">
        <f>IF($AS452="","",Config!$B$16)</f>
        <v/>
      </c>
      <c r="N452" t="str">
        <f t="shared" si="42"/>
        <v/>
      </c>
      <c r="O452" t="str">
        <f>IF($AS452="","",INDEX('TMP Paste'!$K$2:$K$1601,$AS452))</f>
        <v/>
      </c>
      <c r="P452" t="str">
        <f t="shared" si="43"/>
        <v/>
      </c>
      <c r="Q452" t="str">
        <f>IF($AS452="","",INDEX('TMP Paste'!$J$2:$J$1601,$AS452))</f>
        <v/>
      </c>
      <c r="R452" t="str">
        <f>IF($AS452="","",Config!$B$24)</f>
        <v/>
      </c>
      <c r="S452" t="str">
        <f ca="1">IF($AS452="","",TEXT(Config!$B$4,"yyyy-mm-dd"))</f>
        <v/>
      </c>
      <c r="T452" t="str">
        <f>IF($AS452="","",Config!$B$17)</f>
        <v/>
      </c>
      <c r="U452" t="str">
        <f>IF($AS452="","",Config!$B$18)</f>
        <v/>
      </c>
      <c r="V452" t="str">
        <f>IF($AS452="","",Config!$B$19)</f>
        <v/>
      </c>
      <c r="W452" t="str">
        <f>IF($AS452="","",INDEX('TMP Paste'!$C$2:$C$1601,$AS452))</f>
        <v/>
      </c>
      <c r="X452" t="str">
        <f>IF($AS452="","",Config!$B$29)</f>
        <v/>
      </c>
      <c r="Y452" t="str">
        <f>IF($AT452="","",INDEX(Calc!$I$2:$I$1601,$AT452)&amp;" - "&amp;INDEX(Calc!$D$2:$D$1601,$AT452)&amp;" koli")</f>
        <v/>
      </c>
      <c r="Z452" t="str">
        <f>IF($AS452="","",Config!$B$21)</f>
        <v/>
      </c>
      <c r="AA452" t="str">
        <f>IF($AS452="","",Config!$B$22)</f>
        <v/>
      </c>
      <c r="AB452" t="str">
        <f>IF($AT452="","",INDEX(Calc!$D$2:$D$1601,$AT452))</f>
        <v/>
      </c>
      <c r="AC452" t="str">
        <f>IF($AT452="","",INDEX(Calc!$G$2:$G$1601,$AT452))</f>
        <v/>
      </c>
      <c r="AD452" t="str">
        <f>IF($AS452="","",Config!$B$23)</f>
        <v/>
      </c>
      <c r="AE452" t="str">
        <f>IF($AS452="","",Config!$B$28)</f>
        <v/>
      </c>
      <c r="AF452" t="str">
        <f t="shared" si="44"/>
        <v/>
      </c>
      <c r="AG452" t="str">
        <f t="shared" si="45"/>
        <v/>
      </c>
      <c r="AH452" t="str">
        <f t="shared" si="46"/>
        <v/>
      </c>
      <c r="AI452" t="str">
        <f>IF($AG452="","",SUMIF($AG$2:$AG452,$AG452,$AH$2:$AH452))</f>
        <v/>
      </c>
      <c r="AJ452" t="str">
        <f>IF('TMP Paste'!$F452="","",IF('TMP Paste'!$B452="",$AJ451,'TMP Paste'!$B452))</f>
        <v/>
      </c>
      <c r="AK452" t="str">
        <f>IF('TMP Paste'!$F452="","",N('TMP Paste'!$G452))</f>
        <v/>
      </c>
      <c r="AL452" t="str">
        <f>IF('TMP Paste'!$F452="","",IF('TMP Paste'!$M452="",$AL451,'TMP Paste'!$M452))</f>
        <v/>
      </c>
      <c r="AM452" t="str">
        <f>IF('TMP Paste'!$F452="","",IF('TMP Paste'!$N452="",$AM451,'TMP Paste'!$N452))</f>
        <v/>
      </c>
      <c r="AN452" t="str">
        <f>IF('TMP Paste'!$F452="","",IF('TMP Paste'!$O452="",$AN451,'TMP Paste'!$O452))</f>
        <v/>
      </c>
      <c r="AO452" t="str">
        <f>IF('TMP Paste'!$F452="","",IF('TMP Paste'!$P452="",$AO451,'TMP Paste'!$P452))</f>
        <v/>
      </c>
      <c r="AP452" t="str">
        <f t="shared" si="47"/>
        <v/>
      </c>
      <c r="AQ452" t="str">
        <f>IF($AS452="","",TRIM(IF(COUNTIFS(Calc!$B$2:$B$1601,ROW()-1,Calc!$C$2:$C$1601,"&lt;1")&gt;0,"Ada PO tanpa Koli - cek TMP. ","")&amp;IF(OR($AU452="",$AU452&lt;=0),"Volume kosong/0 - dimensi dikosongkan. ","")&amp;IF(AND($AU452&lt;&gt;"",$AU452&gt;=1000000),"Volume &gt;= 1.000.000 cm3 (di luar aturan) - dimensi dikosongkan. ","")&amp;IF(LEN($R452)&gt;500,"R &gt; 500 karakter.","")))</f>
        <v/>
      </c>
      <c r="AS452" t="str">
        <f>IFERROR(MATCH(ROW()-1,Calc!$J$2:$J$1601,0),"")</f>
        <v/>
      </c>
      <c r="AT452" t="str">
        <f>IFERROR(MATCH(ROW()-1,Calc!$K$2:$K$1601,0),"")</f>
        <v/>
      </c>
      <c r="AU452" t="str">
        <f>IF($AS452="","",IFERROR(INDEX('TMP Paste'!$D$2:$D$1601,$AS452)*1000000/$AB452,""))</f>
        <v/>
      </c>
    </row>
    <row r="453" spans="1:47">
      <c r="A453" t="str">
        <f>IF($AS453="","",INDEX('TMP Paste'!$B$2:$B$1601,$AS453))</f>
        <v/>
      </c>
      <c r="B453" t="str">
        <f>IF($AS453="","",Config!$B$14)</f>
        <v/>
      </c>
      <c r="C453" t="str">
        <f>IF($AS453="","",Config!$B$15)</f>
        <v/>
      </c>
      <c r="D453" t="str">
        <f>IF($AS453="","",INDEX('TMP Paste'!$B$2:$B$1601,$AS453))</f>
        <v/>
      </c>
      <c r="E453" t="str">
        <f>IF($AS453="","",Config!$B$27)</f>
        <v/>
      </c>
      <c r="F453" t="str">
        <f>IF($AS453="","",Config!$B$9)</f>
        <v/>
      </c>
      <c r="G453" t="str">
        <f>IF($AS453="","",Config!$B$10)</f>
        <v/>
      </c>
      <c r="H453" t="str">
        <f>IF($AS453="","",Config!$B$11)</f>
        <v/>
      </c>
      <c r="I453" t="str">
        <f>IF($AS453="","",Config!$B$16)</f>
        <v/>
      </c>
      <c r="J453" t="str">
        <f>IF($AS453="","",INDEX('TMP Paste'!$A$2:$A$1601,$AS453))</f>
        <v/>
      </c>
      <c r="K453" t="str">
        <f>IF($AS453="","",INDEX('TMP Paste'!$L$2:$L$1601,$AS453))</f>
        <v/>
      </c>
      <c r="L453" t="str">
        <f>IF($AS453="","",INDEX('TMP Paste'!$I$2:$I$1601,$AS453))</f>
        <v/>
      </c>
      <c r="M453" t="str">
        <f>IF($AS453="","",Config!$B$16)</f>
        <v/>
      </c>
      <c r="N453" t="str">
        <f t="shared" si="42"/>
        <v/>
      </c>
      <c r="O453" t="str">
        <f>IF($AS453="","",INDEX('TMP Paste'!$K$2:$K$1601,$AS453))</f>
        <v/>
      </c>
      <c r="P453" t="str">
        <f t="shared" si="43"/>
        <v/>
      </c>
      <c r="Q453" t="str">
        <f>IF($AS453="","",INDEX('TMP Paste'!$J$2:$J$1601,$AS453))</f>
        <v/>
      </c>
      <c r="R453" t="str">
        <f>IF($AS453="","",Config!$B$24)</f>
        <v/>
      </c>
      <c r="S453" t="str">
        <f ca="1">IF($AS453="","",TEXT(Config!$B$4,"yyyy-mm-dd"))</f>
        <v/>
      </c>
      <c r="T453" t="str">
        <f>IF($AS453="","",Config!$B$17)</f>
        <v/>
      </c>
      <c r="U453" t="str">
        <f>IF($AS453="","",Config!$B$18)</f>
        <v/>
      </c>
      <c r="V453" t="str">
        <f>IF($AS453="","",Config!$B$19)</f>
        <v/>
      </c>
      <c r="W453" t="str">
        <f>IF($AS453="","",INDEX('TMP Paste'!$C$2:$C$1601,$AS453))</f>
        <v/>
      </c>
      <c r="X453" t="str">
        <f>IF($AS453="","",Config!$B$29)</f>
        <v/>
      </c>
      <c r="Y453" t="str">
        <f>IF($AT453="","",INDEX(Calc!$I$2:$I$1601,$AT453)&amp;" - "&amp;INDEX(Calc!$D$2:$D$1601,$AT453)&amp;" koli")</f>
        <v/>
      </c>
      <c r="Z453" t="str">
        <f>IF($AS453="","",Config!$B$21)</f>
        <v/>
      </c>
      <c r="AA453" t="str">
        <f>IF($AS453="","",Config!$B$22)</f>
        <v/>
      </c>
      <c r="AB453" t="str">
        <f>IF($AT453="","",INDEX(Calc!$D$2:$D$1601,$AT453))</f>
        <v/>
      </c>
      <c r="AC453" t="str">
        <f>IF($AT453="","",INDEX(Calc!$G$2:$G$1601,$AT453))</f>
        <v/>
      </c>
      <c r="AD453" t="str">
        <f>IF($AS453="","",Config!$B$23)</f>
        <v/>
      </c>
      <c r="AE453" t="str">
        <f>IF($AS453="","",Config!$B$28)</f>
        <v/>
      </c>
      <c r="AF453" t="str">
        <f t="shared" si="44"/>
        <v/>
      </c>
      <c r="AG453" t="str">
        <f t="shared" si="45"/>
        <v/>
      </c>
      <c r="AH453" t="str">
        <f t="shared" si="46"/>
        <v/>
      </c>
      <c r="AI453" t="str">
        <f>IF($AG453="","",SUMIF($AG$2:$AG453,$AG453,$AH$2:$AH453))</f>
        <v/>
      </c>
      <c r="AJ453" t="str">
        <f>IF('TMP Paste'!$F453="","",IF('TMP Paste'!$B453="",$AJ452,'TMP Paste'!$B453))</f>
        <v/>
      </c>
      <c r="AK453" t="str">
        <f>IF('TMP Paste'!$F453="","",N('TMP Paste'!$G453))</f>
        <v/>
      </c>
      <c r="AL453" t="str">
        <f>IF('TMP Paste'!$F453="","",IF('TMP Paste'!$M453="",$AL452,'TMP Paste'!$M453))</f>
        <v/>
      </c>
      <c r="AM453" t="str">
        <f>IF('TMP Paste'!$F453="","",IF('TMP Paste'!$N453="",$AM452,'TMP Paste'!$N453))</f>
        <v/>
      </c>
      <c r="AN453" t="str">
        <f>IF('TMP Paste'!$F453="","",IF('TMP Paste'!$O453="",$AN452,'TMP Paste'!$O453))</f>
        <v/>
      </c>
      <c r="AO453" t="str">
        <f>IF('TMP Paste'!$F453="","",IF('TMP Paste'!$P453="",$AO452,'TMP Paste'!$P453))</f>
        <v/>
      </c>
      <c r="AP453" t="str">
        <f t="shared" si="47"/>
        <v/>
      </c>
      <c r="AQ453" t="str">
        <f>IF($AS453="","",TRIM(IF(COUNTIFS(Calc!$B$2:$B$1601,ROW()-1,Calc!$C$2:$C$1601,"&lt;1")&gt;0,"Ada PO tanpa Koli - cek TMP. ","")&amp;IF(OR($AU453="",$AU453&lt;=0),"Volume kosong/0 - dimensi dikosongkan. ","")&amp;IF(AND($AU453&lt;&gt;"",$AU453&gt;=1000000),"Volume &gt;= 1.000.000 cm3 (di luar aturan) - dimensi dikosongkan. ","")&amp;IF(LEN($R453)&gt;500,"R &gt; 500 karakter.","")))</f>
        <v/>
      </c>
      <c r="AS453" t="str">
        <f>IFERROR(MATCH(ROW()-1,Calc!$J$2:$J$1601,0),"")</f>
        <v/>
      </c>
      <c r="AT453" t="str">
        <f>IFERROR(MATCH(ROW()-1,Calc!$K$2:$K$1601,0),"")</f>
        <v/>
      </c>
      <c r="AU453" t="str">
        <f>IF($AS453="","",IFERROR(INDEX('TMP Paste'!$D$2:$D$1601,$AS453)*1000000/$AB453,""))</f>
        <v/>
      </c>
    </row>
    <row r="454" spans="1:47">
      <c r="A454" t="str">
        <f>IF($AS454="","",INDEX('TMP Paste'!$B$2:$B$1601,$AS454))</f>
        <v/>
      </c>
      <c r="B454" t="str">
        <f>IF($AS454="","",Config!$B$14)</f>
        <v/>
      </c>
      <c r="C454" t="str">
        <f>IF($AS454="","",Config!$B$15)</f>
        <v/>
      </c>
      <c r="D454" t="str">
        <f>IF($AS454="","",INDEX('TMP Paste'!$B$2:$B$1601,$AS454))</f>
        <v/>
      </c>
      <c r="E454" t="str">
        <f>IF($AS454="","",Config!$B$27)</f>
        <v/>
      </c>
      <c r="F454" t="str">
        <f>IF($AS454="","",Config!$B$9)</f>
        <v/>
      </c>
      <c r="G454" t="str">
        <f>IF($AS454="","",Config!$B$10)</f>
        <v/>
      </c>
      <c r="H454" t="str">
        <f>IF($AS454="","",Config!$B$11)</f>
        <v/>
      </c>
      <c r="I454" t="str">
        <f>IF($AS454="","",Config!$B$16)</f>
        <v/>
      </c>
      <c r="J454" t="str">
        <f>IF($AS454="","",INDEX('TMP Paste'!$A$2:$A$1601,$AS454))</f>
        <v/>
      </c>
      <c r="K454" t="str">
        <f>IF($AS454="","",INDEX('TMP Paste'!$L$2:$L$1601,$AS454))</f>
        <v/>
      </c>
      <c r="L454" t="str">
        <f>IF($AS454="","",INDEX('TMP Paste'!$I$2:$I$1601,$AS454))</f>
        <v/>
      </c>
      <c r="M454" t="str">
        <f>IF($AS454="","",Config!$B$16)</f>
        <v/>
      </c>
      <c r="N454" t="str">
        <f t="shared" si="42"/>
        <v/>
      </c>
      <c r="O454" t="str">
        <f>IF($AS454="","",INDEX('TMP Paste'!$K$2:$K$1601,$AS454))</f>
        <v/>
      </c>
      <c r="P454" t="str">
        <f t="shared" si="43"/>
        <v/>
      </c>
      <c r="Q454" t="str">
        <f>IF($AS454="","",INDEX('TMP Paste'!$J$2:$J$1601,$AS454))</f>
        <v/>
      </c>
      <c r="R454" t="str">
        <f>IF($AS454="","",Config!$B$24)</f>
        <v/>
      </c>
      <c r="S454" t="str">
        <f ca="1">IF($AS454="","",TEXT(Config!$B$4,"yyyy-mm-dd"))</f>
        <v/>
      </c>
      <c r="T454" t="str">
        <f>IF($AS454="","",Config!$B$17)</f>
        <v/>
      </c>
      <c r="U454" t="str">
        <f>IF($AS454="","",Config!$B$18)</f>
        <v/>
      </c>
      <c r="V454" t="str">
        <f>IF($AS454="","",Config!$B$19)</f>
        <v/>
      </c>
      <c r="W454" t="str">
        <f>IF($AS454="","",INDEX('TMP Paste'!$C$2:$C$1601,$AS454))</f>
        <v/>
      </c>
      <c r="X454" t="str">
        <f>IF($AS454="","",Config!$B$29)</f>
        <v/>
      </c>
      <c r="Y454" t="str">
        <f>IF($AT454="","",INDEX(Calc!$I$2:$I$1601,$AT454)&amp;" - "&amp;INDEX(Calc!$D$2:$D$1601,$AT454)&amp;" koli")</f>
        <v/>
      </c>
      <c r="Z454" t="str">
        <f>IF($AS454="","",Config!$B$21)</f>
        <v/>
      </c>
      <c r="AA454" t="str">
        <f>IF($AS454="","",Config!$B$22)</f>
        <v/>
      </c>
      <c r="AB454" t="str">
        <f>IF($AT454="","",INDEX(Calc!$D$2:$D$1601,$AT454))</f>
        <v/>
      </c>
      <c r="AC454" t="str">
        <f>IF($AT454="","",INDEX(Calc!$G$2:$G$1601,$AT454))</f>
        <v/>
      </c>
      <c r="AD454" t="str">
        <f>IF($AS454="","",Config!$B$23)</f>
        <v/>
      </c>
      <c r="AE454" t="str">
        <f>IF($AS454="","",Config!$B$28)</f>
        <v/>
      </c>
      <c r="AF454" t="str">
        <f t="shared" si="44"/>
        <v/>
      </c>
      <c r="AG454" t="str">
        <f t="shared" si="45"/>
        <v/>
      </c>
      <c r="AH454" t="str">
        <f t="shared" si="46"/>
        <v/>
      </c>
      <c r="AI454" t="str">
        <f>IF($AG454="","",SUMIF($AG$2:$AG454,$AG454,$AH$2:$AH454))</f>
        <v/>
      </c>
      <c r="AJ454" t="str">
        <f>IF('TMP Paste'!$F454="","",IF('TMP Paste'!$B454="",$AJ453,'TMP Paste'!$B454))</f>
        <v/>
      </c>
      <c r="AK454" t="str">
        <f>IF('TMP Paste'!$F454="","",N('TMP Paste'!$G454))</f>
        <v/>
      </c>
      <c r="AL454" t="str">
        <f>IF('TMP Paste'!$F454="","",IF('TMP Paste'!$M454="",$AL453,'TMP Paste'!$M454))</f>
        <v/>
      </c>
      <c r="AM454" t="str">
        <f>IF('TMP Paste'!$F454="","",IF('TMP Paste'!$N454="",$AM453,'TMP Paste'!$N454))</f>
        <v/>
      </c>
      <c r="AN454" t="str">
        <f>IF('TMP Paste'!$F454="","",IF('TMP Paste'!$O454="",$AN453,'TMP Paste'!$O454))</f>
        <v/>
      </c>
      <c r="AO454" t="str">
        <f>IF('TMP Paste'!$F454="","",IF('TMP Paste'!$P454="",$AO453,'TMP Paste'!$P454))</f>
        <v/>
      </c>
      <c r="AP454" t="str">
        <f t="shared" si="47"/>
        <v/>
      </c>
      <c r="AQ454" t="str">
        <f>IF($AS454="","",TRIM(IF(COUNTIFS(Calc!$B$2:$B$1601,ROW()-1,Calc!$C$2:$C$1601,"&lt;1")&gt;0,"Ada PO tanpa Koli - cek TMP. ","")&amp;IF(OR($AU454="",$AU454&lt;=0),"Volume kosong/0 - dimensi dikosongkan. ","")&amp;IF(AND($AU454&lt;&gt;"",$AU454&gt;=1000000),"Volume &gt;= 1.000.000 cm3 (di luar aturan) - dimensi dikosongkan. ","")&amp;IF(LEN($R454)&gt;500,"R &gt; 500 karakter.","")))</f>
        <v/>
      </c>
      <c r="AS454" t="str">
        <f>IFERROR(MATCH(ROW()-1,Calc!$J$2:$J$1601,0),"")</f>
        <v/>
      </c>
      <c r="AT454" t="str">
        <f>IFERROR(MATCH(ROW()-1,Calc!$K$2:$K$1601,0),"")</f>
        <v/>
      </c>
      <c r="AU454" t="str">
        <f>IF($AS454="","",IFERROR(INDEX('TMP Paste'!$D$2:$D$1601,$AS454)*1000000/$AB454,""))</f>
        <v/>
      </c>
    </row>
    <row r="455" spans="1:47">
      <c r="A455" t="str">
        <f>IF($AS455="","",INDEX('TMP Paste'!$B$2:$B$1601,$AS455))</f>
        <v/>
      </c>
      <c r="B455" t="str">
        <f>IF($AS455="","",Config!$B$14)</f>
        <v/>
      </c>
      <c r="C455" t="str">
        <f>IF($AS455="","",Config!$B$15)</f>
        <v/>
      </c>
      <c r="D455" t="str">
        <f>IF($AS455="","",INDEX('TMP Paste'!$B$2:$B$1601,$AS455))</f>
        <v/>
      </c>
      <c r="E455" t="str">
        <f>IF($AS455="","",Config!$B$27)</f>
        <v/>
      </c>
      <c r="F455" t="str">
        <f>IF($AS455="","",Config!$B$9)</f>
        <v/>
      </c>
      <c r="G455" t="str">
        <f>IF($AS455="","",Config!$B$10)</f>
        <v/>
      </c>
      <c r="H455" t="str">
        <f>IF($AS455="","",Config!$B$11)</f>
        <v/>
      </c>
      <c r="I455" t="str">
        <f>IF($AS455="","",Config!$B$16)</f>
        <v/>
      </c>
      <c r="J455" t="str">
        <f>IF($AS455="","",INDEX('TMP Paste'!$A$2:$A$1601,$AS455))</f>
        <v/>
      </c>
      <c r="K455" t="str">
        <f>IF($AS455="","",INDEX('TMP Paste'!$L$2:$L$1601,$AS455))</f>
        <v/>
      </c>
      <c r="L455" t="str">
        <f>IF($AS455="","",INDEX('TMP Paste'!$I$2:$I$1601,$AS455))</f>
        <v/>
      </c>
      <c r="M455" t="str">
        <f>IF($AS455="","",Config!$B$16)</f>
        <v/>
      </c>
      <c r="N455" t="str">
        <f t="shared" si="42"/>
        <v/>
      </c>
      <c r="O455" t="str">
        <f>IF($AS455="","",INDEX('TMP Paste'!$K$2:$K$1601,$AS455))</f>
        <v/>
      </c>
      <c r="P455" t="str">
        <f t="shared" si="43"/>
        <v/>
      </c>
      <c r="Q455" t="str">
        <f>IF($AS455="","",INDEX('TMP Paste'!$J$2:$J$1601,$AS455))</f>
        <v/>
      </c>
      <c r="R455" t="str">
        <f>IF($AS455="","",Config!$B$24)</f>
        <v/>
      </c>
      <c r="S455" t="str">
        <f ca="1">IF($AS455="","",TEXT(Config!$B$4,"yyyy-mm-dd"))</f>
        <v/>
      </c>
      <c r="T455" t="str">
        <f>IF($AS455="","",Config!$B$17)</f>
        <v/>
      </c>
      <c r="U455" t="str">
        <f>IF($AS455="","",Config!$B$18)</f>
        <v/>
      </c>
      <c r="V455" t="str">
        <f>IF($AS455="","",Config!$B$19)</f>
        <v/>
      </c>
      <c r="W455" t="str">
        <f>IF($AS455="","",INDEX('TMP Paste'!$C$2:$C$1601,$AS455))</f>
        <v/>
      </c>
      <c r="X455" t="str">
        <f>IF($AS455="","",Config!$B$29)</f>
        <v/>
      </c>
      <c r="Y455" t="str">
        <f>IF($AT455="","",INDEX(Calc!$I$2:$I$1601,$AT455)&amp;" - "&amp;INDEX(Calc!$D$2:$D$1601,$AT455)&amp;" koli")</f>
        <v/>
      </c>
      <c r="Z455" t="str">
        <f>IF($AS455="","",Config!$B$21)</f>
        <v/>
      </c>
      <c r="AA455" t="str">
        <f>IF($AS455="","",Config!$B$22)</f>
        <v/>
      </c>
      <c r="AB455" t="str">
        <f>IF($AT455="","",INDEX(Calc!$D$2:$D$1601,$AT455))</f>
        <v/>
      </c>
      <c r="AC455" t="str">
        <f>IF($AT455="","",INDEX(Calc!$G$2:$G$1601,$AT455))</f>
        <v/>
      </c>
      <c r="AD455" t="str">
        <f>IF($AS455="","",Config!$B$23)</f>
        <v/>
      </c>
      <c r="AE455" t="str">
        <f>IF($AS455="","",Config!$B$28)</f>
        <v/>
      </c>
      <c r="AF455" t="str">
        <f t="shared" si="44"/>
        <v/>
      </c>
      <c r="AG455" t="str">
        <f t="shared" si="45"/>
        <v/>
      </c>
      <c r="AH455" t="str">
        <f t="shared" si="46"/>
        <v/>
      </c>
      <c r="AI455" t="str">
        <f>IF($AG455="","",SUMIF($AG$2:$AG455,$AG455,$AH$2:$AH455))</f>
        <v/>
      </c>
      <c r="AJ455" t="str">
        <f>IF('TMP Paste'!$F455="","",IF('TMP Paste'!$B455="",$AJ454,'TMP Paste'!$B455))</f>
        <v/>
      </c>
      <c r="AK455" t="str">
        <f>IF('TMP Paste'!$F455="","",N('TMP Paste'!$G455))</f>
        <v/>
      </c>
      <c r="AL455" t="str">
        <f>IF('TMP Paste'!$F455="","",IF('TMP Paste'!$M455="",$AL454,'TMP Paste'!$M455))</f>
        <v/>
      </c>
      <c r="AM455" t="str">
        <f>IF('TMP Paste'!$F455="","",IF('TMP Paste'!$N455="",$AM454,'TMP Paste'!$N455))</f>
        <v/>
      </c>
      <c r="AN455" t="str">
        <f>IF('TMP Paste'!$F455="","",IF('TMP Paste'!$O455="",$AN454,'TMP Paste'!$O455))</f>
        <v/>
      </c>
      <c r="AO455" t="str">
        <f>IF('TMP Paste'!$F455="","",IF('TMP Paste'!$P455="",$AO454,'TMP Paste'!$P455))</f>
        <v/>
      </c>
      <c r="AP455" t="str">
        <f t="shared" si="47"/>
        <v/>
      </c>
      <c r="AQ455" t="str">
        <f>IF($AS455="","",TRIM(IF(COUNTIFS(Calc!$B$2:$B$1601,ROW()-1,Calc!$C$2:$C$1601,"&lt;1")&gt;0,"Ada PO tanpa Koli - cek TMP. ","")&amp;IF(OR($AU455="",$AU455&lt;=0),"Volume kosong/0 - dimensi dikosongkan. ","")&amp;IF(AND($AU455&lt;&gt;"",$AU455&gt;=1000000),"Volume &gt;= 1.000.000 cm3 (di luar aturan) - dimensi dikosongkan. ","")&amp;IF(LEN($R455)&gt;500,"R &gt; 500 karakter.","")))</f>
        <v/>
      </c>
      <c r="AS455" t="str">
        <f>IFERROR(MATCH(ROW()-1,Calc!$J$2:$J$1601,0),"")</f>
        <v/>
      </c>
      <c r="AT455" t="str">
        <f>IFERROR(MATCH(ROW()-1,Calc!$K$2:$K$1601,0),"")</f>
        <v/>
      </c>
      <c r="AU455" t="str">
        <f>IF($AS455="","",IFERROR(INDEX('TMP Paste'!$D$2:$D$1601,$AS455)*1000000/$AB455,""))</f>
        <v/>
      </c>
    </row>
    <row r="456" spans="1:47">
      <c r="A456" t="str">
        <f>IF($AS456="","",INDEX('TMP Paste'!$B$2:$B$1601,$AS456))</f>
        <v/>
      </c>
      <c r="B456" t="str">
        <f>IF($AS456="","",Config!$B$14)</f>
        <v/>
      </c>
      <c r="C456" t="str">
        <f>IF($AS456="","",Config!$B$15)</f>
        <v/>
      </c>
      <c r="D456" t="str">
        <f>IF($AS456="","",INDEX('TMP Paste'!$B$2:$B$1601,$AS456))</f>
        <v/>
      </c>
      <c r="E456" t="str">
        <f>IF($AS456="","",Config!$B$27)</f>
        <v/>
      </c>
      <c r="F456" t="str">
        <f>IF($AS456="","",Config!$B$9)</f>
        <v/>
      </c>
      <c r="G456" t="str">
        <f>IF($AS456="","",Config!$B$10)</f>
        <v/>
      </c>
      <c r="H456" t="str">
        <f>IF($AS456="","",Config!$B$11)</f>
        <v/>
      </c>
      <c r="I456" t="str">
        <f>IF($AS456="","",Config!$B$16)</f>
        <v/>
      </c>
      <c r="J456" t="str">
        <f>IF($AS456="","",INDEX('TMP Paste'!$A$2:$A$1601,$AS456))</f>
        <v/>
      </c>
      <c r="K456" t="str">
        <f>IF($AS456="","",INDEX('TMP Paste'!$L$2:$L$1601,$AS456))</f>
        <v/>
      </c>
      <c r="L456" t="str">
        <f>IF($AS456="","",INDEX('TMP Paste'!$I$2:$I$1601,$AS456))</f>
        <v/>
      </c>
      <c r="M456" t="str">
        <f>IF($AS456="","",Config!$B$16)</f>
        <v/>
      </c>
      <c r="N456" t="str">
        <f t="shared" si="42"/>
        <v/>
      </c>
      <c r="O456" t="str">
        <f>IF($AS456="","",INDEX('TMP Paste'!$K$2:$K$1601,$AS456))</f>
        <v/>
      </c>
      <c r="P456" t="str">
        <f t="shared" si="43"/>
        <v/>
      </c>
      <c r="Q456" t="str">
        <f>IF($AS456="","",INDEX('TMP Paste'!$J$2:$J$1601,$AS456))</f>
        <v/>
      </c>
      <c r="R456" t="str">
        <f>IF($AS456="","",Config!$B$24)</f>
        <v/>
      </c>
      <c r="S456" t="str">
        <f ca="1">IF($AS456="","",TEXT(Config!$B$4,"yyyy-mm-dd"))</f>
        <v/>
      </c>
      <c r="T456" t="str">
        <f>IF($AS456="","",Config!$B$17)</f>
        <v/>
      </c>
      <c r="U456" t="str">
        <f>IF($AS456="","",Config!$B$18)</f>
        <v/>
      </c>
      <c r="V456" t="str">
        <f>IF($AS456="","",Config!$B$19)</f>
        <v/>
      </c>
      <c r="W456" t="str">
        <f>IF($AS456="","",INDEX('TMP Paste'!$C$2:$C$1601,$AS456))</f>
        <v/>
      </c>
      <c r="X456" t="str">
        <f>IF($AS456="","",Config!$B$29)</f>
        <v/>
      </c>
      <c r="Y456" t="str">
        <f>IF($AT456="","",INDEX(Calc!$I$2:$I$1601,$AT456)&amp;" - "&amp;INDEX(Calc!$D$2:$D$1601,$AT456)&amp;" koli")</f>
        <v/>
      </c>
      <c r="Z456" t="str">
        <f>IF($AS456="","",Config!$B$21)</f>
        <v/>
      </c>
      <c r="AA456" t="str">
        <f>IF($AS456="","",Config!$B$22)</f>
        <v/>
      </c>
      <c r="AB456" t="str">
        <f>IF($AT456="","",INDEX(Calc!$D$2:$D$1601,$AT456))</f>
        <v/>
      </c>
      <c r="AC456" t="str">
        <f>IF($AT456="","",INDEX(Calc!$G$2:$G$1601,$AT456))</f>
        <v/>
      </c>
      <c r="AD456" t="str">
        <f>IF($AS456="","",Config!$B$23)</f>
        <v/>
      </c>
      <c r="AE456" t="str">
        <f>IF($AS456="","",Config!$B$28)</f>
        <v/>
      </c>
      <c r="AF456" t="str">
        <f t="shared" si="44"/>
        <v/>
      </c>
      <c r="AG456" t="str">
        <f t="shared" si="45"/>
        <v/>
      </c>
      <c r="AH456" t="str">
        <f t="shared" si="46"/>
        <v/>
      </c>
      <c r="AI456" t="str">
        <f>IF($AG456="","",SUMIF($AG$2:$AG456,$AG456,$AH$2:$AH456))</f>
        <v/>
      </c>
      <c r="AJ456" t="str">
        <f>IF('TMP Paste'!$F456="","",IF('TMP Paste'!$B456="",$AJ455,'TMP Paste'!$B456))</f>
        <v/>
      </c>
      <c r="AK456" t="str">
        <f>IF('TMP Paste'!$F456="","",N('TMP Paste'!$G456))</f>
        <v/>
      </c>
      <c r="AL456" t="str">
        <f>IF('TMP Paste'!$F456="","",IF('TMP Paste'!$M456="",$AL455,'TMP Paste'!$M456))</f>
        <v/>
      </c>
      <c r="AM456" t="str">
        <f>IF('TMP Paste'!$F456="","",IF('TMP Paste'!$N456="",$AM455,'TMP Paste'!$N456))</f>
        <v/>
      </c>
      <c r="AN456" t="str">
        <f>IF('TMP Paste'!$F456="","",IF('TMP Paste'!$O456="",$AN455,'TMP Paste'!$O456))</f>
        <v/>
      </c>
      <c r="AO456" t="str">
        <f>IF('TMP Paste'!$F456="","",IF('TMP Paste'!$P456="",$AO455,'TMP Paste'!$P456))</f>
        <v/>
      </c>
      <c r="AP456" t="str">
        <f t="shared" si="47"/>
        <v/>
      </c>
      <c r="AQ456" t="str">
        <f>IF($AS456="","",TRIM(IF(COUNTIFS(Calc!$B$2:$B$1601,ROW()-1,Calc!$C$2:$C$1601,"&lt;1")&gt;0,"Ada PO tanpa Koli - cek TMP. ","")&amp;IF(OR($AU456="",$AU456&lt;=0),"Volume kosong/0 - dimensi dikosongkan. ","")&amp;IF(AND($AU456&lt;&gt;"",$AU456&gt;=1000000),"Volume &gt;= 1.000.000 cm3 (di luar aturan) - dimensi dikosongkan. ","")&amp;IF(LEN($R456)&gt;500,"R &gt; 500 karakter.","")))</f>
        <v/>
      </c>
      <c r="AS456" t="str">
        <f>IFERROR(MATCH(ROW()-1,Calc!$J$2:$J$1601,0),"")</f>
        <v/>
      </c>
      <c r="AT456" t="str">
        <f>IFERROR(MATCH(ROW()-1,Calc!$K$2:$K$1601,0),"")</f>
        <v/>
      </c>
      <c r="AU456" t="str">
        <f>IF($AS456="","",IFERROR(INDEX('TMP Paste'!$D$2:$D$1601,$AS456)*1000000/$AB456,""))</f>
        <v/>
      </c>
    </row>
    <row r="457" spans="1:47">
      <c r="A457" t="str">
        <f>IF($AS457="","",INDEX('TMP Paste'!$B$2:$B$1601,$AS457))</f>
        <v/>
      </c>
      <c r="B457" t="str">
        <f>IF($AS457="","",Config!$B$14)</f>
        <v/>
      </c>
      <c r="C457" t="str">
        <f>IF($AS457="","",Config!$B$15)</f>
        <v/>
      </c>
      <c r="D457" t="str">
        <f>IF($AS457="","",INDEX('TMP Paste'!$B$2:$B$1601,$AS457))</f>
        <v/>
      </c>
      <c r="E457" t="str">
        <f>IF($AS457="","",Config!$B$27)</f>
        <v/>
      </c>
      <c r="F457" t="str">
        <f>IF($AS457="","",Config!$B$9)</f>
        <v/>
      </c>
      <c r="G457" t="str">
        <f>IF($AS457="","",Config!$B$10)</f>
        <v/>
      </c>
      <c r="H457" t="str">
        <f>IF($AS457="","",Config!$B$11)</f>
        <v/>
      </c>
      <c r="I457" t="str">
        <f>IF($AS457="","",Config!$B$16)</f>
        <v/>
      </c>
      <c r="J457" t="str">
        <f>IF($AS457="","",INDEX('TMP Paste'!$A$2:$A$1601,$AS457))</f>
        <v/>
      </c>
      <c r="K457" t="str">
        <f>IF($AS457="","",INDEX('TMP Paste'!$L$2:$L$1601,$AS457))</f>
        <v/>
      </c>
      <c r="L457" t="str">
        <f>IF($AS457="","",INDEX('TMP Paste'!$I$2:$I$1601,$AS457))</f>
        <v/>
      </c>
      <c r="M457" t="str">
        <f>IF($AS457="","",Config!$B$16)</f>
        <v/>
      </c>
      <c r="N457" t="str">
        <f t="shared" si="42"/>
        <v/>
      </c>
      <c r="O457" t="str">
        <f>IF($AS457="","",INDEX('TMP Paste'!$K$2:$K$1601,$AS457))</f>
        <v/>
      </c>
      <c r="P457" t="str">
        <f t="shared" si="43"/>
        <v/>
      </c>
      <c r="Q457" t="str">
        <f>IF($AS457="","",INDEX('TMP Paste'!$J$2:$J$1601,$AS457))</f>
        <v/>
      </c>
      <c r="R457" t="str">
        <f>IF($AS457="","",Config!$B$24)</f>
        <v/>
      </c>
      <c r="S457" t="str">
        <f ca="1">IF($AS457="","",TEXT(Config!$B$4,"yyyy-mm-dd"))</f>
        <v/>
      </c>
      <c r="T457" t="str">
        <f>IF($AS457="","",Config!$B$17)</f>
        <v/>
      </c>
      <c r="U457" t="str">
        <f>IF($AS457="","",Config!$B$18)</f>
        <v/>
      </c>
      <c r="V457" t="str">
        <f>IF($AS457="","",Config!$B$19)</f>
        <v/>
      </c>
      <c r="W457" t="str">
        <f>IF($AS457="","",INDEX('TMP Paste'!$C$2:$C$1601,$AS457))</f>
        <v/>
      </c>
      <c r="X457" t="str">
        <f>IF($AS457="","",Config!$B$29)</f>
        <v/>
      </c>
      <c r="Y457" t="str">
        <f>IF($AT457="","",INDEX(Calc!$I$2:$I$1601,$AT457)&amp;" - "&amp;INDEX(Calc!$D$2:$D$1601,$AT457)&amp;" koli")</f>
        <v/>
      </c>
      <c r="Z457" t="str">
        <f>IF($AS457="","",Config!$B$21)</f>
        <v/>
      </c>
      <c r="AA457" t="str">
        <f>IF($AS457="","",Config!$B$22)</f>
        <v/>
      </c>
      <c r="AB457" t="str">
        <f>IF($AT457="","",INDEX(Calc!$D$2:$D$1601,$AT457))</f>
        <v/>
      </c>
      <c r="AC457" t="str">
        <f>IF($AT457="","",INDEX(Calc!$G$2:$G$1601,$AT457))</f>
        <v/>
      </c>
      <c r="AD457" t="str">
        <f>IF($AS457="","",Config!$B$23)</f>
        <v/>
      </c>
      <c r="AE457" t="str">
        <f>IF($AS457="","",Config!$B$28)</f>
        <v/>
      </c>
      <c r="AF457" t="str">
        <f t="shared" si="44"/>
        <v/>
      </c>
      <c r="AG457" t="str">
        <f t="shared" si="45"/>
        <v/>
      </c>
      <c r="AH457" t="str">
        <f t="shared" si="46"/>
        <v/>
      </c>
      <c r="AI457" t="str">
        <f>IF($AG457="","",SUMIF($AG$2:$AG457,$AG457,$AH$2:$AH457))</f>
        <v/>
      </c>
      <c r="AJ457" t="str">
        <f>IF('TMP Paste'!$F457="","",IF('TMP Paste'!$B457="",$AJ456,'TMP Paste'!$B457))</f>
        <v/>
      </c>
      <c r="AK457" t="str">
        <f>IF('TMP Paste'!$F457="","",N('TMP Paste'!$G457))</f>
        <v/>
      </c>
      <c r="AL457" t="str">
        <f>IF('TMP Paste'!$F457="","",IF('TMP Paste'!$M457="",$AL456,'TMP Paste'!$M457))</f>
        <v/>
      </c>
      <c r="AM457" t="str">
        <f>IF('TMP Paste'!$F457="","",IF('TMP Paste'!$N457="",$AM456,'TMP Paste'!$N457))</f>
        <v/>
      </c>
      <c r="AN457" t="str">
        <f>IF('TMP Paste'!$F457="","",IF('TMP Paste'!$O457="",$AN456,'TMP Paste'!$O457))</f>
        <v/>
      </c>
      <c r="AO457" t="str">
        <f>IF('TMP Paste'!$F457="","",IF('TMP Paste'!$P457="",$AO456,'TMP Paste'!$P457))</f>
        <v/>
      </c>
      <c r="AP457" t="str">
        <f t="shared" si="47"/>
        <v/>
      </c>
      <c r="AQ457" t="str">
        <f>IF($AS457="","",TRIM(IF(COUNTIFS(Calc!$B$2:$B$1601,ROW()-1,Calc!$C$2:$C$1601,"&lt;1")&gt;0,"Ada PO tanpa Koli - cek TMP. ","")&amp;IF(OR($AU457="",$AU457&lt;=0),"Volume kosong/0 - dimensi dikosongkan. ","")&amp;IF(AND($AU457&lt;&gt;"",$AU457&gt;=1000000),"Volume &gt;= 1.000.000 cm3 (di luar aturan) - dimensi dikosongkan. ","")&amp;IF(LEN($R457)&gt;500,"R &gt; 500 karakter.","")))</f>
        <v/>
      </c>
      <c r="AS457" t="str">
        <f>IFERROR(MATCH(ROW()-1,Calc!$J$2:$J$1601,0),"")</f>
        <v/>
      </c>
      <c r="AT457" t="str">
        <f>IFERROR(MATCH(ROW()-1,Calc!$K$2:$K$1601,0),"")</f>
        <v/>
      </c>
      <c r="AU457" t="str">
        <f>IF($AS457="","",IFERROR(INDEX('TMP Paste'!$D$2:$D$1601,$AS457)*1000000/$AB457,""))</f>
        <v/>
      </c>
    </row>
    <row r="458" spans="1:47">
      <c r="A458" t="str">
        <f>IF($AS458="","",INDEX('TMP Paste'!$B$2:$B$1601,$AS458))</f>
        <v/>
      </c>
      <c r="B458" t="str">
        <f>IF($AS458="","",Config!$B$14)</f>
        <v/>
      </c>
      <c r="C458" t="str">
        <f>IF($AS458="","",Config!$B$15)</f>
        <v/>
      </c>
      <c r="D458" t="str">
        <f>IF($AS458="","",INDEX('TMP Paste'!$B$2:$B$1601,$AS458))</f>
        <v/>
      </c>
      <c r="E458" t="str">
        <f>IF($AS458="","",Config!$B$27)</f>
        <v/>
      </c>
      <c r="F458" t="str">
        <f>IF($AS458="","",Config!$B$9)</f>
        <v/>
      </c>
      <c r="G458" t="str">
        <f>IF($AS458="","",Config!$B$10)</f>
        <v/>
      </c>
      <c r="H458" t="str">
        <f>IF($AS458="","",Config!$B$11)</f>
        <v/>
      </c>
      <c r="I458" t="str">
        <f>IF($AS458="","",Config!$B$16)</f>
        <v/>
      </c>
      <c r="J458" t="str">
        <f>IF($AS458="","",INDEX('TMP Paste'!$A$2:$A$1601,$AS458))</f>
        <v/>
      </c>
      <c r="K458" t="str">
        <f>IF($AS458="","",INDEX('TMP Paste'!$L$2:$L$1601,$AS458))</f>
        <v/>
      </c>
      <c r="L458" t="str">
        <f>IF($AS458="","",INDEX('TMP Paste'!$I$2:$I$1601,$AS458))</f>
        <v/>
      </c>
      <c r="M458" t="str">
        <f>IF($AS458="","",Config!$B$16)</f>
        <v/>
      </c>
      <c r="N458" t="str">
        <f t="shared" si="42"/>
        <v/>
      </c>
      <c r="O458" t="str">
        <f>IF($AS458="","",INDEX('TMP Paste'!$K$2:$K$1601,$AS458))</f>
        <v/>
      </c>
      <c r="P458" t="str">
        <f t="shared" si="43"/>
        <v/>
      </c>
      <c r="Q458" t="str">
        <f>IF($AS458="","",INDEX('TMP Paste'!$J$2:$J$1601,$AS458))</f>
        <v/>
      </c>
      <c r="R458" t="str">
        <f>IF($AS458="","",Config!$B$24)</f>
        <v/>
      </c>
      <c r="S458" t="str">
        <f ca="1">IF($AS458="","",TEXT(Config!$B$4,"yyyy-mm-dd"))</f>
        <v/>
      </c>
      <c r="T458" t="str">
        <f>IF($AS458="","",Config!$B$17)</f>
        <v/>
      </c>
      <c r="U458" t="str">
        <f>IF($AS458="","",Config!$B$18)</f>
        <v/>
      </c>
      <c r="V458" t="str">
        <f>IF($AS458="","",Config!$B$19)</f>
        <v/>
      </c>
      <c r="W458" t="str">
        <f>IF($AS458="","",INDEX('TMP Paste'!$C$2:$C$1601,$AS458))</f>
        <v/>
      </c>
      <c r="X458" t="str">
        <f>IF($AS458="","",Config!$B$29)</f>
        <v/>
      </c>
      <c r="Y458" t="str">
        <f>IF($AT458="","",INDEX(Calc!$I$2:$I$1601,$AT458)&amp;" - "&amp;INDEX(Calc!$D$2:$D$1601,$AT458)&amp;" koli")</f>
        <v/>
      </c>
      <c r="Z458" t="str">
        <f>IF($AS458="","",Config!$B$21)</f>
        <v/>
      </c>
      <c r="AA458" t="str">
        <f>IF($AS458="","",Config!$B$22)</f>
        <v/>
      </c>
      <c r="AB458" t="str">
        <f>IF($AT458="","",INDEX(Calc!$D$2:$D$1601,$AT458))</f>
        <v/>
      </c>
      <c r="AC458" t="str">
        <f>IF($AT458="","",INDEX(Calc!$G$2:$G$1601,$AT458))</f>
        <v/>
      </c>
      <c r="AD458" t="str">
        <f>IF($AS458="","",Config!$B$23)</f>
        <v/>
      </c>
      <c r="AE458" t="str">
        <f>IF($AS458="","",Config!$B$28)</f>
        <v/>
      </c>
      <c r="AF458" t="str">
        <f t="shared" si="44"/>
        <v/>
      </c>
      <c r="AG458" t="str">
        <f t="shared" si="45"/>
        <v/>
      </c>
      <c r="AH458" t="str">
        <f t="shared" si="46"/>
        <v/>
      </c>
      <c r="AI458" t="str">
        <f>IF($AG458="","",SUMIF($AG$2:$AG458,$AG458,$AH$2:$AH458))</f>
        <v/>
      </c>
      <c r="AJ458" t="str">
        <f>IF('TMP Paste'!$F458="","",IF('TMP Paste'!$B458="",$AJ457,'TMP Paste'!$B458))</f>
        <v/>
      </c>
      <c r="AK458" t="str">
        <f>IF('TMP Paste'!$F458="","",N('TMP Paste'!$G458))</f>
        <v/>
      </c>
      <c r="AL458" t="str">
        <f>IF('TMP Paste'!$F458="","",IF('TMP Paste'!$M458="",$AL457,'TMP Paste'!$M458))</f>
        <v/>
      </c>
      <c r="AM458" t="str">
        <f>IF('TMP Paste'!$F458="","",IF('TMP Paste'!$N458="",$AM457,'TMP Paste'!$N458))</f>
        <v/>
      </c>
      <c r="AN458" t="str">
        <f>IF('TMP Paste'!$F458="","",IF('TMP Paste'!$O458="",$AN457,'TMP Paste'!$O458))</f>
        <v/>
      </c>
      <c r="AO458" t="str">
        <f>IF('TMP Paste'!$F458="","",IF('TMP Paste'!$P458="",$AO457,'TMP Paste'!$P458))</f>
        <v/>
      </c>
      <c r="AP458" t="str">
        <f t="shared" si="47"/>
        <v/>
      </c>
      <c r="AQ458" t="str">
        <f>IF($AS458="","",TRIM(IF(COUNTIFS(Calc!$B$2:$B$1601,ROW()-1,Calc!$C$2:$C$1601,"&lt;1")&gt;0,"Ada PO tanpa Koli - cek TMP. ","")&amp;IF(OR($AU458="",$AU458&lt;=0),"Volume kosong/0 - dimensi dikosongkan. ","")&amp;IF(AND($AU458&lt;&gt;"",$AU458&gt;=1000000),"Volume &gt;= 1.000.000 cm3 (di luar aturan) - dimensi dikosongkan. ","")&amp;IF(LEN($R458)&gt;500,"R &gt; 500 karakter.","")))</f>
        <v/>
      </c>
      <c r="AS458" t="str">
        <f>IFERROR(MATCH(ROW()-1,Calc!$J$2:$J$1601,0),"")</f>
        <v/>
      </c>
      <c r="AT458" t="str">
        <f>IFERROR(MATCH(ROW()-1,Calc!$K$2:$K$1601,0),"")</f>
        <v/>
      </c>
      <c r="AU458" t="str">
        <f>IF($AS458="","",IFERROR(INDEX('TMP Paste'!$D$2:$D$1601,$AS458)*1000000/$AB458,""))</f>
        <v/>
      </c>
    </row>
    <row r="459" spans="1:47">
      <c r="A459" t="str">
        <f>IF($AS459="","",INDEX('TMP Paste'!$B$2:$B$1601,$AS459))</f>
        <v/>
      </c>
      <c r="B459" t="str">
        <f>IF($AS459="","",Config!$B$14)</f>
        <v/>
      </c>
      <c r="C459" t="str">
        <f>IF($AS459="","",Config!$B$15)</f>
        <v/>
      </c>
      <c r="D459" t="str">
        <f>IF($AS459="","",INDEX('TMP Paste'!$B$2:$B$1601,$AS459))</f>
        <v/>
      </c>
      <c r="E459" t="str">
        <f>IF($AS459="","",Config!$B$27)</f>
        <v/>
      </c>
      <c r="F459" t="str">
        <f>IF($AS459="","",Config!$B$9)</f>
        <v/>
      </c>
      <c r="G459" t="str">
        <f>IF($AS459="","",Config!$B$10)</f>
        <v/>
      </c>
      <c r="H459" t="str">
        <f>IF($AS459="","",Config!$B$11)</f>
        <v/>
      </c>
      <c r="I459" t="str">
        <f>IF($AS459="","",Config!$B$16)</f>
        <v/>
      </c>
      <c r="J459" t="str">
        <f>IF($AS459="","",INDEX('TMP Paste'!$A$2:$A$1601,$AS459))</f>
        <v/>
      </c>
      <c r="K459" t="str">
        <f>IF($AS459="","",INDEX('TMP Paste'!$L$2:$L$1601,$AS459))</f>
        <v/>
      </c>
      <c r="L459" t="str">
        <f>IF($AS459="","",INDEX('TMP Paste'!$I$2:$I$1601,$AS459))</f>
        <v/>
      </c>
      <c r="M459" t="str">
        <f>IF($AS459="","",Config!$B$16)</f>
        <v/>
      </c>
      <c r="N459" t="str">
        <f t="shared" si="42"/>
        <v/>
      </c>
      <c r="O459" t="str">
        <f>IF($AS459="","",INDEX('TMP Paste'!$K$2:$K$1601,$AS459))</f>
        <v/>
      </c>
      <c r="P459" t="str">
        <f t="shared" si="43"/>
        <v/>
      </c>
      <c r="Q459" t="str">
        <f>IF($AS459="","",INDEX('TMP Paste'!$J$2:$J$1601,$AS459))</f>
        <v/>
      </c>
      <c r="R459" t="str">
        <f>IF($AS459="","",Config!$B$24)</f>
        <v/>
      </c>
      <c r="S459" t="str">
        <f ca="1">IF($AS459="","",TEXT(Config!$B$4,"yyyy-mm-dd"))</f>
        <v/>
      </c>
      <c r="T459" t="str">
        <f>IF($AS459="","",Config!$B$17)</f>
        <v/>
      </c>
      <c r="U459" t="str">
        <f>IF($AS459="","",Config!$B$18)</f>
        <v/>
      </c>
      <c r="V459" t="str">
        <f>IF($AS459="","",Config!$B$19)</f>
        <v/>
      </c>
      <c r="W459" t="str">
        <f>IF($AS459="","",INDEX('TMP Paste'!$C$2:$C$1601,$AS459))</f>
        <v/>
      </c>
      <c r="X459" t="str">
        <f>IF($AS459="","",Config!$B$29)</f>
        <v/>
      </c>
      <c r="Y459" t="str">
        <f>IF($AT459="","",INDEX(Calc!$I$2:$I$1601,$AT459)&amp;" - "&amp;INDEX(Calc!$D$2:$D$1601,$AT459)&amp;" koli")</f>
        <v/>
      </c>
      <c r="Z459" t="str">
        <f>IF($AS459="","",Config!$B$21)</f>
        <v/>
      </c>
      <c r="AA459" t="str">
        <f>IF($AS459="","",Config!$B$22)</f>
        <v/>
      </c>
      <c r="AB459" t="str">
        <f>IF($AT459="","",INDEX(Calc!$D$2:$D$1601,$AT459))</f>
        <v/>
      </c>
      <c r="AC459" t="str">
        <f>IF($AT459="","",INDEX(Calc!$G$2:$G$1601,$AT459))</f>
        <v/>
      </c>
      <c r="AD459" t="str">
        <f>IF($AS459="","",Config!$B$23)</f>
        <v/>
      </c>
      <c r="AE459" t="str">
        <f>IF($AS459="","",Config!$B$28)</f>
        <v/>
      </c>
      <c r="AF459" t="str">
        <f t="shared" si="44"/>
        <v/>
      </c>
      <c r="AG459" t="str">
        <f t="shared" si="45"/>
        <v/>
      </c>
      <c r="AH459" t="str">
        <f t="shared" si="46"/>
        <v/>
      </c>
      <c r="AI459" t="str">
        <f>IF($AG459="","",SUMIF($AG$2:$AG459,$AG459,$AH$2:$AH459))</f>
        <v/>
      </c>
      <c r="AJ459" t="str">
        <f>IF('TMP Paste'!$F459="","",IF('TMP Paste'!$B459="",$AJ458,'TMP Paste'!$B459))</f>
        <v/>
      </c>
      <c r="AK459" t="str">
        <f>IF('TMP Paste'!$F459="","",N('TMP Paste'!$G459))</f>
        <v/>
      </c>
      <c r="AL459" t="str">
        <f>IF('TMP Paste'!$F459="","",IF('TMP Paste'!$M459="",$AL458,'TMP Paste'!$M459))</f>
        <v/>
      </c>
      <c r="AM459" t="str">
        <f>IF('TMP Paste'!$F459="","",IF('TMP Paste'!$N459="",$AM458,'TMP Paste'!$N459))</f>
        <v/>
      </c>
      <c r="AN459" t="str">
        <f>IF('TMP Paste'!$F459="","",IF('TMP Paste'!$O459="",$AN458,'TMP Paste'!$O459))</f>
        <v/>
      </c>
      <c r="AO459" t="str">
        <f>IF('TMP Paste'!$F459="","",IF('TMP Paste'!$P459="",$AO458,'TMP Paste'!$P459))</f>
        <v/>
      </c>
      <c r="AP459" t="str">
        <f t="shared" si="47"/>
        <v/>
      </c>
      <c r="AQ459" t="str">
        <f>IF($AS459="","",TRIM(IF(COUNTIFS(Calc!$B$2:$B$1601,ROW()-1,Calc!$C$2:$C$1601,"&lt;1")&gt;0,"Ada PO tanpa Koli - cek TMP. ","")&amp;IF(OR($AU459="",$AU459&lt;=0),"Volume kosong/0 - dimensi dikosongkan. ","")&amp;IF(AND($AU459&lt;&gt;"",$AU459&gt;=1000000),"Volume &gt;= 1.000.000 cm3 (di luar aturan) - dimensi dikosongkan. ","")&amp;IF(LEN($R459)&gt;500,"R &gt; 500 karakter.","")))</f>
        <v/>
      </c>
      <c r="AS459" t="str">
        <f>IFERROR(MATCH(ROW()-1,Calc!$J$2:$J$1601,0),"")</f>
        <v/>
      </c>
      <c r="AT459" t="str">
        <f>IFERROR(MATCH(ROW()-1,Calc!$K$2:$K$1601,0),"")</f>
        <v/>
      </c>
      <c r="AU459" t="str">
        <f>IF($AS459="","",IFERROR(INDEX('TMP Paste'!$D$2:$D$1601,$AS459)*1000000/$AB459,""))</f>
        <v/>
      </c>
    </row>
    <row r="460" spans="1:47">
      <c r="A460" t="str">
        <f>IF($AS460="","",INDEX('TMP Paste'!$B$2:$B$1601,$AS460))</f>
        <v/>
      </c>
      <c r="B460" t="str">
        <f>IF($AS460="","",Config!$B$14)</f>
        <v/>
      </c>
      <c r="C460" t="str">
        <f>IF($AS460="","",Config!$B$15)</f>
        <v/>
      </c>
      <c r="D460" t="str">
        <f>IF($AS460="","",INDEX('TMP Paste'!$B$2:$B$1601,$AS460))</f>
        <v/>
      </c>
      <c r="E460" t="str">
        <f>IF($AS460="","",Config!$B$27)</f>
        <v/>
      </c>
      <c r="F460" t="str">
        <f>IF($AS460="","",Config!$B$9)</f>
        <v/>
      </c>
      <c r="G460" t="str">
        <f>IF($AS460="","",Config!$B$10)</f>
        <v/>
      </c>
      <c r="H460" t="str">
        <f>IF($AS460="","",Config!$B$11)</f>
        <v/>
      </c>
      <c r="I460" t="str">
        <f>IF($AS460="","",Config!$B$16)</f>
        <v/>
      </c>
      <c r="J460" t="str">
        <f>IF($AS460="","",INDEX('TMP Paste'!$A$2:$A$1601,$AS460))</f>
        <v/>
      </c>
      <c r="K460" t="str">
        <f>IF($AS460="","",INDEX('TMP Paste'!$L$2:$L$1601,$AS460))</f>
        <v/>
      </c>
      <c r="L460" t="str">
        <f>IF($AS460="","",INDEX('TMP Paste'!$I$2:$I$1601,$AS460))</f>
        <v/>
      </c>
      <c r="M460" t="str">
        <f>IF($AS460="","",Config!$B$16)</f>
        <v/>
      </c>
      <c r="N460" t="str">
        <f t="shared" si="42"/>
        <v/>
      </c>
      <c r="O460" t="str">
        <f>IF($AS460="","",INDEX('TMP Paste'!$K$2:$K$1601,$AS460))</f>
        <v/>
      </c>
      <c r="P460" t="str">
        <f t="shared" si="43"/>
        <v/>
      </c>
      <c r="Q460" t="str">
        <f>IF($AS460="","",INDEX('TMP Paste'!$J$2:$J$1601,$AS460))</f>
        <v/>
      </c>
      <c r="R460" t="str">
        <f>IF($AS460="","",Config!$B$24)</f>
        <v/>
      </c>
      <c r="S460" t="str">
        <f ca="1">IF($AS460="","",TEXT(Config!$B$4,"yyyy-mm-dd"))</f>
        <v/>
      </c>
      <c r="T460" t="str">
        <f>IF($AS460="","",Config!$B$17)</f>
        <v/>
      </c>
      <c r="U460" t="str">
        <f>IF($AS460="","",Config!$B$18)</f>
        <v/>
      </c>
      <c r="V460" t="str">
        <f>IF($AS460="","",Config!$B$19)</f>
        <v/>
      </c>
      <c r="W460" t="str">
        <f>IF($AS460="","",INDEX('TMP Paste'!$C$2:$C$1601,$AS460))</f>
        <v/>
      </c>
      <c r="X460" t="str">
        <f>IF($AS460="","",Config!$B$29)</f>
        <v/>
      </c>
      <c r="Y460" t="str">
        <f>IF($AT460="","",INDEX(Calc!$I$2:$I$1601,$AT460)&amp;" - "&amp;INDEX(Calc!$D$2:$D$1601,$AT460)&amp;" koli")</f>
        <v/>
      </c>
      <c r="Z460" t="str">
        <f>IF($AS460="","",Config!$B$21)</f>
        <v/>
      </c>
      <c r="AA460" t="str">
        <f>IF($AS460="","",Config!$B$22)</f>
        <v/>
      </c>
      <c r="AB460" t="str">
        <f>IF($AT460="","",INDEX(Calc!$D$2:$D$1601,$AT460))</f>
        <v/>
      </c>
      <c r="AC460" t="str">
        <f>IF($AT460="","",INDEX(Calc!$G$2:$G$1601,$AT460))</f>
        <v/>
      </c>
      <c r="AD460" t="str">
        <f>IF($AS460="","",Config!$B$23)</f>
        <v/>
      </c>
      <c r="AE460" t="str">
        <f>IF($AS460="","",Config!$B$28)</f>
        <v/>
      </c>
      <c r="AF460" t="str">
        <f t="shared" si="44"/>
        <v/>
      </c>
      <c r="AG460" t="str">
        <f t="shared" si="45"/>
        <v/>
      </c>
      <c r="AH460" t="str">
        <f t="shared" si="46"/>
        <v/>
      </c>
      <c r="AI460" t="str">
        <f>IF($AG460="","",SUMIF($AG$2:$AG460,$AG460,$AH$2:$AH460))</f>
        <v/>
      </c>
      <c r="AJ460" t="str">
        <f>IF('TMP Paste'!$F460="","",IF('TMP Paste'!$B460="",$AJ459,'TMP Paste'!$B460))</f>
        <v/>
      </c>
      <c r="AK460" t="str">
        <f>IF('TMP Paste'!$F460="","",N('TMP Paste'!$G460))</f>
        <v/>
      </c>
      <c r="AL460" t="str">
        <f>IF('TMP Paste'!$F460="","",IF('TMP Paste'!$M460="",$AL459,'TMP Paste'!$M460))</f>
        <v/>
      </c>
      <c r="AM460" t="str">
        <f>IF('TMP Paste'!$F460="","",IF('TMP Paste'!$N460="",$AM459,'TMP Paste'!$N460))</f>
        <v/>
      </c>
      <c r="AN460" t="str">
        <f>IF('TMP Paste'!$F460="","",IF('TMP Paste'!$O460="",$AN459,'TMP Paste'!$O460))</f>
        <v/>
      </c>
      <c r="AO460" t="str">
        <f>IF('TMP Paste'!$F460="","",IF('TMP Paste'!$P460="",$AO459,'TMP Paste'!$P460))</f>
        <v/>
      </c>
      <c r="AP460" t="str">
        <f t="shared" si="47"/>
        <v/>
      </c>
      <c r="AQ460" t="str">
        <f>IF($AS460="","",TRIM(IF(COUNTIFS(Calc!$B$2:$B$1601,ROW()-1,Calc!$C$2:$C$1601,"&lt;1")&gt;0,"Ada PO tanpa Koli - cek TMP. ","")&amp;IF(OR($AU460="",$AU460&lt;=0),"Volume kosong/0 - dimensi dikosongkan. ","")&amp;IF(AND($AU460&lt;&gt;"",$AU460&gt;=1000000),"Volume &gt;= 1.000.000 cm3 (di luar aturan) - dimensi dikosongkan. ","")&amp;IF(LEN($R460)&gt;500,"R &gt; 500 karakter.","")))</f>
        <v/>
      </c>
      <c r="AS460" t="str">
        <f>IFERROR(MATCH(ROW()-1,Calc!$J$2:$J$1601,0),"")</f>
        <v/>
      </c>
      <c r="AT460" t="str">
        <f>IFERROR(MATCH(ROW()-1,Calc!$K$2:$K$1601,0),"")</f>
        <v/>
      </c>
      <c r="AU460" t="str">
        <f>IF($AS460="","",IFERROR(INDEX('TMP Paste'!$D$2:$D$1601,$AS460)*1000000/$AB460,""))</f>
        <v/>
      </c>
    </row>
    <row r="461" spans="1:47">
      <c r="A461" t="str">
        <f>IF($AS461="","",INDEX('TMP Paste'!$B$2:$B$1601,$AS461))</f>
        <v/>
      </c>
      <c r="B461" t="str">
        <f>IF($AS461="","",Config!$B$14)</f>
        <v/>
      </c>
      <c r="C461" t="str">
        <f>IF($AS461="","",Config!$B$15)</f>
        <v/>
      </c>
      <c r="D461" t="str">
        <f>IF($AS461="","",INDEX('TMP Paste'!$B$2:$B$1601,$AS461))</f>
        <v/>
      </c>
      <c r="E461" t="str">
        <f>IF($AS461="","",Config!$B$27)</f>
        <v/>
      </c>
      <c r="F461" t="str">
        <f>IF($AS461="","",Config!$B$9)</f>
        <v/>
      </c>
      <c r="G461" t="str">
        <f>IF($AS461="","",Config!$B$10)</f>
        <v/>
      </c>
      <c r="H461" t="str">
        <f>IF($AS461="","",Config!$B$11)</f>
        <v/>
      </c>
      <c r="I461" t="str">
        <f>IF($AS461="","",Config!$B$16)</f>
        <v/>
      </c>
      <c r="J461" t="str">
        <f>IF($AS461="","",INDEX('TMP Paste'!$A$2:$A$1601,$AS461))</f>
        <v/>
      </c>
      <c r="K461" t="str">
        <f>IF($AS461="","",INDEX('TMP Paste'!$L$2:$L$1601,$AS461))</f>
        <v/>
      </c>
      <c r="L461" t="str">
        <f>IF($AS461="","",INDEX('TMP Paste'!$I$2:$I$1601,$AS461))</f>
        <v/>
      </c>
      <c r="M461" t="str">
        <f>IF($AS461="","",Config!$B$16)</f>
        <v/>
      </c>
      <c r="N461" t="str">
        <f t="shared" si="42"/>
        <v/>
      </c>
      <c r="O461" t="str">
        <f>IF($AS461="","",INDEX('TMP Paste'!$K$2:$K$1601,$AS461))</f>
        <v/>
      </c>
      <c r="P461" t="str">
        <f t="shared" si="43"/>
        <v/>
      </c>
      <c r="Q461" t="str">
        <f>IF($AS461="","",INDEX('TMP Paste'!$J$2:$J$1601,$AS461))</f>
        <v/>
      </c>
      <c r="R461" t="str">
        <f>IF($AS461="","",Config!$B$24)</f>
        <v/>
      </c>
      <c r="S461" t="str">
        <f ca="1">IF($AS461="","",TEXT(Config!$B$4,"yyyy-mm-dd"))</f>
        <v/>
      </c>
      <c r="T461" t="str">
        <f>IF($AS461="","",Config!$B$17)</f>
        <v/>
      </c>
      <c r="U461" t="str">
        <f>IF($AS461="","",Config!$B$18)</f>
        <v/>
      </c>
      <c r="V461" t="str">
        <f>IF($AS461="","",Config!$B$19)</f>
        <v/>
      </c>
      <c r="W461" t="str">
        <f>IF($AS461="","",INDEX('TMP Paste'!$C$2:$C$1601,$AS461))</f>
        <v/>
      </c>
      <c r="X461" t="str">
        <f>IF($AS461="","",Config!$B$29)</f>
        <v/>
      </c>
      <c r="Y461" t="str">
        <f>IF($AT461="","",INDEX(Calc!$I$2:$I$1601,$AT461)&amp;" - "&amp;INDEX(Calc!$D$2:$D$1601,$AT461)&amp;" koli")</f>
        <v/>
      </c>
      <c r="Z461" t="str">
        <f>IF($AS461="","",Config!$B$21)</f>
        <v/>
      </c>
      <c r="AA461" t="str">
        <f>IF($AS461="","",Config!$B$22)</f>
        <v/>
      </c>
      <c r="AB461" t="str">
        <f>IF($AT461="","",INDEX(Calc!$D$2:$D$1601,$AT461))</f>
        <v/>
      </c>
      <c r="AC461" t="str">
        <f>IF($AT461="","",INDEX(Calc!$G$2:$G$1601,$AT461))</f>
        <v/>
      </c>
      <c r="AD461" t="str">
        <f>IF($AS461="","",Config!$B$23)</f>
        <v/>
      </c>
      <c r="AE461" t="str">
        <f>IF($AS461="","",Config!$B$28)</f>
        <v/>
      </c>
      <c r="AF461" t="str">
        <f t="shared" si="44"/>
        <v/>
      </c>
      <c r="AG461" t="str">
        <f t="shared" si="45"/>
        <v/>
      </c>
      <c r="AH461" t="str">
        <f t="shared" si="46"/>
        <v/>
      </c>
      <c r="AI461" t="str">
        <f>IF($AG461="","",SUMIF($AG$2:$AG461,$AG461,$AH$2:$AH461))</f>
        <v/>
      </c>
      <c r="AJ461" t="str">
        <f>IF('TMP Paste'!$F461="","",IF('TMP Paste'!$B461="",$AJ460,'TMP Paste'!$B461))</f>
        <v/>
      </c>
      <c r="AK461" t="str">
        <f>IF('TMP Paste'!$F461="","",N('TMP Paste'!$G461))</f>
        <v/>
      </c>
      <c r="AL461" t="str">
        <f>IF('TMP Paste'!$F461="","",IF('TMP Paste'!$M461="",$AL460,'TMP Paste'!$M461))</f>
        <v/>
      </c>
      <c r="AM461" t="str">
        <f>IF('TMP Paste'!$F461="","",IF('TMP Paste'!$N461="",$AM460,'TMP Paste'!$N461))</f>
        <v/>
      </c>
      <c r="AN461" t="str">
        <f>IF('TMP Paste'!$F461="","",IF('TMP Paste'!$O461="",$AN460,'TMP Paste'!$O461))</f>
        <v/>
      </c>
      <c r="AO461" t="str">
        <f>IF('TMP Paste'!$F461="","",IF('TMP Paste'!$P461="",$AO460,'TMP Paste'!$P461))</f>
        <v/>
      </c>
      <c r="AP461" t="str">
        <f t="shared" si="47"/>
        <v/>
      </c>
      <c r="AQ461" t="str">
        <f>IF($AS461="","",TRIM(IF(COUNTIFS(Calc!$B$2:$B$1601,ROW()-1,Calc!$C$2:$C$1601,"&lt;1")&gt;0,"Ada PO tanpa Koli - cek TMP. ","")&amp;IF(OR($AU461="",$AU461&lt;=0),"Volume kosong/0 - dimensi dikosongkan. ","")&amp;IF(AND($AU461&lt;&gt;"",$AU461&gt;=1000000),"Volume &gt;= 1.000.000 cm3 (di luar aturan) - dimensi dikosongkan. ","")&amp;IF(LEN($R461)&gt;500,"R &gt; 500 karakter.","")))</f>
        <v/>
      </c>
      <c r="AS461" t="str">
        <f>IFERROR(MATCH(ROW()-1,Calc!$J$2:$J$1601,0),"")</f>
        <v/>
      </c>
      <c r="AT461" t="str">
        <f>IFERROR(MATCH(ROW()-1,Calc!$K$2:$K$1601,0),"")</f>
        <v/>
      </c>
      <c r="AU461" t="str">
        <f>IF($AS461="","",IFERROR(INDEX('TMP Paste'!$D$2:$D$1601,$AS461)*1000000/$AB461,""))</f>
        <v/>
      </c>
    </row>
    <row r="462" spans="1:47">
      <c r="A462" t="str">
        <f>IF($AS462="","",INDEX('TMP Paste'!$B$2:$B$1601,$AS462))</f>
        <v/>
      </c>
      <c r="B462" t="str">
        <f>IF($AS462="","",Config!$B$14)</f>
        <v/>
      </c>
      <c r="C462" t="str">
        <f>IF($AS462="","",Config!$B$15)</f>
        <v/>
      </c>
      <c r="D462" t="str">
        <f>IF($AS462="","",INDEX('TMP Paste'!$B$2:$B$1601,$AS462))</f>
        <v/>
      </c>
      <c r="E462" t="str">
        <f>IF($AS462="","",Config!$B$27)</f>
        <v/>
      </c>
      <c r="F462" t="str">
        <f>IF($AS462="","",Config!$B$9)</f>
        <v/>
      </c>
      <c r="G462" t="str">
        <f>IF($AS462="","",Config!$B$10)</f>
        <v/>
      </c>
      <c r="H462" t="str">
        <f>IF($AS462="","",Config!$B$11)</f>
        <v/>
      </c>
      <c r="I462" t="str">
        <f>IF($AS462="","",Config!$B$16)</f>
        <v/>
      </c>
      <c r="J462" t="str">
        <f>IF($AS462="","",INDEX('TMP Paste'!$A$2:$A$1601,$AS462))</f>
        <v/>
      </c>
      <c r="K462" t="str">
        <f>IF($AS462="","",INDEX('TMP Paste'!$L$2:$L$1601,$AS462))</f>
        <v/>
      </c>
      <c r="L462" t="str">
        <f>IF($AS462="","",INDEX('TMP Paste'!$I$2:$I$1601,$AS462))</f>
        <v/>
      </c>
      <c r="M462" t="str">
        <f>IF($AS462="","",Config!$B$16)</f>
        <v/>
      </c>
      <c r="N462" t="str">
        <f t="shared" si="42"/>
        <v/>
      </c>
      <c r="O462" t="str">
        <f>IF($AS462="","",INDEX('TMP Paste'!$K$2:$K$1601,$AS462))</f>
        <v/>
      </c>
      <c r="P462" t="str">
        <f t="shared" si="43"/>
        <v/>
      </c>
      <c r="Q462" t="str">
        <f>IF($AS462="","",INDEX('TMP Paste'!$J$2:$J$1601,$AS462))</f>
        <v/>
      </c>
      <c r="R462" t="str">
        <f>IF($AS462="","",Config!$B$24)</f>
        <v/>
      </c>
      <c r="S462" t="str">
        <f ca="1">IF($AS462="","",TEXT(Config!$B$4,"yyyy-mm-dd"))</f>
        <v/>
      </c>
      <c r="T462" t="str">
        <f>IF($AS462="","",Config!$B$17)</f>
        <v/>
      </c>
      <c r="U462" t="str">
        <f>IF($AS462="","",Config!$B$18)</f>
        <v/>
      </c>
      <c r="V462" t="str">
        <f>IF($AS462="","",Config!$B$19)</f>
        <v/>
      </c>
      <c r="W462" t="str">
        <f>IF($AS462="","",INDEX('TMP Paste'!$C$2:$C$1601,$AS462))</f>
        <v/>
      </c>
      <c r="X462" t="str">
        <f>IF($AS462="","",Config!$B$29)</f>
        <v/>
      </c>
      <c r="Y462" t="str">
        <f>IF($AT462="","",INDEX(Calc!$I$2:$I$1601,$AT462)&amp;" - "&amp;INDEX(Calc!$D$2:$D$1601,$AT462)&amp;" koli")</f>
        <v/>
      </c>
      <c r="Z462" t="str">
        <f>IF($AS462="","",Config!$B$21)</f>
        <v/>
      </c>
      <c r="AA462" t="str">
        <f>IF($AS462="","",Config!$B$22)</f>
        <v/>
      </c>
      <c r="AB462" t="str">
        <f>IF($AT462="","",INDEX(Calc!$D$2:$D$1601,$AT462))</f>
        <v/>
      </c>
      <c r="AC462" t="str">
        <f>IF($AT462="","",INDEX(Calc!$G$2:$G$1601,$AT462))</f>
        <v/>
      </c>
      <c r="AD462" t="str">
        <f>IF($AS462="","",Config!$B$23)</f>
        <v/>
      </c>
      <c r="AE462" t="str">
        <f>IF($AS462="","",Config!$B$28)</f>
        <v/>
      </c>
      <c r="AF462" t="str">
        <f t="shared" si="44"/>
        <v/>
      </c>
      <c r="AG462" t="str">
        <f t="shared" si="45"/>
        <v/>
      </c>
      <c r="AH462" t="str">
        <f t="shared" si="46"/>
        <v/>
      </c>
      <c r="AI462" t="str">
        <f>IF($AG462="","",SUMIF($AG$2:$AG462,$AG462,$AH$2:$AH462))</f>
        <v/>
      </c>
      <c r="AJ462" t="str">
        <f>IF('TMP Paste'!$F462="","",IF('TMP Paste'!$B462="",$AJ461,'TMP Paste'!$B462))</f>
        <v/>
      </c>
      <c r="AK462" t="str">
        <f>IF('TMP Paste'!$F462="","",N('TMP Paste'!$G462))</f>
        <v/>
      </c>
      <c r="AL462" t="str">
        <f>IF('TMP Paste'!$F462="","",IF('TMP Paste'!$M462="",$AL461,'TMP Paste'!$M462))</f>
        <v/>
      </c>
      <c r="AM462" t="str">
        <f>IF('TMP Paste'!$F462="","",IF('TMP Paste'!$N462="",$AM461,'TMP Paste'!$N462))</f>
        <v/>
      </c>
      <c r="AN462" t="str">
        <f>IF('TMP Paste'!$F462="","",IF('TMP Paste'!$O462="",$AN461,'TMP Paste'!$O462))</f>
        <v/>
      </c>
      <c r="AO462" t="str">
        <f>IF('TMP Paste'!$F462="","",IF('TMP Paste'!$P462="",$AO461,'TMP Paste'!$P462))</f>
        <v/>
      </c>
      <c r="AP462" t="str">
        <f t="shared" si="47"/>
        <v/>
      </c>
      <c r="AQ462" t="str">
        <f>IF($AS462="","",TRIM(IF(COUNTIFS(Calc!$B$2:$B$1601,ROW()-1,Calc!$C$2:$C$1601,"&lt;1")&gt;0,"Ada PO tanpa Koli - cek TMP. ","")&amp;IF(OR($AU462="",$AU462&lt;=0),"Volume kosong/0 - dimensi dikosongkan. ","")&amp;IF(AND($AU462&lt;&gt;"",$AU462&gt;=1000000),"Volume &gt;= 1.000.000 cm3 (di luar aturan) - dimensi dikosongkan. ","")&amp;IF(LEN($R462)&gt;500,"R &gt; 500 karakter.","")))</f>
        <v/>
      </c>
      <c r="AS462" t="str">
        <f>IFERROR(MATCH(ROW()-1,Calc!$J$2:$J$1601,0),"")</f>
        <v/>
      </c>
      <c r="AT462" t="str">
        <f>IFERROR(MATCH(ROW()-1,Calc!$K$2:$K$1601,0),"")</f>
        <v/>
      </c>
      <c r="AU462" t="str">
        <f>IF($AS462="","",IFERROR(INDEX('TMP Paste'!$D$2:$D$1601,$AS462)*1000000/$AB462,""))</f>
        <v/>
      </c>
    </row>
    <row r="463" spans="1:47">
      <c r="A463" t="str">
        <f>IF($AS463="","",INDEX('TMP Paste'!$B$2:$B$1601,$AS463))</f>
        <v/>
      </c>
      <c r="B463" t="str">
        <f>IF($AS463="","",Config!$B$14)</f>
        <v/>
      </c>
      <c r="C463" t="str">
        <f>IF($AS463="","",Config!$B$15)</f>
        <v/>
      </c>
      <c r="D463" t="str">
        <f>IF($AS463="","",INDEX('TMP Paste'!$B$2:$B$1601,$AS463))</f>
        <v/>
      </c>
      <c r="E463" t="str">
        <f>IF($AS463="","",Config!$B$27)</f>
        <v/>
      </c>
      <c r="F463" t="str">
        <f>IF($AS463="","",Config!$B$9)</f>
        <v/>
      </c>
      <c r="G463" t="str">
        <f>IF($AS463="","",Config!$B$10)</f>
        <v/>
      </c>
      <c r="H463" t="str">
        <f>IF($AS463="","",Config!$B$11)</f>
        <v/>
      </c>
      <c r="I463" t="str">
        <f>IF($AS463="","",Config!$B$16)</f>
        <v/>
      </c>
      <c r="J463" t="str">
        <f>IF($AS463="","",INDEX('TMP Paste'!$A$2:$A$1601,$AS463))</f>
        <v/>
      </c>
      <c r="K463" t="str">
        <f>IF($AS463="","",INDEX('TMP Paste'!$L$2:$L$1601,$AS463))</f>
        <v/>
      </c>
      <c r="L463" t="str">
        <f>IF($AS463="","",INDEX('TMP Paste'!$I$2:$I$1601,$AS463))</f>
        <v/>
      </c>
      <c r="M463" t="str">
        <f>IF($AS463="","",Config!$B$16)</f>
        <v/>
      </c>
      <c r="N463" t="str">
        <f t="shared" si="42"/>
        <v/>
      </c>
      <c r="O463" t="str">
        <f>IF($AS463="","",INDEX('TMP Paste'!$K$2:$K$1601,$AS463))</f>
        <v/>
      </c>
      <c r="P463" t="str">
        <f t="shared" si="43"/>
        <v/>
      </c>
      <c r="Q463" t="str">
        <f>IF($AS463="","",INDEX('TMP Paste'!$J$2:$J$1601,$AS463))</f>
        <v/>
      </c>
      <c r="R463" t="str">
        <f>IF($AS463="","",Config!$B$24)</f>
        <v/>
      </c>
      <c r="S463" t="str">
        <f ca="1">IF($AS463="","",TEXT(Config!$B$4,"yyyy-mm-dd"))</f>
        <v/>
      </c>
      <c r="T463" t="str">
        <f>IF($AS463="","",Config!$B$17)</f>
        <v/>
      </c>
      <c r="U463" t="str">
        <f>IF($AS463="","",Config!$B$18)</f>
        <v/>
      </c>
      <c r="V463" t="str">
        <f>IF($AS463="","",Config!$B$19)</f>
        <v/>
      </c>
      <c r="W463" t="str">
        <f>IF($AS463="","",INDEX('TMP Paste'!$C$2:$C$1601,$AS463))</f>
        <v/>
      </c>
      <c r="X463" t="str">
        <f>IF($AS463="","",Config!$B$29)</f>
        <v/>
      </c>
      <c r="Y463" t="str">
        <f>IF($AT463="","",INDEX(Calc!$I$2:$I$1601,$AT463)&amp;" - "&amp;INDEX(Calc!$D$2:$D$1601,$AT463)&amp;" koli")</f>
        <v/>
      </c>
      <c r="Z463" t="str">
        <f>IF($AS463="","",Config!$B$21)</f>
        <v/>
      </c>
      <c r="AA463" t="str">
        <f>IF($AS463="","",Config!$B$22)</f>
        <v/>
      </c>
      <c r="AB463" t="str">
        <f>IF($AT463="","",INDEX(Calc!$D$2:$D$1601,$AT463))</f>
        <v/>
      </c>
      <c r="AC463" t="str">
        <f>IF($AT463="","",INDEX(Calc!$G$2:$G$1601,$AT463))</f>
        <v/>
      </c>
      <c r="AD463" t="str">
        <f>IF($AS463="","",Config!$B$23)</f>
        <v/>
      </c>
      <c r="AE463" t="str">
        <f>IF($AS463="","",Config!$B$28)</f>
        <v/>
      </c>
      <c r="AF463" t="str">
        <f t="shared" si="44"/>
        <v/>
      </c>
      <c r="AG463" t="str">
        <f t="shared" si="45"/>
        <v/>
      </c>
      <c r="AH463" t="str">
        <f t="shared" si="46"/>
        <v/>
      </c>
      <c r="AI463" t="str">
        <f>IF($AG463="","",SUMIF($AG$2:$AG463,$AG463,$AH$2:$AH463))</f>
        <v/>
      </c>
      <c r="AJ463" t="str">
        <f>IF('TMP Paste'!$F463="","",IF('TMP Paste'!$B463="",$AJ462,'TMP Paste'!$B463))</f>
        <v/>
      </c>
      <c r="AK463" t="str">
        <f>IF('TMP Paste'!$F463="","",N('TMP Paste'!$G463))</f>
        <v/>
      </c>
      <c r="AL463" t="str">
        <f>IF('TMP Paste'!$F463="","",IF('TMP Paste'!$M463="",$AL462,'TMP Paste'!$M463))</f>
        <v/>
      </c>
      <c r="AM463" t="str">
        <f>IF('TMP Paste'!$F463="","",IF('TMP Paste'!$N463="",$AM462,'TMP Paste'!$N463))</f>
        <v/>
      </c>
      <c r="AN463" t="str">
        <f>IF('TMP Paste'!$F463="","",IF('TMP Paste'!$O463="",$AN462,'TMP Paste'!$O463))</f>
        <v/>
      </c>
      <c r="AO463" t="str">
        <f>IF('TMP Paste'!$F463="","",IF('TMP Paste'!$P463="",$AO462,'TMP Paste'!$P463))</f>
        <v/>
      </c>
      <c r="AP463" t="str">
        <f t="shared" si="47"/>
        <v/>
      </c>
      <c r="AQ463" t="str">
        <f>IF($AS463="","",TRIM(IF(COUNTIFS(Calc!$B$2:$B$1601,ROW()-1,Calc!$C$2:$C$1601,"&lt;1")&gt;0,"Ada PO tanpa Koli - cek TMP. ","")&amp;IF(OR($AU463="",$AU463&lt;=0),"Volume kosong/0 - dimensi dikosongkan. ","")&amp;IF(AND($AU463&lt;&gt;"",$AU463&gt;=1000000),"Volume &gt;= 1.000.000 cm3 (di luar aturan) - dimensi dikosongkan. ","")&amp;IF(LEN($R463)&gt;500,"R &gt; 500 karakter.","")))</f>
        <v/>
      </c>
      <c r="AS463" t="str">
        <f>IFERROR(MATCH(ROW()-1,Calc!$J$2:$J$1601,0),"")</f>
        <v/>
      </c>
      <c r="AT463" t="str">
        <f>IFERROR(MATCH(ROW()-1,Calc!$K$2:$K$1601,0),"")</f>
        <v/>
      </c>
      <c r="AU463" t="str">
        <f>IF($AS463="","",IFERROR(INDEX('TMP Paste'!$D$2:$D$1601,$AS463)*1000000/$AB463,""))</f>
        <v/>
      </c>
    </row>
    <row r="464" spans="1:47">
      <c r="A464" t="str">
        <f>IF($AS464="","",INDEX('TMP Paste'!$B$2:$B$1601,$AS464))</f>
        <v/>
      </c>
      <c r="B464" t="str">
        <f>IF($AS464="","",Config!$B$14)</f>
        <v/>
      </c>
      <c r="C464" t="str">
        <f>IF($AS464="","",Config!$B$15)</f>
        <v/>
      </c>
      <c r="D464" t="str">
        <f>IF($AS464="","",INDEX('TMP Paste'!$B$2:$B$1601,$AS464))</f>
        <v/>
      </c>
      <c r="E464" t="str">
        <f>IF($AS464="","",Config!$B$27)</f>
        <v/>
      </c>
      <c r="F464" t="str">
        <f>IF($AS464="","",Config!$B$9)</f>
        <v/>
      </c>
      <c r="G464" t="str">
        <f>IF($AS464="","",Config!$B$10)</f>
        <v/>
      </c>
      <c r="H464" t="str">
        <f>IF($AS464="","",Config!$B$11)</f>
        <v/>
      </c>
      <c r="I464" t="str">
        <f>IF($AS464="","",Config!$B$16)</f>
        <v/>
      </c>
      <c r="J464" t="str">
        <f>IF($AS464="","",INDEX('TMP Paste'!$A$2:$A$1601,$AS464))</f>
        <v/>
      </c>
      <c r="K464" t="str">
        <f>IF($AS464="","",INDEX('TMP Paste'!$L$2:$L$1601,$AS464))</f>
        <v/>
      </c>
      <c r="L464" t="str">
        <f>IF($AS464="","",INDEX('TMP Paste'!$I$2:$I$1601,$AS464))</f>
        <v/>
      </c>
      <c r="M464" t="str">
        <f>IF($AS464="","",Config!$B$16)</f>
        <v/>
      </c>
      <c r="N464" t="str">
        <f t="shared" si="42"/>
        <v/>
      </c>
      <c r="O464" t="str">
        <f>IF($AS464="","",INDEX('TMP Paste'!$K$2:$K$1601,$AS464))</f>
        <v/>
      </c>
      <c r="P464" t="str">
        <f t="shared" si="43"/>
        <v/>
      </c>
      <c r="Q464" t="str">
        <f>IF($AS464="","",INDEX('TMP Paste'!$J$2:$J$1601,$AS464))</f>
        <v/>
      </c>
      <c r="R464" t="str">
        <f>IF($AS464="","",Config!$B$24)</f>
        <v/>
      </c>
      <c r="S464" t="str">
        <f ca="1">IF($AS464="","",TEXT(Config!$B$4,"yyyy-mm-dd"))</f>
        <v/>
      </c>
      <c r="T464" t="str">
        <f>IF($AS464="","",Config!$B$17)</f>
        <v/>
      </c>
      <c r="U464" t="str">
        <f>IF($AS464="","",Config!$B$18)</f>
        <v/>
      </c>
      <c r="V464" t="str">
        <f>IF($AS464="","",Config!$B$19)</f>
        <v/>
      </c>
      <c r="W464" t="str">
        <f>IF($AS464="","",INDEX('TMP Paste'!$C$2:$C$1601,$AS464))</f>
        <v/>
      </c>
      <c r="X464" t="str">
        <f>IF($AS464="","",Config!$B$29)</f>
        <v/>
      </c>
      <c r="Y464" t="str">
        <f>IF($AT464="","",INDEX(Calc!$I$2:$I$1601,$AT464)&amp;" - "&amp;INDEX(Calc!$D$2:$D$1601,$AT464)&amp;" koli")</f>
        <v/>
      </c>
      <c r="Z464" t="str">
        <f>IF($AS464="","",Config!$B$21)</f>
        <v/>
      </c>
      <c r="AA464" t="str">
        <f>IF($AS464="","",Config!$B$22)</f>
        <v/>
      </c>
      <c r="AB464" t="str">
        <f>IF($AT464="","",INDEX(Calc!$D$2:$D$1601,$AT464))</f>
        <v/>
      </c>
      <c r="AC464" t="str">
        <f>IF($AT464="","",INDEX(Calc!$G$2:$G$1601,$AT464))</f>
        <v/>
      </c>
      <c r="AD464" t="str">
        <f>IF($AS464="","",Config!$B$23)</f>
        <v/>
      </c>
      <c r="AE464" t="str">
        <f>IF($AS464="","",Config!$B$28)</f>
        <v/>
      </c>
      <c r="AF464" t="str">
        <f t="shared" si="44"/>
        <v/>
      </c>
      <c r="AG464" t="str">
        <f t="shared" si="45"/>
        <v/>
      </c>
      <c r="AH464" t="str">
        <f t="shared" si="46"/>
        <v/>
      </c>
      <c r="AI464" t="str">
        <f>IF($AG464="","",SUMIF($AG$2:$AG464,$AG464,$AH$2:$AH464))</f>
        <v/>
      </c>
      <c r="AJ464" t="str">
        <f>IF('TMP Paste'!$F464="","",IF('TMP Paste'!$B464="",$AJ463,'TMP Paste'!$B464))</f>
        <v/>
      </c>
      <c r="AK464" t="str">
        <f>IF('TMP Paste'!$F464="","",N('TMP Paste'!$G464))</f>
        <v/>
      </c>
      <c r="AL464" t="str">
        <f>IF('TMP Paste'!$F464="","",IF('TMP Paste'!$M464="",$AL463,'TMP Paste'!$M464))</f>
        <v/>
      </c>
      <c r="AM464" t="str">
        <f>IF('TMP Paste'!$F464="","",IF('TMP Paste'!$N464="",$AM463,'TMP Paste'!$N464))</f>
        <v/>
      </c>
      <c r="AN464" t="str">
        <f>IF('TMP Paste'!$F464="","",IF('TMP Paste'!$O464="",$AN463,'TMP Paste'!$O464))</f>
        <v/>
      </c>
      <c r="AO464" t="str">
        <f>IF('TMP Paste'!$F464="","",IF('TMP Paste'!$P464="",$AO463,'TMP Paste'!$P464))</f>
        <v/>
      </c>
      <c r="AP464" t="str">
        <f t="shared" si="47"/>
        <v/>
      </c>
      <c r="AQ464" t="str">
        <f>IF($AS464="","",TRIM(IF(COUNTIFS(Calc!$B$2:$B$1601,ROW()-1,Calc!$C$2:$C$1601,"&lt;1")&gt;0,"Ada PO tanpa Koli - cek TMP. ","")&amp;IF(OR($AU464="",$AU464&lt;=0),"Volume kosong/0 - dimensi dikosongkan. ","")&amp;IF(AND($AU464&lt;&gt;"",$AU464&gt;=1000000),"Volume &gt;= 1.000.000 cm3 (di luar aturan) - dimensi dikosongkan. ","")&amp;IF(LEN($R464)&gt;500,"R &gt; 500 karakter.","")))</f>
        <v/>
      </c>
      <c r="AS464" t="str">
        <f>IFERROR(MATCH(ROW()-1,Calc!$J$2:$J$1601,0),"")</f>
        <v/>
      </c>
      <c r="AT464" t="str">
        <f>IFERROR(MATCH(ROW()-1,Calc!$K$2:$K$1601,0),"")</f>
        <v/>
      </c>
      <c r="AU464" t="str">
        <f>IF($AS464="","",IFERROR(INDEX('TMP Paste'!$D$2:$D$1601,$AS464)*1000000/$AB464,""))</f>
        <v/>
      </c>
    </row>
    <row r="465" spans="1:47">
      <c r="A465" t="str">
        <f>IF($AS465="","",INDEX('TMP Paste'!$B$2:$B$1601,$AS465))</f>
        <v/>
      </c>
      <c r="B465" t="str">
        <f>IF($AS465="","",Config!$B$14)</f>
        <v/>
      </c>
      <c r="C465" t="str">
        <f>IF($AS465="","",Config!$B$15)</f>
        <v/>
      </c>
      <c r="D465" t="str">
        <f>IF($AS465="","",INDEX('TMP Paste'!$B$2:$B$1601,$AS465))</f>
        <v/>
      </c>
      <c r="E465" t="str">
        <f>IF($AS465="","",Config!$B$27)</f>
        <v/>
      </c>
      <c r="F465" t="str">
        <f>IF($AS465="","",Config!$B$9)</f>
        <v/>
      </c>
      <c r="G465" t="str">
        <f>IF($AS465="","",Config!$B$10)</f>
        <v/>
      </c>
      <c r="H465" t="str">
        <f>IF($AS465="","",Config!$B$11)</f>
        <v/>
      </c>
      <c r="I465" t="str">
        <f>IF($AS465="","",Config!$B$16)</f>
        <v/>
      </c>
      <c r="J465" t="str">
        <f>IF($AS465="","",INDEX('TMP Paste'!$A$2:$A$1601,$AS465))</f>
        <v/>
      </c>
      <c r="K465" t="str">
        <f>IF($AS465="","",INDEX('TMP Paste'!$L$2:$L$1601,$AS465))</f>
        <v/>
      </c>
      <c r="L465" t="str">
        <f>IF($AS465="","",INDEX('TMP Paste'!$I$2:$I$1601,$AS465))</f>
        <v/>
      </c>
      <c r="M465" t="str">
        <f>IF($AS465="","",Config!$B$16)</f>
        <v/>
      </c>
      <c r="N465" t="str">
        <f t="shared" si="42"/>
        <v/>
      </c>
      <c r="O465" t="str">
        <f>IF($AS465="","",INDEX('TMP Paste'!$K$2:$K$1601,$AS465))</f>
        <v/>
      </c>
      <c r="P465" t="str">
        <f t="shared" si="43"/>
        <v/>
      </c>
      <c r="Q465" t="str">
        <f>IF($AS465="","",INDEX('TMP Paste'!$J$2:$J$1601,$AS465))</f>
        <v/>
      </c>
      <c r="R465" t="str">
        <f>IF($AS465="","",Config!$B$24)</f>
        <v/>
      </c>
      <c r="S465" t="str">
        <f ca="1">IF($AS465="","",TEXT(Config!$B$4,"yyyy-mm-dd"))</f>
        <v/>
      </c>
      <c r="T465" t="str">
        <f>IF($AS465="","",Config!$B$17)</f>
        <v/>
      </c>
      <c r="U465" t="str">
        <f>IF($AS465="","",Config!$B$18)</f>
        <v/>
      </c>
      <c r="V465" t="str">
        <f>IF($AS465="","",Config!$B$19)</f>
        <v/>
      </c>
      <c r="W465" t="str">
        <f>IF($AS465="","",INDEX('TMP Paste'!$C$2:$C$1601,$AS465))</f>
        <v/>
      </c>
      <c r="X465" t="str">
        <f>IF($AS465="","",Config!$B$29)</f>
        <v/>
      </c>
      <c r="Y465" t="str">
        <f>IF($AT465="","",INDEX(Calc!$I$2:$I$1601,$AT465)&amp;" - "&amp;INDEX(Calc!$D$2:$D$1601,$AT465)&amp;" koli")</f>
        <v/>
      </c>
      <c r="Z465" t="str">
        <f>IF($AS465="","",Config!$B$21)</f>
        <v/>
      </c>
      <c r="AA465" t="str">
        <f>IF($AS465="","",Config!$B$22)</f>
        <v/>
      </c>
      <c r="AB465" t="str">
        <f>IF($AT465="","",INDEX(Calc!$D$2:$D$1601,$AT465))</f>
        <v/>
      </c>
      <c r="AC465" t="str">
        <f>IF($AT465="","",INDEX(Calc!$G$2:$G$1601,$AT465))</f>
        <v/>
      </c>
      <c r="AD465" t="str">
        <f>IF($AS465="","",Config!$B$23)</f>
        <v/>
      </c>
      <c r="AE465" t="str">
        <f>IF($AS465="","",Config!$B$28)</f>
        <v/>
      </c>
      <c r="AF465" t="str">
        <f t="shared" si="44"/>
        <v/>
      </c>
      <c r="AG465" t="str">
        <f t="shared" si="45"/>
        <v/>
      </c>
      <c r="AH465" t="str">
        <f t="shared" si="46"/>
        <v/>
      </c>
      <c r="AI465" t="str">
        <f>IF($AG465="","",SUMIF($AG$2:$AG465,$AG465,$AH$2:$AH465))</f>
        <v/>
      </c>
      <c r="AJ465" t="str">
        <f>IF('TMP Paste'!$F465="","",IF('TMP Paste'!$B465="",$AJ464,'TMP Paste'!$B465))</f>
        <v/>
      </c>
      <c r="AK465" t="str">
        <f>IF('TMP Paste'!$F465="","",N('TMP Paste'!$G465))</f>
        <v/>
      </c>
      <c r="AL465" t="str">
        <f>IF('TMP Paste'!$F465="","",IF('TMP Paste'!$M465="",$AL464,'TMP Paste'!$M465))</f>
        <v/>
      </c>
      <c r="AM465" t="str">
        <f>IF('TMP Paste'!$F465="","",IF('TMP Paste'!$N465="",$AM464,'TMP Paste'!$N465))</f>
        <v/>
      </c>
      <c r="AN465" t="str">
        <f>IF('TMP Paste'!$F465="","",IF('TMP Paste'!$O465="",$AN464,'TMP Paste'!$O465))</f>
        <v/>
      </c>
      <c r="AO465" t="str">
        <f>IF('TMP Paste'!$F465="","",IF('TMP Paste'!$P465="",$AO464,'TMP Paste'!$P465))</f>
        <v/>
      </c>
      <c r="AP465" t="str">
        <f t="shared" si="47"/>
        <v/>
      </c>
      <c r="AQ465" t="str">
        <f>IF($AS465="","",TRIM(IF(COUNTIFS(Calc!$B$2:$B$1601,ROW()-1,Calc!$C$2:$C$1601,"&lt;1")&gt;0,"Ada PO tanpa Koli - cek TMP. ","")&amp;IF(OR($AU465="",$AU465&lt;=0),"Volume kosong/0 - dimensi dikosongkan. ","")&amp;IF(AND($AU465&lt;&gt;"",$AU465&gt;=1000000),"Volume &gt;= 1.000.000 cm3 (di luar aturan) - dimensi dikosongkan. ","")&amp;IF(LEN($R465)&gt;500,"R &gt; 500 karakter.","")))</f>
        <v/>
      </c>
      <c r="AS465" t="str">
        <f>IFERROR(MATCH(ROW()-1,Calc!$J$2:$J$1601,0),"")</f>
        <v/>
      </c>
      <c r="AT465" t="str">
        <f>IFERROR(MATCH(ROW()-1,Calc!$K$2:$K$1601,0),"")</f>
        <v/>
      </c>
      <c r="AU465" t="str">
        <f>IF($AS465="","",IFERROR(INDEX('TMP Paste'!$D$2:$D$1601,$AS465)*1000000/$AB465,""))</f>
        <v/>
      </c>
    </row>
    <row r="466" spans="1:47">
      <c r="A466" t="str">
        <f>IF($AS466="","",INDEX('TMP Paste'!$B$2:$B$1601,$AS466))</f>
        <v/>
      </c>
      <c r="B466" t="str">
        <f>IF($AS466="","",Config!$B$14)</f>
        <v/>
      </c>
      <c r="C466" t="str">
        <f>IF($AS466="","",Config!$B$15)</f>
        <v/>
      </c>
      <c r="D466" t="str">
        <f>IF($AS466="","",INDEX('TMP Paste'!$B$2:$B$1601,$AS466))</f>
        <v/>
      </c>
      <c r="E466" t="str">
        <f>IF($AS466="","",Config!$B$27)</f>
        <v/>
      </c>
      <c r="F466" t="str">
        <f>IF($AS466="","",Config!$B$9)</f>
        <v/>
      </c>
      <c r="G466" t="str">
        <f>IF($AS466="","",Config!$B$10)</f>
        <v/>
      </c>
      <c r="H466" t="str">
        <f>IF($AS466="","",Config!$B$11)</f>
        <v/>
      </c>
      <c r="I466" t="str">
        <f>IF($AS466="","",Config!$B$16)</f>
        <v/>
      </c>
      <c r="J466" t="str">
        <f>IF($AS466="","",INDEX('TMP Paste'!$A$2:$A$1601,$AS466))</f>
        <v/>
      </c>
      <c r="K466" t="str">
        <f>IF($AS466="","",INDEX('TMP Paste'!$L$2:$L$1601,$AS466))</f>
        <v/>
      </c>
      <c r="L466" t="str">
        <f>IF($AS466="","",INDEX('TMP Paste'!$I$2:$I$1601,$AS466))</f>
        <v/>
      </c>
      <c r="M466" t="str">
        <f>IF($AS466="","",Config!$B$16)</f>
        <v/>
      </c>
      <c r="N466" t="str">
        <f t="shared" si="42"/>
        <v/>
      </c>
      <c r="O466" t="str">
        <f>IF($AS466="","",INDEX('TMP Paste'!$K$2:$K$1601,$AS466))</f>
        <v/>
      </c>
      <c r="P466" t="str">
        <f t="shared" si="43"/>
        <v/>
      </c>
      <c r="Q466" t="str">
        <f>IF($AS466="","",INDEX('TMP Paste'!$J$2:$J$1601,$AS466))</f>
        <v/>
      </c>
      <c r="R466" t="str">
        <f>IF($AS466="","",Config!$B$24)</f>
        <v/>
      </c>
      <c r="S466" t="str">
        <f ca="1">IF($AS466="","",TEXT(Config!$B$4,"yyyy-mm-dd"))</f>
        <v/>
      </c>
      <c r="T466" t="str">
        <f>IF($AS466="","",Config!$B$17)</f>
        <v/>
      </c>
      <c r="U466" t="str">
        <f>IF($AS466="","",Config!$B$18)</f>
        <v/>
      </c>
      <c r="V466" t="str">
        <f>IF($AS466="","",Config!$B$19)</f>
        <v/>
      </c>
      <c r="W466" t="str">
        <f>IF($AS466="","",INDEX('TMP Paste'!$C$2:$C$1601,$AS466))</f>
        <v/>
      </c>
      <c r="X466" t="str">
        <f>IF($AS466="","",Config!$B$29)</f>
        <v/>
      </c>
      <c r="Y466" t="str">
        <f>IF($AT466="","",INDEX(Calc!$I$2:$I$1601,$AT466)&amp;" - "&amp;INDEX(Calc!$D$2:$D$1601,$AT466)&amp;" koli")</f>
        <v/>
      </c>
      <c r="Z466" t="str">
        <f>IF($AS466="","",Config!$B$21)</f>
        <v/>
      </c>
      <c r="AA466" t="str">
        <f>IF($AS466="","",Config!$B$22)</f>
        <v/>
      </c>
      <c r="AB466" t="str">
        <f>IF($AT466="","",INDEX(Calc!$D$2:$D$1601,$AT466))</f>
        <v/>
      </c>
      <c r="AC466" t="str">
        <f>IF($AT466="","",INDEX(Calc!$G$2:$G$1601,$AT466))</f>
        <v/>
      </c>
      <c r="AD466" t="str">
        <f>IF($AS466="","",Config!$B$23)</f>
        <v/>
      </c>
      <c r="AE466" t="str">
        <f>IF($AS466="","",Config!$B$28)</f>
        <v/>
      </c>
      <c r="AF466" t="str">
        <f t="shared" si="44"/>
        <v/>
      </c>
      <c r="AG466" t="str">
        <f t="shared" si="45"/>
        <v/>
      </c>
      <c r="AH466" t="str">
        <f t="shared" si="46"/>
        <v/>
      </c>
      <c r="AI466" t="str">
        <f>IF($AG466="","",SUMIF($AG$2:$AG466,$AG466,$AH$2:$AH466))</f>
        <v/>
      </c>
      <c r="AJ466" t="str">
        <f>IF('TMP Paste'!$F466="","",IF('TMP Paste'!$B466="",$AJ465,'TMP Paste'!$B466))</f>
        <v/>
      </c>
      <c r="AK466" t="str">
        <f>IF('TMP Paste'!$F466="","",N('TMP Paste'!$G466))</f>
        <v/>
      </c>
      <c r="AL466" t="str">
        <f>IF('TMP Paste'!$F466="","",IF('TMP Paste'!$M466="",$AL465,'TMP Paste'!$M466))</f>
        <v/>
      </c>
      <c r="AM466" t="str">
        <f>IF('TMP Paste'!$F466="","",IF('TMP Paste'!$N466="",$AM465,'TMP Paste'!$N466))</f>
        <v/>
      </c>
      <c r="AN466" t="str">
        <f>IF('TMP Paste'!$F466="","",IF('TMP Paste'!$O466="",$AN465,'TMP Paste'!$O466))</f>
        <v/>
      </c>
      <c r="AO466" t="str">
        <f>IF('TMP Paste'!$F466="","",IF('TMP Paste'!$P466="",$AO465,'TMP Paste'!$P466))</f>
        <v/>
      </c>
      <c r="AP466" t="str">
        <f t="shared" si="47"/>
        <v/>
      </c>
      <c r="AQ466" t="str">
        <f>IF($AS466="","",TRIM(IF(COUNTIFS(Calc!$B$2:$B$1601,ROW()-1,Calc!$C$2:$C$1601,"&lt;1")&gt;0,"Ada PO tanpa Koli - cek TMP. ","")&amp;IF(OR($AU466="",$AU466&lt;=0),"Volume kosong/0 - dimensi dikosongkan. ","")&amp;IF(AND($AU466&lt;&gt;"",$AU466&gt;=1000000),"Volume &gt;= 1.000.000 cm3 (di luar aturan) - dimensi dikosongkan. ","")&amp;IF(LEN($R466)&gt;500,"R &gt; 500 karakter.","")))</f>
        <v/>
      </c>
      <c r="AS466" t="str">
        <f>IFERROR(MATCH(ROW()-1,Calc!$J$2:$J$1601,0),"")</f>
        <v/>
      </c>
      <c r="AT466" t="str">
        <f>IFERROR(MATCH(ROW()-1,Calc!$K$2:$K$1601,0),"")</f>
        <v/>
      </c>
      <c r="AU466" t="str">
        <f>IF($AS466="","",IFERROR(INDEX('TMP Paste'!$D$2:$D$1601,$AS466)*1000000/$AB466,""))</f>
        <v/>
      </c>
    </row>
    <row r="467" spans="1:47">
      <c r="A467" t="str">
        <f>IF($AS467="","",INDEX('TMP Paste'!$B$2:$B$1601,$AS467))</f>
        <v/>
      </c>
      <c r="B467" t="str">
        <f>IF($AS467="","",Config!$B$14)</f>
        <v/>
      </c>
      <c r="C467" t="str">
        <f>IF($AS467="","",Config!$B$15)</f>
        <v/>
      </c>
      <c r="D467" t="str">
        <f>IF($AS467="","",INDEX('TMP Paste'!$B$2:$B$1601,$AS467))</f>
        <v/>
      </c>
      <c r="E467" t="str">
        <f>IF($AS467="","",Config!$B$27)</f>
        <v/>
      </c>
      <c r="F467" t="str">
        <f>IF($AS467="","",Config!$B$9)</f>
        <v/>
      </c>
      <c r="G467" t="str">
        <f>IF($AS467="","",Config!$B$10)</f>
        <v/>
      </c>
      <c r="H467" t="str">
        <f>IF($AS467="","",Config!$B$11)</f>
        <v/>
      </c>
      <c r="I467" t="str">
        <f>IF($AS467="","",Config!$B$16)</f>
        <v/>
      </c>
      <c r="J467" t="str">
        <f>IF($AS467="","",INDEX('TMP Paste'!$A$2:$A$1601,$AS467))</f>
        <v/>
      </c>
      <c r="K467" t="str">
        <f>IF($AS467="","",INDEX('TMP Paste'!$L$2:$L$1601,$AS467))</f>
        <v/>
      </c>
      <c r="L467" t="str">
        <f>IF($AS467="","",INDEX('TMP Paste'!$I$2:$I$1601,$AS467))</f>
        <v/>
      </c>
      <c r="M467" t="str">
        <f>IF($AS467="","",Config!$B$16)</f>
        <v/>
      </c>
      <c r="N467" t="str">
        <f t="shared" si="42"/>
        <v/>
      </c>
      <c r="O467" t="str">
        <f>IF($AS467="","",INDEX('TMP Paste'!$K$2:$K$1601,$AS467))</f>
        <v/>
      </c>
      <c r="P467" t="str">
        <f t="shared" si="43"/>
        <v/>
      </c>
      <c r="Q467" t="str">
        <f>IF($AS467="","",INDEX('TMP Paste'!$J$2:$J$1601,$AS467))</f>
        <v/>
      </c>
      <c r="R467" t="str">
        <f>IF($AS467="","",Config!$B$24)</f>
        <v/>
      </c>
      <c r="S467" t="str">
        <f ca="1">IF($AS467="","",TEXT(Config!$B$4,"yyyy-mm-dd"))</f>
        <v/>
      </c>
      <c r="T467" t="str">
        <f>IF($AS467="","",Config!$B$17)</f>
        <v/>
      </c>
      <c r="U467" t="str">
        <f>IF($AS467="","",Config!$B$18)</f>
        <v/>
      </c>
      <c r="V467" t="str">
        <f>IF($AS467="","",Config!$B$19)</f>
        <v/>
      </c>
      <c r="W467" t="str">
        <f>IF($AS467="","",INDEX('TMP Paste'!$C$2:$C$1601,$AS467))</f>
        <v/>
      </c>
      <c r="X467" t="str">
        <f>IF($AS467="","",Config!$B$29)</f>
        <v/>
      </c>
      <c r="Y467" t="str">
        <f>IF($AT467="","",INDEX(Calc!$I$2:$I$1601,$AT467)&amp;" - "&amp;INDEX(Calc!$D$2:$D$1601,$AT467)&amp;" koli")</f>
        <v/>
      </c>
      <c r="Z467" t="str">
        <f>IF($AS467="","",Config!$B$21)</f>
        <v/>
      </c>
      <c r="AA467" t="str">
        <f>IF($AS467="","",Config!$B$22)</f>
        <v/>
      </c>
      <c r="AB467" t="str">
        <f>IF($AT467="","",INDEX(Calc!$D$2:$D$1601,$AT467))</f>
        <v/>
      </c>
      <c r="AC467" t="str">
        <f>IF($AT467="","",INDEX(Calc!$G$2:$G$1601,$AT467))</f>
        <v/>
      </c>
      <c r="AD467" t="str">
        <f>IF($AS467="","",Config!$B$23)</f>
        <v/>
      </c>
      <c r="AE467" t="str">
        <f>IF($AS467="","",Config!$B$28)</f>
        <v/>
      </c>
      <c r="AF467" t="str">
        <f t="shared" si="44"/>
        <v/>
      </c>
      <c r="AG467" t="str">
        <f t="shared" si="45"/>
        <v/>
      </c>
      <c r="AH467" t="str">
        <f t="shared" si="46"/>
        <v/>
      </c>
      <c r="AI467" t="str">
        <f>IF($AG467="","",SUMIF($AG$2:$AG467,$AG467,$AH$2:$AH467))</f>
        <v/>
      </c>
      <c r="AJ467" t="str">
        <f>IF('TMP Paste'!$F467="","",IF('TMP Paste'!$B467="",$AJ466,'TMP Paste'!$B467))</f>
        <v/>
      </c>
      <c r="AK467" t="str">
        <f>IF('TMP Paste'!$F467="","",N('TMP Paste'!$G467))</f>
        <v/>
      </c>
      <c r="AL467" t="str">
        <f>IF('TMP Paste'!$F467="","",IF('TMP Paste'!$M467="",$AL466,'TMP Paste'!$M467))</f>
        <v/>
      </c>
      <c r="AM467" t="str">
        <f>IF('TMP Paste'!$F467="","",IF('TMP Paste'!$N467="",$AM466,'TMP Paste'!$N467))</f>
        <v/>
      </c>
      <c r="AN467" t="str">
        <f>IF('TMP Paste'!$F467="","",IF('TMP Paste'!$O467="",$AN466,'TMP Paste'!$O467))</f>
        <v/>
      </c>
      <c r="AO467" t="str">
        <f>IF('TMP Paste'!$F467="","",IF('TMP Paste'!$P467="",$AO466,'TMP Paste'!$P467))</f>
        <v/>
      </c>
      <c r="AP467" t="str">
        <f t="shared" si="47"/>
        <v/>
      </c>
      <c r="AQ467" t="str">
        <f>IF($AS467="","",TRIM(IF(COUNTIFS(Calc!$B$2:$B$1601,ROW()-1,Calc!$C$2:$C$1601,"&lt;1")&gt;0,"Ada PO tanpa Koli - cek TMP. ","")&amp;IF(OR($AU467="",$AU467&lt;=0),"Volume kosong/0 - dimensi dikosongkan. ","")&amp;IF(AND($AU467&lt;&gt;"",$AU467&gt;=1000000),"Volume &gt;= 1.000.000 cm3 (di luar aturan) - dimensi dikosongkan. ","")&amp;IF(LEN($R467)&gt;500,"R &gt; 500 karakter.","")))</f>
        <v/>
      </c>
      <c r="AS467" t="str">
        <f>IFERROR(MATCH(ROW()-1,Calc!$J$2:$J$1601,0),"")</f>
        <v/>
      </c>
      <c r="AT467" t="str">
        <f>IFERROR(MATCH(ROW()-1,Calc!$K$2:$K$1601,0),"")</f>
        <v/>
      </c>
      <c r="AU467" t="str">
        <f>IF($AS467="","",IFERROR(INDEX('TMP Paste'!$D$2:$D$1601,$AS467)*1000000/$AB467,""))</f>
        <v/>
      </c>
    </row>
    <row r="468" spans="1:47">
      <c r="A468" t="str">
        <f>IF($AS468="","",INDEX('TMP Paste'!$B$2:$B$1601,$AS468))</f>
        <v/>
      </c>
      <c r="B468" t="str">
        <f>IF($AS468="","",Config!$B$14)</f>
        <v/>
      </c>
      <c r="C468" t="str">
        <f>IF($AS468="","",Config!$B$15)</f>
        <v/>
      </c>
      <c r="D468" t="str">
        <f>IF($AS468="","",INDEX('TMP Paste'!$B$2:$B$1601,$AS468))</f>
        <v/>
      </c>
      <c r="E468" t="str">
        <f>IF($AS468="","",Config!$B$27)</f>
        <v/>
      </c>
      <c r="F468" t="str">
        <f>IF($AS468="","",Config!$B$9)</f>
        <v/>
      </c>
      <c r="G468" t="str">
        <f>IF($AS468="","",Config!$B$10)</f>
        <v/>
      </c>
      <c r="H468" t="str">
        <f>IF($AS468="","",Config!$B$11)</f>
        <v/>
      </c>
      <c r="I468" t="str">
        <f>IF($AS468="","",Config!$B$16)</f>
        <v/>
      </c>
      <c r="J468" t="str">
        <f>IF($AS468="","",INDEX('TMP Paste'!$A$2:$A$1601,$AS468))</f>
        <v/>
      </c>
      <c r="K468" t="str">
        <f>IF($AS468="","",INDEX('TMP Paste'!$L$2:$L$1601,$AS468))</f>
        <v/>
      </c>
      <c r="L468" t="str">
        <f>IF($AS468="","",INDEX('TMP Paste'!$I$2:$I$1601,$AS468))</f>
        <v/>
      </c>
      <c r="M468" t="str">
        <f>IF($AS468="","",Config!$B$16)</f>
        <v/>
      </c>
      <c r="N468" t="str">
        <f t="shared" si="42"/>
        <v/>
      </c>
      <c r="O468" t="str">
        <f>IF($AS468="","",INDEX('TMP Paste'!$K$2:$K$1601,$AS468))</f>
        <v/>
      </c>
      <c r="P468" t="str">
        <f t="shared" si="43"/>
        <v/>
      </c>
      <c r="Q468" t="str">
        <f>IF($AS468="","",INDEX('TMP Paste'!$J$2:$J$1601,$AS468))</f>
        <v/>
      </c>
      <c r="R468" t="str">
        <f>IF($AS468="","",Config!$B$24)</f>
        <v/>
      </c>
      <c r="S468" t="str">
        <f ca="1">IF($AS468="","",TEXT(Config!$B$4,"yyyy-mm-dd"))</f>
        <v/>
      </c>
      <c r="T468" t="str">
        <f>IF($AS468="","",Config!$B$17)</f>
        <v/>
      </c>
      <c r="U468" t="str">
        <f>IF($AS468="","",Config!$B$18)</f>
        <v/>
      </c>
      <c r="V468" t="str">
        <f>IF($AS468="","",Config!$B$19)</f>
        <v/>
      </c>
      <c r="W468" t="str">
        <f>IF($AS468="","",INDEX('TMP Paste'!$C$2:$C$1601,$AS468))</f>
        <v/>
      </c>
      <c r="X468" t="str">
        <f>IF($AS468="","",Config!$B$29)</f>
        <v/>
      </c>
      <c r="Y468" t="str">
        <f>IF($AT468="","",INDEX(Calc!$I$2:$I$1601,$AT468)&amp;" - "&amp;INDEX(Calc!$D$2:$D$1601,$AT468)&amp;" koli")</f>
        <v/>
      </c>
      <c r="Z468" t="str">
        <f>IF($AS468="","",Config!$B$21)</f>
        <v/>
      </c>
      <c r="AA468" t="str">
        <f>IF($AS468="","",Config!$B$22)</f>
        <v/>
      </c>
      <c r="AB468" t="str">
        <f>IF($AT468="","",INDEX(Calc!$D$2:$D$1601,$AT468))</f>
        <v/>
      </c>
      <c r="AC468" t="str">
        <f>IF($AT468="","",INDEX(Calc!$G$2:$G$1601,$AT468))</f>
        <v/>
      </c>
      <c r="AD468" t="str">
        <f>IF($AS468="","",Config!$B$23)</f>
        <v/>
      </c>
      <c r="AE468" t="str">
        <f>IF($AS468="","",Config!$B$28)</f>
        <v/>
      </c>
      <c r="AF468" t="str">
        <f t="shared" si="44"/>
        <v/>
      </c>
      <c r="AG468" t="str">
        <f t="shared" si="45"/>
        <v/>
      </c>
      <c r="AH468" t="str">
        <f t="shared" si="46"/>
        <v/>
      </c>
      <c r="AI468" t="str">
        <f>IF($AG468="","",SUMIF($AG$2:$AG468,$AG468,$AH$2:$AH468))</f>
        <v/>
      </c>
      <c r="AJ468" t="str">
        <f>IF('TMP Paste'!$F468="","",IF('TMP Paste'!$B468="",$AJ467,'TMP Paste'!$B468))</f>
        <v/>
      </c>
      <c r="AK468" t="str">
        <f>IF('TMP Paste'!$F468="","",N('TMP Paste'!$G468))</f>
        <v/>
      </c>
      <c r="AL468" t="str">
        <f>IF('TMP Paste'!$F468="","",IF('TMP Paste'!$M468="",$AL467,'TMP Paste'!$M468))</f>
        <v/>
      </c>
      <c r="AM468" t="str">
        <f>IF('TMP Paste'!$F468="","",IF('TMP Paste'!$N468="",$AM467,'TMP Paste'!$N468))</f>
        <v/>
      </c>
      <c r="AN468" t="str">
        <f>IF('TMP Paste'!$F468="","",IF('TMP Paste'!$O468="",$AN467,'TMP Paste'!$O468))</f>
        <v/>
      </c>
      <c r="AO468" t="str">
        <f>IF('TMP Paste'!$F468="","",IF('TMP Paste'!$P468="",$AO467,'TMP Paste'!$P468))</f>
        <v/>
      </c>
      <c r="AP468" t="str">
        <f t="shared" si="47"/>
        <v/>
      </c>
      <c r="AQ468" t="str">
        <f>IF($AS468="","",TRIM(IF(COUNTIFS(Calc!$B$2:$B$1601,ROW()-1,Calc!$C$2:$C$1601,"&lt;1")&gt;0,"Ada PO tanpa Koli - cek TMP. ","")&amp;IF(OR($AU468="",$AU468&lt;=0),"Volume kosong/0 - dimensi dikosongkan. ","")&amp;IF(AND($AU468&lt;&gt;"",$AU468&gt;=1000000),"Volume &gt;= 1.000.000 cm3 (di luar aturan) - dimensi dikosongkan. ","")&amp;IF(LEN($R468)&gt;500,"R &gt; 500 karakter.","")))</f>
        <v/>
      </c>
      <c r="AS468" t="str">
        <f>IFERROR(MATCH(ROW()-1,Calc!$J$2:$J$1601,0),"")</f>
        <v/>
      </c>
      <c r="AT468" t="str">
        <f>IFERROR(MATCH(ROW()-1,Calc!$K$2:$K$1601,0),"")</f>
        <v/>
      </c>
      <c r="AU468" t="str">
        <f>IF($AS468="","",IFERROR(INDEX('TMP Paste'!$D$2:$D$1601,$AS468)*1000000/$AB468,""))</f>
        <v/>
      </c>
    </row>
    <row r="469" spans="1:47">
      <c r="A469" t="str">
        <f>IF($AS469="","",INDEX('TMP Paste'!$B$2:$B$1601,$AS469))</f>
        <v/>
      </c>
      <c r="B469" t="str">
        <f>IF($AS469="","",Config!$B$14)</f>
        <v/>
      </c>
      <c r="C469" t="str">
        <f>IF($AS469="","",Config!$B$15)</f>
        <v/>
      </c>
      <c r="D469" t="str">
        <f>IF($AS469="","",INDEX('TMP Paste'!$B$2:$B$1601,$AS469))</f>
        <v/>
      </c>
      <c r="E469" t="str">
        <f>IF($AS469="","",Config!$B$27)</f>
        <v/>
      </c>
      <c r="F469" t="str">
        <f>IF($AS469="","",Config!$B$9)</f>
        <v/>
      </c>
      <c r="G469" t="str">
        <f>IF($AS469="","",Config!$B$10)</f>
        <v/>
      </c>
      <c r="H469" t="str">
        <f>IF($AS469="","",Config!$B$11)</f>
        <v/>
      </c>
      <c r="I469" t="str">
        <f>IF($AS469="","",Config!$B$16)</f>
        <v/>
      </c>
      <c r="J469" t="str">
        <f>IF($AS469="","",INDEX('TMP Paste'!$A$2:$A$1601,$AS469))</f>
        <v/>
      </c>
      <c r="K469" t="str">
        <f>IF($AS469="","",INDEX('TMP Paste'!$L$2:$L$1601,$AS469))</f>
        <v/>
      </c>
      <c r="L469" t="str">
        <f>IF($AS469="","",INDEX('TMP Paste'!$I$2:$I$1601,$AS469))</f>
        <v/>
      </c>
      <c r="M469" t="str">
        <f>IF($AS469="","",Config!$B$16)</f>
        <v/>
      </c>
      <c r="N469" t="str">
        <f t="shared" si="42"/>
        <v/>
      </c>
      <c r="O469" t="str">
        <f>IF($AS469="","",INDEX('TMP Paste'!$K$2:$K$1601,$AS469))</f>
        <v/>
      </c>
      <c r="P469" t="str">
        <f t="shared" si="43"/>
        <v/>
      </c>
      <c r="Q469" t="str">
        <f>IF($AS469="","",INDEX('TMP Paste'!$J$2:$J$1601,$AS469))</f>
        <v/>
      </c>
      <c r="R469" t="str">
        <f>IF($AS469="","",Config!$B$24)</f>
        <v/>
      </c>
      <c r="S469" t="str">
        <f ca="1">IF($AS469="","",TEXT(Config!$B$4,"yyyy-mm-dd"))</f>
        <v/>
      </c>
      <c r="T469" t="str">
        <f>IF($AS469="","",Config!$B$17)</f>
        <v/>
      </c>
      <c r="U469" t="str">
        <f>IF($AS469="","",Config!$B$18)</f>
        <v/>
      </c>
      <c r="V469" t="str">
        <f>IF($AS469="","",Config!$B$19)</f>
        <v/>
      </c>
      <c r="W469" t="str">
        <f>IF($AS469="","",INDEX('TMP Paste'!$C$2:$C$1601,$AS469))</f>
        <v/>
      </c>
      <c r="X469" t="str">
        <f>IF($AS469="","",Config!$B$29)</f>
        <v/>
      </c>
      <c r="Y469" t="str">
        <f>IF($AT469="","",INDEX(Calc!$I$2:$I$1601,$AT469)&amp;" - "&amp;INDEX(Calc!$D$2:$D$1601,$AT469)&amp;" koli")</f>
        <v/>
      </c>
      <c r="Z469" t="str">
        <f>IF($AS469="","",Config!$B$21)</f>
        <v/>
      </c>
      <c r="AA469" t="str">
        <f>IF($AS469="","",Config!$B$22)</f>
        <v/>
      </c>
      <c r="AB469" t="str">
        <f>IF($AT469="","",INDEX(Calc!$D$2:$D$1601,$AT469))</f>
        <v/>
      </c>
      <c r="AC469" t="str">
        <f>IF($AT469="","",INDEX(Calc!$G$2:$G$1601,$AT469))</f>
        <v/>
      </c>
      <c r="AD469" t="str">
        <f>IF($AS469="","",Config!$B$23)</f>
        <v/>
      </c>
      <c r="AE469" t="str">
        <f>IF($AS469="","",Config!$B$28)</f>
        <v/>
      </c>
      <c r="AF469" t="str">
        <f t="shared" si="44"/>
        <v/>
      </c>
      <c r="AG469" t="str">
        <f t="shared" si="45"/>
        <v/>
      </c>
      <c r="AH469" t="str">
        <f t="shared" si="46"/>
        <v/>
      </c>
      <c r="AI469" t="str">
        <f>IF($AG469="","",SUMIF($AG$2:$AG469,$AG469,$AH$2:$AH469))</f>
        <v/>
      </c>
      <c r="AJ469" t="str">
        <f>IF('TMP Paste'!$F469="","",IF('TMP Paste'!$B469="",$AJ468,'TMP Paste'!$B469))</f>
        <v/>
      </c>
      <c r="AK469" t="str">
        <f>IF('TMP Paste'!$F469="","",N('TMP Paste'!$G469))</f>
        <v/>
      </c>
      <c r="AL469" t="str">
        <f>IF('TMP Paste'!$F469="","",IF('TMP Paste'!$M469="",$AL468,'TMP Paste'!$M469))</f>
        <v/>
      </c>
      <c r="AM469" t="str">
        <f>IF('TMP Paste'!$F469="","",IF('TMP Paste'!$N469="",$AM468,'TMP Paste'!$N469))</f>
        <v/>
      </c>
      <c r="AN469" t="str">
        <f>IF('TMP Paste'!$F469="","",IF('TMP Paste'!$O469="",$AN468,'TMP Paste'!$O469))</f>
        <v/>
      </c>
      <c r="AO469" t="str">
        <f>IF('TMP Paste'!$F469="","",IF('TMP Paste'!$P469="",$AO468,'TMP Paste'!$P469))</f>
        <v/>
      </c>
      <c r="AP469" t="str">
        <f t="shared" si="47"/>
        <v/>
      </c>
      <c r="AQ469" t="str">
        <f>IF($AS469="","",TRIM(IF(COUNTIFS(Calc!$B$2:$B$1601,ROW()-1,Calc!$C$2:$C$1601,"&lt;1")&gt;0,"Ada PO tanpa Koli - cek TMP. ","")&amp;IF(OR($AU469="",$AU469&lt;=0),"Volume kosong/0 - dimensi dikosongkan. ","")&amp;IF(AND($AU469&lt;&gt;"",$AU469&gt;=1000000),"Volume &gt;= 1.000.000 cm3 (di luar aturan) - dimensi dikosongkan. ","")&amp;IF(LEN($R469)&gt;500,"R &gt; 500 karakter.","")))</f>
        <v/>
      </c>
      <c r="AS469" t="str">
        <f>IFERROR(MATCH(ROW()-1,Calc!$J$2:$J$1601,0),"")</f>
        <v/>
      </c>
      <c r="AT469" t="str">
        <f>IFERROR(MATCH(ROW()-1,Calc!$K$2:$K$1601,0),"")</f>
        <v/>
      </c>
      <c r="AU469" t="str">
        <f>IF($AS469="","",IFERROR(INDEX('TMP Paste'!$D$2:$D$1601,$AS469)*1000000/$AB469,""))</f>
        <v/>
      </c>
    </row>
    <row r="470" spans="1:47">
      <c r="A470" t="str">
        <f>IF($AS470="","",INDEX('TMP Paste'!$B$2:$B$1601,$AS470))</f>
        <v/>
      </c>
      <c r="B470" t="str">
        <f>IF($AS470="","",Config!$B$14)</f>
        <v/>
      </c>
      <c r="C470" t="str">
        <f>IF($AS470="","",Config!$B$15)</f>
        <v/>
      </c>
      <c r="D470" t="str">
        <f>IF($AS470="","",INDEX('TMP Paste'!$B$2:$B$1601,$AS470))</f>
        <v/>
      </c>
      <c r="E470" t="str">
        <f>IF($AS470="","",Config!$B$27)</f>
        <v/>
      </c>
      <c r="F470" t="str">
        <f>IF($AS470="","",Config!$B$9)</f>
        <v/>
      </c>
      <c r="G470" t="str">
        <f>IF($AS470="","",Config!$B$10)</f>
        <v/>
      </c>
      <c r="H470" t="str">
        <f>IF($AS470="","",Config!$B$11)</f>
        <v/>
      </c>
      <c r="I470" t="str">
        <f>IF($AS470="","",Config!$B$16)</f>
        <v/>
      </c>
      <c r="J470" t="str">
        <f>IF($AS470="","",INDEX('TMP Paste'!$A$2:$A$1601,$AS470))</f>
        <v/>
      </c>
      <c r="K470" t="str">
        <f>IF($AS470="","",INDEX('TMP Paste'!$L$2:$L$1601,$AS470))</f>
        <v/>
      </c>
      <c r="L470" t="str">
        <f>IF($AS470="","",INDEX('TMP Paste'!$I$2:$I$1601,$AS470))</f>
        <v/>
      </c>
      <c r="M470" t="str">
        <f>IF($AS470="","",Config!$B$16)</f>
        <v/>
      </c>
      <c r="N470" t="str">
        <f t="shared" si="42"/>
        <v/>
      </c>
      <c r="O470" t="str">
        <f>IF($AS470="","",INDEX('TMP Paste'!$K$2:$K$1601,$AS470))</f>
        <v/>
      </c>
      <c r="P470" t="str">
        <f t="shared" si="43"/>
        <v/>
      </c>
      <c r="Q470" t="str">
        <f>IF($AS470="","",INDEX('TMP Paste'!$J$2:$J$1601,$AS470))</f>
        <v/>
      </c>
      <c r="R470" t="str">
        <f>IF($AS470="","",Config!$B$24)</f>
        <v/>
      </c>
      <c r="S470" t="str">
        <f ca="1">IF($AS470="","",TEXT(Config!$B$4,"yyyy-mm-dd"))</f>
        <v/>
      </c>
      <c r="T470" t="str">
        <f>IF($AS470="","",Config!$B$17)</f>
        <v/>
      </c>
      <c r="U470" t="str">
        <f>IF($AS470="","",Config!$B$18)</f>
        <v/>
      </c>
      <c r="V470" t="str">
        <f>IF($AS470="","",Config!$B$19)</f>
        <v/>
      </c>
      <c r="W470" t="str">
        <f>IF($AS470="","",INDEX('TMP Paste'!$C$2:$C$1601,$AS470))</f>
        <v/>
      </c>
      <c r="X470" t="str">
        <f>IF($AS470="","",Config!$B$29)</f>
        <v/>
      </c>
      <c r="Y470" t="str">
        <f>IF($AT470="","",INDEX(Calc!$I$2:$I$1601,$AT470)&amp;" - "&amp;INDEX(Calc!$D$2:$D$1601,$AT470)&amp;" koli")</f>
        <v/>
      </c>
      <c r="Z470" t="str">
        <f>IF($AS470="","",Config!$B$21)</f>
        <v/>
      </c>
      <c r="AA470" t="str">
        <f>IF($AS470="","",Config!$B$22)</f>
        <v/>
      </c>
      <c r="AB470" t="str">
        <f>IF($AT470="","",INDEX(Calc!$D$2:$D$1601,$AT470))</f>
        <v/>
      </c>
      <c r="AC470" t="str">
        <f>IF($AT470="","",INDEX(Calc!$G$2:$G$1601,$AT470))</f>
        <v/>
      </c>
      <c r="AD470" t="str">
        <f>IF($AS470="","",Config!$B$23)</f>
        <v/>
      </c>
      <c r="AE470" t="str">
        <f>IF($AS470="","",Config!$B$28)</f>
        <v/>
      </c>
      <c r="AF470" t="str">
        <f t="shared" si="44"/>
        <v/>
      </c>
      <c r="AG470" t="str">
        <f t="shared" si="45"/>
        <v/>
      </c>
      <c r="AH470" t="str">
        <f t="shared" si="46"/>
        <v/>
      </c>
      <c r="AI470" t="str">
        <f>IF($AG470="","",SUMIF($AG$2:$AG470,$AG470,$AH$2:$AH470))</f>
        <v/>
      </c>
      <c r="AJ470" t="str">
        <f>IF('TMP Paste'!$F470="","",IF('TMP Paste'!$B470="",$AJ469,'TMP Paste'!$B470))</f>
        <v/>
      </c>
      <c r="AK470" t="str">
        <f>IF('TMP Paste'!$F470="","",N('TMP Paste'!$G470))</f>
        <v/>
      </c>
      <c r="AL470" t="str">
        <f>IF('TMP Paste'!$F470="","",IF('TMP Paste'!$M470="",$AL469,'TMP Paste'!$M470))</f>
        <v/>
      </c>
      <c r="AM470" t="str">
        <f>IF('TMP Paste'!$F470="","",IF('TMP Paste'!$N470="",$AM469,'TMP Paste'!$N470))</f>
        <v/>
      </c>
      <c r="AN470" t="str">
        <f>IF('TMP Paste'!$F470="","",IF('TMP Paste'!$O470="",$AN469,'TMP Paste'!$O470))</f>
        <v/>
      </c>
      <c r="AO470" t="str">
        <f>IF('TMP Paste'!$F470="","",IF('TMP Paste'!$P470="",$AO469,'TMP Paste'!$P470))</f>
        <v/>
      </c>
      <c r="AP470" t="str">
        <f t="shared" si="47"/>
        <v/>
      </c>
      <c r="AQ470" t="str">
        <f>IF($AS470="","",TRIM(IF(COUNTIFS(Calc!$B$2:$B$1601,ROW()-1,Calc!$C$2:$C$1601,"&lt;1")&gt;0,"Ada PO tanpa Koli - cek TMP. ","")&amp;IF(OR($AU470="",$AU470&lt;=0),"Volume kosong/0 - dimensi dikosongkan. ","")&amp;IF(AND($AU470&lt;&gt;"",$AU470&gt;=1000000),"Volume &gt;= 1.000.000 cm3 (di luar aturan) - dimensi dikosongkan. ","")&amp;IF(LEN($R470)&gt;500,"R &gt; 500 karakter.","")))</f>
        <v/>
      </c>
      <c r="AS470" t="str">
        <f>IFERROR(MATCH(ROW()-1,Calc!$J$2:$J$1601,0),"")</f>
        <v/>
      </c>
      <c r="AT470" t="str">
        <f>IFERROR(MATCH(ROW()-1,Calc!$K$2:$K$1601,0),"")</f>
        <v/>
      </c>
      <c r="AU470" t="str">
        <f>IF($AS470="","",IFERROR(INDEX('TMP Paste'!$D$2:$D$1601,$AS470)*1000000/$AB470,""))</f>
        <v/>
      </c>
    </row>
    <row r="471" spans="1:47">
      <c r="A471" t="str">
        <f>IF($AS471="","",INDEX('TMP Paste'!$B$2:$B$1601,$AS471))</f>
        <v/>
      </c>
      <c r="B471" t="str">
        <f>IF($AS471="","",Config!$B$14)</f>
        <v/>
      </c>
      <c r="C471" t="str">
        <f>IF($AS471="","",Config!$B$15)</f>
        <v/>
      </c>
      <c r="D471" t="str">
        <f>IF($AS471="","",INDEX('TMP Paste'!$B$2:$B$1601,$AS471))</f>
        <v/>
      </c>
      <c r="E471" t="str">
        <f>IF($AS471="","",Config!$B$27)</f>
        <v/>
      </c>
      <c r="F471" t="str">
        <f>IF($AS471="","",Config!$B$9)</f>
        <v/>
      </c>
      <c r="G471" t="str">
        <f>IF($AS471="","",Config!$B$10)</f>
        <v/>
      </c>
      <c r="H471" t="str">
        <f>IF($AS471="","",Config!$B$11)</f>
        <v/>
      </c>
      <c r="I471" t="str">
        <f>IF($AS471="","",Config!$B$16)</f>
        <v/>
      </c>
      <c r="J471" t="str">
        <f>IF($AS471="","",INDEX('TMP Paste'!$A$2:$A$1601,$AS471))</f>
        <v/>
      </c>
      <c r="K471" t="str">
        <f>IF($AS471="","",INDEX('TMP Paste'!$L$2:$L$1601,$AS471))</f>
        <v/>
      </c>
      <c r="L471" t="str">
        <f>IF($AS471="","",INDEX('TMP Paste'!$I$2:$I$1601,$AS471))</f>
        <v/>
      </c>
      <c r="M471" t="str">
        <f>IF($AS471="","",Config!$B$16)</f>
        <v/>
      </c>
      <c r="N471" t="str">
        <f t="shared" si="42"/>
        <v/>
      </c>
      <c r="O471" t="str">
        <f>IF($AS471="","",INDEX('TMP Paste'!$K$2:$K$1601,$AS471))</f>
        <v/>
      </c>
      <c r="P471" t="str">
        <f t="shared" si="43"/>
        <v/>
      </c>
      <c r="Q471" t="str">
        <f>IF($AS471="","",INDEX('TMP Paste'!$J$2:$J$1601,$AS471))</f>
        <v/>
      </c>
      <c r="R471" t="str">
        <f>IF($AS471="","",Config!$B$24)</f>
        <v/>
      </c>
      <c r="S471" t="str">
        <f ca="1">IF($AS471="","",TEXT(Config!$B$4,"yyyy-mm-dd"))</f>
        <v/>
      </c>
      <c r="T471" t="str">
        <f>IF($AS471="","",Config!$B$17)</f>
        <v/>
      </c>
      <c r="U471" t="str">
        <f>IF($AS471="","",Config!$B$18)</f>
        <v/>
      </c>
      <c r="V471" t="str">
        <f>IF($AS471="","",Config!$B$19)</f>
        <v/>
      </c>
      <c r="W471" t="str">
        <f>IF($AS471="","",INDEX('TMP Paste'!$C$2:$C$1601,$AS471))</f>
        <v/>
      </c>
      <c r="X471" t="str">
        <f>IF($AS471="","",Config!$B$29)</f>
        <v/>
      </c>
      <c r="Y471" t="str">
        <f>IF($AT471="","",INDEX(Calc!$I$2:$I$1601,$AT471)&amp;" - "&amp;INDEX(Calc!$D$2:$D$1601,$AT471)&amp;" koli")</f>
        <v/>
      </c>
      <c r="Z471" t="str">
        <f>IF($AS471="","",Config!$B$21)</f>
        <v/>
      </c>
      <c r="AA471" t="str">
        <f>IF($AS471="","",Config!$B$22)</f>
        <v/>
      </c>
      <c r="AB471" t="str">
        <f>IF($AT471="","",INDEX(Calc!$D$2:$D$1601,$AT471))</f>
        <v/>
      </c>
      <c r="AC471" t="str">
        <f>IF($AT471="","",INDEX(Calc!$G$2:$G$1601,$AT471))</f>
        <v/>
      </c>
      <c r="AD471" t="str">
        <f>IF($AS471="","",Config!$B$23)</f>
        <v/>
      </c>
      <c r="AE471" t="str">
        <f>IF($AS471="","",Config!$B$28)</f>
        <v/>
      </c>
      <c r="AF471" t="str">
        <f t="shared" si="44"/>
        <v/>
      </c>
      <c r="AG471" t="str">
        <f t="shared" si="45"/>
        <v/>
      </c>
      <c r="AH471" t="str">
        <f t="shared" si="46"/>
        <v/>
      </c>
      <c r="AI471" t="str">
        <f>IF($AG471="","",SUMIF($AG$2:$AG471,$AG471,$AH$2:$AH471))</f>
        <v/>
      </c>
      <c r="AJ471" t="str">
        <f>IF('TMP Paste'!$F471="","",IF('TMP Paste'!$B471="",$AJ470,'TMP Paste'!$B471))</f>
        <v/>
      </c>
      <c r="AK471" t="str">
        <f>IF('TMP Paste'!$F471="","",N('TMP Paste'!$G471))</f>
        <v/>
      </c>
      <c r="AL471" t="str">
        <f>IF('TMP Paste'!$F471="","",IF('TMP Paste'!$M471="",$AL470,'TMP Paste'!$M471))</f>
        <v/>
      </c>
      <c r="AM471" t="str">
        <f>IF('TMP Paste'!$F471="","",IF('TMP Paste'!$N471="",$AM470,'TMP Paste'!$N471))</f>
        <v/>
      </c>
      <c r="AN471" t="str">
        <f>IF('TMP Paste'!$F471="","",IF('TMP Paste'!$O471="",$AN470,'TMP Paste'!$O471))</f>
        <v/>
      </c>
      <c r="AO471" t="str">
        <f>IF('TMP Paste'!$F471="","",IF('TMP Paste'!$P471="",$AO470,'TMP Paste'!$P471))</f>
        <v/>
      </c>
      <c r="AP471" t="str">
        <f t="shared" si="47"/>
        <v/>
      </c>
      <c r="AQ471" t="str">
        <f>IF($AS471="","",TRIM(IF(COUNTIFS(Calc!$B$2:$B$1601,ROW()-1,Calc!$C$2:$C$1601,"&lt;1")&gt;0,"Ada PO tanpa Koli - cek TMP. ","")&amp;IF(OR($AU471="",$AU471&lt;=0),"Volume kosong/0 - dimensi dikosongkan. ","")&amp;IF(AND($AU471&lt;&gt;"",$AU471&gt;=1000000),"Volume &gt;= 1.000.000 cm3 (di luar aturan) - dimensi dikosongkan. ","")&amp;IF(LEN($R471)&gt;500,"R &gt; 500 karakter.","")))</f>
        <v/>
      </c>
      <c r="AS471" t="str">
        <f>IFERROR(MATCH(ROW()-1,Calc!$J$2:$J$1601,0),"")</f>
        <v/>
      </c>
      <c r="AT471" t="str">
        <f>IFERROR(MATCH(ROW()-1,Calc!$K$2:$K$1601,0),"")</f>
        <v/>
      </c>
      <c r="AU471" t="str">
        <f>IF($AS471="","",IFERROR(INDEX('TMP Paste'!$D$2:$D$1601,$AS471)*1000000/$AB471,""))</f>
        <v/>
      </c>
    </row>
    <row r="472" spans="1:47">
      <c r="A472" t="str">
        <f>IF($AS472="","",INDEX('TMP Paste'!$B$2:$B$1601,$AS472))</f>
        <v/>
      </c>
      <c r="B472" t="str">
        <f>IF($AS472="","",Config!$B$14)</f>
        <v/>
      </c>
      <c r="C472" t="str">
        <f>IF($AS472="","",Config!$B$15)</f>
        <v/>
      </c>
      <c r="D472" t="str">
        <f>IF($AS472="","",INDEX('TMP Paste'!$B$2:$B$1601,$AS472))</f>
        <v/>
      </c>
      <c r="E472" t="str">
        <f>IF($AS472="","",Config!$B$27)</f>
        <v/>
      </c>
      <c r="F472" t="str">
        <f>IF($AS472="","",Config!$B$9)</f>
        <v/>
      </c>
      <c r="G472" t="str">
        <f>IF($AS472="","",Config!$B$10)</f>
        <v/>
      </c>
      <c r="H472" t="str">
        <f>IF($AS472="","",Config!$B$11)</f>
        <v/>
      </c>
      <c r="I472" t="str">
        <f>IF($AS472="","",Config!$B$16)</f>
        <v/>
      </c>
      <c r="J472" t="str">
        <f>IF($AS472="","",INDEX('TMP Paste'!$A$2:$A$1601,$AS472))</f>
        <v/>
      </c>
      <c r="K472" t="str">
        <f>IF($AS472="","",INDEX('TMP Paste'!$L$2:$L$1601,$AS472))</f>
        <v/>
      </c>
      <c r="L472" t="str">
        <f>IF($AS472="","",INDEX('TMP Paste'!$I$2:$I$1601,$AS472))</f>
        <v/>
      </c>
      <c r="M472" t="str">
        <f>IF($AS472="","",Config!$B$16)</f>
        <v/>
      </c>
      <c r="N472" t="str">
        <f t="shared" si="42"/>
        <v/>
      </c>
      <c r="O472" t="str">
        <f>IF($AS472="","",INDEX('TMP Paste'!$K$2:$K$1601,$AS472))</f>
        <v/>
      </c>
      <c r="P472" t="str">
        <f t="shared" si="43"/>
        <v/>
      </c>
      <c r="Q472" t="str">
        <f>IF($AS472="","",INDEX('TMP Paste'!$J$2:$J$1601,$AS472))</f>
        <v/>
      </c>
      <c r="R472" t="str">
        <f>IF($AS472="","",Config!$B$24)</f>
        <v/>
      </c>
      <c r="S472" t="str">
        <f ca="1">IF($AS472="","",TEXT(Config!$B$4,"yyyy-mm-dd"))</f>
        <v/>
      </c>
      <c r="T472" t="str">
        <f>IF($AS472="","",Config!$B$17)</f>
        <v/>
      </c>
      <c r="U472" t="str">
        <f>IF($AS472="","",Config!$B$18)</f>
        <v/>
      </c>
      <c r="V472" t="str">
        <f>IF($AS472="","",Config!$B$19)</f>
        <v/>
      </c>
      <c r="W472" t="str">
        <f>IF($AS472="","",INDEX('TMP Paste'!$C$2:$C$1601,$AS472))</f>
        <v/>
      </c>
      <c r="X472" t="str">
        <f>IF($AS472="","",Config!$B$29)</f>
        <v/>
      </c>
      <c r="Y472" t="str">
        <f>IF($AT472="","",INDEX(Calc!$I$2:$I$1601,$AT472)&amp;" - "&amp;INDEX(Calc!$D$2:$D$1601,$AT472)&amp;" koli")</f>
        <v/>
      </c>
      <c r="Z472" t="str">
        <f>IF($AS472="","",Config!$B$21)</f>
        <v/>
      </c>
      <c r="AA472" t="str">
        <f>IF($AS472="","",Config!$B$22)</f>
        <v/>
      </c>
      <c r="AB472" t="str">
        <f>IF($AT472="","",INDEX(Calc!$D$2:$D$1601,$AT472))</f>
        <v/>
      </c>
      <c r="AC472" t="str">
        <f>IF($AT472="","",INDEX(Calc!$G$2:$G$1601,$AT472))</f>
        <v/>
      </c>
      <c r="AD472" t="str">
        <f>IF($AS472="","",Config!$B$23)</f>
        <v/>
      </c>
      <c r="AE472" t="str">
        <f>IF($AS472="","",Config!$B$28)</f>
        <v/>
      </c>
      <c r="AF472" t="str">
        <f t="shared" si="44"/>
        <v/>
      </c>
      <c r="AG472" t="str">
        <f t="shared" si="45"/>
        <v/>
      </c>
      <c r="AH472" t="str">
        <f t="shared" si="46"/>
        <v/>
      </c>
      <c r="AI472" t="str">
        <f>IF($AG472="","",SUMIF($AG$2:$AG472,$AG472,$AH$2:$AH472))</f>
        <v/>
      </c>
      <c r="AJ472" t="str">
        <f>IF('TMP Paste'!$F472="","",IF('TMP Paste'!$B472="",$AJ471,'TMP Paste'!$B472))</f>
        <v/>
      </c>
      <c r="AK472" t="str">
        <f>IF('TMP Paste'!$F472="","",N('TMP Paste'!$G472))</f>
        <v/>
      </c>
      <c r="AL472" t="str">
        <f>IF('TMP Paste'!$F472="","",IF('TMP Paste'!$M472="",$AL471,'TMP Paste'!$M472))</f>
        <v/>
      </c>
      <c r="AM472" t="str">
        <f>IF('TMP Paste'!$F472="","",IF('TMP Paste'!$N472="",$AM471,'TMP Paste'!$N472))</f>
        <v/>
      </c>
      <c r="AN472" t="str">
        <f>IF('TMP Paste'!$F472="","",IF('TMP Paste'!$O472="",$AN471,'TMP Paste'!$O472))</f>
        <v/>
      </c>
      <c r="AO472" t="str">
        <f>IF('TMP Paste'!$F472="","",IF('TMP Paste'!$P472="",$AO471,'TMP Paste'!$P472))</f>
        <v/>
      </c>
      <c r="AP472" t="str">
        <f t="shared" si="47"/>
        <v/>
      </c>
      <c r="AQ472" t="str">
        <f>IF($AS472="","",TRIM(IF(COUNTIFS(Calc!$B$2:$B$1601,ROW()-1,Calc!$C$2:$C$1601,"&lt;1")&gt;0,"Ada PO tanpa Koli - cek TMP. ","")&amp;IF(OR($AU472="",$AU472&lt;=0),"Volume kosong/0 - dimensi dikosongkan. ","")&amp;IF(AND($AU472&lt;&gt;"",$AU472&gt;=1000000),"Volume &gt;= 1.000.000 cm3 (di luar aturan) - dimensi dikosongkan. ","")&amp;IF(LEN($R472)&gt;500,"R &gt; 500 karakter.","")))</f>
        <v/>
      </c>
      <c r="AS472" t="str">
        <f>IFERROR(MATCH(ROW()-1,Calc!$J$2:$J$1601,0),"")</f>
        <v/>
      </c>
      <c r="AT472" t="str">
        <f>IFERROR(MATCH(ROW()-1,Calc!$K$2:$K$1601,0),"")</f>
        <v/>
      </c>
      <c r="AU472" t="str">
        <f>IF($AS472="","",IFERROR(INDEX('TMP Paste'!$D$2:$D$1601,$AS472)*1000000/$AB472,""))</f>
        <v/>
      </c>
    </row>
    <row r="473" spans="1:47">
      <c r="A473" t="str">
        <f>IF($AS473="","",INDEX('TMP Paste'!$B$2:$B$1601,$AS473))</f>
        <v/>
      </c>
      <c r="B473" t="str">
        <f>IF($AS473="","",Config!$B$14)</f>
        <v/>
      </c>
      <c r="C473" t="str">
        <f>IF($AS473="","",Config!$B$15)</f>
        <v/>
      </c>
      <c r="D473" t="str">
        <f>IF($AS473="","",INDEX('TMP Paste'!$B$2:$B$1601,$AS473))</f>
        <v/>
      </c>
      <c r="E473" t="str">
        <f>IF($AS473="","",Config!$B$27)</f>
        <v/>
      </c>
      <c r="F473" t="str">
        <f>IF($AS473="","",Config!$B$9)</f>
        <v/>
      </c>
      <c r="G473" t="str">
        <f>IF($AS473="","",Config!$B$10)</f>
        <v/>
      </c>
      <c r="H473" t="str">
        <f>IF($AS473="","",Config!$B$11)</f>
        <v/>
      </c>
      <c r="I473" t="str">
        <f>IF($AS473="","",Config!$B$16)</f>
        <v/>
      </c>
      <c r="J473" t="str">
        <f>IF($AS473="","",INDEX('TMP Paste'!$A$2:$A$1601,$AS473))</f>
        <v/>
      </c>
      <c r="K473" t="str">
        <f>IF($AS473="","",INDEX('TMP Paste'!$L$2:$L$1601,$AS473))</f>
        <v/>
      </c>
      <c r="L473" t="str">
        <f>IF($AS473="","",INDEX('TMP Paste'!$I$2:$I$1601,$AS473))</f>
        <v/>
      </c>
      <c r="M473" t="str">
        <f>IF($AS473="","",Config!$B$16)</f>
        <v/>
      </c>
      <c r="N473" t="str">
        <f t="shared" si="42"/>
        <v/>
      </c>
      <c r="O473" t="str">
        <f>IF($AS473="","",INDEX('TMP Paste'!$K$2:$K$1601,$AS473))</f>
        <v/>
      </c>
      <c r="P473" t="str">
        <f t="shared" si="43"/>
        <v/>
      </c>
      <c r="Q473" t="str">
        <f>IF($AS473="","",INDEX('TMP Paste'!$J$2:$J$1601,$AS473))</f>
        <v/>
      </c>
      <c r="R473" t="str">
        <f>IF($AS473="","",Config!$B$24)</f>
        <v/>
      </c>
      <c r="S473" t="str">
        <f ca="1">IF($AS473="","",TEXT(Config!$B$4,"yyyy-mm-dd"))</f>
        <v/>
      </c>
      <c r="T473" t="str">
        <f>IF($AS473="","",Config!$B$17)</f>
        <v/>
      </c>
      <c r="U473" t="str">
        <f>IF($AS473="","",Config!$B$18)</f>
        <v/>
      </c>
      <c r="V473" t="str">
        <f>IF($AS473="","",Config!$B$19)</f>
        <v/>
      </c>
      <c r="W473" t="str">
        <f>IF($AS473="","",INDEX('TMP Paste'!$C$2:$C$1601,$AS473))</f>
        <v/>
      </c>
      <c r="X473" t="str">
        <f>IF($AS473="","",Config!$B$29)</f>
        <v/>
      </c>
      <c r="Y473" t="str">
        <f>IF($AT473="","",INDEX(Calc!$I$2:$I$1601,$AT473)&amp;" - "&amp;INDEX(Calc!$D$2:$D$1601,$AT473)&amp;" koli")</f>
        <v/>
      </c>
      <c r="Z473" t="str">
        <f>IF($AS473="","",Config!$B$21)</f>
        <v/>
      </c>
      <c r="AA473" t="str">
        <f>IF($AS473="","",Config!$B$22)</f>
        <v/>
      </c>
      <c r="AB473" t="str">
        <f>IF($AT473="","",INDEX(Calc!$D$2:$D$1601,$AT473))</f>
        <v/>
      </c>
      <c r="AC473" t="str">
        <f>IF($AT473="","",INDEX(Calc!$G$2:$G$1601,$AT473))</f>
        <v/>
      </c>
      <c r="AD473" t="str">
        <f>IF($AS473="","",Config!$B$23)</f>
        <v/>
      </c>
      <c r="AE473" t="str">
        <f>IF($AS473="","",Config!$B$28)</f>
        <v/>
      </c>
      <c r="AF473" t="str">
        <f t="shared" si="44"/>
        <v/>
      </c>
      <c r="AG473" t="str">
        <f t="shared" si="45"/>
        <v/>
      </c>
      <c r="AH473" t="str">
        <f t="shared" si="46"/>
        <v/>
      </c>
      <c r="AI473" t="str">
        <f>IF($AG473="","",SUMIF($AG$2:$AG473,$AG473,$AH$2:$AH473))</f>
        <v/>
      </c>
      <c r="AJ473" t="str">
        <f>IF('TMP Paste'!$F473="","",IF('TMP Paste'!$B473="",$AJ472,'TMP Paste'!$B473))</f>
        <v/>
      </c>
      <c r="AK473" t="str">
        <f>IF('TMP Paste'!$F473="","",N('TMP Paste'!$G473))</f>
        <v/>
      </c>
      <c r="AL473" t="str">
        <f>IF('TMP Paste'!$F473="","",IF('TMP Paste'!$M473="",$AL472,'TMP Paste'!$M473))</f>
        <v/>
      </c>
      <c r="AM473" t="str">
        <f>IF('TMP Paste'!$F473="","",IF('TMP Paste'!$N473="",$AM472,'TMP Paste'!$N473))</f>
        <v/>
      </c>
      <c r="AN473" t="str">
        <f>IF('TMP Paste'!$F473="","",IF('TMP Paste'!$O473="",$AN472,'TMP Paste'!$O473))</f>
        <v/>
      </c>
      <c r="AO473" t="str">
        <f>IF('TMP Paste'!$F473="","",IF('TMP Paste'!$P473="",$AO472,'TMP Paste'!$P473))</f>
        <v/>
      </c>
      <c r="AP473" t="str">
        <f t="shared" si="47"/>
        <v/>
      </c>
      <c r="AQ473" t="str">
        <f>IF($AS473="","",TRIM(IF(COUNTIFS(Calc!$B$2:$B$1601,ROW()-1,Calc!$C$2:$C$1601,"&lt;1")&gt;0,"Ada PO tanpa Koli - cek TMP. ","")&amp;IF(OR($AU473="",$AU473&lt;=0),"Volume kosong/0 - dimensi dikosongkan. ","")&amp;IF(AND($AU473&lt;&gt;"",$AU473&gt;=1000000),"Volume &gt;= 1.000.000 cm3 (di luar aturan) - dimensi dikosongkan. ","")&amp;IF(LEN($R473)&gt;500,"R &gt; 500 karakter.","")))</f>
        <v/>
      </c>
      <c r="AS473" t="str">
        <f>IFERROR(MATCH(ROW()-1,Calc!$J$2:$J$1601,0),"")</f>
        <v/>
      </c>
      <c r="AT473" t="str">
        <f>IFERROR(MATCH(ROW()-1,Calc!$K$2:$K$1601,0),"")</f>
        <v/>
      </c>
      <c r="AU473" t="str">
        <f>IF($AS473="","",IFERROR(INDEX('TMP Paste'!$D$2:$D$1601,$AS473)*1000000/$AB473,""))</f>
        <v/>
      </c>
    </row>
    <row r="474" spans="1:47">
      <c r="A474" t="str">
        <f>IF($AS474="","",INDEX('TMP Paste'!$B$2:$B$1601,$AS474))</f>
        <v/>
      </c>
      <c r="B474" t="str">
        <f>IF($AS474="","",Config!$B$14)</f>
        <v/>
      </c>
      <c r="C474" t="str">
        <f>IF($AS474="","",Config!$B$15)</f>
        <v/>
      </c>
      <c r="D474" t="str">
        <f>IF($AS474="","",INDEX('TMP Paste'!$B$2:$B$1601,$AS474))</f>
        <v/>
      </c>
      <c r="E474" t="str">
        <f>IF($AS474="","",Config!$B$27)</f>
        <v/>
      </c>
      <c r="F474" t="str">
        <f>IF($AS474="","",Config!$B$9)</f>
        <v/>
      </c>
      <c r="G474" t="str">
        <f>IF($AS474="","",Config!$B$10)</f>
        <v/>
      </c>
      <c r="H474" t="str">
        <f>IF($AS474="","",Config!$B$11)</f>
        <v/>
      </c>
      <c r="I474" t="str">
        <f>IF($AS474="","",Config!$B$16)</f>
        <v/>
      </c>
      <c r="J474" t="str">
        <f>IF($AS474="","",INDEX('TMP Paste'!$A$2:$A$1601,$AS474))</f>
        <v/>
      </c>
      <c r="K474" t="str">
        <f>IF($AS474="","",INDEX('TMP Paste'!$L$2:$L$1601,$AS474))</f>
        <v/>
      </c>
      <c r="L474" t="str">
        <f>IF($AS474="","",INDEX('TMP Paste'!$I$2:$I$1601,$AS474))</f>
        <v/>
      </c>
      <c r="M474" t="str">
        <f>IF($AS474="","",Config!$B$16)</f>
        <v/>
      </c>
      <c r="N474" t="str">
        <f t="shared" si="42"/>
        <v/>
      </c>
      <c r="O474" t="str">
        <f>IF($AS474="","",INDEX('TMP Paste'!$K$2:$K$1601,$AS474))</f>
        <v/>
      </c>
      <c r="P474" t="str">
        <f t="shared" si="43"/>
        <v/>
      </c>
      <c r="Q474" t="str">
        <f>IF($AS474="","",INDEX('TMP Paste'!$J$2:$J$1601,$AS474))</f>
        <v/>
      </c>
      <c r="R474" t="str">
        <f>IF($AS474="","",Config!$B$24)</f>
        <v/>
      </c>
      <c r="S474" t="str">
        <f ca="1">IF($AS474="","",TEXT(Config!$B$4,"yyyy-mm-dd"))</f>
        <v/>
      </c>
      <c r="T474" t="str">
        <f>IF($AS474="","",Config!$B$17)</f>
        <v/>
      </c>
      <c r="U474" t="str">
        <f>IF($AS474="","",Config!$B$18)</f>
        <v/>
      </c>
      <c r="V474" t="str">
        <f>IF($AS474="","",Config!$B$19)</f>
        <v/>
      </c>
      <c r="W474" t="str">
        <f>IF($AS474="","",INDEX('TMP Paste'!$C$2:$C$1601,$AS474))</f>
        <v/>
      </c>
      <c r="X474" t="str">
        <f>IF($AS474="","",Config!$B$29)</f>
        <v/>
      </c>
      <c r="Y474" t="str">
        <f>IF($AT474="","",INDEX(Calc!$I$2:$I$1601,$AT474)&amp;" - "&amp;INDEX(Calc!$D$2:$D$1601,$AT474)&amp;" koli")</f>
        <v/>
      </c>
      <c r="Z474" t="str">
        <f>IF($AS474="","",Config!$B$21)</f>
        <v/>
      </c>
      <c r="AA474" t="str">
        <f>IF($AS474="","",Config!$B$22)</f>
        <v/>
      </c>
      <c r="AB474" t="str">
        <f>IF($AT474="","",INDEX(Calc!$D$2:$D$1601,$AT474))</f>
        <v/>
      </c>
      <c r="AC474" t="str">
        <f>IF($AT474="","",INDEX(Calc!$G$2:$G$1601,$AT474))</f>
        <v/>
      </c>
      <c r="AD474" t="str">
        <f>IF($AS474="","",Config!$B$23)</f>
        <v/>
      </c>
      <c r="AE474" t="str">
        <f>IF($AS474="","",Config!$B$28)</f>
        <v/>
      </c>
      <c r="AF474" t="str">
        <f t="shared" si="44"/>
        <v/>
      </c>
      <c r="AG474" t="str">
        <f t="shared" si="45"/>
        <v/>
      </c>
      <c r="AH474" t="str">
        <f t="shared" si="46"/>
        <v/>
      </c>
      <c r="AI474" t="str">
        <f>IF($AG474="","",SUMIF($AG$2:$AG474,$AG474,$AH$2:$AH474))</f>
        <v/>
      </c>
      <c r="AJ474" t="str">
        <f>IF('TMP Paste'!$F474="","",IF('TMP Paste'!$B474="",$AJ473,'TMP Paste'!$B474))</f>
        <v/>
      </c>
      <c r="AK474" t="str">
        <f>IF('TMP Paste'!$F474="","",N('TMP Paste'!$G474))</f>
        <v/>
      </c>
      <c r="AL474" t="str">
        <f>IF('TMP Paste'!$F474="","",IF('TMP Paste'!$M474="",$AL473,'TMP Paste'!$M474))</f>
        <v/>
      </c>
      <c r="AM474" t="str">
        <f>IF('TMP Paste'!$F474="","",IF('TMP Paste'!$N474="",$AM473,'TMP Paste'!$N474))</f>
        <v/>
      </c>
      <c r="AN474" t="str">
        <f>IF('TMP Paste'!$F474="","",IF('TMP Paste'!$O474="",$AN473,'TMP Paste'!$O474))</f>
        <v/>
      </c>
      <c r="AO474" t="str">
        <f>IF('TMP Paste'!$F474="","",IF('TMP Paste'!$P474="",$AO473,'TMP Paste'!$P474))</f>
        <v/>
      </c>
      <c r="AP474" t="str">
        <f t="shared" si="47"/>
        <v/>
      </c>
      <c r="AQ474" t="str">
        <f>IF($AS474="","",TRIM(IF(COUNTIFS(Calc!$B$2:$B$1601,ROW()-1,Calc!$C$2:$C$1601,"&lt;1")&gt;0,"Ada PO tanpa Koli - cek TMP. ","")&amp;IF(OR($AU474="",$AU474&lt;=0),"Volume kosong/0 - dimensi dikosongkan. ","")&amp;IF(AND($AU474&lt;&gt;"",$AU474&gt;=1000000),"Volume &gt;= 1.000.000 cm3 (di luar aturan) - dimensi dikosongkan. ","")&amp;IF(LEN($R474)&gt;500,"R &gt; 500 karakter.","")))</f>
        <v/>
      </c>
      <c r="AS474" t="str">
        <f>IFERROR(MATCH(ROW()-1,Calc!$J$2:$J$1601,0),"")</f>
        <v/>
      </c>
      <c r="AT474" t="str">
        <f>IFERROR(MATCH(ROW()-1,Calc!$K$2:$K$1601,0),"")</f>
        <v/>
      </c>
      <c r="AU474" t="str">
        <f>IF($AS474="","",IFERROR(INDEX('TMP Paste'!$D$2:$D$1601,$AS474)*1000000/$AB474,""))</f>
        <v/>
      </c>
    </row>
    <row r="475" spans="1:47">
      <c r="A475" t="str">
        <f>IF($AS475="","",INDEX('TMP Paste'!$B$2:$B$1601,$AS475))</f>
        <v/>
      </c>
      <c r="B475" t="str">
        <f>IF($AS475="","",Config!$B$14)</f>
        <v/>
      </c>
      <c r="C475" t="str">
        <f>IF($AS475="","",Config!$B$15)</f>
        <v/>
      </c>
      <c r="D475" t="str">
        <f>IF($AS475="","",INDEX('TMP Paste'!$B$2:$B$1601,$AS475))</f>
        <v/>
      </c>
      <c r="E475" t="str">
        <f>IF($AS475="","",Config!$B$27)</f>
        <v/>
      </c>
      <c r="F475" t="str">
        <f>IF($AS475="","",Config!$B$9)</f>
        <v/>
      </c>
      <c r="G475" t="str">
        <f>IF($AS475="","",Config!$B$10)</f>
        <v/>
      </c>
      <c r="H475" t="str">
        <f>IF($AS475="","",Config!$B$11)</f>
        <v/>
      </c>
      <c r="I475" t="str">
        <f>IF($AS475="","",Config!$B$16)</f>
        <v/>
      </c>
      <c r="J475" t="str">
        <f>IF($AS475="","",INDEX('TMP Paste'!$A$2:$A$1601,$AS475))</f>
        <v/>
      </c>
      <c r="K475" t="str">
        <f>IF($AS475="","",INDEX('TMP Paste'!$L$2:$L$1601,$AS475))</f>
        <v/>
      </c>
      <c r="L475" t="str">
        <f>IF($AS475="","",INDEX('TMP Paste'!$I$2:$I$1601,$AS475))</f>
        <v/>
      </c>
      <c r="M475" t="str">
        <f>IF($AS475="","",Config!$B$16)</f>
        <v/>
      </c>
      <c r="N475" t="str">
        <f t="shared" si="42"/>
        <v/>
      </c>
      <c r="O475" t="str">
        <f>IF($AS475="","",INDEX('TMP Paste'!$K$2:$K$1601,$AS475))</f>
        <v/>
      </c>
      <c r="P475" t="str">
        <f t="shared" si="43"/>
        <v/>
      </c>
      <c r="Q475" t="str">
        <f>IF($AS475="","",INDEX('TMP Paste'!$J$2:$J$1601,$AS475))</f>
        <v/>
      </c>
      <c r="R475" t="str">
        <f>IF($AS475="","",Config!$B$24)</f>
        <v/>
      </c>
      <c r="S475" t="str">
        <f ca="1">IF($AS475="","",TEXT(Config!$B$4,"yyyy-mm-dd"))</f>
        <v/>
      </c>
      <c r="T475" t="str">
        <f>IF($AS475="","",Config!$B$17)</f>
        <v/>
      </c>
      <c r="U475" t="str">
        <f>IF($AS475="","",Config!$B$18)</f>
        <v/>
      </c>
      <c r="V475" t="str">
        <f>IF($AS475="","",Config!$B$19)</f>
        <v/>
      </c>
      <c r="W475" t="str">
        <f>IF($AS475="","",INDEX('TMP Paste'!$C$2:$C$1601,$AS475))</f>
        <v/>
      </c>
      <c r="X475" t="str">
        <f>IF($AS475="","",Config!$B$29)</f>
        <v/>
      </c>
      <c r="Y475" t="str">
        <f>IF($AT475="","",INDEX(Calc!$I$2:$I$1601,$AT475)&amp;" - "&amp;INDEX(Calc!$D$2:$D$1601,$AT475)&amp;" koli")</f>
        <v/>
      </c>
      <c r="Z475" t="str">
        <f>IF($AS475="","",Config!$B$21)</f>
        <v/>
      </c>
      <c r="AA475" t="str">
        <f>IF($AS475="","",Config!$B$22)</f>
        <v/>
      </c>
      <c r="AB475" t="str">
        <f>IF($AT475="","",INDEX(Calc!$D$2:$D$1601,$AT475))</f>
        <v/>
      </c>
      <c r="AC475" t="str">
        <f>IF($AT475="","",INDEX(Calc!$G$2:$G$1601,$AT475))</f>
        <v/>
      </c>
      <c r="AD475" t="str">
        <f>IF($AS475="","",Config!$B$23)</f>
        <v/>
      </c>
      <c r="AE475" t="str">
        <f>IF($AS475="","",Config!$B$28)</f>
        <v/>
      </c>
      <c r="AF475" t="str">
        <f t="shared" si="44"/>
        <v/>
      </c>
      <c r="AG475" t="str">
        <f t="shared" si="45"/>
        <v/>
      </c>
      <c r="AH475" t="str">
        <f t="shared" si="46"/>
        <v/>
      </c>
      <c r="AI475" t="str">
        <f>IF($AG475="","",SUMIF($AG$2:$AG475,$AG475,$AH$2:$AH475))</f>
        <v/>
      </c>
      <c r="AJ475" t="str">
        <f>IF('TMP Paste'!$F475="","",IF('TMP Paste'!$B475="",$AJ474,'TMP Paste'!$B475))</f>
        <v/>
      </c>
      <c r="AK475" t="str">
        <f>IF('TMP Paste'!$F475="","",N('TMP Paste'!$G475))</f>
        <v/>
      </c>
      <c r="AL475" t="str">
        <f>IF('TMP Paste'!$F475="","",IF('TMP Paste'!$M475="",$AL474,'TMP Paste'!$M475))</f>
        <v/>
      </c>
      <c r="AM475" t="str">
        <f>IF('TMP Paste'!$F475="","",IF('TMP Paste'!$N475="",$AM474,'TMP Paste'!$N475))</f>
        <v/>
      </c>
      <c r="AN475" t="str">
        <f>IF('TMP Paste'!$F475="","",IF('TMP Paste'!$O475="",$AN474,'TMP Paste'!$O475))</f>
        <v/>
      </c>
      <c r="AO475" t="str">
        <f>IF('TMP Paste'!$F475="","",IF('TMP Paste'!$P475="",$AO474,'TMP Paste'!$P475))</f>
        <v/>
      </c>
      <c r="AP475" t="str">
        <f t="shared" si="47"/>
        <v/>
      </c>
      <c r="AQ475" t="str">
        <f>IF($AS475="","",TRIM(IF(COUNTIFS(Calc!$B$2:$B$1601,ROW()-1,Calc!$C$2:$C$1601,"&lt;1")&gt;0,"Ada PO tanpa Koli - cek TMP. ","")&amp;IF(OR($AU475="",$AU475&lt;=0),"Volume kosong/0 - dimensi dikosongkan. ","")&amp;IF(AND($AU475&lt;&gt;"",$AU475&gt;=1000000),"Volume &gt;= 1.000.000 cm3 (di luar aturan) - dimensi dikosongkan. ","")&amp;IF(LEN($R475)&gt;500,"R &gt; 500 karakter.","")))</f>
        <v/>
      </c>
      <c r="AS475" t="str">
        <f>IFERROR(MATCH(ROW()-1,Calc!$J$2:$J$1601,0),"")</f>
        <v/>
      </c>
      <c r="AT475" t="str">
        <f>IFERROR(MATCH(ROW()-1,Calc!$K$2:$K$1601,0),"")</f>
        <v/>
      </c>
      <c r="AU475" t="str">
        <f>IF($AS475="","",IFERROR(INDEX('TMP Paste'!$D$2:$D$1601,$AS475)*1000000/$AB475,""))</f>
        <v/>
      </c>
    </row>
    <row r="476" spans="1:47">
      <c r="A476" t="str">
        <f>IF($AS476="","",INDEX('TMP Paste'!$B$2:$B$1601,$AS476))</f>
        <v/>
      </c>
      <c r="B476" t="str">
        <f>IF($AS476="","",Config!$B$14)</f>
        <v/>
      </c>
      <c r="C476" t="str">
        <f>IF($AS476="","",Config!$B$15)</f>
        <v/>
      </c>
      <c r="D476" t="str">
        <f>IF($AS476="","",INDEX('TMP Paste'!$B$2:$B$1601,$AS476))</f>
        <v/>
      </c>
      <c r="E476" t="str">
        <f>IF($AS476="","",Config!$B$27)</f>
        <v/>
      </c>
      <c r="F476" t="str">
        <f>IF($AS476="","",Config!$B$9)</f>
        <v/>
      </c>
      <c r="G476" t="str">
        <f>IF($AS476="","",Config!$B$10)</f>
        <v/>
      </c>
      <c r="H476" t="str">
        <f>IF($AS476="","",Config!$B$11)</f>
        <v/>
      </c>
      <c r="I476" t="str">
        <f>IF($AS476="","",Config!$B$16)</f>
        <v/>
      </c>
      <c r="J476" t="str">
        <f>IF($AS476="","",INDEX('TMP Paste'!$A$2:$A$1601,$AS476))</f>
        <v/>
      </c>
      <c r="K476" t="str">
        <f>IF($AS476="","",INDEX('TMP Paste'!$L$2:$L$1601,$AS476))</f>
        <v/>
      </c>
      <c r="L476" t="str">
        <f>IF($AS476="","",INDEX('TMP Paste'!$I$2:$I$1601,$AS476))</f>
        <v/>
      </c>
      <c r="M476" t="str">
        <f>IF($AS476="","",Config!$B$16)</f>
        <v/>
      </c>
      <c r="N476" t="str">
        <f t="shared" si="42"/>
        <v/>
      </c>
      <c r="O476" t="str">
        <f>IF($AS476="","",INDEX('TMP Paste'!$K$2:$K$1601,$AS476))</f>
        <v/>
      </c>
      <c r="P476" t="str">
        <f t="shared" si="43"/>
        <v/>
      </c>
      <c r="Q476" t="str">
        <f>IF($AS476="","",INDEX('TMP Paste'!$J$2:$J$1601,$AS476))</f>
        <v/>
      </c>
      <c r="R476" t="str">
        <f>IF($AS476="","",Config!$B$24)</f>
        <v/>
      </c>
      <c r="S476" t="str">
        <f ca="1">IF($AS476="","",TEXT(Config!$B$4,"yyyy-mm-dd"))</f>
        <v/>
      </c>
      <c r="T476" t="str">
        <f>IF($AS476="","",Config!$B$17)</f>
        <v/>
      </c>
      <c r="U476" t="str">
        <f>IF($AS476="","",Config!$B$18)</f>
        <v/>
      </c>
      <c r="V476" t="str">
        <f>IF($AS476="","",Config!$B$19)</f>
        <v/>
      </c>
      <c r="W476" t="str">
        <f>IF($AS476="","",INDEX('TMP Paste'!$C$2:$C$1601,$AS476))</f>
        <v/>
      </c>
      <c r="X476" t="str">
        <f>IF($AS476="","",Config!$B$29)</f>
        <v/>
      </c>
      <c r="Y476" t="str">
        <f>IF($AT476="","",INDEX(Calc!$I$2:$I$1601,$AT476)&amp;" - "&amp;INDEX(Calc!$D$2:$D$1601,$AT476)&amp;" koli")</f>
        <v/>
      </c>
      <c r="Z476" t="str">
        <f>IF($AS476="","",Config!$B$21)</f>
        <v/>
      </c>
      <c r="AA476" t="str">
        <f>IF($AS476="","",Config!$B$22)</f>
        <v/>
      </c>
      <c r="AB476" t="str">
        <f>IF($AT476="","",INDEX(Calc!$D$2:$D$1601,$AT476))</f>
        <v/>
      </c>
      <c r="AC476" t="str">
        <f>IF($AT476="","",INDEX(Calc!$G$2:$G$1601,$AT476))</f>
        <v/>
      </c>
      <c r="AD476" t="str">
        <f>IF($AS476="","",Config!$B$23)</f>
        <v/>
      </c>
      <c r="AE476" t="str">
        <f>IF($AS476="","",Config!$B$28)</f>
        <v/>
      </c>
      <c r="AF476" t="str">
        <f t="shared" si="44"/>
        <v/>
      </c>
      <c r="AG476" t="str">
        <f t="shared" si="45"/>
        <v/>
      </c>
      <c r="AH476" t="str">
        <f t="shared" si="46"/>
        <v/>
      </c>
      <c r="AI476" t="str">
        <f>IF($AG476="","",SUMIF($AG$2:$AG476,$AG476,$AH$2:$AH476))</f>
        <v/>
      </c>
      <c r="AJ476" t="str">
        <f>IF('TMP Paste'!$F476="","",IF('TMP Paste'!$B476="",$AJ475,'TMP Paste'!$B476))</f>
        <v/>
      </c>
      <c r="AK476" t="str">
        <f>IF('TMP Paste'!$F476="","",N('TMP Paste'!$G476))</f>
        <v/>
      </c>
      <c r="AL476" t="str">
        <f>IF('TMP Paste'!$F476="","",IF('TMP Paste'!$M476="",$AL475,'TMP Paste'!$M476))</f>
        <v/>
      </c>
      <c r="AM476" t="str">
        <f>IF('TMP Paste'!$F476="","",IF('TMP Paste'!$N476="",$AM475,'TMP Paste'!$N476))</f>
        <v/>
      </c>
      <c r="AN476" t="str">
        <f>IF('TMP Paste'!$F476="","",IF('TMP Paste'!$O476="",$AN475,'TMP Paste'!$O476))</f>
        <v/>
      </c>
      <c r="AO476" t="str">
        <f>IF('TMP Paste'!$F476="","",IF('TMP Paste'!$P476="",$AO475,'TMP Paste'!$P476))</f>
        <v/>
      </c>
      <c r="AP476" t="str">
        <f t="shared" si="47"/>
        <v/>
      </c>
      <c r="AQ476" t="str">
        <f>IF($AS476="","",TRIM(IF(COUNTIFS(Calc!$B$2:$B$1601,ROW()-1,Calc!$C$2:$C$1601,"&lt;1")&gt;0,"Ada PO tanpa Koli - cek TMP. ","")&amp;IF(OR($AU476="",$AU476&lt;=0),"Volume kosong/0 - dimensi dikosongkan. ","")&amp;IF(AND($AU476&lt;&gt;"",$AU476&gt;=1000000),"Volume &gt;= 1.000.000 cm3 (di luar aturan) - dimensi dikosongkan. ","")&amp;IF(LEN($R476)&gt;500,"R &gt; 500 karakter.","")))</f>
        <v/>
      </c>
      <c r="AS476" t="str">
        <f>IFERROR(MATCH(ROW()-1,Calc!$J$2:$J$1601,0),"")</f>
        <v/>
      </c>
      <c r="AT476" t="str">
        <f>IFERROR(MATCH(ROW()-1,Calc!$K$2:$K$1601,0),"")</f>
        <v/>
      </c>
      <c r="AU476" t="str">
        <f>IF($AS476="","",IFERROR(INDEX('TMP Paste'!$D$2:$D$1601,$AS476)*1000000/$AB476,""))</f>
        <v/>
      </c>
    </row>
    <row r="477" spans="1:47">
      <c r="A477" t="str">
        <f>IF($AS477="","",INDEX('TMP Paste'!$B$2:$B$1601,$AS477))</f>
        <v/>
      </c>
      <c r="B477" t="str">
        <f>IF($AS477="","",Config!$B$14)</f>
        <v/>
      </c>
      <c r="C477" t="str">
        <f>IF($AS477="","",Config!$B$15)</f>
        <v/>
      </c>
      <c r="D477" t="str">
        <f>IF($AS477="","",INDEX('TMP Paste'!$B$2:$B$1601,$AS477))</f>
        <v/>
      </c>
      <c r="E477" t="str">
        <f>IF($AS477="","",Config!$B$27)</f>
        <v/>
      </c>
      <c r="F477" t="str">
        <f>IF($AS477="","",Config!$B$9)</f>
        <v/>
      </c>
      <c r="G477" t="str">
        <f>IF($AS477="","",Config!$B$10)</f>
        <v/>
      </c>
      <c r="H477" t="str">
        <f>IF($AS477="","",Config!$B$11)</f>
        <v/>
      </c>
      <c r="I477" t="str">
        <f>IF($AS477="","",Config!$B$16)</f>
        <v/>
      </c>
      <c r="J477" t="str">
        <f>IF($AS477="","",INDEX('TMP Paste'!$A$2:$A$1601,$AS477))</f>
        <v/>
      </c>
      <c r="K477" t="str">
        <f>IF($AS477="","",INDEX('TMP Paste'!$L$2:$L$1601,$AS477))</f>
        <v/>
      </c>
      <c r="L477" t="str">
        <f>IF($AS477="","",INDEX('TMP Paste'!$I$2:$I$1601,$AS477))</f>
        <v/>
      </c>
      <c r="M477" t="str">
        <f>IF($AS477="","",Config!$B$16)</f>
        <v/>
      </c>
      <c r="N477" t="str">
        <f t="shared" si="42"/>
        <v/>
      </c>
      <c r="O477" t="str">
        <f>IF($AS477="","",INDEX('TMP Paste'!$K$2:$K$1601,$AS477))</f>
        <v/>
      </c>
      <c r="P477" t="str">
        <f t="shared" si="43"/>
        <v/>
      </c>
      <c r="Q477" t="str">
        <f>IF($AS477="","",INDEX('TMP Paste'!$J$2:$J$1601,$AS477))</f>
        <v/>
      </c>
      <c r="R477" t="str">
        <f>IF($AS477="","",Config!$B$24)</f>
        <v/>
      </c>
      <c r="S477" t="str">
        <f ca="1">IF($AS477="","",TEXT(Config!$B$4,"yyyy-mm-dd"))</f>
        <v/>
      </c>
      <c r="T477" t="str">
        <f>IF($AS477="","",Config!$B$17)</f>
        <v/>
      </c>
      <c r="U477" t="str">
        <f>IF($AS477="","",Config!$B$18)</f>
        <v/>
      </c>
      <c r="V477" t="str">
        <f>IF($AS477="","",Config!$B$19)</f>
        <v/>
      </c>
      <c r="W477" t="str">
        <f>IF($AS477="","",INDEX('TMP Paste'!$C$2:$C$1601,$AS477))</f>
        <v/>
      </c>
      <c r="X477" t="str">
        <f>IF($AS477="","",Config!$B$29)</f>
        <v/>
      </c>
      <c r="Y477" t="str">
        <f>IF($AT477="","",INDEX(Calc!$I$2:$I$1601,$AT477)&amp;" - "&amp;INDEX(Calc!$D$2:$D$1601,$AT477)&amp;" koli")</f>
        <v/>
      </c>
      <c r="Z477" t="str">
        <f>IF($AS477="","",Config!$B$21)</f>
        <v/>
      </c>
      <c r="AA477" t="str">
        <f>IF($AS477="","",Config!$B$22)</f>
        <v/>
      </c>
      <c r="AB477" t="str">
        <f>IF($AT477="","",INDEX(Calc!$D$2:$D$1601,$AT477))</f>
        <v/>
      </c>
      <c r="AC477" t="str">
        <f>IF($AT477="","",INDEX(Calc!$G$2:$G$1601,$AT477))</f>
        <v/>
      </c>
      <c r="AD477" t="str">
        <f>IF($AS477="","",Config!$B$23)</f>
        <v/>
      </c>
      <c r="AE477" t="str">
        <f>IF($AS477="","",Config!$B$28)</f>
        <v/>
      </c>
      <c r="AF477" t="str">
        <f t="shared" si="44"/>
        <v/>
      </c>
      <c r="AG477" t="str">
        <f t="shared" si="45"/>
        <v/>
      </c>
      <c r="AH477" t="str">
        <f t="shared" si="46"/>
        <v/>
      </c>
      <c r="AI477" t="str">
        <f>IF($AG477="","",SUMIF($AG$2:$AG477,$AG477,$AH$2:$AH477))</f>
        <v/>
      </c>
      <c r="AJ477" t="str">
        <f>IF('TMP Paste'!$F477="","",IF('TMP Paste'!$B477="",$AJ476,'TMP Paste'!$B477))</f>
        <v/>
      </c>
      <c r="AK477" t="str">
        <f>IF('TMP Paste'!$F477="","",N('TMP Paste'!$G477))</f>
        <v/>
      </c>
      <c r="AL477" t="str">
        <f>IF('TMP Paste'!$F477="","",IF('TMP Paste'!$M477="",$AL476,'TMP Paste'!$M477))</f>
        <v/>
      </c>
      <c r="AM477" t="str">
        <f>IF('TMP Paste'!$F477="","",IF('TMP Paste'!$N477="",$AM476,'TMP Paste'!$N477))</f>
        <v/>
      </c>
      <c r="AN477" t="str">
        <f>IF('TMP Paste'!$F477="","",IF('TMP Paste'!$O477="",$AN476,'TMP Paste'!$O477))</f>
        <v/>
      </c>
      <c r="AO477" t="str">
        <f>IF('TMP Paste'!$F477="","",IF('TMP Paste'!$P477="",$AO476,'TMP Paste'!$P477))</f>
        <v/>
      </c>
      <c r="AP477" t="str">
        <f t="shared" si="47"/>
        <v/>
      </c>
      <c r="AQ477" t="str">
        <f>IF($AS477="","",TRIM(IF(COUNTIFS(Calc!$B$2:$B$1601,ROW()-1,Calc!$C$2:$C$1601,"&lt;1")&gt;0,"Ada PO tanpa Koli - cek TMP. ","")&amp;IF(OR($AU477="",$AU477&lt;=0),"Volume kosong/0 - dimensi dikosongkan. ","")&amp;IF(AND($AU477&lt;&gt;"",$AU477&gt;=1000000),"Volume &gt;= 1.000.000 cm3 (di luar aturan) - dimensi dikosongkan. ","")&amp;IF(LEN($R477)&gt;500,"R &gt; 500 karakter.","")))</f>
        <v/>
      </c>
      <c r="AS477" t="str">
        <f>IFERROR(MATCH(ROW()-1,Calc!$J$2:$J$1601,0),"")</f>
        <v/>
      </c>
      <c r="AT477" t="str">
        <f>IFERROR(MATCH(ROW()-1,Calc!$K$2:$K$1601,0),"")</f>
        <v/>
      </c>
      <c r="AU477" t="str">
        <f>IF($AS477="","",IFERROR(INDEX('TMP Paste'!$D$2:$D$1601,$AS477)*1000000/$AB477,""))</f>
        <v/>
      </c>
    </row>
    <row r="478" spans="1:47">
      <c r="A478" t="str">
        <f>IF($AS478="","",INDEX('TMP Paste'!$B$2:$B$1601,$AS478))</f>
        <v/>
      </c>
      <c r="B478" t="str">
        <f>IF($AS478="","",Config!$B$14)</f>
        <v/>
      </c>
      <c r="C478" t="str">
        <f>IF($AS478="","",Config!$B$15)</f>
        <v/>
      </c>
      <c r="D478" t="str">
        <f>IF($AS478="","",INDEX('TMP Paste'!$B$2:$B$1601,$AS478))</f>
        <v/>
      </c>
      <c r="E478" t="str">
        <f>IF($AS478="","",Config!$B$27)</f>
        <v/>
      </c>
      <c r="F478" t="str">
        <f>IF($AS478="","",Config!$B$9)</f>
        <v/>
      </c>
      <c r="G478" t="str">
        <f>IF($AS478="","",Config!$B$10)</f>
        <v/>
      </c>
      <c r="H478" t="str">
        <f>IF($AS478="","",Config!$B$11)</f>
        <v/>
      </c>
      <c r="I478" t="str">
        <f>IF($AS478="","",Config!$B$16)</f>
        <v/>
      </c>
      <c r="J478" t="str">
        <f>IF($AS478="","",INDEX('TMP Paste'!$A$2:$A$1601,$AS478))</f>
        <v/>
      </c>
      <c r="K478" t="str">
        <f>IF($AS478="","",INDEX('TMP Paste'!$L$2:$L$1601,$AS478))</f>
        <v/>
      </c>
      <c r="L478" t="str">
        <f>IF($AS478="","",INDEX('TMP Paste'!$I$2:$I$1601,$AS478))</f>
        <v/>
      </c>
      <c r="M478" t="str">
        <f>IF($AS478="","",Config!$B$16)</f>
        <v/>
      </c>
      <c r="N478" t="str">
        <f t="shared" si="42"/>
        <v/>
      </c>
      <c r="O478" t="str">
        <f>IF($AS478="","",INDEX('TMP Paste'!$K$2:$K$1601,$AS478))</f>
        <v/>
      </c>
      <c r="P478" t="str">
        <f t="shared" si="43"/>
        <v/>
      </c>
      <c r="Q478" t="str">
        <f>IF($AS478="","",INDEX('TMP Paste'!$J$2:$J$1601,$AS478))</f>
        <v/>
      </c>
      <c r="R478" t="str">
        <f>IF($AS478="","",Config!$B$24)</f>
        <v/>
      </c>
      <c r="S478" t="str">
        <f ca="1">IF($AS478="","",TEXT(Config!$B$4,"yyyy-mm-dd"))</f>
        <v/>
      </c>
      <c r="T478" t="str">
        <f>IF($AS478="","",Config!$B$17)</f>
        <v/>
      </c>
      <c r="U478" t="str">
        <f>IF($AS478="","",Config!$B$18)</f>
        <v/>
      </c>
      <c r="V478" t="str">
        <f>IF($AS478="","",Config!$B$19)</f>
        <v/>
      </c>
      <c r="W478" t="str">
        <f>IF($AS478="","",INDEX('TMP Paste'!$C$2:$C$1601,$AS478))</f>
        <v/>
      </c>
      <c r="X478" t="str">
        <f>IF($AS478="","",Config!$B$29)</f>
        <v/>
      </c>
      <c r="Y478" t="str">
        <f>IF($AT478="","",INDEX(Calc!$I$2:$I$1601,$AT478)&amp;" - "&amp;INDEX(Calc!$D$2:$D$1601,$AT478)&amp;" koli")</f>
        <v/>
      </c>
      <c r="Z478" t="str">
        <f>IF($AS478="","",Config!$B$21)</f>
        <v/>
      </c>
      <c r="AA478" t="str">
        <f>IF($AS478="","",Config!$B$22)</f>
        <v/>
      </c>
      <c r="AB478" t="str">
        <f>IF($AT478="","",INDEX(Calc!$D$2:$D$1601,$AT478))</f>
        <v/>
      </c>
      <c r="AC478" t="str">
        <f>IF($AT478="","",INDEX(Calc!$G$2:$G$1601,$AT478))</f>
        <v/>
      </c>
      <c r="AD478" t="str">
        <f>IF($AS478="","",Config!$B$23)</f>
        <v/>
      </c>
      <c r="AE478" t="str">
        <f>IF($AS478="","",Config!$B$28)</f>
        <v/>
      </c>
      <c r="AF478" t="str">
        <f t="shared" si="44"/>
        <v/>
      </c>
      <c r="AG478" t="str">
        <f t="shared" si="45"/>
        <v/>
      </c>
      <c r="AH478" t="str">
        <f t="shared" si="46"/>
        <v/>
      </c>
      <c r="AI478" t="str">
        <f>IF($AG478="","",SUMIF($AG$2:$AG478,$AG478,$AH$2:$AH478))</f>
        <v/>
      </c>
      <c r="AJ478" t="str">
        <f>IF('TMP Paste'!$F478="","",IF('TMP Paste'!$B478="",$AJ477,'TMP Paste'!$B478))</f>
        <v/>
      </c>
      <c r="AK478" t="str">
        <f>IF('TMP Paste'!$F478="","",N('TMP Paste'!$G478))</f>
        <v/>
      </c>
      <c r="AL478" t="str">
        <f>IF('TMP Paste'!$F478="","",IF('TMP Paste'!$M478="",$AL477,'TMP Paste'!$M478))</f>
        <v/>
      </c>
      <c r="AM478" t="str">
        <f>IF('TMP Paste'!$F478="","",IF('TMP Paste'!$N478="",$AM477,'TMP Paste'!$N478))</f>
        <v/>
      </c>
      <c r="AN478" t="str">
        <f>IF('TMP Paste'!$F478="","",IF('TMP Paste'!$O478="",$AN477,'TMP Paste'!$O478))</f>
        <v/>
      </c>
      <c r="AO478" t="str">
        <f>IF('TMP Paste'!$F478="","",IF('TMP Paste'!$P478="",$AO477,'TMP Paste'!$P478))</f>
        <v/>
      </c>
      <c r="AP478" t="str">
        <f t="shared" si="47"/>
        <v/>
      </c>
      <c r="AQ478" t="str">
        <f>IF($AS478="","",TRIM(IF(COUNTIFS(Calc!$B$2:$B$1601,ROW()-1,Calc!$C$2:$C$1601,"&lt;1")&gt;0,"Ada PO tanpa Koli - cek TMP. ","")&amp;IF(OR($AU478="",$AU478&lt;=0),"Volume kosong/0 - dimensi dikosongkan. ","")&amp;IF(AND($AU478&lt;&gt;"",$AU478&gt;=1000000),"Volume &gt;= 1.000.000 cm3 (di luar aturan) - dimensi dikosongkan. ","")&amp;IF(LEN($R478)&gt;500,"R &gt; 500 karakter.","")))</f>
        <v/>
      </c>
      <c r="AS478" t="str">
        <f>IFERROR(MATCH(ROW()-1,Calc!$J$2:$J$1601,0),"")</f>
        <v/>
      </c>
      <c r="AT478" t="str">
        <f>IFERROR(MATCH(ROW()-1,Calc!$K$2:$K$1601,0),"")</f>
        <v/>
      </c>
      <c r="AU478" t="str">
        <f>IF($AS478="","",IFERROR(INDEX('TMP Paste'!$D$2:$D$1601,$AS478)*1000000/$AB478,""))</f>
        <v/>
      </c>
    </row>
    <row r="479" spans="1:47">
      <c r="A479" t="str">
        <f>IF($AS479="","",INDEX('TMP Paste'!$B$2:$B$1601,$AS479))</f>
        <v/>
      </c>
      <c r="B479" t="str">
        <f>IF($AS479="","",Config!$B$14)</f>
        <v/>
      </c>
      <c r="C479" t="str">
        <f>IF($AS479="","",Config!$B$15)</f>
        <v/>
      </c>
      <c r="D479" t="str">
        <f>IF($AS479="","",INDEX('TMP Paste'!$B$2:$B$1601,$AS479))</f>
        <v/>
      </c>
      <c r="E479" t="str">
        <f>IF($AS479="","",Config!$B$27)</f>
        <v/>
      </c>
      <c r="F479" t="str">
        <f>IF($AS479="","",Config!$B$9)</f>
        <v/>
      </c>
      <c r="G479" t="str">
        <f>IF($AS479="","",Config!$B$10)</f>
        <v/>
      </c>
      <c r="H479" t="str">
        <f>IF($AS479="","",Config!$B$11)</f>
        <v/>
      </c>
      <c r="I479" t="str">
        <f>IF($AS479="","",Config!$B$16)</f>
        <v/>
      </c>
      <c r="J479" t="str">
        <f>IF($AS479="","",INDEX('TMP Paste'!$A$2:$A$1601,$AS479))</f>
        <v/>
      </c>
      <c r="K479" t="str">
        <f>IF($AS479="","",INDEX('TMP Paste'!$L$2:$L$1601,$AS479))</f>
        <v/>
      </c>
      <c r="L479" t="str">
        <f>IF($AS479="","",INDEX('TMP Paste'!$I$2:$I$1601,$AS479))</f>
        <v/>
      </c>
      <c r="M479" t="str">
        <f>IF($AS479="","",Config!$B$16)</f>
        <v/>
      </c>
      <c r="N479" t="str">
        <f t="shared" si="42"/>
        <v/>
      </c>
      <c r="O479" t="str">
        <f>IF($AS479="","",INDEX('TMP Paste'!$K$2:$K$1601,$AS479))</f>
        <v/>
      </c>
      <c r="P479" t="str">
        <f t="shared" si="43"/>
        <v/>
      </c>
      <c r="Q479" t="str">
        <f>IF($AS479="","",INDEX('TMP Paste'!$J$2:$J$1601,$AS479))</f>
        <v/>
      </c>
      <c r="R479" t="str">
        <f>IF($AS479="","",Config!$B$24)</f>
        <v/>
      </c>
      <c r="S479" t="str">
        <f ca="1">IF($AS479="","",TEXT(Config!$B$4,"yyyy-mm-dd"))</f>
        <v/>
      </c>
      <c r="T479" t="str">
        <f>IF($AS479="","",Config!$B$17)</f>
        <v/>
      </c>
      <c r="U479" t="str">
        <f>IF($AS479="","",Config!$B$18)</f>
        <v/>
      </c>
      <c r="V479" t="str">
        <f>IF($AS479="","",Config!$B$19)</f>
        <v/>
      </c>
      <c r="W479" t="str">
        <f>IF($AS479="","",INDEX('TMP Paste'!$C$2:$C$1601,$AS479))</f>
        <v/>
      </c>
      <c r="X479" t="str">
        <f>IF($AS479="","",Config!$B$29)</f>
        <v/>
      </c>
      <c r="Y479" t="str">
        <f>IF($AT479="","",INDEX(Calc!$I$2:$I$1601,$AT479)&amp;" - "&amp;INDEX(Calc!$D$2:$D$1601,$AT479)&amp;" koli")</f>
        <v/>
      </c>
      <c r="Z479" t="str">
        <f>IF($AS479="","",Config!$B$21)</f>
        <v/>
      </c>
      <c r="AA479" t="str">
        <f>IF($AS479="","",Config!$B$22)</f>
        <v/>
      </c>
      <c r="AB479" t="str">
        <f>IF($AT479="","",INDEX(Calc!$D$2:$D$1601,$AT479))</f>
        <v/>
      </c>
      <c r="AC479" t="str">
        <f>IF($AT479="","",INDEX(Calc!$G$2:$G$1601,$AT479))</f>
        <v/>
      </c>
      <c r="AD479" t="str">
        <f>IF($AS479="","",Config!$B$23)</f>
        <v/>
      </c>
      <c r="AE479" t="str">
        <f>IF($AS479="","",Config!$B$28)</f>
        <v/>
      </c>
      <c r="AF479" t="str">
        <f t="shared" si="44"/>
        <v/>
      </c>
      <c r="AG479" t="str">
        <f t="shared" si="45"/>
        <v/>
      </c>
      <c r="AH479" t="str">
        <f t="shared" si="46"/>
        <v/>
      </c>
      <c r="AI479" t="str">
        <f>IF($AG479="","",SUMIF($AG$2:$AG479,$AG479,$AH$2:$AH479))</f>
        <v/>
      </c>
      <c r="AJ479" t="str">
        <f>IF('TMP Paste'!$F479="","",IF('TMP Paste'!$B479="",$AJ478,'TMP Paste'!$B479))</f>
        <v/>
      </c>
      <c r="AK479" t="str">
        <f>IF('TMP Paste'!$F479="","",N('TMP Paste'!$G479))</f>
        <v/>
      </c>
      <c r="AL479" t="str">
        <f>IF('TMP Paste'!$F479="","",IF('TMP Paste'!$M479="",$AL478,'TMP Paste'!$M479))</f>
        <v/>
      </c>
      <c r="AM479" t="str">
        <f>IF('TMP Paste'!$F479="","",IF('TMP Paste'!$N479="",$AM478,'TMP Paste'!$N479))</f>
        <v/>
      </c>
      <c r="AN479" t="str">
        <f>IF('TMP Paste'!$F479="","",IF('TMP Paste'!$O479="",$AN478,'TMP Paste'!$O479))</f>
        <v/>
      </c>
      <c r="AO479" t="str">
        <f>IF('TMP Paste'!$F479="","",IF('TMP Paste'!$P479="",$AO478,'TMP Paste'!$P479))</f>
        <v/>
      </c>
      <c r="AP479" t="str">
        <f t="shared" si="47"/>
        <v/>
      </c>
      <c r="AQ479" t="str">
        <f>IF($AS479="","",TRIM(IF(COUNTIFS(Calc!$B$2:$B$1601,ROW()-1,Calc!$C$2:$C$1601,"&lt;1")&gt;0,"Ada PO tanpa Koli - cek TMP. ","")&amp;IF(OR($AU479="",$AU479&lt;=0),"Volume kosong/0 - dimensi dikosongkan. ","")&amp;IF(AND($AU479&lt;&gt;"",$AU479&gt;=1000000),"Volume &gt;= 1.000.000 cm3 (di luar aturan) - dimensi dikosongkan. ","")&amp;IF(LEN($R479)&gt;500,"R &gt; 500 karakter.","")))</f>
        <v/>
      </c>
      <c r="AS479" t="str">
        <f>IFERROR(MATCH(ROW()-1,Calc!$J$2:$J$1601,0),"")</f>
        <v/>
      </c>
      <c r="AT479" t="str">
        <f>IFERROR(MATCH(ROW()-1,Calc!$K$2:$K$1601,0),"")</f>
        <v/>
      </c>
      <c r="AU479" t="str">
        <f>IF($AS479="","",IFERROR(INDEX('TMP Paste'!$D$2:$D$1601,$AS479)*1000000/$AB479,""))</f>
        <v/>
      </c>
    </row>
    <row r="480" spans="1:47">
      <c r="A480" t="str">
        <f>IF($AS480="","",INDEX('TMP Paste'!$B$2:$B$1601,$AS480))</f>
        <v/>
      </c>
      <c r="B480" t="str">
        <f>IF($AS480="","",Config!$B$14)</f>
        <v/>
      </c>
      <c r="C480" t="str">
        <f>IF($AS480="","",Config!$B$15)</f>
        <v/>
      </c>
      <c r="D480" t="str">
        <f>IF($AS480="","",INDEX('TMP Paste'!$B$2:$B$1601,$AS480))</f>
        <v/>
      </c>
      <c r="E480" t="str">
        <f>IF($AS480="","",Config!$B$27)</f>
        <v/>
      </c>
      <c r="F480" t="str">
        <f>IF($AS480="","",Config!$B$9)</f>
        <v/>
      </c>
      <c r="G480" t="str">
        <f>IF($AS480="","",Config!$B$10)</f>
        <v/>
      </c>
      <c r="H480" t="str">
        <f>IF($AS480="","",Config!$B$11)</f>
        <v/>
      </c>
      <c r="I480" t="str">
        <f>IF($AS480="","",Config!$B$16)</f>
        <v/>
      </c>
      <c r="J480" t="str">
        <f>IF($AS480="","",INDEX('TMP Paste'!$A$2:$A$1601,$AS480))</f>
        <v/>
      </c>
      <c r="K480" t="str">
        <f>IF($AS480="","",INDEX('TMP Paste'!$L$2:$L$1601,$AS480))</f>
        <v/>
      </c>
      <c r="L480" t="str">
        <f>IF($AS480="","",INDEX('TMP Paste'!$I$2:$I$1601,$AS480))</f>
        <v/>
      </c>
      <c r="M480" t="str">
        <f>IF($AS480="","",Config!$B$16)</f>
        <v/>
      </c>
      <c r="N480" t="str">
        <f t="shared" si="42"/>
        <v/>
      </c>
      <c r="O480" t="str">
        <f>IF($AS480="","",INDEX('TMP Paste'!$K$2:$K$1601,$AS480))</f>
        <v/>
      </c>
      <c r="P480" t="str">
        <f t="shared" si="43"/>
        <v/>
      </c>
      <c r="Q480" t="str">
        <f>IF($AS480="","",INDEX('TMP Paste'!$J$2:$J$1601,$AS480))</f>
        <v/>
      </c>
      <c r="R480" t="str">
        <f>IF($AS480="","",Config!$B$24)</f>
        <v/>
      </c>
      <c r="S480" t="str">
        <f ca="1">IF($AS480="","",TEXT(Config!$B$4,"yyyy-mm-dd"))</f>
        <v/>
      </c>
      <c r="T480" t="str">
        <f>IF($AS480="","",Config!$B$17)</f>
        <v/>
      </c>
      <c r="U480" t="str">
        <f>IF($AS480="","",Config!$B$18)</f>
        <v/>
      </c>
      <c r="V480" t="str">
        <f>IF($AS480="","",Config!$B$19)</f>
        <v/>
      </c>
      <c r="W480" t="str">
        <f>IF($AS480="","",INDEX('TMP Paste'!$C$2:$C$1601,$AS480))</f>
        <v/>
      </c>
      <c r="X480" t="str">
        <f>IF($AS480="","",Config!$B$29)</f>
        <v/>
      </c>
      <c r="Y480" t="str">
        <f>IF($AT480="","",INDEX(Calc!$I$2:$I$1601,$AT480)&amp;" - "&amp;INDEX(Calc!$D$2:$D$1601,$AT480)&amp;" koli")</f>
        <v/>
      </c>
      <c r="Z480" t="str">
        <f>IF($AS480="","",Config!$B$21)</f>
        <v/>
      </c>
      <c r="AA480" t="str">
        <f>IF($AS480="","",Config!$B$22)</f>
        <v/>
      </c>
      <c r="AB480" t="str">
        <f>IF($AT480="","",INDEX(Calc!$D$2:$D$1601,$AT480))</f>
        <v/>
      </c>
      <c r="AC480" t="str">
        <f>IF($AT480="","",INDEX(Calc!$G$2:$G$1601,$AT480))</f>
        <v/>
      </c>
      <c r="AD480" t="str">
        <f>IF($AS480="","",Config!$B$23)</f>
        <v/>
      </c>
      <c r="AE480" t="str">
        <f>IF($AS480="","",Config!$B$28)</f>
        <v/>
      </c>
      <c r="AF480" t="str">
        <f t="shared" si="44"/>
        <v/>
      </c>
      <c r="AG480" t="str">
        <f t="shared" si="45"/>
        <v/>
      </c>
      <c r="AH480" t="str">
        <f t="shared" si="46"/>
        <v/>
      </c>
      <c r="AI480" t="str">
        <f>IF($AG480="","",SUMIF($AG$2:$AG480,$AG480,$AH$2:$AH480))</f>
        <v/>
      </c>
      <c r="AJ480" t="str">
        <f>IF('TMP Paste'!$F480="","",IF('TMP Paste'!$B480="",$AJ479,'TMP Paste'!$B480))</f>
        <v/>
      </c>
      <c r="AK480" t="str">
        <f>IF('TMP Paste'!$F480="","",N('TMP Paste'!$G480))</f>
        <v/>
      </c>
      <c r="AL480" t="str">
        <f>IF('TMP Paste'!$F480="","",IF('TMP Paste'!$M480="",$AL479,'TMP Paste'!$M480))</f>
        <v/>
      </c>
      <c r="AM480" t="str">
        <f>IF('TMP Paste'!$F480="","",IF('TMP Paste'!$N480="",$AM479,'TMP Paste'!$N480))</f>
        <v/>
      </c>
      <c r="AN480" t="str">
        <f>IF('TMP Paste'!$F480="","",IF('TMP Paste'!$O480="",$AN479,'TMP Paste'!$O480))</f>
        <v/>
      </c>
      <c r="AO480" t="str">
        <f>IF('TMP Paste'!$F480="","",IF('TMP Paste'!$P480="",$AO479,'TMP Paste'!$P480))</f>
        <v/>
      </c>
      <c r="AP480" t="str">
        <f t="shared" si="47"/>
        <v/>
      </c>
      <c r="AQ480" t="str">
        <f>IF($AS480="","",TRIM(IF(COUNTIFS(Calc!$B$2:$B$1601,ROW()-1,Calc!$C$2:$C$1601,"&lt;1")&gt;0,"Ada PO tanpa Koli - cek TMP. ","")&amp;IF(OR($AU480="",$AU480&lt;=0),"Volume kosong/0 - dimensi dikosongkan. ","")&amp;IF(AND($AU480&lt;&gt;"",$AU480&gt;=1000000),"Volume &gt;= 1.000.000 cm3 (di luar aturan) - dimensi dikosongkan. ","")&amp;IF(LEN($R480)&gt;500,"R &gt; 500 karakter.","")))</f>
        <v/>
      </c>
      <c r="AS480" t="str">
        <f>IFERROR(MATCH(ROW()-1,Calc!$J$2:$J$1601,0),"")</f>
        <v/>
      </c>
      <c r="AT480" t="str">
        <f>IFERROR(MATCH(ROW()-1,Calc!$K$2:$K$1601,0),"")</f>
        <v/>
      </c>
      <c r="AU480" t="str">
        <f>IF($AS480="","",IFERROR(INDEX('TMP Paste'!$D$2:$D$1601,$AS480)*1000000/$AB480,""))</f>
        <v/>
      </c>
    </row>
    <row r="481" spans="1:47">
      <c r="A481" t="str">
        <f>IF($AS481="","",INDEX('TMP Paste'!$B$2:$B$1601,$AS481))</f>
        <v/>
      </c>
      <c r="B481" t="str">
        <f>IF($AS481="","",Config!$B$14)</f>
        <v/>
      </c>
      <c r="C481" t="str">
        <f>IF($AS481="","",Config!$B$15)</f>
        <v/>
      </c>
      <c r="D481" t="str">
        <f>IF($AS481="","",INDEX('TMP Paste'!$B$2:$B$1601,$AS481))</f>
        <v/>
      </c>
      <c r="E481" t="str">
        <f>IF($AS481="","",Config!$B$27)</f>
        <v/>
      </c>
      <c r="F481" t="str">
        <f>IF($AS481="","",Config!$B$9)</f>
        <v/>
      </c>
      <c r="G481" t="str">
        <f>IF($AS481="","",Config!$B$10)</f>
        <v/>
      </c>
      <c r="H481" t="str">
        <f>IF($AS481="","",Config!$B$11)</f>
        <v/>
      </c>
      <c r="I481" t="str">
        <f>IF($AS481="","",Config!$B$16)</f>
        <v/>
      </c>
      <c r="J481" t="str">
        <f>IF($AS481="","",INDEX('TMP Paste'!$A$2:$A$1601,$AS481))</f>
        <v/>
      </c>
      <c r="K481" t="str">
        <f>IF($AS481="","",INDEX('TMP Paste'!$L$2:$L$1601,$AS481))</f>
        <v/>
      </c>
      <c r="L481" t="str">
        <f>IF($AS481="","",INDEX('TMP Paste'!$I$2:$I$1601,$AS481))</f>
        <v/>
      </c>
      <c r="M481" t="str">
        <f>IF($AS481="","",Config!$B$16)</f>
        <v/>
      </c>
      <c r="N481" t="str">
        <f t="shared" si="42"/>
        <v/>
      </c>
      <c r="O481" t="str">
        <f>IF($AS481="","",INDEX('TMP Paste'!$K$2:$K$1601,$AS481))</f>
        <v/>
      </c>
      <c r="P481" t="str">
        <f t="shared" si="43"/>
        <v/>
      </c>
      <c r="Q481" t="str">
        <f>IF($AS481="","",INDEX('TMP Paste'!$J$2:$J$1601,$AS481))</f>
        <v/>
      </c>
      <c r="R481" t="str">
        <f>IF($AS481="","",Config!$B$24)</f>
        <v/>
      </c>
      <c r="S481" t="str">
        <f ca="1">IF($AS481="","",TEXT(Config!$B$4,"yyyy-mm-dd"))</f>
        <v/>
      </c>
      <c r="T481" t="str">
        <f>IF($AS481="","",Config!$B$17)</f>
        <v/>
      </c>
      <c r="U481" t="str">
        <f>IF($AS481="","",Config!$B$18)</f>
        <v/>
      </c>
      <c r="V481" t="str">
        <f>IF($AS481="","",Config!$B$19)</f>
        <v/>
      </c>
      <c r="W481" t="str">
        <f>IF($AS481="","",INDEX('TMP Paste'!$C$2:$C$1601,$AS481))</f>
        <v/>
      </c>
      <c r="X481" t="str">
        <f>IF($AS481="","",Config!$B$29)</f>
        <v/>
      </c>
      <c r="Y481" t="str">
        <f>IF($AT481="","",INDEX(Calc!$I$2:$I$1601,$AT481)&amp;" - "&amp;INDEX(Calc!$D$2:$D$1601,$AT481)&amp;" koli")</f>
        <v/>
      </c>
      <c r="Z481" t="str">
        <f>IF($AS481="","",Config!$B$21)</f>
        <v/>
      </c>
      <c r="AA481" t="str">
        <f>IF($AS481="","",Config!$B$22)</f>
        <v/>
      </c>
      <c r="AB481" t="str">
        <f>IF($AT481="","",INDEX(Calc!$D$2:$D$1601,$AT481))</f>
        <v/>
      </c>
      <c r="AC481" t="str">
        <f>IF($AT481="","",INDEX(Calc!$G$2:$G$1601,$AT481))</f>
        <v/>
      </c>
      <c r="AD481" t="str">
        <f>IF($AS481="","",Config!$B$23)</f>
        <v/>
      </c>
      <c r="AE481" t="str">
        <f>IF($AS481="","",Config!$B$28)</f>
        <v/>
      </c>
      <c r="AF481" t="str">
        <f t="shared" si="44"/>
        <v/>
      </c>
      <c r="AG481" t="str">
        <f t="shared" si="45"/>
        <v/>
      </c>
      <c r="AH481" t="str">
        <f t="shared" si="46"/>
        <v/>
      </c>
      <c r="AI481" t="str">
        <f>IF($AG481="","",SUMIF($AG$2:$AG481,$AG481,$AH$2:$AH481))</f>
        <v/>
      </c>
      <c r="AJ481" t="str">
        <f>IF('TMP Paste'!$F481="","",IF('TMP Paste'!$B481="",$AJ480,'TMP Paste'!$B481))</f>
        <v/>
      </c>
      <c r="AK481" t="str">
        <f>IF('TMP Paste'!$F481="","",N('TMP Paste'!$G481))</f>
        <v/>
      </c>
      <c r="AL481" t="str">
        <f>IF('TMP Paste'!$F481="","",IF('TMP Paste'!$M481="",$AL480,'TMP Paste'!$M481))</f>
        <v/>
      </c>
      <c r="AM481" t="str">
        <f>IF('TMP Paste'!$F481="","",IF('TMP Paste'!$N481="",$AM480,'TMP Paste'!$N481))</f>
        <v/>
      </c>
      <c r="AN481" t="str">
        <f>IF('TMP Paste'!$F481="","",IF('TMP Paste'!$O481="",$AN480,'TMP Paste'!$O481))</f>
        <v/>
      </c>
      <c r="AO481" t="str">
        <f>IF('TMP Paste'!$F481="","",IF('TMP Paste'!$P481="",$AO480,'TMP Paste'!$P481))</f>
        <v/>
      </c>
      <c r="AP481" t="str">
        <f t="shared" si="47"/>
        <v/>
      </c>
      <c r="AQ481" t="str">
        <f>IF($AS481="","",TRIM(IF(COUNTIFS(Calc!$B$2:$B$1601,ROW()-1,Calc!$C$2:$C$1601,"&lt;1")&gt;0,"Ada PO tanpa Koli - cek TMP. ","")&amp;IF(OR($AU481="",$AU481&lt;=0),"Volume kosong/0 - dimensi dikosongkan. ","")&amp;IF(AND($AU481&lt;&gt;"",$AU481&gt;=1000000),"Volume &gt;= 1.000.000 cm3 (di luar aturan) - dimensi dikosongkan. ","")&amp;IF(LEN($R481)&gt;500,"R &gt; 500 karakter.","")))</f>
        <v/>
      </c>
      <c r="AS481" t="str">
        <f>IFERROR(MATCH(ROW()-1,Calc!$J$2:$J$1601,0),"")</f>
        <v/>
      </c>
      <c r="AT481" t="str">
        <f>IFERROR(MATCH(ROW()-1,Calc!$K$2:$K$1601,0),"")</f>
        <v/>
      </c>
      <c r="AU481" t="str">
        <f>IF($AS481="","",IFERROR(INDEX('TMP Paste'!$D$2:$D$1601,$AS481)*1000000/$AB481,""))</f>
        <v/>
      </c>
    </row>
    <row r="482" spans="1:47">
      <c r="A482" t="str">
        <f>IF($AS482="","",INDEX('TMP Paste'!$B$2:$B$1601,$AS482))</f>
        <v/>
      </c>
      <c r="B482" t="str">
        <f>IF($AS482="","",Config!$B$14)</f>
        <v/>
      </c>
      <c r="C482" t="str">
        <f>IF($AS482="","",Config!$B$15)</f>
        <v/>
      </c>
      <c r="D482" t="str">
        <f>IF($AS482="","",INDEX('TMP Paste'!$B$2:$B$1601,$AS482))</f>
        <v/>
      </c>
      <c r="E482" t="str">
        <f>IF($AS482="","",Config!$B$27)</f>
        <v/>
      </c>
      <c r="F482" t="str">
        <f>IF($AS482="","",Config!$B$9)</f>
        <v/>
      </c>
      <c r="G482" t="str">
        <f>IF($AS482="","",Config!$B$10)</f>
        <v/>
      </c>
      <c r="H482" t="str">
        <f>IF($AS482="","",Config!$B$11)</f>
        <v/>
      </c>
      <c r="I482" t="str">
        <f>IF($AS482="","",Config!$B$16)</f>
        <v/>
      </c>
      <c r="J482" t="str">
        <f>IF($AS482="","",INDEX('TMP Paste'!$A$2:$A$1601,$AS482))</f>
        <v/>
      </c>
      <c r="K482" t="str">
        <f>IF($AS482="","",INDEX('TMP Paste'!$L$2:$L$1601,$AS482))</f>
        <v/>
      </c>
      <c r="L482" t="str">
        <f>IF($AS482="","",INDEX('TMP Paste'!$I$2:$I$1601,$AS482))</f>
        <v/>
      </c>
      <c r="M482" t="str">
        <f>IF($AS482="","",Config!$B$16)</f>
        <v/>
      </c>
      <c r="N482" t="str">
        <f t="shared" si="42"/>
        <v/>
      </c>
      <c r="O482" t="str">
        <f>IF($AS482="","",INDEX('TMP Paste'!$K$2:$K$1601,$AS482))</f>
        <v/>
      </c>
      <c r="P482" t="str">
        <f t="shared" si="43"/>
        <v/>
      </c>
      <c r="Q482" t="str">
        <f>IF($AS482="","",INDEX('TMP Paste'!$J$2:$J$1601,$AS482))</f>
        <v/>
      </c>
      <c r="R482" t="str">
        <f>IF($AS482="","",Config!$B$24)</f>
        <v/>
      </c>
      <c r="S482" t="str">
        <f ca="1">IF($AS482="","",TEXT(Config!$B$4,"yyyy-mm-dd"))</f>
        <v/>
      </c>
      <c r="T482" t="str">
        <f>IF($AS482="","",Config!$B$17)</f>
        <v/>
      </c>
      <c r="U482" t="str">
        <f>IF($AS482="","",Config!$B$18)</f>
        <v/>
      </c>
      <c r="V482" t="str">
        <f>IF($AS482="","",Config!$B$19)</f>
        <v/>
      </c>
      <c r="W482" t="str">
        <f>IF($AS482="","",INDEX('TMP Paste'!$C$2:$C$1601,$AS482))</f>
        <v/>
      </c>
      <c r="X482" t="str">
        <f>IF($AS482="","",Config!$B$29)</f>
        <v/>
      </c>
      <c r="Y482" t="str">
        <f>IF($AT482="","",INDEX(Calc!$I$2:$I$1601,$AT482)&amp;" - "&amp;INDEX(Calc!$D$2:$D$1601,$AT482)&amp;" koli")</f>
        <v/>
      </c>
      <c r="Z482" t="str">
        <f>IF($AS482="","",Config!$B$21)</f>
        <v/>
      </c>
      <c r="AA482" t="str">
        <f>IF($AS482="","",Config!$B$22)</f>
        <v/>
      </c>
      <c r="AB482" t="str">
        <f>IF($AT482="","",INDEX(Calc!$D$2:$D$1601,$AT482))</f>
        <v/>
      </c>
      <c r="AC482" t="str">
        <f>IF($AT482="","",INDEX(Calc!$G$2:$G$1601,$AT482))</f>
        <v/>
      </c>
      <c r="AD482" t="str">
        <f>IF($AS482="","",Config!$B$23)</f>
        <v/>
      </c>
      <c r="AE482" t="str">
        <f>IF($AS482="","",Config!$B$28)</f>
        <v/>
      </c>
      <c r="AF482" t="str">
        <f t="shared" si="44"/>
        <v/>
      </c>
      <c r="AG482" t="str">
        <f t="shared" si="45"/>
        <v/>
      </c>
      <c r="AH482" t="str">
        <f t="shared" si="46"/>
        <v/>
      </c>
      <c r="AI482" t="str">
        <f>IF($AG482="","",SUMIF($AG$2:$AG482,$AG482,$AH$2:$AH482))</f>
        <v/>
      </c>
      <c r="AJ482" t="str">
        <f>IF('TMP Paste'!$F482="","",IF('TMP Paste'!$B482="",$AJ481,'TMP Paste'!$B482))</f>
        <v/>
      </c>
      <c r="AK482" t="str">
        <f>IF('TMP Paste'!$F482="","",N('TMP Paste'!$G482))</f>
        <v/>
      </c>
      <c r="AL482" t="str">
        <f>IF('TMP Paste'!$F482="","",IF('TMP Paste'!$M482="",$AL481,'TMP Paste'!$M482))</f>
        <v/>
      </c>
      <c r="AM482" t="str">
        <f>IF('TMP Paste'!$F482="","",IF('TMP Paste'!$N482="",$AM481,'TMP Paste'!$N482))</f>
        <v/>
      </c>
      <c r="AN482" t="str">
        <f>IF('TMP Paste'!$F482="","",IF('TMP Paste'!$O482="",$AN481,'TMP Paste'!$O482))</f>
        <v/>
      </c>
      <c r="AO482" t="str">
        <f>IF('TMP Paste'!$F482="","",IF('TMP Paste'!$P482="",$AO481,'TMP Paste'!$P482))</f>
        <v/>
      </c>
      <c r="AP482" t="str">
        <f t="shared" si="47"/>
        <v/>
      </c>
      <c r="AQ482" t="str">
        <f>IF($AS482="","",TRIM(IF(COUNTIFS(Calc!$B$2:$B$1601,ROW()-1,Calc!$C$2:$C$1601,"&lt;1")&gt;0,"Ada PO tanpa Koli - cek TMP. ","")&amp;IF(OR($AU482="",$AU482&lt;=0),"Volume kosong/0 - dimensi dikosongkan. ","")&amp;IF(AND($AU482&lt;&gt;"",$AU482&gt;=1000000),"Volume &gt;= 1.000.000 cm3 (di luar aturan) - dimensi dikosongkan. ","")&amp;IF(LEN($R482)&gt;500,"R &gt; 500 karakter.","")))</f>
        <v/>
      </c>
      <c r="AS482" t="str">
        <f>IFERROR(MATCH(ROW()-1,Calc!$J$2:$J$1601,0),"")</f>
        <v/>
      </c>
      <c r="AT482" t="str">
        <f>IFERROR(MATCH(ROW()-1,Calc!$K$2:$K$1601,0),"")</f>
        <v/>
      </c>
      <c r="AU482" t="str">
        <f>IF($AS482="","",IFERROR(INDEX('TMP Paste'!$D$2:$D$1601,$AS482)*1000000/$AB482,""))</f>
        <v/>
      </c>
    </row>
    <row r="483" spans="1:47">
      <c r="A483" t="str">
        <f>IF($AS483="","",INDEX('TMP Paste'!$B$2:$B$1601,$AS483))</f>
        <v/>
      </c>
      <c r="B483" t="str">
        <f>IF($AS483="","",Config!$B$14)</f>
        <v/>
      </c>
      <c r="C483" t="str">
        <f>IF($AS483="","",Config!$B$15)</f>
        <v/>
      </c>
      <c r="D483" t="str">
        <f>IF($AS483="","",INDEX('TMP Paste'!$B$2:$B$1601,$AS483))</f>
        <v/>
      </c>
      <c r="E483" t="str">
        <f>IF($AS483="","",Config!$B$27)</f>
        <v/>
      </c>
      <c r="F483" t="str">
        <f>IF($AS483="","",Config!$B$9)</f>
        <v/>
      </c>
      <c r="G483" t="str">
        <f>IF($AS483="","",Config!$B$10)</f>
        <v/>
      </c>
      <c r="H483" t="str">
        <f>IF($AS483="","",Config!$B$11)</f>
        <v/>
      </c>
      <c r="I483" t="str">
        <f>IF($AS483="","",Config!$B$16)</f>
        <v/>
      </c>
      <c r="J483" t="str">
        <f>IF($AS483="","",INDEX('TMP Paste'!$A$2:$A$1601,$AS483))</f>
        <v/>
      </c>
      <c r="K483" t="str">
        <f>IF($AS483="","",INDEX('TMP Paste'!$L$2:$L$1601,$AS483))</f>
        <v/>
      </c>
      <c r="L483" t="str">
        <f>IF($AS483="","",INDEX('TMP Paste'!$I$2:$I$1601,$AS483))</f>
        <v/>
      </c>
      <c r="M483" t="str">
        <f>IF($AS483="","",Config!$B$16)</f>
        <v/>
      </c>
      <c r="N483" t="str">
        <f t="shared" si="42"/>
        <v/>
      </c>
      <c r="O483" t="str">
        <f>IF($AS483="","",INDEX('TMP Paste'!$K$2:$K$1601,$AS483))</f>
        <v/>
      </c>
      <c r="P483" t="str">
        <f t="shared" si="43"/>
        <v/>
      </c>
      <c r="Q483" t="str">
        <f>IF($AS483="","",INDEX('TMP Paste'!$J$2:$J$1601,$AS483))</f>
        <v/>
      </c>
      <c r="R483" t="str">
        <f>IF($AS483="","",Config!$B$24)</f>
        <v/>
      </c>
      <c r="S483" t="str">
        <f ca="1">IF($AS483="","",TEXT(Config!$B$4,"yyyy-mm-dd"))</f>
        <v/>
      </c>
      <c r="T483" t="str">
        <f>IF($AS483="","",Config!$B$17)</f>
        <v/>
      </c>
      <c r="U483" t="str">
        <f>IF($AS483="","",Config!$B$18)</f>
        <v/>
      </c>
      <c r="V483" t="str">
        <f>IF($AS483="","",Config!$B$19)</f>
        <v/>
      </c>
      <c r="W483" t="str">
        <f>IF($AS483="","",INDEX('TMP Paste'!$C$2:$C$1601,$AS483))</f>
        <v/>
      </c>
      <c r="X483" t="str">
        <f>IF($AS483="","",Config!$B$29)</f>
        <v/>
      </c>
      <c r="Y483" t="str">
        <f>IF($AT483="","",INDEX(Calc!$I$2:$I$1601,$AT483)&amp;" - "&amp;INDEX(Calc!$D$2:$D$1601,$AT483)&amp;" koli")</f>
        <v/>
      </c>
      <c r="Z483" t="str">
        <f>IF($AS483="","",Config!$B$21)</f>
        <v/>
      </c>
      <c r="AA483" t="str">
        <f>IF($AS483="","",Config!$B$22)</f>
        <v/>
      </c>
      <c r="AB483" t="str">
        <f>IF($AT483="","",INDEX(Calc!$D$2:$D$1601,$AT483))</f>
        <v/>
      </c>
      <c r="AC483" t="str">
        <f>IF($AT483="","",INDEX(Calc!$G$2:$G$1601,$AT483))</f>
        <v/>
      </c>
      <c r="AD483" t="str">
        <f>IF($AS483="","",Config!$B$23)</f>
        <v/>
      </c>
      <c r="AE483" t="str">
        <f>IF($AS483="","",Config!$B$28)</f>
        <v/>
      </c>
      <c r="AF483" t="str">
        <f t="shared" si="44"/>
        <v/>
      </c>
      <c r="AG483" t="str">
        <f t="shared" si="45"/>
        <v/>
      </c>
      <c r="AH483" t="str">
        <f t="shared" si="46"/>
        <v/>
      </c>
      <c r="AI483" t="str">
        <f>IF($AG483="","",SUMIF($AG$2:$AG483,$AG483,$AH$2:$AH483))</f>
        <v/>
      </c>
      <c r="AJ483" t="str">
        <f>IF('TMP Paste'!$F483="","",IF('TMP Paste'!$B483="",$AJ482,'TMP Paste'!$B483))</f>
        <v/>
      </c>
      <c r="AK483" t="str">
        <f>IF('TMP Paste'!$F483="","",N('TMP Paste'!$G483))</f>
        <v/>
      </c>
      <c r="AL483" t="str">
        <f>IF('TMP Paste'!$F483="","",IF('TMP Paste'!$M483="",$AL482,'TMP Paste'!$M483))</f>
        <v/>
      </c>
      <c r="AM483" t="str">
        <f>IF('TMP Paste'!$F483="","",IF('TMP Paste'!$N483="",$AM482,'TMP Paste'!$N483))</f>
        <v/>
      </c>
      <c r="AN483" t="str">
        <f>IF('TMP Paste'!$F483="","",IF('TMP Paste'!$O483="",$AN482,'TMP Paste'!$O483))</f>
        <v/>
      </c>
      <c r="AO483" t="str">
        <f>IF('TMP Paste'!$F483="","",IF('TMP Paste'!$P483="",$AO482,'TMP Paste'!$P483))</f>
        <v/>
      </c>
      <c r="AP483" t="str">
        <f t="shared" si="47"/>
        <v/>
      </c>
      <c r="AQ483" t="str">
        <f>IF($AS483="","",TRIM(IF(COUNTIFS(Calc!$B$2:$B$1601,ROW()-1,Calc!$C$2:$C$1601,"&lt;1")&gt;0,"Ada PO tanpa Koli - cek TMP. ","")&amp;IF(OR($AU483="",$AU483&lt;=0),"Volume kosong/0 - dimensi dikosongkan. ","")&amp;IF(AND($AU483&lt;&gt;"",$AU483&gt;=1000000),"Volume &gt;= 1.000.000 cm3 (di luar aturan) - dimensi dikosongkan. ","")&amp;IF(LEN($R483)&gt;500,"R &gt; 500 karakter.","")))</f>
        <v/>
      </c>
      <c r="AS483" t="str">
        <f>IFERROR(MATCH(ROW()-1,Calc!$J$2:$J$1601,0),"")</f>
        <v/>
      </c>
      <c r="AT483" t="str">
        <f>IFERROR(MATCH(ROW()-1,Calc!$K$2:$K$1601,0),"")</f>
        <v/>
      </c>
      <c r="AU483" t="str">
        <f>IF($AS483="","",IFERROR(INDEX('TMP Paste'!$D$2:$D$1601,$AS483)*1000000/$AB483,""))</f>
        <v/>
      </c>
    </row>
    <row r="484" spans="1:47">
      <c r="A484" t="str">
        <f>IF($AS484="","",INDEX('TMP Paste'!$B$2:$B$1601,$AS484))</f>
        <v/>
      </c>
      <c r="B484" t="str">
        <f>IF($AS484="","",Config!$B$14)</f>
        <v/>
      </c>
      <c r="C484" t="str">
        <f>IF($AS484="","",Config!$B$15)</f>
        <v/>
      </c>
      <c r="D484" t="str">
        <f>IF($AS484="","",INDEX('TMP Paste'!$B$2:$B$1601,$AS484))</f>
        <v/>
      </c>
      <c r="E484" t="str">
        <f>IF($AS484="","",Config!$B$27)</f>
        <v/>
      </c>
      <c r="F484" t="str">
        <f>IF($AS484="","",Config!$B$9)</f>
        <v/>
      </c>
      <c r="G484" t="str">
        <f>IF($AS484="","",Config!$B$10)</f>
        <v/>
      </c>
      <c r="H484" t="str">
        <f>IF($AS484="","",Config!$B$11)</f>
        <v/>
      </c>
      <c r="I484" t="str">
        <f>IF($AS484="","",Config!$B$16)</f>
        <v/>
      </c>
      <c r="J484" t="str">
        <f>IF($AS484="","",INDEX('TMP Paste'!$A$2:$A$1601,$AS484))</f>
        <v/>
      </c>
      <c r="K484" t="str">
        <f>IF($AS484="","",INDEX('TMP Paste'!$L$2:$L$1601,$AS484))</f>
        <v/>
      </c>
      <c r="L484" t="str">
        <f>IF($AS484="","",INDEX('TMP Paste'!$I$2:$I$1601,$AS484))</f>
        <v/>
      </c>
      <c r="M484" t="str">
        <f>IF($AS484="","",Config!$B$16)</f>
        <v/>
      </c>
      <c r="N484" t="str">
        <f t="shared" si="42"/>
        <v/>
      </c>
      <c r="O484" t="str">
        <f>IF($AS484="","",INDEX('TMP Paste'!$K$2:$K$1601,$AS484))</f>
        <v/>
      </c>
      <c r="P484" t="str">
        <f t="shared" si="43"/>
        <v/>
      </c>
      <c r="Q484" t="str">
        <f>IF($AS484="","",INDEX('TMP Paste'!$J$2:$J$1601,$AS484))</f>
        <v/>
      </c>
      <c r="R484" t="str">
        <f>IF($AS484="","",Config!$B$24)</f>
        <v/>
      </c>
      <c r="S484" t="str">
        <f ca="1">IF($AS484="","",TEXT(Config!$B$4,"yyyy-mm-dd"))</f>
        <v/>
      </c>
      <c r="T484" t="str">
        <f>IF($AS484="","",Config!$B$17)</f>
        <v/>
      </c>
      <c r="U484" t="str">
        <f>IF($AS484="","",Config!$B$18)</f>
        <v/>
      </c>
      <c r="V484" t="str">
        <f>IF($AS484="","",Config!$B$19)</f>
        <v/>
      </c>
      <c r="W484" t="str">
        <f>IF($AS484="","",INDEX('TMP Paste'!$C$2:$C$1601,$AS484))</f>
        <v/>
      </c>
      <c r="X484" t="str">
        <f>IF($AS484="","",Config!$B$29)</f>
        <v/>
      </c>
      <c r="Y484" t="str">
        <f>IF($AT484="","",INDEX(Calc!$I$2:$I$1601,$AT484)&amp;" - "&amp;INDEX(Calc!$D$2:$D$1601,$AT484)&amp;" koli")</f>
        <v/>
      </c>
      <c r="Z484" t="str">
        <f>IF($AS484="","",Config!$B$21)</f>
        <v/>
      </c>
      <c r="AA484" t="str">
        <f>IF($AS484="","",Config!$B$22)</f>
        <v/>
      </c>
      <c r="AB484" t="str">
        <f>IF($AT484="","",INDEX(Calc!$D$2:$D$1601,$AT484))</f>
        <v/>
      </c>
      <c r="AC484" t="str">
        <f>IF($AT484="","",INDEX(Calc!$G$2:$G$1601,$AT484))</f>
        <v/>
      </c>
      <c r="AD484" t="str">
        <f>IF($AS484="","",Config!$B$23)</f>
        <v/>
      </c>
      <c r="AE484" t="str">
        <f>IF($AS484="","",Config!$B$28)</f>
        <v/>
      </c>
      <c r="AF484" t="str">
        <f t="shared" si="44"/>
        <v/>
      </c>
      <c r="AG484" t="str">
        <f t="shared" si="45"/>
        <v/>
      </c>
      <c r="AH484" t="str">
        <f t="shared" si="46"/>
        <v/>
      </c>
      <c r="AI484" t="str">
        <f>IF($AG484="","",SUMIF($AG$2:$AG484,$AG484,$AH$2:$AH484))</f>
        <v/>
      </c>
      <c r="AJ484" t="str">
        <f>IF('TMP Paste'!$F484="","",IF('TMP Paste'!$B484="",$AJ483,'TMP Paste'!$B484))</f>
        <v/>
      </c>
      <c r="AK484" t="str">
        <f>IF('TMP Paste'!$F484="","",N('TMP Paste'!$G484))</f>
        <v/>
      </c>
      <c r="AL484" t="str">
        <f>IF('TMP Paste'!$F484="","",IF('TMP Paste'!$M484="",$AL483,'TMP Paste'!$M484))</f>
        <v/>
      </c>
      <c r="AM484" t="str">
        <f>IF('TMP Paste'!$F484="","",IF('TMP Paste'!$N484="",$AM483,'TMP Paste'!$N484))</f>
        <v/>
      </c>
      <c r="AN484" t="str">
        <f>IF('TMP Paste'!$F484="","",IF('TMP Paste'!$O484="",$AN483,'TMP Paste'!$O484))</f>
        <v/>
      </c>
      <c r="AO484" t="str">
        <f>IF('TMP Paste'!$F484="","",IF('TMP Paste'!$P484="",$AO483,'TMP Paste'!$P484))</f>
        <v/>
      </c>
      <c r="AP484" t="str">
        <f t="shared" si="47"/>
        <v/>
      </c>
      <c r="AQ484" t="str">
        <f>IF($AS484="","",TRIM(IF(COUNTIFS(Calc!$B$2:$B$1601,ROW()-1,Calc!$C$2:$C$1601,"&lt;1")&gt;0,"Ada PO tanpa Koli - cek TMP. ","")&amp;IF(OR($AU484="",$AU484&lt;=0),"Volume kosong/0 - dimensi dikosongkan. ","")&amp;IF(AND($AU484&lt;&gt;"",$AU484&gt;=1000000),"Volume &gt;= 1.000.000 cm3 (di luar aturan) - dimensi dikosongkan. ","")&amp;IF(LEN($R484)&gt;500,"R &gt; 500 karakter.","")))</f>
        <v/>
      </c>
      <c r="AS484" t="str">
        <f>IFERROR(MATCH(ROW()-1,Calc!$J$2:$J$1601,0),"")</f>
        <v/>
      </c>
      <c r="AT484" t="str">
        <f>IFERROR(MATCH(ROW()-1,Calc!$K$2:$K$1601,0),"")</f>
        <v/>
      </c>
      <c r="AU484" t="str">
        <f>IF($AS484="","",IFERROR(INDEX('TMP Paste'!$D$2:$D$1601,$AS484)*1000000/$AB484,""))</f>
        <v/>
      </c>
    </row>
    <row r="485" spans="1:47">
      <c r="A485" t="str">
        <f>IF($AS485="","",INDEX('TMP Paste'!$B$2:$B$1601,$AS485))</f>
        <v/>
      </c>
      <c r="B485" t="str">
        <f>IF($AS485="","",Config!$B$14)</f>
        <v/>
      </c>
      <c r="C485" t="str">
        <f>IF($AS485="","",Config!$B$15)</f>
        <v/>
      </c>
      <c r="D485" t="str">
        <f>IF($AS485="","",INDEX('TMP Paste'!$B$2:$B$1601,$AS485))</f>
        <v/>
      </c>
      <c r="E485" t="str">
        <f>IF($AS485="","",Config!$B$27)</f>
        <v/>
      </c>
      <c r="F485" t="str">
        <f>IF($AS485="","",Config!$B$9)</f>
        <v/>
      </c>
      <c r="G485" t="str">
        <f>IF($AS485="","",Config!$B$10)</f>
        <v/>
      </c>
      <c r="H485" t="str">
        <f>IF($AS485="","",Config!$B$11)</f>
        <v/>
      </c>
      <c r="I485" t="str">
        <f>IF($AS485="","",Config!$B$16)</f>
        <v/>
      </c>
      <c r="J485" t="str">
        <f>IF($AS485="","",INDEX('TMP Paste'!$A$2:$A$1601,$AS485))</f>
        <v/>
      </c>
      <c r="K485" t="str">
        <f>IF($AS485="","",INDEX('TMP Paste'!$L$2:$L$1601,$AS485))</f>
        <v/>
      </c>
      <c r="L485" t="str">
        <f>IF($AS485="","",INDEX('TMP Paste'!$I$2:$I$1601,$AS485))</f>
        <v/>
      </c>
      <c r="M485" t="str">
        <f>IF($AS485="","",Config!$B$16)</f>
        <v/>
      </c>
      <c r="N485" t="str">
        <f t="shared" si="42"/>
        <v/>
      </c>
      <c r="O485" t="str">
        <f>IF($AS485="","",INDEX('TMP Paste'!$K$2:$K$1601,$AS485))</f>
        <v/>
      </c>
      <c r="P485" t="str">
        <f t="shared" si="43"/>
        <v/>
      </c>
      <c r="Q485" t="str">
        <f>IF($AS485="","",INDEX('TMP Paste'!$J$2:$J$1601,$AS485))</f>
        <v/>
      </c>
      <c r="R485" t="str">
        <f>IF($AS485="","",Config!$B$24)</f>
        <v/>
      </c>
      <c r="S485" t="str">
        <f ca="1">IF($AS485="","",TEXT(Config!$B$4,"yyyy-mm-dd"))</f>
        <v/>
      </c>
      <c r="T485" t="str">
        <f>IF($AS485="","",Config!$B$17)</f>
        <v/>
      </c>
      <c r="U485" t="str">
        <f>IF($AS485="","",Config!$B$18)</f>
        <v/>
      </c>
      <c r="V485" t="str">
        <f>IF($AS485="","",Config!$B$19)</f>
        <v/>
      </c>
      <c r="W485" t="str">
        <f>IF($AS485="","",INDEX('TMP Paste'!$C$2:$C$1601,$AS485))</f>
        <v/>
      </c>
      <c r="X485" t="str">
        <f>IF($AS485="","",Config!$B$29)</f>
        <v/>
      </c>
      <c r="Y485" t="str">
        <f>IF($AT485="","",INDEX(Calc!$I$2:$I$1601,$AT485)&amp;" - "&amp;INDEX(Calc!$D$2:$D$1601,$AT485)&amp;" koli")</f>
        <v/>
      </c>
      <c r="Z485" t="str">
        <f>IF($AS485="","",Config!$B$21)</f>
        <v/>
      </c>
      <c r="AA485" t="str">
        <f>IF($AS485="","",Config!$B$22)</f>
        <v/>
      </c>
      <c r="AB485" t="str">
        <f>IF($AT485="","",INDEX(Calc!$D$2:$D$1601,$AT485))</f>
        <v/>
      </c>
      <c r="AC485" t="str">
        <f>IF($AT485="","",INDEX(Calc!$G$2:$G$1601,$AT485))</f>
        <v/>
      </c>
      <c r="AD485" t="str">
        <f>IF($AS485="","",Config!$B$23)</f>
        <v/>
      </c>
      <c r="AE485" t="str">
        <f>IF($AS485="","",Config!$B$28)</f>
        <v/>
      </c>
      <c r="AF485" t="str">
        <f t="shared" si="44"/>
        <v/>
      </c>
      <c r="AG485" t="str">
        <f t="shared" si="45"/>
        <v/>
      </c>
      <c r="AH485" t="str">
        <f t="shared" si="46"/>
        <v/>
      </c>
      <c r="AI485" t="str">
        <f>IF($AG485="","",SUMIF($AG$2:$AG485,$AG485,$AH$2:$AH485))</f>
        <v/>
      </c>
      <c r="AJ485" t="str">
        <f>IF('TMP Paste'!$F485="","",IF('TMP Paste'!$B485="",$AJ484,'TMP Paste'!$B485))</f>
        <v/>
      </c>
      <c r="AK485" t="str">
        <f>IF('TMP Paste'!$F485="","",N('TMP Paste'!$G485))</f>
        <v/>
      </c>
      <c r="AL485" t="str">
        <f>IF('TMP Paste'!$F485="","",IF('TMP Paste'!$M485="",$AL484,'TMP Paste'!$M485))</f>
        <v/>
      </c>
      <c r="AM485" t="str">
        <f>IF('TMP Paste'!$F485="","",IF('TMP Paste'!$N485="",$AM484,'TMP Paste'!$N485))</f>
        <v/>
      </c>
      <c r="AN485" t="str">
        <f>IF('TMP Paste'!$F485="","",IF('TMP Paste'!$O485="",$AN484,'TMP Paste'!$O485))</f>
        <v/>
      </c>
      <c r="AO485" t="str">
        <f>IF('TMP Paste'!$F485="","",IF('TMP Paste'!$P485="",$AO484,'TMP Paste'!$P485))</f>
        <v/>
      </c>
      <c r="AP485" t="str">
        <f t="shared" si="47"/>
        <v/>
      </c>
      <c r="AQ485" t="str">
        <f>IF($AS485="","",TRIM(IF(COUNTIFS(Calc!$B$2:$B$1601,ROW()-1,Calc!$C$2:$C$1601,"&lt;1")&gt;0,"Ada PO tanpa Koli - cek TMP. ","")&amp;IF(OR($AU485="",$AU485&lt;=0),"Volume kosong/0 - dimensi dikosongkan. ","")&amp;IF(AND($AU485&lt;&gt;"",$AU485&gt;=1000000),"Volume &gt;= 1.000.000 cm3 (di luar aturan) - dimensi dikosongkan. ","")&amp;IF(LEN($R485)&gt;500,"R &gt; 500 karakter.","")))</f>
        <v/>
      </c>
      <c r="AS485" t="str">
        <f>IFERROR(MATCH(ROW()-1,Calc!$J$2:$J$1601,0),"")</f>
        <v/>
      </c>
      <c r="AT485" t="str">
        <f>IFERROR(MATCH(ROW()-1,Calc!$K$2:$K$1601,0),"")</f>
        <v/>
      </c>
      <c r="AU485" t="str">
        <f>IF($AS485="","",IFERROR(INDEX('TMP Paste'!$D$2:$D$1601,$AS485)*1000000/$AB485,""))</f>
        <v/>
      </c>
    </row>
    <row r="486" spans="1:47">
      <c r="A486" t="str">
        <f>IF($AS486="","",INDEX('TMP Paste'!$B$2:$B$1601,$AS486))</f>
        <v/>
      </c>
      <c r="B486" t="str">
        <f>IF($AS486="","",Config!$B$14)</f>
        <v/>
      </c>
      <c r="C486" t="str">
        <f>IF($AS486="","",Config!$B$15)</f>
        <v/>
      </c>
      <c r="D486" t="str">
        <f>IF($AS486="","",INDEX('TMP Paste'!$B$2:$B$1601,$AS486))</f>
        <v/>
      </c>
      <c r="E486" t="str">
        <f>IF($AS486="","",Config!$B$27)</f>
        <v/>
      </c>
      <c r="F486" t="str">
        <f>IF($AS486="","",Config!$B$9)</f>
        <v/>
      </c>
      <c r="G486" t="str">
        <f>IF($AS486="","",Config!$B$10)</f>
        <v/>
      </c>
      <c r="H486" t="str">
        <f>IF($AS486="","",Config!$B$11)</f>
        <v/>
      </c>
      <c r="I486" t="str">
        <f>IF($AS486="","",Config!$B$16)</f>
        <v/>
      </c>
      <c r="J486" t="str">
        <f>IF($AS486="","",INDEX('TMP Paste'!$A$2:$A$1601,$AS486))</f>
        <v/>
      </c>
      <c r="K486" t="str">
        <f>IF($AS486="","",INDEX('TMP Paste'!$L$2:$L$1601,$AS486))</f>
        <v/>
      </c>
      <c r="L486" t="str">
        <f>IF($AS486="","",INDEX('TMP Paste'!$I$2:$I$1601,$AS486))</f>
        <v/>
      </c>
      <c r="M486" t="str">
        <f>IF($AS486="","",Config!$B$16)</f>
        <v/>
      </c>
      <c r="N486" t="str">
        <f t="shared" si="42"/>
        <v/>
      </c>
      <c r="O486" t="str">
        <f>IF($AS486="","",INDEX('TMP Paste'!$K$2:$K$1601,$AS486))</f>
        <v/>
      </c>
      <c r="P486" t="str">
        <f t="shared" si="43"/>
        <v/>
      </c>
      <c r="Q486" t="str">
        <f>IF($AS486="","",INDEX('TMP Paste'!$J$2:$J$1601,$AS486))</f>
        <v/>
      </c>
      <c r="R486" t="str">
        <f>IF($AS486="","",Config!$B$24)</f>
        <v/>
      </c>
      <c r="S486" t="str">
        <f ca="1">IF($AS486="","",TEXT(Config!$B$4,"yyyy-mm-dd"))</f>
        <v/>
      </c>
      <c r="T486" t="str">
        <f>IF($AS486="","",Config!$B$17)</f>
        <v/>
      </c>
      <c r="U486" t="str">
        <f>IF($AS486="","",Config!$B$18)</f>
        <v/>
      </c>
      <c r="V486" t="str">
        <f>IF($AS486="","",Config!$B$19)</f>
        <v/>
      </c>
      <c r="W486" t="str">
        <f>IF($AS486="","",INDEX('TMP Paste'!$C$2:$C$1601,$AS486))</f>
        <v/>
      </c>
      <c r="X486" t="str">
        <f>IF($AS486="","",Config!$B$29)</f>
        <v/>
      </c>
      <c r="Y486" t="str">
        <f>IF($AT486="","",INDEX(Calc!$I$2:$I$1601,$AT486)&amp;" - "&amp;INDEX(Calc!$D$2:$D$1601,$AT486)&amp;" koli")</f>
        <v/>
      </c>
      <c r="Z486" t="str">
        <f>IF($AS486="","",Config!$B$21)</f>
        <v/>
      </c>
      <c r="AA486" t="str">
        <f>IF($AS486="","",Config!$B$22)</f>
        <v/>
      </c>
      <c r="AB486" t="str">
        <f>IF($AT486="","",INDEX(Calc!$D$2:$D$1601,$AT486))</f>
        <v/>
      </c>
      <c r="AC486" t="str">
        <f>IF($AT486="","",INDEX(Calc!$G$2:$G$1601,$AT486))</f>
        <v/>
      </c>
      <c r="AD486" t="str">
        <f>IF($AS486="","",Config!$B$23)</f>
        <v/>
      </c>
      <c r="AE486" t="str">
        <f>IF($AS486="","",Config!$B$28)</f>
        <v/>
      </c>
      <c r="AF486" t="str">
        <f t="shared" si="44"/>
        <v/>
      </c>
      <c r="AG486" t="str">
        <f t="shared" si="45"/>
        <v/>
      </c>
      <c r="AH486" t="str">
        <f t="shared" si="46"/>
        <v/>
      </c>
      <c r="AI486" t="str">
        <f>IF($AG486="","",SUMIF($AG$2:$AG486,$AG486,$AH$2:$AH486))</f>
        <v/>
      </c>
      <c r="AJ486" t="str">
        <f>IF('TMP Paste'!$F486="","",IF('TMP Paste'!$B486="",$AJ485,'TMP Paste'!$B486))</f>
        <v/>
      </c>
      <c r="AK486" t="str">
        <f>IF('TMP Paste'!$F486="","",N('TMP Paste'!$G486))</f>
        <v/>
      </c>
      <c r="AL486" t="str">
        <f>IF('TMP Paste'!$F486="","",IF('TMP Paste'!$M486="",$AL485,'TMP Paste'!$M486))</f>
        <v/>
      </c>
      <c r="AM486" t="str">
        <f>IF('TMP Paste'!$F486="","",IF('TMP Paste'!$N486="",$AM485,'TMP Paste'!$N486))</f>
        <v/>
      </c>
      <c r="AN486" t="str">
        <f>IF('TMP Paste'!$F486="","",IF('TMP Paste'!$O486="",$AN485,'TMP Paste'!$O486))</f>
        <v/>
      </c>
      <c r="AO486" t="str">
        <f>IF('TMP Paste'!$F486="","",IF('TMP Paste'!$P486="",$AO485,'TMP Paste'!$P486))</f>
        <v/>
      </c>
      <c r="AP486" t="str">
        <f t="shared" si="47"/>
        <v/>
      </c>
      <c r="AQ486" t="str">
        <f>IF($AS486="","",TRIM(IF(COUNTIFS(Calc!$B$2:$B$1601,ROW()-1,Calc!$C$2:$C$1601,"&lt;1")&gt;0,"Ada PO tanpa Koli - cek TMP. ","")&amp;IF(OR($AU486="",$AU486&lt;=0),"Volume kosong/0 - dimensi dikosongkan. ","")&amp;IF(AND($AU486&lt;&gt;"",$AU486&gt;=1000000),"Volume &gt;= 1.000.000 cm3 (di luar aturan) - dimensi dikosongkan. ","")&amp;IF(LEN($R486)&gt;500,"R &gt; 500 karakter.","")))</f>
        <v/>
      </c>
      <c r="AS486" t="str">
        <f>IFERROR(MATCH(ROW()-1,Calc!$J$2:$J$1601,0),"")</f>
        <v/>
      </c>
      <c r="AT486" t="str">
        <f>IFERROR(MATCH(ROW()-1,Calc!$K$2:$K$1601,0),"")</f>
        <v/>
      </c>
      <c r="AU486" t="str">
        <f>IF($AS486="","",IFERROR(INDEX('TMP Paste'!$D$2:$D$1601,$AS486)*1000000/$AB486,""))</f>
        <v/>
      </c>
    </row>
    <row r="487" spans="1:47">
      <c r="A487" t="str">
        <f>IF($AS487="","",INDEX('TMP Paste'!$B$2:$B$1601,$AS487))</f>
        <v/>
      </c>
      <c r="B487" t="str">
        <f>IF($AS487="","",Config!$B$14)</f>
        <v/>
      </c>
      <c r="C487" t="str">
        <f>IF($AS487="","",Config!$B$15)</f>
        <v/>
      </c>
      <c r="D487" t="str">
        <f>IF($AS487="","",INDEX('TMP Paste'!$B$2:$B$1601,$AS487))</f>
        <v/>
      </c>
      <c r="E487" t="str">
        <f>IF($AS487="","",Config!$B$27)</f>
        <v/>
      </c>
      <c r="F487" t="str">
        <f>IF($AS487="","",Config!$B$9)</f>
        <v/>
      </c>
      <c r="G487" t="str">
        <f>IF($AS487="","",Config!$B$10)</f>
        <v/>
      </c>
      <c r="H487" t="str">
        <f>IF($AS487="","",Config!$B$11)</f>
        <v/>
      </c>
      <c r="I487" t="str">
        <f>IF($AS487="","",Config!$B$16)</f>
        <v/>
      </c>
      <c r="J487" t="str">
        <f>IF($AS487="","",INDEX('TMP Paste'!$A$2:$A$1601,$AS487))</f>
        <v/>
      </c>
      <c r="K487" t="str">
        <f>IF($AS487="","",INDEX('TMP Paste'!$L$2:$L$1601,$AS487))</f>
        <v/>
      </c>
      <c r="L487" t="str">
        <f>IF($AS487="","",INDEX('TMP Paste'!$I$2:$I$1601,$AS487))</f>
        <v/>
      </c>
      <c r="M487" t="str">
        <f>IF($AS487="","",Config!$B$16)</f>
        <v/>
      </c>
      <c r="N487" t="str">
        <f t="shared" si="42"/>
        <v/>
      </c>
      <c r="O487" t="str">
        <f>IF($AS487="","",INDEX('TMP Paste'!$K$2:$K$1601,$AS487))</f>
        <v/>
      </c>
      <c r="P487" t="str">
        <f t="shared" si="43"/>
        <v/>
      </c>
      <c r="Q487" t="str">
        <f>IF($AS487="","",INDEX('TMP Paste'!$J$2:$J$1601,$AS487))</f>
        <v/>
      </c>
      <c r="R487" t="str">
        <f>IF($AS487="","",Config!$B$24)</f>
        <v/>
      </c>
      <c r="S487" t="str">
        <f ca="1">IF($AS487="","",TEXT(Config!$B$4,"yyyy-mm-dd"))</f>
        <v/>
      </c>
      <c r="T487" t="str">
        <f>IF($AS487="","",Config!$B$17)</f>
        <v/>
      </c>
      <c r="U487" t="str">
        <f>IF($AS487="","",Config!$B$18)</f>
        <v/>
      </c>
      <c r="V487" t="str">
        <f>IF($AS487="","",Config!$B$19)</f>
        <v/>
      </c>
      <c r="W487" t="str">
        <f>IF($AS487="","",INDEX('TMP Paste'!$C$2:$C$1601,$AS487))</f>
        <v/>
      </c>
      <c r="X487" t="str">
        <f>IF($AS487="","",Config!$B$29)</f>
        <v/>
      </c>
      <c r="Y487" t="str">
        <f>IF($AT487="","",INDEX(Calc!$I$2:$I$1601,$AT487)&amp;" - "&amp;INDEX(Calc!$D$2:$D$1601,$AT487)&amp;" koli")</f>
        <v/>
      </c>
      <c r="Z487" t="str">
        <f>IF($AS487="","",Config!$B$21)</f>
        <v/>
      </c>
      <c r="AA487" t="str">
        <f>IF($AS487="","",Config!$B$22)</f>
        <v/>
      </c>
      <c r="AB487" t="str">
        <f>IF($AT487="","",INDEX(Calc!$D$2:$D$1601,$AT487))</f>
        <v/>
      </c>
      <c r="AC487" t="str">
        <f>IF($AT487="","",INDEX(Calc!$G$2:$G$1601,$AT487))</f>
        <v/>
      </c>
      <c r="AD487" t="str">
        <f>IF($AS487="","",Config!$B$23)</f>
        <v/>
      </c>
      <c r="AE487" t="str">
        <f>IF($AS487="","",Config!$B$28)</f>
        <v/>
      </c>
      <c r="AF487" t="str">
        <f t="shared" si="44"/>
        <v/>
      </c>
      <c r="AG487" t="str">
        <f t="shared" si="45"/>
        <v/>
      </c>
      <c r="AH487" t="str">
        <f t="shared" si="46"/>
        <v/>
      </c>
      <c r="AI487" t="str">
        <f>IF($AG487="","",SUMIF($AG$2:$AG487,$AG487,$AH$2:$AH487))</f>
        <v/>
      </c>
      <c r="AJ487" t="str">
        <f>IF('TMP Paste'!$F487="","",IF('TMP Paste'!$B487="",$AJ486,'TMP Paste'!$B487))</f>
        <v/>
      </c>
      <c r="AK487" t="str">
        <f>IF('TMP Paste'!$F487="","",N('TMP Paste'!$G487))</f>
        <v/>
      </c>
      <c r="AL487" t="str">
        <f>IF('TMP Paste'!$F487="","",IF('TMP Paste'!$M487="",$AL486,'TMP Paste'!$M487))</f>
        <v/>
      </c>
      <c r="AM487" t="str">
        <f>IF('TMP Paste'!$F487="","",IF('TMP Paste'!$N487="",$AM486,'TMP Paste'!$N487))</f>
        <v/>
      </c>
      <c r="AN487" t="str">
        <f>IF('TMP Paste'!$F487="","",IF('TMP Paste'!$O487="",$AN486,'TMP Paste'!$O487))</f>
        <v/>
      </c>
      <c r="AO487" t="str">
        <f>IF('TMP Paste'!$F487="","",IF('TMP Paste'!$P487="",$AO486,'TMP Paste'!$P487))</f>
        <v/>
      </c>
      <c r="AP487" t="str">
        <f t="shared" si="47"/>
        <v/>
      </c>
      <c r="AQ487" t="str">
        <f>IF($AS487="","",TRIM(IF(COUNTIFS(Calc!$B$2:$B$1601,ROW()-1,Calc!$C$2:$C$1601,"&lt;1")&gt;0,"Ada PO tanpa Koli - cek TMP. ","")&amp;IF(OR($AU487="",$AU487&lt;=0),"Volume kosong/0 - dimensi dikosongkan. ","")&amp;IF(AND($AU487&lt;&gt;"",$AU487&gt;=1000000),"Volume &gt;= 1.000.000 cm3 (di luar aturan) - dimensi dikosongkan. ","")&amp;IF(LEN($R487)&gt;500,"R &gt; 500 karakter.","")))</f>
        <v/>
      </c>
      <c r="AS487" t="str">
        <f>IFERROR(MATCH(ROW()-1,Calc!$J$2:$J$1601,0),"")</f>
        <v/>
      </c>
      <c r="AT487" t="str">
        <f>IFERROR(MATCH(ROW()-1,Calc!$K$2:$K$1601,0),"")</f>
        <v/>
      </c>
      <c r="AU487" t="str">
        <f>IF($AS487="","",IFERROR(INDEX('TMP Paste'!$D$2:$D$1601,$AS487)*1000000/$AB487,""))</f>
        <v/>
      </c>
    </row>
    <row r="488" spans="1:47">
      <c r="A488" t="str">
        <f>IF($AS488="","",INDEX('TMP Paste'!$B$2:$B$1601,$AS488))</f>
        <v/>
      </c>
      <c r="B488" t="str">
        <f>IF($AS488="","",Config!$B$14)</f>
        <v/>
      </c>
      <c r="C488" t="str">
        <f>IF($AS488="","",Config!$B$15)</f>
        <v/>
      </c>
      <c r="D488" t="str">
        <f>IF($AS488="","",INDEX('TMP Paste'!$B$2:$B$1601,$AS488))</f>
        <v/>
      </c>
      <c r="E488" t="str">
        <f>IF($AS488="","",Config!$B$27)</f>
        <v/>
      </c>
      <c r="F488" t="str">
        <f>IF($AS488="","",Config!$B$9)</f>
        <v/>
      </c>
      <c r="G488" t="str">
        <f>IF($AS488="","",Config!$B$10)</f>
        <v/>
      </c>
      <c r="H488" t="str">
        <f>IF($AS488="","",Config!$B$11)</f>
        <v/>
      </c>
      <c r="I488" t="str">
        <f>IF($AS488="","",Config!$B$16)</f>
        <v/>
      </c>
      <c r="J488" t="str">
        <f>IF($AS488="","",INDEX('TMP Paste'!$A$2:$A$1601,$AS488))</f>
        <v/>
      </c>
      <c r="K488" t="str">
        <f>IF($AS488="","",INDEX('TMP Paste'!$L$2:$L$1601,$AS488))</f>
        <v/>
      </c>
      <c r="L488" t="str">
        <f>IF($AS488="","",INDEX('TMP Paste'!$I$2:$I$1601,$AS488))</f>
        <v/>
      </c>
      <c r="M488" t="str">
        <f>IF($AS488="","",Config!$B$16)</f>
        <v/>
      </c>
      <c r="N488" t="str">
        <f t="shared" si="42"/>
        <v/>
      </c>
      <c r="O488" t="str">
        <f>IF($AS488="","",INDEX('TMP Paste'!$K$2:$K$1601,$AS488))</f>
        <v/>
      </c>
      <c r="P488" t="str">
        <f t="shared" si="43"/>
        <v/>
      </c>
      <c r="Q488" t="str">
        <f>IF($AS488="","",INDEX('TMP Paste'!$J$2:$J$1601,$AS488))</f>
        <v/>
      </c>
      <c r="R488" t="str">
        <f>IF($AS488="","",Config!$B$24)</f>
        <v/>
      </c>
      <c r="S488" t="str">
        <f ca="1">IF($AS488="","",TEXT(Config!$B$4,"yyyy-mm-dd"))</f>
        <v/>
      </c>
      <c r="T488" t="str">
        <f>IF($AS488="","",Config!$B$17)</f>
        <v/>
      </c>
      <c r="U488" t="str">
        <f>IF($AS488="","",Config!$B$18)</f>
        <v/>
      </c>
      <c r="V488" t="str">
        <f>IF($AS488="","",Config!$B$19)</f>
        <v/>
      </c>
      <c r="W488" t="str">
        <f>IF($AS488="","",INDEX('TMP Paste'!$C$2:$C$1601,$AS488))</f>
        <v/>
      </c>
      <c r="X488" t="str">
        <f>IF($AS488="","",Config!$B$29)</f>
        <v/>
      </c>
      <c r="Y488" t="str">
        <f>IF($AT488="","",INDEX(Calc!$I$2:$I$1601,$AT488)&amp;" - "&amp;INDEX(Calc!$D$2:$D$1601,$AT488)&amp;" koli")</f>
        <v/>
      </c>
      <c r="Z488" t="str">
        <f>IF($AS488="","",Config!$B$21)</f>
        <v/>
      </c>
      <c r="AA488" t="str">
        <f>IF($AS488="","",Config!$B$22)</f>
        <v/>
      </c>
      <c r="AB488" t="str">
        <f>IF($AT488="","",INDEX(Calc!$D$2:$D$1601,$AT488))</f>
        <v/>
      </c>
      <c r="AC488" t="str">
        <f>IF($AT488="","",INDEX(Calc!$G$2:$G$1601,$AT488))</f>
        <v/>
      </c>
      <c r="AD488" t="str">
        <f>IF($AS488="","",Config!$B$23)</f>
        <v/>
      </c>
      <c r="AE488" t="str">
        <f>IF($AS488="","",Config!$B$28)</f>
        <v/>
      </c>
      <c r="AF488" t="str">
        <f t="shared" si="44"/>
        <v/>
      </c>
      <c r="AG488" t="str">
        <f t="shared" si="45"/>
        <v/>
      </c>
      <c r="AH488" t="str">
        <f t="shared" si="46"/>
        <v/>
      </c>
      <c r="AI488" t="str">
        <f>IF($AG488="","",SUMIF($AG$2:$AG488,$AG488,$AH$2:$AH488))</f>
        <v/>
      </c>
      <c r="AJ488" t="str">
        <f>IF('TMP Paste'!$F488="","",IF('TMP Paste'!$B488="",$AJ487,'TMP Paste'!$B488))</f>
        <v/>
      </c>
      <c r="AK488" t="str">
        <f>IF('TMP Paste'!$F488="","",N('TMP Paste'!$G488))</f>
        <v/>
      </c>
      <c r="AL488" t="str">
        <f>IF('TMP Paste'!$F488="","",IF('TMP Paste'!$M488="",$AL487,'TMP Paste'!$M488))</f>
        <v/>
      </c>
      <c r="AM488" t="str">
        <f>IF('TMP Paste'!$F488="","",IF('TMP Paste'!$N488="",$AM487,'TMP Paste'!$N488))</f>
        <v/>
      </c>
      <c r="AN488" t="str">
        <f>IF('TMP Paste'!$F488="","",IF('TMP Paste'!$O488="",$AN487,'TMP Paste'!$O488))</f>
        <v/>
      </c>
      <c r="AO488" t="str">
        <f>IF('TMP Paste'!$F488="","",IF('TMP Paste'!$P488="",$AO487,'TMP Paste'!$P488))</f>
        <v/>
      </c>
      <c r="AP488" t="str">
        <f t="shared" si="47"/>
        <v/>
      </c>
      <c r="AQ488" t="str">
        <f>IF($AS488="","",TRIM(IF(COUNTIFS(Calc!$B$2:$B$1601,ROW()-1,Calc!$C$2:$C$1601,"&lt;1")&gt;0,"Ada PO tanpa Koli - cek TMP. ","")&amp;IF(OR($AU488="",$AU488&lt;=0),"Volume kosong/0 - dimensi dikosongkan. ","")&amp;IF(AND($AU488&lt;&gt;"",$AU488&gt;=1000000),"Volume &gt;= 1.000.000 cm3 (di luar aturan) - dimensi dikosongkan. ","")&amp;IF(LEN($R488)&gt;500,"R &gt; 500 karakter.","")))</f>
        <v/>
      </c>
      <c r="AS488" t="str">
        <f>IFERROR(MATCH(ROW()-1,Calc!$J$2:$J$1601,0),"")</f>
        <v/>
      </c>
      <c r="AT488" t="str">
        <f>IFERROR(MATCH(ROW()-1,Calc!$K$2:$K$1601,0),"")</f>
        <v/>
      </c>
      <c r="AU488" t="str">
        <f>IF($AS488="","",IFERROR(INDEX('TMP Paste'!$D$2:$D$1601,$AS488)*1000000/$AB488,""))</f>
        <v/>
      </c>
    </row>
    <row r="489" spans="1:47">
      <c r="A489" t="str">
        <f>IF($AS489="","",INDEX('TMP Paste'!$B$2:$B$1601,$AS489))</f>
        <v/>
      </c>
      <c r="B489" t="str">
        <f>IF($AS489="","",Config!$B$14)</f>
        <v/>
      </c>
      <c r="C489" t="str">
        <f>IF($AS489="","",Config!$B$15)</f>
        <v/>
      </c>
      <c r="D489" t="str">
        <f>IF($AS489="","",INDEX('TMP Paste'!$B$2:$B$1601,$AS489))</f>
        <v/>
      </c>
      <c r="E489" t="str">
        <f>IF($AS489="","",Config!$B$27)</f>
        <v/>
      </c>
      <c r="F489" t="str">
        <f>IF($AS489="","",Config!$B$9)</f>
        <v/>
      </c>
      <c r="G489" t="str">
        <f>IF($AS489="","",Config!$B$10)</f>
        <v/>
      </c>
      <c r="H489" t="str">
        <f>IF($AS489="","",Config!$B$11)</f>
        <v/>
      </c>
      <c r="I489" t="str">
        <f>IF($AS489="","",Config!$B$16)</f>
        <v/>
      </c>
      <c r="J489" t="str">
        <f>IF($AS489="","",INDEX('TMP Paste'!$A$2:$A$1601,$AS489))</f>
        <v/>
      </c>
      <c r="K489" t="str">
        <f>IF($AS489="","",INDEX('TMP Paste'!$L$2:$L$1601,$AS489))</f>
        <v/>
      </c>
      <c r="L489" t="str">
        <f>IF($AS489="","",INDEX('TMP Paste'!$I$2:$I$1601,$AS489))</f>
        <v/>
      </c>
      <c r="M489" t="str">
        <f>IF($AS489="","",Config!$B$16)</f>
        <v/>
      </c>
      <c r="N489" t="str">
        <f t="shared" si="42"/>
        <v/>
      </c>
      <c r="O489" t="str">
        <f>IF($AS489="","",INDEX('TMP Paste'!$K$2:$K$1601,$AS489))</f>
        <v/>
      </c>
      <c r="P489" t="str">
        <f t="shared" si="43"/>
        <v/>
      </c>
      <c r="Q489" t="str">
        <f>IF($AS489="","",INDEX('TMP Paste'!$J$2:$J$1601,$AS489))</f>
        <v/>
      </c>
      <c r="R489" t="str">
        <f>IF($AS489="","",Config!$B$24)</f>
        <v/>
      </c>
      <c r="S489" t="str">
        <f ca="1">IF($AS489="","",TEXT(Config!$B$4,"yyyy-mm-dd"))</f>
        <v/>
      </c>
      <c r="T489" t="str">
        <f>IF($AS489="","",Config!$B$17)</f>
        <v/>
      </c>
      <c r="U489" t="str">
        <f>IF($AS489="","",Config!$B$18)</f>
        <v/>
      </c>
      <c r="V489" t="str">
        <f>IF($AS489="","",Config!$B$19)</f>
        <v/>
      </c>
      <c r="W489" t="str">
        <f>IF($AS489="","",INDEX('TMP Paste'!$C$2:$C$1601,$AS489))</f>
        <v/>
      </c>
      <c r="X489" t="str">
        <f>IF($AS489="","",Config!$B$29)</f>
        <v/>
      </c>
      <c r="Y489" t="str">
        <f>IF($AT489="","",INDEX(Calc!$I$2:$I$1601,$AT489)&amp;" - "&amp;INDEX(Calc!$D$2:$D$1601,$AT489)&amp;" koli")</f>
        <v/>
      </c>
      <c r="Z489" t="str">
        <f>IF($AS489="","",Config!$B$21)</f>
        <v/>
      </c>
      <c r="AA489" t="str">
        <f>IF($AS489="","",Config!$B$22)</f>
        <v/>
      </c>
      <c r="AB489" t="str">
        <f>IF($AT489="","",INDEX(Calc!$D$2:$D$1601,$AT489))</f>
        <v/>
      </c>
      <c r="AC489" t="str">
        <f>IF($AT489="","",INDEX(Calc!$G$2:$G$1601,$AT489))</f>
        <v/>
      </c>
      <c r="AD489" t="str">
        <f>IF($AS489="","",Config!$B$23)</f>
        <v/>
      </c>
      <c r="AE489" t="str">
        <f>IF($AS489="","",Config!$B$28)</f>
        <v/>
      </c>
      <c r="AF489" t="str">
        <f t="shared" si="44"/>
        <v/>
      </c>
      <c r="AG489" t="str">
        <f t="shared" si="45"/>
        <v/>
      </c>
      <c r="AH489" t="str">
        <f t="shared" si="46"/>
        <v/>
      </c>
      <c r="AI489" t="str">
        <f>IF($AG489="","",SUMIF($AG$2:$AG489,$AG489,$AH$2:$AH489))</f>
        <v/>
      </c>
      <c r="AJ489" t="str">
        <f>IF('TMP Paste'!$F489="","",IF('TMP Paste'!$B489="",$AJ488,'TMP Paste'!$B489))</f>
        <v/>
      </c>
      <c r="AK489" t="str">
        <f>IF('TMP Paste'!$F489="","",N('TMP Paste'!$G489))</f>
        <v/>
      </c>
      <c r="AL489" t="str">
        <f>IF('TMP Paste'!$F489="","",IF('TMP Paste'!$M489="",$AL488,'TMP Paste'!$M489))</f>
        <v/>
      </c>
      <c r="AM489" t="str">
        <f>IF('TMP Paste'!$F489="","",IF('TMP Paste'!$N489="",$AM488,'TMP Paste'!$N489))</f>
        <v/>
      </c>
      <c r="AN489" t="str">
        <f>IF('TMP Paste'!$F489="","",IF('TMP Paste'!$O489="",$AN488,'TMP Paste'!$O489))</f>
        <v/>
      </c>
      <c r="AO489" t="str">
        <f>IF('TMP Paste'!$F489="","",IF('TMP Paste'!$P489="",$AO488,'TMP Paste'!$P489))</f>
        <v/>
      </c>
      <c r="AP489" t="str">
        <f t="shared" si="47"/>
        <v/>
      </c>
      <c r="AQ489" t="str">
        <f>IF($AS489="","",TRIM(IF(COUNTIFS(Calc!$B$2:$B$1601,ROW()-1,Calc!$C$2:$C$1601,"&lt;1")&gt;0,"Ada PO tanpa Koli - cek TMP. ","")&amp;IF(OR($AU489="",$AU489&lt;=0),"Volume kosong/0 - dimensi dikosongkan. ","")&amp;IF(AND($AU489&lt;&gt;"",$AU489&gt;=1000000),"Volume &gt;= 1.000.000 cm3 (di luar aturan) - dimensi dikosongkan. ","")&amp;IF(LEN($R489)&gt;500,"R &gt; 500 karakter.","")))</f>
        <v/>
      </c>
      <c r="AS489" t="str">
        <f>IFERROR(MATCH(ROW()-1,Calc!$J$2:$J$1601,0),"")</f>
        <v/>
      </c>
      <c r="AT489" t="str">
        <f>IFERROR(MATCH(ROW()-1,Calc!$K$2:$K$1601,0),"")</f>
        <v/>
      </c>
      <c r="AU489" t="str">
        <f>IF($AS489="","",IFERROR(INDEX('TMP Paste'!$D$2:$D$1601,$AS489)*1000000/$AB489,""))</f>
        <v/>
      </c>
    </row>
    <row r="490" spans="1:47">
      <c r="A490" t="str">
        <f>IF($AS490="","",INDEX('TMP Paste'!$B$2:$B$1601,$AS490))</f>
        <v/>
      </c>
      <c r="B490" t="str">
        <f>IF($AS490="","",Config!$B$14)</f>
        <v/>
      </c>
      <c r="C490" t="str">
        <f>IF($AS490="","",Config!$B$15)</f>
        <v/>
      </c>
      <c r="D490" t="str">
        <f>IF($AS490="","",INDEX('TMP Paste'!$B$2:$B$1601,$AS490))</f>
        <v/>
      </c>
      <c r="E490" t="str">
        <f>IF($AS490="","",Config!$B$27)</f>
        <v/>
      </c>
      <c r="F490" t="str">
        <f>IF($AS490="","",Config!$B$9)</f>
        <v/>
      </c>
      <c r="G490" t="str">
        <f>IF($AS490="","",Config!$B$10)</f>
        <v/>
      </c>
      <c r="H490" t="str">
        <f>IF($AS490="","",Config!$B$11)</f>
        <v/>
      </c>
      <c r="I490" t="str">
        <f>IF($AS490="","",Config!$B$16)</f>
        <v/>
      </c>
      <c r="J490" t="str">
        <f>IF($AS490="","",INDEX('TMP Paste'!$A$2:$A$1601,$AS490))</f>
        <v/>
      </c>
      <c r="K490" t="str">
        <f>IF($AS490="","",INDEX('TMP Paste'!$L$2:$L$1601,$AS490))</f>
        <v/>
      </c>
      <c r="L490" t="str">
        <f>IF($AS490="","",INDEX('TMP Paste'!$I$2:$I$1601,$AS490))</f>
        <v/>
      </c>
      <c r="M490" t="str">
        <f>IF($AS490="","",Config!$B$16)</f>
        <v/>
      </c>
      <c r="N490" t="str">
        <f t="shared" si="42"/>
        <v/>
      </c>
      <c r="O490" t="str">
        <f>IF($AS490="","",INDEX('TMP Paste'!$K$2:$K$1601,$AS490))</f>
        <v/>
      </c>
      <c r="P490" t="str">
        <f t="shared" si="43"/>
        <v/>
      </c>
      <c r="Q490" t="str">
        <f>IF($AS490="","",INDEX('TMP Paste'!$J$2:$J$1601,$AS490))</f>
        <v/>
      </c>
      <c r="R490" t="str">
        <f>IF($AS490="","",Config!$B$24)</f>
        <v/>
      </c>
      <c r="S490" t="str">
        <f ca="1">IF($AS490="","",TEXT(Config!$B$4,"yyyy-mm-dd"))</f>
        <v/>
      </c>
      <c r="T490" t="str">
        <f>IF($AS490="","",Config!$B$17)</f>
        <v/>
      </c>
      <c r="U490" t="str">
        <f>IF($AS490="","",Config!$B$18)</f>
        <v/>
      </c>
      <c r="V490" t="str">
        <f>IF($AS490="","",Config!$B$19)</f>
        <v/>
      </c>
      <c r="W490" t="str">
        <f>IF($AS490="","",INDEX('TMP Paste'!$C$2:$C$1601,$AS490))</f>
        <v/>
      </c>
      <c r="X490" t="str">
        <f>IF($AS490="","",Config!$B$29)</f>
        <v/>
      </c>
      <c r="Y490" t="str">
        <f>IF($AT490="","",INDEX(Calc!$I$2:$I$1601,$AT490)&amp;" - "&amp;INDEX(Calc!$D$2:$D$1601,$AT490)&amp;" koli")</f>
        <v/>
      </c>
      <c r="Z490" t="str">
        <f>IF($AS490="","",Config!$B$21)</f>
        <v/>
      </c>
      <c r="AA490" t="str">
        <f>IF($AS490="","",Config!$B$22)</f>
        <v/>
      </c>
      <c r="AB490" t="str">
        <f>IF($AT490="","",INDEX(Calc!$D$2:$D$1601,$AT490))</f>
        <v/>
      </c>
      <c r="AC490" t="str">
        <f>IF($AT490="","",INDEX(Calc!$G$2:$G$1601,$AT490))</f>
        <v/>
      </c>
      <c r="AD490" t="str">
        <f>IF($AS490="","",Config!$B$23)</f>
        <v/>
      </c>
      <c r="AE490" t="str">
        <f>IF($AS490="","",Config!$B$28)</f>
        <v/>
      </c>
      <c r="AF490" t="str">
        <f t="shared" si="44"/>
        <v/>
      </c>
      <c r="AG490" t="str">
        <f t="shared" si="45"/>
        <v/>
      </c>
      <c r="AH490" t="str">
        <f t="shared" si="46"/>
        <v/>
      </c>
      <c r="AI490" t="str">
        <f>IF($AG490="","",SUMIF($AG$2:$AG490,$AG490,$AH$2:$AH490))</f>
        <v/>
      </c>
      <c r="AJ490" t="str">
        <f>IF('TMP Paste'!$F490="","",IF('TMP Paste'!$B490="",$AJ489,'TMP Paste'!$B490))</f>
        <v/>
      </c>
      <c r="AK490" t="str">
        <f>IF('TMP Paste'!$F490="","",N('TMP Paste'!$G490))</f>
        <v/>
      </c>
      <c r="AL490" t="str">
        <f>IF('TMP Paste'!$F490="","",IF('TMP Paste'!$M490="",$AL489,'TMP Paste'!$M490))</f>
        <v/>
      </c>
      <c r="AM490" t="str">
        <f>IF('TMP Paste'!$F490="","",IF('TMP Paste'!$N490="",$AM489,'TMP Paste'!$N490))</f>
        <v/>
      </c>
      <c r="AN490" t="str">
        <f>IF('TMP Paste'!$F490="","",IF('TMP Paste'!$O490="",$AN489,'TMP Paste'!$O490))</f>
        <v/>
      </c>
      <c r="AO490" t="str">
        <f>IF('TMP Paste'!$F490="","",IF('TMP Paste'!$P490="",$AO489,'TMP Paste'!$P490))</f>
        <v/>
      </c>
      <c r="AP490" t="str">
        <f t="shared" si="47"/>
        <v/>
      </c>
      <c r="AQ490" t="str">
        <f>IF($AS490="","",TRIM(IF(COUNTIFS(Calc!$B$2:$B$1601,ROW()-1,Calc!$C$2:$C$1601,"&lt;1")&gt;0,"Ada PO tanpa Koli - cek TMP. ","")&amp;IF(OR($AU490="",$AU490&lt;=0),"Volume kosong/0 - dimensi dikosongkan. ","")&amp;IF(AND($AU490&lt;&gt;"",$AU490&gt;=1000000),"Volume &gt;= 1.000.000 cm3 (di luar aturan) - dimensi dikosongkan. ","")&amp;IF(LEN($R490)&gt;500,"R &gt; 500 karakter.","")))</f>
        <v/>
      </c>
      <c r="AS490" t="str">
        <f>IFERROR(MATCH(ROW()-1,Calc!$J$2:$J$1601,0),"")</f>
        <v/>
      </c>
      <c r="AT490" t="str">
        <f>IFERROR(MATCH(ROW()-1,Calc!$K$2:$K$1601,0),"")</f>
        <v/>
      </c>
      <c r="AU490" t="str">
        <f>IF($AS490="","",IFERROR(INDEX('TMP Paste'!$D$2:$D$1601,$AS490)*1000000/$AB490,""))</f>
        <v/>
      </c>
    </row>
    <row r="491" spans="1:47">
      <c r="A491" t="str">
        <f>IF($AS491="","",INDEX('TMP Paste'!$B$2:$B$1601,$AS491))</f>
        <v/>
      </c>
      <c r="B491" t="str">
        <f>IF($AS491="","",Config!$B$14)</f>
        <v/>
      </c>
      <c r="C491" t="str">
        <f>IF($AS491="","",Config!$B$15)</f>
        <v/>
      </c>
      <c r="D491" t="str">
        <f>IF($AS491="","",INDEX('TMP Paste'!$B$2:$B$1601,$AS491))</f>
        <v/>
      </c>
      <c r="E491" t="str">
        <f>IF($AS491="","",Config!$B$27)</f>
        <v/>
      </c>
      <c r="F491" t="str">
        <f>IF($AS491="","",Config!$B$9)</f>
        <v/>
      </c>
      <c r="G491" t="str">
        <f>IF($AS491="","",Config!$B$10)</f>
        <v/>
      </c>
      <c r="H491" t="str">
        <f>IF($AS491="","",Config!$B$11)</f>
        <v/>
      </c>
      <c r="I491" t="str">
        <f>IF($AS491="","",Config!$B$16)</f>
        <v/>
      </c>
      <c r="J491" t="str">
        <f>IF($AS491="","",INDEX('TMP Paste'!$A$2:$A$1601,$AS491))</f>
        <v/>
      </c>
      <c r="K491" t="str">
        <f>IF($AS491="","",INDEX('TMP Paste'!$L$2:$L$1601,$AS491))</f>
        <v/>
      </c>
      <c r="L491" t="str">
        <f>IF($AS491="","",INDEX('TMP Paste'!$I$2:$I$1601,$AS491))</f>
        <v/>
      </c>
      <c r="M491" t="str">
        <f>IF($AS491="","",Config!$B$16)</f>
        <v/>
      </c>
      <c r="N491" t="str">
        <f t="shared" si="42"/>
        <v/>
      </c>
      <c r="O491" t="str">
        <f>IF($AS491="","",INDEX('TMP Paste'!$K$2:$K$1601,$AS491))</f>
        <v/>
      </c>
      <c r="P491" t="str">
        <f t="shared" si="43"/>
        <v/>
      </c>
      <c r="Q491" t="str">
        <f>IF($AS491="","",INDEX('TMP Paste'!$J$2:$J$1601,$AS491))</f>
        <v/>
      </c>
      <c r="R491" t="str">
        <f>IF($AS491="","",Config!$B$24)</f>
        <v/>
      </c>
      <c r="S491" t="str">
        <f ca="1">IF($AS491="","",TEXT(Config!$B$4,"yyyy-mm-dd"))</f>
        <v/>
      </c>
      <c r="T491" t="str">
        <f>IF($AS491="","",Config!$B$17)</f>
        <v/>
      </c>
      <c r="U491" t="str">
        <f>IF($AS491="","",Config!$B$18)</f>
        <v/>
      </c>
      <c r="V491" t="str">
        <f>IF($AS491="","",Config!$B$19)</f>
        <v/>
      </c>
      <c r="W491" t="str">
        <f>IF($AS491="","",INDEX('TMP Paste'!$C$2:$C$1601,$AS491))</f>
        <v/>
      </c>
      <c r="X491" t="str">
        <f>IF($AS491="","",Config!$B$29)</f>
        <v/>
      </c>
      <c r="Y491" t="str">
        <f>IF($AT491="","",INDEX(Calc!$I$2:$I$1601,$AT491)&amp;" - "&amp;INDEX(Calc!$D$2:$D$1601,$AT491)&amp;" koli")</f>
        <v/>
      </c>
      <c r="Z491" t="str">
        <f>IF($AS491="","",Config!$B$21)</f>
        <v/>
      </c>
      <c r="AA491" t="str">
        <f>IF($AS491="","",Config!$B$22)</f>
        <v/>
      </c>
      <c r="AB491" t="str">
        <f>IF($AT491="","",INDEX(Calc!$D$2:$D$1601,$AT491))</f>
        <v/>
      </c>
      <c r="AC491" t="str">
        <f>IF($AT491="","",INDEX(Calc!$G$2:$G$1601,$AT491))</f>
        <v/>
      </c>
      <c r="AD491" t="str">
        <f>IF($AS491="","",Config!$B$23)</f>
        <v/>
      </c>
      <c r="AE491" t="str">
        <f>IF($AS491="","",Config!$B$28)</f>
        <v/>
      </c>
      <c r="AF491" t="str">
        <f t="shared" si="44"/>
        <v/>
      </c>
      <c r="AG491" t="str">
        <f t="shared" si="45"/>
        <v/>
      </c>
      <c r="AH491" t="str">
        <f t="shared" si="46"/>
        <v/>
      </c>
      <c r="AI491" t="str">
        <f>IF($AG491="","",SUMIF($AG$2:$AG491,$AG491,$AH$2:$AH491))</f>
        <v/>
      </c>
      <c r="AJ491" t="str">
        <f>IF('TMP Paste'!$F491="","",IF('TMP Paste'!$B491="",$AJ490,'TMP Paste'!$B491))</f>
        <v/>
      </c>
      <c r="AK491" t="str">
        <f>IF('TMP Paste'!$F491="","",N('TMP Paste'!$G491))</f>
        <v/>
      </c>
      <c r="AL491" t="str">
        <f>IF('TMP Paste'!$F491="","",IF('TMP Paste'!$M491="",$AL490,'TMP Paste'!$M491))</f>
        <v/>
      </c>
      <c r="AM491" t="str">
        <f>IF('TMP Paste'!$F491="","",IF('TMP Paste'!$N491="",$AM490,'TMP Paste'!$N491))</f>
        <v/>
      </c>
      <c r="AN491" t="str">
        <f>IF('TMP Paste'!$F491="","",IF('TMP Paste'!$O491="",$AN490,'TMP Paste'!$O491))</f>
        <v/>
      </c>
      <c r="AO491" t="str">
        <f>IF('TMP Paste'!$F491="","",IF('TMP Paste'!$P491="",$AO490,'TMP Paste'!$P491))</f>
        <v/>
      </c>
      <c r="AP491" t="str">
        <f t="shared" si="47"/>
        <v/>
      </c>
      <c r="AQ491" t="str">
        <f>IF($AS491="","",TRIM(IF(COUNTIFS(Calc!$B$2:$B$1601,ROW()-1,Calc!$C$2:$C$1601,"&lt;1")&gt;0,"Ada PO tanpa Koli - cek TMP. ","")&amp;IF(OR($AU491="",$AU491&lt;=0),"Volume kosong/0 - dimensi dikosongkan. ","")&amp;IF(AND($AU491&lt;&gt;"",$AU491&gt;=1000000),"Volume &gt;= 1.000.000 cm3 (di luar aturan) - dimensi dikosongkan. ","")&amp;IF(LEN($R491)&gt;500,"R &gt; 500 karakter.","")))</f>
        <v/>
      </c>
      <c r="AS491" t="str">
        <f>IFERROR(MATCH(ROW()-1,Calc!$J$2:$J$1601,0),"")</f>
        <v/>
      </c>
      <c r="AT491" t="str">
        <f>IFERROR(MATCH(ROW()-1,Calc!$K$2:$K$1601,0),"")</f>
        <v/>
      </c>
      <c r="AU491" t="str">
        <f>IF($AS491="","",IFERROR(INDEX('TMP Paste'!$D$2:$D$1601,$AS491)*1000000/$AB491,""))</f>
        <v/>
      </c>
    </row>
    <row r="492" spans="1:47">
      <c r="A492" t="str">
        <f>IF($AS492="","",INDEX('TMP Paste'!$B$2:$B$1601,$AS492))</f>
        <v/>
      </c>
      <c r="B492" t="str">
        <f>IF($AS492="","",Config!$B$14)</f>
        <v/>
      </c>
      <c r="C492" t="str">
        <f>IF($AS492="","",Config!$B$15)</f>
        <v/>
      </c>
      <c r="D492" t="str">
        <f>IF($AS492="","",INDEX('TMP Paste'!$B$2:$B$1601,$AS492))</f>
        <v/>
      </c>
      <c r="E492" t="str">
        <f>IF($AS492="","",Config!$B$27)</f>
        <v/>
      </c>
      <c r="F492" t="str">
        <f>IF($AS492="","",Config!$B$9)</f>
        <v/>
      </c>
      <c r="G492" t="str">
        <f>IF($AS492="","",Config!$B$10)</f>
        <v/>
      </c>
      <c r="H492" t="str">
        <f>IF($AS492="","",Config!$B$11)</f>
        <v/>
      </c>
      <c r="I492" t="str">
        <f>IF($AS492="","",Config!$B$16)</f>
        <v/>
      </c>
      <c r="J492" t="str">
        <f>IF($AS492="","",INDEX('TMP Paste'!$A$2:$A$1601,$AS492))</f>
        <v/>
      </c>
      <c r="K492" t="str">
        <f>IF($AS492="","",INDEX('TMP Paste'!$L$2:$L$1601,$AS492))</f>
        <v/>
      </c>
      <c r="L492" t="str">
        <f>IF($AS492="","",INDEX('TMP Paste'!$I$2:$I$1601,$AS492))</f>
        <v/>
      </c>
      <c r="M492" t="str">
        <f>IF($AS492="","",Config!$B$16)</f>
        <v/>
      </c>
      <c r="N492" t="str">
        <f t="shared" si="42"/>
        <v/>
      </c>
      <c r="O492" t="str">
        <f>IF($AS492="","",INDEX('TMP Paste'!$K$2:$K$1601,$AS492))</f>
        <v/>
      </c>
      <c r="P492" t="str">
        <f t="shared" si="43"/>
        <v/>
      </c>
      <c r="Q492" t="str">
        <f>IF($AS492="","",INDEX('TMP Paste'!$J$2:$J$1601,$AS492))</f>
        <v/>
      </c>
      <c r="R492" t="str">
        <f>IF($AS492="","",Config!$B$24)</f>
        <v/>
      </c>
      <c r="S492" t="str">
        <f ca="1">IF($AS492="","",TEXT(Config!$B$4,"yyyy-mm-dd"))</f>
        <v/>
      </c>
      <c r="T492" t="str">
        <f>IF($AS492="","",Config!$B$17)</f>
        <v/>
      </c>
      <c r="U492" t="str">
        <f>IF($AS492="","",Config!$B$18)</f>
        <v/>
      </c>
      <c r="V492" t="str">
        <f>IF($AS492="","",Config!$B$19)</f>
        <v/>
      </c>
      <c r="W492" t="str">
        <f>IF($AS492="","",INDEX('TMP Paste'!$C$2:$C$1601,$AS492))</f>
        <v/>
      </c>
      <c r="X492" t="str">
        <f>IF($AS492="","",Config!$B$29)</f>
        <v/>
      </c>
      <c r="Y492" t="str">
        <f>IF($AT492="","",INDEX(Calc!$I$2:$I$1601,$AT492)&amp;" - "&amp;INDEX(Calc!$D$2:$D$1601,$AT492)&amp;" koli")</f>
        <v/>
      </c>
      <c r="Z492" t="str">
        <f>IF($AS492="","",Config!$B$21)</f>
        <v/>
      </c>
      <c r="AA492" t="str">
        <f>IF($AS492="","",Config!$B$22)</f>
        <v/>
      </c>
      <c r="AB492" t="str">
        <f>IF($AT492="","",INDEX(Calc!$D$2:$D$1601,$AT492))</f>
        <v/>
      </c>
      <c r="AC492" t="str">
        <f>IF($AT492="","",INDEX(Calc!$G$2:$G$1601,$AT492))</f>
        <v/>
      </c>
      <c r="AD492" t="str">
        <f>IF($AS492="","",Config!$B$23)</f>
        <v/>
      </c>
      <c r="AE492" t="str">
        <f>IF($AS492="","",Config!$B$28)</f>
        <v/>
      </c>
      <c r="AF492" t="str">
        <f t="shared" si="44"/>
        <v/>
      </c>
      <c r="AG492" t="str">
        <f t="shared" si="45"/>
        <v/>
      </c>
      <c r="AH492" t="str">
        <f t="shared" si="46"/>
        <v/>
      </c>
      <c r="AI492" t="str">
        <f>IF($AG492="","",SUMIF($AG$2:$AG492,$AG492,$AH$2:$AH492))</f>
        <v/>
      </c>
      <c r="AJ492" t="str">
        <f>IF('TMP Paste'!$F492="","",IF('TMP Paste'!$B492="",$AJ491,'TMP Paste'!$B492))</f>
        <v/>
      </c>
      <c r="AK492" t="str">
        <f>IF('TMP Paste'!$F492="","",N('TMP Paste'!$G492))</f>
        <v/>
      </c>
      <c r="AL492" t="str">
        <f>IF('TMP Paste'!$F492="","",IF('TMP Paste'!$M492="",$AL491,'TMP Paste'!$M492))</f>
        <v/>
      </c>
      <c r="AM492" t="str">
        <f>IF('TMP Paste'!$F492="","",IF('TMP Paste'!$N492="",$AM491,'TMP Paste'!$N492))</f>
        <v/>
      </c>
      <c r="AN492" t="str">
        <f>IF('TMP Paste'!$F492="","",IF('TMP Paste'!$O492="",$AN491,'TMP Paste'!$O492))</f>
        <v/>
      </c>
      <c r="AO492" t="str">
        <f>IF('TMP Paste'!$F492="","",IF('TMP Paste'!$P492="",$AO491,'TMP Paste'!$P492))</f>
        <v/>
      </c>
      <c r="AP492" t="str">
        <f t="shared" si="47"/>
        <v/>
      </c>
      <c r="AQ492" t="str">
        <f>IF($AS492="","",TRIM(IF(COUNTIFS(Calc!$B$2:$B$1601,ROW()-1,Calc!$C$2:$C$1601,"&lt;1")&gt;0,"Ada PO tanpa Koli - cek TMP. ","")&amp;IF(OR($AU492="",$AU492&lt;=0),"Volume kosong/0 - dimensi dikosongkan. ","")&amp;IF(AND($AU492&lt;&gt;"",$AU492&gt;=1000000),"Volume &gt;= 1.000.000 cm3 (di luar aturan) - dimensi dikosongkan. ","")&amp;IF(LEN($R492)&gt;500,"R &gt; 500 karakter.","")))</f>
        <v/>
      </c>
      <c r="AS492" t="str">
        <f>IFERROR(MATCH(ROW()-1,Calc!$J$2:$J$1601,0),"")</f>
        <v/>
      </c>
      <c r="AT492" t="str">
        <f>IFERROR(MATCH(ROW()-1,Calc!$K$2:$K$1601,0),"")</f>
        <v/>
      </c>
      <c r="AU492" t="str">
        <f>IF($AS492="","",IFERROR(INDEX('TMP Paste'!$D$2:$D$1601,$AS492)*1000000/$AB492,""))</f>
        <v/>
      </c>
    </row>
    <row r="493" spans="1:47">
      <c r="A493" t="str">
        <f>IF($AS493="","",INDEX('TMP Paste'!$B$2:$B$1601,$AS493))</f>
        <v/>
      </c>
      <c r="B493" t="str">
        <f>IF($AS493="","",Config!$B$14)</f>
        <v/>
      </c>
      <c r="C493" t="str">
        <f>IF($AS493="","",Config!$B$15)</f>
        <v/>
      </c>
      <c r="D493" t="str">
        <f>IF($AS493="","",INDEX('TMP Paste'!$B$2:$B$1601,$AS493))</f>
        <v/>
      </c>
      <c r="E493" t="str">
        <f>IF($AS493="","",Config!$B$27)</f>
        <v/>
      </c>
      <c r="F493" t="str">
        <f>IF($AS493="","",Config!$B$9)</f>
        <v/>
      </c>
      <c r="G493" t="str">
        <f>IF($AS493="","",Config!$B$10)</f>
        <v/>
      </c>
      <c r="H493" t="str">
        <f>IF($AS493="","",Config!$B$11)</f>
        <v/>
      </c>
      <c r="I493" t="str">
        <f>IF($AS493="","",Config!$B$16)</f>
        <v/>
      </c>
      <c r="J493" t="str">
        <f>IF($AS493="","",INDEX('TMP Paste'!$A$2:$A$1601,$AS493))</f>
        <v/>
      </c>
      <c r="K493" t="str">
        <f>IF($AS493="","",INDEX('TMP Paste'!$L$2:$L$1601,$AS493))</f>
        <v/>
      </c>
      <c r="L493" t="str">
        <f>IF($AS493="","",INDEX('TMP Paste'!$I$2:$I$1601,$AS493))</f>
        <v/>
      </c>
      <c r="M493" t="str">
        <f>IF($AS493="","",Config!$B$16)</f>
        <v/>
      </c>
      <c r="N493" t="str">
        <f t="shared" si="42"/>
        <v/>
      </c>
      <c r="O493" t="str">
        <f>IF($AS493="","",INDEX('TMP Paste'!$K$2:$K$1601,$AS493))</f>
        <v/>
      </c>
      <c r="P493" t="str">
        <f t="shared" si="43"/>
        <v/>
      </c>
      <c r="Q493" t="str">
        <f>IF($AS493="","",INDEX('TMP Paste'!$J$2:$J$1601,$AS493))</f>
        <v/>
      </c>
      <c r="R493" t="str">
        <f>IF($AS493="","",Config!$B$24)</f>
        <v/>
      </c>
      <c r="S493" t="str">
        <f ca="1">IF($AS493="","",TEXT(Config!$B$4,"yyyy-mm-dd"))</f>
        <v/>
      </c>
      <c r="T493" t="str">
        <f>IF($AS493="","",Config!$B$17)</f>
        <v/>
      </c>
      <c r="U493" t="str">
        <f>IF($AS493="","",Config!$B$18)</f>
        <v/>
      </c>
      <c r="V493" t="str">
        <f>IF($AS493="","",Config!$B$19)</f>
        <v/>
      </c>
      <c r="W493" t="str">
        <f>IF($AS493="","",INDEX('TMP Paste'!$C$2:$C$1601,$AS493))</f>
        <v/>
      </c>
      <c r="X493" t="str">
        <f>IF($AS493="","",Config!$B$29)</f>
        <v/>
      </c>
      <c r="Y493" t="str">
        <f>IF($AT493="","",INDEX(Calc!$I$2:$I$1601,$AT493)&amp;" - "&amp;INDEX(Calc!$D$2:$D$1601,$AT493)&amp;" koli")</f>
        <v/>
      </c>
      <c r="Z493" t="str">
        <f>IF($AS493="","",Config!$B$21)</f>
        <v/>
      </c>
      <c r="AA493" t="str">
        <f>IF($AS493="","",Config!$B$22)</f>
        <v/>
      </c>
      <c r="AB493" t="str">
        <f>IF($AT493="","",INDEX(Calc!$D$2:$D$1601,$AT493))</f>
        <v/>
      </c>
      <c r="AC493" t="str">
        <f>IF($AT493="","",INDEX(Calc!$G$2:$G$1601,$AT493))</f>
        <v/>
      </c>
      <c r="AD493" t="str">
        <f>IF($AS493="","",Config!$B$23)</f>
        <v/>
      </c>
      <c r="AE493" t="str">
        <f>IF($AS493="","",Config!$B$28)</f>
        <v/>
      </c>
      <c r="AF493" t="str">
        <f t="shared" si="44"/>
        <v/>
      </c>
      <c r="AG493" t="str">
        <f t="shared" si="45"/>
        <v/>
      </c>
      <c r="AH493" t="str">
        <f t="shared" si="46"/>
        <v/>
      </c>
      <c r="AI493" t="str">
        <f>IF($AG493="","",SUMIF($AG$2:$AG493,$AG493,$AH$2:$AH493))</f>
        <v/>
      </c>
      <c r="AJ493" t="str">
        <f>IF('TMP Paste'!$F493="","",IF('TMP Paste'!$B493="",$AJ492,'TMP Paste'!$B493))</f>
        <v/>
      </c>
      <c r="AK493" t="str">
        <f>IF('TMP Paste'!$F493="","",N('TMP Paste'!$G493))</f>
        <v/>
      </c>
      <c r="AL493" t="str">
        <f>IF('TMP Paste'!$F493="","",IF('TMP Paste'!$M493="",$AL492,'TMP Paste'!$M493))</f>
        <v/>
      </c>
      <c r="AM493" t="str">
        <f>IF('TMP Paste'!$F493="","",IF('TMP Paste'!$N493="",$AM492,'TMP Paste'!$N493))</f>
        <v/>
      </c>
      <c r="AN493" t="str">
        <f>IF('TMP Paste'!$F493="","",IF('TMP Paste'!$O493="",$AN492,'TMP Paste'!$O493))</f>
        <v/>
      </c>
      <c r="AO493" t="str">
        <f>IF('TMP Paste'!$F493="","",IF('TMP Paste'!$P493="",$AO492,'TMP Paste'!$P493))</f>
        <v/>
      </c>
      <c r="AP493" t="str">
        <f t="shared" si="47"/>
        <v/>
      </c>
      <c r="AQ493" t="str">
        <f>IF($AS493="","",TRIM(IF(COUNTIFS(Calc!$B$2:$B$1601,ROW()-1,Calc!$C$2:$C$1601,"&lt;1")&gt;0,"Ada PO tanpa Koli - cek TMP. ","")&amp;IF(OR($AU493="",$AU493&lt;=0),"Volume kosong/0 - dimensi dikosongkan. ","")&amp;IF(AND($AU493&lt;&gt;"",$AU493&gt;=1000000),"Volume &gt;= 1.000.000 cm3 (di luar aturan) - dimensi dikosongkan. ","")&amp;IF(LEN($R493)&gt;500,"R &gt; 500 karakter.","")))</f>
        <v/>
      </c>
      <c r="AS493" t="str">
        <f>IFERROR(MATCH(ROW()-1,Calc!$J$2:$J$1601,0),"")</f>
        <v/>
      </c>
      <c r="AT493" t="str">
        <f>IFERROR(MATCH(ROW()-1,Calc!$K$2:$K$1601,0),"")</f>
        <v/>
      </c>
      <c r="AU493" t="str">
        <f>IF($AS493="","",IFERROR(INDEX('TMP Paste'!$D$2:$D$1601,$AS493)*1000000/$AB493,""))</f>
        <v/>
      </c>
    </row>
    <row r="494" spans="1:47">
      <c r="A494" t="str">
        <f>IF($AS494="","",INDEX('TMP Paste'!$B$2:$B$1601,$AS494))</f>
        <v/>
      </c>
      <c r="B494" t="str">
        <f>IF($AS494="","",Config!$B$14)</f>
        <v/>
      </c>
      <c r="C494" t="str">
        <f>IF($AS494="","",Config!$B$15)</f>
        <v/>
      </c>
      <c r="D494" t="str">
        <f>IF($AS494="","",INDEX('TMP Paste'!$B$2:$B$1601,$AS494))</f>
        <v/>
      </c>
      <c r="E494" t="str">
        <f>IF($AS494="","",Config!$B$27)</f>
        <v/>
      </c>
      <c r="F494" t="str">
        <f>IF($AS494="","",Config!$B$9)</f>
        <v/>
      </c>
      <c r="G494" t="str">
        <f>IF($AS494="","",Config!$B$10)</f>
        <v/>
      </c>
      <c r="H494" t="str">
        <f>IF($AS494="","",Config!$B$11)</f>
        <v/>
      </c>
      <c r="I494" t="str">
        <f>IF($AS494="","",Config!$B$16)</f>
        <v/>
      </c>
      <c r="J494" t="str">
        <f>IF($AS494="","",INDEX('TMP Paste'!$A$2:$A$1601,$AS494))</f>
        <v/>
      </c>
      <c r="K494" t="str">
        <f>IF($AS494="","",INDEX('TMP Paste'!$L$2:$L$1601,$AS494))</f>
        <v/>
      </c>
      <c r="L494" t="str">
        <f>IF($AS494="","",INDEX('TMP Paste'!$I$2:$I$1601,$AS494))</f>
        <v/>
      </c>
      <c r="M494" t="str">
        <f>IF($AS494="","",Config!$B$16)</f>
        <v/>
      </c>
      <c r="N494" t="str">
        <f t="shared" si="42"/>
        <v/>
      </c>
      <c r="O494" t="str">
        <f>IF($AS494="","",INDEX('TMP Paste'!$K$2:$K$1601,$AS494))</f>
        <v/>
      </c>
      <c r="P494" t="str">
        <f t="shared" si="43"/>
        <v/>
      </c>
      <c r="Q494" t="str">
        <f>IF($AS494="","",INDEX('TMP Paste'!$J$2:$J$1601,$AS494))</f>
        <v/>
      </c>
      <c r="R494" t="str">
        <f>IF($AS494="","",Config!$B$24)</f>
        <v/>
      </c>
      <c r="S494" t="str">
        <f ca="1">IF($AS494="","",TEXT(Config!$B$4,"yyyy-mm-dd"))</f>
        <v/>
      </c>
      <c r="T494" t="str">
        <f>IF($AS494="","",Config!$B$17)</f>
        <v/>
      </c>
      <c r="U494" t="str">
        <f>IF($AS494="","",Config!$B$18)</f>
        <v/>
      </c>
      <c r="V494" t="str">
        <f>IF($AS494="","",Config!$B$19)</f>
        <v/>
      </c>
      <c r="W494" t="str">
        <f>IF($AS494="","",INDEX('TMP Paste'!$C$2:$C$1601,$AS494))</f>
        <v/>
      </c>
      <c r="X494" t="str">
        <f>IF($AS494="","",Config!$B$29)</f>
        <v/>
      </c>
      <c r="Y494" t="str">
        <f>IF($AT494="","",INDEX(Calc!$I$2:$I$1601,$AT494)&amp;" - "&amp;INDEX(Calc!$D$2:$D$1601,$AT494)&amp;" koli")</f>
        <v/>
      </c>
      <c r="Z494" t="str">
        <f>IF($AS494="","",Config!$B$21)</f>
        <v/>
      </c>
      <c r="AA494" t="str">
        <f>IF($AS494="","",Config!$B$22)</f>
        <v/>
      </c>
      <c r="AB494" t="str">
        <f>IF($AT494="","",INDEX(Calc!$D$2:$D$1601,$AT494))</f>
        <v/>
      </c>
      <c r="AC494" t="str">
        <f>IF($AT494="","",INDEX(Calc!$G$2:$G$1601,$AT494))</f>
        <v/>
      </c>
      <c r="AD494" t="str">
        <f>IF($AS494="","",Config!$B$23)</f>
        <v/>
      </c>
      <c r="AE494" t="str">
        <f>IF($AS494="","",Config!$B$28)</f>
        <v/>
      </c>
      <c r="AF494" t="str">
        <f t="shared" si="44"/>
        <v/>
      </c>
      <c r="AG494" t="str">
        <f t="shared" si="45"/>
        <v/>
      </c>
      <c r="AH494" t="str">
        <f t="shared" si="46"/>
        <v/>
      </c>
      <c r="AI494" t="str">
        <f>IF($AG494="","",SUMIF($AG$2:$AG494,$AG494,$AH$2:$AH494))</f>
        <v/>
      </c>
      <c r="AJ494" t="str">
        <f>IF('TMP Paste'!$F494="","",IF('TMP Paste'!$B494="",$AJ493,'TMP Paste'!$B494))</f>
        <v/>
      </c>
      <c r="AK494" t="str">
        <f>IF('TMP Paste'!$F494="","",N('TMP Paste'!$G494))</f>
        <v/>
      </c>
      <c r="AL494" t="str">
        <f>IF('TMP Paste'!$F494="","",IF('TMP Paste'!$M494="",$AL493,'TMP Paste'!$M494))</f>
        <v/>
      </c>
      <c r="AM494" t="str">
        <f>IF('TMP Paste'!$F494="","",IF('TMP Paste'!$N494="",$AM493,'TMP Paste'!$N494))</f>
        <v/>
      </c>
      <c r="AN494" t="str">
        <f>IF('TMP Paste'!$F494="","",IF('TMP Paste'!$O494="",$AN493,'TMP Paste'!$O494))</f>
        <v/>
      </c>
      <c r="AO494" t="str">
        <f>IF('TMP Paste'!$F494="","",IF('TMP Paste'!$P494="",$AO493,'TMP Paste'!$P494))</f>
        <v/>
      </c>
      <c r="AP494" t="str">
        <f t="shared" si="47"/>
        <v/>
      </c>
      <c r="AQ494" t="str">
        <f>IF($AS494="","",TRIM(IF(COUNTIFS(Calc!$B$2:$B$1601,ROW()-1,Calc!$C$2:$C$1601,"&lt;1")&gt;0,"Ada PO tanpa Koli - cek TMP. ","")&amp;IF(OR($AU494="",$AU494&lt;=0),"Volume kosong/0 - dimensi dikosongkan. ","")&amp;IF(AND($AU494&lt;&gt;"",$AU494&gt;=1000000),"Volume &gt;= 1.000.000 cm3 (di luar aturan) - dimensi dikosongkan. ","")&amp;IF(LEN($R494)&gt;500,"R &gt; 500 karakter.","")))</f>
        <v/>
      </c>
      <c r="AS494" t="str">
        <f>IFERROR(MATCH(ROW()-1,Calc!$J$2:$J$1601,0),"")</f>
        <v/>
      </c>
      <c r="AT494" t="str">
        <f>IFERROR(MATCH(ROW()-1,Calc!$K$2:$K$1601,0),"")</f>
        <v/>
      </c>
      <c r="AU494" t="str">
        <f>IF($AS494="","",IFERROR(INDEX('TMP Paste'!$D$2:$D$1601,$AS494)*1000000/$AB494,""))</f>
        <v/>
      </c>
    </row>
    <row r="495" spans="1:47">
      <c r="A495" t="str">
        <f>IF($AS495="","",INDEX('TMP Paste'!$B$2:$B$1601,$AS495))</f>
        <v/>
      </c>
      <c r="B495" t="str">
        <f>IF($AS495="","",Config!$B$14)</f>
        <v/>
      </c>
      <c r="C495" t="str">
        <f>IF($AS495="","",Config!$B$15)</f>
        <v/>
      </c>
      <c r="D495" t="str">
        <f>IF($AS495="","",INDEX('TMP Paste'!$B$2:$B$1601,$AS495))</f>
        <v/>
      </c>
      <c r="E495" t="str">
        <f>IF($AS495="","",Config!$B$27)</f>
        <v/>
      </c>
      <c r="F495" t="str">
        <f>IF($AS495="","",Config!$B$9)</f>
        <v/>
      </c>
      <c r="G495" t="str">
        <f>IF($AS495="","",Config!$B$10)</f>
        <v/>
      </c>
      <c r="H495" t="str">
        <f>IF($AS495="","",Config!$B$11)</f>
        <v/>
      </c>
      <c r="I495" t="str">
        <f>IF($AS495="","",Config!$B$16)</f>
        <v/>
      </c>
      <c r="J495" t="str">
        <f>IF($AS495="","",INDEX('TMP Paste'!$A$2:$A$1601,$AS495))</f>
        <v/>
      </c>
      <c r="K495" t="str">
        <f>IF($AS495="","",INDEX('TMP Paste'!$L$2:$L$1601,$AS495))</f>
        <v/>
      </c>
      <c r="L495" t="str">
        <f>IF($AS495="","",INDEX('TMP Paste'!$I$2:$I$1601,$AS495))</f>
        <v/>
      </c>
      <c r="M495" t="str">
        <f>IF($AS495="","",Config!$B$16)</f>
        <v/>
      </c>
      <c r="N495" t="str">
        <f t="shared" si="42"/>
        <v/>
      </c>
      <c r="O495" t="str">
        <f>IF($AS495="","",INDEX('TMP Paste'!$K$2:$K$1601,$AS495))</f>
        <v/>
      </c>
      <c r="P495" t="str">
        <f t="shared" si="43"/>
        <v/>
      </c>
      <c r="Q495" t="str">
        <f>IF($AS495="","",INDEX('TMP Paste'!$J$2:$J$1601,$AS495))</f>
        <v/>
      </c>
      <c r="R495" t="str">
        <f>IF($AS495="","",Config!$B$24)</f>
        <v/>
      </c>
      <c r="S495" t="str">
        <f ca="1">IF($AS495="","",TEXT(Config!$B$4,"yyyy-mm-dd"))</f>
        <v/>
      </c>
      <c r="T495" t="str">
        <f>IF($AS495="","",Config!$B$17)</f>
        <v/>
      </c>
      <c r="U495" t="str">
        <f>IF($AS495="","",Config!$B$18)</f>
        <v/>
      </c>
      <c r="V495" t="str">
        <f>IF($AS495="","",Config!$B$19)</f>
        <v/>
      </c>
      <c r="W495" t="str">
        <f>IF($AS495="","",INDEX('TMP Paste'!$C$2:$C$1601,$AS495))</f>
        <v/>
      </c>
      <c r="X495" t="str">
        <f>IF($AS495="","",Config!$B$29)</f>
        <v/>
      </c>
      <c r="Y495" t="str">
        <f>IF($AT495="","",INDEX(Calc!$I$2:$I$1601,$AT495)&amp;" - "&amp;INDEX(Calc!$D$2:$D$1601,$AT495)&amp;" koli")</f>
        <v/>
      </c>
      <c r="Z495" t="str">
        <f>IF($AS495="","",Config!$B$21)</f>
        <v/>
      </c>
      <c r="AA495" t="str">
        <f>IF($AS495="","",Config!$B$22)</f>
        <v/>
      </c>
      <c r="AB495" t="str">
        <f>IF($AT495="","",INDEX(Calc!$D$2:$D$1601,$AT495))</f>
        <v/>
      </c>
      <c r="AC495" t="str">
        <f>IF($AT495="","",INDEX(Calc!$G$2:$G$1601,$AT495))</f>
        <v/>
      </c>
      <c r="AD495" t="str">
        <f>IF($AS495="","",Config!$B$23)</f>
        <v/>
      </c>
      <c r="AE495" t="str">
        <f>IF($AS495="","",Config!$B$28)</f>
        <v/>
      </c>
      <c r="AF495" t="str">
        <f t="shared" si="44"/>
        <v/>
      </c>
      <c r="AG495" t="str">
        <f t="shared" si="45"/>
        <v/>
      </c>
      <c r="AH495" t="str">
        <f t="shared" si="46"/>
        <v/>
      </c>
      <c r="AI495" t="str">
        <f>IF($AG495="","",SUMIF($AG$2:$AG495,$AG495,$AH$2:$AH495))</f>
        <v/>
      </c>
      <c r="AJ495" t="str">
        <f>IF('TMP Paste'!$F495="","",IF('TMP Paste'!$B495="",$AJ494,'TMP Paste'!$B495))</f>
        <v/>
      </c>
      <c r="AK495" t="str">
        <f>IF('TMP Paste'!$F495="","",N('TMP Paste'!$G495))</f>
        <v/>
      </c>
      <c r="AL495" t="str">
        <f>IF('TMP Paste'!$F495="","",IF('TMP Paste'!$M495="",$AL494,'TMP Paste'!$M495))</f>
        <v/>
      </c>
      <c r="AM495" t="str">
        <f>IF('TMP Paste'!$F495="","",IF('TMP Paste'!$N495="",$AM494,'TMP Paste'!$N495))</f>
        <v/>
      </c>
      <c r="AN495" t="str">
        <f>IF('TMP Paste'!$F495="","",IF('TMP Paste'!$O495="",$AN494,'TMP Paste'!$O495))</f>
        <v/>
      </c>
      <c r="AO495" t="str">
        <f>IF('TMP Paste'!$F495="","",IF('TMP Paste'!$P495="",$AO494,'TMP Paste'!$P495))</f>
        <v/>
      </c>
      <c r="AP495" t="str">
        <f t="shared" si="47"/>
        <v/>
      </c>
      <c r="AQ495" t="str">
        <f>IF($AS495="","",TRIM(IF(COUNTIFS(Calc!$B$2:$B$1601,ROW()-1,Calc!$C$2:$C$1601,"&lt;1")&gt;0,"Ada PO tanpa Koli - cek TMP. ","")&amp;IF(OR($AU495="",$AU495&lt;=0),"Volume kosong/0 - dimensi dikosongkan. ","")&amp;IF(AND($AU495&lt;&gt;"",$AU495&gt;=1000000),"Volume &gt;= 1.000.000 cm3 (di luar aturan) - dimensi dikosongkan. ","")&amp;IF(LEN($R495)&gt;500,"R &gt; 500 karakter.","")))</f>
        <v/>
      </c>
      <c r="AS495" t="str">
        <f>IFERROR(MATCH(ROW()-1,Calc!$J$2:$J$1601,0),"")</f>
        <v/>
      </c>
      <c r="AT495" t="str">
        <f>IFERROR(MATCH(ROW()-1,Calc!$K$2:$K$1601,0),"")</f>
        <v/>
      </c>
      <c r="AU495" t="str">
        <f>IF($AS495="","",IFERROR(INDEX('TMP Paste'!$D$2:$D$1601,$AS495)*1000000/$AB495,""))</f>
        <v/>
      </c>
    </row>
    <row r="496" spans="1:47">
      <c r="A496" t="str">
        <f>IF($AS496="","",INDEX('TMP Paste'!$B$2:$B$1601,$AS496))</f>
        <v/>
      </c>
      <c r="B496" t="str">
        <f>IF($AS496="","",Config!$B$14)</f>
        <v/>
      </c>
      <c r="C496" t="str">
        <f>IF($AS496="","",Config!$B$15)</f>
        <v/>
      </c>
      <c r="D496" t="str">
        <f>IF($AS496="","",INDEX('TMP Paste'!$B$2:$B$1601,$AS496))</f>
        <v/>
      </c>
      <c r="E496" t="str">
        <f>IF($AS496="","",Config!$B$27)</f>
        <v/>
      </c>
      <c r="F496" t="str">
        <f>IF($AS496="","",Config!$B$9)</f>
        <v/>
      </c>
      <c r="G496" t="str">
        <f>IF($AS496="","",Config!$B$10)</f>
        <v/>
      </c>
      <c r="H496" t="str">
        <f>IF($AS496="","",Config!$B$11)</f>
        <v/>
      </c>
      <c r="I496" t="str">
        <f>IF($AS496="","",Config!$B$16)</f>
        <v/>
      </c>
      <c r="J496" t="str">
        <f>IF($AS496="","",INDEX('TMP Paste'!$A$2:$A$1601,$AS496))</f>
        <v/>
      </c>
      <c r="K496" t="str">
        <f>IF($AS496="","",INDEX('TMP Paste'!$L$2:$L$1601,$AS496))</f>
        <v/>
      </c>
      <c r="L496" t="str">
        <f>IF($AS496="","",INDEX('TMP Paste'!$I$2:$I$1601,$AS496))</f>
        <v/>
      </c>
      <c r="M496" t="str">
        <f>IF($AS496="","",Config!$B$16)</f>
        <v/>
      </c>
      <c r="N496" t="str">
        <f t="shared" si="42"/>
        <v/>
      </c>
      <c r="O496" t="str">
        <f>IF($AS496="","",INDEX('TMP Paste'!$K$2:$K$1601,$AS496))</f>
        <v/>
      </c>
      <c r="P496" t="str">
        <f t="shared" si="43"/>
        <v/>
      </c>
      <c r="Q496" t="str">
        <f>IF($AS496="","",INDEX('TMP Paste'!$J$2:$J$1601,$AS496))</f>
        <v/>
      </c>
      <c r="R496" t="str">
        <f>IF($AS496="","",Config!$B$24)</f>
        <v/>
      </c>
      <c r="S496" t="str">
        <f ca="1">IF($AS496="","",TEXT(Config!$B$4,"yyyy-mm-dd"))</f>
        <v/>
      </c>
      <c r="T496" t="str">
        <f>IF($AS496="","",Config!$B$17)</f>
        <v/>
      </c>
      <c r="U496" t="str">
        <f>IF($AS496="","",Config!$B$18)</f>
        <v/>
      </c>
      <c r="V496" t="str">
        <f>IF($AS496="","",Config!$B$19)</f>
        <v/>
      </c>
      <c r="W496" t="str">
        <f>IF($AS496="","",INDEX('TMP Paste'!$C$2:$C$1601,$AS496))</f>
        <v/>
      </c>
      <c r="X496" t="str">
        <f>IF($AS496="","",Config!$B$29)</f>
        <v/>
      </c>
      <c r="Y496" t="str">
        <f>IF($AT496="","",INDEX(Calc!$I$2:$I$1601,$AT496)&amp;" - "&amp;INDEX(Calc!$D$2:$D$1601,$AT496)&amp;" koli")</f>
        <v/>
      </c>
      <c r="Z496" t="str">
        <f>IF($AS496="","",Config!$B$21)</f>
        <v/>
      </c>
      <c r="AA496" t="str">
        <f>IF($AS496="","",Config!$B$22)</f>
        <v/>
      </c>
      <c r="AB496" t="str">
        <f>IF($AT496="","",INDEX(Calc!$D$2:$D$1601,$AT496))</f>
        <v/>
      </c>
      <c r="AC496" t="str">
        <f>IF($AT496="","",INDEX(Calc!$G$2:$G$1601,$AT496))</f>
        <v/>
      </c>
      <c r="AD496" t="str">
        <f>IF($AS496="","",Config!$B$23)</f>
        <v/>
      </c>
      <c r="AE496" t="str">
        <f>IF($AS496="","",Config!$B$28)</f>
        <v/>
      </c>
      <c r="AF496" t="str">
        <f t="shared" si="44"/>
        <v/>
      </c>
      <c r="AG496" t="str">
        <f t="shared" si="45"/>
        <v/>
      </c>
      <c r="AH496" t="str">
        <f t="shared" si="46"/>
        <v/>
      </c>
      <c r="AI496" t="str">
        <f>IF($AG496="","",SUMIF($AG$2:$AG496,$AG496,$AH$2:$AH496))</f>
        <v/>
      </c>
      <c r="AJ496" t="str">
        <f>IF('TMP Paste'!$F496="","",IF('TMP Paste'!$B496="",$AJ495,'TMP Paste'!$B496))</f>
        <v/>
      </c>
      <c r="AK496" t="str">
        <f>IF('TMP Paste'!$F496="","",N('TMP Paste'!$G496))</f>
        <v/>
      </c>
      <c r="AL496" t="str">
        <f>IF('TMP Paste'!$F496="","",IF('TMP Paste'!$M496="",$AL495,'TMP Paste'!$M496))</f>
        <v/>
      </c>
      <c r="AM496" t="str">
        <f>IF('TMP Paste'!$F496="","",IF('TMP Paste'!$N496="",$AM495,'TMP Paste'!$N496))</f>
        <v/>
      </c>
      <c r="AN496" t="str">
        <f>IF('TMP Paste'!$F496="","",IF('TMP Paste'!$O496="",$AN495,'TMP Paste'!$O496))</f>
        <v/>
      </c>
      <c r="AO496" t="str">
        <f>IF('TMP Paste'!$F496="","",IF('TMP Paste'!$P496="",$AO495,'TMP Paste'!$P496))</f>
        <v/>
      </c>
      <c r="AP496" t="str">
        <f t="shared" si="47"/>
        <v/>
      </c>
      <c r="AQ496" t="str">
        <f>IF($AS496="","",TRIM(IF(COUNTIFS(Calc!$B$2:$B$1601,ROW()-1,Calc!$C$2:$C$1601,"&lt;1")&gt;0,"Ada PO tanpa Koli - cek TMP. ","")&amp;IF(OR($AU496="",$AU496&lt;=0),"Volume kosong/0 - dimensi dikosongkan. ","")&amp;IF(AND($AU496&lt;&gt;"",$AU496&gt;=1000000),"Volume &gt;= 1.000.000 cm3 (di luar aturan) - dimensi dikosongkan. ","")&amp;IF(LEN($R496)&gt;500,"R &gt; 500 karakter.","")))</f>
        <v/>
      </c>
      <c r="AS496" t="str">
        <f>IFERROR(MATCH(ROW()-1,Calc!$J$2:$J$1601,0),"")</f>
        <v/>
      </c>
      <c r="AT496" t="str">
        <f>IFERROR(MATCH(ROW()-1,Calc!$K$2:$K$1601,0),"")</f>
        <v/>
      </c>
      <c r="AU496" t="str">
        <f>IF($AS496="","",IFERROR(INDEX('TMP Paste'!$D$2:$D$1601,$AS496)*1000000/$AB496,""))</f>
        <v/>
      </c>
    </row>
    <row r="497" spans="1:47">
      <c r="A497" t="str">
        <f>IF($AS497="","",INDEX('TMP Paste'!$B$2:$B$1601,$AS497))</f>
        <v/>
      </c>
      <c r="B497" t="str">
        <f>IF($AS497="","",Config!$B$14)</f>
        <v/>
      </c>
      <c r="C497" t="str">
        <f>IF($AS497="","",Config!$B$15)</f>
        <v/>
      </c>
      <c r="D497" t="str">
        <f>IF($AS497="","",INDEX('TMP Paste'!$B$2:$B$1601,$AS497))</f>
        <v/>
      </c>
      <c r="E497" t="str">
        <f>IF($AS497="","",Config!$B$27)</f>
        <v/>
      </c>
      <c r="F497" t="str">
        <f>IF($AS497="","",Config!$B$9)</f>
        <v/>
      </c>
      <c r="G497" t="str">
        <f>IF($AS497="","",Config!$B$10)</f>
        <v/>
      </c>
      <c r="H497" t="str">
        <f>IF($AS497="","",Config!$B$11)</f>
        <v/>
      </c>
      <c r="I497" t="str">
        <f>IF($AS497="","",Config!$B$16)</f>
        <v/>
      </c>
      <c r="J497" t="str">
        <f>IF($AS497="","",INDEX('TMP Paste'!$A$2:$A$1601,$AS497))</f>
        <v/>
      </c>
      <c r="K497" t="str">
        <f>IF($AS497="","",INDEX('TMP Paste'!$L$2:$L$1601,$AS497))</f>
        <v/>
      </c>
      <c r="L497" t="str">
        <f>IF($AS497="","",INDEX('TMP Paste'!$I$2:$I$1601,$AS497))</f>
        <v/>
      </c>
      <c r="M497" t="str">
        <f>IF($AS497="","",Config!$B$16)</f>
        <v/>
      </c>
      <c r="N497" t="str">
        <f t="shared" si="42"/>
        <v/>
      </c>
      <c r="O497" t="str">
        <f>IF($AS497="","",INDEX('TMP Paste'!$K$2:$K$1601,$AS497))</f>
        <v/>
      </c>
      <c r="P497" t="str">
        <f t="shared" si="43"/>
        <v/>
      </c>
      <c r="Q497" t="str">
        <f>IF($AS497="","",INDEX('TMP Paste'!$J$2:$J$1601,$AS497))</f>
        <v/>
      </c>
      <c r="R497" t="str">
        <f>IF($AS497="","",Config!$B$24)</f>
        <v/>
      </c>
      <c r="S497" t="str">
        <f ca="1">IF($AS497="","",TEXT(Config!$B$4,"yyyy-mm-dd"))</f>
        <v/>
      </c>
      <c r="T497" t="str">
        <f>IF($AS497="","",Config!$B$17)</f>
        <v/>
      </c>
      <c r="U497" t="str">
        <f>IF($AS497="","",Config!$B$18)</f>
        <v/>
      </c>
      <c r="V497" t="str">
        <f>IF($AS497="","",Config!$B$19)</f>
        <v/>
      </c>
      <c r="W497" t="str">
        <f>IF($AS497="","",INDEX('TMP Paste'!$C$2:$C$1601,$AS497))</f>
        <v/>
      </c>
      <c r="X497" t="str">
        <f>IF($AS497="","",Config!$B$29)</f>
        <v/>
      </c>
      <c r="Y497" t="str">
        <f>IF($AT497="","",INDEX(Calc!$I$2:$I$1601,$AT497)&amp;" - "&amp;INDEX(Calc!$D$2:$D$1601,$AT497)&amp;" koli")</f>
        <v/>
      </c>
      <c r="Z497" t="str">
        <f>IF($AS497="","",Config!$B$21)</f>
        <v/>
      </c>
      <c r="AA497" t="str">
        <f>IF($AS497="","",Config!$B$22)</f>
        <v/>
      </c>
      <c r="AB497" t="str">
        <f>IF($AT497="","",INDEX(Calc!$D$2:$D$1601,$AT497))</f>
        <v/>
      </c>
      <c r="AC497" t="str">
        <f>IF($AT497="","",INDEX(Calc!$G$2:$G$1601,$AT497))</f>
        <v/>
      </c>
      <c r="AD497" t="str">
        <f>IF($AS497="","",Config!$B$23)</f>
        <v/>
      </c>
      <c r="AE497" t="str">
        <f>IF($AS497="","",Config!$B$28)</f>
        <v/>
      </c>
      <c r="AF497" t="str">
        <f t="shared" si="44"/>
        <v/>
      </c>
      <c r="AG497" t="str">
        <f t="shared" si="45"/>
        <v/>
      </c>
      <c r="AH497" t="str">
        <f t="shared" si="46"/>
        <v/>
      </c>
      <c r="AI497" t="str">
        <f>IF($AG497="","",SUMIF($AG$2:$AG497,$AG497,$AH$2:$AH497))</f>
        <v/>
      </c>
      <c r="AJ497" t="str">
        <f>IF('TMP Paste'!$F497="","",IF('TMP Paste'!$B497="",$AJ496,'TMP Paste'!$B497))</f>
        <v/>
      </c>
      <c r="AK497" t="str">
        <f>IF('TMP Paste'!$F497="","",N('TMP Paste'!$G497))</f>
        <v/>
      </c>
      <c r="AL497" t="str">
        <f>IF('TMP Paste'!$F497="","",IF('TMP Paste'!$M497="",$AL496,'TMP Paste'!$M497))</f>
        <v/>
      </c>
      <c r="AM497" t="str">
        <f>IF('TMP Paste'!$F497="","",IF('TMP Paste'!$N497="",$AM496,'TMP Paste'!$N497))</f>
        <v/>
      </c>
      <c r="AN497" t="str">
        <f>IF('TMP Paste'!$F497="","",IF('TMP Paste'!$O497="",$AN496,'TMP Paste'!$O497))</f>
        <v/>
      </c>
      <c r="AO497" t="str">
        <f>IF('TMP Paste'!$F497="","",IF('TMP Paste'!$P497="",$AO496,'TMP Paste'!$P497))</f>
        <v/>
      </c>
      <c r="AP497" t="str">
        <f t="shared" si="47"/>
        <v/>
      </c>
      <c r="AQ497" t="str">
        <f>IF($AS497="","",TRIM(IF(COUNTIFS(Calc!$B$2:$B$1601,ROW()-1,Calc!$C$2:$C$1601,"&lt;1")&gt;0,"Ada PO tanpa Koli - cek TMP. ","")&amp;IF(OR($AU497="",$AU497&lt;=0),"Volume kosong/0 - dimensi dikosongkan. ","")&amp;IF(AND($AU497&lt;&gt;"",$AU497&gt;=1000000),"Volume &gt;= 1.000.000 cm3 (di luar aturan) - dimensi dikosongkan. ","")&amp;IF(LEN($R497)&gt;500,"R &gt; 500 karakter.","")))</f>
        <v/>
      </c>
      <c r="AS497" t="str">
        <f>IFERROR(MATCH(ROW()-1,Calc!$J$2:$J$1601,0),"")</f>
        <v/>
      </c>
      <c r="AT497" t="str">
        <f>IFERROR(MATCH(ROW()-1,Calc!$K$2:$K$1601,0),"")</f>
        <v/>
      </c>
      <c r="AU497" t="str">
        <f>IF($AS497="","",IFERROR(INDEX('TMP Paste'!$D$2:$D$1601,$AS497)*1000000/$AB497,""))</f>
        <v/>
      </c>
    </row>
    <row r="498" spans="1:47">
      <c r="A498" t="str">
        <f>IF($AS498="","",INDEX('TMP Paste'!$B$2:$B$1601,$AS498))</f>
        <v/>
      </c>
      <c r="B498" t="str">
        <f>IF($AS498="","",Config!$B$14)</f>
        <v/>
      </c>
      <c r="C498" t="str">
        <f>IF($AS498="","",Config!$B$15)</f>
        <v/>
      </c>
      <c r="D498" t="str">
        <f>IF($AS498="","",INDEX('TMP Paste'!$B$2:$B$1601,$AS498))</f>
        <v/>
      </c>
      <c r="E498" t="str">
        <f>IF($AS498="","",Config!$B$27)</f>
        <v/>
      </c>
      <c r="F498" t="str">
        <f>IF($AS498="","",Config!$B$9)</f>
        <v/>
      </c>
      <c r="G498" t="str">
        <f>IF($AS498="","",Config!$B$10)</f>
        <v/>
      </c>
      <c r="H498" t="str">
        <f>IF($AS498="","",Config!$B$11)</f>
        <v/>
      </c>
      <c r="I498" t="str">
        <f>IF($AS498="","",Config!$B$16)</f>
        <v/>
      </c>
      <c r="J498" t="str">
        <f>IF($AS498="","",INDEX('TMP Paste'!$A$2:$A$1601,$AS498))</f>
        <v/>
      </c>
      <c r="K498" t="str">
        <f>IF($AS498="","",INDEX('TMP Paste'!$L$2:$L$1601,$AS498))</f>
        <v/>
      </c>
      <c r="L498" t="str">
        <f>IF($AS498="","",INDEX('TMP Paste'!$I$2:$I$1601,$AS498))</f>
        <v/>
      </c>
      <c r="M498" t="str">
        <f>IF($AS498="","",Config!$B$16)</f>
        <v/>
      </c>
      <c r="N498" t="str">
        <f t="shared" si="42"/>
        <v/>
      </c>
      <c r="O498" t="str">
        <f>IF($AS498="","",INDEX('TMP Paste'!$K$2:$K$1601,$AS498))</f>
        <v/>
      </c>
      <c r="P498" t="str">
        <f t="shared" si="43"/>
        <v/>
      </c>
      <c r="Q498" t="str">
        <f>IF($AS498="","",INDEX('TMP Paste'!$J$2:$J$1601,$AS498))</f>
        <v/>
      </c>
      <c r="R498" t="str">
        <f>IF($AS498="","",Config!$B$24)</f>
        <v/>
      </c>
      <c r="S498" t="str">
        <f ca="1">IF($AS498="","",TEXT(Config!$B$4,"yyyy-mm-dd"))</f>
        <v/>
      </c>
      <c r="T498" t="str">
        <f>IF($AS498="","",Config!$B$17)</f>
        <v/>
      </c>
      <c r="U498" t="str">
        <f>IF($AS498="","",Config!$B$18)</f>
        <v/>
      </c>
      <c r="V498" t="str">
        <f>IF($AS498="","",Config!$B$19)</f>
        <v/>
      </c>
      <c r="W498" t="str">
        <f>IF($AS498="","",INDEX('TMP Paste'!$C$2:$C$1601,$AS498))</f>
        <v/>
      </c>
      <c r="X498" t="str">
        <f>IF($AS498="","",Config!$B$29)</f>
        <v/>
      </c>
      <c r="Y498" t="str">
        <f>IF($AT498="","",INDEX(Calc!$I$2:$I$1601,$AT498)&amp;" - "&amp;INDEX(Calc!$D$2:$D$1601,$AT498)&amp;" koli")</f>
        <v/>
      </c>
      <c r="Z498" t="str">
        <f>IF($AS498="","",Config!$B$21)</f>
        <v/>
      </c>
      <c r="AA498" t="str">
        <f>IF($AS498="","",Config!$B$22)</f>
        <v/>
      </c>
      <c r="AB498" t="str">
        <f>IF($AT498="","",INDEX(Calc!$D$2:$D$1601,$AT498))</f>
        <v/>
      </c>
      <c r="AC498" t="str">
        <f>IF($AT498="","",INDEX(Calc!$G$2:$G$1601,$AT498))</f>
        <v/>
      </c>
      <c r="AD498" t="str">
        <f>IF($AS498="","",Config!$B$23)</f>
        <v/>
      </c>
      <c r="AE498" t="str">
        <f>IF($AS498="","",Config!$B$28)</f>
        <v/>
      </c>
      <c r="AF498" t="str">
        <f t="shared" si="44"/>
        <v/>
      </c>
      <c r="AG498" t="str">
        <f t="shared" si="45"/>
        <v/>
      </c>
      <c r="AH498" t="str">
        <f t="shared" si="46"/>
        <v/>
      </c>
      <c r="AI498" t="str">
        <f>IF($AG498="","",SUMIF($AG$2:$AG498,$AG498,$AH$2:$AH498))</f>
        <v/>
      </c>
      <c r="AJ498" t="str">
        <f>IF('TMP Paste'!$F498="","",IF('TMP Paste'!$B498="",$AJ497,'TMP Paste'!$B498))</f>
        <v/>
      </c>
      <c r="AK498" t="str">
        <f>IF('TMP Paste'!$F498="","",N('TMP Paste'!$G498))</f>
        <v/>
      </c>
      <c r="AL498" t="str">
        <f>IF('TMP Paste'!$F498="","",IF('TMP Paste'!$M498="",$AL497,'TMP Paste'!$M498))</f>
        <v/>
      </c>
      <c r="AM498" t="str">
        <f>IF('TMP Paste'!$F498="","",IF('TMP Paste'!$N498="",$AM497,'TMP Paste'!$N498))</f>
        <v/>
      </c>
      <c r="AN498" t="str">
        <f>IF('TMP Paste'!$F498="","",IF('TMP Paste'!$O498="",$AN497,'TMP Paste'!$O498))</f>
        <v/>
      </c>
      <c r="AO498" t="str">
        <f>IF('TMP Paste'!$F498="","",IF('TMP Paste'!$P498="",$AO497,'TMP Paste'!$P498))</f>
        <v/>
      </c>
      <c r="AP498" t="str">
        <f t="shared" si="47"/>
        <v/>
      </c>
      <c r="AQ498" t="str">
        <f>IF($AS498="","",TRIM(IF(COUNTIFS(Calc!$B$2:$B$1601,ROW()-1,Calc!$C$2:$C$1601,"&lt;1")&gt;0,"Ada PO tanpa Koli - cek TMP. ","")&amp;IF(OR($AU498="",$AU498&lt;=0),"Volume kosong/0 - dimensi dikosongkan. ","")&amp;IF(AND($AU498&lt;&gt;"",$AU498&gt;=1000000),"Volume &gt;= 1.000.000 cm3 (di luar aturan) - dimensi dikosongkan. ","")&amp;IF(LEN($R498)&gt;500,"R &gt; 500 karakter.","")))</f>
        <v/>
      </c>
      <c r="AS498" t="str">
        <f>IFERROR(MATCH(ROW()-1,Calc!$J$2:$J$1601,0),"")</f>
        <v/>
      </c>
      <c r="AT498" t="str">
        <f>IFERROR(MATCH(ROW()-1,Calc!$K$2:$K$1601,0),"")</f>
        <v/>
      </c>
      <c r="AU498" t="str">
        <f>IF($AS498="","",IFERROR(INDEX('TMP Paste'!$D$2:$D$1601,$AS498)*1000000/$AB498,""))</f>
        <v/>
      </c>
    </row>
    <row r="499" spans="1:47">
      <c r="A499" t="str">
        <f>IF($AS499="","",INDEX('TMP Paste'!$B$2:$B$1601,$AS499))</f>
        <v/>
      </c>
      <c r="B499" t="str">
        <f>IF($AS499="","",Config!$B$14)</f>
        <v/>
      </c>
      <c r="C499" t="str">
        <f>IF($AS499="","",Config!$B$15)</f>
        <v/>
      </c>
      <c r="D499" t="str">
        <f>IF($AS499="","",INDEX('TMP Paste'!$B$2:$B$1601,$AS499))</f>
        <v/>
      </c>
      <c r="E499" t="str">
        <f>IF($AS499="","",Config!$B$27)</f>
        <v/>
      </c>
      <c r="F499" t="str">
        <f>IF($AS499="","",Config!$B$9)</f>
        <v/>
      </c>
      <c r="G499" t="str">
        <f>IF($AS499="","",Config!$B$10)</f>
        <v/>
      </c>
      <c r="H499" t="str">
        <f>IF($AS499="","",Config!$B$11)</f>
        <v/>
      </c>
      <c r="I499" t="str">
        <f>IF($AS499="","",Config!$B$16)</f>
        <v/>
      </c>
      <c r="J499" t="str">
        <f>IF($AS499="","",INDEX('TMP Paste'!$A$2:$A$1601,$AS499))</f>
        <v/>
      </c>
      <c r="K499" t="str">
        <f>IF($AS499="","",INDEX('TMP Paste'!$L$2:$L$1601,$AS499))</f>
        <v/>
      </c>
      <c r="L499" t="str">
        <f>IF($AS499="","",INDEX('TMP Paste'!$I$2:$I$1601,$AS499))</f>
        <v/>
      </c>
      <c r="M499" t="str">
        <f>IF($AS499="","",Config!$B$16)</f>
        <v/>
      </c>
      <c r="N499" t="str">
        <f t="shared" si="42"/>
        <v/>
      </c>
      <c r="O499" t="str">
        <f>IF($AS499="","",INDEX('TMP Paste'!$K$2:$K$1601,$AS499))</f>
        <v/>
      </c>
      <c r="P499" t="str">
        <f t="shared" si="43"/>
        <v/>
      </c>
      <c r="Q499" t="str">
        <f>IF($AS499="","",INDEX('TMP Paste'!$J$2:$J$1601,$AS499))</f>
        <v/>
      </c>
      <c r="R499" t="str">
        <f>IF($AS499="","",Config!$B$24)</f>
        <v/>
      </c>
      <c r="S499" t="str">
        <f ca="1">IF($AS499="","",TEXT(Config!$B$4,"yyyy-mm-dd"))</f>
        <v/>
      </c>
      <c r="T499" t="str">
        <f>IF($AS499="","",Config!$B$17)</f>
        <v/>
      </c>
      <c r="U499" t="str">
        <f>IF($AS499="","",Config!$B$18)</f>
        <v/>
      </c>
      <c r="V499" t="str">
        <f>IF($AS499="","",Config!$B$19)</f>
        <v/>
      </c>
      <c r="W499" t="str">
        <f>IF($AS499="","",INDEX('TMP Paste'!$C$2:$C$1601,$AS499))</f>
        <v/>
      </c>
      <c r="X499" t="str">
        <f>IF($AS499="","",Config!$B$29)</f>
        <v/>
      </c>
      <c r="Y499" t="str">
        <f>IF($AT499="","",INDEX(Calc!$I$2:$I$1601,$AT499)&amp;" - "&amp;INDEX(Calc!$D$2:$D$1601,$AT499)&amp;" koli")</f>
        <v/>
      </c>
      <c r="Z499" t="str">
        <f>IF($AS499="","",Config!$B$21)</f>
        <v/>
      </c>
      <c r="AA499" t="str">
        <f>IF($AS499="","",Config!$B$22)</f>
        <v/>
      </c>
      <c r="AB499" t="str">
        <f>IF($AT499="","",INDEX(Calc!$D$2:$D$1601,$AT499))</f>
        <v/>
      </c>
      <c r="AC499" t="str">
        <f>IF($AT499="","",INDEX(Calc!$G$2:$G$1601,$AT499))</f>
        <v/>
      </c>
      <c r="AD499" t="str">
        <f>IF($AS499="","",Config!$B$23)</f>
        <v/>
      </c>
      <c r="AE499" t="str">
        <f>IF($AS499="","",Config!$B$28)</f>
        <v/>
      </c>
      <c r="AF499" t="str">
        <f t="shared" si="44"/>
        <v/>
      </c>
      <c r="AG499" t="str">
        <f t="shared" si="45"/>
        <v/>
      </c>
      <c r="AH499" t="str">
        <f t="shared" si="46"/>
        <v/>
      </c>
      <c r="AI499" t="str">
        <f>IF($AG499="","",SUMIF($AG$2:$AG499,$AG499,$AH$2:$AH499))</f>
        <v/>
      </c>
      <c r="AJ499" t="str">
        <f>IF('TMP Paste'!$F499="","",IF('TMP Paste'!$B499="",$AJ498,'TMP Paste'!$B499))</f>
        <v/>
      </c>
      <c r="AK499" t="str">
        <f>IF('TMP Paste'!$F499="","",N('TMP Paste'!$G499))</f>
        <v/>
      </c>
      <c r="AL499" t="str">
        <f>IF('TMP Paste'!$F499="","",IF('TMP Paste'!$M499="",$AL498,'TMP Paste'!$M499))</f>
        <v/>
      </c>
      <c r="AM499" t="str">
        <f>IF('TMP Paste'!$F499="","",IF('TMP Paste'!$N499="",$AM498,'TMP Paste'!$N499))</f>
        <v/>
      </c>
      <c r="AN499" t="str">
        <f>IF('TMP Paste'!$F499="","",IF('TMP Paste'!$O499="",$AN498,'TMP Paste'!$O499))</f>
        <v/>
      </c>
      <c r="AO499" t="str">
        <f>IF('TMP Paste'!$F499="","",IF('TMP Paste'!$P499="",$AO498,'TMP Paste'!$P499))</f>
        <v/>
      </c>
      <c r="AP499" t="str">
        <f t="shared" si="47"/>
        <v/>
      </c>
      <c r="AQ499" t="str">
        <f>IF($AS499="","",TRIM(IF(COUNTIFS(Calc!$B$2:$B$1601,ROW()-1,Calc!$C$2:$C$1601,"&lt;1")&gt;0,"Ada PO tanpa Koli - cek TMP. ","")&amp;IF(OR($AU499="",$AU499&lt;=0),"Volume kosong/0 - dimensi dikosongkan. ","")&amp;IF(AND($AU499&lt;&gt;"",$AU499&gt;=1000000),"Volume &gt;= 1.000.000 cm3 (di luar aturan) - dimensi dikosongkan. ","")&amp;IF(LEN($R499)&gt;500,"R &gt; 500 karakter.","")))</f>
        <v/>
      </c>
      <c r="AS499" t="str">
        <f>IFERROR(MATCH(ROW()-1,Calc!$J$2:$J$1601,0),"")</f>
        <v/>
      </c>
      <c r="AT499" t="str">
        <f>IFERROR(MATCH(ROW()-1,Calc!$K$2:$K$1601,0),"")</f>
        <v/>
      </c>
      <c r="AU499" t="str">
        <f>IF($AS499="","",IFERROR(INDEX('TMP Paste'!$D$2:$D$1601,$AS499)*1000000/$AB499,""))</f>
        <v/>
      </c>
    </row>
    <row r="500" spans="1:47">
      <c r="A500" t="str">
        <f>IF($AS500="","",INDEX('TMP Paste'!$B$2:$B$1601,$AS500))</f>
        <v/>
      </c>
      <c r="B500" t="str">
        <f>IF($AS500="","",Config!$B$14)</f>
        <v/>
      </c>
      <c r="C500" t="str">
        <f>IF($AS500="","",Config!$B$15)</f>
        <v/>
      </c>
      <c r="D500" t="str">
        <f>IF($AS500="","",INDEX('TMP Paste'!$B$2:$B$1601,$AS500))</f>
        <v/>
      </c>
      <c r="E500" t="str">
        <f>IF($AS500="","",Config!$B$27)</f>
        <v/>
      </c>
      <c r="F500" t="str">
        <f>IF($AS500="","",Config!$B$9)</f>
        <v/>
      </c>
      <c r="G500" t="str">
        <f>IF($AS500="","",Config!$B$10)</f>
        <v/>
      </c>
      <c r="H500" t="str">
        <f>IF($AS500="","",Config!$B$11)</f>
        <v/>
      </c>
      <c r="I500" t="str">
        <f>IF($AS500="","",Config!$B$16)</f>
        <v/>
      </c>
      <c r="J500" t="str">
        <f>IF($AS500="","",INDEX('TMP Paste'!$A$2:$A$1601,$AS500))</f>
        <v/>
      </c>
      <c r="K500" t="str">
        <f>IF($AS500="","",INDEX('TMP Paste'!$L$2:$L$1601,$AS500))</f>
        <v/>
      </c>
      <c r="L500" t="str">
        <f>IF($AS500="","",INDEX('TMP Paste'!$I$2:$I$1601,$AS500))</f>
        <v/>
      </c>
      <c r="M500" t="str">
        <f>IF($AS500="","",Config!$B$16)</f>
        <v/>
      </c>
      <c r="N500" t="str">
        <f t="shared" si="42"/>
        <v/>
      </c>
      <c r="O500" t="str">
        <f>IF($AS500="","",INDEX('TMP Paste'!$K$2:$K$1601,$AS500))</f>
        <v/>
      </c>
      <c r="P500" t="str">
        <f t="shared" si="43"/>
        <v/>
      </c>
      <c r="Q500" t="str">
        <f>IF($AS500="","",INDEX('TMP Paste'!$J$2:$J$1601,$AS500))</f>
        <v/>
      </c>
      <c r="R500" t="str">
        <f>IF($AS500="","",Config!$B$24)</f>
        <v/>
      </c>
      <c r="S500" t="str">
        <f ca="1">IF($AS500="","",TEXT(Config!$B$4,"yyyy-mm-dd"))</f>
        <v/>
      </c>
      <c r="T500" t="str">
        <f>IF($AS500="","",Config!$B$17)</f>
        <v/>
      </c>
      <c r="U500" t="str">
        <f>IF($AS500="","",Config!$B$18)</f>
        <v/>
      </c>
      <c r="V500" t="str">
        <f>IF($AS500="","",Config!$B$19)</f>
        <v/>
      </c>
      <c r="W500" t="str">
        <f>IF($AS500="","",INDEX('TMP Paste'!$C$2:$C$1601,$AS500))</f>
        <v/>
      </c>
      <c r="X500" t="str">
        <f>IF($AS500="","",Config!$B$29)</f>
        <v/>
      </c>
      <c r="Y500" t="str">
        <f>IF($AT500="","",INDEX(Calc!$I$2:$I$1601,$AT500)&amp;" - "&amp;INDEX(Calc!$D$2:$D$1601,$AT500)&amp;" koli")</f>
        <v/>
      </c>
      <c r="Z500" t="str">
        <f>IF($AS500="","",Config!$B$21)</f>
        <v/>
      </c>
      <c r="AA500" t="str">
        <f>IF($AS500="","",Config!$B$22)</f>
        <v/>
      </c>
      <c r="AB500" t="str">
        <f>IF($AT500="","",INDEX(Calc!$D$2:$D$1601,$AT500))</f>
        <v/>
      </c>
      <c r="AC500" t="str">
        <f>IF($AT500="","",INDEX(Calc!$G$2:$G$1601,$AT500))</f>
        <v/>
      </c>
      <c r="AD500" t="str">
        <f>IF($AS500="","",Config!$B$23)</f>
        <v/>
      </c>
      <c r="AE500" t="str">
        <f>IF($AS500="","",Config!$B$28)</f>
        <v/>
      </c>
      <c r="AF500" t="str">
        <f t="shared" si="44"/>
        <v/>
      </c>
      <c r="AG500" t="str">
        <f t="shared" si="45"/>
        <v/>
      </c>
      <c r="AH500" t="str">
        <f t="shared" si="46"/>
        <v/>
      </c>
      <c r="AI500" t="str">
        <f>IF($AG500="","",SUMIF($AG$2:$AG500,$AG500,$AH$2:$AH500))</f>
        <v/>
      </c>
      <c r="AJ500" t="str">
        <f>IF('TMP Paste'!$F500="","",IF('TMP Paste'!$B500="",$AJ499,'TMP Paste'!$B500))</f>
        <v/>
      </c>
      <c r="AK500" t="str">
        <f>IF('TMP Paste'!$F500="","",N('TMP Paste'!$G500))</f>
        <v/>
      </c>
      <c r="AL500" t="str">
        <f>IF('TMP Paste'!$F500="","",IF('TMP Paste'!$M500="",$AL499,'TMP Paste'!$M500))</f>
        <v/>
      </c>
      <c r="AM500" t="str">
        <f>IF('TMP Paste'!$F500="","",IF('TMP Paste'!$N500="",$AM499,'TMP Paste'!$N500))</f>
        <v/>
      </c>
      <c r="AN500" t="str">
        <f>IF('TMP Paste'!$F500="","",IF('TMP Paste'!$O500="",$AN499,'TMP Paste'!$O500))</f>
        <v/>
      </c>
      <c r="AO500" t="str">
        <f>IF('TMP Paste'!$F500="","",IF('TMP Paste'!$P500="",$AO499,'TMP Paste'!$P500))</f>
        <v/>
      </c>
      <c r="AP500" t="str">
        <f t="shared" si="47"/>
        <v/>
      </c>
      <c r="AQ500" t="str">
        <f>IF($AS500="","",TRIM(IF(COUNTIFS(Calc!$B$2:$B$1601,ROW()-1,Calc!$C$2:$C$1601,"&lt;1")&gt;0,"Ada PO tanpa Koli - cek TMP. ","")&amp;IF(OR($AU500="",$AU500&lt;=0),"Volume kosong/0 - dimensi dikosongkan. ","")&amp;IF(AND($AU500&lt;&gt;"",$AU500&gt;=1000000),"Volume &gt;= 1.000.000 cm3 (di luar aturan) - dimensi dikosongkan. ","")&amp;IF(LEN($R500)&gt;500,"R &gt; 500 karakter.","")))</f>
        <v/>
      </c>
      <c r="AS500" t="str">
        <f>IFERROR(MATCH(ROW()-1,Calc!$J$2:$J$1601,0),"")</f>
        <v/>
      </c>
      <c r="AT500" t="str">
        <f>IFERROR(MATCH(ROW()-1,Calc!$K$2:$K$1601,0),"")</f>
        <v/>
      </c>
      <c r="AU500" t="str">
        <f>IF($AS500="","",IFERROR(INDEX('TMP Paste'!$D$2:$D$1601,$AS500)*1000000/$AB500,""))</f>
        <v/>
      </c>
    </row>
    <row r="501" spans="1:47">
      <c r="A501" t="str">
        <f>IF($AS501="","",INDEX('TMP Paste'!$B$2:$B$1601,$AS501))</f>
        <v/>
      </c>
      <c r="B501" t="str">
        <f>IF($AS501="","",Config!$B$14)</f>
        <v/>
      </c>
      <c r="C501" t="str">
        <f>IF($AS501="","",Config!$B$15)</f>
        <v/>
      </c>
      <c r="D501" t="str">
        <f>IF($AS501="","",INDEX('TMP Paste'!$B$2:$B$1601,$AS501))</f>
        <v/>
      </c>
      <c r="E501" t="str">
        <f>IF($AS501="","",Config!$B$27)</f>
        <v/>
      </c>
      <c r="F501" t="str">
        <f>IF($AS501="","",Config!$B$9)</f>
        <v/>
      </c>
      <c r="G501" t="str">
        <f>IF($AS501="","",Config!$B$10)</f>
        <v/>
      </c>
      <c r="H501" t="str">
        <f>IF($AS501="","",Config!$B$11)</f>
        <v/>
      </c>
      <c r="I501" t="str">
        <f>IF($AS501="","",Config!$B$16)</f>
        <v/>
      </c>
      <c r="J501" t="str">
        <f>IF($AS501="","",INDEX('TMP Paste'!$A$2:$A$1601,$AS501))</f>
        <v/>
      </c>
      <c r="K501" t="str">
        <f>IF($AS501="","",INDEX('TMP Paste'!$L$2:$L$1601,$AS501))</f>
        <v/>
      </c>
      <c r="L501" t="str">
        <f>IF($AS501="","",INDEX('TMP Paste'!$I$2:$I$1601,$AS501))</f>
        <v/>
      </c>
      <c r="M501" t="str">
        <f>IF($AS501="","",Config!$B$16)</f>
        <v/>
      </c>
      <c r="N501" t="str">
        <f t="shared" si="42"/>
        <v/>
      </c>
      <c r="O501" t="str">
        <f>IF($AS501="","",INDEX('TMP Paste'!$K$2:$K$1601,$AS501))</f>
        <v/>
      </c>
      <c r="P501" t="str">
        <f t="shared" si="43"/>
        <v/>
      </c>
      <c r="Q501" t="str">
        <f>IF($AS501="","",INDEX('TMP Paste'!$J$2:$J$1601,$AS501))</f>
        <v/>
      </c>
      <c r="R501" t="str">
        <f>IF($AS501="","",Config!$B$24)</f>
        <v/>
      </c>
      <c r="S501" t="str">
        <f ca="1">IF($AS501="","",TEXT(Config!$B$4,"yyyy-mm-dd"))</f>
        <v/>
      </c>
      <c r="T501" t="str">
        <f>IF($AS501="","",Config!$B$17)</f>
        <v/>
      </c>
      <c r="U501" t="str">
        <f>IF($AS501="","",Config!$B$18)</f>
        <v/>
      </c>
      <c r="V501" t="str">
        <f>IF($AS501="","",Config!$B$19)</f>
        <v/>
      </c>
      <c r="W501" t="str">
        <f>IF($AS501="","",INDEX('TMP Paste'!$C$2:$C$1601,$AS501))</f>
        <v/>
      </c>
      <c r="X501" t="str">
        <f>IF($AS501="","",Config!$B$29)</f>
        <v/>
      </c>
      <c r="Y501" t="str">
        <f>IF($AT501="","",INDEX(Calc!$I$2:$I$1601,$AT501)&amp;" - "&amp;INDEX(Calc!$D$2:$D$1601,$AT501)&amp;" koli")</f>
        <v/>
      </c>
      <c r="Z501" t="str">
        <f>IF($AS501="","",Config!$B$21)</f>
        <v/>
      </c>
      <c r="AA501" t="str">
        <f>IF($AS501="","",Config!$B$22)</f>
        <v/>
      </c>
      <c r="AB501" t="str">
        <f>IF($AT501="","",INDEX(Calc!$D$2:$D$1601,$AT501))</f>
        <v/>
      </c>
      <c r="AC501" t="str">
        <f>IF($AT501="","",INDEX(Calc!$G$2:$G$1601,$AT501))</f>
        <v/>
      </c>
      <c r="AD501" t="str">
        <f>IF($AS501="","",Config!$B$23)</f>
        <v/>
      </c>
      <c r="AE501" t="str">
        <f>IF($AS501="","",Config!$B$28)</f>
        <v/>
      </c>
      <c r="AF501" t="str">
        <f t="shared" si="44"/>
        <v/>
      </c>
      <c r="AG501" t="str">
        <f t="shared" si="45"/>
        <v/>
      </c>
      <c r="AH501" t="str">
        <f t="shared" si="46"/>
        <v/>
      </c>
      <c r="AI501" t="str">
        <f>IF($AG501="","",SUMIF($AG$2:$AG501,$AG501,$AH$2:$AH501))</f>
        <v/>
      </c>
      <c r="AJ501" t="str">
        <f>IF('TMP Paste'!$F501="","",IF('TMP Paste'!$B501="",$AJ500,'TMP Paste'!$B501))</f>
        <v/>
      </c>
      <c r="AK501" t="str">
        <f>IF('TMP Paste'!$F501="","",N('TMP Paste'!$G501))</f>
        <v/>
      </c>
      <c r="AL501" t="str">
        <f>IF('TMP Paste'!$F501="","",IF('TMP Paste'!$M501="",$AL500,'TMP Paste'!$M501))</f>
        <v/>
      </c>
      <c r="AM501" t="str">
        <f>IF('TMP Paste'!$F501="","",IF('TMP Paste'!$N501="",$AM500,'TMP Paste'!$N501))</f>
        <v/>
      </c>
      <c r="AN501" t="str">
        <f>IF('TMP Paste'!$F501="","",IF('TMP Paste'!$O501="",$AN500,'TMP Paste'!$O501))</f>
        <v/>
      </c>
      <c r="AO501" t="str">
        <f>IF('TMP Paste'!$F501="","",IF('TMP Paste'!$P501="",$AO500,'TMP Paste'!$P501))</f>
        <v/>
      </c>
      <c r="AP501" t="str">
        <f t="shared" si="47"/>
        <v/>
      </c>
      <c r="AQ501" t="str">
        <f>IF($AS501="","",TRIM(IF(COUNTIFS(Calc!$B$2:$B$1601,ROW()-1,Calc!$C$2:$C$1601,"&lt;1")&gt;0,"Ada PO tanpa Koli - cek TMP. ","")&amp;IF(OR($AU501="",$AU501&lt;=0),"Volume kosong/0 - dimensi dikosongkan. ","")&amp;IF(AND($AU501&lt;&gt;"",$AU501&gt;=1000000),"Volume &gt;= 1.000.000 cm3 (di luar aturan) - dimensi dikosongkan. ","")&amp;IF(LEN($R501)&gt;500,"R &gt; 500 karakter.","")))</f>
        <v/>
      </c>
      <c r="AS501" t="str">
        <f>IFERROR(MATCH(ROW()-1,Calc!$J$2:$J$1601,0),"")</f>
        <v/>
      </c>
      <c r="AT501" t="str">
        <f>IFERROR(MATCH(ROW()-1,Calc!$K$2:$K$1601,0),"")</f>
        <v/>
      </c>
      <c r="AU501" t="str">
        <f>IF($AS501="","",IFERROR(INDEX('TMP Paste'!$D$2:$D$1601,$AS501)*1000000/$AB501,""))</f>
        <v/>
      </c>
    </row>
    <row r="502" spans="1:47">
      <c r="A502" t="str">
        <f>IF($AS502="","",INDEX('TMP Paste'!$B$2:$B$1601,$AS502))</f>
        <v/>
      </c>
      <c r="B502" t="str">
        <f>IF($AS502="","",Config!$B$14)</f>
        <v/>
      </c>
      <c r="C502" t="str">
        <f>IF($AS502="","",Config!$B$15)</f>
        <v/>
      </c>
      <c r="D502" t="str">
        <f>IF($AS502="","",INDEX('TMP Paste'!$B$2:$B$1601,$AS502))</f>
        <v/>
      </c>
      <c r="E502" t="str">
        <f>IF($AS502="","",Config!$B$27)</f>
        <v/>
      </c>
      <c r="F502" t="str">
        <f>IF($AS502="","",Config!$B$9)</f>
        <v/>
      </c>
      <c r="G502" t="str">
        <f>IF($AS502="","",Config!$B$10)</f>
        <v/>
      </c>
      <c r="H502" t="str">
        <f>IF($AS502="","",Config!$B$11)</f>
        <v/>
      </c>
      <c r="I502" t="str">
        <f>IF($AS502="","",Config!$B$16)</f>
        <v/>
      </c>
      <c r="J502" t="str">
        <f>IF($AS502="","",INDEX('TMP Paste'!$A$2:$A$1601,$AS502))</f>
        <v/>
      </c>
      <c r="K502" t="str">
        <f>IF($AS502="","",INDEX('TMP Paste'!$L$2:$L$1601,$AS502))</f>
        <v/>
      </c>
      <c r="L502" t="str">
        <f>IF($AS502="","",INDEX('TMP Paste'!$I$2:$I$1601,$AS502))</f>
        <v/>
      </c>
      <c r="M502" t="str">
        <f>IF($AS502="","",Config!$B$16)</f>
        <v/>
      </c>
      <c r="N502" t="str">
        <f t="shared" si="42"/>
        <v/>
      </c>
      <c r="O502" t="str">
        <f>IF($AS502="","",INDEX('TMP Paste'!$K$2:$K$1601,$AS502))</f>
        <v/>
      </c>
      <c r="P502" t="str">
        <f t="shared" si="43"/>
        <v/>
      </c>
      <c r="Q502" t="str">
        <f>IF($AS502="","",INDEX('TMP Paste'!$J$2:$J$1601,$AS502))</f>
        <v/>
      </c>
      <c r="R502" t="str">
        <f>IF($AS502="","",Config!$B$24)</f>
        <v/>
      </c>
      <c r="S502" t="str">
        <f ca="1">IF($AS502="","",TEXT(Config!$B$4,"yyyy-mm-dd"))</f>
        <v/>
      </c>
      <c r="T502" t="str">
        <f>IF($AS502="","",Config!$B$17)</f>
        <v/>
      </c>
      <c r="U502" t="str">
        <f>IF($AS502="","",Config!$B$18)</f>
        <v/>
      </c>
      <c r="V502" t="str">
        <f>IF($AS502="","",Config!$B$19)</f>
        <v/>
      </c>
      <c r="W502" t="str">
        <f>IF($AS502="","",INDEX('TMP Paste'!$C$2:$C$1601,$AS502))</f>
        <v/>
      </c>
      <c r="X502" t="str">
        <f>IF($AS502="","",Config!$B$29)</f>
        <v/>
      </c>
      <c r="Y502" t="str">
        <f>IF($AT502="","",INDEX(Calc!$I$2:$I$1601,$AT502)&amp;" - "&amp;INDEX(Calc!$D$2:$D$1601,$AT502)&amp;" koli")</f>
        <v/>
      </c>
      <c r="Z502" t="str">
        <f>IF($AS502="","",Config!$B$21)</f>
        <v/>
      </c>
      <c r="AA502" t="str">
        <f>IF($AS502="","",Config!$B$22)</f>
        <v/>
      </c>
      <c r="AB502" t="str">
        <f>IF($AT502="","",INDEX(Calc!$D$2:$D$1601,$AT502))</f>
        <v/>
      </c>
      <c r="AC502" t="str">
        <f>IF($AT502="","",INDEX(Calc!$G$2:$G$1601,$AT502))</f>
        <v/>
      </c>
      <c r="AD502" t="str">
        <f>IF($AS502="","",Config!$B$23)</f>
        <v/>
      </c>
      <c r="AE502" t="str">
        <f>IF($AS502="","",Config!$B$28)</f>
        <v/>
      </c>
      <c r="AF502" t="str">
        <f t="shared" si="44"/>
        <v/>
      </c>
      <c r="AG502" t="str">
        <f t="shared" si="45"/>
        <v/>
      </c>
      <c r="AH502" t="str">
        <f t="shared" si="46"/>
        <v/>
      </c>
      <c r="AI502" t="str">
        <f>IF($AG502="","",SUMIF($AG$2:$AG502,$AG502,$AH$2:$AH502))</f>
        <v/>
      </c>
      <c r="AJ502" t="str">
        <f>IF('TMP Paste'!$F502="","",IF('TMP Paste'!$B502="",$AJ501,'TMP Paste'!$B502))</f>
        <v/>
      </c>
      <c r="AK502" t="str">
        <f>IF('TMP Paste'!$F502="","",N('TMP Paste'!$G502))</f>
        <v/>
      </c>
      <c r="AL502" t="str">
        <f>IF('TMP Paste'!$F502="","",IF('TMP Paste'!$M502="",$AL501,'TMP Paste'!$M502))</f>
        <v/>
      </c>
      <c r="AM502" t="str">
        <f>IF('TMP Paste'!$F502="","",IF('TMP Paste'!$N502="",$AM501,'TMP Paste'!$N502))</f>
        <v/>
      </c>
      <c r="AN502" t="str">
        <f>IF('TMP Paste'!$F502="","",IF('TMP Paste'!$O502="",$AN501,'TMP Paste'!$O502))</f>
        <v/>
      </c>
      <c r="AO502" t="str">
        <f>IF('TMP Paste'!$F502="","",IF('TMP Paste'!$P502="",$AO501,'TMP Paste'!$P502))</f>
        <v/>
      </c>
      <c r="AP502" t="str">
        <f t="shared" si="47"/>
        <v/>
      </c>
      <c r="AQ502" t="str">
        <f>IF($AS502="","",TRIM(IF(COUNTIFS(Calc!$B$2:$B$1601,ROW()-1,Calc!$C$2:$C$1601,"&lt;1")&gt;0,"Ada PO tanpa Koli - cek TMP. ","")&amp;IF(OR($AU502="",$AU502&lt;=0),"Volume kosong/0 - dimensi dikosongkan. ","")&amp;IF(AND($AU502&lt;&gt;"",$AU502&gt;=1000000),"Volume &gt;= 1.000.000 cm3 (di luar aturan) - dimensi dikosongkan. ","")&amp;IF(LEN($R502)&gt;500,"R &gt; 500 karakter.","")))</f>
        <v/>
      </c>
      <c r="AS502" t="str">
        <f>IFERROR(MATCH(ROW()-1,Calc!$J$2:$J$1601,0),"")</f>
        <v/>
      </c>
      <c r="AT502" t="str">
        <f>IFERROR(MATCH(ROW()-1,Calc!$K$2:$K$1601,0),"")</f>
        <v/>
      </c>
      <c r="AU502" t="str">
        <f>IF($AS502="","",IFERROR(INDEX('TMP Paste'!$D$2:$D$1601,$AS502)*1000000/$AB502,""))</f>
        <v/>
      </c>
    </row>
    <row r="503" spans="1:47">
      <c r="A503" t="str">
        <f>IF($AS503="","",INDEX('TMP Paste'!$B$2:$B$1601,$AS503))</f>
        <v/>
      </c>
      <c r="B503" t="str">
        <f>IF($AS503="","",Config!$B$14)</f>
        <v/>
      </c>
      <c r="C503" t="str">
        <f>IF($AS503="","",Config!$B$15)</f>
        <v/>
      </c>
      <c r="D503" t="str">
        <f>IF($AS503="","",INDEX('TMP Paste'!$B$2:$B$1601,$AS503))</f>
        <v/>
      </c>
      <c r="E503" t="str">
        <f>IF($AS503="","",Config!$B$27)</f>
        <v/>
      </c>
      <c r="F503" t="str">
        <f>IF($AS503="","",Config!$B$9)</f>
        <v/>
      </c>
      <c r="G503" t="str">
        <f>IF($AS503="","",Config!$B$10)</f>
        <v/>
      </c>
      <c r="H503" t="str">
        <f>IF($AS503="","",Config!$B$11)</f>
        <v/>
      </c>
      <c r="I503" t="str">
        <f>IF($AS503="","",Config!$B$16)</f>
        <v/>
      </c>
      <c r="J503" t="str">
        <f>IF($AS503="","",INDEX('TMP Paste'!$A$2:$A$1601,$AS503))</f>
        <v/>
      </c>
      <c r="K503" t="str">
        <f>IF($AS503="","",INDEX('TMP Paste'!$L$2:$L$1601,$AS503))</f>
        <v/>
      </c>
      <c r="L503" t="str">
        <f>IF($AS503="","",INDEX('TMP Paste'!$I$2:$I$1601,$AS503))</f>
        <v/>
      </c>
      <c r="M503" t="str">
        <f>IF($AS503="","",Config!$B$16)</f>
        <v/>
      </c>
      <c r="N503" t="str">
        <f t="shared" si="42"/>
        <v/>
      </c>
      <c r="O503" t="str">
        <f>IF($AS503="","",INDEX('TMP Paste'!$K$2:$K$1601,$AS503))</f>
        <v/>
      </c>
      <c r="P503" t="str">
        <f t="shared" si="43"/>
        <v/>
      </c>
      <c r="Q503" t="str">
        <f>IF($AS503="","",INDEX('TMP Paste'!$J$2:$J$1601,$AS503))</f>
        <v/>
      </c>
      <c r="R503" t="str">
        <f>IF($AS503="","",Config!$B$24)</f>
        <v/>
      </c>
      <c r="S503" t="str">
        <f ca="1">IF($AS503="","",TEXT(Config!$B$4,"yyyy-mm-dd"))</f>
        <v/>
      </c>
      <c r="T503" t="str">
        <f>IF($AS503="","",Config!$B$17)</f>
        <v/>
      </c>
      <c r="U503" t="str">
        <f>IF($AS503="","",Config!$B$18)</f>
        <v/>
      </c>
      <c r="V503" t="str">
        <f>IF($AS503="","",Config!$B$19)</f>
        <v/>
      </c>
      <c r="W503" t="str">
        <f>IF($AS503="","",INDEX('TMP Paste'!$C$2:$C$1601,$AS503))</f>
        <v/>
      </c>
      <c r="X503" t="str">
        <f>IF($AS503="","",Config!$B$29)</f>
        <v/>
      </c>
      <c r="Y503" t="str">
        <f>IF($AT503="","",INDEX(Calc!$I$2:$I$1601,$AT503)&amp;" - "&amp;INDEX(Calc!$D$2:$D$1601,$AT503)&amp;" koli")</f>
        <v/>
      </c>
      <c r="Z503" t="str">
        <f>IF($AS503="","",Config!$B$21)</f>
        <v/>
      </c>
      <c r="AA503" t="str">
        <f>IF($AS503="","",Config!$B$22)</f>
        <v/>
      </c>
      <c r="AB503" t="str">
        <f>IF($AT503="","",INDEX(Calc!$D$2:$D$1601,$AT503))</f>
        <v/>
      </c>
      <c r="AC503" t="str">
        <f>IF($AT503="","",INDEX(Calc!$G$2:$G$1601,$AT503))</f>
        <v/>
      </c>
      <c r="AD503" t="str">
        <f>IF($AS503="","",Config!$B$23)</f>
        <v/>
      </c>
      <c r="AE503" t="str">
        <f>IF($AS503="","",Config!$B$28)</f>
        <v/>
      </c>
      <c r="AF503" t="str">
        <f t="shared" si="44"/>
        <v/>
      </c>
      <c r="AG503" t="str">
        <f t="shared" si="45"/>
        <v/>
      </c>
      <c r="AH503" t="str">
        <f t="shared" si="46"/>
        <v/>
      </c>
      <c r="AI503" t="str">
        <f>IF($AG503="","",SUMIF($AG$2:$AG503,$AG503,$AH$2:$AH503))</f>
        <v/>
      </c>
      <c r="AJ503" t="str">
        <f>IF('TMP Paste'!$F503="","",IF('TMP Paste'!$B503="",$AJ502,'TMP Paste'!$B503))</f>
        <v/>
      </c>
      <c r="AK503" t="str">
        <f>IF('TMP Paste'!$F503="","",N('TMP Paste'!$G503))</f>
        <v/>
      </c>
      <c r="AL503" t="str">
        <f>IF('TMP Paste'!$F503="","",IF('TMP Paste'!$M503="",$AL502,'TMP Paste'!$M503))</f>
        <v/>
      </c>
      <c r="AM503" t="str">
        <f>IF('TMP Paste'!$F503="","",IF('TMP Paste'!$N503="",$AM502,'TMP Paste'!$N503))</f>
        <v/>
      </c>
      <c r="AN503" t="str">
        <f>IF('TMP Paste'!$F503="","",IF('TMP Paste'!$O503="",$AN502,'TMP Paste'!$O503))</f>
        <v/>
      </c>
      <c r="AO503" t="str">
        <f>IF('TMP Paste'!$F503="","",IF('TMP Paste'!$P503="",$AO502,'TMP Paste'!$P503))</f>
        <v/>
      </c>
      <c r="AP503" t="str">
        <f t="shared" si="47"/>
        <v/>
      </c>
      <c r="AQ503" t="str">
        <f>IF($AS503="","",TRIM(IF(COUNTIFS(Calc!$B$2:$B$1601,ROW()-1,Calc!$C$2:$C$1601,"&lt;1")&gt;0,"Ada PO tanpa Koli - cek TMP. ","")&amp;IF(OR($AU503="",$AU503&lt;=0),"Volume kosong/0 - dimensi dikosongkan. ","")&amp;IF(AND($AU503&lt;&gt;"",$AU503&gt;=1000000),"Volume &gt;= 1.000.000 cm3 (di luar aturan) - dimensi dikosongkan. ","")&amp;IF(LEN($R503)&gt;500,"R &gt; 500 karakter.","")))</f>
        <v/>
      </c>
      <c r="AS503" t="str">
        <f>IFERROR(MATCH(ROW()-1,Calc!$J$2:$J$1601,0),"")</f>
        <v/>
      </c>
      <c r="AT503" t="str">
        <f>IFERROR(MATCH(ROW()-1,Calc!$K$2:$K$1601,0),"")</f>
        <v/>
      </c>
      <c r="AU503" t="str">
        <f>IF($AS503="","",IFERROR(INDEX('TMP Paste'!$D$2:$D$1601,$AS503)*1000000/$AB503,""))</f>
        <v/>
      </c>
    </row>
    <row r="504" spans="1:47">
      <c r="A504" t="str">
        <f>IF($AS504="","",INDEX('TMP Paste'!$B$2:$B$1601,$AS504))</f>
        <v/>
      </c>
      <c r="B504" t="str">
        <f>IF($AS504="","",Config!$B$14)</f>
        <v/>
      </c>
      <c r="C504" t="str">
        <f>IF($AS504="","",Config!$B$15)</f>
        <v/>
      </c>
      <c r="D504" t="str">
        <f>IF($AS504="","",INDEX('TMP Paste'!$B$2:$B$1601,$AS504))</f>
        <v/>
      </c>
      <c r="E504" t="str">
        <f>IF($AS504="","",Config!$B$27)</f>
        <v/>
      </c>
      <c r="F504" t="str">
        <f>IF($AS504="","",Config!$B$9)</f>
        <v/>
      </c>
      <c r="G504" t="str">
        <f>IF($AS504="","",Config!$B$10)</f>
        <v/>
      </c>
      <c r="H504" t="str">
        <f>IF($AS504="","",Config!$B$11)</f>
        <v/>
      </c>
      <c r="I504" t="str">
        <f>IF($AS504="","",Config!$B$16)</f>
        <v/>
      </c>
      <c r="J504" t="str">
        <f>IF($AS504="","",INDEX('TMP Paste'!$A$2:$A$1601,$AS504))</f>
        <v/>
      </c>
      <c r="K504" t="str">
        <f>IF($AS504="","",INDEX('TMP Paste'!$L$2:$L$1601,$AS504))</f>
        <v/>
      </c>
      <c r="L504" t="str">
        <f>IF($AS504="","",INDEX('TMP Paste'!$I$2:$I$1601,$AS504))</f>
        <v/>
      </c>
      <c r="M504" t="str">
        <f>IF($AS504="","",Config!$B$16)</f>
        <v/>
      </c>
      <c r="N504" t="str">
        <f t="shared" si="42"/>
        <v/>
      </c>
      <c r="O504" t="str">
        <f>IF($AS504="","",INDEX('TMP Paste'!$K$2:$K$1601,$AS504))</f>
        <v/>
      </c>
      <c r="P504" t="str">
        <f t="shared" si="43"/>
        <v/>
      </c>
      <c r="Q504" t="str">
        <f>IF($AS504="","",INDEX('TMP Paste'!$J$2:$J$1601,$AS504))</f>
        <v/>
      </c>
      <c r="R504" t="str">
        <f>IF($AS504="","",Config!$B$24)</f>
        <v/>
      </c>
      <c r="S504" t="str">
        <f ca="1">IF($AS504="","",TEXT(Config!$B$4,"yyyy-mm-dd"))</f>
        <v/>
      </c>
      <c r="T504" t="str">
        <f>IF($AS504="","",Config!$B$17)</f>
        <v/>
      </c>
      <c r="U504" t="str">
        <f>IF($AS504="","",Config!$B$18)</f>
        <v/>
      </c>
      <c r="V504" t="str">
        <f>IF($AS504="","",Config!$B$19)</f>
        <v/>
      </c>
      <c r="W504" t="str">
        <f>IF($AS504="","",INDEX('TMP Paste'!$C$2:$C$1601,$AS504))</f>
        <v/>
      </c>
      <c r="X504" t="str">
        <f>IF($AS504="","",Config!$B$29)</f>
        <v/>
      </c>
      <c r="Y504" t="str">
        <f>IF($AT504="","",INDEX(Calc!$I$2:$I$1601,$AT504)&amp;" - "&amp;INDEX(Calc!$D$2:$D$1601,$AT504)&amp;" koli")</f>
        <v/>
      </c>
      <c r="Z504" t="str">
        <f>IF($AS504="","",Config!$B$21)</f>
        <v/>
      </c>
      <c r="AA504" t="str">
        <f>IF($AS504="","",Config!$B$22)</f>
        <v/>
      </c>
      <c r="AB504" t="str">
        <f>IF($AT504="","",INDEX(Calc!$D$2:$D$1601,$AT504))</f>
        <v/>
      </c>
      <c r="AC504" t="str">
        <f>IF($AT504="","",INDEX(Calc!$G$2:$G$1601,$AT504))</f>
        <v/>
      </c>
      <c r="AD504" t="str">
        <f>IF($AS504="","",Config!$B$23)</f>
        <v/>
      </c>
      <c r="AE504" t="str">
        <f>IF($AS504="","",Config!$B$28)</f>
        <v/>
      </c>
      <c r="AF504" t="str">
        <f t="shared" si="44"/>
        <v/>
      </c>
      <c r="AG504" t="str">
        <f t="shared" si="45"/>
        <v/>
      </c>
      <c r="AH504" t="str">
        <f t="shared" si="46"/>
        <v/>
      </c>
      <c r="AI504" t="str">
        <f>IF($AG504="","",SUMIF($AG$2:$AG504,$AG504,$AH$2:$AH504))</f>
        <v/>
      </c>
      <c r="AJ504" t="str">
        <f>IF('TMP Paste'!$F504="","",IF('TMP Paste'!$B504="",$AJ503,'TMP Paste'!$B504))</f>
        <v/>
      </c>
      <c r="AK504" t="str">
        <f>IF('TMP Paste'!$F504="","",N('TMP Paste'!$G504))</f>
        <v/>
      </c>
      <c r="AL504" t="str">
        <f>IF('TMP Paste'!$F504="","",IF('TMP Paste'!$M504="",$AL503,'TMP Paste'!$M504))</f>
        <v/>
      </c>
      <c r="AM504" t="str">
        <f>IF('TMP Paste'!$F504="","",IF('TMP Paste'!$N504="",$AM503,'TMP Paste'!$N504))</f>
        <v/>
      </c>
      <c r="AN504" t="str">
        <f>IF('TMP Paste'!$F504="","",IF('TMP Paste'!$O504="",$AN503,'TMP Paste'!$O504))</f>
        <v/>
      </c>
      <c r="AO504" t="str">
        <f>IF('TMP Paste'!$F504="","",IF('TMP Paste'!$P504="",$AO503,'TMP Paste'!$P504))</f>
        <v/>
      </c>
      <c r="AP504" t="str">
        <f t="shared" si="47"/>
        <v/>
      </c>
      <c r="AQ504" t="str">
        <f>IF($AS504="","",TRIM(IF(COUNTIFS(Calc!$B$2:$B$1601,ROW()-1,Calc!$C$2:$C$1601,"&lt;1")&gt;0,"Ada PO tanpa Koli - cek TMP. ","")&amp;IF(OR($AU504="",$AU504&lt;=0),"Volume kosong/0 - dimensi dikosongkan. ","")&amp;IF(AND($AU504&lt;&gt;"",$AU504&gt;=1000000),"Volume &gt;= 1.000.000 cm3 (di luar aturan) - dimensi dikosongkan. ","")&amp;IF(LEN($R504)&gt;500,"R &gt; 500 karakter.","")))</f>
        <v/>
      </c>
      <c r="AS504" t="str">
        <f>IFERROR(MATCH(ROW()-1,Calc!$J$2:$J$1601,0),"")</f>
        <v/>
      </c>
      <c r="AT504" t="str">
        <f>IFERROR(MATCH(ROW()-1,Calc!$K$2:$K$1601,0),"")</f>
        <v/>
      </c>
      <c r="AU504" t="str">
        <f>IF($AS504="","",IFERROR(INDEX('TMP Paste'!$D$2:$D$1601,$AS504)*1000000/$AB504,""))</f>
        <v/>
      </c>
    </row>
    <row r="505" spans="1:47">
      <c r="A505" t="str">
        <f>IF($AS505="","",INDEX('TMP Paste'!$B$2:$B$1601,$AS505))</f>
        <v/>
      </c>
      <c r="B505" t="str">
        <f>IF($AS505="","",Config!$B$14)</f>
        <v/>
      </c>
      <c r="C505" t="str">
        <f>IF($AS505="","",Config!$B$15)</f>
        <v/>
      </c>
      <c r="D505" t="str">
        <f>IF($AS505="","",INDEX('TMP Paste'!$B$2:$B$1601,$AS505))</f>
        <v/>
      </c>
      <c r="E505" t="str">
        <f>IF($AS505="","",Config!$B$27)</f>
        <v/>
      </c>
      <c r="F505" t="str">
        <f>IF($AS505="","",Config!$B$9)</f>
        <v/>
      </c>
      <c r="G505" t="str">
        <f>IF($AS505="","",Config!$B$10)</f>
        <v/>
      </c>
      <c r="H505" t="str">
        <f>IF($AS505="","",Config!$B$11)</f>
        <v/>
      </c>
      <c r="I505" t="str">
        <f>IF($AS505="","",Config!$B$16)</f>
        <v/>
      </c>
      <c r="J505" t="str">
        <f>IF($AS505="","",INDEX('TMP Paste'!$A$2:$A$1601,$AS505))</f>
        <v/>
      </c>
      <c r="K505" t="str">
        <f>IF($AS505="","",INDEX('TMP Paste'!$L$2:$L$1601,$AS505))</f>
        <v/>
      </c>
      <c r="L505" t="str">
        <f>IF($AS505="","",INDEX('TMP Paste'!$I$2:$I$1601,$AS505))</f>
        <v/>
      </c>
      <c r="M505" t="str">
        <f>IF($AS505="","",Config!$B$16)</f>
        <v/>
      </c>
      <c r="N505" t="str">
        <f t="shared" si="42"/>
        <v/>
      </c>
      <c r="O505" t="str">
        <f>IF($AS505="","",INDEX('TMP Paste'!$K$2:$K$1601,$AS505))</f>
        <v/>
      </c>
      <c r="P505" t="str">
        <f t="shared" si="43"/>
        <v/>
      </c>
      <c r="Q505" t="str">
        <f>IF($AS505="","",INDEX('TMP Paste'!$J$2:$J$1601,$AS505))</f>
        <v/>
      </c>
      <c r="R505" t="str">
        <f>IF($AS505="","",Config!$B$24)</f>
        <v/>
      </c>
      <c r="S505" t="str">
        <f ca="1">IF($AS505="","",TEXT(Config!$B$4,"yyyy-mm-dd"))</f>
        <v/>
      </c>
      <c r="T505" t="str">
        <f>IF($AS505="","",Config!$B$17)</f>
        <v/>
      </c>
      <c r="U505" t="str">
        <f>IF($AS505="","",Config!$B$18)</f>
        <v/>
      </c>
      <c r="V505" t="str">
        <f>IF($AS505="","",Config!$B$19)</f>
        <v/>
      </c>
      <c r="W505" t="str">
        <f>IF($AS505="","",INDEX('TMP Paste'!$C$2:$C$1601,$AS505))</f>
        <v/>
      </c>
      <c r="X505" t="str">
        <f>IF($AS505="","",Config!$B$29)</f>
        <v/>
      </c>
      <c r="Y505" t="str">
        <f>IF($AT505="","",INDEX(Calc!$I$2:$I$1601,$AT505)&amp;" - "&amp;INDEX(Calc!$D$2:$D$1601,$AT505)&amp;" koli")</f>
        <v/>
      </c>
      <c r="Z505" t="str">
        <f>IF($AS505="","",Config!$B$21)</f>
        <v/>
      </c>
      <c r="AA505" t="str">
        <f>IF($AS505="","",Config!$B$22)</f>
        <v/>
      </c>
      <c r="AB505" t="str">
        <f>IF($AT505="","",INDEX(Calc!$D$2:$D$1601,$AT505))</f>
        <v/>
      </c>
      <c r="AC505" t="str">
        <f>IF($AT505="","",INDEX(Calc!$G$2:$G$1601,$AT505))</f>
        <v/>
      </c>
      <c r="AD505" t="str">
        <f>IF($AS505="","",Config!$B$23)</f>
        <v/>
      </c>
      <c r="AE505" t="str">
        <f>IF($AS505="","",Config!$B$28)</f>
        <v/>
      </c>
      <c r="AF505" t="str">
        <f t="shared" si="44"/>
        <v/>
      </c>
      <c r="AG505" t="str">
        <f t="shared" si="45"/>
        <v/>
      </c>
      <c r="AH505" t="str">
        <f t="shared" si="46"/>
        <v/>
      </c>
      <c r="AI505" t="str">
        <f>IF($AG505="","",SUMIF($AG$2:$AG505,$AG505,$AH$2:$AH505))</f>
        <v/>
      </c>
      <c r="AJ505" t="str">
        <f>IF('TMP Paste'!$F505="","",IF('TMP Paste'!$B505="",$AJ504,'TMP Paste'!$B505))</f>
        <v/>
      </c>
      <c r="AK505" t="str">
        <f>IF('TMP Paste'!$F505="","",N('TMP Paste'!$G505))</f>
        <v/>
      </c>
      <c r="AL505" t="str">
        <f>IF('TMP Paste'!$F505="","",IF('TMP Paste'!$M505="",$AL504,'TMP Paste'!$M505))</f>
        <v/>
      </c>
      <c r="AM505" t="str">
        <f>IF('TMP Paste'!$F505="","",IF('TMP Paste'!$N505="",$AM504,'TMP Paste'!$N505))</f>
        <v/>
      </c>
      <c r="AN505" t="str">
        <f>IF('TMP Paste'!$F505="","",IF('TMP Paste'!$O505="",$AN504,'TMP Paste'!$O505))</f>
        <v/>
      </c>
      <c r="AO505" t="str">
        <f>IF('TMP Paste'!$F505="","",IF('TMP Paste'!$P505="",$AO504,'TMP Paste'!$P505))</f>
        <v/>
      </c>
      <c r="AP505" t="str">
        <f t="shared" si="47"/>
        <v/>
      </c>
      <c r="AQ505" t="str">
        <f>IF($AS505="","",TRIM(IF(COUNTIFS(Calc!$B$2:$B$1601,ROW()-1,Calc!$C$2:$C$1601,"&lt;1")&gt;0,"Ada PO tanpa Koli - cek TMP. ","")&amp;IF(OR($AU505="",$AU505&lt;=0),"Volume kosong/0 - dimensi dikosongkan. ","")&amp;IF(AND($AU505&lt;&gt;"",$AU505&gt;=1000000),"Volume &gt;= 1.000.000 cm3 (di luar aturan) - dimensi dikosongkan. ","")&amp;IF(LEN($R505)&gt;500,"R &gt; 500 karakter.","")))</f>
        <v/>
      </c>
      <c r="AS505" t="str">
        <f>IFERROR(MATCH(ROW()-1,Calc!$J$2:$J$1601,0),"")</f>
        <v/>
      </c>
      <c r="AT505" t="str">
        <f>IFERROR(MATCH(ROW()-1,Calc!$K$2:$K$1601,0),"")</f>
        <v/>
      </c>
      <c r="AU505" t="str">
        <f>IF($AS505="","",IFERROR(INDEX('TMP Paste'!$D$2:$D$1601,$AS505)*1000000/$AB505,""))</f>
        <v/>
      </c>
    </row>
    <row r="506" spans="1:47">
      <c r="A506" t="str">
        <f>IF($AS506="","",INDEX('TMP Paste'!$B$2:$B$1601,$AS506))</f>
        <v/>
      </c>
      <c r="B506" t="str">
        <f>IF($AS506="","",Config!$B$14)</f>
        <v/>
      </c>
      <c r="C506" t="str">
        <f>IF($AS506="","",Config!$B$15)</f>
        <v/>
      </c>
      <c r="D506" t="str">
        <f>IF($AS506="","",INDEX('TMP Paste'!$B$2:$B$1601,$AS506))</f>
        <v/>
      </c>
      <c r="E506" t="str">
        <f>IF($AS506="","",Config!$B$27)</f>
        <v/>
      </c>
      <c r="F506" t="str">
        <f>IF($AS506="","",Config!$B$9)</f>
        <v/>
      </c>
      <c r="G506" t="str">
        <f>IF($AS506="","",Config!$B$10)</f>
        <v/>
      </c>
      <c r="H506" t="str">
        <f>IF($AS506="","",Config!$B$11)</f>
        <v/>
      </c>
      <c r="I506" t="str">
        <f>IF($AS506="","",Config!$B$16)</f>
        <v/>
      </c>
      <c r="J506" t="str">
        <f>IF($AS506="","",INDEX('TMP Paste'!$A$2:$A$1601,$AS506))</f>
        <v/>
      </c>
      <c r="K506" t="str">
        <f>IF($AS506="","",INDEX('TMP Paste'!$L$2:$L$1601,$AS506))</f>
        <v/>
      </c>
      <c r="L506" t="str">
        <f>IF($AS506="","",INDEX('TMP Paste'!$I$2:$I$1601,$AS506))</f>
        <v/>
      </c>
      <c r="M506" t="str">
        <f>IF($AS506="","",Config!$B$16)</f>
        <v/>
      </c>
      <c r="N506" t="str">
        <f t="shared" si="42"/>
        <v/>
      </c>
      <c r="O506" t="str">
        <f>IF($AS506="","",INDEX('TMP Paste'!$K$2:$K$1601,$AS506))</f>
        <v/>
      </c>
      <c r="P506" t="str">
        <f t="shared" si="43"/>
        <v/>
      </c>
      <c r="Q506" t="str">
        <f>IF($AS506="","",INDEX('TMP Paste'!$J$2:$J$1601,$AS506))</f>
        <v/>
      </c>
      <c r="R506" t="str">
        <f>IF($AS506="","",Config!$B$24)</f>
        <v/>
      </c>
      <c r="S506" t="str">
        <f ca="1">IF($AS506="","",TEXT(Config!$B$4,"yyyy-mm-dd"))</f>
        <v/>
      </c>
      <c r="T506" t="str">
        <f>IF($AS506="","",Config!$B$17)</f>
        <v/>
      </c>
      <c r="U506" t="str">
        <f>IF($AS506="","",Config!$B$18)</f>
        <v/>
      </c>
      <c r="V506" t="str">
        <f>IF($AS506="","",Config!$B$19)</f>
        <v/>
      </c>
      <c r="W506" t="str">
        <f>IF($AS506="","",INDEX('TMP Paste'!$C$2:$C$1601,$AS506))</f>
        <v/>
      </c>
      <c r="X506" t="str">
        <f>IF($AS506="","",Config!$B$29)</f>
        <v/>
      </c>
      <c r="Y506" t="str">
        <f>IF($AT506="","",INDEX(Calc!$I$2:$I$1601,$AT506)&amp;" - "&amp;INDEX(Calc!$D$2:$D$1601,$AT506)&amp;" koli")</f>
        <v/>
      </c>
      <c r="Z506" t="str">
        <f>IF($AS506="","",Config!$B$21)</f>
        <v/>
      </c>
      <c r="AA506" t="str">
        <f>IF($AS506="","",Config!$B$22)</f>
        <v/>
      </c>
      <c r="AB506" t="str">
        <f>IF($AT506="","",INDEX(Calc!$D$2:$D$1601,$AT506))</f>
        <v/>
      </c>
      <c r="AC506" t="str">
        <f>IF($AT506="","",INDEX(Calc!$G$2:$G$1601,$AT506))</f>
        <v/>
      </c>
      <c r="AD506" t="str">
        <f>IF($AS506="","",Config!$B$23)</f>
        <v/>
      </c>
      <c r="AE506" t="str">
        <f>IF($AS506="","",Config!$B$28)</f>
        <v/>
      </c>
      <c r="AF506" t="str">
        <f t="shared" si="44"/>
        <v/>
      </c>
      <c r="AG506" t="str">
        <f t="shared" si="45"/>
        <v/>
      </c>
      <c r="AH506" t="str">
        <f t="shared" si="46"/>
        <v/>
      </c>
      <c r="AI506" t="str">
        <f>IF($AG506="","",SUMIF($AG$2:$AG506,$AG506,$AH$2:$AH506))</f>
        <v/>
      </c>
      <c r="AJ506" t="str">
        <f>IF('TMP Paste'!$F506="","",IF('TMP Paste'!$B506="",$AJ505,'TMP Paste'!$B506))</f>
        <v/>
      </c>
      <c r="AK506" t="str">
        <f>IF('TMP Paste'!$F506="","",N('TMP Paste'!$G506))</f>
        <v/>
      </c>
      <c r="AL506" t="str">
        <f>IF('TMP Paste'!$F506="","",IF('TMP Paste'!$M506="",$AL505,'TMP Paste'!$M506))</f>
        <v/>
      </c>
      <c r="AM506" t="str">
        <f>IF('TMP Paste'!$F506="","",IF('TMP Paste'!$N506="",$AM505,'TMP Paste'!$N506))</f>
        <v/>
      </c>
      <c r="AN506" t="str">
        <f>IF('TMP Paste'!$F506="","",IF('TMP Paste'!$O506="",$AN505,'TMP Paste'!$O506))</f>
        <v/>
      </c>
      <c r="AO506" t="str">
        <f>IF('TMP Paste'!$F506="","",IF('TMP Paste'!$P506="",$AO505,'TMP Paste'!$P506))</f>
        <v/>
      </c>
      <c r="AP506" t="str">
        <f t="shared" si="47"/>
        <v/>
      </c>
      <c r="AQ506" t="str">
        <f>IF($AS506="","",TRIM(IF(COUNTIFS(Calc!$B$2:$B$1601,ROW()-1,Calc!$C$2:$C$1601,"&lt;1")&gt;0,"Ada PO tanpa Koli - cek TMP. ","")&amp;IF(OR($AU506="",$AU506&lt;=0),"Volume kosong/0 - dimensi dikosongkan. ","")&amp;IF(AND($AU506&lt;&gt;"",$AU506&gt;=1000000),"Volume &gt;= 1.000.000 cm3 (di luar aturan) - dimensi dikosongkan. ","")&amp;IF(LEN($R506)&gt;500,"R &gt; 500 karakter.","")))</f>
        <v/>
      </c>
      <c r="AS506" t="str">
        <f>IFERROR(MATCH(ROW()-1,Calc!$J$2:$J$1601,0),"")</f>
        <v/>
      </c>
      <c r="AT506" t="str">
        <f>IFERROR(MATCH(ROW()-1,Calc!$K$2:$K$1601,0),"")</f>
        <v/>
      </c>
      <c r="AU506" t="str">
        <f>IF($AS506="","",IFERROR(INDEX('TMP Paste'!$D$2:$D$1601,$AS506)*1000000/$AB506,""))</f>
        <v/>
      </c>
    </row>
    <row r="507" spans="1:47">
      <c r="A507" t="str">
        <f>IF($AS507="","",INDEX('TMP Paste'!$B$2:$B$1601,$AS507))</f>
        <v/>
      </c>
      <c r="B507" t="str">
        <f>IF($AS507="","",Config!$B$14)</f>
        <v/>
      </c>
      <c r="C507" t="str">
        <f>IF($AS507="","",Config!$B$15)</f>
        <v/>
      </c>
      <c r="D507" t="str">
        <f>IF($AS507="","",INDEX('TMP Paste'!$B$2:$B$1601,$AS507))</f>
        <v/>
      </c>
      <c r="E507" t="str">
        <f>IF($AS507="","",Config!$B$27)</f>
        <v/>
      </c>
      <c r="F507" t="str">
        <f>IF($AS507="","",Config!$B$9)</f>
        <v/>
      </c>
      <c r="G507" t="str">
        <f>IF($AS507="","",Config!$B$10)</f>
        <v/>
      </c>
      <c r="H507" t="str">
        <f>IF($AS507="","",Config!$B$11)</f>
        <v/>
      </c>
      <c r="I507" t="str">
        <f>IF($AS507="","",Config!$B$16)</f>
        <v/>
      </c>
      <c r="J507" t="str">
        <f>IF($AS507="","",INDEX('TMP Paste'!$A$2:$A$1601,$AS507))</f>
        <v/>
      </c>
      <c r="K507" t="str">
        <f>IF($AS507="","",INDEX('TMP Paste'!$L$2:$L$1601,$AS507))</f>
        <v/>
      </c>
      <c r="L507" t="str">
        <f>IF($AS507="","",INDEX('TMP Paste'!$I$2:$I$1601,$AS507))</f>
        <v/>
      </c>
      <c r="M507" t="str">
        <f>IF($AS507="","",Config!$B$16)</f>
        <v/>
      </c>
      <c r="N507" t="str">
        <f t="shared" si="42"/>
        <v/>
      </c>
      <c r="O507" t="str">
        <f>IF($AS507="","",INDEX('TMP Paste'!$K$2:$K$1601,$AS507))</f>
        <v/>
      </c>
      <c r="P507" t="str">
        <f t="shared" si="43"/>
        <v/>
      </c>
      <c r="Q507" t="str">
        <f>IF($AS507="","",INDEX('TMP Paste'!$J$2:$J$1601,$AS507))</f>
        <v/>
      </c>
      <c r="R507" t="str">
        <f>IF($AS507="","",Config!$B$24)</f>
        <v/>
      </c>
      <c r="S507" t="str">
        <f ca="1">IF($AS507="","",TEXT(Config!$B$4,"yyyy-mm-dd"))</f>
        <v/>
      </c>
      <c r="T507" t="str">
        <f>IF($AS507="","",Config!$B$17)</f>
        <v/>
      </c>
      <c r="U507" t="str">
        <f>IF($AS507="","",Config!$B$18)</f>
        <v/>
      </c>
      <c r="V507" t="str">
        <f>IF($AS507="","",Config!$B$19)</f>
        <v/>
      </c>
      <c r="W507" t="str">
        <f>IF($AS507="","",INDEX('TMP Paste'!$C$2:$C$1601,$AS507))</f>
        <v/>
      </c>
      <c r="X507" t="str">
        <f>IF($AS507="","",Config!$B$29)</f>
        <v/>
      </c>
      <c r="Y507" t="str">
        <f>IF($AT507="","",INDEX(Calc!$I$2:$I$1601,$AT507)&amp;" - "&amp;INDEX(Calc!$D$2:$D$1601,$AT507)&amp;" koli")</f>
        <v/>
      </c>
      <c r="Z507" t="str">
        <f>IF($AS507="","",Config!$B$21)</f>
        <v/>
      </c>
      <c r="AA507" t="str">
        <f>IF($AS507="","",Config!$B$22)</f>
        <v/>
      </c>
      <c r="AB507" t="str">
        <f>IF($AT507="","",INDEX(Calc!$D$2:$D$1601,$AT507))</f>
        <v/>
      </c>
      <c r="AC507" t="str">
        <f>IF($AT507="","",INDEX(Calc!$G$2:$G$1601,$AT507))</f>
        <v/>
      </c>
      <c r="AD507" t="str">
        <f>IF($AS507="","",Config!$B$23)</f>
        <v/>
      </c>
      <c r="AE507" t="str">
        <f>IF($AS507="","",Config!$B$28)</f>
        <v/>
      </c>
      <c r="AF507" t="str">
        <f t="shared" si="44"/>
        <v/>
      </c>
      <c r="AG507" t="str">
        <f t="shared" si="45"/>
        <v/>
      </c>
      <c r="AH507" t="str">
        <f t="shared" si="46"/>
        <v/>
      </c>
      <c r="AI507" t="str">
        <f>IF($AG507="","",SUMIF($AG$2:$AG507,$AG507,$AH$2:$AH507))</f>
        <v/>
      </c>
      <c r="AJ507" t="str">
        <f>IF('TMP Paste'!$F507="","",IF('TMP Paste'!$B507="",$AJ506,'TMP Paste'!$B507))</f>
        <v/>
      </c>
      <c r="AK507" t="str">
        <f>IF('TMP Paste'!$F507="","",N('TMP Paste'!$G507))</f>
        <v/>
      </c>
      <c r="AL507" t="str">
        <f>IF('TMP Paste'!$F507="","",IF('TMP Paste'!$M507="",$AL506,'TMP Paste'!$M507))</f>
        <v/>
      </c>
      <c r="AM507" t="str">
        <f>IF('TMP Paste'!$F507="","",IF('TMP Paste'!$N507="",$AM506,'TMP Paste'!$N507))</f>
        <v/>
      </c>
      <c r="AN507" t="str">
        <f>IF('TMP Paste'!$F507="","",IF('TMP Paste'!$O507="",$AN506,'TMP Paste'!$O507))</f>
        <v/>
      </c>
      <c r="AO507" t="str">
        <f>IF('TMP Paste'!$F507="","",IF('TMP Paste'!$P507="",$AO506,'TMP Paste'!$P507))</f>
        <v/>
      </c>
      <c r="AP507" t="str">
        <f t="shared" si="47"/>
        <v/>
      </c>
      <c r="AQ507" t="str">
        <f>IF($AS507="","",TRIM(IF(COUNTIFS(Calc!$B$2:$B$1601,ROW()-1,Calc!$C$2:$C$1601,"&lt;1")&gt;0,"Ada PO tanpa Koli - cek TMP. ","")&amp;IF(OR($AU507="",$AU507&lt;=0),"Volume kosong/0 - dimensi dikosongkan. ","")&amp;IF(AND($AU507&lt;&gt;"",$AU507&gt;=1000000),"Volume &gt;= 1.000.000 cm3 (di luar aturan) - dimensi dikosongkan. ","")&amp;IF(LEN($R507)&gt;500,"R &gt; 500 karakter.","")))</f>
        <v/>
      </c>
      <c r="AS507" t="str">
        <f>IFERROR(MATCH(ROW()-1,Calc!$J$2:$J$1601,0),"")</f>
        <v/>
      </c>
      <c r="AT507" t="str">
        <f>IFERROR(MATCH(ROW()-1,Calc!$K$2:$K$1601,0),"")</f>
        <v/>
      </c>
      <c r="AU507" t="str">
        <f>IF($AS507="","",IFERROR(INDEX('TMP Paste'!$D$2:$D$1601,$AS507)*1000000/$AB507,""))</f>
        <v/>
      </c>
    </row>
    <row r="508" spans="1:47">
      <c r="A508" t="str">
        <f>IF($AS508="","",INDEX('TMP Paste'!$B$2:$B$1601,$AS508))</f>
        <v/>
      </c>
      <c r="B508" t="str">
        <f>IF($AS508="","",Config!$B$14)</f>
        <v/>
      </c>
      <c r="C508" t="str">
        <f>IF($AS508="","",Config!$B$15)</f>
        <v/>
      </c>
      <c r="D508" t="str">
        <f>IF($AS508="","",INDEX('TMP Paste'!$B$2:$B$1601,$AS508))</f>
        <v/>
      </c>
      <c r="E508" t="str">
        <f>IF($AS508="","",Config!$B$27)</f>
        <v/>
      </c>
      <c r="F508" t="str">
        <f>IF($AS508="","",Config!$B$9)</f>
        <v/>
      </c>
      <c r="G508" t="str">
        <f>IF($AS508="","",Config!$B$10)</f>
        <v/>
      </c>
      <c r="H508" t="str">
        <f>IF($AS508="","",Config!$B$11)</f>
        <v/>
      </c>
      <c r="I508" t="str">
        <f>IF($AS508="","",Config!$B$16)</f>
        <v/>
      </c>
      <c r="J508" t="str">
        <f>IF($AS508="","",INDEX('TMP Paste'!$A$2:$A$1601,$AS508))</f>
        <v/>
      </c>
      <c r="K508" t="str">
        <f>IF($AS508="","",INDEX('TMP Paste'!$L$2:$L$1601,$AS508))</f>
        <v/>
      </c>
      <c r="L508" t="str">
        <f>IF($AS508="","",INDEX('TMP Paste'!$I$2:$I$1601,$AS508))</f>
        <v/>
      </c>
      <c r="M508" t="str">
        <f>IF($AS508="","",Config!$B$16)</f>
        <v/>
      </c>
      <c r="N508" t="str">
        <f t="shared" si="42"/>
        <v/>
      </c>
      <c r="O508" t="str">
        <f>IF($AS508="","",INDEX('TMP Paste'!$K$2:$K$1601,$AS508))</f>
        <v/>
      </c>
      <c r="P508" t="str">
        <f t="shared" si="43"/>
        <v/>
      </c>
      <c r="Q508" t="str">
        <f>IF($AS508="","",INDEX('TMP Paste'!$J$2:$J$1601,$AS508))</f>
        <v/>
      </c>
      <c r="R508" t="str">
        <f>IF($AS508="","",Config!$B$24)</f>
        <v/>
      </c>
      <c r="S508" t="str">
        <f ca="1">IF($AS508="","",TEXT(Config!$B$4,"yyyy-mm-dd"))</f>
        <v/>
      </c>
      <c r="T508" t="str">
        <f>IF($AS508="","",Config!$B$17)</f>
        <v/>
      </c>
      <c r="U508" t="str">
        <f>IF($AS508="","",Config!$B$18)</f>
        <v/>
      </c>
      <c r="V508" t="str">
        <f>IF($AS508="","",Config!$B$19)</f>
        <v/>
      </c>
      <c r="W508" t="str">
        <f>IF($AS508="","",INDEX('TMP Paste'!$C$2:$C$1601,$AS508))</f>
        <v/>
      </c>
      <c r="X508" t="str">
        <f>IF($AS508="","",Config!$B$29)</f>
        <v/>
      </c>
      <c r="Y508" t="str">
        <f>IF($AT508="","",INDEX(Calc!$I$2:$I$1601,$AT508)&amp;" - "&amp;INDEX(Calc!$D$2:$D$1601,$AT508)&amp;" koli")</f>
        <v/>
      </c>
      <c r="Z508" t="str">
        <f>IF($AS508="","",Config!$B$21)</f>
        <v/>
      </c>
      <c r="AA508" t="str">
        <f>IF($AS508="","",Config!$B$22)</f>
        <v/>
      </c>
      <c r="AB508" t="str">
        <f>IF($AT508="","",INDEX(Calc!$D$2:$D$1601,$AT508))</f>
        <v/>
      </c>
      <c r="AC508" t="str">
        <f>IF($AT508="","",INDEX(Calc!$G$2:$G$1601,$AT508))</f>
        <v/>
      </c>
      <c r="AD508" t="str">
        <f>IF($AS508="","",Config!$B$23)</f>
        <v/>
      </c>
      <c r="AE508" t="str">
        <f>IF($AS508="","",Config!$B$28)</f>
        <v/>
      </c>
      <c r="AF508" t="str">
        <f t="shared" si="44"/>
        <v/>
      </c>
      <c r="AG508" t="str">
        <f t="shared" si="45"/>
        <v/>
      </c>
      <c r="AH508" t="str">
        <f t="shared" si="46"/>
        <v/>
      </c>
      <c r="AI508" t="str">
        <f>IF($AG508="","",SUMIF($AG$2:$AG508,$AG508,$AH$2:$AH508))</f>
        <v/>
      </c>
      <c r="AJ508" t="str">
        <f>IF('TMP Paste'!$F508="","",IF('TMP Paste'!$B508="",$AJ507,'TMP Paste'!$B508))</f>
        <v/>
      </c>
      <c r="AK508" t="str">
        <f>IF('TMP Paste'!$F508="","",N('TMP Paste'!$G508))</f>
        <v/>
      </c>
      <c r="AL508" t="str">
        <f>IF('TMP Paste'!$F508="","",IF('TMP Paste'!$M508="",$AL507,'TMP Paste'!$M508))</f>
        <v/>
      </c>
      <c r="AM508" t="str">
        <f>IF('TMP Paste'!$F508="","",IF('TMP Paste'!$N508="",$AM507,'TMP Paste'!$N508))</f>
        <v/>
      </c>
      <c r="AN508" t="str">
        <f>IF('TMP Paste'!$F508="","",IF('TMP Paste'!$O508="",$AN507,'TMP Paste'!$O508))</f>
        <v/>
      </c>
      <c r="AO508" t="str">
        <f>IF('TMP Paste'!$F508="","",IF('TMP Paste'!$P508="",$AO507,'TMP Paste'!$P508))</f>
        <v/>
      </c>
      <c r="AP508" t="str">
        <f t="shared" si="47"/>
        <v/>
      </c>
      <c r="AQ508" t="str">
        <f>IF($AS508="","",TRIM(IF(COUNTIFS(Calc!$B$2:$B$1601,ROW()-1,Calc!$C$2:$C$1601,"&lt;1")&gt;0,"Ada PO tanpa Koli - cek TMP. ","")&amp;IF(OR($AU508="",$AU508&lt;=0),"Volume kosong/0 - dimensi dikosongkan. ","")&amp;IF(AND($AU508&lt;&gt;"",$AU508&gt;=1000000),"Volume &gt;= 1.000.000 cm3 (di luar aturan) - dimensi dikosongkan. ","")&amp;IF(LEN($R508)&gt;500,"R &gt; 500 karakter.","")))</f>
        <v/>
      </c>
      <c r="AS508" t="str">
        <f>IFERROR(MATCH(ROW()-1,Calc!$J$2:$J$1601,0),"")</f>
        <v/>
      </c>
      <c r="AT508" t="str">
        <f>IFERROR(MATCH(ROW()-1,Calc!$K$2:$K$1601,0),"")</f>
        <v/>
      </c>
      <c r="AU508" t="str">
        <f>IF($AS508="","",IFERROR(INDEX('TMP Paste'!$D$2:$D$1601,$AS508)*1000000/$AB508,""))</f>
        <v/>
      </c>
    </row>
    <row r="509" spans="1:47">
      <c r="A509" t="str">
        <f>IF($AS509="","",INDEX('TMP Paste'!$B$2:$B$1601,$AS509))</f>
        <v/>
      </c>
      <c r="B509" t="str">
        <f>IF($AS509="","",Config!$B$14)</f>
        <v/>
      </c>
      <c r="C509" t="str">
        <f>IF($AS509="","",Config!$B$15)</f>
        <v/>
      </c>
      <c r="D509" t="str">
        <f>IF($AS509="","",INDEX('TMP Paste'!$B$2:$B$1601,$AS509))</f>
        <v/>
      </c>
      <c r="E509" t="str">
        <f>IF($AS509="","",Config!$B$27)</f>
        <v/>
      </c>
      <c r="F509" t="str">
        <f>IF($AS509="","",Config!$B$9)</f>
        <v/>
      </c>
      <c r="G509" t="str">
        <f>IF($AS509="","",Config!$B$10)</f>
        <v/>
      </c>
      <c r="H509" t="str">
        <f>IF($AS509="","",Config!$B$11)</f>
        <v/>
      </c>
      <c r="I509" t="str">
        <f>IF($AS509="","",Config!$B$16)</f>
        <v/>
      </c>
      <c r="J509" t="str">
        <f>IF($AS509="","",INDEX('TMP Paste'!$A$2:$A$1601,$AS509))</f>
        <v/>
      </c>
      <c r="K509" t="str">
        <f>IF($AS509="","",INDEX('TMP Paste'!$L$2:$L$1601,$AS509))</f>
        <v/>
      </c>
      <c r="L509" t="str">
        <f>IF($AS509="","",INDEX('TMP Paste'!$I$2:$I$1601,$AS509))</f>
        <v/>
      </c>
      <c r="M509" t="str">
        <f>IF($AS509="","",Config!$B$16)</f>
        <v/>
      </c>
      <c r="N509" t="str">
        <f t="shared" si="42"/>
        <v/>
      </c>
      <c r="O509" t="str">
        <f>IF($AS509="","",INDEX('TMP Paste'!$K$2:$K$1601,$AS509))</f>
        <v/>
      </c>
      <c r="P509" t="str">
        <f t="shared" si="43"/>
        <v/>
      </c>
      <c r="Q509" t="str">
        <f>IF($AS509="","",INDEX('TMP Paste'!$J$2:$J$1601,$AS509))</f>
        <v/>
      </c>
      <c r="R509" t="str">
        <f>IF($AS509="","",Config!$B$24)</f>
        <v/>
      </c>
      <c r="S509" t="str">
        <f ca="1">IF($AS509="","",TEXT(Config!$B$4,"yyyy-mm-dd"))</f>
        <v/>
      </c>
      <c r="T509" t="str">
        <f>IF($AS509="","",Config!$B$17)</f>
        <v/>
      </c>
      <c r="U509" t="str">
        <f>IF($AS509="","",Config!$B$18)</f>
        <v/>
      </c>
      <c r="V509" t="str">
        <f>IF($AS509="","",Config!$B$19)</f>
        <v/>
      </c>
      <c r="W509" t="str">
        <f>IF($AS509="","",INDEX('TMP Paste'!$C$2:$C$1601,$AS509))</f>
        <v/>
      </c>
      <c r="X509" t="str">
        <f>IF($AS509="","",Config!$B$29)</f>
        <v/>
      </c>
      <c r="Y509" t="str">
        <f>IF($AT509="","",INDEX(Calc!$I$2:$I$1601,$AT509)&amp;" - "&amp;INDEX(Calc!$D$2:$D$1601,$AT509)&amp;" koli")</f>
        <v/>
      </c>
      <c r="Z509" t="str">
        <f>IF($AS509="","",Config!$B$21)</f>
        <v/>
      </c>
      <c r="AA509" t="str">
        <f>IF($AS509="","",Config!$B$22)</f>
        <v/>
      </c>
      <c r="AB509" t="str">
        <f>IF($AT509="","",INDEX(Calc!$D$2:$D$1601,$AT509))</f>
        <v/>
      </c>
      <c r="AC509" t="str">
        <f>IF($AT509="","",INDEX(Calc!$G$2:$G$1601,$AT509))</f>
        <v/>
      </c>
      <c r="AD509" t="str">
        <f>IF($AS509="","",Config!$B$23)</f>
        <v/>
      </c>
      <c r="AE509" t="str">
        <f>IF($AS509="","",Config!$B$28)</f>
        <v/>
      </c>
      <c r="AF509" t="str">
        <f t="shared" si="44"/>
        <v/>
      </c>
      <c r="AG509" t="str">
        <f t="shared" si="45"/>
        <v/>
      </c>
      <c r="AH509" t="str">
        <f t="shared" si="46"/>
        <v/>
      </c>
      <c r="AI509" t="str">
        <f>IF($AG509="","",SUMIF($AG$2:$AG509,$AG509,$AH$2:$AH509))</f>
        <v/>
      </c>
      <c r="AJ509" t="str">
        <f>IF('TMP Paste'!$F509="","",IF('TMP Paste'!$B509="",$AJ508,'TMP Paste'!$B509))</f>
        <v/>
      </c>
      <c r="AK509" t="str">
        <f>IF('TMP Paste'!$F509="","",N('TMP Paste'!$G509))</f>
        <v/>
      </c>
      <c r="AL509" t="str">
        <f>IF('TMP Paste'!$F509="","",IF('TMP Paste'!$M509="",$AL508,'TMP Paste'!$M509))</f>
        <v/>
      </c>
      <c r="AM509" t="str">
        <f>IF('TMP Paste'!$F509="","",IF('TMP Paste'!$N509="",$AM508,'TMP Paste'!$N509))</f>
        <v/>
      </c>
      <c r="AN509" t="str">
        <f>IF('TMP Paste'!$F509="","",IF('TMP Paste'!$O509="",$AN508,'TMP Paste'!$O509))</f>
        <v/>
      </c>
      <c r="AO509" t="str">
        <f>IF('TMP Paste'!$F509="","",IF('TMP Paste'!$P509="",$AO508,'TMP Paste'!$P509))</f>
        <v/>
      </c>
      <c r="AP509" t="str">
        <f t="shared" si="47"/>
        <v/>
      </c>
      <c r="AQ509" t="str">
        <f>IF($AS509="","",TRIM(IF(COUNTIFS(Calc!$B$2:$B$1601,ROW()-1,Calc!$C$2:$C$1601,"&lt;1")&gt;0,"Ada PO tanpa Koli - cek TMP. ","")&amp;IF(OR($AU509="",$AU509&lt;=0),"Volume kosong/0 - dimensi dikosongkan. ","")&amp;IF(AND($AU509&lt;&gt;"",$AU509&gt;=1000000),"Volume &gt;= 1.000.000 cm3 (di luar aturan) - dimensi dikosongkan. ","")&amp;IF(LEN($R509)&gt;500,"R &gt; 500 karakter.","")))</f>
        <v/>
      </c>
      <c r="AS509" t="str">
        <f>IFERROR(MATCH(ROW()-1,Calc!$J$2:$J$1601,0),"")</f>
        <v/>
      </c>
      <c r="AT509" t="str">
        <f>IFERROR(MATCH(ROW()-1,Calc!$K$2:$K$1601,0),"")</f>
        <v/>
      </c>
      <c r="AU509" t="str">
        <f>IF($AS509="","",IFERROR(INDEX('TMP Paste'!$D$2:$D$1601,$AS509)*1000000/$AB509,""))</f>
        <v/>
      </c>
    </row>
    <row r="510" spans="1:47">
      <c r="A510" t="str">
        <f>IF($AS510="","",INDEX('TMP Paste'!$B$2:$B$1601,$AS510))</f>
        <v/>
      </c>
      <c r="B510" t="str">
        <f>IF($AS510="","",Config!$B$14)</f>
        <v/>
      </c>
      <c r="C510" t="str">
        <f>IF($AS510="","",Config!$B$15)</f>
        <v/>
      </c>
      <c r="D510" t="str">
        <f>IF($AS510="","",INDEX('TMP Paste'!$B$2:$B$1601,$AS510))</f>
        <v/>
      </c>
      <c r="E510" t="str">
        <f>IF($AS510="","",Config!$B$27)</f>
        <v/>
      </c>
      <c r="F510" t="str">
        <f>IF($AS510="","",Config!$B$9)</f>
        <v/>
      </c>
      <c r="G510" t="str">
        <f>IF($AS510="","",Config!$B$10)</f>
        <v/>
      </c>
      <c r="H510" t="str">
        <f>IF($AS510="","",Config!$B$11)</f>
        <v/>
      </c>
      <c r="I510" t="str">
        <f>IF($AS510="","",Config!$B$16)</f>
        <v/>
      </c>
      <c r="J510" t="str">
        <f>IF($AS510="","",INDEX('TMP Paste'!$A$2:$A$1601,$AS510))</f>
        <v/>
      </c>
      <c r="K510" t="str">
        <f>IF($AS510="","",INDEX('TMP Paste'!$L$2:$L$1601,$AS510))</f>
        <v/>
      </c>
      <c r="L510" t="str">
        <f>IF($AS510="","",INDEX('TMP Paste'!$I$2:$I$1601,$AS510))</f>
        <v/>
      </c>
      <c r="M510" t="str">
        <f>IF($AS510="","",Config!$B$16)</f>
        <v/>
      </c>
      <c r="N510" t="str">
        <f t="shared" si="42"/>
        <v/>
      </c>
      <c r="O510" t="str">
        <f>IF($AS510="","",INDEX('TMP Paste'!$K$2:$K$1601,$AS510))</f>
        <v/>
      </c>
      <c r="P510" t="str">
        <f t="shared" si="43"/>
        <v/>
      </c>
      <c r="Q510" t="str">
        <f>IF($AS510="","",INDEX('TMP Paste'!$J$2:$J$1601,$AS510))</f>
        <v/>
      </c>
      <c r="R510" t="str">
        <f>IF($AS510="","",Config!$B$24)</f>
        <v/>
      </c>
      <c r="S510" t="str">
        <f ca="1">IF($AS510="","",TEXT(Config!$B$4,"yyyy-mm-dd"))</f>
        <v/>
      </c>
      <c r="T510" t="str">
        <f>IF($AS510="","",Config!$B$17)</f>
        <v/>
      </c>
      <c r="U510" t="str">
        <f>IF($AS510="","",Config!$B$18)</f>
        <v/>
      </c>
      <c r="V510" t="str">
        <f>IF($AS510="","",Config!$B$19)</f>
        <v/>
      </c>
      <c r="W510" t="str">
        <f>IF($AS510="","",INDEX('TMP Paste'!$C$2:$C$1601,$AS510))</f>
        <v/>
      </c>
      <c r="X510" t="str">
        <f>IF($AS510="","",Config!$B$29)</f>
        <v/>
      </c>
      <c r="Y510" t="str">
        <f>IF($AT510="","",INDEX(Calc!$I$2:$I$1601,$AT510)&amp;" - "&amp;INDEX(Calc!$D$2:$D$1601,$AT510)&amp;" koli")</f>
        <v/>
      </c>
      <c r="Z510" t="str">
        <f>IF($AS510="","",Config!$B$21)</f>
        <v/>
      </c>
      <c r="AA510" t="str">
        <f>IF($AS510="","",Config!$B$22)</f>
        <v/>
      </c>
      <c r="AB510" t="str">
        <f>IF($AT510="","",INDEX(Calc!$D$2:$D$1601,$AT510))</f>
        <v/>
      </c>
      <c r="AC510" t="str">
        <f>IF($AT510="","",INDEX(Calc!$G$2:$G$1601,$AT510))</f>
        <v/>
      </c>
      <c r="AD510" t="str">
        <f>IF($AS510="","",Config!$B$23)</f>
        <v/>
      </c>
      <c r="AE510" t="str">
        <f>IF($AS510="","",Config!$B$28)</f>
        <v/>
      </c>
      <c r="AF510" t="str">
        <f t="shared" si="44"/>
        <v/>
      </c>
      <c r="AG510" t="str">
        <f t="shared" si="45"/>
        <v/>
      </c>
      <c r="AH510" t="str">
        <f t="shared" si="46"/>
        <v/>
      </c>
      <c r="AI510" t="str">
        <f>IF($AG510="","",SUMIF($AG$2:$AG510,$AG510,$AH$2:$AH510))</f>
        <v/>
      </c>
      <c r="AJ510" t="str">
        <f>IF('TMP Paste'!$F510="","",IF('TMP Paste'!$B510="",$AJ509,'TMP Paste'!$B510))</f>
        <v/>
      </c>
      <c r="AK510" t="str">
        <f>IF('TMP Paste'!$F510="","",N('TMP Paste'!$G510))</f>
        <v/>
      </c>
      <c r="AL510" t="str">
        <f>IF('TMP Paste'!$F510="","",IF('TMP Paste'!$M510="",$AL509,'TMP Paste'!$M510))</f>
        <v/>
      </c>
      <c r="AM510" t="str">
        <f>IF('TMP Paste'!$F510="","",IF('TMP Paste'!$N510="",$AM509,'TMP Paste'!$N510))</f>
        <v/>
      </c>
      <c r="AN510" t="str">
        <f>IF('TMP Paste'!$F510="","",IF('TMP Paste'!$O510="",$AN509,'TMP Paste'!$O510))</f>
        <v/>
      </c>
      <c r="AO510" t="str">
        <f>IF('TMP Paste'!$F510="","",IF('TMP Paste'!$P510="",$AO509,'TMP Paste'!$P510))</f>
        <v/>
      </c>
      <c r="AP510" t="str">
        <f t="shared" si="47"/>
        <v/>
      </c>
      <c r="AQ510" t="str">
        <f>IF($AS510="","",TRIM(IF(COUNTIFS(Calc!$B$2:$B$1601,ROW()-1,Calc!$C$2:$C$1601,"&lt;1")&gt;0,"Ada PO tanpa Koli - cek TMP. ","")&amp;IF(OR($AU510="",$AU510&lt;=0),"Volume kosong/0 - dimensi dikosongkan. ","")&amp;IF(AND($AU510&lt;&gt;"",$AU510&gt;=1000000),"Volume &gt;= 1.000.000 cm3 (di luar aturan) - dimensi dikosongkan. ","")&amp;IF(LEN($R510)&gt;500,"R &gt; 500 karakter.","")))</f>
        <v/>
      </c>
      <c r="AS510" t="str">
        <f>IFERROR(MATCH(ROW()-1,Calc!$J$2:$J$1601,0),"")</f>
        <v/>
      </c>
      <c r="AT510" t="str">
        <f>IFERROR(MATCH(ROW()-1,Calc!$K$2:$K$1601,0),"")</f>
        <v/>
      </c>
      <c r="AU510" t="str">
        <f>IF($AS510="","",IFERROR(INDEX('TMP Paste'!$D$2:$D$1601,$AS510)*1000000/$AB510,""))</f>
        <v/>
      </c>
    </row>
    <row r="511" spans="1:47">
      <c r="A511" t="str">
        <f>IF($AS511="","",INDEX('TMP Paste'!$B$2:$B$1601,$AS511))</f>
        <v/>
      </c>
      <c r="B511" t="str">
        <f>IF($AS511="","",Config!$B$14)</f>
        <v/>
      </c>
      <c r="C511" t="str">
        <f>IF($AS511="","",Config!$B$15)</f>
        <v/>
      </c>
      <c r="D511" t="str">
        <f>IF($AS511="","",INDEX('TMP Paste'!$B$2:$B$1601,$AS511))</f>
        <v/>
      </c>
      <c r="E511" t="str">
        <f>IF($AS511="","",Config!$B$27)</f>
        <v/>
      </c>
      <c r="F511" t="str">
        <f>IF($AS511="","",Config!$B$9)</f>
        <v/>
      </c>
      <c r="G511" t="str">
        <f>IF($AS511="","",Config!$B$10)</f>
        <v/>
      </c>
      <c r="H511" t="str">
        <f>IF($AS511="","",Config!$B$11)</f>
        <v/>
      </c>
      <c r="I511" t="str">
        <f>IF($AS511="","",Config!$B$16)</f>
        <v/>
      </c>
      <c r="J511" t="str">
        <f>IF($AS511="","",INDEX('TMP Paste'!$A$2:$A$1601,$AS511))</f>
        <v/>
      </c>
      <c r="K511" t="str">
        <f>IF($AS511="","",INDEX('TMP Paste'!$L$2:$L$1601,$AS511))</f>
        <v/>
      </c>
      <c r="L511" t="str">
        <f>IF($AS511="","",INDEX('TMP Paste'!$I$2:$I$1601,$AS511))</f>
        <v/>
      </c>
      <c r="M511" t="str">
        <f>IF($AS511="","",Config!$B$16)</f>
        <v/>
      </c>
      <c r="N511" t="str">
        <f t="shared" si="42"/>
        <v/>
      </c>
      <c r="O511" t="str">
        <f>IF($AS511="","",INDEX('TMP Paste'!$K$2:$K$1601,$AS511))</f>
        <v/>
      </c>
      <c r="P511" t="str">
        <f t="shared" si="43"/>
        <v/>
      </c>
      <c r="Q511" t="str">
        <f>IF($AS511="","",INDEX('TMP Paste'!$J$2:$J$1601,$AS511))</f>
        <v/>
      </c>
      <c r="R511" t="str">
        <f>IF($AS511="","",Config!$B$24)</f>
        <v/>
      </c>
      <c r="S511" t="str">
        <f ca="1">IF($AS511="","",TEXT(Config!$B$4,"yyyy-mm-dd"))</f>
        <v/>
      </c>
      <c r="T511" t="str">
        <f>IF($AS511="","",Config!$B$17)</f>
        <v/>
      </c>
      <c r="U511" t="str">
        <f>IF($AS511="","",Config!$B$18)</f>
        <v/>
      </c>
      <c r="V511" t="str">
        <f>IF($AS511="","",Config!$B$19)</f>
        <v/>
      </c>
      <c r="W511" t="str">
        <f>IF($AS511="","",INDEX('TMP Paste'!$C$2:$C$1601,$AS511))</f>
        <v/>
      </c>
      <c r="X511" t="str">
        <f>IF($AS511="","",Config!$B$29)</f>
        <v/>
      </c>
      <c r="Y511" t="str">
        <f>IF($AT511="","",INDEX(Calc!$I$2:$I$1601,$AT511)&amp;" - "&amp;INDEX(Calc!$D$2:$D$1601,$AT511)&amp;" koli")</f>
        <v/>
      </c>
      <c r="Z511" t="str">
        <f>IF($AS511="","",Config!$B$21)</f>
        <v/>
      </c>
      <c r="AA511" t="str">
        <f>IF($AS511="","",Config!$B$22)</f>
        <v/>
      </c>
      <c r="AB511" t="str">
        <f>IF($AT511="","",INDEX(Calc!$D$2:$D$1601,$AT511))</f>
        <v/>
      </c>
      <c r="AC511" t="str">
        <f>IF($AT511="","",INDEX(Calc!$G$2:$G$1601,$AT511))</f>
        <v/>
      </c>
      <c r="AD511" t="str">
        <f>IF($AS511="","",Config!$B$23)</f>
        <v/>
      </c>
      <c r="AE511" t="str">
        <f>IF($AS511="","",Config!$B$28)</f>
        <v/>
      </c>
      <c r="AF511" t="str">
        <f t="shared" si="44"/>
        <v/>
      </c>
      <c r="AG511" t="str">
        <f t="shared" si="45"/>
        <v/>
      </c>
      <c r="AH511" t="str">
        <f t="shared" si="46"/>
        <v/>
      </c>
      <c r="AI511" t="str">
        <f>IF($AG511="","",SUMIF($AG$2:$AG511,$AG511,$AH$2:$AH511))</f>
        <v/>
      </c>
      <c r="AJ511" t="str">
        <f>IF('TMP Paste'!$F511="","",IF('TMP Paste'!$B511="",$AJ510,'TMP Paste'!$B511))</f>
        <v/>
      </c>
      <c r="AK511" t="str">
        <f>IF('TMP Paste'!$F511="","",N('TMP Paste'!$G511))</f>
        <v/>
      </c>
      <c r="AL511" t="str">
        <f>IF('TMP Paste'!$F511="","",IF('TMP Paste'!$M511="",$AL510,'TMP Paste'!$M511))</f>
        <v/>
      </c>
      <c r="AM511" t="str">
        <f>IF('TMP Paste'!$F511="","",IF('TMP Paste'!$N511="",$AM510,'TMP Paste'!$N511))</f>
        <v/>
      </c>
      <c r="AN511" t="str">
        <f>IF('TMP Paste'!$F511="","",IF('TMP Paste'!$O511="",$AN510,'TMP Paste'!$O511))</f>
        <v/>
      </c>
      <c r="AO511" t="str">
        <f>IF('TMP Paste'!$F511="","",IF('TMP Paste'!$P511="",$AO510,'TMP Paste'!$P511))</f>
        <v/>
      </c>
      <c r="AP511" t="str">
        <f t="shared" si="47"/>
        <v/>
      </c>
      <c r="AQ511" t="str">
        <f>IF($AS511="","",TRIM(IF(COUNTIFS(Calc!$B$2:$B$1601,ROW()-1,Calc!$C$2:$C$1601,"&lt;1")&gt;0,"Ada PO tanpa Koli - cek TMP. ","")&amp;IF(OR($AU511="",$AU511&lt;=0),"Volume kosong/0 - dimensi dikosongkan. ","")&amp;IF(AND($AU511&lt;&gt;"",$AU511&gt;=1000000),"Volume &gt;= 1.000.000 cm3 (di luar aturan) - dimensi dikosongkan. ","")&amp;IF(LEN($R511)&gt;500,"R &gt; 500 karakter.","")))</f>
        <v/>
      </c>
      <c r="AS511" t="str">
        <f>IFERROR(MATCH(ROW()-1,Calc!$J$2:$J$1601,0),"")</f>
        <v/>
      </c>
      <c r="AT511" t="str">
        <f>IFERROR(MATCH(ROW()-1,Calc!$K$2:$K$1601,0),"")</f>
        <v/>
      </c>
      <c r="AU511" t="str">
        <f>IF($AS511="","",IFERROR(INDEX('TMP Paste'!$D$2:$D$1601,$AS511)*1000000/$AB511,""))</f>
        <v/>
      </c>
    </row>
    <row r="512" spans="1:47">
      <c r="A512" t="str">
        <f>IF($AS512="","",INDEX('TMP Paste'!$B$2:$B$1601,$AS512))</f>
        <v/>
      </c>
      <c r="B512" t="str">
        <f>IF($AS512="","",Config!$B$14)</f>
        <v/>
      </c>
      <c r="C512" t="str">
        <f>IF($AS512="","",Config!$B$15)</f>
        <v/>
      </c>
      <c r="D512" t="str">
        <f>IF($AS512="","",INDEX('TMP Paste'!$B$2:$B$1601,$AS512))</f>
        <v/>
      </c>
      <c r="E512" t="str">
        <f>IF($AS512="","",Config!$B$27)</f>
        <v/>
      </c>
      <c r="F512" t="str">
        <f>IF($AS512="","",Config!$B$9)</f>
        <v/>
      </c>
      <c r="G512" t="str">
        <f>IF($AS512="","",Config!$B$10)</f>
        <v/>
      </c>
      <c r="H512" t="str">
        <f>IF($AS512="","",Config!$B$11)</f>
        <v/>
      </c>
      <c r="I512" t="str">
        <f>IF($AS512="","",Config!$B$16)</f>
        <v/>
      </c>
      <c r="J512" t="str">
        <f>IF($AS512="","",INDEX('TMP Paste'!$A$2:$A$1601,$AS512))</f>
        <v/>
      </c>
      <c r="K512" t="str">
        <f>IF($AS512="","",INDEX('TMP Paste'!$L$2:$L$1601,$AS512))</f>
        <v/>
      </c>
      <c r="L512" t="str">
        <f>IF($AS512="","",INDEX('TMP Paste'!$I$2:$I$1601,$AS512))</f>
        <v/>
      </c>
      <c r="M512" t="str">
        <f>IF($AS512="","",Config!$B$16)</f>
        <v/>
      </c>
      <c r="N512" t="str">
        <f t="shared" si="42"/>
        <v/>
      </c>
      <c r="O512" t="str">
        <f>IF($AS512="","",INDEX('TMP Paste'!$K$2:$K$1601,$AS512))</f>
        <v/>
      </c>
      <c r="P512" t="str">
        <f t="shared" si="43"/>
        <v/>
      </c>
      <c r="Q512" t="str">
        <f>IF($AS512="","",INDEX('TMP Paste'!$J$2:$J$1601,$AS512))</f>
        <v/>
      </c>
      <c r="R512" t="str">
        <f>IF($AS512="","",Config!$B$24)</f>
        <v/>
      </c>
      <c r="S512" t="str">
        <f ca="1">IF($AS512="","",TEXT(Config!$B$4,"yyyy-mm-dd"))</f>
        <v/>
      </c>
      <c r="T512" t="str">
        <f>IF($AS512="","",Config!$B$17)</f>
        <v/>
      </c>
      <c r="U512" t="str">
        <f>IF($AS512="","",Config!$B$18)</f>
        <v/>
      </c>
      <c r="V512" t="str">
        <f>IF($AS512="","",Config!$B$19)</f>
        <v/>
      </c>
      <c r="W512" t="str">
        <f>IF($AS512="","",INDEX('TMP Paste'!$C$2:$C$1601,$AS512))</f>
        <v/>
      </c>
      <c r="X512" t="str">
        <f>IF($AS512="","",Config!$B$29)</f>
        <v/>
      </c>
      <c r="Y512" t="str">
        <f>IF($AT512="","",INDEX(Calc!$I$2:$I$1601,$AT512)&amp;" - "&amp;INDEX(Calc!$D$2:$D$1601,$AT512)&amp;" koli")</f>
        <v/>
      </c>
      <c r="Z512" t="str">
        <f>IF($AS512="","",Config!$B$21)</f>
        <v/>
      </c>
      <c r="AA512" t="str">
        <f>IF($AS512="","",Config!$B$22)</f>
        <v/>
      </c>
      <c r="AB512" t="str">
        <f>IF($AT512="","",INDEX(Calc!$D$2:$D$1601,$AT512))</f>
        <v/>
      </c>
      <c r="AC512" t="str">
        <f>IF($AT512="","",INDEX(Calc!$G$2:$G$1601,$AT512))</f>
        <v/>
      </c>
      <c r="AD512" t="str">
        <f>IF($AS512="","",Config!$B$23)</f>
        <v/>
      </c>
      <c r="AE512" t="str">
        <f>IF($AS512="","",Config!$B$28)</f>
        <v/>
      </c>
      <c r="AF512" t="str">
        <f t="shared" si="44"/>
        <v/>
      </c>
      <c r="AG512" t="str">
        <f t="shared" si="45"/>
        <v/>
      </c>
      <c r="AH512" t="str">
        <f t="shared" si="46"/>
        <v/>
      </c>
      <c r="AI512" t="str">
        <f>IF($AG512="","",SUMIF($AG$2:$AG512,$AG512,$AH$2:$AH512))</f>
        <v/>
      </c>
      <c r="AJ512" t="str">
        <f>IF('TMP Paste'!$F512="","",IF('TMP Paste'!$B512="",$AJ511,'TMP Paste'!$B512))</f>
        <v/>
      </c>
      <c r="AK512" t="str">
        <f>IF('TMP Paste'!$F512="","",N('TMP Paste'!$G512))</f>
        <v/>
      </c>
      <c r="AL512" t="str">
        <f>IF('TMP Paste'!$F512="","",IF('TMP Paste'!$M512="",$AL511,'TMP Paste'!$M512))</f>
        <v/>
      </c>
      <c r="AM512" t="str">
        <f>IF('TMP Paste'!$F512="","",IF('TMP Paste'!$N512="",$AM511,'TMP Paste'!$N512))</f>
        <v/>
      </c>
      <c r="AN512" t="str">
        <f>IF('TMP Paste'!$F512="","",IF('TMP Paste'!$O512="",$AN511,'TMP Paste'!$O512))</f>
        <v/>
      </c>
      <c r="AO512" t="str">
        <f>IF('TMP Paste'!$F512="","",IF('TMP Paste'!$P512="",$AO511,'TMP Paste'!$P512))</f>
        <v/>
      </c>
      <c r="AP512" t="str">
        <f t="shared" si="47"/>
        <v/>
      </c>
      <c r="AQ512" t="str">
        <f>IF($AS512="","",TRIM(IF(COUNTIFS(Calc!$B$2:$B$1601,ROW()-1,Calc!$C$2:$C$1601,"&lt;1")&gt;0,"Ada PO tanpa Koli - cek TMP. ","")&amp;IF(OR($AU512="",$AU512&lt;=0),"Volume kosong/0 - dimensi dikosongkan. ","")&amp;IF(AND($AU512&lt;&gt;"",$AU512&gt;=1000000),"Volume &gt;= 1.000.000 cm3 (di luar aturan) - dimensi dikosongkan. ","")&amp;IF(LEN($R512)&gt;500,"R &gt; 500 karakter.","")))</f>
        <v/>
      </c>
      <c r="AS512" t="str">
        <f>IFERROR(MATCH(ROW()-1,Calc!$J$2:$J$1601,0),"")</f>
        <v/>
      </c>
      <c r="AT512" t="str">
        <f>IFERROR(MATCH(ROW()-1,Calc!$K$2:$K$1601,0),"")</f>
        <v/>
      </c>
      <c r="AU512" t="str">
        <f>IF($AS512="","",IFERROR(INDEX('TMP Paste'!$D$2:$D$1601,$AS512)*1000000/$AB512,""))</f>
        <v/>
      </c>
    </row>
    <row r="513" spans="1:47">
      <c r="A513" t="str">
        <f>IF($AS513="","",INDEX('TMP Paste'!$B$2:$B$1601,$AS513))</f>
        <v/>
      </c>
      <c r="B513" t="str">
        <f>IF($AS513="","",Config!$B$14)</f>
        <v/>
      </c>
      <c r="C513" t="str">
        <f>IF($AS513="","",Config!$B$15)</f>
        <v/>
      </c>
      <c r="D513" t="str">
        <f>IF($AS513="","",INDEX('TMP Paste'!$B$2:$B$1601,$AS513))</f>
        <v/>
      </c>
      <c r="E513" t="str">
        <f>IF($AS513="","",Config!$B$27)</f>
        <v/>
      </c>
      <c r="F513" t="str">
        <f>IF($AS513="","",Config!$B$9)</f>
        <v/>
      </c>
      <c r="G513" t="str">
        <f>IF($AS513="","",Config!$B$10)</f>
        <v/>
      </c>
      <c r="H513" t="str">
        <f>IF($AS513="","",Config!$B$11)</f>
        <v/>
      </c>
      <c r="I513" t="str">
        <f>IF($AS513="","",Config!$B$16)</f>
        <v/>
      </c>
      <c r="J513" t="str">
        <f>IF($AS513="","",INDEX('TMP Paste'!$A$2:$A$1601,$AS513))</f>
        <v/>
      </c>
      <c r="K513" t="str">
        <f>IF($AS513="","",INDEX('TMP Paste'!$L$2:$L$1601,$AS513))</f>
        <v/>
      </c>
      <c r="L513" t="str">
        <f>IF($AS513="","",INDEX('TMP Paste'!$I$2:$I$1601,$AS513))</f>
        <v/>
      </c>
      <c r="M513" t="str">
        <f>IF($AS513="","",Config!$B$16)</f>
        <v/>
      </c>
      <c r="N513" t="str">
        <f t="shared" si="42"/>
        <v/>
      </c>
      <c r="O513" t="str">
        <f>IF($AS513="","",INDEX('TMP Paste'!$K$2:$K$1601,$AS513))</f>
        <v/>
      </c>
      <c r="P513" t="str">
        <f t="shared" si="43"/>
        <v/>
      </c>
      <c r="Q513" t="str">
        <f>IF($AS513="","",INDEX('TMP Paste'!$J$2:$J$1601,$AS513))</f>
        <v/>
      </c>
      <c r="R513" t="str">
        <f>IF($AS513="","",Config!$B$24)</f>
        <v/>
      </c>
      <c r="S513" t="str">
        <f ca="1">IF($AS513="","",TEXT(Config!$B$4,"yyyy-mm-dd"))</f>
        <v/>
      </c>
      <c r="T513" t="str">
        <f>IF($AS513="","",Config!$B$17)</f>
        <v/>
      </c>
      <c r="U513" t="str">
        <f>IF($AS513="","",Config!$B$18)</f>
        <v/>
      </c>
      <c r="V513" t="str">
        <f>IF($AS513="","",Config!$B$19)</f>
        <v/>
      </c>
      <c r="W513" t="str">
        <f>IF($AS513="","",INDEX('TMP Paste'!$C$2:$C$1601,$AS513))</f>
        <v/>
      </c>
      <c r="X513" t="str">
        <f>IF($AS513="","",Config!$B$29)</f>
        <v/>
      </c>
      <c r="Y513" t="str">
        <f>IF($AT513="","",INDEX(Calc!$I$2:$I$1601,$AT513)&amp;" - "&amp;INDEX(Calc!$D$2:$D$1601,$AT513)&amp;" koli")</f>
        <v/>
      </c>
      <c r="Z513" t="str">
        <f>IF($AS513="","",Config!$B$21)</f>
        <v/>
      </c>
      <c r="AA513" t="str">
        <f>IF($AS513="","",Config!$B$22)</f>
        <v/>
      </c>
      <c r="AB513" t="str">
        <f>IF($AT513="","",INDEX(Calc!$D$2:$D$1601,$AT513))</f>
        <v/>
      </c>
      <c r="AC513" t="str">
        <f>IF($AT513="","",INDEX(Calc!$G$2:$G$1601,$AT513))</f>
        <v/>
      </c>
      <c r="AD513" t="str">
        <f>IF($AS513="","",Config!$B$23)</f>
        <v/>
      </c>
      <c r="AE513" t="str">
        <f>IF($AS513="","",Config!$B$28)</f>
        <v/>
      </c>
      <c r="AF513" t="str">
        <f t="shared" si="44"/>
        <v/>
      </c>
      <c r="AG513" t="str">
        <f t="shared" si="45"/>
        <v/>
      </c>
      <c r="AH513" t="str">
        <f t="shared" si="46"/>
        <v/>
      </c>
      <c r="AI513" t="str">
        <f>IF($AG513="","",SUMIF($AG$2:$AG513,$AG513,$AH$2:$AH513))</f>
        <v/>
      </c>
      <c r="AJ513" t="str">
        <f>IF('TMP Paste'!$F513="","",IF('TMP Paste'!$B513="",$AJ512,'TMP Paste'!$B513))</f>
        <v/>
      </c>
      <c r="AK513" t="str">
        <f>IF('TMP Paste'!$F513="","",N('TMP Paste'!$G513))</f>
        <v/>
      </c>
      <c r="AL513" t="str">
        <f>IF('TMP Paste'!$F513="","",IF('TMP Paste'!$M513="",$AL512,'TMP Paste'!$M513))</f>
        <v/>
      </c>
      <c r="AM513" t="str">
        <f>IF('TMP Paste'!$F513="","",IF('TMP Paste'!$N513="",$AM512,'TMP Paste'!$N513))</f>
        <v/>
      </c>
      <c r="AN513" t="str">
        <f>IF('TMP Paste'!$F513="","",IF('TMP Paste'!$O513="",$AN512,'TMP Paste'!$O513))</f>
        <v/>
      </c>
      <c r="AO513" t="str">
        <f>IF('TMP Paste'!$F513="","",IF('TMP Paste'!$P513="",$AO512,'TMP Paste'!$P513))</f>
        <v/>
      </c>
      <c r="AP513" t="str">
        <f t="shared" si="47"/>
        <v/>
      </c>
      <c r="AQ513" t="str">
        <f>IF($AS513="","",TRIM(IF(COUNTIFS(Calc!$B$2:$B$1601,ROW()-1,Calc!$C$2:$C$1601,"&lt;1")&gt;0,"Ada PO tanpa Koli - cek TMP. ","")&amp;IF(OR($AU513="",$AU513&lt;=0),"Volume kosong/0 - dimensi dikosongkan. ","")&amp;IF(AND($AU513&lt;&gt;"",$AU513&gt;=1000000),"Volume &gt;= 1.000.000 cm3 (di luar aturan) - dimensi dikosongkan. ","")&amp;IF(LEN($R513)&gt;500,"R &gt; 500 karakter.","")))</f>
        <v/>
      </c>
      <c r="AS513" t="str">
        <f>IFERROR(MATCH(ROW()-1,Calc!$J$2:$J$1601,0),"")</f>
        <v/>
      </c>
      <c r="AT513" t="str">
        <f>IFERROR(MATCH(ROW()-1,Calc!$K$2:$K$1601,0),"")</f>
        <v/>
      </c>
      <c r="AU513" t="str">
        <f>IF($AS513="","",IFERROR(INDEX('TMP Paste'!$D$2:$D$1601,$AS513)*1000000/$AB513,""))</f>
        <v/>
      </c>
    </row>
    <row r="514" spans="1:47">
      <c r="A514" t="str">
        <f>IF($AS514="","",INDEX('TMP Paste'!$B$2:$B$1601,$AS514))</f>
        <v/>
      </c>
      <c r="B514" t="str">
        <f>IF($AS514="","",Config!$B$14)</f>
        <v/>
      </c>
      <c r="C514" t="str">
        <f>IF($AS514="","",Config!$B$15)</f>
        <v/>
      </c>
      <c r="D514" t="str">
        <f>IF($AS514="","",INDEX('TMP Paste'!$B$2:$B$1601,$AS514))</f>
        <v/>
      </c>
      <c r="E514" t="str">
        <f>IF($AS514="","",Config!$B$27)</f>
        <v/>
      </c>
      <c r="F514" t="str">
        <f>IF($AS514="","",Config!$B$9)</f>
        <v/>
      </c>
      <c r="G514" t="str">
        <f>IF($AS514="","",Config!$B$10)</f>
        <v/>
      </c>
      <c r="H514" t="str">
        <f>IF($AS514="","",Config!$B$11)</f>
        <v/>
      </c>
      <c r="I514" t="str">
        <f>IF($AS514="","",Config!$B$16)</f>
        <v/>
      </c>
      <c r="J514" t="str">
        <f>IF($AS514="","",INDEX('TMP Paste'!$A$2:$A$1601,$AS514))</f>
        <v/>
      </c>
      <c r="K514" t="str">
        <f>IF($AS514="","",INDEX('TMP Paste'!$L$2:$L$1601,$AS514))</f>
        <v/>
      </c>
      <c r="L514" t="str">
        <f>IF($AS514="","",INDEX('TMP Paste'!$I$2:$I$1601,$AS514))</f>
        <v/>
      </c>
      <c r="M514" t="str">
        <f>IF($AS514="","",Config!$B$16)</f>
        <v/>
      </c>
      <c r="N514" t="str">
        <f t="shared" ref="N514:N577" si="48">IF($AS514="","","")</f>
        <v/>
      </c>
      <c r="O514" t="str">
        <f>IF($AS514="","",INDEX('TMP Paste'!$K$2:$K$1601,$AS514))</f>
        <v/>
      </c>
      <c r="P514" t="str">
        <f t="shared" ref="P514:P577" si="49">IF($AS514="","","")</f>
        <v/>
      </c>
      <c r="Q514" t="str">
        <f>IF($AS514="","",INDEX('TMP Paste'!$J$2:$J$1601,$AS514))</f>
        <v/>
      </c>
      <c r="R514" t="str">
        <f>IF($AS514="","",Config!$B$24)</f>
        <v/>
      </c>
      <c r="S514" t="str">
        <f ca="1">IF($AS514="","",TEXT(Config!$B$4,"yyyy-mm-dd"))</f>
        <v/>
      </c>
      <c r="T514" t="str">
        <f>IF($AS514="","",Config!$B$17)</f>
        <v/>
      </c>
      <c r="U514" t="str">
        <f>IF($AS514="","",Config!$B$18)</f>
        <v/>
      </c>
      <c r="V514" t="str">
        <f>IF($AS514="","",Config!$B$19)</f>
        <v/>
      </c>
      <c r="W514" t="str">
        <f>IF($AS514="","",INDEX('TMP Paste'!$C$2:$C$1601,$AS514))</f>
        <v/>
      </c>
      <c r="X514" t="str">
        <f>IF($AS514="","",Config!$B$29)</f>
        <v/>
      </c>
      <c r="Y514" t="str">
        <f>IF($AT514="","",INDEX(Calc!$I$2:$I$1601,$AT514)&amp;" - "&amp;INDEX(Calc!$D$2:$D$1601,$AT514)&amp;" koli")</f>
        <v/>
      </c>
      <c r="Z514" t="str">
        <f>IF($AS514="","",Config!$B$21)</f>
        <v/>
      </c>
      <c r="AA514" t="str">
        <f>IF($AS514="","",Config!$B$22)</f>
        <v/>
      </c>
      <c r="AB514" t="str">
        <f>IF($AT514="","",INDEX(Calc!$D$2:$D$1601,$AT514))</f>
        <v/>
      </c>
      <c r="AC514" t="str">
        <f>IF($AT514="","",INDEX(Calc!$G$2:$G$1601,$AT514))</f>
        <v/>
      </c>
      <c r="AD514" t="str">
        <f>IF($AS514="","",Config!$B$23)</f>
        <v/>
      </c>
      <c r="AE514" t="str">
        <f>IF($AS514="","",Config!$B$28)</f>
        <v/>
      </c>
      <c r="AF514" t="str">
        <f t="shared" ref="AF514:AF577" si="50">IF($AS514="","",IF(OR($AU514="",$AU514&lt;=0,$AU514&gt;=1000000),"",IF($AU514&lt;10000,10,100)))</f>
        <v/>
      </c>
      <c r="AG514" t="str">
        <f t="shared" ref="AG514:AG577" si="51">IF($AS514="","",IF(OR($AU514="",$AU514&lt;=0,$AU514&gt;=1000000),"",IF($AU514&lt;10000,$AU514/100,IF($AU514&lt;100000,$AU514/1000,$AU514/10000))))</f>
        <v/>
      </c>
      <c r="AH514" t="str">
        <f t="shared" ref="AH514:AH577" si="52">IF($AS514="","",IF(OR($AU514="",$AU514&lt;=0,$AU514&gt;=1000000),"",IF($AU514&lt;100000,10,100)))</f>
        <v/>
      </c>
      <c r="AI514" t="str">
        <f>IF($AG514="","",SUMIF($AG$2:$AG514,$AG514,$AH$2:$AH514))</f>
        <v/>
      </c>
      <c r="AJ514" t="str">
        <f>IF('TMP Paste'!$F514="","",IF('TMP Paste'!$B514="",$AJ513,'TMP Paste'!$B514))</f>
        <v/>
      </c>
      <c r="AK514" t="str">
        <f>IF('TMP Paste'!$F514="","",N('TMP Paste'!$G514))</f>
        <v/>
      </c>
      <c r="AL514" t="str">
        <f>IF('TMP Paste'!$F514="","",IF('TMP Paste'!$M514="",$AL513,'TMP Paste'!$M514))</f>
        <v/>
      </c>
      <c r="AM514" t="str">
        <f>IF('TMP Paste'!$F514="","",IF('TMP Paste'!$N514="",$AM513,'TMP Paste'!$N514))</f>
        <v/>
      </c>
      <c r="AN514" t="str">
        <f>IF('TMP Paste'!$F514="","",IF('TMP Paste'!$O514="",$AN513,'TMP Paste'!$O514))</f>
        <v/>
      </c>
      <c r="AO514" t="str">
        <f>IF('TMP Paste'!$F514="","",IF('TMP Paste'!$P514="",$AO513,'TMP Paste'!$P514))</f>
        <v/>
      </c>
      <c r="AP514" t="str">
        <f t="shared" ref="AP514:AP577" si="53">IF($AG514="","",LEN($R514))</f>
        <v/>
      </c>
      <c r="AQ514" t="str">
        <f>IF($AS514="","",TRIM(IF(COUNTIFS(Calc!$B$2:$B$1601,ROW()-1,Calc!$C$2:$C$1601,"&lt;1")&gt;0,"Ada PO tanpa Koli - cek TMP. ","")&amp;IF(OR($AU514="",$AU514&lt;=0),"Volume kosong/0 - dimensi dikosongkan. ","")&amp;IF(AND($AU514&lt;&gt;"",$AU514&gt;=1000000),"Volume &gt;= 1.000.000 cm3 (di luar aturan) - dimensi dikosongkan. ","")&amp;IF(LEN($R514)&gt;500,"R &gt; 500 karakter.","")))</f>
        <v/>
      </c>
      <c r="AS514" t="str">
        <f>IFERROR(MATCH(ROW()-1,Calc!$J$2:$J$1601,0),"")</f>
        <v/>
      </c>
      <c r="AT514" t="str">
        <f>IFERROR(MATCH(ROW()-1,Calc!$K$2:$K$1601,0),"")</f>
        <v/>
      </c>
      <c r="AU514" t="str">
        <f>IF($AS514="","",IFERROR(INDEX('TMP Paste'!$D$2:$D$1601,$AS514)*1000000/$AB514,""))</f>
        <v/>
      </c>
    </row>
    <row r="515" spans="1:47">
      <c r="A515" t="str">
        <f>IF($AS515="","",INDEX('TMP Paste'!$B$2:$B$1601,$AS515))</f>
        <v/>
      </c>
      <c r="B515" t="str">
        <f>IF($AS515="","",Config!$B$14)</f>
        <v/>
      </c>
      <c r="C515" t="str">
        <f>IF($AS515="","",Config!$B$15)</f>
        <v/>
      </c>
      <c r="D515" t="str">
        <f>IF($AS515="","",INDEX('TMP Paste'!$B$2:$B$1601,$AS515))</f>
        <v/>
      </c>
      <c r="E515" t="str">
        <f>IF($AS515="","",Config!$B$27)</f>
        <v/>
      </c>
      <c r="F515" t="str">
        <f>IF($AS515="","",Config!$B$9)</f>
        <v/>
      </c>
      <c r="G515" t="str">
        <f>IF($AS515="","",Config!$B$10)</f>
        <v/>
      </c>
      <c r="H515" t="str">
        <f>IF($AS515="","",Config!$B$11)</f>
        <v/>
      </c>
      <c r="I515" t="str">
        <f>IF($AS515="","",Config!$B$16)</f>
        <v/>
      </c>
      <c r="J515" t="str">
        <f>IF($AS515="","",INDEX('TMP Paste'!$A$2:$A$1601,$AS515))</f>
        <v/>
      </c>
      <c r="K515" t="str">
        <f>IF($AS515="","",INDEX('TMP Paste'!$L$2:$L$1601,$AS515))</f>
        <v/>
      </c>
      <c r="L515" t="str">
        <f>IF($AS515="","",INDEX('TMP Paste'!$I$2:$I$1601,$AS515))</f>
        <v/>
      </c>
      <c r="M515" t="str">
        <f>IF($AS515="","",Config!$B$16)</f>
        <v/>
      </c>
      <c r="N515" t="str">
        <f t="shared" si="48"/>
        <v/>
      </c>
      <c r="O515" t="str">
        <f>IF($AS515="","",INDEX('TMP Paste'!$K$2:$K$1601,$AS515))</f>
        <v/>
      </c>
      <c r="P515" t="str">
        <f t="shared" si="49"/>
        <v/>
      </c>
      <c r="Q515" t="str">
        <f>IF($AS515="","",INDEX('TMP Paste'!$J$2:$J$1601,$AS515))</f>
        <v/>
      </c>
      <c r="R515" t="str">
        <f>IF($AS515="","",Config!$B$24)</f>
        <v/>
      </c>
      <c r="S515" t="str">
        <f ca="1">IF($AS515="","",TEXT(Config!$B$4,"yyyy-mm-dd"))</f>
        <v/>
      </c>
      <c r="T515" t="str">
        <f>IF($AS515="","",Config!$B$17)</f>
        <v/>
      </c>
      <c r="U515" t="str">
        <f>IF($AS515="","",Config!$B$18)</f>
        <v/>
      </c>
      <c r="V515" t="str">
        <f>IF($AS515="","",Config!$B$19)</f>
        <v/>
      </c>
      <c r="W515" t="str">
        <f>IF($AS515="","",INDEX('TMP Paste'!$C$2:$C$1601,$AS515))</f>
        <v/>
      </c>
      <c r="X515" t="str">
        <f>IF($AS515="","",Config!$B$29)</f>
        <v/>
      </c>
      <c r="Y515" t="str">
        <f>IF($AT515="","",INDEX(Calc!$I$2:$I$1601,$AT515)&amp;" - "&amp;INDEX(Calc!$D$2:$D$1601,$AT515)&amp;" koli")</f>
        <v/>
      </c>
      <c r="Z515" t="str">
        <f>IF($AS515="","",Config!$B$21)</f>
        <v/>
      </c>
      <c r="AA515" t="str">
        <f>IF($AS515="","",Config!$B$22)</f>
        <v/>
      </c>
      <c r="AB515" t="str">
        <f>IF($AT515="","",INDEX(Calc!$D$2:$D$1601,$AT515))</f>
        <v/>
      </c>
      <c r="AC515" t="str">
        <f>IF($AT515="","",INDEX(Calc!$G$2:$G$1601,$AT515))</f>
        <v/>
      </c>
      <c r="AD515" t="str">
        <f>IF($AS515="","",Config!$B$23)</f>
        <v/>
      </c>
      <c r="AE515" t="str">
        <f>IF($AS515="","",Config!$B$28)</f>
        <v/>
      </c>
      <c r="AF515" t="str">
        <f t="shared" si="50"/>
        <v/>
      </c>
      <c r="AG515" t="str">
        <f t="shared" si="51"/>
        <v/>
      </c>
      <c r="AH515" t="str">
        <f t="shared" si="52"/>
        <v/>
      </c>
      <c r="AI515" t="str">
        <f>IF($AG515="","",SUMIF($AG$2:$AG515,$AG515,$AH$2:$AH515))</f>
        <v/>
      </c>
      <c r="AJ515" t="str">
        <f>IF('TMP Paste'!$F515="","",IF('TMP Paste'!$B515="",$AJ514,'TMP Paste'!$B515))</f>
        <v/>
      </c>
      <c r="AK515" t="str">
        <f>IF('TMP Paste'!$F515="","",N('TMP Paste'!$G515))</f>
        <v/>
      </c>
      <c r="AL515" t="str">
        <f>IF('TMP Paste'!$F515="","",IF('TMP Paste'!$M515="",$AL514,'TMP Paste'!$M515))</f>
        <v/>
      </c>
      <c r="AM515" t="str">
        <f>IF('TMP Paste'!$F515="","",IF('TMP Paste'!$N515="",$AM514,'TMP Paste'!$N515))</f>
        <v/>
      </c>
      <c r="AN515" t="str">
        <f>IF('TMP Paste'!$F515="","",IF('TMP Paste'!$O515="",$AN514,'TMP Paste'!$O515))</f>
        <v/>
      </c>
      <c r="AO515" t="str">
        <f>IF('TMP Paste'!$F515="","",IF('TMP Paste'!$P515="",$AO514,'TMP Paste'!$P515))</f>
        <v/>
      </c>
      <c r="AP515" t="str">
        <f t="shared" si="53"/>
        <v/>
      </c>
      <c r="AQ515" t="str">
        <f>IF($AS515="","",TRIM(IF(COUNTIFS(Calc!$B$2:$B$1601,ROW()-1,Calc!$C$2:$C$1601,"&lt;1")&gt;0,"Ada PO tanpa Koli - cek TMP. ","")&amp;IF(OR($AU515="",$AU515&lt;=0),"Volume kosong/0 - dimensi dikosongkan. ","")&amp;IF(AND($AU515&lt;&gt;"",$AU515&gt;=1000000),"Volume &gt;= 1.000.000 cm3 (di luar aturan) - dimensi dikosongkan. ","")&amp;IF(LEN($R515)&gt;500,"R &gt; 500 karakter.","")))</f>
        <v/>
      </c>
      <c r="AS515" t="str">
        <f>IFERROR(MATCH(ROW()-1,Calc!$J$2:$J$1601,0),"")</f>
        <v/>
      </c>
      <c r="AT515" t="str">
        <f>IFERROR(MATCH(ROW()-1,Calc!$K$2:$K$1601,0),"")</f>
        <v/>
      </c>
      <c r="AU515" t="str">
        <f>IF($AS515="","",IFERROR(INDEX('TMP Paste'!$D$2:$D$1601,$AS515)*1000000/$AB515,""))</f>
        <v/>
      </c>
    </row>
    <row r="516" spans="1:47">
      <c r="A516" t="str">
        <f>IF($AS516="","",INDEX('TMP Paste'!$B$2:$B$1601,$AS516))</f>
        <v/>
      </c>
      <c r="B516" t="str">
        <f>IF($AS516="","",Config!$B$14)</f>
        <v/>
      </c>
      <c r="C516" t="str">
        <f>IF($AS516="","",Config!$B$15)</f>
        <v/>
      </c>
      <c r="D516" t="str">
        <f>IF($AS516="","",INDEX('TMP Paste'!$B$2:$B$1601,$AS516))</f>
        <v/>
      </c>
      <c r="E516" t="str">
        <f>IF($AS516="","",Config!$B$27)</f>
        <v/>
      </c>
      <c r="F516" t="str">
        <f>IF($AS516="","",Config!$B$9)</f>
        <v/>
      </c>
      <c r="G516" t="str">
        <f>IF($AS516="","",Config!$B$10)</f>
        <v/>
      </c>
      <c r="H516" t="str">
        <f>IF($AS516="","",Config!$B$11)</f>
        <v/>
      </c>
      <c r="I516" t="str">
        <f>IF($AS516="","",Config!$B$16)</f>
        <v/>
      </c>
      <c r="J516" t="str">
        <f>IF($AS516="","",INDEX('TMP Paste'!$A$2:$A$1601,$AS516))</f>
        <v/>
      </c>
      <c r="K516" t="str">
        <f>IF($AS516="","",INDEX('TMP Paste'!$L$2:$L$1601,$AS516))</f>
        <v/>
      </c>
      <c r="L516" t="str">
        <f>IF($AS516="","",INDEX('TMP Paste'!$I$2:$I$1601,$AS516))</f>
        <v/>
      </c>
      <c r="M516" t="str">
        <f>IF($AS516="","",Config!$B$16)</f>
        <v/>
      </c>
      <c r="N516" t="str">
        <f t="shared" si="48"/>
        <v/>
      </c>
      <c r="O516" t="str">
        <f>IF($AS516="","",INDEX('TMP Paste'!$K$2:$K$1601,$AS516))</f>
        <v/>
      </c>
      <c r="P516" t="str">
        <f t="shared" si="49"/>
        <v/>
      </c>
      <c r="Q516" t="str">
        <f>IF($AS516="","",INDEX('TMP Paste'!$J$2:$J$1601,$AS516))</f>
        <v/>
      </c>
      <c r="R516" t="str">
        <f>IF($AS516="","",Config!$B$24)</f>
        <v/>
      </c>
      <c r="S516" t="str">
        <f ca="1">IF($AS516="","",TEXT(Config!$B$4,"yyyy-mm-dd"))</f>
        <v/>
      </c>
      <c r="T516" t="str">
        <f>IF($AS516="","",Config!$B$17)</f>
        <v/>
      </c>
      <c r="U516" t="str">
        <f>IF($AS516="","",Config!$B$18)</f>
        <v/>
      </c>
      <c r="V516" t="str">
        <f>IF($AS516="","",Config!$B$19)</f>
        <v/>
      </c>
      <c r="W516" t="str">
        <f>IF($AS516="","",INDEX('TMP Paste'!$C$2:$C$1601,$AS516))</f>
        <v/>
      </c>
      <c r="X516" t="str">
        <f>IF($AS516="","",Config!$B$29)</f>
        <v/>
      </c>
      <c r="Y516" t="str">
        <f>IF($AT516="","",INDEX(Calc!$I$2:$I$1601,$AT516)&amp;" - "&amp;INDEX(Calc!$D$2:$D$1601,$AT516)&amp;" koli")</f>
        <v/>
      </c>
      <c r="Z516" t="str">
        <f>IF($AS516="","",Config!$B$21)</f>
        <v/>
      </c>
      <c r="AA516" t="str">
        <f>IF($AS516="","",Config!$B$22)</f>
        <v/>
      </c>
      <c r="AB516" t="str">
        <f>IF($AT516="","",INDEX(Calc!$D$2:$D$1601,$AT516))</f>
        <v/>
      </c>
      <c r="AC516" t="str">
        <f>IF($AT516="","",INDEX(Calc!$G$2:$G$1601,$AT516))</f>
        <v/>
      </c>
      <c r="AD516" t="str">
        <f>IF($AS516="","",Config!$B$23)</f>
        <v/>
      </c>
      <c r="AE516" t="str">
        <f>IF($AS516="","",Config!$B$28)</f>
        <v/>
      </c>
      <c r="AF516" t="str">
        <f t="shared" si="50"/>
        <v/>
      </c>
      <c r="AG516" t="str">
        <f t="shared" si="51"/>
        <v/>
      </c>
      <c r="AH516" t="str">
        <f t="shared" si="52"/>
        <v/>
      </c>
      <c r="AI516" t="str">
        <f>IF($AG516="","",SUMIF($AG$2:$AG516,$AG516,$AH$2:$AH516))</f>
        <v/>
      </c>
      <c r="AJ516" t="str">
        <f>IF('TMP Paste'!$F516="","",IF('TMP Paste'!$B516="",$AJ515,'TMP Paste'!$B516))</f>
        <v/>
      </c>
      <c r="AK516" t="str">
        <f>IF('TMP Paste'!$F516="","",N('TMP Paste'!$G516))</f>
        <v/>
      </c>
      <c r="AL516" t="str">
        <f>IF('TMP Paste'!$F516="","",IF('TMP Paste'!$M516="",$AL515,'TMP Paste'!$M516))</f>
        <v/>
      </c>
      <c r="AM516" t="str">
        <f>IF('TMP Paste'!$F516="","",IF('TMP Paste'!$N516="",$AM515,'TMP Paste'!$N516))</f>
        <v/>
      </c>
      <c r="AN516" t="str">
        <f>IF('TMP Paste'!$F516="","",IF('TMP Paste'!$O516="",$AN515,'TMP Paste'!$O516))</f>
        <v/>
      </c>
      <c r="AO516" t="str">
        <f>IF('TMP Paste'!$F516="","",IF('TMP Paste'!$P516="",$AO515,'TMP Paste'!$P516))</f>
        <v/>
      </c>
      <c r="AP516" t="str">
        <f t="shared" si="53"/>
        <v/>
      </c>
      <c r="AQ516" t="str">
        <f>IF($AS516="","",TRIM(IF(COUNTIFS(Calc!$B$2:$B$1601,ROW()-1,Calc!$C$2:$C$1601,"&lt;1")&gt;0,"Ada PO tanpa Koli - cek TMP. ","")&amp;IF(OR($AU516="",$AU516&lt;=0),"Volume kosong/0 - dimensi dikosongkan. ","")&amp;IF(AND($AU516&lt;&gt;"",$AU516&gt;=1000000),"Volume &gt;= 1.000.000 cm3 (di luar aturan) - dimensi dikosongkan. ","")&amp;IF(LEN($R516)&gt;500,"R &gt; 500 karakter.","")))</f>
        <v/>
      </c>
      <c r="AS516" t="str">
        <f>IFERROR(MATCH(ROW()-1,Calc!$J$2:$J$1601,0),"")</f>
        <v/>
      </c>
      <c r="AT516" t="str">
        <f>IFERROR(MATCH(ROW()-1,Calc!$K$2:$K$1601,0),"")</f>
        <v/>
      </c>
      <c r="AU516" t="str">
        <f>IF($AS516="","",IFERROR(INDEX('TMP Paste'!$D$2:$D$1601,$AS516)*1000000/$AB516,""))</f>
        <v/>
      </c>
    </row>
    <row r="517" spans="1:47">
      <c r="A517" t="str">
        <f>IF($AS517="","",INDEX('TMP Paste'!$B$2:$B$1601,$AS517))</f>
        <v/>
      </c>
      <c r="B517" t="str">
        <f>IF($AS517="","",Config!$B$14)</f>
        <v/>
      </c>
      <c r="C517" t="str">
        <f>IF($AS517="","",Config!$B$15)</f>
        <v/>
      </c>
      <c r="D517" t="str">
        <f>IF($AS517="","",INDEX('TMP Paste'!$B$2:$B$1601,$AS517))</f>
        <v/>
      </c>
      <c r="E517" t="str">
        <f>IF($AS517="","",Config!$B$27)</f>
        <v/>
      </c>
      <c r="F517" t="str">
        <f>IF($AS517="","",Config!$B$9)</f>
        <v/>
      </c>
      <c r="G517" t="str">
        <f>IF($AS517="","",Config!$B$10)</f>
        <v/>
      </c>
      <c r="H517" t="str">
        <f>IF($AS517="","",Config!$B$11)</f>
        <v/>
      </c>
      <c r="I517" t="str">
        <f>IF($AS517="","",Config!$B$16)</f>
        <v/>
      </c>
      <c r="J517" t="str">
        <f>IF($AS517="","",INDEX('TMP Paste'!$A$2:$A$1601,$AS517))</f>
        <v/>
      </c>
      <c r="K517" t="str">
        <f>IF($AS517="","",INDEX('TMP Paste'!$L$2:$L$1601,$AS517))</f>
        <v/>
      </c>
      <c r="L517" t="str">
        <f>IF($AS517="","",INDEX('TMP Paste'!$I$2:$I$1601,$AS517))</f>
        <v/>
      </c>
      <c r="M517" t="str">
        <f>IF($AS517="","",Config!$B$16)</f>
        <v/>
      </c>
      <c r="N517" t="str">
        <f t="shared" si="48"/>
        <v/>
      </c>
      <c r="O517" t="str">
        <f>IF($AS517="","",INDEX('TMP Paste'!$K$2:$K$1601,$AS517))</f>
        <v/>
      </c>
      <c r="P517" t="str">
        <f t="shared" si="49"/>
        <v/>
      </c>
      <c r="Q517" t="str">
        <f>IF($AS517="","",INDEX('TMP Paste'!$J$2:$J$1601,$AS517))</f>
        <v/>
      </c>
      <c r="R517" t="str">
        <f>IF($AS517="","",Config!$B$24)</f>
        <v/>
      </c>
      <c r="S517" t="str">
        <f ca="1">IF($AS517="","",TEXT(Config!$B$4,"yyyy-mm-dd"))</f>
        <v/>
      </c>
      <c r="T517" t="str">
        <f>IF($AS517="","",Config!$B$17)</f>
        <v/>
      </c>
      <c r="U517" t="str">
        <f>IF($AS517="","",Config!$B$18)</f>
        <v/>
      </c>
      <c r="V517" t="str">
        <f>IF($AS517="","",Config!$B$19)</f>
        <v/>
      </c>
      <c r="W517" t="str">
        <f>IF($AS517="","",INDEX('TMP Paste'!$C$2:$C$1601,$AS517))</f>
        <v/>
      </c>
      <c r="X517" t="str">
        <f>IF($AS517="","",Config!$B$29)</f>
        <v/>
      </c>
      <c r="Y517" t="str">
        <f>IF($AT517="","",INDEX(Calc!$I$2:$I$1601,$AT517)&amp;" - "&amp;INDEX(Calc!$D$2:$D$1601,$AT517)&amp;" koli")</f>
        <v/>
      </c>
      <c r="Z517" t="str">
        <f>IF($AS517="","",Config!$B$21)</f>
        <v/>
      </c>
      <c r="AA517" t="str">
        <f>IF($AS517="","",Config!$B$22)</f>
        <v/>
      </c>
      <c r="AB517" t="str">
        <f>IF($AT517="","",INDEX(Calc!$D$2:$D$1601,$AT517))</f>
        <v/>
      </c>
      <c r="AC517" t="str">
        <f>IF($AT517="","",INDEX(Calc!$G$2:$G$1601,$AT517))</f>
        <v/>
      </c>
      <c r="AD517" t="str">
        <f>IF($AS517="","",Config!$B$23)</f>
        <v/>
      </c>
      <c r="AE517" t="str">
        <f>IF($AS517="","",Config!$B$28)</f>
        <v/>
      </c>
      <c r="AF517" t="str">
        <f t="shared" si="50"/>
        <v/>
      </c>
      <c r="AG517" t="str">
        <f t="shared" si="51"/>
        <v/>
      </c>
      <c r="AH517" t="str">
        <f t="shared" si="52"/>
        <v/>
      </c>
      <c r="AI517" t="str">
        <f>IF($AG517="","",SUMIF($AG$2:$AG517,$AG517,$AH$2:$AH517))</f>
        <v/>
      </c>
      <c r="AJ517" t="str">
        <f>IF('TMP Paste'!$F517="","",IF('TMP Paste'!$B517="",$AJ516,'TMP Paste'!$B517))</f>
        <v/>
      </c>
      <c r="AK517" t="str">
        <f>IF('TMP Paste'!$F517="","",N('TMP Paste'!$G517))</f>
        <v/>
      </c>
      <c r="AL517" t="str">
        <f>IF('TMP Paste'!$F517="","",IF('TMP Paste'!$M517="",$AL516,'TMP Paste'!$M517))</f>
        <v/>
      </c>
      <c r="AM517" t="str">
        <f>IF('TMP Paste'!$F517="","",IF('TMP Paste'!$N517="",$AM516,'TMP Paste'!$N517))</f>
        <v/>
      </c>
      <c r="AN517" t="str">
        <f>IF('TMP Paste'!$F517="","",IF('TMP Paste'!$O517="",$AN516,'TMP Paste'!$O517))</f>
        <v/>
      </c>
      <c r="AO517" t="str">
        <f>IF('TMP Paste'!$F517="","",IF('TMP Paste'!$P517="",$AO516,'TMP Paste'!$P517))</f>
        <v/>
      </c>
      <c r="AP517" t="str">
        <f t="shared" si="53"/>
        <v/>
      </c>
      <c r="AQ517" t="str">
        <f>IF($AS517="","",TRIM(IF(COUNTIFS(Calc!$B$2:$B$1601,ROW()-1,Calc!$C$2:$C$1601,"&lt;1")&gt;0,"Ada PO tanpa Koli - cek TMP. ","")&amp;IF(OR($AU517="",$AU517&lt;=0),"Volume kosong/0 - dimensi dikosongkan. ","")&amp;IF(AND($AU517&lt;&gt;"",$AU517&gt;=1000000),"Volume &gt;= 1.000.000 cm3 (di luar aturan) - dimensi dikosongkan. ","")&amp;IF(LEN($R517)&gt;500,"R &gt; 500 karakter.","")))</f>
        <v/>
      </c>
      <c r="AS517" t="str">
        <f>IFERROR(MATCH(ROW()-1,Calc!$J$2:$J$1601,0),"")</f>
        <v/>
      </c>
      <c r="AT517" t="str">
        <f>IFERROR(MATCH(ROW()-1,Calc!$K$2:$K$1601,0),"")</f>
        <v/>
      </c>
      <c r="AU517" t="str">
        <f>IF($AS517="","",IFERROR(INDEX('TMP Paste'!$D$2:$D$1601,$AS517)*1000000/$AB517,""))</f>
        <v/>
      </c>
    </row>
    <row r="518" spans="1:47">
      <c r="A518" t="str">
        <f>IF($AS518="","",INDEX('TMP Paste'!$B$2:$B$1601,$AS518))</f>
        <v/>
      </c>
      <c r="B518" t="str">
        <f>IF($AS518="","",Config!$B$14)</f>
        <v/>
      </c>
      <c r="C518" t="str">
        <f>IF($AS518="","",Config!$B$15)</f>
        <v/>
      </c>
      <c r="D518" t="str">
        <f>IF($AS518="","",INDEX('TMP Paste'!$B$2:$B$1601,$AS518))</f>
        <v/>
      </c>
      <c r="E518" t="str">
        <f>IF($AS518="","",Config!$B$27)</f>
        <v/>
      </c>
      <c r="F518" t="str">
        <f>IF($AS518="","",Config!$B$9)</f>
        <v/>
      </c>
      <c r="G518" t="str">
        <f>IF($AS518="","",Config!$B$10)</f>
        <v/>
      </c>
      <c r="H518" t="str">
        <f>IF($AS518="","",Config!$B$11)</f>
        <v/>
      </c>
      <c r="I518" t="str">
        <f>IF($AS518="","",Config!$B$16)</f>
        <v/>
      </c>
      <c r="J518" t="str">
        <f>IF($AS518="","",INDEX('TMP Paste'!$A$2:$A$1601,$AS518))</f>
        <v/>
      </c>
      <c r="K518" t="str">
        <f>IF($AS518="","",INDEX('TMP Paste'!$L$2:$L$1601,$AS518))</f>
        <v/>
      </c>
      <c r="L518" t="str">
        <f>IF($AS518="","",INDEX('TMP Paste'!$I$2:$I$1601,$AS518))</f>
        <v/>
      </c>
      <c r="M518" t="str">
        <f>IF($AS518="","",Config!$B$16)</f>
        <v/>
      </c>
      <c r="N518" t="str">
        <f t="shared" si="48"/>
        <v/>
      </c>
      <c r="O518" t="str">
        <f>IF($AS518="","",INDEX('TMP Paste'!$K$2:$K$1601,$AS518))</f>
        <v/>
      </c>
      <c r="P518" t="str">
        <f t="shared" si="49"/>
        <v/>
      </c>
      <c r="Q518" t="str">
        <f>IF($AS518="","",INDEX('TMP Paste'!$J$2:$J$1601,$AS518))</f>
        <v/>
      </c>
      <c r="R518" t="str">
        <f>IF($AS518="","",Config!$B$24)</f>
        <v/>
      </c>
      <c r="S518" t="str">
        <f ca="1">IF($AS518="","",TEXT(Config!$B$4,"yyyy-mm-dd"))</f>
        <v/>
      </c>
      <c r="T518" t="str">
        <f>IF($AS518="","",Config!$B$17)</f>
        <v/>
      </c>
      <c r="U518" t="str">
        <f>IF($AS518="","",Config!$B$18)</f>
        <v/>
      </c>
      <c r="V518" t="str">
        <f>IF($AS518="","",Config!$B$19)</f>
        <v/>
      </c>
      <c r="W518" t="str">
        <f>IF($AS518="","",INDEX('TMP Paste'!$C$2:$C$1601,$AS518))</f>
        <v/>
      </c>
      <c r="X518" t="str">
        <f>IF($AS518="","",Config!$B$29)</f>
        <v/>
      </c>
      <c r="Y518" t="str">
        <f>IF($AT518="","",INDEX(Calc!$I$2:$I$1601,$AT518)&amp;" - "&amp;INDEX(Calc!$D$2:$D$1601,$AT518)&amp;" koli")</f>
        <v/>
      </c>
      <c r="Z518" t="str">
        <f>IF($AS518="","",Config!$B$21)</f>
        <v/>
      </c>
      <c r="AA518" t="str">
        <f>IF($AS518="","",Config!$B$22)</f>
        <v/>
      </c>
      <c r="AB518" t="str">
        <f>IF($AT518="","",INDEX(Calc!$D$2:$D$1601,$AT518))</f>
        <v/>
      </c>
      <c r="AC518" t="str">
        <f>IF($AT518="","",INDEX(Calc!$G$2:$G$1601,$AT518))</f>
        <v/>
      </c>
      <c r="AD518" t="str">
        <f>IF($AS518="","",Config!$B$23)</f>
        <v/>
      </c>
      <c r="AE518" t="str">
        <f>IF($AS518="","",Config!$B$28)</f>
        <v/>
      </c>
      <c r="AF518" t="str">
        <f t="shared" si="50"/>
        <v/>
      </c>
      <c r="AG518" t="str">
        <f t="shared" si="51"/>
        <v/>
      </c>
      <c r="AH518" t="str">
        <f t="shared" si="52"/>
        <v/>
      </c>
      <c r="AI518" t="str">
        <f>IF($AG518="","",SUMIF($AG$2:$AG518,$AG518,$AH$2:$AH518))</f>
        <v/>
      </c>
      <c r="AJ518" t="str">
        <f>IF('TMP Paste'!$F518="","",IF('TMP Paste'!$B518="",$AJ517,'TMP Paste'!$B518))</f>
        <v/>
      </c>
      <c r="AK518" t="str">
        <f>IF('TMP Paste'!$F518="","",N('TMP Paste'!$G518))</f>
        <v/>
      </c>
      <c r="AL518" t="str">
        <f>IF('TMP Paste'!$F518="","",IF('TMP Paste'!$M518="",$AL517,'TMP Paste'!$M518))</f>
        <v/>
      </c>
      <c r="AM518" t="str">
        <f>IF('TMP Paste'!$F518="","",IF('TMP Paste'!$N518="",$AM517,'TMP Paste'!$N518))</f>
        <v/>
      </c>
      <c r="AN518" t="str">
        <f>IF('TMP Paste'!$F518="","",IF('TMP Paste'!$O518="",$AN517,'TMP Paste'!$O518))</f>
        <v/>
      </c>
      <c r="AO518" t="str">
        <f>IF('TMP Paste'!$F518="","",IF('TMP Paste'!$P518="",$AO517,'TMP Paste'!$P518))</f>
        <v/>
      </c>
      <c r="AP518" t="str">
        <f t="shared" si="53"/>
        <v/>
      </c>
      <c r="AQ518" t="str">
        <f>IF($AS518="","",TRIM(IF(COUNTIFS(Calc!$B$2:$B$1601,ROW()-1,Calc!$C$2:$C$1601,"&lt;1")&gt;0,"Ada PO tanpa Koli - cek TMP. ","")&amp;IF(OR($AU518="",$AU518&lt;=0),"Volume kosong/0 - dimensi dikosongkan. ","")&amp;IF(AND($AU518&lt;&gt;"",$AU518&gt;=1000000),"Volume &gt;= 1.000.000 cm3 (di luar aturan) - dimensi dikosongkan. ","")&amp;IF(LEN($R518)&gt;500,"R &gt; 500 karakter.","")))</f>
        <v/>
      </c>
      <c r="AS518" t="str">
        <f>IFERROR(MATCH(ROW()-1,Calc!$J$2:$J$1601,0),"")</f>
        <v/>
      </c>
      <c r="AT518" t="str">
        <f>IFERROR(MATCH(ROW()-1,Calc!$K$2:$K$1601,0),"")</f>
        <v/>
      </c>
      <c r="AU518" t="str">
        <f>IF($AS518="","",IFERROR(INDEX('TMP Paste'!$D$2:$D$1601,$AS518)*1000000/$AB518,""))</f>
        <v/>
      </c>
    </row>
    <row r="519" spans="1:47">
      <c r="A519" t="str">
        <f>IF($AS519="","",INDEX('TMP Paste'!$B$2:$B$1601,$AS519))</f>
        <v/>
      </c>
      <c r="B519" t="str">
        <f>IF($AS519="","",Config!$B$14)</f>
        <v/>
      </c>
      <c r="C519" t="str">
        <f>IF($AS519="","",Config!$B$15)</f>
        <v/>
      </c>
      <c r="D519" t="str">
        <f>IF($AS519="","",INDEX('TMP Paste'!$B$2:$B$1601,$AS519))</f>
        <v/>
      </c>
      <c r="E519" t="str">
        <f>IF($AS519="","",Config!$B$27)</f>
        <v/>
      </c>
      <c r="F519" t="str">
        <f>IF($AS519="","",Config!$B$9)</f>
        <v/>
      </c>
      <c r="G519" t="str">
        <f>IF($AS519="","",Config!$B$10)</f>
        <v/>
      </c>
      <c r="H519" t="str">
        <f>IF($AS519="","",Config!$B$11)</f>
        <v/>
      </c>
      <c r="I519" t="str">
        <f>IF($AS519="","",Config!$B$16)</f>
        <v/>
      </c>
      <c r="J519" t="str">
        <f>IF($AS519="","",INDEX('TMP Paste'!$A$2:$A$1601,$AS519))</f>
        <v/>
      </c>
      <c r="K519" t="str">
        <f>IF($AS519="","",INDEX('TMP Paste'!$L$2:$L$1601,$AS519))</f>
        <v/>
      </c>
      <c r="L519" t="str">
        <f>IF($AS519="","",INDEX('TMP Paste'!$I$2:$I$1601,$AS519))</f>
        <v/>
      </c>
      <c r="M519" t="str">
        <f>IF($AS519="","",Config!$B$16)</f>
        <v/>
      </c>
      <c r="N519" t="str">
        <f t="shared" si="48"/>
        <v/>
      </c>
      <c r="O519" t="str">
        <f>IF($AS519="","",INDEX('TMP Paste'!$K$2:$K$1601,$AS519))</f>
        <v/>
      </c>
      <c r="P519" t="str">
        <f t="shared" si="49"/>
        <v/>
      </c>
      <c r="Q519" t="str">
        <f>IF($AS519="","",INDEX('TMP Paste'!$J$2:$J$1601,$AS519))</f>
        <v/>
      </c>
      <c r="R519" t="str">
        <f>IF($AS519="","",Config!$B$24)</f>
        <v/>
      </c>
      <c r="S519" t="str">
        <f ca="1">IF($AS519="","",TEXT(Config!$B$4,"yyyy-mm-dd"))</f>
        <v/>
      </c>
      <c r="T519" t="str">
        <f>IF($AS519="","",Config!$B$17)</f>
        <v/>
      </c>
      <c r="U519" t="str">
        <f>IF($AS519="","",Config!$B$18)</f>
        <v/>
      </c>
      <c r="V519" t="str">
        <f>IF($AS519="","",Config!$B$19)</f>
        <v/>
      </c>
      <c r="W519" t="str">
        <f>IF($AS519="","",INDEX('TMP Paste'!$C$2:$C$1601,$AS519))</f>
        <v/>
      </c>
      <c r="X519" t="str">
        <f>IF($AS519="","",Config!$B$29)</f>
        <v/>
      </c>
      <c r="Y519" t="str">
        <f>IF($AT519="","",INDEX(Calc!$I$2:$I$1601,$AT519)&amp;" - "&amp;INDEX(Calc!$D$2:$D$1601,$AT519)&amp;" koli")</f>
        <v/>
      </c>
      <c r="Z519" t="str">
        <f>IF($AS519="","",Config!$B$21)</f>
        <v/>
      </c>
      <c r="AA519" t="str">
        <f>IF($AS519="","",Config!$B$22)</f>
        <v/>
      </c>
      <c r="AB519" t="str">
        <f>IF($AT519="","",INDEX(Calc!$D$2:$D$1601,$AT519))</f>
        <v/>
      </c>
      <c r="AC519" t="str">
        <f>IF($AT519="","",INDEX(Calc!$G$2:$G$1601,$AT519))</f>
        <v/>
      </c>
      <c r="AD519" t="str">
        <f>IF($AS519="","",Config!$B$23)</f>
        <v/>
      </c>
      <c r="AE519" t="str">
        <f>IF($AS519="","",Config!$B$28)</f>
        <v/>
      </c>
      <c r="AF519" t="str">
        <f t="shared" si="50"/>
        <v/>
      </c>
      <c r="AG519" t="str">
        <f t="shared" si="51"/>
        <v/>
      </c>
      <c r="AH519" t="str">
        <f t="shared" si="52"/>
        <v/>
      </c>
      <c r="AI519" t="str">
        <f>IF($AG519="","",SUMIF($AG$2:$AG519,$AG519,$AH$2:$AH519))</f>
        <v/>
      </c>
      <c r="AJ519" t="str">
        <f>IF('TMP Paste'!$F519="","",IF('TMP Paste'!$B519="",$AJ518,'TMP Paste'!$B519))</f>
        <v/>
      </c>
      <c r="AK519" t="str">
        <f>IF('TMP Paste'!$F519="","",N('TMP Paste'!$G519))</f>
        <v/>
      </c>
      <c r="AL519" t="str">
        <f>IF('TMP Paste'!$F519="","",IF('TMP Paste'!$M519="",$AL518,'TMP Paste'!$M519))</f>
        <v/>
      </c>
      <c r="AM519" t="str">
        <f>IF('TMP Paste'!$F519="","",IF('TMP Paste'!$N519="",$AM518,'TMP Paste'!$N519))</f>
        <v/>
      </c>
      <c r="AN519" t="str">
        <f>IF('TMP Paste'!$F519="","",IF('TMP Paste'!$O519="",$AN518,'TMP Paste'!$O519))</f>
        <v/>
      </c>
      <c r="AO519" t="str">
        <f>IF('TMP Paste'!$F519="","",IF('TMP Paste'!$P519="",$AO518,'TMP Paste'!$P519))</f>
        <v/>
      </c>
      <c r="AP519" t="str">
        <f t="shared" si="53"/>
        <v/>
      </c>
      <c r="AQ519" t="str">
        <f>IF($AS519="","",TRIM(IF(COUNTIFS(Calc!$B$2:$B$1601,ROW()-1,Calc!$C$2:$C$1601,"&lt;1")&gt;0,"Ada PO tanpa Koli - cek TMP. ","")&amp;IF(OR($AU519="",$AU519&lt;=0),"Volume kosong/0 - dimensi dikosongkan. ","")&amp;IF(AND($AU519&lt;&gt;"",$AU519&gt;=1000000),"Volume &gt;= 1.000.000 cm3 (di luar aturan) - dimensi dikosongkan. ","")&amp;IF(LEN($R519)&gt;500,"R &gt; 500 karakter.","")))</f>
        <v/>
      </c>
      <c r="AS519" t="str">
        <f>IFERROR(MATCH(ROW()-1,Calc!$J$2:$J$1601,0),"")</f>
        <v/>
      </c>
      <c r="AT519" t="str">
        <f>IFERROR(MATCH(ROW()-1,Calc!$K$2:$K$1601,0),"")</f>
        <v/>
      </c>
      <c r="AU519" t="str">
        <f>IF($AS519="","",IFERROR(INDEX('TMP Paste'!$D$2:$D$1601,$AS519)*1000000/$AB519,""))</f>
        <v/>
      </c>
    </row>
    <row r="520" spans="1:47">
      <c r="A520" t="str">
        <f>IF($AS520="","",INDEX('TMP Paste'!$B$2:$B$1601,$AS520))</f>
        <v/>
      </c>
      <c r="B520" t="str">
        <f>IF($AS520="","",Config!$B$14)</f>
        <v/>
      </c>
      <c r="C520" t="str">
        <f>IF($AS520="","",Config!$B$15)</f>
        <v/>
      </c>
      <c r="D520" t="str">
        <f>IF($AS520="","",INDEX('TMP Paste'!$B$2:$B$1601,$AS520))</f>
        <v/>
      </c>
      <c r="E520" t="str">
        <f>IF($AS520="","",Config!$B$27)</f>
        <v/>
      </c>
      <c r="F520" t="str">
        <f>IF($AS520="","",Config!$B$9)</f>
        <v/>
      </c>
      <c r="G520" t="str">
        <f>IF($AS520="","",Config!$B$10)</f>
        <v/>
      </c>
      <c r="H520" t="str">
        <f>IF($AS520="","",Config!$B$11)</f>
        <v/>
      </c>
      <c r="I520" t="str">
        <f>IF($AS520="","",Config!$B$16)</f>
        <v/>
      </c>
      <c r="J520" t="str">
        <f>IF($AS520="","",INDEX('TMP Paste'!$A$2:$A$1601,$AS520))</f>
        <v/>
      </c>
      <c r="K520" t="str">
        <f>IF($AS520="","",INDEX('TMP Paste'!$L$2:$L$1601,$AS520))</f>
        <v/>
      </c>
      <c r="L520" t="str">
        <f>IF($AS520="","",INDEX('TMP Paste'!$I$2:$I$1601,$AS520))</f>
        <v/>
      </c>
      <c r="M520" t="str">
        <f>IF($AS520="","",Config!$B$16)</f>
        <v/>
      </c>
      <c r="N520" t="str">
        <f t="shared" si="48"/>
        <v/>
      </c>
      <c r="O520" t="str">
        <f>IF($AS520="","",INDEX('TMP Paste'!$K$2:$K$1601,$AS520))</f>
        <v/>
      </c>
      <c r="P520" t="str">
        <f t="shared" si="49"/>
        <v/>
      </c>
      <c r="Q520" t="str">
        <f>IF($AS520="","",INDEX('TMP Paste'!$J$2:$J$1601,$AS520))</f>
        <v/>
      </c>
      <c r="R520" t="str">
        <f>IF($AS520="","",Config!$B$24)</f>
        <v/>
      </c>
      <c r="S520" t="str">
        <f ca="1">IF($AS520="","",TEXT(Config!$B$4,"yyyy-mm-dd"))</f>
        <v/>
      </c>
      <c r="T520" t="str">
        <f>IF($AS520="","",Config!$B$17)</f>
        <v/>
      </c>
      <c r="U520" t="str">
        <f>IF($AS520="","",Config!$B$18)</f>
        <v/>
      </c>
      <c r="V520" t="str">
        <f>IF($AS520="","",Config!$B$19)</f>
        <v/>
      </c>
      <c r="W520" t="str">
        <f>IF($AS520="","",INDEX('TMP Paste'!$C$2:$C$1601,$AS520))</f>
        <v/>
      </c>
      <c r="X520" t="str">
        <f>IF($AS520="","",Config!$B$29)</f>
        <v/>
      </c>
      <c r="Y520" t="str">
        <f>IF($AT520="","",INDEX(Calc!$I$2:$I$1601,$AT520)&amp;" - "&amp;INDEX(Calc!$D$2:$D$1601,$AT520)&amp;" koli")</f>
        <v/>
      </c>
      <c r="Z520" t="str">
        <f>IF($AS520="","",Config!$B$21)</f>
        <v/>
      </c>
      <c r="AA520" t="str">
        <f>IF($AS520="","",Config!$B$22)</f>
        <v/>
      </c>
      <c r="AB520" t="str">
        <f>IF($AT520="","",INDEX(Calc!$D$2:$D$1601,$AT520))</f>
        <v/>
      </c>
      <c r="AC520" t="str">
        <f>IF($AT520="","",INDEX(Calc!$G$2:$G$1601,$AT520))</f>
        <v/>
      </c>
      <c r="AD520" t="str">
        <f>IF($AS520="","",Config!$B$23)</f>
        <v/>
      </c>
      <c r="AE520" t="str">
        <f>IF($AS520="","",Config!$B$28)</f>
        <v/>
      </c>
      <c r="AF520" t="str">
        <f t="shared" si="50"/>
        <v/>
      </c>
      <c r="AG520" t="str">
        <f t="shared" si="51"/>
        <v/>
      </c>
      <c r="AH520" t="str">
        <f t="shared" si="52"/>
        <v/>
      </c>
      <c r="AI520" t="str">
        <f>IF($AG520="","",SUMIF($AG$2:$AG520,$AG520,$AH$2:$AH520))</f>
        <v/>
      </c>
      <c r="AJ520" t="str">
        <f>IF('TMP Paste'!$F520="","",IF('TMP Paste'!$B520="",$AJ519,'TMP Paste'!$B520))</f>
        <v/>
      </c>
      <c r="AK520" t="str">
        <f>IF('TMP Paste'!$F520="","",N('TMP Paste'!$G520))</f>
        <v/>
      </c>
      <c r="AL520" t="str">
        <f>IF('TMP Paste'!$F520="","",IF('TMP Paste'!$M520="",$AL519,'TMP Paste'!$M520))</f>
        <v/>
      </c>
      <c r="AM520" t="str">
        <f>IF('TMP Paste'!$F520="","",IF('TMP Paste'!$N520="",$AM519,'TMP Paste'!$N520))</f>
        <v/>
      </c>
      <c r="AN520" t="str">
        <f>IF('TMP Paste'!$F520="","",IF('TMP Paste'!$O520="",$AN519,'TMP Paste'!$O520))</f>
        <v/>
      </c>
      <c r="AO520" t="str">
        <f>IF('TMP Paste'!$F520="","",IF('TMP Paste'!$P520="",$AO519,'TMP Paste'!$P520))</f>
        <v/>
      </c>
      <c r="AP520" t="str">
        <f t="shared" si="53"/>
        <v/>
      </c>
      <c r="AQ520" t="str">
        <f>IF($AS520="","",TRIM(IF(COUNTIFS(Calc!$B$2:$B$1601,ROW()-1,Calc!$C$2:$C$1601,"&lt;1")&gt;0,"Ada PO tanpa Koli - cek TMP. ","")&amp;IF(OR($AU520="",$AU520&lt;=0),"Volume kosong/0 - dimensi dikosongkan. ","")&amp;IF(AND($AU520&lt;&gt;"",$AU520&gt;=1000000),"Volume &gt;= 1.000.000 cm3 (di luar aturan) - dimensi dikosongkan. ","")&amp;IF(LEN($R520)&gt;500,"R &gt; 500 karakter.","")))</f>
        <v/>
      </c>
      <c r="AS520" t="str">
        <f>IFERROR(MATCH(ROW()-1,Calc!$J$2:$J$1601,0),"")</f>
        <v/>
      </c>
      <c r="AT520" t="str">
        <f>IFERROR(MATCH(ROW()-1,Calc!$K$2:$K$1601,0),"")</f>
        <v/>
      </c>
      <c r="AU520" t="str">
        <f>IF($AS520="","",IFERROR(INDEX('TMP Paste'!$D$2:$D$1601,$AS520)*1000000/$AB520,""))</f>
        <v/>
      </c>
    </row>
    <row r="521" spans="1:47">
      <c r="A521" t="str">
        <f>IF($AS521="","",INDEX('TMP Paste'!$B$2:$B$1601,$AS521))</f>
        <v/>
      </c>
      <c r="B521" t="str">
        <f>IF($AS521="","",Config!$B$14)</f>
        <v/>
      </c>
      <c r="C521" t="str">
        <f>IF($AS521="","",Config!$B$15)</f>
        <v/>
      </c>
      <c r="D521" t="str">
        <f>IF($AS521="","",INDEX('TMP Paste'!$B$2:$B$1601,$AS521))</f>
        <v/>
      </c>
      <c r="E521" t="str">
        <f>IF($AS521="","",Config!$B$27)</f>
        <v/>
      </c>
      <c r="F521" t="str">
        <f>IF($AS521="","",Config!$B$9)</f>
        <v/>
      </c>
      <c r="G521" t="str">
        <f>IF($AS521="","",Config!$B$10)</f>
        <v/>
      </c>
      <c r="H521" t="str">
        <f>IF($AS521="","",Config!$B$11)</f>
        <v/>
      </c>
      <c r="I521" t="str">
        <f>IF($AS521="","",Config!$B$16)</f>
        <v/>
      </c>
      <c r="J521" t="str">
        <f>IF($AS521="","",INDEX('TMP Paste'!$A$2:$A$1601,$AS521))</f>
        <v/>
      </c>
      <c r="K521" t="str">
        <f>IF($AS521="","",INDEX('TMP Paste'!$L$2:$L$1601,$AS521))</f>
        <v/>
      </c>
      <c r="L521" t="str">
        <f>IF($AS521="","",INDEX('TMP Paste'!$I$2:$I$1601,$AS521))</f>
        <v/>
      </c>
      <c r="M521" t="str">
        <f>IF($AS521="","",Config!$B$16)</f>
        <v/>
      </c>
      <c r="N521" t="str">
        <f t="shared" si="48"/>
        <v/>
      </c>
      <c r="O521" t="str">
        <f>IF($AS521="","",INDEX('TMP Paste'!$K$2:$K$1601,$AS521))</f>
        <v/>
      </c>
      <c r="P521" t="str">
        <f t="shared" si="49"/>
        <v/>
      </c>
      <c r="Q521" t="str">
        <f>IF($AS521="","",INDEX('TMP Paste'!$J$2:$J$1601,$AS521))</f>
        <v/>
      </c>
      <c r="R521" t="str">
        <f>IF($AS521="","",Config!$B$24)</f>
        <v/>
      </c>
      <c r="S521" t="str">
        <f ca="1">IF($AS521="","",TEXT(Config!$B$4,"yyyy-mm-dd"))</f>
        <v/>
      </c>
      <c r="T521" t="str">
        <f>IF($AS521="","",Config!$B$17)</f>
        <v/>
      </c>
      <c r="U521" t="str">
        <f>IF($AS521="","",Config!$B$18)</f>
        <v/>
      </c>
      <c r="V521" t="str">
        <f>IF($AS521="","",Config!$B$19)</f>
        <v/>
      </c>
      <c r="W521" t="str">
        <f>IF($AS521="","",INDEX('TMP Paste'!$C$2:$C$1601,$AS521))</f>
        <v/>
      </c>
      <c r="X521" t="str">
        <f>IF($AS521="","",Config!$B$29)</f>
        <v/>
      </c>
      <c r="Y521" t="str">
        <f>IF($AT521="","",INDEX(Calc!$I$2:$I$1601,$AT521)&amp;" - "&amp;INDEX(Calc!$D$2:$D$1601,$AT521)&amp;" koli")</f>
        <v/>
      </c>
      <c r="Z521" t="str">
        <f>IF($AS521="","",Config!$B$21)</f>
        <v/>
      </c>
      <c r="AA521" t="str">
        <f>IF($AS521="","",Config!$B$22)</f>
        <v/>
      </c>
      <c r="AB521" t="str">
        <f>IF($AT521="","",INDEX(Calc!$D$2:$D$1601,$AT521))</f>
        <v/>
      </c>
      <c r="AC521" t="str">
        <f>IF($AT521="","",INDEX(Calc!$G$2:$G$1601,$AT521))</f>
        <v/>
      </c>
      <c r="AD521" t="str">
        <f>IF($AS521="","",Config!$B$23)</f>
        <v/>
      </c>
      <c r="AE521" t="str">
        <f>IF($AS521="","",Config!$B$28)</f>
        <v/>
      </c>
      <c r="AF521" t="str">
        <f t="shared" si="50"/>
        <v/>
      </c>
      <c r="AG521" t="str">
        <f t="shared" si="51"/>
        <v/>
      </c>
      <c r="AH521" t="str">
        <f t="shared" si="52"/>
        <v/>
      </c>
      <c r="AI521" t="str">
        <f>IF($AG521="","",SUMIF($AG$2:$AG521,$AG521,$AH$2:$AH521))</f>
        <v/>
      </c>
      <c r="AJ521" t="str">
        <f>IF('TMP Paste'!$F521="","",IF('TMP Paste'!$B521="",$AJ520,'TMP Paste'!$B521))</f>
        <v/>
      </c>
      <c r="AK521" t="str">
        <f>IF('TMP Paste'!$F521="","",N('TMP Paste'!$G521))</f>
        <v/>
      </c>
      <c r="AL521" t="str">
        <f>IF('TMP Paste'!$F521="","",IF('TMP Paste'!$M521="",$AL520,'TMP Paste'!$M521))</f>
        <v/>
      </c>
      <c r="AM521" t="str">
        <f>IF('TMP Paste'!$F521="","",IF('TMP Paste'!$N521="",$AM520,'TMP Paste'!$N521))</f>
        <v/>
      </c>
      <c r="AN521" t="str">
        <f>IF('TMP Paste'!$F521="","",IF('TMP Paste'!$O521="",$AN520,'TMP Paste'!$O521))</f>
        <v/>
      </c>
      <c r="AO521" t="str">
        <f>IF('TMP Paste'!$F521="","",IF('TMP Paste'!$P521="",$AO520,'TMP Paste'!$P521))</f>
        <v/>
      </c>
      <c r="AP521" t="str">
        <f t="shared" si="53"/>
        <v/>
      </c>
      <c r="AQ521" t="str">
        <f>IF($AS521="","",TRIM(IF(COUNTIFS(Calc!$B$2:$B$1601,ROW()-1,Calc!$C$2:$C$1601,"&lt;1")&gt;0,"Ada PO tanpa Koli - cek TMP. ","")&amp;IF(OR($AU521="",$AU521&lt;=0),"Volume kosong/0 - dimensi dikosongkan. ","")&amp;IF(AND($AU521&lt;&gt;"",$AU521&gt;=1000000),"Volume &gt;= 1.000.000 cm3 (di luar aturan) - dimensi dikosongkan. ","")&amp;IF(LEN($R521)&gt;500,"R &gt; 500 karakter.","")))</f>
        <v/>
      </c>
      <c r="AS521" t="str">
        <f>IFERROR(MATCH(ROW()-1,Calc!$J$2:$J$1601,0),"")</f>
        <v/>
      </c>
      <c r="AT521" t="str">
        <f>IFERROR(MATCH(ROW()-1,Calc!$K$2:$K$1601,0),"")</f>
        <v/>
      </c>
      <c r="AU521" t="str">
        <f>IF($AS521="","",IFERROR(INDEX('TMP Paste'!$D$2:$D$1601,$AS521)*1000000/$AB521,""))</f>
        <v/>
      </c>
    </row>
    <row r="522" spans="1:47">
      <c r="A522" t="str">
        <f>IF($AS522="","",INDEX('TMP Paste'!$B$2:$B$1601,$AS522))</f>
        <v/>
      </c>
      <c r="B522" t="str">
        <f>IF($AS522="","",Config!$B$14)</f>
        <v/>
      </c>
      <c r="C522" t="str">
        <f>IF($AS522="","",Config!$B$15)</f>
        <v/>
      </c>
      <c r="D522" t="str">
        <f>IF($AS522="","",INDEX('TMP Paste'!$B$2:$B$1601,$AS522))</f>
        <v/>
      </c>
      <c r="E522" t="str">
        <f>IF($AS522="","",Config!$B$27)</f>
        <v/>
      </c>
      <c r="F522" t="str">
        <f>IF($AS522="","",Config!$B$9)</f>
        <v/>
      </c>
      <c r="G522" t="str">
        <f>IF($AS522="","",Config!$B$10)</f>
        <v/>
      </c>
      <c r="H522" t="str">
        <f>IF($AS522="","",Config!$B$11)</f>
        <v/>
      </c>
      <c r="I522" t="str">
        <f>IF($AS522="","",Config!$B$16)</f>
        <v/>
      </c>
      <c r="J522" t="str">
        <f>IF($AS522="","",INDEX('TMP Paste'!$A$2:$A$1601,$AS522))</f>
        <v/>
      </c>
      <c r="K522" t="str">
        <f>IF($AS522="","",INDEX('TMP Paste'!$L$2:$L$1601,$AS522))</f>
        <v/>
      </c>
      <c r="L522" t="str">
        <f>IF($AS522="","",INDEX('TMP Paste'!$I$2:$I$1601,$AS522))</f>
        <v/>
      </c>
      <c r="M522" t="str">
        <f>IF($AS522="","",Config!$B$16)</f>
        <v/>
      </c>
      <c r="N522" t="str">
        <f t="shared" si="48"/>
        <v/>
      </c>
      <c r="O522" t="str">
        <f>IF($AS522="","",INDEX('TMP Paste'!$K$2:$K$1601,$AS522))</f>
        <v/>
      </c>
      <c r="P522" t="str">
        <f t="shared" si="49"/>
        <v/>
      </c>
      <c r="Q522" t="str">
        <f>IF($AS522="","",INDEX('TMP Paste'!$J$2:$J$1601,$AS522))</f>
        <v/>
      </c>
      <c r="R522" t="str">
        <f>IF($AS522="","",Config!$B$24)</f>
        <v/>
      </c>
      <c r="S522" t="str">
        <f ca="1">IF($AS522="","",TEXT(Config!$B$4,"yyyy-mm-dd"))</f>
        <v/>
      </c>
      <c r="T522" t="str">
        <f>IF($AS522="","",Config!$B$17)</f>
        <v/>
      </c>
      <c r="U522" t="str">
        <f>IF($AS522="","",Config!$B$18)</f>
        <v/>
      </c>
      <c r="V522" t="str">
        <f>IF($AS522="","",Config!$B$19)</f>
        <v/>
      </c>
      <c r="W522" t="str">
        <f>IF($AS522="","",INDEX('TMP Paste'!$C$2:$C$1601,$AS522))</f>
        <v/>
      </c>
      <c r="X522" t="str">
        <f>IF($AS522="","",Config!$B$29)</f>
        <v/>
      </c>
      <c r="Y522" t="str">
        <f>IF($AT522="","",INDEX(Calc!$I$2:$I$1601,$AT522)&amp;" - "&amp;INDEX(Calc!$D$2:$D$1601,$AT522)&amp;" koli")</f>
        <v/>
      </c>
      <c r="Z522" t="str">
        <f>IF($AS522="","",Config!$B$21)</f>
        <v/>
      </c>
      <c r="AA522" t="str">
        <f>IF($AS522="","",Config!$B$22)</f>
        <v/>
      </c>
      <c r="AB522" t="str">
        <f>IF($AT522="","",INDEX(Calc!$D$2:$D$1601,$AT522))</f>
        <v/>
      </c>
      <c r="AC522" t="str">
        <f>IF($AT522="","",INDEX(Calc!$G$2:$G$1601,$AT522))</f>
        <v/>
      </c>
      <c r="AD522" t="str">
        <f>IF($AS522="","",Config!$B$23)</f>
        <v/>
      </c>
      <c r="AE522" t="str">
        <f>IF($AS522="","",Config!$B$28)</f>
        <v/>
      </c>
      <c r="AF522" t="str">
        <f t="shared" si="50"/>
        <v/>
      </c>
      <c r="AG522" t="str">
        <f t="shared" si="51"/>
        <v/>
      </c>
      <c r="AH522" t="str">
        <f t="shared" si="52"/>
        <v/>
      </c>
      <c r="AI522" t="str">
        <f>IF($AG522="","",SUMIF($AG$2:$AG522,$AG522,$AH$2:$AH522))</f>
        <v/>
      </c>
      <c r="AJ522" t="str">
        <f>IF('TMP Paste'!$F522="","",IF('TMP Paste'!$B522="",$AJ521,'TMP Paste'!$B522))</f>
        <v/>
      </c>
      <c r="AK522" t="str">
        <f>IF('TMP Paste'!$F522="","",N('TMP Paste'!$G522))</f>
        <v/>
      </c>
      <c r="AL522" t="str">
        <f>IF('TMP Paste'!$F522="","",IF('TMP Paste'!$M522="",$AL521,'TMP Paste'!$M522))</f>
        <v/>
      </c>
      <c r="AM522" t="str">
        <f>IF('TMP Paste'!$F522="","",IF('TMP Paste'!$N522="",$AM521,'TMP Paste'!$N522))</f>
        <v/>
      </c>
      <c r="AN522" t="str">
        <f>IF('TMP Paste'!$F522="","",IF('TMP Paste'!$O522="",$AN521,'TMP Paste'!$O522))</f>
        <v/>
      </c>
      <c r="AO522" t="str">
        <f>IF('TMP Paste'!$F522="","",IF('TMP Paste'!$P522="",$AO521,'TMP Paste'!$P522))</f>
        <v/>
      </c>
      <c r="AP522" t="str">
        <f t="shared" si="53"/>
        <v/>
      </c>
      <c r="AQ522" t="str">
        <f>IF($AS522="","",TRIM(IF(COUNTIFS(Calc!$B$2:$B$1601,ROW()-1,Calc!$C$2:$C$1601,"&lt;1")&gt;0,"Ada PO tanpa Koli - cek TMP. ","")&amp;IF(OR($AU522="",$AU522&lt;=0),"Volume kosong/0 - dimensi dikosongkan. ","")&amp;IF(AND($AU522&lt;&gt;"",$AU522&gt;=1000000),"Volume &gt;= 1.000.000 cm3 (di luar aturan) - dimensi dikosongkan. ","")&amp;IF(LEN($R522)&gt;500,"R &gt; 500 karakter.","")))</f>
        <v/>
      </c>
      <c r="AS522" t="str">
        <f>IFERROR(MATCH(ROW()-1,Calc!$J$2:$J$1601,0),"")</f>
        <v/>
      </c>
      <c r="AT522" t="str">
        <f>IFERROR(MATCH(ROW()-1,Calc!$K$2:$K$1601,0),"")</f>
        <v/>
      </c>
      <c r="AU522" t="str">
        <f>IF($AS522="","",IFERROR(INDEX('TMP Paste'!$D$2:$D$1601,$AS522)*1000000/$AB522,""))</f>
        <v/>
      </c>
    </row>
    <row r="523" spans="1:47">
      <c r="A523" t="str">
        <f>IF($AS523="","",INDEX('TMP Paste'!$B$2:$B$1601,$AS523))</f>
        <v/>
      </c>
      <c r="B523" t="str">
        <f>IF($AS523="","",Config!$B$14)</f>
        <v/>
      </c>
      <c r="C523" t="str">
        <f>IF($AS523="","",Config!$B$15)</f>
        <v/>
      </c>
      <c r="D523" t="str">
        <f>IF($AS523="","",INDEX('TMP Paste'!$B$2:$B$1601,$AS523))</f>
        <v/>
      </c>
      <c r="E523" t="str">
        <f>IF($AS523="","",Config!$B$27)</f>
        <v/>
      </c>
      <c r="F523" t="str">
        <f>IF($AS523="","",Config!$B$9)</f>
        <v/>
      </c>
      <c r="G523" t="str">
        <f>IF($AS523="","",Config!$B$10)</f>
        <v/>
      </c>
      <c r="H523" t="str">
        <f>IF($AS523="","",Config!$B$11)</f>
        <v/>
      </c>
      <c r="I523" t="str">
        <f>IF($AS523="","",Config!$B$16)</f>
        <v/>
      </c>
      <c r="J523" t="str">
        <f>IF($AS523="","",INDEX('TMP Paste'!$A$2:$A$1601,$AS523))</f>
        <v/>
      </c>
      <c r="K523" t="str">
        <f>IF($AS523="","",INDEX('TMP Paste'!$L$2:$L$1601,$AS523))</f>
        <v/>
      </c>
      <c r="L523" t="str">
        <f>IF($AS523="","",INDEX('TMP Paste'!$I$2:$I$1601,$AS523))</f>
        <v/>
      </c>
      <c r="M523" t="str">
        <f>IF($AS523="","",Config!$B$16)</f>
        <v/>
      </c>
      <c r="N523" t="str">
        <f t="shared" si="48"/>
        <v/>
      </c>
      <c r="O523" t="str">
        <f>IF($AS523="","",INDEX('TMP Paste'!$K$2:$K$1601,$AS523))</f>
        <v/>
      </c>
      <c r="P523" t="str">
        <f t="shared" si="49"/>
        <v/>
      </c>
      <c r="Q523" t="str">
        <f>IF($AS523="","",INDEX('TMP Paste'!$J$2:$J$1601,$AS523))</f>
        <v/>
      </c>
      <c r="R523" t="str">
        <f>IF($AS523="","",Config!$B$24)</f>
        <v/>
      </c>
      <c r="S523" t="str">
        <f ca="1">IF($AS523="","",TEXT(Config!$B$4,"yyyy-mm-dd"))</f>
        <v/>
      </c>
      <c r="T523" t="str">
        <f>IF($AS523="","",Config!$B$17)</f>
        <v/>
      </c>
      <c r="U523" t="str">
        <f>IF($AS523="","",Config!$B$18)</f>
        <v/>
      </c>
      <c r="V523" t="str">
        <f>IF($AS523="","",Config!$B$19)</f>
        <v/>
      </c>
      <c r="W523" t="str">
        <f>IF($AS523="","",INDEX('TMP Paste'!$C$2:$C$1601,$AS523))</f>
        <v/>
      </c>
      <c r="X523" t="str">
        <f>IF($AS523="","",Config!$B$29)</f>
        <v/>
      </c>
      <c r="Y523" t="str">
        <f>IF($AT523="","",INDEX(Calc!$I$2:$I$1601,$AT523)&amp;" - "&amp;INDEX(Calc!$D$2:$D$1601,$AT523)&amp;" koli")</f>
        <v/>
      </c>
      <c r="Z523" t="str">
        <f>IF($AS523="","",Config!$B$21)</f>
        <v/>
      </c>
      <c r="AA523" t="str">
        <f>IF($AS523="","",Config!$B$22)</f>
        <v/>
      </c>
      <c r="AB523" t="str">
        <f>IF($AT523="","",INDEX(Calc!$D$2:$D$1601,$AT523))</f>
        <v/>
      </c>
      <c r="AC523" t="str">
        <f>IF($AT523="","",INDEX(Calc!$G$2:$G$1601,$AT523))</f>
        <v/>
      </c>
      <c r="AD523" t="str">
        <f>IF($AS523="","",Config!$B$23)</f>
        <v/>
      </c>
      <c r="AE523" t="str">
        <f>IF($AS523="","",Config!$B$28)</f>
        <v/>
      </c>
      <c r="AF523" t="str">
        <f t="shared" si="50"/>
        <v/>
      </c>
      <c r="AG523" t="str">
        <f t="shared" si="51"/>
        <v/>
      </c>
      <c r="AH523" t="str">
        <f t="shared" si="52"/>
        <v/>
      </c>
      <c r="AI523" t="str">
        <f>IF($AG523="","",SUMIF($AG$2:$AG523,$AG523,$AH$2:$AH523))</f>
        <v/>
      </c>
      <c r="AJ523" t="str">
        <f>IF('TMP Paste'!$F523="","",IF('TMP Paste'!$B523="",$AJ522,'TMP Paste'!$B523))</f>
        <v/>
      </c>
      <c r="AK523" t="str">
        <f>IF('TMP Paste'!$F523="","",N('TMP Paste'!$G523))</f>
        <v/>
      </c>
      <c r="AL523" t="str">
        <f>IF('TMP Paste'!$F523="","",IF('TMP Paste'!$M523="",$AL522,'TMP Paste'!$M523))</f>
        <v/>
      </c>
      <c r="AM523" t="str">
        <f>IF('TMP Paste'!$F523="","",IF('TMP Paste'!$N523="",$AM522,'TMP Paste'!$N523))</f>
        <v/>
      </c>
      <c r="AN523" t="str">
        <f>IF('TMP Paste'!$F523="","",IF('TMP Paste'!$O523="",$AN522,'TMP Paste'!$O523))</f>
        <v/>
      </c>
      <c r="AO523" t="str">
        <f>IF('TMP Paste'!$F523="","",IF('TMP Paste'!$P523="",$AO522,'TMP Paste'!$P523))</f>
        <v/>
      </c>
      <c r="AP523" t="str">
        <f t="shared" si="53"/>
        <v/>
      </c>
      <c r="AQ523" t="str">
        <f>IF($AS523="","",TRIM(IF(COUNTIFS(Calc!$B$2:$B$1601,ROW()-1,Calc!$C$2:$C$1601,"&lt;1")&gt;0,"Ada PO tanpa Koli - cek TMP. ","")&amp;IF(OR($AU523="",$AU523&lt;=0),"Volume kosong/0 - dimensi dikosongkan. ","")&amp;IF(AND($AU523&lt;&gt;"",$AU523&gt;=1000000),"Volume &gt;= 1.000.000 cm3 (di luar aturan) - dimensi dikosongkan. ","")&amp;IF(LEN($R523)&gt;500,"R &gt; 500 karakter.","")))</f>
        <v/>
      </c>
      <c r="AS523" t="str">
        <f>IFERROR(MATCH(ROW()-1,Calc!$J$2:$J$1601,0),"")</f>
        <v/>
      </c>
      <c r="AT523" t="str">
        <f>IFERROR(MATCH(ROW()-1,Calc!$K$2:$K$1601,0),"")</f>
        <v/>
      </c>
      <c r="AU523" t="str">
        <f>IF($AS523="","",IFERROR(INDEX('TMP Paste'!$D$2:$D$1601,$AS523)*1000000/$AB523,""))</f>
        <v/>
      </c>
    </row>
    <row r="524" spans="1:47">
      <c r="A524" t="str">
        <f>IF($AS524="","",INDEX('TMP Paste'!$B$2:$B$1601,$AS524))</f>
        <v/>
      </c>
      <c r="B524" t="str">
        <f>IF($AS524="","",Config!$B$14)</f>
        <v/>
      </c>
      <c r="C524" t="str">
        <f>IF($AS524="","",Config!$B$15)</f>
        <v/>
      </c>
      <c r="D524" t="str">
        <f>IF($AS524="","",INDEX('TMP Paste'!$B$2:$B$1601,$AS524))</f>
        <v/>
      </c>
      <c r="E524" t="str">
        <f>IF($AS524="","",Config!$B$27)</f>
        <v/>
      </c>
      <c r="F524" t="str">
        <f>IF($AS524="","",Config!$B$9)</f>
        <v/>
      </c>
      <c r="G524" t="str">
        <f>IF($AS524="","",Config!$B$10)</f>
        <v/>
      </c>
      <c r="H524" t="str">
        <f>IF($AS524="","",Config!$B$11)</f>
        <v/>
      </c>
      <c r="I524" t="str">
        <f>IF($AS524="","",Config!$B$16)</f>
        <v/>
      </c>
      <c r="J524" t="str">
        <f>IF($AS524="","",INDEX('TMP Paste'!$A$2:$A$1601,$AS524))</f>
        <v/>
      </c>
      <c r="K524" t="str">
        <f>IF($AS524="","",INDEX('TMP Paste'!$L$2:$L$1601,$AS524))</f>
        <v/>
      </c>
      <c r="L524" t="str">
        <f>IF($AS524="","",INDEX('TMP Paste'!$I$2:$I$1601,$AS524))</f>
        <v/>
      </c>
      <c r="M524" t="str">
        <f>IF($AS524="","",Config!$B$16)</f>
        <v/>
      </c>
      <c r="N524" t="str">
        <f t="shared" si="48"/>
        <v/>
      </c>
      <c r="O524" t="str">
        <f>IF($AS524="","",INDEX('TMP Paste'!$K$2:$K$1601,$AS524))</f>
        <v/>
      </c>
      <c r="P524" t="str">
        <f t="shared" si="49"/>
        <v/>
      </c>
      <c r="Q524" t="str">
        <f>IF($AS524="","",INDEX('TMP Paste'!$J$2:$J$1601,$AS524))</f>
        <v/>
      </c>
      <c r="R524" t="str">
        <f>IF($AS524="","",Config!$B$24)</f>
        <v/>
      </c>
      <c r="S524" t="str">
        <f ca="1">IF($AS524="","",TEXT(Config!$B$4,"yyyy-mm-dd"))</f>
        <v/>
      </c>
      <c r="T524" t="str">
        <f>IF($AS524="","",Config!$B$17)</f>
        <v/>
      </c>
      <c r="U524" t="str">
        <f>IF($AS524="","",Config!$B$18)</f>
        <v/>
      </c>
      <c r="V524" t="str">
        <f>IF($AS524="","",Config!$B$19)</f>
        <v/>
      </c>
      <c r="W524" t="str">
        <f>IF($AS524="","",INDEX('TMP Paste'!$C$2:$C$1601,$AS524))</f>
        <v/>
      </c>
      <c r="X524" t="str">
        <f>IF($AS524="","",Config!$B$29)</f>
        <v/>
      </c>
      <c r="Y524" t="str">
        <f>IF($AT524="","",INDEX(Calc!$I$2:$I$1601,$AT524)&amp;" - "&amp;INDEX(Calc!$D$2:$D$1601,$AT524)&amp;" koli")</f>
        <v/>
      </c>
      <c r="Z524" t="str">
        <f>IF($AS524="","",Config!$B$21)</f>
        <v/>
      </c>
      <c r="AA524" t="str">
        <f>IF($AS524="","",Config!$B$22)</f>
        <v/>
      </c>
      <c r="AB524" t="str">
        <f>IF($AT524="","",INDEX(Calc!$D$2:$D$1601,$AT524))</f>
        <v/>
      </c>
      <c r="AC524" t="str">
        <f>IF($AT524="","",INDEX(Calc!$G$2:$G$1601,$AT524))</f>
        <v/>
      </c>
      <c r="AD524" t="str">
        <f>IF($AS524="","",Config!$B$23)</f>
        <v/>
      </c>
      <c r="AE524" t="str">
        <f>IF($AS524="","",Config!$B$28)</f>
        <v/>
      </c>
      <c r="AF524" t="str">
        <f t="shared" si="50"/>
        <v/>
      </c>
      <c r="AG524" t="str">
        <f t="shared" si="51"/>
        <v/>
      </c>
      <c r="AH524" t="str">
        <f t="shared" si="52"/>
        <v/>
      </c>
      <c r="AI524" t="str">
        <f>IF($AG524="","",SUMIF($AG$2:$AG524,$AG524,$AH$2:$AH524))</f>
        <v/>
      </c>
      <c r="AJ524" t="str">
        <f>IF('TMP Paste'!$F524="","",IF('TMP Paste'!$B524="",$AJ523,'TMP Paste'!$B524))</f>
        <v/>
      </c>
      <c r="AK524" t="str">
        <f>IF('TMP Paste'!$F524="","",N('TMP Paste'!$G524))</f>
        <v/>
      </c>
      <c r="AL524" t="str">
        <f>IF('TMP Paste'!$F524="","",IF('TMP Paste'!$M524="",$AL523,'TMP Paste'!$M524))</f>
        <v/>
      </c>
      <c r="AM524" t="str">
        <f>IF('TMP Paste'!$F524="","",IF('TMP Paste'!$N524="",$AM523,'TMP Paste'!$N524))</f>
        <v/>
      </c>
      <c r="AN524" t="str">
        <f>IF('TMP Paste'!$F524="","",IF('TMP Paste'!$O524="",$AN523,'TMP Paste'!$O524))</f>
        <v/>
      </c>
      <c r="AO524" t="str">
        <f>IF('TMP Paste'!$F524="","",IF('TMP Paste'!$P524="",$AO523,'TMP Paste'!$P524))</f>
        <v/>
      </c>
      <c r="AP524" t="str">
        <f t="shared" si="53"/>
        <v/>
      </c>
      <c r="AQ524" t="str">
        <f>IF($AS524="","",TRIM(IF(COUNTIFS(Calc!$B$2:$B$1601,ROW()-1,Calc!$C$2:$C$1601,"&lt;1")&gt;0,"Ada PO tanpa Koli - cek TMP. ","")&amp;IF(OR($AU524="",$AU524&lt;=0),"Volume kosong/0 - dimensi dikosongkan. ","")&amp;IF(AND($AU524&lt;&gt;"",$AU524&gt;=1000000),"Volume &gt;= 1.000.000 cm3 (di luar aturan) - dimensi dikosongkan. ","")&amp;IF(LEN($R524)&gt;500,"R &gt; 500 karakter.","")))</f>
        <v/>
      </c>
      <c r="AS524" t="str">
        <f>IFERROR(MATCH(ROW()-1,Calc!$J$2:$J$1601,0),"")</f>
        <v/>
      </c>
      <c r="AT524" t="str">
        <f>IFERROR(MATCH(ROW()-1,Calc!$K$2:$K$1601,0),"")</f>
        <v/>
      </c>
      <c r="AU524" t="str">
        <f>IF($AS524="","",IFERROR(INDEX('TMP Paste'!$D$2:$D$1601,$AS524)*1000000/$AB524,""))</f>
        <v/>
      </c>
    </row>
    <row r="525" spans="1:47">
      <c r="A525" t="str">
        <f>IF($AS525="","",INDEX('TMP Paste'!$B$2:$B$1601,$AS525))</f>
        <v/>
      </c>
      <c r="B525" t="str">
        <f>IF($AS525="","",Config!$B$14)</f>
        <v/>
      </c>
      <c r="C525" t="str">
        <f>IF($AS525="","",Config!$B$15)</f>
        <v/>
      </c>
      <c r="D525" t="str">
        <f>IF($AS525="","",INDEX('TMP Paste'!$B$2:$B$1601,$AS525))</f>
        <v/>
      </c>
      <c r="E525" t="str">
        <f>IF($AS525="","",Config!$B$27)</f>
        <v/>
      </c>
      <c r="F525" t="str">
        <f>IF($AS525="","",Config!$B$9)</f>
        <v/>
      </c>
      <c r="G525" t="str">
        <f>IF($AS525="","",Config!$B$10)</f>
        <v/>
      </c>
      <c r="H525" t="str">
        <f>IF($AS525="","",Config!$B$11)</f>
        <v/>
      </c>
      <c r="I525" t="str">
        <f>IF($AS525="","",Config!$B$16)</f>
        <v/>
      </c>
      <c r="J525" t="str">
        <f>IF($AS525="","",INDEX('TMP Paste'!$A$2:$A$1601,$AS525))</f>
        <v/>
      </c>
      <c r="K525" t="str">
        <f>IF($AS525="","",INDEX('TMP Paste'!$L$2:$L$1601,$AS525))</f>
        <v/>
      </c>
      <c r="L525" t="str">
        <f>IF($AS525="","",INDEX('TMP Paste'!$I$2:$I$1601,$AS525))</f>
        <v/>
      </c>
      <c r="M525" t="str">
        <f>IF($AS525="","",Config!$B$16)</f>
        <v/>
      </c>
      <c r="N525" t="str">
        <f t="shared" si="48"/>
        <v/>
      </c>
      <c r="O525" t="str">
        <f>IF($AS525="","",INDEX('TMP Paste'!$K$2:$K$1601,$AS525))</f>
        <v/>
      </c>
      <c r="P525" t="str">
        <f t="shared" si="49"/>
        <v/>
      </c>
      <c r="Q525" t="str">
        <f>IF($AS525="","",INDEX('TMP Paste'!$J$2:$J$1601,$AS525))</f>
        <v/>
      </c>
      <c r="R525" t="str">
        <f>IF($AS525="","",Config!$B$24)</f>
        <v/>
      </c>
      <c r="S525" t="str">
        <f ca="1">IF($AS525="","",TEXT(Config!$B$4,"yyyy-mm-dd"))</f>
        <v/>
      </c>
      <c r="T525" t="str">
        <f>IF($AS525="","",Config!$B$17)</f>
        <v/>
      </c>
      <c r="U525" t="str">
        <f>IF($AS525="","",Config!$B$18)</f>
        <v/>
      </c>
      <c r="V525" t="str">
        <f>IF($AS525="","",Config!$B$19)</f>
        <v/>
      </c>
      <c r="W525" t="str">
        <f>IF($AS525="","",INDEX('TMP Paste'!$C$2:$C$1601,$AS525))</f>
        <v/>
      </c>
      <c r="X525" t="str">
        <f>IF($AS525="","",Config!$B$29)</f>
        <v/>
      </c>
      <c r="Y525" t="str">
        <f>IF($AT525="","",INDEX(Calc!$I$2:$I$1601,$AT525)&amp;" - "&amp;INDEX(Calc!$D$2:$D$1601,$AT525)&amp;" koli")</f>
        <v/>
      </c>
      <c r="Z525" t="str">
        <f>IF($AS525="","",Config!$B$21)</f>
        <v/>
      </c>
      <c r="AA525" t="str">
        <f>IF($AS525="","",Config!$B$22)</f>
        <v/>
      </c>
      <c r="AB525" t="str">
        <f>IF($AT525="","",INDEX(Calc!$D$2:$D$1601,$AT525))</f>
        <v/>
      </c>
      <c r="AC525" t="str">
        <f>IF($AT525="","",INDEX(Calc!$G$2:$G$1601,$AT525))</f>
        <v/>
      </c>
      <c r="AD525" t="str">
        <f>IF($AS525="","",Config!$B$23)</f>
        <v/>
      </c>
      <c r="AE525" t="str">
        <f>IF($AS525="","",Config!$B$28)</f>
        <v/>
      </c>
      <c r="AF525" t="str">
        <f t="shared" si="50"/>
        <v/>
      </c>
      <c r="AG525" t="str">
        <f t="shared" si="51"/>
        <v/>
      </c>
      <c r="AH525" t="str">
        <f t="shared" si="52"/>
        <v/>
      </c>
      <c r="AI525" t="str">
        <f>IF($AG525="","",SUMIF($AG$2:$AG525,$AG525,$AH$2:$AH525))</f>
        <v/>
      </c>
      <c r="AJ525" t="str">
        <f>IF('TMP Paste'!$F525="","",IF('TMP Paste'!$B525="",$AJ524,'TMP Paste'!$B525))</f>
        <v/>
      </c>
      <c r="AK525" t="str">
        <f>IF('TMP Paste'!$F525="","",N('TMP Paste'!$G525))</f>
        <v/>
      </c>
      <c r="AL525" t="str">
        <f>IF('TMP Paste'!$F525="","",IF('TMP Paste'!$M525="",$AL524,'TMP Paste'!$M525))</f>
        <v/>
      </c>
      <c r="AM525" t="str">
        <f>IF('TMP Paste'!$F525="","",IF('TMP Paste'!$N525="",$AM524,'TMP Paste'!$N525))</f>
        <v/>
      </c>
      <c r="AN525" t="str">
        <f>IF('TMP Paste'!$F525="","",IF('TMP Paste'!$O525="",$AN524,'TMP Paste'!$O525))</f>
        <v/>
      </c>
      <c r="AO525" t="str">
        <f>IF('TMP Paste'!$F525="","",IF('TMP Paste'!$P525="",$AO524,'TMP Paste'!$P525))</f>
        <v/>
      </c>
      <c r="AP525" t="str">
        <f t="shared" si="53"/>
        <v/>
      </c>
      <c r="AQ525" t="str">
        <f>IF($AS525="","",TRIM(IF(COUNTIFS(Calc!$B$2:$B$1601,ROW()-1,Calc!$C$2:$C$1601,"&lt;1")&gt;0,"Ada PO tanpa Koli - cek TMP. ","")&amp;IF(OR($AU525="",$AU525&lt;=0),"Volume kosong/0 - dimensi dikosongkan. ","")&amp;IF(AND($AU525&lt;&gt;"",$AU525&gt;=1000000),"Volume &gt;= 1.000.000 cm3 (di luar aturan) - dimensi dikosongkan. ","")&amp;IF(LEN($R525)&gt;500,"R &gt; 500 karakter.","")))</f>
        <v/>
      </c>
      <c r="AS525" t="str">
        <f>IFERROR(MATCH(ROW()-1,Calc!$J$2:$J$1601,0),"")</f>
        <v/>
      </c>
      <c r="AT525" t="str">
        <f>IFERROR(MATCH(ROW()-1,Calc!$K$2:$K$1601,0),"")</f>
        <v/>
      </c>
      <c r="AU525" t="str">
        <f>IF($AS525="","",IFERROR(INDEX('TMP Paste'!$D$2:$D$1601,$AS525)*1000000/$AB525,""))</f>
        <v/>
      </c>
    </row>
    <row r="526" spans="1:47">
      <c r="A526" t="str">
        <f>IF($AS526="","",INDEX('TMP Paste'!$B$2:$B$1601,$AS526))</f>
        <v/>
      </c>
      <c r="B526" t="str">
        <f>IF($AS526="","",Config!$B$14)</f>
        <v/>
      </c>
      <c r="C526" t="str">
        <f>IF($AS526="","",Config!$B$15)</f>
        <v/>
      </c>
      <c r="D526" t="str">
        <f>IF($AS526="","",INDEX('TMP Paste'!$B$2:$B$1601,$AS526))</f>
        <v/>
      </c>
      <c r="E526" t="str">
        <f>IF($AS526="","",Config!$B$27)</f>
        <v/>
      </c>
      <c r="F526" t="str">
        <f>IF($AS526="","",Config!$B$9)</f>
        <v/>
      </c>
      <c r="G526" t="str">
        <f>IF($AS526="","",Config!$B$10)</f>
        <v/>
      </c>
      <c r="H526" t="str">
        <f>IF($AS526="","",Config!$B$11)</f>
        <v/>
      </c>
      <c r="I526" t="str">
        <f>IF($AS526="","",Config!$B$16)</f>
        <v/>
      </c>
      <c r="J526" t="str">
        <f>IF($AS526="","",INDEX('TMP Paste'!$A$2:$A$1601,$AS526))</f>
        <v/>
      </c>
      <c r="K526" t="str">
        <f>IF($AS526="","",INDEX('TMP Paste'!$L$2:$L$1601,$AS526))</f>
        <v/>
      </c>
      <c r="L526" t="str">
        <f>IF($AS526="","",INDEX('TMP Paste'!$I$2:$I$1601,$AS526))</f>
        <v/>
      </c>
      <c r="M526" t="str">
        <f>IF($AS526="","",Config!$B$16)</f>
        <v/>
      </c>
      <c r="N526" t="str">
        <f t="shared" si="48"/>
        <v/>
      </c>
      <c r="O526" t="str">
        <f>IF($AS526="","",INDEX('TMP Paste'!$K$2:$K$1601,$AS526))</f>
        <v/>
      </c>
      <c r="P526" t="str">
        <f t="shared" si="49"/>
        <v/>
      </c>
      <c r="Q526" t="str">
        <f>IF($AS526="","",INDEX('TMP Paste'!$J$2:$J$1601,$AS526))</f>
        <v/>
      </c>
      <c r="R526" t="str">
        <f>IF($AS526="","",Config!$B$24)</f>
        <v/>
      </c>
      <c r="S526" t="str">
        <f ca="1">IF($AS526="","",TEXT(Config!$B$4,"yyyy-mm-dd"))</f>
        <v/>
      </c>
      <c r="T526" t="str">
        <f>IF($AS526="","",Config!$B$17)</f>
        <v/>
      </c>
      <c r="U526" t="str">
        <f>IF($AS526="","",Config!$B$18)</f>
        <v/>
      </c>
      <c r="V526" t="str">
        <f>IF($AS526="","",Config!$B$19)</f>
        <v/>
      </c>
      <c r="W526" t="str">
        <f>IF($AS526="","",INDEX('TMP Paste'!$C$2:$C$1601,$AS526))</f>
        <v/>
      </c>
      <c r="X526" t="str">
        <f>IF($AS526="","",Config!$B$29)</f>
        <v/>
      </c>
      <c r="Y526" t="str">
        <f>IF($AT526="","",INDEX(Calc!$I$2:$I$1601,$AT526)&amp;" - "&amp;INDEX(Calc!$D$2:$D$1601,$AT526)&amp;" koli")</f>
        <v/>
      </c>
      <c r="Z526" t="str">
        <f>IF($AS526="","",Config!$B$21)</f>
        <v/>
      </c>
      <c r="AA526" t="str">
        <f>IF($AS526="","",Config!$B$22)</f>
        <v/>
      </c>
      <c r="AB526" t="str">
        <f>IF($AT526="","",INDEX(Calc!$D$2:$D$1601,$AT526))</f>
        <v/>
      </c>
      <c r="AC526" t="str">
        <f>IF($AT526="","",INDEX(Calc!$G$2:$G$1601,$AT526))</f>
        <v/>
      </c>
      <c r="AD526" t="str">
        <f>IF($AS526="","",Config!$B$23)</f>
        <v/>
      </c>
      <c r="AE526" t="str">
        <f>IF($AS526="","",Config!$B$28)</f>
        <v/>
      </c>
      <c r="AF526" t="str">
        <f t="shared" si="50"/>
        <v/>
      </c>
      <c r="AG526" t="str">
        <f t="shared" si="51"/>
        <v/>
      </c>
      <c r="AH526" t="str">
        <f t="shared" si="52"/>
        <v/>
      </c>
      <c r="AI526" t="str">
        <f>IF($AG526="","",SUMIF($AG$2:$AG526,$AG526,$AH$2:$AH526))</f>
        <v/>
      </c>
      <c r="AJ526" t="str">
        <f>IF('TMP Paste'!$F526="","",IF('TMP Paste'!$B526="",$AJ525,'TMP Paste'!$B526))</f>
        <v/>
      </c>
      <c r="AK526" t="str">
        <f>IF('TMP Paste'!$F526="","",N('TMP Paste'!$G526))</f>
        <v/>
      </c>
      <c r="AL526" t="str">
        <f>IF('TMP Paste'!$F526="","",IF('TMP Paste'!$M526="",$AL525,'TMP Paste'!$M526))</f>
        <v/>
      </c>
      <c r="AM526" t="str">
        <f>IF('TMP Paste'!$F526="","",IF('TMP Paste'!$N526="",$AM525,'TMP Paste'!$N526))</f>
        <v/>
      </c>
      <c r="AN526" t="str">
        <f>IF('TMP Paste'!$F526="","",IF('TMP Paste'!$O526="",$AN525,'TMP Paste'!$O526))</f>
        <v/>
      </c>
      <c r="AO526" t="str">
        <f>IF('TMP Paste'!$F526="","",IF('TMP Paste'!$P526="",$AO525,'TMP Paste'!$P526))</f>
        <v/>
      </c>
      <c r="AP526" t="str">
        <f t="shared" si="53"/>
        <v/>
      </c>
      <c r="AQ526" t="str">
        <f>IF($AS526="","",TRIM(IF(COUNTIFS(Calc!$B$2:$B$1601,ROW()-1,Calc!$C$2:$C$1601,"&lt;1")&gt;0,"Ada PO tanpa Koli - cek TMP. ","")&amp;IF(OR($AU526="",$AU526&lt;=0),"Volume kosong/0 - dimensi dikosongkan. ","")&amp;IF(AND($AU526&lt;&gt;"",$AU526&gt;=1000000),"Volume &gt;= 1.000.000 cm3 (di luar aturan) - dimensi dikosongkan. ","")&amp;IF(LEN($R526)&gt;500,"R &gt; 500 karakter.","")))</f>
        <v/>
      </c>
      <c r="AS526" t="str">
        <f>IFERROR(MATCH(ROW()-1,Calc!$J$2:$J$1601,0),"")</f>
        <v/>
      </c>
      <c r="AT526" t="str">
        <f>IFERROR(MATCH(ROW()-1,Calc!$K$2:$K$1601,0),"")</f>
        <v/>
      </c>
      <c r="AU526" t="str">
        <f>IF($AS526="","",IFERROR(INDEX('TMP Paste'!$D$2:$D$1601,$AS526)*1000000/$AB526,""))</f>
        <v/>
      </c>
    </row>
    <row r="527" spans="1:47">
      <c r="A527" t="str">
        <f>IF($AS527="","",INDEX('TMP Paste'!$B$2:$B$1601,$AS527))</f>
        <v/>
      </c>
      <c r="B527" t="str">
        <f>IF($AS527="","",Config!$B$14)</f>
        <v/>
      </c>
      <c r="C527" t="str">
        <f>IF($AS527="","",Config!$B$15)</f>
        <v/>
      </c>
      <c r="D527" t="str">
        <f>IF($AS527="","",INDEX('TMP Paste'!$B$2:$B$1601,$AS527))</f>
        <v/>
      </c>
      <c r="E527" t="str">
        <f>IF($AS527="","",Config!$B$27)</f>
        <v/>
      </c>
      <c r="F527" t="str">
        <f>IF($AS527="","",Config!$B$9)</f>
        <v/>
      </c>
      <c r="G527" t="str">
        <f>IF($AS527="","",Config!$B$10)</f>
        <v/>
      </c>
      <c r="H527" t="str">
        <f>IF($AS527="","",Config!$B$11)</f>
        <v/>
      </c>
      <c r="I527" t="str">
        <f>IF($AS527="","",Config!$B$16)</f>
        <v/>
      </c>
      <c r="J527" t="str">
        <f>IF($AS527="","",INDEX('TMP Paste'!$A$2:$A$1601,$AS527))</f>
        <v/>
      </c>
      <c r="K527" t="str">
        <f>IF($AS527="","",INDEX('TMP Paste'!$L$2:$L$1601,$AS527))</f>
        <v/>
      </c>
      <c r="L527" t="str">
        <f>IF($AS527="","",INDEX('TMP Paste'!$I$2:$I$1601,$AS527))</f>
        <v/>
      </c>
      <c r="M527" t="str">
        <f>IF($AS527="","",Config!$B$16)</f>
        <v/>
      </c>
      <c r="N527" t="str">
        <f t="shared" si="48"/>
        <v/>
      </c>
      <c r="O527" t="str">
        <f>IF($AS527="","",INDEX('TMP Paste'!$K$2:$K$1601,$AS527))</f>
        <v/>
      </c>
      <c r="P527" t="str">
        <f t="shared" si="49"/>
        <v/>
      </c>
      <c r="Q527" t="str">
        <f>IF($AS527="","",INDEX('TMP Paste'!$J$2:$J$1601,$AS527))</f>
        <v/>
      </c>
      <c r="R527" t="str">
        <f>IF($AS527="","",Config!$B$24)</f>
        <v/>
      </c>
      <c r="S527" t="str">
        <f ca="1">IF($AS527="","",TEXT(Config!$B$4,"yyyy-mm-dd"))</f>
        <v/>
      </c>
      <c r="T527" t="str">
        <f>IF($AS527="","",Config!$B$17)</f>
        <v/>
      </c>
      <c r="U527" t="str">
        <f>IF($AS527="","",Config!$B$18)</f>
        <v/>
      </c>
      <c r="V527" t="str">
        <f>IF($AS527="","",Config!$B$19)</f>
        <v/>
      </c>
      <c r="W527" t="str">
        <f>IF($AS527="","",INDEX('TMP Paste'!$C$2:$C$1601,$AS527))</f>
        <v/>
      </c>
      <c r="X527" t="str">
        <f>IF($AS527="","",Config!$B$29)</f>
        <v/>
      </c>
      <c r="Y527" t="str">
        <f>IF($AT527="","",INDEX(Calc!$I$2:$I$1601,$AT527)&amp;" - "&amp;INDEX(Calc!$D$2:$D$1601,$AT527)&amp;" koli")</f>
        <v/>
      </c>
      <c r="Z527" t="str">
        <f>IF($AS527="","",Config!$B$21)</f>
        <v/>
      </c>
      <c r="AA527" t="str">
        <f>IF($AS527="","",Config!$B$22)</f>
        <v/>
      </c>
      <c r="AB527" t="str">
        <f>IF($AT527="","",INDEX(Calc!$D$2:$D$1601,$AT527))</f>
        <v/>
      </c>
      <c r="AC527" t="str">
        <f>IF($AT527="","",INDEX(Calc!$G$2:$G$1601,$AT527))</f>
        <v/>
      </c>
      <c r="AD527" t="str">
        <f>IF($AS527="","",Config!$B$23)</f>
        <v/>
      </c>
      <c r="AE527" t="str">
        <f>IF($AS527="","",Config!$B$28)</f>
        <v/>
      </c>
      <c r="AF527" t="str">
        <f t="shared" si="50"/>
        <v/>
      </c>
      <c r="AG527" t="str">
        <f t="shared" si="51"/>
        <v/>
      </c>
      <c r="AH527" t="str">
        <f t="shared" si="52"/>
        <v/>
      </c>
      <c r="AI527" t="str">
        <f>IF($AG527="","",SUMIF($AG$2:$AG527,$AG527,$AH$2:$AH527))</f>
        <v/>
      </c>
      <c r="AJ527" t="str">
        <f>IF('TMP Paste'!$F527="","",IF('TMP Paste'!$B527="",$AJ526,'TMP Paste'!$B527))</f>
        <v/>
      </c>
      <c r="AK527" t="str">
        <f>IF('TMP Paste'!$F527="","",N('TMP Paste'!$G527))</f>
        <v/>
      </c>
      <c r="AL527" t="str">
        <f>IF('TMP Paste'!$F527="","",IF('TMP Paste'!$M527="",$AL526,'TMP Paste'!$M527))</f>
        <v/>
      </c>
      <c r="AM527" t="str">
        <f>IF('TMP Paste'!$F527="","",IF('TMP Paste'!$N527="",$AM526,'TMP Paste'!$N527))</f>
        <v/>
      </c>
      <c r="AN527" t="str">
        <f>IF('TMP Paste'!$F527="","",IF('TMP Paste'!$O527="",$AN526,'TMP Paste'!$O527))</f>
        <v/>
      </c>
      <c r="AO527" t="str">
        <f>IF('TMP Paste'!$F527="","",IF('TMP Paste'!$P527="",$AO526,'TMP Paste'!$P527))</f>
        <v/>
      </c>
      <c r="AP527" t="str">
        <f t="shared" si="53"/>
        <v/>
      </c>
      <c r="AQ527" t="str">
        <f>IF($AS527="","",TRIM(IF(COUNTIFS(Calc!$B$2:$B$1601,ROW()-1,Calc!$C$2:$C$1601,"&lt;1")&gt;0,"Ada PO tanpa Koli - cek TMP. ","")&amp;IF(OR($AU527="",$AU527&lt;=0),"Volume kosong/0 - dimensi dikosongkan. ","")&amp;IF(AND($AU527&lt;&gt;"",$AU527&gt;=1000000),"Volume &gt;= 1.000.000 cm3 (di luar aturan) - dimensi dikosongkan. ","")&amp;IF(LEN($R527)&gt;500,"R &gt; 500 karakter.","")))</f>
        <v/>
      </c>
      <c r="AS527" t="str">
        <f>IFERROR(MATCH(ROW()-1,Calc!$J$2:$J$1601,0),"")</f>
        <v/>
      </c>
      <c r="AT527" t="str">
        <f>IFERROR(MATCH(ROW()-1,Calc!$K$2:$K$1601,0),"")</f>
        <v/>
      </c>
      <c r="AU527" t="str">
        <f>IF($AS527="","",IFERROR(INDEX('TMP Paste'!$D$2:$D$1601,$AS527)*1000000/$AB527,""))</f>
        <v/>
      </c>
    </row>
    <row r="528" spans="1:47">
      <c r="A528" t="str">
        <f>IF($AS528="","",INDEX('TMP Paste'!$B$2:$B$1601,$AS528))</f>
        <v/>
      </c>
      <c r="B528" t="str">
        <f>IF($AS528="","",Config!$B$14)</f>
        <v/>
      </c>
      <c r="C528" t="str">
        <f>IF($AS528="","",Config!$B$15)</f>
        <v/>
      </c>
      <c r="D528" t="str">
        <f>IF($AS528="","",INDEX('TMP Paste'!$B$2:$B$1601,$AS528))</f>
        <v/>
      </c>
      <c r="E528" t="str">
        <f>IF($AS528="","",Config!$B$27)</f>
        <v/>
      </c>
      <c r="F528" t="str">
        <f>IF($AS528="","",Config!$B$9)</f>
        <v/>
      </c>
      <c r="G528" t="str">
        <f>IF($AS528="","",Config!$B$10)</f>
        <v/>
      </c>
      <c r="H528" t="str">
        <f>IF($AS528="","",Config!$B$11)</f>
        <v/>
      </c>
      <c r="I528" t="str">
        <f>IF($AS528="","",Config!$B$16)</f>
        <v/>
      </c>
      <c r="J528" t="str">
        <f>IF($AS528="","",INDEX('TMP Paste'!$A$2:$A$1601,$AS528))</f>
        <v/>
      </c>
      <c r="K528" t="str">
        <f>IF($AS528="","",INDEX('TMP Paste'!$L$2:$L$1601,$AS528))</f>
        <v/>
      </c>
      <c r="L528" t="str">
        <f>IF($AS528="","",INDEX('TMP Paste'!$I$2:$I$1601,$AS528))</f>
        <v/>
      </c>
      <c r="M528" t="str">
        <f>IF($AS528="","",Config!$B$16)</f>
        <v/>
      </c>
      <c r="N528" t="str">
        <f t="shared" si="48"/>
        <v/>
      </c>
      <c r="O528" t="str">
        <f>IF($AS528="","",INDEX('TMP Paste'!$K$2:$K$1601,$AS528))</f>
        <v/>
      </c>
      <c r="P528" t="str">
        <f t="shared" si="49"/>
        <v/>
      </c>
      <c r="Q528" t="str">
        <f>IF($AS528="","",INDEX('TMP Paste'!$J$2:$J$1601,$AS528))</f>
        <v/>
      </c>
      <c r="R528" t="str">
        <f>IF($AS528="","",Config!$B$24)</f>
        <v/>
      </c>
      <c r="S528" t="str">
        <f ca="1">IF($AS528="","",TEXT(Config!$B$4,"yyyy-mm-dd"))</f>
        <v/>
      </c>
      <c r="T528" t="str">
        <f>IF($AS528="","",Config!$B$17)</f>
        <v/>
      </c>
      <c r="U528" t="str">
        <f>IF($AS528="","",Config!$B$18)</f>
        <v/>
      </c>
      <c r="V528" t="str">
        <f>IF($AS528="","",Config!$B$19)</f>
        <v/>
      </c>
      <c r="W528" t="str">
        <f>IF($AS528="","",INDEX('TMP Paste'!$C$2:$C$1601,$AS528))</f>
        <v/>
      </c>
      <c r="X528" t="str">
        <f>IF($AS528="","",Config!$B$29)</f>
        <v/>
      </c>
      <c r="Y528" t="str">
        <f>IF($AT528="","",INDEX(Calc!$I$2:$I$1601,$AT528)&amp;" - "&amp;INDEX(Calc!$D$2:$D$1601,$AT528)&amp;" koli")</f>
        <v/>
      </c>
      <c r="Z528" t="str">
        <f>IF($AS528="","",Config!$B$21)</f>
        <v/>
      </c>
      <c r="AA528" t="str">
        <f>IF($AS528="","",Config!$B$22)</f>
        <v/>
      </c>
      <c r="AB528" t="str">
        <f>IF($AT528="","",INDEX(Calc!$D$2:$D$1601,$AT528))</f>
        <v/>
      </c>
      <c r="AC528" t="str">
        <f>IF($AT528="","",INDEX(Calc!$G$2:$G$1601,$AT528))</f>
        <v/>
      </c>
      <c r="AD528" t="str">
        <f>IF($AS528="","",Config!$B$23)</f>
        <v/>
      </c>
      <c r="AE528" t="str">
        <f>IF($AS528="","",Config!$B$28)</f>
        <v/>
      </c>
      <c r="AF528" t="str">
        <f t="shared" si="50"/>
        <v/>
      </c>
      <c r="AG528" t="str">
        <f t="shared" si="51"/>
        <v/>
      </c>
      <c r="AH528" t="str">
        <f t="shared" si="52"/>
        <v/>
      </c>
      <c r="AI528" t="str">
        <f>IF($AG528="","",SUMIF($AG$2:$AG528,$AG528,$AH$2:$AH528))</f>
        <v/>
      </c>
      <c r="AJ528" t="str">
        <f>IF('TMP Paste'!$F528="","",IF('TMP Paste'!$B528="",$AJ527,'TMP Paste'!$B528))</f>
        <v/>
      </c>
      <c r="AK528" t="str">
        <f>IF('TMP Paste'!$F528="","",N('TMP Paste'!$G528))</f>
        <v/>
      </c>
      <c r="AL528" t="str">
        <f>IF('TMP Paste'!$F528="","",IF('TMP Paste'!$M528="",$AL527,'TMP Paste'!$M528))</f>
        <v/>
      </c>
      <c r="AM528" t="str">
        <f>IF('TMP Paste'!$F528="","",IF('TMP Paste'!$N528="",$AM527,'TMP Paste'!$N528))</f>
        <v/>
      </c>
      <c r="AN528" t="str">
        <f>IF('TMP Paste'!$F528="","",IF('TMP Paste'!$O528="",$AN527,'TMP Paste'!$O528))</f>
        <v/>
      </c>
      <c r="AO528" t="str">
        <f>IF('TMP Paste'!$F528="","",IF('TMP Paste'!$P528="",$AO527,'TMP Paste'!$P528))</f>
        <v/>
      </c>
      <c r="AP528" t="str">
        <f t="shared" si="53"/>
        <v/>
      </c>
      <c r="AQ528" t="str">
        <f>IF($AS528="","",TRIM(IF(COUNTIFS(Calc!$B$2:$B$1601,ROW()-1,Calc!$C$2:$C$1601,"&lt;1")&gt;0,"Ada PO tanpa Koli - cek TMP. ","")&amp;IF(OR($AU528="",$AU528&lt;=0),"Volume kosong/0 - dimensi dikosongkan. ","")&amp;IF(AND($AU528&lt;&gt;"",$AU528&gt;=1000000),"Volume &gt;= 1.000.000 cm3 (di luar aturan) - dimensi dikosongkan. ","")&amp;IF(LEN($R528)&gt;500,"R &gt; 500 karakter.","")))</f>
        <v/>
      </c>
      <c r="AS528" t="str">
        <f>IFERROR(MATCH(ROW()-1,Calc!$J$2:$J$1601,0),"")</f>
        <v/>
      </c>
      <c r="AT528" t="str">
        <f>IFERROR(MATCH(ROW()-1,Calc!$K$2:$K$1601,0),"")</f>
        <v/>
      </c>
      <c r="AU528" t="str">
        <f>IF($AS528="","",IFERROR(INDEX('TMP Paste'!$D$2:$D$1601,$AS528)*1000000/$AB528,""))</f>
        <v/>
      </c>
    </row>
    <row r="529" spans="1:47">
      <c r="A529" t="str">
        <f>IF($AS529="","",INDEX('TMP Paste'!$B$2:$B$1601,$AS529))</f>
        <v/>
      </c>
      <c r="B529" t="str">
        <f>IF($AS529="","",Config!$B$14)</f>
        <v/>
      </c>
      <c r="C529" t="str">
        <f>IF($AS529="","",Config!$B$15)</f>
        <v/>
      </c>
      <c r="D529" t="str">
        <f>IF($AS529="","",INDEX('TMP Paste'!$B$2:$B$1601,$AS529))</f>
        <v/>
      </c>
      <c r="E529" t="str">
        <f>IF($AS529="","",Config!$B$27)</f>
        <v/>
      </c>
      <c r="F529" t="str">
        <f>IF($AS529="","",Config!$B$9)</f>
        <v/>
      </c>
      <c r="G529" t="str">
        <f>IF($AS529="","",Config!$B$10)</f>
        <v/>
      </c>
      <c r="H529" t="str">
        <f>IF($AS529="","",Config!$B$11)</f>
        <v/>
      </c>
      <c r="I529" t="str">
        <f>IF($AS529="","",Config!$B$16)</f>
        <v/>
      </c>
      <c r="J529" t="str">
        <f>IF($AS529="","",INDEX('TMP Paste'!$A$2:$A$1601,$AS529))</f>
        <v/>
      </c>
      <c r="K529" t="str">
        <f>IF($AS529="","",INDEX('TMP Paste'!$L$2:$L$1601,$AS529))</f>
        <v/>
      </c>
      <c r="L529" t="str">
        <f>IF($AS529="","",INDEX('TMP Paste'!$I$2:$I$1601,$AS529))</f>
        <v/>
      </c>
      <c r="M529" t="str">
        <f>IF($AS529="","",Config!$B$16)</f>
        <v/>
      </c>
      <c r="N529" t="str">
        <f t="shared" si="48"/>
        <v/>
      </c>
      <c r="O529" t="str">
        <f>IF($AS529="","",INDEX('TMP Paste'!$K$2:$K$1601,$AS529))</f>
        <v/>
      </c>
      <c r="P529" t="str">
        <f t="shared" si="49"/>
        <v/>
      </c>
      <c r="Q529" t="str">
        <f>IF($AS529="","",INDEX('TMP Paste'!$J$2:$J$1601,$AS529))</f>
        <v/>
      </c>
      <c r="R529" t="str">
        <f>IF($AS529="","",Config!$B$24)</f>
        <v/>
      </c>
      <c r="S529" t="str">
        <f ca="1">IF($AS529="","",TEXT(Config!$B$4,"yyyy-mm-dd"))</f>
        <v/>
      </c>
      <c r="T529" t="str">
        <f>IF($AS529="","",Config!$B$17)</f>
        <v/>
      </c>
      <c r="U529" t="str">
        <f>IF($AS529="","",Config!$B$18)</f>
        <v/>
      </c>
      <c r="V529" t="str">
        <f>IF($AS529="","",Config!$B$19)</f>
        <v/>
      </c>
      <c r="W529" t="str">
        <f>IF($AS529="","",INDEX('TMP Paste'!$C$2:$C$1601,$AS529))</f>
        <v/>
      </c>
      <c r="X529" t="str">
        <f>IF($AS529="","",Config!$B$29)</f>
        <v/>
      </c>
      <c r="Y529" t="str">
        <f>IF($AT529="","",INDEX(Calc!$I$2:$I$1601,$AT529)&amp;" - "&amp;INDEX(Calc!$D$2:$D$1601,$AT529)&amp;" koli")</f>
        <v/>
      </c>
      <c r="Z529" t="str">
        <f>IF($AS529="","",Config!$B$21)</f>
        <v/>
      </c>
      <c r="AA529" t="str">
        <f>IF($AS529="","",Config!$B$22)</f>
        <v/>
      </c>
      <c r="AB529" t="str">
        <f>IF($AT529="","",INDEX(Calc!$D$2:$D$1601,$AT529))</f>
        <v/>
      </c>
      <c r="AC529" t="str">
        <f>IF($AT529="","",INDEX(Calc!$G$2:$G$1601,$AT529))</f>
        <v/>
      </c>
      <c r="AD529" t="str">
        <f>IF($AS529="","",Config!$B$23)</f>
        <v/>
      </c>
      <c r="AE529" t="str">
        <f>IF($AS529="","",Config!$B$28)</f>
        <v/>
      </c>
      <c r="AF529" t="str">
        <f t="shared" si="50"/>
        <v/>
      </c>
      <c r="AG529" t="str">
        <f t="shared" si="51"/>
        <v/>
      </c>
      <c r="AH529" t="str">
        <f t="shared" si="52"/>
        <v/>
      </c>
      <c r="AI529" t="str">
        <f>IF($AG529="","",SUMIF($AG$2:$AG529,$AG529,$AH$2:$AH529))</f>
        <v/>
      </c>
      <c r="AJ529" t="str">
        <f>IF('TMP Paste'!$F529="","",IF('TMP Paste'!$B529="",$AJ528,'TMP Paste'!$B529))</f>
        <v/>
      </c>
      <c r="AK529" t="str">
        <f>IF('TMP Paste'!$F529="","",N('TMP Paste'!$G529))</f>
        <v/>
      </c>
      <c r="AL529" t="str">
        <f>IF('TMP Paste'!$F529="","",IF('TMP Paste'!$M529="",$AL528,'TMP Paste'!$M529))</f>
        <v/>
      </c>
      <c r="AM529" t="str">
        <f>IF('TMP Paste'!$F529="","",IF('TMP Paste'!$N529="",$AM528,'TMP Paste'!$N529))</f>
        <v/>
      </c>
      <c r="AN529" t="str">
        <f>IF('TMP Paste'!$F529="","",IF('TMP Paste'!$O529="",$AN528,'TMP Paste'!$O529))</f>
        <v/>
      </c>
      <c r="AO529" t="str">
        <f>IF('TMP Paste'!$F529="","",IF('TMP Paste'!$P529="",$AO528,'TMP Paste'!$P529))</f>
        <v/>
      </c>
      <c r="AP529" t="str">
        <f t="shared" si="53"/>
        <v/>
      </c>
      <c r="AQ529" t="str">
        <f>IF($AS529="","",TRIM(IF(COUNTIFS(Calc!$B$2:$B$1601,ROW()-1,Calc!$C$2:$C$1601,"&lt;1")&gt;0,"Ada PO tanpa Koli - cek TMP. ","")&amp;IF(OR($AU529="",$AU529&lt;=0),"Volume kosong/0 - dimensi dikosongkan. ","")&amp;IF(AND($AU529&lt;&gt;"",$AU529&gt;=1000000),"Volume &gt;= 1.000.000 cm3 (di luar aturan) - dimensi dikosongkan. ","")&amp;IF(LEN($R529)&gt;500,"R &gt; 500 karakter.","")))</f>
        <v/>
      </c>
      <c r="AS529" t="str">
        <f>IFERROR(MATCH(ROW()-1,Calc!$J$2:$J$1601,0),"")</f>
        <v/>
      </c>
      <c r="AT529" t="str">
        <f>IFERROR(MATCH(ROW()-1,Calc!$K$2:$K$1601,0),"")</f>
        <v/>
      </c>
      <c r="AU529" t="str">
        <f>IF($AS529="","",IFERROR(INDEX('TMP Paste'!$D$2:$D$1601,$AS529)*1000000/$AB529,""))</f>
        <v/>
      </c>
    </row>
    <row r="530" spans="1:47">
      <c r="A530" t="str">
        <f>IF($AS530="","",INDEX('TMP Paste'!$B$2:$B$1601,$AS530))</f>
        <v/>
      </c>
      <c r="B530" t="str">
        <f>IF($AS530="","",Config!$B$14)</f>
        <v/>
      </c>
      <c r="C530" t="str">
        <f>IF($AS530="","",Config!$B$15)</f>
        <v/>
      </c>
      <c r="D530" t="str">
        <f>IF($AS530="","",INDEX('TMP Paste'!$B$2:$B$1601,$AS530))</f>
        <v/>
      </c>
      <c r="E530" t="str">
        <f>IF($AS530="","",Config!$B$27)</f>
        <v/>
      </c>
      <c r="F530" t="str">
        <f>IF($AS530="","",Config!$B$9)</f>
        <v/>
      </c>
      <c r="G530" t="str">
        <f>IF($AS530="","",Config!$B$10)</f>
        <v/>
      </c>
      <c r="H530" t="str">
        <f>IF($AS530="","",Config!$B$11)</f>
        <v/>
      </c>
      <c r="I530" t="str">
        <f>IF($AS530="","",Config!$B$16)</f>
        <v/>
      </c>
      <c r="J530" t="str">
        <f>IF($AS530="","",INDEX('TMP Paste'!$A$2:$A$1601,$AS530))</f>
        <v/>
      </c>
      <c r="K530" t="str">
        <f>IF($AS530="","",INDEX('TMP Paste'!$L$2:$L$1601,$AS530))</f>
        <v/>
      </c>
      <c r="L530" t="str">
        <f>IF($AS530="","",INDEX('TMP Paste'!$I$2:$I$1601,$AS530))</f>
        <v/>
      </c>
      <c r="M530" t="str">
        <f>IF($AS530="","",Config!$B$16)</f>
        <v/>
      </c>
      <c r="N530" t="str">
        <f t="shared" si="48"/>
        <v/>
      </c>
      <c r="O530" t="str">
        <f>IF($AS530="","",INDEX('TMP Paste'!$K$2:$K$1601,$AS530))</f>
        <v/>
      </c>
      <c r="P530" t="str">
        <f t="shared" si="49"/>
        <v/>
      </c>
      <c r="Q530" t="str">
        <f>IF($AS530="","",INDEX('TMP Paste'!$J$2:$J$1601,$AS530))</f>
        <v/>
      </c>
      <c r="R530" t="str">
        <f>IF($AS530="","",Config!$B$24)</f>
        <v/>
      </c>
      <c r="S530" t="str">
        <f ca="1">IF($AS530="","",TEXT(Config!$B$4,"yyyy-mm-dd"))</f>
        <v/>
      </c>
      <c r="T530" t="str">
        <f>IF($AS530="","",Config!$B$17)</f>
        <v/>
      </c>
      <c r="U530" t="str">
        <f>IF($AS530="","",Config!$B$18)</f>
        <v/>
      </c>
      <c r="V530" t="str">
        <f>IF($AS530="","",Config!$B$19)</f>
        <v/>
      </c>
      <c r="W530" t="str">
        <f>IF($AS530="","",INDEX('TMP Paste'!$C$2:$C$1601,$AS530))</f>
        <v/>
      </c>
      <c r="X530" t="str">
        <f>IF($AS530="","",Config!$B$29)</f>
        <v/>
      </c>
      <c r="Y530" t="str">
        <f>IF($AT530="","",INDEX(Calc!$I$2:$I$1601,$AT530)&amp;" - "&amp;INDEX(Calc!$D$2:$D$1601,$AT530)&amp;" koli")</f>
        <v/>
      </c>
      <c r="Z530" t="str">
        <f>IF($AS530="","",Config!$B$21)</f>
        <v/>
      </c>
      <c r="AA530" t="str">
        <f>IF($AS530="","",Config!$B$22)</f>
        <v/>
      </c>
      <c r="AB530" t="str">
        <f>IF($AT530="","",INDEX(Calc!$D$2:$D$1601,$AT530))</f>
        <v/>
      </c>
      <c r="AC530" t="str">
        <f>IF($AT530="","",INDEX(Calc!$G$2:$G$1601,$AT530))</f>
        <v/>
      </c>
      <c r="AD530" t="str">
        <f>IF($AS530="","",Config!$B$23)</f>
        <v/>
      </c>
      <c r="AE530" t="str">
        <f>IF($AS530="","",Config!$B$28)</f>
        <v/>
      </c>
      <c r="AF530" t="str">
        <f t="shared" si="50"/>
        <v/>
      </c>
      <c r="AG530" t="str">
        <f t="shared" si="51"/>
        <v/>
      </c>
      <c r="AH530" t="str">
        <f t="shared" si="52"/>
        <v/>
      </c>
      <c r="AI530" t="str">
        <f>IF($AG530="","",SUMIF($AG$2:$AG530,$AG530,$AH$2:$AH530))</f>
        <v/>
      </c>
      <c r="AJ530" t="str">
        <f>IF('TMP Paste'!$F530="","",IF('TMP Paste'!$B530="",$AJ529,'TMP Paste'!$B530))</f>
        <v/>
      </c>
      <c r="AK530" t="str">
        <f>IF('TMP Paste'!$F530="","",N('TMP Paste'!$G530))</f>
        <v/>
      </c>
      <c r="AL530" t="str">
        <f>IF('TMP Paste'!$F530="","",IF('TMP Paste'!$M530="",$AL529,'TMP Paste'!$M530))</f>
        <v/>
      </c>
      <c r="AM530" t="str">
        <f>IF('TMP Paste'!$F530="","",IF('TMP Paste'!$N530="",$AM529,'TMP Paste'!$N530))</f>
        <v/>
      </c>
      <c r="AN530" t="str">
        <f>IF('TMP Paste'!$F530="","",IF('TMP Paste'!$O530="",$AN529,'TMP Paste'!$O530))</f>
        <v/>
      </c>
      <c r="AO530" t="str">
        <f>IF('TMP Paste'!$F530="","",IF('TMP Paste'!$P530="",$AO529,'TMP Paste'!$P530))</f>
        <v/>
      </c>
      <c r="AP530" t="str">
        <f t="shared" si="53"/>
        <v/>
      </c>
      <c r="AQ530" t="str">
        <f>IF($AS530="","",TRIM(IF(COUNTIFS(Calc!$B$2:$B$1601,ROW()-1,Calc!$C$2:$C$1601,"&lt;1")&gt;0,"Ada PO tanpa Koli - cek TMP. ","")&amp;IF(OR($AU530="",$AU530&lt;=0),"Volume kosong/0 - dimensi dikosongkan. ","")&amp;IF(AND($AU530&lt;&gt;"",$AU530&gt;=1000000),"Volume &gt;= 1.000.000 cm3 (di luar aturan) - dimensi dikosongkan. ","")&amp;IF(LEN($R530)&gt;500,"R &gt; 500 karakter.","")))</f>
        <v/>
      </c>
      <c r="AS530" t="str">
        <f>IFERROR(MATCH(ROW()-1,Calc!$J$2:$J$1601,0),"")</f>
        <v/>
      </c>
      <c r="AT530" t="str">
        <f>IFERROR(MATCH(ROW()-1,Calc!$K$2:$K$1601,0),"")</f>
        <v/>
      </c>
      <c r="AU530" t="str">
        <f>IF($AS530="","",IFERROR(INDEX('TMP Paste'!$D$2:$D$1601,$AS530)*1000000/$AB530,""))</f>
        <v/>
      </c>
    </row>
    <row r="531" spans="1:47">
      <c r="A531" t="str">
        <f>IF($AS531="","",INDEX('TMP Paste'!$B$2:$B$1601,$AS531))</f>
        <v/>
      </c>
      <c r="B531" t="str">
        <f>IF($AS531="","",Config!$B$14)</f>
        <v/>
      </c>
      <c r="C531" t="str">
        <f>IF($AS531="","",Config!$B$15)</f>
        <v/>
      </c>
      <c r="D531" t="str">
        <f>IF($AS531="","",INDEX('TMP Paste'!$B$2:$B$1601,$AS531))</f>
        <v/>
      </c>
      <c r="E531" t="str">
        <f>IF($AS531="","",Config!$B$27)</f>
        <v/>
      </c>
      <c r="F531" t="str">
        <f>IF($AS531="","",Config!$B$9)</f>
        <v/>
      </c>
      <c r="G531" t="str">
        <f>IF($AS531="","",Config!$B$10)</f>
        <v/>
      </c>
      <c r="H531" t="str">
        <f>IF($AS531="","",Config!$B$11)</f>
        <v/>
      </c>
      <c r="I531" t="str">
        <f>IF($AS531="","",Config!$B$16)</f>
        <v/>
      </c>
      <c r="J531" t="str">
        <f>IF($AS531="","",INDEX('TMP Paste'!$A$2:$A$1601,$AS531))</f>
        <v/>
      </c>
      <c r="K531" t="str">
        <f>IF($AS531="","",INDEX('TMP Paste'!$L$2:$L$1601,$AS531))</f>
        <v/>
      </c>
      <c r="L531" t="str">
        <f>IF($AS531="","",INDEX('TMP Paste'!$I$2:$I$1601,$AS531))</f>
        <v/>
      </c>
      <c r="M531" t="str">
        <f>IF($AS531="","",Config!$B$16)</f>
        <v/>
      </c>
      <c r="N531" t="str">
        <f t="shared" si="48"/>
        <v/>
      </c>
      <c r="O531" t="str">
        <f>IF($AS531="","",INDEX('TMP Paste'!$K$2:$K$1601,$AS531))</f>
        <v/>
      </c>
      <c r="P531" t="str">
        <f t="shared" si="49"/>
        <v/>
      </c>
      <c r="Q531" t="str">
        <f>IF($AS531="","",INDEX('TMP Paste'!$J$2:$J$1601,$AS531))</f>
        <v/>
      </c>
      <c r="R531" t="str">
        <f>IF($AS531="","",Config!$B$24)</f>
        <v/>
      </c>
      <c r="S531" t="str">
        <f ca="1">IF($AS531="","",TEXT(Config!$B$4,"yyyy-mm-dd"))</f>
        <v/>
      </c>
      <c r="T531" t="str">
        <f>IF($AS531="","",Config!$B$17)</f>
        <v/>
      </c>
      <c r="U531" t="str">
        <f>IF($AS531="","",Config!$B$18)</f>
        <v/>
      </c>
      <c r="V531" t="str">
        <f>IF($AS531="","",Config!$B$19)</f>
        <v/>
      </c>
      <c r="W531" t="str">
        <f>IF($AS531="","",INDEX('TMP Paste'!$C$2:$C$1601,$AS531))</f>
        <v/>
      </c>
      <c r="X531" t="str">
        <f>IF($AS531="","",Config!$B$29)</f>
        <v/>
      </c>
      <c r="Y531" t="str">
        <f>IF($AT531="","",INDEX(Calc!$I$2:$I$1601,$AT531)&amp;" - "&amp;INDEX(Calc!$D$2:$D$1601,$AT531)&amp;" koli")</f>
        <v/>
      </c>
      <c r="Z531" t="str">
        <f>IF($AS531="","",Config!$B$21)</f>
        <v/>
      </c>
      <c r="AA531" t="str">
        <f>IF($AS531="","",Config!$B$22)</f>
        <v/>
      </c>
      <c r="AB531" t="str">
        <f>IF($AT531="","",INDEX(Calc!$D$2:$D$1601,$AT531))</f>
        <v/>
      </c>
      <c r="AC531" t="str">
        <f>IF($AT531="","",INDEX(Calc!$G$2:$G$1601,$AT531))</f>
        <v/>
      </c>
      <c r="AD531" t="str">
        <f>IF($AS531="","",Config!$B$23)</f>
        <v/>
      </c>
      <c r="AE531" t="str">
        <f>IF($AS531="","",Config!$B$28)</f>
        <v/>
      </c>
      <c r="AF531" t="str">
        <f t="shared" si="50"/>
        <v/>
      </c>
      <c r="AG531" t="str">
        <f t="shared" si="51"/>
        <v/>
      </c>
      <c r="AH531" t="str">
        <f t="shared" si="52"/>
        <v/>
      </c>
      <c r="AI531" t="str">
        <f>IF($AG531="","",SUMIF($AG$2:$AG531,$AG531,$AH$2:$AH531))</f>
        <v/>
      </c>
      <c r="AJ531" t="str">
        <f>IF('TMP Paste'!$F531="","",IF('TMP Paste'!$B531="",$AJ530,'TMP Paste'!$B531))</f>
        <v/>
      </c>
      <c r="AK531" t="str">
        <f>IF('TMP Paste'!$F531="","",N('TMP Paste'!$G531))</f>
        <v/>
      </c>
      <c r="AL531" t="str">
        <f>IF('TMP Paste'!$F531="","",IF('TMP Paste'!$M531="",$AL530,'TMP Paste'!$M531))</f>
        <v/>
      </c>
      <c r="AM531" t="str">
        <f>IF('TMP Paste'!$F531="","",IF('TMP Paste'!$N531="",$AM530,'TMP Paste'!$N531))</f>
        <v/>
      </c>
      <c r="AN531" t="str">
        <f>IF('TMP Paste'!$F531="","",IF('TMP Paste'!$O531="",$AN530,'TMP Paste'!$O531))</f>
        <v/>
      </c>
      <c r="AO531" t="str">
        <f>IF('TMP Paste'!$F531="","",IF('TMP Paste'!$P531="",$AO530,'TMP Paste'!$P531))</f>
        <v/>
      </c>
      <c r="AP531" t="str">
        <f t="shared" si="53"/>
        <v/>
      </c>
      <c r="AQ531" t="str">
        <f>IF($AS531="","",TRIM(IF(COUNTIFS(Calc!$B$2:$B$1601,ROW()-1,Calc!$C$2:$C$1601,"&lt;1")&gt;0,"Ada PO tanpa Koli - cek TMP. ","")&amp;IF(OR($AU531="",$AU531&lt;=0),"Volume kosong/0 - dimensi dikosongkan. ","")&amp;IF(AND($AU531&lt;&gt;"",$AU531&gt;=1000000),"Volume &gt;= 1.000.000 cm3 (di luar aturan) - dimensi dikosongkan. ","")&amp;IF(LEN($R531)&gt;500,"R &gt; 500 karakter.","")))</f>
        <v/>
      </c>
      <c r="AS531" t="str">
        <f>IFERROR(MATCH(ROW()-1,Calc!$J$2:$J$1601,0),"")</f>
        <v/>
      </c>
      <c r="AT531" t="str">
        <f>IFERROR(MATCH(ROW()-1,Calc!$K$2:$K$1601,0),"")</f>
        <v/>
      </c>
      <c r="AU531" t="str">
        <f>IF($AS531="","",IFERROR(INDEX('TMP Paste'!$D$2:$D$1601,$AS531)*1000000/$AB531,""))</f>
        <v/>
      </c>
    </row>
    <row r="532" spans="1:47">
      <c r="A532" t="str">
        <f>IF($AS532="","",INDEX('TMP Paste'!$B$2:$B$1601,$AS532))</f>
        <v/>
      </c>
      <c r="B532" t="str">
        <f>IF($AS532="","",Config!$B$14)</f>
        <v/>
      </c>
      <c r="C532" t="str">
        <f>IF($AS532="","",Config!$B$15)</f>
        <v/>
      </c>
      <c r="D532" t="str">
        <f>IF($AS532="","",INDEX('TMP Paste'!$B$2:$B$1601,$AS532))</f>
        <v/>
      </c>
      <c r="E532" t="str">
        <f>IF($AS532="","",Config!$B$27)</f>
        <v/>
      </c>
      <c r="F532" t="str">
        <f>IF($AS532="","",Config!$B$9)</f>
        <v/>
      </c>
      <c r="G532" t="str">
        <f>IF($AS532="","",Config!$B$10)</f>
        <v/>
      </c>
      <c r="H532" t="str">
        <f>IF($AS532="","",Config!$B$11)</f>
        <v/>
      </c>
      <c r="I532" t="str">
        <f>IF($AS532="","",Config!$B$16)</f>
        <v/>
      </c>
      <c r="J532" t="str">
        <f>IF($AS532="","",INDEX('TMP Paste'!$A$2:$A$1601,$AS532))</f>
        <v/>
      </c>
      <c r="K532" t="str">
        <f>IF($AS532="","",INDEX('TMP Paste'!$L$2:$L$1601,$AS532))</f>
        <v/>
      </c>
      <c r="L532" t="str">
        <f>IF($AS532="","",INDEX('TMP Paste'!$I$2:$I$1601,$AS532))</f>
        <v/>
      </c>
      <c r="M532" t="str">
        <f>IF($AS532="","",Config!$B$16)</f>
        <v/>
      </c>
      <c r="N532" t="str">
        <f t="shared" si="48"/>
        <v/>
      </c>
      <c r="O532" t="str">
        <f>IF($AS532="","",INDEX('TMP Paste'!$K$2:$K$1601,$AS532))</f>
        <v/>
      </c>
      <c r="P532" t="str">
        <f t="shared" si="49"/>
        <v/>
      </c>
      <c r="Q532" t="str">
        <f>IF($AS532="","",INDEX('TMP Paste'!$J$2:$J$1601,$AS532))</f>
        <v/>
      </c>
      <c r="R532" t="str">
        <f>IF($AS532="","",Config!$B$24)</f>
        <v/>
      </c>
      <c r="S532" t="str">
        <f ca="1">IF($AS532="","",TEXT(Config!$B$4,"yyyy-mm-dd"))</f>
        <v/>
      </c>
      <c r="T532" t="str">
        <f>IF($AS532="","",Config!$B$17)</f>
        <v/>
      </c>
      <c r="U532" t="str">
        <f>IF($AS532="","",Config!$B$18)</f>
        <v/>
      </c>
      <c r="V532" t="str">
        <f>IF($AS532="","",Config!$B$19)</f>
        <v/>
      </c>
      <c r="W532" t="str">
        <f>IF($AS532="","",INDEX('TMP Paste'!$C$2:$C$1601,$AS532))</f>
        <v/>
      </c>
      <c r="X532" t="str">
        <f>IF($AS532="","",Config!$B$29)</f>
        <v/>
      </c>
      <c r="Y532" t="str">
        <f>IF($AT532="","",INDEX(Calc!$I$2:$I$1601,$AT532)&amp;" - "&amp;INDEX(Calc!$D$2:$D$1601,$AT532)&amp;" koli")</f>
        <v/>
      </c>
      <c r="Z532" t="str">
        <f>IF($AS532="","",Config!$B$21)</f>
        <v/>
      </c>
      <c r="AA532" t="str">
        <f>IF($AS532="","",Config!$B$22)</f>
        <v/>
      </c>
      <c r="AB532" t="str">
        <f>IF($AT532="","",INDEX(Calc!$D$2:$D$1601,$AT532))</f>
        <v/>
      </c>
      <c r="AC532" t="str">
        <f>IF($AT532="","",INDEX(Calc!$G$2:$G$1601,$AT532))</f>
        <v/>
      </c>
      <c r="AD532" t="str">
        <f>IF($AS532="","",Config!$B$23)</f>
        <v/>
      </c>
      <c r="AE532" t="str">
        <f>IF($AS532="","",Config!$B$28)</f>
        <v/>
      </c>
      <c r="AF532" t="str">
        <f t="shared" si="50"/>
        <v/>
      </c>
      <c r="AG532" t="str">
        <f t="shared" si="51"/>
        <v/>
      </c>
      <c r="AH532" t="str">
        <f t="shared" si="52"/>
        <v/>
      </c>
      <c r="AI532" t="str">
        <f>IF($AG532="","",SUMIF($AG$2:$AG532,$AG532,$AH$2:$AH532))</f>
        <v/>
      </c>
      <c r="AJ532" t="str">
        <f>IF('TMP Paste'!$F532="","",IF('TMP Paste'!$B532="",$AJ531,'TMP Paste'!$B532))</f>
        <v/>
      </c>
      <c r="AK532" t="str">
        <f>IF('TMP Paste'!$F532="","",N('TMP Paste'!$G532))</f>
        <v/>
      </c>
      <c r="AL532" t="str">
        <f>IF('TMP Paste'!$F532="","",IF('TMP Paste'!$M532="",$AL531,'TMP Paste'!$M532))</f>
        <v/>
      </c>
      <c r="AM532" t="str">
        <f>IF('TMP Paste'!$F532="","",IF('TMP Paste'!$N532="",$AM531,'TMP Paste'!$N532))</f>
        <v/>
      </c>
      <c r="AN532" t="str">
        <f>IF('TMP Paste'!$F532="","",IF('TMP Paste'!$O532="",$AN531,'TMP Paste'!$O532))</f>
        <v/>
      </c>
      <c r="AO532" t="str">
        <f>IF('TMP Paste'!$F532="","",IF('TMP Paste'!$P532="",$AO531,'TMP Paste'!$P532))</f>
        <v/>
      </c>
      <c r="AP532" t="str">
        <f t="shared" si="53"/>
        <v/>
      </c>
      <c r="AQ532" t="str">
        <f>IF($AS532="","",TRIM(IF(COUNTIFS(Calc!$B$2:$B$1601,ROW()-1,Calc!$C$2:$C$1601,"&lt;1")&gt;0,"Ada PO tanpa Koli - cek TMP. ","")&amp;IF(OR($AU532="",$AU532&lt;=0),"Volume kosong/0 - dimensi dikosongkan. ","")&amp;IF(AND($AU532&lt;&gt;"",$AU532&gt;=1000000),"Volume &gt;= 1.000.000 cm3 (di luar aturan) - dimensi dikosongkan. ","")&amp;IF(LEN($R532)&gt;500,"R &gt; 500 karakter.","")))</f>
        <v/>
      </c>
      <c r="AS532" t="str">
        <f>IFERROR(MATCH(ROW()-1,Calc!$J$2:$J$1601,0),"")</f>
        <v/>
      </c>
      <c r="AT532" t="str">
        <f>IFERROR(MATCH(ROW()-1,Calc!$K$2:$K$1601,0),"")</f>
        <v/>
      </c>
      <c r="AU532" t="str">
        <f>IF($AS532="","",IFERROR(INDEX('TMP Paste'!$D$2:$D$1601,$AS532)*1000000/$AB532,""))</f>
        <v/>
      </c>
    </row>
    <row r="533" spans="1:47">
      <c r="A533" t="str">
        <f>IF($AS533="","",INDEX('TMP Paste'!$B$2:$B$1601,$AS533))</f>
        <v/>
      </c>
      <c r="B533" t="str">
        <f>IF($AS533="","",Config!$B$14)</f>
        <v/>
      </c>
      <c r="C533" t="str">
        <f>IF($AS533="","",Config!$B$15)</f>
        <v/>
      </c>
      <c r="D533" t="str">
        <f>IF($AS533="","",INDEX('TMP Paste'!$B$2:$B$1601,$AS533))</f>
        <v/>
      </c>
      <c r="E533" t="str">
        <f>IF($AS533="","",Config!$B$27)</f>
        <v/>
      </c>
      <c r="F533" t="str">
        <f>IF($AS533="","",Config!$B$9)</f>
        <v/>
      </c>
      <c r="G533" t="str">
        <f>IF($AS533="","",Config!$B$10)</f>
        <v/>
      </c>
      <c r="H533" t="str">
        <f>IF($AS533="","",Config!$B$11)</f>
        <v/>
      </c>
      <c r="I533" t="str">
        <f>IF($AS533="","",Config!$B$16)</f>
        <v/>
      </c>
      <c r="J533" t="str">
        <f>IF($AS533="","",INDEX('TMP Paste'!$A$2:$A$1601,$AS533))</f>
        <v/>
      </c>
      <c r="K533" t="str">
        <f>IF($AS533="","",INDEX('TMP Paste'!$L$2:$L$1601,$AS533))</f>
        <v/>
      </c>
      <c r="L533" t="str">
        <f>IF($AS533="","",INDEX('TMP Paste'!$I$2:$I$1601,$AS533))</f>
        <v/>
      </c>
      <c r="M533" t="str">
        <f>IF($AS533="","",Config!$B$16)</f>
        <v/>
      </c>
      <c r="N533" t="str">
        <f t="shared" si="48"/>
        <v/>
      </c>
      <c r="O533" t="str">
        <f>IF($AS533="","",INDEX('TMP Paste'!$K$2:$K$1601,$AS533))</f>
        <v/>
      </c>
      <c r="P533" t="str">
        <f t="shared" si="49"/>
        <v/>
      </c>
      <c r="Q533" t="str">
        <f>IF($AS533="","",INDEX('TMP Paste'!$J$2:$J$1601,$AS533))</f>
        <v/>
      </c>
      <c r="R533" t="str">
        <f>IF($AS533="","",Config!$B$24)</f>
        <v/>
      </c>
      <c r="S533" t="str">
        <f ca="1">IF($AS533="","",TEXT(Config!$B$4,"yyyy-mm-dd"))</f>
        <v/>
      </c>
      <c r="T533" t="str">
        <f>IF($AS533="","",Config!$B$17)</f>
        <v/>
      </c>
      <c r="U533" t="str">
        <f>IF($AS533="","",Config!$B$18)</f>
        <v/>
      </c>
      <c r="V533" t="str">
        <f>IF($AS533="","",Config!$B$19)</f>
        <v/>
      </c>
      <c r="W533" t="str">
        <f>IF($AS533="","",INDEX('TMP Paste'!$C$2:$C$1601,$AS533))</f>
        <v/>
      </c>
      <c r="X533" t="str">
        <f>IF($AS533="","",Config!$B$29)</f>
        <v/>
      </c>
      <c r="Y533" t="str">
        <f>IF($AT533="","",INDEX(Calc!$I$2:$I$1601,$AT533)&amp;" - "&amp;INDEX(Calc!$D$2:$D$1601,$AT533)&amp;" koli")</f>
        <v/>
      </c>
      <c r="Z533" t="str">
        <f>IF($AS533="","",Config!$B$21)</f>
        <v/>
      </c>
      <c r="AA533" t="str">
        <f>IF($AS533="","",Config!$B$22)</f>
        <v/>
      </c>
      <c r="AB533" t="str">
        <f>IF($AT533="","",INDEX(Calc!$D$2:$D$1601,$AT533))</f>
        <v/>
      </c>
      <c r="AC533" t="str">
        <f>IF($AT533="","",INDEX(Calc!$G$2:$G$1601,$AT533))</f>
        <v/>
      </c>
      <c r="AD533" t="str">
        <f>IF($AS533="","",Config!$B$23)</f>
        <v/>
      </c>
      <c r="AE533" t="str">
        <f>IF($AS533="","",Config!$B$28)</f>
        <v/>
      </c>
      <c r="AF533" t="str">
        <f t="shared" si="50"/>
        <v/>
      </c>
      <c r="AG533" t="str">
        <f t="shared" si="51"/>
        <v/>
      </c>
      <c r="AH533" t="str">
        <f t="shared" si="52"/>
        <v/>
      </c>
      <c r="AI533" t="str">
        <f>IF($AG533="","",SUMIF($AG$2:$AG533,$AG533,$AH$2:$AH533))</f>
        <v/>
      </c>
      <c r="AJ533" t="str">
        <f>IF('TMP Paste'!$F533="","",IF('TMP Paste'!$B533="",$AJ532,'TMP Paste'!$B533))</f>
        <v/>
      </c>
      <c r="AK533" t="str">
        <f>IF('TMP Paste'!$F533="","",N('TMP Paste'!$G533))</f>
        <v/>
      </c>
      <c r="AL533" t="str">
        <f>IF('TMP Paste'!$F533="","",IF('TMP Paste'!$M533="",$AL532,'TMP Paste'!$M533))</f>
        <v/>
      </c>
      <c r="AM533" t="str">
        <f>IF('TMP Paste'!$F533="","",IF('TMP Paste'!$N533="",$AM532,'TMP Paste'!$N533))</f>
        <v/>
      </c>
      <c r="AN533" t="str">
        <f>IF('TMP Paste'!$F533="","",IF('TMP Paste'!$O533="",$AN532,'TMP Paste'!$O533))</f>
        <v/>
      </c>
      <c r="AO533" t="str">
        <f>IF('TMP Paste'!$F533="","",IF('TMP Paste'!$P533="",$AO532,'TMP Paste'!$P533))</f>
        <v/>
      </c>
      <c r="AP533" t="str">
        <f t="shared" si="53"/>
        <v/>
      </c>
      <c r="AQ533" t="str">
        <f>IF($AS533="","",TRIM(IF(COUNTIFS(Calc!$B$2:$B$1601,ROW()-1,Calc!$C$2:$C$1601,"&lt;1")&gt;0,"Ada PO tanpa Koli - cek TMP. ","")&amp;IF(OR($AU533="",$AU533&lt;=0),"Volume kosong/0 - dimensi dikosongkan. ","")&amp;IF(AND($AU533&lt;&gt;"",$AU533&gt;=1000000),"Volume &gt;= 1.000.000 cm3 (di luar aturan) - dimensi dikosongkan. ","")&amp;IF(LEN($R533)&gt;500,"R &gt; 500 karakter.","")))</f>
        <v/>
      </c>
      <c r="AS533" t="str">
        <f>IFERROR(MATCH(ROW()-1,Calc!$J$2:$J$1601,0),"")</f>
        <v/>
      </c>
      <c r="AT533" t="str">
        <f>IFERROR(MATCH(ROW()-1,Calc!$K$2:$K$1601,0),"")</f>
        <v/>
      </c>
      <c r="AU533" t="str">
        <f>IF($AS533="","",IFERROR(INDEX('TMP Paste'!$D$2:$D$1601,$AS533)*1000000/$AB533,""))</f>
        <v/>
      </c>
    </row>
    <row r="534" spans="1:47">
      <c r="A534" t="str">
        <f>IF($AS534="","",INDEX('TMP Paste'!$B$2:$B$1601,$AS534))</f>
        <v/>
      </c>
      <c r="B534" t="str">
        <f>IF($AS534="","",Config!$B$14)</f>
        <v/>
      </c>
      <c r="C534" t="str">
        <f>IF($AS534="","",Config!$B$15)</f>
        <v/>
      </c>
      <c r="D534" t="str">
        <f>IF($AS534="","",INDEX('TMP Paste'!$B$2:$B$1601,$AS534))</f>
        <v/>
      </c>
      <c r="E534" t="str">
        <f>IF($AS534="","",Config!$B$27)</f>
        <v/>
      </c>
      <c r="F534" t="str">
        <f>IF($AS534="","",Config!$B$9)</f>
        <v/>
      </c>
      <c r="G534" t="str">
        <f>IF($AS534="","",Config!$B$10)</f>
        <v/>
      </c>
      <c r="H534" t="str">
        <f>IF($AS534="","",Config!$B$11)</f>
        <v/>
      </c>
      <c r="I534" t="str">
        <f>IF($AS534="","",Config!$B$16)</f>
        <v/>
      </c>
      <c r="J534" t="str">
        <f>IF($AS534="","",INDEX('TMP Paste'!$A$2:$A$1601,$AS534))</f>
        <v/>
      </c>
      <c r="K534" t="str">
        <f>IF($AS534="","",INDEX('TMP Paste'!$L$2:$L$1601,$AS534))</f>
        <v/>
      </c>
      <c r="L534" t="str">
        <f>IF($AS534="","",INDEX('TMP Paste'!$I$2:$I$1601,$AS534))</f>
        <v/>
      </c>
      <c r="M534" t="str">
        <f>IF($AS534="","",Config!$B$16)</f>
        <v/>
      </c>
      <c r="N534" t="str">
        <f t="shared" si="48"/>
        <v/>
      </c>
      <c r="O534" t="str">
        <f>IF($AS534="","",INDEX('TMP Paste'!$K$2:$K$1601,$AS534))</f>
        <v/>
      </c>
      <c r="P534" t="str">
        <f t="shared" si="49"/>
        <v/>
      </c>
      <c r="Q534" t="str">
        <f>IF($AS534="","",INDEX('TMP Paste'!$J$2:$J$1601,$AS534))</f>
        <v/>
      </c>
      <c r="R534" t="str">
        <f>IF($AS534="","",Config!$B$24)</f>
        <v/>
      </c>
      <c r="S534" t="str">
        <f ca="1">IF($AS534="","",TEXT(Config!$B$4,"yyyy-mm-dd"))</f>
        <v/>
      </c>
      <c r="T534" t="str">
        <f>IF($AS534="","",Config!$B$17)</f>
        <v/>
      </c>
      <c r="U534" t="str">
        <f>IF($AS534="","",Config!$B$18)</f>
        <v/>
      </c>
      <c r="V534" t="str">
        <f>IF($AS534="","",Config!$B$19)</f>
        <v/>
      </c>
      <c r="W534" t="str">
        <f>IF($AS534="","",INDEX('TMP Paste'!$C$2:$C$1601,$AS534))</f>
        <v/>
      </c>
      <c r="X534" t="str">
        <f>IF($AS534="","",Config!$B$29)</f>
        <v/>
      </c>
      <c r="Y534" t="str">
        <f>IF($AT534="","",INDEX(Calc!$I$2:$I$1601,$AT534)&amp;" - "&amp;INDEX(Calc!$D$2:$D$1601,$AT534)&amp;" koli")</f>
        <v/>
      </c>
      <c r="Z534" t="str">
        <f>IF($AS534="","",Config!$B$21)</f>
        <v/>
      </c>
      <c r="AA534" t="str">
        <f>IF($AS534="","",Config!$B$22)</f>
        <v/>
      </c>
      <c r="AB534" t="str">
        <f>IF($AT534="","",INDEX(Calc!$D$2:$D$1601,$AT534))</f>
        <v/>
      </c>
      <c r="AC534" t="str">
        <f>IF($AT534="","",INDEX(Calc!$G$2:$G$1601,$AT534))</f>
        <v/>
      </c>
      <c r="AD534" t="str">
        <f>IF($AS534="","",Config!$B$23)</f>
        <v/>
      </c>
      <c r="AE534" t="str">
        <f>IF($AS534="","",Config!$B$28)</f>
        <v/>
      </c>
      <c r="AF534" t="str">
        <f t="shared" si="50"/>
        <v/>
      </c>
      <c r="AG534" t="str">
        <f t="shared" si="51"/>
        <v/>
      </c>
      <c r="AH534" t="str">
        <f t="shared" si="52"/>
        <v/>
      </c>
      <c r="AI534" t="str">
        <f>IF($AG534="","",SUMIF($AG$2:$AG534,$AG534,$AH$2:$AH534))</f>
        <v/>
      </c>
      <c r="AJ534" t="str">
        <f>IF('TMP Paste'!$F534="","",IF('TMP Paste'!$B534="",$AJ533,'TMP Paste'!$B534))</f>
        <v/>
      </c>
      <c r="AK534" t="str">
        <f>IF('TMP Paste'!$F534="","",N('TMP Paste'!$G534))</f>
        <v/>
      </c>
      <c r="AL534" t="str">
        <f>IF('TMP Paste'!$F534="","",IF('TMP Paste'!$M534="",$AL533,'TMP Paste'!$M534))</f>
        <v/>
      </c>
      <c r="AM534" t="str">
        <f>IF('TMP Paste'!$F534="","",IF('TMP Paste'!$N534="",$AM533,'TMP Paste'!$N534))</f>
        <v/>
      </c>
      <c r="AN534" t="str">
        <f>IF('TMP Paste'!$F534="","",IF('TMP Paste'!$O534="",$AN533,'TMP Paste'!$O534))</f>
        <v/>
      </c>
      <c r="AO534" t="str">
        <f>IF('TMP Paste'!$F534="","",IF('TMP Paste'!$P534="",$AO533,'TMP Paste'!$P534))</f>
        <v/>
      </c>
      <c r="AP534" t="str">
        <f t="shared" si="53"/>
        <v/>
      </c>
      <c r="AQ534" t="str">
        <f>IF($AS534="","",TRIM(IF(COUNTIFS(Calc!$B$2:$B$1601,ROW()-1,Calc!$C$2:$C$1601,"&lt;1")&gt;0,"Ada PO tanpa Koli - cek TMP. ","")&amp;IF(OR($AU534="",$AU534&lt;=0),"Volume kosong/0 - dimensi dikosongkan. ","")&amp;IF(AND($AU534&lt;&gt;"",$AU534&gt;=1000000),"Volume &gt;= 1.000.000 cm3 (di luar aturan) - dimensi dikosongkan. ","")&amp;IF(LEN($R534)&gt;500,"R &gt; 500 karakter.","")))</f>
        <v/>
      </c>
      <c r="AS534" t="str">
        <f>IFERROR(MATCH(ROW()-1,Calc!$J$2:$J$1601,0),"")</f>
        <v/>
      </c>
      <c r="AT534" t="str">
        <f>IFERROR(MATCH(ROW()-1,Calc!$K$2:$K$1601,0),"")</f>
        <v/>
      </c>
      <c r="AU534" t="str">
        <f>IF($AS534="","",IFERROR(INDEX('TMP Paste'!$D$2:$D$1601,$AS534)*1000000/$AB534,""))</f>
        <v/>
      </c>
    </row>
    <row r="535" spans="1:47">
      <c r="A535" t="str">
        <f>IF($AS535="","",INDEX('TMP Paste'!$B$2:$B$1601,$AS535))</f>
        <v/>
      </c>
      <c r="B535" t="str">
        <f>IF($AS535="","",Config!$B$14)</f>
        <v/>
      </c>
      <c r="C535" t="str">
        <f>IF($AS535="","",Config!$B$15)</f>
        <v/>
      </c>
      <c r="D535" t="str">
        <f>IF($AS535="","",INDEX('TMP Paste'!$B$2:$B$1601,$AS535))</f>
        <v/>
      </c>
      <c r="E535" t="str">
        <f>IF($AS535="","",Config!$B$27)</f>
        <v/>
      </c>
      <c r="F535" t="str">
        <f>IF($AS535="","",Config!$B$9)</f>
        <v/>
      </c>
      <c r="G535" t="str">
        <f>IF($AS535="","",Config!$B$10)</f>
        <v/>
      </c>
      <c r="H535" t="str">
        <f>IF($AS535="","",Config!$B$11)</f>
        <v/>
      </c>
      <c r="I535" t="str">
        <f>IF($AS535="","",Config!$B$16)</f>
        <v/>
      </c>
      <c r="J535" t="str">
        <f>IF($AS535="","",INDEX('TMP Paste'!$A$2:$A$1601,$AS535))</f>
        <v/>
      </c>
      <c r="K535" t="str">
        <f>IF($AS535="","",INDEX('TMP Paste'!$L$2:$L$1601,$AS535))</f>
        <v/>
      </c>
      <c r="L535" t="str">
        <f>IF($AS535="","",INDEX('TMP Paste'!$I$2:$I$1601,$AS535))</f>
        <v/>
      </c>
      <c r="M535" t="str">
        <f>IF($AS535="","",Config!$B$16)</f>
        <v/>
      </c>
      <c r="N535" t="str">
        <f t="shared" si="48"/>
        <v/>
      </c>
      <c r="O535" t="str">
        <f>IF($AS535="","",INDEX('TMP Paste'!$K$2:$K$1601,$AS535))</f>
        <v/>
      </c>
      <c r="P535" t="str">
        <f t="shared" si="49"/>
        <v/>
      </c>
      <c r="Q535" t="str">
        <f>IF($AS535="","",INDEX('TMP Paste'!$J$2:$J$1601,$AS535))</f>
        <v/>
      </c>
      <c r="R535" t="str">
        <f>IF($AS535="","",Config!$B$24)</f>
        <v/>
      </c>
      <c r="S535" t="str">
        <f ca="1">IF($AS535="","",TEXT(Config!$B$4,"yyyy-mm-dd"))</f>
        <v/>
      </c>
      <c r="T535" t="str">
        <f>IF($AS535="","",Config!$B$17)</f>
        <v/>
      </c>
      <c r="U535" t="str">
        <f>IF($AS535="","",Config!$B$18)</f>
        <v/>
      </c>
      <c r="V535" t="str">
        <f>IF($AS535="","",Config!$B$19)</f>
        <v/>
      </c>
      <c r="W535" t="str">
        <f>IF($AS535="","",INDEX('TMP Paste'!$C$2:$C$1601,$AS535))</f>
        <v/>
      </c>
      <c r="X535" t="str">
        <f>IF($AS535="","",Config!$B$29)</f>
        <v/>
      </c>
      <c r="Y535" t="str">
        <f>IF($AT535="","",INDEX(Calc!$I$2:$I$1601,$AT535)&amp;" - "&amp;INDEX(Calc!$D$2:$D$1601,$AT535)&amp;" koli")</f>
        <v/>
      </c>
      <c r="Z535" t="str">
        <f>IF($AS535="","",Config!$B$21)</f>
        <v/>
      </c>
      <c r="AA535" t="str">
        <f>IF($AS535="","",Config!$B$22)</f>
        <v/>
      </c>
      <c r="AB535" t="str">
        <f>IF($AT535="","",INDEX(Calc!$D$2:$D$1601,$AT535))</f>
        <v/>
      </c>
      <c r="AC535" t="str">
        <f>IF($AT535="","",INDEX(Calc!$G$2:$G$1601,$AT535))</f>
        <v/>
      </c>
      <c r="AD535" t="str">
        <f>IF($AS535="","",Config!$B$23)</f>
        <v/>
      </c>
      <c r="AE535" t="str">
        <f>IF($AS535="","",Config!$B$28)</f>
        <v/>
      </c>
      <c r="AF535" t="str">
        <f t="shared" si="50"/>
        <v/>
      </c>
      <c r="AG535" t="str">
        <f t="shared" si="51"/>
        <v/>
      </c>
      <c r="AH535" t="str">
        <f t="shared" si="52"/>
        <v/>
      </c>
      <c r="AI535" t="str">
        <f>IF($AG535="","",SUMIF($AG$2:$AG535,$AG535,$AH$2:$AH535))</f>
        <v/>
      </c>
      <c r="AJ535" t="str">
        <f>IF('TMP Paste'!$F535="","",IF('TMP Paste'!$B535="",$AJ534,'TMP Paste'!$B535))</f>
        <v/>
      </c>
      <c r="AK535" t="str">
        <f>IF('TMP Paste'!$F535="","",N('TMP Paste'!$G535))</f>
        <v/>
      </c>
      <c r="AL535" t="str">
        <f>IF('TMP Paste'!$F535="","",IF('TMP Paste'!$M535="",$AL534,'TMP Paste'!$M535))</f>
        <v/>
      </c>
      <c r="AM535" t="str">
        <f>IF('TMP Paste'!$F535="","",IF('TMP Paste'!$N535="",$AM534,'TMP Paste'!$N535))</f>
        <v/>
      </c>
      <c r="AN535" t="str">
        <f>IF('TMP Paste'!$F535="","",IF('TMP Paste'!$O535="",$AN534,'TMP Paste'!$O535))</f>
        <v/>
      </c>
      <c r="AO535" t="str">
        <f>IF('TMP Paste'!$F535="","",IF('TMP Paste'!$P535="",$AO534,'TMP Paste'!$P535))</f>
        <v/>
      </c>
      <c r="AP535" t="str">
        <f t="shared" si="53"/>
        <v/>
      </c>
      <c r="AQ535" t="str">
        <f>IF($AS535="","",TRIM(IF(COUNTIFS(Calc!$B$2:$B$1601,ROW()-1,Calc!$C$2:$C$1601,"&lt;1")&gt;0,"Ada PO tanpa Koli - cek TMP. ","")&amp;IF(OR($AU535="",$AU535&lt;=0),"Volume kosong/0 - dimensi dikosongkan. ","")&amp;IF(AND($AU535&lt;&gt;"",$AU535&gt;=1000000),"Volume &gt;= 1.000.000 cm3 (di luar aturan) - dimensi dikosongkan. ","")&amp;IF(LEN($R535)&gt;500,"R &gt; 500 karakter.","")))</f>
        <v/>
      </c>
      <c r="AS535" t="str">
        <f>IFERROR(MATCH(ROW()-1,Calc!$J$2:$J$1601,0),"")</f>
        <v/>
      </c>
      <c r="AT535" t="str">
        <f>IFERROR(MATCH(ROW()-1,Calc!$K$2:$K$1601,0),"")</f>
        <v/>
      </c>
      <c r="AU535" t="str">
        <f>IF($AS535="","",IFERROR(INDEX('TMP Paste'!$D$2:$D$1601,$AS535)*1000000/$AB535,""))</f>
        <v/>
      </c>
    </row>
    <row r="536" spans="1:47">
      <c r="A536" t="str">
        <f>IF($AS536="","",INDEX('TMP Paste'!$B$2:$B$1601,$AS536))</f>
        <v/>
      </c>
      <c r="B536" t="str">
        <f>IF($AS536="","",Config!$B$14)</f>
        <v/>
      </c>
      <c r="C536" t="str">
        <f>IF($AS536="","",Config!$B$15)</f>
        <v/>
      </c>
      <c r="D536" t="str">
        <f>IF($AS536="","",INDEX('TMP Paste'!$B$2:$B$1601,$AS536))</f>
        <v/>
      </c>
      <c r="E536" t="str">
        <f>IF($AS536="","",Config!$B$27)</f>
        <v/>
      </c>
      <c r="F536" t="str">
        <f>IF($AS536="","",Config!$B$9)</f>
        <v/>
      </c>
      <c r="G536" t="str">
        <f>IF($AS536="","",Config!$B$10)</f>
        <v/>
      </c>
      <c r="H536" t="str">
        <f>IF($AS536="","",Config!$B$11)</f>
        <v/>
      </c>
      <c r="I536" t="str">
        <f>IF($AS536="","",Config!$B$16)</f>
        <v/>
      </c>
      <c r="J536" t="str">
        <f>IF($AS536="","",INDEX('TMP Paste'!$A$2:$A$1601,$AS536))</f>
        <v/>
      </c>
      <c r="K536" t="str">
        <f>IF($AS536="","",INDEX('TMP Paste'!$L$2:$L$1601,$AS536))</f>
        <v/>
      </c>
      <c r="L536" t="str">
        <f>IF($AS536="","",INDEX('TMP Paste'!$I$2:$I$1601,$AS536))</f>
        <v/>
      </c>
      <c r="M536" t="str">
        <f>IF($AS536="","",Config!$B$16)</f>
        <v/>
      </c>
      <c r="N536" t="str">
        <f t="shared" si="48"/>
        <v/>
      </c>
      <c r="O536" t="str">
        <f>IF($AS536="","",INDEX('TMP Paste'!$K$2:$K$1601,$AS536))</f>
        <v/>
      </c>
      <c r="P536" t="str">
        <f t="shared" si="49"/>
        <v/>
      </c>
      <c r="Q536" t="str">
        <f>IF($AS536="","",INDEX('TMP Paste'!$J$2:$J$1601,$AS536))</f>
        <v/>
      </c>
      <c r="R536" t="str">
        <f>IF($AS536="","",Config!$B$24)</f>
        <v/>
      </c>
      <c r="S536" t="str">
        <f ca="1">IF($AS536="","",TEXT(Config!$B$4,"yyyy-mm-dd"))</f>
        <v/>
      </c>
      <c r="T536" t="str">
        <f>IF($AS536="","",Config!$B$17)</f>
        <v/>
      </c>
      <c r="U536" t="str">
        <f>IF($AS536="","",Config!$B$18)</f>
        <v/>
      </c>
      <c r="V536" t="str">
        <f>IF($AS536="","",Config!$B$19)</f>
        <v/>
      </c>
      <c r="W536" t="str">
        <f>IF($AS536="","",INDEX('TMP Paste'!$C$2:$C$1601,$AS536))</f>
        <v/>
      </c>
      <c r="X536" t="str">
        <f>IF($AS536="","",Config!$B$29)</f>
        <v/>
      </c>
      <c r="Y536" t="str">
        <f>IF($AT536="","",INDEX(Calc!$I$2:$I$1601,$AT536)&amp;" - "&amp;INDEX(Calc!$D$2:$D$1601,$AT536)&amp;" koli")</f>
        <v/>
      </c>
      <c r="Z536" t="str">
        <f>IF($AS536="","",Config!$B$21)</f>
        <v/>
      </c>
      <c r="AA536" t="str">
        <f>IF($AS536="","",Config!$B$22)</f>
        <v/>
      </c>
      <c r="AB536" t="str">
        <f>IF($AT536="","",INDEX(Calc!$D$2:$D$1601,$AT536))</f>
        <v/>
      </c>
      <c r="AC536" t="str">
        <f>IF($AT536="","",INDEX(Calc!$G$2:$G$1601,$AT536))</f>
        <v/>
      </c>
      <c r="AD536" t="str">
        <f>IF($AS536="","",Config!$B$23)</f>
        <v/>
      </c>
      <c r="AE536" t="str">
        <f>IF($AS536="","",Config!$B$28)</f>
        <v/>
      </c>
      <c r="AF536" t="str">
        <f t="shared" si="50"/>
        <v/>
      </c>
      <c r="AG536" t="str">
        <f t="shared" si="51"/>
        <v/>
      </c>
      <c r="AH536" t="str">
        <f t="shared" si="52"/>
        <v/>
      </c>
      <c r="AI536" t="str">
        <f>IF($AG536="","",SUMIF($AG$2:$AG536,$AG536,$AH$2:$AH536))</f>
        <v/>
      </c>
      <c r="AJ536" t="str">
        <f>IF('TMP Paste'!$F536="","",IF('TMP Paste'!$B536="",$AJ535,'TMP Paste'!$B536))</f>
        <v/>
      </c>
      <c r="AK536" t="str">
        <f>IF('TMP Paste'!$F536="","",N('TMP Paste'!$G536))</f>
        <v/>
      </c>
      <c r="AL536" t="str">
        <f>IF('TMP Paste'!$F536="","",IF('TMP Paste'!$M536="",$AL535,'TMP Paste'!$M536))</f>
        <v/>
      </c>
      <c r="AM536" t="str">
        <f>IF('TMP Paste'!$F536="","",IF('TMP Paste'!$N536="",$AM535,'TMP Paste'!$N536))</f>
        <v/>
      </c>
      <c r="AN536" t="str">
        <f>IF('TMP Paste'!$F536="","",IF('TMP Paste'!$O536="",$AN535,'TMP Paste'!$O536))</f>
        <v/>
      </c>
      <c r="AO536" t="str">
        <f>IF('TMP Paste'!$F536="","",IF('TMP Paste'!$P536="",$AO535,'TMP Paste'!$P536))</f>
        <v/>
      </c>
      <c r="AP536" t="str">
        <f t="shared" si="53"/>
        <v/>
      </c>
      <c r="AQ536" t="str">
        <f>IF($AS536="","",TRIM(IF(COUNTIFS(Calc!$B$2:$B$1601,ROW()-1,Calc!$C$2:$C$1601,"&lt;1")&gt;0,"Ada PO tanpa Koli - cek TMP. ","")&amp;IF(OR($AU536="",$AU536&lt;=0),"Volume kosong/0 - dimensi dikosongkan. ","")&amp;IF(AND($AU536&lt;&gt;"",$AU536&gt;=1000000),"Volume &gt;= 1.000.000 cm3 (di luar aturan) - dimensi dikosongkan. ","")&amp;IF(LEN($R536)&gt;500,"R &gt; 500 karakter.","")))</f>
        <v/>
      </c>
      <c r="AS536" t="str">
        <f>IFERROR(MATCH(ROW()-1,Calc!$J$2:$J$1601,0),"")</f>
        <v/>
      </c>
      <c r="AT536" t="str">
        <f>IFERROR(MATCH(ROW()-1,Calc!$K$2:$K$1601,0),"")</f>
        <v/>
      </c>
      <c r="AU536" t="str">
        <f>IF($AS536="","",IFERROR(INDEX('TMP Paste'!$D$2:$D$1601,$AS536)*1000000/$AB536,""))</f>
        <v/>
      </c>
    </row>
    <row r="537" spans="1:47">
      <c r="A537" t="str">
        <f>IF($AS537="","",INDEX('TMP Paste'!$B$2:$B$1601,$AS537))</f>
        <v/>
      </c>
      <c r="B537" t="str">
        <f>IF($AS537="","",Config!$B$14)</f>
        <v/>
      </c>
      <c r="C537" t="str">
        <f>IF($AS537="","",Config!$B$15)</f>
        <v/>
      </c>
      <c r="D537" t="str">
        <f>IF($AS537="","",INDEX('TMP Paste'!$B$2:$B$1601,$AS537))</f>
        <v/>
      </c>
      <c r="E537" t="str">
        <f>IF($AS537="","",Config!$B$27)</f>
        <v/>
      </c>
      <c r="F537" t="str">
        <f>IF($AS537="","",Config!$B$9)</f>
        <v/>
      </c>
      <c r="G537" t="str">
        <f>IF($AS537="","",Config!$B$10)</f>
        <v/>
      </c>
      <c r="H537" t="str">
        <f>IF($AS537="","",Config!$B$11)</f>
        <v/>
      </c>
      <c r="I537" t="str">
        <f>IF($AS537="","",Config!$B$16)</f>
        <v/>
      </c>
      <c r="J537" t="str">
        <f>IF($AS537="","",INDEX('TMP Paste'!$A$2:$A$1601,$AS537))</f>
        <v/>
      </c>
      <c r="K537" t="str">
        <f>IF($AS537="","",INDEX('TMP Paste'!$L$2:$L$1601,$AS537))</f>
        <v/>
      </c>
      <c r="L537" t="str">
        <f>IF($AS537="","",INDEX('TMP Paste'!$I$2:$I$1601,$AS537))</f>
        <v/>
      </c>
      <c r="M537" t="str">
        <f>IF($AS537="","",Config!$B$16)</f>
        <v/>
      </c>
      <c r="N537" t="str">
        <f t="shared" si="48"/>
        <v/>
      </c>
      <c r="O537" t="str">
        <f>IF($AS537="","",INDEX('TMP Paste'!$K$2:$K$1601,$AS537))</f>
        <v/>
      </c>
      <c r="P537" t="str">
        <f t="shared" si="49"/>
        <v/>
      </c>
      <c r="Q537" t="str">
        <f>IF($AS537="","",INDEX('TMP Paste'!$J$2:$J$1601,$AS537))</f>
        <v/>
      </c>
      <c r="R537" t="str">
        <f>IF($AS537="","",Config!$B$24)</f>
        <v/>
      </c>
      <c r="S537" t="str">
        <f ca="1">IF($AS537="","",TEXT(Config!$B$4,"yyyy-mm-dd"))</f>
        <v/>
      </c>
      <c r="T537" t="str">
        <f>IF($AS537="","",Config!$B$17)</f>
        <v/>
      </c>
      <c r="U537" t="str">
        <f>IF($AS537="","",Config!$B$18)</f>
        <v/>
      </c>
      <c r="V537" t="str">
        <f>IF($AS537="","",Config!$B$19)</f>
        <v/>
      </c>
      <c r="W537" t="str">
        <f>IF($AS537="","",INDEX('TMP Paste'!$C$2:$C$1601,$AS537))</f>
        <v/>
      </c>
      <c r="X537" t="str">
        <f>IF($AS537="","",Config!$B$29)</f>
        <v/>
      </c>
      <c r="Y537" t="str">
        <f>IF($AT537="","",INDEX(Calc!$I$2:$I$1601,$AT537)&amp;" - "&amp;INDEX(Calc!$D$2:$D$1601,$AT537)&amp;" koli")</f>
        <v/>
      </c>
      <c r="Z537" t="str">
        <f>IF($AS537="","",Config!$B$21)</f>
        <v/>
      </c>
      <c r="AA537" t="str">
        <f>IF($AS537="","",Config!$B$22)</f>
        <v/>
      </c>
      <c r="AB537" t="str">
        <f>IF($AT537="","",INDEX(Calc!$D$2:$D$1601,$AT537))</f>
        <v/>
      </c>
      <c r="AC537" t="str">
        <f>IF($AT537="","",INDEX(Calc!$G$2:$G$1601,$AT537))</f>
        <v/>
      </c>
      <c r="AD537" t="str">
        <f>IF($AS537="","",Config!$B$23)</f>
        <v/>
      </c>
      <c r="AE537" t="str">
        <f>IF($AS537="","",Config!$B$28)</f>
        <v/>
      </c>
      <c r="AF537" t="str">
        <f t="shared" si="50"/>
        <v/>
      </c>
      <c r="AG537" t="str">
        <f t="shared" si="51"/>
        <v/>
      </c>
      <c r="AH537" t="str">
        <f t="shared" si="52"/>
        <v/>
      </c>
      <c r="AI537" t="str">
        <f>IF($AG537="","",SUMIF($AG$2:$AG537,$AG537,$AH$2:$AH537))</f>
        <v/>
      </c>
      <c r="AJ537" t="str">
        <f>IF('TMP Paste'!$F537="","",IF('TMP Paste'!$B537="",$AJ536,'TMP Paste'!$B537))</f>
        <v/>
      </c>
      <c r="AK537" t="str">
        <f>IF('TMP Paste'!$F537="","",N('TMP Paste'!$G537))</f>
        <v/>
      </c>
      <c r="AL537" t="str">
        <f>IF('TMP Paste'!$F537="","",IF('TMP Paste'!$M537="",$AL536,'TMP Paste'!$M537))</f>
        <v/>
      </c>
      <c r="AM537" t="str">
        <f>IF('TMP Paste'!$F537="","",IF('TMP Paste'!$N537="",$AM536,'TMP Paste'!$N537))</f>
        <v/>
      </c>
      <c r="AN537" t="str">
        <f>IF('TMP Paste'!$F537="","",IF('TMP Paste'!$O537="",$AN536,'TMP Paste'!$O537))</f>
        <v/>
      </c>
      <c r="AO537" t="str">
        <f>IF('TMP Paste'!$F537="","",IF('TMP Paste'!$P537="",$AO536,'TMP Paste'!$P537))</f>
        <v/>
      </c>
      <c r="AP537" t="str">
        <f t="shared" si="53"/>
        <v/>
      </c>
      <c r="AQ537" t="str">
        <f>IF($AS537="","",TRIM(IF(COUNTIFS(Calc!$B$2:$B$1601,ROW()-1,Calc!$C$2:$C$1601,"&lt;1")&gt;0,"Ada PO tanpa Koli - cek TMP. ","")&amp;IF(OR($AU537="",$AU537&lt;=0),"Volume kosong/0 - dimensi dikosongkan. ","")&amp;IF(AND($AU537&lt;&gt;"",$AU537&gt;=1000000),"Volume &gt;= 1.000.000 cm3 (di luar aturan) - dimensi dikosongkan. ","")&amp;IF(LEN($R537)&gt;500,"R &gt; 500 karakter.","")))</f>
        <v/>
      </c>
      <c r="AS537" t="str">
        <f>IFERROR(MATCH(ROW()-1,Calc!$J$2:$J$1601,0),"")</f>
        <v/>
      </c>
      <c r="AT537" t="str">
        <f>IFERROR(MATCH(ROW()-1,Calc!$K$2:$K$1601,0),"")</f>
        <v/>
      </c>
      <c r="AU537" t="str">
        <f>IF($AS537="","",IFERROR(INDEX('TMP Paste'!$D$2:$D$1601,$AS537)*1000000/$AB537,""))</f>
        <v/>
      </c>
    </row>
    <row r="538" spans="1:47">
      <c r="A538" t="str">
        <f>IF($AS538="","",INDEX('TMP Paste'!$B$2:$B$1601,$AS538))</f>
        <v/>
      </c>
      <c r="B538" t="str">
        <f>IF($AS538="","",Config!$B$14)</f>
        <v/>
      </c>
      <c r="C538" t="str">
        <f>IF($AS538="","",Config!$B$15)</f>
        <v/>
      </c>
      <c r="D538" t="str">
        <f>IF($AS538="","",INDEX('TMP Paste'!$B$2:$B$1601,$AS538))</f>
        <v/>
      </c>
      <c r="E538" t="str">
        <f>IF($AS538="","",Config!$B$27)</f>
        <v/>
      </c>
      <c r="F538" t="str">
        <f>IF($AS538="","",Config!$B$9)</f>
        <v/>
      </c>
      <c r="G538" t="str">
        <f>IF($AS538="","",Config!$B$10)</f>
        <v/>
      </c>
      <c r="H538" t="str">
        <f>IF($AS538="","",Config!$B$11)</f>
        <v/>
      </c>
      <c r="I538" t="str">
        <f>IF($AS538="","",Config!$B$16)</f>
        <v/>
      </c>
      <c r="J538" t="str">
        <f>IF($AS538="","",INDEX('TMP Paste'!$A$2:$A$1601,$AS538))</f>
        <v/>
      </c>
      <c r="K538" t="str">
        <f>IF($AS538="","",INDEX('TMP Paste'!$L$2:$L$1601,$AS538))</f>
        <v/>
      </c>
      <c r="L538" t="str">
        <f>IF($AS538="","",INDEX('TMP Paste'!$I$2:$I$1601,$AS538))</f>
        <v/>
      </c>
      <c r="M538" t="str">
        <f>IF($AS538="","",Config!$B$16)</f>
        <v/>
      </c>
      <c r="N538" t="str">
        <f t="shared" si="48"/>
        <v/>
      </c>
      <c r="O538" t="str">
        <f>IF($AS538="","",INDEX('TMP Paste'!$K$2:$K$1601,$AS538))</f>
        <v/>
      </c>
      <c r="P538" t="str">
        <f t="shared" si="49"/>
        <v/>
      </c>
      <c r="Q538" t="str">
        <f>IF($AS538="","",INDEX('TMP Paste'!$J$2:$J$1601,$AS538))</f>
        <v/>
      </c>
      <c r="R538" t="str">
        <f>IF($AS538="","",Config!$B$24)</f>
        <v/>
      </c>
      <c r="S538" t="str">
        <f ca="1">IF($AS538="","",TEXT(Config!$B$4,"yyyy-mm-dd"))</f>
        <v/>
      </c>
      <c r="T538" t="str">
        <f>IF($AS538="","",Config!$B$17)</f>
        <v/>
      </c>
      <c r="U538" t="str">
        <f>IF($AS538="","",Config!$B$18)</f>
        <v/>
      </c>
      <c r="V538" t="str">
        <f>IF($AS538="","",Config!$B$19)</f>
        <v/>
      </c>
      <c r="W538" t="str">
        <f>IF($AS538="","",INDEX('TMP Paste'!$C$2:$C$1601,$AS538))</f>
        <v/>
      </c>
      <c r="X538" t="str">
        <f>IF($AS538="","",Config!$B$29)</f>
        <v/>
      </c>
      <c r="Y538" t="str">
        <f>IF($AT538="","",INDEX(Calc!$I$2:$I$1601,$AT538)&amp;" - "&amp;INDEX(Calc!$D$2:$D$1601,$AT538)&amp;" koli")</f>
        <v/>
      </c>
      <c r="Z538" t="str">
        <f>IF($AS538="","",Config!$B$21)</f>
        <v/>
      </c>
      <c r="AA538" t="str">
        <f>IF($AS538="","",Config!$B$22)</f>
        <v/>
      </c>
      <c r="AB538" t="str">
        <f>IF($AT538="","",INDEX(Calc!$D$2:$D$1601,$AT538))</f>
        <v/>
      </c>
      <c r="AC538" t="str">
        <f>IF($AT538="","",INDEX(Calc!$G$2:$G$1601,$AT538))</f>
        <v/>
      </c>
      <c r="AD538" t="str">
        <f>IF($AS538="","",Config!$B$23)</f>
        <v/>
      </c>
      <c r="AE538" t="str">
        <f>IF($AS538="","",Config!$B$28)</f>
        <v/>
      </c>
      <c r="AF538" t="str">
        <f t="shared" si="50"/>
        <v/>
      </c>
      <c r="AG538" t="str">
        <f t="shared" si="51"/>
        <v/>
      </c>
      <c r="AH538" t="str">
        <f t="shared" si="52"/>
        <v/>
      </c>
      <c r="AI538" t="str">
        <f>IF($AG538="","",SUMIF($AG$2:$AG538,$AG538,$AH$2:$AH538))</f>
        <v/>
      </c>
      <c r="AJ538" t="str">
        <f>IF('TMP Paste'!$F538="","",IF('TMP Paste'!$B538="",$AJ537,'TMP Paste'!$B538))</f>
        <v/>
      </c>
      <c r="AK538" t="str">
        <f>IF('TMP Paste'!$F538="","",N('TMP Paste'!$G538))</f>
        <v/>
      </c>
      <c r="AL538" t="str">
        <f>IF('TMP Paste'!$F538="","",IF('TMP Paste'!$M538="",$AL537,'TMP Paste'!$M538))</f>
        <v/>
      </c>
      <c r="AM538" t="str">
        <f>IF('TMP Paste'!$F538="","",IF('TMP Paste'!$N538="",$AM537,'TMP Paste'!$N538))</f>
        <v/>
      </c>
      <c r="AN538" t="str">
        <f>IF('TMP Paste'!$F538="","",IF('TMP Paste'!$O538="",$AN537,'TMP Paste'!$O538))</f>
        <v/>
      </c>
      <c r="AO538" t="str">
        <f>IF('TMP Paste'!$F538="","",IF('TMP Paste'!$P538="",$AO537,'TMP Paste'!$P538))</f>
        <v/>
      </c>
      <c r="AP538" t="str">
        <f t="shared" si="53"/>
        <v/>
      </c>
      <c r="AQ538" t="str">
        <f>IF($AS538="","",TRIM(IF(COUNTIFS(Calc!$B$2:$B$1601,ROW()-1,Calc!$C$2:$C$1601,"&lt;1")&gt;0,"Ada PO tanpa Koli - cek TMP. ","")&amp;IF(OR($AU538="",$AU538&lt;=0),"Volume kosong/0 - dimensi dikosongkan. ","")&amp;IF(AND($AU538&lt;&gt;"",$AU538&gt;=1000000),"Volume &gt;= 1.000.000 cm3 (di luar aturan) - dimensi dikosongkan. ","")&amp;IF(LEN($R538)&gt;500,"R &gt; 500 karakter.","")))</f>
        <v/>
      </c>
      <c r="AS538" t="str">
        <f>IFERROR(MATCH(ROW()-1,Calc!$J$2:$J$1601,0),"")</f>
        <v/>
      </c>
      <c r="AT538" t="str">
        <f>IFERROR(MATCH(ROW()-1,Calc!$K$2:$K$1601,0),"")</f>
        <v/>
      </c>
      <c r="AU538" t="str">
        <f>IF($AS538="","",IFERROR(INDEX('TMP Paste'!$D$2:$D$1601,$AS538)*1000000/$AB538,""))</f>
        <v/>
      </c>
    </row>
    <row r="539" spans="1:47">
      <c r="A539" t="str">
        <f>IF($AS539="","",INDEX('TMP Paste'!$B$2:$B$1601,$AS539))</f>
        <v/>
      </c>
      <c r="B539" t="str">
        <f>IF($AS539="","",Config!$B$14)</f>
        <v/>
      </c>
      <c r="C539" t="str">
        <f>IF($AS539="","",Config!$B$15)</f>
        <v/>
      </c>
      <c r="D539" t="str">
        <f>IF($AS539="","",INDEX('TMP Paste'!$B$2:$B$1601,$AS539))</f>
        <v/>
      </c>
      <c r="E539" t="str">
        <f>IF($AS539="","",Config!$B$27)</f>
        <v/>
      </c>
      <c r="F539" t="str">
        <f>IF($AS539="","",Config!$B$9)</f>
        <v/>
      </c>
      <c r="G539" t="str">
        <f>IF($AS539="","",Config!$B$10)</f>
        <v/>
      </c>
      <c r="H539" t="str">
        <f>IF($AS539="","",Config!$B$11)</f>
        <v/>
      </c>
      <c r="I539" t="str">
        <f>IF($AS539="","",Config!$B$16)</f>
        <v/>
      </c>
      <c r="J539" t="str">
        <f>IF($AS539="","",INDEX('TMP Paste'!$A$2:$A$1601,$AS539))</f>
        <v/>
      </c>
      <c r="K539" t="str">
        <f>IF($AS539="","",INDEX('TMP Paste'!$L$2:$L$1601,$AS539))</f>
        <v/>
      </c>
      <c r="L539" t="str">
        <f>IF($AS539="","",INDEX('TMP Paste'!$I$2:$I$1601,$AS539))</f>
        <v/>
      </c>
      <c r="M539" t="str">
        <f>IF($AS539="","",Config!$B$16)</f>
        <v/>
      </c>
      <c r="N539" t="str">
        <f t="shared" si="48"/>
        <v/>
      </c>
      <c r="O539" t="str">
        <f>IF($AS539="","",INDEX('TMP Paste'!$K$2:$K$1601,$AS539))</f>
        <v/>
      </c>
      <c r="P539" t="str">
        <f t="shared" si="49"/>
        <v/>
      </c>
      <c r="Q539" t="str">
        <f>IF($AS539="","",INDEX('TMP Paste'!$J$2:$J$1601,$AS539))</f>
        <v/>
      </c>
      <c r="R539" t="str">
        <f>IF($AS539="","",Config!$B$24)</f>
        <v/>
      </c>
      <c r="S539" t="str">
        <f ca="1">IF($AS539="","",TEXT(Config!$B$4,"yyyy-mm-dd"))</f>
        <v/>
      </c>
      <c r="T539" t="str">
        <f>IF($AS539="","",Config!$B$17)</f>
        <v/>
      </c>
      <c r="U539" t="str">
        <f>IF($AS539="","",Config!$B$18)</f>
        <v/>
      </c>
      <c r="V539" t="str">
        <f>IF($AS539="","",Config!$B$19)</f>
        <v/>
      </c>
      <c r="W539" t="str">
        <f>IF($AS539="","",INDEX('TMP Paste'!$C$2:$C$1601,$AS539))</f>
        <v/>
      </c>
      <c r="X539" t="str">
        <f>IF($AS539="","",Config!$B$29)</f>
        <v/>
      </c>
      <c r="Y539" t="str">
        <f>IF($AT539="","",INDEX(Calc!$I$2:$I$1601,$AT539)&amp;" - "&amp;INDEX(Calc!$D$2:$D$1601,$AT539)&amp;" koli")</f>
        <v/>
      </c>
      <c r="Z539" t="str">
        <f>IF($AS539="","",Config!$B$21)</f>
        <v/>
      </c>
      <c r="AA539" t="str">
        <f>IF($AS539="","",Config!$B$22)</f>
        <v/>
      </c>
      <c r="AB539" t="str">
        <f>IF($AT539="","",INDEX(Calc!$D$2:$D$1601,$AT539))</f>
        <v/>
      </c>
      <c r="AC539" t="str">
        <f>IF($AT539="","",INDEX(Calc!$G$2:$G$1601,$AT539))</f>
        <v/>
      </c>
      <c r="AD539" t="str">
        <f>IF($AS539="","",Config!$B$23)</f>
        <v/>
      </c>
      <c r="AE539" t="str">
        <f>IF($AS539="","",Config!$B$28)</f>
        <v/>
      </c>
      <c r="AF539" t="str">
        <f t="shared" si="50"/>
        <v/>
      </c>
      <c r="AG539" t="str">
        <f t="shared" si="51"/>
        <v/>
      </c>
      <c r="AH539" t="str">
        <f t="shared" si="52"/>
        <v/>
      </c>
      <c r="AI539" t="str">
        <f>IF($AG539="","",SUMIF($AG$2:$AG539,$AG539,$AH$2:$AH539))</f>
        <v/>
      </c>
      <c r="AJ539" t="str">
        <f>IF('TMP Paste'!$F539="","",IF('TMP Paste'!$B539="",$AJ538,'TMP Paste'!$B539))</f>
        <v/>
      </c>
      <c r="AK539" t="str">
        <f>IF('TMP Paste'!$F539="","",N('TMP Paste'!$G539))</f>
        <v/>
      </c>
      <c r="AL539" t="str">
        <f>IF('TMP Paste'!$F539="","",IF('TMP Paste'!$M539="",$AL538,'TMP Paste'!$M539))</f>
        <v/>
      </c>
      <c r="AM539" t="str">
        <f>IF('TMP Paste'!$F539="","",IF('TMP Paste'!$N539="",$AM538,'TMP Paste'!$N539))</f>
        <v/>
      </c>
      <c r="AN539" t="str">
        <f>IF('TMP Paste'!$F539="","",IF('TMP Paste'!$O539="",$AN538,'TMP Paste'!$O539))</f>
        <v/>
      </c>
      <c r="AO539" t="str">
        <f>IF('TMP Paste'!$F539="","",IF('TMP Paste'!$P539="",$AO538,'TMP Paste'!$P539))</f>
        <v/>
      </c>
      <c r="AP539" t="str">
        <f t="shared" si="53"/>
        <v/>
      </c>
      <c r="AQ539" t="str">
        <f>IF($AS539="","",TRIM(IF(COUNTIFS(Calc!$B$2:$B$1601,ROW()-1,Calc!$C$2:$C$1601,"&lt;1")&gt;0,"Ada PO tanpa Koli - cek TMP. ","")&amp;IF(OR($AU539="",$AU539&lt;=0),"Volume kosong/0 - dimensi dikosongkan. ","")&amp;IF(AND($AU539&lt;&gt;"",$AU539&gt;=1000000),"Volume &gt;= 1.000.000 cm3 (di luar aturan) - dimensi dikosongkan. ","")&amp;IF(LEN($R539)&gt;500,"R &gt; 500 karakter.","")))</f>
        <v/>
      </c>
      <c r="AS539" t="str">
        <f>IFERROR(MATCH(ROW()-1,Calc!$J$2:$J$1601,0),"")</f>
        <v/>
      </c>
      <c r="AT539" t="str">
        <f>IFERROR(MATCH(ROW()-1,Calc!$K$2:$K$1601,0),"")</f>
        <v/>
      </c>
      <c r="AU539" t="str">
        <f>IF($AS539="","",IFERROR(INDEX('TMP Paste'!$D$2:$D$1601,$AS539)*1000000/$AB539,""))</f>
        <v/>
      </c>
    </row>
    <row r="540" spans="1:47">
      <c r="A540" t="str">
        <f>IF($AS540="","",INDEX('TMP Paste'!$B$2:$B$1601,$AS540))</f>
        <v/>
      </c>
      <c r="B540" t="str">
        <f>IF($AS540="","",Config!$B$14)</f>
        <v/>
      </c>
      <c r="C540" t="str">
        <f>IF($AS540="","",Config!$B$15)</f>
        <v/>
      </c>
      <c r="D540" t="str">
        <f>IF($AS540="","",INDEX('TMP Paste'!$B$2:$B$1601,$AS540))</f>
        <v/>
      </c>
      <c r="E540" t="str">
        <f>IF($AS540="","",Config!$B$27)</f>
        <v/>
      </c>
      <c r="F540" t="str">
        <f>IF($AS540="","",Config!$B$9)</f>
        <v/>
      </c>
      <c r="G540" t="str">
        <f>IF($AS540="","",Config!$B$10)</f>
        <v/>
      </c>
      <c r="H540" t="str">
        <f>IF($AS540="","",Config!$B$11)</f>
        <v/>
      </c>
      <c r="I540" t="str">
        <f>IF($AS540="","",Config!$B$16)</f>
        <v/>
      </c>
      <c r="J540" t="str">
        <f>IF($AS540="","",INDEX('TMP Paste'!$A$2:$A$1601,$AS540))</f>
        <v/>
      </c>
      <c r="K540" t="str">
        <f>IF($AS540="","",INDEX('TMP Paste'!$L$2:$L$1601,$AS540))</f>
        <v/>
      </c>
      <c r="L540" t="str">
        <f>IF($AS540="","",INDEX('TMP Paste'!$I$2:$I$1601,$AS540))</f>
        <v/>
      </c>
      <c r="M540" t="str">
        <f>IF($AS540="","",Config!$B$16)</f>
        <v/>
      </c>
      <c r="N540" t="str">
        <f t="shared" si="48"/>
        <v/>
      </c>
      <c r="O540" t="str">
        <f>IF($AS540="","",INDEX('TMP Paste'!$K$2:$K$1601,$AS540))</f>
        <v/>
      </c>
      <c r="P540" t="str">
        <f t="shared" si="49"/>
        <v/>
      </c>
      <c r="Q540" t="str">
        <f>IF($AS540="","",INDEX('TMP Paste'!$J$2:$J$1601,$AS540))</f>
        <v/>
      </c>
      <c r="R540" t="str">
        <f>IF($AS540="","",Config!$B$24)</f>
        <v/>
      </c>
      <c r="S540" t="str">
        <f ca="1">IF($AS540="","",TEXT(Config!$B$4,"yyyy-mm-dd"))</f>
        <v/>
      </c>
      <c r="T540" t="str">
        <f>IF($AS540="","",Config!$B$17)</f>
        <v/>
      </c>
      <c r="U540" t="str">
        <f>IF($AS540="","",Config!$B$18)</f>
        <v/>
      </c>
      <c r="V540" t="str">
        <f>IF($AS540="","",Config!$B$19)</f>
        <v/>
      </c>
      <c r="W540" t="str">
        <f>IF($AS540="","",INDEX('TMP Paste'!$C$2:$C$1601,$AS540))</f>
        <v/>
      </c>
      <c r="X540" t="str">
        <f>IF($AS540="","",Config!$B$29)</f>
        <v/>
      </c>
      <c r="Y540" t="str">
        <f>IF($AT540="","",INDEX(Calc!$I$2:$I$1601,$AT540)&amp;" - "&amp;INDEX(Calc!$D$2:$D$1601,$AT540)&amp;" koli")</f>
        <v/>
      </c>
      <c r="Z540" t="str">
        <f>IF($AS540="","",Config!$B$21)</f>
        <v/>
      </c>
      <c r="AA540" t="str">
        <f>IF($AS540="","",Config!$B$22)</f>
        <v/>
      </c>
      <c r="AB540" t="str">
        <f>IF($AT540="","",INDEX(Calc!$D$2:$D$1601,$AT540))</f>
        <v/>
      </c>
      <c r="AC540" t="str">
        <f>IF($AT540="","",INDEX(Calc!$G$2:$G$1601,$AT540))</f>
        <v/>
      </c>
      <c r="AD540" t="str">
        <f>IF($AS540="","",Config!$B$23)</f>
        <v/>
      </c>
      <c r="AE540" t="str">
        <f>IF($AS540="","",Config!$B$28)</f>
        <v/>
      </c>
      <c r="AF540" t="str">
        <f t="shared" si="50"/>
        <v/>
      </c>
      <c r="AG540" t="str">
        <f t="shared" si="51"/>
        <v/>
      </c>
      <c r="AH540" t="str">
        <f t="shared" si="52"/>
        <v/>
      </c>
      <c r="AI540" t="str">
        <f>IF($AG540="","",SUMIF($AG$2:$AG540,$AG540,$AH$2:$AH540))</f>
        <v/>
      </c>
      <c r="AJ540" t="str">
        <f>IF('TMP Paste'!$F540="","",IF('TMP Paste'!$B540="",$AJ539,'TMP Paste'!$B540))</f>
        <v/>
      </c>
      <c r="AK540" t="str">
        <f>IF('TMP Paste'!$F540="","",N('TMP Paste'!$G540))</f>
        <v/>
      </c>
      <c r="AL540" t="str">
        <f>IF('TMP Paste'!$F540="","",IF('TMP Paste'!$M540="",$AL539,'TMP Paste'!$M540))</f>
        <v/>
      </c>
      <c r="AM540" t="str">
        <f>IF('TMP Paste'!$F540="","",IF('TMP Paste'!$N540="",$AM539,'TMP Paste'!$N540))</f>
        <v/>
      </c>
      <c r="AN540" t="str">
        <f>IF('TMP Paste'!$F540="","",IF('TMP Paste'!$O540="",$AN539,'TMP Paste'!$O540))</f>
        <v/>
      </c>
      <c r="AO540" t="str">
        <f>IF('TMP Paste'!$F540="","",IF('TMP Paste'!$P540="",$AO539,'TMP Paste'!$P540))</f>
        <v/>
      </c>
      <c r="AP540" t="str">
        <f t="shared" si="53"/>
        <v/>
      </c>
      <c r="AQ540" t="str">
        <f>IF($AS540="","",TRIM(IF(COUNTIFS(Calc!$B$2:$B$1601,ROW()-1,Calc!$C$2:$C$1601,"&lt;1")&gt;0,"Ada PO tanpa Koli - cek TMP. ","")&amp;IF(OR($AU540="",$AU540&lt;=0),"Volume kosong/0 - dimensi dikosongkan. ","")&amp;IF(AND($AU540&lt;&gt;"",$AU540&gt;=1000000),"Volume &gt;= 1.000.000 cm3 (di luar aturan) - dimensi dikosongkan. ","")&amp;IF(LEN($R540)&gt;500,"R &gt; 500 karakter.","")))</f>
        <v/>
      </c>
      <c r="AS540" t="str">
        <f>IFERROR(MATCH(ROW()-1,Calc!$J$2:$J$1601,0),"")</f>
        <v/>
      </c>
      <c r="AT540" t="str">
        <f>IFERROR(MATCH(ROW()-1,Calc!$K$2:$K$1601,0),"")</f>
        <v/>
      </c>
      <c r="AU540" t="str">
        <f>IF($AS540="","",IFERROR(INDEX('TMP Paste'!$D$2:$D$1601,$AS540)*1000000/$AB540,""))</f>
        <v/>
      </c>
    </row>
    <row r="541" spans="1:47">
      <c r="A541" t="str">
        <f>IF($AS541="","",INDEX('TMP Paste'!$B$2:$B$1601,$AS541))</f>
        <v/>
      </c>
      <c r="B541" t="str">
        <f>IF($AS541="","",Config!$B$14)</f>
        <v/>
      </c>
      <c r="C541" t="str">
        <f>IF($AS541="","",Config!$B$15)</f>
        <v/>
      </c>
      <c r="D541" t="str">
        <f>IF($AS541="","",INDEX('TMP Paste'!$B$2:$B$1601,$AS541))</f>
        <v/>
      </c>
      <c r="E541" t="str">
        <f>IF($AS541="","",Config!$B$27)</f>
        <v/>
      </c>
      <c r="F541" t="str">
        <f>IF($AS541="","",Config!$B$9)</f>
        <v/>
      </c>
      <c r="G541" t="str">
        <f>IF($AS541="","",Config!$B$10)</f>
        <v/>
      </c>
      <c r="H541" t="str">
        <f>IF($AS541="","",Config!$B$11)</f>
        <v/>
      </c>
      <c r="I541" t="str">
        <f>IF($AS541="","",Config!$B$16)</f>
        <v/>
      </c>
      <c r="J541" t="str">
        <f>IF($AS541="","",INDEX('TMP Paste'!$A$2:$A$1601,$AS541))</f>
        <v/>
      </c>
      <c r="K541" t="str">
        <f>IF($AS541="","",INDEX('TMP Paste'!$L$2:$L$1601,$AS541))</f>
        <v/>
      </c>
      <c r="L541" t="str">
        <f>IF($AS541="","",INDEX('TMP Paste'!$I$2:$I$1601,$AS541))</f>
        <v/>
      </c>
      <c r="M541" t="str">
        <f>IF($AS541="","",Config!$B$16)</f>
        <v/>
      </c>
      <c r="N541" t="str">
        <f t="shared" si="48"/>
        <v/>
      </c>
      <c r="O541" t="str">
        <f>IF($AS541="","",INDEX('TMP Paste'!$K$2:$K$1601,$AS541))</f>
        <v/>
      </c>
      <c r="P541" t="str">
        <f t="shared" si="49"/>
        <v/>
      </c>
      <c r="Q541" t="str">
        <f>IF($AS541="","",INDEX('TMP Paste'!$J$2:$J$1601,$AS541))</f>
        <v/>
      </c>
      <c r="R541" t="str">
        <f>IF($AS541="","",Config!$B$24)</f>
        <v/>
      </c>
      <c r="S541" t="str">
        <f ca="1">IF($AS541="","",TEXT(Config!$B$4,"yyyy-mm-dd"))</f>
        <v/>
      </c>
      <c r="T541" t="str">
        <f>IF($AS541="","",Config!$B$17)</f>
        <v/>
      </c>
      <c r="U541" t="str">
        <f>IF($AS541="","",Config!$B$18)</f>
        <v/>
      </c>
      <c r="V541" t="str">
        <f>IF($AS541="","",Config!$B$19)</f>
        <v/>
      </c>
      <c r="W541" t="str">
        <f>IF($AS541="","",INDEX('TMP Paste'!$C$2:$C$1601,$AS541))</f>
        <v/>
      </c>
      <c r="X541" t="str">
        <f>IF($AS541="","",Config!$B$29)</f>
        <v/>
      </c>
      <c r="Y541" t="str">
        <f>IF($AT541="","",INDEX(Calc!$I$2:$I$1601,$AT541)&amp;" - "&amp;INDEX(Calc!$D$2:$D$1601,$AT541)&amp;" koli")</f>
        <v/>
      </c>
      <c r="Z541" t="str">
        <f>IF($AS541="","",Config!$B$21)</f>
        <v/>
      </c>
      <c r="AA541" t="str">
        <f>IF($AS541="","",Config!$B$22)</f>
        <v/>
      </c>
      <c r="AB541" t="str">
        <f>IF($AT541="","",INDEX(Calc!$D$2:$D$1601,$AT541))</f>
        <v/>
      </c>
      <c r="AC541" t="str">
        <f>IF($AT541="","",INDEX(Calc!$G$2:$G$1601,$AT541))</f>
        <v/>
      </c>
      <c r="AD541" t="str">
        <f>IF($AS541="","",Config!$B$23)</f>
        <v/>
      </c>
      <c r="AE541" t="str">
        <f>IF($AS541="","",Config!$B$28)</f>
        <v/>
      </c>
      <c r="AF541" t="str">
        <f t="shared" si="50"/>
        <v/>
      </c>
      <c r="AG541" t="str">
        <f t="shared" si="51"/>
        <v/>
      </c>
      <c r="AH541" t="str">
        <f t="shared" si="52"/>
        <v/>
      </c>
      <c r="AI541" t="str">
        <f>IF($AG541="","",SUMIF($AG$2:$AG541,$AG541,$AH$2:$AH541))</f>
        <v/>
      </c>
      <c r="AJ541" t="str">
        <f>IF('TMP Paste'!$F541="","",IF('TMP Paste'!$B541="",$AJ540,'TMP Paste'!$B541))</f>
        <v/>
      </c>
      <c r="AK541" t="str">
        <f>IF('TMP Paste'!$F541="","",N('TMP Paste'!$G541))</f>
        <v/>
      </c>
      <c r="AL541" t="str">
        <f>IF('TMP Paste'!$F541="","",IF('TMP Paste'!$M541="",$AL540,'TMP Paste'!$M541))</f>
        <v/>
      </c>
      <c r="AM541" t="str">
        <f>IF('TMP Paste'!$F541="","",IF('TMP Paste'!$N541="",$AM540,'TMP Paste'!$N541))</f>
        <v/>
      </c>
      <c r="AN541" t="str">
        <f>IF('TMP Paste'!$F541="","",IF('TMP Paste'!$O541="",$AN540,'TMP Paste'!$O541))</f>
        <v/>
      </c>
      <c r="AO541" t="str">
        <f>IF('TMP Paste'!$F541="","",IF('TMP Paste'!$P541="",$AO540,'TMP Paste'!$P541))</f>
        <v/>
      </c>
      <c r="AP541" t="str">
        <f t="shared" si="53"/>
        <v/>
      </c>
      <c r="AQ541" t="str">
        <f>IF($AS541="","",TRIM(IF(COUNTIFS(Calc!$B$2:$B$1601,ROW()-1,Calc!$C$2:$C$1601,"&lt;1")&gt;0,"Ada PO tanpa Koli - cek TMP. ","")&amp;IF(OR($AU541="",$AU541&lt;=0),"Volume kosong/0 - dimensi dikosongkan. ","")&amp;IF(AND($AU541&lt;&gt;"",$AU541&gt;=1000000),"Volume &gt;= 1.000.000 cm3 (di luar aturan) - dimensi dikosongkan. ","")&amp;IF(LEN($R541)&gt;500,"R &gt; 500 karakter.","")))</f>
        <v/>
      </c>
      <c r="AS541" t="str">
        <f>IFERROR(MATCH(ROW()-1,Calc!$J$2:$J$1601,0),"")</f>
        <v/>
      </c>
      <c r="AT541" t="str">
        <f>IFERROR(MATCH(ROW()-1,Calc!$K$2:$K$1601,0),"")</f>
        <v/>
      </c>
      <c r="AU541" t="str">
        <f>IF($AS541="","",IFERROR(INDEX('TMP Paste'!$D$2:$D$1601,$AS541)*1000000/$AB541,""))</f>
        <v/>
      </c>
    </row>
    <row r="542" spans="1:47">
      <c r="A542" t="str">
        <f>IF($AS542="","",INDEX('TMP Paste'!$B$2:$B$1601,$AS542))</f>
        <v/>
      </c>
      <c r="B542" t="str">
        <f>IF($AS542="","",Config!$B$14)</f>
        <v/>
      </c>
      <c r="C542" t="str">
        <f>IF($AS542="","",Config!$B$15)</f>
        <v/>
      </c>
      <c r="D542" t="str">
        <f>IF($AS542="","",INDEX('TMP Paste'!$B$2:$B$1601,$AS542))</f>
        <v/>
      </c>
      <c r="E542" t="str">
        <f>IF($AS542="","",Config!$B$27)</f>
        <v/>
      </c>
      <c r="F542" t="str">
        <f>IF($AS542="","",Config!$B$9)</f>
        <v/>
      </c>
      <c r="G542" t="str">
        <f>IF($AS542="","",Config!$B$10)</f>
        <v/>
      </c>
      <c r="H542" t="str">
        <f>IF($AS542="","",Config!$B$11)</f>
        <v/>
      </c>
      <c r="I542" t="str">
        <f>IF($AS542="","",Config!$B$16)</f>
        <v/>
      </c>
      <c r="J542" t="str">
        <f>IF($AS542="","",INDEX('TMP Paste'!$A$2:$A$1601,$AS542))</f>
        <v/>
      </c>
      <c r="K542" t="str">
        <f>IF($AS542="","",INDEX('TMP Paste'!$L$2:$L$1601,$AS542))</f>
        <v/>
      </c>
      <c r="L542" t="str">
        <f>IF($AS542="","",INDEX('TMP Paste'!$I$2:$I$1601,$AS542))</f>
        <v/>
      </c>
      <c r="M542" t="str">
        <f>IF($AS542="","",Config!$B$16)</f>
        <v/>
      </c>
      <c r="N542" t="str">
        <f t="shared" si="48"/>
        <v/>
      </c>
      <c r="O542" t="str">
        <f>IF($AS542="","",INDEX('TMP Paste'!$K$2:$K$1601,$AS542))</f>
        <v/>
      </c>
      <c r="P542" t="str">
        <f t="shared" si="49"/>
        <v/>
      </c>
      <c r="Q542" t="str">
        <f>IF($AS542="","",INDEX('TMP Paste'!$J$2:$J$1601,$AS542))</f>
        <v/>
      </c>
      <c r="R542" t="str">
        <f>IF($AS542="","",Config!$B$24)</f>
        <v/>
      </c>
      <c r="S542" t="str">
        <f ca="1">IF($AS542="","",TEXT(Config!$B$4,"yyyy-mm-dd"))</f>
        <v/>
      </c>
      <c r="T542" t="str">
        <f>IF($AS542="","",Config!$B$17)</f>
        <v/>
      </c>
      <c r="U542" t="str">
        <f>IF($AS542="","",Config!$B$18)</f>
        <v/>
      </c>
      <c r="V542" t="str">
        <f>IF($AS542="","",Config!$B$19)</f>
        <v/>
      </c>
      <c r="W542" t="str">
        <f>IF($AS542="","",INDEX('TMP Paste'!$C$2:$C$1601,$AS542))</f>
        <v/>
      </c>
      <c r="X542" t="str">
        <f>IF($AS542="","",Config!$B$29)</f>
        <v/>
      </c>
      <c r="Y542" t="str">
        <f>IF($AT542="","",INDEX(Calc!$I$2:$I$1601,$AT542)&amp;" - "&amp;INDEX(Calc!$D$2:$D$1601,$AT542)&amp;" koli")</f>
        <v/>
      </c>
      <c r="Z542" t="str">
        <f>IF($AS542="","",Config!$B$21)</f>
        <v/>
      </c>
      <c r="AA542" t="str">
        <f>IF($AS542="","",Config!$B$22)</f>
        <v/>
      </c>
      <c r="AB542" t="str">
        <f>IF($AT542="","",INDEX(Calc!$D$2:$D$1601,$AT542))</f>
        <v/>
      </c>
      <c r="AC542" t="str">
        <f>IF($AT542="","",INDEX(Calc!$G$2:$G$1601,$AT542))</f>
        <v/>
      </c>
      <c r="AD542" t="str">
        <f>IF($AS542="","",Config!$B$23)</f>
        <v/>
      </c>
      <c r="AE542" t="str">
        <f>IF($AS542="","",Config!$B$28)</f>
        <v/>
      </c>
      <c r="AF542" t="str">
        <f t="shared" si="50"/>
        <v/>
      </c>
      <c r="AG542" t="str">
        <f t="shared" si="51"/>
        <v/>
      </c>
      <c r="AH542" t="str">
        <f t="shared" si="52"/>
        <v/>
      </c>
      <c r="AI542" t="str">
        <f>IF($AG542="","",SUMIF($AG$2:$AG542,$AG542,$AH$2:$AH542))</f>
        <v/>
      </c>
      <c r="AJ542" t="str">
        <f>IF('TMP Paste'!$F542="","",IF('TMP Paste'!$B542="",$AJ541,'TMP Paste'!$B542))</f>
        <v/>
      </c>
      <c r="AK542" t="str">
        <f>IF('TMP Paste'!$F542="","",N('TMP Paste'!$G542))</f>
        <v/>
      </c>
      <c r="AL542" t="str">
        <f>IF('TMP Paste'!$F542="","",IF('TMP Paste'!$M542="",$AL541,'TMP Paste'!$M542))</f>
        <v/>
      </c>
      <c r="AM542" t="str">
        <f>IF('TMP Paste'!$F542="","",IF('TMP Paste'!$N542="",$AM541,'TMP Paste'!$N542))</f>
        <v/>
      </c>
      <c r="AN542" t="str">
        <f>IF('TMP Paste'!$F542="","",IF('TMP Paste'!$O542="",$AN541,'TMP Paste'!$O542))</f>
        <v/>
      </c>
      <c r="AO542" t="str">
        <f>IF('TMP Paste'!$F542="","",IF('TMP Paste'!$P542="",$AO541,'TMP Paste'!$P542))</f>
        <v/>
      </c>
      <c r="AP542" t="str">
        <f t="shared" si="53"/>
        <v/>
      </c>
      <c r="AQ542" t="str">
        <f>IF($AS542="","",TRIM(IF(COUNTIFS(Calc!$B$2:$B$1601,ROW()-1,Calc!$C$2:$C$1601,"&lt;1")&gt;0,"Ada PO tanpa Koli - cek TMP. ","")&amp;IF(OR($AU542="",$AU542&lt;=0),"Volume kosong/0 - dimensi dikosongkan. ","")&amp;IF(AND($AU542&lt;&gt;"",$AU542&gt;=1000000),"Volume &gt;= 1.000.000 cm3 (di luar aturan) - dimensi dikosongkan. ","")&amp;IF(LEN($R542)&gt;500,"R &gt; 500 karakter.","")))</f>
        <v/>
      </c>
      <c r="AS542" t="str">
        <f>IFERROR(MATCH(ROW()-1,Calc!$J$2:$J$1601,0),"")</f>
        <v/>
      </c>
      <c r="AT542" t="str">
        <f>IFERROR(MATCH(ROW()-1,Calc!$K$2:$K$1601,0),"")</f>
        <v/>
      </c>
      <c r="AU542" t="str">
        <f>IF($AS542="","",IFERROR(INDEX('TMP Paste'!$D$2:$D$1601,$AS542)*1000000/$AB542,""))</f>
        <v/>
      </c>
    </row>
    <row r="543" spans="1:47">
      <c r="A543" t="str">
        <f>IF($AS543="","",INDEX('TMP Paste'!$B$2:$B$1601,$AS543))</f>
        <v/>
      </c>
      <c r="B543" t="str">
        <f>IF($AS543="","",Config!$B$14)</f>
        <v/>
      </c>
      <c r="C543" t="str">
        <f>IF($AS543="","",Config!$B$15)</f>
        <v/>
      </c>
      <c r="D543" t="str">
        <f>IF($AS543="","",INDEX('TMP Paste'!$B$2:$B$1601,$AS543))</f>
        <v/>
      </c>
      <c r="E543" t="str">
        <f>IF($AS543="","",Config!$B$27)</f>
        <v/>
      </c>
      <c r="F543" t="str">
        <f>IF($AS543="","",Config!$B$9)</f>
        <v/>
      </c>
      <c r="G543" t="str">
        <f>IF($AS543="","",Config!$B$10)</f>
        <v/>
      </c>
      <c r="H543" t="str">
        <f>IF($AS543="","",Config!$B$11)</f>
        <v/>
      </c>
      <c r="I543" t="str">
        <f>IF($AS543="","",Config!$B$16)</f>
        <v/>
      </c>
      <c r="J543" t="str">
        <f>IF($AS543="","",INDEX('TMP Paste'!$A$2:$A$1601,$AS543))</f>
        <v/>
      </c>
      <c r="K543" t="str">
        <f>IF($AS543="","",INDEX('TMP Paste'!$L$2:$L$1601,$AS543))</f>
        <v/>
      </c>
      <c r="L543" t="str">
        <f>IF($AS543="","",INDEX('TMP Paste'!$I$2:$I$1601,$AS543))</f>
        <v/>
      </c>
      <c r="M543" t="str">
        <f>IF($AS543="","",Config!$B$16)</f>
        <v/>
      </c>
      <c r="N543" t="str">
        <f t="shared" si="48"/>
        <v/>
      </c>
      <c r="O543" t="str">
        <f>IF($AS543="","",INDEX('TMP Paste'!$K$2:$K$1601,$AS543))</f>
        <v/>
      </c>
      <c r="P543" t="str">
        <f t="shared" si="49"/>
        <v/>
      </c>
      <c r="Q543" t="str">
        <f>IF($AS543="","",INDEX('TMP Paste'!$J$2:$J$1601,$AS543))</f>
        <v/>
      </c>
      <c r="R543" t="str">
        <f>IF($AS543="","",Config!$B$24)</f>
        <v/>
      </c>
      <c r="S543" t="str">
        <f ca="1">IF($AS543="","",TEXT(Config!$B$4,"yyyy-mm-dd"))</f>
        <v/>
      </c>
      <c r="T543" t="str">
        <f>IF($AS543="","",Config!$B$17)</f>
        <v/>
      </c>
      <c r="U543" t="str">
        <f>IF($AS543="","",Config!$B$18)</f>
        <v/>
      </c>
      <c r="V543" t="str">
        <f>IF($AS543="","",Config!$B$19)</f>
        <v/>
      </c>
      <c r="W543" t="str">
        <f>IF($AS543="","",INDEX('TMP Paste'!$C$2:$C$1601,$AS543))</f>
        <v/>
      </c>
      <c r="X543" t="str">
        <f>IF($AS543="","",Config!$B$29)</f>
        <v/>
      </c>
      <c r="Y543" t="str">
        <f>IF($AT543="","",INDEX(Calc!$I$2:$I$1601,$AT543)&amp;" - "&amp;INDEX(Calc!$D$2:$D$1601,$AT543)&amp;" koli")</f>
        <v/>
      </c>
      <c r="Z543" t="str">
        <f>IF($AS543="","",Config!$B$21)</f>
        <v/>
      </c>
      <c r="AA543" t="str">
        <f>IF($AS543="","",Config!$B$22)</f>
        <v/>
      </c>
      <c r="AB543" t="str">
        <f>IF($AT543="","",INDEX(Calc!$D$2:$D$1601,$AT543))</f>
        <v/>
      </c>
      <c r="AC543" t="str">
        <f>IF($AT543="","",INDEX(Calc!$G$2:$G$1601,$AT543))</f>
        <v/>
      </c>
      <c r="AD543" t="str">
        <f>IF($AS543="","",Config!$B$23)</f>
        <v/>
      </c>
      <c r="AE543" t="str">
        <f>IF($AS543="","",Config!$B$28)</f>
        <v/>
      </c>
      <c r="AF543" t="str">
        <f t="shared" si="50"/>
        <v/>
      </c>
      <c r="AG543" t="str">
        <f t="shared" si="51"/>
        <v/>
      </c>
      <c r="AH543" t="str">
        <f t="shared" si="52"/>
        <v/>
      </c>
      <c r="AI543" t="str">
        <f>IF($AG543="","",SUMIF($AG$2:$AG543,$AG543,$AH$2:$AH543))</f>
        <v/>
      </c>
      <c r="AJ543" t="str">
        <f>IF('TMP Paste'!$F543="","",IF('TMP Paste'!$B543="",$AJ542,'TMP Paste'!$B543))</f>
        <v/>
      </c>
      <c r="AK543" t="str">
        <f>IF('TMP Paste'!$F543="","",N('TMP Paste'!$G543))</f>
        <v/>
      </c>
      <c r="AL543" t="str">
        <f>IF('TMP Paste'!$F543="","",IF('TMP Paste'!$M543="",$AL542,'TMP Paste'!$M543))</f>
        <v/>
      </c>
      <c r="AM543" t="str">
        <f>IF('TMP Paste'!$F543="","",IF('TMP Paste'!$N543="",$AM542,'TMP Paste'!$N543))</f>
        <v/>
      </c>
      <c r="AN543" t="str">
        <f>IF('TMP Paste'!$F543="","",IF('TMP Paste'!$O543="",$AN542,'TMP Paste'!$O543))</f>
        <v/>
      </c>
      <c r="AO543" t="str">
        <f>IF('TMP Paste'!$F543="","",IF('TMP Paste'!$P543="",$AO542,'TMP Paste'!$P543))</f>
        <v/>
      </c>
      <c r="AP543" t="str">
        <f t="shared" si="53"/>
        <v/>
      </c>
      <c r="AQ543" t="str">
        <f>IF($AS543="","",TRIM(IF(COUNTIFS(Calc!$B$2:$B$1601,ROW()-1,Calc!$C$2:$C$1601,"&lt;1")&gt;0,"Ada PO tanpa Koli - cek TMP. ","")&amp;IF(OR($AU543="",$AU543&lt;=0),"Volume kosong/0 - dimensi dikosongkan. ","")&amp;IF(AND($AU543&lt;&gt;"",$AU543&gt;=1000000),"Volume &gt;= 1.000.000 cm3 (di luar aturan) - dimensi dikosongkan. ","")&amp;IF(LEN($R543)&gt;500,"R &gt; 500 karakter.","")))</f>
        <v/>
      </c>
      <c r="AS543" t="str">
        <f>IFERROR(MATCH(ROW()-1,Calc!$J$2:$J$1601,0),"")</f>
        <v/>
      </c>
      <c r="AT543" t="str">
        <f>IFERROR(MATCH(ROW()-1,Calc!$K$2:$K$1601,0),"")</f>
        <v/>
      </c>
      <c r="AU543" t="str">
        <f>IF($AS543="","",IFERROR(INDEX('TMP Paste'!$D$2:$D$1601,$AS543)*1000000/$AB543,""))</f>
        <v/>
      </c>
    </row>
    <row r="544" spans="1:47">
      <c r="A544" t="str">
        <f>IF($AS544="","",INDEX('TMP Paste'!$B$2:$B$1601,$AS544))</f>
        <v/>
      </c>
      <c r="B544" t="str">
        <f>IF($AS544="","",Config!$B$14)</f>
        <v/>
      </c>
      <c r="C544" t="str">
        <f>IF($AS544="","",Config!$B$15)</f>
        <v/>
      </c>
      <c r="D544" t="str">
        <f>IF($AS544="","",INDEX('TMP Paste'!$B$2:$B$1601,$AS544))</f>
        <v/>
      </c>
      <c r="E544" t="str">
        <f>IF($AS544="","",Config!$B$27)</f>
        <v/>
      </c>
      <c r="F544" t="str">
        <f>IF($AS544="","",Config!$B$9)</f>
        <v/>
      </c>
      <c r="G544" t="str">
        <f>IF($AS544="","",Config!$B$10)</f>
        <v/>
      </c>
      <c r="H544" t="str">
        <f>IF($AS544="","",Config!$B$11)</f>
        <v/>
      </c>
      <c r="I544" t="str">
        <f>IF($AS544="","",Config!$B$16)</f>
        <v/>
      </c>
      <c r="J544" t="str">
        <f>IF($AS544="","",INDEX('TMP Paste'!$A$2:$A$1601,$AS544))</f>
        <v/>
      </c>
      <c r="K544" t="str">
        <f>IF($AS544="","",INDEX('TMP Paste'!$L$2:$L$1601,$AS544))</f>
        <v/>
      </c>
      <c r="L544" t="str">
        <f>IF($AS544="","",INDEX('TMP Paste'!$I$2:$I$1601,$AS544))</f>
        <v/>
      </c>
      <c r="M544" t="str">
        <f>IF($AS544="","",Config!$B$16)</f>
        <v/>
      </c>
      <c r="N544" t="str">
        <f t="shared" si="48"/>
        <v/>
      </c>
      <c r="O544" t="str">
        <f>IF($AS544="","",INDEX('TMP Paste'!$K$2:$K$1601,$AS544))</f>
        <v/>
      </c>
      <c r="P544" t="str">
        <f t="shared" si="49"/>
        <v/>
      </c>
      <c r="Q544" t="str">
        <f>IF($AS544="","",INDEX('TMP Paste'!$J$2:$J$1601,$AS544))</f>
        <v/>
      </c>
      <c r="R544" t="str">
        <f>IF($AS544="","",Config!$B$24)</f>
        <v/>
      </c>
      <c r="S544" t="str">
        <f ca="1">IF($AS544="","",TEXT(Config!$B$4,"yyyy-mm-dd"))</f>
        <v/>
      </c>
      <c r="T544" t="str">
        <f>IF($AS544="","",Config!$B$17)</f>
        <v/>
      </c>
      <c r="U544" t="str">
        <f>IF($AS544="","",Config!$B$18)</f>
        <v/>
      </c>
      <c r="V544" t="str">
        <f>IF($AS544="","",Config!$B$19)</f>
        <v/>
      </c>
      <c r="W544" t="str">
        <f>IF($AS544="","",INDEX('TMP Paste'!$C$2:$C$1601,$AS544))</f>
        <v/>
      </c>
      <c r="X544" t="str">
        <f>IF($AS544="","",Config!$B$29)</f>
        <v/>
      </c>
      <c r="Y544" t="str">
        <f>IF($AT544="","",INDEX(Calc!$I$2:$I$1601,$AT544)&amp;" - "&amp;INDEX(Calc!$D$2:$D$1601,$AT544)&amp;" koli")</f>
        <v/>
      </c>
      <c r="Z544" t="str">
        <f>IF($AS544="","",Config!$B$21)</f>
        <v/>
      </c>
      <c r="AA544" t="str">
        <f>IF($AS544="","",Config!$B$22)</f>
        <v/>
      </c>
      <c r="AB544" t="str">
        <f>IF($AT544="","",INDEX(Calc!$D$2:$D$1601,$AT544))</f>
        <v/>
      </c>
      <c r="AC544" t="str">
        <f>IF($AT544="","",INDEX(Calc!$G$2:$G$1601,$AT544))</f>
        <v/>
      </c>
      <c r="AD544" t="str">
        <f>IF($AS544="","",Config!$B$23)</f>
        <v/>
      </c>
      <c r="AE544" t="str">
        <f>IF($AS544="","",Config!$B$28)</f>
        <v/>
      </c>
      <c r="AF544" t="str">
        <f t="shared" si="50"/>
        <v/>
      </c>
      <c r="AG544" t="str">
        <f t="shared" si="51"/>
        <v/>
      </c>
      <c r="AH544" t="str">
        <f t="shared" si="52"/>
        <v/>
      </c>
      <c r="AI544" t="str">
        <f>IF($AG544="","",SUMIF($AG$2:$AG544,$AG544,$AH$2:$AH544))</f>
        <v/>
      </c>
      <c r="AJ544" t="str">
        <f>IF('TMP Paste'!$F544="","",IF('TMP Paste'!$B544="",$AJ543,'TMP Paste'!$B544))</f>
        <v/>
      </c>
      <c r="AK544" t="str">
        <f>IF('TMP Paste'!$F544="","",N('TMP Paste'!$G544))</f>
        <v/>
      </c>
      <c r="AL544" t="str">
        <f>IF('TMP Paste'!$F544="","",IF('TMP Paste'!$M544="",$AL543,'TMP Paste'!$M544))</f>
        <v/>
      </c>
      <c r="AM544" t="str">
        <f>IF('TMP Paste'!$F544="","",IF('TMP Paste'!$N544="",$AM543,'TMP Paste'!$N544))</f>
        <v/>
      </c>
      <c r="AN544" t="str">
        <f>IF('TMP Paste'!$F544="","",IF('TMP Paste'!$O544="",$AN543,'TMP Paste'!$O544))</f>
        <v/>
      </c>
      <c r="AO544" t="str">
        <f>IF('TMP Paste'!$F544="","",IF('TMP Paste'!$P544="",$AO543,'TMP Paste'!$P544))</f>
        <v/>
      </c>
      <c r="AP544" t="str">
        <f t="shared" si="53"/>
        <v/>
      </c>
      <c r="AQ544" t="str">
        <f>IF($AS544="","",TRIM(IF(COUNTIFS(Calc!$B$2:$B$1601,ROW()-1,Calc!$C$2:$C$1601,"&lt;1")&gt;0,"Ada PO tanpa Koli - cek TMP. ","")&amp;IF(OR($AU544="",$AU544&lt;=0),"Volume kosong/0 - dimensi dikosongkan. ","")&amp;IF(AND($AU544&lt;&gt;"",$AU544&gt;=1000000),"Volume &gt;= 1.000.000 cm3 (di luar aturan) - dimensi dikosongkan. ","")&amp;IF(LEN($R544)&gt;500,"R &gt; 500 karakter.","")))</f>
        <v/>
      </c>
      <c r="AS544" t="str">
        <f>IFERROR(MATCH(ROW()-1,Calc!$J$2:$J$1601,0),"")</f>
        <v/>
      </c>
      <c r="AT544" t="str">
        <f>IFERROR(MATCH(ROW()-1,Calc!$K$2:$K$1601,0),"")</f>
        <v/>
      </c>
      <c r="AU544" t="str">
        <f>IF($AS544="","",IFERROR(INDEX('TMP Paste'!$D$2:$D$1601,$AS544)*1000000/$AB544,""))</f>
        <v/>
      </c>
    </row>
    <row r="545" spans="1:47">
      <c r="A545" t="str">
        <f>IF($AS545="","",INDEX('TMP Paste'!$B$2:$B$1601,$AS545))</f>
        <v/>
      </c>
      <c r="B545" t="str">
        <f>IF($AS545="","",Config!$B$14)</f>
        <v/>
      </c>
      <c r="C545" t="str">
        <f>IF($AS545="","",Config!$B$15)</f>
        <v/>
      </c>
      <c r="D545" t="str">
        <f>IF($AS545="","",INDEX('TMP Paste'!$B$2:$B$1601,$AS545))</f>
        <v/>
      </c>
      <c r="E545" t="str">
        <f>IF($AS545="","",Config!$B$27)</f>
        <v/>
      </c>
      <c r="F545" t="str">
        <f>IF($AS545="","",Config!$B$9)</f>
        <v/>
      </c>
      <c r="G545" t="str">
        <f>IF($AS545="","",Config!$B$10)</f>
        <v/>
      </c>
      <c r="H545" t="str">
        <f>IF($AS545="","",Config!$B$11)</f>
        <v/>
      </c>
      <c r="I545" t="str">
        <f>IF($AS545="","",Config!$B$16)</f>
        <v/>
      </c>
      <c r="J545" t="str">
        <f>IF($AS545="","",INDEX('TMP Paste'!$A$2:$A$1601,$AS545))</f>
        <v/>
      </c>
      <c r="K545" t="str">
        <f>IF($AS545="","",INDEX('TMP Paste'!$L$2:$L$1601,$AS545))</f>
        <v/>
      </c>
      <c r="L545" t="str">
        <f>IF($AS545="","",INDEX('TMP Paste'!$I$2:$I$1601,$AS545))</f>
        <v/>
      </c>
      <c r="M545" t="str">
        <f>IF($AS545="","",Config!$B$16)</f>
        <v/>
      </c>
      <c r="N545" t="str">
        <f t="shared" si="48"/>
        <v/>
      </c>
      <c r="O545" t="str">
        <f>IF($AS545="","",INDEX('TMP Paste'!$K$2:$K$1601,$AS545))</f>
        <v/>
      </c>
      <c r="P545" t="str">
        <f t="shared" si="49"/>
        <v/>
      </c>
      <c r="Q545" t="str">
        <f>IF($AS545="","",INDEX('TMP Paste'!$J$2:$J$1601,$AS545))</f>
        <v/>
      </c>
      <c r="R545" t="str">
        <f>IF($AS545="","",Config!$B$24)</f>
        <v/>
      </c>
      <c r="S545" t="str">
        <f ca="1">IF($AS545="","",TEXT(Config!$B$4,"yyyy-mm-dd"))</f>
        <v/>
      </c>
      <c r="T545" t="str">
        <f>IF($AS545="","",Config!$B$17)</f>
        <v/>
      </c>
      <c r="U545" t="str">
        <f>IF($AS545="","",Config!$B$18)</f>
        <v/>
      </c>
      <c r="V545" t="str">
        <f>IF($AS545="","",Config!$B$19)</f>
        <v/>
      </c>
      <c r="W545" t="str">
        <f>IF($AS545="","",INDEX('TMP Paste'!$C$2:$C$1601,$AS545))</f>
        <v/>
      </c>
      <c r="X545" t="str">
        <f>IF($AS545="","",Config!$B$29)</f>
        <v/>
      </c>
      <c r="Y545" t="str">
        <f>IF($AT545="","",INDEX(Calc!$I$2:$I$1601,$AT545)&amp;" - "&amp;INDEX(Calc!$D$2:$D$1601,$AT545)&amp;" koli")</f>
        <v/>
      </c>
      <c r="Z545" t="str">
        <f>IF($AS545="","",Config!$B$21)</f>
        <v/>
      </c>
      <c r="AA545" t="str">
        <f>IF($AS545="","",Config!$B$22)</f>
        <v/>
      </c>
      <c r="AB545" t="str">
        <f>IF($AT545="","",INDEX(Calc!$D$2:$D$1601,$AT545))</f>
        <v/>
      </c>
      <c r="AC545" t="str">
        <f>IF($AT545="","",INDEX(Calc!$G$2:$G$1601,$AT545))</f>
        <v/>
      </c>
      <c r="AD545" t="str">
        <f>IF($AS545="","",Config!$B$23)</f>
        <v/>
      </c>
      <c r="AE545" t="str">
        <f>IF($AS545="","",Config!$B$28)</f>
        <v/>
      </c>
      <c r="AF545" t="str">
        <f t="shared" si="50"/>
        <v/>
      </c>
      <c r="AG545" t="str">
        <f t="shared" si="51"/>
        <v/>
      </c>
      <c r="AH545" t="str">
        <f t="shared" si="52"/>
        <v/>
      </c>
      <c r="AI545" t="str">
        <f>IF($AG545="","",SUMIF($AG$2:$AG545,$AG545,$AH$2:$AH545))</f>
        <v/>
      </c>
      <c r="AJ545" t="str">
        <f>IF('TMP Paste'!$F545="","",IF('TMP Paste'!$B545="",$AJ544,'TMP Paste'!$B545))</f>
        <v/>
      </c>
      <c r="AK545" t="str">
        <f>IF('TMP Paste'!$F545="","",N('TMP Paste'!$G545))</f>
        <v/>
      </c>
      <c r="AL545" t="str">
        <f>IF('TMP Paste'!$F545="","",IF('TMP Paste'!$M545="",$AL544,'TMP Paste'!$M545))</f>
        <v/>
      </c>
      <c r="AM545" t="str">
        <f>IF('TMP Paste'!$F545="","",IF('TMP Paste'!$N545="",$AM544,'TMP Paste'!$N545))</f>
        <v/>
      </c>
      <c r="AN545" t="str">
        <f>IF('TMP Paste'!$F545="","",IF('TMP Paste'!$O545="",$AN544,'TMP Paste'!$O545))</f>
        <v/>
      </c>
      <c r="AO545" t="str">
        <f>IF('TMP Paste'!$F545="","",IF('TMP Paste'!$P545="",$AO544,'TMP Paste'!$P545))</f>
        <v/>
      </c>
      <c r="AP545" t="str">
        <f t="shared" si="53"/>
        <v/>
      </c>
      <c r="AQ545" t="str">
        <f>IF($AS545="","",TRIM(IF(COUNTIFS(Calc!$B$2:$B$1601,ROW()-1,Calc!$C$2:$C$1601,"&lt;1")&gt;0,"Ada PO tanpa Koli - cek TMP. ","")&amp;IF(OR($AU545="",$AU545&lt;=0),"Volume kosong/0 - dimensi dikosongkan. ","")&amp;IF(AND($AU545&lt;&gt;"",$AU545&gt;=1000000),"Volume &gt;= 1.000.000 cm3 (di luar aturan) - dimensi dikosongkan. ","")&amp;IF(LEN($R545)&gt;500,"R &gt; 500 karakter.","")))</f>
        <v/>
      </c>
      <c r="AS545" t="str">
        <f>IFERROR(MATCH(ROW()-1,Calc!$J$2:$J$1601,0),"")</f>
        <v/>
      </c>
      <c r="AT545" t="str">
        <f>IFERROR(MATCH(ROW()-1,Calc!$K$2:$K$1601,0),"")</f>
        <v/>
      </c>
      <c r="AU545" t="str">
        <f>IF($AS545="","",IFERROR(INDEX('TMP Paste'!$D$2:$D$1601,$AS545)*1000000/$AB545,""))</f>
        <v/>
      </c>
    </row>
    <row r="546" spans="1:47">
      <c r="A546" t="str">
        <f>IF($AS546="","",INDEX('TMP Paste'!$B$2:$B$1601,$AS546))</f>
        <v/>
      </c>
      <c r="B546" t="str">
        <f>IF($AS546="","",Config!$B$14)</f>
        <v/>
      </c>
      <c r="C546" t="str">
        <f>IF($AS546="","",Config!$B$15)</f>
        <v/>
      </c>
      <c r="D546" t="str">
        <f>IF($AS546="","",INDEX('TMP Paste'!$B$2:$B$1601,$AS546))</f>
        <v/>
      </c>
      <c r="E546" t="str">
        <f>IF($AS546="","",Config!$B$27)</f>
        <v/>
      </c>
      <c r="F546" t="str">
        <f>IF($AS546="","",Config!$B$9)</f>
        <v/>
      </c>
      <c r="G546" t="str">
        <f>IF($AS546="","",Config!$B$10)</f>
        <v/>
      </c>
      <c r="H546" t="str">
        <f>IF($AS546="","",Config!$B$11)</f>
        <v/>
      </c>
      <c r="I546" t="str">
        <f>IF($AS546="","",Config!$B$16)</f>
        <v/>
      </c>
      <c r="J546" t="str">
        <f>IF($AS546="","",INDEX('TMP Paste'!$A$2:$A$1601,$AS546))</f>
        <v/>
      </c>
      <c r="K546" t="str">
        <f>IF($AS546="","",INDEX('TMP Paste'!$L$2:$L$1601,$AS546))</f>
        <v/>
      </c>
      <c r="L546" t="str">
        <f>IF($AS546="","",INDEX('TMP Paste'!$I$2:$I$1601,$AS546))</f>
        <v/>
      </c>
      <c r="M546" t="str">
        <f>IF($AS546="","",Config!$B$16)</f>
        <v/>
      </c>
      <c r="N546" t="str">
        <f t="shared" si="48"/>
        <v/>
      </c>
      <c r="O546" t="str">
        <f>IF($AS546="","",INDEX('TMP Paste'!$K$2:$K$1601,$AS546))</f>
        <v/>
      </c>
      <c r="P546" t="str">
        <f t="shared" si="49"/>
        <v/>
      </c>
      <c r="Q546" t="str">
        <f>IF($AS546="","",INDEX('TMP Paste'!$J$2:$J$1601,$AS546))</f>
        <v/>
      </c>
      <c r="R546" t="str">
        <f>IF($AS546="","",Config!$B$24)</f>
        <v/>
      </c>
      <c r="S546" t="str">
        <f ca="1">IF($AS546="","",TEXT(Config!$B$4,"yyyy-mm-dd"))</f>
        <v/>
      </c>
      <c r="T546" t="str">
        <f>IF($AS546="","",Config!$B$17)</f>
        <v/>
      </c>
      <c r="U546" t="str">
        <f>IF($AS546="","",Config!$B$18)</f>
        <v/>
      </c>
      <c r="V546" t="str">
        <f>IF($AS546="","",Config!$B$19)</f>
        <v/>
      </c>
      <c r="W546" t="str">
        <f>IF($AS546="","",INDEX('TMP Paste'!$C$2:$C$1601,$AS546))</f>
        <v/>
      </c>
      <c r="X546" t="str">
        <f>IF($AS546="","",Config!$B$29)</f>
        <v/>
      </c>
      <c r="Y546" t="str">
        <f>IF($AT546="","",INDEX(Calc!$I$2:$I$1601,$AT546)&amp;" - "&amp;INDEX(Calc!$D$2:$D$1601,$AT546)&amp;" koli")</f>
        <v/>
      </c>
      <c r="Z546" t="str">
        <f>IF($AS546="","",Config!$B$21)</f>
        <v/>
      </c>
      <c r="AA546" t="str">
        <f>IF($AS546="","",Config!$B$22)</f>
        <v/>
      </c>
      <c r="AB546" t="str">
        <f>IF($AT546="","",INDEX(Calc!$D$2:$D$1601,$AT546))</f>
        <v/>
      </c>
      <c r="AC546" t="str">
        <f>IF($AT546="","",INDEX(Calc!$G$2:$G$1601,$AT546))</f>
        <v/>
      </c>
      <c r="AD546" t="str">
        <f>IF($AS546="","",Config!$B$23)</f>
        <v/>
      </c>
      <c r="AE546" t="str">
        <f>IF($AS546="","",Config!$B$28)</f>
        <v/>
      </c>
      <c r="AF546" t="str">
        <f t="shared" si="50"/>
        <v/>
      </c>
      <c r="AG546" t="str">
        <f t="shared" si="51"/>
        <v/>
      </c>
      <c r="AH546" t="str">
        <f t="shared" si="52"/>
        <v/>
      </c>
      <c r="AI546" t="str">
        <f>IF($AG546="","",SUMIF($AG$2:$AG546,$AG546,$AH$2:$AH546))</f>
        <v/>
      </c>
      <c r="AJ546" t="str">
        <f>IF('TMP Paste'!$F546="","",IF('TMP Paste'!$B546="",$AJ545,'TMP Paste'!$B546))</f>
        <v/>
      </c>
      <c r="AK546" t="str">
        <f>IF('TMP Paste'!$F546="","",N('TMP Paste'!$G546))</f>
        <v/>
      </c>
      <c r="AL546" t="str">
        <f>IF('TMP Paste'!$F546="","",IF('TMP Paste'!$M546="",$AL545,'TMP Paste'!$M546))</f>
        <v/>
      </c>
      <c r="AM546" t="str">
        <f>IF('TMP Paste'!$F546="","",IF('TMP Paste'!$N546="",$AM545,'TMP Paste'!$N546))</f>
        <v/>
      </c>
      <c r="AN546" t="str">
        <f>IF('TMP Paste'!$F546="","",IF('TMP Paste'!$O546="",$AN545,'TMP Paste'!$O546))</f>
        <v/>
      </c>
      <c r="AO546" t="str">
        <f>IF('TMP Paste'!$F546="","",IF('TMP Paste'!$P546="",$AO545,'TMP Paste'!$P546))</f>
        <v/>
      </c>
      <c r="AP546" t="str">
        <f t="shared" si="53"/>
        <v/>
      </c>
      <c r="AQ546" t="str">
        <f>IF($AS546="","",TRIM(IF(COUNTIFS(Calc!$B$2:$B$1601,ROW()-1,Calc!$C$2:$C$1601,"&lt;1")&gt;0,"Ada PO tanpa Koli - cek TMP. ","")&amp;IF(OR($AU546="",$AU546&lt;=0),"Volume kosong/0 - dimensi dikosongkan. ","")&amp;IF(AND($AU546&lt;&gt;"",$AU546&gt;=1000000),"Volume &gt;= 1.000.000 cm3 (di luar aturan) - dimensi dikosongkan. ","")&amp;IF(LEN($R546)&gt;500,"R &gt; 500 karakter.","")))</f>
        <v/>
      </c>
      <c r="AS546" t="str">
        <f>IFERROR(MATCH(ROW()-1,Calc!$J$2:$J$1601,0),"")</f>
        <v/>
      </c>
      <c r="AT546" t="str">
        <f>IFERROR(MATCH(ROW()-1,Calc!$K$2:$K$1601,0),"")</f>
        <v/>
      </c>
      <c r="AU546" t="str">
        <f>IF($AS546="","",IFERROR(INDEX('TMP Paste'!$D$2:$D$1601,$AS546)*1000000/$AB546,""))</f>
        <v/>
      </c>
    </row>
    <row r="547" spans="1:47">
      <c r="A547" t="str">
        <f>IF($AS547="","",INDEX('TMP Paste'!$B$2:$B$1601,$AS547))</f>
        <v/>
      </c>
      <c r="B547" t="str">
        <f>IF($AS547="","",Config!$B$14)</f>
        <v/>
      </c>
      <c r="C547" t="str">
        <f>IF($AS547="","",Config!$B$15)</f>
        <v/>
      </c>
      <c r="D547" t="str">
        <f>IF($AS547="","",INDEX('TMP Paste'!$B$2:$B$1601,$AS547))</f>
        <v/>
      </c>
      <c r="E547" t="str">
        <f>IF($AS547="","",Config!$B$27)</f>
        <v/>
      </c>
      <c r="F547" t="str">
        <f>IF($AS547="","",Config!$B$9)</f>
        <v/>
      </c>
      <c r="G547" t="str">
        <f>IF($AS547="","",Config!$B$10)</f>
        <v/>
      </c>
      <c r="H547" t="str">
        <f>IF($AS547="","",Config!$B$11)</f>
        <v/>
      </c>
      <c r="I547" t="str">
        <f>IF($AS547="","",Config!$B$16)</f>
        <v/>
      </c>
      <c r="J547" t="str">
        <f>IF($AS547="","",INDEX('TMP Paste'!$A$2:$A$1601,$AS547))</f>
        <v/>
      </c>
      <c r="K547" t="str">
        <f>IF($AS547="","",INDEX('TMP Paste'!$L$2:$L$1601,$AS547))</f>
        <v/>
      </c>
      <c r="L547" t="str">
        <f>IF($AS547="","",INDEX('TMP Paste'!$I$2:$I$1601,$AS547))</f>
        <v/>
      </c>
      <c r="M547" t="str">
        <f>IF($AS547="","",Config!$B$16)</f>
        <v/>
      </c>
      <c r="N547" t="str">
        <f t="shared" si="48"/>
        <v/>
      </c>
      <c r="O547" t="str">
        <f>IF($AS547="","",INDEX('TMP Paste'!$K$2:$K$1601,$AS547))</f>
        <v/>
      </c>
      <c r="P547" t="str">
        <f t="shared" si="49"/>
        <v/>
      </c>
      <c r="Q547" t="str">
        <f>IF($AS547="","",INDEX('TMP Paste'!$J$2:$J$1601,$AS547))</f>
        <v/>
      </c>
      <c r="R547" t="str">
        <f>IF($AS547="","",Config!$B$24)</f>
        <v/>
      </c>
      <c r="S547" t="str">
        <f ca="1">IF($AS547="","",TEXT(Config!$B$4,"yyyy-mm-dd"))</f>
        <v/>
      </c>
      <c r="T547" t="str">
        <f>IF($AS547="","",Config!$B$17)</f>
        <v/>
      </c>
      <c r="U547" t="str">
        <f>IF($AS547="","",Config!$B$18)</f>
        <v/>
      </c>
      <c r="V547" t="str">
        <f>IF($AS547="","",Config!$B$19)</f>
        <v/>
      </c>
      <c r="W547" t="str">
        <f>IF($AS547="","",INDEX('TMP Paste'!$C$2:$C$1601,$AS547))</f>
        <v/>
      </c>
      <c r="X547" t="str">
        <f>IF($AS547="","",Config!$B$29)</f>
        <v/>
      </c>
      <c r="Y547" t="str">
        <f>IF($AT547="","",INDEX(Calc!$I$2:$I$1601,$AT547)&amp;" - "&amp;INDEX(Calc!$D$2:$D$1601,$AT547)&amp;" koli")</f>
        <v/>
      </c>
      <c r="Z547" t="str">
        <f>IF($AS547="","",Config!$B$21)</f>
        <v/>
      </c>
      <c r="AA547" t="str">
        <f>IF($AS547="","",Config!$B$22)</f>
        <v/>
      </c>
      <c r="AB547" t="str">
        <f>IF($AT547="","",INDEX(Calc!$D$2:$D$1601,$AT547))</f>
        <v/>
      </c>
      <c r="AC547" t="str">
        <f>IF($AT547="","",INDEX(Calc!$G$2:$G$1601,$AT547))</f>
        <v/>
      </c>
      <c r="AD547" t="str">
        <f>IF($AS547="","",Config!$B$23)</f>
        <v/>
      </c>
      <c r="AE547" t="str">
        <f>IF($AS547="","",Config!$B$28)</f>
        <v/>
      </c>
      <c r="AF547" t="str">
        <f t="shared" si="50"/>
        <v/>
      </c>
      <c r="AG547" t="str">
        <f t="shared" si="51"/>
        <v/>
      </c>
      <c r="AH547" t="str">
        <f t="shared" si="52"/>
        <v/>
      </c>
      <c r="AI547" t="str">
        <f>IF($AG547="","",SUMIF($AG$2:$AG547,$AG547,$AH$2:$AH547))</f>
        <v/>
      </c>
      <c r="AJ547" t="str">
        <f>IF('TMP Paste'!$F547="","",IF('TMP Paste'!$B547="",$AJ546,'TMP Paste'!$B547))</f>
        <v/>
      </c>
      <c r="AK547" t="str">
        <f>IF('TMP Paste'!$F547="","",N('TMP Paste'!$G547))</f>
        <v/>
      </c>
      <c r="AL547" t="str">
        <f>IF('TMP Paste'!$F547="","",IF('TMP Paste'!$M547="",$AL546,'TMP Paste'!$M547))</f>
        <v/>
      </c>
      <c r="AM547" t="str">
        <f>IF('TMP Paste'!$F547="","",IF('TMP Paste'!$N547="",$AM546,'TMP Paste'!$N547))</f>
        <v/>
      </c>
      <c r="AN547" t="str">
        <f>IF('TMP Paste'!$F547="","",IF('TMP Paste'!$O547="",$AN546,'TMP Paste'!$O547))</f>
        <v/>
      </c>
      <c r="AO547" t="str">
        <f>IF('TMP Paste'!$F547="","",IF('TMP Paste'!$P547="",$AO546,'TMP Paste'!$P547))</f>
        <v/>
      </c>
      <c r="AP547" t="str">
        <f t="shared" si="53"/>
        <v/>
      </c>
      <c r="AQ547" t="str">
        <f>IF($AS547="","",TRIM(IF(COUNTIFS(Calc!$B$2:$B$1601,ROW()-1,Calc!$C$2:$C$1601,"&lt;1")&gt;0,"Ada PO tanpa Koli - cek TMP. ","")&amp;IF(OR($AU547="",$AU547&lt;=0),"Volume kosong/0 - dimensi dikosongkan. ","")&amp;IF(AND($AU547&lt;&gt;"",$AU547&gt;=1000000),"Volume &gt;= 1.000.000 cm3 (di luar aturan) - dimensi dikosongkan. ","")&amp;IF(LEN($R547)&gt;500,"R &gt; 500 karakter.","")))</f>
        <v/>
      </c>
      <c r="AS547" t="str">
        <f>IFERROR(MATCH(ROW()-1,Calc!$J$2:$J$1601,0),"")</f>
        <v/>
      </c>
      <c r="AT547" t="str">
        <f>IFERROR(MATCH(ROW()-1,Calc!$K$2:$K$1601,0),"")</f>
        <v/>
      </c>
      <c r="AU547" t="str">
        <f>IF($AS547="","",IFERROR(INDEX('TMP Paste'!$D$2:$D$1601,$AS547)*1000000/$AB547,""))</f>
        <v/>
      </c>
    </row>
    <row r="548" spans="1:47">
      <c r="A548" t="str">
        <f>IF($AS548="","",INDEX('TMP Paste'!$B$2:$B$1601,$AS548))</f>
        <v/>
      </c>
      <c r="B548" t="str">
        <f>IF($AS548="","",Config!$B$14)</f>
        <v/>
      </c>
      <c r="C548" t="str">
        <f>IF($AS548="","",Config!$B$15)</f>
        <v/>
      </c>
      <c r="D548" t="str">
        <f>IF($AS548="","",INDEX('TMP Paste'!$B$2:$B$1601,$AS548))</f>
        <v/>
      </c>
      <c r="E548" t="str">
        <f>IF($AS548="","",Config!$B$27)</f>
        <v/>
      </c>
      <c r="F548" t="str">
        <f>IF($AS548="","",Config!$B$9)</f>
        <v/>
      </c>
      <c r="G548" t="str">
        <f>IF($AS548="","",Config!$B$10)</f>
        <v/>
      </c>
      <c r="H548" t="str">
        <f>IF($AS548="","",Config!$B$11)</f>
        <v/>
      </c>
      <c r="I548" t="str">
        <f>IF($AS548="","",Config!$B$16)</f>
        <v/>
      </c>
      <c r="J548" t="str">
        <f>IF($AS548="","",INDEX('TMP Paste'!$A$2:$A$1601,$AS548))</f>
        <v/>
      </c>
      <c r="K548" t="str">
        <f>IF($AS548="","",INDEX('TMP Paste'!$L$2:$L$1601,$AS548))</f>
        <v/>
      </c>
      <c r="L548" t="str">
        <f>IF($AS548="","",INDEX('TMP Paste'!$I$2:$I$1601,$AS548))</f>
        <v/>
      </c>
      <c r="M548" t="str">
        <f>IF($AS548="","",Config!$B$16)</f>
        <v/>
      </c>
      <c r="N548" t="str">
        <f t="shared" si="48"/>
        <v/>
      </c>
      <c r="O548" t="str">
        <f>IF($AS548="","",INDEX('TMP Paste'!$K$2:$K$1601,$AS548))</f>
        <v/>
      </c>
      <c r="P548" t="str">
        <f t="shared" si="49"/>
        <v/>
      </c>
      <c r="Q548" t="str">
        <f>IF($AS548="","",INDEX('TMP Paste'!$J$2:$J$1601,$AS548))</f>
        <v/>
      </c>
      <c r="R548" t="str">
        <f>IF($AS548="","",Config!$B$24)</f>
        <v/>
      </c>
      <c r="S548" t="str">
        <f ca="1">IF($AS548="","",TEXT(Config!$B$4,"yyyy-mm-dd"))</f>
        <v/>
      </c>
      <c r="T548" t="str">
        <f>IF($AS548="","",Config!$B$17)</f>
        <v/>
      </c>
      <c r="U548" t="str">
        <f>IF($AS548="","",Config!$B$18)</f>
        <v/>
      </c>
      <c r="V548" t="str">
        <f>IF($AS548="","",Config!$B$19)</f>
        <v/>
      </c>
      <c r="W548" t="str">
        <f>IF($AS548="","",INDEX('TMP Paste'!$C$2:$C$1601,$AS548))</f>
        <v/>
      </c>
      <c r="X548" t="str">
        <f>IF($AS548="","",Config!$B$29)</f>
        <v/>
      </c>
      <c r="Y548" t="str">
        <f>IF($AT548="","",INDEX(Calc!$I$2:$I$1601,$AT548)&amp;" - "&amp;INDEX(Calc!$D$2:$D$1601,$AT548)&amp;" koli")</f>
        <v/>
      </c>
      <c r="Z548" t="str">
        <f>IF($AS548="","",Config!$B$21)</f>
        <v/>
      </c>
      <c r="AA548" t="str">
        <f>IF($AS548="","",Config!$B$22)</f>
        <v/>
      </c>
      <c r="AB548" t="str">
        <f>IF($AT548="","",INDEX(Calc!$D$2:$D$1601,$AT548))</f>
        <v/>
      </c>
      <c r="AC548" t="str">
        <f>IF($AT548="","",INDEX(Calc!$G$2:$G$1601,$AT548))</f>
        <v/>
      </c>
      <c r="AD548" t="str">
        <f>IF($AS548="","",Config!$B$23)</f>
        <v/>
      </c>
      <c r="AE548" t="str">
        <f>IF($AS548="","",Config!$B$28)</f>
        <v/>
      </c>
      <c r="AF548" t="str">
        <f t="shared" si="50"/>
        <v/>
      </c>
      <c r="AG548" t="str">
        <f t="shared" si="51"/>
        <v/>
      </c>
      <c r="AH548" t="str">
        <f t="shared" si="52"/>
        <v/>
      </c>
      <c r="AI548" t="str">
        <f>IF($AG548="","",SUMIF($AG$2:$AG548,$AG548,$AH$2:$AH548))</f>
        <v/>
      </c>
      <c r="AJ548" t="str">
        <f>IF('TMP Paste'!$F548="","",IF('TMP Paste'!$B548="",$AJ547,'TMP Paste'!$B548))</f>
        <v/>
      </c>
      <c r="AK548" t="str">
        <f>IF('TMP Paste'!$F548="","",N('TMP Paste'!$G548))</f>
        <v/>
      </c>
      <c r="AL548" t="str">
        <f>IF('TMP Paste'!$F548="","",IF('TMP Paste'!$M548="",$AL547,'TMP Paste'!$M548))</f>
        <v/>
      </c>
      <c r="AM548" t="str">
        <f>IF('TMP Paste'!$F548="","",IF('TMP Paste'!$N548="",$AM547,'TMP Paste'!$N548))</f>
        <v/>
      </c>
      <c r="AN548" t="str">
        <f>IF('TMP Paste'!$F548="","",IF('TMP Paste'!$O548="",$AN547,'TMP Paste'!$O548))</f>
        <v/>
      </c>
      <c r="AO548" t="str">
        <f>IF('TMP Paste'!$F548="","",IF('TMP Paste'!$P548="",$AO547,'TMP Paste'!$P548))</f>
        <v/>
      </c>
      <c r="AP548" t="str">
        <f t="shared" si="53"/>
        <v/>
      </c>
      <c r="AQ548" t="str">
        <f>IF($AS548="","",TRIM(IF(COUNTIFS(Calc!$B$2:$B$1601,ROW()-1,Calc!$C$2:$C$1601,"&lt;1")&gt;0,"Ada PO tanpa Koli - cek TMP. ","")&amp;IF(OR($AU548="",$AU548&lt;=0),"Volume kosong/0 - dimensi dikosongkan. ","")&amp;IF(AND($AU548&lt;&gt;"",$AU548&gt;=1000000),"Volume &gt;= 1.000.000 cm3 (di luar aturan) - dimensi dikosongkan. ","")&amp;IF(LEN($R548)&gt;500,"R &gt; 500 karakter.","")))</f>
        <v/>
      </c>
      <c r="AS548" t="str">
        <f>IFERROR(MATCH(ROW()-1,Calc!$J$2:$J$1601,0),"")</f>
        <v/>
      </c>
      <c r="AT548" t="str">
        <f>IFERROR(MATCH(ROW()-1,Calc!$K$2:$K$1601,0),"")</f>
        <v/>
      </c>
      <c r="AU548" t="str">
        <f>IF($AS548="","",IFERROR(INDEX('TMP Paste'!$D$2:$D$1601,$AS548)*1000000/$AB548,""))</f>
        <v/>
      </c>
    </row>
    <row r="549" spans="1:47">
      <c r="A549" t="str">
        <f>IF($AS549="","",INDEX('TMP Paste'!$B$2:$B$1601,$AS549))</f>
        <v/>
      </c>
      <c r="B549" t="str">
        <f>IF($AS549="","",Config!$B$14)</f>
        <v/>
      </c>
      <c r="C549" t="str">
        <f>IF($AS549="","",Config!$B$15)</f>
        <v/>
      </c>
      <c r="D549" t="str">
        <f>IF($AS549="","",INDEX('TMP Paste'!$B$2:$B$1601,$AS549))</f>
        <v/>
      </c>
      <c r="E549" t="str">
        <f>IF($AS549="","",Config!$B$27)</f>
        <v/>
      </c>
      <c r="F549" t="str">
        <f>IF($AS549="","",Config!$B$9)</f>
        <v/>
      </c>
      <c r="G549" t="str">
        <f>IF($AS549="","",Config!$B$10)</f>
        <v/>
      </c>
      <c r="H549" t="str">
        <f>IF($AS549="","",Config!$B$11)</f>
        <v/>
      </c>
      <c r="I549" t="str">
        <f>IF($AS549="","",Config!$B$16)</f>
        <v/>
      </c>
      <c r="J549" t="str">
        <f>IF($AS549="","",INDEX('TMP Paste'!$A$2:$A$1601,$AS549))</f>
        <v/>
      </c>
      <c r="K549" t="str">
        <f>IF($AS549="","",INDEX('TMP Paste'!$L$2:$L$1601,$AS549))</f>
        <v/>
      </c>
      <c r="L549" t="str">
        <f>IF($AS549="","",INDEX('TMP Paste'!$I$2:$I$1601,$AS549))</f>
        <v/>
      </c>
      <c r="M549" t="str">
        <f>IF($AS549="","",Config!$B$16)</f>
        <v/>
      </c>
      <c r="N549" t="str">
        <f t="shared" si="48"/>
        <v/>
      </c>
      <c r="O549" t="str">
        <f>IF($AS549="","",INDEX('TMP Paste'!$K$2:$K$1601,$AS549))</f>
        <v/>
      </c>
      <c r="P549" t="str">
        <f t="shared" si="49"/>
        <v/>
      </c>
      <c r="Q549" t="str">
        <f>IF($AS549="","",INDEX('TMP Paste'!$J$2:$J$1601,$AS549))</f>
        <v/>
      </c>
      <c r="R549" t="str">
        <f>IF($AS549="","",Config!$B$24)</f>
        <v/>
      </c>
      <c r="S549" t="str">
        <f ca="1">IF($AS549="","",TEXT(Config!$B$4,"yyyy-mm-dd"))</f>
        <v/>
      </c>
      <c r="T549" t="str">
        <f>IF($AS549="","",Config!$B$17)</f>
        <v/>
      </c>
      <c r="U549" t="str">
        <f>IF($AS549="","",Config!$B$18)</f>
        <v/>
      </c>
      <c r="V549" t="str">
        <f>IF($AS549="","",Config!$B$19)</f>
        <v/>
      </c>
      <c r="W549" t="str">
        <f>IF($AS549="","",INDEX('TMP Paste'!$C$2:$C$1601,$AS549))</f>
        <v/>
      </c>
      <c r="X549" t="str">
        <f>IF($AS549="","",Config!$B$29)</f>
        <v/>
      </c>
      <c r="Y549" t="str">
        <f>IF($AT549="","",INDEX(Calc!$I$2:$I$1601,$AT549)&amp;" - "&amp;INDEX(Calc!$D$2:$D$1601,$AT549)&amp;" koli")</f>
        <v/>
      </c>
      <c r="Z549" t="str">
        <f>IF($AS549="","",Config!$B$21)</f>
        <v/>
      </c>
      <c r="AA549" t="str">
        <f>IF($AS549="","",Config!$B$22)</f>
        <v/>
      </c>
      <c r="AB549" t="str">
        <f>IF($AT549="","",INDEX(Calc!$D$2:$D$1601,$AT549))</f>
        <v/>
      </c>
      <c r="AC549" t="str">
        <f>IF($AT549="","",INDEX(Calc!$G$2:$G$1601,$AT549))</f>
        <v/>
      </c>
      <c r="AD549" t="str">
        <f>IF($AS549="","",Config!$B$23)</f>
        <v/>
      </c>
      <c r="AE549" t="str">
        <f>IF($AS549="","",Config!$B$28)</f>
        <v/>
      </c>
      <c r="AF549" t="str">
        <f t="shared" si="50"/>
        <v/>
      </c>
      <c r="AG549" t="str">
        <f t="shared" si="51"/>
        <v/>
      </c>
      <c r="AH549" t="str">
        <f t="shared" si="52"/>
        <v/>
      </c>
      <c r="AI549" t="str">
        <f>IF($AG549="","",SUMIF($AG$2:$AG549,$AG549,$AH$2:$AH549))</f>
        <v/>
      </c>
      <c r="AJ549" t="str">
        <f>IF('TMP Paste'!$F549="","",IF('TMP Paste'!$B549="",$AJ548,'TMP Paste'!$B549))</f>
        <v/>
      </c>
      <c r="AK549" t="str">
        <f>IF('TMP Paste'!$F549="","",N('TMP Paste'!$G549))</f>
        <v/>
      </c>
      <c r="AL549" t="str">
        <f>IF('TMP Paste'!$F549="","",IF('TMP Paste'!$M549="",$AL548,'TMP Paste'!$M549))</f>
        <v/>
      </c>
      <c r="AM549" t="str">
        <f>IF('TMP Paste'!$F549="","",IF('TMP Paste'!$N549="",$AM548,'TMP Paste'!$N549))</f>
        <v/>
      </c>
      <c r="AN549" t="str">
        <f>IF('TMP Paste'!$F549="","",IF('TMP Paste'!$O549="",$AN548,'TMP Paste'!$O549))</f>
        <v/>
      </c>
      <c r="AO549" t="str">
        <f>IF('TMP Paste'!$F549="","",IF('TMP Paste'!$P549="",$AO548,'TMP Paste'!$P549))</f>
        <v/>
      </c>
      <c r="AP549" t="str">
        <f t="shared" si="53"/>
        <v/>
      </c>
      <c r="AQ549" t="str">
        <f>IF($AS549="","",TRIM(IF(COUNTIFS(Calc!$B$2:$B$1601,ROW()-1,Calc!$C$2:$C$1601,"&lt;1")&gt;0,"Ada PO tanpa Koli - cek TMP. ","")&amp;IF(OR($AU549="",$AU549&lt;=0),"Volume kosong/0 - dimensi dikosongkan. ","")&amp;IF(AND($AU549&lt;&gt;"",$AU549&gt;=1000000),"Volume &gt;= 1.000.000 cm3 (di luar aturan) - dimensi dikosongkan. ","")&amp;IF(LEN($R549)&gt;500,"R &gt; 500 karakter.","")))</f>
        <v/>
      </c>
      <c r="AS549" t="str">
        <f>IFERROR(MATCH(ROW()-1,Calc!$J$2:$J$1601,0),"")</f>
        <v/>
      </c>
      <c r="AT549" t="str">
        <f>IFERROR(MATCH(ROW()-1,Calc!$K$2:$K$1601,0),"")</f>
        <v/>
      </c>
      <c r="AU549" t="str">
        <f>IF($AS549="","",IFERROR(INDEX('TMP Paste'!$D$2:$D$1601,$AS549)*1000000/$AB549,""))</f>
        <v/>
      </c>
    </row>
    <row r="550" spans="1:47">
      <c r="A550" t="str">
        <f>IF($AS550="","",INDEX('TMP Paste'!$B$2:$B$1601,$AS550))</f>
        <v/>
      </c>
      <c r="B550" t="str">
        <f>IF($AS550="","",Config!$B$14)</f>
        <v/>
      </c>
      <c r="C550" t="str">
        <f>IF($AS550="","",Config!$B$15)</f>
        <v/>
      </c>
      <c r="D550" t="str">
        <f>IF($AS550="","",INDEX('TMP Paste'!$B$2:$B$1601,$AS550))</f>
        <v/>
      </c>
      <c r="E550" t="str">
        <f>IF($AS550="","",Config!$B$27)</f>
        <v/>
      </c>
      <c r="F550" t="str">
        <f>IF($AS550="","",Config!$B$9)</f>
        <v/>
      </c>
      <c r="G550" t="str">
        <f>IF($AS550="","",Config!$B$10)</f>
        <v/>
      </c>
      <c r="H550" t="str">
        <f>IF($AS550="","",Config!$B$11)</f>
        <v/>
      </c>
      <c r="I550" t="str">
        <f>IF($AS550="","",Config!$B$16)</f>
        <v/>
      </c>
      <c r="J550" t="str">
        <f>IF($AS550="","",INDEX('TMP Paste'!$A$2:$A$1601,$AS550))</f>
        <v/>
      </c>
      <c r="K550" t="str">
        <f>IF($AS550="","",INDEX('TMP Paste'!$L$2:$L$1601,$AS550))</f>
        <v/>
      </c>
      <c r="L550" t="str">
        <f>IF($AS550="","",INDEX('TMP Paste'!$I$2:$I$1601,$AS550))</f>
        <v/>
      </c>
      <c r="M550" t="str">
        <f>IF($AS550="","",Config!$B$16)</f>
        <v/>
      </c>
      <c r="N550" t="str">
        <f t="shared" si="48"/>
        <v/>
      </c>
      <c r="O550" t="str">
        <f>IF($AS550="","",INDEX('TMP Paste'!$K$2:$K$1601,$AS550))</f>
        <v/>
      </c>
      <c r="P550" t="str">
        <f t="shared" si="49"/>
        <v/>
      </c>
      <c r="Q550" t="str">
        <f>IF($AS550="","",INDEX('TMP Paste'!$J$2:$J$1601,$AS550))</f>
        <v/>
      </c>
      <c r="R550" t="str">
        <f>IF($AS550="","",Config!$B$24)</f>
        <v/>
      </c>
      <c r="S550" t="str">
        <f ca="1">IF($AS550="","",TEXT(Config!$B$4,"yyyy-mm-dd"))</f>
        <v/>
      </c>
      <c r="T550" t="str">
        <f>IF($AS550="","",Config!$B$17)</f>
        <v/>
      </c>
      <c r="U550" t="str">
        <f>IF($AS550="","",Config!$B$18)</f>
        <v/>
      </c>
      <c r="V550" t="str">
        <f>IF($AS550="","",Config!$B$19)</f>
        <v/>
      </c>
      <c r="W550" t="str">
        <f>IF($AS550="","",INDEX('TMP Paste'!$C$2:$C$1601,$AS550))</f>
        <v/>
      </c>
      <c r="X550" t="str">
        <f>IF($AS550="","",Config!$B$29)</f>
        <v/>
      </c>
      <c r="Y550" t="str">
        <f>IF($AT550="","",INDEX(Calc!$I$2:$I$1601,$AT550)&amp;" - "&amp;INDEX(Calc!$D$2:$D$1601,$AT550)&amp;" koli")</f>
        <v/>
      </c>
      <c r="Z550" t="str">
        <f>IF($AS550="","",Config!$B$21)</f>
        <v/>
      </c>
      <c r="AA550" t="str">
        <f>IF($AS550="","",Config!$B$22)</f>
        <v/>
      </c>
      <c r="AB550" t="str">
        <f>IF($AT550="","",INDEX(Calc!$D$2:$D$1601,$AT550))</f>
        <v/>
      </c>
      <c r="AC550" t="str">
        <f>IF($AT550="","",INDEX(Calc!$G$2:$G$1601,$AT550))</f>
        <v/>
      </c>
      <c r="AD550" t="str">
        <f>IF($AS550="","",Config!$B$23)</f>
        <v/>
      </c>
      <c r="AE550" t="str">
        <f>IF($AS550="","",Config!$B$28)</f>
        <v/>
      </c>
      <c r="AF550" t="str">
        <f t="shared" si="50"/>
        <v/>
      </c>
      <c r="AG550" t="str">
        <f t="shared" si="51"/>
        <v/>
      </c>
      <c r="AH550" t="str">
        <f t="shared" si="52"/>
        <v/>
      </c>
      <c r="AI550" t="str">
        <f>IF($AG550="","",SUMIF($AG$2:$AG550,$AG550,$AH$2:$AH550))</f>
        <v/>
      </c>
      <c r="AJ550" t="str">
        <f>IF('TMP Paste'!$F550="","",IF('TMP Paste'!$B550="",$AJ549,'TMP Paste'!$B550))</f>
        <v/>
      </c>
      <c r="AK550" t="str">
        <f>IF('TMP Paste'!$F550="","",N('TMP Paste'!$G550))</f>
        <v/>
      </c>
      <c r="AL550" t="str">
        <f>IF('TMP Paste'!$F550="","",IF('TMP Paste'!$M550="",$AL549,'TMP Paste'!$M550))</f>
        <v/>
      </c>
      <c r="AM550" t="str">
        <f>IF('TMP Paste'!$F550="","",IF('TMP Paste'!$N550="",$AM549,'TMP Paste'!$N550))</f>
        <v/>
      </c>
      <c r="AN550" t="str">
        <f>IF('TMP Paste'!$F550="","",IF('TMP Paste'!$O550="",$AN549,'TMP Paste'!$O550))</f>
        <v/>
      </c>
      <c r="AO550" t="str">
        <f>IF('TMP Paste'!$F550="","",IF('TMP Paste'!$P550="",$AO549,'TMP Paste'!$P550))</f>
        <v/>
      </c>
      <c r="AP550" t="str">
        <f t="shared" si="53"/>
        <v/>
      </c>
      <c r="AQ550" t="str">
        <f>IF($AS550="","",TRIM(IF(COUNTIFS(Calc!$B$2:$B$1601,ROW()-1,Calc!$C$2:$C$1601,"&lt;1")&gt;0,"Ada PO tanpa Koli - cek TMP. ","")&amp;IF(OR($AU550="",$AU550&lt;=0),"Volume kosong/0 - dimensi dikosongkan. ","")&amp;IF(AND($AU550&lt;&gt;"",$AU550&gt;=1000000),"Volume &gt;= 1.000.000 cm3 (di luar aturan) - dimensi dikosongkan. ","")&amp;IF(LEN($R550)&gt;500,"R &gt; 500 karakter.","")))</f>
        <v/>
      </c>
      <c r="AS550" t="str">
        <f>IFERROR(MATCH(ROW()-1,Calc!$J$2:$J$1601,0),"")</f>
        <v/>
      </c>
      <c r="AT550" t="str">
        <f>IFERROR(MATCH(ROW()-1,Calc!$K$2:$K$1601,0),"")</f>
        <v/>
      </c>
      <c r="AU550" t="str">
        <f>IF($AS550="","",IFERROR(INDEX('TMP Paste'!$D$2:$D$1601,$AS550)*1000000/$AB550,""))</f>
        <v/>
      </c>
    </row>
    <row r="551" spans="1:47">
      <c r="A551" t="str">
        <f>IF($AS551="","",INDEX('TMP Paste'!$B$2:$B$1601,$AS551))</f>
        <v/>
      </c>
      <c r="B551" t="str">
        <f>IF($AS551="","",Config!$B$14)</f>
        <v/>
      </c>
      <c r="C551" t="str">
        <f>IF($AS551="","",Config!$B$15)</f>
        <v/>
      </c>
      <c r="D551" t="str">
        <f>IF($AS551="","",INDEX('TMP Paste'!$B$2:$B$1601,$AS551))</f>
        <v/>
      </c>
      <c r="E551" t="str">
        <f>IF($AS551="","",Config!$B$27)</f>
        <v/>
      </c>
      <c r="F551" t="str">
        <f>IF($AS551="","",Config!$B$9)</f>
        <v/>
      </c>
      <c r="G551" t="str">
        <f>IF($AS551="","",Config!$B$10)</f>
        <v/>
      </c>
      <c r="H551" t="str">
        <f>IF($AS551="","",Config!$B$11)</f>
        <v/>
      </c>
      <c r="I551" t="str">
        <f>IF($AS551="","",Config!$B$16)</f>
        <v/>
      </c>
      <c r="J551" t="str">
        <f>IF($AS551="","",INDEX('TMP Paste'!$A$2:$A$1601,$AS551))</f>
        <v/>
      </c>
      <c r="K551" t="str">
        <f>IF($AS551="","",INDEX('TMP Paste'!$L$2:$L$1601,$AS551))</f>
        <v/>
      </c>
      <c r="L551" t="str">
        <f>IF($AS551="","",INDEX('TMP Paste'!$I$2:$I$1601,$AS551))</f>
        <v/>
      </c>
      <c r="M551" t="str">
        <f>IF($AS551="","",Config!$B$16)</f>
        <v/>
      </c>
      <c r="N551" t="str">
        <f t="shared" si="48"/>
        <v/>
      </c>
      <c r="O551" t="str">
        <f>IF($AS551="","",INDEX('TMP Paste'!$K$2:$K$1601,$AS551))</f>
        <v/>
      </c>
      <c r="P551" t="str">
        <f t="shared" si="49"/>
        <v/>
      </c>
      <c r="Q551" t="str">
        <f>IF($AS551="","",INDEX('TMP Paste'!$J$2:$J$1601,$AS551))</f>
        <v/>
      </c>
      <c r="R551" t="str">
        <f>IF($AS551="","",Config!$B$24)</f>
        <v/>
      </c>
      <c r="S551" t="str">
        <f ca="1">IF($AS551="","",TEXT(Config!$B$4,"yyyy-mm-dd"))</f>
        <v/>
      </c>
      <c r="T551" t="str">
        <f>IF($AS551="","",Config!$B$17)</f>
        <v/>
      </c>
      <c r="U551" t="str">
        <f>IF($AS551="","",Config!$B$18)</f>
        <v/>
      </c>
      <c r="V551" t="str">
        <f>IF($AS551="","",Config!$B$19)</f>
        <v/>
      </c>
      <c r="W551" t="str">
        <f>IF($AS551="","",INDEX('TMP Paste'!$C$2:$C$1601,$AS551))</f>
        <v/>
      </c>
      <c r="X551" t="str">
        <f>IF($AS551="","",Config!$B$29)</f>
        <v/>
      </c>
      <c r="Y551" t="str">
        <f>IF($AT551="","",INDEX(Calc!$I$2:$I$1601,$AT551)&amp;" - "&amp;INDEX(Calc!$D$2:$D$1601,$AT551)&amp;" koli")</f>
        <v/>
      </c>
      <c r="Z551" t="str">
        <f>IF($AS551="","",Config!$B$21)</f>
        <v/>
      </c>
      <c r="AA551" t="str">
        <f>IF($AS551="","",Config!$B$22)</f>
        <v/>
      </c>
      <c r="AB551" t="str">
        <f>IF($AT551="","",INDEX(Calc!$D$2:$D$1601,$AT551))</f>
        <v/>
      </c>
      <c r="AC551" t="str">
        <f>IF($AT551="","",INDEX(Calc!$G$2:$G$1601,$AT551))</f>
        <v/>
      </c>
      <c r="AD551" t="str">
        <f>IF($AS551="","",Config!$B$23)</f>
        <v/>
      </c>
      <c r="AE551" t="str">
        <f>IF($AS551="","",Config!$B$28)</f>
        <v/>
      </c>
      <c r="AF551" t="str">
        <f t="shared" si="50"/>
        <v/>
      </c>
      <c r="AG551" t="str">
        <f t="shared" si="51"/>
        <v/>
      </c>
      <c r="AH551" t="str">
        <f t="shared" si="52"/>
        <v/>
      </c>
      <c r="AI551" t="str">
        <f>IF($AG551="","",SUMIF($AG$2:$AG551,$AG551,$AH$2:$AH551))</f>
        <v/>
      </c>
      <c r="AJ551" t="str">
        <f>IF('TMP Paste'!$F551="","",IF('TMP Paste'!$B551="",$AJ550,'TMP Paste'!$B551))</f>
        <v/>
      </c>
      <c r="AK551" t="str">
        <f>IF('TMP Paste'!$F551="","",N('TMP Paste'!$G551))</f>
        <v/>
      </c>
      <c r="AL551" t="str">
        <f>IF('TMP Paste'!$F551="","",IF('TMP Paste'!$M551="",$AL550,'TMP Paste'!$M551))</f>
        <v/>
      </c>
      <c r="AM551" t="str">
        <f>IF('TMP Paste'!$F551="","",IF('TMP Paste'!$N551="",$AM550,'TMP Paste'!$N551))</f>
        <v/>
      </c>
      <c r="AN551" t="str">
        <f>IF('TMP Paste'!$F551="","",IF('TMP Paste'!$O551="",$AN550,'TMP Paste'!$O551))</f>
        <v/>
      </c>
      <c r="AO551" t="str">
        <f>IF('TMP Paste'!$F551="","",IF('TMP Paste'!$P551="",$AO550,'TMP Paste'!$P551))</f>
        <v/>
      </c>
      <c r="AP551" t="str">
        <f t="shared" si="53"/>
        <v/>
      </c>
      <c r="AQ551" t="str">
        <f>IF($AS551="","",TRIM(IF(COUNTIFS(Calc!$B$2:$B$1601,ROW()-1,Calc!$C$2:$C$1601,"&lt;1")&gt;0,"Ada PO tanpa Koli - cek TMP. ","")&amp;IF(OR($AU551="",$AU551&lt;=0),"Volume kosong/0 - dimensi dikosongkan. ","")&amp;IF(AND($AU551&lt;&gt;"",$AU551&gt;=1000000),"Volume &gt;= 1.000.000 cm3 (di luar aturan) - dimensi dikosongkan. ","")&amp;IF(LEN($R551)&gt;500,"R &gt; 500 karakter.","")))</f>
        <v/>
      </c>
      <c r="AS551" t="str">
        <f>IFERROR(MATCH(ROW()-1,Calc!$J$2:$J$1601,0),"")</f>
        <v/>
      </c>
      <c r="AT551" t="str">
        <f>IFERROR(MATCH(ROW()-1,Calc!$K$2:$K$1601,0),"")</f>
        <v/>
      </c>
      <c r="AU551" t="str">
        <f>IF($AS551="","",IFERROR(INDEX('TMP Paste'!$D$2:$D$1601,$AS551)*1000000/$AB551,""))</f>
        <v/>
      </c>
    </row>
    <row r="552" spans="1:47">
      <c r="A552" t="str">
        <f>IF($AS552="","",INDEX('TMP Paste'!$B$2:$B$1601,$AS552))</f>
        <v/>
      </c>
      <c r="B552" t="str">
        <f>IF($AS552="","",Config!$B$14)</f>
        <v/>
      </c>
      <c r="C552" t="str">
        <f>IF($AS552="","",Config!$B$15)</f>
        <v/>
      </c>
      <c r="D552" t="str">
        <f>IF($AS552="","",INDEX('TMP Paste'!$B$2:$B$1601,$AS552))</f>
        <v/>
      </c>
      <c r="E552" t="str">
        <f>IF($AS552="","",Config!$B$27)</f>
        <v/>
      </c>
      <c r="F552" t="str">
        <f>IF($AS552="","",Config!$B$9)</f>
        <v/>
      </c>
      <c r="G552" t="str">
        <f>IF($AS552="","",Config!$B$10)</f>
        <v/>
      </c>
      <c r="H552" t="str">
        <f>IF($AS552="","",Config!$B$11)</f>
        <v/>
      </c>
      <c r="I552" t="str">
        <f>IF($AS552="","",Config!$B$16)</f>
        <v/>
      </c>
      <c r="J552" t="str">
        <f>IF($AS552="","",INDEX('TMP Paste'!$A$2:$A$1601,$AS552))</f>
        <v/>
      </c>
      <c r="K552" t="str">
        <f>IF($AS552="","",INDEX('TMP Paste'!$L$2:$L$1601,$AS552))</f>
        <v/>
      </c>
      <c r="L552" t="str">
        <f>IF($AS552="","",INDEX('TMP Paste'!$I$2:$I$1601,$AS552))</f>
        <v/>
      </c>
      <c r="M552" t="str">
        <f>IF($AS552="","",Config!$B$16)</f>
        <v/>
      </c>
      <c r="N552" t="str">
        <f t="shared" si="48"/>
        <v/>
      </c>
      <c r="O552" t="str">
        <f>IF($AS552="","",INDEX('TMP Paste'!$K$2:$K$1601,$AS552))</f>
        <v/>
      </c>
      <c r="P552" t="str">
        <f t="shared" si="49"/>
        <v/>
      </c>
      <c r="Q552" t="str">
        <f>IF($AS552="","",INDEX('TMP Paste'!$J$2:$J$1601,$AS552))</f>
        <v/>
      </c>
      <c r="R552" t="str">
        <f>IF($AS552="","",Config!$B$24)</f>
        <v/>
      </c>
      <c r="S552" t="str">
        <f ca="1">IF($AS552="","",TEXT(Config!$B$4,"yyyy-mm-dd"))</f>
        <v/>
      </c>
      <c r="T552" t="str">
        <f>IF($AS552="","",Config!$B$17)</f>
        <v/>
      </c>
      <c r="U552" t="str">
        <f>IF($AS552="","",Config!$B$18)</f>
        <v/>
      </c>
      <c r="V552" t="str">
        <f>IF($AS552="","",Config!$B$19)</f>
        <v/>
      </c>
      <c r="W552" t="str">
        <f>IF($AS552="","",INDEX('TMP Paste'!$C$2:$C$1601,$AS552))</f>
        <v/>
      </c>
      <c r="X552" t="str">
        <f>IF($AS552="","",Config!$B$29)</f>
        <v/>
      </c>
      <c r="Y552" t="str">
        <f>IF($AT552="","",INDEX(Calc!$I$2:$I$1601,$AT552)&amp;" - "&amp;INDEX(Calc!$D$2:$D$1601,$AT552)&amp;" koli")</f>
        <v/>
      </c>
      <c r="Z552" t="str">
        <f>IF($AS552="","",Config!$B$21)</f>
        <v/>
      </c>
      <c r="AA552" t="str">
        <f>IF($AS552="","",Config!$B$22)</f>
        <v/>
      </c>
      <c r="AB552" t="str">
        <f>IF($AT552="","",INDEX(Calc!$D$2:$D$1601,$AT552))</f>
        <v/>
      </c>
      <c r="AC552" t="str">
        <f>IF($AT552="","",INDEX(Calc!$G$2:$G$1601,$AT552))</f>
        <v/>
      </c>
      <c r="AD552" t="str">
        <f>IF($AS552="","",Config!$B$23)</f>
        <v/>
      </c>
      <c r="AE552" t="str">
        <f>IF($AS552="","",Config!$B$28)</f>
        <v/>
      </c>
      <c r="AF552" t="str">
        <f t="shared" si="50"/>
        <v/>
      </c>
      <c r="AG552" t="str">
        <f t="shared" si="51"/>
        <v/>
      </c>
      <c r="AH552" t="str">
        <f t="shared" si="52"/>
        <v/>
      </c>
      <c r="AI552" t="str">
        <f>IF($AG552="","",SUMIF($AG$2:$AG552,$AG552,$AH$2:$AH552))</f>
        <v/>
      </c>
      <c r="AJ552" t="str">
        <f>IF('TMP Paste'!$F552="","",IF('TMP Paste'!$B552="",$AJ551,'TMP Paste'!$B552))</f>
        <v/>
      </c>
      <c r="AK552" t="str">
        <f>IF('TMP Paste'!$F552="","",N('TMP Paste'!$G552))</f>
        <v/>
      </c>
      <c r="AL552" t="str">
        <f>IF('TMP Paste'!$F552="","",IF('TMP Paste'!$M552="",$AL551,'TMP Paste'!$M552))</f>
        <v/>
      </c>
      <c r="AM552" t="str">
        <f>IF('TMP Paste'!$F552="","",IF('TMP Paste'!$N552="",$AM551,'TMP Paste'!$N552))</f>
        <v/>
      </c>
      <c r="AN552" t="str">
        <f>IF('TMP Paste'!$F552="","",IF('TMP Paste'!$O552="",$AN551,'TMP Paste'!$O552))</f>
        <v/>
      </c>
      <c r="AO552" t="str">
        <f>IF('TMP Paste'!$F552="","",IF('TMP Paste'!$P552="",$AO551,'TMP Paste'!$P552))</f>
        <v/>
      </c>
      <c r="AP552" t="str">
        <f t="shared" si="53"/>
        <v/>
      </c>
      <c r="AQ552" t="str">
        <f>IF($AS552="","",TRIM(IF(COUNTIFS(Calc!$B$2:$B$1601,ROW()-1,Calc!$C$2:$C$1601,"&lt;1")&gt;0,"Ada PO tanpa Koli - cek TMP. ","")&amp;IF(OR($AU552="",$AU552&lt;=0),"Volume kosong/0 - dimensi dikosongkan. ","")&amp;IF(AND($AU552&lt;&gt;"",$AU552&gt;=1000000),"Volume &gt;= 1.000.000 cm3 (di luar aturan) - dimensi dikosongkan. ","")&amp;IF(LEN($R552)&gt;500,"R &gt; 500 karakter.","")))</f>
        <v/>
      </c>
      <c r="AS552" t="str">
        <f>IFERROR(MATCH(ROW()-1,Calc!$J$2:$J$1601,0),"")</f>
        <v/>
      </c>
      <c r="AT552" t="str">
        <f>IFERROR(MATCH(ROW()-1,Calc!$K$2:$K$1601,0),"")</f>
        <v/>
      </c>
      <c r="AU552" t="str">
        <f>IF($AS552="","",IFERROR(INDEX('TMP Paste'!$D$2:$D$1601,$AS552)*1000000/$AB552,""))</f>
        <v/>
      </c>
    </row>
    <row r="553" spans="1:47">
      <c r="A553" t="str">
        <f>IF($AS553="","",INDEX('TMP Paste'!$B$2:$B$1601,$AS553))</f>
        <v/>
      </c>
      <c r="B553" t="str">
        <f>IF($AS553="","",Config!$B$14)</f>
        <v/>
      </c>
      <c r="C553" t="str">
        <f>IF($AS553="","",Config!$B$15)</f>
        <v/>
      </c>
      <c r="D553" t="str">
        <f>IF($AS553="","",INDEX('TMP Paste'!$B$2:$B$1601,$AS553))</f>
        <v/>
      </c>
      <c r="E553" t="str">
        <f>IF($AS553="","",Config!$B$27)</f>
        <v/>
      </c>
      <c r="F553" t="str">
        <f>IF($AS553="","",Config!$B$9)</f>
        <v/>
      </c>
      <c r="G553" t="str">
        <f>IF($AS553="","",Config!$B$10)</f>
        <v/>
      </c>
      <c r="H553" t="str">
        <f>IF($AS553="","",Config!$B$11)</f>
        <v/>
      </c>
      <c r="I553" t="str">
        <f>IF($AS553="","",Config!$B$16)</f>
        <v/>
      </c>
      <c r="J553" t="str">
        <f>IF($AS553="","",INDEX('TMP Paste'!$A$2:$A$1601,$AS553))</f>
        <v/>
      </c>
      <c r="K553" t="str">
        <f>IF($AS553="","",INDEX('TMP Paste'!$L$2:$L$1601,$AS553))</f>
        <v/>
      </c>
      <c r="L553" t="str">
        <f>IF($AS553="","",INDEX('TMP Paste'!$I$2:$I$1601,$AS553))</f>
        <v/>
      </c>
      <c r="M553" t="str">
        <f>IF($AS553="","",Config!$B$16)</f>
        <v/>
      </c>
      <c r="N553" t="str">
        <f t="shared" si="48"/>
        <v/>
      </c>
      <c r="O553" t="str">
        <f>IF($AS553="","",INDEX('TMP Paste'!$K$2:$K$1601,$AS553))</f>
        <v/>
      </c>
      <c r="P553" t="str">
        <f t="shared" si="49"/>
        <v/>
      </c>
      <c r="Q553" t="str">
        <f>IF($AS553="","",INDEX('TMP Paste'!$J$2:$J$1601,$AS553))</f>
        <v/>
      </c>
      <c r="R553" t="str">
        <f>IF($AS553="","",Config!$B$24)</f>
        <v/>
      </c>
      <c r="S553" t="str">
        <f ca="1">IF($AS553="","",TEXT(Config!$B$4,"yyyy-mm-dd"))</f>
        <v/>
      </c>
      <c r="T553" t="str">
        <f>IF($AS553="","",Config!$B$17)</f>
        <v/>
      </c>
      <c r="U553" t="str">
        <f>IF($AS553="","",Config!$B$18)</f>
        <v/>
      </c>
      <c r="V553" t="str">
        <f>IF($AS553="","",Config!$B$19)</f>
        <v/>
      </c>
      <c r="W553" t="str">
        <f>IF($AS553="","",INDEX('TMP Paste'!$C$2:$C$1601,$AS553))</f>
        <v/>
      </c>
      <c r="X553" t="str">
        <f>IF($AS553="","",Config!$B$29)</f>
        <v/>
      </c>
      <c r="Y553" t="str">
        <f>IF($AT553="","",INDEX(Calc!$I$2:$I$1601,$AT553)&amp;" - "&amp;INDEX(Calc!$D$2:$D$1601,$AT553)&amp;" koli")</f>
        <v/>
      </c>
      <c r="Z553" t="str">
        <f>IF($AS553="","",Config!$B$21)</f>
        <v/>
      </c>
      <c r="AA553" t="str">
        <f>IF($AS553="","",Config!$B$22)</f>
        <v/>
      </c>
      <c r="AB553" t="str">
        <f>IF($AT553="","",INDEX(Calc!$D$2:$D$1601,$AT553))</f>
        <v/>
      </c>
      <c r="AC553" t="str">
        <f>IF($AT553="","",INDEX(Calc!$G$2:$G$1601,$AT553))</f>
        <v/>
      </c>
      <c r="AD553" t="str">
        <f>IF($AS553="","",Config!$B$23)</f>
        <v/>
      </c>
      <c r="AE553" t="str">
        <f>IF($AS553="","",Config!$B$28)</f>
        <v/>
      </c>
      <c r="AF553" t="str">
        <f t="shared" si="50"/>
        <v/>
      </c>
      <c r="AG553" t="str">
        <f t="shared" si="51"/>
        <v/>
      </c>
      <c r="AH553" t="str">
        <f t="shared" si="52"/>
        <v/>
      </c>
      <c r="AI553" t="str">
        <f>IF($AG553="","",SUMIF($AG$2:$AG553,$AG553,$AH$2:$AH553))</f>
        <v/>
      </c>
      <c r="AJ553" t="str">
        <f>IF('TMP Paste'!$F553="","",IF('TMP Paste'!$B553="",$AJ552,'TMP Paste'!$B553))</f>
        <v/>
      </c>
      <c r="AK553" t="str">
        <f>IF('TMP Paste'!$F553="","",N('TMP Paste'!$G553))</f>
        <v/>
      </c>
      <c r="AL553" t="str">
        <f>IF('TMP Paste'!$F553="","",IF('TMP Paste'!$M553="",$AL552,'TMP Paste'!$M553))</f>
        <v/>
      </c>
      <c r="AM553" t="str">
        <f>IF('TMP Paste'!$F553="","",IF('TMP Paste'!$N553="",$AM552,'TMP Paste'!$N553))</f>
        <v/>
      </c>
      <c r="AN553" t="str">
        <f>IF('TMP Paste'!$F553="","",IF('TMP Paste'!$O553="",$AN552,'TMP Paste'!$O553))</f>
        <v/>
      </c>
      <c r="AO553" t="str">
        <f>IF('TMP Paste'!$F553="","",IF('TMP Paste'!$P553="",$AO552,'TMP Paste'!$P553))</f>
        <v/>
      </c>
      <c r="AP553" t="str">
        <f t="shared" si="53"/>
        <v/>
      </c>
      <c r="AQ553" t="str">
        <f>IF($AS553="","",TRIM(IF(COUNTIFS(Calc!$B$2:$B$1601,ROW()-1,Calc!$C$2:$C$1601,"&lt;1")&gt;0,"Ada PO tanpa Koli - cek TMP. ","")&amp;IF(OR($AU553="",$AU553&lt;=0),"Volume kosong/0 - dimensi dikosongkan. ","")&amp;IF(AND($AU553&lt;&gt;"",$AU553&gt;=1000000),"Volume &gt;= 1.000.000 cm3 (di luar aturan) - dimensi dikosongkan. ","")&amp;IF(LEN($R553)&gt;500,"R &gt; 500 karakter.","")))</f>
        <v/>
      </c>
      <c r="AS553" t="str">
        <f>IFERROR(MATCH(ROW()-1,Calc!$J$2:$J$1601,0),"")</f>
        <v/>
      </c>
      <c r="AT553" t="str">
        <f>IFERROR(MATCH(ROW()-1,Calc!$K$2:$K$1601,0),"")</f>
        <v/>
      </c>
      <c r="AU553" t="str">
        <f>IF($AS553="","",IFERROR(INDEX('TMP Paste'!$D$2:$D$1601,$AS553)*1000000/$AB553,""))</f>
        <v/>
      </c>
    </row>
    <row r="554" spans="1:47">
      <c r="A554" t="str">
        <f>IF($AS554="","",INDEX('TMP Paste'!$B$2:$B$1601,$AS554))</f>
        <v/>
      </c>
      <c r="B554" t="str">
        <f>IF($AS554="","",Config!$B$14)</f>
        <v/>
      </c>
      <c r="C554" t="str">
        <f>IF($AS554="","",Config!$B$15)</f>
        <v/>
      </c>
      <c r="D554" t="str">
        <f>IF($AS554="","",INDEX('TMP Paste'!$B$2:$B$1601,$AS554))</f>
        <v/>
      </c>
      <c r="E554" t="str">
        <f>IF($AS554="","",Config!$B$27)</f>
        <v/>
      </c>
      <c r="F554" t="str">
        <f>IF($AS554="","",Config!$B$9)</f>
        <v/>
      </c>
      <c r="G554" t="str">
        <f>IF($AS554="","",Config!$B$10)</f>
        <v/>
      </c>
      <c r="H554" t="str">
        <f>IF($AS554="","",Config!$B$11)</f>
        <v/>
      </c>
      <c r="I554" t="str">
        <f>IF($AS554="","",Config!$B$16)</f>
        <v/>
      </c>
      <c r="J554" t="str">
        <f>IF($AS554="","",INDEX('TMP Paste'!$A$2:$A$1601,$AS554))</f>
        <v/>
      </c>
      <c r="K554" t="str">
        <f>IF($AS554="","",INDEX('TMP Paste'!$L$2:$L$1601,$AS554))</f>
        <v/>
      </c>
      <c r="L554" t="str">
        <f>IF($AS554="","",INDEX('TMP Paste'!$I$2:$I$1601,$AS554))</f>
        <v/>
      </c>
      <c r="M554" t="str">
        <f>IF($AS554="","",Config!$B$16)</f>
        <v/>
      </c>
      <c r="N554" t="str">
        <f t="shared" si="48"/>
        <v/>
      </c>
      <c r="O554" t="str">
        <f>IF($AS554="","",INDEX('TMP Paste'!$K$2:$K$1601,$AS554))</f>
        <v/>
      </c>
      <c r="P554" t="str">
        <f t="shared" si="49"/>
        <v/>
      </c>
      <c r="Q554" t="str">
        <f>IF($AS554="","",INDEX('TMP Paste'!$J$2:$J$1601,$AS554))</f>
        <v/>
      </c>
      <c r="R554" t="str">
        <f>IF($AS554="","",Config!$B$24)</f>
        <v/>
      </c>
      <c r="S554" t="str">
        <f ca="1">IF($AS554="","",TEXT(Config!$B$4,"yyyy-mm-dd"))</f>
        <v/>
      </c>
      <c r="T554" t="str">
        <f>IF($AS554="","",Config!$B$17)</f>
        <v/>
      </c>
      <c r="U554" t="str">
        <f>IF($AS554="","",Config!$B$18)</f>
        <v/>
      </c>
      <c r="V554" t="str">
        <f>IF($AS554="","",Config!$B$19)</f>
        <v/>
      </c>
      <c r="W554" t="str">
        <f>IF($AS554="","",INDEX('TMP Paste'!$C$2:$C$1601,$AS554))</f>
        <v/>
      </c>
      <c r="X554" t="str">
        <f>IF($AS554="","",Config!$B$29)</f>
        <v/>
      </c>
      <c r="Y554" t="str">
        <f>IF($AT554="","",INDEX(Calc!$I$2:$I$1601,$AT554)&amp;" - "&amp;INDEX(Calc!$D$2:$D$1601,$AT554)&amp;" koli")</f>
        <v/>
      </c>
      <c r="Z554" t="str">
        <f>IF($AS554="","",Config!$B$21)</f>
        <v/>
      </c>
      <c r="AA554" t="str">
        <f>IF($AS554="","",Config!$B$22)</f>
        <v/>
      </c>
      <c r="AB554" t="str">
        <f>IF($AT554="","",INDEX(Calc!$D$2:$D$1601,$AT554))</f>
        <v/>
      </c>
      <c r="AC554" t="str">
        <f>IF($AT554="","",INDEX(Calc!$G$2:$G$1601,$AT554))</f>
        <v/>
      </c>
      <c r="AD554" t="str">
        <f>IF($AS554="","",Config!$B$23)</f>
        <v/>
      </c>
      <c r="AE554" t="str">
        <f>IF($AS554="","",Config!$B$28)</f>
        <v/>
      </c>
      <c r="AF554" t="str">
        <f t="shared" si="50"/>
        <v/>
      </c>
      <c r="AG554" t="str">
        <f t="shared" si="51"/>
        <v/>
      </c>
      <c r="AH554" t="str">
        <f t="shared" si="52"/>
        <v/>
      </c>
      <c r="AI554" t="str">
        <f>IF($AG554="","",SUMIF($AG$2:$AG554,$AG554,$AH$2:$AH554))</f>
        <v/>
      </c>
      <c r="AJ554" t="str">
        <f>IF('TMP Paste'!$F554="","",IF('TMP Paste'!$B554="",$AJ553,'TMP Paste'!$B554))</f>
        <v/>
      </c>
      <c r="AK554" t="str">
        <f>IF('TMP Paste'!$F554="","",N('TMP Paste'!$G554))</f>
        <v/>
      </c>
      <c r="AL554" t="str">
        <f>IF('TMP Paste'!$F554="","",IF('TMP Paste'!$M554="",$AL553,'TMP Paste'!$M554))</f>
        <v/>
      </c>
      <c r="AM554" t="str">
        <f>IF('TMP Paste'!$F554="","",IF('TMP Paste'!$N554="",$AM553,'TMP Paste'!$N554))</f>
        <v/>
      </c>
      <c r="AN554" t="str">
        <f>IF('TMP Paste'!$F554="","",IF('TMP Paste'!$O554="",$AN553,'TMP Paste'!$O554))</f>
        <v/>
      </c>
      <c r="AO554" t="str">
        <f>IF('TMP Paste'!$F554="","",IF('TMP Paste'!$P554="",$AO553,'TMP Paste'!$P554))</f>
        <v/>
      </c>
      <c r="AP554" t="str">
        <f t="shared" si="53"/>
        <v/>
      </c>
      <c r="AQ554" t="str">
        <f>IF($AS554="","",TRIM(IF(COUNTIFS(Calc!$B$2:$B$1601,ROW()-1,Calc!$C$2:$C$1601,"&lt;1")&gt;0,"Ada PO tanpa Koli - cek TMP. ","")&amp;IF(OR($AU554="",$AU554&lt;=0),"Volume kosong/0 - dimensi dikosongkan. ","")&amp;IF(AND($AU554&lt;&gt;"",$AU554&gt;=1000000),"Volume &gt;= 1.000.000 cm3 (di luar aturan) - dimensi dikosongkan. ","")&amp;IF(LEN($R554)&gt;500,"R &gt; 500 karakter.","")))</f>
        <v/>
      </c>
      <c r="AS554" t="str">
        <f>IFERROR(MATCH(ROW()-1,Calc!$J$2:$J$1601,0),"")</f>
        <v/>
      </c>
      <c r="AT554" t="str">
        <f>IFERROR(MATCH(ROW()-1,Calc!$K$2:$K$1601,0),"")</f>
        <v/>
      </c>
      <c r="AU554" t="str">
        <f>IF($AS554="","",IFERROR(INDEX('TMP Paste'!$D$2:$D$1601,$AS554)*1000000/$AB554,""))</f>
        <v/>
      </c>
    </row>
    <row r="555" spans="1:47">
      <c r="A555" t="str">
        <f>IF($AS555="","",INDEX('TMP Paste'!$B$2:$B$1601,$AS555))</f>
        <v/>
      </c>
      <c r="B555" t="str">
        <f>IF($AS555="","",Config!$B$14)</f>
        <v/>
      </c>
      <c r="C555" t="str">
        <f>IF($AS555="","",Config!$B$15)</f>
        <v/>
      </c>
      <c r="D555" t="str">
        <f>IF($AS555="","",INDEX('TMP Paste'!$B$2:$B$1601,$AS555))</f>
        <v/>
      </c>
      <c r="E555" t="str">
        <f>IF($AS555="","",Config!$B$27)</f>
        <v/>
      </c>
      <c r="F555" t="str">
        <f>IF($AS555="","",Config!$B$9)</f>
        <v/>
      </c>
      <c r="G555" t="str">
        <f>IF($AS555="","",Config!$B$10)</f>
        <v/>
      </c>
      <c r="H555" t="str">
        <f>IF($AS555="","",Config!$B$11)</f>
        <v/>
      </c>
      <c r="I555" t="str">
        <f>IF($AS555="","",Config!$B$16)</f>
        <v/>
      </c>
      <c r="J555" t="str">
        <f>IF($AS555="","",INDEX('TMP Paste'!$A$2:$A$1601,$AS555))</f>
        <v/>
      </c>
      <c r="K555" t="str">
        <f>IF($AS555="","",INDEX('TMP Paste'!$L$2:$L$1601,$AS555))</f>
        <v/>
      </c>
      <c r="L555" t="str">
        <f>IF($AS555="","",INDEX('TMP Paste'!$I$2:$I$1601,$AS555))</f>
        <v/>
      </c>
      <c r="M555" t="str">
        <f>IF($AS555="","",Config!$B$16)</f>
        <v/>
      </c>
      <c r="N555" t="str">
        <f t="shared" si="48"/>
        <v/>
      </c>
      <c r="O555" t="str">
        <f>IF($AS555="","",INDEX('TMP Paste'!$K$2:$K$1601,$AS555))</f>
        <v/>
      </c>
      <c r="P555" t="str">
        <f t="shared" si="49"/>
        <v/>
      </c>
      <c r="Q555" t="str">
        <f>IF($AS555="","",INDEX('TMP Paste'!$J$2:$J$1601,$AS555))</f>
        <v/>
      </c>
      <c r="R555" t="str">
        <f>IF($AS555="","",Config!$B$24)</f>
        <v/>
      </c>
      <c r="S555" t="str">
        <f ca="1">IF($AS555="","",TEXT(Config!$B$4,"yyyy-mm-dd"))</f>
        <v/>
      </c>
      <c r="T555" t="str">
        <f>IF($AS555="","",Config!$B$17)</f>
        <v/>
      </c>
      <c r="U555" t="str">
        <f>IF($AS555="","",Config!$B$18)</f>
        <v/>
      </c>
      <c r="V555" t="str">
        <f>IF($AS555="","",Config!$B$19)</f>
        <v/>
      </c>
      <c r="W555" t="str">
        <f>IF($AS555="","",INDEX('TMP Paste'!$C$2:$C$1601,$AS555))</f>
        <v/>
      </c>
      <c r="X555" t="str">
        <f>IF($AS555="","",Config!$B$29)</f>
        <v/>
      </c>
      <c r="Y555" t="str">
        <f>IF($AT555="","",INDEX(Calc!$I$2:$I$1601,$AT555)&amp;" - "&amp;INDEX(Calc!$D$2:$D$1601,$AT555)&amp;" koli")</f>
        <v/>
      </c>
      <c r="Z555" t="str">
        <f>IF($AS555="","",Config!$B$21)</f>
        <v/>
      </c>
      <c r="AA555" t="str">
        <f>IF($AS555="","",Config!$B$22)</f>
        <v/>
      </c>
      <c r="AB555" t="str">
        <f>IF($AT555="","",INDEX(Calc!$D$2:$D$1601,$AT555))</f>
        <v/>
      </c>
      <c r="AC555" t="str">
        <f>IF($AT555="","",INDEX(Calc!$G$2:$G$1601,$AT555))</f>
        <v/>
      </c>
      <c r="AD555" t="str">
        <f>IF($AS555="","",Config!$B$23)</f>
        <v/>
      </c>
      <c r="AE555" t="str">
        <f>IF($AS555="","",Config!$B$28)</f>
        <v/>
      </c>
      <c r="AF555" t="str">
        <f t="shared" si="50"/>
        <v/>
      </c>
      <c r="AG555" t="str">
        <f t="shared" si="51"/>
        <v/>
      </c>
      <c r="AH555" t="str">
        <f t="shared" si="52"/>
        <v/>
      </c>
      <c r="AI555" t="str">
        <f>IF($AG555="","",SUMIF($AG$2:$AG555,$AG555,$AH$2:$AH555))</f>
        <v/>
      </c>
      <c r="AJ555" t="str">
        <f>IF('TMP Paste'!$F555="","",IF('TMP Paste'!$B555="",$AJ554,'TMP Paste'!$B555))</f>
        <v/>
      </c>
      <c r="AK555" t="str">
        <f>IF('TMP Paste'!$F555="","",N('TMP Paste'!$G555))</f>
        <v/>
      </c>
      <c r="AL555" t="str">
        <f>IF('TMP Paste'!$F555="","",IF('TMP Paste'!$M555="",$AL554,'TMP Paste'!$M555))</f>
        <v/>
      </c>
      <c r="AM555" t="str">
        <f>IF('TMP Paste'!$F555="","",IF('TMP Paste'!$N555="",$AM554,'TMP Paste'!$N555))</f>
        <v/>
      </c>
      <c r="AN555" t="str">
        <f>IF('TMP Paste'!$F555="","",IF('TMP Paste'!$O555="",$AN554,'TMP Paste'!$O555))</f>
        <v/>
      </c>
      <c r="AO555" t="str">
        <f>IF('TMP Paste'!$F555="","",IF('TMP Paste'!$P555="",$AO554,'TMP Paste'!$P555))</f>
        <v/>
      </c>
      <c r="AP555" t="str">
        <f t="shared" si="53"/>
        <v/>
      </c>
      <c r="AQ555" t="str">
        <f>IF($AS555="","",TRIM(IF(COUNTIFS(Calc!$B$2:$B$1601,ROW()-1,Calc!$C$2:$C$1601,"&lt;1")&gt;0,"Ada PO tanpa Koli - cek TMP. ","")&amp;IF(OR($AU555="",$AU555&lt;=0),"Volume kosong/0 - dimensi dikosongkan. ","")&amp;IF(AND($AU555&lt;&gt;"",$AU555&gt;=1000000),"Volume &gt;= 1.000.000 cm3 (di luar aturan) - dimensi dikosongkan. ","")&amp;IF(LEN($R555)&gt;500,"R &gt; 500 karakter.","")))</f>
        <v/>
      </c>
      <c r="AS555" t="str">
        <f>IFERROR(MATCH(ROW()-1,Calc!$J$2:$J$1601,0),"")</f>
        <v/>
      </c>
      <c r="AT555" t="str">
        <f>IFERROR(MATCH(ROW()-1,Calc!$K$2:$K$1601,0),"")</f>
        <v/>
      </c>
      <c r="AU555" t="str">
        <f>IF($AS555="","",IFERROR(INDEX('TMP Paste'!$D$2:$D$1601,$AS555)*1000000/$AB555,""))</f>
        <v/>
      </c>
    </row>
    <row r="556" spans="1:47">
      <c r="A556" t="str">
        <f>IF($AS556="","",INDEX('TMP Paste'!$B$2:$B$1601,$AS556))</f>
        <v/>
      </c>
      <c r="B556" t="str">
        <f>IF($AS556="","",Config!$B$14)</f>
        <v/>
      </c>
      <c r="C556" t="str">
        <f>IF($AS556="","",Config!$B$15)</f>
        <v/>
      </c>
      <c r="D556" t="str">
        <f>IF($AS556="","",INDEX('TMP Paste'!$B$2:$B$1601,$AS556))</f>
        <v/>
      </c>
      <c r="E556" t="str">
        <f>IF($AS556="","",Config!$B$27)</f>
        <v/>
      </c>
      <c r="F556" t="str">
        <f>IF($AS556="","",Config!$B$9)</f>
        <v/>
      </c>
      <c r="G556" t="str">
        <f>IF($AS556="","",Config!$B$10)</f>
        <v/>
      </c>
      <c r="H556" t="str">
        <f>IF($AS556="","",Config!$B$11)</f>
        <v/>
      </c>
      <c r="I556" t="str">
        <f>IF($AS556="","",Config!$B$16)</f>
        <v/>
      </c>
      <c r="J556" t="str">
        <f>IF($AS556="","",INDEX('TMP Paste'!$A$2:$A$1601,$AS556))</f>
        <v/>
      </c>
      <c r="K556" t="str">
        <f>IF($AS556="","",INDEX('TMP Paste'!$L$2:$L$1601,$AS556))</f>
        <v/>
      </c>
      <c r="L556" t="str">
        <f>IF($AS556="","",INDEX('TMP Paste'!$I$2:$I$1601,$AS556))</f>
        <v/>
      </c>
      <c r="M556" t="str">
        <f>IF($AS556="","",Config!$B$16)</f>
        <v/>
      </c>
      <c r="N556" t="str">
        <f t="shared" si="48"/>
        <v/>
      </c>
      <c r="O556" t="str">
        <f>IF($AS556="","",INDEX('TMP Paste'!$K$2:$K$1601,$AS556))</f>
        <v/>
      </c>
      <c r="P556" t="str">
        <f t="shared" si="49"/>
        <v/>
      </c>
      <c r="Q556" t="str">
        <f>IF($AS556="","",INDEX('TMP Paste'!$J$2:$J$1601,$AS556))</f>
        <v/>
      </c>
      <c r="R556" t="str">
        <f>IF($AS556="","",Config!$B$24)</f>
        <v/>
      </c>
      <c r="S556" t="str">
        <f ca="1">IF($AS556="","",TEXT(Config!$B$4,"yyyy-mm-dd"))</f>
        <v/>
      </c>
      <c r="T556" t="str">
        <f>IF($AS556="","",Config!$B$17)</f>
        <v/>
      </c>
      <c r="U556" t="str">
        <f>IF($AS556="","",Config!$B$18)</f>
        <v/>
      </c>
      <c r="V556" t="str">
        <f>IF($AS556="","",Config!$B$19)</f>
        <v/>
      </c>
      <c r="W556" t="str">
        <f>IF($AS556="","",INDEX('TMP Paste'!$C$2:$C$1601,$AS556))</f>
        <v/>
      </c>
      <c r="X556" t="str">
        <f>IF($AS556="","",Config!$B$29)</f>
        <v/>
      </c>
      <c r="Y556" t="str">
        <f>IF($AT556="","",INDEX(Calc!$I$2:$I$1601,$AT556)&amp;" - "&amp;INDEX(Calc!$D$2:$D$1601,$AT556)&amp;" koli")</f>
        <v/>
      </c>
      <c r="Z556" t="str">
        <f>IF($AS556="","",Config!$B$21)</f>
        <v/>
      </c>
      <c r="AA556" t="str">
        <f>IF($AS556="","",Config!$B$22)</f>
        <v/>
      </c>
      <c r="AB556" t="str">
        <f>IF($AT556="","",INDEX(Calc!$D$2:$D$1601,$AT556))</f>
        <v/>
      </c>
      <c r="AC556" t="str">
        <f>IF($AT556="","",INDEX(Calc!$G$2:$G$1601,$AT556))</f>
        <v/>
      </c>
      <c r="AD556" t="str">
        <f>IF($AS556="","",Config!$B$23)</f>
        <v/>
      </c>
      <c r="AE556" t="str">
        <f>IF($AS556="","",Config!$B$28)</f>
        <v/>
      </c>
      <c r="AF556" t="str">
        <f t="shared" si="50"/>
        <v/>
      </c>
      <c r="AG556" t="str">
        <f t="shared" si="51"/>
        <v/>
      </c>
      <c r="AH556" t="str">
        <f t="shared" si="52"/>
        <v/>
      </c>
      <c r="AI556" t="str">
        <f>IF($AG556="","",SUMIF($AG$2:$AG556,$AG556,$AH$2:$AH556))</f>
        <v/>
      </c>
      <c r="AJ556" t="str">
        <f>IF('TMP Paste'!$F556="","",IF('TMP Paste'!$B556="",$AJ555,'TMP Paste'!$B556))</f>
        <v/>
      </c>
      <c r="AK556" t="str">
        <f>IF('TMP Paste'!$F556="","",N('TMP Paste'!$G556))</f>
        <v/>
      </c>
      <c r="AL556" t="str">
        <f>IF('TMP Paste'!$F556="","",IF('TMP Paste'!$M556="",$AL555,'TMP Paste'!$M556))</f>
        <v/>
      </c>
      <c r="AM556" t="str">
        <f>IF('TMP Paste'!$F556="","",IF('TMP Paste'!$N556="",$AM555,'TMP Paste'!$N556))</f>
        <v/>
      </c>
      <c r="AN556" t="str">
        <f>IF('TMP Paste'!$F556="","",IF('TMP Paste'!$O556="",$AN555,'TMP Paste'!$O556))</f>
        <v/>
      </c>
      <c r="AO556" t="str">
        <f>IF('TMP Paste'!$F556="","",IF('TMP Paste'!$P556="",$AO555,'TMP Paste'!$P556))</f>
        <v/>
      </c>
      <c r="AP556" t="str">
        <f t="shared" si="53"/>
        <v/>
      </c>
      <c r="AQ556" t="str">
        <f>IF($AS556="","",TRIM(IF(COUNTIFS(Calc!$B$2:$B$1601,ROW()-1,Calc!$C$2:$C$1601,"&lt;1")&gt;0,"Ada PO tanpa Koli - cek TMP. ","")&amp;IF(OR($AU556="",$AU556&lt;=0),"Volume kosong/0 - dimensi dikosongkan. ","")&amp;IF(AND($AU556&lt;&gt;"",$AU556&gt;=1000000),"Volume &gt;= 1.000.000 cm3 (di luar aturan) - dimensi dikosongkan. ","")&amp;IF(LEN($R556)&gt;500,"R &gt; 500 karakter.","")))</f>
        <v/>
      </c>
      <c r="AS556" t="str">
        <f>IFERROR(MATCH(ROW()-1,Calc!$J$2:$J$1601,0),"")</f>
        <v/>
      </c>
      <c r="AT556" t="str">
        <f>IFERROR(MATCH(ROW()-1,Calc!$K$2:$K$1601,0),"")</f>
        <v/>
      </c>
      <c r="AU556" t="str">
        <f>IF($AS556="","",IFERROR(INDEX('TMP Paste'!$D$2:$D$1601,$AS556)*1000000/$AB556,""))</f>
        <v/>
      </c>
    </row>
    <row r="557" spans="1:47">
      <c r="A557" t="str">
        <f>IF($AS557="","",INDEX('TMP Paste'!$B$2:$B$1601,$AS557))</f>
        <v/>
      </c>
      <c r="B557" t="str">
        <f>IF($AS557="","",Config!$B$14)</f>
        <v/>
      </c>
      <c r="C557" t="str">
        <f>IF($AS557="","",Config!$B$15)</f>
        <v/>
      </c>
      <c r="D557" t="str">
        <f>IF($AS557="","",INDEX('TMP Paste'!$B$2:$B$1601,$AS557))</f>
        <v/>
      </c>
      <c r="E557" t="str">
        <f>IF($AS557="","",Config!$B$27)</f>
        <v/>
      </c>
      <c r="F557" t="str">
        <f>IF($AS557="","",Config!$B$9)</f>
        <v/>
      </c>
      <c r="G557" t="str">
        <f>IF($AS557="","",Config!$B$10)</f>
        <v/>
      </c>
      <c r="H557" t="str">
        <f>IF($AS557="","",Config!$B$11)</f>
        <v/>
      </c>
      <c r="I557" t="str">
        <f>IF($AS557="","",Config!$B$16)</f>
        <v/>
      </c>
      <c r="J557" t="str">
        <f>IF($AS557="","",INDEX('TMP Paste'!$A$2:$A$1601,$AS557))</f>
        <v/>
      </c>
      <c r="K557" t="str">
        <f>IF($AS557="","",INDEX('TMP Paste'!$L$2:$L$1601,$AS557))</f>
        <v/>
      </c>
      <c r="L557" t="str">
        <f>IF($AS557="","",INDEX('TMP Paste'!$I$2:$I$1601,$AS557))</f>
        <v/>
      </c>
      <c r="M557" t="str">
        <f>IF($AS557="","",Config!$B$16)</f>
        <v/>
      </c>
      <c r="N557" t="str">
        <f t="shared" si="48"/>
        <v/>
      </c>
      <c r="O557" t="str">
        <f>IF($AS557="","",INDEX('TMP Paste'!$K$2:$K$1601,$AS557))</f>
        <v/>
      </c>
      <c r="P557" t="str">
        <f t="shared" si="49"/>
        <v/>
      </c>
      <c r="Q557" t="str">
        <f>IF($AS557="","",INDEX('TMP Paste'!$J$2:$J$1601,$AS557))</f>
        <v/>
      </c>
      <c r="R557" t="str">
        <f>IF($AS557="","",Config!$B$24)</f>
        <v/>
      </c>
      <c r="S557" t="str">
        <f ca="1">IF($AS557="","",TEXT(Config!$B$4,"yyyy-mm-dd"))</f>
        <v/>
      </c>
      <c r="T557" t="str">
        <f>IF($AS557="","",Config!$B$17)</f>
        <v/>
      </c>
      <c r="U557" t="str">
        <f>IF($AS557="","",Config!$B$18)</f>
        <v/>
      </c>
      <c r="V557" t="str">
        <f>IF($AS557="","",Config!$B$19)</f>
        <v/>
      </c>
      <c r="W557" t="str">
        <f>IF($AS557="","",INDEX('TMP Paste'!$C$2:$C$1601,$AS557))</f>
        <v/>
      </c>
      <c r="X557" t="str">
        <f>IF($AS557="","",Config!$B$29)</f>
        <v/>
      </c>
      <c r="Y557" t="str">
        <f>IF($AT557="","",INDEX(Calc!$I$2:$I$1601,$AT557)&amp;" - "&amp;INDEX(Calc!$D$2:$D$1601,$AT557)&amp;" koli")</f>
        <v/>
      </c>
      <c r="Z557" t="str">
        <f>IF($AS557="","",Config!$B$21)</f>
        <v/>
      </c>
      <c r="AA557" t="str">
        <f>IF($AS557="","",Config!$B$22)</f>
        <v/>
      </c>
      <c r="AB557" t="str">
        <f>IF($AT557="","",INDEX(Calc!$D$2:$D$1601,$AT557))</f>
        <v/>
      </c>
      <c r="AC557" t="str">
        <f>IF($AT557="","",INDEX(Calc!$G$2:$G$1601,$AT557))</f>
        <v/>
      </c>
      <c r="AD557" t="str">
        <f>IF($AS557="","",Config!$B$23)</f>
        <v/>
      </c>
      <c r="AE557" t="str">
        <f>IF($AS557="","",Config!$B$28)</f>
        <v/>
      </c>
      <c r="AF557" t="str">
        <f t="shared" si="50"/>
        <v/>
      </c>
      <c r="AG557" t="str">
        <f t="shared" si="51"/>
        <v/>
      </c>
      <c r="AH557" t="str">
        <f t="shared" si="52"/>
        <v/>
      </c>
      <c r="AI557" t="str">
        <f>IF($AG557="","",SUMIF($AG$2:$AG557,$AG557,$AH$2:$AH557))</f>
        <v/>
      </c>
      <c r="AJ557" t="str">
        <f>IF('TMP Paste'!$F557="","",IF('TMP Paste'!$B557="",$AJ556,'TMP Paste'!$B557))</f>
        <v/>
      </c>
      <c r="AK557" t="str">
        <f>IF('TMP Paste'!$F557="","",N('TMP Paste'!$G557))</f>
        <v/>
      </c>
      <c r="AL557" t="str">
        <f>IF('TMP Paste'!$F557="","",IF('TMP Paste'!$M557="",$AL556,'TMP Paste'!$M557))</f>
        <v/>
      </c>
      <c r="AM557" t="str">
        <f>IF('TMP Paste'!$F557="","",IF('TMP Paste'!$N557="",$AM556,'TMP Paste'!$N557))</f>
        <v/>
      </c>
      <c r="AN557" t="str">
        <f>IF('TMP Paste'!$F557="","",IF('TMP Paste'!$O557="",$AN556,'TMP Paste'!$O557))</f>
        <v/>
      </c>
      <c r="AO557" t="str">
        <f>IF('TMP Paste'!$F557="","",IF('TMP Paste'!$P557="",$AO556,'TMP Paste'!$P557))</f>
        <v/>
      </c>
      <c r="AP557" t="str">
        <f t="shared" si="53"/>
        <v/>
      </c>
      <c r="AQ557" t="str">
        <f>IF($AS557="","",TRIM(IF(COUNTIFS(Calc!$B$2:$B$1601,ROW()-1,Calc!$C$2:$C$1601,"&lt;1")&gt;0,"Ada PO tanpa Koli - cek TMP. ","")&amp;IF(OR($AU557="",$AU557&lt;=0),"Volume kosong/0 - dimensi dikosongkan. ","")&amp;IF(AND($AU557&lt;&gt;"",$AU557&gt;=1000000),"Volume &gt;= 1.000.000 cm3 (di luar aturan) - dimensi dikosongkan. ","")&amp;IF(LEN($R557)&gt;500,"R &gt; 500 karakter.","")))</f>
        <v/>
      </c>
      <c r="AS557" t="str">
        <f>IFERROR(MATCH(ROW()-1,Calc!$J$2:$J$1601,0),"")</f>
        <v/>
      </c>
      <c r="AT557" t="str">
        <f>IFERROR(MATCH(ROW()-1,Calc!$K$2:$K$1601,0),"")</f>
        <v/>
      </c>
      <c r="AU557" t="str">
        <f>IF($AS557="","",IFERROR(INDEX('TMP Paste'!$D$2:$D$1601,$AS557)*1000000/$AB557,""))</f>
        <v/>
      </c>
    </row>
    <row r="558" spans="1:47">
      <c r="A558" t="str">
        <f>IF($AS558="","",INDEX('TMP Paste'!$B$2:$B$1601,$AS558))</f>
        <v/>
      </c>
      <c r="B558" t="str">
        <f>IF($AS558="","",Config!$B$14)</f>
        <v/>
      </c>
      <c r="C558" t="str">
        <f>IF($AS558="","",Config!$B$15)</f>
        <v/>
      </c>
      <c r="D558" t="str">
        <f>IF($AS558="","",INDEX('TMP Paste'!$B$2:$B$1601,$AS558))</f>
        <v/>
      </c>
      <c r="E558" t="str">
        <f>IF($AS558="","",Config!$B$27)</f>
        <v/>
      </c>
      <c r="F558" t="str">
        <f>IF($AS558="","",Config!$B$9)</f>
        <v/>
      </c>
      <c r="G558" t="str">
        <f>IF($AS558="","",Config!$B$10)</f>
        <v/>
      </c>
      <c r="H558" t="str">
        <f>IF($AS558="","",Config!$B$11)</f>
        <v/>
      </c>
      <c r="I558" t="str">
        <f>IF($AS558="","",Config!$B$16)</f>
        <v/>
      </c>
      <c r="J558" t="str">
        <f>IF($AS558="","",INDEX('TMP Paste'!$A$2:$A$1601,$AS558))</f>
        <v/>
      </c>
      <c r="K558" t="str">
        <f>IF($AS558="","",INDEX('TMP Paste'!$L$2:$L$1601,$AS558))</f>
        <v/>
      </c>
      <c r="L558" t="str">
        <f>IF($AS558="","",INDEX('TMP Paste'!$I$2:$I$1601,$AS558))</f>
        <v/>
      </c>
      <c r="M558" t="str">
        <f>IF($AS558="","",Config!$B$16)</f>
        <v/>
      </c>
      <c r="N558" t="str">
        <f t="shared" si="48"/>
        <v/>
      </c>
      <c r="O558" t="str">
        <f>IF($AS558="","",INDEX('TMP Paste'!$K$2:$K$1601,$AS558))</f>
        <v/>
      </c>
      <c r="P558" t="str">
        <f t="shared" si="49"/>
        <v/>
      </c>
      <c r="Q558" t="str">
        <f>IF($AS558="","",INDEX('TMP Paste'!$J$2:$J$1601,$AS558))</f>
        <v/>
      </c>
      <c r="R558" t="str">
        <f>IF($AS558="","",Config!$B$24)</f>
        <v/>
      </c>
      <c r="S558" t="str">
        <f ca="1">IF($AS558="","",TEXT(Config!$B$4,"yyyy-mm-dd"))</f>
        <v/>
      </c>
      <c r="T558" t="str">
        <f>IF($AS558="","",Config!$B$17)</f>
        <v/>
      </c>
      <c r="U558" t="str">
        <f>IF($AS558="","",Config!$B$18)</f>
        <v/>
      </c>
      <c r="V558" t="str">
        <f>IF($AS558="","",Config!$B$19)</f>
        <v/>
      </c>
      <c r="W558" t="str">
        <f>IF($AS558="","",INDEX('TMP Paste'!$C$2:$C$1601,$AS558))</f>
        <v/>
      </c>
      <c r="X558" t="str">
        <f>IF($AS558="","",Config!$B$29)</f>
        <v/>
      </c>
      <c r="Y558" t="str">
        <f>IF($AT558="","",INDEX(Calc!$I$2:$I$1601,$AT558)&amp;" - "&amp;INDEX(Calc!$D$2:$D$1601,$AT558)&amp;" koli")</f>
        <v/>
      </c>
      <c r="Z558" t="str">
        <f>IF($AS558="","",Config!$B$21)</f>
        <v/>
      </c>
      <c r="AA558" t="str">
        <f>IF($AS558="","",Config!$B$22)</f>
        <v/>
      </c>
      <c r="AB558" t="str">
        <f>IF($AT558="","",INDEX(Calc!$D$2:$D$1601,$AT558))</f>
        <v/>
      </c>
      <c r="AC558" t="str">
        <f>IF($AT558="","",INDEX(Calc!$G$2:$G$1601,$AT558))</f>
        <v/>
      </c>
      <c r="AD558" t="str">
        <f>IF($AS558="","",Config!$B$23)</f>
        <v/>
      </c>
      <c r="AE558" t="str">
        <f>IF($AS558="","",Config!$B$28)</f>
        <v/>
      </c>
      <c r="AF558" t="str">
        <f t="shared" si="50"/>
        <v/>
      </c>
      <c r="AG558" t="str">
        <f t="shared" si="51"/>
        <v/>
      </c>
      <c r="AH558" t="str">
        <f t="shared" si="52"/>
        <v/>
      </c>
      <c r="AI558" t="str">
        <f>IF($AG558="","",SUMIF($AG$2:$AG558,$AG558,$AH$2:$AH558))</f>
        <v/>
      </c>
      <c r="AJ558" t="str">
        <f>IF('TMP Paste'!$F558="","",IF('TMP Paste'!$B558="",$AJ557,'TMP Paste'!$B558))</f>
        <v/>
      </c>
      <c r="AK558" t="str">
        <f>IF('TMP Paste'!$F558="","",N('TMP Paste'!$G558))</f>
        <v/>
      </c>
      <c r="AL558" t="str">
        <f>IF('TMP Paste'!$F558="","",IF('TMP Paste'!$M558="",$AL557,'TMP Paste'!$M558))</f>
        <v/>
      </c>
      <c r="AM558" t="str">
        <f>IF('TMP Paste'!$F558="","",IF('TMP Paste'!$N558="",$AM557,'TMP Paste'!$N558))</f>
        <v/>
      </c>
      <c r="AN558" t="str">
        <f>IF('TMP Paste'!$F558="","",IF('TMP Paste'!$O558="",$AN557,'TMP Paste'!$O558))</f>
        <v/>
      </c>
      <c r="AO558" t="str">
        <f>IF('TMP Paste'!$F558="","",IF('TMP Paste'!$P558="",$AO557,'TMP Paste'!$P558))</f>
        <v/>
      </c>
      <c r="AP558" t="str">
        <f t="shared" si="53"/>
        <v/>
      </c>
      <c r="AQ558" t="str">
        <f>IF($AS558="","",TRIM(IF(COUNTIFS(Calc!$B$2:$B$1601,ROW()-1,Calc!$C$2:$C$1601,"&lt;1")&gt;0,"Ada PO tanpa Koli - cek TMP. ","")&amp;IF(OR($AU558="",$AU558&lt;=0),"Volume kosong/0 - dimensi dikosongkan. ","")&amp;IF(AND($AU558&lt;&gt;"",$AU558&gt;=1000000),"Volume &gt;= 1.000.000 cm3 (di luar aturan) - dimensi dikosongkan. ","")&amp;IF(LEN($R558)&gt;500,"R &gt; 500 karakter.","")))</f>
        <v/>
      </c>
      <c r="AS558" t="str">
        <f>IFERROR(MATCH(ROW()-1,Calc!$J$2:$J$1601,0),"")</f>
        <v/>
      </c>
      <c r="AT558" t="str">
        <f>IFERROR(MATCH(ROW()-1,Calc!$K$2:$K$1601,0),"")</f>
        <v/>
      </c>
      <c r="AU558" t="str">
        <f>IF($AS558="","",IFERROR(INDEX('TMP Paste'!$D$2:$D$1601,$AS558)*1000000/$AB558,""))</f>
        <v/>
      </c>
    </row>
    <row r="559" spans="1:47">
      <c r="A559" t="str">
        <f>IF($AS559="","",INDEX('TMP Paste'!$B$2:$B$1601,$AS559))</f>
        <v/>
      </c>
      <c r="B559" t="str">
        <f>IF($AS559="","",Config!$B$14)</f>
        <v/>
      </c>
      <c r="C559" t="str">
        <f>IF($AS559="","",Config!$B$15)</f>
        <v/>
      </c>
      <c r="D559" t="str">
        <f>IF($AS559="","",INDEX('TMP Paste'!$B$2:$B$1601,$AS559))</f>
        <v/>
      </c>
      <c r="E559" t="str">
        <f>IF($AS559="","",Config!$B$27)</f>
        <v/>
      </c>
      <c r="F559" t="str">
        <f>IF($AS559="","",Config!$B$9)</f>
        <v/>
      </c>
      <c r="G559" t="str">
        <f>IF($AS559="","",Config!$B$10)</f>
        <v/>
      </c>
      <c r="H559" t="str">
        <f>IF($AS559="","",Config!$B$11)</f>
        <v/>
      </c>
      <c r="I559" t="str">
        <f>IF($AS559="","",Config!$B$16)</f>
        <v/>
      </c>
      <c r="J559" t="str">
        <f>IF($AS559="","",INDEX('TMP Paste'!$A$2:$A$1601,$AS559))</f>
        <v/>
      </c>
      <c r="K559" t="str">
        <f>IF($AS559="","",INDEX('TMP Paste'!$L$2:$L$1601,$AS559))</f>
        <v/>
      </c>
      <c r="L559" t="str">
        <f>IF($AS559="","",INDEX('TMP Paste'!$I$2:$I$1601,$AS559))</f>
        <v/>
      </c>
      <c r="M559" t="str">
        <f>IF($AS559="","",Config!$B$16)</f>
        <v/>
      </c>
      <c r="N559" t="str">
        <f t="shared" si="48"/>
        <v/>
      </c>
      <c r="O559" t="str">
        <f>IF($AS559="","",INDEX('TMP Paste'!$K$2:$K$1601,$AS559))</f>
        <v/>
      </c>
      <c r="P559" t="str">
        <f t="shared" si="49"/>
        <v/>
      </c>
      <c r="Q559" t="str">
        <f>IF($AS559="","",INDEX('TMP Paste'!$J$2:$J$1601,$AS559))</f>
        <v/>
      </c>
      <c r="R559" t="str">
        <f>IF($AS559="","",Config!$B$24)</f>
        <v/>
      </c>
      <c r="S559" t="str">
        <f ca="1">IF($AS559="","",TEXT(Config!$B$4,"yyyy-mm-dd"))</f>
        <v/>
      </c>
      <c r="T559" t="str">
        <f>IF($AS559="","",Config!$B$17)</f>
        <v/>
      </c>
      <c r="U559" t="str">
        <f>IF($AS559="","",Config!$B$18)</f>
        <v/>
      </c>
      <c r="V559" t="str">
        <f>IF($AS559="","",Config!$B$19)</f>
        <v/>
      </c>
      <c r="W559" t="str">
        <f>IF($AS559="","",INDEX('TMP Paste'!$C$2:$C$1601,$AS559))</f>
        <v/>
      </c>
      <c r="X559" t="str">
        <f>IF($AS559="","",Config!$B$29)</f>
        <v/>
      </c>
      <c r="Y559" t="str">
        <f>IF($AT559="","",INDEX(Calc!$I$2:$I$1601,$AT559)&amp;" - "&amp;INDEX(Calc!$D$2:$D$1601,$AT559)&amp;" koli")</f>
        <v/>
      </c>
      <c r="Z559" t="str">
        <f>IF($AS559="","",Config!$B$21)</f>
        <v/>
      </c>
      <c r="AA559" t="str">
        <f>IF($AS559="","",Config!$B$22)</f>
        <v/>
      </c>
      <c r="AB559" t="str">
        <f>IF($AT559="","",INDEX(Calc!$D$2:$D$1601,$AT559))</f>
        <v/>
      </c>
      <c r="AC559" t="str">
        <f>IF($AT559="","",INDEX(Calc!$G$2:$G$1601,$AT559))</f>
        <v/>
      </c>
      <c r="AD559" t="str">
        <f>IF($AS559="","",Config!$B$23)</f>
        <v/>
      </c>
      <c r="AE559" t="str">
        <f>IF($AS559="","",Config!$B$28)</f>
        <v/>
      </c>
      <c r="AF559" t="str">
        <f t="shared" si="50"/>
        <v/>
      </c>
      <c r="AG559" t="str">
        <f t="shared" si="51"/>
        <v/>
      </c>
      <c r="AH559" t="str">
        <f t="shared" si="52"/>
        <v/>
      </c>
      <c r="AI559" t="str">
        <f>IF($AG559="","",SUMIF($AG$2:$AG559,$AG559,$AH$2:$AH559))</f>
        <v/>
      </c>
      <c r="AJ559" t="str">
        <f>IF('TMP Paste'!$F559="","",IF('TMP Paste'!$B559="",$AJ558,'TMP Paste'!$B559))</f>
        <v/>
      </c>
      <c r="AK559" t="str">
        <f>IF('TMP Paste'!$F559="","",N('TMP Paste'!$G559))</f>
        <v/>
      </c>
      <c r="AL559" t="str">
        <f>IF('TMP Paste'!$F559="","",IF('TMP Paste'!$M559="",$AL558,'TMP Paste'!$M559))</f>
        <v/>
      </c>
      <c r="AM559" t="str">
        <f>IF('TMP Paste'!$F559="","",IF('TMP Paste'!$N559="",$AM558,'TMP Paste'!$N559))</f>
        <v/>
      </c>
      <c r="AN559" t="str">
        <f>IF('TMP Paste'!$F559="","",IF('TMP Paste'!$O559="",$AN558,'TMP Paste'!$O559))</f>
        <v/>
      </c>
      <c r="AO559" t="str">
        <f>IF('TMP Paste'!$F559="","",IF('TMP Paste'!$P559="",$AO558,'TMP Paste'!$P559))</f>
        <v/>
      </c>
      <c r="AP559" t="str">
        <f t="shared" si="53"/>
        <v/>
      </c>
      <c r="AQ559" t="str">
        <f>IF($AS559="","",TRIM(IF(COUNTIFS(Calc!$B$2:$B$1601,ROW()-1,Calc!$C$2:$C$1601,"&lt;1")&gt;0,"Ada PO tanpa Koli - cek TMP. ","")&amp;IF(OR($AU559="",$AU559&lt;=0),"Volume kosong/0 - dimensi dikosongkan. ","")&amp;IF(AND($AU559&lt;&gt;"",$AU559&gt;=1000000),"Volume &gt;= 1.000.000 cm3 (di luar aturan) - dimensi dikosongkan. ","")&amp;IF(LEN($R559)&gt;500,"R &gt; 500 karakter.","")))</f>
        <v/>
      </c>
      <c r="AS559" t="str">
        <f>IFERROR(MATCH(ROW()-1,Calc!$J$2:$J$1601,0),"")</f>
        <v/>
      </c>
      <c r="AT559" t="str">
        <f>IFERROR(MATCH(ROW()-1,Calc!$K$2:$K$1601,0),"")</f>
        <v/>
      </c>
      <c r="AU559" t="str">
        <f>IF($AS559="","",IFERROR(INDEX('TMP Paste'!$D$2:$D$1601,$AS559)*1000000/$AB559,""))</f>
        <v/>
      </c>
    </row>
    <row r="560" spans="1:47">
      <c r="A560" t="str">
        <f>IF($AS560="","",INDEX('TMP Paste'!$B$2:$B$1601,$AS560))</f>
        <v/>
      </c>
      <c r="B560" t="str">
        <f>IF($AS560="","",Config!$B$14)</f>
        <v/>
      </c>
      <c r="C560" t="str">
        <f>IF($AS560="","",Config!$B$15)</f>
        <v/>
      </c>
      <c r="D560" t="str">
        <f>IF($AS560="","",INDEX('TMP Paste'!$B$2:$B$1601,$AS560))</f>
        <v/>
      </c>
      <c r="E560" t="str">
        <f>IF($AS560="","",Config!$B$27)</f>
        <v/>
      </c>
      <c r="F560" t="str">
        <f>IF($AS560="","",Config!$B$9)</f>
        <v/>
      </c>
      <c r="G560" t="str">
        <f>IF($AS560="","",Config!$B$10)</f>
        <v/>
      </c>
      <c r="H560" t="str">
        <f>IF($AS560="","",Config!$B$11)</f>
        <v/>
      </c>
      <c r="I560" t="str">
        <f>IF($AS560="","",Config!$B$16)</f>
        <v/>
      </c>
      <c r="J560" t="str">
        <f>IF($AS560="","",INDEX('TMP Paste'!$A$2:$A$1601,$AS560))</f>
        <v/>
      </c>
      <c r="K560" t="str">
        <f>IF($AS560="","",INDEX('TMP Paste'!$L$2:$L$1601,$AS560))</f>
        <v/>
      </c>
      <c r="L560" t="str">
        <f>IF($AS560="","",INDEX('TMP Paste'!$I$2:$I$1601,$AS560))</f>
        <v/>
      </c>
      <c r="M560" t="str">
        <f>IF($AS560="","",Config!$B$16)</f>
        <v/>
      </c>
      <c r="N560" t="str">
        <f t="shared" si="48"/>
        <v/>
      </c>
      <c r="O560" t="str">
        <f>IF($AS560="","",INDEX('TMP Paste'!$K$2:$K$1601,$AS560))</f>
        <v/>
      </c>
      <c r="P560" t="str">
        <f t="shared" si="49"/>
        <v/>
      </c>
      <c r="Q560" t="str">
        <f>IF($AS560="","",INDEX('TMP Paste'!$J$2:$J$1601,$AS560))</f>
        <v/>
      </c>
      <c r="R560" t="str">
        <f>IF($AS560="","",Config!$B$24)</f>
        <v/>
      </c>
      <c r="S560" t="str">
        <f ca="1">IF($AS560="","",TEXT(Config!$B$4,"yyyy-mm-dd"))</f>
        <v/>
      </c>
      <c r="T560" t="str">
        <f>IF($AS560="","",Config!$B$17)</f>
        <v/>
      </c>
      <c r="U560" t="str">
        <f>IF($AS560="","",Config!$B$18)</f>
        <v/>
      </c>
      <c r="V560" t="str">
        <f>IF($AS560="","",Config!$B$19)</f>
        <v/>
      </c>
      <c r="W560" t="str">
        <f>IF($AS560="","",INDEX('TMP Paste'!$C$2:$C$1601,$AS560))</f>
        <v/>
      </c>
      <c r="X560" t="str">
        <f>IF($AS560="","",Config!$B$29)</f>
        <v/>
      </c>
      <c r="Y560" t="str">
        <f>IF($AT560="","",INDEX(Calc!$I$2:$I$1601,$AT560)&amp;" - "&amp;INDEX(Calc!$D$2:$D$1601,$AT560)&amp;" koli")</f>
        <v/>
      </c>
      <c r="Z560" t="str">
        <f>IF($AS560="","",Config!$B$21)</f>
        <v/>
      </c>
      <c r="AA560" t="str">
        <f>IF($AS560="","",Config!$B$22)</f>
        <v/>
      </c>
      <c r="AB560" t="str">
        <f>IF($AT560="","",INDEX(Calc!$D$2:$D$1601,$AT560))</f>
        <v/>
      </c>
      <c r="AC560" t="str">
        <f>IF($AT560="","",INDEX(Calc!$G$2:$G$1601,$AT560))</f>
        <v/>
      </c>
      <c r="AD560" t="str">
        <f>IF($AS560="","",Config!$B$23)</f>
        <v/>
      </c>
      <c r="AE560" t="str">
        <f>IF($AS560="","",Config!$B$28)</f>
        <v/>
      </c>
      <c r="AF560" t="str">
        <f t="shared" si="50"/>
        <v/>
      </c>
      <c r="AG560" t="str">
        <f t="shared" si="51"/>
        <v/>
      </c>
      <c r="AH560" t="str">
        <f t="shared" si="52"/>
        <v/>
      </c>
      <c r="AI560" t="str">
        <f>IF($AG560="","",SUMIF($AG$2:$AG560,$AG560,$AH$2:$AH560))</f>
        <v/>
      </c>
      <c r="AJ560" t="str">
        <f>IF('TMP Paste'!$F560="","",IF('TMP Paste'!$B560="",$AJ559,'TMP Paste'!$B560))</f>
        <v/>
      </c>
      <c r="AK560" t="str">
        <f>IF('TMP Paste'!$F560="","",N('TMP Paste'!$G560))</f>
        <v/>
      </c>
      <c r="AL560" t="str">
        <f>IF('TMP Paste'!$F560="","",IF('TMP Paste'!$M560="",$AL559,'TMP Paste'!$M560))</f>
        <v/>
      </c>
      <c r="AM560" t="str">
        <f>IF('TMP Paste'!$F560="","",IF('TMP Paste'!$N560="",$AM559,'TMP Paste'!$N560))</f>
        <v/>
      </c>
      <c r="AN560" t="str">
        <f>IF('TMP Paste'!$F560="","",IF('TMP Paste'!$O560="",$AN559,'TMP Paste'!$O560))</f>
        <v/>
      </c>
      <c r="AO560" t="str">
        <f>IF('TMP Paste'!$F560="","",IF('TMP Paste'!$P560="",$AO559,'TMP Paste'!$P560))</f>
        <v/>
      </c>
      <c r="AP560" t="str">
        <f t="shared" si="53"/>
        <v/>
      </c>
      <c r="AQ560" t="str">
        <f>IF($AS560="","",TRIM(IF(COUNTIFS(Calc!$B$2:$B$1601,ROW()-1,Calc!$C$2:$C$1601,"&lt;1")&gt;0,"Ada PO tanpa Koli - cek TMP. ","")&amp;IF(OR($AU560="",$AU560&lt;=0),"Volume kosong/0 - dimensi dikosongkan. ","")&amp;IF(AND($AU560&lt;&gt;"",$AU560&gt;=1000000),"Volume &gt;= 1.000.000 cm3 (di luar aturan) - dimensi dikosongkan. ","")&amp;IF(LEN($R560)&gt;500,"R &gt; 500 karakter.","")))</f>
        <v/>
      </c>
      <c r="AS560" t="str">
        <f>IFERROR(MATCH(ROW()-1,Calc!$J$2:$J$1601,0),"")</f>
        <v/>
      </c>
      <c r="AT560" t="str">
        <f>IFERROR(MATCH(ROW()-1,Calc!$K$2:$K$1601,0),"")</f>
        <v/>
      </c>
      <c r="AU560" t="str">
        <f>IF($AS560="","",IFERROR(INDEX('TMP Paste'!$D$2:$D$1601,$AS560)*1000000/$AB560,""))</f>
        <v/>
      </c>
    </row>
    <row r="561" spans="1:47">
      <c r="A561" t="str">
        <f>IF($AS561="","",INDEX('TMP Paste'!$B$2:$B$1601,$AS561))</f>
        <v/>
      </c>
      <c r="B561" t="str">
        <f>IF($AS561="","",Config!$B$14)</f>
        <v/>
      </c>
      <c r="C561" t="str">
        <f>IF($AS561="","",Config!$B$15)</f>
        <v/>
      </c>
      <c r="D561" t="str">
        <f>IF($AS561="","",INDEX('TMP Paste'!$B$2:$B$1601,$AS561))</f>
        <v/>
      </c>
      <c r="E561" t="str">
        <f>IF($AS561="","",Config!$B$27)</f>
        <v/>
      </c>
      <c r="F561" t="str">
        <f>IF($AS561="","",Config!$B$9)</f>
        <v/>
      </c>
      <c r="G561" t="str">
        <f>IF($AS561="","",Config!$B$10)</f>
        <v/>
      </c>
      <c r="H561" t="str">
        <f>IF($AS561="","",Config!$B$11)</f>
        <v/>
      </c>
      <c r="I561" t="str">
        <f>IF($AS561="","",Config!$B$16)</f>
        <v/>
      </c>
      <c r="J561" t="str">
        <f>IF($AS561="","",INDEX('TMP Paste'!$A$2:$A$1601,$AS561))</f>
        <v/>
      </c>
      <c r="K561" t="str">
        <f>IF($AS561="","",INDEX('TMP Paste'!$L$2:$L$1601,$AS561))</f>
        <v/>
      </c>
      <c r="L561" t="str">
        <f>IF($AS561="","",INDEX('TMP Paste'!$I$2:$I$1601,$AS561))</f>
        <v/>
      </c>
      <c r="M561" t="str">
        <f>IF($AS561="","",Config!$B$16)</f>
        <v/>
      </c>
      <c r="N561" t="str">
        <f t="shared" si="48"/>
        <v/>
      </c>
      <c r="O561" t="str">
        <f>IF($AS561="","",INDEX('TMP Paste'!$K$2:$K$1601,$AS561))</f>
        <v/>
      </c>
      <c r="P561" t="str">
        <f t="shared" si="49"/>
        <v/>
      </c>
      <c r="Q561" t="str">
        <f>IF($AS561="","",INDEX('TMP Paste'!$J$2:$J$1601,$AS561))</f>
        <v/>
      </c>
      <c r="R561" t="str">
        <f>IF($AS561="","",Config!$B$24)</f>
        <v/>
      </c>
      <c r="S561" t="str">
        <f ca="1">IF($AS561="","",TEXT(Config!$B$4,"yyyy-mm-dd"))</f>
        <v/>
      </c>
      <c r="T561" t="str">
        <f>IF($AS561="","",Config!$B$17)</f>
        <v/>
      </c>
      <c r="U561" t="str">
        <f>IF($AS561="","",Config!$B$18)</f>
        <v/>
      </c>
      <c r="V561" t="str">
        <f>IF($AS561="","",Config!$B$19)</f>
        <v/>
      </c>
      <c r="W561" t="str">
        <f>IF($AS561="","",INDEX('TMP Paste'!$C$2:$C$1601,$AS561))</f>
        <v/>
      </c>
      <c r="X561" t="str">
        <f>IF($AS561="","",Config!$B$29)</f>
        <v/>
      </c>
      <c r="Y561" t="str">
        <f>IF($AT561="","",INDEX(Calc!$I$2:$I$1601,$AT561)&amp;" - "&amp;INDEX(Calc!$D$2:$D$1601,$AT561)&amp;" koli")</f>
        <v/>
      </c>
      <c r="Z561" t="str">
        <f>IF($AS561="","",Config!$B$21)</f>
        <v/>
      </c>
      <c r="AA561" t="str">
        <f>IF($AS561="","",Config!$B$22)</f>
        <v/>
      </c>
      <c r="AB561" t="str">
        <f>IF($AT561="","",INDEX(Calc!$D$2:$D$1601,$AT561))</f>
        <v/>
      </c>
      <c r="AC561" t="str">
        <f>IF($AT561="","",INDEX(Calc!$G$2:$G$1601,$AT561))</f>
        <v/>
      </c>
      <c r="AD561" t="str">
        <f>IF($AS561="","",Config!$B$23)</f>
        <v/>
      </c>
      <c r="AE561" t="str">
        <f>IF($AS561="","",Config!$B$28)</f>
        <v/>
      </c>
      <c r="AF561" t="str">
        <f t="shared" si="50"/>
        <v/>
      </c>
      <c r="AG561" t="str">
        <f t="shared" si="51"/>
        <v/>
      </c>
      <c r="AH561" t="str">
        <f t="shared" si="52"/>
        <v/>
      </c>
      <c r="AI561" t="str">
        <f>IF($AG561="","",SUMIF($AG$2:$AG561,$AG561,$AH$2:$AH561))</f>
        <v/>
      </c>
      <c r="AJ561" t="str">
        <f>IF('TMP Paste'!$F561="","",IF('TMP Paste'!$B561="",$AJ560,'TMP Paste'!$B561))</f>
        <v/>
      </c>
      <c r="AK561" t="str">
        <f>IF('TMP Paste'!$F561="","",N('TMP Paste'!$G561))</f>
        <v/>
      </c>
      <c r="AL561" t="str">
        <f>IF('TMP Paste'!$F561="","",IF('TMP Paste'!$M561="",$AL560,'TMP Paste'!$M561))</f>
        <v/>
      </c>
      <c r="AM561" t="str">
        <f>IF('TMP Paste'!$F561="","",IF('TMP Paste'!$N561="",$AM560,'TMP Paste'!$N561))</f>
        <v/>
      </c>
      <c r="AN561" t="str">
        <f>IF('TMP Paste'!$F561="","",IF('TMP Paste'!$O561="",$AN560,'TMP Paste'!$O561))</f>
        <v/>
      </c>
      <c r="AO561" t="str">
        <f>IF('TMP Paste'!$F561="","",IF('TMP Paste'!$P561="",$AO560,'TMP Paste'!$P561))</f>
        <v/>
      </c>
      <c r="AP561" t="str">
        <f t="shared" si="53"/>
        <v/>
      </c>
      <c r="AQ561" t="str">
        <f>IF($AS561="","",TRIM(IF(COUNTIFS(Calc!$B$2:$B$1601,ROW()-1,Calc!$C$2:$C$1601,"&lt;1")&gt;0,"Ada PO tanpa Koli - cek TMP. ","")&amp;IF(OR($AU561="",$AU561&lt;=0),"Volume kosong/0 - dimensi dikosongkan. ","")&amp;IF(AND($AU561&lt;&gt;"",$AU561&gt;=1000000),"Volume &gt;= 1.000.000 cm3 (di luar aturan) - dimensi dikosongkan. ","")&amp;IF(LEN($R561)&gt;500,"R &gt; 500 karakter.","")))</f>
        <v/>
      </c>
      <c r="AS561" t="str">
        <f>IFERROR(MATCH(ROW()-1,Calc!$J$2:$J$1601,0),"")</f>
        <v/>
      </c>
      <c r="AT561" t="str">
        <f>IFERROR(MATCH(ROW()-1,Calc!$K$2:$K$1601,0),"")</f>
        <v/>
      </c>
      <c r="AU561" t="str">
        <f>IF($AS561="","",IFERROR(INDEX('TMP Paste'!$D$2:$D$1601,$AS561)*1000000/$AB561,""))</f>
        <v/>
      </c>
    </row>
    <row r="562" spans="1:47">
      <c r="A562" t="str">
        <f>IF($AS562="","",INDEX('TMP Paste'!$B$2:$B$1601,$AS562))</f>
        <v/>
      </c>
      <c r="B562" t="str">
        <f>IF($AS562="","",Config!$B$14)</f>
        <v/>
      </c>
      <c r="C562" t="str">
        <f>IF($AS562="","",Config!$B$15)</f>
        <v/>
      </c>
      <c r="D562" t="str">
        <f>IF($AS562="","",INDEX('TMP Paste'!$B$2:$B$1601,$AS562))</f>
        <v/>
      </c>
      <c r="E562" t="str">
        <f>IF($AS562="","",Config!$B$27)</f>
        <v/>
      </c>
      <c r="F562" t="str">
        <f>IF($AS562="","",Config!$B$9)</f>
        <v/>
      </c>
      <c r="G562" t="str">
        <f>IF($AS562="","",Config!$B$10)</f>
        <v/>
      </c>
      <c r="H562" t="str">
        <f>IF($AS562="","",Config!$B$11)</f>
        <v/>
      </c>
      <c r="I562" t="str">
        <f>IF($AS562="","",Config!$B$16)</f>
        <v/>
      </c>
      <c r="J562" t="str">
        <f>IF($AS562="","",INDEX('TMP Paste'!$A$2:$A$1601,$AS562))</f>
        <v/>
      </c>
      <c r="K562" t="str">
        <f>IF($AS562="","",INDEX('TMP Paste'!$L$2:$L$1601,$AS562))</f>
        <v/>
      </c>
      <c r="L562" t="str">
        <f>IF($AS562="","",INDEX('TMP Paste'!$I$2:$I$1601,$AS562))</f>
        <v/>
      </c>
      <c r="M562" t="str">
        <f>IF($AS562="","",Config!$B$16)</f>
        <v/>
      </c>
      <c r="N562" t="str">
        <f t="shared" si="48"/>
        <v/>
      </c>
      <c r="O562" t="str">
        <f>IF($AS562="","",INDEX('TMP Paste'!$K$2:$K$1601,$AS562))</f>
        <v/>
      </c>
      <c r="P562" t="str">
        <f t="shared" si="49"/>
        <v/>
      </c>
      <c r="Q562" t="str">
        <f>IF($AS562="","",INDEX('TMP Paste'!$J$2:$J$1601,$AS562))</f>
        <v/>
      </c>
      <c r="R562" t="str">
        <f>IF($AS562="","",Config!$B$24)</f>
        <v/>
      </c>
      <c r="S562" t="str">
        <f ca="1">IF($AS562="","",TEXT(Config!$B$4,"yyyy-mm-dd"))</f>
        <v/>
      </c>
      <c r="T562" t="str">
        <f>IF($AS562="","",Config!$B$17)</f>
        <v/>
      </c>
      <c r="U562" t="str">
        <f>IF($AS562="","",Config!$B$18)</f>
        <v/>
      </c>
      <c r="V562" t="str">
        <f>IF($AS562="","",Config!$B$19)</f>
        <v/>
      </c>
      <c r="W562" t="str">
        <f>IF($AS562="","",INDEX('TMP Paste'!$C$2:$C$1601,$AS562))</f>
        <v/>
      </c>
      <c r="X562" t="str">
        <f>IF($AS562="","",Config!$B$29)</f>
        <v/>
      </c>
      <c r="Y562" t="str">
        <f>IF($AT562="","",INDEX(Calc!$I$2:$I$1601,$AT562)&amp;" - "&amp;INDEX(Calc!$D$2:$D$1601,$AT562)&amp;" koli")</f>
        <v/>
      </c>
      <c r="Z562" t="str">
        <f>IF($AS562="","",Config!$B$21)</f>
        <v/>
      </c>
      <c r="AA562" t="str">
        <f>IF($AS562="","",Config!$B$22)</f>
        <v/>
      </c>
      <c r="AB562" t="str">
        <f>IF($AT562="","",INDEX(Calc!$D$2:$D$1601,$AT562))</f>
        <v/>
      </c>
      <c r="AC562" t="str">
        <f>IF($AT562="","",INDEX(Calc!$G$2:$G$1601,$AT562))</f>
        <v/>
      </c>
      <c r="AD562" t="str">
        <f>IF($AS562="","",Config!$B$23)</f>
        <v/>
      </c>
      <c r="AE562" t="str">
        <f>IF($AS562="","",Config!$B$28)</f>
        <v/>
      </c>
      <c r="AF562" t="str">
        <f t="shared" si="50"/>
        <v/>
      </c>
      <c r="AG562" t="str">
        <f t="shared" si="51"/>
        <v/>
      </c>
      <c r="AH562" t="str">
        <f t="shared" si="52"/>
        <v/>
      </c>
      <c r="AI562" t="str">
        <f>IF($AG562="","",SUMIF($AG$2:$AG562,$AG562,$AH$2:$AH562))</f>
        <v/>
      </c>
      <c r="AJ562" t="str">
        <f>IF('TMP Paste'!$F562="","",IF('TMP Paste'!$B562="",$AJ561,'TMP Paste'!$B562))</f>
        <v/>
      </c>
      <c r="AK562" t="str">
        <f>IF('TMP Paste'!$F562="","",N('TMP Paste'!$G562))</f>
        <v/>
      </c>
      <c r="AL562" t="str">
        <f>IF('TMP Paste'!$F562="","",IF('TMP Paste'!$M562="",$AL561,'TMP Paste'!$M562))</f>
        <v/>
      </c>
      <c r="AM562" t="str">
        <f>IF('TMP Paste'!$F562="","",IF('TMP Paste'!$N562="",$AM561,'TMP Paste'!$N562))</f>
        <v/>
      </c>
      <c r="AN562" t="str">
        <f>IF('TMP Paste'!$F562="","",IF('TMP Paste'!$O562="",$AN561,'TMP Paste'!$O562))</f>
        <v/>
      </c>
      <c r="AO562" t="str">
        <f>IF('TMP Paste'!$F562="","",IF('TMP Paste'!$P562="",$AO561,'TMP Paste'!$P562))</f>
        <v/>
      </c>
      <c r="AP562" t="str">
        <f t="shared" si="53"/>
        <v/>
      </c>
      <c r="AQ562" t="str">
        <f>IF($AS562="","",TRIM(IF(COUNTIFS(Calc!$B$2:$B$1601,ROW()-1,Calc!$C$2:$C$1601,"&lt;1")&gt;0,"Ada PO tanpa Koli - cek TMP. ","")&amp;IF(OR($AU562="",$AU562&lt;=0),"Volume kosong/0 - dimensi dikosongkan. ","")&amp;IF(AND($AU562&lt;&gt;"",$AU562&gt;=1000000),"Volume &gt;= 1.000.000 cm3 (di luar aturan) - dimensi dikosongkan. ","")&amp;IF(LEN($R562)&gt;500,"R &gt; 500 karakter.","")))</f>
        <v/>
      </c>
      <c r="AS562" t="str">
        <f>IFERROR(MATCH(ROW()-1,Calc!$J$2:$J$1601,0),"")</f>
        <v/>
      </c>
      <c r="AT562" t="str">
        <f>IFERROR(MATCH(ROW()-1,Calc!$K$2:$K$1601,0),"")</f>
        <v/>
      </c>
      <c r="AU562" t="str">
        <f>IF($AS562="","",IFERROR(INDEX('TMP Paste'!$D$2:$D$1601,$AS562)*1000000/$AB562,""))</f>
        <v/>
      </c>
    </row>
    <row r="563" spans="1:47">
      <c r="A563" t="str">
        <f>IF($AS563="","",INDEX('TMP Paste'!$B$2:$B$1601,$AS563))</f>
        <v/>
      </c>
      <c r="B563" t="str">
        <f>IF($AS563="","",Config!$B$14)</f>
        <v/>
      </c>
      <c r="C563" t="str">
        <f>IF($AS563="","",Config!$B$15)</f>
        <v/>
      </c>
      <c r="D563" t="str">
        <f>IF($AS563="","",INDEX('TMP Paste'!$B$2:$B$1601,$AS563))</f>
        <v/>
      </c>
      <c r="E563" t="str">
        <f>IF($AS563="","",Config!$B$27)</f>
        <v/>
      </c>
      <c r="F563" t="str">
        <f>IF($AS563="","",Config!$B$9)</f>
        <v/>
      </c>
      <c r="G563" t="str">
        <f>IF($AS563="","",Config!$B$10)</f>
        <v/>
      </c>
      <c r="H563" t="str">
        <f>IF($AS563="","",Config!$B$11)</f>
        <v/>
      </c>
      <c r="I563" t="str">
        <f>IF($AS563="","",Config!$B$16)</f>
        <v/>
      </c>
      <c r="J563" t="str">
        <f>IF($AS563="","",INDEX('TMP Paste'!$A$2:$A$1601,$AS563))</f>
        <v/>
      </c>
      <c r="K563" t="str">
        <f>IF($AS563="","",INDEX('TMP Paste'!$L$2:$L$1601,$AS563))</f>
        <v/>
      </c>
      <c r="L563" t="str">
        <f>IF($AS563="","",INDEX('TMP Paste'!$I$2:$I$1601,$AS563))</f>
        <v/>
      </c>
      <c r="M563" t="str">
        <f>IF($AS563="","",Config!$B$16)</f>
        <v/>
      </c>
      <c r="N563" t="str">
        <f t="shared" si="48"/>
        <v/>
      </c>
      <c r="O563" t="str">
        <f>IF($AS563="","",INDEX('TMP Paste'!$K$2:$K$1601,$AS563))</f>
        <v/>
      </c>
      <c r="P563" t="str">
        <f t="shared" si="49"/>
        <v/>
      </c>
      <c r="Q563" t="str">
        <f>IF($AS563="","",INDEX('TMP Paste'!$J$2:$J$1601,$AS563))</f>
        <v/>
      </c>
      <c r="R563" t="str">
        <f>IF($AS563="","",Config!$B$24)</f>
        <v/>
      </c>
      <c r="S563" t="str">
        <f ca="1">IF($AS563="","",TEXT(Config!$B$4,"yyyy-mm-dd"))</f>
        <v/>
      </c>
      <c r="T563" t="str">
        <f>IF($AS563="","",Config!$B$17)</f>
        <v/>
      </c>
      <c r="U563" t="str">
        <f>IF($AS563="","",Config!$B$18)</f>
        <v/>
      </c>
      <c r="V563" t="str">
        <f>IF($AS563="","",Config!$B$19)</f>
        <v/>
      </c>
      <c r="W563" t="str">
        <f>IF($AS563="","",INDEX('TMP Paste'!$C$2:$C$1601,$AS563))</f>
        <v/>
      </c>
      <c r="X563" t="str">
        <f>IF($AS563="","",Config!$B$29)</f>
        <v/>
      </c>
      <c r="Y563" t="str">
        <f>IF($AT563="","",INDEX(Calc!$I$2:$I$1601,$AT563)&amp;" - "&amp;INDEX(Calc!$D$2:$D$1601,$AT563)&amp;" koli")</f>
        <v/>
      </c>
      <c r="Z563" t="str">
        <f>IF($AS563="","",Config!$B$21)</f>
        <v/>
      </c>
      <c r="AA563" t="str">
        <f>IF($AS563="","",Config!$B$22)</f>
        <v/>
      </c>
      <c r="AB563" t="str">
        <f>IF($AT563="","",INDEX(Calc!$D$2:$D$1601,$AT563))</f>
        <v/>
      </c>
      <c r="AC563" t="str">
        <f>IF($AT563="","",INDEX(Calc!$G$2:$G$1601,$AT563))</f>
        <v/>
      </c>
      <c r="AD563" t="str">
        <f>IF($AS563="","",Config!$B$23)</f>
        <v/>
      </c>
      <c r="AE563" t="str">
        <f>IF($AS563="","",Config!$B$28)</f>
        <v/>
      </c>
      <c r="AF563" t="str">
        <f t="shared" si="50"/>
        <v/>
      </c>
      <c r="AG563" t="str">
        <f t="shared" si="51"/>
        <v/>
      </c>
      <c r="AH563" t="str">
        <f t="shared" si="52"/>
        <v/>
      </c>
      <c r="AI563" t="str">
        <f>IF($AG563="","",SUMIF($AG$2:$AG563,$AG563,$AH$2:$AH563))</f>
        <v/>
      </c>
      <c r="AJ563" t="str">
        <f>IF('TMP Paste'!$F563="","",IF('TMP Paste'!$B563="",$AJ562,'TMP Paste'!$B563))</f>
        <v/>
      </c>
      <c r="AK563" t="str">
        <f>IF('TMP Paste'!$F563="","",N('TMP Paste'!$G563))</f>
        <v/>
      </c>
      <c r="AL563" t="str">
        <f>IF('TMP Paste'!$F563="","",IF('TMP Paste'!$M563="",$AL562,'TMP Paste'!$M563))</f>
        <v/>
      </c>
      <c r="AM563" t="str">
        <f>IF('TMP Paste'!$F563="","",IF('TMP Paste'!$N563="",$AM562,'TMP Paste'!$N563))</f>
        <v/>
      </c>
      <c r="AN563" t="str">
        <f>IF('TMP Paste'!$F563="","",IF('TMP Paste'!$O563="",$AN562,'TMP Paste'!$O563))</f>
        <v/>
      </c>
      <c r="AO563" t="str">
        <f>IF('TMP Paste'!$F563="","",IF('TMP Paste'!$P563="",$AO562,'TMP Paste'!$P563))</f>
        <v/>
      </c>
      <c r="AP563" t="str">
        <f t="shared" si="53"/>
        <v/>
      </c>
      <c r="AQ563" t="str">
        <f>IF($AS563="","",TRIM(IF(COUNTIFS(Calc!$B$2:$B$1601,ROW()-1,Calc!$C$2:$C$1601,"&lt;1")&gt;0,"Ada PO tanpa Koli - cek TMP. ","")&amp;IF(OR($AU563="",$AU563&lt;=0),"Volume kosong/0 - dimensi dikosongkan. ","")&amp;IF(AND($AU563&lt;&gt;"",$AU563&gt;=1000000),"Volume &gt;= 1.000.000 cm3 (di luar aturan) - dimensi dikosongkan. ","")&amp;IF(LEN($R563)&gt;500,"R &gt; 500 karakter.","")))</f>
        <v/>
      </c>
      <c r="AS563" t="str">
        <f>IFERROR(MATCH(ROW()-1,Calc!$J$2:$J$1601,0),"")</f>
        <v/>
      </c>
      <c r="AT563" t="str">
        <f>IFERROR(MATCH(ROW()-1,Calc!$K$2:$K$1601,0),"")</f>
        <v/>
      </c>
      <c r="AU563" t="str">
        <f>IF($AS563="","",IFERROR(INDEX('TMP Paste'!$D$2:$D$1601,$AS563)*1000000/$AB563,""))</f>
        <v/>
      </c>
    </row>
    <row r="564" spans="1:47">
      <c r="A564" t="str">
        <f>IF($AS564="","",INDEX('TMP Paste'!$B$2:$B$1601,$AS564))</f>
        <v/>
      </c>
      <c r="B564" t="str">
        <f>IF($AS564="","",Config!$B$14)</f>
        <v/>
      </c>
      <c r="C564" t="str">
        <f>IF($AS564="","",Config!$B$15)</f>
        <v/>
      </c>
      <c r="D564" t="str">
        <f>IF($AS564="","",INDEX('TMP Paste'!$B$2:$B$1601,$AS564))</f>
        <v/>
      </c>
      <c r="E564" t="str">
        <f>IF($AS564="","",Config!$B$27)</f>
        <v/>
      </c>
      <c r="F564" t="str">
        <f>IF($AS564="","",Config!$B$9)</f>
        <v/>
      </c>
      <c r="G564" t="str">
        <f>IF($AS564="","",Config!$B$10)</f>
        <v/>
      </c>
      <c r="H564" t="str">
        <f>IF($AS564="","",Config!$B$11)</f>
        <v/>
      </c>
      <c r="I564" t="str">
        <f>IF($AS564="","",Config!$B$16)</f>
        <v/>
      </c>
      <c r="J564" t="str">
        <f>IF($AS564="","",INDEX('TMP Paste'!$A$2:$A$1601,$AS564))</f>
        <v/>
      </c>
      <c r="K564" t="str">
        <f>IF($AS564="","",INDEX('TMP Paste'!$L$2:$L$1601,$AS564))</f>
        <v/>
      </c>
      <c r="L564" t="str">
        <f>IF($AS564="","",INDEX('TMP Paste'!$I$2:$I$1601,$AS564))</f>
        <v/>
      </c>
      <c r="M564" t="str">
        <f>IF($AS564="","",Config!$B$16)</f>
        <v/>
      </c>
      <c r="N564" t="str">
        <f t="shared" si="48"/>
        <v/>
      </c>
      <c r="O564" t="str">
        <f>IF($AS564="","",INDEX('TMP Paste'!$K$2:$K$1601,$AS564))</f>
        <v/>
      </c>
      <c r="P564" t="str">
        <f t="shared" si="49"/>
        <v/>
      </c>
      <c r="Q564" t="str">
        <f>IF($AS564="","",INDEX('TMP Paste'!$J$2:$J$1601,$AS564))</f>
        <v/>
      </c>
      <c r="R564" t="str">
        <f>IF($AS564="","",Config!$B$24)</f>
        <v/>
      </c>
      <c r="S564" t="str">
        <f ca="1">IF($AS564="","",TEXT(Config!$B$4,"yyyy-mm-dd"))</f>
        <v/>
      </c>
      <c r="T564" t="str">
        <f>IF($AS564="","",Config!$B$17)</f>
        <v/>
      </c>
      <c r="U564" t="str">
        <f>IF($AS564="","",Config!$B$18)</f>
        <v/>
      </c>
      <c r="V564" t="str">
        <f>IF($AS564="","",Config!$B$19)</f>
        <v/>
      </c>
      <c r="W564" t="str">
        <f>IF($AS564="","",INDEX('TMP Paste'!$C$2:$C$1601,$AS564))</f>
        <v/>
      </c>
      <c r="X564" t="str">
        <f>IF($AS564="","",Config!$B$29)</f>
        <v/>
      </c>
      <c r="Y564" t="str">
        <f>IF($AT564="","",INDEX(Calc!$I$2:$I$1601,$AT564)&amp;" - "&amp;INDEX(Calc!$D$2:$D$1601,$AT564)&amp;" koli")</f>
        <v/>
      </c>
      <c r="Z564" t="str">
        <f>IF($AS564="","",Config!$B$21)</f>
        <v/>
      </c>
      <c r="AA564" t="str">
        <f>IF($AS564="","",Config!$B$22)</f>
        <v/>
      </c>
      <c r="AB564" t="str">
        <f>IF($AT564="","",INDEX(Calc!$D$2:$D$1601,$AT564))</f>
        <v/>
      </c>
      <c r="AC564" t="str">
        <f>IF($AT564="","",INDEX(Calc!$G$2:$G$1601,$AT564))</f>
        <v/>
      </c>
      <c r="AD564" t="str">
        <f>IF($AS564="","",Config!$B$23)</f>
        <v/>
      </c>
      <c r="AE564" t="str">
        <f>IF($AS564="","",Config!$B$28)</f>
        <v/>
      </c>
      <c r="AF564" t="str">
        <f t="shared" si="50"/>
        <v/>
      </c>
      <c r="AG564" t="str">
        <f t="shared" si="51"/>
        <v/>
      </c>
      <c r="AH564" t="str">
        <f t="shared" si="52"/>
        <v/>
      </c>
      <c r="AI564" t="str">
        <f>IF($AG564="","",SUMIF($AG$2:$AG564,$AG564,$AH$2:$AH564))</f>
        <v/>
      </c>
      <c r="AJ564" t="str">
        <f>IF('TMP Paste'!$F564="","",IF('TMP Paste'!$B564="",$AJ563,'TMP Paste'!$B564))</f>
        <v/>
      </c>
      <c r="AK564" t="str">
        <f>IF('TMP Paste'!$F564="","",N('TMP Paste'!$G564))</f>
        <v/>
      </c>
      <c r="AL564" t="str">
        <f>IF('TMP Paste'!$F564="","",IF('TMP Paste'!$M564="",$AL563,'TMP Paste'!$M564))</f>
        <v/>
      </c>
      <c r="AM564" t="str">
        <f>IF('TMP Paste'!$F564="","",IF('TMP Paste'!$N564="",$AM563,'TMP Paste'!$N564))</f>
        <v/>
      </c>
      <c r="AN564" t="str">
        <f>IF('TMP Paste'!$F564="","",IF('TMP Paste'!$O564="",$AN563,'TMP Paste'!$O564))</f>
        <v/>
      </c>
      <c r="AO564" t="str">
        <f>IF('TMP Paste'!$F564="","",IF('TMP Paste'!$P564="",$AO563,'TMP Paste'!$P564))</f>
        <v/>
      </c>
      <c r="AP564" t="str">
        <f t="shared" si="53"/>
        <v/>
      </c>
      <c r="AQ564" t="str">
        <f>IF($AS564="","",TRIM(IF(COUNTIFS(Calc!$B$2:$B$1601,ROW()-1,Calc!$C$2:$C$1601,"&lt;1")&gt;0,"Ada PO tanpa Koli - cek TMP. ","")&amp;IF(OR($AU564="",$AU564&lt;=0),"Volume kosong/0 - dimensi dikosongkan. ","")&amp;IF(AND($AU564&lt;&gt;"",$AU564&gt;=1000000),"Volume &gt;= 1.000.000 cm3 (di luar aturan) - dimensi dikosongkan. ","")&amp;IF(LEN($R564)&gt;500,"R &gt; 500 karakter.","")))</f>
        <v/>
      </c>
      <c r="AS564" t="str">
        <f>IFERROR(MATCH(ROW()-1,Calc!$J$2:$J$1601,0),"")</f>
        <v/>
      </c>
      <c r="AT564" t="str">
        <f>IFERROR(MATCH(ROW()-1,Calc!$K$2:$K$1601,0),"")</f>
        <v/>
      </c>
      <c r="AU564" t="str">
        <f>IF($AS564="","",IFERROR(INDEX('TMP Paste'!$D$2:$D$1601,$AS564)*1000000/$AB564,""))</f>
        <v/>
      </c>
    </row>
    <row r="565" spans="1:47">
      <c r="A565" t="str">
        <f>IF($AS565="","",INDEX('TMP Paste'!$B$2:$B$1601,$AS565))</f>
        <v/>
      </c>
      <c r="B565" t="str">
        <f>IF($AS565="","",Config!$B$14)</f>
        <v/>
      </c>
      <c r="C565" t="str">
        <f>IF($AS565="","",Config!$B$15)</f>
        <v/>
      </c>
      <c r="D565" t="str">
        <f>IF($AS565="","",INDEX('TMP Paste'!$B$2:$B$1601,$AS565))</f>
        <v/>
      </c>
      <c r="E565" t="str">
        <f>IF($AS565="","",Config!$B$27)</f>
        <v/>
      </c>
      <c r="F565" t="str">
        <f>IF($AS565="","",Config!$B$9)</f>
        <v/>
      </c>
      <c r="G565" t="str">
        <f>IF($AS565="","",Config!$B$10)</f>
        <v/>
      </c>
      <c r="H565" t="str">
        <f>IF($AS565="","",Config!$B$11)</f>
        <v/>
      </c>
      <c r="I565" t="str">
        <f>IF($AS565="","",Config!$B$16)</f>
        <v/>
      </c>
      <c r="J565" t="str">
        <f>IF($AS565="","",INDEX('TMP Paste'!$A$2:$A$1601,$AS565))</f>
        <v/>
      </c>
      <c r="K565" t="str">
        <f>IF($AS565="","",INDEX('TMP Paste'!$L$2:$L$1601,$AS565))</f>
        <v/>
      </c>
      <c r="L565" t="str">
        <f>IF($AS565="","",INDEX('TMP Paste'!$I$2:$I$1601,$AS565))</f>
        <v/>
      </c>
      <c r="M565" t="str">
        <f>IF($AS565="","",Config!$B$16)</f>
        <v/>
      </c>
      <c r="N565" t="str">
        <f t="shared" si="48"/>
        <v/>
      </c>
      <c r="O565" t="str">
        <f>IF($AS565="","",INDEX('TMP Paste'!$K$2:$K$1601,$AS565))</f>
        <v/>
      </c>
      <c r="P565" t="str">
        <f t="shared" si="49"/>
        <v/>
      </c>
      <c r="Q565" t="str">
        <f>IF($AS565="","",INDEX('TMP Paste'!$J$2:$J$1601,$AS565))</f>
        <v/>
      </c>
      <c r="R565" t="str">
        <f>IF($AS565="","",Config!$B$24)</f>
        <v/>
      </c>
      <c r="S565" t="str">
        <f ca="1">IF($AS565="","",TEXT(Config!$B$4,"yyyy-mm-dd"))</f>
        <v/>
      </c>
      <c r="T565" t="str">
        <f>IF($AS565="","",Config!$B$17)</f>
        <v/>
      </c>
      <c r="U565" t="str">
        <f>IF($AS565="","",Config!$B$18)</f>
        <v/>
      </c>
      <c r="V565" t="str">
        <f>IF($AS565="","",Config!$B$19)</f>
        <v/>
      </c>
      <c r="W565" t="str">
        <f>IF($AS565="","",INDEX('TMP Paste'!$C$2:$C$1601,$AS565))</f>
        <v/>
      </c>
      <c r="X565" t="str">
        <f>IF($AS565="","",Config!$B$29)</f>
        <v/>
      </c>
      <c r="Y565" t="str">
        <f>IF($AT565="","",INDEX(Calc!$I$2:$I$1601,$AT565)&amp;" - "&amp;INDEX(Calc!$D$2:$D$1601,$AT565)&amp;" koli")</f>
        <v/>
      </c>
      <c r="Z565" t="str">
        <f>IF($AS565="","",Config!$B$21)</f>
        <v/>
      </c>
      <c r="AA565" t="str">
        <f>IF($AS565="","",Config!$B$22)</f>
        <v/>
      </c>
      <c r="AB565" t="str">
        <f>IF($AT565="","",INDEX(Calc!$D$2:$D$1601,$AT565))</f>
        <v/>
      </c>
      <c r="AC565" t="str">
        <f>IF($AT565="","",INDEX(Calc!$G$2:$G$1601,$AT565))</f>
        <v/>
      </c>
      <c r="AD565" t="str">
        <f>IF($AS565="","",Config!$B$23)</f>
        <v/>
      </c>
      <c r="AE565" t="str">
        <f>IF($AS565="","",Config!$B$28)</f>
        <v/>
      </c>
      <c r="AF565" t="str">
        <f t="shared" si="50"/>
        <v/>
      </c>
      <c r="AG565" t="str">
        <f t="shared" si="51"/>
        <v/>
      </c>
      <c r="AH565" t="str">
        <f t="shared" si="52"/>
        <v/>
      </c>
      <c r="AI565" t="str">
        <f>IF($AG565="","",SUMIF($AG$2:$AG565,$AG565,$AH$2:$AH565))</f>
        <v/>
      </c>
      <c r="AJ565" t="str">
        <f>IF('TMP Paste'!$F565="","",IF('TMP Paste'!$B565="",$AJ564,'TMP Paste'!$B565))</f>
        <v/>
      </c>
      <c r="AK565" t="str">
        <f>IF('TMP Paste'!$F565="","",N('TMP Paste'!$G565))</f>
        <v/>
      </c>
      <c r="AL565" t="str">
        <f>IF('TMP Paste'!$F565="","",IF('TMP Paste'!$M565="",$AL564,'TMP Paste'!$M565))</f>
        <v/>
      </c>
      <c r="AM565" t="str">
        <f>IF('TMP Paste'!$F565="","",IF('TMP Paste'!$N565="",$AM564,'TMP Paste'!$N565))</f>
        <v/>
      </c>
      <c r="AN565" t="str">
        <f>IF('TMP Paste'!$F565="","",IF('TMP Paste'!$O565="",$AN564,'TMP Paste'!$O565))</f>
        <v/>
      </c>
      <c r="AO565" t="str">
        <f>IF('TMP Paste'!$F565="","",IF('TMP Paste'!$P565="",$AO564,'TMP Paste'!$P565))</f>
        <v/>
      </c>
      <c r="AP565" t="str">
        <f t="shared" si="53"/>
        <v/>
      </c>
      <c r="AQ565" t="str">
        <f>IF($AS565="","",TRIM(IF(COUNTIFS(Calc!$B$2:$B$1601,ROW()-1,Calc!$C$2:$C$1601,"&lt;1")&gt;0,"Ada PO tanpa Koli - cek TMP. ","")&amp;IF(OR($AU565="",$AU565&lt;=0),"Volume kosong/0 - dimensi dikosongkan. ","")&amp;IF(AND($AU565&lt;&gt;"",$AU565&gt;=1000000),"Volume &gt;= 1.000.000 cm3 (di luar aturan) - dimensi dikosongkan. ","")&amp;IF(LEN($R565)&gt;500,"R &gt; 500 karakter.","")))</f>
        <v/>
      </c>
      <c r="AS565" t="str">
        <f>IFERROR(MATCH(ROW()-1,Calc!$J$2:$J$1601,0),"")</f>
        <v/>
      </c>
      <c r="AT565" t="str">
        <f>IFERROR(MATCH(ROW()-1,Calc!$K$2:$K$1601,0),"")</f>
        <v/>
      </c>
      <c r="AU565" t="str">
        <f>IF($AS565="","",IFERROR(INDEX('TMP Paste'!$D$2:$D$1601,$AS565)*1000000/$AB565,""))</f>
        <v/>
      </c>
    </row>
    <row r="566" spans="1:47">
      <c r="A566" t="str">
        <f>IF($AS566="","",INDEX('TMP Paste'!$B$2:$B$1601,$AS566))</f>
        <v/>
      </c>
      <c r="B566" t="str">
        <f>IF($AS566="","",Config!$B$14)</f>
        <v/>
      </c>
      <c r="C566" t="str">
        <f>IF($AS566="","",Config!$B$15)</f>
        <v/>
      </c>
      <c r="D566" t="str">
        <f>IF($AS566="","",INDEX('TMP Paste'!$B$2:$B$1601,$AS566))</f>
        <v/>
      </c>
      <c r="E566" t="str">
        <f>IF($AS566="","",Config!$B$27)</f>
        <v/>
      </c>
      <c r="F566" t="str">
        <f>IF($AS566="","",Config!$B$9)</f>
        <v/>
      </c>
      <c r="G566" t="str">
        <f>IF($AS566="","",Config!$B$10)</f>
        <v/>
      </c>
      <c r="H566" t="str">
        <f>IF($AS566="","",Config!$B$11)</f>
        <v/>
      </c>
      <c r="I566" t="str">
        <f>IF($AS566="","",Config!$B$16)</f>
        <v/>
      </c>
      <c r="J566" t="str">
        <f>IF($AS566="","",INDEX('TMP Paste'!$A$2:$A$1601,$AS566))</f>
        <v/>
      </c>
      <c r="K566" t="str">
        <f>IF($AS566="","",INDEX('TMP Paste'!$L$2:$L$1601,$AS566))</f>
        <v/>
      </c>
      <c r="L566" t="str">
        <f>IF($AS566="","",INDEX('TMP Paste'!$I$2:$I$1601,$AS566))</f>
        <v/>
      </c>
      <c r="M566" t="str">
        <f>IF($AS566="","",Config!$B$16)</f>
        <v/>
      </c>
      <c r="N566" t="str">
        <f t="shared" si="48"/>
        <v/>
      </c>
      <c r="O566" t="str">
        <f>IF($AS566="","",INDEX('TMP Paste'!$K$2:$K$1601,$AS566))</f>
        <v/>
      </c>
      <c r="P566" t="str">
        <f t="shared" si="49"/>
        <v/>
      </c>
      <c r="Q566" t="str">
        <f>IF($AS566="","",INDEX('TMP Paste'!$J$2:$J$1601,$AS566))</f>
        <v/>
      </c>
      <c r="R566" t="str">
        <f>IF($AS566="","",Config!$B$24)</f>
        <v/>
      </c>
      <c r="S566" t="str">
        <f ca="1">IF($AS566="","",TEXT(Config!$B$4,"yyyy-mm-dd"))</f>
        <v/>
      </c>
      <c r="T566" t="str">
        <f>IF($AS566="","",Config!$B$17)</f>
        <v/>
      </c>
      <c r="U566" t="str">
        <f>IF($AS566="","",Config!$B$18)</f>
        <v/>
      </c>
      <c r="V566" t="str">
        <f>IF($AS566="","",Config!$B$19)</f>
        <v/>
      </c>
      <c r="W566" t="str">
        <f>IF($AS566="","",INDEX('TMP Paste'!$C$2:$C$1601,$AS566))</f>
        <v/>
      </c>
      <c r="X566" t="str">
        <f>IF($AS566="","",Config!$B$29)</f>
        <v/>
      </c>
      <c r="Y566" t="str">
        <f>IF($AT566="","",INDEX(Calc!$I$2:$I$1601,$AT566)&amp;" - "&amp;INDEX(Calc!$D$2:$D$1601,$AT566)&amp;" koli")</f>
        <v/>
      </c>
      <c r="Z566" t="str">
        <f>IF($AS566="","",Config!$B$21)</f>
        <v/>
      </c>
      <c r="AA566" t="str">
        <f>IF($AS566="","",Config!$B$22)</f>
        <v/>
      </c>
      <c r="AB566" t="str">
        <f>IF($AT566="","",INDEX(Calc!$D$2:$D$1601,$AT566))</f>
        <v/>
      </c>
      <c r="AC566" t="str">
        <f>IF($AT566="","",INDEX(Calc!$G$2:$G$1601,$AT566))</f>
        <v/>
      </c>
      <c r="AD566" t="str">
        <f>IF($AS566="","",Config!$B$23)</f>
        <v/>
      </c>
      <c r="AE566" t="str">
        <f>IF($AS566="","",Config!$B$28)</f>
        <v/>
      </c>
      <c r="AF566" t="str">
        <f t="shared" si="50"/>
        <v/>
      </c>
      <c r="AG566" t="str">
        <f t="shared" si="51"/>
        <v/>
      </c>
      <c r="AH566" t="str">
        <f t="shared" si="52"/>
        <v/>
      </c>
      <c r="AI566" t="str">
        <f>IF($AG566="","",SUMIF($AG$2:$AG566,$AG566,$AH$2:$AH566))</f>
        <v/>
      </c>
      <c r="AJ566" t="str">
        <f>IF('TMP Paste'!$F566="","",IF('TMP Paste'!$B566="",$AJ565,'TMP Paste'!$B566))</f>
        <v/>
      </c>
      <c r="AK566" t="str">
        <f>IF('TMP Paste'!$F566="","",N('TMP Paste'!$G566))</f>
        <v/>
      </c>
      <c r="AL566" t="str">
        <f>IF('TMP Paste'!$F566="","",IF('TMP Paste'!$M566="",$AL565,'TMP Paste'!$M566))</f>
        <v/>
      </c>
      <c r="AM566" t="str">
        <f>IF('TMP Paste'!$F566="","",IF('TMP Paste'!$N566="",$AM565,'TMP Paste'!$N566))</f>
        <v/>
      </c>
      <c r="AN566" t="str">
        <f>IF('TMP Paste'!$F566="","",IF('TMP Paste'!$O566="",$AN565,'TMP Paste'!$O566))</f>
        <v/>
      </c>
      <c r="AO566" t="str">
        <f>IF('TMP Paste'!$F566="","",IF('TMP Paste'!$P566="",$AO565,'TMP Paste'!$P566))</f>
        <v/>
      </c>
      <c r="AP566" t="str">
        <f t="shared" si="53"/>
        <v/>
      </c>
      <c r="AQ566" t="str">
        <f>IF($AS566="","",TRIM(IF(COUNTIFS(Calc!$B$2:$B$1601,ROW()-1,Calc!$C$2:$C$1601,"&lt;1")&gt;0,"Ada PO tanpa Koli - cek TMP. ","")&amp;IF(OR($AU566="",$AU566&lt;=0),"Volume kosong/0 - dimensi dikosongkan. ","")&amp;IF(AND($AU566&lt;&gt;"",$AU566&gt;=1000000),"Volume &gt;= 1.000.000 cm3 (di luar aturan) - dimensi dikosongkan. ","")&amp;IF(LEN($R566)&gt;500,"R &gt; 500 karakter.","")))</f>
        <v/>
      </c>
      <c r="AS566" t="str">
        <f>IFERROR(MATCH(ROW()-1,Calc!$J$2:$J$1601,0),"")</f>
        <v/>
      </c>
      <c r="AT566" t="str">
        <f>IFERROR(MATCH(ROW()-1,Calc!$K$2:$K$1601,0),"")</f>
        <v/>
      </c>
      <c r="AU566" t="str">
        <f>IF($AS566="","",IFERROR(INDEX('TMP Paste'!$D$2:$D$1601,$AS566)*1000000/$AB566,""))</f>
        <v/>
      </c>
    </row>
    <row r="567" spans="1:47">
      <c r="A567" t="str">
        <f>IF($AS567="","",INDEX('TMP Paste'!$B$2:$B$1601,$AS567))</f>
        <v/>
      </c>
      <c r="B567" t="str">
        <f>IF($AS567="","",Config!$B$14)</f>
        <v/>
      </c>
      <c r="C567" t="str">
        <f>IF($AS567="","",Config!$B$15)</f>
        <v/>
      </c>
      <c r="D567" t="str">
        <f>IF($AS567="","",INDEX('TMP Paste'!$B$2:$B$1601,$AS567))</f>
        <v/>
      </c>
      <c r="E567" t="str">
        <f>IF($AS567="","",Config!$B$27)</f>
        <v/>
      </c>
      <c r="F567" t="str">
        <f>IF($AS567="","",Config!$B$9)</f>
        <v/>
      </c>
      <c r="G567" t="str">
        <f>IF($AS567="","",Config!$B$10)</f>
        <v/>
      </c>
      <c r="H567" t="str">
        <f>IF($AS567="","",Config!$B$11)</f>
        <v/>
      </c>
      <c r="I567" t="str">
        <f>IF($AS567="","",Config!$B$16)</f>
        <v/>
      </c>
      <c r="J567" t="str">
        <f>IF($AS567="","",INDEX('TMP Paste'!$A$2:$A$1601,$AS567))</f>
        <v/>
      </c>
      <c r="K567" t="str">
        <f>IF($AS567="","",INDEX('TMP Paste'!$L$2:$L$1601,$AS567))</f>
        <v/>
      </c>
      <c r="L567" t="str">
        <f>IF($AS567="","",INDEX('TMP Paste'!$I$2:$I$1601,$AS567))</f>
        <v/>
      </c>
      <c r="M567" t="str">
        <f>IF($AS567="","",Config!$B$16)</f>
        <v/>
      </c>
      <c r="N567" t="str">
        <f t="shared" si="48"/>
        <v/>
      </c>
      <c r="O567" t="str">
        <f>IF($AS567="","",INDEX('TMP Paste'!$K$2:$K$1601,$AS567))</f>
        <v/>
      </c>
      <c r="P567" t="str">
        <f t="shared" si="49"/>
        <v/>
      </c>
      <c r="Q567" t="str">
        <f>IF($AS567="","",INDEX('TMP Paste'!$J$2:$J$1601,$AS567))</f>
        <v/>
      </c>
      <c r="R567" t="str">
        <f>IF($AS567="","",Config!$B$24)</f>
        <v/>
      </c>
      <c r="S567" t="str">
        <f ca="1">IF($AS567="","",TEXT(Config!$B$4,"yyyy-mm-dd"))</f>
        <v/>
      </c>
      <c r="T567" t="str">
        <f>IF($AS567="","",Config!$B$17)</f>
        <v/>
      </c>
      <c r="U567" t="str">
        <f>IF($AS567="","",Config!$B$18)</f>
        <v/>
      </c>
      <c r="V567" t="str">
        <f>IF($AS567="","",Config!$B$19)</f>
        <v/>
      </c>
      <c r="W567" t="str">
        <f>IF($AS567="","",INDEX('TMP Paste'!$C$2:$C$1601,$AS567))</f>
        <v/>
      </c>
      <c r="X567" t="str">
        <f>IF($AS567="","",Config!$B$29)</f>
        <v/>
      </c>
      <c r="Y567" t="str">
        <f>IF($AT567="","",INDEX(Calc!$I$2:$I$1601,$AT567)&amp;" - "&amp;INDEX(Calc!$D$2:$D$1601,$AT567)&amp;" koli")</f>
        <v/>
      </c>
      <c r="Z567" t="str">
        <f>IF($AS567="","",Config!$B$21)</f>
        <v/>
      </c>
      <c r="AA567" t="str">
        <f>IF($AS567="","",Config!$B$22)</f>
        <v/>
      </c>
      <c r="AB567" t="str">
        <f>IF($AT567="","",INDEX(Calc!$D$2:$D$1601,$AT567))</f>
        <v/>
      </c>
      <c r="AC567" t="str">
        <f>IF($AT567="","",INDEX(Calc!$G$2:$G$1601,$AT567))</f>
        <v/>
      </c>
      <c r="AD567" t="str">
        <f>IF($AS567="","",Config!$B$23)</f>
        <v/>
      </c>
      <c r="AE567" t="str">
        <f>IF($AS567="","",Config!$B$28)</f>
        <v/>
      </c>
      <c r="AF567" t="str">
        <f t="shared" si="50"/>
        <v/>
      </c>
      <c r="AG567" t="str">
        <f t="shared" si="51"/>
        <v/>
      </c>
      <c r="AH567" t="str">
        <f t="shared" si="52"/>
        <v/>
      </c>
      <c r="AI567" t="str">
        <f>IF($AG567="","",SUMIF($AG$2:$AG567,$AG567,$AH$2:$AH567))</f>
        <v/>
      </c>
      <c r="AJ567" t="str">
        <f>IF('TMP Paste'!$F567="","",IF('TMP Paste'!$B567="",$AJ566,'TMP Paste'!$B567))</f>
        <v/>
      </c>
      <c r="AK567" t="str">
        <f>IF('TMP Paste'!$F567="","",N('TMP Paste'!$G567))</f>
        <v/>
      </c>
      <c r="AL567" t="str">
        <f>IF('TMP Paste'!$F567="","",IF('TMP Paste'!$M567="",$AL566,'TMP Paste'!$M567))</f>
        <v/>
      </c>
      <c r="AM567" t="str">
        <f>IF('TMP Paste'!$F567="","",IF('TMP Paste'!$N567="",$AM566,'TMP Paste'!$N567))</f>
        <v/>
      </c>
      <c r="AN567" t="str">
        <f>IF('TMP Paste'!$F567="","",IF('TMP Paste'!$O567="",$AN566,'TMP Paste'!$O567))</f>
        <v/>
      </c>
      <c r="AO567" t="str">
        <f>IF('TMP Paste'!$F567="","",IF('TMP Paste'!$P567="",$AO566,'TMP Paste'!$P567))</f>
        <v/>
      </c>
      <c r="AP567" t="str">
        <f t="shared" si="53"/>
        <v/>
      </c>
      <c r="AQ567" t="str">
        <f>IF($AS567="","",TRIM(IF(COUNTIFS(Calc!$B$2:$B$1601,ROW()-1,Calc!$C$2:$C$1601,"&lt;1")&gt;0,"Ada PO tanpa Koli - cek TMP. ","")&amp;IF(OR($AU567="",$AU567&lt;=0),"Volume kosong/0 - dimensi dikosongkan. ","")&amp;IF(AND($AU567&lt;&gt;"",$AU567&gt;=1000000),"Volume &gt;= 1.000.000 cm3 (di luar aturan) - dimensi dikosongkan. ","")&amp;IF(LEN($R567)&gt;500,"R &gt; 500 karakter.","")))</f>
        <v/>
      </c>
      <c r="AS567" t="str">
        <f>IFERROR(MATCH(ROW()-1,Calc!$J$2:$J$1601,0),"")</f>
        <v/>
      </c>
      <c r="AT567" t="str">
        <f>IFERROR(MATCH(ROW()-1,Calc!$K$2:$K$1601,0),"")</f>
        <v/>
      </c>
      <c r="AU567" t="str">
        <f>IF($AS567="","",IFERROR(INDEX('TMP Paste'!$D$2:$D$1601,$AS567)*1000000/$AB567,""))</f>
        <v/>
      </c>
    </row>
    <row r="568" spans="1:47">
      <c r="A568" t="str">
        <f>IF($AS568="","",INDEX('TMP Paste'!$B$2:$B$1601,$AS568))</f>
        <v/>
      </c>
      <c r="B568" t="str">
        <f>IF($AS568="","",Config!$B$14)</f>
        <v/>
      </c>
      <c r="C568" t="str">
        <f>IF($AS568="","",Config!$B$15)</f>
        <v/>
      </c>
      <c r="D568" t="str">
        <f>IF($AS568="","",INDEX('TMP Paste'!$B$2:$B$1601,$AS568))</f>
        <v/>
      </c>
      <c r="E568" t="str">
        <f>IF($AS568="","",Config!$B$27)</f>
        <v/>
      </c>
      <c r="F568" t="str">
        <f>IF($AS568="","",Config!$B$9)</f>
        <v/>
      </c>
      <c r="G568" t="str">
        <f>IF($AS568="","",Config!$B$10)</f>
        <v/>
      </c>
      <c r="H568" t="str">
        <f>IF($AS568="","",Config!$B$11)</f>
        <v/>
      </c>
      <c r="I568" t="str">
        <f>IF($AS568="","",Config!$B$16)</f>
        <v/>
      </c>
      <c r="J568" t="str">
        <f>IF($AS568="","",INDEX('TMP Paste'!$A$2:$A$1601,$AS568))</f>
        <v/>
      </c>
      <c r="K568" t="str">
        <f>IF($AS568="","",INDEX('TMP Paste'!$L$2:$L$1601,$AS568))</f>
        <v/>
      </c>
      <c r="L568" t="str">
        <f>IF($AS568="","",INDEX('TMP Paste'!$I$2:$I$1601,$AS568))</f>
        <v/>
      </c>
      <c r="M568" t="str">
        <f>IF($AS568="","",Config!$B$16)</f>
        <v/>
      </c>
      <c r="N568" t="str">
        <f t="shared" si="48"/>
        <v/>
      </c>
      <c r="O568" t="str">
        <f>IF($AS568="","",INDEX('TMP Paste'!$K$2:$K$1601,$AS568))</f>
        <v/>
      </c>
      <c r="P568" t="str">
        <f t="shared" si="49"/>
        <v/>
      </c>
      <c r="Q568" t="str">
        <f>IF($AS568="","",INDEX('TMP Paste'!$J$2:$J$1601,$AS568))</f>
        <v/>
      </c>
      <c r="R568" t="str">
        <f>IF($AS568="","",Config!$B$24)</f>
        <v/>
      </c>
      <c r="S568" t="str">
        <f ca="1">IF($AS568="","",TEXT(Config!$B$4,"yyyy-mm-dd"))</f>
        <v/>
      </c>
      <c r="T568" t="str">
        <f>IF($AS568="","",Config!$B$17)</f>
        <v/>
      </c>
      <c r="U568" t="str">
        <f>IF($AS568="","",Config!$B$18)</f>
        <v/>
      </c>
      <c r="V568" t="str">
        <f>IF($AS568="","",Config!$B$19)</f>
        <v/>
      </c>
      <c r="W568" t="str">
        <f>IF($AS568="","",INDEX('TMP Paste'!$C$2:$C$1601,$AS568))</f>
        <v/>
      </c>
      <c r="X568" t="str">
        <f>IF($AS568="","",Config!$B$29)</f>
        <v/>
      </c>
      <c r="Y568" t="str">
        <f>IF($AT568="","",INDEX(Calc!$I$2:$I$1601,$AT568)&amp;" - "&amp;INDEX(Calc!$D$2:$D$1601,$AT568)&amp;" koli")</f>
        <v/>
      </c>
      <c r="Z568" t="str">
        <f>IF($AS568="","",Config!$B$21)</f>
        <v/>
      </c>
      <c r="AA568" t="str">
        <f>IF($AS568="","",Config!$B$22)</f>
        <v/>
      </c>
      <c r="AB568" t="str">
        <f>IF($AT568="","",INDEX(Calc!$D$2:$D$1601,$AT568))</f>
        <v/>
      </c>
      <c r="AC568" t="str">
        <f>IF($AT568="","",INDEX(Calc!$G$2:$G$1601,$AT568))</f>
        <v/>
      </c>
      <c r="AD568" t="str">
        <f>IF($AS568="","",Config!$B$23)</f>
        <v/>
      </c>
      <c r="AE568" t="str">
        <f>IF($AS568="","",Config!$B$28)</f>
        <v/>
      </c>
      <c r="AF568" t="str">
        <f t="shared" si="50"/>
        <v/>
      </c>
      <c r="AG568" t="str">
        <f t="shared" si="51"/>
        <v/>
      </c>
      <c r="AH568" t="str">
        <f t="shared" si="52"/>
        <v/>
      </c>
      <c r="AI568" t="str">
        <f>IF($AG568="","",SUMIF($AG$2:$AG568,$AG568,$AH$2:$AH568))</f>
        <v/>
      </c>
      <c r="AJ568" t="str">
        <f>IF('TMP Paste'!$F568="","",IF('TMP Paste'!$B568="",$AJ567,'TMP Paste'!$B568))</f>
        <v/>
      </c>
      <c r="AK568" t="str">
        <f>IF('TMP Paste'!$F568="","",N('TMP Paste'!$G568))</f>
        <v/>
      </c>
      <c r="AL568" t="str">
        <f>IF('TMP Paste'!$F568="","",IF('TMP Paste'!$M568="",$AL567,'TMP Paste'!$M568))</f>
        <v/>
      </c>
      <c r="AM568" t="str">
        <f>IF('TMP Paste'!$F568="","",IF('TMP Paste'!$N568="",$AM567,'TMP Paste'!$N568))</f>
        <v/>
      </c>
      <c r="AN568" t="str">
        <f>IF('TMP Paste'!$F568="","",IF('TMP Paste'!$O568="",$AN567,'TMP Paste'!$O568))</f>
        <v/>
      </c>
      <c r="AO568" t="str">
        <f>IF('TMP Paste'!$F568="","",IF('TMP Paste'!$P568="",$AO567,'TMP Paste'!$P568))</f>
        <v/>
      </c>
      <c r="AP568" t="str">
        <f t="shared" si="53"/>
        <v/>
      </c>
      <c r="AQ568" t="str">
        <f>IF($AS568="","",TRIM(IF(COUNTIFS(Calc!$B$2:$B$1601,ROW()-1,Calc!$C$2:$C$1601,"&lt;1")&gt;0,"Ada PO tanpa Koli - cek TMP. ","")&amp;IF(OR($AU568="",$AU568&lt;=0),"Volume kosong/0 - dimensi dikosongkan. ","")&amp;IF(AND($AU568&lt;&gt;"",$AU568&gt;=1000000),"Volume &gt;= 1.000.000 cm3 (di luar aturan) - dimensi dikosongkan. ","")&amp;IF(LEN($R568)&gt;500,"R &gt; 500 karakter.","")))</f>
        <v/>
      </c>
      <c r="AS568" t="str">
        <f>IFERROR(MATCH(ROW()-1,Calc!$J$2:$J$1601,0),"")</f>
        <v/>
      </c>
      <c r="AT568" t="str">
        <f>IFERROR(MATCH(ROW()-1,Calc!$K$2:$K$1601,0),"")</f>
        <v/>
      </c>
      <c r="AU568" t="str">
        <f>IF($AS568="","",IFERROR(INDEX('TMP Paste'!$D$2:$D$1601,$AS568)*1000000/$AB568,""))</f>
        <v/>
      </c>
    </row>
    <row r="569" spans="1:47">
      <c r="A569" t="str">
        <f>IF($AS569="","",INDEX('TMP Paste'!$B$2:$B$1601,$AS569))</f>
        <v/>
      </c>
      <c r="B569" t="str">
        <f>IF($AS569="","",Config!$B$14)</f>
        <v/>
      </c>
      <c r="C569" t="str">
        <f>IF($AS569="","",Config!$B$15)</f>
        <v/>
      </c>
      <c r="D569" t="str">
        <f>IF($AS569="","",INDEX('TMP Paste'!$B$2:$B$1601,$AS569))</f>
        <v/>
      </c>
      <c r="E569" t="str">
        <f>IF($AS569="","",Config!$B$27)</f>
        <v/>
      </c>
      <c r="F569" t="str">
        <f>IF($AS569="","",Config!$B$9)</f>
        <v/>
      </c>
      <c r="G569" t="str">
        <f>IF($AS569="","",Config!$B$10)</f>
        <v/>
      </c>
      <c r="H569" t="str">
        <f>IF($AS569="","",Config!$B$11)</f>
        <v/>
      </c>
      <c r="I569" t="str">
        <f>IF($AS569="","",Config!$B$16)</f>
        <v/>
      </c>
      <c r="J569" t="str">
        <f>IF($AS569="","",INDEX('TMP Paste'!$A$2:$A$1601,$AS569))</f>
        <v/>
      </c>
      <c r="K569" t="str">
        <f>IF($AS569="","",INDEX('TMP Paste'!$L$2:$L$1601,$AS569))</f>
        <v/>
      </c>
      <c r="L569" t="str">
        <f>IF($AS569="","",INDEX('TMP Paste'!$I$2:$I$1601,$AS569))</f>
        <v/>
      </c>
      <c r="M569" t="str">
        <f>IF($AS569="","",Config!$B$16)</f>
        <v/>
      </c>
      <c r="N569" t="str">
        <f t="shared" si="48"/>
        <v/>
      </c>
      <c r="O569" t="str">
        <f>IF($AS569="","",INDEX('TMP Paste'!$K$2:$K$1601,$AS569))</f>
        <v/>
      </c>
      <c r="P569" t="str">
        <f t="shared" si="49"/>
        <v/>
      </c>
      <c r="Q569" t="str">
        <f>IF($AS569="","",INDEX('TMP Paste'!$J$2:$J$1601,$AS569))</f>
        <v/>
      </c>
      <c r="R569" t="str">
        <f>IF($AS569="","",Config!$B$24)</f>
        <v/>
      </c>
      <c r="S569" t="str">
        <f ca="1">IF($AS569="","",TEXT(Config!$B$4,"yyyy-mm-dd"))</f>
        <v/>
      </c>
      <c r="T569" t="str">
        <f>IF($AS569="","",Config!$B$17)</f>
        <v/>
      </c>
      <c r="U569" t="str">
        <f>IF($AS569="","",Config!$B$18)</f>
        <v/>
      </c>
      <c r="V569" t="str">
        <f>IF($AS569="","",Config!$B$19)</f>
        <v/>
      </c>
      <c r="W569" t="str">
        <f>IF($AS569="","",INDEX('TMP Paste'!$C$2:$C$1601,$AS569))</f>
        <v/>
      </c>
      <c r="X569" t="str">
        <f>IF($AS569="","",Config!$B$29)</f>
        <v/>
      </c>
      <c r="Y569" t="str">
        <f>IF($AT569="","",INDEX(Calc!$I$2:$I$1601,$AT569)&amp;" - "&amp;INDEX(Calc!$D$2:$D$1601,$AT569)&amp;" koli")</f>
        <v/>
      </c>
      <c r="Z569" t="str">
        <f>IF($AS569="","",Config!$B$21)</f>
        <v/>
      </c>
      <c r="AA569" t="str">
        <f>IF($AS569="","",Config!$B$22)</f>
        <v/>
      </c>
      <c r="AB569" t="str">
        <f>IF($AT569="","",INDEX(Calc!$D$2:$D$1601,$AT569))</f>
        <v/>
      </c>
      <c r="AC569" t="str">
        <f>IF($AT569="","",INDEX(Calc!$G$2:$G$1601,$AT569))</f>
        <v/>
      </c>
      <c r="AD569" t="str">
        <f>IF($AS569="","",Config!$B$23)</f>
        <v/>
      </c>
      <c r="AE569" t="str">
        <f>IF($AS569="","",Config!$B$28)</f>
        <v/>
      </c>
      <c r="AF569" t="str">
        <f t="shared" si="50"/>
        <v/>
      </c>
      <c r="AG569" t="str">
        <f t="shared" si="51"/>
        <v/>
      </c>
      <c r="AH569" t="str">
        <f t="shared" si="52"/>
        <v/>
      </c>
      <c r="AI569" t="str">
        <f>IF($AG569="","",SUMIF($AG$2:$AG569,$AG569,$AH$2:$AH569))</f>
        <v/>
      </c>
      <c r="AJ569" t="str">
        <f>IF('TMP Paste'!$F569="","",IF('TMP Paste'!$B569="",$AJ568,'TMP Paste'!$B569))</f>
        <v/>
      </c>
      <c r="AK569" t="str">
        <f>IF('TMP Paste'!$F569="","",N('TMP Paste'!$G569))</f>
        <v/>
      </c>
      <c r="AL569" t="str">
        <f>IF('TMP Paste'!$F569="","",IF('TMP Paste'!$M569="",$AL568,'TMP Paste'!$M569))</f>
        <v/>
      </c>
      <c r="AM569" t="str">
        <f>IF('TMP Paste'!$F569="","",IF('TMP Paste'!$N569="",$AM568,'TMP Paste'!$N569))</f>
        <v/>
      </c>
      <c r="AN569" t="str">
        <f>IF('TMP Paste'!$F569="","",IF('TMP Paste'!$O569="",$AN568,'TMP Paste'!$O569))</f>
        <v/>
      </c>
      <c r="AO569" t="str">
        <f>IF('TMP Paste'!$F569="","",IF('TMP Paste'!$P569="",$AO568,'TMP Paste'!$P569))</f>
        <v/>
      </c>
      <c r="AP569" t="str">
        <f t="shared" si="53"/>
        <v/>
      </c>
      <c r="AQ569" t="str">
        <f>IF($AS569="","",TRIM(IF(COUNTIFS(Calc!$B$2:$B$1601,ROW()-1,Calc!$C$2:$C$1601,"&lt;1")&gt;0,"Ada PO tanpa Koli - cek TMP. ","")&amp;IF(OR($AU569="",$AU569&lt;=0),"Volume kosong/0 - dimensi dikosongkan. ","")&amp;IF(AND($AU569&lt;&gt;"",$AU569&gt;=1000000),"Volume &gt;= 1.000.000 cm3 (di luar aturan) - dimensi dikosongkan. ","")&amp;IF(LEN($R569)&gt;500,"R &gt; 500 karakter.","")))</f>
        <v/>
      </c>
      <c r="AS569" t="str">
        <f>IFERROR(MATCH(ROW()-1,Calc!$J$2:$J$1601,0),"")</f>
        <v/>
      </c>
      <c r="AT569" t="str">
        <f>IFERROR(MATCH(ROW()-1,Calc!$K$2:$K$1601,0),"")</f>
        <v/>
      </c>
      <c r="AU569" t="str">
        <f>IF($AS569="","",IFERROR(INDEX('TMP Paste'!$D$2:$D$1601,$AS569)*1000000/$AB569,""))</f>
        <v/>
      </c>
    </row>
    <row r="570" spans="1:47">
      <c r="A570" t="str">
        <f>IF($AS570="","",INDEX('TMP Paste'!$B$2:$B$1601,$AS570))</f>
        <v/>
      </c>
      <c r="B570" t="str">
        <f>IF($AS570="","",Config!$B$14)</f>
        <v/>
      </c>
      <c r="C570" t="str">
        <f>IF($AS570="","",Config!$B$15)</f>
        <v/>
      </c>
      <c r="D570" t="str">
        <f>IF($AS570="","",INDEX('TMP Paste'!$B$2:$B$1601,$AS570))</f>
        <v/>
      </c>
      <c r="E570" t="str">
        <f>IF($AS570="","",Config!$B$27)</f>
        <v/>
      </c>
      <c r="F570" t="str">
        <f>IF($AS570="","",Config!$B$9)</f>
        <v/>
      </c>
      <c r="G570" t="str">
        <f>IF($AS570="","",Config!$B$10)</f>
        <v/>
      </c>
      <c r="H570" t="str">
        <f>IF($AS570="","",Config!$B$11)</f>
        <v/>
      </c>
      <c r="I570" t="str">
        <f>IF($AS570="","",Config!$B$16)</f>
        <v/>
      </c>
      <c r="J570" t="str">
        <f>IF($AS570="","",INDEX('TMP Paste'!$A$2:$A$1601,$AS570))</f>
        <v/>
      </c>
      <c r="K570" t="str">
        <f>IF($AS570="","",INDEX('TMP Paste'!$L$2:$L$1601,$AS570))</f>
        <v/>
      </c>
      <c r="L570" t="str">
        <f>IF($AS570="","",INDEX('TMP Paste'!$I$2:$I$1601,$AS570))</f>
        <v/>
      </c>
      <c r="M570" t="str">
        <f>IF($AS570="","",Config!$B$16)</f>
        <v/>
      </c>
      <c r="N570" t="str">
        <f t="shared" si="48"/>
        <v/>
      </c>
      <c r="O570" t="str">
        <f>IF($AS570="","",INDEX('TMP Paste'!$K$2:$K$1601,$AS570))</f>
        <v/>
      </c>
      <c r="P570" t="str">
        <f t="shared" si="49"/>
        <v/>
      </c>
      <c r="Q570" t="str">
        <f>IF($AS570="","",INDEX('TMP Paste'!$J$2:$J$1601,$AS570))</f>
        <v/>
      </c>
      <c r="R570" t="str">
        <f>IF($AS570="","",Config!$B$24)</f>
        <v/>
      </c>
      <c r="S570" t="str">
        <f ca="1">IF($AS570="","",TEXT(Config!$B$4,"yyyy-mm-dd"))</f>
        <v/>
      </c>
      <c r="T570" t="str">
        <f>IF($AS570="","",Config!$B$17)</f>
        <v/>
      </c>
      <c r="U570" t="str">
        <f>IF($AS570="","",Config!$B$18)</f>
        <v/>
      </c>
      <c r="V570" t="str">
        <f>IF($AS570="","",Config!$B$19)</f>
        <v/>
      </c>
      <c r="W570" t="str">
        <f>IF($AS570="","",INDEX('TMP Paste'!$C$2:$C$1601,$AS570))</f>
        <v/>
      </c>
      <c r="X570" t="str">
        <f>IF($AS570="","",Config!$B$29)</f>
        <v/>
      </c>
      <c r="Y570" t="str">
        <f>IF($AT570="","",INDEX(Calc!$I$2:$I$1601,$AT570)&amp;" - "&amp;INDEX(Calc!$D$2:$D$1601,$AT570)&amp;" koli")</f>
        <v/>
      </c>
      <c r="Z570" t="str">
        <f>IF($AS570="","",Config!$B$21)</f>
        <v/>
      </c>
      <c r="AA570" t="str">
        <f>IF($AS570="","",Config!$B$22)</f>
        <v/>
      </c>
      <c r="AB570" t="str">
        <f>IF($AT570="","",INDEX(Calc!$D$2:$D$1601,$AT570))</f>
        <v/>
      </c>
      <c r="AC570" t="str">
        <f>IF($AT570="","",INDEX(Calc!$G$2:$G$1601,$AT570))</f>
        <v/>
      </c>
      <c r="AD570" t="str">
        <f>IF($AS570="","",Config!$B$23)</f>
        <v/>
      </c>
      <c r="AE570" t="str">
        <f>IF($AS570="","",Config!$B$28)</f>
        <v/>
      </c>
      <c r="AF570" t="str">
        <f t="shared" si="50"/>
        <v/>
      </c>
      <c r="AG570" t="str">
        <f t="shared" si="51"/>
        <v/>
      </c>
      <c r="AH570" t="str">
        <f t="shared" si="52"/>
        <v/>
      </c>
      <c r="AI570" t="str">
        <f>IF($AG570="","",SUMIF($AG$2:$AG570,$AG570,$AH$2:$AH570))</f>
        <v/>
      </c>
      <c r="AJ570" t="str">
        <f>IF('TMP Paste'!$F570="","",IF('TMP Paste'!$B570="",$AJ569,'TMP Paste'!$B570))</f>
        <v/>
      </c>
      <c r="AK570" t="str">
        <f>IF('TMP Paste'!$F570="","",N('TMP Paste'!$G570))</f>
        <v/>
      </c>
      <c r="AL570" t="str">
        <f>IF('TMP Paste'!$F570="","",IF('TMP Paste'!$M570="",$AL569,'TMP Paste'!$M570))</f>
        <v/>
      </c>
      <c r="AM570" t="str">
        <f>IF('TMP Paste'!$F570="","",IF('TMP Paste'!$N570="",$AM569,'TMP Paste'!$N570))</f>
        <v/>
      </c>
      <c r="AN570" t="str">
        <f>IF('TMP Paste'!$F570="","",IF('TMP Paste'!$O570="",$AN569,'TMP Paste'!$O570))</f>
        <v/>
      </c>
      <c r="AO570" t="str">
        <f>IF('TMP Paste'!$F570="","",IF('TMP Paste'!$P570="",$AO569,'TMP Paste'!$P570))</f>
        <v/>
      </c>
      <c r="AP570" t="str">
        <f t="shared" si="53"/>
        <v/>
      </c>
      <c r="AQ570" t="str">
        <f>IF($AS570="","",TRIM(IF(COUNTIFS(Calc!$B$2:$B$1601,ROW()-1,Calc!$C$2:$C$1601,"&lt;1")&gt;0,"Ada PO tanpa Koli - cek TMP. ","")&amp;IF(OR($AU570="",$AU570&lt;=0),"Volume kosong/0 - dimensi dikosongkan. ","")&amp;IF(AND($AU570&lt;&gt;"",$AU570&gt;=1000000),"Volume &gt;= 1.000.000 cm3 (di luar aturan) - dimensi dikosongkan. ","")&amp;IF(LEN($R570)&gt;500,"R &gt; 500 karakter.","")))</f>
        <v/>
      </c>
      <c r="AS570" t="str">
        <f>IFERROR(MATCH(ROW()-1,Calc!$J$2:$J$1601,0),"")</f>
        <v/>
      </c>
      <c r="AT570" t="str">
        <f>IFERROR(MATCH(ROW()-1,Calc!$K$2:$K$1601,0),"")</f>
        <v/>
      </c>
      <c r="AU570" t="str">
        <f>IF($AS570="","",IFERROR(INDEX('TMP Paste'!$D$2:$D$1601,$AS570)*1000000/$AB570,""))</f>
        <v/>
      </c>
    </row>
    <row r="571" spans="1:47">
      <c r="A571" t="str">
        <f>IF($AS571="","",INDEX('TMP Paste'!$B$2:$B$1601,$AS571))</f>
        <v/>
      </c>
      <c r="B571" t="str">
        <f>IF($AS571="","",Config!$B$14)</f>
        <v/>
      </c>
      <c r="C571" t="str">
        <f>IF($AS571="","",Config!$B$15)</f>
        <v/>
      </c>
      <c r="D571" t="str">
        <f>IF($AS571="","",INDEX('TMP Paste'!$B$2:$B$1601,$AS571))</f>
        <v/>
      </c>
      <c r="E571" t="str">
        <f>IF($AS571="","",Config!$B$27)</f>
        <v/>
      </c>
      <c r="F571" t="str">
        <f>IF($AS571="","",Config!$B$9)</f>
        <v/>
      </c>
      <c r="G571" t="str">
        <f>IF($AS571="","",Config!$B$10)</f>
        <v/>
      </c>
      <c r="H571" t="str">
        <f>IF($AS571="","",Config!$B$11)</f>
        <v/>
      </c>
      <c r="I571" t="str">
        <f>IF($AS571="","",Config!$B$16)</f>
        <v/>
      </c>
      <c r="J571" t="str">
        <f>IF($AS571="","",INDEX('TMP Paste'!$A$2:$A$1601,$AS571))</f>
        <v/>
      </c>
      <c r="K571" t="str">
        <f>IF($AS571="","",INDEX('TMP Paste'!$L$2:$L$1601,$AS571))</f>
        <v/>
      </c>
      <c r="L571" t="str">
        <f>IF($AS571="","",INDEX('TMP Paste'!$I$2:$I$1601,$AS571))</f>
        <v/>
      </c>
      <c r="M571" t="str">
        <f>IF($AS571="","",Config!$B$16)</f>
        <v/>
      </c>
      <c r="N571" t="str">
        <f t="shared" si="48"/>
        <v/>
      </c>
      <c r="O571" t="str">
        <f>IF($AS571="","",INDEX('TMP Paste'!$K$2:$K$1601,$AS571))</f>
        <v/>
      </c>
      <c r="P571" t="str">
        <f t="shared" si="49"/>
        <v/>
      </c>
      <c r="Q571" t="str">
        <f>IF($AS571="","",INDEX('TMP Paste'!$J$2:$J$1601,$AS571))</f>
        <v/>
      </c>
      <c r="R571" t="str">
        <f>IF($AS571="","",Config!$B$24)</f>
        <v/>
      </c>
      <c r="S571" t="str">
        <f ca="1">IF($AS571="","",TEXT(Config!$B$4,"yyyy-mm-dd"))</f>
        <v/>
      </c>
      <c r="T571" t="str">
        <f>IF($AS571="","",Config!$B$17)</f>
        <v/>
      </c>
      <c r="U571" t="str">
        <f>IF($AS571="","",Config!$B$18)</f>
        <v/>
      </c>
      <c r="V571" t="str">
        <f>IF($AS571="","",Config!$B$19)</f>
        <v/>
      </c>
      <c r="W571" t="str">
        <f>IF($AS571="","",INDEX('TMP Paste'!$C$2:$C$1601,$AS571))</f>
        <v/>
      </c>
      <c r="X571" t="str">
        <f>IF($AS571="","",Config!$B$29)</f>
        <v/>
      </c>
      <c r="Y571" t="str">
        <f>IF($AT571="","",INDEX(Calc!$I$2:$I$1601,$AT571)&amp;" - "&amp;INDEX(Calc!$D$2:$D$1601,$AT571)&amp;" koli")</f>
        <v/>
      </c>
      <c r="Z571" t="str">
        <f>IF($AS571="","",Config!$B$21)</f>
        <v/>
      </c>
      <c r="AA571" t="str">
        <f>IF($AS571="","",Config!$B$22)</f>
        <v/>
      </c>
      <c r="AB571" t="str">
        <f>IF($AT571="","",INDEX(Calc!$D$2:$D$1601,$AT571))</f>
        <v/>
      </c>
      <c r="AC571" t="str">
        <f>IF($AT571="","",INDEX(Calc!$G$2:$G$1601,$AT571))</f>
        <v/>
      </c>
      <c r="AD571" t="str">
        <f>IF($AS571="","",Config!$B$23)</f>
        <v/>
      </c>
      <c r="AE571" t="str">
        <f>IF($AS571="","",Config!$B$28)</f>
        <v/>
      </c>
      <c r="AF571" t="str">
        <f t="shared" si="50"/>
        <v/>
      </c>
      <c r="AG571" t="str">
        <f t="shared" si="51"/>
        <v/>
      </c>
      <c r="AH571" t="str">
        <f t="shared" si="52"/>
        <v/>
      </c>
      <c r="AI571" t="str">
        <f>IF($AG571="","",SUMIF($AG$2:$AG571,$AG571,$AH$2:$AH571))</f>
        <v/>
      </c>
      <c r="AJ571" t="str">
        <f>IF('TMP Paste'!$F571="","",IF('TMP Paste'!$B571="",$AJ570,'TMP Paste'!$B571))</f>
        <v/>
      </c>
      <c r="AK571" t="str">
        <f>IF('TMP Paste'!$F571="","",N('TMP Paste'!$G571))</f>
        <v/>
      </c>
      <c r="AL571" t="str">
        <f>IF('TMP Paste'!$F571="","",IF('TMP Paste'!$M571="",$AL570,'TMP Paste'!$M571))</f>
        <v/>
      </c>
      <c r="AM571" t="str">
        <f>IF('TMP Paste'!$F571="","",IF('TMP Paste'!$N571="",$AM570,'TMP Paste'!$N571))</f>
        <v/>
      </c>
      <c r="AN571" t="str">
        <f>IF('TMP Paste'!$F571="","",IF('TMP Paste'!$O571="",$AN570,'TMP Paste'!$O571))</f>
        <v/>
      </c>
      <c r="AO571" t="str">
        <f>IF('TMP Paste'!$F571="","",IF('TMP Paste'!$P571="",$AO570,'TMP Paste'!$P571))</f>
        <v/>
      </c>
      <c r="AP571" t="str">
        <f t="shared" si="53"/>
        <v/>
      </c>
      <c r="AQ571" t="str">
        <f>IF($AS571="","",TRIM(IF(COUNTIFS(Calc!$B$2:$B$1601,ROW()-1,Calc!$C$2:$C$1601,"&lt;1")&gt;0,"Ada PO tanpa Koli - cek TMP. ","")&amp;IF(OR($AU571="",$AU571&lt;=0),"Volume kosong/0 - dimensi dikosongkan. ","")&amp;IF(AND($AU571&lt;&gt;"",$AU571&gt;=1000000),"Volume &gt;= 1.000.000 cm3 (di luar aturan) - dimensi dikosongkan. ","")&amp;IF(LEN($R571)&gt;500,"R &gt; 500 karakter.","")))</f>
        <v/>
      </c>
      <c r="AS571" t="str">
        <f>IFERROR(MATCH(ROW()-1,Calc!$J$2:$J$1601,0),"")</f>
        <v/>
      </c>
      <c r="AT571" t="str">
        <f>IFERROR(MATCH(ROW()-1,Calc!$K$2:$K$1601,0),"")</f>
        <v/>
      </c>
      <c r="AU571" t="str">
        <f>IF($AS571="","",IFERROR(INDEX('TMP Paste'!$D$2:$D$1601,$AS571)*1000000/$AB571,""))</f>
        <v/>
      </c>
    </row>
    <row r="572" spans="1:47">
      <c r="A572" t="str">
        <f>IF($AS572="","",INDEX('TMP Paste'!$B$2:$B$1601,$AS572))</f>
        <v/>
      </c>
      <c r="B572" t="str">
        <f>IF($AS572="","",Config!$B$14)</f>
        <v/>
      </c>
      <c r="C572" t="str">
        <f>IF($AS572="","",Config!$B$15)</f>
        <v/>
      </c>
      <c r="D572" t="str">
        <f>IF($AS572="","",INDEX('TMP Paste'!$B$2:$B$1601,$AS572))</f>
        <v/>
      </c>
      <c r="E572" t="str">
        <f>IF($AS572="","",Config!$B$27)</f>
        <v/>
      </c>
      <c r="F572" t="str">
        <f>IF($AS572="","",Config!$B$9)</f>
        <v/>
      </c>
      <c r="G572" t="str">
        <f>IF($AS572="","",Config!$B$10)</f>
        <v/>
      </c>
      <c r="H572" t="str">
        <f>IF($AS572="","",Config!$B$11)</f>
        <v/>
      </c>
      <c r="I572" t="str">
        <f>IF($AS572="","",Config!$B$16)</f>
        <v/>
      </c>
      <c r="J572" t="str">
        <f>IF($AS572="","",INDEX('TMP Paste'!$A$2:$A$1601,$AS572))</f>
        <v/>
      </c>
      <c r="K572" t="str">
        <f>IF($AS572="","",INDEX('TMP Paste'!$L$2:$L$1601,$AS572))</f>
        <v/>
      </c>
      <c r="L572" t="str">
        <f>IF($AS572="","",INDEX('TMP Paste'!$I$2:$I$1601,$AS572))</f>
        <v/>
      </c>
      <c r="M572" t="str">
        <f>IF($AS572="","",Config!$B$16)</f>
        <v/>
      </c>
      <c r="N572" t="str">
        <f t="shared" si="48"/>
        <v/>
      </c>
      <c r="O572" t="str">
        <f>IF($AS572="","",INDEX('TMP Paste'!$K$2:$K$1601,$AS572))</f>
        <v/>
      </c>
      <c r="P572" t="str">
        <f t="shared" si="49"/>
        <v/>
      </c>
      <c r="Q572" t="str">
        <f>IF($AS572="","",INDEX('TMP Paste'!$J$2:$J$1601,$AS572))</f>
        <v/>
      </c>
      <c r="R572" t="str">
        <f>IF($AS572="","",Config!$B$24)</f>
        <v/>
      </c>
      <c r="S572" t="str">
        <f ca="1">IF($AS572="","",TEXT(Config!$B$4,"yyyy-mm-dd"))</f>
        <v/>
      </c>
      <c r="T572" t="str">
        <f>IF($AS572="","",Config!$B$17)</f>
        <v/>
      </c>
      <c r="U572" t="str">
        <f>IF($AS572="","",Config!$B$18)</f>
        <v/>
      </c>
      <c r="V572" t="str">
        <f>IF($AS572="","",Config!$B$19)</f>
        <v/>
      </c>
      <c r="W572" t="str">
        <f>IF($AS572="","",INDEX('TMP Paste'!$C$2:$C$1601,$AS572))</f>
        <v/>
      </c>
      <c r="X572" t="str">
        <f>IF($AS572="","",Config!$B$29)</f>
        <v/>
      </c>
      <c r="Y572" t="str">
        <f>IF($AT572="","",INDEX(Calc!$I$2:$I$1601,$AT572)&amp;" - "&amp;INDEX(Calc!$D$2:$D$1601,$AT572)&amp;" koli")</f>
        <v/>
      </c>
      <c r="Z572" t="str">
        <f>IF($AS572="","",Config!$B$21)</f>
        <v/>
      </c>
      <c r="AA572" t="str">
        <f>IF($AS572="","",Config!$B$22)</f>
        <v/>
      </c>
      <c r="AB572" t="str">
        <f>IF($AT572="","",INDEX(Calc!$D$2:$D$1601,$AT572))</f>
        <v/>
      </c>
      <c r="AC572" t="str">
        <f>IF($AT572="","",INDEX(Calc!$G$2:$G$1601,$AT572))</f>
        <v/>
      </c>
      <c r="AD572" t="str">
        <f>IF($AS572="","",Config!$B$23)</f>
        <v/>
      </c>
      <c r="AE572" t="str">
        <f>IF($AS572="","",Config!$B$28)</f>
        <v/>
      </c>
      <c r="AF572" t="str">
        <f t="shared" si="50"/>
        <v/>
      </c>
      <c r="AG572" t="str">
        <f t="shared" si="51"/>
        <v/>
      </c>
      <c r="AH572" t="str">
        <f t="shared" si="52"/>
        <v/>
      </c>
      <c r="AI572" t="str">
        <f>IF($AG572="","",SUMIF($AG$2:$AG572,$AG572,$AH$2:$AH572))</f>
        <v/>
      </c>
      <c r="AJ572" t="str">
        <f>IF('TMP Paste'!$F572="","",IF('TMP Paste'!$B572="",$AJ571,'TMP Paste'!$B572))</f>
        <v/>
      </c>
      <c r="AK572" t="str">
        <f>IF('TMP Paste'!$F572="","",N('TMP Paste'!$G572))</f>
        <v/>
      </c>
      <c r="AL572" t="str">
        <f>IF('TMP Paste'!$F572="","",IF('TMP Paste'!$M572="",$AL571,'TMP Paste'!$M572))</f>
        <v/>
      </c>
      <c r="AM572" t="str">
        <f>IF('TMP Paste'!$F572="","",IF('TMP Paste'!$N572="",$AM571,'TMP Paste'!$N572))</f>
        <v/>
      </c>
      <c r="AN572" t="str">
        <f>IF('TMP Paste'!$F572="","",IF('TMP Paste'!$O572="",$AN571,'TMP Paste'!$O572))</f>
        <v/>
      </c>
      <c r="AO572" t="str">
        <f>IF('TMP Paste'!$F572="","",IF('TMP Paste'!$P572="",$AO571,'TMP Paste'!$P572))</f>
        <v/>
      </c>
      <c r="AP572" t="str">
        <f t="shared" si="53"/>
        <v/>
      </c>
      <c r="AQ572" t="str">
        <f>IF($AS572="","",TRIM(IF(COUNTIFS(Calc!$B$2:$B$1601,ROW()-1,Calc!$C$2:$C$1601,"&lt;1")&gt;0,"Ada PO tanpa Koli - cek TMP. ","")&amp;IF(OR($AU572="",$AU572&lt;=0),"Volume kosong/0 - dimensi dikosongkan. ","")&amp;IF(AND($AU572&lt;&gt;"",$AU572&gt;=1000000),"Volume &gt;= 1.000.000 cm3 (di luar aturan) - dimensi dikosongkan. ","")&amp;IF(LEN($R572)&gt;500,"R &gt; 500 karakter.","")))</f>
        <v/>
      </c>
      <c r="AS572" t="str">
        <f>IFERROR(MATCH(ROW()-1,Calc!$J$2:$J$1601,0),"")</f>
        <v/>
      </c>
      <c r="AT572" t="str">
        <f>IFERROR(MATCH(ROW()-1,Calc!$K$2:$K$1601,0),"")</f>
        <v/>
      </c>
      <c r="AU572" t="str">
        <f>IF($AS572="","",IFERROR(INDEX('TMP Paste'!$D$2:$D$1601,$AS572)*1000000/$AB572,""))</f>
        <v/>
      </c>
    </row>
    <row r="573" spans="1:47">
      <c r="A573" t="str">
        <f>IF($AS573="","",INDEX('TMP Paste'!$B$2:$B$1601,$AS573))</f>
        <v/>
      </c>
      <c r="B573" t="str">
        <f>IF($AS573="","",Config!$B$14)</f>
        <v/>
      </c>
      <c r="C573" t="str">
        <f>IF($AS573="","",Config!$B$15)</f>
        <v/>
      </c>
      <c r="D573" t="str">
        <f>IF($AS573="","",INDEX('TMP Paste'!$B$2:$B$1601,$AS573))</f>
        <v/>
      </c>
      <c r="E573" t="str">
        <f>IF($AS573="","",Config!$B$27)</f>
        <v/>
      </c>
      <c r="F573" t="str">
        <f>IF($AS573="","",Config!$B$9)</f>
        <v/>
      </c>
      <c r="G573" t="str">
        <f>IF($AS573="","",Config!$B$10)</f>
        <v/>
      </c>
      <c r="H573" t="str">
        <f>IF($AS573="","",Config!$B$11)</f>
        <v/>
      </c>
      <c r="I573" t="str">
        <f>IF($AS573="","",Config!$B$16)</f>
        <v/>
      </c>
      <c r="J573" t="str">
        <f>IF($AS573="","",INDEX('TMP Paste'!$A$2:$A$1601,$AS573))</f>
        <v/>
      </c>
      <c r="K573" t="str">
        <f>IF($AS573="","",INDEX('TMP Paste'!$L$2:$L$1601,$AS573))</f>
        <v/>
      </c>
      <c r="L573" t="str">
        <f>IF($AS573="","",INDEX('TMP Paste'!$I$2:$I$1601,$AS573))</f>
        <v/>
      </c>
      <c r="M573" t="str">
        <f>IF($AS573="","",Config!$B$16)</f>
        <v/>
      </c>
      <c r="N573" t="str">
        <f t="shared" si="48"/>
        <v/>
      </c>
      <c r="O573" t="str">
        <f>IF($AS573="","",INDEX('TMP Paste'!$K$2:$K$1601,$AS573))</f>
        <v/>
      </c>
      <c r="P573" t="str">
        <f t="shared" si="49"/>
        <v/>
      </c>
      <c r="Q573" t="str">
        <f>IF($AS573="","",INDEX('TMP Paste'!$J$2:$J$1601,$AS573))</f>
        <v/>
      </c>
      <c r="R573" t="str">
        <f>IF($AS573="","",Config!$B$24)</f>
        <v/>
      </c>
      <c r="S573" t="str">
        <f ca="1">IF($AS573="","",TEXT(Config!$B$4,"yyyy-mm-dd"))</f>
        <v/>
      </c>
      <c r="T573" t="str">
        <f>IF($AS573="","",Config!$B$17)</f>
        <v/>
      </c>
      <c r="U573" t="str">
        <f>IF($AS573="","",Config!$B$18)</f>
        <v/>
      </c>
      <c r="V573" t="str">
        <f>IF($AS573="","",Config!$B$19)</f>
        <v/>
      </c>
      <c r="W573" t="str">
        <f>IF($AS573="","",INDEX('TMP Paste'!$C$2:$C$1601,$AS573))</f>
        <v/>
      </c>
      <c r="X573" t="str">
        <f>IF($AS573="","",Config!$B$29)</f>
        <v/>
      </c>
      <c r="Y573" t="str">
        <f>IF($AT573="","",INDEX(Calc!$I$2:$I$1601,$AT573)&amp;" - "&amp;INDEX(Calc!$D$2:$D$1601,$AT573)&amp;" koli")</f>
        <v/>
      </c>
      <c r="Z573" t="str">
        <f>IF($AS573="","",Config!$B$21)</f>
        <v/>
      </c>
      <c r="AA573" t="str">
        <f>IF($AS573="","",Config!$B$22)</f>
        <v/>
      </c>
      <c r="AB573" t="str">
        <f>IF($AT573="","",INDEX(Calc!$D$2:$D$1601,$AT573))</f>
        <v/>
      </c>
      <c r="AC573" t="str">
        <f>IF($AT573="","",INDEX(Calc!$G$2:$G$1601,$AT573))</f>
        <v/>
      </c>
      <c r="AD573" t="str">
        <f>IF($AS573="","",Config!$B$23)</f>
        <v/>
      </c>
      <c r="AE573" t="str">
        <f>IF($AS573="","",Config!$B$28)</f>
        <v/>
      </c>
      <c r="AF573" t="str">
        <f t="shared" si="50"/>
        <v/>
      </c>
      <c r="AG573" t="str">
        <f t="shared" si="51"/>
        <v/>
      </c>
      <c r="AH573" t="str">
        <f t="shared" si="52"/>
        <v/>
      </c>
      <c r="AI573" t="str">
        <f>IF($AG573="","",SUMIF($AG$2:$AG573,$AG573,$AH$2:$AH573))</f>
        <v/>
      </c>
      <c r="AJ573" t="str">
        <f>IF('TMP Paste'!$F573="","",IF('TMP Paste'!$B573="",$AJ572,'TMP Paste'!$B573))</f>
        <v/>
      </c>
      <c r="AK573" t="str">
        <f>IF('TMP Paste'!$F573="","",N('TMP Paste'!$G573))</f>
        <v/>
      </c>
      <c r="AL573" t="str">
        <f>IF('TMP Paste'!$F573="","",IF('TMP Paste'!$M573="",$AL572,'TMP Paste'!$M573))</f>
        <v/>
      </c>
      <c r="AM573" t="str">
        <f>IF('TMP Paste'!$F573="","",IF('TMP Paste'!$N573="",$AM572,'TMP Paste'!$N573))</f>
        <v/>
      </c>
      <c r="AN573" t="str">
        <f>IF('TMP Paste'!$F573="","",IF('TMP Paste'!$O573="",$AN572,'TMP Paste'!$O573))</f>
        <v/>
      </c>
      <c r="AO573" t="str">
        <f>IF('TMP Paste'!$F573="","",IF('TMP Paste'!$P573="",$AO572,'TMP Paste'!$P573))</f>
        <v/>
      </c>
      <c r="AP573" t="str">
        <f t="shared" si="53"/>
        <v/>
      </c>
      <c r="AQ573" t="str">
        <f>IF($AS573="","",TRIM(IF(COUNTIFS(Calc!$B$2:$B$1601,ROW()-1,Calc!$C$2:$C$1601,"&lt;1")&gt;0,"Ada PO tanpa Koli - cek TMP. ","")&amp;IF(OR($AU573="",$AU573&lt;=0),"Volume kosong/0 - dimensi dikosongkan. ","")&amp;IF(AND($AU573&lt;&gt;"",$AU573&gt;=1000000),"Volume &gt;= 1.000.000 cm3 (di luar aturan) - dimensi dikosongkan. ","")&amp;IF(LEN($R573)&gt;500,"R &gt; 500 karakter.","")))</f>
        <v/>
      </c>
      <c r="AS573" t="str">
        <f>IFERROR(MATCH(ROW()-1,Calc!$J$2:$J$1601,0),"")</f>
        <v/>
      </c>
      <c r="AT573" t="str">
        <f>IFERROR(MATCH(ROW()-1,Calc!$K$2:$K$1601,0),"")</f>
        <v/>
      </c>
      <c r="AU573" t="str">
        <f>IF($AS573="","",IFERROR(INDEX('TMP Paste'!$D$2:$D$1601,$AS573)*1000000/$AB573,""))</f>
        <v/>
      </c>
    </row>
    <row r="574" spans="1:47">
      <c r="A574" t="str">
        <f>IF($AS574="","",INDEX('TMP Paste'!$B$2:$B$1601,$AS574))</f>
        <v/>
      </c>
      <c r="B574" t="str">
        <f>IF($AS574="","",Config!$B$14)</f>
        <v/>
      </c>
      <c r="C574" t="str">
        <f>IF($AS574="","",Config!$B$15)</f>
        <v/>
      </c>
      <c r="D574" t="str">
        <f>IF($AS574="","",INDEX('TMP Paste'!$B$2:$B$1601,$AS574))</f>
        <v/>
      </c>
      <c r="E574" t="str">
        <f>IF($AS574="","",Config!$B$27)</f>
        <v/>
      </c>
      <c r="F574" t="str">
        <f>IF($AS574="","",Config!$B$9)</f>
        <v/>
      </c>
      <c r="G574" t="str">
        <f>IF($AS574="","",Config!$B$10)</f>
        <v/>
      </c>
      <c r="H574" t="str">
        <f>IF($AS574="","",Config!$B$11)</f>
        <v/>
      </c>
      <c r="I574" t="str">
        <f>IF($AS574="","",Config!$B$16)</f>
        <v/>
      </c>
      <c r="J574" t="str">
        <f>IF($AS574="","",INDEX('TMP Paste'!$A$2:$A$1601,$AS574))</f>
        <v/>
      </c>
      <c r="K574" t="str">
        <f>IF($AS574="","",INDEX('TMP Paste'!$L$2:$L$1601,$AS574))</f>
        <v/>
      </c>
      <c r="L574" t="str">
        <f>IF($AS574="","",INDEX('TMP Paste'!$I$2:$I$1601,$AS574))</f>
        <v/>
      </c>
      <c r="M574" t="str">
        <f>IF($AS574="","",Config!$B$16)</f>
        <v/>
      </c>
      <c r="N574" t="str">
        <f t="shared" si="48"/>
        <v/>
      </c>
      <c r="O574" t="str">
        <f>IF($AS574="","",INDEX('TMP Paste'!$K$2:$K$1601,$AS574))</f>
        <v/>
      </c>
      <c r="P574" t="str">
        <f t="shared" si="49"/>
        <v/>
      </c>
      <c r="Q574" t="str">
        <f>IF($AS574="","",INDEX('TMP Paste'!$J$2:$J$1601,$AS574))</f>
        <v/>
      </c>
      <c r="R574" t="str">
        <f>IF($AS574="","",Config!$B$24)</f>
        <v/>
      </c>
      <c r="S574" t="str">
        <f ca="1">IF($AS574="","",TEXT(Config!$B$4,"yyyy-mm-dd"))</f>
        <v/>
      </c>
      <c r="T574" t="str">
        <f>IF($AS574="","",Config!$B$17)</f>
        <v/>
      </c>
      <c r="U574" t="str">
        <f>IF($AS574="","",Config!$B$18)</f>
        <v/>
      </c>
      <c r="V574" t="str">
        <f>IF($AS574="","",Config!$B$19)</f>
        <v/>
      </c>
      <c r="W574" t="str">
        <f>IF($AS574="","",INDEX('TMP Paste'!$C$2:$C$1601,$AS574))</f>
        <v/>
      </c>
      <c r="X574" t="str">
        <f>IF($AS574="","",Config!$B$29)</f>
        <v/>
      </c>
      <c r="Y574" t="str">
        <f>IF($AT574="","",INDEX(Calc!$I$2:$I$1601,$AT574)&amp;" - "&amp;INDEX(Calc!$D$2:$D$1601,$AT574)&amp;" koli")</f>
        <v/>
      </c>
      <c r="Z574" t="str">
        <f>IF($AS574="","",Config!$B$21)</f>
        <v/>
      </c>
      <c r="AA574" t="str">
        <f>IF($AS574="","",Config!$B$22)</f>
        <v/>
      </c>
      <c r="AB574" t="str">
        <f>IF($AT574="","",INDEX(Calc!$D$2:$D$1601,$AT574))</f>
        <v/>
      </c>
      <c r="AC574" t="str">
        <f>IF($AT574="","",INDEX(Calc!$G$2:$G$1601,$AT574))</f>
        <v/>
      </c>
      <c r="AD574" t="str">
        <f>IF($AS574="","",Config!$B$23)</f>
        <v/>
      </c>
      <c r="AE574" t="str">
        <f>IF($AS574="","",Config!$B$28)</f>
        <v/>
      </c>
      <c r="AF574" t="str">
        <f t="shared" si="50"/>
        <v/>
      </c>
      <c r="AG574" t="str">
        <f t="shared" si="51"/>
        <v/>
      </c>
      <c r="AH574" t="str">
        <f t="shared" si="52"/>
        <v/>
      </c>
      <c r="AI574" t="str">
        <f>IF($AG574="","",SUMIF($AG$2:$AG574,$AG574,$AH$2:$AH574))</f>
        <v/>
      </c>
      <c r="AJ574" t="str">
        <f>IF('TMP Paste'!$F574="","",IF('TMP Paste'!$B574="",$AJ573,'TMP Paste'!$B574))</f>
        <v/>
      </c>
      <c r="AK574" t="str">
        <f>IF('TMP Paste'!$F574="","",N('TMP Paste'!$G574))</f>
        <v/>
      </c>
      <c r="AL574" t="str">
        <f>IF('TMP Paste'!$F574="","",IF('TMP Paste'!$M574="",$AL573,'TMP Paste'!$M574))</f>
        <v/>
      </c>
      <c r="AM574" t="str">
        <f>IF('TMP Paste'!$F574="","",IF('TMP Paste'!$N574="",$AM573,'TMP Paste'!$N574))</f>
        <v/>
      </c>
      <c r="AN574" t="str">
        <f>IF('TMP Paste'!$F574="","",IF('TMP Paste'!$O574="",$AN573,'TMP Paste'!$O574))</f>
        <v/>
      </c>
      <c r="AO574" t="str">
        <f>IF('TMP Paste'!$F574="","",IF('TMP Paste'!$P574="",$AO573,'TMP Paste'!$P574))</f>
        <v/>
      </c>
      <c r="AP574" t="str">
        <f t="shared" si="53"/>
        <v/>
      </c>
      <c r="AQ574" t="str">
        <f>IF($AS574="","",TRIM(IF(COUNTIFS(Calc!$B$2:$B$1601,ROW()-1,Calc!$C$2:$C$1601,"&lt;1")&gt;0,"Ada PO tanpa Koli - cek TMP. ","")&amp;IF(OR($AU574="",$AU574&lt;=0),"Volume kosong/0 - dimensi dikosongkan. ","")&amp;IF(AND($AU574&lt;&gt;"",$AU574&gt;=1000000),"Volume &gt;= 1.000.000 cm3 (di luar aturan) - dimensi dikosongkan. ","")&amp;IF(LEN($R574)&gt;500,"R &gt; 500 karakter.","")))</f>
        <v/>
      </c>
      <c r="AS574" t="str">
        <f>IFERROR(MATCH(ROW()-1,Calc!$J$2:$J$1601,0),"")</f>
        <v/>
      </c>
      <c r="AT574" t="str">
        <f>IFERROR(MATCH(ROW()-1,Calc!$K$2:$K$1601,0),"")</f>
        <v/>
      </c>
      <c r="AU574" t="str">
        <f>IF($AS574="","",IFERROR(INDEX('TMP Paste'!$D$2:$D$1601,$AS574)*1000000/$AB574,""))</f>
        <v/>
      </c>
    </row>
    <row r="575" spans="1:47">
      <c r="A575" t="str">
        <f>IF($AS575="","",INDEX('TMP Paste'!$B$2:$B$1601,$AS575))</f>
        <v/>
      </c>
      <c r="B575" t="str">
        <f>IF($AS575="","",Config!$B$14)</f>
        <v/>
      </c>
      <c r="C575" t="str">
        <f>IF($AS575="","",Config!$B$15)</f>
        <v/>
      </c>
      <c r="D575" t="str">
        <f>IF($AS575="","",INDEX('TMP Paste'!$B$2:$B$1601,$AS575))</f>
        <v/>
      </c>
      <c r="E575" t="str">
        <f>IF($AS575="","",Config!$B$27)</f>
        <v/>
      </c>
      <c r="F575" t="str">
        <f>IF($AS575="","",Config!$B$9)</f>
        <v/>
      </c>
      <c r="G575" t="str">
        <f>IF($AS575="","",Config!$B$10)</f>
        <v/>
      </c>
      <c r="H575" t="str">
        <f>IF($AS575="","",Config!$B$11)</f>
        <v/>
      </c>
      <c r="I575" t="str">
        <f>IF($AS575="","",Config!$B$16)</f>
        <v/>
      </c>
      <c r="J575" t="str">
        <f>IF($AS575="","",INDEX('TMP Paste'!$A$2:$A$1601,$AS575))</f>
        <v/>
      </c>
      <c r="K575" t="str">
        <f>IF($AS575="","",INDEX('TMP Paste'!$L$2:$L$1601,$AS575))</f>
        <v/>
      </c>
      <c r="L575" t="str">
        <f>IF($AS575="","",INDEX('TMP Paste'!$I$2:$I$1601,$AS575))</f>
        <v/>
      </c>
      <c r="M575" t="str">
        <f>IF($AS575="","",Config!$B$16)</f>
        <v/>
      </c>
      <c r="N575" t="str">
        <f t="shared" si="48"/>
        <v/>
      </c>
      <c r="O575" t="str">
        <f>IF($AS575="","",INDEX('TMP Paste'!$K$2:$K$1601,$AS575))</f>
        <v/>
      </c>
      <c r="P575" t="str">
        <f t="shared" si="49"/>
        <v/>
      </c>
      <c r="Q575" t="str">
        <f>IF($AS575="","",INDEX('TMP Paste'!$J$2:$J$1601,$AS575))</f>
        <v/>
      </c>
      <c r="R575" t="str">
        <f>IF($AS575="","",Config!$B$24)</f>
        <v/>
      </c>
      <c r="S575" t="str">
        <f ca="1">IF($AS575="","",TEXT(Config!$B$4,"yyyy-mm-dd"))</f>
        <v/>
      </c>
      <c r="T575" t="str">
        <f>IF($AS575="","",Config!$B$17)</f>
        <v/>
      </c>
      <c r="U575" t="str">
        <f>IF($AS575="","",Config!$B$18)</f>
        <v/>
      </c>
      <c r="V575" t="str">
        <f>IF($AS575="","",Config!$B$19)</f>
        <v/>
      </c>
      <c r="W575" t="str">
        <f>IF($AS575="","",INDEX('TMP Paste'!$C$2:$C$1601,$AS575))</f>
        <v/>
      </c>
      <c r="X575" t="str">
        <f>IF($AS575="","",Config!$B$29)</f>
        <v/>
      </c>
      <c r="Y575" t="str">
        <f>IF($AT575="","",INDEX(Calc!$I$2:$I$1601,$AT575)&amp;" - "&amp;INDEX(Calc!$D$2:$D$1601,$AT575)&amp;" koli")</f>
        <v/>
      </c>
      <c r="Z575" t="str">
        <f>IF($AS575="","",Config!$B$21)</f>
        <v/>
      </c>
      <c r="AA575" t="str">
        <f>IF($AS575="","",Config!$B$22)</f>
        <v/>
      </c>
      <c r="AB575" t="str">
        <f>IF($AT575="","",INDEX(Calc!$D$2:$D$1601,$AT575))</f>
        <v/>
      </c>
      <c r="AC575" t="str">
        <f>IF($AT575="","",INDEX(Calc!$G$2:$G$1601,$AT575))</f>
        <v/>
      </c>
      <c r="AD575" t="str">
        <f>IF($AS575="","",Config!$B$23)</f>
        <v/>
      </c>
      <c r="AE575" t="str">
        <f>IF($AS575="","",Config!$B$28)</f>
        <v/>
      </c>
      <c r="AF575" t="str">
        <f t="shared" si="50"/>
        <v/>
      </c>
      <c r="AG575" t="str">
        <f t="shared" si="51"/>
        <v/>
      </c>
      <c r="AH575" t="str">
        <f t="shared" si="52"/>
        <v/>
      </c>
      <c r="AI575" t="str">
        <f>IF($AG575="","",SUMIF($AG$2:$AG575,$AG575,$AH$2:$AH575))</f>
        <v/>
      </c>
      <c r="AJ575" t="str">
        <f>IF('TMP Paste'!$F575="","",IF('TMP Paste'!$B575="",$AJ574,'TMP Paste'!$B575))</f>
        <v/>
      </c>
      <c r="AK575" t="str">
        <f>IF('TMP Paste'!$F575="","",N('TMP Paste'!$G575))</f>
        <v/>
      </c>
      <c r="AL575" t="str">
        <f>IF('TMP Paste'!$F575="","",IF('TMP Paste'!$M575="",$AL574,'TMP Paste'!$M575))</f>
        <v/>
      </c>
      <c r="AM575" t="str">
        <f>IF('TMP Paste'!$F575="","",IF('TMP Paste'!$N575="",$AM574,'TMP Paste'!$N575))</f>
        <v/>
      </c>
      <c r="AN575" t="str">
        <f>IF('TMP Paste'!$F575="","",IF('TMP Paste'!$O575="",$AN574,'TMP Paste'!$O575))</f>
        <v/>
      </c>
      <c r="AO575" t="str">
        <f>IF('TMP Paste'!$F575="","",IF('TMP Paste'!$P575="",$AO574,'TMP Paste'!$P575))</f>
        <v/>
      </c>
      <c r="AP575" t="str">
        <f t="shared" si="53"/>
        <v/>
      </c>
      <c r="AQ575" t="str">
        <f>IF($AS575="","",TRIM(IF(COUNTIFS(Calc!$B$2:$B$1601,ROW()-1,Calc!$C$2:$C$1601,"&lt;1")&gt;0,"Ada PO tanpa Koli - cek TMP. ","")&amp;IF(OR($AU575="",$AU575&lt;=0),"Volume kosong/0 - dimensi dikosongkan. ","")&amp;IF(AND($AU575&lt;&gt;"",$AU575&gt;=1000000),"Volume &gt;= 1.000.000 cm3 (di luar aturan) - dimensi dikosongkan. ","")&amp;IF(LEN($R575)&gt;500,"R &gt; 500 karakter.","")))</f>
        <v/>
      </c>
      <c r="AS575" t="str">
        <f>IFERROR(MATCH(ROW()-1,Calc!$J$2:$J$1601,0),"")</f>
        <v/>
      </c>
      <c r="AT575" t="str">
        <f>IFERROR(MATCH(ROW()-1,Calc!$K$2:$K$1601,0),"")</f>
        <v/>
      </c>
      <c r="AU575" t="str">
        <f>IF($AS575="","",IFERROR(INDEX('TMP Paste'!$D$2:$D$1601,$AS575)*1000000/$AB575,""))</f>
        <v/>
      </c>
    </row>
    <row r="576" spans="1:47">
      <c r="A576" t="str">
        <f>IF($AS576="","",INDEX('TMP Paste'!$B$2:$B$1601,$AS576))</f>
        <v/>
      </c>
      <c r="B576" t="str">
        <f>IF($AS576="","",Config!$B$14)</f>
        <v/>
      </c>
      <c r="C576" t="str">
        <f>IF($AS576="","",Config!$B$15)</f>
        <v/>
      </c>
      <c r="D576" t="str">
        <f>IF($AS576="","",INDEX('TMP Paste'!$B$2:$B$1601,$AS576))</f>
        <v/>
      </c>
      <c r="E576" t="str">
        <f>IF($AS576="","",Config!$B$27)</f>
        <v/>
      </c>
      <c r="F576" t="str">
        <f>IF($AS576="","",Config!$B$9)</f>
        <v/>
      </c>
      <c r="G576" t="str">
        <f>IF($AS576="","",Config!$B$10)</f>
        <v/>
      </c>
      <c r="H576" t="str">
        <f>IF($AS576="","",Config!$B$11)</f>
        <v/>
      </c>
      <c r="I576" t="str">
        <f>IF($AS576="","",Config!$B$16)</f>
        <v/>
      </c>
      <c r="J576" t="str">
        <f>IF($AS576="","",INDEX('TMP Paste'!$A$2:$A$1601,$AS576))</f>
        <v/>
      </c>
      <c r="K576" t="str">
        <f>IF($AS576="","",INDEX('TMP Paste'!$L$2:$L$1601,$AS576))</f>
        <v/>
      </c>
      <c r="L576" t="str">
        <f>IF($AS576="","",INDEX('TMP Paste'!$I$2:$I$1601,$AS576))</f>
        <v/>
      </c>
      <c r="M576" t="str">
        <f>IF($AS576="","",Config!$B$16)</f>
        <v/>
      </c>
      <c r="N576" t="str">
        <f t="shared" si="48"/>
        <v/>
      </c>
      <c r="O576" t="str">
        <f>IF($AS576="","",INDEX('TMP Paste'!$K$2:$K$1601,$AS576))</f>
        <v/>
      </c>
      <c r="P576" t="str">
        <f t="shared" si="49"/>
        <v/>
      </c>
      <c r="Q576" t="str">
        <f>IF($AS576="","",INDEX('TMP Paste'!$J$2:$J$1601,$AS576))</f>
        <v/>
      </c>
      <c r="R576" t="str">
        <f>IF($AS576="","",Config!$B$24)</f>
        <v/>
      </c>
      <c r="S576" t="str">
        <f ca="1">IF($AS576="","",TEXT(Config!$B$4,"yyyy-mm-dd"))</f>
        <v/>
      </c>
      <c r="T576" t="str">
        <f>IF($AS576="","",Config!$B$17)</f>
        <v/>
      </c>
      <c r="U576" t="str">
        <f>IF($AS576="","",Config!$B$18)</f>
        <v/>
      </c>
      <c r="V576" t="str">
        <f>IF($AS576="","",Config!$B$19)</f>
        <v/>
      </c>
      <c r="W576" t="str">
        <f>IF($AS576="","",INDEX('TMP Paste'!$C$2:$C$1601,$AS576))</f>
        <v/>
      </c>
      <c r="X576" t="str">
        <f>IF($AS576="","",Config!$B$29)</f>
        <v/>
      </c>
      <c r="Y576" t="str">
        <f>IF($AT576="","",INDEX(Calc!$I$2:$I$1601,$AT576)&amp;" - "&amp;INDEX(Calc!$D$2:$D$1601,$AT576)&amp;" koli")</f>
        <v/>
      </c>
      <c r="Z576" t="str">
        <f>IF($AS576="","",Config!$B$21)</f>
        <v/>
      </c>
      <c r="AA576" t="str">
        <f>IF($AS576="","",Config!$B$22)</f>
        <v/>
      </c>
      <c r="AB576" t="str">
        <f>IF($AT576="","",INDEX(Calc!$D$2:$D$1601,$AT576))</f>
        <v/>
      </c>
      <c r="AC576" t="str">
        <f>IF($AT576="","",INDEX(Calc!$G$2:$G$1601,$AT576))</f>
        <v/>
      </c>
      <c r="AD576" t="str">
        <f>IF($AS576="","",Config!$B$23)</f>
        <v/>
      </c>
      <c r="AE576" t="str">
        <f>IF($AS576="","",Config!$B$28)</f>
        <v/>
      </c>
      <c r="AF576" t="str">
        <f t="shared" si="50"/>
        <v/>
      </c>
      <c r="AG576" t="str">
        <f t="shared" si="51"/>
        <v/>
      </c>
      <c r="AH576" t="str">
        <f t="shared" si="52"/>
        <v/>
      </c>
      <c r="AI576" t="str">
        <f>IF($AG576="","",SUMIF($AG$2:$AG576,$AG576,$AH$2:$AH576))</f>
        <v/>
      </c>
      <c r="AJ576" t="str">
        <f>IF('TMP Paste'!$F576="","",IF('TMP Paste'!$B576="",$AJ575,'TMP Paste'!$B576))</f>
        <v/>
      </c>
      <c r="AK576" t="str">
        <f>IF('TMP Paste'!$F576="","",N('TMP Paste'!$G576))</f>
        <v/>
      </c>
      <c r="AL576" t="str">
        <f>IF('TMP Paste'!$F576="","",IF('TMP Paste'!$M576="",$AL575,'TMP Paste'!$M576))</f>
        <v/>
      </c>
      <c r="AM576" t="str">
        <f>IF('TMP Paste'!$F576="","",IF('TMP Paste'!$N576="",$AM575,'TMP Paste'!$N576))</f>
        <v/>
      </c>
      <c r="AN576" t="str">
        <f>IF('TMP Paste'!$F576="","",IF('TMP Paste'!$O576="",$AN575,'TMP Paste'!$O576))</f>
        <v/>
      </c>
      <c r="AO576" t="str">
        <f>IF('TMP Paste'!$F576="","",IF('TMP Paste'!$P576="",$AO575,'TMP Paste'!$P576))</f>
        <v/>
      </c>
      <c r="AP576" t="str">
        <f t="shared" si="53"/>
        <v/>
      </c>
      <c r="AQ576" t="str">
        <f>IF($AS576="","",TRIM(IF(COUNTIFS(Calc!$B$2:$B$1601,ROW()-1,Calc!$C$2:$C$1601,"&lt;1")&gt;0,"Ada PO tanpa Koli - cek TMP. ","")&amp;IF(OR($AU576="",$AU576&lt;=0),"Volume kosong/0 - dimensi dikosongkan. ","")&amp;IF(AND($AU576&lt;&gt;"",$AU576&gt;=1000000),"Volume &gt;= 1.000.000 cm3 (di luar aturan) - dimensi dikosongkan. ","")&amp;IF(LEN($R576)&gt;500,"R &gt; 500 karakter.","")))</f>
        <v/>
      </c>
      <c r="AS576" t="str">
        <f>IFERROR(MATCH(ROW()-1,Calc!$J$2:$J$1601,0),"")</f>
        <v/>
      </c>
      <c r="AT576" t="str">
        <f>IFERROR(MATCH(ROW()-1,Calc!$K$2:$K$1601,0),"")</f>
        <v/>
      </c>
      <c r="AU576" t="str">
        <f>IF($AS576="","",IFERROR(INDEX('TMP Paste'!$D$2:$D$1601,$AS576)*1000000/$AB576,""))</f>
        <v/>
      </c>
    </row>
    <row r="577" spans="1:47">
      <c r="A577" t="str">
        <f>IF($AS577="","",INDEX('TMP Paste'!$B$2:$B$1601,$AS577))</f>
        <v/>
      </c>
      <c r="B577" t="str">
        <f>IF($AS577="","",Config!$B$14)</f>
        <v/>
      </c>
      <c r="C577" t="str">
        <f>IF($AS577="","",Config!$B$15)</f>
        <v/>
      </c>
      <c r="D577" t="str">
        <f>IF($AS577="","",INDEX('TMP Paste'!$B$2:$B$1601,$AS577))</f>
        <v/>
      </c>
      <c r="E577" t="str">
        <f>IF($AS577="","",Config!$B$27)</f>
        <v/>
      </c>
      <c r="F577" t="str">
        <f>IF($AS577="","",Config!$B$9)</f>
        <v/>
      </c>
      <c r="G577" t="str">
        <f>IF($AS577="","",Config!$B$10)</f>
        <v/>
      </c>
      <c r="H577" t="str">
        <f>IF($AS577="","",Config!$B$11)</f>
        <v/>
      </c>
      <c r="I577" t="str">
        <f>IF($AS577="","",Config!$B$16)</f>
        <v/>
      </c>
      <c r="J577" t="str">
        <f>IF($AS577="","",INDEX('TMP Paste'!$A$2:$A$1601,$AS577))</f>
        <v/>
      </c>
      <c r="K577" t="str">
        <f>IF($AS577="","",INDEX('TMP Paste'!$L$2:$L$1601,$AS577))</f>
        <v/>
      </c>
      <c r="L577" t="str">
        <f>IF($AS577="","",INDEX('TMP Paste'!$I$2:$I$1601,$AS577))</f>
        <v/>
      </c>
      <c r="M577" t="str">
        <f>IF($AS577="","",Config!$B$16)</f>
        <v/>
      </c>
      <c r="N577" t="str">
        <f t="shared" si="48"/>
        <v/>
      </c>
      <c r="O577" t="str">
        <f>IF($AS577="","",INDEX('TMP Paste'!$K$2:$K$1601,$AS577))</f>
        <v/>
      </c>
      <c r="P577" t="str">
        <f t="shared" si="49"/>
        <v/>
      </c>
      <c r="Q577" t="str">
        <f>IF($AS577="","",INDEX('TMP Paste'!$J$2:$J$1601,$AS577))</f>
        <v/>
      </c>
      <c r="R577" t="str">
        <f>IF($AS577="","",Config!$B$24)</f>
        <v/>
      </c>
      <c r="S577" t="str">
        <f ca="1">IF($AS577="","",TEXT(Config!$B$4,"yyyy-mm-dd"))</f>
        <v/>
      </c>
      <c r="T577" t="str">
        <f>IF($AS577="","",Config!$B$17)</f>
        <v/>
      </c>
      <c r="U577" t="str">
        <f>IF($AS577="","",Config!$B$18)</f>
        <v/>
      </c>
      <c r="V577" t="str">
        <f>IF($AS577="","",Config!$B$19)</f>
        <v/>
      </c>
      <c r="W577" t="str">
        <f>IF($AS577="","",INDEX('TMP Paste'!$C$2:$C$1601,$AS577))</f>
        <v/>
      </c>
      <c r="X577" t="str">
        <f>IF($AS577="","",Config!$B$29)</f>
        <v/>
      </c>
      <c r="Y577" t="str">
        <f>IF($AT577="","",INDEX(Calc!$I$2:$I$1601,$AT577)&amp;" - "&amp;INDEX(Calc!$D$2:$D$1601,$AT577)&amp;" koli")</f>
        <v/>
      </c>
      <c r="Z577" t="str">
        <f>IF($AS577="","",Config!$B$21)</f>
        <v/>
      </c>
      <c r="AA577" t="str">
        <f>IF($AS577="","",Config!$B$22)</f>
        <v/>
      </c>
      <c r="AB577" t="str">
        <f>IF($AT577="","",INDEX(Calc!$D$2:$D$1601,$AT577))</f>
        <v/>
      </c>
      <c r="AC577" t="str">
        <f>IF($AT577="","",INDEX(Calc!$G$2:$G$1601,$AT577))</f>
        <v/>
      </c>
      <c r="AD577" t="str">
        <f>IF($AS577="","",Config!$B$23)</f>
        <v/>
      </c>
      <c r="AE577" t="str">
        <f>IF($AS577="","",Config!$B$28)</f>
        <v/>
      </c>
      <c r="AF577" t="str">
        <f t="shared" si="50"/>
        <v/>
      </c>
      <c r="AG577" t="str">
        <f t="shared" si="51"/>
        <v/>
      </c>
      <c r="AH577" t="str">
        <f t="shared" si="52"/>
        <v/>
      </c>
      <c r="AI577" t="str">
        <f>IF($AG577="","",SUMIF($AG$2:$AG577,$AG577,$AH$2:$AH577))</f>
        <v/>
      </c>
      <c r="AJ577" t="str">
        <f>IF('TMP Paste'!$F577="","",IF('TMP Paste'!$B577="",$AJ576,'TMP Paste'!$B577))</f>
        <v/>
      </c>
      <c r="AK577" t="str">
        <f>IF('TMP Paste'!$F577="","",N('TMP Paste'!$G577))</f>
        <v/>
      </c>
      <c r="AL577" t="str">
        <f>IF('TMP Paste'!$F577="","",IF('TMP Paste'!$M577="",$AL576,'TMP Paste'!$M577))</f>
        <v/>
      </c>
      <c r="AM577" t="str">
        <f>IF('TMP Paste'!$F577="","",IF('TMP Paste'!$N577="",$AM576,'TMP Paste'!$N577))</f>
        <v/>
      </c>
      <c r="AN577" t="str">
        <f>IF('TMP Paste'!$F577="","",IF('TMP Paste'!$O577="",$AN576,'TMP Paste'!$O577))</f>
        <v/>
      </c>
      <c r="AO577" t="str">
        <f>IF('TMP Paste'!$F577="","",IF('TMP Paste'!$P577="",$AO576,'TMP Paste'!$P577))</f>
        <v/>
      </c>
      <c r="AP577" t="str">
        <f t="shared" si="53"/>
        <v/>
      </c>
      <c r="AQ577" t="str">
        <f>IF($AS577="","",TRIM(IF(COUNTIFS(Calc!$B$2:$B$1601,ROW()-1,Calc!$C$2:$C$1601,"&lt;1")&gt;0,"Ada PO tanpa Koli - cek TMP. ","")&amp;IF(OR($AU577="",$AU577&lt;=0),"Volume kosong/0 - dimensi dikosongkan. ","")&amp;IF(AND($AU577&lt;&gt;"",$AU577&gt;=1000000),"Volume &gt;= 1.000.000 cm3 (di luar aturan) - dimensi dikosongkan. ","")&amp;IF(LEN($R577)&gt;500,"R &gt; 500 karakter.","")))</f>
        <v/>
      </c>
      <c r="AS577" t="str">
        <f>IFERROR(MATCH(ROW()-1,Calc!$J$2:$J$1601,0),"")</f>
        <v/>
      </c>
      <c r="AT577" t="str">
        <f>IFERROR(MATCH(ROW()-1,Calc!$K$2:$K$1601,0),"")</f>
        <v/>
      </c>
      <c r="AU577" t="str">
        <f>IF($AS577="","",IFERROR(INDEX('TMP Paste'!$D$2:$D$1601,$AS577)*1000000/$AB577,""))</f>
        <v/>
      </c>
    </row>
    <row r="578" spans="1:47">
      <c r="A578" t="str">
        <f>IF($AS578="","",INDEX('TMP Paste'!$B$2:$B$1601,$AS578))</f>
        <v/>
      </c>
      <c r="B578" t="str">
        <f>IF($AS578="","",Config!$B$14)</f>
        <v/>
      </c>
      <c r="C578" t="str">
        <f>IF($AS578="","",Config!$B$15)</f>
        <v/>
      </c>
      <c r="D578" t="str">
        <f>IF($AS578="","",INDEX('TMP Paste'!$B$2:$B$1601,$AS578))</f>
        <v/>
      </c>
      <c r="E578" t="str">
        <f>IF($AS578="","",Config!$B$27)</f>
        <v/>
      </c>
      <c r="F578" t="str">
        <f>IF($AS578="","",Config!$B$9)</f>
        <v/>
      </c>
      <c r="G578" t="str">
        <f>IF($AS578="","",Config!$B$10)</f>
        <v/>
      </c>
      <c r="H578" t="str">
        <f>IF($AS578="","",Config!$B$11)</f>
        <v/>
      </c>
      <c r="I578" t="str">
        <f>IF($AS578="","",Config!$B$16)</f>
        <v/>
      </c>
      <c r="J578" t="str">
        <f>IF($AS578="","",INDEX('TMP Paste'!$A$2:$A$1601,$AS578))</f>
        <v/>
      </c>
      <c r="K578" t="str">
        <f>IF($AS578="","",INDEX('TMP Paste'!$L$2:$L$1601,$AS578))</f>
        <v/>
      </c>
      <c r="L578" t="str">
        <f>IF($AS578="","",INDEX('TMP Paste'!$I$2:$I$1601,$AS578))</f>
        <v/>
      </c>
      <c r="M578" t="str">
        <f>IF($AS578="","",Config!$B$16)</f>
        <v/>
      </c>
      <c r="N578" t="str">
        <f t="shared" ref="N578:N641" si="54">IF($AS578="","","")</f>
        <v/>
      </c>
      <c r="O578" t="str">
        <f>IF($AS578="","",INDEX('TMP Paste'!$K$2:$K$1601,$AS578))</f>
        <v/>
      </c>
      <c r="P578" t="str">
        <f t="shared" ref="P578:P641" si="55">IF($AS578="","","")</f>
        <v/>
      </c>
      <c r="Q578" t="str">
        <f>IF($AS578="","",INDEX('TMP Paste'!$J$2:$J$1601,$AS578))</f>
        <v/>
      </c>
      <c r="R578" t="str">
        <f>IF($AS578="","",Config!$B$24)</f>
        <v/>
      </c>
      <c r="S578" t="str">
        <f ca="1">IF($AS578="","",TEXT(Config!$B$4,"yyyy-mm-dd"))</f>
        <v/>
      </c>
      <c r="T578" t="str">
        <f>IF($AS578="","",Config!$B$17)</f>
        <v/>
      </c>
      <c r="U578" t="str">
        <f>IF($AS578="","",Config!$B$18)</f>
        <v/>
      </c>
      <c r="V578" t="str">
        <f>IF($AS578="","",Config!$B$19)</f>
        <v/>
      </c>
      <c r="W578" t="str">
        <f>IF($AS578="","",INDEX('TMP Paste'!$C$2:$C$1601,$AS578))</f>
        <v/>
      </c>
      <c r="X578" t="str">
        <f>IF($AS578="","",Config!$B$29)</f>
        <v/>
      </c>
      <c r="Y578" t="str">
        <f>IF($AT578="","",INDEX(Calc!$I$2:$I$1601,$AT578)&amp;" - "&amp;INDEX(Calc!$D$2:$D$1601,$AT578)&amp;" koli")</f>
        <v/>
      </c>
      <c r="Z578" t="str">
        <f>IF($AS578="","",Config!$B$21)</f>
        <v/>
      </c>
      <c r="AA578" t="str">
        <f>IF($AS578="","",Config!$B$22)</f>
        <v/>
      </c>
      <c r="AB578" t="str">
        <f>IF($AT578="","",INDEX(Calc!$D$2:$D$1601,$AT578))</f>
        <v/>
      </c>
      <c r="AC578" t="str">
        <f>IF($AT578="","",INDEX(Calc!$G$2:$G$1601,$AT578))</f>
        <v/>
      </c>
      <c r="AD578" t="str">
        <f>IF($AS578="","",Config!$B$23)</f>
        <v/>
      </c>
      <c r="AE578" t="str">
        <f>IF($AS578="","",Config!$B$28)</f>
        <v/>
      </c>
      <c r="AF578" t="str">
        <f t="shared" ref="AF578:AF641" si="56">IF($AS578="","",IF(OR($AU578="",$AU578&lt;=0,$AU578&gt;=1000000),"",IF($AU578&lt;10000,10,100)))</f>
        <v/>
      </c>
      <c r="AG578" t="str">
        <f t="shared" ref="AG578:AG641" si="57">IF($AS578="","",IF(OR($AU578="",$AU578&lt;=0,$AU578&gt;=1000000),"",IF($AU578&lt;10000,$AU578/100,IF($AU578&lt;100000,$AU578/1000,$AU578/10000))))</f>
        <v/>
      </c>
      <c r="AH578" t="str">
        <f t="shared" ref="AH578:AH641" si="58">IF($AS578="","",IF(OR($AU578="",$AU578&lt;=0,$AU578&gt;=1000000),"",IF($AU578&lt;100000,10,100)))</f>
        <v/>
      </c>
      <c r="AI578" t="str">
        <f>IF($AG578="","",SUMIF($AG$2:$AG578,$AG578,$AH$2:$AH578))</f>
        <v/>
      </c>
      <c r="AJ578" t="str">
        <f>IF('TMP Paste'!$F578="","",IF('TMP Paste'!$B578="",$AJ577,'TMP Paste'!$B578))</f>
        <v/>
      </c>
      <c r="AK578" t="str">
        <f>IF('TMP Paste'!$F578="","",N('TMP Paste'!$G578))</f>
        <v/>
      </c>
      <c r="AL578" t="str">
        <f>IF('TMP Paste'!$F578="","",IF('TMP Paste'!$M578="",$AL577,'TMP Paste'!$M578))</f>
        <v/>
      </c>
      <c r="AM578" t="str">
        <f>IF('TMP Paste'!$F578="","",IF('TMP Paste'!$N578="",$AM577,'TMP Paste'!$N578))</f>
        <v/>
      </c>
      <c r="AN578" t="str">
        <f>IF('TMP Paste'!$F578="","",IF('TMP Paste'!$O578="",$AN577,'TMP Paste'!$O578))</f>
        <v/>
      </c>
      <c r="AO578" t="str">
        <f>IF('TMP Paste'!$F578="","",IF('TMP Paste'!$P578="",$AO577,'TMP Paste'!$P578))</f>
        <v/>
      </c>
      <c r="AP578" t="str">
        <f t="shared" ref="AP578:AP641" si="59">IF($AG578="","",LEN($R578))</f>
        <v/>
      </c>
      <c r="AQ578" t="str">
        <f>IF($AS578="","",TRIM(IF(COUNTIFS(Calc!$B$2:$B$1601,ROW()-1,Calc!$C$2:$C$1601,"&lt;1")&gt;0,"Ada PO tanpa Koli - cek TMP. ","")&amp;IF(OR($AU578="",$AU578&lt;=0),"Volume kosong/0 - dimensi dikosongkan. ","")&amp;IF(AND($AU578&lt;&gt;"",$AU578&gt;=1000000),"Volume &gt;= 1.000.000 cm3 (di luar aturan) - dimensi dikosongkan. ","")&amp;IF(LEN($R578)&gt;500,"R &gt; 500 karakter.","")))</f>
        <v/>
      </c>
      <c r="AS578" t="str">
        <f>IFERROR(MATCH(ROW()-1,Calc!$J$2:$J$1601,0),"")</f>
        <v/>
      </c>
      <c r="AT578" t="str">
        <f>IFERROR(MATCH(ROW()-1,Calc!$K$2:$K$1601,0),"")</f>
        <v/>
      </c>
      <c r="AU578" t="str">
        <f>IF($AS578="","",IFERROR(INDEX('TMP Paste'!$D$2:$D$1601,$AS578)*1000000/$AB578,""))</f>
        <v/>
      </c>
    </row>
    <row r="579" spans="1:47">
      <c r="A579" t="str">
        <f>IF($AS579="","",INDEX('TMP Paste'!$B$2:$B$1601,$AS579))</f>
        <v/>
      </c>
      <c r="B579" t="str">
        <f>IF($AS579="","",Config!$B$14)</f>
        <v/>
      </c>
      <c r="C579" t="str">
        <f>IF($AS579="","",Config!$B$15)</f>
        <v/>
      </c>
      <c r="D579" t="str">
        <f>IF($AS579="","",INDEX('TMP Paste'!$B$2:$B$1601,$AS579))</f>
        <v/>
      </c>
      <c r="E579" t="str">
        <f>IF($AS579="","",Config!$B$27)</f>
        <v/>
      </c>
      <c r="F579" t="str">
        <f>IF($AS579="","",Config!$B$9)</f>
        <v/>
      </c>
      <c r="G579" t="str">
        <f>IF($AS579="","",Config!$B$10)</f>
        <v/>
      </c>
      <c r="H579" t="str">
        <f>IF($AS579="","",Config!$B$11)</f>
        <v/>
      </c>
      <c r="I579" t="str">
        <f>IF($AS579="","",Config!$B$16)</f>
        <v/>
      </c>
      <c r="J579" t="str">
        <f>IF($AS579="","",INDEX('TMP Paste'!$A$2:$A$1601,$AS579))</f>
        <v/>
      </c>
      <c r="K579" t="str">
        <f>IF($AS579="","",INDEX('TMP Paste'!$L$2:$L$1601,$AS579))</f>
        <v/>
      </c>
      <c r="L579" t="str">
        <f>IF($AS579="","",INDEX('TMP Paste'!$I$2:$I$1601,$AS579))</f>
        <v/>
      </c>
      <c r="M579" t="str">
        <f>IF($AS579="","",Config!$B$16)</f>
        <v/>
      </c>
      <c r="N579" t="str">
        <f t="shared" si="54"/>
        <v/>
      </c>
      <c r="O579" t="str">
        <f>IF($AS579="","",INDEX('TMP Paste'!$K$2:$K$1601,$AS579))</f>
        <v/>
      </c>
      <c r="P579" t="str">
        <f t="shared" si="55"/>
        <v/>
      </c>
      <c r="Q579" t="str">
        <f>IF($AS579="","",INDEX('TMP Paste'!$J$2:$J$1601,$AS579))</f>
        <v/>
      </c>
      <c r="R579" t="str">
        <f>IF($AS579="","",Config!$B$24)</f>
        <v/>
      </c>
      <c r="S579" t="str">
        <f ca="1">IF($AS579="","",TEXT(Config!$B$4,"yyyy-mm-dd"))</f>
        <v/>
      </c>
      <c r="T579" t="str">
        <f>IF($AS579="","",Config!$B$17)</f>
        <v/>
      </c>
      <c r="U579" t="str">
        <f>IF($AS579="","",Config!$B$18)</f>
        <v/>
      </c>
      <c r="V579" t="str">
        <f>IF($AS579="","",Config!$B$19)</f>
        <v/>
      </c>
      <c r="W579" t="str">
        <f>IF($AS579="","",INDEX('TMP Paste'!$C$2:$C$1601,$AS579))</f>
        <v/>
      </c>
      <c r="X579" t="str">
        <f>IF($AS579="","",Config!$B$29)</f>
        <v/>
      </c>
      <c r="Y579" t="str">
        <f>IF($AT579="","",INDEX(Calc!$I$2:$I$1601,$AT579)&amp;" - "&amp;INDEX(Calc!$D$2:$D$1601,$AT579)&amp;" koli")</f>
        <v/>
      </c>
      <c r="Z579" t="str">
        <f>IF($AS579="","",Config!$B$21)</f>
        <v/>
      </c>
      <c r="AA579" t="str">
        <f>IF($AS579="","",Config!$B$22)</f>
        <v/>
      </c>
      <c r="AB579" t="str">
        <f>IF($AT579="","",INDEX(Calc!$D$2:$D$1601,$AT579))</f>
        <v/>
      </c>
      <c r="AC579" t="str">
        <f>IF($AT579="","",INDEX(Calc!$G$2:$G$1601,$AT579))</f>
        <v/>
      </c>
      <c r="AD579" t="str">
        <f>IF($AS579="","",Config!$B$23)</f>
        <v/>
      </c>
      <c r="AE579" t="str">
        <f>IF($AS579="","",Config!$B$28)</f>
        <v/>
      </c>
      <c r="AF579" t="str">
        <f t="shared" si="56"/>
        <v/>
      </c>
      <c r="AG579" t="str">
        <f t="shared" si="57"/>
        <v/>
      </c>
      <c r="AH579" t="str">
        <f t="shared" si="58"/>
        <v/>
      </c>
      <c r="AI579" t="str">
        <f>IF($AG579="","",SUMIF($AG$2:$AG579,$AG579,$AH$2:$AH579))</f>
        <v/>
      </c>
      <c r="AJ579" t="str">
        <f>IF('TMP Paste'!$F579="","",IF('TMP Paste'!$B579="",$AJ578,'TMP Paste'!$B579))</f>
        <v/>
      </c>
      <c r="AK579" t="str">
        <f>IF('TMP Paste'!$F579="","",N('TMP Paste'!$G579))</f>
        <v/>
      </c>
      <c r="AL579" t="str">
        <f>IF('TMP Paste'!$F579="","",IF('TMP Paste'!$M579="",$AL578,'TMP Paste'!$M579))</f>
        <v/>
      </c>
      <c r="AM579" t="str">
        <f>IF('TMP Paste'!$F579="","",IF('TMP Paste'!$N579="",$AM578,'TMP Paste'!$N579))</f>
        <v/>
      </c>
      <c r="AN579" t="str">
        <f>IF('TMP Paste'!$F579="","",IF('TMP Paste'!$O579="",$AN578,'TMP Paste'!$O579))</f>
        <v/>
      </c>
      <c r="AO579" t="str">
        <f>IF('TMP Paste'!$F579="","",IF('TMP Paste'!$P579="",$AO578,'TMP Paste'!$P579))</f>
        <v/>
      </c>
      <c r="AP579" t="str">
        <f t="shared" si="59"/>
        <v/>
      </c>
      <c r="AQ579" t="str">
        <f>IF($AS579="","",TRIM(IF(COUNTIFS(Calc!$B$2:$B$1601,ROW()-1,Calc!$C$2:$C$1601,"&lt;1")&gt;0,"Ada PO tanpa Koli - cek TMP. ","")&amp;IF(OR($AU579="",$AU579&lt;=0),"Volume kosong/0 - dimensi dikosongkan. ","")&amp;IF(AND($AU579&lt;&gt;"",$AU579&gt;=1000000),"Volume &gt;= 1.000.000 cm3 (di luar aturan) - dimensi dikosongkan. ","")&amp;IF(LEN($R579)&gt;500,"R &gt; 500 karakter.","")))</f>
        <v/>
      </c>
      <c r="AS579" t="str">
        <f>IFERROR(MATCH(ROW()-1,Calc!$J$2:$J$1601,0),"")</f>
        <v/>
      </c>
      <c r="AT579" t="str">
        <f>IFERROR(MATCH(ROW()-1,Calc!$K$2:$K$1601,0),"")</f>
        <v/>
      </c>
      <c r="AU579" t="str">
        <f>IF($AS579="","",IFERROR(INDEX('TMP Paste'!$D$2:$D$1601,$AS579)*1000000/$AB579,""))</f>
        <v/>
      </c>
    </row>
    <row r="580" spans="1:47">
      <c r="A580" t="str">
        <f>IF($AS580="","",INDEX('TMP Paste'!$B$2:$B$1601,$AS580))</f>
        <v/>
      </c>
      <c r="B580" t="str">
        <f>IF($AS580="","",Config!$B$14)</f>
        <v/>
      </c>
      <c r="C580" t="str">
        <f>IF($AS580="","",Config!$B$15)</f>
        <v/>
      </c>
      <c r="D580" t="str">
        <f>IF($AS580="","",INDEX('TMP Paste'!$B$2:$B$1601,$AS580))</f>
        <v/>
      </c>
      <c r="E580" t="str">
        <f>IF($AS580="","",Config!$B$27)</f>
        <v/>
      </c>
      <c r="F580" t="str">
        <f>IF($AS580="","",Config!$B$9)</f>
        <v/>
      </c>
      <c r="G580" t="str">
        <f>IF($AS580="","",Config!$B$10)</f>
        <v/>
      </c>
      <c r="H580" t="str">
        <f>IF($AS580="","",Config!$B$11)</f>
        <v/>
      </c>
      <c r="I580" t="str">
        <f>IF($AS580="","",Config!$B$16)</f>
        <v/>
      </c>
      <c r="J580" t="str">
        <f>IF($AS580="","",INDEX('TMP Paste'!$A$2:$A$1601,$AS580))</f>
        <v/>
      </c>
      <c r="K580" t="str">
        <f>IF($AS580="","",INDEX('TMP Paste'!$L$2:$L$1601,$AS580))</f>
        <v/>
      </c>
      <c r="L580" t="str">
        <f>IF($AS580="","",INDEX('TMP Paste'!$I$2:$I$1601,$AS580))</f>
        <v/>
      </c>
      <c r="M580" t="str">
        <f>IF($AS580="","",Config!$B$16)</f>
        <v/>
      </c>
      <c r="N580" t="str">
        <f t="shared" si="54"/>
        <v/>
      </c>
      <c r="O580" t="str">
        <f>IF($AS580="","",INDEX('TMP Paste'!$K$2:$K$1601,$AS580))</f>
        <v/>
      </c>
      <c r="P580" t="str">
        <f t="shared" si="55"/>
        <v/>
      </c>
      <c r="Q580" t="str">
        <f>IF($AS580="","",INDEX('TMP Paste'!$J$2:$J$1601,$AS580))</f>
        <v/>
      </c>
      <c r="R580" t="str">
        <f>IF($AS580="","",Config!$B$24)</f>
        <v/>
      </c>
      <c r="S580" t="str">
        <f ca="1">IF($AS580="","",TEXT(Config!$B$4,"yyyy-mm-dd"))</f>
        <v/>
      </c>
      <c r="T580" t="str">
        <f>IF($AS580="","",Config!$B$17)</f>
        <v/>
      </c>
      <c r="U580" t="str">
        <f>IF($AS580="","",Config!$B$18)</f>
        <v/>
      </c>
      <c r="V580" t="str">
        <f>IF($AS580="","",Config!$B$19)</f>
        <v/>
      </c>
      <c r="W580" t="str">
        <f>IF($AS580="","",INDEX('TMP Paste'!$C$2:$C$1601,$AS580))</f>
        <v/>
      </c>
      <c r="X580" t="str">
        <f>IF($AS580="","",Config!$B$29)</f>
        <v/>
      </c>
      <c r="Y580" t="str">
        <f>IF($AT580="","",INDEX(Calc!$I$2:$I$1601,$AT580)&amp;" - "&amp;INDEX(Calc!$D$2:$D$1601,$AT580)&amp;" koli")</f>
        <v/>
      </c>
      <c r="Z580" t="str">
        <f>IF($AS580="","",Config!$B$21)</f>
        <v/>
      </c>
      <c r="AA580" t="str">
        <f>IF($AS580="","",Config!$B$22)</f>
        <v/>
      </c>
      <c r="AB580" t="str">
        <f>IF($AT580="","",INDEX(Calc!$D$2:$D$1601,$AT580))</f>
        <v/>
      </c>
      <c r="AC580" t="str">
        <f>IF($AT580="","",INDEX(Calc!$G$2:$G$1601,$AT580))</f>
        <v/>
      </c>
      <c r="AD580" t="str">
        <f>IF($AS580="","",Config!$B$23)</f>
        <v/>
      </c>
      <c r="AE580" t="str">
        <f>IF($AS580="","",Config!$B$28)</f>
        <v/>
      </c>
      <c r="AF580" t="str">
        <f t="shared" si="56"/>
        <v/>
      </c>
      <c r="AG580" t="str">
        <f t="shared" si="57"/>
        <v/>
      </c>
      <c r="AH580" t="str">
        <f t="shared" si="58"/>
        <v/>
      </c>
      <c r="AI580" t="str">
        <f>IF($AG580="","",SUMIF($AG$2:$AG580,$AG580,$AH$2:$AH580))</f>
        <v/>
      </c>
      <c r="AJ580" t="str">
        <f>IF('TMP Paste'!$F580="","",IF('TMP Paste'!$B580="",$AJ579,'TMP Paste'!$B580))</f>
        <v/>
      </c>
      <c r="AK580" t="str">
        <f>IF('TMP Paste'!$F580="","",N('TMP Paste'!$G580))</f>
        <v/>
      </c>
      <c r="AL580" t="str">
        <f>IF('TMP Paste'!$F580="","",IF('TMP Paste'!$M580="",$AL579,'TMP Paste'!$M580))</f>
        <v/>
      </c>
      <c r="AM580" t="str">
        <f>IF('TMP Paste'!$F580="","",IF('TMP Paste'!$N580="",$AM579,'TMP Paste'!$N580))</f>
        <v/>
      </c>
      <c r="AN580" t="str">
        <f>IF('TMP Paste'!$F580="","",IF('TMP Paste'!$O580="",$AN579,'TMP Paste'!$O580))</f>
        <v/>
      </c>
      <c r="AO580" t="str">
        <f>IF('TMP Paste'!$F580="","",IF('TMP Paste'!$P580="",$AO579,'TMP Paste'!$P580))</f>
        <v/>
      </c>
      <c r="AP580" t="str">
        <f t="shared" si="59"/>
        <v/>
      </c>
      <c r="AQ580" t="str">
        <f>IF($AS580="","",TRIM(IF(COUNTIFS(Calc!$B$2:$B$1601,ROW()-1,Calc!$C$2:$C$1601,"&lt;1")&gt;0,"Ada PO tanpa Koli - cek TMP. ","")&amp;IF(OR($AU580="",$AU580&lt;=0),"Volume kosong/0 - dimensi dikosongkan. ","")&amp;IF(AND($AU580&lt;&gt;"",$AU580&gt;=1000000),"Volume &gt;= 1.000.000 cm3 (di luar aturan) - dimensi dikosongkan. ","")&amp;IF(LEN($R580)&gt;500,"R &gt; 500 karakter.","")))</f>
        <v/>
      </c>
      <c r="AS580" t="str">
        <f>IFERROR(MATCH(ROW()-1,Calc!$J$2:$J$1601,0),"")</f>
        <v/>
      </c>
      <c r="AT580" t="str">
        <f>IFERROR(MATCH(ROW()-1,Calc!$K$2:$K$1601,0),"")</f>
        <v/>
      </c>
      <c r="AU580" t="str">
        <f>IF($AS580="","",IFERROR(INDEX('TMP Paste'!$D$2:$D$1601,$AS580)*1000000/$AB580,""))</f>
        <v/>
      </c>
    </row>
    <row r="581" spans="1:47">
      <c r="A581" t="str">
        <f>IF($AS581="","",INDEX('TMP Paste'!$B$2:$B$1601,$AS581))</f>
        <v/>
      </c>
      <c r="B581" t="str">
        <f>IF($AS581="","",Config!$B$14)</f>
        <v/>
      </c>
      <c r="C581" t="str">
        <f>IF($AS581="","",Config!$B$15)</f>
        <v/>
      </c>
      <c r="D581" t="str">
        <f>IF($AS581="","",INDEX('TMP Paste'!$B$2:$B$1601,$AS581))</f>
        <v/>
      </c>
      <c r="E581" t="str">
        <f>IF($AS581="","",Config!$B$27)</f>
        <v/>
      </c>
      <c r="F581" t="str">
        <f>IF($AS581="","",Config!$B$9)</f>
        <v/>
      </c>
      <c r="G581" t="str">
        <f>IF($AS581="","",Config!$B$10)</f>
        <v/>
      </c>
      <c r="H581" t="str">
        <f>IF($AS581="","",Config!$B$11)</f>
        <v/>
      </c>
      <c r="I581" t="str">
        <f>IF($AS581="","",Config!$B$16)</f>
        <v/>
      </c>
      <c r="J581" t="str">
        <f>IF($AS581="","",INDEX('TMP Paste'!$A$2:$A$1601,$AS581))</f>
        <v/>
      </c>
      <c r="K581" t="str">
        <f>IF($AS581="","",INDEX('TMP Paste'!$L$2:$L$1601,$AS581))</f>
        <v/>
      </c>
      <c r="L581" t="str">
        <f>IF($AS581="","",INDEX('TMP Paste'!$I$2:$I$1601,$AS581))</f>
        <v/>
      </c>
      <c r="M581" t="str">
        <f>IF($AS581="","",Config!$B$16)</f>
        <v/>
      </c>
      <c r="N581" t="str">
        <f t="shared" si="54"/>
        <v/>
      </c>
      <c r="O581" t="str">
        <f>IF($AS581="","",INDEX('TMP Paste'!$K$2:$K$1601,$AS581))</f>
        <v/>
      </c>
      <c r="P581" t="str">
        <f t="shared" si="55"/>
        <v/>
      </c>
      <c r="Q581" t="str">
        <f>IF($AS581="","",INDEX('TMP Paste'!$J$2:$J$1601,$AS581))</f>
        <v/>
      </c>
      <c r="R581" t="str">
        <f>IF($AS581="","",Config!$B$24)</f>
        <v/>
      </c>
      <c r="S581" t="str">
        <f ca="1">IF($AS581="","",TEXT(Config!$B$4,"yyyy-mm-dd"))</f>
        <v/>
      </c>
      <c r="T581" t="str">
        <f>IF($AS581="","",Config!$B$17)</f>
        <v/>
      </c>
      <c r="U581" t="str">
        <f>IF($AS581="","",Config!$B$18)</f>
        <v/>
      </c>
      <c r="V581" t="str">
        <f>IF($AS581="","",Config!$B$19)</f>
        <v/>
      </c>
      <c r="W581" t="str">
        <f>IF($AS581="","",INDEX('TMP Paste'!$C$2:$C$1601,$AS581))</f>
        <v/>
      </c>
      <c r="X581" t="str">
        <f>IF($AS581="","",Config!$B$29)</f>
        <v/>
      </c>
      <c r="Y581" t="str">
        <f>IF($AT581="","",INDEX(Calc!$I$2:$I$1601,$AT581)&amp;" - "&amp;INDEX(Calc!$D$2:$D$1601,$AT581)&amp;" koli")</f>
        <v/>
      </c>
      <c r="Z581" t="str">
        <f>IF($AS581="","",Config!$B$21)</f>
        <v/>
      </c>
      <c r="AA581" t="str">
        <f>IF($AS581="","",Config!$B$22)</f>
        <v/>
      </c>
      <c r="AB581" t="str">
        <f>IF($AT581="","",INDEX(Calc!$D$2:$D$1601,$AT581))</f>
        <v/>
      </c>
      <c r="AC581" t="str">
        <f>IF($AT581="","",INDEX(Calc!$G$2:$G$1601,$AT581))</f>
        <v/>
      </c>
      <c r="AD581" t="str">
        <f>IF($AS581="","",Config!$B$23)</f>
        <v/>
      </c>
      <c r="AE581" t="str">
        <f>IF($AS581="","",Config!$B$28)</f>
        <v/>
      </c>
      <c r="AF581" t="str">
        <f t="shared" si="56"/>
        <v/>
      </c>
      <c r="AG581" t="str">
        <f t="shared" si="57"/>
        <v/>
      </c>
      <c r="AH581" t="str">
        <f t="shared" si="58"/>
        <v/>
      </c>
      <c r="AI581" t="str">
        <f>IF($AG581="","",SUMIF($AG$2:$AG581,$AG581,$AH$2:$AH581))</f>
        <v/>
      </c>
      <c r="AJ581" t="str">
        <f>IF('TMP Paste'!$F581="","",IF('TMP Paste'!$B581="",$AJ580,'TMP Paste'!$B581))</f>
        <v/>
      </c>
      <c r="AK581" t="str">
        <f>IF('TMP Paste'!$F581="","",N('TMP Paste'!$G581))</f>
        <v/>
      </c>
      <c r="AL581" t="str">
        <f>IF('TMP Paste'!$F581="","",IF('TMP Paste'!$M581="",$AL580,'TMP Paste'!$M581))</f>
        <v/>
      </c>
      <c r="AM581" t="str">
        <f>IF('TMP Paste'!$F581="","",IF('TMP Paste'!$N581="",$AM580,'TMP Paste'!$N581))</f>
        <v/>
      </c>
      <c r="AN581" t="str">
        <f>IF('TMP Paste'!$F581="","",IF('TMP Paste'!$O581="",$AN580,'TMP Paste'!$O581))</f>
        <v/>
      </c>
      <c r="AO581" t="str">
        <f>IF('TMP Paste'!$F581="","",IF('TMP Paste'!$P581="",$AO580,'TMP Paste'!$P581))</f>
        <v/>
      </c>
      <c r="AP581" t="str">
        <f t="shared" si="59"/>
        <v/>
      </c>
      <c r="AQ581" t="str">
        <f>IF($AS581="","",TRIM(IF(COUNTIFS(Calc!$B$2:$B$1601,ROW()-1,Calc!$C$2:$C$1601,"&lt;1")&gt;0,"Ada PO tanpa Koli - cek TMP. ","")&amp;IF(OR($AU581="",$AU581&lt;=0),"Volume kosong/0 - dimensi dikosongkan. ","")&amp;IF(AND($AU581&lt;&gt;"",$AU581&gt;=1000000),"Volume &gt;= 1.000.000 cm3 (di luar aturan) - dimensi dikosongkan. ","")&amp;IF(LEN($R581)&gt;500,"R &gt; 500 karakter.","")))</f>
        <v/>
      </c>
      <c r="AS581" t="str">
        <f>IFERROR(MATCH(ROW()-1,Calc!$J$2:$J$1601,0),"")</f>
        <v/>
      </c>
      <c r="AT581" t="str">
        <f>IFERROR(MATCH(ROW()-1,Calc!$K$2:$K$1601,0),"")</f>
        <v/>
      </c>
      <c r="AU581" t="str">
        <f>IF($AS581="","",IFERROR(INDEX('TMP Paste'!$D$2:$D$1601,$AS581)*1000000/$AB581,""))</f>
        <v/>
      </c>
    </row>
    <row r="582" spans="1:47">
      <c r="A582" t="str">
        <f>IF($AS582="","",INDEX('TMP Paste'!$B$2:$B$1601,$AS582))</f>
        <v/>
      </c>
      <c r="B582" t="str">
        <f>IF($AS582="","",Config!$B$14)</f>
        <v/>
      </c>
      <c r="C582" t="str">
        <f>IF($AS582="","",Config!$B$15)</f>
        <v/>
      </c>
      <c r="D582" t="str">
        <f>IF($AS582="","",INDEX('TMP Paste'!$B$2:$B$1601,$AS582))</f>
        <v/>
      </c>
      <c r="E582" t="str">
        <f>IF($AS582="","",Config!$B$27)</f>
        <v/>
      </c>
      <c r="F582" t="str">
        <f>IF($AS582="","",Config!$B$9)</f>
        <v/>
      </c>
      <c r="G582" t="str">
        <f>IF($AS582="","",Config!$B$10)</f>
        <v/>
      </c>
      <c r="H582" t="str">
        <f>IF($AS582="","",Config!$B$11)</f>
        <v/>
      </c>
      <c r="I582" t="str">
        <f>IF($AS582="","",Config!$B$16)</f>
        <v/>
      </c>
      <c r="J582" t="str">
        <f>IF($AS582="","",INDEX('TMP Paste'!$A$2:$A$1601,$AS582))</f>
        <v/>
      </c>
      <c r="K582" t="str">
        <f>IF($AS582="","",INDEX('TMP Paste'!$L$2:$L$1601,$AS582))</f>
        <v/>
      </c>
      <c r="L582" t="str">
        <f>IF($AS582="","",INDEX('TMP Paste'!$I$2:$I$1601,$AS582))</f>
        <v/>
      </c>
      <c r="M582" t="str">
        <f>IF($AS582="","",Config!$B$16)</f>
        <v/>
      </c>
      <c r="N582" t="str">
        <f t="shared" si="54"/>
        <v/>
      </c>
      <c r="O582" t="str">
        <f>IF($AS582="","",INDEX('TMP Paste'!$K$2:$K$1601,$AS582))</f>
        <v/>
      </c>
      <c r="P582" t="str">
        <f t="shared" si="55"/>
        <v/>
      </c>
      <c r="Q582" t="str">
        <f>IF($AS582="","",INDEX('TMP Paste'!$J$2:$J$1601,$AS582))</f>
        <v/>
      </c>
      <c r="R582" t="str">
        <f>IF($AS582="","",Config!$B$24)</f>
        <v/>
      </c>
      <c r="S582" t="str">
        <f ca="1">IF($AS582="","",TEXT(Config!$B$4,"yyyy-mm-dd"))</f>
        <v/>
      </c>
      <c r="T582" t="str">
        <f>IF($AS582="","",Config!$B$17)</f>
        <v/>
      </c>
      <c r="U582" t="str">
        <f>IF($AS582="","",Config!$B$18)</f>
        <v/>
      </c>
      <c r="V582" t="str">
        <f>IF($AS582="","",Config!$B$19)</f>
        <v/>
      </c>
      <c r="W582" t="str">
        <f>IF($AS582="","",INDEX('TMP Paste'!$C$2:$C$1601,$AS582))</f>
        <v/>
      </c>
      <c r="X582" t="str">
        <f>IF($AS582="","",Config!$B$29)</f>
        <v/>
      </c>
      <c r="Y582" t="str">
        <f>IF($AT582="","",INDEX(Calc!$I$2:$I$1601,$AT582)&amp;" - "&amp;INDEX(Calc!$D$2:$D$1601,$AT582)&amp;" koli")</f>
        <v/>
      </c>
      <c r="Z582" t="str">
        <f>IF($AS582="","",Config!$B$21)</f>
        <v/>
      </c>
      <c r="AA582" t="str">
        <f>IF($AS582="","",Config!$B$22)</f>
        <v/>
      </c>
      <c r="AB582" t="str">
        <f>IF($AT582="","",INDEX(Calc!$D$2:$D$1601,$AT582))</f>
        <v/>
      </c>
      <c r="AC582" t="str">
        <f>IF($AT582="","",INDEX(Calc!$G$2:$G$1601,$AT582))</f>
        <v/>
      </c>
      <c r="AD582" t="str">
        <f>IF($AS582="","",Config!$B$23)</f>
        <v/>
      </c>
      <c r="AE582" t="str">
        <f>IF($AS582="","",Config!$B$28)</f>
        <v/>
      </c>
      <c r="AF582" t="str">
        <f t="shared" si="56"/>
        <v/>
      </c>
      <c r="AG582" t="str">
        <f t="shared" si="57"/>
        <v/>
      </c>
      <c r="AH582" t="str">
        <f t="shared" si="58"/>
        <v/>
      </c>
      <c r="AI582" t="str">
        <f>IF($AG582="","",SUMIF($AG$2:$AG582,$AG582,$AH$2:$AH582))</f>
        <v/>
      </c>
      <c r="AJ582" t="str">
        <f>IF('TMP Paste'!$F582="","",IF('TMP Paste'!$B582="",$AJ581,'TMP Paste'!$B582))</f>
        <v/>
      </c>
      <c r="AK582" t="str">
        <f>IF('TMP Paste'!$F582="","",N('TMP Paste'!$G582))</f>
        <v/>
      </c>
      <c r="AL582" t="str">
        <f>IF('TMP Paste'!$F582="","",IF('TMP Paste'!$M582="",$AL581,'TMP Paste'!$M582))</f>
        <v/>
      </c>
      <c r="AM582" t="str">
        <f>IF('TMP Paste'!$F582="","",IF('TMP Paste'!$N582="",$AM581,'TMP Paste'!$N582))</f>
        <v/>
      </c>
      <c r="AN582" t="str">
        <f>IF('TMP Paste'!$F582="","",IF('TMP Paste'!$O582="",$AN581,'TMP Paste'!$O582))</f>
        <v/>
      </c>
      <c r="AO582" t="str">
        <f>IF('TMP Paste'!$F582="","",IF('TMP Paste'!$P582="",$AO581,'TMP Paste'!$P582))</f>
        <v/>
      </c>
      <c r="AP582" t="str">
        <f t="shared" si="59"/>
        <v/>
      </c>
      <c r="AQ582" t="str">
        <f>IF($AS582="","",TRIM(IF(COUNTIFS(Calc!$B$2:$B$1601,ROW()-1,Calc!$C$2:$C$1601,"&lt;1")&gt;0,"Ada PO tanpa Koli - cek TMP. ","")&amp;IF(OR($AU582="",$AU582&lt;=0),"Volume kosong/0 - dimensi dikosongkan. ","")&amp;IF(AND($AU582&lt;&gt;"",$AU582&gt;=1000000),"Volume &gt;= 1.000.000 cm3 (di luar aturan) - dimensi dikosongkan. ","")&amp;IF(LEN($R582)&gt;500,"R &gt; 500 karakter.","")))</f>
        <v/>
      </c>
      <c r="AS582" t="str">
        <f>IFERROR(MATCH(ROW()-1,Calc!$J$2:$J$1601,0),"")</f>
        <v/>
      </c>
      <c r="AT582" t="str">
        <f>IFERROR(MATCH(ROW()-1,Calc!$K$2:$K$1601,0),"")</f>
        <v/>
      </c>
      <c r="AU582" t="str">
        <f>IF($AS582="","",IFERROR(INDEX('TMP Paste'!$D$2:$D$1601,$AS582)*1000000/$AB582,""))</f>
        <v/>
      </c>
    </row>
    <row r="583" spans="1:47">
      <c r="A583" t="str">
        <f>IF($AS583="","",INDEX('TMP Paste'!$B$2:$B$1601,$AS583))</f>
        <v/>
      </c>
      <c r="B583" t="str">
        <f>IF($AS583="","",Config!$B$14)</f>
        <v/>
      </c>
      <c r="C583" t="str">
        <f>IF($AS583="","",Config!$B$15)</f>
        <v/>
      </c>
      <c r="D583" t="str">
        <f>IF($AS583="","",INDEX('TMP Paste'!$B$2:$B$1601,$AS583))</f>
        <v/>
      </c>
      <c r="E583" t="str">
        <f>IF($AS583="","",Config!$B$27)</f>
        <v/>
      </c>
      <c r="F583" t="str">
        <f>IF($AS583="","",Config!$B$9)</f>
        <v/>
      </c>
      <c r="G583" t="str">
        <f>IF($AS583="","",Config!$B$10)</f>
        <v/>
      </c>
      <c r="H583" t="str">
        <f>IF($AS583="","",Config!$B$11)</f>
        <v/>
      </c>
      <c r="I583" t="str">
        <f>IF($AS583="","",Config!$B$16)</f>
        <v/>
      </c>
      <c r="J583" t="str">
        <f>IF($AS583="","",INDEX('TMP Paste'!$A$2:$A$1601,$AS583))</f>
        <v/>
      </c>
      <c r="K583" t="str">
        <f>IF($AS583="","",INDEX('TMP Paste'!$L$2:$L$1601,$AS583))</f>
        <v/>
      </c>
      <c r="L583" t="str">
        <f>IF($AS583="","",INDEX('TMP Paste'!$I$2:$I$1601,$AS583))</f>
        <v/>
      </c>
      <c r="M583" t="str">
        <f>IF($AS583="","",Config!$B$16)</f>
        <v/>
      </c>
      <c r="N583" t="str">
        <f t="shared" si="54"/>
        <v/>
      </c>
      <c r="O583" t="str">
        <f>IF($AS583="","",INDEX('TMP Paste'!$K$2:$K$1601,$AS583))</f>
        <v/>
      </c>
      <c r="P583" t="str">
        <f t="shared" si="55"/>
        <v/>
      </c>
      <c r="Q583" t="str">
        <f>IF($AS583="","",INDEX('TMP Paste'!$J$2:$J$1601,$AS583))</f>
        <v/>
      </c>
      <c r="R583" t="str">
        <f>IF($AS583="","",Config!$B$24)</f>
        <v/>
      </c>
      <c r="S583" t="str">
        <f ca="1">IF($AS583="","",TEXT(Config!$B$4,"yyyy-mm-dd"))</f>
        <v/>
      </c>
      <c r="T583" t="str">
        <f>IF($AS583="","",Config!$B$17)</f>
        <v/>
      </c>
      <c r="U583" t="str">
        <f>IF($AS583="","",Config!$B$18)</f>
        <v/>
      </c>
      <c r="V583" t="str">
        <f>IF($AS583="","",Config!$B$19)</f>
        <v/>
      </c>
      <c r="W583" t="str">
        <f>IF($AS583="","",INDEX('TMP Paste'!$C$2:$C$1601,$AS583))</f>
        <v/>
      </c>
      <c r="X583" t="str">
        <f>IF($AS583="","",Config!$B$29)</f>
        <v/>
      </c>
      <c r="Y583" t="str">
        <f>IF($AT583="","",INDEX(Calc!$I$2:$I$1601,$AT583)&amp;" - "&amp;INDEX(Calc!$D$2:$D$1601,$AT583)&amp;" koli")</f>
        <v/>
      </c>
      <c r="Z583" t="str">
        <f>IF($AS583="","",Config!$B$21)</f>
        <v/>
      </c>
      <c r="AA583" t="str">
        <f>IF($AS583="","",Config!$B$22)</f>
        <v/>
      </c>
      <c r="AB583" t="str">
        <f>IF($AT583="","",INDEX(Calc!$D$2:$D$1601,$AT583))</f>
        <v/>
      </c>
      <c r="AC583" t="str">
        <f>IF($AT583="","",INDEX(Calc!$G$2:$G$1601,$AT583))</f>
        <v/>
      </c>
      <c r="AD583" t="str">
        <f>IF($AS583="","",Config!$B$23)</f>
        <v/>
      </c>
      <c r="AE583" t="str">
        <f>IF($AS583="","",Config!$B$28)</f>
        <v/>
      </c>
      <c r="AF583" t="str">
        <f t="shared" si="56"/>
        <v/>
      </c>
      <c r="AG583" t="str">
        <f t="shared" si="57"/>
        <v/>
      </c>
      <c r="AH583" t="str">
        <f t="shared" si="58"/>
        <v/>
      </c>
      <c r="AI583" t="str">
        <f>IF($AG583="","",SUMIF($AG$2:$AG583,$AG583,$AH$2:$AH583))</f>
        <v/>
      </c>
      <c r="AJ583" t="str">
        <f>IF('TMP Paste'!$F583="","",IF('TMP Paste'!$B583="",$AJ582,'TMP Paste'!$B583))</f>
        <v/>
      </c>
      <c r="AK583" t="str">
        <f>IF('TMP Paste'!$F583="","",N('TMP Paste'!$G583))</f>
        <v/>
      </c>
      <c r="AL583" t="str">
        <f>IF('TMP Paste'!$F583="","",IF('TMP Paste'!$M583="",$AL582,'TMP Paste'!$M583))</f>
        <v/>
      </c>
      <c r="AM583" t="str">
        <f>IF('TMP Paste'!$F583="","",IF('TMP Paste'!$N583="",$AM582,'TMP Paste'!$N583))</f>
        <v/>
      </c>
      <c r="AN583" t="str">
        <f>IF('TMP Paste'!$F583="","",IF('TMP Paste'!$O583="",$AN582,'TMP Paste'!$O583))</f>
        <v/>
      </c>
      <c r="AO583" t="str">
        <f>IF('TMP Paste'!$F583="","",IF('TMP Paste'!$P583="",$AO582,'TMP Paste'!$P583))</f>
        <v/>
      </c>
      <c r="AP583" t="str">
        <f t="shared" si="59"/>
        <v/>
      </c>
      <c r="AQ583" t="str">
        <f>IF($AS583="","",TRIM(IF(COUNTIFS(Calc!$B$2:$B$1601,ROW()-1,Calc!$C$2:$C$1601,"&lt;1")&gt;0,"Ada PO tanpa Koli - cek TMP. ","")&amp;IF(OR($AU583="",$AU583&lt;=0),"Volume kosong/0 - dimensi dikosongkan. ","")&amp;IF(AND($AU583&lt;&gt;"",$AU583&gt;=1000000),"Volume &gt;= 1.000.000 cm3 (di luar aturan) - dimensi dikosongkan. ","")&amp;IF(LEN($R583)&gt;500,"R &gt; 500 karakter.","")))</f>
        <v/>
      </c>
      <c r="AS583" t="str">
        <f>IFERROR(MATCH(ROW()-1,Calc!$J$2:$J$1601,0),"")</f>
        <v/>
      </c>
      <c r="AT583" t="str">
        <f>IFERROR(MATCH(ROW()-1,Calc!$K$2:$K$1601,0),"")</f>
        <v/>
      </c>
      <c r="AU583" t="str">
        <f>IF($AS583="","",IFERROR(INDEX('TMP Paste'!$D$2:$D$1601,$AS583)*1000000/$AB583,""))</f>
        <v/>
      </c>
    </row>
    <row r="584" spans="1:47">
      <c r="A584" t="str">
        <f>IF($AS584="","",INDEX('TMP Paste'!$B$2:$B$1601,$AS584))</f>
        <v/>
      </c>
      <c r="B584" t="str">
        <f>IF($AS584="","",Config!$B$14)</f>
        <v/>
      </c>
      <c r="C584" t="str">
        <f>IF($AS584="","",Config!$B$15)</f>
        <v/>
      </c>
      <c r="D584" t="str">
        <f>IF($AS584="","",INDEX('TMP Paste'!$B$2:$B$1601,$AS584))</f>
        <v/>
      </c>
      <c r="E584" t="str">
        <f>IF($AS584="","",Config!$B$27)</f>
        <v/>
      </c>
      <c r="F584" t="str">
        <f>IF($AS584="","",Config!$B$9)</f>
        <v/>
      </c>
      <c r="G584" t="str">
        <f>IF($AS584="","",Config!$B$10)</f>
        <v/>
      </c>
      <c r="H584" t="str">
        <f>IF($AS584="","",Config!$B$11)</f>
        <v/>
      </c>
      <c r="I584" t="str">
        <f>IF($AS584="","",Config!$B$16)</f>
        <v/>
      </c>
      <c r="J584" t="str">
        <f>IF($AS584="","",INDEX('TMP Paste'!$A$2:$A$1601,$AS584))</f>
        <v/>
      </c>
      <c r="K584" t="str">
        <f>IF($AS584="","",INDEX('TMP Paste'!$L$2:$L$1601,$AS584))</f>
        <v/>
      </c>
      <c r="L584" t="str">
        <f>IF($AS584="","",INDEX('TMP Paste'!$I$2:$I$1601,$AS584))</f>
        <v/>
      </c>
      <c r="M584" t="str">
        <f>IF($AS584="","",Config!$B$16)</f>
        <v/>
      </c>
      <c r="N584" t="str">
        <f t="shared" si="54"/>
        <v/>
      </c>
      <c r="O584" t="str">
        <f>IF($AS584="","",INDEX('TMP Paste'!$K$2:$K$1601,$AS584))</f>
        <v/>
      </c>
      <c r="P584" t="str">
        <f t="shared" si="55"/>
        <v/>
      </c>
      <c r="Q584" t="str">
        <f>IF($AS584="","",INDEX('TMP Paste'!$J$2:$J$1601,$AS584))</f>
        <v/>
      </c>
      <c r="R584" t="str">
        <f>IF($AS584="","",Config!$B$24)</f>
        <v/>
      </c>
      <c r="S584" t="str">
        <f ca="1">IF($AS584="","",TEXT(Config!$B$4,"yyyy-mm-dd"))</f>
        <v/>
      </c>
      <c r="T584" t="str">
        <f>IF($AS584="","",Config!$B$17)</f>
        <v/>
      </c>
      <c r="U584" t="str">
        <f>IF($AS584="","",Config!$B$18)</f>
        <v/>
      </c>
      <c r="V584" t="str">
        <f>IF($AS584="","",Config!$B$19)</f>
        <v/>
      </c>
      <c r="W584" t="str">
        <f>IF($AS584="","",INDEX('TMP Paste'!$C$2:$C$1601,$AS584))</f>
        <v/>
      </c>
      <c r="X584" t="str">
        <f>IF($AS584="","",Config!$B$29)</f>
        <v/>
      </c>
      <c r="Y584" t="str">
        <f>IF($AT584="","",INDEX(Calc!$I$2:$I$1601,$AT584)&amp;" - "&amp;INDEX(Calc!$D$2:$D$1601,$AT584)&amp;" koli")</f>
        <v/>
      </c>
      <c r="Z584" t="str">
        <f>IF($AS584="","",Config!$B$21)</f>
        <v/>
      </c>
      <c r="AA584" t="str">
        <f>IF($AS584="","",Config!$B$22)</f>
        <v/>
      </c>
      <c r="AB584" t="str">
        <f>IF($AT584="","",INDEX(Calc!$D$2:$D$1601,$AT584))</f>
        <v/>
      </c>
      <c r="AC584" t="str">
        <f>IF($AT584="","",INDEX(Calc!$G$2:$G$1601,$AT584))</f>
        <v/>
      </c>
      <c r="AD584" t="str">
        <f>IF($AS584="","",Config!$B$23)</f>
        <v/>
      </c>
      <c r="AE584" t="str">
        <f>IF($AS584="","",Config!$B$28)</f>
        <v/>
      </c>
      <c r="AF584" t="str">
        <f t="shared" si="56"/>
        <v/>
      </c>
      <c r="AG584" t="str">
        <f t="shared" si="57"/>
        <v/>
      </c>
      <c r="AH584" t="str">
        <f t="shared" si="58"/>
        <v/>
      </c>
      <c r="AI584" t="str">
        <f>IF($AG584="","",SUMIF($AG$2:$AG584,$AG584,$AH$2:$AH584))</f>
        <v/>
      </c>
      <c r="AJ584" t="str">
        <f>IF('TMP Paste'!$F584="","",IF('TMP Paste'!$B584="",$AJ583,'TMP Paste'!$B584))</f>
        <v/>
      </c>
      <c r="AK584" t="str">
        <f>IF('TMP Paste'!$F584="","",N('TMP Paste'!$G584))</f>
        <v/>
      </c>
      <c r="AL584" t="str">
        <f>IF('TMP Paste'!$F584="","",IF('TMP Paste'!$M584="",$AL583,'TMP Paste'!$M584))</f>
        <v/>
      </c>
      <c r="AM584" t="str">
        <f>IF('TMP Paste'!$F584="","",IF('TMP Paste'!$N584="",$AM583,'TMP Paste'!$N584))</f>
        <v/>
      </c>
      <c r="AN584" t="str">
        <f>IF('TMP Paste'!$F584="","",IF('TMP Paste'!$O584="",$AN583,'TMP Paste'!$O584))</f>
        <v/>
      </c>
      <c r="AO584" t="str">
        <f>IF('TMP Paste'!$F584="","",IF('TMP Paste'!$P584="",$AO583,'TMP Paste'!$P584))</f>
        <v/>
      </c>
      <c r="AP584" t="str">
        <f t="shared" si="59"/>
        <v/>
      </c>
      <c r="AQ584" t="str">
        <f>IF($AS584="","",TRIM(IF(COUNTIFS(Calc!$B$2:$B$1601,ROW()-1,Calc!$C$2:$C$1601,"&lt;1")&gt;0,"Ada PO tanpa Koli - cek TMP. ","")&amp;IF(OR($AU584="",$AU584&lt;=0),"Volume kosong/0 - dimensi dikosongkan. ","")&amp;IF(AND($AU584&lt;&gt;"",$AU584&gt;=1000000),"Volume &gt;= 1.000.000 cm3 (di luar aturan) - dimensi dikosongkan. ","")&amp;IF(LEN($R584)&gt;500,"R &gt; 500 karakter.","")))</f>
        <v/>
      </c>
      <c r="AS584" t="str">
        <f>IFERROR(MATCH(ROW()-1,Calc!$J$2:$J$1601,0),"")</f>
        <v/>
      </c>
      <c r="AT584" t="str">
        <f>IFERROR(MATCH(ROW()-1,Calc!$K$2:$K$1601,0),"")</f>
        <v/>
      </c>
      <c r="AU584" t="str">
        <f>IF($AS584="","",IFERROR(INDEX('TMP Paste'!$D$2:$D$1601,$AS584)*1000000/$AB584,""))</f>
        <v/>
      </c>
    </row>
    <row r="585" spans="1:47">
      <c r="A585" t="str">
        <f>IF($AS585="","",INDEX('TMP Paste'!$B$2:$B$1601,$AS585))</f>
        <v/>
      </c>
      <c r="B585" t="str">
        <f>IF($AS585="","",Config!$B$14)</f>
        <v/>
      </c>
      <c r="C585" t="str">
        <f>IF($AS585="","",Config!$B$15)</f>
        <v/>
      </c>
      <c r="D585" t="str">
        <f>IF($AS585="","",INDEX('TMP Paste'!$B$2:$B$1601,$AS585))</f>
        <v/>
      </c>
      <c r="E585" t="str">
        <f>IF($AS585="","",Config!$B$27)</f>
        <v/>
      </c>
      <c r="F585" t="str">
        <f>IF($AS585="","",Config!$B$9)</f>
        <v/>
      </c>
      <c r="G585" t="str">
        <f>IF($AS585="","",Config!$B$10)</f>
        <v/>
      </c>
      <c r="H585" t="str">
        <f>IF($AS585="","",Config!$B$11)</f>
        <v/>
      </c>
      <c r="I585" t="str">
        <f>IF($AS585="","",Config!$B$16)</f>
        <v/>
      </c>
      <c r="J585" t="str">
        <f>IF($AS585="","",INDEX('TMP Paste'!$A$2:$A$1601,$AS585))</f>
        <v/>
      </c>
      <c r="K585" t="str">
        <f>IF($AS585="","",INDEX('TMP Paste'!$L$2:$L$1601,$AS585))</f>
        <v/>
      </c>
      <c r="L585" t="str">
        <f>IF($AS585="","",INDEX('TMP Paste'!$I$2:$I$1601,$AS585))</f>
        <v/>
      </c>
      <c r="M585" t="str">
        <f>IF($AS585="","",Config!$B$16)</f>
        <v/>
      </c>
      <c r="N585" t="str">
        <f t="shared" si="54"/>
        <v/>
      </c>
      <c r="O585" t="str">
        <f>IF($AS585="","",INDEX('TMP Paste'!$K$2:$K$1601,$AS585))</f>
        <v/>
      </c>
      <c r="P585" t="str">
        <f t="shared" si="55"/>
        <v/>
      </c>
      <c r="Q585" t="str">
        <f>IF($AS585="","",INDEX('TMP Paste'!$J$2:$J$1601,$AS585))</f>
        <v/>
      </c>
      <c r="R585" t="str">
        <f>IF($AS585="","",Config!$B$24)</f>
        <v/>
      </c>
      <c r="S585" t="str">
        <f ca="1">IF($AS585="","",TEXT(Config!$B$4,"yyyy-mm-dd"))</f>
        <v/>
      </c>
      <c r="T585" t="str">
        <f>IF($AS585="","",Config!$B$17)</f>
        <v/>
      </c>
      <c r="U585" t="str">
        <f>IF($AS585="","",Config!$B$18)</f>
        <v/>
      </c>
      <c r="V585" t="str">
        <f>IF($AS585="","",Config!$B$19)</f>
        <v/>
      </c>
      <c r="W585" t="str">
        <f>IF($AS585="","",INDEX('TMP Paste'!$C$2:$C$1601,$AS585))</f>
        <v/>
      </c>
      <c r="X585" t="str">
        <f>IF($AS585="","",Config!$B$29)</f>
        <v/>
      </c>
      <c r="Y585" t="str">
        <f>IF($AT585="","",INDEX(Calc!$I$2:$I$1601,$AT585)&amp;" - "&amp;INDEX(Calc!$D$2:$D$1601,$AT585)&amp;" koli")</f>
        <v/>
      </c>
      <c r="Z585" t="str">
        <f>IF($AS585="","",Config!$B$21)</f>
        <v/>
      </c>
      <c r="AA585" t="str">
        <f>IF($AS585="","",Config!$B$22)</f>
        <v/>
      </c>
      <c r="AB585" t="str">
        <f>IF($AT585="","",INDEX(Calc!$D$2:$D$1601,$AT585))</f>
        <v/>
      </c>
      <c r="AC585" t="str">
        <f>IF($AT585="","",INDEX(Calc!$G$2:$G$1601,$AT585))</f>
        <v/>
      </c>
      <c r="AD585" t="str">
        <f>IF($AS585="","",Config!$B$23)</f>
        <v/>
      </c>
      <c r="AE585" t="str">
        <f>IF($AS585="","",Config!$B$28)</f>
        <v/>
      </c>
      <c r="AF585" t="str">
        <f t="shared" si="56"/>
        <v/>
      </c>
      <c r="AG585" t="str">
        <f t="shared" si="57"/>
        <v/>
      </c>
      <c r="AH585" t="str">
        <f t="shared" si="58"/>
        <v/>
      </c>
      <c r="AI585" t="str">
        <f>IF($AG585="","",SUMIF($AG$2:$AG585,$AG585,$AH$2:$AH585))</f>
        <v/>
      </c>
      <c r="AJ585" t="str">
        <f>IF('TMP Paste'!$F585="","",IF('TMP Paste'!$B585="",$AJ584,'TMP Paste'!$B585))</f>
        <v/>
      </c>
      <c r="AK585" t="str">
        <f>IF('TMP Paste'!$F585="","",N('TMP Paste'!$G585))</f>
        <v/>
      </c>
      <c r="AL585" t="str">
        <f>IF('TMP Paste'!$F585="","",IF('TMP Paste'!$M585="",$AL584,'TMP Paste'!$M585))</f>
        <v/>
      </c>
      <c r="AM585" t="str">
        <f>IF('TMP Paste'!$F585="","",IF('TMP Paste'!$N585="",$AM584,'TMP Paste'!$N585))</f>
        <v/>
      </c>
      <c r="AN585" t="str">
        <f>IF('TMP Paste'!$F585="","",IF('TMP Paste'!$O585="",$AN584,'TMP Paste'!$O585))</f>
        <v/>
      </c>
      <c r="AO585" t="str">
        <f>IF('TMP Paste'!$F585="","",IF('TMP Paste'!$P585="",$AO584,'TMP Paste'!$P585))</f>
        <v/>
      </c>
      <c r="AP585" t="str">
        <f t="shared" si="59"/>
        <v/>
      </c>
      <c r="AQ585" t="str">
        <f>IF($AS585="","",TRIM(IF(COUNTIFS(Calc!$B$2:$B$1601,ROW()-1,Calc!$C$2:$C$1601,"&lt;1")&gt;0,"Ada PO tanpa Koli - cek TMP. ","")&amp;IF(OR($AU585="",$AU585&lt;=0),"Volume kosong/0 - dimensi dikosongkan. ","")&amp;IF(AND($AU585&lt;&gt;"",$AU585&gt;=1000000),"Volume &gt;= 1.000.000 cm3 (di luar aturan) - dimensi dikosongkan. ","")&amp;IF(LEN($R585)&gt;500,"R &gt; 500 karakter.","")))</f>
        <v/>
      </c>
      <c r="AS585" t="str">
        <f>IFERROR(MATCH(ROW()-1,Calc!$J$2:$J$1601,0),"")</f>
        <v/>
      </c>
      <c r="AT585" t="str">
        <f>IFERROR(MATCH(ROW()-1,Calc!$K$2:$K$1601,0),"")</f>
        <v/>
      </c>
      <c r="AU585" t="str">
        <f>IF($AS585="","",IFERROR(INDEX('TMP Paste'!$D$2:$D$1601,$AS585)*1000000/$AB585,""))</f>
        <v/>
      </c>
    </row>
    <row r="586" spans="1:47">
      <c r="A586" t="str">
        <f>IF($AS586="","",INDEX('TMP Paste'!$B$2:$B$1601,$AS586))</f>
        <v/>
      </c>
      <c r="B586" t="str">
        <f>IF($AS586="","",Config!$B$14)</f>
        <v/>
      </c>
      <c r="C586" t="str">
        <f>IF($AS586="","",Config!$B$15)</f>
        <v/>
      </c>
      <c r="D586" t="str">
        <f>IF($AS586="","",INDEX('TMP Paste'!$B$2:$B$1601,$AS586))</f>
        <v/>
      </c>
      <c r="E586" t="str">
        <f>IF($AS586="","",Config!$B$27)</f>
        <v/>
      </c>
      <c r="F586" t="str">
        <f>IF($AS586="","",Config!$B$9)</f>
        <v/>
      </c>
      <c r="G586" t="str">
        <f>IF($AS586="","",Config!$B$10)</f>
        <v/>
      </c>
      <c r="H586" t="str">
        <f>IF($AS586="","",Config!$B$11)</f>
        <v/>
      </c>
      <c r="I586" t="str">
        <f>IF($AS586="","",Config!$B$16)</f>
        <v/>
      </c>
      <c r="J586" t="str">
        <f>IF($AS586="","",INDEX('TMP Paste'!$A$2:$A$1601,$AS586))</f>
        <v/>
      </c>
      <c r="K586" t="str">
        <f>IF($AS586="","",INDEX('TMP Paste'!$L$2:$L$1601,$AS586))</f>
        <v/>
      </c>
      <c r="L586" t="str">
        <f>IF($AS586="","",INDEX('TMP Paste'!$I$2:$I$1601,$AS586))</f>
        <v/>
      </c>
      <c r="M586" t="str">
        <f>IF($AS586="","",Config!$B$16)</f>
        <v/>
      </c>
      <c r="N586" t="str">
        <f t="shared" si="54"/>
        <v/>
      </c>
      <c r="O586" t="str">
        <f>IF($AS586="","",INDEX('TMP Paste'!$K$2:$K$1601,$AS586))</f>
        <v/>
      </c>
      <c r="P586" t="str">
        <f t="shared" si="55"/>
        <v/>
      </c>
      <c r="Q586" t="str">
        <f>IF($AS586="","",INDEX('TMP Paste'!$J$2:$J$1601,$AS586))</f>
        <v/>
      </c>
      <c r="R586" t="str">
        <f>IF($AS586="","",Config!$B$24)</f>
        <v/>
      </c>
      <c r="S586" t="str">
        <f ca="1">IF($AS586="","",TEXT(Config!$B$4,"yyyy-mm-dd"))</f>
        <v/>
      </c>
      <c r="T586" t="str">
        <f>IF($AS586="","",Config!$B$17)</f>
        <v/>
      </c>
      <c r="U586" t="str">
        <f>IF($AS586="","",Config!$B$18)</f>
        <v/>
      </c>
      <c r="V586" t="str">
        <f>IF($AS586="","",Config!$B$19)</f>
        <v/>
      </c>
      <c r="W586" t="str">
        <f>IF($AS586="","",INDEX('TMP Paste'!$C$2:$C$1601,$AS586))</f>
        <v/>
      </c>
      <c r="X586" t="str">
        <f>IF($AS586="","",Config!$B$29)</f>
        <v/>
      </c>
      <c r="Y586" t="str">
        <f>IF($AT586="","",INDEX(Calc!$I$2:$I$1601,$AT586)&amp;" - "&amp;INDEX(Calc!$D$2:$D$1601,$AT586)&amp;" koli")</f>
        <v/>
      </c>
      <c r="Z586" t="str">
        <f>IF($AS586="","",Config!$B$21)</f>
        <v/>
      </c>
      <c r="AA586" t="str">
        <f>IF($AS586="","",Config!$B$22)</f>
        <v/>
      </c>
      <c r="AB586" t="str">
        <f>IF($AT586="","",INDEX(Calc!$D$2:$D$1601,$AT586))</f>
        <v/>
      </c>
      <c r="AC586" t="str">
        <f>IF($AT586="","",INDEX(Calc!$G$2:$G$1601,$AT586))</f>
        <v/>
      </c>
      <c r="AD586" t="str">
        <f>IF($AS586="","",Config!$B$23)</f>
        <v/>
      </c>
      <c r="AE586" t="str">
        <f>IF($AS586="","",Config!$B$28)</f>
        <v/>
      </c>
      <c r="AF586" t="str">
        <f t="shared" si="56"/>
        <v/>
      </c>
      <c r="AG586" t="str">
        <f t="shared" si="57"/>
        <v/>
      </c>
      <c r="AH586" t="str">
        <f t="shared" si="58"/>
        <v/>
      </c>
      <c r="AI586" t="str">
        <f>IF($AG586="","",SUMIF($AG$2:$AG586,$AG586,$AH$2:$AH586))</f>
        <v/>
      </c>
      <c r="AJ586" t="str">
        <f>IF('TMP Paste'!$F586="","",IF('TMP Paste'!$B586="",$AJ585,'TMP Paste'!$B586))</f>
        <v/>
      </c>
      <c r="AK586" t="str">
        <f>IF('TMP Paste'!$F586="","",N('TMP Paste'!$G586))</f>
        <v/>
      </c>
      <c r="AL586" t="str">
        <f>IF('TMP Paste'!$F586="","",IF('TMP Paste'!$M586="",$AL585,'TMP Paste'!$M586))</f>
        <v/>
      </c>
      <c r="AM586" t="str">
        <f>IF('TMP Paste'!$F586="","",IF('TMP Paste'!$N586="",$AM585,'TMP Paste'!$N586))</f>
        <v/>
      </c>
      <c r="AN586" t="str">
        <f>IF('TMP Paste'!$F586="","",IF('TMP Paste'!$O586="",$AN585,'TMP Paste'!$O586))</f>
        <v/>
      </c>
      <c r="AO586" t="str">
        <f>IF('TMP Paste'!$F586="","",IF('TMP Paste'!$P586="",$AO585,'TMP Paste'!$P586))</f>
        <v/>
      </c>
      <c r="AP586" t="str">
        <f t="shared" si="59"/>
        <v/>
      </c>
      <c r="AQ586" t="str">
        <f>IF($AS586="","",TRIM(IF(COUNTIFS(Calc!$B$2:$B$1601,ROW()-1,Calc!$C$2:$C$1601,"&lt;1")&gt;0,"Ada PO tanpa Koli - cek TMP. ","")&amp;IF(OR($AU586="",$AU586&lt;=0),"Volume kosong/0 - dimensi dikosongkan. ","")&amp;IF(AND($AU586&lt;&gt;"",$AU586&gt;=1000000),"Volume &gt;= 1.000.000 cm3 (di luar aturan) - dimensi dikosongkan. ","")&amp;IF(LEN($R586)&gt;500,"R &gt; 500 karakter.","")))</f>
        <v/>
      </c>
      <c r="AS586" t="str">
        <f>IFERROR(MATCH(ROW()-1,Calc!$J$2:$J$1601,0),"")</f>
        <v/>
      </c>
      <c r="AT586" t="str">
        <f>IFERROR(MATCH(ROW()-1,Calc!$K$2:$K$1601,0),"")</f>
        <v/>
      </c>
      <c r="AU586" t="str">
        <f>IF($AS586="","",IFERROR(INDEX('TMP Paste'!$D$2:$D$1601,$AS586)*1000000/$AB586,""))</f>
        <v/>
      </c>
    </row>
    <row r="587" spans="1:47">
      <c r="A587" t="str">
        <f>IF($AS587="","",INDEX('TMP Paste'!$B$2:$B$1601,$AS587))</f>
        <v/>
      </c>
      <c r="B587" t="str">
        <f>IF($AS587="","",Config!$B$14)</f>
        <v/>
      </c>
      <c r="C587" t="str">
        <f>IF($AS587="","",Config!$B$15)</f>
        <v/>
      </c>
      <c r="D587" t="str">
        <f>IF($AS587="","",INDEX('TMP Paste'!$B$2:$B$1601,$AS587))</f>
        <v/>
      </c>
      <c r="E587" t="str">
        <f>IF($AS587="","",Config!$B$27)</f>
        <v/>
      </c>
      <c r="F587" t="str">
        <f>IF($AS587="","",Config!$B$9)</f>
        <v/>
      </c>
      <c r="G587" t="str">
        <f>IF($AS587="","",Config!$B$10)</f>
        <v/>
      </c>
      <c r="H587" t="str">
        <f>IF($AS587="","",Config!$B$11)</f>
        <v/>
      </c>
      <c r="I587" t="str">
        <f>IF($AS587="","",Config!$B$16)</f>
        <v/>
      </c>
      <c r="J587" t="str">
        <f>IF($AS587="","",INDEX('TMP Paste'!$A$2:$A$1601,$AS587))</f>
        <v/>
      </c>
      <c r="K587" t="str">
        <f>IF($AS587="","",INDEX('TMP Paste'!$L$2:$L$1601,$AS587))</f>
        <v/>
      </c>
      <c r="L587" t="str">
        <f>IF($AS587="","",INDEX('TMP Paste'!$I$2:$I$1601,$AS587))</f>
        <v/>
      </c>
      <c r="M587" t="str">
        <f>IF($AS587="","",Config!$B$16)</f>
        <v/>
      </c>
      <c r="N587" t="str">
        <f t="shared" si="54"/>
        <v/>
      </c>
      <c r="O587" t="str">
        <f>IF($AS587="","",INDEX('TMP Paste'!$K$2:$K$1601,$AS587))</f>
        <v/>
      </c>
      <c r="P587" t="str">
        <f t="shared" si="55"/>
        <v/>
      </c>
      <c r="Q587" t="str">
        <f>IF($AS587="","",INDEX('TMP Paste'!$J$2:$J$1601,$AS587))</f>
        <v/>
      </c>
      <c r="R587" t="str">
        <f>IF($AS587="","",Config!$B$24)</f>
        <v/>
      </c>
      <c r="S587" t="str">
        <f ca="1">IF($AS587="","",TEXT(Config!$B$4,"yyyy-mm-dd"))</f>
        <v/>
      </c>
      <c r="T587" t="str">
        <f>IF($AS587="","",Config!$B$17)</f>
        <v/>
      </c>
      <c r="U587" t="str">
        <f>IF($AS587="","",Config!$B$18)</f>
        <v/>
      </c>
      <c r="V587" t="str">
        <f>IF($AS587="","",Config!$B$19)</f>
        <v/>
      </c>
      <c r="W587" t="str">
        <f>IF($AS587="","",INDEX('TMP Paste'!$C$2:$C$1601,$AS587))</f>
        <v/>
      </c>
      <c r="X587" t="str">
        <f>IF($AS587="","",Config!$B$29)</f>
        <v/>
      </c>
      <c r="Y587" t="str">
        <f>IF($AT587="","",INDEX(Calc!$I$2:$I$1601,$AT587)&amp;" - "&amp;INDEX(Calc!$D$2:$D$1601,$AT587)&amp;" koli")</f>
        <v/>
      </c>
      <c r="Z587" t="str">
        <f>IF($AS587="","",Config!$B$21)</f>
        <v/>
      </c>
      <c r="AA587" t="str">
        <f>IF($AS587="","",Config!$B$22)</f>
        <v/>
      </c>
      <c r="AB587" t="str">
        <f>IF($AT587="","",INDEX(Calc!$D$2:$D$1601,$AT587))</f>
        <v/>
      </c>
      <c r="AC587" t="str">
        <f>IF($AT587="","",INDEX(Calc!$G$2:$G$1601,$AT587))</f>
        <v/>
      </c>
      <c r="AD587" t="str">
        <f>IF($AS587="","",Config!$B$23)</f>
        <v/>
      </c>
      <c r="AE587" t="str">
        <f>IF($AS587="","",Config!$B$28)</f>
        <v/>
      </c>
      <c r="AF587" t="str">
        <f t="shared" si="56"/>
        <v/>
      </c>
      <c r="AG587" t="str">
        <f t="shared" si="57"/>
        <v/>
      </c>
      <c r="AH587" t="str">
        <f t="shared" si="58"/>
        <v/>
      </c>
      <c r="AI587" t="str">
        <f>IF($AG587="","",SUMIF($AG$2:$AG587,$AG587,$AH$2:$AH587))</f>
        <v/>
      </c>
      <c r="AJ587" t="str">
        <f>IF('TMP Paste'!$F587="","",IF('TMP Paste'!$B587="",$AJ586,'TMP Paste'!$B587))</f>
        <v/>
      </c>
      <c r="AK587" t="str">
        <f>IF('TMP Paste'!$F587="","",N('TMP Paste'!$G587))</f>
        <v/>
      </c>
      <c r="AL587" t="str">
        <f>IF('TMP Paste'!$F587="","",IF('TMP Paste'!$M587="",$AL586,'TMP Paste'!$M587))</f>
        <v/>
      </c>
      <c r="AM587" t="str">
        <f>IF('TMP Paste'!$F587="","",IF('TMP Paste'!$N587="",$AM586,'TMP Paste'!$N587))</f>
        <v/>
      </c>
      <c r="AN587" t="str">
        <f>IF('TMP Paste'!$F587="","",IF('TMP Paste'!$O587="",$AN586,'TMP Paste'!$O587))</f>
        <v/>
      </c>
      <c r="AO587" t="str">
        <f>IF('TMP Paste'!$F587="","",IF('TMP Paste'!$P587="",$AO586,'TMP Paste'!$P587))</f>
        <v/>
      </c>
      <c r="AP587" t="str">
        <f t="shared" si="59"/>
        <v/>
      </c>
      <c r="AQ587" t="str">
        <f>IF($AS587="","",TRIM(IF(COUNTIFS(Calc!$B$2:$B$1601,ROW()-1,Calc!$C$2:$C$1601,"&lt;1")&gt;0,"Ada PO tanpa Koli - cek TMP. ","")&amp;IF(OR($AU587="",$AU587&lt;=0),"Volume kosong/0 - dimensi dikosongkan. ","")&amp;IF(AND($AU587&lt;&gt;"",$AU587&gt;=1000000),"Volume &gt;= 1.000.000 cm3 (di luar aturan) - dimensi dikosongkan. ","")&amp;IF(LEN($R587)&gt;500,"R &gt; 500 karakter.","")))</f>
        <v/>
      </c>
      <c r="AS587" t="str">
        <f>IFERROR(MATCH(ROW()-1,Calc!$J$2:$J$1601,0),"")</f>
        <v/>
      </c>
      <c r="AT587" t="str">
        <f>IFERROR(MATCH(ROW()-1,Calc!$K$2:$K$1601,0),"")</f>
        <v/>
      </c>
      <c r="AU587" t="str">
        <f>IF($AS587="","",IFERROR(INDEX('TMP Paste'!$D$2:$D$1601,$AS587)*1000000/$AB587,""))</f>
        <v/>
      </c>
    </row>
    <row r="588" spans="1:47">
      <c r="A588" t="str">
        <f>IF($AS588="","",INDEX('TMP Paste'!$B$2:$B$1601,$AS588))</f>
        <v/>
      </c>
      <c r="B588" t="str">
        <f>IF($AS588="","",Config!$B$14)</f>
        <v/>
      </c>
      <c r="C588" t="str">
        <f>IF($AS588="","",Config!$B$15)</f>
        <v/>
      </c>
      <c r="D588" t="str">
        <f>IF($AS588="","",INDEX('TMP Paste'!$B$2:$B$1601,$AS588))</f>
        <v/>
      </c>
      <c r="E588" t="str">
        <f>IF($AS588="","",Config!$B$27)</f>
        <v/>
      </c>
      <c r="F588" t="str">
        <f>IF($AS588="","",Config!$B$9)</f>
        <v/>
      </c>
      <c r="G588" t="str">
        <f>IF($AS588="","",Config!$B$10)</f>
        <v/>
      </c>
      <c r="H588" t="str">
        <f>IF($AS588="","",Config!$B$11)</f>
        <v/>
      </c>
      <c r="I588" t="str">
        <f>IF($AS588="","",Config!$B$16)</f>
        <v/>
      </c>
      <c r="J588" t="str">
        <f>IF($AS588="","",INDEX('TMP Paste'!$A$2:$A$1601,$AS588))</f>
        <v/>
      </c>
      <c r="K588" t="str">
        <f>IF($AS588="","",INDEX('TMP Paste'!$L$2:$L$1601,$AS588))</f>
        <v/>
      </c>
      <c r="L588" t="str">
        <f>IF($AS588="","",INDEX('TMP Paste'!$I$2:$I$1601,$AS588))</f>
        <v/>
      </c>
      <c r="M588" t="str">
        <f>IF($AS588="","",Config!$B$16)</f>
        <v/>
      </c>
      <c r="N588" t="str">
        <f t="shared" si="54"/>
        <v/>
      </c>
      <c r="O588" t="str">
        <f>IF($AS588="","",INDEX('TMP Paste'!$K$2:$K$1601,$AS588))</f>
        <v/>
      </c>
      <c r="P588" t="str">
        <f t="shared" si="55"/>
        <v/>
      </c>
      <c r="Q588" t="str">
        <f>IF($AS588="","",INDEX('TMP Paste'!$J$2:$J$1601,$AS588))</f>
        <v/>
      </c>
      <c r="R588" t="str">
        <f>IF($AS588="","",Config!$B$24)</f>
        <v/>
      </c>
      <c r="S588" t="str">
        <f ca="1">IF($AS588="","",TEXT(Config!$B$4,"yyyy-mm-dd"))</f>
        <v/>
      </c>
      <c r="T588" t="str">
        <f>IF($AS588="","",Config!$B$17)</f>
        <v/>
      </c>
      <c r="U588" t="str">
        <f>IF($AS588="","",Config!$B$18)</f>
        <v/>
      </c>
      <c r="V588" t="str">
        <f>IF($AS588="","",Config!$B$19)</f>
        <v/>
      </c>
      <c r="W588" t="str">
        <f>IF($AS588="","",INDEX('TMP Paste'!$C$2:$C$1601,$AS588))</f>
        <v/>
      </c>
      <c r="X588" t="str">
        <f>IF($AS588="","",Config!$B$29)</f>
        <v/>
      </c>
      <c r="Y588" t="str">
        <f>IF($AT588="","",INDEX(Calc!$I$2:$I$1601,$AT588)&amp;" - "&amp;INDEX(Calc!$D$2:$D$1601,$AT588)&amp;" koli")</f>
        <v/>
      </c>
      <c r="Z588" t="str">
        <f>IF($AS588="","",Config!$B$21)</f>
        <v/>
      </c>
      <c r="AA588" t="str">
        <f>IF($AS588="","",Config!$B$22)</f>
        <v/>
      </c>
      <c r="AB588" t="str">
        <f>IF($AT588="","",INDEX(Calc!$D$2:$D$1601,$AT588))</f>
        <v/>
      </c>
      <c r="AC588" t="str">
        <f>IF($AT588="","",INDEX(Calc!$G$2:$G$1601,$AT588))</f>
        <v/>
      </c>
      <c r="AD588" t="str">
        <f>IF($AS588="","",Config!$B$23)</f>
        <v/>
      </c>
      <c r="AE588" t="str">
        <f>IF($AS588="","",Config!$B$28)</f>
        <v/>
      </c>
      <c r="AF588" t="str">
        <f t="shared" si="56"/>
        <v/>
      </c>
      <c r="AG588" t="str">
        <f t="shared" si="57"/>
        <v/>
      </c>
      <c r="AH588" t="str">
        <f t="shared" si="58"/>
        <v/>
      </c>
      <c r="AI588" t="str">
        <f>IF($AG588="","",SUMIF($AG$2:$AG588,$AG588,$AH$2:$AH588))</f>
        <v/>
      </c>
      <c r="AJ588" t="str">
        <f>IF('TMP Paste'!$F588="","",IF('TMP Paste'!$B588="",$AJ587,'TMP Paste'!$B588))</f>
        <v/>
      </c>
      <c r="AK588" t="str">
        <f>IF('TMP Paste'!$F588="","",N('TMP Paste'!$G588))</f>
        <v/>
      </c>
      <c r="AL588" t="str">
        <f>IF('TMP Paste'!$F588="","",IF('TMP Paste'!$M588="",$AL587,'TMP Paste'!$M588))</f>
        <v/>
      </c>
      <c r="AM588" t="str">
        <f>IF('TMP Paste'!$F588="","",IF('TMP Paste'!$N588="",$AM587,'TMP Paste'!$N588))</f>
        <v/>
      </c>
      <c r="AN588" t="str">
        <f>IF('TMP Paste'!$F588="","",IF('TMP Paste'!$O588="",$AN587,'TMP Paste'!$O588))</f>
        <v/>
      </c>
      <c r="AO588" t="str">
        <f>IF('TMP Paste'!$F588="","",IF('TMP Paste'!$P588="",$AO587,'TMP Paste'!$P588))</f>
        <v/>
      </c>
      <c r="AP588" t="str">
        <f t="shared" si="59"/>
        <v/>
      </c>
      <c r="AQ588" t="str">
        <f>IF($AS588="","",TRIM(IF(COUNTIFS(Calc!$B$2:$B$1601,ROW()-1,Calc!$C$2:$C$1601,"&lt;1")&gt;0,"Ada PO tanpa Koli - cek TMP. ","")&amp;IF(OR($AU588="",$AU588&lt;=0),"Volume kosong/0 - dimensi dikosongkan. ","")&amp;IF(AND($AU588&lt;&gt;"",$AU588&gt;=1000000),"Volume &gt;= 1.000.000 cm3 (di luar aturan) - dimensi dikosongkan. ","")&amp;IF(LEN($R588)&gt;500,"R &gt; 500 karakter.","")))</f>
        <v/>
      </c>
      <c r="AS588" t="str">
        <f>IFERROR(MATCH(ROW()-1,Calc!$J$2:$J$1601,0),"")</f>
        <v/>
      </c>
      <c r="AT588" t="str">
        <f>IFERROR(MATCH(ROW()-1,Calc!$K$2:$K$1601,0),"")</f>
        <v/>
      </c>
      <c r="AU588" t="str">
        <f>IF($AS588="","",IFERROR(INDEX('TMP Paste'!$D$2:$D$1601,$AS588)*1000000/$AB588,""))</f>
        <v/>
      </c>
    </row>
    <row r="589" spans="1:47">
      <c r="A589" t="str">
        <f>IF($AS589="","",INDEX('TMP Paste'!$B$2:$B$1601,$AS589))</f>
        <v/>
      </c>
      <c r="B589" t="str">
        <f>IF($AS589="","",Config!$B$14)</f>
        <v/>
      </c>
      <c r="C589" t="str">
        <f>IF($AS589="","",Config!$B$15)</f>
        <v/>
      </c>
      <c r="D589" t="str">
        <f>IF($AS589="","",INDEX('TMP Paste'!$B$2:$B$1601,$AS589))</f>
        <v/>
      </c>
      <c r="E589" t="str">
        <f>IF($AS589="","",Config!$B$27)</f>
        <v/>
      </c>
      <c r="F589" t="str">
        <f>IF($AS589="","",Config!$B$9)</f>
        <v/>
      </c>
      <c r="G589" t="str">
        <f>IF($AS589="","",Config!$B$10)</f>
        <v/>
      </c>
      <c r="H589" t="str">
        <f>IF($AS589="","",Config!$B$11)</f>
        <v/>
      </c>
      <c r="I589" t="str">
        <f>IF($AS589="","",Config!$B$16)</f>
        <v/>
      </c>
      <c r="J589" t="str">
        <f>IF($AS589="","",INDEX('TMP Paste'!$A$2:$A$1601,$AS589))</f>
        <v/>
      </c>
      <c r="K589" t="str">
        <f>IF($AS589="","",INDEX('TMP Paste'!$L$2:$L$1601,$AS589))</f>
        <v/>
      </c>
      <c r="L589" t="str">
        <f>IF($AS589="","",INDEX('TMP Paste'!$I$2:$I$1601,$AS589))</f>
        <v/>
      </c>
      <c r="M589" t="str">
        <f>IF($AS589="","",Config!$B$16)</f>
        <v/>
      </c>
      <c r="N589" t="str">
        <f t="shared" si="54"/>
        <v/>
      </c>
      <c r="O589" t="str">
        <f>IF($AS589="","",INDEX('TMP Paste'!$K$2:$K$1601,$AS589))</f>
        <v/>
      </c>
      <c r="P589" t="str">
        <f t="shared" si="55"/>
        <v/>
      </c>
      <c r="Q589" t="str">
        <f>IF($AS589="","",INDEX('TMP Paste'!$J$2:$J$1601,$AS589))</f>
        <v/>
      </c>
      <c r="R589" t="str">
        <f>IF($AS589="","",Config!$B$24)</f>
        <v/>
      </c>
      <c r="S589" t="str">
        <f ca="1">IF($AS589="","",TEXT(Config!$B$4,"yyyy-mm-dd"))</f>
        <v/>
      </c>
      <c r="T589" t="str">
        <f>IF($AS589="","",Config!$B$17)</f>
        <v/>
      </c>
      <c r="U589" t="str">
        <f>IF($AS589="","",Config!$B$18)</f>
        <v/>
      </c>
      <c r="V589" t="str">
        <f>IF($AS589="","",Config!$B$19)</f>
        <v/>
      </c>
      <c r="W589" t="str">
        <f>IF($AS589="","",INDEX('TMP Paste'!$C$2:$C$1601,$AS589))</f>
        <v/>
      </c>
      <c r="X589" t="str">
        <f>IF($AS589="","",Config!$B$29)</f>
        <v/>
      </c>
      <c r="Y589" t="str">
        <f>IF($AT589="","",INDEX(Calc!$I$2:$I$1601,$AT589)&amp;" - "&amp;INDEX(Calc!$D$2:$D$1601,$AT589)&amp;" koli")</f>
        <v/>
      </c>
      <c r="Z589" t="str">
        <f>IF($AS589="","",Config!$B$21)</f>
        <v/>
      </c>
      <c r="AA589" t="str">
        <f>IF($AS589="","",Config!$B$22)</f>
        <v/>
      </c>
      <c r="AB589" t="str">
        <f>IF($AT589="","",INDEX(Calc!$D$2:$D$1601,$AT589))</f>
        <v/>
      </c>
      <c r="AC589" t="str">
        <f>IF($AT589="","",INDEX(Calc!$G$2:$G$1601,$AT589))</f>
        <v/>
      </c>
      <c r="AD589" t="str">
        <f>IF($AS589="","",Config!$B$23)</f>
        <v/>
      </c>
      <c r="AE589" t="str">
        <f>IF($AS589="","",Config!$B$28)</f>
        <v/>
      </c>
      <c r="AF589" t="str">
        <f t="shared" si="56"/>
        <v/>
      </c>
      <c r="AG589" t="str">
        <f t="shared" si="57"/>
        <v/>
      </c>
      <c r="AH589" t="str">
        <f t="shared" si="58"/>
        <v/>
      </c>
      <c r="AI589" t="str">
        <f>IF($AG589="","",SUMIF($AG$2:$AG589,$AG589,$AH$2:$AH589))</f>
        <v/>
      </c>
      <c r="AJ589" t="str">
        <f>IF('TMP Paste'!$F589="","",IF('TMP Paste'!$B589="",$AJ588,'TMP Paste'!$B589))</f>
        <v/>
      </c>
      <c r="AK589" t="str">
        <f>IF('TMP Paste'!$F589="","",N('TMP Paste'!$G589))</f>
        <v/>
      </c>
      <c r="AL589" t="str">
        <f>IF('TMP Paste'!$F589="","",IF('TMP Paste'!$M589="",$AL588,'TMP Paste'!$M589))</f>
        <v/>
      </c>
      <c r="AM589" t="str">
        <f>IF('TMP Paste'!$F589="","",IF('TMP Paste'!$N589="",$AM588,'TMP Paste'!$N589))</f>
        <v/>
      </c>
      <c r="AN589" t="str">
        <f>IF('TMP Paste'!$F589="","",IF('TMP Paste'!$O589="",$AN588,'TMP Paste'!$O589))</f>
        <v/>
      </c>
      <c r="AO589" t="str">
        <f>IF('TMP Paste'!$F589="","",IF('TMP Paste'!$P589="",$AO588,'TMP Paste'!$P589))</f>
        <v/>
      </c>
      <c r="AP589" t="str">
        <f t="shared" si="59"/>
        <v/>
      </c>
      <c r="AQ589" t="str">
        <f>IF($AS589="","",TRIM(IF(COUNTIFS(Calc!$B$2:$B$1601,ROW()-1,Calc!$C$2:$C$1601,"&lt;1")&gt;0,"Ada PO tanpa Koli - cek TMP. ","")&amp;IF(OR($AU589="",$AU589&lt;=0),"Volume kosong/0 - dimensi dikosongkan. ","")&amp;IF(AND($AU589&lt;&gt;"",$AU589&gt;=1000000),"Volume &gt;= 1.000.000 cm3 (di luar aturan) - dimensi dikosongkan. ","")&amp;IF(LEN($R589)&gt;500,"R &gt; 500 karakter.","")))</f>
        <v/>
      </c>
      <c r="AS589" t="str">
        <f>IFERROR(MATCH(ROW()-1,Calc!$J$2:$J$1601,0),"")</f>
        <v/>
      </c>
      <c r="AT589" t="str">
        <f>IFERROR(MATCH(ROW()-1,Calc!$K$2:$K$1601,0),"")</f>
        <v/>
      </c>
      <c r="AU589" t="str">
        <f>IF($AS589="","",IFERROR(INDEX('TMP Paste'!$D$2:$D$1601,$AS589)*1000000/$AB589,""))</f>
        <v/>
      </c>
    </row>
    <row r="590" spans="1:47">
      <c r="A590" t="str">
        <f>IF($AS590="","",INDEX('TMP Paste'!$B$2:$B$1601,$AS590))</f>
        <v/>
      </c>
      <c r="B590" t="str">
        <f>IF($AS590="","",Config!$B$14)</f>
        <v/>
      </c>
      <c r="C590" t="str">
        <f>IF($AS590="","",Config!$B$15)</f>
        <v/>
      </c>
      <c r="D590" t="str">
        <f>IF($AS590="","",INDEX('TMP Paste'!$B$2:$B$1601,$AS590))</f>
        <v/>
      </c>
      <c r="E590" t="str">
        <f>IF($AS590="","",Config!$B$27)</f>
        <v/>
      </c>
      <c r="F590" t="str">
        <f>IF($AS590="","",Config!$B$9)</f>
        <v/>
      </c>
      <c r="G590" t="str">
        <f>IF($AS590="","",Config!$B$10)</f>
        <v/>
      </c>
      <c r="H590" t="str">
        <f>IF($AS590="","",Config!$B$11)</f>
        <v/>
      </c>
      <c r="I590" t="str">
        <f>IF($AS590="","",Config!$B$16)</f>
        <v/>
      </c>
      <c r="J590" t="str">
        <f>IF($AS590="","",INDEX('TMP Paste'!$A$2:$A$1601,$AS590))</f>
        <v/>
      </c>
      <c r="K590" t="str">
        <f>IF($AS590="","",INDEX('TMP Paste'!$L$2:$L$1601,$AS590))</f>
        <v/>
      </c>
      <c r="L590" t="str">
        <f>IF($AS590="","",INDEX('TMP Paste'!$I$2:$I$1601,$AS590))</f>
        <v/>
      </c>
      <c r="M590" t="str">
        <f>IF($AS590="","",Config!$B$16)</f>
        <v/>
      </c>
      <c r="N590" t="str">
        <f t="shared" si="54"/>
        <v/>
      </c>
      <c r="O590" t="str">
        <f>IF($AS590="","",INDEX('TMP Paste'!$K$2:$K$1601,$AS590))</f>
        <v/>
      </c>
      <c r="P590" t="str">
        <f t="shared" si="55"/>
        <v/>
      </c>
      <c r="Q590" t="str">
        <f>IF($AS590="","",INDEX('TMP Paste'!$J$2:$J$1601,$AS590))</f>
        <v/>
      </c>
      <c r="R590" t="str">
        <f>IF($AS590="","",Config!$B$24)</f>
        <v/>
      </c>
      <c r="S590" t="str">
        <f ca="1">IF($AS590="","",TEXT(Config!$B$4,"yyyy-mm-dd"))</f>
        <v/>
      </c>
      <c r="T590" t="str">
        <f>IF($AS590="","",Config!$B$17)</f>
        <v/>
      </c>
      <c r="U590" t="str">
        <f>IF($AS590="","",Config!$B$18)</f>
        <v/>
      </c>
      <c r="V590" t="str">
        <f>IF($AS590="","",Config!$B$19)</f>
        <v/>
      </c>
      <c r="W590" t="str">
        <f>IF($AS590="","",INDEX('TMP Paste'!$C$2:$C$1601,$AS590))</f>
        <v/>
      </c>
      <c r="X590" t="str">
        <f>IF($AS590="","",Config!$B$29)</f>
        <v/>
      </c>
      <c r="Y590" t="str">
        <f>IF($AT590="","",INDEX(Calc!$I$2:$I$1601,$AT590)&amp;" - "&amp;INDEX(Calc!$D$2:$D$1601,$AT590)&amp;" koli")</f>
        <v/>
      </c>
      <c r="Z590" t="str">
        <f>IF($AS590="","",Config!$B$21)</f>
        <v/>
      </c>
      <c r="AA590" t="str">
        <f>IF($AS590="","",Config!$B$22)</f>
        <v/>
      </c>
      <c r="AB590" t="str">
        <f>IF($AT590="","",INDEX(Calc!$D$2:$D$1601,$AT590))</f>
        <v/>
      </c>
      <c r="AC590" t="str">
        <f>IF($AT590="","",INDEX(Calc!$G$2:$G$1601,$AT590))</f>
        <v/>
      </c>
      <c r="AD590" t="str">
        <f>IF($AS590="","",Config!$B$23)</f>
        <v/>
      </c>
      <c r="AE590" t="str">
        <f>IF($AS590="","",Config!$B$28)</f>
        <v/>
      </c>
      <c r="AF590" t="str">
        <f t="shared" si="56"/>
        <v/>
      </c>
      <c r="AG590" t="str">
        <f t="shared" si="57"/>
        <v/>
      </c>
      <c r="AH590" t="str">
        <f t="shared" si="58"/>
        <v/>
      </c>
      <c r="AI590" t="str">
        <f>IF($AG590="","",SUMIF($AG$2:$AG590,$AG590,$AH$2:$AH590))</f>
        <v/>
      </c>
      <c r="AJ590" t="str">
        <f>IF('TMP Paste'!$F590="","",IF('TMP Paste'!$B590="",$AJ589,'TMP Paste'!$B590))</f>
        <v/>
      </c>
      <c r="AK590" t="str">
        <f>IF('TMP Paste'!$F590="","",N('TMP Paste'!$G590))</f>
        <v/>
      </c>
      <c r="AL590" t="str">
        <f>IF('TMP Paste'!$F590="","",IF('TMP Paste'!$M590="",$AL589,'TMP Paste'!$M590))</f>
        <v/>
      </c>
      <c r="AM590" t="str">
        <f>IF('TMP Paste'!$F590="","",IF('TMP Paste'!$N590="",$AM589,'TMP Paste'!$N590))</f>
        <v/>
      </c>
      <c r="AN590" t="str">
        <f>IF('TMP Paste'!$F590="","",IF('TMP Paste'!$O590="",$AN589,'TMP Paste'!$O590))</f>
        <v/>
      </c>
      <c r="AO590" t="str">
        <f>IF('TMP Paste'!$F590="","",IF('TMP Paste'!$P590="",$AO589,'TMP Paste'!$P590))</f>
        <v/>
      </c>
      <c r="AP590" t="str">
        <f t="shared" si="59"/>
        <v/>
      </c>
      <c r="AQ590" t="str">
        <f>IF($AS590="","",TRIM(IF(COUNTIFS(Calc!$B$2:$B$1601,ROW()-1,Calc!$C$2:$C$1601,"&lt;1")&gt;0,"Ada PO tanpa Koli - cek TMP. ","")&amp;IF(OR($AU590="",$AU590&lt;=0),"Volume kosong/0 - dimensi dikosongkan. ","")&amp;IF(AND($AU590&lt;&gt;"",$AU590&gt;=1000000),"Volume &gt;= 1.000.000 cm3 (di luar aturan) - dimensi dikosongkan. ","")&amp;IF(LEN($R590)&gt;500,"R &gt; 500 karakter.","")))</f>
        <v/>
      </c>
      <c r="AS590" t="str">
        <f>IFERROR(MATCH(ROW()-1,Calc!$J$2:$J$1601,0),"")</f>
        <v/>
      </c>
      <c r="AT590" t="str">
        <f>IFERROR(MATCH(ROW()-1,Calc!$K$2:$K$1601,0),"")</f>
        <v/>
      </c>
      <c r="AU590" t="str">
        <f>IF($AS590="","",IFERROR(INDEX('TMP Paste'!$D$2:$D$1601,$AS590)*1000000/$AB590,""))</f>
        <v/>
      </c>
    </row>
    <row r="591" spans="1:47">
      <c r="A591" t="str">
        <f>IF($AS591="","",INDEX('TMP Paste'!$B$2:$B$1601,$AS591))</f>
        <v/>
      </c>
      <c r="B591" t="str">
        <f>IF($AS591="","",Config!$B$14)</f>
        <v/>
      </c>
      <c r="C591" t="str">
        <f>IF($AS591="","",Config!$B$15)</f>
        <v/>
      </c>
      <c r="D591" t="str">
        <f>IF($AS591="","",INDEX('TMP Paste'!$B$2:$B$1601,$AS591))</f>
        <v/>
      </c>
      <c r="E591" t="str">
        <f>IF($AS591="","",Config!$B$27)</f>
        <v/>
      </c>
      <c r="F591" t="str">
        <f>IF($AS591="","",Config!$B$9)</f>
        <v/>
      </c>
      <c r="G591" t="str">
        <f>IF($AS591="","",Config!$B$10)</f>
        <v/>
      </c>
      <c r="H591" t="str">
        <f>IF($AS591="","",Config!$B$11)</f>
        <v/>
      </c>
      <c r="I591" t="str">
        <f>IF($AS591="","",Config!$B$16)</f>
        <v/>
      </c>
      <c r="J591" t="str">
        <f>IF($AS591="","",INDEX('TMP Paste'!$A$2:$A$1601,$AS591))</f>
        <v/>
      </c>
      <c r="K591" t="str">
        <f>IF($AS591="","",INDEX('TMP Paste'!$L$2:$L$1601,$AS591))</f>
        <v/>
      </c>
      <c r="L591" t="str">
        <f>IF($AS591="","",INDEX('TMP Paste'!$I$2:$I$1601,$AS591))</f>
        <v/>
      </c>
      <c r="M591" t="str">
        <f>IF($AS591="","",Config!$B$16)</f>
        <v/>
      </c>
      <c r="N591" t="str">
        <f t="shared" si="54"/>
        <v/>
      </c>
      <c r="O591" t="str">
        <f>IF($AS591="","",INDEX('TMP Paste'!$K$2:$K$1601,$AS591))</f>
        <v/>
      </c>
      <c r="P591" t="str">
        <f t="shared" si="55"/>
        <v/>
      </c>
      <c r="Q591" t="str">
        <f>IF($AS591="","",INDEX('TMP Paste'!$J$2:$J$1601,$AS591))</f>
        <v/>
      </c>
      <c r="R591" t="str">
        <f>IF($AS591="","",Config!$B$24)</f>
        <v/>
      </c>
      <c r="S591" t="str">
        <f ca="1">IF($AS591="","",TEXT(Config!$B$4,"yyyy-mm-dd"))</f>
        <v/>
      </c>
      <c r="T591" t="str">
        <f>IF($AS591="","",Config!$B$17)</f>
        <v/>
      </c>
      <c r="U591" t="str">
        <f>IF($AS591="","",Config!$B$18)</f>
        <v/>
      </c>
      <c r="V591" t="str">
        <f>IF($AS591="","",Config!$B$19)</f>
        <v/>
      </c>
      <c r="W591" t="str">
        <f>IF($AS591="","",INDEX('TMP Paste'!$C$2:$C$1601,$AS591))</f>
        <v/>
      </c>
      <c r="X591" t="str">
        <f>IF($AS591="","",Config!$B$29)</f>
        <v/>
      </c>
      <c r="Y591" t="str">
        <f>IF($AT591="","",INDEX(Calc!$I$2:$I$1601,$AT591)&amp;" - "&amp;INDEX(Calc!$D$2:$D$1601,$AT591)&amp;" koli")</f>
        <v/>
      </c>
      <c r="Z591" t="str">
        <f>IF($AS591="","",Config!$B$21)</f>
        <v/>
      </c>
      <c r="AA591" t="str">
        <f>IF($AS591="","",Config!$B$22)</f>
        <v/>
      </c>
      <c r="AB591" t="str">
        <f>IF($AT591="","",INDEX(Calc!$D$2:$D$1601,$AT591))</f>
        <v/>
      </c>
      <c r="AC591" t="str">
        <f>IF($AT591="","",INDEX(Calc!$G$2:$G$1601,$AT591))</f>
        <v/>
      </c>
      <c r="AD591" t="str">
        <f>IF($AS591="","",Config!$B$23)</f>
        <v/>
      </c>
      <c r="AE591" t="str">
        <f>IF($AS591="","",Config!$B$28)</f>
        <v/>
      </c>
      <c r="AF591" t="str">
        <f t="shared" si="56"/>
        <v/>
      </c>
      <c r="AG591" t="str">
        <f t="shared" si="57"/>
        <v/>
      </c>
      <c r="AH591" t="str">
        <f t="shared" si="58"/>
        <v/>
      </c>
      <c r="AI591" t="str">
        <f>IF($AG591="","",SUMIF($AG$2:$AG591,$AG591,$AH$2:$AH591))</f>
        <v/>
      </c>
      <c r="AJ591" t="str">
        <f>IF('TMP Paste'!$F591="","",IF('TMP Paste'!$B591="",$AJ590,'TMP Paste'!$B591))</f>
        <v/>
      </c>
      <c r="AK591" t="str">
        <f>IF('TMP Paste'!$F591="","",N('TMP Paste'!$G591))</f>
        <v/>
      </c>
      <c r="AL591" t="str">
        <f>IF('TMP Paste'!$F591="","",IF('TMP Paste'!$M591="",$AL590,'TMP Paste'!$M591))</f>
        <v/>
      </c>
      <c r="AM591" t="str">
        <f>IF('TMP Paste'!$F591="","",IF('TMP Paste'!$N591="",$AM590,'TMP Paste'!$N591))</f>
        <v/>
      </c>
      <c r="AN591" t="str">
        <f>IF('TMP Paste'!$F591="","",IF('TMP Paste'!$O591="",$AN590,'TMP Paste'!$O591))</f>
        <v/>
      </c>
      <c r="AO591" t="str">
        <f>IF('TMP Paste'!$F591="","",IF('TMP Paste'!$P591="",$AO590,'TMP Paste'!$P591))</f>
        <v/>
      </c>
      <c r="AP591" t="str">
        <f t="shared" si="59"/>
        <v/>
      </c>
      <c r="AQ591" t="str">
        <f>IF($AS591="","",TRIM(IF(COUNTIFS(Calc!$B$2:$B$1601,ROW()-1,Calc!$C$2:$C$1601,"&lt;1")&gt;0,"Ada PO tanpa Koli - cek TMP. ","")&amp;IF(OR($AU591="",$AU591&lt;=0),"Volume kosong/0 - dimensi dikosongkan. ","")&amp;IF(AND($AU591&lt;&gt;"",$AU591&gt;=1000000),"Volume &gt;= 1.000.000 cm3 (di luar aturan) - dimensi dikosongkan. ","")&amp;IF(LEN($R591)&gt;500,"R &gt; 500 karakter.","")))</f>
        <v/>
      </c>
      <c r="AS591" t="str">
        <f>IFERROR(MATCH(ROW()-1,Calc!$J$2:$J$1601,0),"")</f>
        <v/>
      </c>
      <c r="AT591" t="str">
        <f>IFERROR(MATCH(ROW()-1,Calc!$K$2:$K$1601,0),"")</f>
        <v/>
      </c>
      <c r="AU591" t="str">
        <f>IF($AS591="","",IFERROR(INDEX('TMP Paste'!$D$2:$D$1601,$AS591)*1000000/$AB591,""))</f>
        <v/>
      </c>
    </row>
    <row r="592" spans="1:47">
      <c r="A592" t="str">
        <f>IF($AS592="","",INDEX('TMP Paste'!$B$2:$B$1601,$AS592))</f>
        <v/>
      </c>
      <c r="B592" t="str">
        <f>IF($AS592="","",Config!$B$14)</f>
        <v/>
      </c>
      <c r="C592" t="str">
        <f>IF($AS592="","",Config!$B$15)</f>
        <v/>
      </c>
      <c r="D592" t="str">
        <f>IF($AS592="","",INDEX('TMP Paste'!$B$2:$B$1601,$AS592))</f>
        <v/>
      </c>
      <c r="E592" t="str">
        <f>IF($AS592="","",Config!$B$27)</f>
        <v/>
      </c>
      <c r="F592" t="str">
        <f>IF($AS592="","",Config!$B$9)</f>
        <v/>
      </c>
      <c r="G592" t="str">
        <f>IF($AS592="","",Config!$B$10)</f>
        <v/>
      </c>
      <c r="H592" t="str">
        <f>IF($AS592="","",Config!$B$11)</f>
        <v/>
      </c>
      <c r="I592" t="str">
        <f>IF($AS592="","",Config!$B$16)</f>
        <v/>
      </c>
      <c r="J592" t="str">
        <f>IF($AS592="","",INDEX('TMP Paste'!$A$2:$A$1601,$AS592))</f>
        <v/>
      </c>
      <c r="K592" t="str">
        <f>IF($AS592="","",INDEX('TMP Paste'!$L$2:$L$1601,$AS592))</f>
        <v/>
      </c>
      <c r="L592" t="str">
        <f>IF($AS592="","",INDEX('TMP Paste'!$I$2:$I$1601,$AS592))</f>
        <v/>
      </c>
      <c r="M592" t="str">
        <f>IF($AS592="","",Config!$B$16)</f>
        <v/>
      </c>
      <c r="N592" t="str">
        <f t="shared" si="54"/>
        <v/>
      </c>
      <c r="O592" t="str">
        <f>IF($AS592="","",INDEX('TMP Paste'!$K$2:$K$1601,$AS592))</f>
        <v/>
      </c>
      <c r="P592" t="str">
        <f t="shared" si="55"/>
        <v/>
      </c>
      <c r="Q592" t="str">
        <f>IF($AS592="","",INDEX('TMP Paste'!$J$2:$J$1601,$AS592))</f>
        <v/>
      </c>
      <c r="R592" t="str">
        <f>IF($AS592="","",Config!$B$24)</f>
        <v/>
      </c>
      <c r="S592" t="str">
        <f ca="1">IF($AS592="","",TEXT(Config!$B$4,"yyyy-mm-dd"))</f>
        <v/>
      </c>
      <c r="T592" t="str">
        <f>IF($AS592="","",Config!$B$17)</f>
        <v/>
      </c>
      <c r="U592" t="str">
        <f>IF($AS592="","",Config!$B$18)</f>
        <v/>
      </c>
      <c r="V592" t="str">
        <f>IF($AS592="","",Config!$B$19)</f>
        <v/>
      </c>
      <c r="W592" t="str">
        <f>IF($AS592="","",INDEX('TMP Paste'!$C$2:$C$1601,$AS592))</f>
        <v/>
      </c>
      <c r="X592" t="str">
        <f>IF($AS592="","",Config!$B$29)</f>
        <v/>
      </c>
      <c r="Y592" t="str">
        <f>IF($AT592="","",INDEX(Calc!$I$2:$I$1601,$AT592)&amp;" - "&amp;INDEX(Calc!$D$2:$D$1601,$AT592)&amp;" koli")</f>
        <v/>
      </c>
      <c r="Z592" t="str">
        <f>IF($AS592="","",Config!$B$21)</f>
        <v/>
      </c>
      <c r="AA592" t="str">
        <f>IF($AS592="","",Config!$B$22)</f>
        <v/>
      </c>
      <c r="AB592" t="str">
        <f>IF($AT592="","",INDEX(Calc!$D$2:$D$1601,$AT592))</f>
        <v/>
      </c>
      <c r="AC592" t="str">
        <f>IF($AT592="","",INDEX(Calc!$G$2:$G$1601,$AT592))</f>
        <v/>
      </c>
      <c r="AD592" t="str">
        <f>IF($AS592="","",Config!$B$23)</f>
        <v/>
      </c>
      <c r="AE592" t="str">
        <f>IF($AS592="","",Config!$B$28)</f>
        <v/>
      </c>
      <c r="AF592" t="str">
        <f t="shared" si="56"/>
        <v/>
      </c>
      <c r="AG592" t="str">
        <f t="shared" si="57"/>
        <v/>
      </c>
      <c r="AH592" t="str">
        <f t="shared" si="58"/>
        <v/>
      </c>
      <c r="AI592" t="str">
        <f>IF($AG592="","",SUMIF($AG$2:$AG592,$AG592,$AH$2:$AH592))</f>
        <v/>
      </c>
      <c r="AJ592" t="str">
        <f>IF('TMP Paste'!$F592="","",IF('TMP Paste'!$B592="",$AJ591,'TMP Paste'!$B592))</f>
        <v/>
      </c>
      <c r="AK592" t="str">
        <f>IF('TMP Paste'!$F592="","",N('TMP Paste'!$G592))</f>
        <v/>
      </c>
      <c r="AL592" t="str">
        <f>IF('TMP Paste'!$F592="","",IF('TMP Paste'!$M592="",$AL591,'TMP Paste'!$M592))</f>
        <v/>
      </c>
      <c r="AM592" t="str">
        <f>IF('TMP Paste'!$F592="","",IF('TMP Paste'!$N592="",$AM591,'TMP Paste'!$N592))</f>
        <v/>
      </c>
      <c r="AN592" t="str">
        <f>IF('TMP Paste'!$F592="","",IF('TMP Paste'!$O592="",$AN591,'TMP Paste'!$O592))</f>
        <v/>
      </c>
      <c r="AO592" t="str">
        <f>IF('TMP Paste'!$F592="","",IF('TMP Paste'!$P592="",$AO591,'TMP Paste'!$P592))</f>
        <v/>
      </c>
      <c r="AP592" t="str">
        <f t="shared" si="59"/>
        <v/>
      </c>
      <c r="AQ592" t="str">
        <f>IF($AS592="","",TRIM(IF(COUNTIFS(Calc!$B$2:$B$1601,ROW()-1,Calc!$C$2:$C$1601,"&lt;1")&gt;0,"Ada PO tanpa Koli - cek TMP. ","")&amp;IF(OR($AU592="",$AU592&lt;=0),"Volume kosong/0 - dimensi dikosongkan. ","")&amp;IF(AND($AU592&lt;&gt;"",$AU592&gt;=1000000),"Volume &gt;= 1.000.000 cm3 (di luar aturan) - dimensi dikosongkan. ","")&amp;IF(LEN($R592)&gt;500,"R &gt; 500 karakter.","")))</f>
        <v/>
      </c>
      <c r="AS592" t="str">
        <f>IFERROR(MATCH(ROW()-1,Calc!$J$2:$J$1601,0),"")</f>
        <v/>
      </c>
      <c r="AT592" t="str">
        <f>IFERROR(MATCH(ROW()-1,Calc!$K$2:$K$1601,0),"")</f>
        <v/>
      </c>
      <c r="AU592" t="str">
        <f>IF($AS592="","",IFERROR(INDEX('TMP Paste'!$D$2:$D$1601,$AS592)*1000000/$AB592,""))</f>
        <v/>
      </c>
    </row>
    <row r="593" spans="1:47">
      <c r="A593" t="str">
        <f>IF($AS593="","",INDEX('TMP Paste'!$B$2:$B$1601,$AS593))</f>
        <v/>
      </c>
      <c r="B593" t="str">
        <f>IF($AS593="","",Config!$B$14)</f>
        <v/>
      </c>
      <c r="C593" t="str">
        <f>IF($AS593="","",Config!$B$15)</f>
        <v/>
      </c>
      <c r="D593" t="str">
        <f>IF($AS593="","",INDEX('TMP Paste'!$B$2:$B$1601,$AS593))</f>
        <v/>
      </c>
      <c r="E593" t="str">
        <f>IF($AS593="","",Config!$B$27)</f>
        <v/>
      </c>
      <c r="F593" t="str">
        <f>IF($AS593="","",Config!$B$9)</f>
        <v/>
      </c>
      <c r="G593" t="str">
        <f>IF($AS593="","",Config!$B$10)</f>
        <v/>
      </c>
      <c r="H593" t="str">
        <f>IF($AS593="","",Config!$B$11)</f>
        <v/>
      </c>
      <c r="I593" t="str">
        <f>IF($AS593="","",Config!$B$16)</f>
        <v/>
      </c>
      <c r="J593" t="str">
        <f>IF($AS593="","",INDEX('TMP Paste'!$A$2:$A$1601,$AS593))</f>
        <v/>
      </c>
      <c r="K593" t="str">
        <f>IF($AS593="","",INDEX('TMP Paste'!$L$2:$L$1601,$AS593))</f>
        <v/>
      </c>
      <c r="L593" t="str">
        <f>IF($AS593="","",INDEX('TMP Paste'!$I$2:$I$1601,$AS593))</f>
        <v/>
      </c>
      <c r="M593" t="str">
        <f>IF($AS593="","",Config!$B$16)</f>
        <v/>
      </c>
      <c r="N593" t="str">
        <f t="shared" si="54"/>
        <v/>
      </c>
      <c r="O593" t="str">
        <f>IF($AS593="","",INDEX('TMP Paste'!$K$2:$K$1601,$AS593))</f>
        <v/>
      </c>
      <c r="P593" t="str">
        <f t="shared" si="55"/>
        <v/>
      </c>
      <c r="Q593" t="str">
        <f>IF($AS593="","",INDEX('TMP Paste'!$J$2:$J$1601,$AS593))</f>
        <v/>
      </c>
      <c r="R593" t="str">
        <f>IF($AS593="","",Config!$B$24)</f>
        <v/>
      </c>
      <c r="S593" t="str">
        <f ca="1">IF($AS593="","",TEXT(Config!$B$4,"yyyy-mm-dd"))</f>
        <v/>
      </c>
      <c r="T593" t="str">
        <f>IF($AS593="","",Config!$B$17)</f>
        <v/>
      </c>
      <c r="U593" t="str">
        <f>IF($AS593="","",Config!$B$18)</f>
        <v/>
      </c>
      <c r="V593" t="str">
        <f>IF($AS593="","",Config!$B$19)</f>
        <v/>
      </c>
      <c r="W593" t="str">
        <f>IF($AS593="","",INDEX('TMP Paste'!$C$2:$C$1601,$AS593))</f>
        <v/>
      </c>
      <c r="X593" t="str">
        <f>IF($AS593="","",Config!$B$29)</f>
        <v/>
      </c>
      <c r="Y593" t="str">
        <f>IF($AT593="","",INDEX(Calc!$I$2:$I$1601,$AT593)&amp;" - "&amp;INDEX(Calc!$D$2:$D$1601,$AT593)&amp;" koli")</f>
        <v/>
      </c>
      <c r="Z593" t="str">
        <f>IF($AS593="","",Config!$B$21)</f>
        <v/>
      </c>
      <c r="AA593" t="str">
        <f>IF($AS593="","",Config!$B$22)</f>
        <v/>
      </c>
      <c r="AB593" t="str">
        <f>IF($AT593="","",INDEX(Calc!$D$2:$D$1601,$AT593))</f>
        <v/>
      </c>
      <c r="AC593" t="str">
        <f>IF($AT593="","",INDEX(Calc!$G$2:$G$1601,$AT593))</f>
        <v/>
      </c>
      <c r="AD593" t="str">
        <f>IF($AS593="","",Config!$B$23)</f>
        <v/>
      </c>
      <c r="AE593" t="str">
        <f>IF($AS593="","",Config!$B$28)</f>
        <v/>
      </c>
      <c r="AF593" t="str">
        <f t="shared" si="56"/>
        <v/>
      </c>
      <c r="AG593" t="str">
        <f t="shared" si="57"/>
        <v/>
      </c>
      <c r="AH593" t="str">
        <f t="shared" si="58"/>
        <v/>
      </c>
      <c r="AI593" t="str">
        <f>IF($AG593="","",SUMIF($AG$2:$AG593,$AG593,$AH$2:$AH593))</f>
        <v/>
      </c>
      <c r="AJ593" t="str">
        <f>IF('TMP Paste'!$F593="","",IF('TMP Paste'!$B593="",$AJ592,'TMP Paste'!$B593))</f>
        <v/>
      </c>
      <c r="AK593" t="str">
        <f>IF('TMP Paste'!$F593="","",N('TMP Paste'!$G593))</f>
        <v/>
      </c>
      <c r="AL593" t="str">
        <f>IF('TMP Paste'!$F593="","",IF('TMP Paste'!$M593="",$AL592,'TMP Paste'!$M593))</f>
        <v/>
      </c>
      <c r="AM593" t="str">
        <f>IF('TMP Paste'!$F593="","",IF('TMP Paste'!$N593="",$AM592,'TMP Paste'!$N593))</f>
        <v/>
      </c>
      <c r="AN593" t="str">
        <f>IF('TMP Paste'!$F593="","",IF('TMP Paste'!$O593="",$AN592,'TMP Paste'!$O593))</f>
        <v/>
      </c>
      <c r="AO593" t="str">
        <f>IF('TMP Paste'!$F593="","",IF('TMP Paste'!$P593="",$AO592,'TMP Paste'!$P593))</f>
        <v/>
      </c>
      <c r="AP593" t="str">
        <f t="shared" si="59"/>
        <v/>
      </c>
      <c r="AQ593" t="str">
        <f>IF($AS593="","",TRIM(IF(COUNTIFS(Calc!$B$2:$B$1601,ROW()-1,Calc!$C$2:$C$1601,"&lt;1")&gt;0,"Ada PO tanpa Koli - cek TMP. ","")&amp;IF(OR($AU593="",$AU593&lt;=0),"Volume kosong/0 - dimensi dikosongkan. ","")&amp;IF(AND($AU593&lt;&gt;"",$AU593&gt;=1000000),"Volume &gt;= 1.000.000 cm3 (di luar aturan) - dimensi dikosongkan. ","")&amp;IF(LEN($R593)&gt;500,"R &gt; 500 karakter.","")))</f>
        <v/>
      </c>
      <c r="AS593" t="str">
        <f>IFERROR(MATCH(ROW()-1,Calc!$J$2:$J$1601,0),"")</f>
        <v/>
      </c>
      <c r="AT593" t="str">
        <f>IFERROR(MATCH(ROW()-1,Calc!$K$2:$K$1601,0),"")</f>
        <v/>
      </c>
      <c r="AU593" t="str">
        <f>IF($AS593="","",IFERROR(INDEX('TMP Paste'!$D$2:$D$1601,$AS593)*1000000/$AB593,""))</f>
        <v/>
      </c>
    </row>
    <row r="594" spans="1:47">
      <c r="A594" t="str">
        <f>IF($AS594="","",INDEX('TMP Paste'!$B$2:$B$1601,$AS594))</f>
        <v/>
      </c>
      <c r="B594" t="str">
        <f>IF($AS594="","",Config!$B$14)</f>
        <v/>
      </c>
      <c r="C594" t="str">
        <f>IF($AS594="","",Config!$B$15)</f>
        <v/>
      </c>
      <c r="D594" t="str">
        <f>IF($AS594="","",INDEX('TMP Paste'!$B$2:$B$1601,$AS594))</f>
        <v/>
      </c>
      <c r="E594" t="str">
        <f>IF($AS594="","",Config!$B$27)</f>
        <v/>
      </c>
      <c r="F594" t="str">
        <f>IF($AS594="","",Config!$B$9)</f>
        <v/>
      </c>
      <c r="G594" t="str">
        <f>IF($AS594="","",Config!$B$10)</f>
        <v/>
      </c>
      <c r="H594" t="str">
        <f>IF($AS594="","",Config!$B$11)</f>
        <v/>
      </c>
      <c r="I594" t="str">
        <f>IF($AS594="","",Config!$B$16)</f>
        <v/>
      </c>
      <c r="J594" t="str">
        <f>IF($AS594="","",INDEX('TMP Paste'!$A$2:$A$1601,$AS594))</f>
        <v/>
      </c>
      <c r="K594" t="str">
        <f>IF($AS594="","",INDEX('TMP Paste'!$L$2:$L$1601,$AS594))</f>
        <v/>
      </c>
      <c r="L594" t="str">
        <f>IF($AS594="","",INDEX('TMP Paste'!$I$2:$I$1601,$AS594))</f>
        <v/>
      </c>
      <c r="M594" t="str">
        <f>IF($AS594="","",Config!$B$16)</f>
        <v/>
      </c>
      <c r="N594" t="str">
        <f t="shared" si="54"/>
        <v/>
      </c>
      <c r="O594" t="str">
        <f>IF($AS594="","",INDEX('TMP Paste'!$K$2:$K$1601,$AS594))</f>
        <v/>
      </c>
      <c r="P594" t="str">
        <f t="shared" si="55"/>
        <v/>
      </c>
      <c r="Q594" t="str">
        <f>IF($AS594="","",INDEX('TMP Paste'!$J$2:$J$1601,$AS594))</f>
        <v/>
      </c>
      <c r="R594" t="str">
        <f>IF($AS594="","",Config!$B$24)</f>
        <v/>
      </c>
      <c r="S594" t="str">
        <f ca="1">IF($AS594="","",TEXT(Config!$B$4,"yyyy-mm-dd"))</f>
        <v/>
      </c>
      <c r="T594" t="str">
        <f>IF($AS594="","",Config!$B$17)</f>
        <v/>
      </c>
      <c r="U594" t="str">
        <f>IF($AS594="","",Config!$B$18)</f>
        <v/>
      </c>
      <c r="V594" t="str">
        <f>IF($AS594="","",Config!$B$19)</f>
        <v/>
      </c>
      <c r="W594" t="str">
        <f>IF($AS594="","",INDEX('TMP Paste'!$C$2:$C$1601,$AS594))</f>
        <v/>
      </c>
      <c r="X594" t="str">
        <f>IF($AS594="","",Config!$B$29)</f>
        <v/>
      </c>
      <c r="Y594" t="str">
        <f>IF($AT594="","",INDEX(Calc!$I$2:$I$1601,$AT594)&amp;" - "&amp;INDEX(Calc!$D$2:$D$1601,$AT594)&amp;" koli")</f>
        <v/>
      </c>
      <c r="Z594" t="str">
        <f>IF($AS594="","",Config!$B$21)</f>
        <v/>
      </c>
      <c r="AA594" t="str">
        <f>IF($AS594="","",Config!$B$22)</f>
        <v/>
      </c>
      <c r="AB594" t="str">
        <f>IF($AT594="","",INDEX(Calc!$D$2:$D$1601,$AT594))</f>
        <v/>
      </c>
      <c r="AC594" t="str">
        <f>IF($AT594="","",INDEX(Calc!$G$2:$G$1601,$AT594))</f>
        <v/>
      </c>
      <c r="AD594" t="str">
        <f>IF($AS594="","",Config!$B$23)</f>
        <v/>
      </c>
      <c r="AE594" t="str">
        <f>IF($AS594="","",Config!$B$28)</f>
        <v/>
      </c>
      <c r="AF594" t="str">
        <f t="shared" si="56"/>
        <v/>
      </c>
      <c r="AG594" t="str">
        <f t="shared" si="57"/>
        <v/>
      </c>
      <c r="AH594" t="str">
        <f t="shared" si="58"/>
        <v/>
      </c>
      <c r="AI594" t="str">
        <f>IF($AG594="","",SUMIF($AG$2:$AG594,$AG594,$AH$2:$AH594))</f>
        <v/>
      </c>
      <c r="AJ594" t="str">
        <f>IF('TMP Paste'!$F594="","",IF('TMP Paste'!$B594="",$AJ593,'TMP Paste'!$B594))</f>
        <v/>
      </c>
      <c r="AK594" t="str">
        <f>IF('TMP Paste'!$F594="","",N('TMP Paste'!$G594))</f>
        <v/>
      </c>
      <c r="AL594" t="str">
        <f>IF('TMP Paste'!$F594="","",IF('TMP Paste'!$M594="",$AL593,'TMP Paste'!$M594))</f>
        <v/>
      </c>
      <c r="AM594" t="str">
        <f>IF('TMP Paste'!$F594="","",IF('TMP Paste'!$N594="",$AM593,'TMP Paste'!$N594))</f>
        <v/>
      </c>
      <c r="AN594" t="str">
        <f>IF('TMP Paste'!$F594="","",IF('TMP Paste'!$O594="",$AN593,'TMP Paste'!$O594))</f>
        <v/>
      </c>
      <c r="AO594" t="str">
        <f>IF('TMP Paste'!$F594="","",IF('TMP Paste'!$P594="",$AO593,'TMP Paste'!$P594))</f>
        <v/>
      </c>
      <c r="AP594" t="str">
        <f t="shared" si="59"/>
        <v/>
      </c>
      <c r="AQ594" t="str">
        <f>IF($AS594="","",TRIM(IF(COUNTIFS(Calc!$B$2:$B$1601,ROW()-1,Calc!$C$2:$C$1601,"&lt;1")&gt;0,"Ada PO tanpa Koli - cek TMP. ","")&amp;IF(OR($AU594="",$AU594&lt;=0),"Volume kosong/0 - dimensi dikosongkan. ","")&amp;IF(AND($AU594&lt;&gt;"",$AU594&gt;=1000000),"Volume &gt;= 1.000.000 cm3 (di luar aturan) - dimensi dikosongkan. ","")&amp;IF(LEN($R594)&gt;500,"R &gt; 500 karakter.","")))</f>
        <v/>
      </c>
      <c r="AS594" t="str">
        <f>IFERROR(MATCH(ROW()-1,Calc!$J$2:$J$1601,0),"")</f>
        <v/>
      </c>
      <c r="AT594" t="str">
        <f>IFERROR(MATCH(ROW()-1,Calc!$K$2:$K$1601,0),"")</f>
        <v/>
      </c>
      <c r="AU594" t="str">
        <f>IF($AS594="","",IFERROR(INDEX('TMP Paste'!$D$2:$D$1601,$AS594)*1000000/$AB594,""))</f>
        <v/>
      </c>
    </row>
    <row r="595" spans="1:47">
      <c r="A595" t="str">
        <f>IF($AS595="","",INDEX('TMP Paste'!$B$2:$B$1601,$AS595))</f>
        <v/>
      </c>
      <c r="B595" t="str">
        <f>IF($AS595="","",Config!$B$14)</f>
        <v/>
      </c>
      <c r="C595" t="str">
        <f>IF($AS595="","",Config!$B$15)</f>
        <v/>
      </c>
      <c r="D595" t="str">
        <f>IF($AS595="","",INDEX('TMP Paste'!$B$2:$B$1601,$AS595))</f>
        <v/>
      </c>
      <c r="E595" t="str">
        <f>IF($AS595="","",Config!$B$27)</f>
        <v/>
      </c>
      <c r="F595" t="str">
        <f>IF($AS595="","",Config!$B$9)</f>
        <v/>
      </c>
      <c r="G595" t="str">
        <f>IF($AS595="","",Config!$B$10)</f>
        <v/>
      </c>
      <c r="H595" t="str">
        <f>IF($AS595="","",Config!$B$11)</f>
        <v/>
      </c>
      <c r="I595" t="str">
        <f>IF($AS595="","",Config!$B$16)</f>
        <v/>
      </c>
      <c r="J595" t="str">
        <f>IF($AS595="","",INDEX('TMP Paste'!$A$2:$A$1601,$AS595))</f>
        <v/>
      </c>
      <c r="K595" t="str">
        <f>IF($AS595="","",INDEX('TMP Paste'!$L$2:$L$1601,$AS595))</f>
        <v/>
      </c>
      <c r="L595" t="str">
        <f>IF($AS595="","",INDEX('TMP Paste'!$I$2:$I$1601,$AS595))</f>
        <v/>
      </c>
      <c r="M595" t="str">
        <f>IF($AS595="","",Config!$B$16)</f>
        <v/>
      </c>
      <c r="N595" t="str">
        <f t="shared" si="54"/>
        <v/>
      </c>
      <c r="O595" t="str">
        <f>IF($AS595="","",INDEX('TMP Paste'!$K$2:$K$1601,$AS595))</f>
        <v/>
      </c>
      <c r="P595" t="str">
        <f t="shared" si="55"/>
        <v/>
      </c>
      <c r="Q595" t="str">
        <f>IF($AS595="","",INDEX('TMP Paste'!$J$2:$J$1601,$AS595))</f>
        <v/>
      </c>
      <c r="R595" t="str">
        <f>IF($AS595="","",Config!$B$24)</f>
        <v/>
      </c>
      <c r="S595" t="str">
        <f ca="1">IF($AS595="","",TEXT(Config!$B$4,"yyyy-mm-dd"))</f>
        <v/>
      </c>
      <c r="T595" t="str">
        <f>IF($AS595="","",Config!$B$17)</f>
        <v/>
      </c>
      <c r="U595" t="str">
        <f>IF($AS595="","",Config!$B$18)</f>
        <v/>
      </c>
      <c r="V595" t="str">
        <f>IF($AS595="","",Config!$B$19)</f>
        <v/>
      </c>
      <c r="W595" t="str">
        <f>IF($AS595="","",INDEX('TMP Paste'!$C$2:$C$1601,$AS595))</f>
        <v/>
      </c>
      <c r="X595" t="str">
        <f>IF($AS595="","",Config!$B$29)</f>
        <v/>
      </c>
      <c r="Y595" t="str">
        <f>IF($AT595="","",INDEX(Calc!$I$2:$I$1601,$AT595)&amp;" - "&amp;INDEX(Calc!$D$2:$D$1601,$AT595)&amp;" koli")</f>
        <v/>
      </c>
      <c r="Z595" t="str">
        <f>IF($AS595="","",Config!$B$21)</f>
        <v/>
      </c>
      <c r="AA595" t="str">
        <f>IF($AS595="","",Config!$B$22)</f>
        <v/>
      </c>
      <c r="AB595" t="str">
        <f>IF($AT595="","",INDEX(Calc!$D$2:$D$1601,$AT595))</f>
        <v/>
      </c>
      <c r="AC595" t="str">
        <f>IF($AT595="","",INDEX(Calc!$G$2:$G$1601,$AT595))</f>
        <v/>
      </c>
      <c r="AD595" t="str">
        <f>IF($AS595="","",Config!$B$23)</f>
        <v/>
      </c>
      <c r="AE595" t="str">
        <f>IF($AS595="","",Config!$B$28)</f>
        <v/>
      </c>
      <c r="AF595" t="str">
        <f t="shared" si="56"/>
        <v/>
      </c>
      <c r="AG595" t="str">
        <f t="shared" si="57"/>
        <v/>
      </c>
      <c r="AH595" t="str">
        <f t="shared" si="58"/>
        <v/>
      </c>
      <c r="AI595" t="str">
        <f>IF($AG595="","",SUMIF($AG$2:$AG595,$AG595,$AH$2:$AH595))</f>
        <v/>
      </c>
      <c r="AJ595" t="str">
        <f>IF('TMP Paste'!$F595="","",IF('TMP Paste'!$B595="",$AJ594,'TMP Paste'!$B595))</f>
        <v/>
      </c>
      <c r="AK595" t="str">
        <f>IF('TMP Paste'!$F595="","",N('TMP Paste'!$G595))</f>
        <v/>
      </c>
      <c r="AL595" t="str">
        <f>IF('TMP Paste'!$F595="","",IF('TMP Paste'!$M595="",$AL594,'TMP Paste'!$M595))</f>
        <v/>
      </c>
      <c r="AM595" t="str">
        <f>IF('TMP Paste'!$F595="","",IF('TMP Paste'!$N595="",$AM594,'TMP Paste'!$N595))</f>
        <v/>
      </c>
      <c r="AN595" t="str">
        <f>IF('TMP Paste'!$F595="","",IF('TMP Paste'!$O595="",$AN594,'TMP Paste'!$O595))</f>
        <v/>
      </c>
      <c r="AO595" t="str">
        <f>IF('TMP Paste'!$F595="","",IF('TMP Paste'!$P595="",$AO594,'TMP Paste'!$P595))</f>
        <v/>
      </c>
      <c r="AP595" t="str">
        <f t="shared" si="59"/>
        <v/>
      </c>
      <c r="AQ595" t="str">
        <f>IF($AS595="","",TRIM(IF(COUNTIFS(Calc!$B$2:$B$1601,ROW()-1,Calc!$C$2:$C$1601,"&lt;1")&gt;0,"Ada PO tanpa Koli - cek TMP. ","")&amp;IF(OR($AU595="",$AU595&lt;=0),"Volume kosong/0 - dimensi dikosongkan. ","")&amp;IF(AND($AU595&lt;&gt;"",$AU595&gt;=1000000),"Volume &gt;= 1.000.000 cm3 (di luar aturan) - dimensi dikosongkan. ","")&amp;IF(LEN($R595)&gt;500,"R &gt; 500 karakter.","")))</f>
        <v/>
      </c>
      <c r="AS595" t="str">
        <f>IFERROR(MATCH(ROW()-1,Calc!$J$2:$J$1601,0),"")</f>
        <v/>
      </c>
      <c r="AT595" t="str">
        <f>IFERROR(MATCH(ROW()-1,Calc!$K$2:$K$1601,0),"")</f>
        <v/>
      </c>
      <c r="AU595" t="str">
        <f>IF($AS595="","",IFERROR(INDEX('TMP Paste'!$D$2:$D$1601,$AS595)*1000000/$AB595,""))</f>
        <v/>
      </c>
    </row>
    <row r="596" spans="1:47">
      <c r="A596" t="str">
        <f>IF($AS596="","",INDEX('TMP Paste'!$B$2:$B$1601,$AS596))</f>
        <v/>
      </c>
      <c r="B596" t="str">
        <f>IF($AS596="","",Config!$B$14)</f>
        <v/>
      </c>
      <c r="C596" t="str">
        <f>IF($AS596="","",Config!$B$15)</f>
        <v/>
      </c>
      <c r="D596" t="str">
        <f>IF($AS596="","",INDEX('TMP Paste'!$B$2:$B$1601,$AS596))</f>
        <v/>
      </c>
      <c r="E596" t="str">
        <f>IF($AS596="","",Config!$B$27)</f>
        <v/>
      </c>
      <c r="F596" t="str">
        <f>IF($AS596="","",Config!$B$9)</f>
        <v/>
      </c>
      <c r="G596" t="str">
        <f>IF($AS596="","",Config!$B$10)</f>
        <v/>
      </c>
      <c r="H596" t="str">
        <f>IF($AS596="","",Config!$B$11)</f>
        <v/>
      </c>
      <c r="I596" t="str">
        <f>IF($AS596="","",Config!$B$16)</f>
        <v/>
      </c>
      <c r="J596" t="str">
        <f>IF($AS596="","",INDEX('TMP Paste'!$A$2:$A$1601,$AS596))</f>
        <v/>
      </c>
      <c r="K596" t="str">
        <f>IF($AS596="","",INDEX('TMP Paste'!$L$2:$L$1601,$AS596))</f>
        <v/>
      </c>
      <c r="L596" t="str">
        <f>IF($AS596="","",INDEX('TMP Paste'!$I$2:$I$1601,$AS596))</f>
        <v/>
      </c>
      <c r="M596" t="str">
        <f>IF($AS596="","",Config!$B$16)</f>
        <v/>
      </c>
      <c r="N596" t="str">
        <f t="shared" si="54"/>
        <v/>
      </c>
      <c r="O596" t="str">
        <f>IF($AS596="","",INDEX('TMP Paste'!$K$2:$K$1601,$AS596))</f>
        <v/>
      </c>
      <c r="P596" t="str">
        <f t="shared" si="55"/>
        <v/>
      </c>
      <c r="Q596" t="str">
        <f>IF($AS596="","",INDEX('TMP Paste'!$J$2:$J$1601,$AS596))</f>
        <v/>
      </c>
      <c r="R596" t="str">
        <f>IF($AS596="","",Config!$B$24)</f>
        <v/>
      </c>
      <c r="S596" t="str">
        <f ca="1">IF($AS596="","",TEXT(Config!$B$4,"yyyy-mm-dd"))</f>
        <v/>
      </c>
      <c r="T596" t="str">
        <f>IF($AS596="","",Config!$B$17)</f>
        <v/>
      </c>
      <c r="U596" t="str">
        <f>IF($AS596="","",Config!$B$18)</f>
        <v/>
      </c>
      <c r="V596" t="str">
        <f>IF($AS596="","",Config!$B$19)</f>
        <v/>
      </c>
      <c r="W596" t="str">
        <f>IF($AS596="","",INDEX('TMP Paste'!$C$2:$C$1601,$AS596))</f>
        <v/>
      </c>
      <c r="X596" t="str">
        <f>IF($AS596="","",Config!$B$29)</f>
        <v/>
      </c>
      <c r="Y596" t="str">
        <f>IF($AT596="","",INDEX(Calc!$I$2:$I$1601,$AT596)&amp;" - "&amp;INDEX(Calc!$D$2:$D$1601,$AT596)&amp;" koli")</f>
        <v/>
      </c>
      <c r="Z596" t="str">
        <f>IF($AS596="","",Config!$B$21)</f>
        <v/>
      </c>
      <c r="AA596" t="str">
        <f>IF($AS596="","",Config!$B$22)</f>
        <v/>
      </c>
      <c r="AB596" t="str">
        <f>IF($AT596="","",INDEX(Calc!$D$2:$D$1601,$AT596))</f>
        <v/>
      </c>
      <c r="AC596" t="str">
        <f>IF($AT596="","",INDEX(Calc!$G$2:$G$1601,$AT596))</f>
        <v/>
      </c>
      <c r="AD596" t="str">
        <f>IF($AS596="","",Config!$B$23)</f>
        <v/>
      </c>
      <c r="AE596" t="str">
        <f>IF($AS596="","",Config!$B$28)</f>
        <v/>
      </c>
      <c r="AF596" t="str">
        <f t="shared" si="56"/>
        <v/>
      </c>
      <c r="AG596" t="str">
        <f t="shared" si="57"/>
        <v/>
      </c>
      <c r="AH596" t="str">
        <f t="shared" si="58"/>
        <v/>
      </c>
      <c r="AI596" t="str">
        <f>IF($AG596="","",SUMIF($AG$2:$AG596,$AG596,$AH$2:$AH596))</f>
        <v/>
      </c>
      <c r="AJ596" t="str">
        <f>IF('TMP Paste'!$F596="","",IF('TMP Paste'!$B596="",$AJ595,'TMP Paste'!$B596))</f>
        <v/>
      </c>
      <c r="AK596" t="str">
        <f>IF('TMP Paste'!$F596="","",N('TMP Paste'!$G596))</f>
        <v/>
      </c>
      <c r="AL596" t="str">
        <f>IF('TMP Paste'!$F596="","",IF('TMP Paste'!$M596="",$AL595,'TMP Paste'!$M596))</f>
        <v/>
      </c>
      <c r="AM596" t="str">
        <f>IF('TMP Paste'!$F596="","",IF('TMP Paste'!$N596="",$AM595,'TMP Paste'!$N596))</f>
        <v/>
      </c>
      <c r="AN596" t="str">
        <f>IF('TMP Paste'!$F596="","",IF('TMP Paste'!$O596="",$AN595,'TMP Paste'!$O596))</f>
        <v/>
      </c>
      <c r="AO596" t="str">
        <f>IF('TMP Paste'!$F596="","",IF('TMP Paste'!$P596="",$AO595,'TMP Paste'!$P596))</f>
        <v/>
      </c>
      <c r="AP596" t="str">
        <f t="shared" si="59"/>
        <v/>
      </c>
      <c r="AQ596" t="str">
        <f>IF($AS596="","",TRIM(IF(COUNTIFS(Calc!$B$2:$B$1601,ROW()-1,Calc!$C$2:$C$1601,"&lt;1")&gt;0,"Ada PO tanpa Koli - cek TMP. ","")&amp;IF(OR($AU596="",$AU596&lt;=0),"Volume kosong/0 - dimensi dikosongkan. ","")&amp;IF(AND($AU596&lt;&gt;"",$AU596&gt;=1000000),"Volume &gt;= 1.000.000 cm3 (di luar aturan) - dimensi dikosongkan. ","")&amp;IF(LEN($R596)&gt;500,"R &gt; 500 karakter.","")))</f>
        <v/>
      </c>
      <c r="AS596" t="str">
        <f>IFERROR(MATCH(ROW()-1,Calc!$J$2:$J$1601,0),"")</f>
        <v/>
      </c>
      <c r="AT596" t="str">
        <f>IFERROR(MATCH(ROW()-1,Calc!$K$2:$K$1601,0),"")</f>
        <v/>
      </c>
      <c r="AU596" t="str">
        <f>IF($AS596="","",IFERROR(INDEX('TMP Paste'!$D$2:$D$1601,$AS596)*1000000/$AB596,""))</f>
        <v/>
      </c>
    </row>
    <row r="597" spans="1:47">
      <c r="A597" t="str">
        <f>IF($AS597="","",INDEX('TMP Paste'!$B$2:$B$1601,$AS597))</f>
        <v/>
      </c>
      <c r="B597" t="str">
        <f>IF($AS597="","",Config!$B$14)</f>
        <v/>
      </c>
      <c r="C597" t="str">
        <f>IF($AS597="","",Config!$B$15)</f>
        <v/>
      </c>
      <c r="D597" t="str">
        <f>IF($AS597="","",INDEX('TMP Paste'!$B$2:$B$1601,$AS597))</f>
        <v/>
      </c>
      <c r="E597" t="str">
        <f>IF($AS597="","",Config!$B$27)</f>
        <v/>
      </c>
      <c r="F597" t="str">
        <f>IF($AS597="","",Config!$B$9)</f>
        <v/>
      </c>
      <c r="G597" t="str">
        <f>IF($AS597="","",Config!$B$10)</f>
        <v/>
      </c>
      <c r="H597" t="str">
        <f>IF($AS597="","",Config!$B$11)</f>
        <v/>
      </c>
      <c r="I597" t="str">
        <f>IF($AS597="","",Config!$B$16)</f>
        <v/>
      </c>
      <c r="J597" t="str">
        <f>IF($AS597="","",INDEX('TMP Paste'!$A$2:$A$1601,$AS597))</f>
        <v/>
      </c>
      <c r="K597" t="str">
        <f>IF($AS597="","",INDEX('TMP Paste'!$L$2:$L$1601,$AS597))</f>
        <v/>
      </c>
      <c r="L597" t="str">
        <f>IF($AS597="","",INDEX('TMP Paste'!$I$2:$I$1601,$AS597))</f>
        <v/>
      </c>
      <c r="M597" t="str">
        <f>IF($AS597="","",Config!$B$16)</f>
        <v/>
      </c>
      <c r="N597" t="str">
        <f t="shared" si="54"/>
        <v/>
      </c>
      <c r="O597" t="str">
        <f>IF($AS597="","",INDEX('TMP Paste'!$K$2:$K$1601,$AS597))</f>
        <v/>
      </c>
      <c r="P597" t="str">
        <f t="shared" si="55"/>
        <v/>
      </c>
      <c r="Q597" t="str">
        <f>IF($AS597="","",INDEX('TMP Paste'!$J$2:$J$1601,$AS597))</f>
        <v/>
      </c>
      <c r="R597" t="str">
        <f>IF($AS597="","",Config!$B$24)</f>
        <v/>
      </c>
      <c r="S597" t="str">
        <f ca="1">IF($AS597="","",TEXT(Config!$B$4,"yyyy-mm-dd"))</f>
        <v/>
      </c>
      <c r="T597" t="str">
        <f>IF($AS597="","",Config!$B$17)</f>
        <v/>
      </c>
      <c r="U597" t="str">
        <f>IF($AS597="","",Config!$B$18)</f>
        <v/>
      </c>
      <c r="V597" t="str">
        <f>IF($AS597="","",Config!$B$19)</f>
        <v/>
      </c>
      <c r="W597" t="str">
        <f>IF($AS597="","",INDEX('TMP Paste'!$C$2:$C$1601,$AS597))</f>
        <v/>
      </c>
      <c r="X597" t="str">
        <f>IF($AS597="","",Config!$B$29)</f>
        <v/>
      </c>
      <c r="Y597" t="str">
        <f>IF($AT597="","",INDEX(Calc!$I$2:$I$1601,$AT597)&amp;" - "&amp;INDEX(Calc!$D$2:$D$1601,$AT597)&amp;" koli")</f>
        <v/>
      </c>
      <c r="Z597" t="str">
        <f>IF($AS597="","",Config!$B$21)</f>
        <v/>
      </c>
      <c r="AA597" t="str">
        <f>IF($AS597="","",Config!$B$22)</f>
        <v/>
      </c>
      <c r="AB597" t="str">
        <f>IF($AT597="","",INDEX(Calc!$D$2:$D$1601,$AT597))</f>
        <v/>
      </c>
      <c r="AC597" t="str">
        <f>IF($AT597="","",INDEX(Calc!$G$2:$G$1601,$AT597))</f>
        <v/>
      </c>
      <c r="AD597" t="str">
        <f>IF($AS597="","",Config!$B$23)</f>
        <v/>
      </c>
      <c r="AE597" t="str">
        <f>IF($AS597="","",Config!$B$28)</f>
        <v/>
      </c>
      <c r="AF597" t="str">
        <f t="shared" si="56"/>
        <v/>
      </c>
      <c r="AG597" t="str">
        <f t="shared" si="57"/>
        <v/>
      </c>
      <c r="AH597" t="str">
        <f t="shared" si="58"/>
        <v/>
      </c>
      <c r="AI597" t="str">
        <f>IF($AG597="","",SUMIF($AG$2:$AG597,$AG597,$AH$2:$AH597))</f>
        <v/>
      </c>
      <c r="AJ597" t="str">
        <f>IF('TMP Paste'!$F597="","",IF('TMP Paste'!$B597="",$AJ596,'TMP Paste'!$B597))</f>
        <v/>
      </c>
      <c r="AK597" t="str">
        <f>IF('TMP Paste'!$F597="","",N('TMP Paste'!$G597))</f>
        <v/>
      </c>
      <c r="AL597" t="str">
        <f>IF('TMP Paste'!$F597="","",IF('TMP Paste'!$M597="",$AL596,'TMP Paste'!$M597))</f>
        <v/>
      </c>
      <c r="AM597" t="str">
        <f>IF('TMP Paste'!$F597="","",IF('TMP Paste'!$N597="",$AM596,'TMP Paste'!$N597))</f>
        <v/>
      </c>
      <c r="AN597" t="str">
        <f>IF('TMP Paste'!$F597="","",IF('TMP Paste'!$O597="",$AN596,'TMP Paste'!$O597))</f>
        <v/>
      </c>
      <c r="AO597" t="str">
        <f>IF('TMP Paste'!$F597="","",IF('TMP Paste'!$P597="",$AO596,'TMP Paste'!$P597))</f>
        <v/>
      </c>
      <c r="AP597" t="str">
        <f t="shared" si="59"/>
        <v/>
      </c>
      <c r="AQ597" t="str">
        <f>IF($AS597="","",TRIM(IF(COUNTIFS(Calc!$B$2:$B$1601,ROW()-1,Calc!$C$2:$C$1601,"&lt;1")&gt;0,"Ada PO tanpa Koli - cek TMP. ","")&amp;IF(OR($AU597="",$AU597&lt;=0),"Volume kosong/0 - dimensi dikosongkan. ","")&amp;IF(AND($AU597&lt;&gt;"",$AU597&gt;=1000000),"Volume &gt;= 1.000.000 cm3 (di luar aturan) - dimensi dikosongkan. ","")&amp;IF(LEN($R597)&gt;500,"R &gt; 500 karakter.","")))</f>
        <v/>
      </c>
      <c r="AS597" t="str">
        <f>IFERROR(MATCH(ROW()-1,Calc!$J$2:$J$1601,0),"")</f>
        <v/>
      </c>
      <c r="AT597" t="str">
        <f>IFERROR(MATCH(ROW()-1,Calc!$K$2:$K$1601,0),"")</f>
        <v/>
      </c>
      <c r="AU597" t="str">
        <f>IF($AS597="","",IFERROR(INDEX('TMP Paste'!$D$2:$D$1601,$AS597)*1000000/$AB597,""))</f>
        <v/>
      </c>
    </row>
    <row r="598" spans="1:47">
      <c r="A598" t="str">
        <f>IF($AS598="","",INDEX('TMP Paste'!$B$2:$B$1601,$AS598))</f>
        <v/>
      </c>
      <c r="B598" t="str">
        <f>IF($AS598="","",Config!$B$14)</f>
        <v/>
      </c>
      <c r="C598" t="str">
        <f>IF($AS598="","",Config!$B$15)</f>
        <v/>
      </c>
      <c r="D598" t="str">
        <f>IF($AS598="","",INDEX('TMP Paste'!$B$2:$B$1601,$AS598))</f>
        <v/>
      </c>
      <c r="E598" t="str">
        <f>IF($AS598="","",Config!$B$27)</f>
        <v/>
      </c>
      <c r="F598" t="str">
        <f>IF($AS598="","",Config!$B$9)</f>
        <v/>
      </c>
      <c r="G598" t="str">
        <f>IF($AS598="","",Config!$B$10)</f>
        <v/>
      </c>
      <c r="H598" t="str">
        <f>IF($AS598="","",Config!$B$11)</f>
        <v/>
      </c>
      <c r="I598" t="str">
        <f>IF($AS598="","",Config!$B$16)</f>
        <v/>
      </c>
      <c r="J598" t="str">
        <f>IF($AS598="","",INDEX('TMP Paste'!$A$2:$A$1601,$AS598))</f>
        <v/>
      </c>
      <c r="K598" t="str">
        <f>IF($AS598="","",INDEX('TMP Paste'!$L$2:$L$1601,$AS598))</f>
        <v/>
      </c>
      <c r="L598" t="str">
        <f>IF($AS598="","",INDEX('TMP Paste'!$I$2:$I$1601,$AS598))</f>
        <v/>
      </c>
      <c r="M598" t="str">
        <f>IF($AS598="","",Config!$B$16)</f>
        <v/>
      </c>
      <c r="N598" t="str">
        <f t="shared" si="54"/>
        <v/>
      </c>
      <c r="O598" t="str">
        <f>IF($AS598="","",INDEX('TMP Paste'!$K$2:$K$1601,$AS598))</f>
        <v/>
      </c>
      <c r="P598" t="str">
        <f t="shared" si="55"/>
        <v/>
      </c>
      <c r="Q598" t="str">
        <f>IF($AS598="","",INDEX('TMP Paste'!$J$2:$J$1601,$AS598))</f>
        <v/>
      </c>
      <c r="R598" t="str">
        <f>IF($AS598="","",Config!$B$24)</f>
        <v/>
      </c>
      <c r="S598" t="str">
        <f ca="1">IF($AS598="","",TEXT(Config!$B$4,"yyyy-mm-dd"))</f>
        <v/>
      </c>
      <c r="T598" t="str">
        <f>IF($AS598="","",Config!$B$17)</f>
        <v/>
      </c>
      <c r="U598" t="str">
        <f>IF($AS598="","",Config!$B$18)</f>
        <v/>
      </c>
      <c r="V598" t="str">
        <f>IF($AS598="","",Config!$B$19)</f>
        <v/>
      </c>
      <c r="W598" t="str">
        <f>IF($AS598="","",INDEX('TMP Paste'!$C$2:$C$1601,$AS598))</f>
        <v/>
      </c>
      <c r="X598" t="str">
        <f>IF($AS598="","",Config!$B$29)</f>
        <v/>
      </c>
      <c r="Y598" t="str">
        <f>IF($AT598="","",INDEX(Calc!$I$2:$I$1601,$AT598)&amp;" - "&amp;INDEX(Calc!$D$2:$D$1601,$AT598)&amp;" koli")</f>
        <v/>
      </c>
      <c r="Z598" t="str">
        <f>IF($AS598="","",Config!$B$21)</f>
        <v/>
      </c>
      <c r="AA598" t="str">
        <f>IF($AS598="","",Config!$B$22)</f>
        <v/>
      </c>
      <c r="AB598" t="str">
        <f>IF($AT598="","",INDEX(Calc!$D$2:$D$1601,$AT598))</f>
        <v/>
      </c>
      <c r="AC598" t="str">
        <f>IF($AT598="","",INDEX(Calc!$G$2:$G$1601,$AT598))</f>
        <v/>
      </c>
      <c r="AD598" t="str">
        <f>IF($AS598="","",Config!$B$23)</f>
        <v/>
      </c>
      <c r="AE598" t="str">
        <f>IF($AS598="","",Config!$B$28)</f>
        <v/>
      </c>
      <c r="AF598" t="str">
        <f t="shared" si="56"/>
        <v/>
      </c>
      <c r="AG598" t="str">
        <f t="shared" si="57"/>
        <v/>
      </c>
      <c r="AH598" t="str">
        <f t="shared" si="58"/>
        <v/>
      </c>
      <c r="AI598" t="str">
        <f>IF($AG598="","",SUMIF($AG$2:$AG598,$AG598,$AH$2:$AH598))</f>
        <v/>
      </c>
      <c r="AJ598" t="str">
        <f>IF('TMP Paste'!$F598="","",IF('TMP Paste'!$B598="",$AJ597,'TMP Paste'!$B598))</f>
        <v/>
      </c>
      <c r="AK598" t="str">
        <f>IF('TMP Paste'!$F598="","",N('TMP Paste'!$G598))</f>
        <v/>
      </c>
      <c r="AL598" t="str">
        <f>IF('TMP Paste'!$F598="","",IF('TMP Paste'!$M598="",$AL597,'TMP Paste'!$M598))</f>
        <v/>
      </c>
      <c r="AM598" t="str">
        <f>IF('TMP Paste'!$F598="","",IF('TMP Paste'!$N598="",$AM597,'TMP Paste'!$N598))</f>
        <v/>
      </c>
      <c r="AN598" t="str">
        <f>IF('TMP Paste'!$F598="","",IF('TMP Paste'!$O598="",$AN597,'TMP Paste'!$O598))</f>
        <v/>
      </c>
      <c r="AO598" t="str">
        <f>IF('TMP Paste'!$F598="","",IF('TMP Paste'!$P598="",$AO597,'TMP Paste'!$P598))</f>
        <v/>
      </c>
      <c r="AP598" t="str">
        <f t="shared" si="59"/>
        <v/>
      </c>
      <c r="AQ598" t="str">
        <f>IF($AS598="","",TRIM(IF(COUNTIFS(Calc!$B$2:$B$1601,ROW()-1,Calc!$C$2:$C$1601,"&lt;1")&gt;0,"Ada PO tanpa Koli - cek TMP. ","")&amp;IF(OR($AU598="",$AU598&lt;=0),"Volume kosong/0 - dimensi dikosongkan. ","")&amp;IF(AND($AU598&lt;&gt;"",$AU598&gt;=1000000),"Volume &gt;= 1.000.000 cm3 (di luar aturan) - dimensi dikosongkan. ","")&amp;IF(LEN($R598)&gt;500,"R &gt; 500 karakter.","")))</f>
        <v/>
      </c>
      <c r="AS598" t="str">
        <f>IFERROR(MATCH(ROW()-1,Calc!$J$2:$J$1601,0),"")</f>
        <v/>
      </c>
      <c r="AT598" t="str">
        <f>IFERROR(MATCH(ROW()-1,Calc!$K$2:$K$1601,0),"")</f>
        <v/>
      </c>
      <c r="AU598" t="str">
        <f>IF($AS598="","",IFERROR(INDEX('TMP Paste'!$D$2:$D$1601,$AS598)*1000000/$AB598,""))</f>
        <v/>
      </c>
    </row>
    <row r="599" spans="1:47">
      <c r="A599" t="str">
        <f>IF($AS599="","",INDEX('TMP Paste'!$B$2:$B$1601,$AS599))</f>
        <v/>
      </c>
      <c r="B599" t="str">
        <f>IF($AS599="","",Config!$B$14)</f>
        <v/>
      </c>
      <c r="C599" t="str">
        <f>IF($AS599="","",Config!$B$15)</f>
        <v/>
      </c>
      <c r="D599" t="str">
        <f>IF($AS599="","",INDEX('TMP Paste'!$B$2:$B$1601,$AS599))</f>
        <v/>
      </c>
      <c r="E599" t="str">
        <f>IF($AS599="","",Config!$B$27)</f>
        <v/>
      </c>
      <c r="F599" t="str">
        <f>IF($AS599="","",Config!$B$9)</f>
        <v/>
      </c>
      <c r="G599" t="str">
        <f>IF($AS599="","",Config!$B$10)</f>
        <v/>
      </c>
      <c r="H599" t="str">
        <f>IF($AS599="","",Config!$B$11)</f>
        <v/>
      </c>
      <c r="I599" t="str">
        <f>IF($AS599="","",Config!$B$16)</f>
        <v/>
      </c>
      <c r="J599" t="str">
        <f>IF($AS599="","",INDEX('TMP Paste'!$A$2:$A$1601,$AS599))</f>
        <v/>
      </c>
      <c r="K599" t="str">
        <f>IF($AS599="","",INDEX('TMP Paste'!$L$2:$L$1601,$AS599))</f>
        <v/>
      </c>
      <c r="L599" t="str">
        <f>IF($AS599="","",INDEX('TMP Paste'!$I$2:$I$1601,$AS599))</f>
        <v/>
      </c>
      <c r="M599" t="str">
        <f>IF($AS599="","",Config!$B$16)</f>
        <v/>
      </c>
      <c r="N599" t="str">
        <f t="shared" si="54"/>
        <v/>
      </c>
      <c r="O599" t="str">
        <f>IF($AS599="","",INDEX('TMP Paste'!$K$2:$K$1601,$AS599))</f>
        <v/>
      </c>
      <c r="P599" t="str">
        <f t="shared" si="55"/>
        <v/>
      </c>
      <c r="Q599" t="str">
        <f>IF($AS599="","",INDEX('TMP Paste'!$J$2:$J$1601,$AS599))</f>
        <v/>
      </c>
      <c r="R599" t="str">
        <f>IF($AS599="","",Config!$B$24)</f>
        <v/>
      </c>
      <c r="S599" t="str">
        <f ca="1">IF($AS599="","",TEXT(Config!$B$4,"yyyy-mm-dd"))</f>
        <v/>
      </c>
      <c r="T599" t="str">
        <f>IF($AS599="","",Config!$B$17)</f>
        <v/>
      </c>
      <c r="U599" t="str">
        <f>IF($AS599="","",Config!$B$18)</f>
        <v/>
      </c>
      <c r="V599" t="str">
        <f>IF($AS599="","",Config!$B$19)</f>
        <v/>
      </c>
      <c r="W599" t="str">
        <f>IF($AS599="","",INDEX('TMP Paste'!$C$2:$C$1601,$AS599))</f>
        <v/>
      </c>
      <c r="X599" t="str">
        <f>IF($AS599="","",Config!$B$29)</f>
        <v/>
      </c>
      <c r="Y599" t="str">
        <f>IF($AT599="","",INDEX(Calc!$I$2:$I$1601,$AT599)&amp;" - "&amp;INDEX(Calc!$D$2:$D$1601,$AT599)&amp;" koli")</f>
        <v/>
      </c>
      <c r="Z599" t="str">
        <f>IF($AS599="","",Config!$B$21)</f>
        <v/>
      </c>
      <c r="AA599" t="str">
        <f>IF($AS599="","",Config!$B$22)</f>
        <v/>
      </c>
      <c r="AB599" t="str">
        <f>IF($AT599="","",INDEX(Calc!$D$2:$D$1601,$AT599))</f>
        <v/>
      </c>
      <c r="AC599" t="str">
        <f>IF($AT599="","",INDEX(Calc!$G$2:$G$1601,$AT599))</f>
        <v/>
      </c>
      <c r="AD599" t="str">
        <f>IF($AS599="","",Config!$B$23)</f>
        <v/>
      </c>
      <c r="AE599" t="str">
        <f>IF($AS599="","",Config!$B$28)</f>
        <v/>
      </c>
      <c r="AF599" t="str">
        <f t="shared" si="56"/>
        <v/>
      </c>
      <c r="AG599" t="str">
        <f t="shared" si="57"/>
        <v/>
      </c>
      <c r="AH599" t="str">
        <f t="shared" si="58"/>
        <v/>
      </c>
      <c r="AI599" t="str">
        <f>IF($AG599="","",SUMIF($AG$2:$AG599,$AG599,$AH$2:$AH599))</f>
        <v/>
      </c>
      <c r="AJ599" t="str">
        <f>IF('TMP Paste'!$F599="","",IF('TMP Paste'!$B599="",$AJ598,'TMP Paste'!$B599))</f>
        <v/>
      </c>
      <c r="AK599" t="str">
        <f>IF('TMP Paste'!$F599="","",N('TMP Paste'!$G599))</f>
        <v/>
      </c>
      <c r="AL599" t="str">
        <f>IF('TMP Paste'!$F599="","",IF('TMP Paste'!$M599="",$AL598,'TMP Paste'!$M599))</f>
        <v/>
      </c>
      <c r="AM599" t="str">
        <f>IF('TMP Paste'!$F599="","",IF('TMP Paste'!$N599="",$AM598,'TMP Paste'!$N599))</f>
        <v/>
      </c>
      <c r="AN599" t="str">
        <f>IF('TMP Paste'!$F599="","",IF('TMP Paste'!$O599="",$AN598,'TMP Paste'!$O599))</f>
        <v/>
      </c>
      <c r="AO599" t="str">
        <f>IF('TMP Paste'!$F599="","",IF('TMP Paste'!$P599="",$AO598,'TMP Paste'!$P599))</f>
        <v/>
      </c>
      <c r="AP599" t="str">
        <f t="shared" si="59"/>
        <v/>
      </c>
      <c r="AQ599" t="str">
        <f>IF($AS599="","",TRIM(IF(COUNTIFS(Calc!$B$2:$B$1601,ROW()-1,Calc!$C$2:$C$1601,"&lt;1")&gt;0,"Ada PO tanpa Koli - cek TMP. ","")&amp;IF(OR($AU599="",$AU599&lt;=0),"Volume kosong/0 - dimensi dikosongkan. ","")&amp;IF(AND($AU599&lt;&gt;"",$AU599&gt;=1000000),"Volume &gt;= 1.000.000 cm3 (di luar aturan) - dimensi dikosongkan. ","")&amp;IF(LEN($R599)&gt;500,"R &gt; 500 karakter.","")))</f>
        <v/>
      </c>
      <c r="AS599" t="str">
        <f>IFERROR(MATCH(ROW()-1,Calc!$J$2:$J$1601,0),"")</f>
        <v/>
      </c>
      <c r="AT599" t="str">
        <f>IFERROR(MATCH(ROW()-1,Calc!$K$2:$K$1601,0),"")</f>
        <v/>
      </c>
      <c r="AU599" t="str">
        <f>IF($AS599="","",IFERROR(INDEX('TMP Paste'!$D$2:$D$1601,$AS599)*1000000/$AB599,""))</f>
        <v/>
      </c>
    </row>
    <row r="600" spans="1:47">
      <c r="A600" t="str">
        <f>IF($AS600="","",INDEX('TMP Paste'!$B$2:$B$1601,$AS600))</f>
        <v/>
      </c>
      <c r="B600" t="str">
        <f>IF($AS600="","",Config!$B$14)</f>
        <v/>
      </c>
      <c r="C600" t="str">
        <f>IF($AS600="","",Config!$B$15)</f>
        <v/>
      </c>
      <c r="D600" t="str">
        <f>IF($AS600="","",INDEX('TMP Paste'!$B$2:$B$1601,$AS600))</f>
        <v/>
      </c>
      <c r="E600" t="str">
        <f>IF($AS600="","",Config!$B$27)</f>
        <v/>
      </c>
      <c r="F600" t="str">
        <f>IF($AS600="","",Config!$B$9)</f>
        <v/>
      </c>
      <c r="G600" t="str">
        <f>IF($AS600="","",Config!$B$10)</f>
        <v/>
      </c>
      <c r="H600" t="str">
        <f>IF($AS600="","",Config!$B$11)</f>
        <v/>
      </c>
      <c r="I600" t="str">
        <f>IF($AS600="","",Config!$B$16)</f>
        <v/>
      </c>
      <c r="J600" t="str">
        <f>IF($AS600="","",INDEX('TMP Paste'!$A$2:$A$1601,$AS600))</f>
        <v/>
      </c>
      <c r="K600" t="str">
        <f>IF($AS600="","",INDEX('TMP Paste'!$L$2:$L$1601,$AS600))</f>
        <v/>
      </c>
      <c r="L600" t="str">
        <f>IF($AS600="","",INDEX('TMP Paste'!$I$2:$I$1601,$AS600))</f>
        <v/>
      </c>
      <c r="M600" t="str">
        <f>IF($AS600="","",Config!$B$16)</f>
        <v/>
      </c>
      <c r="N600" t="str">
        <f t="shared" si="54"/>
        <v/>
      </c>
      <c r="O600" t="str">
        <f>IF($AS600="","",INDEX('TMP Paste'!$K$2:$K$1601,$AS600))</f>
        <v/>
      </c>
      <c r="P600" t="str">
        <f t="shared" si="55"/>
        <v/>
      </c>
      <c r="Q600" t="str">
        <f>IF($AS600="","",INDEX('TMP Paste'!$J$2:$J$1601,$AS600))</f>
        <v/>
      </c>
      <c r="R600" t="str">
        <f>IF($AS600="","",Config!$B$24)</f>
        <v/>
      </c>
      <c r="S600" t="str">
        <f ca="1">IF($AS600="","",TEXT(Config!$B$4,"yyyy-mm-dd"))</f>
        <v/>
      </c>
      <c r="T600" t="str">
        <f>IF($AS600="","",Config!$B$17)</f>
        <v/>
      </c>
      <c r="U600" t="str">
        <f>IF($AS600="","",Config!$B$18)</f>
        <v/>
      </c>
      <c r="V600" t="str">
        <f>IF($AS600="","",Config!$B$19)</f>
        <v/>
      </c>
      <c r="W600" t="str">
        <f>IF($AS600="","",INDEX('TMP Paste'!$C$2:$C$1601,$AS600))</f>
        <v/>
      </c>
      <c r="X600" t="str">
        <f>IF($AS600="","",Config!$B$29)</f>
        <v/>
      </c>
      <c r="Y600" t="str">
        <f>IF($AT600="","",INDEX(Calc!$I$2:$I$1601,$AT600)&amp;" - "&amp;INDEX(Calc!$D$2:$D$1601,$AT600)&amp;" koli")</f>
        <v/>
      </c>
      <c r="Z600" t="str">
        <f>IF($AS600="","",Config!$B$21)</f>
        <v/>
      </c>
      <c r="AA600" t="str">
        <f>IF($AS600="","",Config!$B$22)</f>
        <v/>
      </c>
      <c r="AB600" t="str">
        <f>IF($AT600="","",INDEX(Calc!$D$2:$D$1601,$AT600))</f>
        <v/>
      </c>
      <c r="AC600" t="str">
        <f>IF($AT600="","",INDEX(Calc!$G$2:$G$1601,$AT600))</f>
        <v/>
      </c>
      <c r="AD600" t="str">
        <f>IF($AS600="","",Config!$B$23)</f>
        <v/>
      </c>
      <c r="AE600" t="str">
        <f>IF($AS600="","",Config!$B$28)</f>
        <v/>
      </c>
      <c r="AF600" t="str">
        <f t="shared" si="56"/>
        <v/>
      </c>
      <c r="AG600" t="str">
        <f t="shared" si="57"/>
        <v/>
      </c>
      <c r="AH600" t="str">
        <f t="shared" si="58"/>
        <v/>
      </c>
      <c r="AI600" t="str">
        <f>IF($AG600="","",SUMIF($AG$2:$AG600,$AG600,$AH$2:$AH600))</f>
        <v/>
      </c>
      <c r="AJ600" t="str">
        <f>IF('TMP Paste'!$F600="","",IF('TMP Paste'!$B600="",$AJ599,'TMP Paste'!$B600))</f>
        <v/>
      </c>
      <c r="AK600" t="str">
        <f>IF('TMP Paste'!$F600="","",N('TMP Paste'!$G600))</f>
        <v/>
      </c>
      <c r="AL600" t="str">
        <f>IF('TMP Paste'!$F600="","",IF('TMP Paste'!$M600="",$AL599,'TMP Paste'!$M600))</f>
        <v/>
      </c>
      <c r="AM600" t="str">
        <f>IF('TMP Paste'!$F600="","",IF('TMP Paste'!$N600="",$AM599,'TMP Paste'!$N600))</f>
        <v/>
      </c>
      <c r="AN600" t="str">
        <f>IF('TMP Paste'!$F600="","",IF('TMP Paste'!$O600="",$AN599,'TMP Paste'!$O600))</f>
        <v/>
      </c>
      <c r="AO600" t="str">
        <f>IF('TMP Paste'!$F600="","",IF('TMP Paste'!$P600="",$AO599,'TMP Paste'!$P600))</f>
        <v/>
      </c>
      <c r="AP600" t="str">
        <f t="shared" si="59"/>
        <v/>
      </c>
      <c r="AQ600" t="str">
        <f>IF($AS600="","",TRIM(IF(COUNTIFS(Calc!$B$2:$B$1601,ROW()-1,Calc!$C$2:$C$1601,"&lt;1")&gt;0,"Ada PO tanpa Koli - cek TMP. ","")&amp;IF(OR($AU600="",$AU600&lt;=0),"Volume kosong/0 - dimensi dikosongkan. ","")&amp;IF(AND($AU600&lt;&gt;"",$AU600&gt;=1000000),"Volume &gt;= 1.000.000 cm3 (di luar aturan) - dimensi dikosongkan. ","")&amp;IF(LEN($R600)&gt;500,"R &gt; 500 karakter.","")))</f>
        <v/>
      </c>
      <c r="AS600" t="str">
        <f>IFERROR(MATCH(ROW()-1,Calc!$J$2:$J$1601,0),"")</f>
        <v/>
      </c>
      <c r="AT600" t="str">
        <f>IFERROR(MATCH(ROW()-1,Calc!$K$2:$K$1601,0),"")</f>
        <v/>
      </c>
      <c r="AU600" t="str">
        <f>IF($AS600="","",IFERROR(INDEX('TMP Paste'!$D$2:$D$1601,$AS600)*1000000/$AB600,""))</f>
        <v/>
      </c>
    </row>
    <row r="601" spans="1:47">
      <c r="A601" t="str">
        <f>IF($AS601="","",INDEX('TMP Paste'!$B$2:$B$1601,$AS601))</f>
        <v/>
      </c>
      <c r="B601" t="str">
        <f>IF($AS601="","",Config!$B$14)</f>
        <v/>
      </c>
      <c r="C601" t="str">
        <f>IF($AS601="","",Config!$B$15)</f>
        <v/>
      </c>
      <c r="D601" t="str">
        <f>IF($AS601="","",INDEX('TMP Paste'!$B$2:$B$1601,$AS601))</f>
        <v/>
      </c>
      <c r="E601" t="str">
        <f>IF($AS601="","",Config!$B$27)</f>
        <v/>
      </c>
      <c r="F601" t="str">
        <f>IF($AS601="","",Config!$B$9)</f>
        <v/>
      </c>
      <c r="G601" t="str">
        <f>IF($AS601="","",Config!$B$10)</f>
        <v/>
      </c>
      <c r="H601" t="str">
        <f>IF($AS601="","",Config!$B$11)</f>
        <v/>
      </c>
      <c r="I601" t="str">
        <f>IF($AS601="","",Config!$B$16)</f>
        <v/>
      </c>
      <c r="J601" t="str">
        <f>IF($AS601="","",INDEX('TMP Paste'!$A$2:$A$1601,$AS601))</f>
        <v/>
      </c>
      <c r="K601" t="str">
        <f>IF($AS601="","",INDEX('TMP Paste'!$L$2:$L$1601,$AS601))</f>
        <v/>
      </c>
      <c r="L601" t="str">
        <f>IF($AS601="","",INDEX('TMP Paste'!$I$2:$I$1601,$AS601))</f>
        <v/>
      </c>
      <c r="M601" t="str">
        <f>IF($AS601="","",Config!$B$16)</f>
        <v/>
      </c>
      <c r="N601" t="str">
        <f t="shared" si="54"/>
        <v/>
      </c>
      <c r="O601" t="str">
        <f>IF($AS601="","",INDEX('TMP Paste'!$K$2:$K$1601,$AS601))</f>
        <v/>
      </c>
      <c r="P601" t="str">
        <f t="shared" si="55"/>
        <v/>
      </c>
      <c r="Q601" t="str">
        <f>IF($AS601="","",INDEX('TMP Paste'!$J$2:$J$1601,$AS601))</f>
        <v/>
      </c>
      <c r="R601" t="str">
        <f>IF($AS601="","",Config!$B$24)</f>
        <v/>
      </c>
      <c r="S601" t="str">
        <f ca="1">IF($AS601="","",TEXT(Config!$B$4,"yyyy-mm-dd"))</f>
        <v/>
      </c>
      <c r="T601" t="str">
        <f>IF($AS601="","",Config!$B$17)</f>
        <v/>
      </c>
      <c r="U601" t="str">
        <f>IF($AS601="","",Config!$B$18)</f>
        <v/>
      </c>
      <c r="V601" t="str">
        <f>IF($AS601="","",Config!$B$19)</f>
        <v/>
      </c>
      <c r="W601" t="str">
        <f>IF($AS601="","",INDEX('TMP Paste'!$C$2:$C$1601,$AS601))</f>
        <v/>
      </c>
      <c r="X601" t="str">
        <f>IF($AS601="","",Config!$B$29)</f>
        <v/>
      </c>
      <c r="Y601" t="str">
        <f>IF($AT601="","",INDEX(Calc!$I$2:$I$1601,$AT601)&amp;" - "&amp;INDEX(Calc!$D$2:$D$1601,$AT601)&amp;" koli")</f>
        <v/>
      </c>
      <c r="Z601" t="str">
        <f>IF($AS601="","",Config!$B$21)</f>
        <v/>
      </c>
      <c r="AA601" t="str">
        <f>IF($AS601="","",Config!$B$22)</f>
        <v/>
      </c>
      <c r="AB601" t="str">
        <f>IF($AT601="","",INDEX(Calc!$D$2:$D$1601,$AT601))</f>
        <v/>
      </c>
      <c r="AC601" t="str">
        <f>IF($AT601="","",INDEX(Calc!$G$2:$G$1601,$AT601))</f>
        <v/>
      </c>
      <c r="AD601" t="str">
        <f>IF($AS601="","",Config!$B$23)</f>
        <v/>
      </c>
      <c r="AE601" t="str">
        <f>IF($AS601="","",Config!$B$28)</f>
        <v/>
      </c>
      <c r="AF601" t="str">
        <f t="shared" si="56"/>
        <v/>
      </c>
      <c r="AG601" t="str">
        <f t="shared" si="57"/>
        <v/>
      </c>
      <c r="AH601" t="str">
        <f t="shared" si="58"/>
        <v/>
      </c>
      <c r="AI601" t="str">
        <f>IF($AG601="","",SUMIF($AG$2:$AG601,$AG601,$AH$2:$AH601))</f>
        <v/>
      </c>
      <c r="AJ601" t="str">
        <f>IF('TMP Paste'!$F601="","",IF('TMP Paste'!$B601="",$AJ600,'TMP Paste'!$B601))</f>
        <v/>
      </c>
      <c r="AK601" t="str">
        <f>IF('TMP Paste'!$F601="","",N('TMP Paste'!$G601))</f>
        <v/>
      </c>
      <c r="AL601" t="str">
        <f>IF('TMP Paste'!$F601="","",IF('TMP Paste'!$M601="",$AL600,'TMP Paste'!$M601))</f>
        <v/>
      </c>
      <c r="AM601" t="str">
        <f>IF('TMP Paste'!$F601="","",IF('TMP Paste'!$N601="",$AM600,'TMP Paste'!$N601))</f>
        <v/>
      </c>
      <c r="AN601" t="str">
        <f>IF('TMP Paste'!$F601="","",IF('TMP Paste'!$O601="",$AN600,'TMP Paste'!$O601))</f>
        <v/>
      </c>
      <c r="AO601" t="str">
        <f>IF('TMP Paste'!$F601="","",IF('TMP Paste'!$P601="",$AO600,'TMP Paste'!$P601))</f>
        <v/>
      </c>
      <c r="AP601" t="str">
        <f t="shared" si="59"/>
        <v/>
      </c>
      <c r="AQ601" t="str">
        <f>IF($AS601="","",TRIM(IF(COUNTIFS(Calc!$B$2:$B$1601,ROW()-1,Calc!$C$2:$C$1601,"&lt;1")&gt;0,"Ada PO tanpa Koli - cek TMP. ","")&amp;IF(OR($AU601="",$AU601&lt;=0),"Volume kosong/0 - dimensi dikosongkan. ","")&amp;IF(AND($AU601&lt;&gt;"",$AU601&gt;=1000000),"Volume &gt;= 1.000.000 cm3 (di luar aturan) - dimensi dikosongkan. ","")&amp;IF(LEN($R601)&gt;500,"R &gt; 500 karakter.","")))</f>
        <v/>
      </c>
      <c r="AS601" t="str">
        <f>IFERROR(MATCH(ROW()-1,Calc!$J$2:$J$1601,0),"")</f>
        <v/>
      </c>
      <c r="AT601" t="str">
        <f>IFERROR(MATCH(ROW()-1,Calc!$K$2:$K$1601,0),"")</f>
        <v/>
      </c>
      <c r="AU601" t="str">
        <f>IF($AS601="","",IFERROR(INDEX('TMP Paste'!$D$2:$D$1601,$AS601)*1000000/$AB601,""))</f>
        <v/>
      </c>
    </row>
    <row r="602" spans="1:47">
      <c r="A602" t="str">
        <f>IF($AS602="","",INDEX('TMP Paste'!$B$2:$B$1601,$AS602))</f>
        <v/>
      </c>
      <c r="B602" t="str">
        <f>IF($AS602="","",Config!$B$14)</f>
        <v/>
      </c>
      <c r="C602" t="str">
        <f>IF($AS602="","",Config!$B$15)</f>
        <v/>
      </c>
      <c r="D602" t="str">
        <f>IF($AS602="","",INDEX('TMP Paste'!$B$2:$B$1601,$AS602))</f>
        <v/>
      </c>
      <c r="E602" t="str">
        <f>IF($AS602="","",Config!$B$27)</f>
        <v/>
      </c>
      <c r="F602" t="str">
        <f>IF($AS602="","",Config!$B$9)</f>
        <v/>
      </c>
      <c r="G602" t="str">
        <f>IF($AS602="","",Config!$B$10)</f>
        <v/>
      </c>
      <c r="H602" t="str">
        <f>IF($AS602="","",Config!$B$11)</f>
        <v/>
      </c>
      <c r="I602" t="str">
        <f>IF($AS602="","",Config!$B$16)</f>
        <v/>
      </c>
      <c r="J602" t="str">
        <f>IF($AS602="","",INDEX('TMP Paste'!$A$2:$A$1601,$AS602))</f>
        <v/>
      </c>
      <c r="K602" t="str">
        <f>IF($AS602="","",INDEX('TMP Paste'!$L$2:$L$1601,$AS602))</f>
        <v/>
      </c>
      <c r="L602" t="str">
        <f>IF($AS602="","",INDEX('TMP Paste'!$I$2:$I$1601,$AS602))</f>
        <v/>
      </c>
      <c r="M602" t="str">
        <f>IF($AS602="","",Config!$B$16)</f>
        <v/>
      </c>
      <c r="N602" t="str">
        <f t="shared" si="54"/>
        <v/>
      </c>
      <c r="O602" t="str">
        <f>IF($AS602="","",INDEX('TMP Paste'!$K$2:$K$1601,$AS602))</f>
        <v/>
      </c>
      <c r="P602" t="str">
        <f t="shared" si="55"/>
        <v/>
      </c>
      <c r="Q602" t="str">
        <f>IF($AS602="","",INDEX('TMP Paste'!$J$2:$J$1601,$AS602))</f>
        <v/>
      </c>
      <c r="R602" t="str">
        <f>IF($AS602="","",Config!$B$24)</f>
        <v/>
      </c>
      <c r="S602" t="str">
        <f ca="1">IF($AS602="","",TEXT(Config!$B$4,"yyyy-mm-dd"))</f>
        <v/>
      </c>
      <c r="T602" t="str">
        <f>IF($AS602="","",Config!$B$17)</f>
        <v/>
      </c>
      <c r="U602" t="str">
        <f>IF($AS602="","",Config!$B$18)</f>
        <v/>
      </c>
      <c r="V602" t="str">
        <f>IF($AS602="","",Config!$B$19)</f>
        <v/>
      </c>
      <c r="W602" t="str">
        <f>IF($AS602="","",INDEX('TMP Paste'!$C$2:$C$1601,$AS602))</f>
        <v/>
      </c>
      <c r="X602" t="str">
        <f>IF($AS602="","",Config!$B$29)</f>
        <v/>
      </c>
      <c r="Y602" t="str">
        <f>IF($AT602="","",INDEX(Calc!$I$2:$I$1601,$AT602)&amp;" - "&amp;INDEX(Calc!$D$2:$D$1601,$AT602)&amp;" koli")</f>
        <v/>
      </c>
      <c r="Z602" t="str">
        <f>IF($AS602="","",Config!$B$21)</f>
        <v/>
      </c>
      <c r="AA602" t="str">
        <f>IF($AS602="","",Config!$B$22)</f>
        <v/>
      </c>
      <c r="AB602" t="str">
        <f>IF($AT602="","",INDEX(Calc!$D$2:$D$1601,$AT602))</f>
        <v/>
      </c>
      <c r="AC602" t="str">
        <f>IF($AT602="","",INDEX(Calc!$G$2:$G$1601,$AT602))</f>
        <v/>
      </c>
      <c r="AD602" t="str">
        <f>IF($AS602="","",Config!$B$23)</f>
        <v/>
      </c>
      <c r="AE602" t="str">
        <f>IF($AS602="","",Config!$B$28)</f>
        <v/>
      </c>
      <c r="AF602" t="str">
        <f t="shared" si="56"/>
        <v/>
      </c>
      <c r="AG602" t="str">
        <f t="shared" si="57"/>
        <v/>
      </c>
      <c r="AH602" t="str">
        <f t="shared" si="58"/>
        <v/>
      </c>
      <c r="AI602" t="str">
        <f>IF($AG602="","",SUMIF($AG$2:$AG602,$AG602,$AH$2:$AH602))</f>
        <v/>
      </c>
      <c r="AJ602" t="str">
        <f>IF('TMP Paste'!$F602="","",IF('TMP Paste'!$B602="",$AJ601,'TMP Paste'!$B602))</f>
        <v/>
      </c>
      <c r="AK602" t="str">
        <f>IF('TMP Paste'!$F602="","",N('TMP Paste'!$G602))</f>
        <v/>
      </c>
      <c r="AL602" t="str">
        <f>IF('TMP Paste'!$F602="","",IF('TMP Paste'!$M602="",$AL601,'TMP Paste'!$M602))</f>
        <v/>
      </c>
      <c r="AM602" t="str">
        <f>IF('TMP Paste'!$F602="","",IF('TMP Paste'!$N602="",$AM601,'TMP Paste'!$N602))</f>
        <v/>
      </c>
      <c r="AN602" t="str">
        <f>IF('TMP Paste'!$F602="","",IF('TMP Paste'!$O602="",$AN601,'TMP Paste'!$O602))</f>
        <v/>
      </c>
      <c r="AO602" t="str">
        <f>IF('TMP Paste'!$F602="","",IF('TMP Paste'!$P602="",$AO601,'TMP Paste'!$P602))</f>
        <v/>
      </c>
      <c r="AP602" t="str">
        <f t="shared" si="59"/>
        <v/>
      </c>
      <c r="AQ602" t="str">
        <f>IF($AS602="","",TRIM(IF(COUNTIFS(Calc!$B$2:$B$1601,ROW()-1,Calc!$C$2:$C$1601,"&lt;1")&gt;0,"Ada PO tanpa Koli - cek TMP. ","")&amp;IF(OR($AU602="",$AU602&lt;=0),"Volume kosong/0 - dimensi dikosongkan. ","")&amp;IF(AND($AU602&lt;&gt;"",$AU602&gt;=1000000),"Volume &gt;= 1.000.000 cm3 (di luar aturan) - dimensi dikosongkan. ","")&amp;IF(LEN($R602)&gt;500,"R &gt; 500 karakter.","")))</f>
        <v/>
      </c>
      <c r="AS602" t="str">
        <f>IFERROR(MATCH(ROW()-1,Calc!$J$2:$J$1601,0),"")</f>
        <v/>
      </c>
      <c r="AT602" t="str">
        <f>IFERROR(MATCH(ROW()-1,Calc!$K$2:$K$1601,0),"")</f>
        <v/>
      </c>
      <c r="AU602" t="str">
        <f>IF($AS602="","",IFERROR(INDEX('TMP Paste'!$D$2:$D$1601,$AS602)*1000000/$AB602,""))</f>
        <v/>
      </c>
    </row>
    <row r="603" spans="1:47">
      <c r="A603" t="str">
        <f>IF($AS603="","",INDEX('TMP Paste'!$B$2:$B$1601,$AS603))</f>
        <v/>
      </c>
      <c r="B603" t="str">
        <f>IF($AS603="","",Config!$B$14)</f>
        <v/>
      </c>
      <c r="C603" t="str">
        <f>IF($AS603="","",Config!$B$15)</f>
        <v/>
      </c>
      <c r="D603" t="str">
        <f>IF($AS603="","",INDEX('TMP Paste'!$B$2:$B$1601,$AS603))</f>
        <v/>
      </c>
      <c r="E603" t="str">
        <f>IF($AS603="","",Config!$B$27)</f>
        <v/>
      </c>
      <c r="F603" t="str">
        <f>IF($AS603="","",Config!$B$9)</f>
        <v/>
      </c>
      <c r="G603" t="str">
        <f>IF($AS603="","",Config!$B$10)</f>
        <v/>
      </c>
      <c r="H603" t="str">
        <f>IF($AS603="","",Config!$B$11)</f>
        <v/>
      </c>
      <c r="I603" t="str">
        <f>IF($AS603="","",Config!$B$16)</f>
        <v/>
      </c>
      <c r="J603" t="str">
        <f>IF($AS603="","",INDEX('TMP Paste'!$A$2:$A$1601,$AS603))</f>
        <v/>
      </c>
      <c r="K603" t="str">
        <f>IF($AS603="","",INDEX('TMP Paste'!$L$2:$L$1601,$AS603))</f>
        <v/>
      </c>
      <c r="L603" t="str">
        <f>IF($AS603="","",INDEX('TMP Paste'!$I$2:$I$1601,$AS603))</f>
        <v/>
      </c>
      <c r="M603" t="str">
        <f>IF($AS603="","",Config!$B$16)</f>
        <v/>
      </c>
      <c r="N603" t="str">
        <f t="shared" si="54"/>
        <v/>
      </c>
      <c r="O603" t="str">
        <f>IF($AS603="","",INDEX('TMP Paste'!$K$2:$K$1601,$AS603))</f>
        <v/>
      </c>
      <c r="P603" t="str">
        <f t="shared" si="55"/>
        <v/>
      </c>
      <c r="Q603" t="str">
        <f>IF($AS603="","",INDEX('TMP Paste'!$J$2:$J$1601,$AS603))</f>
        <v/>
      </c>
      <c r="R603" t="str">
        <f>IF($AS603="","",Config!$B$24)</f>
        <v/>
      </c>
      <c r="S603" t="str">
        <f ca="1">IF($AS603="","",TEXT(Config!$B$4,"yyyy-mm-dd"))</f>
        <v/>
      </c>
      <c r="T603" t="str">
        <f>IF($AS603="","",Config!$B$17)</f>
        <v/>
      </c>
      <c r="U603" t="str">
        <f>IF($AS603="","",Config!$B$18)</f>
        <v/>
      </c>
      <c r="V603" t="str">
        <f>IF($AS603="","",Config!$B$19)</f>
        <v/>
      </c>
      <c r="W603" t="str">
        <f>IF($AS603="","",INDEX('TMP Paste'!$C$2:$C$1601,$AS603))</f>
        <v/>
      </c>
      <c r="X603" t="str">
        <f>IF($AS603="","",Config!$B$29)</f>
        <v/>
      </c>
      <c r="Y603" t="str">
        <f>IF($AT603="","",INDEX(Calc!$I$2:$I$1601,$AT603)&amp;" - "&amp;INDEX(Calc!$D$2:$D$1601,$AT603)&amp;" koli")</f>
        <v/>
      </c>
      <c r="Z603" t="str">
        <f>IF($AS603="","",Config!$B$21)</f>
        <v/>
      </c>
      <c r="AA603" t="str">
        <f>IF($AS603="","",Config!$B$22)</f>
        <v/>
      </c>
      <c r="AB603" t="str">
        <f>IF($AT603="","",INDEX(Calc!$D$2:$D$1601,$AT603))</f>
        <v/>
      </c>
      <c r="AC603" t="str">
        <f>IF($AT603="","",INDEX(Calc!$G$2:$G$1601,$AT603))</f>
        <v/>
      </c>
      <c r="AD603" t="str">
        <f>IF($AS603="","",Config!$B$23)</f>
        <v/>
      </c>
      <c r="AE603" t="str">
        <f>IF($AS603="","",Config!$B$28)</f>
        <v/>
      </c>
      <c r="AF603" t="str">
        <f t="shared" si="56"/>
        <v/>
      </c>
      <c r="AG603" t="str">
        <f t="shared" si="57"/>
        <v/>
      </c>
      <c r="AH603" t="str">
        <f t="shared" si="58"/>
        <v/>
      </c>
      <c r="AI603" t="str">
        <f>IF($AG603="","",SUMIF($AG$2:$AG603,$AG603,$AH$2:$AH603))</f>
        <v/>
      </c>
      <c r="AJ603" t="str">
        <f>IF('TMP Paste'!$F603="","",IF('TMP Paste'!$B603="",$AJ602,'TMP Paste'!$B603))</f>
        <v/>
      </c>
      <c r="AK603" t="str">
        <f>IF('TMP Paste'!$F603="","",N('TMP Paste'!$G603))</f>
        <v/>
      </c>
      <c r="AL603" t="str">
        <f>IF('TMP Paste'!$F603="","",IF('TMP Paste'!$M603="",$AL602,'TMP Paste'!$M603))</f>
        <v/>
      </c>
      <c r="AM603" t="str">
        <f>IF('TMP Paste'!$F603="","",IF('TMP Paste'!$N603="",$AM602,'TMP Paste'!$N603))</f>
        <v/>
      </c>
      <c r="AN603" t="str">
        <f>IF('TMP Paste'!$F603="","",IF('TMP Paste'!$O603="",$AN602,'TMP Paste'!$O603))</f>
        <v/>
      </c>
      <c r="AO603" t="str">
        <f>IF('TMP Paste'!$F603="","",IF('TMP Paste'!$P603="",$AO602,'TMP Paste'!$P603))</f>
        <v/>
      </c>
      <c r="AP603" t="str">
        <f t="shared" si="59"/>
        <v/>
      </c>
      <c r="AQ603" t="str">
        <f>IF($AS603="","",TRIM(IF(COUNTIFS(Calc!$B$2:$B$1601,ROW()-1,Calc!$C$2:$C$1601,"&lt;1")&gt;0,"Ada PO tanpa Koli - cek TMP. ","")&amp;IF(OR($AU603="",$AU603&lt;=0),"Volume kosong/0 - dimensi dikosongkan. ","")&amp;IF(AND($AU603&lt;&gt;"",$AU603&gt;=1000000),"Volume &gt;= 1.000.000 cm3 (di luar aturan) - dimensi dikosongkan. ","")&amp;IF(LEN($R603)&gt;500,"R &gt; 500 karakter.","")))</f>
        <v/>
      </c>
      <c r="AS603" t="str">
        <f>IFERROR(MATCH(ROW()-1,Calc!$J$2:$J$1601,0),"")</f>
        <v/>
      </c>
      <c r="AT603" t="str">
        <f>IFERROR(MATCH(ROW()-1,Calc!$K$2:$K$1601,0),"")</f>
        <v/>
      </c>
      <c r="AU603" t="str">
        <f>IF($AS603="","",IFERROR(INDEX('TMP Paste'!$D$2:$D$1601,$AS603)*1000000/$AB603,""))</f>
        <v/>
      </c>
    </row>
    <row r="604" spans="1:47">
      <c r="A604" t="str">
        <f>IF($AS604="","",INDEX('TMP Paste'!$B$2:$B$1601,$AS604))</f>
        <v/>
      </c>
      <c r="B604" t="str">
        <f>IF($AS604="","",Config!$B$14)</f>
        <v/>
      </c>
      <c r="C604" t="str">
        <f>IF($AS604="","",Config!$B$15)</f>
        <v/>
      </c>
      <c r="D604" t="str">
        <f>IF($AS604="","",INDEX('TMP Paste'!$B$2:$B$1601,$AS604))</f>
        <v/>
      </c>
      <c r="E604" t="str">
        <f>IF($AS604="","",Config!$B$27)</f>
        <v/>
      </c>
      <c r="F604" t="str">
        <f>IF($AS604="","",Config!$B$9)</f>
        <v/>
      </c>
      <c r="G604" t="str">
        <f>IF($AS604="","",Config!$B$10)</f>
        <v/>
      </c>
      <c r="H604" t="str">
        <f>IF($AS604="","",Config!$B$11)</f>
        <v/>
      </c>
      <c r="I604" t="str">
        <f>IF($AS604="","",Config!$B$16)</f>
        <v/>
      </c>
      <c r="J604" t="str">
        <f>IF($AS604="","",INDEX('TMP Paste'!$A$2:$A$1601,$AS604))</f>
        <v/>
      </c>
      <c r="K604" t="str">
        <f>IF($AS604="","",INDEX('TMP Paste'!$L$2:$L$1601,$AS604))</f>
        <v/>
      </c>
      <c r="L604" t="str">
        <f>IF($AS604="","",INDEX('TMP Paste'!$I$2:$I$1601,$AS604))</f>
        <v/>
      </c>
      <c r="M604" t="str">
        <f>IF($AS604="","",Config!$B$16)</f>
        <v/>
      </c>
      <c r="N604" t="str">
        <f t="shared" si="54"/>
        <v/>
      </c>
      <c r="O604" t="str">
        <f>IF($AS604="","",INDEX('TMP Paste'!$K$2:$K$1601,$AS604))</f>
        <v/>
      </c>
      <c r="P604" t="str">
        <f t="shared" si="55"/>
        <v/>
      </c>
      <c r="Q604" t="str">
        <f>IF($AS604="","",INDEX('TMP Paste'!$J$2:$J$1601,$AS604))</f>
        <v/>
      </c>
      <c r="R604" t="str">
        <f>IF($AS604="","",Config!$B$24)</f>
        <v/>
      </c>
      <c r="S604" t="str">
        <f ca="1">IF($AS604="","",TEXT(Config!$B$4,"yyyy-mm-dd"))</f>
        <v/>
      </c>
      <c r="T604" t="str">
        <f>IF($AS604="","",Config!$B$17)</f>
        <v/>
      </c>
      <c r="U604" t="str">
        <f>IF($AS604="","",Config!$B$18)</f>
        <v/>
      </c>
      <c r="V604" t="str">
        <f>IF($AS604="","",Config!$B$19)</f>
        <v/>
      </c>
      <c r="W604" t="str">
        <f>IF($AS604="","",INDEX('TMP Paste'!$C$2:$C$1601,$AS604))</f>
        <v/>
      </c>
      <c r="X604" t="str">
        <f>IF($AS604="","",Config!$B$29)</f>
        <v/>
      </c>
      <c r="Y604" t="str">
        <f>IF($AT604="","",INDEX(Calc!$I$2:$I$1601,$AT604)&amp;" - "&amp;INDEX(Calc!$D$2:$D$1601,$AT604)&amp;" koli")</f>
        <v/>
      </c>
      <c r="Z604" t="str">
        <f>IF($AS604="","",Config!$B$21)</f>
        <v/>
      </c>
      <c r="AA604" t="str">
        <f>IF($AS604="","",Config!$B$22)</f>
        <v/>
      </c>
      <c r="AB604" t="str">
        <f>IF($AT604="","",INDEX(Calc!$D$2:$D$1601,$AT604))</f>
        <v/>
      </c>
      <c r="AC604" t="str">
        <f>IF($AT604="","",INDEX(Calc!$G$2:$G$1601,$AT604))</f>
        <v/>
      </c>
      <c r="AD604" t="str">
        <f>IF($AS604="","",Config!$B$23)</f>
        <v/>
      </c>
      <c r="AE604" t="str">
        <f>IF($AS604="","",Config!$B$28)</f>
        <v/>
      </c>
      <c r="AF604" t="str">
        <f t="shared" si="56"/>
        <v/>
      </c>
      <c r="AG604" t="str">
        <f t="shared" si="57"/>
        <v/>
      </c>
      <c r="AH604" t="str">
        <f t="shared" si="58"/>
        <v/>
      </c>
      <c r="AI604" t="str">
        <f>IF($AG604="","",SUMIF($AG$2:$AG604,$AG604,$AH$2:$AH604))</f>
        <v/>
      </c>
      <c r="AJ604" t="str">
        <f>IF('TMP Paste'!$F604="","",IF('TMP Paste'!$B604="",$AJ603,'TMP Paste'!$B604))</f>
        <v/>
      </c>
      <c r="AK604" t="str">
        <f>IF('TMP Paste'!$F604="","",N('TMP Paste'!$G604))</f>
        <v/>
      </c>
      <c r="AL604" t="str">
        <f>IF('TMP Paste'!$F604="","",IF('TMP Paste'!$M604="",$AL603,'TMP Paste'!$M604))</f>
        <v/>
      </c>
      <c r="AM604" t="str">
        <f>IF('TMP Paste'!$F604="","",IF('TMP Paste'!$N604="",$AM603,'TMP Paste'!$N604))</f>
        <v/>
      </c>
      <c r="AN604" t="str">
        <f>IF('TMP Paste'!$F604="","",IF('TMP Paste'!$O604="",$AN603,'TMP Paste'!$O604))</f>
        <v/>
      </c>
      <c r="AO604" t="str">
        <f>IF('TMP Paste'!$F604="","",IF('TMP Paste'!$P604="",$AO603,'TMP Paste'!$P604))</f>
        <v/>
      </c>
      <c r="AP604" t="str">
        <f t="shared" si="59"/>
        <v/>
      </c>
      <c r="AQ604" t="str">
        <f>IF($AS604="","",TRIM(IF(COUNTIFS(Calc!$B$2:$B$1601,ROW()-1,Calc!$C$2:$C$1601,"&lt;1")&gt;0,"Ada PO tanpa Koli - cek TMP. ","")&amp;IF(OR($AU604="",$AU604&lt;=0),"Volume kosong/0 - dimensi dikosongkan. ","")&amp;IF(AND($AU604&lt;&gt;"",$AU604&gt;=1000000),"Volume &gt;= 1.000.000 cm3 (di luar aturan) - dimensi dikosongkan. ","")&amp;IF(LEN($R604)&gt;500,"R &gt; 500 karakter.","")))</f>
        <v/>
      </c>
      <c r="AS604" t="str">
        <f>IFERROR(MATCH(ROW()-1,Calc!$J$2:$J$1601,0),"")</f>
        <v/>
      </c>
      <c r="AT604" t="str">
        <f>IFERROR(MATCH(ROW()-1,Calc!$K$2:$K$1601,0),"")</f>
        <v/>
      </c>
      <c r="AU604" t="str">
        <f>IF($AS604="","",IFERROR(INDEX('TMP Paste'!$D$2:$D$1601,$AS604)*1000000/$AB604,""))</f>
        <v/>
      </c>
    </row>
    <row r="605" spans="1:47">
      <c r="A605" t="str">
        <f>IF($AS605="","",INDEX('TMP Paste'!$B$2:$B$1601,$AS605))</f>
        <v/>
      </c>
      <c r="B605" t="str">
        <f>IF($AS605="","",Config!$B$14)</f>
        <v/>
      </c>
      <c r="C605" t="str">
        <f>IF($AS605="","",Config!$B$15)</f>
        <v/>
      </c>
      <c r="D605" t="str">
        <f>IF($AS605="","",INDEX('TMP Paste'!$B$2:$B$1601,$AS605))</f>
        <v/>
      </c>
      <c r="E605" t="str">
        <f>IF($AS605="","",Config!$B$27)</f>
        <v/>
      </c>
      <c r="F605" t="str">
        <f>IF($AS605="","",Config!$B$9)</f>
        <v/>
      </c>
      <c r="G605" t="str">
        <f>IF($AS605="","",Config!$B$10)</f>
        <v/>
      </c>
      <c r="H605" t="str">
        <f>IF($AS605="","",Config!$B$11)</f>
        <v/>
      </c>
      <c r="I605" t="str">
        <f>IF($AS605="","",Config!$B$16)</f>
        <v/>
      </c>
      <c r="J605" t="str">
        <f>IF($AS605="","",INDEX('TMP Paste'!$A$2:$A$1601,$AS605))</f>
        <v/>
      </c>
      <c r="K605" t="str">
        <f>IF($AS605="","",INDEX('TMP Paste'!$L$2:$L$1601,$AS605))</f>
        <v/>
      </c>
      <c r="L605" t="str">
        <f>IF($AS605="","",INDEX('TMP Paste'!$I$2:$I$1601,$AS605))</f>
        <v/>
      </c>
      <c r="M605" t="str">
        <f>IF($AS605="","",Config!$B$16)</f>
        <v/>
      </c>
      <c r="N605" t="str">
        <f t="shared" si="54"/>
        <v/>
      </c>
      <c r="O605" t="str">
        <f>IF($AS605="","",INDEX('TMP Paste'!$K$2:$K$1601,$AS605))</f>
        <v/>
      </c>
      <c r="P605" t="str">
        <f t="shared" si="55"/>
        <v/>
      </c>
      <c r="Q605" t="str">
        <f>IF($AS605="","",INDEX('TMP Paste'!$J$2:$J$1601,$AS605))</f>
        <v/>
      </c>
      <c r="R605" t="str">
        <f>IF($AS605="","",Config!$B$24)</f>
        <v/>
      </c>
      <c r="S605" t="str">
        <f ca="1">IF($AS605="","",TEXT(Config!$B$4,"yyyy-mm-dd"))</f>
        <v/>
      </c>
      <c r="T605" t="str">
        <f>IF($AS605="","",Config!$B$17)</f>
        <v/>
      </c>
      <c r="U605" t="str">
        <f>IF($AS605="","",Config!$B$18)</f>
        <v/>
      </c>
      <c r="V605" t="str">
        <f>IF($AS605="","",Config!$B$19)</f>
        <v/>
      </c>
      <c r="W605" t="str">
        <f>IF($AS605="","",INDEX('TMP Paste'!$C$2:$C$1601,$AS605))</f>
        <v/>
      </c>
      <c r="X605" t="str">
        <f>IF($AS605="","",Config!$B$29)</f>
        <v/>
      </c>
      <c r="Y605" t="str">
        <f>IF($AT605="","",INDEX(Calc!$I$2:$I$1601,$AT605)&amp;" - "&amp;INDEX(Calc!$D$2:$D$1601,$AT605)&amp;" koli")</f>
        <v/>
      </c>
      <c r="Z605" t="str">
        <f>IF($AS605="","",Config!$B$21)</f>
        <v/>
      </c>
      <c r="AA605" t="str">
        <f>IF($AS605="","",Config!$B$22)</f>
        <v/>
      </c>
      <c r="AB605" t="str">
        <f>IF($AT605="","",INDEX(Calc!$D$2:$D$1601,$AT605))</f>
        <v/>
      </c>
      <c r="AC605" t="str">
        <f>IF($AT605="","",INDEX(Calc!$G$2:$G$1601,$AT605))</f>
        <v/>
      </c>
      <c r="AD605" t="str">
        <f>IF($AS605="","",Config!$B$23)</f>
        <v/>
      </c>
      <c r="AE605" t="str">
        <f>IF($AS605="","",Config!$B$28)</f>
        <v/>
      </c>
      <c r="AF605" t="str">
        <f t="shared" si="56"/>
        <v/>
      </c>
      <c r="AG605" t="str">
        <f t="shared" si="57"/>
        <v/>
      </c>
      <c r="AH605" t="str">
        <f t="shared" si="58"/>
        <v/>
      </c>
      <c r="AI605" t="str">
        <f>IF($AG605="","",SUMIF($AG$2:$AG605,$AG605,$AH$2:$AH605))</f>
        <v/>
      </c>
      <c r="AJ605" t="str">
        <f>IF('TMP Paste'!$F605="","",IF('TMP Paste'!$B605="",$AJ604,'TMP Paste'!$B605))</f>
        <v/>
      </c>
      <c r="AK605" t="str">
        <f>IF('TMP Paste'!$F605="","",N('TMP Paste'!$G605))</f>
        <v/>
      </c>
      <c r="AL605" t="str">
        <f>IF('TMP Paste'!$F605="","",IF('TMP Paste'!$M605="",$AL604,'TMP Paste'!$M605))</f>
        <v/>
      </c>
      <c r="AM605" t="str">
        <f>IF('TMP Paste'!$F605="","",IF('TMP Paste'!$N605="",$AM604,'TMP Paste'!$N605))</f>
        <v/>
      </c>
      <c r="AN605" t="str">
        <f>IF('TMP Paste'!$F605="","",IF('TMP Paste'!$O605="",$AN604,'TMP Paste'!$O605))</f>
        <v/>
      </c>
      <c r="AO605" t="str">
        <f>IF('TMP Paste'!$F605="","",IF('TMP Paste'!$P605="",$AO604,'TMP Paste'!$P605))</f>
        <v/>
      </c>
      <c r="AP605" t="str">
        <f t="shared" si="59"/>
        <v/>
      </c>
      <c r="AQ605" t="str">
        <f>IF($AS605="","",TRIM(IF(COUNTIFS(Calc!$B$2:$B$1601,ROW()-1,Calc!$C$2:$C$1601,"&lt;1")&gt;0,"Ada PO tanpa Koli - cek TMP. ","")&amp;IF(OR($AU605="",$AU605&lt;=0),"Volume kosong/0 - dimensi dikosongkan. ","")&amp;IF(AND($AU605&lt;&gt;"",$AU605&gt;=1000000),"Volume &gt;= 1.000.000 cm3 (di luar aturan) - dimensi dikosongkan. ","")&amp;IF(LEN($R605)&gt;500,"R &gt; 500 karakter.","")))</f>
        <v/>
      </c>
      <c r="AS605" t="str">
        <f>IFERROR(MATCH(ROW()-1,Calc!$J$2:$J$1601,0),"")</f>
        <v/>
      </c>
      <c r="AT605" t="str">
        <f>IFERROR(MATCH(ROW()-1,Calc!$K$2:$K$1601,0),"")</f>
        <v/>
      </c>
      <c r="AU605" t="str">
        <f>IF($AS605="","",IFERROR(INDEX('TMP Paste'!$D$2:$D$1601,$AS605)*1000000/$AB605,""))</f>
        <v/>
      </c>
    </row>
    <row r="606" spans="1:47">
      <c r="A606" t="str">
        <f>IF($AS606="","",INDEX('TMP Paste'!$B$2:$B$1601,$AS606))</f>
        <v/>
      </c>
      <c r="B606" t="str">
        <f>IF($AS606="","",Config!$B$14)</f>
        <v/>
      </c>
      <c r="C606" t="str">
        <f>IF($AS606="","",Config!$B$15)</f>
        <v/>
      </c>
      <c r="D606" t="str">
        <f>IF($AS606="","",INDEX('TMP Paste'!$B$2:$B$1601,$AS606))</f>
        <v/>
      </c>
      <c r="E606" t="str">
        <f>IF($AS606="","",Config!$B$27)</f>
        <v/>
      </c>
      <c r="F606" t="str">
        <f>IF($AS606="","",Config!$B$9)</f>
        <v/>
      </c>
      <c r="G606" t="str">
        <f>IF($AS606="","",Config!$B$10)</f>
        <v/>
      </c>
      <c r="H606" t="str">
        <f>IF($AS606="","",Config!$B$11)</f>
        <v/>
      </c>
      <c r="I606" t="str">
        <f>IF($AS606="","",Config!$B$16)</f>
        <v/>
      </c>
      <c r="J606" t="str">
        <f>IF($AS606="","",INDEX('TMP Paste'!$A$2:$A$1601,$AS606))</f>
        <v/>
      </c>
      <c r="K606" t="str">
        <f>IF($AS606="","",INDEX('TMP Paste'!$L$2:$L$1601,$AS606))</f>
        <v/>
      </c>
      <c r="L606" t="str">
        <f>IF($AS606="","",INDEX('TMP Paste'!$I$2:$I$1601,$AS606))</f>
        <v/>
      </c>
      <c r="M606" t="str">
        <f>IF($AS606="","",Config!$B$16)</f>
        <v/>
      </c>
      <c r="N606" t="str">
        <f t="shared" si="54"/>
        <v/>
      </c>
      <c r="O606" t="str">
        <f>IF($AS606="","",INDEX('TMP Paste'!$K$2:$K$1601,$AS606))</f>
        <v/>
      </c>
      <c r="P606" t="str">
        <f t="shared" si="55"/>
        <v/>
      </c>
      <c r="Q606" t="str">
        <f>IF($AS606="","",INDEX('TMP Paste'!$J$2:$J$1601,$AS606))</f>
        <v/>
      </c>
      <c r="R606" t="str">
        <f>IF($AS606="","",Config!$B$24)</f>
        <v/>
      </c>
      <c r="S606" t="str">
        <f ca="1">IF($AS606="","",TEXT(Config!$B$4,"yyyy-mm-dd"))</f>
        <v/>
      </c>
      <c r="T606" t="str">
        <f>IF($AS606="","",Config!$B$17)</f>
        <v/>
      </c>
      <c r="U606" t="str">
        <f>IF($AS606="","",Config!$B$18)</f>
        <v/>
      </c>
      <c r="V606" t="str">
        <f>IF($AS606="","",Config!$B$19)</f>
        <v/>
      </c>
      <c r="W606" t="str">
        <f>IF($AS606="","",INDEX('TMP Paste'!$C$2:$C$1601,$AS606))</f>
        <v/>
      </c>
      <c r="X606" t="str">
        <f>IF($AS606="","",Config!$B$29)</f>
        <v/>
      </c>
      <c r="Y606" t="str">
        <f>IF($AT606="","",INDEX(Calc!$I$2:$I$1601,$AT606)&amp;" - "&amp;INDEX(Calc!$D$2:$D$1601,$AT606)&amp;" koli")</f>
        <v/>
      </c>
      <c r="Z606" t="str">
        <f>IF($AS606="","",Config!$B$21)</f>
        <v/>
      </c>
      <c r="AA606" t="str">
        <f>IF($AS606="","",Config!$B$22)</f>
        <v/>
      </c>
      <c r="AB606" t="str">
        <f>IF($AT606="","",INDEX(Calc!$D$2:$D$1601,$AT606))</f>
        <v/>
      </c>
      <c r="AC606" t="str">
        <f>IF($AT606="","",INDEX(Calc!$G$2:$G$1601,$AT606))</f>
        <v/>
      </c>
      <c r="AD606" t="str">
        <f>IF($AS606="","",Config!$B$23)</f>
        <v/>
      </c>
      <c r="AE606" t="str">
        <f>IF($AS606="","",Config!$B$28)</f>
        <v/>
      </c>
      <c r="AF606" t="str">
        <f t="shared" si="56"/>
        <v/>
      </c>
      <c r="AG606" t="str">
        <f t="shared" si="57"/>
        <v/>
      </c>
      <c r="AH606" t="str">
        <f t="shared" si="58"/>
        <v/>
      </c>
      <c r="AI606" t="str">
        <f>IF($AG606="","",SUMIF($AG$2:$AG606,$AG606,$AH$2:$AH606))</f>
        <v/>
      </c>
      <c r="AJ606" t="str">
        <f>IF('TMP Paste'!$F606="","",IF('TMP Paste'!$B606="",$AJ605,'TMP Paste'!$B606))</f>
        <v/>
      </c>
      <c r="AK606" t="str">
        <f>IF('TMP Paste'!$F606="","",N('TMP Paste'!$G606))</f>
        <v/>
      </c>
      <c r="AL606" t="str">
        <f>IF('TMP Paste'!$F606="","",IF('TMP Paste'!$M606="",$AL605,'TMP Paste'!$M606))</f>
        <v/>
      </c>
      <c r="AM606" t="str">
        <f>IF('TMP Paste'!$F606="","",IF('TMP Paste'!$N606="",$AM605,'TMP Paste'!$N606))</f>
        <v/>
      </c>
      <c r="AN606" t="str">
        <f>IF('TMP Paste'!$F606="","",IF('TMP Paste'!$O606="",$AN605,'TMP Paste'!$O606))</f>
        <v/>
      </c>
      <c r="AO606" t="str">
        <f>IF('TMP Paste'!$F606="","",IF('TMP Paste'!$P606="",$AO605,'TMP Paste'!$P606))</f>
        <v/>
      </c>
      <c r="AP606" t="str">
        <f t="shared" si="59"/>
        <v/>
      </c>
      <c r="AQ606" t="str">
        <f>IF($AS606="","",TRIM(IF(COUNTIFS(Calc!$B$2:$B$1601,ROW()-1,Calc!$C$2:$C$1601,"&lt;1")&gt;0,"Ada PO tanpa Koli - cek TMP. ","")&amp;IF(OR($AU606="",$AU606&lt;=0),"Volume kosong/0 - dimensi dikosongkan. ","")&amp;IF(AND($AU606&lt;&gt;"",$AU606&gt;=1000000),"Volume &gt;= 1.000.000 cm3 (di luar aturan) - dimensi dikosongkan. ","")&amp;IF(LEN($R606)&gt;500,"R &gt; 500 karakter.","")))</f>
        <v/>
      </c>
      <c r="AS606" t="str">
        <f>IFERROR(MATCH(ROW()-1,Calc!$J$2:$J$1601,0),"")</f>
        <v/>
      </c>
      <c r="AT606" t="str">
        <f>IFERROR(MATCH(ROW()-1,Calc!$K$2:$K$1601,0),"")</f>
        <v/>
      </c>
      <c r="AU606" t="str">
        <f>IF($AS606="","",IFERROR(INDEX('TMP Paste'!$D$2:$D$1601,$AS606)*1000000/$AB606,""))</f>
        <v/>
      </c>
    </row>
    <row r="607" spans="1:47">
      <c r="A607" t="str">
        <f>IF($AS607="","",INDEX('TMP Paste'!$B$2:$B$1601,$AS607))</f>
        <v/>
      </c>
      <c r="B607" t="str">
        <f>IF($AS607="","",Config!$B$14)</f>
        <v/>
      </c>
      <c r="C607" t="str">
        <f>IF($AS607="","",Config!$B$15)</f>
        <v/>
      </c>
      <c r="D607" t="str">
        <f>IF($AS607="","",INDEX('TMP Paste'!$B$2:$B$1601,$AS607))</f>
        <v/>
      </c>
      <c r="E607" t="str">
        <f>IF($AS607="","",Config!$B$27)</f>
        <v/>
      </c>
      <c r="F607" t="str">
        <f>IF($AS607="","",Config!$B$9)</f>
        <v/>
      </c>
      <c r="G607" t="str">
        <f>IF($AS607="","",Config!$B$10)</f>
        <v/>
      </c>
      <c r="H607" t="str">
        <f>IF($AS607="","",Config!$B$11)</f>
        <v/>
      </c>
      <c r="I607" t="str">
        <f>IF($AS607="","",Config!$B$16)</f>
        <v/>
      </c>
      <c r="J607" t="str">
        <f>IF($AS607="","",INDEX('TMP Paste'!$A$2:$A$1601,$AS607))</f>
        <v/>
      </c>
      <c r="K607" t="str">
        <f>IF($AS607="","",INDEX('TMP Paste'!$L$2:$L$1601,$AS607))</f>
        <v/>
      </c>
      <c r="L607" t="str">
        <f>IF($AS607="","",INDEX('TMP Paste'!$I$2:$I$1601,$AS607))</f>
        <v/>
      </c>
      <c r="M607" t="str">
        <f>IF($AS607="","",Config!$B$16)</f>
        <v/>
      </c>
      <c r="N607" t="str">
        <f t="shared" si="54"/>
        <v/>
      </c>
      <c r="O607" t="str">
        <f>IF($AS607="","",INDEX('TMP Paste'!$K$2:$K$1601,$AS607))</f>
        <v/>
      </c>
      <c r="P607" t="str">
        <f t="shared" si="55"/>
        <v/>
      </c>
      <c r="Q607" t="str">
        <f>IF($AS607="","",INDEX('TMP Paste'!$J$2:$J$1601,$AS607))</f>
        <v/>
      </c>
      <c r="R607" t="str">
        <f>IF($AS607="","",Config!$B$24)</f>
        <v/>
      </c>
      <c r="S607" t="str">
        <f ca="1">IF($AS607="","",TEXT(Config!$B$4,"yyyy-mm-dd"))</f>
        <v/>
      </c>
      <c r="T607" t="str">
        <f>IF($AS607="","",Config!$B$17)</f>
        <v/>
      </c>
      <c r="U607" t="str">
        <f>IF($AS607="","",Config!$B$18)</f>
        <v/>
      </c>
      <c r="V607" t="str">
        <f>IF($AS607="","",Config!$B$19)</f>
        <v/>
      </c>
      <c r="W607" t="str">
        <f>IF($AS607="","",INDEX('TMP Paste'!$C$2:$C$1601,$AS607))</f>
        <v/>
      </c>
      <c r="X607" t="str">
        <f>IF($AS607="","",Config!$B$29)</f>
        <v/>
      </c>
      <c r="Y607" t="str">
        <f>IF($AT607="","",INDEX(Calc!$I$2:$I$1601,$AT607)&amp;" - "&amp;INDEX(Calc!$D$2:$D$1601,$AT607)&amp;" koli")</f>
        <v/>
      </c>
      <c r="Z607" t="str">
        <f>IF($AS607="","",Config!$B$21)</f>
        <v/>
      </c>
      <c r="AA607" t="str">
        <f>IF($AS607="","",Config!$B$22)</f>
        <v/>
      </c>
      <c r="AB607" t="str">
        <f>IF($AT607="","",INDEX(Calc!$D$2:$D$1601,$AT607))</f>
        <v/>
      </c>
      <c r="AC607" t="str">
        <f>IF($AT607="","",INDEX(Calc!$G$2:$G$1601,$AT607))</f>
        <v/>
      </c>
      <c r="AD607" t="str">
        <f>IF($AS607="","",Config!$B$23)</f>
        <v/>
      </c>
      <c r="AE607" t="str">
        <f>IF($AS607="","",Config!$B$28)</f>
        <v/>
      </c>
      <c r="AF607" t="str">
        <f t="shared" si="56"/>
        <v/>
      </c>
      <c r="AG607" t="str">
        <f t="shared" si="57"/>
        <v/>
      </c>
      <c r="AH607" t="str">
        <f t="shared" si="58"/>
        <v/>
      </c>
      <c r="AI607" t="str">
        <f>IF($AG607="","",SUMIF($AG$2:$AG607,$AG607,$AH$2:$AH607))</f>
        <v/>
      </c>
      <c r="AJ607" t="str">
        <f>IF('TMP Paste'!$F607="","",IF('TMP Paste'!$B607="",$AJ606,'TMP Paste'!$B607))</f>
        <v/>
      </c>
      <c r="AK607" t="str">
        <f>IF('TMP Paste'!$F607="","",N('TMP Paste'!$G607))</f>
        <v/>
      </c>
      <c r="AL607" t="str">
        <f>IF('TMP Paste'!$F607="","",IF('TMP Paste'!$M607="",$AL606,'TMP Paste'!$M607))</f>
        <v/>
      </c>
      <c r="AM607" t="str">
        <f>IF('TMP Paste'!$F607="","",IF('TMP Paste'!$N607="",$AM606,'TMP Paste'!$N607))</f>
        <v/>
      </c>
      <c r="AN607" t="str">
        <f>IF('TMP Paste'!$F607="","",IF('TMP Paste'!$O607="",$AN606,'TMP Paste'!$O607))</f>
        <v/>
      </c>
      <c r="AO607" t="str">
        <f>IF('TMP Paste'!$F607="","",IF('TMP Paste'!$P607="",$AO606,'TMP Paste'!$P607))</f>
        <v/>
      </c>
      <c r="AP607" t="str">
        <f t="shared" si="59"/>
        <v/>
      </c>
      <c r="AQ607" t="str">
        <f>IF($AS607="","",TRIM(IF(COUNTIFS(Calc!$B$2:$B$1601,ROW()-1,Calc!$C$2:$C$1601,"&lt;1")&gt;0,"Ada PO tanpa Koli - cek TMP. ","")&amp;IF(OR($AU607="",$AU607&lt;=0),"Volume kosong/0 - dimensi dikosongkan. ","")&amp;IF(AND($AU607&lt;&gt;"",$AU607&gt;=1000000),"Volume &gt;= 1.000.000 cm3 (di luar aturan) - dimensi dikosongkan. ","")&amp;IF(LEN($R607)&gt;500,"R &gt; 500 karakter.","")))</f>
        <v/>
      </c>
      <c r="AS607" t="str">
        <f>IFERROR(MATCH(ROW()-1,Calc!$J$2:$J$1601,0),"")</f>
        <v/>
      </c>
      <c r="AT607" t="str">
        <f>IFERROR(MATCH(ROW()-1,Calc!$K$2:$K$1601,0),"")</f>
        <v/>
      </c>
      <c r="AU607" t="str">
        <f>IF($AS607="","",IFERROR(INDEX('TMP Paste'!$D$2:$D$1601,$AS607)*1000000/$AB607,""))</f>
        <v/>
      </c>
    </row>
    <row r="608" spans="1:47">
      <c r="A608" t="str">
        <f>IF($AS608="","",INDEX('TMP Paste'!$B$2:$B$1601,$AS608))</f>
        <v/>
      </c>
      <c r="B608" t="str">
        <f>IF($AS608="","",Config!$B$14)</f>
        <v/>
      </c>
      <c r="C608" t="str">
        <f>IF($AS608="","",Config!$B$15)</f>
        <v/>
      </c>
      <c r="D608" t="str">
        <f>IF($AS608="","",INDEX('TMP Paste'!$B$2:$B$1601,$AS608))</f>
        <v/>
      </c>
      <c r="E608" t="str">
        <f>IF($AS608="","",Config!$B$27)</f>
        <v/>
      </c>
      <c r="F608" t="str">
        <f>IF($AS608="","",Config!$B$9)</f>
        <v/>
      </c>
      <c r="G608" t="str">
        <f>IF($AS608="","",Config!$B$10)</f>
        <v/>
      </c>
      <c r="H608" t="str">
        <f>IF($AS608="","",Config!$B$11)</f>
        <v/>
      </c>
      <c r="I608" t="str">
        <f>IF($AS608="","",Config!$B$16)</f>
        <v/>
      </c>
      <c r="J608" t="str">
        <f>IF($AS608="","",INDEX('TMP Paste'!$A$2:$A$1601,$AS608))</f>
        <v/>
      </c>
      <c r="K608" t="str">
        <f>IF($AS608="","",INDEX('TMP Paste'!$L$2:$L$1601,$AS608))</f>
        <v/>
      </c>
      <c r="L608" t="str">
        <f>IF($AS608="","",INDEX('TMP Paste'!$I$2:$I$1601,$AS608))</f>
        <v/>
      </c>
      <c r="M608" t="str">
        <f>IF($AS608="","",Config!$B$16)</f>
        <v/>
      </c>
      <c r="N608" t="str">
        <f t="shared" si="54"/>
        <v/>
      </c>
      <c r="O608" t="str">
        <f>IF($AS608="","",INDEX('TMP Paste'!$K$2:$K$1601,$AS608))</f>
        <v/>
      </c>
      <c r="P608" t="str">
        <f t="shared" si="55"/>
        <v/>
      </c>
      <c r="Q608" t="str">
        <f>IF($AS608="","",INDEX('TMP Paste'!$J$2:$J$1601,$AS608))</f>
        <v/>
      </c>
      <c r="R608" t="str">
        <f>IF($AS608="","",Config!$B$24)</f>
        <v/>
      </c>
      <c r="S608" t="str">
        <f ca="1">IF($AS608="","",TEXT(Config!$B$4,"yyyy-mm-dd"))</f>
        <v/>
      </c>
      <c r="T608" t="str">
        <f>IF($AS608="","",Config!$B$17)</f>
        <v/>
      </c>
      <c r="U608" t="str">
        <f>IF($AS608="","",Config!$B$18)</f>
        <v/>
      </c>
      <c r="V608" t="str">
        <f>IF($AS608="","",Config!$B$19)</f>
        <v/>
      </c>
      <c r="W608" t="str">
        <f>IF($AS608="","",INDEX('TMP Paste'!$C$2:$C$1601,$AS608))</f>
        <v/>
      </c>
      <c r="X608" t="str">
        <f>IF($AS608="","",Config!$B$29)</f>
        <v/>
      </c>
      <c r="Y608" t="str">
        <f>IF($AT608="","",INDEX(Calc!$I$2:$I$1601,$AT608)&amp;" - "&amp;INDEX(Calc!$D$2:$D$1601,$AT608)&amp;" koli")</f>
        <v/>
      </c>
      <c r="Z608" t="str">
        <f>IF($AS608="","",Config!$B$21)</f>
        <v/>
      </c>
      <c r="AA608" t="str">
        <f>IF($AS608="","",Config!$B$22)</f>
        <v/>
      </c>
      <c r="AB608" t="str">
        <f>IF($AT608="","",INDEX(Calc!$D$2:$D$1601,$AT608))</f>
        <v/>
      </c>
      <c r="AC608" t="str">
        <f>IF($AT608="","",INDEX(Calc!$G$2:$G$1601,$AT608))</f>
        <v/>
      </c>
      <c r="AD608" t="str">
        <f>IF($AS608="","",Config!$B$23)</f>
        <v/>
      </c>
      <c r="AE608" t="str">
        <f>IF($AS608="","",Config!$B$28)</f>
        <v/>
      </c>
      <c r="AF608" t="str">
        <f t="shared" si="56"/>
        <v/>
      </c>
      <c r="AG608" t="str">
        <f t="shared" si="57"/>
        <v/>
      </c>
      <c r="AH608" t="str">
        <f t="shared" si="58"/>
        <v/>
      </c>
      <c r="AI608" t="str">
        <f>IF($AG608="","",SUMIF($AG$2:$AG608,$AG608,$AH$2:$AH608))</f>
        <v/>
      </c>
      <c r="AJ608" t="str">
        <f>IF('TMP Paste'!$F608="","",IF('TMP Paste'!$B608="",$AJ607,'TMP Paste'!$B608))</f>
        <v/>
      </c>
      <c r="AK608" t="str">
        <f>IF('TMP Paste'!$F608="","",N('TMP Paste'!$G608))</f>
        <v/>
      </c>
      <c r="AL608" t="str">
        <f>IF('TMP Paste'!$F608="","",IF('TMP Paste'!$M608="",$AL607,'TMP Paste'!$M608))</f>
        <v/>
      </c>
      <c r="AM608" t="str">
        <f>IF('TMP Paste'!$F608="","",IF('TMP Paste'!$N608="",$AM607,'TMP Paste'!$N608))</f>
        <v/>
      </c>
      <c r="AN608" t="str">
        <f>IF('TMP Paste'!$F608="","",IF('TMP Paste'!$O608="",$AN607,'TMP Paste'!$O608))</f>
        <v/>
      </c>
      <c r="AO608" t="str">
        <f>IF('TMP Paste'!$F608="","",IF('TMP Paste'!$P608="",$AO607,'TMP Paste'!$P608))</f>
        <v/>
      </c>
      <c r="AP608" t="str">
        <f t="shared" si="59"/>
        <v/>
      </c>
      <c r="AQ608" t="str">
        <f>IF($AS608="","",TRIM(IF(COUNTIFS(Calc!$B$2:$B$1601,ROW()-1,Calc!$C$2:$C$1601,"&lt;1")&gt;0,"Ada PO tanpa Koli - cek TMP. ","")&amp;IF(OR($AU608="",$AU608&lt;=0),"Volume kosong/0 - dimensi dikosongkan. ","")&amp;IF(AND($AU608&lt;&gt;"",$AU608&gt;=1000000),"Volume &gt;= 1.000.000 cm3 (di luar aturan) - dimensi dikosongkan. ","")&amp;IF(LEN($R608)&gt;500,"R &gt; 500 karakter.","")))</f>
        <v/>
      </c>
      <c r="AS608" t="str">
        <f>IFERROR(MATCH(ROW()-1,Calc!$J$2:$J$1601,0),"")</f>
        <v/>
      </c>
      <c r="AT608" t="str">
        <f>IFERROR(MATCH(ROW()-1,Calc!$K$2:$K$1601,0),"")</f>
        <v/>
      </c>
      <c r="AU608" t="str">
        <f>IF($AS608="","",IFERROR(INDEX('TMP Paste'!$D$2:$D$1601,$AS608)*1000000/$AB608,""))</f>
        <v/>
      </c>
    </row>
    <row r="609" spans="1:47">
      <c r="A609" t="str">
        <f>IF($AS609="","",INDEX('TMP Paste'!$B$2:$B$1601,$AS609))</f>
        <v/>
      </c>
      <c r="B609" t="str">
        <f>IF($AS609="","",Config!$B$14)</f>
        <v/>
      </c>
      <c r="C609" t="str">
        <f>IF($AS609="","",Config!$B$15)</f>
        <v/>
      </c>
      <c r="D609" t="str">
        <f>IF($AS609="","",INDEX('TMP Paste'!$B$2:$B$1601,$AS609))</f>
        <v/>
      </c>
      <c r="E609" t="str">
        <f>IF($AS609="","",Config!$B$27)</f>
        <v/>
      </c>
      <c r="F609" t="str">
        <f>IF($AS609="","",Config!$B$9)</f>
        <v/>
      </c>
      <c r="G609" t="str">
        <f>IF($AS609="","",Config!$B$10)</f>
        <v/>
      </c>
      <c r="H609" t="str">
        <f>IF($AS609="","",Config!$B$11)</f>
        <v/>
      </c>
      <c r="I609" t="str">
        <f>IF($AS609="","",Config!$B$16)</f>
        <v/>
      </c>
      <c r="J609" t="str">
        <f>IF($AS609="","",INDEX('TMP Paste'!$A$2:$A$1601,$AS609))</f>
        <v/>
      </c>
      <c r="K609" t="str">
        <f>IF($AS609="","",INDEX('TMP Paste'!$L$2:$L$1601,$AS609))</f>
        <v/>
      </c>
      <c r="L609" t="str">
        <f>IF($AS609="","",INDEX('TMP Paste'!$I$2:$I$1601,$AS609))</f>
        <v/>
      </c>
      <c r="M609" t="str">
        <f>IF($AS609="","",Config!$B$16)</f>
        <v/>
      </c>
      <c r="N609" t="str">
        <f t="shared" si="54"/>
        <v/>
      </c>
      <c r="O609" t="str">
        <f>IF($AS609="","",INDEX('TMP Paste'!$K$2:$K$1601,$AS609))</f>
        <v/>
      </c>
      <c r="P609" t="str">
        <f t="shared" si="55"/>
        <v/>
      </c>
      <c r="Q609" t="str">
        <f>IF($AS609="","",INDEX('TMP Paste'!$J$2:$J$1601,$AS609))</f>
        <v/>
      </c>
      <c r="R609" t="str">
        <f>IF($AS609="","",Config!$B$24)</f>
        <v/>
      </c>
      <c r="S609" t="str">
        <f ca="1">IF($AS609="","",TEXT(Config!$B$4,"yyyy-mm-dd"))</f>
        <v/>
      </c>
      <c r="T609" t="str">
        <f>IF($AS609="","",Config!$B$17)</f>
        <v/>
      </c>
      <c r="U609" t="str">
        <f>IF($AS609="","",Config!$B$18)</f>
        <v/>
      </c>
      <c r="V609" t="str">
        <f>IF($AS609="","",Config!$B$19)</f>
        <v/>
      </c>
      <c r="W609" t="str">
        <f>IF($AS609="","",INDEX('TMP Paste'!$C$2:$C$1601,$AS609))</f>
        <v/>
      </c>
      <c r="X609" t="str">
        <f>IF($AS609="","",Config!$B$29)</f>
        <v/>
      </c>
      <c r="Y609" t="str">
        <f>IF($AT609="","",INDEX(Calc!$I$2:$I$1601,$AT609)&amp;" - "&amp;INDEX(Calc!$D$2:$D$1601,$AT609)&amp;" koli")</f>
        <v/>
      </c>
      <c r="Z609" t="str">
        <f>IF($AS609="","",Config!$B$21)</f>
        <v/>
      </c>
      <c r="AA609" t="str">
        <f>IF($AS609="","",Config!$B$22)</f>
        <v/>
      </c>
      <c r="AB609" t="str">
        <f>IF($AT609="","",INDEX(Calc!$D$2:$D$1601,$AT609))</f>
        <v/>
      </c>
      <c r="AC609" t="str">
        <f>IF($AT609="","",INDEX(Calc!$G$2:$G$1601,$AT609))</f>
        <v/>
      </c>
      <c r="AD609" t="str">
        <f>IF($AS609="","",Config!$B$23)</f>
        <v/>
      </c>
      <c r="AE609" t="str">
        <f>IF($AS609="","",Config!$B$28)</f>
        <v/>
      </c>
      <c r="AF609" t="str">
        <f t="shared" si="56"/>
        <v/>
      </c>
      <c r="AG609" t="str">
        <f t="shared" si="57"/>
        <v/>
      </c>
      <c r="AH609" t="str">
        <f t="shared" si="58"/>
        <v/>
      </c>
      <c r="AI609" t="str">
        <f>IF($AG609="","",SUMIF($AG$2:$AG609,$AG609,$AH$2:$AH609))</f>
        <v/>
      </c>
      <c r="AJ609" t="str">
        <f>IF('TMP Paste'!$F609="","",IF('TMP Paste'!$B609="",$AJ608,'TMP Paste'!$B609))</f>
        <v/>
      </c>
      <c r="AK609" t="str">
        <f>IF('TMP Paste'!$F609="","",N('TMP Paste'!$G609))</f>
        <v/>
      </c>
      <c r="AL609" t="str">
        <f>IF('TMP Paste'!$F609="","",IF('TMP Paste'!$M609="",$AL608,'TMP Paste'!$M609))</f>
        <v/>
      </c>
      <c r="AM609" t="str">
        <f>IF('TMP Paste'!$F609="","",IF('TMP Paste'!$N609="",$AM608,'TMP Paste'!$N609))</f>
        <v/>
      </c>
      <c r="AN609" t="str">
        <f>IF('TMP Paste'!$F609="","",IF('TMP Paste'!$O609="",$AN608,'TMP Paste'!$O609))</f>
        <v/>
      </c>
      <c r="AO609" t="str">
        <f>IF('TMP Paste'!$F609="","",IF('TMP Paste'!$P609="",$AO608,'TMP Paste'!$P609))</f>
        <v/>
      </c>
      <c r="AP609" t="str">
        <f t="shared" si="59"/>
        <v/>
      </c>
      <c r="AQ609" t="str">
        <f>IF($AS609="","",TRIM(IF(COUNTIFS(Calc!$B$2:$B$1601,ROW()-1,Calc!$C$2:$C$1601,"&lt;1")&gt;0,"Ada PO tanpa Koli - cek TMP. ","")&amp;IF(OR($AU609="",$AU609&lt;=0),"Volume kosong/0 - dimensi dikosongkan. ","")&amp;IF(AND($AU609&lt;&gt;"",$AU609&gt;=1000000),"Volume &gt;= 1.000.000 cm3 (di luar aturan) - dimensi dikosongkan. ","")&amp;IF(LEN($R609)&gt;500,"R &gt; 500 karakter.","")))</f>
        <v/>
      </c>
      <c r="AS609" t="str">
        <f>IFERROR(MATCH(ROW()-1,Calc!$J$2:$J$1601,0),"")</f>
        <v/>
      </c>
      <c r="AT609" t="str">
        <f>IFERROR(MATCH(ROW()-1,Calc!$K$2:$K$1601,0),"")</f>
        <v/>
      </c>
      <c r="AU609" t="str">
        <f>IF($AS609="","",IFERROR(INDEX('TMP Paste'!$D$2:$D$1601,$AS609)*1000000/$AB609,""))</f>
        <v/>
      </c>
    </row>
    <row r="610" spans="1:47">
      <c r="A610" t="str">
        <f>IF($AS610="","",INDEX('TMP Paste'!$B$2:$B$1601,$AS610))</f>
        <v/>
      </c>
      <c r="B610" t="str">
        <f>IF($AS610="","",Config!$B$14)</f>
        <v/>
      </c>
      <c r="C610" t="str">
        <f>IF($AS610="","",Config!$B$15)</f>
        <v/>
      </c>
      <c r="D610" t="str">
        <f>IF($AS610="","",INDEX('TMP Paste'!$B$2:$B$1601,$AS610))</f>
        <v/>
      </c>
      <c r="E610" t="str">
        <f>IF($AS610="","",Config!$B$27)</f>
        <v/>
      </c>
      <c r="F610" t="str">
        <f>IF($AS610="","",Config!$B$9)</f>
        <v/>
      </c>
      <c r="G610" t="str">
        <f>IF($AS610="","",Config!$B$10)</f>
        <v/>
      </c>
      <c r="H610" t="str">
        <f>IF($AS610="","",Config!$B$11)</f>
        <v/>
      </c>
      <c r="I610" t="str">
        <f>IF($AS610="","",Config!$B$16)</f>
        <v/>
      </c>
      <c r="J610" t="str">
        <f>IF($AS610="","",INDEX('TMP Paste'!$A$2:$A$1601,$AS610))</f>
        <v/>
      </c>
      <c r="K610" t="str">
        <f>IF($AS610="","",INDEX('TMP Paste'!$L$2:$L$1601,$AS610))</f>
        <v/>
      </c>
      <c r="L610" t="str">
        <f>IF($AS610="","",INDEX('TMP Paste'!$I$2:$I$1601,$AS610))</f>
        <v/>
      </c>
      <c r="M610" t="str">
        <f>IF($AS610="","",Config!$B$16)</f>
        <v/>
      </c>
      <c r="N610" t="str">
        <f t="shared" si="54"/>
        <v/>
      </c>
      <c r="O610" t="str">
        <f>IF($AS610="","",INDEX('TMP Paste'!$K$2:$K$1601,$AS610))</f>
        <v/>
      </c>
      <c r="P610" t="str">
        <f t="shared" si="55"/>
        <v/>
      </c>
      <c r="Q610" t="str">
        <f>IF($AS610="","",INDEX('TMP Paste'!$J$2:$J$1601,$AS610))</f>
        <v/>
      </c>
      <c r="R610" t="str">
        <f>IF($AS610="","",Config!$B$24)</f>
        <v/>
      </c>
      <c r="S610" t="str">
        <f ca="1">IF($AS610="","",TEXT(Config!$B$4,"yyyy-mm-dd"))</f>
        <v/>
      </c>
      <c r="T610" t="str">
        <f>IF($AS610="","",Config!$B$17)</f>
        <v/>
      </c>
      <c r="U610" t="str">
        <f>IF($AS610="","",Config!$B$18)</f>
        <v/>
      </c>
      <c r="V610" t="str">
        <f>IF($AS610="","",Config!$B$19)</f>
        <v/>
      </c>
      <c r="W610" t="str">
        <f>IF($AS610="","",INDEX('TMP Paste'!$C$2:$C$1601,$AS610))</f>
        <v/>
      </c>
      <c r="X610" t="str">
        <f>IF($AS610="","",Config!$B$29)</f>
        <v/>
      </c>
      <c r="Y610" t="str">
        <f>IF($AT610="","",INDEX(Calc!$I$2:$I$1601,$AT610)&amp;" - "&amp;INDEX(Calc!$D$2:$D$1601,$AT610)&amp;" koli")</f>
        <v/>
      </c>
      <c r="Z610" t="str">
        <f>IF($AS610="","",Config!$B$21)</f>
        <v/>
      </c>
      <c r="AA610" t="str">
        <f>IF($AS610="","",Config!$B$22)</f>
        <v/>
      </c>
      <c r="AB610" t="str">
        <f>IF($AT610="","",INDEX(Calc!$D$2:$D$1601,$AT610))</f>
        <v/>
      </c>
      <c r="AC610" t="str">
        <f>IF($AT610="","",INDEX(Calc!$G$2:$G$1601,$AT610))</f>
        <v/>
      </c>
      <c r="AD610" t="str">
        <f>IF($AS610="","",Config!$B$23)</f>
        <v/>
      </c>
      <c r="AE610" t="str">
        <f>IF($AS610="","",Config!$B$28)</f>
        <v/>
      </c>
      <c r="AF610" t="str">
        <f t="shared" si="56"/>
        <v/>
      </c>
      <c r="AG610" t="str">
        <f t="shared" si="57"/>
        <v/>
      </c>
      <c r="AH610" t="str">
        <f t="shared" si="58"/>
        <v/>
      </c>
      <c r="AI610" t="str">
        <f>IF($AG610="","",SUMIF($AG$2:$AG610,$AG610,$AH$2:$AH610))</f>
        <v/>
      </c>
      <c r="AJ610" t="str">
        <f>IF('TMP Paste'!$F610="","",IF('TMP Paste'!$B610="",$AJ609,'TMP Paste'!$B610))</f>
        <v/>
      </c>
      <c r="AK610" t="str">
        <f>IF('TMP Paste'!$F610="","",N('TMP Paste'!$G610))</f>
        <v/>
      </c>
      <c r="AL610" t="str">
        <f>IF('TMP Paste'!$F610="","",IF('TMP Paste'!$M610="",$AL609,'TMP Paste'!$M610))</f>
        <v/>
      </c>
      <c r="AM610" t="str">
        <f>IF('TMP Paste'!$F610="","",IF('TMP Paste'!$N610="",$AM609,'TMP Paste'!$N610))</f>
        <v/>
      </c>
      <c r="AN610" t="str">
        <f>IF('TMP Paste'!$F610="","",IF('TMP Paste'!$O610="",$AN609,'TMP Paste'!$O610))</f>
        <v/>
      </c>
      <c r="AO610" t="str">
        <f>IF('TMP Paste'!$F610="","",IF('TMP Paste'!$P610="",$AO609,'TMP Paste'!$P610))</f>
        <v/>
      </c>
      <c r="AP610" t="str">
        <f t="shared" si="59"/>
        <v/>
      </c>
      <c r="AQ610" t="str">
        <f>IF($AS610="","",TRIM(IF(COUNTIFS(Calc!$B$2:$B$1601,ROW()-1,Calc!$C$2:$C$1601,"&lt;1")&gt;0,"Ada PO tanpa Koli - cek TMP. ","")&amp;IF(OR($AU610="",$AU610&lt;=0),"Volume kosong/0 - dimensi dikosongkan. ","")&amp;IF(AND($AU610&lt;&gt;"",$AU610&gt;=1000000),"Volume &gt;= 1.000.000 cm3 (di luar aturan) - dimensi dikosongkan. ","")&amp;IF(LEN($R610)&gt;500,"R &gt; 500 karakter.","")))</f>
        <v/>
      </c>
      <c r="AS610" t="str">
        <f>IFERROR(MATCH(ROW()-1,Calc!$J$2:$J$1601,0),"")</f>
        <v/>
      </c>
      <c r="AT610" t="str">
        <f>IFERROR(MATCH(ROW()-1,Calc!$K$2:$K$1601,0),"")</f>
        <v/>
      </c>
      <c r="AU610" t="str">
        <f>IF($AS610="","",IFERROR(INDEX('TMP Paste'!$D$2:$D$1601,$AS610)*1000000/$AB610,""))</f>
        <v/>
      </c>
    </row>
    <row r="611" spans="1:47">
      <c r="A611" t="str">
        <f>IF($AS611="","",INDEX('TMP Paste'!$B$2:$B$1601,$AS611))</f>
        <v/>
      </c>
      <c r="B611" t="str">
        <f>IF($AS611="","",Config!$B$14)</f>
        <v/>
      </c>
      <c r="C611" t="str">
        <f>IF($AS611="","",Config!$B$15)</f>
        <v/>
      </c>
      <c r="D611" t="str">
        <f>IF($AS611="","",INDEX('TMP Paste'!$B$2:$B$1601,$AS611))</f>
        <v/>
      </c>
      <c r="E611" t="str">
        <f>IF($AS611="","",Config!$B$27)</f>
        <v/>
      </c>
      <c r="F611" t="str">
        <f>IF($AS611="","",Config!$B$9)</f>
        <v/>
      </c>
      <c r="G611" t="str">
        <f>IF($AS611="","",Config!$B$10)</f>
        <v/>
      </c>
      <c r="H611" t="str">
        <f>IF($AS611="","",Config!$B$11)</f>
        <v/>
      </c>
      <c r="I611" t="str">
        <f>IF($AS611="","",Config!$B$16)</f>
        <v/>
      </c>
      <c r="J611" t="str">
        <f>IF($AS611="","",INDEX('TMP Paste'!$A$2:$A$1601,$AS611))</f>
        <v/>
      </c>
      <c r="K611" t="str">
        <f>IF($AS611="","",INDEX('TMP Paste'!$L$2:$L$1601,$AS611))</f>
        <v/>
      </c>
      <c r="L611" t="str">
        <f>IF($AS611="","",INDEX('TMP Paste'!$I$2:$I$1601,$AS611))</f>
        <v/>
      </c>
      <c r="M611" t="str">
        <f>IF($AS611="","",Config!$B$16)</f>
        <v/>
      </c>
      <c r="N611" t="str">
        <f t="shared" si="54"/>
        <v/>
      </c>
      <c r="O611" t="str">
        <f>IF($AS611="","",INDEX('TMP Paste'!$K$2:$K$1601,$AS611))</f>
        <v/>
      </c>
      <c r="P611" t="str">
        <f t="shared" si="55"/>
        <v/>
      </c>
      <c r="Q611" t="str">
        <f>IF($AS611="","",INDEX('TMP Paste'!$J$2:$J$1601,$AS611))</f>
        <v/>
      </c>
      <c r="R611" t="str">
        <f>IF($AS611="","",Config!$B$24)</f>
        <v/>
      </c>
      <c r="S611" t="str">
        <f ca="1">IF($AS611="","",TEXT(Config!$B$4,"yyyy-mm-dd"))</f>
        <v/>
      </c>
      <c r="T611" t="str">
        <f>IF($AS611="","",Config!$B$17)</f>
        <v/>
      </c>
      <c r="U611" t="str">
        <f>IF($AS611="","",Config!$B$18)</f>
        <v/>
      </c>
      <c r="V611" t="str">
        <f>IF($AS611="","",Config!$B$19)</f>
        <v/>
      </c>
      <c r="W611" t="str">
        <f>IF($AS611="","",INDEX('TMP Paste'!$C$2:$C$1601,$AS611))</f>
        <v/>
      </c>
      <c r="X611" t="str">
        <f>IF($AS611="","",Config!$B$29)</f>
        <v/>
      </c>
      <c r="Y611" t="str">
        <f>IF($AT611="","",INDEX(Calc!$I$2:$I$1601,$AT611)&amp;" - "&amp;INDEX(Calc!$D$2:$D$1601,$AT611)&amp;" koli")</f>
        <v/>
      </c>
      <c r="Z611" t="str">
        <f>IF($AS611="","",Config!$B$21)</f>
        <v/>
      </c>
      <c r="AA611" t="str">
        <f>IF($AS611="","",Config!$B$22)</f>
        <v/>
      </c>
      <c r="AB611" t="str">
        <f>IF($AT611="","",INDEX(Calc!$D$2:$D$1601,$AT611))</f>
        <v/>
      </c>
      <c r="AC611" t="str">
        <f>IF($AT611="","",INDEX(Calc!$G$2:$G$1601,$AT611))</f>
        <v/>
      </c>
      <c r="AD611" t="str">
        <f>IF($AS611="","",Config!$B$23)</f>
        <v/>
      </c>
      <c r="AE611" t="str">
        <f>IF($AS611="","",Config!$B$28)</f>
        <v/>
      </c>
      <c r="AF611" t="str">
        <f t="shared" si="56"/>
        <v/>
      </c>
      <c r="AG611" t="str">
        <f t="shared" si="57"/>
        <v/>
      </c>
      <c r="AH611" t="str">
        <f t="shared" si="58"/>
        <v/>
      </c>
      <c r="AI611" t="str">
        <f>IF($AG611="","",SUMIF($AG$2:$AG611,$AG611,$AH$2:$AH611))</f>
        <v/>
      </c>
      <c r="AJ611" t="str">
        <f>IF('TMP Paste'!$F611="","",IF('TMP Paste'!$B611="",$AJ610,'TMP Paste'!$B611))</f>
        <v/>
      </c>
      <c r="AK611" t="str">
        <f>IF('TMP Paste'!$F611="","",N('TMP Paste'!$G611))</f>
        <v/>
      </c>
      <c r="AL611" t="str">
        <f>IF('TMP Paste'!$F611="","",IF('TMP Paste'!$M611="",$AL610,'TMP Paste'!$M611))</f>
        <v/>
      </c>
      <c r="AM611" t="str">
        <f>IF('TMP Paste'!$F611="","",IF('TMP Paste'!$N611="",$AM610,'TMP Paste'!$N611))</f>
        <v/>
      </c>
      <c r="AN611" t="str">
        <f>IF('TMP Paste'!$F611="","",IF('TMP Paste'!$O611="",$AN610,'TMP Paste'!$O611))</f>
        <v/>
      </c>
      <c r="AO611" t="str">
        <f>IF('TMP Paste'!$F611="","",IF('TMP Paste'!$P611="",$AO610,'TMP Paste'!$P611))</f>
        <v/>
      </c>
      <c r="AP611" t="str">
        <f t="shared" si="59"/>
        <v/>
      </c>
      <c r="AQ611" t="str">
        <f>IF($AS611="","",TRIM(IF(COUNTIFS(Calc!$B$2:$B$1601,ROW()-1,Calc!$C$2:$C$1601,"&lt;1")&gt;0,"Ada PO tanpa Koli - cek TMP. ","")&amp;IF(OR($AU611="",$AU611&lt;=0),"Volume kosong/0 - dimensi dikosongkan. ","")&amp;IF(AND($AU611&lt;&gt;"",$AU611&gt;=1000000),"Volume &gt;= 1.000.000 cm3 (di luar aturan) - dimensi dikosongkan. ","")&amp;IF(LEN($R611)&gt;500,"R &gt; 500 karakter.","")))</f>
        <v/>
      </c>
      <c r="AS611" t="str">
        <f>IFERROR(MATCH(ROW()-1,Calc!$J$2:$J$1601,0),"")</f>
        <v/>
      </c>
      <c r="AT611" t="str">
        <f>IFERROR(MATCH(ROW()-1,Calc!$K$2:$K$1601,0),"")</f>
        <v/>
      </c>
      <c r="AU611" t="str">
        <f>IF($AS611="","",IFERROR(INDEX('TMP Paste'!$D$2:$D$1601,$AS611)*1000000/$AB611,""))</f>
        <v/>
      </c>
    </row>
    <row r="612" spans="1:47">
      <c r="A612" t="str">
        <f>IF($AS612="","",INDEX('TMP Paste'!$B$2:$B$1601,$AS612))</f>
        <v/>
      </c>
      <c r="B612" t="str">
        <f>IF($AS612="","",Config!$B$14)</f>
        <v/>
      </c>
      <c r="C612" t="str">
        <f>IF($AS612="","",Config!$B$15)</f>
        <v/>
      </c>
      <c r="D612" t="str">
        <f>IF($AS612="","",INDEX('TMP Paste'!$B$2:$B$1601,$AS612))</f>
        <v/>
      </c>
      <c r="E612" t="str">
        <f>IF($AS612="","",Config!$B$27)</f>
        <v/>
      </c>
      <c r="F612" t="str">
        <f>IF($AS612="","",Config!$B$9)</f>
        <v/>
      </c>
      <c r="G612" t="str">
        <f>IF($AS612="","",Config!$B$10)</f>
        <v/>
      </c>
      <c r="H612" t="str">
        <f>IF($AS612="","",Config!$B$11)</f>
        <v/>
      </c>
      <c r="I612" t="str">
        <f>IF($AS612="","",Config!$B$16)</f>
        <v/>
      </c>
      <c r="J612" t="str">
        <f>IF($AS612="","",INDEX('TMP Paste'!$A$2:$A$1601,$AS612))</f>
        <v/>
      </c>
      <c r="K612" t="str">
        <f>IF($AS612="","",INDEX('TMP Paste'!$L$2:$L$1601,$AS612))</f>
        <v/>
      </c>
      <c r="L612" t="str">
        <f>IF($AS612="","",INDEX('TMP Paste'!$I$2:$I$1601,$AS612))</f>
        <v/>
      </c>
      <c r="M612" t="str">
        <f>IF($AS612="","",Config!$B$16)</f>
        <v/>
      </c>
      <c r="N612" t="str">
        <f t="shared" si="54"/>
        <v/>
      </c>
      <c r="O612" t="str">
        <f>IF($AS612="","",INDEX('TMP Paste'!$K$2:$K$1601,$AS612))</f>
        <v/>
      </c>
      <c r="P612" t="str">
        <f t="shared" si="55"/>
        <v/>
      </c>
      <c r="Q612" t="str">
        <f>IF($AS612="","",INDEX('TMP Paste'!$J$2:$J$1601,$AS612))</f>
        <v/>
      </c>
      <c r="R612" t="str">
        <f>IF($AS612="","",Config!$B$24)</f>
        <v/>
      </c>
      <c r="S612" t="str">
        <f ca="1">IF($AS612="","",TEXT(Config!$B$4,"yyyy-mm-dd"))</f>
        <v/>
      </c>
      <c r="T612" t="str">
        <f>IF($AS612="","",Config!$B$17)</f>
        <v/>
      </c>
      <c r="U612" t="str">
        <f>IF($AS612="","",Config!$B$18)</f>
        <v/>
      </c>
      <c r="V612" t="str">
        <f>IF($AS612="","",Config!$B$19)</f>
        <v/>
      </c>
      <c r="W612" t="str">
        <f>IF($AS612="","",INDEX('TMP Paste'!$C$2:$C$1601,$AS612))</f>
        <v/>
      </c>
      <c r="X612" t="str">
        <f>IF($AS612="","",Config!$B$29)</f>
        <v/>
      </c>
      <c r="Y612" t="str">
        <f>IF($AT612="","",INDEX(Calc!$I$2:$I$1601,$AT612)&amp;" - "&amp;INDEX(Calc!$D$2:$D$1601,$AT612)&amp;" koli")</f>
        <v/>
      </c>
      <c r="Z612" t="str">
        <f>IF($AS612="","",Config!$B$21)</f>
        <v/>
      </c>
      <c r="AA612" t="str">
        <f>IF($AS612="","",Config!$B$22)</f>
        <v/>
      </c>
      <c r="AB612" t="str">
        <f>IF($AT612="","",INDEX(Calc!$D$2:$D$1601,$AT612))</f>
        <v/>
      </c>
      <c r="AC612" t="str">
        <f>IF($AT612="","",INDEX(Calc!$G$2:$G$1601,$AT612))</f>
        <v/>
      </c>
      <c r="AD612" t="str">
        <f>IF($AS612="","",Config!$B$23)</f>
        <v/>
      </c>
      <c r="AE612" t="str">
        <f>IF($AS612="","",Config!$B$28)</f>
        <v/>
      </c>
      <c r="AF612" t="str">
        <f t="shared" si="56"/>
        <v/>
      </c>
      <c r="AG612" t="str">
        <f t="shared" si="57"/>
        <v/>
      </c>
      <c r="AH612" t="str">
        <f t="shared" si="58"/>
        <v/>
      </c>
      <c r="AI612" t="str">
        <f>IF($AG612="","",SUMIF($AG$2:$AG612,$AG612,$AH$2:$AH612))</f>
        <v/>
      </c>
      <c r="AJ612" t="str">
        <f>IF('TMP Paste'!$F612="","",IF('TMP Paste'!$B612="",$AJ611,'TMP Paste'!$B612))</f>
        <v/>
      </c>
      <c r="AK612" t="str">
        <f>IF('TMP Paste'!$F612="","",N('TMP Paste'!$G612))</f>
        <v/>
      </c>
      <c r="AL612" t="str">
        <f>IF('TMP Paste'!$F612="","",IF('TMP Paste'!$M612="",$AL611,'TMP Paste'!$M612))</f>
        <v/>
      </c>
      <c r="AM612" t="str">
        <f>IF('TMP Paste'!$F612="","",IF('TMP Paste'!$N612="",$AM611,'TMP Paste'!$N612))</f>
        <v/>
      </c>
      <c r="AN612" t="str">
        <f>IF('TMP Paste'!$F612="","",IF('TMP Paste'!$O612="",$AN611,'TMP Paste'!$O612))</f>
        <v/>
      </c>
      <c r="AO612" t="str">
        <f>IF('TMP Paste'!$F612="","",IF('TMP Paste'!$P612="",$AO611,'TMP Paste'!$P612))</f>
        <v/>
      </c>
      <c r="AP612" t="str">
        <f t="shared" si="59"/>
        <v/>
      </c>
      <c r="AQ612" t="str">
        <f>IF($AS612="","",TRIM(IF(COUNTIFS(Calc!$B$2:$B$1601,ROW()-1,Calc!$C$2:$C$1601,"&lt;1")&gt;0,"Ada PO tanpa Koli - cek TMP. ","")&amp;IF(OR($AU612="",$AU612&lt;=0),"Volume kosong/0 - dimensi dikosongkan. ","")&amp;IF(AND($AU612&lt;&gt;"",$AU612&gt;=1000000),"Volume &gt;= 1.000.000 cm3 (di luar aturan) - dimensi dikosongkan. ","")&amp;IF(LEN($R612)&gt;500,"R &gt; 500 karakter.","")))</f>
        <v/>
      </c>
      <c r="AS612" t="str">
        <f>IFERROR(MATCH(ROW()-1,Calc!$J$2:$J$1601,0),"")</f>
        <v/>
      </c>
      <c r="AT612" t="str">
        <f>IFERROR(MATCH(ROW()-1,Calc!$K$2:$K$1601,0),"")</f>
        <v/>
      </c>
      <c r="AU612" t="str">
        <f>IF($AS612="","",IFERROR(INDEX('TMP Paste'!$D$2:$D$1601,$AS612)*1000000/$AB612,""))</f>
        <v/>
      </c>
    </row>
    <row r="613" spans="1:47">
      <c r="A613" t="str">
        <f>IF($AS613="","",INDEX('TMP Paste'!$B$2:$B$1601,$AS613))</f>
        <v/>
      </c>
      <c r="B613" t="str">
        <f>IF($AS613="","",Config!$B$14)</f>
        <v/>
      </c>
      <c r="C613" t="str">
        <f>IF($AS613="","",Config!$B$15)</f>
        <v/>
      </c>
      <c r="D613" t="str">
        <f>IF($AS613="","",INDEX('TMP Paste'!$B$2:$B$1601,$AS613))</f>
        <v/>
      </c>
      <c r="E613" t="str">
        <f>IF($AS613="","",Config!$B$27)</f>
        <v/>
      </c>
      <c r="F613" t="str">
        <f>IF($AS613="","",Config!$B$9)</f>
        <v/>
      </c>
      <c r="G613" t="str">
        <f>IF($AS613="","",Config!$B$10)</f>
        <v/>
      </c>
      <c r="H613" t="str">
        <f>IF($AS613="","",Config!$B$11)</f>
        <v/>
      </c>
      <c r="I613" t="str">
        <f>IF($AS613="","",Config!$B$16)</f>
        <v/>
      </c>
      <c r="J613" t="str">
        <f>IF($AS613="","",INDEX('TMP Paste'!$A$2:$A$1601,$AS613))</f>
        <v/>
      </c>
      <c r="K613" t="str">
        <f>IF($AS613="","",INDEX('TMP Paste'!$L$2:$L$1601,$AS613))</f>
        <v/>
      </c>
      <c r="L613" t="str">
        <f>IF($AS613="","",INDEX('TMP Paste'!$I$2:$I$1601,$AS613))</f>
        <v/>
      </c>
      <c r="M613" t="str">
        <f>IF($AS613="","",Config!$B$16)</f>
        <v/>
      </c>
      <c r="N613" t="str">
        <f t="shared" si="54"/>
        <v/>
      </c>
      <c r="O613" t="str">
        <f>IF($AS613="","",INDEX('TMP Paste'!$K$2:$K$1601,$AS613))</f>
        <v/>
      </c>
      <c r="P613" t="str">
        <f t="shared" si="55"/>
        <v/>
      </c>
      <c r="Q613" t="str">
        <f>IF($AS613="","",INDEX('TMP Paste'!$J$2:$J$1601,$AS613))</f>
        <v/>
      </c>
      <c r="R613" t="str">
        <f>IF($AS613="","",Config!$B$24)</f>
        <v/>
      </c>
      <c r="S613" t="str">
        <f ca="1">IF($AS613="","",TEXT(Config!$B$4,"yyyy-mm-dd"))</f>
        <v/>
      </c>
      <c r="T613" t="str">
        <f>IF($AS613="","",Config!$B$17)</f>
        <v/>
      </c>
      <c r="U613" t="str">
        <f>IF($AS613="","",Config!$B$18)</f>
        <v/>
      </c>
      <c r="V613" t="str">
        <f>IF($AS613="","",Config!$B$19)</f>
        <v/>
      </c>
      <c r="W613" t="str">
        <f>IF($AS613="","",INDEX('TMP Paste'!$C$2:$C$1601,$AS613))</f>
        <v/>
      </c>
      <c r="X613" t="str">
        <f>IF($AS613="","",Config!$B$29)</f>
        <v/>
      </c>
      <c r="Y613" t="str">
        <f>IF($AT613="","",INDEX(Calc!$I$2:$I$1601,$AT613)&amp;" - "&amp;INDEX(Calc!$D$2:$D$1601,$AT613)&amp;" koli")</f>
        <v/>
      </c>
      <c r="Z613" t="str">
        <f>IF($AS613="","",Config!$B$21)</f>
        <v/>
      </c>
      <c r="AA613" t="str">
        <f>IF($AS613="","",Config!$B$22)</f>
        <v/>
      </c>
      <c r="AB613" t="str">
        <f>IF($AT613="","",INDEX(Calc!$D$2:$D$1601,$AT613))</f>
        <v/>
      </c>
      <c r="AC613" t="str">
        <f>IF($AT613="","",INDEX(Calc!$G$2:$G$1601,$AT613))</f>
        <v/>
      </c>
      <c r="AD613" t="str">
        <f>IF($AS613="","",Config!$B$23)</f>
        <v/>
      </c>
      <c r="AE613" t="str">
        <f>IF($AS613="","",Config!$B$28)</f>
        <v/>
      </c>
      <c r="AF613" t="str">
        <f t="shared" si="56"/>
        <v/>
      </c>
      <c r="AG613" t="str">
        <f t="shared" si="57"/>
        <v/>
      </c>
      <c r="AH613" t="str">
        <f t="shared" si="58"/>
        <v/>
      </c>
      <c r="AI613" t="str">
        <f>IF($AG613="","",SUMIF($AG$2:$AG613,$AG613,$AH$2:$AH613))</f>
        <v/>
      </c>
      <c r="AJ613" t="str">
        <f>IF('TMP Paste'!$F613="","",IF('TMP Paste'!$B613="",$AJ612,'TMP Paste'!$B613))</f>
        <v/>
      </c>
      <c r="AK613" t="str">
        <f>IF('TMP Paste'!$F613="","",N('TMP Paste'!$G613))</f>
        <v/>
      </c>
      <c r="AL613" t="str">
        <f>IF('TMP Paste'!$F613="","",IF('TMP Paste'!$M613="",$AL612,'TMP Paste'!$M613))</f>
        <v/>
      </c>
      <c r="AM613" t="str">
        <f>IF('TMP Paste'!$F613="","",IF('TMP Paste'!$N613="",$AM612,'TMP Paste'!$N613))</f>
        <v/>
      </c>
      <c r="AN613" t="str">
        <f>IF('TMP Paste'!$F613="","",IF('TMP Paste'!$O613="",$AN612,'TMP Paste'!$O613))</f>
        <v/>
      </c>
      <c r="AO613" t="str">
        <f>IF('TMP Paste'!$F613="","",IF('TMP Paste'!$P613="",$AO612,'TMP Paste'!$P613))</f>
        <v/>
      </c>
      <c r="AP613" t="str">
        <f t="shared" si="59"/>
        <v/>
      </c>
      <c r="AQ613" t="str">
        <f>IF($AS613="","",TRIM(IF(COUNTIFS(Calc!$B$2:$B$1601,ROW()-1,Calc!$C$2:$C$1601,"&lt;1")&gt;0,"Ada PO tanpa Koli - cek TMP. ","")&amp;IF(OR($AU613="",$AU613&lt;=0),"Volume kosong/0 - dimensi dikosongkan. ","")&amp;IF(AND($AU613&lt;&gt;"",$AU613&gt;=1000000),"Volume &gt;= 1.000.000 cm3 (di luar aturan) - dimensi dikosongkan. ","")&amp;IF(LEN($R613)&gt;500,"R &gt; 500 karakter.","")))</f>
        <v/>
      </c>
      <c r="AS613" t="str">
        <f>IFERROR(MATCH(ROW()-1,Calc!$J$2:$J$1601,0),"")</f>
        <v/>
      </c>
      <c r="AT613" t="str">
        <f>IFERROR(MATCH(ROW()-1,Calc!$K$2:$K$1601,0),"")</f>
        <v/>
      </c>
      <c r="AU613" t="str">
        <f>IF($AS613="","",IFERROR(INDEX('TMP Paste'!$D$2:$D$1601,$AS613)*1000000/$AB613,""))</f>
        <v/>
      </c>
    </row>
    <row r="614" spans="1:47">
      <c r="A614" t="str">
        <f>IF($AS614="","",INDEX('TMP Paste'!$B$2:$B$1601,$AS614))</f>
        <v/>
      </c>
      <c r="B614" t="str">
        <f>IF($AS614="","",Config!$B$14)</f>
        <v/>
      </c>
      <c r="C614" t="str">
        <f>IF($AS614="","",Config!$B$15)</f>
        <v/>
      </c>
      <c r="D614" t="str">
        <f>IF($AS614="","",INDEX('TMP Paste'!$B$2:$B$1601,$AS614))</f>
        <v/>
      </c>
      <c r="E614" t="str">
        <f>IF($AS614="","",Config!$B$27)</f>
        <v/>
      </c>
      <c r="F614" t="str">
        <f>IF($AS614="","",Config!$B$9)</f>
        <v/>
      </c>
      <c r="G614" t="str">
        <f>IF($AS614="","",Config!$B$10)</f>
        <v/>
      </c>
      <c r="H614" t="str">
        <f>IF($AS614="","",Config!$B$11)</f>
        <v/>
      </c>
      <c r="I614" t="str">
        <f>IF($AS614="","",Config!$B$16)</f>
        <v/>
      </c>
      <c r="J614" t="str">
        <f>IF($AS614="","",INDEX('TMP Paste'!$A$2:$A$1601,$AS614))</f>
        <v/>
      </c>
      <c r="K614" t="str">
        <f>IF($AS614="","",INDEX('TMP Paste'!$L$2:$L$1601,$AS614))</f>
        <v/>
      </c>
      <c r="L614" t="str">
        <f>IF($AS614="","",INDEX('TMP Paste'!$I$2:$I$1601,$AS614))</f>
        <v/>
      </c>
      <c r="M614" t="str">
        <f>IF($AS614="","",Config!$B$16)</f>
        <v/>
      </c>
      <c r="N614" t="str">
        <f t="shared" si="54"/>
        <v/>
      </c>
      <c r="O614" t="str">
        <f>IF($AS614="","",INDEX('TMP Paste'!$K$2:$K$1601,$AS614))</f>
        <v/>
      </c>
      <c r="P614" t="str">
        <f t="shared" si="55"/>
        <v/>
      </c>
      <c r="Q614" t="str">
        <f>IF($AS614="","",INDEX('TMP Paste'!$J$2:$J$1601,$AS614))</f>
        <v/>
      </c>
      <c r="R614" t="str">
        <f>IF($AS614="","",Config!$B$24)</f>
        <v/>
      </c>
      <c r="S614" t="str">
        <f ca="1">IF($AS614="","",TEXT(Config!$B$4,"yyyy-mm-dd"))</f>
        <v/>
      </c>
      <c r="T614" t="str">
        <f>IF($AS614="","",Config!$B$17)</f>
        <v/>
      </c>
      <c r="U614" t="str">
        <f>IF($AS614="","",Config!$B$18)</f>
        <v/>
      </c>
      <c r="V614" t="str">
        <f>IF($AS614="","",Config!$B$19)</f>
        <v/>
      </c>
      <c r="W614" t="str">
        <f>IF($AS614="","",INDEX('TMP Paste'!$C$2:$C$1601,$AS614))</f>
        <v/>
      </c>
      <c r="X614" t="str">
        <f>IF($AS614="","",Config!$B$29)</f>
        <v/>
      </c>
      <c r="Y614" t="str">
        <f>IF($AT614="","",INDEX(Calc!$I$2:$I$1601,$AT614)&amp;" - "&amp;INDEX(Calc!$D$2:$D$1601,$AT614)&amp;" koli")</f>
        <v/>
      </c>
      <c r="Z614" t="str">
        <f>IF($AS614="","",Config!$B$21)</f>
        <v/>
      </c>
      <c r="AA614" t="str">
        <f>IF($AS614="","",Config!$B$22)</f>
        <v/>
      </c>
      <c r="AB614" t="str">
        <f>IF($AT614="","",INDEX(Calc!$D$2:$D$1601,$AT614))</f>
        <v/>
      </c>
      <c r="AC614" t="str">
        <f>IF($AT614="","",INDEX(Calc!$G$2:$G$1601,$AT614))</f>
        <v/>
      </c>
      <c r="AD614" t="str">
        <f>IF($AS614="","",Config!$B$23)</f>
        <v/>
      </c>
      <c r="AE614" t="str">
        <f>IF($AS614="","",Config!$B$28)</f>
        <v/>
      </c>
      <c r="AF614" t="str">
        <f t="shared" si="56"/>
        <v/>
      </c>
      <c r="AG614" t="str">
        <f t="shared" si="57"/>
        <v/>
      </c>
      <c r="AH614" t="str">
        <f t="shared" si="58"/>
        <v/>
      </c>
      <c r="AI614" t="str">
        <f>IF($AG614="","",SUMIF($AG$2:$AG614,$AG614,$AH$2:$AH614))</f>
        <v/>
      </c>
      <c r="AJ614" t="str">
        <f>IF('TMP Paste'!$F614="","",IF('TMP Paste'!$B614="",$AJ613,'TMP Paste'!$B614))</f>
        <v/>
      </c>
      <c r="AK614" t="str">
        <f>IF('TMP Paste'!$F614="","",N('TMP Paste'!$G614))</f>
        <v/>
      </c>
      <c r="AL614" t="str">
        <f>IF('TMP Paste'!$F614="","",IF('TMP Paste'!$M614="",$AL613,'TMP Paste'!$M614))</f>
        <v/>
      </c>
      <c r="AM614" t="str">
        <f>IF('TMP Paste'!$F614="","",IF('TMP Paste'!$N614="",$AM613,'TMP Paste'!$N614))</f>
        <v/>
      </c>
      <c r="AN614" t="str">
        <f>IF('TMP Paste'!$F614="","",IF('TMP Paste'!$O614="",$AN613,'TMP Paste'!$O614))</f>
        <v/>
      </c>
      <c r="AO614" t="str">
        <f>IF('TMP Paste'!$F614="","",IF('TMP Paste'!$P614="",$AO613,'TMP Paste'!$P614))</f>
        <v/>
      </c>
      <c r="AP614" t="str">
        <f t="shared" si="59"/>
        <v/>
      </c>
      <c r="AQ614" t="str">
        <f>IF($AS614="","",TRIM(IF(COUNTIFS(Calc!$B$2:$B$1601,ROW()-1,Calc!$C$2:$C$1601,"&lt;1")&gt;0,"Ada PO tanpa Koli - cek TMP. ","")&amp;IF(OR($AU614="",$AU614&lt;=0),"Volume kosong/0 - dimensi dikosongkan. ","")&amp;IF(AND($AU614&lt;&gt;"",$AU614&gt;=1000000),"Volume &gt;= 1.000.000 cm3 (di luar aturan) - dimensi dikosongkan. ","")&amp;IF(LEN($R614)&gt;500,"R &gt; 500 karakter.","")))</f>
        <v/>
      </c>
      <c r="AS614" t="str">
        <f>IFERROR(MATCH(ROW()-1,Calc!$J$2:$J$1601,0),"")</f>
        <v/>
      </c>
      <c r="AT614" t="str">
        <f>IFERROR(MATCH(ROW()-1,Calc!$K$2:$K$1601,0),"")</f>
        <v/>
      </c>
      <c r="AU614" t="str">
        <f>IF($AS614="","",IFERROR(INDEX('TMP Paste'!$D$2:$D$1601,$AS614)*1000000/$AB614,""))</f>
        <v/>
      </c>
    </row>
    <row r="615" spans="1:47">
      <c r="A615" t="str">
        <f>IF($AS615="","",INDEX('TMP Paste'!$B$2:$B$1601,$AS615))</f>
        <v/>
      </c>
      <c r="B615" t="str">
        <f>IF($AS615="","",Config!$B$14)</f>
        <v/>
      </c>
      <c r="C615" t="str">
        <f>IF($AS615="","",Config!$B$15)</f>
        <v/>
      </c>
      <c r="D615" t="str">
        <f>IF($AS615="","",INDEX('TMP Paste'!$B$2:$B$1601,$AS615))</f>
        <v/>
      </c>
      <c r="E615" t="str">
        <f>IF($AS615="","",Config!$B$27)</f>
        <v/>
      </c>
      <c r="F615" t="str">
        <f>IF($AS615="","",Config!$B$9)</f>
        <v/>
      </c>
      <c r="G615" t="str">
        <f>IF($AS615="","",Config!$B$10)</f>
        <v/>
      </c>
      <c r="H615" t="str">
        <f>IF($AS615="","",Config!$B$11)</f>
        <v/>
      </c>
      <c r="I615" t="str">
        <f>IF($AS615="","",Config!$B$16)</f>
        <v/>
      </c>
      <c r="J615" t="str">
        <f>IF($AS615="","",INDEX('TMP Paste'!$A$2:$A$1601,$AS615))</f>
        <v/>
      </c>
      <c r="K615" t="str">
        <f>IF($AS615="","",INDEX('TMP Paste'!$L$2:$L$1601,$AS615))</f>
        <v/>
      </c>
      <c r="L615" t="str">
        <f>IF($AS615="","",INDEX('TMP Paste'!$I$2:$I$1601,$AS615))</f>
        <v/>
      </c>
      <c r="M615" t="str">
        <f>IF($AS615="","",Config!$B$16)</f>
        <v/>
      </c>
      <c r="N615" t="str">
        <f t="shared" si="54"/>
        <v/>
      </c>
      <c r="O615" t="str">
        <f>IF($AS615="","",INDEX('TMP Paste'!$K$2:$K$1601,$AS615))</f>
        <v/>
      </c>
      <c r="P615" t="str">
        <f t="shared" si="55"/>
        <v/>
      </c>
      <c r="Q615" t="str">
        <f>IF($AS615="","",INDEX('TMP Paste'!$J$2:$J$1601,$AS615))</f>
        <v/>
      </c>
      <c r="R615" t="str">
        <f>IF($AS615="","",Config!$B$24)</f>
        <v/>
      </c>
      <c r="S615" t="str">
        <f ca="1">IF($AS615="","",TEXT(Config!$B$4,"yyyy-mm-dd"))</f>
        <v/>
      </c>
      <c r="T615" t="str">
        <f>IF($AS615="","",Config!$B$17)</f>
        <v/>
      </c>
      <c r="U615" t="str">
        <f>IF($AS615="","",Config!$B$18)</f>
        <v/>
      </c>
      <c r="V615" t="str">
        <f>IF($AS615="","",Config!$B$19)</f>
        <v/>
      </c>
      <c r="W615" t="str">
        <f>IF($AS615="","",INDEX('TMP Paste'!$C$2:$C$1601,$AS615))</f>
        <v/>
      </c>
      <c r="X615" t="str">
        <f>IF($AS615="","",Config!$B$29)</f>
        <v/>
      </c>
      <c r="Y615" t="str">
        <f>IF($AT615="","",INDEX(Calc!$I$2:$I$1601,$AT615)&amp;" - "&amp;INDEX(Calc!$D$2:$D$1601,$AT615)&amp;" koli")</f>
        <v/>
      </c>
      <c r="Z615" t="str">
        <f>IF($AS615="","",Config!$B$21)</f>
        <v/>
      </c>
      <c r="AA615" t="str">
        <f>IF($AS615="","",Config!$B$22)</f>
        <v/>
      </c>
      <c r="AB615" t="str">
        <f>IF($AT615="","",INDEX(Calc!$D$2:$D$1601,$AT615))</f>
        <v/>
      </c>
      <c r="AC615" t="str">
        <f>IF($AT615="","",INDEX(Calc!$G$2:$G$1601,$AT615))</f>
        <v/>
      </c>
      <c r="AD615" t="str">
        <f>IF($AS615="","",Config!$B$23)</f>
        <v/>
      </c>
      <c r="AE615" t="str">
        <f>IF($AS615="","",Config!$B$28)</f>
        <v/>
      </c>
      <c r="AF615" t="str">
        <f t="shared" si="56"/>
        <v/>
      </c>
      <c r="AG615" t="str">
        <f t="shared" si="57"/>
        <v/>
      </c>
      <c r="AH615" t="str">
        <f t="shared" si="58"/>
        <v/>
      </c>
      <c r="AI615" t="str">
        <f>IF($AG615="","",SUMIF($AG$2:$AG615,$AG615,$AH$2:$AH615))</f>
        <v/>
      </c>
      <c r="AJ615" t="str">
        <f>IF('TMP Paste'!$F615="","",IF('TMP Paste'!$B615="",$AJ614,'TMP Paste'!$B615))</f>
        <v/>
      </c>
      <c r="AK615" t="str">
        <f>IF('TMP Paste'!$F615="","",N('TMP Paste'!$G615))</f>
        <v/>
      </c>
      <c r="AL615" t="str">
        <f>IF('TMP Paste'!$F615="","",IF('TMP Paste'!$M615="",$AL614,'TMP Paste'!$M615))</f>
        <v/>
      </c>
      <c r="AM615" t="str">
        <f>IF('TMP Paste'!$F615="","",IF('TMP Paste'!$N615="",$AM614,'TMP Paste'!$N615))</f>
        <v/>
      </c>
      <c r="AN615" t="str">
        <f>IF('TMP Paste'!$F615="","",IF('TMP Paste'!$O615="",$AN614,'TMP Paste'!$O615))</f>
        <v/>
      </c>
      <c r="AO615" t="str">
        <f>IF('TMP Paste'!$F615="","",IF('TMP Paste'!$P615="",$AO614,'TMP Paste'!$P615))</f>
        <v/>
      </c>
      <c r="AP615" t="str">
        <f t="shared" si="59"/>
        <v/>
      </c>
      <c r="AQ615" t="str">
        <f>IF($AS615="","",TRIM(IF(COUNTIFS(Calc!$B$2:$B$1601,ROW()-1,Calc!$C$2:$C$1601,"&lt;1")&gt;0,"Ada PO tanpa Koli - cek TMP. ","")&amp;IF(OR($AU615="",$AU615&lt;=0),"Volume kosong/0 - dimensi dikosongkan. ","")&amp;IF(AND($AU615&lt;&gt;"",$AU615&gt;=1000000),"Volume &gt;= 1.000.000 cm3 (di luar aturan) - dimensi dikosongkan. ","")&amp;IF(LEN($R615)&gt;500,"R &gt; 500 karakter.","")))</f>
        <v/>
      </c>
      <c r="AS615" t="str">
        <f>IFERROR(MATCH(ROW()-1,Calc!$J$2:$J$1601,0),"")</f>
        <v/>
      </c>
      <c r="AT615" t="str">
        <f>IFERROR(MATCH(ROW()-1,Calc!$K$2:$K$1601,0),"")</f>
        <v/>
      </c>
      <c r="AU615" t="str">
        <f>IF($AS615="","",IFERROR(INDEX('TMP Paste'!$D$2:$D$1601,$AS615)*1000000/$AB615,""))</f>
        <v/>
      </c>
    </row>
    <row r="616" spans="1:47">
      <c r="A616" t="str">
        <f>IF($AS616="","",INDEX('TMP Paste'!$B$2:$B$1601,$AS616))</f>
        <v/>
      </c>
      <c r="B616" t="str">
        <f>IF($AS616="","",Config!$B$14)</f>
        <v/>
      </c>
      <c r="C616" t="str">
        <f>IF($AS616="","",Config!$B$15)</f>
        <v/>
      </c>
      <c r="D616" t="str">
        <f>IF($AS616="","",INDEX('TMP Paste'!$B$2:$B$1601,$AS616))</f>
        <v/>
      </c>
      <c r="E616" t="str">
        <f>IF($AS616="","",Config!$B$27)</f>
        <v/>
      </c>
      <c r="F616" t="str">
        <f>IF($AS616="","",Config!$B$9)</f>
        <v/>
      </c>
      <c r="G616" t="str">
        <f>IF($AS616="","",Config!$B$10)</f>
        <v/>
      </c>
      <c r="H616" t="str">
        <f>IF($AS616="","",Config!$B$11)</f>
        <v/>
      </c>
      <c r="I616" t="str">
        <f>IF($AS616="","",Config!$B$16)</f>
        <v/>
      </c>
      <c r="J616" t="str">
        <f>IF($AS616="","",INDEX('TMP Paste'!$A$2:$A$1601,$AS616))</f>
        <v/>
      </c>
      <c r="K616" t="str">
        <f>IF($AS616="","",INDEX('TMP Paste'!$L$2:$L$1601,$AS616))</f>
        <v/>
      </c>
      <c r="L616" t="str">
        <f>IF($AS616="","",INDEX('TMP Paste'!$I$2:$I$1601,$AS616))</f>
        <v/>
      </c>
      <c r="M616" t="str">
        <f>IF($AS616="","",Config!$B$16)</f>
        <v/>
      </c>
      <c r="N616" t="str">
        <f t="shared" si="54"/>
        <v/>
      </c>
      <c r="O616" t="str">
        <f>IF($AS616="","",INDEX('TMP Paste'!$K$2:$K$1601,$AS616))</f>
        <v/>
      </c>
      <c r="P616" t="str">
        <f t="shared" si="55"/>
        <v/>
      </c>
      <c r="Q616" t="str">
        <f>IF($AS616="","",INDEX('TMP Paste'!$J$2:$J$1601,$AS616))</f>
        <v/>
      </c>
      <c r="R616" t="str">
        <f>IF($AS616="","",Config!$B$24)</f>
        <v/>
      </c>
      <c r="S616" t="str">
        <f ca="1">IF($AS616="","",TEXT(Config!$B$4,"yyyy-mm-dd"))</f>
        <v/>
      </c>
      <c r="T616" t="str">
        <f>IF($AS616="","",Config!$B$17)</f>
        <v/>
      </c>
      <c r="U616" t="str">
        <f>IF($AS616="","",Config!$B$18)</f>
        <v/>
      </c>
      <c r="V616" t="str">
        <f>IF($AS616="","",Config!$B$19)</f>
        <v/>
      </c>
      <c r="W616" t="str">
        <f>IF($AS616="","",INDEX('TMP Paste'!$C$2:$C$1601,$AS616))</f>
        <v/>
      </c>
      <c r="X616" t="str">
        <f>IF($AS616="","",Config!$B$29)</f>
        <v/>
      </c>
      <c r="Y616" t="str">
        <f>IF($AT616="","",INDEX(Calc!$I$2:$I$1601,$AT616)&amp;" - "&amp;INDEX(Calc!$D$2:$D$1601,$AT616)&amp;" koli")</f>
        <v/>
      </c>
      <c r="Z616" t="str">
        <f>IF($AS616="","",Config!$B$21)</f>
        <v/>
      </c>
      <c r="AA616" t="str">
        <f>IF($AS616="","",Config!$B$22)</f>
        <v/>
      </c>
      <c r="AB616" t="str">
        <f>IF($AT616="","",INDEX(Calc!$D$2:$D$1601,$AT616))</f>
        <v/>
      </c>
      <c r="AC616" t="str">
        <f>IF($AT616="","",INDEX(Calc!$G$2:$G$1601,$AT616))</f>
        <v/>
      </c>
      <c r="AD616" t="str">
        <f>IF($AS616="","",Config!$B$23)</f>
        <v/>
      </c>
      <c r="AE616" t="str">
        <f>IF($AS616="","",Config!$B$28)</f>
        <v/>
      </c>
      <c r="AF616" t="str">
        <f t="shared" si="56"/>
        <v/>
      </c>
      <c r="AG616" t="str">
        <f t="shared" si="57"/>
        <v/>
      </c>
      <c r="AH616" t="str">
        <f t="shared" si="58"/>
        <v/>
      </c>
      <c r="AI616" t="str">
        <f>IF($AG616="","",SUMIF($AG$2:$AG616,$AG616,$AH$2:$AH616))</f>
        <v/>
      </c>
      <c r="AJ616" t="str">
        <f>IF('TMP Paste'!$F616="","",IF('TMP Paste'!$B616="",$AJ615,'TMP Paste'!$B616))</f>
        <v/>
      </c>
      <c r="AK616" t="str">
        <f>IF('TMP Paste'!$F616="","",N('TMP Paste'!$G616))</f>
        <v/>
      </c>
      <c r="AL616" t="str">
        <f>IF('TMP Paste'!$F616="","",IF('TMP Paste'!$M616="",$AL615,'TMP Paste'!$M616))</f>
        <v/>
      </c>
      <c r="AM616" t="str">
        <f>IF('TMP Paste'!$F616="","",IF('TMP Paste'!$N616="",$AM615,'TMP Paste'!$N616))</f>
        <v/>
      </c>
      <c r="AN616" t="str">
        <f>IF('TMP Paste'!$F616="","",IF('TMP Paste'!$O616="",$AN615,'TMP Paste'!$O616))</f>
        <v/>
      </c>
      <c r="AO616" t="str">
        <f>IF('TMP Paste'!$F616="","",IF('TMP Paste'!$P616="",$AO615,'TMP Paste'!$P616))</f>
        <v/>
      </c>
      <c r="AP616" t="str">
        <f t="shared" si="59"/>
        <v/>
      </c>
      <c r="AQ616" t="str">
        <f>IF($AS616="","",TRIM(IF(COUNTIFS(Calc!$B$2:$B$1601,ROW()-1,Calc!$C$2:$C$1601,"&lt;1")&gt;0,"Ada PO tanpa Koli - cek TMP. ","")&amp;IF(OR($AU616="",$AU616&lt;=0),"Volume kosong/0 - dimensi dikosongkan. ","")&amp;IF(AND($AU616&lt;&gt;"",$AU616&gt;=1000000),"Volume &gt;= 1.000.000 cm3 (di luar aturan) - dimensi dikosongkan. ","")&amp;IF(LEN($R616)&gt;500,"R &gt; 500 karakter.","")))</f>
        <v/>
      </c>
      <c r="AS616" t="str">
        <f>IFERROR(MATCH(ROW()-1,Calc!$J$2:$J$1601,0),"")</f>
        <v/>
      </c>
      <c r="AT616" t="str">
        <f>IFERROR(MATCH(ROW()-1,Calc!$K$2:$K$1601,0),"")</f>
        <v/>
      </c>
      <c r="AU616" t="str">
        <f>IF($AS616="","",IFERROR(INDEX('TMP Paste'!$D$2:$D$1601,$AS616)*1000000/$AB616,""))</f>
        <v/>
      </c>
    </row>
    <row r="617" spans="1:47">
      <c r="A617" t="str">
        <f>IF($AS617="","",INDEX('TMP Paste'!$B$2:$B$1601,$AS617))</f>
        <v/>
      </c>
      <c r="B617" t="str">
        <f>IF($AS617="","",Config!$B$14)</f>
        <v/>
      </c>
      <c r="C617" t="str">
        <f>IF($AS617="","",Config!$B$15)</f>
        <v/>
      </c>
      <c r="D617" t="str">
        <f>IF($AS617="","",INDEX('TMP Paste'!$B$2:$B$1601,$AS617))</f>
        <v/>
      </c>
      <c r="E617" t="str">
        <f>IF($AS617="","",Config!$B$27)</f>
        <v/>
      </c>
      <c r="F617" t="str">
        <f>IF($AS617="","",Config!$B$9)</f>
        <v/>
      </c>
      <c r="G617" t="str">
        <f>IF($AS617="","",Config!$B$10)</f>
        <v/>
      </c>
      <c r="H617" t="str">
        <f>IF($AS617="","",Config!$B$11)</f>
        <v/>
      </c>
      <c r="I617" t="str">
        <f>IF($AS617="","",Config!$B$16)</f>
        <v/>
      </c>
      <c r="J617" t="str">
        <f>IF($AS617="","",INDEX('TMP Paste'!$A$2:$A$1601,$AS617))</f>
        <v/>
      </c>
      <c r="K617" t="str">
        <f>IF($AS617="","",INDEX('TMP Paste'!$L$2:$L$1601,$AS617))</f>
        <v/>
      </c>
      <c r="L617" t="str">
        <f>IF($AS617="","",INDEX('TMP Paste'!$I$2:$I$1601,$AS617))</f>
        <v/>
      </c>
      <c r="M617" t="str">
        <f>IF($AS617="","",Config!$B$16)</f>
        <v/>
      </c>
      <c r="N617" t="str">
        <f t="shared" si="54"/>
        <v/>
      </c>
      <c r="O617" t="str">
        <f>IF($AS617="","",INDEX('TMP Paste'!$K$2:$K$1601,$AS617))</f>
        <v/>
      </c>
      <c r="P617" t="str">
        <f t="shared" si="55"/>
        <v/>
      </c>
      <c r="Q617" t="str">
        <f>IF($AS617="","",INDEX('TMP Paste'!$J$2:$J$1601,$AS617))</f>
        <v/>
      </c>
      <c r="R617" t="str">
        <f>IF($AS617="","",Config!$B$24)</f>
        <v/>
      </c>
      <c r="S617" t="str">
        <f ca="1">IF($AS617="","",TEXT(Config!$B$4,"yyyy-mm-dd"))</f>
        <v/>
      </c>
      <c r="T617" t="str">
        <f>IF($AS617="","",Config!$B$17)</f>
        <v/>
      </c>
      <c r="U617" t="str">
        <f>IF($AS617="","",Config!$B$18)</f>
        <v/>
      </c>
      <c r="V617" t="str">
        <f>IF($AS617="","",Config!$B$19)</f>
        <v/>
      </c>
      <c r="W617" t="str">
        <f>IF($AS617="","",INDEX('TMP Paste'!$C$2:$C$1601,$AS617))</f>
        <v/>
      </c>
      <c r="X617" t="str">
        <f>IF($AS617="","",Config!$B$29)</f>
        <v/>
      </c>
      <c r="Y617" t="str">
        <f>IF($AT617="","",INDEX(Calc!$I$2:$I$1601,$AT617)&amp;" - "&amp;INDEX(Calc!$D$2:$D$1601,$AT617)&amp;" koli")</f>
        <v/>
      </c>
      <c r="Z617" t="str">
        <f>IF($AS617="","",Config!$B$21)</f>
        <v/>
      </c>
      <c r="AA617" t="str">
        <f>IF($AS617="","",Config!$B$22)</f>
        <v/>
      </c>
      <c r="AB617" t="str">
        <f>IF($AT617="","",INDEX(Calc!$D$2:$D$1601,$AT617))</f>
        <v/>
      </c>
      <c r="AC617" t="str">
        <f>IF($AT617="","",INDEX(Calc!$G$2:$G$1601,$AT617))</f>
        <v/>
      </c>
      <c r="AD617" t="str">
        <f>IF($AS617="","",Config!$B$23)</f>
        <v/>
      </c>
      <c r="AE617" t="str">
        <f>IF($AS617="","",Config!$B$28)</f>
        <v/>
      </c>
      <c r="AF617" t="str">
        <f t="shared" si="56"/>
        <v/>
      </c>
      <c r="AG617" t="str">
        <f t="shared" si="57"/>
        <v/>
      </c>
      <c r="AH617" t="str">
        <f t="shared" si="58"/>
        <v/>
      </c>
      <c r="AI617" t="str">
        <f>IF($AG617="","",SUMIF($AG$2:$AG617,$AG617,$AH$2:$AH617))</f>
        <v/>
      </c>
      <c r="AJ617" t="str">
        <f>IF('TMP Paste'!$F617="","",IF('TMP Paste'!$B617="",$AJ616,'TMP Paste'!$B617))</f>
        <v/>
      </c>
      <c r="AK617" t="str">
        <f>IF('TMP Paste'!$F617="","",N('TMP Paste'!$G617))</f>
        <v/>
      </c>
      <c r="AL617" t="str">
        <f>IF('TMP Paste'!$F617="","",IF('TMP Paste'!$M617="",$AL616,'TMP Paste'!$M617))</f>
        <v/>
      </c>
      <c r="AM617" t="str">
        <f>IF('TMP Paste'!$F617="","",IF('TMP Paste'!$N617="",$AM616,'TMP Paste'!$N617))</f>
        <v/>
      </c>
      <c r="AN617" t="str">
        <f>IF('TMP Paste'!$F617="","",IF('TMP Paste'!$O617="",$AN616,'TMP Paste'!$O617))</f>
        <v/>
      </c>
      <c r="AO617" t="str">
        <f>IF('TMP Paste'!$F617="","",IF('TMP Paste'!$P617="",$AO616,'TMP Paste'!$P617))</f>
        <v/>
      </c>
      <c r="AP617" t="str">
        <f t="shared" si="59"/>
        <v/>
      </c>
      <c r="AQ617" t="str">
        <f>IF($AS617="","",TRIM(IF(COUNTIFS(Calc!$B$2:$B$1601,ROW()-1,Calc!$C$2:$C$1601,"&lt;1")&gt;0,"Ada PO tanpa Koli - cek TMP. ","")&amp;IF(OR($AU617="",$AU617&lt;=0),"Volume kosong/0 - dimensi dikosongkan. ","")&amp;IF(AND($AU617&lt;&gt;"",$AU617&gt;=1000000),"Volume &gt;= 1.000.000 cm3 (di luar aturan) - dimensi dikosongkan. ","")&amp;IF(LEN($R617)&gt;500,"R &gt; 500 karakter.","")))</f>
        <v/>
      </c>
      <c r="AS617" t="str">
        <f>IFERROR(MATCH(ROW()-1,Calc!$J$2:$J$1601,0),"")</f>
        <v/>
      </c>
      <c r="AT617" t="str">
        <f>IFERROR(MATCH(ROW()-1,Calc!$K$2:$K$1601,0),"")</f>
        <v/>
      </c>
      <c r="AU617" t="str">
        <f>IF($AS617="","",IFERROR(INDEX('TMP Paste'!$D$2:$D$1601,$AS617)*1000000/$AB617,""))</f>
        <v/>
      </c>
    </row>
    <row r="618" spans="1:47">
      <c r="A618" t="str">
        <f>IF($AS618="","",INDEX('TMP Paste'!$B$2:$B$1601,$AS618))</f>
        <v/>
      </c>
      <c r="B618" t="str">
        <f>IF($AS618="","",Config!$B$14)</f>
        <v/>
      </c>
      <c r="C618" t="str">
        <f>IF($AS618="","",Config!$B$15)</f>
        <v/>
      </c>
      <c r="D618" t="str">
        <f>IF($AS618="","",INDEX('TMP Paste'!$B$2:$B$1601,$AS618))</f>
        <v/>
      </c>
      <c r="E618" t="str">
        <f>IF($AS618="","",Config!$B$27)</f>
        <v/>
      </c>
      <c r="F618" t="str">
        <f>IF($AS618="","",Config!$B$9)</f>
        <v/>
      </c>
      <c r="G618" t="str">
        <f>IF($AS618="","",Config!$B$10)</f>
        <v/>
      </c>
      <c r="H618" t="str">
        <f>IF($AS618="","",Config!$B$11)</f>
        <v/>
      </c>
      <c r="I618" t="str">
        <f>IF($AS618="","",Config!$B$16)</f>
        <v/>
      </c>
      <c r="J618" t="str">
        <f>IF($AS618="","",INDEX('TMP Paste'!$A$2:$A$1601,$AS618))</f>
        <v/>
      </c>
      <c r="K618" t="str">
        <f>IF($AS618="","",INDEX('TMP Paste'!$L$2:$L$1601,$AS618))</f>
        <v/>
      </c>
      <c r="L618" t="str">
        <f>IF($AS618="","",INDEX('TMP Paste'!$I$2:$I$1601,$AS618))</f>
        <v/>
      </c>
      <c r="M618" t="str">
        <f>IF($AS618="","",Config!$B$16)</f>
        <v/>
      </c>
      <c r="N618" t="str">
        <f t="shared" si="54"/>
        <v/>
      </c>
      <c r="O618" t="str">
        <f>IF($AS618="","",INDEX('TMP Paste'!$K$2:$K$1601,$AS618))</f>
        <v/>
      </c>
      <c r="P618" t="str">
        <f t="shared" si="55"/>
        <v/>
      </c>
      <c r="Q618" t="str">
        <f>IF($AS618="","",INDEX('TMP Paste'!$J$2:$J$1601,$AS618))</f>
        <v/>
      </c>
      <c r="R618" t="str">
        <f>IF($AS618="","",Config!$B$24)</f>
        <v/>
      </c>
      <c r="S618" t="str">
        <f ca="1">IF($AS618="","",TEXT(Config!$B$4,"yyyy-mm-dd"))</f>
        <v/>
      </c>
      <c r="T618" t="str">
        <f>IF($AS618="","",Config!$B$17)</f>
        <v/>
      </c>
      <c r="U618" t="str">
        <f>IF($AS618="","",Config!$B$18)</f>
        <v/>
      </c>
      <c r="V618" t="str">
        <f>IF($AS618="","",Config!$B$19)</f>
        <v/>
      </c>
      <c r="W618" t="str">
        <f>IF($AS618="","",INDEX('TMP Paste'!$C$2:$C$1601,$AS618))</f>
        <v/>
      </c>
      <c r="X618" t="str">
        <f>IF($AS618="","",Config!$B$29)</f>
        <v/>
      </c>
      <c r="Y618" t="str">
        <f>IF($AT618="","",INDEX(Calc!$I$2:$I$1601,$AT618)&amp;" - "&amp;INDEX(Calc!$D$2:$D$1601,$AT618)&amp;" koli")</f>
        <v/>
      </c>
      <c r="Z618" t="str">
        <f>IF($AS618="","",Config!$B$21)</f>
        <v/>
      </c>
      <c r="AA618" t="str">
        <f>IF($AS618="","",Config!$B$22)</f>
        <v/>
      </c>
      <c r="AB618" t="str">
        <f>IF($AT618="","",INDEX(Calc!$D$2:$D$1601,$AT618))</f>
        <v/>
      </c>
      <c r="AC618" t="str">
        <f>IF($AT618="","",INDEX(Calc!$G$2:$G$1601,$AT618))</f>
        <v/>
      </c>
      <c r="AD618" t="str">
        <f>IF($AS618="","",Config!$B$23)</f>
        <v/>
      </c>
      <c r="AE618" t="str">
        <f>IF($AS618="","",Config!$B$28)</f>
        <v/>
      </c>
      <c r="AF618" t="str">
        <f t="shared" si="56"/>
        <v/>
      </c>
      <c r="AG618" t="str">
        <f t="shared" si="57"/>
        <v/>
      </c>
      <c r="AH618" t="str">
        <f t="shared" si="58"/>
        <v/>
      </c>
      <c r="AI618" t="str">
        <f>IF($AG618="","",SUMIF($AG$2:$AG618,$AG618,$AH$2:$AH618))</f>
        <v/>
      </c>
      <c r="AJ618" t="str">
        <f>IF('TMP Paste'!$F618="","",IF('TMP Paste'!$B618="",$AJ617,'TMP Paste'!$B618))</f>
        <v/>
      </c>
      <c r="AK618" t="str">
        <f>IF('TMP Paste'!$F618="","",N('TMP Paste'!$G618))</f>
        <v/>
      </c>
      <c r="AL618" t="str">
        <f>IF('TMP Paste'!$F618="","",IF('TMP Paste'!$M618="",$AL617,'TMP Paste'!$M618))</f>
        <v/>
      </c>
      <c r="AM618" t="str">
        <f>IF('TMP Paste'!$F618="","",IF('TMP Paste'!$N618="",$AM617,'TMP Paste'!$N618))</f>
        <v/>
      </c>
      <c r="AN618" t="str">
        <f>IF('TMP Paste'!$F618="","",IF('TMP Paste'!$O618="",$AN617,'TMP Paste'!$O618))</f>
        <v/>
      </c>
      <c r="AO618" t="str">
        <f>IF('TMP Paste'!$F618="","",IF('TMP Paste'!$P618="",$AO617,'TMP Paste'!$P618))</f>
        <v/>
      </c>
      <c r="AP618" t="str">
        <f t="shared" si="59"/>
        <v/>
      </c>
      <c r="AQ618" t="str">
        <f>IF($AS618="","",TRIM(IF(COUNTIFS(Calc!$B$2:$B$1601,ROW()-1,Calc!$C$2:$C$1601,"&lt;1")&gt;0,"Ada PO tanpa Koli - cek TMP. ","")&amp;IF(OR($AU618="",$AU618&lt;=0),"Volume kosong/0 - dimensi dikosongkan. ","")&amp;IF(AND($AU618&lt;&gt;"",$AU618&gt;=1000000),"Volume &gt;= 1.000.000 cm3 (di luar aturan) - dimensi dikosongkan. ","")&amp;IF(LEN($R618)&gt;500,"R &gt; 500 karakter.","")))</f>
        <v/>
      </c>
      <c r="AS618" t="str">
        <f>IFERROR(MATCH(ROW()-1,Calc!$J$2:$J$1601,0),"")</f>
        <v/>
      </c>
      <c r="AT618" t="str">
        <f>IFERROR(MATCH(ROW()-1,Calc!$K$2:$K$1601,0),"")</f>
        <v/>
      </c>
      <c r="AU618" t="str">
        <f>IF($AS618="","",IFERROR(INDEX('TMP Paste'!$D$2:$D$1601,$AS618)*1000000/$AB618,""))</f>
        <v/>
      </c>
    </row>
    <row r="619" spans="1:47">
      <c r="A619" t="str">
        <f>IF($AS619="","",INDEX('TMP Paste'!$B$2:$B$1601,$AS619))</f>
        <v/>
      </c>
      <c r="B619" t="str">
        <f>IF($AS619="","",Config!$B$14)</f>
        <v/>
      </c>
      <c r="C619" t="str">
        <f>IF($AS619="","",Config!$B$15)</f>
        <v/>
      </c>
      <c r="D619" t="str">
        <f>IF($AS619="","",INDEX('TMP Paste'!$B$2:$B$1601,$AS619))</f>
        <v/>
      </c>
      <c r="E619" t="str">
        <f>IF($AS619="","",Config!$B$27)</f>
        <v/>
      </c>
      <c r="F619" t="str">
        <f>IF($AS619="","",Config!$B$9)</f>
        <v/>
      </c>
      <c r="G619" t="str">
        <f>IF($AS619="","",Config!$B$10)</f>
        <v/>
      </c>
      <c r="H619" t="str">
        <f>IF($AS619="","",Config!$B$11)</f>
        <v/>
      </c>
      <c r="I619" t="str">
        <f>IF($AS619="","",Config!$B$16)</f>
        <v/>
      </c>
      <c r="J619" t="str">
        <f>IF($AS619="","",INDEX('TMP Paste'!$A$2:$A$1601,$AS619))</f>
        <v/>
      </c>
      <c r="K619" t="str">
        <f>IF($AS619="","",INDEX('TMP Paste'!$L$2:$L$1601,$AS619))</f>
        <v/>
      </c>
      <c r="L619" t="str">
        <f>IF($AS619="","",INDEX('TMP Paste'!$I$2:$I$1601,$AS619))</f>
        <v/>
      </c>
      <c r="M619" t="str">
        <f>IF($AS619="","",Config!$B$16)</f>
        <v/>
      </c>
      <c r="N619" t="str">
        <f t="shared" si="54"/>
        <v/>
      </c>
      <c r="O619" t="str">
        <f>IF($AS619="","",INDEX('TMP Paste'!$K$2:$K$1601,$AS619))</f>
        <v/>
      </c>
      <c r="P619" t="str">
        <f t="shared" si="55"/>
        <v/>
      </c>
      <c r="Q619" t="str">
        <f>IF($AS619="","",INDEX('TMP Paste'!$J$2:$J$1601,$AS619))</f>
        <v/>
      </c>
      <c r="R619" t="str">
        <f>IF($AS619="","",Config!$B$24)</f>
        <v/>
      </c>
      <c r="S619" t="str">
        <f ca="1">IF($AS619="","",TEXT(Config!$B$4,"yyyy-mm-dd"))</f>
        <v/>
      </c>
      <c r="T619" t="str">
        <f>IF($AS619="","",Config!$B$17)</f>
        <v/>
      </c>
      <c r="U619" t="str">
        <f>IF($AS619="","",Config!$B$18)</f>
        <v/>
      </c>
      <c r="V619" t="str">
        <f>IF($AS619="","",Config!$B$19)</f>
        <v/>
      </c>
      <c r="W619" t="str">
        <f>IF($AS619="","",INDEX('TMP Paste'!$C$2:$C$1601,$AS619))</f>
        <v/>
      </c>
      <c r="X619" t="str">
        <f>IF($AS619="","",Config!$B$29)</f>
        <v/>
      </c>
      <c r="Y619" t="str">
        <f>IF($AT619="","",INDEX(Calc!$I$2:$I$1601,$AT619)&amp;" - "&amp;INDEX(Calc!$D$2:$D$1601,$AT619)&amp;" koli")</f>
        <v/>
      </c>
      <c r="Z619" t="str">
        <f>IF($AS619="","",Config!$B$21)</f>
        <v/>
      </c>
      <c r="AA619" t="str">
        <f>IF($AS619="","",Config!$B$22)</f>
        <v/>
      </c>
      <c r="AB619" t="str">
        <f>IF($AT619="","",INDEX(Calc!$D$2:$D$1601,$AT619))</f>
        <v/>
      </c>
      <c r="AC619" t="str">
        <f>IF($AT619="","",INDEX(Calc!$G$2:$G$1601,$AT619))</f>
        <v/>
      </c>
      <c r="AD619" t="str">
        <f>IF($AS619="","",Config!$B$23)</f>
        <v/>
      </c>
      <c r="AE619" t="str">
        <f>IF($AS619="","",Config!$B$28)</f>
        <v/>
      </c>
      <c r="AF619" t="str">
        <f t="shared" si="56"/>
        <v/>
      </c>
      <c r="AG619" t="str">
        <f t="shared" si="57"/>
        <v/>
      </c>
      <c r="AH619" t="str">
        <f t="shared" si="58"/>
        <v/>
      </c>
      <c r="AI619" t="str">
        <f>IF($AG619="","",SUMIF($AG$2:$AG619,$AG619,$AH$2:$AH619))</f>
        <v/>
      </c>
      <c r="AJ619" t="str">
        <f>IF('TMP Paste'!$F619="","",IF('TMP Paste'!$B619="",$AJ618,'TMP Paste'!$B619))</f>
        <v/>
      </c>
      <c r="AK619" t="str">
        <f>IF('TMP Paste'!$F619="","",N('TMP Paste'!$G619))</f>
        <v/>
      </c>
      <c r="AL619" t="str">
        <f>IF('TMP Paste'!$F619="","",IF('TMP Paste'!$M619="",$AL618,'TMP Paste'!$M619))</f>
        <v/>
      </c>
      <c r="AM619" t="str">
        <f>IF('TMP Paste'!$F619="","",IF('TMP Paste'!$N619="",$AM618,'TMP Paste'!$N619))</f>
        <v/>
      </c>
      <c r="AN619" t="str">
        <f>IF('TMP Paste'!$F619="","",IF('TMP Paste'!$O619="",$AN618,'TMP Paste'!$O619))</f>
        <v/>
      </c>
      <c r="AO619" t="str">
        <f>IF('TMP Paste'!$F619="","",IF('TMP Paste'!$P619="",$AO618,'TMP Paste'!$P619))</f>
        <v/>
      </c>
      <c r="AP619" t="str">
        <f t="shared" si="59"/>
        <v/>
      </c>
      <c r="AQ619" t="str">
        <f>IF($AS619="","",TRIM(IF(COUNTIFS(Calc!$B$2:$B$1601,ROW()-1,Calc!$C$2:$C$1601,"&lt;1")&gt;0,"Ada PO tanpa Koli - cek TMP. ","")&amp;IF(OR($AU619="",$AU619&lt;=0),"Volume kosong/0 - dimensi dikosongkan. ","")&amp;IF(AND($AU619&lt;&gt;"",$AU619&gt;=1000000),"Volume &gt;= 1.000.000 cm3 (di luar aturan) - dimensi dikosongkan. ","")&amp;IF(LEN($R619)&gt;500,"R &gt; 500 karakter.","")))</f>
        <v/>
      </c>
      <c r="AS619" t="str">
        <f>IFERROR(MATCH(ROW()-1,Calc!$J$2:$J$1601,0),"")</f>
        <v/>
      </c>
      <c r="AT619" t="str">
        <f>IFERROR(MATCH(ROW()-1,Calc!$K$2:$K$1601,0),"")</f>
        <v/>
      </c>
      <c r="AU619" t="str">
        <f>IF($AS619="","",IFERROR(INDEX('TMP Paste'!$D$2:$D$1601,$AS619)*1000000/$AB619,""))</f>
        <v/>
      </c>
    </row>
    <row r="620" spans="1:47">
      <c r="A620" t="str">
        <f>IF($AS620="","",INDEX('TMP Paste'!$B$2:$B$1601,$AS620))</f>
        <v/>
      </c>
      <c r="B620" t="str">
        <f>IF($AS620="","",Config!$B$14)</f>
        <v/>
      </c>
      <c r="C620" t="str">
        <f>IF($AS620="","",Config!$B$15)</f>
        <v/>
      </c>
      <c r="D620" t="str">
        <f>IF($AS620="","",INDEX('TMP Paste'!$B$2:$B$1601,$AS620))</f>
        <v/>
      </c>
      <c r="E620" t="str">
        <f>IF($AS620="","",Config!$B$27)</f>
        <v/>
      </c>
      <c r="F620" t="str">
        <f>IF($AS620="","",Config!$B$9)</f>
        <v/>
      </c>
      <c r="G620" t="str">
        <f>IF($AS620="","",Config!$B$10)</f>
        <v/>
      </c>
      <c r="H620" t="str">
        <f>IF($AS620="","",Config!$B$11)</f>
        <v/>
      </c>
      <c r="I620" t="str">
        <f>IF($AS620="","",Config!$B$16)</f>
        <v/>
      </c>
      <c r="J620" t="str">
        <f>IF($AS620="","",INDEX('TMP Paste'!$A$2:$A$1601,$AS620))</f>
        <v/>
      </c>
      <c r="K620" t="str">
        <f>IF($AS620="","",INDEX('TMP Paste'!$L$2:$L$1601,$AS620))</f>
        <v/>
      </c>
      <c r="L620" t="str">
        <f>IF($AS620="","",INDEX('TMP Paste'!$I$2:$I$1601,$AS620))</f>
        <v/>
      </c>
      <c r="M620" t="str">
        <f>IF($AS620="","",Config!$B$16)</f>
        <v/>
      </c>
      <c r="N620" t="str">
        <f t="shared" si="54"/>
        <v/>
      </c>
      <c r="O620" t="str">
        <f>IF($AS620="","",INDEX('TMP Paste'!$K$2:$K$1601,$AS620))</f>
        <v/>
      </c>
      <c r="P620" t="str">
        <f t="shared" si="55"/>
        <v/>
      </c>
      <c r="Q620" t="str">
        <f>IF($AS620="","",INDEX('TMP Paste'!$J$2:$J$1601,$AS620))</f>
        <v/>
      </c>
      <c r="R620" t="str">
        <f>IF($AS620="","",Config!$B$24)</f>
        <v/>
      </c>
      <c r="S620" t="str">
        <f ca="1">IF($AS620="","",TEXT(Config!$B$4,"yyyy-mm-dd"))</f>
        <v/>
      </c>
      <c r="T620" t="str">
        <f>IF($AS620="","",Config!$B$17)</f>
        <v/>
      </c>
      <c r="U620" t="str">
        <f>IF($AS620="","",Config!$B$18)</f>
        <v/>
      </c>
      <c r="V620" t="str">
        <f>IF($AS620="","",Config!$B$19)</f>
        <v/>
      </c>
      <c r="W620" t="str">
        <f>IF($AS620="","",INDEX('TMP Paste'!$C$2:$C$1601,$AS620))</f>
        <v/>
      </c>
      <c r="X620" t="str">
        <f>IF($AS620="","",Config!$B$29)</f>
        <v/>
      </c>
      <c r="Y620" t="str">
        <f>IF($AT620="","",INDEX(Calc!$I$2:$I$1601,$AT620)&amp;" - "&amp;INDEX(Calc!$D$2:$D$1601,$AT620)&amp;" koli")</f>
        <v/>
      </c>
      <c r="Z620" t="str">
        <f>IF($AS620="","",Config!$B$21)</f>
        <v/>
      </c>
      <c r="AA620" t="str">
        <f>IF($AS620="","",Config!$B$22)</f>
        <v/>
      </c>
      <c r="AB620" t="str">
        <f>IF($AT620="","",INDEX(Calc!$D$2:$D$1601,$AT620))</f>
        <v/>
      </c>
      <c r="AC620" t="str">
        <f>IF($AT620="","",INDEX(Calc!$G$2:$G$1601,$AT620))</f>
        <v/>
      </c>
      <c r="AD620" t="str">
        <f>IF($AS620="","",Config!$B$23)</f>
        <v/>
      </c>
      <c r="AE620" t="str">
        <f>IF($AS620="","",Config!$B$28)</f>
        <v/>
      </c>
      <c r="AF620" t="str">
        <f t="shared" si="56"/>
        <v/>
      </c>
      <c r="AG620" t="str">
        <f t="shared" si="57"/>
        <v/>
      </c>
      <c r="AH620" t="str">
        <f t="shared" si="58"/>
        <v/>
      </c>
      <c r="AI620" t="str">
        <f>IF($AG620="","",SUMIF($AG$2:$AG620,$AG620,$AH$2:$AH620))</f>
        <v/>
      </c>
      <c r="AJ620" t="str">
        <f>IF('TMP Paste'!$F620="","",IF('TMP Paste'!$B620="",$AJ619,'TMP Paste'!$B620))</f>
        <v/>
      </c>
      <c r="AK620" t="str">
        <f>IF('TMP Paste'!$F620="","",N('TMP Paste'!$G620))</f>
        <v/>
      </c>
      <c r="AL620" t="str">
        <f>IF('TMP Paste'!$F620="","",IF('TMP Paste'!$M620="",$AL619,'TMP Paste'!$M620))</f>
        <v/>
      </c>
      <c r="AM620" t="str">
        <f>IF('TMP Paste'!$F620="","",IF('TMP Paste'!$N620="",$AM619,'TMP Paste'!$N620))</f>
        <v/>
      </c>
      <c r="AN620" t="str">
        <f>IF('TMP Paste'!$F620="","",IF('TMP Paste'!$O620="",$AN619,'TMP Paste'!$O620))</f>
        <v/>
      </c>
      <c r="AO620" t="str">
        <f>IF('TMP Paste'!$F620="","",IF('TMP Paste'!$P620="",$AO619,'TMP Paste'!$P620))</f>
        <v/>
      </c>
      <c r="AP620" t="str">
        <f t="shared" si="59"/>
        <v/>
      </c>
      <c r="AQ620" t="str">
        <f>IF($AS620="","",TRIM(IF(COUNTIFS(Calc!$B$2:$B$1601,ROW()-1,Calc!$C$2:$C$1601,"&lt;1")&gt;0,"Ada PO tanpa Koli - cek TMP. ","")&amp;IF(OR($AU620="",$AU620&lt;=0),"Volume kosong/0 - dimensi dikosongkan. ","")&amp;IF(AND($AU620&lt;&gt;"",$AU620&gt;=1000000),"Volume &gt;= 1.000.000 cm3 (di luar aturan) - dimensi dikosongkan. ","")&amp;IF(LEN($R620)&gt;500,"R &gt; 500 karakter.","")))</f>
        <v/>
      </c>
      <c r="AS620" t="str">
        <f>IFERROR(MATCH(ROW()-1,Calc!$J$2:$J$1601,0),"")</f>
        <v/>
      </c>
      <c r="AT620" t="str">
        <f>IFERROR(MATCH(ROW()-1,Calc!$K$2:$K$1601,0),"")</f>
        <v/>
      </c>
      <c r="AU620" t="str">
        <f>IF($AS620="","",IFERROR(INDEX('TMP Paste'!$D$2:$D$1601,$AS620)*1000000/$AB620,""))</f>
        <v/>
      </c>
    </row>
    <row r="621" spans="1:47">
      <c r="A621" t="str">
        <f>IF($AS621="","",INDEX('TMP Paste'!$B$2:$B$1601,$AS621))</f>
        <v/>
      </c>
      <c r="B621" t="str">
        <f>IF($AS621="","",Config!$B$14)</f>
        <v/>
      </c>
      <c r="C621" t="str">
        <f>IF($AS621="","",Config!$B$15)</f>
        <v/>
      </c>
      <c r="D621" t="str">
        <f>IF($AS621="","",INDEX('TMP Paste'!$B$2:$B$1601,$AS621))</f>
        <v/>
      </c>
      <c r="E621" t="str">
        <f>IF($AS621="","",Config!$B$27)</f>
        <v/>
      </c>
      <c r="F621" t="str">
        <f>IF($AS621="","",Config!$B$9)</f>
        <v/>
      </c>
      <c r="G621" t="str">
        <f>IF($AS621="","",Config!$B$10)</f>
        <v/>
      </c>
      <c r="H621" t="str">
        <f>IF($AS621="","",Config!$B$11)</f>
        <v/>
      </c>
      <c r="I621" t="str">
        <f>IF($AS621="","",Config!$B$16)</f>
        <v/>
      </c>
      <c r="J621" t="str">
        <f>IF($AS621="","",INDEX('TMP Paste'!$A$2:$A$1601,$AS621))</f>
        <v/>
      </c>
      <c r="K621" t="str">
        <f>IF($AS621="","",INDEX('TMP Paste'!$L$2:$L$1601,$AS621))</f>
        <v/>
      </c>
      <c r="L621" t="str">
        <f>IF($AS621="","",INDEX('TMP Paste'!$I$2:$I$1601,$AS621))</f>
        <v/>
      </c>
      <c r="M621" t="str">
        <f>IF($AS621="","",Config!$B$16)</f>
        <v/>
      </c>
      <c r="N621" t="str">
        <f t="shared" si="54"/>
        <v/>
      </c>
      <c r="O621" t="str">
        <f>IF($AS621="","",INDEX('TMP Paste'!$K$2:$K$1601,$AS621))</f>
        <v/>
      </c>
      <c r="P621" t="str">
        <f t="shared" si="55"/>
        <v/>
      </c>
      <c r="Q621" t="str">
        <f>IF($AS621="","",INDEX('TMP Paste'!$J$2:$J$1601,$AS621))</f>
        <v/>
      </c>
      <c r="R621" t="str">
        <f>IF($AS621="","",Config!$B$24)</f>
        <v/>
      </c>
      <c r="S621" t="str">
        <f ca="1">IF($AS621="","",TEXT(Config!$B$4,"yyyy-mm-dd"))</f>
        <v/>
      </c>
      <c r="T621" t="str">
        <f>IF($AS621="","",Config!$B$17)</f>
        <v/>
      </c>
      <c r="U621" t="str">
        <f>IF($AS621="","",Config!$B$18)</f>
        <v/>
      </c>
      <c r="V621" t="str">
        <f>IF($AS621="","",Config!$B$19)</f>
        <v/>
      </c>
      <c r="W621" t="str">
        <f>IF($AS621="","",INDEX('TMP Paste'!$C$2:$C$1601,$AS621))</f>
        <v/>
      </c>
      <c r="X621" t="str">
        <f>IF($AS621="","",Config!$B$29)</f>
        <v/>
      </c>
      <c r="Y621" t="str">
        <f>IF($AT621="","",INDEX(Calc!$I$2:$I$1601,$AT621)&amp;" - "&amp;INDEX(Calc!$D$2:$D$1601,$AT621)&amp;" koli")</f>
        <v/>
      </c>
      <c r="Z621" t="str">
        <f>IF($AS621="","",Config!$B$21)</f>
        <v/>
      </c>
      <c r="AA621" t="str">
        <f>IF($AS621="","",Config!$B$22)</f>
        <v/>
      </c>
      <c r="AB621" t="str">
        <f>IF($AT621="","",INDEX(Calc!$D$2:$D$1601,$AT621))</f>
        <v/>
      </c>
      <c r="AC621" t="str">
        <f>IF($AT621="","",INDEX(Calc!$G$2:$G$1601,$AT621))</f>
        <v/>
      </c>
      <c r="AD621" t="str">
        <f>IF($AS621="","",Config!$B$23)</f>
        <v/>
      </c>
      <c r="AE621" t="str">
        <f>IF($AS621="","",Config!$B$28)</f>
        <v/>
      </c>
      <c r="AF621" t="str">
        <f t="shared" si="56"/>
        <v/>
      </c>
      <c r="AG621" t="str">
        <f t="shared" si="57"/>
        <v/>
      </c>
      <c r="AH621" t="str">
        <f t="shared" si="58"/>
        <v/>
      </c>
      <c r="AI621" t="str">
        <f>IF($AG621="","",SUMIF($AG$2:$AG621,$AG621,$AH$2:$AH621))</f>
        <v/>
      </c>
      <c r="AJ621" t="str">
        <f>IF('TMP Paste'!$F621="","",IF('TMP Paste'!$B621="",$AJ620,'TMP Paste'!$B621))</f>
        <v/>
      </c>
      <c r="AK621" t="str">
        <f>IF('TMP Paste'!$F621="","",N('TMP Paste'!$G621))</f>
        <v/>
      </c>
      <c r="AL621" t="str">
        <f>IF('TMP Paste'!$F621="","",IF('TMP Paste'!$M621="",$AL620,'TMP Paste'!$M621))</f>
        <v/>
      </c>
      <c r="AM621" t="str">
        <f>IF('TMP Paste'!$F621="","",IF('TMP Paste'!$N621="",$AM620,'TMP Paste'!$N621))</f>
        <v/>
      </c>
      <c r="AN621" t="str">
        <f>IF('TMP Paste'!$F621="","",IF('TMP Paste'!$O621="",$AN620,'TMP Paste'!$O621))</f>
        <v/>
      </c>
      <c r="AO621" t="str">
        <f>IF('TMP Paste'!$F621="","",IF('TMP Paste'!$P621="",$AO620,'TMP Paste'!$P621))</f>
        <v/>
      </c>
      <c r="AP621" t="str">
        <f t="shared" si="59"/>
        <v/>
      </c>
      <c r="AQ621" t="str">
        <f>IF($AS621="","",TRIM(IF(COUNTIFS(Calc!$B$2:$B$1601,ROW()-1,Calc!$C$2:$C$1601,"&lt;1")&gt;0,"Ada PO tanpa Koli - cek TMP. ","")&amp;IF(OR($AU621="",$AU621&lt;=0),"Volume kosong/0 - dimensi dikosongkan. ","")&amp;IF(AND($AU621&lt;&gt;"",$AU621&gt;=1000000),"Volume &gt;= 1.000.000 cm3 (di luar aturan) - dimensi dikosongkan. ","")&amp;IF(LEN($R621)&gt;500,"R &gt; 500 karakter.","")))</f>
        <v/>
      </c>
      <c r="AS621" t="str">
        <f>IFERROR(MATCH(ROW()-1,Calc!$J$2:$J$1601,0),"")</f>
        <v/>
      </c>
      <c r="AT621" t="str">
        <f>IFERROR(MATCH(ROW()-1,Calc!$K$2:$K$1601,0),"")</f>
        <v/>
      </c>
      <c r="AU621" t="str">
        <f>IF($AS621="","",IFERROR(INDEX('TMP Paste'!$D$2:$D$1601,$AS621)*1000000/$AB621,""))</f>
        <v/>
      </c>
    </row>
    <row r="622" spans="1:47">
      <c r="A622" t="str">
        <f>IF($AS622="","",INDEX('TMP Paste'!$B$2:$B$1601,$AS622))</f>
        <v/>
      </c>
      <c r="B622" t="str">
        <f>IF($AS622="","",Config!$B$14)</f>
        <v/>
      </c>
      <c r="C622" t="str">
        <f>IF($AS622="","",Config!$B$15)</f>
        <v/>
      </c>
      <c r="D622" t="str">
        <f>IF($AS622="","",INDEX('TMP Paste'!$B$2:$B$1601,$AS622))</f>
        <v/>
      </c>
      <c r="E622" t="str">
        <f>IF($AS622="","",Config!$B$27)</f>
        <v/>
      </c>
      <c r="F622" t="str">
        <f>IF($AS622="","",Config!$B$9)</f>
        <v/>
      </c>
      <c r="G622" t="str">
        <f>IF($AS622="","",Config!$B$10)</f>
        <v/>
      </c>
      <c r="H622" t="str">
        <f>IF($AS622="","",Config!$B$11)</f>
        <v/>
      </c>
      <c r="I622" t="str">
        <f>IF($AS622="","",Config!$B$16)</f>
        <v/>
      </c>
      <c r="J622" t="str">
        <f>IF($AS622="","",INDEX('TMP Paste'!$A$2:$A$1601,$AS622))</f>
        <v/>
      </c>
      <c r="K622" t="str">
        <f>IF($AS622="","",INDEX('TMP Paste'!$L$2:$L$1601,$AS622))</f>
        <v/>
      </c>
      <c r="L622" t="str">
        <f>IF($AS622="","",INDEX('TMP Paste'!$I$2:$I$1601,$AS622))</f>
        <v/>
      </c>
      <c r="M622" t="str">
        <f>IF($AS622="","",Config!$B$16)</f>
        <v/>
      </c>
      <c r="N622" t="str">
        <f t="shared" si="54"/>
        <v/>
      </c>
      <c r="O622" t="str">
        <f>IF($AS622="","",INDEX('TMP Paste'!$K$2:$K$1601,$AS622))</f>
        <v/>
      </c>
      <c r="P622" t="str">
        <f t="shared" si="55"/>
        <v/>
      </c>
      <c r="Q622" t="str">
        <f>IF($AS622="","",INDEX('TMP Paste'!$J$2:$J$1601,$AS622))</f>
        <v/>
      </c>
      <c r="R622" t="str">
        <f>IF($AS622="","",Config!$B$24)</f>
        <v/>
      </c>
      <c r="S622" t="str">
        <f ca="1">IF($AS622="","",TEXT(Config!$B$4,"yyyy-mm-dd"))</f>
        <v/>
      </c>
      <c r="T622" t="str">
        <f>IF($AS622="","",Config!$B$17)</f>
        <v/>
      </c>
      <c r="U622" t="str">
        <f>IF($AS622="","",Config!$B$18)</f>
        <v/>
      </c>
      <c r="V622" t="str">
        <f>IF($AS622="","",Config!$B$19)</f>
        <v/>
      </c>
      <c r="W622" t="str">
        <f>IF($AS622="","",INDEX('TMP Paste'!$C$2:$C$1601,$AS622))</f>
        <v/>
      </c>
      <c r="X622" t="str">
        <f>IF($AS622="","",Config!$B$29)</f>
        <v/>
      </c>
      <c r="Y622" t="str">
        <f>IF($AT622="","",INDEX(Calc!$I$2:$I$1601,$AT622)&amp;" - "&amp;INDEX(Calc!$D$2:$D$1601,$AT622)&amp;" koli")</f>
        <v/>
      </c>
      <c r="Z622" t="str">
        <f>IF($AS622="","",Config!$B$21)</f>
        <v/>
      </c>
      <c r="AA622" t="str">
        <f>IF($AS622="","",Config!$B$22)</f>
        <v/>
      </c>
      <c r="AB622" t="str">
        <f>IF($AT622="","",INDEX(Calc!$D$2:$D$1601,$AT622))</f>
        <v/>
      </c>
      <c r="AC622" t="str">
        <f>IF($AT622="","",INDEX(Calc!$G$2:$G$1601,$AT622))</f>
        <v/>
      </c>
      <c r="AD622" t="str">
        <f>IF($AS622="","",Config!$B$23)</f>
        <v/>
      </c>
      <c r="AE622" t="str">
        <f>IF($AS622="","",Config!$B$28)</f>
        <v/>
      </c>
      <c r="AF622" t="str">
        <f t="shared" si="56"/>
        <v/>
      </c>
      <c r="AG622" t="str">
        <f t="shared" si="57"/>
        <v/>
      </c>
      <c r="AH622" t="str">
        <f t="shared" si="58"/>
        <v/>
      </c>
      <c r="AI622" t="str">
        <f>IF($AG622="","",SUMIF($AG$2:$AG622,$AG622,$AH$2:$AH622))</f>
        <v/>
      </c>
      <c r="AJ622" t="str">
        <f>IF('TMP Paste'!$F622="","",IF('TMP Paste'!$B622="",$AJ621,'TMP Paste'!$B622))</f>
        <v/>
      </c>
      <c r="AK622" t="str">
        <f>IF('TMP Paste'!$F622="","",N('TMP Paste'!$G622))</f>
        <v/>
      </c>
      <c r="AL622" t="str">
        <f>IF('TMP Paste'!$F622="","",IF('TMP Paste'!$M622="",$AL621,'TMP Paste'!$M622))</f>
        <v/>
      </c>
      <c r="AM622" t="str">
        <f>IF('TMP Paste'!$F622="","",IF('TMP Paste'!$N622="",$AM621,'TMP Paste'!$N622))</f>
        <v/>
      </c>
      <c r="AN622" t="str">
        <f>IF('TMP Paste'!$F622="","",IF('TMP Paste'!$O622="",$AN621,'TMP Paste'!$O622))</f>
        <v/>
      </c>
      <c r="AO622" t="str">
        <f>IF('TMP Paste'!$F622="","",IF('TMP Paste'!$P622="",$AO621,'TMP Paste'!$P622))</f>
        <v/>
      </c>
      <c r="AP622" t="str">
        <f t="shared" si="59"/>
        <v/>
      </c>
      <c r="AQ622" t="str">
        <f>IF($AS622="","",TRIM(IF(COUNTIFS(Calc!$B$2:$B$1601,ROW()-1,Calc!$C$2:$C$1601,"&lt;1")&gt;0,"Ada PO tanpa Koli - cek TMP. ","")&amp;IF(OR($AU622="",$AU622&lt;=0),"Volume kosong/0 - dimensi dikosongkan. ","")&amp;IF(AND($AU622&lt;&gt;"",$AU622&gt;=1000000),"Volume &gt;= 1.000.000 cm3 (di luar aturan) - dimensi dikosongkan. ","")&amp;IF(LEN($R622)&gt;500,"R &gt; 500 karakter.","")))</f>
        <v/>
      </c>
      <c r="AS622" t="str">
        <f>IFERROR(MATCH(ROW()-1,Calc!$J$2:$J$1601,0),"")</f>
        <v/>
      </c>
      <c r="AT622" t="str">
        <f>IFERROR(MATCH(ROW()-1,Calc!$K$2:$K$1601,0),"")</f>
        <v/>
      </c>
      <c r="AU622" t="str">
        <f>IF($AS622="","",IFERROR(INDEX('TMP Paste'!$D$2:$D$1601,$AS622)*1000000/$AB622,""))</f>
        <v/>
      </c>
    </row>
    <row r="623" spans="1:47">
      <c r="A623" t="str">
        <f>IF($AS623="","",INDEX('TMP Paste'!$B$2:$B$1601,$AS623))</f>
        <v/>
      </c>
      <c r="B623" t="str">
        <f>IF($AS623="","",Config!$B$14)</f>
        <v/>
      </c>
      <c r="C623" t="str">
        <f>IF($AS623="","",Config!$B$15)</f>
        <v/>
      </c>
      <c r="D623" t="str">
        <f>IF($AS623="","",INDEX('TMP Paste'!$B$2:$B$1601,$AS623))</f>
        <v/>
      </c>
      <c r="E623" t="str">
        <f>IF($AS623="","",Config!$B$27)</f>
        <v/>
      </c>
      <c r="F623" t="str">
        <f>IF($AS623="","",Config!$B$9)</f>
        <v/>
      </c>
      <c r="G623" t="str">
        <f>IF($AS623="","",Config!$B$10)</f>
        <v/>
      </c>
      <c r="H623" t="str">
        <f>IF($AS623="","",Config!$B$11)</f>
        <v/>
      </c>
      <c r="I623" t="str">
        <f>IF($AS623="","",Config!$B$16)</f>
        <v/>
      </c>
      <c r="J623" t="str">
        <f>IF($AS623="","",INDEX('TMP Paste'!$A$2:$A$1601,$AS623))</f>
        <v/>
      </c>
      <c r="K623" t="str">
        <f>IF($AS623="","",INDEX('TMP Paste'!$L$2:$L$1601,$AS623))</f>
        <v/>
      </c>
      <c r="L623" t="str">
        <f>IF($AS623="","",INDEX('TMP Paste'!$I$2:$I$1601,$AS623))</f>
        <v/>
      </c>
      <c r="M623" t="str">
        <f>IF($AS623="","",Config!$B$16)</f>
        <v/>
      </c>
      <c r="N623" t="str">
        <f t="shared" si="54"/>
        <v/>
      </c>
      <c r="O623" t="str">
        <f>IF($AS623="","",INDEX('TMP Paste'!$K$2:$K$1601,$AS623))</f>
        <v/>
      </c>
      <c r="P623" t="str">
        <f t="shared" si="55"/>
        <v/>
      </c>
      <c r="Q623" t="str">
        <f>IF($AS623="","",INDEX('TMP Paste'!$J$2:$J$1601,$AS623))</f>
        <v/>
      </c>
      <c r="R623" t="str">
        <f>IF($AS623="","",Config!$B$24)</f>
        <v/>
      </c>
      <c r="S623" t="str">
        <f ca="1">IF($AS623="","",TEXT(Config!$B$4,"yyyy-mm-dd"))</f>
        <v/>
      </c>
      <c r="T623" t="str">
        <f>IF($AS623="","",Config!$B$17)</f>
        <v/>
      </c>
      <c r="U623" t="str">
        <f>IF($AS623="","",Config!$B$18)</f>
        <v/>
      </c>
      <c r="V623" t="str">
        <f>IF($AS623="","",Config!$B$19)</f>
        <v/>
      </c>
      <c r="W623" t="str">
        <f>IF($AS623="","",INDEX('TMP Paste'!$C$2:$C$1601,$AS623))</f>
        <v/>
      </c>
      <c r="X623" t="str">
        <f>IF($AS623="","",Config!$B$29)</f>
        <v/>
      </c>
      <c r="Y623" t="str">
        <f>IF($AT623="","",INDEX(Calc!$I$2:$I$1601,$AT623)&amp;" - "&amp;INDEX(Calc!$D$2:$D$1601,$AT623)&amp;" koli")</f>
        <v/>
      </c>
      <c r="Z623" t="str">
        <f>IF($AS623="","",Config!$B$21)</f>
        <v/>
      </c>
      <c r="AA623" t="str">
        <f>IF($AS623="","",Config!$B$22)</f>
        <v/>
      </c>
      <c r="AB623" t="str">
        <f>IF($AT623="","",INDEX(Calc!$D$2:$D$1601,$AT623))</f>
        <v/>
      </c>
      <c r="AC623" t="str">
        <f>IF($AT623="","",INDEX(Calc!$G$2:$G$1601,$AT623))</f>
        <v/>
      </c>
      <c r="AD623" t="str">
        <f>IF($AS623="","",Config!$B$23)</f>
        <v/>
      </c>
      <c r="AE623" t="str">
        <f>IF($AS623="","",Config!$B$28)</f>
        <v/>
      </c>
      <c r="AF623" t="str">
        <f t="shared" si="56"/>
        <v/>
      </c>
      <c r="AG623" t="str">
        <f t="shared" si="57"/>
        <v/>
      </c>
      <c r="AH623" t="str">
        <f t="shared" si="58"/>
        <v/>
      </c>
      <c r="AI623" t="str">
        <f>IF($AG623="","",SUMIF($AG$2:$AG623,$AG623,$AH$2:$AH623))</f>
        <v/>
      </c>
      <c r="AJ623" t="str">
        <f>IF('TMP Paste'!$F623="","",IF('TMP Paste'!$B623="",$AJ622,'TMP Paste'!$B623))</f>
        <v/>
      </c>
      <c r="AK623" t="str">
        <f>IF('TMP Paste'!$F623="","",N('TMP Paste'!$G623))</f>
        <v/>
      </c>
      <c r="AL623" t="str">
        <f>IF('TMP Paste'!$F623="","",IF('TMP Paste'!$M623="",$AL622,'TMP Paste'!$M623))</f>
        <v/>
      </c>
      <c r="AM623" t="str">
        <f>IF('TMP Paste'!$F623="","",IF('TMP Paste'!$N623="",$AM622,'TMP Paste'!$N623))</f>
        <v/>
      </c>
      <c r="AN623" t="str">
        <f>IF('TMP Paste'!$F623="","",IF('TMP Paste'!$O623="",$AN622,'TMP Paste'!$O623))</f>
        <v/>
      </c>
      <c r="AO623" t="str">
        <f>IF('TMP Paste'!$F623="","",IF('TMP Paste'!$P623="",$AO622,'TMP Paste'!$P623))</f>
        <v/>
      </c>
      <c r="AP623" t="str">
        <f t="shared" si="59"/>
        <v/>
      </c>
      <c r="AQ623" t="str">
        <f>IF($AS623="","",TRIM(IF(COUNTIFS(Calc!$B$2:$B$1601,ROW()-1,Calc!$C$2:$C$1601,"&lt;1")&gt;0,"Ada PO tanpa Koli - cek TMP. ","")&amp;IF(OR($AU623="",$AU623&lt;=0),"Volume kosong/0 - dimensi dikosongkan. ","")&amp;IF(AND($AU623&lt;&gt;"",$AU623&gt;=1000000),"Volume &gt;= 1.000.000 cm3 (di luar aturan) - dimensi dikosongkan. ","")&amp;IF(LEN($R623)&gt;500,"R &gt; 500 karakter.","")))</f>
        <v/>
      </c>
      <c r="AS623" t="str">
        <f>IFERROR(MATCH(ROW()-1,Calc!$J$2:$J$1601,0),"")</f>
        <v/>
      </c>
      <c r="AT623" t="str">
        <f>IFERROR(MATCH(ROW()-1,Calc!$K$2:$K$1601,0),"")</f>
        <v/>
      </c>
      <c r="AU623" t="str">
        <f>IF($AS623="","",IFERROR(INDEX('TMP Paste'!$D$2:$D$1601,$AS623)*1000000/$AB623,""))</f>
        <v/>
      </c>
    </row>
    <row r="624" spans="1:47">
      <c r="A624" t="str">
        <f>IF($AS624="","",INDEX('TMP Paste'!$B$2:$B$1601,$AS624))</f>
        <v/>
      </c>
      <c r="B624" t="str">
        <f>IF($AS624="","",Config!$B$14)</f>
        <v/>
      </c>
      <c r="C624" t="str">
        <f>IF($AS624="","",Config!$B$15)</f>
        <v/>
      </c>
      <c r="D624" t="str">
        <f>IF($AS624="","",INDEX('TMP Paste'!$B$2:$B$1601,$AS624))</f>
        <v/>
      </c>
      <c r="E624" t="str">
        <f>IF($AS624="","",Config!$B$27)</f>
        <v/>
      </c>
      <c r="F624" t="str">
        <f>IF($AS624="","",Config!$B$9)</f>
        <v/>
      </c>
      <c r="G624" t="str">
        <f>IF($AS624="","",Config!$B$10)</f>
        <v/>
      </c>
      <c r="H624" t="str">
        <f>IF($AS624="","",Config!$B$11)</f>
        <v/>
      </c>
      <c r="I624" t="str">
        <f>IF($AS624="","",Config!$B$16)</f>
        <v/>
      </c>
      <c r="J624" t="str">
        <f>IF($AS624="","",INDEX('TMP Paste'!$A$2:$A$1601,$AS624))</f>
        <v/>
      </c>
      <c r="K624" t="str">
        <f>IF($AS624="","",INDEX('TMP Paste'!$L$2:$L$1601,$AS624))</f>
        <v/>
      </c>
      <c r="L624" t="str">
        <f>IF($AS624="","",INDEX('TMP Paste'!$I$2:$I$1601,$AS624))</f>
        <v/>
      </c>
      <c r="M624" t="str">
        <f>IF($AS624="","",Config!$B$16)</f>
        <v/>
      </c>
      <c r="N624" t="str">
        <f t="shared" si="54"/>
        <v/>
      </c>
      <c r="O624" t="str">
        <f>IF($AS624="","",INDEX('TMP Paste'!$K$2:$K$1601,$AS624))</f>
        <v/>
      </c>
      <c r="P624" t="str">
        <f t="shared" si="55"/>
        <v/>
      </c>
      <c r="Q624" t="str">
        <f>IF($AS624="","",INDEX('TMP Paste'!$J$2:$J$1601,$AS624))</f>
        <v/>
      </c>
      <c r="R624" t="str">
        <f>IF($AS624="","",Config!$B$24)</f>
        <v/>
      </c>
      <c r="S624" t="str">
        <f ca="1">IF($AS624="","",TEXT(Config!$B$4,"yyyy-mm-dd"))</f>
        <v/>
      </c>
      <c r="T624" t="str">
        <f>IF($AS624="","",Config!$B$17)</f>
        <v/>
      </c>
      <c r="U624" t="str">
        <f>IF($AS624="","",Config!$B$18)</f>
        <v/>
      </c>
      <c r="V624" t="str">
        <f>IF($AS624="","",Config!$B$19)</f>
        <v/>
      </c>
      <c r="W624" t="str">
        <f>IF($AS624="","",INDEX('TMP Paste'!$C$2:$C$1601,$AS624))</f>
        <v/>
      </c>
      <c r="X624" t="str">
        <f>IF($AS624="","",Config!$B$29)</f>
        <v/>
      </c>
      <c r="Y624" t="str">
        <f>IF($AT624="","",INDEX(Calc!$I$2:$I$1601,$AT624)&amp;" - "&amp;INDEX(Calc!$D$2:$D$1601,$AT624)&amp;" koli")</f>
        <v/>
      </c>
      <c r="Z624" t="str">
        <f>IF($AS624="","",Config!$B$21)</f>
        <v/>
      </c>
      <c r="AA624" t="str">
        <f>IF($AS624="","",Config!$B$22)</f>
        <v/>
      </c>
      <c r="AB624" t="str">
        <f>IF($AT624="","",INDEX(Calc!$D$2:$D$1601,$AT624))</f>
        <v/>
      </c>
      <c r="AC624" t="str">
        <f>IF($AT624="","",INDEX(Calc!$G$2:$G$1601,$AT624))</f>
        <v/>
      </c>
      <c r="AD624" t="str">
        <f>IF($AS624="","",Config!$B$23)</f>
        <v/>
      </c>
      <c r="AE624" t="str">
        <f>IF($AS624="","",Config!$B$28)</f>
        <v/>
      </c>
      <c r="AF624" t="str">
        <f t="shared" si="56"/>
        <v/>
      </c>
      <c r="AG624" t="str">
        <f t="shared" si="57"/>
        <v/>
      </c>
      <c r="AH624" t="str">
        <f t="shared" si="58"/>
        <v/>
      </c>
      <c r="AI624" t="str">
        <f>IF($AG624="","",SUMIF($AG$2:$AG624,$AG624,$AH$2:$AH624))</f>
        <v/>
      </c>
      <c r="AJ624" t="str">
        <f>IF('TMP Paste'!$F624="","",IF('TMP Paste'!$B624="",$AJ623,'TMP Paste'!$B624))</f>
        <v/>
      </c>
      <c r="AK624" t="str">
        <f>IF('TMP Paste'!$F624="","",N('TMP Paste'!$G624))</f>
        <v/>
      </c>
      <c r="AL624" t="str">
        <f>IF('TMP Paste'!$F624="","",IF('TMP Paste'!$M624="",$AL623,'TMP Paste'!$M624))</f>
        <v/>
      </c>
      <c r="AM624" t="str">
        <f>IF('TMP Paste'!$F624="","",IF('TMP Paste'!$N624="",$AM623,'TMP Paste'!$N624))</f>
        <v/>
      </c>
      <c r="AN624" t="str">
        <f>IF('TMP Paste'!$F624="","",IF('TMP Paste'!$O624="",$AN623,'TMP Paste'!$O624))</f>
        <v/>
      </c>
      <c r="AO624" t="str">
        <f>IF('TMP Paste'!$F624="","",IF('TMP Paste'!$P624="",$AO623,'TMP Paste'!$P624))</f>
        <v/>
      </c>
      <c r="AP624" t="str">
        <f t="shared" si="59"/>
        <v/>
      </c>
      <c r="AQ624" t="str">
        <f>IF($AS624="","",TRIM(IF(COUNTIFS(Calc!$B$2:$B$1601,ROW()-1,Calc!$C$2:$C$1601,"&lt;1")&gt;0,"Ada PO tanpa Koli - cek TMP. ","")&amp;IF(OR($AU624="",$AU624&lt;=0),"Volume kosong/0 - dimensi dikosongkan. ","")&amp;IF(AND($AU624&lt;&gt;"",$AU624&gt;=1000000),"Volume &gt;= 1.000.000 cm3 (di luar aturan) - dimensi dikosongkan. ","")&amp;IF(LEN($R624)&gt;500,"R &gt; 500 karakter.","")))</f>
        <v/>
      </c>
      <c r="AS624" t="str">
        <f>IFERROR(MATCH(ROW()-1,Calc!$J$2:$J$1601,0),"")</f>
        <v/>
      </c>
      <c r="AT624" t="str">
        <f>IFERROR(MATCH(ROW()-1,Calc!$K$2:$K$1601,0),"")</f>
        <v/>
      </c>
      <c r="AU624" t="str">
        <f>IF($AS624="","",IFERROR(INDEX('TMP Paste'!$D$2:$D$1601,$AS624)*1000000/$AB624,""))</f>
        <v/>
      </c>
    </row>
    <row r="625" spans="1:47">
      <c r="A625" t="str">
        <f>IF($AS625="","",INDEX('TMP Paste'!$B$2:$B$1601,$AS625))</f>
        <v/>
      </c>
      <c r="B625" t="str">
        <f>IF($AS625="","",Config!$B$14)</f>
        <v/>
      </c>
      <c r="C625" t="str">
        <f>IF($AS625="","",Config!$B$15)</f>
        <v/>
      </c>
      <c r="D625" t="str">
        <f>IF($AS625="","",INDEX('TMP Paste'!$B$2:$B$1601,$AS625))</f>
        <v/>
      </c>
      <c r="E625" t="str">
        <f>IF($AS625="","",Config!$B$27)</f>
        <v/>
      </c>
      <c r="F625" t="str">
        <f>IF($AS625="","",Config!$B$9)</f>
        <v/>
      </c>
      <c r="G625" t="str">
        <f>IF($AS625="","",Config!$B$10)</f>
        <v/>
      </c>
      <c r="H625" t="str">
        <f>IF($AS625="","",Config!$B$11)</f>
        <v/>
      </c>
      <c r="I625" t="str">
        <f>IF($AS625="","",Config!$B$16)</f>
        <v/>
      </c>
      <c r="J625" t="str">
        <f>IF($AS625="","",INDEX('TMP Paste'!$A$2:$A$1601,$AS625))</f>
        <v/>
      </c>
      <c r="K625" t="str">
        <f>IF($AS625="","",INDEX('TMP Paste'!$L$2:$L$1601,$AS625))</f>
        <v/>
      </c>
      <c r="L625" t="str">
        <f>IF($AS625="","",INDEX('TMP Paste'!$I$2:$I$1601,$AS625))</f>
        <v/>
      </c>
      <c r="M625" t="str">
        <f>IF($AS625="","",Config!$B$16)</f>
        <v/>
      </c>
      <c r="N625" t="str">
        <f t="shared" si="54"/>
        <v/>
      </c>
      <c r="O625" t="str">
        <f>IF($AS625="","",INDEX('TMP Paste'!$K$2:$K$1601,$AS625))</f>
        <v/>
      </c>
      <c r="P625" t="str">
        <f t="shared" si="55"/>
        <v/>
      </c>
      <c r="Q625" t="str">
        <f>IF($AS625="","",INDEX('TMP Paste'!$J$2:$J$1601,$AS625))</f>
        <v/>
      </c>
      <c r="R625" t="str">
        <f>IF($AS625="","",Config!$B$24)</f>
        <v/>
      </c>
      <c r="S625" t="str">
        <f ca="1">IF($AS625="","",TEXT(Config!$B$4,"yyyy-mm-dd"))</f>
        <v/>
      </c>
      <c r="T625" t="str">
        <f>IF($AS625="","",Config!$B$17)</f>
        <v/>
      </c>
      <c r="U625" t="str">
        <f>IF($AS625="","",Config!$B$18)</f>
        <v/>
      </c>
      <c r="V625" t="str">
        <f>IF($AS625="","",Config!$B$19)</f>
        <v/>
      </c>
      <c r="W625" t="str">
        <f>IF($AS625="","",INDEX('TMP Paste'!$C$2:$C$1601,$AS625))</f>
        <v/>
      </c>
      <c r="X625" t="str">
        <f>IF($AS625="","",Config!$B$29)</f>
        <v/>
      </c>
      <c r="Y625" t="str">
        <f>IF($AT625="","",INDEX(Calc!$I$2:$I$1601,$AT625)&amp;" - "&amp;INDEX(Calc!$D$2:$D$1601,$AT625)&amp;" koli")</f>
        <v/>
      </c>
      <c r="Z625" t="str">
        <f>IF($AS625="","",Config!$B$21)</f>
        <v/>
      </c>
      <c r="AA625" t="str">
        <f>IF($AS625="","",Config!$B$22)</f>
        <v/>
      </c>
      <c r="AB625" t="str">
        <f>IF($AT625="","",INDEX(Calc!$D$2:$D$1601,$AT625))</f>
        <v/>
      </c>
      <c r="AC625" t="str">
        <f>IF($AT625="","",INDEX(Calc!$G$2:$G$1601,$AT625))</f>
        <v/>
      </c>
      <c r="AD625" t="str">
        <f>IF($AS625="","",Config!$B$23)</f>
        <v/>
      </c>
      <c r="AE625" t="str">
        <f>IF($AS625="","",Config!$B$28)</f>
        <v/>
      </c>
      <c r="AF625" t="str">
        <f t="shared" si="56"/>
        <v/>
      </c>
      <c r="AG625" t="str">
        <f t="shared" si="57"/>
        <v/>
      </c>
      <c r="AH625" t="str">
        <f t="shared" si="58"/>
        <v/>
      </c>
      <c r="AI625" t="str">
        <f>IF($AG625="","",SUMIF($AG$2:$AG625,$AG625,$AH$2:$AH625))</f>
        <v/>
      </c>
      <c r="AJ625" t="str">
        <f>IF('TMP Paste'!$F625="","",IF('TMP Paste'!$B625="",$AJ624,'TMP Paste'!$B625))</f>
        <v/>
      </c>
      <c r="AK625" t="str">
        <f>IF('TMP Paste'!$F625="","",N('TMP Paste'!$G625))</f>
        <v/>
      </c>
      <c r="AL625" t="str">
        <f>IF('TMP Paste'!$F625="","",IF('TMP Paste'!$M625="",$AL624,'TMP Paste'!$M625))</f>
        <v/>
      </c>
      <c r="AM625" t="str">
        <f>IF('TMP Paste'!$F625="","",IF('TMP Paste'!$N625="",$AM624,'TMP Paste'!$N625))</f>
        <v/>
      </c>
      <c r="AN625" t="str">
        <f>IF('TMP Paste'!$F625="","",IF('TMP Paste'!$O625="",$AN624,'TMP Paste'!$O625))</f>
        <v/>
      </c>
      <c r="AO625" t="str">
        <f>IF('TMP Paste'!$F625="","",IF('TMP Paste'!$P625="",$AO624,'TMP Paste'!$P625))</f>
        <v/>
      </c>
      <c r="AP625" t="str">
        <f t="shared" si="59"/>
        <v/>
      </c>
      <c r="AQ625" t="str">
        <f>IF($AS625="","",TRIM(IF(COUNTIFS(Calc!$B$2:$B$1601,ROW()-1,Calc!$C$2:$C$1601,"&lt;1")&gt;0,"Ada PO tanpa Koli - cek TMP. ","")&amp;IF(OR($AU625="",$AU625&lt;=0),"Volume kosong/0 - dimensi dikosongkan. ","")&amp;IF(AND($AU625&lt;&gt;"",$AU625&gt;=1000000),"Volume &gt;= 1.000.000 cm3 (di luar aturan) - dimensi dikosongkan. ","")&amp;IF(LEN($R625)&gt;500,"R &gt; 500 karakter.","")))</f>
        <v/>
      </c>
      <c r="AS625" t="str">
        <f>IFERROR(MATCH(ROW()-1,Calc!$J$2:$J$1601,0),"")</f>
        <v/>
      </c>
      <c r="AT625" t="str">
        <f>IFERROR(MATCH(ROW()-1,Calc!$K$2:$K$1601,0),"")</f>
        <v/>
      </c>
      <c r="AU625" t="str">
        <f>IF($AS625="","",IFERROR(INDEX('TMP Paste'!$D$2:$D$1601,$AS625)*1000000/$AB625,""))</f>
        <v/>
      </c>
    </row>
    <row r="626" spans="1:47">
      <c r="A626" t="str">
        <f>IF($AS626="","",INDEX('TMP Paste'!$B$2:$B$1601,$AS626))</f>
        <v/>
      </c>
      <c r="B626" t="str">
        <f>IF($AS626="","",Config!$B$14)</f>
        <v/>
      </c>
      <c r="C626" t="str">
        <f>IF($AS626="","",Config!$B$15)</f>
        <v/>
      </c>
      <c r="D626" t="str">
        <f>IF($AS626="","",INDEX('TMP Paste'!$B$2:$B$1601,$AS626))</f>
        <v/>
      </c>
      <c r="E626" t="str">
        <f>IF($AS626="","",Config!$B$27)</f>
        <v/>
      </c>
      <c r="F626" t="str">
        <f>IF($AS626="","",Config!$B$9)</f>
        <v/>
      </c>
      <c r="G626" t="str">
        <f>IF($AS626="","",Config!$B$10)</f>
        <v/>
      </c>
      <c r="H626" t="str">
        <f>IF($AS626="","",Config!$B$11)</f>
        <v/>
      </c>
      <c r="I626" t="str">
        <f>IF($AS626="","",Config!$B$16)</f>
        <v/>
      </c>
      <c r="J626" t="str">
        <f>IF($AS626="","",INDEX('TMP Paste'!$A$2:$A$1601,$AS626))</f>
        <v/>
      </c>
      <c r="K626" t="str">
        <f>IF($AS626="","",INDEX('TMP Paste'!$L$2:$L$1601,$AS626))</f>
        <v/>
      </c>
      <c r="L626" t="str">
        <f>IF($AS626="","",INDEX('TMP Paste'!$I$2:$I$1601,$AS626))</f>
        <v/>
      </c>
      <c r="M626" t="str">
        <f>IF($AS626="","",Config!$B$16)</f>
        <v/>
      </c>
      <c r="N626" t="str">
        <f t="shared" si="54"/>
        <v/>
      </c>
      <c r="O626" t="str">
        <f>IF($AS626="","",INDEX('TMP Paste'!$K$2:$K$1601,$AS626))</f>
        <v/>
      </c>
      <c r="P626" t="str">
        <f t="shared" si="55"/>
        <v/>
      </c>
      <c r="Q626" t="str">
        <f>IF($AS626="","",INDEX('TMP Paste'!$J$2:$J$1601,$AS626))</f>
        <v/>
      </c>
      <c r="R626" t="str">
        <f>IF($AS626="","",Config!$B$24)</f>
        <v/>
      </c>
      <c r="S626" t="str">
        <f ca="1">IF($AS626="","",TEXT(Config!$B$4,"yyyy-mm-dd"))</f>
        <v/>
      </c>
      <c r="T626" t="str">
        <f>IF($AS626="","",Config!$B$17)</f>
        <v/>
      </c>
      <c r="U626" t="str">
        <f>IF($AS626="","",Config!$B$18)</f>
        <v/>
      </c>
      <c r="V626" t="str">
        <f>IF($AS626="","",Config!$B$19)</f>
        <v/>
      </c>
      <c r="W626" t="str">
        <f>IF($AS626="","",INDEX('TMP Paste'!$C$2:$C$1601,$AS626))</f>
        <v/>
      </c>
      <c r="X626" t="str">
        <f>IF($AS626="","",Config!$B$29)</f>
        <v/>
      </c>
      <c r="Y626" t="str">
        <f>IF($AT626="","",INDEX(Calc!$I$2:$I$1601,$AT626)&amp;" - "&amp;INDEX(Calc!$D$2:$D$1601,$AT626)&amp;" koli")</f>
        <v/>
      </c>
      <c r="Z626" t="str">
        <f>IF($AS626="","",Config!$B$21)</f>
        <v/>
      </c>
      <c r="AA626" t="str">
        <f>IF($AS626="","",Config!$B$22)</f>
        <v/>
      </c>
      <c r="AB626" t="str">
        <f>IF($AT626="","",INDEX(Calc!$D$2:$D$1601,$AT626))</f>
        <v/>
      </c>
      <c r="AC626" t="str">
        <f>IF($AT626="","",INDEX(Calc!$G$2:$G$1601,$AT626))</f>
        <v/>
      </c>
      <c r="AD626" t="str">
        <f>IF($AS626="","",Config!$B$23)</f>
        <v/>
      </c>
      <c r="AE626" t="str">
        <f>IF($AS626="","",Config!$B$28)</f>
        <v/>
      </c>
      <c r="AF626" t="str">
        <f t="shared" si="56"/>
        <v/>
      </c>
      <c r="AG626" t="str">
        <f t="shared" si="57"/>
        <v/>
      </c>
      <c r="AH626" t="str">
        <f t="shared" si="58"/>
        <v/>
      </c>
      <c r="AI626" t="str">
        <f>IF($AG626="","",SUMIF($AG$2:$AG626,$AG626,$AH$2:$AH626))</f>
        <v/>
      </c>
      <c r="AJ626" t="str">
        <f>IF('TMP Paste'!$F626="","",IF('TMP Paste'!$B626="",$AJ625,'TMP Paste'!$B626))</f>
        <v/>
      </c>
      <c r="AK626" t="str">
        <f>IF('TMP Paste'!$F626="","",N('TMP Paste'!$G626))</f>
        <v/>
      </c>
      <c r="AL626" t="str">
        <f>IF('TMP Paste'!$F626="","",IF('TMP Paste'!$M626="",$AL625,'TMP Paste'!$M626))</f>
        <v/>
      </c>
      <c r="AM626" t="str">
        <f>IF('TMP Paste'!$F626="","",IF('TMP Paste'!$N626="",$AM625,'TMP Paste'!$N626))</f>
        <v/>
      </c>
      <c r="AN626" t="str">
        <f>IF('TMP Paste'!$F626="","",IF('TMP Paste'!$O626="",$AN625,'TMP Paste'!$O626))</f>
        <v/>
      </c>
      <c r="AO626" t="str">
        <f>IF('TMP Paste'!$F626="","",IF('TMP Paste'!$P626="",$AO625,'TMP Paste'!$P626))</f>
        <v/>
      </c>
      <c r="AP626" t="str">
        <f t="shared" si="59"/>
        <v/>
      </c>
      <c r="AQ626" t="str">
        <f>IF($AS626="","",TRIM(IF(COUNTIFS(Calc!$B$2:$B$1601,ROW()-1,Calc!$C$2:$C$1601,"&lt;1")&gt;0,"Ada PO tanpa Koli - cek TMP. ","")&amp;IF(OR($AU626="",$AU626&lt;=0),"Volume kosong/0 - dimensi dikosongkan. ","")&amp;IF(AND($AU626&lt;&gt;"",$AU626&gt;=1000000),"Volume &gt;= 1.000.000 cm3 (di luar aturan) - dimensi dikosongkan. ","")&amp;IF(LEN($R626)&gt;500,"R &gt; 500 karakter.","")))</f>
        <v/>
      </c>
      <c r="AS626" t="str">
        <f>IFERROR(MATCH(ROW()-1,Calc!$J$2:$J$1601,0),"")</f>
        <v/>
      </c>
      <c r="AT626" t="str">
        <f>IFERROR(MATCH(ROW()-1,Calc!$K$2:$K$1601,0),"")</f>
        <v/>
      </c>
      <c r="AU626" t="str">
        <f>IF($AS626="","",IFERROR(INDEX('TMP Paste'!$D$2:$D$1601,$AS626)*1000000/$AB626,""))</f>
        <v/>
      </c>
    </row>
    <row r="627" spans="1:47">
      <c r="A627" t="str">
        <f>IF($AS627="","",INDEX('TMP Paste'!$B$2:$B$1601,$AS627))</f>
        <v/>
      </c>
      <c r="B627" t="str">
        <f>IF($AS627="","",Config!$B$14)</f>
        <v/>
      </c>
      <c r="C627" t="str">
        <f>IF($AS627="","",Config!$B$15)</f>
        <v/>
      </c>
      <c r="D627" t="str">
        <f>IF($AS627="","",INDEX('TMP Paste'!$B$2:$B$1601,$AS627))</f>
        <v/>
      </c>
      <c r="E627" t="str">
        <f>IF($AS627="","",Config!$B$27)</f>
        <v/>
      </c>
      <c r="F627" t="str">
        <f>IF($AS627="","",Config!$B$9)</f>
        <v/>
      </c>
      <c r="G627" t="str">
        <f>IF($AS627="","",Config!$B$10)</f>
        <v/>
      </c>
      <c r="H627" t="str">
        <f>IF($AS627="","",Config!$B$11)</f>
        <v/>
      </c>
      <c r="I627" t="str">
        <f>IF($AS627="","",Config!$B$16)</f>
        <v/>
      </c>
      <c r="J627" t="str">
        <f>IF($AS627="","",INDEX('TMP Paste'!$A$2:$A$1601,$AS627))</f>
        <v/>
      </c>
      <c r="K627" t="str">
        <f>IF($AS627="","",INDEX('TMP Paste'!$L$2:$L$1601,$AS627))</f>
        <v/>
      </c>
      <c r="L627" t="str">
        <f>IF($AS627="","",INDEX('TMP Paste'!$I$2:$I$1601,$AS627))</f>
        <v/>
      </c>
      <c r="M627" t="str">
        <f>IF($AS627="","",Config!$B$16)</f>
        <v/>
      </c>
      <c r="N627" t="str">
        <f t="shared" si="54"/>
        <v/>
      </c>
      <c r="O627" t="str">
        <f>IF($AS627="","",INDEX('TMP Paste'!$K$2:$K$1601,$AS627))</f>
        <v/>
      </c>
      <c r="P627" t="str">
        <f t="shared" si="55"/>
        <v/>
      </c>
      <c r="Q627" t="str">
        <f>IF($AS627="","",INDEX('TMP Paste'!$J$2:$J$1601,$AS627))</f>
        <v/>
      </c>
      <c r="R627" t="str">
        <f>IF($AS627="","",Config!$B$24)</f>
        <v/>
      </c>
      <c r="S627" t="str">
        <f ca="1">IF($AS627="","",TEXT(Config!$B$4,"yyyy-mm-dd"))</f>
        <v/>
      </c>
      <c r="T627" t="str">
        <f>IF($AS627="","",Config!$B$17)</f>
        <v/>
      </c>
      <c r="U627" t="str">
        <f>IF($AS627="","",Config!$B$18)</f>
        <v/>
      </c>
      <c r="V627" t="str">
        <f>IF($AS627="","",Config!$B$19)</f>
        <v/>
      </c>
      <c r="W627" t="str">
        <f>IF($AS627="","",INDEX('TMP Paste'!$C$2:$C$1601,$AS627))</f>
        <v/>
      </c>
      <c r="X627" t="str">
        <f>IF($AS627="","",Config!$B$29)</f>
        <v/>
      </c>
      <c r="Y627" t="str">
        <f>IF($AT627="","",INDEX(Calc!$I$2:$I$1601,$AT627)&amp;" - "&amp;INDEX(Calc!$D$2:$D$1601,$AT627)&amp;" koli")</f>
        <v/>
      </c>
      <c r="Z627" t="str">
        <f>IF($AS627="","",Config!$B$21)</f>
        <v/>
      </c>
      <c r="AA627" t="str">
        <f>IF($AS627="","",Config!$B$22)</f>
        <v/>
      </c>
      <c r="AB627" t="str">
        <f>IF($AT627="","",INDEX(Calc!$D$2:$D$1601,$AT627))</f>
        <v/>
      </c>
      <c r="AC627" t="str">
        <f>IF($AT627="","",INDEX(Calc!$G$2:$G$1601,$AT627))</f>
        <v/>
      </c>
      <c r="AD627" t="str">
        <f>IF($AS627="","",Config!$B$23)</f>
        <v/>
      </c>
      <c r="AE627" t="str">
        <f>IF($AS627="","",Config!$B$28)</f>
        <v/>
      </c>
      <c r="AF627" t="str">
        <f t="shared" si="56"/>
        <v/>
      </c>
      <c r="AG627" t="str">
        <f t="shared" si="57"/>
        <v/>
      </c>
      <c r="AH627" t="str">
        <f t="shared" si="58"/>
        <v/>
      </c>
      <c r="AI627" t="str">
        <f>IF($AG627="","",SUMIF($AG$2:$AG627,$AG627,$AH$2:$AH627))</f>
        <v/>
      </c>
      <c r="AJ627" t="str">
        <f>IF('TMP Paste'!$F627="","",IF('TMP Paste'!$B627="",$AJ626,'TMP Paste'!$B627))</f>
        <v/>
      </c>
      <c r="AK627" t="str">
        <f>IF('TMP Paste'!$F627="","",N('TMP Paste'!$G627))</f>
        <v/>
      </c>
      <c r="AL627" t="str">
        <f>IF('TMP Paste'!$F627="","",IF('TMP Paste'!$M627="",$AL626,'TMP Paste'!$M627))</f>
        <v/>
      </c>
      <c r="AM627" t="str">
        <f>IF('TMP Paste'!$F627="","",IF('TMP Paste'!$N627="",$AM626,'TMP Paste'!$N627))</f>
        <v/>
      </c>
      <c r="AN627" t="str">
        <f>IF('TMP Paste'!$F627="","",IF('TMP Paste'!$O627="",$AN626,'TMP Paste'!$O627))</f>
        <v/>
      </c>
      <c r="AO627" t="str">
        <f>IF('TMP Paste'!$F627="","",IF('TMP Paste'!$P627="",$AO626,'TMP Paste'!$P627))</f>
        <v/>
      </c>
      <c r="AP627" t="str">
        <f t="shared" si="59"/>
        <v/>
      </c>
      <c r="AQ627" t="str">
        <f>IF($AS627="","",TRIM(IF(COUNTIFS(Calc!$B$2:$B$1601,ROW()-1,Calc!$C$2:$C$1601,"&lt;1")&gt;0,"Ada PO tanpa Koli - cek TMP. ","")&amp;IF(OR($AU627="",$AU627&lt;=0),"Volume kosong/0 - dimensi dikosongkan. ","")&amp;IF(AND($AU627&lt;&gt;"",$AU627&gt;=1000000),"Volume &gt;= 1.000.000 cm3 (di luar aturan) - dimensi dikosongkan. ","")&amp;IF(LEN($R627)&gt;500,"R &gt; 500 karakter.","")))</f>
        <v/>
      </c>
      <c r="AS627" t="str">
        <f>IFERROR(MATCH(ROW()-1,Calc!$J$2:$J$1601,0),"")</f>
        <v/>
      </c>
      <c r="AT627" t="str">
        <f>IFERROR(MATCH(ROW()-1,Calc!$K$2:$K$1601,0),"")</f>
        <v/>
      </c>
      <c r="AU627" t="str">
        <f>IF($AS627="","",IFERROR(INDEX('TMP Paste'!$D$2:$D$1601,$AS627)*1000000/$AB627,""))</f>
        <v/>
      </c>
    </row>
    <row r="628" spans="1:47">
      <c r="A628" t="str">
        <f>IF($AS628="","",INDEX('TMP Paste'!$B$2:$B$1601,$AS628))</f>
        <v/>
      </c>
      <c r="B628" t="str">
        <f>IF($AS628="","",Config!$B$14)</f>
        <v/>
      </c>
      <c r="C628" t="str">
        <f>IF($AS628="","",Config!$B$15)</f>
        <v/>
      </c>
      <c r="D628" t="str">
        <f>IF($AS628="","",INDEX('TMP Paste'!$B$2:$B$1601,$AS628))</f>
        <v/>
      </c>
      <c r="E628" t="str">
        <f>IF($AS628="","",Config!$B$27)</f>
        <v/>
      </c>
      <c r="F628" t="str">
        <f>IF($AS628="","",Config!$B$9)</f>
        <v/>
      </c>
      <c r="G628" t="str">
        <f>IF($AS628="","",Config!$B$10)</f>
        <v/>
      </c>
      <c r="H628" t="str">
        <f>IF($AS628="","",Config!$B$11)</f>
        <v/>
      </c>
      <c r="I628" t="str">
        <f>IF($AS628="","",Config!$B$16)</f>
        <v/>
      </c>
      <c r="J628" t="str">
        <f>IF($AS628="","",INDEX('TMP Paste'!$A$2:$A$1601,$AS628))</f>
        <v/>
      </c>
      <c r="K628" t="str">
        <f>IF($AS628="","",INDEX('TMP Paste'!$L$2:$L$1601,$AS628))</f>
        <v/>
      </c>
      <c r="L628" t="str">
        <f>IF($AS628="","",INDEX('TMP Paste'!$I$2:$I$1601,$AS628))</f>
        <v/>
      </c>
      <c r="M628" t="str">
        <f>IF($AS628="","",Config!$B$16)</f>
        <v/>
      </c>
      <c r="N628" t="str">
        <f t="shared" si="54"/>
        <v/>
      </c>
      <c r="O628" t="str">
        <f>IF($AS628="","",INDEX('TMP Paste'!$K$2:$K$1601,$AS628))</f>
        <v/>
      </c>
      <c r="P628" t="str">
        <f t="shared" si="55"/>
        <v/>
      </c>
      <c r="Q628" t="str">
        <f>IF($AS628="","",INDEX('TMP Paste'!$J$2:$J$1601,$AS628))</f>
        <v/>
      </c>
      <c r="R628" t="str">
        <f>IF($AS628="","",Config!$B$24)</f>
        <v/>
      </c>
      <c r="S628" t="str">
        <f ca="1">IF($AS628="","",TEXT(Config!$B$4,"yyyy-mm-dd"))</f>
        <v/>
      </c>
      <c r="T628" t="str">
        <f>IF($AS628="","",Config!$B$17)</f>
        <v/>
      </c>
      <c r="U628" t="str">
        <f>IF($AS628="","",Config!$B$18)</f>
        <v/>
      </c>
      <c r="V628" t="str">
        <f>IF($AS628="","",Config!$B$19)</f>
        <v/>
      </c>
      <c r="W628" t="str">
        <f>IF($AS628="","",INDEX('TMP Paste'!$C$2:$C$1601,$AS628))</f>
        <v/>
      </c>
      <c r="X628" t="str">
        <f>IF($AS628="","",Config!$B$29)</f>
        <v/>
      </c>
      <c r="Y628" t="str">
        <f>IF($AT628="","",INDEX(Calc!$I$2:$I$1601,$AT628)&amp;" - "&amp;INDEX(Calc!$D$2:$D$1601,$AT628)&amp;" koli")</f>
        <v/>
      </c>
      <c r="Z628" t="str">
        <f>IF($AS628="","",Config!$B$21)</f>
        <v/>
      </c>
      <c r="AA628" t="str">
        <f>IF($AS628="","",Config!$B$22)</f>
        <v/>
      </c>
      <c r="AB628" t="str">
        <f>IF($AT628="","",INDEX(Calc!$D$2:$D$1601,$AT628))</f>
        <v/>
      </c>
      <c r="AC628" t="str">
        <f>IF($AT628="","",INDEX(Calc!$G$2:$G$1601,$AT628))</f>
        <v/>
      </c>
      <c r="AD628" t="str">
        <f>IF($AS628="","",Config!$B$23)</f>
        <v/>
      </c>
      <c r="AE628" t="str">
        <f>IF($AS628="","",Config!$B$28)</f>
        <v/>
      </c>
      <c r="AF628" t="str">
        <f t="shared" si="56"/>
        <v/>
      </c>
      <c r="AG628" t="str">
        <f t="shared" si="57"/>
        <v/>
      </c>
      <c r="AH628" t="str">
        <f t="shared" si="58"/>
        <v/>
      </c>
      <c r="AI628" t="str">
        <f>IF($AG628="","",SUMIF($AG$2:$AG628,$AG628,$AH$2:$AH628))</f>
        <v/>
      </c>
      <c r="AJ628" t="str">
        <f>IF('TMP Paste'!$F628="","",IF('TMP Paste'!$B628="",$AJ627,'TMP Paste'!$B628))</f>
        <v/>
      </c>
      <c r="AK628" t="str">
        <f>IF('TMP Paste'!$F628="","",N('TMP Paste'!$G628))</f>
        <v/>
      </c>
      <c r="AL628" t="str">
        <f>IF('TMP Paste'!$F628="","",IF('TMP Paste'!$M628="",$AL627,'TMP Paste'!$M628))</f>
        <v/>
      </c>
      <c r="AM628" t="str">
        <f>IF('TMP Paste'!$F628="","",IF('TMP Paste'!$N628="",$AM627,'TMP Paste'!$N628))</f>
        <v/>
      </c>
      <c r="AN628" t="str">
        <f>IF('TMP Paste'!$F628="","",IF('TMP Paste'!$O628="",$AN627,'TMP Paste'!$O628))</f>
        <v/>
      </c>
      <c r="AO628" t="str">
        <f>IF('TMP Paste'!$F628="","",IF('TMP Paste'!$P628="",$AO627,'TMP Paste'!$P628))</f>
        <v/>
      </c>
      <c r="AP628" t="str">
        <f t="shared" si="59"/>
        <v/>
      </c>
      <c r="AQ628" t="str">
        <f>IF($AS628="","",TRIM(IF(COUNTIFS(Calc!$B$2:$B$1601,ROW()-1,Calc!$C$2:$C$1601,"&lt;1")&gt;0,"Ada PO tanpa Koli - cek TMP. ","")&amp;IF(OR($AU628="",$AU628&lt;=0),"Volume kosong/0 - dimensi dikosongkan. ","")&amp;IF(AND($AU628&lt;&gt;"",$AU628&gt;=1000000),"Volume &gt;= 1.000.000 cm3 (di luar aturan) - dimensi dikosongkan. ","")&amp;IF(LEN($R628)&gt;500,"R &gt; 500 karakter.","")))</f>
        <v/>
      </c>
      <c r="AS628" t="str">
        <f>IFERROR(MATCH(ROW()-1,Calc!$J$2:$J$1601,0),"")</f>
        <v/>
      </c>
      <c r="AT628" t="str">
        <f>IFERROR(MATCH(ROW()-1,Calc!$K$2:$K$1601,0),"")</f>
        <v/>
      </c>
      <c r="AU628" t="str">
        <f>IF($AS628="","",IFERROR(INDEX('TMP Paste'!$D$2:$D$1601,$AS628)*1000000/$AB628,""))</f>
        <v/>
      </c>
    </row>
    <row r="629" spans="1:47">
      <c r="A629" t="str">
        <f>IF($AS629="","",INDEX('TMP Paste'!$B$2:$B$1601,$AS629))</f>
        <v/>
      </c>
      <c r="B629" t="str">
        <f>IF($AS629="","",Config!$B$14)</f>
        <v/>
      </c>
      <c r="C629" t="str">
        <f>IF($AS629="","",Config!$B$15)</f>
        <v/>
      </c>
      <c r="D629" t="str">
        <f>IF($AS629="","",INDEX('TMP Paste'!$B$2:$B$1601,$AS629))</f>
        <v/>
      </c>
      <c r="E629" t="str">
        <f>IF($AS629="","",Config!$B$27)</f>
        <v/>
      </c>
      <c r="F629" t="str">
        <f>IF($AS629="","",Config!$B$9)</f>
        <v/>
      </c>
      <c r="G629" t="str">
        <f>IF($AS629="","",Config!$B$10)</f>
        <v/>
      </c>
      <c r="H629" t="str">
        <f>IF($AS629="","",Config!$B$11)</f>
        <v/>
      </c>
      <c r="I629" t="str">
        <f>IF($AS629="","",Config!$B$16)</f>
        <v/>
      </c>
      <c r="J629" t="str">
        <f>IF($AS629="","",INDEX('TMP Paste'!$A$2:$A$1601,$AS629))</f>
        <v/>
      </c>
      <c r="K629" t="str">
        <f>IF($AS629="","",INDEX('TMP Paste'!$L$2:$L$1601,$AS629))</f>
        <v/>
      </c>
      <c r="L629" t="str">
        <f>IF($AS629="","",INDEX('TMP Paste'!$I$2:$I$1601,$AS629))</f>
        <v/>
      </c>
      <c r="M629" t="str">
        <f>IF($AS629="","",Config!$B$16)</f>
        <v/>
      </c>
      <c r="N629" t="str">
        <f t="shared" si="54"/>
        <v/>
      </c>
      <c r="O629" t="str">
        <f>IF($AS629="","",INDEX('TMP Paste'!$K$2:$K$1601,$AS629))</f>
        <v/>
      </c>
      <c r="P629" t="str">
        <f t="shared" si="55"/>
        <v/>
      </c>
      <c r="Q629" t="str">
        <f>IF($AS629="","",INDEX('TMP Paste'!$J$2:$J$1601,$AS629))</f>
        <v/>
      </c>
      <c r="R629" t="str">
        <f>IF($AS629="","",Config!$B$24)</f>
        <v/>
      </c>
      <c r="S629" t="str">
        <f ca="1">IF($AS629="","",TEXT(Config!$B$4,"yyyy-mm-dd"))</f>
        <v/>
      </c>
      <c r="T629" t="str">
        <f>IF($AS629="","",Config!$B$17)</f>
        <v/>
      </c>
      <c r="U629" t="str">
        <f>IF($AS629="","",Config!$B$18)</f>
        <v/>
      </c>
      <c r="V629" t="str">
        <f>IF($AS629="","",Config!$B$19)</f>
        <v/>
      </c>
      <c r="W629" t="str">
        <f>IF($AS629="","",INDEX('TMP Paste'!$C$2:$C$1601,$AS629))</f>
        <v/>
      </c>
      <c r="X629" t="str">
        <f>IF($AS629="","",Config!$B$29)</f>
        <v/>
      </c>
      <c r="Y629" t="str">
        <f>IF($AT629="","",INDEX(Calc!$I$2:$I$1601,$AT629)&amp;" - "&amp;INDEX(Calc!$D$2:$D$1601,$AT629)&amp;" koli")</f>
        <v/>
      </c>
      <c r="Z629" t="str">
        <f>IF($AS629="","",Config!$B$21)</f>
        <v/>
      </c>
      <c r="AA629" t="str">
        <f>IF($AS629="","",Config!$B$22)</f>
        <v/>
      </c>
      <c r="AB629" t="str">
        <f>IF($AT629="","",INDEX(Calc!$D$2:$D$1601,$AT629))</f>
        <v/>
      </c>
      <c r="AC629" t="str">
        <f>IF($AT629="","",INDEX(Calc!$G$2:$G$1601,$AT629))</f>
        <v/>
      </c>
      <c r="AD629" t="str">
        <f>IF($AS629="","",Config!$B$23)</f>
        <v/>
      </c>
      <c r="AE629" t="str">
        <f>IF($AS629="","",Config!$B$28)</f>
        <v/>
      </c>
      <c r="AF629" t="str">
        <f t="shared" si="56"/>
        <v/>
      </c>
      <c r="AG629" t="str">
        <f t="shared" si="57"/>
        <v/>
      </c>
      <c r="AH629" t="str">
        <f t="shared" si="58"/>
        <v/>
      </c>
      <c r="AI629" t="str">
        <f>IF($AG629="","",SUMIF($AG$2:$AG629,$AG629,$AH$2:$AH629))</f>
        <v/>
      </c>
      <c r="AJ629" t="str">
        <f>IF('TMP Paste'!$F629="","",IF('TMP Paste'!$B629="",$AJ628,'TMP Paste'!$B629))</f>
        <v/>
      </c>
      <c r="AK629" t="str">
        <f>IF('TMP Paste'!$F629="","",N('TMP Paste'!$G629))</f>
        <v/>
      </c>
      <c r="AL629" t="str">
        <f>IF('TMP Paste'!$F629="","",IF('TMP Paste'!$M629="",$AL628,'TMP Paste'!$M629))</f>
        <v/>
      </c>
      <c r="AM629" t="str">
        <f>IF('TMP Paste'!$F629="","",IF('TMP Paste'!$N629="",$AM628,'TMP Paste'!$N629))</f>
        <v/>
      </c>
      <c r="AN629" t="str">
        <f>IF('TMP Paste'!$F629="","",IF('TMP Paste'!$O629="",$AN628,'TMP Paste'!$O629))</f>
        <v/>
      </c>
      <c r="AO629" t="str">
        <f>IF('TMP Paste'!$F629="","",IF('TMP Paste'!$P629="",$AO628,'TMP Paste'!$P629))</f>
        <v/>
      </c>
      <c r="AP629" t="str">
        <f t="shared" si="59"/>
        <v/>
      </c>
      <c r="AQ629" t="str">
        <f>IF($AS629="","",TRIM(IF(COUNTIFS(Calc!$B$2:$B$1601,ROW()-1,Calc!$C$2:$C$1601,"&lt;1")&gt;0,"Ada PO tanpa Koli - cek TMP. ","")&amp;IF(OR($AU629="",$AU629&lt;=0),"Volume kosong/0 - dimensi dikosongkan. ","")&amp;IF(AND($AU629&lt;&gt;"",$AU629&gt;=1000000),"Volume &gt;= 1.000.000 cm3 (di luar aturan) - dimensi dikosongkan. ","")&amp;IF(LEN($R629)&gt;500,"R &gt; 500 karakter.","")))</f>
        <v/>
      </c>
      <c r="AS629" t="str">
        <f>IFERROR(MATCH(ROW()-1,Calc!$J$2:$J$1601,0),"")</f>
        <v/>
      </c>
      <c r="AT629" t="str">
        <f>IFERROR(MATCH(ROW()-1,Calc!$K$2:$K$1601,0),"")</f>
        <v/>
      </c>
      <c r="AU629" t="str">
        <f>IF($AS629="","",IFERROR(INDEX('TMP Paste'!$D$2:$D$1601,$AS629)*1000000/$AB629,""))</f>
        <v/>
      </c>
    </row>
    <row r="630" spans="1:47">
      <c r="A630" t="str">
        <f>IF($AS630="","",INDEX('TMP Paste'!$B$2:$B$1601,$AS630))</f>
        <v/>
      </c>
      <c r="B630" t="str">
        <f>IF($AS630="","",Config!$B$14)</f>
        <v/>
      </c>
      <c r="C630" t="str">
        <f>IF($AS630="","",Config!$B$15)</f>
        <v/>
      </c>
      <c r="D630" t="str">
        <f>IF($AS630="","",INDEX('TMP Paste'!$B$2:$B$1601,$AS630))</f>
        <v/>
      </c>
      <c r="E630" t="str">
        <f>IF($AS630="","",Config!$B$27)</f>
        <v/>
      </c>
      <c r="F630" t="str">
        <f>IF($AS630="","",Config!$B$9)</f>
        <v/>
      </c>
      <c r="G630" t="str">
        <f>IF($AS630="","",Config!$B$10)</f>
        <v/>
      </c>
      <c r="H630" t="str">
        <f>IF($AS630="","",Config!$B$11)</f>
        <v/>
      </c>
      <c r="I630" t="str">
        <f>IF($AS630="","",Config!$B$16)</f>
        <v/>
      </c>
      <c r="J630" t="str">
        <f>IF($AS630="","",INDEX('TMP Paste'!$A$2:$A$1601,$AS630))</f>
        <v/>
      </c>
      <c r="K630" t="str">
        <f>IF($AS630="","",INDEX('TMP Paste'!$L$2:$L$1601,$AS630))</f>
        <v/>
      </c>
      <c r="L630" t="str">
        <f>IF($AS630="","",INDEX('TMP Paste'!$I$2:$I$1601,$AS630))</f>
        <v/>
      </c>
      <c r="M630" t="str">
        <f>IF($AS630="","",Config!$B$16)</f>
        <v/>
      </c>
      <c r="N630" t="str">
        <f t="shared" si="54"/>
        <v/>
      </c>
      <c r="O630" t="str">
        <f>IF($AS630="","",INDEX('TMP Paste'!$K$2:$K$1601,$AS630))</f>
        <v/>
      </c>
      <c r="P630" t="str">
        <f t="shared" si="55"/>
        <v/>
      </c>
      <c r="Q630" t="str">
        <f>IF($AS630="","",INDEX('TMP Paste'!$J$2:$J$1601,$AS630))</f>
        <v/>
      </c>
      <c r="R630" t="str">
        <f>IF($AS630="","",Config!$B$24)</f>
        <v/>
      </c>
      <c r="S630" t="str">
        <f ca="1">IF($AS630="","",TEXT(Config!$B$4,"yyyy-mm-dd"))</f>
        <v/>
      </c>
      <c r="T630" t="str">
        <f>IF($AS630="","",Config!$B$17)</f>
        <v/>
      </c>
      <c r="U630" t="str">
        <f>IF($AS630="","",Config!$B$18)</f>
        <v/>
      </c>
      <c r="V630" t="str">
        <f>IF($AS630="","",Config!$B$19)</f>
        <v/>
      </c>
      <c r="W630" t="str">
        <f>IF($AS630="","",INDEX('TMP Paste'!$C$2:$C$1601,$AS630))</f>
        <v/>
      </c>
      <c r="X630" t="str">
        <f>IF($AS630="","",Config!$B$29)</f>
        <v/>
      </c>
      <c r="Y630" t="str">
        <f>IF($AT630="","",INDEX(Calc!$I$2:$I$1601,$AT630)&amp;" - "&amp;INDEX(Calc!$D$2:$D$1601,$AT630)&amp;" koli")</f>
        <v/>
      </c>
      <c r="Z630" t="str">
        <f>IF($AS630="","",Config!$B$21)</f>
        <v/>
      </c>
      <c r="AA630" t="str">
        <f>IF($AS630="","",Config!$B$22)</f>
        <v/>
      </c>
      <c r="AB630" t="str">
        <f>IF($AT630="","",INDEX(Calc!$D$2:$D$1601,$AT630))</f>
        <v/>
      </c>
      <c r="AC630" t="str">
        <f>IF($AT630="","",INDEX(Calc!$G$2:$G$1601,$AT630))</f>
        <v/>
      </c>
      <c r="AD630" t="str">
        <f>IF($AS630="","",Config!$B$23)</f>
        <v/>
      </c>
      <c r="AE630" t="str">
        <f>IF($AS630="","",Config!$B$28)</f>
        <v/>
      </c>
      <c r="AF630" t="str">
        <f t="shared" si="56"/>
        <v/>
      </c>
      <c r="AG630" t="str">
        <f t="shared" si="57"/>
        <v/>
      </c>
      <c r="AH630" t="str">
        <f t="shared" si="58"/>
        <v/>
      </c>
      <c r="AI630" t="str">
        <f>IF($AG630="","",SUMIF($AG$2:$AG630,$AG630,$AH$2:$AH630))</f>
        <v/>
      </c>
      <c r="AJ630" t="str">
        <f>IF('TMP Paste'!$F630="","",IF('TMP Paste'!$B630="",$AJ629,'TMP Paste'!$B630))</f>
        <v/>
      </c>
      <c r="AK630" t="str">
        <f>IF('TMP Paste'!$F630="","",N('TMP Paste'!$G630))</f>
        <v/>
      </c>
      <c r="AL630" t="str">
        <f>IF('TMP Paste'!$F630="","",IF('TMP Paste'!$M630="",$AL629,'TMP Paste'!$M630))</f>
        <v/>
      </c>
      <c r="AM630" t="str">
        <f>IF('TMP Paste'!$F630="","",IF('TMP Paste'!$N630="",$AM629,'TMP Paste'!$N630))</f>
        <v/>
      </c>
      <c r="AN630" t="str">
        <f>IF('TMP Paste'!$F630="","",IF('TMP Paste'!$O630="",$AN629,'TMP Paste'!$O630))</f>
        <v/>
      </c>
      <c r="AO630" t="str">
        <f>IF('TMP Paste'!$F630="","",IF('TMP Paste'!$P630="",$AO629,'TMP Paste'!$P630))</f>
        <v/>
      </c>
      <c r="AP630" t="str">
        <f t="shared" si="59"/>
        <v/>
      </c>
      <c r="AQ630" t="str">
        <f>IF($AS630="","",TRIM(IF(COUNTIFS(Calc!$B$2:$B$1601,ROW()-1,Calc!$C$2:$C$1601,"&lt;1")&gt;0,"Ada PO tanpa Koli - cek TMP. ","")&amp;IF(OR($AU630="",$AU630&lt;=0),"Volume kosong/0 - dimensi dikosongkan. ","")&amp;IF(AND($AU630&lt;&gt;"",$AU630&gt;=1000000),"Volume &gt;= 1.000.000 cm3 (di luar aturan) - dimensi dikosongkan. ","")&amp;IF(LEN($R630)&gt;500,"R &gt; 500 karakter.","")))</f>
        <v/>
      </c>
      <c r="AS630" t="str">
        <f>IFERROR(MATCH(ROW()-1,Calc!$J$2:$J$1601,0),"")</f>
        <v/>
      </c>
      <c r="AT630" t="str">
        <f>IFERROR(MATCH(ROW()-1,Calc!$K$2:$K$1601,0),"")</f>
        <v/>
      </c>
      <c r="AU630" t="str">
        <f>IF($AS630="","",IFERROR(INDEX('TMP Paste'!$D$2:$D$1601,$AS630)*1000000/$AB630,""))</f>
        <v/>
      </c>
    </row>
    <row r="631" spans="1:47">
      <c r="A631" t="str">
        <f>IF($AS631="","",INDEX('TMP Paste'!$B$2:$B$1601,$AS631))</f>
        <v/>
      </c>
      <c r="B631" t="str">
        <f>IF($AS631="","",Config!$B$14)</f>
        <v/>
      </c>
      <c r="C631" t="str">
        <f>IF($AS631="","",Config!$B$15)</f>
        <v/>
      </c>
      <c r="D631" t="str">
        <f>IF($AS631="","",INDEX('TMP Paste'!$B$2:$B$1601,$AS631))</f>
        <v/>
      </c>
      <c r="E631" t="str">
        <f>IF($AS631="","",Config!$B$27)</f>
        <v/>
      </c>
      <c r="F631" t="str">
        <f>IF($AS631="","",Config!$B$9)</f>
        <v/>
      </c>
      <c r="G631" t="str">
        <f>IF($AS631="","",Config!$B$10)</f>
        <v/>
      </c>
      <c r="H631" t="str">
        <f>IF($AS631="","",Config!$B$11)</f>
        <v/>
      </c>
      <c r="I631" t="str">
        <f>IF($AS631="","",Config!$B$16)</f>
        <v/>
      </c>
      <c r="J631" t="str">
        <f>IF($AS631="","",INDEX('TMP Paste'!$A$2:$A$1601,$AS631))</f>
        <v/>
      </c>
      <c r="K631" t="str">
        <f>IF($AS631="","",INDEX('TMP Paste'!$L$2:$L$1601,$AS631))</f>
        <v/>
      </c>
      <c r="L631" t="str">
        <f>IF($AS631="","",INDEX('TMP Paste'!$I$2:$I$1601,$AS631))</f>
        <v/>
      </c>
      <c r="M631" t="str">
        <f>IF($AS631="","",Config!$B$16)</f>
        <v/>
      </c>
      <c r="N631" t="str">
        <f t="shared" si="54"/>
        <v/>
      </c>
      <c r="O631" t="str">
        <f>IF($AS631="","",INDEX('TMP Paste'!$K$2:$K$1601,$AS631))</f>
        <v/>
      </c>
      <c r="P631" t="str">
        <f t="shared" si="55"/>
        <v/>
      </c>
      <c r="Q631" t="str">
        <f>IF($AS631="","",INDEX('TMP Paste'!$J$2:$J$1601,$AS631))</f>
        <v/>
      </c>
      <c r="R631" t="str">
        <f>IF($AS631="","",Config!$B$24)</f>
        <v/>
      </c>
      <c r="S631" t="str">
        <f ca="1">IF($AS631="","",TEXT(Config!$B$4,"yyyy-mm-dd"))</f>
        <v/>
      </c>
      <c r="T631" t="str">
        <f>IF($AS631="","",Config!$B$17)</f>
        <v/>
      </c>
      <c r="U631" t="str">
        <f>IF($AS631="","",Config!$B$18)</f>
        <v/>
      </c>
      <c r="V631" t="str">
        <f>IF($AS631="","",Config!$B$19)</f>
        <v/>
      </c>
      <c r="W631" t="str">
        <f>IF($AS631="","",INDEX('TMP Paste'!$C$2:$C$1601,$AS631))</f>
        <v/>
      </c>
      <c r="X631" t="str">
        <f>IF($AS631="","",Config!$B$29)</f>
        <v/>
      </c>
      <c r="Y631" t="str">
        <f>IF($AT631="","",INDEX(Calc!$I$2:$I$1601,$AT631)&amp;" - "&amp;INDEX(Calc!$D$2:$D$1601,$AT631)&amp;" koli")</f>
        <v/>
      </c>
      <c r="Z631" t="str">
        <f>IF($AS631="","",Config!$B$21)</f>
        <v/>
      </c>
      <c r="AA631" t="str">
        <f>IF($AS631="","",Config!$B$22)</f>
        <v/>
      </c>
      <c r="AB631" t="str">
        <f>IF($AT631="","",INDEX(Calc!$D$2:$D$1601,$AT631))</f>
        <v/>
      </c>
      <c r="AC631" t="str">
        <f>IF($AT631="","",INDEX(Calc!$G$2:$G$1601,$AT631))</f>
        <v/>
      </c>
      <c r="AD631" t="str">
        <f>IF($AS631="","",Config!$B$23)</f>
        <v/>
      </c>
      <c r="AE631" t="str">
        <f>IF($AS631="","",Config!$B$28)</f>
        <v/>
      </c>
      <c r="AF631" t="str">
        <f t="shared" si="56"/>
        <v/>
      </c>
      <c r="AG631" t="str">
        <f t="shared" si="57"/>
        <v/>
      </c>
      <c r="AH631" t="str">
        <f t="shared" si="58"/>
        <v/>
      </c>
      <c r="AI631" t="str">
        <f>IF($AG631="","",SUMIF($AG$2:$AG631,$AG631,$AH$2:$AH631))</f>
        <v/>
      </c>
      <c r="AJ631" t="str">
        <f>IF('TMP Paste'!$F631="","",IF('TMP Paste'!$B631="",$AJ630,'TMP Paste'!$B631))</f>
        <v/>
      </c>
      <c r="AK631" t="str">
        <f>IF('TMP Paste'!$F631="","",N('TMP Paste'!$G631))</f>
        <v/>
      </c>
      <c r="AL631" t="str">
        <f>IF('TMP Paste'!$F631="","",IF('TMP Paste'!$M631="",$AL630,'TMP Paste'!$M631))</f>
        <v/>
      </c>
      <c r="AM631" t="str">
        <f>IF('TMP Paste'!$F631="","",IF('TMP Paste'!$N631="",$AM630,'TMP Paste'!$N631))</f>
        <v/>
      </c>
      <c r="AN631" t="str">
        <f>IF('TMP Paste'!$F631="","",IF('TMP Paste'!$O631="",$AN630,'TMP Paste'!$O631))</f>
        <v/>
      </c>
      <c r="AO631" t="str">
        <f>IF('TMP Paste'!$F631="","",IF('TMP Paste'!$P631="",$AO630,'TMP Paste'!$P631))</f>
        <v/>
      </c>
      <c r="AP631" t="str">
        <f t="shared" si="59"/>
        <v/>
      </c>
      <c r="AQ631" t="str">
        <f>IF($AS631="","",TRIM(IF(COUNTIFS(Calc!$B$2:$B$1601,ROW()-1,Calc!$C$2:$C$1601,"&lt;1")&gt;0,"Ada PO tanpa Koli - cek TMP. ","")&amp;IF(OR($AU631="",$AU631&lt;=0),"Volume kosong/0 - dimensi dikosongkan. ","")&amp;IF(AND($AU631&lt;&gt;"",$AU631&gt;=1000000),"Volume &gt;= 1.000.000 cm3 (di luar aturan) - dimensi dikosongkan. ","")&amp;IF(LEN($R631)&gt;500,"R &gt; 500 karakter.","")))</f>
        <v/>
      </c>
      <c r="AS631" t="str">
        <f>IFERROR(MATCH(ROW()-1,Calc!$J$2:$J$1601,0),"")</f>
        <v/>
      </c>
      <c r="AT631" t="str">
        <f>IFERROR(MATCH(ROW()-1,Calc!$K$2:$K$1601,0),"")</f>
        <v/>
      </c>
      <c r="AU631" t="str">
        <f>IF($AS631="","",IFERROR(INDEX('TMP Paste'!$D$2:$D$1601,$AS631)*1000000/$AB631,""))</f>
        <v/>
      </c>
    </row>
    <row r="632" spans="1:47">
      <c r="A632" t="str">
        <f>IF($AS632="","",INDEX('TMP Paste'!$B$2:$B$1601,$AS632))</f>
        <v/>
      </c>
      <c r="B632" t="str">
        <f>IF($AS632="","",Config!$B$14)</f>
        <v/>
      </c>
      <c r="C632" t="str">
        <f>IF($AS632="","",Config!$B$15)</f>
        <v/>
      </c>
      <c r="D632" t="str">
        <f>IF($AS632="","",INDEX('TMP Paste'!$B$2:$B$1601,$AS632))</f>
        <v/>
      </c>
      <c r="E632" t="str">
        <f>IF($AS632="","",Config!$B$27)</f>
        <v/>
      </c>
      <c r="F632" t="str">
        <f>IF($AS632="","",Config!$B$9)</f>
        <v/>
      </c>
      <c r="G632" t="str">
        <f>IF($AS632="","",Config!$B$10)</f>
        <v/>
      </c>
      <c r="H632" t="str">
        <f>IF($AS632="","",Config!$B$11)</f>
        <v/>
      </c>
      <c r="I632" t="str">
        <f>IF($AS632="","",Config!$B$16)</f>
        <v/>
      </c>
      <c r="J632" t="str">
        <f>IF($AS632="","",INDEX('TMP Paste'!$A$2:$A$1601,$AS632))</f>
        <v/>
      </c>
      <c r="K632" t="str">
        <f>IF($AS632="","",INDEX('TMP Paste'!$L$2:$L$1601,$AS632))</f>
        <v/>
      </c>
      <c r="L632" t="str">
        <f>IF($AS632="","",INDEX('TMP Paste'!$I$2:$I$1601,$AS632))</f>
        <v/>
      </c>
      <c r="M632" t="str">
        <f>IF($AS632="","",Config!$B$16)</f>
        <v/>
      </c>
      <c r="N632" t="str">
        <f t="shared" si="54"/>
        <v/>
      </c>
      <c r="O632" t="str">
        <f>IF($AS632="","",INDEX('TMP Paste'!$K$2:$K$1601,$AS632))</f>
        <v/>
      </c>
      <c r="P632" t="str">
        <f t="shared" si="55"/>
        <v/>
      </c>
      <c r="Q632" t="str">
        <f>IF($AS632="","",INDEX('TMP Paste'!$J$2:$J$1601,$AS632))</f>
        <v/>
      </c>
      <c r="R632" t="str">
        <f>IF($AS632="","",Config!$B$24)</f>
        <v/>
      </c>
      <c r="S632" t="str">
        <f ca="1">IF($AS632="","",TEXT(Config!$B$4,"yyyy-mm-dd"))</f>
        <v/>
      </c>
      <c r="T632" t="str">
        <f>IF($AS632="","",Config!$B$17)</f>
        <v/>
      </c>
      <c r="U632" t="str">
        <f>IF($AS632="","",Config!$B$18)</f>
        <v/>
      </c>
      <c r="V632" t="str">
        <f>IF($AS632="","",Config!$B$19)</f>
        <v/>
      </c>
      <c r="W632" t="str">
        <f>IF($AS632="","",INDEX('TMP Paste'!$C$2:$C$1601,$AS632))</f>
        <v/>
      </c>
      <c r="X632" t="str">
        <f>IF($AS632="","",Config!$B$29)</f>
        <v/>
      </c>
      <c r="Y632" t="str">
        <f>IF($AT632="","",INDEX(Calc!$I$2:$I$1601,$AT632)&amp;" - "&amp;INDEX(Calc!$D$2:$D$1601,$AT632)&amp;" koli")</f>
        <v/>
      </c>
      <c r="Z632" t="str">
        <f>IF($AS632="","",Config!$B$21)</f>
        <v/>
      </c>
      <c r="AA632" t="str">
        <f>IF($AS632="","",Config!$B$22)</f>
        <v/>
      </c>
      <c r="AB632" t="str">
        <f>IF($AT632="","",INDEX(Calc!$D$2:$D$1601,$AT632))</f>
        <v/>
      </c>
      <c r="AC632" t="str">
        <f>IF($AT632="","",INDEX(Calc!$G$2:$G$1601,$AT632))</f>
        <v/>
      </c>
      <c r="AD632" t="str">
        <f>IF($AS632="","",Config!$B$23)</f>
        <v/>
      </c>
      <c r="AE632" t="str">
        <f>IF($AS632="","",Config!$B$28)</f>
        <v/>
      </c>
      <c r="AF632" t="str">
        <f t="shared" si="56"/>
        <v/>
      </c>
      <c r="AG632" t="str">
        <f t="shared" si="57"/>
        <v/>
      </c>
      <c r="AH632" t="str">
        <f t="shared" si="58"/>
        <v/>
      </c>
      <c r="AI632" t="str">
        <f>IF($AG632="","",SUMIF($AG$2:$AG632,$AG632,$AH$2:$AH632))</f>
        <v/>
      </c>
      <c r="AJ632" t="str">
        <f>IF('TMP Paste'!$F632="","",IF('TMP Paste'!$B632="",$AJ631,'TMP Paste'!$B632))</f>
        <v/>
      </c>
      <c r="AK632" t="str">
        <f>IF('TMP Paste'!$F632="","",N('TMP Paste'!$G632))</f>
        <v/>
      </c>
      <c r="AL632" t="str">
        <f>IF('TMP Paste'!$F632="","",IF('TMP Paste'!$M632="",$AL631,'TMP Paste'!$M632))</f>
        <v/>
      </c>
      <c r="AM632" t="str">
        <f>IF('TMP Paste'!$F632="","",IF('TMP Paste'!$N632="",$AM631,'TMP Paste'!$N632))</f>
        <v/>
      </c>
      <c r="AN632" t="str">
        <f>IF('TMP Paste'!$F632="","",IF('TMP Paste'!$O632="",$AN631,'TMP Paste'!$O632))</f>
        <v/>
      </c>
      <c r="AO632" t="str">
        <f>IF('TMP Paste'!$F632="","",IF('TMP Paste'!$P632="",$AO631,'TMP Paste'!$P632))</f>
        <v/>
      </c>
      <c r="AP632" t="str">
        <f t="shared" si="59"/>
        <v/>
      </c>
      <c r="AQ632" t="str">
        <f>IF($AS632="","",TRIM(IF(COUNTIFS(Calc!$B$2:$B$1601,ROW()-1,Calc!$C$2:$C$1601,"&lt;1")&gt;0,"Ada PO tanpa Koli - cek TMP. ","")&amp;IF(OR($AU632="",$AU632&lt;=0),"Volume kosong/0 - dimensi dikosongkan. ","")&amp;IF(AND($AU632&lt;&gt;"",$AU632&gt;=1000000),"Volume &gt;= 1.000.000 cm3 (di luar aturan) - dimensi dikosongkan. ","")&amp;IF(LEN($R632)&gt;500,"R &gt; 500 karakter.","")))</f>
        <v/>
      </c>
      <c r="AS632" t="str">
        <f>IFERROR(MATCH(ROW()-1,Calc!$J$2:$J$1601,0),"")</f>
        <v/>
      </c>
      <c r="AT632" t="str">
        <f>IFERROR(MATCH(ROW()-1,Calc!$K$2:$K$1601,0),"")</f>
        <v/>
      </c>
      <c r="AU632" t="str">
        <f>IF($AS632="","",IFERROR(INDEX('TMP Paste'!$D$2:$D$1601,$AS632)*1000000/$AB632,""))</f>
        <v/>
      </c>
    </row>
    <row r="633" spans="1:47">
      <c r="A633" t="str">
        <f>IF($AS633="","",INDEX('TMP Paste'!$B$2:$B$1601,$AS633))</f>
        <v/>
      </c>
      <c r="B633" t="str">
        <f>IF($AS633="","",Config!$B$14)</f>
        <v/>
      </c>
      <c r="C633" t="str">
        <f>IF($AS633="","",Config!$B$15)</f>
        <v/>
      </c>
      <c r="D633" t="str">
        <f>IF($AS633="","",INDEX('TMP Paste'!$B$2:$B$1601,$AS633))</f>
        <v/>
      </c>
      <c r="E633" t="str">
        <f>IF($AS633="","",Config!$B$27)</f>
        <v/>
      </c>
      <c r="F633" t="str">
        <f>IF($AS633="","",Config!$B$9)</f>
        <v/>
      </c>
      <c r="G633" t="str">
        <f>IF($AS633="","",Config!$B$10)</f>
        <v/>
      </c>
      <c r="H633" t="str">
        <f>IF($AS633="","",Config!$B$11)</f>
        <v/>
      </c>
      <c r="I633" t="str">
        <f>IF($AS633="","",Config!$B$16)</f>
        <v/>
      </c>
      <c r="J633" t="str">
        <f>IF($AS633="","",INDEX('TMP Paste'!$A$2:$A$1601,$AS633))</f>
        <v/>
      </c>
      <c r="K633" t="str">
        <f>IF($AS633="","",INDEX('TMP Paste'!$L$2:$L$1601,$AS633))</f>
        <v/>
      </c>
      <c r="L633" t="str">
        <f>IF($AS633="","",INDEX('TMP Paste'!$I$2:$I$1601,$AS633))</f>
        <v/>
      </c>
      <c r="M633" t="str">
        <f>IF($AS633="","",Config!$B$16)</f>
        <v/>
      </c>
      <c r="N633" t="str">
        <f t="shared" si="54"/>
        <v/>
      </c>
      <c r="O633" t="str">
        <f>IF($AS633="","",INDEX('TMP Paste'!$K$2:$K$1601,$AS633))</f>
        <v/>
      </c>
      <c r="P633" t="str">
        <f t="shared" si="55"/>
        <v/>
      </c>
      <c r="Q633" t="str">
        <f>IF($AS633="","",INDEX('TMP Paste'!$J$2:$J$1601,$AS633))</f>
        <v/>
      </c>
      <c r="R633" t="str">
        <f>IF($AS633="","",Config!$B$24)</f>
        <v/>
      </c>
      <c r="S633" t="str">
        <f ca="1">IF($AS633="","",TEXT(Config!$B$4,"yyyy-mm-dd"))</f>
        <v/>
      </c>
      <c r="T633" t="str">
        <f>IF($AS633="","",Config!$B$17)</f>
        <v/>
      </c>
      <c r="U633" t="str">
        <f>IF($AS633="","",Config!$B$18)</f>
        <v/>
      </c>
      <c r="V633" t="str">
        <f>IF($AS633="","",Config!$B$19)</f>
        <v/>
      </c>
      <c r="W633" t="str">
        <f>IF($AS633="","",INDEX('TMP Paste'!$C$2:$C$1601,$AS633))</f>
        <v/>
      </c>
      <c r="X633" t="str">
        <f>IF($AS633="","",Config!$B$29)</f>
        <v/>
      </c>
      <c r="Y633" t="str">
        <f>IF($AT633="","",INDEX(Calc!$I$2:$I$1601,$AT633)&amp;" - "&amp;INDEX(Calc!$D$2:$D$1601,$AT633)&amp;" koli")</f>
        <v/>
      </c>
      <c r="Z633" t="str">
        <f>IF($AS633="","",Config!$B$21)</f>
        <v/>
      </c>
      <c r="AA633" t="str">
        <f>IF($AS633="","",Config!$B$22)</f>
        <v/>
      </c>
      <c r="AB633" t="str">
        <f>IF($AT633="","",INDEX(Calc!$D$2:$D$1601,$AT633))</f>
        <v/>
      </c>
      <c r="AC633" t="str">
        <f>IF($AT633="","",INDEX(Calc!$G$2:$G$1601,$AT633))</f>
        <v/>
      </c>
      <c r="AD633" t="str">
        <f>IF($AS633="","",Config!$B$23)</f>
        <v/>
      </c>
      <c r="AE633" t="str">
        <f>IF($AS633="","",Config!$B$28)</f>
        <v/>
      </c>
      <c r="AF633" t="str">
        <f t="shared" si="56"/>
        <v/>
      </c>
      <c r="AG633" t="str">
        <f t="shared" si="57"/>
        <v/>
      </c>
      <c r="AH633" t="str">
        <f t="shared" si="58"/>
        <v/>
      </c>
      <c r="AI633" t="str">
        <f>IF($AG633="","",SUMIF($AG$2:$AG633,$AG633,$AH$2:$AH633))</f>
        <v/>
      </c>
      <c r="AJ633" t="str">
        <f>IF('TMP Paste'!$F633="","",IF('TMP Paste'!$B633="",$AJ632,'TMP Paste'!$B633))</f>
        <v/>
      </c>
      <c r="AK633" t="str">
        <f>IF('TMP Paste'!$F633="","",N('TMP Paste'!$G633))</f>
        <v/>
      </c>
      <c r="AL633" t="str">
        <f>IF('TMP Paste'!$F633="","",IF('TMP Paste'!$M633="",$AL632,'TMP Paste'!$M633))</f>
        <v/>
      </c>
      <c r="AM633" t="str">
        <f>IF('TMP Paste'!$F633="","",IF('TMP Paste'!$N633="",$AM632,'TMP Paste'!$N633))</f>
        <v/>
      </c>
      <c r="AN633" t="str">
        <f>IF('TMP Paste'!$F633="","",IF('TMP Paste'!$O633="",$AN632,'TMP Paste'!$O633))</f>
        <v/>
      </c>
      <c r="AO633" t="str">
        <f>IF('TMP Paste'!$F633="","",IF('TMP Paste'!$P633="",$AO632,'TMP Paste'!$P633))</f>
        <v/>
      </c>
      <c r="AP633" t="str">
        <f t="shared" si="59"/>
        <v/>
      </c>
      <c r="AQ633" t="str">
        <f>IF($AS633="","",TRIM(IF(COUNTIFS(Calc!$B$2:$B$1601,ROW()-1,Calc!$C$2:$C$1601,"&lt;1")&gt;0,"Ada PO tanpa Koli - cek TMP. ","")&amp;IF(OR($AU633="",$AU633&lt;=0),"Volume kosong/0 - dimensi dikosongkan. ","")&amp;IF(AND($AU633&lt;&gt;"",$AU633&gt;=1000000),"Volume &gt;= 1.000.000 cm3 (di luar aturan) - dimensi dikosongkan. ","")&amp;IF(LEN($R633)&gt;500,"R &gt; 500 karakter.","")))</f>
        <v/>
      </c>
      <c r="AS633" t="str">
        <f>IFERROR(MATCH(ROW()-1,Calc!$J$2:$J$1601,0),"")</f>
        <v/>
      </c>
      <c r="AT633" t="str">
        <f>IFERROR(MATCH(ROW()-1,Calc!$K$2:$K$1601,0),"")</f>
        <v/>
      </c>
      <c r="AU633" t="str">
        <f>IF($AS633="","",IFERROR(INDEX('TMP Paste'!$D$2:$D$1601,$AS633)*1000000/$AB633,""))</f>
        <v/>
      </c>
    </row>
    <row r="634" spans="1:47">
      <c r="A634" t="str">
        <f>IF($AS634="","",INDEX('TMP Paste'!$B$2:$B$1601,$AS634))</f>
        <v/>
      </c>
      <c r="B634" t="str">
        <f>IF($AS634="","",Config!$B$14)</f>
        <v/>
      </c>
      <c r="C634" t="str">
        <f>IF($AS634="","",Config!$B$15)</f>
        <v/>
      </c>
      <c r="D634" t="str">
        <f>IF($AS634="","",INDEX('TMP Paste'!$B$2:$B$1601,$AS634))</f>
        <v/>
      </c>
      <c r="E634" t="str">
        <f>IF($AS634="","",Config!$B$27)</f>
        <v/>
      </c>
      <c r="F634" t="str">
        <f>IF($AS634="","",Config!$B$9)</f>
        <v/>
      </c>
      <c r="G634" t="str">
        <f>IF($AS634="","",Config!$B$10)</f>
        <v/>
      </c>
      <c r="H634" t="str">
        <f>IF($AS634="","",Config!$B$11)</f>
        <v/>
      </c>
      <c r="I634" t="str">
        <f>IF($AS634="","",Config!$B$16)</f>
        <v/>
      </c>
      <c r="J634" t="str">
        <f>IF($AS634="","",INDEX('TMP Paste'!$A$2:$A$1601,$AS634))</f>
        <v/>
      </c>
      <c r="K634" t="str">
        <f>IF($AS634="","",INDEX('TMP Paste'!$L$2:$L$1601,$AS634))</f>
        <v/>
      </c>
      <c r="L634" t="str">
        <f>IF($AS634="","",INDEX('TMP Paste'!$I$2:$I$1601,$AS634))</f>
        <v/>
      </c>
      <c r="M634" t="str">
        <f>IF($AS634="","",Config!$B$16)</f>
        <v/>
      </c>
      <c r="N634" t="str">
        <f t="shared" si="54"/>
        <v/>
      </c>
      <c r="O634" t="str">
        <f>IF($AS634="","",INDEX('TMP Paste'!$K$2:$K$1601,$AS634))</f>
        <v/>
      </c>
      <c r="P634" t="str">
        <f t="shared" si="55"/>
        <v/>
      </c>
      <c r="Q634" t="str">
        <f>IF($AS634="","",INDEX('TMP Paste'!$J$2:$J$1601,$AS634))</f>
        <v/>
      </c>
      <c r="R634" t="str">
        <f>IF($AS634="","",Config!$B$24)</f>
        <v/>
      </c>
      <c r="S634" t="str">
        <f ca="1">IF($AS634="","",TEXT(Config!$B$4,"yyyy-mm-dd"))</f>
        <v/>
      </c>
      <c r="T634" t="str">
        <f>IF($AS634="","",Config!$B$17)</f>
        <v/>
      </c>
      <c r="U634" t="str">
        <f>IF($AS634="","",Config!$B$18)</f>
        <v/>
      </c>
      <c r="V634" t="str">
        <f>IF($AS634="","",Config!$B$19)</f>
        <v/>
      </c>
      <c r="W634" t="str">
        <f>IF($AS634="","",INDEX('TMP Paste'!$C$2:$C$1601,$AS634))</f>
        <v/>
      </c>
      <c r="X634" t="str">
        <f>IF($AS634="","",Config!$B$29)</f>
        <v/>
      </c>
      <c r="Y634" t="str">
        <f>IF($AT634="","",INDEX(Calc!$I$2:$I$1601,$AT634)&amp;" - "&amp;INDEX(Calc!$D$2:$D$1601,$AT634)&amp;" koli")</f>
        <v/>
      </c>
      <c r="Z634" t="str">
        <f>IF($AS634="","",Config!$B$21)</f>
        <v/>
      </c>
      <c r="AA634" t="str">
        <f>IF($AS634="","",Config!$B$22)</f>
        <v/>
      </c>
      <c r="AB634" t="str">
        <f>IF($AT634="","",INDEX(Calc!$D$2:$D$1601,$AT634))</f>
        <v/>
      </c>
      <c r="AC634" t="str">
        <f>IF($AT634="","",INDEX(Calc!$G$2:$G$1601,$AT634))</f>
        <v/>
      </c>
      <c r="AD634" t="str">
        <f>IF($AS634="","",Config!$B$23)</f>
        <v/>
      </c>
      <c r="AE634" t="str">
        <f>IF($AS634="","",Config!$B$28)</f>
        <v/>
      </c>
      <c r="AF634" t="str">
        <f t="shared" si="56"/>
        <v/>
      </c>
      <c r="AG634" t="str">
        <f t="shared" si="57"/>
        <v/>
      </c>
      <c r="AH634" t="str">
        <f t="shared" si="58"/>
        <v/>
      </c>
      <c r="AI634" t="str">
        <f>IF($AG634="","",SUMIF($AG$2:$AG634,$AG634,$AH$2:$AH634))</f>
        <v/>
      </c>
      <c r="AJ634" t="str">
        <f>IF('TMP Paste'!$F634="","",IF('TMP Paste'!$B634="",$AJ633,'TMP Paste'!$B634))</f>
        <v/>
      </c>
      <c r="AK634" t="str">
        <f>IF('TMP Paste'!$F634="","",N('TMP Paste'!$G634))</f>
        <v/>
      </c>
      <c r="AL634" t="str">
        <f>IF('TMP Paste'!$F634="","",IF('TMP Paste'!$M634="",$AL633,'TMP Paste'!$M634))</f>
        <v/>
      </c>
      <c r="AM634" t="str">
        <f>IF('TMP Paste'!$F634="","",IF('TMP Paste'!$N634="",$AM633,'TMP Paste'!$N634))</f>
        <v/>
      </c>
      <c r="AN634" t="str">
        <f>IF('TMP Paste'!$F634="","",IF('TMP Paste'!$O634="",$AN633,'TMP Paste'!$O634))</f>
        <v/>
      </c>
      <c r="AO634" t="str">
        <f>IF('TMP Paste'!$F634="","",IF('TMP Paste'!$P634="",$AO633,'TMP Paste'!$P634))</f>
        <v/>
      </c>
      <c r="AP634" t="str">
        <f t="shared" si="59"/>
        <v/>
      </c>
      <c r="AQ634" t="str">
        <f>IF($AS634="","",TRIM(IF(COUNTIFS(Calc!$B$2:$B$1601,ROW()-1,Calc!$C$2:$C$1601,"&lt;1")&gt;0,"Ada PO tanpa Koli - cek TMP. ","")&amp;IF(OR($AU634="",$AU634&lt;=0),"Volume kosong/0 - dimensi dikosongkan. ","")&amp;IF(AND($AU634&lt;&gt;"",$AU634&gt;=1000000),"Volume &gt;= 1.000.000 cm3 (di luar aturan) - dimensi dikosongkan. ","")&amp;IF(LEN($R634)&gt;500,"R &gt; 500 karakter.","")))</f>
        <v/>
      </c>
      <c r="AS634" t="str">
        <f>IFERROR(MATCH(ROW()-1,Calc!$J$2:$J$1601,0),"")</f>
        <v/>
      </c>
      <c r="AT634" t="str">
        <f>IFERROR(MATCH(ROW()-1,Calc!$K$2:$K$1601,0),"")</f>
        <v/>
      </c>
      <c r="AU634" t="str">
        <f>IF($AS634="","",IFERROR(INDEX('TMP Paste'!$D$2:$D$1601,$AS634)*1000000/$AB634,""))</f>
        <v/>
      </c>
    </row>
    <row r="635" spans="1:47">
      <c r="A635" t="str">
        <f>IF($AS635="","",INDEX('TMP Paste'!$B$2:$B$1601,$AS635))</f>
        <v/>
      </c>
      <c r="B635" t="str">
        <f>IF($AS635="","",Config!$B$14)</f>
        <v/>
      </c>
      <c r="C635" t="str">
        <f>IF($AS635="","",Config!$B$15)</f>
        <v/>
      </c>
      <c r="D635" t="str">
        <f>IF($AS635="","",INDEX('TMP Paste'!$B$2:$B$1601,$AS635))</f>
        <v/>
      </c>
      <c r="E635" t="str">
        <f>IF($AS635="","",Config!$B$27)</f>
        <v/>
      </c>
      <c r="F635" t="str">
        <f>IF($AS635="","",Config!$B$9)</f>
        <v/>
      </c>
      <c r="G635" t="str">
        <f>IF($AS635="","",Config!$B$10)</f>
        <v/>
      </c>
      <c r="H635" t="str">
        <f>IF($AS635="","",Config!$B$11)</f>
        <v/>
      </c>
      <c r="I635" t="str">
        <f>IF($AS635="","",Config!$B$16)</f>
        <v/>
      </c>
      <c r="J635" t="str">
        <f>IF($AS635="","",INDEX('TMP Paste'!$A$2:$A$1601,$AS635))</f>
        <v/>
      </c>
      <c r="K635" t="str">
        <f>IF($AS635="","",INDEX('TMP Paste'!$L$2:$L$1601,$AS635))</f>
        <v/>
      </c>
      <c r="L635" t="str">
        <f>IF($AS635="","",INDEX('TMP Paste'!$I$2:$I$1601,$AS635))</f>
        <v/>
      </c>
      <c r="M635" t="str">
        <f>IF($AS635="","",Config!$B$16)</f>
        <v/>
      </c>
      <c r="N635" t="str">
        <f t="shared" si="54"/>
        <v/>
      </c>
      <c r="O635" t="str">
        <f>IF($AS635="","",INDEX('TMP Paste'!$K$2:$K$1601,$AS635))</f>
        <v/>
      </c>
      <c r="P635" t="str">
        <f t="shared" si="55"/>
        <v/>
      </c>
      <c r="Q635" t="str">
        <f>IF($AS635="","",INDEX('TMP Paste'!$J$2:$J$1601,$AS635))</f>
        <v/>
      </c>
      <c r="R635" t="str">
        <f>IF($AS635="","",Config!$B$24)</f>
        <v/>
      </c>
      <c r="S635" t="str">
        <f ca="1">IF($AS635="","",TEXT(Config!$B$4,"yyyy-mm-dd"))</f>
        <v/>
      </c>
      <c r="T635" t="str">
        <f>IF($AS635="","",Config!$B$17)</f>
        <v/>
      </c>
      <c r="U635" t="str">
        <f>IF($AS635="","",Config!$B$18)</f>
        <v/>
      </c>
      <c r="V635" t="str">
        <f>IF($AS635="","",Config!$B$19)</f>
        <v/>
      </c>
      <c r="W635" t="str">
        <f>IF($AS635="","",INDEX('TMP Paste'!$C$2:$C$1601,$AS635))</f>
        <v/>
      </c>
      <c r="X635" t="str">
        <f>IF($AS635="","",Config!$B$29)</f>
        <v/>
      </c>
      <c r="Y635" t="str">
        <f>IF($AT635="","",INDEX(Calc!$I$2:$I$1601,$AT635)&amp;" - "&amp;INDEX(Calc!$D$2:$D$1601,$AT635)&amp;" koli")</f>
        <v/>
      </c>
      <c r="Z635" t="str">
        <f>IF($AS635="","",Config!$B$21)</f>
        <v/>
      </c>
      <c r="AA635" t="str">
        <f>IF($AS635="","",Config!$B$22)</f>
        <v/>
      </c>
      <c r="AB635" t="str">
        <f>IF($AT635="","",INDEX(Calc!$D$2:$D$1601,$AT635))</f>
        <v/>
      </c>
      <c r="AC635" t="str">
        <f>IF($AT635="","",INDEX(Calc!$G$2:$G$1601,$AT635))</f>
        <v/>
      </c>
      <c r="AD635" t="str">
        <f>IF($AS635="","",Config!$B$23)</f>
        <v/>
      </c>
      <c r="AE635" t="str">
        <f>IF($AS635="","",Config!$B$28)</f>
        <v/>
      </c>
      <c r="AF635" t="str">
        <f t="shared" si="56"/>
        <v/>
      </c>
      <c r="AG635" t="str">
        <f t="shared" si="57"/>
        <v/>
      </c>
      <c r="AH635" t="str">
        <f t="shared" si="58"/>
        <v/>
      </c>
      <c r="AI635" t="str">
        <f>IF($AG635="","",SUMIF($AG$2:$AG635,$AG635,$AH$2:$AH635))</f>
        <v/>
      </c>
      <c r="AJ635" t="str">
        <f>IF('TMP Paste'!$F635="","",IF('TMP Paste'!$B635="",$AJ634,'TMP Paste'!$B635))</f>
        <v/>
      </c>
      <c r="AK635" t="str">
        <f>IF('TMP Paste'!$F635="","",N('TMP Paste'!$G635))</f>
        <v/>
      </c>
      <c r="AL635" t="str">
        <f>IF('TMP Paste'!$F635="","",IF('TMP Paste'!$M635="",$AL634,'TMP Paste'!$M635))</f>
        <v/>
      </c>
      <c r="AM635" t="str">
        <f>IF('TMP Paste'!$F635="","",IF('TMP Paste'!$N635="",$AM634,'TMP Paste'!$N635))</f>
        <v/>
      </c>
      <c r="AN635" t="str">
        <f>IF('TMP Paste'!$F635="","",IF('TMP Paste'!$O635="",$AN634,'TMP Paste'!$O635))</f>
        <v/>
      </c>
      <c r="AO635" t="str">
        <f>IF('TMP Paste'!$F635="","",IF('TMP Paste'!$P635="",$AO634,'TMP Paste'!$P635))</f>
        <v/>
      </c>
      <c r="AP635" t="str">
        <f t="shared" si="59"/>
        <v/>
      </c>
      <c r="AQ635" t="str">
        <f>IF($AS635="","",TRIM(IF(COUNTIFS(Calc!$B$2:$B$1601,ROW()-1,Calc!$C$2:$C$1601,"&lt;1")&gt;0,"Ada PO tanpa Koli - cek TMP. ","")&amp;IF(OR($AU635="",$AU635&lt;=0),"Volume kosong/0 - dimensi dikosongkan. ","")&amp;IF(AND($AU635&lt;&gt;"",$AU635&gt;=1000000),"Volume &gt;= 1.000.000 cm3 (di luar aturan) - dimensi dikosongkan. ","")&amp;IF(LEN($R635)&gt;500,"R &gt; 500 karakter.","")))</f>
        <v/>
      </c>
      <c r="AS635" t="str">
        <f>IFERROR(MATCH(ROW()-1,Calc!$J$2:$J$1601,0),"")</f>
        <v/>
      </c>
      <c r="AT635" t="str">
        <f>IFERROR(MATCH(ROW()-1,Calc!$K$2:$K$1601,0),"")</f>
        <v/>
      </c>
      <c r="AU635" t="str">
        <f>IF($AS635="","",IFERROR(INDEX('TMP Paste'!$D$2:$D$1601,$AS635)*1000000/$AB635,""))</f>
        <v/>
      </c>
    </row>
    <row r="636" spans="1:47">
      <c r="A636" t="str">
        <f>IF($AS636="","",INDEX('TMP Paste'!$B$2:$B$1601,$AS636))</f>
        <v/>
      </c>
      <c r="B636" t="str">
        <f>IF($AS636="","",Config!$B$14)</f>
        <v/>
      </c>
      <c r="C636" t="str">
        <f>IF($AS636="","",Config!$B$15)</f>
        <v/>
      </c>
      <c r="D636" t="str">
        <f>IF($AS636="","",INDEX('TMP Paste'!$B$2:$B$1601,$AS636))</f>
        <v/>
      </c>
      <c r="E636" t="str">
        <f>IF($AS636="","",Config!$B$27)</f>
        <v/>
      </c>
      <c r="F636" t="str">
        <f>IF($AS636="","",Config!$B$9)</f>
        <v/>
      </c>
      <c r="G636" t="str">
        <f>IF($AS636="","",Config!$B$10)</f>
        <v/>
      </c>
      <c r="H636" t="str">
        <f>IF($AS636="","",Config!$B$11)</f>
        <v/>
      </c>
      <c r="I636" t="str">
        <f>IF($AS636="","",Config!$B$16)</f>
        <v/>
      </c>
      <c r="J636" t="str">
        <f>IF($AS636="","",INDEX('TMP Paste'!$A$2:$A$1601,$AS636))</f>
        <v/>
      </c>
      <c r="K636" t="str">
        <f>IF($AS636="","",INDEX('TMP Paste'!$L$2:$L$1601,$AS636))</f>
        <v/>
      </c>
      <c r="L636" t="str">
        <f>IF($AS636="","",INDEX('TMP Paste'!$I$2:$I$1601,$AS636))</f>
        <v/>
      </c>
      <c r="M636" t="str">
        <f>IF($AS636="","",Config!$B$16)</f>
        <v/>
      </c>
      <c r="N636" t="str">
        <f t="shared" si="54"/>
        <v/>
      </c>
      <c r="O636" t="str">
        <f>IF($AS636="","",INDEX('TMP Paste'!$K$2:$K$1601,$AS636))</f>
        <v/>
      </c>
      <c r="P636" t="str">
        <f t="shared" si="55"/>
        <v/>
      </c>
      <c r="Q636" t="str">
        <f>IF($AS636="","",INDEX('TMP Paste'!$J$2:$J$1601,$AS636))</f>
        <v/>
      </c>
      <c r="R636" t="str">
        <f>IF($AS636="","",Config!$B$24)</f>
        <v/>
      </c>
      <c r="S636" t="str">
        <f ca="1">IF($AS636="","",TEXT(Config!$B$4,"yyyy-mm-dd"))</f>
        <v/>
      </c>
      <c r="T636" t="str">
        <f>IF($AS636="","",Config!$B$17)</f>
        <v/>
      </c>
      <c r="U636" t="str">
        <f>IF($AS636="","",Config!$B$18)</f>
        <v/>
      </c>
      <c r="V636" t="str">
        <f>IF($AS636="","",Config!$B$19)</f>
        <v/>
      </c>
      <c r="W636" t="str">
        <f>IF($AS636="","",INDEX('TMP Paste'!$C$2:$C$1601,$AS636))</f>
        <v/>
      </c>
      <c r="X636" t="str">
        <f>IF($AS636="","",Config!$B$29)</f>
        <v/>
      </c>
      <c r="Y636" t="str">
        <f>IF($AT636="","",INDEX(Calc!$I$2:$I$1601,$AT636)&amp;" - "&amp;INDEX(Calc!$D$2:$D$1601,$AT636)&amp;" koli")</f>
        <v/>
      </c>
      <c r="Z636" t="str">
        <f>IF($AS636="","",Config!$B$21)</f>
        <v/>
      </c>
      <c r="AA636" t="str">
        <f>IF($AS636="","",Config!$B$22)</f>
        <v/>
      </c>
      <c r="AB636" t="str">
        <f>IF($AT636="","",INDEX(Calc!$D$2:$D$1601,$AT636))</f>
        <v/>
      </c>
      <c r="AC636" t="str">
        <f>IF($AT636="","",INDEX(Calc!$G$2:$G$1601,$AT636))</f>
        <v/>
      </c>
      <c r="AD636" t="str">
        <f>IF($AS636="","",Config!$B$23)</f>
        <v/>
      </c>
      <c r="AE636" t="str">
        <f>IF($AS636="","",Config!$B$28)</f>
        <v/>
      </c>
      <c r="AF636" t="str">
        <f t="shared" si="56"/>
        <v/>
      </c>
      <c r="AG636" t="str">
        <f t="shared" si="57"/>
        <v/>
      </c>
      <c r="AH636" t="str">
        <f t="shared" si="58"/>
        <v/>
      </c>
      <c r="AI636" t="str">
        <f>IF($AG636="","",SUMIF($AG$2:$AG636,$AG636,$AH$2:$AH636))</f>
        <v/>
      </c>
      <c r="AJ636" t="str">
        <f>IF('TMP Paste'!$F636="","",IF('TMP Paste'!$B636="",$AJ635,'TMP Paste'!$B636))</f>
        <v/>
      </c>
      <c r="AK636" t="str">
        <f>IF('TMP Paste'!$F636="","",N('TMP Paste'!$G636))</f>
        <v/>
      </c>
      <c r="AL636" t="str">
        <f>IF('TMP Paste'!$F636="","",IF('TMP Paste'!$M636="",$AL635,'TMP Paste'!$M636))</f>
        <v/>
      </c>
      <c r="AM636" t="str">
        <f>IF('TMP Paste'!$F636="","",IF('TMP Paste'!$N636="",$AM635,'TMP Paste'!$N636))</f>
        <v/>
      </c>
      <c r="AN636" t="str">
        <f>IF('TMP Paste'!$F636="","",IF('TMP Paste'!$O636="",$AN635,'TMP Paste'!$O636))</f>
        <v/>
      </c>
      <c r="AO636" t="str">
        <f>IF('TMP Paste'!$F636="","",IF('TMP Paste'!$P636="",$AO635,'TMP Paste'!$P636))</f>
        <v/>
      </c>
      <c r="AP636" t="str">
        <f t="shared" si="59"/>
        <v/>
      </c>
      <c r="AQ636" t="str">
        <f>IF($AS636="","",TRIM(IF(COUNTIFS(Calc!$B$2:$B$1601,ROW()-1,Calc!$C$2:$C$1601,"&lt;1")&gt;0,"Ada PO tanpa Koli - cek TMP. ","")&amp;IF(OR($AU636="",$AU636&lt;=0),"Volume kosong/0 - dimensi dikosongkan. ","")&amp;IF(AND($AU636&lt;&gt;"",$AU636&gt;=1000000),"Volume &gt;= 1.000.000 cm3 (di luar aturan) - dimensi dikosongkan. ","")&amp;IF(LEN($R636)&gt;500,"R &gt; 500 karakter.","")))</f>
        <v/>
      </c>
      <c r="AS636" t="str">
        <f>IFERROR(MATCH(ROW()-1,Calc!$J$2:$J$1601,0),"")</f>
        <v/>
      </c>
      <c r="AT636" t="str">
        <f>IFERROR(MATCH(ROW()-1,Calc!$K$2:$K$1601,0),"")</f>
        <v/>
      </c>
      <c r="AU636" t="str">
        <f>IF($AS636="","",IFERROR(INDEX('TMP Paste'!$D$2:$D$1601,$AS636)*1000000/$AB636,""))</f>
        <v/>
      </c>
    </row>
    <row r="637" spans="1:47">
      <c r="A637" t="str">
        <f>IF($AS637="","",INDEX('TMP Paste'!$B$2:$B$1601,$AS637))</f>
        <v/>
      </c>
      <c r="B637" t="str">
        <f>IF($AS637="","",Config!$B$14)</f>
        <v/>
      </c>
      <c r="C637" t="str">
        <f>IF($AS637="","",Config!$B$15)</f>
        <v/>
      </c>
      <c r="D637" t="str">
        <f>IF($AS637="","",INDEX('TMP Paste'!$B$2:$B$1601,$AS637))</f>
        <v/>
      </c>
      <c r="E637" t="str">
        <f>IF($AS637="","",Config!$B$27)</f>
        <v/>
      </c>
      <c r="F637" t="str">
        <f>IF($AS637="","",Config!$B$9)</f>
        <v/>
      </c>
      <c r="G637" t="str">
        <f>IF($AS637="","",Config!$B$10)</f>
        <v/>
      </c>
      <c r="H637" t="str">
        <f>IF($AS637="","",Config!$B$11)</f>
        <v/>
      </c>
      <c r="I637" t="str">
        <f>IF($AS637="","",Config!$B$16)</f>
        <v/>
      </c>
      <c r="J637" t="str">
        <f>IF($AS637="","",INDEX('TMP Paste'!$A$2:$A$1601,$AS637))</f>
        <v/>
      </c>
      <c r="K637" t="str">
        <f>IF($AS637="","",INDEX('TMP Paste'!$L$2:$L$1601,$AS637))</f>
        <v/>
      </c>
      <c r="L637" t="str">
        <f>IF($AS637="","",INDEX('TMP Paste'!$I$2:$I$1601,$AS637))</f>
        <v/>
      </c>
      <c r="M637" t="str">
        <f>IF($AS637="","",Config!$B$16)</f>
        <v/>
      </c>
      <c r="N637" t="str">
        <f t="shared" si="54"/>
        <v/>
      </c>
      <c r="O637" t="str">
        <f>IF($AS637="","",INDEX('TMP Paste'!$K$2:$K$1601,$AS637))</f>
        <v/>
      </c>
      <c r="P637" t="str">
        <f t="shared" si="55"/>
        <v/>
      </c>
      <c r="Q637" t="str">
        <f>IF($AS637="","",INDEX('TMP Paste'!$J$2:$J$1601,$AS637))</f>
        <v/>
      </c>
      <c r="R637" t="str">
        <f>IF($AS637="","",Config!$B$24)</f>
        <v/>
      </c>
      <c r="S637" t="str">
        <f ca="1">IF($AS637="","",TEXT(Config!$B$4,"yyyy-mm-dd"))</f>
        <v/>
      </c>
      <c r="T637" t="str">
        <f>IF($AS637="","",Config!$B$17)</f>
        <v/>
      </c>
      <c r="U637" t="str">
        <f>IF($AS637="","",Config!$B$18)</f>
        <v/>
      </c>
      <c r="V637" t="str">
        <f>IF($AS637="","",Config!$B$19)</f>
        <v/>
      </c>
      <c r="W637" t="str">
        <f>IF($AS637="","",INDEX('TMP Paste'!$C$2:$C$1601,$AS637))</f>
        <v/>
      </c>
      <c r="X637" t="str">
        <f>IF($AS637="","",Config!$B$29)</f>
        <v/>
      </c>
      <c r="Y637" t="str">
        <f>IF($AT637="","",INDEX(Calc!$I$2:$I$1601,$AT637)&amp;" - "&amp;INDEX(Calc!$D$2:$D$1601,$AT637)&amp;" koli")</f>
        <v/>
      </c>
      <c r="Z637" t="str">
        <f>IF($AS637="","",Config!$B$21)</f>
        <v/>
      </c>
      <c r="AA637" t="str">
        <f>IF($AS637="","",Config!$B$22)</f>
        <v/>
      </c>
      <c r="AB637" t="str">
        <f>IF($AT637="","",INDEX(Calc!$D$2:$D$1601,$AT637))</f>
        <v/>
      </c>
      <c r="AC637" t="str">
        <f>IF($AT637="","",INDEX(Calc!$G$2:$G$1601,$AT637))</f>
        <v/>
      </c>
      <c r="AD637" t="str">
        <f>IF($AS637="","",Config!$B$23)</f>
        <v/>
      </c>
      <c r="AE637" t="str">
        <f>IF($AS637="","",Config!$B$28)</f>
        <v/>
      </c>
      <c r="AF637" t="str">
        <f t="shared" si="56"/>
        <v/>
      </c>
      <c r="AG637" t="str">
        <f t="shared" si="57"/>
        <v/>
      </c>
      <c r="AH637" t="str">
        <f t="shared" si="58"/>
        <v/>
      </c>
      <c r="AI637" t="str">
        <f>IF($AG637="","",SUMIF($AG$2:$AG637,$AG637,$AH$2:$AH637))</f>
        <v/>
      </c>
      <c r="AJ637" t="str">
        <f>IF('TMP Paste'!$F637="","",IF('TMP Paste'!$B637="",$AJ636,'TMP Paste'!$B637))</f>
        <v/>
      </c>
      <c r="AK637" t="str">
        <f>IF('TMP Paste'!$F637="","",N('TMP Paste'!$G637))</f>
        <v/>
      </c>
      <c r="AL637" t="str">
        <f>IF('TMP Paste'!$F637="","",IF('TMP Paste'!$M637="",$AL636,'TMP Paste'!$M637))</f>
        <v/>
      </c>
      <c r="AM637" t="str">
        <f>IF('TMP Paste'!$F637="","",IF('TMP Paste'!$N637="",$AM636,'TMP Paste'!$N637))</f>
        <v/>
      </c>
      <c r="AN637" t="str">
        <f>IF('TMP Paste'!$F637="","",IF('TMP Paste'!$O637="",$AN636,'TMP Paste'!$O637))</f>
        <v/>
      </c>
      <c r="AO637" t="str">
        <f>IF('TMP Paste'!$F637="","",IF('TMP Paste'!$P637="",$AO636,'TMP Paste'!$P637))</f>
        <v/>
      </c>
      <c r="AP637" t="str">
        <f t="shared" si="59"/>
        <v/>
      </c>
      <c r="AQ637" t="str">
        <f>IF($AS637="","",TRIM(IF(COUNTIFS(Calc!$B$2:$B$1601,ROW()-1,Calc!$C$2:$C$1601,"&lt;1")&gt;0,"Ada PO tanpa Koli - cek TMP. ","")&amp;IF(OR($AU637="",$AU637&lt;=0),"Volume kosong/0 - dimensi dikosongkan. ","")&amp;IF(AND($AU637&lt;&gt;"",$AU637&gt;=1000000),"Volume &gt;= 1.000.000 cm3 (di luar aturan) - dimensi dikosongkan. ","")&amp;IF(LEN($R637)&gt;500,"R &gt; 500 karakter.","")))</f>
        <v/>
      </c>
      <c r="AS637" t="str">
        <f>IFERROR(MATCH(ROW()-1,Calc!$J$2:$J$1601,0),"")</f>
        <v/>
      </c>
      <c r="AT637" t="str">
        <f>IFERROR(MATCH(ROW()-1,Calc!$K$2:$K$1601,0),"")</f>
        <v/>
      </c>
      <c r="AU637" t="str">
        <f>IF($AS637="","",IFERROR(INDEX('TMP Paste'!$D$2:$D$1601,$AS637)*1000000/$AB637,""))</f>
        <v/>
      </c>
    </row>
    <row r="638" spans="1:47">
      <c r="A638" t="str">
        <f>IF($AS638="","",INDEX('TMP Paste'!$B$2:$B$1601,$AS638))</f>
        <v/>
      </c>
      <c r="B638" t="str">
        <f>IF($AS638="","",Config!$B$14)</f>
        <v/>
      </c>
      <c r="C638" t="str">
        <f>IF($AS638="","",Config!$B$15)</f>
        <v/>
      </c>
      <c r="D638" t="str">
        <f>IF($AS638="","",INDEX('TMP Paste'!$B$2:$B$1601,$AS638))</f>
        <v/>
      </c>
      <c r="E638" t="str">
        <f>IF($AS638="","",Config!$B$27)</f>
        <v/>
      </c>
      <c r="F638" t="str">
        <f>IF($AS638="","",Config!$B$9)</f>
        <v/>
      </c>
      <c r="G638" t="str">
        <f>IF($AS638="","",Config!$B$10)</f>
        <v/>
      </c>
      <c r="H638" t="str">
        <f>IF($AS638="","",Config!$B$11)</f>
        <v/>
      </c>
      <c r="I638" t="str">
        <f>IF($AS638="","",Config!$B$16)</f>
        <v/>
      </c>
      <c r="J638" t="str">
        <f>IF($AS638="","",INDEX('TMP Paste'!$A$2:$A$1601,$AS638))</f>
        <v/>
      </c>
      <c r="K638" t="str">
        <f>IF($AS638="","",INDEX('TMP Paste'!$L$2:$L$1601,$AS638))</f>
        <v/>
      </c>
      <c r="L638" t="str">
        <f>IF($AS638="","",INDEX('TMP Paste'!$I$2:$I$1601,$AS638))</f>
        <v/>
      </c>
      <c r="M638" t="str">
        <f>IF($AS638="","",Config!$B$16)</f>
        <v/>
      </c>
      <c r="N638" t="str">
        <f t="shared" si="54"/>
        <v/>
      </c>
      <c r="O638" t="str">
        <f>IF($AS638="","",INDEX('TMP Paste'!$K$2:$K$1601,$AS638))</f>
        <v/>
      </c>
      <c r="P638" t="str">
        <f t="shared" si="55"/>
        <v/>
      </c>
      <c r="Q638" t="str">
        <f>IF($AS638="","",INDEX('TMP Paste'!$J$2:$J$1601,$AS638))</f>
        <v/>
      </c>
      <c r="R638" t="str">
        <f>IF($AS638="","",Config!$B$24)</f>
        <v/>
      </c>
      <c r="S638" t="str">
        <f ca="1">IF($AS638="","",TEXT(Config!$B$4,"yyyy-mm-dd"))</f>
        <v/>
      </c>
      <c r="T638" t="str">
        <f>IF($AS638="","",Config!$B$17)</f>
        <v/>
      </c>
      <c r="U638" t="str">
        <f>IF($AS638="","",Config!$B$18)</f>
        <v/>
      </c>
      <c r="V638" t="str">
        <f>IF($AS638="","",Config!$B$19)</f>
        <v/>
      </c>
      <c r="W638" t="str">
        <f>IF($AS638="","",INDEX('TMP Paste'!$C$2:$C$1601,$AS638))</f>
        <v/>
      </c>
      <c r="X638" t="str">
        <f>IF($AS638="","",Config!$B$29)</f>
        <v/>
      </c>
      <c r="Y638" t="str">
        <f>IF($AT638="","",INDEX(Calc!$I$2:$I$1601,$AT638)&amp;" - "&amp;INDEX(Calc!$D$2:$D$1601,$AT638)&amp;" koli")</f>
        <v/>
      </c>
      <c r="Z638" t="str">
        <f>IF($AS638="","",Config!$B$21)</f>
        <v/>
      </c>
      <c r="AA638" t="str">
        <f>IF($AS638="","",Config!$B$22)</f>
        <v/>
      </c>
      <c r="AB638" t="str">
        <f>IF($AT638="","",INDEX(Calc!$D$2:$D$1601,$AT638))</f>
        <v/>
      </c>
      <c r="AC638" t="str">
        <f>IF($AT638="","",INDEX(Calc!$G$2:$G$1601,$AT638))</f>
        <v/>
      </c>
      <c r="AD638" t="str">
        <f>IF($AS638="","",Config!$B$23)</f>
        <v/>
      </c>
      <c r="AE638" t="str">
        <f>IF($AS638="","",Config!$B$28)</f>
        <v/>
      </c>
      <c r="AF638" t="str">
        <f t="shared" si="56"/>
        <v/>
      </c>
      <c r="AG638" t="str">
        <f t="shared" si="57"/>
        <v/>
      </c>
      <c r="AH638" t="str">
        <f t="shared" si="58"/>
        <v/>
      </c>
      <c r="AI638" t="str">
        <f>IF($AG638="","",SUMIF($AG$2:$AG638,$AG638,$AH$2:$AH638))</f>
        <v/>
      </c>
      <c r="AJ638" t="str">
        <f>IF('TMP Paste'!$F638="","",IF('TMP Paste'!$B638="",$AJ637,'TMP Paste'!$B638))</f>
        <v/>
      </c>
      <c r="AK638" t="str">
        <f>IF('TMP Paste'!$F638="","",N('TMP Paste'!$G638))</f>
        <v/>
      </c>
      <c r="AL638" t="str">
        <f>IF('TMP Paste'!$F638="","",IF('TMP Paste'!$M638="",$AL637,'TMP Paste'!$M638))</f>
        <v/>
      </c>
      <c r="AM638" t="str">
        <f>IF('TMP Paste'!$F638="","",IF('TMP Paste'!$N638="",$AM637,'TMP Paste'!$N638))</f>
        <v/>
      </c>
      <c r="AN638" t="str">
        <f>IF('TMP Paste'!$F638="","",IF('TMP Paste'!$O638="",$AN637,'TMP Paste'!$O638))</f>
        <v/>
      </c>
      <c r="AO638" t="str">
        <f>IF('TMP Paste'!$F638="","",IF('TMP Paste'!$P638="",$AO637,'TMP Paste'!$P638))</f>
        <v/>
      </c>
      <c r="AP638" t="str">
        <f t="shared" si="59"/>
        <v/>
      </c>
      <c r="AQ638" t="str">
        <f>IF($AS638="","",TRIM(IF(COUNTIFS(Calc!$B$2:$B$1601,ROW()-1,Calc!$C$2:$C$1601,"&lt;1")&gt;0,"Ada PO tanpa Koli - cek TMP. ","")&amp;IF(OR($AU638="",$AU638&lt;=0),"Volume kosong/0 - dimensi dikosongkan. ","")&amp;IF(AND($AU638&lt;&gt;"",$AU638&gt;=1000000),"Volume &gt;= 1.000.000 cm3 (di luar aturan) - dimensi dikosongkan. ","")&amp;IF(LEN($R638)&gt;500,"R &gt; 500 karakter.","")))</f>
        <v/>
      </c>
      <c r="AS638" t="str">
        <f>IFERROR(MATCH(ROW()-1,Calc!$J$2:$J$1601,0),"")</f>
        <v/>
      </c>
      <c r="AT638" t="str">
        <f>IFERROR(MATCH(ROW()-1,Calc!$K$2:$K$1601,0),"")</f>
        <v/>
      </c>
      <c r="AU638" t="str">
        <f>IF($AS638="","",IFERROR(INDEX('TMP Paste'!$D$2:$D$1601,$AS638)*1000000/$AB638,""))</f>
        <v/>
      </c>
    </row>
    <row r="639" spans="1:47">
      <c r="A639" t="str">
        <f>IF($AS639="","",INDEX('TMP Paste'!$B$2:$B$1601,$AS639))</f>
        <v/>
      </c>
      <c r="B639" t="str">
        <f>IF($AS639="","",Config!$B$14)</f>
        <v/>
      </c>
      <c r="C639" t="str">
        <f>IF($AS639="","",Config!$B$15)</f>
        <v/>
      </c>
      <c r="D639" t="str">
        <f>IF($AS639="","",INDEX('TMP Paste'!$B$2:$B$1601,$AS639))</f>
        <v/>
      </c>
      <c r="E639" t="str">
        <f>IF($AS639="","",Config!$B$27)</f>
        <v/>
      </c>
      <c r="F639" t="str">
        <f>IF($AS639="","",Config!$B$9)</f>
        <v/>
      </c>
      <c r="G639" t="str">
        <f>IF($AS639="","",Config!$B$10)</f>
        <v/>
      </c>
      <c r="H639" t="str">
        <f>IF($AS639="","",Config!$B$11)</f>
        <v/>
      </c>
      <c r="I639" t="str">
        <f>IF($AS639="","",Config!$B$16)</f>
        <v/>
      </c>
      <c r="J639" t="str">
        <f>IF($AS639="","",INDEX('TMP Paste'!$A$2:$A$1601,$AS639))</f>
        <v/>
      </c>
      <c r="K639" t="str">
        <f>IF($AS639="","",INDEX('TMP Paste'!$L$2:$L$1601,$AS639))</f>
        <v/>
      </c>
      <c r="L639" t="str">
        <f>IF($AS639="","",INDEX('TMP Paste'!$I$2:$I$1601,$AS639))</f>
        <v/>
      </c>
      <c r="M639" t="str">
        <f>IF($AS639="","",Config!$B$16)</f>
        <v/>
      </c>
      <c r="N639" t="str">
        <f t="shared" si="54"/>
        <v/>
      </c>
      <c r="O639" t="str">
        <f>IF($AS639="","",INDEX('TMP Paste'!$K$2:$K$1601,$AS639))</f>
        <v/>
      </c>
      <c r="P639" t="str">
        <f t="shared" si="55"/>
        <v/>
      </c>
      <c r="Q639" t="str">
        <f>IF($AS639="","",INDEX('TMP Paste'!$J$2:$J$1601,$AS639))</f>
        <v/>
      </c>
      <c r="R639" t="str">
        <f>IF($AS639="","",Config!$B$24)</f>
        <v/>
      </c>
      <c r="S639" t="str">
        <f ca="1">IF($AS639="","",TEXT(Config!$B$4,"yyyy-mm-dd"))</f>
        <v/>
      </c>
      <c r="T639" t="str">
        <f>IF($AS639="","",Config!$B$17)</f>
        <v/>
      </c>
      <c r="U639" t="str">
        <f>IF($AS639="","",Config!$B$18)</f>
        <v/>
      </c>
      <c r="V639" t="str">
        <f>IF($AS639="","",Config!$B$19)</f>
        <v/>
      </c>
      <c r="W639" t="str">
        <f>IF($AS639="","",INDEX('TMP Paste'!$C$2:$C$1601,$AS639))</f>
        <v/>
      </c>
      <c r="X639" t="str">
        <f>IF($AS639="","",Config!$B$29)</f>
        <v/>
      </c>
      <c r="Y639" t="str">
        <f>IF($AT639="","",INDEX(Calc!$I$2:$I$1601,$AT639)&amp;" - "&amp;INDEX(Calc!$D$2:$D$1601,$AT639)&amp;" koli")</f>
        <v/>
      </c>
      <c r="Z639" t="str">
        <f>IF($AS639="","",Config!$B$21)</f>
        <v/>
      </c>
      <c r="AA639" t="str">
        <f>IF($AS639="","",Config!$B$22)</f>
        <v/>
      </c>
      <c r="AB639" t="str">
        <f>IF($AT639="","",INDEX(Calc!$D$2:$D$1601,$AT639))</f>
        <v/>
      </c>
      <c r="AC639" t="str">
        <f>IF($AT639="","",INDEX(Calc!$G$2:$G$1601,$AT639))</f>
        <v/>
      </c>
      <c r="AD639" t="str">
        <f>IF($AS639="","",Config!$B$23)</f>
        <v/>
      </c>
      <c r="AE639" t="str">
        <f>IF($AS639="","",Config!$B$28)</f>
        <v/>
      </c>
      <c r="AF639" t="str">
        <f t="shared" si="56"/>
        <v/>
      </c>
      <c r="AG639" t="str">
        <f t="shared" si="57"/>
        <v/>
      </c>
      <c r="AH639" t="str">
        <f t="shared" si="58"/>
        <v/>
      </c>
      <c r="AI639" t="str">
        <f>IF($AG639="","",SUMIF($AG$2:$AG639,$AG639,$AH$2:$AH639))</f>
        <v/>
      </c>
      <c r="AJ639" t="str">
        <f>IF('TMP Paste'!$F639="","",IF('TMP Paste'!$B639="",$AJ638,'TMP Paste'!$B639))</f>
        <v/>
      </c>
      <c r="AK639" t="str">
        <f>IF('TMP Paste'!$F639="","",N('TMP Paste'!$G639))</f>
        <v/>
      </c>
      <c r="AL639" t="str">
        <f>IF('TMP Paste'!$F639="","",IF('TMP Paste'!$M639="",$AL638,'TMP Paste'!$M639))</f>
        <v/>
      </c>
      <c r="AM639" t="str">
        <f>IF('TMP Paste'!$F639="","",IF('TMP Paste'!$N639="",$AM638,'TMP Paste'!$N639))</f>
        <v/>
      </c>
      <c r="AN639" t="str">
        <f>IF('TMP Paste'!$F639="","",IF('TMP Paste'!$O639="",$AN638,'TMP Paste'!$O639))</f>
        <v/>
      </c>
      <c r="AO639" t="str">
        <f>IF('TMP Paste'!$F639="","",IF('TMP Paste'!$P639="",$AO638,'TMP Paste'!$P639))</f>
        <v/>
      </c>
      <c r="AP639" t="str">
        <f t="shared" si="59"/>
        <v/>
      </c>
      <c r="AQ639" t="str">
        <f>IF($AS639="","",TRIM(IF(COUNTIFS(Calc!$B$2:$B$1601,ROW()-1,Calc!$C$2:$C$1601,"&lt;1")&gt;0,"Ada PO tanpa Koli - cek TMP. ","")&amp;IF(OR($AU639="",$AU639&lt;=0),"Volume kosong/0 - dimensi dikosongkan. ","")&amp;IF(AND($AU639&lt;&gt;"",$AU639&gt;=1000000),"Volume &gt;= 1.000.000 cm3 (di luar aturan) - dimensi dikosongkan. ","")&amp;IF(LEN($R639)&gt;500,"R &gt; 500 karakter.","")))</f>
        <v/>
      </c>
      <c r="AS639" t="str">
        <f>IFERROR(MATCH(ROW()-1,Calc!$J$2:$J$1601,0),"")</f>
        <v/>
      </c>
      <c r="AT639" t="str">
        <f>IFERROR(MATCH(ROW()-1,Calc!$K$2:$K$1601,0),"")</f>
        <v/>
      </c>
      <c r="AU639" t="str">
        <f>IF($AS639="","",IFERROR(INDEX('TMP Paste'!$D$2:$D$1601,$AS639)*1000000/$AB639,""))</f>
        <v/>
      </c>
    </row>
    <row r="640" spans="1:47">
      <c r="A640" t="str">
        <f>IF($AS640="","",INDEX('TMP Paste'!$B$2:$B$1601,$AS640))</f>
        <v/>
      </c>
      <c r="B640" t="str">
        <f>IF($AS640="","",Config!$B$14)</f>
        <v/>
      </c>
      <c r="C640" t="str">
        <f>IF($AS640="","",Config!$B$15)</f>
        <v/>
      </c>
      <c r="D640" t="str">
        <f>IF($AS640="","",INDEX('TMP Paste'!$B$2:$B$1601,$AS640))</f>
        <v/>
      </c>
      <c r="E640" t="str">
        <f>IF($AS640="","",Config!$B$27)</f>
        <v/>
      </c>
      <c r="F640" t="str">
        <f>IF($AS640="","",Config!$B$9)</f>
        <v/>
      </c>
      <c r="G640" t="str">
        <f>IF($AS640="","",Config!$B$10)</f>
        <v/>
      </c>
      <c r="H640" t="str">
        <f>IF($AS640="","",Config!$B$11)</f>
        <v/>
      </c>
      <c r="I640" t="str">
        <f>IF($AS640="","",Config!$B$16)</f>
        <v/>
      </c>
      <c r="J640" t="str">
        <f>IF($AS640="","",INDEX('TMP Paste'!$A$2:$A$1601,$AS640))</f>
        <v/>
      </c>
      <c r="K640" t="str">
        <f>IF($AS640="","",INDEX('TMP Paste'!$L$2:$L$1601,$AS640))</f>
        <v/>
      </c>
      <c r="L640" t="str">
        <f>IF($AS640="","",INDEX('TMP Paste'!$I$2:$I$1601,$AS640))</f>
        <v/>
      </c>
      <c r="M640" t="str">
        <f>IF($AS640="","",Config!$B$16)</f>
        <v/>
      </c>
      <c r="N640" t="str">
        <f t="shared" si="54"/>
        <v/>
      </c>
      <c r="O640" t="str">
        <f>IF($AS640="","",INDEX('TMP Paste'!$K$2:$K$1601,$AS640))</f>
        <v/>
      </c>
      <c r="P640" t="str">
        <f t="shared" si="55"/>
        <v/>
      </c>
      <c r="Q640" t="str">
        <f>IF($AS640="","",INDEX('TMP Paste'!$J$2:$J$1601,$AS640))</f>
        <v/>
      </c>
      <c r="R640" t="str">
        <f>IF($AS640="","",Config!$B$24)</f>
        <v/>
      </c>
      <c r="S640" t="str">
        <f ca="1">IF($AS640="","",TEXT(Config!$B$4,"yyyy-mm-dd"))</f>
        <v/>
      </c>
      <c r="T640" t="str">
        <f>IF($AS640="","",Config!$B$17)</f>
        <v/>
      </c>
      <c r="U640" t="str">
        <f>IF($AS640="","",Config!$B$18)</f>
        <v/>
      </c>
      <c r="V640" t="str">
        <f>IF($AS640="","",Config!$B$19)</f>
        <v/>
      </c>
      <c r="W640" t="str">
        <f>IF($AS640="","",INDEX('TMP Paste'!$C$2:$C$1601,$AS640))</f>
        <v/>
      </c>
      <c r="X640" t="str">
        <f>IF($AS640="","",Config!$B$29)</f>
        <v/>
      </c>
      <c r="Y640" t="str">
        <f>IF($AT640="","",INDEX(Calc!$I$2:$I$1601,$AT640)&amp;" - "&amp;INDEX(Calc!$D$2:$D$1601,$AT640)&amp;" koli")</f>
        <v/>
      </c>
      <c r="Z640" t="str">
        <f>IF($AS640="","",Config!$B$21)</f>
        <v/>
      </c>
      <c r="AA640" t="str">
        <f>IF($AS640="","",Config!$B$22)</f>
        <v/>
      </c>
      <c r="AB640" t="str">
        <f>IF($AT640="","",INDEX(Calc!$D$2:$D$1601,$AT640))</f>
        <v/>
      </c>
      <c r="AC640" t="str">
        <f>IF($AT640="","",INDEX(Calc!$G$2:$G$1601,$AT640))</f>
        <v/>
      </c>
      <c r="AD640" t="str">
        <f>IF($AS640="","",Config!$B$23)</f>
        <v/>
      </c>
      <c r="AE640" t="str">
        <f>IF($AS640="","",Config!$B$28)</f>
        <v/>
      </c>
      <c r="AF640" t="str">
        <f t="shared" si="56"/>
        <v/>
      </c>
      <c r="AG640" t="str">
        <f t="shared" si="57"/>
        <v/>
      </c>
      <c r="AH640" t="str">
        <f t="shared" si="58"/>
        <v/>
      </c>
      <c r="AI640" t="str">
        <f>IF($AG640="","",SUMIF($AG$2:$AG640,$AG640,$AH$2:$AH640))</f>
        <v/>
      </c>
      <c r="AJ640" t="str">
        <f>IF('TMP Paste'!$F640="","",IF('TMP Paste'!$B640="",$AJ639,'TMP Paste'!$B640))</f>
        <v/>
      </c>
      <c r="AK640" t="str">
        <f>IF('TMP Paste'!$F640="","",N('TMP Paste'!$G640))</f>
        <v/>
      </c>
      <c r="AL640" t="str">
        <f>IF('TMP Paste'!$F640="","",IF('TMP Paste'!$M640="",$AL639,'TMP Paste'!$M640))</f>
        <v/>
      </c>
      <c r="AM640" t="str">
        <f>IF('TMP Paste'!$F640="","",IF('TMP Paste'!$N640="",$AM639,'TMP Paste'!$N640))</f>
        <v/>
      </c>
      <c r="AN640" t="str">
        <f>IF('TMP Paste'!$F640="","",IF('TMP Paste'!$O640="",$AN639,'TMP Paste'!$O640))</f>
        <v/>
      </c>
      <c r="AO640" t="str">
        <f>IF('TMP Paste'!$F640="","",IF('TMP Paste'!$P640="",$AO639,'TMP Paste'!$P640))</f>
        <v/>
      </c>
      <c r="AP640" t="str">
        <f t="shared" si="59"/>
        <v/>
      </c>
      <c r="AQ640" t="str">
        <f>IF($AS640="","",TRIM(IF(COUNTIFS(Calc!$B$2:$B$1601,ROW()-1,Calc!$C$2:$C$1601,"&lt;1")&gt;0,"Ada PO tanpa Koli - cek TMP. ","")&amp;IF(OR($AU640="",$AU640&lt;=0),"Volume kosong/0 - dimensi dikosongkan. ","")&amp;IF(AND($AU640&lt;&gt;"",$AU640&gt;=1000000),"Volume &gt;= 1.000.000 cm3 (di luar aturan) - dimensi dikosongkan. ","")&amp;IF(LEN($R640)&gt;500,"R &gt; 500 karakter.","")))</f>
        <v/>
      </c>
      <c r="AS640" t="str">
        <f>IFERROR(MATCH(ROW()-1,Calc!$J$2:$J$1601,0),"")</f>
        <v/>
      </c>
      <c r="AT640" t="str">
        <f>IFERROR(MATCH(ROW()-1,Calc!$K$2:$K$1601,0),"")</f>
        <v/>
      </c>
      <c r="AU640" t="str">
        <f>IF($AS640="","",IFERROR(INDEX('TMP Paste'!$D$2:$D$1601,$AS640)*1000000/$AB640,""))</f>
        <v/>
      </c>
    </row>
    <row r="641" spans="1:47">
      <c r="A641" t="str">
        <f>IF($AS641="","",INDEX('TMP Paste'!$B$2:$B$1601,$AS641))</f>
        <v/>
      </c>
      <c r="B641" t="str">
        <f>IF($AS641="","",Config!$B$14)</f>
        <v/>
      </c>
      <c r="C641" t="str">
        <f>IF($AS641="","",Config!$B$15)</f>
        <v/>
      </c>
      <c r="D641" t="str">
        <f>IF($AS641="","",INDEX('TMP Paste'!$B$2:$B$1601,$AS641))</f>
        <v/>
      </c>
      <c r="E641" t="str">
        <f>IF($AS641="","",Config!$B$27)</f>
        <v/>
      </c>
      <c r="F641" t="str">
        <f>IF($AS641="","",Config!$B$9)</f>
        <v/>
      </c>
      <c r="G641" t="str">
        <f>IF($AS641="","",Config!$B$10)</f>
        <v/>
      </c>
      <c r="H641" t="str">
        <f>IF($AS641="","",Config!$B$11)</f>
        <v/>
      </c>
      <c r="I641" t="str">
        <f>IF($AS641="","",Config!$B$16)</f>
        <v/>
      </c>
      <c r="J641" t="str">
        <f>IF($AS641="","",INDEX('TMP Paste'!$A$2:$A$1601,$AS641))</f>
        <v/>
      </c>
      <c r="K641" t="str">
        <f>IF($AS641="","",INDEX('TMP Paste'!$L$2:$L$1601,$AS641))</f>
        <v/>
      </c>
      <c r="L641" t="str">
        <f>IF($AS641="","",INDEX('TMP Paste'!$I$2:$I$1601,$AS641))</f>
        <v/>
      </c>
      <c r="M641" t="str">
        <f>IF($AS641="","",Config!$B$16)</f>
        <v/>
      </c>
      <c r="N641" t="str">
        <f t="shared" si="54"/>
        <v/>
      </c>
      <c r="O641" t="str">
        <f>IF($AS641="","",INDEX('TMP Paste'!$K$2:$K$1601,$AS641))</f>
        <v/>
      </c>
      <c r="P641" t="str">
        <f t="shared" si="55"/>
        <v/>
      </c>
      <c r="Q641" t="str">
        <f>IF($AS641="","",INDEX('TMP Paste'!$J$2:$J$1601,$AS641))</f>
        <v/>
      </c>
      <c r="R641" t="str">
        <f>IF($AS641="","",Config!$B$24)</f>
        <v/>
      </c>
      <c r="S641" t="str">
        <f ca="1">IF($AS641="","",TEXT(Config!$B$4,"yyyy-mm-dd"))</f>
        <v/>
      </c>
      <c r="T641" t="str">
        <f>IF($AS641="","",Config!$B$17)</f>
        <v/>
      </c>
      <c r="U641" t="str">
        <f>IF($AS641="","",Config!$B$18)</f>
        <v/>
      </c>
      <c r="V641" t="str">
        <f>IF($AS641="","",Config!$B$19)</f>
        <v/>
      </c>
      <c r="W641" t="str">
        <f>IF($AS641="","",INDEX('TMP Paste'!$C$2:$C$1601,$AS641))</f>
        <v/>
      </c>
      <c r="X641" t="str">
        <f>IF($AS641="","",Config!$B$29)</f>
        <v/>
      </c>
      <c r="Y641" t="str">
        <f>IF($AT641="","",INDEX(Calc!$I$2:$I$1601,$AT641)&amp;" - "&amp;INDEX(Calc!$D$2:$D$1601,$AT641)&amp;" koli")</f>
        <v/>
      </c>
      <c r="Z641" t="str">
        <f>IF($AS641="","",Config!$B$21)</f>
        <v/>
      </c>
      <c r="AA641" t="str">
        <f>IF($AS641="","",Config!$B$22)</f>
        <v/>
      </c>
      <c r="AB641" t="str">
        <f>IF($AT641="","",INDEX(Calc!$D$2:$D$1601,$AT641))</f>
        <v/>
      </c>
      <c r="AC641" t="str">
        <f>IF($AT641="","",INDEX(Calc!$G$2:$G$1601,$AT641))</f>
        <v/>
      </c>
      <c r="AD641" t="str">
        <f>IF($AS641="","",Config!$B$23)</f>
        <v/>
      </c>
      <c r="AE641" t="str">
        <f>IF($AS641="","",Config!$B$28)</f>
        <v/>
      </c>
      <c r="AF641" t="str">
        <f t="shared" si="56"/>
        <v/>
      </c>
      <c r="AG641" t="str">
        <f t="shared" si="57"/>
        <v/>
      </c>
      <c r="AH641" t="str">
        <f t="shared" si="58"/>
        <v/>
      </c>
      <c r="AI641" t="str">
        <f>IF($AG641="","",SUMIF($AG$2:$AG641,$AG641,$AH$2:$AH641))</f>
        <v/>
      </c>
      <c r="AJ641" t="str">
        <f>IF('TMP Paste'!$F641="","",IF('TMP Paste'!$B641="",$AJ640,'TMP Paste'!$B641))</f>
        <v/>
      </c>
      <c r="AK641" t="str">
        <f>IF('TMP Paste'!$F641="","",N('TMP Paste'!$G641))</f>
        <v/>
      </c>
      <c r="AL641" t="str">
        <f>IF('TMP Paste'!$F641="","",IF('TMP Paste'!$M641="",$AL640,'TMP Paste'!$M641))</f>
        <v/>
      </c>
      <c r="AM641" t="str">
        <f>IF('TMP Paste'!$F641="","",IF('TMP Paste'!$N641="",$AM640,'TMP Paste'!$N641))</f>
        <v/>
      </c>
      <c r="AN641" t="str">
        <f>IF('TMP Paste'!$F641="","",IF('TMP Paste'!$O641="",$AN640,'TMP Paste'!$O641))</f>
        <v/>
      </c>
      <c r="AO641" t="str">
        <f>IF('TMP Paste'!$F641="","",IF('TMP Paste'!$P641="",$AO640,'TMP Paste'!$P641))</f>
        <v/>
      </c>
      <c r="AP641" t="str">
        <f t="shared" si="59"/>
        <v/>
      </c>
      <c r="AQ641" t="str">
        <f>IF($AS641="","",TRIM(IF(COUNTIFS(Calc!$B$2:$B$1601,ROW()-1,Calc!$C$2:$C$1601,"&lt;1")&gt;0,"Ada PO tanpa Koli - cek TMP. ","")&amp;IF(OR($AU641="",$AU641&lt;=0),"Volume kosong/0 - dimensi dikosongkan. ","")&amp;IF(AND($AU641&lt;&gt;"",$AU641&gt;=1000000),"Volume &gt;= 1.000.000 cm3 (di luar aturan) - dimensi dikosongkan. ","")&amp;IF(LEN($R641)&gt;500,"R &gt; 500 karakter.","")))</f>
        <v/>
      </c>
      <c r="AS641" t="str">
        <f>IFERROR(MATCH(ROW()-1,Calc!$J$2:$J$1601,0),"")</f>
        <v/>
      </c>
      <c r="AT641" t="str">
        <f>IFERROR(MATCH(ROW()-1,Calc!$K$2:$K$1601,0),"")</f>
        <v/>
      </c>
      <c r="AU641" t="str">
        <f>IF($AS641="","",IFERROR(INDEX('TMP Paste'!$D$2:$D$1601,$AS641)*1000000/$AB641,""))</f>
        <v/>
      </c>
    </row>
    <row r="642" spans="1:47">
      <c r="A642" t="str">
        <f>IF($AS642="","",INDEX('TMP Paste'!$B$2:$B$1601,$AS642))</f>
        <v/>
      </c>
      <c r="B642" t="str">
        <f>IF($AS642="","",Config!$B$14)</f>
        <v/>
      </c>
      <c r="C642" t="str">
        <f>IF($AS642="","",Config!$B$15)</f>
        <v/>
      </c>
      <c r="D642" t="str">
        <f>IF($AS642="","",INDEX('TMP Paste'!$B$2:$B$1601,$AS642))</f>
        <v/>
      </c>
      <c r="E642" t="str">
        <f>IF($AS642="","",Config!$B$27)</f>
        <v/>
      </c>
      <c r="F642" t="str">
        <f>IF($AS642="","",Config!$B$9)</f>
        <v/>
      </c>
      <c r="G642" t="str">
        <f>IF($AS642="","",Config!$B$10)</f>
        <v/>
      </c>
      <c r="H642" t="str">
        <f>IF($AS642="","",Config!$B$11)</f>
        <v/>
      </c>
      <c r="I642" t="str">
        <f>IF($AS642="","",Config!$B$16)</f>
        <v/>
      </c>
      <c r="J642" t="str">
        <f>IF($AS642="","",INDEX('TMP Paste'!$A$2:$A$1601,$AS642))</f>
        <v/>
      </c>
      <c r="K642" t="str">
        <f>IF($AS642="","",INDEX('TMP Paste'!$L$2:$L$1601,$AS642))</f>
        <v/>
      </c>
      <c r="L642" t="str">
        <f>IF($AS642="","",INDEX('TMP Paste'!$I$2:$I$1601,$AS642))</f>
        <v/>
      </c>
      <c r="M642" t="str">
        <f>IF($AS642="","",Config!$B$16)</f>
        <v/>
      </c>
      <c r="N642" t="str">
        <f t="shared" ref="N642:N705" si="60">IF($AS642="","","")</f>
        <v/>
      </c>
      <c r="O642" t="str">
        <f>IF($AS642="","",INDEX('TMP Paste'!$K$2:$K$1601,$AS642))</f>
        <v/>
      </c>
      <c r="P642" t="str">
        <f t="shared" ref="P642:P705" si="61">IF($AS642="","","")</f>
        <v/>
      </c>
      <c r="Q642" t="str">
        <f>IF($AS642="","",INDEX('TMP Paste'!$J$2:$J$1601,$AS642))</f>
        <v/>
      </c>
      <c r="R642" t="str">
        <f>IF($AS642="","",Config!$B$24)</f>
        <v/>
      </c>
      <c r="S642" t="str">
        <f ca="1">IF($AS642="","",TEXT(Config!$B$4,"yyyy-mm-dd"))</f>
        <v/>
      </c>
      <c r="T642" t="str">
        <f>IF($AS642="","",Config!$B$17)</f>
        <v/>
      </c>
      <c r="U642" t="str">
        <f>IF($AS642="","",Config!$B$18)</f>
        <v/>
      </c>
      <c r="V642" t="str">
        <f>IF($AS642="","",Config!$B$19)</f>
        <v/>
      </c>
      <c r="W642" t="str">
        <f>IF($AS642="","",INDEX('TMP Paste'!$C$2:$C$1601,$AS642))</f>
        <v/>
      </c>
      <c r="X642" t="str">
        <f>IF($AS642="","",Config!$B$29)</f>
        <v/>
      </c>
      <c r="Y642" t="str">
        <f>IF($AT642="","",INDEX(Calc!$I$2:$I$1601,$AT642)&amp;" - "&amp;INDEX(Calc!$D$2:$D$1601,$AT642)&amp;" koli")</f>
        <v/>
      </c>
      <c r="Z642" t="str">
        <f>IF($AS642="","",Config!$B$21)</f>
        <v/>
      </c>
      <c r="AA642" t="str">
        <f>IF($AS642="","",Config!$B$22)</f>
        <v/>
      </c>
      <c r="AB642" t="str">
        <f>IF($AT642="","",INDEX(Calc!$D$2:$D$1601,$AT642))</f>
        <v/>
      </c>
      <c r="AC642" t="str">
        <f>IF($AT642="","",INDEX(Calc!$G$2:$G$1601,$AT642))</f>
        <v/>
      </c>
      <c r="AD642" t="str">
        <f>IF($AS642="","",Config!$B$23)</f>
        <v/>
      </c>
      <c r="AE642" t="str">
        <f>IF($AS642="","",Config!$B$28)</f>
        <v/>
      </c>
      <c r="AF642" t="str">
        <f t="shared" ref="AF642:AF705" si="62">IF($AS642="","",IF(OR($AU642="",$AU642&lt;=0,$AU642&gt;=1000000),"",IF($AU642&lt;10000,10,100)))</f>
        <v/>
      </c>
      <c r="AG642" t="str">
        <f t="shared" ref="AG642:AG705" si="63">IF($AS642="","",IF(OR($AU642="",$AU642&lt;=0,$AU642&gt;=1000000),"",IF($AU642&lt;10000,$AU642/100,IF($AU642&lt;100000,$AU642/1000,$AU642/10000))))</f>
        <v/>
      </c>
      <c r="AH642" t="str">
        <f t="shared" ref="AH642:AH705" si="64">IF($AS642="","",IF(OR($AU642="",$AU642&lt;=0,$AU642&gt;=1000000),"",IF($AU642&lt;100000,10,100)))</f>
        <v/>
      </c>
      <c r="AI642" t="str">
        <f>IF($AG642="","",SUMIF($AG$2:$AG642,$AG642,$AH$2:$AH642))</f>
        <v/>
      </c>
      <c r="AJ642" t="str">
        <f>IF('TMP Paste'!$F642="","",IF('TMP Paste'!$B642="",$AJ641,'TMP Paste'!$B642))</f>
        <v/>
      </c>
      <c r="AK642" t="str">
        <f>IF('TMP Paste'!$F642="","",N('TMP Paste'!$G642))</f>
        <v/>
      </c>
      <c r="AL642" t="str">
        <f>IF('TMP Paste'!$F642="","",IF('TMP Paste'!$M642="",$AL641,'TMP Paste'!$M642))</f>
        <v/>
      </c>
      <c r="AM642" t="str">
        <f>IF('TMP Paste'!$F642="","",IF('TMP Paste'!$N642="",$AM641,'TMP Paste'!$N642))</f>
        <v/>
      </c>
      <c r="AN642" t="str">
        <f>IF('TMP Paste'!$F642="","",IF('TMP Paste'!$O642="",$AN641,'TMP Paste'!$O642))</f>
        <v/>
      </c>
      <c r="AO642" t="str">
        <f>IF('TMP Paste'!$F642="","",IF('TMP Paste'!$P642="",$AO641,'TMP Paste'!$P642))</f>
        <v/>
      </c>
      <c r="AP642" t="str">
        <f t="shared" ref="AP642:AP705" si="65">IF($AG642="","",LEN($R642))</f>
        <v/>
      </c>
      <c r="AQ642" t="str">
        <f>IF($AS642="","",TRIM(IF(COUNTIFS(Calc!$B$2:$B$1601,ROW()-1,Calc!$C$2:$C$1601,"&lt;1")&gt;0,"Ada PO tanpa Koli - cek TMP. ","")&amp;IF(OR($AU642="",$AU642&lt;=0),"Volume kosong/0 - dimensi dikosongkan. ","")&amp;IF(AND($AU642&lt;&gt;"",$AU642&gt;=1000000),"Volume &gt;= 1.000.000 cm3 (di luar aturan) - dimensi dikosongkan. ","")&amp;IF(LEN($R642)&gt;500,"R &gt; 500 karakter.","")))</f>
        <v/>
      </c>
      <c r="AS642" t="str">
        <f>IFERROR(MATCH(ROW()-1,Calc!$J$2:$J$1601,0),"")</f>
        <v/>
      </c>
      <c r="AT642" t="str">
        <f>IFERROR(MATCH(ROW()-1,Calc!$K$2:$K$1601,0),"")</f>
        <v/>
      </c>
      <c r="AU642" t="str">
        <f>IF($AS642="","",IFERROR(INDEX('TMP Paste'!$D$2:$D$1601,$AS642)*1000000/$AB642,""))</f>
        <v/>
      </c>
    </row>
    <row r="643" spans="1:47">
      <c r="A643" t="str">
        <f>IF($AS643="","",INDEX('TMP Paste'!$B$2:$B$1601,$AS643))</f>
        <v/>
      </c>
      <c r="B643" t="str">
        <f>IF($AS643="","",Config!$B$14)</f>
        <v/>
      </c>
      <c r="C643" t="str">
        <f>IF($AS643="","",Config!$B$15)</f>
        <v/>
      </c>
      <c r="D643" t="str">
        <f>IF($AS643="","",INDEX('TMP Paste'!$B$2:$B$1601,$AS643))</f>
        <v/>
      </c>
      <c r="E643" t="str">
        <f>IF($AS643="","",Config!$B$27)</f>
        <v/>
      </c>
      <c r="F643" t="str">
        <f>IF($AS643="","",Config!$B$9)</f>
        <v/>
      </c>
      <c r="G643" t="str">
        <f>IF($AS643="","",Config!$B$10)</f>
        <v/>
      </c>
      <c r="H643" t="str">
        <f>IF($AS643="","",Config!$B$11)</f>
        <v/>
      </c>
      <c r="I643" t="str">
        <f>IF($AS643="","",Config!$B$16)</f>
        <v/>
      </c>
      <c r="J643" t="str">
        <f>IF($AS643="","",INDEX('TMP Paste'!$A$2:$A$1601,$AS643))</f>
        <v/>
      </c>
      <c r="K643" t="str">
        <f>IF($AS643="","",INDEX('TMP Paste'!$L$2:$L$1601,$AS643))</f>
        <v/>
      </c>
      <c r="L643" t="str">
        <f>IF($AS643="","",INDEX('TMP Paste'!$I$2:$I$1601,$AS643))</f>
        <v/>
      </c>
      <c r="M643" t="str">
        <f>IF($AS643="","",Config!$B$16)</f>
        <v/>
      </c>
      <c r="N643" t="str">
        <f t="shared" si="60"/>
        <v/>
      </c>
      <c r="O643" t="str">
        <f>IF($AS643="","",INDEX('TMP Paste'!$K$2:$K$1601,$AS643))</f>
        <v/>
      </c>
      <c r="P643" t="str">
        <f t="shared" si="61"/>
        <v/>
      </c>
      <c r="Q643" t="str">
        <f>IF($AS643="","",INDEX('TMP Paste'!$J$2:$J$1601,$AS643))</f>
        <v/>
      </c>
      <c r="R643" t="str">
        <f>IF($AS643="","",Config!$B$24)</f>
        <v/>
      </c>
      <c r="S643" t="str">
        <f ca="1">IF($AS643="","",TEXT(Config!$B$4,"yyyy-mm-dd"))</f>
        <v/>
      </c>
      <c r="T643" t="str">
        <f>IF($AS643="","",Config!$B$17)</f>
        <v/>
      </c>
      <c r="U643" t="str">
        <f>IF($AS643="","",Config!$B$18)</f>
        <v/>
      </c>
      <c r="V643" t="str">
        <f>IF($AS643="","",Config!$B$19)</f>
        <v/>
      </c>
      <c r="W643" t="str">
        <f>IF($AS643="","",INDEX('TMP Paste'!$C$2:$C$1601,$AS643))</f>
        <v/>
      </c>
      <c r="X643" t="str">
        <f>IF($AS643="","",Config!$B$29)</f>
        <v/>
      </c>
      <c r="Y643" t="str">
        <f>IF($AT643="","",INDEX(Calc!$I$2:$I$1601,$AT643)&amp;" - "&amp;INDEX(Calc!$D$2:$D$1601,$AT643)&amp;" koli")</f>
        <v/>
      </c>
      <c r="Z643" t="str">
        <f>IF($AS643="","",Config!$B$21)</f>
        <v/>
      </c>
      <c r="AA643" t="str">
        <f>IF($AS643="","",Config!$B$22)</f>
        <v/>
      </c>
      <c r="AB643" t="str">
        <f>IF($AT643="","",INDEX(Calc!$D$2:$D$1601,$AT643))</f>
        <v/>
      </c>
      <c r="AC643" t="str">
        <f>IF($AT643="","",INDEX(Calc!$G$2:$G$1601,$AT643))</f>
        <v/>
      </c>
      <c r="AD643" t="str">
        <f>IF($AS643="","",Config!$B$23)</f>
        <v/>
      </c>
      <c r="AE643" t="str">
        <f>IF($AS643="","",Config!$B$28)</f>
        <v/>
      </c>
      <c r="AF643" t="str">
        <f t="shared" si="62"/>
        <v/>
      </c>
      <c r="AG643" t="str">
        <f t="shared" si="63"/>
        <v/>
      </c>
      <c r="AH643" t="str">
        <f t="shared" si="64"/>
        <v/>
      </c>
      <c r="AI643" t="str">
        <f>IF($AG643="","",SUMIF($AG$2:$AG643,$AG643,$AH$2:$AH643))</f>
        <v/>
      </c>
      <c r="AJ643" t="str">
        <f>IF('TMP Paste'!$F643="","",IF('TMP Paste'!$B643="",$AJ642,'TMP Paste'!$B643))</f>
        <v/>
      </c>
      <c r="AK643" t="str">
        <f>IF('TMP Paste'!$F643="","",N('TMP Paste'!$G643))</f>
        <v/>
      </c>
      <c r="AL643" t="str">
        <f>IF('TMP Paste'!$F643="","",IF('TMP Paste'!$M643="",$AL642,'TMP Paste'!$M643))</f>
        <v/>
      </c>
      <c r="AM643" t="str">
        <f>IF('TMP Paste'!$F643="","",IF('TMP Paste'!$N643="",$AM642,'TMP Paste'!$N643))</f>
        <v/>
      </c>
      <c r="AN643" t="str">
        <f>IF('TMP Paste'!$F643="","",IF('TMP Paste'!$O643="",$AN642,'TMP Paste'!$O643))</f>
        <v/>
      </c>
      <c r="AO643" t="str">
        <f>IF('TMP Paste'!$F643="","",IF('TMP Paste'!$P643="",$AO642,'TMP Paste'!$P643))</f>
        <v/>
      </c>
      <c r="AP643" t="str">
        <f t="shared" si="65"/>
        <v/>
      </c>
      <c r="AQ643" t="str">
        <f>IF($AS643="","",TRIM(IF(COUNTIFS(Calc!$B$2:$B$1601,ROW()-1,Calc!$C$2:$C$1601,"&lt;1")&gt;0,"Ada PO tanpa Koli - cek TMP. ","")&amp;IF(OR($AU643="",$AU643&lt;=0),"Volume kosong/0 - dimensi dikosongkan. ","")&amp;IF(AND($AU643&lt;&gt;"",$AU643&gt;=1000000),"Volume &gt;= 1.000.000 cm3 (di luar aturan) - dimensi dikosongkan. ","")&amp;IF(LEN($R643)&gt;500,"R &gt; 500 karakter.","")))</f>
        <v/>
      </c>
      <c r="AS643" t="str">
        <f>IFERROR(MATCH(ROW()-1,Calc!$J$2:$J$1601,0),"")</f>
        <v/>
      </c>
      <c r="AT643" t="str">
        <f>IFERROR(MATCH(ROW()-1,Calc!$K$2:$K$1601,0),"")</f>
        <v/>
      </c>
      <c r="AU643" t="str">
        <f>IF($AS643="","",IFERROR(INDEX('TMP Paste'!$D$2:$D$1601,$AS643)*1000000/$AB643,""))</f>
        <v/>
      </c>
    </row>
    <row r="644" spans="1:47">
      <c r="A644" t="str">
        <f>IF($AS644="","",INDEX('TMP Paste'!$B$2:$B$1601,$AS644))</f>
        <v/>
      </c>
      <c r="B644" t="str">
        <f>IF($AS644="","",Config!$B$14)</f>
        <v/>
      </c>
      <c r="C644" t="str">
        <f>IF($AS644="","",Config!$B$15)</f>
        <v/>
      </c>
      <c r="D644" t="str">
        <f>IF($AS644="","",INDEX('TMP Paste'!$B$2:$B$1601,$AS644))</f>
        <v/>
      </c>
      <c r="E644" t="str">
        <f>IF($AS644="","",Config!$B$27)</f>
        <v/>
      </c>
      <c r="F644" t="str">
        <f>IF($AS644="","",Config!$B$9)</f>
        <v/>
      </c>
      <c r="G644" t="str">
        <f>IF($AS644="","",Config!$B$10)</f>
        <v/>
      </c>
      <c r="H644" t="str">
        <f>IF($AS644="","",Config!$B$11)</f>
        <v/>
      </c>
      <c r="I644" t="str">
        <f>IF($AS644="","",Config!$B$16)</f>
        <v/>
      </c>
      <c r="J644" t="str">
        <f>IF($AS644="","",INDEX('TMP Paste'!$A$2:$A$1601,$AS644))</f>
        <v/>
      </c>
      <c r="K644" t="str">
        <f>IF($AS644="","",INDEX('TMP Paste'!$L$2:$L$1601,$AS644))</f>
        <v/>
      </c>
      <c r="L644" t="str">
        <f>IF($AS644="","",INDEX('TMP Paste'!$I$2:$I$1601,$AS644))</f>
        <v/>
      </c>
      <c r="M644" t="str">
        <f>IF($AS644="","",Config!$B$16)</f>
        <v/>
      </c>
      <c r="N644" t="str">
        <f t="shared" si="60"/>
        <v/>
      </c>
      <c r="O644" t="str">
        <f>IF($AS644="","",INDEX('TMP Paste'!$K$2:$K$1601,$AS644))</f>
        <v/>
      </c>
      <c r="P644" t="str">
        <f t="shared" si="61"/>
        <v/>
      </c>
      <c r="Q644" t="str">
        <f>IF($AS644="","",INDEX('TMP Paste'!$J$2:$J$1601,$AS644))</f>
        <v/>
      </c>
      <c r="R644" t="str">
        <f>IF($AS644="","",Config!$B$24)</f>
        <v/>
      </c>
      <c r="S644" t="str">
        <f ca="1">IF($AS644="","",TEXT(Config!$B$4,"yyyy-mm-dd"))</f>
        <v/>
      </c>
      <c r="T644" t="str">
        <f>IF($AS644="","",Config!$B$17)</f>
        <v/>
      </c>
      <c r="U644" t="str">
        <f>IF($AS644="","",Config!$B$18)</f>
        <v/>
      </c>
      <c r="V644" t="str">
        <f>IF($AS644="","",Config!$B$19)</f>
        <v/>
      </c>
      <c r="W644" t="str">
        <f>IF($AS644="","",INDEX('TMP Paste'!$C$2:$C$1601,$AS644))</f>
        <v/>
      </c>
      <c r="X644" t="str">
        <f>IF($AS644="","",Config!$B$29)</f>
        <v/>
      </c>
      <c r="Y644" t="str">
        <f>IF($AT644="","",INDEX(Calc!$I$2:$I$1601,$AT644)&amp;" - "&amp;INDEX(Calc!$D$2:$D$1601,$AT644)&amp;" koli")</f>
        <v/>
      </c>
      <c r="Z644" t="str">
        <f>IF($AS644="","",Config!$B$21)</f>
        <v/>
      </c>
      <c r="AA644" t="str">
        <f>IF($AS644="","",Config!$B$22)</f>
        <v/>
      </c>
      <c r="AB644" t="str">
        <f>IF($AT644="","",INDEX(Calc!$D$2:$D$1601,$AT644))</f>
        <v/>
      </c>
      <c r="AC644" t="str">
        <f>IF($AT644="","",INDEX(Calc!$G$2:$G$1601,$AT644))</f>
        <v/>
      </c>
      <c r="AD644" t="str">
        <f>IF($AS644="","",Config!$B$23)</f>
        <v/>
      </c>
      <c r="AE644" t="str">
        <f>IF($AS644="","",Config!$B$28)</f>
        <v/>
      </c>
      <c r="AF644" t="str">
        <f t="shared" si="62"/>
        <v/>
      </c>
      <c r="AG644" t="str">
        <f t="shared" si="63"/>
        <v/>
      </c>
      <c r="AH644" t="str">
        <f t="shared" si="64"/>
        <v/>
      </c>
      <c r="AI644" t="str">
        <f>IF($AG644="","",SUMIF($AG$2:$AG644,$AG644,$AH$2:$AH644))</f>
        <v/>
      </c>
      <c r="AJ644" t="str">
        <f>IF('TMP Paste'!$F644="","",IF('TMP Paste'!$B644="",$AJ643,'TMP Paste'!$B644))</f>
        <v/>
      </c>
      <c r="AK644" t="str">
        <f>IF('TMP Paste'!$F644="","",N('TMP Paste'!$G644))</f>
        <v/>
      </c>
      <c r="AL644" t="str">
        <f>IF('TMP Paste'!$F644="","",IF('TMP Paste'!$M644="",$AL643,'TMP Paste'!$M644))</f>
        <v/>
      </c>
      <c r="AM644" t="str">
        <f>IF('TMP Paste'!$F644="","",IF('TMP Paste'!$N644="",$AM643,'TMP Paste'!$N644))</f>
        <v/>
      </c>
      <c r="AN644" t="str">
        <f>IF('TMP Paste'!$F644="","",IF('TMP Paste'!$O644="",$AN643,'TMP Paste'!$O644))</f>
        <v/>
      </c>
      <c r="AO644" t="str">
        <f>IF('TMP Paste'!$F644="","",IF('TMP Paste'!$P644="",$AO643,'TMP Paste'!$P644))</f>
        <v/>
      </c>
      <c r="AP644" t="str">
        <f t="shared" si="65"/>
        <v/>
      </c>
      <c r="AQ644" t="str">
        <f>IF($AS644="","",TRIM(IF(COUNTIFS(Calc!$B$2:$B$1601,ROW()-1,Calc!$C$2:$C$1601,"&lt;1")&gt;0,"Ada PO tanpa Koli - cek TMP. ","")&amp;IF(OR($AU644="",$AU644&lt;=0),"Volume kosong/0 - dimensi dikosongkan. ","")&amp;IF(AND($AU644&lt;&gt;"",$AU644&gt;=1000000),"Volume &gt;= 1.000.000 cm3 (di luar aturan) - dimensi dikosongkan. ","")&amp;IF(LEN($R644)&gt;500,"R &gt; 500 karakter.","")))</f>
        <v/>
      </c>
      <c r="AS644" t="str">
        <f>IFERROR(MATCH(ROW()-1,Calc!$J$2:$J$1601,0),"")</f>
        <v/>
      </c>
      <c r="AT644" t="str">
        <f>IFERROR(MATCH(ROW()-1,Calc!$K$2:$K$1601,0),"")</f>
        <v/>
      </c>
      <c r="AU644" t="str">
        <f>IF($AS644="","",IFERROR(INDEX('TMP Paste'!$D$2:$D$1601,$AS644)*1000000/$AB644,""))</f>
        <v/>
      </c>
    </row>
    <row r="645" spans="1:47">
      <c r="A645" t="str">
        <f>IF($AS645="","",INDEX('TMP Paste'!$B$2:$B$1601,$AS645))</f>
        <v/>
      </c>
      <c r="B645" t="str">
        <f>IF($AS645="","",Config!$B$14)</f>
        <v/>
      </c>
      <c r="C645" t="str">
        <f>IF($AS645="","",Config!$B$15)</f>
        <v/>
      </c>
      <c r="D645" t="str">
        <f>IF($AS645="","",INDEX('TMP Paste'!$B$2:$B$1601,$AS645))</f>
        <v/>
      </c>
      <c r="E645" t="str">
        <f>IF($AS645="","",Config!$B$27)</f>
        <v/>
      </c>
      <c r="F645" t="str">
        <f>IF($AS645="","",Config!$B$9)</f>
        <v/>
      </c>
      <c r="G645" t="str">
        <f>IF($AS645="","",Config!$B$10)</f>
        <v/>
      </c>
      <c r="H645" t="str">
        <f>IF($AS645="","",Config!$B$11)</f>
        <v/>
      </c>
      <c r="I645" t="str">
        <f>IF($AS645="","",Config!$B$16)</f>
        <v/>
      </c>
      <c r="J645" t="str">
        <f>IF($AS645="","",INDEX('TMP Paste'!$A$2:$A$1601,$AS645))</f>
        <v/>
      </c>
      <c r="K645" t="str">
        <f>IF($AS645="","",INDEX('TMP Paste'!$L$2:$L$1601,$AS645))</f>
        <v/>
      </c>
      <c r="L645" t="str">
        <f>IF($AS645="","",INDEX('TMP Paste'!$I$2:$I$1601,$AS645))</f>
        <v/>
      </c>
      <c r="M645" t="str">
        <f>IF($AS645="","",Config!$B$16)</f>
        <v/>
      </c>
      <c r="N645" t="str">
        <f t="shared" si="60"/>
        <v/>
      </c>
      <c r="O645" t="str">
        <f>IF($AS645="","",INDEX('TMP Paste'!$K$2:$K$1601,$AS645))</f>
        <v/>
      </c>
      <c r="P645" t="str">
        <f t="shared" si="61"/>
        <v/>
      </c>
      <c r="Q645" t="str">
        <f>IF($AS645="","",INDEX('TMP Paste'!$J$2:$J$1601,$AS645))</f>
        <v/>
      </c>
      <c r="R645" t="str">
        <f>IF($AS645="","",Config!$B$24)</f>
        <v/>
      </c>
      <c r="S645" t="str">
        <f ca="1">IF($AS645="","",TEXT(Config!$B$4,"yyyy-mm-dd"))</f>
        <v/>
      </c>
      <c r="T645" t="str">
        <f>IF($AS645="","",Config!$B$17)</f>
        <v/>
      </c>
      <c r="U645" t="str">
        <f>IF($AS645="","",Config!$B$18)</f>
        <v/>
      </c>
      <c r="V645" t="str">
        <f>IF($AS645="","",Config!$B$19)</f>
        <v/>
      </c>
      <c r="W645" t="str">
        <f>IF($AS645="","",INDEX('TMP Paste'!$C$2:$C$1601,$AS645))</f>
        <v/>
      </c>
      <c r="X645" t="str">
        <f>IF($AS645="","",Config!$B$29)</f>
        <v/>
      </c>
      <c r="Y645" t="str">
        <f>IF($AT645="","",INDEX(Calc!$I$2:$I$1601,$AT645)&amp;" - "&amp;INDEX(Calc!$D$2:$D$1601,$AT645)&amp;" koli")</f>
        <v/>
      </c>
      <c r="Z645" t="str">
        <f>IF($AS645="","",Config!$B$21)</f>
        <v/>
      </c>
      <c r="AA645" t="str">
        <f>IF($AS645="","",Config!$B$22)</f>
        <v/>
      </c>
      <c r="AB645" t="str">
        <f>IF($AT645="","",INDEX(Calc!$D$2:$D$1601,$AT645))</f>
        <v/>
      </c>
      <c r="AC645" t="str">
        <f>IF($AT645="","",INDEX(Calc!$G$2:$G$1601,$AT645))</f>
        <v/>
      </c>
      <c r="AD645" t="str">
        <f>IF($AS645="","",Config!$B$23)</f>
        <v/>
      </c>
      <c r="AE645" t="str">
        <f>IF($AS645="","",Config!$B$28)</f>
        <v/>
      </c>
      <c r="AF645" t="str">
        <f t="shared" si="62"/>
        <v/>
      </c>
      <c r="AG645" t="str">
        <f t="shared" si="63"/>
        <v/>
      </c>
      <c r="AH645" t="str">
        <f t="shared" si="64"/>
        <v/>
      </c>
      <c r="AI645" t="str">
        <f>IF($AG645="","",SUMIF($AG$2:$AG645,$AG645,$AH$2:$AH645))</f>
        <v/>
      </c>
      <c r="AJ645" t="str">
        <f>IF('TMP Paste'!$F645="","",IF('TMP Paste'!$B645="",$AJ644,'TMP Paste'!$B645))</f>
        <v/>
      </c>
      <c r="AK645" t="str">
        <f>IF('TMP Paste'!$F645="","",N('TMP Paste'!$G645))</f>
        <v/>
      </c>
      <c r="AL645" t="str">
        <f>IF('TMP Paste'!$F645="","",IF('TMP Paste'!$M645="",$AL644,'TMP Paste'!$M645))</f>
        <v/>
      </c>
      <c r="AM645" t="str">
        <f>IF('TMP Paste'!$F645="","",IF('TMP Paste'!$N645="",$AM644,'TMP Paste'!$N645))</f>
        <v/>
      </c>
      <c r="AN645" t="str">
        <f>IF('TMP Paste'!$F645="","",IF('TMP Paste'!$O645="",$AN644,'TMP Paste'!$O645))</f>
        <v/>
      </c>
      <c r="AO645" t="str">
        <f>IF('TMP Paste'!$F645="","",IF('TMP Paste'!$P645="",$AO644,'TMP Paste'!$P645))</f>
        <v/>
      </c>
      <c r="AP645" t="str">
        <f t="shared" si="65"/>
        <v/>
      </c>
      <c r="AQ645" t="str">
        <f>IF($AS645="","",TRIM(IF(COUNTIFS(Calc!$B$2:$B$1601,ROW()-1,Calc!$C$2:$C$1601,"&lt;1")&gt;0,"Ada PO tanpa Koli - cek TMP. ","")&amp;IF(OR($AU645="",$AU645&lt;=0),"Volume kosong/0 - dimensi dikosongkan. ","")&amp;IF(AND($AU645&lt;&gt;"",$AU645&gt;=1000000),"Volume &gt;= 1.000.000 cm3 (di luar aturan) - dimensi dikosongkan. ","")&amp;IF(LEN($R645)&gt;500,"R &gt; 500 karakter.","")))</f>
        <v/>
      </c>
      <c r="AS645" t="str">
        <f>IFERROR(MATCH(ROW()-1,Calc!$J$2:$J$1601,0),"")</f>
        <v/>
      </c>
      <c r="AT645" t="str">
        <f>IFERROR(MATCH(ROW()-1,Calc!$K$2:$K$1601,0),"")</f>
        <v/>
      </c>
      <c r="AU645" t="str">
        <f>IF($AS645="","",IFERROR(INDEX('TMP Paste'!$D$2:$D$1601,$AS645)*1000000/$AB645,""))</f>
        <v/>
      </c>
    </row>
    <row r="646" spans="1:47">
      <c r="A646" t="str">
        <f>IF($AS646="","",INDEX('TMP Paste'!$B$2:$B$1601,$AS646))</f>
        <v/>
      </c>
      <c r="B646" t="str">
        <f>IF($AS646="","",Config!$B$14)</f>
        <v/>
      </c>
      <c r="C646" t="str">
        <f>IF($AS646="","",Config!$B$15)</f>
        <v/>
      </c>
      <c r="D646" t="str">
        <f>IF($AS646="","",INDEX('TMP Paste'!$B$2:$B$1601,$AS646))</f>
        <v/>
      </c>
      <c r="E646" t="str">
        <f>IF($AS646="","",Config!$B$27)</f>
        <v/>
      </c>
      <c r="F646" t="str">
        <f>IF($AS646="","",Config!$B$9)</f>
        <v/>
      </c>
      <c r="G646" t="str">
        <f>IF($AS646="","",Config!$B$10)</f>
        <v/>
      </c>
      <c r="H646" t="str">
        <f>IF($AS646="","",Config!$B$11)</f>
        <v/>
      </c>
      <c r="I646" t="str">
        <f>IF($AS646="","",Config!$B$16)</f>
        <v/>
      </c>
      <c r="J646" t="str">
        <f>IF($AS646="","",INDEX('TMP Paste'!$A$2:$A$1601,$AS646))</f>
        <v/>
      </c>
      <c r="K646" t="str">
        <f>IF($AS646="","",INDEX('TMP Paste'!$L$2:$L$1601,$AS646))</f>
        <v/>
      </c>
      <c r="L646" t="str">
        <f>IF($AS646="","",INDEX('TMP Paste'!$I$2:$I$1601,$AS646))</f>
        <v/>
      </c>
      <c r="M646" t="str">
        <f>IF($AS646="","",Config!$B$16)</f>
        <v/>
      </c>
      <c r="N646" t="str">
        <f t="shared" si="60"/>
        <v/>
      </c>
      <c r="O646" t="str">
        <f>IF($AS646="","",INDEX('TMP Paste'!$K$2:$K$1601,$AS646))</f>
        <v/>
      </c>
      <c r="P646" t="str">
        <f t="shared" si="61"/>
        <v/>
      </c>
      <c r="Q646" t="str">
        <f>IF($AS646="","",INDEX('TMP Paste'!$J$2:$J$1601,$AS646))</f>
        <v/>
      </c>
      <c r="R646" t="str">
        <f>IF($AS646="","",Config!$B$24)</f>
        <v/>
      </c>
      <c r="S646" t="str">
        <f ca="1">IF($AS646="","",TEXT(Config!$B$4,"yyyy-mm-dd"))</f>
        <v/>
      </c>
      <c r="T646" t="str">
        <f>IF($AS646="","",Config!$B$17)</f>
        <v/>
      </c>
      <c r="U646" t="str">
        <f>IF($AS646="","",Config!$B$18)</f>
        <v/>
      </c>
      <c r="V646" t="str">
        <f>IF($AS646="","",Config!$B$19)</f>
        <v/>
      </c>
      <c r="W646" t="str">
        <f>IF($AS646="","",INDEX('TMP Paste'!$C$2:$C$1601,$AS646))</f>
        <v/>
      </c>
      <c r="X646" t="str">
        <f>IF($AS646="","",Config!$B$29)</f>
        <v/>
      </c>
      <c r="Y646" t="str">
        <f>IF($AT646="","",INDEX(Calc!$I$2:$I$1601,$AT646)&amp;" - "&amp;INDEX(Calc!$D$2:$D$1601,$AT646)&amp;" koli")</f>
        <v/>
      </c>
      <c r="Z646" t="str">
        <f>IF($AS646="","",Config!$B$21)</f>
        <v/>
      </c>
      <c r="AA646" t="str">
        <f>IF($AS646="","",Config!$B$22)</f>
        <v/>
      </c>
      <c r="AB646" t="str">
        <f>IF($AT646="","",INDEX(Calc!$D$2:$D$1601,$AT646))</f>
        <v/>
      </c>
      <c r="AC646" t="str">
        <f>IF($AT646="","",INDEX(Calc!$G$2:$G$1601,$AT646))</f>
        <v/>
      </c>
      <c r="AD646" t="str">
        <f>IF($AS646="","",Config!$B$23)</f>
        <v/>
      </c>
      <c r="AE646" t="str">
        <f>IF($AS646="","",Config!$B$28)</f>
        <v/>
      </c>
      <c r="AF646" t="str">
        <f t="shared" si="62"/>
        <v/>
      </c>
      <c r="AG646" t="str">
        <f t="shared" si="63"/>
        <v/>
      </c>
      <c r="AH646" t="str">
        <f t="shared" si="64"/>
        <v/>
      </c>
      <c r="AI646" t="str">
        <f>IF($AG646="","",SUMIF($AG$2:$AG646,$AG646,$AH$2:$AH646))</f>
        <v/>
      </c>
      <c r="AJ646" t="str">
        <f>IF('TMP Paste'!$F646="","",IF('TMP Paste'!$B646="",$AJ645,'TMP Paste'!$B646))</f>
        <v/>
      </c>
      <c r="AK646" t="str">
        <f>IF('TMP Paste'!$F646="","",N('TMP Paste'!$G646))</f>
        <v/>
      </c>
      <c r="AL646" t="str">
        <f>IF('TMP Paste'!$F646="","",IF('TMP Paste'!$M646="",$AL645,'TMP Paste'!$M646))</f>
        <v/>
      </c>
      <c r="AM646" t="str">
        <f>IF('TMP Paste'!$F646="","",IF('TMP Paste'!$N646="",$AM645,'TMP Paste'!$N646))</f>
        <v/>
      </c>
      <c r="AN646" t="str">
        <f>IF('TMP Paste'!$F646="","",IF('TMP Paste'!$O646="",$AN645,'TMP Paste'!$O646))</f>
        <v/>
      </c>
      <c r="AO646" t="str">
        <f>IF('TMP Paste'!$F646="","",IF('TMP Paste'!$P646="",$AO645,'TMP Paste'!$P646))</f>
        <v/>
      </c>
      <c r="AP646" t="str">
        <f t="shared" si="65"/>
        <v/>
      </c>
      <c r="AQ646" t="str">
        <f>IF($AS646="","",TRIM(IF(COUNTIFS(Calc!$B$2:$B$1601,ROW()-1,Calc!$C$2:$C$1601,"&lt;1")&gt;0,"Ada PO tanpa Koli - cek TMP. ","")&amp;IF(OR($AU646="",$AU646&lt;=0),"Volume kosong/0 - dimensi dikosongkan. ","")&amp;IF(AND($AU646&lt;&gt;"",$AU646&gt;=1000000),"Volume &gt;= 1.000.000 cm3 (di luar aturan) - dimensi dikosongkan. ","")&amp;IF(LEN($R646)&gt;500,"R &gt; 500 karakter.","")))</f>
        <v/>
      </c>
      <c r="AS646" t="str">
        <f>IFERROR(MATCH(ROW()-1,Calc!$J$2:$J$1601,0),"")</f>
        <v/>
      </c>
      <c r="AT646" t="str">
        <f>IFERROR(MATCH(ROW()-1,Calc!$K$2:$K$1601,0),"")</f>
        <v/>
      </c>
      <c r="AU646" t="str">
        <f>IF($AS646="","",IFERROR(INDEX('TMP Paste'!$D$2:$D$1601,$AS646)*1000000/$AB646,""))</f>
        <v/>
      </c>
    </row>
    <row r="647" spans="1:47">
      <c r="A647" t="str">
        <f>IF($AS647="","",INDEX('TMP Paste'!$B$2:$B$1601,$AS647))</f>
        <v/>
      </c>
      <c r="B647" t="str">
        <f>IF($AS647="","",Config!$B$14)</f>
        <v/>
      </c>
      <c r="C647" t="str">
        <f>IF($AS647="","",Config!$B$15)</f>
        <v/>
      </c>
      <c r="D647" t="str">
        <f>IF($AS647="","",INDEX('TMP Paste'!$B$2:$B$1601,$AS647))</f>
        <v/>
      </c>
      <c r="E647" t="str">
        <f>IF($AS647="","",Config!$B$27)</f>
        <v/>
      </c>
      <c r="F647" t="str">
        <f>IF($AS647="","",Config!$B$9)</f>
        <v/>
      </c>
      <c r="G647" t="str">
        <f>IF($AS647="","",Config!$B$10)</f>
        <v/>
      </c>
      <c r="H647" t="str">
        <f>IF($AS647="","",Config!$B$11)</f>
        <v/>
      </c>
      <c r="I647" t="str">
        <f>IF($AS647="","",Config!$B$16)</f>
        <v/>
      </c>
      <c r="J647" t="str">
        <f>IF($AS647="","",INDEX('TMP Paste'!$A$2:$A$1601,$AS647))</f>
        <v/>
      </c>
      <c r="K647" t="str">
        <f>IF($AS647="","",INDEX('TMP Paste'!$L$2:$L$1601,$AS647))</f>
        <v/>
      </c>
      <c r="L647" t="str">
        <f>IF($AS647="","",INDEX('TMP Paste'!$I$2:$I$1601,$AS647))</f>
        <v/>
      </c>
      <c r="M647" t="str">
        <f>IF($AS647="","",Config!$B$16)</f>
        <v/>
      </c>
      <c r="N647" t="str">
        <f t="shared" si="60"/>
        <v/>
      </c>
      <c r="O647" t="str">
        <f>IF($AS647="","",INDEX('TMP Paste'!$K$2:$K$1601,$AS647))</f>
        <v/>
      </c>
      <c r="P647" t="str">
        <f t="shared" si="61"/>
        <v/>
      </c>
      <c r="Q647" t="str">
        <f>IF($AS647="","",INDEX('TMP Paste'!$J$2:$J$1601,$AS647))</f>
        <v/>
      </c>
      <c r="R647" t="str">
        <f>IF($AS647="","",Config!$B$24)</f>
        <v/>
      </c>
      <c r="S647" t="str">
        <f ca="1">IF($AS647="","",TEXT(Config!$B$4,"yyyy-mm-dd"))</f>
        <v/>
      </c>
      <c r="T647" t="str">
        <f>IF($AS647="","",Config!$B$17)</f>
        <v/>
      </c>
      <c r="U647" t="str">
        <f>IF($AS647="","",Config!$B$18)</f>
        <v/>
      </c>
      <c r="V647" t="str">
        <f>IF($AS647="","",Config!$B$19)</f>
        <v/>
      </c>
      <c r="W647" t="str">
        <f>IF($AS647="","",INDEX('TMP Paste'!$C$2:$C$1601,$AS647))</f>
        <v/>
      </c>
      <c r="X647" t="str">
        <f>IF($AS647="","",Config!$B$29)</f>
        <v/>
      </c>
      <c r="Y647" t="str">
        <f>IF($AT647="","",INDEX(Calc!$I$2:$I$1601,$AT647)&amp;" - "&amp;INDEX(Calc!$D$2:$D$1601,$AT647)&amp;" koli")</f>
        <v/>
      </c>
      <c r="Z647" t="str">
        <f>IF($AS647="","",Config!$B$21)</f>
        <v/>
      </c>
      <c r="AA647" t="str">
        <f>IF($AS647="","",Config!$B$22)</f>
        <v/>
      </c>
      <c r="AB647" t="str">
        <f>IF($AT647="","",INDEX(Calc!$D$2:$D$1601,$AT647))</f>
        <v/>
      </c>
      <c r="AC647" t="str">
        <f>IF($AT647="","",INDEX(Calc!$G$2:$G$1601,$AT647))</f>
        <v/>
      </c>
      <c r="AD647" t="str">
        <f>IF($AS647="","",Config!$B$23)</f>
        <v/>
      </c>
      <c r="AE647" t="str">
        <f>IF($AS647="","",Config!$B$28)</f>
        <v/>
      </c>
      <c r="AF647" t="str">
        <f t="shared" si="62"/>
        <v/>
      </c>
      <c r="AG647" t="str">
        <f t="shared" si="63"/>
        <v/>
      </c>
      <c r="AH647" t="str">
        <f t="shared" si="64"/>
        <v/>
      </c>
      <c r="AI647" t="str">
        <f>IF($AG647="","",SUMIF($AG$2:$AG647,$AG647,$AH$2:$AH647))</f>
        <v/>
      </c>
      <c r="AJ647" t="str">
        <f>IF('TMP Paste'!$F647="","",IF('TMP Paste'!$B647="",$AJ646,'TMP Paste'!$B647))</f>
        <v/>
      </c>
      <c r="AK647" t="str">
        <f>IF('TMP Paste'!$F647="","",N('TMP Paste'!$G647))</f>
        <v/>
      </c>
      <c r="AL647" t="str">
        <f>IF('TMP Paste'!$F647="","",IF('TMP Paste'!$M647="",$AL646,'TMP Paste'!$M647))</f>
        <v/>
      </c>
      <c r="AM647" t="str">
        <f>IF('TMP Paste'!$F647="","",IF('TMP Paste'!$N647="",$AM646,'TMP Paste'!$N647))</f>
        <v/>
      </c>
      <c r="AN647" t="str">
        <f>IF('TMP Paste'!$F647="","",IF('TMP Paste'!$O647="",$AN646,'TMP Paste'!$O647))</f>
        <v/>
      </c>
      <c r="AO647" t="str">
        <f>IF('TMP Paste'!$F647="","",IF('TMP Paste'!$P647="",$AO646,'TMP Paste'!$P647))</f>
        <v/>
      </c>
      <c r="AP647" t="str">
        <f t="shared" si="65"/>
        <v/>
      </c>
      <c r="AQ647" t="str">
        <f>IF($AS647="","",TRIM(IF(COUNTIFS(Calc!$B$2:$B$1601,ROW()-1,Calc!$C$2:$C$1601,"&lt;1")&gt;0,"Ada PO tanpa Koli - cek TMP. ","")&amp;IF(OR($AU647="",$AU647&lt;=0),"Volume kosong/0 - dimensi dikosongkan. ","")&amp;IF(AND($AU647&lt;&gt;"",$AU647&gt;=1000000),"Volume &gt;= 1.000.000 cm3 (di luar aturan) - dimensi dikosongkan. ","")&amp;IF(LEN($R647)&gt;500,"R &gt; 500 karakter.","")))</f>
        <v/>
      </c>
      <c r="AS647" t="str">
        <f>IFERROR(MATCH(ROW()-1,Calc!$J$2:$J$1601,0),"")</f>
        <v/>
      </c>
      <c r="AT647" t="str">
        <f>IFERROR(MATCH(ROW()-1,Calc!$K$2:$K$1601,0),"")</f>
        <v/>
      </c>
      <c r="AU647" t="str">
        <f>IF($AS647="","",IFERROR(INDEX('TMP Paste'!$D$2:$D$1601,$AS647)*1000000/$AB647,""))</f>
        <v/>
      </c>
    </row>
    <row r="648" spans="1:47">
      <c r="A648" t="str">
        <f>IF($AS648="","",INDEX('TMP Paste'!$B$2:$B$1601,$AS648))</f>
        <v/>
      </c>
      <c r="B648" t="str">
        <f>IF($AS648="","",Config!$B$14)</f>
        <v/>
      </c>
      <c r="C648" t="str">
        <f>IF($AS648="","",Config!$B$15)</f>
        <v/>
      </c>
      <c r="D648" t="str">
        <f>IF($AS648="","",INDEX('TMP Paste'!$B$2:$B$1601,$AS648))</f>
        <v/>
      </c>
      <c r="E648" t="str">
        <f>IF($AS648="","",Config!$B$27)</f>
        <v/>
      </c>
      <c r="F648" t="str">
        <f>IF($AS648="","",Config!$B$9)</f>
        <v/>
      </c>
      <c r="G648" t="str">
        <f>IF($AS648="","",Config!$B$10)</f>
        <v/>
      </c>
      <c r="H648" t="str">
        <f>IF($AS648="","",Config!$B$11)</f>
        <v/>
      </c>
      <c r="I648" t="str">
        <f>IF($AS648="","",Config!$B$16)</f>
        <v/>
      </c>
      <c r="J648" t="str">
        <f>IF($AS648="","",INDEX('TMP Paste'!$A$2:$A$1601,$AS648))</f>
        <v/>
      </c>
      <c r="K648" t="str">
        <f>IF($AS648="","",INDEX('TMP Paste'!$L$2:$L$1601,$AS648))</f>
        <v/>
      </c>
      <c r="L648" t="str">
        <f>IF($AS648="","",INDEX('TMP Paste'!$I$2:$I$1601,$AS648))</f>
        <v/>
      </c>
      <c r="M648" t="str">
        <f>IF($AS648="","",Config!$B$16)</f>
        <v/>
      </c>
      <c r="N648" t="str">
        <f t="shared" si="60"/>
        <v/>
      </c>
      <c r="O648" t="str">
        <f>IF($AS648="","",INDEX('TMP Paste'!$K$2:$K$1601,$AS648))</f>
        <v/>
      </c>
      <c r="P648" t="str">
        <f t="shared" si="61"/>
        <v/>
      </c>
      <c r="Q648" t="str">
        <f>IF($AS648="","",INDEX('TMP Paste'!$J$2:$J$1601,$AS648))</f>
        <v/>
      </c>
      <c r="R648" t="str">
        <f>IF($AS648="","",Config!$B$24)</f>
        <v/>
      </c>
      <c r="S648" t="str">
        <f ca="1">IF($AS648="","",TEXT(Config!$B$4,"yyyy-mm-dd"))</f>
        <v/>
      </c>
      <c r="T648" t="str">
        <f>IF($AS648="","",Config!$B$17)</f>
        <v/>
      </c>
      <c r="U648" t="str">
        <f>IF($AS648="","",Config!$B$18)</f>
        <v/>
      </c>
      <c r="V648" t="str">
        <f>IF($AS648="","",Config!$B$19)</f>
        <v/>
      </c>
      <c r="W648" t="str">
        <f>IF($AS648="","",INDEX('TMP Paste'!$C$2:$C$1601,$AS648))</f>
        <v/>
      </c>
      <c r="X648" t="str">
        <f>IF($AS648="","",Config!$B$29)</f>
        <v/>
      </c>
      <c r="Y648" t="str">
        <f>IF($AT648="","",INDEX(Calc!$I$2:$I$1601,$AT648)&amp;" - "&amp;INDEX(Calc!$D$2:$D$1601,$AT648)&amp;" koli")</f>
        <v/>
      </c>
      <c r="Z648" t="str">
        <f>IF($AS648="","",Config!$B$21)</f>
        <v/>
      </c>
      <c r="AA648" t="str">
        <f>IF($AS648="","",Config!$B$22)</f>
        <v/>
      </c>
      <c r="AB648" t="str">
        <f>IF($AT648="","",INDEX(Calc!$D$2:$D$1601,$AT648))</f>
        <v/>
      </c>
      <c r="AC648" t="str">
        <f>IF($AT648="","",INDEX(Calc!$G$2:$G$1601,$AT648))</f>
        <v/>
      </c>
      <c r="AD648" t="str">
        <f>IF($AS648="","",Config!$B$23)</f>
        <v/>
      </c>
      <c r="AE648" t="str">
        <f>IF($AS648="","",Config!$B$28)</f>
        <v/>
      </c>
      <c r="AF648" t="str">
        <f t="shared" si="62"/>
        <v/>
      </c>
      <c r="AG648" t="str">
        <f t="shared" si="63"/>
        <v/>
      </c>
      <c r="AH648" t="str">
        <f t="shared" si="64"/>
        <v/>
      </c>
      <c r="AI648" t="str">
        <f>IF($AG648="","",SUMIF($AG$2:$AG648,$AG648,$AH$2:$AH648))</f>
        <v/>
      </c>
      <c r="AJ648" t="str">
        <f>IF('TMP Paste'!$F648="","",IF('TMP Paste'!$B648="",$AJ647,'TMP Paste'!$B648))</f>
        <v/>
      </c>
      <c r="AK648" t="str">
        <f>IF('TMP Paste'!$F648="","",N('TMP Paste'!$G648))</f>
        <v/>
      </c>
      <c r="AL648" t="str">
        <f>IF('TMP Paste'!$F648="","",IF('TMP Paste'!$M648="",$AL647,'TMP Paste'!$M648))</f>
        <v/>
      </c>
      <c r="AM648" t="str">
        <f>IF('TMP Paste'!$F648="","",IF('TMP Paste'!$N648="",$AM647,'TMP Paste'!$N648))</f>
        <v/>
      </c>
      <c r="AN648" t="str">
        <f>IF('TMP Paste'!$F648="","",IF('TMP Paste'!$O648="",$AN647,'TMP Paste'!$O648))</f>
        <v/>
      </c>
      <c r="AO648" t="str">
        <f>IF('TMP Paste'!$F648="","",IF('TMP Paste'!$P648="",$AO647,'TMP Paste'!$P648))</f>
        <v/>
      </c>
      <c r="AP648" t="str">
        <f t="shared" si="65"/>
        <v/>
      </c>
      <c r="AQ648" t="str">
        <f>IF($AS648="","",TRIM(IF(COUNTIFS(Calc!$B$2:$B$1601,ROW()-1,Calc!$C$2:$C$1601,"&lt;1")&gt;0,"Ada PO tanpa Koli - cek TMP. ","")&amp;IF(OR($AU648="",$AU648&lt;=0),"Volume kosong/0 - dimensi dikosongkan. ","")&amp;IF(AND($AU648&lt;&gt;"",$AU648&gt;=1000000),"Volume &gt;= 1.000.000 cm3 (di luar aturan) - dimensi dikosongkan. ","")&amp;IF(LEN($R648)&gt;500,"R &gt; 500 karakter.","")))</f>
        <v/>
      </c>
      <c r="AS648" t="str">
        <f>IFERROR(MATCH(ROW()-1,Calc!$J$2:$J$1601,0),"")</f>
        <v/>
      </c>
      <c r="AT648" t="str">
        <f>IFERROR(MATCH(ROW()-1,Calc!$K$2:$K$1601,0),"")</f>
        <v/>
      </c>
      <c r="AU648" t="str">
        <f>IF($AS648="","",IFERROR(INDEX('TMP Paste'!$D$2:$D$1601,$AS648)*1000000/$AB648,""))</f>
        <v/>
      </c>
    </row>
    <row r="649" spans="1:47">
      <c r="A649" t="str">
        <f>IF($AS649="","",INDEX('TMP Paste'!$B$2:$B$1601,$AS649))</f>
        <v/>
      </c>
      <c r="B649" t="str">
        <f>IF($AS649="","",Config!$B$14)</f>
        <v/>
      </c>
      <c r="C649" t="str">
        <f>IF($AS649="","",Config!$B$15)</f>
        <v/>
      </c>
      <c r="D649" t="str">
        <f>IF($AS649="","",INDEX('TMP Paste'!$B$2:$B$1601,$AS649))</f>
        <v/>
      </c>
      <c r="E649" t="str">
        <f>IF($AS649="","",Config!$B$27)</f>
        <v/>
      </c>
      <c r="F649" t="str">
        <f>IF($AS649="","",Config!$B$9)</f>
        <v/>
      </c>
      <c r="G649" t="str">
        <f>IF($AS649="","",Config!$B$10)</f>
        <v/>
      </c>
      <c r="H649" t="str">
        <f>IF($AS649="","",Config!$B$11)</f>
        <v/>
      </c>
      <c r="I649" t="str">
        <f>IF($AS649="","",Config!$B$16)</f>
        <v/>
      </c>
      <c r="J649" t="str">
        <f>IF($AS649="","",INDEX('TMP Paste'!$A$2:$A$1601,$AS649))</f>
        <v/>
      </c>
      <c r="K649" t="str">
        <f>IF($AS649="","",INDEX('TMP Paste'!$L$2:$L$1601,$AS649))</f>
        <v/>
      </c>
      <c r="L649" t="str">
        <f>IF($AS649="","",INDEX('TMP Paste'!$I$2:$I$1601,$AS649))</f>
        <v/>
      </c>
      <c r="M649" t="str">
        <f>IF($AS649="","",Config!$B$16)</f>
        <v/>
      </c>
      <c r="N649" t="str">
        <f t="shared" si="60"/>
        <v/>
      </c>
      <c r="O649" t="str">
        <f>IF($AS649="","",INDEX('TMP Paste'!$K$2:$K$1601,$AS649))</f>
        <v/>
      </c>
      <c r="P649" t="str">
        <f t="shared" si="61"/>
        <v/>
      </c>
      <c r="Q649" t="str">
        <f>IF($AS649="","",INDEX('TMP Paste'!$J$2:$J$1601,$AS649))</f>
        <v/>
      </c>
      <c r="R649" t="str">
        <f>IF($AS649="","",Config!$B$24)</f>
        <v/>
      </c>
      <c r="S649" t="str">
        <f ca="1">IF($AS649="","",TEXT(Config!$B$4,"yyyy-mm-dd"))</f>
        <v/>
      </c>
      <c r="T649" t="str">
        <f>IF($AS649="","",Config!$B$17)</f>
        <v/>
      </c>
      <c r="U649" t="str">
        <f>IF($AS649="","",Config!$B$18)</f>
        <v/>
      </c>
      <c r="V649" t="str">
        <f>IF($AS649="","",Config!$B$19)</f>
        <v/>
      </c>
      <c r="W649" t="str">
        <f>IF($AS649="","",INDEX('TMP Paste'!$C$2:$C$1601,$AS649))</f>
        <v/>
      </c>
      <c r="X649" t="str">
        <f>IF($AS649="","",Config!$B$29)</f>
        <v/>
      </c>
      <c r="Y649" t="str">
        <f>IF($AT649="","",INDEX(Calc!$I$2:$I$1601,$AT649)&amp;" - "&amp;INDEX(Calc!$D$2:$D$1601,$AT649)&amp;" koli")</f>
        <v/>
      </c>
      <c r="Z649" t="str">
        <f>IF($AS649="","",Config!$B$21)</f>
        <v/>
      </c>
      <c r="AA649" t="str">
        <f>IF($AS649="","",Config!$B$22)</f>
        <v/>
      </c>
      <c r="AB649" t="str">
        <f>IF($AT649="","",INDEX(Calc!$D$2:$D$1601,$AT649))</f>
        <v/>
      </c>
      <c r="AC649" t="str">
        <f>IF($AT649="","",INDEX(Calc!$G$2:$G$1601,$AT649))</f>
        <v/>
      </c>
      <c r="AD649" t="str">
        <f>IF($AS649="","",Config!$B$23)</f>
        <v/>
      </c>
      <c r="AE649" t="str">
        <f>IF($AS649="","",Config!$B$28)</f>
        <v/>
      </c>
      <c r="AF649" t="str">
        <f t="shared" si="62"/>
        <v/>
      </c>
      <c r="AG649" t="str">
        <f t="shared" si="63"/>
        <v/>
      </c>
      <c r="AH649" t="str">
        <f t="shared" si="64"/>
        <v/>
      </c>
      <c r="AI649" t="str">
        <f>IF($AG649="","",SUMIF($AG$2:$AG649,$AG649,$AH$2:$AH649))</f>
        <v/>
      </c>
      <c r="AJ649" t="str">
        <f>IF('TMP Paste'!$F649="","",IF('TMP Paste'!$B649="",$AJ648,'TMP Paste'!$B649))</f>
        <v/>
      </c>
      <c r="AK649" t="str">
        <f>IF('TMP Paste'!$F649="","",N('TMP Paste'!$G649))</f>
        <v/>
      </c>
      <c r="AL649" t="str">
        <f>IF('TMP Paste'!$F649="","",IF('TMP Paste'!$M649="",$AL648,'TMP Paste'!$M649))</f>
        <v/>
      </c>
      <c r="AM649" t="str">
        <f>IF('TMP Paste'!$F649="","",IF('TMP Paste'!$N649="",$AM648,'TMP Paste'!$N649))</f>
        <v/>
      </c>
      <c r="AN649" t="str">
        <f>IF('TMP Paste'!$F649="","",IF('TMP Paste'!$O649="",$AN648,'TMP Paste'!$O649))</f>
        <v/>
      </c>
      <c r="AO649" t="str">
        <f>IF('TMP Paste'!$F649="","",IF('TMP Paste'!$P649="",$AO648,'TMP Paste'!$P649))</f>
        <v/>
      </c>
      <c r="AP649" t="str">
        <f t="shared" si="65"/>
        <v/>
      </c>
      <c r="AQ649" t="str">
        <f>IF($AS649="","",TRIM(IF(COUNTIFS(Calc!$B$2:$B$1601,ROW()-1,Calc!$C$2:$C$1601,"&lt;1")&gt;0,"Ada PO tanpa Koli - cek TMP. ","")&amp;IF(OR($AU649="",$AU649&lt;=0),"Volume kosong/0 - dimensi dikosongkan. ","")&amp;IF(AND($AU649&lt;&gt;"",$AU649&gt;=1000000),"Volume &gt;= 1.000.000 cm3 (di luar aturan) - dimensi dikosongkan. ","")&amp;IF(LEN($R649)&gt;500,"R &gt; 500 karakter.","")))</f>
        <v/>
      </c>
      <c r="AS649" t="str">
        <f>IFERROR(MATCH(ROW()-1,Calc!$J$2:$J$1601,0),"")</f>
        <v/>
      </c>
      <c r="AT649" t="str">
        <f>IFERROR(MATCH(ROW()-1,Calc!$K$2:$K$1601,0),"")</f>
        <v/>
      </c>
      <c r="AU649" t="str">
        <f>IF($AS649="","",IFERROR(INDEX('TMP Paste'!$D$2:$D$1601,$AS649)*1000000/$AB649,""))</f>
        <v/>
      </c>
    </row>
    <row r="650" spans="1:47">
      <c r="A650" t="str">
        <f>IF($AS650="","",INDEX('TMP Paste'!$B$2:$B$1601,$AS650))</f>
        <v/>
      </c>
      <c r="B650" t="str">
        <f>IF($AS650="","",Config!$B$14)</f>
        <v/>
      </c>
      <c r="C650" t="str">
        <f>IF($AS650="","",Config!$B$15)</f>
        <v/>
      </c>
      <c r="D650" t="str">
        <f>IF($AS650="","",INDEX('TMP Paste'!$B$2:$B$1601,$AS650))</f>
        <v/>
      </c>
      <c r="E650" t="str">
        <f>IF($AS650="","",Config!$B$27)</f>
        <v/>
      </c>
      <c r="F650" t="str">
        <f>IF($AS650="","",Config!$B$9)</f>
        <v/>
      </c>
      <c r="G650" t="str">
        <f>IF($AS650="","",Config!$B$10)</f>
        <v/>
      </c>
      <c r="H650" t="str">
        <f>IF($AS650="","",Config!$B$11)</f>
        <v/>
      </c>
      <c r="I650" t="str">
        <f>IF($AS650="","",Config!$B$16)</f>
        <v/>
      </c>
      <c r="J650" t="str">
        <f>IF($AS650="","",INDEX('TMP Paste'!$A$2:$A$1601,$AS650))</f>
        <v/>
      </c>
      <c r="K650" t="str">
        <f>IF($AS650="","",INDEX('TMP Paste'!$L$2:$L$1601,$AS650))</f>
        <v/>
      </c>
      <c r="L650" t="str">
        <f>IF($AS650="","",INDEX('TMP Paste'!$I$2:$I$1601,$AS650))</f>
        <v/>
      </c>
      <c r="M650" t="str">
        <f>IF($AS650="","",Config!$B$16)</f>
        <v/>
      </c>
      <c r="N650" t="str">
        <f t="shared" si="60"/>
        <v/>
      </c>
      <c r="O650" t="str">
        <f>IF($AS650="","",INDEX('TMP Paste'!$K$2:$K$1601,$AS650))</f>
        <v/>
      </c>
      <c r="P650" t="str">
        <f t="shared" si="61"/>
        <v/>
      </c>
      <c r="Q650" t="str">
        <f>IF($AS650="","",INDEX('TMP Paste'!$J$2:$J$1601,$AS650))</f>
        <v/>
      </c>
      <c r="R650" t="str">
        <f>IF($AS650="","",Config!$B$24)</f>
        <v/>
      </c>
      <c r="S650" t="str">
        <f ca="1">IF($AS650="","",TEXT(Config!$B$4,"yyyy-mm-dd"))</f>
        <v/>
      </c>
      <c r="T650" t="str">
        <f>IF($AS650="","",Config!$B$17)</f>
        <v/>
      </c>
      <c r="U650" t="str">
        <f>IF($AS650="","",Config!$B$18)</f>
        <v/>
      </c>
      <c r="V650" t="str">
        <f>IF($AS650="","",Config!$B$19)</f>
        <v/>
      </c>
      <c r="W650" t="str">
        <f>IF($AS650="","",INDEX('TMP Paste'!$C$2:$C$1601,$AS650))</f>
        <v/>
      </c>
      <c r="X650" t="str">
        <f>IF($AS650="","",Config!$B$29)</f>
        <v/>
      </c>
      <c r="Y650" t="str">
        <f>IF($AT650="","",INDEX(Calc!$I$2:$I$1601,$AT650)&amp;" - "&amp;INDEX(Calc!$D$2:$D$1601,$AT650)&amp;" koli")</f>
        <v/>
      </c>
      <c r="Z650" t="str">
        <f>IF($AS650="","",Config!$B$21)</f>
        <v/>
      </c>
      <c r="AA650" t="str">
        <f>IF($AS650="","",Config!$B$22)</f>
        <v/>
      </c>
      <c r="AB650" t="str">
        <f>IF($AT650="","",INDEX(Calc!$D$2:$D$1601,$AT650))</f>
        <v/>
      </c>
      <c r="AC650" t="str">
        <f>IF($AT650="","",INDEX(Calc!$G$2:$G$1601,$AT650))</f>
        <v/>
      </c>
      <c r="AD650" t="str">
        <f>IF($AS650="","",Config!$B$23)</f>
        <v/>
      </c>
      <c r="AE650" t="str">
        <f>IF($AS650="","",Config!$B$28)</f>
        <v/>
      </c>
      <c r="AF650" t="str">
        <f t="shared" si="62"/>
        <v/>
      </c>
      <c r="AG650" t="str">
        <f t="shared" si="63"/>
        <v/>
      </c>
      <c r="AH650" t="str">
        <f t="shared" si="64"/>
        <v/>
      </c>
      <c r="AI650" t="str">
        <f>IF($AG650="","",SUMIF($AG$2:$AG650,$AG650,$AH$2:$AH650))</f>
        <v/>
      </c>
      <c r="AJ650" t="str">
        <f>IF('TMP Paste'!$F650="","",IF('TMP Paste'!$B650="",$AJ649,'TMP Paste'!$B650))</f>
        <v/>
      </c>
      <c r="AK650" t="str">
        <f>IF('TMP Paste'!$F650="","",N('TMP Paste'!$G650))</f>
        <v/>
      </c>
      <c r="AL650" t="str">
        <f>IF('TMP Paste'!$F650="","",IF('TMP Paste'!$M650="",$AL649,'TMP Paste'!$M650))</f>
        <v/>
      </c>
      <c r="AM650" t="str">
        <f>IF('TMP Paste'!$F650="","",IF('TMP Paste'!$N650="",$AM649,'TMP Paste'!$N650))</f>
        <v/>
      </c>
      <c r="AN650" t="str">
        <f>IF('TMP Paste'!$F650="","",IF('TMP Paste'!$O650="",$AN649,'TMP Paste'!$O650))</f>
        <v/>
      </c>
      <c r="AO650" t="str">
        <f>IF('TMP Paste'!$F650="","",IF('TMP Paste'!$P650="",$AO649,'TMP Paste'!$P650))</f>
        <v/>
      </c>
      <c r="AP650" t="str">
        <f t="shared" si="65"/>
        <v/>
      </c>
      <c r="AQ650" t="str">
        <f>IF($AS650="","",TRIM(IF(COUNTIFS(Calc!$B$2:$B$1601,ROW()-1,Calc!$C$2:$C$1601,"&lt;1")&gt;0,"Ada PO tanpa Koli - cek TMP. ","")&amp;IF(OR($AU650="",$AU650&lt;=0),"Volume kosong/0 - dimensi dikosongkan. ","")&amp;IF(AND($AU650&lt;&gt;"",$AU650&gt;=1000000),"Volume &gt;= 1.000.000 cm3 (di luar aturan) - dimensi dikosongkan. ","")&amp;IF(LEN($R650)&gt;500,"R &gt; 500 karakter.","")))</f>
        <v/>
      </c>
      <c r="AS650" t="str">
        <f>IFERROR(MATCH(ROW()-1,Calc!$J$2:$J$1601,0),"")</f>
        <v/>
      </c>
      <c r="AT650" t="str">
        <f>IFERROR(MATCH(ROW()-1,Calc!$K$2:$K$1601,0),"")</f>
        <v/>
      </c>
      <c r="AU650" t="str">
        <f>IF($AS650="","",IFERROR(INDEX('TMP Paste'!$D$2:$D$1601,$AS650)*1000000/$AB650,""))</f>
        <v/>
      </c>
    </row>
    <row r="651" spans="1:47">
      <c r="A651" t="str">
        <f>IF($AS651="","",INDEX('TMP Paste'!$B$2:$B$1601,$AS651))</f>
        <v/>
      </c>
      <c r="B651" t="str">
        <f>IF($AS651="","",Config!$B$14)</f>
        <v/>
      </c>
      <c r="C651" t="str">
        <f>IF($AS651="","",Config!$B$15)</f>
        <v/>
      </c>
      <c r="D651" t="str">
        <f>IF($AS651="","",INDEX('TMP Paste'!$B$2:$B$1601,$AS651))</f>
        <v/>
      </c>
      <c r="E651" t="str">
        <f>IF($AS651="","",Config!$B$27)</f>
        <v/>
      </c>
      <c r="F651" t="str">
        <f>IF($AS651="","",Config!$B$9)</f>
        <v/>
      </c>
      <c r="G651" t="str">
        <f>IF($AS651="","",Config!$B$10)</f>
        <v/>
      </c>
      <c r="H651" t="str">
        <f>IF($AS651="","",Config!$B$11)</f>
        <v/>
      </c>
      <c r="I651" t="str">
        <f>IF($AS651="","",Config!$B$16)</f>
        <v/>
      </c>
      <c r="J651" t="str">
        <f>IF($AS651="","",INDEX('TMP Paste'!$A$2:$A$1601,$AS651))</f>
        <v/>
      </c>
      <c r="K651" t="str">
        <f>IF($AS651="","",INDEX('TMP Paste'!$L$2:$L$1601,$AS651))</f>
        <v/>
      </c>
      <c r="L651" t="str">
        <f>IF($AS651="","",INDEX('TMP Paste'!$I$2:$I$1601,$AS651))</f>
        <v/>
      </c>
      <c r="M651" t="str">
        <f>IF($AS651="","",Config!$B$16)</f>
        <v/>
      </c>
      <c r="N651" t="str">
        <f t="shared" si="60"/>
        <v/>
      </c>
      <c r="O651" t="str">
        <f>IF($AS651="","",INDEX('TMP Paste'!$K$2:$K$1601,$AS651))</f>
        <v/>
      </c>
      <c r="P651" t="str">
        <f t="shared" si="61"/>
        <v/>
      </c>
      <c r="Q651" t="str">
        <f>IF($AS651="","",INDEX('TMP Paste'!$J$2:$J$1601,$AS651))</f>
        <v/>
      </c>
      <c r="R651" t="str">
        <f>IF($AS651="","",Config!$B$24)</f>
        <v/>
      </c>
      <c r="S651" t="str">
        <f ca="1">IF($AS651="","",TEXT(Config!$B$4,"yyyy-mm-dd"))</f>
        <v/>
      </c>
      <c r="T651" t="str">
        <f>IF($AS651="","",Config!$B$17)</f>
        <v/>
      </c>
      <c r="U651" t="str">
        <f>IF($AS651="","",Config!$B$18)</f>
        <v/>
      </c>
      <c r="V651" t="str">
        <f>IF($AS651="","",Config!$B$19)</f>
        <v/>
      </c>
      <c r="W651" t="str">
        <f>IF($AS651="","",INDEX('TMP Paste'!$C$2:$C$1601,$AS651))</f>
        <v/>
      </c>
      <c r="X651" t="str">
        <f>IF($AS651="","",Config!$B$29)</f>
        <v/>
      </c>
      <c r="Y651" t="str">
        <f>IF($AT651="","",INDEX(Calc!$I$2:$I$1601,$AT651)&amp;" - "&amp;INDEX(Calc!$D$2:$D$1601,$AT651)&amp;" koli")</f>
        <v/>
      </c>
      <c r="Z651" t="str">
        <f>IF($AS651="","",Config!$B$21)</f>
        <v/>
      </c>
      <c r="AA651" t="str">
        <f>IF($AS651="","",Config!$B$22)</f>
        <v/>
      </c>
      <c r="AB651" t="str">
        <f>IF($AT651="","",INDEX(Calc!$D$2:$D$1601,$AT651))</f>
        <v/>
      </c>
      <c r="AC651" t="str">
        <f>IF($AT651="","",INDEX(Calc!$G$2:$G$1601,$AT651))</f>
        <v/>
      </c>
      <c r="AD651" t="str">
        <f>IF($AS651="","",Config!$B$23)</f>
        <v/>
      </c>
      <c r="AE651" t="str">
        <f>IF($AS651="","",Config!$B$28)</f>
        <v/>
      </c>
      <c r="AF651" t="str">
        <f t="shared" si="62"/>
        <v/>
      </c>
      <c r="AG651" t="str">
        <f t="shared" si="63"/>
        <v/>
      </c>
      <c r="AH651" t="str">
        <f t="shared" si="64"/>
        <v/>
      </c>
      <c r="AI651" t="str">
        <f>IF($AG651="","",SUMIF($AG$2:$AG651,$AG651,$AH$2:$AH651))</f>
        <v/>
      </c>
      <c r="AJ651" t="str">
        <f>IF('TMP Paste'!$F651="","",IF('TMP Paste'!$B651="",$AJ650,'TMP Paste'!$B651))</f>
        <v/>
      </c>
      <c r="AK651" t="str">
        <f>IF('TMP Paste'!$F651="","",N('TMP Paste'!$G651))</f>
        <v/>
      </c>
      <c r="AL651" t="str">
        <f>IF('TMP Paste'!$F651="","",IF('TMP Paste'!$M651="",$AL650,'TMP Paste'!$M651))</f>
        <v/>
      </c>
      <c r="AM651" t="str">
        <f>IF('TMP Paste'!$F651="","",IF('TMP Paste'!$N651="",$AM650,'TMP Paste'!$N651))</f>
        <v/>
      </c>
      <c r="AN651" t="str">
        <f>IF('TMP Paste'!$F651="","",IF('TMP Paste'!$O651="",$AN650,'TMP Paste'!$O651))</f>
        <v/>
      </c>
      <c r="AO651" t="str">
        <f>IF('TMP Paste'!$F651="","",IF('TMP Paste'!$P651="",$AO650,'TMP Paste'!$P651))</f>
        <v/>
      </c>
      <c r="AP651" t="str">
        <f t="shared" si="65"/>
        <v/>
      </c>
      <c r="AQ651" t="str">
        <f>IF($AS651="","",TRIM(IF(COUNTIFS(Calc!$B$2:$B$1601,ROW()-1,Calc!$C$2:$C$1601,"&lt;1")&gt;0,"Ada PO tanpa Koli - cek TMP. ","")&amp;IF(OR($AU651="",$AU651&lt;=0),"Volume kosong/0 - dimensi dikosongkan. ","")&amp;IF(AND($AU651&lt;&gt;"",$AU651&gt;=1000000),"Volume &gt;= 1.000.000 cm3 (di luar aturan) - dimensi dikosongkan. ","")&amp;IF(LEN($R651)&gt;500,"R &gt; 500 karakter.","")))</f>
        <v/>
      </c>
      <c r="AS651" t="str">
        <f>IFERROR(MATCH(ROW()-1,Calc!$J$2:$J$1601,0),"")</f>
        <v/>
      </c>
      <c r="AT651" t="str">
        <f>IFERROR(MATCH(ROW()-1,Calc!$K$2:$K$1601,0),"")</f>
        <v/>
      </c>
      <c r="AU651" t="str">
        <f>IF($AS651="","",IFERROR(INDEX('TMP Paste'!$D$2:$D$1601,$AS651)*1000000/$AB651,""))</f>
        <v/>
      </c>
    </row>
    <row r="652" spans="1:47">
      <c r="A652" t="str">
        <f>IF($AS652="","",INDEX('TMP Paste'!$B$2:$B$1601,$AS652))</f>
        <v/>
      </c>
      <c r="B652" t="str">
        <f>IF($AS652="","",Config!$B$14)</f>
        <v/>
      </c>
      <c r="C652" t="str">
        <f>IF($AS652="","",Config!$B$15)</f>
        <v/>
      </c>
      <c r="D652" t="str">
        <f>IF($AS652="","",INDEX('TMP Paste'!$B$2:$B$1601,$AS652))</f>
        <v/>
      </c>
      <c r="E652" t="str">
        <f>IF($AS652="","",Config!$B$27)</f>
        <v/>
      </c>
      <c r="F652" t="str">
        <f>IF($AS652="","",Config!$B$9)</f>
        <v/>
      </c>
      <c r="G652" t="str">
        <f>IF($AS652="","",Config!$B$10)</f>
        <v/>
      </c>
      <c r="H652" t="str">
        <f>IF($AS652="","",Config!$B$11)</f>
        <v/>
      </c>
      <c r="I652" t="str">
        <f>IF($AS652="","",Config!$B$16)</f>
        <v/>
      </c>
      <c r="J652" t="str">
        <f>IF($AS652="","",INDEX('TMP Paste'!$A$2:$A$1601,$AS652))</f>
        <v/>
      </c>
      <c r="K652" t="str">
        <f>IF($AS652="","",INDEX('TMP Paste'!$L$2:$L$1601,$AS652))</f>
        <v/>
      </c>
      <c r="L652" t="str">
        <f>IF($AS652="","",INDEX('TMP Paste'!$I$2:$I$1601,$AS652))</f>
        <v/>
      </c>
      <c r="M652" t="str">
        <f>IF($AS652="","",Config!$B$16)</f>
        <v/>
      </c>
      <c r="N652" t="str">
        <f t="shared" si="60"/>
        <v/>
      </c>
      <c r="O652" t="str">
        <f>IF($AS652="","",INDEX('TMP Paste'!$K$2:$K$1601,$AS652))</f>
        <v/>
      </c>
      <c r="P652" t="str">
        <f t="shared" si="61"/>
        <v/>
      </c>
      <c r="Q652" t="str">
        <f>IF($AS652="","",INDEX('TMP Paste'!$J$2:$J$1601,$AS652))</f>
        <v/>
      </c>
      <c r="R652" t="str">
        <f>IF($AS652="","",Config!$B$24)</f>
        <v/>
      </c>
      <c r="S652" t="str">
        <f ca="1">IF($AS652="","",TEXT(Config!$B$4,"yyyy-mm-dd"))</f>
        <v/>
      </c>
      <c r="T652" t="str">
        <f>IF($AS652="","",Config!$B$17)</f>
        <v/>
      </c>
      <c r="U652" t="str">
        <f>IF($AS652="","",Config!$B$18)</f>
        <v/>
      </c>
      <c r="V652" t="str">
        <f>IF($AS652="","",Config!$B$19)</f>
        <v/>
      </c>
      <c r="W652" t="str">
        <f>IF($AS652="","",INDEX('TMP Paste'!$C$2:$C$1601,$AS652))</f>
        <v/>
      </c>
      <c r="X652" t="str">
        <f>IF($AS652="","",Config!$B$29)</f>
        <v/>
      </c>
      <c r="Y652" t="str">
        <f>IF($AT652="","",INDEX(Calc!$I$2:$I$1601,$AT652)&amp;" - "&amp;INDEX(Calc!$D$2:$D$1601,$AT652)&amp;" koli")</f>
        <v/>
      </c>
      <c r="Z652" t="str">
        <f>IF($AS652="","",Config!$B$21)</f>
        <v/>
      </c>
      <c r="AA652" t="str">
        <f>IF($AS652="","",Config!$B$22)</f>
        <v/>
      </c>
      <c r="AB652" t="str">
        <f>IF($AT652="","",INDEX(Calc!$D$2:$D$1601,$AT652))</f>
        <v/>
      </c>
      <c r="AC652" t="str">
        <f>IF($AT652="","",INDEX(Calc!$G$2:$G$1601,$AT652))</f>
        <v/>
      </c>
      <c r="AD652" t="str">
        <f>IF($AS652="","",Config!$B$23)</f>
        <v/>
      </c>
      <c r="AE652" t="str">
        <f>IF($AS652="","",Config!$B$28)</f>
        <v/>
      </c>
      <c r="AF652" t="str">
        <f t="shared" si="62"/>
        <v/>
      </c>
      <c r="AG652" t="str">
        <f t="shared" si="63"/>
        <v/>
      </c>
      <c r="AH652" t="str">
        <f t="shared" si="64"/>
        <v/>
      </c>
      <c r="AI652" t="str">
        <f>IF($AG652="","",SUMIF($AG$2:$AG652,$AG652,$AH$2:$AH652))</f>
        <v/>
      </c>
      <c r="AJ652" t="str">
        <f>IF('TMP Paste'!$F652="","",IF('TMP Paste'!$B652="",$AJ651,'TMP Paste'!$B652))</f>
        <v/>
      </c>
      <c r="AK652" t="str">
        <f>IF('TMP Paste'!$F652="","",N('TMP Paste'!$G652))</f>
        <v/>
      </c>
      <c r="AL652" t="str">
        <f>IF('TMP Paste'!$F652="","",IF('TMP Paste'!$M652="",$AL651,'TMP Paste'!$M652))</f>
        <v/>
      </c>
      <c r="AM652" t="str">
        <f>IF('TMP Paste'!$F652="","",IF('TMP Paste'!$N652="",$AM651,'TMP Paste'!$N652))</f>
        <v/>
      </c>
      <c r="AN652" t="str">
        <f>IF('TMP Paste'!$F652="","",IF('TMP Paste'!$O652="",$AN651,'TMP Paste'!$O652))</f>
        <v/>
      </c>
      <c r="AO652" t="str">
        <f>IF('TMP Paste'!$F652="","",IF('TMP Paste'!$P652="",$AO651,'TMP Paste'!$P652))</f>
        <v/>
      </c>
      <c r="AP652" t="str">
        <f t="shared" si="65"/>
        <v/>
      </c>
      <c r="AQ652" t="str">
        <f>IF($AS652="","",TRIM(IF(COUNTIFS(Calc!$B$2:$B$1601,ROW()-1,Calc!$C$2:$C$1601,"&lt;1")&gt;0,"Ada PO tanpa Koli - cek TMP. ","")&amp;IF(OR($AU652="",$AU652&lt;=0),"Volume kosong/0 - dimensi dikosongkan. ","")&amp;IF(AND($AU652&lt;&gt;"",$AU652&gt;=1000000),"Volume &gt;= 1.000.000 cm3 (di luar aturan) - dimensi dikosongkan. ","")&amp;IF(LEN($R652)&gt;500,"R &gt; 500 karakter.","")))</f>
        <v/>
      </c>
      <c r="AS652" t="str">
        <f>IFERROR(MATCH(ROW()-1,Calc!$J$2:$J$1601,0),"")</f>
        <v/>
      </c>
      <c r="AT652" t="str">
        <f>IFERROR(MATCH(ROW()-1,Calc!$K$2:$K$1601,0),"")</f>
        <v/>
      </c>
      <c r="AU652" t="str">
        <f>IF($AS652="","",IFERROR(INDEX('TMP Paste'!$D$2:$D$1601,$AS652)*1000000/$AB652,""))</f>
        <v/>
      </c>
    </row>
    <row r="653" spans="1:47">
      <c r="A653" t="str">
        <f>IF($AS653="","",INDEX('TMP Paste'!$B$2:$B$1601,$AS653))</f>
        <v/>
      </c>
      <c r="B653" t="str">
        <f>IF($AS653="","",Config!$B$14)</f>
        <v/>
      </c>
      <c r="C653" t="str">
        <f>IF($AS653="","",Config!$B$15)</f>
        <v/>
      </c>
      <c r="D653" t="str">
        <f>IF($AS653="","",INDEX('TMP Paste'!$B$2:$B$1601,$AS653))</f>
        <v/>
      </c>
      <c r="E653" t="str">
        <f>IF($AS653="","",Config!$B$27)</f>
        <v/>
      </c>
      <c r="F653" t="str">
        <f>IF($AS653="","",Config!$B$9)</f>
        <v/>
      </c>
      <c r="G653" t="str">
        <f>IF($AS653="","",Config!$B$10)</f>
        <v/>
      </c>
      <c r="H653" t="str">
        <f>IF($AS653="","",Config!$B$11)</f>
        <v/>
      </c>
      <c r="I653" t="str">
        <f>IF($AS653="","",Config!$B$16)</f>
        <v/>
      </c>
      <c r="J653" t="str">
        <f>IF($AS653="","",INDEX('TMP Paste'!$A$2:$A$1601,$AS653))</f>
        <v/>
      </c>
      <c r="K653" t="str">
        <f>IF($AS653="","",INDEX('TMP Paste'!$L$2:$L$1601,$AS653))</f>
        <v/>
      </c>
      <c r="L653" t="str">
        <f>IF($AS653="","",INDEX('TMP Paste'!$I$2:$I$1601,$AS653))</f>
        <v/>
      </c>
      <c r="M653" t="str">
        <f>IF($AS653="","",Config!$B$16)</f>
        <v/>
      </c>
      <c r="N653" t="str">
        <f t="shared" si="60"/>
        <v/>
      </c>
      <c r="O653" t="str">
        <f>IF($AS653="","",INDEX('TMP Paste'!$K$2:$K$1601,$AS653))</f>
        <v/>
      </c>
      <c r="P653" t="str">
        <f t="shared" si="61"/>
        <v/>
      </c>
      <c r="Q653" t="str">
        <f>IF($AS653="","",INDEX('TMP Paste'!$J$2:$J$1601,$AS653))</f>
        <v/>
      </c>
      <c r="R653" t="str">
        <f>IF($AS653="","",Config!$B$24)</f>
        <v/>
      </c>
      <c r="S653" t="str">
        <f ca="1">IF($AS653="","",TEXT(Config!$B$4,"yyyy-mm-dd"))</f>
        <v/>
      </c>
      <c r="T653" t="str">
        <f>IF($AS653="","",Config!$B$17)</f>
        <v/>
      </c>
      <c r="U653" t="str">
        <f>IF($AS653="","",Config!$B$18)</f>
        <v/>
      </c>
      <c r="V653" t="str">
        <f>IF($AS653="","",Config!$B$19)</f>
        <v/>
      </c>
      <c r="W653" t="str">
        <f>IF($AS653="","",INDEX('TMP Paste'!$C$2:$C$1601,$AS653))</f>
        <v/>
      </c>
      <c r="X653" t="str">
        <f>IF($AS653="","",Config!$B$29)</f>
        <v/>
      </c>
      <c r="Y653" t="str">
        <f>IF($AT653="","",INDEX(Calc!$I$2:$I$1601,$AT653)&amp;" - "&amp;INDEX(Calc!$D$2:$D$1601,$AT653)&amp;" koli")</f>
        <v/>
      </c>
      <c r="Z653" t="str">
        <f>IF($AS653="","",Config!$B$21)</f>
        <v/>
      </c>
      <c r="AA653" t="str">
        <f>IF($AS653="","",Config!$B$22)</f>
        <v/>
      </c>
      <c r="AB653" t="str">
        <f>IF($AT653="","",INDEX(Calc!$D$2:$D$1601,$AT653))</f>
        <v/>
      </c>
      <c r="AC653" t="str">
        <f>IF($AT653="","",INDEX(Calc!$G$2:$G$1601,$AT653))</f>
        <v/>
      </c>
      <c r="AD653" t="str">
        <f>IF($AS653="","",Config!$B$23)</f>
        <v/>
      </c>
      <c r="AE653" t="str">
        <f>IF($AS653="","",Config!$B$28)</f>
        <v/>
      </c>
      <c r="AF653" t="str">
        <f t="shared" si="62"/>
        <v/>
      </c>
      <c r="AG653" t="str">
        <f t="shared" si="63"/>
        <v/>
      </c>
      <c r="AH653" t="str">
        <f t="shared" si="64"/>
        <v/>
      </c>
      <c r="AI653" t="str">
        <f>IF($AG653="","",SUMIF($AG$2:$AG653,$AG653,$AH$2:$AH653))</f>
        <v/>
      </c>
      <c r="AJ653" t="str">
        <f>IF('TMP Paste'!$F653="","",IF('TMP Paste'!$B653="",$AJ652,'TMP Paste'!$B653))</f>
        <v/>
      </c>
      <c r="AK653" t="str">
        <f>IF('TMP Paste'!$F653="","",N('TMP Paste'!$G653))</f>
        <v/>
      </c>
      <c r="AL653" t="str">
        <f>IF('TMP Paste'!$F653="","",IF('TMP Paste'!$M653="",$AL652,'TMP Paste'!$M653))</f>
        <v/>
      </c>
      <c r="AM653" t="str">
        <f>IF('TMP Paste'!$F653="","",IF('TMP Paste'!$N653="",$AM652,'TMP Paste'!$N653))</f>
        <v/>
      </c>
      <c r="AN653" t="str">
        <f>IF('TMP Paste'!$F653="","",IF('TMP Paste'!$O653="",$AN652,'TMP Paste'!$O653))</f>
        <v/>
      </c>
      <c r="AO653" t="str">
        <f>IF('TMP Paste'!$F653="","",IF('TMP Paste'!$P653="",$AO652,'TMP Paste'!$P653))</f>
        <v/>
      </c>
      <c r="AP653" t="str">
        <f t="shared" si="65"/>
        <v/>
      </c>
      <c r="AQ653" t="str">
        <f>IF($AS653="","",TRIM(IF(COUNTIFS(Calc!$B$2:$B$1601,ROW()-1,Calc!$C$2:$C$1601,"&lt;1")&gt;0,"Ada PO tanpa Koli - cek TMP. ","")&amp;IF(OR($AU653="",$AU653&lt;=0),"Volume kosong/0 - dimensi dikosongkan. ","")&amp;IF(AND($AU653&lt;&gt;"",$AU653&gt;=1000000),"Volume &gt;= 1.000.000 cm3 (di luar aturan) - dimensi dikosongkan. ","")&amp;IF(LEN($R653)&gt;500,"R &gt; 500 karakter.","")))</f>
        <v/>
      </c>
      <c r="AS653" t="str">
        <f>IFERROR(MATCH(ROW()-1,Calc!$J$2:$J$1601,0),"")</f>
        <v/>
      </c>
      <c r="AT653" t="str">
        <f>IFERROR(MATCH(ROW()-1,Calc!$K$2:$K$1601,0),"")</f>
        <v/>
      </c>
      <c r="AU653" t="str">
        <f>IF($AS653="","",IFERROR(INDEX('TMP Paste'!$D$2:$D$1601,$AS653)*1000000/$AB653,""))</f>
        <v/>
      </c>
    </row>
    <row r="654" spans="1:47">
      <c r="A654" t="str">
        <f>IF($AS654="","",INDEX('TMP Paste'!$B$2:$B$1601,$AS654))</f>
        <v/>
      </c>
      <c r="B654" t="str">
        <f>IF($AS654="","",Config!$B$14)</f>
        <v/>
      </c>
      <c r="C654" t="str">
        <f>IF($AS654="","",Config!$B$15)</f>
        <v/>
      </c>
      <c r="D654" t="str">
        <f>IF($AS654="","",INDEX('TMP Paste'!$B$2:$B$1601,$AS654))</f>
        <v/>
      </c>
      <c r="E654" t="str">
        <f>IF($AS654="","",Config!$B$27)</f>
        <v/>
      </c>
      <c r="F654" t="str">
        <f>IF($AS654="","",Config!$B$9)</f>
        <v/>
      </c>
      <c r="G654" t="str">
        <f>IF($AS654="","",Config!$B$10)</f>
        <v/>
      </c>
      <c r="H654" t="str">
        <f>IF($AS654="","",Config!$B$11)</f>
        <v/>
      </c>
      <c r="I654" t="str">
        <f>IF($AS654="","",Config!$B$16)</f>
        <v/>
      </c>
      <c r="J654" t="str">
        <f>IF($AS654="","",INDEX('TMP Paste'!$A$2:$A$1601,$AS654))</f>
        <v/>
      </c>
      <c r="K654" t="str">
        <f>IF($AS654="","",INDEX('TMP Paste'!$L$2:$L$1601,$AS654))</f>
        <v/>
      </c>
      <c r="L654" t="str">
        <f>IF($AS654="","",INDEX('TMP Paste'!$I$2:$I$1601,$AS654))</f>
        <v/>
      </c>
      <c r="M654" t="str">
        <f>IF($AS654="","",Config!$B$16)</f>
        <v/>
      </c>
      <c r="N654" t="str">
        <f t="shared" si="60"/>
        <v/>
      </c>
      <c r="O654" t="str">
        <f>IF($AS654="","",INDEX('TMP Paste'!$K$2:$K$1601,$AS654))</f>
        <v/>
      </c>
      <c r="P654" t="str">
        <f t="shared" si="61"/>
        <v/>
      </c>
      <c r="Q654" t="str">
        <f>IF($AS654="","",INDEX('TMP Paste'!$J$2:$J$1601,$AS654))</f>
        <v/>
      </c>
      <c r="R654" t="str">
        <f>IF($AS654="","",Config!$B$24)</f>
        <v/>
      </c>
      <c r="S654" t="str">
        <f ca="1">IF($AS654="","",TEXT(Config!$B$4,"yyyy-mm-dd"))</f>
        <v/>
      </c>
      <c r="T654" t="str">
        <f>IF($AS654="","",Config!$B$17)</f>
        <v/>
      </c>
      <c r="U654" t="str">
        <f>IF($AS654="","",Config!$B$18)</f>
        <v/>
      </c>
      <c r="V654" t="str">
        <f>IF($AS654="","",Config!$B$19)</f>
        <v/>
      </c>
      <c r="W654" t="str">
        <f>IF($AS654="","",INDEX('TMP Paste'!$C$2:$C$1601,$AS654))</f>
        <v/>
      </c>
      <c r="X654" t="str">
        <f>IF($AS654="","",Config!$B$29)</f>
        <v/>
      </c>
      <c r="Y654" t="str">
        <f>IF($AT654="","",INDEX(Calc!$I$2:$I$1601,$AT654)&amp;" - "&amp;INDEX(Calc!$D$2:$D$1601,$AT654)&amp;" koli")</f>
        <v/>
      </c>
      <c r="Z654" t="str">
        <f>IF($AS654="","",Config!$B$21)</f>
        <v/>
      </c>
      <c r="AA654" t="str">
        <f>IF($AS654="","",Config!$B$22)</f>
        <v/>
      </c>
      <c r="AB654" t="str">
        <f>IF($AT654="","",INDEX(Calc!$D$2:$D$1601,$AT654))</f>
        <v/>
      </c>
      <c r="AC654" t="str">
        <f>IF($AT654="","",INDEX(Calc!$G$2:$G$1601,$AT654))</f>
        <v/>
      </c>
      <c r="AD654" t="str">
        <f>IF($AS654="","",Config!$B$23)</f>
        <v/>
      </c>
      <c r="AE654" t="str">
        <f>IF($AS654="","",Config!$B$28)</f>
        <v/>
      </c>
      <c r="AF654" t="str">
        <f t="shared" si="62"/>
        <v/>
      </c>
      <c r="AG654" t="str">
        <f t="shared" si="63"/>
        <v/>
      </c>
      <c r="AH654" t="str">
        <f t="shared" si="64"/>
        <v/>
      </c>
      <c r="AI654" t="str">
        <f>IF($AG654="","",SUMIF($AG$2:$AG654,$AG654,$AH$2:$AH654))</f>
        <v/>
      </c>
      <c r="AJ654" t="str">
        <f>IF('TMP Paste'!$F654="","",IF('TMP Paste'!$B654="",$AJ653,'TMP Paste'!$B654))</f>
        <v/>
      </c>
      <c r="AK654" t="str">
        <f>IF('TMP Paste'!$F654="","",N('TMP Paste'!$G654))</f>
        <v/>
      </c>
      <c r="AL654" t="str">
        <f>IF('TMP Paste'!$F654="","",IF('TMP Paste'!$M654="",$AL653,'TMP Paste'!$M654))</f>
        <v/>
      </c>
      <c r="AM654" t="str">
        <f>IF('TMP Paste'!$F654="","",IF('TMP Paste'!$N654="",$AM653,'TMP Paste'!$N654))</f>
        <v/>
      </c>
      <c r="AN654" t="str">
        <f>IF('TMP Paste'!$F654="","",IF('TMP Paste'!$O654="",$AN653,'TMP Paste'!$O654))</f>
        <v/>
      </c>
      <c r="AO654" t="str">
        <f>IF('TMP Paste'!$F654="","",IF('TMP Paste'!$P654="",$AO653,'TMP Paste'!$P654))</f>
        <v/>
      </c>
      <c r="AP654" t="str">
        <f t="shared" si="65"/>
        <v/>
      </c>
      <c r="AQ654" t="str">
        <f>IF($AS654="","",TRIM(IF(COUNTIFS(Calc!$B$2:$B$1601,ROW()-1,Calc!$C$2:$C$1601,"&lt;1")&gt;0,"Ada PO tanpa Koli - cek TMP. ","")&amp;IF(OR($AU654="",$AU654&lt;=0),"Volume kosong/0 - dimensi dikosongkan. ","")&amp;IF(AND($AU654&lt;&gt;"",$AU654&gt;=1000000),"Volume &gt;= 1.000.000 cm3 (di luar aturan) - dimensi dikosongkan. ","")&amp;IF(LEN($R654)&gt;500,"R &gt; 500 karakter.","")))</f>
        <v/>
      </c>
      <c r="AS654" t="str">
        <f>IFERROR(MATCH(ROW()-1,Calc!$J$2:$J$1601,0),"")</f>
        <v/>
      </c>
      <c r="AT654" t="str">
        <f>IFERROR(MATCH(ROW()-1,Calc!$K$2:$K$1601,0),"")</f>
        <v/>
      </c>
      <c r="AU654" t="str">
        <f>IF($AS654="","",IFERROR(INDEX('TMP Paste'!$D$2:$D$1601,$AS654)*1000000/$AB654,""))</f>
        <v/>
      </c>
    </row>
    <row r="655" spans="1:47">
      <c r="A655" t="str">
        <f>IF($AS655="","",INDEX('TMP Paste'!$B$2:$B$1601,$AS655))</f>
        <v/>
      </c>
      <c r="B655" t="str">
        <f>IF($AS655="","",Config!$B$14)</f>
        <v/>
      </c>
      <c r="C655" t="str">
        <f>IF($AS655="","",Config!$B$15)</f>
        <v/>
      </c>
      <c r="D655" t="str">
        <f>IF($AS655="","",INDEX('TMP Paste'!$B$2:$B$1601,$AS655))</f>
        <v/>
      </c>
      <c r="E655" t="str">
        <f>IF($AS655="","",Config!$B$27)</f>
        <v/>
      </c>
      <c r="F655" t="str">
        <f>IF($AS655="","",Config!$B$9)</f>
        <v/>
      </c>
      <c r="G655" t="str">
        <f>IF($AS655="","",Config!$B$10)</f>
        <v/>
      </c>
      <c r="H655" t="str">
        <f>IF($AS655="","",Config!$B$11)</f>
        <v/>
      </c>
      <c r="I655" t="str">
        <f>IF($AS655="","",Config!$B$16)</f>
        <v/>
      </c>
      <c r="J655" t="str">
        <f>IF($AS655="","",INDEX('TMP Paste'!$A$2:$A$1601,$AS655))</f>
        <v/>
      </c>
      <c r="K655" t="str">
        <f>IF($AS655="","",INDEX('TMP Paste'!$L$2:$L$1601,$AS655))</f>
        <v/>
      </c>
      <c r="L655" t="str">
        <f>IF($AS655="","",INDEX('TMP Paste'!$I$2:$I$1601,$AS655))</f>
        <v/>
      </c>
      <c r="M655" t="str">
        <f>IF($AS655="","",Config!$B$16)</f>
        <v/>
      </c>
      <c r="N655" t="str">
        <f t="shared" si="60"/>
        <v/>
      </c>
      <c r="O655" t="str">
        <f>IF($AS655="","",INDEX('TMP Paste'!$K$2:$K$1601,$AS655))</f>
        <v/>
      </c>
      <c r="P655" t="str">
        <f t="shared" si="61"/>
        <v/>
      </c>
      <c r="Q655" t="str">
        <f>IF($AS655="","",INDEX('TMP Paste'!$J$2:$J$1601,$AS655))</f>
        <v/>
      </c>
      <c r="R655" t="str">
        <f>IF($AS655="","",Config!$B$24)</f>
        <v/>
      </c>
      <c r="S655" t="str">
        <f ca="1">IF($AS655="","",TEXT(Config!$B$4,"yyyy-mm-dd"))</f>
        <v/>
      </c>
      <c r="T655" t="str">
        <f>IF($AS655="","",Config!$B$17)</f>
        <v/>
      </c>
      <c r="U655" t="str">
        <f>IF($AS655="","",Config!$B$18)</f>
        <v/>
      </c>
      <c r="V655" t="str">
        <f>IF($AS655="","",Config!$B$19)</f>
        <v/>
      </c>
      <c r="W655" t="str">
        <f>IF($AS655="","",INDEX('TMP Paste'!$C$2:$C$1601,$AS655))</f>
        <v/>
      </c>
      <c r="X655" t="str">
        <f>IF($AS655="","",Config!$B$29)</f>
        <v/>
      </c>
      <c r="Y655" t="str">
        <f>IF($AT655="","",INDEX(Calc!$I$2:$I$1601,$AT655)&amp;" - "&amp;INDEX(Calc!$D$2:$D$1601,$AT655)&amp;" koli")</f>
        <v/>
      </c>
      <c r="Z655" t="str">
        <f>IF($AS655="","",Config!$B$21)</f>
        <v/>
      </c>
      <c r="AA655" t="str">
        <f>IF($AS655="","",Config!$B$22)</f>
        <v/>
      </c>
      <c r="AB655" t="str">
        <f>IF($AT655="","",INDEX(Calc!$D$2:$D$1601,$AT655))</f>
        <v/>
      </c>
      <c r="AC655" t="str">
        <f>IF($AT655="","",INDEX(Calc!$G$2:$G$1601,$AT655))</f>
        <v/>
      </c>
      <c r="AD655" t="str">
        <f>IF($AS655="","",Config!$B$23)</f>
        <v/>
      </c>
      <c r="AE655" t="str">
        <f>IF($AS655="","",Config!$B$28)</f>
        <v/>
      </c>
      <c r="AF655" t="str">
        <f t="shared" si="62"/>
        <v/>
      </c>
      <c r="AG655" t="str">
        <f t="shared" si="63"/>
        <v/>
      </c>
      <c r="AH655" t="str">
        <f t="shared" si="64"/>
        <v/>
      </c>
      <c r="AI655" t="str">
        <f>IF($AG655="","",SUMIF($AG$2:$AG655,$AG655,$AH$2:$AH655))</f>
        <v/>
      </c>
      <c r="AJ655" t="str">
        <f>IF('TMP Paste'!$F655="","",IF('TMP Paste'!$B655="",$AJ654,'TMP Paste'!$B655))</f>
        <v/>
      </c>
      <c r="AK655" t="str">
        <f>IF('TMP Paste'!$F655="","",N('TMP Paste'!$G655))</f>
        <v/>
      </c>
      <c r="AL655" t="str">
        <f>IF('TMP Paste'!$F655="","",IF('TMP Paste'!$M655="",$AL654,'TMP Paste'!$M655))</f>
        <v/>
      </c>
      <c r="AM655" t="str">
        <f>IF('TMP Paste'!$F655="","",IF('TMP Paste'!$N655="",$AM654,'TMP Paste'!$N655))</f>
        <v/>
      </c>
      <c r="AN655" t="str">
        <f>IF('TMP Paste'!$F655="","",IF('TMP Paste'!$O655="",$AN654,'TMP Paste'!$O655))</f>
        <v/>
      </c>
      <c r="AO655" t="str">
        <f>IF('TMP Paste'!$F655="","",IF('TMP Paste'!$P655="",$AO654,'TMP Paste'!$P655))</f>
        <v/>
      </c>
      <c r="AP655" t="str">
        <f t="shared" si="65"/>
        <v/>
      </c>
      <c r="AQ655" t="str">
        <f>IF($AS655="","",TRIM(IF(COUNTIFS(Calc!$B$2:$B$1601,ROW()-1,Calc!$C$2:$C$1601,"&lt;1")&gt;0,"Ada PO tanpa Koli - cek TMP. ","")&amp;IF(OR($AU655="",$AU655&lt;=0),"Volume kosong/0 - dimensi dikosongkan. ","")&amp;IF(AND($AU655&lt;&gt;"",$AU655&gt;=1000000),"Volume &gt;= 1.000.000 cm3 (di luar aturan) - dimensi dikosongkan. ","")&amp;IF(LEN($R655)&gt;500,"R &gt; 500 karakter.","")))</f>
        <v/>
      </c>
      <c r="AS655" t="str">
        <f>IFERROR(MATCH(ROW()-1,Calc!$J$2:$J$1601,0),"")</f>
        <v/>
      </c>
      <c r="AT655" t="str">
        <f>IFERROR(MATCH(ROW()-1,Calc!$K$2:$K$1601,0),"")</f>
        <v/>
      </c>
      <c r="AU655" t="str">
        <f>IF($AS655="","",IFERROR(INDEX('TMP Paste'!$D$2:$D$1601,$AS655)*1000000/$AB655,""))</f>
        <v/>
      </c>
    </row>
    <row r="656" spans="1:47">
      <c r="A656" t="str">
        <f>IF($AS656="","",INDEX('TMP Paste'!$B$2:$B$1601,$AS656))</f>
        <v/>
      </c>
      <c r="B656" t="str">
        <f>IF($AS656="","",Config!$B$14)</f>
        <v/>
      </c>
      <c r="C656" t="str">
        <f>IF($AS656="","",Config!$B$15)</f>
        <v/>
      </c>
      <c r="D656" t="str">
        <f>IF($AS656="","",INDEX('TMP Paste'!$B$2:$B$1601,$AS656))</f>
        <v/>
      </c>
      <c r="E656" t="str">
        <f>IF($AS656="","",Config!$B$27)</f>
        <v/>
      </c>
      <c r="F656" t="str">
        <f>IF($AS656="","",Config!$B$9)</f>
        <v/>
      </c>
      <c r="G656" t="str">
        <f>IF($AS656="","",Config!$B$10)</f>
        <v/>
      </c>
      <c r="H656" t="str">
        <f>IF($AS656="","",Config!$B$11)</f>
        <v/>
      </c>
      <c r="I656" t="str">
        <f>IF($AS656="","",Config!$B$16)</f>
        <v/>
      </c>
      <c r="J656" t="str">
        <f>IF($AS656="","",INDEX('TMP Paste'!$A$2:$A$1601,$AS656))</f>
        <v/>
      </c>
      <c r="K656" t="str">
        <f>IF($AS656="","",INDEX('TMP Paste'!$L$2:$L$1601,$AS656))</f>
        <v/>
      </c>
      <c r="L656" t="str">
        <f>IF($AS656="","",INDEX('TMP Paste'!$I$2:$I$1601,$AS656))</f>
        <v/>
      </c>
      <c r="M656" t="str">
        <f>IF($AS656="","",Config!$B$16)</f>
        <v/>
      </c>
      <c r="N656" t="str">
        <f t="shared" si="60"/>
        <v/>
      </c>
      <c r="O656" t="str">
        <f>IF($AS656="","",INDEX('TMP Paste'!$K$2:$K$1601,$AS656))</f>
        <v/>
      </c>
      <c r="P656" t="str">
        <f t="shared" si="61"/>
        <v/>
      </c>
      <c r="Q656" t="str">
        <f>IF($AS656="","",INDEX('TMP Paste'!$J$2:$J$1601,$AS656))</f>
        <v/>
      </c>
      <c r="R656" t="str">
        <f>IF($AS656="","",Config!$B$24)</f>
        <v/>
      </c>
      <c r="S656" t="str">
        <f ca="1">IF($AS656="","",TEXT(Config!$B$4,"yyyy-mm-dd"))</f>
        <v/>
      </c>
      <c r="T656" t="str">
        <f>IF($AS656="","",Config!$B$17)</f>
        <v/>
      </c>
      <c r="U656" t="str">
        <f>IF($AS656="","",Config!$B$18)</f>
        <v/>
      </c>
      <c r="V656" t="str">
        <f>IF($AS656="","",Config!$B$19)</f>
        <v/>
      </c>
      <c r="W656" t="str">
        <f>IF($AS656="","",INDEX('TMP Paste'!$C$2:$C$1601,$AS656))</f>
        <v/>
      </c>
      <c r="X656" t="str">
        <f>IF($AS656="","",Config!$B$29)</f>
        <v/>
      </c>
      <c r="Y656" t="str">
        <f>IF($AT656="","",INDEX(Calc!$I$2:$I$1601,$AT656)&amp;" - "&amp;INDEX(Calc!$D$2:$D$1601,$AT656)&amp;" koli")</f>
        <v/>
      </c>
      <c r="Z656" t="str">
        <f>IF($AS656="","",Config!$B$21)</f>
        <v/>
      </c>
      <c r="AA656" t="str">
        <f>IF($AS656="","",Config!$B$22)</f>
        <v/>
      </c>
      <c r="AB656" t="str">
        <f>IF($AT656="","",INDEX(Calc!$D$2:$D$1601,$AT656))</f>
        <v/>
      </c>
      <c r="AC656" t="str">
        <f>IF($AT656="","",INDEX(Calc!$G$2:$G$1601,$AT656))</f>
        <v/>
      </c>
      <c r="AD656" t="str">
        <f>IF($AS656="","",Config!$B$23)</f>
        <v/>
      </c>
      <c r="AE656" t="str">
        <f>IF($AS656="","",Config!$B$28)</f>
        <v/>
      </c>
      <c r="AF656" t="str">
        <f t="shared" si="62"/>
        <v/>
      </c>
      <c r="AG656" t="str">
        <f t="shared" si="63"/>
        <v/>
      </c>
      <c r="AH656" t="str">
        <f t="shared" si="64"/>
        <v/>
      </c>
      <c r="AI656" t="str">
        <f>IF($AG656="","",SUMIF($AG$2:$AG656,$AG656,$AH$2:$AH656))</f>
        <v/>
      </c>
      <c r="AJ656" t="str">
        <f>IF('TMP Paste'!$F656="","",IF('TMP Paste'!$B656="",$AJ655,'TMP Paste'!$B656))</f>
        <v/>
      </c>
      <c r="AK656" t="str">
        <f>IF('TMP Paste'!$F656="","",N('TMP Paste'!$G656))</f>
        <v/>
      </c>
      <c r="AL656" t="str">
        <f>IF('TMP Paste'!$F656="","",IF('TMP Paste'!$M656="",$AL655,'TMP Paste'!$M656))</f>
        <v/>
      </c>
      <c r="AM656" t="str">
        <f>IF('TMP Paste'!$F656="","",IF('TMP Paste'!$N656="",$AM655,'TMP Paste'!$N656))</f>
        <v/>
      </c>
      <c r="AN656" t="str">
        <f>IF('TMP Paste'!$F656="","",IF('TMP Paste'!$O656="",$AN655,'TMP Paste'!$O656))</f>
        <v/>
      </c>
      <c r="AO656" t="str">
        <f>IF('TMP Paste'!$F656="","",IF('TMP Paste'!$P656="",$AO655,'TMP Paste'!$P656))</f>
        <v/>
      </c>
      <c r="AP656" t="str">
        <f t="shared" si="65"/>
        <v/>
      </c>
      <c r="AQ656" t="str">
        <f>IF($AS656="","",TRIM(IF(COUNTIFS(Calc!$B$2:$B$1601,ROW()-1,Calc!$C$2:$C$1601,"&lt;1")&gt;0,"Ada PO tanpa Koli - cek TMP. ","")&amp;IF(OR($AU656="",$AU656&lt;=0),"Volume kosong/0 - dimensi dikosongkan. ","")&amp;IF(AND($AU656&lt;&gt;"",$AU656&gt;=1000000),"Volume &gt;= 1.000.000 cm3 (di luar aturan) - dimensi dikosongkan. ","")&amp;IF(LEN($R656)&gt;500,"R &gt; 500 karakter.","")))</f>
        <v/>
      </c>
      <c r="AS656" t="str">
        <f>IFERROR(MATCH(ROW()-1,Calc!$J$2:$J$1601,0),"")</f>
        <v/>
      </c>
      <c r="AT656" t="str">
        <f>IFERROR(MATCH(ROW()-1,Calc!$K$2:$K$1601,0),"")</f>
        <v/>
      </c>
      <c r="AU656" t="str">
        <f>IF($AS656="","",IFERROR(INDEX('TMP Paste'!$D$2:$D$1601,$AS656)*1000000/$AB656,""))</f>
        <v/>
      </c>
    </row>
    <row r="657" spans="1:47">
      <c r="A657" t="str">
        <f>IF($AS657="","",INDEX('TMP Paste'!$B$2:$B$1601,$AS657))</f>
        <v/>
      </c>
      <c r="B657" t="str">
        <f>IF($AS657="","",Config!$B$14)</f>
        <v/>
      </c>
      <c r="C657" t="str">
        <f>IF($AS657="","",Config!$B$15)</f>
        <v/>
      </c>
      <c r="D657" t="str">
        <f>IF($AS657="","",INDEX('TMP Paste'!$B$2:$B$1601,$AS657))</f>
        <v/>
      </c>
      <c r="E657" t="str">
        <f>IF($AS657="","",Config!$B$27)</f>
        <v/>
      </c>
      <c r="F657" t="str">
        <f>IF($AS657="","",Config!$B$9)</f>
        <v/>
      </c>
      <c r="G657" t="str">
        <f>IF($AS657="","",Config!$B$10)</f>
        <v/>
      </c>
      <c r="H657" t="str">
        <f>IF($AS657="","",Config!$B$11)</f>
        <v/>
      </c>
      <c r="I657" t="str">
        <f>IF($AS657="","",Config!$B$16)</f>
        <v/>
      </c>
      <c r="J657" t="str">
        <f>IF($AS657="","",INDEX('TMP Paste'!$A$2:$A$1601,$AS657))</f>
        <v/>
      </c>
      <c r="K657" t="str">
        <f>IF($AS657="","",INDEX('TMP Paste'!$L$2:$L$1601,$AS657))</f>
        <v/>
      </c>
      <c r="L657" t="str">
        <f>IF($AS657="","",INDEX('TMP Paste'!$I$2:$I$1601,$AS657))</f>
        <v/>
      </c>
      <c r="M657" t="str">
        <f>IF($AS657="","",Config!$B$16)</f>
        <v/>
      </c>
      <c r="N657" t="str">
        <f t="shared" si="60"/>
        <v/>
      </c>
      <c r="O657" t="str">
        <f>IF($AS657="","",INDEX('TMP Paste'!$K$2:$K$1601,$AS657))</f>
        <v/>
      </c>
      <c r="P657" t="str">
        <f t="shared" si="61"/>
        <v/>
      </c>
      <c r="Q657" t="str">
        <f>IF($AS657="","",INDEX('TMP Paste'!$J$2:$J$1601,$AS657))</f>
        <v/>
      </c>
      <c r="R657" t="str">
        <f>IF($AS657="","",Config!$B$24)</f>
        <v/>
      </c>
      <c r="S657" t="str">
        <f ca="1">IF($AS657="","",TEXT(Config!$B$4,"yyyy-mm-dd"))</f>
        <v/>
      </c>
      <c r="T657" t="str">
        <f>IF($AS657="","",Config!$B$17)</f>
        <v/>
      </c>
      <c r="U657" t="str">
        <f>IF($AS657="","",Config!$B$18)</f>
        <v/>
      </c>
      <c r="V657" t="str">
        <f>IF($AS657="","",Config!$B$19)</f>
        <v/>
      </c>
      <c r="W657" t="str">
        <f>IF($AS657="","",INDEX('TMP Paste'!$C$2:$C$1601,$AS657))</f>
        <v/>
      </c>
      <c r="X657" t="str">
        <f>IF($AS657="","",Config!$B$29)</f>
        <v/>
      </c>
      <c r="Y657" t="str">
        <f>IF($AT657="","",INDEX(Calc!$I$2:$I$1601,$AT657)&amp;" - "&amp;INDEX(Calc!$D$2:$D$1601,$AT657)&amp;" koli")</f>
        <v/>
      </c>
      <c r="Z657" t="str">
        <f>IF($AS657="","",Config!$B$21)</f>
        <v/>
      </c>
      <c r="AA657" t="str">
        <f>IF($AS657="","",Config!$B$22)</f>
        <v/>
      </c>
      <c r="AB657" t="str">
        <f>IF($AT657="","",INDEX(Calc!$D$2:$D$1601,$AT657))</f>
        <v/>
      </c>
      <c r="AC657" t="str">
        <f>IF($AT657="","",INDEX(Calc!$G$2:$G$1601,$AT657))</f>
        <v/>
      </c>
      <c r="AD657" t="str">
        <f>IF($AS657="","",Config!$B$23)</f>
        <v/>
      </c>
      <c r="AE657" t="str">
        <f>IF($AS657="","",Config!$B$28)</f>
        <v/>
      </c>
      <c r="AF657" t="str">
        <f t="shared" si="62"/>
        <v/>
      </c>
      <c r="AG657" t="str">
        <f t="shared" si="63"/>
        <v/>
      </c>
      <c r="AH657" t="str">
        <f t="shared" si="64"/>
        <v/>
      </c>
      <c r="AI657" t="str">
        <f>IF($AG657="","",SUMIF($AG$2:$AG657,$AG657,$AH$2:$AH657))</f>
        <v/>
      </c>
      <c r="AJ657" t="str">
        <f>IF('TMP Paste'!$F657="","",IF('TMP Paste'!$B657="",$AJ656,'TMP Paste'!$B657))</f>
        <v/>
      </c>
      <c r="AK657" t="str">
        <f>IF('TMP Paste'!$F657="","",N('TMP Paste'!$G657))</f>
        <v/>
      </c>
      <c r="AL657" t="str">
        <f>IF('TMP Paste'!$F657="","",IF('TMP Paste'!$M657="",$AL656,'TMP Paste'!$M657))</f>
        <v/>
      </c>
      <c r="AM657" t="str">
        <f>IF('TMP Paste'!$F657="","",IF('TMP Paste'!$N657="",$AM656,'TMP Paste'!$N657))</f>
        <v/>
      </c>
      <c r="AN657" t="str">
        <f>IF('TMP Paste'!$F657="","",IF('TMP Paste'!$O657="",$AN656,'TMP Paste'!$O657))</f>
        <v/>
      </c>
      <c r="AO657" t="str">
        <f>IF('TMP Paste'!$F657="","",IF('TMP Paste'!$P657="",$AO656,'TMP Paste'!$P657))</f>
        <v/>
      </c>
      <c r="AP657" t="str">
        <f t="shared" si="65"/>
        <v/>
      </c>
      <c r="AQ657" t="str">
        <f>IF($AS657="","",TRIM(IF(COUNTIFS(Calc!$B$2:$B$1601,ROW()-1,Calc!$C$2:$C$1601,"&lt;1")&gt;0,"Ada PO tanpa Koli - cek TMP. ","")&amp;IF(OR($AU657="",$AU657&lt;=0),"Volume kosong/0 - dimensi dikosongkan. ","")&amp;IF(AND($AU657&lt;&gt;"",$AU657&gt;=1000000),"Volume &gt;= 1.000.000 cm3 (di luar aturan) - dimensi dikosongkan. ","")&amp;IF(LEN($R657)&gt;500,"R &gt; 500 karakter.","")))</f>
        <v/>
      </c>
      <c r="AS657" t="str">
        <f>IFERROR(MATCH(ROW()-1,Calc!$J$2:$J$1601,0),"")</f>
        <v/>
      </c>
      <c r="AT657" t="str">
        <f>IFERROR(MATCH(ROW()-1,Calc!$K$2:$K$1601,0),"")</f>
        <v/>
      </c>
      <c r="AU657" t="str">
        <f>IF($AS657="","",IFERROR(INDEX('TMP Paste'!$D$2:$D$1601,$AS657)*1000000/$AB657,""))</f>
        <v/>
      </c>
    </row>
    <row r="658" spans="1:47">
      <c r="A658" t="str">
        <f>IF($AS658="","",INDEX('TMP Paste'!$B$2:$B$1601,$AS658))</f>
        <v/>
      </c>
      <c r="B658" t="str">
        <f>IF($AS658="","",Config!$B$14)</f>
        <v/>
      </c>
      <c r="C658" t="str">
        <f>IF($AS658="","",Config!$B$15)</f>
        <v/>
      </c>
      <c r="D658" t="str">
        <f>IF($AS658="","",INDEX('TMP Paste'!$B$2:$B$1601,$AS658))</f>
        <v/>
      </c>
      <c r="E658" t="str">
        <f>IF($AS658="","",Config!$B$27)</f>
        <v/>
      </c>
      <c r="F658" t="str">
        <f>IF($AS658="","",Config!$B$9)</f>
        <v/>
      </c>
      <c r="G658" t="str">
        <f>IF($AS658="","",Config!$B$10)</f>
        <v/>
      </c>
      <c r="H658" t="str">
        <f>IF($AS658="","",Config!$B$11)</f>
        <v/>
      </c>
      <c r="I658" t="str">
        <f>IF($AS658="","",Config!$B$16)</f>
        <v/>
      </c>
      <c r="J658" t="str">
        <f>IF($AS658="","",INDEX('TMP Paste'!$A$2:$A$1601,$AS658))</f>
        <v/>
      </c>
      <c r="K658" t="str">
        <f>IF($AS658="","",INDEX('TMP Paste'!$L$2:$L$1601,$AS658))</f>
        <v/>
      </c>
      <c r="L658" t="str">
        <f>IF($AS658="","",INDEX('TMP Paste'!$I$2:$I$1601,$AS658))</f>
        <v/>
      </c>
      <c r="M658" t="str">
        <f>IF($AS658="","",Config!$B$16)</f>
        <v/>
      </c>
      <c r="N658" t="str">
        <f t="shared" si="60"/>
        <v/>
      </c>
      <c r="O658" t="str">
        <f>IF($AS658="","",INDEX('TMP Paste'!$K$2:$K$1601,$AS658))</f>
        <v/>
      </c>
      <c r="P658" t="str">
        <f t="shared" si="61"/>
        <v/>
      </c>
      <c r="Q658" t="str">
        <f>IF($AS658="","",INDEX('TMP Paste'!$J$2:$J$1601,$AS658))</f>
        <v/>
      </c>
      <c r="R658" t="str">
        <f>IF($AS658="","",Config!$B$24)</f>
        <v/>
      </c>
      <c r="S658" t="str">
        <f ca="1">IF($AS658="","",TEXT(Config!$B$4,"yyyy-mm-dd"))</f>
        <v/>
      </c>
      <c r="T658" t="str">
        <f>IF($AS658="","",Config!$B$17)</f>
        <v/>
      </c>
      <c r="U658" t="str">
        <f>IF($AS658="","",Config!$B$18)</f>
        <v/>
      </c>
      <c r="V658" t="str">
        <f>IF($AS658="","",Config!$B$19)</f>
        <v/>
      </c>
      <c r="W658" t="str">
        <f>IF($AS658="","",INDEX('TMP Paste'!$C$2:$C$1601,$AS658))</f>
        <v/>
      </c>
      <c r="X658" t="str">
        <f>IF($AS658="","",Config!$B$29)</f>
        <v/>
      </c>
      <c r="Y658" t="str">
        <f>IF($AT658="","",INDEX(Calc!$I$2:$I$1601,$AT658)&amp;" - "&amp;INDEX(Calc!$D$2:$D$1601,$AT658)&amp;" koli")</f>
        <v/>
      </c>
      <c r="Z658" t="str">
        <f>IF($AS658="","",Config!$B$21)</f>
        <v/>
      </c>
      <c r="AA658" t="str">
        <f>IF($AS658="","",Config!$B$22)</f>
        <v/>
      </c>
      <c r="AB658" t="str">
        <f>IF($AT658="","",INDEX(Calc!$D$2:$D$1601,$AT658))</f>
        <v/>
      </c>
      <c r="AC658" t="str">
        <f>IF($AT658="","",INDEX(Calc!$G$2:$G$1601,$AT658))</f>
        <v/>
      </c>
      <c r="AD658" t="str">
        <f>IF($AS658="","",Config!$B$23)</f>
        <v/>
      </c>
      <c r="AE658" t="str">
        <f>IF($AS658="","",Config!$B$28)</f>
        <v/>
      </c>
      <c r="AF658" t="str">
        <f t="shared" si="62"/>
        <v/>
      </c>
      <c r="AG658" t="str">
        <f t="shared" si="63"/>
        <v/>
      </c>
      <c r="AH658" t="str">
        <f t="shared" si="64"/>
        <v/>
      </c>
      <c r="AI658" t="str">
        <f>IF($AG658="","",SUMIF($AG$2:$AG658,$AG658,$AH$2:$AH658))</f>
        <v/>
      </c>
      <c r="AJ658" t="str">
        <f>IF('TMP Paste'!$F658="","",IF('TMP Paste'!$B658="",$AJ657,'TMP Paste'!$B658))</f>
        <v/>
      </c>
      <c r="AK658" t="str">
        <f>IF('TMP Paste'!$F658="","",N('TMP Paste'!$G658))</f>
        <v/>
      </c>
      <c r="AL658" t="str">
        <f>IF('TMP Paste'!$F658="","",IF('TMP Paste'!$M658="",$AL657,'TMP Paste'!$M658))</f>
        <v/>
      </c>
      <c r="AM658" t="str">
        <f>IF('TMP Paste'!$F658="","",IF('TMP Paste'!$N658="",$AM657,'TMP Paste'!$N658))</f>
        <v/>
      </c>
      <c r="AN658" t="str">
        <f>IF('TMP Paste'!$F658="","",IF('TMP Paste'!$O658="",$AN657,'TMP Paste'!$O658))</f>
        <v/>
      </c>
      <c r="AO658" t="str">
        <f>IF('TMP Paste'!$F658="","",IF('TMP Paste'!$P658="",$AO657,'TMP Paste'!$P658))</f>
        <v/>
      </c>
      <c r="AP658" t="str">
        <f t="shared" si="65"/>
        <v/>
      </c>
      <c r="AQ658" t="str">
        <f>IF($AS658="","",TRIM(IF(COUNTIFS(Calc!$B$2:$B$1601,ROW()-1,Calc!$C$2:$C$1601,"&lt;1")&gt;0,"Ada PO tanpa Koli - cek TMP. ","")&amp;IF(OR($AU658="",$AU658&lt;=0),"Volume kosong/0 - dimensi dikosongkan. ","")&amp;IF(AND($AU658&lt;&gt;"",$AU658&gt;=1000000),"Volume &gt;= 1.000.000 cm3 (di luar aturan) - dimensi dikosongkan. ","")&amp;IF(LEN($R658)&gt;500,"R &gt; 500 karakter.","")))</f>
        <v/>
      </c>
      <c r="AS658" t="str">
        <f>IFERROR(MATCH(ROW()-1,Calc!$J$2:$J$1601,0),"")</f>
        <v/>
      </c>
      <c r="AT658" t="str">
        <f>IFERROR(MATCH(ROW()-1,Calc!$K$2:$K$1601,0),"")</f>
        <v/>
      </c>
      <c r="AU658" t="str">
        <f>IF($AS658="","",IFERROR(INDEX('TMP Paste'!$D$2:$D$1601,$AS658)*1000000/$AB658,""))</f>
        <v/>
      </c>
    </row>
    <row r="659" spans="1:47">
      <c r="A659" t="str">
        <f>IF($AS659="","",INDEX('TMP Paste'!$B$2:$B$1601,$AS659))</f>
        <v/>
      </c>
      <c r="B659" t="str">
        <f>IF($AS659="","",Config!$B$14)</f>
        <v/>
      </c>
      <c r="C659" t="str">
        <f>IF($AS659="","",Config!$B$15)</f>
        <v/>
      </c>
      <c r="D659" t="str">
        <f>IF($AS659="","",INDEX('TMP Paste'!$B$2:$B$1601,$AS659))</f>
        <v/>
      </c>
      <c r="E659" t="str">
        <f>IF($AS659="","",Config!$B$27)</f>
        <v/>
      </c>
      <c r="F659" t="str">
        <f>IF($AS659="","",Config!$B$9)</f>
        <v/>
      </c>
      <c r="G659" t="str">
        <f>IF($AS659="","",Config!$B$10)</f>
        <v/>
      </c>
      <c r="H659" t="str">
        <f>IF($AS659="","",Config!$B$11)</f>
        <v/>
      </c>
      <c r="I659" t="str">
        <f>IF($AS659="","",Config!$B$16)</f>
        <v/>
      </c>
      <c r="J659" t="str">
        <f>IF($AS659="","",INDEX('TMP Paste'!$A$2:$A$1601,$AS659))</f>
        <v/>
      </c>
      <c r="K659" t="str">
        <f>IF($AS659="","",INDEX('TMP Paste'!$L$2:$L$1601,$AS659))</f>
        <v/>
      </c>
      <c r="L659" t="str">
        <f>IF($AS659="","",INDEX('TMP Paste'!$I$2:$I$1601,$AS659))</f>
        <v/>
      </c>
      <c r="M659" t="str">
        <f>IF($AS659="","",Config!$B$16)</f>
        <v/>
      </c>
      <c r="N659" t="str">
        <f t="shared" si="60"/>
        <v/>
      </c>
      <c r="O659" t="str">
        <f>IF($AS659="","",INDEX('TMP Paste'!$K$2:$K$1601,$AS659))</f>
        <v/>
      </c>
      <c r="P659" t="str">
        <f t="shared" si="61"/>
        <v/>
      </c>
      <c r="Q659" t="str">
        <f>IF($AS659="","",INDEX('TMP Paste'!$J$2:$J$1601,$AS659))</f>
        <v/>
      </c>
      <c r="R659" t="str">
        <f>IF($AS659="","",Config!$B$24)</f>
        <v/>
      </c>
      <c r="S659" t="str">
        <f ca="1">IF($AS659="","",TEXT(Config!$B$4,"yyyy-mm-dd"))</f>
        <v/>
      </c>
      <c r="T659" t="str">
        <f>IF($AS659="","",Config!$B$17)</f>
        <v/>
      </c>
      <c r="U659" t="str">
        <f>IF($AS659="","",Config!$B$18)</f>
        <v/>
      </c>
      <c r="V659" t="str">
        <f>IF($AS659="","",Config!$B$19)</f>
        <v/>
      </c>
      <c r="W659" t="str">
        <f>IF($AS659="","",INDEX('TMP Paste'!$C$2:$C$1601,$AS659))</f>
        <v/>
      </c>
      <c r="X659" t="str">
        <f>IF($AS659="","",Config!$B$29)</f>
        <v/>
      </c>
      <c r="Y659" t="str">
        <f>IF($AT659="","",INDEX(Calc!$I$2:$I$1601,$AT659)&amp;" - "&amp;INDEX(Calc!$D$2:$D$1601,$AT659)&amp;" koli")</f>
        <v/>
      </c>
      <c r="Z659" t="str">
        <f>IF($AS659="","",Config!$B$21)</f>
        <v/>
      </c>
      <c r="AA659" t="str">
        <f>IF($AS659="","",Config!$B$22)</f>
        <v/>
      </c>
      <c r="AB659" t="str">
        <f>IF($AT659="","",INDEX(Calc!$D$2:$D$1601,$AT659))</f>
        <v/>
      </c>
      <c r="AC659" t="str">
        <f>IF($AT659="","",INDEX(Calc!$G$2:$G$1601,$AT659))</f>
        <v/>
      </c>
      <c r="AD659" t="str">
        <f>IF($AS659="","",Config!$B$23)</f>
        <v/>
      </c>
      <c r="AE659" t="str">
        <f>IF($AS659="","",Config!$B$28)</f>
        <v/>
      </c>
      <c r="AF659" t="str">
        <f t="shared" si="62"/>
        <v/>
      </c>
      <c r="AG659" t="str">
        <f t="shared" si="63"/>
        <v/>
      </c>
      <c r="AH659" t="str">
        <f t="shared" si="64"/>
        <v/>
      </c>
      <c r="AI659" t="str">
        <f>IF($AG659="","",SUMIF($AG$2:$AG659,$AG659,$AH$2:$AH659))</f>
        <v/>
      </c>
      <c r="AJ659" t="str">
        <f>IF('TMP Paste'!$F659="","",IF('TMP Paste'!$B659="",$AJ658,'TMP Paste'!$B659))</f>
        <v/>
      </c>
      <c r="AK659" t="str">
        <f>IF('TMP Paste'!$F659="","",N('TMP Paste'!$G659))</f>
        <v/>
      </c>
      <c r="AL659" t="str">
        <f>IF('TMP Paste'!$F659="","",IF('TMP Paste'!$M659="",$AL658,'TMP Paste'!$M659))</f>
        <v/>
      </c>
      <c r="AM659" t="str">
        <f>IF('TMP Paste'!$F659="","",IF('TMP Paste'!$N659="",$AM658,'TMP Paste'!$N659))</f>
        <v/>
      </c>
      <c r="AN659" t="str">
        <f>IF('TMP Paste'!$F659="","",IF('TMP Paste'!$O659="",$AN658,'TMP Paste'!$O659))</f>
        <v/>
      </c>
      <c r="AO659" t="str">
        <f>IF('TMP Paste'!$F659="","",IF('TMP Paste'!$P659="",$AO658,'TMP Paste'!$P659))</f>
        <v/>
      </c>
      <c r="AP659" t="str">
        <f t="shared" si="65"/>
        <v/>
      </c>
      <c r="AQ659" t="str">
        <f>IF($AS659="","",TRIM(IF(COUNTIFS(Calc!$B$2:$B$1601,ROW()-1,Calc!$C$2:$C$1601,"&lt;1")&gt;0,"Ada PO tanpa Koli - cek TMP. ","")&amp;IF(OR($AU659="",$AU659&lt;=0),"Volume kosong/0 - dimensi dikosongkan. ","")&amp;IF(AND($AU659&lt;&gt;"",$AU659&gt;=1000000),"Volume &gt;= 1.000.000 cm3 (di luar aturan) - dimensi dikosongkan. ","")&amp;IF(LEN($R659)&gt;500,"R &gt; 500 karakter.","")))</f>
        <v/>
      </c>
      <c r="AS659" t="str">
        <f>IFERROR(MATCH(ROW()-1,Calc!$J$2:$J$1601,0),"")</f>
        <v/>
      </c>
      <c r="AT659" t="str">
        <f>IFERROR(MATCH(ROW()-1,Calc!$K$2:$K$1601,0),"")</f>
        <v/>
      </c>
      <c r="AU659" t="str">
        <f>IF($AS659="","",IFERROR(INDEX('TMP Paste'!$D$2:$D$1601,$AS659)*1000000/$AB659,""))</f>
        <v/>
      </c>
    </row>
    <row r="660" spans="1:47">
      <c r="A660" t="str">
        <f>IF($AS660="","",INDEX('TMP Paste'!$B$2:$B$1601,$AS660))</f>
        <v/>
      </c>
      <c r="B660" t="str">
        <f>IF($AS660="","",Config!$B$14)</f>
        <v/>
      </c>
      <c r="C660" t="str">
        <f>IF($AS660="","",Config!$B$15)</f>
        <v/>
      </c>
      <c r="D660" t="str">
        <f>IF($AS660="","",INDEX('TMP Paste'!$B$2:$B$1601,$AS660))</f>
        <v/>
      </c>
      <c r="E660" t="str">
        <f>IF($AS660="","",Config!$B$27)</f>
        <v/>
      </c>
      <c r="F660" t="str">
        <f>IF($AS660="","",Config!$B$9)</f>
        <v/>
      </c>
      <c r="G660" t="str">
        <f>IF($AS660="","",Config!$B$10)</f>
        <v/>
      </c>
      <c r="H660" t="str">
        <f>IF($AS660="","",Config!$B$11)</f>
        <v/>
      </c>
      <c r="I660" t="str">
        <f>IF($AS660="","",Config!$B$16)</f>
        <v/>
      </c>
      <c r="J660" t="str">
        <f>IF($AS660="","",INDEX('TMP Paste'!$A$2:$A$1601,$AS660))</f>
        <v/>
      </c>
      <c r="K660" t="str">
        <f>IF($AS660="","",INDEX('TMP Paste'!$L$2:$L$1601,$AS660))</f>
        <v/>
      </c>
      <c r="L660" t="str">
        <f>IF($AS660="","",INDEX('TMP Paste'!$I$2:$I$1601,$AS660))</f>
        <v/>
      </c>
      <c r="M660" t="str">
        <f>IF($AS660="","",Config!$B$16)</f>
        <v/>
      </c>
      <c r="N660" t="str">
        <f t="shared" si="60"/>
        <v/>
      </c>
      <c r="O660" t="str">
        <f>IF($AS660="","",INDEX('TMP Paste'!$K$2:$K$1601,$AS660))</f>
        <v/>
      </c>
      <c r="P660" t="str">
        <f t="shared" si="61"/>
        <v/>
      </c>
      <c r="Q660" t="str">
        <f>IF($AS660="","",INDEX('TMP Paste'!$J$2:$J$1601,$AS660))</f>
        <v/>
      </c>
      <c r="R660" t="str">
        <f>IF($AS660="","",Config!$B$24)</f>
        <v/>
      </c>
      <c r="S660" t="str">
        <f ca="1">IF($AS660="","",TEXT(Config!$B$4,"yyyy-mm-dd"))</f>
        <v/>
      </c>
      <c r="T660" t="str">
        <f>IF($AS660="","",Config!$B$17)</f>
        <v/>
      </c>
      <c r="U660" t="str">
        <f>IF($AS660="","",Config!$B$18)</f>
        <v/>
      </c>
      <c r="V660" t="str">
        <f>IF($AS660="","",Config!$B$19)</f>
        <v/>
      </c>
      <c r="W660" t="str">
        <f>IF($AS660="","",INDEX('TMP Paste'!$C$2:$C$1601,$AS660))</f>
        <v/>
      </c>
      <c r="X660" t="str">
        <f>IF($AS660="","",Config!$B$29)</f>
        <v/>
      </c>
      <c r="Y660" t="str">
        <f>IF($AT660="","",INDEX(Calc!$I$2:$I$1601,$AT660)&amp;" - "&amp;INDEX(Calc!$D$2:$D$1601,$AT660)&amp;" koli")</f>
        <v/>
      </c>
      <c r="Z660" t="str">
        <f>IF($AS660="","",Config!$B$21)</f>
        <v/>
      </c>
      <c r="AA660" t="str">
        <f>IF($AS660="","",Config!$B$22)</f>
        <v/>
      </c>
      <c r="AB660" t="str">
        <f>IF($AT660="","",INDEX(Calc!$D$2:$D$1601,$AT660))</f>
        <v/>
      </c>
      <c r="AC660" t="str">
        <f>IF($AT660="","",INDEX(Calc!$G$2:$G$1601,$AT660))</f>
        <v/>
      </c>
      <c r="AD660" t="str">
        <f>IF($AS660="","",Config!$B$23)</f>
        <v/>
      </c>
      <c r="AE660" t="str">
        <f>IF($AS660="","",Config!$B$28)</f>
        <v/>
      </c>
      <c r="AF660" t="str">
        <f t="shared" si="62"/>
        <v/>
      </c>
      <c r="AG660" t="str">
        <f t="shared" si="63"/>
        <v/>
      </c>
      <c r="AH660" t="str">
        <f t="shared" si="64"/>
        <v/>
      </c>
      <c r="AI660" t="str">
        <f>IF($AG660="","",SUMIF($AG$2:$AG660,$AG660,$AH$2:$AH660))</f>
        <v/>
      </c>
      <c r="AJ660" t="str">
        <f>IF('TMP Paste'!$F660="","",IF('TMP Paste'!$B660="",$AJ659,'TMP Paste'!$B660))</f>
        <v/>
      </c>
      <c r="AK660" t="str">
        <f>IF('TMP Paste'!$F660="","",N('TMP Paste'!$G660))</f>
        <v/>
      </c>
      <c r="AL660" t="str">
        <f>IF('TMP Paste'!$F660="","",IF('TMP Paste'!$M660="",$AL659,'TMP Paste'!$M660))</f>
        <v/>
      </c>
      <c r="AM660" t="str">
        <f>IF('TMP Paste'!$F660="","",IF('TMP Paste'!$N660="",$AM659,'TMP Paste'!$N660))</f>
        <v/>
      </c>
      <c r="AN660" t="str">
        <f>IF('TMP Paste'!$F660="","",IF('TMP Paste'!$O660="",$AN659,'TMP Paste'!$O660))</f>
        <v/>
      </c>
      <c r="AO660" t="str">
        <f>IF('TMP Paste'!$F660="","",IF('TMP Paste'!$P660="",$AO659,'TMP Paste'!$P660))</f>
        <v/>
      </c>
      <c r="AP660" t="str">
        <f t="shared" si="65"/>
        <v/>
      </c>
      <c r="AQ660" t="str">
        <f>IF($AS660="","",TRIM(IF(COUNTIFS(Calc!$B$2:$B$1601,ROW()-1,Calc!$C$2:$C$1601,"&lt;1")&gt;0,"Ada PO tanpa Koli - cek TMP. ","")&amp;IF(OR($AU660="",$AU660&lt;=0),"Volume kosong/0 - dimensi dikosongkan. ","")&amp;IF(AND($AU660&lt;&gt;"",$AU660&gt;=1000000),"Volume &gt;= 1.000.000 cm3 (di luar aturan) - dimensi dikosongkan. ","")&amp;IF(LEN($R660)&gt;500,"R &gt; 500 karakter.","")))</f>
        <v/>
      </c>
      <c r="AS660" t="str">
        <f>IFERROR(MATCH(ROW()-1,Calc!$J$2:$J$1601,0),"")</f>
        <v/>
      </c>
      <c r="AT660" t="str">
        <f>IFERROR(MATCH(ROW()-1,Calc!$K$2:$K$1601,0),"")</f>
        <v/>
      </c>
      <c r="AU660" t="str">
        <f>IF($AS660="","",IFERROR(INDEX('TMP Paste'!$D$2:$D$1601,$AS660)*1000000/$AB660,""))</f>
        <v/>
      </c>
    </row>
    <row r="661" spans="1:47">
      <c r="A661" t="str">
        <f>IF($AS661="","",INDEX('TMP Paste'!$B$2:$B$1601,$AS661))</f>
        <v/>
      </c>
      <c r="B661" t="str">
        <f>IF($AS661="","",Config!$B$14)</f>
        <v/>
      </c>
      <c r="C661" t="str">
        <f>IF($AS661="","",Config!$B$15)</f>
        <v/>
      </c>
      <c r="D661" t="str">
        <f>IF($AS661="","",INDEX('TMP Paste'!$B$2:$B$1601,$AS661))</f>
        <v/>
      </c>
      <c r="E661" t="str">
        <f>IF($AS661="","",Config!$B$27)</f>
        <v/>
      </c>
      <c r="F661" t="str">
        <f>IF($AS661="","",Config!$B$9)</f>
        <v/>
      </c>
      <c r="G661" t="str">
        <f>IF($AS661="","",Config!$B$10)</f>
        <v/>
      </c>
      <c r="H661" t="str">
        <f>IF($AS661="","",Config!$B$11)</f>
        <v/>
      </c>
      <c r="I661" t="str">
        <f>IF($AS661="","",Config!$B$16)</f>
        <v/>
      </c>
      <c r="J661" t="str">
        <f>IF($AS661="","",INDEX('TMP Paste'!$A$2:$A$1601,$AS661))</f>
        <v/>
      </c>
      <c r="K661" t="str">
        <f>IF($AS661="","",INDEX('TMP Paste'!$L$2:$L$1601,$AS661))</f>
        <v/>
      </c>
      <c r="L661" t="str">
        <f>IF($AS661="","",INDEX('TMP Paste'!$I$2:$I$1601,$AS661))</f>
        <v/>
      </c>
      <c r="M661" t="str">
        <f>IF($AS661="","",Config!$B$16)</f>
        <v/>
      </c>
      <c r="N661" t="str">
        <f t="shared" si="60"/>
        <v/>
      </c>
      <c r="O661" t="str">
        <f>IF($AS661="","",INDEX('TMP Paste'!$K$2:$K$1601,$AS661))</f>
        <v/>
      </c>
      <c r="P661" t="str">
        <f t="shared" si="61"/>
        <v/>
      </c>
      <c r="Q661" t="str">
        <f>IF($AS661="","",INDEX('TMP Paste'!$J$2:$J$1601,$AS661))</f>
        <v/>
      </c>
      <c r="R661" t="str">
        <f>IF($AS661="","",Config!$B$24)</f>
        <v/>
      </c>
      <c r="S661" t="str">
        <f ca="1">IF($AS661="","",TEXT(Config!$B$4,"yyyy-mm-dd"))</f>
        <v/>
      </c>
      <c r="T661" t="str">
        <f>IF($AS661="","",Config!$B$17)</f>
        <v/>
      </c>
      <c r="U661" t="str">
        <f>IF($AS661="","",Config!$B$18)</f>
        <v/>
      </c>
      <c r="V661" t="str">
        <f>IF($AS661="","",Config!$B$19)</f>
        <v/>
      </c>
      <c r="W661" t="str">
        <f>IF($AS661="","",INDEX('TMP Paste'!$C$2:$C$1601,$AS661))</f>
        <v/>
      </c>
      <c r="X661" t="str">
        <f>IF($AS661="","",Config!$B$29)</f>
        <v/>
      </c>
      <c r="Y661" t="str">
        <f>IF($AT661="","",INDEX(Calc!$I$2:$I$1601,$AT661)&amp;" - "&amp;INDEX(Calc!$D$2:$D$1601,$AT661)&amp;" koli")</f>
        <v/>
      </c>
      <c r="Z661" t="str">
        <f>IF($AS661="","",Config!$B$21)</f>
        <v/>
      </c>
      <c r="AA661" t="str">
        <f>IF($AS661="","",Config!$B$22)</f>
        <v/>
      </c>
      <c r="AB661" t="str">
        <f>IF($AT661="","",INDEX(Calc!$D$2:$D$1601,$AT661))</f>
        <v/>
      </c>
      <c r="AC661" t="str">
        <f>IF($AT661="","",INDEX(Calc!$G$2:$G$1601,$AT661))</f>
        <v/>
      </c>
      <c r="AD661" t="str">
        <f>IF($AS661="","",Config!$B$23)</f>
        <v/>
      </c>
      <c r="AE661" t="str">
        <f>IF($AS661="","",Config!$B$28)</f>
        <v/>
      </c>
      <c r="AF661" t="str">
        <f t="shared" si="62"/>
        <v/>
      </c>
      <c r="AG661" t="str">
        <f t="shared" si="63"/>
        <v/>
      </c>
      <c r="AH661" t="str">
        <f t="shared" si="64"/>
        <v/>
      </c>
      <c r="AI661" t="str">
        <f>IF($AG661="","",SUMIF($AG$2:$AG661,$AG661,$AH$2:$AH661))</f>
        <v/>
      </c>
      <c r="AJ661" t="str">
        <f>IF('TMP Paste'!$F661="","",IF('TMP Paste'!$B661="",$AJ660,'TMP Paste'!$B661))</f>
        <v/>
      </c>
      <c r="AK661" t="str">
        <f>IF('TMP Paste'!$F661="","",N('TMP Paste'!$G661))</f>
        <v/>
      </c>
      <c r="AL661" t="str">
        <f>IF('TMP Paste'!$F661="","",IF('TMP Paste'!$M661="",$AL660,'TMP Paste'!$M661))</f>
        <v/>
      </c>
      <c r="AM661" t="str">
        <f>IF('TMP Paste'!$F661="","",IF('TMP Paste'!$N661="",$AM660,'TMP Paste'!$N661))</f>
        <v/>
      </c>
      <c r="AN661" t="str">
        <f>IF('TMP Paste'!$F661="","",IF('TMP Paste'!$O661="",$AN660,'TMP Paste'!$O661))</f>
        <v/>
      </c>
      <c r="AO661" t="str">
        <f>IF('TMP Paste'!$F661="","",IF('TMP Paste'!$P661="",$AO660,'TMP Paste'!$P661))</f>
        <v/>
      </c>
      <c r="AP661" t="str">
        <f t="shared" si="65"/>
        <v/>
      </c>
      <c r="AQ661" t="str">
        <f>IF($AS661="","",TRIM(IF(COUNTIFS(Calc!$B$2:$B$1601,ROW()-1,Calc!$C$2:$C$1601,"&lt;1")&gt;0,"Ada PO tanpa Koli - cek TMP. ","")&amp;IF(OR($AU661="",$AU661&lt;=0),"Volume kosong/0 - dimensi dikosongkan. ","")&amp;IF(AND($AU661&lt;&gt;"",$AU661&gt;=1000000),"Volume &gt;= 1.000.000 cm3 (di luar aturan) - dimensi dikosongkan. ","")&amp;IF(LEN($R661)&gt;500,"R &gt; 500 karakter.","")))</f>
        <v/>
      </c>
      <c r="AS661" t="str">
        <f>IFERROR(MATCH(ROW()-1,Calc!$J$2:$J$1601,0),"")</f>
        <v/>
      </c>
      <c r="AT661" t="str">
        <f>IFERROR(MATCH(ROW()-1,Calc!$K$2:$K$1601,0),"")</f>
        <v/>
      </c>
      <c r="AU661" t="str">
        <f>IF($AS661="","",IFERROR(INDEX('TMP Paste'!$D$2:$D$1601,$AS661)*1000000/$AB661,""))</f>
        <v/>
      </c>
    </row>
    <row r="662" spans="1:47">
      <c r="A662" t="str">
        <f>IF($AS662="","",INDEX('TMP Paste'!$B$2:$B$1601,$AS662))</f>
        <v/>
      </c>
      <c r="B662" t="str">
        <f>IF($AS662="","",Config!$B$14)</f>
        <v/>
      </c>
      <c r="C662" t="str">
        <f>IF($AS662="","",Config!$B$15)</f>
        <v/>
      </c>
      <c r="D662" t="str">
        <f>IF($AS662="","",INDEX('TMP Paste'!$B$2:$B$1601,$AS662))</f>
        <v/>
      </c>
      <c r="E662" t="str">
        <f>IF($AS662="","",Config!$B$27)</f>
        <v/>
      </c>
      <c r="F662" t="str">
        <f>IF($AS662="","",Config!$B$9)</f>
        <v/>
      </c>
      <c r="G662" t="str">
        <f>IF($AS662="","",Config!$B$10)</f>
        <v/>
      </c>
      <c r="H662" t="str">
        <f>IF($AS662="","",Config!$B$11)</f>
        <v/>
      </c>
      <c r="I662" t="str">
        <f>IF($AS662="","",Config!$B$16)</f>
        <v/>
      </c>
      <c r="J662" t="str">
        <f>IF($AS662="","",INDEX('TMP Paste'!$A$2:$A$1601,$AS662))</f>
        <v/>
      </c>
      <c r="K662" t="str">
        <f>IF($AS662="","",INDEX('TMP Paste'!$L$2:$L$1601,$AS662))</f>
        <v/>
      </c>
      <c r="L662" t="str">
        <f>IF($AS662="","",INDEX('TMP Paste'!$I$2:$I$1601,$AS662))</f>
        <v/>
      </c>
      <c r="M662" t="str">
        <f>IF($AS662="","",Config!$B$16)</f>
        <v/>
      </c>
      <c r="N662" t="str">
        <f t="shared" si="60"/>
        <v/>
      </c>
      <c r="O662" t="str">
        <f>IF($AS662="","",INDEX('TMP Paste'!$K$2:$K$1601,$AS662))</f>
        <v/>
      </c>
      <c r="P662" t="str">
        <f t="shared" si="61"/>
        <v/>
      </c>
      <c r="Q662" t="str">
        <f>IF($AS662="","",INDEX('TMP Paste'!$J$2:$J$1601,$AS662))</f>
        <v/>
      </c>
      <c r="R662" t="str">
        <f>IF($AS662="","",Config!$B$24)</f>
        <v/>
      </c>
      <c r="S662" t="str">
        <f ca="1">IF($AS662="","",TEXT(Config!$B$4,"yyyy-mm-dd"))</f>
        <v/>
      </c>
      <c r="T662" t="str">
        <f>IF($AS662="","",Config!$B$17)</f>
        <v/>
      </c>
      <c r="U662" t="str">
        <f>IF($AS662="","",Config!$B$18)</f>
        <v/>
      </c>
      <c r="V662" t="str">
        <f>IF($AS662="","",Config!$B$19)</f>
        <v/>
      </c>
      <c r="W662" t="str">
        <f>IF($AS662="","",INDEX('TMP Paste'!$C$2:$C$1601,$AS662))</f>
        <v/>
      </c>
      <c r="X662" t="str">
        <f>IF($AS662="","",Config!$B$29)</f>
        <v/>
      </c>
      <c r="Y662" t="str">
        <f>IF($AT662="","",INDEX(Calc!$I$2:$I$1601,$AT662)&amp;" - "&amp;INDEX(Calc!$D$2:$D$1601,$AT662)&amp;" koli")</f>
        <v/>
      </c>
      <c r="Z662" t="str">
        <f>IF($AS662="","",Config!$B$21)</f>
        <v/>
      </c>
      <c r="AA662" t="str">
        <f>IF($AS662="","",Config!$B$22)</f>
        <v/>
      </c>
      <c r="AB662" t="str">
        <f>IF($AT662="","",INDEX(Calc!$D$2:$D$1601,$AT662))</f>
        <v/>
      </c>
      <c r="AC662" t="str">
        <f>IF($AT662="","",INDEX(Calc!$G$2:$G$1601,$AT662))</f>
        <v/>
      </c>
      <c r="AD662" t="str">
        <f>IF($AS662="","",Config!$B$23)</f>
        <v/>
      </c>
      <c r="AE662" t="str">
        <f>IF($AS662="","",Config!$B$28)</f>
        <v/>
      </c>
      <c r="AF662" t="str">
        <f t="shared" si="62"/>
        <v/>
      </c>
      <c r="AG662" t="str">
        <f t="shared" si="63"/>
        <v/>
      </c>
      <c r="AH662" t="str">
        <f t="shared" si="64"/>
        <v/>
      </c>
      <c r="AI662" t="str">
        <f>IF($AG662="","",SUMIF($AG$2:$AG662,$AG662,$AH$2:$AH662))</f>
        <v/>
      </c>
      <c r="AJ662" t="str">
        <f>IF('TMP Paste'!$F662="","",IF('TMP Paste'!$B662="",$AJ661,'TMP Paste'!$B662))</f>
        <v/>
      </c>
      <c r="AK662" t="str">
        <f>IF('TMP Paste'!$F662="","",N('TMP Paste'!$G662))</f>
        <v/>
      </c>
      <c r="AL662" t="str">
        <f>IF('TMP Paste'!$F662="","",IF('TMP Paste'!$M662="",$AL661,'TMP Paste'!$M662))</f>
        <v/>
      </c>
      <c r="AM662" t="str">
        <f>IF('TMP Paste'!$F662="","",IF('TMP Paste'!$N662="",$AM661,'TMP Paste'!$N662))</f>
        <v/>
      </c>
      <c r="AN662" t="str">
        <f>IF('TMP Paste'!$F662="","",IF('TMP Paste'!$O662="",$AN661,'TMP Paste'!$O662))</f>
        <v/>
      </c>
      <c r="AO662" t="str">
        <f>IF('TMP Paste'!$F662="","",IF('TMP Paste'!$P662="",$AO661,'TMP Paste'!$P662))</f>
        <v/>
      </c>
      <c r="AP662" t="str">
        <f t="shared" si="65"/>
        <v/>
      </c>
      <c r="AQ662" t="str">
        <f>IF($AS662="","",TRIM(IF(COUNTIFS(Calc!$B$2:$B$1601,ROW()-1,Calc!$C$2:$C$1601,"&lt;1")&gt;0,"Ada PO tanpa Koli - cek TMP. ","")&amp;IF(OR($AU662="",$AU662&lt;=0),"Volume kosong/0 - dimensi dikosongkan. ","")&amp;IF(AND($AU662&lt;&gt;"",$AU662&gt;=1000000),"Volume &gt;= 1.000.000 cm3 (di luar aturan) - dimensi dikosongkan. ","")&amp;IF(LEN($R662)&gt;500,"R &gt; 500 karakter.","")))</f>
        <v/>
      </c>
      <c r="AS662" t="str">
        <f>IFERROR(MATCH(ROW()-1,Calc!$J$2:$J$1601,0),"")</f>
        <v/>
      </c>
      <c r="AT662" t="str">
        <f>IFERROR(MATCH(ROW()-1,Calc!$K$2:$K$1601,0),"")</f>
        <v/>
      </c>
      <c r="AU662" t="str">
        <f>IF($AS662="","",IFERROR(INDEX('TMP Paste'!$D$2:$D$1601,$AS662)*1000000/$AB662,""))</f>
        <v/>
      </c>
    </row>
    <row r="663" spans="1:47">
      <c r="A663" t="str">
        <f>IF($AS663="","",INDEX('TMP Paste'!$B$2:$B$1601,$AS663))</f>
        <v/>
      </c>
      <c r="B663" t="str">
        <f>IF($AS663="","",Config!$B$14)</f>
        <v/>
      </c>
      <c r="C663" t="str">
        <f>IF($AS663="","",Config!$B$15)</f>
        <v/>
      </c>
      <c r="D663" t="str">
        <f>IF($AS663="","",INDEX('TMP Paste'!$B$2:$B$1601,$AS663))</f>
        <v/>
      </c>
      <c r="E663" t="str">
        <f>IF($AS663="","",Config!$B$27)</f>
        <v/>
      </c>
      <c r="F663" t="str">
        <f>IF($AS663="","",Config!$B$9)</f>
        <v/>
      </c>
      <c r="G663" t="str">
        <f>IF($AS663="","",Config!$B$10)</f>
        <v/>
      </c>
      <c r="H663" t="str">
        <f>IF($AS663="","",Config!$B$11)</f>
        <v/>
      </c>
      <c r="I663" t="str">
        <f>IF($AS663="","",Config!$B$16)</f>
        <v/>
      </c>
      <c r="J663" t="str">
        <f>IF($AS663="","",INDEX('TMP Paste'!$A$2:$A$1601,$AS663))</f>
        <v/>
      </c>
      <c r="K663" t="str">
        <f>IF($AS663="","",INDEX('TMP Paste'!$L$2:$L$1601,$AS663))</f>
        <v/>
      </c>
      <c r="L663" t="str">
        <f>IF($AS663="","",INDEX('TMP Paste'!$I$2:$I$1601,$AS663))</f>
        <v/>
      </c>
      <c r="M663" t="str">
        <f>IF($AS663="","",Config!$B$16)</f>
        <v/>
      </c>
      <c r="N663" t="str">
        <f t="shared" si="60"/>
        <v/>
      </c>
      <c r="O663" t="str">
        <f>IF($AS663="","",INDEX('TMP Paste'!$K$2:$K$1601,$AS663))</f>
        <v/>
      </c>
      <c r="P663" t="str">
        <f t="shared" si="61"/>
        <v/>
      </c>
      <c r="Q663" t="str">
        <f>IF($AS663="","",INDEX('TMP Paste'!$J$2:$J$1601,$AS663))</f>
        <v/>
      </c>
      <c r="R663" t="str">
        <f>IF($AS663="","",Config!$B$24)</f>
        <v/>
      </c>
      <c r="S663" t="str">
        <f ca="1">IF($AS663="","",TEXT(Config!$B$4,"yyyy-mm-dd"))</f>
        <v/>
      </c>
      <c r="T663" t="str">
        <f>IF($AS663="","",Config!$B$17)</f>
        <v/>
      </c>
      <c r="U663" t="str">
        <f>IF($AS663="","",Config!$B$18)</f>
        <v/>
      </c>
      <c r="V663" t="str">
        <f>IF($AS663="","",Config!$B$19)</f>
        <v/>
      </c>
      <c r="W663" t="str">
        <f>IF($AS663="","",INDEX('TMP Paste'!$C$2:$C$1601,$AS663))</f>
        <v/>
      </c>
      <c r="X663" t="str">
        <f>IF($AS663="","",Config!$B$29)</f>
        <v/>
      </c>
      <c r="Y663" t="str">
        <f>IF($AT663="","",INDEX(Calc!$I$2:$I$1601,$AT663)&amp;" - "&amp;INDEX(Calc!$D$2:$D$1601,$AT663)&amp;" koli")</f>
        <v/>
      </c>
      <c r="Z663" t="str">
        <f>IF($AS663="","",Config!$B$21)</f>
        <v/>
      </c>
      <c r="AA663" t="str">
        <f>IF($AS663="","",Config!$B$22)</f>
        <v/>
      </c>
      <c r="AB663" t="str">
        <f>IF($AT663="","",INDEX(Calc!$D$2:$D$1601,$AT663))</f>
        <v/>
      </c>
      <c r="AC663" t="str">
        <f>IF($AT663="","",INDEX(Calc!$G$2:$G$1601,$AT663))</f>
        <v/>
      </c>
      <c r="AD663" t="str">
        <f>IF($AS663="","",Config!$B$23)</f>
        <v/>
      </c>
      <c r="AE663" t="str">
        <f>IF($AS663="","",Config!$B$28)</f>
        <v/>
      </c>
      <c r="AF663" t="str">
        <f t="shared" si="62"/>
        <v/>
      </c>
      <c r="AG663" t="str">
        <f t="shared" si="63"/>
        <v/>
      </c>
      <c r="AH663" t="str">
        <f t="shared" si="64"/>
        <v/>
      </c>
      <c r="AI663" t="str">
        <f>IF($AG663="","",SUMIF($AG$2:$AG663,$AG663,$AH$2:$AH663))</f>
        <v/>
      </c>
      <c r="AJ663" t="str">
        <f>IF('TMP Paste'!$F663="","",IF('TMP Paste'!$B663="",$AJ662,'TMP Paste'!$B663))</f>
        <v/>
      </c>
      <c r="AK663" t="str">
        <f>IF('TMP Paste'!$F663="","",N('TMP Paste'!$G663))</f>
        <v/>
      </c>
      <c r="AL663" t="str">
        <f>IF('TMP Paste'!$F663="","",IF('TMP Paste'!$M663="",$AL662,'TMP Paste'!$M663))</f>
        <v/>
      </c>
      <c r="AM663" t="str">
        <f>IF('TMP Paste'!$F663="","",IF('TMP Paste'!$N663="",$AM662,'TMP Paste'!$N663))</f>
        <v/>
      </c>
      <c r="AN663" t="str">
        <f>IF('TMP Paste'!$F663="","",IF('TMP Paste'!$O663="",$AN662,'TMP Paste'!$O663))</f>
        <v/>
      </c>
      <c r="AO663" t="str">
        <f>IF('TMP Paste'!$F663="","",IF('TMP Paste'!$P663="",$AO662,'TMP Paste'!$P663))</f>
        <v/>
      </c>
      <c r="AP663" t="str">
        <f t="shared" si="65"/>
        <v/>
      </c>
      <c r="AQ663" t="str">
        <f>IF($AS663="","",TRIM(IF(COUNTIFS(Calc!$B$2:$B$1601,ROW()-1,Calc!$C$2:$C$1601,"&lt;1")&gt;0,"Ada PO tanpa Koli - cek TMP. ","")&amp;IF(OR($AU663="",$AU663&lt;=0),"Volume kosong/0 - dimensi dikosongkan. ","")&amp;IF(AND($AU663&lt;&gt;"",$AU663&gt;=1000000),"Volume &gt;= 1.000.000 cm3 (di luar aturan) - dimensi dikosongkan. ","")&amp;IF(LEN($R663)&gt;500,"R &gt; 500 karakter.","")))</f>
        <v/>
      </c>
      <c r="AS663" t="str">
        <f>IFERROR(MATCH(ROW()-1,Calc!$J$2:$J$1601,0),"")</f>
        <v/>
      </c>
      <c r="AT663" t="str">
        <f>IFERROR(MATCH(ROW()-1,Calc!$K$2:$K$1601,0),"")</f>
        <v/>
      </c>
      <c r="AU663" t="str">
        <f>IF($AS663="","",IFERROR(INDEX('TMP Paste'!$D$2:$D$1601,$AS663)*1000000/$AB663,""))</f>
        <v/>
      </c>
    </row>
    <row r="664" spans="1:47">
      <c r="A664" t="str">
        <f>IF($AS664="","",INDEX('TMP Paste'!$B$2:$B$1601,$AS664))</f>
        <v/>
      </c>
      <c r="B664" t="str">
        <f>IF($AS664="","",Config!$B$14)</f>
        <v/>
      </c>
      <c r="C664" t="str">
        <f>IF($AS664="","",Config!$B$15)</f>
        <v/>
      </c>
      <c r="D664" t="str">
        <f>IF($AS664="","",INDEX('TMP Paste'!$B$2:$B$1601,$AS664))</f>
        <v/>
      </c>
      <c r="E664" t="str">
        <f>IF($AS664="","",Config!$B$27)</f>
        <v/>
      </c>
      <c r="F664" t="str">
        <f>IF($AS664="","",Config!$B$9)</f>
        <v/>
      </c>
      <c r="G664" t="str">
        <f>IF($AS664="","",Config!$B$10)</f>
        <v/>
      </c>
      <c r="H664" t="str">
        <f>IF($AS664="","",Config!$B$11)</f>
        <v/>
      </c>
      <c r="I664" t="str">
        <f>IF($AS664="","",Config!$B$16)</f>
        <v/>
      </c>
      <c r="J664" t="str">
        <f>IF($AS664="","",INDEX('TMP Paste'!$A$2:$A$1601,$AS664))</f>
        <v/>
      </c>
      <c r="K664" t="str">
        <f>IF($AS664="","",INDEX('TMP Paste'!$L$2:$L$1601,$AS664))</f>
        <v/>
      </c>
      <c r="L664" t="str">
        <f>IF($AS664="","",INDEX('TMP Paste'!$I$2:$I$1601,$AS664))</f>
        <v/>
      </c>
      <c r="M664" t="str">
        <f>IF($AS664="","",Config!$B$16)</f>
        <v/>
      </c>
      <c r="N664" t="str">
        <f t="shared" si="60"/>
        <v/>
      </c>
      <c r="O664" t="str">
        <f>IF($AS664="","",INDEX('TMP Paste'!$K$2:$K$1601,$AS664))</f>
        <v/>
      </c>
      <c r="P664" t="str">
        <f t="shared" si="61"/>
        <v/>
      </c>
      <c r="Q664" t="str">
        <f>IF($AS664="","",INDEX('TMP Paste'!$J$2:$J$1601,$AS664))</f>
        <v/>
      </c>
      <c r="R664" t="str">
        <f>IF($AS664="","",Config!$B$24)</f>
        <v/>
      </c>
      <c r="S664" t="str">
        <f ca="1">IF($AS664="","",TEXT(Config!$B$4,"yyyy-mm-dd"))</f>
        <v/>
      </c>
      <c r="T664" t="str">
        <f>IF($AS664="","",Config!$B$17)</f>
        <v/>
      </c>
      <c r="U664" t="str">
        <f>IF($AS664="","",Config!$B$18)</f>
        <v/>
      </c>
      <c r="V664" t="str">
        <f>IF($AS664="","",Config!$B$19)</f>
        <v/>
      </c>
      <c r="W664" t="str">
        <f>IF($AS664="","",INDEX('TMP Paste'!$C$2:$C$1601,$AS664))</f>
        <v/>
      </c>
      <c r="X664" t="str">
        <f>IF($AS664="","",Config!$B$29)</f>
        <v/>
      </c>
      <c r="Y664" t="str">
        <f>IF($AT664="","",INDEX(Calc!$I$2:$I$1601,$AT664)&amp;" - "&amp;INDEX(Calc!$D$2:$D$1601,$AT664)&amp;" koli")</f>
        <v/>
      </c>
      <c r="Z664" t="str">
        <f>IF($AS664="","",Config!$B$21)</f>
        <v/>
      </c>
      <c r="AA664" t="str">
        <f>IF($AS664="","",Config!$B$22)</f>
        <v/>
      </c>
      <c r="AB664" t="str">
        <f>IF($AT664="","",INDEX(Calc!$D$2:$D$1601,$AT664))</f>
        <v/>
      </c>
      <c r="AC664" t="str">
        <f>IF($AT664="","",INDEX(Calc!$G$2:$G$1601,$AT664))</f>
        <v/>
      </c>
      <c r="AD664" t="str">
        <f>IF($AS664="","",Config!$B$23)</f>
        <v/>
      </c>
      <c r="AE664" t="str">
        <f>IF($AS664="","",Config!$B$28)</f>
        <v/>
      </c>
      <c r="AF664" t="str">
        <f t="shared" si="62"/>
        <v/>
      </c>
      <c r="AG664" t="str">
        <f t="shared" si="63"/>
        <v/>
      </c>
      <c r="AH664" t="str">
        <f t="shared" si="64"/>
        <v/>
      </c>
      <c r="AI664" t="str">
        <f>IF($AG664="","",SUMIF($AG$2:$AG664,$AG664,$AH$2:$AH664))</f>
        <v/>
      </c>
      <c r="AJ664" t="str">
        <f>IF('TMP Paste'!$F664="","",IF('TMP Paste'!$B664="",$AJ663,'TMP Paste'!$B664))</f>
        <v/>
      </c>
      <c r="AK664" t="str">
        <f>IF('TMP Paste'!$F664="","",N('TMP Paste'!$G664))</f>
        <v/>
      </c>
      <c r="AL664" t="str">
        <f>IF('TMP Paste'!$F664="","",IF('TMP Paste'!$M664="",$AL663,'TMP Paste'!$M664))</f>
        <v/>
      </c>
      <c r="AM664" t="str">
        <f>IF('TMP Paste'!$F664="","",IF('TMP Paste'!$N664="",$AM663,'TMP Paste'!$N664))</f>
        <v/>
      </c>
      <c r="AN664" t="str">
        <f>IF('TMP Paste'!$F664="","",IF('TMP Paste'!$O664="",$AN663,'TMP Paste'!$O664))</f>
        <v/>
      </c>
      <c r="AO664" t="str">
        <f>IF('TMP Paste'!$F664="","",IF('TMP Paste'!$P664="",$AO663,'TMP Paste'!$P664))</f>
        <v/>
      </c>
      <c r="AP664" t="str">
        <f t="shared" si="65"/>
        <v/>
      </c>
      <c r="AQ664" t="str">
        <f>IF($AS664="","",TRIM(IF(COUNTIFS(Calc!$B$2:$B$1601,ROW()-1,Calc!$C$2:$C$1601,"&lt;1")&gt;0,"Ada PO tanpa Koli - cek TMP. ","")&amp;IF(OR($AU664="",$AU664&lt;=0),"Volume kosong/0 - dimensi dikosongkan. ","")&amp;IF(AND($AU664&lt;&gt;"",$AU664&gt;=1000000),"Volume &gt;= 1.000.000 cm3 (di luar aturan) - dimensi dikosongkan. ","")&amp;IF(LEN($R664)&gt;500,"R &gt; 500 karakter.","")))</f>
        <v/>
      </c>
      <c r="AS664" t="str">
        <f>IFERROR(MATCH(ROW()-1,Calc!$J$2:$J$1601,0),"")</f>
        <v/>
      </c>
      <c r="AT664" t="str">
        <f>IFERROR(MATCH(ROW()-1,Calc!$K$2:$K$1601,0),"")</f>
        <v/>
      </c>
      <c r="AU664" t="str">
        <f>IF($AS664="","",IFERROR(INDEX('TMP Paste'!$D$2:$D$1601,$AS664)*1000000/$AB664,""))</f>
        <v/>
      </c>
    </row>
    <row r="665" spans="1:47">
      <c r="A665" t="str">
        <f>IF($AS665="","",INDEX('TMP Paste'!$B$2:$B$1601,$AS665))</f>
        <v/>
      </c>
      <c r="B665" t="str">
        <f>IF($AS665="","",Config!$B$14)</f>
        <v/>
      </c>
      <c r="C665" t="str">
        <f>IF($AS665="","",Config!$B$15)</f>
        <v/>
      </c>
      <c r="D665" t="str">
        <f>IF($AS665="","",INDEX('TMP Paste'!$B$2:$B$1601,$AS665))</f>
        <v/>
      </c>
      <c r="E665" t="str">
        <f>IF($AS665="","",Config!$B$27)</f>
        <v/>
      </c>
      <c r="F665" t="str">
        <f>IF($AS665="","",Config!$B$9)</f>
        <v/>
      </c>
      <c r="G665" t="str">
        <f>IF($AS665="","",Config!$B$10)</f>
        <v/>
      </c>
      <c r="H665" t="str">
        <f>IF($AS665="","",Config!$B$11)</f>
        <v/>
      </c>
      <c r="I665" t="str">
        <f>IF($AS665="","",Config!$B$16)</f>
        <v/>
      </c>
      <c r="J665" t="str">
        <f>IF($AS665="","",INDEX('TMP Paste'!$A$2:$A$1601,$AS665))</f>
        <v/>
      </c>
      <c r="K665" t="str">
        <f>IF($AS665="","",INDEX('TMP Paste'!$L$2:$L$1601,$AS665))</f>
        <v/>
      </c>
      <c r="L665" t="str">
        <f>IF($AS665="","",INDEX('TMP Paste'!$I$2:$I$1601,$AS665))</f>
        <v/>
      </c>
      <c r="M665" t="str">
        <f>IF($AS665="","",Config!$B$16)</f>
        <v/>
      </c>
      <c r="N665" t="str">
        <f t="shared" si="60"/>
        <v/>
      </c>
      <c r="O665" t="str">
        <f>IF($AS665="","",INDEX('TMP Paste'!$K$2:$K$1601,$AS665))</f>
        <v/>
      </c>
      <c r="P665" t="str">
        <f t="shared" si="61"/>
        <v/>
      </c>
      <c r="Q665" t="str">
        <f>IF($AS665="","",INDEX('TMP Paste'!$J$2:$J$1601,$AS665))</f>
        <v/>
      </c>
      <c r="R665" t="str">
        <f>IF($AS665="","",Config!$B$24)</f>
        <v/>
      </c>
      <c r="S665" t="str">
        <f ca="1">IF($AS665="","",TEXT(Config!$B$4,"yyyy-mm-dd"))</f>
        <v/>
      </c>
      <c r="T665" t="str">
        <f>IF($AS665="","",Config!$B$17)</f>
        <v/>
      </c>
      <c r="U665" t="str">
        <f>IF($AS665="","",Config!$B$18)</f>
        <v/>
      </c>
      <c r="V665" t="str">
        <f>IF($AS665="","",Config!$B$19)</f>
        <v/>
      </c>
      <c r="W665" t="str">
        <f>IF($AS665="","",INDEX('TMP Paste'!$C$2:$C$1601,$AS665))</f>
        <v/>
      </c>
      <c r="X665" t="str">
        <f>IF($AS665="","",Config!$B$29)</f>
        <v/>
      </c>
      <c r="Y665" t="str">
        <f>IF($AT665="","",INDEX(Calc!$I$2:$I$1601,$AT665)&amp;" - "&amp;INDEX(Calc!$D$2:$D$1601,$AT665)&amp;" koli")</f>
        <v/>
      </c>
      <c r="Z665" t="str">
        <f>IF($AS665="","",Config!$B$21)</f>
        <v/>
      </c>
      <c r="AA665" t="str">
        <f>IF($AS665="","",Config!$B$22)</f>
        <v/>
      </c>
      <c r="AB665" t="str">
        <f>IF($AT665="","",INDEX(Calc!$D$2:$D$1601,$AT665))</f>
        <v/>
      </c>
      <c r="AC665" t="str">
        <f>IF($AT665="","",INDEX(Calc!$G$2:$G$1601,$AT665))</f>
        <v/>
      </c>
      <c r="AD665" t="str">
        <f>IF($AS665="","",Config!$B$23)</f>
        <v/>
      </c>
      <c r="AE665" t="str">
        <f>IF($AS665="","",Config!$B$28)</f>
        <v/>
      </c>
      <c r="AF665" t="str">
        <f t="shared" si="62"/>
        <v/>
      </c>
      <c r="AG665" t="str">
        <f t="shared" si="63"/>
        <v/>
      </c>
      <c r="AH665" t="str">
        <f t="shared" si="64"/>
        <v/>
      </c>
      <c r="AI665" t="str">
        <f>IF($AG665="","",SUMIF($AG$2:$AG665,$AG665,$AH$2:$AH665))</f>
        <v/>
      </c>
      <c r="AJ665" t="str">
        <f>IF('TMP Paste'!$F665="","",IF('TMP Paste'!$B665="",$AJ664,'TMP Paste'!$B665))</f>
        <v/>
      </c>
      <c r="AK665" t="str">
        <f>IF('TMP Paste'!$F665="","",N('TMP Paste'!$G665))</f>
        <v/>
      </c>
      <c r="AL665" t="str">
        <f>IF('TMP Paste'!$F665="","",IF('TMP Paste'!$M665="",$AL664,'TMP Paste'!$M665))</f>
        <v/>
      </c>
      <c r="AM665" t="str">
        <f>IF('TMP Paste'!$F665="","",IF('TMP Paste'!$N665="",$AM664,'TMP Paste'!$N665))</f>
        <v/>
      </c>
      <c r="AN665" t="str">
        <f>IF('TMP Paste'!$F665="","",IF('TMP Paste'!$O665="",$AN664,'TMP Paste'!$O665))</f>
        <v/>
      </c>
      <c r="AO665" t="str">
        <f>IF('TMP Paste'!$F665="","",IF('TMP Paste'!$P665="",$AO664,'TMP Paste'!$P665))</f>
        <v/>
      </c>
      <c r="AP665" t="str">
        <f t="shared" si="65"/>
        <v/>
      </c>
      <c r="AQ665" t="str">
        <f>IF($AS665="","",TRIM(IF(COUNTIFS(Calc!$B$2:$B$1601,ROW()-1,Calc!$C$2:$C$1601,"&lt;1")&gt;0,"Ada PO tanpa Koli - cek TMP. ","")&amp;IF(OR($AU665="",$AU665&lt;=0),"Volume kosong/0 - dimensi dikosongkan. ","")&amp;IF(AND($AU665&lt;&gt;"",$AU665&gt;=1000000),"Volume &gt;= 1.000.000 cm3 (di luar aturan) - dimensi dikosongkan. ","")&amp;IF(LEN($R665)&gt;500,"R &gt; 500 karakter.","")))</f>
        <v/>
      </c>
      <c r="AS665" t="str">
        <f>IFERROR(MATCH(ROW()-1,Calc!$J$2:$J$1601,0),"")</f>
        <v/>
      </c>
      <c r="AT665" t="str">
        <f>IFERROR(MATCH(ROW()-1,Calc!$K$2:$K$1601,0),"")</f>
        <v/>
      </c>
      <c r="AU665" t="str">
        <f>IF($AS665="","",IFERROR(INDEX('TMP Paste'!$D$2:$D$1601,$AS665)*1000000/$AB665,""))</f>
        <v/>
      </c>
    </row>
    <row r="666" spans="1:47">
      <c r="A666" t="str">
        <f>IF($AS666="","",INDEX('TMP Paste'!$B$2:$B$1601,$AS666))</f>
        <v/>
      </c>
      <c r="B666" t="str">
        <f>IF($AS666="","",Config!$B$14)</f>
        <v/>
      </c>
      <c r="C666" t="str">
        <f>IF($AS666="","",Config!$B$15)</f>
        <v/>
      </c>
      <c r="D666" t="str">
        <f>IF($AS666="","",INDEX('TMP Paste'!$B$2:$B$1601,$AS666))</f>
        <v/>
      </c>
      <c r="E666" t="str">
        <f>IF($AS666="","",Config!$B$27)</f>
        <v/>
      </c>
      <c r="F666" t="str">
        <f>IF($AS666="","",Config!$B$9)</f>
        <v/>
      </c>
      <c r="G666" t="str">
        <f>IF($AS666="","",Config!$B$10)</f>
        <v/>
      </c>
      <c r="H666" t="str">
        <f>IF($AS666="","",Config!$B$11)</f>
        <v/>
      </c>
      <c r="I666" t="str">
        <f>IF($AS666="","",Config!$B$16)</f>
        <v/>
      </c>
      <c r="J666" t="str">
        <f>IF($AS666="","",INDEX('TMP Paste'!$A$2:$A$1601,$AS666))</f>
        <v/>
      </c>
      <c r="K666" t="str">
        <f>IF($AS666="","",INDEX('TMP Paste'!$L$2:$L$1601,$AS666))</f>
        <v/>
      </c>
      <c r="L666" t="str">
        <f>IF($AS666="","",INDEX('TMP Paste'!$I$2:$I$1601,$AS666))</f>
        <v/>
      </c>
      <c r="M666" t="str">
        <f>IF($AS666="","",Config!$B$16)</f>
        <v/>
      </c>
      <c r="N666" t="str">
        <f t="shared" si="60"/>
        <v/>
      </c>
      <c r="O666" t="str">
        <f>IF($AS666="","",INDEX('TMP Paste'!$K$2:$K$1601,$AS666))</f>
        <v/>
      </c>
      <c r="P666" t="str">
        <f t="shared" si="61"/>
        <v/>
      </c>
      <c r="Q666" t="str">
        <f>IF($AS666="","",INDEX('TMP Paste'!$J$2:$J$1601,$AS666))</f>
        <v/>
      </c>
      <c r="R666" t="str">
        <f>IF($AS666="","",Config!$B$24)</f>
        <v/>
      </c>
      <c r="S666" t="str">
        <f ca="1">IF($AS666="","",TEXT(Config!$B$4,"yyyy-mm-dd"))</f>
        <v/>
      </c>
      <c r="T666" t="str">
        <f>IF($AS666="","",Config!$B$17)</f>
        <v/>
      </c>
      <c r="U666" t="str">
        <f>IF($AS666="","",Config!$B$18)</f>
        <v/>
      </c>
      <c r="V666" t="str">
        <f>IF($AS666="","",Config!$B$19)</f>
        <v/>
      </c>
      <c r="W666" t="str">
        <f>IF($AS666="","",INDEX('TMP Paste'!$C$2:$C$1601,$AS666))</f>
        <v/>
      </c>
      <c r="X666" t="str">
        <f>IF($AS666="","",Config!$B$29)</f>
        <v/>
      </c>
      <c r="Y666" t="str">
        <f>IF($AT666="","",INDEX(Calc!$I$2:$I$1601,$AT666)&amp;" - "&amp;INDEX(Calc!$D$2:$D$1601,$AT666)&amp;" koli")</f>
        <v/>
      </c>
      <c r="Z666" t="str">
        <f>IF($AS666="","",Config!$B$21)</f>
        <v/>
      </c>
      <c r="AA666" t="str">
        <f>IF($AS666="","",Config!$B$22)</f>
        <v/>
      </c>
      <c r="AB666" t="str">
        <f>IF($AT666="","",INDEX(Calc!$D$2:$D$1601,$AT666))</f>
        <v/>
      </c>
      <c r="AC666" t="str">
        <f>IF($AT666="","",INDEX(Calc!$G$2:$G$1601,$AT666))</f>
        <v/>
      </c>
      <c r="AD666" t="str">
        <f>IF($AS666="","",Config!$B$23)</f>
        <v/>
      </c>
      <c r="AE666" t="str">
        <f>IF($AS666="","",Config!$B$28)</f>
        <v/>
      </c>
      <c r="AF666" t="str">
        <f t="shared" si="62"/>
        <v/>
      </c>
      <c r="AG666" t="str">
        <f t="shared" si="63"/>
        <v/>
      </c>
      <c r="AH666" t="str">
        <f t="shared" si="64"/>
        <v/>
      </c>
      <c r="AI666" t="str">
        <f>IF($AG666="","",SUMIF($AG$2:$AG666,$AG666,$AH$2:$AH666))</f>
        <v/>
      </c>
      <c r="AJ666" t="str">
        <f>IF('TMP Paste'!$F666="","",IF('TMP Paste'!$B666="",$AJ665,'TMP Paste'!$B666))</f>
        <v/>
      </c>
      <c r="AK666" t="str">
        <f>IF('TMP Paste'!$F666="","",N('TMP Paste'!$G666))</f>
        <v/>
      </c>
      <c r="AL666" t="str">
        <f>IF('TMP Paste'!$F666="","",IF('TMP Paste'!$M666="",$AL665,'TMP Paste'!$M666))</f>
        <v/>
      </c>
      <c r="AM666" t="str">
        <f>IF('TMP Paste'!$F666="","",IF('TMP Paste'!$N666="",$AM665,'TMP Paste'!$N666))</f>
        <v/>
      </c>
      <c r="AN666" t="str">
        <f>IF('TMP Paste'!$F666="","",IF('TMP Paste'!$O666="",$AN665,'TMP Paste'!$O666))</f>
        <v/>
      </c>
      <c r="AO666" t="str">
        <f>IF('TMP Paste'!$F666="","",IF('TMP Paste'!$P666="",$AO665,'TMP Paste'!$P666))</f>
        <v/>
      </c>
      <c r="AP666" t="str">
        <f t="shared" si="65"/>
        <v/>
      </c>
      <c r="AQ666" t="str">
        <f>IF($AS666="","",TRIM(IF(COUNTIFS(Calc!$B$2:$B$1601,ROW()-1,Calc!$C$2:$C$1601,"&lt;1")&gt;0,"Ada PO tanpa Koli - cek TMP. ","")&amp;IF(OR($AU666="",$AU666&lt;=0),"Volume kosong/0 - dimensi dikosongkan. ","")&amp;IF(AND($AU666&lt;&gt;"",$AU666&gt;=1000000),"Volume &gt;= 1.000.000 cm3 (di luar aturan) - dimensi dikosongkan. ","")&amp;IF(LEN($R666)&gt;500,"R &gt; 500 karakter.","")))</f>
        <v/>
      </c>
      <c r="AS666" t="str">
        <f>IFERROR(MATCH(ROW()-1,Calc!$J$2:$J$1601,0),"")</f>
        <v/>
      </c>
      <c r="AT666" t="str">
        <f>IFERROR(MATCH(ROW()-1,Calc!$K$2:$K$1601,0),"")</f>
        <v/>
      </c>
      <c r="AU666" t="str">
        <f>IF($AS666="","",IFERROR(INDEX('TMP Paste'!$D$2:$D$1601,$AS666)*1000000/$AB666,""))</f>
        <v/>
      </c>
    </row>
    <row r="667" spans="1:47">
      <c r="A667" t="str">
        <f>IF($AS667="","",INDEX('TMP Paste'!$B$2:$B$1601,$AS667))</f>
        <v/>
      </c>
      <c r="B667" t="str">
        <f>IF($AS667="","",Config!$B$14)</f>
        <v/>
      </c>
      <c r="C667" t="str">
        <f>IF($AS667="","",Config!$B$15)</f>
        <v/>
      </c>
      <c r="D667" t="str">
        <f>IF($AS667="","",INDEX('TMP Paste'!$B$2:$B$1601,$AS667))</f>
        <v/>
      </c>
      <c r="E667" t="str">
        <f>IF($AS667="","",Config!$B$27)</f>
        <v/>
      </c>
      <c r="F667" t="str">
        <f>IF($AS667="","",Config!$B$9)</f>
        <v/>
      </c>
      <c r="G667" t="str">
        <f>IF($AS667="","",Config!$B$10)</f>
        <v/>
      </c>
      <c r="H667" t="str">
        <f>IF($AS667="","",Config!$B$11)</f>
        <v/>
      </c>
      <c r="I667" t="str">
        <f>IF($AS667="","",Config!$B$16)</f>
        <v/>
      </c>
      <c r="J667" t="str">
        <f>IF($AS667="","",INDEX('TMP Paste'!$A$2:$A$1601,$AS667))</f>
        <v/>
      </c>
      <c r="K667" t="str">
        <f>IF($AS667="","",INDEX('TMP Paste'!$L$2:$L$1601,$AS667))</f>
        <v/>
      </c>
      <c r="L667" t="str">
        <f>IF($AS667="","",INDEX('TMP Paste'!$I$2:$I$1601,$AS667))</f>
        <v/>
      </c>
      <c r="M667" t="str">
        <f>IF($AS667="","",Config!$B$16)</f>
        <v/>
      </c>
      <c r="N667" t="str">
        <f t="shared" si="60"/>
        <v/>
      </c>
      <c r="O667" t="str">
        <f>IF($AS667="","",INDEX('TMP Paste'!$K$2:$K$1601,$AS667))</f>
        <v/>
      </c>
      <c r="P667" t="str">
        <f t="shared" si="61"/>
        <v/>
      </c>
      <c r="Q667" t="str">
        <f>IF($AS667="","",INDEX('TMP Paste'!$J$2:$J$1601,$AS667))</f>
        <v/>
      </c>
      <c r="R667" t="str">
        <f>IF($AS667="","",Config!$B$24)</f>
        <v/>
      </c>
      <c r="S667" t="str">
        <f ca="1">IF($AS667="","",TEXT(Config!$B$4,"yyyy-mm-dd"))</f>
        <v/>
      </c>
      <c r="T667" t="str">
        <f>IF($AS667="","",Config!$B$17)</f>
        <v/>
      </c>
      <c r="U667" t="str">
        <f>IF($AS667="","",Config!$B$18)</f>
        <v/>
      </c>
      <c r="V667" t="str">
        <f>IF($AS667="","",Config!$B$19)</f>
        <v/>
      </c>
      <c r="W667" t="str">
        <f>IF($AS667="","",INDEX('TMP Paste'!$C$2:$C$1601,$AS667))</f>
        <v/>
      </c>
      <c r="X667" t="str">
        <f>IF($AS667="","",Config!$B$29)</f>
        <v/>
      </c>
      <c r="Y667" t="str">
        <f>IF($AT667="","",INDEX(Calc!$I$2:$I$1601,$AT667)&amp;" - "&amp;INDEX(Calc!$D$2:$D$1601,$AT667)&amp;" koli")</f>
        <v/>
      </c>
      <c r="Z667" t="str">
        <f>IF($AS667="","",Config!$B$21)</f>
        <v/>
      </c>
      <c r="AA667" t="str">
        <f>IF($AS667="","",Config!$B$22)</f>
        <v/>
      </c>
      <c r="AB667" t="str">
        <f>IF($AT667="","",INDEX(Calc!$D$2:$D$1601,$AT667))</f>
        <v/>
      </c>
      <c r="AC667" t="str">
        <f>IF($AT667="","",INDEX(Calc!$G$2:$G$1601,$AT667))</f>
        <v/>
      </c>
      <c r="AD667" t="str">
        <f>IF($AS667="","",Config!$B$23)</f>
        <v/>
      </c>
      <c r="AE667" t="str">
        <f>IF($AS667="","",Config!$B$28)</f>
        <v/>
      </c>
      <c r="AF667" t="str">
        <f t="shared" si="62"/>
        <v/>
      </c>
      <c r="AG667" t="str">
        <f t="shared" si="63"/>
        <v/>
      </c>
      <c r="AH667" t="str">
        <f t="shared" si="64"/>
        <v/>
      </c>
      <c r="AI667" t="str">
        <f>IF($AG667="","",SUMIF($AG$2:$AG667,$AG667,$AH$2:$AH667))</f>
        <v/>
      </c>
      <c r="AJ667" t="str">
        <f>IF('TMP Paste'!$F667="","",IF('TMP Paste'!$B667="",$AJ666,'TMP Paste'!$B667))</f>
        <v/>
      </c>
      <c r="AK667" t="str">
        <f>IF('TMP Paste'!$F667="","",N('TMP Paste'!$G667))</f>
        <v/>
      </c>
      <c r="AL667" t="str">
        <f>IF('TMP Paste'!$F667="","",IF('TMP Paste'!$M667="",$AL666,'TMP Paste'!$M667))</f>
        <v/>
      </c>
      <c r="AM667" t="str">
        <f>IF('TMP Paste'!$F667="","",IF('TMP Paste'!$N667="",$AM666,'TMP Paste'!$N667))</f>
        <v/>
      </c>
      <c r="AN667" t="str">
        <f>IF('TMP Paste'!$F667="","",IF('TMP Paste'!$O667="",$AN666,'TMP Paste'!$O667))</f>
        <v/>
      </c>
      <c r="AO667" t="str">
        <f>IF('TMP Paste'!$F667="","",IF('TMP Paste'!$P667="",$AO666,'TMP Paste'!$P667))</f>
        <v/>
      </c>
      <c r="AP667" t="str">
        <f t="shared" si="65"/>
        <v/>
      </c>
      <c r="AQ667" t="str">
        <f>IF($AS667="","",TRIM(IF(COUNTIFS(Calc!$B$2:$B$1601,ROW()-1,Calc!$C$2:$C$1601,"&lt;1")&gt;0,"Ada PO tanpa Koli - cek TMP. ","")&amp;IF(OR($AU667="",$AU667&lt;=0),"Volume kosong/0 - dimensi dikosongkan. ","")&amp;IF(AND($AU667&lt;&gt;"",$AU667&gt;=1000000),"Volume &gt;= 1.000.000 cm3 (di luar aturan) - dimensi dikosongkan. ","")&amp;IF(LEN($R667)&gt;500,"R &gt; 500 karakter.","")))</f>
        <v/>
      </c>
      <c r="AS667" t="str">
        <f>IFERROR(MATCH(ROW()-1,Calc!$J$2:$J$1601,0),"")</f>
        <v/>
      </c>
      <c r="AT667" t="str">
        <f>IFERROR(MATCH(ROW()-1,Calc!$K$2:$K$1601,0),"")</f>
        <v/>
      </c>
      <c r="AU667" t="str">
        <f>IF($AS667="","",IFERROR(INDEX('TMP Paste'!$D$2:$D$1601,$AS667)*1000000/$AB667,""))</f>
        <v/>
      </c>
    </row>
    <row r="668" spans="1:47">
      <c r="A668" t="str">
        <f>IF($AS668="","",INDEX('TMP Paste'!$B$2:$B$1601,$AS668))</f>
        <v/>
      </c>
      <c r="B668" t="str">
        <f>IF($AS668="","",Config!$B$14)</f>
        <v/>
      </c>
      <c r="C668" t="str">
        <f>IF($AS668="","",Config!$B$15)</f>
        <v/>
      </c>
      <c r="D668" t="str">
        <f>IF($AS668="","",INDEX('TMP Paste'!$B$2:$B$1601,$AS668))</f>
        <v/>
      </c>
      <c r="E668" t="str">
        <f>IF($AS668="","",Config!$B$27)</f>
        <v/>
      </c>
      <c r="F668" t="str">
        <f>IF($AS668="","",Config!$B$9)</f>
        <v/>
      </c>
      <c r="G668" t="str">
        <f>IF($AS668="","",Config!$B$10)</f>
        <v/>
      </c>
      <c r="H668" t="str">
        <f>IF($AS668="","",Config!$B$11)</f>
        <v/>
      </c>
      <c r="I668" t="str">
        <f>IF($AS668="","",Config!$B$16)</f>
        <v/>
      </c>
      <c r="J668" t="str">
        <f>IF($AS668="","",INDEX('TMP Paste'!$A$2:$A$1601,$AS668))</f>
        <v/>
      </c>
      <c r="K668" t="str">
        <f>IF($AS668="","",INDEX('TMP Paste'!$L$2:$L$1601,$AS668))</f>
        <v/>
      </c>
      <c r="L668" t="str">
        <f>IF($AS668="","",INDEX('TMP Paste'!$I$2:$I$1601,$AS668))</f>
        <v/>
      </c>
      <c r="M668" t="str">
        <f>IF($AS668="","",Config!$B$16)</f>
        <v/>
      </c>
      <c r="N668" t="str">
        <f t="shared" si="60"/>
        <v/>
      </c>
      <c r="O668" t="str">
        <f>IF($AS668="","",INDEX('TMP Paste'!$K$2:$K$1601,$AS668))</f>
        <v/>
      </c>
      <c r="P668" t="str">
        <f t="shared" si="61"/>
        <v/>
      </c>
      <c r="Q668" t="str">
        <f>IF($AS668="","",INDEX('TMP Paste'!$J$2:$J$1601,$AS668))</f>
        <v/>
      </c>
      <c r="R668" t="str">
        <f>IF($AS668="","",Config!$B$24)</f>
        <v/>
      </c>
      <c r="S668" t="str">
        <f ca="1">IF($AS668="","",TEXT(Config!$B$4,"yyyy-mm-dd"))</f>
        <v/>
      </c>
      <c r="T668" t="str">
        <f>IF($AS668="","",Config!$B$17)</f>
        <v/>
      </c>
      <c r="U668" t="str">
        <f>IF($AS668="","",Config!$B$18)</f>
        <v/>
      </c>
      <c r="V668" t="str">
        <f>IF($AS668="","",Config!$B$19)</f>
        <v/>
      </c>
      <c r="W668" t="str">
        <f>IF($AS668="","",INDEX('TMP Paste'!$C$2:$C$1601,$AS668))</f>
        <v/>
      </c>
      <c r="X668" t="str">
        <f>IF($AS668="","",Config!$B$29)</f>
        <v/>
      </c>
      <c r="Y668" t="str">
        <f>IF($AT668="","",INDEX(Calc!$I$2:$I$1601,$AT668)&amp;" - "&amp;INDEX(Calc!$D$2:$D$1601,$AT668)&amp;" koli")</f>
        <v/>
      </c>
      <c r="Z668" t="str">
        <f>IF($AS668="","",Config!$B$21)</f>
        <v/>
      </c>
      <c r="AA668" t="str">
        <f>IF($AS668="","",Config!$B$22)</f>
        <v/>
      </c>
      <c r="AB668" t="str">
        <f>IF($AT668="","",INDEX(Calc!$D$2:$D$1601,$AT668))</f>
        <v/>
      </c>
      <c r="AC668" t="str">
        <f>IF($AT668="","",INDEX(Calc!$G$2:$G$1601,$AT668))</f>
        <v/>
      </c>
      <c r="AD668" t="str">
        <f>IF($AS668="","",Config!$B$23)</f>
        <v/>
      </c>
      <c r="AE668" t="str">
        <f>IF($AS668="","",Config!$B$28)</f>
        <v/>
      </c>
      <c r="AF668" t="str">
        <f t="shared" si="62"/>
        <v/>
      </c>
      <c r="AG668" t="str">
        <f t="shared" si="63"/>
        <v/>
      </c>
      <c r="AH668" t="str">
        <f t="shared" si="64"/>
        <v/>
      </c>
      <c r="AI668" t="str">
        <f>IF($AG668="","",SUMIF($AG$2:$AG668,$AG668,$AH$2:$AH668))</f>
        <v/>
      </c>
      <c r="AJ668" t="str">
        <f>IF('TMP Paste'!$F668="","",IF('TMP Paste'!$B668="",$AJ667,'TMP Paste'!$B668))</f>
        <v/>
      </c>
      <c r="AK668" t="str">
        <f>IF('TMP Paste'!$F668="","",N('TMP Paste'!$G668))</f>
        <v/>
      </c>
      <c r="AL668" t="str">
        <f>IF('TMP Paste'!$F668="","",IF('TMP Paste'!$M668="",$AL667,'TMP Paste'!$M668))</f>
        <v/>
      </c>
      <c r="AM668" t="str">
        <f>IF('TMP Paste'!$F668="","",IF('TMP Paste'!$N668="",$AM667,'TMP Paste'!$N668))</f>
        <v/>
      </c>
      <c r="AN668" t="str">
        <f>IF('TMP Paste'!$F668="","",IF('TMP Paste'!$O668="",$AN667,'TMP Paste'!$O668))</f>
        <v/>
      </c>
      <c r="AO668" t="str">
        <f>IF('TMP Paste'!$F668="","",IF('TMP Paste'!$P668="",$AO667,'TMP Paste'!$P668))</f>
        <v/>
      </c>
      <c r="AP668" t="str">
        <f t="shared" si="65"/>
        <v/>
      </c>
      <c r="AQ668" t="str">
        <f>IF($AS668="","",TRIM(IF(COUNTIFS(Calc!$B$2:$B$1601,ROW()-1,Calc!$C$2:$C$1601,"&lt;1")&gt;0,"Ada PO tanpa Koli - cek TMP. ","")&amp;IF(OR($AU668="",$AU668&lt;=0),"Volume kosong/0 - dimensi dikosongkan. ","")&amp;IF(AND($AU668&lt;&gt;"",$AU668&gt;=1000000),"Volume &gt;= 1.000.000 cm3 (di luar aturan) - dimensi dikosongkan. ","")&amp;IF(LEN($R668)&gt;500,"R &gt; 500 karakter.","")))</f>
        <v/>
      </c>
      <c r="AS668" t="str">
        <f>IFERROR(MATCH(ROW()-1,Calc!$J$2:$J$1601,0),"")</f>
        <v/>
      </c>
      <c r="AT668" t="str">
        <f>IFERROR(MATCH(ROW()-1,Calc!$K$2:$K$1601,0),"")</f>
        <v/>
      </c>
      <c r="AU668" t="str">
        <f>IF($AS668="","",IFERROR(INDEX('TMP Paste'!$D$2:$D$1601,$AS668)*1000000/$AB668,""))</f>
        <v/>
      </c>
    </row>
    <row r="669" spans="1:47">
      <c r="A669" t="str">
        <f>IF($AS669="","",INDEX('TMP Paste'!$B$2:$B$1601,$AS669))</f>
        <v/>
      </c>
      <c r="B669" t="str">
        <f>IF($AS669="","",Config!$B$14)</f>
        <v/>
      </c>
      <c r="C669" t="str">
        <f>IF($AS669="","",Config!$B$15)</f>
        <v/>
      </c>
      <c r="D669" t="str">
        <f>IF($AS669="","",INDEX('TMP Paste'!$B$2:$B$1601,$AS669))</f>
        <v/>
      </c>
      <c r="E669" t="str">
        <f>IF($AS669="","",Config!$B$27)</f>
        <v/>
      </c>
      <c r="F669" t="str">
        <f>IF($AS669="","",Config!$B$9)</f>
        <v/>
      </c>
      <c r="G669" t="str">
        <f>IF($AS669="","",Config!$B$10)</f>
        <v/>
      </c>
      <c r="H669" t="str">
        <f>IF($AS669="","",Config!$B$11)</f>
        <v/>
      </c>
      <c r="I669" t="str">
        <f>IF($AS669="","",Config!$B$16)</f>
        <v/>
      </c>
      <c r="J669" t="str">
        <f>IF($AS669="","",INDEX('TMP Paste'!$A$2:$A$1601,$AS669))</f>
        <v/>
      </c>
      <c r="K669" t="str">
        <f>IF($AS669="","",INDEX('TMP Paste'!$L$2:$L$1601,$AS669))</f>
        <v/>
      </c>
      <c r="L669" t="str">
        <f>IF($AS669="","",INDEX('TMP Paste'!$I$2:$I$1601,$AS669))</f>
        <v/>
      </c>
      <c r="M669" t="str">
        <f>IF($AS669="","",Config!$B$16)</f>
        <v/>
      </c>
      <c r="N669" t="str">
        <f t="shared" si="60"/>
        <v/>
      </c>
      <c r="O669" t="str">
        <f>IF($AS669="","",INDEX('TMP Paste'!$K$2:$K$1601,$AS669))</f>
        <v/>
      </c>
      <c r="P669" t="str">
        <f t="shared" si="61"/>
        <v/>
      </c>
      <c r="Q669" t="str">
        <f>IF($AS669="","",INDEX('TMP Paste'!$J$2:$J$1601,$AS669))</f>
        <v/>
      </c>
      <c r="R669" t="str">
        <f>IF($AS669="","",Config!$B$24)</f>
        <v/>
      </c>
      <c r="S669" t="str">
        <f ca="1">IF($AS669="","",TEXT(Config!$B$4,"yyyy-mm-dd"))</f>
        <v/>
      </c>
      <c r="T669" t="str">
        <f>IF($AS669="","",Config!$B$17)</f>
        <v/>
      </c>
      <c r="U669" t="str">
        <f>IF($AS669="","",Config!$B$18)</f>
        <v/>
      </c>
      <c r="V669" t="str">
        <f>IF($AS669="","",Config!$B$19)</f>
        <v/>
      </c>
      <c r="W669" t="str">
        <f>IF($AS669="","",INDEX('TMP Paste'!$C$2:$C$1601,$AS669))</f>
        <v/>
      </c>
      <c r="X669" t="str">
        <f>IF($AS669="","",Config!$B$29)</f>
        <v/>
      </c>
      <c r="Y669" t="str">
        <f>IF($AT669="","",INDEX(Calc!$I$2:$I$1601,$AT669)&amp;" - "&amp;INDEX(Calc!$D$2:$D$1601,$AT669)&amp;" koli")</f>
        <v/>
      </c>
      <c r="Z669" t="str">
        <f>IF($AS669="","",Config!$B$21)</f>
        <v/>
      </c>
      <c r="AA669" t="str">
        <f>IF($AS669="","",Config!$B$22)</f>
        <v/>
      </c>
      <c r="AB669" t="str">
        <f>IF($AT669="","",INDEX(Calc!$D$2:$D$1601,$AT669))</f>
        <v/>
      </c>
      <c r="AC669" t="str">
        <f>IF($AT669="","",INDEX(Calc!$G$2:$G$1601,$AT669))</f>
        <v/>
      </c>
      <c r="AD669" t="str">
        <f>IF($AS669="","",Config!$B$23)</f>
        <v/>
      </c>
      <c r="AE669" t="str">
        <f>IF($AS669="","",Config!$B$28)</f>
        <v/>
      </c>
      <c r="AF669" t="str">
        <f t="shared" si="62"/>
        <v/>
      </c>
      <c r="AG669" t="str">
        <f t="shared" si="63"/>
        <v/>
      </c>
      <c r="AH669" t="str">
        <f t="shared" si="64"/>
        <v/>
      </c>
      <c r="AI669" t="str">
        <f>IF($AG669="","",SUMIF($AG$2:$AG669,$AG669,$AH$2:$AH669))</f>
        <v/>
      </c>
      <c r="AJ669" t="str">
        <f>IF('TMP Paste'!$F669="","",IF('TMP Paste'!$B669="",$AJ668,'TMP Paste'!$B669))</f>
        <v/>
      </c>
      <c r="AK669" t="str">
        <f>IF('TMP Paste'!$F669="","",N('TMP Paste'!$G669))</f>
        <v/>
      </c>
      <c r="AL669" t="str">
        <f>IF('TMP Paste'!$F669="","",IF('TMP Paste'!$M669="",$AL668,'TMP Paste'!$M669))</f>
        <v/>
      </c>
      <c r="AM669" t="str">
        <f>IF('TMP Paste'!$F669="","",IF('TMP Paste'!$N669="",$AM668,'TMP Paste'!$N669))</f>
        <v/>
      </c>
      <c r="AN669" t="str">
        <f>IF('TMP Paste'!$F669="","",IF('TMP Paste'!$O669="",$AN668,'TMP Paste'!$O669))</f>
        <v/>
      </c>
      <c r="AO669" t="str">
        <f>IF('TMP Paste'!$F669="","",IF('TMP Paste'!$P669="",$AO668,'TMP Paste'!$P669))</f>
        <v/>
      </c>
      <c r="AP669" t="str">
        <f t="shared" si="65"/>
        <v/>
      </c>
      <c r="AQ669" t="str">
        <f>IF($AS669="","",TRIM(IF(COUNTIFS(Calc!$B$2:$B$1601,ROW()-1,Calc!$C$2:$C$1601,"&lt;1")&gt;0,"Ada PO tanpa Koli - cek TMP. ","")&amp;IF(OR($AU669="",$AU669&lt;=0),"Volume kosong/0 - dimensi dikosongkan. ","")&amp;IF(AND($AU669&lt;&gt;"",$AU669&gt;=1000000),"Volume &gt;= 1.000.000 cm3 (di luar aturan) - dimensi dikosongkan. ","")&amp;IF(LEN($R669)&gt;500,"R &gt; 500 karakter.","")))</f>
        <v/>
      </c>
      <c r="AS669" t="str">
        <f>IFERROR(MATCH(ROW()-1,Calc!$J$2:$J$1601,0),"")</f>
        <v/>
      </c>
      <c r="AT669" t="str">
        <f>IFERROR(MATCH(ROW()-1,Calc!$K$2:$K$1601,0),"")</f>
        <v/>
      </c>
      <c r="AU669" t="str">
        <f>IF($AS669="","",IFERROR(INDEX('TMP Paste'!$D$2:$D$1601,$AS669)*1000000/$AB669,""))</f>
        <v/>
      </c>
    </row>
    <row r="670" spans="1:47">
      <c r="A670" t="str">
        <f>IF($AS670="","",INDEX('TMP Paste'!$B$2:$B$1601,$AS670))</f>
        <v/>
      </c>
      <c r="B670" t="str">
        <f>IF($AS670="","",Config!$B$14)</f>
        <v/>
      </c>
      <c r="C670" t="str">
        <f>IF($AS670="","",Config!$B$15)</f>
        <v/>
      </c>
      <c r="D670" t="str">
        <f>IF($AS670="","",INDEX('TMP Paste'!$B$2:$B$1601,$AS670))</f>
        <v/>
      </c>
      <c r="E670" t="str">
        <f>IF($AS670="","",Config!$B$27)</f>
        <v/>
      </c>
      <c r="F670" t="str">
        <f>IF($AS670="","",Config!$B$9)</f>
        <v/>
      </c>
      <c r="G670" t="str">
        <f>IF($AS670="","",Config!$B$10)</f>
        <v/>
      </c>
      <c r="H670" t="str">
        <f>IF($AS670="","",Config!$B$11)</f>
        <v/>
      </c>
      <c r="I670" t="str">
        <f>IF($AS670="","",Config!$B$16)</f>
        <v/>
      </c>
      <c r="J670" t="str">
        <f>IF($AS670="","",INDEX('TMP Paste'!$A$2:$A$1601,$AS670))</f>
        <v/>
      </c>
      <c r="K670" t="str">
        <f>IF($AS670="","",INDEX('TMP Paste'!$L$2:$L$1601,$AS670))</f>
        <v/>
      </c>
      <c r="L670" t="str">
        <f>IF($AS670="","",INDEX('TMP Paste'!$I$2:$I$1601,$AS670))</f>
        <v/>
      </c>
      <c r="M670" t="str">
        <f>IF($AS670="","",Config!$B$16)</f>
        <v/>
      </c>
      <c r="N670" t="str">
        <f t="shared" si="60"/>
        <v/>
      </c>
      <c r="O670" t="str">
        <f>IF($AS670="","",INDEX('TMP Paste'!$K$2:$K$1601,$AS670))</f>
        <v/>
      </c>
      <c r="P670" t="str">
        <f t="shared" si="61"/>
        <v/>
      </c>
      <c r="Q670" t="str">
        <f>IF($AS670="","",INDEX('TMP Paste'!$J$2:$J$1601,$AS670))</f>
        <v/>
      </c>
      <c r="R670" t="str">
        <f>IF($AS670="","",Config!$B$24)</f>
        <v/>
      </c>
      <c r="S670" t="str">
        <f ca="1">IF($AS670="","",TEXT(Config!$B$4,"yyyy-mm-dd"))</f>
        <v/>
      </c>
      <c r="T670" t="str">
        <f>IF($AS670="","",Config!$B$17)</f>
        <v/>
      </c>
      <c r="U670" t="str">
        <f>IF($AS670="","",Config!$B$18)</f>
        <v/>
      </c>
      <c r="V670" t="str">
        <f>IF($AS670="","",Config!$B$19)</f>
        <v/>
      </c>
      <c r="W670" t="str">
        <f>IF($AS670="","",INDEX('TMP Paste'!$C$2:$C$1601,$AS670))</f>
        <v/>
      </c>
      <c r="X670" t="str">
        <f>IF($AS670="","",Config!$B$29)</f>
        <v/>
      </c>
      <c r="Y670" t="str">
        <f>IF($AT670="","",INDEX(Calc!$I$2:$I$1601,$AT670)&amp;" - "&amp;INDEX(Calc!$D$2:$D$1601,$AT670)&amp;" koli")</f>
        <v/>
      </c>
      <c r="Z670" t="str">
        <f>IF($AS670="","",Config!$B$21)</f>
        <v/>
      </c>
      <c r="AA670" t="str">
        <f>IF($AS670="","",Config!$B$22)</f>
        <v/>
      </c>
      <c r="AB670" t="str">
        <f>IF($AT670="","",INDEX(Calc!$D$2:$D$1601,$AT670))</f>
        <v/>
      </c>
      <c r="AC670" t="str">
        <f>IF($AT670="","",INDEX(Calc!$G$2:$G$1601,$AT670))</f>
        <v/>
      </c>
      <c r="AD670" t="str">
        <f>IF($AS670="","",Config!$B$23)</f>
        <v/>
      </c>
      <c r="AE670" t="str">
        <f>IF($AS670="","",Config!$B$28)</f>
        <v/>
      </c>
      <c r="AF670" t="str">
        <f t="shared" si="62"/>
        <v/>
      </c>
      <c r="AG670" t="str">
        <f t="shared" si="63"/>
        <v/>
      </c>
      <c r="AH670" t="str">
        <f t="shared" si="64"/>
        <v/>
      </c>
      <c r="AI670" t="str">
        <f>IF($AG670="","",SUMIF($AG$2:$AG670,$AG670,$AH$2:$AH670))</f>
        <v/>
      </c>
      <c r="AJ670" t="str">
        <f>IF('TMP Paste'!$F670="","",IF('TMP Paste'!$B670="",$AJ669,'TMP Paste'!$B670))</f>
        <v/>
      </c>
      <c r="AK670" t="str">
        <f>IF('TMP Paste'!$F670="","",N('TMP Paste'!$G670))</f>
        <v/>
      </c>
      <c r="AL670" t="str">
        <f>IF('TMP Paste'!$F670="","",IF('TMP Paste'!$M670="",$AL669,'TMP Paste'!$M670))</f>
        <v/>
      </c>
      <c r="AM670" t="str">
        <f>IF('TMP Paste'!$F670="","",IF('TMP Paste'!$N670="",$AM669,'TMP Paste'!$N670))</f>
        <v/>
      </c>
      <c r="AN670" t="str">
        <f>IF('TMP Paste'!$F670="","",IF('TMP Paste'!$O670="",$AN669,'TMP Paste'!$O670))</f>
        <v/>
      </c>
      <c r="AO670" t="str">
        <f>IF('TMP Paste'!$F670="","",IF('TMP Paste'!$P670="",$AO669,'TMP Paste'!$P670))</f>
        <v/>
      </c>
      <c r="AP670" t="str">
        <f t="shared" si="65"/>
        <v/>
      </c>
      <c r="AQ670" t="str">
        <f>IF($AS670="","",TRIM(IF(COUNTIFS(Calc!$B$2:$B$1601,ROW()-1,Calc!$C$2:$C$1601,"&lt;1")&gt;0,"Ada PO tanpa Koli - cek TMP. ","")&amp;IF(OR($AU670="",$AU670&lt;=0),"Volume kosong/0 - dimensi dikosongkan. ","")&amp;IF(AND($AU670&lt;&gt;"",$AU670&gt;=1000000),"Volume &gt;= 1.000.000 cm3 (di luar aturan) - dimensi dikosongkan. ","")&amp;IF(LEN($R670)&gt;500,"R &gt; 500 karakter.","")))</f>
        <v/>
      </c>
      <c r="AS670" t="str">
        <f>IFERROR(MATCH(ROW()-1,Calc!$J$2:$J$1601,0),"")</f>
        <v/>
      </c>
      <c r="AT670" t="str">
        <f>IFERROR(MATCH(ROW()-1,Calc!$K$2:$K$1601,0),"")</f>
        <v/>
      </c>
      <c r="AU670" t="str">
        <f>IF($AS670="","",IFERROR(INDEX('TMP Paste'!$D$2:$D$1601,$AS670)*1000000/$AB670,""))</f>
        <v/>
      </c>
    </row>
    <row r="671" spans="1:47">
      <c r="A671" t="str">
        <f>IF($AS671="","",INDEX('TMP Paste'!$B$2:$B$1601,$AS671))</f>
        <v/>
      </c>
      <c r="B671" t="str">
        <f>IF($AS671="","",Config!$B$14)</f>
        <v/>
      </c>
      <c r="C671" t="str">
        <f>IF($AS671="","",Config!$B$15)</f>
        <v/>
      </c>
      <c r="D671" t="str">
        <f>IF($AS671="","",INDEX('TMP Paste'!$B$2:$B$1601,$AS671))</f>
        <v/>
      </c>
      <c r="E671" t="str">
        <f>IF($AS671="","",Config!$B$27)</f>
        <v/>
      </c>
      <c r="F671" t="str">
        <f>IF($AS671="","",Config!$B$9)</f>
        <v/>
      </c>
      <c r="G671" t="str">
        <f>IF($AS671="","",Config!$B$10)</f>
        <v/>
      </c>
      <c r="H671" t="str">
        <f>IF($AS671="","",Config!$B$11)</f>
        <v/>
      </c>
      <c r="I671" t="str">
        <f>IF($AS671="","",Config!$B$16)</f>
        <v/>
      </c>
      <c r="J671" t="str">
        <f>IF($AS671="","",INDEX('TMP Paste'!$A$2:$A$1601,$AS671))</f>
        <v/>
      </c>
      <c r="K671" t="str">
        <f>IF($AS671="","",INDEX('TMP Paste'!$L$2:$L$1601,$AS671))</f>
        <v/>
      </c>
      <c r="L671" t="str">
        <f>IF($AS671="","",INDEX('TMP Paste'!$I$2:$I$1601,$AS671))</f>
        <v/>
      </c>
      <c r="M671" t="str">
        <f>IF($AS671="","",Config!$B$16)</f>
        <v/>
      </c>
      <c r="N671" t="str">
        <f t="shared" si="60"/>
        <v/>
      </c>
      <c r="O671" t="str">
        <f>IF($AS671="","",INDEX('TMP Paste'!$K$2:$K$1601,$AS671))</f>
        <v/>
      </c>
      <c r="P671" t="str">
        <f t="shared" si="61"/>
        <v/>
      </c>
      <c r="Q671" t="str">
        <f>IF($AS671="","",INDEX('TMP Paste'!$J$2:$J$1601,$AS671))</f>
        <v/>
      </c>
      <c r="R671" t="str">
        <f>IF($AS671="","",Config!$B$24)</f>
        <v/>
      </c>
      <c r="S671" t="str">
        <f ca="1">IF($AS671="","",TEXT(Config!$B$4,"yyyy-mm-dd"))</f>
        <v/>
      </c>
      <c r="T671" t="str">
        <f>IF($AS671="","",Config!$B$17)</f>
        <v/>
      </c>
      <c r="U671" t="str">
        <f>IF($AS671="","",Config!$B$18)</f>
        <v/>
      </c>
      <c r="V671" t="str">
        <f>IF($AS671="","",Config!$B$19)</f>
        <v/>
      </c>
      <c r="W671" t="str">
        <f>IF($AS671="","",INDEX('TMP Paste'!$C$2:$C$1601,$AS671))</f>
        <v/>
      </c>
      <c r="X671" t="str">
        <f>IF($AS671="","",Config!$B$29)</f>
        <v/>
      </c>
      <c r="Y671" t="str">
        <f>IF($AT671="","",INDEX(Calc!$I$2:$I$1601,$AT671)&amp;" - "&amp;INDEX(Calc!$D$2:$D$1601,$AT671)&amp;" koli")</f>
        <v/>
      </c>
      <c r="Z671" t="str">
        <f>IF($AS671="","",Config!$B$21)</f>
        <v/>
      </c>
      <c r="AA671" t="str">
        <f>IF($AS671="","",Config!$B$22)</f>
        <v/>
      </c>
      <c r="AB671" t="str">
        <f>IF($AT671="","",INDEX(Calc!$D$2:$D$1601,$AT671))</f>
        <v/>
      </c>
      <c r="AC671" t="str">
        <f>IF($AT671="","",INDEX(Calc!$G$2:$G$1601,$AT671))</f>
        <v/>
      </c>
      <c r="AD671" t="str">
        <f>IF($AS671="","",Config!$B$23)</f>
        <v/>
      </c>
      <c r="AE671" t="str">
        <f>IF($AS671="","",Config!$B$28)</f>
        <v/>
      </c>
      <c r="AF671" t="str">
        <f t="shared" si="62"/>
        <v/>
      </c>
      <c r="AG671" t="str">
        <f t="shared" si="63"/>
        <v/>
      </c>
      <c r="AH671" t="str">
        <f t="shared" si="64"/>
        <v/>
      </c>
      <c r="AI671" t="str">
        <f>IF($AG671="","",SUMIF($AG$2:$AG671,$AG671,$AH$2:$AH671))</f>
        <v/>
      </c>
      <c r="AJ671" t="str">
        <f>IF('TMP Paste'!$F671="","",IF('TMP Paste'!$B671="",$AJ670,'TMP Paste'!$B671))</f>
        <v/>
      </c>
      <c r="AK671" t="str">
        <f>IF('TMP Paste'!$F671="","",N('TMP Paste'!$G671))</f>
        <v/>
      </c>
      <c r="AL671" t="str">
        <f>IF('TMP Paste'!$F671="","",IF('TMP Paste'!$M671="",$AL670,'TMP Paste'!$M671))</f>
        <v/>
      </c>
      <c r="AM671" t="str">
        <f>IF('TMP Paste'!$F671="","",IF('TMP Paste'!$N671="",$AM670,'TMP Paste'!$N671))</f>
        <v/>
      </c>
      <c r="AN671" t="str">
        <f>IF('TMP Paste'!$F671="","",IF('TMP Paste'!$O671="",$AN670,'TMP Paste'!$O671))</f>
        <v/>
      </c>
      <c r="AO671" t="str">
        <f>IF('TMP Paste'!$F671="","",IF('TMP Paste'!$P671="",$AO670,'TMP Paste'!$P671))</f>
        <v/>
      </c>
      <c r="AP671" t="str">
        <f t="shared" si="65"/>
        <v/>
      </c>
      <c r="AQ671" t="str">
        <f>IF($AS671="","",TRIM(IF(COUNTIFS(Calc!$B$2:$B$1601,ROW()-1,Calc!$C$2:$C$1601,"&lt;1")&gt;0,"Ada PO tanpa Koli - cek TMP. ","")&amp;IF(OR($AU671="",$AU671&lt;=0),"Volume kosong/0 - dimensi dikosongkan. ","")&amp;IF(AND($AU671&lt;&gt;"",$AU671&gt;=1000000),"Volume &gt;= 1.000.000 cm3 (di luar aturan) - dimensi dikosongkan. ","")&amp;IF(LEN($R671)&gt;500,"R &gt; 500 karakter.","")))</f>
        <v/>
      </c>
      <c r="AS671" t="str">
        <f>IFERROR(MATCH(ROW()-1,Calc!$J$2:$J$1601,0),"")</f>
        <v/>
      </c>
      <c r="AT671" t="str">
        <f>IFERROR(MATCH(ROW()-1,Calc!$K$2:$K$1601,0),"")</f>
        <v/>
      </c>
      <c r="AU671" t="str">
        <f>IF($AS671="","",IFERROR(INDEX('TMP Paste'!$D$2:$D$1601,$AS671)*1000000/$AB671,""))</f>
        <v/>
      </c>
    </row>
    <row r="672" spans="1:47">
      <c r="A672" t="str">
        <f>IF($AS672="","",INDEX('TMP Paste'!$B$2:$B$1601,$AS672))</f>
        <v/>
      </c>
      <c r="B672" t="str">
        <f>IF($AS672="","",Config!$B$14)</f>
        <v/>
      </c>
      <c r="C672" t="str">
        <f>IF($AS672="","",Config!$B$15)</f>
        <v/>
      </c>
      <c r="D672" t="str">
        <f>IF($AS672="","",INDEX('TMP Paste'!$B$2:$B$1601,$AS672))</f>
        <v/>
      </c>
      <c r="E672" t="str">
        <f>IF($AS672="","",Config!$B$27)</f>
        <v/>
      </c>
      <c r="F672" t="str">
        <f>IF($AS672="","",Config!$B$9)</f>
        <v/>
      </c>
      <c r="G672" t="str">
        <f>IF($AS672="","",Config!$B$10)</f>
        <v/>
      </c>
      <c r="H672" t="str">
        <f>IF($AS672="","",Config!$B$11)</f>
        <v/>
      </c>
      <c r="I672" t="str">
        <f>IF($AS672="","",Config!$B$16)</f>
        <v/>
      </c>
      <c r="J672" t="str">
        <f>IF($AS672="","",INDEX('TMP Paste'!$A$2:$A$1601,$AS672))</f>
        <v/>
      </c>
      <c r="K672" t="str">
        <f>IF($AS672="","",INDEX('TMP Paste'!$L$2:$L$1601,$AS672))</f>
        <v/>
      </c>
      <c r="L672" t="str">
        <f>IF($AS672="","",INDEX('TMP Paste'!$I$2:$I$1601,$AS672))</f>
        <v/>
      </c>
      <c r="M672" t="str">
        <f>IF($AS672="","",Config!$B$16)</f>
        <v/>
      </c>
      <c r="N672" t="str">
        <f t="shared" si="60"/>
        <v/>
      </c>
      <c r="O672" t="str">
        <f>IF($AS672="","",INDEX('TMP Paste'!$K$2:$K$1601,$AS672))</f>
        <v/>
      </c>
      <c r="P672" t="str">
        <f t="shared" si="61"/>
        <v/>
      </c>
      <c r="Q672" t="str">
        <f>IF($AS672="","",INDEX('TMP Paste'!$J$2:$J$1601,$AS672))</f>
        <v/>
      </c>
      <c r="R672" t="str">
        <f>IF($AS672="","",Config!$B$24)</f>
        <v/>
      </c>
      <c r="S672" t="str">
        <f ca="1">IF($AS672="","",TEXT(Config!$B$4,"yyyy-mm-dd"))</f>
        <v/>
      </c>
      <c r="T672" t="str">
        <f>IF($AS672="","",Config!$B$17)</f>
        <v/>
      </c>
      <c r="U672" t="str">
        <f>IF($AS672="","",Config!$B$18)</f>
        <v/>
      </c>
      <c r="V672" t="str">
        <f>IF($AS672="","",Config!$B$19)</f>
        <v/>
      </c>
      <c r="W672" t="str">
        <f>IF($AS672="","",INDEX('TMP Paste'!$C$2:$C$1601,$AS672))</f>
        <v/>
      </c>
      <c r="X672" t="str">
        <f>IF($AS672="","",Config!$B$29)</f>
        <v/>
      </c>
      <c r="Y672" t="str">
        <f>IF($AT672="","",INDEX(Calc!$I$2:$I$1601,$AT672)&amp;" - "&amp;INDEX(Calc!$D$2:$D$1601,$AT672)&amp;" koli")</f>
        <v/>
      </c>
      <c r="Z672" t="str">
        <f>IF($AS672="","",Config!$B$21)</f>
        <v/>
      </c>
      <c r="AA672" t="str">
        <f>IF($AS672="","",Config!$B$22)</f>
        <v/>
      </c>
      <c r="AB672" t="str">
        <f>IF($AT672="","",INDEX(Calc!$D$2:$D$1601,$AT672))</f>
        <v/>
      </c>
      <c r="AC672" t="str">
        <f>IF($AT672="","",INDEX(Calc!$G$2:$G$1601,$AT672))</f>
        <v/>
      </c>
      <c r="AD672" t="str">
        <f>IF($AS672="","",Config!$B$23)</f>
        <v/>
      </c>
      <c r="AE672" t="str">
        <f>IF($AS672="","",Config!$B$28)</f>
        <v/>
      </c>
      <c r="AF672" t="str">
        <f t="shared" si="62"/>
        <v/>
      </c>
      <c r="AG672" t="str">
        <f t="shared" si="63"/>
        <v/>
      </c>
      <c r="AH672" t="str">
        <f t="shared" si="64"/>
        <v/>
      </c>
      <c r="AI672" t="str">
        <f>IF($AG672="","",SUMIF($AG$2:$AG672,$AG672,$AH$2:$AH672))</f>
        <v/>
      </c>
      <c r="AJ672" t="str">
        <f>IF('TMP Paste'!$F672="","",IF('TMP Paste'!$B672="",$AJ671,'TMP Paste'!$B672))</f>
        <v/>
      </c>
      <c r="AK672" t="str">
        <f>IF('TMP Paste'!$F672="","",N('TMP Paste'!$G672))</f>
        <v/>
      </c>
      <c r="AL672" t="str">
        <f>IF('TMP Paste'!$F672="","",IF('TMP Paste'!$M672="",$AL671,'TMP Paste'!$M672))</f>
        <v/>
      </c>
      <c r="AM672" t="str">
        <f>IF('TMP Paste'!$F672="","",IF('TMP Paste'!$N672="",$AM671,'TMP Paste'!$N672))</f>
        <v/>
      </c>
      <c r="AN672" t="str">
        <f>IF('TMP Paste'!$F672="","",IF('TMP Paste'!$O672="",$AN671,'TMP Paste'!$O672))</f>
        <v/>
      </c>
      <c r="AO672" t="str">
        <f>IF('TMP Paste'!$F672="","",IF('TMP Paste'!$P672="",$AO671,'TMP Paste'!$P672))</f>
        <v/>
      </c>
      <c r="AP672" t="str">
        <f t="shared" si="65"/>
        <v/>
      </c>
      <c r="AQ672" t="str">
        <f>IF($AS672="","",TRIM(IF(COUNTIFS(Calc!$B$2:$B$1601,ROW()-1,Calc!$C$2:$C$1601,"&lt;1")&gt;0,"Ada PO tanpa Koli - cek TMP. ","")&amp;IF(OR($AU672="",$AU672&lt;=0),"Volume kosong/0 - dimensi dikosongkan. ","")&amp;IF(AND($AU672&lt;&gt;"",$AU672&gt;=1000000),"Volume &gt;= 1.000.000 cm3 (di luar aturan) - dimensi dikosongkan. ","")&amp;IF(LEN($R672)&gt;500,"R &gt; 500 karakter.","")))</f>
        <v/>
      </c>
      <c r="AS672" t="str">
        <f>IFERROR(MATCH(ROW()-1,Calc!$J$2:$J$1601,0),"")</f>
        <v/>
      </c>
      <c r="AT672" t="str">
        <f>IFERROR(MATCH(ROW()-1,Calc!$K$2:$K$1601,0),"")</f>
        <v/>
      </c>
      <c r="AU672" t="str">
        <f>IF($AS672="","",IFERROR(INDEX('TMP Paste'!$D$2:$D$1601,$AS672)*1000000/$AB672,""))</f>
        <v/>
      </c>
    </row>
    <row r="673" spans="1:47">
      <c r="A673" t="str">
        <f>IF($AS673="","",INDEX('TMP Paste'!$B$2:$B$1601,$AS673))</f>
        <v/>
      </c>
      <c r="B673" t="str">
        <f>IF($AS673="","",Config!$B$14)</f>
        <v/>
      </c>
      <c r="C673" t="str">
        <f>IF($AS673="","",Config!$B$15)</f>
        <v/>
      </c>
      <c r="D673" t="str">
        <f>IF($AS673="","",INDEX('TMP Paste'!$B$2:$B$1601,$AS673))</f>
        <v/>
      </c>
      <c r="E673" t="str">
        <f>IF($AS673="","",Config!$B$27)</f>
        <v/>
      </c>
      <c r="F673" t="str">
        <f>IF($AS673="","",Config!$B$9)</f>
        <v/>
      </c>
      <c r="G673" t="str">
        <f>IF($AS673="","",Config!$B$10)</f>
        <v/>
      </c>
      <c r="H673" t="str">
        <f>IF($AS673="","",Config!$B$11)</f>
        <v/>
      </c>
      <c r="I673" t="str">
        <f>IF($AS673="","",Config!$B$16)</f>
        <v/>
      </c>
      <c r="J673" t="str">
        <f>IF($AS673="","",INDEX('TMP Paste'!$A$2:$A$1601,$AS673))</f>
        <v/>
      </c>
      <c r="K673" t="str">
        <f>IF($AS673="","",INDEX('TMP Paste'!$L$2:$L$1601,$AS673))</f>
        <v/>
      </c>
      <c r="L673" t="str">
        <f>IF($AS673="","",INDEX('TMP Paste'!$I$2:$I$1601,$AS673))</f>
        <v/>
      </c>
      <c r="M673" t="str">
        <f>IF($AS673="","",Config!$B$16)</f>
        <v/>
      </c>
      <c r="N673" t="str">
        <f t="shared" si="60"/>
        <v/>
      </c>
      <c r="O673" t="str">
        <f>IF($AS673="","",INDEX('TMP Paste'!$K$2:$K$1601,$AS673))</f>
        <v/>
      </c>
      <c r="P673" t="str">
        <f t="shared" si="61"/>
        <v/>
      </c>
      <c r="Q673" t="str">
        <f>IF($AS673="","",INDEX('TMP Paste'!$J$2:$J$1601,$AS673))</f>
        <v/>
      </c>
      <c r="R673" t="str">
        <f>IF($AS673="","",Config!$B$24)</f>
        <v/>
      </c>
      <c r="S673" t="str">
        <f ca="1">IF($AS673="","",TEXT(Config!$B$4,"yyyy-mm-dd"))</f>
        <v/>
      </c>
      <c r="T673" t="str">
        <f>IF($AS673="","",Config!$B$17)</f>
        <v/>
      </c>
      <c r="U673" t="str">
        <f>IF($AS673="","",Config!$B$18)</f>
        <v/>
      </c>
      <c r="V673" t="str">
        <f>IF($AS673="","",Config!$B$19)</f>
        <v/>
      </c>
      <c r="W673" t="str">
        <f>IF($AS673="","",INDEX('TMP Paste'!$C$2:$C$1601,$AS673))</f>
        <v/>
      </c>
      <c r="X673" t="str">
        <f>IF($AS673="","",Config!$B$29)</f>
        <v/>
      </c>
      <c r="Y673" t="str">
        <f>IF($AT673="","",INDEX(Calc!$I$2:$I$1601,$AT673)&amp;" - "&amp;INDEX(Calc!$D$2:$D$1601,$AT673)&amp;" koli")</f>
        <v/>
      </c>
      <c r="Z673" t="str">
        <f>IF($AS673="","",Config!$B$21)</f>
        <v/>
      </c>
      <c r="AA673" t="str">
        <f>IF($AS673="","",Config!$B$22)</f>
        <v/>
      </c>
      <c r="AB673" t="str">
        <f>IF($AT673="","",INDEX(Calc!$D$2:$D$1601,$AT673))</f>
        <v/>
      </c>
      <c r="AC673" t="str">
        <f>IF($AT673="","",INDEX(Calc!$G$2:$G$1601,$AT673))</f>
        <v/>
      </c>
      <c r="AD673" t="str">
        <f>IF($AS673="","",Config!$B$23)</f>
        <v/>
      </c>
      <c r="AE673" t="str">
        <f>IF($AS673="","",Config!$B$28)</f>
        <v/>
      </c>
      <c r="AF673" t="str">
        <f t="shared" si="62"/>
        <v/>
      </c>
      <c r="AG673" t="str">
        <f t="shared" si="63"/>
        <v/>
      </c>
      <c r="AH673" t="str">
        <f t="shared" si="64"/>
        <v/>
      </c>
      <c r="AI673" t="str">
        <f>IF($AG673="","",SUMIF($AG$2:$AG673,$AG673,$AH$2:$AH673))</f>
        <v/>
      </c>
      <c r="AJ673" t="str">
        <f>IF('TMP Paste'!$F673="","",IF('TMP Paste'!$B673="",$AJ672,'TMP Paste'!$B673))</f>
        <v/>
      </c>
      <c r="AK673" t="str">
        <f>IF('TMP Paste'!$F673="","",N('TMP Paste'!$G673))</f>
        <v/>
      </c>
      <c r="AL673" t="str">
        <f>IF('TMP Paste'!$F673="","",IF('TMP Paste'!$M673="",$AL672,'TMP Paste'!$M673))</f>
        <v/>
      </c>
      <c r="AM673" t="str">
        <f>IF('TMP Paste'!$F673="","",IF('TMP Paste'!$N673="",$AM672,'TMP Paste'!$N673))</f>
        <v/>
      </c>
      <c r="AN673" t="str">
        <f>IF('TMP Paste'!$F673="","",IF('TMP Paste'!$O673="",$AN672,'TMP Paste'!$O673))</f>
        <v/>
      </c>
      <c r="AO673" t="str">
        <f>IF('TMP Paste'!$F673="","",IF('TMP Paste'!$P673="",$AO672,'TMP Paste'!$P673))</f>
        <v/>
      </c>
      <c r="AP673" t="str">
        <f t="shared" si="65"/>
        <v/>
      </c>
      <c r="AQ673" t="str">
        <f>IF($AS673="","",TRIM(IF(COUNTIFS(Calc!$B$2:$B$1601,ROW()-1,Calc!$C$2:$C$1601,"&lt;1")&gt;0,"Ada PO tanpa Koli - cek TMP. ","")&amp;IF(OR($AU673="",$AU673&lt;=0),"Volume kosong/0 - dimensi dikosongkan. ","")&amp;IF(AND($AU673&lt;&gt;"",$AU673&gt;=1000000),"Volume &gt;= 1.000.000 cm3 (di luar aturan) - dimensi dikosongkan. ","")&amp;IF(LEN($R673)&gt;500,"R &gt; 500 karakter.","")))</f>
        <v/>
      </c>
      <c r="AS673" t="str">
        <f>IFERROR(MATCH(ROW()-1,Calc!$J$2:$J$1601,0),"")</f>
        <v/>
      </c>
      <c r="AT673" t="str">
        <f>IFERROR(MATCH(ROW()-1,Calc!$K$2:$K$1601,0),"")</f>
        <v/>
      </c>
      <c r="AU673" t="str">
        <f>IF($AS673="","",IFERROR(INDEX('TMP Paste'!$D$2:$D$1601,$AS673)*1000000/$AB673,""))</f>
        <v/>
      </c>
    </row>
    <row r="674" spans="1:47">
      <c r="A674" t="str">
        <f>IF($AS674="","",INDEX('TMP Paste'!$B$2:$B$1601,$AS674))</f>
        <v/>
      </c>
      <c r="B674" t="str">
        <f>IF($AS674="","",Config!$B$14)</f>
        <v/>
      </c>
      <c r="C674" t="str">
        <f>IF($AS674="","",Config!$B$15)</f>
        <v/>
      </c>
      <c r="D674" t="str">
        <f>IF($AS674="","",INDEX('TMP Paste'!$B$2:$B$1601,$AS674))</f>
        <v/>
      </c>
      <c r="E674" t="str">
        <f>IF($AS674="","",Config!$B$27)</f>
        <v/>
      </c>
      <c r="F674" t="str">
        <f>IF($AS674="","",Config!$B$9)</f>
        <v/>
      </c>
      <c r="G674" t="str">
        <f>IF($AS674="","",Config!$B$10)</f>
        <v/>
      </c>
      <c r="H674" t="str">
        <f>IF($AS674="","",Config!$B$11)</f>
        <v/>
      </c>
      <c r="I674" t="str">
        <f>IF($AS674="","",Config!$B$16)</f>
        <v/>
      </c>
      <c r="J674" t="str">
        <f>IF($AS674="","",INDEX('TMP Paste'!$A$2:$A$1601,$AS674))</f>
        <v/>
      </c>
      <c r="K674" t="str">
        <f>IF($AS674="","",INDEX('TMP Paste'!$L$2:$L$1601,$AS674))</f>
        <v/>
      </c>
      <c r="L674" t="str">
        <f>IF($AS674="","",INDEX('TMP Paste'!$I$2:$I$1601,$AS674))</f>
        <v/>
      </c>
      <c r="M674" t="str">
        <f>IF($AS674="","",Config!$B$16)</f>
        <v/>
      </c>
      <c r="N674" t="str">
        <f t="shared" si="60"/>
        <v/>
      </c>
      <c r="O674" t="str">
        <f>IF($AS674="","",INDEX('TMP Paste'!$K$2:$K$1601,$AS674))</f>
        <v/>
      </c>
      <c r="P674" t="str">
        <f t="shared" si="61"/>
        <v/>
      </c>
      <c r="Q674" t="str">
        <f>IF($AS674="","",INDEX('TMP Paste'!$J$2:$J$1601,$AS674))</f>
        <v/>
      </c>
      <c r="R674" t="str">
        <f>IF($AS674="","",Config!$B$24)</f>
        <v/>
      </c>
      <c r="S674" t="str">
        <f ca="1">IF($AS674="","",TEXT(Config!$B$4,"yyyy-mm-dd"))</f>
        <v/>
      </c>
      <c r="T674" t="str">
        <f>IF($AS674="","",Config!$B$17)</f>
        <v/>
      </c>
      <c r="U674" t="str">
        <f>IF($AS674="","",Config!$B$18)</f>
        <v/>
      </c>
      <c r="V674" t="str">
        <f>IF($AS674="","",Config!$B$19)</f>
        <v/>
      </c>
      <c r="W674" t="str">
        <f>IF($AS674="","",INDEX('TMP Paste'!$C$2:$C$1601,$AS674))</f>
        <v/>
      </c>
      <c r="X674" t="str">
        <f>IF($AS674="","",Config!$B$29)</f>
        <v/>
      </c>
      <c r="Y674" t="str">
        <f>IF($AT674="","",INDEX(Calc!$I$2:$I$1601,$AT674)&amp;" - "&amp;INDEX(Calc!$D$2:$D$1601,$AT674)&amp;" koli")</f>
        <v/>
      </c>
      <c r="Z674" t="str">
        <f>IF($AS674="","",Config!$B$21)</f>
        <v/>
      </c>
      <c r="AA674" t="str">
        <f>IF($AS674="","",Config!$B$22)</f>
        <v/>
      </c>
      <c r="AB674" t="str">
        <f>IF($AT674="","",INDEX(Calc!$D$2:$D$1601,$AT674))</f>
        <v/>
      </c>
      <c r="AC674" t="str">
        <f>IF($AT674="","",INDEX(Calc!$G$2:$G$1601,$AT674))</f>
        <v/>
      </c>
      <c r="AD674" t="str">
        <f>IF($AS674="","",Config!$B$23)</f>
        <v/>
      </c>
      <c r="AE674" t="str">
        <f>IF($AS674="","",Config!$B$28)</f>
        <v/>
      </c>
      <c r="AF674" t="str">
        <f t="shared" si="62"/>
        <v/>
      </c>
      <c r="AG674" t="str">
        <f t="shared" si="63"/>
        <v/>
      </c>
      <c r="AH674" t="str">
        <f t="shared" si="64"/>
        <v/>
      </c>
      <c r="AI674" t="str">
        <f>IF($AG674="","",SUMIF($AG$2:$AG674,$AG674,$AH$2:$AH674))</f>
        <v/>
      </c>
      <c r="AJ674" t="str">
        <f>IF('TMP Paste'!$F674="","",IF('TMP Paste'!$B674="",$AJ673,'TMP Paste'!$B674))</f>
        <v/>
      </c>
      <c r="AK674" t="str">
        <f>IF('TMP Paste'!$F674="","",N('TMP Paste'!$G674))</f>
        <v/>
      </c>
      <c r="AL674" t="str">
        <f>IF('TMP Paste'!$F674="","",IF('TMP Paste'!$M674="",$AL673,'TMP Paste'!$M674))</f>
        <v/>
      </c>
      <c r="AM674" t="str">
        <f>IF('TMP Paste'!$F674="","",IF('TMP Paste'!$N674="",$AM673,'TMP Paste'!$N674))</f>
        <v/>
      </c>
      <c r="AN674" t="str">
        <f>IF('TMP Paste'!$F674="","",IF('TMP Paste'!$O674="",$AN673,'TMP Paste'!$O674))</f>
        <v/>
      </c>
      <c r="AO674" t="str">
        <f>IF('TMP Paste'!$F674="","",IF('TMP Paste'!$P674="",$AO673,'TMP Paste'!$P674))</f>
        <v/>
      </c>
      <c r="AP674" t="str">
        <f t="shared" si="65"/>
        <v/>
      </c>
      <c r="AQ674" t="str">
        <f>IF($AS674="","",TRIM(IF(COUNTIFS(Calc!$B$2:$B$1601,ROW()-1,Calc!$C$2:$C$1601,"&lt;1")&gt;0,"Ada PO tanpa Koli - cek TMP. ","")&amp;IF(OR($AU674="",$AU674&lt;=0),"Volume kosong/0 - dimensi dikosongkan. ","")&amp;IF(AND($AU674&lt;&gt;"",$AU674&gt;=1000000),"Volume &gt;= 1.000.000 cm3 (di luar aturan) - dimensi dikosongkan. ","")&amp;IF(LEN($R674)&gt;500,"R &gt; 500 karakter.","")))</f>
        <v/>
      </c>
      <c r="AS674" t="str">
        <f>IFERROR(MATCH(ROW()-1,Calc!$J$2:$J$1601,0),"")</f>
        <v/>
      </c>
      <c r="AT674" t="str">
        <f>IFERROR(MATCH(ROW()-1,Calc!$K$2:$K$1601,0),"")</f>
        <v/>
      </c>
      <c r="AU674" t="str">
        <f>IF($AS674="","",IFERROR(INDEX('TMP Paste'!$D$2:$D$1601,$AS674)*1000000/$AB674,""))</f>
        <v/>
      </c>
    </row>
    <row r="675" spans="1:47">
      <c r="A675" t="str">
        <f>IF($AS675="","",INDEX('TMP Paste'!$B$2:$B$1601,$AS675))</f>
        <v/>
      </c>
      <c r="B675" t="str">
        <f>IF($AS675="","",Config!$B$14)</f>
        <v/>
      </c>
      <c r="C675" t="str">
        <f>IF($AS675="","",Config!$B$15)</f>
        <v/>
      </c>
      <c r="D675" t="str">
        <f>IF($AS675="","",INDEX('TMP Paste'!$B$2:$B$1601,$AS675))</f>
        <v/>
      </c>
      <c r="E675" t="str">
        <f>IF($AS675="","",Config!$B$27)</f>
        <v/>
      </c>
      <c r="F675" t="str">
        <f>IF($AS675="","",Config!$B$9)</f>
        <v/>
      </c>
      <c r="G675" t="str">
        <f>IF($AS675="","",Config!$B$10)</f>
        <v/>
      </c>
      <c r="H675" t="str">
        <f>IF($AS675="","",Config!$B$11)</f>
        <v/>
      </c>
      <c r="I675" t="str">
        <f>IF($AS675="","",Config!$B$16)</f>
        <v/>
      </c>
      <c r="J675" t="str">
        <f>IF($AS675="","",INDEX('TMP Paste'!$A$2:$A$1601,$AS675))</f>
        <v/>
      </c>
      <c r="K675" t="str">
        <f>IF($AS675="","",INDEX('TMP Paste'!$L$2:$L$1601,$AS675))</f>
        <v/>
      </c>
      <c r="L675" t="str">
        <f>IF($AS675="","",INDEX('TMP Paste'!$I$2:$I$1601,$AS675))</f>
        <v/>
      </c>
      <c r="M675" t="str">
        <f>IF($AS675="","",Config!$B$16)</f>
        <v/>
      </c>
      <c r="N675" t="str">
        <f t="shared" si="60"/>
        <v/>
      </c>
      <c r="O675" t="str">
        <f>IF($AS675="","",INDEX('TMP Paste'!$K$2:$K$1601,$AS675))</f>
        <v/>
      </c>
      <c r="P675" t="str">
        <f t="shared" si="61"/>
        <v/>
      </c>
      <c r="Q675" t="str">
        <f>IF($AS675="","",INDEX('TMP Paste'!$J$2:$J$1601,$AS675))</f>
        <v/>
      </c>
      <c r="R675" t="str">
        <f>IF($AS675="","",Config!$B$24)</f>
        <v/>
      </c>
      <c r="S675" t="str">
        <f ca="1">IF($AS675="","",TEXT(Config!$B$4,"yyyy-mm-dd"))</f>
        <v/>
      </c>
      <c r="T675" t="str">
        <f>IF($AS675="","",Config!$B$17)</f>
        <v/>
      </c>
      <c r="U675" t="str">
        <f>IF($AS675="","",Config!$B$18)</f>
        <v/>
      </c>
      <c r="V675" t="str">
        <f>IF($AS675="","",Config!$B$19)</f>
        <v/>
      </c>
      <c r="W675" t="str">
        <f>IF($AS675="","",INDEX('TMP Paste'!$C$2:$C$1601,$AS675))</f>
        <v/>
      </c>
      <c r="X675" t="str">
        <f>IF($AS675="","",Config!$B$29)</f>
        <v/>
      </c>
      <c r="Y675" t="str">
        <f>IF($AT675="","",INDEX(Calc!$I$2:$I$1601,$AT675)&amp;" - "&amp;INDEX(Calc!$D$2:$D$1601,$AT675)&amp;" koli")</f>
        <v/>
      </c>
      <c r="Z675" t="str">
        <f>IF($AS675="","",Config!$B$21)</f>
        <v/>
      </c>
      <c r="AA675" t="str">
        <f>IF($AS675="","",Config!$B$22)</f>
        <v/>
      </c>
      <c r="AB675" t="str">
        <f>IF($AT675="","",INDEX(Calc!$D$2:$D$1601,$AT675))</f>
        <v/>
      </c>
      <c r="AC675" t="str">
        <f>IF($AT675="","",INDEX(Calc!$G$2:$G$1601,$AT675))</f>
        <v/>
      </c>
      <c r="AD675" t="str">
        <f>IF($AS675="","",Config!$B$23)</f>
        <v/>
      </c>
      <c r="AE675" t="str">
        <f>IF($AS675="","",Config!$B$28)</f>
        <v/>
      </c>
      <c r="AF675" t="str">
        <f t="shared" si="62"/>
        <v/>
      </c>
      <c r="AG675" t="str">
        <f t="shared" si="63"/>
        <v/>
      </c>
      <c r="AH675" t="str">
        <f t="shared" si="64"/>
        <v/>
      </c>
      <c r="AI675" t="str">
        <f>IF($AG675="","",SUMIF($AG$2:$AG675,$AG675,$AH$2:$AH675))</f>
        <v/>
      </c>
      <c r="AJ675" t="str">
        <f>IF('TMP Paste'!$F675="","",IF('TMP Paste'!$B675="",$AJ674,'TMP Paste'!$B675))</f>
        <v/>
      </c>
      <c r="AK675" t="str">
        <f>IF('TMP Paste'!$F675="","",N('TMP Paste'!$G675))</f>
        <v/>
      </c>
      <c r="AL675" t="str">
        <f>IF('TMP Paste'!$F675="","",IF('TMP Paste'!$M675="",$AL674,'TMP Paste'!$M675))</f>
        <v/>
      </c>
      <c r="AM675" t="str">
        <f>IF('TMP Paste'!$F675="","",IF('TMP Paste'!$N675="",$AM674,'TMP Paste'!$N675))</f>
        <v/>
      </c>
      <c r="AN675" t="str">
        <f>IF('TMP Paste'!$F675="","",IF('TMP Paste'!$O675="",$AN674,'TMP Paste'!$O675))</f>
        <v/>
      </c>
      <c r="AO675" t="str">
        <f>IF('TMP Paste'!$F675="","",IF('TMP Paste'!$P675="",$AO674,'TMP Paste'!$P675))</f>
        <v/>
      </c>
      <c r="AP675" t="str">
        <f t="shared" si="65"/>
        <v/>
      </c>
      <c r="AQ675" t="str">
        <f>IF($AS675="","",TRIM(IF(COUNTIFS(Calc!$B$2:$B$1601,ROW()-1,Calc!$C$2:$C$1601,"&lt;1")&gt;0,"Ada PO tanpa Koli - cek TMP. ","")&amp;IF(OR($AU675="",$AU675&lt;=0),"Volume kosong/0 - dimensi dikosongkan. ","")&amp;IF(AND($AU675&lt;&gt;"",$AU675&gt;=1000000),"Volume &gt;= 1.000.000 cm3 (di luar aturan) - dimensi dikosongkan. ","")&amp;IF(LEN($R675)&gt;500,"R &gt; 500 karakter.","")))</f>
        <v/>
      </c>
      <c r="AS675" t="str">
        <f>IFERROR(MATCH(ROW()-1,Calc!$J$2:$J$1601,0),"")</f>
        <v/>
      </c>
      <c r="AT675" t="str">
        <f>IFERROR(MATCH(ROW()-1,Calc!$K$2:$K$1601,0),"")</f>
        <v/>
      </c>
      <c r="AU675" t="str">
        <f>IF($AS675="","",IFERROR(INDEX('TMP Paste'!$D$2:$D$1601,$AS675)*1000000/$AB675,""))</f>
        <v/>
      </c>
    </row>
    <row r="676" spans="1:47">
      <c r="A676" t="str">
        <f>IF($AS676="","",INDEX('TMP Paste'!$B$2:$B$1601,$AS676))</f>
        <v/>
      </c>
      <c r="B676" t="str">
        <f>IF($AS676="","",Config!$B$14)</f>
        <v/>
      </c>
      <c r="C676" t="str">
        <f>IF($AS676="","",Config!$B$15)</f>
        <v/>
      </c>
      <c r="D676" t="str">
        <f>IF($AS676="","",INDEX('TMP Paste'!$B$2:$B$1601,$AS676))</f>
        <v/>
      </c>
      <c r="E676" t="str">
        <f>IF($AS676="","",Config!$B$27)</f>
        <v/>
      </c>
      <c r="F676" t="str">
        <f>IF($AS676="","",Config!$B$9)</f>
        <v/>
      </c>
      <c r="G676" t="str">
        <f>IF($AS676="","",Config!$B$10)</f>
        <v/>
      </c>
      <c r="H676" t="str">
        <f>IF($AS676="","",Config!$B$11)</f>
        <v/>
      </c>
      <c r="I676" t="str">
        <f>IF($AS676="","",Config!$B$16)</f>
        <v/>
      </c>
      <c r="J676" t="str">
        <f>IF($AS676="","",INDEX('TMP Paste'!$A$2:$A$1601,$AS676))</f>
        <v/>
      </c>
      <c r="K676" t="str">
        <f>IF($AS676="","",INDEX('TMP Paste'!$L$2:$L$1601,$AS676))</f>
        <v/>
      </c>
      <c r="L676" t="str">
        <f>IF($AS676="","",INDEX('TMP Paste'!$I$2:$I$1601,$AS676))</f>
        <v/>
      </c>
      <c r="M676" t="str">
        <f>IF($AS676="","",Config!$B$16)</f>
        <v/>
      </c>
      <c r="N676" t="str">
        <f t="shared" si="60"/>
        <v/>
      </c>
      <c r="O676" t="str">
        <f>IF($AS676="","",INDEX('TMP Paste'!$K$2:$K$1601,$AS676))</f>
        <v/>
      </c>
      <c r="P676" t="str">
        <f t="shared" si="61"/>
        <v/>
      </c>
      <c r="Q676" t="str">
        <f>IF($AS676="","",INDEX('TMP Paste'!$J$2:$J$1601,$AS676))</f>
        <v/>
      </c>
      <c r="R676" t="str">
        <f>IF($AS676="","",Config!$B$24)</f>
        <v/>
      </c>
      <c r="S676" t="str">
        <f ca="1">IF($AS676="","",TEXT(Config!$B$4,"yyyy-mm-dd"))</f>
        <v/>
      </c>
      <c r="T676" t="str">
        <f>IF($AS676="","",Config!$B$17)</f>
        <v/>
      </c>
      <c r="U676" t="str">
        <f>IF($AS676="","",Config!$B$18)</f>
        <v/>
      </c>
      <c r="V676" t="str">
        <f>IF($AS676="","",Config!$B$19)</f>
        <v/>
      </c>
      <c r="W676" t="str">
        <f>IF($AS676="","",INDEX('TMP Paste'!$C$2:$C$1601,$AS676))</f>
        <v/>
      </c>
      <c r="X676" t="str">
        <f>IF($AS676="","",Config!$B$29)</f>
        <v/>
      </c>
      <c r="Y676" t="str">
        <f>IF($AT676="","",INDEX(Calc!$I$2:$I$1601,$AT676)&amp;" - "&amp;INDEX(Calc!$D$2:$D$1601,$AT676)&amp;" koli")</f>
        <v/>
      </c>
      <c r="Z676" t="str">
        <f>IF($AS676="","",Config!$B$21)</f>
        <v/>
      </c>
      <c r="AA676" t="str">
        <f>IF($AS676="","",Config!$B$22)</f>
        <v/>
      </c>
      <c r="AB676" t="str">
        <f>IF($AT676="","",INDEX(Calc!$D$2:$D$1601,$AT676))</f>
        <v/>
      </c>
      <c r="AC676" t="str">
        <f>IF($AT676="","",INDEX(Calc!$G$2:$G$1601,$AT676))</f>
        <v/>
      </c>
      <c r="AD676" t="str">
        <f>IF($AS676="","",Config!$B$23)</f>
        <v/>
      </c>
      <c r="AE676" t="str">
        <f>IF($AS676="","",Config!$B$28)</f>
        <v/>
      </c>
      <c r="AF676" t="str">
        <f t="shared" si="62"/>
        <v/>
      </c>
      <c r="AG676" t="str">
        <f t="shared" si="63"/>
        <v/>
      </c>
      <c r="AH676" t="str">
        <f t="shared" si="64"/>
        <v/>
      </c>
      <c r="AI676" t="str">
        <f>IF($AG676="","",SUMIF($AG$2:$AG676,$AG676,$AH$2:$AH676))</f>
        <v/>
      </c>
      <c r="AJ676" t="str">
        <f>IF('TMP Paste'!$F676="","",IF('TMP Paste'!$B676="",$AJ675,'TMP Paste'!$B676))</f>
        <v/>
      </c>
      <c r="AK676" t="str">
        <f>IF('TMP Paste'!$F676="","",N('TMP Paste'!$G676))</f>
        <v/>
      </c>
      <c r="AL676" t="str">
        <f>IF('TMP Paste'!$F676="","",IF('TMP Paste'!$M676="",$AL675,'TMP Paste'!$M676))</f>
        <v/>
      </c>
      <c r="AM676" t="str">
        <f>IF('TMP Paste'!$F676="","",IF('TMP Paste'!$N676="",$AM675,'TMP Paste'!$N676))</f>
        <v/>
      </c>
      <c r="AN676" t="str">
        <f>IF('TMP Paste'!$F676="","",IF('TMP Paste'!$O676="",$AN675,'TMP Paste'!$O676))</f>
        <v/>
      </c>
      <c r="AO676" t="str">
        <f>IF('TMP Paste'!$F676="","",IF('TMP Paste'!$P676="",$AO675,'TMP Paste'!$P676))</f>
        <v/>
      </c>
      <c r="AP676" t="str">
        <f t="shared" si="65"/>
        <v/>
      </c>
      <c r="AQ676" t="str">
        <f>IF($AS676="","",TRIM(IF(COUNTIFS(Calc!$B$2:$B$1601,ROW()-1,Calc!$C$2:$C$1601,"&lt;1")&gt;0,"Ada PO tanpa Koli - cek TMP. ","")&amp;IF(OR($AU676="",$AU676&lt;=0),"Volume kosong/0 - dimensi dikosongkan. ","")&amp;IF(AND($AU676&lt;&gt;"",$AU676&gt;=1000000),"Volume &gt;= 1.000.000 cm3 (di luar aturan) - dimensi dikosongkan. ","")&amp;IF(LEN($R676)&gt;500,"R &gt; 500 karakter.","")))</f>
        <v/>
      </c>
      <c r="AS676" t="str">
        <f>IFERROR(MATCH(ROW()-1,Calc!$J$2:$J$1601,0),"")</f>
        <v/>
      </c>
      <c r="AT676" t="str">
        <f>IFERROR(MATCH(ROW()-1,Calc!$K$2:$K$1601,0),"")</f>
        <v/>
      </c>
      <c r="AU676" t="str">
        <f>IF($AS676="","",IFERROR(INDEX('TMP Paste'!$D$2:$D$1601,$AS676)*1000000/$AB676,""))</f>
        <v/>
      </c>
    </row>
    <row r="677" spans="1:47">
      <c r="A677" t="str">
        <f>IF($AS677="","",INDEX('TMP Paste'!$B$2:$B$1601,$AS677))</f>
        <v/>
      </c>
      <c r="B677" t="str">
        <f>IF($AS677="","",Config!$B$14)</f>
        <v/>
      </c>
      <c r="C677" t="str">
        <f>IF($AS677="","",Config!$B$15)</f>
        <v/>
      </c>
      <c r="D677" t="str">
        <f>IF($AS677="","",INDEX('TMP Paste'!$B$2:$B$1601,$AS677))</f>
        <v/>
      </c>
      <c r="E677" t="str">
        <f>IF($AS677="","",Config!$B$27)</f>
        <v/>
      </c>
      <c r="F677" t="str">
        <f>IF($AS677="","",Config!$B$9)</f>
        <v/>
      </c>
      <c r="G677" t="str">
        <f>IF($AS677="","",Config!$B$10)</f>
        <v/>
      </c>
      <c r="H677" t="str">
        <f>IF($AS677="","",Config!$B$11)</f>
        <v/>
      </c>
      <c r="I677" t="str">
        <f>IF($AS677="","",Config!$B$16)</f>
        <v/>
      </c>
      <c r="J677" t="str">
        <f>IF($AS677="","",INDEX('TMP Paste'!$A$2:$A$1601,$AS677))</f>
        <v/>
      </c>
      <c r="K677" t="str">
        <f>IF($AS677="","",INDEX('TMP Paste'!$L$2:$L$1601,$AS677))</f>
        <v/>
      </c>
      <c r="L677" t="str">
        <f>IF($AS677="","",INDEX('TMP Paste'!$I$2:$I$1601,$AS677))</f>
        <v/>
      </c>
      <c r="M677" t="str">
        <f>IF($AS677="","",Config!$B$16)</f>
        <v/>
      </c>
      <c r="N677" t="str">
        <f t="shared" si="60"/>
        <v/>
      </c>
      <c r="O677" t="str">
        <f>IF($AS677="","",INDEX('TMP Paste'!$K$2:$K$1601,$AS677))</f>
        <v/>
      </c>
      <c r="P677" t="str">
        <f t="shared" si="61"/>
        <v/>
      </c>
      <c r="Q677" t="str">
        <f>IF($AS677="","",INDEX('TMP Paste'!$J$2:$J$1601,$AS677))</f>
        <v/>
      </c>
      <c r="R677" t="str">
        <f>IF($AS677="","",Config!$B$24)</f>
        <v/>
      </c>
      <c r="S677" t="str">
        <f ca="1">IF($AS677="","",TEXT(Config!$B$4,"yyyy-mm-dd"))</f>
        <v/>
      </c>
      <c r="T677" t="str">
        <f>IF($AS677="","",Config!$B$17)</f>
        <v/>
      </c>
      <c r="U677" t="str">
        <f>IF($AS677="","",Config!$B$18)</f>
        <v/>
      </c>
      <c r="V677" t="str">
        <f>IF($AS677="","",Config!$B$19)</f>
        <v/>
      </c>
      <c r="W677" t="str">
        <f>IF($AS677="","",INDEX('TMP Paste'!$C$2:$C$1601,$AS677))</f>
        <v/>
      </c>
      <c r="X677" t="str">
        <f>IF($AS677="","",Config!$B$29)</f>
        <v/>
      </c>
      <c r="Y677" t="str">
        <f>IF($AT677="","",INDEX(Calc!$I$2:$I$1601,$AT677)&amp;" - "&amp;INDEX(Calc!$D$2:$D$1601,$AT677)&amp;" koli")</f>
        <v/>
      </c>
      <c r="Z677" t="str">
        <f>IF($AS677="","",Config!$B$21)</f>
        <v/>
      </c>
      <c r="AA677" t="str">
        <f>IF($AS677="","",Config!$B$22)</f>
        <v/>
      </c>
      <c r="AB677" t="str">
        <f>IF($AT677="","",INDEX(Calc!$D$2:$D$1601,$AT677))</f>
        <v/>
      </c>
      <c r="AC677" t="str">
        <f>IF($AT677="","",INDEX(Calc!$G$2:$G$1601,$AT677))</f>
        <v/>
      </c>
      <c r="AD677" t="str">
        <f>IF($AS677="","",Config!$B$23)</f>
        <v/>
      </c>
      <c r="AE677" t="str">
        <f>IF($AS677="","",Config!$B$28)</f>
        <v/>
      </c>
      <c r="AF677" t="str">
        <f t="shared" si="62"/>
        <v/>
      </c>
      <c r="AG677" t="str">
        <f t="shared" si="63"/>
        <v/>
      </c>
      <c r="AH677" t="str">
        <f t="shared" si="64"/>
        <v/>
      </c>
      <c r="AI677" t="str">
        <f>IF($AG677="","",SUMIF($AG$2:$AG677,$AG677,$AH$2:$AH677))</f>
        <v/>
      </c>
      <c r="AJ677" t="str">
        <f>IF('TMP Paste'!$F677="","",IF('TMP Paste'!$B677="",$AJ676,'TMP Paste'!$B677))</f>
        <v/>
      </c>
      <c r="AK677" t="str">
        <f>IF('TMP Paste'!$F677="","",N('TMP Paste'!$G677))</f>
        <v/>
      </c>
      <c r="AL677" t="str">
        <f>IF('TMP Paste'!$F677="","",IF('TMP Paste'!$M677="",$AL676,'TMP Paste'!$M677))</f>
        <v/>
      </c>
      <c r="AM677" t="str">
        <f>IF('TMP Paste'!$F677="","",IF('TMP Paste'!$N677="",$AM676,'TMP Paste'!$N677))</f>
        <v/>
      </c>
      <c r="AN677" t="str">
        <f>IF('TMP Paste'!$F677="","",IF('TMP Paste'!$O677="",$AN676,'TMP Paste'!$O677))</f>
        <v/>
      </c>
      <c r="AO677" t="str">
        <f>IF('TMP Paste'!$F677="","",IF('TMP Paste'!$P677="",$AO676,'TMP Paste'!$P677))</f>
        <v/>
      </c>
      <c r="AP677" t="str">
        <f t="shared" si="65"/>
        <v/>
      </c>
      <c r="AQ677" t="str">
        <f>IF($AS677="","",TRIM(IF(COUNTIFS(Calc!$B$2:$B$1601,ROW()-1,Calc!$C$2:$C$1601,"&lt;1")&gt;0,"Ada PO tanpa Koli - cek TMP. ","")&amp;IF(OR($AU677="",$AU677&lt;=0),"Volume kosong/0 - dimensi dikosongkan. ","")&amp;IF(AND($AU677&lt;&gt;"",$AU677&gt;=1000000),"Volume &gt;= 1.000.000 cm3 (di luar aturan) - dimensi dikosongkan. ","")&amp;IF(LEN($R677)&gt;500,"R &gt; 500 karakter.","")))</f>
        <v/>
      </c>
      <c r="AS677" t="str">
        <f>IFERROR(MATCH(ROW()-1,Calc!$J$2:$J$1601,0),"")</f>
        <v/>
      </c>
      <c r="AT677" t="str">
        <f>IFERROR(MATCH(ROW()-1,Calc!$K$2:$K$1601,0),"")</f>
        <v/>
      </c>
      <c r="AU677" t="str">
        <f>IF($AS677="","",IFERROR(INDEX('TMP Paste'!$D$2:$D$1601,$AS677)*1000000/$AB677,""))</f>
        <v/>
      </c>
    </row>
    <row r="678" spans="1:47">
      <c r="A678" t="str">
        <f>IF($AS678="","",INDEX('TMP Paste'!$B$2:$B$1601,$AS678))</f>
        <v/>
      </c>
      <c r="B678" t="str">
        <f>IF($AS678="","",Config!$B$14)</f>
        <v/>
      </c>
      <c r="C678" t="str">
        <f>IF($AS678="","",Config!$B$15)</f>
        <v/>
      </c>
      <c r="D678" t="str">
        <f>IF($AS678="","",INDEX('TMP Paste'!$B$2:$B$1601,$AS678))</f>
        <v/>
      </c>
      <c r="E678" t="str">
        <f>IF($AS678="","",Config!$B$27)</f>
        <v/>
      </c>
      <c r="F678" t="str">
        <f>IF($AS678="","",Config!$B$9)</f>
        <v/>
      </c>
      <c r="G678" t="str">
        <f>IF($AS678="","",Config!$B$10)</f>
        <v/>
      </c>
      <c r="H678" t="str">
        <f>IF($AS678="","",Config!$B$11)</f>
        <v/>
      </c>
      <c r="I678" t="str">
        <f>IF($AS678="","",Config!$B$16)</f>
        <v/>
      </c>
      <c r="J678" t="str">
        <f>IF($AS678="","",INDEX('TMP Paste'!$A$2:$A$1601,$AS678))</f>
        <v/>
      </c>
      <c r="K678" t="str">
        <f>IF($AS678="","",INDEX('TMP Paste'!$L$2:$L$1601,$AS678))</f>
        <v/>
      </c>
      <c r="L678" t="str">
        <f>IF($AS678="","",INDEX('TMP Paste'!$I$2:$I$1601,$AS678))</f>
        <v/>
      </c>
      <c r="M678" t="str">
        <f>IF($AS678="","",Config!$B$16)</f>
        <v/>
      </c>
      <c r="N678" t="str">
        <f t="shared" si="60"/>
        <v/>
      </c>
      <c r="O678" t="str">
        <f>IF($AS678="","",INDEX('TMP Paste'!$K$2:$K$1601,$AS678))</f>
        <v/>
      </c>
      <c r="P678" t="str">
        <f t="shared" si="61"/>
        <v/>
      </c>
      <c r="Q678" t="str">
        <f>IF($AS678="","",INDEX('TMP Paste'!$J$2:$J$1601,$AS678))</f>
        <v/>
      </c>
      <c r="R678" t="str">
        <f>IF($AS678="","",Config!$B$24)</f>
        <v/>
      </c>
      <c r="S678" t="str">
        <f ca="1">IF($AS678="","",TEXT(Config!$B$4,"yyyy-mm-dd"))</f>
        <v/>
      </c>
      <c r="T678" t="str">
        <f>IF($AS678="","",Config!$B$17)</f>
        <v/>
      </c>
      <c r="U678" t="str">
        <f>IF($AS678="","",Config!$B$18)</f>
        <v/>
      </c>
      <c r="V678" t="str">
        <f>IF($AS678="","",Config!$B$19)</f>
        <v/>
      </c>
      <c r="W678" t="str">
        <f>IF($AS678="","",INDEX('TMP Paste'!$C$2:$C$1601,$AS678))</f>
        <v/>
      </c>
      <c r="X678" t="str">
        <f>IF($AS678="","",Config!$B$29)</f>
        <v/>
      </c>
      <c r="Y678" t="str">
        <f>IF($AT678="","",INDEX(Calc!$I$2:$I$1601,$AT678)&amp;" - "&amp;INDEX(Calc!$D$2:$D$1601,$AT678)&amp;" koli")</f>
        <v/>
      </c>
      <c r="Z678" t="str">
        <f>IF($AS678="","",Config!$B$21)</f>
        <v/>
      </c>
      <c r="AA678" t="str">
        <f>IF($AS678="","",Config!$B$22)</f>
        <v/>
      </c>
      <c r="AB678" t="str">
        <f>IF($AT678="","",INDEX(Calc!$D$2:$D$1601,$AT678))</f>
        <v/>
      </c>
      <c r="AC678" t="str">
        <f>IF($AT678="","",INDEX(Calc!$G$2:$G$1601,$AT678))</f>
        <v/>
      </c>
      <c r="AD678" t="str">
        <f>IF($AS678="","",Config!$B$23)</f>
        <v/>
      </c>
      <c r="AE678" t="str">
        <f>IF($AS678="","",Config!$B$28)</f>
        <v/>
      </c>
      <c r="AF678" t="str">
        <f t="shared" si="62"/>
        <v/>
      </c>
      <c r="AG678" t="str">
        <f t="shared" si="63"/>
        <v/>
      </c>
      <c r="AH678" t="str">
        <f t="shared" si="64"/>
        <v/>
      </c>
      <c r="AI678" t="str">
        <f>IF($AG678="","",SUMIF($AG$2:$AG678,$AG678,$AH$2:$AH678))</f>
        <v/>
      </c>
      <c r="AJ678" t="str">
        <f>IF('TMP Paste'!$F678="","",IF('TMP Paste'!$B678="",$AJ677,'TMP Paste'!$B678))</f>
        <v/>
      </c>
      <c r="AK678" t="str">
        <f>IF('TMP Paste'!$F678="","",N('TMP Paste'!$G678))</f>
        <v/>
      </c>
      <c r="AL678" t="str">
        <f>IF('TMP Paste'!$F678="","",IF('TMP Paste'!$M678="",$AL677,'TMP Paste'!$M678))</f>
        <v/>
      </c>
      <c r="AM678" t="str">
        <f>IF('TMP Paste'!$F678="","",IF('TMP Paste'!$N678="",$AM677,'TMP Paste'!$N678))</f>
        <v/>
      </c>
      <c r="AN678" t="str">
        <f>IF('TMP Paste'!$F678="","",IF('TMP Paste'!$O678="",$AN677,'TMP Paste'!$O678))</f>
        <v/>
      </c>
      <c r="AO678" t="str">
        <f>IF('TMP Paste'!$F678="","",IF('TMP Paste'!$P678="",$AO677,'TMP Paste'!$P678))</f>
        <v/>
      </c>
      <c r="AP678" t="str">
        <f t="shared" si="65"/>
        <v/>
      </c>
      <c r="AQ678" t="str">
        <f>IF($AS678="","",TRIM(IF(COUNTIFS(Calc!$B$2:$B$1601,ROW()-1,Calc!$C$2:$C$1601,"&lt;1")&gt;0,"Ada PO tanpa Koli - cek TMP. ","")&amp;IF(OR($AU678="",$AU678&lt;=0),"Volume kosong/0 - dimensi dikosongkan. ","")&amp;IF(AND($AU678&lt;&gt;"",$AU678&gt;=1000000),"Volume &gt;= 1.000.000 cm3 (di luar aturan) - dimensi dikosongkan. ","")&amp;IF(LEN($R678)&gt;500,"R &gt; 500 karakter.","")))</f>
        <v/>
      </c>
      <c r="AS678" t="str">
        <f>IFERROR(MATCH(ROW()-1,Calc!$J$2:$J$1601,0),"")</f>
        <v/>
      </c>
      <c r="AT678" t="str">
        <f>IFERROR(MATCH(ROW()-1,Calc!$K$2:$K$1601,0),"")</f>
        <v/>
      </c>
      <c r="AU678" t="str">
        <f>IF($AS678="","",IFERROR(INDEX('TMP Paste'!$D$2:$D$1601,$AS678)*1000000/$AB678,""))</f>
        <v/>
      </c>
    </row>
    <row r="679" spans="1:47">
      <c r="A679" t="str">
        <f>IF($AS679="","",INDEX('TMP Paste'!$B$2:$B$1601,$AS679))</f>
        <v/>
      </c>
      <c r="B679" t="str">
        <f>IF($AS679="","",Config!$B$14)</f>
        <v/>
      </c>
      <c r="C679" t="str">
        <f>IF($AS679="","",Config!$B$15)</f>
        <v/>
      </c>
      <c r="D679" t="str">
        <f>IF($AS679="","",INDEX('TMP Paste'!$B$2:$B$1601,$AS679))</f>
        <v/>
      </c>
      <c r="E679" t="str">
        <f>IF($AS679="","",Config!$B$27)</f>
        <v/>
      </c>
      <c r="F679" t="str">
        <f>IF($AS679="","",Config!$B$9)</f>
        <v/>
      </c>
      <c r="G679" t="str">
        <f>IF($AS679="","",Config!$B$10)</f>
        <v/>
      </c>
      <c r="H679" t="str">
        <f>IF($AS679="","",Config!$B$11)</f>
        <v/>
      </c>
      <c r="I679" t="str">
        <f>IF($AS679="","",Config!$B$16)</f>
        <v/>
      </c>
      <c r="J679" t="str">
        <f>IF($AS679="","",INDEX('TMP Paste'!$A$2:$A$1601,$AS679))</f>
        <v/>
      </c>
      <c r="K679" t="str">
        <f>IF($AS679="","",INDEX('TMP Paste'!$L$2:$L$1601,$AS679))</f>
        <v/>
      </c>
      <c r="L679" t="str">
        <f>IF($AS679="","",INDEX('TMP Paste'!$I$2:$I$1601,$AS679))</f>
        <v/>
      </c>
      <c r="M679" t="str">
        <f>IF($AS679="","",Config!$B$16)</f>
        <v/>
      </c>
      <c r="N679" t="str">
        <f t="shared" si="60"/>
        <v/>
      </c>
      <c r="O679" t="str">
        <f>IF($AS679="","",INDEX('TMP Paste'!$K$2:$K$1601,$AS679))</f>
        <v/>
      </c>
      <c r="P679" t="str">
        <f t="shared" si="61"/>
        <v/>
      </c>
      <c r="Q679" t="str">
        <f>IF($AS679="","",INDEX('TMP Paste'!$J$2:$J$1601,$AS679))</f>
        <v/>
      </c>
      <c r="R679" t="str">
        <f>IF($AS679="","",Config!$B$24)</f>
        <v/>
      </c>
      <c r="S679" t="str">
        <f ca="1">IF($AS679="","",TEXT(Config!$B$4,"yyyy-mm-dd"))</f>
        <v/>
      </c>
      <c r="T679" t="str">
        <f>IF($AS679="","",Config!$B$17)</f>
        <v/>
      </c>
      <c r="U679" t="str">
        <f>IF($AS679="","",Config!$B$18)</f>
        <v/>
      </c>
      <c r="V679" t="str">
        <f>IF($AS679="","",Config!$B$19)</f>
        <v/>
      </c>
      <c r="W679" t="str">
        <f>IF($AS679="","",INDEX('TMP Paste'!$C$2:$C$1601,$AS679))</f>
        <v/>
      </c>
      <c r="X679" t="str">
        <f>IF($AS679="","",Config!$B$29)</f>
        <v/>
      </c>
      <c r="Y679" t="str">
        <f>IF($AT679="","",INDEX(Calc!$I$2:$I$1601,$AT679)&amp;" - "&amp;INDEX(Calc!$D$2:$D$1601,$AT679)&amp;" koli")</f>
        <v/>
      </c>
      <c r="Z679" t="str">
        <f>IF($AS679="","",Config!$B$21)</f>
        <v/>
      </c>
      <c r="AA679" t="str">
        <f>IF($AS679="","",Config!$B$22)</f>
        <v/>
      </c>
      <c r="AB679" t="str">
        <f>IF($AT679="","",INDEX(Calc!$D$2:$D$1601,$AT679))</f>
        <v/>
      </c>
      <c r="AC679" t="str">
        <f>IF($AT679="","",INDEX(Calc!$G$2:$G$1601,$AT679))</f>
        <v/>
      </c>
      <c r="AD679" t="str">
        <f>IF($AS679="","",Config!$B$23)</f>
        <v/>
      </c>
      <c r="AE679" t="str">
        <f>IF($AS679="","",Config!$B$28)</f>
        <v/>
      </c>
      <c r="AF679" t="str">
        <f t="shared" si="62"/>
        <v/>
      </c>
      <c r="AG679" t="str">
        <f t="shared" si="63"/>
        <v/>
      </c>
      <c r="AH679" t="str">
        <f t="shared" si="64"/>
        <v/>
      </c>
      <c r="AI679" t="str">
        <f>IF($AG679="","",SUMIF($AG$2:$AG679,$AG679,$AH$2:$AH679))</f>
        <v/>
      </c>
      <c r="AJ679" t="str">
        <f>IF('TMP Paste'!$F679="","",IF('TMP Paste'!$B679="",$AJ678,'TMP Paste'!$B679))</f>
        <v/>
      </c>
      <c r="AK679" t="str">
        <f>IF('TMP Paste'!$F679="","",N('TMP Paste'!$G679))</f>
        <v/>
      </c>
      <c r="AL679" t="str">
        <f>IF('TMP Paste'!$F679="","",IF('TMP Paste'!$M679="",$AL678,'TMP Paste'!$M679))</f>
        <v/>
      </c>
      <c r="AM679" t="str">
        <f>IF('TMP Paste'!$F679="","",IF('TMP Paste'!$N679="",$AM678,'TMP Paste'!$N679))</f>
        <v/>
      </c>
      <c r="AN679" t="str">
        <f>IF('TMP Paste'!$F679="","",IF('TMP Paste'!$O679="",$AN678,'TMP Paste'!$O679))</f>
        <v/>
      </c>
      <c r="AO679" t="str">
        <f>IF('TMP Paste'!$F679="","",IF('TMP Paste'!$P679="",$AO678,'TMP Paste'!$P679))</f>
        <v/>
      </c>
      <c r="AP679" t="str">
        <f t="shared" si="65"/>
        <v/>
      </c>
      <c r="AQ679" t="str">
        <f>IF($AS679="","",TRIM(IF(COUNTIFS(Calc!$B$2:$B$1601,ROW()-1,Calc!$C$2:$C$1601,"&lt;1")&gt;0,"Ada PO tanpa Koli - cek TMP. ","")&amp;IF(OR($AU679="",$AU679&lt;=0),"Volume kosong/0 - dimensi dikosongkan. ","")&amp;IF(AND($AU679&lt;&gt;"",$AU679&gt;=1000000),"Volume &gt;= 1.000.000 cm3 (di luar aturan) - dimensi dikosongkan. ","")&amp;IF(LEN($R679)&gt;500,"R &gt; 500 karakter.","")))</f>
        <v/>
      </c>
      <c r="AS679" t="str">
        <f>IFERROR(MATCH(ROW()-1,Calc!$J$2:$J$1601,0),"")</f>
        <v/>
      </c>
      <c r="AT679" t="str">
        <f>IFERROR(MATCH(ROW()-1,Calc!$K$2:$K$1601,0),"")</f>
        <v/>
      </c>
      <c r="AU679" t="str">
        <f>IF($AS679="","",IFERROR(INDEX('TMP Paste'!$D$2:$D$1601,$AS679)*1000000/$AB679,""))</f>
        <v/>
      </c>
    </row>
    <row r="680" spans="1:47">
      <c r="A680" t="str">
        <f>IF($AS680="","",INDEX('TMP Paste'!$B$2:$B$1601,$AS680))</f>
        <v/>
      </c>
      <c r="B680" t="str">
        <f>IF($AS680="","",Config!$B$14)</f>
        <v/>
      </c>
      <c r="C680" t="str">
        <f>IF($AS680="","",Config!$B$15)</f>
        <v/>
      </c>
      <c r="D680" t="str">
        <f>IF($AS680="","",INDEX('TMP Paste'!$B$2:$B$1601,$AS680))</f>
        <v/>
      </c>
      <c r="E680" t="str">
        <f>IF($AS680="","",Config!$B$27)</f>
        <v/>
      </c>
      <c r="F680" t="str">
        <f>IF($AS680="","",Config!$B$9)</f>
        <v/>
      </c>
      <c r="G680" t="str">
        <f>IF($AS680="","",Config!$B$10)</f>
        <v/>
      </c>
      <c r="H680" t="str">
        <f>IF($AS680="","",Config!$B$11)</f>
        <v/>
      </c>
      <c r="I680" t="str">
        <f>IF($AS680="","",Config!$B$16)</f>
        <v/>
      </c>
      <c r="J680" t="str">
        <f>IF($AS680="","",INDEX('TMP Paste'!$A$2:$A$1601,$AS680))</f>
        <v/>
      </c>
      <c r="K680" t="str">
        <f>IF($AS680="","",INDEX('TMP Paste'!$L$2:$L$1601,$AS680))</f>
        <v/>
      </c>
      <c r="L680" t="str">
        <f>IF($AS680="","",INDEX('TMP Paste'!$I$2:$I$1601,$AS680))</f>
        <v/>
      </c>
      <c r="M680" t="str">
        <f>IF($AS680="","",Config!$B$16)</f>
        <v/>
      </c>
      <c r="N680" t="str">
        <f t="shared" si="60"/>
        <v/>
      </c>
      <c r="O680" t="str">
        <f>IF($AS680="","",INDEX('TMP Paste'!$K$2:$K$1601,$AS680))</f>
        <v/>
      </c>
      <c r="P680" t="str">
        <f t="shared" si="61"/>
        <v/>
      </c>
      <c r="Q680" t="str">
        <f>IF($AS680="","",INDEX('TMP Paste'!$J$2:$J$1601,$AS680))</f>
        <v/>
      </c>
      <c r="R680" t="str">
        <f>IF($AS680="","",Config!$B$24)</f>
        <v/>
      </c>
      <c r="S680" t="str">
        <f ca="1">IF($AS680="","",TEXT(Config!$B$4,"yyyy-mm-dd"))</f>
        <v/>
      </c>
      <c r="T680" t="str">
        <f>IF($AS680="","",Config!$B$17)</f>
        <v/>
      </c>
      <c r="U680" t="str">
        <f>IF($AS680="","",Config!$B$18)</f>
        <v/>
      </c>
      <c r="V680" t="str">
        <f>IF($AS680="","",Config!$B$19)</f>
        <v/>
      </c>
      <c r="W680" t="str">
        <f>IF($AS680="","",INDEX('TMP Paste'!$C$2:$C$1601,$AS680))</f>
        <v/>
      </c>
      <c r="X680" t="str">
        <f>IF($AS680="","",Config!$B$29)</f>
        <v/>
      </c>
      <c r="Y680" t="str">
        <f>IF($AT680="","",INDEX(Calc!$I$2:$I$1601,$AT680)&amp;" - "&amp;INDEX(Calc!$D$2:$D$1601,$AT680)&amp;" koli")</f>
        <v/>
      </c>
      <c r="Z680" t="str">
        <f>IF($AS680="","",Config!$B$21)</f>
        <v/>
      </c>
      <c r="AA680" t="str">
        <f>IF($AS680="","",Config!$B$22)</f>
        <v/>
      </c>
      <c r="AB680" t="str">
        <f>IF($AT680="","",INDEX(Calc!$D$2:$D$1601,$AT680))</f>
        <v/>
      </c>
      <c r="AC680" t="str">
        <f>IF($AT680="","",INDEX(Calc!$G$2:$G$1601,$AT680))</f>
        <v/>
      </c>
      <c r="AD680" t="str">
        <f>IF($AS680="","",Config!$B$23)</f>
        <v/>
      </c>
      <c r="AE680" t="str">
        <f>IF($AS680="","",Config!$B$28)</f>
        <v/>
      </c>
      <c r="AF680" t="str">
        <f t="shared" si="62"/>
        <v/>
      </c>
      <c r="AG680" t="str">
        <f t="shared" si="63"/>
        <v/>
      </c>
      <c r="AH680" t="str">
        <f t="shared" si="64"/>
        <v/>
      </c>
      <c r="AI680" t="str">
        <f>IF($AG680="","",SUMIF($AG$2:$AG680,$AG680,$AH$2:$AH680))</f>
        <v/>
      </c>
      <c r="AJ680" t="str">
        <f>IF('TMP Paste'!$F680="","",IF('TMP Paste'!$B680="",$AJ679,'TMP Paste'!$B680))</f>
        <v/>
      </c>
      <c r="AK680" t="str">
        <f>IF('TMP Paste'!$F680="","",N('TMP Paste'!$G680))</f>
        <v/>
      </c>
      <c r="AL680" t="str">
        <f>IF('TMP Paste'!$F680="","",IF('TMP Paste'!$M680="",$AL679,'TMP Paste'!$M680))</f>
        <v/>
      </c>
      <c r="AM680" t="str">
        <f>IF('TMP Paste'!$F680="","",IF('TMP Paste'!$N680="",$AM679,'TMP Paste'!$N680))</f>
        <v/>
      </c>
      <c r="AN680" t="str">
        <f>IF('TMP Paste'!$F680="","",IF('TMP Paste'!$O680="",$AN679,'TMP Paste'!$O680))</f>
        <v/>
      </c>
      <c r="AO680" t="str">
        <f>IF('TMP Paste'!$F680="","",IF('TMP Paste'!$P680="",$AO679,'TMP Paste'!$P680))</f>
        <v/>
      </c>
      <c r="AP680" t="str">
        <f t="shared" si="65"/>
        <v/>
      </c>
      <c r="AQ680" t="str">
        <f>IF($AS680="","",TRIM(IF(COUNTIFS(Calc!$B$2:$B$1601,ROW()-1,Calc!$C$2:$C$1601,"&lt;1")&gt;0,"Ada PO tanpa Koli - cek TMP. ","")&amp;IF(OR($AU680="",$AU680&lt;=0),"Volume kosong/0 - dimensi dikosongkan. ","")&amp;IF(AND($AU680&lt;&gt;"",$AU680&gt;=1000000),"Volume &gt;= 1.000.000 cm3 (di luar aturan) - dimensi dikosongkan. ","")&amp;IF(LEN($R680)&gt;500,"R &gt; 500 karakter.","")))</f>
        <v/>
      </c>
      <c r="AS680" t="str">
        <f>IFERROR(MATCH(ROW()-1,Calc!$J$2:$J$1601,0),"")</f>
        <v/>
      </c>
      <c r="AT680" t="str">
        <f>IFERROR(MATCH(ROW()-1,Calc!$K$2:$K$1601,0),"")</f>
        <v/>
      </c>
      <c r="AU680" t="str">
        <f>IF($AS680="","",IFERROR(INDEX('TMP Paste'!$D$2:$D$1601,$AS680)*1000000/$AB680,""))</f>
        <v/>
      </c>
    </row>
    <row r="681" spans="1:47">
      <c r="A681" t="str">
        <f>IF($AS681="","",INDEX('TMP Paste'!$B$2:$B$1601,$AS681))</f>
        <v/>
      </c>
      <c r="B681" t="str">
        <f>IF($AS681="","",Config!$B$14)</f>
        <v/>
      </c>
      <c r="C681" t="str">
        <f>IF($AS681="","",Config!$B$15)</f>
        <v/>
      </c>
      <c r="D681" t="str">
        <f>IF($AS681="","",INDEX('TMP Paste'!$B$2:$B$1601,$AS681))</f>
        <v/>
      </c>
      <c r="E681" t="str">
        <f>IF($AS681="","",Config!$B$27)</f>
        <v/>
      </c>
      <c r="F681" t="str">
        <f>IF($AS681="","",Config!$B$9)</f>
        <v/>
      </c>
      <c r="G681" t="str">
        <f>IF($AS681="","",Config!$B$10)</f>
        <v/>
      </c>
      <c r="H681" t="str">
        <f>IF($AS681="","",Config!$B$11)</f>
        <v/>
      </c>
      <c r="I681" t="str">
        <f>IF($AS681="","",Config!$B$16)</f>
        <v/>
      </c>
      <c r="J681" t="str">
        <f>IF($AS681="","",INDEX('TMP Paste'!$A$2:$A$1601,$AS681))</f>
        <v/>
      </c>
      <c r="K681" t="str">
        <f>IF($AS681="","",INDEX('TMP Paste'!$L$2:$L$1601,$AS681))</f>
        <v/>
      </c>
      <c r="L681" t="str">
        <f>IF($AS681="","",INDEX('TMP Paste'!$I$2:$I$1601,$AS681))</f>
        <v/>
      </c>
      <c r="M681" t="str">
        <f>IF($AS681="","",Config!$B$16)</f>
        <v/>
      </c>
      <c r="N681" t="str">
        <f t="shared" si="60"/>
        <v/>
      </c>
      <c r="O681" t="str">
        <f>IF($AS681="","",INDEX('TMP Paste'!$K$2:$K$1601,$AS681))</f>
        <v/>
      </c>
      <c r="P681" t="str">
        <f t="shared" si="61"/>
        <v/>
      </c>
      <c r="Q681" t="str">
        <f>IF($AS681="","",INDEX('TMP Paste'!$J$2:$J$1601,$AS681))</f>
        <v/>
      </c>
      <c r="R681" t="str">
        <f>IF($AS681="","",Config!$B$24)</f>
        <v/>
      </c>
      <c r="S681" t="str">
        <f ca="1">IF($AS681="","",TEXT(Config!$B$4,"yyyy-mm-dd"))</f>
        <v/>
      </c>
      <c r="T681" t="str">
        <f>IF($AS681="","",Config!$B$17)</f>
        <v/>
      </c>
      <c r="U681" t="str">
        <f>IF($AS681="","",Config!$B$18)</f>
        <v/>
      </c>
      <c r="V681" t="str">
        <f>IF($AS681="","",Config!$B$19)</f>
        <v/>
      </c>
      <c r="W681" t="str">
        <f>IF($AS681="","",INDEX('TMP Paste'!$C$2:$C$1601,$AS681))</f>
        <v/>
      </c>
      <c r="X681" t="str">
        <f>IF($AS681="","",Config!$B$29)</f>
        <v/>
      </c>
      <c r="Y681" t="str">
        <f>IF($AT681="","",INDEX(Calc!$I$2:$I$1601,$AT681)&amp;" - "&amp;INDEX(Calc!$D$2:$D$1601,$AT681)&amp;" koli")</f>
        <v/>
      </c>
      <c r="Z681" t="str">
        <f>IF($AS681="","",Config!$B$21)</f>
        <v/>
      </c>
      <c r="AA681" t="str">
        <f>IF($AS681="","",Config!$B$22)</f>
        <v/>
      </c>
      <c r="AB681" t="str">
        <f>IF($AT681="","",INDEX(Calc!$D$2:$D$1601,$AT681))</f>
        <v/>
      </c>
      <c r="AC681" t="str">
        <f>IF($AT681="","",INDEX(Calc!$G$2:$G$1601,$AT681))</f>
        <v/>
      </c>
      <c r="AD681" t="str">
        <f>IF($AS681="","",Config!$B$23)</f>
        <v/>
      </c>
      <c r="AE681" t="str">
        <f>IF($AS681="","",Config!$B$28)</f>
        <v/>
      </c>
      <c r="AF681" t="str">
        <f t="shared" si="62"/>
        <v/>
      </c>
      <c r="AG681" t="str">
        <f t="shared" si="63"/>
        <v/>
      </c>
      <c r="AH681" t="str">
        <f t="shared" si="64"/>
        <v/>
      </c>
      <c r="AI681" t="str">
        <f>IF($AG681="","",SUMIF($AG$2:$AG681,$AG681,$AH$2:$AH681))</f>
        <v/>
      </c>
      <c r="AJ681" t="str">
        <f>IF('TMP Paste'!$F681="","",IF('TMP Paste'!$B681="",$AJ680,'TMP Paste'!$B681))</f>
        <v/>
      </c>
      <c r="AK681" t="str">
        <f>IF('TMP Paste'!$F681="","",N('TMP Paste'!$G681))</f>
        <v/>
      </c>
      <c r="AL681" t="str">
        <f>IF('TMP Paste'!$F681="","",IF('TMP Paste'!$M681="",$AL680,'TMP Paste'!$M681))</f>
        <v/>
      </c>
      <c r="AM681" t="str">
        <f>IF('TMP Paste'!$F681="","",IF('TMP Paste'!$N681="",$AM680,'TMP Paste'!$N681))</f>
        <v/>
      </c>
      <c r="AN681" t="str">
        <f>IF('TMP Paste'!$F681="","",IF('TMP Paste'!$O681="",$AN680,'TMP Paste'!$O681))</f>
        <v/>
      </c>
      <c r="AO681" t="str">
        <f>IF('TMP Paste'!$F681="","",IF('TMP Paste'!$P681="",$AO680,'TMP Paste'!$P681))</f>
        <v/>
      </c>
      <c r="AP681" t="str">
        <f t="shared" si="65"/>
        <v/>
      </c>
      <c r="AQ681" t="str">
        <f>IF($AS681="","",TRIM(IF(COUNTIFS(Calc!$B$2:$B$1601,ROW()-1,Calc!$C$2:$C$1601,"&lt;1")&gt;0,"Ada PO tanpa Koli - cek TMP. ","")&amp;IF(OR($AU681="",$AU681&lt;=0),"Volume kosong/0 - dimensi dikosongkan. ","")&amp;IF(AND($AU681&lt;&gt;"",$AU681&gt;=1000000),"Volume &gt;= 1.000.000 cm3 (di luar aturan) - dimensi dikosongkan. ","")&amp;IF(LEN($R681)&gt;500,"R &gt; 500 karakter.","")))</f>
        <v/>
      </c>
      <c r="AS681" t="str">
        <f>IFERROR(MATCH(ROW()-1,Calc!$J$2:$J$1601,0),"")</f>
        <v/>
      </c>
      <c r="AT681" t="str">
        <f>IFERROR(MATCH(ROW()-1,Calc!$K$2:$K$1601,0),"")</f>
        <v/>
      </c>
      <c r="AU681" t="str">
        <f>IF($AS681="","",IFERROR(INDEX('TMP Paste'!$D$2:$D$1601,$AS681)*1000000/$AB681,""))</f>
        <v/>
      </c>
    </row>
    <row r="682" spans="1:47">
      <c r="A682" t="str">
        <f>IF($AS682="","",INDEX('TMP Paste'!$B$2:$B$1601,$AS682))</f>
        <v/>
      </c>
      <c r="B682" t="str">
        <f>IF($AS682="","",Config!$B$14)</f>
        <v/>
      </c>
      <c r="C682" t="str">
        <f>IF($AS682="","",Config!$B$15)</f>
        <v/>
      </c>
      <c r="D682" t="str">
        <f>IF($AS682="","",INDEX('TMP Paste'!$B$2:$B$1601,$AS682))</f>
        <v/>
      </c>
      <c r="E682" t="str">
        <f>IF($AS682="","",Config!$B$27)</f>
        <v/>
      </c>
      <c r="F682" t="str">
        <f>IF($AS682="","",Config!$B$9)</f>
        <v/>
      </c>
      <c r="G682" t="str">
        <f>IF($AS682="","",Config!$B$10)</f>
        <v/>
      </c>
      <c r="H682" t="str">
        <f>IF($AS682="","",Config!$B$11)</f>
        <v/>
      </c>
      <c r="I682" t="str">
        <f>IF($AS682="","",Config!$B$16)</f>
        <v/>
      </c>
      <c r="J682" t="str">
        <f>IF($AS682="","",INDEX('TMP Paste'!$A$2:$A$1601,$AS682))</f>
        <v/>
      </c>
      <c r="K682" t="str">
        <f>IF($AS682="","",INDEX('TMP Paste'!$L$2:$L$1601,$AS682))</f>
        <v/>
      </c>
      <c r="L682" t="str">
        <f>IF($AS682="","",INDEX('TMP Paste'!$I$2:$I$1601,$AS682))</f>
        <v/>
      </c>
      <c r="M682" t="str">
        <f>IF($AS682="","",Config!$B$16)</f>
        <v/>
      </c>
      <c r="N682" t="str">
        <f t="shared" si="60"/>
        <v/>
      </c>
      <c r="O682" t="str">
        <f>IF($AS682="","",INDEX('TMP Paste'!$K$2:$K$1601,$AS682))</f>
        <v/>
      </c>
      <c r="P682" t="str">
        <f t="shared" si="61"/>
        <v/>
      </c>
      <c r="Q682" t="str">
        <f>IF($AS682="","",INDEX('TMP Paste'!$J$2:$J$1601,$AS682))</f>
        <v/>
      </c>
      <c r="R682" t="str">
        <f>IF($AS682="","",Config!$B$24)</f>
        <v/>
      </c>
      <c r="S682" t="str">
        <f ca="1">IF($AS682="","",TEXT(Config!$B$4,"yyyy-mm-dd"))</f>
        <v/>
      </c>
      <c r="T682" t="str">
        <f>IF($AS682="","",Config!$B$17)</f>
        <v/>
      </c>
      <c r="U682" t="str">
        <f>IF($AS682="","",Config!$B$18)</f>
        <v/>
      </c>
      <c r="V682" t="str">
        <f>IF($AS682="","",Config!$B$19)</f>
        <v/>
      </c>
      <c r="W682" t="str">
        <f>IF($AS682="","",INDEX('TMP Paste'!$C$2:$C$1601,$AS682))</f>
        <v/>
      </c>
      <c r="X682" t="str">
        <f>IF($AS682="","",Config!$B$29)</f>
        <v/>
      </c>
      <c r="Y682" t="str">
        <f>IF($AT682="","",INDEX(Calc!$I$2:$I$1601,$AT682)&amp;" - "&amp;INDEX(Calc!$D$2:$D$1601,$AT682)&amp;" koli")</f>
        <v/>
      </c>
      <c r="Z682" t="str">
        <f>IF($AS682="","",Config!$B$21)</f>
        <v/>
      </c>
      <c r="AA682" t="str">
        <f>IF($AS682="","",Config!$B$22)</f>
        <v/>
      </c>
      <c r="AB682" t="str">
        <f>IF($AT682="","",INDEX(Calc!$D$2:$D$1601,$AT682))</f>
        <v/>
      </c>
      <c r="AC682" t="str">
        <f>IF($AT682="","",INDEX(Calc!$G$2:$G$1601,$AT682))</f>
        <v/>
      </c>
      <c r="AD682" t="str">
        <f>IF($AS682="","",Config!$B$23)</f>
        <v/>
      </c>
      <c r="AE682" t="str">
        <f>IF($AS682="","",Config!$B$28)</f>
        <v/>
      </c>
      <c r="AF682" t="str">
        <f t="shared" si="62"/>
        <v/>
      </c>
      <c r="AG682" t="str">
        <f t="shared" si="63"/>
        <v/>
      </c>
      <c r="AH682" t="str">
        <f t="shared" si="64"/>
        <v/>
      </c>
      <c r="AI682" t="str">
        <f>IF($AG682="","",SUMIF($AG$2:$AG682,$AG682,$AH$2:$AH682))</f>
        <v/>
      </c>
      <c r="AJ682" t="str">
        <f>IF('TMP Paste'!$F682="","",IF('TMP Paste'!$B682="",$AJ681,'TMP Paste'!$B682))</f>
        <v/>
      </c>
      <c r="AK682" t="str">
        <f>IF('TMP Paste'!$F682="","",N('TMP Paste'!$G682))</f>
        <v/>
      </c>
      <c r="AL682" t="str">
        <f>IF('TMP Paste'!$F682="","",IF('TMP Paste'!$M682="",$AL681,'TMP Paste'!$M682))</f>
        <v/>
      </c>
      <c r="AM682" t="str">
        <f>IF('TMP Paste'!$F682="","",IF('TMP Paste'!$N682="",$AM681,'TMP Paste'!$N682))</f>
        <v/>
      </c>
      <c r="AN682" t="str">
        <f>IF('TMP Paste'!$F682="","",IF('TMP Paste'!$O682="",$AN681,'TMP Paste'!$O682))</f>
        <v/>
      </c>
      <c r="AO682" t="str">
        <f>IF('TMP Paste'!$F682="","",IF('TMP Paste'!$P682="",$AO681,'TMP Paste'!$P682))</f>
        <v/>
      </c>
      <c r="AP682" t="str">
        <f t="shared" si="65"/>
        <v/>
      </c>
      <c r="AQ682" t="str">
        <f>IF($AS682="","",TRIM(IF(COUNTIFS(Calc!$B$2:$B$1601,ROW()-1,Calc!$C$2:$C$1601,"&lt;1")&gt;0,"Ada PO tanpa Koli - cek TMP. ","")&amp;IF(OR($AU682="",$AU682&lt;=0),"Volume kosong/0 - dimensi dikosongkan. ","")&amp;IF(AND($AU682&lt;&gt;"",$AU682&gt;=1000000),"Volume &gt;= 1.000.000 cm3 (di luar aturan) - dimensi dikosongkan. ","")&amp;IF(LEN($R682)&gt;500,"R &gt; 500 karakter.","")))</f>
        <v/>
      </c>
      <c r="AS682" t="str">
        <f>IFERROR(MATCH(ROW()-1,Calc!$J$2:$J$1601,0),"")</f>
        <v/>
      </c>
      <c r="AT682" t="str">
        <f>IFERROR(MATCH(ROW()-1,Calc!$K$2:$K$1601,0),"")</f>
        <v/>
      </c>
      <c r="AU682" t="str">
        <f>IF($AS682="","",IFERROR(INDEX('TMP Paste'!$D$2:$D$1601,$AS682)*1000000/$AB682,""))</f>
        <v/>
      </c>
    </row>
    <row r="683" spans="1:47">
      <c r="A683" t="str">
        <f>IF($AS683="","",INDEX('TMP Paste'!$B$2:$B$1601,$AS683))</f>
        <v/>
      </c>
      <c r="B683" t="str">
        <f>IF($AS683="","",Config!$B$14)</f>
        <v/>
      </c>
      <c r="C683" t="str">
        <f>IF($AS683="","",Config!$B$15)</f>
        <v/>
      </c>
      <c r="D683" t="str">
        <f>IF($AS683="","",INDEX('TMP Paste'!$B$2:$B$1601,$AS683))</f>
        <v/>
      </c>
      <c r="E683" t="str">
        <f>IF($AS683="","",Config!$B$27)</f>
        <v/>
      </c>
      <c r="F683" t="str">
        <f>IF($AS683="","",Config!$B$9)</f>
        <v/>
      </c>
      <c r="G683" t="str">
        <f>IF($AS683="","",Config!$B$10)</f>
        <v/>
      </c>
      <c r="H683" t="str">
        <f>IF($AS683="","",Config!$B$11)</f>
        <v/>
      </c>
      <c r="I683" t="str">
        <f>IF($AS683="","",Config!$B$16)</f>
        <v/>
      </c>
      <c r="J683" t="str">
        <f>IF($AS683="","",INDEX('TMP Paste'!$A$2:$A$1601,$AS683))</f>
        <v/>
      </c>
      <c r="K683" t="str">
        <f>IF($AS683="","",INDEX('TMP Paste'!$L$2:$L$1601,$AS683))</f>
        <v/>
      </c>
      <c r="L683" t="str">
        <f>IF($AS683="","",INDEX('TMP Paste'!$I$2:$I$1601,$AS683))</f>
        <v/>
      </c>
      <c r="M683" t="str">
        <f>IF($AS683="","",Config!$B$16)</f>
        <v/>
      </c>
      <c r="N683" t="str">
        <f t="shared" si="60"/>
        <v/>
      </c>
      <c r="O683" t="str">
        <f>IF($AS683="","",INDEX('TMP Paste'!$K$2:$K$1601,$AS683))</f>
        <v/>
      </c>
      <c r="P683" t="str">
        <f t="shared" si="61"/>
        <v/>
      </c>
      <c r="Q683" t="str">
        <f>IF($AS683="","",INDEX('TMP Paste'!$J$2:$J$1601,$AS683))</f>
        <v/>
      </c>
      <c r="R683" t="str">
        <f>IF($AS683="","",Config!$B$24)</f>
        <v/>
      </c>
      <c r="S683" t="str">
        <f ca="1">IF($AS683="","",TEXT(Config!$B$4,"yyyy-mm-dd"))</f>
        <v/>
      </c>
      <c r="T683" t="str">
        <f>IF($AS683="","",Config!$B$17)</f>
        <v/>
      </c>
      <c r="U683" t="str">
        <f>IF($AS683="","",Config!$B$18)</f>
        <v/>
      </c>
      <c r="V683" t="str">
        <f>IF($AS683="","",Config!$B$19)</f>
        <v/>
      </c>
      <c r="W683" t="str">
        <f>IF($AS683="","",INDEX('TMP Paste'!$C$2:$C$1601,$AS683))</f>
        <v/>
      </c>
      <c r="X683" t="str">
        <f>IF($AS683="","",Config!$B$29)</f>
        <v/>
      </c>
      <c r="Y683" t="str">
        <f>IF($AT683="","",INDEX(Calc!$I$2:$I$1601,$AT683)&amp;" - "&amp;INDEX(Calc!$D$2:$D$1601,$AT683)&amp;" koli")</f>
        <v/>
      </c>
      <c r="Z683" t="str">
        <f>IF($AS683="","",Config!$B$21)</f>
        <v/>
      </c>
      <c r="AA683" t="str">
        <f>IF($AS683="","",Config!$B$22)</f>
        <v/>
      </c>
      <c r="AB683" t="str">
        <f>IF($AT683="","",INDEX(Calc!$D$2:$D$1601,$AT683))</f>
        <v/>
      </c>
      <c r="AC683" t="str">
        <f>IF($AT683="","",INDEX(Calc!$G$2:$G$1601,$AT683))</f>
        <v/>
      </c>
      <c r="AD683" t="str">
        <f>IF($AS683="","",Config!$B$23)</f>
        <v/>
      </c>
      <c r="AE683" t="str">
        <f>IF($AS683="","",Config!$B$28)</f>
        <v/>
      </c>
      <c r="AF683" t="str">
        <f t="shared" si="62"/>
        <v/>
      </c>
      <c r="AG683" t="str">
        <f t="shared" si="63"/>
        <v/>
      </c>
      <c r="AH683" t="str">
        <f t="shared" si="64"/>
        <v/>
      </c>
      <c r="AI683" t="str">
        <f>IF($AG683="","",SUMIF($AG$2:$AG683,$AG683,$AH$2:$AH683))</f>
        <v/>
      </c>
      <c r="AJ683" t="str">
        <f>IF('TMP Paste'!$F683="","",IF('TMP Paste'!$B683="",$AJ682,'TMP Paste'!$B683))</f>
        <v/>
      </c>
      <c r="AK683" t="str">
        <f>IF('TMP Paste'!$F683="","",N('TMP Paste'!$G683))</f>
        <v/>
      </c>
      <c r="AL683" t="str">
        <f>IF('TMP Paste'!$F683="","",IF('TMP Paste'!$M683="",$AL682,'TMP Paste'!$M683))</f>
        <v/>
      </c>
      <c r="AM683" t="str">
        <f>IF('TMP Paste'!$F683="","",IF('TMP Paste'!$N683="",$AM682,'TMP Paste'!$N683))</f>
        <v/>
      </c>
      <c r="AN683" t="str">
        <f>IF('TMP Paste'!$F683="","",IF('TMP Paste'!$O683="",$AN682,'TMP Paste'!$O683))</f>
        <v/>
      </c>
      <c r="AO683" t="str">
        <f>IF('TMP Paste'!$F683="","",IF('TMP Paste'!$P683="",$AO682,'TMP Paste'!$P683))</f>
        <v/>
      </c>
      <c r="AP683" t="str">
        <f t="shared" si="65"/>
        <v/>
      </c>
      <c r="AQ683" t="str">
        <f>IF($AS683="","",TRIM(IF(COUNTIFS(Calc!$B$2:$B$1601,ROW()-1,Calc!$C$2:$C$1601,"&lt;1")&gt;0,"Ada PO tanpa Koli - cek TMP. ","")&amp;IF(OR($AU683="",$AU683&lt;=0),"Volume kosong/0 - dimensi dikosongkan. ","")&amp;IF(AND($AU683&lt;&gt;"",$AU683&gt;=1000000),"Volume &gt;= 1.000.000 cm3 (di luar aturan) - dimensi dikosongkan. ","")&amp;IF(LEN($R683)&gt;500,"R &gt; 500 karakter.","")))</f>
        <v/>
      </c>
      <c r="AS683" t="str">
        <f>IFERROR(MATCH(ROW()-1,Calc!$J$2:$J$1601,0),"")</f>
        <v/>
      </c>
      <c r="AT683" t="str">
        <f>IFERROR(MATCH(ROW()-1,Calc!$K$2:$K$1601,0),"")</f>
        <v/>
      </c>
      <c r="AU683" t="str">
        <f>IF($AS683="","",IFERROR(INDEX('TMP Paste'!$D$2:$D$1601,$AS683)*1000000/$AB683,""))</f>
        <v/>
      </c>
    </row>
    <row r="684" spans="1:47">
      <c r="A684" t="str">
        <f>IF($AS684="","",INDEX('TMP Paste'!$B$2:$B$1601,$AS684))</f>
        <v/>
      </c>
      <c r="B684" t="str">
        <f>IF($AS684="","",Config!$B$14)</f>
        <v/>
      </c>
      <c r="C684" t="str">
        <f>IF($AS684="","",Config!$B$15)</f>
        <v/>
      </c>
      <c r="D684" t="str">
        <f>IF($AS684="","",INDEX('TMP Paste'!$B$2:$B$1601,$AS684))</f>
        <v/>
      </c>
      <c r="E684" t="str">
        <f>IF($AS684="","",Config!$B$27)</f>
        <v/>
      </c>
      <c r="F684" t="str">
        <f>IF($AS684="","",Config!$B$9)</f>
        <v/>
      </c>
      <c r="G684" t="str">
        <f>IF($AS684="","",Config!$B$10)</f>
        <v/>
      </c>
      <c r="H684" t="str">
        <f>IF($AS684="","",Config!$B$11)</f>
        <v/>
      </c>
      <c r="I684" t="str">
        <f>IF($AS684="","",Config!$B$16)</f>
        <v/>
      </c>
      <c r="J684" t="str">
        <f>IF($AS684="","",INDEX('TMP Paste'!$A$2:$A$1601,$AS684))</f>
        <v/>
      </c>
      <c r="K684" t="str">
        <f>IF($AS684="","",INDEX('TMP Paste'!$L$2:$L$1601,$AS684))</f>
        <v/>
      </c>
      <c r="L684" t="str">
        <f>IF($AS684="","",INDEX('TMP Paste'!$I$2:$I$1601,$AS684))</f>
        <v/>
      </c>
      <c r="M684" t="str">
        <f>IF($AS684="","",Config!$B$16)</f>
        <v/>
      </c>
      <c r="N684" t="str">
        <f t="shared" si="60"/>
        <v/>
      </c>
      <c r="O684" t="str">
        <f>IF($AS684="","",INDEX('TMP Paste'!$K$2:$K$1601,$AS684))</f>
        <v/>
      </c>
      <c r="P684" t="str">
        <f t="shared" si="61"/>
        <v/>
      </c>
      <c r="Q684" t="str">
        <f>IF($AS684="","",INDEX('TMP Paste'!$J$2:$J$1601,$AS684))</f>
        <v/>
      </c>
      <c r="R684" t="str">
        <f>IF($AS684="","",Config!$B$24)</f>
        <v/>
      </c>
      <c r="S684" t="str">
        <f ca="1">IF($AS684="","",TEXT(Config!$B$4,"yyyy-mm-dd"))</f>
        <v/>
      </c>
      <c r="T684" t="str">
        <f>IF($AS684="","",Config!$B$17)</f>
        <v/>
      </c>
      <c r="U684" t="str">
        <f>IF($AS684="","",Config!$B$18)</f>
        <v/>
      </c>
      <c r="V684" t="str">
        <f>IF($AS684="","",Config!$B$19)</f>
        <v/>
      </c>
      <c r="W684" t="str">
        <f>IF($AS684="","",INDEX('TMP Paste'!$C$2:$C$1601,$AS684))</f>
        <v/>
      </c>
      <c r="X684" t="str">
        <f>IF($AS684="","",Config!$B$29)</f>
        <v/>
      </c>
      <c r="Y684" t="str">
        <f>IF($AT684="","",INDEX(Calc!$I$2:$I$1601,$AT684)&amp;" - "&amp;INDEX(Calc!$D$2:$D$1601,$AT684)&amp;" koli")</f>
        <v/>
      </c>
      <c r="Z684" t="str">
        <f>IF($AS684="","",Config!$B$21)</f>
        <v/>
      </c>
      <c r="AA684" t="str">
        <f>IF($AS684="","",Config!$B$22)</f>
        <v/>
      </c>
      <c r="AB684" t="str">
        <f>IF($AT684="","",INDEX(Calc!$D$2:$D$1601,$AT684))</f>
        <v/>
      </c>
      <c r="AC684" t="str">
        <f>IF($AT684="","",INDEX(Calc!$G$2:$G$1601,$AT684))</f>
        <v/>
      </c>
      <c r="AD684" t="str">
        <f>IF($AS684="","",Config!$B$23)</f>
        <v/>
      </c>
      <c r="AE684" t="str">
        <f>IF($AS684="","",Config!$B$28)</f>
        <v/>
      </c>
      <c r="AF684" t="str">
        <f t="shared" si="62"/>
        <v/>
      </c>
      <c r="AG684" t="str">
        <f t="shared" si="63"/>
        <v/>
      </c>
      <c r="AH684" t="str">
        <f t="shared" si="64"/>
        <v/>
      </c>
      <c r="AI684" t="str">
        <f>IF($AG684="","",SUMIF($AG$2:$AG684,$AG684,$AH$2:$AH684))</f>
        <v/>
      </c>
      <c r="AJ684" t="str">
        <f>IF('TMP Paste'!$F684="","",IF('TMP Paste'!$B684="",$AJ683,'TMP Paste'!$B684))</f>
        <v/>
      </c>
      <c r="AK684" t="str">
        <f>IF('TMP Paste'!$F684="","",N('TMP Paste'!$G684))</f>
        <v/>
      </c>
      <c r="AL684" t="str">
        <f>IF('TMP Paste'!$F684="","",IF('TMP Paste'!$M684="",$AL683,'TMP Paste'!$M684))</f>
        <v/>
      </c>
      <c r="AM684" t="str">
        <f>IF('TMP Paste'!$F684="","",IF('TMP Paste'!$N684="",$AM683,'TMP Paste'!$N684))</f>
        <v/>
      </c>
      <c r="AN684" t="str">
        <f>IF('TMP Paste'!$F684="","",IF('TMP Paste'!$O684="",$AN683,'TMP Paste'!$O684))</f>
        <v/>
      </c>
      <c r="AO684" t="str">
        <f>IF('TMP Paste'!$F684="","",IF('TMP Paste'!$P684="",$AO683,'TMP Paste'!$P684))</f>
        <v/>
      </c>
      <c r="AP684" t="str">
        <f t="shared" si="65"/>
        <v/>
      </c>
      <c r="AQ684" t="str">
        <f>IF($AS684="","",TRIM(IF(COUNTIFS(Calc!$B$2:$B$1601,ROW()-1,Calc!$C$2:$C$1601,"&lt;1")&gt;0,"Ada PO tanpa Koli - cek TMP. ","")&amp;IF(OR($AU684="",$AU684&lt;=0),"Volume kosong/0 - dimensi dikosongkan. ","")&amp;IF(AND($AU684&lt;&gt;"",$AU684&gt;=1000000),"Volume &gt;= 1.000.000 cm3 (di luar aturan) - dimensi dikosongkan. ","")&amp;IF(LEN($R684)&gt;500,"R &gt; 500 karakter.","")))</f>
        <v/>
      </c>
      <c r="AS684" t="str">
        <f>IFERROR(MATCH(ROW()-1,Calc!$J$2:$J$1601,0),"")</f>
        <v/>
      </c>
      <c r="AT684" t="str">
        <f>IFERROR(MATCH(ROW()-1,Calc!$K$2:$K$1601,0),"")</f>
        <v/>
      </c>
      <c r="AU684" t="str">
        <f>IF($AS684="","",IFERROR(INDEX('TMP Paste'!$D$2:$D$1601,$AS684)*1000000/$AB684,""))</f>
        <v/>
      </c>
    </row>
    <row r="685" spans="1:47">
      <c r="A685" t="str">
        <f>IF($AS685="","",INDEX('TMP Paste'!$B$2:$B$1601,$AS685))</f>
        <v/>
      </c>
      <c r="B685" t="str">
        <f>IF($AS685="","",Config!$B$14)</f>
        <v/>
      </c>
      <c r="C685" t="str">
        <f>IF($AS685="","",Config!$B$15)</f>
        <v/>
      </c>
      <c r="D685" t="str">
        <f>IF($AS685="","",INDEX('TMP Paste'!$B$2:$B$1601,$AS685))</f>
        <v/>
      </c>
      <c r="E685" t="str">
        <f>IF($AS685="","",Config!$B$27)</f>
        <v/>
      </c>
      <c r="F685" t="str">
        <f>IF($AS685="","",Config!$B$9)</f>
        <v/>
      </c>
      <c r="G685" t="str">
        <f>IF($AS685="","",Config!$B$10)</f>
        <v/>
      </c>
      <c r="H685" t="str">
        <f>IF($AS685="","",Config!$B$11)</f>
        <v/>
      </c>
      <c r="I685" t="str">
        <f>IF($AS685="","",Config!$B$16)</f>
        <v/>
      </c>
      <c r="J685" t="str">
        <f>IF($AS685="","",INDEX('TMP Paste'!$A$2:$A$1601,$AS685))</f>
        <v/>
      </c>
      <c r="K685" t="str">
        <f>IF($AS685="","",INDEX('TMP Paste'!$L$2:$L$1601,$AS685))</f>
        <v/>
      </c>
      <c r="L685" t="str">
        <f>IF($AS685="","",INDEX('TMP Paste'!$I$2:$I$1601,$AS685))</f>
        <v/>
      </c>
      <c r="M685" t="str">
        <f>IF($AS685="","",Config!$B$16)</f>
        <v/>
      </c>
      <c r="N685" t="str">
        <f t="shared" si="60"/>
        <v/>
      </c>
      <c r="O685" t="str">
        <f>IF($AS685="","",INDEX('TMP Paste'!$K$2:$K$1601,$AS685))</f>
        <v/>
      </c>
      <c r="P685" t="str">
        <f t="shared" si="61"/>
        <v/>
      </c>
      <c r="Q685" t="str">
        <f>IF($AS685="","",INDEX('TMP Paste'!$J$2:$J$1601,$AS685))</f>
        <v/>
      </c>
      <c r="R685" t="str">
        <f>IF($AS685="","",Config!$B$24)</f>
        <v/>
      </c>
      <c r="S685" t="str">
        <f ca="1">IF($AS685="","",TEXT(Config!$B$4,"yyyy-mm-dd"))</f>
        <v/>
      </c>
      <c r="T685" t="str">
        <f>IF($AS685="","",Config!$B$17)</f>
        <v/>
      </c>
      <c r="U685" t="str">
        <f>IF($AS685="","",Config!$B$18)</f>
        <v/>
      </c>
      <c r="V685" t="str">
        <f>IF($AS685="","",Config!$B$19)</f>
        <v/>
      </c>
      <c r="W685" t="str">
        <f>IF($AS685="","",INDEX('TMP Paste'!$C$2:$C$1601,$AS685))</f>
        <v/>
      </c>
      <c r="X685" t="str">
        <f>IF($AS685="","",Config!$B$29)</f>
        <v/>
      </c>
      <c r="Y685" t="str">
        <f>IF($AT685="","",INDEX(Calc!$I$2:$I$1601,$AT685)&amp;" - "&amp;INDEX(Calc!$D$2:$D$1601,$AT685)&amp;" koli")</f>
        <v/>
      </c>
      <c r="Z685" t="str">
        <f>IF($AS685="","",Config!$B$21)</f>
        <v/>
      </c>
      <c r="AA685" t="str">
        <f>IF($AS685="","",Config!$B$22)</f>
        <v/>
      </c>
      <c r="AB685" t="str">
        <f>IF($AT685="","",INDEX(Calc!$D$2:$D$1601,$AT685))</f>
        <v/>
      </c>
      <c r="AC685" t="str">
        <f>IF($AT685="","",INDEX(Calc!$G$2:$G$1601,$AT685))</f>
        <v/>
      </c>
      <c r="AD685" t="str">
        <f>IF($AS685="","",Config!$B$23)</f>
        <v/>
      </c>
      <c r="AE685" t="str">
        <f>IF($AS685="","",Config!$B$28)</f>
        <v/>
      </c>
      <c r="AF685" t="str">
        <f t="shared" si="62"/>
        <v/>
      </c>
      <c r="AG685" t="str">
        <f t="shared" si="63"/>
        <v/>
      </c>
      <c r="AH685" t="str">
        <f t="shared" si="64"/>
        <v/>
      </c>
      <c r="AI685" t="str">
        <f>IF($AG685="","",SUMIF($AG$2:$AG685,$AG685,$AH$2:$AH685))</f>
        <v/>
      </c>
      <c r="AJ685" t="str">
        <f>IF('TMP Paste'!$F685="","",IF('TMP Paste'!$B685="",$AJ684,'TMP Paste'!$B685))</f>
        <v/>
      </c>
      <c r="AK685" t="str">
        <f>IF('TMP Paste'!$F685="","",N('TMP Paste'!$G685))</f>
        <v/>
      </c>
      <c r="AL685" t="str">
        <f>IF('TMP Paste'!$F685="","",IF('TMP Paste'!$M685="",$AL684,'TMP Paste'!$M685))</f>
        <v/>
      </c>
      <c r="AM685" t="str">
        <f>IF('TMP Paste'!$F685="","",IF('TMP Paste'!$N685="",$AM684,'TMP Paste'!$N685))</f>
        <v/>
      </c>
      <c r="AN685" t="str">
        <f>IF('TMP Paste'!$F685="","",IF('TMP Paste'!$O685="",$AN684,'TMP Paste'!$O685))</f>
        <v/>
      </c>
      <c r="AO685" t="str">
        <f>IF('TMP Paste'!$F685="","",IF('TMP Paste'!$P685="",$AO684,'TMP Paste'!$P685))</f>
        <v/>
      </c>
      <c r="AP685" t="str">
        <f t="shared" si="65"/>
        <v/>
      </c>
      <c r="AQ685" t="str">
        <f>IF($AS685="","",TRIM(IF(COUNTIFS(Calc!$B$2:$B$1601,ROW()-1,Calc!$C$2:$C$1601,"&lt;1")&gt;0,"Ada PO tanpa Koli - cek TMP. ","")&amp;IF(OR($AU685="",$AU685&lt;=0),"Volume kosong/0 - dimensi dikosongkan. ","")&amp;IF(AND($AU685&lt;&gt;"",$AU685&gt;=1000000),"Volume &gt;= 1.000.000 cm3 (di luar aturan) - dimensi dikosongkan. ","")&amp;IF(LEN($R685)&gt;500,"R &gt; 500 karakter.","")))</f>
        <v/>
      </c>
      <c r="AS685" t="str">
        <f>IFERROR(MATCH(ROW()-1,Calc!$J$2:$J$1601,0),"")</f>
        <v/>
      </c>
      <c r="AT685" t="str">
        <f>IFERROR(MATCH(ROW()-1,Calc!$K$2:$K$1601,0),"")</f>
        <v/>
      </c>
      <c r="AU685" t="str">
        <f>IF($AS685="","",IFERROR(INDEX('TMP Paste'!$D$2:$D$1601,$AS685)*1000000/$AB685,""))</f>
        <v/>
      </c>
    </row>
    <row r="686" spans="1:47">
      <c r="A686" t="str">
        <f>IF($AS686="","",INDEX('TMP Paste'!$B$2:$B$1601,$AS686))</f>
        <v/>
      </c>
      <c r="B686" t="str">
        <f>IF($AS686="","",Config!$B$14)</f>
        <v/>
      </c>
      <c r="C686" t="str">
        <f>IF($AS686="","",Config!$B$15)</f>
        <v/>
      </c>
      <c r="D686" t="str">
        <f>IF($AS686="","",INDEX('TMP Paste'!$B$2:$B$1601,$AS686))</f>
        <v/>
      </c>
      <c r="E686" t="str">
        <f>IF($AS686="","",Config!$B$27)</f>
        <v/>
      </c>
      <c r="F686" t="str">
        <f>IF($AS686="","",Config!$B$9)</f>
        <v/>
      </c>
      <c r="G686" t="str">
        <f>IF($AS686="","",Config!$B$10)</f>
        <v/>
      </c>
      <c r="H686" t="str">
        <f>IF($AS686="","",Config!$B$11)</f>
        <v/>
      </c>
      <c r="I686" t="str">
        <f>IF($AS686="","",Config!$B$16)</f>
        <v/>
      </c>
      <c r="J686" t="str">
        <f>IF($AS686="","",INDEX('TMP Paste'!$A$2:$A$1601,$AS686))</f>
        <v/>
      </c>
      <c r="K686" t="str">
        <f>IF($AS686="","",INDEX('TMP Paste'!$L$2:$L$1601,$AS686))</f>
        <v/>
      </c>
      <c r="L686" t="str">
        <f>IF($AS686="","",INDEX('TMP Paste'!$I$2:$I$1601,$AS686))</f>
        <v/>
      </c>
      <c r="M686" t="str">
        <f>IF($AS686="","",Config!$B$16)</f>
        <v/>
      </c>
      <c r="N686" t="str">
        <f t="shared" si="60"/>
        <v/>
      </c>
      <c r="O686" t="str">
        <f>IF($AS686="","",INDEX('TMP Paste'!$K$2:$K$1601,$AS686))</f>
        <v/>
      </c>
      <c r="P686" t="str">
        <f t="shared" si="61"/>
        <v/>
      </c>
      <c r="Q686" t="str">
        <f>IF($AS686="","",INDEX('TMP Paste'!$J$2:$J$1601,$AS686))</f>
        <v/>
      </c>
      <c r="R686" t="str">
        <f>IF($AS686="","",Config!$B$24)</f>
        <v/>
      </c>
      <c r="S686" t="str">
        <f ca="1">IF($AS686="","",TEXT(Config!$B$4,"yyyy-mm-dd"))</f>
        <v/>
      </c>
      <c r="T686" t="str">
        <f>IF($AS686="","",Config!$B$17)</f>
        <v/>
      </c>
      <c r="U686" t="str">
        <f>IF($AS686="","",Config!$B$18)</f>
        <v/>
      </c>
      <c r="V686" t="str">
        <f>IF($AS686="","",Config!$B$19)</f>
        <v/>
      </c>
      <c r="W686" t="str">
        <f>IF($AS686="","",INDEX('TMP Paste'!$C$2:$C$1601,$AS686))</f>
        <v/>
      </c>
      <c r="X686" t="str">
        <f>IF($AS686="","",Config!$B$29)</f>
        <v/>
      </c>
      <c r="Y686" t="str">
        <f>IF($AT686="","",INDEX(Calc!$I$2:$I$1601,$AT686)&amp;" - "&amp;INDEX(Calc!$D$2:$D$1601,$AT686)&amp;" koli")</f>
        <v/>
      </c>
      <c r="Z686" t="str">
        <f>IF($AS686="","",Config!$B$21)</f>
        <v/>
      </c>
      <c r="AA686" t="str">
        <f>IF($AS686="","",Config!$B$22)</f>
        <v/>
      </c>
      <c r="AB686" t="str">
        <f>IF($AT686="","",INDEX(Calc!$D$2:$D$1601,$AT686))</f>
        <v/>
      </c>
      <c r="AC686" t="str">
        <f>IF($AT686="","",INDEX(Calc!$G$2:$G$1601,$AT686))</f>
        <v/>
      </c>
      <c r="AD686" t="str">
        <f>IF($AS686="","",Config!$B$23)</f>
        <v/>
      </c>
      <c r="AE686" t="str">
        <f>IF($AS686="","",Config!$B$28)</f>
        <v/>
      </c>
      <c r="AF686" t="str">
        <f t="shared" si="62"/>
        <v/>
      </c>
      <c r="AG686" t="str">
        <f t="shared" si="63"/>
        <v/>
      </c>
      <c r="AH686" t="str">
        <f t="shared" si="64"/>
        <v/>
      </c>
      <c r="AI686" t="str">
        <f>IF($AG686="","",SUMIF($AG$2:$AG686,$AG686,$AH$2:$AH686))</f>
        <v/>
      </c>
      <c r="AJ686" t="str">
        <f>IF('TMP Paste'!$F686="","",IF('TMP Paste'!$B686="",$AJ685,'TMP Paste'!$B686))</f>
        <v/>
      </c>
      <c r="AK686" t="str">
        <f>IF('TMP Paste'!$F686="","",N('TMP Paste'!$G686))</f>
        <v/>
      </c>
      <c r="AL686" t="str">
        <f>IF('TMP Paste'!$F686="","",IF('TMP Paste'!$M686="",$AL685,'TMP Paste'!$M686))</f>
        <v/>
      </c>
      <c r="AM686" t="str">
        <f>IF('TMP Paste'!$F686="","",IF('TMP Paste'!$N686="",$AM685,'TMP Paste'!$N686))</f>
        <v/>
      </c>
      <c r="AN686" t="str">
        <f>IF('TMP Paste'!$F686="","",IF('TMP Paste'!$O686="",$AN685,'TMP Paste'!$O686))</f>
        <v/>
      </c>
      <c r="AO686" t="str">
        <f>IF('TMP Paste'!$F686="","",IF('TMP Paste'!$P686="",$AO685,'TMP Paste'!$P686))</f>
        <v/>
      </c>
      <c r="AP686" t="str">
        <f t="shared" si="65"/>
        <v/>
      </c>
      <c r="AQ686" t="str">
        <f>IF($AS686="","",TRIM(IF(COUNTIFS(Calc!$B$2:$B$1601,ROW()-1,Calc!$C$2:$C$1601,"&lt;1")&gt;0,"Ada PO tanpa Koli - cek TMP. ","")&amp;IF(OR($AU686="",$AU686&lt;=0),"Volume kosong/0 - dimensi dikosongkan. ","")&amp;IF(AND($AU686&lt;&gt;"",$AU686&gt;=1000000),"Volume &gt;= 1.000.000 cm3 (di luar aturan) - dimensi dikosongkan. ","")&amp;IF(LEN($R686)&gt;500,"R &gt; 500 karakter.","")))</f>
        <v/>
      </c>
      <c r="AS686" t="str">
        <f>IFERROR(MATCH(ROW()-1,Calc!$J$2:$J$1601,0),"")</f>
        <v/>
      </c>
      <c r="AT686" t="str">
        <f>IFERROR(MATCH(ROW()-1,Calc!$K$2:$K$1601,0),"")</f>
        <v/>
      </c>
      <c r="AU686" t="str">
        <f>IF($AS686="","",IFERROR(INDEX('TMP Paste'!$D$2:$D$1601,$AS686)*1000000/$AB686,""))</f>
        <v/>
      </c>
    </row>
    <row r="687" spans="1:47">
      <c r="A687" t="str">
        <f>IF($AS687="","",INDEX('TMP Paste'!$B$2:$B$1601,$AS687))</f>
        <v/>
      </c>
      <c r="B687" t="str">
        <f>IF($AS687="","",Config!$B$14)</f>
        <v/>
      </c>
      <c r="C687" t="str">
        <f>IF($AS687="","",Config!$B$15)</f>
        <v/>
      </c>
      <c r="D687" t="str">
        <f>IF($AS687="","",INDEX('TMP Paste'!$B$2:$B$1601,$AS687))</f>
        <v/>
      </c>
      <c r="E687" t="str">
        <f>IF($AS687="","",Config!$B$27)</f>
        <v/>
      </c>
      <c r="F687" t="str">
        <f>IF($AS687="","",Config!$B$9)</f>
        <v/>
      </c>
      <c r="G687" t="str">
        <f>IF($AS687="","",Config!$B$10)</f>
        <v/>
      </c>
      <c r="H687" t="str">
        <f>IF($AS687="","",Config!$B$11)</f>
        <v/>
      </c>
      <c r="I687" t="str">
        <f>IF($AS687="","",Config!$B$16)</f>
        <v/>
      </c>
      <c r="J687" t="str">
        <f>IF($AS687="","",INDEX('TMP Paste'!$A$2:$A$1601,$AS687))</f>
        <v/>
      </c>
      <c r="K687" t="str">
        <f>IF($AS687="","",INDEX('TMP Paste'!$L$2:$L$1601,$AS687))</f>
        <v/>
      </c>
      <c r="L687" t="str">
        <f>IF($AS687="","",INDEX('TMP Paste'!$I$2:$I$1601,$AS687))</f>
        <v/>
      </c>
      <c r="M687" t="str">
        <f>IF($AS687="","",Config!$B$16)</f>
        <v/>
      </c>
      <c r="N687" t="str">
        <f t="shared" si="60"/>
        <v/>
      </c>
      <c r="O687" t="str">
        <f>IF($AS687="","",INDEX('TMP Paste'!$K$2:$K$1601,$AS687))</f>
        <v/>
      </c>
      <c r="P687" t="str">
        <f t="shared" si="61"/>
        <v/>
      </c>
      <c r="Q687" t="str">
        <f>IF($AS687="","",INDEX('TMP Paste'!$J$2:$J$1601,$AS687))</f>
        <v/>
      </c>
      <c r="R687" t="str">
        <f>IF($AS687="","",Config!$B$24)</f>
        <v/>
      </c>
      <c r="S687" t="str">
        <f ca="1">IF($AS687="","",TEXT(Config!$B$4,"yyyy-mm-dd"))</f>
        <v/>
      </c>
      <c r="T687" t="str">
        <f>IF($AS687="","",Config!$B$17)</f>
        <v/>
      </c>
      <c r="U687" t="str">
        <f>IF($AS687="","",Config!$B$18)</f>
        <v/>
      </c>
      <c r="V687" t="str">
        <f>IF($AS687="","",Config!$B$19)</f>
        <v/>
      </c>
      <c r="W687" t="str">
        <f>IF($AS687="","",INDEX('TMP Paste'!$C$2:$C$1601,$AS687))</f>
        <v/>
      </c>
      <c r="X687" t="str">
        <f>IF($AS687="","",Config!$B$29)</f>
        <v/>
      </c>
      <c r="Y687" t="str">
        <f>IF($AT687="","",INDEX(Calc!$I$2:$I$1601,$AT687)&amp;" - "&amp;INDEX(Calc!$D$2:$D$1601,$AT687)&amp;" koli")</f>
        <v/>
      </c>
      <c r="Z687" t="str">
        <f>IF($AS687="","",Config!$B$21)</f>
        <v/>
      </c>
      <c r="AA687" t="str">
        <f>IF($AS687="","",Config!$B$22)</f>
        <v/>
      </c>
      <c r="AB687" t="str">
        <f>IF($AT687="","",INDEX(Calc!$D$2:$D$1601,$AT687))</f>
        <v/>
      </c>
      <c r="AC687" t="str">
        <f>IF($AT687="","",INDEX(Calc!$G$2:$G$1601,$AT687))</f>
        <v/>
      </c>
      <c r="AD687" t="str">
        <f>IF($AS687="","",Config!$B$23)</f>
        <v/>
      </c>
      <c r="AE687" t="str">
        <f>IF($AS687="","",Config!$B$28)</f>
        <v/>
      </c>
      <c r="AF687" t="str">
        <f t="shared" si="62"/>
        <v/>
      </c>
      <c r="AG687" t="str">
        <f t="shared" si="63"/>
        <v/>
      </c>
      <c r="AH687" t="str">
        <f t="shared" si="64"/>
        <v/>
      </c>
      <c r="AI687" t="str">
        <f>IF($AG687="","",SUMIF($AG$2:$AG687,$AG687,$AH$2:$AH687))</f>
        <v/>
      </c>
      <c r="AJ687" t="str">
        <f>IF('TMP Paste'!$F687="","",IF('TMP Paste'!$B687="",$AJ686,'TMP Paste'!$B687))</f>
        <v/>
      </c>
      <c r="AK687" t="str">
        <f>IF('TMP Paste'!$F687="","",N('TMP Paste'!$G687))</f>
        <v/>
      </c>
      <c r="AL687" t="str">
        <f>IF('TMP Paste'!$F687="","",IF('TMP Paste'!$M687="",$AL686,'TMP Paste'!$M687))</f>
        <v/>
      </c>
      <c r="AM687" t="str">
        <f>IF('TMP Paste'!$F687="","",IF('TMP Paste'!$N687="",$AM686,'TMP Paste'!$N687))</f>
        <v/>
      </c>
      <c r="AN687" t="str">
        <f>IF('TMP Paste'!$F687="","",IF('TMP Paste'!$O687="",$AN686,'TMP Paste'!$O687))</f>
        <v/>
      </c>
      <c r="AO687" t="str">
        <f>IF('TMP Paste'!$F687="","",IF('TMP Paste'!$P687="",$AO686,'TMP Paste'!$P687))</f>
        <v/>
      </c>
      <c r="AP687" t="str">
        <f t="shared" si="65"/>
        <v/>
      </c>
      <c r="AQ687" t="str">
        <f>IF($AS687="","",TRIM(IF(COUNTIFS(Calc!$B$2:$B$1601,ROW()-1,Calc!$C$2:$C$1601,"&lt;1")&gt;0,"Ada PO tanpa Koli - cek TMP. ","")&amp;IF(OR($AU687="",$AU687&lt;=0),"Volume kosong/0 - dimensi dikosongkan. ","")&amp;IF(AND($AU687&lt;&gt;"",$AU687&gt;=1000000),"Volume &gt;= 1.000.000 cm3 (di luar aturan) - dimensi dikosongkan. ","")&amp;IF(LEN($R687)&gt;500,"R &gt; 500 karakter.","")))</f>
        <v/>
      </c>
      <c r="AS687" t="str">
        <f>IFERROR(MATCH(ROW()-1,Calc!$J$2:$J$1601,0),"")</f>
        <v/>
      </c>
      <c r="AT687" t="str">
        <f>IFERROR(MATCH(ROW()-1,Calc!$K$2:$K$1601,0),"")</f>
        <v/>
      </c>
      <c r="AU687" t="str">
        <f>IF($AS687="","",IFERROR(INDEX('TMP Paste'!$D$2:$D$1601,$AS687)*1000000/$AB687,""))</f>
        <v/>
      </c>
    </row>
    <row r="688" spans="1:47">
      <c r="A688" t="str">
        <f>IF($AS688="","",INDEX('TMP Paste'!$B$2:$B$1601,$AS688))</f>
        <v/>
      </c>
      <c r="B688" t="str">
        <f>IF($AS688="","",Config!$B$14)</f>
        <v/>
      </c>
      <c r="C688" t="str">
        <f>IF($AS688="","",Config!$B$15)</f>
        <v/>
      </c>
      <c r="D688" t="str">
        <f>IF($AS688="","",INDEX('TMP Paste'!$B$2:$B$1601,$AS688))</f>
        <v/>
      </c>
      <c r="E688" t="str">
        <f>IF($AS688="","",Config!$B$27)</f>
        <v/>
      </c>
      <c r="F688" t="str">
        <f>IF($AS688="","",Config!$B$9)</f>
        <v/>
      </c>
      <c r="G688" t="str">
        <f>IF($AS688="","",Config!$B$10)</f>
        <v/>
      </c>
      <c r="H688" t="str">
        <f>IF($AS688="","",Config!$B$11)</f>
        <v/>
      </c>
      <c r="I688" t="str">
        <f>IF($AS688="","",Config!$B$16)</f>
        <v/>
      </c>
      <c r="J688" t="str">
        <f>IF($AS688="","",INDEX('TMP Paste'!$A$2:$A$1601,$AS688))</f>
        <v/>
      </c>
      <c r="K688" t="str">
        <f>IF($AS688="","",INDEX('TMP Paste'!$L$2:$L$1601,$AS688))</f>
        <v/>
      </c>
      <c r="L688" t="str">
        <f>IF($AS688="","",INDEX('TMP Paste'!$I$2:$I$1601,$AS688))</f>
        <v/>
      </c>
      <c r="M688" t="str">
        <f>IF($AS688="","",Config!$B$16)</f>
        <v/>
      </c>
      <c r="N688" t="str">
        <f t="shared" si="60"/>
        <v/>
      </c>
      <c r="O688" t="str">
        <f>IF($AS688="","",INDEX('TMP Paste'!$K$2:$K$1601,$AS688))</f>
        <v/>
      </c>
      <c r="P688" t="str">
        <f t="shared" si="61"/>
        <v/>
      </c>
      <c r="Q688" t="str">
        <f>IF($AS688="","",INDEX('TMP Paste'!$J$2:$J$1601,$AS688))</f>
        <v/>
      </c>
      <c r="R688" t="str">
        <f>IF($AS688="","",Config!$B$24)</f>
        <v/>
      </c>
      <c r="S688" t="str">
        <f ca="1">IF($AS688="","",TEXT(Config!$B$4,"yyyy-mm-dd"))</f>
        <v/>
      </c>
      <c r="T688" t="str">
        <f>IF($AS688="","",Config!$B$17)</f>
        <v/>
      </c>
      <c r="U688" t="str">
        <f>IF($AS688="","",Config!$B$18)</f>
        <v/>
      </c>
      <c r="V688" t="str">
        <f>IF($AS688="","",Config!$B$19)</f>
        <v/>
      </c>
      <c r="W688" t="str">
        <f>IF($AS688="","",INDEX('TMP Paste'!$C$2:$C$1601,$AS688))</f>
        <v/>
      </c>
      <c r="X688" t="str">
        <f>IF($AS688="","",Config!$B$29)</f>
        <v/>
      </c>
      <c r="Y688" t="str">
        <f>IF($AT688="","",INDEX(Calc!$I$2:$I$1601,$AT688)&amp;" - "&amp;INDEX(Calc!$D$2:$D$1601,$AT688)&amp;" koli")</f>
        <v/>
      </c>
      <c r="Z688" t="str">
        <f>IF($AS688="","",Config!$B$21)</f>
        <v/>
      </c>
      <c r="AA688" t="str">
        <f>IF($AS688="","",Config!$B$22)</f>
        <v/>
      </c>
      <c r="AB688" t="str">
        <f>IF($AT688="","",INDEX(Calc!$D$2:$D$1601,$AT688))</f>
        <v/>
      </c>
      <c r="AC688" t="str">
        <f>IF($AT688="","",INDEX(Calc!$G$2:$G$1601,$AT688))</f>
        <v/>
      </c>
      <c r="AD688" t="str">
        <f>IF($AS688="","",Config!$B$23)</f>
        <v/>
      </c>
      <c r="AE688" t="str">
        <f>IF($AS688="","",Config!$B$28)</f>
        <v/>
      </c>
      <c r="AF688" t="str">
        <f t="shared" si="62"/>
        <v/>
      </c>
      <c r="AG688" t="str">
        <f t="shared" si="63"/>
        <v/>
      </c>
      <c r="AH688" t="str">
        <f t="shared" si="64"/>
        <v/>
      </c>
      <c r="AI688" t="str">
        <f>IF($AG688="","",SUMIF($AG$2:$AG688,$AG688,$AH$2:$AH688))</f>
        <v/>
      </c>
      <c r="AJ688" t="str">
        <f>IF('TMP Paste'!$F688="","",IF('TMP Paste'!$B688="",$AJ687,'TMP Paste'!$B688))</f>
        <v/>
      </c>
      <c r="AK688" t="str">
        <f>IF('TMP Paste'!$F688="","",N('TMP Paste'!$G688))</f>
        <v/>
      </c>
      <c r="AL688" t="str">
        <f>IF('TMP Paste'!$F688="","",IF('TMP Paste'!$M688="",$AL687,'TMP Paste'!$M688))</f>
        <v/>
      </c>
      <c r="AM688" t="str">
        <f>IF('TMP Paste'!$F688="","",IF('TMP Paste'!$N688="",$AM687,'TMP Paste'!$N688))</f>
        <v/>
      </c>
      <c r="AN688" t="str">
        <f>IF('TMP Paste'!$F688="","",IF('TMP Paste'!$O688="",$AN687,'TMP Paste'!$O688))</f>
        <v/>
      </c>
      <c r="AO688" t="str">
        <f>IF('TMP Paste'!$F688="","",IF('TMP Paste'!$P688="",$AO687,'TMP Paste'!$P688))</f>
        <v/>
      </c>
      <c r="AP688" t="str">
        <f t="shared" si="65"/>
        <v/>
      </c>
      <c r="AQ688" t="str">
        <f>IF($AS688="","",TRIM(IF(COUNTIFS(Calc!$B$2:$B$1601,ROW()-1,Calc!$C$2:$C$1601,"&lt;1")&gt;0,"Ada PO tanpa Koli - cek TMP. ","")&amp;IF(OR($AU688="",$AU688&lt;=0),"Volume kosong/0 - dimensi dikosongkan. ","")&amp;IF(AND($AU688&lt;&gt;"",$AU688&gt;=1000000),"Volume &gt;= 1.000.000 cm3 (di luar aturan) - dimensi dikosongkan. ","")&amp;IF(LEN($R688)&gt;500,"R &gt; 500 karakter.","")))</f>
        <v/>
      </c>
      <c r="AS688" t="str">
        <f>IFERROR(MATCH(ROW()-1,Calc!$J$2:$J$1601,0),"")</f>
        <v/>
      </c>
      <c r="AT688" t="str">
        <f>IFERROR(MATCH(ROW()-1,Calc!$K$2:$K$1601,0),"")</f>
        <v/>
      </c>
      <c r="AU688" t="str">
        <f>IF($AS688="","",IFERROR(INDEX('TMP Paste'!$D$2:$D$1601,$AS688)*1000000/$AB688,""))</f>
        <v/>
      </c>
    </row>
    <row r="689" spans="1:47">
      <c r="A689" t="str">
        <f>IF($AS689="","",INDEX('TMP Paste'!$B$2:$B$1601,$AS689))</f>
        <v/>
      </c>
      <c r="B689" t="str">
        <f>IF($AS689="","",Config!$B$14)</f>
        <v/>
      </c>
      <c r="C689" t="str">
        <f>IF($AS689="","",Config!$B$15)</f>
        <v/>
      </c>
      <c r="D689" t="str">
        <f>IF($AS689="","",INDEX('TMP Paste'!$B$2:$B$1601,$AS689))</f>
        <v/>
      </c>
      <c r="E689" t="str">
        <f>IF($AS689="","",Config!$B$27)</f>
        <v/>
      </c>
      <c r="F689" t="str">
        <f>IF($AS689="","",Config!$B$9)</f>
        <v/>
      </c>
      <c r="G689" t="str">
        <f>IF($AS689="","",Config!$B$10)</f>
        <v/>
      </c>
      <c r="H689" t="str">
        <f>IF($AS689="","",Config!$B$11)</f>
        <v/>
      </c>
      <c r="I689" t="str">
        <f>IF($AS689="","",Config!$B$16)</f>
        <v/>
      </c>
      <c r="J689" t="str">
        <f>IF($AS689="","",INDEX('TMP Paste'!$A$2:$A$1601,$AS689))</f>
        <v/>
      </c>
      <c r="K689" t="str">
        <f>IF($AS689="","",INDEX('TMP Paste'!$L$2:$L$1601,$AS689))</f>
        <v/>
      </c>
      <c r="L689" t="str">
        <f>IF($AS689="","",INDEX('TMP Paste'!$I$2:$I$1601,$AS689))</f>
        <v/>
      </c>
      <c r="M689" t="str">
        <f>IF($AS689="","",Config!$B$16)</f>
        <v/>
      </c>
      <c r="N689" t="str">
        <f t="shared" si="60"/>
        <v/>
      </c>
      <c r="O689" t="str">
        <f>IF($AS689="","",INDEX('TMP Paste'!$K$2:$K$1601,$AS689))</f>
        <v/>
      </c>
      <c r="P689" t="str">
        <f t="shared" si="61"/>
        <v/>
      </c>
      <c r="Q689" t="str">
        <f>IF($AS689="","",INDEX('TMP Paste'!$J$2:$J$1601,$AS689))</f>
        <v/>
      </c>
      <c r="R689" t="str">
        <f>IF($AS689="","",Config!$B$24)</f>
        <v/>
      </c>
      <c r="S689" t="str">
        <f ca="1">IF($AS689="","",TEXT(Config!$B$4,"yyyy-mm-dd"))</f>
        <v/>
      </c>
      <c r="T689" t="str">
        <f>IF($AS689="","",Config!$B$17)</f>
        <v/>
      </c>
      <c r="U689" t="str">
        <f>IF($AS689="","",Config!$B$18)</f>
        <v/>
      </c>
      <c r="V689" t="str">
        <f>IF($AS689="","",Config!$B$19)</f>
        <v/>
      </c>
      <c r="W689" t="str">
        <f>IF($AS689="","",INDEX('TMP Paste'!$C$2:$C$1601,$AS689))</f>
        <v/>
      </c>
      <c r="X689" t="str">
        <f>IF($AS689="","",Config!$B$29)</f>
        <v/>
      </c>
      <c r="Y689" t="str">
        <f>IF($AT689="","",INDEX(Calc!$I$2:$I$1601,$AT689)&amp;" - "&amp;INDEX(Calc!$D$2:$D$1601,$AT689)&amp;" koli")</f>
        <v/>
      </c>
      <c r="Z689" t="str">
        <f>IF($AS689="","",Config!$B$21)</f>
        <v/>
      </c>
      <c r="AA689" t="str">
        <f>IF($AS689="","",Config!$B$22)</f>
        <v/>
      </c>
      <c r="AB689" t="str">
        <f>IF($AT689="","",INDEX(Calc!$D$2:$D$1601,$AT689))</f>
        <v/>
      </c>
      <c r="AC689" t="str">
        <f>IF($AT689="","",INDEX(Calc!$G$2:$G$1601,$AT689))</f>
        <v/>
      </c>
      <c r="AD689" t="str">
        <f>IF($AS689="","",Config!$B$23)</f>
        <v/>
      </c>
      <c r="AE689" t="str">
        <f>IF($AS689="","",Config!$B$28)</f>
        <v/>
      </c>
      <c r="AF689" t="str">
        <f t="shared" si="62"/>
        <v/>
      </c>
      <c r="AG689" t="str">
        <f t="shared" si="63"/>
        <v/>
      </c>
      <c r="AH689" t="str">
        <f t="shared" si="64"/>
        <v/>
      </c>
      <c r="AI689" t="str">
        <f>IF($AG689="","",SUMIF($AG$2:$AG689,$AG689,$AH$2:$AH689))</f>
        <v/>
      </c>
      <c r="AJ689" t="str">
        <f>IF('TMP Paste'!$F689="","",IF('TMP Paste'!$B689="",$AJ688,'TMP Paste'!$B689))</f>
        <v/>
      </c>
      <c r="AK689" t="str">
        <f>IF('TMP Paste'!$F689="","",N('TMP Paste'!$G689))</f>
        <v/>
      </c>
      <c r="AL689" t="str">
        <f>IF('TMP Paste'!$F689="","",IF('TMP Paste'!$M689="",$AL688,'TMP Paste'!$M689))</f>
        <v/>
      </c>
      <c r="AM689" t="str">
        <f>IF('TMP Paste'!$F689="","",IF('TMP Paste'!$N689="",$AM688,'TMP Paste'!$N689))</f>
        <v/>
      </c>
      <c r="AN689" t="str">
        <f>IF('TMP Paste'!$F689="","",IF('TMP Paste'!$O689="",$AN688,'TMP Paste'!$O689))</f>
        <v/>
      </c>
      <c r="AO689" t="str">
        <f>IF('TMP Paste'!$F689="","",IF('TMP Paste'!$P689="",$AO688,'TMP Paste'!$P689))</f>
        <v/>
      </c>
      <c r="AP689" t="str">
        <f t="shared" si="65"/>
        <v/>
      </c>
      <c r="AQ689" t="str">
        <f>IF($AS689="","",TRIM(IF(COUNTIFS(Calc!$B$2:$B$1601,ROW()-1,Calc!$C$2:$C$1601,"&lt;1")&gt;0,"Ada PO tanpa Koli - cek TMP. ","")&amp;IF(OR($AU689="",$AU689&lt;=0),"Volume kosong/0 - dimensi dikosongkan. ","")&amp;IF(AND($AU689&lt;&gt;"",$AU689&gt;=1000000),"Volume &gt;= 1.000.000 cm3 (di luar aturan) - dimensi dikosongkan. ","")&amp;IF(LEN($R689)&gt;500,"R &gt; 500 karakter.","")))</f>
        <v/>
      </c>
      <c r="AS689" t="str">
        <f>IFERROR(MATCH(ROW()-1,Calc!$J$2:$J$1601,0),"")</f>
        <v/>
      </c>
      <c r="AT689" t="str">
        <f>IFERROR(MATCH(ROW()-1,Calc!$K$2:$K$1601,0),"")</f>
        <v/>
      </c>
      <c r="AU689" t="str">
        <f>IF($AS689="","",IFERROR(INDEX('TMP Paste'!$D$2:$D$1601,$AS689)*1000000/$AB689,""))</f>
        <v/>
      </c>
    </row>
    <row r="690" spans="1:47">
      <c r="A690" t="str">
        <f>IF($AS690="","",INDEX('TMP Paste'!$B$2:$B$1601,$AS690))</f>
        <v/>
      </c>
      <c r="B690" t="str">
        <f>IF($AS690="","",Config!$B$14)</f>
        <v/>
      </c>
      <c r="C690" t="str">
        <f>IF($AS690="","",Config!$B$15)</f>
        <v/>
      </c>
      <c r="D690" t="str">
        <f>IF($AS690="","",INDEX('TMP Paste'!$B$2:$B$1601,$AS690))</f>
        <v/>
      </c>
      <c r="E690" t="str">
        <f>IF($AS690="","",Config!$B$27)</f>
        <v/>
      </c>
      <c r="F690" t="str">
        <f>IF($AS690="","",Config!$B$9)</f>
        <v/>
      </c>
      <c r="G690" t="str">
        <f>IF($AS690="","",Config!$B$10)</f>
        <v/>
      </c>
      <c r="H690" t="str">
        <f>IF($AS690="","",Config!$B$11)</f>
        <v/>
      </c>
      <c r="I690" t="str">
        <f>IF($AS690="","",Config!$B$16)</f>
        <v/>
      </c>
      <c r="J690" t="str">
        <f>IF($AS690="","",INDEX('TMP Paste'!$A$2:$A$1601,$AS690))</f>
        <v/>
      </c>
      <c r="K690" t="str">
        <f>IF($AS690="","",INDEX('TMP Paste'!$L$2:$L$1601,$AS690))</f>
        <v/>
      </c>
      <c r="L690" t="str">
        <f>IF($AS690="","",INDEX('TMP Paste'!$I$2:$I$1601,$AS690))</f>
        <v/>
      </c>
      <c r="M690" t="str">
        <f>IF($AS690="","",Config!$B$16)</f>
        <v/>
      </c>
      <c r="N690" t="str">
        <f t="shared" si="60"/>
        <v/>
      </c>
      <c r="O690" t="str">
        <f>IF($AS690="","",INDEX('TMP Paste'!$K$2:$K$1601,$AS690))</f>
        <v/>
      </c>
      <c r="P690" t="str">
        <f t="shared" si="61"/>
        <v/>
      </c>
      <c r="Q690" t="str">
        <f>IF($AS690="","",INDEX('TMP Paste'!$J$2:$J$1601,$AS690))</f>
        <v/>
      </c>
      <c r="R690" t="str">
        <f>IF($AS690="","",Config!$B$24)</f>
        <v/>
      </c>
      <c r="S690" t="str">
        <f ca="1">IF($AS690="","",TEXT(Config!$B$4,"yyyy-mm-dd"))</f>
        <v/>
      </c>
      <c r="T690" t="str">
        <f>IF($AS690="","",Config!$B$17)</f>
        <v/>
      </c>
      <c r="U690" t="str">
        <f>IF($AS690="","",Config!$B$18)</f>
        <v/>
      </c>
      <c r="V690" t="str">
        <f>IF($AS690="","",Config!$B$19)</f>
        <v/>
      </c>
      <c r="W690" t="str">
        <f>IF($AS690="","",INDEX('TMP Paste'!$C$2:$C$1601,$AS690))</f>
        <v/>
      </c>
      <c r="X690" t="str">
        <f>IF($AS690="","",Config!$B$29)</f>
        <v/>
      </c>
      <c r="Y690" t="str">
        <f>IF($AT690="","",INDEX(Calc!$I$2:$I$1601,$AT690)&amp;" - "&amp;INDEX(Calc!$D$2:$D$1601,$AT690)&amp;" koli")</f>
        <v/>
      </c>
      <c r="Z690" t="str">
        <f>IF($AS690="","",Config!$B$21)</f>
        <v/>
      </c>
      <c r="AA690" t="str">
        <f>IF($AS690="","",Config!$B$22)</f>
        <v/>
      </c>
      <c r="AB690" t="str">
        <f>IF($AT690="","",INDEX(Calc!$D$2:$D$1601,$AT690))</f>
        <v/>
      </c>
      <c r="AC690" t="str">
        <f>IF($AT690="","",INDEX(Calc!$G$2:$G$1601,$AT690))</f>
        <v/>
      </c>
      <c r="AD690" t="str">
        <f>IF($AS690="","",Config!$B$23)</f>
        <v/>
      </c>
      <c r="AE690" t="str">
        <f>IF($AS690="","",Config!$B$28)</f>
        <v/>
      </c>
      <c r="AF690" t="str">
        <f t="shared" si="62"/>
        <v/>
      </c>
      <c r="AG690" t="str">
        <f t="shared" si="63"/>
        <v/>
      </c>
      <c r="AH690" t="str">
        <f t="shared" si="64"/>
        <v/>
      </c>
      <c r="AI690" t="str">
        <f>IF($AG690="","",SUMIF($AG$2:$AG690,$AG690,$AH$2:$AH690))</f>
        <v/>
      </c>
      <c r="AJ690" t="str">
        <f>IF('TMP Paste'!$F690="","",IF('TMP Paste'!$B690="",$AJ689,'TMP Paste'!$B690))</f>
        <v/>
      </c>
      <c r="AK690" t="str">
        <f>IF('TMP Paste'!$F690="","",N('TMP Paste'!$G690))</f>
        <v/>
      </c>
      <c r="AL690" t="str">
        <f>IF('TMP Paste'!$F690="","",IF('TMP Paste'!$M690="",$AL689,'TMP Paste'!$M690))</f>
        <v/>
      </c>
      <c r="AM690" t="str">
        <f>IF('TMP Paste'!$F690="","",IF('TMP Paste'!$N690="",$AM689,'TMP Paste'!$N690))</f>
        <v/>
      </c>
      <c r="AN690" t="str">
        <f>IF('TMP Paste'!$F690="","",IF('TMP Paste'!$O690="",$AN689,'TMP Paste'!$O690))</f>
        <v/>
      </c>
      <c r="AO690" t="str">
        <f>IF('TMP Paste'!$F690="","",IF('TMP Paste'!$P690="",$AO689,'TMP Paste'!$P690))</f>
        <v/>
      </c>
      <c r="AP690" t="str">
        <f t="shared" si="65"/>
        <v/>
      </c>
      <c r="AQ690" t="str">
        <f>IF($AS690="","",TRIM(IF(COUNTIFS(Calc!$B$2:$B$1601,ROW()-1,Calc!$C$2:$C$1601,"&lt;1")&gt;0,"Ada PO tanpa Koli - cek TMP. ","")&amp;IF(OR($AU690="",$AU690&lt;=0),"Volume kosong/0 - dimensi dikosongkan. ","")&amp;IF(AND($AU690&lt;&gt;"",$AU690&gt;=1000000),"Volume &gt;= 1.000.000 cm3 (di luar aturan) - dimensi dikosongkan. ","")&amp;IF(LEN($R690)&gt;500,"R &gt; 500 karakter.","")))</f>
        <v/>
      </c>
      <c r="AS690" t="str">
        <f>IFERROR(MATCH(ROW()-1,Calc!$J$2:$J$1601,0),"")</f>
        <v/>
      </c>
      <c r="AT690" t="str">
        <f>IFERROR(MATCH(ROW()-1,Calc!$K$2:$K$1601,0),"")</f>
        <v/>
      </c>
      <c r="AU690" t="str">
        <f>IF($AS690="","",IFERROR(INDEX('TMP Paste'!$D$2:$D$1601,$AS690)*1000000/$AB690,""))</f>
        <v/>
      </c>
    </row>
    <row r="691" spans="1:47">
      <c r="A691" t="str">
        <f>IF($AS691="","",INDEX('TMP Paste'!$B$2:$B$1601,$AS691))</f>
        <v/>
      </c>
      <c r="B691" t="str">
        <f>IF($AS691="","",Config!$B$14)</f>
        <v/>
      </c>
      <c r="C691" t="str">
        <f>IF($AS691="","",Config!$B$15)</f>
        <v/>
      </c>
      <c r="D691" t="str">
        <f>IF($AS691="","",INDEX('TMP Paste'!$B$2:$B$1601,$AS691))</f>
        <v/>
      </c>
      <c r="E691" t="str">
        <f>IF($AS691="","",Config!$B$27)</f>
        <v/>
      </c>
      <c r="F691" t="str">
        <f>IF($AS691="","",Config!$B$9)</f>
        <v/>
      </c>
      <c r="G691" t="str">
        <f>IF($AS691="","",Config!$B$10)</f>
        <v/>
      </c>
      <c r="H691" t="str">
        <f>IF($AS691="","",Config!$B$11)</f>
        <v/>
      </c>
      <c r="I691" t="str">
        <f>IF($AS691="","",Config!$B$16)</f>
        <v/>
      </c>
      <c r="J691" t="str">
        <f>IF($AS691="","",INDEX('TMP Paste'!$A$2:$A$1601,$AS691))</f>
        <v/>
      </c>
      <c r="K691" t="str">
        <f>IF($AS691="","",INDEX('TMP Paste'!$L$2:$L$1601,$AS691))</f>
        <v/>
      </c>
      <c r="L691" t="str">
        <f>IF($AS691="","",INDEX('TMP Paste'!$I$2:$I$1601,$AS691))</f>
        <v/>
      </c>
      <c r="M691" t="str">
        <f>IF($AS691="","",Config!$B$16)</f>
        <v/>
      </c>
      <c r="N691" t="str">
        <f t="shared" si="60"/>
        <v/>
      </c>
      <c r="O691" t="str">
        <f>IF($AS691="","",INDEX('TMP Paste'!$K$2:$K$1601,$AS691))</f>
        <v/>
      </c>
      <c r="P691" t="str">
        <f t="shared" si="61"/>
        <v/>
      </c>
      <c r="Q691" t="str">
        <f>IF($AS691="","",INDEX('TMP Paste'!$J$2:$J$1601,$AS691))</f>
        <v/>
      </c>
      <c r="R691" t="str">
        <f>IF($AS691="","",Config!$B$24)</f>
        <v/>
      </c>
      <c r="S691" t="str">
        <f ca="1">IF($AS691="","",TEXT(Config!$B$4,"yyyy-mm-dd"))</f>
        <v/>
      </c>
      <c r="T691" t="str">
        <f>IF($AS691="","",Config!$B$17)</f>
        <v/>
      </c>
      <c r="U691" t="str">
        <f>IF($AS691="","",Config!$B$18)</f>
        <v/>
      </c>
      <c r="V691" t="str">
        <f>IF($AS691="","",Config!$B$19)</f>
        <v/>
      </c>
      <c r="W691" t="str">
        <f>IF($AS691="","",INDEX('TMP Paste'!$C$2:$C$1601,$AS691))</f>
        <v/>
      </c>
      <c r="X691" t="str">
        <f>IF($AS691="","",Config!$B$29)</f>
        <v/>
      </c>
      <c r="Y691" t="str">
        <f>IF($AT691="","",INDEX(Calc!$I$2:$I$1601,$AT691)&amp;" - "&amp;INDEX(Calc!$D$2:$D$1601,$AT691)&amp;" koli")</f>
        <v/>
      </c>
      <c r="Z691" t="str">
        <f>IF($AS691="","",Config!$B$21)</f>
        <v/>
      </c>
      <c r="AA691" t="str">
        <f>IF($AS691="","",Config!$B$22)</f>
        <v/>
      </c>
      <c r="AB691" t="str">
        <f>IF($AT691="","",INDEX(Calc!$D$2:$D$1601,$AT691))</f>
        <v/>
      </c>
      <c r="AC691" t="str">
        <f>IF($AT691="","",INDEX(Calc!$G$2:$G$1601,$AT691))</f>
        <v/>
      </c>
      <c r="AD691" t="str">
        <f>IF($AS691="","",Config!$B$23)</f>
        <v/>
      </c>
      <c r="AE691" t="str">
        <f>IF($AS691="","",Config!$B$28)</f>
        <v/>
      </c>
      <c r="AF691" t="str">
        <f t="shared" si="62"/>
        <v/>
      </c>
      <c r="AG691" t="str">
        <f t="shared" si="63"/>
        <v/>
      </c>
      <c r="AH691" t="str">
        <f t="shared" si="64"/>
        <v/>
      </c>
      <c r="AI691" t="str">
        <f>IF($AG691="","",SUMIF($AG$2:$AG691,$AG691,$AH$2:$AH691))</f>
        <v/>
      </c>
      <c r="AJ691" t="str">
        <f>IF('TMP Paste'!$F691="","",IF('TMP Paste'!$B691="",$AJ690,'TMP Paste'!$B691))</f>
        <v/>
      </c>
      <c r="AK691" t="str">
        <f>IF('TMP Paste'!$F691="","",N('TMP Paste'!$G691))</f>
        <v/>
      </c>
      <c r="AL691" t="str">
        <f>IF('TMP Paste'!$F691="","",IF('TMP Paste'!$M691="",$AL690,'TMP Paste'!$M691))</f>
        <v/>
      </c>
      <c r="AM691" t="str">
        <f>IF('TMP Paste'!$F691="","",IF('TMP Paste'!$N691="",$AM690,'TMP Paste'!$N691))</f>
        <v/>
      </c>
      <c r="AN691" t="str">
        <f>IF('TMP Paste'!$F691="","",IF('TMP Paste'!$O691="",$AN690,'TMP Paste'!$O691))</f>
        <v/>
      </c>
      <c r="AO691" t="str">
        <f>IF('TMP Paste'!$F691="","",IF('TMP Paste'!$P691="",$AO690,'TMP Paste'!$P691))</f>
        <v/>
      </c>
      <c r="AP691" t="str">
        <f t="shared" si="65"/>
        <v/>
      </c>
      <c r="AQ691" t="str">
        <f>IF($AS691="","",TRIM(IF(COUNTIFS(Calc!$B$2:$B$1601,ROW()-1,Calc!$C$2:$C$1601,"&lt;1")&gt;0,"Ada PO tanpa Koli - cek TMP. ","")&amp;IF(OR($AU691="",$AU691&lt;=0),"Volume kosong/0 - dimensi dikosongkan. ","")&amp;IF(AND($AU691&lt;&gt;"",$AU691&gt;=1000000),"Volume &gt;= 1.000.000 cm3 (di luar aturan) - dimensi dikosongkan. ","")&amp;IF(LEN($R691)&gt;500,"R &gt; 500 karakter.","")))</f>
        <v/>
      </c>
      <c r="AS691" t="str">
        <f>IFERROR(MATCH(ROW()-1,Calc!$J$2:$J$1601,0),"")</f>
        <v/>
      </c>
      <c r="AT691" t="str">
        <f>IFERROR(MATCH(ROW()-1,Calc!$K$2:$K$1601,0),"")</f>
        <v/>
      </c>
      <c r="AU691" t="str">
        <f>IF($AS691="","",IFERROR(INDEX('TMP Paste'!$D$2:$D$1601,$AS691)*1000000/$AB691,""))</f>
        <v/>
      </c>
    </row>
    <row r="692" spans="1:47">
      <c r="A692" t="str">
        <f>IF($AS692="","",INDEX('TMP Paste'!$B$2:$B$1601,$AS692))</f>
        <v/>
      </c>
      <c r="B692" t="str">
        <f>IF($AS692="","",Config!$B$14)</f>
        <v/>
      </c>
      <c r="C692" t="str">
        <f>IF($AS692="","",Config!$B$15)</f>
        <v/>
      </c>
      <c r="D692" t="str">
        <f>IF($AS692="","",INDEX('TMP Paste'!$B$2:$B$1601,$AS692))</f>
        <v/>
      </c>
      <c r="E692" t="str">
        <f>IF($AS692="","",Config!$B$27)</f>
        <v/>
      </c>
      <c r="F692" t="str">
        <f>IF($AS692="","",Config!$B$9)</f>
        <v/>
      </c>
      <c r="G692" t="str">
        <f>IF($AS692="","",Config!$B$10)</f>
        <v/>
      </c>
      <c r="H692" t="str">
        <f>IF($AS692="","",Config!$B$11)</f>
        <v/>
      </c>
      <c r="I692" t="str">
        <f>IF($AS692="","",Config!$B$16)</f>
        <v/>
      </c>
      <c r="J692" t="str">
        <f>IF($AS692="","",INDEX('TMP Paste'!$A$2:$A$1601,$AS692))</f>
        <v/>
      </c>
      <c r="K692" t="str">
        <f>IF($AS692="","",INDEX('TMP Paste'!$L$2:$L$1601,$AS692))</f>
        <v/>
      </c>
      <c r="L692" t="str">
        <f>IF($AS692="","",INDEX('TMP Paste'!$I$2:$I$1601,$AS692))</f>
        <v/>
      </c>
      <c r="M692" t="str">
        <f>IF($AS692="","",Config!$B$16)</f>
        <v/>
      </c>
      <c r="N692" t="str">
        <f t="shared" si="60"/>
        <v/>
      </c>
      <c r="O692" t="str">
        <f>IF($AS692="","",INDEX('TMP Paste'!$K$2:$K$1601,$AS692))</f>
        <v/>
      </c>
      <c r="P692" t="str">
        <f t="shared" si="61"/>
        <v/>
      </c>
      <c r="Q692" t="str">
        <f>IF($AS692="","",INDEX('TMP Paste'!$J$2:$J$1601,$AS692))</f>
        <v/>
      </c>
      <c r="R692" t="str">
        <f>IF($AS692="","",Config!$B$24)</f>
        <v/>
      </c>
      <c r="S692" t="str">
        <f ca="1">IF($AS692="","",TEXT(Config!$B$4,"yyyy-mm-dd"))</f>
        <v/>
      </c>
      <c r="T692" t="str">
        <f>IF($AS692="","",Config!$B$17)</f>
        <v/>
      </c>
      <c r="U692" t="str">
        <f>IF($AS692="","",Config!$B$18)</f>
        <v/>
      </c>
      <c r="V692" t="str">
        <f>IF($AS692="","",Config!$B$19)</f>
        <v/>
      </c>
      <c r="W692" t="str">
        <f>IF($AS692="","",INDEX('TMP Paste'!$C$2:$C$1601,$AS692))</f>
        <v/>
      </c>
      <c r="X692" t="str">
        <f>IF($AS692="","",Config!$B$29)</f>
        <v/>
      </c>
      <c r="Y692" t="str">
        <f>IF($AT692="","",INDEX(Calc!$I$2:$I$1601,$AT692)&amp;" - "&amp;INDEX(Calc!$D$2:$D$1601,$AT692)&amp;" koli")</f>
        <v/>
      </c>
      <c r="Z692" t="str">
        <f>IF($AS692="","",Config!$B$21)</f>
        <v/>
      </c>
      <c r="AA692" t="str">
        <f>IF($AS692="","",Config!$B$22)</f>
        <v/>
      </c>
      <c r="AB692" t="str">
        <f>IF($AT692="","",INDEX(Calc!$D$2:$D$1601,$AT692))</f>
        <v/>
      </c>
      <c r="AC692" t="str">
        <f>IF($AT692="","",INDEX(Calc!$G$2:$G$1601,$AT692))</f>
        <v/>
      </c>
      <c r="AD692" t="str">
        <f>IF($AS692="","",Config!$B$23)</f>
        <v/>
      </c>
      <c r="AE692" t="str">
        <f>IF($AS692="","",Config!$B$28)</f>
        <v/>
      </c>
      <c r="AF692" t="str">
        <f t="shared" si="62"/>
        <v/>
      </c>
      <c r="AG692" t="str">
        <f t="shared" si="63"/>
        <v/>
      </c>
      <c r="AH692" t="str">
        <f t="shared" si="64"/>
        <v/>
      </c>
      <c r="AI692" t="str">
        <f>IF($AG692="","",SUMIF($AG$2:$AG692,$AG692,$AH$2:$AH692))</f>
        <v/>
      </c>
      <c r="AJ692" t="str">
        <f>IF('TMP Paste'!$F692="","",IF('TMP Paste'!$B692="",$AJ691,'TMP Paste'!$B692))</f>
        <v/>
      </c>
      <c r="AK692" t="str">
        <f>IF('TMP Paste'!$F692="","",N('TMP Paste'!$G692))</f>
        <v/>
      </c>
      <c r="AL692" t="str">
        <f>IF('TMP Paste'!$F692="","",IF('TMP Paste'!$M692="",$AL691,'TMP Paste'!$M692))</f>
        <v/>
      </c>
      <c r="AM692" t="str">
        <f>IF('TMP Paste'!$F692="","",IF('TMP Paste'!$N692="",$AM691,'TMP Paste'!$N692))</f>
        <v/>
      </c>
      <c r="AN692" t="str">
        <f>IF('TMP Paste'!$F692="","",IF('TMP Paste'!$O692="",$AN691,'TMP Paste'!$O692))</f>
        <v/>
      </c>
      <c r="AO692" t="str">
        <f>IF('TMP Paste'!$F692="","",IF('TMP Paste'!$P692="",$AO691,'TMP Paste'!$P692))</f>
        <v/>
      </c>
      <c r="AP692" t="str">
        <f t="shared" si="65"/>
        <v/>
      </c>
      <c r="AQ692" t="str">
        <f>IF($AS692="","",TRIM(IF(COUNTIFS(Calc!$B$2:$B$1601,ROW()-1,Calc!$C$2:$C$1601,"&lt;1")&gt;0,"Ada PO tanpa Koli - cek TMP. ","")&amp;IF(OR($AU692="",$AU692&lt;=0),"Volume kosong/0 - dimensi dikosongkan. ","")&amp;IF(AND($AU692&lt;&gt;"",$AU692&gt;=1000000),"Volume &gt;= 1.000.000 cm3 (di luar aturan) - dimensi dikosongkan. ","")&amp;IF(LEN($R692)&gt;500,"R &gt; 500 karakter.","")))</f>
        <v/>
      </c>
      <c r="AS692" t="str">
        <f>IFERROR(MATCH(ROW()-1,Calc!$J$2:$J$1601,0),"")</f>
        <v/>
      </c>
      <c r="AT692" t="str">
        <f>IFERROR(MATCH(ROW()-1,Calc!$K$2:$K$1601,0),"")</f>
        <v/>
      </c>
      <c r="AU692" t="str">
        <f>IF($AS692="","",IFERROR(INDEX('TMP Paste'!$D$2:$D$1601,$AS692)*1000000/$AB692,""))</f>
        <v/>
      </c>
    </row>
    <row r="693" spans="1:47">
      <c r="A693" t="str">
        <f>IF($AS693="","",INDEX('TMP Paste'!$B$2:$B$1601,$AS693))</f>
        <v/>
      </c>
      <c r="B693" t="str">
        <f>IF($AS693="","",Config!$B$14)</f>
        <v/>
      </c>
      <c r="C693" t="str">
        <f>IF($AS693="","",Config!$B$15)</f>
        <v/>
      </c>
      <c r="D693" t="str">
        <f>IF($AS693="","",INDEX('TMP Paste'!$B$2:$B$1601,$AS693))</f>
        <v/>
      </c>
      <c r="E693" t="str">
        <f>IF($AS693="","",Config!$B$27)</f>
        <v/>
      </c>
      <c r="F693" t="str">
        <f>IF($AS693="","",Config!$B$9)</f>
        <v/>
      </c>
      <c r="G693" t="str">
        <f>IF($AS693="","",Config!$B$10)</f>
        <v/>
      </c>
      <c r="H693" t="str">
        <f>IF($AS693="","",Config!$B$11)</f>
        <v/>
      </c>
      <c r="I693" t="str">
        <f>IF($AS693="","",Config!$B$16)</f>
        <v/>
      </c>
      <c r="J693" t="str">
        <f>IF($AS693="","",INDEX('TMP Paste'!$A$2:$A$1601,$AS693))</f>
        <v/>
      </c>
      <c r="K693" t="str">
        <f>IF($AS693="","",INDEX('TMP Paste'!$L$2:$L$1601,$AS693))</f>
        <v/>
      </c>
      <c r="L693" t="str">
        <f>IF($AS693="","",INDEX('TMP Paste'!$I$2:$I$1601,$AS693))</f>
        <v/>
      </c>
      <c r="M693" t="str">
        <f>IF($AS693="","",Config!$B$16)</f>
        <v/>
      </c>
      <c r="N693" t="str">
        <f t="shared" si="60"/>
        <v/>
      </c>
      <c r="O693" t="str">
        <f>IF($AS693="","",INDEX('TMP Paste'!$K$2:$K$1601,$AS693))</f>
        <v/>
      </c>
      <c r="P693" t="str">
        <f t="shared" si="61"/>
        <v/>
      </c>
      <c r="Q693" t="str">
        <f>IF($AS693="","",INDEX('TMP Paste'!$J$2:$J$1601,$AS693))</f>
        <v/>
      </c>
      <c r="R693" t="str">
        <f>IF($AS693="","",Config!$B$24)</f>
        <v/>
      </c>
      <c r="S693" t="str">
        <f ca="1">IF($AS693="","",TEXT(Config!$B$4,"yyyy-mm-dd"))</f>
        <v/>
      </c>
      <c r="T693" t="str">
        <f>IF($AS693="","",Config!$B$17)</f>
        <v/>
      </c>
      <c r="U693" t="str">
        <f>IF($AS693="","",Config!$B$18)</f>
        <v/>
      </c>
      <c r="V693" t="str">
        <f>IF($AS693="","",Config!$B$19)</f>
        <v/>
      </c>
      <c r="W693" t="str">
        <f>IF($AS693="","",INDEX('TMP Paste'!$C$2:$C$1601,$AS693))</f>
        <v/>
      </c>
      <c r="X693" t="str">
        <f>IF($AS693="","",Config!$B$29)</f>
        <v/>
      </c>
      <c r="Y693" t="str">
        <f>IF($AT693="","",INDEX(Calc!$I$2:$I$1601,$AT693)&amp;" - "&amp;INDEX(Calc!$D$2:$D$1601,$AT693)&amp;" koli")</f>
        <v/>
      </c>
      <c r="Z693" t="str">
        <f>IF($AS693="","",Config!$B$21)</f>
        <v/>
      </c>
      <c r="AA693" t="str">
        <f>IF($AS693="","",Config!$B$22)</f>
        <v/>
      </c>
      <c r="AB693" t="str">
        <f>IF($AT693="","",INDEX(Calc!$D$2:$D$1601,$AT693))</f>
        <v/>
      </c>
      <c r="AC693" t="str">
        <f>IF($AT693="","",INDEX(Calc!$G$2:$G$1601,$AT693))</f>
        <v/>
      </c>
      <c r="AD693" t="str">
        <f>IF($AS693="","",Config!$B$23)</f>
        <v/>
      </c>
      <c r="AE693" t="str">
        <f>IF($AS693="","",Config!$B$28)</f>
        <v/>
      </c>
      <c r="AF693" t="str">
        <f t="shared" si="62"/>
        <v/>
      </c>
      <c r="AG693" t="str">
        <f t="shared" si="63"/>
        <v/>
      </c>
      <c r="AH693" t="str">
        <f t="shared" si="64"/>
        <v/>
      </c>
      <c r="AI693" t="str">
        <f>IF($AG693="","",SUMIF($AG$2:$AG693,$AG693,$AH$2:$AH693))</f>
        <v/>
      </c>
      <c r="AJ693" t="str">
        <f>IF('TMP Paste'!$F693="","",IF('TMP Paste'!$B693="",$AJ692,'TMP Paste'!$B693))</f>
        <v/>
      </c>
      <c r="AK693" t="str">
        <f>IF('TMP Paste'!$F693="","",N('TMP Paste'!$G693))</f>
        <v/>
      </c>
      <c r="AL693" t="str">
        <f>IF('TMP Paste'!$F693="","",IF('TMP Paste'!$M693="",$AL692,'TMP Paste'!$M693))</f>
        <v/>
      </c>
      <c r="AM693" t="str">
        <f>IF('TMP Paste'!$F693="","",IF('TMP Paste'!$N693="",$AM692,'TMP Paste'!$N693))</f>
        <v/>
      </c>
      <c r="AN693" t="str">
        <f>IF('TMP Paste'!$F693="","",IF('TMP Paste'!$O693="",$AN692,'TMP Paste'!$O693))</f>
        <v/>
      </c>
      <c r="AO693" t="str">
        <f>IF('TMP Paste'!$F693="","",IF('TMP Paste'!$P693="",$AO692,'TMP Paste'!$P693))</f>
        <v/>
      </c>
      <c r="AP693" t="str">
        <f t="shared" si="65"/>
        <v/>
      </c>
      <c r="AQ693" t="str">
        <f>IF($AS693="","",TRIM(IF(COUNTIFS(Calc!$B$2:$B$1601,ROW()-1,Calc!$C$2:$C$1601,"&lt;1")&gt;0,"Ada PO tanpa Koli - cek TMP. ","")&amp;IF(OR($AU693="",$AU693&lt;=0),"Volume kosong/0 - dimensi dikosongkan. ","")&amp;IF(AND($AU693&lt;&gt;"",$AU693&gt;=1000000),"Volume &gt;= 1.000.000 cm3 (di luar aturan) - dimensi dikosongkan. ","")&amp;IF(LEN($R693)&gt;500,"R &gt; 500 karakter.","")))</f>
        <v/>
      </c>
      <c r="AS693" t="str">
        <f>IFERROR(MATCH(ROW()-1,Calc!$J$2:$J$1601,0),"")</f>
        <v/>
      </c>
      <c r="AT693" t="str">
        <f>IFERROR(MATCH(ROW()-1,Calc!$K$2:$K$1601,0),"")</f>
        <v/>
      </c>
      <c r="AU693" t="str">
        <f>IF($AS693="","",IFERROR(INDEX('TMP Paste'!$D$2:$D$1601,$AS693)*1000000/$AB693,""))</f>
        <v/>
      </c>
    </row>
    <row r="694" spans="1:47">
      <c r="A694" t="str">
        <f>IF($AS694="","",INDEX('TMP Paste'!$B$2:$B$1601,$AS694))</f>
        <v/>
      </c>
      <c r="B694" t="str">
        <f>IF($AS694="","",Config!$B$14)</f>
        <v/>
      </c>
      <c r="C694" t="str">
        <f>IF($AS694="","",Config!$B$15)</f>
        <v/>
      </c>
      <c r="D694" t="str">
        <f>IF($AS694="","",INDEX('TMP Paste'!$B$2:$B$1601,$AS694))</f>
        <v/>
      </c>
      <c r="E694" t="str">
        <f>IF($AS694="","",Config!$B$27)</f>
        <v/>
      </c>
      <c r="F694" t="str">
        <f>IF($AS694="","",Config!$B$9)</f>
        <v/>
      </c>
      <c r="G694" t="str">
        <f>IF($AS694="","",Config!$B$10)</f>
        <v/>
      </c>
      <c r="H694" t="str">
        <f>IF($AS694="","",Config!$B$11)</f>
        <v/>
      </c>
      <c r="I694" t="str">
        <f>IF($AS694="","",Config!$B$16)</f>
        <v/>
      </c>
      <c r="J694" t="str">
        <f>IF($AS694="","",INDEX('TMP Paste'!$A$2:$A$1601,$AS694))</f>
        <v/>
      </c>
      <c r="K694" t="str">
        <f>IF($AS694="","",INDEX('TMP Paste'!$L$2:$L$1601,$AS694))</f>
        <v/>
      </c>
      <c r="L694" t="str">
        <f>IF($AS694="","",INDEX('TMP Paste'!$I$2:$I$1601,$AS694))</f>
        <v/>
      </c>
      <c r="M694" t="str">
        <f>IF($AS694="","",Config!$B$16)</f>
        <v/>
      </c>
      <c r="N694" t="str">
        <f t="shared" si="60"/>
        <v/>
      </c>
      <c r="O694" t="str">
        <f>IF($AS694="","",INDEX('TMP Paste'!$K$2:$K$1601,$AS694))</f>
        <v/>
      </c>
      <c r="P694" t="str">
        <f t="shared" si="61"/>
        <v/>
      </c>
      <c r="Q694" t="str">
        <f>IF($AS694="","",INDEX('TMP Paste'!$J$2:$J$1601,$AS694))</f>
        <v/>
      </c>
      <c r="R694" t="str">
        <f>IF($AS694="","",Config!$B$24)</f>
        <v/>
      </c>
      <c r="S694" t="str">
        <f ca="1">IF($AS694="","",TEXT(Config!$B$4,"yyyy-mm-dd"))</f>
        <v/>
      </c>
      <c r="T694" t="str">
        <f>IF($AS694="","",Config!$B$17)</f>
        <v/>
      </c>
      <c r="U694" t="str">
        <f>IF($AS694="","",Config!$B$18)</f>
        <v/>
      </c>
      <c r="V694" t="str">
        <f>IF($AS694="","",Config!$B$19)</f>
        <v/>
      </c>
      <c r="W694" t="str">
        <f>IF($AS694="","",INDEX('TMP Paste'!$C$2:$C$1601,$AS694))</f>
        <v/>
      </c>
      <c r="X694" t="str">
        <f>IF($AS694="","",Config!$B$29)</f>
        <v/>
      </c>
      <c r="Y694" t="str">
        <f>IF($AT694="","",INDEX(Calc!$I$2:$I$1601,$AT694)&amp;" - "&amp;INDEX(Calc!$D$2:$D$1601,$AT694)&amp;" koli")</f>
        <v/>
      </c>
      <c r="Z694" t="str">
        <f>IF($AS694="","",Config!$B$21)</f>
        <v/>
      </c>
      <c r="AA694" t="str">
        <f>IF($AS694="","",Config!$B$22)</f>
        <v/>
      </c>
      <c r="AB694" t="str">
        <f>IF($AT694="","",INDEX(Calc!$D$2:$D$1601,$AT694))</f>
        <v/>
      </c>
      <c r="AC694" t="str">
        <f>IF($AT694="","",INDEX(Calc!$G$2:$G$1601,$AT694))</f>
        <v/>
      </c>
      <c r="AD694" t="str">
        <f>IF($AS694="","",Config!$B$23)</f>
        <v/>
      </c>
      <c r="AE694" t="str">
        <f>IF($AS694="","",Config!$B$28)</f>
        <v/>
      </c>
      <c r="AF694" t="str">
        <f t="shared" si="62"/>
        <v/>
      </c>
      <c r="AG694" t="str">
        <f t="shared" si="63"/>
        <v/>
      </c>
      <c r="AH694" t="str">
        <f t="shared" si="64"/>
        <v/>
      </c>
      <c r="AI694" t="str">
        <f>IF($AG694="","",SUMIF($AG$2:$AG694,$AG694,$AH$2:$AH694))</f>
        <v/>
      </c>
      <c r="AJ694" t="str">
        <f>IF('TMP Paste'!$F694="","",IF('TMP Paste'!$B694="",$AJ693,'TMP Paste'!$B694))</f>
        <v/>
      </c>
      <c r="AK694" t="str">
        <f>IF('TMP Paste'!$F694="","",N('TMP Paste'!$G694))</f>
        <v/>
      </c>
      <c r="AL694" t="str">
        <f>IF('TMP Paste'!$F694="","",IF('TMP Paste'!$M694="",$AL693,'TMP Paste'!$M694))</f>
        <v/>
      </c>
      <c r="AM694" t="str">
        <f>IF('TMP Paste'!$F694="","",IF('TMP Paste'!$N694="",$AM693,'TMP Paste'!$N694))</f>
        <v/>
      </c>
      <c r="AN694" t="str">
        <f>IF('TMP Paste'!$F694="","",IF('TMP Paste'!$O694="",$AN693,'TMP Paste'!$O694))</f>
        <v/>
      </c>
      <c r="AO694" t="str">
        <f>IF('TMP Paste'!$F694="","",IF('TMP Paste'!$P694="",$AO693,'TMP Paste'!$P694))</f>
        <v/>
      </c>
      <c r="AP694" t="str">
        <f t="shared" si="65"/>
        <v/>
      </c>
      <c r="AQ694" t="str">
        <f>IF($AS694="","",TRIM(IF(COUNTIFS(Calc!$B$2:$B$1601,ROW()-1,Calc!$C$2:$C$1601,"&lt;1")&gt;0,"Ada PO tanpa Koli - cek TMP. ","")&amp;IF(OR($AU694="",$AU694&lt;=0),"Volume kosong/0 - dimensi dikosongkan. ","")&amp;IF(AND($AU694&lt;&gt;"",$AU694&gt;=1000000),"Volume &gt;= 1.000.000 cm3 (di luar aturan) - dimensi dikosongkan. ","")&amp;IF(LEN($R694)&gt;500,"R &gt; 500 karakter.","")))</f>
        <v/>
      </c>
      <c r="AS694" t="str">
        <f>IFERROR(MATCH(ROW()-1,Calc!$J$2:$J$1601,0),"")</f>
        <v/>
      </c>
      <c r="AT694" t="str">
        <f>IFERROR(MATCH(ROW()-1,Calc!$K$2:$K$1601,0),"")</f>
        <v/>
      </c>
      <c r="AU694" t="str">
        <f>IF($AS694="","",IFERROR(INDEX('TMP Paste'!$D$2:$D$1601,$AS694)*1000000/$AB694,""))</f>
        <v/>
      </c>
    </row>
    <row r="695" spans="1:47">
      <c r="A695" t="str">
        <f>IF($AS695="","",INDEX('TMP Paste'!$B$2:$B$1601,$AS695))</f>
        <v/>
      </c>
      <c r="B695" t="str">
        <f>IF($AS695="","",Config!$B$14)</f>
        <v/>
      </c>
      <c r="C695" t="str">
        <f>IF($AS695="","",Config!$B$15)</f>
        <v/>
      </c>
      <c r="D695" t="str">
        <f>IF($AS695="","",INDEX('TMP Paste'!$B$2:$B$1601,$AS695))</f>
        <v/>
      </c>
      <c r="E695" t="str">
        <f>IF($AS695="","",Config!$B$27)</f>
        <v/>
      </c>
      <c r="F695" t="str">
        <f>IF($AS695="","",Config!$B$9)</f>
        <v/>
      </c>
      <c r="G695" t="str">
        <f>IF($AS695="","",Config!$B$10)</f>
        <v/>
      </c>
      <c r="H695" t="str">
        <f>IF($AS695="","",Config!$B$11)</f>
        <v/>
      </c>
      <c r="I695" t="str">
        <f>IF($AS695="","",Config!$B$16)</f>
        <v/>
      </c>
      <c r="J695" t="str">
        <f>IF($AS695="","",INDEX('TMP Paste'!$A$2:$A$1601,$AS695))</f>
        <v/>
      </c>
      <c r="K695" t="str">
        <f>IF($AS695="","",INDEX('TMP Paste'!$L$2:$L$1601,$AS695))</f>
        <v/>
      </c>
      <c r="L695" t="str">
        <f>IF($AS695="","",INDEX('TMP Paste'!$I$2:$I$1601,$AS695))</f>
        <v/>
      </c>
      <c r="M695" t="str">
        <f>IF($AS695="","",Config!$B$16)</f>
        <v/>
      </c>
      <c r="N695" t="str">
        <f t="shared" si="60"/>
        <v/>
      </c>
      <c r="O695" t="str">
        <f>IF($AS695="","",INDEX('TMP Paste'!$K$2:$K$1601,$AS695))</f>
        <v/>
      </c>
      <c r="P695" t="str">
        <f t="shared" si="61"/>
        <v/>
      </c>
      <c r="Q695" t="str">
        <f>IF($AS695="","",INDEX('TMP Paste'!$J$2:$J$1601,$AS695))</f>
        <v/>
      </c>
      <c r="R695" t="str">
        <f>IF($AS695="","",Config!$B$24)</f>
        <v/>
      </c>
      <c r="S695" t="str">
        <f ca="1">IF($AS695="","",TEXT(Config!$B$4,"yyyy-mm-dd"))</f>
        <v/>
      </c>
      <c r="T695" t="str">
        <f>IF($AS695="","",Config!$B$17)</f>
        <v/>
      </c>
      <c r="U695" t="str">
        <f>IF($AS695="","",Config!$B$18)</f>
        <v/>
      </c>
      <c r="V695" t="str">
        <f>IF($AS695="","",Config!$B$19)</f>
        <v/>
      </c>
      <c r="W695" t="str">
        <f>IF($AS695="","",INDEX('TMP Paste'!$C$2:$C$1601,$AS695))</f>
        <v/>
      </c>
      <c r="X695" t="str">
        <f>IF($AS695="","",Config!$B$29)</f>
        <v/>
      </c>
      <c r="Y695" t="str">
        <f>IF($AT695="","",INDEX(Calc!$I$2:$I$1601,$AT695)&amp;" - "&amp;INDEX(Calc!$D$2:$D$1601,$AT695)&amp;" koli")</f>
        <v/>
      </c>
      <c r="Z695" t="str">
        <f>IF($AS695="","",Config!$B$21)</f>
        <v/>
      </c>
      <c r="AA695" t="str">
        <f>IF($AS695="","",Config!$B$22)</f>
        <v/>
      </c>
      <c r="AB695" t="str">
        <f>IF($AT695="","",INDEX(Calc!$D$2:$D$1601,$AT695))</f>
        <v/>
      </c>
      <c r="AC695" t="str">
        <f>IF($AT695="","",INDEX(Calc!$G$2:$G$1601,$AT695))</f>
        <v/>
      </c>
      <c r="AD695" t="str">
        <f>IF($AS695="","",Config!$B$23)</f>
        <v/>
      </c>
      <c r="AE695" t="str">
        <f>IF($AS695="","",Config!$B$28)</f>
        <v/>
      </c>
      <c r="AF695" t="str">
        <f t="shared" si="62"/>
        <v/>
      </c>
      <c r="AG695" t="str">
        <f t="shared" si="63"/>
        <v/>
      </c>
      <c r="AH695" t="str">
        <f t="shared" si="64"/>
        <v/>
      </c>
      <c r="AI695" t="str">
        <f>IF($AG695="","",SUMIF($AG$2:$AG695,$AG695,$AH$2:$AH695))</f>
        <v/>
      </c>
      <c r="AJ695" t="str">
        <f>IF('TMP Paste'!$F695="","",IF('TMP Paste'!$B695="",$AJ694,'TMP Paste'!$B695))</f>
        <v/>
      </c>
      <c r="AK695" t="str">
        <f>IF('TMP Paste'!$F695="","",N('TMP Paste'!$G695))</f>
        <v/>
      </c>
      <c r="AL695" t="str">
        <f>IF('TMP Paste'!$F695="","",IF('TMP Paste'!$M695="",$AL694,'TMP Paste'!$M695))</f>
        <v/>
      </c>
      <c r="AM695" t="str">
        <f>IF('TMP Paste'!$F695="","",IF('TMP Paste'!$N695="",$AM694,'TMP Paste'!$N695))</f>
        <v/>
      </c>
      <c r="AN695" t="str">
        <f>IF('TMP Paste'!$F695="","",IF('TMP Paste'!$O695="",$AN694,'TMP Paste'!$O695))</f>
        <v/>
      </c>
      <c r="AO695" t="str">
        <f>IF('TMP Paste'!$F695="","",IF('TMP Paste'!$P695="",$AO694,'TMP Paste'!$P695))</f>
        <v/>
      </c>
      <c r="AP695" t="str">
        <f t="shared" si="65"/>
        <v/>
      </c>
      <c r="AQ695" t="str">
        <f>IF($AS695="","",TRIM(IF(COUNTIFS(Calc!$B$2:$B$1601,ROW()-1,Calc!$C$2:$C$1601,"&lt;1")&gt;0,"Ada PO tanpa Koli - cek TMP. ","")&amp;IF(OR($AU695="",$AU695&lt;=0),"Volume kosong/0 - dimensi dikosongkan. ","")&amp;IF(AND($AU695&lt;&gt;"",$AU695&gt;=1000000),"Volume &gt;= 1.000.000 cm3 (di luar aturan) - dimensi dikosongkan. ","")&amp;IF(LEN($R695)&gt;500,"R &gt; 500 karakter.","")))</f>
        <v/>
      </c>
      <c r="AS695" t="str">
        <f>IFERROR(MATCH(ROW()-1,Calc!$J$2:$J$1601,0),"")</f>
        <v/>
      </c>
      <c r="AT695" t="str">
        <f>IFERROR(MATCH(ROW()-1,Calc!$K$2:$K$1601,0),"")</f>
        <v/>
      </c>
      <c r="AU695" t="str">
        <f>IF($AS695="","",IFERROR(INDEX('TMP Paste'!$D$2:$D$1601,$AS695)*1000000/$AB695,""))</f>
        <v/>
      </c>
    </row>
    <row r="696" spans="1:47">
      <c r="A696" t="str">
        <f>IF($AS696="","",INDEX('TMP Paste'!$B$2:$B$1601,$AS696))</f>
        <v/>
      </c>
      <c r="B696" t="str">
        <f>IF($AS696="","",Config!$B$14)</f>
        <v/>
      </c>
      <c r="C696" t="str">
        <f>IF($AS696="","",Config!$B$15)</f>
        <v/>
      </c>
      <c r="D696" t="str">
        <f>IF($AS696="","",INDEX('TMP Paste'!$B$2:$B$1601,$AS696))</f>
        <v/>
      </c>
      <c r="E696" t="str">
        <f>IF($AS696="","",Config!$B$27)</f>
        <v/>
      </c>
      <c r="F696" t="str">
        <f>IF($AS696="","",Config!$B$9)</f>
        <v/>
      </c>
      <c r="G696" t="str">
        <f>IF($AS696="","",Config!$B$10)</f>
        <v/>
      </c>
      <c r="H696" t="str">
        <f>IF($AS696="","",Config!$B$11)</f>
        <v/>
      </c>
      <c r="I696" t="str">
        <f>IF($AS696="","",Config!$B$16)</f>
        <v/>
      </c>
      <c r="J696" t="str">
        <f>IF($AS696="","",INDEX('TMP Paste'!$A$2:$A$1601,$AS696))</f>
        <v/>
      </c>
      <c r="K696" t="str">
        <f>IF($AS696="","",INDEX('TMP Paste'!$L$2:$L$1601,$AS696))</f>
        <v/>
      </c>
      <c r="L696" t="str">
        <f>IF($AS696="","",INDEX('TMP Paste'!$I$2:$I$1601,$AS696))</f>
        <v/>
      </c>
      <c r="M696" t="str">
        <f>IF($AS696="","",Config!$B$16)</f>
        <v/>
      </c>
      <c r="N696" t="str">
        <f t="shared" si="60"/>
        <v/>
      </c>
      <c r="O696" t="str">
        <f>IF($AS696="","",INDEX('TMP Paste'!$K$2:$K$1601,$AS696))</f>
        <v/>
      </c>
      <c r="P696" t="str">
        <f t="shared" si="61"/>
        <v/>
      </c>
      <c r="Q696" t="str">
        <f>IF($AS696="","",INDEX('TMP Paste'!$J$2:$J$1601,$AS696))</f>
        <v/>
      </c>
      <c r="R696" t="str">
        <f>IF($AS696="","",Config!$B$24)</f>
        <v/>
      </c>
      <c r="S696" t="str">
        <f ca="1">IF($AS696="","",TEXT(Config!$B$4,"yyyy-mm-dd"))</f>
        <v/>
      </c>
      <c r="T696" t="str">
        <f>IF($AS696="","",Config!$B$17)</f>
        <v/>
      </c>
      <c r="U696" t="str">
        <f>IF($AS696="","",Config!$B$18)</f>
        <v/>
      </c>
      <c r="V696" t="str">
        <f>IF($AS696="","",Config!$B$19)</f>
        <v/>
      </c>
      <c r="W696" t="str">
        <f>IF($AS696="","",INDEX('TMP Paste'!$C$2:$C$1601,$AS696))</f>
        <v/>
      </c>
      <c r="X696" t="str">
        <f>IF($AS696="","",Config!$B$29)</f>
        <v/>
      </c>
      <c r="Y696" t="str">
        <f>IF($AT696="","",INDEX(Calc!$I$2:$I$1601,$AT696)&amp;" - "&amp;INDEX(Calc!$D$2:$D$1601,$AT696)&amp;" koli")</f>
        <v/>
      </c>
      <c r="Z696" t="str">
        <f>IF($AS696="","",Config!$B$21)</f>
        <v/>
      </c>
      <c r="AA696" t="str">
        <f>IF($AS696="","",Config!$B$22)</f>
        <v/>
      </c>
      <c r="AB696" t="str">
        <f>IF($AT696="","",INDEX(Calc!$D$2:$D$1601,$AT696))</f>
        <v/>
      </c>
      <c r="AC696" t="str">
        <f>IF($AT696="","",INDEX(Calc!$G$2:$G$1601,$AT696))</f>
        <v/>
      </c>
      <c r="AD696" t="str">
        <f>IF($AS696="","",Config!$B$23)</f>
        <v/>
      </c>
      <c r="AE696" t="str">
        <f>IF($AS696="","",Config!$B$28)</f>
        <v/>
      </c>
      <c r="AF696" t="str">
        <f t="shared" si="62"/>
        <v/>
      </c>
      <c r="AG696" t="str">
        <f t="shared" si="63"/>
        <v/>
      </c>
      <c r="AH696" t="str">
        <f t="shared" si="64"/>
        <v/>
      </c>
      <c r="AI696" t="str">
        <f>IF($AG696="","",SUMIF($AG$2:$AG696,$AG696,$AH$2:$AH696))</f>
        <v/>
      </c>
      <c r="AJ696" t="str">
        <f>IF('TMP Paste'!$F696="","",IF('TMP Paste'!$B696="",$AJ695,'TMP Paste'!$B696))</f>
        <v/>
      </c>
      <c r="AK696" t="str">
        <f>IF('TMP Paste'!$F696="","",N('TMP Paste'!$G696))</f>
        <v/>
      </c>
      <c r="AL696" t="str">
        <f>IF('TMP Paste'!$F696="","",IF('TMP Paste'!$M696="",$AL695,'TMP Paste'!$M696))</f>
        <v/>
      </c>
      <c r="AM696" t="str">
        <f>IF('TMP Paste'!$F696="","",IF('TMP Paste'!$N696="",$AM695,'TMP Paste'!$N696))</f>
        <v/>
      </c>
      <c r="AN696" t="str">
        <f>IF('TMP Paste'!$F696="","",IF('TMP Paste'!$O696="",$AN695,'TMP Paste'!$O696))</f>
        <v/>
      </c>
      <c r="AO696" t="str">
        <f>IF('TMP Paste'!$F696="","",IF('TMP Paste'!$P696="",$AO695,'TMP Paste'!$P696))</f>
        <v/>
      </c>
      <c r="AP696" t="str">
        <f t="shared" si="65"/>
        <v/>
      </c>
      <c r="AQ696" t="str">
        <f>IF($AS696="","",TRIM(IF(COUNTIFS(Calc!$B$2:$B$1601,ROW()-1,Calc!$C$2:$C$1601,"&lt;1")&gt;0,"Ada PO tanpa Koli - cek TMP. ","")&amp;IF(OR($AU696="",$AU696&lt;=0),"Volume kosong/0 - dimensi dikosongkan. ","")&amp;IF(AND($AU696&lt;&gt;"",$AU696&gt;=1000000),"Volume &gt;= 1.000.000 cm3 (di luar aturan) - dimensi dikosongkan. ","")&amp;IF(LEN($R696)&gt;500,"R &gt; 500 karakter.","")))</f>
        <v/>
      </c>
      <c r="AS696" t="str">
        <f>IFERROR(MATCH(ROW()-1,Calc!$J$2:$J$1601,0),"")</f>
        <v/>
      </c>
      <c r="AT696" t="str">
        <f>IFERROR(MATCH(ROW()-1,Calc!$K$2:$K$1601,0),"")</f>
        <v/>
      </c>
      <c r="AU696" t="str">
        <f>IF($AS696="","",IFERROR(INDEX('TMP Paste'!$D$2:$D$1601,$AS696)*1000000/$AB696,""))</f>
        <v/>
      </c>
    </row>
    <row r="697" spans="1:47">
      <c r="A697" t="str">
        <f>IF($AS697="","",INDEX('TMP Paste'!$B$2:$B$1601,$AS697))</f>
        <v/>
      </c>
      <c r="B697" t="str">
        <f>IF($AS697="","",Config!$B$14)</f>
        <v/>
      </c>
      <c r="C697" t="str">
        <f>IF($AS697="","",Config!$B$15)</f>
        <v/>
      </c>
      <c r="D697" t="str">
        <f>IF($AS697="","",INDEX('TMP Paste'!$B$2:$B$1601,$AS697))</f>
        <v/>
      </c>
      <c r="E697" t="str">
        <f>IF($AS697="","",Config!$B$27)</f>
        <v/>
      </c>
      <c r="F697" t="str">
        <f>IF($AS697="","",Config!$B$9)</f>
        <v/>
      </c>
      <c r="G697" t="str">
        <f>IF($AS697="","",Config!$B$10)</f>
        <v/>
      </c>
      <c r="H697" t="str">
        <f>IF($AS697="","",Config!$B$11)</f>
        <v/>
      </c>
      <c r="I697" t="str">
        <f>IF($AS697="","",Config!$B$16)</f>
        <v/>
      </c>
      <c r="J697" t="str">
        <f>IF($AS697="","",INDEX('TMP Paste'!$A$2:$A$1601,$AS697))</f>
        <v/>
      </c>
      <c r="K697" t="str">
        <f>IF($AS697="","",INDEX('TMP Paste'!$L$2:$L$1601,$AS697))</f>
        <v/>
      </c>
      <c r="L697" t="str">
        <f>IF($AS697="","",INDEX('TMP Paste'!$I$2:$I$1601,$AS697))</f>
        <v/>
      </c>
      <c r="M697" t="str">
        <f>IF($AS697="","",Config!$B$16)</f>
        <v/>
      </c>
      <c r="N697" t="str">
        <f t="shared" si="60"/>
        <v/>
      </c>
      <c r="O697" t="str">
        <f>IF($AS697="","",INDEX('TMP Paste'!$K$2:$K$1601,$AS697))</f>
        <v/>
      </c>
      <c r="P697" t="str">
        <f t="shared" si="61"/>
        <v/>
      </c>
      <c r="Q697" t="str">
        <f>IF($AS697="","",INDEX('TMP Paste'!$J$2:$J$1601,$AS697))</f>
        <v/>
      </c>
      <c r="R697" t="str">
        <f>IF($AS697="","",Config!$B$24)</f>
        <v/>
      </c>
      <c r="S697" t="str">
        <f ca="1">IF($AS697="","",TEXT(Config!$B$4,"yyyy-mm-dd"))</f>
        <v/>
      </c>
      <c r="T697" t="str">
        <f>IF($AS697="","",Config!$B$17)</f>
        <v/>
      </c>
      <c r="U697" t="str">
        <f>IF($AS697="","",Config!$B$18)</f>
        <v/>
      </c>
      <c r="V697" t="str">
        <f>IF($AS697="","",Config!$B$19)</f>
        <v/>
      </c>
      <c r="W697" t="str">
        <f>IF($AS697="","",INDEX('TMP Paste'!$C$2:$C$1601,$AS697))</f>
        <v/>
      </c>
      <c r="X697" t="str">
        <f>IF($AS697="","",Config!$B$29)</f>
        <v/>
      </c>
      <c r="Y697" t="str">
        <f>IF($AT697="","",INDEX(Calc!$I$2:$I$1601,$AT697)&amp;" - "&amp;INDEX(Calc!$D$2:$D$1601,$AT697)&amp;" koli")</f>
        <v/>
      </c>
      <c r="Z697" t="str">
        <f>IF($AS697="","",Config!$B$21)</f>
        <v/>
      </c>
      <c r="AA697" t="str">
        <f>IF($AS697="","",Config!$B$22)</f>
        <v/>
      </c>
      <c r="AB697" t="str">
        <f>IF($AT697="","",INDEX(Calc!$D$2:$D$1601,$AT697))</f>
        <v/>
      </c>
      <c r="AC697" t="str">
        <f>IF($AT697="","",INDEX(Calc!$G$2:$G$1601,$AT697))</f>
        <v/>
      </c>
      <c r="AD697" t="str">
        <f>IF($AS697="","",Config!$B$23)</f>
        <v/>
      </c>
      <c r="AE697" t="str">
        <f>IF($AS697="","",Config!$B$28)</f>
        <v/>
      </c>
      <c r="AF697" t="str">
        <f t="shared" si="62"/>
        <v/>
      </c>
      <c r="AG697" t="str">
        <f t="shared" si="63"/>
        <v/>
      </c>
      <c r="AH697" t="str">
        <f t="shared" si="64"/>
        <v/>
      </c>
      <c r="AI697" t="str">
        <f>IF($AG697="","",SUMIF($AG$2:$AG697,$AG697,$AH$2:$AH697))</f>
        <v/>
      </c>
      <c r="AJ697" t="str">
        <f>IF('TMP Paste'!$F697="","",IF('TMP Paste'!$B697="",$AJ696,'TMP Paste'!$B697))</f>
        <v/>
      </c>
      <c r="AK697" t="str">
        <f>IF('TMP Paste'!$F697="","",N('TMP Paste'!$G697))</f>
        <v/>
      </c>
      <c r="AL697" t="str">
        <f>IF('TMP Paste'!$F697="","",IF('TMP Paste'!$M697="",$AL696,'TMP Paste'!$M697))</f>
        <v/>
      </c>
      <c r="AM697" t="str">
        <f>IF('TMP Paste'!$F697="","",IF('TMP Paste'!$N697="",$AM696,'TMP Paste'!$N697))</f>
        <v/>
      </c>
      <c r="AN697" t="str">
        <f>IF('TMP Paste'!$F697="","",IF('TMP Paste'!$O697="",$AN696,'TMP Paste'!$O697))</f>
        <v/>
      </c>
      <c r="AO697" t="str">
        <f>IF('TMP Paste'!$F697="","",IF('TMP Paste'!$P697="",$AO696,'TMP Paste'!$P697))</f>
        <v/>
      </c>
      <c r="AP697" t="str">
        <f t="shared" si="65"/>
        <v/>
      </c>
      <c r="AQ697" t="str">
        <f>IF($AS697="","",TRIM(IF(COUNTIFS(Calc!$B$2:$B$1601,ROW()-1,Calc!$C$2:$C$1601,"&lt;1")&gt;0,"Ada PO tanpa Koli - cek TMP. ","")&amp;IF(OR($AU697="",$AU697&lt;=0),"Volume kosong/0 - dimensi dikosongkan. ","")&amp;IF(AND($AU697&lt;&gt;"",$AU697&gt;=1000000),"Volume &gt;= 1.000.000 cm3 (di luar aturan) - dimensi dikosongkan. ","")&amp;IF(LEN($R697)&gt;500,"R &gt; 500 karakter.","")))</f>
        <v/>
      </c>
      <c r="AS697" t="str">
        <f>IFERROR(MATCH(ROW()-1,Calc!$J$2:$J$1601,0),"")</f>
        <v/>
      </c>
      <c r="AT697" t="str">
        <f>IFERROR(MATCH(ROW()-1,Calc!$K$2:$K$1601,0),"")</f>
        <v/>
      </c>
      <c r="AU697" t="str">
        <f>IF($AS697="","",IFERROR(INDEX('TMP Paste'!$D$2:$D$1601,$AS697)*1000000/$AB697,""))</f>
        <v/>
      </c>
    </row>
    <row r="698" spans="1:47">
      <c r="A698" t="str">
        <f>IF($AS698="","",INDEX('TMP Paste'!$B$2:$B$1601,$AS698))</f>
        <v/>
      </c>
      <c r="B698" t="str">
        <f>IF($AS698="","",Config!$B$14)</f>
        <v/>
      </c>
      <c r="C698" t="str">
        <f>IF($AS698="","",Config!$B$15)</f>
        <v/>
      </c>
      <c r="D698" t="str">
        <f>IF($AS698="","",INDEX('TMP Paste'!$B$2:$B$1601,$AS698))</f>
        <v/>
      </c>
      <c r="E698" t="str">
        <f>IF($AS698="","",Config!$B$27)</f>
        <v/>
      </c>
      <c r="F698" t="str">
        <f>IF($AS698="","",Config!$B$9)</f>
        <v/>
      </c>
      <c r="G698" t="str">
        <f>IF($AS698="","",Config!$B$10)</f>
        <v/>
      </c>
      <c r="H698" t="str">
        <f>IF($AS698="","",Config!$B$11)</f>
        <v/>
      </c>
      <c r="I698" t="str">
        <f>IF($AS698="","",Config!$B$16)</f>
        <v/>
      </c>
      <c r="J698" t="str">
        <f>IF($AS698="","",INDEX('TMP Paste'!$A$2:$A$1601,$AS698))</f>
        <v/>
      </c>
      <c r="K698" t="str">
        <f>IF($AS698="","",INDEX('TMP Paste'!$L$2:$L$1601,$AS698))</f>
        <v/>
      </c>
      <c r="L698" t="str">
        <f>IF($AS698="","",INDEX('TMP Paste'!$I$2:$I$1601,$AS698))</f>
        <v/>
      </c>
      <c r="M698" t="str">
        <f>IF($AS698="","",Config!$B$16)</f>
        <v/>
      </c>
      <c r="N698" t="str">
        <f t="shared" si="60"/>
        <v/>
      </c>
      <c r="O698" t="str">
        <f>IF($AS698="","",INDEX('TMP Paste'!$K$2:$K$1601,$AS698))</f>
        <v/>
      </c>
      <c r="P698" t="str">
        <f t="shared" si="61"/>
        <v/>
      </c>
      <c r="Q698" t="str">
        <f>IF($AS698="","",INDEX('TMP Paste'!$J$2:$J$1601,$AS698))</f>
        <v/>
      </c>
      <c r="R698" t="str">
        <f>IF($AS698="","",Config!$B$24)</f>
        <v/>
      </c>
      <c r="S698" t="str">
        <f ca="1">IF($AS698="","",TEXT(Config!$B$4,"yyyy-mm-dd"))</f>
        <v/>
      </c>
      <c r="T698" t="str">
        <f>IF($AS698="","",Config!$B$17)</f>
        <v/>
      </c>
      <c r="U698" t="str">
        <f>IF($AS698="","",Config!$B$18)</f>
        <v/>
      </c>
      <c r="V698" t="str">
        <f>IF($AS698="","",Config!$B$19)</f>
        <v/>
      </c>
      <c r="W698" t="str">
        <f>IF($AS698="","",INDEX('TMP Paste'!$C$2:$C$1601,$AS698))</f>
        <v/>
      </c>
      <c r="X698" t="str">
        <f>IF($AS698="","",Config!$B$29)</f>
        <v/>
      </c>
      <c r="Y698" t="str">
        <f>IF($AT698="","",INDEX(Calc!$I$2:$I$1601,$AT698)&amp;" - "&amp;INDEX(Calc!$D$2:$D$1601,$AT698)&amp;" koli")</f>
        <v/>
      </c>
      <c r="Z698" t="str">
        <f>IF($AS698="","",Config!$B$21)</f>
        <v/>
      </c>
      <c r="AA698" t="str">
        <f>IF($AS698="","",Config!$B$22)</f>
        <v/>
      </c>
      <c r="AB698" t="str">
        <f>IF($AT698="","",INDEX(Calc!$D$2:$D$1601,$AT698))</f>
        <v/>
      </c>
      <c r="AC698" t="str">
        <f>IF($AT698="","",INDEX(Calc!$G$2:$G$1601,$AT698))</f>
        <v/>
      </c>
      <c r="AD698" t="str">
        <f>IF($AS698="","",Config!$B$23)</f>
        <v/>
      </c>
      <c r="AE698" t="str">
        <f>IF($AS698="","",Config!$B$28)</f>
        <v/>
      </c>
      <c r="AF698" t="str">
        <f t="shared" si="62"/>
        <v/>
      </c>
      <c r="AG698" t="str">
        <f t="shared" si="63"/>
        <v/>
      </c>
      <c r="AH698" t="str">
        <f t="shared" si="64"/>
        <v/>
      </c>
      <c r="AI698" t="str">
        <f>IF($AG698="","",SUMIF($AG$2:$AG698,$AG698,$AH$2:$AH698))</f>
        <v/>
      </c>
      <c r="AJ698" t="str">
        <f>IF('TMP Paste'!$F698="","",IF('TMP Paste'!$B698="",$AJ697,'TMP Paste'!$B698))</f>
        <v/>
      </c>
      <c r="AK698" t="str">
        <f>IF('TMP Paste'!$F698="","",N('TMP Paste'!$G698))</f>
        <v/>
      </c>
      <c r="AL698" t="str">
        <f>IF('TMP Paste'!$F698="","",IF('TMP Paste'!$M698="",$AL697,'TMP Paste'!$M698))</f>
        <v/>
      </c>
      <c r="AM698" t="str">
        <f>IF('TMP Paste'!$F698="","",IF('TMP Paste'!$N698="",$AM697,'TMP Paste'!$N698))</f>
        <v/>
      </c>
      <c r="AN698" t="str">
        <f>IF('TMP Paste'!$F698="","",IF('TMP Paste'!$O698="",$AN697,'TMP Paste'!$O698))</f>
        <v/>
      </c>
      <c r="AO698" t="str">
        <f>IF('TMP Paste'!$F698="","",IF('TMP Paste'!$P698="",$AO697,'TMP Paste'!$P698))</f>
        <v/>
      </c>
      <c r="AP698" t="str">
        <f t="shared" si="65"/>
        <v/>
      </c>
      <c r="AQ698" t="str">
        <f>IF($AS698="","",TRIM(IF(COUNTIFS(Calc!$B$2:$B$1601,ROW()-1,Calc!$C$2:$C$1601,"&lt;1")&gt;0,"Ada PO tanpa Koli - cek TMP. ","")&amp;IF(OR($AU698="",$AU698&lt;=0),"Volume kosong/0 - dimensi dikosongkan. ","")&amp;IF(AND($AU698&lt;&gt;"",$AU698&gt;=1000000),"Volume &gt;= 1.000.000 cm3 (di luar aturan) - dimensi dikosongkan. ","")&amp;IF(LEN($R698)&gt;500,"R &gt; 500 karakter.","")))</f>
        <v/>
      </c>
      <c r="AS698" t="str">
        <f>IFERROR(MATCH(ROW()-1,Calc!$J$2:$J$1601,0),"")</f>
        <v/>
      </c>
      <c r="AT698" t="str">
        <f>IFERROR(MATCH(ROW()-1,Calc!$K$2:$K$1601,0),"")</f>
        <v/>
      </c>
      <c r="AU698" t="str">
        <f>IF($AS698="","",IFERROR(INDEX('TMP Paste'!$D$2:$D$1601,$AS698)*1000000/$AB698,""))</f>
        <v/>
      </c>
    </row>
    <row r="699" spans="1:47">
      <c r="A699" t="str">
        <f>IF($AS699="","",INDEX('TMP Paste'!$B$2:$B$1601,$AS699))</f>
        <v/>
      </c>
      <c r="B699" t="str">
        <f>IF($AS699="","",Config!$B$14)</f>
        <v/>
      </c>
      <c r="C699" t="str">
        <f>IF($AS699="","",Config!$B$15)</f>
        <v/>
      </c>
      <c r="D699" t="str">
        <f>IF($AS699="","",INDEX('TMP Paste'!$B$2:$B$1601,$AS699))</f>
        <v/>
      </c>
      <c r="E699" t="str">
        <f>IF($AS699="","",Config!$B$27)</f>
        <v/>
      </c>
      <c r="F699" t="str">
        <f>IF($AS699="","",Config!$B$9)</f>
        <v/>
      </c>
      <c r="G699" t="str">
        <f>IF($AS699="","",Config!$B$10)</f>
        <v/>
      </c>
      <c r="H699" t="str">
        <f>IF($AS699="","",Config!$B$11)</f>
        <v/>
      </c>
      <c r="I699" t="str">
        <f>IF($AS699="","",Config!$B$16)</f>
        <v/>
      </c>
      <c r="J699" t="str">
        <f>IF($AS699="","",INDEX('TMP Paste'!$A$2:$A$1601,$AS699))</f>
        <v/>
      </c>
      <c r="K699" t="str">
        <f>IF($AS699="","",INDEX('TMP Paste'!$L$2:$L$1601,$AS699))</f>
        <v/>
      </c>
      <c r="L699" t="str">
        <f>IF($AS699="","",INDEX('TMP Paste'!$I$2:$I$1601,$AS699))</f>
        <v/>
      </c>
      <c r="M699" t="str">
        <f>IF($AS699="","",Config!$B$16)</f>
        <v/>
      </c>
      <c r="N699" t="str">
        <f t="shared" si="60"/>
        <v/>
      </c>
      <c r="O699" t="str">
        <f>IF($AS699="","",INDEX('TMP Paste'!$K$2:$K$1601,$AS699))</f>
        <v/>
      </c>
      <c r="P699" t="str">
        <f t="shared" si="61"/>
        <v/>
      </c>
      <c r="Q699" t="str">
        <f>IF($AS699="","",INDEX('TMP Paste'!$J$2:$J$1601,$AS699))</f>
        <v/>
      </c>
      <c r="R699" t="str">
        <f>IF($AS699="","",Config!$B$24)</f>
        <v/>
      </c>
      <c r="S699" t="str">
        <f ca="1">IF($AS699="","",TEXT(Config!$B$4,"yyyy-mm-dd"))</f>
        <v/>
      </c>
      <c r="T699" t="str">
        <f>IF($AS699="","",Config!$B$17)</f>
        <v/>
      </c>
      <c r="U699" t="str">
        <f>IF($AS699="","",Config!$B$18)</f>
        <v/>
      </c>
      <c r="V699" t="str">
        <f>IF($AS699="","",Config!$B$19)</f>
        <v/>
      </c>
      <c r="W699" t="str">
        <f>IF($AS699="","",INDEX('TMP Paste'!$C$2:$C$1601,$AS699))</f>
        <v/>
      </c>
      <c r="X699" t="str">
        <f>IF($AS699="","",Config!$B$29)</f>
        <v/>
      </c>
      <c r="Y699" t="str">
        <f>IF($AT699="","",INDEX(Calc!$I$2:$I$1601,$AT699)&amp;" - "&amp;INDEX(Calc!$D$2:$D$1601,$AT699)&amp;" koli")</f>
        <v/>
      </c>
      <c r="Z699" t="str">
        <f>IF($AS699="","",Config!$B$21)</f>
        <v/>
      </c>
      <c r="AA699" t="str">
        <f>IF($AS699="","",Config!$B$22)</f>
        <v/>
      </c>
      <c r="AB699" t="str">
        <f>IF($AT699="","",INDEX(Calc!$D$2:$D$1601,$AT699))</f>
        <v/>
      </c>
      <c r="AC699" t="str">
        <f>IF($AT699="","",INDEX(Calc!$G$2:$G$1601,$AT699))</f>
        <v/>
      </c>
      <c r="AD699" t="str">
        <f>IF($AS699="","",Config!$B$23)</f>
        <v/>
      </c>
      <c r="AE699" t="str">
        <f>IF($AS699="","",Config!$B$28)</f>
        <v/>
      </c>
      <c r="AF699" t="str">
        <f t="shared" si="62"/>
        <v/>
      </c>
      <c r="AG699" t="str">
        <f t="shared" si="63"/>
        <v/>
      </c>
      <c r="AH699" t="str">
        <f t="shared" si="64"/>
        <v/>
      </c>
      <c r="AI699" t="str">
        <f>IF($AG699="","",SUMIF($AG$2:$AG699,$AG699,$AH$2:$AH699))</f>
        <v/>
      </c>
      <c r="AJ699" t="str">
        <f>IF('TMP Paste'!$F699="","",IF('TMP Paste'!$B699="",$AJ698,'TMP Paste'!$B699))</f>
        <v/>
      </c>
      <c r="AK699" t="str">
        <f>IF('TMP Paste'!$F699="","",N('TMP Paste'!$G699))</f>
        <v/>
      </c>
      <c r="AL699" t="str">
        <f>IF('TMP Paste'!$F699="","",IF('TMP Paste'!$M699="",$AL698,'TMP Paste'!$M699))</f>
        <v/>
      </c>
      <c r="AM699" t="str">
        <f>IF('TMP Paste'!$F699="","",IF('TMP Paste'!$N699="",$AM698,'TMP Paste'!$N699))</f>
        <v/>
      </c>
      <c r="AN699" t="str">
        <f>IF('TMP Paste'!$F699="","",IF('TMP Paste'!$O699="",$AN698,'TMP Paste'!$O699))</f>
        <v/>
      </c>
      <c r="AO699" t="str">
        <f>IF('TMP Paste'!$F699="","",IF('TMP Paste'!$P699="",$AO698,'TMP Paste'!$P699))</f>
        <v/>
      </c>
      <c r="AP699" t="str">
        <f t="shared" si="65"/>
        <v/>
      </c>
      <c r="AQ699" t="str">
        <f>IF($AS699="","",TRIM(IF(COUNTIFS(Calc!$B$2:$B$1601,ROW()-1,Calc!$C$2:$C$1601,"&lt;1")&gt;0,"Ada PO tanpa Koli - cek TMP. ","")&amp;IF(OR($AU699="",$AU699&lt;=0),"Volume kosong/0 - dimensi dikosongkan. ","")&amp;IF(AND($AU699&lt;&gt;"",$AU699&gt;=1000000),"Volume &gt;= 1.000.000 cm3 (di luar aturan) - dimensi dikosongkan. ","")&amp;IF(LEN($R699)&gt;500,"R &gt; 500 karakter.","")))</f>
        <v/>
      </c>
      <c r="AS699" t="str">
        <f>IFERROR(MATCH(ROW()-1,Calc!$J$2:$J$1601,0),"")</f>
        <v/>
      </c>
      <c r="AT699" t="str">
        <f>IFERROR(MATCH(ROW()-1,Calc!$K$2:$K$1601,0),"")</f>
        <v/>
      </c>
      <c r="AU699" t="str">
        <f>IF($AS699="","",IFERROR(INDEX('TMP Paste'!$D$2:$D$1601,$AS699)*1000000/$AB699,""))</f>
        <v/>
      </c>
    </row>
    <row r="700" spans="1:47">
      <c r="A700" t="str">
        <f>IF($AS700="","",INDEX('TMP Paste'!$B$2:$B$1601,$AS700))</f>
        <v/>
      </c>
      <c r="B700" t="str">
        <f>IF($AS700="","",Config!$B$14)</f>
        <v/>
      </c>
      <c r="C700" t="str">
        <f>IF($AS700="","",Config!$B$15)</f>
        <v/>
      </c>
      <c r="D700" t="str">
        <f>IF($AS700="","",INDEX('TMP Paste'!$B$2:$B$1601,$AS700))</f>
        <v/>
      </c>
      <c r="E700" t="str">
        <f>IF($AS700="","",Config!$B$27)</f>
        <v/>
      </c>
      <c r="F700" t="str">
        <f>IF($AS700="","",Config!$B$9)</f>
        <v/>
      </c>
      <c r="G700" t="str">
        <f>IF($AS700="","",Config!$B$10)</f>
        <v/>
      </c>
      <c r="H700" t="str">
        <f>IF($AS700="","",Config!$B$11)</f>
        <v/>
      </c>
      <c r="I700" t="str">
        <f>IF($AS700="","",Config!$B$16)</f>
        <v/>
      </c>
      <c r="J700" t="str">
        <f>IF($AS700="","",INDEX('TMP Paste'!$A$2:$A$1601,$AS700))</f>
        <v/>
      </c>
      <c r="K700" t="str">
        <f>IF($AS700="","",INDEX('TMP Paste'!$L$2:$L$1601,$AS700))</f>
        <v/>
      </c>
      <c r="L700" t="str">
        <f>IF($AS700="","",INDEX('TMP Paste'!$I$2:$I$1601,$AS700))</f>
        <v/>
      </c>
      <c r="M700" t="str">
        <f>IF($AS700="","",Config!$B$16)</f>
        <v/>
      </c>
      <c r="N700" t="str">
        <f t="shared" si="60"/>
        <v/>
      </c>
      <c r="O700" t="str">
        <f>IF($AS700="","",INDEX('TMP Paste'!$K$2:$K$1601,$AS700))</f>
        <v/>
      </c>
      <c r="P700" t="str">
        <f t="shared" si="61"/>
        <v/>
      </c>
      <c r="Q700" t="str">
        <f>IF($AS700="","",INDEX('TMP Paste'!$J$2:$J$1601,$AS700))</f>
        <v/>
      </c>
      <c r="R700" t="str">
        <f>IF($AS700="","",Config!$B$24)</f>
        <v/>
      </c>
      <c r="S700" t="str">
        <f ca="1">IF($AS700="","",TEXT(Config!$B$4,"yyyy-mm-dd"))</f>
        <v/>
      </c>
      <c r="T700" t="str">
        <f>IF($AS700="","",Config!$B$17)</f>
        <v/>
      </c>
      <c r="U700" t="str">
        <f>IF($AS700="","",Config!$B$18)</f>
        <v/>
      </c>
      <c r="V700" t="str">
        <f>IF($AS700="","",Config!$B$19)</f>
        <v/>
      </c>
      <c r="W700" t="str">
        <f>IF($AS700="","",INDEX('TMP Paste'!$C$2:$C$1601,$AS700))</f>
        <v/>
      </c>
      <c r="X700" t="str">
        <f>IF($AS700="","",Config!$B$29)</f>
        <v/>
      </c>
      <c r="Y700" t="str">
        <f>IF($AT700="","",INDEX(Calc!$I$2:$I$1601,$AT700)&amp;" - "&amp;INDEX(Calc!$D$2:$D$1601,$AT700)&amp;" koli")</f>
        <v/>
      </c>
      <c r="Z700" t="str">
        <f>IF($AS700="","",Config!$B$21)</f>
        <v/>
      </c>
      <c r="AA700" t="str">
        <f>IF($AS700="","",Config!$B$22)</f>
        <v/>
      </c>
      <c r="AB700" t="str">
        <f>IF($AT700="","",INDEX(Calc!$D$2:$D$1601,$AT700))</f>
        <v/>
      </c>
      <c r="AC700" t="str">
        <f>IF($AT700="","",INDEX(Calc!$G$2:$G$1601,$AT700))</f>
        <v/>
      </c>
      <c r="AD700" t="str">
        <f>IF($AS700="","",Config!$B$23)</f>
        <v/>
      </c>
      <c r="AE700" t="str">
        <f>IF($AS700="","",Config!$B$28)</f>
        <v/>
      </c>
      <c r="AF700" t="str">
        <f t="shared" si="62"/>
        <v/>
      </c>
      <c r="AG700" t="str">
        <f t="shared" si="63"/>
        <v/>
      </c>
      <c r="AH700" t="str">
        <f t="shared" si="64"/>
        <v/>
      </c>
      <c r="AI700" t="str">
        <f>IF($AG700="","",SUMIF($AG$2:$AG700,$AG700,$AH$2:$AH700))</f>
        <v/>
      </c>
      <c r="AJ700" t="str">
        <f>IF('TMP Paste'!$F700="","",IF('TMP Paste'!$B700="",$AJ699,'TMP Paste'!$B700))</f>
        <v/>
      </c>
      <c r="AK700" t="str">
        <f>IF('TMP Paste'!$F700="","",N('TMP Paste'!$G700))</f>
        <v/>
      </c>
      <c r="AL700" t="str">
        <f>IF('TMP Paste'!$F700="","",IF('TMP Paste'!$M700="",$AL699,'TMP Paste'!$M700))</f>
        <v/>
      </c>
      <c r="AM700" t="str">
        <f>IF('TMP Paste'!$F700="","",IF('TMP Paste'!$N700="",$AM699,'TMP Paste'!$N700))</f>
        <v/>
      </c>
      <c r="AN700" t="str">
        <f>IF('TMP Paste'!$F700="","",IF('TMP Paste'!$O700="",$AN699,'TMP Paste'!$O700))</f>
        <v/>
      </c>
      <c r="AO700" t="str">
        <f>IF('TMP Paste'!$F700="","",IF('TMP Paste'!$P700="",$AO699,'TMP Paste'!$P700))</f>
        <v/>
      </c>
      <c r="AP700" t="str">
        <f t="shared" si="65"/>
        <v/>
      </c>
      <c r="AQ700" t="str">
        <f>IF($AS700="","",TRIM(IF(COUNTIFS(Calc!$B$2:$B$1601,ROW()-1,Calc!$C$2:$C$1601,"&lt;1")&gt;0,"Ada PO tanpa Koli - cek TMP. ","")&amp;IF(OR($AU700="",$AU700&lt;=0),"Volume kosong/0 - dimensi dikosongkan. ","")&amp;IF(AND($AU700&lt;&gt;"",$AU700&gt;=1000000),"Volume &gt;= 1.000.000 cm3 (di luar aturan) - dimensi dikosongkan. ","")&amp;IF(LEN($R700)&gt;500,"R &gt; 500 karakter.","")))</f>
        <v/>
      </c>
      <c r="AS700" t="str">
        <f>IFERROR(MATCH(ROW()-1,Calc!$J$2:$J$1601,0),"")</f>
        <v/>
      </c>
      <c r="AT700" t="str">
        <f>IFERROR(MATCH(ROW()-1,Calc!$K$2:$K$1601,0),"")</f>
        <v/>
      </c>
      <c r="AU700" t="str">
        <f>IF($AS700="","",IFERROR(INDEX('TMP Paste'!$D$2:$D$1601,$AS700)*1000000/$AB700,""))</f>
        <v/>
      </c>
    </row>
    <row r="701" spans="1:47">
      <c r="A701" t="str">
        <f>IF($AS701="","",INDEX('TMP Paste'!$B$2:$B$1601,$AS701))</f>
        <v/>
      </c>
      <c r="B701" t="str">
        <f>IF($AS701="","",Config!$B$14)</f>
        <v/>
      </c>
      <c r="C701" t="str">
        <f>IF($AS701="","",Config!$B$15)</f>
        <v/>
      </c>
      <c r="D701" t="str">
        <f>IF($AS701="","",INDEX('TMP Paste'!$B$2:$B$1601,$AS701))</f>
        <v/>
      </c>
      <c r="E701" t="str">
        <f>IF($AS701="","",Config!$B$27)</f>
        <v/>
      </c>
      <c r="F701" t="str">
        <f>IF($AS701="","",Config!$B$9)</f>
        <v/>
      </c>
      <c r="G701" t="str">
        <f>IF($AS701="","",Config!$B$10)</f>
        <v/>
      </c>
      <c r="H701" t="str">
        <f>IF($AS701="","",Config!$B$11)</f>
        <v/>
      </c>
      <c r="I701" t="str">
        <f>IF($AS701="","",Config!$B$16)</f>
        <v/>
      </c>
      <c r="J701" t="str">
        <f>IF($AS701="","",INDEX('TMP Paste'!$A$2:$A$1601,$AS701))</f>
        <v/>
      </c>
      <c r="K701" t="str">
        <f>IF($AS701="","",INDEX('TMP Paste'!$L$2:$L$1601,$AS701))</f>
        <v/>
      </c>
      <c r="L701" t="str">
        <f>IF($AS701="","",INDEX('TMP Paste'!$I$2:$I$1601,$AS701))</f>
        <v/>
      </c>
      <c r="M701" t="str">
        <f>IF($AS701="","",Config!$B$16)</f>
        <v/>
      </c>
      <c r="N701" t="str">
        <f t="shared" si="60"/>
        <v/>
      </c>
      <c r="O701" t="str">
        <f>IF($AS701="","",INDEX('TMP Paste'!$K$2:$K$1601,$AS701))</f>
        <v/>
      </c>
      <c r="P701" t="str">
        <f t="shared" si="61"/>
        <v/>
      </c>
      <c r="Q701" t="str">
        <f>IF($AS701="","",INDEX('TMP Paste'!$J$2:$J$1601,$AS701))</f>
        <v/>
      </c>
      <c r="R701" t="str">
        <f>IF($AS701="","",Config!$B$24)</f>
        <v/>
      </c>
      <c r="S701" t="str">
        <f ca="1">IF($AS701="","",TEXT(Config!$B$4,"yyyy-mm-dd"))</f>
        <v/>
      </c>
      <c r="T701" t="str">
        <f>IF($AS701="","",Config!$B$17)</f>
        <v/>
      </c>
      <c r="U701" t="str">
        <f>IF($AS701="","",Config!$B$18)</f>
        <v/>
      </c>
      <c r="V701" t="str">
        <f>IF($AS701="","",Config!$B$19)</f>
        <v/>
      </c>
      <c r="W701" t="str">
        <f>IF($AS701="","",INDEX('TMP Paste'!$C$2:$C$1601,$AS701))</f>
        <v/>
      </c>
      <c r="X701" t="str">
        <f>IF($AS701="","",Config!$B$29)</f>
        <v/>
      </c>
      <c r="Y701" t="str">
        <f>IF($AT701="","",INDEX(Calc!$I$2:$I$1601,$AT701)&amp;" - "&amp;INDEX(Calc!$D$2:$D$1601,$AT701)&amp;" koli")</f>
        <v/>
      </c>
      <c r="Z701" t="str">
        <f>IF($AS701="","",Config!$B$21)</f>
        <v/>
      </c>
      <c r="AA701" t="str">
        <f>IF($AS701="","",Config!$B$22)</f>
        <v/>
      </c>
      <c r="AB701" t="str">
        <f>IF($AT701="","",INDEX(Calc!$D$2:$D$1601,$AT701))</f>
        <v/>
      </c>
      <c r="AC701" t="str">
        <f>IF($AT701="","",INDEX(Calc!$G$2:$G$1601,$AT701))</f>
        <v/>
      </c>
      <c r="AD701" t="str">
        <f>IF($AS701="","",Config!$B$23)</f>
        <v/>
      </c>
      <c r="AE701" t="str">
        <f>IF($AS701="","",Config!$B$28)</f>
        <v/>
      </c>
      <c r="AF701" t="str">
        <f t="shared" si="62"/>
        <v/>
      </c>
      <c r="AG701" t="str">
        <f t="shared" si="63"/>
        <v/>
      </c>
      <c r="AH701" t="str">
        <f t="shared" si="64"/>
        <v/>
      </c>
      <c r="AI701" t="str">
        <f>IF($AG701="","",SUMIF($AG$2:$AG701,$AG701,$AH$2:$AH701))</f>
        <v/>
      </c>
      <c r="AJ701" t="str">
        <f>IF('TMP Paste'!$F701="","",IF('TMP Paste'!$B701="",$AJ700,'TMP Paste'!$B701))</f>
        <v/>
      </c>
      <c r="AK701" t="str">
        <f>IF('TMP Paste'!$F701="","",N('TMP Paste'!$G701))</f>
        <v/>
      </c>
      <c r="AL701" t="str">
        <f>IF('TMP Paste'!$F701="","",IF('TMP Paste'!$M701="",$AL700,'TMP Paste'!$M701))</f>
        <v/>
      </c>
      <c r="AM701" t="str">
        <f>IF('TMP Paste'!$F701="","",IF('TMP Paste'!$N701="",$AM700,'TMP Paste'!$N701))</f>
        <v/>
      </c>
      <c r="AN701" t="str">
        <f>IF('TMP Paste'!$F701="","",IF('TMP Paste'!$O701="",$AN700,'TMP Paste'!$O701))</f>
        <v/>
      </c>
      <c r="AO701" t="str">
        <f>IF('TMP Paste'!$F701="","",IF('TMP Paste'!$P701="",$AO700,'TMP Paste'!$P701))</f>
        <v/>
      </c>
      <c r="AP701" t="str">
        <f t="shared" si="65"/>
        <v/>
      </c>
      <c r="AQ701" t="str">
        <f>IF($AS701="","",TRIM(IF(COUNTIFS(Calc!$B$2:$B$1601,ROW()-1,Calc!$C$2:$C$1601,"&lt;1")&gt;0,"Ada PO tanpa Koli - cek TMP. ","")&amp;IF(OR($AU701="",$AU701&lt;=0),"Volume kosong/0 - dimensi dikosongkan. ","")&amp;IF(AND($AU701&lt;&gt;"",$AU701&gt;=1000000),"Volume &gt;= 1.000.000 cm3 (di luar aturan) - dimensi dikosongkan. ","")&amp;IF(LEN($R701)&gt;500,"R &gt; 500 karakter.","")))</f>
        <v/>
      </c>
      <c r="AS701" t="str">
        <f>IFERROR(MATCH(ROW()-1,Calc!$J$2:$J$1601,0),"")</f>
        <v/>
      </c>
      <c r="AT701" t="str">
        <f>IFERROR(MATCH(ROW()-1,Calc!$K$2:$K$1601,0),"")</f>
        <v/>
      </c>
      <c r="AU701" t="str">
        <f>IF($AS701="","",IFERROR(INDEX('TMP Paste'!$D$2:$D$1601,$AS701)*1000000/$AB701,""))</f>
        <v/>
      </c>
    </row>
    <row r="702" spans="1:47">
      <c r="A702" t="str">
        <f>IF($AS702="","",INDEX('TMP Paste'!$B$2:$B$1601,$AS702))</f>
        <v/>
      </c>
      <c r="B702" t="str">
        <f>IF($AS702="","",Config!$B$14)</f>
        <v/>
      </c>
      <c r="C702" t="str">
        <f>IF($AS702="","",Config!$B$15)</f>
        <v/>
      </c>
      <c r="D702" t="str">
        <f>IF($AS702="","",INDEX('TMP Paste'!$B$2:$B$1601,$AS702))</f>
        <v/>
      </c>
      <c r="E702" t="str">
        <f>IF($AS702="","",Config!$B$27)</f>
        <v/>
      </c>
      <c r="F702" t="str">
        <f>IF($AS702="","",Config!$B$9)</f>
        <v/>
      </c>
      <c r="G702" t="str">
        <f>IF($AS702="","",Config!$B$10)</f>
        <v/>
      </c>
      <c r="H702" t="str">
        <f>IF($AS702="","",Config!$B$11)</f>
        <v/>
      </c>
      <c r="I702" t="str">
        <f>IF($AS702="","",Config!$B$16)</f>
        <v/>
      </c>
      <c r="J702" t="str">
        <f>IF($AS702="","",INDEX('TMP Paste'!$A$2:$A$1601,$AS702))</f>
        <v/>
      </c>
      <c r="K702" t="str">
        <f>IF($AS702="","",INDEX('TMP Paste'!$L$2:$L$1601,$AS702))</f>
        <v/>
      </c>
      <c r="L702" t="str">
        <f>IF($AS702="","",INDEX('TMP Paste'!$I$2:$I$1601,$AS702))</f>
        <v/>
      </c>
      <c r="M702" t="str">
        <f>IF($AS702="","",Config!$B$16)</f>
        <v/>
      </c>
      <c r="N702" t="str">
        <f t="shared" si="60"/>
        <v/>
      </c>
      <c r="O702" t="str">
        <f>IF($AS702="","",INDEX('TMP Paste'!$K$2:$K$1601,$AS702))</f>
        <v/>
      </c>
      <c r="P702" t="str">
        <f t="shared" si="61"/>
        <v/>
      </c>
      <c r="Q702" t="str">
        <f>IF($AS702="","",INDEX('TMP Paste'!$J$2:$J$1601,$AS702))</f>
        <v/>
      </c>
      <c r="R702" t="str">
        <f>IF($AS702="","",Config!$B$24)</f>
        <v/>
      </c>
      <c r="S702" t="str">
        <f ca="1">IF($AS702="","",TEXT(Config!$B$4,"yyyy-mm-dd"))</f>
        <v/>
      </c>
      <c r="T702" t="str">
        <f>IF($AS702="","",Config!$B$17)</f>
        <v/>
      </c>
      <c r="U702" t="str">
        <f>IF($AS702="","",Config!$B$18)</f>
        <v/>
      </c>
      <c r="V702" t="str">
        <f>IF($AS702="","",Config!$B$19)</f>
        <v/>
      </c>
      <c r="W702" t="str">
        <f>IF($AS702="","",INDEX('TMP Paste'!$C$2:$C$1601,$AS702))</f>
        <v/>
      </c>
      <c r="X702" t="str">
        <f>IF($AS702="","",Config!$B$29)</f>
        <v/>
      </c>
      <c r="Y702" t="str">
        <f>IF($AT702="","",INDEX(Calc!$I$2:$I$1601,$AT702)&amp;" - "&amp;INDEX(Calc!$D$2:$D$1601,$AT702)&amp;" koli")</f>
        <v/>
      </c>
      <c r="Z702" t="str">
        <f>IF($AS702="","",Config!$B$21)</f>
        <v/>
      </c>
      <c r="AA702" t="str">
        <f>IF($AS702="","",Config!$B$22)</f>
        <v/>
      </c>
      <c r="AB702" t="str">
        <f>IF($AT702="","",INDEX(Calc!$D$2:$D$1601,$AT702))</f>
        <v/>
      </c>
      <c r="AC702" t="str">
        <f>IF($AT702="","",INDEX(Calc!$G$2:$G$1601,$AT702))</f>
        <v/>
      </c>
      <c r="AD702" t="str">
        <f>IF($AS702="","",Config!$B$23)</f>
        <v/>
      </c>
      <c r="AE702" t="str">
        <f>IF($AS702="","",Config!$B$28)</f>
        <v/>
      </c>
      <c r="AF702" t="str">
        <f t="shared" si="62"/>
        <v/>
      </c>
      <c r="AG702" t="str">
        <f t="shared" si="63"/>
        <v/>
      </c>
      <c r="AH702" t="str">
        <f t="shared" si="64"/>
        <v/>
      </c>
      <c r="AI702" t="str">
        <f>IF($AG702="","",SUMIF($AG$2:$AG702,$AG702,$AH$2:$AH702))</f>
        <v/>
      </c>
      <c r="AJ702" t="str">
        <f>IF('TMP Paste'!$F702="","",IF('TMP Paste'!$B702="",$AJ701,'TMP Paste'!$B702))</f>
        <v/>
      </c>
      <c r="AK702" t="str">
        <f>IF('TMP Paste'!$F702="","",N('TMP Paste'!$G702))</f>
        <v/>
      </c>
      <c r="AL702" t="str">
        <f>IF('TMP Paste'!$F702="","",IF('TMP Paste'!$M702="",$AL701,'TMP Paste'!$M702))</f>
        <v/>
      </c>
      <c r="AM702" t="str">
        <f>IF('TMP Paste'!$F702="","",IF('TMP Paste'!$N702="",$AM701,'TMP Paste'!$N702))</f>
        <v/>
      </c>
      <c r="AN702" t="str">
        <f>IF('TMP Paste'!$F702="","",IF('TMP Paste'!$O702="",$AN701,'TMP Paste'!$O702))</f>
        <v/>
      </c>
      <c r="AO702" t="str">
        <f>IF('TMP Paste'!$F702="","",IF('TMP Paste'!$P702="",$AO701,'TMP Paste'!$P702))</f>
        <v/>
      </c>
      <c r="AP702" t="str">
        <f t="shared" si="65"/>
        <v/>
      </c>
      <c r="AQ702" t="str">
        <f>IF($AS702="","",TRIM(IF(COUNTIFS(Calc!$B$2:$B$1601,ROW()-1,Calc!$C$2:$C$1601,"&lt;1")&gt;0,"Ada PO tanpa Koli - cek TMP. ","")&amp;IF(OR($AU702="",$AU702&lt;=0),"Volume kosong/0 - dimensi dikosongkan. ","")&amp;IF(AND($AU702&lt;&gt;"",$AU702&gt;=1000000),"Volume &gt;= 1.000.000 cm3 (di luar aturan) - dimensi dikosongkan. ","")&amp;IF(LEN($R702)&gt;500,"R &gt; 500 karakter.","")))</f>
        <v/>
      </c>
      <c r="AS702" t="str">
        <f>IFERROR(MATCH(ROW()-1,Calc!$J$2:$J$1601,0),"")</f>
        <v/>
      </c>
      <c r="AT702" t="str">
        <f>IFERROR(MATCH(ROW()-1,Calc!$K$2:$K$1601,0),"")</f>
        <v/>
      </c>
      <c r="AU702" t="str">
        <f>IF($AS702="","",IFERROR(INDEX('TMP Paste'!$D$2:$D$1601,$AS702)*1000000/$AB702,""))</f>
        <v/>
      </c>
    </row>
    <row r="703" spans="1:47">
      <c r="A703" t="str">
        <f>IF($AS703="","",INDEX('TMP Paste'!$B$2:$B$1601,$AS703))</f>
        <v/>
      </c>
      <c r="B703" t="str">
        <f>IF($AS703="","",Config!$B$14)</f>
        <v/>
      </c>
      <c r="C703" t="str">
        <f>IF($AS703="","",Config!$B$15)</f>
        <v/>
      </c>
      <c r="D703" t="str">
        <f>IF($AS703="","",INDEX('TMP Paste'!$B$2:$B$1601,$AS703))</f>
        <v/>
      </c>
      <c r="E703" t="str">
        <f>IF($AS703="","",Config!$B$27)</f>
        <v/>
      </c>
      <c r="F703" t="str">
        <f>IF($AS703="","",Config!$B$9)</f>
        <v/>
      </c>
      <c r="G703" t="str">
        <f>IF($AS703="","",Config!$B$10)</f>
        <v/>
      </c>
      <c r="H703" t="str">
        <f>IF($AS703="","",Config!$B$11)</f>
        <v/>
      </c>
      <c r="I703" t="str">
        <f>IF($AS703="","",Config!$B$16)</f>
        <v/>
      </c>
      <c r="J703" t="str">
        <f>IF($AS703="","",INDEX('TMP Paste'!$A$2:$A$1601,$AS703))</f>
        <v/>
      </c>
      <c r="K703" t="str">
        <f>IF($AS703="","",INDEX('TMP Paste'!$L$2:$L$1601,$AS703))</f>
        <v/>
      </c>
      <c r="L703" t="str">
        <f>IF($AS703="","",INDEX('TMP Paste'!$I$2:$I$1601,$AS703))</f>
        <v/>
      </c>
      <c r="M703" t="str">
        <f>IF($AS703="","",Config!$B$16)</f>
        <v/>
      </c>
      <c r="N703" t="str">
        <f t="shared" si="60"/>
        <v/>
      </c>
      <c r="O703" t="str">
        <f>IF($AS703="","",INDEX('TMP Paste'!$K$2:$K$1601,$AS703))</f>
        <v/>
      </c>
      <c r="P703" t="str">
        <f t="shared" si="61"/>
        <v/>
      </c>
      <c r="Q703" t="str">
        <f>IF($AS703="","",INDEX('TMP Paste'!$J$2:$J$1601,$AS703))</f>
        <v/>
      </c>
      <c r="R703" t="str">
        <f>IF($AS703="","",Config!$B$24)</f>
        <v/>
      </c>
      <c r="S703" t="str">
        <f ca="1">IF($AS703="","",TEXT(Config!$B$4,"yyyy-mm-dd"))</f>
        <v/>
      </c>
      <c r="T703" t="str">
        <f>IF($AS703="","",Config!$B$17)</f>
        <v/>
      </c>
      <c r="U703" t="str">
        <f>IF($AS703="","",Config!$B$18)</f>
        <v/>
      </c>
      <c r="V703" t="str">
        <f>IF($AS703="","",Config!$B$19)</f>
        <v/>
      </c>
      <c r="W703" t="str">
        <f>IF($AS703="","",INDEX('TMP Paste'!$C$2:$C$1601,$AS703))</f>
        <v/>
      </c>
      <c r="X703" t="str">
        <f>IF($AS703="","",Config!$B$29)</f>
        <v/>
      </c>
      <c r="Y703" t="str">
        <f>IF($AT703="","",INDEX(Calc!$I$2:$I$1601,$AT703)&amp;" - "&amp;INDEX(Calc!$D$2:$D$1601,$AT703)&amp;" koli")</f>
        <v/>
      </c>
      <c r="Z703" t="str">
        <f>IF($AS703="","",Config!$B$21)</f>
        <v/>
      </c>
      <c r="AA703" t="str">
        <f>IF($AS703="","",Config!$B$22)</f>
        <v/>
      </c>
      <c r="AB703" t="str">
        <f>IF($AT703="","",INDEX(Calc!$D$2:$D$1601,$AT703))</f>
        <v/>
      </c>
      <c r="AC703" t="str">
        <f>IF($AT703="","",INDEX(Calc!$G$2:$G$1601,$AT703))</f>
        <v/>
      </c>
      <c r="AD703" t="str">
        <f>IF($AS703="","",Config!$B$23)</f>
        <v/>
      </c>
      <c r="AE703" t="str">
        <f>IF($AS703="","",Config!$B$28)</f>
        <v/>
      </c>
      <c r="AF703" t="str">
        <f t="shared" si="62"/>
        <v/>
      </c>
      <c r="AG703" t="str">
        <f t="shared" si="63"/>
        <v/>
      </c>
      <c r="AH703" t="str">
        <f t="shared" si="64"/>
        <v/>
      </c>
      <c r="AI703" t="str">
        <f>IF($AG703="","",SUMIF($AG$2:$AG703,$AG703,$AH$2:$AH703))</f>
        <v/>
      </c>
      <c r="AJ703" t="str">
        <f>IF('TMP Paste'!$F703="","",IF('TMP Paste'!$B703="",$AJ702,'TMP Paste'!$B703))</f>
        <v/>
      </c>
      <c r="AK703" t="str">
        <f>IF('TMP Paste'!$F703="","",N('TMP Paste'!$G703))</f>
        <v/>
      </c>
      <c r="AL703" t="str">
        <f>IF('TMP Paste'!$F703="","",IF('TMP Paste'!$M703="",$AL702,'TMP Paste'!$M703))</f>
        <v/>
      </c>
      <c r="AM703" t="str">
        <f>IF('TMP Paste'!$F703="","",IF('TMP Paste'!$N703="",$AM702,'TMP Paste'!$N703))</f>
        <v/>
      </c>
      <c r="AN703" t="str">
        <f>IF('TMP Paste'!$F703="","",IF('TMP Paste'!$O703="",$AN702,'TMP Paste'!$O703))</f>
        <v/>
      </c>
      <c r="AO703" t="str">
        <f>IF('TMP Paste'!$F703="","",IF('TMP Paste'!$P703="",$AO702,'TMP Paste'!$P703))</f>
        <v/>
      </c>
      <c r="AP703" t="str">
        <f t="shared" si="65"/>
        <v/>
      </c>
      <c r="AQ703" t="str">
        <f>IF($AS703="","",TRIM(IF(COUNTIFS(Calc!$B$2:$B$1601,ROW()-1,Calc!$C$2:$C$1601,"&lt;1")&gt;0,"Ada PO tanpa Koli - cek TMP. ","")&amp;IF(OR($AU703="",$AU703&lt;=0),"Volume kosong/0 - dimensi dikosongkan. ","")&amp;IF(AND($AU703&lt;&gt;"",$AU703&gt;=1000000),"Volume &gt;= 1.000.000 cm3 (di luar aturan) - dimensi dikosongkan. ","")&amp;IF(LEN($R703)&gt;500,"R &gt; 500 karakter.","")))</f>
        <v/>
      </c>
      <c r="AS703" t="str">
        <f>IFERROR(MATCH(ROW()-1,Calc!$J$2:$J$1601,0),"")</f>
        <v/>
      </c>
      <c r="AT703" t="str">
        <f>IFERROR(MATCH(ROW()-1,Calc!$K$2:$K$1601,0),"")</f>
        <v/>
      </c>
      <c r="AU703" t="str">
        <f>IF($AS703="","",IFERROR(INDEX('TMP Paste'!$D$2:$D$1601,$AS703)*1000000/$AB703,""))</f>
        <v/>
      </c>
    </row>
    <row r="704" spans="1:47">
      <c r="A704" t="str">
        <f>IF($AS704="","",INDEX('TMP Paste'!$B$2:$B$1601,$AS704))</f>
        <v/>
      </c>
      <c r="B704" t="str">
        <f>IF($AS704="","",Config!$B$14)</f>
        <v/>
      </c>
      <c r="C704" t="str">
        <f>IF($AS704="","",Config!$B$15)</f>
        <v/>
      </c>
      <c r="D704" t="str">
        <f>IF($AS704="","",INDEX('TMP Paste'!$B$2:$B$1601,$AS704))</f>
        <v/>
      </c>
      <c r="E704" t="str">
        <f>IF($AS704="","",Config!$B$27)</f>
        <v/>
      </c>
      <c r="F704" t="str">
        <f>IF($AS704="","",Config!$B$9)</f>
        <v/>
      </c>
      <c r="G704" t="str">
        <f>IF($AS704="","",Config!$B$10)</f>
        <v/>
      </c>
      <c r="H704" t="str">
        <f>IF($AS704="","",Config!$B$11)</f>
        <v/>
      </c>
      <c r="I704" t="str">
        <f>IF($AS704="","",Config!$B$16)</f>
        <v/>
      </c>
      <c r="J704" t="str">
        <f>IF($AS704="","",INDEX('TMP Paste'!$A$2:$A$1601,$AS704))</f>
        <v/>
      </c>
      <c r="K704" t="str">
        <f>IF($AS704="","",INDEX('TMP Paste'!$L$2:$L$1601,$AS704))</f>
        <v/>
      </c>
      <c r="L704" t="str">
        <f>IF($AS704="","",INDEX('TMP Paste'!$I$2:$I$1601,$AS704))</f>
        <v/>
      </c>
      <c r="M704" t="str">
        <f>IF($AS704="","",Config!$B$16)</f>
        <v/>
      </c>
      <c r="N704" t="str">
        <f t="shared" si="60"/>
        <v/>
      </c>
      <c r="O704" t="str">
        <f>IF($AS704="","",INDEX('TMP Paste'!$K$2:$K$1601,$AS704))</f>
        <v/>
      </c>
      <c r="P704" t="str">
        <f t="shared" si="61"/>
        <v/>
      </c>
      <c r="Q704" t="str">
        <f>IF($AS704="","",INDEX('TMP Paste'!$J$2:$J$1601,$AS704))</f>
        <v/>
      </c>
      <c r="R704" t="str">
        <f>IF($AS704="","",Config!$B$24)</f>
        <v/>
      </c>
      <c r="S704" t="str">
        <f ca="1">IF($AS704="","",TEXT(Config!$B$4,"yyyy-mm-dd"))</f>
        <v/>
      </c>
      <c r="T704" t="str">
        <f>IF($AS704="","",Config!$B$17)</f>
        <v/>
      </c>
      <c r="U704" t="str">
        <f>IF($AS704="","",Config!$B$18)</f>
        <v/>
      </c>
      <c r="V704" t="str">
        <f>IF($AS704="","",Config!$B$19)</f>
        <v/>
      </c>
      <c r="W704" t="str">
        <f>IF($AS704="","",INDEX('TMP Paste'!$C$2:$C$1601,$AS704))</f>
        <v/>
      </c>
      <c r="X704" t="str">
        <f>IF($AS704="","",Config!$B$29)</f>
        <v/>
      </c>
      <c r="Y704" t="str">
        <f>IF($AT704="","",INDEX(Calc!$I$2:$I$1601,$AT704)&amp;" - "&amp;INDEX(Calc!$D$2:$D$1601,$AT704)&amp;" koli")</f>
        <v/>
      </c>
      <c r="Z704" t="str">
        <f>IF($AS704="","",Config!$B$21)</f>
        <v/>
      </c>
      <c r="AA704" t="str">
        <f>IF($AS704="","",Config!$B$22)</f>
        <v/>
      </c>
      <c r="AB704" t="str">
        <f>IF($AT704="","",INDEX(Calc!$D$2:$D$1601,$AT704))</f>
        <v/>
      </c>
      <c r="AC704" t="str">
        <f>IF($AT704="","",INDEX(Calc!$G$2:$G$1601,$AT704))</f>
        <v/>
      </c>
      <c r="AD704" t="str">
        <f>IF($AS704="","",Config!$B$23)</f>
        <v/>
      </c>
      <c r="AE704" t="str">
        <f>IF($AS704="","",Config!$B$28)</f>
        <v/>
      </c>
      <c r="AF704" t="str">
        <f t="shared" si="62"/>
        <v/>
      </c>
      <c r="AG704" t="str">
        <f t="shared" si="63"/>
        <v/>
      </c>
      <c r="AH704" t="str">
        <f t="shared" si="64"/>
        <v/>
      </c>
      <c r="AI704" t="str">
        <f>IF($AG704="","",SUMIF($AG$2:$AG704,$AG704,$AH$2:$AH704))</f>
        <v/>
      </c>
      <c r="AJ704" t="str">
        <f>IF('TMP Paste'!$F704="","",IF('TMP Paste'!$B704="",$AJ703,'TMP Paste'!$B704))</f>
        <v/>
      </c>
      <c r="AK704" t="str">
        <f>IF('TMP Paste'!$F704="","",N('TMP Paste'!$G704))</f>
        <v/>
      </c>
      <c r="AL704" t="str">
        <f>IF('TMP Paste'!$F704="","",IF('TMP Paste'!$M704="",$AL703,'TMP Paste'!$M704))</f>
        <v/>
      </c>
      <c r="AM704" t="str">
        <f>IF('TMP Paste'!$F704="","",IF('TMP Paste'!$N704="",$AM703,'TMP Paste'!$N704))</f>
        <v/>
      </c>
      <c r="AN704" t="str">
        <f>IF('TMP Paste'!$F704="","",IF('TMP Paste'!$O704="",$AN703,'TMP Paste'!$O704))</f>
        <v/>
      </c>
      <c r="AO704" t="str">
        <f>IF('TMP Paste'!$F704="","",IF('TMP Paste'!$P704="",$AO703,'TMP Paste'!$P704))</f>
        <v/>
      </c>
      <c r="AP704" t="str">
        <f t="shared" si="65"/>
        <v/>
      </c>
      <c r="AQ704" t="str">
        <f>IF($AS704="","",TRIM(IF(COUNTIFS(Calc!$B$2:$B$1601,ROW()-1,Calc!$C$2:$C$1601,"&lt;1")&gt;0,"Ada PO tanpa Koli - cek TMP. ","")&amp;IF(OR($AU704="",$AU704&lt;=0),"Volume kosong/0 - dimensi dikosongkan. ","")&amp;IF(AND($AU704&lt;&gt;"",$AU704&gt;=1000000),"Volume &gt;= 1.000.000 cm3 (di luar aturan) - dimensi dikosongkan. ","")&amp;IF(LEN($R704)&gt;500,"R &gt; 500 karakter.","")))</f>
        <v/>
      </c>
      <c r="AS704" t="str">
        <f>IFERROR(MATCH(ROW()-1,Calc!$J$2:$J$1601,0),"")</f>
        <v/>
      </c>
      <c r="AT704" t="str">
        <f>IFERROR(MATCH(ROW()-1,Calc!$K$2:$K$1601,0),"")</f>
        <v/>
      </c>
      <c r="AU704" t="str">
        <f>IF($AS704="","",IFERROR(INDEX('TMP Paste'!$D$2:$D$1601,$AS704)*1000000/$AB704,""))</f>
        <v/>
      </c>
    </row>
    <row r="705" spans="1:47">
      <c r="A705" t="str">
        <f>IF($AS705="","",INDEX('TMP Paste'!$B$2:$B$1601,$AS705))</f>
        <v/>
      </c>
      <c r="B705" t="str">
        <f>IF($AS705="","",Config!$B$14)</f>
        <v/>
      </c>
      <c r="C705" t="str">
        <f>IF($AS705="","",Config!$B$15)</f>
        <v/>
      </c>
      <c r="D705" t="str">
        <f>IF($AS705="","",INDEX('TMP Paste'!$B$2:$B$1601,$AS705))</f>
        <v/>
      </c>
      <c r="E705" t="str">
        <f>IF($AS705="","",Config!$B$27)</f>
        <v/>
      </c>
      <c r="F705" t="str">
        <f>IF($AS705="","",Config!$B$9)</f>
        <v/>
      </c>
      <c r="G705" t="str">
        <f>IF($AS705="","",Config!$B$10)</f>
        <v/>
      </c>
      <c r="H705" t="str">
        <f>IF($AS705="","",Config!$B$11)</f>
        <v/>
      </c>
      <c r="I705" t="str">
        <f>IF($AS705="","",Config!$B$16)</f>
        <v/>
      </c>
      <c r="J705" t="str">
        <f>IF($AS705="","",INDEX('TMP Paste'!$A$2:$A$1601,$AS705))</f>
        <v/>
      </c>
      <c r="K705" t="str">
        <f>IF($AS705="","",INDEX('TMP Paste'!$L$2:$L$1601,$AS705))</f>
        <v/>
      </c>
      <c r="L705" t="str">
        <f>IF($AS705="","",INDEX('TMP Paste'!$I$2:$I$1601,$AS705))</f>
        <v/>
      </c>
      <c r="M705" t="str">
        <f>IF($AS705="","",Config!$B$16)</f>
        <v/>
      </c>
      <c r="N705" t="str">
        <f t="shared" si="60"/>
        <v/>
      </c>
      <c r="O705" t="str">
        <f>IF($AS705="","",INDEX('TMP Paste'!$K$2:$K$1601,$AS705))</f>
        <v/>
      </c>
      <c r="P705" t="str">
        <f t="shared" si="61"/>
        <v/>
      </c>
      <c r="Q705" t="str">
        <f>IF($AS705="","",INDEX('TMP Paste'!$J$2:$J$1601,$AS705))</f>
        <v/>
      </c>
      <c r="R705" t="str">
        <f>IF($AS705="","",Config!$B$24)</f>
        <v/>
      </c>
      <c r="S705" t="str">
        <f ca="1">IF($AS705="","",TEXT(Config!$B$4,"yyyy-mm-dd"))</f>
        <v/>
      </c>
      <c r="T705" t="str">
        <f>IF($AS705="","",Config!$B$17)</f>
        <v/>
      </c>
      <c r="U705" t="str">
        <f>IF($AS705="","",Config!$B$18)</f>
        <v/>
      </c>
      <c r="V705" t="str">
        <f>IF($AS705="","",Config!$B$19)</f>
        <v/>
      </c>
      <c r="W705" t="str">
        <f>IF($AS705="","",INDEX('TMP Paste'!$C$2:$C$1601,$AS705))</f>
        <v/>
      </c>
      <c r="X705" t="str">
        <f>IF($AS705="","",Config!$B$29)</f>
        <v/>
      </c>
      <c r="Y705" t="str">
        <f>IF($AT705="","",INDEX(Calc!$I$2:$I$1601,$AT705)&amp;" - "&amp;INDEX(Calc!$D$2:$D$1601,$AT705)&amp;" koli")</f>
        <v/>
      </c>
      <c r="Z705" t="str">
        <f>IF($AS705="","",Config!$B$21)</f>
        <v/>
      </c>
      <c r="AA705" t="str">
        <f>IF($AS705="","",Config!$B$22)</f>
        <v/>
      </c>
      <c r="AB705" t="str">
        <f>IF($AT705="","",INDEX(Calc!$D$2:$D$1601,$AT705))</f>
        <v/>
      </c>
      <c r="AC705" t="str">
        <f>IF($AT705="","",INDEX(Calc!$G$2:$G$1601,$AT705))</f>
        <v/>
      </c>
      <c r="AD705" t="str">
        <f>IF($AS705="","",Config!$B$23)</f>
        <v/>
      </c>
      <c r="AE705" t="str">
        <f>IF($AS705="","",Config!$B$28)</f>
        <v/>
      </c>
      <c r="AF705" t="str">
        <f t="shared" si="62"/>
        <v/>
      </c>
      <c r="AG705" t="str">
        <f t="shared" si="63"/>
        <v/>
      </c>
      <c r="AH705" t="str">
        <f t="shared" si="64"/>
        <v/>
      </c>
      <c r="AI705" t="str">
        <f>IF($AG705="","",SUMIF($AG$2:$AG705,$AG705,$AH$2:$AH705))</f>
        <v/>
      </c>
      <c r="AJ705" t="str">
        <f>IF('TMP Paste'!$F705="","",IF('TMP Paste'!$B705="",$AJ704,'TMP Paste'!$B705))</f>
        <v/>
      </c>
      <c r="AK705" t="str">
        <f>IF('TMP Paste'!$F705="","",N('TMP Paste'!$G705))</f>
        <v/>
      </c>
      <c r="AL705" t="str">
        <f>IF('TMP Paste'!$F705="","",IF('TMP Paste'!$M705="",$AL704,'TMP Paste'!$M705))</f>
        <v/>
      </c>
      <c r="AM705" t="str">
        <f>IF('TMP Paste'!$F705="","",IF('TMP Paste'!$N705="",$AM704,'TMP Paste'!$N705))</f>
        <v/>
      </c>
      <c r="AN705" t="str">
        <f>IF('TMP Paste'!$F705="","",IF('TMP Paste'!$O705="",$AN704,'TMP Paste'!$O705))</f>
        <v/>
      </c>
      <c r="AO705" t="str">
        <f>IF('TMP Paste'!$F705="","",IF('TMP Paste'!$P705="",$AO704,'TMP Paste'!$P705))</f>
        <v/>
      </c>
      <c r="AP705" t="str">
        <f t="shared" si="65"/>
        <v/>
      </c>
      <c r="AQ705" t="str">
        <f>IF($AS705="","",TRIM(IF(COUNTIFS(Calc!$B$2:$B$1601,ROW()-1,Calc!$C$2:$C$1601,"&lt;1")&gt;0,"Ada PO tanpa Koli - cek TMP. ","")&amp;IF(OR($AU705="",$AU705&lt;=0),"Volume kosong/0 - dimensi dikosongkan. ","")&amp;IF(AND($AU705&lt;&gt;"",$AU705&gt;=1000000),"Volume &gt;= 1.000.000 cm3 (di luar aturan) - dimensi dikosongkan. ","")&amp;IF(LEN($R705)&gt;500,"R &gt; 500 karakter.","")))</f>
        <v/>
      </c>
      <c r="AS705" t="str">
        <f>IFERROR(MATCH(ROW()-1,Calc!$J$2:$J$1601,0),"")</f>
        <v/>
      </c>
      <c r="AT705" t="str">
        <f>IFERROR(MATCH(ROW()-1,Calc!$K$2:$K$1601,0),"")</f>
        <v/>
      </c>
      <c r="AU705" t="str">
        <f>IF($AS705="","",IFERROR(INDEX('TMP Paste'!$D$2:$D$1601,$AS705)*1000000/$AB705,""))</f>
        <v/>
      </c>
    </row>
    <row r="706" spans="1:47">
      <c r="A706" t="str">
        <f>IF($AS706="","",INDEX('TMP Paste'!$B$2:$B$1601,$AS706))</f>
        <v/>
      </c>
      <c r="B706" t="str">
        <f>IF($AS706="","",Config!$B$14)</f>
        <v/>
      </c>
      <c r="C706" t="str">
        <f>IF($AS706="","",Config!$B$15)</f>
        <v/>
      </c>
      <c r="D706" t="str">
        <f>IF($AS706="","",INDEX('TMP Paste'!$B$2:$B$1601,$AS706))</f>
        <v/>
      </c>
      <c r="E706" t="str">
        <f>IF($AS706="","",Config!$B$27)</f>
        <v/>
      </c>
      <c r="F706" t="str">
        <f>IF($AS706="","",Config!$B$9)</f>
        <v/>
      </c>
      <c r="G706" t="str">
        <f>IF($AS706="","",Config!$B$10)</f>
        <v/>
      </c>
      <c r="H706" t="str">
        <f>IF($AS706="","",Config!$B$11)</f>
        <v/>
      </c>
      <c r="I706" t="str">
        <f>IF($AS706="","",Config!$B$16)</f>
        <v/>
      </c>
      <c r="J706" t="str">
        <f>IF($AS706="","",INDEX('TMP Paste'!$A$2:$A$1601,$AS706))</f>
        <v/>
      </c>
      <c r="K706" t="str">
        <f>IF($AS706="","",INDEX('TMP Paste'!$L$2:$L$1601,$AS706))</f>
        <v/>
      </c>
      <c r="L706" t="str">
        <f>IF($AS706="","",INDEX('TMP Paste'!$I$2:$I$1601,$AS706))</f>
        <v/>
      </c>
      <c r="M706" t="str">
        <f>IF($AS706="","",Config!$B$16)</f>
        <v/>
      </c>
      <c r="N706" t="str">
        <f t="shared" ref="N706:N769" si="66">IF($AS706="","","")</f>
        <v/>
      </c>
      <c r="O706" t="str">
        <f>IF($AS706="","",INDEX('TMP Paste'!$K$2:$K$1601,$AS706))</f>
        <v/>
      </c>
      <c r="P706" t="str">
        <f t="shared" ref="P706:P769" si="67">IF($AS706="","","")</f>
        <v/>
      </c>
      <c r="Q706" t="str">
        <f>IF($AS706="","",INDEX('TMP Paste'!$J$2:$J$1601,$AS706))</f>
        <v/>
      </c>
      <c r="R706" t="str">
        <f>IF($AS706="","",Config!$B$24)</f>
        <v/>
      </c>
      <c r="S706" t="str">
        <f ca="1">IF($AS706="","",TEXT(Config!$B$4,"yyyy-mm-dd"))</f>
        <v/>
      </c>
      <c r="T706" t="str">
        <f>IF($AS706="","",Config!$B$17)</f>
        <v/>
      </c>
      <c r="U706" t="str">
        <f>IF($AS706="","",Config!$B$18)</f>
        <v/>
      </c>
      <c r="V706" t="str">
        <f>IF($AS706="","",Config!$B$19)</f>
        <v/>
      </c>
      <c r="W706" t="str">
        <f>IF($AS706="","",INDEX('TMP Paste'!$C$2:$C$1601,$AS706))</f>
        <v/>
      </c>
      <c r="X706" t="str">
        <f>IF($AS706="","",Config!$B$29)</f>
        <v/>
      </c>
      <c r="Y706" t="str">
        <f>IF($AT706="","",INDEX(Calc!$I$2:$I$1601,$AT706)&amp;" - "&amp;INDEX(Calc!$D$2:$D$1601,$AT706)&amp;" koli")</f>
        <v/>
      </c>
      <c r="Z706" t="str">
        <f>IF($AS706="","",Config!$B$21)</f>
        <v/>
      </c>
      <c r="AA706" t="str">
        <f>IF($AS706="","",Config!$B$22)</f>
        <v/>
      </c>
      <c r="AB706" t="str">
        <f>IF($AT706="","",INDEX(Calc!$D$2:$D$1601,$AT706))</f>
        <v/>
      </c>
      <c r="AC706" t="str">
        <f>IF($AT706="","",INDEX(Calc!$G$2:$G$1601,$AT706))</f>
        <v/>
      </c>
      <c r="AD706" t="str">
        <f>IF($AS706="","",Config!$B$23)</f>
        <v/>
      </c>
      <c r="AE706" t="str">
        <f>IF($AS706="","",Config!$B$28)</f>
        <v/>
      </c>
      <c r="AF706" t="str">
        <f t="shared" ref="AF706:AF769" si="68">IF($AS706="","",IF(OR($AU706="",$AU706&lt;=0,$AU706&gt;=1000000),"",IF($AU706&lt;10000,10,100)))</f>
        <v/>
      </c>
      <c r="AG706" t="str">
        <f t="shared" ref="AG706:AG769" si="69">IF($AS706="","",IF(OR($AU706="",$AU706&lt;=0,$AU706&gt;=1000000),"",IF($AU706&lt;10000,$AU706/100,IF($AU706&lt;100000,$AU706/1000,$AU706/10000))))</f>
        <v/>
      </c>
      <c r="AH706" t="str">
        <f t="shared" ref="AH706:AH769" si="70">IF($AS706="","",IF(OR($AU706="",$AU706&lt;=0,$AU706&gt;=1000000),"",IF($AU706&lt;100000,10,100)))</f>
        <v/>
      </c>
      <c r="AI706" t="str">
        <f>IF($AG706="","",SUMIF($AG$2:$AG706,$AG706,$AH$2:$AH706))</f>
        <v/>
      </c>
      <c r="AJ706" t="str">
        <f>IF('TMP Paste'!$F706="","",IF('TMP Paste'!$B706="",$AJ705,'TMP Paste'!$B706))</f>
        <v/>
      </c>
      <c r="AK706" t="str">
        <f>IF('TMP Paste'!$F706="","",N('TMP Paste'!$G706))</f>
        <v/>
      </c>
      <c r="AL706" t="str">
        <f>IF('TMP Paste'!$F706="","",IF('TMP Paste'!$M706="",$AL705,'TMP Paste'!$M706))</f>
        <v/>
      </c>
      <c r="AM706" t="str">
        <f>IF('TMP Paste'!$F706="","",IF('TMP Paste'!$N706="",$AM705,'TMP Paste'!$N706))</f>
        <v/>
      </c>
      <c r="AN706" t="str">
        <f>IF('TMP Paste'!$F706="","",IF('TMP Paste'!$O706="",$AN705,'TMP Paste'!$O706))</f>
        <v/>
      </c>
      <c r="AO706" t="str">
        <f>IF('TMP Paste'!$F706="","",IF('TMP Paste'!$P706="",$AO705,'TMP Paste'!$P706))</f>
        <v/>
      </c>
      <c r="AP706" t="str">
        <f t="shared" ref="AP706:AP769" si="71">IF($AG706="","",LEN($R706))</f>
        <v/>
      </c>
      <c r="AQ706" t="str">
        <f>IF($AS706="","",TRIM(IF(COUNTIFS(Calc!$B$2:$B$1601,ROW()-1,Calc!$C$2:$C$1601,"&lt;1")&gt;0,"Ada PO tanpa Koli - cek TMP. ","")&amp;IF(OR($AU706="",$AU706&lt;=0),"Volume kosong/0 - dimensi dikosongkan. ","")&amp;IF(AND($AU706&lt;&gt;"",$AU706&gt;=1000000),"Volume &gt;= 1.000.000 cm3 (di luar aturan) - dimensi dikosongkan. ","")&amp;IF(LEN($R706)&gt;500,"R &gt; 500 karakter.","")))</f>
        <v/>
      </c>
      <c r="AS706" t="str">
        <f>IFERROR(MATCH(ROW()-1,Calc!$J$2:$J$1601,0),"")</f>
        <v/>
      </c>
      <c r="AT706" t="str">
        <f>IFERROR(MATCH(ROW()-1,Calc!$K$2:$K$1601,0),"")</f>
        <v/>
      </c>
      <c r="AU706" t="str">
        <f>IF($AS706="","",IFERROR(INDEX('TMP Paste'!$D$2:$D$1601,$AS706)*1000000/$AB706,""))</f>
        <v/>
      </c>
    </row>
    <row r="707" spans="1:47">
      <c r="A707" t="str">
        <f>IF($AS707="","",INDEX('TMP Paste'!$B$2:$B$1601,$AS707))</f>
        <v/>
      </c>
      <c r="B707" t="str">
        <f>IF($AS707="","",Config!$B$14)</f>
        <v/>
      </c>
      <c r="C707" t="str">
        <f>IF($AS707="","",Config!$B$15)</f>
        <v/>
      </c>
      <c r="D707" t="str">
        <f>IF($AS707="","",INDEX('TMP Paste'!$B$2:$B$1601,$AS707))</f>
        <v/>
      </c>
      <c r="E707" t="str">
        <f>IF($AS707="","",Config!$B$27)</f>
        <v/>
      </c>
      <c r="F707" t="str">
        <f>IF($AS707="","",Config!$B$9)</f>
        <v/>
      </c>
      <c r="G707" t="str">
        <f>IF($AS707="","",Config!$B$10)</f>
        <v/>
      </c>
      <c r="H707" t="str">
        <f>IF($AS707="","",Config!$B$11)</f>
        <v/>
      </c>
      <c r="I707" t="str">
        <f>IF($AS707="","",Config!$B$16)</f>
        <v/>
      </c>
      <c r="J707" t="str">
        <f>IF($AS707="","",INDEX('TMP Paste'!$A$2:$A$1601,$AS707))</f>
        <v/>
      </c>
      <c r="K707" t="str">
        <f>IF($AS707="","",INDEX('TMP Paste'!$L$2:$L$1601,$AS707))</f>
        <v/>
      </c>
      <c r="L707" t="str">
        <f>IF($AS707="","",INDEX('TMP Paste'!$I$2:$I$1601,$AS707))</f>
        <v/>
      </c>
      <c r="M707" t="str">
        <f>IF($AS707="","",Config!$B$16)</f>
        <v/>
      </c>
      <c r="N707" t="str">
        <f t="shared" si="66"/>
        <v/>
      </c>
      <c r="O707" t="str">
        <f>IF($AS707="","",INDEX('TMP Paste'!$K$2:$K$1601,$AS707))</f>
        <v/>
      </c>
      <c r="P707" t="str">
        <f t="shared" si="67"/>
        <v/>
      </c>
      <c r="Q707" t="str">
        <f>IF($AS707="","",INDEX('TMP Paste'!$J$2:$J$1601,$AS707))</f>
        <v/>
      </c>
      <c r="R707" t="str">
        <f>IF($AS707="","",Config!$B$24)</f>
        <v/>
      </c>
      <c r="S707" t="str">
        <f ca="1">IF($AS707="","",TEXT(Config!$B$4,"yyyy-mm-dd"))</f>
        <v/>
      </c>
      <c r="T707" t="str">
        <f>IF($AS707="","",Config!$B$17)</f>
        <v/>
      </c>
      <c r="U707" t="str">
        <f>IF($AS707="","",Config!$B$18)</f>
        <v/>
      </c>
      <c r="V707" t="str">
        <f>IF($AS707="","",Config!$B$19)</f>
        <v/>
      </c>
      <c r="W707" t="str">
        <f>IF($AS707="","",INDEX('TMP Paste'!$C$2:$C$1601,$AS707))</f>
        <v/>
      </c>
      <c r="X707" t="str">
        <f>IF($AS707="","",Config!$B$29)</f>
        <v/>
      </c>
      <c r="Y707" t="str">
        <f>IF($AT707="","",INDEX(Calc!$I$2:$I$1601,$AT707)&amp;" - "&amp;INDEX(Calc!$D$2:$D$1601,$AT707)&amp;" koli")</f>
        <v/>
      </c>
      <c r="Z707" t="str">
        <f>IF($AS707="","",Config!$B$21)</f>
        <v/>
      </c>
      <c r="AA707" t="str">
        <f>IF($AS707="","",Config!$B$22)</f>
        <v/>
      </c>
      <c r="AB707" t="str">
        <f>IF($AT707="","",INDEX(Calc!$D$2:$D$1601,$AT707))</f>
        <v/>
      </c>
      <c r="AC707" t="str">
        <f>IF($AT707="","",INDEX(Calc!$G$2:$G$1601,$AT707))</f>
        <v/>
      </c>
      <c r="AD707" t="str">
        <f>IF($AS707="","",Config!$B$23)</f>
        <v/>
      </c>
      <c r="AE707" t="str">
        <f>IF($AS707="","",Config!$B$28)</f>
        <v/>
      </c>
      <c r="AF707" t="str">
        <f t="shared" si="68"/>
        <v/>
      </c>
      <c r="AG707" t="str">
        <f t="shared" si="69"/>
        <v/>
      </c>
      <c r="AH707" t="str">
        <f t="shared" si="70"/>
        <v/>
      </c>
      <c r="AI707" t="str">
        <f>IF($AG707="","",SUMIF($AG$2:$AG707,$AG707,$AH$2:$AH707))</f>
        <v/>
      </c>
      <c r="AJ707" t="str">
        <f>IF('TMP Paste'!$F707="","",IF('TMP Paste'!$B707="",$AJ706,'TMP Paste'!$B707))</f>
        <v/>
      </c>
      <c r="AK707" t="str">
        <f>IF('TMP Paste'!$F707="","",N('TMP Paste'!$G707))</f>
        <v/>
      </c>
      <c r="AL707" t="str">
        <f>IF('TMP Paste'!$F707="","",IF('TMP Paste'!$M707="",$AL706,'TMP Paste'!$M707))</f>
        <v/>
      </c>
      <c r="AM707" t="str">
        <f>IF('TMP Paste'!$F707="","",IF('TMP Paste'!$N707="",$AM706,'TMP Paste'!$N707))</f>
        <v/>
      </c>
      <c r="AN707" t="str">
        <f>IF('TMP Paste'!$F707="","",IF('TMP Paste'!$O707="",$AN706,'TMP Paste'!$O707))</f>
        <v/>
      </c>
      <c r="AO707" t="str">
        <f>IF('TMP Paste'!$F707="","",IF('TMP Paste'!$P707="",$AO706,'TMP Paste'!$P707))</f>
        <v/>
      </c>
      <c r="AP707" t="str">
        <f t="shared" si="71"/>
        <v/>
      </c>
      <c r="AQ707" t="str">
        <f>IF($AS707="","",TRIM(IF(COUNTIFS(Calc!$B$2:$B$1601,ROW()-1,Calc!$C$2:$C$1601,"&lt;1")&gt;0,"Ada PO tanpa Koli - cek TMP. ","")&amp;IF(OR($AU707="",$AU707&lt;=0),"Volume kosong/0 - dimensi dikosongkan. ","")&amp;IF(AND($AU707&lt;&gt;"",$AU707&gt;=1000000),"Volume &gt;= 1.000.000 cm3 (di luar aturan) - dimensi dikosongkan. ","")&amp;IF(LEN($R707)&gt;500,"R &gt; 500 karakter.","")))</f>
        <v/>
      </c>
      <c r="AS707" t="str">
        <f>IFERROR(MATCH(ROW()-1,Calc!$J$2:$J$1601,0),"")</f>
        <v/>
      </c>
      <c r="AT707" t="str">
        <f>IFERROR(MATCH(ROW()-1,Calc!$K$2:$K$1601,0),"")</f>
        <v/>
      </c>
      <c r="AU707" t="str">
        <f>IF($AS707="","",IFERROR(INDEX('TMP Paste'!$D$2:$D$1601,$AS707)*1000000/$AB707,""))</f>
        <v/>
      </c>
    </row>
    <row r="708" spans="1:47">
      <c r="A708" t="str">
        <f>IF($AS708="","",INDEX('TMP Paste'!$B$2:$B$1601,$AS708))</f>
        <v/>
      </c>
      <c r="B708" t="str">
        <f>IF($AS708="","",Config!$B$14)</f>
        <v/>
      </c>
      <c r="C708" t="str">
        <f>IF($AS708="","",Config!$B$15)</f>
        <v/>
      </c>
      <c r="D708" t="str">
        <f>IF($AS708="","",INDEX('TMP Paste'!$B$2:$B$1601,$AS708))</f>
        <v/>
      </c>
      <c r="E708" t="str">
        <f>IF($AS708="","",Config!$B$27)</f>
        <v/>
      </c>
      <c r="F708" t="str">
        <f>IF($AS708="","",Config!$B$9)</f>
        <v/>
      </c>
      <c r="G708" t="str">
        <f>IF($AS708="","",Config!$B$10)</f>
        <v/>
      </c>
      <c r="H708" t="str">
        <f>IF($AS708="","",Config!$B$11)</f>
        <v/>
      </c>
      <c r="I708" t="str">
        <f>IF($AS708="","",Config!$B$16)</f>
        <v/>
      </c>
      <c r="J708" t="str">
        <f>IF($AS708="","",INDEX('TMP Paste'!$A$2:$A$1601,$AS708))</f>
        <v/>
      </c>
      <c r="K708" t="str">
        <f>IF($AS708="","",INDEX('TMP Paste'!$L$2:$L$1601,$AS708))</f>
        <v/>
      </c>
      <c r="L708" t="str">
        <f>IF($AS708="","",INDEX('TMP Paste'!$I$2:$I$1601,$AS708))</f>
        <v/>
      </c>
      <c r="M708" t="str">
        <f>IF($AS708="","",Config!$B$16)</f>
        <v/>
      </c>
      <c r="N708" t="str">
        <f t="shared" si="66"/>
        <v/>
      </c>
      <c r="O708" t="str">
        <f>IF($AS708="","",INDEX('TMP Paste'!$K$2:$K$1601,$AS708))</f>
        <v/>
      </c>
      <c r="P708" t="str">
        <f t="shared" si="67"/>
        <v/>
      </c>
      <c r="Q708" t="str">
        <f>IF($AS708="","",INDEX('TMP Paste'!$J$2:$J$1601,$AS708))</f>
        <v/>
      </c>
      <c r="R708" t="str">
        <f>IF($AS708="","",Config!$B$24)</f>
        <v/>
      </c>
      <c r="S708" t="str">
        <f ca="1">IF($AS708="","",TEXT(Config!$B$4,"yyyy-mm-dd"))</f>
        <v/>
      </c>
      <c r="T708" t="str">
        <f>IF($AS708="","",Config!$B$17)</f>
        <v/>
      </c>
      <c r="U708" t="str">
        <f>IF($AS708="","",Config!$B$18)</f>
        <v/>
      </c>
      <c r="V708" t="str">
        <f>IF($AS708="","",Config!$B$19)</f>
        <v/>
      </c>
      <c r="W708" t="str">
        <f>IF($AS708="","",INDEX('TMP Paste'!$C$2:$C$1601,$AS708))</f>
        <v/>
      </c>
      <c r="X708" t="str">
        <f>IF($AS708="","",Config!$B$29)</f>
        <v/>
      </c>
      <c r="Y708" t="str">
        <f>IF($AT708="","",INDEX(Calc!$I$2:$I$1601,$AT708)&amp;" - "&amp;INDEX(Calc!$D$2:$D$1601,$AT708)&amp;" koli")</f>
        <v/>
      </c>
      <c r="Z708" t="str">
        <f>IF($AS708="","",Config!$B$21)</f>
        <v/>
      </c>
      <c r="AA708" t="str">
        <f>IF($AS708="","",Config!$B$22)</f>
        <v/>
      </c>
      <c r="AB708" t="str">
        <f>IF($AT708="","",INDEX(Calc!$D$2:$D$1601,$AT708))</f>
        <v/>
      </c>
      <c r="AC708" t="str">
        <f>IF($AT708="","",INDEX(Calc!$G$2:$G$1601,$AT708))</f>
        <v/>
      </c>
      <c r="AD708" t="str">
        <f>IF($AS708="","",Config!$B$23)</f>
        <v/>
      </c>
      <c r="AE708" t="str">
        <f>IF($AS708="","",Config!$B$28)</f>
        <v/>
      </c>
      <c r="AF708" t="str">
        <f t="shared" si="68"/>
        <v/>
      </c>
      <c r="AG708" t="str">
        <f t="shared" si="69"/>
        <v/>
      </c>
      <c r="AH708" t="str">
        <f t="shared" si="70"/>
        <v/>
      </c>
      <c r="AI708" t="str">
        <f>IF($AG708="","",SUMIF($AG$2:$AG708,$AG708,$AH$2:$AH708))</f>
        <v/>
      </c>
      <c r="AJ708" t="str">
        <f>IF('TMP Paste'!$F708="","",IF('TMP Paste'!$B708="",$AJ707,'TMP Paste'!$B708))</f>
        <v/>
      </c>
      <c r="AK708" t="str">
        <f>IF('TMP Paste'!$F708="","",N('TMP Paste'!$G708))</f>
        <v/>
      </c>
      <c r="AL708" t="str">
        <f>IF('TMP Paste'!$F708="","",IF('TMP Paste'!$M708="",$AL707,'TMP Paste'!$M708))</f>
        <v/>
      </c>
      <c r="AM708" t="str">
        <f>IF('TMP Paste'!$F708="","",IF('TMP Paste'!$N708="",$AM707,'TMP Paste'!$N708))</f>
        <v/>
      </c>
      <c r="AN708" t="str">
        <f>IF('TMP Paste'!$F708="","",IF('TMP Paste'!$O708="",$AN707,'TMP Paste'!$O708))</f>
        <v/>
      </c>
      <c r="AO708" t="str">
        <f>IF('TMP Paste'!$F708="","",IF('TMP Paste'!$P708="",$AO707,'TMP Paste'!$P708))</f>
        <v/>
      </c>
      <c r="AP708" t="str">
        <f t="shared" si="71"/>
        <v/>
      </c>
      <c r="AQ708" t="str">
        <f>IF($AS708="","",TRIM(IF(COUNTIFS(Calc!$B$2:$B$1601,ROW()-1,Calc!$C$2:$C$1601,"&lt;1")&gt;0,"Ada PO tanpa Koli - cek TMP. ","")&amp;IF(OR($AU708="",$AU708&lt;=0),"Volume kosong/0 - dimensi dikosongkan. ","")&amp;IF(AND($AU708&lt;&gt;"",$AU708&gt;=1000000),"Volume &gt;= 1.000.000 cm3 (di luar aturan) - dimensi dikosongkan. ","")&amp;IF(LEN($R708)&gt;500,"R &gt; 500 karakter.","")))</f>
        <v/>
      </c>
      <c r="AS708" t="str">
        <f>IFERROR(MATCH(ROW()-1,Calc!$J$2:$J$1601,0),"")</f>
        <v/>
      </c>
      <c r="AT708" t="str">
        <f>IFERROR(MATCH(ROW()-1,Calc!$K$2:$K$1601,0),"")</f>
        <v/>
      </c>
      <c r="AU708" t="str">
        <f>IF($AS708="","",IFERROR(INDEX('TMP Paste'!$D$2:$D$1601,$AS708)*1000000/$AB708,""))</f>
        <v/>
      </c>
    </row>
    <row r="709" spans="1:47">
      <c r="A709" t="str">
        <f>IF($AS709="","",INDEX('TMP Paste'!$B$2:$B$1601,$AS709))</f>
        <v/>
      </c>
      <c r="B709" t="str">
        <f>IF($AS709="","",Config!$B$14)</f>
        <v/>
      </c>
      <c r="C709" t="str">
        <f>IF($AS709="","",Config!$B$15)</f>
        <v/>
      </c>
      <c r="D709" t="str">
        <f>IF($AS709="","",INDEX('TMP Paste'!$B$2:$B$1601,$AS709))</f>
        <v/>
      </c>
      <c r="E709" t="str">
        <f>IF($AS709="","",Config!$B$27)</f>
        <v/>
      </c>
      <c r="F709" t="str">
        <f>IF($AS709="","",Config!$B$9)</f>
        <v/>
      </c>
      <c r="G709" t="str">
        <f>IF($AS709="","",Config!$B$10)</f>
        <v/>
      </c>
      <c r="H709" t="str">
        <f>IF($AS709="","",Config!$B$11)</f>
        <v/>
      </c>
      <c r="I709" t="str">
        <f>IF($AS709="","",Config!$B$16)</f>
        <v/>
      </c>
      <c r="J709" t="str">
        <f>IF($AS709="","",INDEX('TMP Paste'!$A$2:$A$1601,$AS709))</f>
        <v/>
      </c>
      <c r="K709" t="str">
        <f>IF($AS709="","",INDEX('TMP Paste'!$L$2:$L$1601,$AS709))</f>
        <v/>
      </c>
      <c r="L709" t="str">
        <f>IF($AS709="","",INDEX('TMP Paste'!$I$2:$I$1601,$AS709))</f>
        <v/>
      </c>
      <c r="M709" t="str">
        <f>IF($AS709="","",Config!$B$16)</f>
        <v/>
      </c>
      <c r="N709" t="str">
        <f t="shared" si="66"/>
        <v/>
      </c>
      <c r="O709" t="str">
        <f>IF($AS709="","",INDEX('TMP Paste'!$K$2:$K$1601,$AS709))</f>
        <v/>
      </c>
      <c r="P709" t="str">
        <f t="shared" si="67"/>
        <v/>
      </c>
      <c r="Q709" t="str">
        <f>IF($AS709="","",INDEX('TMP Paste'!$J$2:$J$1601,$AS709))</f>
        <v/>
      </c>
      <c r="R709" t="str">
        <f>IF($AS709="","",Config!$B$24)</f>
        <v/>
      </c>
      <c r="S709" t="str">
        <f ca="1">IF($AS709="","",TEXT(Config!$B$4,"yyyy-mm-dd"))</f>
        <v/>
      </c>
      <c r="T709" t="str">
        <f>IF($AS709="","",Config!$B$17)</f>
        <v/>
      </c>
      <c r="U709" t="str">
        <f>IF($AS709="","",Config!$B$18)</f>
        <v/>
      </c>
      <c r="V709" t="str">
        <f>IF($AS709="","",Config!$B$19)</f>
        <v/>
      </c>
      <c r="W709" t="str">
        <f>IF($AS709="","",INDEX('TMP Paste'!$C$2:$C$1601,$AS709))</f>
        <v/>
      </c>
      <c r="X709" t="str">
        <f>IF($AS709="","",Config!$B$29)</f>
        <v/>
      </c>
      <c r="Y709" t="str">
        <f>IF($AT709="","",INDEX(Calc!$I$2:$I$1601,$AT709)&amp;" - "&amp;INDEX(Calc!$D$2:$D$1601,$AT709)&amp;" koli")</f>
        <v/>
      </c>
      <c r="Z709" t="str">
        <f>IF($AS709="","",Config!$B$21)</f>
        <v/>
      </c>
      <c r="AA709" t="str">
        <f>IF($AS709="","",Config!$B$22)</f>
        <v/>
      </c>
      <c r="AB709" t="str">
        <f>IF($AT709="","",INDEX(Calc!$D$2:$D$1601,$AT709))</f>
        <v/>
      </c>
      <c r="AC709" t="str">
        <f>IF($AT709="","",INDEX(Calc!$G$2:$G$1601,$AT709))</f>
        <v/>
      </c>
      <c r="AD709" t="str">
        <f>IF($AS709="","",Config!$B$23)</f>
        <v/>
      </c>
      <c r="AE709" t="str">
        <f>IF($AS709="","",Config!$B$28)</f>
        <v/>
      </c>
      <c r="AF709" t="str">
        <f t="shared" si="68"/>
        <v/>
      </c>
      <c r="AG709" t="str">
        <f t="shared" si="69"/>
        <v/>
      </c>
      <c r="AH709" t="str">
        <f t="shared" si="70"/>
        <v/>
      </c>
      <c r="AI709" t="str">
        <f>IF($AG709="","",SUMIF($AG$2:$AG709,$AG709,$AH$2:$AH709))</f>
        <v/>
      </c>
      <c r="AJ709" t="str">
        <f>IF('TMP Paste'!$F709="","",IF('TMP Paste'!$B709="",$AJ708,'TMP Paste'!$B709))</f>
        <v/>
      </c>
      <c r="AK709" t="str">
        <f>IF('TMP Paste'!$F709="","",N('TMP Paste'!$G709))</f>
        <v/>
      </c>
      <c r="AL709" t="str">
        <f>IF('TMP Paste'!$F709="","",IF('TMP Paste'!$M709="",$AL708,'TMP Paste'!$M709))</f>
        <v/>
      </c>
      <c r="AM709" t="str">
        <f>IF('TMP Paste'!$F709="","",IF('TMP Paste'!$N709="",$AM708,'TMP Paste'!$N709))</f>
        <v/>
      </c>
      <c r="AN709" t="str">
        <f>IF('TMP Paste'!$F709="","",IF('TMP Paste'!$O709="",$AN708,'TMP Paste'!$O709))</f>
        <v/>
      </c>
      <c r="AO709" t="str">
        <f>IF('TMP Paste'!$F709="","",IF('TMP Paste'!$P709="",$AO708,'TMP Paste'!$P709))</f>
        <v/>
      </c>
      <c r="AP709" t="str">
        <f t="shared" si="71"/>
        <v/>
      </c>
      <c r="AQ709" t="str">
        <f>IF($AS709="","",TRIM(IF(COUNTIFS(Calc!$B$2:$B$1601,ROW()-1,Calc!$C$2:$C$1601,"&lt;1")&gt;0,"Ada PO tanpa Koli - cek TMP. ","")&amp;IF(OR($AU709="",$AU709&lt;=0),"Volume kosong/0 - dimensi dikosongkan. ","")&amp;IF(AND($AU709&lt;&gt;"",$AU709&gt;=1000000),"Volume &gt;= 1.000.000 cm3 (di luar aturan) - dimensi dikosongkan. ","")&amp;IF(LEN($R709)&gt;500,"R &gt; 500 karakter.","")))</f>
        <v/>
      </c>
      <c r="AS709" t="str">
        <f>IFERROR(MATCH(ROW()-1,Calc!$J$2:$J$1601,0),"")</f>
        <v/>
      </c>
      <c r="AT709" t="str">
        <f>IFERROR(MATCH(ROW()-1,Calc!$K$2:$K$1601,0),"")</f>
        <v/>
      </c>
      <c r="AU709" t="str">
        <f>IF($AS709="","",IFERROR(INDEX('TMP Paste'!$D$2:$D$1601,$AS709)*1000000/$AB709,""))</f>
        <v/>
      </c>
    </row>
    <row r="710" spans="1:47">
      <c r="A710" t="str">
        <f>IF($AS710="","",INDEX('TMP Paste'!$B$2:$B$1601,$AS710))</f>
        <v/>
      </c>
      <c r="B710" t="str">
        <f>IF($AS710="","",Config!$B$14)</f>
        <v/>
      </c>
      <c r="C710" t="str">
        <f>IF($AS710="","",Config!$B$15)</f>
        <v/>
      </c>
      <c r="D710" t="str">
        <f>IF($AS710="","",INDEX('TMP Paste'!$B$2:$B$1601,$AS710))</f>
        <v/>
      </c>
      <c r="E710" t="str">
        <f>IF($AS710="","",Config!$B$27)</f>
        <v/>
      </c>
      <c r="F710" t="str">
        <f>IF($AS710="","",Config!$B$9)</f>
        <v/>
      </c>
      <c r="G710" t="str">
        <f>IF($AS710="","",Config!$B$10)</f>
        <v/>
      </c>
      <c r="H710" t="str">
        <f>IF($AS710="","",Config!$B$11)</f>
        <v/>
      </c>
      <c r="I710" t="str">
        <f>IF($AS710="","",Config!$B$16)</f>
        <v/>
      </c>
      <c r="J710" t="str">
        <f>IF($AS710="","",INDEX('TMP Paste'!$A$2:$A$1601,$AS710))</f>
        <v/>
      </c>
      <c r="K710" t="str">
        <f>IF($AS710="","",INDEX('TMP Paste'!$L$2:$L$1601,$AS710))</f>
        <v/>
      </c>
      <c r="L710" t="str">
        <f>IF($AS710="","",INDEX('TMP Paste'!$I$2:$I$1601,$AS710))</f>
        <v/>
      </c>
      <c r="M710" t="str">
        <f>IF($AS710="","",Config!$B$16)</f>
        <v/>
      </c>
      <c r="N710" t="str">
        <f t="shared" si="66"/>
        <v/>
      </c>
      <c r="O710" t="str">
        <f>IF($AS710="","",INDEX('TMP Paste'!$K$2:$K$1601,$AS710))</f>
        <v/>
      </c>
      <c r="P710" t="str">
        <f t="shared" si="67"/>
        <v/>
      </c>
      <c r="Q710" t="str">
        <f>IF($AS710="","",INDEX('TMP Paste'!$J$2:$J$1601,$AS710))</f>
        <v/>
      </c>
      <c r="R710" t="str">
        <f>IF($AS710="","",Config!$B$24)</f>
        <v/>
      </c>
      <c r="S710" t="str">
        <f ca="1">IF($AS710="","",TEXT(Config!$B$4,"yyyy-mm-dd"))</f>
        <v/>
      </c>
      <c r="T710" t="str">
        <f>IF($AS710="","",Config!$B$17)</f>
        <v/>
      </c>
      <c r="U710" t="str">
        <f>IF($AS710="","",Config!$B$18)</f>
        <v/>
      </c>
      <c r="V710" t="str">
        <f>IF($AS710="","",Config!$B$19)</f>
        <v/>
      </c>
      <c r="W710" t="str">
        <f>IF($AS710="","",INDEX('TMP Paste'!$C$2:$C$1601,$AS710))</f>
        <v/>
      </c>
      <c r="X710" t="str">
        <f>IF($AS710="","",Config!$B$29)</f>
        <v/>
      </c>
      <c r="Y710" t="str">
        <f>IF($AT710="","",INDEX(Calc!$I$2:$I$1601,$AT710)&amp;" - "&amp;INDEX(Calc!$D$2:$D$1601,$AT710)&amp;" koli")</f>
        <v/>
      </c>
      <c r="Z710" t="str">
        <f>IF($AS710="","",Config!$B$21)</f>
        <v/>
      </c>
      <c r="AA710" t="str">
        <f>IF($AS710="","",Config!$B$22)</f>
        <v/>
      </c>
      <c r="AB710" t="str">
        <f>IF($AT710="","",INDEX(Calc!$D$2:$D$1601,$AT710))</f>
        <v/>
      </c>
      <c r="AC710" t="str">
        <f>IF($AT710="","",INDEX(Calc!$G$2:$G$1601,$AT710))</f>
        <v/>
      </c>
      <c r="AD710" t="str">
        <f>IF($AS710="","",Config!$B$23)</f>
        <v/>
      </c>
      <c r="AE710" t="str">
        <f>IF($AS710="","",Config!$B$28)</f>
        <v/>
      </c>
      <c r="AF710" t="str">
        <f t="shared" si="68"/>
        <v/>
      </c>
      <c r="AG710" t="str">
        <f t="shared" si="69"/>
        <v/>
      </c>
      <c r="AH710" t="str">
        <f t="shared" si="70"/>
        <v/>
      </c>
      <c r="AI710" t="str">
        <f>IF($AG710="","",SUMIF($AG$2:$AG710,$AG710,$AH$2:$AH710))</f>
        <v/>
      </c>
      <c r="AJ710" t="str">
        <f>IF('TMP Paste'!$F710="","",IF('TMP Paste'!$B710="",$AJ709,'TMP Paste'!$B710))</f>
        <v/>
      </c>
      <c r="AK710" t="str">
        <f>IF('TMP Paste'!$F710="","",N('TMP Paste'!$G710))</f>
        <v/>
      </c>
      <c r="AL710" t="str">
        <f>IF('TMP Paste'!$F710="","",IF('TMP Paste'!$M710="",$AL709,'TMP Paste'!$M710))</f>
        <v/>
      </c>
      <c r="AM710" t="str">
        <f>IF('TMP Paste'!$F710="","",IF('TMP Paste'!$N710="",$AM709,'TMP Paste'!$N710))</f>
        <v/>
      </c>
      <c r="AN710" t="str">
        <f>IF('TMP Paste'!$F710="","",IF('TMP Paste'!$O710="",$AN709,'TMP Paste'!$O710))</f>
        <v/>
      </c>
      <c r="AO710" t="str">
        <f>IF('TMP Paste'!$F710="","",IF('TMP Paste'!$P710="",$AO709,'TMP Paste'!$P710))</f>
        <v/>
      </c>
      <c r="AP710" t="str">
        <f t="shared" si="71"/>
        <v/>
      </c>
      <c r="AQ710" t="str">
        <f>IF($AS710="","",TRIM(IF(COUNTIFS(Calc!$B$2:$B$1601,ROW()-1,Calc!$C$2:$C$1601,"&lt;1")&gt;0,"Ada PO tanpa Koli - cek TMP. ","")&amp;IF(OR($AU710="",$AU710&lt;=0),"Volume kosong/0 - dimensi dikosongkan. ","")&amp;IF(AND($AU710&lt;&gt;"",$AU710&gt;=1000000),"Volume &gt;= 1.000.000 cm3 (di luar aturan) - dimensi dikosongkan. ","")&amp;IF(LEN($R710)&gt;500,"R &gt; 500 karakter.","")))</f>
        <v/>
      </c>
      <c r="AS710" t="str">
        <f>IFERROR(MATCH(ROW()-1,Calc!$J$2:$J$1601,0),"")</f>
        <v/>
      </c>
      <c r="AT710" t="str">
        <f>IFERROR(MATCH(ROW()-1,Calc!$K$2:$K$1601,0),"")</f>
        <v/>
      </c>
      <c r="AU710" t="str">
        <f>IF($AS710="","",IFERROR(INDEX('TMP Paste'!$D$2:$D$1601,$AS710)*1000000/$AB710,""))</f>
        <v/>
      </c>
    </row>
    <row r="711" spans="1:47">
      <c r="A711" t="str">
        <f>IF($AS711="","",INDEX('TMP Paste'!$B$2:$B$1601,$AS711))</f>
        <v/>
      </c>
      <c r="B711" t="str">
        <f>IF($AS711="","",Config!$B$14)</f>
        <v/>
      </c>
      <c r="C711" t="str">
        <f>IF($AS711="","",Config!$B$15)</f>
        <v/>
      </c>
      <c r="D711" t="str">
        <f>IF($AS711="","",INDEX('TMP Paste'!$B$2:$B$1601,$AS711))</f>
        <v/>
      </c>
      <c r="E711" t="str">
        <f>IF($AS711="","",Config!$B$27)</f>
        <v/>
      </c>
      <c r="F711" t="str">
        <f>IF($AS711="","",Config!$B$9)</f>
        <v/>
      </c>
      <c r="G711" t="str">
        <f>IF($AS711="","",Config!$B$10)</f>
        <v/>
      </c>
      <c r="H711" t="str">
        <f>IF($AS711="","",Config!$B$11)</f>
        <v/>
      </c>
      <c r="I711" t="str">
        <f>IF($AS711="","",Config!$B$16)</f>
        <v/>
      </c>
      <c r="J711" t="str">
        <f>IF($AS711="","",INDEX('TMP Paste'!$A$2:$A$1601,$AS711))</f>
        <v/>
      </c>
      <c r="K711" t="str">
        <f>IF($AS711="","",INDEX('TMP Paste'!$L$2:$L$1601,$AS711))</f>
        <v/>
      </c>
      <c r="L711" t="str">
        <f>IF($AS711="","",INDEX('TMP Paste'!$I$2:$I$1601,$AS711))</f>
        <v/>
      </c>
      <c r="M711" t="str">
        <f>IF($AS711="","",Config!$B$16)</f>
        <v/>
      </c>
      <c r="N711" t="str">
        <f t="shared" si="66"/>
        <v/>
      </c>
      <c r="O711" t="str">
        <f>IF($AS711="","",INDEX('TMP Paste'!$K$2:$K$1601,$AS711))</f>
        <v/>
      </c>
      <c r="P711" t="str">
        <f t="shared" si="67"/>
        <v/>
      </c>
      <c r="Q711" t="str">
        <f>IF($AS711="","",INDEX('TMP Paste'!$J$2:$J$1601,$AS711))</f>
        <v/>
      </c>
      <c r="R711" t="str">
        <f>IF($AS711="","",Config!$B$24)</f>
        <v/>
      </c>
      <c r="S711" t="str">
        <f ca="1">IF($AS711="","",TEXT(Config!$B$4,"yyyy-mm-dd"))</f>
        <v/>
      </c>
      <c r="T711" t="str">
        <f>IF($AS711="","",Config!$B$17)</f>
        <v/>
      </c>
      <c r="U711" t="str">
        <f>IF($AS711="","",Config!$B$18)</f>
        <v/>
      </c>
      <c r="V711" t="str">
        <f>IF($AS711="","",Config!$B$19)</f>
        <v/>
      </c>
      <c r="W711" t="str">
        <f>IF($AS711="","",INDEX('TMP Paste'!$C$2:$C$1601,$AS711))</f>
        <v/>
      </c>
      <c r="X711" t="str">
        <f>IF($AS711="","",Config!$B$29)</f>
        <v/>
      </c>
      <c r="Y711" t="str">
        <f>IF($AT711="","",INDEX(Calc!$I$2:$I$1601,$AT711)&amp;" - "&amp;INDEX(Calc!$D$2:$D$1601,$AT711)&amp;" koli")</f>
        <v/>
      </c>
      <c r="Z711" t="str">
        <f>IF($AS711="","",Config!$B$21)</f>
        <v/>
      </c>
      <c r="AA711" t="str">
        <f>IF($AS711="","",Config!$B$22)</f>
        <v/>
      </c>
      <c r="AB711" t="str">
        <f>IF($AT711="","",INDEX(Calc!$D$2:$D$1601,$AT711))</f>
        <v/>
      </c>
      <c r="AC711" t="str">
        <f>IF($AT711="","",INDEX(Calc!$G$2:$G$1601,$AT711))</f>
        <v/>
      </c>
      <c r="AD711" t="str">
        <f>IF($AS711="","",Config!$B$23)</f>
        <v/>
      </c>
      <c r="AE711" t="str">
        <f>IF($AS711="","",Config!$B$28)</f>
        <v/>
      </c>
      <c r="AF711" t="str">
        <f t="shared" si="68"/>
        <v/>
      </c>
      <c r="AG711" t="str">
        <f t="shared" si="69"/>
        <v/>
      </c>
      <c r="AH711" t="str">
        <f t="shared" si="70"/>
        <v/>
      </c>
      <c r="AI711" t="str">
        <f>IF($AG711="","",SUMIF($AG$2:$AG711,$AG711,$AH$2:$AH711))</f>
        <v/>
      </c>
      <c r="AJ711" t="str">
        <f>IF('TMP Paste'!$F711="","",IF('TMP Paste'!$B711="",$AJ710,'TMP Paste'!$B711))</f>
        <v/>
      </c>
      <c r="AK711" t="str">
        <f>IF('TMP Paste'!$F711="","",N('TMP Paste'!$G711))</f>
        <v/>
      </c>
      <c r="AL711" t="str">
        <f>IF('TMP Paste'!$F711="","",IF('TMP Paste'!$M711="",$AL710,'TMP Paste'!$M711))</f>
        <v/>
      </c>
      <c r="AM711" t="str">
        <f>IF('TMP Paste'!$F711="","",IF('TMP Paste'!$N711="",$AM710,'TMP Paste'!$N711))</f>
        <v/>
      </c>
      <c r="AN711" t="str">
        <f>IF('TMP Paste'!$F711="","",IF('TMP Paste'!$O711="",$AN710,'TMP Paste'!$O711))</f>
        <v/>
      </c>
      <c r="AO711" t="str">
        <f>IF('TMP Paste'!$F711="","",IF('TMP Paste'!$P711="",$AO710,'TMP Paste'!$P711))</f>
        <v/>
      </c>
      <c r="AP711" t="str">
        <f t="shared" si="71"/>
        <v/>
      </c>
      <c r="AQ711" t="str">
        <f>IF($AS711="","",TRIM(IF(COUNTIFS(Calc!$B$2:$B$1601,ROW()-1,Calc!$C$2:$C$1601,"&lt;1")&gt;0,"Ada PO tanpa Koli - cek TMP. ","")&amp;IF(OR($AU711="",$AU711&lt;=0),"Volume kosong/0 - dimensi dikosongkan. ","")&amp;IF(AND($AU711&lt;&gt;"",$AU711&gt;=1000000),"Volume &gt;= 1.000.000 cm3 (di luar aturan) - dimensi dikosongkan. ","")&amp;IF(LEN($R711)&gt;500,"R &gt; 500 karakter.","")))</f>
        <v/>
      </c>
      <c r="AS711" t="str">
        <f>IFERROR(MATCH(ROW()-1,Calc!$J$2:$J$1601,0),"")</f>
        <v/>
      </c>
      <c r="AT711" t="str">
        <f>IFERROR(MATCH(ROW()-1,Calc!$K$2:$K$1601,0),"")</f>
        <v/>
      </c>
      <c r="AU711" t="str">
        <f>IF($AS711="","",IFERROR(INDEX('TMP Paste'!$D$2:$D$1601,$AS711)*1000000/$AB711,""))</f>
        <v/>
      </c>
    </row>
    <row r="712" spans="1:47">
      <c r="A712" t="str">
        <f>IF($AS712="","",INDEX('TMP Paste'!$B$2:$B$1601,$AS712))</f>
        <v/>
      </c>
      <c r="B712" t="str">
        <f>IF($AS712="","",Config!$B$14)</f>
        <v/>
      </c>
      <c r="C712" t="str">
        <f>IF($AS712="","",Config!$B$15)</f>
        <v/>
      </c>
      <c r="D712" t="str">
        <f>IF($AS712="","",INDEX('TMP Paste'!$B$2:$B$1601,$AS712))</f>
        <v/>
      </c>
      <c r="E712" t="str">
        <f>IF($AS712="","",Config!$B$27)</f>
        <v/>
      </c>
      <c r="F712" t="str">
        <f>IF($AS712="","",Config!$B$9)</f>
        <v/>
      </c>
      <c r="G712" t="str">
        <f>IF($AS712="","",Config!$B$10)</f>
        <v/>
      </c>
      <c r="H712" t="str">
        <f>IF($AS712="","",Config!$B$11)</f>
        <v/>
      </c>
      <c r="I712" t="str">
        <f>IF($AS712="","",Config!$B$16)</f>
        <v/>
      </c>
      <c r="J712" t="str">
        <f>IF($AS712="","",INDEX('TMP Paste'!$A$2:$A$1601,$AS712))</f>
        <v/>
      </c>
      <c r="K712" t="str">
        <f>IF($AS712="","",INDEX('TMP Paste'!$L$2:$L$1601,$AS712))</f>
        <v/>
      </c>
      <c r="L712" t="str">
        <f>IF($AS712="","",INDEX('TMP Paste'!$I$2:$I$1601,$AS712))</f>
        <v/>
      </c>
      <c r="M712" t="str">
        <f>IF($AS712="","",Config!$B$16)</f>
        <v/>
      </c>
      <c r="N712" t="str">
        <f t="shared" si="66"/>
        <v/>
      </c>
      <c r="O712" t="str">
        <f>IF($AS712="","",INDEX('TMP Paste'!$K$2:$K$1601,$AS712))</f>
        <v/>
      </c>
      <c r="P712" t="str">
        <f t="shared" si="67"/>
        <v/>
      </c>
      <c r="Q712" t="str">
        <f>IF($AS712="","",INDEX('TMP Paste'!$J$2:$J$1601,$AS712))</f>
        <v/>
      </c>
      <c r="R712" t="str">
        <f>IF($AS712="","",Config!$B$24)</f>
        <v/>
      </c>
      <c r="S712" t="str">
        <f ca="1">IF($AS712="","",TEXT(Config!$B$4,"yyyy-mm-dd"))</f>
        <v/>
      </c>
      <c r="T712" t="str">
        <f>IF($AS712="","",Config!$B$17)</f>
        <v/>
      </c>
      <c r="U712" t="str">
        <f>IF($AS712="","",Config!$B$18)</f>
        <v/>
      </c>
      <c r="V712" t="str">
        <f>IF($AS712="","",Config!$B$19)</f>
        <v/>
      </c>
      <c r="W712" t="str">
        <f>IF($AS712="","",INDEX('TMP Paste'!$C$2:$C$1601,$AS712))</f>
        <v/>
      </c>
      <c r="X712" t="str">
        <f>IF($AS712="","",Config!$B$29)</f>
        <v/>
      </c>
      <c r="Y712" t="str">
        <f>IF($AT712="","",INDEX(Calc!$I$2:$I$1601,$AT712)&amp;" - "&amp;INDEX(Calc!$D$2:$D$1601,$AT712)&amp;" koli")</f>
        <v/>
      </c>
      <c r="Z712" t="str">
        <f>IF($AS712="","",Config!$B$21)</f>
        <v/>
      </c>
      <c r="AA712" t="str">
        <f>IF($AS712="","",Config!$B$22)</f>
        <v/>
      </c>
      <c r="AB712" t="str">
        <f>IF($AT712="","",INDEX(Calc!$D$2:$D$1601,$AT712))</f>
        <v/>
      </c>
      <c r="AC712" t="str">
        <f>IF($AT712="","",INDEX(Calc!$G$2:$G$1601,$AT712))</f>
        <v/>
      </c>
      <c r="AD712" t="str">
        <f>IF($AS712="","",Config!$B$23)</f>
        <v/>
      </c>
      <c r="AE712" t="str">
        <f>IF($AS712="","",Config!$B$28)</f>
        <v/>
      </c>
      <c r="AF712" t="str">
        <f t="shared" si="68"/>
        <v/>
      </c>
      <c r="AG712" t="str">
        <f t="shared" si="69"/>
        <v/>
      </c>
      <c r="AH712" t="str">
        <f t="shared" si="70"/>
        <v/>
      </c>
      <c r="AI712" t="str">
        <f>IF($AG712="","",SUMIF($AG$2:$AG712,$AG712,$AH$2:$AH712))</f>
        <v/>
      </c>
      <c r="AJ712" t="str">
        <f>IF('TMP Paste'!$F712="","",IF('TMP Paste'!$B712="",$AJ711,'TMP Paste'!$B712))</f>
        <v/>
      </c>
      <c r="AK712" t="str">
        <f>IF('TMP Paste'!$F712="","",N('TMP Paste'!$G712))</f>
        <v/>
      </c>
      <c r="AL712" t="str">
        <f>IF('TMP Paste'!$F712="","",IF('TMP Paste'!$M712="",$AL711,'TMP Paste'!$M712))</f>
        <v/>
      </c>
      <c r="AM712" t="str">
        <f>IF('TMP Paste'!$F712="","",IF('TMP Paste'!$N712="",$AM711,'TMP Paste'!$N712))</f>
        <v/>
      </c>
      <c r="AN712" t="str">
        <f>IF('TMP Paste'!$F712="","",IF('TMP Paste'!$O712="",$AN711,'TMP Paste'!$O712))</f>
        <v/>
      </c>
      <c r="AO712" t="str">
        <f>IF('TMP Paste'!$F712="","",IF('TMP Paste'!$P712="",$AO711,'TMP Paste'!$P712))</f>
        <v/>
      </c>
      <c r="AP712" t="str">
        <f t="shared" si="71"/>
        <v/>
      </c>
      <c r="AQ712" t="str">
        <f>IF($AS712="","",TRIM(IF(COUNTIFS(Calc!$B$2:$B$1601,ROW()-1,Calc!$C$2:$C$1601,"&lt;1")&gt;0,"Ada PO tanpa Koli - cek TMP. ","")&amp;IF(OR($AU712="",$AU712&lt;=0),"Volume kosong/0 - dimensi dikosongkan. ","")&amp;IF(AND($AU712&lt;&gt;"",$AU712&gt;=1000000),"Volume &gt;= 1.000.000 cm3 (di luar aturan) - dimensi dikosongkan. ","")&amp;IF(LEN($R712)&gt;500,"R &gt; 500 karakter.","")))</f>
        <v/>
      </c>
      <c r="AS712" t="str">
        <f>IFERROR(MATCH(ROW()-1,Calc!$J$2:$J$1601,0),"")</f>
        <v/>
      </c>
      <c r="AT712" t="str">
        <f>IFERROR(MATCH(ROW()-1,Calc!$K$2:$K$1601,0),"")</f>
        <v/>
      </c>
      <c r="AU712" t="str">
        <f>IF($AS712="","",IFERROR(INDEX('TMP Paste'!$D$2:$D$1601,$AS712)*1000000/$AB712,""))</f>
        <v/>
      </c>
    </row>
    <row r="713" spans="1:47">
      <c r="A713" t="str">
        <f>IF($AS713="","",INDEX('TMP Paste'!$B$2:$B$1601,$AS713))</f>
        <v/>
      </c>
      <c r="B713" t="str">
        <f>IF($AS713="","",Config!$B$14)</f>
        <v/>
      </c>
      <c r="C713" t="str">
        <f>IF($AS713="","",Config!$B$15)</f>
        <v/>
      </c>
      <c r="D713" t="str">
        <f>IF($AS713="","",INDEX('TMP Paste'!$B$2:$B$1601,$AS713))</f>
        <v/>
      </c>
      <c r="E713" t="str">
        <f>IF($AS713="","",Config!$B$27)</f>
        <v/>
      </c>
      <c r="F713" t="str">
        <f>IF($AS713="","",Config!$B$9)</f>
        <v/>
      </c>
      <c r="G713" t="str">
        <f>IF($AS713="","",Config!$B$10)</f>
        <v/>
      </c>
      <c r="H713" t="str">
        <f>IF($AS713="","",Config!$B$11)</f>
        <v/>
      </c>
      <c r="I713" t="str">
        <f>IF($AS713="","",Config!$B$16)</f>
        <v/>
      </c>
      <c r="J713" t="str">
        <f>IF($AS713="","",INDEX('TMP Paste'!$A$2:$A$1601,$AS713))</f>
        <v/>
      </c>
      <c r="K713" t="str">
        <f>IF($AS713="","",INDEX('TMP Paste'!$L$2:$L$1601,$AS713))</f>
        <v/>
      </c>
      <c r="L713" t="str">
        <f>IF($AS713="","",INDEX('TMP Paste'!$I$2:$I$1601,$AS713))</f>
        <v/>
      </c>
      <c r="M713" t="str">
        <f>IF($AS713="","",Config!$B$16)</f>
        <v/>
      </c>
      <c r="N713" t="str">
        <f t="shared" si="66"/>
        <v/>
      </c>
      <c r="O713" t="str">
        <f>IF($AS713="","",INDEX('TMP Paste'!$K$2:$K$1601,$AS713))</f>
        <v/>
      </c>
      <c r="P713" t="str">
        <f t="shared" si="67"/>
        <v/>
      </c>
      <c r="Q713" t="str">
        <f>IF($AS713="","",INDEX('TMP Paste'!$J$2:$J$1601,$AS713))</f>
        <v/>
      </c>
      <c r="R713" t="str">
        <f>IF($AS713="","",Config!$B$24)</f>
        <v/>
      </c>
      <c r="S713" t="str">
        <f ca="1">IF($AS713="","",TEXT(Config!$B$4,"yyyy-mm-dd"))</f>
        <v/>
      </c>
      <c r="T713" t="str">
        <f>IF($AS713="","",Config!$B$17)</f>
        <v/>
      </c>
      <c r="U713" t="str">
        <f>IF($AS713="","",Config!$B$18)</f>
        <v/>
      </c>
      <c r="V713" t="str">
        <f>IF($AS713="","",Config!$B$19)</f>
        <v/>
      </c>
      <c r="W713" t="str">
        <f>IF($AS713="","",INDEX('TMP Paste'!$C$2:$C$1601,$AS713))</f>
        <v/>
      </c>
      <c r="X713" t="str">
        <f>IF($AS713="","",Config!$B$29)</f>
        <v/>
      </c>
      <c r="Y713" t="str">
        <f>IF($AT713="","",INDEX(Calc!$I$2:$I$1601,$AT713)&amp;" - "&amp;INDEX(Calc!$D$2:$D$1601,$AT713)&amp;" koli")</f>
        <v/>
      </c>
      <c r="Z713" t="str">
        <f>IF($AS713="","",Config!$B$21)</f>
        <v/>
      </c>
      <c r="AA713" t="str">
        <f>IF($AS713="","",Config!$B$22)</f>
        <v/>
      </c>
      <c r="AB713" t="str">
        <f>IF($AT713="","",INDEX(Calc!$D$2:$D$1601,$AT713))</f>
        <v/>
      </c>
      <c r="AC713" t="str">
        <f>IF($AT713="","",INDEX(Calc!$G$2:$G$1601,$AT713))</f>
        <v/>
      </c>
      <c r="AD713" t="str">
        <f>IF($AS713="","",Config!$B$23)</f>
        <v/>
      </c>
      <c r="AE713" t="str">
        <f>IF($AS713="","",Config!$B$28)</f>
        <v/>
      </c>
      <c r="AF713" t="str">
        <f t="shared" si="68"/>
        <v/>
      </c>
      <c r="AG713" t="str">
        <f t="shared" si="69"/>
        <v/>
      </c>
      <c r="AH713" t="str">
        <f t="shared" si="70"/>
        <v/>
      </c>
      <c r="AI713" t="str">
        <f>IF($AG713="","",SUMIF($AG$2:$AG713,$AG713,$AH$2:$AH713))</f>
        <v/>
      </c>
      <c r="AJ713" t="str">
        <f>IF('TMP Paste'!$F713="","",IF('TMP Paste'!$B713="",$AJ712,'TMP Paste'!$B713))</f>
        <v/>
      </c>
      <c r="AK713" t="str">
        <f>IF('TMP Paste'!$F713="","",N('TMP Paste'!$G713))</f>
        <v/>
      </c>
      <c r="AL713" t="str">
        <f>IF('TMP Paste'!$F713="","",IF('TMP Paste'!$M713="",$AL712,'TMP Paste'!$M713))</f>
        <v/>
      </c>
      <c r="AM713" t="str">
        <f>IF('TMP Paste'!$F713="","",IF('TMP Paste'!$N713="",$AM712,'TMP Paste'!$N713))</f>
        <v/>
      </c>
      <c r="AN713" t="str">
        <f>IF('TMP Paste'!$F713="","",IF('TMP Paste'!$O713="",$AN712,'TMP Paste'!$O713))</f>
        <v/>
      </c>
      <c r="AO713" t="str">
        <f>IF('TMP Paste'!$F713="","",IF('TMP Paste'!$P713="",$AO712,'TMP Paste'!$P713))</f>
        <v/>
      </c>
      <c r="AP713" t="str">
        <f t="shared" si="71"/>
        <v/>
      </c>
      <c r="AQ713" t="str">
        <f>IF($AS713="","",TRIM(IF(COUNTIFS(Calc!$B$2:$B$1601,ROW()-1,Calc!$C$2:$C$1601,"&lt;1")&gt;0,"Ada PO tanpa Koli - cek TMP. ","")&amp;IF(OR($AU713="",$AU713&lt;=0),"Volume kosong/0 - dimensi dikosongkan. ","")&amp;IF(AND($AU713&lt;&gt;"",$AU713&gt;=1000000),"Volume &gt;= 1.000.000 cm3 (di luar aturan) - dimensi dikosongkan. ","")&amp;IF(LEN($R713)&gt;500,"R &gt; 500 karakter.","")))</f>
        <v/>
      </c>
      <c r="AS713" t="str">
        <f>IFERROR(MATCH(ROW()-1,Calc!$J$2:$J$1601,0),"")</f>
        <v/>
      </c>
      <c r="AT713" t="str">
        <f>IFERROR(MATCH(ROW()-1,Calc!$K$2:$K$1601,0),"")</f>
        <v/>
      </c>
      <c r="AU713" t="str">
        <f>IF($AS713="","",IFERROR(INDEX('TMP Paste'!$D$2:$D$1601,$AS713)*1000000/$AB713,""))</f>
        <v/>
      </c>
    </row>
    <row r="714" spans="1:47">
      <c r="A714" t="str">
        <f>IF($AS714="","",INDEX('TMP Paste'!$B$2:$B$1601,$AS714))</f>
        <v/>
      </c>
      <c r="B714" t="str">
        <f>IF($AS714="","",Config!$B$14)</f>
        <v/>
      </c>
      <c r="C714" t="str">
        <f>IF($AS714="","",Config!$B$15)</f>
        <v/>
      </c>
      <c r="D714" t="str">
        <f>IF($AS714="","",INDEX('TMP Paste'!$B$2:$B$1601,$AS714))</f>
        <v/>
      </c>
      <c r="E714" t="str">
        <f>IF($AS714="","",Config!$B$27)</f>
        <v/>
      </c>
      <c r="F714" t="str">
        <f>IF($AS714="","",Config!$B$9)</f>
        <v/>
      </c>
      <c r="G714" t="str">
        <f>IF($AS714="","",Config!$B$10)</f>
        <v/>
      </c>
      <c r="H714" t="str">
        <f>IF($AS714="","",Config!$B$11)</f>
        <v/>
      </c>
      <c r="I714" t="str">
        <f>IF($AS714="","",Config!$B$16)</f>
        <v/>
      </c>
      <c r="J714" t="str">
        <f>IF($AS714="","",INDEX('TMP Paste'!$A$2:$A$1601,$AS714))</f>
        <v/>
      </c>
      <c r="K714" t="str">
        <f>IF($AS714="","",INDEX('TMP Paste'!$L$2:$L$1601,$AS714))</f>
        <v/>
      </c>
      <c r="L714" t="str">
        <f>IF($AS714="","",INDEX('TMP Paste'!$I$2:$I$1601,$AS714))</f>
        <v/>
      </c>
      <c r="M714" t="str">
        <f>IF($AS714="","",Config!$B$16)</f>
        <v/>
      </c>
      <c r="N714" t="str">
        <f t="shared" si="66"/>
        <v/>
      </c>
      <c r="O714" t="str">
        <f>IF($AS714="","",INDEX('TMP Paste'!$K$2:$K$1601,$AS714))</f>
        <v/>
      </c>
      <c r="P714" t="str">
        <f t="shared" si="67"/>
        <v/>
      </c>
      <c r="Q714" t="str">
        <f>IF($AS714="","",INDEX('TMP Paste'!$J$2:$J$1601,$AS714))</f>
        <v/>
      </c>
      <c r="R714" t="str">
        <f>IF($AS714="","",Config!$B$24)</f>
        <v/>
      </c>
      <c r="S714" t="str">
        <f ca="1">IF($AS714="","",TEXT(Config!$B$4,"yyyy-mm-dd"))</f>
        <v/>
      </c>
      <c r="T714" t="str">
        <f>IF($AS714="","",Config!$B$17)</f>
        <v/>
      </c>
      <c r="U714" t="str">
        <f>IF($AS714="","",Config!$B$18)</f>
        <v/>
      </c>
      <c r="V714" t="str">
        <f>IF($AS714="","",Config!$B$19)</f>
        <v/>
      </c>
      <c r="W714" t="str">
        <f>IF($AS714="","",INDEX('TMP Paste'!$C$2:$C$1601,$AS714))</f>
        <v/>
      </c>
      <c r="X714" t="str">
        <f>IF($AS714="","",Config!$B$29)</f>
        <v/>
      </c>
      <c r="Y714" t="str">
        <f>IF($AT714="","",INDEX(Calc!$I$2:$I$1601,$AT714)&amp;" - "&amp;INDEX(Calc!$D$2:$D$1601,$AT714)&amp;" koli")</f>
        <v/>
      </c>
      <c r="Z714" t="str">
        <f>IF($AS714="","",Config!$B$21)</f>
        <v/>
      </c>
      <c r="AA714" t="str">
        <f>IF($AS714="","",Config!$B$22)</f>
        <v/>
      </c>
      <c r="AB714" t="str">
        <f>IF($AT714="","",INDEX(Calc!$D$2:$D$1601,$AT714))</f>
        <v/>
      </c>
      <c r="AC714" t="str">
        <f>IF($AT714="","",INDEX(Calc!$G$2:$G$1601,$AT714))</f>
        <v/>
      </c>
      <c r="AD714" t="str">
        <f>IF($AS714="","",Config!$B$23)</f>
        <v/>
      </c>
      <c r="AE714" t="str">
        <f>IF($AS714="","",Config!$B$28)</f>
        <v/>
      </c>
      <c r="AF714" t="str">
        <f t="shared" si="68"/>
        <v/>
      </c>
      <c r="AG714" t="str">
        <f t="shared" si="69"/>
        <v/>
      </c>
      <c r="AH714" t="str">
        <f t="shared" si="70"/>
        <v/>
      </c>
      <c r="AI714" t="str">
        <f>IF($AG714="","",SUMIF($AG$2:$AG714,$AG714,$AH$2:$AH714))</f>
        <v/>
      </c>
      <c r="AJ714" t="str">
        <f>IF('TMP Paste'!$F714="","",IF('TMP Paste'!$B714="",$AJ713,'TMP Paste'!$B714))</f>
        <v/>
      </c>
      <c r="AK714" t="str">
        <f>IF('TMP Paste'!$F714="","",N('TMP Paste'!$G714))</f>
        <v/>
      </c>
      <c r="AL714" t="str">
        <f>IF('TMP Paste'!$F714="","",IF('TMP Paste'!$M714="",$AL713,'TMP Paste'!$M714))</f>
        <v/>
      </c>
      <c r="AM714" t="str">
        <f>IF('TMP Paste'!$F714="","",IF('TMP Paste'!$N714="",$AM713,'TMP Paste'!$N714))</f>
        <v/>
      </c>
      <c r="AN714" t="str">
        <f>IF('TMP Paste'!$F714="","",IF('TMP Paste'!$O714="",$AN713,'TMP Paste'!$O714))</f>
        <v/>
      </c>
      <c r="AO714" t="str">
        <f>IF('TMP Paste'!$F714="","",IF('TMP Paste'!$P714="",$AO713,'TMP Paste'!$P714))</f>
        <v/>
      </c>
      <c r="AP714" t="str">
        <f t="shared" si="71"/>
        <v/>
      </c>
      <c r="AQ714" t="str">
        <f>IF($AS714="","",TRIM(IF(COUNTIFS(Calc!$B$2:$B$1601,ROW()-1,Calc!$C$2:$C$1601,"&lt;1")&gt;0,"Ada PO tanpa Koli - cek TMP. ","")&amp;IF(OR($AU714="",$AU714&lt;=0),"Volume kosong/0 - dimensi dikosongkan. ","")&amp;IF(AND($AU714&lt;&gt;"",$AU714&gt;=1000000),"Volume &gt;= 1.000.000 cm3 (di luar aturan) - dimensi dikosongkan. ","")&amp;IF(LEN($R714)&gt;500,"R &gt; 500 karakter.","")))</f>
        <v/>
      </c>
      <c r="AS714" t="str">
        <f>IFERROR(MATCH(ROW()-1,Calc!$J$2:$J$1601,0),"")</f>
        <v/>
      </c>
      <c r="AT714" t="str">
        <f>IFERROR(MATCH(ROW()-1,Calc!$K$2:$K$1601,0),"")</f>
        <v/>
      </c>
      <c r="AU714" t="str">
        <f>IF($AS714="","",IFERROR(INDEX('TMP Paste'!$D$2:$D$1601,$AS714)*1000000/$AB714,""))</f>
        <v/>
      </c>
    </row>
    <row r="715" spans="1:47">
      <c r="A715" t="str">
        <f>IF($AS715="","",INDEX('TMP Paste'!$B$2:$B$1601,$AS715))</f>
        <v/>
      </c>
      <c r="B715" t="str">
        <f>IF($AS715="","",Config!$B$14)</f>
        <v/>
      </c>
      <c r="C715" t="str">
        <f>IF($AS715="","",Config!$B$15)</f>
        <v/>
      </c>
      <c r="D715" t="str">
        <f>IF($AS715="","",INDEX('TMP Paste'!$B$2:$B$1601,$AS715))</f>
        <v/>
      </c>
      <c r="E715" t="str">
        <f>IF($AS715="","",Config!$B$27)</f>
        <v/>
      </c>
      <c r="F715" t="str">
        <f>IF($AS715="","",Config!$B$9)</f>
        <v/>
      </c>
      <c r="G715" t="str">
        <f>IF($AS715="","",Config!$B$10)</f>
        <v/>
      </c>
      <c r="H715" t="str">
        <f>IF($AS715="","",Config!$B$11)</f>
        <v/>
      </c>
      <c r="I715" t="str">
        <f>IF($AS715="","",Config!$B$16)</f>
        <v/>
      </c>
      <c r="J715" t="str">
        <f>IF($AS715="","",INDEX('TMP Paste'!$A$2:$A$1601,$AS715))</f>
        <v/>
      </c>
      <c r="K715" t="str">
        <f>IF($AS715="","",INDEX('TMP Paste'!$L$2:$L$1601,$AS715))</f>
        <v/>
      </c>
      <c r="L715" t="str">
        <f>IF($AS715="","",INDEX('TMP Paste'!$I$2:$I$1601,$AS715))</f>
        <v/>
      </c>
      <c r="M715" t="str">
        <f>IF($AS715="","",Config!$B$16)</f>
        <v/>
      </c>
      <c r="N715" t="str">
        <f t="shared" si="66"/>
        <v/>
      </c>
      <c r="O715" t="str">
        <f>IF($AS715="","",INDEX('TMP Paste'!$K$2:$K$1601,$AS715))</f>
        <v/>
      </c>
      <c r="P715" t="str">
        <f t="shared" si="67"/>
        <v/>
      </c>
      <c r="Q715" t="str">
        <f>IF($AS715="","",INDEX('TMP Paste'!$J$2:$J$1601,$AS715))</f>
        <v/>
      </c>
      <c r="R715" t="str">
        <f>IF($AS715="","",Config!$B$24)</f>
        <v/>
      </c>
      <c r="S715" t="str">
        <f ca="1">IF($AS715="","",TEXT(Config!$B$4,"yyyy-mm-dd"))</f>
        <v/>
      </c>
      <c r="T715" t="str">
        <f>IF($AS715="","",Config!$B$17)</f>
        <v/>
      </c>
      <c r="U715" t="str">
        <f>IF($AS715="","",Config!$B$18)</f>
        <v/>
      </c>
      <c r="V715" t="str">
        <f>IF($AS715="","",Config!$B$19)</f>
        <v/>
      </c>
      <c r="W715" t="str">
        <f>IF($AS715="","",INDEX('TMP Paste'!$C$2:$C$1601,$AS715))</f>
        <v/>
      </c>
      <c r="X715" t="str">
        <f>IF($AS715="","",Config!$B$29)</f>
        <v/>
      </c>
      <c r="Y715" t="str">
        <f>IF($AT715="","",INDEX(Calc!$I$2:$I$1601,$AT715)&amp;" - "&amp;INDEX(Calc!$D$2:$D$1601,$AT715)&amp;" koli")</f>
        <v/>
      </c>
      <c r="Z715" t="str">
        <f>IF($AS715="","",Config!$B$21)</f>
        <v/>
      </c>
      <c r="AA715" t="str">
        <f>IF($AS715="","",Config!$B$22)</f>
        <v/>
      </c>
      <c r="AB715" t="str">
        <f>IF($AT715="","",INDEX(Calc!$D$2:$D$1601,$AT715))</f>
        <v/>
      </c>
      <c r="AC715" t="str">
        <f>IF($AT715="","",INDEX(Calc!$G$2:$G$1601,$AT715))</f>
        <v/>
      </c>
      <c r="AD715" t="str">
        <f>IF($AS715="","",Config!$B$23)</f>
        <v/>
      </c>
      <c r="AE715" t="str">
        <f>IF($AS715="","",Config!$B$28)</f>
        <v/>
      </c>
      <c r="AF715" t="str">
        <f t="shared" si="68"/>
        <v/>
      </c>
      <c r="AG715" t="str">
        <f t="shared" si="69"/>
        <v/>
      </c>
      <c r="AH715" t="str">
        <f t="shared" si="70"/>
        <v/>
      </c>
      <c r="AI715" t="str">
        <f>IF($AG715="","",SUMIF($AG$2:$AG715,$AG715,$AH$2:$AH715))</f>
        <v/>
      </c>
      <c r="AJ715" t="str">
        <f>IF('TMP Paste'!$F715="","",IF('TMP Paste'!$B715="",$AJ714,'TMP Paste'!$B715))</f>
        <v/>
      </c>
      <c r="AK715" t="str">
        <f>IF('TMP Paste'!$F715="","",N('TMP Paste'!$G715))</f>
        <v/>
      </c>
      <c r="AL715" t="str">
        <f>IF('TMP Paste'!$F715="","",IF('TMP Paste'!$M715="",$AL714,'TMP Paste'!$M715))</f>
        <v/>
      </c>
      <c r="AM715" t="str">
        <f>IF('TMP Paste'!$F715="","",IF('TMP Paste'!$N715="",$AM714,'TMP Paste'!$N715))</f>
        <v/>
      </c>
      <c r="AN715" t="str">
        <f>IF('TMP Paste'!$F715="","",IF('TMP Paste'!$O715="",$AN714,'TMP Paste'!$O715))</f>
        <v/>
      </c>
      <c r="AO715" t="str">
        <f>IF('TMP Paste'!$F715="","",IF('TMP Paste'!$P715="",$AO714,'TMP Paste'!$P715))</f>
        <v/>
      </c>
      <c r="AP715" t="str">
        <f t="shared" si="71"/>
        <v/>
      </c>
      <c r="AQ715" t="str">
        <f>IF($AS715="","",TRIM(IF(COUNTIFS(Calc!$B$2:$B$1601,ROW()-1,Calc!$C$2:$C$1601,"&lt;1")&gt;0,"Ada PO tanpa Koli - cek TMP. ","")&amp;IF(OR($AU715="",$AU715&lt;=0),"Volume kosong/0 - dimensi dikosongkan. ","")&amp;IF(AND($AU715&lt;&gt;"",$AU715&gt;=1000000),"Volume &gt;= 1.000.000 cm3 (di luar aturan) - dimensi dikosongkan. ","")&amp;IF(LEN($R715)&gt;500,"R &gt; 500 karakter.","")))</f>
        <v/>
      </c>
      <c r="AS715" t="str">
        <f>IFERROR(MATCH(ROW()-1,Calc!$J$2:$J$1601,0),"")</f>
        <v/>
      </c>
      <c r="AT715" t="str">
        <f>IFERROR(MATCH(ROW()-1,Calc!$K$2:$K$1601,0),"")</f>
        <v/>
      </c>
      <c r="AU715" t="str">
        <f>IF($AS715="","",IFERROR(INDEX('TMP Paste'!$D$2:$D$1601,$AS715)*1000000/$AB715,""))</f>
        <v/>
      </c>
    </row>
    <row r="716" spans="1:47">
      <c r="A716" t="str">
        <f>IF($AS716="","",INDEX('TMP Paste'!$B$2:$B$1601,$AS716))</f>
        <v/>
      </c>
      <c r="B716" t="str">
        <f>IF($AS716="","",Config!$B$14)</f>
        <v/>
      </c>
      <c r="C716" t="str">
        <f>IF($AS716="","",Config!$B$15)</f>
        <v/>
      </c>
      <c r="D716" t="str">
        <f>IF($AS716="","",INDEX('TMP Paste'!$B$2:$B$1601,$AS716))</f>
        <v/>
      </c>
      <c r="E716" t="str">
        <f>IF($AS716="","",Config!$B$27)</f>
        <v/>
      </c>
      <c r="F716" t="str">
        <f>IF($AS716="","",Config!$B$9)</f>
        <v/>
      </c>
      <c r="G716" t="str">
        <f>IF($AS716="","",Config!$B$10)</f>
        <v/>
      </c>
      <c r="H716" t="str">
        <f>IF($AS716="","",Config!$B$11)</f>
        <v/>
      </c>
      <c r="I716" t="str">
        <f>IF($AS716="","",Config!$B$16)</f>
        <v/>
      </c>
      <c r="J716" t="str">
        <f>IF($AS716="","",INDEX('TMP Paste'!$A$2:$A$1601,$AS716))</f>
        <v/>
      </c>
      <c r="K716" t="str">
        <f>IF($AS716="","",INDEX('TMP Paste'!$L$2:$L$1601,$AS716))</f>
        <v/>
      </c>
      <c r="L716" t="str">
        <f>IF($AS716="","",INDEX('TMP Paste'!$I$2:$I$1601,$AS716))</f>
        <v/>
      </c>
      <c r="M716" t="str">
        <f>IF($AS716="","",Config!$B$16)</f>
        <v/>
      </c>
      <c r="N716" t="str">
        <f t="shared" si="66"/>
        <v/>
      </c>
      <c r="O716" t="str">
        <f>IF($AS716="","",INDEX('TMP Paste'!$K$2:$K$1601,$AS716))</f>
        <v/>
      </c>
      <c r="P716" t="str">
        <f t="shared" si="67"/>
        <v/>
      </c>
      <c r="Q716" t="str">
        <f>IF($AS716="","",INDEX('TMP Paste'!$J$2:$J$1601,$AS716))</f>
        <v/>
      </c>
      <c r="R716" t="str">
        <f>IF($AS716="","",Config!$B$24)</f>
        <v/>
      </c>
      <c r="S716" t="str">
        <f ca="1">IF($AS716="","",TEXT(Config!$B$4,"yyyy-mm-dd"))</f>
        <v/>
      </c>
      <c r="T716" t="str">
        <f>IF($AS716="","",Config!$B$17)</f>
        <v/>
      </c>
      <c r="U716" t="str">
        <f>IF($AS716="","",Config!$B$18)</f>
        <v/>
      </c>
      <c r="V716" t="str">
        <f>IF($AS716="","",Config!$B$19)</f>
        <v/>
      </c>
      <c r="W716" t="str">
        <f>IF($AS716="","",INDEX('TMP Paste'!$C$2:$C$1601,$AS716))</f>
        <v/>
      </c>
      <c r="X716" t="str">
        <f>IF($AS716="","",Config!$B$29)</f>
        <v/>
      </c>
      <c r="Y716" t="str">
        <f>IF($AT716="","",INDEX(Calc!$I$2:$I$1601,$AT716)&amp;" - "&amp;INDEX(Calc!$D$2:$D$1601,$AT716)&amp;" koli")</f>
        <v/>
      </c>
      <c r="Z716" t="str">
        <f>IF($AS716="","",Config!$B$21)</f>
        <v/>
      </c>
      <c r="AA716" t="str">
        <f>IF($AS716="","",Config!$B$22)</f>
        <v/>
      </c>
      <c r="AB716" t="str">
        <f>IF($AT716="","",INDEX(Calc!$D$2:$D$1601,$AT716))</f>
        <v/>
      </c>
      <c r="AC716" t="str">
        <f>IF($AT716="","",INDEX(Calc!$G$2:$G$1601,$AT716))</f>
        <v/>
      </c>
      <c r="AD716" t="str">
        <f>IF($AS716="","",Config!$B$23)</f>
        <v/>
      </c>
      <c r="AE716" t="str">
        <f>IF($AS716="","",Config!$B$28)</f>
        <v/>
      </c>
      <c r="AF716" t="str">
        <f t="shared" si="68"/>
        <v/>
      </c>
      <c r="AG716" t="str">
        <f t="shared" si="69"/>
        <v/>
      </c>
      <c r="AH716" t="str">
        <f t="shared" si="70"/>
        <v/>
      </c>
      <c r="AI716" t="str">
        <f>IF($AG716="","",SUMIF($AG$2:$AG716,$AG716,$AH$2:$AH716))</f>
        <v/>
      </c>
      <c r="AJ716" t="str">
        <f>IF('TMP Paste'!$F716="","",IF('TMP Paste'!$B716="",$AJ715,'TMP Paste'!$B716))</f>
        <v/>
      </c>
      <c r="AK716" t="str">
        <f>IF('TMP Paste'!$F716="","",N('TMP Paste'!$G716))</f>
        <v/>
      </c>
      <c r="AL716" t="str">
        <f>IF('TMP Paste'!$F716="","",IF('TMP Paste'!$M716="",$AL715,'TMP Paste'!$M716))</f>
        <v/>
      </c>
      <c r="AM716" t="str">
        <f>IF('TMP Paste'!$F716="","",IF('TMP Paste'!$N716="",$AM715,'TMP Paste'!$N716))</f>
        <v/>
      </c>
      <c r="AN716" t="str">
        <f>IF('TMP Paste'!$F716="","",IF('TMP Paste'!$O716="",$AN715,'TMP Paste'!$O716))</f>
        <v/>
      </c>
      <c r="AO716" t="str">
        <f>IF('TMP Paste'!$F716="","",IF('TMP Paste'!$P716="",$AO715,'TMP Paste'!$P716))</f>
        <v/>
      </c>
      <c r="AP716" t="str">
        <f t="shared" si="71"/>
        <v/>
      </c>
      <c r="AQ716" t="str">
        <f>IF($AS716="","",TRIM(IF(COUNTIFS(Calc!$B$2:$B$1601,ROW()-1,Calc!$C$2:$C$1601,"&lt;1")&gt;0,"Ada PO tanpa Koli - cek TMP. ","")&amp;IF(OR($AU716="",$AU716&lt;=0),"Volume kosong/0 - dimensi dikosongkan. ","")&amp;IF(AND($AU716&lt;&gt;"",$AU716&gt;=1000000),"Volume &gt;= 1.000.000 cm3 (di luar aturan) - dimensi dikosongkan. ","")&amp;IF(LEN($R716)&gt;500,"R &gt; 500 karakter.","")))</f>
        <v/>
      </c>
      <c r="AS716" t="str">
        <f>IFERROR(MATCH(ROW()-1,Calc!$J$2:$J$1601,0),"")</f>
        <v/>
      </c>
      <c r="AT716" t="str">
        <f>IFERROR(MATCH(ROW()-1,Calc!$K$2:$K$1601,0),"")</f>
        <v/>
      </c>
      <c r="AU716" t="str">
        <f>IF($AS716="","",IFERROR(INDEX('TMP Paste'!$D$2:$D$1601,$AS716)*1000000/$AB716,""))</f>
        <v/>
      </c>
    </row>
    <row r="717" spans="1:47">
      <c r="A717" t="str">
        <f>IF($AS717="","",INDEX('TMP Paste'!$B$2:$B$1601,$AS717))</f>
        <v/>
      </c>
      <c r="B717" t="str">
        <f>IF($AS717="","",Config!$B$14)</f>
        <v/>
      </c>
      <c r="C717" t="str">
        <f>IF($AS717="","",Config!$B$15)</f>
        <v/>
      </c>
      <c r="D717" t="str">
        <f>IF($AS717="","",INDEX('TMP Paste'!$B$2:$B$1601,$AS717))</f>
        <v/>
      </c>
      <c r="E717" t="str">
        <f>IF($AS717="","",Config!$B$27)</f>
        <v/>
      </c>
      <c r="F717" t="str">
        <f>IF($AS717="","",Config!$B$9)</f>
        <v/>
      </c>
      <c r="G717" t="str">
        <f>IF($AS717="","",Config!$B$10)</f>
        <v/>
      </c>
      <c r="H717" t="str">
        <f>IF($AS717="","",Config!$B$11)</f>
        <v/>
      </c>
      <c r="I717" t="str">
        <f>IF($AS717="","",Config!$B$16)</f>
        <v/>
      </c>
      <c r="J717" t="str">
        <f>IF($AS717="","",INDEX('TMP Paste'!$A$2:$A$1601,$AS717))</f>
        <v/>
      </c>
      <c r="K717" t="str">
        <f>IF($AS717="","",INDEX('TMP Paste'!$L$2:$L$1601,$AS717))</f>
        <v/>
      </c>
      <c r="L717" t="str">
        <f>IF($AS717="","",INDEX('TMP Paste'!$I$2:$I$1601,$AS717))</f>
        <v/>
      </c>
      <c r="M717" t="str">
        <f>IF($AS717="","",Config!$B$16)</f>
        <v/>
      </c>
      <c r="N717" t="str">
        <f t="shared" si="66"/>
        <v/>
      </c>
      <c r="O717" t="str">
        <f>IF($AS717="","",INDEX('TMP Paste'!$K$2:$K$1601,$AS717))</f>
        <v/>
      </c>
      <c r="P717" t="str">
        <f t="shared" si="67"/>
        <v/>
      </c>
      <c r="Q717" t="str">
        <f>IF($AS717="","",INDEX('TMP Paste'!$J$2:$J$1601,$AS717))</f>
        <v/>
      </c>
      <c r="R717" t="str">
        <f>IF($AS717="","",Config!$B$24)</f>
        <v/>
      </c>
      <c r="S717" t="str">
        <f ca="1">IF($AS717="","",TEXT(Config!$B$4,"yyyy-mm-dd"))</f>
        <v/>
      </c>
      <c r="T717" t="str">
        <f>IF($AS717="","",Config!$B$17)</f>
        <v/>
      </c>
      <c r="U717" t="str">
        <f>IF($AS717="","",Config!$B$18)</f>
        <v/>
      </c>
      <c r="V717" t="str">
        <f>IF($AS717="","",Config!$B$19)</f>
        <v/>
      </c>
      <c r="W717" t="str">
        <f>IF($AS717="","",INDEX('TMP Paste'!$C$2:$C$1601,$AS717))</f>
        <v/>
      </c>
      <c r="X717" t="str">
        <f>IF($AS717="","",Config!$B$29)</f>
        <v/>
      </c>
      <c r="Y717" t="str">
        <f>IF($AT717="","",INDEX(Calc!$I$2:$I$1601,$AT717)&amp;" - "&amp;INDEX(Calc!$D$2:$D$1601,$AT717)&amp;" koli")</f>
        <v/>
      </c>
      <c r="Z717" t="str">
        <f>IF($AS717="","",Config!$B$21)</f>
        <v/>
      </c>
      <c r="AA717" t="str">
        <f>IF($AS717="","",Config!$B$22)</f>
        <v/>
      </c>
      <c r="AB717" t="str">
        <f>IF($AT717="","",INDEX(Calc!$D$2:$D$1601,$AT717))</f>
        <v/>
      </c>
      <c r="AC717" t="str">
        <f>IF($AT717="","",INDEX(Calc!$G$2:$G$1601,$AT717))</f>
        <v/>
      </c>
      <c r="AD717" t="str">
        <f>IF($AS717="","",Config!$B$23)</f>
        <v/>
      </c>
      <c r="AE717" t="str">
        <f>IF($AS717="","",Config!$B$28)</f>
        <v/>
      </c>
      <c r="AF717" t="str">
        <f t="shared" si="68"/>
        <v/>
      </c>
      <c r="AG717" t="str">
        <f t="shared" si="69"/>
        <v/>
      </c>
      <c r="AH717" t="str">
        <f t="shared" si="70"/>
        <v/>
      </c>
      <c r="AI717" t="str">
        <f>IF($AG717="","",SUMIF($AG$2:$AG717,$AG717,$AH$2:$AH717))</f>
        <v/>
      </c>
      <c r="AJ717" t="str">
        <f>IF('TMP Paste'!$F717="","",IF('TMP Paste'!$B717="",$AJ716,'TMP Paste'!$B717))</f>
        <v/>
      </c>
      <c r="AK717" t="str">
        <f>IF('TMP Paste'!$F717="","",N('TMP Paste'!$G717))</f>
        <v/>
      </c>
      <c r="AL717" t="str">
        <f>IF('TMP Paste'!$F717="","",IF('TMP Paste'!$M717="",$AL716,'TMP Paste'!$M717))</f>
        <v/>
      </c>
      <c r="AM717" t="str">
        <f>IF('TMP Paste'!$F717="","",IF('TMP Paste'!$N717="",$AM716,'TMP Paste'!$N717))</f>
        <v/>
      </c>
      <c r="AN717" t="str">
        <f>IF('TMP Paste'!$F717="","",IF('TMP Paste'!$O717="",$AN716,'TMP Paste'!$O717))</f>
        <v/>
      </c>
      <c r="AO717" t="str">
        <f>IF('TMP Paste'!$F717="","",IF('TMP Paste'!$P717="",$AO716,'TMP Paste'!$P717))</f>
        <v/>
      </c>
      <c r="AP717" t="str">
        <f t="shared" si="71"/>
        <v/>
      </c>
      <c r="AQ717" t="str">
        <f>IF($AS717="","",TRIM(IF(COUNTIFS(Calc!$B$2:$B$1601,ROW()-1,Calc!$C$2:$C$1601,"&lt;1")&gt;0,"Ada PO tanpa Koli - cek TMP. ","")&amp;IF(OR($AU717="",$AU717&lt;=0),"Volume kosong/0 - dimensi dikosongkan. ","")&amp;IF(AND($AU717&lt;&gt;"",$AU717&gt;=1000000),"Volume &gt;= 1.000.000 cm3 (di luar aturan) - dimensi dikosongkan. ","")&amp;IF(LEN($R717)&gt;500,"R &gt; 500 karakter.","")))</f>
        <v/>
      </c>
      <c r="AS717" t="str">
        <f>IFERROR(MATCH(ROW()-1,Calc!$J$2:$J$1601,0),"")</f>
        <v/>
      </c>
      <c r="AT717" t="str">
        <f>IFERROR(MATCH(ROW()-1,Calc!$K$2:$K$1601,0),"")</f>
        <v/>
      </c>
      <c r="AU717" t="str">
        <f>IF($AS717="","",IFERROR(INDEX('TMP Paste'!$D$2:$D$1601,$AS717)*1000000/$AB717,""))</f>
        <v/>
      </c>
    </row>
    <row r="718" spans="1:47">
      <c r="A718" t="str">
        <f>IF($AS718="","",INDEX('TMP Paste'!$B$2:$B$1601,$AS718))</f>
        <v/>
      </c>
      <c r="B718" t="str">
        <f>IF($AS718="","",Config!$B$14)</f>
        <v/>
      </c>
      <c r="C718" t="str">
        <f>IF($AS718="","",Config!$B$15)</f>
        <v/>
      </c>
      <c r="D718" t="str">
        <f>IF($AS718="","",INDEX('TMP Paste'!$B$2:$B$1601,$AS718))</f>
        <v/>
      </c>
      <c r="E718" t="str">
        <f>IF($AS718="","",Config!$B$27)</f>
        <v/>
      </c>
      <c r="F718" t="str">
        <f>IF($AS718="","",Config!$B$9)</f>
        <v/>
      </c>
      <c r="G718" t="str">
        <f>IF($AS718="","",Config!$B$10)</f>
        <v/>
      </c>
      <c r="H718" t="str">
        <f>IF($AS718="","",Config!$B$11)</f>
        <v/>
      </c>
      <c r="I718" t="str">
        <f>IF($AS718="","",Config!$B$16)</f>
        <v/>
      </c>
      <c r="J718" t="str">
        <f>IF($AS718="","",INDEX('TMP Paste'!$A$2:$A$1601,$AS718))</f>
        <v/>
      </c>
      <c r="K718" t="str">
        <f>IF($AS718="","",INDEX('TMP Paste'!$L$2:$L$1601,$AS718))</f>
        <v/>
      </c>
      <c r="L718" t="str">
        <f>IF($AS718="","",INDEX('TMP Paste'!$I$2:$I$1601,$AS718))</f>
        <v/>
      </c>
      <c r="M718" t="str">
        <f>IF($AS718="","",Config!$B$16)</f>
        <v/>
      </c>
      <c r="N718" t="str">
        <f t="shared" si="66"/>
        <v/>
      </c>
      <c r="O718" t="str">
        <f>IF($AS718="","",INDEX('TMP Paste'!$K$2:$K$1601,$AS718))</f>
        <v/>
      </c>
      <c r="P718" t="str">
        <f t="shared" si="67"/>
        <v/>
      </c>
      <c r="Q718" t="str">
        <f>IF($AS718="","",INDEX('TMP Paste'!$J$2:$J$1601,$AS718))</f>
        <v/>
      </c>
      <c r="R718" t="str">
        <f>IF($AS718="","",Config!$B$24)</f>
        <v/>
      </c>
      <c r="S718" t="str">
        <f ca="1">IF($AS718="","",TEXT(Config!$B$4,"yyyy-mm-dd"))</f>
        <v/>
      </c>
      <c r="T718" t="str">
        <f>IF($AS718="","",Config!$B$17)</f>
        <v/>
      </c>
      <c r="U718" t="str">
        <f>IF($AS718="","",Config!$B$18)</f>
        <v/>
      </c>
      <c r="V718" t="str">
        <f>IF($AS718="","",Config!$B$19)</f>
        <v/>
      </c>
      <c r="W718" t="str">
        <f>IF($AS718="","",INDEX('TMP Paste'!$C$2:$C$1601,$AS718))</f>
        <v/>
      </c>
      <c r="X718" t="str">
        <f>IF($AS718="","",Config!$B$29)</f>
        <v/>
      </c>
      <c r="Y718" t="str">
        <f>IF($AT718="","",INDEX(Calc!$I$2:$I$1601,$AT718)&amp;" - "&amp;INDEX(Calc!$D$2:$D$1601,$AT718)&amp;" koli")</f>
        <v/>
      </c>
      <c r="Z718" t="str">
        <f>IF($AS718="","",Config!$B$21)</f>
        <v/>
      </c>
      <c r="AA718" t="str">
        <f>IF($AS718="","",Config!$B$22)</f>
        <v/>
      </c>
      <c r="AB718" t="str">
        <f>IF($AT718="","",INDEX(Calc!$D$2:$D$1601,$AT718))</f>
        <v/>
      </c>
      <c r="AC718" t="str">
        <f>IF($AT718="","",INDEX(Calc!$G$2:$G$1601,$AT718))</f>
        <v/>
      </c>
      <c r="AD718" t="str">
        <f>IF($AS718="","",Config!$B$23)</f>
        <v/>
      </c>
      <c r="AE718" t="str">
        <f>IF($AS718="","",Config!$B$28)</f>
        <v/>
      </c>
      <c r="AF718" t="str">
        <f t="shared" si="68"/>
        <v/>
      </c>
      <c r="AG718" t="str">
        <f t="shared" si="69"/>
        <v/>
      </c>
      <c r="AH718" t="str">
        <f t="shared" si="70"/>
        <v/>
      </c>
      <c r="AI718" t="str">
        <f>IF($AG718="","",SUMIF($AG$2:$AG718,$AG718,$AH$2:$AH718))</f>
        <v/>
      </c>
      <c r="AJ718" t="str">
        <f>IF('TMP Paste'!$F718="","",IF('TMP Paste'!$B718="",$AJ717,'TMP Paste'!$B718))</f>
        <v/>
      </c>
      <c r="AK718" t="str">
        <f>IF('TMP Paste'!$F718="","",N('TMP Paste'!$G718))</f>
        <v/>
      </c>
      <c r="AL718" t="str">
        <f>IF('TMP Paste'!$F718="","",IF('TMP Paste'!$M718="",$AL717,'TMP Paste'!$M718))</f>
        <v/>
      </c>
      <c r="AM718" t="str">
        <f>IF('TMP Paste'!$F718="","",IF('TMP Paste'!$N718="",$AM717,'TMP Paste'!$N718))</f>
        <v/>
      </c>
      <c r="AN718" t="str">
        <f>IF('TMP Paste'!$F718="","",IF('TMP Paste'!$O718="",$AN717,'TMP Paste'!$O718))</f>
        <v/>
      </c>
      <c r="AO718" t="str">
        <f>IF('TMP Paste'!$F718="","",IF('TMP Paste'!$P718="",$AO717,'TMP Paste'!$P718))</f>
        <v/>
      </c>
      <c r="AP718" t="str">
        <f t="shared" si="71"/>
        <v/>
      </c>
      <c r="AQ718" t="str">
        <f>IF($AS718="","",TRIM(IF(COUNTIFS(Calc!$B$2:$B$1601,ROW()-1,Calc!$C$2:$C$1601,"&lt;1")&gt;0,"Ada PO tanpa Koli - cek TMP. ","")&amp;IF(OR($AU718="",$AU718&lt;=0),"Volume kosong/0 - dimensi dikosongkan. ","")&amp;IF(AND($AU718&lt;&gt;"",$AU718&gt;=1000000),"Volume &gt;= 1.000.000 cm3 (di luar aturan) - dimensi dikosongkan. ","")&amp;IF(LEN($R718)&gt;500,"R &gt; 500 karakter.","")))</f>
        <v/>
      </c>
      <c r="AS718" t="str">
        <f>IFERROR(MATCH(ROW()-1,Calc!$J$2:$J$1601,0),"")</f>
        <v/>
      </c>
      <c r="AT718" t="str">
        <f>IFERROR(MATCH(ROW()-1,Calc!$K$2:$K$1601,0),"")</f>
        <v/>
      </c>
      <c r="AU718" t="str">
        <f>IF($AS718="","",IFERROR(INDEX('TMP Paste'!$D$2:$D$1601,$AS718)*1000000/$AB718,""))</f>
        <v/>
      </c>
    </row>
    <row r="719" spans="1:47">
      <c r="A719" t="str">
        <f>IF($AS719="","",INDEX('TMP Paste'!$B$2:$B$1601,$AS719))</f>
        <v/>
      </c>
      <c r="B719" t="str">
        <f>IF($AS719="","",Config!$B$14)</f>
        <v/>
      </c>
      <c r="C719" t="str">
        <f>IF($AS719="","",Config!$B$15)</f>
        <v/>
      </c>
      <c r="D719" t="str">
        <f>IF($AS719="","",INDEX('TMP Paste'!$B$2:$B$1601,$AS719))</f>
        <v/>
      </c>
      <c r="E719" t="str">
        <f>IF($AS719="","",Config!$B$27)</f>
        <v/>
      </c>
      <c r="F719" t="str">
        <f>IF($AS719="","",Config!$B$9)</f>
        <v/>
      </c>
      <c r="G719" t="str">
        <f>IF($AS719="","",Config!$B$10)</f>
        <v/>
      </c>
      <c r="H719" t="str">
        <f>IF($AS719="","",Config!$B$11)</f>
        <v/>
      </c>
      <c r="I719" t="str">
        <f>IF($AS719="","",Config!$B$16)</f>
        <v/>
      </c>
      <c r="J719" t="str">
        <f>IF($AS719="","",INDEX('TMP Paste'!$A$2:$A$1601,$AS719))</f>
        <v/>
      </c>
      <c r="K719" t="str">
        <f>IF($AS719="","",INDEX('TMP Paste'!$L$2:$L$1601,$AS719))</f>
        <v/>
      </c>
      <c r="L719" t="str">
        <f>IF($AS719="","",INDEX('TMP Paste'!$I$2:$I$1601,$AS719))</f>
        <v/>
      </c>
      <c r="M719" t="str">
        <f>IF($AS719="","",Config!$B$16)</f>
        <v/>
      </c>
      <c r="N719" t="str">
        <f t="shared" si="66"/>
        <v/>
      </c>
      <c r="O719" t="str">
        <f>IF($AS719="","",INDEX('TMP Paste'!$K$2:$K$1601,$AS719))</f>
        <v/>
      </c>
      <c r="P719" t="str">
        <f t="shared" si="67"/>
        <v/>
      </c>
      <c r="Q719" t="str">
        <f>IF($AS719="","",INDEX('TMP Paste'!$J$2:$J$1601,$AS719))</f>
        <v/>
      </c>
      <c r="R719" t="str">
        <f>IF($AS719="","",Config!$B$24)</f>
        <v/>
      </c>
      <c r="S719" t="str">
        <f ca="1">IF($AS719="","",TEXT(Config!$B$4,"yyyy-mm-dd"))</f>
        <v/>
      </c>
      <c r="T719" t="str">
        <f>IF($AS719="","",Config!$B$17)</f>
        <v/>
      </c>
      <c r="U719" t="str">
        <f>IF($AS719="","",Config!$B$18)</f>
        <v/>
      </c>
      <c r="V719" t="str">
        <f>IF($AS719="","",Config!$B$19)</f>
        <v/>
      </c>
      <c r="W719" t="str">
        <f>IF($AS719="","",INDEX('TMP Paste'!$C$2:$C$1601,$AS719))</f>
        <v/>
      </c>
      <c r="X719" t="str">
        <f>IF($AS719="","",Config!$B$29)</f>
        <v/>
      </c>
      <c r="Y719" t="str">
        <f>IF($AT719="","",INDEX(Calc!$I$2:$I$1601,$AT719)&amp;" - "&amp;INDEX(Calc!$D$2:$D$1601,$AT719)&amp;" koli")</f>
        <v/>
      </c>
      <c r="Z719" t="str">
        <f>IF($AS719="","",Config!$B$21)</f>
        <v/>
      </c>
      <c r="AA719" t="str">
        <f>IF($AS719="","",Config!$B$22)</f>
        <v/>
      </c>
      <c r="AB719" t="str">
        <f>IF($AT719="","",INDEX(Calc!$D$2:$D$1601,$AT719))</f>
        <v/>
      </c>
      <c r="AC719" t="str">
        <f>IF($AT719="","",INDEX(Calc!$G$2:$G$1601,$AT719))</f>
        <v/>
      </c>
      <c r="AD719" t="str">
        <f>IF($AS719="","",Config!$B$23)</f>
        <v/>
      </c>
      <c r="AE719" t="str">
        <f>IF($AS719="","",Config!$B$28)</f>
        <v/>
      </c>
      <c r="AF719" t="str">
        <f t="shared" si="68"/>
        <v/>
      </c>
      <c r="AG719" t="str">
        <f t="shared" si="69"/>
        <v/>
      </c>
      <c r="AH719" t="str">
        <f t="shared" si="70"/>
        <v/>
      </c>
      <c r="AI719" t="str">
        <f>IF($AG719="","",SUMIF($AG$2:$AG719,$AG719,$AH$2:$AH719))</f>
        <v/>
      </c>
      <c r="AJ719" t="str">
        <f>IF('TMP Paste'!$F719="","",IF('TMP Paste'!$B719="",$AJ718,'TMP Paste'!$B719))</f>
        <v/>
      </c>
      <c r="AK719" t="str">
        <f>IF('TMP Paste'!$F719="","",N('TMP Paste'!$G719))</f>
        <v/>
      </c>
      <c r="AL719" t="str">
        <f>IF('TMP Paste'!$F719="","",IF('TMP Paste'!$M719="",$AL718,'TMP Paste'!$M719))</f>
        <v/>
      </c>
      <c r="AM719" t="str">
        <f>IF('TMP Paste'!$F719="","",IF('TMP Paste'!$N719="",$AM718,'TMP Paste'!$N719))</f>
        <v/>
      </c>
      <c r="AN719" t="str">
        <f>IF('TMP Paste'!$F719="","",IF('TMP Paste'!$O719="",$AN718,'TMP Paste'!$O719))</f>
        <v/>
      </c>
      <c r="AO719" t="str">
        <f>IF('TMP Paste'!$F719="","",IF('TMP Paste'!$P719="",$AO718,'TMP Paste'!$P719))</f>
        <v/>
      </c>
      <c r="AP719" t="str">
        <f t="shared" si="71"/>
        <v/>
      </c>
      <c r="AQ719" t="str">
        <f>IF($AS719="","",TRIM(IF(COUNTIFS(Calc!$B$2:$B$1601,ROW()-1,Calc!$C$2:$C$1601,"&lt;1")&gt;0,"Ada PO tanpa Koli - cek TMP. ","")&amp;IF(OR($AU719="",$AU719&lt;=0),"Volume kosong/0 - dimensi dikosongkan. ","")&amp;IF(AND($AU719&lt;&gt;"",$AU719&gt;=1000000),"Volume &gt;= 1.000.000 cm3 (di luar aturan) - dimensi dikosongkan. ","")&amp;IF(LEN($R719)&gt;500,"R &gt; 500 karakter.","")))</f>
        <v/>
      </c>
      <c r="AS719" t="str">
        <f>IFERROR(MATCH(ROW()-1,Calc!$J$2:$J$1601,0),"")</f>
        <v/>
      </c>
      <c r="AT719" t="str">
        <f>IFERROR(MATCH(ROW()-1,Calc!$K$2:$K$1601,0),"")</f>
        <v/>
      </c>
      <c r="AU719" t="str">
        <f>IF($AS719="","",IFERROR(INDEX('TMP Paste'!$D$2:$D$1601,$AS719)*1000000/$AB719,""))</f>
        <v/>
      </c>
    </row>
    <row r="720" spans="1:47">
      <c r="A720" t="str">
        <f>IF($AS720="","",INDEX('TMP Paste'!$B$2:$B$1601,$AS720))</f>
        <v/>
      </c>
      <c r="B720" t="str">
        <f>IF($AS720="","",Config!$B$14)</f>
        <v/>
      </c>
      <c r="C720" t="str">
        <f>IF($AS720="","",Config!$B$15)</f>
        <v/>
      </c>
      <c r="D720" t="str">
        <f>IF($AS720="","",INDEX('TMP Paste'!$B$2:$B$1601,$AS720))</f>
        <v/>
      </c>
      <c r="E720" t="str">
        <f>IF($AS720="","",Config!$B$27)</f>
        <v/>
      </c>
      <c r="F720" t="str">
        <f>IF($AS720="","",Config!$B$9)</f>
        <v/>
      </c>
      <c r="G720" t="str">
        <f>IF($AS720="","",Config!$B$10)</f>
        <v/>
      </c>
      <c r="H720" t="str">
        <f>IF($AS720="","",Config!$B$11)</f>
        <v/>
      </c>
      <c r="I720" t="str">
        <f>IF($AS720="","",Config!$B$16)</f>
        <v/>
      </c>
      <c r="J720" t="str">
        <f>IF($AS720="","",INDEX('TMP Paste'!$A$2:$A$1601,$AS720))</f>
        <v/>
      </c>
      <c r="K720" t="str">
        <f>IF($AS720="","",INDEX('TMP Paste'!$L$2:$L$1601,$AS720))</f>
        <v/>
      </c>
      <c r="L720" t="str">
        <f>IF($AS720="","",INDEX('TMP Paste'!$I$2:$I$1601,$AS720))</f>
        <v/>
      </c>
      <c r="M720" t="str">
        <f>IF($AS720="","",Config!$B$16)</f>
        <v/>
      </c>
      <c r="N720" t="str">
        <f t="shared" si="66"/>
        <v/>
      </c>
      <c r="O720" t="str">
        <f>IF($AS720="","",INDEX('TMP Paste'!$K$2:$K$1601,$AS720))</f>
        <v/>
      </c>
      <c r="P720" t="str">
        <f t="shared" si="67"/>
        <v/>
      </c>
      <c r="Q720" t="str">
        <f>IF($AS720="","",INDEX('TMP Paste'!$J$2:$J$1601,$AS720))</f>
        <v/>
      </c>
      <c r="R720" t="str">
        <f>IF($AS720="","",Config!$B$24)</f>
        <v/>
      </c>
      <c r="S720" t="str">
        <f ca="1">IF($AS720="","",TEXT(Config!$B$4,"yyyy-mm-dd"))</f>
        <v/>
      </c>
      <c r="T720" t="str">
        <f>IF($AS720="","",Config!$B$17)</f>
        <v/>
      </c>
      <c r="U720" t="str">
        <f>IF($AS720="","",Config!$B$18)</f>
        <v/>
      </c>
      <c r="V720" t="str">
        <f>IF($AS720="","",Config!$B$19)</f>
        <v/>
      </c>
      <c r="W720" t="str">
        <f>IF($AS720="","",INDEX('TMP Paste'!$C$2:$C$1601,$AS720))</f>
        <v/>
      </c>
      <c r="X720" t="str">
        <f>IF($AS720="","",Config!$B$29)</f>
        <v/>
      </c>
      <c r="Y720" t="str">
        <f>IF($AT720="","",INDEX(Calc!$I$2:$I$1601,$AT720)&amp;" - "&amp;INDEX(Calc!$D$2:$D$1601,$AT720)&amp;" koli")</f>
        <v/>
      </c>
      <c r="Z720" t="str">
        <f>IF($AS720="","",Config!$B$21)</f>
        <v/>
      </c>
      <c r="AA720" t="str">
        <f>IF($AS720="","",Config!$B$22)</f>
        <v/>
      </c>
      <c r="AB720" t="str">
        <f>IF($AT720="","",INDEX(Calc!$D$2:$D$1601,$AT720))</f>
        <v/>
      </c>
      <c r="AC720" t="str">
        <f>IF($AT720="","",INDEX(Calc!$G$2:$G$1601,$AT720))</f>
        <v/>
      </c>
      <c r="AD720" t="str">
        <f>IF($AS720="","",Config!$B$23)</f>
        <v/>
      </c>
      <c r="AE720" t="str">
        <f>IF($AS720="","",Config!$B$28)</f>
        <v/>
      </c>
      <c r="AF720" t="str">
        <f t="shared" si="68"/>
        <v/>
      </c>
      <c r="AG720" t="str">
        <f t="shared" si="69"/>
        <v/>
      </c>
      <c r="AH720" t="str">
        <f t="shared" si="70"/>
        <v/>
      </c>
      <c r="AI720" t="str">
        <f>IF($AG720="","",SUMIF($AG$2:$AG720,$AG720,$AH$2:$AH720))</f>
        <v/>
      </c>
      <c r="AJ720" t="str">
        <f>IF('TMP Paste'!$F720="","",IF('TMP Paste'!$B720="",$AJ719,'TMP Paste'!$B720))</f>
        <v/>
      </c>
      <c r="AK720" t="str">
        <f>IF('TMP Paste'!$F720="","",N('TMP Paste'!$G720))</f>
        <v/>
      </c>
      <c r="AL720" t="str">
        <f>IF('TMP Paste'!$F720="","",IF('TMP Paste'!$M720="",$AL719,'TMP Paste'!$M720))</f>
        <v/>
      </c>
      <c r="AM720" t="str">
        <f>IF('TMP Paste'!$F720="","",IF('TMP Paste'!$N720="",$AM719,'TMP Paste'!$N720))</f>
        <v/>
      </c>
      <c r="AN720" t="str">
        <f>IF('TMP Paste'!$F720="","",IF('TMP Paste'!$O720="",$AN719,'TMP Paste'!$O720))</f>
        <v/>
      </c>
      <c r="AO720" t="str">
        <f>IF('TMP Paste'!$F720="","",IF('TMP Paste'!$P720="",$AO719,'TMP Paste'!$P720))</f>
        <v/>
      </c>
      <c r="AP720" t="str">
        <f t="shared" si="71"/>
        <v/>
      </c>
      <c r="AQ720" t="str">
        <f>IF($AS720="","",TRIM(IF(COUNTIFS(Calc!$B$2:$B$1601,ROW()-1,Calc!$C$2:$C$1601,"&lt;1")&gt;0,"Ada PO tanpa Koli - cek TMP. ","")&amp;IF(OR($AU720="",$AU720&lt;=0),"Volume kosong/0 - dimensi dikosongkan. ","")&amp;IF(AND($AU720&lt;&gt;"",$AU720&gt;=1000000),"Volume &gt;= 1.000.000 cm3 (di luar aturan) - dimensi dikosongkan. ","")&amp;IF(LEN($R720)&gt;500,"R &gt; 500 karakter.","")))</f>
        <v/>
      </c>
      <c r="AS720" t="str">
        <f>IFERROR(MATCH(ROW()-1,Calc!$J$2:$J$1601,0),"")</f>
        <v/>
      </c>
      <c r="AT720" t="str">
        <f>IFERROR(MATCH(ROW()-1,Calc!$K$2:$K$1601,0),"")</f>
        <v/>
      </c>
      <c r="AU720" t="str">
        <f>IF($AS720="","",IFERROR(INDEX('TMP Paste'!$D$2:$D$1601,$AS720)*1000000/$AB720,""))</f>
        <v/>
      </c>
    </row>
    <row r="721" spans="1:47">
      <c r="A721" t="str">
        <f>IF($AS721="","",INDEX('TMP Paste'!$B$2:$B$1601,$AS721))</f>
        <v/>
      </c>
      <c r="B721" t="str">
        <f>IF($AS721="","",Config!$B$14)</f>
        <v/>
      </c>
      <c r="C721" t="str">
        <f>IF($AS721="","",Config!$B$15)</f>
        <v/>
      </c>
      <c r="D721" t="str">
        <f>IF($AS721="","",INDEX('TMP Paste'!$B$2:$B$1601,$AS721))</f>
        <v/>
      </c>
      <c r="E721" t="str">
        <f>IF($AS721="","",Config!$B$27)</f>
        <v/>
      </c>
      <c r="F721" t="str">
        <f>IF($AS721="","",Config!$B$9)</f>
        <v/>
      </c>
      <c r="G721" t="str">
        <f>IF($AS721="","",Config!$B$10)</f>
        <v/>
      </c>
      <c r="H721" t="str">
        <f>IF($AS721="","",Config!$B$11)</f>
        <v/>
      </c>
      <c r="I721" t="str">
        <f>IF($AS721="","",Config!$B$16)</f>
        <v/>
      </c>
      <c r="J721" t="str">
        <f>IF($AS721="","",INDEX('TMP Paste'!$A$2:$A$1601,$AS721))</f>
        <v/>
      </c>
      <c r="K721" t="str">
        <f>IF($AS721="","",INDEX('TMP Paste'!$L$2:$L$1601,$AS721))</f>
        <v/>
      </c>
      <c r="L721" t="str">
        <f>IF($AS721="","",INDEX('TMP Paste'!$I$2:$I$1601,$AS721))</f>
        <v/>
      </c>
      <c r="M721" t="str">
        <f>IF($AS721="","",Config!$B$16)</f>
        <v/>
      </c>
      <c r="N721" t="str">
        <f t="shared" si="66"/>
        <v/>
      </c>
      <c r="O721" t="str">
        <f>IF($AS721="","",INDEX('TMP Paste'!$K$2:$K$1601,$AS721))</f>
        <v/>
      </c>
      <c r="P721" t="str">
        <f t="shared" si="67"/>
        <v/>
      </c>
      <c r="Q721" t="str">
        <f>IF($AS721="","",INDEX('TMP Paste'!$J$2:$J$1601,$AS721))</f>
        <v/>
      </c>
      <c r="R721" t="str">
        <f>IF($AS721="","",Config!$B$24)</f>
        <v/>
      </c>
      <c r="S721" t="str">
        <f ca="1">IF($AS721="","",TEXT(Config!$B$4,"yyyy-mm-dd"))</f>
        <v/>
      </c>
      <c r="T721" t="str">
        <f>IF($AS721="","",Config!$B$17)</f>
        <v/>
      </c>
      <c r="U721" t="str">
        <f>IF($AS721="","",Config!$B$18)</f>
        <v/>
      </c>
      <c r="V721" t="str">
        <f>IF($AS721="","",Config!$B$19)</f>
        <v/>
      </c>
      <c r="W721" t="str">
        <f>IF($AS721="","",INDEX('TMP Paste'!$C$2:$C$1601,$AS721))</f>
        <v/>
      </c>
      <c r="X721" t="str">
        <f>IF($AS721="","",Config!$B$29)</f>
        <v/>
      </c>
      <c r="Y721" t="str">
        <f>IF($AT721="","",INDEX(Calc!$I$2:$I$1601,$AT721)&amp;" - "&amp;INDEX(Calc!$D$2:$D$1601,$AT721)&amp;" koli")</f>
        <v/>
      </c>
      <c r="Z721" t="str">
        <f>IF($AS721="","",Config!$B$21)</f>
        <v/>
      </c>
      <c r="AA721" t="str">
        <f>IF($AS721="","",Config!$B$22)</f>
        <v/>
      </c>
      <c r="AB721" t="str">
        <f>IF($AT721="","",INDEX(Calc!$D$2:$D$1601,$AT721))</f>
        <v/>
      </c>
      <c r="AC721" t="str">
        <f>IF($AT721="","",INDEX(Calc!$G$2:$G$1601,$AT721))</f>
        <v/>
      </c>
      <c r="AD721" t="str">
        <f>IF($AS721="","",Config!$B$23)</f>
        <v/>
      </c>
      <c r="AE721" t="str">
        <f>IF($AS721="","",Config!$B$28)</f>
        <v/>
      </c>
      <c r="AF721" t="str">
        <f t="shared" si="68"/>
        <v/>
      </c>
      <c r="AG721" t="str">
        <f t="shared" si="69"/>
        <v/>
      </c>
      <c r="AH721" t="str">
        <f t="shared" si="70"/>
        <v/>
      </c>
      <c r="AI721" t="str">
        <f>IF($AG721="","",SUMIF($AG$2:$AG721,$AG721,$AH$2:$AH721))</f>
        <v/>
      </c>
      <c r="AJ721" t="str">
        <f>IF('TMP Paste'!$F721="","",IF('TMP Paste'!$B721="",$AJ720,'TMP Paste'!$B721))</f>
        <v/>
      </c>
      <c r="AK721" t="str">
        <f>IF('TMP Paste'!$F721="","",N('TMP Paste'!$G721))</f>
        <v/>
      </c>
      <c r="AL721" t="str">
        <f>IF('TMP Paste'!$F721="","",IF('TMP Paste'!$M721="",$AL720,'TMP Paste'!$M721))</f>
        <v/>
      </c>
      <c r="AM721" t="str">
        <f>IF('TMP Paste'!$F721="","",IF('TMP Paste'!$N721="",$AM720,'TMP Paste'!$N721))</f>
        <v/>
      </c>
      <c r="AN721" t="str">
        <f>IF('TMP Paste'!$F721="","",IF('TMP Paste'!$O721="",$AN720,'TMP Paste'!$O721))</f>
        <v/>
      </c>
      <c r="AO721" t="str">
        <f>IF('TMP Paste'!$F721="","",IF('TMP Paste'!$P721="",$AO720,'TMP Paste'!$P721))</f>
        <v/>
      </c>
      <c r="AP721" t="str">
        <f t="shared" si="71"/>
        <v/>
      </c>
      <c r="AQ721" t="str">
        <f>IF($AS721="","",TRIM(IF(COUNTIFS(Calc!$B$2:$B$1601,ROW()-1,Calc!$C$2:$C$1601,"&lt;1")&gt;0,"Ada PO tanpa Koli - cek TMP. ","")&amp;IF(OR($AU721="",$AU721&lt;=0),"Volume kosong/0 - dimensi dikosongkan. ","")&amp;IF(AND($AU721&lt;&gt;"",$AU721&gt;=1000000),"Volume &gt;= 1.000.000 cm3 (di luar aturan) - dimensi dikosongkan. ","")&amp;IF(LEN($R721)&gt;500,"R &gt; 500 karakter.","")))</f>
        <v/>
      </c>
      <c r="AS721" t="str">
        <f>IFERROR(MATCH(ROW()-1,Calc!$J$2:$J$1601,0),"")</f>
        <v/>
      </c>
      <c r="AT721" t="str">
        <f>IFERROR(MATCH(ROW()-1,Calc!$K$2:$K$1601,0),"")</f>
        <v/>
      </c>
      <c r="AU721" t="str">
        <f>IF($AS721="","",IFERROR(INDEX('TMP Paste'!$D$2:$D$1601,$AS721)*1000000/$AB721,""))</f>
        <v/>
      </c>
    </row>
    <row r="722" spans="1:47">
      <c r="A722" t="str">
        <f>IF($AS722="","",INDEX('TMP Paste'!$B$2:$B$1601,$AS722))</f>
        <v/>
      </c>
      <c r="B722" t="str">
        <f>IF($AS722="","",Config!$B$14)</f>
        <v/>
      </c>
      <c r="C722" t="str">
        <f>IF($AS722="","",Config!$B$15)</f>
        <v/>
      </c>
      <c r="D722" t="str">
        <f>IF($AS722="","",INDEX('TMP Paste'!$B$2:$B$1601,$AS722))</f>
        <v/>
      </c>
      <c r="E722" t="str">
        <f>IF($AS722="","",Config!$B$27)</f>
        <v/>
      </c>
      <c r="F722" t="str">
        <f>IF($AS722="","",Config!$B$9)</f>
        <v/>
      </c>
      <c r="G722" t="str">
        <f>IF($AS722="","",Config!$B$10)</f>
        <v/>
      </c>
      <c r="H722" t="str">
        <f>IF($AS722="","",Config!$B$11)</f>
        <v/>
      </c>
      <c r="I722" t="str">
        <f>IF($AS722="","",Config!$B$16)</f>
        <v/>
      </c>
      <c r="J722" t="str">
        <f>IF($AS722="","",INDEX('TMP Paste'!$A$2:$A$1601,$AS722))</f>
        <v/>
      </c>
      <c r="K722" t="str">
        <f>IF($AS722="","",INDEX('TMP Paste'!$L$2:$L$1601,$AS722))</f>
        <v/>
      </c>
      <c r="L722" t="str">
        <f>IF($AS722="","",INDEX('TMP Paste'!$I$2:$I$1601,$AS722))</f>
        <v/>
      </c>
      <c r="M722" t="str">
        <f>IF($AS722="","",Config!$B$16)</f>
        <v/>
      </c>
      <c r="N722" t="str">
        <f t="shared" si="66"/>
        <v/>
      </c>
      <c r="O722" t="str">
        <f>IF($AS722="","",INDEX('TMP Paste'!$K$2:$K$1601,$AS722))</f>
        <v/>
      </c>
      <c r="P722" t="str">
        <f t="shared" si="67"/>
        <v/>
      </c>
      <c r="Q722" t="str">
        <f>IF($AS722="","",INDEX('TMP Paste'!$J$2:$J$1601,$AS722))</f>
        <v/>
      </c>
      <c r="R722" t="str">
        <f>IF($AS722="","",Config!$B$24)</f>
        <v/>
      </c>
      <c r="S722" t="str">
        <f ca="1">IF($AS722="","",TEXT(Config!$B$4,"yyyy-mm-dd"))</f>
        <v/>
      </c>
      <c r="T722" t="str">
        <f>IF($AS722="","",Config!$B$17)</f>
        <v/>
      </c>
      <c r="U722" t="str">
        <f>IF($AS722="","",Config!$B$18)</f>
        <v/>
      </c>
      <c r="V722" t="str">
        <f>IF($AS722="","",Config!$B$19)</f>
        <v/>
      </c>
      <c r="W722" t="str">
        <f>IF($AS722="","",INDEX('TMP Paste'!$C$2:$C$1601,$AS722))</f>
        <v/>
      </c>
      <c r="X722" t="str">
        <f>IF($AS722="","",Config!$B$29)</f>
        <v/>
      </c>
      <c r="Y722" t="str">
        <f>IF($AT722="","",INDEX(Calc!$I$2:$I$1601,$AT722)&amp;" - "&amp;INDEX(Calc!$D$2:$D$1601,$AT722)&amp;" koli")</f>
        <v/>
      </c>
      <c r="Z722" t="str">
        <f>IF($AS722="","",Config!$B$21)</f>
        <v/>
      </c>
      <c r="AA722" t="str">
        <f>IF($AS722="","",Config!$B$22)</f>
        <v/>
      </c>
      <c r="AB722" t="str">
        <f>IF($AT722="","",INDEX(Calc!$D$2:$D$1601,$AT722))</f>
        <v/>
      </c>
      <c r="AC722" t="str">
        <f>IF($AT722="","",INDEX(Calc!$G$2:$G$1601,$AT722))</f>
        <v/>
      </c>
      <c r="AD722" t="str">
        <f>IF($AS722="","",Config!$B$23)</f>
        <v/>
      </c>
      <c r="AE722" t="str">
        <f>IF($AS722="","",Config!$B$28)</f>
        <v/>
      </c>
      <c r="AF722" t="str">
        <f t="shared" si="68"/>
        <v/>
      </c>
      <c r="AG722" t="str">
        <f t="shared" si="69"/>
        <v/>
      </c>
      <c r="AH722" t="str">
        <f t="shared" si="70"/>
        <v/>
      </c>
      <c r="AI722" t="str">
        <f>IF($AG722="","",SUMIF($AG$2:$AG722,$AG722,$AH$2:$AH722))</f>
        <v/>
      </c>
      <c r="AJ722" t="str">
        <f>IF('TMP Paste'!$F722="","",IF('TMP Paste'!$B722="",$AJ721,'TMP Paste'!$B722))</f>
        <v/>
      </c>
      <c r="AK722" t="str">
        <f>IF('TMP Paste'!$F722="","",N('TMP Paste'!$G722))</f>
        <v/>
      </c>
      <c r="AL722" t="str">
        <f>IF('TMP Paste'!$F722="","",IF('TMP Paste'!$M722="",$AL721,'TMP Paste'!$M722))</f>
        <v/>
      </c>
      <c r="AM722" t="str">
        <f>IF('TMP Paste'!$F722="","",IF('TMP Paste'!$N722="",$AM721,'TMP Paste'!$N722))</f>
        <v/>
      </c>
      <c r="AN722" t="str">
        <f>IF('TMP Paste'!$F722="","",IF('TMP Paste'!$O722="",$AN721,'TMP Paste'!$O722))</f>
        <v/>
      </c>
      <c r="AO722" t="str">
        <f>IF('TMP Paste'!$F722="","",IF('TMP Paste'!$P722="",$AO721,'TMP Paste'!$P722))</f>
        <v/>
      </c>
      <c r="AP722" t="str">
        <f t="shared" si="71"/>
        <v/>
      </c>
      <c r="AQ722" t="str">
        <f>IF($AS722="","",TRIM(IF(COUNTIFS(Calc!$B$2:$B$1601,ROW()-1,Calc!$C$2:$C$1601,"&lt;1")&gt;0,"Ada PO tanpa Koli - cek TMP. ","")&amp;IF(OR($AU722="",$AU722&lt;=0),"Volume kosong/0 - dimensi dikosongkan. ","")&amp;IF(AND($AU722&lt;&gt;"",$AU722&gt;=1000000),"Volume &gt;= 1.000.000 cm3 (di luar aturan) - dimensi dikosongkan. ","")&amp;IF(LEN($R722)&gt;500,"R &gt; 500 karakter.","")))</f>
        <v/>
      </c>
      <c r="AS722" t="str">
        <f>IFERROR(MATCH(ROW()-1,Calc!$J$2:$J$1601,0),"")</f>
        <v/>
      </c>
      <c r="AT722" t="str">
        <f>IFERROR(MATCH(ROW()-1,Calc!$K$2:$K$1601,0),"")</f>
        <v/>
      </c>
      <c r="AU722" t="str">
        <f>IF($AS722="","",IFERROR(INDEX('TMP Paste'!$D$2:$D$1601,$AS722)*1000000/$AB722,""))</f>
        <v/>
      </c>
    </row>
    <row r="723" spans="1:47">
      <c r="A723" t="str">
        <f>IF($AS723="","",INDEX('TMP Paste'!$B$2:$B$1601,$AS723))</f>
        <v/>
      </c>
      <c r="B723" t="str">
        <f>IF($AS723="","",Config!$B$14)</f>
        <v/>
      </c>
      <c r="C723" t="str">
        <f>IF($AS723="","",Config!$B$15)</f>
        <v/>
      </c>
      <c r="D723" t="str">
        <f>IF($AS723="","",INDEX('TMP Paste'!$B$2:$B$1601,$AS723))</f>
        <v/>
      </c>
      <c r="E723" t="str">
        <f>IF($AS723="","",Config!$B$27)</f>
        <v/>
      </c>
      <c r="F723" t="str">
        <f>IF($AS723="","",Config!$B$9)</f>
        <v/>
      </c>
      <c r="G723" t="str">
        <f>IF($AS723="","",Config!$B$10)</f>
        <v/>
      </c>
      <c r="H723" t="str">
        <f>IF($AS723="","",Config!$B$11)</f>
        <v/>
      </c>
      <c r="I723" t="str">
        <f>IF($AS723="","",Config!$B$16)</f>
        <v/>
      </c>
      <c r="J723" t="str">
        <f>IF($AS723="","",INDEX('TMP Paste'!$A$2:$A$1601,$AS723))</f>
        <v/>
      </c>
      <c r="K723" t="str">
        <f>IF($AS723="","",INDEX('TMP Paste'!$L$2:$L$1601,$AS723))</f>
        <v/>
      </c>
      <c r="L723" t="str">
        <f>IF($AS723="","",INDEX('TMP Paste'!$I$2:$I$1601,$AS723))</f>
        <v/>
      </c>
      <c r="M723" t="str">
        <f>IF($AS723="","",Config!$B$16)</f>
        <v/>
      </c>
      <c r="N723" t="str">
        <f t="shared" si="66"/>
        <v/>
      </c>
      <c r="O723" t="str">
        <f>IF($AS723="","",INDEX('TMP Paste'!$K$2:$K$1601,$AS723))</f>
        <v/>
      </c>
      <c r="P723" t="str">
        <f t="shared" si="67"/>
        <v/>
      </c>
      <c r="Q723" t="str">
        <f>IF($AS723="","",INDEX('TMP Paste'!$J$2:$J$1601,$AS723))</f>
        <v/>
      </c>
      <c r="R723" t="str">
        <f>IF($AS723="","",Config!$B$24)</f>
        <v/>
      </c>
      <c r="S723" t="str">
        <f ca="1">IF($AS723="","",TEXT(Config!$B$4,"yyyy-mm-dd"))</f>
        <v/>
      </c>
      <c r="T723" t="str">
        <f>IF($AS723="","",Config!$B$17)</f>
        <v/>
      </c>
      <c r="U723" t="str">
        <f>IF($AS723="","",Config!$B$18)</f>
        <v/>
      </c>
      <c r="V723" t="str">
        <f>IF($AS723="","",Config!$B$19)</f>
        <v/>
      </c>
      <c r="W723" t="str">
        <f>IF($AS723="","",INDEX('TMP Paste'!$C$2:$C$1601,$AS723))</f>
        <v/>
      </c>
      <c r="X723" t="str">
        <f>IF($AS723="","",Config!$B$29)</f>
        <v/>
      </c>
      <c r="Y723" t="str">
        <f>IF($AT723="","",INDEX(Calc!$I$2:$I$1601,$AT723)&amp;" - "&amp;INDEX(Calc!$D$2:$D$1601,$AT723)&amp;" koli")</f>
        <v/>
      </c>
      <c r="Z723" t="str">
        <f>IF($AS723="","",Config!$B$21)</f>
        <v/>
      </c>
      <c r="AA723" t="str">
        <f>IF($AS723="","",Config!$B$22)</f>
        <v/>
      </c>
      <c r="AB723" t="str">
        <f>IF($AT723="","",INDEX(Calc!$D$2:$D$1601,$AT723))</f>
        <v/>
      </c>
      <c r="AC723" t="str">
        <f>IF($AT723="","",INDEX(Calc!$G$2:$G$1601,$AT723))</f>
        <v/>
      </c>
      <c r="AD723" t="str">
        <f>IF($AS723="","",Config!$B$23)</f>
        <v/>
      </c>
      <c r="AE723" t="str">
        <f>IF($AS723="","",Config!$B$28)</f>
        <v/>
      </c>
      <c r="AF723" t="str">
        <f t="shared" si="68"/>
        <v/>
      </c>
      <c r="AG723" t="str">
        <f t="shared" si="69"/>
        <v/>
      </c>
      <c r="AH723" t="str">
        <f t="shared" si="70"/>
        <v/>
      </c>
      <c r="AI723" t="str">
        <f>IF($AG723="","",SUMIF($AG$2:$AG723,$AG723,$AH$2:$AH723))</f>
        <v/>
      </c>
      <c r="AJ723" t="str">
        <f>IF('TMP Paste'!$F723="","",IF('TMP Paste'!$B723="",$AJ722,'TMP Paste'!$B723))</f>
        <v/>
      </c>
      <c r="AK723" t="str">
        <f>IF('TMP Paste'!$F723="","",N('TMP Paste'!$G723))</f>
        <v/>
      </c>
      <c r="AL723" t="str">
        <f>IF('TMP Paste'!$F723="","",IF('TMP Paste'!$M723="",$AL722,'TMP Paste'!$M723))</f>
        <v/>
      </c>
      <c r="AM723" t="str">
        <f>IF('TMP Paste'!$F723="","",IF('TMP Paste'!$N723="",$AM722,'TMP Paste'!$N723))</f>
        <v/>
      </c>
      <c r="AN723" t="str">
        <f>IF('TMP Paste'!$F723="","",IF('TMP Paste'!$O723="",$AN722,'TMP Paste'!$O723))</f>
        <v/>
      </c>
      <c r="AO723" t="str">
        <f>IF('TMP Paste'!$F723="","",IF('TMP Paste'!$P723="",$AO722,'TMP Paste'!$P723))</f>
        <v/>
      </c>
      <c r="AP723" t="str">
        <f t="shared" si="71"/>
        <v/>
      </c>
      <c r="AQ723" t="str">
        <f>IF($AS723="","",TRIM(IF(COUNTIFS(Calc!$B$2:$B$1601,ROW()-1,Calc!$C$2:$C$1601,"&lt;1")&gt;0,"Ada PO tanpa Koli - cek TMP. ","")&amp;IF(OR($AU723="",$AU723&lt;=0),"Volume kosong/0 - dimensi dikosongkan. ","")&amp;IF(AND($AU723&lt;&gt;"",$AU723&gt;=1000000),"Volume &gt;= 1.000.000 cm3 (di luar aturan) - dimensi dikosongkan. ","")&amp;IF(LEN($R723)&gt;500,"R &gt; 500 karakter.","")))</f>
        <v/>
      </c>
      <c r="AS723" t="str">
        <f>IFERROR(MATCH(ROW()-1,Calc!$J$2:$J$1601,0),"")</f>
        <v/>
      </c>
      <c r="AT723" t="str">
        <f>IFERROR(MATCH(ROW()-1,Calc!$K$2:$K$1601,0),"")</f>
        <v/>
      </c>
      <c r="AU723" t="str">
        <f>IF($AS723="","",IFERROR(INDEX('TMP Paste'!$D$2:$D$1601,$AS723)*1000000/$AB723,""))</f>
        <v/>
      </c>
    </row>
    <row r="724" spans="1:47">
      <c r="A724" t="str">
        <f>IF($AS724="","",INDEX('TMP Paste'!$B$2:$B$1601,$AS724))</f>
        <v/>
      </c>
      <c r="B724" t="str">
        <f>IF($AS724="","",Config!$B$14)</f>
        <v/>
      </c>
      <c r="C724" t="str">
        <f>IF($AS724="","",Config!$B$15)</f>
        <v/>
      </c>
      <c r="D724" t="str">
        <f>IF($AS724="","",INDEX('TMP Paste'!$B$2:$B$1601,$AS724))</f>
        <v/>
      </c>
      <c r="E724" t="str">
        <f>IF($AS724="","",Config!$B$27)</f>
        <v/>
      </c>
      <c r="F724" t="str">
        <f>IF($AS724="","",Config!$B$9)</f>
        <v/>
      </c>
      <c r="G724" t="str">
        <f>IF($AS724="","",Config!$B$10)</f>
        <v/>
      </c>
      <c r="H724" t="str">
        <f>IF($AS724="","",Config!$B$11)</f>
        <v/>
      </c>
      <c r="I724" t="str">
        <f>IF($AS724="","",Config!$B$16)</f>
        <v/>
      </c>
      <c r="J724" t="str">
        <f>IF($AS724="","",INDEX('TMP Paste'!$A$2:$A$1601,$AS724))</f>
        <v/>
      </c>
      <c r="K724" t="str">
        <f>IF($AS724="","",INDEX('TMP Paste'!$L$2:$L$1601,$AS724))</f>
        <v/>
      </c>
      <c r="L724" t="str">
        <f>IF($AS724="","",INDEX('TMP Paste'!$I$2:$I$1601,$AS724))</f>
        <v/>
      </c>
      <c r="M724" t="str">
        <f>IF($AS724="","",Config!$B$16)</f>
        <v/>
      </c>
      <c r="N724" t="str">
        <f t="shared" si="66"/>
        <v/>
      </c>
      <c r="O724" t="str">
        <f>IF($AS724="","",INDEX('TMP Paste'!$K$2:$K$1601,$AS724))</f>
        <v/>
      </c>
      <c r="P724" t="str">
        <f t="shared" si="67"/>
        <v/>
      </c>
      <c r="Q724" t="str">
        <f>IF($AS724="","",INDEX('TMP Paste'!$J$2:$J$1601,$AS724))</f>
        <v/>
      </c>
      <c r="R724" t="str">
        <f>IF($AS724="","",Config!$B$24)</f>
        <v/>
      </c>
      <c r="S724" t="str">
        <f ca="1">IF($AS724="","",TEXT(Config!$B$4,"yyyy-mm-dd"))</f>
        <v/>
      </c>
      <c r="T724" t="str">
        <f>IF($AS724="","",Config!$B$17)</f>
        <v/>
      </c>
      <c r="U724" t="str">
        <f>IF($AS724="","",Config!$B$18)</f>
        <v/>
      </c>
      <c r="V724" t="str">
        <f>IF($AS724="","",Config!$B$19)</f>
        <v/>
      </c>
      <c r="W724" t="str">
        <f>IF($AS724="","",INDEX('TMP Paste'!$C$2:$C$1601,$AS724))</f>
        <v/>
      </c>
      <c r="X724" t="str">
        <f>IF($AS724="","",Config!$B$29)</f>
        <v/>
      </c>
      <c r="Y724" t="str">
        <f>IF($AT724="","",INDEX(Calc!$I$2:$I$1601,$AT724)&amp;" - "&amp;INDEX(Calc!$D$2:$D$1601,$AT724)&amp;" koli")</f>
        <v/>
      </c>
      <c r="Z724" t="str">
        <f>IF($AS724="","",Config!$B$21)</f>
        <v/>
      </c>
      <c r="AA724" t="str">
        <f>IF($AS724="","",Config!$B$22)</f>
        <v/>
      </c>
      <c r="AB724" t="str">
        <f>IF($AT724="","",INDEX(Calc!$D$2:$D$1601,$AT724))</f>
        <v/>
      </c>
      <c r="AC724" t="str">
        <f>IF($AT724="","",INDEX(Calc!$G$2:$G$1601,$AT724))</f>
        <v/>
      </c>
      <c r="AD724" t="str">
        <f>IF($AS724="","",Config!$B$23)</f>
        <v/>
      </c>
      <c r="AE724" t="str">
        <f>IF($AS724="","",Config!$B$28)</f>
        <v/>
      </c>
      <c r="AF724" t="str">
        <f t="shared" si="68"/>
        <v/>
      </c>
      <c r="AG724" t="str">
        <f t="shared" si="69"/>
        <v/>
      </c>
      <c r="AH724" t="str">
        <f t="shared" si="70"/>
        <v/>
      </c>
      <c r="AI724" t="str">
        <f>IF($AG724="","",SUMIF($AG$2:$AG724,$AG724,$AH$2:$AH724))</f>
        <v/>
      </c>
      <c r="AJ724" t="str">
        <f>IF('TMP Paste'!$F724="","",IF('TMP Paste'!$B724="",$AJ723,'TMP Paste'!$B724))</f>
        <v/>
      </c>
      <c r="AK724" t="str">
        <f>IF('TMP Paste'!$F724="","",N('TMP Paste'!$G724))</f>
        <v/>
      </c>
      <c r="AL724" t="str">
        <f>IF('TMP Paste'!$F724="","",IF('TMP Paste'!$M724="",$AL723,'TMP Paste'!$M724))</f>
        <v/>
      </c>
      <c r="AM724" t="str">
        <f>IF('TMP Paste'!$F724="","",IF('TMP Paste'!$N724="",$AM723,'TMP Paste'!$N724))</f>
        <v/>
      </c>
      <c r="AN724" t="str">
        <f>IF('TMP Paste'!$F724="","",IF('TMP Paste'!$O724="",$AN723,'TMP Paste'!$O724))</f>
        <v/>
      </c>
      <c r="AO724" t="str">
        <f>IF('TMP Paste'!$F724="","",IF('TMP Paste'!$P724="",$AO723,'TMP Paste'!$P724))</f>
        <v/>
      </c>
      <c r="AP724" t="str">
        <f t="shared" si="71"/>
        <v/>
      </c>
      <c r="AQ724" t="str">
        <f>IF($AS724="","",TRIM(IF(COUNTIFS(Calc!$B$2:$B$1601,ROW()-1,Calc!$C$2:$C$1601,"&lt;1")&gt;0,"Ada PO tanpa Koli - cek TMP. ","")&amp;IF(OR($AU724="",$AU724&lt;=0),"Volume kosong/0 - dimensi dikosongkan. ","")&amp;IF(AND($AU724&lt;&gt;"",$AU724&gt;=1000000),"Volume &gt;= 1.000.000 cm3 (di luar aturan) - dimensi dikosongkan. ","")&amp;IF(LEN($R724)&gt;500,"R &gt; 500 karakter.","")))</f>
        <v/>
      </c>
      <c r="AS724" t="str">
        <f>IFERROR(MATCH(ROW()-1,Calc!$J$2:$J$1601,0),"")</f>
        <v/>
      </c>
      <c r="AT724" t="str">
        <f>IFERROR(MATCH(ROW()-1,Calc!$K$2:$K$1601,0),"")</f>
        <v/>
      </c>
      <c r="AU724" t="str">
        <f>IF($AS724="","",IFERROR(INDEX('TMP Paste'!$D$2:$D$1601,$AS724)*1000000/$AB724,""))</f>
        <v/>
      </c>
    </row>
    <row r="725" spans="1:47">
      <c r="A725" t="str">
        <f>IF($AS725="","",INDEX('TMP Paste'!$B$2:$B$1601,$AS725))</f>
        <v/>
      </c>
      <c r="B725" t="str">
        <f>IF($AS725="","",Config!$B$14)</f>
        <v/>
      </c>
      <c r="C725" t="str">
        <f>IF($AS725="","",Config!$B$15)</f>
        <v/>
      </c>
      <c r="D725" t="str">
        <f>IF($AS725="","",INDEX('TMP Paste'!$B$2:$B$1601,$AS725))</f>
        <v/>
      </c>
      <c r="E725" t="str">
        <f>IF($AS725="","",Config!$B$27)</f>
        <v/>
      </c>
      <c r="F725" t="str">
        <f>IF($AS725="","",Config!$B$9)</f>
        <v/>
      </c>
      <c r="G725" t="str">
        <f>IF($AS725="","",Config!$B$10)</f>
        <v/>
      </c>
      <c r="H725" t="str">
        <f>IF($AS725="","",Config!$B$11)</f>
        <v/>
      </c>
      <c r="I725" t="str">
        <f>IF($AS725="","",Config!$B$16)</f>
        <v/>
      </c>
      <c r="J725" t="str">
        <f>IF($AS725="","",INDEX('TMP Paste'!$A$2:$A$1601,$AS725))</f>
        <v/>
      </c>
      <c r="K725" t="str">
        <f>IF($AS725="","",INDEX('TMP Paste'!$L$2:$L$1601,$AS725))</f>
        <v/>
      </c>
      <c r="L725" t="str">
        <f>IF($AS725="","",INDEX('TMP Paste'!$I$2:$I$1601,$AS725))</f>
        <v/>
      </c>
      <c r="M725" t="str">
        <f>IF($AS725="","",Config!$B$16)</f>
        <v/>
      </c>
      <c r="N725" t="str">
        <f t="shared" si="66"/>
        <v/>
      </c>
      <c r="O725" t="str">
        <f>IF($AS725="","",INDEX('TMP Paste'!$K$2:$K$1601,$AS725))</f>
        <v/>
      </c>
      <c r="P725" t="str">
        <f t="shared" si="67"/>
        <v/>
      </c>
      <c r="Q725" t="str">
        <f>IF($AS725="","",INDEX('TMP Paste'!$J$2:$J$1601,$AS725))</f>
        <v/>
      </c>
      <c r="R725" t="str">
        <f>IF($AS725="","",Config!$B$24)</f>
        <v/>
      </c>
      <c r="S725" t="str">
        <f ca="1">IF($AS725="","",TEXT(Config!$B$4,"yyyy-mm-dd"))</f>
        <v/>
      </c>
      <c r="T725" t="str">
        <f>IF($AS725="","",Config!$B$17)</f>
        <v/>
      </c>
      <c r="U725" t="str">
        <f>IF($AS725="","",Config!$B$18)</f>
        <v/>
      </c>
      <c r="V725" t="str">
        <f>IF($AS725="","",Config!$B$19)</f>
        <v/>
      </c>
      <c r="W725" t="str">
        <f>IF($AS725="","",INDEX('TMP Paste'!$C$2:$C$1601,$AS725))</f>
        <v/>
      </c>
      <c r="X725" t="str">
        <f>IF($AS725="","",Config!$B$29)</f>
        <v/>
      </c>
      <c r="Y725" t="str">
        <f>IF($AT725="","",INDEX(Calc!$I$2:$I$1601,$AT725)&amp;" - "&amp;INDEX(Calc!$D$2:$D$1601,$AT725)&amp;" koli")</f>
        <v/>
      </c>
      <c r="Z725" t="str">
        <f>IF($AS725="","",Config!$B$21)</f>
        <v/>
      </c>
      <c r="AA725" t="str">
        <f>IF($AS725="","",Config!$B$22)</f>
        <v/>
      </c>
      <c r="AB725" t="str">
        <f>IF($AT725="","",INDEX(Calc!$D$2:$D$1601,$AT725))</f>
        <v/>
      </c>
      <c r="AC725" t="str">
        <f>IF($AT725="","",INDEX(Calc!$G$2:$G$1601,$AT725))</f>
        <v/>
      </c>
      <c r="AD725" t="str">
        <f>IF($AS725="","",Config!$B$23)</f>
        <v/>
      </c>
      <c r="AE725" t="str">
        <f>IF($AS725="","",Config!$B$28)</f>
        <v/>
      </c>
      <c r="AF725" t="str">
        <f t="shared" si="68"/>
        <v/>
      </c>
      <c r="AG725" t="str">
        <f t="shared" si="69"/>
        <v/>
      </c>
      <c r="AH725" t="str">
        <f t="shared" si="70"/>
        <v/>
      </c>
      <c r="AI725" t="str">
        <f>IF($AG725="","",SUMIF($AG$2:$AG725,$AG725,$AH$2:$AH725))</f>
        <v/>
      </c>
      <c r="AJ725" t="str">
        <f>IF('TMP Paste'!$F725="","",IF('TMP Paste'!$B725="",$AJ724,'TMP Paste'!$B725))</f>
        <v/>
      </c>
      <c r="AK725" t="str">
        <f>IF('TMP Paste'!$F725="","",N('TMP Paste'!$G725))</f>
        <v/>
      </c>
      <c r="AL725" t="str">
        <f>IF('TMP Paste'!$F725="","",IF('TMP Paste'!$M725="",$AL724,'TMP Paste'!$M725))</f>
        <v/>
      </c>
      <c r="AM725" t="str">
        <f>IF('TMP Paste'!$F725="","",IF('TMP Paste'!$N725="",$AM724,'TMP Paste'!$N725))</f>
        <v/>
      </c>
      <c r="AN725" t="str">
        <f>IF('TMP Paste'!$F725="","",IF('TMP Paste'!$O725="",$AN724,'TMP Paste'!$O725))</f>
        <v/>
      </c>
      <c r="AO725" t="str">
        <f>IF('TMP Paste'!$F725="","",IF('TMP Paste'!$P725="",$AO724,'TMP Paste'!$P725))</f>
        <v/>
      </c>
      <c r="AP725" t="str">
        <f t="shared" si="71"/>
        <v/>
      </c>
      <c r="AQ725" t="str">
        <f>IF($AS725="","",TRIM(IF(COUNTIFS(Calc!$B$2:$B$1601,ROW()-1,Calc!$C$2:$C$1601,"&lt;1")&gt;0,"Ada PO tanpa Koli - cek TMP. ","")&amp;IF(OR($AU725="",$AU725&lt;=0),"Volume kosong/0 - dimensi dikosongkan. ","")&amp;IF(AND($AU725&lt;&gt;"",$AU725&gt;=1000000),"Volume &gt;= 1.000.000 cm3 (di luar aturan) - dimensi dikosongkan. ","")&amp;IF(LEN($R725)&gt;500,"R &gt; 500 karakter.","")))</f>
        <v/>
      </c>
      <c r="AS725" t="str">
        <f>IFERROR(MATCH(ROW()-1,Calc!$J$2:$J$1601,0),"")</f>
        <v/>
      </c>
      <c r="AT725" t="str">
        <f>IFERROR(MATCH(ROW()-1,Calc!$K$2:$K$1601,0),"")</f>
        <v/>
      </c>
      <c r="AU725" t="str">
        <f>IF($AS725="","",IFERROR(INDEX('TMP Paste'!$D$2:$D$1601,$AS725)*1000000/$AB725,""))</f>
        <v/>
      </c>
    </row>
    <row r="726" spans="1:47">
      <c r="A726" t="str">
        <f>IF($AS726="","",INDEX('TMP Paste'!$B$2:$B$1601,$AS726))</f>
        <v/>
      </c>
      <c r="B726" t="str">
        <f>IF($AS726="","",Config!$B$14)</f>
        <v/>
      </c>
      <c r="C726" t="str">
        <f>IF($AS726="","",Config!$B$15)</f>
        <v/>
      </c>
      <c r="D726" t="str">
        <f>IF($AS726="","",INDEX('TMP Paste'!$B$2:$B$1601,$AS726))</f>
        <v/>
      </c>
      <c r="E726" t="str">
        <f>IF($AS726="","",Config!$B$27)</f>
        <v/>
      </c>
      <c r="F726" t="str">
        <f>IF($AS726="","",Config!$B$9)</f>
        <v/>
      </c>
      <c r="G726" t="str">
        <f>IF($AS726="","",Config!$B$10)</f>
        <v/>
      </c>
      <c r="H726" t="str">
        <f>IF($AS726="","",Config!$B$11)</f>
        <v/>
      </c>
      <c r="I726" t="str">
        <f>IF($AS726="","",Config!$B$16)</f>
        <v/>
      </c>
      <c r="J726" t="str">
        <f>IF($AS726="","",INDEX('TMP Paste'!$A$2:$A$1601,$AS726))</f>
        <v/>
      </c>
      <c r="K726" t="str">
        <f>IF($AS726="","",INDEX('TMP Paste'!$L$2:$L$1601,$AS726))</f>
        <v/>
      </c>
      <c r="L726" t="str">
        <f>IF($AS726="","",INDEX('TMP Paste'!$I$2:$I$1601,$AS726))</f>
        <v/>
      </c>
      <c r="M726" t="str">
        <f>IF($AS726="","",Config!$B$16)</f>
        <v/>
      </c>
      <c r="N726" t="str">
        <f t="shared" si="66"/>
        <v/>
      </c>
      <c r="O726" t="str">
        <f>IF($AS726="","",INDEX('TMP Paste'!$K$2:$K$1601,$AS726))</f>
        <v/>
      </c>
      <c r="P726" t="str">
        <f t="shared" si="67"/>
        <v/>
      </c>
      <c r="Q726" t="str">
        <f>IF($AS726="","",INDEX('TMP Paste'!$J$2:$J$1601,$AS726))</f>
        <v/>
      </c>
      <c r="R726" t="str">
        <f>IF($AS726="","",Config!$B$24)</f>
        <v/>
      </c>
      <c r="S726" t="str">
        <f ca="1">IF($AS726="","",TEXT(Config!$B$4,"yyyy-mm-dd"))</f>
        <v/>
      </c>
      <c r="T726" t="str">
        <f>IF($AS726="","",Config!$B$17)</f>
        <v/>
      </c>
      <c r="U726" t="str">
        <f>IF($AS726="","",Config!$B$18)</f>
        <v/>
      </c>
      <c r="V726" t="str">
        <f>IF($AS726="","",Config!$B$19)</f>
        <v/>
      </c>
      <c r="W726" t="str">
        <f>IF($AS726="","",INDEX('TMP Paste'!$C$2:$C$1601,$AS726))</f>
        <v/>
      </c>
      <c r="X726" t="str">
        <f>IF($AS726="","",Config!$B$29)</f>
        <v/>
      </c>
      <c r="Y726" t="str">
        <f>IF($AT726="","",INDEX(Calc!$I$2:$I$1601,$AT726)&amp;" - "&amp;INDEX(Calc!$D$2:$D$1601,$AT726)&amp;" koli")</f>
        <v/>
      </c>
      <c r="Z726" t="str">
        <f>IF($AS726="","",Config!$B$21)</f>
        <v/>
      </c>
      <c r="AA726" t="str">
        <f>IF($AS726="","",Config!$B$22)</f>
        <v/>
      </c>
      <c r="AB726" t="str">
        <f>IF($AT726="","",INDEX(Calc!$D$2:$D$1601,$AT726))</f>
        <v/>
      </c>
      <c r="AC726" t="str">
        <f>IF($AT726="","",INDEX(Calc!$G$2:$G$1601,$AT726))</f>
        <v/>
      </c>
      <c r="AD726" t="str">
        <f>IF($AS726="","",Config!$B$23)</f>
        <v/>
      </c>
      <c r="AE726" t="str">
        <f>IF($AS726="","",Config!$B$28)</f>
        <v/>
      </c>
      <c r="AF726" t="str">
        <f t="shared" si="68"/>
        <v/>
      </c>
      <c r="AG726" t="str">
        <f t="shared" si="69"/>
        <v/>
      </c>
      <c r="AH726" t="str">
        <f t="shared" si="70"/>
        <v/>
      </c>
      <c r="AI726" t="str">
        <f>IF($AG726="","",SUMIF($AG$2:$AG726,$AG726,$AH$2:$AH726))</f>
        <v/>
      </c>
      <c r="AJ726" t="str">
        <f>IF('TMP Paste'!$F726="","",IF('TMP Paste'!$B726="",$AJ725,'TMP Paste'!$B726))</f>
        <v/>
      </c>
      <c r="AK726" t="str">
        <f>IF('TMP Paste'!$F726="","",N('TMP Paste'!$G726))</f>
        <v/>
      </c>
      <c r="AL726" t="str">
        <f>IF('TMP Paste'!$F726="","",IF('TMP Paste'!$M726="",$AL725,'TMP Paste'!$M726))</f>
        <v/>
      </c>
      <c r="AM726" t="str">
        <f>IF('TMP Paste'!$F726="","",IF('TMP Paste'!$N726="",$AM725,'TMP Paste'!$N726))</f>
        <v/>
      </c>
      <c r="AN726" t="str">
        <f>IF('TMP Paste'!$F726="","",IF('TMP Paste'!$O726="",$AN725,'TMP Paste'!$O726))</f>
        <v/>
      </c>
      <c r="AO726" t="str">
        <f>IF('TMP Paste'!$F726="","",IF('TMP Paste'!$P726="",$AO725,'TMP Paste'!$P726))</f>
        <v/>
      </c>
      <c r="AP726" t="str">
        <f t="shared" si="71"/>
        <v/>
      </c>
      <c r="AQ726" t="str">
        <f>IF($AS726="","",TRIM(IF(COUNTIFS(Calc!$B$2:$B$1601,ROW()-1,Calc!$C$2:$C$1601,"&lt;1")&gt;0,"Ada PO tanpa Koli - cek TMP. ","")&amp;IF(OR($AU726="",$AU726&lt;=0),"Volume kosong/0 - dimensi dikosongkan. ","")&amp;IF(AND($AU726&lt;&gt;"",$AU726&gt;=1000000),"Volume &gt;= 1.000.000 cm3 (di luar aturan) - dimensi dikosongkan. ","")&amp;IF(LEN($R726)&gt;500,"R &gt; 500 karakter.","")))</f>
        <v/>
      </c>
      <c r="AS726" t="str">
        <f>IFERROR(MATCH(ROW()-1,Calc!$J$2:$J$1601,0),"")</f>
        <v/>
      </c>
      <c r="AT726" t="str">
        <f>IFERROR(MATCH(ROW()-1,Calc!$K$2:$K$1601,0),"")</f>
        <v/>
      </c>
      <c r="AU726" t="str">
        <f>IF($AS726="","",IFERROR(INDEX('TMP Paste'!$D$2:$D$1601,$AS726)*1000000/$AB726,""))</f>
        <v/>
      </c>
    </row>
    <row r="727" spans="1:47">
      <c r="A727" t="str">
        <f>IF($AS727="","",INDEX('TMP Paste'!$B$2:$B$1601,$AS727))</f>
        <v/>
      </c>
      <c r="B727" t="str">
        <f>IF($AS727="","",Config!$B$14)</f>
        <v/>
      </c>
      <c r="C727" t="str">
        <f>IF($AS727="","",Config!$B$15)</f>
        <v/>
      </c>
      <c r="D727" t="str">
        <f>IF($AS727="","",INDEX('TMP Paste'!$B$2:$B$1601,$AS727))</f>
        <v/>
      </c>
      <c r="E727" t="str">
        <f>IF($AS727="","",Config!$B$27)</f>
        <v/>
      </c>
      <c r="F727" t="str">
        <f>IF($AS727="","",Config!$B$9)</f>
        <v/>
      </c>
      <c r="G727" t="str">
        <f>IF($AS727="","",Config!$B$10)</f>
        <v/>
      </c>
      <c r="H727" t="str">
        <f>IF($AS727="","",Config!$B$11)</f>
        <v/>
      </c>
      <c r="I727" t="str">
        <f>IF($AS727="","",Config!$B$16)</f>
        <v/>
      </c>
      <c r="J727" t="str">
        <f>IF($AS727="","",INDEX('TMP Paste'!$A$2:$A$1601,$AS727))</f>
        <v/>
      </c>
      <c r="K727" t="str">
        <f>IF($AS727="","",INDEX('TMP Paste'!$L$2:$L$1601,$AS727))</f>
        <v/>
      </c>
      <c r="L727" t="str">
        <f>IF($AS727="","",INDEX('TMP Paste'!$I$2:$I$1601,$AS727))</f>
        <v/>
      </c>
      <c r="M727" t="str">
        <f>IF($AS727="","",Config!$B$16)</f>
        <v/>
      </c>
      <c r="N727" t="str">
        <f t="shared" si="66"/>
        <v/>
      </c>
      <c r="O727" t="str">
        <f>IF($AS727="","",INDEX('TMP Paste'!$K$2:$K$1601,$AS727))</f>
        <v/>
      </c>
      <c r="P727" t="str">
        <f t="shared" si="67"/>
        <v/>
      </c>
      <c r="Q727" t="str">
        <f>IF($AS727="","",INDEX('TMP Paste'!$J$2:$J$1601,$AS727))</f>
        <v/>
      </c>
      <c r="R727" t="str">
        <f>IF($AS727="","",Config!$B$24)</f>
        <v/>
      </c>
      <c r="S727" t="str">
        <f ca="1">IF($AS727="","",TEXT(Config!$B$4,"yyyy-mm-dd"))</f>
        <v/>
      </c>
      <c r="T727" t="str">
        <f>IF($AS727="","",Config!$B$17)</f>
        <v/>
      </c>
      <c r="U727" t="str">
        <f>IF($AS727="","",Config!$B$18)</f>
        <v/>
      </c>
      <c r="V727" t="str">
        <f>IF($AS727="","",Config!$B$19)</f>
        <v/>
      </c>
      <c r="W727" t="str">
        <f>IF($AS727="","",INDEX('TMP Paste'!$C$2:$C$1601,$AS727))</f>
        <v/>
      </c>
      <c r="X727" t="str">
        <f>IF($AS727="","",Config!$B$29)</f>
        <v/>
      </c>
      <c r="Y727" t="str">
        <f>IF($AT727="","",INDEX(Calc!$I$2:$I$1601,$AT727)&amp;" - "&amp;INDEX(Calc!$D$2:$D$1601,$AT727)&amp;" koli")</f>
        <v/>
      </c>
      <c r="Z727" t="str">
        <f>IF($AS727="","",Config!$B$21)</f>
        <v/>
      </c>
      <c r="AA727" t="str">
        <f>IF($AS727="","",Config!$B$22)</f>
        <v/>
      </c>
      <c r="AB727" t="str">
        <f>IF($AT727="","",INDEX(Calc!$D$2:$D$1601,$AT727))</f>
        <v/>
      </c>
      <c r="AC727" t="str">
        <f>IF($AT727="","",INDEX(Calc!$G$2:$G$1601,$AT727))</f>
        <v/>
      </c>
      <c r="AD727" t="str">
        <f>IF($AS727="","",Config!$B$23)</f>
        <v/>
      </c>
      <c r="AE727" t="str">
        <f>IF($AS727="","",Config!$B$28)</f>
        <v/>
      </c>
      <c r="AF727" t="str">
        <f t="shared" si="68"/>
        <v/>
      </c>
      <c r="AG727" t="str">
        <f t="shared" si="69"/>
        <v/>
      </c>
      <c r="AH727" t="str">
        <f t="shared" si="70"/>
        <v/>
      </c>
      <c r="AI727" t="str">
        <f>IF($AG727="","",SUMIF($AG$2:$AG727,$AG727,$AH$2:$AH727))</f>
        <v/>
      </c>
      <c r="AJ727" t="str">
        <f>IF('TMP Paste'!$F727="","",IF('TMP Paste'!$B727="",$AJ726,'TMP Paste'!$B727))</f>
        <v/>
      </c>
      <c r="AK727" t="str">
        <f>IF('TMP Paste'!$F727="","",N('TMP Paste'!$G727))</f>
        <v/>
      </c>
      <c r="AL727" t="str">
        <f>IF('TMP Paste'!$F727="","",IF('TMP Paste'!$M727="",$AL726,'TMP Paste'!$M727))</f>
        <v/>
      </c>
      <c r="AM727" t="str">
        <f>IF('TMP Paste'!$F727="","",IF('TMP Paste'!$N727="",$AM726,'TMP Paste'!$N727))</f>
        <v/>
      </c>
      <c r="AN727" t="str">
        <f>IF('TMP Paste'!$F727="","",IF('TMP Paste'!$O727="",$AN726,'TMP Paste'!$O727))</f>
        <v/>
      </c>
      <c r="AO727" t="str">
        <f>IF('TMP Paste'!$F727="","",IF('TMP Paste'!$P727="",$AO726,'TMP Paste'!$P727))</f>
        <v/>
      </c>
      <c r="AP727" t="str">
        <f t="shared" si="71"/>
        <v/>
      </c>
      <c r="AQ727" t="str">
        <f>IF($AS727="","",TRIM(IF(COUNTIFS(Calc!$B$2:$B$1601,ROW()-1,Calc!$C$2:$C$1601,"&lt;1")&gt;0,"Ada PO tanpa Koli - cek TMP. ","")&amp;IF(OR($AU727="",$AU727&lt;=0),"Volume kosong/0 - dimensi dikosongkan. ","")&amp;IF(AND($AU727&lt;&gt;"",$AU727&gt;=1000000),"Volume &gt;= 1.000.000 cm3 (di luar aturan) - dimensi dikosongkan. ","")&amp;IF(LEN($R727)&gt;500,"R &gt; 500 karakter.","")))</f>
        <v/>
      </c>
      <c r="AS727" t="str">
        <f>IFERROR(MATCH(ROW()-1,Calc!$J$2:$J$1601,0),"")</f>
        <v/>
      </c>
      <c r="AT727" t="str">
        <f>IFERROR(MATCH(ROW()-1,Calc!$K$2:$K$1601,0),"")</f>
        <v/>
      </c>
      <c r="AU727" t="str">
        <f>IF($AS727="","",IFERROR(INDEX('TMP Paste'!$D$2:$D$1601,$AS727)*1000000/$AB727,""))</f>
        <v/>
      </c>
    </row>
    <row r="728" spans="1:47">
      <c r="A728" t="str">
        <f>IF($AS728="","",INDEX('TMP Paste'!$B$2:$B$1601,$AS728))</f>
        <v/>
      </c>
      <c r="B728" t="str">
        <f>IF($AS728="","",Config!$B$14)</f>
        <v/>
      </c>
      <c r="C728" t="str">
        <f>IF($AS728="","",Config!$B$15)</f>
        <v/>
      </c>
      <c r="D728" t="str">
        <f>IF($AS728="","",INDEX('TMP Paste'!$B$2:$B$1601,$AS728))</f>
        <v/>
      </c>
      <c r="E728" t="str">
        <f>IF($AS728="","",Config!$B$27)</f>
        <v/>
      </c>
      <c r="F728" t="str">
        <f>IF($AS728="","",Config!$B$9)</f>
        <v/>
      </c>
      <c r="G728" t="str">
        <f>IF($AS728="","",Config!$B$10)</f>
        <v/>
      </c>
      <c r="H728" t="str">
        <f>IF($AS728="","",Config!$B$11)</f>
        <v/>
      </c>
      <c r="I728" t="str">
        <f>IF($AS728="","",Config!$B$16)</f>
        <v/>
      </c>
      <c r="J728" t="str">
        <f>IF($AS728="","",INDEX('TMP Paste'!$A$2:$A$1601,$AS728))</f>
        <v/>
      </c>
      <c r="K728" t="str">
        <f>IF($AS728="","",INDEX('TMP Paste'!$L$2:$L$1601,$AS728))</f>
        <v/>
      </c>
      <c r="L728" t="str">
        <f>IF($AS728="","",INDEX('TMP Paste'!$I$2:$I$1601,$AS728))</f>
        <v/>
      </c>
      <c r="M728" t="str">
        <f>IF($AS728="","",Config!$B$16)</f>
        <v/>
      </c>
      <c r="N728" t="str">
        <f t="shared" si="66"/>
        <v/>
      </c>
      <c r="O728" t="str">
        <f>IF($AS728="","",INDEX('TMP Paste'!$K$2:$K$1601,$AS728))</f>
        <v/>
      </c>
      <c r="P728" t="str">
        <f t="shared" si="67"/>
        <v/>
      </c>
      <c r="Q728" t="str">
        <f>IF($AS728="","",INDEX('TMP Paste'!$J$2:$J$1601,$AS728))</f>
        <v/>
      </c>
      <c r="R728" t="str">
        <f>IF($AS728="","",Config!$B$24)</f>
        <v/>
      </c>
      <c r="S728" t="str">
        <f ca="1">IF($AS728="","",TEXT(Config!$B$4,"yyyy-mm-dd"))</f>
        <v/>
      </c>
      <c r="T728" t="str">
        <f>IF($AS728="","",Config!$B$17)</f>
        <v/>
      </c>
      <c r="U728" t="str">
        <f>IF($AS728="","",Config!$B$18)</f>
        <v/>
      </c>
      <c r="V728" t="str">
        <f>IF($AS728="","",Config!$B$19)</f>
        <v/>
      </c>
      <c r="W728" t="str">
        <f>IF($AS728="","",INDEX('TMP Paste'!$C$2:$C$1601,$AS728))</f>
        <v/>
      </c>
      <c r="X728" t="str">
        <f>IF($AS728="","",Config!$B$29)</f>
        <v/>
      </c>
      <c r="Y728" t="str">
        <f>IF($AT728="","",INDEX(Calc!$I$2:$I$1601,$AT728)&amp;" - "&amp;INDEX(Calc!$D$2:$D$1601,$AT728)&amp;" koli")</f>
        <v/>
      </c>
      <c r="Z728" t="str">
        <f>IF($AS728="","",Config!$B$21)</f>
        <v/>
      </c>
      <c r="AA728" t="str">
        <f>IF($AS728="","",Config!$B$22)</f>
        <v/>
      </c>
      <c r="AB728" t="str">
        <f>IF($AT728="","",INDEX(Calc!$D$2:$D$1601,$AT728))</f>
        <v/>
      </c>
      <c r="AC728" t="str">
        <f>IF($AT728="","",INDEX(Calc!$G$2:$G$1601,$AT728))</f>
        <v/>
      </c>
      <c r="AD728" t="str">
        <f>IF($AS728="","",Config!$B$23)</f>
        <v/>
      </c>
      <c r="AE728" t="str">
        <f>IF($AS728="","",Config!$B$28)</f>
        <v/>
      </c>
      <c r="AF728" t="str">
        <f t="shared" si="68"/>
        <v/>
      </c>
      <c r="AG728" t="str">
        <f t="shared" si="69"/>
        <v/>
      </c>
      <c r="AH728" t="str">
        <f t="shared" si="70"/>
        <v/>
      </c>
      <c r="AI728" t="str">
        <f>IF($AG728="","",SUMIF($AG$2:$AG728,$AG728,$AH$2:$AH728))</f>
        <v/>
      </c>
      <c r="AJ728" t="str">
        <f>IF('TMP Paste'!$F728="","",IF('TMP Paste'!$B728="",$AJ727,'TMP Paste'!$B728))</f>
        <v/>
      </c>
      <c r="AK728" t="str">
        <f>IF('TMP Paste'!$F728="","",N('TMP Paste'!$G728))</f>
        <v/>
      </c>
      <c r="AL728" t="str">
        <f>IF('TMP Paste'!$F728="","",IF('TMP Paste'!$M728="",$AL727,'TMP Paste'!$M728))</f>
        <v/>
      </c>
      <c r="AM728" t="str">
        <f>IF('TMP Paste'!$F728="","",IF('TMP Paste'!$N728="",$AM727,'TMP Paste'!$N728))</f>
        <v/>
      </c>
      <c r="AN728" t="str">
        <f>IF('TMP Paste'!$F728="","",IF('TMP Paste'!$O728="",$AN727,'TMP Paste'!$O728))</f>
        <v/>
      </c>
      <c r="AO728" t="str">
        <f>IF('TMP Paste'!$F728="","",IF('TMP Paste'!$P728="",$AO727,'TMP Paste'!$P728))</f>
        <v/>
      </c>
      <c r="AP728" t="str">
        <f t="shared" si="71"/>
        <v/>
      </c>
      <c r="AQ728" t="str">
        <f>IF($AS728="","",TRIM(IF(COUNTIFS(Calc!$B$2:$B$1601,ROW()-1,Calc!$C$2:$C$1601,"&lt;1")&gt;0,"Ada PO tanpa Koli - cek TMP. ","")&amp;IF(OR($AU728="",$AU728&lt;=0),"Volume kosong/0 - dimensi dikosongkan. ","")&amp;IF(AND($AU728&lt;&gt;"",$AU728&gt;=1000000),"Volume &gt;= 1.000.000 cm3 (di luar aturan) - dimensi dikosongkan. ","")&amp;IF(LEN($R728)&gt;500,"R &gt; 500 karakter.","")))</f>
        <v/>
      </c>
      <c r="AS728" t="str">
        <f>IFERROR(MATCH(ROW()-1,Calc!$J$2:$J$1601,0),"")</f>
        <v/>
      </c>
      <c r="AT728" t="str">
        <f>IFERROR(MATCH(ROW()-1,Calc!$K$2:$K$1601,0),"")</f>
        <v/>
      </c>
      <c r="AU728" t="str">
        <f>IF($AS728="","",IFERROR(INDEX('TMP Paste'!$D$2:$D$1601,$AS728)*1000000/$AB728,""))</f>
        <v/>
      </c>
    </row>
    <row r="729" spans="1:47">
      <c r="A729" t="str">
        <f>IF($AS729="","",INDEX('TMP Paste'!$B$2:$B$1601,$AS729))</f>
        <v/>
      </c>
      <c r="B729" t="str">
        <f>IF($AS729="","",Config!$B$14)</f>
        <v/>
      </c>
      <c r="C729" t="str">
        <f>IF($AS729="","",Config!$B$15)</f>
        <v/>
      </c>
      <c r="D729" t="str">
        <f>IF($AS729="","",INDEX('TMP Paste'!$B$2:$B$1601,$AS729))</f>
        <v/>
      </c>
      <c r="E729" t="str">
        <f>IF($AS729="","",Config!$B$27)</f>
        <v/>
      </c>
      <c r="F729" t="str">
        <f>IF($AS729="","",Config!$B$9)</f>
        <v/>
      </c>
      <c r="G729" t="str">
        <f>IF($AS729="","",Config!$B$10)</f>
        <v/>
      </c>
      <c r="H729" t="str">
        <f>IF($AS729="","",Config!$B$11)</f>
        <v/>
      </c>
      <c r="I729" t="str">
        <f>IF($AS729="","",Config!$B$16)</f>
        <v/>
      </c>
      <c r="J729" t="str">
        <f>IF($AS729="","",INDEX('TMP Paste'!$A$2:$A$1601,$AS729))</f>
        <v/>
      </c>
      <c r="K729" t="str">
        <f>IF($AS729="","",INDEX('TMP Paste'!$L$2:$L$1601,$AS729))</f>
        <v/>
      </c>
      <c r="L729" t="str">
        <f>IF($AS729="","",INDEX('TMP Paste'!$I$2:$I$1601,$AS729))</f>
        <v/>
      </c>
      <c r="M729" t="str">
        <f>IF($AS729="","",Config!$B$16)</f>
        <v/>
      </c>
      <c r="N729" t="str">
        <f t="shared" si="66"/>
        <v/>
      </c>
      <c r="O729" t="str">
        <f>IF($AS729="","",INDEX('TMP Paste'!$K$2:$K$1601,$AS729))</f>
        <v/>
      </c>
      <c r="P729" t="str">
        <f t="shared" si="67"/>
        <v/>
      </c>
      <c r="Q729" t="str">
        <f>IF($AS729="","",INDEX('TMP Paste'!$J$2:$J$1601,$AS729))</f>
        <v/>
      </c>
      <c r="R729" t="str">
        <f>IF($AS729="","",Config!$B$24)</f>
        <v/>
      </c>
      <c r="S729" t="str">
        <f ca="1">IF($AS729="","",TEXT(Config!$B$4,"yyyy-mm-dd"))</f>
        <v/>
      </c>
      <c r="T729" t="str">
        <f>IF($AS729="","",Config!$B$17)</f>
        <v/>
      </c>
      <c r="U729" t="str">
        <f>IF($AS729="","",Config!$B$18)</f>
        <v/>
      </c>
      <c r="V729" t="str">
        <f>IF($AS729="","",Config!$B$19)</f>
        <v/>
      </c>
      <c r="W729" t="str">
        <f>IF($AS729="","",INDEX('TMP Paste'!$C$2:$C$1601,$AS729))</f>
        <v/>
      </c>
      <c r="X729" t="str">
        <f>IF($AS729="","",Config!$B$29)</f>
        <v/>
      </c>
      <c r="Y729" t="str">
        <f>IF($AT729="","",INDEX(Calc!$I$2:$I$1601,$AT729)&amp;" - "&amp;INDEX(Calc!$D$2:$D$1601,$AT729)&amp;" koli")</f>
        <v/>
      </c>
      <c r="Z729" t="str">
        <f>IF($AS729="","",Config!$B$21)</f>
        <v/>
      </c>
      <c r="AA729" t="str">
        <f>IF($AS729="","",Config!$B$22)</f>
        <v/>
      </c>
      <c r="AB729" t="str">
        <f>IF($AT729="","",INDEX(Calc!$D$2:$D$1601,$AT729))</f>
        <v/>
      </c>
      <c r="AC729" t="str">
        <f>IF($AT729="","",INDEX(Calc!$G$2:$G$1601,$AT729))</f>
        <v/>
      </c>
      <c r="AD729" t="str">
        <f>IF($AS729="","",Config!$B$23)</f>
        <v/>
      </c>
      <c r="AE729" t="str">
        <f>IF($AS729="","",Config!$B$28)</f>
        <v/>
      </c>
      <c r="AF729" t="str">
        <f t="shared" si="68"/>
        <v/>
      </c>
      <c r="AG729" t="str">
        <f t="shared" si="69"/>
        <v/>
      </c>
      <c r="AH729" t="str">
        <f t="shared" si="70"/>
        <v/>
      </c>
      <c r="AI729" t="str">
        <f>IF($AG729="","",SUMIF($AG$2:$AG729,$AG729,$AH$2:$AH729))</f>
        <v/>
      </c>
      <c r="AJ729" t="str">
        <f>IF('TMP Paste'!$F729="","",IF('TMP Paste'!$B729="",$AJ728,'TMP Paste'!$B729))</f>
        <v/>
      </c>
      <c r="AK729" t="str">
        <f>IF('TMP Paste'!$F729="","",N('TMP Paste'!$G729))</f>
        <v/>
      </c>
      <c r="AL729" t="str">
        <f>IF('TMP Paste'!$F729="","",IF('TMP Paste'!$M729="",$AL728,'TMP Paste'!$M729))</f>
        <v/>
      </c>
      <c r="AM729" t="str">
        <f>IF('TMP Paste'!$F729="","",IF('TMP Paste'!$N729="",$AM728,'TMP Paste'!$N729))</f>
        <v/>
      </c>
      <c r="AN729" t="str">
        <f>IF('TMP Paste'!$F729="","",IF('TMP Paste'!$O729="",$AN728,'TMP Paste'!$O729))</f>
        <v/>
      </c>
      <c r="AO729" t="str">
        <f>IF('TMP Paste'!$F729="","",IF('TMP Paste'!$P729="",$AO728,'TMP Paste'!$P729))</f>
        <v/>
      </c>
      <c r="AP729" t="str">
        <f t="shared" si="71"/>
        <v/>
      </c>
      <c r="AQ729" t="str">
        <f>IF($AS729="","",TRIM(IF(COUNTIFS(Calc!$B$2:$B$1601,ROW()-1,Calc!$C$2:$C$1601,"&lt;1")&gt;0,"Ada PO tanpa Koli - cek TMP. ","")&amp;IF(OR($AU729="",$AU729&lt;=0),"Volume kosong/0 - dimensi dikosongkan. ","")&amp;IF(AND($AU729&lt;&gt;"",$AU729&gt;=1000000),"Volume &gt;= 1.000.000 cm3 (di luar aturan) - dimensi dikosongkan. ","")&amp;IF(LEN($R729)&gt;500,"R &gt; 500 karakter.","")))</f>
        <v/>
      </c>
      <c r="AS729" t="str">
        <f>IFERROR(MATCH(ROW()-1,Calc!$J$2:$J$1601,0),"")</f>
        <v/>
      </c>
      <c r="AT729" t="str">
        <f>IFERROR(MATCH(ROW()-1,Calc!$K$2:$K$1601,0),"")</f>
        <v/>
      </c>
      <c r="AU729" t="str">
        <f>IF($AS729="","",IFERROR(INDEX('TMP Paste'!$D$2:$D$1601,$AS729)*1000000/$AB729,""))</f>
        <v/>
      </c>
    </row>
    <row r="730" spans="1:47">
      <c r="A730" t="str">
        <f>IF($AS730="","",INDEX('TMP Paste'!$B$2:$B$1601,$AS730))</f>
        <v/>
      </c>
      <c r="B730" t="str">
        <f>IF($AS730="","",Config!$B$14)</f>
        <v/>
      </c>
      <c r="C730" t="str">
        <f>IF($AS730="","",Config!$B$15)</f>
        <v/>
      </c>
      <c r="D730" t="str">
        <f>IF($AS730="","",INDEX('TMP Paste'!$B$2:$B$1601,$AS730))</f>
        <v/>
      </c>
      <c r="E730" t="str">
        <f>IF($AS730="","",Config!$B$27)</f>
        <v/>
      </c>
      <c r="F730" t="str">
        <f>IF($AS730="","",Config!$B$9)</f>
        <v/>
      </c>
      <c r="G730" t="str">
        <f>IF($AS730="","",Config!$B$10)</f>
        <v/>
      </c>
      <c r="H730" t="str">
        <f>IF($AS730="","",Config!$B$11)</f>
        <v/>
      </c>
      <c r="I730" t="str">
        <f>IF($AS730="","",Config!$B$16)</f>
        <v/>
      </c>
      <c r="J730" t="str">
        <f>IF($AS730="","",INDEX('TMP Paste'!$A$2:$A$1601,$AS730))</f>
        <v/>
      </c>
      <c r="K730" t="str">
        <f>IF($AS730="","",INDEX('TMP Paste'!$L$2:$L$1601,$AS730))</f>
        <v/>
      </c>
      <c r="L730" t="str">
        <f>IF($AS730="","",INDEX('TMP Paste'!$I$2:$I$1601,$AS730))</f>
        <v/>
      </c>
      <c r="M730" t="str">
        <f>IF($AS730="","",Config!$B$16)</f>
        <v/>
      </c>
      <c r="N730" t="str">
        <f t="shared" si="66"/>
        <v/>
      </c>
      <c r="O730" t="str">
        <f>IF($AS730="","",INDEX('TMP Paste'!$K$2:$K$1601,$AS730))</f>
        <v/>
      </c>
      <c r="P730" t="str">
        <f t="shared" si="67"/>
        <v/>
      </c>
      <c r="Q730" t="str">
        <f>IF($AS730="","",INDEX('TMP Paste'!$J$2:$J$1601,$AS730))</f>
        <v/>
      </c>
      <c r="R730" t="str">
        <f>IF($AS730="","",Config!$B$24)</f>
        <v/>
      </c>
      <c r="S730" t="str">
        <f ca="1">IF($AS730="","",TEXT(Config!$B$4,"yyyy-mm-dd"))</f>
        <v/>
      </c>
      <c r="T730" t="str">
        <f>IF($AS730="","",Config!$B$17)</f>
        <v/>
      </c>
      <c r="U730" t="str">
        <f>IF($AS730="","",Config!$B$18)</f>
        <v/>
      </c>
      <c r="V730" t="str">
        <f>IF($AS730="","",Config!$B$19)</f>
        <v/>
      </c>
      <c r="W730" t="str">
        <f>IF($AS730="","",INDEX('TMP Paste'!$C$2:$C$1601,$AS730))</f>
        <v/>
      </c>
      <c r="X730" t="str">
        <f>IF($AS730="","",Config!$B$29)</f>
        <v/>
      </c>
      <c r="Y730" t="str">
        <f>IF($AT730="","",INDEX(Calc!$I$2:$I$1601,$AT730)&amp;" - "&amp;INDEX(Calc!$D$2:$D$1601,$AT730)&amp;" koli")</f>
        <v/>
      </c>
      <c r="Z730" t="str">
        <f>IF($AS730="","",Config!$B$21)</f>
        <v/>
      </c>
      <c r="AA730" t="str">
        <f>IF($AS730="","",Config!$B$22)</f>
        <v/>
      </c>
      <c r="AB730" t="str">
        <f>IF($AT730="","",INDEX(Calc!$D$2:$D$1601,$AT730))</f>
        <v/>
      </c>
      <c r="AC730" t="str">
        <f>IF($AT730="","",INDEX(Calc!$G$2:$G$1601,$AT730))</f>
        <v/>
      </c>
      <c r="AD730" t="str">
        <f>IF($AS730="","",Config!$B$23)</f>
        <v/>
      </c>
      <c r="AE730" t="str">
        <f>IF($AS730="","",Config!$B$28)</f>
        <v/>
      </c>
      <c r="AF730" t="str">
        <f t="shared" si="68"/>
        <v/>
      </c>
      <c r="AG730" t="str">
        <f t="shared" si="69"/>
        <v/>
      </c>
      <c r="AH730" t="str">
        <f t="shared" si="70"/>
        <v/>
      </c>
      <c r="AI730" t="str">
        <f>IF($AG730="","",SUMIF($AG$2:$AG730,$AG730,$AH$2:$AH730))</f>
        <v/>
      </c>
      <c r="AJ730" t="str">
        <f>IF('TMP Paste'!$F730="","",IF('TMP Paste'!$B730="",$AJ729,'TMP Paste'!$B730))</f>
        <v/>
      </c>
      <c r="AK730" t="str">
        <f>IF('TMP Paste'!$F730="","",N('TMP Paste'!$G730))</f>
        <v/>
      </c>
      <c r="AL730" t="str">
        <f>IF('TMP Paste'!$F730="","",IF('TMP Paste'!$M730="",$AL729,'TMP Paste'!$M730))</f>
        <v/>
      </c>
      <c r="AM730" t="str">
        <f>IF('TMP Paste'!$F730="","",IF('TMP Paste'!$N730="",$AM729,'TMP Paste'!$N730))</f>
        <v/>
      </c>
      <c r="AN730" t="str">
        <f>IF('TMP Paste'!$F730="","",IF('TMP Paste'!$O730="",$AN729,'TMP Paste'!$O730))</f>
        <v/>
      </c>
      <c r="AO730" t="str">
        <f>IF('TMP Paste'!$F730="","",IF('TMP Paste'!$P730="",$AO729,'TMP Paste'!$P730))</f>
        <v/>
      </c>
      <c r="AP730" t="str">
        <f t="shared" si="71"/>
        <v/>
      </c>
      <c r="AQ730" t="str">
        <f>IF($AS730="","",TRIM(IF(COUNTIFS(Calc!$B$2:$B$1601,ROW()-1,Calc!$C$2:$C$1601,"&lt;1")&gt;0,"Ada PO tanpa Koli - cek TMP. ","")&amp;IF(OR($AU730="",$AU730&lt;=0),"Volume kosong/0 - dimensi dikosongkan. ","")&amp;IF(AND($AU730&lt;&gt;"",$AU730&gt;=1000000),"Volume &gt;= 1.000.000 cm3 (di luar aturan) - dimensi dikosongkan. ","")&amp;IF(LEN($R730)&gt;500,"R &gt; 500 karakter.","")))</f>
        <v/>
      </c>
      <c r="AS730" t="str">
        <f>IFERROR(MATCH(ROW()-1,Calc!$J$2:$J$1601,0),"")</f>
        <v/>
      </c>
      <c r="AT730" t="str">
        <f>IFERROR(MATCH(ROW()-1,Calc!$K$2:$K$1601,0),"")</f>
        <v/>
      </c>
      <c r="AU730" t="str">
        <f>IF($AS730="","",IFERROR(INDEX('TMP Paste'!$D$2:$D$1601,$AS730)*1000000/$AB730,""))</f>
        <v/>
      </c>
    </row>
    <row r="731" spans="1:47">
      <c r="A731" t="str">
        <f>IF($AS731="","",INDEX('TMP Paste'!$B$2:$B$1601,$AS731))</f>
        <v/>
      </c>
      <c r="B731" t="str">
        <f>IF($AS731="","",Config!$B$14)</f>
        <v/>
      </c>
      <c r="C731" t="str">
        <f>IF($AS731="","",Config!$B$15)</f>
        <v/>
      </c>
      <c r="D731" t="str">
        <f>IF($AS731="","",INDEX('TMP Paste'!$B$2:$B$1601,$AS731))</f>
        <v/>
      </c>
      <c r="E731" t="str">
        <f>IF($AS731="","",Config!$B$27)</f>
        <v/>
      </c>
      <c r="F731" t="str">
        <f>IF($AS731="","",Config!$B$9)</f>
        <v/>
      </c>
      <c r="G731" t="str">
        <f>IF($AS731="","",Config!$B$10)</f>
        <v/>
      </c>
      <c r="H731" t="str">
        <f>IF($AS731="","",Config!$B$11)</f>
        <v/>
      </c>
      <c r="I731" t="str">
        <f>IF($AS731="","",Config!$B$16)</f>
        <v/>
      </c>
      <c r="J731" t="str">
        <f>IF($AS731="","",INDEX('TMP Paste'!$A$2:$A$1601,$AS731))</f>
        <v/>
      </c>
      <c r="K731" t="str">
        <f>IF($AS731="","",INDEX('TMP Paste'!$L$2:$L$1601,$AS731))</f>
        <v/>
      </c>
      <c r="L731" t="str">
        <f>IF($AS731="","",INDEX('TMP Paste'!$I$2:$I$1601,$AS731))</f>
        <v/>
      </c>
      <c r="M731" t="str">
        <f>IF($AS731="","",Config!$B$16)</f>
        <v/>
      </c>
      <c r="N731" t="str">
        <f t="shared" si="66"/>
        <v/>
      </c>
      <c r="O731" t="str">
        <f>IF($AS731="","",INDEX('TMP Paste'!$K$2:$K$1601,$AS731))</f>
        <v/>
      </c>
      <c r="P731" t="str">
        <f t="shared" si="67"/>
        <v/>
      </c>
      <c r="Q731" t="str">
        <f>IF($AS731="","",INDEX('TMP Paste'!$J$2:$J$1601,$AS731))</f>
        <v/>
      </c>
      <c r="R731" t="str">
        <f>IF($AS731="","",Config!$B$24)</f>
        <v/>
      </c>
      <c r="S731" t="str">
        <f ca="1">IF($AS731="","",TEXT(Config!$B$4,"yyyy-mm-dd"))</f>
        <v/>
      </c>
      <c r="T731" t="str">
        <f>IF($AS731="","",Config!$B$17)</f>
        <v/>
      </c>
      <c r="U731" t="str">
        <f>IF($AS731="","",Config!$B$18)</f>
        <v/>
      </c>
      <c r="V731" t="str">
        <f>IF($AS731="","",Config!$B$19)</f>
        <v/>
      </c>
      <c r="W731" t="str">
        <f>IF($AS731="","",INDEX('TMP Paste'!$C$2:$C$1601,$AS731))</f>
        <v/>
      </c>
      <c r="X731" t="str">
        <f>IF($AS731="","",Config!$B$29)</f>
        <v/>
      </c>
      <c r="Y731" t="str">
        <f>IF($AT731="","",INDEX(Calc!$I$2:$I$1601,$AT731)&amp;" - "&amp;INDEX(Calc!$D$2:$D$1601,$AT731)&amp;" koli")</f>
        <v/>
      </c>
      <c r="Z731" t="str">
        <f>IF($AS731="","",Config!$B$21)</f>
        <v/>
      </c>
      <c r="AA731" t="str">
        <f>IF($AS731="","",Config!$B$22)</f>
        <v/>
      </c>
      <c r="AB731" t="str">
        <f>IF($AT731="","",INDEX(Calc!$D$2:$D$1601,$AT731))</f>
        <v/>
      </c>
      <c r="AC731" t="str">
        <f>IF($AT731="","",INDEX(Calc!$G$2:$G$1601,$AT731))</f>
        <v/>
      </c>
      <c r="AD731" t="str">
        <f>IF($AS731="","",Config!$B$23)</f>
        <v/>
      </c>
      <c r="AE731" t="str">
        <f>IF($AS731="","",Config!$B$28)</f>
        <v/>
      </c>
      <c r="AF731" t="str">
        <f t="shared" si="68"/>
        <v/>
      </c>
      <c r="AG731" t="str">
        <f t="shared" si="69"/>
        <v/>
      </c>
      <c r="AH731" t="str">
        <f t="shared" si="70"/>
        <v/>
      </c>
      <c r="AI731" t="str">
        <f>IF($AG731="","",SUMIF($AG$2:$AG731,$AG731,$AH$2:$AH731))</f>
        <v/>
      </c>
      <c r="AJ731" t="str">
        <f>IF('TMP Paste'!$F731="","",IF('TMP Paste'!$B731="",$AJ730,'TMP Paste'!$B731))</f>
        <v/>
      </c>
      <c r="AK731" t="str">
        <f>IF('TMP Paste'!$F731="","",N('TMP Paste'!$G731))</f>
        <v/>
      </c>
      <c r="AL731" t="str">
        <f>IF('TMP Paste'!$F731="","",IF('TMP Paste'!$M731="",$AL730,'TMP Paste'!$M731))</f>
        <v/>
      </c>
      <c r="AM731" t="str">
        <f>IF('TMP Paste'!$F731="","",IF('TMP Paste'!$N731="",$AM730,'TMP Paste'!$N731))</f>
        <v/>
      </c>
      <c r="AN731" t="str">
        <f>IF('TMP Paste'!$F731="","",IF('TMP Paste'!$O731="",$AN730,'TMP Paste'!$O731))</f>
        <v/>
      </c>
      <c r="AO731" t="str">
        <f>IF('TMP Paste'!$F731="","",IF('TMP Paste'!$P731="",$AO730,'TMP Paste'!$P731))</f>
        <v/>
      </c>
      <c r="AP731" t="str">
        <f t="shared" si="71"/>
        <v/>
      </c>
      <c r="AQ731" t="str">
        <f>IF($AS731="","",TRIM(IF(COUNTIFS(Calc!$B$2:$B$1601,ROW()-1,Calc!$C$2:$C$1601,"&lt;1")&gt;0,"Ada PO tanpa Koli - cek TMP. ","")&amp;IF(OR($AU731="",$AU731&lt;=0),"Volume kosong/0 - dimensi dikosongkan. ","")&amp;IF(AND($AU731&lt;&gt;"",$AU731&gt;=1000000),"Volume &gt;= 1.000.000 cm3 (di luar aturan) - dimensi dikosongkan. ","")&amp;IF(LEN($R731)&gt;500,"R &gt; 500 karakter.","")))</f>
        <v/>
      </c>
      <c r="AS731" t="str">
        <f>IFERROR(MATCH(ROW()-1,Calc!$J$2:$J$1601,0),"")</f>
        <v/>
      </c>
      <c r="AT731" t="str">
        <f>IFERROR(MATCH(ROW()-1,Calc!$K$2:$K$1601,0),"")</f>
        <v/>
      </c>
      <c r="AU731" t="str">
        <f>IF($AS731="","",IFERROR(INDEX('TMP Paste'!$D$2:$D$1601,$AS731)*1000000/$AB731,""))</f>
        <v/>
      </c>
    </row>
    <row r="732" spans="1:47">
      <c r="A732" t="str">
        <f>IF($AS732="","",INDEX('TMP Paste'!$B$2:$B$1601,$AS732))</f>
        <v/>
      </c>
      <c r="B732" t="str">
        <f>IF($AS732="","",Config!$B$14)</f>
        <v/>
      </c>
      <c r="C732" t="str">
        <f>IF($AS732="","",Config!$B$15)</f>
        <v/>
      </c>
      <c r="D732" t="str">
        <f>IF($AS732="","",INDEX('TMP Paste'!$B$2:$B$1601,$AS732))</f>
        <v/>
      </c>
      <c r="E732" t="str">
        <f>IF($AS732="","",Config!$B$27)</f>
        <v/>
      </c>
      <c r="F732" t="str">
        <f>IF($AS732="","",Config!$B$9)</f>
        <v/>
      </c>
      <c r="G732" t="str">
        <f>IF($AS732="","",Config!$B$10)</f>
        <v/>
      </c>
      <c r="H732" t="str">
        <f>IF($AS732="","",Config!$B$11)</f>
        <v/>
      </c>
      <c r="I732" t="str">
        <f>IF($AS732="","",Config!$B$16)</f>
        <v/>
      </c>
      <c r="J732" t="str">
        <f>IF($AS732="","",INDEX('TMP Paste'!$A$2:$A$1601,$AS732))</f>
        <v/>
      </c>
      <c r="K732" t="str">
        <f>IF($AS732="","",INDEX('TMP Paste'!$L$2:$L$1601,$AS732))</f>
        <v/>
      </c>
      <c r="L732" t="str">
        <f>IF($AS732="","",INDEX('TMP Paste'!$I$2:$I$1601,$AS732))</f>
        <v/>
      </c>
      <c r="M732" t="str">
        <f>IF($AS732="","",Config!$B$16)</f>
        <v/>
      </c>
      <c r="N732" t="str">
        <f t="shared" si="66"/>
        <v/>
      </c>
      <c r="O732" t="str">
        <f>IF($AS732="","",INDEX('TMP Paste'!$K$2:$K$1601,$AS732))</f>
        <v/>
      </c>
      <c r="P732" t="str">
        <f t="shared" si="67"/>
        <v/>
      </c>
      <c r="Q732" t="str">
        <f>IF($AS732="","",INDEX('TMP Paste'!$J$2:$J$1601,$AS732))</f>
        <v/>
      </c>
      <c r="R732" t="str">
        <f>IF($AS732="","",Config!$B$24)</f>
        <v/>
      </c>
      <c r="S732" t="str">
        <f ca="1">IF($AS732="","",TEXT(Config!$B$4,"yyyy-mm-dd"))</f>
        <v/>
      </c>
      <c r="T732" t="str">
        <f>IF($AS732="","",Config!$B$17)</f>
        <v/>
      </c>
      <c r="U732" t="str">
        <f>IF($AS732="","",Config!$B$18)</f>
        <v/>
      </c>
      <c r="V732" t="str">
        <f>IF($AS732="","",Config!$B$19)</f>
        <v/>
      </c>
      <c r="W732" t="str">
        <f>IF($AS732="","",INDEX('TMP Paste'!$C$2:$C$1601,$AS732))</f>
        <v/>
      </c>
      <c r="X732" t="str">
        <f>IF($AS732="","",Config!$B$29)</f>
        <v/>
      </c>
      <c r="Y732" t="str">
        <f>IF($AT732="","",INDEX(Calc!$I$2:$I$1601,$AT732)&amp;" - "&amp;INDEX(Calc!$D$2:$D$1601,$AT732)&amp;" koli")</f>
        <v/>
      </c>
      <c r="Z732" t="str">
        <f>IF($AS732="","",Config!$B$21)</f>
        <v/>
      </c>
      <c r="AA732" t="str">
        <f>IF($AS732="","",Config!$B$22)</f>
        <v/>
      </c>
      <c r="AB732" t="str">
        <f>IF($AT732="","",INDEX(Calc!$D$2:$D$1601,$AT732))</f>
        <v/>
      </c>
      <c r="AC732" t="str">
        <f>IF($AT732="","",INDEX(Calc!$G$2:$G$1601,$AT732))</f>
        <v/>
      </c>
      <c r="AD732" t="str">
        <f>IF($AS732="","",Config!$B$23)</f>
        <v/>
      </c>
      <c r="AE732" t="str">
        <f>IF($AS732="","",Config!$B$28)</f>
        <v/>
      </c>
      <c r="AF732" t="str">
        <f t="shared" si="68"/>
        <v/>
      </c>
      <c r="AG732" t="str">
        <f t="shared" si="69"/>
        <v/>
      </c>
      <c r="AH732" t="str">
        <f t="shared" si="70"/>
        <v/>
      </c>
      <c r="AI732" t="str">
        <f>IF($AG732="","",SUMIF($AG$2:$AG732,$AG732,$AH$2:$AH732))</f>
        <v/>
      </c>
      <c r="AJ732" t="str">
        <f>IF('TMP Paste'!$F732="","",IF('TMP Paste'!$B732="",$AJ731,'TMP Paste'!$B732))</f>
        <v/>
      </c>
      <c r="AK732" t="str">
        <f>IF('TMP Paste'!$F732="","",N('TMP Paste'!$G732))</f>
        <v/>
      </c>
      <c r="AL732" t="str">
        <f>IF('TMP Paste'!$F732="","",IF('TMP Paste'!$M732="",$AL731,'TMP Paste'!$M732))</f>
        <v/>
      </c>
      <c r="AM732" t="str">
        <f>IF('TMP Paste'!$F732="","",IF('TMP Paste'!$N732="",$AM731,'TMP Paste'!$N732))</f>
        <v/>
      </c>
      <c r="AN732" t="str">
        <f>IF('TMP Paste'!$F732="","",IF('TMP Paste'!$O732="",$AN731,'TMP Paste'!$O732))</f>
        <v/>
      </c>
      <c r="AO732" t="str">
        <f>IF('TMP Paste'!$F732="","",IF('TMP Paste'!$P732="",$AO731,'TMP Paste'!$P732))</f>
        <v/>
      </c>
      <c r="AP732" t="str">
        <f t="shared" si="71"/>
        <v/>
      </c>
      <c r="AQ732" t="str">
        <f>IF($AS732="","",TRIM(IF(COUNTIFS(Calc!$B$2:$B$1601,ROW()-1,Calc!$C$2:$C$1601,"&lt;1")&gt;0,"Ada PO tanpa Koli - cek TMP. ","")&amp;IF(OR($AU732="",$AU732&lt;=0),"Volume kosong/0 - dimensi dikosongkan. ","")&amp;IF(AND($AU732&lt;&gt;"",$AU732&gt;=1000000),"Volume &gt;= 1.000.000 cm3 (di luar aturan) - dimensi dikosongkan. ","")&amp;IF(LEN($R732)&gt;500,"R &gt; 500 karakter.","")))</f>
        <v/>
      </c>
      <c r="AS732" t="str">
        <f>IFERROR(MATCH(ROW()-1,Calc!$J$2:$J$1601,0),"")</f>
        <v/>
      </c>
      <c r="AT732" t="str">
        <f>IFERROR(MATCH(ROW()-1,Calc!$K$2:$K$1601,0),"")</f>
        <v/>
      </c>
      <c r="AU732" t="str">
        <f>IF($AS732="","",IFERROR(INDEX('TMP Paste'!$D$2:$D$1601,$AS732)*1000000/$AB732,""))</f>
        <v/>
      </c>
    </row>
    <row r="733" spans="1:47">
      <c r="A733" t="str">
        <f>IF($AS733="","",INDEX('TMP Paste'!$B$2:$B$1601,$AS733))</f>
        <v/>
      </c>
      <c r="B733" t="str">
        <f>IF($AS733="","",Config!$B$14)</f>
        <v/>
      </c>
      <c r="C733" t="str">
        <f>IF($AS733="","",Config!$B$15)</f>
        <v/>
      </c>
      <c r="D733" t="str">
        <f>IF($AS733="","",INDEX('TMP Paste'!$B$2:$B$1601,$AS733))</f>
        <v/>
      </c>
      <c r="E733" t="str">
        <f>IF($AS733="","",Config!$B$27)</f>
        <v/>
      </c>
      <c r="F733" t="str">
        <f>IF($AS733="","",Config!$B$9)</f>
        <v/>
      </c>
      <c r="G733" t="str">
        <f>IF($AS733="","",Config!$B$10)</f>
        <v/>
      </c>
      <c r="H733" t="str">
        <f>IF($AS733="","",Config!$B$11)</f>
        <v/>
      </c>
      <c r="I733" t="str">
        <f>IF($AS733="","",Config!$B$16)</f>
        <v/>
      </c>
      <c r="J733" t="str">
        <f>IF($AS733="","",INDEX('TMP Paste'!$A$2:$A$1601,$AS733))</f>
        <v/>
      </c>
      <c r="K733" t="str">
        <f>IF($AS733="","",INDEX('TMP Paste'!$L$2:$L$1601,$AS733))</f>
        <v/>
      </c>
      <c r="L733" t="str">
        <f>IF($AS733="","",INDEX('TMP Paste'!$I$2:$I$1601,$AS733))</f>
        <v/>
      </c>
      <c r="M733" t="str">
        <f>IF($AS733="","",Config!$B$16)</f>
        <v/>
      </c>
      <c r="N733" t="str">
        <f t="shared" si="66"/>
        <v/>
      </c>
      <c r="O733" t="str">
        <f>IF($AS733="","",INDEX('TMP Paste'!$K$2:$K$1601,$AS733))</f>
        <v/>
      </c>
      <c r="P733" t="str">
        <f t="shared" si="67"/>
        <v/>
      </c>
      <c r="Q733" t="str">
        <f>IF($AS733="","",INDEX('TMP Paste'!$J$2:$J$1601,$AS733))</f>
        <v/>
      </c>
      <c r="R733" t="str">
        <f>IF($AS733="","",Config!$B$24)</f>
        <v/>
      </c>
      <c r="S733" t="str">
        <f ca="1">IF($AS733="","",TEXT(Config!$B$4,"yyyy-mm-dd"))</f>
        <v/>
      </c>
      <c r="T733" t="str">
        <f>IF($AS733="","",Config!$B$17)</f>
        <v/>
      </c>
      <c r="U733" t="str">
        <f>IF($AS733="","",Config!$B$18)</f>
        <v/>
      </c>
      <c r="V733" t="str">
        <f>IF($AS733="","",Config!$B$19)</f>
        <v/>
      </c>
      <c r="W733" t="str">
        <f>IF($AS733="","",INDEX('TMP Paste'!$C$2:$C$1601,$AS733))</f>
        <v/>
      </c>
      <c r="X733" t="str">
        <f>IF($AS733="","",Config!$B$29)</f>
        <v/>
      </c>
      <c r="Y733" t="str">
        <f>IF($AT733="","",INDEX(Calc!$I$2:$I$1601,$AT733)&amp;" - "&amp;INDEX(Calc!$D$2:$D$1601,$AT733)&amp;" koli")</f>
        <v/>
      </c>
      <c r="Z733" t="str">
        <f>IF($AS733="","",Config!$B$21)</f>
        <v/>
      </c>
      <c r="AA733" t="str">
        <f>IF($AS733="","",Config!$B$22)</f>
        <v/>
      </c>
      <c r="AB733" t="str">
        <f>IF($AT733="","",INDEX(Calc!$D$2:$D$1601,$AT733))</f>
        <v/>
      </c>
      <c r="AC733" t="str">
        <f>IF($AT733="","",INDEX(Calc!$G$2:$G$1601,$AT733))</f>
        <v/>
      </c>
      <c r="AD733" t="str">
        <f>IF($AS733="","",Config!$B$23)</f>
        <v/>
      </c>
      <c r="AE733" t="str">
        <f>IF($AS733="","",Config!$B$28)</f>
        <v/>
      </c>
      <c r="AF733" t="str">
        <f t="shared" si="68"/>
        <v/>
      </c>
      <c r="AG733" t="str">
        <f t="shared" si="69"/>
        <v/>
      </c>
      <c r="AH733" t="str">
        <f t="shared" si="70"/>
        <v/>
      </c>
      <c r="AI733" t="str">
        <f>IF($AG733="","",SUMIF($AG$2:$AG733,$AG733,$AH$2:$AH733))</f>
        <v/>
      </c>
      <c r="AJ733" t="str">
        <f>IF('TMP Paste'!$F733="","",IF('TMP Paste'!$B733="",$AJ732,'TMP Paste'!$B733))</f>
        <v/>
      </c>
      <c r="AK733" t="str">
        <f>IF('TMP Paste'!$F733="","",N('TMP Paste'!$G733))</f>
        <v/>
      </c>
      <c r="AL733" t="str">
        <f>IF('TMP Paste'!$F733="","",IF('TMP Paste'!$M733="",$AL732,'TMP Paste'!$M733))</f>
        <v/>
      </c>
      <c r="AM733" t="str">
        <f>IF('TMP Paste'!$F733="","",IF('TMP Paste'!$N733="",$AM732,'TMP Paste'!$N733))</f>
        <v/>
      </c>
      <c r="AN733" t="str">
        <f>IF('TMP Paste'!$F733="","",IF('TMP Paste'!$O733="",$AN732,'TMP Paste'!$O733))</f>
        <v/>
      </c>
      <c r="AO733" t="str">
        <f>IF('TMP Paste'!$F733="","",IF('TMP Paste'!$P733="",$AO732,'TMP Paste'!$P733))</f>
        <v/>
      </c>
      <c r="AP733" t="str">
        <f t="shared" si="71"/>
        <v/>
      </c>
      <c r="AQ733" t="str">
        <f>IF($AS733="","",TRIM(IF(COUNTIFS(Calc!$B$2:$B$1601,ROW()-1,Calc!$C$2:$C$1601,"&lt;1")&gt;0,"Ada PO tanpa Koli - cek TMP. ","")&amp;IF(OR($AU733="",$AU733&lt;=0),"Volume kosong/0 - dimensi dikosongkan. ","")&amp;IF(AND($AU733&lt;&gt;"",$AU733&gt;=1000000),"Volume &gt;= 1.000.000 cm3 (di luar aturan) - dimensi dikosongkan. ","")&amp;IF(LEN($R733)&gt;500,"R &gt; 500 karakter.","")))</f>
        <v/>
      </c>
      <c r="AS733" t="str">
        <f>IFERROR(MATCH(ROW()-1,Calc!$J$2:$J$1601,0),"")</f>
        <v/>
      </c>
      <c r="AT733" t="str">
        <f>IFERROR(MATCH(ROW()-1,Calc!$K$2:$K$1601,0),"")</f>
        <v/>
      </c>
      <c r="AU733" t="str">
        <f>IF($AS733="","",IFERROR(INDEX('TMP Paste'!$D$2:$D$1601,$AS733)*1000000/$AB733,""))</f>
        <v/>
      </c>
    </row>
    <row r="734" spans="1:47">
      <c r="A734" t="str">
        <f>IF($AS734="","",INDEX('TMP Paste'!$B$2:$B$1601,$AS734))</f>
        <v/>
      </c>
      <c r="B734" t="str">
        <f>IF($AS734="","",Config!$B$14)</f>
        <v/>
      </c>
      <c r="C734" t="str">
        <f>IF($AS734="","",Config!$B$15)</f>
        <v/>
      </c>
      <c r="D734" t="str">
        <f>IF($AS734="","",INDEX('TMP Paste'!$B$2:$B$1601,$AS734))</f>
        <v/>
      </c>
      <c r="E734" t="str">
        <f>IF($AS734="","",Config!$B$27)</f>
        <v/>
      </c>
      <c r="F734" t="str">
        <f>IF($AS734="","",Config!$B$9)</f>
        <v/>
      </c>
      <c r="G734" t="str">
        <f>IF($AS734="","",Config!$B$10)</f>
        <v/>
      </c>
      <c r="H734" t="str">
        <f>IF($AS734="","",Config!$B$11)</f>
        <v/>
      </c>
      <c r="I734" t="str">
        <f>IF($AS734="","",Config!$B$16)</f>
        <v/>
      </c>
      <c r="J734" t="str">
        <f>IF($AS734="","",INDEX('TMP Paste'!$A$2:$A$1601,$AS734))</f>
        <v/>
      </c>
      <c r="K734" t="str">
        <f>IF($AS734="","",INDEX('TMP Paste'!$L$2:$L$1601,$AS734))</f>
        <v/>
      </c>
      <c r="L734" t="str">
        <f>IF($AS734="","",INDEX('TMP Paste'!$I$2:$I$1601,$AS734))</f>
        <v/>
      </c>
      <c r="M734" t="str">
        <f>IF($AS734="","",Config!$B$16)</f>
        <v/>
      </c>
      <c r="N734" t="str">
        <f t="shared" si="66"/>
        <v/>
      </c>
      <c r="O734" t="str">
        <f>IF($AS734="","",INDEX('TMP Paste'!$K$2:$K$1601,$AS734))</f>
        <v/>
      </c>
      <c r="P734" t="str">
        <f t="shared" si="67"/>
        <v/>
      </c>
      <c r="Q734" t="str">
        <f>IF($AS734="","",INDEX('TMP Paste'!$J$2:$J$1601,$AS734))</f>
        <v/>
      </c>
      <c r="R734" t="str">
        <f>IF($AS734="","",Config!$B$24)</f>
        <v/>
      </c>
      <c r="S734" t="str">
        <f ca="1">IF($AS734="","",TEXT(Config!$B$4,"yyyy-mm-dd"))</f>
        <v/>
      </c>
      <c r="T734" t="str">
        <f>IF($AS734="","",Config!$B$17)</f>
        <v/>
      </c>
      <c r="U734" t="str">
        <f>IF($AS734="","",Config!$B$18)</f>
        <v/>
      </c>
      <c r="V734" t="str">
        <f>IF($AS734="","",Config!$B$19)</f>
        <v/>
      </c>
      <c r="W734" t="str">
        <f>IF($AS734="","",INDEX('TMP Paste'!$C$2:$C$1601,$AS734))</f>
        <v/>
      </c>
      <c r="X734" t="str">
        <f>IF($AS734="","",Config!$B$29)</f>
        <v/>
      </c>
      <c r="Y734" t="str">
        <f>IF($AT734="","",INDEX(Calc!$I$2:$I$1601,$AT734)&amp;" - "&amp;INDEX(Calc!$D$2:$D$1601,$AT734)&amp;" koli")</f>
        <v/>
      </c>
      <c r="Z734" t="str">
        <f>IF($AS734="","",Config!$B$21)</f>
        <v/>
      </c>
      <c r="AA734" t="str">
        <f>IF($AS734="","",Config!$B$22)</f>
        <v/>
      </c>
      <c r="AB734" t="str">
        <f>IF($AT734="","",INDEX(Calc!$D$2:$D$1601,$AT734))</f>
        <v/>
      </c>
      <c r="AC734" t="str">
        <f>IF($AT734="","",INDEX(Calc!$G$2:$G$1601,$AT734))</f>
        <v/>
      </c>
      <c r="AD734" t="str">
        <f>IF($AS734="","",Config!$B$23)</f>
        <v/>
      </c>
      <c r="AE734" t="str">
        <f>IF($AS734="","",Config!$B$28)</f>
        <v/>
      </c>
      <c r="AF734" t="str">
        <f t="shared" si="68"/>
        <v/>
      </c>
      <c r="AG734" t="str">
        <f t="shared" si="69"/>
        <v/>
      </c>
      <c r="AH734" t="str">
        <f t="shared" si="70"/>
        <v/>
      </c>
      <c r="AI734" t="str">
        <f>IF($AG734="","",SUMIF($AG$2:$AG734,$AG734,$AH$2:$AH734))</f>
        <v/>
      </c>
      <c r="AJ734" t="str">
        <f>IF('TMP Paste'!$F734="","",IF('TMP Paste'!$B734="",$AJ733,'TMP Paste'!$B734))</f>
        <v/>
      </c>
      <c r="AK734" t="str">
        <f>IF('TMP Paste'!$F734="","",N('TMP Paste'!$G734))</f>
        <v/>
      </c>
      <c r="AL734" t="str">
        <f>IF('TMP Paste'!$F734="","",IF('TMP Paste'!$M734="",$AL733,'TMP Paste'!$M734))</f>
        <v/>
      </c>
      <c r="AM734" t="str">
        <f>IF('TMP Paste'!$F734="","",IF('TMP Paste'!$N734="",$AM733,'TMP Paste'!$N734))</f>
        <v/>
      </c>
      <c r="AN734" t="str">
        <f>IF('TMP Paste'!$F734="","",IF('TMP Paste'!$O734="",$AN733,'TMP Paste'!$O734))</f>
        <v/>
      </c>
      <c r="AO734" t="str">
        <f>IF('TMP Paste'!$F734="","",IF('TMP Paste'!$P734="",$AO733,'TMP Paste'!$P734))</f>
        <v/>
      </c>
      <c r="AP734" t="str">
        <f t="shared" si="71"/>
        <v/>
      </c>
      <c r="AQ734" t="str">
        <f>IF($AS734="","",TRIM(IF(COUNTIFS(Calc!$B$2:$B$1601,ROW()-1,Calc!$C$2:$C$1601,"&lt;1")&gt;0,"Ada PO tanpa Koli - cek TMP. ","")&amp;IF(OR($AU734="",$AU734&lt;=0),"Volume kosong/0 - dimensi dikosongkan. ","")&amp;IF(AND($AU734&lt;&gt;"",$AU734&gt;=1000000),"Volume &gt;= 1.000.000 cm3 (di luar aturan) - dimensi dikosongkan. ","")&amp;IF(LEN($R734)&gt;500,"R &gt; 500 karakter.","")))</f>
        <v/>
      </c>
      <c r="AS734" t="str">
        <f>IFERROR(MATCH(ROW()-1,Calc!$J$2:$J$1601,0),"")</f>
        <v/>
      </c>
      <c r="AT734" t="str">
        <f>IFERROR(MATCH(ROW()-1,Calc!$K$2:$K$1601,0),"")</f>
        <v/>
      </c>
      <c r="AU734" t="str">
        <f>IF($AS734="","",IFERROR(INDEX('TMP Paste'!$D$2:$D$1601,$AS734)*1000000/$AB734,""))</f>
        <v/>
      </c>
    </row>
    <row r="735" spans="1:47">
      <c r="A735" t="str">
        <f>IF($AS735="","",INDEX('TMP Paste'!$B$2:$B$1601,$AS735))</f>
        <v/>
      </c>
      <c r="B735" t="str">
        <f>IF($AS735="","",Config!$B$14)</f>
        <v/>
      </c>
      <c r="C735" t="str">
        <f>IF($AS735="","",Config!$B$15)</f>
        <v/>
      </c>
      <c r="D735" t="str">
        <f>IF($AS735="","",INDEX('TMP Paste'!$B$2:$B$1601,$AS735))</f>
        <v/>
      </c>
      <c r="E735" t="str">
        <f>IF($AS735="","",Config!$B$27)</f>
        <v/>
      </c>
      <c r="F735" t="str">
        <f>IF($AS735="","",Config!$B$9)</f>
        <v/>
      </c>
      <c r="G735" t="str">
        <f>IF($AS735="","",Config!$B$10)</f>
        <v/>
      </c>
      <c r="H735" t="str">
        <f>IF($AS735="","",Config!$B$11)</f>
        <v/>
      </c>
      <c r="I735" t="str">
        <f>IF($AS735="","",Config!$B$16)</f>
        <v/>
      </c>
      <c r="J735" t="str">
        <f>IF($AS735="","",INDEX('TMP Paste'!$A$2:$A$1601,$AS735))</f>
        <v/>
      </c>
      <c r="K735" t="str">
        <f>IF($AS735="","",INDEX('TMP Paste'!$L$2:$L$1601,$AS735))</f>
        <v/>
      </c>
      <c r="L735" t="str">
        <f>IF($AS735="","",INDEX('TMP Paste'!$I$2:$I$1601,$AS735))</f>
        <v/>
      </c>
      <c r="M735" t="str">
        <f>IF($AS735="","",Config!$B$16)</f>
        <v/>
      </c>
      <c r="N735" t="str">
        <f t="shared" si="66"/>
        <v/>
      </c>
      <c r="O735" t="str">
        <f>IF($AS735="","",INDEX('TMP Paste'!$K$2:$K$1601,$AS735))</f>
        <v/>
      </c>
      <c r="P735" t="str">
        <f t="shared" si="67"/>
        <v/>
      </c>
      <c r="Q735" t="str">
        <f>IF($AS735="","",INDEX('TMP Paste'!$J$2:$J$1601,$AS735))</f>
        <v/>
      </c>
      <c r="R735" t="str">
        <f>IF($AS735="","",Config!$B$24)</f>
        <v/>
      </c>
      <c r="S735" t="str">
        <f ca="1">IF($AS735="","",TEXT(Config!$B$4,"yyyy-mm-dd"))</f>
        <v/>
      </c>
      <c r="T735" t="str">
        <f>IF($AS735="","",Config!$B$17)</f>
        <v/>
      </c>
      <c r="U735" t="str">
        <f>IF($AS735="","",Config!$B$18)</f>
        <v/>
      </c>
      <c r="V735" t="str">
        <f>IF($AS735="","",Config!$B$19)</f>
        <v/>
      </c>
      <c r="W735" t="str">
        <f>IF($AS735="","",INDEX('TMP Paste'!$C$2:$C$1601,$AS735))</f>
        <v/>
      </c>
      <c r="X735" t="str">
        <f>IF($AS735="","",Config!$B$29)</f>
        <v/>
      </c>
      <c r="Y735" t="str">
        <f>IF($AT735="","",INDEX(Calc!$I$2:$I$1601,$AT735)&amp;" - "&amp;INDEX(Calc!$D$2:$D$1601,$AT735)&amp;" koli")</f>
        <v/>
      </c>
      <c r="Z735" t="str">
        <f>IF($AS735="","",Config!$B$21)</f>
        <v/>
      </c>
      <c r="AA735" t="str">
        <f>IF($AS735="","",Config!$B$22)</f>
        <v/>
      </c>
      <c r="AB735" t="str">
        <f>IF($AT735="","",INDEX(Calc!$D$2:$D$1601,$AT735))</f>
        <v/>
      </c>
      <c r="AC735" t="str">
        <f>IF($AT735="","",INDEX(Calc!$G$2:$G$1601,$AT735))</f>
        <v/>
      </c>
      <c r="AD735" t="str">
        <f>IF($AS735="","",Config!$B$23)</f>
        <v/>
      </c>
      <c r="AE735" t="str">
        <f>IF($AS735="","",Config!$B$28)</f>
        <v/>
      </c>
      <c r="AF735" t="str">
        <f t="shared" si="68"/>
        <v/>
      </c>
      <c r="AG735" t="str">
        <f t="shared" si="69"/>
        <v/>
      </c>
      <c r="AH735" t="str">
        <f t="shared" si="70"/>
        <v/>
      </c>
      <c r="AI735" t="str">
        <f>IF($AG735="","",SUMIF($AG$2:$AG735,$AG735,$AH$2:$AH735))</f>
        <v/>
      </c>
      <c r="AJ735" t="str">
        <f>IF('TMP Paste'!$F735="","",IF('TMP Paste'!$B735="",$AJ734,'TMP Paste'!$B735))</f>
        <v/>
      </c>
      <c r="AK735" t="str">
        <f>IF('TMP Paste'!$F735="","",N('TMP Paste'!$G735))</f>
        <v/>
      </c>
      <c r="AL735" t="str">
        <f>IF('TMP Paste'!$F735="","",IF('TMP Paste'!$M735="",$AL734,'TMP Paste'!$M735))</f>
        <v/>
      </c>
      <c r="AM735" t="str">
        <f>IF('TMP Paste'!$F735="","",IF('TMP Paste'!$N735="",$AM734,'TMP Paste'!$N735))</f>
        <v/>
      </c>
      <c r="AN735" t="str">
        <f>IF('TMP Paste'!$F735="","",IF('TMP Paste'!$O735="",$AN734,'TMP Paste'!$O735))</f>
        <v/>
      </c>
      <c r="AO735" t="str">
        <f>IF('TMP Paste'!$F735="","",IF('TMP Paste'!$P735="",$AO734,'TMP Paste'!$P735))</f>
        <v/>
      </c>
      <c r="AP735" t="str">
        <f t="shared" si="71"/>
        <v/>
      </c>
      <c r="AQ735" t="str">
        <f>IF($AS735="","",TRIM(IF(COUNTIFS(Calc!$B$2:$B$1601,ROW()-1,Calc!$C$2:$C$1601,"&lt;1")&gt;0,"Ada PO tanpa Koli - cek TMP. ","")&amp;IF(OR($AU735="",$AU735&lt;=0),"Volume kosong/0 - dimensi dikosongkan. ","")&amp;IF(AND($AU735&lt;&gt;"",$AU735&gt;=1000000),"Volume &gt;= 1.000.000 cm3 (di luar aturan) - dimensi dikosongkan. ","")&amp;IF(LEN($R735)&gt;500,"R &gt; 500 karakter.","")))</f>
        <v/>
      </c>
      <c r="AS735" t="str">
        <f>IFERROR(MATCH(ROW()-1,Calc!$J$2:$J$1601,0),"")</f>
        <v/>
      </c>
      <c r="AT735" t="str">
        <f>IFERROR(MATCH(ROW()-1,Calc!$K$2:$K$1601,0),"")</f>
        <v/>
      </c>
      <c r="AU735" t="str">
        <f>IF($AS735="","",IFERROR(INDEX('TMP Paste'!$D$2:$D$1601,$AS735)*1000000/$AB735,""))</f>
        <v/>
      </c>
    </row>
    <row r="736" spans="1:47">
      <c r="A736" t="str">
        <f>IF($AS736="","",INDEX('TMP Paste'!$B$2:$B$1601,$AS736))</f>
        <v/>
      </c>
      <c r="B736" t="str">
        <f>IF($AS736="","",Config!$B$14)</f>
        <v/>
      </c>
      <c r="C736" t="str">
        <f>IF($AS736="","",Config!$B$15)</f>
        <v/>
      </c>
      <c r="D736" t="str">
        <f>IF($AS736="","",INDEX('TMP Paste'!$B$2:$B$1601,$AS736))</f>
        <v/>
      </c>
      <c r="E736" t="str">
        <f>IF($AS736="","",Config!$B$27)</f>
        <v/>
      </c>
      <c r="F736" t="str">
        <f>IF($AS736="","",Config!$B$9)</f>
        <v/>
      </c>
      <c r="G736" t="str">
        <f>IF($AS736="","",Config!$B$10)</f>
        <v/>
      </c>
      <c r="H736" t="str">
        <f>IF($AS736="","",Config!$B$11)</f>
        <v/>
      </c>
      <c r="I736" t="str">
        <f>IF($AS736="","",Config!$B$16)</f>
        <v/>
      </c>
      <c r="J736" t="str">
        <f>IF($AS736="","",INDEX('TMP Paste'!$A$2:$A$1601,$AS736))</f>
        <v/>
      </c>
      <c r="K736" t="str">
        <f>IF($AS736="","",INDEX('TMP Paste'!$L$2:$L$1601,$AS736))</f>
        <v/>
      </c>
      <c r="L736" t="str">
        <f>IF($AS736="","",INDEX('TMP Paste'!$I$2:$I$1601,$AS736))</f>
        <v/>
      </c>
      <c r="M736" t="str">
        <f>IF($AS736="","",Config!$B$16)</f>
        <v/>
      </c>
      <c r="N736" t="str">
        <f t="shared" si="66"/>
        <v/>
      </c>
      <c r="O736" t="str">
        <f>IF($AS736="","",INDEX('TMP Paste'!$K$2:$K$1601,$AS736))</f>
        <v/>
      </c>
      <c r="P736" t="str">
        <f t="shared" si="67"/>
        <v/>
      </c>
      <c r="Q736" t="str">
        <f>IF($AS736="","",INDEX('TMP Paste'!$J$2:$J$1601,$AS736))</f>
        <v/>
      </c>
      <c r="R736" t="str">
        <f>IF($AS736="","",Config!$B$24)</f>
        <v/>
      </c>
      <c r="S736" t="str">
        <f ca="1">IF($AS736="","",TEXT(Config!$B$4,"yyyy-mm-dd"))</f>
        <v/>
      </c>
      <c r="T736" t="str">
        <f>IF($AS736="","",Config!$B$17)</f>
        <v/>
      </c>
      <c r="U736" t="str">
        <f>IF($AS736="","",Config!$B$18)</f>
        <v/>
      </c>
      <c r="V736" t="str">
        <f>IF($AS736="","",Config!$B$19)</f>
        <v/>
      </c>
      <c r="W736" t="str">
        <f>IF($AS736="","",INDEX('TMP Paste'!$C$2:$C$1601,$AS736))</f>
        <v/>
      </c>
      <c r="X736" t="str">
        <f>IF($AS736="","",Config!$B$29)</f>
        <v/>
      </c>
      <c r="Y736" t="str">
        <f>IF($AT736="","",INDEX(Calc!$I$2:$I$1601,$AT736)&amp;" - "&amp;INDEX(Calc!$D$2:$D$1601,$AT736)&amp;" koli")</f>
        <v/>
      </c>
      <c r="Z736" t="str">
        <f>IF($AS736="","",Config!$B$21)</f>
        <v/>
      </c>
      <c r="AA736" t="str">
        <f>IF($AS736="","",Config!$B$22)</f>
        <v/>
      </c>
      <c r="AB736" t="str">
        <f>IF($AT736="","",INDEX(Calc!$D$2:$D$1601,$AT736))</f>
        <v/>
      </c>
      <c r="AC736" t="str">
        <f>IF($AT736="","",INDEX(Calc!$G$2:$G$1601,$AT736))</f>
        <v/>
      </c>
      <c r="AD736" t="str">
        <f>IF($AS736="","",Config!$B$23)</f>
        <v/>
      </c>
      <c r="AE736" t="str">
        <f>IF($AS736="","",Config!$B$28)</f>
        <v/>
      </c>
      <c r="AF736" t="str">
        <f t="shared" si="68"/>
        <v/>
      </c>
      <c r="AG736" t="str">
        <f t="shared" si="69"/>
        <v/>
      </c>
      <c r="AH736" t="str">
        <f t="shared" si="70"/>
        <v/>
      </c>
      <c r="AI736" t="str">
        <f>IF($AG736="","",SUMIF($AG$2:$AG736,$AG736,$AH$2:$AH736))</f>
        <v/>
      </c>
      <c r="AJ736" t="str">
        <f>IF('TMP Paste'!$F736="","",IF('TMP Paste'!$B736="",$AJ735,'TMP Paste'!$B736))</f>
        <v/>
      </c>
      <c r="AK736" t="str">
        <f>IF('TMP Paste'!$F736="","",N('TMP Paste'!$G736))</f>
        <v/>
      </c>
      <c r="AL736" t="str">
        <f>IF('TMP Paste'!$F736="","",IF('TMP Paste'!$M736="",$AL735,'TMP Paste'!$M736))</f>
        <v/>
      </c>
      <c r="AM736" t="str">
        <f>IF('TMP Paste'!$F736="","",IF('TMP Paste'!$N736="",$AM735,'TMP Paste'!$N736))</f>
        <v/>
      </c>
      <c r="AN736" t="str">
        <f>IF('TMP Paste'!$F736="","",IF('TMP Paste'!$O736="",$AN735,'TMP Paste'!$O736))</f>
        <v/>
      </c>
      <c r="AO736" t="str">
        <f>IF('TMP Paste'!$F736="","",IF('TMP Paste'!$P736="",$AO735,'TMP Paste'!$P736))</f>
        <v/>
      </c>
      <c r="AP736" t="str">
        <f t="shared" si="71"/>
        <v/>
      </c>
      <c r="AQ736" t="str">
        <f>IF($AS736="","",TRIM(IF(COUNTIFS(Calc!$B$2:$B$1601,ROW()-1,Calc!$C$2:$C$1601,"&lt;1")&gt;0,"Ada PO tanpa Koli - cek TMP. ","")&amp;IF(OR($AU736="",$AU736&lt;=0),"Volume kosong/0 - dimensi dikosongkan. ","")&amp;IF(AND($AU736&lt;&gt;"",$AU736&gt;=1000000),"Volume &gt;= 1.000.000 cm3 (di luar aturan) - dimensi dikosongkan. ","")&amp;IF(LEN($R736)&gt;500,"R &gt; 500 karakter.","")))</f>
        <v/>
      </c>
      <c r="AS736" t="str">
        <f>IFERROR(MATCH(ROW()-1,Calc!$J$2:$J$1601,0),"")</f>
        <v/>
      </c>
      <c r="AT736" t="str">
        <f>IFERROR(MATCH(ROW()-1,Calc!$K$2:$K$1601,0),"")</f>
        <v/>
      </c>
      <c r="AU736" t="str">
        <f>IF($AS736="","",IFERROR(INDEX('TMP Paste'!$D$2:$D$1601,$AS736)*1000000/$AB736,""))</f>
        <v/>
      </c>
    </row>
    <row r="737" spans="1:47">
      <c r="A737" t="str">
        <f>IF($AS737="","",INDEX('TMP Paste'!$B$2:$B$1601,$AS737))</f>
        <v/>
      </c>
      <c r="B737" t="str">
        <f>IF($AS737="","",Config!$B$14)</f>
        <v/>
      </c>
      <c r="C737" t="str">
        <f>IF($AS737="","",Config!$B$15)</f>
        <v/>
      </c>
      <c r="D737" t="str">
        <f>IF($AS737="","",INDEX('TMP Paste'!$B$2:$B$1601,$AS737))</f>
        <v/>
      </c>
      <c r="E737" t="str">
        <f>IF($AS737="","",Config!$B$27)</f>
        <v/>
      </c>
      <c r="F737" t="str">
        <f>IF($AS737="","",Config!$B$9)</f>
        <v/>
      </c>
      <c r="G737" t="str">
        <f>IF($AS737="","",Config!$B$10)</f>
        <v/>
      </c>
      <c r="H737" t="str">
        <f>IF($AS737="","",Config!$B$11)</f>
        <v/>
      </c>
      <c r="I737" t="str">
        <f>IF($AS737="","",Config!$B$16)</f>
        <v/>
      </c>
      <c r="J737" t="str">
        <f>IF($AS737="","",INDEX('TMP Paste'!$A$2:$A$1601,$AS737))</f>
        <v/>
      </c>
      <c r="K737" t="str">
        <f>IF($AS737="","",INDEX('TMP Paste'!$L$2:$L$1601,$AS737))</f>
        <v/>
      </c>
      <c r="L737" t="str">
        <f>IF($AS737="","",INDEX('TMP Paste'!$I$2:$I$1601,$AS737))</f>
        <v/>
      </c>
      <c r="M737" t="str">
        <f>IF($AS737="","",Config!$B$16)</f>
        <v/>
      </c>
      <c r="N737" t="str">
        <f t="shared" si="66"/>
        <v/>
      </c>
      <c r="O737" t="str">
        <f>IF($AS737="","",INDEX('TMP Paste'!$K$2:$K$1601,$AS737))</f>
        <v/>
      </c>
      <c r="P737" t="str">
        <f t="shared" si="67"/>
        <v/>
      </c>
      <c r="Q737" t="str">
        <f>IF($AS737="","",INDEX('TMP Paste'!$J$2:$J$1601,$AS737))</f>
        <v/>
      </c>
      <c r="R737" t="str">
        <f>IF($AS737="","",Config!$B$24)</f>
        <v/>
      </c>
      <c r="S737" t="str">
        <f ca="1">IF($AS737="","",TEXT(Config!$B$4,"yyyy-mm-dd"))</f>
        <v/>
      </c>
      <c r="T737" t="str">
        <f>IF($AS737="","",Config!$B$17)</f>
        <v/>
      </c>
      <c r="U737" t="str">
        <f>IF($AS737="","",Config!$B$18)</f>
        <v/>
      </c>
      <c r="V737" t="str">
        <f>IF($AS737="","",Config!$B$19)</f>
        <v/>
      </c>
      <c r="W737" t="str">
        <f>IF($AS737="","",INDEX('TMP Paste'!$C$2:$C$1601,$AS737))</f>
        <v/>
      </c>
      <c r="X737" t="str">
        <f>IF($AS737="","",Config!$B$29)</f>
        <v/>
      </c>
      <c r="Y737" t="str">
        <f>IF($AT737="","",INDEX(Calc!$I$2:$I$1601,$AT737)&amp;" - "&amp;INDEX(Calc!$D$2:$D$1601,$AT737)&amp;" koli")</f>
        <v/>
      </c>
      <c r="Z737" t="str">
        <f>IF($AS737="","",Config!$B$21)</f>
        <v/>
      </c>
      <c r="AA737" t="str">
        <f>IF($AS737="","",Config!$B$22)</f>
        <v/>
      </c>
      <c r="AB737" t="str">
        <f>IF($AT737="","",INDEX(Calc!$D$2:$D$1601,$AT737))</f>
        <v/>
      </c>
      <c r="AC737" t="str">
        <f>IF($AT737="","",INDEX(Calc!$G$2:$G$1601,$AT737))</f>
        <v/>
      </c>
      <c r="AD737" t="str">
        <f>IF($AS737="","",Config!$B$23)</f>
        <v/>
      </c>
      <c r="AE737" t="str">
        <f>IF($AS737="","",Config!$B$28)</f>
        <v/>
      </c>
      <c r="AF737" t="str">
        <f t="shared" si="68"/>
        <v/>
      </c>
      <c r="AG737" t="str">
        <f t="shared" si="69"/>
        <v/>
      </c>
      <c r="AH737" t="str">
        <f t="shared" si="70"/>
        <v/>
      </c>
      <c r="AI737" t="str">
        <f>IF($AG737="","",SUMIF($AG$2:$AG737,$AG737,$AH$2:$AH737))</f>
        <v/>
      </c>
      <c r="AJ737" t="str">
        <f>IF('TMP Paste'!$F737="","",IF('TMP Paste'!$B737="",$AJ736,'TMP Paste'!$B737))</f>
        <v/>
      </c>
      <c r="AK737" t="str">
        <f>IF('TMP Paste'!$F737="","",N('TMP Paste'!$G737))</f>
        <v/>
      </c>
      <c r="AL737" t="str">
        <f>IF('TMP Paste'!$F737="","",IF('TMP Paste'!$M737="",$AL736,'TMP Paste'!$M737))</f>
        <v/>
      </c>
      <c r="AM737" t="str">
        <f>IF('TMP Paste'!$F737="","",IF('TMP Paste'!$N737="",$AM736,'TMP Paste'!$N737))</f>
        <v/>
      </c>
      <c r="AN737" t="str">
        <f>IF('TMP Paste'!$F737="","",IF('TMP Paste'!$O737="",$AN736,'TMP Paste'!$O737))</f>
        <v/>
      </c>
      <c r="AO737" t="str">
        <f>IF('TMP Paste'!$F737="","",IF('TMP Paste'!$P737="",$AO736,'TMP Paste'!$P737))</f>
        <v/>
      </c>
      <c r="AP737" t="str">
        <f t="shared" si="71"/>
        <v/>
      </c>
      <c r="AQ737" t="str">
        <f>IF($AS737="","",TRIM(IF(COUNTIFS(Calc!$B$2:$B$1601,ROW()-1,Calc!$C$2:$C$1601,"&lt;1")&gt;0,"Ada PO tanpa Koli - cek TMP. ","")&amp;IF(OR($AU737="",$AU737&lt;=0),"Volume kosong/0 - dimensi dikosongkan. ","")&amp;IF(AND($AU737&lt;&gt;"",$AU737&gt;=1000000),"Volume &gt;= 1.000.000 cm3 (di luar aturan) - dimensi dikosongkan. ","")&amp;IF(LEN($R737)&gt;500,"R &gt; 500 karakter.","")))</f>
        <v/>
      </c>
      <c r="AS737" t="str">
        <f>IFERROR(MATCH(ROW()-1,Calc!$J$2:$J$1601,0),"")</f>
        <v/>
      </c>
      <c r="AT737" t="str">
        <f>IFERROR(MATCH(ROW()-1,Calc!$K$2:$K$1601,0),"")</f>
        <v/>
      </c>
      <c r="AU737" t="str">
        <f>IF($AS737="","",IFERROR(INDEX('TMP Paste'!$D$2:$D$1601,$AS737)*1000000/$AB737,""))</f>
        <v/>
      </c>
    </row>
    <row r="738" spans="1:47">
      <c r="A738" t="str">
        <f>IF($AS738="","",INDEX('TMP Paste'!$B$2:$B$1601,$AS738))</f>
        <v/>
      </c>
      <c r="B738" t="str">
        <f>IF($AS738="","",Config!$B$14)</f>
        <v/>
      </c>
      <c r="C738" t="str">
        <f>IF($AS738="","",Config!$B$15)</f>
        <v/>
      </c>
      <c r="D738" t="str">
        <f>IF($AS738="","",INDEX('TMP Paste'!$B$2:$B$1601,$AS738))</f>
        <v/>
      </c>
      <c r="E738" t="str">
        <f>IF($AS738="","",Config!$B$27)</f>
        <v/>
      </c>
      <c r="F738" t="str">
        <f>IF($AS738="","",Config!$B$9)</f>
        <v/>
      </c>
      <c r="G738" t="str">
        <f>IF($AS738="","",Config!$B$10)</f>
        <v/>
      </c>
      <c r="H738" t="str">
        <f>IF($AS738="","",Config!$B$11)</f>
        <v/>
      </c>
      <c r="I738" t="str">
        <f>IF($AS738="","",Config!$B$16)</f>
        <v/>
      </c>
      <c r="J738" t="str">
        <f>IF($AS738="","",INDEX('TMP Paste'!$A$2:$A$1601,$AS738))</f>
        <v/>
      </c>
      <c r="K738" t="str">
        <f>IF($AS738="","",INDEX('TMP Paste'!$L$2:$L$1601,$AS738))</f>
        <v/>
      </c>
      <c r="L738" t="str">
        <f>IF($AS738="","",INDEX('TMP Paste'!$I$2:$I$1601,$AS738))</f>
        <v/>
      </c>
      <c r="M738" t="str">
        <f>IF($AS738="","",Config!$B$16)</f>
        <v/>
      </c>
      <c r="N738" t="str">
        <f t="shared" si="66"/>
        <v/>
      </c>
      <c r="O738" t="str">
        <f>IF($AS738="","",INDEX('TMP Paste'!$K$2:$K$1601,$AS738))</f>
        <v/>
      </c>
      <c r="P738" t="str">
        <f t="shared" si="67"/>
        <v/>
      </c>
      <c r="Q738" t="str">
        <f>IF($AS738="","",INDEX('TMP Paste'!$J$2:$J$1601,$AS738))</f>
        <v/>
      </c>
      <c r="R738" t="str">
        <f>IF($AS738="","",Config!$B$24)</f>
        <v/>
      </c>
      <c r="S738" t="str">
        <f ca="1">IF($AS738="","",TEXT(Config!$B$4,"yyyy-mm-dd"))</f>
        <v/>
      </c>
      <c r="T738" t="str">
        <f>IF($AS738="","",Config!$B$17)</f>
        <v/>
      </c>
      <c r="U738" t="str">
        <f>IF($AS738="","",Config!$B$18)</f>
        <v/>
      </c>
      <c r="V738" t="str">
        <f>IF($AS738="","",Config!$B$19)</f>
        <v/>
      </c>
      <c r="W738" t="str">
        <f>IF($AS738="","",INDEX('TMP Paste'!$C$2:$C$1601,$AS738))</f>
        <v/>
      </c>
      <c r="X738" t="str">
        <f>IF($AS738="","",Config!$B$29)</f>
        <v/>
      </c>
      <c r="Y738" t="str">
        <f>IF($AT738="","",INDEX(Calc!$I$2:$I$1601,$AT738)&amp;" - "&amp;INDEX(Calc!$D$2:$D$1601,$AT738)&amp;" koli")</f>
        <v/>
      </c>
      <c r="Z738" t="str">
        <f>IF($AS738="","",Config!$B$21)</f>
        <v/>
      </c>
      <c r="AA738" t="str">
        <f>IF($AS738="","",Config!$B$22)</f>
        <v/>
      </c>
      <c r="AB738" t="str">
        <f>IF($AT738="","",INDEX(Calc!$D$2:$D$1601,$AT738))</f>
        <v/>
      </c>
      <c r="AC738" t="str">
        <f>IF($AT738="","",INDEX(Calc!$G$2:$G$1601,$AT738))</f>
        <v/>
      </c>
      <c r="AD738" t="str">
        <f>IF($AS738="","",Config!$B$23)</f>
        <v/>
      </c>
      <c r="AE738" t="str">
        <f>IF($AS738="","",Config!$B$28)</f>
        <v/>
      </c>
      <c r="AF738" t="str">
        <f t="shared" si="68"/>
        <v/>
      </c>
      <c r="AG738" t="str">
        <f t="shared" si="69"/>
        <v/>
      </c>
      <c r="AH738" t="str">
        <f t="shared" si="70"/>
        <v/>
      </c>
      <c r="AI738" t="str">
        <f>IF($AG738="","",SUMIF($AG$2:$AG738,$AG738,$AH$2:$AH738))</f>
        <v/>
      </c>
      <c r="AJ738" t="str">
        <f>IF('TMP Paste'!$F738="","",IF('TMP Paste'!$B738="",$AJ737,'TMP Paste'!$B738))</f>
        <v/>
      </c>
      <c r="AK738" t="str">
        <f>IF('TMP Paste'!$F738="","",N('TMP Paste'!$G738))</f>
        <v/>
      </c>
      <c r="AL738" t="str">
        <f>IF('TMP Paste'!$F738="","",IF('TMP Paste'!$M738="",$AL737,'TMP Paste'!$M738))</f>
        <v/>
      </c>
      <c r="AM738" t="str">
        <f>IF('TMP Paste'!$F738="","",IF('TMP Paste'!$N738="",$AM737,'TMP Paste'!$N738))</f>
        <v/>
      </c>
      <c r="AN738" t="str">
        <f>IF('TMP Paste'!$F738="","",IF('TMP Paste'!$O738="",$AN737,'TMP Paste'!$O738))</f>
        <v/>
      </c>
      <c r="AO738" t="str">
        <f>IF('TMP Paste'!$F738="","",IF('TMP Paste'!$P738="",$AO737,'TMP Paste'!$P738))</f>
        <v/>
      </c>
      <c r="AP738" t="str">
        <f t="shared" si="71"/>
        <v/>
      </c>
      <c r="AQ738" t="str">
        <f>IF($AS738="","",TRIM(IF(COUNTIFS(Calc!$B$2:$B$1601,ROW()-1,Calc!$C$2:$C$1601,"&lt;1")&gt;0,"Ada PO tanpa Koli - cek TMP. ","")&amp;IF(OR($AU738="",$AU738&lt;=0),"Volume kosong/0 - dimensi dikosongkan. ","")&amp;IF(AND($AU738&lt;&gt;"",$AU738&gt;=1000000),"Volume &gt;= 1.000.000 cm3 (di luar aturan) - dimensi dikosongkan. ","")&amp;IF(LEN($R738)&gt;500,"R &gt; 500 karakter.","")))</f>
        <v/>
      </c>
      <c r="AS738" t="str">
        <f>IFERROR(MATCH(ROW()-1,Calc!$J$2:$J$1601,0),"")</f>
        <v/>
      </c>
      <c r="AT738" t="str">
        <f>IFERROR(MATCH(ROW()-1,Calc!$K$2:$K$1601,0),"")</f>
        <v/>
      </c>
      <c r="AU738" t="str">
        <f>IF($AS738="","",IFERROR(INDEX('TMP Paste'!$D$2:$D$1601,$AS738)*1000000/$AB738,""))</f>
        <v/>
      </c>
    </row>
    <row r="739" spans="1:47">
      <c r="A739" t="str">
        <f>IF($AS739="","",INDEX('TMP Paste'!$B$2:$B$1601,$AS739))</f>
        <v/>
      </c>
      <c r="B739" t="str">
        <f>IF($AS739="","",Config!$B$14)</f>
        <v/>
      </c>
      <c r="C739" t="str">
        <f>IF($AS739="","",Config!$B$15)</f>
        <v/>
      </c>
      <c r="D739" t="str">
        <f>IF($AS739="","",INDEX('TMP Paste'!$B$2:$B$1601,$AS739))</f>
        <v/>
      </c>
      <c r="E739" t="str">
        <f>IF($AS739="","",Config!$B$27)</f>
        <v/>
      </c>
      <c r="F739" t="str">
        <f>IF($AS739="","",Config!$B$9)</f>
        <v/>
      </c>
      <c r="G739" t="str">
        <f>IF($AS739="","",Config!$B$10)</f>
        <v/>
      </c>
      <c r="H739" t="str">
        <f>IF($AS739="","",Config!$B$11)</f>
        <v/>
      </c>
      <c r="I739" t="str">
        <f>IF($AS739="","",Config!$B$16)</f>
        <v/>
      </c>
      <c r="J739" t="str">
        <f>IF($AS739="","",INDEX('TMP Paste'!$A$2:$A$1601,$AS739))</f>
        <v/>
      </c>
      <c r="K739" t="str">
        <f>IF($AS739="","",INDEX('TMP Paste'!$L$2:$L$1601,$AS739))</f>
        <v/>
      </c>
      <c r="L739" t="str">
        <f>IF($AS739="","",INDEX('TMP Paste'!$I$2:$I$1601,$AS739))</f>
        <v/>
      </c>
      <c r="M739" t="str">
        <f>IF($AS739="","",Config!$B$16)</f>
        <v/>
      </c>
      <c r="N739" t="str">
        <f t="shared" si="66"/>
        <v/>
      </c>
      <c r="O739" t="str">
        <f>IF($AS739="","",INDEX('TMP Paste'!$K$2:$K$1601,$AS739))</f>
        <v/>
      </c>
      <c r="P739" t="str">
        <f t="shared" si="67"/>
        <v/>
      </c>
      <c r="Q739" t="str">
        <f>IF($AS739="","",INDEX('TMP Paste'!$J$2:$J$1601,$AS739))</f>
        <v/>
      </c>
      <c r="R739" t="str">
        <f>IF($AS739="","",Config!$B$24)</f>
        <v/>
      </c>
      <c r="S739" t="str">
        <f ca="1">IF($AS739="","",TEXT(Config!$B$4,"yyyy-mm-dd"))</f>
        <v/>
      </c>
      <c r="T739" t="str">
        <f>IF($AS739="","",Config!$B$17)</f>
        <v/>
      </c>
      <c r="U739" t="str">
        <f>IF($AS739="","",Config!$B$18)</f>
        <v/>
      </c>
      <c r="V739" t="str">
        <f>IF($AS739="","",Config!$B$19)</f>
        <v/>
      </c>
      <c r="W739" t="str">
        <f>IF($AS739="","",INDEX('TMP Paste'!$C$2:$C$1601,$AS739))</f>
        <v/>
      </c>
      <c r="X739" t="str">
        <f>IF($AS739="","",Config!$B$29)</f>
        <v/>
      </c>
      <c r="Y739" t="str">
        <f>IF($AT739="","",INDEX(Calc!$I$2:$I$1601,$AT739)&amp;" - "&amp;INDEX(Calc!$D$2:$D$1601,$AT739)&amp;" koli")</f>
        <v/>
      </c>
      <c r="Z739" t="str">
        <f>IF($AS739="","",Config!$B$21)</f>
        <v/>
      </c>
      <c r="AA739" t="str">
        <f>IF($AS739="","",Config!$B$22)</f>
        <v/>
      </c>
      <c r="AB739" t="str">
        <f>IF($AT739="","",INDEX(Calc!$D$2:$D$1601,$AT739))</f>
        <v/>
      </c>
      <c r="AC739" t="str">
        <f>IF($AT739="","",INDEX(Calc!$G$2:$G$1601,$AT739))</f>
        <v/>
      </c>
      <c r="AD739" t="str">
        <f>IF($AS739="","",Config!$B$23)</f>
        <v/>
      </c>
      <c r="AE739" t="str">
        <f>IF($AS739="","",Config!$B$28)</f>
        <v/>
      </c>
      <c r="AF739" t="str">
        <f t="shared" si="68"/>
        <v/>
      </c>
      <c r="AG739" t="str">
        <f t="shared" si="69"/>
        <v/>
      </c>
      <c r="AH739" t="str">
        <f t="shared" si="70"/>
        <v/>
      </c>
      <c r="AI739" t="str">
        <f>IF($AG739="","",SUMIF($AG$2:$AG739,$AG739,$AH$2:$AH739))</f>
        <v/>
      </c>
      <c r="AJ739" t="str">
        <f>IF('TMP Paste'!$F739="","",IF('TMP Paste'!$B739="",$AJ738,'TMP Paste'!$B739))</f>
        <v/>
      </c>
      <c r="AK739" t="str">
        <f>IF('TMP Paste'!$F739="","",N('TMP Paste'!$G739))</f>
        <v/>
      </c>
      <c r="AL739" t="str">
        <f>IF('TMP Paste'!$F739="","",IF('TMP Paste'!$M739="",$AL738,'TMP Paste'!$M739))</f>
        <v/>
      </c>
      <c r="AM739" t="str">
        <f>IF('TMP Paste'!$F739="","",IF('TMP Paste'!$N739="",$AM738,'TMP Paste'!$N739))</f>
        <v/>
      </c>
      <c r="AN739" t="str">
        <f>IF('TMP Paste'!$F739="","",IF('TMP Paste'!$O739="",$AN738,'TMP Paste'!$O739))</f>
        <v/>
      </c>
      <c r="AO739" t="str">
        <f>IF('TMP Paste'!$F739="","",IF('TMP Paste'!$P739="",$AO738,'TMP Paste'!$P739))</f>
        <v/>
      </c>
      <c r="AP739" t="str">
        <f t="shared" si="71"/>
        <v/>
      </c>
      <c r="AQ739" t="str">
        <f>IF($AS739="","",TRIM(IF(COUNTIFS(Calc!$B$2:$B$1601,ROW()-1,Calc!$C$2:$C$1601,"&lt;1")&gt;0,"Ada PO tanpa Koli - cek TMP. ","")&amp;IF(OR($AU739="",$AU739&lt;=0),"Volume kosong/0 - dimensi dikosongkan. ","")&amp;IF(AND($AU739&lt;&gt;"",$AU739&gt;=1000000),"Volume &gt;= 1.000.000 cm3 (di luar aturan) - dimensi dikosongkan. ","")&amp;IF(LEN($R739)&gt;500,"R &gt; 500 karakter.","")))</f>
        <v/>
      </c>
      <c r="AS739" t="str">
        <f>IFERROR(MATCH(ROW()-1,Calc!$J$2:$J$1601,0),"")</f>
        <v/>
      </c>
      <c r="AT739" t="str">
        <f>IFERROR(MATCH(ROW()-1,Calc!$K$2:$K$1601,0),"")</f>
        <v/>
      </c>
      <c r="AU739" t="str">
        <f>IF($AS739="","",IFERROR(INDEX('TMP Paste'!$D$2:$D$1601,$AS739)*1000000/$AB739,""))</f>
        <v/>
      </c>
    </row>
    <row r="740" spans="1:47">
      <c r="A740" t="str">
        <f>IF($AS740="","",INDEX('TMP Paste'!$B$2:$B$1601,$AS740))</f>
        <v/>
      </c>
      <c r="B740" t="str">
        <f>IF($AS740="","",Config!$B$14)</f>
        <v/>
      </c>
      <c r="C740" t="str">
        <f>IF($AS740="","",Config!$B$15)</f>
        <v/>
      </c>
      <c r="D740" t="str">
        <f>IF($AS740="","",INDEX('TMP Paste'!$B$2:$B$1601,$AS740))</f>
        <v/>
      </c>
      <c r="E740" t="str">
        <f>IF($AS740="","",Config!$B$27)</f>
        <v/>
      </c>
      <c r="F740" t="str">
        <f>IF($AS740="","",Config!$B$9)</f>
        <v/>
      </c>
      <c r="G740" t="str">
        <f>IF($AS740="","",Config!$B$10)</f>
        <v/>
      </c>
      <c r="H740" t="str">
        <f>IF($AS740="","",Config!$B$11)</f>
        <v/>
      </c>
      <c r="I740" t="str">
        <f>IF($AS740="","",Config!$B$16)</f>
        <v/>
      </c>
      <c r="J740" t="str">
        <f>IF($AS740="","",INDEX('TMP Paste'!$A$2:$A$1601,$AS740))</f>
        <v/>
      </c>
      <c r="K740" t="str">
        <f>IF($AS740="","",INDEX('TMP Paste'!$L$2:$L$1601,$AS740))</f>
        <v/>
      </c>
      <c r="L740" t="str">
        <f>IF($AS740="","",INDEX('TMP Paste'!$I$2:$I$1601,$AS740))</f>
        <v/>
      </c>
      <c r="M740" t="str">
        <f>IF($AS740="","",Config!$B$16)</f>
        <v/>
      </c>
      <c r="N740" t="str">
        <f t="shared" si="66"/>
        <v/>
      </c>
      <c r="O740" t="str">
        <f>IF($AS740="","",INDEX('TMP Paste'!$K$2:$K$1601,$AS740))</f>
        <v/>
      </c>
      <c r="P740" t="str">
        <f t="shared" si="67"/>
        <v/>
      </c>
      <c r="Q740" t="str">
        <f>IF($AS740="","",INDEX('TMP Paste'!$J$2:$J$1601,$AS740))</f>
        <v/>
      </c>
      <c r="R740" t="str">
        <f>IF($AS740="","",Config!$B$24)</f>
        <v/>
      </c>
      <c r="S740" t="str">
        <f ca="1">IF($AS740="","",TEXT(Config!$B$4,"yyyy-mm-dd"))</f>
        <v/>
      </c>
      <c r="T740" t="str">
        <f>IF($AS740="","",Config!$B$17)</f>
        <v/>
      </c>
      <c r="U740" t="str">
        <f>IF($AS740="","",Config!$B$18)</f>
        <v/>
      </c>
      <c r="V740" t="str">
        <f>IF($AS740="","",Config!$B$19)</f>
        <v/>
      </c>
      <c r="W740" t="str">
        <f>IF($AS740="","",INDEX('TMP Paste'!$C$2:$C$1601,$AS740))</f>
        <v/>
      </c>
      <c r="X740" t="str">
        <f>IF($AS740="","",Config!$B$29)</f>
        <v/>
      </c>
      <c r="Y740" t="str">
        <f>IF($AT740="","",INDEX(Calc!$I$2:$I$1601,$AT740)&amp;" - "&amp;INDEX(Calc!$D$2:$D$1601,$AT740)&amp;" koli")</f>
        <v/>
      </c>
      <c r="Z740" t="str">
        <f>IF($AS740="","",Config!$B$21)</f>
        <v/>
      </c>
      <c r="AA740" t="str">
        <f>IF($AS740="","",Config!$B$22)</f>
        <v/>
      </c>
      <c r="AB740" t="str">
        <f>IF($AT740="","",INDEX(Calc!$D$2:$D$1601,$AT740))</f>
        <v/>
      </c>
      <c r="AC740" t="str">
        <f>IF($AT740="","",INDEX(Calc!$G$2:$G$1601,$AT740))</f>
        <v/>
      </c>
      <c r="AD740" t="str">
        <f>IF($AS740="","",Config!$B$23)</f>
        <v/>
      </c>
      <c r="AE740" t="str">
        <f>IF($AS740="","",Config!$B$28)</f>
        <v/>
      </c>
      <c r="AF740" t="str">
        <f t="shared" si="68"/>
        <v/>
      </c>
      <c r="AG740" t="str">
        <f t="shared" si="69"/>
        <v/>
      </c>
      <c r="AH740" t="str">
        <f t="shared" si="70"/>
        <v/>
      </c>
      <c r="AI740" t="str">
        <f>IF($AG740="","",SUMIF($AG$2:$AG740,$AG740,$AH$2:$AH740))</f>
        <v/>
      </c>
      <c r="AJ740" t="str">
        <f>IF('TMP Paste'!$F740="","",IF('TMP Paste'!$B740="",$AJ739,'TMP Paste'!$B740))</f>
        <v/>
      </c>
      <c r="AK740" t="str">
        <f>IF('TMP Paste'!$F740="","",N('TMP Paste'!$G740))</f>
        <v/>
      </c>
      <c r="AL740" t="str">
        <f>IF('TMP Paste'!$F740="","",IF('TMP Paste'!$M740="",$AL739,'TMP Paste'!$M740))</f>
        <v/>
      </c>
      <c r="AM740" t="str">
        <f>IF('TMP Paste'!$F740="","",IF('TMP Paste'!$N740="",$AM739,'TMP Paste'!$N740))</f>
        <v/>
      </c>
      <c r="AN740" t="str">
        <f>IF('TMP Paste'!$F740="","",IF('TMP Paste'!$O740="",$AN739,'TMP Paste'!$O740))</f>
        <v/>
      </c>
      <c r="AO740" t="str">
        <f>IF('TMP Paste'!$F740="","",IF('TMP Paste'!$P740="",$AO739,'TMP Paste'!$P740))</f>
        <v/>
      </c>
      <c r="AP740" t="str">
        <f t="shared" si="71"/>
        <v/>
      </c>
      <c r="AQ740" t="str">
        <f>IF($AS740="","",TRIM(IF(COUNTIFS(Calc!$B$2:$B$1601,ROW()-1,Calc!$C$2:$C$1601,"&lt;1")&gt;0,"Ada PO tanpa Koli - cek TMP. ","")&amp;IF(OR($AU740="",$AU740&lt;=0),"Volume kosong/0 - dimensi dikosongkan. ","")&amp;IF(AND($AU740&lt;&gt;"",$AU740&gt;=1000000),"Volume &gt;= 1.000.000 cm3 (di luar aturan) - dimensi dikosongkan. ","")&amp;IF(LEN($R740)&gt;500,"R &gt; 500 karakter.","")))</f>
        <v/>
      </c>
      <c r="AS740" t="str">
        <f>IFERROR(MATCH(ROW()-1,Calc!$J$2:$J$1601,0),"")</f>
        <v/>
      </c>
      <c r="AT740" t="str">
        <f>IFERROR(MATCH(ROW()-1,Calc!$K$2:$K$1601,0),"")</f>
        <v/>
      </c>
      <c r="AU740" t="str">
        <f>IF($AS740="","",IFERROR(INDEX('TMP Paste'!$D$2:$D$1601,$AS740)*1000000/$AB740,""))</f>
        <v/>
      </c>
    </row>
    <row r="741" spans="1:47">
      <c r="A741" t="str">
        <f>IF($AS741="","",INDEX('TMP Paste'!$B$2:$B$1601,$AS741))</f>
        <v/>
      </c>
      <c r="B741" t="str">
        <f>IF($AS741="","",Config!$B$14)</f>
        <v/>
      </c>
      <c r="C741" t="str">
        <f>IF($AS741="","",Config!$B$15)</f>
        <v/>
      </c>
      <c r="D741" t="str">
        <f>IF($AS741="","",INDEX('TMP Paste'!$B$2:$B$1601,$AS741))</f>
        <v/>
      </c>
      <c r="E741" t="str">
        <f>IF($AS741="","",Config!$B$27)</f>
        <v/>
      </c>
      <c r="F741" t="str">
        <f>IF($AS741="","",Config!$B$9)</f>
        <v/>
      </c>
      <c r="G741" t="str">
        <f>IF($AS741="","",Config!$B$10)</f>
        <v/>
      </c>
      <c r="H741" t="str">
        <f>IF($AS741="","",Config!$B$11)</f>
        <v/>
      </c>
      <c r="I741" t="str">
        <f>IF($AS741="","",Config!$B$16)</f>
        <v/>
      </c>
      <c r="J741" t="str">
        <f>IF($AS741="","",INDEX('TMP Paste'!$A$2:$A$1601,$AS741))</f>
        <v/>
      </c>
      <c r="K741" t="str">
        <f>IF($AS741="","",INDEX('TMP Paste'!$L$2:$L$1601,$AS741))</f>
        <v/>
      </c>
      <c r="L741" t="str">
        <f>IF($AS741="","",INDEX('TMP Paste'!$I$2:$I$1601,$AS741))</f>
        <v/>
      </c>
      <c r="M741" t="str">
        <f>IF($AS741="","",Config!$B$16)</f>
        <v/>
      </c>
      <c r="N741" t="str">
        <f t="shared" si="66"/>
        <v/>
      </c>
      <c r="O741" t="str">
        <f>IF($AS741="","",INDEX('TMP Paste'!$K$2:$K$1601,$AS741))</f>
        <v/>
      </c>
      <c r="P741" t="str">
        <f t="shared" si="67"/>
        <v/>
      </c>
      <c r="Q741" t="str">
        <f>IF($AS741="","",INDEX('TMP Paste'!$J$2:$J$1601,$AS741))</f>
        <v/>
      </c>
      <c r="R741" t="str">
        <f>IF($AS741="","",Config!$B$24)</f>
        <v/>
      </c>
      <c r="S741" t="str">
        <f ca="1">IF($AS741="","",TEXT(Config!$B$4,"yyyy-mm-dd"))</f>
        <v/>
      </c>
      <c r="T741" t="str">
        <f>IF($AS741="","",Config!$B$17)</f>
        <v/>
      </c>
      <c r="U741" t="str">
        <f>IF($AS741="","",Config!$B$18)</f>
        <v/>
      </c>
      <c r="V741" t="str">
        <f>IF($AS741="","",Config!$B$19)</f>
        <v/>
      </c>
      <c r="W741" t="str">
        <f>IF($AS741="","",INDEX('TMP Paste'!$C$2:$C$1601,$AS741))</f>
        <v/>
      </c>
      <c r="X741" t="str">
        <f>IF($AS741="","",Config!$B$29)</f>
        <v/>
      </c>
      <c r="Y741" t="str">
        <f>IF($AT741="","",INDEX(Calc!$I$2:$I$1601,$AT741)&amp;" - "&amp;INDEX(Calc!$D$2:$D$1601,$AT741)&amp;" koli")</f>
        <v/>
      </c>
      <c r="Z741" t="str">
        <f>IF($AS741="","",Config!$B$21)</f>
        <v/>
      </c>
      <c r="AA741" t="str">
        <f>IF($AS741="","",Config!$B$22)</f>
        <v/>
      </c>
      <c r="AB741" t="str">
        <f>IF($AT741="","",INDEX(Calc!$D$2:$D$1601,$AT741))</f>
        <v/>
      </c>
      <c r="AC741" t="str">
        <f>IF($AT741="","",INDEX(Calc!$G$2:$G$1601,$AT741))</f>
        <v/>
      </c>
      <c r="AD741" t="str">
        <f>IF($AS741="","",Config!$B$23)</f>
        <v/>
      </c>
      <c r="AE741" t="str">
        <f>IF($AS741="","",Config!$B$28)</f>
        <v/>
      </c>
      <c r="AF741" t="str">
        <f t="shared" si="68"/>
        <v/>
      </c>
      <c r="AG741" t="str">
        <f t="shared" si="69"/>
        <v/>
      </c>
      <c r="AH741" t="str">
        <f t="shared" si="70"/>
        <v/>
      </c>
      <c r="AI741" t="str">
        <f>IF($AG741="","",SUMIF($AG$2:$AG741,$AG741,$AH$2:$AH741))</f>
        <v/>
      </c>
      <c r="AJ741" t="str">
        <f>IF('TMP Paste'!$F741="","",IF('TMP Paste'!$B741="",$AJ740,'TMP Paste'!$B741))</f>
        <v/>
      </c>
      <c r="AK741" t="str">
        <f>IF('TMP Paste'!$F741="","",N('TMP Paste'!$G741))</f>
        <v/>
      </c>
      <c r="AL741" t="str">
        <f>IF('TMP Paste'!$F741="","",IF('TMP Paste'!$M741="",$AL740,'TMP Paste'!$M741))</f>
        <v/>
      </c>
      <c r="AM741" t="str">
        <f>IF('TMP Paste'!$F741="","",IF('TMP Paste'!$N741="",$AM740,'TMP Paste'!$N741))</f>
        <v/>
      </c>
      <c r="AN741" t="str">
        <f>IF('TMP Paste'!$F741="","",IF('TMP Paste'!$O741="",$AN740,'TMP Paste'!$O741))</f>
        <v/>
      </c>
      <c r="AO741" t="str">
        <f>IF('TMP Paste'!$F741="","",IF('TMP Paste'!$P741="",$AO740,'TMP Paste'!$P741))</f>
        <v/>
      </c>
      <c r="AP741" t="str">
        <f t="shared" si="71"/>
        <v/>
      </c>
      <c r="AQ741" t="str">
        <f>IF($AS741="","",TRIM(IF(COUNTIFS(Calc!$B$2:$B$1601,ROW()-1,Calc!$C$2:$C$1601,"&lt;1")&gt;0,"Ada PO tanpa Koli - cek TMP. ","")&amp;IF(OR($AU741="",$AU741&lt;=0),"Volume kosong/0 - dimensi dikosongkan. ","")&amp;IF(AND($AU741&lt;&gt;"",$AU741&gt;=1000000),"Volume &gt;= 1.000.000 cm3 (di luar aturan) - dimensi dikosongkan. ","")&amp;IF(LEN($R741)&gt;500,"R &gt; 500 karakter.","")))</f>
        <v/>
      </c>
      <c r="AS741" t="str">
        <f>IFERROR(MATCH(ROW()-1,Calc!$J$2:$J$1601,0),"")</f>
        <v/>
      </c>
      <c r="AT741" t="str">
        <f>IFERROR(MATCH(ROW()-1,Calc!$K$2:$K$1601,0),"")</f>
        <v/>
      </c>
      <c r="AU741" t="str">
        <f>IF($AS741="","",IFERROR(INDEX('TMP Paste'!$D$2:$D$1601,$AS741)*1000000/$AB741,""))</f>
        <v/>
      </c>
    </row>
    <row r="742" spans="1:47">
      <c r="A742" t="str">
        <f>IF($AS742="","",INDEX('TMP Paste'!$B$2:$B$1601,$AS742))</f>
        <v/>
      </c>
      <c r="B742" t="str">
        <f>IF($AS742="","",Config!$B$14)</f>
        <v/>
      </c>
      <c r="C742" t="str">
        <f>IF($AS742="","",Config!$B$15)</f>
        <v/>
      </c>
      <c r="D742" t="str">
        <f>IF($AS742="","",INDEX('TMP Paste'!$B$2:$B$1601,$AS742))</f>
        <v/>
      </c>
      <c r="E742" t="str">
        <f>IF($AS742="","",Config!$B$27)</f>
        <v/>
      </c>
      <c r="F742" t="str">
        <f>IF($AS742="","",Config!$B$9)</f>
        <v/>
      </c>
      <c r="G742" t="str">
        <f>IF($AS742="","",Config!$B$10)</f>
        <v/>
      </c>
      <c r="H742" t="str">
        <f>IF($AS742="","",Config!$B$11)</f>
        <v/>
      </c>
      <c r="I742" t="str">
        <f>IF($AS742="","",Config!$B$16)</f>
        <v/>
      </c>
      <c r="J742" t="str">
        <f>IF($AS742="","",INDEX('TMP Paste'!$A$2:$A$1601,$AS742))</f>
        <v/>
      </c>
      <c r="K742" t="str">
        <f>IF($AS742="","",INDEX('TMP Paste'!$L$2:$L$1601,$AS742))</f>
        <v/>
      </c>
      <c r="L742" t="str">
        <f>IF($AS742="","",INDEX('TMP Paste'!$I$2:$I$1601,$AS742))</f>
        <v/>
      </c>
      <c r="M742" t="str">
        <f>IF($AS742="","",Config!$B$16)</f>
        <v/>
      </c>
      <c r="N742" t="str">
        <f t="shared" si="66"/>
        <v/>
      </c>
      <c r="O742" t="str">
        <f>IF($AS742="","",INDEX('TMP Paste'!$K$2:$K$1601,$AS742))</f>
        <v/>
      </c>
      <c r="P742" t="str">
        <f t="shared" si="67"/>
        <v/>
      </c>
      <c r="Q742" t="str">
        <f>IF($AS742="","",INDEX('TMP Paste'!$J$2:$J$1601,$AS742))</f>
        <v/>
      </c>
      <c r="R742" t="str">
        <f>IF($AS742="","",Config!$B$24)</f>
        <v/>
      </c>
      <c r="S742" t="str">
        <f ca="1">IF($AS742="","",TEXT(Config!$B$4,"yyyy-mm-dd"))</f>
        <v/>
      </c>
      <c r="T742" t="str">
        <f>IF($AS742="","",Config!$B$17)</f>
        <v/>
      </c>
      <c r="U742" t="str">
        <f>IF($AS742="","",Config!$B$18)</f>
        <v/>
      </c>
      <c r="V742" t="str">
        <f>IF($AS742="","",Config!$B$19)</f>
        <v/>
      </c>
      <c r="W742" t="str">
        <f>IF($AS742="","",INDEX('TMP Paste'!$C$2:$C$1601,$AS742))</f>
        <v/>
      </c>
      <c r="X742" t="str">
        <f>IF($AS742="","",Config!$B$29)</f>
        <v/>
      </c>
      <c r="Y742" t="str">
        <f>IF($AT742="","",INDEX(Calc!$I$2:$I$1601,$AT742)&amp;" - "&amp;INDEX(Calc!$D$2:$D$1601,$AT742)&amp;" koli")</f>
        <v/>
      </c>
      <c r="Z742" t="str">
        <f>IF($AS742="","",Config!$B$21)</f>
        <v/>
      </c>
      <c r="AA742" t="str">
        <f>IF($AS742="","",Config!$B$22)</f>
        <v/>
      </c>
      <c r="AB742" t="str">
        <f>IF($AT742="","",INDEX(Calc!$D$2:$D$1601,$AT742))</f>
        <v/>
      </c>
      <c r="AC742" t="str">
        <f>IF($AT742="","",INDEX(Calc!$G$2:$G$1601,$AT742))</f>
        <v/>
      </c>
      <c r="AD742" t="str">
        <f>IF($AS742="","",Config!$B$23)</f>
        <v/>
      </c>
      <c r="AE742" t="str">
        <f>IF($AS742="","",Config!$B$28)</f>
        <v/>
      </c>
      <c r="AF742" t="str">
        <f t="shared" si="68"/>
        <v/>
      </c>
      <c r="AG742" t="str">
        <f t="shared" si="69"/>
        <v/>
      </c>
      <c r="AH742" t="str">
        <f t="shared" si="70"/>
        <v/>
      </c>
      <c r="AI742" t="str">
        <f>IF($AG742="","",SUMIF($AG$2:$AG742,$AG742,$AH$2:$AH742))</f>
        <v/>
      </c>
      <c r="AJ742" t="str">
        <f>IF('TMP Paste'!$F742="","",IF('TMP Paste'!$B742="",$AJ741,'TMP Paste'!$B742))</f>
        <v/>
      </c>
      <c r="AK742" t="str">
        <f>IF('TMP Paste'!$F742="","",N('TMP Paste'!$G742))</f>
        <v/>
      </c>
      <c r="AL742" t="str">
        <f>IF('TMP Paste'!$F742="","",IF('TMP Paste'!$M742="",$AL741,'TMP Paste'!$M742))</f>
        <v/>
      </c>
      <c r="AM742" t="str">
        <f>IF('TMP Paste'!$F742="","",IF('TMP Paste'!$N742="",$AM741,'TMP Paste'!$N742))</f>
        <v/>
      </c>
      <c r="AN742" t="str">
        <f>IF('TMP Paste'!$F742="","",IF('TMP Paste'!$O742="",$AN741,'TMP Paste'!$O742))</f>
        <v/>
      </c>
      <c r="AO742" t="str">
        <f>IF('TMP Paste'!$F742="","",IF('TMP Paste'!$P742="",$AO741,'TMP Paste'!$P742))</f>
        <v/>
      </c>
      <c r="AP742" t="str">
        <f t="shared" si="71"/>
        <v/>
      </c>
      <c r="AQ742" t="str">
        <f>IF($AS742="","",TRIM(IF(COUNTIFS(Calc!$B$2:$B$1601,ROW()-1,Calc!$C$2:$C$1601,"&lt;1")&gt;0,"Ada PO tanpa Koli - cek TMP. ","")&amp;IF(OR($AU742="",$AU742&lt;=0),"Volume kosong/0 - dimensi dikosongkan. ","")&amp;IF(AND($AU742&lt;&gt;"",$AU742&gt;=1000000),"Volume &gt;= 1.000.000 cm3 (di luar aturan) - dimensi dikosongkan. ","")&amp;IF(LEN($R742)&gt;500,"R &gt; 500 karakter.","")))</f>
        <v/>
      </c>
      <c r="AS742" t="str">
        <f>IFERROR(MATCH(ROW()-1,Calc!$J$2:$J$1601,0),"")</f>
        <v/>
      </c>
      <c r="AT742" t="str">
        <f>IFERROR(MATCH(ROW()-1,Calc!$K$2:$K$1601,0),"")</f>
        <v/>
      </c>
      <c r="AU742" t="str">
        <f>IF($AS742="","",IFERROR(INDEX('TMP Paste'!$D$2:$D$1601,$AS742)*1000000/$AB742,""))</f>
        <v/>
      </c>
    </row>
    <row r="743" spans="1:47">
      <c r="A743" t="str">
        <f>IF($AS743="","",INDEX('TMP Paste'!$B$2:$B$1601,$AS743))</f>
        <v/>
      </c>
      <c r="B743" t="str">
        <f>IF($AS743="","",Config!$B$14)</f>
        <v/>
      </c>
      <c r="C743" t="str">
        <f>IF($AS743="","",Config!$B$15)</f>
        <v/>
      </c>
      <c r="D743" t="str">
        <f>IF($AS743="","",INDEX('TMP Paste'!$B$2:$B$1601,$AS743))</f>
        <v/>
      </c>
      <c r="E743" t="str">
        <f>IF($AS743="","",Config!$B$27)</f>
        <v/>
      </c>
      <c r="F743" t="str">
        <f>IF($AS743="","",Config!$B$9)</f>
        <v/>
      </c>
      <c r="G743" t="str">
        <f>IF($AS743="","",Config!$B$10)</f>
        <v/>
      </c>
      <c r="H743" t="str">
        <f>IF($AS743="","",Config!$B$11)</f>
        <v/>
      </c>
      <c r="I743" t="str">
        <f>IF($AS743="","",Config!$B$16)</f>
        <v/>
      </c>
      <c r="J743" t="str">
        <f>IF($AS743="","",INDEX('TMP Paste'!$A$2:$A$1601,$AS743))</f>
        <v/>
      </c>
      <c r="K743" t="str">
        <f>IF($AS743="","",INDEX('TMP Paste'!$L$2:$L$1601,$AS743))</f>
        <v/>
      </c>
      <c r="L743" t="str">
        <f>IF($AS743="","",INDEX('TMP Paste'!$I$2:$I$1601,$AS743))</f>
        <v/>
      </c>
      <c r="M743" t="str">
        <f>IF($AS743="","",Config!$B$16)</f>
        <v/>
      </c>
      <c r="N743" t="str">
        <f t="shared" si="66"/>
        <v/>
      </c>
      <c r="O743" t="str">
        <f>IF($AS743="","",INDEX('TMP Paste'!$K$2:$K$1601,$AS743))</f>
        <v/>
      </c>
      <c r="P743" t="str">
        <f t="shared" si="67"/>
        <v/>
      </c>
      <c r="Q743" t="str">
        <f>IF($AS743="","",INDEX('TMP Paste'!$J$2:$J$1601,$AS743))</f>
        <v/>
      </c>
      <c r="R743" t="str">
        <f>IF($AS743="","",Config!$B$24)</f>
        <v/>
      </c>
      <c r="S743" t="str">
        <f ca="1">IF($AS743="","",TEXT(Config!$B$4,"yyyy-mm-dd"))</f>
        <v/>
      </c>
      <c r="T743" t="str">
        <f>IF($AS743="","",Config!$B$17)</f>
        <v/>
      </c>
      <c r="U743" t="str">
        <f>IF($AS743="","",Config!$B$18)</f>
        <v/>
      </c>
      <c r="V743" t="str">
        <f>IF($AS743="","",Config!$B$19)</f>
        <v/>
      </c>
      <c r="W743" t="str">
        <f>IF($AS743="","",INDEX('TMP Paste'!$C$2:$C$1601,$AS743))</f>
        <v/>
      </c>
      <c r="X743" t="str">
        <f>IF($AS743="","",Config!$B$29)</f>
        <v/>
      </c>
      <c r="Y743" t="str">
        <f>IF($AT743="","",INDEX(Calc!$I$2:$I$1601,$AT743)&amp;" - "&amp;INDEX(Calc!$D$2:$D$1601,$AT743)&amp;" koli")</f>
        <v/>
      </c>
      <c r="Z743" t="str">
        <f>IF($AS743="","",Config!$B$21)</f>
        <v/>
      </c>
      <c r="AA743" t="str">
        <f>IF($AS743="","",Config!$B$22)</f>
        <v/>
      </c>
      <c r="AB743" t="str">
        <f>IF($AT743="","",INDEX(Calc!$D$2:$D$1601,$AT743))</f>
        <v/>
      </c>
      <c r="AC743" t="str">
        <f>IF($AT743="","",INDEX(Calc!$G$2:$G$1601,$AT743))</f>
        <v/>
      </c>
      <c r="AD743" t="str">
        <f>IF($AS743="","",Config!$B$23)</f>
        <v/>
      </c>
      <c r="AE743" t="str">
        <f>IF($AS743="","",Config!$B$28)</f>
        <v/>
      </c>
      <c r="AF743" t="str">
        <f t="shared" si="68"/>
        <v/>
      </c>
      <c r="AG743" t="str">
        <f t="shared" si="69"/>
        <v/>
      </c>
      <c r="AH743" t="str">
        <f t="shared" si="70"/>
        <v/>
      </c>
      <c r="AI743" t="str">
        <f>IF($AG743="","",SUMIF($AG$2:$AG743,$AG743,$AH$2:$AH743))</f>
        <v/>
      </c>
      <c r="AJ743" t="str">
        <f>IF('TMP Paste'!$F743="","",IF('TMP Paste'!$B743="",$AJ742,'TMP Paste'!$B743))</f>
        <v/>
      </c>
      <c r="AK743" t="str">
        <f>IF('TMP Paste'!$F743="","",N('TMP Paste'!$G743))</f>
        <v/>
      </c>
      <c r="AL743" t="str">
        <f>IF('TMP Paste'!$F743="","",IF('TMP Paste'!$M743="",$AL742,'TMP Paste'!$M743))</f>
        <v/>
      </c>
      <c r="AM743" t="str">
        <f>IF('TMP Paste'!$F743="","",IF('TMP Paste'!$N743="",$AM742,'TMP Paste'!$N743))</f>
        <v/>
      </c>
      <c r="AN743" t="str">
        <f>IF('TMP Paste'!$F743="","",IF('TMP Paste'!$O743="",$AN742,'TMP Paste'!$O743))</f>
        <v/>
      </c>
      <c r="AO743" t="str">
        <f>IF('TMP Paste'!$F743="","",IF('TMP Paste'!$P743="",$AO742,'TMP Paste'!$P743))</f>
        <v/>
      </c>
      <c r="AP743" t="str">
        <f t="shared" si="71"/>
        <v/>
      </c>
      <c r="AQ743" t="str">
        <f>IF($AS743="","",TRIM(IF(COUNTIFS(Calc!$B$2:$B$1601,ROW()-1,Calc!$C$2:$C$1601,"&lt;1")&gt;0,"Ada PO tanpa Koli - cek TMP. ","")&amp;IF(OR($AU743="",$AU743&lt;=0),"Volume kosong/0 - dimensi dikosongkan. ","")&amp;IF(AND($AU743&lt;&gt;"",$AU743&gt;=1000000),"Volume &gt;= 1.000.000 cm3 (di luar aturan) - dimensi dikosongkan. ","")&amp;IF(LEN($R743)&gt;500,"R &gt; 500 karakter.","")))</f>
        <v/>
      </c>
      <c r="AS743" t="str">
        <f>IFERROR(MATCH(ROW()-1,Calc!$J$2:$J$1601,0),"")</f>
        <v/>
      </c>
      <c r="AT743" t="str">
        <f>IFERROR(MATCH(ROW()-1,Calc!$K$2:$K$1601,0),"")</f>
        <v/>
      </c>
      <c r="AU743" t="str">
        <f>IF($AS743="","",IFERROR(INDEX('TMP Paste'!$D$2:$D$1601,$AS743)*1000000/$AB743,""))</f>
        <v/>
      </c>
    </row>
    <row r="744" spans="1:47">
      <c r="A744" t="str">
        <f>IF($AS744="","",INDEX('TMP Paste'!$B$2:$B$1601,$AS744))</f>
        <v/>
      </c>
      <c r="B744" t="str">
        <f>IF($AS744="","",Config!$B$14)</f>
        <v/>
      </c>
      <c r="C744" t="str">
        <f>IF($AS744="","",Config!$B$15)</f>
        <v/>
      </c>
      <c r="D744" t="str">
        <f>IF($AS744="","",INDEX('TMP Paste'!$B$2:$B$1601,$AS744))</f>
        <v/>
      </c>
      <c r="E744" t="str">
        <f>IF($AS744="","",Config!$B$27)</f>
        <v/>
      </c>
      <c r="F744" t="str">
        <f>IF($AS744="","",Config!$B$9)</f>
        <v/>
      </c>
      <c r="G744" t="str">
        <f>IF($AS744="","",Config!$B$10)</f>
        <v/>
      </c>
      <c r="H744" t="str">
        <f>IF($AS744="","",Config!$B$11)</f>
        <v/>
      </c>
      <c r="I744" t="str">
        <f>IF($AS744="","",Config!$B$16)</f>
        <v/>
      </c>
      <c r="J744" t="str">
        <f>IF($AS744="","",INDEX('TMP Paste'!$A$2:$A$1601,$AS744))</f>
        <v/>
      </c>
      <c r="K744" t="str">
        <f>IF($AS744="","",INDEX('TMP Paste'!$L$2:$L$1601,$AS744))</f>
        <v/>
      </c>
      <c r="L744" t="str">
        <f>IF($AS744="","",INDEX('TMP Paste'!$I$2:$I$1601,$AS744))</f>
        <v/>
      </c>
      <c r="M744" t="str">
        <f>IF($AS744="","",Config!$B$16)</f>
        <v/>
      </c>
      <c r="N744" t="str">
        <f t="shared" si="66"/>
        <v/>
      </c>
      <c r="O744" t="str">
        <f>IF($AS744="","",INDEX('TMP Paste'!$K$2:$K$1601,$AS744))</f>
        <v/>
      </c>
      <c r="P744" t="str">
        <f t="shared" si="67"/>
        <v/>
      </c>
      <c r="Q744" t="str">
        <f>IF($AS744="","",INDEX('TMP Paste'!$J$2:$J$1601,$AS744))</f>
        <v/>
      </c>
      <c r="R744" t="str">
        <f>IF($AS744="","",Config!$B$24)</f>
        <v/>
      </c>
      <c r="S744" t="str">
        <f ca="1">IF($AS744="","",TEXT(Config!$B$4,"yyyy-mm-dd"))</f>
        <v/>
      </c>
      <c r="T744" t="str">
        <f>IF($AS744="","",Config!$B$17)</f>
        <v/>
      </c>
      <c r="U744" t="str">
        <f>IF($AS744="","",Config!$B$18)</f>
        <v/>
      </c>
      <c r="V744" t="str">
        <f>IF($AS744="","",Config!$B$19)</f>
        <v/>
      </c>
      <c r="W744" t="str">
        <f>IF($AS744="","",INDEX('TMP Paste'!$C$2:$C$1601,$AS744))</f>
        <v/>
      </c>
      <c r="X744" t="str">
        <f>IF($AS744="","",Config!$B$29)</f>
        <v/>
      </c>
      <c r="Y744" t="str">
        <f>IF($AT744="","",INDEX(Calc!$I$2:$I$1601,$AT744)&amp;" - "&amp;INDEX(Calc!$D$2:$D$1601,$AT744)&amp;" koli")</f>
        <v/>
      </c>
      <c r="Z744" t="str">
        <f>IF($AS744="","",Config!$B$21)</f>
        <v/>
      </c>
      <c r="AA744" t="str">
        <f>IF($AS744="","",Config!$B$22)</f>
        <v/>
      </c>
      <c r="AB744" t="str">
        <f>IF($AT744="","",INDEX(Calc!$D$2:$D$1601,$AT744))</f>
        <v/>
      </c>
      <c r="AC744" t="str">
        <f>IF($AT744="","",INDEX(Calc!$G$2:$G$1601,$AT744))</f>
        <v/>
      </c>
      <c r="AD744" t="str">
        <f>IF($AS744="","",Config!$B$23)</f>
        <v/>
      </c>
      <c r="AE744" t="str">
        <f>IF($AS744="","",Config!$B$28)</f>
        <v/>
      </c>
      <c r="AF744" t="str">
        <f t="shared" si="68"/>
        <v/>
      </c>
      <c r="AG744" t="str">
        <f t="shared" si="69"/>
        <v/>
      </c>
      <c r="AH744" t="str">
        <f t="shared" si="70"/>
        <v/>
      </c>
      <c r="AI744" t="str">
        <f>IF($AG744="","",SUMIF($AG$2:$AG744,$AG744,$AH$2:$AH744))</f>
        <v/>
      </c>
      <c r="AJ744" t="str">
        <f>IF('TMP Paste'!$F744="","",IF('TMP Paste'!$B744="",$AJ743,'TMP Paste'!$B744))</f>
        <v/>
      </c>
      <c r="AK744" t="str">
        <f>IF('TMP Paste'!$F744="","",N('TMP Paste'!$G744))</f>
        <v/>
      </c>
      <c r="AL744" t="str">
        <f>IF('TMP Paste'!$F744="","",IF('TMP Paste'!$M744="",$AL743,'TMP Paste'!$M744))</f>
        <v/>
      </c>
      <c r="AM744" t="str">
        <f>IF('TMP Paste'!$F744="","",IF('TMP Paste'!$N744="",$AM743,'TMP Paste'!$N744))</f>
        <v/>
      </c>
      <c r="AN744" t="str">
        <f>IF('TMP Paste'!$F744="","",IF('TMP Paste'!$O744="",$AN743,'TMP Paste'!$O744))</f>
        <v/>
      </c>
      <c r="AO744" t="str">
        <f>IF('TMP Paste'!$F744="","",IF('TMP Paste'!$P744="",$AO743,'TMP Paste'!$P744))</f>
        <v/>
      </c>
      <c r="AP744" t="str">
        <f t="shared" si="71"/>
        <v/>
      </c>
      <c r="AQ744" t="str">
        <f>IF($AS744="","",TRIM(IF(COUNTIFS(Calc!$B$2:$B$1601,ROW()-1,Calc!$C$2:$C$1601,"&lt;1")&gt;0,"Ada PO tanpa Koli - cek TMP. ","")&amp;IF(OR($AU744="",$AU744&lt;=0),"Volume kosong/0 - dimensi dikosongkan. ","")&amp;IF(AND($AU744&lt;&gt;"",$AU744&gt;=1000000),"Volume &gt;= 1.000.000 cm3 (di luar aturan) - dimensi dikosongkan. ","")&amp;IF(LEN($R744)&gt;500,"R &gt; 500 karakter.","")))</f>
        <v/>
      </c>
      <c r="AS744" t="str">
        <f>IFERROR(MATCH(ROW()-1,Calc!$J$2:$J$1601,0),"")</f>
        <v/>
      </c>
      <c r="AT744" t="str">
        <f>IFERROR(MATCH(ROW()-1,Calc!$K$2:$K$1601,0),"")</f>
        <v/>
      </c>
      <c r="AU744" t="str">
        <f>IF($AS744="","",IFERROR(INDEX('TMP Paste'!$D$2:$D$1601,$AS744)*1000000/$AB744,""))</f>
        <v/>
      </c>
    </row>
    <row r="745" spans="1:47">
      <c r="A745" t="str">
        <f>IF($AS745="","",INDEX('TMP Paste'!$B$2:$B$1601,$AS745))</f>
        <v/>
      </c>
      <c r="B745" t="str">
        <f>IF($AS745="","",Config!$B$14)</f>
        <v/>
      </c>
      <c r="C745" t="str">
        <f>IF($AS745="","",Config!$B$15)</f>
        <v/>
      </c>
      <c r="D745" t="str">
        <f>IF($AS745="","",INDEX('TMP Paste'!$B$2:$B$1601,$AS745))</f>
        <v/>
      </c>
      <c r="E745" t="str">
        <f>IF($AS745="","",Config!$B$27)</f>
        <v/>
      </c>
      <c r="F745" t="str">
        <f>IF($AS745="","",Config!$B$9)</f>
        <v/>
      </c>
      <c r="G745" t="str">
        <f>IF($AS745="","",Config!$B$10)</f>
        <v/>
      </c>
      <c r="H745" t="str">
        <f>IF($AS745="","",Config!$B$11)</f>
        <v/>
      </c>
      <c r="I745" t="str">
        <f>IF($AS745="","",Config!$B$16)</f>
        <v/>
      </c>
      <c r="J745" t="str">
        <f>IF($AS745="","",INDEX('TMP Paste'!$A$2:$A$1601,$AS745))</f>
        <v/>
      </c>
      <c r="K745" t="str">
        <f>IF($AS745="","",INDEX('TMP Paste'!$L$2:$L$1601,$AS745))</f>
        <v/>
      </c>
      <c r="L745" t="str">
        <f>IF($AS745="","",INDEX('TMP Paste'!$I$2:$I$1601,$AS745))</f>
        <v/>
      </c>
      <c r="M745" t="str">
        <f>IF($AS745="","",Config!$B$16)</f>
        <v/>
      </c>
      <c r="N745" t="str">
        <f t="shared" si="66"/>
        <v/>
      </c>
      <c r="O745" t="str">
        <f>IF($AS745="","",INDEX('TMP Paste'!$K$2:$K$1601,$AS745))</f>
        <v/>
      </c>
      <c r="P745" t="str">
        <f t="shared" si="67"/>
        <v/>
      </c>
      <c r="Q745" t="str">
        <f>IF($AS745="","",INDEX('TMP Paste'!$J$2:$J$1601,$AS745))</f>
        <v/>
      </c>
      <c r="R745" t="str">
        <f>IF($AS745="","",Config!$B$24)</f>
        <v/>
      </c>
      <c r="S745" t="str">
        <f ca="1">IF($AS745="","",TEXT(Config!$B$4,"yyyy-mm-dd"))</f>
        <v/>
      </c>
      <c r="T745" t="str">
        <f>IF($AS745="","",Config!$B$17)</f>
        <v/>
      </c>
      <c r="U745" t="str">
        <f>IF($AS745="","",Config!$B$18)</f>
        <v/>
      </c>
      <c r="V745" t="str">
        <f>IF($AS745="","",Config!$B$19)</f>
        <v/>
      </c>
      <c r="W745" t="str">
        <f>IF($AS745="","",INDEX('TMP Paste'!$C$2:$C$1601,$AS745))</f>
        <v/>
      </c>
      <c r="X745" t="str">
        <f>IF($AS745="","",Config!$B$29)</f>
        <v/>
      </c>
      <c r="Y745" t="str">
        <f>IF($AT745="","",INDEX(Calc!$I$2:$I$1601,$AT745)&amp;" - "&amp;INDEX(Calc!$D$2:$D$1601,$AT745)&amp;" koli")</f>
        <v/>
      </c>
      <c r="Z745" t="str">
        <f>IF($AS745="","",Config!$B$21)</f>
        <v/>
      </c>
      <c r="AA745" t="str">
        <f>IF($AS745="","",Config!$B$22)</f>
        <v/>
      </c>
      <c r="AB745" t="str">
        <f>IF($AT745="","",INDEX(Calc!$D$2:$D$1601,$AT745))</f>
        <v/>
      </c>
      <c r="AC745" t="str">
        <f>IF($AT745="","",INDEX(Calc!$G$2:$G$1601,$AT745))</f>
        <v/>
      </c>
      <c r="AD745" t="str">
        <f>IF($AS745="","",Config!$B$23)</f>
        <v/>
      </c>
      <c r="AE745" t="str">
        <f>IF($AS745="","",Config!$B$28)</f>
        <v/>
      </c>
      <c r="AF745" t="str">
        <f t="shared" si="68"/>
        <v/>
      </c>
      <c r="AG745" t="str">
        <f t="shared" si="69"/>
        <v/>
      </c>
      <c r="AH745" t="str">
        <f t="shared" si="70"/>
        <v/>
      </c>
      <c r="AI745" t="str">
        <f>IF($AG745="","",SUMIF($AG$2:$AG745,$AG745,$AH$2:$AH745))</f>
        <v/>
      </c>
      <c r="AJ745" t="str">
        <f>IF('TMP Paste'!$F745="","",IF('TMP Paste'!$B745="",$AJ744,'TMP Paste'!$B745))</f>
        <v/>
      </c>
      <c r="AK745" t="str">
        <f>IF('TMP Paste'!$F745="","",N('TMP Paste'!$G745))</f>
        <v/>
      </c>
      <c r="AL745" t="str">
        <f>IF('TMP Paste'!$F745="","",IF('TMP Paste'!$M745="",$AL744,'TMP Paste'!$M745))</f>
        <v/>
      </c>
      <c r="AM745" t="str">
        <f>IF('TMP Paste'!$F745="","",IF('TMP Paste'!$N745="",$AM744,'TMP Paste'!$N745))</f>
        <v/>
      </c>
      <c r="AN745" t="str">
        <f>IF('TMP Paste'!$F745="","",IF('TMP Paste'!$O745="",$AN744,'TMP Paste'!$O745))</f>
        <v/>
      </c>
      <c r="AO745" t="str">
        <f>IF('TMP Paste'!$F745="","",IF('TMP Paste'!$P745="",$AO744,'TMP Paste'!$P745))</f>
        <v/>
      </c>
      <c r="AP745" t="str">
        <f t="shared" si="71"/>
        <v/>
      </c>
      <c r="AQ745" t="str">
        <f>IF($AS745="","",TRIM(IF(COUNTIFS(Calc!$B$2:$B$1601,ROW()-1,Calc!$C$2:$C$1601,"&lt;1")&gt;0,"Ada PO tanpa Koli - cek TMP. ","")&amp;IF(OR($AU745="",$AU745&lt;=0),"Volume kosong/0 - dimensi dikosongkan. ","")&amp;IF(AND($AU745&lt;&gt;"",$AU745&gt;=1000000),"Volume &gt;= 1.000.000 cm3 (di luar aturan) - dimensi dikosongkan. ","")&amp;IF(LEN($R745)&gt;500,"R &gt; 500 karakter.","")))</f>
        <v/>
      </c>
      <c r="AS745" t="str">
        <f>IFERROR(MATCH(ROW()-1,Calc!$J$2:$J$1601,0),"")</f>
        <v/>
      </c>
      <c r="AT745" t="str">
        <f>IFERROR(MATCH(ROW()-1,Calc!$K$2:$K$1601,0),"")</f>
        <v/>
      </c>
      <c r="AU745" t="str">
        <f>IF($AS745="","",IFERROR(INDEX('TMP Paste'!$D$2:$D$1601,$AS745)*1000000/$AB745,""))</f>
        <v/>
      </c>
    </row>
    <row r="746" spans="1:47">
      <c r="A746" t="str">
        <f>IF($AS746="","",INDEX('TMP Paste'!$B$2:$B$1601,$AS746))</f>
        <v/>
      </c>
      <c r="B746" t="str">
        <f>IF($AS746="","",Config!$B$14)</f>
        <v/>
      </c>
      <c r="C746" t="str">
        <f>IF($AS746="","",Config!$B$15)</f>
        <v/>
      </c>
      <c r="D746" t="str">
        <f>IF($AS746="","",INDEX('TMP Paste'!$B$2:$B$1601,$AS746))</f>
        <v/>
      </c>
      <c r="E746" t="str">
        <f>IF($AS746="","",Config!$B$27)</f>
        <v/>
      </c>
      <c r="F746" t="str">
        <f>IF($AS746="","",Config!$B$9)</f>
        <v/>
      </c>
      <c r="G746" t="str">
        <f>IF($AS746="","",Config!$B$10)</f>
        <v/>
      </c>
      <c r="H746" t="str">
        <f>IF($AS746="","",Config!$B$11)</f>
        <v/>
      </c>
      <c r="I746" t="str">
        <f>IF($AS746="","",Config!$B$16)</f>
        <v/>
      </c>
      <c r="J746" t="str">
        <f>IF($AS746="","",INDEX('TMP Paste'!$A$2:$A$1601,$AS746))</f>
        <v/>
      </c>
      <c r="K746" t="str">
        <f>IF($AS746="","",INDEX('TMP Paste'!$L$2:$L$1601,$AS746))</f>
        <v/>
      </c>
      <c r="L746" t="str">
        <f>IF($AS746="","",INDEX('TMP Paste'!$I$2:$I$1601,$AS746))</f>
        <v/>
      </c>
      <c r="M746" t="str">
        <f>IF($AS746="","",Config!$B$16)</f>
        <v/>
      </c>
      <c r="N746" t="str">
        <f t="shared" si="66"/>
        <v/>
      </c>
      <c r="O746" t="str">
        <f>IF($AS746="","",INDEX('TMP Paste'!$K$2:$K$1601,$AS746))</f>
        <v/>
      </c>
      <c r="P746" t="str">
        <f t="shared" si="67"/>
        <v/>
      </c>
      <c r="Q746" t="str">
        <f>IF($AS746="","",INDEX('TMP Paste'!$J$2:$J$1601,$AS746))</f>
        <v/>
      </c>
      <c r="R746" t="str">
        <f>IF($AS746="","",Config!$B$24)</f>
        <v/>
      </c>
      <c r="S746" t="str">
        <f ca="1">IF($AS746="","",TEXT(Config!$B$4,"yyyy-mm-dd"))</f>
        <v/>
      </c>
      <c r="T746" t="str">
        <f>IF($AS746="","",Config!$B$17)</f>
        <v/>
      </c>
      <c r="U746" t="str">
        <f>IF($AS746="","",Config!$B$18)</f>
        <v/>
      </c>
      <c r="V746" t="str">
        <f>IF($AS746="","",Config!$B$19)</f>
        <v/>
      </c>
      <c r="W746" t="str">
        <f>IF($AS746="","",INDEX('TMP Paste'!$C$2:$C$1601,$AS746))</f>
        <v/>
      </c>
      <c r="X746" t="str">
        <f>IF($AS746="","",Config!$B$29)</f>
        <v/>
      </c>
      <c r="Y746" t="str">
        <f>IF($AT746="","",INDEX(Calc!$I$2:$I$1601,$AT746)&amp;" - "&amp;INDEX(Calc!$D$2:$D$1601,$AT746)&amp;" koli")</f>
        <v/>
      </c>
      <c r="Z746" t="str">
        <f>IF($AS746="","",Config!$B$21)</f>
        <v/>
      </c>
      <c r="AA746" t="str">
        <f>IF($AS746="","",Config!$B$22)</f>
        <v/>
      </c>
      <c r="AB746" t="str">
        <f>IF($AT746="","",INDEX(Calc!$D$2:$D$1601,$AT746))</f>
        <v/>
      </c>
      <c r="AC746" t="str">
        <f>IF($AT746="","",INDEX(Calc!$G$2:$G$1601,$AT746))</f>
        <v/>
      </c>
      <c r="AD746" t="str">
        <f>IF($AS746="","",Config!$B$23)</f>
        <v/>
      </c>
      <c r="AE746" t="str">
        <f>IF($AS746="","",Config!$B$28)</f>
        <v/>
      </c>
      <c r="AF746" t="str">
        <f t="shared" si="68"/>
        <v/>
      </c>
      <c r="AG746" t="str">
        <f t="shared" si="69"/>
        <v/>
      </c>
      <c r="AH746" t="str">
        <f t="shared" si="70"/>
        <v/>
      </c>
      <c r="AI746" t="str">
        <f>IF($AG746="","",SUMIF($AG$2:$AG746,$AG746,$AH$2:$AH746))</f>
        <v/>
      </c>
      <c r="AJ746" t="str">
        <f>IF('TMP Paste'!$F746="","",IF('TMP Paste'!$B746="",$AJ745,'TMP Paste'!$B746))</f>
        <v/>
      </c>
      <c r="AK746" t="str">
        <f>IF('TMP Paste'!$F746="","",N('TMP Paste'!$G746))</f>
        <v/>
      </c>
      <c r="AL746" t="str">
        <f>IF('TMP Paste'!$F746="","",IF('TMP Paste'!$M746="",$AL745,'TMP Paste'!$M746))</f>
        <v/>
      </c>
      <c r="AM746" t="str">
        <f>IF('TMP Paste'!$F746="","",IF('TMP Paste'!$N746="",$AM745,'TMP Paste'!$N746))</f>
        <v/>
      </c>
      <c r="AN746" t="str">
        <f>IF('TMP Paste'!$F746="","",IF('TMP Paste'!$O746="",$AN745,'TMP Paste'!$O746))</f>
        <v/>
      </c>
      <c r="AO746" t="str">
        <f>IF('TMP Paste'!$F746="","",IF('TMP Paste'!$P746="",$AO745,'TMP Paste'!$P746))</f>
        <v/>
      </c>
      <c r="AP746" t="str">
        <f t="shared" si="71"/>
        <v/>
      </c>
      <c r="AQ746" t="str">
        <f>IF($AS746="","",TRIM(IF(COUNTIFS(Calc!$B$2:$B$1601,ROW()-1,Calc!$C$2:$C$1601,"&lt;1")&gt;0,"Ada PO tanpa Koli - cek TMP. ","")&amp;IF(OR($AU746="",$AU746&lt;=0),"Volume kosong/0 - dimensi dikosongkan. ","")&amp;IF(AND($AU746&lt;&gt;"",$AU746&gt;=1000000),"Volume &gt;= 1.000.000 cm3 (di luar aturan) - dimensi dikosongkan. ","")&amp;IF(LEN($R746)&gt;500,"R &gt; 500 karakter.","")))</f>
        <v/>
      </c>
      <c r="AS746" t="str">
        <f>IFERROR(MATCH(ROW()-1,Calc!$J$2:$J$1601,0),"")</f>
        <v/>
      </c>
      <c r="AT746" t="str">
        <f>IFERROR(MATCH(ROW()-1,Calc!$K$2:$K$1601,0),"")</f>
        <v/>
      </c>
      <c r="AU746" t="str">
        <f>IF($AS746="","",IFERROR(INDEX('TMP Paste'!$D$2:$D$1601,$AS746)*1000000/$AB746,""))</f>
        <v/>
      </c>
    </row>
    <row r="747" spans="1:47">
      <c r="A747" t="str">
        <f>IF($AS747="","",INDEX('TMP Paste'!$B$2:$B$1601,$AS747))</f>
        <v/>
      </c>
      <c r="B747" t="str">
        <f>IF($AS747="","",Config!$B$14)</f>
        <v/>
      </c>
      <c r="C747" t="str">
        <f>IF($AS747="","",Config!$B$15)</f>
        <v/>
      </c>
      <c r="D747" t="str">
        <f>IF($AS747="","",INDEX('TMP Paste'!$B$2:$B$1601,$AS747))</f>
        <v/>
      </c>
      <c r="E747" t="str">
        <f>IF($AS747="","",Config!$B$27)</f>
        <v/>
      </c>
      <c r="F747" t="str">
        <f>IF($AS747="","",Config!$B$9)</f>
        <v/>
      </c>
      <c r="G747" t="str">
        <f>IF($AS747="","",Config!$B$10)</f>
        <v/>
      </c>
      <c r="H747" t="str">
        <f>IF($AS747="","",Config!$B$11)</f>
        <v/>
      </c>
      <c r="I747" t="str">
        <f>IF($AS747="","",Config!$B$16)</f>
        <v/>
      </c>
      <c r="J747" t="str">
        <f>IF($AS747="","",INDEX('TMP Paste'!$A$2:$A$1601,$AS747))</f>
        <v/>
      </c>
      <c r="K747" t="str">
        <f>IF($AS747="","",INDEX('TMP Paste'!$L$2:$L$1601,$AS747))</f>
        <v/>
      </c>
      <c r="L747" t="str">
        <f>IF($AS747="","",INDEX('TMP Paste'!$I$2:$I$1601,$AS747))</f>
        <v/>
      </c>
      <c r="M747" t="str">
        <f>IF($AS747="","",Config!$B$16)</f>
        <v/>
      </c>
      <c r="N747" t="str">
        <f t="shared" si="66"/>
        <v/>
      </c>
      <c r="O747" t="str">
        <f>IF($AS747="","",INDEX('TMP Paste'!$K$2:$K$1601,$AS747))</f>
        <v/>
      </c>
      <c r="P747" t="str">
        <f t="shared" si="67"/>
        <v/>
      </c>
      <c r="Q747" t="str">
        <f>IF($AS747="","",INDEX('TMP Paste'!$J$2:$J$1601,$AS747))</f>
        <v/>
      </c>
      <c r="R747" t="str">
        <f>IF($AS747="","",Config!$B$24)</f>
        <v/>
      </c>
      <c r="S747" t="str">
        <f ca="1">IF($AS747="","",TEXT(Config!$B$4,"yyyy-mm-dd"))</f>
        <v/>
      </c>
      <c r="T747" t="str">
        <f>IF($AS747="","",Config!$B$17)</f>
        <v/>
      </c>
      <c r="U747" t="str">
        <f>IF($AS747="","",Config!$B$18)</f>
        <v/>
      </c>
      <c r="V747" t="str">
        <f>IF($AS747="","",Config!$B$19)</f>
        <v/>
      </c>
      <c r="W747" t="str">
        <f>IF($AS747="","",INDEX('TMP Paste'!$C$2:$C$1601,$AS747))</f>
        <v/>
      </c>
      <c r="X747" t="str">
        <f>IF($AS747="","",Config!$B$29)</f>
        <v/>
      </c>
      <c r="Y747" t="str">
        <f>IF($AT747="","",INDEX(Calc!$I$2:$I$1601,$AT747)&amp;" - "&amp;INDEX(Calc!$D$2:$D$1601,$AT747)&amp;" koli")</f>
        <v/>
      </c>
      <c r="Z747" t="str">
        <f>IF($AS747="","",Config!$B$21)</f>
        <v/>
      </c>
      <c r="AA747" t="str">
        <f>IF($AS747="","",Config!$B$22)</f>
        <v/>
      </c>
      <c r="AB747" t="str">
        <f>IF($AT747="","",INDEX(Calc!$D$2:$D$1601,$AT747))</f>
        <v/>
      </c>
      <c r="AC747" t="str">
        <f>IF($AT747="","",INDEX(Calc!$G$2:$G$1601,$AT747))</f>
        <v/>
      </c>
      <c r="AD747" t="str">
        <f>IF($AS747="","",Config!$B$23)</f>
        <v/>
      </c>
      <c r="AE747" t="str">
        <f>IF($AS747="","",Config!$B$28)</f>
        <v/>
      </c>
      <c r="AF747" t="str">
        <f t="shared" si="68"/>
        <v/>
      </c>
      <c r="AG747" t="str">
        <f t="shared" si="69"/>
        <v/>
      </c>
      <c r="AH747" t="str">
        <f t="shared" si="70"/>
        <v/>
      </c>
      <c r="AI747" t="str">
        <f>IF($AG747="","",SUMIF($AG$2:$AG747,$AG747,$AH$2:$AH747))</f>
        <v/>
      </c>
      <c r="AJ747" t="str">
        <f>IF('TMP Paste'!$F747="","",IF('TMP Paste'!$B747="",$AJ746,'TMP Paste'!$B747))</f>
        <v/>
      </c>
      <c r="AK747" t="str">
        <f>IF('TMP Paste'!$F747="","",N('TMP Paste'!$G747))</f>
        <v/>
      </c>
      <c r="AL747" t="str">
        <f>IF('TMP Paste'!$F747="","",IF('TMP Paste'!$M747="",$AL746,'TMP Paste'!$M747))</f>
        <v/>
      </c>
      <c r="AM747" t="str">
        <f>IF('TMP Paste'!$F747="","",IF('TMP Paste'!$N747="",$AM746,'TMP Paste'!$N747))</f>
        <v/>
      </c>
      <c r="AN747" t="str">
        <f>IF('TMP Paste'!$F747="","",IF('TMP Paste'!$O747="",$AN746,'TMP Paste'!$O747))</f>
        <v/>
      </c>
      <c r="AO747" t="str">
        <f>IF('TMP Paste'!$F747="","",IF('TMP Paste'!$P747="",$AO746,'TMP Paste'!$P747))</f>
        <v/>
      </c>
      <c r="AP747" t="str">
        <f t="shared" si="71"/>
        <v/>
      </c>
      <c r="AQ747" t="str">
        <f>IF($AS747="","",TRIM(IF(COUNTIFS(Calc!$B$2:$B$1601,ROW()-1,Calc!$C$2:$C$1601,"&lt;1")&gt;0,"Ada PO tanpa Koli - cek TMP. ","")&amp;IF(OR($AU747="",$AU747&lt;=0),"Volume kosong/0 - dimensi dikosongkan. ","")&amp;IF(AND($AU747&lt;&gt;"",$AU747&gt;=1000000),"Volume &gt;= 1.000.000 cm3 (di luar aturan) - dimensi dikosongkan. ","")&amp;IF(LEN($R747)&gt;500,"R &gt; 500 karakter.","")))</f>
        <v/>
      </c>
      <c r="AS747" t="str">
        <f>IFERROR(MATCH(ROW()-1,Calc!$J$2:$J$1601,0),"")</f>
        <v/>
      </c>
      <c r="AT747" t="str">
        <f>IFERROR(MATCH(ROW()-1,Calc!$K$2:$K$1601,0),"")</f>
        <v/>
      </c>
      <c r="AU747" t="str">
        <f>IF($AS747="","",IFERROR(INDEX('TMP Paste'!$D$2:$D$1601,$AS747)*1000000/$AB747,""))</f>
        <v/>
      </c>
    </row>
    <row r="748" spans="1:47">
      <c r="A748" t="str">
        <f>IF($AS748="","",INDEX('TMP Paste'!$B$2:$B$1601,$AS748))</f>
        <v/>
      </c>
      <c r="B748" t="str">
        <f>IF($AS748="","",Config!$B$14)</f>
        <v/>
      </c>
      <c r="C748" t="str">
        <f>IF($AS748="","",Config!$B$15)</f>
        <v/>
      </c>
      <c r="D748" t="str">
        <f>IF($AS748="","",INDEX('TMP Paste'!$B$2:$B$1601,$AS748))</f>
        <v/>
      </c>
      <c r="E748" t="str">
        <f>IF($AS748="","",Config!$B$27)</f>
        <v/>
      </c>
      <c r="F748" t="str">
        <f>IF($AS748="","",Config!$B$9)</f>
        <v/>
      </c>
      <c r="G748" t="str">
        <f>IF($AS748="","",Config!$B$10)</f>
        <v/>
      </c>
      <c r="H748" t="str">
        <f>IF($AS748="","",Config!$B$11)</f>
        <v/>
      </c>
      <c r="I748" t="str">
        <f>IF($AS748="","",Config!$B$16)</f>
        <v/>
      </c>
      <c r="J748" t="str">
        <f>IF($AS748="","",INDEX('TMP Paste'!$A$2:$A$1601,$AS748))</f>
        <v/>
      </c>
      <c r="K748" t="str">
        <f>IF($AS748="","",INDEX('TMP Paste'!$L$2:$L$1601,$AS748))</f>
        <v/>
      </c>
      <c r="L748" t="str">
        <f>IF($AS748="","",INDEX('TMP Paste'!$I$2:$I$1601,$AS748))</f>
        <v/>
      </c>
      <c r="M748" t="str">
        <f>IF($AS748="","",Config!$B$16)</f>
        <v/>
      </c>
      <c r="N748" t="str">
        <f t="shared" si="66"/>
        <v/>
      </c>
      <c r="O748" t="str">
        <f>IF($AS748="","",INDEX('TMP Paste'!$K$2:$K$1601,$AS748))</f>
        <v/>
      </c>
      <c r="P748" t="str">
        <f t="shared" si="67"/>
        <v/>
      </c>
      <c r="Q748" t="str">
        <f>IF($AS748="","",INDEX('TMP Paste'!$J$2:$J$1601,$AS748))</f>
        <v/>
      </c>
      <c r="R748" t="str">
        <f>IF($AS748="","",Config!$B$24)</f>
        <v/>
      </c>
      <c r="S748" t="str">
        <f ca="1">IF($AS748="","",TEXT(Config!$B$4,"yyyy-mm-dd"))</f>
        <v/>
      </c>
      <c r="T748" t="str">
        <f>IF($AS748="","",Config!$B$17)</f>
        <v/>
      </c>
      <c r="U748" t="str">
        <f>IF($AS748="","",Config!$B$18)</f>
        <v/>
      </c>
      <c r="V748" t="str">
        <f>IF($AS748="","",Config!$B$19)</f>
        <v/>
      </c>
      <c r="W748" t="str">
        <f>IF($AS748="","",INDEX('TMP Paste'!$C$2:$C$1601,$AS748))</f>
        <v/>
      </c>
      <c r="X748" t="str">
        <f>IF($AS748="","",Config!$B$29)</f>
        <v/>
      </c>
      <c r="Y748" t="str">
        <f>IF($AT748="","",INDEX(Calc!$I$2:$I$1601,$AT748)&amp;" - "&amp;INDEX(Calc!$D$2:$D$1601,$AT748)&amp;" koli")</f>
        <v/>
      </c>
      <c r="Z748" t="str">
        <f>IF($AS748="","",Config!$B$21)</f>
        <v/>
      </c>
      <c r="AA748" t="str">
        <f>IF($AS748="","",Config!$B$22)</f>
        <v/>
      </c>
      <c r="AB748" t="str">
        <f>IF($AT748="","",INDEX(Calc!$D$2:$D$1601,$AT748))</f>
        <v/>
      </c>
      <c r="AC748" t="str">
        <f>IF($AT748="","",INDEX(Calc!$G$2:$G$1601,$AT748))</f>
        <v/>
      </c>
      <c r="AD748" t="str">
        <f>IF($AS748="","",Config!$B$23)</f>
        <v/>
      </c>
      <c r="AE748" t="str">
        <f>IF($AS748="","",Config!$B$28)</f>
        <v/>
      </c>
      <c r="AF748" t="str">
        <f t="shared" si="68"/>
        <v/>
      </c>
      <c r="AG748" t="str">
        <f t="shared" si="69"/>
        <v/>
      </c>
      <c r="AH748" t="str">
        <f t="shared" si="70"/>
        <v/>
      </c>
      <c r="AI748" t="str">
        <f>IF($AG748="","",SUMIF($AG$2:$AG748,$AG748,$AH$2:$AH748))</f>
        <v/>
      </c>
      <c r="AJ748" t="str">
        <f>IF('TMP Paste'!$F748="","",IF('TMP Paste'!$B748="",$AJ747,'TMP Paste'!$B748))</f>
        <v/>
      </c>
      <c r="AK748" t="str">
        <f>IF('TMP Paste'!$F748="","",N('TMP Paste'!$G748))</f>
        <v/>
      </c>
      <c r="AL748" t="str">
        <f>IF('TMP Paste'!$F748="","",IF('TMP Paste'!$M748="",$AL747,'TMP Paste'!$M748))</f>
        <v/>
      </c>
      <c r="AM748" t="str">
        <f>IF('TMP Paste'!$F748="","",IF('TMP Paste'!$N748="",$AM747,'TMP Paste'!$N748))</f>
        <v/>
      </c>
      <c r="AN748" t="str">
        <f>IF('TMP Paste'!$F748="","",IF('TMP Paste'!$O748="",$AN747,'TMP Paste'!$O748))</f>
        <v/>
      </c>
      <c r="AO748" t="str">
        <f>IF('TMP Paste'!$F748="","",IF('TMP Paste'!$P748="",$AO747,'TMP Paste'!$P748))</f>
        <v/>
      </c>
      <c r="AP748" t="str">
        <f t="shared" si="71"/>
        <v/>
      </c>
      <c r="AQ748" t="str">
        <f>IF($AS748="","",TRIM(IF(COUNTIFS(Calc!$B$2:$B$1601,ROW()-1,Calc!$C$2:$C$1601,"&lt;1")&gt;0,"Ada PO tanpa Koli - cek TMP. ","")&amp;IF(OR($AU748="",$AU748&lt;=0),"Volume kosong/0 - dimensi dikosongkan. ","")&amp;IF(AND($AU748&lt;&gt;"",$AU748&gt;=1000000),"Volume &gt;= 1.000.000 cm3 (di luar aturan) - dimensi dikosongkan. ","")&amp;IF(LEN($R748)&gt;500,"R &gt; 500 karakter.","")))</f>
        <v/>
      </c>
      <c r="AS748" t="str">
        <f>IFERROR(MATCH(ROW()-1,Calc!$J$2:$J$1601,0),"")</f>
        <v/>
      </c>
      <c r="AT748" t="str">
        <f>IFERROR(MATCH(ROW()-1,Calc!$K$2:$K$1601,0),"")</f>
        <v/>
      </c>
      <c r="AU748" t="str">
        <f>IF($AS748="","",IFERROR(INDEX('TMP Paste'!$D$2:$D$1601,$AS748)*1000000/$AB748,""))</f>
        <v/>
      </c>
    </row>
    <row r="749" spans="1:47">
      <c r="A749" t="str">
        <f>IF($AS749="","",INDEX('TMP Paste'!$B$2:$B$1601,$AS749))</f>
        <v/>
      </c>
      <c r="B749" t="str">
        <f>IF($AS749="","",Config!$B$14)</f>
        <v/>
      </c>
      <c r="C749" t="str">
        <f>IF($AS749="","",Config!$B$15)</f>
        <v/>
      </c>
      <c r="D749" t="str">
        <f>IF($AS749="","",INDEX('TMP Paste'!$B$2:$B$1601,$AS749))</f>
        <v/>
      </c>
      <c r="E749" t="str">
        <f>IF($AS749="","",Config!$B$27)</f>
        <v/>
      </c>
      <c r="F749" t="str">
        <f>IF($AS749="","",Config!$B$9)</f>
        <v/>
      </c>
      <c r="G749" t="str">
        <f>IF($AS749="","",Config!$B$10)</f>
        <v/>
      </c>
      <c r="H749" t="str">
        <f>IF($AS749="","",Config!$B$11)</f>
        <v/>
      </c>
      <c r="I749" t="str">
        <f>IF($AS749="","",Config!$B$16)</f>
        <v/>
      </c>
      <c r="J749" t="str">
        <f>IF($AS749="","",INDEX('TMP Paste'!$A$2:$A$1601,$AS749))</f>
        <v/>
      </c>
      <c r="K749" t="str">
        <f>IF($AS749="","",INDEX('TMP Paste'!$L$2:$L$1601,$AS749))</f>
        <v/>
      </c>
      <c r="L749" t="str">
        <f>IF($AS749="","",INDEX('TMP Paste'!$I$2:$I$1601,$AS749))</f>
        <v/>
      </c>
      <c r="M749" t="str">
        <f>IF($AS749="","",Config!$B$16)</f>
        <v/>
      </c>
      <c r="N749" t="str">
        <f t="shared" si="66"/>
        <v/>
      </c>
      <c r="O749" t="str">
        <f>IF($AS749="","",INDEX('TMP Paste'!$K$2:$K$1601,$AS749))</f>
        <v/>
      </c>
      <c r="P749" t="str">
        <f t="shared" si="67"/>
        <v/>
      </c>
      <c r="Q749" t="str">
        <f>IF($AS749="","",INDEX('TMP Paste'!$J$2:$J$1601,$AS749))</f>
        <v/>
      </c>
      <c r="R749" t="str">
        <f>IF($AS749="","",Config!$B$24)</f>
        <v/>
      </c>
      <c r="S749" t="str">
        <f ca="1">IF($AS749="","",TEXT(Config!$B$4,"yyyy-mm-dd"))</f>
        <v/>
      </c>
      <c r="T749" t="str">
        <f>IF($AS749="","",Config!$B$17)</f>
        <v/>
      </c>
      <c r="U749" t="str">
        <f>IF($AS749="","",Config!$B$18)</f>
        <v/>
      </c>
      <c r="V749" t="str">
        <f>IF($AS749="","",Config!$B$19)</f>
        <v/>
      </c>
      <c r="W749" t="str">
        <f>IF($AS749="","",INDEX('TMP Paste'!$C$2:$C$1601,$AS749))</f>
        <v/>
      </c>
      <c r="X749" t="str">
        <f>IF($AS749="","",Config!$B$29)</f>
        <v/>
      </c>
      <c r="Y749" t="str">
        <f>IF($AT749="","",INDEX(Calc!$I$2:$I$1601,$AT749)&amp;" - "&amp;INDEX(Calc!$D$2:$D$1601,$AT749)&amp;" koli")</f>
        <v/>
      </c>
      <c r="Z749" t="str">
        <f>IF($AS749="","",Config!$B$21)</f>
        <v/>
      </c>
      <c r="AA749" t="str">
        <f>IF($AS749="","",Config!$B$22)</f>
        <v/>
      </c>
      <c r="AB749" t="str">
        <f>IF($AT749="","",INDEX(Calc!$D$2:$D$1601,$AT749))</f>
        <v/>
      </c>
      <c r="AC749" t="str">
        <f>IF($AT749="","",INDEX(Calc!$G$2:$G$1601,$AT749))</f>
        <v/>
      </c>
      <c r="AD749" t="str">
        <f>IF($AS749="","",Config!$B$23)</f>
        <v/>
      </c>
      <c r="AE749" t="str">
        <f>IF($AS749="","",Config!$B$28)</f>
        <v/>
      </c>
      <c r="AF749" t="str">
        <f t="shared" si="68"/>
        <v/>
      </c>
      <c r="AG749" t="str">
        <f t="shared" si="69"/>
        <v/>
      </c>
      <c r="AH749" t="str">
        <f t="shared" si="70"/>
        <v/>
      </c>
      <c r="AI749" t="str">
        <f>IF($AG749="","",SUMIF($AG$2:$AG749,$AG749,$AH$2:$AH749))</f>
        <v/>
      </c>
      <c r="AJ749" t="str">
        <f>IF('TMP Paste'!$F749="","",IF('TMP Paste'!$B749="",$AJ748,'TMP Paste'!$B749))</f>
        <v/>
      </c>
      <c r="AK749" t="str">
        <f>IF('TMP Paste'!$F749="","",N('TMP Paste'!$G749))</f>
        <v/>
      </c>
      <c r="AL749" t="str">
        <f>IF('TMP Paste'!$F749="","",IF('TMP Paste'!$M749="",$AL748,'TMP Paste'!$M749))</f>
        <v/>
      </c>
      <c r="AM749" t="str">
        <f>IF('TMP Paste'!$F749="","",IF('TMP Paste'!$N749="",$AM748,'TMP Paste'!$N749))</f>
        <v/>
      </c>
      <c r="AN749" t="str">
        <f>IF('TMP Paste'!$F749="","",IF('TMP Paste'!$O749="",$AN748,'TMP Paste'!$O749))</f>
        <v/>
      </c>
      <c r="AO749" t="str">
        <f>IF('TMP Paste'!$F749="","",IF('TMP Paste'!$P749="",$AO748,'TMP Paste'!$P749))</f>
        <v/>
      </c>
      <c r="AP749" t="str">
        <f t="shared" si="71"/>
        <v/>
      </c>
      <c r="AQ749" t="str">
        <f>IF($AS749="","",TRIM(IF(COUNTIFS(Calc!$B$2:$B$1601,ROW()-1,Calc!$C$2:$C$1601,"&lt;1")&gt;0,"Ada PO tanpa Koli - cek TMP. ","")&amp;IF(OR($AU749="",$AU749&lt;=0),"Volume kosong/0 - dimensi dikosongkan. ","")&amp;IF(AND($AU749&lt;&gt;"",$AU749&gt;=1000000),"Volume &gt;= 1.000.000 cm3 (di luar aturan) - dimensi dikosongkan. ","")&amp;IF(LEN($R749)&gt;500,"R &gt; 500 karakter.","")))</f>
        <v/>
      </c>
      <c r="AS749" t="str">
        <f>IFERROR(MATCH(ROW()-1,Calc!$J$2:$J$1601,0),"")</f>
        <v/>
      </c>
      <c r="AT749" t="str">
        <f>IFERROR(MATCH(ROW()-1,Calc!$K$2:$K$1601,0),"")</f>
        <v/>
      </c>
      <c r="AU749" t="str">
        <f>IF($AS749="","",IFERROR(INDEX('TMP Paste'!$D$2:$D$1601,$AS749)*1000000/$AB749,""))</f>
        <v/>
      </c>
    </row>
    <row r="750" spans="1:47">
      <c r="A750" t="str">
        <f>IF($AS750="","",INDEX('TMP Paste'!$B$2:$B$1601,$AS750))</f>
        <v/>
      </c>
      <c r="B750" t="str">
        <f>IF($AS750="","",Config!$B$14)</f>
        <v/>
      </c>
      <c r="C750" t="str">
        <f>IF($AS750="","",Config!$B$15)</f>
        <v/>
      </c>
      <c r="D750" t="str">
        <f>IF($AS750="","",INDEX('TMP Paste'!$B$2:$B$1601,$AS750))</f>
        <v/>
      </c>
      <c r="E750" t="str">
        <f>IF($AS750="","",Config!$B$27)</f>
        <v/>
      </c>
      <c r="F750" t="str">
        <f>IF($AS750="","",Config!$B$9)</f>
        <v/>
      </c>
      <c r="G750" t="str">
        <f>IF($AS750="","",Config!$B$10)</f>
        <v/>
      </c>
      <c r="H750" t="str">
        <f>IF($AS750="","",Config!$B$11)</f>
        <v/>
      </c>
      <c r="I750" t="str">
        <f>IF($AS750="","",Config!$B$16)</f>
        <v/>
      </c>
      <c r="J750" t="str">
        <f>IF($AS750="","",INDEX('TMP Paste'!$A$2:$A$1601,$AS750))</f>
        <v/>
      </c>
      <c r="K750" t="str">
        <f>IF($AS750="","",INDEX('TMP Paste'!$L$2:$L$1601,$AS750))</f>
        <v/>
      </c>
      <c r="L750" t="str">
        <f>IF($AS750="","",INDEX('TMP Paste'!$I$2:$I$1601,$AS750))</f>
        <v/>
      </c>
      <c r="M750" t="str">
        <f>IF($AS750="","",Config!$B$16)</f>
        <v/>
      </c>
      <c r="N750" t="str">
        <f t="shared" si="66"/>
        <v/>
      </c>
      <c r="O750" t="str">
        <f>IF($AS750="","",INDEX('TMP Paste'!$K$2:$K$1601,$AS750))</f>
        <v/>
      </c>
      <c r="P750" t="str">
        <f t="shared" si="67"/>
        <v/>
      </c>
      <c r="Q750" t="str">
        <f>IF($AS750="","",INDEX('TMP Paste'!$J$2:$J$1601,$AS750))</f>
        <v/>
      </c>
      <c r="R750" t="str">
        <f>IF($AS750="","",Config!$B$24)</f>
        <v/>
      </c>
      <c r="S750" t="str">
        <f ca="1">IF($AS750="","",TEXT(Config!$B$4,"yyyy-mm-dd"))</f>
        <v/>
      </c>
      <c r="T750" t="str">
        <f>IF($AS750="","",Config!$B$17)</f>
        <v/>
      </c>
      <c r="U750" t="str">
        <f>IF($AS750="","",Config!$B$18)</f>
        <v/>
      </c>
      <c r="V750" t="str">
        <f>IF($AS750="","",Config!$B$19)</f>
        <v/>
      </c>
      <c r="W750" t="str">
        <f>IF($AS750="","",INDEX('TMP Paste'!$C$2:$C$1601,$AS750))</f>
        <v/>
      </c>
      <c r="X750" t="str">
        <f>IF($AS750="","",Config!$B$29)</f>
        <v/>
      </c>
      <c r="Y750" t="str">
        <f>IF($AT750="","",INDEX(Calc!$I$2:$I$1601,$AT750)&amp;" - "&amp;INDEX(Calc!$D$2:$D$1601,$AT750)&amp;" koli")</f>
        <v/>
      </c>
      <c r="Z750" t="str">
        <f>IF($AS750="","",Config!$B$21)</f>
        <v/>
      </c>
      <c r="AA750" t="str">
        <f>IF($AS750="","",Config!$B$22)</f>
        <v/>
      </c>
      <c r="AB750" t="str">
        <f>IF($AT750="","",INDEX(Calc!$D$2:$D$1601,$AT750))</f>
        <v/>
      </c>
      <c r="AC750" t="str">
        <f>IF($AT750="","",INDEX(Calc!$G$2:$G$1601,$AT750))</f>
        <v/>
      </c>
      <c r="AD750" t="str">
        <f>IF($AS750="","",Config!$B$23)</f>
        <v/>
      </c>
      <c r="AE750" t="str">
        <f>IF($AS750="","",Config!$B$28)</f>
        <v/>
      </c>
      <c r="AF750" t="str">
        <f t="shared" si="68"/>
        <v/>
      </c>
      <c r="AG750" t="str">
        <f t="shared" si="69"/>
        <v/>
      </c>
      <c r="AH750" t="str">
        <f t="shared" si="70"/>
        <v/>
      </c>
      <c r="AI750" t="str">
        <f>IF($AG750="","",SUMIF($AG$2:$AG750,$AG750,$AH$2:$AH750))</f>
        <v/>
      </c>
      <c r="AJ750" t="str">
        <f>IF('TMP Paste'!$F750="","",IF('TMP Paste'!$B750="",$AJ749,'TMP Paste'!$B750))</f>
        <v/>
      </c>
      <c r="AK750" t="str">
        <f>IF('TMP Paste'!$F750="","",N('TMP Paste'!$G750))</f>
        <v/>
      </c>
      <c r="AL750" t="str">
        <f>IF('TMP Paste'!$F750="","",IF('TMP Paste'!$M750="",$AL749,'TMP Paste'!$M750))</f>
        <v/>
      </c>
      <c r="AM750" t="str">
        <f>IF('TMP Paste'!$F750="","",IF('TMP Paste'!$N750="",$AM749,'TMP Paste'!$N750))</f>
        <v/>
      </c>
      <c r="AN750" t="str">
        <f>IF('TMP Paste'!$F750="","",IF('TMP Paste'!$O750="",$AN749,'TMP Paste'!$O750))</f>
        <v/>
      </c>
      <c r="AO750" t="str">
        <f>IF('TMP Paste'!$F750="","",IF('TMP Paste'!$P750="",$AO749,'TMP Paste'!$P750))</f>
        <v/>
      </c>
      <c r="AP750" t="str">
        <f t="shared" si="71"/>
        <v/>
      </c>
      <c r="AQ750" t="str">
        <f>IF($AS750="","",TRIM(IF(COUNTIFS(Calc!$B$2:$B$1601,ROW()-1,Calc!$C$2:$C$1601,"&lt;1")&gt;0,"Ada PO tanpa Koli - cek TMP. ","")&amp;IF(OR($AU750="",$AU750&lt;=0),"Volume kosong/0 - dimensi dikosongkan. ","")&amp;IF(AND($AU750&lt;&gt;"",$AU750&gt;=1000000),"Volume &gt;= 1.000.000 cm3 (di luar aturan) - dimensi dikosongkan. ","")&amp;IF(LEN($R750)&gt;500,"R &gt; 500 karakter.","")))</f>
        <v/>
      </c>
      <c r="AS750" t="str">
        <f>IFERROR(MATCH(ROW()-1,Calc!$J$2:$J$1601,0),"")</f>
        <v/>
      </c>
      <c r="AT750" t="str">
        <f>IFERROR(MATCH(ROW()-1,Calc!$K$2:$K$1601,0),"")</f>
        <v/>
      </c>
      <c r="AU750" t="str">
        <f>IF($AS750="","",IFERROR(INDEX('TMP Paste'!$D$2:$D$1601,$AS750)*1000000/$AB750,""))</f>
        <v/>
      </c>
    </row>
    <row r="751" spans="1:47">
      <c r="A751" t="str">
        <f>IF($AS751="","",INDEX('TMP Paste'!$B$2:$B$1601,$AS751))</f>
        <v/>
      </c>
      <c r="B751" t="str">
        <f>IF($AS751="","",Config!$B$14)</f>
        <v/>
      </c>
      <c r="C751" t="str">
        <f>IF($AS751="","",Config!$B$15)</f>
        <v/>
      </c>
      <c r="D751" t="str">
        <f>IF($AS751="","",INDEX('TMP Paste'!$B$2:$B$1601,$AS751))</f>
        <v/>
      </c>
      <c r="E751" t="str">
        <f>IF($AS751="","",Config!$B$27)</f>
        <v/>
      </c>
      <c r="F751" t="str">
        <f>IF($AS751="","",Config!$B$9)</f>
        <v/>
      </c>
      <c r="G751" t="str">
        <f>IF($AS751="","",Config!$B$10)</f>
        <v/>
      </c>
      <c r="H751" t="str">
        <f>IF($AS751="","",Config!$B$11)</f>
        <v/>
      </c>
      <c r="I751" t="str">
        <f>IF($AS751="","",Config!$B$16)</f>
        <v/>
      </c>
      <c r="J751" t="str">
        <f>IF($AS751="","",INDEX('TMP Paste'!$A$2:$A$1601,$AS751))</f>
        <v/>
      </c>
      <c r="K751" t="str">
        <f>IF($AS751="","",INDEX('TMP Paste'!$L$2:$L$1601,$AS751))</f>
        <v/>
      </c>
      <c r="L751" t="str">
        <f>IF($AS751="","",INDEX('TMP Paste'!$I$2:$I$1601,$AS751))</f>
        <v/>
      </c>
      <c r="M751" t="str">
        <f>IF($AS751="","",Config!$B$16)</f>
        <v/>
      </c>
      <c r="N751" t="str">
        <f t="shared" si="66"/>
        <v/>
      </c>
      <c r="O751" t="str">
        <f>IF($AS751="","",INDEX('TMP Paste'!$K$2:$K$1601,$AS751))</f>
        <v/>
      </c>
      <c r="P751" t="str">
        <f t="shared" si="67"/>
        <v/>
      </c>
      <c r="Q751" t="str">
        <f>IF($AS751="","",INDEX('TMP Paste'!$J$2:$J$1601,$AS751))</f>
        <v/>
      </c>
      <c r="R751" t="str">
        <f>IF($AS751="","",Config!$B$24)</f>
        <v/>
      </c>
      <c r="S751" t="str">
        <f ca="1">IF($AS751="","",TEXT(Config!$B$4,"yyyy-mm-dd"))</f>
        <v/>
      </c>
      <c r="T751" t="str">
        <f>IF($AS751="","",Config!$B$17)</f>
        <v/>
      </c>
      <c r="U751" t="str">
        <f>IF($AS751="","",Config!$B$18)</f>
        <v/>
      </c>
      <c r="V751" t="str">
        <f>IF($AS751="","",Config!$B$19)</f>
        <v/>
      </c>
      <c r="W751" t="str">
        <f>IF($AS751="","",INDEX('TMP Paste'!$C$2:$C$1601,$AS751))</f>
        <v/>
      </c>
      <c r="X751" t="str">
        <f>IF($AS751="","",Config!$B$29)</f>
        <v/>
      </c>
      <c r="Y751" t="str">
        <f>IF($AT751="","",INDEX(Calc!$I$2:$I$1601,$AT751)&amp;" - "&amp;INDEX(Calc!$D$2:$D$1601,$AT751)&amp;" koli")</f>
        <v/>
      </c>
      <c r="Z751" t="str">
        <f>IF($AS751="","",Config!$B$21)</f>
        <v/>
      </c>
      <c r="AA751" t="str">
        <f>IF($AS751="","",Config!$B$22)</f>
        <v/>
      </c>
      <c r="AB751" t="str">
        <f>IF($AT751="","",INDEX(Calc!$D$2:$D$1601,$AT751))</f>
        <v/>
      </c>
      <c r="AC751" t="str">
        <f>IF($AT751="","",INDEX(Calc!$G$2:$G$1601,$AT751))</f>
        <v/>
      </c>
      <c r="AD751" t="str">
        <f>IF($AS751="","",Config!$B$23)</f>
        <v/>
      </c>
      <c r="AE751" t="str">
        <f>IF($AS751="","",Config!$B$28)</f>
        <v/>
      </c>
      <c r="AF751" t="str">
        <f t="shared" si="68"/>
        <v/>
      </c>
      <c r="AG751" t="str">
        <f t="shared" si="69"/>
        <v/>
      </c>
      <c r="AH751" t="str">
        <f t="shared" si="70"/>
        <v/>
      </c>
      <c r="AI751" t="str">
        <f>IF($AG751="","",SUMIF($AG$2:$AG751,$AG751,$AH$2:$AH751))</f>
        <v/>
      </c>
      <c r="AJ751" t="str">
        <f>IF('TMP Paste'!$F751="","",IF('TMP Paste'!$B751="",$AJ750,'TMP Paste'!$B751))</f>
        <v/>
      </c>
      <c r="AK751" t="str">
        <f>IF('TMP Paste'!$F751="","",N('TMP Paste'!$G751))</f>
        <v/>
      </c>
      <c r="AL751" t="str">
        <f>IF('TMP Paste'!$F751="","",IF('TMP Paste'!$M751="",$AL750,'TMP Paste'!$M751))</f>
        <v/>
      </c>
      <c r="AM751" t="str">
        <f>IF('TMP Paste'!$F751="","",IF('TMP Paste'!$N751="",$AM750,'TMP Paste'!$N751))</f>
        <v/>
      </c>
      <c r="AN751" t="str">
        <f>IF('TMP Paste'!$F751="","",IF('TMP Paste'!$O751="",$AN750,'TMP Paste'!$O751))</f>
        <v/>
      </c>
      <c r="AO751" t="str">
        <f>IF('TMP Paste'!$F751="","",IF('TMP Paste'!$P751="",$AO750,'TMP Paste'!$P751))</f>
        <v/>
      </c>
      <c r="AP751" t="str">
        <f t="shared" si="71"/>
        <v/>
      </c>
      <c r="AQ751" t="str">
        <f>IF($AS751="","",TRIM(IF(COUNTIFS(Calc!$B$2:$B$1601,ROW()-1,Calc!$C$2:$C$1601,"&lt;1")&gt;0,"Ada PO tanpa Koli - cek TMP. ","")&amp;IF(OR($AU751="",$AU751&lt;=0),"Volume kosong/0 - dimensi dikosongkan. ","")&amp;IF(AND($AU751&lt;&gt;"",$AU751&gt;=1000000),"Volume &gt;= 1.000.000 cm3 (di luar aturan) - dimensi dikosongkan. ","")&amp;IF(LEN($R751)&gt;500,"R &gt; 500 karakter.","")))</f>
        <v/>
      </c>
      <c r="AS751" t="str">
        <f>IFERROR(MATCH(ROW()-1,Calc!$J$2:$J$1601,0),"")</f>
        <v/>
      </c>
      <c r="AT751" t="str">
        <f>IFERROR(MATCH(ROW()-1,Calc!$K$2:$K$1601,0),"")</f>
        <v/>
      </c>
      <c r="AU751" t="str">
        <f>IF($AS751="","",IFERROR(INDEX('TMP Paste'!$D$2:$D$1601,$AS751)*1000000/$AB751,""))</f>
        <v/>
      </c>
    </row>
    <row r="752" spans="1:47">
      <c r="A752" t="str">
        <f>IF($AS752="","",INDEX('TMP Paste'!$B$2:$B$1601,$AS752))</f>
        <v/>
      </c>
      <c r="B752" t="str">
        <f>IF($AS752="","",Config!$B$14)</f>
        <v/>
      </c>
      <c r="C752" t="str">
        <f>IF($AS752="","",Config!$B$15)</f>
        <v/>
      </c>
      <c r="D752" t="str">
        <f>IF($AS752="","",INDEX('TMP Paste'!$B$2:$B$1601,$AS752))</f>
        <v/>
      </c>
      <c r="E752" t="str">
        <f>IF($AS752="","",Config!$B$27)</f>
        <v/>
      </c>
      <c r="F752" t="str">
        <f>IF($AS752="","",Config!$B$9)</f>
        <v/>
      </c>
      <c r="G752" t="str">
        <f>IF($AS752="","",Config!$B$10)</f>
        <v/>
      </c>
      <c r="H752" t="str">
        <f>IF($AS752="","",Config!$B$11)</f>
        <v/>
      </c>
      <c r="I752" t="str">
        <f>IF($AS752="","",Config!$B$16)</f>
        <v/>
      </c>
      <c r="J752" t="str">
        <f>IF($AS752="","",INDEX('TMP Paste'!$A$2:$A$1601,$AS752))</f>
        <v/>
      </c>
      <c r="K752" t="str">
        <f>IF($AS752="","",INDEX('TMP Paste'!$L$2:$L$1601,$AS752))</f>
        <v/>
      </c>
      <c r="L752" t="str">
        <f>IF($AS752="","",INDEX('TMP Paste'!$I$2:$I$1601,$AS752))</f>
        <v/>
      </c>
      <c r="M752" t="str">
        <f>IF($AS752="","",Config!$B$16)</f>
        <v/>
      </c>
      <c r="N752" t="str">
        <f t="shared" si="66"/>
        <v/>
      </c>
      <c r="O752" t="str">
        <f>IF($AS752="","",INDEX('TMP Paste'!$K$2:$K$1601,$AS752))</f>
        <v/>
      </c>
      <c r="P752" t="str">
        <f t="shared" si="67"/>
        <v/>
      </c>
      <c r="Q752" t="str">
        <f>IF($AS752="","",INDEX('TMP Paste'!$J$2:$J$1601,$AS752))</f>
        <v/>
      </c>
      <c r="R752" t="str">
        <f>IF($AS752="","",Config!$B$24)</f>
        <v/>
      </c>
      <c r="S752" t="str">
        <f ca="1">IF($AS752="","",TEXT(Config!$B$4,"yyyy-mm-dd"))</f>
        <v/>
      </c>
      <c r="T752" t="str">
        <f>IF($AS752="","",Config!$B$17)</f>
        <v/>
      </c>
      <c r="U752" t="str">
        <f>IF($AS752="","",Config!$B$18)</f>
        <v/>
      </c>
      <c r="V752" t="str">
        <f>IF($AS752="","",Config!$B$19)</f>
        <v/>
      </c>
      <c r="W752" t="str">
        <f>IF($AS752="","",INDEX('TMP Paste'!$C$2:$C$1601,$AS752))</f>
        <v/>
      </c>
      <c r="X752" t="str">
        <f>IF($AS752="","",Config!$B$29)</f>
        <v/>
      </c>
      <c r="Y752" t="str">
        <f>IF($AT752="","",INDEX(Calc!$I$2:$I$1601,$AT752)&amp;" - "&amp;INDEX(Calc!$D$2:$D$1601,$AT752)&amp;" koli")</f>
        <v/>
      </c>
      <c r="Z752" t="str">
        <f>IF($AS752="","",Config!$B$21)</f>
        <v/>
      </c>
      <c r="AA752" t="str">
        <f>IF($AS752="","",Config!$B$22)</f>
        <v/>
      </c>
      <c r="AB752" t="str">
        <f>IF($AT752="","",INDEX(Calc!$D$2:$D$1601,$AT752))</f>
        <v/>
      </c>
      <c r="AC752" t="str">
        <f>IF($AT752="","",INDEX(Calc!$G$2:$G$1601,$AT752))</f>
        <v/>
      </c>
      <c r="AD752" t="str">
        <f>IF($AS752="","",Config!$B$23)</f>
        <v/>
      </c>
      <c r="AE752" t="str">
        <f>IF($AS752="","",Config!$B$28)</f>
        <v/>
      </c>
      <c r="AF752" t="str">
        <f t="shared" si="68"/>
        <v/>
      </c>
      <c r="AG752" t="str">
        <f t="shared" si="69"/>
        <v/>
      </c>
      <c r="AH752" t="str">
        <f t="shared" si="70"/>
        <v/>
      </c>
      <c r="AI752" t="str">
        <f>IF($AG752="","",SUMIF($AG$2:$AG752,$AG752,$AH$2:$AH752))</f>
        <v/>
      </c>
      <c r="AJ752" t="str">
        <f>IF('TMP Paste'!$F752="","",IF('TMP Paste'!$B752="",$AJ751,'TMP Paste'!$B752))</f>
        <v/>
      </c>
      <c r="AK752" t="str">
        <f>IF('TMP Paste'!$F752="","",N('TMP Paste'!$G752))</f>
        <v/>
      </c>
      <c r="AL752" t="str">
        <f>IF('TMP Paste'!$F752="","",IF('TMP Paste'!$M752="",$AL751,'TMP Paste'!$M752))</f>
        <v/>
      </c>
      <c r="AM752" t="str">
        <f>IF('TMP Paste'!$F752="","",IF('TMP Paste'!$N752="",$AM751,'TMP Paste'!$N752))</f>
        <v/>
      </c>
      <c r="AN752" t="str">
        <f>IF('TMP Paste'!$F752="","",IF('TMP Paste'!$O752="",$AN751,'TMP Paste'!$O752))</f>
        <v/>
      </c>
      <c r="AO752" t="str">
        <f>IF('TMP Paste'!$F752="","",IF('TMP Paste'!$P752="",$AO751,'TMP Paste'!$P752))</f>
        <v/>
      </c>
      <c r="AP752" t="str">
        <f t="shared" si="71"/>
        <v/>
      </c>
      <c r="AQ752" t="str">
        <f>IF($AS752="","",TRIM(IF(COUNTIFS(Calc!$B$2:$B$1601,ROW()-1,Calc!$C$2:$C$1601,"&lt;1")&gt;0,"Ada PO tanpa Koli - cek TMP. ","")&amp;IF(OR($AU752="",$AU752&lt;=0),"Volume kosong/0 - dimensi dikosongkan. ","")&amp;IF(AND($AU752&lt;&gt;"",$AU752&gt;=1000000),"Volume &gt;= 1.000.000 cm3 (di luar aturan) - dimensi dikosongkan. ","")&amp;IF(LEN($R752)&gt;500,"R &gt; 500 karakter.","")))</f>
        <v/>
      </c>
      <c r="AS752" t="str">
        <f>IFERROR(MATCH(ROW()-1,Calc!$J$2:$J$1601,0),"")</f>
        <v/>
      </c>
      <c r="AT752" t="str">
        <f>IFERROR(MATCH(ROW()-1,Calc!$K$2:$K$1601,0),"")</f>
        <v/>
      </c>
      <c r="AU752" t="str">
        <f>IF($AS752="","",IFERROR(INDEX('TMP Paste'!$D$2:$D$1601,$AS752)*1000000/$AB752,""))</f>
        <v/>
      </c>
    </row>
    <row r="753" spans="1:47">
      <c r="A753" t="str">
        <f>IF($AS753="","",INDEX('TMP Paste'!$B$2:$B$1601,$AS753))</f>
        <v/>
      </c>
      <c r="B753" t="str">
        <f>IF($AS753="","",Config!$B$14)</f>
        <v/>
      </c>
      <c r="C753" t="str">
        <f>IF($AS753="","",Config!$B$15)</f>
        <v/>
      </c>
      <c r="D753" t="str">
        <f>IF($AS753="","",INDEX('TMP Paste'!$B$2:$B$1601,$AS753))</f>
        <v/>
      </c>
      <c r="E753" t="str">
        <f>IF($AS753="","",Config!$B$27)</f>
        <v/>
      </c>
      <c r="F753" t="str">
        <f>IF($AS753="","",Config!$B$9)</f>
        <v/>
      </c>
      <c r="G753" t="str">
        <f>IF($AS753="","",Config!$B$10)</f>
        <v/>
      </c>
      <c r="H753" t="str">
        <f>IF($AS753="","",Config!$B$11)</f>
        <v/>
      </c>
      <c r="I753" t="str">
        <f>IF($AS753="","",Config!$B$16)</f>
        <v/>
      </c>
      <c r="J753" t="str">
        <f>IF($AS753="","",INDEX('TMP Paste'!$A$2:$A$1601,$AS753))</f>
        <v/>
      </c>
      <c r="K753" t="str">
        <f>IF($AS753="","",INDEX('TMP Paste'!$L$2:$L$1601,$AS753))</f>
        <v/>
      </c>
      <c r="L753" t="str">
        <f>IF($AS753="","",INDEX('TMP Paste'!$I$2:$I$1601,$AS753))</f>
        <v/>
      </c>
      <c r="M753" t="str">
        <f>IF($AS753="","",Config!$B$16)</f>
        <v/>
      </c>
      <c r="N753" t="str">
        <f t="shared" si="66"/>
        <v/>
      </c>
      <c r="O753" t="str">
        <f>IF($AS753="","",INDEX('TMP Paste'!$K$2:$K$1601,$AS753))</f>
        <v/>
      </c>
      <c r="P753" t="str">
        <f t="shared" si="67"/>
        <v/>
      </c>
      <c r="Q753" t="str">
        <f>IF($AS753="","",INDEX('TMP Paste'!$J$2:$J$1601,$AS753))</f>
        <v/>
      </c>
      <c r="R753" t="str">
        <f>IF($AS753="","",Config!$B$24)</f>
        <v/>
      </c>
      <c r="S753" t="str">
        <f ca="1">IF($AS753="","",TEXT(Config!$B$4,"yyyy-mm-dd"))</f>
        <v/>
      </c>
      <c r="T753" t="str">
        <f>IF($AS753="","",Config!$B$17)</f>
        <v/>
      </c>
      <c r="U753" t="str">
        <f>IF($AS753="","",Config!$B$18)</f>
        <v/>
      </c>
      <c r="V753" t="str">
        <f>IF($AS753="","",Config!$B$19)</f>
        <v/>
      </c>
      <c r="W753" t="str">
        <f>IF($AS753="","",INDEX('TMP Paste'!$C$2:$C$1601,$AS753))</f>
        <v/>
      </c>
      <c r="X753" t="str">
        <f>IF($AS753="","",Config!$B$29)</f>
        <v/>
      </c>
      <c r="Y753" t="str">
        <f>IF($AT753="","",INDEX(Calc!$I$2:$I$1601,$AT753)&amp;" - "&amp;INDEX(Calc!$D$2:$D$1601,$AT753)&amp;" koli")</f>
        <v/>
      </c>
      <c r="Z753" t="str">
        <f>IF($AS753="","",Config!$B$21)</f>
        <v/>
      </c>
      <c r="AA753" t="str">
        <f>IF($AS753="","",Config!$B$22)</f>
        <v/>
      </c>
      <c r="AB753" t="str">
        <f>IF($AT753="","",INDEX(Calc!$D$2:$D$1601,$AT753))</f>
        <v/>
      </c>
      <c r="AC753" t="str">
        <f>IF($AT753="","",INDEX(Calc!$G$2:$G$1601,$AT753))</f>
        <v/>
      </c>
      <c r="AD753" t="str">
        <f>IF($AS753="","",Config!$B$23)</f>
        <v/>
      </c>
      <c r="AE753" t="str">
        <f>IF($AS753="","",Config!$B$28)</f>
        <v/>
      </c>
      <c r="AF753" t="str">
        <f t="shared" si="68"/>
        <v/>
      </c>
      <c r="AG753" t="str">
        <f t="shared" si="69"/>
        <v/>
      </c>
      <c r="AH753" t="str">
        <f t="shared" si="70"/>
        <v/>
      </c>
      <c r="AI753" t="str">
        <f>IF($AG753="","",SUMIF($AG$2:$AG753,$AG753,$AH$2:$AH753))</f>
        <v/>
      </c>
      <c r="AJ753" t="str">
        <f>IF('TMP Paste'!$F753="","",IF('TMP Paste'!$B753="",$AJ752,'TMP Paste'!$B753))</f>
        <v/>
      </c>
      <c r="AK753" t="str">
        <f>IF('TMP Paste'!$F753="","",N('TMP Paste'!$G753))</f>
        <v/>
      </c>
      <c r="AL753" t="str">
        <f>IF('TMP Paste'!$F753="","",IF('TMP Paste'!$M753="",$AL752,'TMP Paste'!$M753))</f>
        <v/>
      </c>
      <c r="AM753" t="str">
        <f>IF('TMP Paste'!$F753="","",IF('TMP Paste'!$N753="",$AM752,'TMP Paste'!$N753))</f>
        <v/>
      </c>
      <c r="AN753" t="str">
        <f>IF('TMP Paste'!$F753="","",IF('TMP Paste'!$O753="",$AN752,'TMP Paste'!$O753))</f>
        <v/>
      </c>
      <c r="AO753" t="str">
        <f>IF('TMP Paste'!$F753="","",IF('TMP Paste'!$P753="",$AO752,'TMP Paste'!$P753))</f>
        <v/>
      </c>
      <c r="AP753" t="str">
        <f t="shared" si="71"/>
        <v/>
      </c>
      <c r="AQ753" t="str">
        <f>IF($AS753="","",TRIM(IF(COUNTIFS(Calc!$B$2:$B$1601,ROW()-1,Calc!$C$2:$C$1601,"&lt;1")&gt;0,"Ada PO tanpa Koli - cek TMP. ","")&amp;IF(OR($AU753="",$AU753&lt;=0),"Volume kosong/0 - dimensi dikosongkan. ","")&amp;IF(AND($AU753&lt;&gt;"",$AU753&gt;=1000000),"Volume &gt;= 1.000.000 cm3 (di luar aturan) - dimensi dikosongkan. ","")&amp;IF(LEN($R753)&gt;500,"R &gt; 500 karakter.","")))</f>
        <v/>
      </c>
      <c r="AS753" t="str">
        <f>IFERROR(MATCH(ROW()-1,Calc!$J$2:$J$1601,0),"")</f>
        <v/>
      </c>
      <c r="AT753" t="str">
        <f>IFERROR(MATCH(ROW()-1,Calc!$K$2:$K$1601,0),"")</f>
        <v/>
      </c>
      <c r="AU753" t="str">
        <f>IF($AS753="","",IFERROR(INDEX('TMP Paste'!$D$2:$D$1601,$AS753)*1000000/$AB753,""))</f>
        <v/>
      </c>
    </row>
    <row r="754" spans="1:47">
      <c r="A754" t="str">
        <f>IF($AS754="","",INDEX('TMP Paste'!$B$2:$B$1601,$AS754))</f>
        <v/>
      </c>
      <c r="B754" t="str">
        <f>IF($AS754="","",Config!$B$14)</f>
        <v/>
      </c>
      <c r="C754" t="str">
        <f>IF($AS754="","",Config!$B$15)</f>
        <v/>
      </c>
      <c r="D754" t="str">
        <f>IF($AS754="","",INDEX('TMP Paste'!$B$2:$B$1601,$AS754))</f>
        <v/>
      </c>
      <c r="E754" t="str">
        <f>IF($AS754="","",Config!$B$27)</f>
        <v/>
      </c>
      <c r="F754" t="str">
        <f>IF($AS754="","",Config!$B$9)</f>
        <v/>
      </c>
      <c r="G754" t="str">
        <f>IF($AS754="","",Config!$B$10)</f>
        <v/>
      </c>
      <c r="H754" t="str">
        <f>IF($AS754="","",Config!$B$11)</f>
        <v/>
      </c>
      <c r="I754" t="str">
        <f>IF($AS754="","",Config!$B$16)</f>
        <v/>
      </c>
      <c r="J754" t="str">
        <f>IF($AS754="","",INDEX('TMP Paste'!$A$2:$A$1601,$AS754))</f>
        <v/>
      </c>
      <c r="K754" t="str">
        <f>IF($AS754="","",INDEX('TMP Paste'!$L$2:$L$1601,$AS754))</f>
        <v/>
      </c>
      <c r="L754" t="str">
        <f>IF($AS754="","",INDEX('TMP Paste'!$I$2:$I$1601,$AS754))</f>
        <v/>
      </c>
      <c r="M754" t="str">
        <f>IF($AS754="","",Config!$B$16)</f>
        <v/>
      </c>
      <c r="N754" t="str">
        <f t="shared" si="66"/>
        <v/>
      </c>
      <c r="O754" t="str">
        <f>IF($AS754="","",INDEX('TMP Paste'!$K$2:$K$1601,$AS754))</f>
        <v/>
      </c>
      <c r="P754" t="str">
        <f t="shared" si="67"/>
        <v/>
      </c>
      <c r="Q754" t="str">
        <f>IF($AS754="","",INDEX('TMP Paste'!$J$2:$J$1601,$AS754))</f>
        <v/>
      </c>
      <c r="R754" t="str">
        <f>IF($AS754="","",Config!$B$24)</f>
        <v/>
      </c>
      <c r="S754" t="str">
        <f ca="1">IF($AS754="","",TEXT(Config!$B$4,"yyyy-mm-dd"))</f>
        <v/>
      </c>
      <c r="T754" t="str">
        <f>IF($AS754="","",Config!$B$17)</f>
        <v/>
      </c>
      <c r="U754" t="str">
        <f>IF($AS754="","",Config!$B$18)</f>
        <v/>
      </c>
      <c r="V754" t="str">
        <f>IF($AS754="","",Config!$B$19)</f>
        <v/>
      </c>
      <c r="W754" t="str">
        <f>IF($AS754="","",INDEX('TMP Paste'!$C$2:$C$1601,$AS754))</f>
        <v/>
      </c>
      <c r="X754" t="str">
        <f>IF($AS754="","",Config!$B$29)</f>
        <v/>
      </c>
      <c r="Y754" t="str">
        <f>IF($AT754="","",INDEX(Calc!$I$2:$I$1601,$AT754)&amp;" - "&amp;INDEX(Calc!$D$2:$D$1601,$AT754)&amp;" koli")</f>
        <v/>
      </c>
      <c r="Z754" t="str">
        <f>IF($AS754="","",Config!$B$21)</f>
        <v/>
      </c>
      <c r="AA754" t="str">
        <f>IF($AS754="","",Config!$B$22)</f>
        <v/>
      </c>
      <c r="AB754" t="str">
        <f>IF($AT754="","",INDEX(Calc!$D$2:$D$1601,$AT754))</f>
        <v/>
      </c>
      <c r="AC754" t="str">
        <f>IF($AT754="","",INDEX(Calc!$G$2:$G$1601,$AT754))</f>
        <v/>
      </c>
      <c r="AD754" t="str">
        <f>IF($AS754="","",Config!$B$23)</f>
        <v/>
      </c>
      <c r="AE754" t="str">
        <f>IF($AS754="","",Config!$B$28)</f>
        <v/>
      </c>
      <c r="AF754" t="str">
        <f t="shared" si="68"/>
        <v/>
      </c>
      <c r="AG754" t="str">
        <f t="shared" si="69"/>
        <v/>
      </c>
      <c r="AH754" t="str">
        <f t="shared" si="70"/>
        <v/>
      </c>
      <c r="AI754" t="str">
        <f>IF($AG754="","",SUMIF($AG$2:$AG754,$AG754,$AH$2:$AH754))</f>
        <v/>
      </c>
      <c r="AJ754" t="str">
        <f>IF('TMP Paste'!$F754="","",IF('TMP Paste'!$B754="",$AJ753,'TMP Paste'!$B754))</f>
        <v/>
      </c>
      <c r="AK754" t="str">
        <f>IF('TMP Paste'!$F754="","",N('TMP Paste'!$G754))</f>
        <v/>
      </c>
      <c r="AL754" t="str">
        <f>IF('TMP Paste'!$F754="","",IF('TMP Paste'!$M754="",$AL753,'TMP Paste'!$M754))</f>
        <v/>
      </c>
      <c r="AM754" t="str">
        <f>IF('TMP Paste'!$F754="","",IF('TMP Paste'!$N754="",$AM753,'TMP Paste'!$N754))</f>
        <v/>
      </c>
      <c r="AN754" t="str">
        <f>IF('TMP Paste'!$F754="","",IF('TMP Paste'!$O754="",$AN753,'TMP Paste'!$O754))</f>
        <v/>
      </c>
      <c r="AO754" t="str">
        <f>IF('TMP Paste'!$F754="","",IF('TMP Paste'!$P754="",$AO753,'TMP Paste'!$P754))</f>
        <v/>
      </c>
      <c r="AP754" t="str">
        <f t="shared" si="71"/>
        <v/>
      </c>
      <c r="AQ754" t="str">
        <f>IF($AS754="","",TRIM(IF(COUNTIFS(Calc!$B$2:$B$1601,ROW()-1,Calc!$C$2:$C$1601,"&lt;1")&gt;0,"Ada PO tanpa Koli - cek TMP. ","")&amp;IF(OR($AU754="",$AU754&lt;=0),"Volume kosong/0 - dimensi dikosongkan. ","")&amp;IF(AND($AU754&lt;&gt;"",$AU754&gt;=1000000),"Volume &gt;= 1.000.000 cm3 (di luar aturan) - dimensi dikosongkan. ","")&amp;IF(LEN($R754)&gt;500,"R &gt; 500 karakter.","")))</f>
        <v/>
      </c>
      <c r="AS754" t="str">
        <f>IFERROR(MATCH(ROW()-1,Calc!$J$2:$J$1601,0),"")</f>
        <v/>
      </c>
      <c r="AT754" t="str">
        <f>IFERROR(MATCH(ROW()-1,Calc!$K$2:$K$1601,0),"")</f>
        <v/>
      </c>
      <c r="AU754" t="str">
        <f>IF($AS754="","",IFERROR(INDEX('TMP Paste'!$D$2:$D$1601,$AS754)*1000000/$AB754,""))</f>
        <v/>
      </c>
    </row>
    <row r="755" spans="1:47">
      <c r="A755" t="str">
        <f>IF($AS755="","",INDEX('TMP Paste'!$B$2:$B$1601,$AS755))</f>
        <v/>
      </c>
      <c r="B755" t="str">
        <f>IF($AS755="","",Config!$B$14)</f>
        <v/>
      </c>
      <c r="C755" t="str">
        <f>IF($AS755="","",Config!$B$15)</f>
        <v/>
      </c>
      <c r="D755" t="str">
        <f>IF($AS755="","",INDEX('TMP Paste'!$B$2:$B$1601,$AS755))</f>
        <v/>
      </c>
      <c r="E755" t="str">
        <f>IF($AS755="","",Config!$B$27)</f>
        <v/>
      </c>
      <c r="F755" t="str">
        <f>IF($AS755="","",Config!$B$9)</f>
        <v/>
      </c>
      <c r="G755" t="str">
        <f>IF($AS755="","",Config!$B$10)</f>
        <v/>
      </c>
      <c r="H755" t="str">
        <f>IF($AS755="","",Config!$B$11)</f>
        <v/>
      </c>
      <c r="I755" t="str">
        <f>IF($AS755="","",Config!$B$16)</f>
        <v/>
      </c>
      <c r="J755" t="str">
        <f>IF($AS755="","",INDEX('TMP Paste'!$A$2:$A$1601,$AS755))</f>
        <v/>
      </c>
      <c r="K755" t="str">
        <f>IF($AS755="","",INDEX('TMP Paste'!$L$2:$L$1601,$AS755))</f>
        <v/>
      </c>
      <c r="L755" t="str">
        <f>IF($AS755="","",INDEX('TMP Paste'!$I$2:$I$1601,$AS755))</f>
        <v/>
      </c>
      <c r="M755" t="str">
        <f>IF($AS755="","",Config!$B$16)</f>
        <v/>
      </c>
      <c r="N755" t="str">
        <f t="shared" si="66"/>
        <v/>
      </c>
      <c r="O755" t="str">
        <f>IF($AS755="","",INDEX('TMP Paste'!$K$2:$K$1601,$AS755))</f>
        <v/>
      </c>
      <c r="P755" t="str">
        <f t="shared" si="67"/>
        <v/>
      </c>
      <c r="Q755" t="str">
        <f>IF($AS755="","",INDEX('TMP Paste'!$J$2:$J$1601,$AS755))</f>
        <v/>
      </c>
      <c r="R755" t="str">
        <f>IF($AS755="","",Config!$B$24)</f>
        <v/>
      </c>
      <c r="S755" t="str">
        <f ca="1">IF($AS755="","",TEXT(Config!$B$4,"yyyy-mm-dd"))</f>
        <v/>
      </c>
      <c r="T755" t="str">
        <f>IF($AS755="","",Config!$B$17)</f>
        <v/>
      </c>
      <c r="U755" t="str">
        <f>IF($AS755="","",Config!$B$18)</f>
        <v/>
      </c>
      <c r="V755" t="str">
        <f>IF($AS755="","",Config!$B$19)</f>
        <v/>
      </c>
      <c r="W755" t="str">
        <f>IF($AS755="","",INDEX('TMP Paste'!$C$2:$C$1601,$AS755))</f>
        <v/>
      </c>
      <c r="X755" t="str">
        <f>IF($AS755="","",Config!$B$29)</f>
        <v/>
      </c>
      <c r="Y755" t="str">
        <f>IF($AT755="","",INDEX(Calc!$I$2:$I$1601,$AT755)&amp;" - "&amp;INDEX(Calc!$D$2:$D$1601,$AT755)&amp;" koli")</f>
        <v/>
      </c>
      <c r="Z755" t="str">
        <f>IF($AS755="","",Config!$B$21)</f>
        <v/>
      </c>
      <c r="AA755" t="str">
        <f>IF($AS755="","",Config!$B$22)</f>
        <v/>
      </c>
      <c r="AB755" t="str">
        <f>IF($AT755="","",INDEX(Calc!$D$2:$D$1601,$AT755))</f>
        <v/>
      </c>
      <c r="AC755" t="str">
        <f>IF($AT755="","",INDEX(Calc!$G$2:$G$1601,$AT755))</f>
        <v/>
      </c>
      <c r="AD755" t="str">
        <f>IF($AS755="","",Config!$B$23)</f>
        <v/>
      </c>
      <c r="AE755" t="str">
        <f>IF($AS755="","",Config!$B$28)</f>
        <v/>
      </c>
      <c r="AF755" t="str">
        <f t="shared" si="68"/>
        <v/>
      </c>
      <c r="AG755" t="str">
        <f t="shared" si="69"/>
        <v/>
      </c>
      <c r="AH755" t="str">
        <f t="shared" si="70"/>
        <v/>
      </c>
      <c r="AI755" t="str">
        <f>IF($AG755="","",SUMIF($AG$2:$AG755,$AG755,$AH$2:$AH755))</f>
        <v/>
      </c>
      <c r="AJ755" t="str">
        <f>IF('TMP Paste'!$F755="","",IF('TMP Paste'!$B755="",$AJ754,'TMP Paste'!$B755))</f>
        <v/>
      </c>
      <c r="AK755" t="str">
        <f>IF('TMP Paste'!$F755="","",N('TMP Paste'!$G755))</f>
        <v/>
      </c>
      <c r="AL755" t="str">
        <f>IF('TMP Paste'!$F755="","",IF('TMP Paste'!$M755="",$AL754,'TMP Paste'!$M755))</f>
        <v/>
      </c>
      <c r="AM755" t="str">
        <f>IF('TMP Paste'!$F755="","",IF('TMP Paste'!$N755="",$AM754,'TMP Paste'!$N755))</f>
        <v/>
      </c>
      <c r="AN755" t="str">
        <f>IF('TMP Paste'!$F755="","",IF('TMP Paste'!$O755="",$AN754,'TMP Paste'!$O755))</f>
        <v/>
      </c>
      <c r="AO755" t="str">
        <f>IF('TMP Paste'!$F755="","",IF('TMP Paste'!$P755="",$AO754,'TMP Paste'!$P755))</f>
        <v/>
      </c>
      <c r="AP755" t="str">
        <f t="shared" si="71"/>
        <v/>
      </c>
      <c r="AQ755" t="str">
        <f>IF($AS755="","",TRIM(IF(COUNTIFS(Calc!$B$2:$B$1601,ROW()-1,Calc!$C$2:$C$1601,"&lt;1")&gt;0,"Ada PO tanpa Koli - cek TMP. ","")&amp;IF(OR($AU755="",$AU755&lt;=0),"Volume kosong/0 - dimensi dikosongkan. ","")&amp;IF(AND($AU755&lt;&gt;"",$AU755&gt;=1000000),"Volume &gt;= 1.000.000 cm3 (di luar aturan) - dimensi dikosongkan. ","")&amp;IF(LEN($R755)&gt;500,"R &gt; 500 karakter.","")))</f>
        <v/>
      </c>
      <c r="AS755" t="str">
        <f>IFERROR(MATCH(ROW()-1,Calc!$J$2:$J$1601,0),"")</f>
        <v/>
      </c>
      <c r="AT755" t="str">
        <f>IFERROR(MATCH(ROW()-1,Calc!$K$2:$K$1601,0),"")</f>
        <v/>
      </c>
      <c r="AU755" t="str">
        <f>IF($AS755="","",IFERROR(INDEX('TMP Paste'!$D$2:$D$1601,$AS755)*1000000/$AB755,""))</f>
        <v/>
      </c>
    </row>
    <row r="756" spans="1:47">
      <c r="A756" t="str">
        <f>IF($AS756="","",INDEX('TMP Paste'!$B$2:$B$1601,$AS756))</f>
        <v/>
      </c>
      <c r="B756" t="str">
        <f>IF($AS756="","",Config!$B$14)</f>
        <v/>
      </c>
      <c r="C756" t="str">
        <f>IF($AS756="","",Config!$B$15)</f>
        <v/>
      </c>
      <c r="D756" t="str">
        <f>IF($AS756="","",INDEX('TMP Paste'!$B$2:$B$1601,$AS756))</f>
        <v/>
      </c>
      <c r="E756" t="str">
        <f>IF($AS756="","",Config!$B$27)</f>
        <v/>
      </c>
      <c r="F756" t="str">
        <f>IF($AS756="","",Config!$B$9)</f>
        <v/>
      </c>
      <c r="G756" t="str">
        <f>IF($AS756="","",Config!$B$10)</f>
        <v/>
      </c>
      <c r="H756" t="str">
        <f>IF($AS756="","",Config!$B$11)</f>
        <v/>
      </c>
      <c r="I756" t="str">
        <f>IF($AS756="","",Config!$B$16)</f>
        <v/>
      </c>
      <c r="J756" t="str">
        <f>IF($AS756="","",INDEX('TMP Paste'!$A$2:$A$1601,$AS756))</f>
        <v/>
      </c>
      <c r="K756" t="str">
        <f>IF($AS756="","",INDEX('TMP Paste'!$L$2:$L$1601,$AS756))</f>
        <v/>
      </c>
      <c r="L756" t="str">
        <f>IF($AS756="","",INDEX('TMP Paste'!$I$2:$I$1601,$AS756))</f>
        <v/>
      </c>
      <c r="M756" t="str">
        <f>IF($AS756="","",Config!$B$16)</f>
        <v/>
      </c>
      <c r="N756" t="str">
        <f t="shared" si="66"/>
        <v/>
      </c>
      <c r="O756" t="str">
        <f>IF($AS756="","",INDEX('TMP Paste'!$K$2:$K$1601,$AS756))</f>
        <v/>
      </c>
      <c r="P756" t="str">
        <f t="shared" si="67"/>
        <v/>
      </c>
      <c r="Q756" t="str">
        <f>IF($AS756="","",INDEX('TMP Paste'!$J$2:$J$1601,$AS756))</f>
        <v/>
      </c>
      <c r="R756" t="str">
        <f>IF($AS756="","",Config!$B$24)</f>
        <v/>
      </c>
      <c r="S756" t="str">
        <f ca="1">IF($AS756="","",TEXT(Config!$B$4,"yyyy-mm-dd"))</f>
        <v/>
      </c>
      <c r="T756" t="str">
        <f>IF($AS756="","",Config!$B$17)</f>
        <v/>
      </c>
      <c r="U756" t="str">
        <f>IF($AS756="","",Config!$B$18)</f>
        <v/>
      </c>
      <c r="V756" t="str">
        <f>IF($AS756="","",Config!$B$19)</f>
        <v/>
      </c>
      <c r="W756" t="str">
        <f>IF($AS756="","",INDEX('TMP Paste'!$C$2:$C$1601,$AS756))</f>
        <v/>
      </c>
      <c r="X756" t="str">
        <f>IF($AS756="","",Config!$B$29)</f>
        <v/>
      </c>
      <c r="Y756" t="str">
        <f>IF($AT756="","",INDEX(Calc!$I$2:$I$1601,$AT756)&amp;" - "&amp;INDEX(Calc!$D$2:$D$1601,$AT756)&amp;" koli")</f>
        <v/>
      </c>
      <c r="Z756" t="str">
        <f>IF($AS756="","",Config!$B$21)</f>
        <v/>
      </c>
      <c r="AA756" t="str">
        <f>IF($AS756="","",Config!$B$22)</f>
        <v/>
      </c>
      <c r="AB756" t="str">
        <f>IF($AT756="","",INDEX(Calc!$D$2:$D$1601,$AT756))</f>
        <v/>
      </c>
      <c r="AC756" t="str">
        <f>IF($AT756="","",INDEX(Calc!$G$2:$G$1601,$AT756))</f>
        <v/>
      </c>
      <c r="AD756" t="str">
        <f>IF($AS756="","",Config!$B$23)</f>
        <v/>
      </c>
      <c r="AE756" t="str">
        <f>IF($AS756="","",Config!$B$28)</f>
        <v/>
      </c>
      <c r="AF756" t="str">
        <f t="shared" si="68"/>
        <v/>
      </c>
      <c r="AG756" t="str">
        <f t="shared" si="69"/>
        <v/>
      </c>
      <c r="AH756" t="str">
        <f t="shared" si="70"/>
        <v/>
      </c>
      <c r="AI756" t="str">
        <f>IF($AG756="","",SUMIF($AG$2:$AG756,$AG756,$AH$2:$AH756))</f>
        <v/>
      </c>
      <c r="AJ756" t="str">
        <f>IF('TMP Paste'!$F756="","",IF('TMP Paste'!$B756="",$AJ755,'TMP Paste'!$B756))</f>
        <v/>
      </c>
      <c r="AK756" t="str">
        <f>IF('TMP Paste'!$F756="","",N('TMP Paste'!$G756))</f>
        <v/>
      </c>
      <c r="AL756" t="str">
        <f>IF('TMP Paste'!$F756="","",IF('TMP Paste'!$M756="",$AL755,'TMP Paste'!$M756))</f>
        <v/>
      </c>
      <c r="AM756" t="str">
        <f>IF('TMP Paste'!$F756="","",IF('TMP Paste'!$N756="",$AM755,'TMP Paste'!$N756))</f>
        <v/>
      </c>
      <c r="AN756" t="str">
        <f>IF('TMP Paste'!$F756="","",IF('TMP Paste'!$O756="",$AN755,'TMP Paste'!$O756))</f>
        <v/>
      </c>
      <c r="AO756" t="str">
        <f>IF('TMP Paste'!$F756="","",IF('TMP Paste'!$P756="",$AO755,'TMP Paste'!$P756))</f>
        <v/>
      </c>
      <c r="AP756" t="str">
        <f t="shared" si="71"/>
        <v/>
      </c>
      <c r="AQ756" t="str">
        <f>IF($AS756="","",TRIM(IF(COUNTIFS(Calc!$B$2:$B$1601,ROW()-1,Calc!$C$2:$C$1601,"&lt;1")&gt;0,"Ada PO tanpa Koli - cek TMP. ","")&amp;IF(OR($AU756="",$AU756&lt;=0),"Volume kosong/0 - dimensi dikosongkan. ","")&amp;IF(AND($AU756&lt;&gt;"",$AU756&gt;=1000000),"Volume &gt;= 1.000.000 cm3 (di luar aturan) - dimensi dikosongkan. ","")&amp;IF(LEN($R756)&gt;500,"R &gt; 500 karakter.","")))</f>
        <v/>
      </c>
      <c r="AS756" t="str">
        <f>IFERROR(MATCH(ROW()-1,Calc!$J$2:$J$1601,0),"")</f>
        <v/>
      </c>
      <c r="AT756" t="str">
        <f>IFERROR(MATCH(ROW()-1,Calc!$K$2:$K$1601,0),"")</f>
        <v/>
      </c>
      <c r="AU756" t="str">
        <f>IF($AS756="","",IFERROR(INDEX('TMP Paste'!$D$2:$D$1601,$AS756)*1000000/$AB756,""))</f>
        <v/>
      </c>
    </row>
    <row r="757" spans="1:47">
      <c r="A757" t="str">
        <f>IF($AS757="","",INDEX('TMP Paste'!$B$2:$B$1601,$AS757))</f>
        <v/>
      </c>
      <c r="B757" t="str">
        <f>IF($AS757="","",Config!$B$14)</f>
        <v/>
      </c>
      <c r="C757" t="str">
        <f>IF($AS757="","",Config!$B$15)</f>
        <v/>
      </c>
      <c r="D757" t="str">
        <f>IF($AS757="","",INDEX('TMP Paste'!$B$2:$B$1601,$AS757))</f>
        <v/>
      </c>
      <c r="E757" t="str">
        <f>IF($AS757="","",Config!$B$27)</f>
        <v/>
      </c>
      <c r="F757" t="str">
        <f>IF($AS757="","",Config!$B$9)</f>
        <v/>
      </c>
      <c r="G757" t="str">
        <f>IF($AS757="","",Config!$B$10)</f>
        <v/>
      </c>
      <c r="H757" t="str">
        <f>IF($AS757="","",Config!$B$11)</f>
        <v/>
      </c>
      <c r="I757" t="str">
        <f>IF($AS757="","",Config!$B$16)</f>
        <v/>
      </c>
      <c r="J757" t="str">
        <f>IF($AS757="","",INDEX('TMP Paste'!$A$2:$A$1601,$AS757))</f>
        <v/>
      </c>
      <c r="K757" t="str">
        <f>IF($AS757="","",INDEX('TMP Paste'!$L$2:$L$1601,$AS757))</f>
        <v/>
      </c>
      <c r="L757" t="str">
        <f>IF($AS757="","",INDEX('TMP Paste'!$I$2:$I$1601,$AS757))</f>
        <v/>
      </c>
      <c r="M757" t="str">
        <f>IF($AS757="","",Config!$B$16)</f>
        <v/>
      </c>
      <c r="N757" t="str">
        <f t="shared" si="66"/>
        <v/>
      </c>
      <c r="O757" t="str">
        <f>IF($AS757="","",INDEX('TMP Paste'!$K$2:$K$1601,$AS757))</f>
        <v/>
      </c>
      <c r="P757" t="str">
        <f t="shared" si="67"/>
        <v/>
      </c>
      <c r="Q757" t="str">
        <f>IF($AS757="","",INDEX('TMP Paste'!$J$2:$J$1601,$AS757))</f>
        <v/>
      </c>
      <c r="R757" t="str">
        <f>IF($AS757="","",Config!$B$24)</f>
        <v/>
      </c>
      <c r="S757" t="str">
        <f ca="1">IF($AS757="","",TEXT(Config!$B$4,"yyyy-mm-dd"))</f>
        <v/>
      </c>
      <c r="T757" t="str">
        <f>IF($AS757="","",Config!$B$17)</f>
        <v/>
      </c>
      <c r="U757" t="str">
        <f>IF($AS757="","",Config!$B$18)</f>
        <v/>
      </c>
      <c r="V757" t="str">
        <f>IF($AS757="","",Config!$B$19)</f>
        <v/>
      </c>
      <c r="W757" t="str">
        <f>IF($AS757="","",INDEX('TMP Paste'!$C$2:$C$1601,$AS757))</f>
        <v/>
      </c>
      <c r="X757" t="str">
        <f>IF($AS757="","",Config!$B$29)</f>
        <v/>
      </c>
      <c r="Y757" t="str">
        <f>IF($AT757="","",INDEX(Calc!$I$2:$I$1601,$AT757)&amp;" - "&amp;INDEX(Calc!$D$2:$D$1601,$AT757)&amp;" koli")</f>
        <v/>
      </c>
      <c r="Z757" t="str">
        <f>IF($AS757="","",Config!$B$21)</f>
        <v/>
      </c>
      <c r="AA757" t="str">
        <f>IF($AS757="","",Config!$B$22)</f>
        <v/>
      </c>
      <c r="AB757" t="str">
        <f>IF($AT757="","",INDEX(Calc!$D$2:$D$1601,$AT757))</f>
        <v/>
      </c>
      <c r="AC757" t="str">
        <f>IF($AT757="","",INDEX(Calc!$G$2:$G$1601,$AT757))</f>
        <v/>
      </c>
      <c r="AD757" t="str">
        <f>IF($AS757="","",Config!$B$23)</f>
        <v/>
      </c>
      <c r="AE757" t="str">
        <f>IF($AS757="","",Config!$B$28)</f>
        <v/>
      </c>
      <c r="AF757" t="str">
        <f t="shared" si="68"/>
        <v/>
      </c>
      <c r="AG757" t="str">
        <f t="shared" si="69"/>
        <v/>
      </c>
      <c r="AH757" t="str">
        <f t="shared" si="70"/>
        <v/>
      </c>
      <c r="AI757" t="str">
        <f>IF($AG757="","",SUMIF($AG$2:$AG757,$AG757,$AH$2:$AH757))</f>
        <v/>
      </c>
      <c r="AJ757" t="str">
        <f>IF('TMP Paste'!$F757="","",IF('TMP Paste'!$B757="",$AJ756,'TMP Paste'!$B757))</f>
        <v/>
      </c>
      <c r="AK757" t="str">
        <f>IF('TMP Paste'!$F757="","",N('TMP Paste'!$G757))</f>
        <v/>
      </c>
      <c r="AL757" t="str">
        <f>IF('TMP Paste'!$F757="","",IF('TMP Paste'!$M757="",$AL756,'TMP Paste'!$M757))</f>
        <v/>
      </c>
      <c r="AM757" t="str">
        <f>IF('TMP Paste'!$F757="","",IF('TMP Paste'!$N757="",$AM756,'TMP Paste'!$N757))</f>
        <v/>
      </c>
      <c r="AN757" t="str">
        <f>IF('TMP Paste'!$F757="","",IF('TMP Paste'!$O757="",$AN756,'TMP Paste'!$O757))</f>
        <v/>
      </c>
      <c r="AO757" t="str">
        <f>IF('TMP Paste'!$F757="","",IF('TMP Paste'!$P757="",$AO756,'TMP Paste'!$P757))</f>
        <v/>
      </c>
      <c r="AP757" t="str">
        <f t="shared" si="71"/>
        <v/>
      </c>
      <c r="AQ757" t="str">
        <f>IF($AS757="","",TRIM(IF(COUNTIFS(Calc!$B$2:$B$1601,ROW()-1,Calc!$C$2:$C$1601,"&lt;1")&gt;0,"Ada PO tanpa Koli - cek TMP. ","")&amp;IF(OR($AU757="",$AU757&lt;=0),"Volume kosong/0 - dimensi dikosongkan. ","")&amp;IF(AND($AU757&lt;&gt;"",$AU757&gt;=1000000),"Volume &gt;= 1.000.000 cm3 (di luar aturan) - dimensi dikosongkan. ","")&amp;IF(LEN($R757)&gt;500,"R &gt; 500 karakter.","")))</f>
        <v/>
      </c>
      <c r="AS757" t="str">
        <f>IFERROR(MATCH(ROW()-1,Calc!$J$2:$J$1601,0),"")</f>
        <v/>
      </c>
      <c r="AT757" t="str">
        <f>IFERROR(MATCH(ROW()-1,Calc!$K$2:$K$1601,0),"")</f>
        <v/>
      </c>
      <c r="AU757" t="str">
        <f>IF($AS757="","",IFERROR(INDEX('TMP Paste'!$D$2:$D$1601,$AS757)*1000000/$AB757,""))</f>
        <v/>
      </c>
    </row>
    <row r="758" spans="1:47">
      <c r="A758" t="str">
        <f>IF($AS758="","",INDEX('TMP Paste'!$B$2:$B$1601,$AS758))</f>
        <v/>
      </c>
      <c r="B758" t="str">
        <f>IF($AS758="","",Config!$B$14)</f>
        <v/>
      </c>
      <c r="C758" t="str">
        <f>IF($AS758="","",Config!$B$15)</f>
        <v/>
      </c>
      <c r="D758" t="str">
        <f>IF($AS758="","",INDEX('TMP Paste'!$B$2:$B$1601,$AS758))</f>
        <v/>
      </c>
      <c r="E758" t="str">
        <f>IF($AS758="","",Config!$B$27)</f>
        <v/>
      </c>
      <c r="F758" t="str">
        <f>IF($AS758="","",Config!$B$9)</f>
        <v/>
      </c>
      <c r="G758" t="str">
        <f>IF($AS758="","",Config!$B$10)</f>
        <v/>
      </c>
      <c r="H758" t="str">
        <f>IF($AS758="","",Config!$B$11)</f>
        <v/>
      </c>
      <c r="I758" t="str">
        <f>IF($AS758="","",Config!$B$16)</f>
        <v/>
      </c>
      <c r="J758" t="str">
        <f>IF($AS758="","",INDEX('TMP Paste'!$A$2:$A$1601,$AS758))</f>
        <v/>
      </c>
      <c r="K758" t="str">
        <f>IF($AS758="","",INDEX('TMP Paste'!$L$2:$L$1601,$AS758))</f>
        <v/>
      </c>
      <c r="L758" t="str">
        <f>IF($AS758="","",INDEX('TMP Paste'!$I$2:$I$1601,$AS758))</f>
        <v/>
      </c>
      <c r="M758" t="str">
        <f>IF($AS758="","",Config!$B$16)</f>
        <v/>
      </c>
      <c r="N758" t="str">
        <f t="shared" si="66"/>
        <v/>
      </c>
      <c r="O758" t="str">
        <f>IF($AS758="","",INDEX('TMP Paste'!$K$2:$K$1601,$AS758))</f>
        <v/>
      </c>
      <c r="P758" t="str">
        <f t="shared" si="67"/>
        <v/>
      </c>
      <c r="Q758" t="str">
        <f>IF($AS758="","",INDEX('TMP Paste'!$J$2:$J$1601,$AS758))</f>
        <v/>
      </c>
      <c r="R758" t="str">
        <f>IF($AS758="","",Config!$B$24)</f>
        <v/>
      </c>
      <c r="S758" t="str">
        <f ca="1">IF($AS758="","",TEXT(Config!$B$4,"yyyy-mm-dd"))</f>
        <v/>
      </c>
      <c r="T758" t="str">
        <f>IF($AS758="","",Config!$B$17)</f>
        <v/>
      </c>
      <c r="U758" t="str">
        <f>IF($AS758="","",Config!$B$18)</f>
        <v/>
      </c>
      <c r="V758" t="str">
        <f>IF($AS758="","",Config!$B$19)</f>
        <v/>
      </c>
      <c r="W758" t="str">
        <f>IF($AS758="","",INDEX('TMP Paste'!$C$2:$C$1601,$AS758))</f>
        <v/>
      </c>
      <c r="X758" t="str">
        <f>IF($AS758="","",Config!$B$29)</f>
        <v/>
      </c>
      <c r="Y758" t="str">
        <f>IF($AT758="","",INDEX(Calc!$I$2:$I$1601,$AT758)&amp;" - "&amp;INDEX(Calc!$D$2:$D$1601,$AT758)&amp;" koli")</f>
        <v/>
      </c>
      <c r="Z758" t="str">
        <f>IF($AS758="","",Config!$B$21)</f>
        <v/>
      </c>
      <c r="AA758" t="str">
        <f>IF($AS758="","",Config!$B$22)</f>
        <v/>
      </c>
      <c r="AB758" t="str">
        <f>IF($AT758="","",INDEX(Calc!$D$2:$D$1601,$AT758))</f>
        <v/>
      </c>
      <c r="AC758" t="str">
        <f>IF($AT758="","",INDEX(Calc!$G$2:$G$1601,$AT758))</f>
        <v/>
      </c>
      <c r="AD758" t="str">
        <f>IF($AS758="","",Config!$B$23)</f>
        <v/>
      </c>
      <c r="AE758" t="str">
        <f>IF($AS758="","",Config!$B$28)</f>
        <v/>
      </c>
      <c r="AF758" t="str">
        <f t="shared" si="68"/>
        <v/>
      </c>
      <c r="AG758" t="str">
        <f t="shared" si="69"/>
        <v/>
      </c>
      <c r="AH758" t="str">
        <f t="shared" si="70"/>
        <v/>
      </c>
      <c r="AI758" t="str">
        <f>IF($AG758="","",SUMIF($AG$2:$AG758,$AG758,$AH$2:$AH758))</f>
        <v/>
      </c>
      <c r="AJ758" t="str">
        <f>IF('TMP Paste'!$F758="","",IF('TMP Paste'!$B758="",$AJ757,'TMP Paste'!$B758))</f>
        <v/>
      </c>
      <c r="AK758" t="str">
        <f>IF('TMP Paste'!$F758="","",N('TMP Paste'!$G758))</f>
        <v/>
      </c>
      <c r="AL758" t="str">
        <f>IF('TMP Paste'!$F758="","",IF('TMP Paste'!$M758="",$AL757,'TMP Paste'!$M758))</f>
        <v/>
      </c>
      <c r="AM758" t="str">
        <f>IF('TMP Paste'!$F758="","",IF('TMP Paste'!$N758="",$AM757,'TMP Paste'!$N758))</f>
        <v/>
      </c>
      <c r="AN758" t="str">
        <f>IF('TMP Paste'!$F758="","",IF('TMP Paste'!$O758="",$AN757,'TMP Paste'!$O758))</f>
        <v/>
      </c>
      <c r="AO758" t="str">
        <f>IF('TMP Paste'!$F758="","",IF('TMP Paste'!$P758="",$AO757,'TMP Paste'!$P758))</f>
        <v/>
      </c>
      <c r="AP758" t="str">
        <f t="shared" si="71"/>
        <v/>
      </c>
      <c r="AQ758" t="str">
        <f>IF($AS758="","",TRIM(IF(COUNTIFS(Calc!$B$2:$B$1601,ROW()-1,Calc!$C$2:$C$1601,"&lt;1")&gt;0,"Ada PO tanpa Koli - cek TMP. ","")&amp;IF(OR($AU758="",$AU758&lt;=0),"Volume kosong/0 - dimensi dikosongkan. ","")&amp;IF(AND($AU758&lt;&gt;"",$AU758&gt;=1000000),"Volume &gt;= 1.000.000 cm3 (di luar aturan) - dimensi dikosongkan. ","")&amp;IF(LEN($R758)&gt;500,"R &gt; 500 karakter.","")))</f>
        <v/>
      </c>
      <c r="AS758" t="str">
        <f>IFERROR(MATCH(ROW()-1,Calc!$J$2:$J$1601,0),"")</f>
        <v/>
      </c>
      <c r="AT758" t="str">
        <f>IFERROR(MATCH(ROW()-1,Calc!$K$2:$K$1601,0),"")</f>
        <v/>
      </c>
      <c r="AU758" t="str">
        <f>IF($AS758="","",IFERROR(INDEX('TMP Paste'!$D$2:$D$1601,$AS758)*1000000/$AB758,""))</f>
        <v/>
      </c>
    </row>
    <row r="759" spans="1:47">
      <c r="A759" t="str">
        <f>IF($AS759="","",INDEX('TMP Paste'!$B$2:$B$1601,$AS759))</f>
        <v/>
      </c>
      <c r="B759" t="str">
        <f>IF($AS759="","",Config!$B$14)</f>
        <v/>
      </c>
      <c r="C759" t="str">
        <f>IF($AS759="","",Config!$B$15)</f>
        <v/>
      </c>
      <c r="D759" t="str">
        <f>IF($AS759="","",INDEX('TMP Paste'!$B$2:$B$1601,$AS759))</f>
        <v/>
      </c>
      <c r="E759" t="str">
        <f>IF($AS759="","",Config!$B$27)</f>
        <v/>
      </c>
      <c r="F759" t="str">
        <f>IF($AS759="","",Config!$B$9)</f>
        <v/>
      </c>
      <c r="G759" t="str">
        <f>IF($AS759="","",Config!$B$10)</f>
        <v/>
      </c>
      <c r="H759" t="str">
        <f>IF($AS759="","",Config!$B$11)</f>
        <v/>
      </c>
      <c r="I759" t="str">
        <f>IF($AS759="","",Config!$B$16)</f>
        <v/>
      </c>
      <c r="J759" t="str">
        <f>IF($AS759="","",INDEX('TMP Paste'!$A$2:$A$1601,$AS759))</f>
        <v/>
      </c>
      <c r="K759" t="str">
        <f>IF($AS759="","",INDEX('TMP Paste'!$L$2:$L$1601,$AS759))</f>
        <v/>
      </c>
      <c r="L759" t="str">
        <f>IF($AS759="","",INDEX('TMP Paste'!$I$2:$I$1601,$AS759))</f>
        <v/>
      </c>
      <c r="M759" t="str">
        <f>IF($AS759="","",Config!$B$16)</f>
        <v/>
      </c>
      <c r="N759" t="str">
        <f t="shared" si="66"/>
        <v/>
      </c>
      <c r="O759" t="str">
        <f>IF($AS759="","",INDEX('TMP Paste'!$K$2:$K$1601,$AS759))</f>
        <v/>
      </c>
      <c r="P759" t="str">
        <f t="shared" si="67"/>
        <v/>
      </c>
      <c r="Q759" t="str">
        <f>IF($AS759="","",INDEX('TMP Paste'!$J$2:$J$1601,$AS759))</f>
        <v/>
      </c>
      <c r="R759" t="str">
        <f>IF($AS759="","",Config!$B$24)</f>
        <v/>
      </c>
      <c r="S759" t="str">
        <f ca="1">IF($AS759="","",TEXT(Config!$B$4,"yyyy-mm-dd"))</f>
        <v/>
      </c>
      <c r="T759" t="str">
        <f>IF($AS759="","",Config!$B$17)</f>
        <v/>
      </c>
      <c r="U759" t="str">
        <f>IF($AS759="","",Config!$B$18)</f>
        <v/>
      </c>
      <c r="V759" t="str">
        <f>IF($AS759="","",Config!$B$19)</f>
        <v/>
      </c>
      <c r="W759" t="str">
        <f>IF($AS759="","",INDEX('TMP Paste'!$C$2:$C$1601,$AS759))</f>
        <v/>
      </c>
      <c r="X759" t="str">
        <f>IF($AS759="","",Config!$B$29)</f>
        <v/>
      </c>
      <c r="Y759" t="str">
        <f>IF($AT759="","",INDEX(Calc!$I$2:$I$1601,$AT759)&amp;" - "&amp;INDEX(Calc!$D$2:$D$1601,$AT759)&amp;" koli")</f>
        <v/>
      </c>
      <c r="Z759" t="str">
        <f>IF($AS759="","",Config!$B$21)</f>
        <v/>
      </c>
      <c r="AA759" t="str">
        <f>IF($AS759="","",Config!$B$22)</f>
        <v/>
      </c>
      <c r="AB759" t="str">
        <f>IF($AT759="","",INDEX(Calc!$D$2:$D$1601,$AT759))</f>
        <v/>
      </c>
      <c r="AC759" t="str">
        <f>IF($AT759="","",INDEX(Calc!$G$2:$G$1601,$AT759))</f>
        <v/>
      </c>
      <c r="AD759" t="str">
        <f>IF($AS759="","",Config!$B$23)</f>
        <v/>
      </c>
      <c r="AE759" t="str">
        <f>IF($AS759="","",Config!$B$28)</f>
        <v/>
      </c>
      <c r="AF759" t="str">
        <f t="shared" si="68"/>
        <v/>
      </c>
      <c r="AG759" t="str">
        <f t="shared" si="69"/>
        <v/>
      </c>
      <c r="AH759" t="str">
        <f t="shared" si="70"/>
        <v/>
      </c>
      <c r="AI759" t="str">
        <f>IF($AG759="","",SUMIF($AG$2:$AG759,$AG759,$AH$2:$AH759))</f>
        <v/>
      </c>
      <c r="AJ759" t="str">
        <f>IF('TMP Paste'!$F759="","",IF('TMP Paste'!$B759="",$AJ758,'TMP Paste'!$B759))</f>
        <v/>
      </c>
      <c r="AK759" t="str">
        <f>IF('TMP Paste'!$F759="","",N('TMP Paste'!$G759))</f>
        <v/>
      </c>
      <c r="AL759" t="str">
        <f>IF('TMP Paste'!$F759="","",IF('TMP Paste'!$M759="",$AL758,'TMP Paste'!$M759))</f>
        <v/>
      </c>
      <c r="AM759" t="str">
        <f>IF('TMP Paste'!$F759="","",IF('TMP Paste'!$N759="",$AM758,'TMP Paste'!$N759))</f>
        <v/>
      </c>
      <c r="AN759" t="str">
        <f>IF('TMP Paste'!$F759="","",IF('TMP Paste'!$O759="",$AN758,'TMP Paste'!$O759))</f>
        <v/>
      </c>
      <c r="AO759" t="str">
        <f>IF('TMP Paste'!$F759="","",IF('TMP Paste'!$P759="",$AO758,'TMP Paste'!$P759))</f>
        <v/>
      </c>
      <c r="AP759" t="str">
        <f t="shared" si="71"/>
        <v/>
      </c>
      <c r="AQ759" t="str">
        <f>IF($AS759="","",TRIM(IF(COUNTIFS(Calc!$B$2:$B$1601,ROW()-1,Calc!$C$2:$C$1601,"&lt;1")&gt;0,"Ada PO tanpa Koli - cek TMP. ","")&amp;IF(OR($AU759="",$AU759&lt;=0),"Volume kosong/0 - dimensi dikosongkan. ","")&amp;IF(AND($AU759&lt;&gt;"",$AU759&gt;=1000000),"Volume &gt;= 1.000.000 cm3 (di luar aturan) - dimensi dikosongkan. ","")&amp;IF(LEN($R759)&gt;500,"R &gt; 500 karakter.","")))</f>
        <v/>
      </c>
      <c r="AS759" t="str">
        <f>IFERROR(MATCH(ROW()-1,Calc!$J$2:$J$1601,0),"")</f>
        <v/>
      </c>
      <c r="AT759" t="str">
        <f>IFERROR(MATCH(ROW()-1,Calc!$K$2:$K$1601,0),"")</f>
        <v/>
      </c>
      <c r="AU759" t="str">
        <f>IF($AS759="","",IFERROR(INDEX('TMP Paste'!$D$2:$D$1601,$AS759)*1000000/$AB759,""))</f>
        <v/>
      </c>
    </row>
    <row r="760" spans="1:47">
      <c r="A760" t="str">
        <f>IF($AS760="","",INDEX('TMP Paste'!$B$2:$B$1601,$AS760))</f>
        <v/>
      </c>
      <c r="B760" t="str">
        <f>IF($AS760="","",Config!$B$14)</f>
        <v/>
      </c>
      <c r="C760" t="str">
        <f>IF($AS760="","",Config!$B$15)</f>
        <v/>
      </c>
      <c r="D760" t="str">
        <f>IF($AS760="","",INDEX('TMP Paste'!$B$2:$B$1601,$AS760))</f>
        <v/>
      </c>
      <c r="E760" t="str">
        <f>IF($AS760="","",Config!$B$27)</f>
        <v/>
      </c>
      <c r="F760" t="str">
        <f>IF($AS760="","",Config!$B$9)</f>
        <v/>
      </c>
      <c r="G760" t="str">
        <f>IF($AS760="","",Config!$B$10)</f>
        <v/>
      </c>
      <c r="H760" t="str">
        <f>IF($AS760="","",Config!$B$11)</f>
        <v/>
      </c>
      <c r="I760" t="str">
        <f>IF($AS760="","",Config!$B$16)</f>
        <v/>
      </c>
      <c r="J760" t="str">
        <f>IF($AS760="","",INDEX('TMP Paste'!$A$2:$A$1601,$AS760))</f>
        <v/>
      </c>
      <c r="K760" t="str">
        <f>IF($AS760="","",INDEX('TMP Paste'!$L$2:$L$1601,$AS760))</f>
        <v/>
      </c>
      <c r="L760" t="str">
        <f>IF($AS760="","",INDEX('TMP Paste'!$I$2:$I$1601,$AS760))</f>
        <v/>
      </c>
      <c r="M760" t="str">
        <f>IF($AS760="","",Config!$B$16)</f>
        <v/>
      </c>
      <c r="N760" t="str">
        <f t="shared" si="66"/>
        <v/>
      </c>
      <c r="O760" t="str">
        <f>IF($AS760="","",INDEX('TMP Paste'!$K$2:$K$1601,$AS760))</f>
        <v/>
      </c>
      <c r="P760" t="str">
        <f t="shared" si="67"/>
        <v/>
      </c>
      <c r="Q760" t="str">
        <f>IF($AS760="","",INDEX('TMP Paste'!$J$2:$J$1601,$AS760))</f>
        <v/>
      </c>
      <c r="R760" t="str">
        <f>IF($AS760="","",Config!$B$24)</f>
        <v/>
      </c>
      <c r="S760" t="str">
        <f ca="1">IF($AS760="","",TEXT(Config!$B$4,"yyyy-mm-dd"))</f>
        <v/>
      </c>
      <c r="T760" t="str">
        <f>IF($AS760="","",Config!$B$17)</f>
        <v/>
      </c>
      <c r="U760" t="str">
        <f>IF($AS760="","",Config!$B$18)</f>
        <v/>
      </c>
      <c r="V760" t="str">
        <f>IF($AS760="","",Config!$B$19)</f>
        <v/>
      </c>
      <c r="W760" t="str">
        <f>IF($AS760="","",INDEX('TMP Paste'!$C$2:$C$1601,$AS760))</f>
        <v/>
      </c>
      <c r="X760" t="str">
        <f>IF($AS760="","",Config!$B$29)</f>
        <v/>
      </c>
      <c r="Y760" t="str">
        <f>IF($AT760="","",INDEX(Calc!$I$2:$I$1601,$AT760)&amp;" - "&amp;INDEX(Calc!$D$2:$D$1601,$AT760)&amp;" koli")</f>
        <v/>
      </c>
      <c r="Z760" t="str">
        <f>IF($AS760="","",Config!$B$21)</f>
        <v/>
      </c>
      <c r="AA760" t="str">
        <f>IF($AS760="","",Config!$B$22)</f>
        <v/>
      </c>
      <c r="AB760" t="str">
        <f>IF($AT760="","",INDEX(Calc!$D$2:$D$1601,$AT760))</f>
        <v/>
      </c>
      <c r="AC760" t="str">
        <f>IF($AT760="","",INDEX(Calc!$G$2:$G$1601,$AT760))</f>
        <v/>
      </c>
      <c r="AD760" t="str">
        <f>IF($AS760="","",Config!$B$23)</f>
        <v/>
      </c>
      <c r="AE760" t="str">
        <f>IF($AS760="","",Config!$B$28)</f>
        <v/>
      </c>
      <c r="AF760" t="str">
        <f t="shared" si="68"/>
        <v/>
      </c>
      <c r="AG760" t="str">
        <f t="shared" si="69"/>
        <v/>
      </c>
      <c r="AH760" t="str">
        <f t="shared" si="70"/>
        <v/>
      </c>
      <c r="AI760" t="str">
        <f>IF($AG760="","",SUMIF($AG$2:$AG760,$AG760,$AH$2:$AH760))</f>
        <v/>
      </c>
      <c r="AJ760" t="str">
        <f>IF('TMP Paste'!$F760="","",IF('TMP Paste'!$B760="",$AJ759,'TMP Paste'!$B760))</f>
        <v/>
      </c>
      <c r="AK760" t="str">
        <f>IF('TMP Paste'!$F760="","",N('TMP Paste'!$G760))</f>
        <v/>
      </c>
      <c r="AL760" t="str">
        <f>IF('TMP Paste'!$F760="","",IF('TMP Paste'!$M760="",$AL759,'TMP Paste'!$M760))</f>
        <v/>
      </c>
      <c r="AM760" t="str">
        <f>IF('TMP Paste'!$F760="","",IF('TMP Paste'!$N760="",$AM759,'TMP Paste'!$N760))</f>
        <v/>
      </c>
      <c r="AN760" t="str">
        <f>IF('TMP Paste'!$F760="","",IF('TMP Paste'!$O760="",$AN759,'TMP Paste'!$O760))</f>
        <v/>
      </c>
      <c r="AO760" t="str">
        <f>IF('TMP Paste'!$F760="","",IF('TMP Paste'!$P760="",$AO759,'TMP Paste'!$P760))</f>
        <v/>
      </c>
      <c r="AP760" t="str">
        <f t="shared" si="71"/>
        <v/>
      </c>
      <c r="AQ760" t="str">
        <f>IF($AS760="","",TRIM(IF(COUNTIFS(Calc!$B$2:$B$1601,ROW()-1,Calc!$C$2:$C$1601,"&lt;1")&gt;0,"Ada PO tanpa Koli - cek TMP. ","")&amp;IF(OR($AU760="",$AU760&lt;=0),"Volume kosong/0 - dimensi dikosongkan. ","")&amp;IF(AND($AU760&lt;&gt;"",$AU760&gt;=1000000),"Volume &gt;= 1.000.000 cm3 (di luar aturan) - dimensi dikosongkan. ","")&amp;IF(LEN($R760)&gt;500,"R &gt; 500 karakter.","")))</f>
        <v/>
      </c>
      <c r="AS760" t="str">
        <f>IFERROR(MATCH(ROW()-1,Calc!$J$2:$J$1601,0),"")</f>
        <v/>
      </c>
      <c r="AT760" t="str">
        <f>IFERROR(MATCH(ROW()-1,Calc!$K$2:$K$1601,0),"")</f>
        <v/>
      </c>
      <c r="AU760" t="str">
        <f>IF($AS760="","",IFERROR(INDEX('TMP Paste'!$D$2:$D$1601,$AS760)*1000000/$AB760,""))</f>
        <v/>
      </c>
    </row>
    <row r="761" spans="1:47">
      <c r="A761" t="str">
        <f>IF($AS761="","",INDEX('TMP Paste'!$B$2:$B$1601,$AS761))</f>
        <v/>
      </c>
      <c r="B761" t="str">
        <f>IF($AS761="","",Config!$B$14)</f>
        <v/>
      </c>
      <c r="C761" t="str">
        <f>IF($AS761="","",Config!$B$15)</f>
        <v/>
      </c>
      <c r="D761" t="str">
        <f>IF($AS761="","",INDEX('TMP Paste'!$B$2:$B$1601,$AS761))</f>
        <v/>
      </c>
      <c r="E761" t="str">
        <f>IF($AS761="","",Config!$B$27)</f>
        <v/>
      </c>
      <c r="F761" t="str">
        <f>IF($AS761="","",Config!$B$9)</f>
        <v/>
      </c>
      <c r="G761" t="str">
        <f>IF($AS761="","",Config!$B$10)</f>
        <v/>
      </c>
      <c r="H761" t="str">
        <f>IF($AS761="","",Config!$B$11)</f>
        <v/>
      </c>
      <c r="I761" t="str">
        <f>IF($AS761="","",Config!$B$16)</f>
        <v/>
      </c>
      <c r="J761" t="str">
        <f>IF($AS761="","",INDEX('TMP Paste'!$A$2:$A$1601,$AS761))</f>
        <v/>
      </c>
      <c r="K761" t="str">
        <f>IF($AS761="","",INDEX('TMP Paste'!$L$2:$L$1601,$AS761))</f>
        <v/>
      </c>
      <c r="L761" t="str">
        <f>IF($AS761="","",INDEX('TMP Paste'!$I$2:$I$1601,$AS761))</f>
        <v/>
      </c>
      <c r="M761" t="str">
        <f>IF($AS761="","",Config!$B$16)</f>
        <v/>
      </c>
      <c r="N761" t="str">
        <f t="shared" si="66"/>
        <v/>
      </c>
      <c r="O761" t="str">
        <f>IF($AS761="","",INDEX('TMP Paste'!$K$2:$K$1601,$AS761))</f>
        <v/>
      </c>
      <c r="P761" t="str">
        <f t="shared" si="67"/>
        <v/>
      </c>
      <c r="Q761" t="str">
        <f>IF($AS761="","",INDEX('TMP Paste'!$J$2:$J$1601,$AS761))</f>
        <v/>
      </c>
      <c r="R761" t="str">
        <f>IF($AS761="","",Config!$B$24)</f>
        <v/>
      </c>
      <c r="S761" t="str">
        <f ca="1">IF($AS761="","",TEXT(Config!$B$4,"yyyy-mm-dd"))</f>
        <v/>
      </c>
      <c r="T761" t="str">
        <f>IF($AS761="","",Config!$B$17)</f>
        <v/>
      </c>
      <c r="U761" t="str">
        <f>IF($AS761="","",Config!$B$18)</f>
        <v/>
      </c>
      <c r="V761" t="str">
        <f>IF($AS761="","",Config!$B$19)</f>
        <v/>
      </c>
      <c r="W761" t="str">
        <f>IF($AS761="","",INDEX('TMP Paste'!$C$2:$C$1601,$AS761))</f>
        <v/>
      </c>
      <c r="X761" t="str">
        <f>IF($AS761="","",Config!$B$29)</f>
        <v/>
      </c>
      <c r="Y761" t="str">
        <f>IF($AT761="","",INDEX(Calc!$I$2:$I$1601,$AT761)&amp;" - "&amp;INDEX(Calc!$D$2:$D$1601,$AT761)&amp;" koli")</f>
        <v/>
      </c>
      <c r="Z761" t="str">
        <f>IF($AS761="","",Config!$B$21)</f>
        <v/>
      </c>
      <c r="AA761" t="str">
        <f>IF($AS761="","",Config!$B$22)</f>
        <v/>
      </c>
      <c r="AB761" t="str">
        <f>IF($AT761="","",INDEX(Calc!$D$2:$D$1601,$AT761))</f>
        <v/>
      </c>
      <c r="AC761" t="str">
        <f>IF($AT761="","",INDEX(Calc!$G$2:$G$1601,$AT761))</f>
        <v/>
      </c>
      <c r="AD761" t="str">
        <f>IF($AS761="","",Config!$B$23)</f>
        <v/>
      </c>
      <c r="AE761" t="str">
        <f>IF($AS761="","",Config!$B$28)</f>
        <v/>
      </c>
      <c r="AF761" t="str">
        <f t="shared" si="68"/>
        <v/>
      </c>
      <c r="AG761" t="str">
        <f t="shared" si="69"/>
        <v/>
      </c>
      <c r="AH761" t="str">
        <f t="shared" si="70"/>
        <v/>
      </c>
      <c r="AI761" t="str">
        <f>IF($AG761="","",SUMIF($AG$2:$AG761,$AG761,$AH$2:$AH761))</f>
        <v/>
      </c>
      <c r="AJ761" t="str">
        <f>IF('TMP Paste'!$F761="","",IF('TMP Paste'!$B761="",$AJ760,'TMP Paste'!$B761))</f>
        <v/>
      </c>
      <c r="AK761" t="str">
        <f>IF('TMP Paste'!$F761="","",N('TMP Paste'!$G761))</f>
        <v/>
      </c>
      <c r="AL761" t="str">
        <f>IF('TMP Paste'!$F761="","",IF('TMP Paste'!$M761="",$AL760,'TMP Paste'!$M761))</f>
        <v/>
      </c>
      <c r="AM761" t="str">
        <f>IF('TMP Paste'!$F761="","",IF('TMP Paste'!$N761="",$AM760,'TMP Paste'!$N761))</f>
        <v/>
      </c>
      <c r="AN761" t="str">
        <f>IF('TMP Paste'!$F761="","",IF('TMP Paste'!$O761="",$AN760,'TMP Paste'!$O761))</f>
        <v/>
      </c>
      <c r="AO761" t="str">
        <f>IF('TMP Paste'!$F761="","",IF('TMP Paste'!$P761="",$AO760,'TMP Paste'!$P761))</f>
        <v/>
      </c>
      <c r="AP761" t="str">
        <f t="shared" si="71"/>
        <v/>
      </c>
      <c r="AQ761" t="str">
        <f>IF($AS761="","",TRIM(IF(COUNTIFS(Calc!$B$2:$B$1601,ROW()-1,Calc!$C$2:$C$1601,"&lt;1")&gt;0,"Ada PO tanpa Koli - cek TMP. ","")&amp;IF(OR($AU761="",$AU761&lt;=0),"Volume kosong/0 - dimensi dikosongkan. ","")&amp;IF(AND($AU761&lt;&gt;"",$AU761&gt;=1000000),"Volume &gt;= 1.000.000 cm3 (di luar aturan) - dimensi dikosongkan. ","")&amp;IF(LEN($R761)&gt;500,"R &gt; 500 karakter.","")))</f>
        <v/>
      </c>
      <c r="AS761" t="str">
        <f>IFERROR(MATCH(ROW()-1,Calc!$J$2:$J$1601,0),"")</f>
        <v/>
      </c>
      <c r="AT761" t="str">
        <f>IFERROR(MATCH(ROW()-1,Calc!$K$2:$K$1601,0),"")</f>
        <v/>
      </c>
      <c r="AU761" t="str">
        <f>IF($AS761="","",IFERROR(INDEX('TMP Paste'!$D$2:$D$1601,$AS761)*1000000/$AB761,""))</f>
        <v/>
      </c>
    </row>
    <row r="762" spans="1:47">
      <c r="A762" t="str">
        <f>IF($AS762="","",INDEX('TMP Paste'!$B$2:$B$1601,$AS762))</f>
        <v/>
      </c>
      <c r="B762" t="str">
        <f>IF($AS762="","",Config!$B$14)</f>
        <v/>
      </c>
      <c r="C762" t="str">
        <f>IF($AS762="","",Config!$B$15)</f>
        <v/>
      </c>
      <c r="D762" t="str">
        <f>IF($AS762="","",INDEX('TMP Paste'!$B$2:$B$1601,$AS762))</f>
        <v/>
      </c>
      <c r="E762" t="str">
        <f>IF($AS762="","",Config!$B$27)</f>
        <v/>
      </c>
      <c r="F762" t="str">
        <f>IF($AS762="","",Config!$B$9)</f>
        <v/>
      </c>
      <c r="G762" t="str">
        <f>IF($AS762="","",Config!$B$10)</f>
        <v/>
      </c>
      <c r="H762" t="str">
        <f>IF($AS762="","",Config!$B$11)</f>
        <v/>
      </c>
      <c r="I762" t="str">
        <f>IF($AS762="","",Config!$B$16)</f>
        <v/>
      </c>
      <c r="J762" t="str">
        <f>IF($AS762="","",INDEX('TMP Paste'!$A$2:$A$1601,$AS762))</f>
        <v/>
      </c>
      <c r="K762" t="str">
        <f>IF($AS762="","",INDEX('TMP Paste'!$L$2:$L$1601,$AS762))</f>
        <v/>
      </c>
      <c r="L762" t="str">
        <f>IF($AS762="","",INDEX('TMP Paste'!$I$2:$I$1601,$AS762))</f>
        <v/>
      </c>
      <c r="M762" t="str">
        <f>IF($AS762="","",Config!$B$16)</f>
        <v/>
      </c>
      <c r="N762" t="str">
        <f t="shared" si="66"/>
        <v/>
      </c>
      <c r="O762" t="str">
        <f>IF($AS762="","",INDEX('TMP Paste'!$K$2:$K$1601,$AS762))</f>
        <v/>
      </c>
      <c r="P762" t="str">
        <f t="shared" si="67"/>
        <v/>
      </c>
      <c r="Q762" t="str">
        <f>IF($AS762="","",INDEX('TMP Paste'!$J$2:$J$1601,$AS762))</f>
        <v/>
      </c>
      <c r="R762" t="str">
        <f>IF($AS762="","",Config!$B$24)</f>
        <v/>
      </c>
      <c r="S762" t="str">
        <f ca="1">IF($AS762="","",TEXT(Config!$B$4,"yyyy-mm-dd"))</f>
        <v/>
      </c>
      <c r="T762" t="str">
        <f>IF($AS762="","",Config!$B$17)</f>
        <v/>
      </c>
      <c r="U762" t="str">
        <f>IF($AS762="","",Config!$B$18)</f>
        <v/>
      </c>
      <c r="V762" t="str">
        <f>IF($AS762="","",Config!$B$19)</f>
        <v/>
      </c>
      <c r="W762" t="str">
        <f>IF($AS762="","",INDEX('TMP Paste'!$C$2:$C$1601,$AS762))</f>
        <v/>
      </c>
      <c r="X762" t="str">
        <f>IF($AS762="","",Config!$B$29)</f>
        <v/>
      </c>
      <c r="Y762" t="str">
        <f>IF($AT762="","",INDEX(Calc!$I$2:$I$1601,$AT762)&amp;" - "&amp;INDEX(Calc!$D$2:$D$1601,$AT762)&amp;" koli")</f>
        <v/>
      </c>
      <c r="Z762" t="str">
        <f>IF($AS762="","",Config!$B$21)</f>
        <v/>
      </c>
      <c r="AA762" t="str">
        <f>IF($AS762="","",Config!$B$22)</f>
        <v/>
      </c>
      <c r="AB762" t="str">
        <f>IF($AT762="","",INDEX(Calc!$D$2:$D$1601,$AT762))</f>
        <v/>
      </c>
      <c r="AC762" t="str">
        <f>IF($AT762="","",INDEX(Calc!$G$2:$G$1601,$AT762))</f>
        <v/>
      </c>
      <c r="AD762" t="str">
        <f>IF($AS762="","",Config!$B$23)</f>
        <v/>
      </c>
      <c r="AE762" t="str">
        <f>IF($AS762="","",Config!$B$28)</f>
        <v/>
      </c>
      <c r="AF762" t="str">
        <f t="shared" si="68"/>
        <v/>
      </c>
      <c r="AG762" t="str">
        <f t="shared" si="69"/>
        <v/>
      </c>
      <c r="AH762" t="str">
        <f t="shared" si="70"/>
        <v/>
      </c>
      <c r="AI762" t="str">
        <f>IF($AG762="","",SUMIF($AG$2:$AG762,$AG762,$AH$2:$AH762))</f>
        <v/>
      </c>
      <c r="AJ762" t="str">
        <f>IF('TMP Paste'!$F762="","",IF('TMP Paste'!$B762="",$AJ761,'TMP Paste'!$B762))</f>
        <v/>
      </c>
      <c r="AK762" t="str">
        <f>IF('TMP Paste'!$F762="","",N('TMP Paste'!$G762))</f>
        <v/>
      </c>
      <c r="AL762" t="str">
        <f>IF('TMP Paste'!$F762="","",IF('TMP Paste'!$M762="",$AL761,'TMP Paste'!$M762))</f>
        <v/>
      </c>
      <c r="AM762" t="str">
        <f>IF('TMP Paste'!$F762="","",IF('TMP Paste'!$N762="",$AM761,'TMP Paste'!$N762))</f>
        <v/>
      </c>
      <c r="AN762" t="str">
        <f>IF('TMP Paste'!$F762="","",IF('TMP Paste'!$O762="",$AN761,'TMP Paste'!$O762))</f>
        <v/>
      </c>
      <c r="AO762" t="str">
        <f>IF('TMP Paste'!$F762="","",IF('TMP Paste'!$P762="",$AO761,'TMP Paste'!$P762))</f>
        <v/>
      </c>
      <c r="AP762" t="str">
        <f t="shared" si="71"/>
        <v/>
      </c>
      <c r="AQ762" t="str">
        <f>IF($AS762="","",TRIM(IF(COUNTIFS(Calc!$B$2:$B$1601,ROW()-1,Calc!$C$2:$C$1601,"&lt;1")&gt;0,"Ada PO tanpa Koli - cek TMP. ","")&amp;IF(OR($AU762="",$AU762&lt;=0),"Volume kosong/0 - dimensi dikosongkan. ","")&amp;IF(AND($AU762&lt;&gt;"",$AU762&gt;=1000000),"Volume &gt;= 1.000.000 cm3 (di luar aturan) - dimensi dikosongkan. ","")&amp;IF(LEN($R762)&gt;500,"R &gt; 500 karakter.","")))</f>
        <v/>
      </c>
      <c r="AS762" t="str">
        <f>IFERROR(MATCH(ROW()-1,Calc!$J$2:$J$1601,0),"")</f>
        <v/>
      </c>
      <c r="AT762" t="str">
        <f>IFERROR(MATCH(ROW()-1,Calc!$K$2:$K$1601,0),"")</f>
        <v/>
      </c>
      <c r="AU762" t="str">
        <f>IF($AS762="","",IFERROR(INDEX('TMP Paste'!$D$2:$D$1601,$AS762)*1000000/$AB762,""))</f>
        <v/>
      </c>
    </row>
    <row r="763" spans="1:47">
      <c r="A763" t="str">
        <f>IF($AS763="","",INDEX('TMP Paste'!$B$2:$B$1601,$AS763))</f>
        <v/>
      </c>
      <c r="B763" t="str">
        <f>IF($AS763="","",Config!$B$14)</f>
        <v/>
      </c>
      <c r="C763" t="str">
        <f>IF($AS763="","",Config!$B$15)</f>
        <v/>
      </c>
      <c r="D763" t="str">
        <f>IF($AS763="","",INDEX('TMP Paste'!$B$2:$B$1601,$AS763))</f>
        <v/>
      </c>
      <c r="E763" t="str">
        <f>IF($AS763="","",Config!$B$27)</f>
        <v/>
      </c>
      <c r="F763" t="str">
        <f>IF($AS763="","",Config!$B$9)</f>
        <v/>
      </c>
      <c r="G763" t="str">
        <f>IF($AS763="","",Config!$B$10)</f>
        <v/>
      </c>
      <c r="H763" t="str">
        <f>IF($AS763="","",Config!$B$11)</f>
        <v/>
      </c>
      <c r="I763" t="str">
        <f>IF($AS763="","",Config!$B$16)</f>
        <v/>
      </c>
      <c r="J763" t="str">
        <f>IF($AS763="","",INDEX('TMP Paste'!$A$2:$A$1601,$AS763))</f>
        <v/>
      </c>
      <c r="K763" t="str">
        <f>IF($AS763="","",INDEX('TMP Paste'!$L$2:$L$1601,$AS763))</f>
        <v/>
      </c>
      <c r="L763" t="str">
        <f>IF($AS763="","",INDEX('TMP Paste'!$I$2:$I$1601,$AS763))</f>
        <v/>
      </c>
      <c r="M763" t="str">
        <f>IF($AS763="","",Config!$B$16)</f>
        <v/>
      </c>
      <c r="N763" t="str">
        <f t="shared" si="66"/>
        <v/>
      </c>
      <c r="O763" t="str">
        <f>IF($AS763="","",INDEX('TMP Paste'!$K$2:$K$1601,$AS763))</f>
        <v/>
      </c>
      <c r="P763" t="str">
        <f t="shared" si="67"/>
        <v/>
      </c>
      <c r="Q763" t="str">
        <f>IF($AS763="","",INDEX('TMP Paste'!$J$2:$J$1601,$AS763))</f>
        <v/>
      </c>
      <c r="R763" t="str">
        <f>IF($AS763="","",Config!$B$24)</f>
        <v/>
      </c>
      <c r="S763" t="str">
        <f ca="1">IF($AS763="","",TEXT(Config!$B$4,"yyyy-mm-dd"))</f>
        <v/>
      </c>
      <c r="T763" t="str">
        <f>IF($AS763="","",Config!$B$17)</f>
        <v/>
      </c>
      <c r="U763" t="str">
        <f>IF($AS763="","",Config!$B$18)</f>
        <v/>
      </c>
      <c r="V763" t="str">
        <f>IF($AS763="","",Config!$B$19)</f>
        <v/>
      </c>
      <c r="W763" t="str">
        <f>IF($AS763="","",INDEX('TMP Paste'!$C$2:$C$1601,$AS763))</f>
        <v/>
      </c>
      <c r="X763" t="str">
        <f>IF($AS763="","",Config!$B$29)</f>
        <v/>
      </c>
      <c r="Y763" t="str">
        <f>IF($AT763="","",INDEX(Calc!$I$2:$I$1601,$AT763)&amp;" - "&amp;INDEX(Calc!$D$2:$D$1601,$AT763)&amp;" koli")</f>
        <v/>
      </c>
      <c r="Z763" t="str">
        <f>IF($AS763="","",Config!$B$21)</f>
        <v/>
      </c>
      <c r="AA763" t="str">
        <f>IF($AS763="","",Config!$B$22)</f>
        <v/>
      </c>
      <c r="AB763" t="str">
        <f>IF($AT763="","",INDEX(Calc!$D$2:$D$1601,$AT763))</f>
        <v/>
      </c>
      <c r="AC763" t="str">
        <f>IF($AT763="","",INDEX(Calc!$G$2:$G$1601,$AT763))</f>
        <v/>
      </c>
      <c r="AD763" t="str">
        <f>IF($AS763="","",Config!$B$23)</f>
        <v/>
      </c>
      <c r="AE763" t="str">
        <f>IF($AS763="","",Config!$B$28)</f>
        <v/>
      </c>
      <c r="AF763" t="str">
        <f t="shared" si="68"/>
        <v/>
      </c>
      <c r="AG763" t="str">
        <f t="shared" si="69"/>
        <v/>
      </c>
      <c r="AH763" t="str">
        <f t="shared" si="70"/>
        <v/>
      </c>
      <c r="AI763" t="str">
        <f>IF($AG763="","",SUMIF($AG$2:$AG763,$AG763,$AH$2:$AH763))</f>
        <v/>
      </c>
      <c r="AJ763" t="str">
        <f>IF('TMP Paste'!$F763="","",IF('TMP Paste'!$B763="",$AJ762,'TMP Paste'!$B763))</f>
        <v/>
      </c>
      <c r="AK763" t="str">
        <f>IF('TMP Paste'!$F763="","",N('TMP Paste'!$G763))</f>
        <v/>
      </c>
      <c r="AL763" t="str">
        <f>IF('TMP Paste'!$F763="","",IF('TMP Paste'!$M763="",$AL762,'TMP Paste'!$M763))</f>
        <v/>
      </c>
      <c r="AM763" t="str">
        <f>IF('TMP Paste'!$F763="","",IF('TMP Paste'!$N763="",$AM762,'TMP Paste'!$N763))</f>
        <v/>
      </c>
      <c r="AN763" t="str">
        <f>IF('TMP Paste'!$F763="","",IF('TMP Paste'!$O763="",$AN762,'TMP Paste'!$O763))</f>
        <v/>
      </c>
      <c r="AO763" t="str">
        <f>IF('TMP Paste'!$F763="","",IF('TMP Paste'!$P763="",$AO762,'TMP Paste'!$P763))</f>
        <v/>
      </c>
      <c r="AP763" t="str">
        <f t="shared" si="71"/>
        <v/>
      </c>
      <c r="AQ763" t="str">
        <f>IF($AS763="","",TRIM(IF(COUNTIFS(Calc!$B$2:$B$1601,ROW()-1,Calc!$C$2:$C$1601,"&lt;1")&gt;0,"Ada PO tanpa Koli - cek TMP. ","")&amp;IF(OR($AU763="",$AU763&lt;=0),"Volume kosong/0 - dimensi dikosongkan. ","")&amp;IF(AND($AU763&lt;&gt;"",$AU763&gt;=1000000),"Volume &gt;= 1.000.000 cm3 (di luar aturan) - dimensi dikosongkan. ","")&amp;IF(LEN($R763)&gt;500,"R &gt; 500 karakter.","")))</f>
        <v/>
      </c>
      <c r="AS763" t="str">
        <f>IFERROR(MATCH(ROW()-1,Calc!$J$2:$J$1601,0),"")</f>
        <v/>
      </c>
      <c r="AT763" t="str">
        <f>IFERROR(MATCH(ROW()-1,Calc!$K$2:$K$1601,0),"")</f>
        <v/>
      </c>
      <c r="AU763" t="str">
        <f>IF($AS763="","",IFERROR(INDEX('TMP Paste'!$D$2:$D$1601,$AS763)*1000000/$AB763,""))</f>
        <v/>
      </c>
    </row>
    <row r="764" spans="1:47">
      <c r="A764" t="str">
        <f>IF($AS764="","",INDEX('TMP Paste'!$B$2:$B$1601,$AS764))</f>
        <v/>
      </c>
      <c r="B764" t="str">
        <f>IF($AS764="","",Config!$B$14)</f>
        <v/>
      </c>
      <c r="C764" t="str">
        <f>IF($AS764="","",Config!$B$15)</f>
        <v/>
      </c>
      <c r="D764" t="str">
        <f>IF($AS764="","",INDEX('TMP Paste'!$B$2:$B$1601,$AS764))</f>
        <v/>
      </c>
      <c r="E764" t="str">
        <f>IF($AS764="","",Config!$B$27)</f>
        <v/>
      </c>
      <c r="F764" t="str">
        <f>IF($AS764="","",Config!$B$9)</f>
        <v/>
      </c>
      <c r="G764" t="str">
        <f>IF($AS764="","",Config!$B$10)</f>
        <v/>
      </c>
      <c r="H764" t="str">
        <f>IF($AS764="","",Config!$B$11)</f>
        <v/>
      </c>
      <c r="I764" t="str">
        <f>IF($AS764="","",Config!$B$16)</f>
        <v/>
      </c>
      <c r="J764" t="str">
        <f>IF($AS764="","",INDEX('TMP Paste'!$A$2:$A$1601,$AS764))</f>
        <v/>
      </c>
      <c r="K764" t="str">
        <f>IF($AS764="","",INDEX('TMP Paste'!$L$2:$L$1601,$AS764))</f>
        <v/>
      </c>
      <c r="L764" t="str">
        <f>IF($AS764="","",INDEX('TMP Paste'!$I$2:$I$1601,$AS764))</f>
        <v/>
      </c>
      <c r="M764" t="str">
        <f>IF($AS764="","",Config!$B$16)</f>
        <v/>
      </c>
      <c r="N764" t="str">
        <f t="shared" si="66"/>
        <v/>
      </c>
      <c r="O764" t="str">
        <f>IF($AS764="","",INDEX('TMP Paste'!$K$2:$K$1601,$AS764))</f>
        <v/>
      </c>
      <c r="P764" t="str">
        <f t="shared" si="67"/>
        <v/>
      </c>
      <c r="Q764" t="str">
        <f>IF($AS764="","",INDEX('TMP Paste'!$J$2:$J$1601,$AS764))</f>
        <v/>
      </c>
      <c r="R764" t="str">
        <f>IF($AS764="","",Config!$B$24)</f>
        <v/>
      </c>
      <c r="S764" t="str">
        <f ca="1">IF($AS764="","",TEXT(Config!$B$4,"yyyy-mm-dd"))</f>
        <v/>
      </c>
      <c r="T764" t="str">
        <f>IF($AS764="","",Config!$B$17)</f>
        <v/>
      </c>
      <c r="U764" t="str">
        <f>IF($AS764="","",Config!$B$18)</f>
        <v/>
      </c>
      <c r="V764" t="str">
        <f>IF($AS764="","",Config!$B$19)</f>
        <v/>
      </c>
      <c r="W764" t="str">
        <f>IF($AS764="","",INDEX('TMP Paste'!$C$2:$C$1601,$AS764))</f>
        <v/>
      </c>
      <c r="X764" t="str">
        <f>IF($AS764="","",Config!$B$29)</f>
        <v/>
      </c>
      <c r="Y764" t="str">
        <f>IF($AT764="","",INDEX(Calc!$I$2:$I$1601,$AT764)&amp;" - "&amp;INDEX(Calc!$D$2:$D$1601,$AT764)&amp;" koli")</f>
        <v/>
      </c>
      <c r="Z764" t="str">
        <f>IF($AS764="","",Config!$B$21)</f>
        <v/>
      </c>
      <c r="AA764" t="str">
        <f>IF($AS764="","",Config!$B$22)</f>
        <v/>
      </c>
      <c r="AB764" t="str">
        <f>IF($AT764="","",INDEX(Calc!$D$2:$D$1601,$AT764))</f>
        <v/>
      </c>
      <c r="AC764" t="str">
        <f>IF($AT764="","",INDEX(Calc!$G$2:$G$1601,$AT764))</f>
        <v/>
      </c>
      <c r="AD764" t="str">
        <f>IF($AS764="","",Config!$B$23)</f>
        <v/>
      </c>
      <c r="AE764" t="str">
        <f>IF($AS764="","",Config!$B$28)</f>
        <v/>
      </c>
      <c r="AF764" t="str">
        <f t="shared" si="68"/>
        <v/>
      </c>
      <c r="AG764" t="str">
        <f t="shared" si="69"/>
        <v/>
      </c>
      <c r="AH764" t="str">
        <f t="shared" si="70"/>
        <v/>
      </c>
      <c r="AI764" t="str">
        <f>IF($AG764="","",SUMIF($AG$2:$AG764,$AG764,$AH$2:$AH764))</f>
        <v/>
      </c>
      <c r="AJ764" t="str">
        <f>IF('TMP Paste'!$F764="","",IF('TMP Paste'!$B764="",$AJ763,'TMP Paste'!$B764))</f>
        <v/>
      </c>
      <c r="AK764" t="str">
        <f>IF('TMP Paste'!$F764="","",N('TMP Paste'!$G764))</f>
        <v/>
      </c>
      <c r="AL764" t="str">
        <f>IF('TMP Paste'!$F764="","",IF('TMP Paste'!$M764="",$AL763,'TMP Paste'!$M764))</f>
        <v/>
      </c>
      <c r="AM764" t="str">
        <f>IF('TMP Paste'!$F764="","",IF('TMP Paste'!$N764="",$AM763,'TMP Paste'!$N764))</f>
        <v/>
      </c>
      <c r="AN764" t="str">
        <f>IF('TMP Paste'!$F764="","",IF('TMP Paste'!$O764="",$AN763,'TMP Paste'!$O764))</f>
        <v/>
      </c>
      <c r="AO764" t="str">
        <f>IF('TMP Paste'!$F764="","",IF('TMP Paste'!$P764="",$AO763,'TMP Paste'!$P764))</f>
        <v/>
      </c>
      <c r="AP764" t="str">
        <f t="shared" si="71"/>
        <v/>
      </c>
      <c r="AQ764" t="str">
        <f>IF($AS764="","",TRIM(IF(COUNTIFS(Calc!$B$2:$B$1601,ROW()-1,Calc!$C$2:$C$1601,"&lt;1")&gt;0,"Ada PO tanpa Koli - cek TMP. ","")&amp;IF(OR($AU764="",$AU764&lt;=0),"Volume kosong/0 - dimensi dikosongkan. ","")&amp;IF(AND($AU764&lt;&gt;"",$AU764&gt;=1000000),"Volume &gt;= 1.000.000 cm3 (di luar aturan) - dimensi dikosongkan. ","")&amp;IF(LEN($R764)&gt;500,"R &gt; 500 karakter.","")))</f>
        <v/>
      </c>
      <c r="AS764" t="str">
        <f>IFERROR(MATCH(ROW()-1,Calc!$J$2:$J$1601,0),"")</f>
        <v/>
      </c>
      <c r="AT764" t="str">
        <f>IFERROR(MATCH(ROW()-1,Calc!$K$2:$K$1601,0),"")</f>
        <v/>
      </c>
      <c r="AU764" t="str">
        <f>IF($AS764="","",IFERROR(INDEX('TMP Paste'!$D$2:$D$1601,$AS764)*1000000/$AB764,""))</f>
        <v/>
      </c>
    </row>
    <row r="765" spans="1:47">
      <c r="A765" t="str">
        <f>IF($AS765="","",INDEX('TMP Paste'!$B$2:$B$1601,$AS765))</f>
        <v/>
      </c>
      <c r="B765" t="str">
        <f>IF($AS765="","",Config!$B$14)</f>
        <v/>
      </c>
      <c r="C765" t="str">
        <f>IF($AS765="","",Config!$B$15)</f>
        <v/>
      </c>
      <c r="D765" t="str">
        <f>IF($AS765="","",INDEX('TMP Paste'!$B$2:$B$1601,$AS765))</f>
        <v/>
      </c>
      <c r="E765" t="str">
        <f>IF($AS765="","",Config!$B$27)</f>
        <v/>
      </c>
      <c r="F765" t="str">
        <f>IF($AS765="","",Config!$B$9)</f>
        <v/>
      </c>
      <c r="G765" t="str">
        <f>IF($AS765="","",Config!$B$10)</f>
        <v/>
      </c>
      <c r="H765" t="str">
        <f>IF($AS765="","",Config!$B$11)</f>
        <v/>
      </c>
      <c r="I765" t="str">
        <f>IF($AS765="","",Config!$B$16)</f>
        <v/>
      </c>
      <c r="J765" t="str">
        <f>IF($AS765="","",INDEX('TMP Paste'!$A$2:$A$1601,$AS765))</f>
        <v/>
      </c>
      <c r="K765" t="str">
        <f>IF($AS765="","",INDEX('TMP Paste'!$L$2:$L$1601,$AS765))</f>
        <v/>
      </c>
      <c r="L765" t="str">
        <f>IF($AS765="","",INDEX('TMP Paste'!$I$2:$I$1601,$AS765))</f>
        <v/>
      </c>
      <c r="M765" t="str">
        <f>IF($AS765="","",Config!$B$16)</f>
        <v/>
      </c>
      <c r="N765" t="str">
        <f t="shared" si="66"/>
        <v/>
      </c>
      <c r="O765" t="str">
        <f>IF($AS765="","",INDEX('TMP Paste'!$K$2:$K$1601,$AS765))</f>
        <v/>
      </c>
      <c r="P765" t="str">
        <f t="shared" si="67"/>
        <v/>
      </c>
      <c r="Q765" t="str">
        <f>IF($AS765="","",INDEX('TMP Paste'!$J$2:$J$1601,$AS765))</f>
        <v/>
      </c>
      <c r="R765" t="str">
        <f>IF($AS765="","",Config!$B$24)</f>
        <v/>
      </c>
      <c r="S765" t="str">
        <f ca="1">IF($AS765="","",TEXT(Config!$B$4,"yyyy-mm-dd"))</f>
        <v/>
      </c>
      <c r="T765" t="str">
        <f>IF($AS765="","",Config!$B$17)</f>
        <v/>
      </c>
      <c r="U765" t="str">
        <f>IF($AS765="","",Config!$B$18)</f>
        <v/>
      </c>
      <c r="V765" t="str">
        <f>IF($AS765="","",Config!$B$19)</f>
        <v/>
      </c>
      <c r="W765" t="str">
        <f>IF($AS765="","",INDEX('TMP Paste'!$C$2:$C$1601,$AS765))</f>
        <v/>
      </c>
      <c r="X765" t="str">
        <f>IF($AS765="","",Config!$B$29)</f>
        <v/>
      </c>
      <c r="Y765" t="str">
        <f>IF($AT765="","",INDEX(Calc!$I$2:$I$1601,$AT765)&amp;" - "&amp;INDEX(Calc!$D$2:$D$1601,$AT765)&amp;" koli")</f>
        <v/>
      </c>
      <c r="Z765" t="str">
        <f>IF($AS765="","",Config!$B$21)</f>
        <v/>
      </c>
      <c r="AA765" t="str">
        <f>IF($AS765="","",Config!$B$22)</f>
        <v/>
      </c>
      <c r="AB765" t="str">
        <f>IF($AT765="","",INDEX(Calc!$D$2:$D$1601,$AT765))</f>
        <v/>
      </c>
      <c r="AC765" t="str">
        <f>IF($AT765="","",INDEX(Calc!$G$2:$G$1601,$AT765))</f>
        <v/>
      </c>
      <c r="AD765" t="str">
        <f>IF($AS765="","",Config!$B$23)</f>
        <v/>
      </c>
      <c r="AE765" t="str">
        <f>IF($AS765="","",Config!$B$28)</f>
        <v/>
      </c>
      <c r="AF765" t="str">
        <f t="shared" si="68"/>
        <v/>
      </c>
      <c r="AG765" t="str">
        <f t="shared" si="69"/>
        <v/>
      </c>
      <c r="AH765" t="str">
        <f t="shared" si="70"/>
        <v/>
      </c>
      <c r="AI765" t="str">
        <f>IF($AG765="","",SUMIF($AG$2:$AG765,$AG765,$AH$2:$AH765))</f>
        <v/>
      </c>
      <c r="AJ765" t="str">
        <f>IF('TMP Paste'!$F765="","",IF('TMP Paste'!$B765="",$AJ764,'TMP Paste'!$B765))</f>
        <v/>
      </c>
      <c r="AK765" t="str">
        <f>IF('TMP Paste'!$F765="","",N('TMP Paste'!$G765))</f>
        <v/>
      </c>
      <c r="AL765" t="str">
        <f>IF('TMP Paste'!$F765="","",IF('TMP Paste'!$M765="",$AL764,'TMP Paste'!$M765))</f>
        <v/>
      </c>
      <c r="AM765" t="str">
        <f>IF('TMP Paste'!$F765="","",IF('TMP Paste'!$N765="",$AM764,'TMP Paste'!$N765))</f>
        <v/>
      </c>
      <c r="AN765" t="str">
        <f>IF('TMP Paste'!$F765="","",IF('TMP Paste'!$O765="",$AN764,'TMP Paste'!$O765))</f>
        <v/>
      </c>
      <c r="AO765" t="str">
        <f>IF('TMP Paste'!$F765="","",IF('TMP Paste'!$P765="",$AO764,'TMP Paste'!$P765))</f>
        <v/>
      </c>
      <c r="AP765" t="str">
        <f t="shared" si="71"/>
        <v/>
      </c>
      <c r="AQ765" t="str">
        <f>IF($AS765="","",TRIM(IF(COUNTIFS(Calc!$B$2:$B$1601,ROW()-1,Calc!$C$2:$C$1601,"&lt;1")&gt;0,"Ada PO tanpa Koli - cek TMP. ","")&amp;IF(OR($AU765="",$AU765&lt;=0),"Volume kosong/0 - dimensi dikosongkan. ","")&amp;IF(AND($AU765&lt;&gt;"",$AU765&gt;=1000000),"Volume &gt;= 1.000.000 cm3 (di luar aturan) - dimensi dikosongkan. ","")&amp;IF(LEN($R765)&gt;500,"R &gt; 500 karakter.","")))</f>
        <v/>
      </c>
      <c r="AS765" t="str">
        <f>IFERROR(MATCH(ROW()-1,Calc!$J$2:$J$1601,0),"")</f>
        <v/>
      </c>
      <c r="AT765" t="str">
        <f>IFERROR(MATCH(ROW()-1,Calc!$K$2:$K$1601,0),"")</f>
        <v/>
      </c>
      <c r="AU765" t="str">
        <f>IF($AS765="","",IFERROR(INDEX('TMP Paste'!$D$2:$D$1601,$AS765)*1000000/$AB765,""))</f>
        <v/>
      </c>
    </row>
    <row r="766" spans="1:47">
      <c r="A766" t="str">
        <f>IF($AS766="","",INDEX('TMP Paste'!$B$2:$B$1601,$AS766))</f>
        <v/>
      </c>
      <c r="B766" t="str">
        <f>IF($AS766="","",Config!$B$14)</f>
        <v/>
      </c>
      <c r="C766" t="str">
        <f>IF($AS766="","",Config!$B$15)</f>
        <v/>
      </c>
      <c r="D766" t="str">
        <f>IF($AS766="","",INDEX('TMP Paste'!$B$2:$B$1601,$AS766))</f>
        <v/>
      </c>
      <c r="E766" t="str">
        <f>IF($AS766="","",Config!$B$27)</f>
        <v/>
      </c>
      <c r="F766" t="str">
        <f>IF($AS766="","",Config!$B$9)</f>
        <v/>
      </c>
      <c r="G766" t="str">
        <f>IF($AS766="","",Config!$B$10)</f>
        <v/>
      </c>
      <c r="H766" t="str">
        <f>IF($AS766="","",Config!$B$11)</f>
        <v/>
      </c>
      <c r="I766" t="str">
        <f>IF($AS766="","",Config!$B$16)</f>
        <v/>
      </c>
      <c r="J766" t="str">
        <f>IF($AS766="","",INDEX('TMP Paste'!$A$2:$A$1601,$AS766))</f>
        <v/>
      </c>
      <c r="K766" t="str">
        <f>IF($AS766="","",INDEX('TMP Paste'!$L$2:$L$1601,$AS766))</f>
        <v/>
      </c>
      <c r="L766" t="str">
        <f>IF($AS766="","",INDEX('TMP Paste'!$I$2:$I$1601,$AS766))</f>
        <v/>
      </c>
      <c r="M766" t="str">
        <f>IF($AS766="","",Config!$B$16)</f>
        <v/>
      </c>
      <c r="N766" t="str">
        <f t="shared" si="66"/>
        <v/>
      </c>
      <c r="O766" t="str">
        <f>IF($AS766="","",INDEX('TMP Paste'!$K$2:$K$1601,$AS766))</f>
        <v/>
      </c>
      <c r="P766" t="str">
        <f t="shared" si="67"/>
        <v/>
      </c>
      <c r="Q766" t="str">
        <f>IF($AS766="","",INDEX('TMP Paste'!$J$2:$J$1601,$AS766))</f>
        <v/>
      </c>
      <c r="R766" t="str">
        <f>IF($AS766="","",Config!$B$24)</f>
        <v/>
      </c>
      <c r="S766" t="str">
        <f ca="1">IF($AS766="","",TEXT(Config!$B$4,"yyyy-mm-dd"))</f>
        <v/>
      </c>
      <c r="T766" t="str">
        <f>IF($AS766="","",Config!$B$17)</f>
        <v/>
      </c>
      <c r="U766" t="str">
        <f>IF($AS766="","",Config!$B$18)</f>
        <v/>
      </c>
      <c r="V766" t="str">
        <f>IF($AS766="","",Config!$B$19)</f>
        <v/>
      </c>
      <c r="W766" t="str">
        <f>IF($AS766="","",INDEX('TMP Paste'!$C$2:$C$1601,$AS766))</f>
        <v/>
      </c>
      <c r="X766" t="str">
        <f>IF($AS766="","",Config!$B$29)</f>
        <v/>
      </c>
      <c r="Y766" t="str">
        <f>IF($AT766="","",INDEX(Calc!$I$2:$I$1601,$AT766)&amp;" - "&amp;INDEX(Calc!$D$2:$D$1601,$AT766)&amp;" koli")</f>
        <v/>
      </c>
      <c r="Z766" t="str">
        <f>IF($AS766="","",Config!$B$21)</f>
        <v/>
      </c>
      <c r="AA766" t="str">
        <f>IF($AS766="","",Config!$B$22)</f>
        <v/>
      </c>
      <c r="AB766" t="str">
        <f>IF($AT766="","",INDEX(Calc!$D$2:$D$1601,$AT766))</f>
        <v/>
      </c>
      <c r="AC766" t="str">
        <f>IF($AT766="","",INDEX(Calc!$G$2:$G$1601,$AT766))</f>
        <v/>
      </c>
      <c r="AD766" t="str">
        <f>IF($AS766="","",Config!$B$23)</f>
        <v/>
      </c>
      <c r="AE766" t="str">
        <f>IF($AS766="","",Config!$B$28)</f>
        <v/>
      </c>
      <c r="AF766" t="str">
        <f t="shared" si="68"/>
        <v/>
      </c>
      <c r="AG766" t="str">
        <f t="shared" si="69"/>
        <v/>
      </c>
      <c r="AH766" t="str">
        <f t="shared" si="70"/>
        <v/>
      </c>
      <c r="AI766" t="str">
        <f>IF($AG766="","",SUMIF($AG$2:$AG766,$AG766,$AH$2:$AH766))</f>
        <v/>
      </c>
      <c r="AJ766" t="str">
        <f>IF('TMP Paste'!$F766="","",IF('TMP Paste'!$B766="",$AJ765,'TMP Paste'!$B766))</f>
        <v/>
      </c>
      <c r="AK766" t="str">
        <f>IF('TMP Paste'!$F766="","",N('TMP Paste'!$G766))</f>
        <v/>
      </c>
      <c r="AL766" t="str">
        <f>IF('TMP Paste'!$F766="","",IF('TMP Paste'!$M766="",$AL765,'TMP Paste'!$M766))</f>
        <v/>
      </c>
      <c r="AM766" t="str">
        <f>IF('TMP Paste'!$F766="","",IF('TMP Paste'!$N766="",$AM765,'TMP Paste'!$N766))</f>
        <v/>
      </c>
      <c r="AN766" t="str">
        <f>IF('TMP Paste'!$F766="","",IF('TMP Paste'!$O766="",$AN765,'TMP Paste'!$O766))</f>
        <v/>
      </c>
      <c r="AO766" t="str">
        <f>IF('TMP Paste'!$F766="","",IF('TMP Paste'!$P766="",$AO765,'TMP Paste'!$P766))</f>
        <v/>
      </c>
      <c r="AP766" t="str">
        <f t="shared" si="71"/>
        <v/>
      </c>
      <c r="AQ766" t="str">
        <f>IF($AS766="","",TRIM(IF(COUNTIFS(Calc!$B$2:$B$1601,ROW()-1,Calc!$C$2:$C$1601,"&lt;1")&gt;0,"Ada PO tanpa Koli - cek TMP. ","")&amp;IF(OR($AU766="",$AU766&lt;=0),"Volume kosong/0 - dimensi dikosongkan. ","")&amp;IF(AND($AU766&lt;&gt;"",$AU766&gt;=1000000),"Volume &gt;= 1.000.000 cm3 (di luar aturan) - dimensi dikosongkan. ","")&amp;IF(LEN($R766)&gt;500,"R &gt; 500 karakter.","")))</f>
        <v/>
      </c>
      <c r="AS766" t="str">
        <f>IFERROR(MATCH(ROW()-1,Calc!$J$2:$J$1601,0),"")</f>
        <v/>
      </c>
      <c r="AT766" t="str">
        <f>IFERROR(MATCH(ROW()-1,Calc!$K$2:$K$1601,0),"")</f>
        <v/>
      </c>
      <c r="AU766" t="str">
        <f>IF($AS766="","",IFERROR(INDEX('TMP Paste'!$D$2:$D$1601,$AS766)*1000000/$AB766,""))</f>
        <v/>
      </c>
    </row>
    <row r="767" spans="1:47">
      <c r="A767" t="str">
        <f>IF($AS767="","",INDEX('TMP Paste'!$B$2:$B$1601,$AS767))</f>
        <v/>
      </c>
      <c r="B767" t="str">
        <f>IF($AS767="","",Config!$B$14)</f>
        <v/>
      </c>
      <c r="C767" t="str">
        <f>IF($AS767="","",Config!$B$15)</f>
        <v/>
      </c>
      <c r="D767" t="str">
        <f>IF($AS767="","",INDEX('TMP Paste'!$B$2:$B$1601,$AS767))</f>
        <v/>
      </c>
      <c r="E767" t="str">
        <f>IF($AS767="","",Config!$B$27)</f>
        <v/>
      </c>
      <c r="F767" t="str">
        <f>IF($AS767="","",Config!$B$9)</f>
        <v/>
      </c>
      <c r="G767" t="str">
        <f>IF($AS767="","",Config!$B$10)</f>
        <v/>
      </c>
      <c r="H767" t="str">
        <f>IF($AS767="","",Config!$B$11)</f>
        <v/>
      </c>
      <c r="I767" t="str">
        <f>IF($AS767="","",Config!$B$16)</f>
        <v/>
      </c>
      <c r="J767" t="str">
        <f>IF($AS767="","",INDEX('TMP Paste'!$A$2:$A$1601,$AS767))</f>
        <v/>
      </c>
      <c r="K767" t="str">
        <f>IF($AS767="","",INDEX('TMP Paste'!$L$2:$L$1601,$AS767))</f>
        <v/>
      </c>
      <c r="L767" t="str">
        <f>IF($AS767="","",INDEX('TMP Paste'!$I$2:$I$1601,$AS767))</f>
        <v/>
      </c>
      <c r="M767" t="str">
        <f>IF($AS767="","",Config!$B$16)</f>
        <v/>
      </c>
      <c r="N767" t="str">
        <f t="shared" si="66"/>
        <v/>
      </c>
      <c r="O767" t="str">
        <f>IF($AS767="","",INDEX('TMP Paste'!$K$2:$K$1601,$AS767))</f>
        <v/>
      </c>
      <c r="P767" t="str">
        <f t="shared" si="67"/>
        <v/>
      </c>
      <c r="Q767" t="str">
        <f>IF($AS767="","",INDEX('TMP Paste'!$J$2:$J$1601,$AS767))</f>
        <v/>
      </c>
      <c r="R767" t="str">
        <f>IF($AS767="","",Config!$B$24)</f>
        <v/>
      </c>
      <c r="S767" t="str">
        <f ca="1">IF($AS767="","",TEXT(Config!$B$4,"yyyy-mm-dd"))</f>
        <v/>
      </c>
      <c r="T767" t="str">
        <f>IF($AS767="","",Config!$B$17)</f>
        <v/>
      </c>
      <c r="U767" t="str">
        <f>IF($AS767="","",Config!$B$18)</f>
        <v/>
      </c>
      <c r="V767" t="str">
        <f>IF($AS767="","",Config!$B$19)</f>
        <v/>
      </c>
      <c r="W767" t="str">
        <f>IF($AS767="","",INDEX('TMP Paste'!$C$2:$C$1601,$AS767))</f>
        <v/>
      </c>
      <c r="X767" t="str">
        <f>IF($AS767="","",Config!$B$29)</f>
        <v/>
      </c>
      <c r="Y767" t="str">
        <f>IF($AT767="","",INDEX(Calc!$I$2:$I$1601,$AT767)&amp;" - "&amp;INDEX(Calc!$D$2:$D$1601,$AT767)&amp;" koli")</f>
        <v/>
      </c>
      <c r="Z767" t="str">
        <f>IF($AS767="","",Config!$B$21)</f>
        <v/>
      </c>
      <c r="AA767" t="str">
        <f>IF($AS767="","",Config!$B$22)</f>
        <v/>
      </c>
      <c r="AB767" t="str">
        <f>IF($AT767="","",INDEX(Calc!$D$2:$D$1601,$AT767))</f>
        <v/>
      </c>
      <c r="AC767" t="str">
        <f>IF($AT767="","",INDEX(Calc!$G$2:$G$1601,$AT767))</f>
        <v/>
      </c>
      <c r="AD767" t="str">
        <f>IF($AS767="","",Config!$B$23)</f>
        <v/>
      </c>
      <c r="AE767" t="str">
        <f>IF($AS767="","",Config!$B$28)</f>
        <v/>
      </c>
      <c r="AF767" t="str">
        <f t="shared" si="68"/>
        <v/>
      </c>
      <c r="AG767" t="str">
        <f t="shared" si="69"/>
        <v/>
      </c>
      <c r="AH767" t="str">
        <f t="shared" si="70"/>
        <v/>
      </c>
      <c r="AI767" t="str">
        <f>IF($AG767="","",SUMIF($AG$2:$AG767,$AG767,$AH$2:$AH767))</f>
        <v/>
      </c>
      <c r="AJ767" t="str">
        <f>IF('TMP Paste'!$F767="","",IF('TMP Paste'!$B767="",$AJ766,'TMP Paste'!$B767))</f>
        <v/>
      </c>
      <c r="AK767" t="str">
        <f>IF('TMP Paste'!$F767="","",N('TMP Paste'!$G767))</f>
        <v/>
      </c>
      <c r="AL767" t="str">
        <f>IF('TMP Paste'!$F767="","",IF('TMP Paste'!$M767="",$AL766,'TMP Paste'!$M767))</f>
        <v/>
      </c>
      <c r="AM767" t="str">
        <f>IF('TMP Paste'!$F767="","",IF('TMP Paste'!$N767="",$AM766,'TMP Paste'!$N767))</f>
        <v/>
      </c>
      <c r="AN767" t="str">
        <f>IF('TMP Paste'!$F767="","",IF('TMP Paste'!$O767="",$AN766,'TMP Paste'!$O767))</f>
        <v/>
      </c>
      <c r="AO767" t="str">
        <f>IF('TMP Paste'!$F767="","",IF('TMP Paste'!$P767="",$AO766,'TMP Paste'!$P767))</f>
        <v/>
      </c>
      <c r="AP767" t="str">
        <f t="shared" si="71"/>
        <v/>
      </c>
      <c r="AQ767" t="str">
        <f>IF($AS767="","",TRIM(IF(COUNTIFS(Calc!$B$2:$B$1601,ROW()-1,Calc!$C$2:$C$1601,"&lt;1")&gt;0,"Ada PO tanpa Koli - cek TMP. ","")&amp;IF(OR($AU767="",$AU767&lt;=0),"Volume kosong/0 - dimensi dikosongkan. ","")&amp;IF(AND($AU767&lt;&gt;"",$AU767&gt;=1000000),"Volume &gt;= 1.000.000 cm3 (di luar aturan) - dimensi dikosongkan. ","")&amp;IF(LEN($R767)&gt;500,"R &gt; 500 karakter.","")))</f>
        <v/>
      </c>
      <c r="AS767" t="str">
        <f>IFERROR(MATCH(ROW()-1,Calc!$J$2:$J$1601,0),"")</f>
        <v/>
      </c>
      <c r="AT767" t="str">
        <f>IFERROR(MATCH(ROW()-1,Calc!$K$2:$K$1601,0),"")</f>
        <v/>
      </c>
      <c r="AU767" t="str">
        <f>IF($AS767="","",IFERROR(INDEX('TMP Paste'!$D$2:$D$1601,$AS767)*1000000/$AB767,""))</f>
        <v/>
      </c>
    </row>
    <row r="768" spans="1:47">
      <c r="A768" t="str">
        <f>IF($AS768="","",INDEX('TMP Paste'!$B$2:$B$1601,$AS768))</f>
        <v/>
      </c>
      <c r="B768" t="str">
        <f>IF($AS768="","",Config!$B$14)</f>
        <v/>
      </c>
      <c r="C768" t="str">
        <f>IF($AS768="","",Config!$B$15)</f>
        <v/>
      </c>
      <c r="D768" t="str">
        <f>IF($AS768="","",INDEX('TMP Paste'!$B$2:$B$1601,$AS768))</f>
        <v/>
      </c>
      <c r="E768" t="str">
        <f>IF($AS768="","",Config!$B$27)</f>
        <v/>
      </c>
      <c r="F768" t="str">
        <f>IF($AS768="","",Config!$B$9)</f>
        <v/>
      </c>
      <c r="G768" t="str">
        <f>IF($AS768="","",Config!$B$10)</f>
        <v/>
      </c>
      <c r="H768" t="str">
        <f>IF($AS768="","",Config!$B$11)</f>
        <v/>
      </c>
      <c r="I768" t="str">
        <f>IF($AS768="","",Config!$B$16)</f>
        <v/>
      </c>
      <c r="J768" t="str">
        <f>IF($AS768="","",INDEX('TMP Paste'!$A$2:$A$1601,$AS768))</f>
        <v/>
      </c>
      <c r="K768" t="str">
        <f>IF($AS768="","",INDEX('TMP Paste'!$L$2:$L$1601,$AS768))</f>
        <v/>
      </c>
      <c r="L768" t="str">
        <f>IF($AS768="","",INDEX('TMP Paste'!$I$2:$I$1601,$AS768))</f>
        <v/>
      </c>
      <c r="M768" t="str">
        <f>IF($AS768="","",Config!$B$16)</f>
        <v/>
      </c>
      <c r="N768" t="str">
        <f t="shared" si="66"/>
        <v/>
      </c>
      <c r="O768" t="str">
        <f>IF($AS768="","",INDEX('TMP Paste'!$K$2:$K$1601,$AS768))</f>
        <v/>
      </c>
      <c r="P768" t="str">
        <f t="shared" si="67"/>
        <v/>
      </c>
      <c r="Q768" t="str">
        <f>IF($AS768="","",INDEX('TMP Paste'!$J$2:$J$1601,$AS768))</f>
        <v/>
      </c>
      <c r="R768" t="str">
        <f>IF($AS768="","",Config!$B$24)</f>
        <v/>
      </c>
      <c r="S768" t="str">
        <f ca="1">IF($AS768="","",TEXT(Config!$B$4,"yyyy-mm-dd"))</f>
        <v/>
      </c>
      <c r="T768" t="str">
        <f>IF($AS768="","",Config!$B$17)</f>
        <v/>
      </c>
      <c r="U768" t="str">
        <f>IF($AS768="","",Config!$B$18)</f>
        <v/>
      </c>
      <c r="V768" t="str">
        <f>IF($AS768="","",Config!$B$19)</f>
        <v/>
      </c>
      <c r="W768" t="str">
        <f>IF($AS768="","",INDEX('TMP Paste'!$C$2:$C$1601,$AS768))</f>
        <v/>
      </c>
      <c r="X768" t="str">
        <f>IF($AS768="","",Config!$B$29)</f>
        <v/>
      </c>
      <c r="Y768" t="str">
        <f>IF($AT768="","",INDEX(Calc!$I$2:$I$1601,$AT768)&amp;" - "&amp;INDEX(Calc!$D$2:$D$1601,$AT768)&amp;" koli")</f>
        <v/>
      </c>
      <c r="Z768" t="str">
        <f>IF($AS768="","",Config!$B$21)</f>
        <v/>
      </c>
      <c r="AA768" t="str">
        <f>IF($AS768="","",Config!$B$22)</f>
        <v/>
      </c>
      <c r="AB768" t="str">
        <f>IF($AT768="","",INDEX(Calc!$D$2:$D$1601,$AT768))</f>
        <v/>
      </c>
      <c r="AC768" t="str">
        <f>IF($AT768="","",INDEX(Calc!$G$2:$G$1601,$AT768))</f>
        <v/>
      </c>
      <c r="AD768" t="str">
        <f>IF($AS768="","",Config!$B$23)</f>
        <v/>
      </c>
      <c r="AE768" t="str">
        <f>IF($AS768="","",Config!$B$28)</f>
        <v/>
      </c>
      <c r="AF768" t="str">
        <f t="shared" si="68"/>
        <v/>
      </c>
      <c r="AG768" t="str">
        <f t="shared" si="69"/>
        <v/>
      </c>
      <c r="AH768" t="str">
        <f t="shared" si="70"/>
        <v/>
      </c>
      <c r="AI768" t="str">
        <f>IF($AG768="","",SUMIF($AG$2:$AG768,$AG768,$AH$2:$AH768))</f>
        <v/>
      </c>
      <c r="AJ768" t="str">
        <f>IF('TMP Paste'!$F768="","",IF('TMP Paste'!$B768="",$AJ767,'TMP Paste'!$B768))</f>
        <v/>
      </c>
      <c r="AK768" t="str">
        <f>IF('TMP Paste'!$F768="","",N('TMP Paste'!$G768))</f>
        <v/>
      </c>
      <c r="AL768" t="str">
        <f>IF('TMP Paste'!$F768="","",IF('TMP Paste'!$M768="",$AL767,'TMP Paste'!$M768))</f>
        <v/>
      </c>
      <c r="AM768" t="str">
        <f>IF('TMP Paste'!$F768="","",IF('TMP Paste'!$N768="",$AM767,'TMP Paste'!$N768))</f>
        <v/>
      </c>
      <c r="AN768" t="str">
        <f>IF('TMP Paste'!$F768="","",IF('TMP Paste'!$O768="",$AN767,'TMP Paste'!$O768))</f>
        <v/>
      </c>
      <c r="AO768" t="str">
        <f>IF('TMP Paste'!$F768="","",IF('TMP Paste'!$P768="",$AO767,'TMP Paste'!$P768))</f>
        <v/>
      </c>
      <c r="AP768" t="str">
        <f t="shared" si="71"/>
        <v/>
      </c>
      <c r="AQ768" t="str">
        <f>IF($AS768="","",TRIM(IF(COUNTIFS(Calc!$B$2:$B$1601,ROW()-1,Calc!$C$2:$C$1601,"&lt;1")&gt;0,"Ada PO tanpa Koli - cek TMP. ","")&amp;IF(OR($AU768="",$AU768&lt;=0),"Volume kosong/0 - dimensi dikosongkan. ","")&amp;IF(AND($AU768&lt;&gt;"",$AU768&gt;=1000000),"Volume &gt;= 1.000.000 cm3 (di luar aturan) - dimensi dikosongkan. ","")&amp;IF(LEN($R768)&gt;500,"R &gt; 500 karakter.","")))</f>
        <v/>
      </c>
      <c r="AS768" t="str">
        <f>IFERROR(MATCH(ROW()-1,Calc!$J$2:$J$1601,0),"")</f>
        <v/>
      </c>
      <c r="AT768" t="str">
        <f>IFERROR(MATCH(ROW()-1,Calc!$K$2:$K$1601,0),"")</f>
        <v/>
      </c>
      <c r="AU768" t="str">
        <f>IF($AS768="","",IFERROR(INDEX('TMP Paste'!$D$2:$D$1601,$AS768)*1000000/$AB768,""))</f>
        <v/>
      </c>
    </row>
    <row r="769" spans="1:47">
      <c r="A769" t="str">
        <f>IF($AS769="","",INDEX('TMP Paste'!$B$2:$B$1601,$AS769))</f>
        <v/>
      </c>
      <c r="B769" t="str">
        <f>IF($AS769="","",Config!$B$14)</f>
        <v/>
      </c>
      <c r="C769" t="str">
        <f>IF($AS769="","",Config!$B$15)</f>
        <v/>
      </c>
      <c r="D769" t="str">
        <f>IF($AS769="","",INDEX('TMP Paste'!$B$2:$B$1601,$AS769))</f>
        <v/>
      </c>
      <c r="E769" t="str">
        <f>IF($AS769="","",Config!$B$27)</f>
        <v/>
      </c>
      <c r="F769" t="str">
        <f>IF($AS769="","",Config!$B$9)</f>
        <v/>
      </c>
      <c r="G769" t="str">
        <f>IF($AS769="","",Config!$B$10)</f>
        <v/>
      </c>
      <c r="H769" t="str">
        <f>IF($AS769="","",Config!$B$11)</f>
        <v/>
      </c>
      <c r="I769" t="str">
        <f>IF($AS769="","",Config!$B$16)</f>
        <v/>
      </c>
      <c r="J769" t="str">
        <f>IF($AS769="","",INDEX('TMP Paste'!$A$2:$A$1601,$AS769))</f>
        <v/>
      </c>
      <c r="K769" t="str">
        <f>IF($AS769="","",INDEX('TMP Paste'!$L$2:$L$1601,$AS769))</f>
        <v/>
      </c>
      <c r="L769" t="str">
        <f>IF($AS769="","",INDEX('TMP Paste'!$I$2:$I$1601,$AS769))</f>
        <v/>
      </c>
      <c r="M769" t="str">
        <f>IF($AS769="","",Config!$B$16)</f>
        <v/>
      </c>
      <c r="N769" t="str">
        <f t="shared" si="66"/>
        <v/>
      </c>
      <c r="O769" t="str">
        <f>IF($AS769="","",INDEX('TMP Paste'!$K$2:$K$1601,$AS769))</f>
        <v/>
      </c>
      <c r="P769" t="str">
        <f t="shared" si="67"/>
        <v/>
      </c>
      <c r="Q769" t="str">
        <f>IF($AS769="","",INDEX('TMP Paste'!$J$2:$J$1601,$AS769))</f>
        <v/>
      </c>
      <c r="R769" t="str">
        <f>IF($AS769="","",Config!$B$24)</f>
        <v/>
      </c>
      <c r="S769" t="str">
        <f ca="1">IF($AS769="","",TEXT(Config!$B$4,"yyyy-mm-dd"))</f>
        <v/>
      </c>
      <c r="T769" t="str">
        <f>IF($AS769="","",Config!$B$17)</f>
        <v/>
      </c>
      <c r="U769" t="str">
        <f>IF($AS769="","",Config!$B$18)</f>
        <v/>
      </c>
      <c r="V769" t="str">
        <f>IF($AS769="","",Config!$B$19)</f>
        <v/>
      </c>
      <c r="W769" t="str">
        <f>IF($AS769="","",INDEX('TMP Paste'!$C$2:$C$1601,$AS769))</f>
        <v/>
      </c>
      <c r="X769" t="str">
        <f>IF($AS769="","",Config!$B$29)</f>
        <v/>
      </c>
      <c r="Y769" t="str">
        <f>IF($AT769="","",INDEX(Calc!$I$2:$I$1601,$AT769)&amp;" - "&amp;INDEX(Calc!$D$2:$D$1601,$AT769)&amp;" koli")</f>
        <v/>
      </c>
      <c r="Z769" t="str">
        <f>IF($AS769="","",Config!$B$21)</f>
        <v/>
      </c>
      <c r="AA769" t="str">
        <f>IF($AS769="","",Config!$B$22)</f>
        <v/>
      </c>
      <c r="AB769" t="str">
        <f>IF($AT769="","",INDEX(Calc!$D$2:$D$1601,$AT769))</f>
        <v/>
      </c>
      <c r="AC769" t="str">
        <f>IF($AT769="","",INDEX(Calc!$G$2:$G$1601,$AT769))</f>
        <v/>
      </c>
      <c r="AD769" t="str">
        <f>IF($AS769="","",Config!$B$23)</f>
        <v/>
      </c>
      <c r="AE769" t="str">
        <f>IF($AS769="","",Config!$B$28)</f>
        <v/>
      </c>
      <c r="AF769" t="str">
        <f t="shared" si="68"/>
        <v/>
      </c>
      <c r="AG769" t="str">
        <f t="shared" si="69"/>
        <v/>
      </c>
      <c r="AH769" t="str">
        <f t="shared" si="70"/>
        <v/>
      </c>
      <c r="AI769" t="str">
        <f>IF($AG769="","",SUMIF($AG$2:$AG769,$AG769,$AH$2:$AH769))</f>
        <v/>
      </c>
      <c r="AJ769" t="str">
        <f>IF('TMP Paste'!$F769="","",IF('TMP Paste'!$B769="",$AJ768,'TMP Paste'!$B769))</f>
        <v/>
      </c>
      <c r="AK769" t="str">
        <f>IF('TMP Paste'!$F769="","",N('TMP Paste'!$G769))</f>
        <v/>
      </c>
      <c r="AL769" t="str">
        <f>IF('TMP Paste'!$F769="","",IF('TMP Paste'!$M769="",$AL768,'TMP Paste'!$M769))</f>
        <v/>
      </c>
      <c r="AM769" t="str">
        <f>IF('TMP Paste'!$F769="","",IF('TMP Paste'!$N769="",$AM768,'TMP Paste'!$N769))</f>
        <v/>
      </c>
      <c r="AN769" t="str">
        <f>IF('TMP Paste'!$F769="","",IF('TMP Paste'!$O769="",$AN768,'TMP Paste'!$O769))</f>
        <v/>
      </c>
      <c r="AO769" t="str">
        <f>IF('TMP Paste'!$F769="","",IF('TMP Paste'!$P769="",$AO768,'TMP Paste'!$P769))</f>
        <v/>
      </c>
      <c r="AP769" t="str">
        <f t="shared" si="71"/>
        <v/>
      </c>
      <c r="AQ769" t="str">
        <f>IF($AS769="","",TRIM(IF(COUNTIFS(Calc!$B$2:$B$1601,ROW()-1,Calc!$C$2:$C$1601,"&lt;1")&gt;0,"Ada PO tanpa Koli - cek TMP. ","")&amp;IF(OR($AU769="",$AU769&lt;=0),"Volume kosong/0 - dimensi dikosongkan. ","")&amp;IF(AND($AU769&lt;&gt;"",$AU769&gt;=1000000),"Volume &gt;= 1.000.000 cm3 (di luar aturan) - dimensi dikosongkan. ","")&amp;IF(LEN($R769)&gt;500,"R &gt; 500 karakter.","")))</f>
        <v/>
      </c>
      <c r="AS769" t="str">
        <f>IFERROR(MATCH(ROW()-1,Calc!$J$2:$J$1601,0),"")</f>
        <v/>
      </c>
      <c r="AT769" t="str">
        <f>IFERROR(MATCH(ROW()-1,Calc!$K$2:$K$1601,0),"")</f>
        <v/>
      </c>
      <c r="AU769" t="str">
        <f>IF($AS769="","",IFERROR(INDEX('TMP Paste'!$D$2:$D$1601,$AS769)*1000000/$AB769,""))</f>
        <v/>
      </c>
    </row>
    <row r="770" spans="1:47">
      <c r="A770" t="str">
        <f>IF($AS770="","",INDEX('TMP Paste'!$B$2:$B$1601,$AS770))</f>
        <v/>
      </c>
      <c r="B770" t="str">
        <f>IF($AS770="","",Config!$B$14)</f>
        <v/>
      </c>
      <c r="C770" t="str">
        <f>IF($AS770="","",Config!$B$15)</f>
        <v/>
      </c>
      <c r="D770" t="str">
        <f>IF($AS770="","",INDEX('TMP Paste'!$B$2:$B$1601,$AS770))</f>
        <v/>
      </c>
      <c r="E770" t="str">
        <f>IF($AS770="","",Config!$B$27)</f>
        <v/>
      </c>
      <c r="F770" t="str">
        <f>IF($AS770="","",Config!$B$9)</f>
        <v/>
      </c>
      <c r="G770" t="str">
        <f>IF($AS770="","",Config!$B$10)</f>
        <v/>
      </c>
      <c r="H770" t="str">
        <f>IF($AS770="","",Config!$B$11)</f>
        <v/>
      </c>
      <c r="I770" t="str">
        <f>IF($AS770="","",Config!$B$16)</f>
        <v/>
      </c>
      <c r="J770" t="str">
        <f>IF($AS770="","",INDEX('TMP Paste'!$A$2:$A$1601,$AS770))</f>
        <v/>
      </c>
      <c r="K770" t="str">
        <f>IF($AS770="","",INDEX('TMP Paste'!$L$2:$L$1601,$AS770))</f>
        <v/>
      </c>
      <c r="L770" t="str">
        <f>IF($AS770="","",INDEX('TMP Paste'!$I$2:$I$1601,$AS770))</f>
        <v/>
      </c>
      <c r="M770" t="str">
        <f>IF($AS770="","",Config!$B$16)</f>
        <v/>
      </c>
      <c r="N770" t="str">
        <f t="shared" ref="N770:N833" si="72">IF($AS770="","","")</f>
        <v/>
      </c>
      <c r="O770" t="str">
        <f>IF($AS770="","",INDEX('TMP Paste'!$K$2:$K$1601,$AS770))</f>
        <v/>
      </c>
      <c r="P770" t="str">
        <f t="shared" ref="P770:P833" si="73">IF($AS770="","","")</f>
        <v/>
      </c>
      <c r="Q770" t="str">
        <f>IF($AS770="","",INDEX('TMP Paste'!$J$2:$J$1601,$AS770))</f>
        <v/>
      </c>
      <c r="R770" t="str">
        <f>IF($AS770="","",Config!$B$24)</f>
        <v/>
      </c>
      <c r="S770" t="str">
        <f ca="1">IF($AS770="","",TEXT(Config!$B$4,"yyyy-mm-dd"))</f>
        <v/>
      </c>
      <c r="T770" t="str">
        <f>IF($AS770="","",Config!$B$17)</f>
        <v/>
      </c>
      <c r="U770" t="str">
        <f>IF($AS770="","",Config!$B$18)</f>
        <v/>
      </c>
      <c r="V770" t="str">
        <f>IF($AS770="","",Config!$B$19)</f>
        <v/>
      </c>
      <c r="W770" t="str">
        <f>IF($AS770="","",INDEX('TMP Paste'!$C$2:$C$1601,$AS770))</f>
        <v/>
      </c>
      <c r="X770" t="str">
        <f>IF($AS770="","",Config!$B$29)</f>
        <v/>
      </c>
      <c r="Y770" t="str">
        <f>IF($AT770="","",INDEX(Calc!$I$2:$I$1601,$AT770)&amp;" - "&amp;INDEX(Calc!$D$2:$D$1601,$AT770)&amp;" koli")</f>
        <v/>
      </c>
      <c r="Z770" t="str">
        <f>IF($AS770="","",Config!$B$21)</f>
        <v/>
      </c>
      <c r="AA770" t="str">
        <f>IF($AS770="","",Config!$B$22)</f>
        <v/>
      </c>
      <c r="AB770" t="str">
        <f>IF($AT770="","",INDEX(Calc!$D$2:$D$1601,$AT770))</f>
        <v/>
      </c>
      <c r="AC770" t="str">
        <f>IF($AT770="","",INDEX(Calc!$G$2:$G$1601,$AT770))</f>
        <v/>
      </c>
      <c r="AD770" t="str">
        <f>IF($AS770="","",Config!$B$23)</f>
        <v/>
      </c>
      <c r="AE770" t="str">
        <f>IF($AS770="","",Config!$B$28)</f>
        <v/>
      </c>
      <c r="AF770" t="str">
        <f t="shared" ref="AF770:AF833" si="74">IF($AS770="","",IF(OR($AU770="",$AU770&lt;=0,$AU770&gt;=1000000),"",IF($AU770&lt;10000,10,100)))</f>
        <v/>
      </c>
      <c r="AG770" t="str">
        <f t="shared" ref="AG770:AG833" si="75">IF($AS770="","",IF(OR($AU770="",$AU770&lt;=0,$AU770&gt;=1000000),"",IF($AU770&lt;10000,$AU770/100,IF($AU770&lt;100000,$AU770/1000,$AU770/10000))))</f>
        <v/>
      </c>
      <c r="AH770" t="str">
        <f t="shared" ref="AH770:AH833" si="76">IF($AS770="","",IF(OR($AU770="",$AU770&lt;=0,$AU770&gt;=1000000),"",IF($AU770&lt;100000,10,100)))</f>
        <v/>
      </c>
      <c r="AI770" t="str">
        <f>IF($AG770="","",SUMIF($AG$2:$AG770,$AG770,$AH$2:$AH770))</f>
        <v/>
      </c>
      <c r="AJ770" t="str">
        <f>IF('TMP Paste'!$F770="","",IF('TMP Paste'!$B770="",$AJ769,'TMP Paste'!$B770))</f>
        <v/>
      </c>
      <c r="AK770" t="str">
        <f>IF('TMP Paste'!$F770="","",N('TMP Paste'!$G770))</f>
        <v/>
      </c>
      <c r="AL770" t="str">
        <f>IF('TMP Paste'!$F770="","",IF('TMP Paste'!$M770="",$AL769,'TMP Paste'!$M770))</f>
        <v/>
      </c>
      <c r="AM770" t="str">
        <f>IF('TMP Paste'!$F770="","",IF('TMP Paste'!$N770="",$AM769,'TMP Paste'!$N770))</f>
        <v/>
      </c>
      <c r="AN770" t="str">
        <f>IF('TMP Paste'!$F770="","",IF('TMP Paste'!$O770="",$AN769,'TMP Paste'!$O770))</f>
        <v/>
      </c>
      <c r="AO770" t="str">
        <f>IF('TMP Paste'!$F770="","",IF('TMP Paste'!$P770="",$AO769,'TMP Paste'!$P770))</f>
        <v/>
      </c>
      <c r="AP770" t="str">
        <f t="shared" ref="AP770:AP833" si="77">IF($AG770="","",LEN($R770))</f>
        <v/>
      </c>
      <c r="AQ770" t="str">
        <f>IF($AS770="","",TRIM(IF(COUNTIFS(Calc!$B$2:$B$1601,ROW()-1,Calc!$C$2:$C$1601,"&lt;1")&gt;0,"Ada PO tanpa Koli - cek TMP. ","")&amp;IF(OR($AU770="",$AU770&lt;=0),"Volume kosong/0 - dimensi dikosongkan. ","")&amp;IF(AND($AU770&lt;&gt;"",$AU770&gt;=1000000),"Volume &gt;= 1.000.000 cm3 (di luar aturan) - dimensi dikosongkan. ","")&amp;IF(LEN($R770)&gt;500,"R &gt; 500 karakter.","")))</f>
        <v/>
      </c>
      <c r="AS770" t="str">
        <f>IFERROR(MATCH(ROW()-1,Calc!$J$2:$J$1601,0),"")</f>
        <v/>
      </c>
      <c r="AT770" t="str">
        <f>IFERROR(MATCH(ROW()-1,Calc!$K$2:$K$1601,0),"")</f>
        <v/>
      </c>
      <c r="AU770" t="str">
        <f>IF($AS770="","",IFERROR(INDEX('TMP Paste'!$D$2:$D$1601,$AS770)*1000000/$AB770,""))</f>
        <v/>
      </c>
    </row>
    <row r="771" spans="1:47">
      <c r="A771" t="str">
        <f>IF($AS771="","",INDEX('TMP Paste'!$B$2:$B$1601,$AS771))</f>
        <v/>
      </c>
      <c r="B771" t="str">
        <f>IF($AS771="","",Config!$B$14)</f>
        <v/>
      </c>
      <c r="C771" t="str">
        <f>IF($AS771="","",Config!$B$15)</f>
        <v/>
      </c>
      <c r="D771" t="str">
        <f>IF($AS771="","",INDEX('TMP Paste'!$B$2:$B$1601,$AS771))</f>
        <v/>
      </c>
      <c r="E771" t="str">
        <f>IF($AS771="","",Config!$B$27)</f>
        <v/>
      </c>
      <c r="F771" t="str">
        <f>IF($AS771="","",Config!$B$9)</f>
        <v/>
      </c>
      <c r="G771" t="str">
        <f>IF($AS771="","",Config!$B$10)</f>
        <v/>
      </c>
      <c r="H771" t="str">
        <f>IF($AS771="","",Config!$B$11)</f>
        <v/>
      </c>
      <c r="I771" t="str">
        <f>IF($AS771="","",Config!$B$16)</f>
        <v/>
      </c>
      <c r="J771" t="str">
        <f>IF($AS771="","",INDEX('TMP Paste'!$A$2:$A$1601,$AS771))</f>
        <v/>
      </c>
      <c r="K771" t="str">
        <f>IF($AS771="","",INDEX('TMP Paste'!$L$2:$L$1601,$AS771))</f>
        <v/>
      </c>
      <c r="L771" t="str">
        <f>IF($AS771="","",INDEX('TMP Paste'!$I$2:$I$1601,$AS771))</f>
        <v/>
      </c>
      <c r="M771" t="str">
        <f>IF($AS771="","",Config!$B$16)</f>
        <v/>
      </c>
      <c r="N771" t="str">
        <f t="shared" si="72"/>
        <v/>
      </c>
      <c r="O771" t="str">
        <f>IF($AS771="","",INDEX('TMP Paste'!$K$2:$K$1601,$AS771))</f>
        <v/>
      </c>
      <c r="P771" t="str">
        <f t="shared" si="73"/>
        <v/>
      </c>
      <c r="Q771" t="str">
        <f>IF($AS771="","",INDEX('TMP Paste'!$J$2:$J$1601,$AS771))</f>
        <v/>
      </c>
      <c r="R771" t="str">
        <f>IF($AS771="","",Config!$B$24)</f>
        <v/>
      </c>
      <c r="S771" t="str">
        <f ca="1">IF($AS771="","",TEXT(Config!$B$4,"yyyy-mm-dd"))</f>
        <v/>
      </c>
      <c r="T771" t="str">
        <f>IF($AS771="","",Config!$B$17)</f>
        <v/>
      </c>
      <c r="U771" t="str">
        <f>IF($AS771="","",Config!$B$18)</f>
        <v/>
      </c>
      <c r="V771" t="str">
        <f>IF($AS771="","",Config!$B$19)</f>
        <v/>
      </c>
      <c r="W771" t="str">
        <f>IF($AS771="","",INDEX('TMP Paste'!$C$2:$C$1601,$AS771))</f>
        <v/>
      </c>
      <c r="X771" t="str">
        <f>IF($AS771="","",Config!$B$29)</f>
        <v/>
      </c>
      <c r="Y771" t="str">
        <f>IF($AT771="","",INDEX(Calc!$I$2:$I$1601,$AT771)&amp;" - "&amp;INDEX(Calc!$D$2:$D$1601,$AT771)&amp;" koli")</f>
        <v/>
      </c>
      <c r="Z771" t="str">
        <f>IF($AS771="","",Config!$B$21)</f>
        <v/>
      </c>
      <c r="AA771" t="str">
        <f>IF($AS771="","",Config!$B$22)</f>
        <v/>
      </c>
      <c r="AB771" t="str">
        <f>IF($AT771="","",INDEX(Calc!$D$2:$D$1601,$AT771))</f>
        <v/>
      </c>
      <c r="AC771" t="str">
        <f>IF($AT771="","",INDEX(Calc!$G$2:$G$1601,$AT771))</f>
        <v/>
      </c>
      <c r="AD771" t="str">
        <f>IF($AS771="","",Config!$B$23)</f>
        <v/>
      </c>
      <c r="AE771" t="str">
        <f>IF($AS771="","",Config!$B$28)</f>
        <v/>
      </c>
      <c r="AF771" t="str">
        <f t="shared" si="74"/>
        <v/>
      </c>
      <c r="AG771" t="str">
        <f t="shared" si="75"/>
        <v/>
      </c>
      <c r="AH771" t="str">
        <f t="shared" si="76"/>
        <v/>
      </c>
      <c r="AI771" t="str">
        <f>IF($AG771="","",SUMIF($AG$2:$AG771,$AG771,$AH$2:$AH771))</f>
        <v/>
      </c>
      <c r="AJ771" t="str">
        <f>IF('TMP Paste'!$F771="","",IF('TMP Paste'!$B771="",$AJ770,'TMP Paste'!$B771))</f>
        <v/>
      </c>
      <c r="AK771" t="str">
        <f>IF('TMP Paste'!$F771="","",N('TMP Paste'!$G771))</f>
        <v/>
      </c>
      <c r="AL771" t="str">
        <f>IF('TMP Paste'!$F771="","",IF('TMP Paste'!$M771="",$AL770,'TMP Paste'!$M771))</f>
        <v/>
      </c>
      <c r="AM771" t="str">
        <f>IF('TMP Paste'!$F771="","",IF('TMP Paste'!$N771="",$AM770,'TMP Paste'!$N771))</f>
        <v/>
      </c>
      <c r="AN771" t="str">
        <f>IF('TMP Paste'!$F771="","",IF('TMP Paste'!$O771="",$AN770,'TMP Paste'!$O771))</f>
        <v/>
      </c>
      <c r="AO771" t="str">
        <f>IF('TMP Paste'!$F771="","",IF('TMP Paste'!$P771="",$AO770,'TMP Paste'!$P771))</f>
        <v/>
      </c>
      <c r="AP771" t="str">
        <f t="shared" si="77"/>
        <v/>
      </c>
      <c r="AQ771" t="str">
        <f>IF($AS771="","",TRIM(IF(COUNTIFS(Calc!$B$2:$B$1601,ROW()-1,Calc!$C$2:$C$1601,"&lt;1")&gt;0,"Ada PO tanpa Koli - cek TMP. ","")&amp;IF(OR($AU771="",$AU771&lt;=0),"Volume kosong/0 - dimensi dikosongkan. ","")&amp;IF(AND($AU771&lt;&gt;"",$AU771&gt;=1000000),"Volume &gt;= 1.000.000 cm3 (di luar aturan) - dimensi dikosongkan. ","")&amp;IF(LEN($R771)&gt;500,"R &gt; 500 karakter.","")))</f>
        <v/>
      </c>
      <c r="AS771" t="str">
        <f>IFERROR(MATCH(ROW()-1,Calc!$J$2:$J$1601,0),"")</f>
        <v/>
      </c>
      <c r="AT771" t="str">
        <f>IFERROR(MATCH(ROW()-1,Calc!$K$2:$K$1601,0),"")</f>
        <v/>
      </c>
      <c r="AU771" t="str">
        <f>IF($AS771="","",IFERROR(INDEX('TMP Paste'!$D$2:$D$1601,$AS771)*1000000/$AB771,""))</f>
        <v/>
      </c>
    </row>
    <row r="772" spans="1:47">
      <c r="A772" t="str">
        <f>IF($AS772="","",INDEX('TMP Paste'!$B$2:$B$1601,$AS772))</f>
        <v/>
      </c>
      <c r="B772" t="str">
        <f>IF($AS772="","",Config!$B$14)</f>
        <v/>
      </c>
      <c r="C772" t="str">
        <f>IF($AS772="","",Config!$B$15)</f>
        <v/>
      </c>
      <c r="D772" t="str">
        <f>IF($AS772="","",INDEX('TMP Paste'!$B$2:$B$1601,$AS772))</f>
        <v/>
      </c>
      <c r="E772" t="str">
        <f>IF($AS772="","",Config!$B$27)</f>
        <v/>
      </c>
      <c r="F772" t="str">
        <f>IF($AS772="","",Config!$B$9)</f>
        <v/>
      </c>
      <c r="G772" t="str">
        <f>IF($AS772="","",Config!$B$10)</f>
        <v/>
      </c>
      <c r="H772" t="str">
        <f>IF($AS772="","",Config!$B$11)</f>
        <v/>
      </c>
      <c r="I772" t="str">
        <f>IF($AS772="","",Config!$B$16)</f>
        <v/>
      </c>
      <c r="J772" t="str">
        <f>IF($AS772="","",INDEX('TMP Paste'!$A$2:$A$1601,$AS772))</f>
        <v/>
      </c>
      <c r="K772" t="str">
        <f>IF($AS772="","",INDEX('TMP Paste'!$L$2:$L$1601,$AS772))</f>
        <v/>
      </c>
      <c r="L772" t="str">
        <f>IF($AS772="","",INDEX('TMP Paste'!$I$2:$I$1601,$AS772))</f>
        <v/>
      </c>
      <c r="M772" t="str">
        <f>IF($AS772="","",Config!$B$16)</f>
        <v/>
      </c>
      <c r="N772" t="str">
        <f t="shared" si="72"/>
        <v/>
      </c>
      <c r="O772" t="str">
        <f>IF($AS772="","",INDEX('TMP Paste'!$K$2:$K$1601,$AS772))</f>
        <v/>
      </c>
      <c r="P772" t="str">
        <f t="shared" si="73"/>
        <v/>
      </c>
      <c r="Q772" t="str">
        <f>IF($AS772="","",INDEX('TMP Paste'!$J$2:$J$1601,$AS772))</f>
        <v/>
      </c>
      <c r="R772" t="str">
        <f>IF($AS772="","",Config!$B$24)</f>
        <v/>
      </c>
      <c r="S772" t="str">
        <f ca="1">IF($AS772="","",TEXT(Config!$B$4,"yyyy-mm-dd"))</f>
        <v/>
      </c>
      <c r="T772" t="str">
        <f>IF($AS772="","",Config!$B$17)</f>
        <v/>
      </c>
      <c r="U772" t="str">
        <f>IF($AS772="","",Config!$B$18)</f>
        <v/>
      </c>
      <c r="V772" t="str">
        <f>IF($AS772="","",Config!$B$19)</f>
        <v/>
      </c>
      <c r="W772" t="str">
        <f>IF($AS772="","",INDEX('TMP Paste'!$C$2:$C$1601,$AS772))</f>
        <v/>
      </c>
      <c r="X772" t="str">
        <f>IF($AS772="","",Config!$B$29)</f>
        <v/>
      </c>
      <c r="Y772" t="str">
        <f>IF($AT772="","",INDEX(Calc!$I$2:$I$1601,$AT772)&amp;" - "&amp;INDEX(Calc!$D$2:$D$1601,$AT772)&amp;" koli")</f>
        <v/>
      </c>
      <c r="Z772" t="str">
        <f>IF($AS772="","",Config!$B$21)</f>
        <v/>
      </c>
      <c r="AA772" t="str">
        <f>IF($AS772="","",Config!$B$22)</f>
        <v/>
      </c>
      <c r="AB772" t="str">
        <f>IF($AT772="","",INDEX(Calc!$D$2:$D$1601,$AT772))</f>
        <v/>
      </c>
      <c r="AC772" t="str">
        <f>IF($AT772="","",INDEX(Calc!$G$2:$G$1601,$AT772))</f>
        <v/>
      </c>
      <c r="AD772" t="str">
        <f>IF($AS772="","",Config!$B$23)</f>
        <v/>
      </c>
      <c r="AE772" t="str">
        <f>IF($AS772="","",Config!$B$28)</f>
        <v/>
      </c>
      <c r="AF772" t="str">
        <f t="shared" si="74"/>
        <v/>
      </c>
      <c r="AG772" t="str">
        <f t="shared" si="75"/>
        <v/>
      </c>
      <c r="AH772" t="str">
        <f t="shared" si="76"/>
        <v/>
      </c>
      <c r="AI772" t="str">
        <f>IF($AG772="","",SUMIF($AG$2:$AG772,$AG772,$AH$2:$AH772))</f>
        <v/>
      </c>
      <c r="AJ772" t="str">
        <f>IF('TMP Paste'!$F772="","",IF('TMP Paste'!$B772="",$AJ771,'TMP Paste'!$B772))</f>
        <v/>
      </c>
      <c r="AK772" t="str">
        <f>IF('TMP Paste'!$F772="","",N('TMP Paste'!$G772))</f>
        <v/>
      </c>
      <c r="AL772" t="str">
        <f>IF('TMP Paste'!$F772="","",IF('TMP Paste'!$M772="",$AL771,'TMP Paste'!$M772))</f>
        <v/>
      </c>
      <c r="AM772" t="str">
        <f>IF('TMP Paste'!$F772="","",IF('TMP Paste'!$N772="",$AM771,'TMP Paste'!$N772))</f>
        <v/>
      </c>
      <c r="AN772" t="str">
        <f>IF('TMP Paste'!$F772="","",IF('TMP Paste'!$O772="",$AN771,'TMP Paste'!$O772))</f>
        <v/>
      </c>
      <c r="AO772" t="str">
        <f>IF('TMP Paste'!$F772="","",IF('TMP Paste'!$P772="",$AO771,'TMP Paste'!$P772))</f>
        <v/>
      </c>
      <c r="AP772" t="str">
        <f t="shared" si="77"/>
        <v/>
      </c>
      <c r="AQ772" t="str">
        <f>IF($AS772="","",TRIM(IF(COUNTIFS(Calc!$B$2:$B$1601,ROW()-1,Calc!$C$2:$C$1601,"&lt;1")&gt;0,"Ada PO tanpa Koli - cek TMP. ","")&amp;IF(OR($AU772="",$AU772&lt;=0),"Volume kosong/0 - dimensi dikosongkan. ","")&amp;IF(AND($AU772&lt;&gt;"",$AU772&gt;=1000000),"Volume &gt;= 1.000.000 cm3 (di luar aturan) - dimensi dikosongkan. ","")&amp;IF(LEN($R772)&gt;500,"R &gt; 500 karakter.","")))</f>
        <v/>
      </c>
      <c r="AS772" t="str">
        <f>IFERROR(MATCH(ROW()-1,Calc!$J$2:$J$1601,0),"")</f>
        <v/>
      </c>
      <c r="AT772" t="str">
        <f>IFERROR(MATCH(ROW()-1,Calc!$K$2:$K$1601,0),"")</f>
        <v/>
      </c>
      <c r="AU772" t="str">
        <f>IF($AS772="","",IFERROR(INDEX('TMP Paste'!$D$2:$D$1601,$AS772)*1000000/$AB772,""))</f>
        <v/>
      </c>
    </row>
    <row r="773" spans="1:47">
      <c r="A773" t="str">
        <f>IF($AS773="","",INDEX('TMP Paste'!$B$2:$B$1601,$AS773))</f>
        <v/>
      </c>
      <c r="B773" t="str">
        <f>IF($AS773="","",Config!$B$14)</f>
        <v/>
      </c>
      <c r="C773" t="str">
        <f>IF($AS773="","",Config!$B$15)</f>
        <v/>
      </c>
      <c r="D773" t="str">
        <f>IF($AS773="","",INDEX('TMP Paste'!$B$2:$B$1601,$AS773))</f>
        <v/>
      </c>
      <c r="E773" t="str">
        <f>IF($AS773="","",Config!$B$27)</f>
        <v/>
      </c>
      <c r="F773" t="str">
        <f>IF($AS773="","",Config!$B$9)</f>
        <v/>
      </c>
      <c r="G773" t="str">
        <f>IF($AS773="","",Config!$B$10)</f>
        <v/>
      </c>
      <c r="H773" t="str">
        <f>IF($AS773="","",Config!$B$11)</f>
        <v/>
      </c>
      <c r="I773" t="str">
        <f>IF($AS773="","",Config!$B$16)</f>
        <v/>
      </c>
      <c r="J773" t="str">
        <f>IF($AS773="","",INDEX('TMP Paste'!$A$2:$A$1601,$AS773))</f>
        <v/>
      </c>
      <c r="K773" t="str">
        <f>IF($AS773="","",INDEX('TMP Paste'!$L$2:$L$1601,$AS773))</f>
        <v/>
      </c>
      <c r="L773" t="str">
        <f>IF($AS773="","",INDEX('TMP Paste'!$I$2:$I$1601,$AS773))</f>
        <v/>
      </c>
      <c r="M773" t="str">
        <f>IF($AS773="","",Config!$B$16)</f>
        <v/>
      </c>
      <c r="N773" t="str">
        <f t="shared" si="72"/>
        <v/>
      </c>
      <c r="O773" t="str">
        <f>IF($AS773="","",INDEX('TMP Paste'!$K$2:$K$1601,$AS773))</f>
        <v/>
      </c>
      <c r="P773" t="str">
        <f t="shared" si="73"/>
        <v/>
      </c>
      <c r="Q773" t="str">
        <f>IF($AS773="","",INDEX('TMP Paste'!$J$2:$J$1601,$AS773))</f>
        <v/>
      </c>
      <c r="R773" t="str">
        <f>IF($AS773="","",Config!$B$24)</f>
        <v/>
      </c>
      <c r="S773" t="str">
        <f ca="1">IF($AS773="","",TEXT(Config!$B$4,"yyyy-mm-dd"))</f>
        <v/>
      </c>
      <c r="T773" t="str">
        <f>IF($AS773="","",Config!$B$17)</f>
        <v/>
      </c>
      <c r="U773" t="str">
        <f>IF($AS773="","",Config!$B$18)</f>
        <v/>
      </c>
      <c r="V773" t="str">
        <f>IF($AS773="","",Config!$B$19)</f>
        <v/>
      </c>
      <c r="W773" t="str">
        <f>IF($AS773="","",INDEX('TMP Paste'!$C$2:$C$1601,$AS773))</f>
        <v/>
      </c>
      <c r="X773" t="str">
        <f>IF($AS773="","",Config!$B$29)</f>
        <v/>
      </c>
      <c r="Y773" t="str">
        <f>IF($AT773="","",INDEX(Calc!$I$2:$I$1601,$AT773)&amp;" - "&amp;INDEX(Calc!$D$2:$D$1601,$AT773)&amp;" koli")</f>
        <v/>
      </c>
      <c r="Z773" t="str">
        <f>IF($AS773="","",Config!$B$21)</f>
        <v/>
      </c>
      <c r="AA773" t="str">
        <f>IF($AS773="","",Config!$B$22)</f>
        <v/>
      </c>
      <c r="AB773" t="str">
        <f>IF($AT773="","",INDEX(Calc!$D$2:$D$1601,$AT773))</f>
        <v/>
      </c>
      <c r="AC773" t="str">
        <f>IF($AT773="","",INDEX(Calc!$G$2:$G$1601,$AT773))</f>
        <v/>
      </c>
      <c r="AD773" t="str">
        <f>IF($AS773="","",Config!$B$23)</f>
        <v/>
      </c>
      <c r="AE773" t="str">
        <f>IF($AS773="","",Config!$B$28)</f>
        <v/>
      </c>
      <c r="AF773" t="str">
        <f t="shared" si="74"/>
        <v/>
      </c>
      <c r="AG773" t="str">
        <f t="shared" si="75"/>
        <v/>
      </c>
      <c r="AH773" t="str">
        <f t="shared" si="76"/>
        <v/>
      </c>
      <c r="AI773" t="str">
        <f>IF($AG773="","",SUMIF($AG$2:$AG773,$AG773,$AH$2:$AH773))</f>
        <v/>
      </c>
      <c r="AJ773" t="str">
        <f>IF('TMP Paste'!$F773="","",IF('TMP Paste'!$B773="",$AJ772,'TMP Paste'!$B773))</f>
        <v/>
      </c>
      <c r="AK773" t="str">
        <f>IF('TMP Paste'!$F773="","",N('TMP Paste'!$G773))</f>
        <v/>
      </c>
      <c r="AL773" t="str">
        <f>IF('TMP Paste'!$F773="","",IF('TMP Paste'!$M773="",$AL772,'TMP Paste'!$M773))</f>
        <v/>
      </c>
      <c r="AM773" t="str">
        <f>IF('TMP Paste'!$F773="","",IF('TMP Paste'!$N773="",$AM772,'TMP Paste'!$N773))</f>
        <v/>
      </c>
      <c r="AN773" t="str">
        <f>IF('TMP Paste'!$F773="","",IF('TMP Paste'!$O773="",$AN772,'TMP Paste'!$O773))</f>
        <v/>
      </c>
      <c r="AO773" t="str">
        <f>IF('TMP Paste'!$F773="","",IF('TMP Paste'!$P773="",$AO772,'TMP Paste'!$P773))</f>
        <v/>
      </c>
      <c r="AP773" t="str">
        <f t="shared" si="77"/>
        <v/>
      </c>
      <c r="AQ773" t="str">
        <f>IF($AS773="","",TRIM(IF(COUNTIFS(Calc!$B$2:$B$1601,ROW()-1,Calc!$C$2:$C$1601,"&lt;1")&gt;0,"Ada PO tanpa Koli - cek TMP. ","")&amp;IF(OR($AU773="",$AU773&lt;=0),"Volume kosong/0 - dimensi dikosongkan. ","")&amp;IF(AND($AU773&lt;&gt;"",$AU773&gt;=1000000),"Volume &gt;= 1.000.000 cm3 (di luar aturan) - dimensi dikosongkan. ","")&amp;IF(LEN($R773)&gt;500,"R &gt; 500 karakter.","")))</f>
        <v/>
      </c>
      <c r="AS773" t="str">
        <f>IFERROR(MATCH(ROW()-1,Calc!$J$2:$J$1601,0),"")</f>
        <v/>
      </c>
      <c r="AT773" t="str">
        <f>IFERROR(MATCH(ROW()-1,Calc!$K$2:$K$1601,0),"")</f>
        <v/>
      </c>
      <c r="AU773" t="str">
        <f>IF($AS773="","",IFERROR(INDEX('TMP Paste'!$D$2:$D$1601,$AS773)*1000000/$AB773,""))</f>
        <v/>
      </c>
    </row>
    <row r="774" spans="1:47">
      <c r="A774" t="str">
        <f>IF($AS774="","",INDEX('TMP Paste'!$B$2:$B$1601,$AS774))</f>
        <v/>
      </c>
      <c r="B774" t="str">
        <f>IF($AS774="","",Config!$B$14)</f>
        <v/>
      </c>
      <c r="C774" t="str">
        <f>IF($AS774="","",Config!$B$15)</f>
        <v/>
      </c>
      <c r="D774" t="str">
        <f>IF($AS774="","",INDEX('TMP Paste'!$B$2:$B$1601,$AS774))</f>
        <v/>
      </c>
      <c r="E774" t="str">
        <f>IF($AS774="","",Config!$B$27)</f>
        <v/>
      </c>
      <c r="F774" t="str">
        <f>IF($AS774="","",Config!$B$9)</f>
        <v/>
      </c>
      <c r="G774" t="str">
        <f>IF($AS774="","",Config!$B$10)</f>
        <v/>
      </c>
      <c r="H774" t="str">
        <f>IF($AS774="","",Config!$B$11)</f>
        <v/>
      </c>
      <c r="I774" t="str">
        <f>IF($AS774="","",Config!$B$16)</f>
        <v/>
      </c>
      <c r="J774" t="str">
        <f>IF($AS774="","",INDEX('TMP Paste'!$A$2:$A$1601,$AS774))</f>
        <v/>
      </c>
      <c r="K774" t="str">
        <f>IF($AS774="","",INDEX('TMP Paste'!$L$2:$L$1601,$AS774))</f>
        <v/>
      </c>
      <c r="L774" t="str">
        <f>IF($AS774="","",INDEX('TMP Paste'!$I$2:$I$1601,$AS774))</f>
        <v/>
      </c>
      <c r="M774" t="str">
        <f>IF($AS774="","",Config!$B$16)</f>
        <v/>
      </c>
      <c r="N774" t="str">
        <f t="shared" si="72"/>
        <v/>
      </c>
      <c r="O774" t="str">
        <f>IF($AS774="","",INDEX('TMP Paste'!$K$2:$K$1601,$AS774))</f>
        <v/>
      </c>
      <c r="P774" t="str">
        <f t="shared" si="73"/>
        <v/>
      </c>
      <c r="Q774" t="str">
        <f>IF($AS774="","",INDEX('TMP Paste'!$J$2:$J$1601,$AS774))</f>
        <v/>
      </c>
      <c r="R774" t="str">
        <f>IF($AS774="","",Config!$B$24)</f>
        <v/>
      </c>
      <c r="S774" t="str">
        <f ca="1">IF($AS774="","",TEXT(Config!$B$4,"yyyy-mm-dd"))</f>
        <v/>
      </c>
      <c r="T774" t="str">
        <f>IF($AS774="","",Config!$B$17)</f>
        <v/>
      </c>
      <c r="U774" t="str">
        <f>IF($AS774="","",Config!$B$18)</f>
        <v/>
      </c>
      <c r="V774" t="str">
        <f>IF($AS774="","",Config!$B$19)</f>
        <v/>
      </c>
      <c r="W774" t="str">
        <f>IF($AS774="","",INDEX('TMP Paste'!$C$2:$C$1601,$AS774))</f>
        <v/>
      </c>
      <c r="X774" t="str">
        <f>IF($AS774="","",Config!$B$29)</f>
        <v/>
      </c>
      <c r="Y774" t="str">
        <f>IF($AT774="","",INDEX(Calc!$I$2:$I$1601,$AT774)&amp;" - "&amp;INDEX(Calc!$D$2:$D$1601,$AT774)&amp;" koli")</f>
        <v/>
      </c>
      <c r="Z774" t="str">
        <f>IF($AS774="","",Config!$B$21)</f>
        <v/>
      </c>
      <c r="AA774" t="str">
        <f>IF($AS774="","",Config!$B$22)</f>
        <v/>
      </c>
      <c r="AB774" t="str">
        <f>IF($AT774="","",INDEX(Calc!$D$2:$D$1601,$AT774))</f>
        <v/>
      </c>
      <c r="AC774" t="str">
        <f>IF($AT774="","",INDEX(Calc!$G$2:$G$1601,$AT774))</f>
        <v/>
      </c>
      <c r="AD774" t="str">
        <f>IF($AS774="","",Config!$B$23)</f>
        <v/>
      </c>
      <c r="AE774" t="str">
        <f>IF($AS774="","",Config!$B$28)</f>
        <v/>
      </c>
      <c r="AF774" t="str">
        <f t="shared" si="74"/>
        <v/>
      </c>
      <c r="AG774" t="str">
        <f t="shared" si="75"/>
        <v/>
      </c>
      <c r="AH774" t="str">
        <f t="shared" si="76"/>
        <v/>
      </c>
      <c r="AI774" t="str">
        <f>IF($AG774="","",SUMIF($AG$2:$AG774,$AG774,$AH$2:$AH774))</f>
        <v/>
      </c>
      <c r="AJ774" t="str">
        <f>IF('TMP Paste'!$F774="","",IF('TMP Paste'!$B774="",$AJ773,'TMP Paste'!$B774))</f>
        <v/>
      </c>
      <c r="AK774" t="str">
        <f>IF('TMP Paste'!$F774="","",N('TMP Paste'!$G774))</f>
        <v/>
      </c>
      <c r="AL774" t="str">
        <f>IF('TMP Paste'!$F774="","",IF('TMP Paste'!$M774="",$AL773,'TMP Paste'!$M774))</f>
        <v/>
      </c>
      <c r="AM774" t="str">
        <f>IF('TMP Paste'!$F774="","",IF('TMP Paste'!$N774="",$AM773,'TMP Paste'!$N774))</f>
        <v/>
      </c>
      <c r="AN774" t="str">
        <f>IF('TMP Paste'!$F774="","",IF('TMP Paste'!$O774="",$AN773,'TMP Paste'!$O774))</f>
        <v/>
      </c>
      <c r="AO774" t="str">
        <f>IF('TMP Paste'!$F774="","",IF('TMP Paste'!$P774="",$AO773,'TMP Paste'!$P774))</f>
        <v/>
      </c>
      <c r="AP774" t="str">
        <f t="shared" si="77"/>
        <v/>
      </c>
      <c r="AQ774" t="str">
        <f>IF($AS774="","",TRIM(IF(COUNTIFS(Calc!$B$2:$B$1601,ROW()-1,Calc!$C$2:$C$1601,"&lt;1")&gt;0,"Ada PO tanpa Koli - cek TMP. ","")&amp;IF(OR($AU774="",$AU774&lt;=0),"Volume kosong/0 - dimensi dikosongkan. ","")&amp;IF(AND($AU774&lt;&gt;"",$AU774&gt;=1000000),"Volume &gt;= 1.000.000 cm3 (di luar aturan) - dimensi dikosongkan. ","")&amp;IF(LEN($R774)&gt;500,"R &gt; 500 karakter.","")))</f>
        <v/>
      </c>
      <c r="AS774" t="str">
        <f>IFERROR(MATCH(ROW()-1,Calc!$J$2:$J$1601,0),"")</f>
        <v/>
      </c>
      <c r="AT774" t="str">
        <f>IFERROR(MATCH(ROW()-1,Calc!$K$2:$K$1601,0),"")</f>
        <v/>
      </c>
      <c r="AU774" t="str">
        <f>IF($AS774="","",IFERROR(INDEX('TMP Paste'!$D$2:$D$1601,$AS774)*1000000/$AB774,""))</f>
        <v/>
      </c>
    </row>
    <row r="775" spans="1:47">
      <c r="A775" t="str">
        <f>IF($AS775="","",INDEX('TMP Paste'!$B$2:$B$1601,$AS775))</f>
        <v/>
      </c>
      <c r="B775" t="str">
        <f>IF($AS775="","",Config!$B$14)</f>
        <v/>
      </c>
      <c r="C775" t="str">
        <f>IF($AS775="","",Config!$B$15)</f>
        <v/>
      </c>
      <c r="D775" t="str">
        <f>IF($AS775="","",INDEX('TMP Paste'!$B$2:$B$1601,$AS775))</f>
        <v/>
      </c>
      <c r="E775" t="str">
        <f>IF($AS775="","",Config!$B$27)</f>
        <v/>
      </c>
      <c r="F775" t="str">
        <f>IF($AS775="","",Config!$B$9)</f>
        <v/>
      </c>
      <c r="G775" t="str">
        <f>IF($AS775="","",Config!$B$10)</f>
        <v/>
      </c>
      <c r="H775" t="str">
        <f>IF($AS775="","",Config!$B$11)</f>
        <v/>
      </c>
      <c r="I775" t="str">
        <f>IF($AS775="","",Config!$B$16)</f>
        <v/>
      </c>
      <c r="J775" t="str">
        <f>IF($AS775="","",INDEX('TMP Paste'!$A$2:$A$1601,$AS775))</f>
        <v/>
      </c>
      <c r="K775" t="str">
        <f>IF($AS775="","",INDEX('TMP Paste'!$L$2:$L$1601,$AS775))</f>
        <v/>
      </c>
      <c r="L775" t="str">
        <f>IF($AS775="","",INDEX('TMP Paste'!$I$2:$I$1601,$AS775))</f>
        <v/>
      </c>
      <c r="M775" t="str">
        <f>IF($AS775="","",Config!$B$16)</f>
        <v/>
      </c>
      <c r="N775" t="str">
        <f t="shared" si="72"/>
        <v/>
      </c>
      <c r="O775" t="str">
        <f>IF($AS775="","",INDEX('TMP Paste'!$K$2:$K$1601,$AS775))</f>
        <v/>
      </c>
      <c r="P775" t="str">
        <f t="shared" si="73"/>
        <v/>
      </c>
      <c r="Q775" t="str">
        <f>IF($AS775="","",INDEX('TMP Paste'!$J$2:$J$1601,$AS775))</f>
        <v/>
      </c>
      <c r="R775" t="str">
        <f>IF($AS775="","",Config!$B$24)</f>
        <v/>
      </c>
      <c r="S775" t="str">
        <f ca="1">IF($AS775="","",TEXT(Config!$B$4,"yyyy-mm-dd"))</f>
        <v/>
      </c>
      <c r="T775" t="str">
        <f>IF($AS775="","",Config!$B$17)</f>
        <v/>
      </c>
      <c r="U775" t="str">
        <f>IF($AS775="","",Config!$B$18)</f>
        <v/>
      </c>
      <c r="V775" t="str">
        <f>IF($AS775="","",Config!$B$19)</f>
        <v/>
      </c>
      <c r="W775" t="str">
        <f>IF($AS775="","",INDEX('TMP Paste'!$C$2:$C$1601,$AS775))</f>
        <v/>
      </c>
      <c r="X775" t="str">
        <f>IF($AS775="","",Config!$B$29)</f>
        <v/>
      </c>
      <c r="Y775" t="str">
        <f>IF($AT775="","",INDEX(Calc!$I$2:$I$1601,$AT775)&amp;" - "&amp;INDEX(Calc!$D$2:$D$1601,$AT775)&amp;" koli")</f>
        <v/>
      </c>
      <c r="Z775" t="str">
        <f>IF($AS775="","",Config!$B$21)</f>
        <v/>
      </c>
      <c r="AA775" t="str">
        <f>IF($AS775="","",Config!$B$22)</f>
        <v/>
      </c>
      <c r="AB775" t="str">
        <f>IF($AT775="","",INDEX(Calc!$D$2:$D$1601,$AT775))</f>
        <v/>
      </c>
      <c r="AC775" t="str">
        <f>IF($AT775="","",INDEX(Calc!$G$2:$G$1601,$AT775))</f>
        <v/>
      </c>
      <c r="AD775" t="str">
        <f>IF($AS775="","",Config!$B$23)</f>
        <v/>
      </c>
      <c r="AE775" t="str">
        <f>IF($AS775="","",Config!$B$28)</f>
        <v/>
      </c>
      <c r="AF775" t="str">
        <f t="shared" si="74"/>
        <v/>
      </c>
      <c r="AG775" t="str">
        <f t="shared" si="75"/>
        <v/>
      </c>
      <c r="AH775" t="str">
        <f t="shared" si="76"/>
        <v/>
      </c>
      <c r="AI775" t="str">
        <f>IF($AG775="","",SUMIF($AG$2:$AG775,$AG775,$AH$2:$AH775))</f>
        <v/>
      </c>
      <c r="AJ775" t="str">
        <f>IF('TMP Paste'!$F775="","",IF('TMP Paste'!$B775="",$AJ774,'TMP Paste'!$B775))</f>
        <v/>
      </c>
      <c r="AK775" t="str">
        <f>IF('TMP Paste'!$F775="","",N('TMP Paste'!$G775))</f>
        <v/>
      </c>
      <c r="AL775" t="str">
        <f>IF('TMP Paste'!$F775="","",IF('TMP Paste'!$M775="",$AL774,'TMP Paste'!$M775))</f>
        <v/>
      </c>
      <c r="AM775" t="str">
        <f>IF('TMP Paste'!$F775="","",IF('TMP Paste'!$N775="",$AM774,'TMP Paste'!$N775))</f>
        <v/>
      </c>
      <c r="AN775" t="str">
        <f>IF('TMP Paste'!$F775="","",IF('TMP Paste'!$O775="",$AN774,'TMP Paste'!$O775))</f>
        <v/>
      </c>
      <c r="AO775" t="str">
        <f>IF('TMP Paste'!$F775="","",IF('TMP Paste'!$P775="",$AO774,'TMP Paste'!$P775))</f>
        <v/>
      </c>
      <c r="AP775" t="str">
        <f t="shared" si="77"/>
        <v/>
      </c>
      <c r="AQ775" t="str">
        <f>IF($AS775="","",TRIM(IF(COUNTIFS(Calc!$B$2:$B$1601,ROW()-1,Calc!$C$2:$C$1601,"&lt;1")&gt;0,"Ada PO tanpa Koli - cek TMP. ","")&amp;IF(OR($AU775="",$AU775&lt;=0),"Volume kosong/0 - dimensi dikosongkan. ","")&amp;IF(AND($AU775&lt;&gt;"",$AU775&gt;=1000000),"Volume &gt;= 1.000.000 cm3 (di luar aturan) - dimensi dikosongkan. ","")&amp;IF(LEN($R775)&gt;500,"R &gt; 500 karakter.","")))</f>
        <v/>
      </c>
      <c r="AS775" t="str">
        <f>IFERROR(MATCH(ROW()-1,Calc!$J$2:$J$1601,0),"")</f>
        <v/>
      </c>
      <c r="AT775" t="str">
        <f>IFERROR(MATCH(ROW()-1,Calc!$K$2:$K$1601,0),"")</f>
        <v/>
      </c>
      <c r="AU775" t="str">
        <f>IF($AS775="","",IFERROR(INDEX('TMP Paste'!$D$2:$D$1601,$AS775)*1000000/$AB775,""))</f>
        <v/>
      </c>
    </row>
    <row r="776" spans="1:47">
      <c r="A776" t="str">
        <f>IF($AS776="","",INDEX('TMP Paste'!$B$2:$B$1601,$AS776))</f>
        <v/>
      </c>
      <c r="B776" t="str">
        <f>IF($AS776="","",Config!$B$14)</f>
        <v/>
      </c>
      <c r="C776" t="str">
        <f>IF($AS776="","",Config!$B$15)</f>
        <v/>
      </c>
      <c r="D776" t="str">
        <f>IF($AS776="","",INDEX('TMP Paste'!$B$2:$B$1601,$AS776))</f>
        <v/>
      </c>
      <c r="E776" t="str">
        <f>IF($AS776="","",Config!$B$27)</f>
        <v/>
      </c>
      <c r="F776" t="str">
        <f>IF($AS776="","",Config!$B$9)</f>
        <v/>
      </c>
      <c r="G776" t="str">
        <f>IF($AS776="","",Config!$B$10)</f>
        <v/>
      </c>
      <c r="H776" t="str">
        <f>IF($AS776="","",Config!$B$11)</f>
        <v/>
      </c>
      <c r="I776" t="str">
        <f>IF($AS776="","",Config!$B$16)</f>
        <v/>
      </c>
      <c r="J776" t="str">
        <f>IF($AS776="","",INDEX('TMP Paste'!$A$2:$A$1601,$AS776))</f>
        <v/>
      </c>
      <c r="K776" t="str">
        <f>IF($AS776="","",INDEX('TMP Paste'!$L$2:$L$1601,$AS776))</f>
        <v/>
      </c>
      <c r="L776" t="str">
        <f>IF($AS776="","",INDEX('TMP Paste'!$I$2:$I$1601,$AS776))</f>
        <v/>
      </c>
      <c r="M776" t="str">
        <f>IF($AS776="","",Config!$B$16)</f>
        <v/>
      </c>
      <c r="N776" t="str">
        <f t="shared" si="72"/>
        <v/>
      </c>
      <c r="O776" t="str">
        <f>IF($AS776="","",INDEX('TMP Paste'!$K$2:$K$1601,$AS776))</f>
        <v/>
      </c>
      <c r="P776" t="str">
        <f t="shared" si="73"/>
        <v/>
      </c>
      <c r="Q776" t="str">
        <f>IF($AS776="","",INDEX('TMP Paste'!$J$2:$J$1601,$AS776))</f>
        <v/>
      </c>
      <c r="R776" t="str">
        <f>IF($AS776="","",Config!$B$24)</f>
        <v/>
      </c>
      <c r="S776" t="str">
        <f ca="1">IF($AS776="","",TEXT(Config!$B$4,"yyyy-mm-dd"))</f>
        <v/>
      </c>
      <c r="T776" t="str">
        <f>IF($AS776="","",Config!$B$17)</f>
        <v/>
      </c>
      <c r="U776" t="str">
        <f>IF($AS776="","",Config!$B$18)</f>
        <v/>
      </c>
      <c r="V776" t="str">
        <f>IF($AS776="","",Config!$B$19)</f>
        <v/>
      </c>
      <c r="W776" t="str">
        <f>IF($AS776="","",INDEX('TMP Paste'!$C$2:$C$1601,$AS776))</f>
        <v/>
      </c>
      <c r="X776" t="str">
        <f>IF($AS776="","",Config!$B$29)</f>
        <v/>
      </c>
      <c r="Y776" t="str">
        <f>IF($AT776="","",INDEX(Calc!$I$2:$I$1601,$AT776)&amp;" - "&amp;INDEX(Calc!$D$2:$D$1601,$AT776)&amp;" koli")</f>
        <v/>
      </c>
      <c r="Z776" t="str">
        <f>IF($AS776="","",Config!$B$21)</f>
        <v/>
      </c>
      <c r="AA776" t="str">
        <f>IF($AS776="","",Config!$B$22)</f>
        <v/>
      </c>
      <c r="AB776" t="str">
        <f>IF($AT776="","",INDEX(Calc!$D$2:$D$1601,$AT776))</f>
        <v/>
      </c>
      <c r="AC776" t="str">
        <f>IF($AT776="","",INDEX(Calc!$G$2:$G$1601,$AT776))</f>
        <v/>
      </c>
      <c r="AD776" t="str">
        <f>IF($AS776="","",Config!$B$23)</f>
        <v/>
      </c>
      <c r="AE776" t="str">
        <f>IF($AS776="","",Config!$B$28)</f>
        <v/>
      </c>
      <c r="AF776" t="str">
        <f t="shared" si="74"/>
        <v/>
      </c>
      <c r="AG776" t="str">
        <f t="shared" si="75"/>
        <v/>
      </c>
      <c r="AH776" t="str">
        <f t="shared" si="76"/>
        <v/>
      </c>
      <c r="AI776" t="str">
        <f>IF($AG776="","",SUMIF($AG$2:$AG776,$AG776,$AH$2:$AH776))</f>
        <v/>
      </c>
      <c r="AJ776" t="str">
        <f>IF('TMP Paste'!$F776="","",IF('TMP Paste'!$B776="",$AJ775,'TMP Paste'!$B776))</f>
        <v/>
      </c>
      <c r="AK776" t="str">
        <f>IF('TMP Paste'!$F776="","",N('TMP Paste'!$G776))</f>
        <v/>
      </c>
      <c r="AL776" t="str">
        <f>IF('TMP Paste'!$F776="","",IF('TMP Paste'!$M776="",$AL775,'TMP Paste'!$M776))</f>
        <v/>
      </c>
      <c r="AM776" t="str">
        <f>IF('TMP Paste'!$F776="","",IF('TMP Paste'!$N776="",$AM775,'TMP Paste'!$N776))</f>
        <v/>
      </c>
      <c r="AN776" t="str">
        <f>IF('TMP Paste'!$F776="","",IF('TMP Paste'!$O776="",$AN775,'TMP Paste'!$O776))</f>
        <v/>
      </c>
      <c r="AO776" t="str">
        <f>IF('TMP Paste'!$F776="","",IF('TMP Paste'!$P776="",$AO775,'TMP Paste'!$P776))</f>
        <v/>
      </c>
      <c r="AP776" t="str">
        <f t="shared" si="77"/>
        <v/>
      </c>
      <c r="AQ776" t="str">
        <f>IF($AS776="","",TRIM(IF(COUNTIFS(Calc!$B$2:$B$1601,ROW()-1,Calc!$C$2:$C$1601,"&lt;1")&gt;0,"Ada PO tanpa Koli - cek TMP. ","")&amp;IF(OR($AU776="",$AU776&lt;=0),"Volume kosong/0 - dimensi dikosongkan. ","")&amp;IF(AND($AU776&lt;&gt;"",$AU776&gt;=1000000),"Volume &gt;= 1.000.000 cm3 (di luar aturan) - dimensi dikosongkan. ","")&amp;IF(LEN($R776)&gt;500,"R &gt; 500 karakter.","")))</f>
        <v/>
      </c>
      <c r="AS776" t="str">
        <f>IFERROR(MATCH(ROW()-1,Calc!$J$2:$J$1601,0),"")</f>
        <v/>
      </c>
      <c r="AT776" t="str">
        <f>IFERROR(MATCH(ROW()-1,Calc!$K$2:$K$1601,0),"")</f>
        <v/>
      </c>
      <c r="AU776" t="str">
        <f>IF($AS776="","",IFERROR(INDEX('TMP Paste'!$D$2:$D$1601,$AS776)*1000000/$AB776,""))</f>
        <v/>
      </c>
    </row>
    <row r="777" spans="1:47">
      <c r="A777" t="str">
        <f>IF($AS777="","",INDEX('TMP Paste'!$B$2:$B$1601,$AS777))</f>
        <v/>
      </c>
      <c r="B777" t="str">
        <f>IF($AS777="","",Config!$B$14)</f>
        <v/>
      </c>
      <c r="C777" t="str">
        <f>IF($AS777="","",Config!$B$15)</f>
        <v/>
      </c>
      <c r="D777" t="str">
        <f>IF($AS777="","",INDEX('TMP Paste'!$B$2:$B$1601,$AS777))</f>
        <v/>
      </c>
      <c r="E777" t="str">
        <f>IF($AS777="","",Config!$B$27)</f>
        <v/>
      </c>
      <c r="F777" t="str">
        <f>IF($AS777="","",Config!$B$9)</f>
        <v/>
      </c>
      <c r="G777" t="str">
        <f>IF($AS777="","",Config!$B$10)</f>
        <v/>
      </c>
      <c r="H777" t="str">
        <f>IF($AS777="","",Config!$B$11)</f>
        <v/>
      </c>
      <c r="I777" t="str">
        <f>IF($AS777="","",Config!$B$16)</f>
        <v/>
      </c>
      <c r="J777" t="str">
        <f>IF($AS777="","",INDEX('TMP Paste'!$A$2:$A$1601,$AS777))</f>
        <v/>
      </c>
      <c r="K777" t="str">
        <f>IF($AS777="","",INDEX('TMP Paste'!$L$2:$L$1601,$AS777))</f>
        <v/>
      </c>
      <c r="L777" t="str">
        <f>IF($AS777="","",INDEX('TMP Paste'!$I$2:$I$1601,$AS777))</f>
        <v/>
      </c>
      <c r="M777" t="str">
        <f>IF($AS777="","",Config!$B$16)</f>
        <v/>
      </c>
      <c r="N777" t="str">
        <f t="shared" si="72"/>
        <v/>
      </c>
      <c r="O777" t="str">
        <f>IF($AS777="","",INDEX('TMP Paste'!$K$2:$K$1601,$AS777))</f>
        <v/>
      </c>
      <c r="P777" t="str">
        <f t="shared" si="73"/>
        <v/>
      </c>
      <c r="Q777" t="str">
        <f>IF($AS777="","",INDEX('TMP Paste'!$J$2:$J$1601,$AS777))</f>
        <v/>
      </c>
      <c r="R777" t="str">
        <f>IF($AS777="","",Config!$B$24)</f>
        <v/>
      </c>
      <c r="S777" t="str">
        <f ca="1">IF($AS777="","",TEXT(Config!$B$4,"yyyy-mm-dd"))</f>
        <v/>
      </c>
      <c r="T777" t="str">
        <f>IF($AS777="","",Config!$B$17)</f>
        <v/>
      </c>
      <c r="U777" t="str">
        <f>IF($AS777="","",Config!$B$18)</f>
        <v/>
      </c>
      <c r="V777" t="str">
        <f>IF($AS777="","",Config!$B$19)</f>
        <v/>
      </c>
      <c r="W777" t="str">
        <f>IF($AS777="","",INDEX('TMP Paste'!$C$2:$C$1601,$AS777))</f>
        <v/>
      </c>
      <c r="X777" t="str">
        <f>IF($AS777="","",Config!$B$29)</f>
        <v/>
      </c>
      <c r="Y777" t="str">
        <f>IF($AT777="","",INDEX(Calc!$I$2:$I$1601,$AT777)&amp;" - "&amp;INDEX(Calc!$D$2:$D$1601,$AT777)&amp;" koli")</f>
        <v/>
      </c>
      <c r="Z777" t="str">
        <f>IF($AS777="","",Config!$B$21)</f>
        <v/>
      </c>
      <c r="AA777" t="str">
        <f>IF($AS777="","",Config!$B$22)</f>
        <v/>
      </c>
      <c r="AB777" t="str">
        <f>IF($AT777="","",INDEX(Calc!$D$2:$D$1601,$AT777))</f>
        <v/>
      </c>
      <c r="AC777" t="str">
        <f>IF($AT777="","",INDEX(Calc!$G$2:$G$1601,$AT777))</f>
        <v/>
      </c>
      <c r="AD777" t="str">
        <f>IF($AS777="","",Config!$B$23)</f>
        <v/>
      </c>
      <c r="AE777" t="str">
        <f>IF($AS777="","",Config!$B$28)</f>
        <v/>
      </c>
      <c r="AF777" t="str">
        <f t="shared" si="74"/>
        <v/>
      </c>
      <c r="AG777" t="str">
        <f t="shared" si="75"/>
        <v/>
      </c>
      <c r="AH777" t="str">
        <f t="shared" si="76"/>
        <v/>
      </c>
      <c r="AI777" t="str">
        <f>IF($AG777="","",SUMIF($AG$2:$AG777,$AG777,$AH$2:$AH777))</f>
        <v/>
      </c>
      <c r="AJ777" t="str">
        <f>IF('TMP Paste'!$F777="","",IF('TMP Paste'!$B777="",$AJ776,'TMP Paste'!$B777))</f>
        <v/>
      </c>
      <c r="AK777" t="str">
        <f>IF('TMP Paste'!$F777="","",N('TMP Paste'!$G777))</f>
        <v/>
      </c>
      <c r="AL777" t="str">
        <f>IF('TMP Paste'!$F777="","",IF('TMP Paste'!$M777="",$AL776,'TMP Paste'!$M777))</f>
        <v/>
      </c>
      <c r="AM777" t="str">
        <f>IF('TMP Paste'!$F777="","",IF('TMP Paste'!$N777="",$AM776,'TMP Paste'!$N777))</f>
        <v/>
      </c>
      <c r="AN777" t="str">
        <f>IF('TMP Paste'!$F777="","",IF('TMP Paste'!$O777="",$AN776,'TMP Paste'!$O777))</f>
        <v/>
      </c>
      <c r="AO777" t="str">
        <f>IF('TMP Paste'!$F777="","",IF('TMP Paste'!$P777="",$AO776,'TMP Paste'!$P777))</f>
        <v/>
      </c>
      <c r="AP777" t="str">
        <f t="shared" si="77"/>
        <v/>
      </c>
      <c r="AQ777" t="str">
        <f>IF($AS777="","",TRIM(IF(COUNTIFS(Calc!$B$2:$B$1601,ROW()-1,Calc!$C$2:$C$1601,"&lt;1")&gt;0,"Ada PO tanpa Koli - cek TMP. ","")&amp;IF(OR($AU777="",$AU777&lt;=0),"Volume kosong/0 - dimensi dikosongkan. ","")&amp;IF(AND($AU777&lt;&gt;"",$AU777&gt;=1000000),"Volume &gt;= 1.000.000 cm3 (di luar aturan) - dimensi dikosongkan. ","")&amp;IF(LEN($R777)&gt;500,"R &gt; 500 karakter.","")))</f>
        <v/>
      </c>
      <c r="AS777" t="str">
        <f>IFERROR(MATCH(ROW()-1,Calc!$J$2:$J$1601,0),"")</f>
        <v/>
      </c>
      <c r="AT777" t="str">
        <f>IFERROR(MATCH(ROW()-1,Calc!$K$2:$K$1601,0),"")</f>
        <v/>
      </c>
      <c r="AU777" t="str">
        <f>IF($AS777="","",IFERROR(INDEX('TMP Paste'!$D$2:$D$1601,$AS777)*1000000/$AB777,""))</f>
        <v/>
      </c>
    </row>
    <row r="778" spans="1:47">
      <c r="A778" t="str">
        <f>IF($AS778="","",INDEX('TMP Paste'!$B$2:$B$1601,$AS778))</f>
        <v/>
      </c>
      <c r="B778" t="str">
        <f>IF($AS778="","",Config!$B$14)</f>
        <v/>
      </c>
      <c r="C778" t="str">
        <f>IF($AS778="","",Config!$B$15)</f>
        <v/>
      </c>
      <c r="D778" t="str">
        <f>IF($AS778="","",INDEX('TMP Paste'!$B$2:$B$1601,$AS778))</f>
        <v/>
      </c>
      <c r="E778" t="str">
        <f>IF($AS778="","",Config!$B$27)</f>
        <v/>
      </c>
      <c r="F778" t="str">
        <f>IF($AS778="","",Config!$B$9)</f>
        <v/>
      </c>
      <c r="G778" t="str">
        <f>IF($AS778="","",Config!$B$10)</f>
        <v/>
      </c>
      <c r="H778" t="str">
        <f>IF($AS778="","",Config!$B$11)</f>
        <v/>
      </c>
      <c r="I778" t="str">
        <f>IF($AS778="","",Config!$B$16)</f>
        <v/>
      </c>
      <c r="J778" t="str">
        <f>IF($AS778="","",INDEX('TMP Paste'!$A$2:$A$1601,$AS778))</f>
        <v/>
      </c>
      <c r="K778" t="str">
        <f>IF($AS778="","",INDEX('TMP Paste'!$L$2:$L$1601,$AS778))</f>
        <v/>
      </c>
      <c r="L778" t="str">
        <f>IF($AS778="","",INDEX('TMP Paste'!$I$2:$I$1601,$AS778))</f>
        <v/>
      </c>
      <c r="M778" t="str">
        <f>IF($AS778="","",Config!$B$16)</f>
        <v/>
      </c>
      <c r="N778" t="str">
        <f t="shared" si="72"/>
        <v/>
      </c>
      <c r="O778" t="str">
        <f>IF($AS778="","",INDEX('TMP Paste'!$K$2:$K$1601,$AS778))</f>
        <v/>
      </c>
      <c r="P778" t="str">
        <f t="shared" si="73"/>
        <v/>
      </c>
      <c r="Q778" t="str">
        <f>IF($AS778="","",INDEX('TMP Paste'!$J$2:$J$1601,$AS778))</f>
        <v/>
      </c>
      <c r="R778" t="str">
        <f>IF($AS778="","",Config!$B$24)</f>
        <v/>
      </c>
      <c r="S778" t="str">
        <f ca="1">IF($AS778="","",TEXT(Config!$B$4,"yyyy-mm-dd"))</f>
        <v/>
      </c>
      <c r="T778" t="str">
        <f>IF($AS778="","",Config!$B$17)</f>
        <v/>
      </c>
      <c r="U778" t="str">
        <f>IF($AS778="","",Config!$B$18)</f>
        <v/>
      </c>
      <c r="V778" t="str">
        <f>IF($AS778="","",Config!$B$19)</f>
        <v/>
      </c>
      <c r="W778" t="str">
        <f>IF($AS778="","",INDEX('TMP Paste'!$C$2:$C$1601,$AS778))</f>
        <v/>
      </c>
      <c r="X778" t="str">
        <f>IF($AS778="","",Config!$B$29)</f>
        <v/>
      </c>
      <c r="Y778" t="str">
        <f>IF($AT778="","",INDEX(Calc!$I$2:$I$1601,$AT778)&amp;" - "&amp;INDEX(Calc!$D$2:$D$1601,$AT778)&amp;" koli")</f>
        <v/>
      </c>
      <c r="Z778" t="str">
        <f>IF($AS778="","",Config!$B$21)</f>
        <v/>
      </c>
      <c r="AA778" t="str">
        <f>IF($AS778="","",Config!$B$22)</f>
        <v/>
      </c>
      <c r="AB778" t="str">
        <f>IF($AT778="","",INDEX(Calc!$D$2:$D$1601,$AT778))</f>
        <v/>
      </c>
      <c r="AC778" t="str">
        <f>IF($AT778="","",INDEX(Calc!$G$2:$G$1601,$AT778))</f>
        <v/>
      </c>
      <c r="AD778" t="str">
        <f>IF($AS778="","",Config!$B$23)</f>
        <v/>
      </c>
      <c r="AE778" t="str">
        <f>IF($AS778="","",Config!$B$28)</f>
        <v/>
      </c>
      <c r="AF778" t="str">
        <f t="shared" si="74"/>
        <v/>
      </c>
      <c r="AG778" t="str">
        <f t="shared" si="75"/>
        <v/>
      </c>
      <c r="AH778" t="str">
        <f t="shared" si="76"/>
        <v/>
      </c>
      <c r="AI778" t="str">
        <f>IF($AG778="","",SUMIF($AG$2:$AG778,$AG778,$AH$2:$AH778))</f>
        <v/>
      </c>
      <c r="AJ778" t="str">
        <f>IF('TMP Paste'!$F778="","",IF('TMP Paste'!$B778="",$AJ777,'TMP Paste'!$B778))</f>
        <v/>
      </c>
      <c r="AK778" t="str">
        <f>IF('TMP Paste'!$F778="","",N('TMP Paste'!$G778))</f>
        <v/>
      </c>
      <c r="AL778" t="str">
        <f>IF('TMP Paste'!$F778="","",IF('TMP Paste'!$M778="",$AL777,'TMP Paste'!$M778))</f>
        <v/>
      </c>
      <c r="AM778" t="str">
        <f>IF('TMP Paste'!$F778="","",IF('TMP Paste'!$N778="",$AM777,'TMP Paste'!$N778))</f>
        <v/>
      </c>
      <c r="AN778" t="str">
        <f>IF('TMP Paste'!$F778="","",IF('TMP Paste'!$O778="",$AN777,'TMP Paste'!$O778))</f>
        <v/>
      </c>
      <c r="AO778" t="str">
        <f>IF('TMP Paste'!$F778="","",IF('TMP Paste'!$P778="",$AO777,'TMP Paste'!$P778))</f>
        <v/>
      </c>
      <c r="AP778" t="str">
        <f t="shared" si="77"/>
        <v/>
      </c>
      <c r="AQ778" t="str">
        <f>IF($AS778="","",TRIM(IF(COUNTIFS(Calc!$B$2:$B$1601,ROW()-1,Calc!$C$2:$C$1601,"&lt;1")&gt;0,"Ada PO tanpa Koli - cek TMP. ","")&amp;IF(OR($AU778="",$AU778&lt;=0),"Volume kosong/0 - dimensi dikosongkan. ","")&amp;IF(AND($AU778&lt;&gt;"",$AU778&gt;=1000000),"Volume &gt;= 1.000.000 cm3 (di luar aturan) - dimensi dikosongkan. ","")&amp;IF(LEN($R778)&gt;500,"R &gt; 500 karakter.","")))</f>
        <v/>
      </c>
      <c r="AS778" t="str">
        <f>IFERROR(MATCH(ROW()-1,Calc!$J$2:$J$1601,0),"")</f>
        <v/>
      </c>
      <c r="AT778" t="str">
        <f>IFERROR(MATCH(ROW()-1,Calc!$K$2:$K$1601,0),"")</f>
        <v/>
      </c>
      <c r="AU778" t="str">
        <f>IF($AS778="","",IFERROR(INDEX('TMP Paste'!$D$2:$D$1601,$AS778)*1000000/$AB778,""))</f>
        <v/>
      </c>
    </row>
    <row r="779" spans="1:47">
      <c r="A779" t="str">
        <f>IF($AS779="","",INDEX('TMP Paste'!$B$2:$B$1601,$AS779))</f>
        <v/>
      </c>
      <c r="B779" t="str">
        <f>IF($AS779="","",Config!$B$14)</f>
        <v/>
      </c>
      <c r="C779" t="str">
        <f>IF($AS779="","",Config!$B$15)</f>
        <v/>
      </c>
      <c r="D779" t="str">
        <f>IF($AS779="","",INDEX('TMP Paste'!$B$2:$B$1601,$AS779))</f>
        <v/>
      </c>
      <c r="E779" t="str">
        <f>IF($AS779="","",Config!$B$27)</f>
        <v/>
      </c>
      <c r="F779" t="str">
        <f>IF($AS779="","",Config!$B$9)</f>
        <v/>
      </c>
      <c r="G779" t="str">
        <f>IF($AS779="","",Config!$B$10)</f>
        <v/>
      </c>
      <c r="H779" t="str">
        <f>IF($AS779="","",Config!$B$11)</f>
        <v/>
      </c>
      <c r="I779" t="str">
        <f>IF($AS779="","",Config!$B$16)</f>
        <v/>
      </c>
      <c r="J779" t="str">
        <f>IF($AS779="","",INDEX('TMP Paste'!$A$2:$A$1601,$AS779))</f>
        <v/>
      </c>
      <c r="K779" t="str">
        <f>IF($AS779="","",INDEX('TMP Paste'!$L$2:$L$1601,$AS779))</f>
        <v/>
      </c>
      <c r="L779" t="str">
        <f>IF($AS779="","",INDEX('TMP Paste'!$I$2:$I$1601,$AS779))</f>
        <v/>
      </c>
      <c r="M779" t="str">
        <f>IF($AS779="","",Config!$B$16)</f>
        <v/>
      </c>
      <c r="N779" t="str">
        <f t="shared" si="72"/>
        <v/>
      </c>
      <c r="O779" t="str">
        <f>IF($AS779="","",INDEX('TMP Paste'!$K$2:$K$1601,$AS779))</f>
        <v/>
      </c>
      <c r="P779" t="str">
        <f t="shared" si="73"/>
        <v/>
      </c>
      <c r="Q779" t="str">
        <f>IF($AS779="","",INDEX('TMP Paste'!$J$2:$J$1601,$AS779))</f>
        <v/>
      </c>
      <c r="R779" t="str">
        <f>IF($AS779="","",Config!$B$24)</f>
        <v/>
      </c>
      <c r="S779" t="str">
        <f ca="1">IF($AS779="","",TEXT(Config!$B$4,"yyyy-mm-dd"))</f>
        <v/>
      </c>
      <c r="T779" t="str">
        <f>IF($AS779="","",Config!$B$17)</f>
        <v/>
      </c>
      <c r="U779" t="str">
        <f>IF($AS779="","",Config!$B$18)</f>
        <v/>
      </c>
      <c r="V779" t="str">
        <f>IF($AS779="","",Config!$B$19)</f>
        <v/>
      </c>
      <c r="W779" t="str">
        <f>IF($AS779="","",INDEX('TMP Paste'!$C$2:$C$1601,$AS779))</f>
        <v/>
      </c>
      <c r="X779" t="str">
        <f>IF($AS779="","",Config!$B$29)</f>
        <v/>
      </c>
      <c r="Y779" t="str">
        <f>IF($AT779="","",INDEX(Calc!$I$2:$I$1601,$AT779)&amp;" - "&amp;INDEX(Calc!$D$2:$D$1601,$AT779)&amp;" koli")</f>
        <v/>
      </c>
      <c r="Z779" t="str">
        <f>IF($AS779="","",Config!$B$21)</f>
        <v/>
      </c>
      <c r="AA779" t="str">
        <f>IF($AS779="","",Config!$B$22)</f>
        <v/>
      </c>
      <c r="AB779" t="str">
        <f>IF($AT779="","",INDEX(Calc!$D$2:$D$1601,$AT779))</f>
        <v/>
      </c>
      <c r="AC779" t="str">
        <f>IF($AT779="","",INDEX(Calc!$G$2:$G$1601,$AT779))</f>
        <v/>
      </c>
      <c r="AD779" t="str">
        <f>IF($AS779="","",Config!$B$23)</f>
        <v/>
      </c>
      <c r="AE779" t="str">
        <f>IF($AS779="","",Config!$B$28)</f>
        <v/>
      </c>
      <c r="AF779" t="str">
        <f t="shared" si="74"/>
        <v/>
      </c>
      <c r="AG779" t="str">
        <f t="shared" si="75"/>
        <v/>
      </c>
      <c r="AH779" t="str">
        <f t="shared" si="76"/>
        <v/>
      </c>
      <c r="AI779" t="str">
        <f>IF($AG779="","",SUMIF($AG$2:$AG779,$AG779,$AH$2:$AH779))</f>
        <v/>
      </c>
      <c r="AJ779" t="str">
        <f>IF('TMP Paste'!$F779="","",IF('TMP Paste'!$B779="",$AJ778,'TMP Paste'!$B779))</f>
        <v/>
      </c>
      <c r="AK779" t="str">
        <f>IF('TMP Paste'!$F779="","",N('TMP Paste'!$G779))</f>
        <v/>
      </c>
      <c r="AL779" t="str">
        <f>IF('TMP Paste'!$F779="","",IF('TMP Paste'!$M779="",$AL778,'TMP Paste'!$M779))</f>
        <v/>
      </c>
      <c r="AM779" t="str">
        <f>IF('TMP Paste'!$F779="","",IF('TMP Paste'!$N779="",$AM778,'TMP Paste'!$N779))</f>
        <v/>
      </c>
      <c r="AN779" t="str">
        <f>IF('TMP Paste'!$F779="","",IF('TMP Paste'!$O779="",$AN778,'TMP Paste'!$O779))</f>
        <v/>
      </c>
      <c r="AO779" t="str">
        <f>IF('TMP Paste'!$F779="","",IF('TMP Paste'!$P779="",$AO778,'TMP Paste'!$P779))</f>
        <v/>
      </c>
      <c r="AP779" t="str">
        <f t="shared" si="77"/>
        <v/>
      </c>
      <c r="AQ779" t="str">
        <f>IF($AS779="","",TRIM(IF(COUNTIFS(Calc!$B$2:$B$1601,ROW()-1,Calc!$C$2:$C$1601,"&lt;1")&gt;0,"Ada PO tanpa Koli - cek TMP. ","")&amp;IF(OR($AU779="",$AU779&lt;=0),"Volume kosong/0 - dimensi dikosongkan. ","")&amp;IF(AND($AU779&lt;&gt;"",$AU779&gt;=1000000),"Volume &gt;= 1.000.000 cm3 (di luar aturan) - dimensi dikosongkan. ","")&amp;IF(LEN($R779)&gt;500,"R &gt; 500 karakter.","")))</f>
        <v/>
      </c>
      <c r="AS779" t="str">
        <f>IFERROR(MATCH(ROW()-1,Calc!$J$2:$J$1601,0),"")</f>
        <v/>
      </c>
      <c r="AT779" t="str">
        <f>IFERROR(MATCH(ROW()-1,Calc!$K$2:$K$1601,0),"")</f>
        <v/>
      </c>
      <c r="AU779" t="str">
        <f>IF($AS779="","",IFERROR(INDEX('TMP Paste'!$D$2:$D$1601,$AS779)*1000000/$AB779,""))</f>
        <v/>
      </c>
    </row>
    <row r="780" spans="1:47">
      <c r="A780" t="str">
        <f>IF($AS780="","",INDEX('TMP Paste'!$B$2:$B$1601,$AS780))</f>
        <v/>
      </c>
      <c r="B780" t="str">
        <f>IF($AS780="","",Config!$B$14)</f>
        <v/>
      </c>
      <c r="C780" t="str">
        <f>IF($AS780="","",Config!$B$15)</f>
        <v/>
      </c>
      <c r="D780" t="str">
        <f>IF($AS780="","",INDEX('TMP Paste'!$B$2:$B$1601,$AS780))</f>
        <v/>
      </c>
      <c r="E780" t="str">
        <f>IF($AS780="","",Config!$B$27)</f>
        <v/>
      </c>
      <c r="F780" t="str">
        <f>IF($AS780="","",Config!$B$9)</f>
        <v/>
      </c>
      <c r="G780" t="str">
        <f>IF($AS780="","",Config!$B$10)</f>
        <v/>
      </c>
      <c r="H780" t="str">
        <f>IF($AS780="","",Config!$B$11)</f>
        <v/>
      </c>
      <c r="I780" t="str">
        <f>IF($AS780="","",Config!$B$16)</f>
        <v/>
      </c>
      <c r="J780" t="str">
        <f>IF($AS780="","",INDEX('TMP Paste'!$A$2:$A$1601,$AS780))</f>
        <v/>
      </c>
      <c r="K780" t="str">
        <f>IF($AS780="","",INDEX('TMP Paste'!$L$2:$L$1601,$AS780))</f>
        <v/>
      </c>
      <c r="L780" t="str">
        <f>IF($AS780="","",INDEX('TMP Paste'!$I$2:$I$1601,$AS780))</f>
        <v/>
      </c>
      <c r="M780" t="str">
        <f>IF($AS780="","",Config!$B$16)</f>
        <v/>
      </c>
      <c r="N780" t="str">
        <f t="shared" si="72"/>
        <v/>
      </c>
      <c r="O780" t="str">
        <f>IF($AS780="","",INDEX('TMP Paste'!$K$2:$K$1601,$AS780))</f>
        <v/>
      </c>
      <c r="P780" t="str">
        <f t="shared" si="73"/>
        <v/>
      </c>
      <c r="Q780" t="str">
        <f>IF($AS780="","",INDEX('TMP Paste'!$J$2:$J$1601,$AS780))</f>
        <v/>
      </c>
      <c r="R780" t="str">
        <f>IF($AS780="","",Config!$B$24)</f>
        <v/>
      </c>
      <c r="S780" t="str">
        <f ca="1">IF($AS780="","",TEXT(Config!$B$4,"yyyy-mm-dd"))</f>
        <v/>
      </c>
      <c r="T780" t="str">
        <f>IF($AS780="","",Config!$B$17)</f>
        <v/>
      </c>
      <c r="U780" t="str">
        <f>IF($AS780="","",Config!$B$18)</f>
        <v/>
      </c>
      <c r="V780" t="str">
        <f>IF($AS780="","",Config!$B$19)</f>
        <v/>
      </c>
      <c r="W780" t="str">
        <f>IF($AS780="","",INDEX('TMP Paste'!$C$2:$C$1601,$AS780))</f>
        <v/>
      </c>
      <c r="X780" t="str">
        <f>IF($AS780="","",Config!$B$29)</f>
        <v/>
      </c>
      <c r="Y780" t="str">
        <f>IF($AT780="","",INDEX(Calc!$I$2:$I$1601,$AT780)&amp;" - "&amp;INDEX(Calc!$D$2:$D$1601,$AT780)&amp;" koli")</f>
        <v/>
      </c>
      <c r="Z780" t="str">
        <f>IF($AS780="","",Config!$B$21)</f>
        <v/>
      </c>
      <c r="AA780" t="str">
        <f>IF($AS780="","",Config!$B$22)</f>
        <v/>
      </c>
      <c r="AB780" t="str">
        <f>IF($AT780="","",INDEX(Calc!$D$2:$D$1601,$AT780))</f>
        <v/>
      </c>
      <c r="AC780" t="str">
        <f>IF($AT780="","",INDEX(Calc!$G$2:$G$1601,$AT780))</f>
        <v/>
      </c>
      <c r="AD780" t="str">
        <f>IF($AS780="","",Config!$B$23)</f>
        <v/>
      </c>
      <c r="AE780" t="str">
        <f>IF($AS780="","",Config!$B$28)</f>
        <v/>
      </c>
      <c r="AF780" t="str">
        <f t="shared" si="74"/>
        <v/>
      </c>
      <c r="AG780" t="str">
        <f t="shared" si="75"/>
        <v/>
      </c>
      <c r="AH780" t="str">
        <f t="shared" si="76"/>
        <v/>
      </c>
      <c r="AI780" t="str">
        <f>IF($AG780="","",SUMIF($AG$2:$AG780,$AG780,$AH$2:$AH780))</f>
        <v/>
      </c>
      <c r="AJ780" t="str">
        <f>IF('TMP Paste'!$F780="","",IF('TMP Paste'!$B780="",$AJ779,'TMP Paste'!$B780))</f>
        <v/>
      </c>
      <c r="AK780" t="str">
        <f>IF('TMP Paste'!$F780="","",N('TMP Paste'!$G780))</f>
        <v/>
      </c>
      <c r="AL780" t="str">
        <f>IF('TMP Paste'!$F780="","",IF('TMP Paste'!$M780="",$AL779,'TMP Paste'!$M780))</f>
        <v/>
      </c>
      <c r="AM780" t="str">
        <f>IF('TMP Paste'!$F780="","",IF('TMP Paste'!$N780="",$AM779,'TMP Paste'!$N780))</f>
        <v/>
      </c>
      <c r="AN780" t="str">
        <f>IF('TMP Paste'!$F780="","",IF('TMP Paste'!$O780="",$AN779,'TMP Paste'!$O780))</f>
        <v/>
      </c>
      <c r="AO780" t="str">
        <f>IF('TMP Paste'!$F780="","",IF('TMP Paste'!$P780="",$AO779,'TMP Paste'!$P780))</f>
        <v/>
      </c>
      <c r="AP780" t="str">
        <f t="shared" si="77"/>
        <v/>
      </c>
      <c r="AQ780" t="str">
        <f>IF($AS780="","",TRIM(IF(COUNTIFS(Calc!$B$2:$B$1601,ROW()-1,Calc!$C$2:$C$1601,"&lt;1")&gt;0,"Ada PO tanpa Koli - cek TMP. ","")&amp;IF(OR($AU780="",$AU780&lt;=0),"Volume kosong/0 - dimensi dikosongkan. ","")&amp;IF(AND($AU780&lt;&gt;"",$AU780&gt;=1000000),"Volume &gt;= 1.000.000 cm3 (di luar aturan) - dimensi dikosongkan. ","")&amp;IF(LEN($R780)&gt;500,"R &gt; 500 karakter.","")))</f>
        <v/>
      </c>
      <c r="AS780" t="str">
        <f>IFERROR(MATCH(ROW()-1,Calc!$J$2:$J$1601,0),"")</f>
        <v/>
      </c>
      <c r="AT780" t="str">
        <f>IFERROR(MATCH(ROW()-1,Calc!$K$2:$K$1601,0),"")</f>
        <v/>
      </c>
      <c r="AU780" t="str">
        <f>IF($AS780="","",IFERROR(INDEX('TMP Paste'!$D$2:$D$1601,$AS780)*1000000/$AB780,""))</f>
        <v/>
      </c>
    </row>
    <row r="781" spans="1:47">
      <c r="A781" t="str">
        <f>IF($AS781="","",INDEX('TMP Paste'!$B$2:$B$1601,$AS781))</f>
        <v/>
      </c>
      <c r="B781" t="str">
        <f>IF($AS781="","",Config!$B$14)</f>
        <v/>
      </c>
      <c r="C781" t="str">
        <f>IF($AS781="","",Config!$B$15)</f>
        <v/>
      </c>
      <c r="D781" t="str">
        <f>IF($AS781="","",INDEX('TMP Paste'!$B$2:$B$1601,$AS781))</f>
        <v/>
      </c>
      <c r="E781" t="str">
        <f>IF($AS781="","",Config!$B$27)</f>
        <v/>
      </c>
      <c r="F781" t="str">
        <f>IF($AS781="","",Config!$B$9)</f>
        <v/>
      </c>
      <c r="G781" t="str">
        <f>IF($AS781="","",Config!$B$10)</f>
        <v/>
      </c>
      <c r="H781" t="str">
        <f>IF($AS781="","",Config!$B$11)</f>
        <v/>
      </c>
      <c r="I781" t="str">
        <f>IF($AS781="","",Config!$B$16)</f>
        <v/>
      </c>
      <c r="J781" t="str">
        <f>IF($AS781="","",INDEX('TMP Paste'!$A$2:$A$1601,$AS781))</f>
        <v/>
      </c>
      <c r="K781" t="str">
        <f>IF($AS781="","",INDEX('TMP Paste'!$L$2:$L$1601,$AS781))</f>
        <v/>
      </c>
      <c r="L781" t="str">
        <f>IF($AS781="","",INDEX('TMP Paste'!$I$2:$I$1601,$AS781))</f>
        <v/>
      </c>
      <c r="M781" t="str">
        <f>IF($AS781="","",Config!$B$16)</f>
        <v/>
      </c>
      <c r="N781" t="str">
        <f t="shared" si="72"/>
        <v/>
      </c>
      <c r="O781" t="str">
        <f>IF($AS781="","",INDEX('TMP Paste'!$K$2:$K$1601,$AS781))</f>
        <v/>
      </c>
      <c r="P781" t="str">
        <f t="shared" si="73"/>
        <v/>
      </c>
      <c r="Q781" t="str">
        <f>IF($AS781="","",INDEX('TMP Paste'!$J$2:$J$1601,$AS781))</f>
        <v/>
      </c>
      <c r="R781" t="str">
        <f>IF($AS781="","",Config!$B$24)</f>
        <v/>
      </c>
      <c r="S781" t="str">
        <f ca="1">IF($AS781="","",TEXT(Config!$B$4,"yyyy-mm-dd"))</f>
        <v/>
      </c>
      <c r="T781" t="str">
        <f>IF($AS781="","",Config!$B$17)</f>
        <v/>
      </c>
      <c r="U781" t="str">
        <f>IF($AS781="","",Config!$B$18)</f>
        <v/>
      </c>
      <c r="V781" t="str">
        <f>IF($AS781="","",Config!$B$19)</f>
        <v/>
      </c>
      <c r="W781" t="str">
        <f>IF($AS781="","",INDEX('TMP Paste'!$C$2:$C$1601,$AS781))</f>
        <v/>
      </c>
      <c r="X781" t="str">
        <f>IF($AS781="","",Config!$B$29)</f>
        <v/>
      </c>
      <c r="Y781" t="str">
        <f>IF($AT781="","",INDEX(Calc!$I$2:$I$1601,$AT781)&amp;" - "&amp;INDEX(Calc!$D$2:$D$1601,$AT781)&amp;" koli")</f>
        <v/>
      </c>
      <c r="Z781" t="str">
        <f>IF($AS781="","",Config!$B$21)</f>
        <v/>
      </c>
      <c r="AA781" t="str">
        <f>IF($AS781="","",Config!$B$22)</f>
        <v/>
      </c>
      <c r="AB781" t="str">
        <f>IF($AT781="","",INDEX(Calc!$D$2:$D$1601,$AT781))</f>
        <v/>
      </c>
      <c r="AC781" t="str">
        <f>IF($AT781="","",INDEX(Calc!$G$2:$G$1601,$AT781))</f>
        <v/>
      </c>
      <c r="AD781" t="str">
        <f>IF($AS781="","",Config!$B$23)</f>
        <v/>
      </c>
      <c r="AE781" t="str">
        <f>IF($AS781="","",Config!$B$28)</f>
        <v/>
      </c>
      <c r="AF781" t="str">
        <f t="shared" si="74"/>
        <v/>
      </c>
      <c r="AG781" t="str">
        <f t="shared" si="75"/>
        <v/>
      </c>
      <c r="AH781" t="str">
        <f t="shared" si="76"/>
        <v/>
      </c>
      <c r="AI781" t="str">
        <f>IF($AG781="","",SUMIF($AG$2:$AG781,$AG781,$AH$2:$AH781))</f>
        <v/>
      </c>
      <c r="AJ781" t="str">
        <f>IF('TMP Paste'!$F781="","",IF('TMP Paste'!$B781="",$AJ780,'TMP Paste'!$B781))</f>
        <v/>
      </c>
      <c r="AK781" t="str">
        <f>IF('TMP Paste'!$F781="","",N('TMP Paste'!$G781))</f>
        <v/>
      </c>
      <c r="AL781" t="str">
        <f>IF('TMP Paste'!$F781="","",IF('TMP Paste'!$M781="",$AL780,'TMP Paste'!$M781))</f>
        <v/>
      </c>
      <c r="AM781" t="str">
        <f>IF('TMP Paste'!$F781="","",IF('TMP Paste'!$N781="",$AM780,'TMP Paste'!$N781))</f>
        <v/>
      </c>
      <c r="AN781" t="str">
        <f>IF('TMP Paste'!$F781="","",IF('TMP Paste'!$O781="",$AN780,'TMP Paste'!$O781))</f>
        <v/>
      </c>
      <c r="AO781" t="str">
        <f>IF('TMP Paste'!$F781="","",IF('TMP Paste'!$P781="",$AO780,'TMP Paste'!$P781))</f>
        <v/>
      </c>
      <c r="AP781" t="str">
        <f t="shared" si="77"/>
        <v/>
      </c>
      <c r="AQ781" t="str">
        <f>IF($AS781="","",TRIM(IF(COUNTIFS(Calc!$B$2:$B$1601,ROW()-1,Calc!$C$2:$C$1601,"&lt;1")&gt;0,"Ada PO tanpa Koli - cek TMP. ","")&amp;IF(OR($AU781="",$AU781&lt;=0),"Volume kosong/0 - dimensi dikosongkan. ","")&amp;IF(AND($AU781&lt;&gt;"",$AU781&gt;=1000000),"Volume &gt;= 1.000.000 cm3 (di luar aturan) - dimensi dikosongkan. ","")&amp;IF(LEN($R781)&gt;500,"R &gt; 500 karakter.","")))</f>
        <v/>
      </c>
      <c r="AS781" t="str">
        <f>IFERROR(MATCH(ROW()-1,Calc!$J$2:$J$1601,0),"")</f>
        <v/>
      </c>
      <c r="AT781" t="str">
        <f>IFERROR(MATCH(ROW()-1,Calc!$K$2:$K$1601,0),"")</f>
        <v/>
      </c>
      <c r="AU781" t="str">
        <f>IF($AS781="","",IFERROR(INDEX('TMP Paste'!$D$2:$D$1601,$AS781)*1000000/$AB781,""))</f>
        <v/>
      </c>
    </row>
    <row r="782" spans="1:47">
      <c r="A782" t="str">
        <f>IF($AS782="","",INDEX('TMP Paste'!$B$2:$B$1601,$AS782))</f>
        <v/>
      </c>
      <c r="B782" t="str">
        <f>IF($AS782="","",Config!$B$14)</f>
        <v/>
      </c>
      <c r="C782" t="str">
        <f>IF($AS782="","",Config!$B$15)</f>
        <v/>
      </c>
      <c r="D782" t="str">
        <f>IF($AS782="","",INDEX('TMP Paste'!$B$2:$B$1601,$AS782))</f>
        <v/>
      </c>
      <c r="E782" t="str">
        <f>IF($AS782="","",Config!$B$27)</f>
        <v/>
      </c>
      <c r="F782" t="str">
        <f>IF($AS782="","",Config!$B$9)</f>
        <v/>
      </c>
      <c r="G782" t="str">
        <f>IF($AS782="","",Config!$B$10)</f>
        <v/>
      </c>
      <c r="H782" t="str">
        <f>IF($AS782="","",Config!$B$11)</f>
        <v/>
      </c>
      <c r="I782" t="str">
        <f>IF($AS782="","",Config!$B$16)</f>
        <v/>
      </c>
      <c r="J782" t="str">
        <f>IF($AS782="","",INDEX('TMP Paste'!$A$2:$A$1601,$AS782))</f>
        <v/>
      </c>
      <c r="K782" t="str">
        <f>IF($AS782="","",INDEX('TMP Paste'!$L$2:$L$1601,$AS782))</f>
        <v/>
      </c>
      <c r="L782" t="str">
        <f>IF($AS782="","",INDEX('TMP Paste'!$I$2:$I$1601,$AS782))</f>
        <v/>
      </c>
      <c r="M782" t="str">
        <f>IF($AS782="","",Config!$B$16)</f>
        <v/>
      </c>
      <c r="N782" t="str">
        <f t="shared" si="72"/>
        <v/>
      </c>
      <c r="O782" t="str">
        <f>IF($AS782="","",INDEX('TMP Paste'!$K$2:$K$1601,$AS782))</f>
        <v/>
      </c>
      <c r="P782" t="str">
        <f t="shared" si="73"/>
        <v/>
      </c>
      <c r="Q782" t="str">
        <f>IF($AS782="","",INDEX('TMP Paste'!$J$2:$J$1601,$AS782))</f>
        <v/>
      </c>
      <c r="R782" t="str">
        <f>IF($AS782="","",Config!$B$24)</f>
        <v/>
      </c>
      <c r="S782" t="str">
        <f ca="1">IF($AS782="","",TEXT(Config!$B$4,"yyyy-mm-dd"))</f>
        <v/>
      </c>
      <c r="T782" t="str">
        <f>IF($AS782="","",Config!$B$17)</f>
        <v/>
      </c>
      <c r="U782" t="str">
        <f>IF($AS782="","",Config!$B$18)</f>
        <v/>
      </c>
      <c r="V782" t="str">
        <f>IF($AS782="","",Config!$B$19)</f>
        <v/>
      </c>
      <c r="W782" t="str">
        <f>IF($AS782="","",INDEX('TMP Paste'!$C$2:$C$1601,$AS782))</f>
        <v/>
      </c>
      <c r="X782" t="str">
        <f>IF($AS782="","",Config!$B$29)</f>
        <v/>
      </c>
      <c r="Y782" t="str">
        <f>IF($AT782="","",INDEX(Calc!$I$2:$I$1601,$AT782)&amp;" - "&amp;INDEX(Calc!$D$2:$D$1601,$AT782)&amp;" koli")</f>
        <v/>
      </c>
      <c r="Z782" t="str">
        <f>IF($AS782="","",Config!$B$21)</f>
        <v/>
      </c>
      <c r="AA782" t="str">
        <f>IF($AS782="","",Config!$B$22)</f>
        <v/>
      </c>
      <c r="AB782" t="str">
        <f>IF($AT782="","",INDEX(Calc!$D$2:$D$1601,$AT782))</f>
        <v/>
      </c>
      <c r="AC782" t="str">
        <f>IF($AT782="","",INDEX(Calc!$G$2:$G$1601,$AT782))</f>
        <v/>
      </c>
      <c r="AD782" t="str">
        <f>IF($AS782="","",Config!$B$23)</f>
        <v/>
      </c>
      <c r="AE782" t="str">
        <f>IF($AS782="","",Config!$B$28)</f>
        <v/>
      </c>
      <c r="AF782" t="str">
        <f t="shared" si="74"/>
        <v/>
      </c>
      <c r="AG782" t="str">
        <f t="shared" si="75"/>
        <v/>
      </c>
      <c r="AH782" t="str">
        <f t="shared" si="76"/>
        <v/>
      </c>
      <c r="AI782" t="str">
        <f>IF($AG782="","",SUMIF($AG$2:$AG782,$AG782,$AH$2:$AH782))</f>
        <v/>
      </c>
      <c r="AJ782" t="str">
        <f>IF('TMP Paste'!$F782="","",IF('TMP Paste'!$B782="",$AJ781,'TMP Paste'!$B782))</f>
        <v/>
      </c>
      <c r="AK782" t="str">
        <f>IF('TMP Paste'!$F782="","",N('TMP Paste'!$G782))</f>
        <v/>
      </c>
      <c r="AL782" t="str">
        <f>IF('TMP Paste'!$F782="","",IF('TMP Paste'!$M782="",$AL781,'TMP Paste'!$M782))</f>
        <v/>
      </c>
      <c r="AM782" t="str">
        <f>IF('TMP Paste'!$F782="","",IF('TMP Paste'!$N782="",$AM781,'TMP Paste'!$N782))</f>
        <v/>
      </c>
      <c r="AN782" t="str">
        <f>IF('TMP Paste'!$F782="","",IF('TMP Paste'!$O782="",$AN781,'TMP Paste'!$O782))</f>
        <v/>
      </c>
      <c r="AO782" t="str">
        <f>IF('TMP Paste'!$F782="","",IF('TMP Paste'!$P782="",$AO781,'TMP Paste'!$P782))</f>
        <v/>
      </c>
      <c r="AP782" t="str">
        <f t="shared" si="77"/>
        <v/>
      </c>
      <c r="AQ782" t="str">
        <f>IF($AS782="","",TRIM(IF(COUNTIFS(Calc!$B$2:$B$1601,ROW()-1,Calc!$C$2:$C$1601,"&lt;1")&gt;0,"Ada PO tanpa Koli - cek TMP. ","")&amp;IF(OR($AU782="",$AU782&lt;=0),"Volume kosong/0 - dimensi dikosongkan. ","")&amp;IF(AND($AU782&lt;&gt;"",$AU782&gt;=1000000),"Volume &gt;= 1.000.000 cm3 (di luar aturan) - dimensi dikosongkan. ","")&amp;IF(LEN($R782)&gt;500,"R &gt; 500 karakter.","")))</f>
        <v/>
      </c>
      <c r="AS782" t="str">
        <f>IFERROR(MATCH(ROW()-1,Calc!$J$2:$J$1601,0),"")</f>
        <v/>
      </c>
      <c r="AT782" t="str">
        <f>IFERROR(MATCH(ROW()-1,Calc!$K$2:$K$1601,0),"")</f>
        <v/>
      </c>
      <c r="AU782" t="str">
        <f>IF($AS782="","",IFERROR(INDEX('TMP Paste'!$D$2:$D$1601,$AS782)*1000000/$AB782,""))</f>
        <v/>
      </c>
    </row>
    <row r="783" spans="1:47">
      <c r="A783" t="str">
        <f>IF($AS783="","",INDEX('TMP Paste'!$B$2:$B$1601,$AS783))</f>
        <v/>
      </c>
      <c r="B783" t="str">
        <f>IF($AS783="","",Config!$B$14)</f>
        <v/>
      </c>
      <c r="C783" t="str">
        <f>IF($AS783="","",Config!$B$15)</f>
        <v/>
      </c>
      <c r="D783" t="str">
        <f>IF($AS783="","",INDEX('TMP Paste'!$B$2:$B$1601,$AS783))</f>
        <v/>
      </c>
      <c r="E783" t="str">
        <f>IF($AS783="","",Config!$B$27)</f>
        <v/>
      </c>
      <c r="F783" t="str">
        <f>IF($AS783="","",Config!$B$9)</f>
        <v/>
      </c>
      <c r="G783" t="str">
        <f>IF($AS783="","",Config!$B$10)</f>
        <v/>
      </c>
      <c r="H783" t="str">
        <f>IF($AS783="","",Config!$B$11)</f>
        <v/>
      </c>
      <c r="I783" t="str">
        <f>IF($AS783="","",Config!$B$16)</f>
        <v/>
      </c>
      <c r="J783" t="str">
        <f>IF($AS783="","",INDEX('TMP Paste'!$A$2:$A$1601,$AS783))</f>
        <v/>
      </c>
      <c r="K783" t="str">
        <f>IF($AS783="","",INDEX('TMP Paste'!$L$2:$L$1601,$AS783))</f>
        <v/>
      </c>
      <c r="L783" t="str">
        <f>IF($AS783="","",INDEX('TMP Paste'!$I$2:$I$1601,$AS783))</f>
        <v/>
      </c>
      <c r="M783" t="str">
        <f>IF($AS783="","",Config!$B$16)</f>
        <v/>
      </c>
      <c r="N783" t="str">
        <f t="shared" si="72"/>
        <v/>
      </c>
      <c r="O783" t="str">
        <f>IF($AS783="","",INDEX('TMP Paste'!$K$2:$K$1601,$AS783))</f>
        <v/>
      </c>
      <c r="P783" t="str">
        <f t="shared" si="73"/>
        <v/>
      </c>
      <c r="Q783" t="str">
        <f>IF($AS783="","",INDEX('TMP Paste'!$J$2:$J$1601,$AS783))</f>
        <v/>
      </c>
      <c r="R783" t="str">
        <f>IF($AS783="","",Config!$B$24)</f>
        <v/>
      </c>
      <c r="S783" t="str">
        <f ca="1">IF($AS783="","",TEXT(Config!$B$4,"yyyy-mm-dd"))</f>
        <v/>
      </c>
      <c r="T783" t="str">
        <f>IF($AS783="","",Config!$B$17)</f>
        <v/>
      </c>
      <c r="U783" t="str">
        <f>IF($AS783="","",Config!$B$18)</f>
        <v/>
      </c>
      <c r="V783" t="str">
        <f>IF($AS783="","",Config!$B$19)</f>
        <v/>
      </c>
      <c r="W783" t="str">
        <f>IF($AS783="","",INDEX('TMP Paste'!$C$2:$C$1601,$AS783))</f>
        <v/>
      </c>
      <c r="X783" t="str">
        <f>IF($AS783="","",Config!$B$29)</f>
        <v/>
      </c>
      <c r="Y783" t="str">
        <f>IF($AT783="","",INDEX(Calc!$I$2:$I$1601,$AT783)&amp;" - "&amp;INDEX(Calc!$D$2:$D$1601,$AT783)&amp;" koli")</f>
        <v/>
      </c>
      <c r="Z783" t="str">
        <f>IF($AS783="","",Config!$B$21)</f>
        <v/>
      </c>
      <c r="AA783" t="str">
        <f>IF($AS783="","",Config!$B$22)</f>
        <v/>
      </c>
      <c r="AB783" t="str">
        <f>IF($AT783="","",INDEX(Calc!$D$2:$D$1601,$AT783))</f>
        <v/>
      </c>
      <c r="AC783" t="str">
        <f>IF($AT783="","",INDEX(Calc!$G$2:$G$1601,$AT783))</f>
        <v/>
      </c>
      <c r="AD783" t="str">
        <f>IF($AS783="","",Config!$B$23)</f>
        <v/>
      </c>
      <c r="AE783" t="str">
        <f>IF($AS783="","",Config!$B$28)</f>
        <v/>
      </c>
      <c r="AF783" t="str">
        <f t="shared" si="74"/>
        <v/>
      </c>
      <c r="AG783" t="str">
        <f t="shared" si="75"/>
        <v/>
      </c>
      <c r="AH783" t="str">
        <f t="shared" si="76"/>
        <v/>
      </c>
      <c r="AI783" t="str">
        <f>IF($AG783="","",SUMIF($AG$2:$AG783,$AG783,$AH$2:$AH783))</f>
        <v/>
      </c>
      <c r="AJ783" t="str">
        <f>IF('TMP Paste'!$F783="","",IF('TMP Paste'!$B783="",$AJ782,'TMP Paste'!$B783))</f>
        <v/>
      </c>
      <c r="AK783" t="str">
        <f>IF('TMP Paste'!$F783="","",N('TMP Paste'!$G783))</f>
        <v/>
      </c>
      <c r="AL783" t="str">
        <f>IF('TMP Paste'!$F783="","",IF('TMP Paste'!$M783="",$AL782,'TMP Paste'!$M783))</f>
        <v/>
      </c>
      <c r="AM783" t="str">
        <f>IF('TMP Paste'!$F783="","",IF('TMP Paste'!$N783="",$AM782,'TMP Paste'!$N783))</f>
        <v/>
      </c>
      <c r="AN783" t="str">
        <f>IF('TMP Paste'!$F783="","",IF('TMP Paste'!$O783="",$AN782,'TMP Paste'!$O783))</f>
        <v/>
      </c>
      <c r="AO783" t="str">
        <f>IF('TMP Paste'!$F783="","",IF('TMP Paste'!$P783="",$AO782,'TMP Paste'!$P783))</f>
        <v/>
      </c>
      <c r="AP783" t="str">
        <f t="shared" si="77"/>
        <v/>
      </c>
      <c r="AQ783" t="str">
        <f>IF($AS783="","",TRIM(IF(COUNTIFS(Calc!$B$2:$B$1601,ROW()-1,Calc!$C$2:$C$1601,"&lt;1")&gt;0,"Ada PO tanpa Koli - cek TMP. ","")&amp;IF(OR($AU783="",$AU783&lt;=0),"Volume kosong/0 - dimensi dikosongkan. ","")&amp;IF(AND($AU783&lt;&gt;"",$AU783&gt;=1000000),"Volume &gt;= 1.000.000 cm3 (di luar aturan) - dimensi dikosongkan. ","")&amp;IF(LEN($R783)&gt;500,"R &gt; 500 karakter.","")))</f>
        <v/>
      </c>
      <c r="AS783" t="str">
        <f>IFERROR(MATCH(ROW()-1,Calc!$J$2:$J$1601,0),"")</f>
        <v/>
      </c>
      <c r="AT783" t="str">
        <f>IFERROR(MATCH(ROW()-1,Calc!$K$2:$K$1601,0),"")</f>
        <v/>
      </c>
      <c r="AU783" t="str">
        <f>IF($AS783="","",IFERROR(INDEX('TMP Paste'!$D$2:$D$1601,$AS783)*1000000/$AB783,""))</f>
        <v/>
      </c>
    </row>
    <row r="784" spans="1:47">
      <c r="A784" t="str">
        <f>IF($AS784="","",INDEX('TMP Paste'!$B$2:$B$1601,$AS784))</f>
        <v/>
      </c>
      <c r="B784" t="str">
        <f>IF($AS784="","",Config!$B$14)</f>
        <v/>
      </c>
      <c r="C784" t="str">
        <f>IF($AS784="","",Config!$B$15)</f>
        <v/>
      </c>
      <c r="D784" t="str">
        <f>IF($AS784="","",INDEX('TMP Paste'!$B$2:$B$1601,$AS784))</f>
        <v/>
      </c>
      <c r="E784" t="str">
        <f>IF($AS784="","",Config!$B$27)</f>
        <v/>
      </c>
      <c r="F784" t="str">
        <f>IF($AS784="","",Config!$B$9)</f>
        <v/>
      </c>
      <c r="G784" t="str">
        <f>IF($AS784="","",Config!$B$10)</f>
        <v/>
      </c>
      <c r="H784" t="str">
        <f>IF($AS784="","",Config!$B$11)</f>
        <v/>
      </c>
      <c r="I784" t="str">
        <f>IF($AS784="","",Config!$B$16)</f>
        <v/>
      </c>
      <c r="J784" t="str">
        <f>IF($AS784="","",INDEX('TMP Paste'!$A$2:$A$1601,$AS784))</f>
        <v/>
      </c>
      <c r="K784" t="str">
        <f>IF($AS784="","",INDEX('TMP Paste'!$L$2:$L$1601,$AS784))</f>
        <v/>
      </c>
      <c r="L784" t="str">
        <f>IF($AS784="","",INDEX('TMP Paste'!$I$2:$I$1601,$AS784))</f>
        <v/>
      </c>
      <c r="M784" t="str">
        <f>IF($AS784="","",Config!$B$16)</f>
        <v/>
      </c>
      <c r="N784" t="str">
        <f t="shared" si="72"/>
        <v/>
      </c>
      <c r="O784" t="str">
        <f>IF($AS784="","",INDEX('TMP Paste'!$K$2:$K$1601,$AS784))</f>
        <v/>
      </c>
      <c r="P784" t="str">
        <f t="shared" si="73"/>
        <v/>
      </c>
      <c r="Q784" t="str">
        <f>IF($AS784="","",INDEX('TMP Paste'!$J$2:$J$1601,$AS784))</f>
        <v/>
      </c>
      <c r="R784" t="str">
        <f>IF($AS784="","",Config!$B$24)</f>
        <v/>
      </c>
      <c r="S784" t="str">
        <f ca="1">IF($AS784="","",TEXT(Config!$B$4,"yyyy-mm-dd"))</f>
        <v/>
      </c>
      <c r="T784" t="str">
        <f>IF($AS784="","",Config!$B$17)</f>
        <v/>
      </c>
      <c r="U784" t="str">
        <f>IF($AS784="","",Config!$B$18)</f>
        <v/>
      </c>
      <c r="V784" t="str">
        <f>IF($AS784="","",Config!$B$19)</f>
        <v/>
      </c>
      <c r="W784" t="str">
        <f>IF($AS784="","",INDEX('TMP Paste'!$C$2:$C$1601,$AS784))</f>
        <v/>
      </c>
      <c r="X784" t="str">
        <f>IF($AS784="","",Config!$B$29)</f>
        <v/>
      </c>
      <c r="Y784" t="str">
        <f>IF($AT784="","",INDEX(Calc!$I$2:$I$1601,$AT784)&amp;" - "&amp;INDEX(Calc!$D$2:$D$1601,$AT784)&amp;" koli")</f>
        <v/>
      </c>
      <c r="Z784" t="str">
        <f>IF($AS784="","",Config!$B$21)</f>
        <v/>
      </c>
      <c r="AA784" t="str">
        <f>IF($AS784="","",Config!$B$22)</f>
        <v/>
      </c>
      <c r="AB784" t="str">
        <f>IF($AT784="","",INDEX(Calc!$D$2:$D$1601,$AT784))</f>
        <v/>
      </c>
      <c r="AC784" t="str">
        <f>IF($AT784="","",INDEX(Calc!$G$2:$G$1601,$AT784))</f>
        <v/>
      </c>
      <c r="AD784" t="str">
        <f>IF($AS784="","",Config!$B$23)</f>
        <v/>
      </c>
      <c r="AE784" t="str">
        <f>IF($AS784="","",Config!$B$28)</f>
        <v/>
      </c>
      <c r="AF784" t="str">
        <f t="shared" si="74"/>
        <v/>
      </c>
      <c r="AG784" t="str">
        <f t="shared" si="75"/>
        <v/>
      </c>
      <c r="AH784" t="str">
        <f t="shared" si="76"/>
        <v/>
      </c>
      <c r="AI784" t="str">
        <f>IF($AG784="","",SUMIF($AG$2:$AG784,$AG784,$AH$2:$AH784))</f>
        <v/>
      </c>
      <c r="AJ784" t="str">
        <f>IF('TMP Paste'!$F784="","",IF('TMP Paste'!$B784="",$AJ783,'TMP Paste'!$B784))</f>
        <v/>
      </c>
      <c r="AK784" t="str">
        <f>IF('TMP Paste'!$F784="","",N('TMP Paste'!$G784))</f>
        <v/>
      </c>
      <c r="AL784" t="str">
        <f>IF('TMP Paste'!$F784="","",IF('TMP Paste'!$M784="",$AL783,'TMP Paste'!$M784))</f>
        <v/>
      </c>
      <c r="AM784" t="str">
        <f>IF('TMP Paste'!$F784="","",IF('TMP Paste'!$N784="",$AM783,'TMP Paste'!$N784))</f>
        <v/>
      </c>
      <c r="AN784" t="str">
        <f>IF('TMP Paste'!$F784="","",IF('TMP Paste'!$O784="",$AN783,'TMP Paste'!$O784))</f>
        <v/>
      </c>
      <c r="AO784" t="str">
        <f>IF('TMP Paste'!$F784="","",IF('TMP Paste'!$P784="",$AO783,'TMP Paste'!$P784))</f>
        <v/>
      </c>
      <c r="AP784" t="str">
        <f t="shared" si="77"/>
        <v/>
      </c>
      <c r="AQ784" t="str">
        <f>IF($AS784="","",TRIM(IF(COUNTIFS(Calc!$B$2:$B$1601,ROW()-1,Calc!$C$2:$C$1601,"&lt;1")&gt;0,"Ada PO tanpa Koli - cek TMP. ","")&amp;IF(OR($AU784="",$AU784&lt;=0),"Volume kosong/0 - dimensi dikosongkan. ","")&amp;IF(AND($AU784&lt;&gt;"",$AU784&gt;=1000000),"Volume &gt;= 1.000.000 cm3 (di luar aturan) - dimensi dikosongkan. ","")&amp;IF(LEN($R784)&gt;500,"R &gt; 500 karakter.","")))</f>
        <v/>
      </c>
      <c r="AS784" t="str">
        <f>IFERROR(MATCH(ROW()-1,Calc!$J$2:$J$1601,0),"")</f>
        <v/>
      </c>
      <c r="AT784" t="str">
        <f>IFERROR(MATCH(ROW()-1,Calc!$K$2:$K$1601,0),"")</f>
        <v/>
      </c>
      <c r="AU784" t="str">
        <f>IF($AS784="","",IFERROR(INDEX('TMP Paste'!$D$2:$D$1601,$AS784)*1000000/$AB784,""))</f>
        <v/>
      </c>
    </row>
    <row r="785" spans="1:47">
      <c r="A785" t="str">
        <f>IF($AS785="","",INDEX('TMP Paste'!$B$2:$B$1601,$AS785))</f>
        <v/>
      </c>
      <c r="B785" t="str">
        <f>IF($AS785="","",Config!$B$14)</f>
        <v/>
      </c>
      <c r="C785" t="str">
        <f>IF($AS785="","",Config!$B$15)</f>
        <v/>
      </c>
      <c r="D785" t="str">
        <f>IF($AS785="","",INDEX('TMP Paste'!$B$2:$B$1601,$AS785))</f>
        <v/>
      </c>
      <c r="E785" t="str">
        <f>IF($AS785="","",Config!$B$27)</f>
        <v/>
      </c>
      <c r="F785" t="str">
        <f>IF($AS785="","",Config!$B$9)</f>
        <v/>
      </c>
      <c r="G785" t="str">
        <f>IF($AS785="","",Config!$B$10)</f>
        <v/>
      </c>
      <c r="H785" t="str">
        <f>IF($AS785="","",Config!$B$11)</f>
        <v/>
      </c>
      <c r="I785" t="str">
        <f>IF($AS785="","",Config!$B$16)</f>
        <v/>
      </c>
      <c r="J785" t="str">
        <f>IF($AS785="","",INDEX('TMP Paste'!$A$2:$A$1601,$AS785))</f>
        <v/>
      </c>
      <c r="K785" t="str">
        <f>IF($AS785="","",INDEX('TMP Paste'!$L$2:$L$1601,$AS785))</f>
        <v/>
      </c>
      <c r="L785" t="str">
        <f>IF($AS785="","",INDEX('TMP Paste'!$I$2:$I$1601,$AS785))</f>
        <v/>
      </c>
      <c r="M785" t="str">
        <f>IF($AS785="","",Config!$B$16)</f>
        <v/>
      </c>
      <c r="N785" t="str">
        <f t="shared" si="72"/>
        <v/>
      </c>
      <c r="O785" t="str">
        <f>IF($AS785="","",INDEX('TMP Paste'!$K$2:$K$1601,$AS785))</f>
        <v/>
      </c>
      <c r="P785" t="str">
        <f t="shared" si="73"/>
        <v/>
      </c>
      <c r="Q785" t="str">
        <f>IF($AS785="","",INDEX('TMP Paste'!$J$2:$J$1601,$AS785))</f>
        <v/>
      </c>
      <c r="R785" t="str">
        <f>IF($AS785="","",Config!$B$24)</f>
        <v/>
      </c>
      <c r="S785" t="str">
        <f ca="1">IF($AS785="","",TEXT(Config!$B$4,"yyyy-mm-dd"))</f>
        <v/>
      </c>
      <c r="T785" t="str">
        <f>IF($AS785="","",Config!$B$17)</f>
        <v/>
      </c>
      <c r="U785" t="str">
        <f>IF($AS785="","",Config!$B$18)</f>
        <v/>
      </c>
      <c r="V785" t="str">
        <f>IF($AS785="","",Config!$B$19)</f>
        <v/>
      </c>
      <c r="W785" t="str">
        <f>IF($AS785="","",INDEX('TMP Paste'!$C$2:$C$1601,$AS785))</f>
        <v/>
      </c>
      <c r="X785" t="str">
        <f>IF($AS785="","",Config!$B$29)</f>
        <v/>
      </c>
      <c r="Y785" t="str">
        <f>IF($AT785="","",INDEX(Calc!$I$2:$I$1601,$AT785)&amp;" - "&amp;INDEX(Calc!$D$2:$D$1601,$AT785)&amp;" koli")</f>
        <v/>
      </c>
      <c r="Z785" t="str">
        <f>IF($AS785="","",Config!$B$21)</f>
        <v/>
      </c>
      <c r="AA785" t="str">
        <f>IF($AS785="","",Config!$B$22)</f>
        <v/>
      </c>
      <c r="AB785" t="str">
        <f>IF($AT785="","",INDEX(Calc!$D$2:$D$1601,$AT785))</f>
        <v/>
      </c>
      <c r="AC785" t="str">
        <f>IF($AT785="","",INDEX(Calc!$G$2:$G$1601,$AT785))</f>
        <v/>
      </c>
      <c r="AD785" t="str">
        <f>IF($AS785="","",Config!$B$23)</f>
        <v/>
      </c>
      <c r="AE785" t="str">
        <f>IF($AS785="","",Config!$B$28)</f>
        <v/>
      </c>
      <c r="AF785" t="str">
        <f t="shared" si="74"/>
        <v/>
      </c>
      <c r="AG785" t="str">
        <f t="shared" si="75"/>
        <v/>
      </c>
      <c r="AH785" t="str">
        <f t="shared" si="76"/>
        <v/>
      </c>
      <c r="AI785" t="str">
        <f>IF($AG785="","",SUMIF($AG$2:$AG785,$AG785,$AH$2:$AH785))</f>
        <v/>
      </c>
      <c r="AJ785" t="str">
        <f>IF('TMP Paste'!$F785="","",IF('TMP Paste'!$B785="",$AJ784,'TMP Paste'!$B785))</f>
        <v/>
      </c>
      <c r="AK785" t="str">
        <f>IF('TMP Paste'!$F785="","",N('TMP Paste'!$G785))</f>
        <v/>
      </c>
      <c r="AL785" t="str">
        <f>IF('TMP Paste'!$F785="","",IF('TMP Paste'!$M785="",$AL784,'TMP Paste'!$M785))</f>
        <v/>
      </c>
      <c r="AM785" t="str">
        <f>IF('TMP Paste'!$F785="","",IF('TMP Paste'!$N785="",$AM784,'TMP Paste'!$N785))</f>
        <v/>
      </c>
      <c r="AN785" t="str">
        <f>IF('TMP Paste'!$F785="","",IF('TMP Paste'!$O785="",$AN784,'TMP Paste'!$O785))</f>
        <v/>
      </c>
      <c r="AO785" t="str">
        <f>IF('TMP Paste'!$F785="","",IF('TMP Paste'!$P785="",$AO784,'TMP Paste'!$P785))</f>
        <v/>
      </c>
      <c r="AP785" t="str">
        <f t="shared" si="77"/>
        <v/>
      </c>
      <c r="AQ785" t="str">
        <f>IF($AS785="","",TRIM(IF(COUNTIFS(Calc!$B$2:$B$1601,ROW()-1,Calc!$C$2:$C$1601,"&lt;1")&gt;0,"Ada PO tanpa Koli - cek TMP. ","")&amp;IF(OR($AU785="",$AU785&lt;=0),"Volume kosong/0 - dimensi dikosongkan. ","")&amp;IF(AND($AU785&lt;&gt;"",$AU785&gt;=1000000),"Volume &gt;= 1.000.000 cm3 (di luar aturan) - dimensi dikosongkan. ","")&amp;IF(LEN($R785)&gt;500,"R &gt; 500 karakter.","")))</f>
        <v/>
      </c>
      <c r="AS785" t="str">
        <f>IFERROR(MATCH(ROW()-1,Calc!$J$2:$J$1601,0),"")</f>
        <v/>
      </c>
      <c r="AT785" t="str">
        <f>IFERROR(MATCH(ROW()-1,Calc!$K$2:$K$1601,0),"")</f>
        <v/>
      </c>
      <c r="AU785" t="str">
        <f>IF($AS785="","",IFERROR(INDEX('TMP Paste'!$D$2:$D$1601,$AS785)*1000000/$AB785,""))</f>
        <v/>
      </c>
    </row>
    <row r="786" spans="1:47">
      <c r="A786" t="str">
        <f>IF($AS786="","",INDEX('TMP Paste'!$B$2:$B$1601,$AS786))</f>
        <v/>
      </c>
      <c r="B786" t="str">
        <f>IF($AS786="","",Config!$B$14)</f>
        <v/>
      </c>
      <c r="C786" t="str">
        <f>IF($AS786="","",Config!$B$15)</f>
        <v/>
      </c>
      <c r="D786" t="str">
        <f>IF($AS786="","",INDEX('TMP Paste'!$B$2:$B$1601,$AS786))</f>
        <v/>
      </c>
      <c r="E786" t="str">
        <f>IF($AS786="","",Config!$B$27)</f>
        <v/>
      </c>
      <c r="F786" t="str">
        <f>IF($AS786="","",Config!$B$9)</f>
        <v/>
      </c>
      <c r="G786" t="str">
        <f>IF($AS786="","",Config!$B$10)</f>
        <v/>
      </c>
      <c r="H786" t="str">
        <f>IF($AS786="","",Config!$B$11)</f>
        <v/>
      </c>
      <c r="I786" t="str">
        <f>IF($AS786="","",Config!$B$16)</f>
        <v/>
      </c>
      <c r="J786" t="str">
        <f>IF($AS786="","",INDEX('TMP Paste'!$A$2:$A$1601,$AS786))</f>
        <v/>
      </c>
      <c r="K786" t="str">
        <f>IF($AS786="","",INDEX('TMP Paste'!$L$2:$L$1601,$AS786))</f>
        <v/>
      </c>
      <c r="L786" t="str">
        <f>IF($AS786="","",INDEX('TMP Paste'!$I$2:$I$1601,$AS786))</f>
        <v/>
      </c>
      <c r="M786" t="str">
        <f>IF($AS786="","",Config!$B$16)</f>
        <v/>
      </c>
      <c r="N786" t="str">
        <f t="shared" si="72"/>
        <v/>
      </c>
      <c r="O786" t="str">
        <f>IF($AS786="","",INDEX('TMP Paste'!$K$2:$K$1601,$AS786))</f>
        <v/>
      </c>
      <c r="P786" t="str">
        <f t="shared" si="73"/>
        <v/>
      </c>
      <c r="Q786" t="str">
        <f>IF($AS786="","",INDEX('TMP Paste'!$J$2:$J$1601,$AS786))</f>
        <v/>
      </c>
      <c r="R786" t="str">
        <f>IF($AS786="","",Config!$B$24)</f>
        <v/>
      </c>
      <c r="S786" t="str">
        <f ca="1">IF($AS786="","",TEXT(Config!$B$4,"yyyy-mm-dd"))</f>
        <v/>
      </c>
      <c r="T786" t="str">
        <f>IF($AS786="","",Config!$B$17)</f>
        <v/>
      </c>
      <c r="U786" t="str">
        <f>IF($AS786="","",Config!$B$18)</f>
        <v/>
      </c>
      <c r="V786" t="str">
        <f>IF($AS786="","",Config!$B$19)</f>
        <v/>
      </c>
      <c r="W786" t="str">
        <f>IF($AS786="","",INDEX('TMP Paste'!$C$2:$C$1601,$AS786))</f>
        <v/>
      </c>
      <c r="X786" t="str">
        <f>IF($AS786="","",Config!$B$29)</f>
        <v/>
      </c>
      <c r="Y786" t="str">
        <f>IF($AT786="","",INDEX(Calc!$I$2:$I$1601,$AT786)&amp;" - "&amp;INDEX(Calc!$D$2:$D$1601,$AT786)&amp;" koli")</f>
        <v/>
      </c>
      <c r="Z786" t="str">
        <f>IF($AS786="","",Config!$B$21)</f>
        <v/>
      </c>
      <c r="AA786" t="str">
        <f>IF($AS786="","",Config!$B$22)</f>
        <v/>
      </c>
      <c r="AB786" t="str">
        <f>IF($AT786="","",INDEX(Calc!$D$2:$D$1601,$AT786))</f>
        <v/>
      </c>
      <c r="AC786" t="str">
        <f>IF($AT786="","",INDEX(Calc!$G$2:$G$1601,$AT786))</f>
        <v/>
      </c>
      <c r="AD786" t="str">
        <f>IF($AS786="","",Config!$B$23)</f>
        <v/>
      </c>
      <c r="AE786" t="str">
        <f>IF($AS786="","",Config!$B$28)</f>
        <v/>
      </c>
      <c r="AF786" t="str">
        <f t="shared" si="74"/>
        <v/>
      </c>
      <c r="AG786" t="str">
        <f t="shared" si="75"/>
        <v/>
      </c>
      <c r="AH786" t="str">
        <f t="shared" si="76"/>
        <v/>
      </c>
      <c r="AI786" t="str">
        <f>IF($AG786="","",SUMIF($AG$2:$AG786,$AG786,$AH$2:$AH786))</f>
        <v/>
      </c>
      <c r="AJ786" t="str">
        <f>IF('TMP Paste'!$F786="","",IF('TMP Paste'!$B786="",$AJ785,'TMP Paste'!$B786))</f>
        <v/>
      </c>
      <c r="AK786" t="str">
        <f>IF('TMP Paste'!$F786="","",N('TMP Paste'!$G786))</f>
        <v/>
      </c>
      <c r="AL786" t="str">
        <f>IF('TMP Paste'!$F786="","",IF('TMP Paste'!$M786="",$AL785,'TMP Paste'!$M786))</f>
        <v/>
      </c>
      <c r="AM786" t="str">
        <f>IF('TMP Paste'!$F786="","",IF('TMP Paste'!$N786="",$AM785,'TMP Paste'!$N786))</f>
        <v/>
      </c>
      <c r="AN786" t="str">
        <f>IF('TMP Paste'!$F786="","",IF('TMP Paste'!$O786="",$AN785,'TMP Paste'!$O786))</f>
        <v/>
      </c>
      <c r="AO786" t="str">
        <f>IF('TMP Paste'!$F786="","",IF('TMP Paste'!$P786="",$AO785,'TMP Paste'!$P786))</f>
        <v/>
      </c>
      <c r="AP786" t="str">
        <f t="shared" si="77"/>
        <v/>
      </c>
      <c r="AQ786" t="str">
        <f>IF($AS786="","",TRIM(IF(COUNTIFS(Calc!$B$2:$B$1601,ROW()-1,Calc!$C$2:$C$1601,"&lt;1")&gt;0,"Ada PO tanpa Koli - cek TMP. ","")&amp;IF(OR($AU786="",$AU786&lt;=0),"Volume kosong/0 - dimensi dikosongkan. ","")&amp;IF(AND($AU786&lt;&gt;"",$AU786&gt;=1000000),"Volume &gt;= 1.000.000 cm3 (di luar aturan) - dimensi dikosongkan. ","")&amp;IF(LEN($R786)&gt;500,"R &gt; 500 karakter.","")))</f>
        <v/>
      </c>
      <c r="AS786" t="str">
        <f>IFERROR(MATCH(ROW()-1,Calc!$J$2:$J$1601,0),"")</f>
        <v/>
      </c>
      <c r="AT786" t="str">
        <f>IFERROR(MATCH(ROW()-1,Calc!$K$2:$K$1601,0),"")</f>
        <v/>
      </c>
      <c r="AU786" t="str">
        <f>IF($AS786="","",IFERROR(INDEX('TMP Paste'!$D$2:$D$1601,$AS786)*1000000/$AB786,""))</f>
        <v/>
      </c>
    </row>
    <row r="787" spans="1:47">
      <c r="A787" t="str">
        <f>IF($AS787="","",INDEX('TMP Paste'!$B$2:$B$1601,$AS787))</f>
        <v/>
      </c>
      <c r="B787" t="str">
        <f>IF($AS787="","",Config!$B$14)</f>
        <v/>
      </c>
      <c r="C787" t="str">
        <f>IF($AS787="","",Config!$B$15)</f>
        <v/>
      </c>
      <c r="D787" t="str">
        <f>IF($AS787="","",INDEX('TMP Paste'!$B$2:$B$1601,$AS787))</f>
        <v/>
      </c>
      <c r="E787" t="str">
        <f>IF($AS787="","",Config!$B$27)</f>
        <v/>
      </c>
      <c r="F787" t="str">
        <f>IF($AS787="","",Config!$B$9)</f>
        <v/>
      </c>
      <c r="G787" t="str">
        <f>IF($AS787="","",Config!$B$10)</f>
        <v/>
      </c>
      <c r="H787" t="str">
        <f>IF($AS787="","",Config!$B$11)</f>
        <v/>
      </c>
      <c r="I787" t="str">
        <f>IF($AS787="","",Config!$B$16)</f>
        <v/>
      </c>
      <c r="J787" t="str">
        <f>IF($AS787="","",INDEX('TMP Paste'!$A$2:$A$1601,$AS787))</f>
        <v/>
      </c>
      <c r="K787" t="str">
        <f>IF($AS787="","",INDEX('TMP Paste'!$L$2:$L$1601,$AS787))</f>
        <v/>
      </c>
      <c r="L787" t="str">
        <f>IF($AS787="","",INDEX('TMP Paste'!$I$2:$I$1601,$AS787))</f>
        <v/>
      </c>
      <c r="M787" t="str">
        <f>IF($AS787="","",Config!$B$16)</f>
        <v/>
      </c>
      <c r="N787" t="str">
        <f t="shared" si="72"/>
        <v/>
      </c>
      <c r="O787" t="str">
        <f>IF($AS787="","",INDEX('TMP Paste'!$K$2:$K$1601,$AS787))</f>
        <v/>
      </c>
      <c r="P787" t="str">
        <f t="shared" si="73"/>
        <v/>
      </c>
      <c r="Q787" t="str">
        <f>IF($AS787="","",INDEX('TMP Paste'!$J$2:$J$1601,$AS787))</f>
        <v/>
      </c>
      <c r="R787" t="str">
        <f>IF($AS787="","",Config!$B$24)</f>
        <v/>
      </c>
      <c r="S787" t="str">
        <f ca="1">IF($AS787="","",TEXT(Config!$B$4,"yyyy-mm-dd"))</f>
        <v/>
      </c>
      <c r="T787" t="str">
        <f>IF($AS787="","",Config!$B$17)</f>
        <v/>
      </c>
      <c r="U787" t="str">
        <f>IF($AS787="","",Config!$B$18)</f>
        <v/>
      </c>
      <c r="V787" t="str">
        <f>IF($AS787="","",Config!$B$19)</f>
        <v/>
      </c>
      <c r="W787" t="str">
        <f>IF($AS787="","",INDEX('TMP Paste'!$C$2:$C$1601,$AS787))</f>
        <v/>
      </c>
      <c r="X787" t="str">
        <f>IF($AS787="","",Config!$B$29)</f>
        <v/>
      </c>
      <c r="Y787" t="str">
        <f>IF($AT787="","",INDEX(Calc!$I$2:$I$1601,$AT787)&amp;" - "&amp;INDEX(Calc!$D$2:$D$1601,$AT787)&amp;" koli")</f>
        <v/>
      </c>
      <c r="Z787" t="str">
        <f>IF($AS787="","",Config!$B$21)</f>
        <v/>
      </c>
      <c r="AA787" t="str">
        <f>IF($AS787="","",Config!$B$22)</f>
        <v/>
      </c>
      <c r="AB787" t="str">
        <f>IF($AT787="","",INDEX(Calc!$D$2:$D$1601,$AT787))</f>
        <v/>
      </c>
      <c r="AC787" t="str">
        <f>IF($AT787="","",INDEX(Calc!$G$2:$G$1601,$AT787))</f>
        <v/>
      </c>
      <c r="AD787" t="str">
        <f>IF($AS787="","",Config!$B$23)</f>
        <v/>
      </c>
      <c r="AE787" t="str">
        <f>IF($AS787="","",Config!$B$28)</f>
        <v/>
      </c>
      <c r="AF787" t="str">
        <f t="shared" si="74"/>
        <v/>
      </c>
      <c r="AG787" t="str">
        <f t="shared" si="75"/>
        <v/>
      </c>
      <c r="AH787" t="str">
        <f t="shared" si="76"/>
        <v/>
      </c>
      <c r="AI787" t="str">
        <f>IF($AG787="","",SUMIF($AG$2:$AG787,$AG787,$AH$2:$AH787))</f>
        <v/>
      </c>
      <c r="AJ787" t="str">
        <f>IF('TMP Paste'!$F787="","",IF('TMP Paste'!$B787="",$AJ786,'TMP Paste'!$B787))</f>
        <v/>
      </c>
      <c r="AK787" t="str">
        <f>IF('TMP Paste'!$F787="","",N('TMP Paste'!$G787))</f>
        <v/>
      </c>
      <c r="AL787" t="str">
        <f>IF('TMP Paste'!$F787="","",IF('TMP Paste'!$M787="",$AL786,'TMP Paste'!$M787))</f>
        <v/>
      </c>
      <c r="AM787" t="str">
        <f>IF('TMP Paste'!$F787="","",IF('TMP Paste'!$N787="",$AM786,'TMP Paste'!$N787))</f>
        <v/>
      </c>
      <c r="AN787" t="str">
        <f>IF('TMP Paste'!$F787="","",IF('TMP Paste'!$O787="",$AN786,'TMP Paste'!$O787))</f>
        <v/>
      </c>
      <c r="AO787" t="str">
        <f>IF('TMP Paste'!$F787="","",IF('TMP Paste'!$P787="",$AO786,'TMP Paste'!$P787))</f>
        <v/>
      </c>
      <c r="AP787" t="str">
        <f t="shared" si="77"/>
        <v/>
      </c>
      <c r="AQ787" t="str">
        <f>IF($AS787="","",TRIM(IF(COUNTIFS(Calc!$B$2:$B$1601,ROW()-1,Calc!$C$2:$C$1601,"&lt;1")&gt;0,"Ada PO tanpa Koli - cek TMP. ","")&amp;IF(OR($AU787="",$AU787&lt;=0),"Volume kosong/0 - dimensi dikosongkan. ","")&amp;IF(AND($AU787&lt;&gt;"",$AU787&gt;=1000000),"Volume &gt;= 1.000.000 cm3 (di luar aturan) - dimensi dikosongkan. ","")&amp;IF(LEN($R787)&gt;500,"R &gt; 500 karakter.","")))</f>
        <v/>
      </c>
      <c r="AS787" t="str">
        <f>IFERROR(MATCH(ROW()-1,Calc!$J$2:$J$1601,0),"")</f>
        <v/>
      </c>
      <c r="AT787" t="str">
        <f>IFERROR(MATCH(ROW()-1,Calc!$K$2:$K$1601,0),"")</f>
        <v/>
      </c>
      <c r="AU787" t="str">
        <f>IF($AS787="","",IFERROR(INDEX('TMP Paste'!$D$2:$D$1601,$AS787)*1000000/$AB787,""))</f>
        <v/>
      </c>
    </row>
    <row r="788" spans="1:47">
      <c r="A788" t="str">
        <f>IF($AS788="","",INDEX('TMP Paste'!$B$2:$B$1601,$AS788))</f>
        <v/>
      </c>
      <c r="B788" t="str">
        <f>IF($AS788="","",Config!$B$14)</f>
        <v/>
      </c>
      <c r="C788" t="str">
        <f>IF($AS788="","",Config!$B$15)</f>
        <v/>
      </c>
      <c r="D788" t="str">
        <f>IF($AS788="","",INDEX('TMP Paste'!$B$2:$B$1601,$AS788))</f>
        <v/>
      </c>
      <c r="E788" t="str">
        <f>IF($AS788="","",Config!$B$27)</f>
        <v/>
      </c>
      <c r="F788" t="str">
        <f>IF($AS788="","",Config!$B$9)</f>
        <v/>
      </c>
      <c r="G788" t="str">
        <f>IF($AS788="","",Config!$B$10)</f>
        <v/>
      </c>
      <c r="H788" t="str">
        <f>IF($AS788="","",Config!$B$11)</f>
        <v/>
      </c>
      <c r="I788" t="str">
        <f>IF($AS788="","",Config!$B$16)</f>
        <v/>
      </c>
      <c r="J788" t="str">
        <f>IF($AS788="","",INDEX('TMP Paste'!$A$2:$A$1601,$AS788))</f>
        <v/>
      </c>
      <c r="K788" t="str">
        <f>IF($AS788="","",INDEX('TMP Paste'!$L$2:$L$1601,$AS788))</f>
        <v/>
      </c>
      <c r="L788" t="str">
        <f>IF($AS788="","",INDEX('TMP Paste'!$I$2:$I$1601,$AS788))</f>
        <v/>
      </c>
      <c r="M788" t="str">
        <f>IF($AS788="","",Config!$B$16)</f>
        <v/>
      </c>
      <c r="N788" t="str">
        <f t="shared" si="72"/>
        <v/>
      </c>
      <c r="O788" t="str">
        <f>IF($AS788="","",INDEX('TMP Paste'!$K$2:$K$1601,$AS788))</f>
        <v/>
      </c>
      <c r="P788" t="str">
        <f t="shared" si="73"/>
        <v/>
      </c>
      <c r="Q788" t="str">
        <f>IF($AS788="","",INDEX('TMP Paste'!$J$2:$J$1601,$AS788))</f>
        <v/>
      </c>
      <c r="R788" t="str">
        <f>IF($AS788="","",Config!$B$24)</f>
        <v/>
      </c>
      <c r="S788" t="str">
        <f ca="1">IF($AS788="","",TEXT(Config!$B$4,"yyyy-mm-dd"))</f>
        <v/>
      </c>
      <c r="T788" t="str">
        <f>IF($AS788="","",Config!$B$17)</f>
        <v/>
      </c>
      <c r="U788" t="str">
        <f>IF($AS788="","",Config!$B$18)</f>
        <v/>
      </c>
      <c r="V788" t="str">
        <f>IF($AS788="","",Config!$B$19)</f>
        <v/>
      </c>
      <c r="W788" t="str">
        <f>IF($AS788="","",INDEX('TMP Paste'!$C$2:$C$1601,$AS788))</f>
        <v/>
      </c>
      <c r="X788" t="str">
        <f>IF($AS788="","",Config!$B$29)</f>
        <v/>
      </c>
      <c r="Y788" t="str">
        <f>IF($AT788="","",INDEX(Calc!$I$2:$I$1601,$AT788)&amp;" - "&amp;INDEX(Calc!$D$2:$D$1601,$AT788)&amp;" koli")</f>
        <v/>
      </c>
      <c r="Z788" t="str">
        <f>IF($AS788="","",Config!$B$21)</f>
        <v/>
      </c>
      <c r="AA788" t="str">
        <f>IF($AS788="","",Config!$B$22)</f>
        <v/>
      </c>
      <c r="AB788" t="str">
        <f>IF($AT788="","",INDEX(Calc!$D$2:$D$1601,$AT788))</f>
        <v/>
      </c>
      <c r="AC788" t="str">
        <f>IF($AT788="","",INDEX(Calc!$G$2:$G$1601,$AT788))</f>
        <v/>
      </c>
      <c r="AD788" t="str">
        <f>IF($AS788="","",Config!$B$23)</f>
        <v/>
      </c>
      <c r="AE788" t="str">
        <f>IF($AS788="","",Config!$B$28)</f>
        <v/>
      </c>
      <c r="AF788" t="str">
        <f t="shared" si="74"/>
        <v/>
      </c>
      <c r="AG788" t="str">
        <f t="shared" si="75"/>
        <v/>
      </c>
      <c r="AH788" t="str">
        <f t="shared" si="76"/>
        <v/>
      </c>
      <c r="AI788" t="str">
        <f>IF($AG788="","",SUMIF($AG$2:$AG788,$AG788,$AH$2:$AH788))</f>
        <v/>
      </c>
      <c r="AJ788" t="str">
        <f>IF('TMP Paste'!$F788="","",IF('TMP Paste'!$B788="",$AJ787,'TMP Paste'!$B788))</f>
        <v/>
      </c>
      <c r="AK788" t="str">
        <f>IF('TMP Paste'!$F788="","",N('TMP Paste'!$G788))</f>
        <v/>
      </c>
      <c r="AL788" t="str">
        <f>IF('TMP Paste'!$F788="","",IF('TMP Paste'!$M788="",$AL787,'TMP Paste'!$M788))</f>
        <v/>
      </c>
      <c r="AM788" t="str">
        <f>IF('TMP Paste'!$F788="","",IF('TMP Paste'!$N788="",$AM787,'TMP Paste'!$N788))</f>
        <v/>
      </c>
      <c r="AN788" t="str">
        <f>IF('TMP Paste'!$F788="","",IF('TMP Paste'!$O788="",$AN787,'TMP Paste'!$O788))</f>
        <v/>
      </c>
      <c r="AO788" t="str">
        <f>IF('TMP Paste'!$F788="","",IF('TMP Paste'!$P788="",$AO787,'TMP Paste'!$P788))</f>
        <v/>
      </c>
      <c r="AP788" t="str">
        <f t="shared" si="77"/>
        <v/>
      </c>
      <c r="AQ788" t="str">
        <f>IF($AS788="","",TRIM(IF(COUNTIFS(Calc!$B$2:$B$1601,ROW()-1,Calc!$C$2:$C$1601,"&lt;1")&gt;0,"Ada PO tanpa Koli - cek TMP. ","")&amp;IF(OR($AU788="",$AU788&lt;=0),"Volume kosong/0 - dimensi dikosongkan. ","")&amp;IF(AND($AU788&lt;&gt;"",$AU788&gt;=1000000),"Volume &gt;= 1.000.000 cm3 (di luar aturan) - dimensi dikosongkan. ","")&amp;IF(LEN($R788)&gt;500,"R &gt; 500 karakter.","")))</f>
        <v/>
      </c>
      <c r="AS788" t="str">
        <f>IFERROR(MATCH(ROW()-1,Calc!$J$2:$J$1601,0),"")</f>
        <v/>
      </c>
      <c r="AT788" t="str">
        <f>IFERROR(MATCH(ROW()-1,Calc!$K$2:$K$1601,0),"")</f>
        <v/>
      </c>
      <c r="AU788" t="str">
        <f>IF($AS788="","",IFERROR(INDEX('TMP Paste'!$D$2:$D$1601,$AS788)*1000000/$AB788,""))</f>
        <v/>
      </c>
    </row>
    <row r="789" spans="1:47">
      <c r="A789" t="str">
        <f>IF($AS789="","",INDEX('TMP Paste'!$B$2:$B$1601,$AS789))</f>
        <v/>
      </c>
      <c r="B789" t="str">
        <f>IF($AS789="","",Config!$B$14)</f>
        <v/>
      </c>
      <c r="C789" t="str">
        <f>IF($AS789="","",Config!$B$15)</f>
        <v/>
      </c>
      <c r="D789" t="str">
        <f>IF($AS789="","",INDEX('TMP Paste'!$B$2:$B$1601,$AS789))</f>
        <v/>
      </c>
      <c r="E789" t="str">
        <f>IF($AS789="","",Config!$B$27)</f>
        <v/>
      </c>
      <c r="F789" t="str">
        <f>IF($AS789="","",Config!$B$9)</f>
        <v/>
      </c>
      <c r="G789" t="str">
        <f>IF($AS789="","",Config!$B$10)</f>
        <v/>
      </c>
      <c r="H789" t="str">
        <f>IF($AS789="","",Config!$B$11)</f>
        <v/>
      </c>
      <c r="I789" t="str">
        <f>IF($AS789="","",Config!$B$16)</f>
        <v/>
      </c>
      <c r="J789" t="str">
        <f>IF($AS789="","",INDEX('TMP Paste'!$A$2:$A$1601,$AS789))</f>
        <v/>
      </c>
      <c r="K789" t="str">
        <f>IF($AS789="","",INDEX('TMP Paste'!$L$2:$L$1601,$AS789))</f>
        <v/>
      </c>
      <c r="L789" t="str">
        <f>IF($AS789="","",INDEX('TMP Paste'!$I$2:$I$1601,$AS789))</f>
        <v/>
      </c>
      <c r="M789" t="str">
        <f>IF($AS789="","",Config!$B$16)</f>
        <v/>
      </c>
      <c r="N789" t="str">
        <f t="shared" si="72"/>
        <v/>
      </c>
      <c r="O789" t="str">
        <f>IF($AS789="","",INDEX('TMP Paste'!$K$2:$K$1601,$AS789))</f>
        <v/>
      </c>
      <c r="P789" t="str">
        <f t="shared" si="73"/>
        <v/>
      </c>
      <c r="Q789" t="str">
        <f>IF($AS789="","",INDEX('TMP Paste'!$J$2:$J$1601,$AS789))</f>
        <v/>
      </c>
      <c r="R789" t="str">
        <f>IF($AS789="","",Config!$B$24)</f>
        <v/>
      </c>
      <c r="S789" t="str">
        <f ca="1">IF($AS789="","",TEXT(Config!$B$4,"yyyy-mm-dd"))</f>
        <v/>
      </c>
      <c r="T789" t="str">
        <f>IF($AS789="","",Config!$B$17)</f>
        <v/>
      </c>
      <c r="U789" t="str">
        <f>IF($AS789="","",Config!$B$18)</f>
        <v/>
      </c>
      <c r="V789" t="str">
        <f>IF($AS789="","",Config!$B$19)</f>
        <v/>
      </c>
      <c r="W789" t="str">
        <f>IF($AS789="","",INDEX('TMP Paste'!$C$2:$C$1601,$AS789))</f>
        <v/>
      </c>
      <c r="X789" t="str">
        <f>IF($AS789="","",Config!$B$29)</f>
        <v/>
      </c>
      <c r="Y789" t="str">
        <f>IF($AT789="","",INDEX(Calc!$I$2:$I$1601,$AT789)&amp;" - "&amp;INDEX(Calc!$D$2:$D$1601,$AT789)&amp;" koli")</f>
        <v/>
      </c>
      <c r="Z789" t="str">
        <f>IF($AS789="","",Config!$B$21)</f>
        <v/>
      </c>
      <c r="AA789" t="str">
        <f>IF($AS789="","",Config!$B$22)</f>
        <v/>
      </c>
      <c r="AB789" t="str">
        <f>IF($AT789="","",INDEX(Calc!$D$2:$D$1601,$AT789))</f>
        <v/>
      </c>
      <c r="AC789" t="str">
        <f>IF($AT789="","",INDEX(Calc!$G$2:$G$1601,$AT789))</f>
        <v/>
      </c>
      <c r="AD789" t="str">
        <f>IF($AS789="","",Config!$B$23)</f>
        <v/>
      </c>
      <c r="AE789" t="str">
        <f>IF($AS789="","",Config!$B$28)</f>
        <v/>
      </c>
      <c r="AF789" t="str">
        <f t="shared" si="74"/>
        <v/>
      </c>
      <c r="AG789" t="str">
        <f t="shared" si="75"/>
        <v/>
      </c>
      <c r="AH789" t="str">
        <f t="shared" si="76"/>
        <v/>
      </c>
      <c r="AI789" t="str">
        <f>IF($AG789="","",SUMIF($AG$2:$AG789,$AG789,$AH$2:$AH789))</f>
        <v/>
      </c>
      <c r="AJ789" t="str">
        <f>IF('TMP Paste'!$F789="","",IF('TMP Paste'!$B789="",$AJ788,'TMP Paste'!$B789))</f>
        <v/>
      </c>
      <c r="AK789" t="str">
        <f>IF('TMP Paste'!$F789="","",N('TMP Paste'!$G789))</f>
        <v/>
      </c>
      <c r="AL789" t="str">
        <f>IF('TMP Paste'!$F789="","",IF('TMP Paste'!$M789="",$AL788,'TMP Paste'!$M789))</f>
        <v/>
      </c>
      <c r="AM789" t="str">
        <f>IF('TMP Paste'!$F789="","",IF('TMP Paste'!$N789="",$AM788,'TMP Paste'!$N789))</f>
        <v/>
      </c>
      <c r="AN789" t="str">
        <f>IF('TMP Paste'!$F789="","",IF('TMP Paste'!$O789="",$AN788,'TMP Paste'!$O789))</f>
        <v/>
      </c>
      <c r="AO789" t="str">
        <f>IF('TMP Paste'!$F789="","",IF('TMP Paste'!$P789="",$AO788,'TMP Paste'!$P789))</f>
        <v/>
      </c>
      <c r="AP789" t="str">
        <f t="shared" si="77"/>
        <v/>
      </c>
      <c r="AQ789" t="str">
        <f>IF($AS789="","",TRIM(IF(COUNTIFS(Calc!$B$2:$B$1601,ROW()-1,Calc!$C$2:$C$1601,"&lt;1")&gt;0,"Ada PO tanpa Koli - cek TMP. ","")&amp;IF(OR($AU789="",$AU789&lt;=0),"Volume kosong/0 - dimensi dikosongkan. ","")&amp;IF(AND($AU789&lt;&gt;"",$AU789&gt;=1000000),"Volume &gt;= 1.000.000 cm3 (di luar aturan) - dimensi dikosongkan. ","")&amp;IF(LEN($R789)&gt;500,"R &gt; 500 karakter.","")))</f>
        <v/>
      </c>
      <c r="AS789" t="str">
        <f>IFERROR(MATCH(ROW()-1,Calc!$J$2:$J$1601,0),"")</f>
        <v/>
      </c>
      <c r="AT789" t="str">
        <f>IFERROR(MATCH(ROW()-1,Calc!$K$2:$K$1601,0),"")</f>
        <v/>
      </c>
      <c r="AU789" t="str">
        <f>IF($AS789="","",IFERROR(INDEX('TMP Paste'!$D$2:$D$1601,$AS789)*1000000/$AB789,""))</f>
        <v/>
      </c>
    </row>
    <row r="790" spans="1:47">
      <c r="A790" t="str">
        <f>IF($AS790="","",INDEX('TMP Paste'!$B$2:$B$1601,$AS790))</f>
        <v/>
      </c>
      <c r="B790" t="str">
        <f>IF($AS790="","",Config!$B$14)</f>
        <v/>
      </c>
      <c r="C790" t="str">
        <f>IF($AS790="","",Config!$B$15)</f>
        <v/>
      </c>
      <c r="D790" t="str">
        <f>IF($AS790="","",INDEX('TMP Paste'!$B$2:$B$1601,$AS790))</f>
        <v/>
      </c>
      <c r="E790" t="str">
        <f>IF($AS790="","",Config!$B$27)</f>
        <v/>
      </c>
      <c r="F790" t="str">
        <f>IF($AS790="","",Config!$B$9)</f>
        <v/>
      </c>
      <c r="G790" t="str">
        <f>IF($AS790="","",Config!$B$10)</f>
        <v/>
      </c>
      <c r="H790" t="str">
        <f>IF($AS790="","",Config!$B$11)</f>
        <v/>
      </c>
      <c r="I790" t="str">
        <f>IF($AS790="","",Config!$B$16)</f>
        <v/>
      </c>
      <c r="J790" t="str">
        <f>IF($AS790="","",INDEX('TMP Paste'!$A$2:$A$1601,$AS790))</f>
        <v/>
      </c>
      <c r="K790" t="str">
        <f>IF($AS790="","",INDEX('TMP Paste'!$L$2:$L$1601,$AS790))</f>
        <v/>
      </c>
      <c r="L790" t="str">
        <f>IF($AS790="","",INDEX('TMP Paste'!$I$2:$I$1601,$AS790))</f>
        <v/>
      </c>
      <c r="M790" t="str">
        <f>IF($AS790="","",Config!$B$16)</f>
        <v/>
      </c>
      <c r="N790" t="str">
        <f t="shared" si="72"/>
        <v/>
      </c>
      <c r="O790" t="str">
        <f>IF($AS790="","",INDEX('TMP Paste'!$K$2:$K$1601,$AS790))</f>
        <v/>
      </c>
      <c r="P790" t="str">
        <f t="shared" si="73"/>
        <v/>
      </c>
      <c r="Q790" t="str">
        <f>IF($AS790="","",INDEX('TMP Paste'!$J$2:$J$1601,$AS790))</f>
        <v/>
      </c>
      <c r="R790" t="str">
        <f>IF($AS790="","",Config!$B$24)</f>
        <v/>
      </c>
      <c r="S790" t="str">
        <f ca="1">IF($AS790="","",TEXT(Config!$B$4,"yyyy-mm-dd"))</f>
        <v/>
      </c>
      <c r="T790" t="str">
        <f>IF($AS790="","",Config!$B$17)</f>
        <v/>
      </c>
      <c r="U790" t="str">
        <f>IF($AS790="","",Config!$B$18)</f>
        <v/>
      </c>
      <c r="V790" t="str">
        <f>IF($AS790="","",Config!$B$19)</f>
        <v/>
      </c>
      <c r="W790" t="str">
        <f>IF($AS790="","",INDEX('TMP Paste'!$C$2:$C$1601,$AS790))</f>
        <v/>
      </c>
      <c r="X790" t="str">
        <f>IF($AS790="","",Config!$B$29)</f>
        <v/>
      </c>
      <c r="Y790" t="str">
        <f>IF($AT790="","",INDEX(Calc!$I$2:$I$1601,$AT790)&amp;" - "&amp;INDEX(Calc!$D$2:$D$1601,$AT790)&amp;" koli")</f>
        <v/>
      </c>
      <c r="Z790" t="str">
        <f>IF($AS790="","",Config!$B$21)</f>
        <v/>
      </c>
      <c r="AA790" t="str">
        <f>IF($AS790="","",Config!$B$22)</f>
        <v/>
      </c>
      <c r="AB790" t="str">
        <f>IF($AT790="","",INDEX(Calc!$D$2:$D$1601,$AT790))</f>
        <v/>
      </c>
      <c r="AC790" t="str">
        <f>IF($AT790="","",INDEX(Calc!$G$2:$G$1601,$AT790))</f>
        <v/>
      </c>
      <c r="AD790" t="str">
        <f>IF($AS790="","",Config!$B$23)</f>
        <v/>
      </c>
      <c r="AE790" t="str">
        <f>IF($AS790="","",Config!$B$28)</f>
        <v/>
      </c>
      <c r="AF790" t="str">
        <f t="shared" si="74"/>
        <v/>
      </c>
      <c r="AG790" t="str">
        <f t="shared" si="75"/>
        <v/>
      </c>
      <c r="AH790" t="str">
        <f t="shared" si="76"/>
        <v/>
      </c>
      <c r="AI790" t="str">
        <f>IF($AG790="","",SUMIF($AG$2:$AG790,$AG790,$AH$2:$AH790))</f>
        <v/>
      </c>
      <c r="AJ790" t="str">
        <f>IF('TMP Paste'!$F790="","",IF('TMP Paste'!$B790="",$AJ789,'TMP Paste'!$B790))</f>
        <v/>
      </c>
      <c r="AK790" t="str">
        <f>IF('TMP Paste'!$F790="","",N('TMP Paste'!$G790))</f>
        <v/>
      </c>
      <c r="AL790" t="str">
        <f>IF('TMP Paste'!$F790="","",IF('TMP Paste'!$M790="",$AL789,'TMP Paste'!$M790))</f>
        <v/>
      </c>
      <c r="AM790" t="str">
        <f>IF('TMP Paste'!$F790="","",IF('TMP Paste'!$N790="",$AM789,'TMP Paste'!$N790))</f>
        <v/>
      </c>
      <c r="AN790" t="str">
        <f>IF('TMP Paste'!$F790="","",IF('TMP Paste'!$O790="",$AN789,'TMP Paste'!$O790))</f>
        <v/>
      </c>
      <c r="AO790" t="str">
        <f>IF('TMP Paste'!$F790="","",IF('TMP Paste'!$P790="",$AO789,'TMP Paste'!$P790))</f>
        <v/>
      </c>
      <c r="AP790" t="str">
        <f t="shared" si="77"/>
        <v/>
      </c>
      <c r="AQ790" t="str">
        <f>IF($AS790="","",TRIM(IF(COUNTIFS(Calc!$B$2:$B$1601,ROW()-1,Calc!$C$2:$C$1601,"&lt;1")&gt;0,"Ada PO tanpa Koli - cek TMP. ","")&amp;IF(OR($AU790="",$AU790&lt;=0),"Volume kosong/0 - dimensi dikosongkan. ","")&amp;IF(AND($AU790&lt;&gt;"",$AU790&gt;=1000000),"Volume &gt;= 1.000.000 cm3 (di luar aturan) - dimensi dikosongkan. ","")&amp;IF(LEN($R790)&gt;500,"R &gt; 500 karakter.","")))</f>
        <v/>
      </c>
      <c r="AS790" t="str">
        <f>IFERROR(MATCH(ROW()-1,Calc!$J$2:$J$1601,0),"")</f>
        <v/>
      </c>
      <c r="AT790" t="str">
        <f>IFERROR(MATCH(ROW()-1,Calc!$K$2:$K$1601,0),"")</f>
        <v/>
      </c>
      <c r="AU790" t="str">
        <f>IF($AS790="","",IFERROR(INDEX('TMP Paste'!$D$2:$D$1601,$AS790)*1000000/$AB790,""))</f>
        <v/>
      </c>
    </row>
    <row r="791" spans="1:47">
      <c r="A791" t="str">
        <f>IF($AS791="","",INDEX('TMP Paste'!$B$2:$B$1601,$AS791))</f>
        <v/>
      </c>
      <c r="B791" t="str">
        <f>IF($AS791="","",Config!$B$14)</f>
        <v/>
      </c>
      <c r="C791" t="str">
        <f>IF($AS791="","",Config!$B$15)</f>
        <v/>
      </c>
      <c r="D791" t="str">
        <f>IF($AS791="","",INDEX('TMP Paste'!$B$2:$B$1601,$AS791))</f>
        <v/>
      </c>
      <c r="E791" t="str">
        <f>IF($AS791="","",Config!$B$27)</f>
        <v/>
      </c>
      <c r="F791" t="str">
        <f>IF($AS791="","",Config!$B$9)</f>
        <v/>
      </c>
      <c r="G791" t="str">
        <f>IF($AS791="","",Config!$B$10)</f>
        <v/>
      </c>
      <c r="H791" t="str">
        <f>IF($AS791="","",Config!$B$11)</f>
        <v/>
      </c>
      <c r="I791" t="str">
        <f>IF($AS791="","",Config!$B$16)</f>
        <v/>
      </c>
      <c r="J791" t="str">
        <f>IF($AS791="","",INDEX('TMP Paste'!$A$2:$A$1601,$AS791))</f>
        <v/>
      </c>
      <c r="K791" t="str">
        <f>IF($AS791="","",INDEX('TMP Paste'!$L$2:$L$1601,$AS791))</f>
        <v/>
      </c>
      <c r="L791" t="str">
        <f>IF($AS791="","",INDEX('TMP Paste'!$I$2:$I$1601,$AS791))</f>
        <v/>
      </c>
      <c r="M791" t="str">
        <f>IF($AS791="","",Config!$B$16)</f>
        <v/>
      </c>
      <c r="N791" t="str">
        <f t="shared" si="72"/>
        <v/>
      </c>
      <c r="O791" t="str">
        <f>IF($AS791="","",INDEX('TMP Paste'!$K$2:$K$1601,$AS791))</f>
        <v/>
      </c>
      <c r="P791" t="str">
        <f t="shared" si="73"/>
        <v/>
      </c>
      <c r="Q791" t="str">
        <f>IF($AS791="","",INDEX('TMP Paste'!$J$2:$J$1601,$AS791))</f>
        <v/>
      </c>
      <c r="R791" t="str">
        <f>IF($AS791="","",Config!$B$24)</f>
        <v/>
      </c>
      <c r="S791" t="str">
        <f ca="1">IF($AS791="","",TEXT(Config!$B$4,"yyyy-mm-dd"))</f>
        <v/>
      </c>
      <c r="T791" t="str">
        <f>IF($AS791="","",Config!$B$17)</f>
        <v/>
      </c>
      <c r="U791" t="str">
        <f>IF($AS791="","",Config!$B$18)</f>
        <v/>
      </c>
      <c r="V791" t="str">
        <f>IF($AS791="","",Config!$B$19)</f>
        <v/>
      </c>
      <c r="W791" t="str">
        <f>IF($AS791="","",INDEX('TMP Paste'!$C$2:$C$1601,$AS791))</f>
        <v/>
      </c>
      <c r="X791" t="str">
        <f>IF($AS791="","",Config!$B$29)</f>
        <v/>
      </c>
      <c r="Y791" t="str">
        <f>IF($AT791="","",INDEX(Calc!$I$2:$I$1601,$AT791)&amp;" - "&amp;INDEX(Calc!$D$2:$D$1601,$AT791)&amp;" koli")</f>
        <v/>
      </c>
      <c r="Z791" t="str">
        <f>IF($AS791="","",Config!$B$21)</f>
        <v/>
      </c>
      <c r="AA791" t="str">
        <f>IF($AS791="","",Config!$B$22)</f>
        <v/>
      </c>
      <c r="AB791" t="str">
        <f>IF($AT791="","",INDEX(Calc!$D$2:$D$1601,$AT791))</f>
        <v/>
      </c>
      <c r="AC791" t="str">
        <f>IF($AT791="","",INDEX(Calc!$G$2:$G$1601,$AT791))</f>
        <v/>
      </c>
      <c r="AD791" t="str">
        <f>IF($AS791="","",Config!$B$23)</f>
        <v/>
      </c>
      <c r="AE791" t="str">
        <f>IF($AS791="","",Config!$B$28)</f>
        <v/>
      </c>
      <c r="AF791" t="str">
        <f t="shared" si="74"/>
        <v/>
      </c>
      <c r="AG791" t="str">
        <f t="shared" si="75"/>
        <v/>
      </c>
      <c r="AH791" t="str">
        <f t="shared" si="76"/>
        <v/>
      </c>
      <c r="AI791" t="str">
        <f>IF($AG791="","",SUMIF($AG$2:$AG791,$AG791,$AH$2:$AH791))</f>
        <v/>
      </c>
      <c r="AJ791" t="str">
        <f>IF('TMP Paste'!$F791="","",IF('TMP Paste'!$B791="",$AJ790,'TMP Paste'!$B791))</f>
        <v/>
      </c>
      <c r="AK791" t="str">
        <f>IF('TMP Paste'!$F791="","",N('TMP Paste'!$G791))</f>
        <v/>
      </c>
      <c r="AL791" t="str">
        <f>IF('TMP Paste'!$F791="","",IF('TMP Paste'!$M791="",$AL790,'TMP Paste'!$M791))</f>
        <v/>
      </c>
      <c r="AM791" t="str">
        <f>IF('TMP Paste'!$F791="","",IF('TMP Paste'!$N791="",$AM790,'TMP Paste'!$N791))</f>
        <v/>
      </c>
      <c r="AN791" t="str">
        <f>IF('TMP Paste'!$F791="","",IF('TMP Paste'!$O791="",$AN790,'TMP Paste'!$O791))</f>
        <v/>
      </c>
      <c r="AO791" t="str">
        <f>IF('TMP Paste'!$F791="","",IF('TMP Paste'!$P791="",$AO790,'TMP Paste'!$P791))</f>
        <v/>
      </c>
      <c r="AP791" t="str">
        <f t="shared" si="77"/>
        <v/>
      </c>
      <c r="AQ791" t="str">
        <f>IF($AS791="","",TRIM(IF(COUNTIFS(Calc!$B$2:$B$1601,ROW()-1,Calc!$C$2:$C$1601,"&lt;1")&gt;0,"Ada PO tanpa Koli - cek TMP. ","")&amp;IF(OR($AU791="",$AU791&lt;=0),"Volume kosong/0 - dimensi dikosongkan. ","")&amp;IF(AND($AU791&lt;&gt;"",$AU791&gt;=1000000),"Volume &gt;= 1.000.000 cm3 (di luar aturan) - dimensi dikosongkan. ","")&amp;IF(LEN($R791)&gt;500,"R &gt; 500 karakter.","")))</f>
        <v/>
      </c>
      <c r="AS791" t="str">
        <f>IFERROR(MATCH(ROW()-1,Calc!$J$2:$J$1601,0),"")</f>
        <v/>
      </c>
      <c r="AT791" t="str">
        <f>IFERROR(MATCH(ROW()-1,Calc!$K$2:$K$1601,0),"")</f>
        <v/>
      </c>
      <c r="AU791" t="str">
        <f>IF($AS791="","",IFERROR(INDEX('TMP Paste'!$D$2:$D$1601,$AS791)*1000000/$AB791,""))</f>
        <v/>
      </c>
    </row>
    <row r="792" spans="1:47">
      <c r="A792" t="str">
        <f>IF($AS792="","",INDEX('TMP Paste'!$B$2:$B$1601,$AS792))</f>
        <v/>
      </c>
      <c r="B792" t="str">
        <f>IF($AS792="","",Config!$B$14)</f>
        <v/>
      </c>
      <c r="C792" t="str">
        <f>IF($AS792="","",Config!$B$15)</f>
        <v/>
      </c>
      <c r="D792" t="str">
        <f>IF($AS792="","",INDEX('TMP Paste'!$B$2:$B$1601,$AS792))</f>
        <v/>
      </c>
      <c r="E792" t="str">
        <f>IF($AS792="","",Config!$B$27)</f>
        <v/>
      </c>
      <c r="F792" t="str">
        <f>IF($AS792="","",Config!$B$9)</f>
        <v/>
      </c>
      <c r="G792" t="str">
        <f>IF($AS792="","",Config!$B$10)</f>
        <v/>
      </c>
      <c r="H792" t="str">
        <f>IF($AS792="","",Config!$B$11)</f>
        <v/>
      </c>
      <c r="I792" t="str">
        <f>IF($AS792="","",Config!$B$16)</f>
        <v/>
      </c>
      <c r="J792" t="str">
        <f>IF($AS792="","",INDEX('TMP Paste'!$A$2:$A$1601,$AS792))</f>
        <v/>
      </c>
      <c r="K792" t="str">
        <f>IF($AS792="","",INDEX('TMP Paste'!$L$2:$L$1601,$AS792))</f>
        <v/>
      </c>
      <c r="L792" t="str">
        <f>IF($AS792="","",INDEX('TMP Paste'!$I$2:$I$1601,$AS792))</f>
        <v/>
      </c>
      <c r="M792" t="str">
        <f>IF($AS792="","",Config!$B$16)</f>
        <v/>
      </c>
      <c r="N792" t="str">
        <f t="shared" si="72"/>
        <v/>
      </c>
      <c r="O792" t="str">
        <f>IF($AS792="","",INDEX('TMP Paste'!$K$2:$K$1601,$AS792))</f>
        <v/>
      </c>
      <c r="P792" t="str">
        <f t="shared" si="73"/>
        <v/>
      </c>
      <c r="Q792" t="str">
        <f>IF($AS792="","",INDEX('TMP Paste'!$J$2:$J$1601,$AS792))</f>
        <v/>
      </c>
      <c r="R792" t="str">
        <f>IF($AS792="","",Config!$B$24)</f>
        <v/>
      </c>
      <c r="S792" t="str">
        <f ca="1">IF($AS792="","",TEXT(Config!$B$4,"yyyy-mm-dd"))</f>
        <v/>
      </c>
      <c r="T792" t="str">
        <f>IF($AS792="","",Config!$B$17)</f>
        <v/>
      </c>
      <c r="U792" t="str">
        <f>IF($AS792="","",Config!$B$18)</f>
        <v/>
      </c>
      <c r="V792" t="str">
        <f>IF($AS792="","",Config!$B$19)</f>
        <v/>
      </c>
      <c r="W792" t="str">
        <f>IF($AS792="","",INDEX('TMP Paste'!$C$2:$C$1601,$AS792))</f>
        <v/>
      </c>
      <c r="X792" t="str">
        <f>IF($AS792="","",Config!$B$29)</f>
        <v/>
      </c>
      <c r="Y792" t="str">
        <f>IF($AT792="","",INDEX(Calc!$I$2:$I$1601,$AT792)&amp;" - "&amp;INDEX(Calc!$D$2:$D$1601,$AT792)&amp;" koli")</f>
        <v/>
      </c>
      <c r="Z792" t="str">
        <f>IF($AS792="","",Config!$B$21)</f>
        <v/>
      </c>
      <c r="AA792" t="str">
        <f>IF($AS792="","",Config!$B$22)</f>
        <v/>
      </c>
      <c r="AB792" t="str">
        <f>IF($AT792="","",INDEX(Calc!$D$2:$D$1601,$AT792))</f>
        <v/>
      </c>
      <c r="AC792" t="str">
        <f>IF($AT792="","",INDEX(Calc!$G$2:$G$1601,$AT792))</f>
        <v/>
      </c>
      <c r="AD792" t="str">
        <f>IF($AS792="","",Config!$B$23)</f>
        <v/>
      </c>
      <c r="AE792" t="str">
        <f>IF($AS792="","",Config!$B$28)</f>
        <v/>
      </c>
      <c r="AF792" t="str">
        <f t="shared" si="74"/>
        <v/>
      </c>
      <c r="AG792" t="str">
        <f t="shared" si="75"/>
        <v/>
      </c>
      <c r="AH792" t="str">
        <f t="shared" si="76"/>
        <v/>
      </c>
      <c r="AI792" t="str">
        <f>IF($AG792="","",SUMIF($AG$2:$AG792,$AG792,$AH$2:$AH792))</f>
        <v/>
      </c>
      <c r="AJ792" t="str">
        <f>IF('TMP Paste'!$F792="","",IF('TMP Paste'!$B792="",$AJ791,'TMP Paste'!$B792))</f>
        <v/>
      </c>
      <c r="AK792" t="str">
        <f>IF('TMP Paste'!$F792="","",N('TMP Paste'!$G792))</f>
        <v/>
      </c>
      <c r="AL792" t="str">
        <f>IF('TMP Paste'!$F792="","",IF('TMP Paste'!$M792="",$AL791,'TMP Paste'!$M792))</f>
        <v/>
      </c>
      <c r="AM792" t="str">
        <f>IF('TMP Paste'!$F792="","",IF('TMP Paste'!$N792="",$AM791,'TMP Paste'!$N792))</f>
        <v/>
      </c>
      <c r="AN792" t="str">
        <f>IF('TMP Paste'!$F792="","",IF('TMP Paste'!$O792="",$AN791,'TMP Paste'!$O792))</f>
        <v/>
      </c>
      <c r="AO792" t="str">
        <f>IF('TMP Paste'!$F792="","",IF('TMP Paste'!$P792="",$AO791,'TMP Paste'!$P792))</f>
        <v/>
      </c>
      <c r="AP792" t="str">
        <f t="shared" si="77"/>
        <v/>
      </c>
      <c r="AQ792" t="str">
        <f>IF($AS792="","",TRIM(IF(COUNTIFS(Calc!$B$2:$B$1601,ROW()-1,Calc!$C$2:$C$1601,"&lt;1")&gt;0,"Ada PO tanpa Koli - cek TMP. ","")&amp;IF(OR($AU792="",$AU792&lt;=0),"Volume kosong/0 - dimensi dikosongkan. ","")&amp;IF(AND($AU792&lt;&gt;"",$AU792&gt;=1000000),"Volume &gt;= 1.000.000 cm3 (di luar aturan) - dimensi dikosongkan. ","")&amp;IF(LEN($R792)&gt;500,"R &gt; 500 karakter.","")))</f>
        <v/>
      </c>
      <c r="AS792" t="str">
        <f>IFERROR(MATCH(ROW()-1,Calc!$J$2:$J$1601,0),"")</f>
        <v/>
      </c>
      <c r="AT792" t="str">
        <f>IFERROR(MATCH(ROW()-1,Calc!$K$2:$K$1601,0),"")</f>
        <v/>
      </c>
      <c r="AU792" t="str">
        <f>IF($AS792="","",IFERROR(INDEX('TMP Paste'!$D$2:$D$1601,$AS792)*1000000/$AB792,""))</f>
        <v/>
      </c>
    </row>
    <row r="793" spans="1:47">
      <c r="A793" t="str">
        <f>IF($AS793="","",INDEX('TMP Paste'!$B$2:$B$1601,$AS793))</f>
        <v/>
      </c>
      <c r="B793" t="str">
        <f>IF($AS793="","",Config!$B$14)</f>
        <v/>
      </c>
      <c r="C793" t="str">
        <f>IF($AS793="","",Config!$B$15)</f>
        <v/>
      </c>
      <c r="D793" t="str">
        <f>IF($AS793="","",INDEX('TMP Paste'!$B$2:$B$1601,$AS793))</f>
        <v/>
      </c>
      <c r="E793" t="str">
        <f>IF($AS793="","",Config!$B$27)</f>
        <v/>
      </c>
      <c r="F793" t="str">
        <f>IF($AS793="","",Config!$B$9)</f>
        <v/>
      </c>
      <c r="G793" t="str">
        <f>IF($AS793="","",Config!$B$10)</f>
        <v/>
      </c>
      <c r="H793" t="str">
        <f>IF($AS793="","",Config!$B$11)</f>
        <v/>
      </c>
      <c r="I793" t="str">
        <f>IF($AS793="","",Config!$B$16)</f>
        <v/>
      </c>
      <c r="J793" t="str">
        <f>IF($AS793="","",INDEX('TMP Paste'!$A$2:$A$1601,$AS793))</f>
        <v/>
      </c>
      <c r="K793" t="str">
        <f>IF($AS793="","",INDEX('TMP Paste'!$L$2:$L$1601,$AS793))</f>
        <v/>
      </c>
      <c r="L793" t="str">
        <f>IF($AS793="","",INDEX('TMP Paste'!$I$2:$I$1601,$AS793))</f>
        <v/>
      </c>
      <c r="M793" t="str">
        <f>IF($AS793="","",Config!$B$16)</f>
        <v/>
      </c>
      <c r="N793" t="str">
        <f t="shared" si="72"/>
        <v/>
      </c>
      <c r="O793" t="str">
        <f>IF($AS793="","",INDEX('TMP Paste'!$K$2:$K$1601,$AS793))</f>
        <v/>
      </c>
      <c r="P793" t="str">
        <f t="shared" si="73"/>
        <v/>
      </c>
      <c r="Q793" t="str">
        <f>IF($AS793="","",INDEX('TMP Paste'!$J$2:$J$1601,$AS793))</f>
        <v/>
      </c>
      <c r="R793" t="str">
        <f>IF($AS793="","",Config!$B$24)</f>
        <v/>
      </c>
      <c r="S793" t="str">
        <f ca="1">IF($AS793="","",TEXT(Config!$B$4,"yyyy-mm-dd"))</f>
        <v/>
      </c>
      <c r="T793" t="str">
        <f>IF($AS793="","",Config!$B$17)</f>
        <v/>
      </c>
      <c r="U793" t="str">
        <f>IF($AS793="","",Config!$B$18)</f>
        <v/>
      </c>
      <c r="V793" t="str">
        <f>IF($AS793="","",Config!$B$19)</f>
        <v/>
      </c>
      <c r="W793" t="str">
        <f>IF($AS793="","",INDEX('TMP Paste'!$C$2:$C$1601,$AS793))</f>
        <v/>
      </c>
      <c r="X793" t="str">
        <f>IF($AS793="","",Config!$B$29)</f>
        <v/>
      </c>
      <c r="Y793" t="str">
        <f>IF($AT793="","",INDEX(Calc!$I$2:$I$1601,$AT793)&amp;" - "&amp;INDEX(Calc!$D$2:$D$1601,$AT793)&amp;" koli")</f>
        <v/>
      </c>
      <c r="Z793" t="str">
        <f>IF($AS793="","",Config!$B$21)</f>
        <v/>
      </c>
      <c r="AA793" t="str">
        <f>IF($AS793="","",Config!$B$22)</f>
        <v/>
      </c>
      <c r="AB793" t="str">
        <f>IF($AT793="","",INDEX(Calc!$D$2:$D$1601,$AT793))</f>
        <v/>
      </c>
      <c r="AC793" t="str">
        <f>IF($AT793="","",INDEX(Calc!$G$2:$G$1601,$AT793))</f>
        <v/>
      </c>
      <c r="AD793" t="str">
        <f>IF($AS793="","",Config!$B$23)</f>
        <v/>
      </c>
      <c r="AE793" t="str">
        <f>IF($AS793="","",Config!$B$28)</f>
        <v/>
      </c>
      <c r="AF793" t="str">
        <f t="shared" si="74"/>
        <v/>
      </c>
      <c r="AG793" t="str">
        <f t="shared" si="75"/>
        <v/>
      </c>
      <c r="AH793" t="str">
        <f t="shared" si="76"/>
        <v/>
      </c>
      <c r="AI793" t="str">
        <f>IF($AG793="","",SUMIF($AG$2:$AG793,$AG793,$AH$2:$AH793))</f>
        <v/>
      </c>
      <c r="AJ793" t="str">
        <f>IF('TMP Paste'!$F793="","",IF('TMP Paste'!$B793="",$AJ792,'TMP Paste'!$B793))</f>
        <v/>
      </c>
      <c r="AK793" t="str">
        <f>IF('TMP Paste'!$F793="","",N('TMP Paste'!$G793))</f>
        <v/>
      </c>
      <c r="AL793" t="str">
        <f>IF('TMP Paste'!$F793="","",IF('TMP Paste'!$M793="",$AL792,'TMP Paste'!$M793))</f>
        <v/>
      </c>
      <c r="AM793" t="str">
        <f>IF('TMP Paste'!$F793="","",IF('TMP Paste'!$N793="",$AM792,'TMP Paste'!$N793))</f>
        <v/>
      </c>
      <c r="AN793" t="str">
        <f>IF('TMP Paste'!$F793="","",IF('TMP Paste'!$O793="",$AN792,'TMP Paste'!$O793))</f>
        <v/>
      </c>
      <c r="AO793" t="str">
        <f>IF('TMP Paste'!$F793="","",IF('TMP Paste'!$P793="",$AO792,'TMP Paste'!$P793))</f>
        <v/>
      </c>
      <c r="AP793" t="str">
        <f t="shared" si="77"/>
        <v/>
      </c>
      <c r="AQ793" t="str">
        <f>IF($AS793="","",TRIM(IF(COUNTIFS(Calc!$B$2:$B$1601,ROW()-1,Calc!$C$2:$C$1601,"&lt;1")&gt;0,"Ada PO tanpa Koli - cek TMP. ","")&amp;IF(OR($AU793="",$AU793&lt;=0),"Volume kosong/0 - dimensi dikosongkan. ","")&amp;IF(AND($AU793&lt;&gt;"",$AU793&gt;=1000000),"Volume &gt;= 1.000.000 cm3 (di luar aturan) - dimensi dikosongkan. ","")&amp;IF(LEN($R793)&gt;500,"R &gt; 500 karakter.","")))</f>
        <v/>
      </c>
      <c r="AS793" t="str">
        <f>IFERROR(MATCH(ROW()-1,Calc!$J$2:$J$1601,0),"")</f>
        <v/>
      </c>
      <c r="AT793" t="str">
        <f>IFERROR(MATCH(ROW()-1,Calc!$K$2:$K$1601,0),"")</f>
        <v/>
      </c>
      <c r="AU793" t="str">
        <f>IF($AS793="","",IFERROR(INDEX('TMP Paste'!$D$2:$D$1601,$AS793)*1000000/$AB793,""))</f>
        <v/>
      </c>
    </row>
    <row r="794" spans="1:47">
      <c r="A794" t="str">
        <f>IF($AS794="","",INDEX('TMP Paste'!$B$2:$B$1601,$AS794))</f>
        <v/>
      </c>
      <c r="B794" t="str">
        <f>IF($AS794="","",Config!$B$14)</f>
        <v/>
      </c>
      <c r="C794" t="str">
        <f>IF($AS794="","",Config!$B$15)</f>
        <v/>
      </c>
      <c r="D794" t="str">
        <f>IF($AS794="","",INDEX('TMP Paste'!$B$2:$B$1601,$AS794))</f>
        <v/>
      </c>
      <c r="E794" t="str">
        <f>IF($AS794="","",Config!$B$27)</f>
        <v/>
      </c>
      <c r="F794" t="str">
        <f>IF($AS794="","",Config!$B$9)</f>
        <v/>
      </c>
      <c r="G794" t="str">
        <f>IF($AS794="","",Config!$B$10)</f>
        <v/>
      </c>
      <c r="H794" t="str">
        <f>IF($AS794="","",Config!$B$11)</f>
        <v/>
      </c>
      <c r="I794" t="str">
        <f>IF($AS794="","",Config!$B$16)</f>
        <v/>
      </c>
      <c r="J794" t="str">
        <f>IF($AS794="","",INDEX('TMP Paste'!$A$2:$A$1601,$AS794))</f>
        <v/>
      </c>
      <c r="K794" t="str">
        <f>IF($AS794="","",INDEX('TMP Paste'!$L$2:$L$1601,$AS794))</f>
        <v/>
      </c>
      <c r="L794" t="str">
        <f>IF($AS794="","",INDEX('TMP Paste'!$I$2:$I$1601,$AS794))</f>
        <v/>
      </c>
      <c r="M794" t="str">
        <f>IF($AS794="","",Config!$B$16)</f>
        <v/>
      </c>
      <c r="N794" t="str">
        <f t="shared" si="72"/>
        <v/>
      </c>
      <c r="O794" t="str">
        <f>IF($AS794="","",INDEX('TMP Paste'!$K$2:$K$1601,$AS794))</f>
        <v/>
      </c>
      <c r="P794" t="str">
        <f t="shared" si="73"/>
        <v/>
      </c>
      <c r="Q794" t="str">
        <f>IF($AS794="","",INDEX('TMP Paste'!$J$2:$J$1601,$AS794))</f>
        <v/>
      </c>
      <c r="R794" t="str">
        <f>IF($AS794="","",Config!$B$24)</f>
        <v/>
      </c>
      <c r="S794" t="str">
        <f ca="1">IF($AS794="","",TEXT(Config!$B$4,"yyyy-mm-dd"))</f>
        <v/>
      </c>
      <c r="T794" t="str">
        <f>IF($AS794="","",Config!$B$17)</f>
        <v/>
      </c>
      <c r="U794" t="str">
        <f>IF($AS794="","",Config!$B$18)</f>
        <v/>
      </c>
      <c r="V794" t="str">
        <f>IF($AS794="","",Config!$B$19)</f>
        <v/>
      </c>
      <c r="W794" t="str">
        <f>IF($AS794="","",INDEX('TMP Paste'!$C$2:$C$1601,$AS794))</f>
        <v/>
      </c>
      <c r="X794" t="str">
        <f>IF($AS794="","",Config!$B$29)</f>
        <v/>
      </c>
      <c r="Y794" t="str">
        <f>IF($AT794="","",INDEX(Calc!$I$2:$I$1601,$AT794)&amp;" - "&amp;INDEX(Calc!$D$2:$D$1601,$AT794)&amp;" koli")</f>
        <v/>
      </c>
      <c r="Z794" t="str">
        <f>IF($AS794="","",Config!$B$21)</f>
        <v/>
      </c>
      <c r="AA794" t="str">
        <f>IF($AS794="","",Config!$B$22)</f>
        <v/>
      </c>
      <c r="AB794" t="str">
        <f>IF($AT794="","",INDEX(Calc!$D$2:$D$1601,$AT794))</f>
        <v/>
      </c>
      <c r="AC794" t="str">
        <f>IF($AT794="","",INDEX(Calc!$G$2:$G$1601,$AT794))</f>
        <v/>
      </c>
      <c r="AD794" t="str">
        <f>IF($AS794="","",Config!$B$23)</f>
        <v/>
      </c>
      <c r="AE794" t="str">
        <f>IF($AS794="","",Config!$B$28)</f>
        <v/>
      </c>
      <c r="AF794" t="str">
        <f t="shared" si="74"/>
        <v/>
      </c>
      <c r="AG794" t="str">
        <f t="shared" si="75"/>
        <v/>
      </c>
      <c r="AH794" t="str">
        <f t="shared" si="76"/>
        <v/>
      </c>
      <c r="AI794" t="str">
        <f>IF($AG794="","",SUMIF($AG$2:$AG794,$AG794,$AH$2:$AH794))</f>
        <v/>
      </c>
      <c r="AJ794" t="str">
        <f>IF('TMP Paste'!$F794="","",IF('TMP Paste'!$B794="",$AJ793,'TMP Paste'!$B794))</f>
        <v/>
      </c>
      <c r="AK794" t="str">
        <f>IF('TMP Paste'!$F794="","",N('TMP Paste'!$G794))</f>
        <v/>
      </c>
      <c r="AL794" t="str">
        <f>IF('TMP Paste'!$F794="","",IF('TMP Paste'!$M794="",$AL793,'TMP Paste'!$M794))</f>
        <v/>
      </c>
      <c r="AM794" t="str">
        <f>IF('TMP Paste'!$F794="","",IF('TMP Paste'!$N794="",$AM793,'TMP Paste'!$N794))</f>
        <v/>
      </c>
      <c r="AN794" t="str">
        <f>IF('TMP Paste'!$F794="","",IF('TMP Paste'!$O794="",$AN793,'TMP Paste'!$O794))</f>
        <v/>
      </c>
      <c r="AO794" t="str">
        <f>IF('TMP Paste'!$F794="","",IF('TMP Paste'!$P794="",$AO793,'TMP Paste'!$P794))</f>
        <v/>
      </c>
      <c r="AP794" t="str">
        <f t="shared" si="77"/>
        <v/>
      </c>
      <c r="AQ794" t="str">
        <f>IF($AS794="","",TRIM(IF(COUNTIFS(Calc!$B$2:$B$1601,ROW()-1,Calc!$C$2:$C$1601,"&lt;1")&gt;0,"Ada PO tanpa Koli - cek TMP. ","")&amp;IF(OR($AU794="",$AU794&lt;=0),"Volume kosong/0 - dimensi dikosongkan. ","")&amp;IF(AND($AU794&lt;&gt;"",$AU794&gt;=1000000),"Volume &gt;= 1.000.000 cm3 (di luar aturan) - dimensi dikosongkan. ","")&amp;IF(LEN($R794)&gt;500,"R &gt; 500 karakter.","")))</f>
        <v/>
      </c>
      <c r="AS794" t="str">
        <f>IFERROR(MATCH(ROW()-1,Calc!$J$2:$J$1601,0),"")</f>
        <v/>
      </c>
      <c r="AT794" t="str">
        <f>IFERROR(MATCH(ROW()-1,Calc!$K$2:$K$1601,0),"")</f>
        <v/>
      </c>
      <c r="AU794" t="str">
        <f>IF($AS794="","",IFERROR(INDEX('TMP Paste'!$D$2:$D$1601,$AS794)*1000000/$AB794,""))</f>
        <v/>
      </c>
    </row>
    <row r="795" spans="1:47">
      <c r="A795" t="str">
        <f>IF($AS795="","",INDEX('TMP Paste'!$B$2:$B$1601,$AS795))</f>
        <v/>
      </c>
      <c r="B795" t="str">
        <f>IF($AS795="","",Config!$B$14)</f>
        <v/>
      </c>
      <c r="C795" t="str">
        <f>IF($AS795="","",Config!$B$15)</f>
        <v/>
      </c>
      <c r="D795" t="str">
        <f>IF($AS795="","",INDEX('TMP Paste'!$B$2:$B$1601,$AS795))</f>
        <v/>
      </c>
      <c r="E795" t="str">
        <f>IF($AS795="","",Config!$B$27)</f>
        <v/>
      </c>
      <c r="F795" t="str">
        <f>IF($AS795="","",Config!$B$9)</f>
        <v/>
      </c>
      <c r="G795" t="str">
        <f>IF($AS795="","",Config!$B$10)</f>
        <v/>
      </c>
      <c r="H795" t="str">
        <f>IF($AS795="","",Config!$B$11)</f>
        <v/>
      </c>
      <c r="I795" t="str">
        <f>IF($AS795="","",Config!$B$16)</f>
        <v/>
      </c>
      <c r="J795" t="str">
        <f>IF($AS795="","",INDEX('TMP Paste'!$A$2:$A$1601,$AS795))</f>
        <v/>
      </c>
      <c r="K795" t="str">
        <f>IF($AS795="","",INDEX('TMP Paste'!$L$2:$L$1601,$AS795))</f>
        <v/>
      </c>
      <c r="L795" t="str">
        <f>IF($AS795="","",INDEX('TMP Paste'!$I$2:$I$1601,$AS795))</f>
        <v/>
      </c>
      <c r="M795" t="str">
        <f>IF($AS795="","",Config!$B$16)</f>
        <v/>
      </c>
      <c r="N795" t="str">
        <f t="shared" si="72"/>
        <v/>
      </c>
      <c r="O795" t="str">
        <f>IF($AS795="","",INDEX('TMP Paste'!$K$2:$K$1601,$AS795))</f>
        <v/>
      </c>
      <c r="P795" t="str">
        <f t="shared" si="73"/>
        <v/>
      </c>
      <c r="Q795" t="str">
        <f>IF($AS795="","",INDEX('TMP Paste'!$J$2:$J$1601,$AS795))</f>
        <v/>
      </c>
      <c r="R795" t="str">
        <f>IF($AS795="","",Config!$B$24)</f>
        <v/>
      </c>
      <c r="S795" t="str">
        <f ca="1">IF($AS795="","",TEXT(Config!$B$4,"yyyy-mm-dd"))</f>
        <v/>
      </c>
      <c r="T795" t="str">
        <f>IF($AS795="","",Config!$B$17)</f>
        <v/>
      </c>
      <c r="U795" t="str">
        <f>IF($AS795="","",Config!$B$18)</f>
        <v/>
      </c>
      <c r="V795" t="str">
        <f>IF($AS795="","",Config!$B$19)</f>
        <v/>
      </c>
      <c r="W795" t="str">
        <f>IF($AS795="","",INDEX('TMP Paste'!$C$2:$C$1601,$AS795))</f>
        <v/>
      </c>
      <c r="X795" t="str">
        <f>IF($AS795="","",Config!$B$29)</f>
        <v/>
      </c>
      <c r="Y795" t="str">
        <f>IF($AT795="","",INDEX(Calc!$I$2:$I$1601,$AT795)&amp;" - "&amp;INDEX(Calc!$D$2:$D$1601,$AT795)&amp;" koli")</f>
        <v/>
      </c>
      <c r="Z795" t="str">
        <f>IF($AS795="","",Config!$B$21)</f>
        <v/>
      </c>
      <c r="AA795" t="str">
        <f>IF($AS795="","",Config!$B$22)</f>
        <v/>
      </c>
      <c r="AB795" t="str">
        <f>IF($AT795="","",INDEX(Calc!$D$2:$D$1601,$AT795))</f>
        <v/>
      </c>
      <c r="AC795" t="str">
        <f>IF($AT795="","",INDEX(Calc!$G$2:$G$1601,$AT795))</f>
        <v/>
      </c>
      <c r="AD795" t="str">
        <f>IF($AS795="","",Config!$B$23)</f>
        <v/>
      </c>
      <c r="AE795" t="str">
        <f>IF($AS795="","",Config!$B$28)</f>
        <v/>
      </c>
      <c r="AF795" t="str">
        <f t="shared" si="74"/>
        <v/>
      </c>
      <c r="AG795" t="str">
        <f t="shared" si="75"/>
        <v/>
      </c>
      <c r="AH795" t="str">
        <f t="shared" si="76"/>
        <v/>
      </c>
      <c r="AI795" t="str">
        <f>IF($AG795="","",SUMIF($AG$2:$AG795,$AG795,$AH$2:$AH795))</f>
        <v/>
      </c>
      <c r="AJ795" t="str">
        <f>IF('TMP Paste'!$F795="","",IF('TMP Paste'!$B795="",$AJ794,'TMP Paste'!$B795))</f>
        <v/>
      </c>
      <c r="AK795" t="str">
        <f>IF('TMP Paste'!$F795="","",N('TMP Paste'!$G795))</f>
        <v/>
      </c>
      <c r="AL795" t="str">
        <f>IF('TMP Paste'!$F795="","",IF('TMP Paste'!$M795="",$AL794,'TMP Paste'!$M795))</f>
        <v/>
      </c>
      <c r="AM795" t="str">
        <f>IF('TMP Paste'!$F795="","",IF('TMP Paste'!$N795="",$AM794,'TMP Paste'!$N795))</f>
        <v/>
      </c>
      <c r="AN795" t="str">
        <f>IF('TMP Paste'!$F795="","",IF('TMP Paste'!$O795="",$AN794,'TMP Paste'!$O795))</f>
        <v/>
      </c>
      <c r="AO795" t="str">
        <f>IF('TMP Paste'!$F795="","",IF('TMP Paste'!$P795="",$AO794,'TMP Paste'!$P795))</f>
        <v/>
      </c>
      <c r="AP795" t="str">
        <f t="shared" si="77"/>
        <v/>
      </c>
      <c r="AQ795" t="str">
        <f>IF($AS795="","",TRIM(IF(COUNTIFS(Calc!$B$2:$B$1601,ROW()-1,Calc!$C$2:$C$1601,"&lt;1")&gt;0,"Ada PO tanpa Koli - cek TMP. ","")&amp;IF(OR($AU795="",$AU795&lt;=0),"Volume kosong/0 - dimensi dikosongkan. ","")&amp;IF(AND($AU795&lt;&gt;"",$AU795&gt;=1000000),"Volume &gt;= 1.000.000 cm3 (di luar aturan) - dimensi dikosongkan. ","")&amp;IF(LEN($R795)&gt;500,"R &gt; 500 karakter.","")))</f>
        <v/>
      </c>
      <c r="AS795" t="str">
        <f>IFERROR(MATCH(ROW()-1,Calc!$J$2:$J$1601,0),"")</f>
        <v/>
      </c>
      <c r="AT795" t="str">
        <f>IFERROR(MATCH(ROW()-1,Calc!$K$2:$K$1601,0),"")</f>
        <v/>
      </c>
      <c r="AU795" t="str">
        <f>IF($AS795="","",IFERROR(INDEX('TMP Paste'!$D$2:$D$1601,$AS795)*1000000/$AB795,""))</f>
        <v/>
      </c>
    </row>
    <row r="796" spans="1:47">
      <c r="A796" t="str">
        <f>IF($AS796="","",INDEX('TMP Paste'!$B$2:$B$1601,$AS796))</f>
        <v/>
      </c>
      <c r="B796" t="str">
        <f>IF($AS796="","",Config!$B$14)</f>
        <v/>
      </c>
      <c r="C796" t="str">
        <f>IF($AS796="","",Config!$B$15)</f>
        <v/>
      </c>
      <c r="D796" t="str">
        <f>IF($AS796="","",INDEX('TMP Paste'!$B$2:$B$1601,$AS796))</f>
        <v/>
      </c>
      <c r="E796" t="str">
        <f>IF($AS796="","",Config!$B$27)</f>
        <v/>
      </c>
      <c r="F796" t="str">
        <f>IF($AS796="","",Config!$B$9)</f>
        <v/>
      </c>
      <c r="G796" t="str">
        <f>IF($AS796="","",Config!$B$10)</f>
        <v/>
      </c>
      <c r="H796" t="str">
        <f>IF($AS796="","",Config!$B$11)</f>
        <v/>
      </c>
      <c r="I796" t="str">
        <f>IF($AS796="","",Config!$B$16)</f>
        <v/>
      </c>
      <c r="J796" t="str">
        <f>IF($AS796="","",INDEX('TMP Paste'!$A$2:$A$1601,$AS796))</f>
        <v/>
      </c>
      <c r="K796" t="str">
        <f>IF($AS796="","",INDEX('TMP Paste'!$L$2:$L$1601,$AS796))</f>
        <v/>
      </c>
      <c r="L796" t="str">
        <f>IF($AS796="","",INDEX('TMP Paste'!$I$2:$I$1601,$AS796))</f>
        <v/>
      </c>
      <c r="M796" t="str">
        <f>IF($AS796="","",Config!$B$16)</f>
        <v/>
      </c>
      <c r="N796" t="str">
        <f t="shared" si="72"/>
        <v/>
      </c>
      <c r="O796" t="str">
        <f>IF($AS796="","",INDEX('TMP Paste'!$K$2:$K$1601,$AS796))</f>
        <v/>
      </c>
      <c r="P796" t="str">
        <f t="shared" si="73"/>
        <v/>
      </c>
      <c r="Q796" t="str">
        <f>IF($AS796="","",INDEX('TMP Paste'!$J$2:$J$1601,$AS796))</f>
        <v/>
      </c>
      <c r="R796" t="str">
        <f>IF($AS796="","",Config!$B$24)</f>
        <v/>
      </c>
      <c r="S796" t="str">
        <f ca="1">IF($AS796="","",TEXT(Config!$B$4,"yyyy-mm-dd"))</f>
        <v/>
      </c>
      <c r="T796" t="str">
        <f>IF($AS796="","",Config!$B$17)</f>
        <v/>
      </c>
      <c r="U796" t="str">
        <f>IF($AS796="","",Config!$B$18)</f>
        <v/>
      </c>
      <c r="V796" t="str">
        <f>IF($AS796="","",Config!$B$19)</f>
        <v/>
      </c>
      <c r="W796" t="str">
        <f>IF($AS796="","",INDEX('TMP Paste'!$C$2:$C$1601,$AS796))</f>
        <v/>
      </c>
      <c r="X796" t="str">
        <f>IF($AS796="","",Config!$B$29)</f>
        <v/>
      </c>
      <c r="Y796" t="str">
        <f>IF($AT796="","",INDEX(Calc!$I$2:$I$1601,$AT796)&amp;" - "&amp;INDEX(Calc!$D$2:$D$1601,$AT796)&amp;" koli")</f>
        <v/>
      </c>
      <c r="Z796" t="str">
        <f>IF($AS796="","",Config!$B$21)</f>
        <v/>
      </c>
      <c r="AA796" t="str">
        <f>IF($AS796="","",Config!$B$22)</f>
        <v/>
      </c>
      <c r="AB796" t="str">
        <f>IF($AT796="","",INDEX(Calc!$D$2:$D$1601,$AT796))</f>
        <v/>
      </c>
      <c r="AC796" t="str">
        <f>IF($AT796="","",INDEX(Calc!$G$2:$G$1601,$AT796))</f>
        <v/>
      </c>
      <c r="AD796" t="str">
        <f>IF($AS796="","",Config!$B$23)</f>
        <v/>
      </c>
      <c r="AE796" t="str">
        <f>IF($AS796="","",Config!$B$28)</f>
        <v/>
      </c>
      <c r="AF796" t="str">
        <f t="shared" si="74"/>
        <v/>
      </c>
      <c r="AG796" t="str">
        <f t="shared" si="75"/>
        <v/>
      </c>
      <c r="AH796" t="str">
        <f t="shared" si="76"/>
        <v/>
      </c>
      <c r="AI796" t="str">
        <f>IF($AG796="","",SUMIF($AG$2:$AG796,$AG796,$AH$2:$AH796))</f>
        <v/>
      </c>
      <c r="AJ796" t="str">
        <f>IF('TMP Paste'!$F796="","",IF('TMP Paste'!$B796="",$AJ795,'TMP Paste'!$B796))</f>
        <v/>
      </c>
      <c r="AK796" t="str">
        <f>IF('TMP Paste'!$F796="","",N('TMP Paste'!$G796))</f>
        <v/>
      </c>
      <c r="AL796" t="str">
        <f>IF('TMP Paste'!$F796="","",IF('TMP Paste'!$M796="",$AL795,'TMP Paste'!$M796))</f>
        <v/>
      </c>
      <c r="AM796" t="str">
        <f>IF('TMP Paste'!$F796="","",IF('TMP Paste'!$N796="",$AM795,'TMP Paste'!$N796))</f>
        <v/>
      </c>
      <c r="AN796" t="str">
        <f>IF('TMP Paste'!$F796="","",IF('TMP Paste'!$O796="",$AN795,'TMP Paste'!$O796))</f>
        <v/>
      </c>
      <c r="AO796" t="str">
        <f>IF('TMP Paste'!$F796="","",IF('TMP Paste'!$P796="",$AO795,'TMP Paste'!$P796))</f>
        <v/>
      </c>
      <c r="AP796" t="str">
        <f t="shared" si="77"/>
        <v/>
      </c>
      <c r="AQ796" t="str">
        <f>IF($AS796="","",TRIM(IF(COUNTIFS(Calc!$B$2:$B$1601,ROW()-1,Calc!$C$2:$C$1601,"&lt;1")&gt;0,"Ada PO tanpa Koli - cek TMP. ","")&amp;IF(OR($AU796="",$AU796&lt;=0),"Volume kosong/0 - dimensi dikosongkan. ","")&amp;IF(AND($AU796&lt;&gt;"",$AU796&gt;=1000000),"Volume &gt;= 1.000.000 cm3 (di luar aturan) - dimensi dikosongkan. ","")&amp;IF(LEN($R796)&gt;500,"R &gt; 500 karakter.","")))</f>
        <v/>
      </c>
      <c r="AS796" t="str">
        <f>IFERROR(MATCH(ROW()-1,Calc!$J$2:$J$1601,0),"")</f>
        <v/>
      </c>
      <c r="AT796" t="str">
        <f>IFERROR(MATCH(ROW()-1,Calc!$K$2:$K$1601,0),"")</f>
        <v/>
      </c>
      <c r="AU796" t="str">
        <f>IF($AS796="","",IFERROR(INDEX('TMP Paste'!$D$2:$D$1601,$AS796)*1000000/$AB796,""))</f>
        <v/>
      </c>
    </row>
    <row r="797" spans="1:47">
      <c r="A797" t="str">
        <f>IF($AS797="","",INDEX('TMP Paste'!$B$2:$B$1601,$AS797))</f>
        <v/>
      </c>
      <c r="B797" t="str">
        <f>IF($AS797="","",Config!$B$14)</f>
        <v/>
      </c>
      <c r="C797" t="str">
        <f>IF($AS797="","",Config!$B$15)</f>
        <v/>
      </c>
      <c r="D797" t="str">
        <f>IF($AS797="","",INDEX('TMP Paste'!$B$2:$B$1601,$AS797))</f>
        <v/>
      </c>
      <c r="E797" t="str">
        <f>IF($AS797="","",Config!$B$27)</f>
        <v/>
      </c>
      <c r="F797" t="str">
        <f>IF($AS797="","",Config!$B$9)</f>
        <v/>
      </c>
      <c r="G797" t="str">
        <f>IF($AS797="","",Config!$B$10)</f>
        <v/>
      </c>
      <c r="H797" t="str">
        <f>IF($AS797="","",Config!$B$11)</f>
        <v/>
      </c>
      <c r="I797" t="str">
        <f>IF($AS797="","",Config!$B$16)</f>
        <v/>
      </c>
      <c r="J797" t="str">
        <f>IF($AS797="","",INDEX('TMP Paste'!$A$2:$A$1601,$AS797))</f>
        <v/>
      </c>
      <c r="K797" t="str">
        <f>IF($AS797="","",INDEX('TMP Paste'!$L$2:$L$1601,$AS797))</f>
        <v/>
      </c>
      <c r="L797" t="str">
        <f>IF($AS797="","",INDEX('TMP Paste'!$I$2:$I$1601,$AS797))</f>
        <v/>
      </c>
      <c r="M797" t="str">
        <f>IF($AS797="","",Config!$B$16)</f>
        <v/>
      </c>
      <c r="N797" t="str">
        <f t="shared" si="72"/>
        <v/>
      </c>
      <c r="O797" t="str">
        <f>IF($AS797="","",INDEX('TMP Paste'!$K$2:$K$1601,$AS797))</f>
        <v/>
      </c>
      <c r="P797" t="str">
        <f t="shared" si="73"/>
        <v/>
      </c>
      <c r="Q797" t="str">
        <f>IF($AS797="","",INDEX('TMP Paste'!$J$2:$J$1601,$AS797))</f>
        <v/>
      </c>
      <c r="R797" t="str">
        <f>IF($AS797="","",Config!$B$24)</f>
        <v/>
      </c>
      <c r="S797" t="str">
        <f ca="1">IF($AS797="","",TEXT(Config!$B$4,"yyyy-mm-dd"))</f>
        <v/>
      </c>
      <c r="T797" t="str">
        <f>IF($AS797="","",Config!$B$17)</f>
        <v/>
      </c>
      <c r="U797" t="str">
        <f>IF($AS797="","",Config!$B$18)</f>
        <v/>
      </c>
      <c r="V797" t="str">
        <f>IF($AS797="","",Config!$B$19)</f>
        <v/>
      </c>
      <c r="W797" t="str">
        <f>IF($AS797="","",INDEX('TMP Paste'!$C$2:$C$1601,$AS797))</f>
        <v/>
      </c>
      <c r="X797" t="str">
        <f>IF($AS797="","",Config!$B$29)</f>
        <v/>
      </c>
      <c r="Y797" t="str">
        <f>IF($AT797="","",INDEX(Calc!$I$2:$I$1601,$AT797)&amp;" - "&amp;INDEX(Calc!$D$2:$D$1601,$AT797)&amp;" koli")</f>
        <v/>
      </c>
      <c r="Z797" t="str">
        <f>IF($AS797="","",Config!$B$21)</f>
        <v/>
      </c>
      <c r="AA797" t="str">
        <f>IF($AS797="","",Config!$B$22)</f>
        <v/>
      </c>
      <c r="AB797" t="str">
        <f>IF($AT797="","",INDEX(Calc!$D$2:$D$1601,$AT797))</f>
        <v/>
      </c>
      <c r="AC797" t="str">
        <f>IF($AT797="","",INDEX(Calc!$G$2:$G$1601,$AT797))</f>
        <v/>
      </c>
      <c r="AD797" t="str">
        <f>IF($AS797="","",Config!$B$23)</f>
        <v/>
      </c>
      <c r="AE797" t="str">
        <f>IF($AS797="","",Config!$B$28)</f>
        <v/>
      </c>
      <c r="AF797" t="str">
        <f t="shared" si="74"/>
        <v/>
      </c>
      <c r="AG797" t="str">
        <f t="shared" si="75"/>
        <v/>
      </c>
      <c r="AH797" t="str">
        <f t="shared" si="76"/>
        <v/>
      </c>
      <c r="AI797" t="str">
        <f>IF($AG797="","",SUMIF($AG$2:$AG797,$AG797,$AH$2:$AH797))</f>
        <v/>
      </c>
      <c r="AJ797" t="str">
        <f>IF('TMP Paste'!$F797="","",IF('TMP Paste'!$B797="",$AJ796,'TMP Paste'!$B797))</f>
        <v/>
      </c>
      <c r="AK797" t="str">
        <f>IF('TMP Paste'!$F797="","",N('TMP Paste'!$G797))</f>
        <v/>
      </c>
      <c r="AL797" t="str">
        <f>IF('TMP Paste'!$F797="","",IF('TMP Paste'!$M797="",$AL796,'TMP Paste'!$M797))</f>
        <v/>
      </c>
      <c r="AM797" t="str">
        <f>IF('TMP Paste'!$F797="","",IF('TMP Paste'!$N797="",$AM796,'TMP Paste'!$N797))</f>
        <v/>
      </c>
      <c r="AN797" t="str">
        <f>IF('TMP Paste'!$F797="","",IF('TMP Paste'!$O797="",$AN796,'TMP Paste'!$O797))</f>
        <v/>
      </c>
      <c r="AO797" t="str">
        <f>IF('TMP Paste'!$F797="","",IF('TMP Paste'!$P797="",$AO796,'TMP Paste'!$P797))</f>
        <v/>
      </c>
      <c r="AP797" t="str">
        <f t="shared" si="77"/>
        <v/>
      </c>
      <c r="AQ797" t="str">
        <f>IF($AS797="","",TRIM(IF(COUNTIFS(Calc!$B$2:$B$1601,ROW()-1,Calc!$C$2:$C$1601,"&lt;1")&gt;0,"Ada PO tanpa Koli - cek TMP. ","")&amp;IF(OR($AU797="",$AU797&lt;=0),"Volume kosong/0 - dimensi dikosongkan. ","")&amp;IF(AND($AU797&lt;&gt;"",$AU797&gt;=1000000),"Volume &gt;= 1.000.000 cm3 (di luar aturan) - dimensi dikosongkan. ","")&amp;IF(LEN($R797)&gt;500,"R &gt; 500 karakter.","")))</f>
        <v/>
      </c>
      <c r="AS797" t="str">
        <f>IFERROR(MATCH(ROW()-1,Calc!$J$2:$J$1601,0),"")</f>
        <v/>
      </c>
      <c r="AT797" t="str">
        <f>IFERROR(MATCH(ROW()-1,Calc!$K$2:$K$1601,0),"")</f>
        <v/>
      </c>
      <c r="AU797" t="str">
        <f>IF($AS797="","",IFERROR(INDEX('TMP Paste'!$D$2:$D$1601,$AS797)*1000000/$AB797,""))</f>
        <v/>
      </c>
    </row>
    <row r="798" spans="1:47">
      <c r="A798" t="str">
        <f>IF($AS798="","",INDEX('TMP Paste'!$B$2:$B$1601,$AS798))</f>
        <v/>
      </c>
      <c r="B798" t="str">
        <f>IF($AS798="","",Config!$B$14)</f>
        <v/>
      </c>
      <c r="C798" t="str">
        <f>IF($AS798="","",Config!$B$15)</f>
        <v/>
      </c>
      <c r="D798" t="str">
        <f>IF($AS798="","",INDEX('TMP Paste'!$B$2:$B$1601,$AS798))</f>
        <v/>
      </c>
      <c r="E798" t="str">
        <f>IF($AS798="","",Config!$B$27)</f>
        <v/>
      </c>
      <c r="F798" t="str">
        <f>IF($AS798="","",Config!$B$9)</f>
        <v/>
      </c>
      <c r="G798" t="str">
        <f>IF($AS798="","",Config!$B$10)</f>
        <v/>
      </c>
      <c r="H798" t="str">
        <f>IF($AS798="","",Config!$B$11)</f>
        <v/>
      </c>
      <c r="I798" t="str">
        <f>IF($AS798="","",Config!$B$16)</f>
        <v/>
      </c>
      <c r="J798" t="str">
        <f>IF($AS798="","",INDEX('TMP Paste'!$A$2:$A$1601,$AS798))</f>
        <v/>
      </c>
      <c r="K798" t="str">
        <f>IF($AS798="","",INDEX('TMP Paste'!$L$2:$L$1601,$AS798))</f>
        <v/>
      </c>
      <c r="L798" t="str">
        <f>IF($AS798="","",INDEX('TMP Paste'!$I$2:$I$1601,$AS798))</f>
        <v/>
      </c>
      <c r="M798" t="str">
        <f>IF($AS798="","",Config!$B$16)</f>
        <v/>
      </c>
      <c r="N798" t="str">
        <f t="shared" si="72"/>
        <v/>
      </c>
      <c r="O798" t="str">
        <f>IF($AS798="","",INDEX('TMP Paste'!$K$2:$K$1601,$AS798))</f>
        <v/>
      </c>
      <c r="P798" t="str">
        <f t="shared" si="73"/>
        <v/>
      </c>
      <c r="Q798" t="str">
        <f>IF($AS798="","",INDEX('TMP Paste'!$J$2:$J$1601,$AS798))</f>
        <v/>
      </c>
      <c r="R798" t="str">
        <f>IF($AS798="","",Config!$B$24)</f>
        <v/>
      </c>
      <c r="S798" t="str">
        <f ca="1">IF($AS798="","",TEXT(Config!$B$4,"yyyy-mm-dd"))</f>
        <v/>
      </c>
      <c r="T798" t="str">
        <f>IF($AS798="","",Config!$B$17)</f>
        <v/>
      </c>
      <c r="U798" t="str">
        <f>IF($AS798="","",Config!$B$18)</f>
        <v/>
      </c>
      <c r="V798" t="str">
        <f>IF($AS798="","",Config!$B$19)</f>
        <v/>
      </c>
      <c r="W798" t="str">
        <f>IF($AS798="","",INDEX('TMP Paste'!$C$2:$C$1601,$AS798))</f>
        <v/>
      </c>
      <c r="X798" t="str">
        <f>IF($AS798="","",Config!$B$29)</f>
        <v/>
      </c>
      <c r="Y798" t="str">
        <f>IF($AT798="","",INDEX(Calc!$I$2:$I$1601,$AT798)&amp;" - "&amp;INDEX(Calc!$D$2:$D$1601,$AT798)&amp;" koli")</f>
        <v/>
      </c>
      <c r="Z798" t="str">
        <f>IF($AS798="","",Config!$B$21)</f>
        <v/>
      </c>
      <c r="AA798" t="str">
        <f>IF($AS798="","",Config!$B$22)</f>
        <v/>
      </c>
      <c r="AB798" t="str">
        <f>IF($AT798="","",INDEX(Calc!$D$2:$D$1601,$AT798))</f>
        <v/>
      </c>
      <c r="AC798" t="str">
        <f>IF($AT798="","",INDEX(Calc!$G$2:$G$1601,$AT798))</f>
        <v/>
      </c>
      <c r="AD798" t="str">
        <f>IF($AS798="","",Config!$B$23)</f>
        <v/>
      </c>
      <c r="AE798" t="str">
        <f>IF($AS798="","",Config!$B$28)</f>
        <v/>
      </c>
      <c r="AF798" t="str">
        <f t="shared" si="74"/>
        <v/>
      </c>
      <c r="AG798" t="str">
        <f t="shared" si="75"/>
        <v/>
      </c>
      <c r="AH798" t="str">
        <f t="shared" si="76"/>
        <v/>
      </c>
      <c r="AI798" t="str">
        <f>IF($AG798="","",SUMIF($AG$2:$AG798,$AG798,$AH$2:$AH798))</f>
        <v/>
      </c>
      <c r="AJ798" t="str">
        <f>IF('TMP Paste'!$F798="","",IF('TMP Paste'!$B798="",$AJ797,'TMP Paste'!$B798))</f>
        <v/>
      </c>
      <c r="AK798" t="str">
        <f>IF('TMP Paste'!$F798="","",N('TMP Paste'!$G798))</f>
        <v/>
      </c>
      <c r="AL798" t="str">
        <f>IF('TMP Paste'!$F798="","",IF('TMP Paste'!$M798="",$AL797,'TMP Paste'!$M798))</f>
        <v/>
      </c>
      <c r="AM798" t="str">
        <f>IF('TMP Paste'!$F798="","",IF('TMP Paste'!$N798="",$AM797,'TMP Paste'!$N798))</f>
        <v/>
      </c>
      <c r="AN798" t="str">
        <f>IF('TMP Paste'!$F798="","",IF('TMP Paste'!$O798="",$AN797,'TMP Paste'!$O798))</f>
        <v/>
      </c>
      <c r="AO798" t="str">
        <f>IF('TMP Paste'!$F798="","",IF('TMP Paste'!$P798="",$AO797,'TMP Paste'!$P798))</f>
        <v/>
      </c>
      <c r="AP798" t="str">
        <f t="shared" si="77"/>
        <v/>
      </c>
      <c r="AQ798" t="str">
        <f>IF($AS798="","",TRIM(IF(COUNTIFS(Calc!$B$2:$B$1601,ROW()-1,Calc!$C$2:$C$1601,"&lt;1")&gt;0,"Ada PO tanpa Koli - cek TMP. ","")&amp;IF(OR($AU798="",$AU798&lt;=0),"Volume kosong/0 - dimensi dikosongkan. ","")&amp;IF(AND($AU798&lt;&gt;"",$AU798&gt;=1000000),"Volume &gt;= 1.000.000 cm3 (di luar aturan) - dimensi dikosongkan. ","")&amp;IF(LEN($R798)&gt;500,"R &gt; 500 karakter.","")))</f>
        <v/>
      </c>
      <c r="AS798" t="str">
        <f>IFERROR(MATCH(ROW()-1,Calc!$J$2:$J$1601,0),"")</f>
        <v/>
      </c>
      <c r="AT798" t="str">
        <f>IFERROR(MATCH(ROW()-1,Calc!$K$2:$K$1601,0),"")</f>
        <v/>
      </c>
      <c r="AU798" t="str">
        <f>IF($AS798="","",IFERROR(INDEX('TMP Paste'!$D$2:$D$1601,$AS798)*1000000/$AB798,""))</f>
        <v/>
      </c>
    </row>
    <row r="799" spans="1:47">
      <c r="A799" t="str">
        <f>IF($AS799="","",INDEX('TMP Paste'!$B$2:$B$1601,$AS799))</f>
        <v/>
      </c>
      <c r="B799" t="str">
        <f>IF($AS799="","",Config!$B$14)</f>
        <v/>
      </c>
      <c r="C799" t="str">
        <f>IF($AS799="","",Config!$B$15)</f>
        <v/>
      </c>
      <c r="D799" t="str">
        <f>IF($AS799="","",INDEX('TMP Paste'!$B$2:$B$1601,$AS799))</f>
        <v/>
      </c>
      <c r="E799" t="str">
        <f>IF($AS799="","",Config!$B$27)</f>
        <v/>
      </c>
      <c r="F799" t="str">
        <f>IF($AS799="","",Config!$B$9)</f>
        <v/>
      </c>
      <c r="G799" t="str">
        <f>IF($AS799="","",Config!$B$10)</f>
        <v/>
      </c>
      <c r="H799" t="str">
        <f>IF($AS799="","",Config!$B$11)</f>
        <v/>
      </c>
      <c r="I799" t="str">
        <f>IF($AS799="","",Config!$B$16)</f>
        <v/>
      </c>
      <c r="J799" t="str">
        <f>IF($AS799="","",INDEX('TMP Paste'!$A$2:$A$1601,$AS799))</f>
        <v/>
      </c>
      <c r="K799" t="str">
        <f>IF($AS799="","",INDEX('TMP Paste'!$L$2:$L$1601,$AS799))</f>
        <v/>
      </c>
      <c r="L799" t="str">
        <f>IF($AS799="","",INDEX('TMP Paste'!$I$2:$I$1601,$AS799))</f>
        <v/>
      </c>
      <c r="M799" t="str">
        <f>IF($AS799="","",Config!$B$16)</f>
        <v/>
      </c>
      <c r="N799" t="str">
        <f t="shared" si="72"/>
        <v/>
      </c>
      <c r="O799" t="str">
        <f>IF($AS799="","",INDEX('TMP Paste'!$K$2:$K$1601,$AS799))</f>
        <v/>
      </c>
      <c r="P799" t="str">
        <f t="shared" si="73"/>
        <v/>
      </c>
      <c r="Q799" t="str">
        <f>IF($AS799="","",INDEX('TMP Paste'!$J$2:$J$1601,$AS799))</f>
        <v/>
      </c>
      <c r="R799" t="str">
        <f>IF($AS799="","",Config!$B$24)</f>
        <v/>
      </c>
      <c r="S799" t="str">
        <f ca="1">IF($AS799="","",TEXT(Config!$B$4,"yyyy-mm-dd"))</f>
        <v/>
      </c>
      <c r="T799" t="str">
        <f>IF($AS799="","",Config!$B$17)</f>
        <v/>
      </c>
      <c r="U799" t="str">
        <f>IF($AS799="","",Config!$B$18)</f>
        <v/>
      </c>
      <c r="V799" t="str">
        <f>IF($AS799="","",Config!$B$19)</f>
        <v/>
      </c>
      <c r="W799" t="str">
        <f>IF($AS799="","",INDEX('TMP Paste'!$C$2:$C$1601,$AS799))</f>
        <v/>
      </c>
      <c r="X799" t="str">
        <f>IF($AS799="","",Config!$B$29)</f>
        <v/>
      </c>
      <c r="Y799" t="str">
        <f>IF($AT799="","",INDEX(Calc!$I$2:$I$1601,$AT799)&amp;" - "&amp;INDEX(Calc!$D$2:$D$1601,$AT799)&amp;" koli")</f>
        <v/>
      </c>
      <c r="Z799" t="str">
        <f>IF($AS799="","",Config!$B$21)</f>
        <v/>
      </c>
      <c r="AA799" t="str">
        <f>IF($AS799="","",Config!$B$22)</f>
        <v/>
      </c>
      <c r="AB799" t="str">
        <f>IF($AT799="","",INDEX(Calc!$D$2:$D$1601,$AT799))</f>
        <v/>
      </c>
      <c r="AC799" t="str">
        <f>IF($AT799="","",INDEX(Calc!$G$2:$G$1601,$AT799))</f>
        <v/>
      </c>
      <c r="AD799" t="str">
        <f>IF($AS799="","",Config!$B$23)</f>
        <v/>
      </c>
      <c r="AE799" t="str">
        <f>IF($AS799="","",Config!$B$28)</f>
        <v/>
      </c>
      <c r="AF799" t="str">
        <f t="shared" si="74"/>
        <v/>
      </c>
      <c r="AG799" t="str">
        <f t="shared" si="75"/>
        <v/>
      </c>
      <c r="AH799" t="str">
        <f t="shared" si="76"/>
        <v/>
      </c>
      <c r="AI799" t="str">
        <f>IF($AG799="","",SUMIF($AG$2:$AG799,$AG799,$AH$2:$AH799))</f>
        <v/>
      </c>
      <c r="AJ799" t="str">
        <f>IF('TMP Paste'!$F799="","",IF('TMP Paste'!$B799="",$AJ798,'TMP Paste'!$B799))</f>
        <v/>
      </c>
      <c r="AK799" t="str">
        <f>IF('TMP Paste'!$F799="","",N('TMP Paste'!$G799))</f>
        <v/>
      </c>
      <c r="AL799" t="str">
        <f>IF('TMP Paste'!$F799="","",IF('TMP Paste'!$M799="",$AL798,'TMP Paste'!$M799))</f>
        <v/>
      </c>
      <c r="AM799" t="str">
        <f>IF('TMP Paste'!$F799="","",IF('TMP Paste'!$N799="",$AM798,'TMP Paste'!$N799))</f>
        <v/>
      </c>
      <c r="AN799" t="str">
        <f>IF('TMP Paste'!$F799="","",IF('TMP Paste'!$O799="",$AN798,'TMP Paste'!$O799))</f>
        <v/>
      </c>
      <c r="AO799" t="str">
        <f>IF('TMP Paste'!$F799="","",IF('TMP Paste'!$P799="",$AO798,'TMP Paste'!$P799))</f>
        <v/>
      </c>
      <c r="AP799" t="str">
        <f t="shared" si="77"/>
        <v/>
      </c>
      <c r="AQ799" t="str">
        <f>IF($AS799="","",TRIM(IF(COUNTIFS(Calc!$B$2:$B$1601,ROW()-1,Calc!$C$2:$C$1601,"&lt;1")&gt;0,"Ada PO tanpa Koli - cek TMP. ","")&amp;IF(OR($AU799="",$AU799&lt;=0),"Volume kosong/0 - dimensi dikosongkan. ","")&amp;IF(AND($AU799&lt;&gt;"",$AU799&gt;=1000000),"Volume &gt;= 1.000.000 cm3 (di luar aturan) - dimensi dikosongkan. ","")&amp;IF(LEN($R799)&gt;500,"R &gt; 500 karakter.","")))</f>
        <v/>
      </c>
      <c r="AS799" t="str">
        <f>IFERROR(MATCH(ROW()-1,Calc!$J$2:$J$1601,0),"")</f>
        <v/>
      </c>
      <c r="AT799" t="str">
        <f>IFERROR(MATCH(ROW()-1,Calc!$K$2:$K$1601,0),"")</f>
        <v/>
      </c>
      <c r="AU799" t="str">
        <f>IF($AS799="","",IFERROR(INDEX('TMP Paste'!$D$2:$D$1601,$AS799)*1000000/$AB799,""))</f>
        <v/>
      </c>
    </row>
    <row r="800" spans="1:47">
      <c r="A800" t="str">
        <f>IF($AS800="","",INDEX('TMP Paste'!$B$2:$B$1601,$AS800))</f>
        <v/>
      </c>
      <c r="B800" t="str">
        <f>IF($AS800="","",Config!$B$14)</f>
        <v/>
      </c>
      <c r="C800" t="str">
        <f>IF($AS800="","",Config!$B$15)</f>
        <v/>
      </c>
      <c r="D800" t="str">
        <f>IF($AS800="","",INDEX('TMP Paste'!$B$2:$B$1601,$AS800))</f>
        <v/>
      </c>
      <c r="E800" t="str">
        <f>IF($AS800="","",Config!$B$27)</f>
        <v/>
      </c>
      <c r="F800" t="str">
        <f>IF($AS800="","",Config!$B$9)</f>
        <v/>
      </c>
      <c r="G800" t="str">
        <f>IF($AS800="","",Config!$B$10)</f>
        <v/>
      </c>
      <c r="H800" t="str">
        <f>IF($AS800="","",Config!$B$11)</f>
        <v/>
      </c>
      <c r="I800" t="str">
        <f>IF($AS800="","",Config!$B$16)</f>
        <v/>
      </c>
      <c r="J800" t="str">
        <f>IF($AS800="","",INDEX('TMP Paste'!$A$2:$A$1601,$AS800))</f>
        <v/>
      </c>
      <c r="K800" t="str">
        <f>IF($AS800="","",INDEX('TMP Paste'!$L$2:$L$1601,$AS800))</f>
        <v/>
      </c>
      <c r="L800" t="str">
        <f>IF($AS800="","",INDEX('TMP Paste'!$I$2:$I$1601,$AS800))</f>
        <v/>
      </c>
      <c r="M800" t="str">
        <f>IF($AS800="","",Config!$B$16)</f>
        <v/>
      </c>
      <c r="N800" t="str">
        <f t="shared" si="72"/>
        <v/>
      </c>
      <c r="O800" t="str">
        <f>IF($AS800="","",INDEX('TMP Paste'!$K$2:$K$1601,$AS800))</f>
        <v/>
      </c>
      <c r="P800" t="str">
        <f t="shared" si="73"/>
        <v/>
      </c>
      <c r="Q800" t="str">
        <f>IF($AS800="","",INDEX('TMP Paste'!$J$2:$J$1601,$AS800))</f>
        <v/>
      </c>
      <c r="R800" t="str">
        <f>IF($AS800="","",Config!$B$24)</f>
        <v/>
      </c>
      <c r="S800" t="str">
        <f ca="1">IF($AS800="","",TEXT(Config!$B$4,"yyyy-mm-dd"))</f>
        <v/>
      </c>
      <c r="T800" t="str">
        <f>IF($AS800="","",Config!$B$17)</f>
        <v/>
      </c>
      <c r="U800" t="str">
        <f>IF($AS800="","",Config!$B$18)</f>
        <v/>
      </c>
      <c r="V800" t="str">
        <f>IF($AS800="","",Config!$B$19)</f>
        <v/>
      </c>
      <c r="W800" t="str">
        <f>IF($AS800="","",INDEX('TMP Paste'!$C$2:$C$1601,$AS800))</f>
        <v/>
      </c>
      <c r="X800" t="str">
        <f>IF($AS800="","",Config!$B$29)</f>
        <v/>
      </c>
      <c r="Y800" t="str">
        <f>IF($AT800="","",INDEX(Calc!$I$2:$I$1601,$AT800)&amp;" - "&amp;INDEX(Calc!$D$2:$D$1601,$AT800)&amp;" koli")</f>
        <v/>
      </c>
      <c r="Z800" t="str">
        <f>IF($AS800="","",Config!$B$21)</f>
        <v/>
      </c>
      <c r="AA800" t="str">
        <f>IF($AS800="","",Config!$B$22)</f>
        <v/>
      </c>
      <c r="AB800" t="str">
        <f>IF($AT800="","",INDEX(Calc!$D$2:$D$1601,$AT800))</f>
        <v/>
      </c>
      <c r="AC800" t="str">
        <f>IF($AT800="","",INDEX(Calc!$G$2:$G$1601,$AT800))</f>
        <v/>
      </c>
      <c r="AD800" t="str">
        <f>IF($AS800="","",Config!$B$23)</f>
        <v/>
      </c>
      <c r="AE800" t="str">
        <f>IF($AS800="","",Config!$B$28)</f>
        <v/>
      </c>
      <c r="AF800" t="str">
        <f t="shared" si="74"/>
        <v/>
      </c>
      <c r="AG800" t="str">
        <f t="shared" si="75"/>
        <v/>
      </c>
      <c r="AH800" t="str">
        <f t="shared" si="76"/>
        <v/>
      </c>
      <c r="AI800" t="str">
        <f>IF($AG800="","",SUMIF($AG$2:$AG800,$AG800,$AH$2:$AH800))</f>
        <v/>
      </c>
      <c r="AJ800" t="str">
        <f>IF('TMP Paste'!$F800="","",IF('TMP Paste'!$B800="",$AJ799,'TMP Paste'!$B800))</f>
        <v/>
      </c>
      <c r="AK800" t="str">
        <f>IF('TMP Paste'!$F800="","",N('TMP Paste'!$G800))</f>
        <v/>
      </c>
      <c r="AL800" t="str">
        <f>IF('TMP Paste'!$F800="","",IF('TMP Paste'!$M800="",$AL799,'TMP Paste'!$M800))</f>
        <v/>
      </c>
      <c r="AM800" t="str">
        <f>IF('TMP Paste'!$F800="","",IF('TMP Paste'!$N800="",$AM799,'TMP Paste'!$N800))</f>
        <v/>
      </c>
      <c r="AN800" t="str">
        <f>IF('TMP Paste'!$F800="","",IF('TMP Paste'!$O800="",$AN799,'TMP Paste'!$O800))</f>
        <v/>
      </c>
      <c r="AO800" t="str">
        <f>IF('TMP Paste'!$F800="","",IF('TMP Paste'!$P800="",$AO799,'TMP Paste'!$P800))</f>
        <v/>
      </c>
      <c r="AP800" t="str">
        <f t="shared" si="77"/>
        <v/>
      </c>
      <c r="AQ800" t="str">
        <f>IF($AS800="","",TRIM(IF(COUNTIFS(Calc!$B$2:$B$1601,ROW()-1,Calc!$C$2:$C$1601,"&lt;1")&gt;0,"Ada PO tanpa Koli - cek TMP. ","")&amp;IF(OR($AU800="",$AU800&lt;=0),"Volume kosong/0 - dimensi dikosongkan. ","")&amp;IF(AND($AU800&lt;&gt;"",$AU800&gt;=1000000),"Volume &gt;= 1.000.000 cm3 (di luar aturan) - dimensi dikosongkan. ","")&amp;IF(LEN($R800)&gt;500,"R &gt; 500 karakter.","")))</f>
        <v/>
      </c>
      <c r="AS800" t="str">
        <f>IFERROR(MATCH(ROW()-1,Calc!$J$2:$J$1601,0),"")</f>
        <v/>
      </c>
      <c r="AT800" t="str">
        <f>IFERROR(MATCH(ROW()-1,Calc!$K$2:$K$1601,0),"")</f>
        <v/>
      </c>
      <c r="AU800" t="str">
        <f>IF($AS800="","",IFERROR(INDEX('TMP Paste'!$D$2:$D$1601,$AS800)*1000000/$AB800,""))</f>
        <v/>
      </c>
    </row>
    <row r="801" spans="1:47">
      <c r="A801" t="str">
        <f>IF($AS801="","",INDEX('TMP Paste'!$B$2:$B$1601,$AS801))</f>
        <v/>
      </c>
      <c r="B801" t="str">
        <f>IF($AS801="","",Config!$B$14)</f>
        <v/>
      </c>
      <c r="C801" t="str">
        <f>IF($AS801="","",Config!$B$15)</f>
        <v/>
      </c>
      <c r="D801" t="str">
        <f>IF($AS801="","",INDEX('TMP Paste'!$B$2:$B$1601,$AS801))</f>
        <v/>
      </c>
      <c r="E801" t="str">
        <f>IF($AS801="","",Config!$B$27)</f>
        <v/>
      </c>
      <c r="F801" t="str">
        <f>IF($AS801="","",Config!$B$9)</f>
        <v/>
      </c>
      <c r="G801" t="str">
        <f>IF($AS801="","",Config!$B$10)</f>
        <v/>
      </c>
      <c r="H801" t="str">
        <f>IF($AS801="","",Config!$B$11)</f>
        <v/>
      </c>
      <c r="I801" t="str">
        <f>IF($AS801="","",Config!$B$16)</f>
        <v/>
      </c>
      <c r="J801" t="str">
        <f>IF($AS801="","",INDEX('TMP Paste'!$A$2:$A$1601,$AS801))</f>
        <v/>
      </c>
      <c r="K801" t="str">
        <f>IF($AS801="","",INDEX('TMP Paste'!$L$2:$L$1601,$AS801))</f>
        <v/>
      </c>
      <c r="L801" t="str">
        <f>IF($AS801="","",INDEX('TMP Paste'!$I$2:$I$1601,$AS801))</f>
        <v/>
      </c>
      <c r="M801" t="str">
        <f>IF($AS801="","",Config!$B$16)</f>
        <v/>
      </c>
      <c r="N801" t="str">
        <f t="shared" si="72"/>
        <v/>
      </c>
      <c r="O801" t="str">
        <f>IF($AS801="","",INDEX('TMP Paste'!$K$2:$K$1601,$AS801))</f>
        <v/>
      </c>
      <c r="P801" t="str">
        <f t="shared" si="73"/>
        <v/>
      </c>
      <c r="Q801" t="str">
        <f>IF($AS801="","",INDEX('TMP Paste'!$J$2:$J$1601,$AS801))</f>
        <v/>
      </c>
      <c r="R801" t="str">
        <f>IF($AS801="","",Config!$B$24)</f>
        <v/>
      </c>
      <c r="S801" t="str">
        <f ca="1">IF($AS801="","",TEXT(Config!$B$4,"yyyy-mm-dd"))</f>
        <v/>
      </c>
      <c r="T801" t="str">
        <f>IF($AS801="","",Config!$B$17)</f>
        <v/>
      </c>
      <c r="U801" t="str">
        <f>IF($AS801="","",Config!$B$18)</f>
        <v/>
      </c>
      <c r="V801" t="str">
        <f>IF($AS801="","",Config!$B$19)</f>
        <v/>
      </c>
      <c r="W801" t="str">
        <f>IF($AS801="","",INDEX('TMP Paste'!$C$2:$C$1601,$AS801))</f>
        <v/>
      </c>
      <c r="X801" t="str">
        <f>IF($AS801="","",Config!$B$29)</f>
        <v/>
      </c>
      <c r="Y801" t="str">
        <f>IF($AT801="","",INDEX(Calc!$I$2:$I$1601,$AT801)&amp;" - "&amp;INDEX(Calc!$D$2:$D$1601,$AT801)&amp;" koli")</f>
        <v/>
      </c>
      <c r="Z801" t="str">
        <f>IF($AS801="","",Config!$B$21)</f>
        <v/>
      </c>
      <c r="AA801" t="str">
        <f>IF($AS801="","",Config!$B$22)</f>
        <v/>
      </c>
      <c r="AB801" t="str">
        <f>IF($AT801="","",INDEX(Calc!$D$2:$D$1601,$AT801))</f>
        <v/>
      </c>
      <c r="AC801" t="str">
        <f>IF($AT801="","",INDEX(Calc!$G$2:$G$1601,$AT801))</f>
        <v/>
      </c>
      <c r="AD801" t="str">
        <f>IF($AS801="","",Config!$B$23)</f>
        <v/>
      </c>
      <c r="AE801" t="str">
        <f>IF($AS801="","",Config!$B$28)</f>
        <v/>
      </c>
      <c r="AF801" t="str">
        <f t="shared" si="74"/>
        <v/>
      </c>
      <c r="AG801" t="str">
        <f t="shared" si="75"/>
        <v/>
      </c>
      <c r="AH801" t="str">
        <f t="shared" si="76"/>
        <v/>
      </c>
      <c r="AI801" t="str">
        <f>IF($AG801="","",SUMIF($AG$2:$AG801,$AG801,$AH$2:$AH801))</f>
        <v/>
      </c>
      <c r="AJ801" t="str">
        <f>IF('TMP Paste'!$F801="","",IF('TMP Paste'!$B801="",$AJ800,'TMP Paste'!$B801))</f>
        <v/>
      </c>
      <c r="AK801" t="str">
        <f>IF('TMP Paste'!$F801="","",N('TMP Paste'!$G801))</f>
        <v/>
      </c>
      <c r="AL801" t="str">
        <f>IF('TMP Paste'!$F801="","",IF('TMP Paste'!$M801="",$AL800,'TMP Paste'!$M801))</f>
        <v/>
      </c>
      <c r="AM801" t="str">
        <f>IF('TMP Paste'!$F801="","",IF('TMP Paste'!$N801="",$AM800,'TMP Paste'!$N801))</f>
        <v/>
      </c>
      <c r="AN801" t="str">
        <f>IF('TMP Paste'!$F801="","",IF('TMP Paste'!$O801="",$AN800,'TMP Paste'!$O801))</f>
        <v/>
      </c>
      <c r="AO801" t="str">
        <f>IF('TMP Paste'!$F801="","",IF('TMP Paste'!$P801="",$AO800,'TMP Paste'!$P801))</f>
        <v/>
      </c>
      <c r="AP801" t="str">
        <f t="shared" si="77"/>
        <v/>
      </c>
      <c r="AQ801" t="str">
        <f>IF($AS801="","",TRIM(IF(COUNTIFS(Calc!$B$2:$B$1601,ROW()-1,Calc!$C$2:$C$1601,"&lt;1")&gt;0,"Ada PO tanpa Koli - cek TMP. ","")&amp;IF(OR($AU801="",$AU801&lt;=0),"Volume kosong/0 - dimensi dikosongkan. ","")&amp;IF(AND($AU801&lt;&gt;"",$AU801&gt;=1000000),"Volume &gt;= 1.000.000 cm3 (di luar aturan) - dimensi dikosongkan. ","")&amp;IF(LEN($R801)&gt;500,"R &gt; 500 karakter.","")))</f>
        <v/>
      </c>
      <c r="AS801" t="str">
        <f>IFERROR(MATCH(ROW()-1,Calc!$J$2:$J$1601,0),"")</f>
        <v/>
      </c>
      <c r="AT801" t="str">
        <f>IFERROR(MATCH(ROW()-1,Calc!$K$2:$K$1601,0),"")</f>
        <v/>
      </c>
      <c r="AU801" t="str">
        <f>IF($AS801="","",IFERROR(INDEX('TMP Paste'!$D$2:$D$1601,$AS801)*1000000/$AB801,""))</f>
        <v/>
      </c>
    </row>
    <row r="802" spans="1:47">
      <c r="A802" t="str">
        <f>IF($AS802="","",INDEX('TMP Paste'!$B$2:$B$1601,$AS802))</f>
        <v/>
      </c>
      <c r="B802" t="str">
        <f>IF($AS802="","",Config!$B$14)</f>
        <v/>
      </c>
      <c r="C802" t="str">
        <f>IF($AS802="","",Config!$B$15)</f>
        <v/>
      </c>
      <c r="D802" t="str">
        <f>IF($AS802="","",INDEX('TMP Paste'!$B$2:$B$1601,$AS802))</f>
        <v/>
      </c>
      <c r="E802" t="str">
        <f>IF($AS802="","",Config!$B$27)</f>
        <v/>
      </c>
      <c r="F802" t="str">
        <f>IF($AS802="","",Config!$B$9)</f>
        <v/>
      </c>
      <c r="G802" t="str">
        <f>IF($AS802="","",Config!$B$10)</f>
        <v/>
      </c>
      <c r="H802" t="str">
        <f>IF($AS802="","",Config!$B$11)</f>
        <v/>
      </c>
      <c r="I802" t="str">
        <f>IF($AS802="","",Config!$B$16)</f>
        <v/>
      </c>
      <c r="J802" t="str">
        <f>IF($AS802="","",INDEX('TMP Paste'!$A$2:$A$1601,$AS802))</f>
        <v/>
      </c>
      <c r="K802" t="str">
        <f>IF($AS802="","",INDEX('TMP Paste'!$L$2:$L$1601,$AS802))</f>
        <v/>
      </c>
      <c r="L802" t="str">
        <f>IF($AS802="","",INDEX('TMP Paste'!$I$2:$I$1601,$AS802))</f>
        <v/>
      </c>
      <c r="M802" t="str">
        <f>IF($AS802="","",Config!$B$16)</f>
        <v/>
      </c>
      <c r="N802" t="str">
        <f t="shared" si="72"/>
        <v/>
      </c>
      <c r="O802" t="str">
        <f>IF($AS802="","",INDEX('TMP Paste'!$K$2:$K$1601,$AS802))</f>
        <v/>
      </c>
      <c r="P802" t="str">
        <f t="shared" si="73"/>
        <v/>
      </c>
      <c r="Q802" t="str">
        <f>IF($AS802="","",INDEX('TMP Paste'!$J$2:$J$1601,$AS802))</f>
        <v/>
      </c>
      <c r="R802" t="str">
        <f>IF($AS802="","",Config!$B$24)</f>
        <v/>
      </c>
      <c r="S802" t="str">
        <f ca="1">IF($AS802="","",TEXT(Config!$B$4,"yyyy-mm-dd"))</f>
        <v/>
      </c>
      <c r="T802" t="str">
        <f>IF($AS802="","",Config!$B$17)</f>
        <v/>
      </c>
      <c r="U802" t="str">
        <f>IF($AS802="","",Config!$B$18)</f>
        <v/>
      </c>
      <c r="V802" t="str">
        <f>IF($AS802="","",Config!$B$19)</f>
        <v/>
      </c>
      <c r="W802" t="str">
        <f>IF($AS802="","",INDEX('TMP Paste'!$C$2:$C$1601,$AS802))</f>
        <v/>
      </c>
      <c r="X802" t="str">
        <f>IF($AS802="","",Config!$B$29)</f>
        <v/>
      </c>
      <c r="Y802" t="str">
        <f>IF($AT802="","",INDEX(Calc!$I$2:$I$1601,$AT802)&amp;" - "&amp;INDEX(Calc!$D$2:$D$1601,$AT802)&amp;" koli")</f>
        <v/>
      </c>
      <c r="Z802" t="str">
        <f>IF($AS802="","",Config!$B$21)</f>
        <v/>
      </c>
      <c r="AA802" t="str">
        <f>IF($AS802="","",Config!$B$22)</f>
        <v/>
      </c>
      <c r="AB802" t="str">
        <f>IF($AT802="","",INDEX(Calc!$D$2:$D$1601,$AT802))</f>
        <v/>
      </c>
      <c r="AC802" t="str">
        <f>IF($AT802="","",INDEX(Calc!$G$2:$G$1601,$AT802))</f>
        <v/>
      </c>
      <c r="AD802" t="str">
        <f>IF($AS802="","",Config!$B$23)</f>
        <v/>
      </c>
      <c r="AE802" t="str">
        <f>IF($AS802="","",Config!$B$28)</f>
        <v/>
      </c>
      <c r="AF802" t="str">
        <f t="shared" si="74"/>
        <v/>
      </c>
      <c r="AG802" t="str">
        <f t="shared" si="75"/>
        <v/>
      </c>
      <c r="AH802" t="str">
        <f t="shared" si="76"/>
        <v/>
      </c>
      <c r="AI802" t="str">
        <f>IF($AG802="","",SUMIF($AG$2:$AG802,$AG802,$AH$2:$AH802))</f>
        <v/>
      </c>
      <c r="AJ802" t="str">
        <f>IF('TMP Paste'!$F802="","",IF('TMP Paste'!$B802="",$AJ801,'TMP Paste'!$B802))</f>
        <v/>
      </c>
      <c r="AK802" t="str">
        <f>IF('TMP Paste'!$F802="","",N('TMP Paste'!$G802))</f>
        <v/>
      </c>
      <c r="AL802" t="str">
        <f>IF('TMP Paste'!$F802="","",IF('TMP Paste'!$M802="",$AL801,'TMP Paste'!$M802))</f>
        <v/>
      </c>
      <c r="AM802" t="str">
        <f>IF('TMP Paste'!$F802="","",IF('TMP Paste'!$N802="",$AM801,'TMP Paste'!$N802))</f>
        <v/>
      </c>
      <c r="AN802" t="str">
        <f>IF('TMP Paste'!$F802="","",IF('TMP Paste'!$O802="",$AN801,'TMP Paste'!$O802))</f>
        <v/>
      </c>
      <c r="AO802" t="str">
        <f>IF('TMP Paste'!$F802="","",IF('TMP Paste'!$P802="",$AO801,'TMP Paste'!$P802))</f>
        <v/>
      </c>
      <c r="AP802" t="str">
        <f t="shared" si="77"/>
        <v/>
      </c>
      <c r="AQ802" t="str">
        <f>IF($AS802="","",TRIM(IF(COUNTIFS(Calc!$B$2:$B$1601,ROW()-1,Calc!$C$2:$C$1601,"&lt;1")&gt;0,"Ada PO tanpa Koli - cek TMP. ","")&amp;IF(OR($AU802="",$AU802&lt;=0),"Volume kosong/0 - dimensi dikosongkan. ","")&amp;IF(AND($AU802&lt;&gt;"",$AU802&gt;=1000000),"Volume &gt;= 1.000.000 cm3 (di luar aturan) - dimensi dikosongkan. ","")&amp;IF(LEN($R802)&gt;500,"R &gt; 500 karakter.","")))</f>
        <v/>
      </c>
      <c r="AS802" t="str">
        <f>IFERROR(MATCH(ROW()-1,Calc!$J$2:$J$1601,0),"")</f>
        <v/>
      </c>
      <c r="AT802" t="str">
        <f>IFERROR(MATCH(ROW()-1,Calc!$K$2:$K$1601,0),"")</f>
        <v/>
      </c>
      <c r="AU802" t="str">
        <f>IF($AS802="","",IFERROR(INDEX('TMP Paste'!$D$2:$D$1601,$AS802)*1000000/$AB802,""))</f>
        <v/>
      </c>
    </row>
    <row r="803" spans="1:47">
      <c r="A803" t="str">
        <f>IF($AS803="","",INDEX('TMP Paste'!$B$2:$B$1601,$AS803))</f>
        <v/>
      </c>
      <c r="B803" t="str">
        <f>IF($AS803="","",Config!$B$14)</f>
        <v/>
      </c>
      <c r="C803" t="str">
        <f>IF($AS803="","",Config!$B$15)</f>
        <v/>
      </c>
      <c r="D803" t="str">
        <f>IF($AS803="","",INDEX('TMP Paste'!$B$2:$B$1601,$AS803))</f>
        <v/>
      </c>
      <c r="E803" t="str">
        <f>IF($AS803="","",Config!$B$27)</f>
        <v/>
      </c>
      <c r="F803" t="str">
        <f>IF($AS803="","",Config!$B$9)</f>
        <v/>
      </c>
      <c r="G803" t="str">
        <f>IF($AS803="","",Config!$B$10)</f>
        <v/>
      </c>
      <c r="H803" t="str">
        <f>IF($AS803="","",Config!$B$11)</f>
        <v/>
      </c>
      <c r="I803" t="str">
        <f>IF($AS803="","",Config!$B$16)</f>
        <v/>
      </c>
      <c r="J803" t="str">
        <f>IF($AS803="","",INDEX('TMP Paste'!$A$2:$A$1601,$AS803))</f>
        <v/>
      </c>
      <c r="K803" t="str">
        <f>IF($AS803="","",INDEX('TMP Paste'!$L$2:$L$1601,$AS803))</f>
        <v/>
      </c>
      <c r="L803" t="str">
        <f>IF($AS803="","",INDEX('TMP Paste'!$I$2:$I$1601,$AS803))</f>
        <v/>
      </c>
      <c r="M803" t="str">
        <f>IF($AS803="","",Config!$B$16)</f>
        <v/>
      </c>
      <c r="N803" t="str">
        <f t="shared" si="72"/>
        <v/>
      </c>
      <c r="O803" t="str">
        <f>IF($AS803="","",INDEX('TMP Paste'!$K$2:$K$1601,$AS803))</f>
        <v/>
      </c>
      <c r="P803" t="str">
        <f t="shared" si="73"/>
        <v/>
      </c>
      <c r="Q803" t="str">
        <f>IF($AS803="","",INDEX('TMP Paste'!$J$2:$J$1601,$AS803))</f>
        <v/>
      </c>
      <c r="R803" t="str">
        <f>IF($AS803="","",Config!$B$24)</f>
        <v/>
      </c>
      <c r="S803" t="str">
        <f ca="1">IF($AS803="","",TEXT(Config!$B$4,"yyyy-mm-dd"))</f>
        <v/>
      </c>
      <c r="T803" t="str">
        <f>IF($AS803="","",Config!$B$17)</f>
        <v/>
      </c>
      <c r="U803" t="str">
        <f>IF($AS803="","",Config!$B$18)</f>
        <v/>
      </c>
      <c r="V803" t="str">
        <f>IF($AS803="","",Config!$B$19)</f>
        <v/>
      </c>
      <c r="W803" t="str">
        <f>IF($AS803="","",INDEX('TMP Paste'!$C$2:$C$1601,$AS803))</f>
        <v/>
      </c>
      <c r="X803" t="str">
        <f>IF($AS803="","",Config!$B$29)</f>
        <v/>
      </c>
      <c r="Y803" t="str">
        <f>IF($AT803="","",INDEX(Calc!$I$2:$I$1601,$AT803)&amp;" - "&amp;INDEX(Calc!$D$2:$D$1601,$AT803)&amp;" koli")</f>
        <v/>
      </c>
      <c r="Z803" t="str">
        <f>IF($AS803="","",Config!$B$21)</f>
        <v/>
      </c>
      <c r="AA803" t="str">
        <f>IF($AS803="","",Config!$B$22)</f>
        <v/>
      </c>
      <c r="AB803" t="str">
        <f>IF($AT803="","",INDEX(Calc!$D$2:$D$1601,$AT803))</f>
        <v/>
      </c>
      <c r="AC803" t="str">
        <f>IF($AT803="","",INDEX(Calc!$G$2:$G$1601,$AT803))</f>
        <v/>
      </c>
      <c r="AD803" t="str">
        <f>IF($AS803="","",Config!$B$23)</f>
        <v/>
      </c>
      <c r="AE803" t="str">
        <f>IF($AS803="","",Config!$B$28)</f>
        <v/>
      </c>
      <c r="AF803" t="str">
        <f t="shared" si="74"/>
        <v/>
      </c>
      <c r="AG803" t="str">
        <f t="shared" si="75"/>
        <v/>
      </c>
      <c r="AH803" t="str">
        <f t="shared" si="76"/>
        <v/>
      </c>
      <c r="AI803" t="str">
        <f>IF($AG803="","",SUMIF($AG$2:$AG803,$AG803,$AH$2:$AH803))</f>
        <v/>
      </c>
      <c r="AJ803" t="str">
        <f>IF('TMP Paste'!$F803="","",IF('TMP Paste'!$B803="",$AJ802,'TMP Paste'!$B803))</f>
        <v/>
      </c>
      <c r="AK803" t="str">
        <f>IF('TMP Paste'!$F803="","",N('TMP Paste'!$G803))</f>
        <v/>
      </c>
      <c r="AL803" t="str">
        <f>IF('TMP Paste'!$F803="","",IF('TMP Paste'!$M803="",$AL802,'TMP Paste'!$M803))</f>
        <v/>
      </c>
      <c r="AM803" t="str">
        <f>IF('TMP Paste'!$F803="","",IF('TMP Paste'!$N803="",$AM802,'TMP Paste'!$N803))</f>
        <v/>
      </c>
      <c r="AN803" t="str">
        <f>IF('TMP Paste'!$F803="","",IF('TMP Paste'!$O803="",$AN802,'TMP Paste'!$O803))</f>
        <v/>
      </c>
      <c r="AO803" t="str">
        <f>IF('TMP Paste'!$F803="","",IF('TMP Paste'!$P803="",$AO802,'TMP Paste'!$P803))</f>
        <v/>
      </c>
      <c r="AP803" t="str">
        <f t="shared" si="77"/>
        <v/>
      </c>
      <c r="AQ803" t="str">
        <f>IF($AS803="","",TRIM(IF(COUNTIFS(Calc!$B$2:$B$1601,ROW()-1,Calc!$C$2:$C$1601,"&lt;1")&gt;0,"Ada PO tanpa Koli - cek TMP. ","")&amp;IF(OR($AU803="",$AU803&lt;=0),"Volume kosong/0 - dimensi dikosongkan. ","")&amp;IF(AND($AU803&lt;&gt;"",$AU803&gt;=1000000),"Volume &gt;= 1.000.000 cm3 (di luar aturan) - dimensi dikosongkan. ","")&amp;IF(LEN($R803)&gt;500,"R &gt; 500 karakter.","")))</f>
        <v/>
      </c>
      <c r="AS803" t="str">
        <f>IFERROR(MATCH(ROW()-1,Calc!$J$2:$J$1601,0),"")</f>
        <v/>
      </c>
      <c r="AT803" t="str">
        <f>IFERROR(MATCH(ROW()-1,Calc!$K$2:$K$1601,0),"")</f>
        <v/>
      </c>
      <c r="AU803" t="str">
        <f>IF($AS803="","",IFERROR(INDEX('TMP Paste'!$D$2:$D$1601,$AS803)*1000000/$AB803,""))</f>
        <v/>
      </c>
    </row>
    <row r="804" spans="1:47">
      <c r="A804" t="str">
        <f>IF($AS804="","",INDEX('TMP Paste'!$B$2:$B$1601,$AS804))</f>
        <v/>
      </c>
      <c r="B804" t="str">
        <f>IF($AS804="","",Config!$B$14)</f>
        <v/>
      </c>
      <c r="C804" t="str">
        <f>IF($AS804="","",Config!$B$15)</f>
        <v/>
      </c>
      <c r="D804" t="str">
        <f>IF($AS804="","",INDEX('TMP Paste'!$B$2:$B$1601,$AS804))</f>
        <v/>
      </c>
      <c r="E804" t="str">
        <f>IF($AS804="","",Config!$B$27)</f>
        <v/>
      </c>
      <c r="F804" t="str">
        <f>IF($AS804="","",Config!$B$9)</f>
        <v/>
      </c>
      <c r="G804" t="str">
        <f>IF($AS804="","",Config!$B$10)</f>
        <v/>
      </c>
      <c r="H804" t="str">
        <f>IF($AS804="","",Config!$B$11)</f>
        <v/>
      </c>
      <c r="I804" t="str">
        <f>IF($AS804="","",Config!$B$16)</f>
        <v/>
      </c>
      <c r="J804" t="str">
        <f>IF($AS804="","",INDEX('TMP Paste'!$A$2:$A$1601,$AS804))</f>
        <v/>
      </c>
      <c r="K804" t="str">
        <f>IF($AS804="","",INDEX('TMP Paste'!$L$2:$L$1601,$AS804))</f>
        <v/>
      </c>
      <c r="L804" t="str">
        <f>IF($AS804="","",INDEX('TMP Paste'!$I$2:$I$1601,$AS804))</f>
        <v/>
      </c>
      <c r="M804" t="str">
        <f>IF($AS804="","",Config!$B$16)</f>
        <v/>
      </c>
      <c r="N804" t="str">
        <f t="shared" si="72"/>
        <v/>
      </c>
      <c r="O804" t="str">
        <f>IF($AS804="","",INDEX('TMP Paste'!$K$2:$K$1601,$AS804))</f>
        <v/>
      </c>
      <c r="P804" t="str">
        <f t="shared" si="73"/>
        <v/>
      </c>
      <c r="Q804" t="str">
        <f>IF($AS804="","",INDEX('TMP Paste'!$J$2:$J$1601,$AS804))</f>
        <v/>
      </c>
      <c r="R804" t="str">
        <f>IF($AS804="","",Config!$B$24)</f>
        <v/>
      </c>
      <c r="S804" t="str">
        <f ca="1">IF($AS804="","",TEXT(Config!$B$4,"yyyy-mm-dd"))</f>
        <v/>
      </c>
      <c r="T804" t="str">
        <f>IF($AS804="","",Config!$B$17)</f>
        <v/>
      </c>
      <c r="U804" t="str">
        <f>IF($AS804="","",Config!$B$18)</f>
        <v/>
      </c>
      <c r="V804" t="str">
        <f>IF($AS804="","",Config!$B$19)</f>
        <v/>
      </c>
      <c r="W804" t="str">
        <f>IF($AS804="","",INDEX('TMP Paste'!$C$2:$C$1601,$AS804))</f>
        <v/>
      </c>
      <c r="X804" t="str">
        <f>IF($AS804="","",Config!$B$29)</f>
        <v/>
      </c>
      <c r="Y804" t="str">
        <f>IF($AT804="","",INDEX(Calc!$I$2:$I$1601,$AT804)&amp;" - "&amp;INDEX(Calc!$D$2:$D$1601,$AT804)&amp;" koli")</f>
        <v/>
      </c>
      <c r="Z804" t="str">
        <f>IF($AS804="","",Config!$B$21)</f>
        <v/>
      </c>
      <c r="AA804" t="str">
        <f>IF($AS804="","",Config!$B$22)</f>
        <v/>
      </c>
      <c r="AB804" t="str">
        <f>IF($AT804="","",INDEX(Calc!$D$2:$D$1601,$AT804))</f>
        <v/>
      </c>
      <c r="AC804" t="str">
        <f>IF($AT804="","",INDEX(Calc!$G$2:$G$1601,$AT804))</f>
        <v/>
      </c>
      <c r="AD804" t="str">
        <f>IF($AS804="","",Config!$B$23)</f>
        <v/>
      </c>
      <c r="AE804" t="str">
        <f>IF($AS804="","",Config!$B$28)</f>
        <v/>
      </c>
      <c r="AF804" t="str">
        <f t="shared" si="74"/>
        <v/>
      </c>
      <c r="AG804" t="str">
        <f t="shared" si="75"/>
        <v/>
      </c>
      <c r="AH804" t="str">
        <f t="shared" si="76"/>
        <v/>
      </c>
      <c r="AI804" t="str">
        <f>IF($AG804="","",SUMIF($AG$2:$AG804,$AG804,$AH$2:$AH804))</f>
        <v/>
      </c>
      <c r="AJ804" t="str">
        <f>IF('TMP Paste'!$F804="","",IF('TMP Paste'!$B804="",$AJ803,'TMP Paste'!$B804))</f>
        <v/>
      </c>
      <c r="AK804" t="str">
        <f>IF('TMP Paste'!$F804="","",N('TMP Paste'!$G804))</f>
        <v/>
      </c>
      <c r="AL804" t="str">
        <f>IF('TMP Paste'!$F804="","",IF('TMP Paste'!$M804="",$AL803,'TMP Paste'!$M804))</f>
        <v/>
      </c>
      <c r="AM804" t="str">
        <f>IF('TMP Paste'!$F804="","",IF('TMP Paste'!$N804="",$AM803,'TMP Paste'!$N804))</f>
        <v/>
      </c>
      <c r="AN804" t="str">
        <f>IF('TMP Paste'!$F804="","",IF('TMP Paste'!$O804="",$AN803,'TMP Paste'!$O804))</f>
        <v/>
      </c>
      <c r="AO804" t="str">
        <f>IF('TMP Paste'!$F804="","",IF('TMP Paste'!$P804="",$AO803,'TMP Paste'!$P804))</f>
        <v/>
      </c>
      <c r="AP804" t="str">
        <f t="shared" si="77"/>
        <v/>
      </c>
      <c r="AQ804" t="str">
        <f>IF($AS804="","",TRIM(IF(COUNTIFS(Calc!$B$2:$B$1601,ROW()-1,Calc!$C$2:$C$1601,"&lt;1")&gt;0,"Ada PO tanpa Koli - cek TMP. ","")&amp;IF(OR($AU804="",$AU804&lt;=0),"Volume kosong/0 - dimensi dikosongkan. ","")&amp;IF(AND($AU804&lt;&gt;"",$AU804&gt;=1000000),"Volume &gt;= 1.000.000 cm3 (di luar aturan) - dimensi dikosongkan. ","")&amp;IF(LEN($R804)&gt;500,"R &gt; 500 karakter.","")))</f>
        <v/>
      </c>
      <c r="AS804" t="str">
        <f>IFERROR(MATCH(ROW()-1,Calc!$J$2:$J$1601,0),"")</f>
        <v/>
      </c>
      <c r="AT804" t="str">
        <f>IFERROR(MATCH(ROW()-1,Calc!$K$2:$K$1601,0),"")</f>
        <v/>
      </c>
      <c r="AU804" t="str">
        <f>IF($AS804="","",IFERROR(INDEX('TMP Paste'!$D$2:$D$1601,$AS804)*1000000/$AB804,""))</f>
        <v/>
      </c>
    </row>
    <row r="805" spans="1:47">
      <c r="A805" t="str">
        <f>IF($AS805="","",INDEX('TMP Paste'!$B$2:$B$1601,$AS805))</f>
        <v/>
      </c>
      <c r="B805" t="str">
        <f>IF($AS805="","",Config!$B$14)</f>
        <v/>
      </c>
      <c r="C805" t="str">
        <f>IF($AS805="","",Config!$B$15)</f>
        <v/>
      </c>
      <c r="D805" t="str">
        <f>IF($AS805="","",INDEX('TMP Paste'!$B$2:$B$1601,$AS805))</f>
        <v/>
      </c>
      <c r="E805" t="str">
        <f>IF($AS805="","",Config!$B$27)</f>
        <v/>
      </c>
      <c r="F805" t="str">
        <f>IF($AS805="","",Config!$B$9)</f>
        <v/>
      </c>
      <c r="G805" t="str">
        <f>IF($AS805="","",Config!$B$10)</f>
        <v/>
      </c>
      <c r="H805" t="str">
        <f>IF($AS805="","",Config!$B$11)</f>
        <v/>
      </c>
      <c r="I805" t="str">
        <f>IF($AS805="","",Config!$B$16)</f>
        <v/>
      </c>
      <c r="J805" t="str">
        <f>IF($AS805="","",INDEX('TMP Paste'!$A$2:$A$1601,$AS805))</f>
        <v/>
      </c>
      <c r="K805" t="str">
        <f>IF($AS805="","",INDEX('TMP Paste'!$L$2:$L$1601,$AS805))</f>
        <v/>
      </c>
      <c r="L805" t="str">
        <f>IF($AS805="","",INDEX('TMP Paste'!$I$2:$I$1601,$AS805))</f>
        <v/>
      </c>
      <c r="M805" t="str">
        <f>IF($AS805="","",Config!$B$16)</f>
        <v/>
      </c>
      <c r="N805" t="str">
        <f t="shared" si="72"/>
        <v/>
      </c>
      <c r="O805" t="str">
        <f>IF($AS805="","",INDEX('TMP Paste'!$K$2:$K$1601,$AS805))</f>
        <v/>
      </c>
      <c r="P805" t="str">
        <f t="shared" si="73"/>
        <v/>
      </c>
      <c r="Q805" t="str">
        <f>IF($AS805="","",INDEX('TMP Paste'!$J$2:$J$1601,$AS805))</f>
        <v/>
      </c>
      <c r="R805" t="str">
        <f>IF($AS805="","",Config!$B$24)</f>
        <v/>
      </c>
      <c r="S805" t="str">
        <f ca="1">IF($AS805="","",TEXT(Config!$B$4,"yyyy-mm-dd"))</f>
        <v/>
      </c>
      <c r="T805" t="str">
        <f>IF($AS805="","",Config!$B$17)</f>
        <v/>
      </c>
      <c r="U805" t="str">
        <f>IF($AS805="","",Config!$B$18)</f>
        <v/>
      </c>
      <c r="V805" t="str">
        <f>IF($AS805="","",Config!$B$19)</f>
        <v/>
      </c>
      <c r="W805" t="str">
        <f>IF($AS805="","",INDEX('TMP Paste'!$C$2:$C$1601,$AS805))</f>
        <v/>
      </c>
      <c r="X805" t="str">
        <f>IF($AS805="","",Config!$B$29)</f>
        <v/>
      </c>
      <c r="Y805" t="str">
        <f>IF($AT805="","",INDEX(Calc!$I$2:$I$1601,$AT805)&amp;" - "&amp;INDEX(Calc!$D$2:$D$1601,$AT805)&amp;" koli")</f>
        <v/>
      </c>
      <c r="Z805" t="str">
        <f>IF($AS805="","",Config!$B$21)</f>
        <v/>
      </c>
      <c r="AA805" t="str">
        <f>IF($AS805="","",Config!$B$22)</f>
        <v/>
      </c>
      <c r="AB805" t="str">
        <f>IF($AT805="","",INDEX(Calc!$D$2:$D$1601,$AT805))</f>
        <v/>
      </c>
      <c r="AC805" t="str">
        <f>IF($AT805="","",INDEX(Calc!$G$2:$G$1601,$AT805))</f>
        <v/>
      </c>
      <c r="AD805" t="str">
        <f>IF($AS805="","",Config!$B$23)</f>
        <v/>
      </c>
      <c r="AE805" t="str">
        <f>IF($AS805="","",Config!$B$28)</f>
        <v/>
      </c>
      <c r="AF805" t="str">
        <f t="shared" si="74"/>
        <v/>
      </c>
      <c r="AG805" t="str">
        <f t="shared" si="75"/>
        <v/>
      </c>
      <c r="AH805" t="str">
        <f t="shared" si="76"/>
        <v/>
      </c>
      <c r="AI805" t="str">
        <f>IF($AG805="","",SUMIF($AG$2:$AG805,$AG805,$AH$2:$AH805))</f>
        <v/>
      </c>
      <c r="AJ805" t="str">
        <f>IF('TMP Paste'!$F805="","",IF('TMP Paste'!$B805="",$AJ804,'TMP Paste'!$B805))</f>
        <v/>
      </c>
      <c r="AK805" t="str">
        <f>IF('TMP Paste'!$F805="","",N('TMP Paste'!$G805))</f>
        <v/>
      </c>
      <c r="AL805" t="str">
        <f>IF('TMP Paste'!$F805="","",IF('TMP Paste'!$M805="",$AL804,'TMP Paste'!$M805))</f>
        <v/>
      </c>
      <c r="AM805" t="str">
        <f>IF('TMP Paste'!$F805="","",IF('TMP Paste'!$N805="",$AM804,'TMP Paste'!$N805))</f>
        <v/>
      </c>
      <c r="AN805" t="str">
        <f>IF('TMP Paste'!$F805="","",IF('TMP Paste'!$O805="",$AN804,'TMP Paste'!$O805))</f>
        <v/>
      </c>
      <c r="AO805" t="str">
        <f>IF('TMP Paste'!$F805="","",IF('TMP Paste'!$P805="",$AO804,'TMP Paste'!$P805))</f>
        <v/>
      </c>
      <c r="AP805" t="str">
        <f t="shared" si="77"/>
        <v/>
      </c>
      <c r="AQ805" t="str">
        <f>IF($AS805="","",TRIM(IF(COUNTIFS(Calc!$B$2:$B$1601,ROW()-1,Calc!$C$2:$C$1601,"&lt;1")&gt;0,"Ada PO tanpa Koli - cek TMP. ","")&amp;IF(OR($AU805="",$AU805&lt;=0),"Volume kosong/0 - dimensi dikosongkan. ","")&amp;IF(AND($AU805&lt;&gt;"",$AU805&gt;=1000000),"Volume &gt;= 1.000.000 cm3 (di luar aturan) - dimensi dikosongkan. ","")&amp;IF(LEN($R805)&gt;500,"R &gt; 500 karakter.","")))</f>
        <v/>
      </c>
      <c r="AS805" t="str">
        <f>IFERROR(MATCH(ROW()-1,Calc!$J$2:$J$1601,0),"")</f>
        <v/>
      </c>
      <c r="AT805" t="str">
        <f>IFERROR(MATCH(ROW()-1,Calc!$K$2:$K$1601,0),"")</f>
        <v/>
      </c>
      <c r="AU805" t="str">
        <f>IF($AS805="","",IFERROR(INDEX('TMP Paste'!$D$2:$D$1601,$AS805)*1000000/$AB805,""))</f>
        <v/>
      </c>
    </row>
    <row r="806" spans="1:47">
      <c r="A806" t="str">
        <f>IF($AS806="","",INDEX('TMP Paste'!$B$2:$B$1601,$AS806))</f>
        <v/>
      </c>
      <c r="B806" t="str">
        <f>IF($AS806="","",Config!$B$14)</f>
        <v/>
      </c>
      <c r="C806" t="str">
        <f>IF($AS806="","",Config!$B$15)</f>
        <v/>
      </c>
      <c r="D806" t="str">
        <f>IF($AS806="","",INDEX('TMP Paste'!$B$2:$B$1601,$AS806))</f>
        <v/>
      </c>
      <c r="E806" t="str">
        <f>IF($AS806="","",Config!$B$27)</f>
        <v/>
      </c>
      <c r="F806" t="str">
        <f>IF($AS806="","",Config!$B$9)</f>
        <v/>
      </c>
      <c r="G806" t="str">
        <f>IF($AS806="","",Config!$B$10)</f>
        <v/>
      </c>
      <c r="H806" t="str">
        <f>IF($AS806="","",Config!$B$11)</f>
        <v/>
      </c>
      <c r="I806" t="str">
        <f>IF($AS806="","",Config!$B$16)</f>
        <v/>
      </c>
      <c r="J806" t="str">
        <f>IF($AS806="","",INDEX('TMP Paste'!$A$2:$A$1601,$AS806))</f>
        <v/>
      </c>
      <c r="K806" t="str">
        <f>IF($AS806="","",INDEX('TMP Paste'!$L$2:$L$1601,$AS806))</f>
        <v/>
      </c>
      <c r="L806" t="str">
        <f>IF($AS806="","",INDEX('TMP Paste'!$I$2:$I$1601,$AS806))</f>
        <v/>
      </c>
      <c r="M806" t="str">
        <f>IF($AS806="","",Config!$B$16)</f>
        <v/>
      </c>
      <c r="N806" t="str">
        <f t="shared" si="72"/>
        <v/>
      </c>
      <c r="O806" t="str">
        <f>IF($AS806="","",INDEX('TMP Paste'!$K$2:$K$1601,$AS806))</f>
        <v/>
      </c>
      <c r="P806" t="str">
        <f t="shared" si="73"/>
        <v/>
      </c>
      <c r="Q806" t="str">
        <f>IF($AS806="","",INDEX('TMP Paste'!$J$2:$J$1601,$AS806))</f>
        <v/>
      </c>
      <c r="R806" t="str">
        <f>IF($AS806="","",Config!$B$24)</f>
        <v/>
      </c>
      <c r="S806" t="str">
        <f ca="1">IF($AS806="","",TEXT(Config!$B$4,"yyyy-mm-dd"))</f>
        <v/>
      </c>
      <c r="T806" t="str">
        <f>IF($AS806="","",Config!$B$17)</f>
        <v/>
      </c>
      <c r="U806" t="str">
        <f>IF($AS806="","",Config!$B$18)</f>
        <v/>
      </c>
      <c r="V806" t="str">
        <f>IF($AS806="","",Config!$B$19)</f>
        <v/>
      </c>
      <c r="W806" t="str">
        <f>IF($AS806="","",INDEX('TMP Paste'!$C$2:$C$1601,$AS806))</f>
        <v/>
      </c>
      <c r="X806" t="str">
        <f>IF($AS806="","",Config!$B$29)</f>
        <v/>
      </c>
      <c r="Y806" t="str">
        <f>IF($AT806="","",INDEX(Calc!$I$2:$I$1601,$AT806)&amp;" - "&amp;INDEX(Calc!$D$2:$D$1601,$AT806)&amp;" koli")</f>
        <v/>
      </c>
      <c r="Z806" t="str">
        <f>IF($AS806="","",Config!$B$21)</f>
        <v/>
      </c>
      <c r="AA806" t="str">
        <f>IF($AS806="","",Config!$B$22)</f>
        <v/>
      </c>
      <c r="AB806" t="str">
        <f>IF($AT806="","",INDEX(Calc!$D$2:$D$1601,$AT806))</f>
        <v/>
      </c>
      <c r="AC806" t="str">
        <f>IF($AT806="","",INDEX(Calc!$G$2:$G$1601,$AT806))</f>
        <v/>
      </c>
      <c r="AD806" t="str">
        <f>IF($AS806="","",Config!$B$23)</f>
        <v/>
      </c>
      <c r="AE806" t="str">
        <f>IF($AS806="","",Config!$B$28)</f>
        <v/>
      </c>
      <c r="AF806" t="str">
        <f t="shared" si="74"/>
        <v/>
      </c>
      <c r="AG806" t="str">
        <f t="shared" si="75"/>
        <v/>
      </c>
      <c r="AH806" t="str">
        <f t="shared" si="76"/>
        <v/>
      </c>
      <c r="AI806" t="str">
        <f>IF($AG806="","",SUMIF($AG$2:$AG806,$AG806,$AH$2:$AH806))</f>
        <v/>
      </c>
      <c r="AJ806" t="str">
        <f>IF('TMP Paste'!$F806="","",IF('TMP Paste'!$B806="",$AJ805,'TMP Paste'!$B806))</f>
        <v/>
      </c>
      <c r="AK806" t="str">
        <f>IF('TMP Paste'!$F806="","",N('TMP Paste'!$G806))</f>
        <v/>
      </c>
      <c r="AL806" t="str">
        <f>IF('TMP Paste'!$F806="","",IF('TMP Paste'!$M806="",$AL805,'TMP Paste'!$M806))</f>
        <v/>
      </c>
      <c r="AM806" t="str">
        <f>IF('TMP Paste'!$F806="","",IF('TMP Paste'!$N806="",$AM805,'TMP Paste'!$N806))</f>
        <v/>
      </c>
      <c r="AN806" t="str">
        <f>IF('TMP Paste'!$F806="","",IF('TMP Paste'!$O806="",$AN805,'TMP Paste'!$O806))</f>
        <v/>
      </c>
      <c r="AO806" t="str">
        <f>IF('TMP Paste'!$F806="","",IF('TMP Paste'!$P806="",$AO805,'TMP Paste'!$P806))</f>
        <v/>
      </c>
      <c r="AP806" t="str">
        <f t="shared" si="77"/>
        <v/>
      </c>
      <c r="AQ806" t="str">
        <f>IF($AS806="","",TRIM(IF(COUNTIFS(Calc!$B$2:$B$1601,ROW()-1,Calc!$C$2:$C$1601,"&lt;1")&gt;0,"Ada PO tanpa Koli - cek TMP. ","")&amp;IF(OR($AU806="",$AU806&lt;=0),"Volume kosong/0 - dimensi dikosongkan. ","")&amp;IF(AND($AU806&lt;&gt;"",$AU806&gt;=1000000),"Volume &gt;= 1.000.000 cm3 (di luar aturan) - dimensi dikosongkan. ","")&amp;IF(LEN($R806)&gt;500,"R &gt; 500 karakter.","")))</f>
        <v/>
      </c>
      <c r="AS806" t="str">
        <f>IFERROR(MATCH(ROW()-1,Calc!$J$2:$J$1601,0),"")</f>
        <v/>
      </c>
      <c r="AT806" t="str">
        <f>IFERROR(MATCH(ROW()-1,Calc!$K$2:$K$1601,0),"")</f>
        <v/>
      </c>
      <c r="AU806" t="str">
        <f>IF($AS806="","",IFERROR(INDEX('TMP Paste'!$D$2:$D$1601,$AS806)*1000000/$AB806,""))</f>
        <v/>
      </c>
    </row>
    <row r="807" spans="1:47">
      <c r="A807" t="str">
        <f>IF($AS807="","",INDEX('TMP Paste'!$B$2:$B$1601,$AS807))</f>
        <v/>
      </c>
      <c r="B807" t="str">
        <f>IF($AS807="","",Config!$B$14)</f>
        <v/>
      </c>
      <c r="C807" t="str">
        <f>IF($AS807="","",Config!$B$15)</f>
        <v/>
      </c>
      <c r="D807" t="str">
        <f>IF($AS807="","",INDEX('TMP Paste'!$B$2:$B$1601,$AS807))</f>
        <v/>
      </c>
      <c r="E807" t="str">
        <f>IF($AS807="","",Config!$B$27)</f>
        <v/>
      </c>
      <c r="F807" t="str">
        <f>IF($AS807="","",Config!$B$9)</f>
        <v/>
      </c>
      <c r="G807" t="str">
        <f>IF($AS807="","",Config!$B$10)</f>
        <v/>
      </c>
      <c r="H807" t="str">
        <f>IF($AS807="","",Config!$B$11)</f>
        <v/>
      </c>
      <c r="I807" t="str">
        <f>IF($AS807="","",Config!$B$16)</f>
        <v/>
      </c>
      <c r="J807" t="str">
        <f>IF($AS807="","",INDEX('TMP Paste'!$A$2:$A$1601,$AS807))</f>
        <v/>
      </c>
      <c r="K807" t="str">
        <f>IF($AS807="","",INDEX('TMP Paste'!$L$2:$L$1601,$AS807))</f>
        <v/>
      </c>
      <c r="L807" t="str">
        <f>IF($AS807="","",INDEX('TMP Paste'!$I$2:$I$1601,$AS807))</f>
        <v/>
      </c>
      <c r="M807" t="str">
        <f>IF($AS807="","",Config!$B$16)</f>
        <v/>
      </c>
      <c r="N807" t="str">
        <f t="shared" si="72"/>
        <v/>
      </c>
      <c r="O807" t="str">
        <f>IF($AS807="","",INDEX('TMP Paste'!$K$2:$K$1601,$AS807))</f>
        <v/>
      </c>
      <c r="P807" t="str">
        <f t="shared" si="73"/>
        <v/>
      </c>
      <c r="Q807" t="str">
        <f>IF($AS807="","",INDEX('TMP Paste'!$J$2:$J$1601,$AS807))</f>
        <v/>
      </c>
      <c r="R807" t="str">
        <f>IF($AS807="","",Config!$B$24)</f>
        <v/>
      </c>
      <c r="S807" t="str">
        <f ca="1">IF($AS807="","",TEXT(Config!$B$4,"yyyy-mm-dd"))</f>
        <v/>
      </c>
      <c r="T807" t="str">
        <f>IF($AS807="","",Config!$B$17)</f>
        <v/>
      </c>
      <c r="U807" t="str">
        <f>IF($AS807="","",Config!$B$18)</f>
        <v/>
      </c>
      <c r="V807" t="str">
        <f>IF($AS807="","",Config!$B$19)</f>
        <v/>
      </c>
      <c r="W807" t="str">
        <f>IF($AS807="","",INDEX('TMP Paste'!$C$2:$C$1601,$AS807))</f>
        <v/>
      </c>
      <c r="X807" t="str">
        <f>IF($AS807="","",Config!$B$29)</f>
        <v/>
      </c>
      <c r="Y807" t="str">
        <f>IF($AT807="","",INDEX(Calc!$I$2:$I$1601,$AT807)&amp;" - "&amp;INDEX(Calc!$D$2:$D$1601,$AT807)&amp;" koli")</f>
        <v/>
      </c>
      <c r="Z807" t="str">
        <f>IF($AS807="","",Config!$B$21)</f>
        <v/>
      </c>
      <c r="AA807" t="str">
        <f>IF($AS807="","",Config!$B$22)</f>
        <v/>
      </c>
      <c r="AB807" t="str">
        <f>IF($AT807="","",INDEX(Calc!$D$2:$D$1601,$AT807))</f>
        <v/>
      </c>
      <c r="AC807" t="str">
        <f>IF($AT807="","",INDEX(Calc!$G$2:$G$1601,$AT807))</f>
        <v/>
      </c>
      <c r="AD807" t="str">
        <f>IF($AS807="","",Config!$B$23)</f>
        <v/>
      </c>
      <c r="AE807" t="str">
        <f>IF($AS807="","",Config!$B$28)</f>
        <v/>
      </c>
      <c r="AF807" t="str">
        <f t="shared" si="74"/>
        <v/>
      </c>
      <c r="AG807" t="str">
        <f t="shared" si="75"/>
        <v/>
      </c>
      <c r="AH807" t="str">
        <f t="shared" si="76"/>
        <v/>
      </c>
      <c r="AI807" t="str">
        <f>IF($AG807="","",SUMIF($AG$2:$AG807,$AG807,$AH$2:$AH807))</f>
        <v/>
      </c>
      <c r="AJ807" t="str">
        <f>IF('TMP Paste'!$F807="","",IF('TMP Paste'!$B807="",$AJ806,'TMP Paste'!$B807))</f>
        <v/>
      </c>
      <c r="AK807" t="str">
        <f>IF('TMP Paste'!$F807="","",N('TMP Paste'!$G807))</f>
        <v/>
      </c>
      <c r="AL807" t="str">
        <f>IF('TMP Paste'!$F807="","",IF('TMP Paste'!$M807="",$AL806,'TMP Paste'!$M807))</f>
        <v/>
      </c>
      <c r="AM807" t="str">
        <f>IF('TMP Paste'!$F807="","",IF('TMP Paste'!$N807="",$AM806,'TMP Paste'!$N807))</f>
        <v/>
      </c>
      <c r="AN807" t="str">
        <f>IF('TMP Paste'!$F807="","",IF('TMP Paste'!$O807="",$AN806,'TMP Paste'!$O807))</f>
        <v/>
      </c>
      <c r="AO807" t="str">
        <f>IF('TMP Paste'!$F807="","",IF('TMP Paste'!$P807="",$AO806,'TMP Paste'!$P807))</f>
        <v/>
      </c>
      <c r="AP807" t="str">
        <f t="shared" si="77"/>
        <v/>
      </c>
      <c r="AQ807" t="str">
        <f>IF($AS807="","",TRIM(IF(COUNTIFS(Calc!$B$2:$B$1601,ROW()-1,Calc!$C$2:$C$1601,"&lt;1")&gt;0,"Ada PO tanpa Koli - cek TMP. ","")&amp;IF(OR($AU807="",$AU807&lt;=0),"Volume kosong/0 - dimensi dikosongkan. ","")&amp;IF(AND($AU807&lt;&gt;"",$AU807&gt;=1000000),"Volume &gt;= 1.000.000 cm3 (di luar aturan) - dimensi dikosongkan. ","")&amp;IF(LEN($R807)&gt;500,"R &gt; 500 karakter.","")))</f>
        <v/>
      </c>
      <c r="AS807" t="str">
        <f>IFERROR(MATCH(ROW()-1,Calc!$J$2:$J$1601,0),"")</f>
        <v/>
      </c>
      <c r="AT807" t="str">
        <f>IFERROR(MATCH(ROW()-1,Calc!$K$2:$K$1601,0),"")</f>
        <v/>
      </c>
      <c r="AU807" t="str">
        <f>IF($AS807="","",IFERROR(INDEX('TMP Paste'!$D$2:$D$1601,$AS807)*1000000/$AB807,""))</f>
        <v/>
      </c>
    </row>
    <row r="808" spans="1:47">
      <c r="A808" t="str">
        <f>IF($AS808="","",INDEX('TMP Paste'!$B$2:$B$1601,$AS808))</f>
        <v/>
      </c>
      <c r="B808" t="str">
        <f>IF($AS808="","",Config!$B$14)</f>
        <v/>
      </c>
      <c r="C808" t="str">
        <f>IF($AS808="","",Config!$B$15)</f>
        <v/>
      </c>
      <c r="D808" t="str">
        <f>IF($AS808="","",INDEX('TMP Paste'!$B$2:$B$1601,$AS808))</f>
        <v/>
      </c>
      <c r="E808" t="str">
        <f>IF($AS808="","",Config!$B$27)</f>
        <v/>
      </c>
      <c r="F808" t="str">
        <f>IF($AS808="","",Config!$B$9)</f>
        <v/>
      </c>
      <c r="G808" t="str">
        <f>IF($AS808="","",Config!$B$10)</f>
        <v/>
      </c>
      <c r="H808" t="str">
        <f>IF($AS808="","",Config!$B$11)</f>
        <v/>
      </c>
      <c r="I808" t="str">
        <f>IF($AS808="","",Config!$B$16)</f>
        <v/>
      </c>
      <c r="J808" t="str">
        <f>IF($AS808="","",INDEX('TMP Paste'!$A$2:$A$1601,$AS808))</f>
        <v/>
      </c>
      <c r="K808" t="str">
        <f>IF($AS808="","",INDEX('TMP Paste'!$L$2:$L$1601,$AS808))</f>
        <v/>
      </c>
      <c r="L808" t="str">
        <f>IF($AS808="","",INDEX('TMP Paste'!$I$2:$I$1601,$AS808))</f>
        <v/>
      </c>
      <c r="M808" t="str">
        <f>IF($AS808="","",Config!$B$16)</f>
        <v/>
      </c>
      <c r="N808" t="str">
        <f t="shared" si="72"/>
        <v/>
      </c>
      <c r="O808" t="str">
        <f>IF($AS808="","",INDEX('TMP Paste'!$K$2:$K$1601,$AS808))</f>
        <v/>
      </c>
      <c r="P808" t="str">
        <f t="shared" si="73"/>
        <v/>
      </c>
      <c r="Q808" t="str">
        <f>IF($AS808="","",INDEX('TMP Paste'!$J$2:$J$1601,$AS808))</f>
        <v/>
      </c>
      <c r="R808" t="str">
        <f>IF($AS808="","",Config!$B$24)</f>
        <v/>
      </c>
      <c r="S808" t="str">
        <f ca="1">IF($AS808="","",TEXT(Config!$B$4,"yyyy-mm-dd"))</f>
        <v/>
      </c>
      <c r="T808" t="str">
        <f>IF($AS808="","",Config!$B$17)</f>
        <v/>
      </c>
      <c r="U808" t="str">
        <f>IF($AS808="","",Config!$B$18)</f>
        <v/>
      </c>
      <c r="V808" t="str">
        <f>IF($AS808="","",Config!$B$19)</f>
        <v/>
      </c>
      <c r="W808" t="str">
        <f>IF($AS808="","",INDEX('TMP Paste'!$C$2:$C$1601,$AS808))</f>
        <v/>
      </c>
      <c r="X808" t="str">
        <f>IF($AS808="","",Config!$B$29)</f>
        <v/>
      </c>
      <c r="Y808" t="str">
        <f>IF($AT808="","",INDEX(Calc!$I$2:$I$1601,$AT808)&amp;" - "&amp;INDEX(Calc!$D$2:$D$1601,$AT808)&amp;" koli")</f>
        <v/>
      </c>
      <c r="Z808" t="str">
        <f>IF($AS808="","",Config!$B$21)</f>
        <v/>
      </c>
      <c r="AA808" t="str">
        <f>IF($AS808="","",Config!$B$22)</f>
        <v/>
      </c>
      <c r="AB808" t="str">
        <f>IF($AT808="","",INDEX(Calc!$D$2:$D$1601,$AT808))</f>
        <v/>
      </c>
      <c r="AC808" t="str">
        <f>IF($AT808="","",INDEX(Calc!$G$2:$G$1601,$AT808))</f>
        <v/>
      </c>
      <c r="AD808" t="str">
        <f>IF($AS808="","",Config!$B$23)</f>
        <v/>
      </c>
      <c r="AE808" t="str">
        <f>IF($AS808="","",Config!$B$28)</f>
        <v/>
      </c>
      <c r="AF808" t="str">
        <f t="shared" si="74"/>
        <v/>
      </c>
      <c r="AG808" t="str">
        <f t="shared" si="75"/>
        <v/>
      </c>
      <c r="AH808" t="str">
        <f t="shared" si="76"/>
        <v/>
      </c>
      <c r="AI808" t="str">
        <f>IF($AG808="","",SUMIF($AG$2:$AG808,$AG808,$AH$2:$AH808))</f>
        <v/>
      </c>
      <c r="AJ808" t="str">
        <f>IF('TMP Paste'!$F808="","",IF('TMP Paste'!$B808="",$AJ807,'TMP Paste'!$B808))</f>
        <v/>
      </c>
      <c r="AK808" t="str">
        <f>IF('TMP Paste'!$F808="","",N('TMP Paste'!$G808))</f>
        <v/>
      </c>
      <c r="AL808" t="str">
        <f>IF('TMP Paste'!$F808="","",IF('TMP Paste'!$M808="",$AL807,'TMP Paste'!$M808))</f>
        <v/>
      </c>
      <c r="AM808" t="str">
        <f>IF('TMP Paste'!$F808="","",IF('TMP Paste'!$N808="",$AM807,'TMP Paste'!$N808))</f>
        <v/>
      </c>
      <c r="AN808" t="str">
        <f>IF('TMP Paste'!$F808="","",IF('TMP Paste'!$O808="",$AN807,'TMP Paste'!$O808))</f>
        <v/>
      </c>
      <c r="AO808" t="str">
        <f>IF('TMP Paste'!$F808="","",IF('TMP Paste'!$P808="",$AO807,'TMP Paste'!$P808))</f>
        <v/>
      </c>
      <c r="AP808" t="str">
        <f t="shared" si="77"/>
        <v/>
      </c>
      <c r="AQ808" t="str">
        <f>IF($AS808="","",TRIM(IF(COUNTIFS(Calc!$B$2:$B$1601,ROW()-1,Calc!$C$2:$C$1601,"&lt;1")&gt;0,"Ada PO tanpa Koli - cek TMP. ","")&amp;IF(OR($AU808="",$AU808&lt;=0),"Volume kosong/0 - dimensi dikosongkan. ","")&amp;IF(AND($AU808&lt;&gt;"",$AU808&gt;=1000000),"Volume &gt;= 1.000.000 cm3 (di luar aturan) - dimensi dikosongkan. ","")&amp;IF(LEN($R808)&gt;500,"R &gt; 500 karakter.","")))</f>
        <v/>
      </c>
      <c r="AS808" t="str">
        <f>IFERROR(MATCH(ROW()-1,Calc!$J$2:$J$1601,0),"")</f>
        <v/>
      </c>
      <c r="AT808" t="str">
        <f>IFERROR(MATCH(ROW()-1,Calc!$K$2:$K$1601,0),"")</f>
        <v/>
      </c>
      <c r="AU808" t="str">
        <f>IF($AS808="","",IFERROR(INDEX('TMP Paste'!$D$2:$D$1601,$AS808)*1000000/$AB808,""))</f>
        <v/>
      </c>
    </row>
    <row r="809" spans="1:47">
      <c r="A809" t="str">
        <f>IF($AS809="","",INDEX('TMP Paste'!$B$2:$B$1601,$AS809))</f>
        <v/>
      </c>
      <c r="B809" t="str">
        <f>IF($AS809="","",Config!$B$14)</f>
        <v/>
      </c>
      <c r="C809" t="str">
        <f>IF($AS809="","",Config!$B$15)</f>
        <v/>
      </c>
      <c r="D809" t="str">
        <f>IF($AS809="","",INDEX('TMP Paste'!$B$2:$B$1601,$AS809))</f>
        <v/>
      </c>
      <c r="E809" t="str">
        <f>IF($AS809="","",Config!$B$27)</f>
        <v/>
      </c>
      <c r="F809" t="str">
        <f>IF($AS809="","",Config!$B$9)</f>
        <v/>
      </c>
      <c r="G809" t="str">
        <f>IF($AS809="","",Config!$B$10)</f>
        <v/>
      </c>
      <c r="H809" t="str">
        <f>IF($AS809="","",Config!$B$11)</f>
        <v/>
      </c>
      <c r="I809" t="str">
        <f>IF($AS809="","",Config!$B$16)</f>
        <v/>
      </c>
      <c r="J809" t="str">
        <f>IF($AS809="","",INDEX('TMP Paste'!$A$2:$A$1601,$AS809))</f>
        <v/>
      </c>
      <c r="K809" t="str">
        <f>IF($AS809="","",INDEX('TMP Paste'!$L$2:$L$1601,$AS809))</f>
        <v/>
      </c>
      <c r="L809" t="str">
        <f>IF($AS809="","",INDEX('TMP Paste'!$I$2:$I$1601,$AS809))</f>
        <v/>
      </c>
      <c r="M809" t="str">
        <f>IF($AS809="","",Config!$B$16)</f>
        <v/>
      </c>
      <c r="N809" t="str">
        <f t="shared" si="72"/>
        <v/>
      </c>
      <c r="O809" t="str">
        <f>IF($AS809="","",INDEX('TMP Paste'!$K$2:$K$1601,$AS809))</f>
        <v/>
      </c>
      <c r="P809" t="str">
        <f t="shared" si="73"/>
        <v/>
      </c>
      <c r="Q809" t="str">
        <f>IF($AS809="","",INDEX('TMP Paste'!$J$2:$J$1601,$AS809))</f>
        <v/>
      </c>
      <c r="R809" t="str">
        <f>IF($AS809="","",Config!$B$24)</f>
        <v/>
      </c>
      <c r="S809" t="str">
        <f ca="1">IF($AS809="","",TEXT(Config!$B$4,"yyyy-mm-dd"))</f>
        <v/>
      </c>
      <c r="T809" t="str">
        <f>IF($AS809="","",Config!$B$17)</f>
        <v/>
      </c>
      <c r="U809" t="str">
        <f>IF($AS809="","",Config!$B$18)</f>
        <v/>
      </c>
      <c r="V809" t="str">
        <f>IF($AS809="","",Config!$B$19)</f>
        <v/>
      </c>
      <c r="W809" t="str">
        <f>IF($AS809="","",INDEX('TMP Paste'!$C$2:$C$1601,$AS809))</f>
        <v/>
      </c>
      <c r="X809" t="str">
        <f>IF($AS809="","",Config!$B$29)</f>
        <v/>
      </c>
      <c r="Y809" t="str">
        <f>IF($AT809="","",INDEX(Calc!$I$2:$I$1601,$AT809)&amp;" - "&amp;INDEX(Calc!$D$2:$D$1601,$AT809)&amp;" koli")</f>
        <v/>
      </c>
      <c r="Z809" t="str">
        <f>IF($AS809="","",Config!$B$21)</f>
        <v/>
      </c>
      <c r="AA809" t="str">
        <f>IF($AS809="","",Config!$B$22)</f>
        <v/>
      </c>
      <c r="AB809" t="str">
        <f>IF($AT809="","",INDEX(Calc!$D$2:$D$1601,$AT809))</f>
        <v/>
      </c>
      <c r="AC809" t="str">
        <f>IF($AT809="","",INDEX(Calc!$G$2:$G$1601,$AT809))</f>
        <v/>
      </c>
      <c r="AD809" t="str">
        <f>IF($AS809="","",Config!$B$23)</f>
        <v/>
      </c>
      <c r="AE809" t="str">
        <f>IF($AS809="","",Config!$B$28)</f>
        <v/>
      </c>
      <c r="AF809" t="str">
        <f t="shared" si="74"/>
        <v/>
      </c>
      <c r="AG809" t="str">
        <f t="shared" si="75"/>
        <v/>
      </c>
      <c r="AH809" t="str">
        <f t="shared" si="76"/>
        <v/>
      </c>
      <c r="AI809" t="str">
        <f>IF($AG809="","",SUMIF($AG$2:$AG809,$AG809,$AH$2:$AH809))</f>
        <v/>
      </c>
      <c r="AJ809" t="str">
        <f>IF('TMP Paste'!$F809="","",IF('TMP Paste'!$B809="",$AJ808,'TMP Paste'!$B809))</f>
        <v/>
      </c>
      <c r="AK809" t="str">
        <f>IF('TMP Paste'!$F809="","",N('TMP Paste'!$G809))</f>
        <v/>
      </c>
      <c r="AL809" t="str">
        <f>IF('TMP Paste'!$F809="","",IF('TMP Paste'!$M809="",$AL808,'TMP Paste'!$M809))</f>
        <v/>
      </c>
      <c r="AM809" t="str">
        <f>IF('TMP Paste'!$F809="","",IF('TMP Paste'!$N809="",$AM808,'TMP Paste'!$N809))</f>
        <v/>
      </c>
      <c r="AN809" t="str">
        <f>IF('TMP Paste'!$F809="","",IF('TMP Paste'!$O809="",$AN808,'TMP Paste'!$O809))</f>
        <v/>
      </c>
      <c r="AO809" t="str">
        <f>IF('TMP Paste'!$F809="","",IF('TMP Paste'!$P809="",$AO808,'TMP Paste'!$P809))</f>
        <v/>
      </c>
      <c r="AP809" t="str">
        <f t="shared" si="77"/>
        <v/>
      </c>
      <c r="AQ809" t="str">
        <f>IF($AS809="","",TRIM(IF(COUNTIFS(Calc!$B$2:$B$1601,ROW()-1,Calc!$C$2:$C$1601,"&lt;1")&gt;0,"Ada PO tanpa Koli - cek TMP. ","")&amp;IF(OR($AU809="",$AU809&lt;=0),"Volume kosong/0 - dimensi dikosongkan. ","")&amp;IF(AND($AU809&lt;&gt;"",$AU809&gt;=1000000),"Volume &gt;= 1.000.000 cm3 (di luar aturan) - dimensi dikosongkan. ","")&amp;IF(LEN($R809)&gt;500,"R &gt; 500 karakter.","")))</f>
        <v/>
      </c>
      <c r="AS809" t="str">
        <f>IFERROR(MATCH(ROW()-1,Calc!$J$2:$J$1601,0),"")</f>
        <v/>
      </c>
      <c r="AT809" t="str">
        <f>IFERROR(MATCH(ROW()-1,Calc!$K$2:$K$1601,0),"")</f>
        <v/>
      </c>
      <c r="AU809" t="str">
        <f>IF($AS809="","",IFERROR(INDEX('TMP Paste'!$D$2:$D$1601,$AS809)*1000000/$AB809,""))</f>
        <v/>
      </c>
    </row>
    <row r="810" spans="1:47">
      <c r="A810" t="str">
        <f>IF($AS810="","",INDEX('TMP Paste'!$B$2:$B$1601,$AS810))</f>
        <v/>
      </c>
      <c r="B810" t="str">
        <f>IF($AS810="","",Config!$B$14)</f>
        <v/>
      </c>
      <c r="C810" t="str">
        <f>IF($AS810="","",Config!$B$15)</f>
        <v/>
      </c>
      <c r="D810" t="str">
        <f>IF($AS810="","",INDEX('TMP Paste'!$B$2:$B$1601,$AS810))</f>
        <v/>
      </c>
      <c r="E810" t="str">
        <f>IF($AS810="","",Config!$B$27)</f>
        <v/>
      </c>
      <c r="F810" t="str">
        <f>IF($AS810="","",Config!$B$9)</f>
        <v/>
      </c>
      <c r="G810" t="str">
        <f>IF($AS810="","",Config!$B$10)</f>
        <v/>
      </c>
      <c r="H810" t="str">
        <f>IF($AS810="","",Config!$B$11)</f>
        <v/>
      </c>
      <c r="I810" t="str">
        <f>IF($AS810="","",Config!$B$16)</f>
        <v/>
      </c>
      <c r="J810" t="str">
        <f>IF($AS810="","",INDEX('TMP Paste'!$A$2:$A$1601,$AS810))</f>
        <v/>
      </c>
      <c r="K810" t="str">
        <f>IF($AS810="","",INDEX('TMP Paste'!$L$2:$L$1601,$AS810))</f>
        <v/>
      </c>
      <c r="L810" t="str">
        <f>IF($AS810="","",INDEX('TMP Paste'!$I$2:$I$1601,$AS810))</f>
        <v/>
      </c>
      <c r="M810" t="str">
        <f>IF($AS810="","",Config!$B$16)</f>
        <v/>
      </c>
      <c r="N810" t="str">
        <f t="shared" si="72"/>
        <v/>
      </c>
      <c r="O810" t="str">
        <f>IF($AS810="","",INDEX('TMP Paste'!$K$2:$K$1601,$AS810))</f>
        <v/>
      </c>
      <c r="P810" t="str">
        <f t="shared" si="73"/>
        <v/>
      </c>
      <c r="Q810" t="str">
        <f>IF($AS810="","",INDEX('TMP Paste'!$J$2:$J$1601,$AS810))</f>
        <v/>
      </c>
      <c r="R810" t="str">
        <f>IF($AS810="","",Config!$B$24)</f>
        <v/>
      </c>
      <c r="S810" t="str">
        <f ca="1">IF($AS810="","",TEXT(Config!$B$4,"yyyy-mm-dd"))</f>
        <v/>
      </c>
      <c r="T810" t="str">
        <f>IF($AS810="","",Config!$B$17)</f>
        <v/>
      </c>
      <c r="U810" t="str">
        <f>IF($AS810="","",Config!$B$18)</f>
        <v/>
      </c>
      <c r="V810" t="str">
        <f>IF($AS810="","",Config!$B$19)</f>
        <v/>
      </c>
      <c r="W810" t="str">
        <f>IF($AS810="","",INDEX('TMP Paste'!$C$2:$C$1601,$AS810))</f>
        <v/>
      </c>
      <c r="X810" t="str">
        <f>IF($AS810="","",Config!$B$29)</f>
        <v/>
      </c>
      <c r="Y810" t="str">
        <f>IF($AT810="","",INDEX(Calc!$I$2:$I$1601,$AT810)&amp;" - "&amp;INDEX(Calc!$D$2:$D$1601,$AT810)&amp;" koli")</f>
        <v/>
      </c>
      <c r="Z810" t="str">
        <f>IF($AS810="","",Config!$B$21)</f>
        <v/>
      </c>
      <c r="AA810" t="str">
        <f>IF($AS810="","",Config!$B$22)</f>
        <v/>
      </c>
      <c r="AB810" t="str">
        <f>IF($AT810="","",INDEX(Calc!$D$2:$D$1601,$AT810))</f>
        <v/>
      </c>
      <c r="AC810" t="str">
        <f>IF($AT810="","",INDEX(Calc!$G$2:$G$1601,$AT810))</f>
        <v/>
      </c>
      <c r="AD810" t="str">
        <f>IF($AS810="","",Config!$B$23)</f>
        <v/>
      </c>
      <c r="AE810" t="str">
        <f>IF($AS810="","",Config!$B$28)</f>
        <v/>
      </c>
      <c r="AF810" t="str">
        <f t="shared" si="74"/>
        <v/>
      </c>
      <c r="AG810" t="str">
        <f t="shared" si="75"/>
        <v/>
      </c>
      <c r="AH810" t="str">
        <f t="shared" si="76"/>
        <v/>
      </c>
      <c r="AI810" t="str">
        <f>IF($AG810="","",SUMIF($AG$2:$AG810,$AG810,$AH$2:$AH810))</f>
        <v/>
      </c>
      <c r="AJ810" t="str">
        <f>IF('TMP Paste'!$F810="","",IF('TMP Paste'!$B810="",$AJ809,'TMP Paste'!$B810))</f>
        <v/>
      </c>
      <c r="AK810" t="str">
        <f>IF('TMP Paste'!$F810="","",N('TMP Paste'!$G810))</f>
        <v/>
      </c>
      <c r="AL810" t="str">
        <f>IF('TMP Paste'!$F810="","",IF('TMP Paste'!$M810="",$AL809,'TMP Paste'!$M810))</f>
        <v/>
      </c>
      <c r="AM810" t="str">
        <f>IF('TMP Paste'!$F810="","",IF('TMP Paste'!$N810="",$AM809,'TMP Paste'!$N810))</f>
        <v/>
      </c>
      <c r="AN810" t="str">
        <f>IF('TMP Paste'!$F810="","",IF('TMP Paste'!$O810="",$AN809,'TMP Paste'!$O810))</f>
        <v/>
      </c>
      <c r="AO810" t="str">
        <f>IF('TMP Paste'!$F810="","",IF('TMP Paste'!$P810="",$AO809,'TMP Paste'!$P810))</f>
        <v/>
      </c>
      <c r="AP810" t="str">
        <f t="shared" si="77"/>
        <v/>
      </c>
      <c r="AQ810" t="str">
        <f>IF($AS810="","",TRIM(IF(COUNTIFS(Calc!$B$2:$B$1601,ROW()-1,Calc!$C$2:$C$1601,"&lt;1")&gt;0,"Ada PO tanpa Koli - cek TMP. ","")&amp;IF(OR($AU810="",$AU810&lt;=0),"Volume kosong/0 - dimensi dikosongkan. ","")&amp;IF(AND($AU810&lt;&gt;"",$AU810&gt;=1000000),"Volume &gt;= 1.000.000 cm3 (di luar aturan) - dimensi dikosongkan. ","")&amp;IF(LEN($R810)&gt;500,"R &gt; 500 karakter.","")))</f>
        <v/>
      </c>
      <c r="AS810" t="str">
        <f>IFERROR(MATCH(ROW()-1,Calc!$J$2:$J$1601,0),"")</f>
        <v/>
      </c>
      <c r="AT810" t="str">
        <f>IFERROR(MATCH(ROW()-1,Calc!$K$2:$K$1601,0),"")</f>
        <v/>
      </c>
      <c r="AU810" t="str">
        <f>IF($AS810="","",IFERROR(INDEX('TMP Paste'!$D$2:$D$1601,$AS810)*1000000/$AB810,""))</f>
        <v/>
      </c>
    </row>
    <row r="811" spans="1:47">
      <c r="A811" t="str">
        <f>IF($AS811="","",INDEX('TMP Paste'!$B$2:$B$1601,$AS811))</f>
        <v/>
      </c>
      <c r="B811" t="str">
        <f>IF($AS811="","",Config!$B$14)</f>
        <v/>
      </c>
      <c r="C811" t="str">
        <f>IF($AS811="","",Config!$B$15)</f>
        <v/>
      </c>
      <c r="D811" t="str">
        <f>IF($AS811="","",INDEX('TMP Paste'!$B$2:$B$1601,$AS811))</f>
        <v/>
      </c>
      <c r="E811" t="str">
        <f>IF($AS811="","",Config!$B$27)</f>
        <v/>
      </c>
      <c r="F811" t="str">
        <f>IF($AS811="","",Config!$B$9)</f>
        <v/>
      </c>
      <c r="G811" t="str">
        <f>IF($AS811="","",Config!$B$10)</f>
        <v/>
      </c>
      <c r="H811" t="str">
        <f>IF($AS811="","",Config!$B$11)</f>
        <v/>
      </c>
      <c r="I811" t="str">
        <f>IF($AS811="","",Config!$B$16)</f>
        <v/>
      </c>
      <c r="J811" t="str">
        <f>IF($AS811="","",INDEX('TMP Paste'!$A$2:$A$1601,$AS811))</f>
        <v/>
      </c>
      <c r="K811" t="str">
        <f>IF($AS811="","",INDEX('TMP Paste'!$L$2:$L$1601,$AS811))</f>
        <v/>
      </c>
      <c r="L811" t="str">
        <f>IF($AS811="","",INDEX('TMP Paste'!$I$2:$I$1601,$AS811))</f>
        <v/>
      </c>
      <c r="M811" t="str">
        <f>IF($AS811="","",Config!$B$16)</f>
        <v/>
      </c>
      <c r="N811" t="str">
        <f t="shared" si="72"/>
        <v/>
      </c>
      <c r="O811" t="str">
        <f>IF($AS811="","",INDEX('TMP Paste'!$K$2:$K$1601,$AS811))</f>
        <v/>
      </c>
      <c r="P811" t="str">
        <f t="shared" si="73"/>
        <v/>
      </c>
      <c r="Q811" t="str">
        <f>IF($AS811="","",INDEX('TMP Paste'!$J$2:$J$1601,$AS811))</f>
        <v/>
      </c>
      <c r="R811" t="str">
        <f>IF($AS811="","",Config!$B$24)</f>
        <v/>
      </c>
      <c r="S811" t="str">
        <f ca="1">IF($AS811="","",TEXT(Config!$B$4,"yyyy-mm-dd"))</f>
        <v/>
      </c>
      <c r="T811" t="str">
        <f>IF($AS811="","",Config!$B$17)</f>
        <v/>
      </c>
      <c r="U811" t="str">
        <f>IF($AS811="","",Config!$B$18)</f>
        <v/>
      </c>
      <c r="V811" t="str">
        <f>IF($AS811="","",Config!$B$19)</f>
        <v/>
      </c>
      <c r="W811" t="str">
        <f>IF($AS811="","",INDEX('TMP Paste'!$C$2:$C$1601,$AS811))</f>
        <v/>
      </c>
      <c r="X811" t="str">
        <f>IF($AS811="","",Config!$B$29)</f>
        <v/>
      </c>
      <c r="Y811" t="str">
        <f>IF($AT811="","",INDEX(Calc!$I$2:$I$1601,$AT811)&amp;" - "&amp;INDEX(Calc!$D$2:$D$1601,$AT811)&amp;" koli")</f>
        <v/>
      </c>
      <c r="Z811" t="str">
        <f>IF($AS811="","",Config!$B$21)</f>
        <v/>
      </c>
      <c r="AA811" t="str">
        <f>IF($AS811="","",Config!$B$22)</f>
        <v/>
      </c>
      <c r="AB811" t="str">
        <f>IF($AT811="","",INDEX(Calc!$D$2:$D$1601,$AT811))</f>
        <v/>
      </c>
      <c r="AC811" t="str">
        <f>IF($AT811="","",INDEX(Calc!$G$2:$G$1601,$AT811))</f>
        <v/>
      </c>
      <c r="AD811" t="str">
        <f>IF($AS811="","",Config!$B$23)</f>
        <v/>
      </c>
      <c r="AE811" t="str">
        <f>IF($AS811="","",Config!$B$28)</f>
        <v/>
      </c>
      <c r="AF811" t="str">
        <f t="shared" si="74"/>
        <v/>
      </c>
      <c r="AG811" t="str">
        <f t="shared" si="75"/>
        <v/>
      </c>
      <c r="AH811" t="str">
        <f t="shared" si="76"/>
        <v/>
      </c>
      <c r="AI811" t="str">
        <f>IF($AG811="","",SUMIF($AG$2:$AG811,$AG811,$AH$2:$AH811))</f>
        <v/>
      </c>
      <c r="AJ811" t="str">
        <f>IF('TMP Paste'!$F811="","",IF('TMP Paste'!$B811="",$AJ810,'TMP Paste'!$B811))</f>
        <v/>
      </c>
      <c r="AK811" t="str">
        <f>IF('TMP Paste'!$F811="","",N('TMP Paste'!$G811))</f>
        <v/>
      </c>
      <c r="AL811" t="str">
        <f>IF('TMP Paste'!$F811="","",IF('TMP Paste'!$M811="",$AL810,'TMP Paste'!$M811))</f>
        <v/>
      </c>
      <c r="AM811" t="str">
        <f>IF('TMP Paste'!$F811="","",IF('TMP Paste'!$N811="",$AM810,'TMP Paste'!$N811))</f>
        <v/>
      </c>
      <c r="AN811" t="str">
        <f>IF('TMP Paste'!$F811="","",IF('TMP Paste'!$O811="",$AN810,'TMP Paste'!$O811))</f>
        <v/>
      </c>
      <c r="AO811" t="str">
        <f>IF('TMP Paste'!$F811="","",IF('TMP Paste'!$P811="",$AO810,'TMP Paste'!$P811))</f>
        <v/>
      </c>
      <c r="AP811" t="str">
        <f t="shared" si="77"/>
        <v/>
      </c>
      <c r="AQ811" t="str">
        <f>IF($AS811="","",TRIM(IF(COUNTIFS(Calc!$B$2:$B$1601,ROW()-1,Calc!$C$2:$C$1601,"&lt;1")&gt;0,"Ada PO tanpa Koli - cek TMP. ","")&amp;IF(OR($AU811="",$AU811&lt;=0),"Volume kosong/0 - dimensi dikosongkan. ","")&amp;IF(AND($AU811&lt;&gt;"",$AU811&gt;=1000000),"Volume &gt;= 1.000.000 cm3 (di luar aturan) - dimensi dikosongkan. ","")&amp;IF(LEN($R811)&gt;500,"R &gt; 500 karakter.","")))</f>
        <v/>
      </c>
      <c r="AS811" t="str">
        <f>IFERROR(MATCH(ROW()-1,Calc!$J$2:$J$1601,0),"")</f>
        <v/>
      </c>
      <c r="AT811" t="str">
        <f>IFERROR(MATCH(ROW()-1,Calc!$K$2:$K$1601,0),"")</f>
        <v/>
      </c>
      <c r="AU811" t="str">
        <f>IF($AS811="","",IFERROR(INDEX('TMP Paste'!$D$2:$D$1601,$AS811)*1000000/$AB811,""))</f>
        <v/>
      </c>
    </row>
    <row r="812" spans="1:47">
      <c r="A812" t="str">
        <f>IF($AS812="","",INDEX('TMP Paste'!$B$2:$B$1601,$AS812))</f>
        <v/>
      </c>
      <c r="B812" t="str">
        <f>IF($AS812="","",Config!$B$14)</f>
        <v/>
      </c>
      <c r="C812" t="str">
        <f>IF($AS812="","",Config!$B$15)</f>
        <v/>
      </c>
      <c r="D812" t="str">
        <f>IF($AS812="","",INDEX('TMP Paste'!$B$2:$B$1601,$AS812))</f>
        <v/>
      </c>
      <c r="E812" t="str">
        <f>IF($AS812="","",Config!$B$27)</f>
        <v/>
      </c>
      <c r="F812" t="str">
        <f>IF($AS812="","",Config!$B$9)</f>
        <v/>
      </c>
      <c r="G812" t="str">
        <f>IF($AS812="","",Config!$B$10)</f>
        <v/>
      </c>
      <c r="H812" t="str">
        <f>IF($AS812="","",Config!$B$11)</f>
        <v/>
      </c>
      <c r="I812" t="str">
        <f>IF($AS812="","",Config!$B$16)</f>
        <v/>
      </c>
      <c r="J812" t="str">
        <f>IF($AS812="","",INDEX('TMP Paste'!$A$2:$A$1601,$AS812))</f>
        <v/>
      </c>
      <c r="K812" t="str">
        <f>IF($AS812="","",INDEX('TMP Paste'!$L$2:$L$1601,$AS812))</f>
        <v/>
      </c>
      <c r="L812" t="str">
        <f>IF($AS812="","",INDEX('TMP Paste'!$I$2:$I$1601,$AS812))</f>
        <v/>
      </c>
      <c r="M812" t="str">
        <f>IF($AS812="","",Config!$B$16)</f>
        <v/>
      </c>
      <c r="N812" t="str">
        <f t="shared" si="72"/>
        <v/>
      </c>
      <c r="O812" t="str">
        <f>IF($AS812="","",INDEX('TMP Paste'!$K$2:$K$1601,$AS812))</f>
        <v/>
      </c>
      <c r="P812" t="str">
        <f t="shared" si="73"/>
        <v/>
      </c>
      <c r="Q812" t="str">
        <f>IF($AS812="","",INDEX('TMP Paste'!$J$2:$J$1601,$AS812))</f>
        <v/>
      </c>
      <c r="R812" t="str">
        <f>IF($AS812="","",Config!$B$24)</f>
        <v/>
      </c>
      <c r="S812" t="str">
        <f ca="1">IF($AS812="","",TEXT(Config!$B$4,"yyyy-mm-dd"))</f>
        <v/>
      </c>
      <c r="T812" t="str">
        <f>IF($AS812="","",Config!$B$17)</f>
        <v/>
      </c>
      <c r="U812" t="str">
        <f>IF($AS812="","",Config!$B$18)</f>
        <v/>
      </c>
      <c r="V812" t="str">
        <f>IF($AS812="","",Config!$B$19)</f>
        <v/>
      </c>
      <c r="W812" t="str">
        <f>IF($AS812="","",INDEX('TMP Paste'!$C$2:$C$1601,$AS812))</f>
        <v/>
      </c>
      <c r="X812" t="str">
        <f>IF($AS812="","",Config!$B$29)</f>
        <v/>
      </c>
      <c r="Y812" t="str">
        <f>IF($AT812="","",INDEX(Calc!$I$2:$I$1601,$AT812)&amp;" - "&amp;INDEX(Calc!$D$2:$D$1601,$AT812)&amp;" koli")</f>
        <v/>
      </c>
      <c r="Z812" t="str">
        <f>IF($AS812="","",Config!$B$21)</f>
        <v/>
      </c>
      <c r="AA812" t="str">
        <f>IF($AS812="","",Config!$B$22)</f>
        <v/>
      </c>
      <c r="AB812" t="str">
        <f>IF($AT812="","",INDEX(Calc!$D$2:$D$1601,$AT812))</f>
        <v/>
      </c>
      <c r="AC812" t="str">
        <f>IF($AT812="","",INDEX(Calc!$G$2:$G$1601,$AT812))</f>
        <v/>
      </c>
      <c r="AD812" t="str">
        <f>IF($AS812="","",Config!$B$23)</f>
        <v/>
      </c>
      <c r="AE812" t="str">
        <f>IF($AS812="","",Config!$B$28)</f>
        <v/>
      </c>
      <c r="AF812" t="str">
        <f t="shared" si="74"/>
        <v/>
      </c>
      <c r="AG812" t="str">
        <f t="shared" si="75"/>
        <v/>
      </c>
      <c r="AH812" t="str">
        <f t="shared" si="76"/>
        <v/>
      </c>
      <c r="AI812" t="str">
        <f>IF($AG812="","",SUMIF($AG$2:$AG812,$AG812,$AH$2:$AH812))</f>
        <v/>
      </c>
      <c r="AJ812" t="str">
        <f>IF('TMP Paste'!$F812="","",IF('TMP Paste'!$B812="",$AJ811,'TMP Paste'!$B812))</f>
        <v/>
      </c>
      <c r="AK812" t="str">
        <f>IF('TMP Paste'!$F812="","",N('TMP Paste'!$G812))</f>
        <v/>
      </c>
      <c r="AL812" t="str">
        <f>IF('TMP Paste'!$F812="","",IF('TMP Paste'!$M812="",$AL811,'TMP Paste'!$M812))</f>
        <v/>
      </c>
      <c r="AM812" t="str">
        <f>IF('TMP Paste'!$F812="","",IF('TMP Paste'!$N812="",$AM811,'TMP Paste'!$N812))</f>
        <v/>
      </c>
      <c r="AN812" t="str">
        <f>IF('TMP Paste'!$F812="","",IF('TMP Paste'!$O812="",$AN811,'TMP Paste'!$O812))</f>
        <v/>
      </c>
      <c r="AO812" t="str">
        <f>IF('TMP Paste'!$F812="","",IF('TMP Paste'!$P812="",$AO811,'TMP Paste'!$P812))</f>
        <v/>
      </c>
      <c r="AP812" t="str">
        <f t="shared" si="77"/>
        <v/>
      </c>
      <c r="AQ812" t="str">
        <f>IF($AS812="","",TRIM(IF(COUNTIFS(Calc!$B$2:$B$1601,ROW()-1,Calc!$C$2:$C$1601,"&lt;1")&gt;0,"Ada PO tanpa Koli - cek TMP. ","")&amp;IF(OR($AU812="",$AU812&lt;=0),"Volume kosong/0 - dimensi dikosongkan. ","")&amp;IF(AND($AU812&lt;&gt;"",$AU812&gt;=1000000),"Volume &gt;= 1.000.000 cm3 (di luar aturan) - dimensi dikosongkan. ","")&amp;IF(LEN($R812)&gt;500,"R &gt; 500 karakter.","")))</f>
        <v/>
      </c>
      <c r="AS812" t="str">
        <f>IFERROR(MATCH(ROW()-1,Calc!$J$2:$J$1601,0),"")</f>
        <v/>
      </c>
      <c r="AT812" t="str">
        <f>IFERROR(MATCH(ROW()-1,Calc!$K$2:$K$1601,0),"")</f>
        <v/>
      </c>
      <c r="AU812" t="str">
        <f>IF($AS812="","",IFERROR(INDEX('TMP Paste'!$D$2:$D$1601,$AS812)*1000000/$AB812,""))</f>
        <v/>
      </c>
    </row>
    <row r="813" spans="1:47">
      <c r="A813" t="str">
        <f>IF($AS813="","",INDEX('TMP Paste'!$B$2:$B$1601,$AS813))</f>
        <v/>
      </c>
      <c r="B813" t="str">
        <f>IF($AS813="","",Config!$B$14)</f>
        <v/>
      </c>
      <c r="C813" t="str">
        <f>IF($AS813="","",Config!$B$15)</f>
        <v/>
      </c>
      <c r="D813" t="str">
        <f>IF($AS813="","",INDEX('TMP Paste'!$B$2:$B$1601,$AS813))</f>
        <v/>
      </c>
      <c r="E813" t="str">
        <f>IF($AS813="","",Config!$B$27)</f>
        <v/>
      </c>
      <c r="F813" t="str">
        <f>IF($AS813="","",Config!$B$9)</f>
        <v/>
      </c>
      <c r="G813" t="str">
        <f>IF($AS813="","",Config!$B$10)</f>
        <v/>
      </c>
      <c r="H813" t="str">
        <f>IF($AS813="","",Config!$B$11)</f>
        <v/>
      </c>
      <c r="I813" t="str">
        <f>IF($AS813="","",Config!$B$16)</f>
        <v/>
      </c>
      <c r="J813" t="str">
        <f>IF($AS813="","",INDEX('TMP Paste'!$A$2:$A$1601,$AS813))</f>
        <v/>
      </c>
      <c r="K813" t="str">
        <f>IF($AS813="","",INDEX('TMP Paste'!$L$2:$L$1601,$AS813))</f>
        <v/>
      </c>
      <c r="L813" t="str">
        <f>IF($AS813="","",INDEX('TMP Paste'!$I$2:$I$1601,$AS813))</f>
        <v/>
      </c>
      <c r="M813" t="str">
        <f>IF($AS813="","",Config!$B$16)</f>
        <v/>
      </c>
      <c r="N813" t="str">
        <f t="shared" si="72"/>
        <v/>
      </c>
      <c r="O813" t="str">
        <f>IF($AS813="","",INDEX('TMP Paste'!$K$2:$K$1601,$AS813))</f>
        <v/>
      </c>
      <c r="P813" t="str">
        <f t="shared" si="73"/>
        <v/>
      </c>
      <c r="Q813" t="str">
        <f>IF($AS813="","",INDEX('TMP Paste'!$J$2:$J$1601,$AS813))</f>
        <v/>
      </c>
      <c r="R813" t="str">
        <f>IF($AS813="","",Config!$B$24)</f>
        <v/>
      </c>
      <c r="S813" t="str">
        <f ca="1">IF($AS813="","",TEXT(Config!$B$4,"yyyy-mm-dd"))</f>
        <v/>
      </c>
      <c r="T813" t="str">
        <f>IF($AS813="","",Config!$B$17)</f>
        <v/>
      </c>
      <c r="U813" t="str">
        <f>IF($AS813="","",Config!$B$18)</f>
        <v/>
      </c>
      <c r="V813" t="str">
        <f>IF($AS813="","",Config!$B$19)</f>
        <v/>
      </c>
      <c r="W813" t="str">
        <f>IF($AS813="","",INDEX('TMP Paste'!$C$2:$C$1601,$AS813))</f>
        <v/>
      </c>
      <c r="X813" t="str">
        <f>IF($AS813="","",Config!$B$29)</f>
        <v/>
      </c>
      <c r="Y813" t="str">
        <f>IF($AT813="","",INDEX(Calc!$I$2:$I$1601,$AT813)&amp;" - "&amp;INDEX(Calc!$D$2:$D$1601,$AT813)&amp;" koli")</f>
        <v/>
      </c>
      <c r="Z813" t="str">
        <f>IF($AS813="","",Config!$B$21)</f>
        <v/>
      </c>
      <c r="AA813" t="str">
        <f>IF($AS813="","",Config!$B$22)</f>
        <v/>
      </c>
      <c r="AB813" t="str">
        <f>IF($AT813="","",INDEX(Calc!$D$2:$D$1601,$AT813))</f>
        <v/>
      </c>
      <c r="AC813" t="str">
        <f>IF($AT813="","",INDEX(Calc!$G$2:$G$1601,$AT813))</f>
        <v/>
      </c>
      <c r="AD813" t="str">
        <f>IF($AS813="","",Config!$B$23)</f>
        <v/>
      </c>
      <c r="AE813" t="str">
        <f>IF($AS813="","",Config!$B$28)</f>
        <v/>
      </c>
      <c r="AF813" t="str">
        <f t="shared" si="74"/>
        <v/>
      </c>
      <c r="AG813" t="str">
        <f t="shared" si="75"/>
        <v/>
      </c>
      <c r="AH813" t="str">
        <f t="shared" si="76"/>
        <v/>
      </c>
      <c r="AI813" t="str">
        <f>IF($AG813="","",SUMIF($AG$2:$AG813,$AG813,$AH$2:$AH813))</f>
        <v/>
      </c>
      <c r="AJ813" t="str">
        <f>IF('TMP Paste'!$F813="","",IF('TMP Paste'!$B813="",$AJ812,'TMP Paste'!$B813))</f>
        <v/>
      </c>
      <c r="AK813" t="str">
        <f>IF('TMP Paste'!$F813="","",N('TMP Paste'!$G813))</f>
        <v/>
      </c>
      <c r="AL813" t="str">
        <f>IF('TMP Paste'!$F813="","",IF('TMP Paste'!$M813="",$AL812,'TMP Paste'!$M813))</f>
        <v/>
      </c>
      <c r="AM813" t="str">
        <f>IF('TMP Paste'!$F813="","",IF('TMP Paste'!$N813="",$AM812,'TMP Paste'!$N813))</f>
        <v/>
      </c>
      <c r="AN813" t="str">
        <f>IF('TMP Paste'!$F813="","",IF('TMP Paste'!$O813="",$AN812,'TMP Paste'!$O813))</f>
        <v/>
      </c>
      <c r="AO813" t="str">
        <f>IF('TMP Paste'!$F813="","",IF('TMP Paste'!$P813="",$AO812,'TMP Paste'!$P813))</f>
        <v/>
      </c>
      <c r="AP813" t="str">
        <f t="shared" si="77"/>
        <v/>
      </c>
      <c r="AQ813" t="str">
        <f>IF($AS813="","",TRIM(IF(COUNTIFS(Calc!$B$2:$B$1601,ROW()-1,Calc!$C$2:$C$1601,"&lt;1")&gt;0,"Ada PO tanpa Koli - cek TMP. ","")&amp;IF(OR($AU813="",$AU813&lt;=0),"Volume kosong/0 - dimensi dikosongkan. ","")&amp;IF(AND($AU813&lt;&gt;"",$AU813&gt;=1000000),"Volume &gt;= 1.000.000 cm3 (di luar aturan) - dimensi dikosongkan. ","")&amp;IF(LEN($R813)&gt;500,"R &gt; 500 karakter.","")))</f>
        <v/>
      </c>
      <c r="AS813" t="str">
        <f>IFERROR(MATCH(ROW()-1,Calc!$J$2:$J$1601,0),"")</f>
        <v/>
      </c>
      <c r="AT813" t="str">
        <f>IFERROR(MATCH(ROW()-1,Calc!$K$2:$K$1601,0),"")</f>
        <v/>
      </c>
      <c r="AU813" t="str">
        <f>IF($AS813="","",IFERROR(INDEX('TMP Paste'!$D$2:$D$1601,$AS813)*1000000/$AB813,""))</f>
        <v/>
      </c>
    </row>
    <row r="814" spans="1:47">
      <c r="A814" t="str">
        <f>IF($AS814="","",INDEX('TMP Paste'!$B$2:$B$1601,$AS814))</f>
        <v/>
      </c>
      <c r="B814" t="str">
        <f>IF($AS814="","",Config!$B$14)</f>
        <v/>
      </c>
      <c r="C814" t="str">
        <f>IF($AS814="","",Config!$B$15)</f>
        <v/>
      </c>
      <c r="D814" t="str">
        <f>IF($AS814="","",INDEX('TMP Paste'!$B$2:$B$1601,$AS814))</f>
        <v/>
      </c>
      <c r="E814" t="str">
        <f>IF($AS814="","",Config!$B$27)</f>
        <v/>
      </c>
      <c r="F814" t="str">
        <f>IF($AS814="","",Config!$B$9)</f>
        <v/>
      </c>
      <c r="G814" t="str">
        <f>IF($AS814="","",Config!$B$10)</f>
        <v/>
      </c>
      <c r="H814" t="str">
        <f>IF($AS814="","",Config!$B$11)</f>
        <v/>
      </c>
      <c r="I814" t="str">
        <f>IF($AS814="","",Config!$B$16)</f>
        <v/>
      </c>
      <c r="J814" t="str">
        <f>IF($AS814="","",INDEX('TMP Paste'!$A$2:$A$1601,$AS814))</f>
        <v/>
      </c>
      <c r="K814" t="str">
        <f>IF($AS814="","",INDEX('TMP Paste'!$L$2:$L$1601,$AS814))</f>
        <v/>
      </c>
      <c r="L814" t="str">
        <f>IF($AS814="","",INDEX('TMP Paste'!$I$2:$I$1601,$AS814))</f>
        <v/>
      </c>
      <c r="M814" t="str">
        <f>IF($AS814="","",Config!$B$16)</f>
        <v/>
      </c>
      <c r="N814" t="str">
        <f t="shared" si="72"/>
        <v/>
      </c>
      <c r="O814" t="str">
        <f>IF($AS814="","",INDEX('TMP Paste'!$K$2:$K$1601,$AS814))</f>
        <v/>
      </c>
      <c r="P814" t="str">
        <f t="shared" si="73"/>
        <v/>
      </c>
      <c r="Q814" t="str">
        <f>IF($AS814="","",INDEX('TMP Paste'!$J$2:$J$1601,$AS814))</f>
        <v/>
      </c>
      <c r="R814" t="str">
        <f>IF($AS814="","",Config!$B$24)</f>
        <v/>
      </c>
      <c r="S814" t="str">
        <f ca="1">IF($AS814="","",TEXT(Config!$B$4,"yyyy-mm-dd"))</f>
        <v/>
      </c>
      <c r="T814" t="str">
        <f>IF($AS814="","",Config!$B$17)</f>
        <v/>
      </c>
      <c r="U814" t="str">
        <f>IF($AS814="","",Config!$B$18)</f>
        <v/>
      </c>
      <c r="V814" t="str">
        <f>IF($AS814="","",Config!$B$19)</f>
        <v/>
      </c>
      <c r="W814" t="str">
        <f>IF($AS814="","",INDEX('TMP Paste'!$C$2:$C$1601,$AS814))</f>
        <v/>
      </c>
      <c r="X814" t="str">
        <f>IF($AS814="","",Config!$B$29)</f>
        <v/>
      </c>
      <c r="Y814" t="str">
        <f>IF($AT814="","",INDEX(Calc!$I$2:$I$1601,$AT814)&amp;" - "&amp;INDEX(Calc!$D$2:$D$1601,$AT814)&amp;" koli")</f>
        <v/>
      </c>
      <c r="Z814" t="str">
        <f>IF($AS814="","",Config!$B$21)</f>
        <v/>
      </c>
      <c r="AA814" t="str">
        <f>IF($AS814="","",Config!$B$22)</f>
        <v/>
      </c>
      <c r="AB814" t="str">
        <f>IF($AT814="","",INDEX(Calc!$D$2:$D$1601,$AT814))</f>
        <v/>
      </c>
      <c r="AC814" t="str">
        <f>IF($AT814="","",INDEX(Calc!$G$2:$G$1601,$AT814))</f>
        <v/>
      </c>
      <c r="AD814" t="str">
        <f>IF($AS814="","",Config!$B$23)</f>
        <v/>
      </c>
      <c r="AE814" t="str">
        <f>IF($AS814="","",Config!$B$28)</f>
        <v/>
      </c>
      <c r="AF814" t="str">
        <f t="shared" si="74"/>
        <v/>
      </c>
      <c r="AG814" t="str">
        <f t="shared" si="75"/>
        <v/>
      </c>
      <c r="AH814" t="str">
        <f t="shared" si="76"/>
        <v/>
      </c>
      <c r="AI814" t="str">
        <f>IF($AG814="","",SUMIF($AG$2:$AG814,$AG814,$AH$2:$AH814))</f>
        <v/>
      </c>
      <c r="AJ814" t="str">
        <f>IF('TMP Paste'!$F814="","",IF('TMP Paste'!$B814="",$AJ813,'TMP Paste'!$B814))</f>
        <v/>
      </c>
      <c r="AK814" t="str">
        <f>IF('TMP Paste'!$F814="","",N('TMP Paste'!$G814))</f>
        <v/>
      </c>
      <c r="AL814" t="str">
        <f>IF('TMP Paste'!$F814="","",IF('TMP Paste'!$M814="",$AL813,'TMP Paste'!$M814))</f>
        <v/>
      </c>
      <c r="AM814" t="str">
        <f>IF('TMP Paste'!$F814="","",IF('TMP Paste'!$N814="",$AM813,'TMP Paste'!$N814))</f>
        <v/>
      </c>
      <c r="AN814" t="str">
        <f>IF('TMP Paste'!$F814="","",IF('TMP Paste'!$O814="",$AN813,'TMP Paste'!$O814))</f>
        <v/>
      </c>
      <c r="AO814" t="str">
        <f>IF('TMP Paste'!$F814="","",IF('TMP Paste'!$P814="",$AO813,'TMP Paste'!$P814))</f>
        <v/>
      </c>
      <c r="AP814" t="str">
        <f t="shared" si="77"/>
        <v/>
      </c>
      <c r="AQ814" t="str">
        <f>IF($AS814="","",TRIM(IF(COUNTIFS(Calc!$B$2:$B$1601,ROW()-1,Calc!$C$2:$C$1601,"&lt;1")&gt;0,"Ada PO tanpa Koli - cek TMP. ","")&amp;IF(OR($AU814="",$AU814&lt;=0),"Volume kosong/0 - dimensi dikosongkan. ","")&amp;IF(AND($AU814&lt;&gt;"",$AU814&gt;=1000000),"Volume &gt;= 1.000.000 cm3 (di luar aturan) - dimensi dikosongkan. ","")&amp;IF(LEN($R814)&gt;500,"R &gt; 500 karakter.","")))</f>
        <v/>
      </c>
      <c r="AS814" t="str">
        <f>IFERROR(MATCH(ROW()-1,Calc!$J$2:$J$1601,0),"")</f>
        <v/>
      </c>
      <c r="AT814" t="str">
        <f>IFERROR(MATCH(ROW()-1,Calc!$K$2:$K$1601,0),"")</f>
        <v/>
      </c>
      <c r="AU814" t="str">
        <f>IF($AS814="","",IFERROR(INDEX('TMP Paste'!$D$2:$D$1601,$AS814)*1000000/$AB814,""))</f>
        <v/>
      </c>
    </row>
    <row r="815" spans="1:47">
      <c r="A815" t="str">
        <f>IF($AS815="","",INDEX('TMP Paste'!$B$2:$B$1601,$AS815))</f>
        <v/>
      </c>
      <c r="B815" t="str">
        <f>IF($AS815="","",Config!$B$14)</f>
        <v/>
      </c>
      <c r="C815" t="str">
        <f>IF($AS815="","",Config!$B$15)</f>
        <v/>
      </c>
      <c r="D815" t="str">
        <f>IF($AS815="","",INDEX('TMP Paste'!$B$2:$B$1601,$AS815))</f>
        <v/>
      </c>
      <c r="E815" t="str">
        <f>IF($AS815="","",Config!$B$27)</f>
        <v/>
      </c>
      <c r="F815" t="str">
        <f>IF($AS815="","",Config!$B$9)</f>
        <v/>
      </c>
      <c r="G815" t="str">
        <f>IF($AS815="","",Config!$B$10)</f>
        <v/>
      </c>
      <c r="H815" t="str">
        <f>IF($AS815="","",Config!$B$11)</f>
        <v/>
      </c>
      <c r="I815" t="str">
        <f>IF($AS815="","",Config!$B$16)</f>
        <v/>
      </c>
      <c r="J815" t="str">
        <f>IF($AS815="","",INDEX('TMP Paste'!$A$2:$A$1601,$AS815))</f>
        <v/>
      </c>
      <c r="K815" t="str">
        <f>IF($AS815="","",INDEX('TMP Paste'!$L$2:$L$1601,$AS815))</f>
        <v/>
      </c>
      <c r="L815" t="str">
        <f>IF($AS815="","",INDEX('TMP Paste'!$I$2:$I$1601,$AS815))</f>
        <v/>
      </c>
      <c r="M815" t="str">
        <f>IF($AS815="","",Config!$B$16)</f>
        <v/>
      </c>
      <c r="N815" t="str">
        <f t="shared" si="72"/>
        <v/>
      </c>
      <c r="O815" t="str">
        <f>IF($AS815="","",INDEX('TMP Paste'!$K$2:$K$1601,$AS815))</f>
        <v/>
      </c>
      <c r="P815" t="str">
        <f t="shared" si="73"/>
        <v/>
      </c>
      <c r="Q815" t="str">
        <f>IF($AS815="","",INDEX('TMP Paste'!$J$2:$J$1601,$AS815))</f>
        <v/>
      </c>
      <c r="R815" t="str">
        <f>IF($AS815="","",Config!$B$24)</f>
        <v/>
      </c>
      <c r="S815" t="str">
        <f ca="1">IF($AS815="","",TEXT(Config!$B$4,"yyyy-mm-dd"))</f>
        <v/>
      </c>
      <c r="T815" t="str">
        <f>IF($AS815="","",Config!$B$17)</f>
        <v/>
      </c>
      <c r="U815" t="str">
        <f>IF($AS815="","",Config!$B$18)</f>
        <v/>
      </c>
      <c r="V815" t="str">
        <f>IF($AS815="","",Config!$B$19)</f>
        <v/>
      </c>
      <c r="W815" t="str">
        <f>IF($AS815="","",INDEX('TMP Paste'!$C$2:$C$1601,$AS815))</f>
        <v/>
      </c>
      <c r="X815" t="str">
        <f>IF($AS815="","",Config!$B$29)</f>
        <v/>
      </c>
      <c r="Y815" t="str">
        <f>IF($AT815="","",INDEX(Calc!$I$2:$I$1601,$AT815)&amp;" - "&amp;INDEX(Calc!$D$2:$D$1601,$AT815)&amp;" koli")</f>
        <v/>
      </c>
      <c r="Z815" t="str">
        <f>IF($AS815="","",Config!$B$21)</f>
        <v/>
      </c>
      <c r="AA815" t="str">
        <f>IF($AS815="","",Config!$B$22)</f>
        <v/>
      </c>
      <c r="AB815" t="str">
        <f>IF($AT815="","",INDEX(Calc!$D$2:$D$1601,$AT815))</f>
        <v/>
      </c>
      <c r="AC815" t="str">
        <f>IF($AT815="","",INDEX(Calc!$G$2:$G$1601,$AT815))</f>
        <v/>
      </c>
      <c r="AD815" t="str">
        <f>IF($AS815="","",Config!$B$23)</f>
        <v/>
      </c>
      <c r="AE815" t="str">
        <f>IF($AS815="","",Config!$B$28)</f>
        <v/>
      </c>
      <c r="AF815" t="str">
        <f t="shared" si="74"/>
        <v/>
      </c>
      <c r="AG815" t="str">
        <f t="shared" si="75"/>
        <v/>
      </c>
      <c r="AH815" t="str">
        <f t="shared" si="76"/>
        <v/>
      </c>
      <c r="AI815" t="str">
        <f>IF($AG815="","",SUMIF($AG$2:$AG815,$AG815,$AH$2:$AH815))</f>
        <v/>
      </c>
      <c r="AJ815" t="str">
        <f>IF('TMP Paste'!$F815="","",IF('TMP Paste'!$B815="",$AJ814,'TMP Paste'!$B815))</f>
        <v/>
      </c>
      <c r="AK815" t="str">
        <f>IF('TMP Paste'!$F815="","",N('TMP Paste'!$G815))</f>
        <v/>
      </c>
      <c r="AL815" t="str">
        <f>IF('TMP Paste'!$F815="","",IF('TMP Paste'!$M815="",$AL814,'TMP Paste'!$M815))</f>
        <v/>
      </c>
      <c r="AM815" t="str">
        <f>IF('TMP Paste'!$F815="","",IF('TMP Paste'!$N815="",$AM814,'TMP Paste'!$N815))</f>
        <v/>
      </c>
      <c r="AN815" t="str">
        <f>IF('TMP Paste'!$F815="","",IF('TMP Paste'!$O815="",$AN814,'TMP Paste'!$O815))</f>
        <v/>
      </c>
      <c r="AO815" t="str">
        <f>IF('TMP Paste'!$F815="","",IF('TMP Paste'!$P815="",$AO814,'TMP Paste'!$P815))</f>
        <v/>
      </c>
      <c r="AP815" t="str">
        <f t="shared" si="77"/>
        <v/>
      </c>
      <c r="AQ815" t="str">
        <f>IF($AS815="","",TRIM(IF(COUNTIFS(Calc!$B$2:$B$1601,ROW()-1,Calc!$C$2:$C$1601,"&lt;1")&gt;0,"Ada PO tanpa Koli - cek TMP. ","")&amp;IF(OR($AU815="",$AU815&lt;=0),"Volume kosong/0 - dimensi dikosongkan. ","")&amp;IF(AND($AU815&lt;&gt;"",$AU815&gt;=1000000),"Volume &gt;= 1.000.000 cm3 (di luar aturan) - dimensi dikosongkan. ","")&amp;IF(LEN($R815)&gt;500,"R &gt; 500 karakter.","")))</f>
        <v/>
      </c>
      <c r="AS815" t="str">
        <f>IFERROR(MATCH(ROW()-1,Calc!$J$2:$J$1601,0),"")</f>
        <v/>
      </c>
      <c r="AT815" t="str">
        <f>IFERROR(MATCH(ROW()-1,Calc!$K$2:$K$1601,0),"")</f>
        <v/>
      </c>
      <c r="AU815" t="str">
        <f>IF($AS815="","",IFERROR(INDEX('TMP Paste'!$D$2:$D$1601,$AS815)*1000000/$AB815,""))</f>
        <v/>
      </c>
    </row>
    <row r="816" spans="1:47">
      <c r="A816" t="str">
        <f>IF($AS816="","",INDEX('TMP Paste'!$B$2:$B$1601,$AS816))</f>
        <v/>
      </c>
      <c r="B816" t="str">
        <f>IF($AS816="","",Config!$B$14)</f>
        <v/>
      </c>
      <c r="C816" t="str">
        <f>IF($AS816="","",Config!$B$15)</f>
        <v/>
      </c>
      <c r="D816" t="str">
        <f>IF($AS816="","",INDEX('TMP Paste'!$B$2:$B$1601,$AS816))</f>
        <v/>
      </c>
      <c r="E816" t="str">
        <f>IF($AS816="","",Config!$B$27)</f>
        <v/>
      </c>
      <c r="F816" t="str">
        <f>IF($AS816="","",Config!$B$9)</f>
        <v/>
      </c>
      <c r="G816" t="str">
        <f>IF($AS816="","",Config!$B$10)</f>
        <v/>
      </c>
      <c r="H816" t="str">
        <f>IF($AS816="","",Config!$B$11)</f>
        <v/>
      </c>
      <c r="I816" t="str">
        <f>IF($AS816="","",Config!$B$16)</f>
        <v/>
      </c>
      <c r="J816" t="str">
        <f>IF($AS816="","",INDEX('TMP Paste'!$A$2:$A$1601,$AS816))</f>
        <v/>
      </c>
      <c r="K816" t="str">
        <f>IF($AS816="","",INDEX('TMP Paste'!$L$2:$L$1601,$AS816))</f>
        <v/>
      </c>
      <c r="L816" t="str">
        <f>IF($AS816="","",INDEX('TMP Paste'!$I$2:$I$1601,$AS816))</f>
        <v/>
      </c>
      <c r="M816" t="str">
        <f>IF($AS816="","",Config!$B$16)</f>
        <v/>
      </c>
      <c r="N816" t="str">
        <f t="shared" si="72"/>
        <v/>
      </c>
      <c r="O816" t="str">
        <f>IF($AS816="","",INDEX('TMP Paste'!$K$2:$K$1601,$AS816))</f>
        <v/>
      </c>
      <c r="P816" t="str">
        <f t="shared" si="73"/>
        <v/>
      </c>
      <c r="Q816" t="str">
        <f>IF($AS816="","",INDEX('TMP Paste'!$J$2:$J$1601,$AS816))</f>
        <v/>
      </c>
      <c r="R816" t="str">
        <f>IF($AS816="","",Config!$B$24)</f>
        <v/>
      </c>
      <c r="S816" t="str">
        <f ca="1">IF($AS816="","",TEXT(Config!$B$4,"yyyy-mm-dd"))</f>
        <v/>
      </c>
      <c r="T816" t="str">
        <f>IF($AS816="","",Config!$B$17)</f>
        <v/>
      </c>
      <c r="U816" t="str">
        <f>IF($AS816="","",Config!$B$18)</f>
        <v/>
      </c>
      <c r="V816" t="str">
        <f>IF($AS816="","",Config!$B$19)</f>
        <v/>
      </c>
      <c r="W816" t="str">
        <f>IF($AS816="","",INDEX('TMP Paste'!$C$2:$C$1601,$AS816))</f>
        <v/>
      </c>
      <c r="X816" t="str">
        <f>IF($AS816="","",Config!$B$29)</f>
        <v/>
      </c>
      <c r="Y816" t="str">
        <f>IF($AT816="","",INDEX(Calc!$I$2:$I$1601,$AT816)&amp;" - "&amp;INDEX(Calc!$D$2:$D$1601,$AT816)&amp;" koli")</f>
        <v/>
      </c>
      <c r="Z816" t="str">
        <f>IF($AS816="","",Config!$B$21)</f>
        <v/>
      </c>
      <c r="AA816" t="str">
        <f>IF($AS816="","",Config!$B$22)</f>
        <v/>
      </c>
      <c r="AB816" t="str">
        <f>IF($AT816="","",INDEX(Calc!$D$2:$D$1601,$AT816))</f>
        <v/>
      </c>
      <c r="AC816" t="str">
        <f>IF($AT816="","",INDEX(Calc!$G$2:$G$1601,$AT816))</f>
        <v/>
      </c>
      <c r="AD816" t="str">
        <f>IF($AS816="","",Config!$B$23)</f>
        <v/>
      </c>
      <c r="AE816" t="str">
        <f>IF($AS816="","",Config!$B$28)</f>
        <v/>
      </c>
      <c r="AF816" t="str">
        <f t="shared" si="74"/>
        <v/>
      </c>
      <c r="AG816" t="str">
        <f t="shared" si="75"/>
        <v/>
      </c>
      <c r="AH816" t="str">
        <f t="shared" si="76"/>
        <v/>
      </c>
      <c r="AI816" t="str">
        <f>IF($AG816="","",SUMIF($AG$2:$AG816,$AG816,$AH$2:$AH816))</f>
        <v/>
      </c>
      <c r="AJ816" t="str">
        <f>IF('TMP Paste'!$F816="","",IF('TMP Paste'!$B816="",$AJ815,'TMP Paste'!$B816))</f>
        <v/>
      </c>
      <c r="AK816" t="str">
        <f>IF('TMP Paste'!$F816="","",N('TMP Paste'!$G816))</f>
        <v/>
      </c>
      <c r="AL816" t="str">
        <f>IF('TMP Paste'!$F816="","",IF('TMP Paste'!$M816="",$AL815,'TMP Paste'!$M816))</f>
        <v/>
      </c>
      <c r="AM816" t="str">
        <f>IF('TMP Paste'!$F816="","",IF('TMP Paste'!$N816="",$AM815,'TMP Paste'!$N816))</f>
        <v/>
      </c>
      <c r="AN816" t="str">
        <f>IF('TMP Paste'!$F816="","",IF('TMP Paste'!$O816="",$AN815,'TMP Paste'!$O816))</f>
        <v/>
      </c>
      <c r="AO816" t="str">
        <f>IF('TMP Paste'!$F816="","",IF('TMP Paste'!$P816="",$AO815,'TMP Paste'!$P816))</f>
        <v/>
      </c>
      <c r="AP816" t="str">
        <f t="shared" si="77"/>
        <v/>
      </c>
      <c r="AQ816" t="str">
        <f>IF($AS816="","",TRIM(IF(COUNTIFS(Calc!$B$2:$B$1601,ROW()-1,Calc!$C$2:$C$1601,"&lt;1")&gt;0,"Ada PO tanpa Koli - cek TMP. ","")&amp;IF(OR($AU816="",$AU816&lt;=0),"Volume kosong/0 - dimensi dikosongkan. ","")&amp;IF(AND($AU816&lt;&gt;"",$AU816&gt;=1000000),"Volume &gt;= 1.000.000 cm3 (di luar aturan) - dimensi dikosongkan. ","")&amp;IF(LEN($R816)&gt;500,"R &gt; 500 karakter.","")))</f>
        <v/>
      </c>
      <c r="AS816" t="str">
        <f>IFERROR(MATCH(ROW()-1,Calc!$J$2:$J$1601,0),"")</f>
        <v/>
      </c>
      <c r="AT816" t="str">
        <f>IFERROR(MATCH(ROW()-1,Calc!$K$2:$K$1601,0),"")</f>
        <v/>
      </c>
      <c r="AU816" t="str">
        <f>IF($AS816="","",IFERROR(INDEX('TMP Paste'!$D$2:$D$1601,$AS816)*1000000/$AB816,""))</f>
        <v/>
      </c>
    </row>
    <row r="817" spans="1:47">
      <c r="A817" t="str">
        <f>IF($AS817="","",INDEX('TMP Paste'!$B$2:$B$1601,$AS817))</f>
        <v/>
      </c>
      <c r="B817" t="str">
        <f>IF($AS817="","",Config!$B$14)</f>
        <v/>
      </c>
      <c r="C817" t="str">
        <f>IF($AS817="","",Config!$B$15)</f>
        <v/>
      </c>
      <c r="D817" t="str">
        <f>IF($AS817="","",INDEX('TMP Paste'!$B$2:$B$1601,$AS817))</f>
        <v/>
      </c>
      <c r="E817" t="str">
        <f>IF($AS817="","",Config!$B$27)</f>
        <v/>
      </c>
      <c r="F817" t="str">
        <f>IF($AS817="","",Config!$B$9)</f>
        <v/>
      </c>
      <c r="G817" t="str">
        <f>IF($AS817="","",Config!$B$10)</f>
        <v/>
      </c>
      <c r="H817" t="str">
        <f>IF($AS817="","",Config!$B$11)</f>
        <v/>
      </c>
      <c r="I817" t="str">
        <f>IF($AS817="","",Config!$B$16)</f>
        <v/>
      </c>
      <c r="J817" t="str">
        <f>IF($AS817="","",INDEX('TMP Paste'!$A$2:$A$1601,$AS817))</f>
        <v/>
      </c>
      <c r="K817" t="str">
        <f>IF($AS817="","",INDEX('TMP Paste'!$L$2:$L$1601,$AS817))</f>
        <v/>
      </c>
      <c r="L817" t="str">
        <f>IF($AS817="","",INDEX('TMP Paste'!$I$2:$I$1601,$AS817))</f>
        <v/>
      </c>
      <c r="M817" t="str">
        <f>IF($AS817="","",Config!$B$16)</f>
        <v/>
      </c>
      <c r="N817" t="str">
        <f t="shared" si="72"/>
        <v/>
      </c>
      <c r="O817" t="str">
        <f>IF($AS817="","",INDEX('TMP Paste'!$K$2:$K$1601,$AS817))</f>
        <v/>
      </c>
      <c r="P817" t="str">
        <f t="shared" si="73"/>
        <v/>
      </c>
      <c r="Q817" t="str">
        <f>IF($AS817="","",INDEX('TMP Paste'!$J$2:$J$1601,$AS817))</f>
        <v/>
      </c>
      <c r="R817" t="str">
        <f>IF($AS817="","",Config!$B$24)</f>
        <v/>
      </c>
      <c r="S817" t="str">
        <f ca="1">IF($AS817="","",TEXT(Config!$B$4,"yyyy-mm-dd"))</f>
        <v/>
      </c>
      <c r="T817" t="str">
        <f>IF($AS817="","",Config!$B$17)</f>
        <v/>
      </c>
      <c r="U817" t="str">
        <f>IF($AS817="","",Config!$B$18)</f>
        <v/>
      </c>
      <c r="V817" t="str">
        <f>IF($AS817="","",Config!$B$19)</f>
        <v/>
      </c>
      <c r="W817" t="str">
        <f>IF($AS817="","",INDEX('TMP Paste'!$C$2:$C$1601,$AS817))</f>
        <v/>
      </c>
      <c r="X817" t="str">
        <f>IF($AS817="","",Config!$B$29)</f>
        <v/>
      </c>
      <c r="Y817" t="str">
        <f>IF($AT817="","",INDEX(Calc!$I$2:$I$1601,$AT817)&amp;" - "&amp;INDEX(Calc!$D$2:$D$1601,$AT817)&amp;" koli")</f>
        <v/>
      </c>
      <c r="Z817" t="str">
        <f>IF($AS817="","",Config!$B$21)</f>
        <v/>
      </c>
      <c r="AA817" t="str">
        <f>IF($AS817="","",Config!$B$22)</f>
        <v/>
      </c>
      <c r="AB817" t="str">
        <f>IF($AT817="","",INDEX(Calc!$D$2:$D$1601,$AT817))</f>
        <v/>
      </c>
      <c r="AC817" t="str">
        <f>IF($AT817="","",INDEX(Calc!$G$2:$G$1601,$AT817))</f>
        <v/>
      </c>
      <c r="AD817" t="str">
        <f>IF($AS817="","",Config!$B$23)</f>
        <v/>
      </c>
      <c r="AE817" t="str">
        <f>IF($AS817="","",Config!$B$28)</f>
        <v/>
      </c>
      <c r="AF817" t="str">
        <f t="shared" si="74"/>
        <v/>
      </c>
      <c r="AG817" t="str">
        <f t="shared" si="75"/>
        <v/>
      </c>
      <c r="AH817" t="str">
        <f t="shared" si="76"/>
        <v/>
      </c>
      <c r="AI817" t="str">
        <f>IF($AG817="","",SUMIF($AG$2:$AG817,$AG817,$AH$2:$AH817))</f>
        <v/>
      </c>
      <c r="AJ817" t="str">
        <f>IF('TMP Paste'!$F817="","",IF('TMP Paste'!$B817="",$AJ816,'TMP Paste'!$B817))</f>
        <v/>
      </c>
      <c r="AK817" t="str">
        <f>IF('TMP Paste'!$F817="","",N('TMP Paste'!$G817))</f>
        <v/>
      </c>
      <c r="AL817" t="str">
        <f>IF('TMP Paste'!$F817="","",IF('TMP Paste'!$M817="",$AL816,'TMP Paste'!$M817))</f>
        <v/>
      </c>
      <c r="AM817" t="str">
        <f>IF('TMP Paste'!$F817="","",IF('TMP Paste'!$N817="",$AM816,'TMP Paste'!$N817))</f>
        <v/>
      </c>
      <c r="AN817" t="str">
        <f>IF('TMP Paste'!$F817="","",IF('TMP Paste'!$O817="",$AN816,'TMP Paste'!$O817))</f>
        <v/>
      </c>
      <c r="AO817" t="str">
        <f>IF('TMP Paste'!$F817="","",IF('TMP Paste'!$P817="",$AO816,'TMP Paste'!$P817))</f>
        <v/>
      </c>
      <c r="AP817" t="str">
        <f t="shared" si="77"/>
        <v/>
      </c>
      <c r="AQ817" t="str">
        <f>IF($AS817="","",TRIM(IF(COUNTIFS(Calc!$B$2:$B$1601,ROW()-1,Calc!$C$2:$C$1601,"&lt;1")&gt;0,"Ada PO tanpa Koli - cek TMP. ","")&amp;IF(OR($AU817="",$AU817&lt;=0),"Volume kosong/0 - dimensi dikosongkan. ","")&amp;IF(AND($AU817&lt;&gt;"",$AU817&gt;=1000000),"Volume &gt;= 1.000.000 cm3 (di luar aturan) - dimensi dikosongkan. ","")&amp;IF(LEN($R817)&gt;500,"R &gt; 500 karakter.","")))</f>
        <v/>
      </c>
      <c r="AS817" t="str">
        <f>IFERROR(MATCH(ROW()-1,Calc!$J$2:$J$1601,0),"")</f>
        <v/>
      </c>
      <c r="AT817" t="str">
        <f>IFERROR(MATCH(ROW()-1,Calc!$K$2:$K$1601,0),"")</f>
        <v/>
      </c>
      <c r="AU817" t="str">
        <f>IF($AS817="","",IFERROR(INDEX('TMP Paste'!$D$2:$D$1601,$AS817)*1000000/$AB817,""))</f>
        <v/>
      </c>
    </row>
    <row r="818" spans="1:47">
      <c r="A818" t="str">
        <f>IF($AS818="","",INDEX('TMP Paste'!$B$2:$B$1601,$AS818))</f>
        <v/>
      </c>
      <c r="B818" t="str">
        <f>IF($AS818="","",Config!$B$14)</f>
        <v/>
      </c>
      <c r="C818" t="str">
        <f>IF($AS818="","",Config!$B$15)</f>
        <v/>
      </c>
      <c r="D818" t="str">
        <f>IF($AS818="","",INDEX('TMP Paste'!$B$2:$B$1601,$AS818))</f>
        <v/>
      </c>
      <c r="E818" t="str">
        <f>IF($AS818="","",Config!$B$27)</f>
        <v/>
      </c>
      <c r="F818" t="str">
        <f>IF($AS818="","",Config!$B$9)</f>
        <v/>
      </c>
      <c r="G818" t="str">
        <f>IF($AS818="","",Config!$B$10)</f>
        <v/>
      </c>
      <c r="H818" t="str">
        <f>IF($AS818="","",Config!$B$11)</f>
        <v/>
      </c>
      <c r="I818" t="str">
        <f>IF($AS818="","",Config!$B$16)</f>
        <v/>
      </c>
      <c r="J818" t="str">
        <f>IF($AS818="","",INDEX('TMP Paste'!$A$2:$A$1601,$AS818))</f>
        <v/>
      </c>
      <c r="K818" t="str">
        <f>IF($AS818="","",INDEX('TMP Paste'!$L$2:$L$1601,$AS818))</f>
        <v/>
      </c>
      <c r="L818" t="str">
        <f>IF($AS818="","",INDEX('TMP Paste'!$I$2:$I$1601,$AS818))</f>
        <v/>
      </c>
      <c r="M818" t="str">
        <f>IF($AS818="","",Config!$B$16)</f>
        <v/>
      </c>
      <c r="N818" t="str">
        <f t="shared" si="72"/>
        <v/>
      </c>
      <c r="O818" t="str">
        <f>IF($AS818="","",INDEX('TMP Paste'!$K$2:$K$1601,$AS818))</f>
        <v/>
      </c>
      <c r="P818" t="str">
        <f t="shared" si="73"/>
        <v/>
      </c>
      <c r="Q818" t="str">
        <f>IF($AS818="","",INDEX('TMP Paste'!$J$2:$J$1601,$AS818))</f>
        <v/>
      </c>
      <c r="R818" t="str">
        <f>IF($AS818="","",Config!$B$24)</f>
        <v/>
      </c>
      <c r="S818" t="str">
        <f ca="1">IF($AS818="","",TEXT(Config!$B$4,"yyyy-mm-dd"))</f>
        <v/>
      </c>
      <c r="T818" t="str">
        <f>IF($AS818="","",Config!$B$17)</f>
        <v/>
      </c>
      <c r="U818" t="str">
        <f>IF($AS818="","",Config!$B$18)</f>
        <v/>
      </c>
      <c r="V818" t="str">
        <f>IF($AS818="","",Config!$B$19)</f>
        <v/>
      </c>
      <c r="W818" t="str">
        <f>IF($AS818="","",INDEX('TMP Paste'!$C$2:$C$1601,$AS818))</f>
        <v/>
      </c>
      <c r="X818" t="str">
        <f>IF($AS818="","",Config!$B$29)</f>
        <v/>
      </c>
      <c r="Y818" t="str">
        <f>IF($AT818="","",INDEX(Calc!$I$2:$I$1601,$AT818)&amp;" - "&amp;INDEX(Calc!$D$2:$D$1601,$AT818)&amp;" koli")</f>
        <v/>
      </c>
      <c r="Z818" t="str">
        <f>IF($AS818="","",Config!$B$21)</f>
        <v/>
      </c>
      <c r="AA818" t="str">
        <f>IF($AS818="","",Config!$B$22)</f>
        <v/>
      </c>
      <c r="AB818" t="str">
        <f>IF($AT818="","",INDEX(Calc!$D$2:$D$1601,$AT818))</f>
        <v/>
      </c>
      <c r="AC818" t="str">
        <f>IF($AT818="","",INDEX(Calc!$G$2:$G$1601,$AT818))</f>
        <v/>
      </c>
      <c r="AD818" t="str">
        <f>IF($AS818="","",Config!$B$23)</f>
        <v/>
      </c>
      <c r="AE818" t="str">
        <f>IF($AS818="","",Config!$B$28)</f>
        <v/>
      </c>
      <c r="AF818" t="str">
        <f t="shared" si="74"/>
        <v/>
      </c>
      <c r="AG818" t="str">
        <f t="shared" si="75"/>
        <v/>
      </c>
      <c r="AH818" t="str">
        <f t="shared" si="76"/>
        <v/>
      </c>
      <c r="AI818" t="str">
        <f>IF($AG818="","",SUMIF($AG$2:$AG818,$AG818,$AH$2:$AH818))</f>
        <v/>
      </c>
      <c r="AJ818" t="str">
        <f>IF('TMP Paste'!$F818="","",IF('TMP Paste'!$B818="",$AJ817,'TMP Paste'!$B818))</f>
        <v/>
      </c>
      <c r="AK818" t="str">
        <f>IF('TMP Paste'!$F818="","",N('TMP Paste'!$G818))</f>
        <v/>
      </c>
      <c r="AL818" t="str">
        <f>IF('TMP Paste'!$F818="","",IF('TMP Paste'!$M818="",$AL817,'TMP Paste'!$M818))</f>
        <v/>
      </c>
      <c r="AM818" t="str">
        <f>IF('TMP Paste'!$F818="","",IF('TMP Paste'!$N818="",$AM817,'TMP Paste'!$N818))</f>
        <v/>
      </c>
      <c r="AN818" t="str">
        <f>IF('TMP Paste'!$F818="","",IF('TMP Paste'!$O818="",$AN817,'TMP Paste'!$O818))</f>
        <v/>
      </c>
      <c r="AO818" t="str">
        <f>IF('TMP Paste'!$F818="","",IF('TMP Paste'!$P818="",$AO817,'TMP Paste'!$P818))</f>
        <v/>
      </c>
      <c r="AP818" t="str">
        <f t="shared" si="77"/>
        <v/>
      </c>
      <c r="AQ818" t="str">
        <f>IF($AS818="","",TRIM(IF(COUNTIFS(Calc!$B$2:$B$1601,ROW()-1,Calc!$C$2:$C$1601,"&lt;1")&gt;0,"Ada PO tanpa Koli - cek TMP. ","")&amp;IF(OR($AU818="",$AU818&lt;=0),"Volume kosong/0 - dimensi dikosongkan. ","")&amp;IF(AND($AU818&lt;&gt;"",$AU818&gt;=1000000),"Volume &gt;= 1.000.000 cm3 (di luar aturan) - dimensi dikosongkan. ","")&amp;IF(LEN($R818)&gt;500,"R &gt; 500 karakter.","")))</f>
        <v/>
      </c>
      <c r="AS818" t="str">
        <f>IFERROR(MATCH(ROW()-1,Calc!$J$2:$J$1601,0),"")</f>
        <v/>
      </c>
      <c r="AT818" t="str">
        <f>IFERROR(MATCH(ROW()-1,Calc!$K$2:$K$1601,0),"")</f>
        <v/>
      </c>
      <c r="AU818" t="str">
        <f>IF($AS818="","",IFERROR(INDEX('TMP Paste'!$D$2:$D$1601,$AS818)*1000000/$AB818,""))</f>
        <v/>
      </c>
    </row>
    <row r="819" spans="1:47">
      <c r="A819" t="str">
        <f>IF($AS819="","",INDEX('TMP Paste'!$B$2:$B$1601,$AS819))</f>
        <v/>
      </c>
      <c r="B819" t="str">
        <f>IF($AS819="","",Config!$B$14)</f>
        <v/>
      </c>
      <c r="C819" t="str">
        <f>IF($AS819="","",Config!$B$15)</f>
        <v/>
      </c>
      <c r="D819" t="str">
        <f>IF($AS819="","",INDEX('TMP Paste'!$B$2:$B$1601,$AS819))</f>
        <v/>
      </c>
      <c r="E819" t="str">
        <f>IF($AS819="","",Config!$B$27)</f>
        <v/>
      </c>
      <c r="F819" t="str">
        <f>IF($AS819="","",Config!$B$9)</f>
        <v/>
      </c>
      <c r="G819" t="str">
        <f>IF($AS819="","",Config!$B$10)</f>
        <v/>
      </c>
      <c r="H819" t="str">
        <f>IF($AS819="","",Config!$B$11)</f>
        <v/>
      </c>
      <c r="I819" t="str">
        <f>IF($AS819="","",Config!$B$16)</f>
        <v/>
      </c>
      <c r="J819" t="str">
        <f>IF($AS819="","",INDEX('TMP Paste'!$A$2:$A$1601,$AS819))</f>
        <v/>
      </c>
      <c r="K819" t="str">
        <f>IF($AS819="","",INDEX('TMP Paste'!$L$2:$L$1601,$AS819))</f>
        <v/>
      </c>
      <c r="L819" t="str">
        <f>IF($AS819="","",INDEX('TMP Paste'!$I$2:$I$1601,$AS819))</f>
        <v/>
      </c>
      <c r="M819" t="str">
        <f>IF($AS819="","",Config!$B$16)</f>
        <v/>
      </c>
      <c r="N819" t="str">
        <f t="shared" si="72"/>
        <v/>
      </c>
      <c r="O819" t="str">
        <f>IF($AS819="","",INDEX('TMP Paste'!$K$2:$K$1601,$AS819))</f>
        <v/>
      </c>
      <c r="P819" t="str">
        <f t="shared" si="73"/>
        <v/>
      </c>
      <c r="Q819" t="str">
        <f>IF($AS819="","",INDEX('TMP Paste'!$J$2:$J$1601,$AS819))</f>
        <v/>
      </c>
      <c r="R819" t="str">
        <f>IF($AS819="","",Config!$B$24)</f>
        <v/>
      </c>
      <c r="S819" t="str">
        <f ca="1">IF($AS819="","",TEXT(Config!$B$4,"yyyy-mm-dd"))</f>
        <v/>
      </c>
      <c r="T819" t="str">
        <f>IF($AS819="","",Config!$B$17)</f>
        <v/>
      </c>
      <c r="U819" t="str">
        <f>IF($AS819="","",Config!$B$18)</f>
        <v/>
      </c>
      <c r="V819" t="str">
        <f>IF($AS819="","",Config!$B$19)</f>
        <v/>
      </c>
      <c r="W819" t="str">
        <f>IF($AS819="","",INDEX('TMP Paste'!$C$2:$C$1601,$AS819))</f>
        <v/>
      </c>
      <c r="X819" t="str">
        <f>IF($AS819="","",Config!$B$29)</f>
        <v/>
      </c>
      <c r="Y819" t="str">
        <f>IF($AT819="","",INDEX(Calc!$I$2:$I$1601,$AT819)&amp;" - "&amp;INDEX(Calc!$D$2:$D$1601,$AT819)&amp;" koli")</f>
        <v/>
      </c>
      <c r="Z819" t="str">
        <f>IF($AS819="","",Config!$B$21)</f>
        <v/>
      </c>
      <c r="AA819" t="str">
        <f>IF($AS819="","",Config!$B$22)</f>
        <v/>
      </c>
      <c r="AB819" t="str">
        <f>IF($AT819="","",INDEX(Calc!$D$2:$D$1601,$AT819))</f>
        <v/>
      </c>
      <c r="AC819" t="str">
        <f>IF($AT819="","",INDEX(Calc!$G$2:$G$1601,$AT819))</f>
        <v/>
      </c>
      <c r="AD819" t="str">
        <f>IF($AS819="","",Config!$B$23)</f>
        <v/>
      </c>
      <c r="AE819" t="str">
        <f>IF($AS819="","",Config!$B$28)</f>
        <v/>
      </c>
      <c r="AF819" t="str">
        <f t="shared" si="74"/>
        <v/>
      </c>
      <c r="AG819" t="str">
        <f t="shared" si="75"/>
        <v/>
      </c>
      <c r="AH819" t="str">
        <f t="shared" si="76"/>
        <v/>
      </c>
      <c r="AI819" t="str">
        <f>IF($AG819="","",SUMIF($AG$2:$AG819,$AG819,$AH$2:$AH819))</f>
        <v/>
      </c>
      <c r="AJ819" t="str">
        <f>IF('TMP Paste'!$F819="","",IF('TMP Paste'!$B819="",$AJ818,'TMP Paste'!$B819))</f>
        <v/>
      </c>
      <c r="AK819" t="str">
        <f>IF('TMP Paste'!$F819="","",N('TMP Paste'!$G819))</f>
        <v/>
      </c>
      <c r="AL819" t="str">
        <f>IF('TMP Paste'!$F819="","",IF('TMP Paste'!$M819="",$AL818,'TMP Paste'!$M819))</f>
        <v/>
      </c>
      <c r="AM819" t="str">
        <f>IF('TMP Paste'!$F819="","",IF('TMP Paste'!$N819="",$AM818,'TMP Paste'!$N819))</f>
        <v/>
      </c>
      <c r="AN819" t="str">
        <f>IF('TMP Paste'!$F819="","",IF('TMP Paste'!$O819="",$AN818,'TMP Paste'!$O819))</f>
        <v/>
      </c>
      <c r="AO819" t="str">
        <f>IF('TMP Paste'!$F819="","",IF('TMP Paste'!$P819="",$AO818,'TMP Paste'!$P819))</f>
        <v/>
      </c>
      <c r="AP819" t="str">
        <f t="shared" si="77"/>
        <v/>
      </c>
      <c r="AQ819" t="str">
        <f>IF($AS819="","",TRIM(IF(COUNTIFS(Calc!$B$2:$B$1601,ROW()-1,Calc!$C$2:$C$1601,"&lt;1")&gt;0,"Ada PO tanpa Koli - cek TMP. ","")&amp;IF(OR($AU819="",$AU819&lt;=0),"Volume kosong/0 - dimensi dikosongkan. ","")&amp;IF(AND($AU819&lt;&gt;"",$AU819&gt;=1000000),"Volume &gt;= 1.000.000 cm3 (di luar aturan) - dimensi dikosongkan. ","")&amp;IF(LEN($R819)&gt;500,"R &gt; 500 karakter.","")))</f>
        <v/>
      </c>
      <c r="AS819" t="str">
        <f>IFERROR(MATCH(ROW()-1,Calc!$J$2:$J$1601,0),"")</f>
        <v/>
      </c>
      <c r="AT819" t="str">
        <f>IFERROR(MATCH(ROW()-1,Calc!$K$2:$K$1601,0),"")</f>
        <v/>
      </c>
      <c r="AU819" t="str">
        <f>IF($AS819="","",IFERROR(INDEX('TMP Paste'!$D$2:$D$1601,$AS819)*1000000/$AB819,""))</f>
        <v/>
      </c>
    </row>
    <row r="820" spans="1:47">
      <c r="A820" t="str">
        <f>IF($AS820="","",INDEX('TMP Paste'!$B$2:$B$1601,$AS820))</f>
        <v/>
      </c>
      <c r="B820" t="str">
        <f>IF($AS820="","",Config!$B$14)</f>
        <v/>
      </c>
      <c r="C820" t="str">
        <f>IF($AS820="","",Config!$B$15)</f>
        <v/>
      </c>
      <c r="D820" t="str">
        <f>IF($AS820="","",INDEX('TMP Paste'!$B$2:$B$1601,$AS820))</f>
        <v/>
      </c>
      <c r="E820" t="str">
        <f>IF($AS820="","",Config!$B$27)</f>
        <v/>
      </c>
      <c r="F820" t="str">
        <f>IF($AS820="","",Config!$B$9)</f>
        <v/>
      </c>
      <c r="G820" t="str">
        <f>IF($AS820="","",Config!$B$10)</f>
        <v/>
      </c>
      <c r="H820" t="str">
        <f>IF($AS820="","",Config!$B$11)</f>
        <v/>
      </c>
      <c r="I820" t="str">
        <f>IF($AS820="","",Config!$B$16)</f>
        <v/>
      </c>
      <c r="J820" t="str">
        <f>IF($AS820="","",INDEX('TMP Paste'!$A$2:$A$1601,$AS820))</f>
        <v/>
      </c>
      <c r="K820" t="str">
        <f>IF($AS820="","",INDEX('TMP Paste'!$L$2:$L$1601,$AS820))</f>
        <v/>
      </c>
      <c r="L820" t="str">
        <f>IF($AS820="","",INDEX('TMP Paste'!$I$2:$I$1601,$AS820))</f>
        <v/>
      </c>
      <c r="M820" t="str">
        <f>IF($AS820="","",Config!$B$16)</f>
        <v/>
      </c>
      <c r="N820" t="str">
        <f t="shared" si="72"/>
        <v/>
      </c>
      <c r="O820" t="str">
        <f>IF($AS820="","",INDEX('TMP Paste'!$K$2:$K$1601,$AS820))</f>
        <v/>
      </c>
      <c r="P820" t="str">
        <f t="shared" si="73"/>
        <v/>
      </c>
      <c r="Q820" t="str">
        <f>IF($AS820="","",INDEX('TMP Paste'!$J$2:$J$1601,$AS820))</f>
        <v/>
      </c>
      <c r="R820" t="str">
        <f>IF($AS820="","",Config!$B$24)</f>
        <v/>
      </c>
      <c r="S820" t="str">
        <f ca="1">IF($AS820="","",TEXT(Config!$B$4,"yyyy-mm-dd"))</f>
        <v/>
      </c>
      <c r="T820" t="str">
        <f>IF($AS820="","",Config!$B$17)</f>
        <v/>
      </c>
      <c r="U820" t="str">
        <f>IF($AS820="","",Config!$B$18)</f>
        <v/>
      </c>
      <c r="V820" t="str">
        <f>IF($AS820="","",Config!$B$19)</f>
        <v/>
      </c>
      <c r="W820" t="str">
        <f>IF($AS820="","",INDEX('TMP Paste'!$C$2:$C$1601,$AS820))</f>
        <v/>
      </c>
      <c r="X820" t="str">
        <f>IF($AS820="","",Config!$B$29)</f>
        <v/>
      </c>
      <c r="Y820" t="str">
        <f>IF($AT820="","",INDEX(Calc!$I$2:$I$1601,$AT820)&amp;" - "&amp;INDEX(Calc!$D$2:$D$1601,$AT820)&amp;" koli")</f>
        <v/>
      </c>
      <c r="Z820" t="str">
        <f>IF($AS820="","",Config!$B$21)</f>
        <v/>
      </c>
      <c r="AA820" t="str">
        <f>IF($AS820="","",Config!$B$22)</f>
        <v/>
      </c>
      <c r="AB820" t="str">
        <f>IF($AT820="","",INDEX(Calc!$D$2:$D$1601,$AT820))</f>
        <v/>
      </c>
      <c r="AC820" t="str">
        <f>IF($AT820="","",INDEX(Calc!$G$2:$G$1601,$AT820))</f>
        <v/>
      </c>
      <c r="AD820" t="str">
        <f>IF($AS820="","",Config!$B$23)</f>
        <v/>
      </c>
      <c r="AE820" t="str">
        <f>IF($AS820="","",Config!$B$28)</f>
        <v/>
      </c>
      <c r="AF820" t="str">
        <f t="shared" si="74"/>
        <v/>
      </c>
      <c r="AG820" t="str">
        <f t="shared" si="75"/>
        <v/>
      </c>
      <c r="AH820" t="str">
        <f t="shared" si="76"/>
        <v/>
      </c>
      <c r="AI820" t="str">
        <f>IF($AG820="","",SUMIF($AG$2:$AG820,$AG820,$AH$2:$AH820))</f>
        <v/>
      </c>
      <c r="AJ820" t="str">
        <f>IF('TMP Paste'!$F820="","",IF('TMP Paste'!$B820="",$AJ819,'TMP Paste'!$B820))</f>
        <v/>
      </c>
      <c r="AK820" t="str">
        <f>IF('TMP Paste'!$F820="","",N('TMP Paste'!$G820))</f>
        <v/>
      </c>
      <c r="AL820" t="str">
        <f>IF('TMP Paste'!$F820="","",IF('TMP Paste'!$M820="",$AL819,'TMP Paste'!$M820))</f>
        <v/>
      </c>
      <c r="AM820" t="str">
        <f>IF('TMP Paste'!$F820="","",IF('TMP Paste'!$N820="",$AM819,'TMP Paste'!$N820))</f>
        <v/>
      </c>
      <c r="AN820" t="str">
        <f>IF('TMP Paste'!$F820="","",IF('TMP Paste'!$O820="",$AN819,'TMP Paste'!$O820))</f>
        <v/>
      </c>
      <c r="AO820" t="str">
        <f>IF('TMP Paste'!$F820="","",IF('TMP Paste'!$P820="",$AO819,'TMP Paste'!$P820))</f>
        <v/>
      </c>
      <c r="AP820" t="str">
        <f t="shared" si="77"/>
        <v/>
      </c>
      <c r="AQ820" t="str">
        <f>IF($AS820="","",TRIM(IF(COUNTIFS(Calc!$B$2:$B$1601,ROW()-1,Calc!$C$2:$C$1601,"&lt;1")&gt;0,"Ada PO tanpa Koli - cek TMP. ","")&amp;IF(OR($AU820="",$AU820&lt;=0),"Volume kosong/0 - dimensi dikosongkan. ","")&amp;IF(AND($AU820&lt;&gt;"",$AU820&gt;=1000000),"Volume &gt;= 1.000.000 cm3 (di luar aturan) - dimensi dikosongkan. ","")&amp;IF(LEN($R820)&gt;500,"R &gt; 500 karakter.","")))</f>
        <v/>
      </c>
      <c r="AS820" t="str">
        <f>IFERROR(MATCH(ROW()-1,Calc!$J$2:$J$1601,0),"")</f>
        <v/>
      </c>
      <c r="AT820" t="str">
        <f>IFERROR(MATCH(ROW()-1,Calc!$K$2:$K$1601,0),"")</f>
        <v/>
      </c>
      <c r="AU820" t="str">
        <f>IF($AS820="","",IFERROR(INDEX('TMP Paste'!$D$2:$D$1601,$AS820)*1000000/$AB820,""))</f>
        <v/>
      </c>
    </row>
    <row r="821" spans="1:47">
      <c r="A821" t="str">
        <f>IF($AS821="","",INDEX('TMP Paste'!$B$2:$B$1601,$AS821))</f>
        <v/>
      </c>
      <c r="B821" t="str">
        <f>IF($AS821="","",Config!$B$14)</f>
        <v/>
      </c>
      <c r="C821" t="str">
        <f>IF($AS821="","",Config!$B$15)</f>
        <v/>
      </c>
      <c r="D821" t="str">
        <f>IF($AS821="","",INDEX('TMP Paste'!$B$2:$B$1601,$AS821))</f>
        <v/>
      </c>
      <c r="E821" t="str">
        <f>IF($AS821="","",Config!$B$27)</f>
        <v/>
      </c>
      <c r="F821" t="str">
        <f>IF($AS821="","",Config!$B$9)</f>
        <v/>
      </c>
      <c r="G821" t="str">
        <f>IF($AS821="","",Config!$B$10)</f>
        <v/>
      </c>
      <c r="H821" t="str">
        <f>IF($AS821="","",Config!$B$11)</f>
        <v/>
      </c>
      <c r="I821" t="str">
        <f>IF($AS821="","",Config!$B$16)</f>
        <v/>
      </c>
      <c r="J821" t="str">
        <f>IF($AS821="","",INDEX('TMP Paste'!$A$2:$A$1601,$AS821))</f>
        <v/>
      </c>
      <c r="K821" t="str">
        <f>IF($AS821="","",INDEX('TMP Paste'!$L$2:$L$1601,$AS821))</f>
        <v/>
      </c>
      <c r="L821" t="str">
        <f>IF($AS821="","",INDEX('TMP Paste'!$I$2:$I$1601,$AS821))</f>
        <v/>
      </c>
      <c r="M821" t="str">
        <f>IF($AS821="","",Config!$B$16)</f>
        <v/>
      </c>
      <c r="N821" t="str">
        <f t="shared" si="72"/>
        <v/>
      </c>
      <c r="O821" t="str">
        <f>IF($AS821="","",INDEX('TMP Paste'!$K$2:$K$1601,$AS821))</f>
        <v/>
      </c>
      <c r="P821" t="str">
        <f t="shared" si="73"/>
        <v/>
      </c>
      <c r="Q821" t="str">
        <f>IF($AS821="","",INDEX('TMP Paste'!$J$2:$J$1601,$AS821))</f>
        <v/>
      </c>
      <c r="R821" t="str">
        <f>IF($AS821="","",Config!$B$24)</f>
        <v/>
      </c>
      <c r="S821" t="str">
        <f ca="1">IF($AS821="","",TEXT(Config!$B$4,"yyyy-mm-dd"))</f>
        <v/>
      </c>
      <c r="T821" t="str">
        <f>IF($AS821="","",Config!$B$17)</f>
        <v/>
      </c>
      <c r="U821" t="str">
        <f>IF($AS821="","",Config!$B$18)</f>
        <v/>
      </c>
      <c r="V821" t="str">
        <f>IF($AS821="","",Config!$B$19)</f>
        <v/>
      </c>
      <c r="W821" t="str">
        <f>IF($AS821="","",INDEX('TMP Paste'!$C$2:$C$1601,$AS821))</f>
        <v/>
      </c>
      <c r="X821" t="str">
        <f>IF($AS821="","",Config!$B$29)</f>
        <v/>
      </c>
      <c r="Y821" t="str">
        <f>IF($AT821="","",INDEX(Calc!$I$2:$I$1601,$AT821)&amp;" - "&amp;INDEX(Calc!$D$2:$D$1601,$AT821)&amp;" koli")</f>
        <v/>
      </c>
      <c r="Z821" t="str">
        <f>IF($AS821="","",Config!$B$21)</f>
        <v/>
      </c>
      <c r="AA821" t="str">
        <f>IF($AS821="","",Config!$B$22)</f>
        <v/>
      </c>
      <c r="AB821" t="str">
        <f>IF($AT821="","",INDEX(Calc!$D$2:$D$1601,$AT821))</f>
        <v/>
      </c>
      <c r="AC821" t="str">
        <f>IF($AT821="","",INDEX(Calc!$G$2:$G$1601,$AT821))</f>
        <v/>
      </c>
      <c r="AD821" t="str">
        <f>IF($AS821="","",Config!$B$23)</f>
        <v/>
      </c>
      <c r="AE821" t="str">
        <f>IF($AS821="","",Config!$B$28)</f>
        <v/>
      </c>
      <c r="AF821" t="str">
        <f t="shared" si="74"/>
        <v/>
      </c>
      <c r="AG821" t="str">
        <f t="shared" si="75"/>
        <v/>
      </c>
      <c r="AH821" t="str">
        <f t="shared" si="76"/>
        <v/>
      </c>
      <c r="AI821" t="str">
        <f>IF($AG821="","",SUMIF($AG$2:$AG821,$AG821,$AH$2:$AH821))</f>
        <v/>
      </c>
      <c r="AJ821" t="str">
        <f>IF('TMP Paste'!$F821="","",IF('TMP Paste'!$B821="",$AJ820,'TMP Paste'!$B821))</f>
        <v/>
      </c>
      <c r="AK821" t="str">
        <f>IF('TMP Paste'!$F821="","",N('TMP Paste'!$G821))</f>
        <v/>
      </c>
      <c r="AL821" t="str">
        <f>IF('TMP Paste'!$F821="","",IF('TMP Paste'!$M821="",$AL820,'TMP Paste'!$M821))</f>
        <v/>
      </c>
      <c r="AM821" t="str">
        <f>IF('TMP Paste'!$F821="","",IF('TMP Paste'!$N821="",$AM820,'TMP Paste'!$N821))</f>
        <v/>
      </c>
      <c r="AN821" t="str">
        <f>IF('TMP Paste'!$F821="","",IF('TMP Paste'!$O821="",$AN820,'TMP Paste'!$O821))</f>
        <v/>
      </c>
      <c r="AO821" t="str">
        <f>IF('TMP Paste'!$F821="","",IF('TMP Paste'!$P821="",$AO820,'TMP Paste'!$P821))</f>
        <v/>
      </c>
      <c r="AP821" t="str">
        <f t="shared" si="77"/>
        <v/>
      </c>
      <c r="AQ821" t="str">
        <f>IF($AS821="","",TRIM(IF(COUNTIFS(Calc!$B$2:$B$1601,ROW()-1,Calc!$C$2:$C$1601,"&lt;1")&gt;0,"Ada PO tanpa Koli - cek TMP. ","")&amp;IF(OR($AU821="",$AU821&lt;=0),"Volume kosong/0 - dimensi dikosongkan. ","")&amp;IF(AND($AU821&lt;&gt;"",$AU821&gt;=1000000),"Volume &gt;= 1.000.000 cm3 (di luar aturan) - dimensi dikosongkan. ","")&amp;IF(LEN($R821)&gt;500,"R &gt; 500 karakter.","")))</f>
        <v/>
      </c>
      <c r="AS821" t="str">
        <f>IFERROR(MATCH(ROW()-1,Calc!$J$2:$J$1601,0),"")</f>
        <v/>
      </c>
      <c r="AT821" t="str">
        <f>IFERROR(MATCH(ROW()-1,Calc!$K$2:$K$1601,0),"")</f>
        <v/>
      </c>
      <c r="AU821" t="str">
        <f>IF($AS821="","",IFERROR(INDEX('TMP Paste'!$D$2:$D$1601,$AS821)*1000000/$AB821,""))</f>
        <v/>
      </c>
    </row>
    <row r="822" spans="1:47">
      <c r="A822" t="str">
        <f>IF($AS822="","",INDEX('TMP Paste'!$B$2:$B$1601,$AS822))</f>
        <v/>
      </c>
      <c r="B822" t="str">
        <f>IF($AS822="","",Config!$B$14)</f>
        <v/>
      </c>
      <c r="C822" t="str">
        <f>IF($AS822="","",Config!$B$15)</f>
        <v/>
      </c>
      <c r="D822" t="str">
        <f>IF($AS822="","",INDEX('TMP Paste'!$B$2:$B$1601,$AS822))</f>
        <v/>
      </c>
      <c r="E822" t="str">
        <f>IF($AS822="","",Config!$B$27)</f>
        <v/>
      </c>
      <c r="F822" t="str">
        <f>IF($AS822="","",Config!$B$9)</f>
        <v/>
      </c>
      <c r="G822" t="str">
        <f>IF($AS822="","",Config!$B$10)</f>
        <v/>
      </c>
      <c r="H822" t="str">
        <f>IF($AS822="","",Config!$B$11)</f>
        <v/>
      </c>
      <c r="I822" t="str">
        <f>IF($AS822="","",Config!$B$16)</f>
        <v/>
      </c>
      <c r="J822" t="str">
        <f>IF($AS822="","",INDEX('TMP Paste'!$A$2:$A$1601,$AS822))</f>
        <v/>
      </c>
      <c r="K822" t="str">
        <f>IF($AS822="","",INDEX('TMP Paste'!$L$2:$L$1601,$AS822))</f>
        <v/>
      </c>
      <c r="L822" t="str">
        <f>IF($AS822="","",INDEX('TMP Paste'!$I$2:$I$1601,$AS822))</f>
        <v/>
      </c>
      <c r="M822" t="str">
        <f>IF($AS822="","",Config!$B$16)</f>
        <v/>
      </c>
      <c r="N822" t="str">
        <f t="shared" si="72"/>
        <v/>
      </c>
      <c r="O822" t="str">
        <f>IF($AS822="","",INDEX('TMP Paste'!$K$2:$K$1601,$AS822))</f>
        <v/>
      </c>
      <c r="P822" t="str">
        <f t="shared" si="73"/>
        <v/>
      </c>
      <c r="Q822" t="str">
        <f>IF($AS822="","",INDEX('TMP Paste'!$J$2:$J$1601,$AS822))</f>
        <v/>
      </c>
      <c r="R822" t="str">
        <f>IF($AS822="","",Config!$B$24)</f>
        <v/>
      </c>
      <c r="S822" t="str">
        <f ca="1">IF($AS822="","",TEXT(Config!$B$4,"yyyy-mm-dd"))</f>
        <v/>
      </c>
      <c r="T822" t="str">
        <f>IF($AS822="","",Config!$B$17)</f>
        <v/>
      </c>
      <c r="U822" t="str">
        <f>IF($AS822="","",Config!$B$18)</f>
        <v/>
      </c>
      <c r="V822" t="str">
        <f>IF($AS822="","",Config!$B$19)</f>
        <v/>
      </c>
      <c r="W822" t="str">
        <f>IF($AS822="","",INDEX('TMP Paste'!$C$2:$C$1601,$AS822))</f>
        <v/>
      </c>
      <c r="X822" t="str">
        <f>IF($AS822="","",Config!$B$29)</f>
        <v/>
      </c>
      <c r="Y822" t="str">
        <f>IF($AT822="","",INDEX(Calc!$I$2:$I$1601,$AT822)&amp;" - "&amp;INDEX(Calc!$D$2:$D$1601,$AT822)&amp;" koli")</f>
        <v/>
      </c>
      <c r="Z822" t="str">
        <f>IF($AS822="","",Config!$B$21)</f>
        <v/>
      </c>
      <c r="AA822" t="str">
        <f>IF($AS822="","",Config!$B$22)</f>
        <v/>
      </c>
      <c r="AB822" t="str">
        <f>IF($AT822="","",INDEX(Calc!$D$2:$D$1601,$AT822))</f>
        <v/>
      </c>
      <c r="AC822" t="str">
        <f>IF($AT822="","",INDEX(Calc!$G$2:$G$1601,$AT822))</f>
        <v/>
      </c>
      <c r="AD822" t="str">
        <f>IF($AS822="","",Config!$B$23)</f>
        <v/>
      </c>
      <c r="AE822" t="str">
        <f>IF($AS822="","",Config!$B$28)</f>
        <v/>
      </c>
      <c r="AF822" t="str">
        <f t="shared" si="74"/>
        <v/>
      </c>
      <c r="AG822" t="str">
        <f t="shared" si="75"/>
        <v/>
      </c>
      <c r="AH822" t="str">
        <f t="shared" si="76"/>
        <v/>
      </c>
      <c r="AI822" t="str">
        <f>IF($AG822="","",SUMIF($AG$2:$AG822,$AG822,$AH$2:$AH822))</f>
        <v/>
      </c>
      <c r="AJ822" t="str">
        <f>IF('TMP Paste'!$F822="","",IF('TMP Paste'!$B822="",$AJ821,'TMP Paste'!$B822))</f>
        <v/>
      </c>
      <c r="AK822" t="str">
        <f>IF('TMP Paste'!$F822="","",N('TMP Paste'!$G822))</f>
        <v/>
      </c>
      <c r="AL822" t="str">
        <f>IF('TMP Paste'!$F822="","",IF('TMP Paste'!$M822="",$AL821,'TMP Paste'!$M822))</f>
        <v/>
      </c>
      <c r="AM822" t="str">
        <f>IF('TMP Paste'!$F822="","",IF('TMP Paste'!$N822="",$AM821,'TMP Paste'!$N822))</f>
        <v/>
      </c>
      <c r="AN822" t="str">
        <f>IF('TMP Paste'!$F822="","",IF('TMP Paste'!$O822="",$AN821,'TMP Paste'!$O822))</f>
        <v/>
      </c>
      <c r="AO822" t="str">
        <f>IF('TMP Paste'!$F822="","",IF('TMP Paste'!$P822="",$AO821,'TMP Paste'!$P822))</f>
        <v/>
      </c>
      <c r="AP822" t="str">
        <f t="shared" si="77"/>
        <v/>
      </c>
      <c r="AQ822" t="str">
        <f>IF($AS822="","",TRIM(IF(COUNTIFS(Calc!$B$2:$B$1601,ROW()-1,Calc!$C$2:$C$1601,"&lt;1")&gt;0,"Ada PO tanpa Koli - cek TMP. ","")&amp;IF(OR($AU822="",$AU822&lt;=0),"Volume kosong/0 - dimensi dikosongkan. ","")&amp;IF(AND($AU822&lt;&gt;"",$AU822&gt;=1000000),"Volume &gt;= 1.000.000 cm3 (di luar aturan) - dimensi dikosongkan. ","")&amp;IF(LEN($R822)&gt;500,"R &gt; 500 karakter.","")))</f>
        <v/>
      </c>
      <c r="AS822" t="str">
        <f>IFERROR(MATCH(ROW()-1,Calc!$J$2:$J$1601,0),"")</f>
        <v/>
      </c>
      <c r="AT822" t="str">
        <f>IFERROR(MATCH(ROW()-1,Calc!$K$2:$K$1601,0),"")</f>
        <v/>
      </c>
      <c r="AU822" t="str">
        <f>IF($AS822="","",IFERROR(INDEX('TMP Paste'!$D$2:$D$1601,$AS822)*1000000/$AB822,""))</f>
        <v/>
      </c>
    </row>
    <row r="823" spans="1:47">
      <c r="A823" t="str">
        <f>IF($AS823="","",INDEX('TMP Paste'!$B$2:$B$1601,$AS823))</f>
        <v/>
      </c>
      <c r="B823" t="str">
        <f>IF($AS823="","",Config!$B$14)</f>
        <v/>
      </c>
      <c r="C823" t="str">
        <f>IF($AS823="","",Config!$B$15)</f>
        <v/>
      </c>
      <c r="D823" t="str">
        <f>IF($AS823="","",INDEX('TMP Paste'!$B$2:$B$1601,$AS823))</f>
        <v/>
      </c>
      <c r="E823" t="str">
        <f>IF($AS823="","",Config!$B$27)</f>
        <v/>
      </c>
      <c r="F823" t="str">
        <f>IF($AS823="","",Config!$B$9)</f>
        <v/>
      </c>
      <c r="G823" t="str">
        <f>IF($AS823="","",Config!$B$10)</f>
        <v/>
      </c>
      <c r="H823" t="str">
        <f>IF($AS823="","",Config!$B$11)</f>
        <v/>
      </c>
      <c r="I823" t="str">
        <f>IF($AS823="","",Config!$B$16)</f>
        <v/>
      </c>
      <c r="J823" t="str">
        <f>IF($AS823="","",INDEX('TMP Paste'!$A$2:$A$1601,$AS823))</f>
        <v/>
      </c>
      <c r="K823" t="str">
        <f>IF($AS823="","",INDEX('TMP Paste'!$L$2:$L$1601,$AS823))</f>
        <v/>
      </c>
      <c r="L823" t="str">
        <f>IF($AS823="","",INDEX('TMP Paste'!$I$2:$I$1601,$AS823))</f>
        <v/>
      </c>
      <c r="M823" t="str">
        <f>IF($AS823="","",Config!$B$16)</f>
        <v/>
      </c>
      <c r="N823" t="str">
        <f t="shared" si="72"/>
        <v/>
      </c>
      <c r="O823" t="str">
        <f>IF($AS823="","",INDEX('TMP Paste'!$K$2:$K$1601,$AS823))</f>
        <v/>
      </c>
      <c r="P823" t="str">
        <f t="shared" si="73"/>
        <v/>
      </c>
      <c r="Q823" t="str">
        <f>IF($AS823="","",INDEX('TMP Paste'!$J$2:$J$1601,$AS823))</f>
        <v/>
      </c>
      <c r="R823" t="str">
        <f>IF($AS823="","",Config!$B$24)</f>
        <v/>
      </c>
      <c r="S823" t="str">
        <f ca="1">IF($AS823="","",TEXT(Config!$B$4,"yyyy-mm-dd"))</f>
        <v/>
      </c>
      <c r="T823" t="str">
        <f>IF($AS823="","",Config!$B$17)</f>
        <v/>
      </c>
      <c r="U823" t="str">
        <f>IF($AS823="","",Config!$B$18)</f>
        <v/>
      </c>
      <c r="V823" t="str">
        <f>IF($AS823="","",Config!$B$19)</f>
        <v/>
      </c>
      <c r="W823" t="str">
        <f>IF($AS823="","",INDEX('TMP Paste'!$C$2:$C$1601,$AS823))</f>
        <v/>
      </c>
      <c r="X823" t="str">
        <f>IF($AS823="","",Config!$B$29)</f>
        <v/>
      </c>
      <c r="Y823" t="str">
        <f>IF($AT823="","",INDEX(Calc!$I$2:$I$1601,$AT823)&amp;" - "&amp;INDEX(Calc!$D$2:$D$1601,$AT823)&amp;" koli")</f>
        <v/>
      </c>
      <c r="Z823" t="str">
        <f>IF($AS823="","",Config!$B$21)</f>
        <v/>
      </c>
      <c r="AA823" t="str">
        <f>IF($AS823="","",Config!$B$22)</f>
        <v/>
      </c>
      <c r="AB823" t="str">
        <f>IF($AT823="","",INDEX(Calc!$D$2:$D$1601,$AT823))</f>
        <v/>
      </c>
      <c r="AC823" t="str">
        <f>IF($AT823="","",INDEX(Calc!$G$2:$G$1601,$AT823))</f>
        <v/>
      </c>
      <c r="AD823" t="str">
        <f>IF($AS823="","",Config!$B$23)</f>
        <v/>
      </c>
      <c r="AE823" t="str">
        <f>IF($AS823="","",Config!$B$28)</f>
        <v/>
      </c>
      <c r="AF823" t="str">
        <f t="shared" si="74"/>
        <v/>
      </c>
      <c r="AG823" t="str">
        <f t="shared" si="75"/>
        <v/>
      </c>
      <c r="AH823" t="str">
        <f t="shared" si="76"/>
        <v/>
      </c>
      <c r="AI823" t="str">
        <f>IF($AG823="","",SUMIF($AG$2:$AG823,$AG823,$AH$2:$AH823))</f>
        <v/>
      </c>
      <c r="AJ823" t="str">
        <f>IF('TMP Paste'!$F823="","",IF('TMP Paste'!$B823="",$AJ822,'TMP Paste'!$B823))</f>
        <v/>
      </c>
      <c r="AK823" t="str">
        <f>IF('TMP Paste'!$F823="","",N('TMP Paste'!$G823))</f>
        <v/>
      </c>
      <c r="AL823" t="str">
        <f>IF('TMP Paste'!$F823="","",IF('TMP Paste'!$M823="",$AL822,'TMP Paste'!$M823))</f>
        <v/>
      </c>
      <c r="AM823" t="str">
        <f>IF('TMP Paste'!$F823="","",IF('TMP Paste'!$N823="",$AM822,'TMP Paste'!$N823))</f>
        <v/>
      </c>
      <c r="AN823" t="str">
        <f>IF('TMP Paste'!$F823="","",IF('TMP Paste'!$O823="",$AN822,'TMP Paste'!$O823))</f>
        <v/>
      </c>
      <c r="AO823" t="str">
        <f>IF('TMP Paste'!$F823="","",IF('TMP Paste'!$P823="",$AO822,'TMP Paste'!$P823))</f>
        <v/>
      </c>
      <c r="AP823" t="str">
        <f t="shared" si="77"/>
        <v/>
      </c>
      <c r="AQ823" t="str">
        <f>IF($AS823="","",TRIM(IF(COUNTIFS(Calc!$B$2:$B$1601,ROW()-1,Calc!$C$2:$C$1601,"&lt;1")&gt;0,"Ada PO tanpa Koli - cek TMP. ","")&amp;IF(OR($AU823="",$AU823&lt;=0),"Volume kosong/0 - dimensi dikosongkan. ","")&amp;IF(AND($AU823&lt;&gt;"",$AU823&gt;=1000000),"Volume &gt;= 1.000.000 cm3 (di luar aturan) - dimensi dikosongkan. ","")&amp;IF(LEN($R823)&gt;500,"R &gt; 500 karakter.","")))</f>
        <v/>
      </c>
      <c r="AS823" t="str">
        <f>IFERROR(MATCH(ROW()-1,Calc!$J$2:$J$1601,0),"")</f>
        <v/>
      </c>
      <c r="AT823" t="str">
        <f>IFERROR(MATCH(ROW()-1,Calc!$K$2:$K$1601,0),"")</f>
        <v/>
      </c>
      <c r="AU823" t="str">
        <f>IF($AS823="","",IFERROR(INDEX('TMP Paste'!$D$2:$D$1601,$AS823)*1000000/$AB823,""))</f>
        <v/>
      </c>
    </row>
    <row r="824" spans="1:47">
      <c r="A824" t="str">
        <f>IF($AS824="","",INDEX('TMP Paste'!$B$2:$B$1601,$AS824))</f>
        <v/>
      </c>
      <c r="B824" t="str">
        <f>IF($AS824="","",Config!$B$14)</f>
        <v/>
      </c>
      <c r="C824" t="str">
        <f>IF($AS824="","",Config!$B$15)</f>
        <v/>
      </c>
      <c r="D824" t="str">
        <f>IF($AS824="","",INDEX('TMP Paste'!$B$2:$B$1601,$AS824))</f>
        <v/>
      </c>
      <c r="E824" t="str">
        <f>IF($AS824="","",Config!$B$27)</f>
        <v/>
      </c>
      <c r="F824" t="str">
        <f>IF($AS824="","",Config!$B$9)</f>
        <v/>
      </c>
      <c r="G824" t="str">
        <f>IF($AS824="","",Config!$B$10)</f>
        <v/>
      </c>
      <c r="H824" t="str">
        <f>IF($AS824="","",Config!$B$11)</f>
        <v/>
      </c>
      <c r="I824" t="str">
        <f>IF($AS824="","",Config!$B$16)</f>
        <v/>
      </c>
      <c r="J824" t="str">
        <f>IF($AS824="","",INDEX('TMP Paste'!$A$2:$A$1601,$AS824))</f>
        <v/>
      </c>
      <c r="K824" t="str">
        <f>IF($AS824="","",INDEX('TMP Paste'!$L$2:$L$1601,$AS824))</f>
        <v/>
      </c>
      <c r="L824" t="str">
        <f>IF($AS824="","",INDEX('TMP Paste'!$I$2:$I$1601,$AS824))</f>
        <v/>
      </c>
      <c r="M824" t="str">
        <f>IF($AS824="","",Config!$B$16)</f>
        <v/>
      </c>
      <c r="N824" t="str">
        <f t="shared" si="72"/>
        <v/>
      </c>
      <c r="O824" t="str">
        <f>IF($AS824="","",INDEX('TMP Paste'!$K$2:$K$1601,$AS824))</f>
        <v/>
      </c>
      <c r="P824" t="str">
        <f t="shared" si="73"/>
        <v/>
      </c>
      <c r="Q824" t="str">
        <f>IF($AS824="","",INDEX('TMP Paste'!$J$2:$J$1601,$AS824))</f>
        <v/>
      </c>
      <c r="R824" t="str">
        <f>IF($AS824="","",Config!$B$24)</f>
        <v/>
      </c>
      <c r="S824" t="str">
        <f ca="1">IF($AS824="","",TEXT(Config!$B$4,"yyyy-mm-dd"))</f>
        <v/>
      </c>
      <c r="T824" t="str">
        <f>IF($AS824="","",Config!$B$17)</f>
        <v/>
      </c>
      <c r="U824" t="str">
        <f>IF($AS824="","",Config!$B$18)</f>
        <v/>
      </c>
      <c r="V824" t="str">
        <f>IF($AS824="","",Config!$B$19)</f>
        <v/>
      </c>
      <c r="W824" t="str">
        <f>IF($AS824="","",INDEX('TMP Paste'!$C$2:$C$1601,$AS824))</f>
        <v/>
      </c>
      <c r="X824" t="str">
        <f>IF($AS824="","",Config!$B$29)</f>
        <v/>
      </c>
      <c r="Y824" t="str">
        <f>IF($AT824="","",INDEX(Calc!$I$2:$I$1601,$AT824)&amp;" - "&amp;INDEX(Calc!$D$2:$D$1601,$AT824)&amp;" koli")</f>
        <v/>
      </c>
      <c r="Z824" t="str">
        <f>IF($AS824="","",Config!$B$21)</f>
        <v/>
      </c>
      <c r="AA824" t="str">
        <f>IF($AS824="","",Config!$B$22)</f>
        <v/>
      </c>
      <c r="AB824" t="str">
        <f>IF($AT824="","",INDEX(Calc!$D$2:$D$1601,$AT824))</f>
        <v/>
      </c>
      <c r="AC824" t="str">
        <f>IF($AT824="","",INDEX(Calc!$G$2:$G$1601,$AT824))</f>
        <v/>
      </c>
      <c r="AD824" t="str">
        <f>IF($AS824="","",Config!$B$23)</f>
        <v/>
      </c>
      <c r="AE824" t="str">
        <f>IF($AS824="","",Config!$B$28)</f>
        <v/>
      </c>
      <c r="AF824" t="str">
        <f t="shared" si="74"/>
        <v/>
      </c>
      <c r="AG824" t="str">
        <f t="shared" si="75"/>
        <v/>
      </c>
      <c r="AH824" t="str">
        <f t="shared" si="76"/>
        <v/>
      </c>
      <c r="AI824" t="str">
        <f>IF($AG824="","",SUMIF($AG$2:$AG824,$AG824,$AH$2:$AH824))</f>
        <v/>
      </c>
      <c r="AJ824" t="str">
        <f>IF('TMP Paste'!$F824="","",IF('TMP Paste'!$B824="",$AJ823,'TMP Paste'!$B824))</f>
        <v/>
      </c>
      <c r="AK824" t="str">
        <f>IF('TMP Paste'!$F824="","",N('TMP Paste'!$G824))</f>
        <v/>
      </c>
      <c r="AL824" t="str">
        <f>IF('TMP Paste'!$F824="","",IF('TMP Paste'!$M824="",$AL823,'TMP Paste'!$M824))</f>
        <v/>
      </c>
      <c r="AM824" t="str">
        <f>IF('TMP Paste'!$F824="","",IF('TMP Paste'!$N824="",$AM823,'TMP Paste'!$N824))</f>
        <v/>
      </c>
      <c r="AN824" t="str">
        <f>IF('TMP Paste'!$F824="","",IF('TMP Paste'!$O824="",$AN823,'TMP Paste'!$O824))</f>
        <v/>
      </c>
      <c r="AO824" t="str">
        <f>IF('TMP Paste'!$F824="","",IF('TMP Paste'!$P824="",$AO823,'TMP Paste'!$P824))</f>
        <v/>
      </c>
      <c r="AP824" t="str">
        <f t="shared" si="77"/>
        <v/>
      </c>
      <c r="AQ824" t="str">
        <f>IF($AS824="","",TRIM(IF(COUNTIFS(Calc!$B$2:$B$1601,ROW()-1,Calc!$C$2:$C$1601,"&lt;1")&gt;0,"Ada PO tanpa Koli - cek TMP. ","")&amp;IF(OR($AU824="",$AU824&lt;=0),"Volume kosong/0 - dimensi dikosongkan. ","")&amp;IF(AND($AU824&lt;&gt;"",$AU824&gt;=1000000),"Volume &gt;= 1.000.000 cm3 (di luar aturan) - dimensi dikosongkan. ","")&amp;IF(LEN($R824)&gt;500,"R &gt; 500 karakter.","")))</f>
        <v/>
      </c>
      <c r="AS824" t="str">
        <f>IFERROR(MATCH(ROW()-1,Calc!$J$2:$J$1601,0),"")</f>
        <v/>
      </c>
      <c r="AT824" t="str">
        <f>IFERROR(MATCH(ROW()-1,Calc!$K$2:$K$1601,0),"")</f>
        <v/>
      </c>
      <c r="AU824" t="str">
        <f>IF($AS824="","",IFERROR(INDEX('TMP Paste'!$D$2:$D$1601,$AS824)*1000000/$AB824,""))</f>
        <v/>
      </c>
    </row>
    <row r="825" spans="1:47">
      <c r="A825" t="str">
        <f>IF($AS825="","",INDEX('TMP Paste'!$B$2:$B$1601,$AS825))</f>
        <v/>
      </c>
      <c r="B825" t="str">
        <f>IF($AS825="","",Config!$B$14)</f>
        <v/>
      </c>
      <c r="C825" t="str">
        <f>IF($AS825="","",Config!$B$15)</f>
        <v/>
      </c>
      <c r="D825" t="str">
        <f>IF($AS825="","",INDEX('TMP Paste'!$B$2:$B$1601,$AS825))</f>
        <v/>
      </c>
      <c r="E825" t="str">
        <f>IF($AS825="","",Config!$B$27)</f>
        <v/>
      </c>
      <c r="F825" t="str">
        <f>IF($AS825="","",Config!$B$9)</f>
        <v/>
      </c>
      <c r="G825" t="str">
        <f>IF($AS825="","",Config!$B$10)</f>
        <v/>
      </c>
      <c r="H825" t="str">
        <f>IF($AS825="","",Config!$B$11)</f>
        <v/>
      </c>
      <c r="I825" t="str">
        <f>IF($AS825="","",Config!$B$16)</f>
        <v/>
      </c>
      <c r="J825" t="str">
        <f>IF($AS825="","",INDEX('TMP Paste'!$A$2:$A$1601,$AS825))</f>
        <v/>
      </c>
      <c r="K825" t="str">
        <f>IF($AS825="","",INDEX('TMP Paste'!$L$2:$L$1601,$AS825))</f>
        <v/>
      </c>
      <c r="L825" t="str">
        <f>IF($AS825="","",INDEX('TMP Paste'!$I$2:$I$1601,$AS825))</f>
        <v/>
      </c>
      <c r="M825" t="str">
        <f>IF($AS825="","",Config!$B$16)</f>
        <v/>
      </c>
      <c r="N825" t="str">
        <f t="shared" si="72"/>
        <v/>
      </c>
      <c r="O825" t="str">
        <f>IF($AS825="","",INDEX('TMP Paste'!$K$2:$K$1601,$AS825))</f>
        <v/>
      </c>
      <c r="P825" t="str">
        <f t="shared" si="73"/>
        <v/>
      </c>
      <c r="Q825" t="str">
        <f>IF($AS825="","",INDEX('TMP Paste'!$J$2:$J$1601,$AS825))</f>
        <v/>
      </c>
      <c r="R825" t="str">
        <f>IF($AS825="","",Config!$B$24)</f>
        <v/>
      </c>
      <c r="S825" t="str">
        <f ca="1">IF($AS825="","",TEXT(Config!$B$4,"yyyy-mm-dd"))</f>
        <v/>
      </c>
      <c r="T825" t="str">
        <f>IF($AS825="","",Config!$B$17)</f>
        <v/>
      </c>
      <c r="U825" t="str">
        <f>IF($AS825="","",Config!$B$18)</f>
        <v/>
      </c>
      <c r="V825" t="str">
        <f>IF($AS825="","",Config!$B$19)</f>
        <v/>
      </c>
      <c r="W825" t="str">
        <f>IF($AS825="","",INDEX('TMP Paste'!$C$2:$C$1601,$AS825))</f>
        <v/>
      </c>
      <c r="X825" t="str">
        <f>IF($AS825="","",Config!$B$29)</f>
        <v/>
      </c>
      <c r="Y825" t="str">
        <f>IF($AT825="","",INDEX(Calc!$I$2:$I$1601,$AT825)&amp;" - "&amp;INDEX(Calc!$D$2:$D$1601,$AT825)&amp;" koli")</f>
        <v/>
      </c>
      <c r="Z825" t="str">
        <f>IF($AS825="","",Config!$B$21)</f>
        <v/>
      </c>
      <c r="AA825" t="str">
        <f>IF($AS825="","",Config!$B$22)</f>
        <v/>
      </c>
      <c r="AB825" t="str">
        <f>IF($AT825="","",INDEX(Calc!$D$2:$D$1601,$AT825))</f>
        <v/>
      </c>
      <c r="AC825" t="str">
        <f>IF($AT825="","",INDEX(Calc!$G$2:$G$1601,$AT825))</f>
        <v/>
      </c>
      <c r="AD825" t="str">
        <f>IF($AS825="","",Config!$B$23)</f>
        <v/>
      </c>
      <c r="AE825" t="str">
        <f>IF($AS825="","",Config!$B$28)</f>
        <v/>
      </c>
      <c r="AF825" t="str">
        <f t="shared" si="74"/>
        <v/>
      </c>
      <c r="AG825" t="str">
        <f t="shared" si="75"/>
        <v/>
      </c>
      <c r="AH825" t="str">
        <f t="shared" si="76"/>
        <v/>
      </c>
      <c r="AI825" t="str">
        <f>IF($AG825="","",SUMIF($AG$2:$AG825,$AG825,$AH$2:$AH825))</f>
        <v/>
      </c>
      <c r="AJ825" t="str">
        <f>IF('TMP Paste'!$F825="","",IF('TMP Paste'!$B825="",$AJ824,'TMP Paste'!$B825))</f>
        <v/>
      </c>
      <c r="AK825" t="str">
        <f>IF('TMP Paste'!$F825="","",N('TMP Paste'!$G825))</f>
        <v/>
      </c>
      <c r="AL825" t="str">
        <f>IF('TMP Paste'!$F825="","",IF('TMP Paste'!$M825="",$AL824,'TMP Paste'!$M825))</f>
        <v/>
      </c>
      <c r="AM825" t="str">
        <f>IF('TMP Paste'!$F825="","",IF('TMP Paste'!$N825="",$AM824,'TMP Paste'!$N825))</f>
        <v/>
      </c>
      <c r="AN825" t="str">
        <f>IF('TMP Paste'!$F825="","",IF('TMP Paste'!$O825="",$AN824,'TMP Paste'!$O825))</f>
        <v/>
      </c>
      <c r="AO825" t="str">
        <f>IF('TMP Paste'!$F825="","",IF('TMP Paste'!$P825="",$AO824,'TMP Paste'!$P825))</f>
        <v/>
      </c>
      <c r="AP825" t="str">
        <f t="shared" si="77"/>
        <v/>
      </c>
      <c r="AQ825" t="str">
        <f>IF($AS825="","",TRIM(IF(COUNTIFS(Calc!$B$2:$B$1601,ROW()-1,Calc!$C$2:$C$1601,"&lt;1")&gt;0,"Ada PO tanpa Koli - cek TMP. ","")&amp;IF(OR($AU825="",$AU825&lt;=0),"Volume kosong/0 - dimensi dikosongkan. ","")&amp;IF(AND($AU825&lt;&gt;"",$AU825&gt;=1000000),"Volume &gt;= 1.000.000 cm3 (di luar aturan) - dimensi dikosongkan. ","")&amp;IF(LEN($R825)&gt;500,"R &gt; 500 karakter.","")))</f>
        <v/>
      </c>
      <c r="AS825" t="str">
        <f>IFERROR(MATCH(ROW()-1,Calc!$J$2:$J$1601,0),"")</f>
        <v/>
      </c>
      <c r="AT825" t="str">
        <f>IFERROR(MATCH(ROW()-1,Calc!$K$2:$K$1601,0),"")</f>
        <v/>
      </c>
      <c r="AU825" t="str">
        <f>IF($AS825="","",IFERROR(INDEX('TMP Paste'!$D$2:$D$1601,$AS825)*1000000/$AB825,""))</f>
        <v/>
      </c>
    </row>
    <row r="826" spans="1:47">
      <c r="A826" t="str">
        <f>IF($AS826="","",INDEX('TMP Paste'!$B$2:$B$1601,$AS826))</f>
        <v/>
      </c>
      <c r="B826" t="str">
        <f>IF($AS826="","",Config!$B$14)</f>
        <v/>
      </c>
      <c r="C826" t="str">
        <f>IF($AS826="","",Config!$B$15)</f>
        <v/>
      </c>
      <c r="D826" t="str">
        <f>IF($AS826="","",INDEX('TMP Paste'!$B$2:$B$1601,$AS826))</f>
        <v/>
      </c>
      <c r="E826" t="str">
        <f>IF($AS826="","",Config!$B$27)</f>
        <v/>
      </c>
      <c r="F826" t="str">
        <f>IF($AS826="","",Config!$B$9)</f>
        <v/>
      </c>
      <c r="G826" t="str">
        <f>IF($AS826="","",Config!$B$10)</f>
        <v/>
      </c>
      <c r="H826" t="str">
        <f>IF($AS826="","",Config!$B$11)</f>
        <v/>
      </c>
      <c r="I826" t="str">
        <f>IF($AS826="","",Config!$B$16)</f>
        <v/>
      </c>
      <c r="J826" t="str">
        <f>IF($AS826="","",INDEX('TMP Paste'!$A$2:$A$1601,$AS826))</f>
        <v/>
      </c>
      <c r="K826" t="str">
        <f>IF($AS826="","",INDEX('TMP Paste'!$L$2:$L$1601,$AS826))</f>
        <v/>
      </c>
      <c r="L826" t="str">
        <f>IF($AS826="","",INDEX('TMP Paste'!$I$2:$I$1601,$AS826))</f>
        <v/>
      </c>
      <c r="M826" t="str">
        <f>IF($AS826="","",Config!$B$16)</f>
        <v/>
      </c>
      <c r="N826" t="str">
        <f t="shared" si="72"/>
        <v/>
      </c>
      <c r="O826" t="str">
        <f>IF($AS826="","",INDEX('TMP Paste'!$K$2:$K$1601,$AS826))</f>
        <v/>
      </c>
      <c r="P826" t="str">
        <f t="shared" si="73"/>
        <v/>
      </c>
      <c r="Q826" t="str">
        <f>IF($AS826="","",INDEX('TMP Paste'!$J$2:$J$1601,$AS826))</f>
        <v/>
      </c>
      <c r="R826" t="str">
        <f>IF($AS826="","",Config!$B$24)</f>
        <v/>
      </c>
      <c r="S826" t="str">
        <f ca="1">IF($AS826="","",TEXT(Config!$B$4,"yyyy-mm-dd"))</f>
        <v/>
      </c>
      <c r="T826" t="str">
        <f>IF($AS826="","",Config!$B$17)</f>
        <v/>
      </c>
      <c r="U826" t="str">
        <f>IF($AS826="","",Config!$B$18)</f>
        <v/>
      </c>
      <c r="V826" t="str">
        <f>IF($AS826="","",Config!$B$19)</f>
        <v/>
      </c>
      <c r="W826" t="str">
        <f>IF($AS826="","",INDEX('TMP Paste'!$C$2:$C$1601,$AS826))</f>
        <v/>
      </c>
      <c r="X826" t="str">
        <f>IF($AS826="","",Config!$B$29)</f>
        <v/>
      </c>
      <c r="Y826" t="str">
        <f>IF($AT826="","",INDEX(Calc!$I$2:$I$1601,$AT826)&amp;" - "&amp;INDEX(Calc!$D$2:$D$1601,$AT826)&amp;" koli")</f>
        <v/>
      </c>
      <c r="Z826" t="str">
        <f>IF($AS826="","",Config!$B$21)</f>
        <v/>
      </c>
      <c r="AA826" t="str">
        <f>IF($AS826="","",Config!$B$22)</f>
        <v/>
      </c>
      <c r="AB826" t="str">
        <f>IF($AT826="","",INDEX(Calc!$D$2:$D$1601,$AT826))</f>
        <v/>
      </c>
      <c r="AC826" t="str">
        <f>IF($AT826="","",INDEX(Calc!$G$2:$G$1601,$AT826))</f>
        <v/>
      </c>
      <c r="AD826" t="str">
        <f>IF($AS826="","",Config!$B$23)</f>
        <v/>
      </c>
      <c r="AE826" t="str">
        <f>IF($AS826="","",Config!$B$28)</f>
        <v/>
      </c>
      <c r="AF826" t="str">
        <f t="shared" si="74"/>
        <v/>
      </c>
      <c r="AG826" t="str">
        <f t="shared" si="75"/>
        <v/>
      </c>
      <c r="AH826" t="str">
        <f t="shared" si="76"/>
        <v/>
      </c>
      <c r="AI826" t="str">
        <f>IF($AG826="","",SUMIF($AG$2:$AG826,$AG826,$AH$2:$AH826))</f>
        <v/>
      </c>
      <c r="AJ826" t="str">
        <f>IF('TMP Paste'!$F826="","",IF('TMP Paste'!$B826="",$AJ825,'TMP Paste'!$B826))</f>
        <v/>
      </c>
      <c r="AK826" t="str">
        <f>IF('TMP Paste'!$F826="","",N('TMP Paste'!$G826))</f>
        <v/>
      </c>
      <c r="AL826" t="str">
        <f>IF('TMP Paste'!$F826="","",IF('TMP Paste'!$M826="",$AL825,'TMP Paste'!$M826))</f>
        <v/>
      </c>
      <c r="AM826" t="str">
        <f>IF('TMP Paste'!$F826="","",IF('TMP Paste'!$N826="",$AM825,'TMP Paste'!$N826))</f>
        <v/>
      </c>
      <c r="AN826" t="str">
        <f>IF('TMP Paste'!$F826="","",IF('TMP Paste'!$O826="",$AN825,'TMP Paste'!$O826))</f>
        <v/>
      </c>
      <c r="AO826" t="str">
        <f>IF('TMP Paste'!$F826="","",IF('TMP Paste'!$P826="",$AO825,'TMP Paste'!$P826))</f>
        <v/>
      </c>
      <c r="AP826" t="str">
        <f t="shared" si="77"/>
        <v/>
      </c>
      <c r="AQ826" t="str">
        <f>IF($AS826="","",TRIM(IF(COUNTIFS(Calc!$B$2:$B$1601,ROW()-1,Calc!$C$2:$C$1601,"&lt;1")&gt;0,"Ada PO tanpa Koli - cek TMP. ","")&amp;IF(OR($AU826="",$AU826&lt;=0),"Volume kosong/0 - dimensi dikosongkan. ","")&amp;IF(AND($AU826&lt;&gt;"",$AU826&gt;=1000000),"Volume &gt;= 1.000.000 cm3 (di luar aturan) - dimensi dikosongkan. ","")&amp;IF(LEN($R826)&gt;500,"R &gt; 500 karakter.","")))</f>
        <v/>
      </c>
      <c r="AS826" t="str">
        <f>IFERROR(MATCH(ROW()-1,Calc!$J$2:$J$1601,0),"")</f>
        <v/>
      </c>
      <c r="AT826" t="str">
        <f>IFERROR(MATCH(ROW()-1,Calc!$K$2:$K$1601,0),"")</f>
        <v/>
      </c>
      <c r="AU826" t="str">
        <f>IF($AS826="","",IFERROR(INDEX('TMP Paste'!$D$2:$D$1601,$AS826)*1000000/$AB826,""))</f>
        <v/>
      </c>
    </row>
    <row r="827" spans="1:47">
      <c r="A827" t="str">
        <f>IF($AS827="","",INDEX('TMP Paste'!$B$2:$B$1601,$AS827))</f>
        <v/>
      </c>
      <c r="B827" t="str">
        <f>IF($AS827="","",Config!$B$14)</f>
        <v/>
      </c>
      <c r="C827" t="str">
        <f>IF($AS827="","",Config!$B$15)</f>
        <v/>
      </c>
      <c r="D827" t="str">
        <f>IF($AS827="","",INDEX('TMP Paste'!$B$2:$B$1601,$AS827))</f>
        <v/>
      </c>
      <c r="E827" t="str">
        <f>IF($AS827="","",Config!$B$27)</f>
        <v/>
      </c>
      <c r="F827" t="str">
        <f>IF($AS827="","",Config!$B$9)</f>
        <v/>
      </c>
      <c r="G827" t="str">
        <f>IF($AS827="","",Config!$B$10)</f>
        <v/>
      </c>
      <c r="H827" t="str">
        <f>IF($AS827="","",Config!$B$11)</f>
        <v/>
      </c>
      <c r="I827" t="str">
        <f>IF($AS827="","",Config!$B$16)</f>
        <v/>
      </c>
      <c r="J827" t="str">
        <f>IF($AS827="","",INDEX('TMP Paste'!$A$2:$A$1601,$AS827))</f>
        <v/>
      </c>
      <c r="K827" t="str">
        <f>IF($AS827="","",INDEX('TMP Paste'!$L$2:$L$1601,$AS827))</f>
        <v/>
      </c>
      <c r="L827" t="str">
        <f>IF($AS827="","",INDEX('TMP Paste'!$I$2:$I$1601,$AS827))</f>
        <v/>
      </c>
      <c r="M827" t="str">
        <f>IF($AS827="","",Config!$B$16)</f>
        <v/>
      </c>
      <c r="N827" t="str">
        <f t="shared" si="72"/>
        <v/>
      </c>
      <c r="O827" t="str">
        <f>IF($AS827="","",INDEX('TMP Paste'!$K$2:$K$1601,$AS827))</f>
        <v/>
      </c>
      <c r="P827" t="str">
        <f t="shared" si="73"/>
        <v/>
      </c>
      <c r="Q827" t="str">
        <f>IF($AS827="","",INDEX('TMP Paste'!$J$2:$J$1601,$AS827))</f>
        <v/>
      </c>
      <c r="R827" t="str">
        <f>IF($AS827="","",Config!$B$24)</f>
        <v/>
      </c>
      <c r="S827" t="str">
        <f ca="1">IF($AS827="","",TEXT(Config!$B$4,"yyyy-mm-dd"))</f>
        <v/>
      </c>
      <c r="T827" t="str">
        <f>IF($AS827="","",Config!$B$17)</f>
        <v/>
      </c>
      <c r="U827" t="str">
        <f>IF($AS827="","",Config!$B$18)</f>
        <v/>
      </c>
      <c r="V827" t="str">
        <f>IF($AS827="","",Config!$B$19)</f>
        <v/>
      </c>
      <c r="W827" t="str">
        <f>IF($AS827="","",INDEX('TMP Paste'!$C$2:$C$1601,$AS827))</f>
        <v/>
      </c>
      <c r="X827" t="str">
        <f>IF($AS827="","",Config!$B$29)</f>
        <v/>
      </c>
      <c r="Y827" t="str">
        <f>IF($AT827="","",INDEX(Calc!$I$2:$I$1601,$AT827)&amp;" - "&amp;INDEX(Calc!$D$2:$D$1601,$AT827)&amp;" koli")</f>
        <v/>
      </c>
      <c r="Z827" t="str">
        <f>IF($AS827="","",Config!$B$21)</f>
        <v/>
      </c>
      <c r="AA827" t="str">
        <f>IF($AS827="","",Config!$B$22)</f>
        <v/>
      </c>
      <c r="AB827" t="str">
        <f>IF($AT827="","",INDEX(Calc!$D$2:$D$1601,$AT827))</f>
        <v/>
      </c>
      <c r="AC827" t="str">
        <f>IF($AT827="","",INDEX(Calc!$G$2:$G$1601,$AT827))</f>
        <v/>
      </c>
      <c r="AD827" t="str">
        <f>IF($AS827="","",Config!$B$23)</f>
        <v/>
      </c>
      <c r="AE827" t="str">
        <f>IF($AS827="","",Config!$B$28)</f>
        <v/>
      </c>
      <c r="AF827" t="str">
        <f t="shared" si="74"/>
        <v/>
      </c>
      <c r="AG827" t="str">
        <f t="shared" si="75"/>
        <v/>
      </c>
      <c r="AH827" t="str">
        <f t="shared" si="76"/>
        <v/>
      </c>
      <c r="AI827" t="str">
        <f>IF($AG827="","",SUMIF($AG$2:$AG827,$AG827,$AH$2:$AH827))</f>
        <v/>
      </c>
      <c r="AJ827" t="str">
        <f>IF('TMP Paste'!$F827="","",IF('TMP Paste'!$B827="",$AJ826,'TMP Paste'!$B827))</f>
        <v/>
      </c>
      <c r="AK827" t="str">
        <f>IF('TMP Paste'!$F827="","",N('TMP Paste'!$G827))</f>
        <v/>
      </c>
      <c r="AL827" t="str">
        <f>IF('TMP Paste'!$F827="","",IF('TMP Paste'!$M827="",$AL826,'TMP Paste'!$M827))</f>
        <v/>
      </c>
      <c r="AM827" t="str">
        <f>IF('TMP Paste'!$F827="","",IF('TMP Paste'!$N827="",$AM826,'TMP Paste'!$N827))</f>
        <v/>
      </c>
      <c r="AN827" t="str">
        <f>IF('TMP Paste'!$F827="","",IF('TMP Paste'!$O827="",$AN826,'TMP Paste'!$O827))</f>
        <v/>
      </c>
      <c r="AO827" t="str">
        <f>IF('TMP Paste'!$F827="","",IF('TMP Paste'!$P827="",$AO826,'TMP Paste'!$P827))</f>
        <v/>
      </c>
      <c r="AP827" t="str">
        <f t="shared" si="77"/>
        <v/>
      </c>
      <c r="AQ827" t="str">
        <f>IF($AS827="","",TRIM(IF(COUNTIFS(Calc!$B$2:$B$1601,ROW()-1,Calc!$C$2:$C$1601,"&lt;1")&gt;0,"Ada PO tanpa Koli - cek TMP. ","")&amp;IF(OR($AU827="",$AU827&lt;=0),"Volume kosong/0 - dimensi dikosongkan. ","")&amp;IF(AND($AU827&lt;&gt;"",$AU827&gt;=1000000),"Volume &gt;= 1.000.000 cm3 (di luar aturan) - dimensi dikosongkan. ","")&amp;IF(LEN($R827)&gt;500,"R &gt; 500 karakter.","")))</f>
        <v/>
      </c>
      <c r="AS827" t="str">
        <f>IFERROR(MATCH(ROW()-1,Calc!$J$2:$J$1601,0),"")</f>
        <v/>
      </c>
      <c r="AT827" t="str">
        <f>IFERROR(MATCH(ROW()-1,Calc!$K$2:$K$1601,0),"")</f>
        <v/>
      </c>
      <c r="AU827" t="str">
        <f>IF($AS827="","",IFERROR(INDEX('TMP Paste'!$D$2:$D$1601,$AS827)*1000000/$AB827,""))</f>
        <v/>
      </c>
    </row>
    <row r="828" spans="1:47">
      <c r="A828" t="str">
        <f>IF($AS828="","",INDEX('TMP Paste'!$B$2:$B$1601,$AS828))</f>
        <v/>
      </c>
      <c r="B828" t="str">
        <f>IF($AS828="","",Config!$B$14)</f>
        <v/>
      </c>
      <c r="C828" t="str">
        <f>IF($AS828="","",Config!$B$15)</f>
        <v/>
      </c>
      <c r="D828" t="str">
        <f>IF($AS828="","",INDEX('TMP Paste'!$B$2:$B$1601,$AS828))</f>
        <v/>
      </c>
      <c r="E828" t="str">
        <f>IF($AS828="","",Config!$B$27)</f>
        <v/>
      </c>
      <c r="F828" t="str">
        <f>IF($AS828="","",Config!$B$9)</f>
        <v/>
      </c>
      <c r="G828" t="str">
        <f>IF($AS828="","",Config!$B$10)</f>
        <v/>
      </c>
      <c r="H828" t="str">
        <f>IF($AS828="","",Config!$B$11)</f>
        <v/>
      </c>
      <c r="I828" t="str">
        <f>IF($AS828="","",Config!$B$16)</f>
        <v/>
      </c>
      <c r="J828" t="str">
        <f>IF($AS828="","",INDEX('TMP Paste'!$A$2:$A$1601,$AS828))</f>
        <v/>
      </c>
      <c r="K828" t="str">
        <f>IF($AS828="","",INDEX('TMP Paste'!$L$2:$L$1601,$AS828))</f>
        <v/>
      </c>
      <c r="L828" t="str">
        <f>IF($AS828="","",INDEX('TMP Paste'!$I$2:$I$1601,$AS828))</f>
        <v/>
      </c>
      <c r="M828" t="str">
        <f>IF($AS828="","",Config!$B$16)</f>
        <v/>
      </c>
      <c r="N828" t="str">
        <f t="shared" si="72"/>
        <v/>
      </c>
      <c r="O828" t="str">
        <f>IF($AS828="","",INDEX('TMP Paste'!$K$2:$K$1601,$AS828))</f>
        <v/>
      </c>
      <c r="P828" t="str">
        <f t="shared" si="73"/>
        <v/>
      </c>
      <c r="Q828" t="str">
        <f>IF($AS828="","",INDEX('TMP Paste'!$J$2:$J$1601,$AS828))</f>
        <v/>
      </c>
      <c r="R828" t="str">
        <f>IF($AS828="","",Config!$B$24)</f>
        <v/>
      </c>
      <c r="S828" t="str">
        <f ca="1">IF($AS828="","",TEXT(Config!$B$4,"yyyy-mm-dd"))</f>
        <v/>
      </c>
      <c r="T828" t="str">
        <f>IF($AS828="","",Config!$B$17)</f>
        <v/>
      </c>
      <c r="U828" t="str">
        <f>IF($AS828="","",Config!$B$18)</f>
        <v/>
      </c>
      <c r="V828" t="str">
        <f>IF($AS828="","",Config!$B$19)</f>
        <v/>
      </c>
      <c r="W828" t="str">
        <f>IF($AS828="","",INDEX('TMP Paste'!$C$2:$C$1601,$AS828))</f>
        <v/>
      </c>
      <c r="X828" t="str">
        <f>IF($AS828="","",Config!$B$29)</f>
        <v/>
      </c>
      <c r="Y828" t="str">
        <f>IF($AT828="","",INDEX(Calc!$I$2:$I$1601,$AT828)&amp;" - "&amp;INDEX(Calc!$D$2:$D$1601,$AT828)&amp;" koli")</f>
        <v/>
      </c>
      <c r="Z828" t="str">
        <f>IF($AS828="","",Config!$B$21)</f>
        <v/>
      </c>
      <c r="AA828" t="str">
        <f>IF($AS828="","",Config!$B$22)</f>
        <v/>
      </c>
      <c r="AB828" t="str">
        <f>IF($AT828="","",INDEX(Calc!$D$2:$D$1601,$AT828))</f>
        <v/>
      </c>
      <c r="AC828" t="str">
        <f>IF($AT828="","",INDEX(Calc!$G$2:$G$1601,$AT828))</f>
        <v/>
      </c>
      <c r="AD828" t="str">
        <f>IF($AS828="","",Config!$B$23)</f>
        <v/>
      </c>
      <c r="AE828" t="str">
        <f>IF($AS828="","",Config!$B$28)</f>
        <v/>
      </c>
      <c r="AF828" t="str">
        <f t="shared" si="74"/>
        <v/>
      </c>
      <c r="AG828" t="str">
        <f t="shared" si="75"/>
        <v/>
      </c>
      <c r="AH828" t="str">
        <f t="shared" si="76"/>
        <v/>
      </c>
      <c r="AI828" t="str">
        <f>IF($AG828="","",SUMIF($AG$2:$AG828,$AG828,$AH$2:$AH828))</f>
        <v/>
      </c>
      <c r="AJ828" t="str">
        <f>IF('TMP Paste'!$F828="","",IF('TMP Paste'!$B828="",$AJ827,'TMP Paste'!$B828))</f>
        <v/>
      </c>
      <c r="AK828" t="str">
        <f>IF('TMP Paste'!$F828="","",N('TMP Paste'!$G828))</f>
        <v/>
      </c>
      <c r="AL828" t="str">
        <f>IF('TMP Paste'!$F828="","",IF('TMP Paste'!$M828="",$AL827,'TMP Paste'!$M828))</f>
        <v/>
      </c>
      <c r="AM828" t="str">
        <f>IF('TMP Paste'!$F828="","",IF('TMP Paste'!$N828="",$AM827,'TMP Paste'!$N828))</f>
        <v/>
      </c>
      <c r="AN828" t="str">
        <f>IF('TMP Paste'!$F828="","",IF('TMP Paste'!$O828="",$AN827,'TMP Paste'!$O828))</f>
        <v/>
      </c>
      <c r="AO828" t="str">
        <f>IF('TMP Paste'!$F828="","",IF('TMP Paste'!$P828="",$AO827,'TMP Paste'!$P828))</f>
        <v/>
      </c>
      <c r="AP828" t="str">
        <f t="shared" si="77"/>
        <v/>
      </c>
      <c r="AQ828" t="str">
        <f>IF($AS828="","",TRIM(IF(COUNTIFS(Calc!$B$2:$B$1601,ROW()-1,Calc!$C$2:$C$1601,"&lt;1")&gt;0,"Ada PO tanpa Koli - cek TMP. ","")&amp;IF(OR($AU828="",$AU828&lt;=0),"Volume kosong/0 - dimensi dikosongkan. ","")&amp;IF(AND($AU828&lt;&gt;"",$AU828&gt;=1000000),"Volume &gt;= 1.000.000 cm3 (di luar aturan) - dimensi dikosongkan. ","")&amp;IF(LEN($R828)&gt;500,"R &gt; 500 karakter.","")))</f>
        <v/>
      </c>
      <c r="AS828" t="str">
        <f>IFERROR(MATCH(ROW()-1,Calc!$J$2:$J$1601,0),"")</f>
        <v/>
      </c>
      <c r="AT828" t="str">
        <f>IFERROR(MATCH(ROW()-1,Calc!$K$2:$K$1601,0),"")</f>
        <v/>
      </c>
      <c r="AU828" t="str">
        <f>IF($AS828="","",IFERROR(INDEX('TMP Paste'!$D$2:$D$1601,$AS828)*1000000/$AB828,""))</f>
        <v/>
      </c>
    </row>
    <row r="829" spans="1:47">
      <c r="A829" t="str">
        <f>IF($AS829="","",INDEX('TMP Paste'!$B$2:$B$1601,$AS829))</f>
        <v/>
      </c>
      <c r="B829" t="str">
        <f>IF($AS829="","",Config!$B$14)</f>
        <v/>
      </c>
      <c r="C829" t="str">
        <f>IF($AS829="","",Config!$B$15)</f>
        <v/>
      </c>
      <c r="D829" t="str">
        <f>IF($AS829="","",INDEX('TMP Paste'!$B$2:$B$1601,$AS829))</f>
        <v/>
      </c>
      <c r="E829" t="str">
        <f>IF($AS829="","",Config!$B$27)</f>
        <v/>
      </c>
      <c r="F829" t="str">
        <f>IF($AS829="","",Config!$B$9)</f>
        <v/>
      </c>
      <c r="G829" t="str">
        <f>IF($AS829="","",Config!$B$10)</f>
        <v/>
      </c>
      <c r="H829" t="str">
        <f>IF($AS829="","",Config!$B$11)</f>
        <v/>
      </c>
      <c r="I829" t="str">
        <f>IF($AS829="","",Config!$B$16)</f>
        <v/>
      </c>
      <c r="J829" t="str">
        <f>IF($AS829="","",INDEX('TMP Paste'!$A$2:$A$1601,$AS829))</f>
        <v/>
      </c>
      <c r="K829" t="str">
        <f>IF($AS829="","",INDEX('TMP Paste'!$L$2:$L$1601,$AS829))</f>
        <v/>
      </c>
      <c r="L829" t="str">
        <f>IF($AS829="","",INDEX('TMP Paste'!$I$2:$I$1601,$AS829))</f>
        <v/>
      </c>
      <c r="M829" t="str">
        <f>IF($AS829="","",Config!$B$16)</f>
        <v/>
      </c>
      <c r="N829" t="str">
        <f t="shared" si="72"/>
        <v/>
      </c>
      <c r="O829" t="str">
        <f>IF($AS829="","",INDEX('TMP Paste'!$K$2:$K$1601,$AS829))</f>
        <v/>
      </c>
      <c r="P829" t="str">
        <f t="shared" si="73"/>
        <v/>
      </c>
      <c r="Q829" t="str">
        <f>IF($AS829="","",INDEX('TMP Paste'!$J$2:$J$1601,$AS829))</f>
        <v/>
      </c>
      <c r="R829" t="str">
        <f>IF($AS829="","",Config!$B$24)</f>
        <v/>
      </c>
      <c r="S829" t="str">
        <f ca="1">IF($AS829="","",TEXT(Config!$B$4,"yyyy-mm-dd"))</f>
        <v/>
      </c>
      <c r="T829" t="str">
        <f>IF($AS829="","",Config!$B$17)</f>
        <v/>
      </c>
      <c r="U829" t="str">
        <f>IF($AS829="","",Config!$B$18)</f>
        <v/>
      </c>
      <c r="V829" t="str">
        <f>IF($AS829="","",Config!$B$19)</f>
        <v/>
      </c>
      <c r="W829" t="str">
        <f>IF($AS829="","",INDEX('TMP Paste'!$C$2:$C$1601,$AS829))</f>
        <v/>
      </c>
      <c r="X829" t="str">
        <f>IF($AS829="","",Config!$B$29)</f>
        <v/>
      </c>
      <c r="Y829" t="str">
        <f>IF($AT829="","",INDEX(Calc!$I$2:$I$1601,$AT829)&amp;" - "&amp;INDEX(Calc!$D$2:$D$1601,$AT829)&amp;" koli")</f>
        <v/>
      </c>
      <c r="Z829" t="str">
        <f>IF($AS829="","",Config!$B$21)</f>
        <v/>
      </c>
      <c r="AA829" t="str">
        <f>IF($AS829="","",Config!$B$22)</f>
        <v/>
      </c>
      <c r="AB829" t="str">
        <f>IF($AT829="","",INDEX(Calc!$D$2:$D$1601,$AT829))</f>
        <v/>
      </c>
      <c r="AC829" t="str">
        <f>IF($AT829="","",INDEX(Calc!$G$2:$G$1601,$AT829))</f>
        <v/>
      </c>
      <c r="AD829" t="str">
        <f>IF($AS829="","",Config!$B$23)</f>
        <v/>
      </c>
      <c r="AE829" t="str">
        <f>IF($AS829="","",Config!$B$28)</f>
        <v/>
      </c>
      <c r="AF829" t="str">
        <f t="shared" si="74"/>
        <v/>
      </c>
      <c r="AG829" t="str">
        <f t="shared" si="75"/>
        <v/>
      </c>
      <c r="AH829" t="str">
        <f t="shared" si="76"/>
        <v/>
      </c>
      <c r="AI829" t="str">
        <f>IF($AG829="","",SUMIF($AG$2:$AG829,$AG829,$AH$2:$AH829))</f>
        <v/>
      </c>
      <c r="AJ829" t="str">
        <f>IF('TMP Paste'!$F829="","",IF('TMP Paste'!$B829="",$AJ828,'TMP Paste'!$B829))</f>
        <v/>
      </c>
      <c r="AK829" t="str">
        <f>IF('TMP Paste'!$F829="","",N('TMP Paste'!$G829))</f>
        <v/>
      </c>
      <c r="AL829" t="str">
        <f>IF('TMP Paste'!$F829="","",IF('TMP Paste'!$M829="",$AL828,'TMP Paste'!$M829))</f>
        <v/>
      </c>
      <c r="AM829" t="str">
        <f>IF('TMP Paste'!$F829="","",IF('TMP Paste'!$N829="",$AM828,'TMP Paste'!$N829))</f>
        <v/>
      </c>
      <c r="AN829" t="str">
        <f>IF('TMP Paste'!$F829="","",IF('TMP Paste'!$O829="",$AN828,'TMP Paste'!$O829))</f>
        <v/>
      </c>
      <c r="AO829" t="str">
        <f>IF('TMP Paste'!$F829="","",IF('TMP Paste'!$P829="",$AO828,'TMP Paste'!$P829))</f>
        <v/>
      </c>
      <c r="AP829" t="str">
        <f t="shared" si="77"/>
        <v/>
      </c>
      <c r="AQ829" t="str">
        <f>IF($AS829="","",TRIM(IF(COUNTIFS(Calc!$B$2:$B$1601,ROW()-1,Calc!$C$2:$C$1601,"&lt;1")&gt;0,"Ada PO tanpa Koli - cek TMP. ","")&amp;IF(OR($AU829="",$AU829&lt;=0),"Volume kosong/0 - dimensi dikosongkan. ","")&amp;IF(AND($AU829&lt;&gt;"",$AU829&gt;=1000000),"Volume &gt;= 1.000.000 cm3 (di luar aturan) - dimensi dikosongkan. ","")&amp;IF(LEN($R829)&gt;500,"R &gt; 500 karakter.","")))</f>
        <v/>
      </c>
      <c r="AS829" t="str">
        <f>IFERROR(MATCH(ROW()-1,Calc!$J$2:$J$1601,0),"")</f>
        <v/>
      </c>
      <c r="AT829" t="str">
        <f>IFERROR(MATCH(ROW()-1,Calc!$K$2:$K$1601,0),"")</f>
        <v/>
      </c>
      <c r="AU829" t="str">
        <f>IF($AS829="","",IFERROR(INDEX('TMP Paste'!$D$2:$D$1601,$AS829)*1000000/$AB829,""))</f>
        <v/>
      </c>
    </row>
    <row r="830" spans="1:47">
      <c r="A830" t="str">
        <f>IF($AS830="","",INDEX('TMP Paste'!$B$2:$B$1601,$AS830))</f>
        <v/>
      </c>
      <c r="B830" t="str">
        <f>IF($AS830="","",Config!$B$14)</f>
        <v/>
      </c>
      <c r="C830" t="str">
        <f>IF($AS830="","",Config!$B$15)</f>
        <v/>
      </c>
      <c r="D830" t="str">
        <f>IF($AS830="","",INDEX('TMP Paste'!$B$2:$B$1601,$AS830))</f>
        <v/>
      </c>
      <c r="E830" t="str">
        <f>IF($AS830="","",Config!$B$27)</f>
        <v/>
      </c>
      <c r="F830" t="str">
        <f>IF($AS830="","",Config!$B$9)</f>
        <v/>
      </c>
      <c r="G830" t="str">
        <f>IF($AS830="","",Config!$B$10)</f>
        <v/>
      </c>
      <c r="H830" t="str">
        <f>IF($AS830="","",Config!$B$11)</f>
        <v/>
      </c>
      <c r="I830" t="str">
        <f>IF($AS830="","",Config!$B$16)</f>
        <v/>
      </c>
      <c r="J830" t="str">
        <f>IF($AS830="","",INDEX('TMP Paste'!$A$2:$A$1601,$AS830))</f>
        <v/>
      </c>
      <c r="K830" t="str">
        <f>IF($AS830="","",INDEX('TMP Paste'!$L$2:$L$1601,$AS830))</f>
        <v/>
      </c>
      <c r="L830" t="str">
        <f>IF($AS830="","",INDEX('TMP Paste'!$I$2:$I$1601,$AS830))</f>
        <v/>
      </c>
      <c r="M830" t="str">
        <f>IF($AS830="","",Config!$B$16)</f>
        <v/>
      </c>
      <c r="N830" t="str">
        <f t="shared" si="72"/>
        <v/>
      </c>
      <c r="O830" t="str">
        <f>IF($AS830="","",INDEX('TMP Paste'!$K$2:$K$1601,$AS830))</f>
        <v/>
      </c>
      <c r="P830" t="str">
        <f t="shared" si="73"/>
        <v/>
      </c>
      <c r="Q830" t="str">
        <f>IF($AS830="","",INDEX('TMP Paste'!$J$2:$J$1601,$AS830))</f>
        <v/>
      </c>
      <c r="R830" t="str">
        <f>IF($AS830="","",Config!$B$24)</f>
        <v/>
      </c>
      <c r="S830" t="str">
        <f ca="1">IF($AS830="","",TEXT(Config!$B$4,"yyyy-mm-dd"))</f>
        <v/>
      </c>
      <c r="T830" t="str">
        <f>IF($AS830="","",Config!$B$17)</f>
        <v/>
      </c>
      <c r="U830" t="str">
        <f>IF($AS830="","",Config!$B$18)</f>
        <v/>
      </c>
      <c r="V830" t="str">
        <f>IF($AS830="","",Config!$B$19)</f>
        <v/>
      </c>
      <c r="W830" t="str">
        <f>IF($AS830="","",INDEX('TMP Paste'!$C$2:$C$1601,$AS830))</f>
        <v/>
      </c>
      <c r="X830" t="str">
        <f>IF($AS830="","",Config!$B$29)</f>
        <v/>
      </c>
      <c r="Y830" t="str">
        <f>IF($AT830="","",INDEX(Calc!$I$2:$I$1601,$AT830)&amp;" - "&amp;INDEX(Calc!$D$2:$D$1601,$AT830)&amp;" koli")</f>
        <v/>
      </c>
      <c r="Z830" t="str">
        <f>IF($AS830="","",Config!$B$21)</f>
        <v/>
      </c>
      <c r="AA830" t="str">
        <f>IF($AS830="","",Config!$B$22)</f>
        <v/>
      </c>
      <c r="AB830" t="str">
        <f>IF($AT830="","",INDEX(Calc!$D$2:$D$1601,$AT830))</f>
        <v/>
      </c>
      <c r="AC830" t="str">
        <f>IF($AT830="","",INDEX(Calc!$G$2:$G$1601,$AT830))</f>
        <v/>
      </c>
      <c r="AD830" t="str">
        <f>IF($AS830="","",Config!$B$23)</f>
        <v/>
      </c>
      <c r="AE830" t="str">
        <f>IF($AS830="","",Config!$B$28)</f>
        <v/>
      </c>
      <c r="AF830" t="str">
        <f t="shared" si="74"/>
        <v/>
      </c>
      <c r="AG830" t="str">
        <f t="shared" si="75"/>
        <v/>
      </c>
      <c r="AH830" t="str">
        <f t="shared" si="76"/>
        <v/>
      </c>
      <c r="AI830" t="str">
        <f>IF($AG830="","",SUMIF($AG$2:$AG830,$AG830,$AH$2:$AH830))</f>
        <v/>
      </c>
      <c r="AJ830" t="str">
        <f>IF('TMP Paste'!$F830="","",IF('TMP Paste'!$B830="",$AJ829,'TMP Paste'!$B830))</f>
        <v/>
      </c>
      <c r="AK830" t="str">
        <f>IF('TMP Paste'!$F830="","",N('TMP Paste'!$G830))</f>
        <v/>
      </c>
      <c r="AL830" t="str">
        <f>IF('TMP Paste'!$F830="","",IF('TMP Paste'!$M830="",$AL829,'TMP Paste'!$M830))</f>
        <v/>
      </c>
      <c r="AM830" t="str">
        <f>IF('TMP Paste'!$F830="","",IF('TMP Paste'!$N830="",$AM829,'TMP Paste'!$N830))</f>
        <v/>
      </c>
      <c r="AN830" t="str">
        <f>IF('TMP Paste'!$F830="","",IF('TMP Paste'!$O830="",$AN829,'TMP Paste'!$O830))</f>
        <v/>
      </c>
      <c r="AO830" t="str">
        <f>IF('TMP Paste'!$F830="","",IF('TMP Paste'!$P830="",$AO829,'TMP Paste'!$P830))</f>
        <v/>
      </c>
      <c r="AP830" t="str">
        <f t="shared" si="77"/>
        <v/>
      </c>
      <c r="AQ830" t="str">
        <f>IF($AS830="","",TRIM(IF(COUNTIFS(Calc!$B$2:$B$1601,ROW()-1,Calc!$C$2:$C$1601,"&lt;1")&gt;0,"Ada PO tanpa Koli - cek TMP. ","")&amp;IF(OR($AU830="",$AU830&lt;=0),"Volume kosong/0 - dimensi dikosongkan. ","")&amp;IF(AND($AU830&lt;&gt;"",$AU830&gt;=1000000),"Volume &gt;= 1.000.000 cm3 (di luar aturan) - dimensi dikosongkan. ","")&amp;IF(LEN($R830)&gt;500,"R &gt; 500 karakter.","")))</f>
        <v/>
      </c>
      <c r="AS830" t="str">
        <f>IFERROR(MATCH(ROW()-1,Calc!$J$2:$J$1601,0),"")</f>
        <v/>
      </c>
      <c r="AT830" t="str">
        <f>IFERROR(MATCH(ROW()-1,Calc!$K$2:$K$1601,0),"")</f>
        <v/>
      </c>
      <c r="AU830" t="str">
        <f>IF($AS830="","",IFERROR(INDEX('TMP Paste'!$D$2:$D$1601,$AS830)*1000000/$AB830,""))</f>
        <v/>
      </c>
    </row>
    <row r="831" spans="1:47">
      <c r="A831" t="str">
        <f>IF($AS831="","",INDEX('TMP Paste'!$B$2:$B$1601,$AS831))</f>
        <v/>
      </c>
      <c r="B831" t="str">
        <f>IF($AS831="","",Config!$B$14)</f>
        <v/>
      </c>
      <c r="C831" t="str">
        <f>IF($AS831="","",Config!$B$15)</f>
        <v/>
      </c>
      <c r="D831" t="str">
        <f>IF($AS831="","",INDEX('TMP Paste'!$B$2:$B$1601,$AS831))</f>
        <v/>
      </c>
      <c r="E831" t="str">
        <f>IF($AS831="","",Config!$B$27)</f>
        <v/>
      </c>
      <c r="F831" t="str">
        <f>IF($AS831="","",Config!$B$9)</f>
        <v/>
      </c>
      <c r="G831" t="str">
        <f>IF($AS831="","",Config!$B$10)</f>
        <v/>
      </c>
      <c r="H831" t="str">
        <f>IF($AS831="","",Config!$B$11)</f>
        <v/>
      </c>
      <c r="I831" t="str">
        <f>IF($AS831="","",Config!$B$16)</f>
        <v/>
      </c>
      <c r="J831" t="str">
        <f>IF($AS831="","",INDEX('TMP Paste'!$A$2:$A$1601,$AS831))</f>
        <v/>
      </c>
      <c r="K831" t="str">
        <f>IF($AS831="","",INDEX('TMP Paste'!$L$2:$L$1601,$AS831))</f>
        <v/>
      </c>
      <c r="L831" t="str">
        <f>IF($AS831="","",INDEX('TMP Paste'!$I$2:$I$1601,$AS831))</f>
        <v/>
      </c>
      <c r="M831" t="str">
        <f>IF($AS831="","",Config!$B$16)</f>
        <v/>
      </c>
      <c r="N831" t="str">
        <f t="shared" si="72"/>
        <v/>
      </c>
      <c r="O831" t="str">
        <f>IF($AS831="","",INDEX('TMP Paste'!$K$2:$K$1601,$AS831))</f>
        <v/>
      </c>
      <c r="P831" t="str">
        <f t="shared" si="73"/>
        <v/>
      </c>
      <c r="Q831" t="str">
        <f>IF($AS831="","",INDEX('TMP Paste'!$J$2:$J$1601,$AS831))</f>
        <v/>
      </c>
      <c r="R831" t="str">
        <f>IF($AS831="","",Config!$B$24)</f>
        <v/>
      </c>
      <c r="S831" t="str">
        <f ca="1">IF($AS831="","",TEXT(Config!$B$4,"yyyy-mm-dd"))</f>
        <v/>
      </c>
      <c r="T831" t="str">
        <f>IF($AS831="","",Config!$B$17)</f>
        <v/>
      </c>
      <c r="U831" t="str">
        <f>IF($AS831="","",Config!$B$18)</f>
        <v/>
      </c>
      <c r="V831" t="str">
        <f>IF($AS831="","",Config!$B$19)</f>
        <v/>
      </c>
      <c r="W831" t="str">
        <f>IF($AS831="","",INDEX('TMP Paste'!$C$2:$C$1601,$AS831))</f>
        <v/>
      </c>
      <c r="X831" t="str">
        <f>IF($AS831="","",Config!$B$29)</f>
        <v/>
      </c>
      <c r="Y831" t="str">
        <f>IF($AT831="","",INDEX(Calc!$I$2:$I$1601,$AT831)&amp;" - "&amp;INDEX(Calc!$D$2:$D$1601,$AT831)&amp;" koli")</f>
        <v/>
      </c>
      <c r="Z831" t="str">
        <f>IF($AS831="","",Config!$B$21)</f>
        <v/>
      </c>
      <c r="AA831" t="str">
        <f>IF($AS831="","",Config!$B$22)</f>
        <v/>
      </c>
      <c r="AB831" t="str">
        <f>IF($AT831="","",INDEX(Calc!$D$2:$D$1601,$AT831))</f>
        <v/>
      </c>
      <c r="AC831" t="str">
        <f>IF($AT831="","",INDEX(Calc!$G$2:$G$1601,$AT831))</f>
        <v/>
      </c>
      <c r="AD831" t="str">
        <f>IF($AS831="","",Config!$B$23)</f>
        <v/>
      </c>
      <c r="AE831" t="str">
        <f>IF($AS831="","",Config!$B$28)</f>
        <v/>
      </c>
      <c r="AF831" t="str">
        <f t="shared" si="74"/>
        <v/>
      </c>
      <c r="AG831" t="str">
        <f t="shared" si="75"/>
        <v/>
      </c>
      <c r="AH831" t="str">
        <f t="shared" si="76"/>
        <v/>
      </c>
      <c r="AI831" t="str">
        <f>IF($AG831="","",SUMIF($AG$2:$AG831,$AG831,$AH$2:$AH831))</f>
        <v/>
      </c>
      <c r="AJ831" t="str">
        <f>IF('TMP Paste'!$F831="","",IF('TMP Paste'!$B831="",$AJ830,'TMP Paste'!$B831))</f>
        <v/>
      </c>
      <c r="AK831" t="str">
        <f>IF('TMP Paste'!$F831="","",N('TMP Paste'!$G831))</f>
        <v/>
      </c>
      <c r="AL831" t="str">
        <f>IF('TMP Paste'!$F831="","",IF('TMP Paste'!$M831="",$AL830,'TMP Paste'!$M831))</f>
        <v/>
      </c>
      <c r="AM831" t="str">
        <f>IF('TMP Paste'!$F831="","",IF('TMP Paste'!$N831="",$AM830,'TMP Paste'!$N831))</f>
        <v/>
      </c>
      <c r="AN831" t="str">
        <f>IF('TMP Paste'!$F831="","",IF('TMP Paste'!$O831="",$AN830,'TMP Paste'!$O831))</f>
        <v/>
      </c>
      <c r="AO831" t="str">
        <f>IF('TMP Paste'!$F831="","",IF('TMP Paste'!$P831="",$AO830,'TMP Paste'!$P831))</f>
        <v/>
      </c>
      <c r="AP831" t="str">
        <f t="shared" si="77"/>
        <v/>
      </c>
      <c r="AQ831" t="str">
        <f>IF($AS831="","",TRIM(IF(COUNTIFS(Calc!$B$2:$B$1601,ROW()-1,Calc!$C$2:$C$1601,"&lt;1")&gt;0,"Ada PO tanpa Koli - cek TMP. ","")&amp;IF(OR($AU831="",$AU831&lt;=0),"Volume kosong/0 - dimensi dikosongkan. ","")&amp;IF(AND($AU831&lt;&gt;"",$AU831&gt;=1000000),"Volume &gt;= 1.000.000 cm3 (di luar aturan) - dimensi dikosongkan. ","")&amp;IF(LEN($R831)&gt;500,"R &gt; 500 karakter.","")))</f>
        <v/>
      </c>
      <c r="AS831" t="str">
        <f>IFERROR(MATCH(ROW()-1,Calc!$J$2:$J$1601,0),"")</f>
        <v/>
      </c>
      <c r="AT831" t="str">
        <f>IFERROR(MATCH(ROW()-1,Calc!$K$2:$K$1601,0),"")</f>
        <v/>
      </c>
      <c r="AU831" t="str">
        <f>IF($AS831="","",IFERROR(INDEX('TMP Paste'!$D$2:$D$1601,$AS831)*1000000/$AB831,""))</f>
        <v/>
      </c>
    </row>
    <row r="832" spans="1:47">
      <c r="A832" t="str">
        <f>IF($AS832="","",INDEX('TMP Paste'!$B$2:$B$1601,$AS832))</f>
        <v/>
      </c>
      <c r="B832" t="str">
        <f>IF($AS832="","",Config!$B$14)</f>
        <v/>
      </c>
      <c r="C832" t="str">
        <f>IF($AS832="","",Config!$B$15)</f>
        <v/>
      </c>
      <c r="D832" t="str">
        <f>IF($AS832="","",INDEX('TMP Paste'!$B$2:$B$1601,$AS832))</f>
        <v/>
      </c>
      <c r="E832" t="str">
        <f>IF($AS832="","",Config!$B$27)</f>
        <v/>
      </c>
      <c r="F832" t="str">
        <f>IF($AS832="","",Config!$B$9)</f>
        <v/>
      </c>
      <c r="G832" t="str">
        <f>IF($AS832="","",Config!$B$10)</f>
        <v/>
      </c>
      <c r="H832" t="str">
        <f>IF($AS832="","",Config!$B$11)</f>
        <v/>
      </c>
      <c r="I832" t="str">
        <f>IF($AS832="","",Config!$B$16)</f>
        <v/>
      </c>
      <c r="J832" t="str">
        <f>IF($AS832="","",INDEX('TMP Paste'!$A$2:$A$1601,$AS832))</f>
        <v/>
      </c>
      <c r="K832" t="str">
        <f>IF($AS832="","",INDEX('TMP Paste'!$L$2:$L$1601,$AS832))</f>
        <v/>
      </c>
      <c r="L832" t="str">
        <f>IF($AS832="","",INDEX('TMP Paste'!$I$2:$I$1601,$AS832))</f>
        <v/>
      </c>
      <c r="M832" t="str">
        <f>IF($AS832="","",Config!$B$16)</f>
        <v/>
      </c>
      <c r="N832" t="str">
        <f t="shared" si="72"/>
        <v/>
      </c>
      <c r="O832" t="str">
        <f>IF($AS832="","",INDEX('TMP Paste'!$K$2:$K$1601,$AS832))</f>
        <v/>
      </c>
      <c r="P832" t="str">
        <f t="shared" si="73"/>
        <v/>
      </c>
      <c r="Q832" t="str">
        <f>IF($AS832="","",INDEX('TMP Paste'!$J$2:$J$1601,$AS832))</f>
        <v/>
      </c>
      <c r="R832" t="str">
        <f>IF($AS832="","",Config!$B$24)</f>
        <v/>
      </c>
      <c r="S832" t="str">
        <f ca="1">IF($AS832="","",TEXT(Config!$B$4,"yyyy-mm-dd"))</f>
        <v/>
      </c>
      <c r="T832" t="str">
        <f>IF($AS832="","",Config!$B$17)</f>
        <v/>
      </c>
      <c r="U832" t="str">
        <f>IF($AS832="","",Config!$B$18)</f>
        <v/>
      </c>
      <c r="V832" t="str">
        <f>IF($AS832="","",Config!$B$19)</f>
        <v/>
      </c>
      <c r="W832" t="str">
        <f>IF($AS832="","",INDEX('TMP Paste'!$C$2:$C$1601,$AS832))</f>
        <v/>
      </c>
      <c r="X832" t="str">
        <f>IF($AS832="","",Config!$B$29)</f>
        <v/>
      </c>
      <c r="Y832" t="str">
        <f>IF($AT832="","",INDEX(Calc!$I$2:$I$1601,$AT832)&amp;" - "&amp;INDEX(Calc!$D$2:$D$1601,$AT832)&amp;" koli")</f>
        <v/>
      </c>
      <c r="Z832" t="str">
        <f>IF($AS832="","",Config!$B$21)</f>
        <v/>
      </c>
      <c r="AA832" t="str">
        <f>IF($AS832="","",Config!$B$22)</f>
        <v/>
      </c>
      <c r="AB832" t="str">
        <f>IF($AT832="","",INDEX(Calc!$D$2:$D$1601,$AT832))</f>
        <v/>
      </c>
      <c r="AC832" t="str">
        <f>IF($AT832="","",INDEX(Calc!$G$2:$G$1601,$AT832))</f>
        <v/>
      </c>
      <c r="AD832" t="str">
        <f>IF($AS832="","",Config!$B$23)</f>
        <v/>
      </c>
      <c r="AE832" t="str">
        <f>IF($AS832="","",Config!$B$28)</f>
        <v/>
      </c>
      <c r="AF832" t="str">
        <f t="shared" si="74"/>
        <v/>
      </c>
      <c r="AG832" t="str">
        <f t="shared" si="75"/>
        <v/>
      </c>
      <c r="AH832" t="str">
        <f t="shared" si="76"/>
        <v/>
      </c>
      <c r="AI832" t="str">
        <f>IF($AG832="","",SUMIF($AG$2:$AG832,$AG832,$AH$2:$AH832))</f>
        <v/>
      </c>
      <c r="AJ832" t="str">
        <f>IF('TMP Paste'!$F832="","",IF('TMP Paste'!$B832="",$AJ831,'TMP Paste'!$B832))</f>
        <v/>
      </c>
      <c r="AK832" t="str">
        <f>IF('TMP Paste'!$F832="","",N('TMP Paste'!$G832))</f>
        <v/>
      </c>
      <c r="AL832" t="str">
        <f>IF('TMP Paste'!$F832="","",IF('TMP Paste'!$M832="",$AL831,'TMP Paste'!$M832))</f>
        <v/>
      </c>
      <c r="AM832" t="str">
        <f>IF('TMP Paste'!$F832="","",IF('TMP Paste'!$N832="",$AM831,'TMP Paste'!$N832))</f>
        <v/>
      </c>
      <c r="AN832" t="str">
        <f>IF('TMP Paste'!$F832="","",IF('TMP Paste'!$O832="",$AN831,'TMP Paste'!$O832))</f>
        <v/>
      </c>
      <c r="AO832" t="str">
        <f>IF('TMP Paste'!$F832="","",IF('TMP Paste'!$P832="",$AO831,'TMP Paste'!$P832))</f>
        <v/>
      </c>
      <c r="AP832" t="str">
        <f t="shared" si="77"/>
        <v/>
      </c>
      <c r="AQ832" t="str">
        <f>IF($AS832="","",TRIM(IF(COUNTIFS(Calc!$B$2:$B$1601,ROW()-1,Calc!$C$2:$C$1601,"&lt;1")&gt;0,"Ada PO tanpa Koli - cek TMP. ","")&amp;IF(OR($AU832="",$AU832&lt;=0),"Volume kosong/0 - dimensi dikosongkan. ","")&amp;IF(AND($AU832&lt;&gt;"",$AU832&gt;=1000000),"Volume &gt;= 1.000.000 cm3 (di luar aturan) - dimensi dikosongkan. ","")&amp;IF(LEN($R832)&gt;500,"R &gt; 500 karakter.","")))</f>
        <v/>
      </c>
      <c r="AS832" t="str">
        <f>IFERROR(MATCH(ROW()-1,Calc!$J$2:$J$1601,0),"")</f>
        <v/>
      </c>
      <c r="AT832" t="str">
        <f>IFERROR(MATCH(ROW()-1,Calc!$K$2:$K$1601,0),"")</f>
        <v/>
      </c>
      <c r="AU832" t="str">
        <f>IF($AS832="","",IFERROR(INDEX('TMP Paste'!$D$2:$D$1601,$AS832)*1000000/$AB832,""))</f>
        <v/>
      </c>
    </row>
    <row r="833" spans="1:47">
      <c r="A833" t="str">
        <f>IF($AS833="","",INDEX('TMP Paste'!$B$2:$B$1601,$AS833))</f>
        <v/>
      </c>
      <c r="B833" t="str">
        <f>IF($AS833="","",Config!$B$14)</f>
        <v/>
      </c>
      <c r="C833" t="str">
        <f>IF($AS833="","",Config!$B$15)</f>
        <v/>
      </c>
      <c r="D833" t="str">
        <f>IF($AS833="","",INDEX('TMP Paste'!$B$2:$B$1601,$AS833))</f>
        <v/>
      </c>
      <c r="E833" t="str">
        <f>IF($AS833="","",Config!$B$27)</f>
        <v/>
      </c>
      <c r="F833" t="str">
        <f>IF($AS833="","",Config!$B$9)</f>
        <v/>
      </c>
      <c r="G833" t="str">
        <f>IF($AS833="","",Config!$B$10)</f>
        <v/>
      </c>
      <c r="H833" t="str">
        <f>IF($AS833="","",Config!$B$11)</f>
        <v/>
      </c>
      <c r="I833" t="str">
        <f>IF($AS833="","",Config!$B$16)</f>
        <v/>
      </c>
      <c r="J833" t="str">
        <f>IF($AS833="","",INDEX('TMP Paste'!$A$2:$A$1601,$AS833))</f>
        <v/>
      </c>
      <c r="K833" t="str">
        <f>IF($AS833="","",INDEX('TMP Paste'!$L$2:$L$1601,$AS833))</f>
        <v/>
      </c>
      <c r="L833" t="str">
        <f>IF($AS833="","",INDEX('TMP Paste'!$I$2:$I$1601,$AS833))</f>
        <v/>
      </c>
      <c r="M833" t="str">
        <f>IF($AS833="","",Config!$B$16)</f>
        <v/>
      </c>
      <c r="N833" t="str">
        <f t="shared" si="72"/>
        <v/>
      </c>
      <c r="O833" t="str">
        <f>IF($AS833="","",INDEX('TMP Paste'!$K$2:$K$1601,$AS833))</f>
        <v/>
      </c>
      <c r="P833" t="str">
        <f t="shared" si="73"/>
        <v/>
      </c>
      <c r="Q833" t="str">
        <f>IF($AS833="","",INDEX('TMP Paste'!$J$2:$J$1601,$AS833))</f>
        <v/>
      </c>
      <c r="R833" t="str">
        <f>IF($AS833="","",Config!$B$24)</f>
        <v/>
      </c>
      <c r="S833" t="str">
        <f ca="1">IF($AS833="","",TEXT(Config!$B$4,"yyyy-mm-dd"))</f>
        <v/>
      </c>
      <c r="T833" t="str">
        <f>IF($AS833="","",Config!$B$17)</f>
        <v/>
      </c>
      <c r="U833" t="str">
        <f>IF($AS833="","",Config!$B$18)</f>
        <v/>
      </c>
      <c r="V833" t="str">
        <f>IF($AS833="","",Config!$B$19)</f>
        <v/>
      </c>
      <c r="W833" t="str">
        <f>IF($AS833="","",INDEX('TMP Paste'!$C$2:$C$1601,$AS833))</f>
        <v/>
      </c>
      <c r="X833" t="str">
        <f>IF($AS833="","",Config!$B$29)</f>
        <v/>
      </c>
      <c r="Y833" t="str">
        <f>IF($AT833="","",INDEX(Calc!$I$2:$I$1601,$AT833)&amp;" - "&amp;INDEX(Calc!$D$2:$D$1601,$AT833)&amp;" koli")</f>
        <v/>
      </c>
      <c r="Z833" t="str">
        <f>IF($AS833="","",Config!$B$21)</f>
        <v/>
      </c>
      <c r="AA833" t="str">
        <f>IF($AS833="","",Config!$B$22)</f>
        <v/>
      </c>
      <c r="AB833" t="str">
        <f>IF($AT833="","",INDEX(Calc!$D$2:$D$1601,$AT833))</f>
        <v/>
      </c>
      <c r="AC833" t="str">
        <f>IF($AT833="","",INDEX(Calc!$G$2:$G$1601,$AT833))</f>
        <v/>
      </c>
      <c r="AD833" t="str">
        <f>IF($AS833="","",Config!$B$23)</f>
        <v/>
      </c>
      <c r="AE833" t="str">
        <f>IF($AS833="","",Config!$B$28)</f>
        <v/>
      </c>
      <c r="AF833" t="str">
        <f t="shared" si="74"/>
        <v/>
      </c>
      <c r="AG833" t="str">
        <f t="shared" si="75"/>
        <v/>
      </c>
      <c r="AH833" t="str">
        <f t="shared" si="76"/>
        <v/>
      </c>
      <c r="AI833" t="str">
        <f>IF($AG833="","",SUMIF($AG$2:$AG833,$AG833,$AH$2:$AH833))</f>
        <v/>
      </c>
      <c r="AJ833" t="str">
        <f>IF('TMP Paste'!$F833="","",IF('TMP Paste'!$B833="",$AJ832,'TMP Paste'!$B833))</f>
        <v/>
      </c>
      <c r="AK833" t="str">
        <f>IF('TMP Paste'!$F833="","",N('TMP Paste'!$G833))</f>
        <v/>
      </c>
      <c r="AL833" t="str">
        <f>IF('TMP Paste'!$F833="","",IF('TMP Paste'!$M833="",$AL832,'TMP Paste'!$M833))</f>
        <v/>
      </c>
      <c r="AM833" t="str">
        <f>IF('TMP Paste'!$F833="","",IF('TMP Paste'!$N833="",$AM832,'TMP Paste'!$N833))</f>
        <v/>
      </c>
      <c r="AN833" t="str">
        <f>IF('TMP Paste'!$F833="","",IF('TMP Paste'!$O833="",$AN832,'TMP Paste'!$O833))</f>
        <v/>
      </c>
      <c r="AO833" t="str">
        <f>IF('TMP Paste'!$F833="","",IF('TMP Paste'!$P833="",$AO832,'TMP Paste'!$P833))</f>
        <v/>
      </c>
      <c r="AP833" t="str">
        <f t="shared" si="77"/>
        <v/>
      </c>
      <c r="AQ833" t="str">
        <f>IF($AS833="","",TRIM(IF(COUNTIFS(Calc!$B$2:$B$1601,ROW()-1,Calc!$C$2:$C$1601,"&lt;1")&gt;0,"Ada PO tanpa Koli - cek TMP. ","")&amp;IF(OR($AU833="",$AU833&lt;=0),"Volume kosong/0 - dimensi dikosongkan. ","")&amp;IF(AND($AU833&lt;&gt;"",$AU833&gt;=1000000),"Volume &gt;= 1.000.000 cm3 (di luar aturan) - dimensi dikosongkan. ","")&amp;IF(LEN($R833)&gt;500,"R &gt; 500 karakter.","")))</f>
        <v/>
      </c>
      <c r="AS833" t="str">
        <f>IFERROR(MATCH(ROW()-1,Calc!$J$2:$J$1601,0),"")</f>
        <v/>
      </c>
      <c r="AT833" t="str">
        <f>IFERROR(MATCH(ROW()-1,Calc!$K$2:$K$1601,0),"")</f>
        <v/>
      </c>
      <c r="AU833" t="str">
        <f>IF($AS833="","",IFERROR(INDEX('TMP Paste'!$D$2:$D$1601,$AS833)*1000000/$AB833,""))</f>
        <v/>
      </c>
    </row>
    <row r="834" spans="1:47">
      <c r="A834" t="str">
        <f>IF($AS834="","",INDEX('TMP Paste'!$B$2:$B$1601,$AS834))</f>
        <v/>
      </c>
      <c r="B834" t="str">
        <f>IF($AS834="","",Config!$B$14)</f>
        <v/>
      </c>
      <c r="C834" t="str">
        <f>IF($AS834="","",Config!$B$15)</f>
        <v/>
      </c>
      <c r="D834" t="str">
        <f>IF($AS834="","",INDEX('TMP Paste'!$B$2:$B$1601,$AS834))</f>
        <v/>
      </c>
      <c r="E834" t="str">
        <f>IF($AS834="","",Config!$B$27)</f>
        <v/>
      </c>
      <c r="F834" t="str">
        <f>IF($AS834="","",Config!$B$9)</f>
        <v/>
      </c>
      <c r="G834" t="str">
        <f>IF($AS834="","",Config!$B$10)</f>
        <v/>
      </c>
      <c r="H834" t="str">
        <f>IF($AS834="","",Config!$B$11)</f>
        <v/>
      </c>
      <c r="I834" t="str">
        <f>IF($AS834="","",Config!$B$16)</f>
        <v/>
      </c>
      <c r="J834" t="str">
        <f>IF($AS834="","",INDEX('TMP Paste'!$A$2:$A$1601,$AS834))</f>
        <v/>
      </c>
      <c r="K834" t="str">
        <f>IF($AS834="","",INDEX('TMP Paste'!$L$2:$L$1601,$AS834))</f>
        <v/>
      </c>
      <c r="L834" t="str">
        <f>IF($AS834="","",INDEX('TMP Paste'!$I$2:$I$1601,$AS834))</f>
        <v/>
      </c>
      <c r="M834" t="str">
        <f>IF($AS834="","",Config!$B$16)</f>
        <v/>
      </c>
      <c r="N834" t="str">
        <f t="shared" ref="N834:N897" si="78">IF($AS834="","","")</f>
        <v/>
      </c>
      <c r="O834" t="str">
        <f>IF($AS834="","",INDEX('TMP Paste'!$K$2:$K$1601,$AS834))</f>
        <v/>
      </c>
      <c r="P834" t="str">
        <f t="shared" ref="P834:P897" si="79">IF($AS834="","","")</f>
        <v/>
      </c>
      <c r="Q834" t="str">
        <f>IF($AS834="","",INDEX('TMP Paste'!$J$2:$J$1601,$AS834))</f>
        <v/>
      </c>
      <c r="R834" t="str">
        <f>IF($AS834="","",Config!$B$24)</f>
        <v/>
      </c>
      <c r="S834" t="str">
        <f ca="1">IF($AS834="","",TEXT(Config!$B$4,"yyyy-mm-dd"))</f>
        <v/>
      </c>
      <c r="T834" t="str">
        <f>IF($AS834="","",Config!$B$17)</f>
        <v/>
      </c>
      <c r="U834" t="str">
        <f>IF($AS834="","",Config!$B$18)</f>
        <v/>
      </c>
      <c r="V834" t="str">
        <f>IF($AS834="","",Config!$B$19)</f>
        <v/>
      </c>
      <c r="W834" t="str">
        <f>IF($AS834="","",INDEX('TMP Paste'!$C$2:$C$1601,$AS834))</f>
        <v/>
      </c>
      <c r="X834" t="str">
        <f>IF($AS834="","",Config!$B$29)</f>
        <v/>
      </c>
      <c r="Y834" t="str">
        <f>IF($AT834="","",INDEX(Calc!$I$2:$I$1601,$AT834)&amp;" - "&amp;INDEX(Calc!$D$2:$D$1601,$AT834)&amp;" koli")</f>
        <v/>
      </c>
      <c r="Z834" t="str">
        <f>IF($AS834="","",Config!$B$21)</f>
        <v/>
      </c>
      <c r="AA834" t="str">
        <f>IF($AS834="","",Config!$B$22)</f>
        <v/>
      </c>
      <c r="AB834" t="str">
        <f>IF($AT834="","",INDEX(Calc!$D$2:$D$1601,$AT834))</f>
        <v/>
      </c>
      <c r="AC834" t="str">
        <f>IF($AT834="","",INDEX(Calc!$G$2:$G$1601,$AT834))</f>
        <v/>
      </c>
      <c r="AD834" t="str">
        <f>IF($AS834="","",Config!$B$23)</f>
        <v/>
      </c>
      <c r="AE834" t="str">
        <f>IF($AS834="","",Config!$B$28)</f>
        <v/>
      </c>
      <c r="AF834" t="str">
        <f t="shared" ref="AF834:AF897" si="80">IF($AS834="","",IF(OR($AU834="",$AU834&lt;=0,$AU834&gt;=1000000),"",IF($AU834&lt;10000,10,100)))</f>
        <v/>
      </c>
      <c r="AG834" t="str">
        <f t="shared" ref="AG834:AG897" si="81">IF($AS834="","",IF(OR($AU834="",$AU834&lt;=0,$AU834&gt;=1000000),"",IF($AU834&lt;10000,$AU834/100,IF($AU834&lt;100000,$AU834/1000,$AU834/10000))))</f>
        <v/>
      </c>
      <c r="AH834" t="str">
        <f t="shared" ref="AH834:AH897" si="82">IF($AS834="","",IF(OR($AU834="",$AU834&lt;=0,$AU834&gt;=1000000),"",IF($AU834&lt;100000,10,100)))</f>
        <v/>
      </c>
      <c r="AI834" t="str">
        <f>IF($AG834="","",SUMIF($AG$2:$AG834,$AG834,$AH$2:$AH834))</f>
        <v/>
      </c>
      <c r="AJ834" t="str">
        <f>IF('TMP Paste'!$F834="","",IF('TMP Paste'!$B834="",$AJ833,'TMP Paste'!$B834))</f>
        <v/>
      </c>
      <c r="AK834" t="str">
        <f>IF('TMP Paste'!$F834="","",N('TMP Paste'!$G834))</f>
        <v/>
      </c>
      <c r="AL834" t="str">
        <f>IF('TMP Paste'!$F834="","",IF('TMP Paste'!$M834="",$AL833,'TMP Paste'!$M834))</f>
        <v/>
      </c>
      <c r="AM834" t="str">
        <f>IF('TMP Paste'!$F834="","",IF('TMP Paste'!$N834="",$AM833,'TMP Paste'!$N834))</f>
        <v/>
      </c>
      <c r="AN834" t="str">
        <f>IF('TMP Paste'!$F834="","",IF('TMP Paste'!$O834="",$AN833,'TMP Paste'!$O834))</f>
        <v/>
      </c>
      <c r="AO834" t="str">
        <f>IF('TMP Paste'!$F834="","",IF('TMP Paste'!$P834="",$AO833,'TMP Paste'!$P834))</f>
        <v/>
      </c>
      <c r="AP834" t="str">
        <f t="shared" ref="AP834:AP897" si="83">IF($AG834="","",LEN($R834))</f>
        <v/>
      </c>
      <c r="AQ834" t="str">
        <f>IF($AS834="","",TRIM(IF(COUNTIFS(Calc!$B$2:$B$1601,ROW()-1,Calc!$C$2:$C$1601,"&lt;1")&gt;0,"Ada PO tanpa Koli - cek TMP. ","")&amp;IF(OR($AU834="",$AU834&lt;=0),"Volume kosong/0 - dimensi dikosongkan. ","")&amp;IF(AND($AU834&lt;&gt;"",$AU834&gt;=1000000),"Volume &gt;= 1.000.000 cm3 (di luar aturan) - dimensi dikosongkan. ","")&amp;IF(LEN($R834)&gt;500,"R &gt; 500 karakter.","")))</f>
        <v/>
      </c>
      <c r="AS834" t="str">
        <f>IFERROR(MATCH(ROW()-1,Calc!$J$2:$J$1601,0),"")</f>
        <v/>
      </c>
      <c r="AT834" t="str">
        <f>IFERROR(MATCH(ROW()-1,Calc!$K$2:$K$1601,0),"")</f>
        <v/>
      </c>
      <c r="AU834" t="str">
        <f>IF($AS834="","",IFERROR(INDEX('TMP Paste'!$D$2:$D$1601,$AS834)*1000000/$AB834,""))</f>
        <v/>
      </c>
    </row>
    <row r="835" spans="1:47">
      <c r="A835" t="str">
        <f>IF($AS835="","",INDEX('TMP Paste'!$B$2:$B$1601,$AS835))</f>
        <v/>
      </c>
      <c r="B835" t="str">
        <f>IF($AS835="","",Config!$B$14)</f>
        <v/>
      </c>
      <c r="C835" t="str">
        <f>IF($AS835="","",Config!$B$15)</f>
        <v/>
      </c>
      <c r="D835" t="str">
        <f>IF($AS835="","",INDEX('TMP Paste'!$B$2:$B$1601,$AS835))</f>
        <v/>
      </c>
      <c r="E835" t="str">
        <f>IF($AS835="","",Config!$B$27)</f>
        <v/>
      </c>
      <c r="F835" t="str">
        <f>IF($AS835="","",Config!$B$9)</f>
        <v/>
      </c>
      <c r="G835" t="str">
        <f>IF($AS835="","",Config!$B$10)</f>
        <v/>
      </c>
      <c r="H835" t="str">
        <f>IF($AS835="","",Config!$B$11)</f>
        <v/>
      </c>
      <c r="I835" t="str">
        <f>IF($AS835="","",Config!$B$16)</f>
        <v/>
      </c>
      <c r="J835" t="str">
        <f>IF($AS835="","",INDEX('TMP Paste'!$A$2:$A$1601,$AS835))</f>
        <v/>
      </c>
      <c r="K835" t="str">
        <f>IF($AS835="","",INDEX('TMP Paste'!$L$2:$L$1601,$AS835))</f>
        <v/>
      </c>
      <c r="L835" t="str">
        <f>IF($AS835="","",INDEX('TMP Paste'!$I$2:$I$1601,$AS835))</f>
        <v/>
      </c>
      <c r="M835" t="str">
        <f>IF($AS835="","",Config!$B$16)</f>
        <v/>
      </c>
      <c r="N835" t="str">
        <f t="shared" si="78"/>
        <v/>
      </c>
      <c r="O835" t="str">
        <f>IF($AS835="","",INDEX('TMP Paste'!$K$2:$K$1601,$AS835))</f>
        <v/>
      </c>
      <c r="P835" t="str">
        <f t="shared" si="79"/>
        <v/>
      </c>
      <c r="Q835" t="str">
        <f>IF($AS835="","",INDEX('TMP Paste'!$J$2:$J$1601,$AS835))</f>
        <v/>
      </c>
      <c r="R835" t="str">
        <f>IF($AS835="","",Config!$B$24)</f>
        <v/>
      </c>
      <c r="S835" t="str">
        <f ca="1">IF($AS835="","",TEXT(Config!$B$4,"yyyy-mm-dd"))</f>
        <v/>
      </c>
      <c r="T835" t="str">
        <f>IF($AS835="","",Config!$B$17)</f>
        <v/>
      </c>
      <c r="U835" t="str">
        <f>IF($AS835="","",Config!$B$18)</f>
        <v/>
      </c>
      <c r="V835" t="str">
        <f>IF($AS835="","",Config!$B$19)</f>
        <v/>
      </c>
      <c r="W835" t="str">
        <f>IF($AS835="","",INDEX('TMP Paste'!$C$2:$C$1601,$AS835))</f>
        <v/>
      </c>
      <c r="X835" t="str">
        <f>IF($AS835="","",Config!$B$29)</f>
        <v/>
      </c>
      <c r="Y835" t="str">
        <f>IF($AT835="","",INDEX(Calc!$I$2:$I$1601,$AT835)&amp;" - "&amp;INDEX(Calc!$D$2:$D$1601,$AT835)&amp;" koli")</f>
        <v/>
      </c>
      <c r="Z835" t="str">
        <f>IF($AS835="","",Config!$B$21)</f>
        <v/>
      </c>
      <c r="AA835" t="str">
        <f>IF($AS835="","",Config!$B$22)</f>
        <v/>
      </c>
      <c r="AB835" t="str">
        <f>IF($AT835="","",INDEX(Calc!$D$2:$D$1601,$AT835))</f>
        <v/>
      </c>
      <c r="AC835" t="str">
        <f>IF($AT835="","",INDEX(Calc!$G$2:$G$1601,$AT835))</f>
        <v/>
      </c>
      <c r="AD835" t="str">
        <f>IF($AS835="","",Config!$B$23)</f>
        <v/>
      </c>
      <c r="AE835" t="str">
        <f>IF($AS835="","",Config!$B$28)</f>
        <v/>
      </c>
      <c r="AF835" t="str">
        <f t="shared" si="80"/>
        <v/>
      </c>
      <c r="AG835" t="str">
        <f t="shared" si="81"/>
        <v/>
      </c>
      <c r="AH835" t="str">
        <f t="shared" si="82"/>
        <v/>
      </c>
      <c r="AI835" t="str">
        <f>IF($AG835="","",SUMIF($AG$2:$AG835,$AG835,$AH$2:$AH835))</f>
        <v/>
      </c>
      <c r="AJ835" t="str">
        <f>IF('TMP Paste'!$F835="","",IF('TMP Paste'!$B835="",$AJ834,'TMP Paste'!$B835))</f>
        <v/>
      </c>
      <c r="AK835" t="str">
        <f>IF('TMP Paste'!$F835="","",N('TMP Paste'!$G835))</f>
        <v/>
      </c>
      <c r="AL835" t="str">
        <f>IF('TMP Paste'!$F835="","",IF('TMP Paste'!$M835="",$AL834,'TMP Paste'!$M835))</f>
        <v/>
      </c>
      <c r="AM835" t="str">
        <f>IF('TMP Paste'!$F835="","",IF('TMP Paste'!$N835="",$AM834,'TMP Paste'!$N835))</f>
        <v/>
      </c>
      <c r="AN835" t="str">
        <f>IF('TMP Paste'!$F835="","",IF('TMP Paste'!$O835="",$AN834,'TMP Paste'!$O835))</f>
        <v/>
      </c>
      <c r="AO835" t="str">
        <f>IF('TMP Paste'!$F835="","",IF('TMP Paste'!$P835="",$AO834,'TMP Paste'!$P835))</f>
        <v/>
      </c>
      <c r="AP835" t="str">
        <f t="shared" si="83"/>
        <v/>
      </c>
      <c r="AQ835" t="str">
        <f>IF($AS835="","",TRIM(IF(COUNTIFS(Calc!$B$2:$B$1601,ROW()-1,Calc!$C$2:$C$1601,"&lt;1")&gt;0,"Ada PO tanpa Koli - cek TMP. ","")&amp;IF(OR($AU835="",$AU835&lt;=0),"Volume kosong/0 - dimensi dikosongkan. ","")&amp;IF(AND($AU835&lt;&gt;"",$AU835&gt;=1000000),"Volume &gt;= 1.000.000 cm3 (di luar aturan) - dimensi dikosongkan. ","")&amp;IF(LEN($R835)&gt;500,"R &gt; 500 karakter.","")))</f>
        <v/>
      </c>
      <c r="AS835" t="str">
        <f>IFERROR(MATCH(ROW()-1,Calc!$J$2:$J$1601,0),"")</f>
        <v/>
      </c>
      <c r="AT835" t="str">
        <f>IFERROR(MATCH(ROW()-1,Calc!$K$2:$K$1601,0),"")</f>
        <v/>
      </c>
      <c r="AU835" t="str">
        <f>IF($AS835="","",IFERROR(INDEX('TMP Paste'!$D$2:$D$1601,$AS835)*1000000/$AB835,""))</f>
        <v/>
      </c>
    </row>
    <row r="836" spans="1:47">
      <c r="A836" t="str">
        <f>IF($AS836="","",INDEX('TMP Paste'!$B$2:$B$1601,$AS836))</f>
        <v/>
      </c>
      <c r="B836" t="str">
        <f>IF($AS836="","",Config!$B$14)</f>
        <v/>
      </c>
      <c r="C836" t="str">
        <f>IF($AS836="","",Config!$B$15)</f>
        <v/>
      </c>
      <c r="D836" t="str">
        <f>IF($AS836="","",INDEX('TMP Paste'!$B$2:$B$1601,$AS836))</f>
        <v/>
      </c>
      <c r="E836" t="str">
        <f>IF($AS836="","",Config!$B$27)</f>
        <v/>
      </c>
      <c r="F836" t="str">
        <f>IF($AS836="","",Config!$B$9)</f>
        <v/>
      </c>
      <c r="G836" t="str">
        <f>IF($AS836="","",Config!$B$10)</f>
        <v/>
      </c>
      <c r="H836" t="str">
        <f>IF($AS836="","",Config!$B$11)</f>
        <v/>
      </c>
      <c r="I836" t="str">
        <f>IF($AS836="","",Config!$B$16)</f>
        <v/>
      </c>
      <c r="J836" t="str">
        <f>IF($AS836="","",INDEX('TMP Paste'!$A$2:$A$1601,$AS836))</f>
        <v/>
      </c>
      <c r="K836" t="str">
        <f>IF($AS836="","",INDEX('TMP Paste'!$L$2:$L$1601,$AS836))</f>
        <v/>
      </c>
      <c r="L836" t="str">
        <f>IF($AS836="","",INDEX('TMP Paste'!$I$2:$I$1601,$AS836))</f>
        <v/>
      </c>
      <c r="M836" t="str">
        <f>IF($AS836="","",Config!$B$16)</f>
        <v/>
      </c>
      <c r="N836" t="str">
        <f t="shared" si="78"/>
        <v/>
      </c>
      <c r="O836" t="str">
        <f>IF($AS836="","",INDEX('TMP Paste'!$K$2:$K$1601,$AS836))</f>
        <v/>
      </c>
      <c r="P836" t="str">
        <f t="shared" si="79"/>
        <v/>
      </c>
      <c r="Q836" t="str">
        <f>IF($AS836="","",INDEX('TMP Paste'!$J$2:$J$1601,$AS836))</f>
        <v/>
      </c>
      <c r="R836" t="str">
        <f>IF($AS836="","",Config!$B$24)</f>
        <v/>
      </c>
      <c r="S836" t="str">
        <f ca="1">IF($AS836="","",TEXT(Config!$B$4,"yyyy-mm-dd"))</f>
        <v/>
      </c>
      <c r="T836" t="str">
        <f>IF($AS836="","",Config!$B$17)</f>
        <v/>
      </c>
      <c r="U836" t="str">
        <f>IF($AS836="","",Config!$B$18)</f>
        <v/>
      </c>
      <c r="V836" t="str">
        <f>IF($AS836="","",Config!$B$19)</f>
        <v/>
      </c>
      <c r="W836" t="str">
        <f>IF($AS836="","",INDEX('TMP Paste'!$C$2:$C$1601,$AS836))</f>
        <v/>
      </c>
      <c r="X836" t="str">
        <f>IF($AS836="","",Config!$B$29)</f>
        <v/>
      </c>
      <c r="Y836" t="str">
        <f>IF($AT836="","",INDEX(Calc!$I$2:$I$1601,$AT836)&amp;" - "&amp;INDEX(Calc!$D$2:$D$1601,$AT836)&amp;" koli")</f>
        <v/>
      </c>
      <c r="Z836" t="str">
        <f>IF($AS836="","",Config!$B$21)</f>
        <v/>
      </c>
      <c r="AA836" t="str">
        <f>IF($AS836="","",Config!$B$22)</f>
        <v/>
      </c>
      <c r="AB836" t="str">
        <f>IF($AT836="","",INDEX(Calc!$D$2:$D$1601,$AT836))</f>
        <v/>
      </c>
      <c r="AC836" t="str">
        <f>IF($AT836="","",INDEX(Calc!$G$2:$G$1601,$AT836))</f>
        <v/>
      </c>
      <c r="AD836" t="str">
        <f>IF($AS836="","",Config!$B$23)</f>
        <v/>
      </c>
      <c r="AE836" t="str">
        <f>IF($AS836="","",Config!$B$28)</f>
        <v/>
      </c>
      <c r="AF836" t="str">
        <f t="shared" si="80"/>
        <v/>
      </c>
      <c r="AG836" t="str">
        <f t="shared" si="81"/>
        <v/>
      </c>
      <c r="AH836" t="str">
        <f t="shared" si="82"/>
        <v/>
      </c>
      <c r="AI836" t="str">
        <f>IF($AG836="","",SUMIF($AG$2:$AG836,$AG836,$AH$2:$AH836))</f>
        <v/>
      </c>
      <c r="AJ836" t="str">
        <f>IF('TMP Paste'!$F836="","",IF('TMP Paste'!$B836="",$AJ835,'TMP Paste'!$B836))</f>
        <v/>
      </c>
      <c r="AK836" t="str">
        <f>IF('TMP Paste'!$F836="","",N('TMP Paste'!$G836))</f>
        <v/>
      </c>
      <c r="AL836" t="str">
        <f>IF('TMP Paste'!$F836="","",IF('TMP Paste'!$M836="",$AL835,'TMP Paste'!$M836))</f>
        <v/>
      </c>
      <c r="AM836" t="str">
        <f>IF('TMP Paste'!$F836="","",IF('TMP Paste'!$N836="",$AM835,'TMP Paste'!$N836))</f>
        <v/>
      </c>
      <c r="AN836" t="str">
        <f>IF('TMP Paste'!$F836="","",IF('TMP Paste'!$O836="",$AN835,'TMP Paste'!$O836))</f>
        <v/>
      </c>
      <c r="AO836" t="str">
        <f>IF('TMP Paste'!$F836="","",IF('TMP Paste'!$P836="",$AO835,'TMP Paste'!$P836))</f>
        <v/>
      </c>
      <c r="AP836" t="str">
        <f t="shared" si="83"/>
        <v/>
      </c>
      <c r="AQ836" t="str">
        <f>IF($AS836="","",TRIM(IF(COUNTIFS(Calc!$B$2:$B$1601,ROW()-1,Calc!$C$2:$C$1601,"&lt;1")&gt;0,"Ada PO tanpa Koli - cek TMP. ","")&amp;IF(OR($AU836="",$AU836&lt;=0),"Volume kosong/0 - dimensi dikosongkan. ","")&amp;IF(AND($AU836&lt;&gt;"",$AU836&gt;=1000000),"Volume &gt;= 1.000.000 cm3 (di luar aturan) - dimensi dikosongkan. ","")&amp;IF(LEN($R836)&gt;500,"R &gt; 500 karakter.","")))</f>
        <v/>
      </c>
      <c r="AS836" t="str">
        <f>IFERROR(MATCH(ROW()-1,Calc!$J$2:$J$1601,0),"")</f>
        <v/>
      </c>
      <c r="AT836" t="str">
        <f>IFERROR(MATCH(ROW()-1,Calc!$K$2:$K$1601,0),"")</f>
        <v/>
      </c>
      <c r="AU836" t="str">
        <f>IF($AS836="","",IFERROR(INDEX('TMP Paste'!$D$2:$D$1601,$AS836)*1000000/$AB836,""))</f>
        <v/>
      </c>
    </row>
    <row r="837" spans="1:47">
      <c r="A837" t="str">
        <f>IF($AS837="","",INDEX('TMP Paste'!$B$2:$B$1601,$AS837))</f>
        <v/>
      </c>
      <c r="B837" t="str">
        <f>IF($AS837="","",Config!$B$14)</f>
        <v/>
      </c>
      <c r="C837" t="str">
        <f>IF($AS837="","",Config!$B$15)</f>
        <v/>
      </c>
      <c r="D837" t="str">
        <f>IF($AS837="","",INDEX('TMP Paste'!$B$2:$B$1601,$AS837))</f>
        <v/>
      </c>
      <c r="E837" t="str">
        <f>IF($AS837="","",Config!$B$27)</f>
        <v/>
      </c>
      <c r="F837" t="str">
        <f>IF($AS837="","",Config!$B$9)</f>
        <v/>
      </c>
      <c r="G837" t="str">
        <f>IF($AS837="","",Config!$B$10)</f>
        <v/>
      </c>
      <c r="H837" t="str">
        <f>IF($AS837="","",Config!$B$11)</f>
        <v/>
      </c>
      <c r="I837" t="str">
        <f>IF($AS837="","",Config!$B$16)</f>
        <v/>
      </c>
      <c r="J837" t="str">
        <f>IF($AS837="","",INDEX('TMP Paste'!$A$2:$A$1601,$AS837))</f>
        <v/>
      </c>
      <c r="K837" t="str">
        <f>IF($AS837="","",INDEX('TMP Paste'!$L$2:$L$1601,$AS837))</f>
        <v/>
      </c>
      <c r="L837" t="str">
        <f>IF($AS837="","",INDEX('TMP Paste'!$I$2:$I$1601,$AS837))</f>
        <v/>
      </c>
      <c r="M837" t="str">
        <f>IF($AS837="","",Config!$B$16)</f>
        <v/>
      </c>
      <c r="N837" t="str">
        <f t="shared" si="78"/>
        <v/>
      </c>
      <c r="O837" t="str">
        <f>IF($AS837="","",INDEX('TMP Paste'!$K$2:$K$1601,$AS837))</f>
        <v/>
      </c>
      <c r="P837" t="str">
        <f t="shared" si="79"/>
        <v/>
      </c>
      <c r="Q837" t="str">
        <f>IF($AS837="","",INDEX('TMP Paste'!$J$2:$J$1601,$AS837))</f>
        <v/>
      </c>
      <c r="R837" t="str">
        <f>IF($AS837="","",Config!$B$24)</f>
        <v/>
      </c>
      <c r="S837" t="str">
        <f ca="1">IF($AS837="","",TEXT(Config!$B$4,"yyyy-mm-dd"))</f>
        <v/>
      </c>
      <c r="T837" t="str">
        <f>IF($AS837="","",Config!$B$17)</f>
        <v/>
      </c>
      <c r="U837" t="str">
        <f>IF($AS837="","",Config!$B$18)</f>
        <v/>
      </c>
      <c r="V837" t="str">
        <f>IF($AS837="","",Config!$B$19)</f>
        <v/>
      </c>
      <c r="W837" t="str">
        <f>IF($AS837="","",INDEX('TMP Paste'!$C$2:$C$1601,$AS837))</f>
        <v/>
      </c>
      <c r="X837" t="str">
        <f>IF($AS837="","",Config!$B$29)</f>
        <v/>
      </c>
      <c r="Y837" t="str">
        <f>IF($AT837="","",INDEX(Calc!$I$2:$I$1601,$AT837)&amp;" - "&amp;INDEX(Calc!$D$2:$D$1601,$AT837)&amp;" koli")</f>
        <v/>
      </c>
      <c r="Z837" t="str">
        <f>IF($AS837="","",Config!$B$21)</f>
        <v/>
      </c>
      <c r="AA837" t="str">
        <f>IF($AS837="","",Config!$B$22)</f>
        <v/>
      </c>
      <c r="AB837" t="str">
        <f>IF($AT837="","",INDEX(Calc!$D$2:$D$1601,$AT837))</f>
        <v/>
      </c>
      <c r="AC837" t="str">
        <f>IF($AT837="","",INDEX(Calc!$G$2:$G$1601,$AT837))</f>
        <v/>
      </c>
      <c r="AD837" t="str">
        <f>IF($AS837="","",Config!$B$23)</f>
        <v/>
      </c>
      <c r="AE837" t="str">
        <f>IF($AS837="","",Config!$B$28)</f>
        <v/>
      </c>
      <c r="AF837" t="str">
        <f t="shared" si="80"/>
        <v/>
      </c>
      <c r="AG837" t="str">
        <f t="shared" si="81"/>
        <v/>
      </c>
      <c r="AH837" t="str">
        <f t="shared" si="82"/>
        <v/>
      </c>
      <c r="AI837" t="str">
        <f>IF($AG837="","",SUMIF($AG$2:$AG837,$AG837,$AH$2:$AH837))</f>
        <v/>
      </c>
      <c r="AJ837" t="str">
        <f>IF('TMP Paste'!$F837="","",IF('TMP Paste'!$B837="",$AJ836,'TMP Paste'!$B837))</f>
        <v/>
      </c>
      <c r="AK837" t="str">
        <f>IF('TMP Paste'!$F837="","",N('TMP Paste'!$G837))</f>
        <v/>
      </c>
      <c r="AL837" t="str">
        <f>IF('TMP Paste'!$F837="","",IF('TMP Paste'!$M837="",$AL836,'TMP Paste'!$M837))</f>
        <v/>
      </c>
      <c r="AM837" t="str">
        <f>IF('TMP Paste'!$F837="","",IF('TMP Paste'!$N837="",$AM836,'TMP Paste'!$N837))</f>
        <v/>
      </c>
      <c r="AN837" t="str">
        <f>IF('TMP Paste'!$F837="","",IF('TMP Paste'!$O837="",$AN836,'TMP Paste'!$O837))</f>
        <v/>
      </c>
      <c r="AO837" t="str">
        <f>IF('TMP Paste'!$F837="","",IF('TMP Paste'!$P837="",$AO836,'TMP Paste'!$P837))</f>
        <v/>
      </c>
      <c r="AP837" t="str">
        <f t="shared" si="83"/>
        <v/>
      </c>
      <c r="AQ837" t="str">
        <f>IF($AS837="","",TRIM(IF(COUNTIFS(Calc!$B$2:$B$1601,ROW()-1,Calc!$C$2:$C$1601,"&lt;1")&gt;0,"Ada PO tanpa Koli - cek TMP. ","")&amp;IF(OR($AU837="",$AU837&lt;=0),"Volume kosong/0 - dimensi dikosongkan. ","")&amp;IF(AND($AU837&lt;&gt;"",$AU837&gt;=1000000),"Volume &gt;= 1.000.000 cm3 (di luar aturan) - dimensi dikosongkan. ","")&amp;IF(LEN($R837)&gt;500,"R &gt; 500 karakter.","")))</f>
        <v/>
      </c>
      <c r="AS837" t="str">
        <f>IFERROR(MATCH(ROW()-1,Calc!$J$2:$J$1601,0),"")</f>
        <v/>
      </c>
      <c r="AT837" t="str">
        <f>IFERROR(MATCH(ROW()-1,Calc!$K$2:$K$1601,0),"")</f>
        <v/>
      </c>
      <c r="AU837" t="str">
        <f>IF($AS837="","",IFERROR(INDEX('TMP Paste'!$D$2:$D$1601,$AS837)*1000000/$AB837,""))</f>
        <v/>
      </c>
    </row>
    <row r="838" spans="1:47">
      <c r="A838" t="str">
        <f>IF($AS838="","",INDEX('TMP Paste'!$B$2:$B$1601,$AS838))</f>
        <v/>
      </c>
      <c r="B838" t="str">
        <f>IF($AS838="","",Config!$B$14)</f>
        <v/>
      </c>
      <c r="C838" t="str">
        <f>IF($AS838="","",Config!$B$15)</f>
        <v/>
      </c>
      <c r="D838" t="str">
        <f>IF($AS838="","",INDEX('TMP Paste'!$B$2:$B$1601,$AS838))</f>
        <v/>
      </c>
      <c r="E838" t="str">
        <f>IF($AS838="","",Config!$B$27)</f>
        <v/>
      </c>
      <c r="F838" t="str">
        <f>IF($AS838="","",Config!$B$9)</f>
        <v/>
      </c>
      <c r="G838" t="str">
        <f>IF($AS838="","",Config!$B$10)</f>
        <v/>
      </c>
      <c r="H838" t="str">
        <f>IF($AS838="","",Config!$B$11)</f>
        <v/>
      </c>
      <c r="I838" t="str">
        <f>IF($AS838="","",Config!$B$16)</f>
        <v/>
      </c>
      <c r="J838" t="str">
        <f>IF($AS838="","",INDEX('TMP Paste'!$A$2:$A$1601,$AS838))</f>
        <v/>
      </c>
      <c r="K838" t="str">
        <f>IF($AS838="","",INDEX('TMP Paste'!$L$2:$L$1601,$AS838))</f>
        <v/>
      </c>
      <c r="L838" t="str">
        <f>IF($AS838="","",INDEX('TMP Paste'!$I$2:$I$1601,$AS838))</f>
        <v/>
      </c>
      <c r="M838" t="str">
        <f>IF($AS838="","",Config!$B$16)</f>
        <v/>
      </c>
      <c r="N838" t="str">
        <f t="shared" si="78"/>
        <v/>
      </c>
      <c r="O838" t="str">
        <f>IF($AS838="","",INDEX('TMP Paste'!$K$2:$K$1601,$AS838))</f>
        <v/>
      </c>
      <c r="P838" t="str">
        <f t="shared" si="79"/>
        <v/>
      </c>
      <c r="Q838" t="str">
        <f>IF($AS838="","",INDEX('TMP Paste'!$J$2:$J$1601,$AS838))</f>
        <v/>
      </c>
      <c r="R838" t="str">
        <f>IF($AS838="","",Config!$B$24)</f>
        <v/>
      </c>
      <c r="S838" t="str">
        <f ca="1">IF($AS838="","",TEXT(Config!$B$4,"yyyy-mm-dd"))</f>
        <v/>
      </c>
      <c r="T838" t="str">
        <f>IF($AS838="","",Config!$B$17)</f>
        <v/>
      </c>
      <c r="U838" t="str">
        <f>IF($AS838="","",Config!$B$18)</f>
        <v/>
      </c>
      <c r="V838" t="str">
        <f>IF($AS838="","",Config!$B$19)</f>
        <v/>
      </c>
      <c r="W838" t="str">
        <f>IF($AS838="","",INDEX('TMP Paste'!$C$2:$C$1601,$AS838))</f>
        <v/>
      </c>
      <c r="X838" t="str">
        <f>IF($AS838="","",Config!$B$29)</f>
        <v/>
      </c>
      <c r="Y838" t="str">
        <f>IF($AT838="","",INDEX(Calc!$I$2:$I$1601,$AT838)&amp;" - "&amp;INDEX(Calc!$D$2:$D$1601,$AT838)&amp;" koli")</f>
        <v/>
      </c>
      <c r="Z838" t="str">
        <f>IF($AS838="","",Config!$B$21)</f>
        <v/>
      </c>
      <c r="AA838" t="str">
        <f>IF($AS838="","",Config!$B$22)</f>
        <v/>
      </c>
      <c r="AB838" t="str">
        <f>IF($AT838="","",INDEX(Calc!$D$2:$D$1601,$AT838))</f>
        <v/>
      </c>
      <c r="AC838" t="str">
        <f>IF($AT838="","",INDEX(Calc!$G$2:$G$1601,$AT838))</f>
        <v/>
      </c>
      <c r="AD838" t="str">
        <f>IF($AS838="","",Config!$B$23)</f>
        <v/>
      </c>
      <c r="AE838" t="str">
        <f>IF($AS838="","",Config!$B$28)</f>
        <v/>
      </c>
      <c r="AF838" t="str">
        <f t="shared" si="80"/>
        <v/>
      </c>
      <c r="AG838" t="str">
        <f t="shared" si="81"/>
        <v/>
      </c>
      <c r="AH838" t="str">
        <f t="shared" si="82"/>
        <v/>
      </c>
      <c r="AI838" t="str">
        <f>IF($AG838="","",SUMIF($AG$2:$AG838,$AG838,$AH$2:$AH838))</f>
        <v/>
      </c>
      <c r="AJ838" t="str">
        <f>IF('TMP Paste'!$F838="","",IF('TMP Paste'!$B838="",$AJ837,'TMP Paste'!$B838))</f>
        <v/>
      </c>
      <c r="AK838" t="str">
        <f>IF('TMP Paste'!$F838="","",N('TMP Paste'!$G838))</f>
        <v/>
      </c>
      <c r="AL838" t="str">
        <f>IF('TMP Paste'!$F838="","",IF('TMP Paste'!$M838="",$AL837,'TMP Paste'!$M838))</f>
        <v/>
      </c>
      <c r="AM838" t="str">
        <f>IF('TMP Paste'!$F838="","",IF('TMP Paste'!$N838="",$AM837,'TMP Paste'!$N838))</f>
        <v/>
      </c>
      <c r="AN838" t="str">
        <f>IF('TMP Paste'!$F838="","",IF('TMP Paste'!$O838="",$AN837,'TMP Paste'!$O838))</f>
        <v/>
      </c>
      <c r="AO838" t="str">
        <f>IF('TMP Paste'!$F838="","",IF('TMP Paste'!$P838="",$AO837,'TMP Paste'!$P838))</f>
        <v/>
      </c>
      <c r="AP838" t="str">
        <f t="shared" si="83"/>
        <v/>
      </c>
      <c r="AQ838" t="str">
        <f>IF($AS838="","",TRIM(IF(COUNTIFS(Calc!$B$2:$B$1601,ROW()-1,Calc!$C$2:$C$1601,"&lt;1")&gt;0,"Ada PO tanpa Koli - cek TMP. ","")&amp;IF(OR($AU838="",$AU838&lt;=0),"Volume kosong/0 - dimensi dikosongkan. ","")&amp;IF(AND($AU838&lt;&gt;"",$AU838&gt;=1000000),"Volume &gt;= 1.000.000 cm3 (di luar aturan) - dimensi dikosongkan. ","")&amp;IF(LEN($R838)&gt;500,"R &gt; 500 karakter.","")))</f>
        <v/>
      </c>
      <c r="AS838" t="str">
        <f>IFERROR(MATCH(ROW()-1,Calc!$J$2:$J$1601,0),"")</f>
        <v/>
      </c>
      <c r="AT838" t="str">
        <f>IFERROR(MATCH(ROW()-1,Calc!$K$2:$K$1601,0),"")</f>
        <v/>
      </c>
      <c r="AU838" t="str">
        <f>IF($AS838="","",IFERROR(INDEX('TMP Paste'!$D$2:$D$1601,$AS838)*1000000/$AB838,""))</f>
        <v/>
      </c>
    </row>
    <row r="839" spans="1:47">
      <c r="A839" t="str">
        <f>IF($AS839="","",INDEX('TMP Paste'!$B$2:$B$1601,$AS839))</f>
        <v/>
      </c>
      <c r="B839" t="str">
        <f>IF($AS839="","",Config!$B$14)</f>
        <v/>
      </c>
      <c r="C839" t="str">
        <f>IF($AS839="","",Config!$B$15)</f>
        <v/>
      </c>
      <c r="D839" t="str">
        <f>IF($AS839="","",INDEX('TMP Paste'!$B$2:$B$1601,$AS839))</f>
        <v/>
      </c>
      <c r="E839" t="str">
        <f>IF($AS839="","",Config!$B$27)</f>
        <v/>
      </c>
      <c r="F839" t="str">
        <f>IF($AS839="","",Config!$B$9)</f>
        <v/>
      </c>
      <c r="G839" t="str">
        <f>IF($AS839="","",Config!$B$10)</f>
        <v/>
      </c>
      <c r="H839" t="str">
        <f>IF($AS839="","",Config!$B$11)</f>
        <v/>
      </c>
      <c r="I839" t="str">
        <f>IF($AS839="","",Config!$B$16)</f>
        <v/>
      </c>
      <c r="J839" t="str">
        <f>IF($AS839="","",INDEX('TMP Paste'!$A$2:$A$1601,$AS839))</f>
        <v/>
      </c>
      <c r="K839" t="str">
        <f>IF($AS839="","",INDEX('TMP Paste'!$L$2:$L$1601,$AS839))</f>
        <v/>
      </c>
      <c r="L839" t="str">
        <f>IF($AS839="","",INDEX('TMP Paste'!$I$2:$I$1601,$AS839))</f>
        <v/>
      </c>
      <c r="M839" t="str">
        <f>IF($AS839="","",Config!$B$16)</f>
        <v/>
      </c>
      <c r="N839" t="str">
        <f t="shared" si="78"/>
        <v/>
      </c>
      <c r="O839" t="str">
        <f>IF($AS839="","",INDEX('TMP Paste'!$K$2:$K$1601,$AS839))</f>
        <v/>
      </c>
      <c r="P839" t="str">
        <f t="shared" si="79"/>
        <v/>
      </c>
      <c r="Q839" t="str">
        <f>IF($AS839="","",INDEX('TMP Paste'!$J$2:$J$1601,$AS839))</f>
        <v/>
      </c>
      <c r="R839" t="str">
        <f>IF($AS839="","",Config!$B$24)</f>
        <v/>
      </c>
      <c r="S839" t="str">
        <f ca="1">IF($AS839="","",TEXT(Config!$B$4,"yyyy-mm-dd"))</f>
        <v/>
      </c>
      <c r="T839" t="str">
        <f>IF($AS839="","",Config!$B$17)</f>
        <v/>
      </c>
      <c r="U839" t="str">
        <f>IF($AS839="","",Config!$B$18)</f>
        <v/>
      </c>
      <c r="V839" t="str">
        <f>IF($AS839="","",Config!$B$19)</f>
        <v/>
      </c>
      <c r="W839" t="str">
        <f>IF($AS839="","",INDEX('TMP Paste'!$C$2:$C$1601,$AS839))</f>
        <v/>
      </c>
      <c r="X839" t="str">
        <f>IF($AS839="","",Config!$B$29)</f>
        <v/>
      </c>
      <c r="Y839" t="str">
        <f>IF($AT839="","",INDEX(Calc!$I$2:$I$1601,$AT839)&amp;" - "&amp;INDEX(Calc!$D$2:$D$1601,$AT839)&amp;" koli")</f>
        <v/>
      </c>
      <c r="Z839" t="str">
        <f>IF($AS839="","",Config!$B$21)</f>
        <v/>
      </c>
      <c r="AA839" t="str">
        <f>IF($AS839="","",Config!$B$22)</f>
        <v/>
      </c>
      <c r="AB839" t="str">
        <f>IF($AT839="","",INDEX(Calc!$D$2:$D$1601,$AT839))</f>
        <v/>
      </c>
      <c r="AC839" t="str">
        <f>IF($AT839="","",INDEX(Calc!$G$2:$G$1601,$AT839))</f>
        <v/>
      </c>
      <c r="AD839" t="str">
        <f>IF($AS839="","",Config!$B$23)</f>
        <v/>
      </c>
      <c r="AE839" t="str">
        <f>IF($AS839="","",Config!$B$28)</f>
        <v/>
      </c>
      <c r="AF839" t="str">
        <f t="shared" si="80"/>
        <v/>
      </c>
      <c r="AG839" t="str">
        <f t="shared" si="81"/>
        <v/>
      </c>
      <c r="AH839" t="str">
        <f t="shared" si="82"/>
        <v/>
      </c>
      <c r="AI839" t="str">
        <f>IF($AG839="","",SUMIF($AG$2:$AG839,$AG839,$AH$2:$AH839))</f>
        <v/>
      </c>
      <c r="AJ839" t="str">
        <f>IF('TMP Paste'!$F839="","",IF('TMP Paste'!$B839="",$AJ838,'TMP Paste'!$B839))</f>
        <v/>
      </c>
      <c r="AK839" t="str">
        <f>IF('TMP Paste'!$F839="","",N('TMP Paste'!$G839))</f>
        <v/>
      </c>
      <c r="AL839" t="str">
        <f>IF('TMP Paste'!$F839="","",IF('TMP Paste'!$M839="",$AL838,'TMP Paste'!$M839))</f>
        <v/>
      </c>
      <c r="AM839" t="str">
        <f>IF('TMP Paste'!$F839="","",IF('TMP Paste'!$N839="",$AM838,'TMP Paste'!$N839))</f>
        <v/>
      </c>
      <c r="AN839" t="str">
        <f>IF('TMP Paste'!$F839="","",IF('TMP Paste'!$O839="",$AN838,'TMP Paste'!$O839))</f>
        <v/>
      </c>
      <c r="AO839" t="str">
        <f>IF('TMP Paste'!$F839="","",IF('TMP Paste'!$P839="",$AO838,'TMP Paste'!$P839))</f>
        <v/>
      </c>
      <c r="AP839" t="str">
        <f t="shared" si="83"/>
        <v/>
      </c>
      <c r="AQ839" t="str">
        <f>IF($AS839="","",TRIM(IF(COUNTIFS(Calc!$B$2:$B$1601,ROW()-1,Calc!$C$2:$C$1601,"&lt;1")&gt;0,"Ada PO tanpa Koli - cek TMP. ","")&amp;IF(OR($AU839="",$AU839&lt;=0),"Volume kosong/0 - dimensi dikosongkan. ","")&amp;IF(AND($AU839&lt;&gt;"",$AU839&gt;=1000000),"Volume &gt;= 1.000.000 cm3 (di luar aturan) - dimensi dikosongkan. ","")&amp;IF(LEN($R839)&gt;500,"R &gt; 500 karakter.","")))</f>
        <v/>
      </c>
      <c r="AS839" t="str">
        <f>IFERROR(MATCH(ROW()-1,Calc!$J$2:$J$1601,0),"")</f>
        <v/>
      </c>
      <c r="AT839" t="str">
        <f>IFERROR(MATCH(ROW()-1,Calc!$K$2:$K$1601,0),"")</f>
        <v/>
      </c>
      <c r="AU839" t="str">
        <f>IF($AS839="","",IFERROR(INDEX('TMP Paste'!$D$2:$D$1601,$AS839)*1000000/$AB839,""))</f>
        <v/>
      </c>
    </row>
    <row r="840" spans="1:47">
      <c r="A840" t="str">
        <f>IF($AS840="","",INDEX('TMP Paste'!$B$2:$B$1601,$AS840))</f>
        <v/>
      </c>
      <c r="B840" t="str">
        <f>IF($AS840="","",Config!$B$14)</f>
        <v/>
      </c>
      <c r="C840" t="str">
        <f>IF($AS840="","",Config!$B$15)</f>
        <v/>
      </c>
      <c r="D840" t="str">
        <f>IF($AS840="","",INDEX('TMP Paste'!$B$2:$B$1601,$AS840))</f>
        <v/>
      </c>
      <c r="E840" t="str">
        <f>IF($AS840="","",Config!$B$27)</f>
        <v/>
      </c>
      <c r="F840" t="str">
        <f>IF($AS840="","",Config!$B$9)</f>
        <v/>
      </c>
      <c r="G840" t="str">
        <f>IF($AS840="","",Config!$B$10)</f>
        <v/>
      </c>
      <c r="H840" t="str">
        <f>IF($AS840="","",Config!$B$11)</f>
        <v/>
      </c>
      <c r="I840" t="str">
        <f>IF($AS840="","",Config!$B$16)</f>
        <v/>
      </c>
      <c r="J840" t="str">
        <f>IF($AS840="","",INDEX('TMP Paste'!$A$2:$A$1601,$AS840))</f>
        <v/>
      </c>
      <c r="K840" t="str">
        <f>IF($AS840="","",INDEX('TMP Paste'!$L$2:$L$1601,$AS840))</f>
        <v/>
      </c>
      <c r="L840" t="str">
        <f>IF($AS840="","",INDEX('TMP Paste'!$I$2:$I$1601,$AS840))</f>
        <v/>
      </c>
      <c r="M840" t="str">
        <f>IF($AS840="","",Config!$B$16)</f>
        <v/>
      </c>
      <c r="N840" t="str">
        <f t="shared" si="78"/>
        <v/>
      </c>
      <c r="O840" t="str">
        <f>IF($AS840="","",INDEX('TMP Paste'!$K$2:$K$1601,$AS840))</f>
        <v/>
      </c>
      <c r="P840" t="str">
        <f t="shared" si="79"/>
        <v/>
      </c>
      <c r="Q840" t="str">
        <f>IF($AS840="","",INDEX('TMP Paste'!$J$2:$J$1601,$AS840))</f>
        <v/>
      </c>
      <c r="R840" t="str">
        <f>IF($AS840="","",Config!$B$24)</f>
        <v/>
      </c>
      <c r="S840" t="str">
        <f ca="1">IF($AS840="","",TEXT(Config!$B$4,"yyyy-mm-dd"))</f>
        <v/>
      </c>
      <c r="T840" t="str">
        <f>IF($AS840="","",Config!$B$17)</f>
        <v/>
      </c>
      <c r="U840" t="str">
        <f>IF($AS840="","",Config!$B$18)</f>
        <v/>
      </c>
      <c r="V840" t="str">
        <f>IF($AS840="","",Config!$B$19)</f>
        <v/>
      </c>
      <c r="W840" t="str">
        <f>IF($AS840="","",INDEX('TMP Paste'!$C$2:$C$1601,$AS840))</f>
        <v/>
      </c>
      <c r="X840" t="str">
        <f>IF($AS840="","",Config!$B$29)</f>
        <v/>
      </c>
      <c r="Y840" t="str">
        <f>IF($AT840="","",INDEX(Calc!$I$2:$I$1601,$AT840)&amp;" - "&amp;INDEX(Calc!$D$2:$D$1601,$AT840)&amp;" koli")</f>
        <v/>
      </c>
      <c r="Z840" t="str">
        <f>IF($AS840="","",Config!$B$21)</f>
        <v/>
      </c>
      <c r="AA840" t="str">
        <f>IF($AS840="","",Config!$B$22)</f>
        <v/>
      </c>
      <c r="AB840" t="str">
        <f>IF($AT840="","",INDEX(Calc!$D$2:$D$1601,$AT840))</f>
        <v/>
      </c>
      <c r="AC840" t="str">
        <f>IF($AT840="","",INDEX(Calc!$G$2:$G$1601,$AT840))</f>
        <v/>
      </c>
      <c r="AD840" t="str">
        <f>IF($AS840="","",Config!$B$23)</f>
        <v/>
      </c>
      <c r="AE840" t="str">
        <f>IF($AS840="","",Config!$B$28)</f>
        <v/>
      </c>
      <c r="AF840" t="str">
        <f t="shared" si="80"/>
        <v/>
      </c>
      <c r="AG840" t="str">
        <f t="shared" si="81"/>
        <v/>
      </c>
      <c r="AH840" t="str">
        <f t="shared" si="82"/>
        <v/>
      </c>
      <c r="AI840" t="str">
        <f>IF($AG840="","",SUMIF($AG$2:$AG840,$AG840,$AH$2:$AH840))</f>
        <v/>
      </c>
      <c r="AJ840" t="str">
        <f>IF('TMP Paste'!$F840="","",IF('TMP Paste'!$B840="",$AJ839,'TMP Paste'!$B840))</f>
        <v/>
      </c>
      <c r="AK840" t="str">
        <f>IF('TMP Paste'!$F840="","",N('TMP Paste'!$G840))</f>
        <v/>
      </c>
      <c r="AL840" t="str">
        <f>IF('TMP Paste'!$F840="","",IF('TMP Paste'!$M840="",$AL839,'TMP Paste'!$M840))</f>
        <v/>
      </c>
      <c r="AM840" t="str">
        <f>IF('TMP Paste'!$F840="","",IF('TMP Paste'!$N840="",$AM839,'TMP Paste'!$N840))</f>
        <v/>
      </c>
      <c r="AN840" t="str">
        <f>IF('TMP Paste'!$F840="","",IF('TMP Paste'!$O840="",$AN839,'TMP Paste'!$O840))</f>
        <v/>
      </c>
      <c r="AO840" t="str">
        <f>IF('TMP Paste'!$F840="","",IF('TMP Paste'!$P840="",$AO839,'TMP Paste'!$P840))</f>
        <v/>
      </c>
      <c r="AP840" t="str">
        <f t="shared" si="83"/>
        <v/>
      </c>
      <c r="AQ840" t="str">
        <f>IF($AS840="","",TRIM(IF(COUNTIFS(Calc!$B$2:$B$1601,ROW()-1,Calc!$C$2:$C$1601,"&lt;1")&gt;0,"Ada PO tanpa Koli - cek TMP. ","")&amp;IF(OR($AU840="",$AU840&lt;=0),"Volume kosong/0 - dimensi dikosongkan. ","")&amp;IF(AND($AU840&lt;&gt;"",$AU840&gt;=1000000),"Volume &gt;= 1.000.000 cm3 (di luar aturan) - dimensi dikosongkan. ","")&amp;IF(LEN($R840)&gt;500,"R &gt; 500 karakter.","")))</f>
        <v/>
      </c>
      <c r="AS840" t="str">
        <f>IFERROR(MATCH(ROW()-1,Calc!$J$2:$J$1601,0),"")</f>
        <v/>
      </c>
      <c r="AT840" t="str">
        <f>IFERROR(MATCH(ROW()-1,Calc!$K$2:$K$1601,0),"")</f>
        <v/>
      </c>
      <c r="AU840" t="str">
        <f>IF($AS840="","",IFERROR(INDEX('TMP Paste'!$D$2:$D$1601,$AS840)*1000000/$AB840,""))</f>
        <v/>
      </c>
    </row>
    <row r="841" spans="1:47">
      <c r="A841" t="str">
        <f>IF($AS841="","",INDEX('TMP Paste'!$B$2:$B$1601,$AS841))</f>
        <v/>
      </c>
      <c r="B841" t="str">
        <f>IF($AS841="","",Config!$B$14)</f>
        <v/>
      </c>
      <c r="C841" t="str">
        <f>IF($AS841="","",Config!$B$15)</f>
        <v/>
      </c>
      <c r="D841" t="str">
        <f>IF($AS841="","",INDEX('TMP Paste'!$B$2:$B$1601,$AS841))</f>
        <v/>
      </c>
      <c r="E841" t="str">
        <f>IF($AS841="","",Config!$B$27)</f>
        <v/>
      </c>
      <c r="F841" t="str">
        <f>IF($AS841="","",Config!$B$9)</f>
        <v/>
      </c>
      <c r="G841" t="str">
        <f>IF($AS841="","",Config!$B$10)</f>
        <v/>
      </c>
      <c r="H841" t="str">
        <f>IF($AS841="","",Config!$B$11)</f>
        <v/>
      </c>
      <c r="I841" t="str">
        <f>IF($AS841="","",Config!$B$16)</f>
        <v/>
      </c>
      <c r="J841" t="str">
        <f>IF($AS841="","",INDEX('TMP Paste'!$A$2:$A$1601,$AS841))</f>
        <v/>
      </c>
      <c r="K841" t="str">
        <f>IF($AS841="","",INDEX('TMP Paste'!$L$2:$L$1601,$AS841))</f>
        <v/>
      </c>
      <c r="L841" t="str">
        <f>IF($AS841="","",INDEX('TMP Paste'!$I$2:$I$1601,$AS841))</f>
        <v/>
      </c>
      <c r="M841" t="str">
        <f>IF($AS841="","",Config!$B$16)</f>
        <v/>
      </c>
      <c r="N841" t="str">
        <f t="shared" si="78"/>
        <v/>
      </c>
      <c r="O841" t="str">
        <f>IF($AS841="","",INDEX('TMP Paste'!$K$2:$K$1601,$AS841))</f>
        <v/>
      </c>
      <c r="P841" t="str">
        <f t="shared" si="79"/>
        <v/>
      </c>
      <c r="Q841" t="str">
        <f>IF($AS841="","",INDEX('TMP Paste'!$J$2:$J$1601,$AS841))</f>
        <v/>
      </c>
      <c r="R841" t="str">
        <f>IF($AS841="","",Config!$B$24)</f>
        <v/>
      </c>
      <c r="S841" t="str">
        <f ca="1">IF($AS841="","",TEXT(Config!$B$4,"yyyy-mm-dd"))</f>
        <v/>
      </c>
      <c r="T841" t="str">
        <f>IF($AS841="","",Config!$B$17)</f>
        <v/>
      </c>
      <c r="U841" t="str">
        <f>IF($AS841="","",Config!$B$18)</f>
        <v/>
      </c>
      <c r="V841" t="str">
        <f>IF($AS841="","",Config!$B$19)</f>
        <v/>
      </c>
      <c r="W841" t="str">
        <f>IF($AS841="","",INDEX('TMP Paste'!$C$2:$C$1601,$AS841))</f>
        <v/>
      </c>
      <c r="X841" t="str">
        <f>IF($AS841="","",Config!$B$29)</f>
        <v/>
      </c>
      <c r="Y841" t="str">
        <f>IF($AT841="","",INDEX(Calc!$I$2:$I$1601,$AT841)&amp;" - "&amp;INDEX(Calc!$D$2:$D$1601,$AT841)&amp;" koli")</f>
        <v/>
      </c>
      <c r="Z841" t="str">
        <f>IF($AS841="","",Config!$B$21)</f>
        <v/>
      </c>
      <c r="AA841" t="str">
        <f>IF($AS841="","",Config!$B$22)</f>
        <v/>
      </c>
      <c r="AB841" t="str">
        <f>IF($AT841="","",INDEX(Calc!$D$2:$D$1601,$AT841))</f>
        <v/>
      </c>
      <c r="AC841" t="str">
        <f>IF($AT841="","",INDEX(Calc!$G$2:$G$1601,$AT841))</f>
        <v/>
      </c>
      <c r="AD841" t="str">
        <f>IF($AS841="","",Config!$B$23)</f>
        <v/>
      </c>
      <c r="AE841" t="str">
        <f>IF($AS841="","",Config!$B$28)</f>
        <v/>
      </c>
      <c r="AF841" t="str">
        <f t="shared" si="80"/>
        <v/>
      </c>
      <c r="AG841" t="str">
        <f t="shared" si="81"/>
        <v/>
      </c>
      <c r="AH841" t="str">
        <f t="shared" si="82"/>
        <v/>
      </c>
      <c r="AI841" t="str">
        <f>IF($AG841="","",SUMIF($AG$2:$AG841,$AG841,$AH$2:$AH841))</f>
        <v/>
      </c>
      <c r="AJ841" t="str">
        <f>IF('TMP Paste'!$F841="","",IF('TMP Paste'!$B841="",$AJ840,'TMP Paste'!$B841))</f>
        <v/>
      </c>
      <c r="AK841" t="str">
        <f>IF('TMP Paste'!$F841="","",N('TMP Paste'!$G841))</f>
        <v/>
      </c>
      <c r="AL841" t="str">
        <f>IF('TMP Paste'!$F841="","",IF('TMP Paste'!$M841="",$AL840,'TMP Paste'!$M841))</f>
        <v/>
      </c>
      <c r="AM841" t="str">
        <f>IF('TMP Paste'!$F841="","",IF('TMP Paste'!$N841="",$AM840,'TMP Paste'!$N841))</f>
        <v/>
      </c>
      <c r="AN841" t="str">
        <f>IF('TMP Paste'!$F841="","",IF('TMP Paste'!$O841="",$AN840,'TMP Paste'!$O841))</f>
        <v/>
      </c>
      <c r="AO841" t="str">
        <f>IF('TMP Paste'!$F841="","",IF('TMP Paste'!$P841="",$AO840,'TMP Paste'!$P841))</f>
        <v/>
      </c>
      <c r="AP841" t="str">
        <f t="shared" si="83"/>
        <v/>
      </c>
      <c r="AQ841" t="str">
        <f>IF($AS841="","",TRIM(IF(COUNTIFS(Calc!$B$2:$B$1601,ROW()-1,Calc!$C$2:$C$1601,"&lt;1")&gt;0,"Ada PO tanpa Koli - cek TMP. ","")&amp;IF(OR($AU841="",$AU841&lt;=0),"Volume kosong/0 - dimensi dikosongkan. ","")&amp;IF(AND($AU841&lt;&gt;"",$AU841&gt;=1000000),"Volume &gt;= 1.000.000 cm3 (di luar aturan) - dimensi dikosongkan. ","")&amp;IF(LEN($R841)&gt;500,"R &gt; 500 karakter.","")))</f>
        <v/>
      </c>
      <c r="AS841" t="str">
        <f>IFERROR(MATCH(ROW()-1,Calc!$J$2:$J$1601,0),"")</f>
        <v/>
      </c>
      <c r="AT841" t="str">
        <f>IFERROR(MATCH(ROW()-1,Calc!$K$2:$K$1601,0),"")</f>
        <v/>
      </c>
      <c r="AU841" t="str">
        <f>IF($AS841="","",IFERROR(INDEX('TMP Paste'!$D$2:$D$1601,$AS841)*1000000/$AB841,""))</f>
        <v/>
      </c>
    </row>
    <row r="842" spans="1:47">
      <c r="A842" t="str">
        <f>IF($AS842="","",INDEX('TMP Paste'!$B$2:$B$1601,$AS842))</f>
        <v/>
      </c>
      <c r="B842" t="str">
        <f>IF($AS842="","",Config!$B$14)</f>
        <v/>
      </c>
      <c r="C842" t="str">
        <f>IF($AS842="","",Config!$B$15)</f>
        <v/>
      </c>
      <c r="D842" t="str">
        <f>IF($AS842="","",INDEX('TMP Paste'!$B$2:$B$1601,$AS842))</f>
        <v/>
      </c>
      <c r="E842" t="str">
        <f>IF($AS842="","",Config!$B$27)</f>
        <v/>
      </c>
      <c r="F842" t="str">
        <f>IF($AS842="","",Config!$B$9)</f>
        <v/>
      </c>
      <c r="G842" t="str">
        <f>IF($AS842="","",Config!$B$10)</f>
        <v/>
      </c>
      <c r="H842" t="str">
        <f>IF($AS842="","",Config!$B$11)</f>
        <v/>
      </c>
      <c r="I842" t="str">
        <f>IF($AS842="","",Config!$B$16)</f>
        <v/>
      </c>
      <c r="J842" t="str">
        <f>IF($AS842="","",INDEX('TMP Paste'!$A$2:$A$1601,$AS842))</f>
        <v/>
      </c>
      <c r="K842" t="str">
        <f>IF($AS842="","",INDEX('TMP Paste'!$L$2:$L$1601,$AS842))</f>
        <v/>
      </c>
      <c r="L842" t="str">
        <f>IF($AS842="","",INDEX('TMP Paste'!$I$2:$I$1601,$AS842))</f>
        <v/>
      </c>
      <c r="M842" t="str">
        <f>IF($AS842="","",Config!$B$16)</f>
        <v/>
      </c>
      <c r="N842" t="str">
        <f t="shared" si="78"/>
        <v/>
      </c>
      <c r="O842" t="str">
        <f>IF($AS842="","",INDEX('TMP Paste'!$K$2:$K$1601,$AS842))</f>
        <v/>
      </c>
      <c r="P842" t="str">
        <f t="shared" si="79"/>
        <v/>
      </c>
      <c r="Q842" t="str">
        <f>IF($AS842="","",INDEX('TMP Paste'!$J$2:$J$1601,$AS842))</f>
        <v/>
      </c>
      <c r="R842" t="str">
        <f>IF($AS842="","",Config!$B$24)</f>
        <v/>
      </c>
      <c r="S842" t="str">
        <f ca="1">IF($AS842="","",TEXT(Config!$B$4,"yyyy-mm-dd"))</f>
        <v/>
      </c>
      <c r="T842" t="str">
        <f>IF($AS842="","",Config!$B$17)</f>
        <v/>
      </c>
      <c r="U842" t="str">
        <f>IF($AS842="","",Config!$B$18)</f>
        <v/>
      </c>
      <c r="V842" t="str">
        <f>IF($AS842="","",Config!$B$19)</f>
        <v/>
      </c>
      <c r="W842" t="str">
        <f>IF($AS842="","",INDEX('TMP Paste'!$C$2:$C$1601,$AS842))</f>
        <v/>
      </c>
      <c r="X842" t="str">
        <f>IF($AS842="","",Config!$B$29)</f>
        <v/>
      </c>
      <c r="Y842" t="str">
        <f>IF($AT842="","",INDEX(Calc!$I$2:$I$1601,$AT842)&amp;" - "&amp;INDEX(Calc!$D$2:$D$1601,$AT842)&amp;" koli")</f>
        <v/>
      </c>
      <c r="Z842" t="str">
        <f>IF($AS842="","",Config!$B$21)</f>
        <v/>
      </c>
      <c r="AA842" t="str">
        <f>IF($AS842="","",Config!$B$22)</f>
        <v/>
      </c>
      <c r="AB842" t="str">
        <f>IF($AT842="","",INDEX(Calc!$D$2:$D$1601,$AT842))</f>
        <v/>
      </c>
      <c r="AC842" t="str">
        <f>IF($AT842="","",INDEX(Calc!$G$2:$G$1601,$AT842))</f>
        <v/>
      </c>
      <c r="AD842" t="str">
        <f>IF($AS842="","",Config!$B$23)</f>
        <v/>
      </c>
      <c r="AE842" t="str">
        <f>IF($AS842="","",Config!$B$28)</f>
        <v/>
      </c>
      <c r="AF842" t="str">
        <f t="shared" si="80"/>
        <v/>
      </c>
      <c r="AG842" t="str">
        <f t="shared" si="81"/>
        <v/>
      </c>
      <c r="AH842" t="str">
        <f t="shared" si="82"/>
        <v/>
      </c>
      <c r="AI842" t="str">
        <f>IF($AG842="","",SUMIF($AG$2:$AG842,$AG842,$AH$2:$AH842))</f>
        <v/>
      </c>
      <c r="AJ842" t="str">
        <f>IF('TMP Paste'!$F842="","",IF('TMP Paste'!$B842="",$AJ841,'TMP Paste'!$B842))</f>
        <v/>
      </c>
      <c r="AK842" t="str">
        <f>IF('TMP Paste'!$F842="","",N('TMP Paste'!$G842))</f>
        <v/>
      </c>
      <c r="AL842" t="str">
        <f>IF('TMP Paste'!$F842="","",IF('TMP Paste'!$M842="",$AL841,'TMP Paste'!$M842))</f>
        <v/>
      </c>
      <c r="AM842" t="str">
        <f>IF('TMP Paste'!$F842="","",IF('TMP Paste'!$N842="",$AM841,'TMP Paste'!$N842))</f>
        <v/>
      </c>
      <c r="AN842" t="str">
        <f>IF('TMP Paste'!$F842="","",IF('TMP Paste'!$O842="",$AN841,'TMP Paste'!$O842))</f>
        <v/>
      </c>
      <c r="AO842" t="str">
        <f>IF('TMP Paste'!$F842="","",IF('TMP Paste'!$P842="",$AO841,'TMP Paste'!$P842))</f>
        <v/>
      </c>
      <c r="AP842" t="str">
        <f t="shared" si="83"/>
        <v/>
      </c>
      <c r="AQ842" t="str">
        <f>IF($AS842="","",TRIM(IF(COUNTIFS(Calc!$B$2:$B$1601,ROW()-1,Calc!$C$2:$C$1601,"&lt;1")&gt;0,"Ada PO tanpa Koli - cek TMP. ","")&amp;IF(OR($AU842="",$AU842&lt;=0),"Volume kosong/0 - dimensi dikosongkan. ","")&amp;IF(AND($AU842&lt;&gt;"",$AU842&gt;=1000000),"Volume &gt;= 1.000.000 cm3 (di luar aturan) - dimensi dikosongkan. ","")&amp;IF(LEN($R842)&gt;500,"R &gt; 500 karakter.","")))</f>
        <v/>
      </c>
      <c r="AS842" t="str">
        <f>IFERROR(MATCH(ROW()-1,Calc!$J$2:$J$1601,0),"")</f>
        <v/>
      </c>
      <c r="AT842" t="str">
        <f>IFERROR(MATCH(ROW()-1,Calc!$K$2:$K$1601,0),"")</f>
        <v/>
      </c>
      <c r="AU842" t="str">
        <f>IF($AS842="","",IFERROR(INDEX('TMP Paste'!$D$2:$D$1601,$AS842)*1000000/$AB842,""))</f>
        <v/>
      </c>
    </row>
    <row r="843" spans="1:47">
      <c r="A843" t="str">
        <f>IF($AS843="","",INDEX('TMP Paste'!$B$2:$B$1601,$AS843))</f>
        <v/>
      </c>
      <c r="B843" t="str">
        <f>IF($AS843="","",Config!$B$14)</f>
        <v/>
      </c>
      <c r="C843" t="str">
        <f>IF($AS843="","",Config!$B$15)</f>
        <v/>
      </c>
      <c r="D843" t="str">
        <f>IF($AS843="","",INDEX('TMP Paste'!$B$2:$B$1601,$AS843))</f>
        <v/>
      </c>
      <c r="E843" t="str">
        <f>IF($AS843="","",Config!$B$27)</f>
        <v/>
      </c>
      <c r="F843" t="str">
        <f>IF($AS843="","",Config!$B$9)</f>
        <v/>
      </c>
      <c r="G843" t="str">
        <f>IF($AS843="","",Config!$B$10)</f>
        <v/>
      </c>
      <c r="H843" t="str">
        <f>IF($AS843="","",Config!$B$11)</f>
        <v/>
      </c>
      <c r="I843" t="str">
        <f>IF($AS843="","",Config!$B$16)</f>
        <v/>
      </c>
      <c r="J843" t="str">
        <f>IF($AS843="","",INDEX('TMP Paste'!$A$2:$A$1601,$AS843))</f>
        <v/>
      </c>
      <c r="K843" t="str">
        <f>IF($AS843="","",INDEX('TMP Paste'!$L$2:$L$1601,$AS843))</f>
        <v/>
      </c>
      <c r="L843" t="str">
        <f>IF($AS843="","",INDEX('TMP Paste'!$I$2:$I$1601,$AS843))</f>
        <v/>
      </c>
      <c r="M843" t="str">
        <f>IF($AS843="","",Config!$B$16)</f>
        <v/>
      </c>
      <c r="N843" t="str">
        <f t="shared" si="78"/>
        <v/>
      </c>
      <c r="O843" t="str">
        <f>IF($AS843="","",INDEX('TMP Paste'!$K$2:$K$1601,$AS843))</f>
        <v/>
      </c>
      <c r="P843" t="str">
        <f t="shared" si="79"/>
        <v/>
      </c>
      <c r="Q843" t="str">
        <f>IF($AS843="","",INDEX('TMP Paste'!$J$2:$J$1601,$AS843))</f>
        <v/>
      </c>
      <c r="R843" t="str">
        <f>IF($AS843="","",Config!$B$24)</f>
        <v/>
      </c>
      <c r="S843" t="str">
        <f ca="1">IF($AS843="","",TEXT(Config!$B$4,"yyyy-mm-dd"))</f>
        <v/>
      </c>
      <c r="T843" t="str">
        <f>IF($AS843="","",Config!$B$17)</f>
        <v/>
      </c>
      <c r="U843" t="str">
        <f>IF($AS843="","",Config!$B$18)</f>
        <v/>
      </c>
      <c r="V843" t="str">
        <f>IF($AS843="","",Config!$B$19)</f>
        <v/>
      </c>
      <c r="W843" t="str">
        <f>IF($AS843="","",INDEX('TMP Paste'!$C$2:$C$1601,$AS843))</f>
        <v/>
      </c>
      <c r="X843" t="str">
        <f>IF($AS843="","",Config!$B$29)</f>
        <v/>
      </c>
      <c r="Y843" t="str">
        <f>IF($AT843="","",INDEX(Calc!$I$2:$I$1601,$AT843)&amp;" - "&amp;INDEX(Calc!$D$2:$D$1601,$AT843)&amp;" koli")</f>
        <v/>
      </c>
      <c r="Z843" t="str">
        <f>IF($AS843="","",Config!$B$21)</f>
        <v/>
      </c>
      <c r="AA843" t="str">
        <f>IF($AS843="","",Config!$B$22)</f>
        <v/>
      </c>
      <c r="AB843" t="str">
        <f>IF($AT843="","",INDEX(Calc!$D$2:$D$1601,$AT843))</f>
        <v/>
      </c>
      <c r="AC843" t="str">
        <f>IF($AT843="","",INDEX(Calc!$G$2:$G$1601,$AT843))</f>
        <v/>
      </c>
      <c r="AD843" t="str">
        <f>IF($AS843="","",Config!$B$23)</f>
        <v/>
      </c>
      <c r="AE843" t="str">
        <f>IF($AS843="","",Config!$B$28)</f>
        <v/>
      </c>
      <c r="AF843" t="str">
        <f t="shared" si="80"/>
        <v/>
      </c>
      <c r="AG843" t="str">
        <f t="shared" si="81"/>
        <v/>
      </c>
      <c r="AH843" t="str">
        <f t="shared" si="82"/>
        <v/>
      </c>
      <c r="AI843" t="str">
        <f>IF($AG843="","",SUMIF($AG$2:$AG843,$AG843,$AH$2:$AH843))</f>
        <v/>
      </c>
      <c r="AJ843" t="str">
        <f>IF('TMP Paste'!$F843="","",IF('TMP Paste'!$B843="",$AJ842,'TMP Paste'!$B843))</f>
        <v/>
      </c>
      <c r="AK843" t="str">
        <f>IF('TMP Paste'!$F843="","",N('TMP Paste'!$G843))</f>
        <v/>
      </c>
      <c r="AL843" t="str">
        <f>IF('TMP Paste'!$F843="","",IF('TMP Paste'!$M843="",$AL842,'TMP Paste'!$M843))</f>
        <v/>
      </c>
      <c r="AM843" t="str">
        <f>IF('TMP Paste'!$F843="","",IF('TMP Paste'!$N843="",$AM842,'TMP Paste'!$N843))</f>
        <v/>
      </c>
      <c r="AN843" t="str">
        <f>IF('TMP Paste'!$F843="","",IF('TMP Paste'!$O843="",$AN842,'TMP Paste'!$O843))</f>
        <v/>
      </c>
      <c r="AO843" t="str">
        <f>IF('TMP Paste'!$F843="","",IF('TMP Paste'!$P843="",$AO842,'TMP Paste'!$P843))</f>
        <v/>
      </c>
      <c r="AP843" t="str">
        <f t="shared" si="83"/>
        <v/>
      </c>
      <c r="AQ843" t="str">
        <f>IF($AS843="","",TRIM(IF(COUNTIFS(Calc!$B$2:$B$1601,ROW()-1,Calc!$C$2:$C$1601,"&lt;1")&gt;0,"Ada PO tanpa Koli - cek TMP. ","")&amp;IF(OR($AU843="",$AU843&lt;=0),"Volume kosong/0 - dimensi dikosongkan. ","")&amp;IF(AND($AU843&lt;&gt;"",$AU843&gt;=1000000),"Volume &gt;= 1.000.000 cm3 (di luar aturan) - dimensi dikosongkan. ","")&amp;IF(LEN($R843)&gt;500,"R &gt; 500 karakter.","")))</f>
        <v/>
      </c>
      <c r="AS843" t="str">
        <f>IFERROR(MATCH(ROW()-1,Calc!$J$2:$J$1601,0),"")</f>
        <v/>
      </c>
      <c r="AT843" t="str">
        <f>IFERROR(MATCH(ROW()-1,Calc!$K$2:$K$1601,0),"")</f>
        <v/>
      </c>
      <c r="AU843" t="str">
        <f>IF($AS843="","",IFERROR(INDEX('TMP Paste'!$D$2:$D$1601,$AS843)*1000000/$AB843,""))</f>
        <v/>
      </c>
    </row>
    <row r="844" spans="1:47">
      <c r="A844" t="str">
        <f>IF($AS844="","",INDEX('TMP Paste'!$B$2:$B$1601,$AS844))</f>
        <v/>
      </c>
      <c r="B844" t="str">
        <f>IF($AS844="","",Config!$B$14)</f>
        <v/>
      </c>
      <c r="C844" t="str">
        <f>IF($AS844="","",Config!$B$15)</f>
        <v/>
      </c>
      <c r="D844" t="str">
        <f>IF($AS844="","",INDEX('TMP Paste'!$B$2:$B$1601,$AS844))</f>
        <v/>
      </c>
      <c r="E844" t="str">
        <f>IF($AS844="","",Config!$B$27)</f>
        <v/>
      </c>
      <c r="F844" t="str">
        <f>IF($AS844="","",Config!$B$9)</f>
        <v/>
      </c>
      <c r="G844" t="str">
        <f>IF($AS844="","",Config!$B$10)</f>
        <v/>
      </c>
      <c r="H844" t="str">
        <f>IF($AS844="","",Config!$B$11)</f>
        <v/>
      </c>
      <c r="I844" t="str">
        <f>IF($AS844="","",Config!$B$16)</f>
        <v/>
      </c>
      <c r="J844" t="str">
        <f>IF($AS844="","",INDEX('TMP Paste'!$A$2:$A$1601,$AS844))</f>
        <v/>
      </c>
      <c r="K844" t="str">
        <f>IF($AS844="","",INDEX('TMP Paste'!$L$2:$L$1601,$AS844))</f>
        <v/>
      </c>
      <c r="L844" t="str">
        <f>IF($AS844="","",INDEX('TMP Paste'!$I$2:$I$1601,$AS844))</f>
        <v/>
      </c>
      <c r="M844" t="str">
        <f>IF($AS844="","",Config!$B$16)</f>
        <v/>
      </c>
      <c r="N844" t="str">
        <f t="shared" si="78"/>
        <v/>
      </c>
      <c r="O844" t="str">
        <f>IF($AS844="","",INDEX('TMP Paste'!$K$2:$K$1601,$AS844))</f>
        <v/>
      </c>
      <c r="P844" t="str">
        <f t="shared" si="79"/>
        <v/>
      </c>
      <c r="Q844" t="str">
        <f>IF($AS844="","",INDEX('TMP Paste'!$J$2:$J$1601,$AS844))</f>
        <v/>
      </c>
      <c r="R844" t="str">
        <f>IF($AS844="","",Config!$B$24)</f>
        <v/>
      </c>
      <c r="S844" t="str">
        <f ca="1">IF($AS844="","",TEXT(Config!$B$4,"yyyy-mm-dd"))</f>
        <v/>
      </c>
      <c r="T844" t="str">
        <f>IF($AS844="","",Config!$B$17)</f>
        <v/>
      </c>
      <c r="U844" t="str">
        <f>IF($AS844="","",Config!$B$18)</f>
        <v/>
      </c>
      <c r="V844" t="str">
        <f>IF($AS844="","",Config!$B$19)</f>
        <v/>
      </c>
      <c r="W844" t="str">
        <f>IF($AS844="","",INDEX('TMP Paste'!$C$2:$C$1601,$AS844))</f>
        <v/>
      </c>
      <c r="X844" t="str">
        <f>IF($AS844="","",Config!$B$29)</f>
        <v/>
      </c>
      <c r="Y844" t="str">
        <f>IF($AT844="","",INDEX(Calc!$I$2:$I$1601,$AT844)&amp;" - "&amp;INDEX(Calc!$D$2:$D$1601,$AT844)&amp;" koli")</f>
        <v/>
      </c>
      <c r="Z844" t="str">
        <f>IF($AS844="","",Config!$B$21)</f>
        <v/>
      </c>
      <c r="AA844" t="str">
        <f>IF($AS844="","",Config!$B$22)</f>
        <v/>
      </c>
      <c r="AB844" t="str">
        <f>IF($AT844="","",INDEX(Calc!$D$2:$D$1601,$AT844))</f>
        <v/>
      </c>
      <c r="AC844" t="str">
        <f>IF($AT844="","",INDEX(Calc!$G$2:$G$1601,$AT844))</f>
        <v/>
      </c>
      <c r="AD844" t="str">
        <f>IF($AS844="","",Config!$B$23)</f>
        <v/>
      </c>
      <c r="AE844" t="str">
        <f>IF($AS844="","",Config!$B$28)</f>
        <v/>
      </c>
      <c r="AF844" t="str">
        <f t="shared" si="80"/>
        <v/>
      </c>
      <c r="AG844" t="str">
        <f t="shared" si="81"/>
        <v/>
      </c>
      <c r="AH844" t="str">
        <f t="shared" si="82"/>
        <v/>
      </c>
      <c r="AI844" t="str">
        <f>IF($AG844="","",SUMIF($AG$2:$AG844,$AG844,$AH$2:$AH844))</f>
        <v/>
      </c>
      <c r="AJ844" t="str">
        <f>IF('TMP Paste'!$F844="","",IF('TMP Paste'!$B844="",$AJ843,'TMP Paste'!$B844))</f>
        <v/>
      </c>
      <c r="AK844" t="str">
        <f>IF('TMP Paste'!$F844="","",N('TMP Paste'!$G844))</f>
        <v/>
      </c>
      <c r="AL844" t="str">
        <f>IF('TMP Paste'!$F844="","",IF('TMP Paste'!$M844="",$AL843,'TMP Paste'!$M844))</f>
        <v/>
      </c>
      <c r="AM844" t="str">
        <f>IF('TMP Paste'!$F844="","",IF('TMP Paste'!$N844="",$AM843,'TMP Paste'!$N844))</f>
        <v/>
      </c>
      <c r="AN844" t="str">
        <f>IF('TMP Paste'!$F844="","",IF('TMP Paste'!$O844="",$AN843,'TMP Paste'!$O844))</f>
        <v/>
      </c>
      <c r="AO844" t="str">
        <f>IF('TMP Paste'!$F844="","",IF('TMP Paste'!$P844="",$AO843,'TMP Paste'!$P844))</f>
        <v/>
      </c>
      <c r="AP844" t="str">
        <f t="shared" si="83"/>
        <v/>
      </c>
      <c r="AQ844" t="str">
        <f>IF($AS844="","",TRIM(IF(COUNTIFS(Calc!$B$2:$B$1601,ROW()-1,Calc!$C$2:$C$1601,"&lt;1")&gt;0,"Ada PO tanpa Koli - cek TMP. ","")&amp;IF(OR($AU844="",$AU844&lt;=0),"Volume kosong/0 - dimensi dikosongkan. ","")&amp;IF(AND($AU844&lt;&gt;"",$AU844&gt;=1000000),"Volume &gt;= 1.000.000 cm3 (di luar aturan) - dimensi dikosongkan. ","")&amp;IF(LEN($R844)&gt;500,"R &gt; 500 karakter.","")))</f>
        <v/>
      </c>
      <c r="AS844" t="str">
        <f>IFERROR(MATCH(ROW()-1,Calc!$J$2:$J$1601,0),"")</f>
        <v/>
      </c>
      <c r="AT844" t="str">
        <f>IFERROR(MATCH(ROW()-1,Calc!$K$2:$K$1601,0),"")</f>
        <v/>
      </c>
      <c r="AU844" t="str">
        <f>IF($AS844="","",IFERROR(INDEX('TMP Paste'!$D$2:$D$1601,$AS844)*1000000/$AB844,""))</f>
        <v/>
      </c>
    </row>
    <row r="845" spans="1:47">
      <c r="A845" t="str">
        <f>IF($AS845="","",INDEX('TMP Paste'!$B$2:$B$1601,$AS845))</f>
        <v/>
      </c>
      <c r="B845" t="str">
        <f>IF($AS845="","",Config!$B$14)</f>
        <v/>
      </c>
      <c r="C845" t="str">
        <f>IF($AS845="","",Config!$B$15)</f>
        <v/>
      </c>
      <c r="D845" t="str">
        <f>IF($AS845="","",INDEX('TMP Paste'!$B$2:$B$1601,$AS845))</f>
        <v/>
      </c>
      <c r="E845" t="str">
        <f>IF($AS845="","",Config!$B$27)</f>
        <v/>
      </c>
      <c r="F845" t="str">
        <f>IF($AS845="","",Config!$B$9)</f>
        <v/>
      </c>
      <c r="G845" t="str">
        <f>IF($AS845="","",Config!$B$10)</f>
        <v/>
      </c>
      <c r="H845" t="str">
        <f>IF($AS845="","",Config!$B$11)</f>
        <v/>
      </c>
      <c r="I845" t="str">
        <f>IF($AS845="","",Config!$B$16)</f>
        <v/>
      </c>
      <c r="J845" t="str">
        <f>IF($AS845="","",INDEX('TMP Paste'!$A$2:$A$1601,$AS845))</f>
        <v/>
      </c>
      <c r="K845" t="str">
        <f>IF($AS845="","",INDEX('TMP Paste'!$L$2:$L$1601,$AS845))</f>
        <v/>
      </c>
      <c r="L845" t="str">
        <f>IF($AS845="","",INDEX('TMP Paste'!$I$2:$I$1601,$AS845))</f>
        <v/>
      </c>
      <c r="M845" t="str">
        <f>IF($AS845="","",Config!$B$16)</f>
        <v/>
      </c>
      <c r="N845" t="str">
        <f t="shared" si="78"/>
        <v/>
      </c>
      <c r="O845" t="str">
        <f>IF($AS845="","",INDEX('TMP Paste'!$K$2:$K$1601,$AS845))</f>
        <v/>
      </c>
      <c r="P845" t="str">
        <f t="shared" si="79"/>
        <v/>
      </c>
      <c r="Q845" t="str">
        <f>IF($AS845="","",INDEX('TMP Paste'!$J$2:$J$1601,$AS845))</f>
        <v/>
      </c>
      <c r="R845" t="str">
        <f>IF($AS845="","",Config!$B$24)</f>
        <v/>
      </c>
      <c r="S845" t="str">
        <f ca="1">IF($AS845="","",TEXT(Config!$B$4,"yyyy-mm-dd"))</f>
        <v/>
      </c>
      <c r="T845" t="str">
        <f>IF($AS845="","",Config!$B$17)</f>
        <v/>
      </c>
      <c r="U845" t="str">
        <f>IF($AS845="","",Config!$B$18)</f>
        <v/>
      </c>
      <c r="V845" t="str">
        <f>IF($AS845="","",Config!$B$19)</f>
        <v/>
      </c>
      <c r="W845" t="str">
        <f>IF($AS845="","",INDEX('TMP Paste'!$C$2:$C$1601,$AS845))</f>
        <v/>
      </c>
      <c r="X845" t="str">
        <f>IF($AS845="","",Config!$B$29)</f>
        <v/>
      </c>
      <c r="Y845" t="str">
        <f>IF($AT845="","",INDEX(Calc!$I$2:$I$1601,$AT845)&amp;" - "&amp;INDEX(Calc!$D$2:$D$1601,$AT845)&amp;" koli")</f>
        <v/>
      </c>
      <c r="Z845" t="str">
        <f>IF($AS845="","",Config!$B$21)</f>
        <v/>
      </c>
      <c r="AA845" t="str">
        <f>IF($AS845="","",Config!$B$22)</f>
        <v/>
      </c>
      <c r="AB845" t="str">
        <f>IF($AT845="","",INDEX(Calc!$D$2:$D$1601,$AT845))</f>
        <v/>
      </c>
      <c r="AC845" t="str">
        <f>IF($AT845="","",INDEX(Calc!$G$2:$G$1601,$AT845))</f>
        <v/>
      </c>
      <c r="AD845" t="str">
        <f>IF($AS845="","",Config!$B$23)</f>
        <v/>
      </c>
      <c r="AE845" t="str">
        <f>IF($AS845="","",Config!$B$28)</f>
        <v/>
      </c>
      <c r="AF845" t="str">
        <f t="shared" si="80"/>
        <v/>
      </c>
      <c r="AG845" t="str">
        <f t="shared" si="81"/>
        <v/>
      </c>
      <c r="AH845" t="str">
        <f t="shared" si="82"/>
        <v/>
      </c>
      <c r="AI845" t="str">
        <f>IF($AG845="","",SUMIF($AG$2:$AG845,$AG845,$AH$2:$AH845))</f>
        <v/>
      </c>
      <c r="AJ845" t="str">
        <f>IF('TMP Paste'!$F845="","",IF('TMP Paste'!$B845="",$AJ844,'TMP Paste'!$B845))</f>
        <v/>
      </c>
      <c r="AK845" t="str">
        <f>IF('TMP Paste'!$F845="","",N('TMP Paste'!$G845))</f>
        <v/>
      </c>
      <c r="AL845" t="str">
        <f>IF('TMP Paste'!$F845="","",IF('TMP Paste'!$M845="",$AL844,'TMP Paste'!$M845))</f>
        <v/>
      </c>
      <c r="AM845" t="str">
        <f>IF('TMP Paste'!$F845="","",IF('TMP Paste'!$N845="",$AM844,'TMP Paste'!$N845))</f>
        <v/>
      </c>
      <c r="AN845" t="str">
        <f>IF('TMP Paste'!$F845="","",IF('TMP Paste'!$O845="",$AN844,'TMP Paste'!$O845))</f>
        <v/>
      </c>
      <c r="AO845" t="str">
        <f>IF('TMP Paste'!$F845="","",IF('TMP Paste'!$P845="",$AO844,'TMP Paste'!$P845))</f>
        <v/>
      </c>
      <c r="AP845" t="str">
        <f t="shared" si="83"/>
        <v/>
      </c>
      <c r="AQ845" t="str">
        <f>IF($AS845="","",TRIM(IF(COUNTIFS(Calc!$B$2:$B$1601,ROW()-1,Calc!$C$2:$C$1601,"&lt;1")&gt;0,"Ada PO tanpa Koli - cek TMP. ","")&amp;IF(OR($AU845="",$AU845&lt;=0),"Volume kosong/0 - dimensi dikosongkan. ","")&amp;IF(AND($AU845&lt;&gt;"",$AU845&gt;=1000000),"Volume &gt;= 1.000.000 cm3 (di luar aturan) - dimensi dikosongkan. ","")&amp;IF(LEN($R845)&gt;500,"R &gt; 500 karakter.","")))</f>
        <v/>
      </c>
      <c r="AS845" t="str">
        <f>IFERROR(MATCH(ROW()-1,Calc!$J$2:$J$1601,0),"")</f>
        <v/>
      </c>
      <c r="AT845" t="str">
        <f>IFERROR(MATCH(ROW()-1,Calc!$K$2:$K$1601,0),"")</f>
        <v/>
      </c>
      <c r="AU845" t="str">
        <f>IF($AS845="","",IFERROR(INDEX('TMP Paste'!$D$2:$D$1601,$AS845)*1000000/$AB845,""))</f>
        <v/>
      </c>
    </row>
    <row r="846" spans="1:47">
      <c r="A846" t="str">
        <f>IF($AS846="","",INDEX('TMP Paste'!$B$2:$B$1601,$AS846))</f>
        <v/>
      </c>
      <c r="B846" t="str">
        <f>IF($AS846="","",Config!$B$14)</f>
        <v/>
      </c>
      <c r="C846" t="str">
        <f>IF($AS846="","",Config!$B$15)</f>
        <v/>
      </c>
      <c r="D846" t="str">
        <f>IF($AS846="","",INDEX('TMP Paste'!$B$2:$B$1601,$AS846))</f>
        <v/>
      </c>
      <c r="E846" t="str">
        <f>IF($AS846="","",Config!$B$27)</f>
        <v/>
      </c>
      <c r="F846" t="str">
        <f>IF($AS846="","",Config!$B$9)</f>
        <v/>
      </c>
      <c r="G846" t="str">
        <f>IF($AS846="","",Config!$B$10)</f>
        <v/>
      </c>
      <c r="H846" t="str">
        <f>IF($AS846="","",Config!$B$11)</f>
        <v/>
      </c>
      <c r="I846" t="str">
        <f>IF($AS846="","",Config!$B$16)</f>
        <v/>
      </c>
      <c r="J846" t="str">
        <f>IF($AS846="","",INDEX('TMP Paste'!$A$2:$A$1601,$AS846))</f>
        <v/>
      </c>
      <c r="K846" t="str">
        <f>IF($AS846="","",INDEX('TMP Paste'!$L$2:$L$1601,$AS846))</f>
        <v/>
      </c>
      <c r="L846" t="str">
        <f>IF($AS846="","",INDEX('TMP Paste'!$I$2:$I$1601,$AS846))</f>
        <v/>
      </c>
      <c r="M846" t="str">
        <f>IF($AS846="","",Config!$B$16)</f>
        <v/>
      </c>
      <c r="N846" t="str">
        <f t="shared" si="78"/>
        <v/>
      </c>
      <c r="O846" t="str">
        <f>IF($AS846="","",INDEX('TMP Paste'!$K$2:$K$1601,$AS846))</f>
        <v/>
      </c>
      <c r="P846" t="str">
        <f t="shared" si="79"/>
        <v/>
      </c>
      <c r="Q846" t="str">
        <f>IF($AS846="","",INDEX('TMP Paste'!$J$2:$J$1601,$AS846))</f>
        <v/>
      </c>
      <c r="R846" t="str">
        <f>IF($AS846="","",Config!$B$24)</f>
        <v/>
      </c>
      <c r="S846" t="str">
        <f ca="1">IF($AS846="","",TEXT(Config!$B$4,"yyyy-mm-dd"))</f>
        <v/>
      </c>
      <c r="T846" t="str">
        <f>IF($AS846="","",Config!$B$17)</f>
        <v/>
      </c>
      <c r="U846" t="str">
        <f>IF($AS846="","",Config!$B$18)</f>
        <v/>
      </c>
      <c r="V846" t="str">
        <f>IF($AS846="","",Config!$B$19)</f>
        <v/>
      </c>
      <c r="W846" t="str">
        <f>IF($AS846="","",INDEX('TMP Paste'!$C$2:$C$1601,$AS846))</f>
        <v/>
      </c>
      <c r="X846" t="str">
        <f>IF($AS846="","",Config!$B$29)</f>
        <v/>
      </c>
      <c r="Y846" t="str">
        <f>IF($AT846="","",INDEX(Calc!$I$2:$I$1601,$AT846)&amp;" - "&amp;INDEX(Calc!$D$2:$D$1601,$AT846)&amp;" koli")</f>
        <v/>
      </c>
      <c r="Z846" t="str">
        <f>IF($AS846="","",Config!$B$21)</f>
        <v/>
      </c>
      <c r="AA846" t="str">
        <f>IF($AS846="","",Config!$B$22)</f>
        <v/>
      </c>
      <c r="AB846" t="str">
        <f>IF($AT846="","",INDEX(Calc!$D$2:$D$1601,$AT846))</f>
        <v/>
      </c>
      <c r="AC846" t="str">
        <f>IF($AT846="","",INDEX(Calc!$G$2:$G$1601,$AT846))</f>
        <v/>
      </c>
      <c r="AD846" t="str">
        <f>IF($AS846="","",Config!$B$23)</f>
        <v/>
      </c>
      <c r="AE846" t="str">
        <f>IF($AS846="","",Config!$B$28)</f>
        <v/>
      </c>
      <c r="AF846" t="str">
        <f t="shared" si="80"/>
        <v/>
      </c>
      <c r="AG846" t="str">
        <f t="shared" si="81"/>
        <v/>
      </c>
      <c r="AH846" t="str">
        <f t="shared" si="82"/>
        <v/>
      </c>
      <c r="AI846" t="str">
        <f>IF($AG846="","",SUMIF($AG$2:$AG846,$AG846,$AH$2:$AH846))</f>
        <v/>
      </c>
      <c r="AJ846" t="str">
        <f>IF('TMP Paste'!$F846="","",IF('TMP Paste'!$B846="",$AJ845,'TMP Paste'!$B846))</f>
        <v/>
      </c>
      <c r="AK846" t="str">
        <f>IF('TMP Paste'!$F846="","",N('TMP Paste'!$G846))</f>
        <v/>
      </c>
      <c r="AL846" t="str">
        <f>IF('TMP Paste'!$F846="","",IF('TMP Paste'!$M846="",$AL845,'TMP Paste'!$M846))</f>
        <v/>
      </c>
      <c r="AM846" t="str">
        <f>IF('TMP Paste'!$F846="","",IF('TMP Paste'!$N846="",$AM845,'TMP Paste'!$N846))</f>
        <v/>
      </c>
      <c r="AN846" t="str">
        <f>IF('TMP Paste'!$F846="","",IF('TMP Paste'!$O846="",$AN845,'TMP Paste'!$O846))</f>
        <v/>
      </c>
      <c r="AO846" t="str">
        <f>IF('TMP Paste'!$F846="","",IF('TMP Paste'!$P846="",$AO845,'TMP Paste'!$P846))</f>
        <v/>
      </c>
      <c r="AP846" t="str">
        <f t="shared" si="83"/>
        <v/>
      </c>
      <c r="AQ846" t="str">
        <f>IF($AS846="","",TRIM(IF(COUNTIFS(Calc!$B$2:$B$1601,ROW()-1,Calc!$C$2:$C$1601,"&lt;1")&gt;0,"Ada PO tanpa Koli - cek TMP. ","")&amp;IF(OR($AU846="",$AU846&lt;=0),"Volume kosong/0 - dimensi dikosongkan. ","")&amp;IF(AND($AU846&lt;&gt;"",$AU846&gt;=1000000),"Volume &gt;= 1.000.000 cm3 (di luar aturan) - dimensi dikosongkan. ","")&amp;IF(LEN($R846)&gt;500,"R &gt; 500 karakter.","")))</f>
        <v/>
      </c>
      <c r="AS846" t="str">
        <f>IFERROR(MATCH(ROW()-1,Calc!$J$2:$J$1601,0),"")</f>
        <v/>
      </c>
      <c r="AT846" t="str">
        <f>IFERROR(MATCH(ROW()-1,Calc!$K$2:$K$1601,0),"")</f>
        <v/>
      </c>
      <c r="AU846" t="str">
        <f>IF($AS846="","",IFERROR(INDEX('TMP Paste'!$D$2:$D$1601,$AS846)*1000000/$AB846,""))</f>
        <v/>
      </c>
    </row>
    <row r="847" spans="1:47">
      <c r="A847" t="str">
        <f>IF($AS847="","",INDEX('TMP Paste'!$B$2:$B$1601,$AS847))</f>
        <v/>
      </c>
      <c r="B847" t="str">
        <f>IF($AS847="","",Config!$B$14)</f>
        <v/>
      </c>
      <c r="C847" t="str">
        <f>IF($AS847="","",Config!$B$15)</f>
        <v/>
      </c>
      <c r="D847" t="str">
        <f>IF($AS847="","",INDEX('TMP Paste'!$B$2:$B$1601,$AS847))</f>
        <v/>
      </c>
      <c r="E847" t="str">
        <f>IF($AS847="","",Config!$B$27)</f>
        <v/>
      </c>
      <c r="F847" t="str">
        <f>IF($AS847="","",Config!$B$9)</f>
        <v/>
      </c>
      <c r="G847" t="str">
        <f>IF($AS847="","",Config!$B$10)</f>
        <v/>
      </c>
      <c r="H847" t="str">
        <f>IF($AS847="","",Config!$B$11)</f>
        <v/>
      </c>
      <c r="I847" t="str">
        <f>IF($AS847="","",Config!$B$16)</f>
        <v/>
      </c>
      <c r="J847" t="str">
        <f>IF($AS847="","",INDEX('TMP Paste'!$A$2:$A$1601,$AS847))</f>
        <v/>
      </c>
      <c r="K847" t="str">
        <f>IF($AS847="","",INDEX('TMP Paste'!$L$2:$L$1601,$AS847))</f>
        <v/>
      </c>
      <c r="L847" t="str">
        <f>IF($AS847="","",INDEX('TMP Paste'!$I$2:$I$1601,$AS847))</f>
        <v/>
      </c>
      <c r="M847" t="str">
        <f>IF($AS847="","",Config!$B$16)</f>
        <v/>
      </c>
      <c r="N847" t="str">
        <f t="shared" si="78"/>
        <v/>
      </c>
      <c r="O847" t="str">
        <f>IF($AS847="","",INDEX('TMP Paste'!$K$2:$K$1601,$AS847))</f>
        <v/>
      </c>
      <c r="P847" t="str">
        <f t="shared" si="79"/>
        <v/>
      </c>
      <c r="Q847" t="str">
        <f>IF($AS847="","",INDEX('TMP Paste'!$J$2:$J$1601,$AS847))</f>
        <v/>
      </c>
      <c r="R847" t="str">
        <f>IF($AS847="","",Config!$B$24)</f>
        <v/>
      </c>
      <c r="S847" t="str">
        <f ca="1">IF($AS847="","",TEXT(Config!$B$4,"yyyy-mm-dd"))</f>
        <v/>
      </c>
      <c r="T847" t="str">
        <f>IF($AS847="","",Config!$B$17)</f>
        <v/>
      </c>
      <c r="U847" t="str">
        <f>IF($AS847="","",Config!$B$18)</f>
        <v/>
      </c>
      <c r="V847" t="str">
        <f>IF($AS847="","",Config!$B$19)</f>
        <v/>
      </c>
      <c r="W847" t="str">
        <f>IF($AS847="","",INDEX('TMP Paste'!$C$2:$C$1601,$AS847))</f>
        <v/>
      </c>
      <c r="X847" t="str">
        <f>IF($AS847="","",Config!$B$29)</f>
        <v/>
      </c>
      <c r="Y847" t="str">
        <f>IF($AT847="","",INDEX(Calc!$I$2:$I$1601,$AT847)&amp;" - "&amp;INDEX(Calc!$D$2:$D$1601,$AT847)&amp;" koli")</f>
        <v/>
      </c>
      <c r="Z847" t="str">
        <f>IF($AS847="","",Config!$B$21)</f>
        <v/>
      </c>
      <c r="AA847" t="str">
        <f>IF($AS847="","",Config!$B$22)</f>
        <v/>
      </c>
      <c r="AB847" t="str">
        <f>IF($AT847="","",INDEX(Calc!$D$2:$D$1601,$AT847))</f>
        <v/>
      </c>
      <c r="AC847" t="str">
        <f>IF($AT847="","",INDEX(Calc!$G$2:$G$1601,$AT847))</f>
        <v/>
      </c>
      <c r="AD847" t="str">
        <f>IF($AS847="","",Config!$B$23)</f>
        <v/>
      </c>
      <c r="AE847" t="str">
        <f>IF($AS847="","",Config!$B$28)</f>
        <v/>
      </c>
      <c r="AF847" t="str">
        <f t="shared" si="80"/>
        <v/>
      </c>
      <c r="AG847" t="str">
        <f t="shared" si="81"/>
        <v/>
      </c>
      <c r="AH847" t="str">
        <f t="shared" si="82"/>
        <v/>
      </c>
      <c r="AI847" t="str">
        <f>IF($AG847="","",SUMIF($AG$2:$AG847,$AG847,$AH$2:$AH847))</f>
        <v/>
      </c>
      <c r="AJ847" t="str">
        <f>IF('TMP Paste'!$F847="","",IF('TMP Paste'!$B847="",$AJ846,'TMP Paste'!$B847))</f>
        <v/>
      </c>
      <c r="AK847" t="str">
        <f>IF('TMP Paste'!$F847="","",N('TMP Paste'!$G847))</f>
        <v/>
      </c>
      <c r="AL847" t="str">
        <f>IF('TMP Paste'!$F847="","",IF('TMP Paste'!$M847="",$AL846,'TMP Paste'!$M847))</f>
        <v/>
      </c>
      <c r="AM847" t="str">
        <f>IF('TMP Paste'!$F847="","",IF('TMP Paste'!$N847="",$AM846,'TMP Paste'!$N847))</f>
        <v/>
      </c>
      <c r="AN847" t="str">
        <f>IF('TMP Paste'!$F847="","",IF('TMP Paste'!$O847="",$AN846,'TMP Paste'!$O847))</f>
        <v/>
      </c>
      <c r="AO847" t="str">
        <f>IF('TMP Paste'!$F847="","",IF('TMP Paste'!$P847="",$AO846,'TMP Paste'!$P847))</f>
        <v/>
      </c>
      <c r="AP847" t="str">
        <f t="shared" si="83"/>
        <v/>
      </c>
      <c r="AQ847" t="str">
        <f>IF($AS847="","",TRIM(IF(COUNTIFS(Calc!$B$2:$B$1601,ROW()-1,Calc!$C$2:$C$1601,"&lt;1")&gt;0,"Ada PO tanpa Koli - cek TMP. ","")&amp;IF(OR($AU847="",$AU847&lt;=0),"Volume kosong/0 - dimensi dikosongkan. ","")&amp;IF(AND($AU847&lt;&gt;"",$AU847&gt;=1000000),"Volume &gt;= 1.000.000 cm3 (di luar aturan) - dimensi dikosongkan. ","")&amp;IF(LEN($R847)&gt;500,"R &gt; 500 karakter.","")))</f>
        <v/>
      </c>
      <c r="AS847" t="str">
        <f>IFERROR(MATCH(ROW()-1,Calc!$J$2:$J$1601,0),"")</f>
        <v/>
      </c>
      <c r="AT847" t="str">
        <f>IFERROR(MATCH(ROW()-1,Calc!$K$2:$K$1601,0),"")</f>
        <v/>
      </c>
      <c r="AU847" t="str">
        <f>IF($AS847="","",IFERROR(INDEX('TMP Paste'!$D$2:$D$1601,$AS847)*1000000/$AB847,""))</f>
        <v/>
      </c>
    </row>
    <row r="848" spans="1:47">
      <c r="A848" t="str">
        <f>IF($AS848="","",INDEX('TMP Paste'!$B$2:$B$1601,$AS848))</f>
        <v/>
      </c>
      <c r="B848" t="str">
        <f>IF($AS848="","",Config!$B$14)</f>
        <v/>
      </c>
      <c r="C848" t="str">
        <f>IF($AS848="","",Config!$B$15)</f>
        <v/>
      </c>
      <c r="D848" t="str">
        <f>IF($AS848="","",INDEX('TMP Paste'!$B$2:$B$1601,$AS848))</f>
        <v/>
      </c>
      <c r="E848" t="str">
        <f>IF($AS848="","",Config!$B$27)</f>
        <v/>
      </c>
      <c r="F848" t="str">
        <f>IF($AS848="","",Config!$B$9)</f>
        <v/>
      </c>
      <c r="G848" t="str">
        <f>IF($AS848="","",Config!$B$10)</f>
        <v/>
      </c>
      <c r="H848" t="str">
        <f>IF($AS848="","",Config!$B$11)</f>
        <v/>
      </c>
      <c r="I848" t="str">
        <f>IF($AS848="","",Config!$B$16)</f>
        <v/>
      </c>
      <c r="J848" t="str">
        <f>IF($AS848="","",INDEX('TMP Paste'!$A$2:$A$1601,$AS848))</f>
        <v/>
      </c>
      <c r="K848" t="str">
        <f>IF($AS848="","",INDEX('TMP Paste'!$L$2:$L$1601,$AS848))</f>
        <v/>
      </c>
      <c r="L848" t="str">
        <f>IF($AS848="","",INDEX('TMP Paste'!$I$2:$I$1601,$AS848))</f>
        <v/>
      </c>
      <c r="M848" t="str">
        <f>IF($AS848="","",Config!$B$16)</f>
        <v/>
      </c>
      <c r="N848" t="str">
        <f t="shared" si="78"/>
        <v/>
      </c>
      <c r="O848" t="str">
        <f>IF($AS848="","",INDEX('TMP Paste'!$K$2:$K$1601,$AS848))</f>
        <v/>
      </c>
      <c r="P848" t="str">
        <f t="shared" si="79"/>
        <v/>
      </c>
      <c r="Q848" t="str">
        <f>IF($AS848="","",INDEX('TMP Paste'!$J$2:$J$1601,$AS848))</f>
        <v/>
      </c>
      <c r="R848" t="str">
        <f>IF($AS848="","",Config!$B$24)</f>
        <v/>
      </c>
      <c r="S848" t="str">
        <f ca="1">IF($AS848="","",TEXT(Config!$B$4,"yyyy-mm-dd"))</f>
        <v/>
      </c>
      <c r="T848" t="str">
        <f>IF($AS848="","",Config!$B$17)</f>
        <v/>
      </c>
      <c r="U848" t="str">
        <f>IF($AS848="","",Config!$B$18)</f>
        <v/>
      </c>
      <c r="V848" t="str">
        <f>IF($AS848="","",Config!$B$19)</f>
        <v/>
      </c>
      <c r="W848" t="str">
        <f>IF($AS848="","",INDEX('TMP Paste'!$C$2:$C$1601,$AS848))</f>
        <v/>
      </c>
      <c r="X848" t="str">
        <f>IF($AS848="","",Config!$B$29)</f>
        <v/>
      </c>
      <c r="Y848" t="str">
        <f>IF($AT848="","",INDEX(Calc!$I$2:$I$1601,$AT848)&amp;" - "&amp;INDEX(Calc!$D$2:$D$1601,$AT848)&amp;" koli")</f>
        <v/>
      </c>
      <c r="Z848" t="str">
        <f>IF($AS848="","",Config!$B$21)</f>
        <v/>
      </c>
      <c r="AA848" t="str">
        <f>IF($AS848="","",Config!$B$22)</f>
        <v/>
      </c>
      <c r="AB848" t="str">
        <f>IF($AT848="","",INDEX(Calc!$D$2:$D$1601,$AT848))</f>
        <v/>
      </c>
      <c r="AC848" t="str">
        <f>IF($AT848="","",INDEX(Calc!$G$2:$G$1601,$AT848))</f>
        <v/>
      </c>
      <c r="AD848" t="str">
        <f>IF($AS848="","",Config!$B$23)</f>
        <v/>
      </c>
      <c r="AE848" t="str">
        <f>IF($AS848="","",Config!$B$28)</f>
        <v/>
      </c>
      <c r="AF848" t="str">
        <f t="shared" si="80"/>
        <v/>
      </c>
      <c r="AG848" t="str">
        <f t="shared" si="81"/>
        <v/>
      </c>
      <c r="AH848" t="str">
        <f t="shared" si="82"/>
        <v/>
      </c>
      <c r="AI848" t="str">
        <f>IF($AG848="","",SUMIF($AG$2:$AG848,$AG848,$AH$2:$AH848))</f>
        <v/>
      </c>
      <c r="AJ848" t="str">
        <f>IF('TMP Paste'!$F848="","",IF('TMP Paste'!$B848="",$AJ847,'TMP Paste'!$B848))</f>
        <v/>
      </c>
      <c r="AK848" t="str">
        <f>IF('TMP Paste'!$F848="","",N('TMP Paste'!$G848))</f>
        <v/>
      </c>
      <c r="AL848" t="str">
        <f>IF('TMP Paste'!$F848="","",IF('TMP Paste'!$M848="",$AL847,'TMP Paste'!$M848))</f>
        <v/>
      </c>
      <c r="AM848" t="str">
        <f>IF('TMP Paste'!$F848="","",IF('TMP Paste'!$N848="",$AM847,'TMP Paste'!$N848))</f>
        <v/>
      </c>
      <c r="AN848" t="str">
        <f>IF('TMP Paste'!$F848="","",IF('TMP Paste'!$O848="",$AN847,'TMP Paste'!$O848))</f>
        <v/>
      </c>
      <c r="AO848" t="str">
        <f>IF('TMP Paste'!$F848="","",IF('TMP Paste'!$P848="",$AO847,'TMP Paste'!$P848))</f>
        <v/>
      </c>
      <c r="AP848" t="str">
        <f t="shared" si="83"/>
        <v/>
      </c>
      <c r="AQ848" t="str">
        <f>IF($AS848="","",TRIM(IF(COUNTIFS(Calc!$B$2:$B$1601,ROW()-1,Calc!$C$2:$C$1601,"&lt;1")&gt;0,"Ada PO tanpa Koli - cek TMP. ","")&amp;IF(OR($AU848="",$AU848&lt;=0),"Volume kosong/0 - dimensi dikosongkan. ","")&amp;IF(AND($AU848&lt;&gt;"",$AU848&gt;=1000000),"Volume &gt;= 1.000.000 cm3 (di luar aturan) - dimensi dikosongkan. ","")&amp;IF(LEN($R848)&gt;500,"R &gt; 500 karakter.","")))</f>
        <v/>
      </c>
      <c r="AS848" t="str">
        <f>IFERROR(MATCH(ROW()-1,Calc!$J$2:$J$1601,0),"")</f>
        <v/>
      </c>
      <c r="AT848" t="str">
        <f>IFERROR(MATCH(ROW()-1,Calc!$K$2:$K$1601,0),"")</f>
        <v/>
      </c>
      <c r="AU848" t="str">
        <f>IF($AS848="","",IFERROR(INDEX('TMP Paste'!$D$2:$D$1601,$AS848)*1000000/$AB848,""))</f>
        <v/>
      </c>
    </row>
    <row r="849" spans="1:47">
      <c r="A849" t="str">
        <f>IF($AS849="","",INDEX('TMP Paste'!$B$2:$B$1601,$AS849))</f>
        <v/>
      </c>
      <c r="B849" t="str">
        <f>IF($AS849="","",Config!$B$14)</f>
        <v/>
      </c>
      <c r="C849" t="str">
        <f>IF($AS849="","",Config!$B$15)</f>
        <v/>
      </c>
      <c r="D849" t="str">
        <f>IF($AS849="","",INDEX('TMP Paste'!$B$2:$B$1601,$AS849))</f>
        <v/>
      </c>
      <c r="E849" t="str">
        <f>IF($AS849="","",Config!$B$27)</f>
        <v/>
      </c>
      <c r="F849" t="str">
        <f>IF($AS849="","",Config!$B$9)</f>
        <v/>
      </c>
      <c r="G849" t="str">
        <f>IF($AS849="","",Config!$B$10)</f>
        <v/>
      </c>
      <c r="H849" t="str">
        <f>IF($AS849="","",Config!$B$11)</f>
        <v/>
      </c>
      <c r="I849" t="str">
        <f>IF($AS849="","",Config!$B$16)</f>
        <v/>
      </c>
      <c r="J849" t="str">
        <f>IF($AS849="","",INDEX('TMP Paste'!$A$2:$A$1601,$AS849))</f>
        <v/>
      </c>
      <c r="K849" t="str">
        <f>IF($AS849="","",INDEX('TMP Paste'!$L$2:$L$1601,$AS849))</f>
        <v/>
      </c>
      <c r="L849" t="str">
        <f>IF($AS849="","",INDEX('TMP Paste'!$I$2:$I$1601,$AS849))</f>
        <v/>
      </c>
      <c r="M849" t="str">
        <f>IF($AS849="","",Config!$B$16)</f>
        <v/>
      </c>
      <c r="N849" t="str">
        <f t="shared" si="78"/>
        <v/>
      </c>
      <c r="O849" t="str">
        <f>IF($AS849="","",INDEX('TMP Paste'!$K$2:$K$1601,$AS849))</f>
        <v/>
      </c>
      <c r="P849" t="str">
        <f t="shared" si="79"/>
        <v/>
      </c>
      <c r="Q849" t="str">
        <f>IF($AS849="","",INDEX('TMP Paste'!$J$2:$J$1601,$AS849))</f>
        <v/>
      </c>
      <c r="R849" t="str">
        <f>IF($AS849="","",Config!$B$24)</f>
        <v/>
      </c>
      <c r="S849" t="str">
        <f ca="1">IF($AS849="","",TEXT(Config!$B$4,"yyyy-mm-dd"))</f>
        <v/>
      </c>
      <c r="T849" t="str">
        <f>IF($AS849="","",Config!$B$17)</f>
        <v/>
      </c>
      <c r="U849" t="str">
        <f>IF($AS849="","",Config!$B$18)</f>
        <v/>
      </c>
      <c r="V849" t="str">
        <f>IF($AS849="","",Config!$B$19)</f>
        <v/>
      </c>
      <c r="W849" t="str">
        <f>IF($AS849="","",INDEX('TMP Paste'!$C$2:$C$1601,$AS849))</f>
        <v/>
      </c>
      <c r="X849" t="str">
        <f>IF($AS849="","",Config!$B$29)</f>
        <v/>
      </c>
      <c r="Y849" t="str">
        <f>IF($AT849="","",INDEX(Calc!$I$2:$I$1601,$AT849)&amp;" - "&amp;INDEX(Calc!$D$2:$D$1601,$AT849)&amp;" koli")</f>
        <v/>
      </c>
      <c r="Z849" t="str">
        <f>IF($AS849="","",Config!$B$21)</f>
        <v/>
      </c>
      <c r="AA849" t="str">
        <f>IF($AS849="","",Config!$B$22)</f>
        <v/>
      </c>
      <c r="AB849" t="str">
        <f>IF($AT849="","",INDEX(Calc!$D$2:$D$1601,$AT849))</f>
        <v/>
      </c>
      <c r="AC849" t="str">
        <f>IF($AT849="","",INDEX(Calc!$G$2:$G$1601,$AT849))</f>
        <v/>
      </c>
      <c r="AD849" t="str">
        <f>IF($AS849="","",Config!$B$23)</f>
        <v/>
      </c>
      <c r="AE849" t="str">
        <f>IF($AS849="","",Config!$B$28)</f>
        <v/>
      </c>
      <c r="AF849" t="str">
        <f t="shared" si="80"/>
        <v/>
      </c>
      <c r="AG849" t="str">
        <f t="shared" si="81"/>
        <v/>
      </c>
      <c r="AH849" t="str">
        <f t="shared" si="82"/>
        <v/>
      </c>
      <c r="AI849" t="str">
        <f>IF($AG849="","",SUMIF($AG$2:$AG849,$AG849,$AH$2:$AH849))</f>
        <v/>
      </c>
      <c r="AJ849" t="str">
        <f>IF('TMP Paste'!$F849="","",IF('TMP Paste'!$B849="",$AJ848,'TMP Paste'!$B849))</f>
        <v/>
      </c>
      <c r="AK849" t="str">
        <f>IF('TMP Paste'!$F849="","",N('TMP Paste'!$G849))</f>
        <v/>
      </c>
      <c r="AL849" t="str">
        <f>IF('TMP Paste'!$F849="","",IF('TMP Paste'!$M849="",$AL848,'TMP Paste'!$M849))</f>
        <v/>
      </c>
      <c r="AM849" t="str">
        <f>IF('TMP Paste'!$F849="","",IF('TMP Paste'!$N849="",$AM848,'TMP Paste'!$N849))</f>
        <v/>
      </c>
      <c r="AN849" t="str">
        <f>IF('TMP Paste'!$F849="","",IF('TMP Paste'!$O849="",$AN848,'TMP Paste'!$O849))</f>
        <v/>
      </c>
      <c r="AO849" t="str">
        <f>IF('TMP Paste'!$F849="","",IF('TMP Paste'!$P849="",$AO848,'TMP Paste'!$P849))</f>
        <v/>
      </c>
      <c r="AP849" t="str">
        <f t="shared" si="83"/>
        <v/>
      </c>
      <c r="AQ849" t="str">
        <f>IF($AS849="","",TRIM(IF(COUNTIFS(Calc!$B$2:$B$1601,ROW()-1,Calc!$C$2:$C$1601,"&lt;1")&gt;0,"Ada PO tanpa Koli - cek TMP. ","")&amp;IF(OR($AU849="",$AU849&lt;=0),"Volume kosong/0 - dimensi dikosongkan. ","")&amp;IF(AND($AU849&lt;&gt;"",$AU849&gt;=1000000),"Volume &gt;= 1.000.000 cm3 (di luar aturan) - dimensi dikosongkan. ","")&amp;IF(LEN($R849)&gt;500,"R &gt; 500 karakter.","")))</f>
        <v/>
      </c>
      <c r="AS849" t="str">
        <f>IFERROR(MATCH(ROW()-1,Calc!$J$2:$J$1601,0),"")</f>
        <v/>
      </c>
      <c r="AT849" t="str">
        <f>IFERROR(MATCH(ROW()-1,Calc!$K$2:$K$1601,0),"")</f>
        <v/>
      </c>
      <c r="AU849" t="str">
        <f>IF($AS849="","",IFERROR(INDEX('TMP Paste'!$D$2:$D$1601,$AS849)*1000000/$AB849,""))</f>
        <v/>
      </c>
    </row>
    <row r="850" spans="1:47">
      <c r="A850" t="str">
        <f>IF($AS850="","",INDEX('TMP Paste'!$B$2:$B$1601,$AS850))</f>
        <v/>
      </c>
      <c r="B850" t="str">
        <f>IF($AS850="","",Config!$B$14)</f>
        <v/>
      </c>
      <c r="C850" t="str">
        <f>IF($AS850="","",Config!$B$15)</f>
        <v/>
      </c>
      <c r="D850" t="str">
        <f>IF($AS850="","",INDEX('TMP Paste'!$B$2:$B$1601,$AS850))</f>
        <v/>
      </c>
      <c r="E850" t="str">
        <f>IF($AS850="","",Config!$B$27)</f>
        <v/>
      </c>
      <c r="F850" t="str">
        <f>IF($AS850="","",Config!$B$9)</f>
        <v/>
      </c>
      <c r="G850" t="str">
        <f>IF($AS850="","",Config!$B$10)</f>
        <v/>
      </c>
      <c r="H850" t="str">
        <f>IF($AS850="","",Config!$B$11)</f>
        <v/>
      </c>
      <c r="I850" t="str">
        <f>IF($AS850="","",Config!$B$16)</f>
        <v/>
      </c>
      <c r="J850" t="str">
        <f>IF($AS850="","",INDEX('TMP Paste'!$A$2:$A$1601,$AS850))</f>
        <v/>
      </c>
      <c r="K850" t="str">
        <f>IF($AS850="","",INDEX('TMP Paste'!$L$2:$L$1601,$AS850))</f>
        <v/>
      </c>
      <c r="L850" t="str">
        <f>IF($AS850="","",INDEX('TMP Paste'!$I$2:$I$1601,$AS850))</f>
        <v/>
      </c>
      <c r="M850" t="str">
        <f>IF($AS850="","",Config!$B$16)</f>
        <v/>
      </c>
      <c r="N850" t="str">
        <f t="shared" si="78"/>
        <v/>
      </c>
      <c r="O850" t="str">
        <f>IF($AS850="","",INDEX('TMP Paste'!$K$2:$K$1601,$AS850))</f>
        <v/>
      </c>
      <c r="P850" t="str">
        <f t="shared" si="79"/>
        <v/>
      </c>
      <c r="Q850" t="str">
        <f>IF($AS850="","",INDEX('TMP Paste'!$J$2:$J$1601,$AS850))</f>
        <v/>
      </c>
      <c r="R850" t="str">
        <f>IF($AS850="","",Config!$B$24)</f>
        <v/>
      </c>
      <c r="S850" t="str">
        <f ca="1">IF($AS850="","",TEXT(Config!$B$4,"yyyy-mm-dd"))</f>
        <v/>
      </c>
      <c r="T850" t="str">
        <f>IF($AS850="","",Config!$B$17)</f>
        <v/>
      </c>
      <c r="U850" t="str">
        <f>IF($AS850="","",Config!$B$18)</f>
        <v/>
      </c>
      <c r="V850" t="str">
        <f>IF($AS850="","",Config!$B$19)</f>
        <v/>
      </c>
      <c r="W850" t="str">
        <f>IF($AS850="","",INDEX('TMP Paste'!$C$2:$C$1601,$AS850))</f>
        <v/>
      </c>
      <c r="X850" t="str">
        <f>IF($AS850="","",Config!$B$29)</f>
        <v/>
      </c>
      <c r="Y850" t="str">
        <f>IF($AT850="","",INDEX(Calc!$I$2:$I$1601,$AT850)&amp;" - "&amp;INDEX(Calc!$D$2:$D$1601,$AT850)&amp;" koli")</f>
        <v/>
      </c>
      <c r="Z850" t="str">
        <f>IF($AS850="","",Config!$B$21)</f>
        <v/>
      </c>
      <c r="AA850" t="str">
        <f>IF($AS850="","",Config!$B$22)</f>
        <v/>
      </c>
      <c r="AB850" t="str">
        <f>IF($AT850="","",INDEX(Calc!$D$2:$D$1601,$AT850))</f>
        <v/>
      </c>
      <c r="AC850" t="str">
        <f>IF($AT850="","",INDEX(Calc!$G$2:$G$1601,$AT850))</f>
        <v/>
      </c>
      <c r="AD850" t="str">
        <f>IF($AS850="","",Config!$B$23)</f>
        <v/>
      </c>
      <c r="AE850" t="str">
        <f>IF($AS850="","",Config!$B$28)</f>
        <v/>
      </c>
      <c r="AF850" t="str">
        <f t="shared" si="80"/>
        <v/>
      </c>
      <c r="AG850" t="str">
        <f t="shared" si="81"/>
        <v/>
      </c>
      <c r="AH850" t="str">
        <f t="shared" si="82"/>
        <v/>
      </c>
      <c r="AI850" t="str">
        <f>IF($AG850="","",SUMIF($AG$2:$AG850,$AG850,$AH$2:$AH850))</f>
        <v/>
      </c>
      <c r="AJ850" t="str">
        <f>IF('TMP Paste'!$F850="","",IF('TMP Paste'!$B850="",$AJ849,'TMP Paste'!$B850))</f>
        <v/>
      </c>
      <c r="AK850" t="str">
        <f>IF('TMP Paste'!$F850="","",N('TMP Paste'!$G850))</f>
        <v/>
      </c>
      <c r="AL850" t="str">
        <f>IF('TMP Paste'!$F850="","",IF('TMP Paste'!$M850="",$AL849,'TMP Paste'!$M850))</f>
        <v/>
      </c>
      <c r="AM850" t="str">
        <f>IF('TMP Paste'!$F850="","",IF('TMP Paste'!$N850="",$AM849,'TMP Paste'!$N850))</f>
        <v/>
      </c>
      <c r="AN850" t="str">
        <f>IF('TMP Paste'!$F850="","",IF('TMP Paste'!$O850="",$AN849,'TMP Paste'!$O850))</f>
        <v/>
      </c>
      <c r="AO850" t="str">
        <f>IF('TMP Paste'!$F850="","",IF('TMP Paste'!$P850="",$AO849,'TMP Paste'!$P850))</f>
        <v/>
      </c>
      <c r="AP850" t="str">
        <f t="shared" si="83"/>
        <v/>
      </c>
      <c r="AQ850" t="str">
        <f>IF($AS850="","",TRIM(IF(COUNTIFS(Calc!$B$2:$B$1601,ROW()-1,Calc!$C$2:$C$1601,"&lt;1")&gt;0,"Ada PO tanpa Koli - cek TMP. ","")&amp;IF(OR($AU850="",$AU850&lt;=0),"Volume kosong/0 - dimensi dikosongkan. ","")&amp;IF(AND($AU850&lt;&gt;"",$AU850&gt;=1000000),"Volume &gt;= 1.000.000 cm3 (di luar aturan) - dimensi dikosongkan. ","")&amp;IF(LEN($R850)&gt;500,"R &gt; 500 karakter.","")))</f>
        <v/>
      </c>
      <c r="AS850" t="str">
        <f>IFERROR(MATCH(ROW()-1,Calc!$J$2:$J$1601,0),"")</f>
        <v/>
      </c>
      <c r="AT850" t="str">
        <f>IFERROR(MATCH(ROW()-1,Calc!$K$2:$K$1601,0),"")</f>
        <v/>
      </c>
      <c r="AU850" t="str">
        <f>IF($AS850="","",IFERROR(INDEX('TMP Paste'!$D$2:$D$1601,$AS850)*1000000/$AB850,""))</f>
        <v/>
      </c>
    </row>
    <row r="851" spans="1:47">
      <c r="A851" t="str">
        <f>IF($AS851="","",INDEX('TMP Paste'!$B$2:$B$1601,$AS851))</f>
        <v/>
      </c>
      <c r="B851" t="str">
        <f>IF($AS851="","",Config!$B$14)</f>
        <v/>
      </c>
      <c r="C851" t="str">
        <f>IF($AS851="","",Config!$B$15)</f>
        <v/>
      </c>
      <c r="D851" t="str">
        <f>IF($AS851="","",INDEX('TMP Paste'!$B$2:$B$1601,$AS851))</f>
        <v/>
      </c>
      <c r="E851" t="str">
        <f>IF($AS851="","",Config!$B$27)</f>
        <v/>
      </c>
      <c r="F851" t="str">
        <f>IF($AS851="","",Config!$B$9)</f>
        <v/>
      </c>
      <c r="G851" t="str">
        <f>IF($AS851="","",Config!$B$10)</f>
        <v/>
      </c>
      <c r="H851" t="str">
        <f>IF($AS851="","",Config!$B$11)</f>
        <v/>
      </c>
      <c r="I851" t="str">
        <f>IF($AS851="","",Config!$B$16)</f>
        <v/>
      </c>
      <c r="J851" t="str">
        <f>IF($AS851="","",INDEX('TMP Paste'!$A$2:$A$1601,$AS851))</f>
        <v/>
      </c>
      <c r="K851" t="str">
        <f>IF($AS851="","",INDEX('TMP Paste'!$L$2:$L$1601,$AS851))</f>
        <v/>
      </c>
      <c r="L851" t="str">
        <f>IF($AS851="","",INDEX('TMP Paste'!$I$2:$I$1601,$AS851))</f>
        <v/>
      </c>
      <c r="M851" t="str">
        <f>IF($AS851="","",Config!$B$16)</f>
        <v/>
      </c>
      <c r="N851" t="str">
        <f t="shared" si="78"/>
        <v/>
      </c>
      <c r="O851" t="str">
        <f>IF($AS851="","",INDEX('TMP Paste'!$K$2:$K$1601,$AS851))</f>
        <v/>
      </c>
      <c r="P851" t="str">
        <f t="shared" si="79"/>
        <v/>
      </c>
      <c r="Q851" t="str">
        <f>IF($AS851="","",INDEX('TMP Paste'!$J$2:$J$1601,$AS851))</f>
        <v/>
      </c>
      <c r="R851" t="str">
        <f>IF($AS851="","",Config!$B$24)</f>
        <v/>
      </c>
      <c r="S851" t="str">
        <f ca="1">IF($AS851="","",TEXT(Config!$B$4,"yyyy-mm-dd"))</f>
        <v/>
      </c>
      <c r="T851" t="str">
        <f>IF($AS851="","",Config!$B$17)</f>
        <v/>
      </c>
      <c r="U851" t="str">
        <f>IF($AS851="","",Config!$B$18)</f>
        <v/>
      </c>
      <c r="V851" t="str">
        <f>IF($AS851="","",Config!$B$19)</f>
        <v/>
      </c>
      <c r="W851" t="str">
        <f>IF($AS851="","",INDEX('TMP Paste'!$C$2:$C$1601,$AS851))</f>
        <v/>
      </c>
      <c r="X851" t="str">
        <f>IF($AS851="","",Config!$B$29)</f>
        <v/>
      </c>
      <c r="Y851" t="str">
        <f>IF($AT851="","",INDEX(Calc!$I$2:$I$1601,$AT851)&amp;" - "&amp;INDEX(Calc!$D$2:$D$1601,$AT851)&amp;" koli")</f>
        <v/>
      </c>
      <c r="Z851" t="str">
        <f>IF($AS851="","",Config!$B$21)</f>
        <v/>
      </c>
      <c r="AA851" t="str">
        <f>IF($AS851="","",Config!$B$22)</f>
        <v/>
      </c>
      <c r="AB851" t="str">
        <f>IF($AT851="","",INDEX(Calc!$D$2:$D$1601,$AT851))</f>
        <v/>
      </c>
      <c r="AC851" t="str">
        <f>IF($AT851="","",INDEX(Calc!$G$2:$G$1601,$AT851))</f>
        <v/>
      </c>
      <c r="AD851" t="str">
        <f>IF($AS851="","",Config!$B$23)</f>
        <v/>
      </c>
      <c r="AE851" t="str">
        <f>IF($AS851="","",Config!$B$28)</f>
        <v/>
      </c>
      <c r="AF851" t="str">
        <f t="shared" si="80"/>
        <v/>
      </c>
      <c r="AG851" t="str">
        <f t="shared" si="81"/>
        <v/>
      </c>
      <c r="AH851" t="str">
        <f t="shared" si="82"/>
        <v/>
      </c>
      <c r="AI851" t="str">
        <f>IF($AG851="","",SUMIF($AG$2:$AG851,$AG851,$AH$2:$AH851))</f>
        <v/>
      </c>
      <c r="AJ851" t="str">
        <f>IF('TMP Paste'!$F851="","",IF('TMP Paste'!$B851="",$AJ850,'TMP Paste'!$B851))</f>
        <v/>
      </c>
      <c r="AK851" t="str">
        <f>IF('TMP Paste'!$F851="","",N('TMP Paste'!$G851))</f>
        <v/>
      </c>
      <c r="AL851" t="str">
        <f>IF('TMP Paste'!$F851="","",IF('TMP Paste'!$M851="",$AL850,'TMP Paste'!$M851))</f>
        <v/>
      </c>
      <c r="AM851" t="str">
        <f>IF('TMP Paste'!$F851="","",IF('TMP Paste'!$N851="",$AM850,'TMP Paste'!$N851))</f>
        <v/>
      </c>
      <c r="AN851" t="str">
        <f>IF('TMP Paste'!$F851="","",IF('TMP Paste'!$O851="",$AN850,'TMP Paste'!$O851))</f>
        <v/>
      </c>
      <c r="AO851" t="str">
        <f>IF('TMP Paste'!$F851="","",IF('TMP Paste'!$P851="",$AO850,'TMP Paste'!$P851))</f>
        <v/>
      </c>
      <c r="AP851" t="str">
        <f t="shared" si="83"/>
        <v/>
      </c>
      <c r="AQ851" t="str">
        <f>IF($AS851="","",TRIM(IF(COUNTIFS(Calc!$B$2:$B$1601,ROW()-1,Calc!$C$2:$C$1601,"&lt;1")&gt;0,"Ada PO tanpa Koli - cek TMP. ","")&amp;IF(OR($AU851="",$AU851&lt;=0),"Volume kosong/0 - dimensi dikosongkan. ","")&amp;IF(AND($AU851&lt;&gt;"",$AU851&gt;=1000000),"Volume &gt;= 1.000.000 cm3 (di luar aturan) - dimensi dikosongkan. ","")&amp;IF(LEN($R851)&gt;500,"R &gt; 500 karakter.","")))</f>
        <v/>
      </c>
      <c r="AS851" t="str">
        <f>IFERROR(MATCH(ROW()-1,Calc!$J$2:$J$1601,0),"")</f>
        <v/>
      </c>
      <c r="AT851" t="str">
        <f>IFERROR(MATCH(ROW()-1,Calc!$K$2:$K$1601,0),"")</f>
        <v/>
      </c>
      <c r="AU851" t="str">
        <f>IF($AS851="","",IFERROR(INDEX('TMP Paste'!$D$2:$D$1601,$AS851)*1000000/$AB851,""))</f>
        <v/>
      </c>
    </row>
    <row r="852" spans="1:47">
      <c r="A852" t="str">
        <f>IF($AS852="","",INDEX('TMP Paste'!$B$2:$B$1601,$AS852))</f>
        <v/>
      </c>
      <c r="B852" t="str">
        <f>IF($AS852="","",Config!$B$14)</f>
        <v/>
      </c>
      <c r="C852" t="str">
        <f>IF($AS852="","",Config!$B$15)</f>
        <v/>
      </c>
      <c r="D852" t="str">
        <f>IF($AS852="","",INDEX('TMP Paste'!$B$2:$B$1601,$AS852))</f>
        <v/>
      </c>
      <c r="E852" t="str">
        <f>IF($AS852="","",Config!$B$27)</f>
        <v/>
      </c>
      <c r="F852" t="str">
        <f>IF($AS852="","",Config!$B$9)</f>
        <v/>
      </c>
      <c r="G852" t="str">
        <f>IF($AS852="","",Config!$B$10)</f>
        <v/>
      </c>
      <c r="H852" t="str">
        <f>IF($AS852="","",Config!$B$11)</f>
        <v/>
      </c>
      <c r="I852" t="str">
        <f>IF($AS852="","",Config!$B$16)</f>
        <v/>
      </c>
      <c r="J852" t="str">
        <f>IF($AS852="","",INDEX('TMP Paste'!$A$2:$A$1601,$AS852))</f>
        <v/>
      </c>
      <c r="K852" t="str">
        <f>IF($AS852="","",INDEX('TMP Paste'!$L$2:$L$1601,$AS852))</f>
        <v/>
      </c>
      <c r="L852" t="str">
        <f>IF($AS852="","",INDEX('TMP Paste'!$I$2:$I$1601,$AS852))</f>
        <v/>
      </c>
      <c r="M852" t="str">
        <f>IF($AS852="","",Config!$B$16)</f>
        <v/>
      </c>
      <c r="N852" t="str">
        <f t="shared" si="78"/>
        <v/>
      </c>
      <c r="O852" t="str">
        <f>IF($AS852="","",INDEX('TMP Paste'!$K$2:$K$1601,$AS852))</f>
        <v/>
      </c>
      <c r="P852" t="str">
        <f t="shared" si="79"/>
        <v/>
      </c>
      <c r="Q852" t="str">
        <f>IF($AS852="","",INDEX('TMP Paste'!$J$2:$J$1601,$AS852))</f>
        <v/>
      </c>
      <c r="R852" t="str">
        <f>IF($AS852="","",Config!$B$24)</f>
        <v/>
      </c>
      <c r="S852" t="str">
        <f ca="1">IF($AS852="","",TEXT(Config!$B$4,"yyyy-mm-dd"))</f>
        <v/>
      </c>
      <c r="T852" t="str">
        <f>IF($AS852="","",Config!$B$17)</f>
        <v/>
      </c>
      <c r="U852" t="str">
        <f>IF($AS852="","",Config!$B$18)</f>
        <v/>
      </c>
      <c r="V852" t="str">
        <f>IF($AS852="","",Config!$B$19)</f>
        <v/>
      </c>
      <c r="W852" t="str">
        <f>IF($AS852="","",INDEX('TMP Paste'!$C$2:$C$1601,$AS852))</f>
        <v/>
      </c>
      <c r="X852" t="str">
        <f>IF($AS852="","",Config!$B$29)</f>
        <v/>
      </c>
      <c r="Y852" t="str">
        <f>IF($AT852="","",INDEX(Calc!$I$2:$I$1601,$AT852)&amp;" - "&amp;INDEX(Calc!$D$2:$D$1601,$AT852)&amp;" koli")</f>
        <v/>
      </c>
      <c r="Z852" t="str">
        <f>IF($AS852="","",Config!$B$21)</f>
        <v/>
      </c>
      <c r="AA852" t="str">
        <f>IF($AS852="","",Config!$B$22)</f>
        <v/>
      </c>
      <c r="AB852" t="str">
        <f>IF($AT852="","",INDEX(Calc!$D$2:$D$1601,$AT852))</f>
        <v/>
      </c>
      <c r="AC852" t="str">
        <f>IF($AT852="","",INDEX(Calc!$G$2:$G$1601,$AT852))</f>
        <v/>
      </c>
      <c r="AD852" t="str">
        <f>IF($AS852="","",Config!$B$23)</f>
        <v/>
      </c>
      <c r="AE852" t="str">
        <f>IF($AS852="","",Config!$B$28)</f>
        <v/>
      </c>
      <c r="AF852" t="str">
        <f t="shared" si="80"/>
        <v/>
      </c>
      <c r="AG852" t="str">
        <f t="shared" si="81"/>
        <v/>
      </c>
      <c r="AH852" t="str">
        <f t="shared" si="82"/>
        <v/>
      </c>
      <c r="AI852" t="str">
        <f>IF($AG852="","",SUMIF($AG$2:$AG852,$AG852,$AH$2:$AH852))</f>
        <v/>
      </c>
      <c r="AJ852" t="str">
        <f>IF('TMP Paste'!$F852="","",IF('TMP Paste'!$B852="",$AJ851,'TMP Paste'!$B852))</f>
        <v/>
      </c>
      <c r="AK852" t="str">
        <f>IF('TMP Paste'!$F852="","",N('TMP Paste'!$G852))</f>
        <v/>
      </c>
      <c r="AL852" t="str">
        <f>IF('TMP Paste'!$F852="","",IF('TMP Paste'!$M852="",$AL851,'TMP Paste'!$M852))</f>
        <v/>
      </c>
      <c r="AM852" t="str">
        <f>IF('TMP Paste'!$F852="","",IF('TMP Paste'!$N852="",$AM851,'TMP Paste'!$N852))</f>
        <v/>
      </c>
      <c r="AN852" t="str">
        <f>IF('TMP Paste'!$F852="","",IF('TMP Paste'!$O852="",$AN851,'TMP Paste'!$O852))</f>
        <v/>
      </c>
      <c r="AO852" t="str">
        <f>IF('TMP Paste'!$F852="","",IF('TMP Paste'!$P852="",$AO851,'TMP Paste'!$P852))</f>
        <v/>
      </c>
      <c r="AP852" t="str">
        <f t="shared" si="83"/>
        <v/>
      </c>
      <c r="AQ852" t="str">
        <f>IF($AS852="","",TRIM(IF(COUNTIFS(Calc!$B$2:$B$1601,ROW()-1,Calc!$C$2:$C$1601,"&lt;1")&gt;0,"Ada PO tanpa Koli - cek TMP. ","")&amp;IF(OR($AU852="",$AU852&lt;=0),"Volume kosong/0 - dimensi dikosongkan. ","")&amp;IF(AND($AU852&lt;&gt;"",$AU852&gt;=1000000),"Volume &gt;= 1.000.000 cm3 (di luar aturan) - dimensi dikosongkan. ","")&amp;IF(LEN($R852)&gt;500,"R &gt; 500 karakter.","")))</f>
        <v/>
      </c>
      <c r="AS852" t="str">
        <f>IFERROR(MATCH(ROW()-1,Calc!$J$2:$J$1601,0),"")</f>
        <v/>
      </c>
      <c r="AT852" t="str">
        <f>IFERROR(MATCH(ROW()-1,Calc!$K$2:$K$1601,0),"")</f>
        <v/>
      </c>
      <c r="AU852" t="str">
        <f>IF($AS852="","",IFERROR(INDEX('TMP Paste'!$D$2:$D$1601,$AS852)*1000000/$AB852,""))</f>
        <v/>
      </c>
    </row>
    <row r="853" spans="1:47">
      <c r="A853" t="str">
        <f>IF($AS853="","",INDEX('TMP Paste'!$B$2:$B$1601,$AS853))</f>
        <v/>
      </c>
      <c r="B853" t="str">
        <f>IF($AS853="","",Config!$B$14)</f>
        <v/>
      </c>
      <c r="C853" t="str">
        <f>IF($AS853="","",Config!$B$15)</f>
        <v/>
      </c>
      <c r="D853" t="str">
        <f>IF($AS853="","",INDEX('TMP Paste'!$B$2:$B$1601,$AS853))</f>
        <v/>
      </c>
      <c r="E853" t="str">
        <f>IF($AS853="","",Config!$B$27)</f>
        <v/>
      </c>
      <c r="F853" t="str">
        <f>IF($AS853="","",Config!$B$9)</f>
        <v/>
      </c>
      <c r="G853" t="str">
        <f>IF($AS853="","",Config!$B$10)</f>
        <v/>
      </c>
      <c r="H853" t="str">
        <f>IF($AS853="","",Config!$B$11)</f>
        <v/>
      </c>
      <c r="I853" t="str">
        <f>IF($AS853="","",Config!$B$16)</f>
        <v/>
      </c>
      <c r="J853" t="str">
        <f>IF($AS853="","",INDEX('TMP Paste'!$A$2:$A$1601,$AS853))</f>
        <v/>
      </c>
      <c r="K853" t="str">
        <f>IF($AS853="","",INDEX('TMP Paste'!$L$2:$L$1601,$AS853))</f>
        <v/>
      </c>
      <c r="L853" t="str">
        <f>IF($AS853="","",INDEX('TMP Paste'!$I$2:$I$1601,$AS853))</f>
        <v/>
      </c>
      <c r="M853" t="str">
        <f>IF($AS853="","",Config!$B$16)</f>
        <v/>
      </c>
      <c r="N853" t="str">
        <f t="shared" si="78"/>
        <v/>
      </c>
      <c r="O853" t="str">
        <f>IF($AS853="","",INDEX('TMP Paste'!$K$2:$K$1601,$AS853))</f>
        <v/>
      </c>
      <c r="P853" t="str">
        <f t="shared" si="79"/>
        <v/>
      </c>
      <c r="Q853" t="str">
        <f>IF($AS853="","",INDEX('TMP Paste'!$J$2:$J$1601,$AS853))</f>
        <v/>
      </c>
      <c r="R853" t="str">
        <f>IF($AS853="","",Config!$B$24)</f>
        <v/>
      </c>
      <c r="S853" t="str">
        <f ca="1">IF($AS853="","",TEXT(Config!$B$4,"yyyy-mm-dd"))</f>
        <v/>
      </c>
      <c r="T853" t="str">
        <f>IF($AS853="","",Config!$B$17)</f>
        <v/>
      </c>
      <c r="U853" t="str">
        <f>IF($AS853="","",Config!$B$18)</f>
        <v/>
      </c>
      <c r="V853" t="str">
        <f>IF($AS853="","",Config!$B$19)</f>
        <v/>
      </c>
      <c r="W853" t="str">
        <f>IF($AS853="","",INDEX('TMP Paste'!$C$2:$C$1601,$AS853))</f>
        <v/>
      </c>
      <c r="X853" t="str">
        <f>IF($AS853="","",Config!$B$29)</f>
        <v/>
      </c>
      <c r="Y853" t="str">
        <f>IF($AT853="","",INDEX(Calc!$I$2:$I$1601,$AT853)&amp;" - "&amp;INDEX(Calc!$D$2:$D$1601,$AT853)&amp;" koli")</f>
        <v/>
      </c>
      <c r="Z853" t="str">
        <f>IF($AS853="","",Config!$B$21)</f>
        <v/>
      </c>
      <c r="AA853" t="str">
        <f>IF($AS853="","",Config!$B$22)</f>
        <v/>
      </c>
      <c r="AB853" t="str">
        <f>IF($AT853="","",INDEX(Calc!$D$2:$D$1601,$AT853))</f>
        <v/>
      </c>
      <c r="AC853" t="str">
        <f>IF($AT853="","",INDEX(Calc!$G$2:$G$1601,$AT853))</f>
        <v/>
      </c>
      <c r="AD853" t="str">
        <f>IF($AS853="","",Config!$B$23)</f>
        <v/>
      </c>
      <c r="AE853" t="str">
        <f>IF($AS853="","",Config!$B$28)</f>
        <v/>
      </c>
      <c r="AF853" t="str">
        <f t="shared" si="80"/>
        <v/>
      </c>
      <c r="AG853" t="str">
        <f t="shared" si="81"/>
        <v/>
      </c>
      <c r="AH853" t="str">
        <f t="shared" si="82"/>
        <v/>
      </c>
      <c r="AI853" t="str">
        <f>IF($AG853="","",SUMIF($AG$2:$AG853,$AG853,$AH$2:$AH853))</f>
        <v/>
      </c>
      <c r="AJ853" t="str">
        <f>IF('TMP Paste'!$F853="","",IF('TMP Paste'!$B853="",$AJ852,'TMP Paste'!$B853))</f>
        <v/>
      </c>
      <c r="AK853" t="str">
        <f>IF('TMP Paste'!$F853="","",N('TMP Paste'!$G853))</f>
        <v/>
      </c>
      <c r="AL853" t="str">
        <f>IF('TMP Paste'!$F853="","",IF('TMP Paste'!$M853="",$AL852,'TMP Paste'!$M853))</f>
        <v/>
      </c>
      <c r="AM853" t="str">
        <f>IF('TMP Paste'!$F853="","",IF('TMP Paste'!$N853="",$AM852,'TMP Paste'!$N853))</f>
        <v/>
      </c>
      <c r="AN853" t="str">
        <f>IF('TMP Paste'!$F853="","",IF('TMP Paste'!$O853="",$AN852,'TMP Paste'!$O853))</f>
        <v/>
      </c>
      <c r="AO853" t="str">
        <f>IF('TMP Paste'!$F853="","",IF('TMP Paste'!$P853="",$AO852,'TMP Paste'!$P853))</f>
        <v/>
      </c>
      <c r="AP853" t="str">
        <f t="shared" si="83"/>
        <v/>
      </c>
      <c r="AQ853" t="str">
        <f>IF($AS853="","",TRIM(IF(COUNTIFS(Calc!$B$2:$B$1601,ROW()-1,Calc!$C$2:$C$1601,"&lt;1")&gt;0,"Ada PO tanpa Koli - cek TMP. ","")&amp;IF(OR($AU853="",$AU853&lt;=0),"Volume kosong/0 - dimensi dikosongkan. ","")&amp;IF(AND($AU853&lt;&gt;"",$AU853&gt;=1000000),"Volume &gt;= 1.000.000 cm3 (di luar aturan) - dimensi dikosongkan. ","")&amp;IF(LEN($R853)&gt;500,"R &gt; 500 karakter.","")))</f>
        <v/>
      </c>
      <c r="AS853" t="str">
        <f>IFERROR(MATCH(ROW()-1,Calc!$J$2:$J$1601,0),"")</f>
        <v/>
      </c>
      <c r="AT853" t="str">
        <f>IFERROR(MATCH(ROW()-1,Calc!$K$2:$K$1601,0),"")</f>
        <v/>
      </c>
      <c r="AU853" t="str">
        <f>IF($AS853="","",IFERROR(INDEX('TMP Paste'!$D$2:$D$1601,$AS853)*1000000/$AB853,""))</f>
        <v/>
      </c>
    </row>
    <row r="854" spans="1:47">
      <c r="A854" t="str">
        <f>IF($AS854="","",INDEX('TMP Paste'!$B$2:$B$1601,$AS854))</f>
        <v/>
      </c>
      <c r="B854" t="str">
        <f>IF($AS854="","",Config!$B$14)</f>
        <v/>
      </c>
      <c r="C854" t="str">
        <f>IF($AS854="","",Config!$B$15)</f>
        <v/>
      </c>
      <c r="D854" t="str">
        <f>IF($AS854="","",INDEX('TMP Paste'!$B$2:$B$1601,$AS854))</f>
        <v/>
      </c>
      <c r="E854" t="str">
        <f>IF($AS854="","",Config!$B$27)</f>
        <v/>
      </c>
      <c r="F854" t="str">
        <f>IF($AS854="","",Config!$B$9)</f>
        <v/>
      </c>
      <c r="G854" t="str">
        <f>IF($AS854="","",Config!$B$10)</f>
        <v/>
      </c>
      <c r="H854" t="str">
        <f>IF($AS854="","",Config!$B$11)</f>
        <v/>
      </c>
      <c r="I854" t="str">
        <f>IF($AS854="","",Config!$B$16)</f>
        <v/>
      </c>
      <c r="J854" t="str">
        <f>IF($AS854="","",INDEX('TMP Paste'!$A$2:$A$1601,$AS854))</f>
        <v/>
      </c>
      <c r="K854" t="str">
        <f>IF($AS854="","",INDEX('TMP Paste'!$L$2:$L$1601,$AS854))</f>
        <v/>
      </c>
      <c r="L854" t="str">
        <f>IF($AS854="","",INDEX('TMP Paste'!$I$2:$I$1601,$AS854))</f>
        <v/>
      </c>
      <c r="M854" t="str">
        <f>IF($AS854="","",Config!$B$16)</f>
        <v/>
      </c>
      <c r="N854" t="str">
        <f t="shared" si="78"/>
        <v/>
      </c>
      <c r="O854" t="str">
        <f>IF($AS854="","",INDEX('TMP Paste'!$K$2:$K$1601,$AS854))</f>
        <v/>
      </c>
      <c r="P854" t="str">
        <f t="shared" si="79"/>
        <v/>
      </c>
      <c r="Q854" t="str">
        <f>IF($AS854="","",INDEX('TMP Paste'!$J$2:$J$1601,$AS854))</f>
        <v/>
      </c>
      <c r="R854" t="str">
        <f>IF($AS854="","",Config!$B$24)</f>
        <v/>
      </c>
      <c r="S854" t="str">
        <f ca="1">IF($AS854="","",TEXT(Config!$B$4,"yyyy-mm-dd"))</f>
        <v/>
      </c>
      <c r="T854" t="str">
        <f>IF($AS854="","",Config!$B$17)</f>
        <v/>
      </c>
      <c r="U854" t="str">
        <f>IF($AS854="","",Config!$B$18)</f>
        <v/>
      </c>
      <c r="V854" t="str">
        <f>IF($AS854="","",Config!$B$19)</f>
        <v/>
      </c>
      <c r="W854" t="str">
        <f>IF($AS854="","",INDEX('TMP Paste'!$C$2:$C$1601,$AS854))</f>
        <v/>
      </c>
      <c r="X854" t="str">
        <f>IF($AS854="","",Config!$B$29)</f>
        <v/>
      </c>
      <c r="Y854" t="str">
        <f>IF($AT854="","",INDEX(Calc!$I$2:$I$1601,$AT854)&amp;" - "&amp;INDEX(Calc!$D$2:$D$1601,$AT854)&amp;" koli")</f>
        <v/>
      </c>
      <c r="Z854" t="str">
        <f>IF($AS854="","",Config!$B$21)</f>
        <v/>
      </c>
      <c r="AA854" t="str">
        <f>IF($AS854="","",Config!$B$22)</f>
        <v/>
      </c>
      <c r="AB854" t="str">
        <f>IF($AT854="","",INDEX(Calc!$D$2:$D$1601,$AT854))</f>
        <v/>
      </c>
      <c r="AC854" t="str">
        <f>IF($AT854="","",INDEX(Calc!$G$2:$G$1601,$AT854))</f>
        <v/>
      </c>
      <c r="AD854" t="str">
        <f>IF($AS854="","",Config!$B$23)</f>
        <v/>
      </c>
      <c r="AE854" t="str">
        <f>IF($AS854="","",Config!$B$28)</f>
        <v/>
      </c>
      <c r="AF854" t="str">
        <f t="shared" si="80"/>
        <v/>
      </c>
      <c r="AG854" t="str">
        <f t="shared" si="81"/>
        <v/>
      </c>
      <c r="AH854" t="str">
        <f t="shared" si="82"/>
        <v/>
      </c>
      <c r="AI854" t="str">
        <f>IF($AG854="","",SUMIF($AG$2:$AG854,$AG854,$AH$2:$AH854))</f>
        <v/>
      </c>
      <c r="AJ854" t="str">
        <f>IF('TMP Paste'!$F854="","",IF('TMP Paste'!$B854="",$AJ853,'TMP Paste'!$B854))</f>
        <v/>
      </c>
      <c r="AK854" t="str">
        <f>IF('TMP Paste'!$F854="","",N('TMP Paste'!$G854))</f>
        <v/>
      </c>
      <c r="AL854" t="str">
        <f>IF('TMP Paste'!$F854="","",IF('TMP Paste'!$M854="",$AL853,'TMP Paste'!$M854))</f>
        <v/>
      </c>
      <c r="AM854" t="str">
        <f>IF('TMP Paste'!$F854="","",IF('TMP Paste'!$N854="",$AM853,'TMP Paste'!$N854))</f>
        <v/>
      </c>
      <c r="AN854" t="str">
        <f>IF('TMP Paste'!$F854="","",IF('TMP Paste'!$O854="",$AN853,'TMP Paste'!$O854))</f>
        <v/>
      </c>
      <c r="AO854" t="str">
        <f>IF('TMP Paste'!$F854="","",IF('TMP Paste'!$P854="",$AO853,'TMP Paste'!$P854))</f>
        <v/>
      </c>
      <c r="AP854" t="str">
        <f t="shared" si="83"/>
        <v/>
      </c>
      <c r="AQ854" t="str">
        <f>IF($AS854="","",TRIM(IF(COUNTIFS(Calc!$B$2:$B$1601,ROW()-1,Calc!$C$2:$C$1601,"&lt;1")&gt;0,"Ada PO tanpa Koli - cek TMP. ","")&amp;IF(OR($AU854="",$AU854&lt;=0),"Volume kosong/0 - dimensi dikosongkan. ","")&amp;IF(AND($AU854&lt;&gt;"",$AU854&gt;=1000000),"Volume &gt;= 1.000.000 cm3 (di luar aturan) - dimensi dikosongkan. ","")&amp;IF(LEN($R854)&gt;500,"R &gt; 500 karakter.","")))</f>
        <v/>
      </c>
      <c r="AS854" t="str">
        <f>IFERROR(MATCH(ROW()-1,Calc!$J$2:$J$1601,0),"")</f>
        <v/>
      </c>
      <c r="AT854" t="str">
        <f>IFERROR(MATCH(ROW()-1,Calc!$K$2:$K$1601,0),"")</f>
        <v/>
      </c>
      <c r="AU854" t="str">
        <f>IF($AS854="","",IFERROR(INDEX('TMP Paste'!$D$2:$D$1601,$AS854)*1000000/$AB854,""))</f>
        <v/>
      </c>
    </row>
    <row r="855" spans="1:47">
      <c r="A855" t="str">
        <f>IF($AS855="","",INDEX('TMP Paste'!$B$2:$B$1601,$AS855))</f>
        <v/>
      </c>
      <c r="B855" t="str">
        <f>IF($AS855="","",Config!$B$14)</f>
        <v/>
      </c>
      <c r="C855" t="str">
        <f>IF($AS855="","",Config!$B$15)</f>
        <v/>
      </c>
      <c r="D855" t="str">
        <f>IF($AS855="","",INDEX('TMP Paste'!$B$2:$B$1601,$AS855))</f>
        <v/>
      </c>
      <c r="E855" t="str">
        <f>IF($AS855="","",Config!$B$27)</f>
        <v/>
      </c>
      <c r="F855" t="str">
        <f>IF($AS855="","",Config!$B$9)</f>
        <v/>
      </c>
      <c r="G855" t="str">
        <f>IF($AS855="","",Config!$B$10)</f>
        <v/>
      </c>
      <c r="H855" t="str">
        <f>IF($AS855="","",Config!$B$11)</f>
        <v/>
      </c>
      <c r="I855" t="str">
        <f>IF($AS855="","",Config!$B$16)</f>
        <v/>
      </c>
      <c r="J855" t="str">
        <f>IF($AS855="","",INDEX('TMP Paste'!$A$2:$A$1601,$AS855))</f>
        <v/>
      </c>
      <c r="K855" t="str">
        <f>IF($AS855="","",INDEX('TMP Paste'!$L$2:$L$1601,$AS855))</f>
        <v/>
      </c>
      <c r="L855" t="str">
        <f>IF($AS855="","",INDEX('TMP Paste'!$I$2:$I$1601,$AS855))</f>
        <v/>
      </c>
      <c r="M855" t="str">
        <f>IF($AS855="","",Config!$B$16)</f>
        <v/>
      </c>
      <c r="N855" t="str">
        <f t="shared" si="78"/>
        <v/>
      </c>
      <c r="O855" t="str">
        <f>IF($AS855="","",INDEX('TMP Paste'!$K$2:$K$1601,$AS855))</f>
        <v/>
      </c>
      <c r="P855" t="str">
        <f t="shared" si="79"/>
        <v/>
      </c>
      <c r="Q855" t="str">
        <f>IF($AS855="","",INDEX('TMP Paste'!$J$2:$J$1601,$AS855))</f>
        <v/>
      </c>
      <c r="R855" t="str">
        <f>IF($AS855="","",Config!$B$24)</f>
        <v/>
      </c>
      <c r="S855" t="str">
        <f ca="1">IF($AS855="","",TEXT(Config!$B$4,"yyyy-mm-dd"))</f>
        <v/>
      </c>
      <c r="T855" t="str">
        <f>IF($AS855="","",Config!$B$17)</f>
        <v/>
      </c>
      <c r="U855" t="str">
        <f>IF($AS855="","",Config!$B$18)</f>
        <v/>
      </c>
      <c r="V855" t="str">
        <f>IF($AS855="","",Config!$B$19)</f>
        <v/>
      </c>
      <c r="W855" t="str">
        <f>IF($AS855="","",INDEX('TMP Paste'!$C$2:$C$1601,$AS855))</f>
        <v/>
      </c>
      <c r="X855" t="str">
        <f>IF($AS855="","",Config!$B$29)</f>
        <v/>
      </c>
      <c r="Y855" t="str">
        <f>IF($AT855="","",INDEX(Calc!$I$2:$I$1601,$AT855)&amp;" - "&amp;INDEX(Calc!$D$2:$D$1601,$AT855)&amp;" koli")</f>
        <v/>
      </c>
      <c r="Z855" t="str">
        <f>IF($AS855="","",Config!$B$21)</f>
        <v/>
      </c>
      <c r="AA855" t="str">
        <f>IF($AS855="","",Config!$B$22)</f>
        <v/>
      </c>
      <c r="AB855" t="str">
        <f>IF($AT855="","",INDEX(Calc!$D$2:$D$1601,$AT855))</f>
        <v/>
      </c>
      <c r="AC855" t="str">
        <f>IF($AT855="","",INDEX(Calc!$G$2:$G$1601,$AT855))</f>
        <v/>
      </c>
      <c r="AD855" t="str">
        <f>IF($AS855="","",Config!$B$23)</f>
        <v/>
      </c>
      <c r="AE855" t="str">
        <f>IF($AS855="","",Config!$B$28)</f>
        <v/>
      </c>
      <c r="AF855" t="str">
        <f t="shared" si="80"/>
        <v/>
      </c>
      <c r="AG855" t="str">
        <f t="shared" si="81"/>
        <v/>
      </c>
      <c r="AH855" t="str">
        <f t="shared" si="82"/>
        <v/>
      </c>
      <c r="AI855" t="str">
        <f>IF($AG855="","",SUMIF($AG$2:$AG855,$AG855,$AH$2:$AH855))</f>
        <v/>
      </c>
      <c r="AJ855" t="str">
        <f>IF('TMP Paste'!$F855="","",IF('TMP Paste'!$B855="",$AJ854,'TMP Paste'!$B855))</f>
        <v/>
      </c>
      <c r="AK855" t="str">
        <f>IF('TMP Paste'!$F855="","",N('TMP Paste'!$G855))</f>
        <v/>
      </c>
      <c r="AL855" t="str">
        <f>IF('TMP Paste'!$F855="","",IF('TMP Paste'!$M855="",$AL854,'TMP Paste'!$M855))</f>
        <v/>
      </c>
      <c r="AM855" t="str">
        <f>IF('TMP Paste'!$F855="","",IF('TMP Paste'!$N855="",$AM854,'TMP Paste'!$N855))</f>
        <v/>
      </c>
      <c r="AN855" t="str">
        <f>IF('TMP Paste'!$F855="","",IF('TMP Paste'!$O855="",$AN854,'TMP Paste'!$O855))</f>
        <v/>
      </c>
      <c r="AO855" t="str">
        <f>IF('TMP Paste'!$F855="","",IF('TMP Paste'!$P855="",$AO854,'TMP Paste'!$P855))</f>
        <v/>
      </c>
      <c r="AP855" t="str">
        <f t="shared" si="83"/>
        <v/>
      </c>
      <c r="AQ855" t="str">
        <f>IF($AS855="","",TRIM(IF(COUNTIFS(Calc!$B$2:$B$1601,ROW()-1,Calc!$C$2:$C$1601,"&lt;1")&gt;0,"Ada PO tanpa Koli - cek TMP. ","")&amp;IF(OR($AU855="",$AU855&lt;=0),"Volume kosong/0 - dimensi dikosongkan. ","")&amp;IF(AND($AU855&lt;&gt;"",$AU855&gt;=1000000),"Volume &gt;= 1.000.000 cm3 (di luar aturan) - dimensi dikosongkan. ","")&amp;IF(LEN($R855)&gt;500,"R &gt; 500 karakter.","")))</f>
        <v/>
      </c>
      <c r="AS855" t="str">
        <f>IFERROR(MATCH(ROW()-1,Calc!$J$2:$J$1601,0),"")</f>
        <v/>
      </c>
      <c r="AT855" t="str">
        <f>IFERROR(MATCH(ROW()-1,Calc!$K$2:$K$1601,0),"")</f>
        <v/>
      </c>
      <c r="AU855" t="str">
        <f>IF($AS855="","",IFERROR(INDEX('TMP Paste'!$D$2:$D$1601,$AS855)*1000000/$AB855,""))</f>
        <v/>
      </c>
    </row>
    <row r="856" spans="1:47">
      <c r="A856" t="str">
        <f>IF($AS856="","",INDEX('TMP Paste'!$B$2:$B$1601,$AS856))</f>
        <v/>
      </c>
      <c r="B856" t="str">
        <f>IF($AS856="","",Config!$B$14)</f>
        <v/>
      </c>
      <c r="C856" t="str">
        <f>IF($AS856="","",Config!$B$15)</f>
        <v/>
      </c>
      <c r="D856" t="str">
        <f>IF($AS856="","",INDEX('TMP Paste'!$B$2:$B$1601,$AS856))</f>
        <v/>
      </c>
      <c r="E856" t="str">
        <f>IF($AS856="","",Config!$B$27)</f>
        <v/>
      </c>
      <c r="F856" t="str">
        <f>IF($AS856="","",Config!$B$9)</f>
        <v/>
      </c>
      <c r="G856" t="str">
        <f>IF($AS856="","",Config!$B$10)</f>
        <v/>
      </c>
      <c r="H856" t="str">
        <f>IF($AS856="","",Config!$B$11)</f>
        <v/>
      </c>
      <c r="I856" t="str">
        <f>IF($AS856="","",Config!$B$16)</f>
        <v/>
      </c>
      <c r="J856" t="str">
        <f>IF($AS856="","",INDEX('TMP Paste'!$A$2:$A$1601,$AS856))</f>
        <v/>
      </c>
      <c r="K856" t="str">
        <f>IF($AS856="","",INDEX('TMP Paste'!$L$2:$L$1601,$AS856))</f>
        <v/>
      </c>
      <c r="L856" t="str">
        <f>IF($AS856="","",INDEX('TMP Paste'!$I$2:$I$1601,$AS856))</f>
        <v/>
      </c>
      <c r="M856" t="str">
        <f>IF($AS856="","",Config!$B$16)</f>
        <v/>
      </c>
      <c r="N856" t="str">
        <f t="shared" si="78"/>
        <v/>
      </c>
      <c r="O856" t="str">
        <f>IF($AS856="","",INDEX('TMP Paste'!$K$2:$K$1601,$AS856))</f>
        <v/>
      </c>
      <c r="P856" t="str">
        <f t="shared" si="79"/>
        <v/>
      </c>
      <c r="Q856" t="str">
        <f>IF($AS856="","",INDEX('TMP Paste'!$J$2:$J$1601,$AS856))</f>
        <v/>
      </c>
      <c r="R856" t="str">
        <f>IF($AS856="","",Config!$B$24)</f>
        <v/>
      </c>
      <c r="S856" t="str">
        <f ca="1">IF($AS856="","",TEXT(Config!$B$4,"yyyy-mm-dd"))</f>
        <v/>
      </c>
      <c r="T856" t="str">
        <f>IF($AS856="","",Config!$B$17)</f>
        <v/>
      </c>
      <c r="U856" t="str">
        <f>IF($AS856="","",Config!$B$18)</f>
        <v/>
      </c>
      <c r="V856" t="str">
        <f>IF($AS856="","",Config!$B$19)</f>
        <v/>
      </c>
      <c r="W856" t="str">
        <f>IF($AS856="","",INDEX('TMP Paste'!$C$2:$C$1601,$AS856))</f>
        <v/>
      </c>
      <c r="X856" t="str">
        <f>IF($AS856="","",Config!$B$29)</f>
        <v/>
      </c>
      <c r="Y856" t="str">
        <f>IF($AT856="","",INDEX(Calc!$I$2:$I$1601,$AT856)&amp;" - "&amp;INDEX(Calc!$D$2:$D$1601,$AT856)&amp;" koli")</f>
        <v/>
      </c>
      <c r="Z856" t="str">
        <f>IF($AS856="","",Config!$B$21)</f>
        <v/>
      </c>
      <c r="AA856" t="str">
        <f>IF($AS856="","",Config!$B$22)</f>
        <v/>
      </c>
      <c r="AB856" t="str">
        <f>IF($AT856="","",INDEX(Calc!$D$2:$D$1601,$AT856))</f>
        <v/>
      </c>
      <c r="AC856" t="str">
        <f>IF($AT856="","",INDEX(Calc!$G$2:$G$1601,$AT856))</f>
        <v/>
      </c>
      <c r="AD856" t="str">
        <f>IF($AS856="","",Config!$B$23)</f>
        <v/>
      </c>
      <c r="AE856" t="str">
        <f>IF($AS856="","",Config!$B$28)</f>
        <v/>
      </c>
      <c r="AF856" t="str">
        <f t="shared" si="80"/>
        <v/>
      </c>
      <c r="AG856" t="str">
        <f t="shared" si="81"/>
        <v/>
      </c>
      <c r="AH856" t="str">
        <f t="shared" si="82"/>
        <v/>
      </c>
      <c r="AI856" t="str">
        <f>IF($AG856="","",SUMIF($AG$2:$AG856,$AG856,$AH$2:$AH856))</f>
        <v/>
      </c>
      <c r="AJ856" t="str">
        <f>IF('TMP Paste'!$F856="","",IF('TMP Paste'!$B856="",$AJ855,'TMP Paste'!$B856))</f>
        <v/>
      </c>
      <c r="AK856" t="str">
        <f>IF('TMP Paste'!$F856="","",N('TMP Paste'!$G856))</f>
        <v/>
      </c>
      <c r="AL856" t="str">
        <f>IF('TMP Paste'!$F856="","",IF('TMP Paste'!$M856="",$AL855,'TMP Paste'!$M856))</f>
        <v/>
      </c>
      <c r="AM856" t="str">
        <f>IF('TMP Paste'!$F856="","",IF('TMP Paste'!$N856="",$AM855,'TMP Paste'!$N856))</f>
        <v/>
      </c>
      <c r="AN856" t="str">
        <f>IF('TMP Paste'!$F856="","",IF('TMP Paste'!$O856="",$AN855,'TMP Paste'!$O856))</f>
        <v/>
      </c>
      <c r="AO856" t="str">
        <f>IF('TMP Paste'!$F856="","",IF('TMP Paste'!$P856="",$AO855,'TMP Paste'!$P856))</f>
        <v/>
      </c>
      <c r="AP856" t="str">
        <f t="shared" si="83"/>
        <v/>
      </c>
      <c r="AQ856" t="str">
        <f>IF($AS856="","",TRIM(IF(COUNTIFS(Calc!$B$2:$B$1601,ROW()-1,Calc!$C$2:$C$1601,"&lt;1")&gt;0,"Ada PO tanpa Koli - cek TMP. ","")&amp;IF(OR($AU856="",$AU856&lt;=0),"Volume kosong/0 - dimensi dikosongkan. ","")&amp;IF(AND($AU856&lt;&gt;"",$AU856&gt;=1000000),"Volume &gt;= 1.000.000 cm3 (di luar aturan) - dimensi dikosongkan. ","")&amp;IF(LEN($R856)&gt;500,"R &gt; 500 karakter.","")))</f>
        <v/>
      </c>
      <c r="AS856" t="str">
        <f>IFERROR(MATCH(ROW()-1,Calc!$J$2:$J$1601,0),"")</f>
        <v/>
      </c>
      <c r="AT856" t="str">
        <f>IFERROR(MATCH(ROW()-1,Calc!$K$2:$K$1601,0),"")</f>
        <v/>
      </c>
      <c r="AU856" t="str">
        <f>IF($AS856="","",IFERROR(INDEX('TMP Paste'!$D$2:$D$1601,$AS856)*1000000/$AB856,""))</f>
        <v/>
      </c>
    </row>
    <row r="857" spans="1:47">
      <c r="A857" t="str">
        <f>IF($AS857="","",INDEX('TMP Paste'!$B$2:$B$1601,$AS857))</f>
        <v/>
      </c>
      <c r="B857" t="str">
        <f>IF($AS857="","",Config!$B$14)</f>
        <v/>
      </c>
      <c r="C857" t="str">
        <f>IF($AS857="","",Config!$B$15)</f>
        <v/>
      </c>
      <c r="D857" t="str">
        <f>IF($AS857="","",INDEX('TMP Paste'!$B$2:$B$1601,$AS857))</f>
        <v/>
      </c>
      <c r="E857" t="str">
        <f>IF($AS857="","",Config!$B$27)</f>
        <v/>
      </c>
      <c r="F857" t="str">
        <f>IF($AS857="","",Config!$B$9)</f>
        <v/>
      </c>
      <c r="G857" t="str">
        <f>IF($AS857="","",Config!$B$10)</f>
        <v/>
      </c>
      <c r="H857" t="str">
        <f>IF($AS857="","",Config!$B$11)</f>
        <v/>
      </c>
      <c r="I857" t="str">
        <f>IF($AS857="","",Config!$B$16)</f>
        <v/>
      </c>
      <c r="J857" t="str">
        <f>IF($AS857="","",INDEX('TMP Paste'!$A$2:$A$1601,$AS857))</f>
        <v/>
      </c>
      <c r="K857" t="str">
        <f>IF($AS857="","",INDEX('TMP Paste'!$L$2:$L$1601,$AS857))</f>
        <v/>
      </c>
      <c r="L857" t="str">
        <f>IF($AS857="","",INDEX('TMP Paste'!$I$2:$I$1601,$AS857))</f>
        <v/>
      </c>
      <c r="M857" t="str">
        <f>IF($AS857="","",Config!$B$16)</f>
        <v/>
      </c>
      <c r="N857" t="str">
        <f t="shared" si="78"/>
        <v/>
      </c>
      <c r="O857" t="str">
        <f>IF($AS857="","",INDEX('TMP Paste'!$K$2:$K$1601,$AS857))</f>
        <v/>
      </c>
      <c r="P857" t="str">
        <f t="shared" si="79"/>
        <v/>
      </c>
      <c r="Q857" t="str">
        <f>IF($AS857="","",INDEX('TMP Paste'!$J$2:$J$1601,$AS857))</f>
        <v/>
      </c>
      <c r="R857" t="str">
        <f>IF($AS857="","",Config!$B$24)</f>
        <v/>
      </c>
      <c r="S857" t="str">
        <f ca="1">IF($AS857="","",TEXT(Config!$B$4,"yyyy-mm-dd"))</f>
        <v/>
      </c>
      <c r="T857" t="str">
        <f>IF($AS857="","",Config!$B$17)</f>
        <v/>
      </c>
      <c r="U857" t="str">
        <f>IF($AS857="","",Config!$B$18)</f>
        <v/>
      </c>
      <c r="V857" t="str">
        <f>IF($AS857="","",Config!$B$19)</f>
        <v/>
      </c>
      <c r="W857" t="str">
        <f>IF($AS857="","",INDEX('TMP Paste'!$C$2:$C$1601,$AS857))</f>
        <v/>
      </c>
      <c r="X857" t="str">
        <f>IF($AS857="","",Config!$B$29)</f>
        <v/>
      </c>
      <c r="Y857" t="str">
        <f>IF($AT857="","",INDEX(Calc!$I$2:$I$1601,$AT857)&amp;" - "&amp;INDEX(Calc!$D$2:$D$1601,$AT857)&amp;" koli")</f>
        <v/>
      </c>
      <c r="Z857" t="str">
        <f>IF($AS857="","",Config!$B$21)</f>
        <v/>
      </c>
      <c r="AA857" t="str">
        <f>IF($AS857="","",Config!$B$22)</f>
        <v/>
      </c>
      <c r="AB857" t="str">
        <f>IF($AT857="","",INDEX(Calc!$D$2:$D$1601,$AT857))</f>
        <v/>
      </c>
      <c r="AC857" t="str">
        <f>IF($AT857="","",INDEX(Calc!$G$2:$G$1601,$AT857))</f>
        <v/>
      </c>
      <c r="AD857" t="str">
        <f>IF($AS857="","",Config!$B$23)</f>
        <v/>
      </c>
      <c r="AE857" t="str">
        <f>IF($AS857="","",Config!$B$28)</f>
        <v/>
      </c>
      <c r="AF857" t="str">
        <f t="shared" si="80"/>
        <v/>
      </c>
      <c r="AG857" t="str">
        <f t="shared" si="81"/>
        <v/>
      </c>
      <c r="AH857" t="str">
        <f t="shared" si="82"/>
        <v/>
      </c>
      <c r="AI857" t="str">
        <f>IF($AG857="","",SUMIF($AG$2:$AG857,$AG857,$AH$2:$AH857))</f>
        <v/>
      </c>
      <c r="AJ857" t="str">
        <f>IF('TMP Paste'!$F857="","",IF('TMP Paste'!$B857="",$AJ856,'TMP Paste'!$B857))</f>
        <v/>
      </c>
      <c r="AK857" t="str">
        <f>IF('TMP Paste'!$F857="","",N('TMP Paste'!$G857))</f>
        <v/>
      </c>
      <c r="AL857" t="str">
        <f>IF('TMP Paste'!$F857="","",IF('TMP Paste'!$M857="",$AL856,'TMP Paste'!$M857))</f>
        <v/>
      </c>
      <c r="AM857" t="str">
        <f>IF('TMP Paste'!$F857="","",IF('TMP Paste'!$N857="",$AM856,'TMP Paste'!$N857))</f>
        <v/>
      </c>
      <c r="AN857" t="str">
        <f>IF('TMP Paste'!$F857="","",IF('TMP Paste'!$O857="",$AN856,'TMP Paste'!$O857))</f>
        <v/>
      </c>
      <c r="AO857" t="str">
        <f>IF('TMP Paste'!$F857="","",IF('TMP Paste'!$P857="",$AO856,'TMP Paste'!$P857))</f>
        <v/>
      </c>
      <c r="AP857" t="str">
        <f t="shared" si="83"/>
        <v/>
      </c>
      <c r="AQ857" t="str">
        <f>IF($AS857="","",TRIM(IF(COUNTIFS(Calc!$B$2:$B$1601,ROW()-1,Calc!$C$2:$C$1601,"&lt;1")&gt;0,"Ada PO tanpa Koli - cek TMP. ","")&amp;IF(OR($AU857="",$AU857&lt;=0),"Volume kosong/0 - dimensi dikosongkan. ","")&amp;IF(AND($AU857&lt;&gt;"",$AU857&gt;=1000000),"Volume &gt;= 1.000.000 cm3 (di luar aturan) - dimensi dikosongkan. ","")&amp;IF(LEN($R857)&gt;500,"R &gt; 500 karakter.","")))</f>
        <v/>
      </c>
      <c r="AS857" t="str">
        <f>IFERROR(MATCH(ROW()-1,Calc!$J$2:$J$1601,0),"")</f>
        <v/>
      </c>
      <c r="AT857" t="str">
        <f>IFERROR(MATCH(ROW()-1,Calc!$K$2:$K$1601,0),"")</f>
        <v/>
      </c>
      <c r="AU857" t="str">
        <f>IF($AS857="","",IFERROR(INDEX('TMP Paste'!$D$2:$D$1601,$AS857)*1000000/$AB857,""))</f>
        <v/>
      </c>
    </row>
    <row r="858" spans="1:47">
      <c r="A858" t="str">
        <f>IF($AS858="","",INDEX('TMP Paste'!$B$2:$B$1601,$AS858))</f>
        <v/>
      </c>
      <c r="B858" t="str">
        <f>IF($AS858="","",Config!$B$14)</f>
        <v/>
      </c>
      <c r="C858" t="str">
        <f>IF($AS858="","",Config!$B$15)</f>
        <v/>
      </c>
      <c r="D858" t="str">
        <f>IF($AS858="","",INDEX('TMP Paste'!$B$2:$B$1601,$AS858))</f>
        <v/>
      </c>
      <c r="E858" t="str">
        <f>IF($AS858="","",Config!$B$27)</f>
        <v/>
      </c>
      <c r="F858" t="str">
        <f>IF($AS858="","",Config!$B$9)</f>
        <v/>
      </c>
      <c r="G858" t="str">
        <f>IF($AS858="","",Config!$B$10)</f>
        <v/>
      </c>
      <c r="H858" t="str">
        <f>IF($AS858="","",Config!$B$11)</f>
        <v/>
      </c>
      <c r="I858" t="str">
        <f>IF($AS858="","",Config!$B$16)</f>
        <v/>
      </c>
      <c r="J858" t="str">
        <f>IF($AS858="","",INDEX('TMP Paste'!$A$2:$A$1601,$AS858))</f>
        <v/>
      </c>
      <c r="K858" t="str">
        <f>IF($AS858="","",INDEX('TMP Paste'!$L$2:$L$1601,$AS858))</f>
        <v/>
      </c>
      <c r="L858" t="str">
        <f>IF($AS858="","",INDEX('TMP Paste'!$I$2:$I$1601,$AS858))</f>
        <v/>
      </c>
      <c r="M858" t="str">
        <f>IF($AS858="","",Config!$B$16)</f>
        <v/>
      </c>
      <c r="N858" t="str">
        <f t="shared" si="78"/>
        <v/>
      </c>
      <c r="O858" t="str">
        <f>IF($AS858="","",INDEX('TMP Paste'!$K$2:$K$1601,$AS858))</f>
        <v/>
      </c>
      <c r="P858" t="str">
        <f t="shared" si="79"/>
        <v/>
      </c>
      <c r="Q858" t="str">
        <f>IF($AS858="","",INDEX('TMP Paste'!$J$2:$J$1601,$AS858))</f>
        <v/>
      </c>
      <c r="R858" t="str">
        <f>IF($AS858="","",Config!$B$24)</f>
        <v/>
      </c>
      <c r="S858" t="str">
        <f ca="1">IF($AS858="","",TEXT(Config!$B$4,"yyyy-mm-dd"))</f>
        <v/>
      </c>
      <c r="T858" t="str">
        <f>IF($AS858="","",Config!$B$17)</f>
        <v/>
      </c>
      <c r="U858" t="str">
        <f>IF($AS858="","",Config!$B$18)</f>
        <v/>
      </c>
      <c r="V858" t="str">
        <f>IF($AS858="","",Config!$B$19)</f>
        <v/>
      </c>
      <c r="W858" t="str">
        <f>IF($AS858="","",INDEX('TMP Paste'!$C$2:$C$1601,$AS858))</f>
        <v/>
      </c>
      <c r="X858" t="str">
        <f>IF($AS858="","",Config!$B$29)</f>
        <v/>
      </c>
      <c r="Y858" t="str">
        <f>IF($AT858="","",INDEX(Calc!$I$2:$I$1601,$AT858)&amp;" - "&amp;INDEX(Calc!$D$2:$D$1601,$AT858)&amp;" koli")</f>
        <v/>
      </c>
      <c r="Z858" t="str">
        <f>IF($AS858="","",Config!$B$21)</f>
        <v/>
      </c>
      <c r="AA858" t="str">
        <f>IF($AS858="","",Config!$B$22)</f>
        <v/>
      </c>
      <c r="AB858" t="str">
        <f>IF($AT858="","",INDEX(Calc!$D$2:$D$1601,$AT858))</f>
        <v/>
      </c>
      <c r="AC858" t="str">
        <f>IF($AT858="","",INDEX(Calc!$G$2:$G$1601,$AT858))</f>
        <v/>
      </c>
      <c r="AD858" t="str">
        <f>IF($AS858="","",Config!$B$23)</f>
        <v/>
      </c>
      <c r="AE858" t="str">
        <f>IF($AS858="","",Config!$B$28)</f>
        <v/>
      </c>
      <c r="AF858" t="str">
        <f t="shared" si="80"/>
        <v/>
      </c>
      <c r="AG858" t="str">
        <f t="shared" si="81"/>
        <v/>
      </c>
      <c r="AH858" t="str">
        <f t="shared" si="82"/>
        <v/>
      </c>
      <c r="AI858" t="str">
        <f>IF($AG858="","",SUMIF($AG$2:$AG858,$AG858,$AH$2:$AH858))</f>
        <v/>
      </c>
      <c r="AJ858" t="str">
        <f>IF('TMP Paste'!$F858="","",IF('TMP Paste'!$B858="",$AJ857,'TMP Paste'!$B858))</f>
        <v/>
      </c>
      <c r="AK858" t="str">
        <f>IF('TMP Paste'!$F858="","",N('TMP Paste'!$G858))</f>
        <v/>
      </c>
      <c r="AL858" t="str">
        <f>IF('TMP Paste'!$F858="","",IF('TMP Paste'!$M858="",$AL857,'TMP Paste'!$M858))</f>
        <v/>
      </c>
      <c r="AM858" t="str">
        <f>IF('TMP Paste'!$F858="","",IF('TMP Paste'!$N858="",$AM857,'TMP Paste'!$N858))</f>
        <v/>
      </c>
      <c r="AN858" t="str">
        <f>IF('TMP Paste'!$F858="","",IF('TMP Paste'!$O858="",$AN857,'TMP Paste'!$O858))</f>
        <v/>
      </c>
      <c r="AO858" t="str">
        <f>IF('TMP Paste'!$F858="","",IF('TMP Paste'!$P858="",$AO857,'TMP Paste'!$P858))</f>
        <v/>
      </c>
      <c r="AP858" t="str">
        <f t="shared" si="83"/>
        <v/>
      </c>
      <c r="AQ858" t="str">
        <f>IF($AS858="","",TRIM(IF(COUNTIFS(Calc!$B$2:$B$1601,ROW()-1,Calc!$C$2:$C$1601,"&lt;1")&gt;0,"Ada PO tanpa Koli - cek TMP. ","")&amp;IF(OR($AU858="",$AU858&lt;=0),"Volume kosong/0 - dimensi dikosongkan. ","")&amp;IF(AND($AU858&lt;&gt;"",$AU858&gt;=1000000),"Volume &gt;= 1.000.000 cm3 (di luar aturan) - dimensi dikosongkan. ","")&amp;IF(LEN($R858)&gt;500,"R &gt; 500 karakter.","")))</f>
        <v/>
      </c>
      <c r="AS858" t="str">
        <f>IFERROR(MATCH(ROW()-1,Calc!$J$2:$J$1601,0),"")</f>
        <v/>
      </c>
      <c r="AT858" t="str">
        <f>IFERROR(MATCH(ROW()-1,Calc!$K$2:$K$1601,0),"")</f>
        <v/>
      </c>
      <c r="AU858" t="str">
        <f>IF($AS858="","",IFERROR(INDEX('TMP Paste'!$D$2:$D$1601,$AS858)*1000000/$AB858,""))</f>
        <v/>
      </c>
    </row>
    <row r="859" spans="1:47">
      <c r="A859" t="str">
        <f>IF($AS859="","",INDEX('TMP Paste'!$B$2:$B$1601,$AS859))</f>
        <v/>
      </c>
      <c r="B859" t="str">
        <f>IF($AS859="","",Config!$B$14)</f>
        <v/>
      </c>
      <c r="C859" t="str">
        <f>IF($AS859="","",Config!$B$15)</f>
        <v/>
      </c>
      <c r="D859" t="str">
        <f>IF($AS859="","",INDEX('TMP Paste'!$B$2:$B$1601,$AS859))</f>
        <v/>
      </c>
      <c r="E859" t="str">
        <f>IF($AS859="","",Config!$B$27)</f>
        <v/>
      </c>
      <c r="F859" t="str">
        <f>IF($AS859="","",Config!$B$9)</f>
        <v/>
      </c>
      <c r="G859" t="str">
        <f>IF($AS859="","",Config!$B$10)</f>
        <v/>
      </c>
      <c r="H859" t="str">
        <f>IF($AS859="","",Config!$B$11)</f>
        <v/>
      </c>
      <c r="I859" t="str">
        <f>IF($AS859="","",Config!$B$16)</f>
        <v/>
      </c>
      <c r="J859" t="str">
        <f>IF($AS859="","",INDEX('TMP Paste'!$A$2:$A$1601,$AS859))</f>
        <v/>
      </c>
      <c r="K859" t="str">
        <f>IF($AS859="","",INDEX('TMP Paste'!$L$2:$L$1601,$AS859))</f>
        <v/>
      </c>
      <c r="L859" t="str">
        <f>IF($AS859="","",INDEX('TMP Paste'!$I$2:$I$1601,$AS859))</f>
        <v/>
      </c>
      <c r="M859" t="str">
        <f>IF($AS859="","",Config!$B$16)</f>
        <v/>
      </c>
      <c r="N859" t="str">
        <f t="shared" si="78"/>
        <v/>
      </c>
      <c r="O859" t="str">
        <f>IF($AS859="","",INDEX('TMP Paste'!$K$2:$K$1601,$AS859))</f>
        <v/>
      </c>
      <c r="P859" t="str">
        <f t="shared" si="79"/>
        <v/>
      </c>
      <c r="Q859" t="str">
        <f>IF($AS859="","",INDEX('TMP Paste'!$J$2:$J$1601,$AS859))</f>
        <v/>
      </c>
      <c r="R859" t="str">
        <f>IF($AS859="","",Config!$B$24)</f>
        <v/>
      </c>
      <c r="S859" t="str">
        <f ca="1">IF($AS859="","",TEXT(Config!$B$4,"yyyy-mm-dd"))</f>
        <v/>
      </c>
      <c r="T859" t="str">
        <f>IF($AS859="","",Config!$B$17)</f>
        <v/>
      </c>
      <c r="U859" t="str">
        <f>IF($AS859="","",Config!$B$18)</f>
        <v/>
      </c>
      <c r="V859" t="str">
        <f>IF($AS859="","",Config!$B$19)</f>
        <v/>
      </c>
      <c r="W859" t="str">
        <f>IF($AS859="","",INDEX('TMP Paste'!$C$2:$C$1601,$AS859))</f>
        <v/>
      </c>
      <c r="X859" t="str">
        <f>IF($AS859="","",Config!$B$29)</f>
        <v/>
      </c>
      <c r="Y859" t="str">
        <f>IF($AT859="","",INDEX(Calc!$I$2:$I$1601,$AT859)&amp;" - "&amp;INDEX(Calc!$D$2:$D$1601,$AT859)&amp;" koli")</f>
        <v/>
      </c>
      <c r="Z859" t="str">
        <f>IF($AS859="","",Config!$B$21)</f>
        <v/>
      </c>
      <c r="AA859" t="str">
        <f>IF($AS859="","",Config!$B$22)</f>
        <v/>
      </c>
      <c r="AB859" t="str">
        <f>IF($AT859="","",INDEX(Calc!$D$2:$D$1601,$AT859))</f>
        <v/>
      </c>
      <c r="AC859" t="str">
        <f>IF($AT859="","",INDEX(Calc!$G$2:$G$1601,$AT859))</f>
        <v/>
      </c>
      <c r="AD859" t="str">
        <f>IF($AS859="","",Config!$B$23)</f>
        <v/>
      </c>
      <c r="AE859" t="str">
        <f>IF($AS859="","",Config!$B$28)</f>
        <v/>
      </c>
      <c r="AF859" t="str">
        <f t="shared" si="80"/>
        <v/>
      </c>
      <c r="AG859" t="str">
        <f t="shared" si="81"/>
        <v/>
      </c>
      <c r="AH859" t="str">
        <f t="shared" si="82"/>
        <v/>
      </c>
      <c r="AI859" t="str">
        <f>IF($AG859="","",SUMIF($AG$2:$AG859,$AG859,$AH$2:$AH859))</f>
        <v/>
      </c>
      <c r="AJ859" t="str">
        <f>IF('TMP Paste'!$F859="","",IF('TMP Paste'!$B859="",$AJ858,'TMP Paste'!$B859))</f>
        <v/>
      </c>
      <c r="AK859" t="str">
        <f>IF('TMP Paste'!$F859="","",N('TMP Paste'!$G859))</f>
        <v/>
      </c>
      <c r="AL859" t="str">
        <f>IF('TMP Paste'!$F859="","",IF('TMP Paste'!$M859="",$AL858,'TMP Paste'!$M859))</f>
        <v/>
      </c>
      <c r="AM859" t="str">
        <f>IF('TMP Paste'!$F859="","",IF('TMP Paste'!$N859="",$AM858,'TMP Paste'!$N859))</f>
        <v/>
      </c>
      <c r="AN859" t="str">
        <f>IF('TMP Paste'!$F859="","",IF('TMP Paste'!$O859="",$AN858,'TMP Paste'!$O859))</f>
        <v/>
      </c>
      <c r="AO859" t="str">
        <f>IF('TMP Paste'!$F859="","",IF('TMP Paste'!$P859="",$AO858,'TMP Paste'!$P859))</f>
        <v/>
      </c>
      <c r="AP859" t="str">
        <f t="shared" si="83"/>
        <v/>
      </c>
      <c r="AQ859" t="str">
        <f>IF($AS859="","",TRIM(IF(COUNTIFS(Calc!$B$2:$B$1601,ROW()-1,Calc!$C$2:$C$1601,"&lt;1")&gt;0,"Ada PO tanpa Koli - cek TMP. ","")&amp;IF(OR($AU859="",$AU859&lt;=0),"Volume kosong/0 - dimensi dikosongkan. ","")&amp;IF(AND($AU859&lt;&gt;"",$AU859&gt;=1000000),"Volume &gt;= 1.000.000 cm3 (di luar aturan) - dimensi dikosongkan. ","")&amp;IF(LEN($R859)&gt;500,"R &gt; 500 karakter.","")))</f>
        <v/>
      </c>
      <c r="AS859" t="str">
        <f>IFERROR(MATCH(ROW()-1,Calc!$J$2:$J$1601,0),"")</f>
        <v/>
      </c>
      <c r="AT859" t="str">
        <f>IFERROR(MATCH(ROW()-1,Calc!$K$2:$K$1601,0),"")</f>
        <v/>
      </c>
      <c r="AU859" t="str">
        <f>IF($AS859="","",IFERROR(INDEX('TMP Paste'!$D$2:$D$1601,$AS859)*1000000/$AB859,""))</f>
        <v/>
      </c>
    </row>
    <row r="860" spans="1:47">
      <c r="A860" t="str">
        <f>IF($AS860="","",INDEX('TMP Paste'!$B$2:$B$1601,$AS860))</f>
        <v/>
      </c>
      <c r="B860" t="str">
        <f>IF($AS860="","",Config!$B$14)</f>
        <v/>
      </c>
      <c r="C860" t="str">
        <f>IF($AS860="","",Config!$B$15)</f>
        <v/>
      </c>
      <c r="D860" t="str">
        <f>IF($AS860="","",INDEX('TMP Paste'!$B$2:$B$1601,$AS860))</f>
        <v/>
      </c>
      <c r="E860" t="str">
        <f>IF($AS860="","",Config!$B$27)</f>
        <v/>
      </c>
      <c r="F860" t="str">
        <f>IF($AS860="","",Config!$B$9)</f>
        <v/>
      </c>
      <c r="G860" t="str">
        <f>IF($AS860="","",Config!$B$10)</f>
        <v/>
      </c>
      <c r="H860" t="str">
        <f>IF($AS860="","",Config!$B$11)</f>
        <v/>
      </c>
      <c r="I860" t="str">
        <f>IF($AS860="","",Config!$B$16)</f>
        <v/>
      </c>
      <c r="J860" t="str">
        <f>IF($AS860="","",INDEX('TMP Paste'!$A$2:$A$1601,$AS860))</f>
        <v/>
      </c>
      <c r="K860" t="str">
        <f>IF($AS860="","",INDEX('TMP Paste'!$L$2:$L$1601,$AS860))</f>
        <v/>
      </c>
      <c r="L860" t="str">
        <f>IF($AS860="","",INDEX('TMP Paste'!$I$2:$I$1601,$AS860))</f>
        <v/>
      </c>
      <c r="M860" t="str">
        <f>IF($AS860="","",Config!$B$16)</f>
        <v/>
      </c>
      <c r="N860" t="str">
        <f t="shared" si="78"/>
        <v/>
      </c>
      <c r="O860" t="str">
        <f>IF($AS860="","",INDEX('TMP Paste'!$K$2:$K$1601,$AS860))</f>
        <v/>
      </c>
      <c r="P860" t="str">
        <f t="shared" si="79"/>
        <v/>
      </c>
      <c r="Q860" t="str">
        <f>IF($AS860="","",INDEX('TMP Paste'!$J$2:$J$1601,$AS860))</f>
        <v/>
      </c>
      <c r="R860" t="str">
        <f>IF($AS860="","",Config!$B$24)</f>
        <v/>
      </c>
      <c r="S860" t="str">
        <f ca="1">IF($AS860="","",TEXT(Config!$B$4,"yyyy-mm-dd"))</f>
        <v/>
      </c>
      <c r="T860" t="str">
        <f>IF($AS860="","",Config!$B$17)</f>
        <v/>
      </c>
      <c r="U860" t="str">
        <f>IF($AS860="","",Config!$B$18)</f>
        <v/>
      </c>
      <c r="V860" t="str">
        <f>IF($AS860="","",Config!$B$19)</f>
        <v/>
      </c>
      <c r="W860" t="str">
        <f>IF($AS860="","",INDEX('TMP Paste'!$C$2:$C$1601,$AS860))</f>
        <v/>
      </c>
      <c r="X860" t="str">
        <f>IF($AS860="","",Config!$B$29)</f>
        <v/>
      </c>
      <c r="Y860" t="str">
        <f>IF($AT860="","",INDEX(Calc!$I$2:$I$1601,$AT860)&amp;" - "&amp;INDEX(Calc!$D$2:$D$1601,$AT860)&amp;" koli")</f>
        <v/>
      </c>
      <c r="Z860" t="str">
        <f>IF($AS860="","",Config!$B$21)</f>
        <v/>
      </c>
      <c r="AA860" t="str">
        <f>IF($AS860="","",Config!$B$22)</f>
        <v/>
      </c>
      <c r="AB860" t="str">
        <f>IF($AT860="","",INDEX(Calc!$D$2:$D$1601,$AT860))</f>
        <v/>
      </c>
      <c r="AC860" t="str">
        <f>IF($AT860="","",INDEX(Calc!$G$2:$G$1601,$AT860))</f>
        <v/>
      </c>
      <c r="AD860" t="str">
        <f>IF($AS860="","",Config!$B$23)</f>
        <v/>
      </c>
      <c r="AE860" t="str">
        <f>IF($AS860="","",Config!$B$28)</f>
        <v/>
      </c>
      <c r="AF860" t="str">
        <f t="shared" si="80"/>
        <v/>
      </c>
      <c r="AG860" t="str">
        <f t="shared" si="81"/>
        <v/>
      </c>
      <c r="AH860" t="str">
        <f t="shared" si="82"/>
        <v/>
      </c>
      <c r="AI860" t="str">
        <f>IF($AG860="","",SUMIF($AG$2:$AG860,$AG860,$AH$2:$AH860))</f>
        <v/>
      </c>
      <c r="AJ860" t="str">
        <f>IF('TMP Paste'!$F860="","",IF('TMP Paste'!$B860="",$AJ859,'TMP Paste'!$B860))</f>
        <v/>
      </c>
      <c r="AK860" t="str">
        <f>IF('TMP Paste'!$F860="","",N('TMP Paste'!$G860))</f>
        <v/>
      </c>
      <c r="AL860" t="str">
        <f>IF('TMP Paste'!$F860="","",IF('TMP Paste'!$M860="",$AL859,'TMP Paste'!$M860))</f>
        <v/>
      </c>
      <c r="AM860" t="str">
        <f>IF('TMP Paste'!$F860="","",IF('TMP Paste'!$N860="",$AM859,'TMP Paste'!$N860))</f>
        <v/>
      </c>
      <c r="AN860" t="str">
        <f>IF('TMP Paste'!$F860="","",IF('TMP Paste'!$O860="",$AN859,'TMP Paste'!$O860))</f>
        <v/>
      </c>
      <c r="AO860" t="str">
        <f>IF('TMP Paste'!$F860="","",IF('TMP Paste'!$P860="",$AO859,'TMP Paste'!$P860))</f>
        <v/>
      </c>
      <c r="AP860" t="str">
        <f t="shared" si="83"/>
        <v/>
      </c>
      <c r="AQ860" t="str">
        <f>IF($AS860="","",TRIM(IF(COUNTIFS(Calc!$B$2:$B$1601,ROW()-1,Calc!$C$2:$C$1601,"&lt;1")&gt;0,"Ada PO tanpa Koli - cek TMP. ","")&amp;IF(OR($AU860="",$AU860&lt;=0),"Volume kosong/0 - dimensi dikosongkan. ","")&amp;IF(AND($AU860&lt;&gt;"",$AU860&gt;=1000000),"Volume &gt;= 1.000.000 cm3 (di luar aturan) - dimensi dikosongkan. ","")&amp;IF(LEN($R860)&gt;500,"R &gt; 500 karakter.","")))</f>
        <v/>
      </c>
      <c r="AS860" t="str">
        <f>IFERROR(MATCH(ROW()-1,Calc!$J$2:$J$1601,0),"")</f>
        <v/>
      </c>
      <c r="AT860" t="str">
        <f>IFERROR(MATCH(ROW()-1,Calc!$K$2:$K$1601,0),"")</f>
        <v/>
      </c>
      <c r="AU860" t="str">
        <f>IF($AS860="","",IFERROR(INDEX('TMP Paste'!$D$2:$D$1601,$AS860)*1000000/$AB860,""))</f>
        <v/>
      </c>
    </row>
    <row r="861" spans="1:47">
      <c r="A861" t="str">
        <f>IF($AS861="","",INDEX('TMP Paste'!$B$2:$B$1601,$AS861))</f>
        <v/>
      </c>
      <c r="B861" t="str">
        <f>IF($AS861="","",Config!$B$14)</f>
        <v/>
      </c>
      <c r="C861" t="str">
        <f>IF($AS861="","",Config!$B$15)</f>
        <v/>
      </c>
      <c r="D861" t="str">
        <f>IF($AS861="","",INDEX('TMP Paste'!$B$2:$B$1601,$AS861))</f>
        <v/>
      </c>
      <c r="E861" t="str">
        <f>IF($AS861="","",Config!$B$27)</f>
        <v/>
      </c>
      <c r="F861" t="str">
        <f>IF($AS861="","",Config!$B$9)</f>
        <v/>
      </c>
      <c r="G861" t="str">
        <f>IF($AS861="","",Config!$B$10)</f>
        <v/>
      </c>
      <c r="H861" t="str">
        <f>IF($AS861="","",Config!$B$11)</f>
        <v/>
      </c>
      <c r="I861" t="str">
        <f>IF($AS861="","",Config!$B$16)</f>
        <v/>
      </c>
      <c r="J861" t="str">
        <f>IF($AS861="","",INDEX('TMP Paste'!$A$2:$A$1601,$AS861))</f>
        <v/>
      </c>
      <c r="K861" t="str">
        <f>IF($AS861="","",INDEX('TMP Paste'!$L$2:$L$1601,$AS861))</f>
        <v/>
      </c>
      <c r="L861" t="str">
        <f>IF($AS861="","",INDEX('TMP Paste'!$I$2:$I$1601,$AS861))</f>
        <v/>
      </c>
      <c r="M861" t="str">
        <f>IF($AS861="","",Config!$B$16)</f>
        <v/>
      </c>
      <c r="N861" t="str">
        <f t="shared" si="78"/>
        <v/>
      </c>
      <c r="O861" t="str">
        <f>IF($AS861="","",INDEX('TMP Paste'!$K$2:$K$1601,$AS861))</f>
        <v/>
      </c>
      <c r="P861" t="str">
        <f t="shared" si="79"/>
        <v/>
      </c>
      <c r="Q861" t="str">
        <f>IF($AS861="","",INDEX('TMP Paste'!$J$2:$J$1601,$AS861))</f>
        <v/>
      </c>
      <c r="R861" t="str">
        <f>IF($AS861="","",Config!$B$24)</f>
        <v/>
      </c>
      <c r="S861" t="str">
        <f ca="1">IF($AS861="","",TEXT(Config!$B$4,"yyyy-mm-dd"))</f>
        <v/>
      </c>
      <c r="T861" t="str">
        <f>IF($AS861="","",Config!$B$17)</f>
        <v/>
      </c>
      <c r="U861" t="str">
        <f>IF($AS861="","",Config!$B$18)</f>
        <v/>
      </c>
      <c r="V861" t="str">
        <f>IF($AS861="","",Config!$B$19)</f>
        <v/>
      </c>
      <c r="W861" t="str">
        <f>IF($AS861="","",INDEX('TMP Paste'!$C$2:$C$1601,$AS861))</f>
        <v/>
      </c>
      <c r="X861" t="str">
        <f>IF($AS861="","",Config!$B$29)</f>
        <v/>
      </c>
      <c r="Y861" t="str">
        <f>IF($AT861="","",INDEX(Calc!$I$2:$I$1601,$AT861)&amp;" - "&amp;INDEX(Calc!$D$2:$D$1601,$AT861)&amp;" koli")</f>
        <v/>
      </c>
      <c r="Z861" t="str">
        <f>IF($AS861="","",Config!$B$21)</f>
        <v/>
      </c>
      <c r="AA861" t="str">
        <f>IF($AS861="","",Config!$B$22)</f>
        <v/>
      </c>
      <c r="AB861" t="str">
        <f>IF($AT861="","",INDEX(Calc!$D$2:$D$1601,$AT861))</f>
        <v/>
      </c>
      <c r="AC861" t="str">
        <f>IF($AT861="","",INDEX(Calc!$G$2:$G$1601,$AT861))</f>
        <v/>
      </c>
      <c r="AD861" t="str">
        <f>IF($AS861="","",Config!$B$23)</f>
        <v/>
      </c>
      <c r="AE861" t="str">
        <f>IF($AS861="","",Config!$B$28)</f>
        <v/>
      </c>
      <c r="AF861" t="str">
        <f t="shared" si="80"/>
        <v/>
      </c>
      <c r="AG861" t="str">
        <f t="shared" si="81"/>
        <v/>
      </c>
      <c r="AH861" t="str">
        <f t="shared" si="82"/>
        <v/>
      </c>
      <c r="AI861" t="str">
        <f>IF($AG861="","",SUMIF($AG$2:$AG861,$AG861,$AH$2:$AH861))</f>
        <v/>
      </c>
      <c r="AJ861" t="str">
        <f>IF('TMP Paste'!$F861="","",IF('TMP Paste'!$B861="",$AJ860,'TMP Paste'!$B861))</f>
        <v/>
      </c>
      <c r="AK861" t="str">
        <f>IF('TMP Paste'!$F861="","",N('TMP Paste'!$G861))</f>
        <v/>
      </c>
      <c r="AL861" t="str">
        <f>IF('TMP Paste'!$F861="","",IF('TMP Paste'!$M861="",$AL860,'TMP Paste'!$M861))</f>
        <v/>
      </c>
      <c r="AM861" t="str">
        <f>IF('TMP Paste'!$F861="","",IF('TMP Paste'!$N861="",$AM860,'TMP Paste'!$N861))</f>
        <v/>
      </c>
      <c r="AN861" t="str">
        <f>IF('TMP Paste'!$F861="","",IF('TMP Paste'!$O861="",$AN860,'TMP Paste'!$O861))</f>
        <v/>
      </c>
      <c r="AO861" t="str">
        <f>IF('TMP Paste'!$F861="","",IF('TMP Paste'!$P861="",$AO860,'TMP Paste'!$P861))</f>
        <v/>
      </c>
      <c r="AP861" t="str">
        <f t="shared" si="83"/>
        <v/>
      </c>
      <c r="AQ861" t="str">
        <f>IF($AS861="","",TRIM(IF(COUNTIFS(Calc!$B$2:$B$1601,ROW()-1,Calc!$C$2:$C$1601,"&lt;1")&gt;0,"Ada PO tanpa Koli - cek TMP. ","")&amp;IF(OR($AU861="",$AU861&lt;=0),"Volume kosong/0 - dimensi dikosongkan. ","")&amp;IF(AND($AU861&lt;&gt;"",$AU861&gt;=1000000),"Volume &gt;= 1.000.000 cm3 (di luar aturan) - dimensi dikosongkan. ","")&amp;IF(LEN($R861)&gt;500,"R &gt; 500 karakter.","")))</f>
        <v/>
      </c>
      <c r="AS861" t="str">
        <f>IFERROR(MATCH(ROW()-1,Calc!$J$2:$J$1601,0),"")</f>
        <v/>
      </c>
      <c r="AT861" t="str">
        <f>IFERROR(MATCH(ROW()-1,Calc!$K$2:$K$1601,0),"")</f>
        <v/>
      </c>
      <c r="AU861" t="str">
        <f>IF($AS861="","",IFERROR(INDEX('TMP Paste'!$D$2:$D$1601,$AS861)*1000000/$AB861,""))</f>
        <v/>
      </c>
    </row>
    <row r="862" spans="1:47">
      <c r="A862" t="str">
        <f>IF($AS862="","",INDEX('TMP Paste'!$B$2:$B$1601,$AS862))</f>
        <v/>
      </c>
      <c r="B862" t="str">
        <f>IF($AS862="","",Config!$B$14)</f>
        <v/>
      </c>
      <c r="C862" t="str">
        <f>IF($AS862="","",Config!$B$15)</f>
        <v/>
      </c>
      <c r="D862" t="str">
        <f>IF($AS862="","",INDEX('TMP Paste'!$B$2:$B$1601,$AS862))</f>
        <v/>
      </c>
      <c r="E862" t="str">
        <f>IF($AS862="","",Config!$B$27)</f>
        <v/>
      </c>
      <c r="F862" t="str">
        <f>IF($AS862="","",Config!$B$9)</f>
        <v/>
      </c>
      <c r="G862" t="str">
        <f>IF($AS862="","",Config!$B$10)</f>
        <v/>
      </c>
      <c r="H862" t="str">
        <f>IF($AS862="","",Config!$B$11)</f>
        <v/>
      </c>
      <c r="I862" t="str">
        <f>IF($AS862="","",Config!$B$16)</f>
        <v/>
      </c>
      <c r="J862" t="str">
        <f>IF($AS862="","",INDEX('TMP Paste'!$A$2:$A$1601,$AS862))</f>
        <v/>
      </c>
      <c r="K862" t="str">
        <f>IF($AS862="","",INDEX('TMP Paste'!$L$2:$L$1601,$AS862))</f>
        <v/>
      </c>
      <c r="L862" t="str">
        <f>IF($AS862="","",INDEX('TMP Paste'!$I$2:$I$1601,$AS862))</f>
        <v/>
      </c>
      <c r="M862" t="str">
        <f>IF($AS862="","",Config!$B$16)</f>
        <v/>
      </c>
      <c r="N862" t="str">
        <f t="shared" si="78"/>
        <v/>
      </c>
      <c r="O862" t="str">
        <f>IF($AS862="","",INDEX('TMP Paste'!$K$2:$K$1601,$AS862))</f>
        <v/>
      </c>
      <c r="P862" t="str">
        <f t="shared" si="79"/>
        <v/>
      </c>
      <c r="Q862" t="str">
        <f>IF($AS862="","",INDEX('TMP Paste'!$J$2:$J$1601,$AS862))</f>
        <v/>
      </c>
      <c r="R862" t="str">
        <f>IF($AS862="","",Config!$B$24)</f>
        <v/>
      </c>
      <c r="S862" t="str">
        <f ca="1">IF($AS862="","",TEXT(Config!$B$4,"yyyy-mm-dd"))</f>
        <v/>
      </c>
      <c r="T862" t="str">
        <f>IF($AS862="","",Config!$B$17)</f>
        <v/>
      </c>
      <c r="U862" t="str">
        <f>IF($AS862="","",Config!$B$18)</f>
        <v/>
      </c>
      <c r="V862" t="str">
        <f>IF($AS862="","",Config!$B$19)</f>
        <v/>
      </c>
      <c r="W862" t="str">
        <f>IF($AS862="","",INDEX('TMP Paste'!$C$2:$C$1601,$AS862))</f>
        <v/>
      </c>
      <c r="X862" t="str">
        <f>IF($AS862="","",Config!$B$29)</f>
        <v/>
      </c>
      <c r="Y862" t="str">
        <f>IF($AT862="","",INDEX(Calc!$I$2:$I$1601,$AT862)&amp;" - "&amp;INDEX(Calc!$D$2:$D$1601,$AT862)&amp;" koli")</f>
        <v/>
      </c>
      <c r="Z862" t="str">
        <f>IF($AS862="","",Config!$B$21)</f>
        <v/>
      </c>
      <c r="AA862" t="str">
        <f>IF($AS862="","",Config!$B$22)</f>
        <v/>
      </c>
      <c r="AB862" t="str">
        <f>IF($AT862="","",INDEX(Calc!$D$2:$D$1601,$AT862))</f>
        <v/>
      </c>
      <c r="AC862" t="str">
        <f>IF($AT862="","",INDEX(Calc!$G$2:$G$1601,$AT862))</f>
        <v/>
      </c>
      <c r="AD862" t="str">
        <f>IF($AS862="","",Config!$B$23)</f>
        <v/>
      </c>
      <c r="AE862" t="str">
        <f>IF($AS862="","",Config!$B$28)</f>
        <v/>
      </c>
      <c r="AF862" t="str">
        <f t="shared" si="80"/>
        <v/>
      </c>
      <c r="AG862" t="str">
        <f t="shared" si="81"/>
        <v/>
      </c>
      <c r="AH862" t="str">
        <f t="shared" si="82"/>
        <v/>
      </c>
      <c r="AI862" t="str">
        <f>IF($AG862="","",SUMIF($AG$2:$AG862,$AG862,$AH$2:$AH862))</f>
        <v/>
      </c>
      <c r="AJ862" t="str">
        <f>IF('TMP Paste'!$F862="","",IF('TMP Paste'!$B862="",$AJ861,'TMP Paste'!$B862))</f>
        <v/>
      </c>
      <c r="AK862" t="str">
        <f>IF('TMP Paste'!$F862="","",N('TMP Paste'!$G862))</f>
        <v/>
      </c>
      <c r="AL862" t="str">
        <f>IF('TMP Paste'!$F862="","",IF('TMP Paste'!$M862="",$AL861,'TMP Paste'!$M862))</f>
        <v/>
      </c>
      <c r="AM862" t="str">
        <f>IF('TMP Paste'!$F862="","",IF('TMP Paste'!$N862="",$AM861,'TMP Paste'!$N862))</f>
        <v/>
      </c>
      <c r="AN862" t="str">
        <f>IF('TMP Paste'!$F862="","",IF('TMP Paste'!$O862="",$AN861,'TMP Paste'!$O862))</f>
        <v/>
      </c>
      <c r="AO862" t="str">
        <f>IF('TMP Paste'!$F862="","",IF('TMP Paste'!$P862="",$AO861,'TMP Paste'!$P862))</f>
        <v/>
      </c>
      <c r="AP862" t="str">
        <f t="shared" si="83"/>
        <v/>
      </c>
      <c r="AQ862" t="str">
        <f>IF($AS862="","",TRIM(IF(COUNTIFS(Calc!$B$2:$B$1601,ROW()-1,Calc!$C$2:$C$1601,"&lt;1")&gt;0,"Ada PO tanpa Koli - cek TMP. ","")&amp;IF(OR($AU862="",$AU862&lt;=0),"Volume kosong/0 - dimensi dikosongkan. ","")&amp;IF(AND($AU862&lt;&gt;"",$AU862&gt;=1000000),"Volume &gt;= 1.000.000 cm3 (di luar aturan) - dimensi dikosongkan. ","")&amp;IF(LEN($R862)&gt;500,"R &gt; 500 karakter.","")))</f>
        <v/>
      </c>
      <c r="AS862" t="str">
        <f>IFERROR(MATCH(ROW()-1,Calc!$J$2:$J$1601,0),"")</f>
        <v/>
      </c>
      <c r="AT862" t="str">
        <f>IFERROR(MATCH(ROW()-1,Calc!$K$2:$K$1601,0),"")</f>
        <v/>
      </c>
      <c r="AU862" t="str">
        <f>IF($AS862="","",IFERROR(INDEX('TMP Paste'!$D$2:$D$1601,$AS862)*1000000/$AB862,""))</f>
        <v/>
      </c>
    </row>
    <row r="863" spans="1:47">
      <c r="A863" t="str">
        <f>IF($AS863="","",INDEX('TMP Paste'!$B$2:$B$1601,$AS863))</f>
        <v/>
      </c>
      <c r="B863" t="str">
        <f>IF($AS863="","",Config!$B$14)</f>
        <v/>
      </c>
      <c r="C863" t="str">
        <f>IF($AS863="","",Config!$B$15)</f>
        <v/>
      </c>
      <c r="D863" t="str">
        <f>IF($AS863="","",INDEX('TMP Paste'!$B$2:$B$1601,$AS863))</f>
        <v/>
      </c>
      <c r="E863" t="str">
        <f>IF($AS863="","",Config!$B$27)</f>
        <v/>
      </c>
      <c r="F863" t="str">
        <f>IF($AS863="","",Config!$B$9)</f>
        <v/>
      </c>
      <c r="G863" t="str">
        <f>IF($AS863="","",Config!$B$10)</f>
        <v/>
      </c>
      <c r="H863" t="str">
        <f>IF($AS863="","",Config!$B$11)</f>
        <v/>
      </c>
      <c r="I863" t="str">
        <f>IF($AS863="","",Config!$B$16)</f>
        <v/>
      </c>
      <c r="J863" t="str">
        <f>IF($AS863="","",INDEX('TMP Paste'!$A$2:$A$1601,$AS863))</f>
        <v/>
      </c>
      <c r="K863" t="str">
        <f>IF($AS863="","",INDEX('TMP Paste'!$L$2:$L$1601,$AS863))</f>
        <v/>
      </c>
      <c r="L863" t="str">
        <f>IF($AS863="","",INDEX('TMP Paste'!$I$2:$I$1601,$AS863))</f>
        <v/>
      </c>
      <c r="M863" t="str">
        <f>IF($AS863="","",Config!$B$16)</f>
        <v/>
      </c>
      <c r="N863" t="str">
        <f t="shared" si="78"/>
        <v/>
      </c>
      <c r="O863" t="str">
        <f>IF($AS863="","",INDEX('TMP Paste'!$K$2:$K$1601,$AS863))</f>
        <v/>
      </c>
      <c r="P863" t="str">
        <f t="shared" si="79"/>
        <v/>
      </c>
      <c r="Q863" t="str">
        <f>IF($AS863="","",INDEX('TMP Paste'!$J$2:$J$1601,$AS863))</f>
        <v/>
      </c>
      <c r="R863" t="str">
        <f>IF($AS863="","",Config!$B$24)</f>
        <v/>
      </c>
      <c r="S863" t="str">
        <f ca="1">IF($AS863="","",TEXT(Config!$B$4,"yyyy-mm-dd"))</f>
        <v/>
      </c>
      <c r="T863" t="str">
        <f>IF($AS863="","",Config!$B$17)</f>
        <v/>
      </c>
      <c r="U863" t="str">
        <f>IF($AS863="","",Config!$B$18)</f>
        <v/>
      </c>
      <c r="V863" t="str">
        <f>IF($AS863="","",Config!$B$19)</f>
        <v/>
      </c>
      <c r="W863" t="str">
        <f>IF($AS863="","",INDEX('TMP Paste'!$C$2:$C$1601,$AS863))</f>
        <v/>
      </c>
      <c r="X863" t="str">
        <f>IF($AS863="","",Config!$B$29)</f>
        <v/>
      </c>
      <c r="Y863" t="str">
        <f>IF($AT863="","",INDEX(Calc!$I$2:$I$1601,$AT863)&amp;" - "&amp;INDEX(Calc!$D$2:$D$1601,$AT863)&amp;" koli")</f>
        <v/>
      </c>
      <c r="Z863" t="str">
        <f>IF($AS863="","",Config!$B$21)</f>
        <v/>
      </c>
      <c r="AA863" t="str">
        <f>IF($AS863="","",Config!$B$22)</f>
        <v/>
      </c>
      <c r="AB863" t="str">
        <f>IF($AT863="","",INDEX(Calc!$D$2:$D$1601,$AT863))</f>
        <v/>
      </c>
      <c r="AC863" t="str">
        <f>IF($AT863="","",INDEX(Calc!$G$2:$G$1601,$AT863))</f>
        <v/>
      </c>
      <c r="AD863" t="str">
        <f>IF($AS863="","",Config!$B$23)</f>
        <v/>
      </c>
      <c r="AE863" t="str">
        <f>IF($AS863="","",Config!$B$28)</f>
        <v/>
      </c>
      <c r="AF863" t="str">
        <f t="shared" si="80"/>
        <v/>
      </c>
      <c r="AG863" t="str">
        <f t="shared" si="81"/>
        <v/>
      </c>
      <c r="AH863" t="str">
        <f t="shared" si="82"/>
        <v/>
      </c>
      <c r="AI863" t="str">
        <f>IF($AG863="","",SUMIF($AG$2:$AG863,$AG863,$AH$2:$AH863))</f>
        <v/>
      </c>
      <c r="AJ863" t="str">
        <f>IF('TMP Paste'!$F863="","",IF('TMP Paste'!$B863="",$AJ862,'TMP Paste'!$B863))</f>
        <v/>
      </c>
      <c r="AK863" t="str">
        <f>IF('TMP Paste'!$F863="","",N('TMP Paste'!$G863))</f>
        <v/>
      </c>
      <c r="AL863" t="str">
        <f>IF('TMP Paste'!$F863="","",IF('TMP Paste'!$M863="",$AL862,'TMP Paste'!$M863))</f>
        <v/>
      </c>
      <c r="AM863" t="str">
        <f>IF('TMP Paste'!$F863="","",IF('TMP Paste'!$N863="",$AM862,'TMP Paste'!$N863))</f>
        <v/>
      </c>
      <c r="AN863" t="str">
        <f>IF('TMP Paste'!$F863="","",IF('TMP Paste'!$O863="",$AN862,'TMP Paste'!$O863))</f>
        <v/>
      </c>
      <c r="AO863" t="str">
        <f>IF('TMP Paste'!$F863="","",IF('TMP Paste'!$P863="",$AO862,'TMP Paste'!$P863))</f>
        <v/>
      </c>
      <c r="AP863" t="str">
        <f t="shared" si="83"/>
        <v/>
      </c>
      <c r="AQ863" t="str">
        <f>IF($AS863="","",TRIM(IF(COUNTIFS(Calc!$B$2:$B$1601,ROW()-1,Calc!$C$2:$C$1601,"&lt;1")&gt;0,"Ada PO tanpa Koli - cek TMP. ","")&amp;IF(OR($AU863="",$AU863&lt;=0),"Volume kosong/0 - dimensi dikosongkan. ","")&amp;IF(AND($AU863&lt;&gt;"",$AU863&gt;=1000000),"Volume &gt;= 1.000.000 cm3 (di luar aturan) - dimensi dikosongkan. ","")&amp;IF(LEN($R863)&gt;500,"R &gt; 500 karakter.","")))</f>
        <v/>
      </c>
      <c r="AS863" t="str">
        <f>IFERROR(MATCH(ROW()-1,Calc!$J$2:$J$1601,0),"")</f>
        <v/>
      </c>
      <c r="AT863" t="str">
        <f>IFERROR(MATCH(ROW()-1,Calc!$K$2:$K$1601,0),"")</f>
        <v/>
      </c>
      <c r="AU863" t="str">
        <f>IF($AS863="","",IFERROR(INDEX('TMP Paste'!$D$2:$D$1601,$AS863)*1000000/$AB863,""))</f>
        <v/>
      </c>
    </row>
    <row r="864" spans="1:47">
      <c r="A864" t="str">
        <f>IF($AS864="","",INDEX('TMP Paste'!$B$2:$B$1601,$AS864))</f>
        <v/>
      </c>
      <c r="B864" t="str">
        <f>IF($AS864="","",Config!$B$14)</f>
        <v/>
      </c>
      <c r="C864" t="str">
        <f>IF($AS864="","",Config!$B$15)</f>
        <v/>
      </c>
      <c r="D864" t="str">
        <f>IF($AS864="","",INDEX('TMP Paste'!$B$2:$B$1601,$AS864))</f>
        <v/>
      </c>
      <c r="E864" t="str">
        <f>IF($AS864="","",Config!$B$27)</f>
        <v/>
      </c>
      <c r="F864" t="str">
        <f>IF($AS864="","",Config!$B$9)</f>
        <v/>
      </c>
      <c r="G864" t="str">
        <f>IF($AS864="","",Config!$B$10)</f>
        <v/>
      </c>
      <c r="H864" t="str">
        <f>IF($AS864="","",Config!$B$11)</f>
        <v/>
      </c>
      <c r="I864" t="str">
        <f>IF($AS864="","",Config!$B$16)</f>
        <v/>
      </c>
      <c r="J864" t="str">
        <f>IF($AS864="","",INDEX('TMP Paste'!$A$2:$A$1601,$AS864))</f>
        <v/>
      </c>
      <c r="K864" t="str">
        <f>IF($AS864="","",INDEX('TMP Paste'!$L$2:$L$1601,$AS864))</f>
        <v/>
      </c>
      <c r="L864" t="str">
        <f>IF($AS864="","",INDEX('TMP Paste'!$I$2:$I$1601,$AS864))</f>
        <v/>
      </c>
      <c r="M864" t="str">
        <f>IF($AS864="","",Config!$B$16)</f>
        <v/>
      </c>
      <c r="N864" t="str">
        <f t="shared" si="78"/>
        <v/>
      </c>
      <c r="O864" t="str">
        <f>IF($AS864="","",INDEX('TMP Paste'!$K$2:$K$1601,$AS864))</f>
        <v/>
      </c>
      <c r="P864" t="str">
        <f t="shared" si="79"/>
        <v/>
      </c>
      <c r="Q864" t="str">
        <f>IF($AS864="","",INDEX('TMP Paste'!$J$2:$J$1601,$AS864))</f>
        <v/>
      </c>
      <c r="R864" t="str">
        <f>IF($AS864="","",Config!$B$24)</f>
        <v/>
      </c>
      <c r="S864" t="str">
        <f ca="1">IF($AS864="","",TEXT(Config!$B$4,"yyyy-mm-dd"))</f>
        <v/>
      </c>
      <c r="T864" t="str">
        <f>IF($AS864="","",Config!$B$17)</f>
        <v/>
      </c>
      <c r="U864" t="str">
        <f>IF($AS864="","",Config!$B$18)</f>
        <v/>
      </c>
      <c r="V864" t="str">
        <f>IF($AS864="","",Config!$B$19)</f>
        <v/>
      </c>
      <c r="W864" t="str">
        <f>IF($AS864="","",INDEX('TMP Paste'!$C$2:$C$1601,$AS864))</f>
        <v/>
      </c>
      <c r="X864" t="str">
        <f>IF($AS864="","",Config!$B$29)</f>
        <v/>
      </c>
      <c r="Y864" t="str">
        <f>IF($AT864="","",INDEX(Calc!$I$2:$I$1601,$AT864)&amp;" - "&amp;INDEX(Calc!$D$2:$D$1601,$AT864)&amp;" koli")</f>
        <v/>
      </c>
      <c r="Z864" t="str">
        <f>IF($AS864="","",Config!$B$21)</f>
        <v/>
      </c>
      <c r="AA864" t="str">
        <f>IF($AS864="","",Config!$B$22)</f>
        <v/>
      </c>
      <c r="AB864" t="str">
        <f>IF($AT864="","",INDEX(Calc!$D$2:$D$1601,$AT864))</f>
        <v/>
      </c>
      <c r="AC864" t="str">
        <f>IF($AT864="","",INDEX(Calc!$G$2:$G$1601,$AT864))</f>
        <v/>
      </c>
      <c r="AD864" t="str">
        <f>IF($AS864="","",Config!$B$23)</f>
        <v/>
      </c>
      <c r="AE864" t="str">
        <f>IF($AS864="","",Config!$B$28)</f>
        <v/>
      </c>
      <c r="AF864" t="str">
        <f t="shared" si="80"/>
        <v/>
      </c>
      <c r="AG864" t="str">
        <f t="shared" si="81"/>
        <v/>
      </c>
      <c r="AH864" t="str">
        <f t="shared" si="82"/>
        <v/>
      </c>
      <c r="AI864" t="str">
        <f>IF($AG864="","",SUMIF($AG$2:$AG864,$AG864,$AH$2:$AH864))</f>
        <v/>
      </c>
      <c r="AJ864" t="str">
        <f>IF('TMP Paste'!$F864="","",IF('TMP Paste'!$B864="",$AJ863,'TMP Paste'!$B864))</f>
        <v/>
      </c>
      <c r="AK864" t="str">
        <f>IF('TMP Paste'!$F864="","",N('TMP Paste'!$G864))</f>
        <v/>
      </c>
      <c r="AL864" t="str">
        <f>IF('TMP Paste'!$F864="","",IF('TMP Paste'!$M864="",$AL863,'TMP Paste'!$M864))</f>
        <v/>
      </c>
      <c r="AM864" t="str">
        <f>IF('TMP Paste'!$F864="","",IF('TMP Paste'!$N864="",$AM863,'TMP Paste'!$N864))</f>
        <v/>
      </c>
      <c r="AN864" t="str">
        <f>IF('TMP Paste'!$F864="","",IF('TMP Paste'!$O864="",$AN863,'TMP Paste'!$O864))</f>
        <v/>
      </c>
      <c r="AO864" t="str">
        <f>IF('TMP Paste'!$F864="","",IF('TMP Paste'!$P864="",$AO863,'TMP Paste'!$P864))</f>
        <v/>
      </c>
      <c r="AP864" t="str">
        <f t="shared" si="83"/>
        <v/>
      </c>
      <c r="AQ864" t="str">
        <f>IF($AS864="","",TRIM(IF(COUNTIFS(Calc!$B$2:$B$1601,ROW()-1,Calc!$C$2:$C$1601,"&lt;1")&gt;0,"Ada PO tanpa Koli - cek TMP. ","")&amp;IF(OR($AU864="",$AU864&lt;=0),"Volume kosong/0 - dimensi dikosongkan. ","")&amp;IF(AND($AU864&lt;&gt;"",$AU864&gt;=1000000),"Volume &gt;= 1.000.000 cm3 (di luar aturan) - dimensi dikosongkan. ","")&amp;IF(LEN($R864)&gt;500,"R &gt; 500 karakter.","")))</f>
        <v/>
      </c>
      <c r="AS864" t="str">
        <f>IFERROR(MATCH(ROW()-1,Calc!$J$2:$J$1601,0),"")</f>
        <v/>
      </c>
      <c r="AT864" t="str">
        <f>IFERROR(MATCH(ROW()-1,Calc!$K$2:$K$1601,0),"")</f>
        <v/>
      </c>
      <c r="AU864" t="str">
        <f>IF($AS864="","",IFERROR(INDEX('TMP Paste'!$D$2:$D$1601,$AS864)*1000000/$AB864,""))</f>
        <v/>
      </c>
    </row>
    <row r="865" spans="1:47">
      <c r="A865" t="str">
        <f>IF($AS865="","",INDEX('TMP Paste'!$B$2:$B$1601,$AS865))</f>
        <v/>
      </c>
      <c r="B865" t="str">
        <f>IF($AS865="","",Config!$B$14)</f>
        <v/>
      </c>
      <c r="C865" t="str">
        <f>IF($AS865="","",Config!$B$15)</f>
        <v/>
      </c>
      <c r="D865" t="str">
        <f>IF($AS865="","",INDEX('TMP Paste'!$B$2:$B$1601,$AS865))</f>
        <v/>
      </c>
      <c r="E865" t="str">
        <f>IF($AS865="","",Config!$B$27)</f>
        <v/>
      </c>
      <c r="F865" t="str">
        <f>IF($AS865="","",Config!$B$9)</f>
        <v/>
      </c>
      <c r="G865" t="str">
        <f>IF($AS865="","",Config!$B$10)</f>
        <v/>
      </c>
      <c r="H865" t="str">
        <f>IF($AS865="","",Config!$B$11)</f>
        <v/>
      </c>
      <c r="I865" t="str">
        <f>IF($AS865="","",Config!$B$16)</f>
        <v/>
      </c>
      <c r="J865" t="str">
        <f>IF($AS865="","",INDEX('TMP Paste'!$A$2:$A$1601,$AS865))</f>
        <v/>
      </c>
      <c r="K865" t="str">
        <f>IF($AS865="","",INDEX('TMP Paste'!$L$2:$L$1601,$AS865))</f>
        <v/>
      </c>
      <c r="L865" t="str">
        <f>IF($AS865="","",INDEX('TMP Paste'!$I$2:$I$1601,$AS865))</f>
        <v/>
      </c>
      <c r="M865" t="str">
        <f>IF($AS865="","",Config!$B$16)</f>
        <v/>
      </c>
      <c r="N865" t="str">
        <f t="shared" si="78"/>
        <v/>
      </c>
      <c r="O865" t="str">
        <f>IF($AS865="","",INDEX('TMP Paste'!$K$2:$K$1601,$AS865))</f>
        <v/>
      </c>
      <c r="P865" t="str">
        <f t="shared" si="79"/>
        <v/>
      </c>
      <c r="Q865" t="str">
        <f>IF($AS865="","",INDEX('TMP Paste'!$J$2:$J$1601,$AS865))</f>
        <v/>
      </c>
      <c r="R865" t="str">
        <f>IF($AS865="","",Config!$B$24)</f>
        <v/>
      </c>
      <c r="S865" t="str">
        <f ca="1">IF($AS865="","",TEXT(Config!$B$4,"yyyy-mm-dd"))</f>
        <v/>
      </c>
      <c r="T865" t="str">
        <f>IF($AS865="","",Config!$B$17)</f>
        <v/>
      </c>
      <c r="U865" t="str">
        <f>IF($AS865="","",Config!$B$18)</f>
        <v/>
      </c>
      <c r="V865" t="str">
        <f>IF($AS865="","",Config!$B$19)</f>
        <v/>
      </c>
      <c r="W865" t="str">
        <f>IF($AS865="","",INDEX('TMP Paste'!$C$2:$C$1601,$AS865))</f>
        <v/>
      </c>
      <c r="X865" t="str">
        <f>IF($AS865="","",Config!$B$29)</f>
        <v/>
      </c>
      <c r="Y865" t="str">
        <f>IF($AT865="","",INDEX(Calc!$I$2:$I$1601,$AT865)&amp;" - "&amp;INDEX(Calc!$D$2:$D$1601,$AT865)&amp;" koli")</f>
        <v/>
      </c>
      <c r="Z865" t="str">
        <f>IF($AS865="","",Config!$B$21)</f>
        <v/>
      </c>
      <c r="AA865" t="str">
        <f>IF($AS865="","",Config!$B$22)</f>
        <v/>
      </c>
      <c r="AB865" t="str">
        <f>IF($AT865="","",INDEX(Calc!$D$2:$D$1601,$AT865))</f>
        <v/>
      </c>
      <c r="AC865" t="str">
        <f>IF($AT865="","",INDEX(Calc!$G$2:$G$1601,$AT865))</f>
        <v/>
      </c>
      <c r="AD865" t="str">
        <f>IF($AS865="","",Config!$B$23)</f>
        <v/>
      </c>
      <c r="AE865" t="str">
        <f>IF($AS865="","",Config!$B$28)</f>
        <v/>
      </c>
      <c r="AF865" t="str">
        <f t="shared" si="80"/>
        <v/>
      </c>
      <c r="AG865" t="str">
        <f t="shared" si="81"/>
        <v/>
      </c>
      <c r="AH865" t="str">
        <f t="shared" si="82"/>
        <v/>
      </c>
      <c r="AI865" t="str">
        <f>IF($AG865="","",SUMIF($AG$2:$AG865,$AG865,$AH$2:$AH865))</f>
        <v/>
      </c>
      <c r="AJ865" t="str">
        <f>IF('TMP Paste'!$F865="","",IF('TMP Paste'!$B865="",$AJ864,'TMP Paste'!$B865))</f>
        <v/>
      </c>
      <c r="AK865" t="str">
        <f>IF('TMP Paste'!$F865="","",N('TMP Paste'!$G865))</f>
        <v/>
      </c>
      <c r="AL865" t="str">
        <f>IF('TMP Paste'!$F865="","",IF('TMP Paste'!$M865="",$AL864,'TMP Paste'!$M865))</f>
        <v/>
      </c>
      <c r="AM865" t="str">
        <f>IF('TMP Paste'!$F865="","",IF('TMP Paste'!$N865="",$AM864,'TMP Paste'!$N865))</f>
        <v/>
      </c>
      <c r="AN865" t="str">
        <f>IF('TMP Paste'!$F865="","",IF('TMP Paste'!$O865="",$AN864,'TMP Paste'!$O865))</f>
        <v/>
      </c>
      <c r="AO865" t="str">
        <f>IF('TMP Paste'!$F865="","",IF('TMP Paste'!$P865="",$AO864,'TMP Paste'!$P865))</f>
        <v/>
      </c>
      <c r="AP865" t="str">
        <f t="shared" si="83"/>
        <v/>
      </c>
      <c r="AQ865" t="str">
        <f>IF($AS865="","",TRIM(IF(COUNTIFS(Calc!$B$2:$B$1601,ROW()-1,Calc!$C$2:$C$1601,"&lt;1")&gt;0,"Ada PO tanpa Koli - cek TMP. ","")&amp;IF(OR($AU865="",$AU865&lt;=0),"Volume kosong/0 - dimensi dikosongkan. ","")&amp;IF(AND($AU865&lt;&gt;"",$AU865&gt;=1000000),"Volume &gt;= 1.000.000 cm3 (di luar aturan) - dimensi dikosongkan. ","")&amp;IF(LEN($R865)&gt;500,"R &gt; 500 karakter.","")))</f>
        <v/>
      </c>
      <c r="AS865" t="str">
        <f>IFERROR(MATCH(ROW()-1,Calc!$J$2:$J$1601,0),"")</f>
        <v/>
      </c>
      <c r="AT865" t="str">
        <f>IFERROR(MATCH(ROW()-1,Calc!$K$2:$K$1601,0),"")</f>
        <v/>
      </c>
      <c r="AU865" t="str">
        <f>IF($AS865="","",IFERROR(INDEX('TMP Paste'!$D$2:$D$1601,$AS865)*1000000/$AB865,""))</f>
        <v/>
      </c>
    </row>
    <row r="866" spans="1:47">
      <c r="A866" t="str">
        <f>IF($AS866="","",INDEX('TMP Paste'!$B$2:$B$1601,$AS866))</f>
        <v/>
      </c>
      <c r="B866" t="str">
        <f>IF($AS866="","",Config!$B$14)</f>
        <v/>
      </c>
      <c r="C866" t="str">
        <f>IF($AS866="","",Config!$B$15)</f>
        <v/>
      </c>
      <c r="D866" t="str">
        <f>IF($AS866="","",INDEX('TMP Paste'!$B$2:$B$1601,$AS866))</f>
        <v/>
      </c>
      <c r="E866" t="str">
        <f>IF($AS866="","",Config!$B$27)</f>
        <v/>
      </c>
      <c r="F866" t="str">
        <f>IF($AS866="","",Config!$B$9)</f>
        <v/>
      </c>
      <c r="G866" t="str">
        <f>IF($AS866="","",Config!$B$10)</f>
        <v/>
      </c>
      <c r="H866" t="str">
        <f>IF($AS866="","",Config!$B$11)</f>
        <v/>
      </c>
      <c r="I866" t="str">
        <f>IF($AS866="","",Config!$B$16)</f>
        <v/>
      </c>
      <c r="J866" t="str">
        <f>IF($AS866="","",INDEX('TMP Paste'!$A$2:$A$1601,$AS866))</f>
        <v/>
      </c>
      <c r="K866" t="str">
        <f>IF($AS866="","",INDEX('TMP Paste'!$L$2:$L$1601,$AS866))</f>
        <v/>
      </c>
      <c r="L866" t="str">
        <f>IF($AS866="","",INDEX('TMP Paste'!$I$2:$I$1601,$AS866))</f>
        <v/>
      </c>
      <c r="M866" t="str">
        <f>IF($AS866="","",Config!$B$16)</f>
        <v/>
      </c>
      <c r="N866" t="str">
        <f t="shared" si="78"/>
        <v/>
      </c>
      <c r="O866" t="str">
        <f>IF($AS866="","",INDEX('TMP Paste'!$K$2:$K$1601,$AS866))</f>
        <v/>
      </c>
      <c r="P866" t="str">
        <f t="shared" si="79"/>
        <v/>
      </c>
      <c r="Q866" t="str">
        <f>IF($AS866="","",INDEX('TMP Paste'!$J$2:$J$1601,$AS866))</f>
        <v/>
      </c>
      <c r="R866" t="str">
        <f>IF($AS866="","",Config!$B$24)</f>
        <v/>
      </c>
      <c r="S866" t="str">
        <f ca="1">IF($AS866="","",TEXT(Config!$B$4,"yyyy-mm-dd"))</f>
        <v/>
      </c>
      <c r="T866" t="str">
        <f>IF($AS866="","",Config!$B$17)</f>
        <v/>
      </c>
      <c r="U866" t="str">
        <f>IF($AS866="","",Config!$B$18)</f>
        <v/>
      </c>
      <c r="V866" t="str">
        <f>IF($AS866="","",Config!$B$19)</f>
        <v/>
      </c>
      <c r="W866" t="str">
        <f>IF($AS866="","",INDEX('TMP Paste'!$C$2:$C$1601,$AS866))</f>
        <v/>
      </c>
      <c r="X866" t="str">
        <f>IF($AS866="","",Config!$B$29)</f>
        <v/>
      </c>
      <c r="Y866" t="str">
        <f>IF($AT866="","",INDEX(Calc!$I$2:$I$1601,$AT866)&amp;" - "&amp;INDEX(Calc!$D$2:$D$1601,$AT866)&amp;" koli")</f>
        <v/>
      </c>
      <c r="Z866" t="str">
        <f>IF($AS866="","",Config!$B$21)</f>
        <v/>
      </c>
      <c r="AA866" t="str">
        <f>IF($AS866="","",Config!$B$22)</f>
        <v/>
      </c>
      <c r="AB866" t="str">
        <f>IF($AT866="","",INDEX(Calc!$D$2:$D$1601,$AT866))</f>
        <v/>
      </c>
      <c r="AC866" t="str">
        <f>IF($AT866="","",INDEX(Calc!$G$2:$G$1601,$AT866))</f>
        <v/>
      </c>
      <c r="AD866" t="str">
        <f>IF($AS866="","",Config!$B$23)</f>
        <v/>
      </c>
      <c r="AE866" t="str">
        <f>IF($AS866="","",Config!$B$28)</f>
        <v/>
      </c>
      <c r="AF866" t="str">
        <f t="shared" si="80"/>
        <v/>
      </c>
      <c r="AG866" t="str">
        <f t="shared" si="81"/>
        <v/>
      </c>
      <c r="AH866" t="str">
        <f t="shared" si="82"/>
        <v/>
      </c>
      <c r="AI866" t="str">
        <f>IF($AG866="","",SUMIF($AG$2:$AG866,$AG866,$AH$2:$AH866))</f>
        <v/>
      </c>
      <c r="AJ866" t="str">
        <f>IF('TMP Paste'!$F866="","",IF('TMP Paste'!$B866="",$AJ865,'TMP Paste'!$B866))</f>
        <v/>
      </c>
      <c r="AK866" t="str">
        <f>IF('TMP Paste'!$F866="","",N('TMP Paste'!$G866))</f>
        <v/>
      </c>
      <c r="AL866" t="str">
        <f>IF('TMP Paste'!$F866="","",IF('TMP Paste'!$M866="",$AL865,'TMP Paste'!$M866))</f>
        <v/>
      </c>
      <c r="AM866" t="str">
        <f>IF('TMP Paste'!$F866="","",IF('TMP Paste'!$N866="",$AM865,'TMP Paste'!$N866))</f>
        <v/>
      </c>
      <c r="AN866" t="str">
        <f>IF('TMP Paste'!$F866="","",IF('TMP Paste'!$O866="",$AN865,'TMP Paste'!$O866))</f>
        <v/>
      </c>
      <c r="AO866" t="str">
        <f>IF('TMP Paste'!$F866="","",IF('TMP Paste'!$P866="",$AO865,'TMP Paste'!$P866))</f>
        <v/>
      </c>
      <c r="AP866" t="str">
        <f t="shared" si="83"/>
        <v/>
      </c>
      <c r="AQ866" t="str">
        <f>IF($AS866="","",TRIM(IF(COUNTIFS(Calc!$B$2:$B$1601,ROW()-1,Calc!$C$2:$C$1601,"&lt;1")&gt;0,"Ada PO tanpa Koli - cek TMP. ","")&amp;IF(OR($AU866="",$AU866&lt;=0),"Volume kosong/0 - dimensi dikosongkan. ","")&amp;IF(AND($AU866&lt;&gt;"",$AU866&gt;=1000000),"Volume &gt;= 1.000.000 cm3 (di luar aturan) - dimensi dikosongkan. ","")&amp;IF(LEN($R866)&gt;500,"R &gt; 500 karakter.","")))</f>
        <v/>
      </c>
      <c r="AS866" t="str">
        <f>IFERROR(MATCH(ROW()-1,Calc!$J$2:$J$1601,0),"")</f>
        <v/>
      </c>
      <c r="AT866" t="str">
        <f>IFERROR(MATCH(ROW()-1,Calc!$K$2:$K$1601,0),"")</f>
        <v/>
      </c>
      <c r="AU866" t="str">
        <f>IF($AS866="","",IFERROR(INDEX('TMP Paste'!$D$2:$D$1601,$AS866)*1000000/$AB866,""))</f>
        <v/>
      </c>
    </row>
    <row r="867" spans="1:47">
      <c r="A867" t="str">
        <f>IF($AS867="","",INDEX('TMP Paste'!$B$2:$B$1601,$AS867))</f>
        <v/>
      </c>
      <c r="B867" t="str">
        <f>IF($AS867="","",Config!$B$14)</f>
        <v/>
      </c>
      <c r="C867" t="str">
        <f>IF($AS867="","",Config!$B$15)</f>
        <v/>
      </c>
      <c r="D867" t="str">
        <f>IF($AS867="","",INDEX('TMP Paste'!$B$2:$B$1601,$AS867))</f>
        <v/>
      </c>
      <c r="E867" t="str">
        <f>IF($AS867="","",Config!$B$27)</f>
        <v/>
      </c>
      <c r="F867" t="str">
        <f>IF($AS867="","",Config!$B$9)</f>
        <v/>
      </c>
      <c r="G867" t="str">
        <f>IF($AS867="","",Config!$B$10)</f>
        <v/>
      </c>
      <c r="H867" t="str">
        <f>IF($AS867="","",Config!$B$11)</f>
        <v/>
      </c>
      <c r="I867" t="str">
        <f>IF($AS867="","",Config!$B$16)</f>
        <v/>
      </c>
      <c r="J867" t="str">
        <f>IF($AS867="","",INDEX('TMP Paste'!$A$2:$A$1601,$AS867))</f>
        <v/>
      </c>
      <c r="K867" t="str">
        <f>IF($AS867="","",INDEX('TMP Paste'!$L$2:$L$1601,$AS867))</f>
        <v/>
      </c>
      <c r="L867" t="str">
        <f>IF($AS867="","",INDEX('TMP Paste'!$I$2:$I$1601,$AS867))</f>
        <v/>
      </c>
      <c r="M867" t="str">
        <f>IF($AS867="","",Config!$B$16)</f>
        <v/>
      </c>
      <c r="N867" t="str">
        <f t="shared" si="78"/>
        <v/>
      </c>
      <c r="O867" t="str">
        <f>IF($AS867="","",INDEX('TMP Paste'!$K$2:$K$1601,$AS867))</f>
        <v/>
      </c>
      <c r="P867" t="str">
        <f t="shared" si="79"/>
        <v/>
      </c>
      <c r="Q867" t="str">
        <f>IF($AS867="","",INDEX('TMP Paste'!$J$2:$J$1601,$AS867))</f>
        <v/>
      </c>
      <c r="R867" t="str">
        <f>IF($AS867="","",Config!$B$24)</f>
        <v/>
      </c>
      <c r="S867" t="str">
        <f ca="1">IF($AS867="","",TEXT(Config!$B$4,"yyyy-mm-dd"))</f>
        <v/>
      </c>
      <c r="T867" t="str">
        <f>IF($AS867="","",Config!$B$17)</f>
        <v/>
      </c>
      <c r="U867" t="str">
        <f>IF($AS867="","",Config!$B$18)</f>
        <v/>
      </c>
      <c r="V867" t="str">
        <f>IF($AS867="","",Config!$B$19)</f>
        <v/>
      </c>
      <c r="W867" t="str">
        <f>IF($AS867="","",INDEX('TMP Paste'!$C$2:$C$1601,$AS867))</f>
        <v/>
      </c>
      <c r="X867" t="str">
        <f>IF($AS867="","",Config!$B$29)</f>
        <v/>
      </c>
      <c r="Y867" t="str">
        <f>IF($AT867="","",INDEX(Calc!$I$2:$I$1601,$AT867)&amp;" - "&amp;INDEX(Calc!$D$2:$D$1601,$AT867)&amp;" koli")</f>
        <v/>
      </c>
      <c r="Z867" t="str">
        <f>IF($AS867="","",Config!$B$21)</f>
        <v/>
      </c>
      <c r="AA867" t="str">
        <f>IF($AS867="","",Config!$B$22)</f>
        <v/>
      </c>
      <c r="AB867" t="str">
        <f>IF($AT867="","",INDEX(Calc!$D$2:$D$1601,$AT867))</f>
        <v/>
      </c>
      <c r="AC867" t="str">
        <f>IF($AT867="","",INDEX(Calc!$G$2:$G$1601,$AT867))</f>
        <v/>
      </c>
      <c r="AD867" t="str">
        <f>IF($AS867="","",Config!$B$23)</f>
        <v/>
      </c>
      <c r="AE867" t="str">
        <f>IF($AS867="","",Config!$B$28)</f>
        <v/>
      </c>
      <c r="AF867" t="str">
        <f t="shared" si="80"/>
        <v/>
      </c>
      <c r="AG867" t="str">
        <f t="shared" si="81"/>
        <v/>
      </c>
      <c r="AH867" t="str">
        <f t="shared" si="82"/>
        <v/>
      </c>
      <c r="AI867" t="str">
        <f>IF($AG867="","",SUMIF($AG$2:$AG867,$AG867,$AH$2:$AH867))</f>
        <v/>
      </c>
      <c r="AJ867" t="str">
        <f>IF('TMP Paste'!$F867="","",IF('TMP Paste'!$B867="",$AJ866,'TMP Paste'!$B867))</f>
        <v/>
      </c>
      <c r="AK867" t="str">
        <f>IF('TMP Paste'!$F867="","",N('TMP Paste'!$G867))</f>
        <v/>
      </c>
      <c r="AL867" t="str">
        <f>IF('TMP Paste'!$F867="","",IF('TMP Paste'!$M867="",$AL866,'TMP Paste'!$M867))</f>
        <v/>
      </c>
      <c r="AM867" t="str">
        <f>IF('TMP Paste'!$F867="","",IF('TMP Paste'!$N867="",$AM866,'TMP Paste'!$N867))</f>
        <v/>
      </c>
      <c r="AN867" t="str">
        <f>IF('TMP Paste'!$F867="","",IF('TMP Paste'!$O867="",$AN866,'TMP Paste'!$O867))</f>
        <v/>
      </c>
      <c r="AO867" t="str">
        <f>IF('TMP Paste'!$F867="","",IF('TMP Paste'!$P867="",$AO866,'TMP Paste'!$P867))</f>
        <v/>
      </c>
      <c r="AP867" t="str">
        <f t="shared" si="83"/>
        <v/>
      </c>
      <c r="AQ867" t="str">
        <f>IF($AS867="","",TRIM(IF(COUNTIFS(Calc!$B$2:$B$1601,ROW()-1,Calc!$C$2:$C$1601,"&lt;1")&gt;0,"Ada PO tanpa Koli - cek TMP. ","")&amp;IF(OR($AU867="",$AU867&lt;=0),"Volume kosong/0 - dimensi dikosongkan. ","")&amp;IF(AND($AU867&lt;&gt;"",$AU867&gt;=1000000),"Volume &gt;= 1.000.000 cm3 (di luar aturan) - dimensi dikosongkan. ","")&amp;IF(LEN($R867)&gt;500,"R &gt; 500 karakter.","")))</f>
        <v/>
      </c>
      <c r="AS867" t="str">
        <f>IFERROR(MATCH(ROW()-1,Calc!$J$2:$J$1601,0),"")</f>
        <v/>
      </c>
      <c r="AT867" t="str">
        <f>IFERROR(MATCH(ROW()-1,Calc!$K$2:$K$1601,0),"")</f>
        <v/>
      </c>
      <c r="AU867" t="str">
        <f>IF($AS867="","",IFERROR(INDEX('TMP Paste'!$D$2:$D$1601,$AS867)*1000000/$AB867,""))</f>
        <v/>
      </c>
    </row>
    <row r="868" spans="1:47">
      <c r="A868" t="str">
        <f>IF($AS868="","",INDEX('TMP Paste'!$B$2:$B$1601,$AS868))</f>
        <v/>
      </c>
      <c r="B868" t="str">
        <f>IF($AS868="","",Config!$B$14)</f>
        <v/>
      </c>
      <c r="C868" t="str">
        <f>IF($AS868="","",Config!$B$15)</f>
        <v/>
      </c>
      <c r="D868" t="str">
        <f>IF($AS868="","",INDEX('TMP Paste'!$B$2:$B$1601,$AS868))</f>
        <v/>
      </c>
      <c r="E868" t="str">
        <f>IF($AS868="","",Config!$B$27)</f>
        <v/>
      </c>
      <c r="F868" t="str">
        <f>IF($AS868="","",Config!$B$9)</f>
        <v/>
      </c>
      <c r="G868" t="str">
        <f>IF($AS868="","",Config!$B$10)</f>
        <v/>
      </c>
      <c r="H868" t="str">
        <f>IF($AS868="","",Config!$B$11)</f>
        <v/>
      </c>
      <c r="I868" t="str">
        <f>IF($AS868="","",Config!$B$16)</f>
        <v/>
      </c>
      <c r="J868" t="str">
        <f>IF($AS868="","",INDEX('TMP Paste'!$A$2:$A$1601,$AS868))</f>
        <v/>
      </c>
      <c r="K868" t="str">
        <f>IF($AS868="","",INDEX('TMP Paste'!$L$2:$L$1601,$AS868))</f>
        <v/>
      </c>
      <c r="L868" t="str">
        <f>IF($AS868="","",INDEX('TMP Paste'!$I$2:$I$1601,$AS868))</f>
        <v/>
      </c>
      <c r="M868" t="str">
        <f>IF($AS868="","",Config!$B$16)</f>
        <v/>
      </c>
      <c r="N868" t="str">
        <f t="shared" si="78"/>
        <v/>
      </c>
      <c r="O868" t="str">
        <f>IF($AS868="","",INDEX('TMP Paste'!$K$2:$K$1601,$AS868))</f>
        <v/>
      </c>
      <c r="P868" t="str">
        <f t="shared" si="79"/>
        <v/>
      </c>
      <c r="Q868" t="str">
        <f>IF($AS868="","",INDEX('TMP Paste'!$J$2:$J$1601,$AS868))</f>
        <v/>
      </c>
      <c r="R868" t="str">
        <f>IF($AS868="","",Config!$B$24)</f>
        <v/>
      </c>
      <c r="S868" t="str">
        <f ca="1">IF($AS868="","",TEXT(Config!$B$4,"yyyy-mm-dd"))</f>
        <v/>
      </c>
      <c r="T868" t="str">
        <f>IF($AS868="","",Config!$B$17)</f>
        <v/>
      </c>
      <c r="U868" t="str">
        <f>IF($AS868="","",Config!$B$18)</f>
        <v/>
      </c>
      <c r="V868" t="str">
        <f>IF($AS868="","",Config!$B$19)</f>
        <v/>
      </c>
      <c r="W868" t="str">
        <f>IF($AS868="","",INDEX('TMP Paste'!$C$2:$C$1601,$AS868))</f>
        <v/>
      </c>
      <c r="X868" t="str">
        <f>IF($AS868="","",Config!$B$29)</f>
        <v/>
      </c>
      <c r="Y868" t="str">
        <f>IF($AT868="","",INDEX(Calc!$I$2:$I$1601,$AT868)&amp;" - "&amp;INDEX(Calc!$D$2:$D$1601,$AT868)&amp;" koli")</f>
        <v/>
      </c>
      <c r="Z868" t="str">
        <f>IF($AS868="","",Config!$B$21)</f>
        <v/>
      </c>
      <c r="AA868" t="str">
        <f>IF($AS868="","",Config!$B$22)</f>
        <v/>
      </c>
      <c r="AB868" t="str">
        <f>IF($AT868="","",INDEX(Calc!$D$2:$D$1601,$AT868))</f>
        <v/>
      </c>
      <c r="AC868" t="str">
        <f>IF($AT868="","",INDEX(Calc!$G$2:$G$1601,$AT868))</f>
        <v/>
      </c>
      <c r="AD868" t="str">
        <f>IF($AS868="","",Config!$B$23)</f>
        <v/>
      </c>
      <c r="AE868" t="str">
        <f>IF($AS868="","",Config!$B$28)</f>
        <v/>
      </c>
      <c r="AF868" t="str">
        <f t="shared" si="80"/>
        <v/>
      </c>
      <c r="AG868" t="str">
        <f t="shared" si="81"/>
        <v/>
      </c>
      <c r="AH868" t="str">
        <f t="shared" si="82"/>
        <v/>
      </c>
      <c r="AI868" t="str">
        <f>IF($AG868="","",SUMIF($AG$2:$AG868,$AG868,$AH$2:$AH868))</f>
        <v/>
      </c>
      <c r="AJ868" t="str">
        <f>IF('TMP Paste'!$F868="","",IF('TMP Paste'!$B868="",$AJ867,'TMP Paste'!$B868))</f>
        <v/>
      </c>
      <c r="AK868" t="str">
        <f>IF('TMP Paste'!$F868="","",N('TMP Paste'!$G868))</f>
        <v/>
      </c>
      <c r="AL868" t="str">
        <f>IF('TMP Paste'!$F868="","",IF('TMP Paste'!$M868="",$AL867,'TMP Paste'!$M868))</f>
        <v/>
      </c>
      <c r="AM868" t="str">
        <f>IF('TMP Paste'!$F868="","",IF('TMP Paste'!$N868="",$AM867,'TMP Paste'!$N868))</f>
        <v/>
      </c>
      <c r="AN868" t="str">
        <f>IF('TMP Paste'!$F868="","",IF('TMP Paste'!$O868="",$AN867,'TMP Paste'!$O868))</f>
        <v/>
      </c>
      <c r="AO868" t="str">
        <f>IF('TMP Paste'!$F868="","",IF('TMP Paste'!$P868="",$AO867,'TMP Paste'!$P868))</f>
        <v/>
      </c>
      <c r="AP868" t="str">
        <f t="shared" si="83"/>
        <v/>
      </c>
      <c r="AQ868" t="str">
        <f>IF($AS868="","",TRIM(IF(COUNTIFS(Calc!$B$2:$B$1601,ROW()-1,Calc!$C$2:$C$1601,"&lt;1")&gt;0,"Ada PO tanpa Koli - cek TMP. ","")&amp;IF(OR($AU868="",$AU868&lt;=0),"Volume kosong/0 - dimensi dikosongkan. ","")&amp;IF(AND($AU868&lt;&gt;"",$AU868&gt;=1000000),"Volume &gt;= 1.000.000 cm3 (di luar aturan) - dimensi dikosongkan. ","")&amp;IF(LEN($R868)&gt;500,"R &gt; 500 karakter.","")))</f>
        <v/>
      </c>
      <c r="AS868" t="str">
        <f>IFERROR(MATCH(ROW()-1,Calc!$J$2:$J$1601,0),"")</f>
        <v/>
      </c>
      <c r="AT868" t="str">
        <f>IFERROR(MATCH(ROW()-1,Calc!$K$2:$K$1601,0),"")</f>
        <v/>
      </c>
      <c r="AU868" t="str">
        <f>IF($AS868="","",IFERROR(INDEX('TMP Paste'!$D$2:$D$1601,$AS868)*1000000/$AB868,""))</f>
        <v/>
      </c>
    </row>
    <row r="869" spans="1:47">
      <c r="A869" t="str">
        <f>IF($AS869="","",INDEX('TMP Paste'!$B$2:$B$1601,$AS869))</f>
        <v/>
      </c>
      <c r="B869" t="str">
        <f>IF($AS869="","",Config!$B$14)</f>
        <v/>
      </c>
      <c r="C869" t="str">
        <f>IF($AS869="","",Config!$B$15)</f>
        <v/>
      </c>
      <c r="D869" t="str">
        <f>IF($AS869="","",INDEX('TMP Paste'!$B$2:$B$1601,$AS869))</f>
        <v/>
      </c>
      <c r="E869" t="str">
        <f>IF($AS869="","",Config!$B$27)</f>
        <v/>
      </c>
      <c r="F869" t="str">
        <f>IF($AS869="","",Config!$B$9)</f>
        <v/>
      </c>
      <c r="G869" t="str">
        <f>IF($AS869="","",Config!$B$10)</f>
        <v/>
      </c>
      <c r="H869" t="str">
        <f>IF($AS869="","",Config!$B$11)</f>
        <v/>
      </c>
      <c r="I869" t="str">
        <f>IF($AS869="","",Config!$B$16)</f>
        <v/>
      </c>
      <c r="J869" t="str">
        <f>IF($AS869="","",INDEX('TMP Paste'!$A$2:$A$1601,$AS869))</f>
        <v/>
      </c>
      <c r="K869" t="str">
        <f>IF($AS869="","",INDEX('TMP Paste'!$L$2:$L$1601,$AS869))</f>
        <v/>
      </c>
      <c r="L869" t="str">
        <f>IF($AS869="","",INDEX('TMP Paste'!$I$2:$I$1601,$AS869))</f>
        <v/>
      </c>
      <c r="M869" t="str">
        <f>IF($AS869="","",Config!$B$16)</f>
        <v/>
      </c>
      <c r="N869" t="str">
        <f t="shared" si="78"/>
        <v/>
      </c>
      <c r="O869" t="str">
        <f>IF($AS869="","",INDEX('TMP Paste'!$K$2:$K$1601,$AS869))</f>
        <v/>
      </c>
      <c r="P869" t="str">
        <f t="shared" si="79"/>
        <v/>
      </c>
      <c r="Q869" t="str">
        <f>IF($AS869="","",INDEX('TMP Paste'!$J$2:$J$1601,$AS869))</f>
        <v/>
      </c>
      <c r="R869" t="str">
        <f>IF($AS869="","",Config!$B$24)</f>
        <v/>
      </c>
      <c r="S869" t="str">
        <f ca="1">IF($AS869="","",TEXT(Config!$B$4,"yyyy-mm-dd"))</f>
        <v/>
      </c>
      <c r="T869" t="str">
        <f>IF($AS869="","",Config!$B$17)</f>
        <v/>
      </c>
      <c r="U869" t="str">
        <f>IF($AS869="","",Config!$B$18)</f>
        <v/>
      </c>
      <c r="V869" t="str">
        <f>IF($AS869="","",Config!$B$19)</f>
        <v/>
      </c>
      <c r="W869" t="str">
        <f>IF($AS869="","",INDEX('TMP Paste'!$C$2:$C$1601,$AS869))</f>
        <v/>
      </c>
      <c r="X869" t="str">
        <f>IF($AS869="","",Config!$B$29)</f>
        <v/>
      </c>
      <c r="Y869" t="str">
        <f>IF($AT869="","",INDEX(Calc!$I$2:$I$1601,$AT869)&amp;" - "&amp;INDEX(Calc!$D$2:$D$1601,$AT869)&amp;" koli")</f>
        <v/>
      </c>
      <c r="Z869" t="str">
        <f>IF($AS869="","",Config!$B$21)</f>
        <v/>
      </c>
      <c r="AA869" t="str">
        <f>IF($AS869="","",Config!$B$22)</f>
        <v/>
      </c>
      <c r="AB869" t="str">
        <f>IF($AT869="","",INDEX(Calc!$D$2:$D$1601,$AT869))</f>
        <v/>
      </c>
      <c r="AC869" t="str">
        <f>IF($AT869="","",INDEX(Calc!$G$2:$G$1601,$AT869))</f>
        <v/>
      </c>
      <c r="AD869" t="str">
        <f>IF($AS869="","",Config!$B$23)</f>
        <v/>
      </c>
      <c r="AE869" t="str">
        <f>IF($AS869="","",Config!$B$28)</f>
        <v/>
      </c>
      <c r="AF869" t="str">
        <f t="shared" si="80"/>
        <v/>
      </c>
      <c r="AG869" t="str">
        <f t="shared" si="81"/>
        <v/>
      </c>
      <c r="AH869" t="str">
        <f t="shared" si="82"/>
        <v/>
      </c>
      <c r="AI869" t="str">
        <f>IF($AG869="","",SUMIF($AG$2:$AG869,$AG869,$AH$2:$AH869))</f>
        <v/>
      </c>
      <c r="AJ869" t="str">
        <f>IF('TMP Paste'!$F869="","",IF('TMP Paste'!$B869="",$AJ868,'TMP Paste'!$B869))</f>
        <v/>
      </c>
      <c r="AK869" t="str">
        <f>IF('TMP Paste'!$F869="","",N('TMP Paste'!$G869))</f>
        <v/>
      </c>
      <c r="AL869" t="str">
        <f>IF('TMP Paste'!$F869="","",IF('TMP Paste'!$M869="",$AL868,'TMP Paste'!$M869))</f>
        <v/>
      </c>
      <c r="AM869" t="str">
        <f>IF('TMP Paste'!$F869="","",IF('TMP Paste'!$N869="",$AM868,'TMP Paste'!$N869))</f>
        <v/>
      </c>
      <c r="AN869" t="str">
        <f>IF('TMP Paste'!$F869="","",IF('TMP Paste'!$O869="",$AN868,'TMP Paste'!$O869))</f>
        <v/>
      </c>
      <c r="AO869" t="str">
        <f>IF('TMP Paste'!$F869="","",IF('TMP Paste'!$P869="",$AO868,'TMP Paste'!$P869))</f>
        <v/>
      </c>
      <c r="AP869" t="str">
        <f t="shared" si="83"/>
        <v/>
      </c>
      <c r="AQ869" t="str">
        <f>IF($AS869="","",TRIM(IF(COUNTIFS(Calc!$B$2:$B$1601,ROW()-1,Calc!$C$2:$C$1601,"&lt;1")&gt;0,"Ada PO tanpa Koli - cek TMP. ","")&amp;IF(OR($AU869="",$AU869&lt;=0),"Volume kosong/0 - dimensi dikosongkan. ","")&amp;IF(AND($AU869&lt;&gt;"",$AU869&gt;=1000000),"Volume &gt;= 1.000.000 cm3 (di luar aturan) - dimensi dikosongkan. ","")&amp;IF(LEN($R869)&gt;500,"R &gt; 500 karakter.","")))</f>
        <v/>
      </c>
      <c r="AS869" t="str">
        <f>IFERROR(MATCH(ROW()-1,Calc!$J$2:$J$1601,0),"")</f>
        <v/>
      </c>
      <c r="AT869" t="str">
        <f>IFERROR(MATCH(ROW()-1,Calc!$K$2:$K$1601,0),"")</f>
        <v/>
      </c>
      <c r="AU869" t="str">
        <f>IF($AS869="","",IFERROR(INDEX('TMP Paste'!$D$2:$D$1601,$AS869)*1000000/$AB869,""))</f>
        <v/>
      </c>
    </row>
    <row r="870" spans="1:47">
      <c r="A870" t="str">
        <f>IF($AS870="","",INDEX('TMP Paste'!$B$2:$B$1601,$AS870))</f>
        <v/>
      </c>
      <c r="B870" t="str">
        <f>IF($AS870="","",Config!$B$14)</f>
        <v/>
      </c>
      <c r="C870" t="str">
        <f>IF($AS870="","",Config!$B$15)</f>
        <v/>
      </c>
      <c r="D870" t="str">
        <f>IF($AS870="","",INDEX('TMP Paste'!$B$2:$B$1601,$AS870))</f>
        <v/>
      </c>
      <c r="E870" t="str">
        <f>IF($AS870="","",Config!$B$27)</f>
        <v/>
      </c>
      <c r="F870" t="str">
        <f>IF($AS870="","",Config!$B$9)</f>
        <v/>
      </c>
      <c r="G870" t="str">
        <f>IF($AS870="","",Config!$B$10)</f>
        <v/>
      </c>
      <c r="H870" t="str">
        <f>IF($AS870="","",Config!$B$11)</f>
        <v/>
      </c>
      <c r="I870" t="str">
        <f>IF($AS870="","",Config!$B$16)</f>
        <v/>
      </c>
      <c r="J870" t="str">
        <f>IF($AS870="","",INDEX('TMP Paste'!$A$2:$A$1601,$AS870))</f>
        <v/>
      </c>
      <c r="K870" t="str">
        <f>IF($AS870="","",INDEX('TMP Paste'!$L$2:$L$1601,$AS870))</f>
        <v/>
      </c>
      <c r="L870" t="str">
        <f>IF($AS870="","",INDEX('TMP Paste'!$I$2:$I$1601,$AS870))</f>
        <v/>
      </c>
      <c r="M870" t="str">
        <f>IF($AS870="","",Config!$B$16)</f>
        <v/>
      </c>
      <c r="N870" t="str">
        <f t="shared" si="78"/>
        <v/>
      </c>
      <c r="O870" t="str">
        <f>IF($AS870="","",INDEX('TMP Paste'!$K$2:$K$1601,$AS870))</f>
        <v/>
      </c>
      <c r="P870" t="str">
        <f t="shared" si="79"/>
        <v/>
      </c>
      <c r="Q870" t="str">
        <f>IF($AS870="","",INDEX('TMP Paste'!$J$2:$J$1601,$AS870))</f>
        <v/>
      </c>
      <c r="R870" t="str">
        <f>IF($AS870="","",Config!$B$24)</f>
        <v/>
      </c>
      <c r="S870" t="str">
        <f ca="1">IF($AS870="","",TEXT(Config!$B$4,"yyyy-mm-dd"))</f>
        <v/>
      </c>
      <c r="T870" t="str">
        <f>IF($AS870="","",Config!$B$17)</f>
        <v/>
      </c>
      <c r="U870" t="str">
        <f>IF($AS870="","",Config!$B$18)</f>
        <v/>
      </c>
      <c r="V870" t="str">
        <f>IF($AS870="","",Config!$B$19)</f>
        <v/>
      </c>
      <c r="W870" t="str">
        <f>IF($AS870="","",INDEX('TMP Paste'!$C$2:$C$1601,$AS870))</f>
        <v/>
      </c>
      <c r="X870" t="str">
        <f>IF($AS870="","",Config!$B$29)</f>
        <v/>
      </c>
      <c r="Y870" t="str">
        <f>IF($AT870="","",INDEX(Calc!$I$2:$I$1601,$AT870)&amp;" - "&amp;INDEX(Calc!$D$2:$D$1601,$AT870)&amp;" koli")</f>
        <v/>
      </c>
      <c r="Z870" t="str">
        <f>IF($AS870="","",Config!$B$21)</f>
        <v/>
      </c>
      <c r="AA870" t="str">
        <f>IF($AS870="","",Config!$B$22)</f>
        <v/>
      </c>
      <c r="AB870" t="str">
        <f>IF($AT870="","",INDEX(Calc!$D$2:$D$1601,$AT870))</f>
        <v/>
      </c>
      <c r="AC870" t="str">
        <f>IF($AT870="","",INDEX(Calc!$G$2:$G$1601,$AT870))</f>
        <v/>
      </c>
      <c r="AD870" t="str">
        <f>IF($AS870="","",Config!$B$23)</f>
        <v/>
      </c>
      <c r="AE870" t="str">
        <f>IF($AS870="","",Config!$B$28)</f>
        <v/>
      </c>
      <c r="AF870" t="str">
        <f t="shared" si="80"/>
        <v/>
      </c>
      <c r="AG870" t="str">
        <f t="shared" si="81"/>
        <v/>
      </c>
      <c r="AH870" t="str">
        <f t="shared" si="82"/>
        <v/>
      </c>
      <c r="AI870" t="str">
        <f>IF($AG870="","",SUMIF($AG$2:$AG870,$AG870,$AH$2:$AH870))</f>
        <v/>
      </c>
      <c r="AJ870" t="str">
        <f>IF('TMP Paste'!$F870="","",IF('TMP Paste'!$B870="",$AJ869,'TMP Paste'!$B870))</f>
        <v/>
      </c>
      <c r="AK870" t="str">
        <f>IF('TMP Paste'!$F870="","",N('TMP Paste'!$G870))</f>
        <v/>
      </c>
      <c r="AL870" t="str">
        <f>IF('TMP Paste'!$F870="","",IF('TMP Paste'!$M870="",$AL869,'TMP Paste'!$M870))</f>
        <v/>
      </c>
      <c r="AM870" t="str">
        <f>IF('TMP Paste'!$F870="","",IF('TMP Paste'!$N870="",$AM869,'TMP Paste'!$N870))</f>
        <v/>
      </c>
      <c r="AN870" t="str">
        <f>IF('TMP Paste'!$F870="","",IF('TMP Paste'!$O870="",$AN869,'TMP Paste'!$O870))</f>
        <v/>
      </c>
      <c r="AO870" t="str">
        <f>IF('TMP Paste'!$F870="","",IF('TMP Paste'!$P870="",$AO869,'TMP Paste'!$P870))</f>
        <v/>
      </c>
      <c r="AP870" t="str">
        <f t="shared" si="83"/>
        <v/>
      </c>
      <c r="AQ870" t="str">
        <f>IF($AS870="","",TRIM(IF(COUNTIFS(Calc!$B$2:$B$1601,ROW()-1,Calc!$C$2:$C$1601,"&lt;1")&gt;0,"Ada PO tanpa Koli - cek TMP. ","")&amp;IF(OR($AU870="",$AU870&lt;=0),"Volume kosong/0 - dimensi dikosongkan. ","")&amp;IF(AND($AU870&lt;&gt;"",$AU870&gt;=1000000),"Volume &gt;= 1.000.000 cm3 (di luar aturan) - dimensi dikosongkan. ","")&amp;IF(LEN($R870)&gt;500,"R &gt; 500 karakter.","")))</f>
        <v/>
      </c>
      <c r="AS870" t="str">
        <f>IFERROR(MATCH(ROW()-1,Calc!$J$2:$J$1601,0),"")</f>
        <v/>
      </c>
      <c r="AT870" t="str">
        <f>IFERROR(MATCH(ROW()-1,Calc!$K$2:$K$1601,0),"")</f>
        <v/>
      </c>
      <c r="AU870" t="str">
        <f>IF($AS870="","",IFERROR(INDEX('TMP Paste'!$D$2:$D$1601,$AS870)*1000000/$AB870,""))</f>
        <v/>
      </c>
    </row>
    <row r="871" spans="1:47">
      <c r="A871" t="str">
        <f>IF($AS871="","",INDEX('TMP Paste'!$B$2:$B$1601,$AS871))</f>
        <v/>
      </c>
      <c r="B871" t="str">
        <f>IF($AS871="","",Config!$B$14)</f>
        <v/>
      </c>
      <c r="C871" t="str">
        <f>IF($AS871="","",Config!$B$15)</f>
        <v/>
      </c>
      <c r="D871" t="str">
        <f>IF($AS871="","",INDEX('TMP Paste'!$B$2:$B$1601,$AS871))</f>
        <v/>
      </c>
      <c r="E871" t="str">
        <f>IF($AS871="","",Config!$B$27)</f>
        <v/>
      </c>
      <c r="F871" t="str">
        <f>IF($AS871="","",Config!$B$9)</f>
        <v/>
      </c>
      <c r="G871" t="str">
        <f>IF($AS871="","",Config!$B$10)</f>
        <v/>
      </c>
      <c r="H871" t="str">
        <f>IF($AS871="","",Config!$B$11)</f>
        <v/>
      </c>
      <c r="I871" t="str">
        <f>IF($AS871="","",Config!$B$16)</f>
        <v/>
      </c>
      <c r="J871" t="str">
        <f>IF($AS871="","",INDEX('TMP Paste'!$A$2:$A$1601,$AS871))</f>
        <v/>
      </c>
      <c r="K871" t="str">
        <f>IF($AS871="","",INDEX('TMP Paste'!$L$2:$L$1601,$AS871))</f>
        <v/>
      </c>
      <c r="L871" t="str">
        <f>IF($AS871="","",INDEX('TMP Paste'!$I$2:$I$1601,$AS871))</f>
        <v/>
      </c>
      <c r="M871" t="str">
        <f>IF($AS871="","",Config!$B$16)</f>
        <v/>
      </c>
      <c r="N871" t="str">
        <f t="shared" si="78"/>
        <v/>
      </c>
      <c r="O871" t="str">
        <f>IF($AS871="","",INDEX('TMP Paste'!$K$2:$K$1601,$AS871))</f>
        <v/>
      </c>
      <c r="P871" t="str">
        <f t="shared" si="79"/>
        <v/>
      </c>
      <c r="Q871" t="str">
        <f>IF($AS871="","",INDEX('TMP Paste'!$J$2:$J$1601,$AS871))</f>
        <v/>
      </c>
      <c r="R871" t="str">
        <f>IF($AS871="","",Config!$B$24)</f>
        <v/>
      </c>
      <c r="S871" t="str">
        <f ca="1">IF($AS871="","",TEXT(Config!$B$4,"yyyy-mm-dd"))</f>
        <v/>
      </c>
      <c r="T871" t="str">
        <f>IF($AS871="","",Config!$B$17)</f>
        <v/>
      </c>
      <c r="U871" t="str">
        <f>IF($AS871="","",Config!$B$18)</f>
        <v/>
      </c>
      <c r="V871" t="str">
        <f>IF($AS871="","",Config!$B$19)</f>
        <v/>
      </c>
      <c r="W871" t="str">
        <f>IF($AS871="","",INDEX('TMP Paste'!$C$2:$C$1601,$AS871))</f>
        <v/>
      </c>
      <c r="X871" t="str">
        <f>IF($AS871="","",Config!$B$29)</f>
        <v/>
      </c>
      <c r="Y871" t="str">
        <f>IF($AT871="","",INDEX(Calc!$I$2:$I$1601,$AT871)&amp;" - "&amp;INDEX(Calc!$D$2:$D$1601,$AT871)&amp;" koli")</f>
        <v/>
      </c>
      <c r="Z871" t="str">
        <f>IF($AS871="","",Config!$B$21)</f>
        <v/>
      </c>
      <c r="AA871" t="str">
        <f>IF($AS871="","",Config!$B$22)</f>
        <v/>
      </c>
      <c r="AB871" t="str">
        <f>IF($AT871="","",INDEX(Calc!$D$2:$D$1601,$AT871))</f>
        <v/>
      </c>
      <c r="AC871" t="str">
        <f>IF($AT871="","",INDEX(Calc!$G$2:$G$1601,$AT871))</f>
        <v/>
      </c>
      <c r="AD871" t="str">
        <f>IF($AS871="","",Config!$B$23)</f>
        <v/>
      </c>
      <c r="AE871" t="str">
        <f>IF($AS871="","",Config!$B$28)</f>
        <v/>
      </c>
      <c r="AF871" t="str">
        <f t="shared" si="80"/>
        <v/>
      </c>
      <c r="AG871" t="str">
        <f t="shared" si="81"/>
        <v/>
      </c>
      <c r="AH871" t="str">
        <f t="shared" si="82"/>
        <v/>
      </c>
      <c r="AI871" t="str">
        <f>IF($AG871="","",SUMIF($AG$2:$AG871,$AG871,$AH$2:$AH871))</f>
        <v/>
      </c>
      <c r="AJ871" t="str">
        <f>IF('TMP Paste'!$F871="","",IF('TMP Paste'!$B871="",$AJ870,'TMP Paste'!$B871))</f>
        <v/>
      </c>
      <c r="AK871" t="str">
        <f>IF('TMP Paste'!$F871="","",N('TMP Paste'!$G871))</f>
        <v/>
      </c>
      <c r="AL871" t="str">
        <f>IF('TMP Paste'!$F871="","",IF('TMP Paste'!$M871="",$AL870,'TMP Paste'!$M871))</f>
        <v/>
      </c>
      <c r="AM871" t="str">
        <f>IF('TMP Paste'!$F871="","",IF('TMP Paste'!$N871="",$AM870,'TMP Paste'!$N871))</f>
        <v/>
      </c>
      <c r="AN871" t="str">
        <f>IF('TMP Paste'!$F871="","",IF('TMP Paste'!$O871="",$AN870,'TMP Paste'!$O871))</f>
        <v/>
      </c>
      <c r="AO871" t="str">
        <f>IF('TMP Paste'!$F871="","",IF('TMP Paste'!$P871="",$AO870,'TMP Paste'!$P871))</f>
        <v/>
      </c>
      <c r="AP871" t="str">
        <f t="shared" si="83"/>
        <v/>
      </c>
      <c r="AQ871" t="str">
        <f>IF($AS871="","",TRIM(IF(COUNTIFS(Calc!$B$2:$B$1601,ROW()-1,Calc!$C$2:$C$1601,"&lt;1")&gt;0,"Ada PO tanpa Koli - cek TMP. ","")&amp;IF(OR($AU871="",$AU871&lt;=0),"Volume kosong/0 - dimensi dikosongkan. ","")&amp;IF(AND($AU871&lt;&gt;"",$AU871&gt;=1000000),"Volume &gt;= 1.000.000 cm3 (di luar aturan) - dimensi dikosongkan. ","")&amp;IF(LEN($R871)&gt;500,"R &gt; 500 karakter.","")))</f>
        <v/>
      </c>
      <c r="AS871" t="str">
        <f>IFERROR(MATCH(ROW()-1,Calc!$J$2:$J$1601,0),"")</f>
        <v/>
      </c>
      <c r="AT871" t="str">
        <f>IFERROR(MATCH(ROW()-1,Calc!$K$2:$K$1601,0),"")</f>
        <v/>
      </c>
      <c r="AU871" t="str">
        <f>IF($AS871="","",IFERROR(INDEX('TMP Paste'!$D$2:$D$1601,$AS871)*1000000/$AB871,""))</f>
        <v/>
      </c>
    </row>
    <row r="872" spans="1:47">
      <c r="A872" t="str">
        <f>IF($AS872="","",INDEX('TMP Paste'!$B$2:$B$1601,$AS872))</f>
        <v/>
      </c>
      <c r="B872" t="str">
        <f>IF($AS872="","",Config!$B$14)</f>
        <v/>
      </c>
      <c r="C872" t="str">
        <f>IF($AS872="","",Config!$B$15)</f>
        <v/>
      </c>
      <c r="D872" t="str">
        <f>IF($AS872="","",INDEX('TMP Paste'!$B$2:$B$1601,$AS872))</f>
        <v/>
      </c>
      <c r="E872" t="str">
        <f>IF($AS872="","",Config!$B$27)</f>
        <v/>
      </c>
      <c r="F872" t="str">
        <f>IF($AS872="","",Config!$B$9)</f>
        <v/>
      </c>
      <c r="G872" t="str">
        <f>IF($AS872="","",Config!$B$10)</f>
        <v/>
      </c>
      <c r="H872" t="str">
        <f>IF($AS872="","",Config!$B$11)</f>
        <v/>
      </c>
      <c r="I872" t="str">
        <f>IF($AS872="","",Config!$B$16)</f>
        <v/>
      </c>
      <c r="J872" t="str">
        <f>IF($AS872="","",INDEX('TMP Paste'!$A$2:$A$1601,$AS872))</f>
        <v/>
      </c>
      <c r="K872" t="str">
        <f>IF($AS872="","",INDEX('TMP Paste'!$L$2:$L$1601,$AS872))</f>
        <v/>
      </c>
      <c r="L872" t="str">
        <f>IF($AS872="","",INDEX('TMP Paste'!$I$2:$I$1601,$AS872))</f>
        <v/>
      </c>
      <c r="M872" t="str">
        <f>IF($AS872="","",Config!$B$16)</f>
        <v/>
      </c>
      <c r="N872" t="str">
        <f t="shared" si="78"/>
        <v/>
      </c>
      <c r="O872" t="str">
        <f>IF($AS872="","",INDEX('TMP Paste'!$K$2:$K$1601,$AS872))</f>
        <v/>
      </c>
      <c r="P872" t="str">
        <f t="shared" si="79"/>
        <v/>
      </c>
      <c r="Q872" t="str">
        <f>IF($AS872="","",INDEX('TMP Paste'!$J$2:$J$1601,$AS872))</f>
        <v/>
      </c>
      <c r="R872" t="str">
        <f>IF($AS872="","",Config!$B$24)</f>
        <v/>
      </c>
      <c r="S872" t="str">
        <f ca="1">IF($AS872="","",TEXT(Config!$B$4,"yyyy-mm-dd"))</f>
        <v/>
      </c>
      <c r="T872" t="str">
        <f>IF($AS872="","",Config!$B$17)</f>
        <v/>
      </c>
      <c r="U872" t="str">
        <f>IF($AS872="","",Config!$B$18)</f>
        <v/>
      </c>
      <c r="V872" t="str">
        <f>IF($AS872="","",Config!$B$19)</f>
        <v/>
      </c>
      <c r="W872" t="str">
        <f>IF($AS872="","",INDEX('TMP Paste'!$C$2:$C$1601,$AS872))</f>
        <v/>
      </c>
      <c r="X872" t="str">
        <f>IF($AS872="","",Config!$B$29)</f>
        <v/>
      </c>
      <c r="Y872" t="str">
        <f>IF($AT872="","",INDEX(Calc!$I$2:$I$1601,$AT872)&amp;" - "&amp;INDEX(Calc!$D$2:$D$1601,$AT872)&amp;" koli")</f>
        <v/>
      </c>
      <c r="Z872" t="str">
        <f>IF($AS872="","",Config!$B$21)</f>
        <v/>
      </c>
      <c r="AA872" t="str">
        <f>IF($AS872="","",Config!$B$22)</f>
        <v/>
      </c>
      <c r="AB872" t="str">
        <f>IF($AT872="","",INDEX(Calc!$D$2:$D$1601,$AT872))</f>
        <v/>
      </c>
      <c r="AC872" t="str">
        <f>IF($AT872="","",INDEX(Calc!$G$2:$G$1601,$AT872))</f>
        <v/>
      </c>
      <c r="AD872" t="str">
        <f>IF($AS872="","",Config!$B$23)</f>
        <v/>
      </c>
      <c r="AE872" t="str">
        <f>IF($AS872="","",Config!$B$28)</f>
        <v/>
      </c>
      <c r="AF872" t="str">
        <f t="shared" si="80"/>
        <v/>
      </c>
      <c r="AG872" t="str">
        <f t="shared" si="81"/>
        <v/>
      </c>
      <c r="AH872" t="str">
        <f t="shared" si="82"/>
        <v/>
      </c>
      <c r="AI872" t="str">
        <f>IF($AG872="","",SUMIF($AG$2:$AG872,$AG872,$AH$2:$AH872))</f>
        <v/>
      </c>
      <c r="AJ872" t="str">
        <f>IF('TMP Paste'!$F872="","",IF('TMP Paste'!$B872="",$AJ871,'TMP Paste'!$B872))</f>
        <v/>
      </c>
      <c r="AK872" t="str">
        <f>IF('TMP Paste'!$F872="","",N('TMP Paste'!$G872))</f>
        <v/>
      </c>
      <c r="AL872" t="str">
        <f>IF('TMP Paste'!$F872="","",IF('TMP Paste'!$M872="",$AL871,'TMP Paste'!$M872))</f>
        <v/>
      </c>
      <c r="AM872" t="str">
        <f>IF('TMP Paste'!$F872="","",IF('TMP Paste'!$N872="",$AM871,'TMP Paste'!$N872))</f>
        <v/>
      </c>
      <c r="AN872" t="str">
        <f>IF('TMP Paste'!$F872="","",IF('TMP Paste'!$O872="",$AN871,'TMP Paste'!$O872))</f>
        <v/>
      </c>
      <c r="AO872" t="str">
        <f>IF('TMP Paste'!$F872="","",IF('TMP Paste'!$P872="",$AO871,'TMP Paste'!$P872))</f>
        <v/>
      </c>
      <c r="AP872" t="str">
        <f t="shared" si="83"/>
        <v/>
      </c>
      <c r="AQ872" t="str">
        <f>IF($AS872="","",TRIM(IF(COUNTIFS(Calc!$B$2:$B$1601,ROW()-1,Calc!$C$2:$C$1601,"&lt;1")&gt;0,"Ada PO tanpa Koli - cek TMP. ","")&amp;IF(OR($AU872="",$AU872&lt;=0),"Volume kosong/0 - dimensi dikosongkan. ","")&amp;IF(AND($AU872&lt;&gt;"",$AU872&gt;=1000000),"Volume &gt;= 1.000.000 cm3 (di luar aturan) - dimensi dikosongkan. ","")&amp;IF(LEN($R872)&gt;500,"R &gt; 500 karakter.","")))</f>
        <v/>
      </c>
      <c r="AS872" t="str">
        <f>IFERROR(MATCH(ROW()-1,Calc!$J$2:$J$1601,0),"")</f>
        <v/>
      </c>
      <c r="AT872" t="str">
        <f>IFERROR(MATCH(ROW()-1,Calc!$K$2:$K$1601,0),"")</f>
        <v/>
      </c>
      <c r="AU872" t="str">
        <f>IF($AS872="","",IFERROR(INDEX('TMP Paste'!$D$2:$D$1601,$AS872)*1000000/$AB872,""))</f>
        <v/>
      </c>
    </row>
    <row r="873" spans="1:47">
      <c r="A873" t="str">
        <f>IF($AS873="","",INDEX('TMP Paste'!$B$2:$B$1601,$AS873))</f>
        <v/>
      </c>
      <c r="B873" t="str">
        <f>IF($AS873="","",Config!$B$14)</f>
        <v/>
      </c>
      <c r="C873" t="str">
        <f>IF($AS873="","",Config!$B$15)</f>
        <v/>
      </c>
      <c r="D873" t="str">
        <f>IF($AS873="","",INDEX('TMP Paste'!$B$2:$B$1601,$AS873))</f>
        <v/>
      </c>
      <c r="E873" t="str">
        <f>IF($AS873="","",Config!$B$27)</f>
        <v/>
      </c>
      <c r="F873" t="str">
        <f>IF($AS873="","",Config!$B$9)</f>
        <v/>
      </c>
      <c r="G873" t="str">
        <f>IF($AS873="","",Config!$B$10)</f>
        <v/>
      </c>
      <c r="H873" t="str">
        <f>IF($AS873="","",Config!$B$11)</f>
        <v/>
      </c>
      <c r="I873" t="str">
        <f>IF($AS873="","",Config!$B$16)</f>
        <v/>
      </c>
      <c r="J873" t="str">
        <f>IF($AS873="","",INDEX('TMP Paste'!$A$2:$A$1601,$AS873))</f>
        <v/>
      </c>
      <c r="K873" t="str">
        <f>IF($AS873="","",INDEX('TMP Paste'!$L$2:$L$1601,$AS873))</f>
        <v/>
      </c>
      <c r="L873" t="str">
        <f>IF($AS873="","",INDEX('TMP Paste'!$I$2:$I$1601,$AS873))</f>
        <v/>
      </c>
      <c r="M873" t="str">
        <f>IF($AS873="","",Config!$B$16)</f>
        <v/>
      </c>
      <c r="N873" t="str">
        <f t="shared" si="78"/>
        <v/>
      </c>
      <c r="O873" t="str">
        <f>IF($AS873="","",INDEX('TMP Paste'!$K$2:$K$1601,$AS873))</f>
        <v/>
      </c>
      <c r="P873" t="str">
        <f t="shared" si="79"/>
        <v/>
      </c>
      <c r="Q873" t="str">
        <f>IF($AS873="","",INDEX('TMP Paste'!$J$2:$J$1601,$AS873))</f>
        <v/>
      </c>
      <c r="R873" t="str">
        <f>IF($AS873="","",Config!$B$24)</f>
        <v/>
      </c>
      <c r="S873" t="str">
        <f ca="1">IF($AS873="","",TEXT(Config!$B$4,"yyyy-mm-dd"))</f>
        <v/>
      </c>
      <c r="T873" t="str">
        <f>IF($AS873="","",Config!$B$17)</f>
        <v/>
      </c>
      <c r="U873" t="str">
        <f>IF($AS873="","",Config!$B$18)</f>
        <v/>
      </c>
      <c r="V873" t="str">
        <f>IF($AS873="","",Config!$B$19)</f>
        <v/>
      </c>
      <c r="W873" t="str">
        <f>IF($AS873="","",INDEX('TMP Paste'!$C$2:$C$1601,$AS873))</f>
        <v/>
      </c>
      <c r="X873" t="str">
        <f>IF($AS873="","",Config!$B$29)</f>
        <v/>
      </c>
      <c r="Y873" t="str">
        <f>IF($AT873="","",INDEX(Calc!$I$2:$I$1601,$AT873)&amp;" - "&amp;INDEX(Calc!$D$2:$D$1601,$AT873)&amp;" koli")</f>
        <v/>
      </c>
      <c r="Z873" t="str">
        <f>IF($AS873="","",Config!$B$21)</f>
        <v/>
      </c>
      <c r="AA873" t="str">
        <f>IF($AS873="","",Config!$B$22)</f>
        <v/>
      </c>
      <c r="AB873" t="str">
        <f>IF($AT873="","",INDEX(Calc!$D$2:$D$1601,$AT873))</f>
        <v/>
      </c>
      <c r="AC873" t="str">
        <f>IF($AT873="","",INDEX(Calc!$G$2:$G$1601,$AT873))</f>
        <v/>
      </c>
      <c r="AD873" t="str">
        <f>IF($AS873="","",Config!$B$23)</f>
        <v/>
      </c>
      <c r="AE873" t="str">
        <f>IF($AS873="","",Config!$B$28)</f>
        <v/>
      </c>
      <c r="AF873" t="str">
        <f t="shared" si="80"/>
        <v/>
      </c>
      <c r="AG873" t="str">
        <f t="shared" si="81"/>
        <v/>
      </c>
      <c r="AH873" t="str">
        <f t="shared" si="82"/>
        <v/>
      </c>
      <c r="AI873" t="str">
        <f>IF($AG873="","",SUMIF($AG$2:$AG873,$AG873,$AH$2:$AH873))</f>
        <v/>
      </c>
      <c r="AJ873" t="str">
        <f>IF('TMP Paste'!$F873="","",IF('TMP Paste'!$B873="",$AJ872,'TMP Paste'!$B873))</f>
        <v/>
      </c>
      <c r="AK873" t="str">
        <f>IF('TMP Paste'!$F873="","",N('TMP Paste'!$G873))</f>
        <v/>
      </c>
      <c r="AL873" t="str">
        <f>IF('TMP Paste'!$F873="","",IF('TMP Paste'!$M873="",$AL872,'TMP Paste'!$M873))</f>
        <v/>
      </c>
      <c r="AM873" t="str">
        <f>IF('TMP Paste'!$F873="","",IF('TMP Paste'!$N873="",$AM872,'TMP Paste'!$N873))</f>
        <v/>
      </c>
      <c r="AN873" t="str">
        <f>IF('TMP Paste'!$F873="","",IF('TMP Paste'!$O873="",$AN872,'TMP Paste'!$O873))</f>
        <v/>
      </c>
      <c r="AO873" t="str">
        <f>IF('TMP Paste'!$F873="","",IF('TMP Paste'!$P873="",$AO872,'TMP Paste'!$P873))</f>
        <v/>
      </c>
      <c r="AP873" t="str">
        <f t="shared" si="83"/>
        <v/>
      </c>
      <c r="AQ873" t="str">
        <f>IF($AS873="","",TRIM(IF(COUNTIFS(Calc!$B$2:$B$1601,ROW()-1,Calc!$C$2:$C$1601,"&lt;1")&gt;0,"Ada PO tanpa Koli - cek TMP. ","")&amp;IF(OR($AU873="",$AU873&lt;=0),"Volume kosong/0 - dimensi dikosongkan. ","")&amp;IF(AND($AU873&lt;&gt;"",$AU873&gt;=1000000),"Volume &gt;= 1.000.000 cm3 (di luar aturan) - dimensi dikosongkan. ","")&amp;IF(LEN($R873)&gt;500,"R &gt; 500 karakter.","")))</f>
        <v/>
      </c>
      <c r="AS873" t="str">
        <f>IFERROR(MATCH(ROW()-1,Calc!$J$2:$J$1601,0),"")</f>
        <v/>
      </c>
      <c r="AT873" t="str">
        <f>IFERROR(MATCH(ROW()-1,Calc!$K$2:$K$1601,0),"")</f>
        <v/>
      </c>
      <c r="AU873" t="str">
        <f>IF($AS873="","",IFERROR(INDEX('TMP Paste'!$D$2:$D$1601,$AS873)*1000000/$AB873,""))</f>
        <v/>
      </c>
    </row>
    <row r="874" spans="1:47">
      <c r="A874" t="str">
        <f>IF($AS874="","",INDEX('TMP Paste'!$B$2:$B$1601,$AS874))</f>
        <v/>
      </c>
      <c r="B874" t="str">
        <f>IF($AS874="","",Config!$B$14)</f>
        <v/>
      </c>
      <c r="C874" t="str">
        <f>IF($AS874="","",Config!$B$15)</f>
        <v/>
      </c>
      <c r="D874" t="str">
        <f>IF($AS874="","",INDEX('TMP Paste'!$B$2:$B$1601,$AS874))</f>
        <v/>
      </c>
      <c r="E874" t="str">
        <f>IF($AS874="","",Config!$B$27)</f>
        <v/>
      </c>
      <c r="F874" t="str">
        <f>IF($AS874="","",Config!$B$9)</f>
        <v/>
      </c>
      <c r="G874" t="str">
        <f>IF($AS874="","",Config!$B$10)</f>
        <v/>
      </c>
      <c r="H874" t="str">
        <f>IF($AS874="","",Config!$B$11)</f>
        <v/>
      </c>
      <c r="I874" t="str">
        <f>IF($AS874="","",Config!$B$16)</f>
        <v/>
      </c>
      <c r="J874" t="str">
        <f>IF($AS874="","",INDEX('TMP Paste'!$A$2:$A$1601,$AS874))</f>
        <v/>
      </c>
      <c r="K874" t="str">
        <f>IF($AS874="","",INDEX('TMP Paste'!$L$2:$L$1601,$AS874))</f>
        <v/>
      </c>
      <c r="L874" t="str">
        <f>IF($AS874="","",INDEX('TMP Paste'!$I$2:$I$1601,$AS874))</f>
        <v/>
      </c>
      <c r="M874" t="str">
        <f>IF($AS874="","",Config!$B$16)</f>
        <v/>
      </c>
      <c r="N874" t="str">
        <f t="shared" si="78"/>
        <v/>
      </c>
      <c r="O874" t="str">
        <f>IF($AS874="","",INDEX('TMP Paste'!$K$2:$K$1601,$AS874))</f>
        <v/>
      </c>
      <c r="P874" t="str">
        <f t="shared" si="79"/>
        <v/>
      </c>
      <c r="Q874" t="str">
        <f>IF($AS874="","",INDEX('TMP Paste'!$J$2:$J$1601,$AS874))</f>
        <v/>
      </c>
      <c r="R874" t="str">
        <f>IF($AS874="","",Config!$B$24)</f>
        <v/>
      </c>
      <c r="S874" t="str">
        <f ca="1">IF($AS874="","",TEXT(Config!$B$4,"yyyy-mm-dd"))</f>
        <v/>
      </c>
      <c r="T874" t="str">
        <f>IF($AS874="","",Config!$B$17)</f>
        <v/>
      </c>
      <c r="U874" t="str">
        <f>IF($AS874="","",Config!$B$18)</f>
        <v/>
      </c>
      <c r="V874" t="str">
        <f>IF($AS874="","",Config!$B$19)</f>
        <v/>
      </c>
      <c r="W874" t="str">
        <f>IF($AS874="","",INDEX('TMP Paste'!$C$2:$C$1601,$AS874))</f>
        <v/>
      </c>
      <c r="X874" t="str">
        <f>IF($AS874="","",Config!$B$29)</f>
        <v/>
      </c>
      <c r="Y874" t="str">
        <f>IF($AT874="","",INDEX(Calc!$I$2:$I$1601,$AT874)&amp;" - "&amp;INDEX(Calc!$D$2:$D$1601,$AT874)&amp;" koli")</f>
        <v/>
      </c>
      <c r="Z874" t="str">
        <f>IF($AS874="","",Config!$B$21)</f>
        <v/>
      </c>
      <c r="AA874" t="str">
        <f>IF($AS874="","",Config!$B$22)</f>
        <v/>
      </c>
      <c r="AB874" t="str">
        <f>IF($AT874="","",INDEX(Calc!$D$2:$D$1601,$AT874))</f>
        <v/>
      </c>
      <c r="AC874" t="str">
        <f>IF($AT874="","",INDEX(Calc!$G$2:$G$1601,$AT874))</f>
        <v/>
      </c>
      <c r="AD874" t="str">
        <f>IF($AS874="","",Config!$B$23)</f>
        <v/>
      </c>
      <c r="AE874" t="str">
        <f>IF($AS874="","",Config!$B$28)</f>
        <v/>
      </c>
      <c r="AF874" t="str">
        <f t="shared" si="80"/>
        <v/>
      </c>
      <c r="AG874" t="str">
        <f t="shared" si="81"/>
        <v/>
      </c>
      <c r="AH874" t="str">
        <f t="shared" si="82"/>
        <v/>
      </c>
      <c r="AI874" t="str">
        <f>IF($AG874="","",SUMIF($AG$2:$AG874,$AG874,$AH$2:$AH874))</f>
        <v/>
      </c>
      <c r="AJ874" t="str">
        <f>IF('TMP Paste'!$F874="","",IF('TMP Paste'!$B874="",$AJ873,'TMP Paste'!$B874))</f>
        <v/>
      </c>
      <c r="AK874" t="str">
        <f>IF('TMP Paste'!$F874="","",N('TMP Paste'!$G874))</f>
        <v/>
      </c>
      <c r="AL874" t="str">
        <f>IF('TMP Paste'!$F874="","",IF('TMP Paste'!$M874="",$AL873,'TMP Paste'!$M874))</f>
        <v/>
      </c>
      <c r="AM874" t="str">
        <f>IF('TMP Paste'!$F874="","",IF('TMP Paste'!$N874="",$AM873,'TMP Paste'!$N874))</f>
        <v/>
      </c>
      <c r="AN874" t="str">
        <f>IF('TMP Paste'!$F874="","",IF('TMP Paste'!$O874="",$AN873,'TMP Paste'!$O874))</f>
        <v/>
      </c>
      <c r="AO874" t="str">
        <f>IF('TMP Paste'!$F874="","",IF('TMP Paste'!$P874="",$AO873,'TMP Paste'!$P874))</f>
        <v/>
      </c>
      <c r="AP874" t="str">
        <f t="shared" si="83"/>
        <v/>
      </c>
      <c r="AQ874" t="str">
        <f>IF($AS874="","",TRIM(IF(COUNTIFS(Calc!$B$2:$B$1601,ROW()-1,Calc!$C$2:$C$1601,"&lt;1")&gt;0,"Ada PO tanpa Koli - cek TMP. ","")&amp;IF(OR($AU874="",$AU874&lt;=0),"Volume kosong/0 - dimensi dikosongkan. ","")&amp;IF(AND($AU874&lt;&gt;"",$AU874&gt;=1000000),"Volume &gt;= 1.000.000 cm3 (di luar aturan) - dimensi dikosongkan. ","")&amp;IF(LEN($R874)&gt;500,"R &gt; 500 karakter.","")))</f>
        <v/>
      </c>
      <c r="AS874" t="str">
        <f>IFERROR(MATCH(ROW()-1,Calc!$J$2:$J$1601,0),"")</f>
        <v/>
      </c>
      <c r="AT874" t="str">
        <f>IFERROR(MATCH(ROW()-1,Calc!$K$2:$K$1601,0),"")</f>
        <v/>
      </c>
      <c r="AU874" t="str">
        <f>IF($AS874="","",IFERROR(INDEX('TMP Paste'!$D$2:$D$1601,$AS874)*1000000/$AB874,""))</f>
        <v/>
      </c>
    </row>
    <row r="875" spans="1:47">
      <c r="A875" t="str">
        <f>IF($AS875="","",INDEX('TMP Paste'!$B$2:$B$1601,$AS875))</f>
        <v/>
      </c>
      <c r="B875" t="str">
        <f>IF($AS875="","",Config!$B$14)</f>
        <v/>
      </c>
      <c r="C875" t="str">
        <f>IF($AS875="","",Config!$B$15)</f>
        <v/>
      </c>
      <c r="D875" t="str">
        <f>IF($AS875="","",INDEX('TMP Paste'!$B$2:$B$1601,$AS875))</f>
        <v/>
      </c>
      <c r="E875" t="str">
        <f>IF($AS875="","",Config!$B$27)</f>
        <v/>
      </c>
      <c r="F875" t="str">
        <f>IF($AS875="","",Config!$B$9)</f>
        <v/>
      </c>
      <c r="G875" t="str">
        <f>IF($AS875="","",Config!$B$10)</f>
        <v/>
      </c>
      <c r="H875" t="str">
        <f>IF($AS875="","",Config!$B$11)</f>
        <v/>
      </c>
      <c r="I875" t="str">
        <f>IF($AS875="","",Config!$B$16)</f>
        <v/>
      </c>
      <c r="J875" t="str">
        <f>IF($AS875="","",INDEX('TMP Paste'!$A$2:$A$1601,$AS875))</f>
        <v/>
      </c>
      <c r="K875" t="str">
        <f>IF($AS875="","",INDEX('TMP Paste'!$L$2:$L$1601,$AS875))</f>
        <v/>
      </c>
      <c r="L875" t="str">
        <f>IF($AS875="","",INDEX('TMP Paste'!$I$2:$I$1601,$AS875))</f>
        <v/>
      </c>
      <c r="M875" t="str">
        <f>IF($AS875="","",Config!$B$16)</f>
        <v/>
      </c>
      <c r="N875" t="str">
        <f t="shared" si="78"/>
        <v/>
      </c>
      <c r="O875" t="str">
        <f>IF($AS875="","",INDEX('TMP Paste'!$K$2:$K$1601,$AS875))</f>
        <v/>
      </c>
      <c r="P875" t="str">
        <f t="shared" si="79"/>
        <v/>
      </c>
      <c r="Q875" t="str">
        <f>IF($AS875="","",INDEX('TMP Paste'!$J$2:$J$1601,$AS875))</f>
        <v/>
      </c>
      <c r="R875" t="str">
        <f>IF($AS875="","",Config!$B$24)</f>
        <v/>
      </c>
      <c r="S875" t="str">
        <f ca="1">IF($AS875="","",TEXT(Config!$B$4,"yyyy-mm-dd"))</f>
        <v/>
      </c>
      <c r="T875" t="str">
        <f>IF($AS875="","",Config!$B$17)</f>
        <v/>
      </c>
      <c r="U875" t="str">
        <f>IF($AS875="","",Config!$B$18)</f>
        <v/>
      </c>
      <c r="V875" t="str">
        <f>IF($AS875="","",Config!$B$19)</f>
        <v/>
      </c>
      <c r="W875" t="str">
        <f>IF($AS875="","",INDEX('TMP Paste'!$C$2:$C$1601,$AS875))</f>
        <v/>
      </c>
      <c r="X875" t="str">
        <f>IF($AS875="","",Config!$B$29)</f>
        <v/>
      </c>
      <c r="Y875" t="str">
        <f>IF($AT875="","",INDEX(Calc!$I$2:$I$1601,$AT875)&amp;" - "&amp;INDEX(Calc!$D$2:$D$1601,$AT875)&amp;" koli")</f>
        <v/>
      </c>
      <c r="Z875" t="str">
        <f>IF($AS875="","",Config!$B$21)</f>
        <v/>
      </c>
      <c r="AA875" t="str">
        <f>IF($AS875="","",Config!$B$22)</f>
        <v/>
      </c>
      <c r="AB875" t="str">
        <f>IF($AT875="","",INDEX(Calc!$D$2:$D$1601,$AT875))</f>
        <v/>
      </c>
      <c r="AC875" t="str">
        <f>IF($AT875="","",INDEX(Calc!$G$2:$G$1601,$AT875))</f>
        <v/>
      </c>
      <c r="AD875" t="str">
        <f>IF($AS875="","",Config!$B$23)</f>
        <v/>
      </c>
      <c r="AE875" t="str">
        <f>IF($AS875="","",Config!$B$28)</f>
        <v/>
      </c>
      <c r="AF875" t="str">
        <f t="shared" si="80"/>
        <v/>
      </c>
      <c r="AG875" t="str">
        <f t="shared" si="81"/>
        <v/>
      </c>
      <c r="AH875" t="str">
        <f t="shared" si="82"/>
        <v/>
      </c>
      <c r="AI875" t="str">
        <f>IF($AG875="","",SUMIF($AG$2:$AG875,$AG875,$AH$2:$AH875))</f>
        <v/>
      </c>
      <c r="AJ875" t="str">
        <f>IF('TMP Paste'!$F875="","",IF('TMP Paste'!$B875="",$AJ874,'TMP Paste'!$B875))</f>
        <v/>
      </c>
      <c r="AK875" t="str">
        <f>IF('TMP Paste'!$F875="","",N('TMP Paste'!$G875))</f>
        <v/>
      </c>
      <c r="AL875" t="str">
        <f>IF('TMP Paste'!$F875="","",IF('TMP Paste'!$M875="",$AL874,'TMP Paste'!$M875))</f>
        <v/>
      </c>
      <c r="AM875" t="str">
        <f>IF('TMP Paste'!$F875="","",IF('TMP Paste'!$N875="",$AM874,'TMP Paste'!$N875))</f>
        <v/>
      </c>
      <c r="AN875" t="str">
        <f>IF('TMP Paste'!$F875="","",IF('TMP Paste'!$O875="",$AN874,'TMP Paste'!$O875))</f>
        <v/>
      </c>
      <c r="AO875" t="str">
        <f>IF('TMP Paste'!$F875="","",IF('TMP Paste'!$P875="",$AO874,'TMP Paste'!$P875))</f>
        <v/>
      </c>
      <c r="AP875" t="str">
        <f t="shared" si="83"/>
        <v/>
      </c>
      <c r="AQ875" t="str">
        <f>IF($AS875="","",TRIM(IF(COUNTIFS(Calc!$B$2:$B$1601,ROW()-1,Calc!$C$2:$C$1601,"&lt;1")&gt;0,"Ada PO tanpa Koli - cek TMP. ","")&amp;IF(OR($AU875="",$AU875&lt;=0),"Volume kosong/0 - dimensi dikosongkan. ","")&amp;IF(AND($AU875&lt;&gt;"",$AU875&gt;=1000000),"Volume &gt;= 1.000.000 cm3 (di luar aturan) - dimensi dikosongkan. ","")&amp;IF(LEN($R875)&gt;500,"R &gt; 500 karakter.","")))</f>
        <v/>
      </c>
      <c r="AS875" t="str">
        <f>IFERROR(MATCH(ROW()-1,Calc!$J$2:$J$1601,0),"")</f>
        <v/>
      </c>
      <c r="AT875" t="str">
        <f>IFERROR(MATCH(ROW()-1,Calc!$K$2:$K$1601,0),"")</f>
        <v/>
      </c>
      <c r="AU875" t="str">
        <f>IF($AS875="","",IFERROR(INDEX('TMP Paste'!$D$2:$D$1601,$AS875)*1000000/$AB875,""))</f>
        <v/>
      </c>
    </row>
    <row r="876" spans="1:47">
      <c r="A876" t="str">
        <f>IF($AS876="","",INDEX('TMP Paste'!$B$2:$B$1601,$AS876))</f>
        <v/>
      </c>
      <c r="B876" t="str">
        <f>IF($AS876="","",Config!$B$14)</f>
        <v/>
      </c>
      <c r="C876" t="str">
        <f>IF($AS876="","",Config!$B$15)</f>
        <v/>
      </c>
      <c r="D876" t="str">
        <f>IF($AS876="","",INDEX('TMP Paste'!$B$2:$B$1601,$AS876))</f>
        <v/>
      </c>
      <c r="E876" t="str">
        <f>IF($AS876="","",Config!$B$27)</f>
        <v/>
      </c>
      <c r="F876" t="str">
        <f>IF($AS876="","",Config!$B$9)</f>
        <v/>
      </c>
      <c r="G876" t="str">
        <f>IF($AS876="","",Config!$B$10)</f>
        <v/>
      </c>
      <c r="H876" t="str">
        <f>IF($AS876="","",Config!$B$11)</f>
        <v/>
      </c>
      <c r="I876" t="str">
        <f>IF($AS876="","",Config!$B$16)</f>
        <v/>
      </c>
      <c r="J876" t="str">
        <f>IF($AS876="","",INDEX('TMP Paste'!$A$2:$A$1601,$AS876))</f>
        <v/>
      </c>
      <c r="K876" t="str">
        <f>IF($AS876="","",INDEX('TMP Paste'!$L$2:$L$1601,$AS876))</f>
        <v/>
      </c>
      <c r="L876" t="str">
        <f>IF($AS876="","",INDEX('TMP Paste'!$I$2:$I$1601,$AS876))</f>
        <v/>
      </c>
      <c r="M876" t="str">
        <f>IF($AS876="","",Config!$B$16)</f>
        <v/>
      </c>
      <c r="N876" t="str">
        <f t="shared" si="78"/>
        <v/>
      </c>
      <c r="O876" t="str">
        <f>IF($AS876="","",INDEX('TMP Paste'!$K$2:$K$1601,$AS876))</f>
        <v/>
      </c>
      <c r="P876" t="str">
        <f t="shared" si="79"/>
        <v/>
      </c>
      <c r="Q876" t="str">
        <f>IF($AS876="","",INDEX('TMP Paste'!$J$2:$J$1601,$AS876))</f>
        <v/>
      </c>
      <c r="R876" t="str">
        <f>IF($AS876="","",Config!$B$24)</f>
        <v/>
      </c>
      <c r="S876" t="str">
        <f ca="1">IF($AS876="","",TEXT(Config!$B$4,"yyyy-mm-dd"))</f>
        <v/>
      </c>
      <c r="T876" t="str">
        <f>IF($AS876="","",Config!$B$17)</f>
        <v/>
      </c>
      <c r="U876" t="str">
        <f>IF($AS876="","",Config!$B$18)</f>
        <v/>
      </c>
      <c r="V876" t="str">
        <f>IF($AS876="","",Config!$B$19)</f>
        <v/>
      </c>
      <c r="W876" t="str">
        <f>IF($AS876="","",INDEX('TMP Paste'!$C$2:$C$1601,$AS876))</f>
        <v/>
      </c>
      <c r="X876" t="str">
        <f>IF($AS876="","",Config!$B$29)</f>
        <v/>
      </c>
      <c r="Y876" t="str">
        <f>IF($AT876="","",INDEX(Calc!$I$2:$I$1601,$AT876)&amp;" - "&amp;INDEX(Calc!$D$2:$D$1601,$AT876)&amp;" koli")</f>
        <v/>
      </c>
      <c r="Z876" t="str">
        <f>IF($AS876="","",Config!$B$21)</f>
        <v/>
      </c>
      <c r="AA876" t="str">
        <f>IF($AS876="","",Config!$B$22)</f>
        <v/>
      </c>
      <c r="AB876" t="str">
        <f>IF($AT876="","",INDEX(Calc!$D$2:$D$1601,$AT876))</f>
        <v/>
      </c>
      <c r="AC876" t="str">
        <f>IF($AT876="","",INDEX(Calc!$G$2:$G$1601,$AT876))</f>
        <v/>
      </c>
      <c r="AD876" t="str">
        <f>IF($AS876="","",Config!$B$23)</f>
        <v/>
      </c>
      <c r="AE876" t="str">
        <f>IF($AS876="","",Config!$B$28)</f>
        <v/>
      </c>
      <c r="AF876" t="str">
        <f t="shared" si="80"/>
        <v/>
      </c>
      <c r="AG876" t="str">
        <f t="shared" si="81"/>
        <v/>
      </c>
      <c r="AH876" t="str">
        <f t="shared" si="82"/>
        <v/>
      </c>
      <c r="AI876" t="str">
        <f>IF($AG876="","",SUMIF($AG$2:$AG876,$AG876,$AH$2:$AH876))</f>
        <v/>
      </c>
      <c r="AJ876" t="str">
        <f>IF('TMP Paste'!$F876="","",IF('TMP Paste'!$B876="",$AJ875,'TMP Paste'!$B876))</f>
        <v/>
      </c>
      <c r="AK876" t="str">
        <f>IF('TMP Paste'!$F876="","",N('TMP Paste'!$G876))</f>
        <v/>
      </c>
      <c r="AL876" t="str">
        <f>IF('TMP Paste'!$F876="","",IF('TMP Paste'!$M876="",$AL875,'TMP Paste'!$M876))</f>
        <v/>
      </c>
      <c r="AM876" t="str">
        <f>IF('TMP Paste'!$F876="","",IF('TMP Paste'!$N876="",$AM875,'TMP Paste'!$N876))</f>
        <v/>
      </c>
      <c r="AN876" t="str">
        <f>IF('TMP Paste'!$F876="","",IF('TMP Paste'!$O876="",$AN875,'TMP Paste'!$O876))</f>
        <v/>
      </c>
      <c r="AO876" t="str">
        <f>IF('TMP Paste'!$F876="","",IF('TMP Paste'!$P876="",$AO875,'TMP Paste'!$P876))</f>
        <v/>
      </c>
      <c r="AP876" t="str">
        <f t="shared" si="83"/>
        <v/>
      </c>
      <c r="AQ876" t="str">
        <f>IF($AS876="","",TRIM(IF(COUNTIFS(Calc!$B$2:$B$1601,ROW()-1,Calc!$C$2:$C$1601,"&lt;1")&gt;0,"Ada PO tanpa Koli - cek TMP. ","")&amp;IF(OR($AU876="",$AU876&lt;=0),"Volume kosong/0 - dimensi dikosongkan. ","")&amp;IF(AND($AU876&lt;&gt;"",$AU876&gt;=1000000),"Volume &gt;= 1.000.000 cm3 (di luar aturan) - dimensi dikosongkan. ","")&amp;IF(LEN($R876)&gt;500,"R &gt; 500 karakter.","")))</f>
        <v/>
      </c>
      <c r="AS876" t="str">
        <f>IFERROR(MATCH(ROW()-1,Calc!$J$2:$J$1601,0),"")</f>
        <v/>
      </c>
      <c r="AT876" t="str">
        <f>IFERROR(MATCH(ROW()-1,Calc!$K$2:$K$1601,0),"")</f>
        <v/>
      </c>
      <c r="AU876" t="str">
        <f>IF($AS876="","",IFERROR(INDEX('TMP Paste'!$D$2:$D$1601,$AS876)*1000000/$AB876,""))</f>
        <v/>
      </c>
    </row>
    <row r="877" spans="1:47">
      <c r="A877" t="str">
        <f>IF($AS877="","",INDEX('TMP Paste'!$B$2:$B$1601,$AS877))</f>
        <v/>
      </c>
      <c r="B877" t="str">
        <f>IF($AS877="","",Config!$B$14)</f>
        <v/>
      </c>
      <c r="C877" t="str">
        <f>IF($AS877="","",Config!$B$15)</f>
        <v/>
      </c>
      <c r="D877" t="str">
        <f>IF($AS877="","",INDEX('TMP Paste'!$B$2:$B$1601,$AS877))</f>
        <v/>
      </c>
      <c r="E877" t="str">
        <f>IF($AS877="","",Config!$B$27)</f>
        <v/>
      </c>
      <c r="F877" t="str">
        <f>IF($AS877="","",Config!$B$9)</f>
        <v/>
      </c>
      <c r="G877" t="str">
        <f>IF($AS877="","",Config!$B$10)</f>
        <v/>
      </c>
      <c r="H877" t="str">
        <f>IF($AS877="","",Config!$B$11)</f>
        <v/>
      </c>
      <c r="I877" t="str">
        <f>IF($AS877="","",Config!$B$16)</f>
        <v/>
      </c>
      <c r="J877" t="str">
        <f>IF($AS877="","",INDEX('TMP Paste'!$A$2:$A$1601,$AS877))</f>
        <v/>
      </c>
      <c r="K877" t="str">
        <f>IF($AS877="","",INDEX('TMP Paste'!$L$2:$L$1601,$AS877))</f>
        <v/>
      </c>
      <c r="L877" t="str">
        <f>IF($AS877="","",INDEX('TMP Paste'!$I$2:$I$1601,$AS877))</f>
        <v/>
      </c>
      <c r="M877" t="str">
        <f>IF($AS877="","",Config!$B$16)</f>
        <v/>
      </c>
      <c r="N877" t="str">
        <f t="shared" si="78"/>
        <v/>
      </c>
      <c r="O877" t="str">
        <f>IF($AS877="","",INDEX('TMP Paste'!$K$2:$K$1601,$AS877))</f>
        <v/>
      </c>
      <c r="P877" t="str">
        <f t="shared" si="79"/>
        <v/>
      </c>
      <c r="Q877" t="str">
        <f>IF($AS877="","",INDEX('TMP Paste'!$J$2:$J$1601,$AS877))</f>
        <v/>
      </c>
      <c r="R877" t="str">
        <f>IF($AS877="","",Config!$B$24)</f>
        <v/>
      </c>
      <c r="S877" t="str">
        <f ca="1">IF($AS877="","",TEXT(Config!$B$4,"yyyy-mm-dd"))</f>
        <v/>
      </c>
      <c r="T877" t="str">
        <f>IF($AS877="","",Config!$B$17)</f>
        <v/>
      </c>
      <c r="U877" t="str">
        <f>IF($AS877="","",Config!$B$18)</f>
        <v/>
      </c>
      <c r="V877" t="str">
        <f>IF($AS877="","",Config!$B$19)</f>
        <v/>
      </c>
      <c r="W877" t="str">
        <f>IF($AS877="","",INDEX('TMP Paste'!$C$2:$C$1601,$AS877))</f>
        <v/>
      </c>
      <c r="X877" t="str">
        <f>IF($AS877="","",Config!$B$29)</f>
        <v/>
      </c>
      <c r="Y877" t="str">
        <f>IF($AT877="","",INDEX(Calc!$I$2:$I$1601,$AT877)&amp;" - "&amp;INDEX(Calc!$D$2:$D$1601,$AT877)&amp;" koli")</f>
        <v/>
      </c>
      <c r="Z877" t="str">
        <f>IF($AS877="","",Config!$B$21)</f>
        <v/>
      </c>
      <c r="AA877" t="str">
        <f>IF($AS877="","",Config!$B$22)</f>
        <v/>
      </c>
      <c r="AB877" t="str">
        <f>IF($AT877="","",INDEX(Calc!$D$2:$D$1601,$AT877))</f>
        <v/>
      </c>
      <c r="AC877" t="str">
        <f>IF($AT877="","",INDEX(Calc!$G$2:$G$1601,$AT877))</f>
        <v/>
      </c>
      <c r="AD877" t="str">
        <f>IF($AS877="","",Config!$B$23)</f>
        <v/>
      </c>
      <c r="AE877" t="str">
        <f>IF($AS877="","",Config!$B$28)</f>
        <v/>
      </c>
      <c r="AF877" t="str">
        <f t="shared" si="80"/>
        <v/>
      </c>
      <c r="AG877" t="str">
        <f t="shared" si="81"/>
        <v/>
      </c>
      <c r="AH877" t="str">
        <f t="shared" si="82"/>
        <v/>
      </c>
      <c r="AI877" t="str">
        <f>IF($AG877="","",SUMIF($AG$2:$AG877,$AG877,$AH$2:$AH877))</f>
        <v/>
      </c>
      <c r="AJ877" t="str">
        <f>IF('TMP Paste'!$F877="","",IF('TMP Paste'!$B877="",$AJ876,'TMP Paste'!$B877))</f>
        <v/>
      </c>
      <c r="AK877" t="str">
        <f>IF('TMP Paste'!$F877="","",N('TMP Paste'!$G877))</f>
        <v/>
      </c>
      <c r="AL877" t="str">
        <f>IF('TMP Paste'!$F877="","",IF('TMP Paste'!$M877="",$AL876,'TMP Paste'!$M877))</f>
        <v/>
      </c>
      <c r="AM877" t="str">
        <f>IF('TMP Paste'!$F877="","",IF('TMP Paste'!$N877="",$AM876,'TMP Paste'!$N877))</f>
        <v/>
      </c>
      <c r="AN877" t="str">
        <f>IF('TMP Paste'!$F877="","",IF('TMP Paste'!$O877="",$AN876,'TMP Paste'!$O877))</f>
        <v/>
      </c>
      <c r="AO877" t="str">
        <f>IF('TMP Paste'!$F877="","",IF('TMP Paste'!$P877="",$AO876,'TMP Paste'!$P877))</f>
        <v/>
      </c>
      <c r="AP877" t="str">
        <f t="shared" si="83"/>
        <v/>
      </c>
      <c r="AQ877" t="str">
        <f>IF($AS877="","",TRIM(IF(COUNTIFS(Calc!$B$2:$B$1601,ROW()-1,Calc!$C$2:$C$1601,"&lt;1")&gt;0,"Ada PO tanpa Koli - cek TMP. ","")&amp;IF(OR($AU877="",$AU877&lt;=0),"Volume kosong/0 - dimensi dikosongkan. ","")&amp;IF(AND($AU877&lt;&gt;"",$AU877&gt;=1000000),"Volume &gt;= 1.000.000 cm3 (di luar aturan) - dimensi dikosongkan. ","")&amp;IF(LEN($R877)&gt;500,"R &gt; 500 karakter.","")))</f>
        <v/>
      </c>
      <c r="AS877" t="str">
        <f>IFERROR(MATCH(ROW()-1,Calc!$J$2:$J$1601,0),"")</f>
        <v/>
      </c>
      <c r="AT877" t="str">
        <f>IFERROR(MATCH(ROW()-1,Calc!$K$2:$K$1601,0),"")</f>
        <v/>
      </c>
      <c r="AU877" t="str">
        <f>IF($AS877="","",IFERROR(INDEX('TMP Paste'!$D$2:$D$1601,$AS877)*1000000/$AB877,""))</f>
        <v/>
      </c>
    </row>
    <row r="878" spans="1:47">
      <c r="A878" t="str">
        <f>IF($AS878="","",INDEX('TMP Paste'!$B$2:$B$1601,$AS878))</f>
        <v/>
      </c>
      <c r="B878" t="str">
        <f>IF($AS878="","",Config!$B$14)</f>
        <v/>
      </c>
      <c r="C878" t="str">
        <f>IF($AS878="","",Config!$B$15)</f>
        <v/>
      </c>
      <c r="D878" t="str">
        <f>IF($AS878="","",INDEX('TMP Paste'!$B$2:$B$1601,$AS878))</f>
        <v/>
      </c>
      <c r="E878" t="str">
        <f>IF($AS878="","",Config!$B$27)</f>
        <v/>
      </c>
      <c r="F878" t="str">
        <f>IF($AS878="","",Config!$B$9)</f>
        <v/>
      </c>
      <c r="G878" t="str">
        <f>IF($AS878="","",Config!$B$10)</f>
        <v/>
      </c>
      <c r="H878" t="str">
        <f>IF($AS878="","",Config!$B$11)</f>
        <v/>
      </c>
      <c r="I878" t="str">
        <f>IF($AS878="","",Config!$B$16)</f>
        <v/>
      </c>
      <c r="J878" t="str">
        <f>IF($AS878="","",INDEX('TMP Paste'!$A$2:$A$1601,$AS878))</f>
        <v/>
      </c>
      <c r="K878" t="str">
        <f>IF($AS878="","",INDEX('TMP Paste'!$L$2:$L$1601,$AS878))</f>
        <v/>
      </c>
      <c r="L878" t="str">
        <f>IF($AS878="","",INDEX('TMP Paste'!$I$2:$I$1601,$AS878))</f>
        <v/>
      </c>
      <c r="M878" t="str">
        <f>IF($AS878="","",Config!$B$16)</f>
        <v/>
      </c>
      <c r="N878" t="str">
        <f t="shared" si="78"/>
        <v/>
      </c>
      <c r="O878" t="str">
        <f>IF($AS878="","",INDEX('TMP Paste'!$K$2:$K$1601,$AS878))</f>
        <v/>
      </c>
      <c r="P878" t="str">
        <f t="shared" si="79"/>
        <v/>
      </c>
      <c r="Q878" t="str">
        <f>IF($AS878="","",INDEX('TMP Paste'!$J$2:$J$1601,$AS878))</f>
        <v/>
      </c>
      <c r="R878" t="str">
        <f>IF($AS878="","",Config!$B$24)</f>
        <v/>
      </c>
      <c r="S878" t="str">
        <f ca="1">IF($AS878="","",TEXT(Config!$B$4,"yyyy-mm-dd"))</f>
        <v/>
      </c>
      <c r="T878" t="str">
        <f>IF($AS878="","",Config!$B$17)</f>
        <v/>
      </c>
      <c r="U878" t="str">
        <f>IF($AS878="","",Config!$B$18)</f>
        <v/>
      </c>
      <c r="V878" t="str">
        <f>IF($AS878="","",Config!$B$19)</f>
        <v/>
      </c>
      <c r="W878" t="str">
        <f>IF($AS878="","",INDEX('TMP Paste'!$C$2:$C$1601,$AS878))</f>
        <v/>
      </c>
      <c r="X878" t="str">
        <f>IF($AS878="","",Config!$B$29)</f>
        <v/>
      </c>
      <c r="Y878" t="str">
        <f>IF($AT878="","",INDEX(Calc!$I$2:$I$1601,$AT878)&amp;" - "&amp;INDEX(Calc!$D$2:$D$1601,$AT878)&amp;" koli")</f>
        <v/>
      </c>
      <c r="Z878" t="str">
        <f>IF($AS878="","",Config!$B$21)</f>
        <v/>
      </c>
      <c r="AA878" t="str">
        <f>IF($AS878="","",Config!$B$22)</f>
        <v/>
      </c>
      <c r="AB878" t="str">
        <f>IF($AT878="","",INDEX(Calc!$D$2:$D$1601,$AT878))</f>
        <v/>
      </c>
      <c r="AC878" t="str">
        <f>IF($AT878="","",INDEX(Calc!$G$2:$G$1601,$AT878))</f>
        <v/>
      </c>
      <c r="AD878" t="str">
        <f>IF($AS878="","",Config!$B$23)</f>
        <v/>
      </c>
      <c r="AE878" t="str">
        <f>IF($AS878="","",Config!$B$28)</f>
        <v/>
      </c>
      <c r="AF878" t="str">
        <f t="shared" si="80"/>
        <v/>
      </c>
      <c r="AG878" t="str">
        <f t="shared" si="81"/>
        <v/>
      </c>
      <c r="AH878" t="str">
        <f t="shared" si="82"/>
        <v/>
      </c>
      <c r="AI878" t="str">
        <f>IF($AG878="","",SUMIF($AG$2:$AG878,$AG878,$AH$2:$AH878))</f>
        <v/>
      </c>
      <c r="AJ878" t="str">
        <f>IF('TMP Paste'!$F878="","",IF('TMP Paste'!$B878="",$AJ877,'TMP Paste'!$B878))</f>
        <v/>
      </c>
      <c r="AK878" t="str">
        <f>IF('TMP Paste'!$F878="","",N('TMP Paste'!$G878))</f>
        <v/>
      </c>
      <c r="AL878" t="str">
        <f>IF('TMP Paste'!$F878="","",IF('TMP Paste'!$M878="",$AL877,'TMP Paste'!$M878))</f>
        <v/>
      </c>
      <c r="AM878" t="str">
        <f>IF('TMP Paste'!$F878="","",IF('TMP Paste'!$N878="",$AM877,'TMP Paste'!$N878))</f>
        <v/>
      </c>
      <c r="AN878" t="str">
        <f>IF('TMP Paste'!$F878="","",IF('TMP Paste'!$O878="",$AN877,'TMP Paste'!$O878))</f>
        <v/>
      </c>
      <c r="AO878" t="str">
        <f>IF('TMP Paste'!$F878="","",IF('TMP Paste'!$P878="",$AO877,'TMP Paste'!$P878))</f>
        <v/>
      </c>
      <c r="AP878" t="str">
        <f t="shared" si="83"/>
        <v/>
      </c>
      <c r="AQ878" t="str">
        <f>IF($AS878="","",TRIM(IF(COUNTIFS(Calc!$B$2:$B$1601,ROW()-1,Calc!$C$2:$C$1601,"&lt;1")&gt;0,"Ada PO tanpa Koli - cek TMP. ","")&amp;IF(OR($AU878="",$AU878&lt;=0),"Volume kosong/0 - dimensi dikosongkan. ","")&amp;IF(AND($AU878&lt;&gt;"",$AU878&gt;=1000000),"Volume &gt;= 1.000.000 cm3 (di luar aturan) - dimensi dikosongkan. ","")&amp;IF(LEN($R878)&gt;500,"R &gt; 500 karakter.","")))</f>
        <v/>
      </c>
      <c r="AS878" t="str">
        <f>IFERROR(MATCH(ROW()-1,Calc!$J$2:$J$1601,0),"")</f>
        <v/>
      </c>
      <c r="AT878" t="str">
        <f>IFERROR(MATCH(ROW()-1,Calc!$K$2:$K$1601,0),"")</f>
        <v/>
      </c>
      <c r="AU878" t="str">
        <f>IF($AS878="","",IFERROR(INDEX('TMP Paste'!$D$2:$D$1601,$AS878)*1000000/$AB878,""))</f>
        <v/>
      </c>
    </row>
    <row r="879" spans="1:47">
      <c r="A879" t="str">
        <f>IF($AS879="","",INDEX('TMP Paste'!$B$2:$B$1601,$AS879))</f>
        <v/>
      </c>
      <c r="B879" t="str">
        <f>IF($AS879="","",Config!$B$14)</f>
        <v/>
      </c>
      <c r="C879" t="str">
        <f>IF($AS879="","",Config!$B$15)</f>
        <v/>
      </c>
      <c r="D879" t="str">
        <f>IF($AS879="","",INDEX('TMP Paste'!$B$2:$B$1601,$AS879))</f>
        <v/>
      </c>
      <c r="E879" t="str">
        <f>IF($AS879="","",Config!$B$27)</f>
        <v/>
      </c>
      <c r="F879" t="str">
        <f>IF($AS879="","",Config!$B$9)</f>
        <v/>
      </c>
      <c r="G879" t="str">
        <f>IF($AS879="","",Config!$B$10)</f>
        <v/>
      </c>
      <c r="H879" t="str">
        <f>IF($AS879="","",Config!$B$11)</f>
        <v/>
      </c>
      <c r="I879" t="str">
        <f>IF($AS879="","",Config!$B$16)</f>
        <v/>
      </c>
      <c r="J879" t="str">
        <f>IF($AS879="","",INDEX('TMP Paste'!$A$2:$A$1601,$AS879))</f>
        <v/>
      </c>
      <c r="K879" t="str">
        <f>IF($AS879="","",INDEX('TMP Paste'!$L$2:$L$1601,$AS879))</f>
        <v/>
      </c>
      <c r="L879" t="str">
        <f>IF($AS879="","",INDEX('TMP Paste'!$I$2:$I$1601,$AS879))</f>
        <v/>
      </c>
      <c r="M879" t="str">
        <f>IF($AS879="","",Config!$B$16)</f>
        <v/>
      </c>
      <c r="N879" t="str">
        <f t="shared" si="78"/>
        <v/>
      </c>
      <c r="O879" t="str">
        <f>IF($AS879="","",INDEX('TMP Paste'!$K$2:$K$1601,$AS879))</f>
        <v/>
      </c>
      <c r="P879" t="str">
        <f t="shared" si="79"/>
        <v/>
      </c>
      <c r="Q879" t="str">
        <f>IF($AS879="","",INDEX('TMP Paste'!$J$2:$J$1601,$AS879))</f>
        <v/>
      </c>
      <c r="R879" t="str">
        <f>IF($AS879="","",Config!$B$24)</f>
        <v/>
      </c>
      <c r="S879" t="str">
        <f ca="1">IF($AS879="","",TEXT(Config!$B$4,"yyyy-mm-dd"))</f>
        <v/>
      </c>
      <c r="T879" t="str">
        <f>IF($AS879="","",Config!$B$17)</f>
        <v/>
      </c>
      <c r="U879" t="str">
        <f>IF($AS879="","",Config!$B$18)</f>
        <v/>
      </c>
      <c r="V879" t="str">
        <f>IF($AS879="","",Config!$B$19)</f>
        <v/>
      </c>
      <c r="W879" t="str">
        <f>IF($AS879="","",INDEX('TMP Paste'!$C$2:$C$1601,$AS879))</f>
        <v/>
      </c>
      <c r="X879" t="str">
        <f>IF($AS879="","",Config!$B$29)</f>
        <v/>
      </c>
      <c r="Y879" t="str">
        <f>IF($AT879="","",INDEX(Calc!$I$2:$I$1601,$AT879)&amp;" - "&amp;INDEX(Calc!$D$2:$D$1601,$AT879)&amp;" koli")</f>
        <v/>
      </c>
      <c r="Z879" t="str">
        <f>IF($AS879="","",Config!$B$21)</f>
        <v/>
      </c>
      <c r="AA879" t="str">
        <f>IF($AS879="","",Config!$B$22)</f>
        <v/>
      </c>
      <c r="AB879" t="str">
        <f>IF($AT879="","",INDEX(Calc!$D$2:$D$1601,$AT879))</f>
        <v/>
      </c>
      <c r="AC879" t="str">
        <f>IF($AT879="","",INDEX(Calc!$G$2:$G$1601,$AT879))</f>
        <v/>
      </c>
      <c r="AD879" t="str">
        <f>IF($AS879="","",Config!$B$23)</f>
        <v/>
      </c>
      <c r="AE879" t="str">
        <f>IF($AS879="","",Config!$B$28)</f>
        <v/>
      </c>
      <c r="AF879" t="str">
        <f t="shared" si="80"/>
        <v/>
      </c>
      <c r="AG879" t="str">
        <f t="shared" si="81"/>
        <v/>
      </c>
      <c r="AH879" t="str">
        <f t="shared" si="82"/>
        <v/>
      </c>
      <c r="AI879" t="str">
        <f>IF($AG879="","",SUMIF($AG$2:$AG879,$AG879,$AH$2:$AH879))</f>
        <v/>
      </c>
      <c r="AJ879" t="str">
        <f>IF('TMP Paste'!$F879="","",IF('TMP Paste'!$B879="",$AJ878,'TMP Paste'!$B879))</f>
        <v/>
      </c>
      <c r="AK879" t="str">
        <f>IF('TMP Paste'!$F879="","",N('TMP Paste'!$G879))</f>
        <v/>
      </c>
      <c r="AL879" t="str">
        <f>IF('TMP Paste'!$F879="","",IF('TMP Paste'!$M879="",$AL878,'TMP Paste'!$M879))</f>
        <v/>
      </c>
      <c r="AM879" t="str">
        <f>IF('TMP Paste'!$F879="","",IF('TMP Paste'!$N879="",$AM878,'TMP Paste'!$N879))</f>
        <v/>
      </c>
      <c r="AN879" t="str">
        <f>IF('TMP Paste'!$F879="","",IF('TMP Paste'!$O879="",$AN878,'TMP Paste'!$O879))</f>
        <v/>
      </c>
      <c r="AO879" t="str">
        <f>IF('TMP Paste'!$F879="","",IF('TMP Paste'!$P879="",$AO878,'TMP Paste'!$P879))</f>
        <v/>
      </c>
      <c r="AP879" t="str">
        <f t="shared" si="83"/>
        <v/>
      </c>
      <c r="AQ879" t="str">
        <f>IF($AS879="","",TRIM(IF(COUNTIFS(Calc!$B$2:$B$1601,ROW()-1,Calc!$C$2:$C$1601,"&lt;1")&gt;0,"Ada PO tanpa Koli - cek TMP. ","")&amp;IF(OR($AU879="",$AU879&lt;=0),"Volume kosong/0 - dimensi dikosongkan. ","")&amp;IF(AND($AU879&lt;&gt;"",$AU879&gt;=1000000),"Volume &gt;= 1.000.000 cm3 (di luar aturan) - dimensi dikosongkan. ","")&amp;IF(LEN($R879)&gt;500,"R &gt; 500 karakter.","")))</f>
        <v/>
      </c>
      <c r="AS879" t="str">
        <f>IFERROR(MATCH(ROW()-1,Calc!$J$2:$J$1601,0),"")</f>
        <v/>
      </c>
      <c r="AT879" t="str">
        <f>IFERROR(MATCH(ROW()-1,Calc!$K$2:$K$1601,0),"")</f>
        <v/>
      </c>
      <c r="AU879" t="str">
        <f>IF($AS879="","",IFERROR(INDEX('TMP Paste'!$D$2:$D$1601,$AS879)*1000000/$AB879,""))</f>
        <v/>
      </c>
    </row>
    <row r="880" spans="1:47">
      <c r="A880" t="str">
        <f>IF($AS880="","",INDEX('TMP Paste'!$B$2:$B$1601,$AS880))</f>
        <v/>
      </c>
      <c r="B880" t="str">
        <f>IF($AS880="","",Config!$B$14)</f>
        <v/>
      </c>
      <c r="C880" t="str">
        <f>IF($AS880="","",Config!$B$15)</f>
        <v/>
      </c>
      <c r="D880" t="str">
        <f>IF($AS880="","",INDEX('TMP Paste'!$B$2:$B$1601,$AS880))</f>
        <v/>
      </c>
      <c r="E880" t="str">
        <f>IF($AS880="","",Config!$B$27)</f>
        <v/>
      </c>
      <c r="F880" t="str">
        <f>IF($AS880="","",Config!$B$9)</f>
        <v/>
      </c>
      <c r="G880" t="str">
        <f>IF($AS880="","",Config!$B$10)</f>
        <v/>
      </c>
      <c r="H880" t="str">
        <f>IF($AS880="","",Config!$B$11)</f>
        <v/>
      </c>
      <c r="I880" t="str">
        <f>IF($AS880="","",Config!$B$16)</f>
        <v/>
      </c>
      <c r="J880" t="str">
        <f>IF($AS880="","",INDEX('TMP Paste'!$A$2:$A$1601,$AS880))</f>
        <v/>
      </c>
      <c r="K880" t="str">
        <f>IF($AS880="","",INDEX('TMP Paste'!$L$2:$L$1601,$AS880))</f>
        <v/>
      </c>
      <c r="L880" t="str">
        <f>IF($AS880="","",INDEX('TMP Paste'!$I$2:$I$1601,$AS880))</f>
        <v/>
      </c>
      <c r="M880" t="str">
        <f>IF($AS880="","",Config!$B$16)</f>
        <v/>
      </c>
      <c r="N880" t="str">
        <f t="shared" si="78"/>
        <v/>
      </c>
      <c r="O880" t="str">
        <f>IF($AS880="","",INDEX('TMP Paste'!$K$2:$K$1601,$AS880))</f>
        <v/>
      </c>
      <c r="P880" t="str">
        <f t="shared" si="79"/>
        <v/>
      </c>
      <c r="Q880" t="str">
        <f>IF($AS880="","",INDEX('TMP Paste'!$J$2:$J$1601,$AS880))</f>
        <v/>
      </c>
      <c r="R880" t="str">
        <f>IF($AS880="","",Config!$B$24)</f>
        <v/>
      </c>
      <c r="S880" t="str">
        <f ca="1">IF($AS880="","",TEXT(Config!$B$4,"yyyy-mm-dd"))</f>
        <v/>
      </c>
      <c r="T880" t="str">
        <f>IF($AS880="","",Config!$B$17)</f>
        <v/>
      </c>
      <c r="U880" t="str">
        <f>IF($AS880="","",Config!$B$18)</f>
        <v/>
      </c>
      <c r="V880" t="str">
        <f>IF($AS880="","",Config!$B$19)</f>
        <v/>
      </c>
      <c r="W880" t="str">
        <f>IF($AS880="","",INDEX('TMP Paste'!$C$2:$C$1601,$AS880))</f>
        <v/>
      </c>
      <c r="X880" t="str">
        <f>IF($AS880="","",Config!$B$29)</f>
        <v/>
      </c>
      <c r="Y880" t="str">
        <f>IF($AT880="","",INDEX(Calc!$I$2:$I$1601,$AT880)&amp;" - "&amp;INDEX(Calc!$D$2:$D$1601,$AT880)&amp;" koli")</f>
        <v/>
      </c>
      <c r="Z880" t="str">
        <f>IF($AS880="","",Config!$B$21)</f>
        <v/>
      </c>
      <c r="AA880" t="str">
        <f>IF($AS880="","",Config!$B$22)</f>
        <v/>
      </c>
      <c r="AB880" t="str">
        <f>IF($AT880="","",INDEX(Calc!$D$2:$D$1601,$AT880))</f>
        <v/>
      </c>
      <c r="AC880" t="str">
        <f>IF($AT880="","",INDEX(Calc!$G$2:$G$1601,$AT880))</f>
        <v/>
      </c>
      <c r="AD880" t="str">
        <f>IF($AS880="","",Config!$B$23)</f>
        <v/>
      </c>
      <c r="AE880" t="str">
        <f>IF($AS880="","",Config!$B$28)</f>
        <v/>
      </c>
      <c r="AF880" t="str">
        <f t="shared" si="80"/>
        <v/>
      </c>
      <c r="AG880" t="str">
        <f t="shared" si="81"/>
        <v/>
      </c>
      <c r="AH880" t="str">
        <f t="shared" si="82"/>
        <v/>
      </c>
      <c r="AI880" t="str">
        <f>IF($AG880="","",SUMIF($AG$2:$AG880,$AG880,$AH$2:$AH880))</f>
        <v/>
      </c>
      <c r="AJ880" t="str">
        <f>IF('TMP Paste'!$F880="","",IF('TMP Paste'!$B880="",$AJ879,'TMP Paste'!$B880))</f>
        <v/>
      </c>
      <c r="AK880" t="str">
        <f>IF('TMP Paste'!$F880="","",N('TMP Paste'!$G880))</f>
        <v/>
      </c>
      <c r="AL880" t="str">
        <f>IF('TMP Paste'!$F880="","",IF('TMP Paste'!$M880="",$AL879,'TMP Paste'!$M880))</f>
        <v/>
      </c>
      <c r="AM880" t="str">
        <f>IF('TMP Paste'!$F880="","",IF('TMP Paste'!$N880="",$AM879,'TMP Paste'!$N880))</f>
        <v/>
      </c>
      <c r="AN880" t="str">
        <f>IF('TMP Paste'!$F880="","",IF('TMP Paste'!$O880="",$AN879,'TMP Paste'!$O880))</f>
        <v/>
      </c>
      <c r="AO880" t="str">
        <f>IF('TMP Paste'!$F880="","",IF('TMP Paste'!$P880="",$AO879,'TMP Paste'!$P880))</f>
        <v/>
      </c>
      <c r="AP880" t="str">
        <f t="shared" si="83"/>
        <v/>
      </c>
      <c r="AQ880" t="str">
        <f>IF($AS880="","",TRIM(IF(COUNTIFS(Calc!$B$2:$B$1601,ROW()-1,Calc!$C$2:$C$1601,"&lt;1")&gt;0,"Ada PO tanpa Koli - cek TMP. ","")&amp;IF(OR($AU880="",$AU880&lt;=0),"Volume kosong/0 - dimensi dikosongkan. ","")&amp;IF(AND($AU880&lt;&gt;"",$AU880&gt;=1000000),"Volume &gt;= 1.000.000 cm3 (di luar aturan) - dimensi dikosongkan. ","")&amp;IF(LEN($R880)&gt;500,"R &gt; 500 karakter.","")))</f>
        <v/>
      </c>
      <c r="AS880" t="str">
        <f>IFERROR(MATCH(ROW()-1,Calc!$J$2:$J$1601,0),"")</f>
        <v/>
      </c>
      <c r="AT880" t="str">
        <f>IFERROR(MATCH(ROW()-1,Calc!$K$2:$K$1601,0),"")</f>
        <v/>
      </c>
      <c r="AU880" t="str">
        <f>IF($AS880="","",IFERROR(INDEX('TMP Paste'!$D$2:$D$1601,$AS880)*1000000/$AB880,""))</f>
        <v/>
      </c>
    </row>
    <row r="881" spans="1:47">
      <c r="A881" t="str">
        <f>IF($AS881="","",INDEX('TMP Paste'!$B$2:$B$1601,$AS881))</f>
        <v/>
      </c>
      <c r="B881" t="str">
        <f>IF($AS881="","",Config!$B$14)</f>
        <v/>
      </c>
      <c r="C881" t="str">
        <f>IF($AS881="","",Config!$B$15)</f>
        <v/>
      </c>
      <c r="D881" t="str">
        <f>IF($AS881="","",INDEX('TMP Paste'!$B$2:$B$1601,$AS881))</f>
        <v/>
      </c>
      <c r="E881" t="str">
        <f>IF($AS881="","",Config!$B$27)</f>
        <v/>
      </c>
      <c r="F881" t="str">
        <f>IF($AS881="","",Config!$B$9)</f>
        <v/>
      </c>
      <c r="G881" t="str">
        <f>IF($AS881="","",Config!$B$10)</f>
        <v/>
      </c>
      <c r="H881" t="str">
        <f>IF($AS881="","",Config!$B$11)</f>
        <v/>
      </c>
      <c r="I881" t="str">
        <f>IF($AS881="","",Config!$B$16)</f>
        <v/>
      </c>
      <c r="J881" t="str">
        <f>IF($AS881="","",INDEX('TMP Paste'!$A$2:$A$1601,$AS881))</f>
        <v/>
      </c>
      <c r="K881" t="str">
        <f>IF($AS881="","",INDEX('TMP Paste'!$L$2:$L$1601,$AS881))</f>
        <v/>
      </c>
      <c r="L881" t="str">
        <f>IF($AS881="","",INDEX('TMP Paste'!$I$2:$I$1601,$AS881))</f>
        <v/>
      </c>
      <c r="M881" t="str">
        <f>IF($AS881="","",Config!$B$16)</f>
        <v/>
      </c>
      <c r="N881" t="str">
        <f t="shared" si="78"/>
        <v/>
      </c>
      <c r="O881" t="str">
        <f>IF($AS881="","",INDEX('TMP Paste'!$K$2:$K$1601,$AS881))</f>
        <v/>
      </c>
      <c r="P881" t="str">
        <f t="shared" si="79"/>
        <v/>
      </c>
      <c r="Q881" t="str">
        <f>IF($AS881="","",INDEX('TMP Paste'!$J$2:$J$1601,$AS881))</f>
        <v/>
      </c>
      <c r="R881" t="str">
        <f>IF($AS881="","",Config!$B$24)</f>
        <v/>
      </c>
      <c r="S881" t="str">
        <f ca="1">IF($AS881="","",TEXT(Config!$B$4,"yyyy-mm-dd"))</f>
        <v/>
      </c>
      <c r="T881" t="str">
        <f>IF($AS881="","",Config!$B$17)</f>
        <v/>
      </c>
      <c r="U881" t="str">
        <f>IF($AS881="","",Config!$B$18)</f>
        <v/>
      </c>
      <c r="V881" t="str">
        <f>IF($AS881="","",Config!$B$19)</f>
        <v/>
      </c>
      <c r="W881" t="str">
        <f>IF($AS881="","",INDEX('TMP Paste'!$C$2:$C$1601,$AS881))</f>
        <v/>
      </c>
      <c r="X881" t="str">
        <f>IF($AS881="","",Config!$B$29)</f>
        <v/>
      </c>
      <c r="Y881" t="str">
        <f>IF($AT881="","",INDEX(Calc!$I$2:$I$1601,$AT881)&amp;" - "&amp;INDEX(Calc!$D$2:$D$1601,$AT881)&amp;" koli")</f>
        <v/>
      </c>
      <c r="Z881" t="str">
        <f>IF($AS881="","",Config!$B$21)</f>
        <v/>
      </c>
      <c r="AA881" t="str">
        <f>IF($AS881="","",Config!$B$22)</f>
        <v/>
      </c>
      <c r="AB881" t="str">
        <f>IF($AT881="","",INDEX(Calc!$D$2:$D$1601,$AT881))</f>
        <v/>
      </c>
      <c r="AC881" t="str">
        <f>IF($AT881="","",INDEX(Calc!$G$2:$G$1601,$AT881))</f>
        <v/>
      </c>
      <c r="AD881" t="str">
        <f>IF($AS881="","",Config!$B$23)</f>
        <v/>
      </c>
      <c r="AE881" t="str">
        <f>IF($AS881="","",Config!$B$28)</f>
        <v/>
      </c>
      <c r="AF881" t="str">
        <f t="shared" si="80"/>
        <v/>
      </c>
      <c r="AG881" t="str">
        <f t="shared" si="81"/>
        <v/>
      </c>
      <c r="AH881" t="str">
        <f t="shared" si="82"/>
        <v/>
      </c>
      <c r="AI881" t="str">
        <f>IF($AG881="","",SUMIF($AG$2:$AG881,$AG881,$AH$2:$AH881))</f>
        <v/>
      </c>
      <c r="AJ881" t="str">
        <f>IF('TMP Paste'!$F881="","",IF('TMP Paste'!$B881="",$AJ880,'TMP Paste'!$B881))</f>
        <v/>
      </c>
      <c r="AK881" t="str">
        <f>IF('TMP Paste'!$F881="","",N('TMP Paste'!$G881))</f>
        <v/>
      </c>
      <c r="AL881" t="str">
        <f>IF('TMP Paste'!$F881="","",IF('TMP Paste'!$M881="",$AL880,'TMP Paste'!$M881))</f>
        <v/>
      </c>
      <c r="AM881" t="str">
        <f>IF('TMP Paste'!$F881="","",IF('TMP Paste'!$N881="",$AM880,'TMP Paste'!$N881))</f>
        <v/>
      </c>
      <c r="AN881" t="str">
        <f>IF('TMP Paste'!$F881="","",IF('TMP Paste'!$O881="",$AN880,'TMP Paste'!$O881))</f>
        <v/>
      </c>
      <c r="AO881" t="str">
        <f>IF('TMP Paste'!$F881="","",IF('TMP Paste'!$P881="",$AO880,'TMP Paste'!$P881))</f>
        <v/>
      </c>
      <c r="AP881" t="str">
        <f t="shared" si="83"/>
        <v/>
      </c>
      <c r="AQ881" t="str">
        <f>IF($AS881="","",TRIM(IF(COUNTIFS(Calc!$B$2:$B$1601,ROW()-1,Calc!$C$2:$C$1601,"&lt;1")&gt;0,"Ada PO tanpa Koli - cek TMP. ","")&amp;IF(OR($AU881="",$AU881&lt;=0),"Volume kosong/0 - dimensi dikosongkan. ","")&amp;IF(AND($AU881&lt;&gt;"",$AU881&gt;=1000000),"Volume &gt;= 1.000.000 cm3 (di luar aturan) - dimensi dikosongkan. ","")&amp;IF(LEN($R881)&gt;500,"R &gt; 500 karakter.","")))</f>
        <v/>
      </c>
      <c r="AS881" t="str">
        <f>IFERROR(MATCH(ROW()-1,Calc!$J$2:$J$1601,0),"")</f>
        <v/>
      </c>
      <c r="AT881" t="str">
        <f>IFERROR(MATCH(ROW()-1,Calc!$K$2:$K$1601,0),"")</f>
        <v/>
      </c>
      <c r="AU881" t="str">
        <f>IF($AS881="","",IFERROR(INDEX('TMP Paste'!$D$2:$D$1601,$AS881)*1000000/$AB881,""))</f>
        <v/>
      </c>
    </row>
    <row r="882" spans="1:47">
      <c r="A882" t="str">
        <f>IF($AS882="","",INDEX('TMP Paste'!$B$2:$B$1601,$AS882))</f>
        <v/>
      </c>
      <c r="B882" t="str">
        <f>IF($AS882="","",Config!$B$14)</f>
        <v/>
      </c>
      <c r="C882" t="str">
        <f>IF($AS882="","",Config!$B$15)</f>
        <v/>
      </c>
      <c r="D882" t="str">
        <f>IF($AS882="","",INDEX('TMP Paste'!$B$2:$B$1601,$AS882))</f>
        <v/>
      </c>
      <c r="E882" t="str">
        <f>IF($AS882="","",Config!$B$27)</f>
        <v/>
      </c>
      <c r="F882" t="str">
        <f>IF($AS882="","",Config!$B$9)</f>
        <v/>
      </c>
      <c r="G882" t="str">
        <f>IF($AS882="","",Config!$B$10)</f>
        <v/>
      </c>
      <c r="H882" t="str">
        <f>IF($AS882="","",Config!$B$11)</f>
        <v/>
      </c>
      <c r="I882" t="str">
        <f>IF($AS882="","",Config!$B$16)</f>
        <v/>
      </c>
      <c r="J882" t="str">
        <f>IF($AS882="","",INDEX('TMP Paste'!$A$2:$A$1601,$AS882))</f>
        <v/>
      </c>
      <c r="K882" t="str">
        <f>IF($AS882="","",INDEX('TMP Paste'!$L$2:$L$1601,$AS882))</f>
        <v/>
      </c>
      <c r="L882" t="str">
        <f>IF($AS882="","",INDEX('TMP Paste'!$I$2:$I$1601,$AS882))</f>
        <v/>
      </c>
      <c r="M882" t="str">
        <f>IF($AS882="","",Config!$B$16)</f>
        <v/>
      </c>
      <c r="N882" t="str">
        <f t="shared" si="78"/>
        <v/>
      </c>
      <c r="O882" t="str">
        <f>IF($AS882="","",INDEX('TMP Paste'!$K$2:$K$1601,$AS882))</f>
        <v/>
      </c>
      <c r="P882" t="str">
        <f t="shared" si="79"/>
        <v/>
      </c>
      <c r="Q882" t="str">
        <f>IF($AS882="","",INDEX('TMP Paste'!$J$2:$J$1601,$AS882))</f>
        <v/>
      </c>
      <c r="R882" t="str">
        <f>IF($AS882="","",Config!$B$24)</f>
        <v/>
      </c>
      <c r="S882" t="str">
        <f ca="1">IF($AS882="","",TEXT(Config!$B$4,"yyyy-mm-dd"))</f>
        <v/>
      </c>
      <c r="T882" t="str">
        <f>IF($AS882="","",Config!$B$17)</f>
        <v/>
      </c>
      <c r="U882" t="str">
        <f>IF($AS882="","",Config!$B$18)</f>
        <v/>
      </c>
      <c r="V882" t="str">
        <f>IF($AS882="","",Config!$B$19)</f>
        <v/>
      </c>
      <c r="W882" t="str">
        <f>IF($AS882="","",INDEX('TMP Paste'!$C$2:$C$1601,$AS882))</f>
        <v/>
      </c>
      <c r="X882" t="str">
        <f>IF($AS882="","",Config!$B$29)</f>
        <v/>
      </c>
      <c r="Y882" t="str">
        <f>IF($AT882="","",INDEX(Calc!$I$2:$I$1601,$AT882)&amp;" - "&amp;INDEX(Calc!$D$2:$D$1601,$AT882)&amp;" koli")</f>
        <v/>
      </c>
      <c r="Z882" t="str">
        <f>IF($AS882="","",Config!$B$21)</f>
        <v/>
      </c>
      <c r="AA882" t="str">
        <f>IF($AS882="","",Config!$B$22)</f>
        <v/>
      </c>
      <c r="AB882" t="str">
        <f>IF($AT882="","",INDEX(Calc!$D$2:$D$1601,$AT882))</f>
        <v/>
      </c>
      <c r="AC882" t="str">
        <f>IF($AT882="","",INDEX(Calc!$G$2:$G$1601,$AT882))</f>
        <v/>
      </c>
      <c r="AD882" t="str">
        <f>IF($AS882="","",Config!$B$23)</f>
        <v/>
      </c>
      <c r="AE882" t="str">
        <f>IF($AS882="","",Config!$B$28)</f>
        <v/>
      </c>
      <c r="AF882" t="str">
        <f t="shared" si="80"/>
        <v/>
      </c>
      <c r="AG882" t="str">
        <f t="shared" si="81"/>
        <v/>
      </c>
      <c r="AH882" t="str">
        <f t="shared" si="82"/>
        <v/>
      </c>
      <c r="AI882" t="str">
        <f>IF($AG882="","",SUMIF($AG$2:$AG882,$AG882,$AH$2:$AH882))</f>
        <v/>
      </c>
      <c r="AJ882" t="str">
        <f>IF('TMP Paste'!$F882="","",IF('TMP Paste'!$B882="",$AJ881,'TMP Paste'!$B882))</f>
        <v/>
      </c>
      <c r="AK882" t="str">
        <f>IF('TMP Paste'!$F882="","",N('TMP Paste'!$G882))</f>
        <v/>
      </c>
      <c r="AL882" t="str">
        <f>IF('TMP Paste'!$F882="","",IF('TMP Paste'!$M882="",$AL881,'TMP Paste'!$M882))</f>
        <v/>
      </c>
      <c r="AM882" t="str">
        <f>IF('TMP Paste'!$F882="","",IF('TMP Paste'!$N882="",$AM881,'TMP Paste'!$N882))</f>
        <v/>
      </c>
      <c r="AN882" t="str">
        <f>IF('TMP Paste'!$F882="","",IF('TMP Paste'!$O882="",$AN881,'TMP Paste'!$O882))</f>
        <v/>
      </c>
      <c r="AO882" t="str">
        <f>IF('TMP Paste'!$F882="","",IF('TMP Paste'!$P882="",$AO881,'TMP Paste'!$P882))</f>
        <v/>
      </c>
      <c r="AP882" t="str">
        <f t="shared" si="83"/>
        <v/>
      </c>
      <c r="AQ882" t="str">
        <f>IF($AS882="","",TRIM(IF(COUNTIFS(Calc!$B$2:$B$1601,ROW()-1,Calc!$C$2:$C$1601,"&lt;1")&gt;0,"Ada PO tanpa Koli - cek TMP. ","")&amp;IF(OR($AU882="",$AU882&lt;=0),"Volume kosong/0 - dimensi dikosongkan. ","")&amp;IF(AND($AU882&lt;&gt;"",$AU882&gt;=1000000),"Volume &gt;= 1.000.000 cm3 (di luar aturan) - dimensi dikosongkan. ","")&amp;IF(LEN($R882)&gt;500,"R &gt; 500 karakter.","")))</f>
        <v/>
      </c>
      <c r="AS882" t="str">
        <f>IFERROR(MATCH(ROW()-1,Calc!$J$2:$J$1601,0),"")</f>
        <v/>
      </c>
      <c r="AT882" t="str">
        <f>IFERROR(MATCH(ROW()-1,Calc!$K$2:$K$1601,0),"")</f>
        <v/>
      </c>
      <c r="AU882" t="str">
        <f>IF($AS882="","",IFERROR(INDEX('TMP Paste'!$D$2:$D$1601,$AS882)*1000000/$AB882,""))</f>
        <v/>
      </c>
    </row>
    <row r="883" spans="1:47">
      <c r="A883" t="str">
        <f>IF($AS883="","",INDEX('TMP Paste'!$B$2:$B$1601,$AS883))</f>
        <v/>
      </c>
      <c r="B883" t="str">
        <f>IF($AS883="","",Config!$B$14)</f>
        <v/>
      </c>
      <c r="C883" t="str">
        <f>IF($AS883="","",Config!$B$15)</f>
        <v/>
      </c>
      <c r="D883" t="str">
        <f>IF($AS883="","",INDEX('TMP Paste'!$B$2:$B$1601,$AS883))</f>
        <v/>
      </c>
      <c r="E883" t="str">
        <f>IF($AS883="","",Config!$B$27)</f>
        <v/>
      </c>
      <c r="F883" t="str">
        <f>IF($AS883="","",Config!$B$9)</f>
        <v/>
      </c>
      <c r="G883" t="str">
        <f>IF($AS883="","",Config!$B$10)</f>
        <v/>
      </c>
      <c r="H883" t="str">
        <f>IF($AS883="","",Config!$B$11)</f>
        <v/>
      </c>
      <c r="I883" t="str">
        <f>IF($AS883="","",Config!$B$16)</f>
        <v/>
      </c>
      <c r="J883" t="str">
        <f>IF($AS883="","",INDEX('TMP Paste'!$A$2:$A$1601,$AS883))</f>
        <v/>
      </c>
      <c r="K883" t="str">
        <f>IF($AS883="","",INDEX('TMP Paste'!$L$2:$L$1601,$AS883))</f>
        <v/>
      </c>
      <c r="L883" t="str">
        <f>IF($AS883="","",INDEX('TMP Paste'!$I$2:$I$1601,$AS883))</f>
        <v/>
      </c>
      <c r="M883" t="str">
        <f>IF($AS883="","",Config!$B$16)</f>
        <v/>
      </c>
      <c r="N883" t="str">
        <f t="shared" si="78"/>
        <v/>
      </c>
      <c r="O883" t="str">
        <f>IF($AS883="","",INDEX('TMP Paste'!$K$2:$K$1601,$AS883))</f>
        <v/>
      </c>
      <c r="P883" t="str">
        <f t="shared" si="79"/>
        <v/>
      </c>
      <c r="Q883" t="str">
        <f>IF($AS883="","",INDEX('TMP Paste'!$J$2:$J$1601,$AS883))</f>
        <v/>
      </c>
      <c r="R883" t="str">
        <f>IF($AS883="","",Config!$B$24)</f>
        <v/>
      </c>
      <c r="S883" t="str">
        <f ca="1">IF($AS883="","",TEXT(Config!$B$4,"yyyy-mm-dd"))</f>
        <v/>
      </c>
      <c r="T883" t="str">
        <f>IF($AS883="","",Config!$B$17)</f>
        <v/>
      </c>
      <c r="U883" t="str">
        <f>IF($AS883="","",Config!$B$18)</f>
        <v/>
      </c>
      <c r="V883" t="str">
        <f>IF($AS883="","",Config!$B$19)</f>
        <v/>
      </c>
      <c r="W883" t="str">
        <f>IF($AS883="","",INDEX('TMP Paste'!$C$2:$C$1601,$AS883))</f>
        <v/>
      </c>
      <c r="X883" t="str">
        <f>IF($AS883="","",Config!$B$29)</f>
        <v/>
      </c>
      <c r="Y883" t="str">
        <f>IF($AT883="","",INDEX(Calc!$I$2:$I$1601,$AT883)&amp;" - "&amp;INDEX(Calc!$D$2:$D$1601,$AT883)&amp;" koli")</f>
        <v/>
      </c>
      <c r="Z883" t="str">
        <f>IF($AS883="","",Config!$B$21)</f>
        <v/>
      </c>
      <c r="AA883" t="str">
        <f>IF($AS883="","",Config!$B$22)</f>
        <v/>
      </c>
      <c r="AB883" t="str">
        <f>IF($AT883="","",INDEX(Calc!$D$2:$D$1601,$AT883))</f>
        <v/>
      </c>
      <c r="AC883" t="str">
        <f>IF($AT883="","",INDEX(Calc!$G$2:$G$1601,$AT883))</f>
        <v/>
      </c>
      <c r="AD883" t="str">
        <f>IF($AS883="","",Config!$B$23)</f>
        <v/>
      </c>
      <c r="AE883" t="str">
        <f>IF($AS883="","",Config!$B$28)</f>
        <v/>
      </c>
      <c r="AF883" t="str">
        <f t="shared" si="80"/>
        <v/>
      </c>
      <c r="AG883" t="str">
        <f t="shared" si="81"/>
        <v/>
      </c>
      <c r="AH883" t="str">
        <f t="shared" si="82"/>
        <v/>
      </c>
      <c r="AI883" t="str">
        <f>IF($AG883="","",SUMIF($AG$2:$AG883,$AG883,$AH$2:$AH883))</f>
        <v/>
      </c>
      <c r="AJ883" t="str">
        <f>IF('TMP Paste'!$F883="","",IF('TMP Paste'!$B883="",$AJ882,'TMP Paste'!$B883))</f>
        <v/>
      </c>
      <c r="AK883" t="str">
        <f>IF('TMP Paste'!$F883="","",N('TMP Paste'!$G883))</f>
        <v/>
      </c>
      <c r="AL883" t="str">
        <f>IF('TMP Paste'!$F883="","",IF('TMP Paste'!$M883="",$AL882,'TMP Paste'!$M883))</f>
        <v/>
      </c>
      <c r="AM883" t="str">
        <f>IF('TMP Paste'!$F883="","",IF('TMP Paste'!$N883="",$AM882,'TMP Paste'!$N883))</f>
        <v/>
      </c>
      <c r="AN883" t="str">
        <f>IF('TMP Paste'!$F883="","",IF('TMP Paste'!$O883="",$AN882,'TMP Paste'!$O883))</f>
        <v/>
      </c>
      <c r="AO883" t="str">
        <f>IF('TMP Paste'!$F883="","",IF('TMP Paste'!$P883="",$AO882,'TMP Paste'!$P883))</f>
        <v/>
      </c>
      <c r="AP883" t="str">
        <f t="shared" si="83"/>
        <v/>
      </c>
      <c r="AQ883" t="str">
        <f>IF($AS883="","",TRIM(IF(COUNTIFS(Calc!$B$2:$B$1601,ROW()-1,Calc!$C$2:$C$1601,"&lt;1")&gt;0,"Ada PO tanpa Koli - cek TMP. ","")&amp;IF(OR($AU883="",$AU883&lt;=0),"Volume kosong/0 - dimensi dikosongkan. ","")&amp;IF(AND($AU883&lt;&gt;"",$AU883&gt;=1000000),"Volume &gt;= 1.000.000 cm3 (di luar aturan) - dimensi dikosongkan. ","")&amp;IF(LEN($R883)&gt;500,"R &gt; 500 karakter.","")))</f>
        <v/>
      </c>
      <c r="AS883" t="str">
        <f>IFERROR(MATCH(ROW()-1,Calc!$J$2:$J$1601,0),"")</f>
        <v/>
      </c>
      <c r="AT883" t="str">
        <f>IFERROR(MATCH(ROW()-1,Calc!$K$2:$K$1601,0),"")</f>
        <v/>
      </c>
      <c r="AU883" t="str">
        <f>IF($AS883="","",IFERROR(INDEX('TMP Paste'!$D$2:$D$1601,$AS883)*1000000/$AB883,""))</f>
        <v/>
      </c>
    </row>
    <row r="884" spans="1:47">
      <c r="A884" t="str">
        <f>IF($AS884="","",INDEX('TMP Paste'!$B$2:$B$1601,$AS884))</f>
        <v/>
      </c>
      <c r="B884" t="str">
        <f>IF($AS884="","",Config!$B$14)</f>
        <v/>
      </c>
      <c r="C884" t="str">
        <f>IF($AS884="","",Config!$B$15)</f>
        <v/>
      </c>
      <c r="D884" t="str">
        <f>IF($AS884="","",INDEX('TMP Paste'!$B$2:$B$1601,$AS884))</f>
        <v/>
      </c>
      <c r="E884" t="str">
        <f>IF($AS884="","",Config!$B$27)</f>
        <v/>
      </c>
      <c r="F884" t="str">
        <f>IF($AS884="","",Config!$B$9)</f>
        <v/>
      </c>
      <c r="G884" t="str">
        <f>IF($AS884="","",Config!$B$10)</f>
        <v/>
      </c>
      <c r="H884" t="str">
        <f>IF($AS884="","",Config!$B$11)</f>
        <v/>
      </c>
      <c r="I884" t="str">
        <f>IF($AS884="","",Config!$B$16)</f>
        <v/>
      </c>
      <c r="J884" t="str">
        <f>IF($AS884="","",INDEX('TMP Paste'!$A$2:$A$1601,$AS884))</f>
        <v/>
      </c>
      <c r="K884" t="str">
        <f>IF($AS884="","",INDEX('TMP Paste'!$L$2:$L$1601,$AS884))</f>
        <v/>
      </c>
      <c r="L884" t="str">
        <f>IF($AS884="","",INDEX('TMP Paste'!$I$2:$I$1601,$AS884))</f>
        <v/>
      </c>
      <c r="M884" t="str">
        <f>IF($AS884="","",Config!$B$16)</f>
        <v/>
      </c>
      <c r="N884" t="str">
        <f t="shared" si="78"/>
        <v/>
      </c>
      <c r="O884" t="str">
        <f>IF($AS884="","",INDEX('TMP Paste'!$K$2:$K$1601,$AS884))</f>
        <v/>
      </c>
      <c r="P884" t="str">
        <f t="shared" si="79"/>
        <v/>
      </c>
      <c r="Q884" t="str">
        <f>IF($AS884="","",INDEX('TMP Paste'!$J$2:$J$1601,$AS884))</f>
        <v/>
      </c>
      <c r="R884" t="str">
        <f>IF($AS884="","",Config!$B$24)</f>
        <v/>
      </c>
      <c r="S884" t="str">
        <f ca="1">IF($AS884="","",TEXT(Config!$B$4,"yyyy-mm-dd"))</f>
        <v/>
      </c>
      <c r="T884" t="str">
        <f>IF($AS884="","",Config!$B$17)</f>
        <v/>
      </c>
      <c r="U884" t="str">
        <f>IF($AS884="","",Config!$B$18)</f>
        <v/>
      </c>
      <c r="V884" t="str">
        <f>IF($AS884="","",Config!$B$19)</f>
        <v/>
      </c>
      <c r="W884" t="str">
        <f>IF($AS884="","",INDEX('TMP Paste'!$C$2:$C$1601,$AS884))</f>
        <v/>
      </c>
      <c r="X884" t="str">
        <f>IF($AS884="","",Config!$B$29)</f>
        <v/>
      </c>
      <c r="Y884" t="str">
        <f>IF($AT884="","",INDEX(Calc!$I$2:$I$1601,$AT884)&amp;" - "&amp;INDEX(Calc!$D$2:$D$1601,$AT884)&amp;" koli")</f>
        <v/>
      </c>
      <c r="Z884" t="str">
        <f>IF($AS884="","",Config!$B$21)</f>
        <v/>
      </c>
      <c r="AA884" t="str">
        <f>IF($AS884="","",Config!$B$22)</f>
        <v/>
      </c>
      <c r="AB884" t="str">
        <f>IF($AT884="","",INDEX(Calc!$D$2:$D$1601,$AT884))</f>
        <v/>
      </c>
      <c r="AC884" t="str">
        <f>IF($AT884="","",INDEX(Calc!$G$2:$G$1601,$AT884))</f>
        <v/>
      </c>
      <c r="AD884" t="str">
        <f>IF($AS884="","",Config!$B$23)</f>
        <v/>
      </c>
      <c r="AE884" t="str">
        <f>IF($AS884="","",Config!$B$28)</f>
        <v/>
      </c>
      <c r="AF884" t="str">
        <f t="shared" si="80"/>
        <v/>
      </c>
      <c r="AG884" t="str">
        <f t="shared" si="81"/>
        <v/>
      </c>
      <c r="AH884" t="str">
        <f t="shared" si="82"/>
        <v/>
      </c>
      <c r="AI884" t="str">
        <f>IF($AG884="","",SUMIF($AG$2:$AG884,$AG884,$AH$2:$AH884))</f>
        <v/>
      </c>
      <c r="AJ884" t="str">
        <f>IF('TMP Paste'!$F884="","",IF('TMP Paste'!$B884="",$AJ883,'TMP Paste'!$B884))</f>
        <v/>
      </c>
      <c r="AK884" t="str">
        <f>IF('TMP Paste'!$F884="","",N('TMP Paste'!$G884))</f>
        <v/>
      </c>
      <c r="AL884" t="str">
        <f>IF('TMP Paste'!$F884="","",IF('TMP Paste'!$M884="",$AL883,'TMP Paste'!$M884))</f>
        <v/>
      </c>
      <c r="AM884" t="str">
        <f>IF('TMP Paste'!$F884="","",IF('TMP Paste'!$N884="",$AM883,'TMP Paste'!$N884))</f>
        <v/>
      </c>
      <c r="AN884" t="str">
        <f>IF('TMP Paste'!$F884="","",IF('TMP Paste'!$O884="",$AN883,'TMP Paste'!$O884))</f>
        <v/>
      </c>
      <c r="AO884" t="str">
        <f>IF('TMP Paste'!$F884="","",IF('TMP Paste'!$P884="",$AO883,'TMP Paste'!$P884))</f>
        <v/>
      </c>
      <c r="AP884" t="str">
        <f t="shared" si="83"/>
        <v/>
      </c>
      <c r="AQ884" t="str">
        <f>IF($AS884="","",TRIM(IF(COUNTIFS(Calc!$B$2:$B$1601,ROW()-1,Calc!$C$2:$C$1601,"&lt;1")&gt;0,"Ada PO tanpa Koli - cek TMP. ","")&amp;IF(OR($AU884="",$AU884&lt;=0),"Volume kosong/0 - dimensi dikosongkan. ","")&amp;IF(AND($AU884&lt;&gt;"",$AU884&gt;=1000000),"Volume &gt;= 1.000.000 cm3 (di luar aturan) - dimensi dikosongkan. ","")&amp;IF(LEN($R884)&gt;500,"R &gt; 500 karakter.","")))</f>
        <v/>
      </c>
      <c r="AS884" t="str">
        <f>IFERROR(MATCH(ROW()-1,Calc!$J$2:$J$1601,0),"")</f>
        <v/>
      </c>
      <c r="AT884" t="str">
        <f>IFERROR(MATCH(ROW()-1,Calc!$K$2:$K$1601,0),"")</f>
        <v/>
      </c>
      <c r="AU884" t="str">
        <f>IF($AS884="","",IFERROR(INDEX('TMP Paste'!$D$2:$D$1601,$AS884)*1000000/$AB884,""))</f>
        <v/>
      </c>
    </row>
    <row r="885" spans="1:47">
      <c r="A885" t="str">
        <f>IF($AS885="","",INDEX('TMP Paste'!$B$2:$B$1601,$AS885))</f>
        <v/>
      </c>
      <c r="B885" t="str">
        <f>IF($AS885="","",Config!$B$14)</f>
        <v/>
      </c>
      <c r="C885" t="str">
        <f>IF($AS885="","",Config!$B$15)</f>
        <v/>
      </c>
      <c r="D885" t="str">
        <f>IF($AS885="","",INDEX('TMP Paste'!$B$2:$B$1601,$AS885))</f>
        <v/>
      </c>
      <c r="E885" t="str">
        <f>IF($AS885="","",Config!$B$27)</f>
        <v/>
      </c>
      <c r="F885" t="str">
        <f>IF($AS885="","",Config!$B$9)</f>
        <v/>
      </c>
      <c r="G885" t="str">
        <f>IF($AS885="","",Config!$B$10)</f>
        <v/>
      </c>
      <c r="H885" t="str">
        <f>IF($AS885="","",Config!$B$11)</f>
        <v/>
      </c>
      <c r="I885" t="str">
        <f>IF($AS885="","",Config!$B$16)</f>
        <v/>
      </c>
      <c r="J885" t="str">
        <f>IF($AS885="","",INDEX('TMP Paste'!$A$2:$A$1601,$AS885))</f>
        <v/>
      </c>
      <c r="K885" t="str">
        <f>IF($AS885="","",INDEX('TMP Paste'!$L$2:$L$1601,$AS885))</f>
        <v/>
      </c>
      <c r="L885" t="str">
        <f>IF($AS885="","",INDEX('TMP Paste'!$I$2:$I$1601,$AS885))</f>
        <v/>
      </c>
      <c r="M885" t="str">
        <f>IF($AS885="","",Config!$B$16)</f>
        <v/>
      </c>
      <c r="N885" t="str">
        <f t="shared" si="78"/>
        <v/>
      </c>
      <c r="O885" t="str">
        <f>IF($AS885="","",INDEX('TMP Paste'!$K$2:$K$1601,$AS885))</f>
        <v/>
      </c>
      <c r="P885" t="str">
        <f t="shared" si="79"/>
        <v/>
      </c>
      <c r="Q885" t="str">
        <f>IF($AS885="","",INDEX('TMP Paste'!$J$2:$J$1601,$AS885))</f>
        <v/>
      </c>
      <c r="R885" t="str">
        <f>IF($AS885="","",Config!$B$24)</f>
        <v/>
      </c>
      <c r="S885" t="str">
        <f ca="1">IF($AS885="","",TEXT(Config!$B$4,"yyyy-mm-dd"))</f>
        <v/>
      </c>
      <c r="T885" t="str">
        <f>IF($AS885="","",Config!$B$17)</f>
        <v/>
      </c>
      <c r="U885" t="str">
        <f>IF($AS885="","",Config!$B$18)</f>
        <v/>
      </c>
      <c r="V885" t="str">
        <f>IF($AS885="","",Config!$B$19)</f>
        <v/>
      </c>
      <c r="W885" t="str">
        <f>IF($AS885="","",INDEX('TMP Paste'!$C$2:$C$1601,$AS885))</f>
        <v/>
      </c>
      <c r="X885" t="str">
        <f>IF($AS885="","",Config!$B$29)</f>
        <v/>
      </c>
      <c r="Y885" t="str">
        <f>IF($AT885="","",INDEX(Calc!$I$2:$I$1601,$AT885)&amp;" - "&amp;INDEX(Calc!$D$2:$D$1601,$AT885)&amp;" koli")</f>
        <v/>
      </c>
      <c r="Z885" t="str">
        <f>IF($AS885="","",Config!$B$21)</f>
        <v/>
      </c>
      <c r="AA885" t="str">
        <f>IF($AS885="","",Config!$B$22)</f>
        <v/>
      </c>
      <c r="AB885" t="str">
        <f>IF($AT885="","",INDEX(Calc!$D$2:$D$1601,$AT885))</f>
        <v/>
      </c>
      <c r="AC885" t="str">
        <f>IF($AT885="","",INDEX(Calc!$G$2:$G$1601,$AT885))</f>
        <v/>
      </c>
      <c r="AD885" t="str">
        <f>IF($AS885="","",Config!$B$23)</f>
        <v/>
      </c>
      <c r="AE885" t="str">
        <f>IF($AS885="","",Config!$B$28)</f>
        <v/>
      </c>
      <c r="AF885" t="str">
        <f t="shared" si="80"/>
        <v/>
      </c>
      <c r="AG885" t="str">
        <f t="shared" si="81"/>
        <v/>
      </c>
      <c r="AH885" t="str">
        <f t="shared" si="82"/>
        <v/>
      </c>
      <c r="AI885" t="str">
        <f>IF($AG885="","",SUMIF($AG$2:$AG885,$AG885,$AH$2:$AH885))</f>
        <v/>
      </c>
      <c r="AJ885" t="str">
        <f>IF('TMP Paste'!$F885="","",IF('TMP Paste'!$B885="",$AJ884,'TMP Paste'!$B885))</f>
        <v/>
      </c>
      <c r="AK885" t="str">
        <f>IF('TMP Paste'!$F885="","",N('TMP Paste'!$G885))</f>
        <v/>
      </c>
      <c r="AL885" t="str">
        <f>IF('TMP Paste'!$F885="","",IF('TMP Paste'!$M885="",$AL884,'TMP Paste'!$M885))</f>
        <v/>
      </c>
      <c r="AM885" t="str">
        <f>IF('TMP Paste'!$F885="","",IF('TMP Paste'!$N885="",$AM884,'TMP Paste'!$N885))</f>
        <v/>
      </c>
      <c r="AN885" t="str">
        <f>IF('TMP Paste'!$F885="","",IF('TMP Paste'!$O885="",$AN884,'TMP Paste'!$O885))</f>
        <v/>
      </c>
      <c r="AO885" t="str">
        <f>IF('TMP Paste'!$F885="","",IF('TMP Paste'!$P885="",$AO884,'TMP Paste'!$P885))</f>
        <v/>
      </c>
      <c r="AP885" t="str">
        <f t="shared" si="83"/>
        <v/>
      </c>
      <c r="AQ885" t="str">
        <f>IF($AS885="","",TRIM(IF(COUNTIFS(Calc!$B$2:$B$1601,ROW()-1,Calc!$C$2:$C$1601,"&lt;1")&gt;0,"Ada PO tanpa Koli - cek TMP. ","")&amp;IF(OR($AU885="",$AU885&lt;=0),"Volume kosong/0 - dimensi dikosongkan. ","")&amp;IF(AND($AU885&lt;&gt;"",$AU885&gt;=1000000),"Volume &gt;= 1.000.000 cm3 (di luar aturan) - dimensi dikosongkan. ","")&amp;IF(LEN($R885)&gt;500,"R &gt; 500 karakter.","")))</f>
        <v/>
      </c>
      <c r="AS885" t="str">
        <f>IFERROR(MATCH(ROW()-1,Calc!$J$2:$J$1601,0),"")</f>
        <v/>
      </c>
      <c r="AT885" t="str">
        <f>IFERROR(MATCH(ROW()-1,Calc!$K$2:$K$1601,0),"")</f>
        <v/>
      </c>
      <c r="AU885" t="str">
        <f>IF($AS885="","",IFERROR(INDEX('TMP Paste'!$D$2:$D$1601,$AS885)*1000000/$AB885,""))</f>
        <v/>
      </c>
    </row>
    <row r="886" spans="1:47">
      <c r="A886" t="str">
        <f>IF($AS886="","",INDEX('TMP Paste'!$B$2:$B$1601,$AS886))</f>
        <v/>
      </c>
      <c r="B886" t="str">
        <f>IF($AS886="","",Config!$B$14)</f>
        <v/>
      </c>
      <c r="C886" t="str">
        <f>IF($AS886="","",Config!$B$15)</f>
        <v/>
      </c>
      <c r="D886" t="str">
        <f>IF($AS886="","",INDEX('TMP Paste'!$B$2:$B$1601,$AS886))</f>
        <v/>
      </c>
      <c r="E886" t="str">
        <f>IF($AS886="","",Config!$B$27)</f>
        <v/>
      </c>
      <c r="F886" t="str">
        <f>IF($AS886="","",Config!$B$9)</f>
        <v/>
      </c>
      <c r="G886" t="str">
        <f>IF($AS886="","",Config!$B$10)</f>
        <v/>
      </c>
      <c r="H886" t="str">
        <f>IF($AS886="","",Config!$B$11)</f>
        <v/>
      </c>
      <c r="I886" t="str">
        <f>IF($AS886="","",Config!$B$16)</f>
        <v/>
      </c>
      <c r="J886" t="str">
        <f>IF($AS886="","",INDEX('TMP Paste'!$A$2:$A$1601,$AS886))</f>
        <v/>
      </c>
      <c r="K886" t="str">
        <f>IF($AS886="","",INDEX('TMP Paste'!$L$2:$L$1601,$AS886))</f>
        <v/>
      </c>
      <c r="L886" t="str">
        <f>IF($AS886="","",INDEX('TMP Paste'!$I$2:$I$1601,$AS886))</f>
        <v/>
      </c>
      <c r="M886" t="str">
        <f>IF($AS886="","",Config!$B$16)</f>
        <v/>
      </c>
      <c r="N886" t="str">
        <f t="shared" si="78"/>
        <v/>
      </c>
      <c r="O886" t="str">
        <f>IF($AS886="","",INDEX('TMP Paste'!$K$2:$K$1601,$AS886))</f>
        <v/>
      </c>
      <c r="P886" t="str">
        <f t="shared" si="79"/>
        <v/>
      </c>
      <c r="Q886" t="str">
        <f>IF($AS886="","",INDEX('TMP Paste'!$J$2:$J$1601,$AS886))</f>
        <v/>
      </c>
      <c r="R886" t="str">
        <f>IF($AS886="","",Config!$B$24)</f>
        <v/>
      </c>
      <c r="S886" t="str">
        <f ca="1">IF($AS886="","",TEXT(Config!$B$4,"yyyy-mm-dd"))</f>
        <v/>
      </c>
      <c r="T886" t="str">
        <f>IF($AS886="","",Config!$B$17)</f>
        <v/>
      </c>
      <c r="U886" t="str">
        <f>IF($AS886="","",Config!$B$18)</f>
        <v/>
      </c>
      <c r="V886" t="str">
        <f>IF($AS886="","",Config!$B$19)</f>
        <v/>
      </c>
      <c r="W886" t="str">
        <f>IF($AS886="","",INDEX('TMP Paste'!$C$2:$C$1601,$AS886))</f>
        <v/>
      </c>
      <c r="X886" t="str">
        <f>IF($AS886="","",Config!$B$29)</f>
        <v/>
      </c>
      <c r="Y886" t="str">
        <f>IF($AT886="","",INDEX(Calc!$I$2:$I$1601,$AT886)&amp;" - "&amp;INDEX(Calc!$D$2:$D$1601,$AT886)&amp;" koli")</f>
        <v/>
      </c>
      <c r="Z886" t="str">
        <f>IF($AS886="","",Config!$B$21)</f>
        <v/>
      </c>
      <c r="AA886" t="str">
        <f>IF($AS886="","",Config!$B$22)</f>
        <v/>
      </c>
      <c r="AB886" t="str">
        <f>IF($AT886="","",INDEX(Calc!$D$2:$D$1601,$AT886))</f>
        <v/>
      </c>
      <c r="AC886" t="str">
        <f>IF($AT886="","",INDEX(Calc!$G$2:$G$1601,$AT886))</f>
        <v/>
      </c>
      <c r="AD886" t="str">
        <f>IF($AS886="","",Config!$B$23)</f>
        <v/>
      </c>
      <c r="AE886" t="str">
        <f>IF($AS886="","",Config!$B$28)</f>
        <v/>
      </c>
      <c r="AF886" t="str">
        <f t="shared" si="80"/>
        <v/>
      </c>
      <c r="AG886" t="str">
        <f t="shared" si="81"/>
        <v/>
      </c>
      <c r="AH886" t="str">
        <f t="shared" si="82"/>
        <v/>
      </c>
      <c r="AI886" t="str">
        <f>IF($AG886="","",SUMIF($AG$2:$AG886,$AG886,$AH$2:$AH886))</f>
        <v/>
      </c>
      <c r="AJ886" t="str">
        <f>IF('TMP Paste'!$F886="","",IF('TMP Paste'!$B886="",$AJ885,'TMP Paste'!$B886))</f>
        <v/>
      </c>
      <c r="AK886" t="str">
        <f>IF('TMP Paste'!$F886="","",N('TMP Paste'!$G886))</f>
        <v/>
      </c>
      <c r="AL886" t="str">
        <f>IF('TMP Paste'!$F886="","",IF('TMP Paste'!$M886="",$AL885,'TMP Paste'!$M886))</f>
        <v/>
      </c>
      <c r="AM886" t="str">
        <f>IF('TMP Paste'!$F886="","",IF('TMP Paste'!$N886="",$AM885,'TMP Paste'!$N886))</f>
        <v/>
      </c>
      <c r="AN886" t="str">
        <f>IF('TMP Paste'!$F886="","",IF('TMP Paste'!$O886="",$AN885,'TMP Paste'!$O886))</f>
        <v/>
      </c>
      <c r="AO886" t="str">
        <f>IF('TMP Paste'!$F886="","",IF('TMP Paste'!$P886="",$AO885,'TMP Paste'!$P886))</f>
        <v/>
      </c>
      <c r="AP886" t="str">
        <f t="shared" si="83"/>
        <v/>
      </c>
      <c r="AQ886" t="str">
        <f>IF($AS886="","",TRIM(IF(COUNTIFS(Calc!$B$2:$B$1601,ROW()-1,Calc!$C$2:$C$1601,"&lt;1")&gt;0,"Ada PO tanpa Koli - cek TMP. ","")&amp;IF(OR($AU886="",$AU886&lt;=0),"Volume kosong/0 - dimensi dikosongkan. ","")&amp;IF(AND($AU886&lt;&gt;"",$AU886&gt;=1000000),"Volume &gt;= 1.000.000 cm3 (di luar aturan) - dimensi dikosongkan. ","")&amp;IF(LEN($R886)&gt;500,"R &gt; 500 karakter.","")))</f>
        <v/>
      </c>
      <c r="AS886" t="str">
        <f>IFERROR(MATCH(ROW()-1,Calc!$J$2:$J$1601,0),"")</f>
        <v/>
      </c>
      <c r="AT886" t="str">
        <f>IFERROR(MATCH(ROW()-1,Calc!$K$2:$K$1601,0),"")</f>
        <v/>
      </c>
      <c r="AU886" t="str">
        <f>IF($AS886="","",IFERROR(INDEX('TMP Paste'!$D$2:$D$1601,$AS886)*1000000/$AB886,""))</f>
        <v/>
      </c>
    </row>
    <row r="887" spans="1:47">
      <c r="A887" t="str">
        <f>IF($AS887="","",INDEX('TMP Paste'!$B$2:$B$1601,$AS887))</f>
        <v/>
      </c>
      <c r="B887" t="str">
        <f>IF($AS887="","",Config!$B$14)</f>
        <v/>
      </c>
      <c r="C887" t="str">
        <f>IF($AS887="","",Config!$B$15)</f>
        <v/>
      </c>
      <c r="D887" t="str">
        <f>IF($AS887="","",INDEX('TMP Paste'!$B$2:$B$1601,$AS887))</f>
        <v/>
      </c>
      <c r="E887" t="str">
        <f>IF($AS887="","",Config!$B$27)</f>
        <v/>
      </c>
      <c r="F887" t="str">
        <f>IF($AS887="","",Config!$B$9)</f>
        <v/>
      </c>
      <c r="G887" t="str">
        <f>IF($AS887="","",Config!$B$10)</f>
        <v/>
      </c>
      <c r="H887" t="str">
        <f>IF($AS887="","",Config!$B$11)</f>
        <v/>
      </c>
      <c r="I887" t="str">
        <f>IF($AS887="","",Config!$B$16)</f>
        <v/>
      </c>
      <c r="J887" t="str">
        <f>IF($AS887="","",INDEX('TMP Paste'!$A$2:$A$1601,$AS887))</f>
        <v/>
      </c>
      <c r="K887" t="str">
        <f>IF($AS887="","",INDEX('TMP Paste'!$L$2:$L$1601,$AS887))</f>
        <v/>
      </c>
      <c r="L887" t="str">
        <f>IF($AS887="","",INDEX('TMP Paste'!$I$2:$I$1601,$AS887))</f>
        <v/>
      </c>
      <c r="M887" t="str">
        <f>IF($AS887="","",Config!$B$16)</f>
        <v/>
      </c>
      <c r="N887" t="str">
        <f t="shared" si="78"/>
        <v/>
      </c>
      <c r="O887" t="str">
        <f>IF($AS887="","",INDEX('TMP Paste'!$K$2:$K$1601,$AS887))</f>
        <v/>
      </c>
      <c r="P887" t="str">
        <f t="shared" si="79"/>
        <v/>
      </c>
      <c r="Q887" t="str">
        <f>IF($AS887="","",INDEX('TMP Paste'!$J$2:$J$1601,$AS887))</f>
        <v/>
      </c>
      <c r="R887" t="str">
        <f>IF($AS887="","",Config!$B$24)</f>
        <v/>
      </c>
      <c r="S887" t="str">
        <f ca="1">IF($AS887="","",TEXT(Config!$B$4,"yyyy-mm-dd"))</f>
        <v/>
      </c>
      <c r="T887" t="str">
        <f>IF($AS887="","",Config!$B$17)</f>
        <v/>
      </c>
      <c r="U887" t="str">
        <f>IF($AS887="","",Config!$B$18)</f>
        <v/>
      </c>
      <c r="V887" t="str">
        <f>IF($AS887="","",Config!$B$19)</f>
        <v/>
      </c>
      <c r="W887" t="str">
        <f>IF($AS887="","",INDEX('TMP Paste'!$C$2:$C$1601,$AS887))</f>
        <v/>
      </c>
      <c r="X887" t="str">
        <f>IF($AS887="","",Config!$B$29)</f>
        <v/>
      </c>
      <c r="Y887" t="str">
        <f>IF($AT887="","",INDEX(Calc!$I$2:$I$1601,$AT887)&amp;" - "&amp;INDEX(Calc!$D$2:$D$1601,$AT887)&amp;" koli")</f>
        <v/>
      </c>
      <c r="Z887" t="str">
        <f>IF($AS887="","",Config!$B$21)</f>
        <v/>
      </c>
      <c r="AA887" t="str">
        <f>IF($AS887="","",Config!$B$22)</f>
        <v/>
      </c>
      <c r="AB887" t="str">
        <f>IF($AT887="","",INDEX(Calc!$D$2:$D$1601,$AT887))</f>
        <v/>
      </c>
      <c r="AC887" t="str">
        <f>IF($AT887="","",INDEX(Calc!$G$2:$G$1601,$AT887))</f>
        <v/>
      </c>
      <c r="AD887" t="str">
        <f>IF($AS887="","",Config!$B$23)</f>
        <v/>
      </c>
      <c r="AE887" t="str">
        <f>IF($AS887="","",Config!$B$28)</f>
        <v/>
      </c>
      <c r="AF887" t="str">
        <f t="shared" si="80"/>
        <v/>
      </c>
      <c r="AG887" t="str">
        <f t="shared" si="81"/>
        <v/>
      </c>
      <c r="AH887" t="str">
        <f t="shared" si="82"/>
        <v/>
      </c>
      <c r="AI887" t="str">
        <f>IF($AG887="","",SUMIF($AG$2:$AG887,$AG887,$AH$2:$AH887))</f>
        <v/>
      </c>
      <c r="AJ887" t="str">
        <f>IF('TMP Paste'!$F887="","",IF('TMP Paste'!$B887="",$AJ886,'TMP Paste'!$B887))</f>
        <v/>
      </c>
      <c r="AK887" t="str">
        <f>IF('TMP Paste'!$F887="","",N('TMP Paste'!$G887))</f>
        <v/>
      </c>
      <c r="AL887" t="str">
        <f>IF('TMP Paste'!$F887="","",IF('TMP Paste'!$M887="",$AL886,'TMP Paste'!$M887))</f>
        <v/>
      </c>
      <c r="AM887" t="str">
        <f>IF('TMP Paste'!$F887="","",IF('TMP Paste'!$N887="",$AM886,'TMP Paste'!$N887))</f>
        <v/>
      </c>
      <c r="AN887" t="str">
        <f>IF('TMP Paste'!$F887="","",IF('TMP Paste'!$O887="",$AN886,'TMP Paste'!$O887))</f>
        <v/>
      </c>
      <c r="AO887" t="str">
        <f>IF('TMP Paste'!$F887="","",IF('TMP Paste'!$P887="",$AO886,'TMP Paste'!$P887))</f>
        <v/>
      </c>
      <c r="AP887" t="str">
        <f t="shared" si="83"/>
        <v/>
      </c>
      <c r="AQ887" t="str">
        <f>IF($AS887="","",TRIM(IF(COUNTIFS(Calc!$B$2:$B$1601,ROW()-1,Calc!$C$2:$C$1601,"&lt;1")&gt;0,"Ada PO tanpa Koli - cek TMP. ","")&amp;IF(OR($AU887="",$AU887&lt;=0),"Volume kosong/0 - dimensi dikosongkan. ","")&amp;IF(AND($AU887&lt;&gt;"",$AU887&gt;=1000000),"Volume &gt;= 1.000.000 cm3 (di luar aturan) - dimensi dikosongkan. ","")&amp;IF(LEN($R887)&gt;500,"R &gt; 500 karakter.","")))</f>
        <v/>
      </c>
      <c r="AS887" t="str">
        <f>IFERROR(MATCH(ROW()-1,Calc!$J$2:$J$1601,0),"")</f>
        <v/>
      </c>
      <c r="AT887" t="str">
        <f>IFERROR(MATCH(ROW()-1,Calc!$K$2:$K$1601,0),"")</f>
        <v/>
      </c>
      <c r="AU887" t="str">
        <f>IF($AS887="","",IFERROR(INDEX('TMP Paste'!$D$2:$D$1601,$AS887)*1000000/$AB887,""))</f>
        <v/>
      </c>
    </row>
    <row r="888" spans="1:47">
      <c r="A888" t="str">
        <f>IF($AS888="","",INDEX('TMP Paste'!$B$2:$B$1601,$AS888))</f>
        <v/>
      </c>
      <c r="B888" t="str">
        <f>IF($AS888="","",Config!$B$14)</f>
        <v/>
      </c>
      <c r="C888" t="str">
        <f>IF($AS888="","",Config!$B$15)</f>
        <v/>
      </c>
      <c r="D888" t="str">
        <f>IF($AS888="","",INDEX('TMP Paste'!$B$2:$B$1601,$AS888))</f>
        <v/>
      </c>
      <c r="E888" t="str">
        <f>IF($AS888="","",Config!$B$27)</f>
        <v/>
      </c>
      <c r="F888" t="str">
        <f>IF($AS888="","",Config!$B$9)</f>
        <v/>
      </c>
      <c r="G888" t="str">
        <f>IF($AS888="","",Config!$B$10)</f>
        <v/>
      </c>
      <c r="H888" t="str">
        <f>IF($AS888="","",Config!$B$11)</f>
        <v/>
      </c>
      <c r="I888" t="str">
        <f>IF($AS888="","",Config!$B$16)</f>
        <v/>
      </c>
      <c r="J888" t="str">
        <f>IF($AS888="","",INDEX('TMP Paste'!$A$2:$A$1601,$AS888))</f>
        <v/>
      </c>
      <c r="K888" t="str">
        <f>IF($AS888="","",INDEX('TMP Paste'!$L$2:$L$1601,$AS888))</f>
        <v/>
      </c>
      <c r="L888" t="str">
        <f>IF($AS888="","",INDEX('TMP Paste'!$I$2:$I$1601,$AS888))</f>
        <v/>
      </c>
      <c r="M888" t="str">
        <f>IF($AS888="","",Config!$B$16)</f>
        <v/>
      </c>
      <c r="N888" t="str">
        <f t="shared" si="78"/>
        <v/>
      </c>
      <c r="O888" t="str">
        <f>IF($AS888="","",INDEX('TMP Paste'!$K$2:$K$1601,$AS888))</f>
        <v/>
      </c>
      <c r="P888" t="str">
        <f t="shared" si="79"/>
        <v/>
      </c>
      <c r="Q888" t="str">
        <f>IF($AS888="","",INDEX('TMP Paste'!$J$2:$J$1601,$AS888))</f>
        <v/>
      </c>
      <c r="R888" t="str">
        <f>IF($AS888="","",Config!$B$24)</f>
        <v/>
      </c>
      <c r="S888" t="str">
        <f ca="1">IF($AS888="","",TEXT(Config!$B$4,"yyyy-mm-dd"))</f>
        <v/>
      </c>
      <c r="T888" t="str">
        <f>IF($AS888="","",Config!$B$17)</f>
        <v/>
      </c>
      <c r="U888" t="str">
        <f>IF($AS888="","",Config!$B$18)</f>
        <v/>
      </c>
      <c r="V888" t="str">
        <f>IF($AS888="","",Config!$B$19)</f>
        <v/>
      </c>
      <c r="W888" t="str">
        <f>IF($AS888="","",INDEX('TMP Paste'!$C$2:$C$1601,$AS888))</f>
        <v/>
      </c>
      <c r="X888" t="str">
        <f>IF($AS888="","",Config!$B$29)</f>
        <v/>
      </c>
      <c r="Y888" t="str">
        <f>IF($AT888="","",INDEX(Calc!$I$2:$I$1601,$AT888)&amp;" - "&amp;INDEX(Calc!$D$2:$D$1601,$AT888)&amp;" koli")</f>
        <v/>
      </c>
      <c r="Z888" t="str">
        <f>IF($AS888="","",Config!$B$21)</f>
        <v/>
      </c>
      <c r="AA888" t="str">
        <f>IF($AS888="","",Config!$B$22)</f>
        <v/>
      </c>
      <c r="AB888" t="str">
        <f>IF($AT888="","",INDEX(Calc!$D$2:$D$1601,$AT888))</f>
        <v/>
      </c>
      <c r="AC888" t="str">
        <f>IF($AT888="","",INDEX(Calc!$G$2:$G$1601,$AT888))</f>
        <v/>
      </c>
      <c r="AD888" t="str">
        <f>IF($AS888="","",Config!$B$23)</f>
        <v/>
      </c>
      <c r="AE888" t="str">
        <f>IF($AS888="","",Config!$B$28)</f>
        <v/>
      </c>
      <c r="AF888" t="str">
        <f t="shared" si="80"/>
        <v/>
      </c>
      <c r="AG888" t="str">
        <f t="shared" si="81"/>
        <v/>
      </c>
      <c r="AH888" t="str">
        <f t="shared" si="82"/>
        <v/>
      </c>
      <c r="AI888" t="str">
        <f>IF($AG888="","",SUMIF($AG$2:$AG888,$AG888,$AH$2:$AH888))</f>
        <v/>
      </c>
      <c r="AJ888" t="str">
        <f>IF('TMP Paste'!$F888="","",IF('TMP Paste'!$B888="",$AJ887,'TMP Paste'!$B888))</f>
        <v/>
      </c>
      <c r="AK888" t="str">
        <f>IF('TMP Paste'!$F888="","",N('TMP Paste'!$G888))</f>
        <v/>
      </c>
      <c r="AL888" t="str">
        <f>IF('TMP Paste'!$F888="","",IF('TMP Paste'!$M888="",$AL887,'TMP Paste'!$M888))</f>
        <v/>
      </c>
      <c r="AM888" t="str">
        <f>IF('TMP Paste'!$F888="","",IF('TMP Paste'!$N888="",$AM887,'TMP Paste'!$N888))</f>
        <v/>
      </c>
      <c r="AN888" t="str">
        <f>IF('TMP Paste'!$F888="","",IF('TMP Paste'!$O888="",$AN887,'TMP Paste'!$O888))</f>
        <v/>
      </c>
      <c r="AO888" t="str">
        <f>IF('TMP Paste'!$F888="","",IF('TMP Paste'!$P888="",$AO887,'TMP Paste'!$P888))</f>
        <v/>
      </c>
      <c r="AP888" t="str">
        <f t="shared" si="83"/>
        <v/>
      </c>
      <c r="AQ888" t="str">
        <f>IF($AS888="","",TRIM(IF(COUNTIFS(Calc!$B$2:$B$1601,ROW()-1,Calc!$C$2:$C$1601,"&lt;1")&gt;0,"Ada PO tanpa Koli - cek TMP. ","")&amp;IF(OR($AU888="",$AU888&lt;=0),"Volume kosong/0 - dimensi dikosongkan. ","")&amp;IF(AND($AU888&lt;&gt;"",$AU888&gt;=1000000),"Volume &gt;= 1.000.000 cm3 (di luar aturan) - dimensi dikosongkan. ","")&amp;IF(LEN($R888)&gt;500,"R &gt; 500 karakter.","")))</f>
        <v/>
      </c>
      <c r="AS888" t="str">
        <f>IFERROR(MATCH(ROW()-1,Calc!$J$2:$J$1601,0),"")</f>
        <v/>
      </c>
      <c r="AT888" t="str">
        <f>IFERROR(MATCH(ROW()-1,Calc!$K$2:$K$1601,0),"")</f>
        <v/>
      </c>
      <c r="AU888" t="str">
        <f>IF($AS888="","",IFERROR(INDEX('TMP Paste'!$D$2:$D$1601,$AS888)*1000000/$AB888,""))</f>
        <v/>
      </c>
    </row>
    <row r="889" spans="1:47">
      <c r="A889" t="str">
        <f>IF($AS889="","",INDEX('TMP Paste'!$B$2:$B$1601,$AS889))</f>
        <v/>
      </c>
      <c r="B889" t="str">
        <f>IF($AS889="","",Config!$B$14)</f>
        <v/>
      </c>
      <c r="C889" t="str">
        <f>IF($AS889="","",Config!$B$15)</f>
        <v/>
      </c>
      <c r="D889" t="str">
        <f>IF($AS889="","",INDEX('TMP Paste'!$B$2:$B$1601,$AS889))</f>
        <v/>
      </c>
      <c r="E889" t="str">
        <f>IF($AS889="","",Config!$B$27)</f>
        <v/>
      </c>
      <c r="F889" t="str">
        <f>IF($AS889="","",Config!$B$9)</f>
        <v/>
      </c>
      <c r="G889" t="str">
        <f>IF($AS889="","",Config!$B$10)</f>
        <v/>
      </c>
      <c r="H889" t="str">
        <f>IF($AS889="","",Config!$B$11)</f>
        <v/>
      </c>
      <c r="I889" t="str">
        <f>IF($AS889="","",Config!$B$16)</f>
        <v/>
      </c>
      <c r="J889" t="str">
        <f>IF($AS889="","",INDEX('TMP Paste'!$A$2:$A$1601,$AS889))</f>
        <v/>
      </c>
      <c r="K889" t="str">
        <f>IF($AS889="","",INDEX('TMP Paste'!$L$2:$L$1601,$AS889))</f>
        <v/>
      </c>
      <c r="L889" t="str">
        <f>IF($AS889="","",INDEX('TMP Paste'!$I$2:$I$1601,$AS889))</f>
        <v/>
      </c>
      <c r="M889" t="str">
        <f>IF($AS889="","",Config!$B$16)</f>
        <v/>
      </c>
      <c r="N889" t="str">
        <f t="shared" si="78"/>
        <v/>
      </c>
      <c r="O889" t="str">
        <f>IF($AS889="","",INDEX('TMP Paste'!$K$2:$K$1601,$AS889))</f>
        <v/>
      </c>
      <c r="P889" t="str">
        <f t="shared" si="79"/>
        <v/>
      </c>
      <c r="Q889" t="str">
        <f>IF($AS889="","",INDEX('TMP Paste'!$J$2:$J$1601,$AS889))</f>
        <v/>
      </c>
      <c r="R889" t="str">
        <f>IF($AS889="","",Config!$B$24)</f>
        <v/>
      </c>
      <c r="S889" t="str">
        <f ca="1">IF($AS889="","",TEXT(Config!$B$4,"yyyy-mm-dd"))</f>
        <v/>
      </c>
      <c r="T889" t="str">
        <f>IF($AS889="","",Config!$B$17)</f>
        <v/>
      </c>
      <c r="U889" t="str">
        <f>IF($AS889="","",Config!$B$18)</f>
        <v/>
      </c>
      <c r="V889" t="str">
        <f>IF($AS889="","",Config!$B$19)</f>
        <v/>
      </c>
      <c r="W889" t="str">
        <f>IF($AS889="","",INDEX('TMP Paste'!$C$2:$C$1601,$AS889))</f>
        <v/>
      </c>
      <c r="X889" t="str">
        <f>IF($AS889="","",Config!$B$29)</f>
        <v/>
      </c>
      <c r="Y889" t="str">
        <f>IF($AT889="","",INDEX(Calc!$I$2:$I$1601,$AT889)&amp;" - "&amp;INDEX(Calc!$D$2:$D$1601,$AT889)&amp;" koli")</f>
        <v/>
      </c>
      <c r="Z889" t="str">
        <f>IF($AS889="","",Config!$B$21)</f>
        <v/>
      </c>
      <c r="AA889" t="str">
        <f>IF($AS889="","",Config!$B$22)</f>
        <v/>
      </c>
      <c r="AB889" t="str">
        <f>IF($AT889="","",INDEX(Calc!$D$2:$D$1601,$AT889))</f>
        <v/>
      </c>
      <c r="AC889" t="str">
        <f>IF($AT889="","",INDEX(Calc!$G$2:$G$1601,$AT889))</f>
        <v/>
      </c>
      <c r="AD889" t="str">
        <f>IF($AS889="","",Config!$B$23)</f>
        <v/>
      </c>
      <c r="AE889" t="str">
        <f>IF($AS889="","",Config!$B$28)</f>
        <v/>
      </c>
      <c r="AF889" t="str">
        <f t="shared" si="80"/>
        <v/>
      </c>
      <c r="AG889" t="str">
        <f t="shared" si="81"/>
        <v/>
      </c>
      <c r="AH889" t="str">
        <f t="shared" si="82"/>
        <v/>
      </c>
      <c r="AI889" t="str">
        <f>IF($AG889="","",SUMIF($AG$2:$AG889,$AG889,$AH$2:$AH889))</f>
        <v/>
      </c>
      <c r="AJ889" t="str">
        <f>IF('TMP Paste'!$F889="","",IF('TMP Paste'!$B889="",$AJ888,'TMP Paste'!$B889))</f>
        <v/>
      </c>
      <c r="AK889" t="str">
        <f>IF('TMP Paste'!$F889="","",N('TMP Paste'!$G889))</f>
        <v/>
      </c>
      <c r="AL889" t="str">
        <f>IF('TMP Paste'!$F889="","",IF('TMP Paste'!$M889="",$AL888,'TMP Paste'!$M889))</f>
        <v/>
      </c>
      <c r="AM889" t="str">
        <f>IF('TMP Paste'!$F889="","",IF('TMP Paste'!$N889="",$AM888,'TMP Paste'!$N889))</f>
        <v/>
      </c>
      <c r="AN889" t="str">
        <f>IF('TMP Paste'!$F889="","",IF('TMP Paste'!$O889="",$AN888,'TMP Paste'!$O889))</f>
        <v/>
      </c>
      <c r="AO889" t="str">
        <f>IF('TMP Paste'!$F889="","",IF('TMP Paste'!$P889="",$AO888,'TMP Paste'!$P889))</f>
        <v/>
      </c>
      <c r="AP889" t="str">
        <f t="shared" si="83"/>
        <v/>
      </c>
      <c r="AQ889" t="str">
        <f>IF($AS889="","",TRIM(IF(COUNTIFS(Calc!$B$2:$B$1601,ROW()-1,Calc!$C$2:$C$1601,"&lt;1")&gt;0,"Ada PO tanpa Koli - cek TMP. ","")&amp;IF(OR($AU889="",$AU889&lt;=0),"Volume kosong/0 - dimensi dikosongkan. ","")&amp;IF(AND($AU889&lt;&gt;"",$AU889&gt;=1000000),"Volume &gt;= 1.000.000 cm3 (di luar aturan) - dimensi dikosongkan. ","")&amp;IF(LEN($R889)&gt;500,"R &gt; 500 karakter.","")))</f>
        <v/>
      </c>
      <c r="AS889" t="str">
        <f>IFERROR(MATCH(ROW()-1,Calc!$J$2:$J$1601,0),"")</f>
        <v/>
      </c>
      <c r="AT889" t="str">
        <f>IFERROR(MATCH(ROW()-1,Calc!$K$2:$K$1601,0),"")</f>
        <v/>
      </c>
      <c r="AU889" t="str">
        <f>IF($AS889="","",IFERROR(INDEX('TMP Paste'!$D$2:$D$1601,$AS889)*1000000/$AB889,""))</f>
        <v/>
      </c>
    </row>
    <row r="890" spans="1:47">
      <c r="A890" t="str">
        <f>IF($AS890="","",INDEX('TMP Paste'!$B$2:$B$1601,$AS890))</f>
        <v/>
      </c>
      <c r="B890" t="str">
        <f>IF($AS890="","",Config!$B$14)</f>
        <v/>
      </c>
      <c r="C890" t="str">
        <f>IF($AS890="","",Config!$B$15)</f>
        <v/>
      </c>
      <c r="D890" t="str">
        <f>IF($AS890="","",INDEX('TMP Paste'!$B$2:$B$1601,$AS890))</f>
        <v/>
      </c>
      <c r="E890" t="str">
        <f>IF($AS890="","",Config!$B$27)</f>
        <v/>
      </c>
      <c r="F890" t="str">
        <f>IF($AS890="","",Config!$B$9)</f>
        <v/>
      </c>
      <c r="G890" t="str">
        <f>IF($AS890="","",Config!$B$10)</f>
        <v/>
      </c>
      <c r="H890" t="str">
        <f>IF($AS890="","",Config!$B$11)</f>
        <v/>
      </c>
      <c r="I890" t="str">
        <f>IF($AS890="","",Config!$B$16)</f>
        <v/>
      </c>
      <c r="J890" t="str">
        <f>IF($AS890="","",INDEX('TMP Paste'!$A$2:$A$1601,$AS890))</f>
        <v/>
      </c>
      <c r="K890" t="str">
        <f>IF($AS890="","",INDEX('TMP Paste'!$L$2:$L$1601,$AS890))</f>
        <v/>
      </c>
      <c r="L890" t="str">
        <f>IF($AS890="","",INDEX('TMP Paste'!$I$2:$I$1601,$AS890))</f>
        <v/>
      </c>
      <c r="M890" t="str">
        <f>IF($AS890="","",Config!$B$16)</f>
        <v/>
      </c>
      <c r="N890" t="str">
        <f t="shared" si="78"/>
        <v/>
      </c>
      <c r="O890" t="str">
        <f>IF($AS890="","",INDEX('TMP Paste'!$K$2:$K$1601,$AS890))</f>
        <v/>
      </c>
      <c r="P890" t="str">
        <f t="shared" si="79"/>
        <v/>
      </c>
      <c r="Q890" t="str">
        <f>IF($AS890="","",INDEX('TMP Paste'!$J$2:$J$1601,$AS890))</f>
        <v/>
      </c>
      <c r="R890" t="str">
        <f>IF($AS890="","",Config!$B$24)</f>
        <v/>
      </c>
      <c r="S890" t="str">
        <f ca="1">IF($AS890="","",TEXT(Config!$B$4,"yyyy-mm-dd"))</f>
        <v/>
      </c>
      <c r="T890" t="str">
        <f>IF($AS890="","",Config!$B$17)</f>
        <v/>
      </c>
      <c r="U890" t="str">
        <f>IF($AS890="","",Config!$B$18)</f>
        <v/>
      </c>
      <c r="V890" t="str">
        <f>IF($AS890="","",Config!$B$19)</f>
        <v/>
      </c>
      <c r="W890" t="str">
        <f>IF($AS890="","",INDEX('TMP Paste'!$C$2:$C$1601,$AS890))</f>
        <v/>
      </c>
      <c r="X890" t="str">
        <f>IF($AS890="","",Config!$B$29)</f>
        <v/>
      </c>
      <c r="Y890" t="str">
        <f>IF($AT890="","",INDEX(Calc!$I$2:$I$1601,$AT890)&amp;" - "&amp;INDEX(Calc!$D$2:$D$1601,$AT890)&amp;" koli")</f>
        <v/>
      </c>
      <c r="Z890" t="str">
        <f>IF($AS890="","",Config!$B$21)</f>
        <v/>
      </c>
      <c r="AA890" t="str">
        <f>IF($AS890="","",Config!$B$22)</f>
        <v/>
      </c>
      <c r="AB890" t="str">
        <f>IF($AT890="","",INDEX(Calc!$D$2:$D$1601,$AT890))</f>
        <v/>
      </c>
      <c r="AC890" t="str">
        <f>IF($AT890="","",INDEX(Calc!$G$2:$G$1601,$AT890))</f>
        <v/>
      </c>
      <c r="AD890" t="str">
        <f>IF($AS890="","",Config!$B$23)</f>
        <v/>
      </c>
      <c r="AE890" t="str">
        <f>IF($AS890="","",Config!$B$28)</f>
        <v/>
      </c>
      <c r="AF890" t="str">
        <f t="shared" si="80"/>
        <v/>
      </c>
      <c r="AG890" t="str">
        <f t="shared" si="81"/>
        <v/>
      </c>
      <c r="AH890" t="str">
        <f t="shared" si="82"/>
        <v/>
      </c>
      <c r="AI890" t="str">
        <f>IF($AG890="","",SUMIF($AG$2:$AG890,$AG890,$AH$2:$AH890))</f>
        <v/>
      </c>
      <c r="AJ890" t="str">
        <f>IF('TMP Paste'!$F890="","",IF('TMP Paste'!$B890="",$AJ889,'TMP Paste'!$B890))</f>
        <v/>
      </c>
      <c r="AK890" t="str">
        <f>IF('TMP Paste'!$F890="","",N('TMP Paste'!$G890))</f>
        <v/>
      </c>
      <c r="AL890" t="str">
        <f>IF('TMP Paste'!$F890="","",IF('TMP Paste'!$M890="",$AL889,'TMP Paste'!$M890))</f>
        <v/>
      </c>
      <c r="AM890" t="str">
        <f>IF('TMP Paste'!$F890="","",IF('TMP Paste'!$N890="",$AM889,'TMP Paste'!$N890))</f>
        <v/>
      </c>
      <c r="AN890" t="str">
        <f>IF('TMP Paste'!$F890="","",IF('TMP Paste'!$O890="",$AN889,'TMP Paste'!$O890))</f>
        <v/>
      </c>
      <c r="AO890" t="str">
        <f>IF('TMP Paste'!$F890="","",IF('TMP Paste'!$P890="",$AO889,'TMP Paste'!$P890))</f>
        <v/>
      </c>
      <c r="AP890" t="str">
        <f t="shared" si="83"/>
        <v/>
      </c>
      <c r="AQ890" t="str">
        <f>IF($AS890="","",TRIM(IF(COUNTIFS(Calc!$B$2:$B$1601,ROW()-1,Calc!$C$2:$C$1601,"&lt;1")&gt;0,"Ada PO tanpa Koli - cek TMP. ","")&amp;IF(OR($AU890="",$AU890&lt;=0),"Volume kosong/0 - dimensi dikosongkan. ","")&amp;IF(AND($AU890&lt;&gt;"",$AU890&gt;=1000000),"Volume &gt;= 1.000.000 cm3 (di luar aturan) - dimensi dikosongkan. ","")&amp;IF(LEN($R890)&gt;500,"R &gt; 500 karakter.","")))</f>
        <v/>
      </c>
      <c r="AS890" t="str">
        <f>IFERROR(MATCH(ROW()-1,Calc!$J$2:$J$1601,0),"")</f>
        <v/>
      </c>
      <c r="AT890" t="str">
        <f>IFERROR(MATCH(ROW()-1,Calc!$K$2:$K$1601,0),"")</f>
        <v/>
      </c>
      <c r="AU890" t="str">
        <f>IF($AS890="","",IFERROR(INDEX('TMP Paste'!$D$2:$D$1601,$AS890)*1000000/$AB890,""))</f>
        <v/>
      </c>
    </row>
    <row r="891" spans="1:47">
      <c r="A891" t="str">
        <f>IF($AS891="","",INDEX('TMP Paste'!$B$2:$B$1601,$AS891))</f>
        <v/>
      </c>
      <c r="B891" t="str">
        <f>IF($AS891="","",Config!$B$14)</f>
        <v/>
      </c>
      <c r="C891" t="str">
        <f>IF($AS891="","",Config!$B$15)</f>
        <v/>
      </c>
      <c r="D891" t="str">
        <f>IF($AS891="","",INDEX('TMP Paste'!$B$2:$B$1601,$AS891))</f>
        <v/>
      </c>
      <c r="E891" t="str">
        <f>IF($AS891="","",Config!$B$27)</f>
        <v/>
      </c>
      <c r="F891" t="str">
        <f>IF($AS891="","",Config!$B$9)</f>
        <v/>
      </c>
      <c r="G891" t="str">
        <f>IF($AS891="","",Config!$B$10)</f>
        <v/>
      </c>
      <c r="H891" t="str">
        <f>IF($AS891="","",Config!$B$11)</f>
        <v/>
      </c>
      <c r="I891" t="str">
        <f>IF($AS891="","",Config!$B$16)</f>
        <v/>
      </c>
      <c r="J891" t="str">
        <f>IF($AS891="","",INDEX('TMP Paste'!$A$2:$A$1601,$AS891))</f>
        <v/>
      </c>
      <c r="K891" t="str">
        <f>IF($AS891="","",INDEX('TMP Paste'!$L$2:$L$1601,$AS891))</f>
        <v/>
      </c>
      <c r="L891" t="str">
        <f>IF($AS891="","",INDEX('TMP Paste'!$I$2:$I$1601,$AS891))</f>
        <v/>
      </c>
      <c r="M891" t="str">
        <f>IF($AS891="","",Config!$B$16)</f>
        <v/>
      </c>
      <c r="N891" t="str">
        <f t="shared" si="78"/>
        <v/>
      </c>
      <c r="O891" t="str">
        <f>IF($AS891="","",INDEX('TMP Paste'!$K$2:$K$1601,$AS891))</f>
        <v/>
      </c>
      <c r="P891" t="str">
        <f t="shared" si="79"/>
        <v/>
      </c>
      <c r="Q891" t="str">
        <f>IF($AS891="","",INDEX('TMP Paste'!$J$2:$J$1601,$AS891))</f>
        <v/>
      </c>
      <c r="R891" t="str">
        <f>IF($AS891="","",Config!$B$24)</f>
        <v/>
      </c>
      <c r="S891" t="str">
        <f ca="1">IF($AS891="","",TEXT(Config!$B$4,"yyyy-mm-dd"))</f>
        <v/>
      </c>
      <c r="T891" t="str">
        <f>IF($AS891="","",Config!$B$17)</f>
        <v/>
      </c>
      <c r="U891" t="str">
        <f>IF($AS891="","",Config!$B$18)</f>
        <v/>
      </c>
      <c r="V891" t="str">
        <f>IF($AS891="","",Config!$B$19)</f>
        <v/>
      </c>
      <c r="W891" t="str">
        <f>IF($AS891="","",INDEX('TMP Paste'!$C$2:$C$1601,$AS891))</f>
        <v/>
      </c>
      <c r="X891" t="str">
        <f>IF($AS891="","",Config!$B$29)</f>
        <v/>
      </c>
      <c r="Y891" t="str">
        <f>IF($AT891="","",INDEX(Calc!$I$2:$I$1601,$AT891)&amp;" - "&amp;INDEX(Calc!$D$2:$D$1601,$AT891)&amp;" koli")</f>
        <v/>
      </c>
      <c r="Z891" t="str">
        <f>IF($AS891="","",Config!$B$21)</f>
        <v/>
      </c>
      <c r="AA891" t="str">
        <f>IF($AS891="","",Config!$B$22)</f>
        <v/>
      </c>
      <c r="AB891" t="str">
        <f>IF($AT891="","",INDEX(Calc!$D$2:$D$1601,$AT891))</f>
        <v/>
      </c>
      <c r="AC891" t="str">
        <f>IF($AT891="","",INDEX(Calc!$G$2:$G$1601,$AT891))</f>
        <v/>
      </c>
      <c r="AD891" t="str">
        <f>IF($AS891="","",Config!$B$23)</f>
        <v/>
      </c>
      <c r="AE891" t="str">
        <f>IF($AS891="","",Config!$B$28)</f>
        <v/>
      </c>
      <c r="AF891" t="str">
        <f t="shared" si="80"/>
        <v/>
      </c>
      <c r="AG891" t="str">
        <f t="shared" si="81"/>
        <v/>
      </c>
      <c r="AH891" t="str">
        <f t="shared" si="82"/>
        <v/>
      </c>
      <c r="AI891" t="str">
        <f>IF($AG891="","",SUMIF($AG$2:$AG891,$AG891,$AH$2:$AH891))</f>
        <v/>
      </c>
      <c r="AJ891" t="str">
        <f>IF('TMP Paste'!$F891="","",IF('TMP Paste'!$B891="",$AJ890,'TMP Paste'!$B891))</f>
        <v/>
      </c>
      <c r="AK891" t="str">
        <f>IF('TMP Paste'!$F891="","",N('TMP Paste'!$G891))</f>
        <v/>
      </c>
      <c r="AL891" t="str">
        <f>IF('TMP Paste'!$F891="","",IF('TMP Paste'!$M891="",$AL890,'TMP Paste'!$M891))</f>
        <v/>
      </c>
      <c r="AM891" t="str">
        <f>IF('TMP Paste'!$F891="","",IF('TMP Paste'!$N891="",$AM890,'TMP Paste'!$N891))</f>
        <v/>
      </c>
      <c r="AN891" t="str">
        <f>IF('TMP Paste'!$F891="","",IF('TMP Paste'!$O891="",$AN890,'TMP Paste'!$O891))</f>
        <v/>
      </c>
      <c r="AO891" t="str">
        <f>IF('TMP Paste'!$F891="","",IF('TMP Paste'!$P891="",$AO890,'TMP Paste'!$P891))</f>
        <v/>
      </c>
      <c r="AP891" t="str">
        <f t="shared" si="83"/>
        <v/>
      </c>
      <c r="AQ891" t="str">
        <f>IF($AS891="","",TRIM(IF(COUNTIFS(Calc!$B$2:$B$1601,ROW()-1,Calc!$C$2:$C$1601,"&lt;1")&gt;0,"Ada PO tanpa Koli - cek TMP. ","")&amp;IF(OR($AU891="",$AU891&lt;=0),"Volume kosong/0 - dimensi dikosongkan. ","")&amp;IF(AND($AU891&lt;&gt;"",$AU891&gt;=1000000),"Volume &gt;= 1.000.000 cm3 (di luar aturan) - dimensi dikosongkan. ","")&amp;IF(LEN($R891)&gt;500,"R &gt; 500 karakter.","")))</f>
        <v/>
      </c>
      <c r="AS891" t="str">
        <f>IFERROR(MATCH(ROW()-1,Calc!$J$2:$J$1601,0),"")</f>
        <v/>
      </c>
      <c r="AT891" t="str">
        <f>IFERROR(MATCH(ROW()-1,Calc!$K$2:$K$1601,0),"")</f>
        <v/>
      </c>
      <c r="AU891" t="str">
        <f>IF($AS891="","",IFERROR(INDEX('TMP Paste'!$D$2:$D$1601,$AS891)*1000000/$AB891,""))</f>
        <v/>
      </c>
    </row>
    <row r="892" spans="1:47">
      <c r="A892" t="str">
        <f>IF($AS892="","",INDEX('TMP Paste'!$B$2:$B$1601,$AS892))</f>
        <v/>
      </c>
      <c r="B892" t="str">
        <f>IF($AS892="","",Config!$B$14)</f>
        <v/>
      </c>
      <c r="C892" t="str">
        <f>IF($AS892="","",Config!$B$15)</f>
        <v/>
      </c>
      <c r="D892" t="str">
        <f>IF($AS892="","",INDEX('TMP Paste'!$B$2:$B$1601,$AS892))</f>
        <v/>
      </c>
      <c r="E892" t="str">
        <f>IF($AS892="","",Config!$B$27)</f>
        <v/>
      </c>
      <c r="F892" t="str">
        <f>IF($AS892="","",Config!$B$9)</f>
        <v/>
      </c>
      <c r="G892" t="str">
        <f>IF($AS892="","",Config!$B$10)</f>
        <v/>
      </c>
      <c r="H892" t="str">
        <f>IF($AS892="","",Config!$B$11)</f>
        <v/>
      </c>
      <c r="I892" t="str">
        <f>IF($AS892="","",Config!$B$16)</f>
        <v/>
      </c>
      <c r="J892" t="str">
        <f>IF($AS892="","",INDEX('TMP Paste'!$A$2:$A$1601,$AS892))</f>
        <v/>
      </c>
      <c r="K892" t="str">
        <f>IF($AS892="","",INDEX('TMP Paste'!$L$2:$L$1601,$AS892))</f>
        <v/>
      </c>
      <c r="L892" t="str">
        <f>IF($AS892="","",INDEX('TMP Paste'!$I$2:$I$1601,$AS892))</f>
        <v/>
      </c>
      <c r="M892" t="str">
        <f>IF($AS892="","",Config!$B$16)</f>
        <v/>
      </c>
      <c r="N892" t="str">
        <f t="shared" si="78"/>
        <v/>
      </c>
      <c r="O892" t="str">
        <f>IF($AS892="","",INDEX('TMP Paste'!$K$2:$K$1601,$AS892))</f>
        <v/>
      </c>
      <c r="P892" t="str">
        <f t="shared" si="79"/>
        <v/>
      </c>
      <c r="Q892" t="str">
        <f>IF($AS892="","",INDEX('TMP Paste'!$J$2:$J$1601,$AS892))</f>
        <v/>
      </c>
      <c r="R892" t="str">
        <f>IF($AS892="","",Config!$B$24)</f>
        <v/>
      </c>
      <c r="S892" t="str">
        <f ca="1">IF($AS892="","",TEXT(Config!$B$4,"yyyy-mm-dd"))</f>
        <v/>
      </c>
      <c r="T892" t="str">
        <f>IF($AS892="","",Config!$B$17)</f>
        <v/>
      </c>
      <c r="U892" t="str">
        <f>IF($AS892="","",Config!$B$18)</f>
        <v/>
      </c>
      <c r="V892" t="str">
        <f>IF($AS892="","",Config!$B$19)</f>
        <v/>
      </c>
      <c r="W892" t="str">
        <f>IF($AS892="","",INDEX('TMP Paste'!$C$2:$C$1601,$AS892))</f>
        <v/>
      </c>
      <c r="X892" t="str">
        <f>IF($AS892="","",Config!$B$29)</f>
        <v/>
      </c>
      <c r="Y892" t="str">
        <f>IF($AT892="","",INDEX(Calc!$I$2:$I$1601,$AT892)&amp;" - "&amp;INDEX(Calc!$D$2:$D$1601,$AT892)&amp;" koli")</f>
        <v/>
      </c>
      <c r="Z892" t="str">
        <f>IF($AS892="","",Config!$B$21)</f>
        <v/>
      </c>
      <c r="AA892" t="str">
        <f>IF($AS892="","",Config!$B$22)</f>
        <v/>
      </c>
      <c r="AB892" t="str">
        <f>IF($AT892="","",INDEX(Calc!$D$2:$D$1601,$AT892))</f>
        <v/>
      </c>
      <c r="AC892" t="str">
        <f>IF($AT892="","",INDEX(Calc!$G$2:$G$1601,$AT892))</f>
        <v/>
      </c>
      <c r="AD892" t="str">
        <f>IF($AS892="","",Config!$B$23)</f>
        <v/>
      </c>
      <c r="AE892" t="str">
        <f>IF($AS892="","",Config!$B$28)</f>
        <v/>
      </c>
      <c r="AF892" t="str">
        <f t="shared" si="80"/>
        <v/>
      </c>
      <c r="AG892" t="str">
        <f t="shared" si="81"/>
        <v/>
      </c>
      <c r="AH892" t="str">
        <f t="shared" si="82"/>
        <v/>
      </c>
      <c r="AI892" t="str">
        <f>IF($AG892="","",SUMIF($AG$2:$AG892,$AG892,$AH$2:$AH892))</f>
        <v/>
      </c>
      <c r="AJ892" t="str">
        <f>IF('TMP Paste'!$F892="","",IF('TMP Paste'!$B892="",$AJ891,'TMP Paste'!$B892))</f>
        <v/>
      </c>
      <c r="AK892" t="str">
        <f>IF('TMP Paste'!$F892="","",N('TMP Paste'!$G892))</f>
        <v/>
      </c>
      <c r="AL892" t="str">
        <f>IF('TMP Paste'!$F892="","",IF('TMP Paste'!$M892="",$AL891,'TMP Paste'!$M892))</f>
        <v/>
      </c>
      <c r="AM892" t="str">
        <f>IF('TMP Paste'!$F892="","",IF('TMP Paste'!$N892="",$AM891,'TMP Paste'!$N892))</f>
        <v/>
      </c>
      <c r="AN892" t="str">
        <f>IF('TMP Paste'!$F892="","",IF('TMP Paste'!$O892="",$AN891,'TMP Paste'!$O892))</f>
        <v/>
      </c>
      <c r="AO892" t="str">
        <f>IF('TMP Paste'!$F892="","",IF('TMP Paste'!$P892="",$AO891,'TMP Paste'!$P892))</f>
        <v/>
      </c>
      <c r="AP892" t="str">
        <f t="shared" si="83"/>
        <v/>
      </c>
      <c r="AQ892" t="str">
        <f>IF($AS892="","",TRIM(IF(COUNTIFS(Calc!$B$2:$B$1601,ROW()-1,Calc!$C$2:$C$1601,"&lt;1")&gt;0,"Ada PO tanpa Koli - cek TMP. ","")&amp;IF(OR($AU892="",$AU892&lt;=0),"Volume kosong/0 - dimensi dikosongkan. ","")&amp;IF(AND($AU892&lt;&gt;"",$AU892&gt;=1000000),"Volume &gt;= 1.000.000 cm3 (di luar aturan) - dimensi dikosongkan. ","")&amp;IF(LEN($R892)&gt;500,"R &gt; 500 karakter.","")))</f>
        <v/>
      </c>
      <c r="AS892" t="str">
        <f>IFERROR(MATCH(ROW()-1,Calc!$J$2:$J$1601,0),"")</f>
        <v/>
      </c>
      <c r="AT892" t="str">
        <f>IFERROR(MATCH(ROW()-1,Calc!$K$2:$K$1601,0),"")</f>
        <v/>
      </c>
      <c r="AU892" t="str">
        <f>IF($AS892="","",IFERROR(INDEX('TMP Paste'!$D$2:$D$1601,$AS892)*1000000/$AB892,""))</f>
        <v/>
      </c>
    </row>
    <row r="893" spans="1:47">
      <c r="A893" t="str">
        <f>IF($AS893="","",INDEX('TMP Paste'!$B$2:$B$1601,$AS893))</f>
        <v/>
      </c>
      <c r="B893" t="str">
        <f>IF($AS893="","",Config!$B$14)</f>
        <v/>
      </c>
      <c r="C893" t="str">
        <f>IF($AS893="","",Config!$B$15)</f>
        <v/>
      </c>
      <c r="D893" t="str">
        <f>IF($AS893="","",INDEX('TMP Paste'!$B$2:$B$1601,$AS893))</f>
        <v/>
      </c>
      <c r="E893" t="str">
        <f>IF($AS893="","",Config!$B$27)</f>
        <v/>
      </c>
      <c r="F893" t="str">
        <f>IF($AS893="","",Config!$B$9)</f>
        <v/>
      </c>
      <c r="G893" t="str">
        <f>IF($AS893="","",Config!$B$10)</f>
        <v/>
      </c>
      <c r="H893" t="str">
        <f>IF($AS893="","",Config!$B$11)</f>
        <v/>
      </c>
      <c r="I893" t="str">
        <f>IF($AS893="","",Config!$B$16)</f>
        <v/>
      </c>
      <c r="J893" t="str">
        <f>IF($AS893="","",INDEX('TMP Paste'!$A$2:$A$1601,$AS893))</f>
        <v/>
      </c>
      <c r="K893" t="str">
        <f>IF($AS893="","",INDEX('TMP Paste'!$L$2:$L$1601,$AS893))</f>
        <v/>
      </c>
      <c r="L893" t="str">
        <f>IF($AS893="","",INDEX('TMP Paste'!$I$2:$I$1601,$AS893))</f>
        <v/>
      </c>
      <c r="M893" t="str">
        <f>IF($AS893="","",Config!$B$16)</f>
        <v/>
      </c>
      <c r="N893" t="str">
        <f t="shared" si="78"/>
        <v/>
      </c>
      <c r="O893" t="str">
        <f>IF($AS893="","",INDEX('TMP Paste'!$K$2:$K$1601,$AS893))</f>
        <v/>
      </c>
      <c r="P893" t="str">
        <f t="shared" si="79"/>
        <v/>
      </c>
      <c r="Q893" t="str">
        <f>IF($AS893="","",INDEX('TMP Paste'!$J$2:$J$1601,$AS893))</f>
        <v/>
      </c>
      <c r="R893" t="str">
        <f>IF($AS893="","",Config!$B$24)</f>
        <v/>
      </c>
      <c r="S893" t="str">
        <f ca="1">IF($AS893="","",TEXT(Config!$B$4,"yyyy-mm-dd"))</f>
        <v/>
      </c>
      <c r="T893" t="str">
        <f>IF($AS893="","",Config!$B$17)</f>
        <v/>
      </c>
      <c r="U893" t="str">
        <f>IF($AS893="","",Config!$B$18)</f>
        <v/>
      </c>
      <c r="V893" t="str">
        <f>IF($AS893="","",Config!$B$19)</f>
        <v/>
      </c>
      <c r="W893" t="str">
        <f>IF($AS893="","",INDEX('TMP Paste'!$C$2:$C$1601,$AS893))</f>
        <v/>
      </c>
      <c r="X893" t="str">
        <f>IF($AS893="","",Config!$B$29)</f>
        <v/>
      </c>
      <c r="Y893" t="str">
        <f>IF($AT893="","",INDEX(Calc!$I$2:$I$1601,$AT893)&amp;" - "&amp;INDEX(Calc!$D$2:$D$1601,$AT893)&amp;" koli")</f>
        <v/>
      </c>
      <c r="Z893" t="str">
        <f>IF($AS893="","",Config!$B$21)</f>
        <v/>
      </c>
      <c r="AA893" t="str">
        <f>IF($AS893="","",Config!$B$22)</f>
        <v/>
      </c>
      <c r="AB893" t="str">
        <f>IF($AT893="","",INDEX(Calc!$D$2:$D$1601,$AT893))</f>
        <v/>
      </c>
      <c r="AC893" t="str">
        <f>IF($AT893="","",INDEX(Calc!$G$2:$G$1601,$AT893))</f>
        <v/>
      </c>
      <c r="AD893" t="str">
        <f>IF($AS893="","",Config!$B$23)</f>
        <v/>
      </c>
      <c r="AE893" t="str">
        <f>IF($AS893="","",Config!$B$28)</f>
        <v/>
      </c>
      <c r="AF893" t="str">
        <f t="shared" si="80"/>
        <v/>
      </c>
      <c r="AG893" t="str">
        <f t="shared" si="81"/>
        <v/>
      </c>
      <c r="AH893" t="str">
        <f t="shared" si="82"/>
        <v/>
      </c>
      <c r="AI893" t="str">
        <f>IF($AG893="","",SUMIF($AG$2:$AG893,$AG893,$AH$2:$AH893))</f>
        <v/>
      </c>
      <c r="AJ893" t="str">
        <f>IF('TMP Paste'!$F893="","",IF('TMP Paste'!$B893="",$AJ892,'TMP Paste'!$B893))</f>
        <v/>
      </c>
      <c r="AK893" t="str">
        <f>IF('TMP Paste'!$F893="","",N('TMP Paste'!$G893))</f>
        <v/>
      </c>
      <c r="AL893" t="str">
        <f>IF('TMP Paste'!$F893="","",IF('TMP Paste'!$M893="",$AL892,'TMP Paste'!$M893))</f>
        <v/>
      </c>
      <c r="AM893" t="str">
        <f>IF('TMP Paste'!$F893="","",IF('TMP Paste'!$N893="",$AM892,'TMP Paste'!$N893))</f>
        <v/>
      </c>
      <c r="AN893" t="str">
        <f>IF('TMP Paste'!$F893="","",IF('TMP Paste'!$O893="",$AN892,'TMP Paste'!$O893))</f>
        <v/>
      </c>
      <c r="AO893" t="str">
        <f>IF('TMP Paste'!$F893="","",IF('TMP Paste'!$P893="",$AO892,'TMP Paste'!$P893))</f>
        <v/>
      </c>
      <c r="AP893" t="str">
        <f t="shared" si="83"/>
        <v/>
      </c>
      <c r="AQ893" t="str">
        <f>IF($AS893="","",TRIM(IF(COUNTIFS(Calc!$B$2:$B$1601,ROW()-1,Calc!$C$2:$C$1601,"&lt;1")&gt;0,"Ada PO tanpa Koli - cek TMP. ","")&amp;IF(OR($AU893="",$AU893&lt;=0),"Volume kosong/0 - dimensi dikosongkan. ","")&amp;IF(AND($AU893&lt;&gt;"",$AU893&gt;=1000000),"Volume &gt;= 1.000.000 cm3 (di luar aturan) - dimensi dikosongkan. ","")&amp;IF(LEN($R893)&gt;500,"R &gt; 500 karakter.","")))</f>
        <v/>
      </c>
      <c r="AS893" t="str">
        <f>IFERROR(MATCH(ROW()-1,Calc!$J$2:$J$1601,0),"")</f>
        <v/>
      </c>
      <c r="AT893" t="str">
        <f>IFERROR(MATCH(ROW()-1,Calc!$K$2:$K$1601,0),"")</f>
        <v/>
      </c>
      <c r="AU893" t="str">
        <f>IF($AS893="","",IFERROR(INDEX('TMP Paste'!$D$2:$D$1601,$AS893)*1000000/$AB893,""))</f>
        <v/>
      </c>
    </row>
    <row r="894" spans="1:47">
      <c r="A894" t="str">
        <f>IF($AS894="","",INDEX('TMP Paste'!$B$2:$B$1601,$AS894))</f>
        <v/>
      </c>
      <c r="B894" t="str">
        <f>IF($AS894="","",Config!$B$14)</f>
        <v/>
      </c>
      <c r="C894" t="str">
        <f>IF($AS894="","",Config!$B$15)</f>
        <v/>
      </c>
      <c r="D894" t="str">
        <f>IF($AS894="","",INDEX('TMP Paste'!$B$2:$B$1601,$AS894))</f>
        <v/>
      </c>
      <c r="E894" t="str">
        <f>IF($AS894="","",Config!$B$27)</f>
        <v/>
      </c>
      <c r="F894" t="str">
        <f>IF($AS894="","",Config!$B$9)</f>
        <v/>
      </c>
      <c r="G894" t="str">
        <f>IF($AS894="","",Config!$B$10)</f>
        <v/>
      </c>
      <c r="H894" t="str">
        <f>IF($AS894="","",Config!$B$11)</f>
        <v/>
      </c>
      <c r="I894" t="str">
        <f>IF($AS894="","",Config!$B$16)</f>
        <v/>
      </c>
      <c r="J894" t="str">
        <f>IF($AS894="","",INDEX('TMP Paste'!$A$2:$A$1601,$AS894))</f>
        <v/>
      </c>
      <c r="K894" t="str">
        <f>IF($AS894="","",INDEX('TMP Paste'!$L$2:$L$1601,$AS894))</f>
        <v/>
      </c>
      <c r="L894" t="str">
        <f>IF($AS894="","",INDEX('TMP Paste'!$I$2:$I$1601,$AS894))</f>
        <v/>
      </c>
      <c r="M894" t="str">
        <f>IF($AS894="","",Config!$B$16)</f>
        <v/>
      </c>
      <c r="N894" t="str">
        <f t="shared" si="78"/>
        <v/>
      </c>
      <c r="O894" t="str">
        <f>IF($AS894="","",INDEX('TMP Paste'!$K$2:$K$1601,$AS894))</f>
        <v/>
      </c>
      <c r="P894" t="str">
        <f t="shared" si="79"/>
        <v/>
      </c>
      <c r="Q894" t="str">
        <f>IF($AS894="","",INDEX('TMP Paste'!$J$2:$J$1601,$AS894))</f>
        <v/>
      </c>
      <c r="R894" t="str">
        <f>IF($AS894="","",Config!$B$24)</f>
        <v/>
      </c>
      <c r="S894" t="str">
        <f ca="1">IF($AS894="","",TEXT(Config!$B$4,"yyyy-mm-dd"))</f>
        <v/>
      </c>
      <c r="T894" t="str">
        <f>IF($AS894="","",Config!$B$17)</f>
        <v/>
      </c>
      <c r="U894" t="str">
        <f>IF($AS894="","",Config!$B$18)</f>
        <v/>
      </c>
      <c r="V894" t="str">
        <f>IF($AS894="","",Config!$B$19)</f>
        <v/>
      </c>
      <c r="W894" t="str">
        <f>IF($AS894="","",INDEX('TMP Paste'!$C$2:$C$1601,$AS894))</f>
        <v/>
      </c>
      <c r="X894" t="str">
        <f>IF($AS894="","",Config!$B$29)</f>
        <v/>
      </c>
      <c r="Y894" t="str">
        <f>IF($AT894="","",INDEX(Calc!$I$2:$I$1601,$AT894)&amp;" - "&amp;INDEX(Calc!$D$2:$D$1601,$AT894)&amp;" koli")</f>
        <v/>
      </c>
      <c r="Z894" t="str">
        <f>IF($AS894="","",Config!$B$21)</f>
        <v/>
      </c>
      <c r="AA894" t="str">
        <f>IF($AS894="","",Config!$B$22)</f>
        <v/>
      </c>
      <c r="AB894" t="str">
        <f>IF($AT894="","",INDEX(Calc!$D$2:$D$1601,$AT894))</f>
        <v/>
      </c>
      <c r="AC894" t="str">
        <f>IF($AT894="","",INDEX(Calc!$G$2:$G$1601,$AT894))</f>
        <v/>
      </c>
      <c r="AD894" t="str">
        <f>IF($AS894="","",Config!$B$23)</f>
        <v/>
      </c>
      <c r="AE894" t="str">
        <f>IF($AS894="","",Config!$B$28)</f>
        <v/>
      </c>
      <c r="AF894" t="str">
        <f t="shared" si="80"/>
        <v/>
      </c>
      <c r="AG894" t="str">
        <f t="shared" si="81"/>
        <v/>
      </c>
      <c r="AH894" t="str">
        <f t="shared" si="82"/>
        <v/>
      </c>
      <c r="AI894" t="str">
        <f>IF($AG894="","",SUMIF($AG$2:$AG894,$AG894,$AH$2:$AH894))</f>
        <v/>
      </c>
      <c r="AJ894" t="str">
        <f>IF('TMP Paste'!$F894="","",IF('TMP Paste'!$B894="",$AJ893,'TMP Paste'!$B894))</f>
        <v/>
      </c>
      <c r="AK894" t="str">
        <f>IF('TMP Paste'!$F894="","",N('TMP Paste'!$G894))</f>
        <v/>
      </c>
      <c r="AL894" t="str">
        <f>IF('TMP Paste'!$F894="","",IF('TMP Paste'!$M894="",$AL893,'TMP Paste'!$M894))</f>
        <v/>
      </c>
      <c r="AM894" t="str">
        <f>IF('TMP Paste'!$F894="","",IF('TMP Paste'!$N894="",$AM893,'TMP Paste'!$N894))</f>
        <v/>
      </c>
      <c r="AN894" t="str">
        <f>IF('TMP Paste'!$F894="","",IF('TMP Paste'!$O894="",$AN893,'TMP Paste'!$O894))</f>
        <v/>
      </c>
      <c r="AO894" t="str">
        <f>IF('TMP Paste'!$F894="","",IF('TMP Paste'!$P894="",$AO893,'TMP Paste'!$P894))</f>
        <v/>
      </c>
      <c r="AP894" t="str">
        <f t="shared" si="83"/>
        <v/>
      </c>
      <c r="AQ894" t="str">
        <f>IF($AS894="","",TRIM(IF(COUNTIFS(Calc!$B$2:$B$1601,ROW()-1,Calc!$C$2:$C$1601,"&lt;1")&gt;0,"Ada PO tanpa Koli - cek TMP. ","")&amp;IF(OR($AU894="",$AU894&lt;=0),"Volume kosong/0 - dimensi dikosongkan. ","")&amp;IF(AND($AU894&lt;&gt;"",$AU894&gt;=1000000),"Volume &gt;= 1.000.000 cm3 (di luar aturan) - dimensi dikosongkan. ","")&amp;IF(LEN($R894)&gt;500,"R &gt; 500 karakter.","")))</f>
        <v/>
      </c>
      <c r="AS894" t="str">
        <f>IFERROR(MATCH(ROW()-1,Calc!$J$2:$J$1601,0),"")</f>
        <v/>
      </c>
      <c r="AT894" t="str">
        <f>IFERROR(MATCH(ROW()-1,Calc!$K$2:$K$1601,0),"")</f>
        <v/>
      </c>
      <c r="AU894" t="str">
        <f>IF($AS894="","",IFERROR(INDEX('TMP Paste'!$D$2:$D$1601,$AS894)*1000000/$AB894,""))</f>
        <v/>
      </c>
    </row>
    <row r="895" spans="1:47">
      <c r="A895" t="str">
        <f>IF($AS895="","",INDEX('TMP Paste'!$B$2:$B$1601,$AS895))</f>
        <v/>
      </c>
      <c r="B895" t="str">
        <f>IF($AS895="","",Config!$B$14)</f>
        <v/>
      </c>
      <c r="C895" t="str">
        <f>IF($AS895="","",Config!$B$15)</f>
        <v/>
      </c>
      <c r="D895" t="str">
        <f>IF($AS895="","",INDEX('TMP Paste'!$B$2:$B$1601,$AS895))</f>
        <v/>
      </c>
      <c r="E895" t="str">
        <f>IF($AS895="","",Config!$B$27)</f>
        <v/>
      </c>
      <c r="F895" t="str">
        <f>IF($AS895="","",Config!$B$9)</f>
        <v/>
      </c>
      <c r="G895" t="str">
        <f>IF($AS895="","",Config!$B$10)</f>
        <v/>
      </c>
      <c r="H895" t="str">
        <f>IF($AS895="","",Config!$B$11)</f>
        <v/>
      </c>
      <c r="I895" t="str">
        <f>IF($AS895="","",Config!$B$16)</f>
        <v/>
      </c>
      <c r="J895" t="str">
        <f>IF($AS895="","",INDEX('TMP Paste'!$A$2:$A$1601,$AS895))</f>
        <v/>
      </c>
      <c r="K895" t="str">
        <f>IF($AS895="","",INDEX('TMP Paste'!$L$2:$L$1601,$AS895))</f>
        <v/>
      </c>
      <c r="L895" t="str">
        <f>IF($AS895="","",INDEX('TMP Paste'!$I$2:$I$1601,$AS895))</f>
        <v/>
      </c>
      <c r="M895" t="str">
        <f>IF($AS895="","",Config!$B$16)</f>
        <v/>
      </c>
      <c r="N895" t="str">
        <f t="shared" si="78"/>
        <v/>
      </c>
      <c r="O895" t="str">
        <f>IF($AS895="","",INDEX('TMP Paste'!$K$2:$K$1601,$AS895))</f>
        <v/>
      </c>
      <c r="P895" t="str">
        <f t="shared" si="79"/>
        <v/>
      </c>
      <c r="Q895" t="str">
        <f>IF($AS895="","",INDEX('TMP Paste'!$J$2:$J$1601,$AS895))</f>
        <v/>
      </c>
      <c r="R895" t="str">
        <f>IF($AS895="","",Config!$B$24)</f>
        <v/>
      </c>
      <c r="S895" t="str">
        <f ca="1">IF($AS895="","",TEXT(Config!$B$4,"yyyy-mm-dd"))</f>
        <v/>
      </c>
      <c r="T895" t="str">
        <f>IF($AS895="","",Config!$B$17)</f>
        <v/>
      </c>
      <c r="U895" t="str">
        <f>IF($AS895="","",Config!$B$18)</f>
        <v/>
      </c>
      <c r="V895" t="str">
        <f>IF($AS895="","",Config!$B$19)</f>
        <v/>
      </c>
      <c r="W895" t="str">
        <f>IF($AS895="","",INDEX('TMP Paste'!$C$2:$C$1601,$AS895))</f>
        <v/>
      </c>
      <c r="X895" t="str">
        <f>IF($AS895="","",Config!$B$29)</f>
        <v/>
      </c>
      <c r="Y895" t="str">
        <f>IF($AT895="","",INDEX(Calc!$I$2:$I$1601,$AT895)&amp;" - "&amp;INDEX(Calc!$D$2:$D$1601,$AT895)&amp;" koli")</f>
        <v/>
      </c>
      <c r="Z895" t="str">
        <f>IF($AS895="","",Config!$B$21)</f>
        <v/>
      </c>
      <c r="AA895" t="str">
        <f>IF($AS895="","",Config!$B$22)</f>
        <v/>
      </c>
      <c r="AB895" t="str">
        <f>IF($AT895="","",INDEX(Calc!$D$2:$D$1601,$AT895))</f>
        <v/>
      </c>
      <c r="AC895" t="str">
        <f>IF($AT895="","",INDEX(Calc!$G$2:$G$1601,$AT895))</f>
        <v/>
      </c>
      <c r="AD895" t="str">
        <f>IF($AS895="","",Config!$B$23)</f>
        <v/>
      </c>
      <c r="AE895" t="str">
        <f>IF($AS895="","",Config!$B$28)</f>
        <v/>
      </c>
      <c r="AF895" t="str">
        <f t="shared" si="80"/>
        <v/>
      </c>
      <c r="AG895" t="str">
        <f t="shared" si="81"/>
        <v/>
      </c>
      <c r="AH895" t="str">
        <f t="shared" si="82"/>
        <v/>
      </c>
      <c r="AI895" t="str">
        <f>IF($AG895="","",SUMIF($AG$2:$AG895,$AG895,$AH$2:$AH895))</f>
        <v/>
      </c>
      <c r="AJ895" t="str">
        <f>IF('TMP Paste'!$F895="","",IF('TMP Paste'!$B895="",$AJ894,'TMP Paste'!$B895))</f>
        <v/>
      </c>
      <c r="AK895" t="str">
        <f>IF('TMP Paste'!$F895="","",N('TMP Paste'!$G895))</f>
        <v/>
      </c>
      <c r="AL895" t="str">
        <f>IF('TMP Paste'!$F895="","",IF('TMP Paste'!$M895="",$AL894,'TMP Paste'!$M895))</f>
        <v/>
      </c>
      <c r="AM895" t="str">
        <f>IF('TMP Paste'!$F895="","",IF('TMP Paste'!$N895="",$AM894,'TMP Paste'!$N895))</f>
        <v/>
      </c>
      <c r="AN895" t="str">
        <f>IF('TMP Paste'!$F895="","",IF('TMP Paste'!$O895="",$AN894,'TMP Paste'!$O895))</f>
        <v/>
      </c>
      <c r="AO895" t="str">
        <f>IF('TMP Paste'!$F895="","",IF('TMP Paste'!$P895="",$AO894,'TMP Paste'!$P895))</f>
        <v/>
      </c>
      <c r="AP895" t="str">
        <f t="shared" si="83"/>
        <v/>
      </c>
      <c r="AQ895" t="str">
        <f>IF($AS895="","",TRIM(IF(COUNTIFS(Calc!$B$2:$B$1601,ROW()-1,Calc!$C$2:$C$1601,"&lt;1")&gt;0,"Ada PO tanpa Koli - cek TMP. ","")&amp;IF(OR($AU895="",$AU895&lt;=0),"Volume kosong/0 - dimensi dikosongkan. ","")&amp;IF(AND($AU895&lt;&gt;"",$AU895&gt;=1000000),"Volume &gt;= 1.000.000 cm3 (di luar aturan) - dimensi dikosongkan. ","")&amp;IF(LEN($R895)&gt;500,"R &gt; 500 karakter.","")))</f>
        <v/>
      </c>
      <c r="AS895" t="str">
        <f>IFERROR(MATCH(ROW()-1,Calc!$J$2:$J$1601,0),"")</f>
        <v/>
      </c>
      <c r="AT895" t="str">
        <f>IFERROR(MATCH(ROW()-1,Calc!$K$2:$K$1601,0),"")</f>
        <v/>
      </c>
      <c r="AU895" t="str">
        <f>IF($AS895="","",IFERROR(INDEX('TMP Paste'!$D$2:$D$1601,$AS895)*1000000/$AB895,""))</f>
        <v/>
      </c>
    </row>
    <row r="896" spans="1:47">
      <c r="A896" t="str">
        <f>IF($AS896="","",INDEX('TMP Paste'!$B$2:$B$1601,$AS896))</f>
        <v/>
      </c>
      <c r="B896" t="str">
        <f>IF($AS896="","",Config!$B$14)</f>
        <v/>
      </c>
      <c r="C896" t="str">
        <f>IF($AS896="","",Config!$B$15)</f>
        <v/>
      </c>
      <c r="D896" t="str">
        <f>IF($AS896="","",INDEX('TMP Paste'!$B$2:$B$1601,$AS896))</f>
        <v/>
      </c>
      <c r="E896" t="str">
        <f>IF($AS896="","",Config!$B$27)</f>
        <v/>
      </c>
      <c r="F896" t="str">
        <f>IF($AS896="","",Config!$B$9)</f>
        <v/>
      </c>
      <c r="G896" t="str">
        <f>IF($AS896="","",Config!$B$10)</f>
        <v/>
      </c>
      <c r="H896" t="str">
        <f>IF($AS896="","",Config!$B$11)</f>
        <v/>
      </c>
      <c r="I896" t="str">
        <f>IF($AS896="","",Config!$B$16)</f>
        <v/>
      </c>
      <c r="J896" t="str">
        <f>IF($AS896="","",INDEX('TMP Paste'!$A$2:$A$1601,$AS896))</f>
        <v/>
      </c>
      <c r="K896" t="str">
        <f>IF($AS896="","",INDEX('TMP Paste'!$L$2:$L$1601,$AS896))</f>
        <v/>
      </c>
      <c r="L896" t="str">
        <f>IF($AS896="","",INDEX('TMP Paste'!$I$2:$I$1601,$AS896))</f>
        <v/>
      </c>
      <c r="M896" t="str">
        <f>IF($AS896="","",Config!$B$16)</f>
        <v/>
      </c>
      <c r="N896" t="str">
        <f t="shared" si="78"/>
        <v/>
      </c>
      <c r="O896" t="str">
        <f>IF($AS896="","",INDEX('TMP Paste'!$K$2:$K$1601,$AS896))</f>
        <v/>
      </c>
      <c r="P896" t="str">
        <f t="shared" si="79"/>
        <v/>
      </c>
      <c r="Q896" t="str">
        <f>IF($AS896="","",INDEX('TMP Paste'!$J$2:$J$1601,$AS896))</f>
        <v/>
      </c>
      <c r="R896" t="str">
        <f>IF($AS896="","",Config!$B$24)</f>
        <v/>
      </c>
      <c r="S896" t="str">
        <f ca="1">IF($AS896="","",TEXT(Config!$B$4,"yyyy-mm-dd"))</f>
        <v/>
      </c>
      <c r="T896" t="str">
        <f>IF($AS896="","",Config!$B$17)</f>
        <v/>
      </c>
      <c r="U896" t="str">
        <f>IF($AS896="","",Config!$B$18)</f>
        <v/>
      </c>
      <c r="V896" t="str">
        <f>IF($AS896="","",Config!$B$19)</f>
        <v/>
      </c>
      <c r="W896" t="str">
        <f>IF($AS896="","",INDEX('TMP Paste'!$C$2:$C$1601,$AS896))</f>
        <v/>
      </c>
      <c r="X896" t="str">
        <f>IF($AS896="","",Config!$B$29)</f>
        <v/>
      </c>
      <c r="Y896" t="str">
        <f>IF($AT896="","",INDEX(Calc!$I$2:$I$1601,$AT896)&amp;" - "&amp;INDEX(Calc!$D$2:$D$1601,$AT896)&amp;" koli")</f>
        <v/>
      </c>
      <c r="Z896" t="str">
        <f>IF($AS896="","",Config!$B$21)</f>
        <v/>
      </c>
      <c r="AA896" t="str">
        <f>IF($AS896="","",Config!$B$22)</f>
        <v/>
      </c>
      <c r="AB896" t="str">
        <f>IF($AT896="","",INDEX(Calc!$D$2:$D$1601,$AT896))</f>
        <v/>
      </c>
      <c r="AC896" t="str">
        <f>IF($AT896="","",INDEX(Calc!$G$2:$G$1601,$AT896))</f>
        <v/>
      </c>
      <c r="AD896" t="str">
        <f>IF($AS896="","",Config!$B$23)</f>
        <v/>
      </c>
      <c r="AE896" t="str">
        <f>IF($AS896="","",Config!$B$28)</f>
        <v/>
      </c>
      <c r="AF896" t="str">
        <f t="shared" si="80"/>
        <v/>
      </c>
      <c r="AG896" t="str">
        <f t="shared" si="81"/>
        <v/>
      </c>
      <c r="AH896" t="str">
        <f t="shared" si="82"/>
        <v/>
      </c>
      <c r="AI896" t="str">
        <f>IF($AG896="","",SUMIF($AG$2:$AG896,$AG896,$AH$2:$AH896))</f>
        <v/>
      </c>
      <c r="AJ896" t="str">
        <f>IF('TMP Paste'!$F896="","",IF('TMP Paste'!$B896="",$AJ895,'TMP Paste'!$B896))</f>
        <v/>
      </c>
      <c r="AK896" t="str">
        <f>IF('TMP Paste'!$F896="","",N('TMP Paste'!$G896))</f>
        <v/>
      </c>
      <c r="AL896" t="str">
        <f>IF('TMP Paste'!$F896="","",IF('TMP Paste'!$M896="",$AL895,'TMP Paste'!$M896))</f>
        <v/>
      </c>
      <c r="AM896" t="str">
        <f>IF('TMP Paste'!$F896="","",IF('TMP Paste'!$N896="",$AM895,'TMP Paste'!$N896))</f>
        <v/>
      </c>
      <c r="AN896" t="str">
        <f>IF('TMP Paste'!$F896="","",IF('TMP Paste'!$O896="",$AN895,'TMP Paste'!$O896))</f>
        <v/>
      </c>
      <c r="AO896" t="str">
        <f>IF('TMP Paste'!$F896="","",IF('TMP Paste'!$P896="",$AO895,'TMP Paste'!$P896))</f>
        <v/>
      </c>
      <c r="AP896" t="str">
        <f t="shared" si="83"/>
        <v/>
      </c>
      <c r="AQ896" t="str">
        <f>IF($AS896="","",TRIM(IF(COUNTIFS(Calc!$B$2:$B$1601,ROW()-1,Calc!$C$2:$C$1601,"&lt;1")&gt;0,"Ada PO tanpa Koli - cek TMP. ","")&amp;IF(OR($AU896="",$AU896&lt;=0),"Volume kosong/0 - dimensi dikosongkan. ","")&amp;IF(AND($AU896&lt;&gt;"",$AU896&gt;=1000000),"Volume &gt;= 1.000.000 cm3 (di luar aturan) - dimensi dikosongkan. ","")&amp;IF(LEN($R896)&gt;500,"R &gt; 500 karakter.","")))</f>
        <v/>
      </c>
      <c r="AS896" t="str">
        <f>IFERROR(MATCH(ROW()-1,Calc!$J$2:$J$1601,0),"")</f>
        <v/>
      </c>
      <c r="AT896" t="str">
        <f>IFERROR(MATCH(ROW()-1,Calc!$K$2:$K$1601,0),"")</f>
        <v/>
      </c>
      <c r="AU896" t="str">
        <f>IF($AS896="","",IFERROR(INDEX('TMP Paste'!$D$2:$D$1601,$AS896)*1000000/$AB896,""))</f>
        <v/>
      </c>
    </row>
    <row r="897" spans="1:47">
      <c r="A897" t="str">
        <f>IF($AS897="","",INDEX('TMP Paste'!$B$2:$B$1601,$AS897))</f>
        <v/>
      </c>
      <c r="B897" t="str">
        <f>IF($AS897="","",Config!$B$14)</f>
        <v/>
      </c>
      <c r="C897" t="str">
        <f>IF($AS897="","",Config!$B$15)</f>
        <v/>
      </c>
      <c r="D897" t="str">
        <f>IF($AS897="","",INDEX('TMP Paste'!$B$2:$B$1601,$AS897))</f>
        <v/>
      </c>
      <c r="E897" t="str">
        <f>IF($AS897="","",Config!$B$27)</f>
        <v/>
      </c>
      <c r="F897" t="str">
        <f>IF($AS897="","",Config!$B$9)</f>
        <v/>
      </c>
      <c r="G897" t="str">
        <f>IF($AS897="","",Config!$B$10)</f>
        <v/>
      </c>
      <c r="H897" t="str">
        <f>IF($AS897="","",Config!$B$11)</f>
        <v/>
      </c>
      <c r="I897" t="str">
        <f>IF($AS897="","",Config!$B$16)</f>
        <v/>
      </c>
      <c r="J897" t="str">
        <f>IF($AS897="","",INDEX('TMP Paste'!$A$2:$A$1601,$AS897))</f>
        <v/>
      </c>
      <c r="K897" t="str">
        <f>IF($AS897="","",INDEX('TMP Paste'!$L$2:$L$1601,$AS897))</f>
        <v/>
      </c>
      <c r="L897" t="str">
        <f>IF($AS897="","",INDEX('TMP Paste'!$I$2:$I$1601,$AS897))</f>
        <v/>
      </c>
      <c r="M897" t="str">
        <f>IF($AS897="","",Config!$B$16)</f>
        <v/>
      </c>
      <c r="N897" t="str">
        <f t="shared" si="78"/>
        <v/>
      </c>
      <c r="O897" t="str">
        <f>IF($AS897="","",INDEX('TMP Paste'!$K$2:$K$1601,$AS897))</f>
        <v/>
      </c>
      <c r="P897" t="str">
        <f t="shared" si="79"/>
        <v/>
      </c>
      <c r="Q897" t="str">
        <f>IF($AS897="","",INDEX('TMP Paste'!$J$2:$J$1601,$AS897))</f>
        <v/>
      </c>
      <c r="R897" t="str">
        <f>IF($AS897="","",Config!$B$24)</f>
        <v/>
      </c>
      <c r="S897" t="str">
        <f ca="1">IF($AS897="","",TEXT(Config!$B$4,"yyyy-mm-dd"))</f>
        <v/>
      </c>
      <c r="T897" t="str">
        <f>IF($AS897="","",Config!$B$17)</f>
        <v/>
      </c>
      <c r="U897" t="str">
        <f>IF($AS897="","",Config!$B$18)</f>
        <v/>
      </c>
      <c r="V897" t="str">
        <f>IF($AS897="","",Config!$B$19)</f>
        <v/>
      </c>
      <c r="W897" t="str">
        <f>IF($AS897="","",INDEX('TMP Paste'!$C$2:$C$1601,$AS897))</f>
        <v/>
      </c>
      <c r="X897" t="str">
        <f>IF($AS897="","",Config!$B$29)</f>
        <v/>
      </c>
      <c r="Y897" t="str">
        <f>IF($AT897="","",INDEX(Calc!$I$2:$I$1601,$AT897)&amp;" - "&amp;INDEX(Calc!$D$2:$D$1601,$AT897)&amp;" koli")</f>
        <v/>
      </c>
      <c r="Z897" t="str">
        <f>IF($AS897="","",Config!$B$21)</f>
        <v/>
      </c>
      <c r="AA897" t="str">
        <f>IF($AS897="","",Config!$B$22)</f>
        <v/>
      </c>
      <c r="AB897" t="str">
        <f>IF($AT897="","",INDEX(Calc!$D$2:$D$1601,$AT897))</f>
        <v/>
      </c>
      <c r="AC897" t="str">
        <f>IF($AT897="","",INDEX(Calc!$G$2:$G$1601,$AT897))</f>
        <v/>
      </c>
      <c r="AD897" t="str">
        <f>IF($AS897="","",Config!$B$23)</f>
        <v/>
      </c>
      <c r="AE897" t="str">
        <f>IF($AS897="","",Config!$B$28)</f>
        <v/>
      </c>
      <c r="AF897" t="str">
        <f t="shared" si="80"/>
        <v/>
      </c>
      <c r="AG897" t="str">
        <f t="shared" si="81"/>
        <v/>
      </c>
      <c r="AH897" t="str">
        <f t="shared" si="82"/>
        <v/>
      </c>
      <c r="AI897" t="str">
        <f>IF($AG897="","",SUMIF($AG$2:$AG897,$AG897,$AH$2:$AH897))</f>
        <v/>
      </c>
      <c r="AJ897" t="str">
        <f>IF('TMP Paste'!$F897="","",IF('TMP Paste'!$B897="",$AJ896,'TMP Paste'!$B897))</f>
        <v/>
      </c>
      <c r="AK897" t="str">
        <f>IF('TMP Paste'!$F897="","",N('TMP Paste'!$G897))</f>
        <v/>
      </c>
      <c r="AL897" t="str">
        <f>IF('TMP Paste'!$F897="","",IF('TMP Paste'!$M897="",$AL896,'TMP Paste'!$M897))</f>
        <v/>
      </c>
      <c r="AM897" t="str">
        <f>IF('TMP Paste'!$F897="","",IF('TMP Paste'!$N897="",$AM896,'TMP Paste'!$N897))</f>
        <v/>
      </c>
      <c r="AN897" t="str">
        <f>IF('TMP Paste'!$F897="","",IF('TMP Paste'!$O897="",$AN896,'TMP Paste'!$O897))</f>
        <v/>
      </c>
      <c r="AO897" t="str">
        <f>IF('TMP Paste'!$F897="","",IF('TMP Paste'!$P897="",$AO896,'TMP Paste'!$P897))</f>
        <v/>
      </c>
      <c r="AP897" t="str">
        <f t="shared" si="83"/>
        <v/>
      </c>
      <c r="AQ897" t="str">
        <f>IF($AS897="","",TRIM(IF(COUNTIFS(Calc!$B$2:$B$1601,ROW()-1,Calc!$C$2:$C$1601,"&lt;1")&gt;0,"Ada PO tanpa Koli - cek TMP. ","")&amp;IF(OR($AU897="",$AU897&lt;=0),"Volume kosong/0 - dimensi dikosongkan. ","")&amp;IF(AND($AU897&lt;&gt;"",$AU897&gt;=1000000),"Volume &gt;= 1.000.000 cm3 (di luar aturan) - dimensi dikosongkan. ","")&amp;IF(LEN($R897)&gt;500,"R &gt; 500 karakter.","")))</f>
        <v/>
      </c>
      <c r="AS897" t="str">
        <f>IFERROR(MATCH(ROW()-1,Calc!$J$2:$J$1601,0),"")</f>
        <v/>
      </c>
      <c r="AT897" t="str">
        <f>IFERROR(MATCH(ROW()-1,Calc!$K$2:$K$1601,0),"")</f>
        <v/>
      </c>
      <c r="AU897" t="str">
        <f>IF($AS897="","",IFERROR(INDEX('TMP Paste'!$D$2:$D$1601,$AS897)*1000000/$AB897,""))</f>
        <v/>
      </c>
    </row>
    <row r="898" spans="1:47">
      <c r="A898" t="str">
        <f>IF($AS898="","",INDEX('TMP Paste'!$B$2:$B$1601,$AS898))</f>
        <v/>
      </c>
      <c r="B898" t="str">
        <f>IF($AS898="","",Config!$B$14)</f>
        <v/>
      </c>
      <c r="C898" t="str">
        <f>IF($AS898="","",Config!$B$15)</f>
        <v/>
      </c>
      <c r="D898" t="str">
        <f>IF($AS898="","",INDEX('TMP Paste'!$B$2:$B$1601,$AS898))</f>
        <v/>
      </c>
      <c r="E898" t="str">
        <f>IF($AS898="","",Config!$B$27)</f>
        <v/>
      </c>
      <c r="F898" t="str">
        <f>IF($AS898="","",Config!$B$9)</f>
        <v/>
      </c>
      <c r="G898" t="str">
        <f>IF($AS898="","",Config!$B$10)</f>
        <v/>
      </c>
      <c r="H898" t="str">
        <f>IF($AS898="","",Config!$B$11)</f>
        <v/>
      </c>
      <c r="I898" t="str">
        <f>IF($AS898="","",Config!$B$16)</f>
        <v/>
      </c>
      <c r="J898" t="str">
        <f>IF($AS898="","",INDEX('TMP Paste'!$A$2:$A$1601,$AS898))</f>
        <v/>
      </c>
      <c r="K898" t="str">
        <f>IF($AS898="","",INDEX('TMP Paste'!$L$2:$L$1601,$AS898))</f>
        <v/>
      </c>
      <c r="L898" t="str">
        <f>IF($AS898="","",INDEX('TMP Paste'!$I$2:$I$1601,$AS898))</f>
        <v/>
      </c>
      <c r="M898" t="str">
        <f>IF($AS898="","",Config!$B$16)</f>
        <v/>
      </c>
      <c r="N898" t="str">
        <f t="shared" ref="N898:N961" si="84">IF($AS898="","","")</f>
        <v/>
      </c>
      <c r="O898" t="str">
        <f>IF($AS898="","",INDEX('TMP Paste'!$K$2:$K$1601,$AS898))</f>
        <v/>
      </c>
      <c r="P898" t="str">
        <f t="shared" ref="P898:P961" si="85">IF($AS898="","","")</f>
        <v/>
      </c>
      <c r="Q898" t="str">
        <f>IF($AS898="","",INDEX('TMP Paste'!$J$2:$J$1601,$AS898))</f>
        <v/>
      </c>
      <c r="R898" t="str">
        <f>IF($AS898="","",Config!$B$24)</f>
        <v/>
      </c>
      <c r="S898" t="str">
        <f ca="1">IF($AS898="","",TEXT(Config!$B$4,"yyyy-mm-dd"))</f>
        <v/>
      </c>
      <c r="T898" t="str">
        <f>IF($AS898="","",Config!$B$17)</f>
        <v/>
      </c>
      <c r="U898" t="str">
        <f>IF($AS898="","",Config!$B$18)</f>
        <v/>
      </c>
      <c r="V898" t="str">
        <f>IF($AS898="","",Config!$B$19)</f>
        <v/>
      </c>
      <c r="W898" t="str">
        <f>IF($AS898="","",INDEX('TMP Paste'!$C$2:$C$1601,$AS898))</f>
        <v/>
      </c>
      <c r="X898" t="str">
        <f>IF($AS898="","",Config!$B$29)</f>
        <v/>
      </c>
      <c r="Y898" t="str">
        <f>IF($AT898="","",INDEX(Calc!$I$2:$I$1601,$AT898)&amp;" - "&amp;INDEX(Calc!$D$2:$D$1601,$AT898)&amp;" koli")</f>
        <v/>
      </c>
      <c r="Z898" t="str">
        <f>IF($AS898="","",Config!$B$21)</f>
        <v/>
      </c>
      <c r="AA898" t="str">
        <f>IF($AS898="","",Config!$B$22)</f>
        <v/>
      </c>
      <c r="AB898" t="str">
        <f>IF($AT898="","",INDEX(Calc!$D$2:$D$1601,$AT898))</f>
        <v/>
      </c>
      <c r="AC898" t="str">
        <f>IF($AT898="","",INDEX(Calc!$G$2:$G$1601,$AT898))</f>
        <v/>
      </c>
      <c r="AD898" t="str">
        <f>IF($AS898="","",Config!$B$23)</f>
        <v/>
      </c>
      <c r="AE898" t="str">
        <f>IF($AS898="","",Config!$B$28)</f>
        <v/>
      </c>
      <c r="AF898" t="str">
        <f t="shared" ref="AF898:AF961" si="86">IF($AS898="","",IF(OR($AU898="",$AU898&lt;=0,$AU898&gt;=1000000),"",IF($AU898&lt;10000,10,100)))</f>
        <v/>
      </c>
      <c r="AG898" t="str">
        <f t="shared" ref="AG898:AG961" si="87">IF($AS898="","",IF(OR($AU898="",$AU898&lt;=0,$AU898&gt;=1000000),"",IF($AU898&lt;10000,$AU898/100,IF($AU898&lt;100000,$AU898/1000,$AU898/10000))))</f>
        <v/>
      </c>
      <c r="AH898" t="str">
        <f t="shared" ref="AH898:AH961" si="88">IF($AS898="","",IF(OR($AU898="",$AU898&lt;=0,$AU898&gt;=1000000),"",IF($AU898&lt;100000,10,100)))</f>
        <v/>
      </c>
      <c r="AI898" t="str">
        <f>IF($AG898="","",SUMIF($AG$2:$AG898,$AG898,$AH$2:$AH898))</f>
        <v/>
      </c>
      <c r="AJ898" t="str">
        <f>IF('TMP Paste'!$F898="","",IF('TMP Paste'!$B898="",$AJ897,'TMP Paste'!$B898))</f>
        <v/>
      </c>
      <c r="AK898" t="str">
        <f>IF('TMP Paste'!$F898="","",N('TMP Paste'!$G898))</f>
        <v/>
      </c>
      <c r="AL898" t="str">
        <f>IF('TMP Paste'!$F898="","",IF('TMP Paste'!$M898="",$AL897,'TMP Paste'!$M898))</f>
        <v/>
      </c>
      <c r="AM898" t="str">
        <f>IF('TMP Paste'!$F898="","",IF('TMP Paste'!$N898="",$AM897,'TMP Paste'!$N898))</f>
        <v/>
      </c>
      <c r="AN898" t="str">
        <f>IF('TMP Paste'!$F898="","",IF('TMP Paste'!$O898="",$AN897,'TMP Paste'!$O898))</f>
        <v/>
      </c>
      <c r="AO898" t="str">
        <f>IF('TMP Paste'!$F898="","",IF('TMP Paste'!$P898="",$AO897,'TMP Paste'!$P898))</f>
        <v/>
      </c>
      <c r="AP898" t="str">
        <f t="shared" ref="AP898:AP961" si="89">IF($AG898="","",LEN($R898))</f>
        <v/>
      </c>
      <c r="AQ898" t="str">
        <f>IF($AS898="","",TRIM(IF(COUNTIFS(Calc!$B$2:$B$1601,ROW()-1,Calc!$C$2:$C$1601,"&lt;1")&gt;0,"Ada PO tanpa Koli - cek TMP. ","")&amp;IF(OR($AU898="",$AU898&lt;=0),"Volume kosong/0 - dimensi dikosongkan. ","")&amp;IF(AND($AU898&lt;&gt;"",$AU898&gt;=1000000),"Volume &gt;= 1.000.000 cm3 (di luar aturan) - dimensi dikosongkan. ","")&amp;IF(LEN($R898)&gt;500,"R &gt; 500 karakter.","")))</f>
        <v/>
      </c>
      <c r="AS898" t="str">
        <f>IFERROR(MATCH(ROW()-1,Calc!$J$2:$J$1601,0),"")</f>
        <v/>
      </c>
      <c r="AT898" t="str">
        <f>IFERROR(MATCH(ROW()-1,Calc!$K$2:$K$1601,0),"")</f>
        <v/>
      </c>
      <c r="AU898" t="str">
        <f>IF($AS898="","",IFERROR(INDEX('TMP Paste'!$D$2:$D$1601,$AS898)*1000000/$AB898,""))</f>
        <v/>
      </c>
    </row>
    <row r="899" spans="1:47">
      <c r="A899" t="str">
        <f>IF($AS899="","",INDEX('TMP Paste'!$B$2:$B$1601,$AS899))</f>
        <v/>
      </c>
      <c r="B899" t="str">
        <f>IF($AS899="","",Config!$B$14)</f>
        <v/>
      </c>
      <c r="C899" t="str">
        <f>IF($AS899="","",Config!$B$15)</f>
        <v/>
      </c>
      <c r="D899" t="str">
        <f>IF($AS899="","",INDEX('TMP Paste'!$B$2:$B$1601,$AS899))</f>
        <v/>
      </c>
      <c r="E899" t="str">
        <f>IF($AS899="","",Config!$B$27)</f>
        <v/>
      </c>
      <c r="F899" t="str">
        <f>IF($AS899="","",Config!$B$9)</f>
        <v/>
      </c>
      <c r="G899" t="str">
        <f>IF($AS899="","",Config!$B$10)</f>
        <v/>
      </c>
      <c r="H899" t="str">
        <f>IF($AS899="","",Config!$B$11)</f>
        <v/>
      </c>
      <c r="I899" t="str">
        <f>IF($AS899="","",Config!$B$16)</f>
        <v/>
      </c>
      <c r="J899" t="str">
        <f>IF($AS899="","",INDEX('TMP Paste'!$A$2:$A$1601,$AS899))</f>
        <v/>
      </c>
      <c r="K899" t="str">
        <f>IF($AS899="","",INDEX('TMP Paste'!$L$2:$L$1601,$AS899))</f>
        <v/>
      </c>
      <c r="L899" t="str">
        <f>IF($AS899="","",INDEX('TMP Paste'!$I$2:$I$1601,$AS899))</f>
        <v/>
      </c>
      <c r="M899" t="str">
        <f>IF($AS899="","",Config!$B$16)</f>
        <v/>
      </c>
      <c r="N899" t="str">
        <f t="shared" si="84"/>
        <v/>
      </c>
      <c r="O899" t="str">
        <f>IF($AS899="","",INDEX('TMP Paste'!$K$2:$K$1601,$AS899))</f>
        <v/>
      </c>
      <c r="P899" t="str">
        <f t="shared" si="85"/>
        <v/>
      </c>
      <c r="Q899" t="str">
        <f>IF($AS899="","",INDEX('TMP Paste'!$J$2:$J$1601,$AS899))</f>
        <v/>
      </c>
      <c r="R899" t="str">
        <f>IF($AS899="","",Config!$B$24)</f>
        <v/>
      </c>
      <c r="S899" t="str">
        <f ca="1">IF($AS899="","",TEXT(Config!$B$4,"yyyy-mm-dd"))</f>
        <v/>
      </c>
      <c r="T899" t="str">
        <f>IF($AS899="","",Config!$B$17)</f>
        <v/>
      </c>
      <c r="U899" t="str">
        <f>IF($AS899="","",Config!$B$18)</f>
        <v/>
      </c>
      <c r="V899" t="str">
        <f>IF($AS899="","",Config!$B$19)</f>
        <v/>
      </c>
      <c r="W899" t="str">
        <f>IF($AS899="","",INDEX('TMP Paste'!$C$2:$C$1601,$AS899))</f>
        <v/>
      </c>
      <c r="X899" t="str">
        <f>IF($AS899="","",Config!$B$29)</f>
        <v/>
      </c>
      <c r="Y899" t="str">
        <f>IF($AT899="","",INDEX(Calc!$I$2:$I$1601,$AT899)&amp;" - "&amp;INDEX(Calc!$D$2:$D$1601,$AT899)&amp;" koli")</f>
        <v/>
      </c>
      <c r="Z899" t="str">
        <f>IF($AS899="","",Config!$B$21)</f>
        <v/>
      </c>
      <c r="AA899" t="str">
        <f>IF($AS899="","",Config!$B$22)</f>
        <v/>
      </c>
      <c r="AB899" t="str">
        <f>IF($AT899="","",INDEX(Calc!$D$2:$D$1601,$AT899))</f>
        <v/>
      </c>
      <c r="AC899" t="str">
        <f>IF($AT899="","",INDEX(Calc!$G$2:$G$1601,$AT899))</f>
        <v/>
      </c>
      <c r="AD899" t="str">
        <f>IF($AS899="","",Config!$B$23)</f>
        <v/>
      </c>
      <c r="AE899" t="str">
        <f>IF($AS899="","",Config!$B$28)</f>
        <v/>
      </c>
      <c r="AF899" t="str">
        <f t="shared" si="86"/>
        <v/>
      </c>
      <c r="AG899" t="str">
        <f t="shared" si="87"/>
        <v/>
      </c>
      <c r="AH899" t="str">
        <f t="shared" si="88"/>
        <v/>
      </c>
      <c r="AI899" t="str">
        <f>IF($AG899="","",SUMIF($AG$2:$AG899,$AG899,$AH$2:$AH899))</f>
        <v/>
      </c>
      <c r="AJ899" t="str">
        <f>IF('TMP Paste'!$F899="","",IF('TMP Paste'!$B899="",$AJ898,'TMP Paste'!$B899))</f>
        <v/>
      </c>
      <c r="AK899" t="str">
        <f>IF('TMP Paste'!$F899="","",N('TMP Paste'!$G899))</f>
        <v/>
      </c>
      <c r="AL899" t="str">
        <f>IF('TMP Paste'!$F899="","",IF('TMP Paste'!$M899="",$AL898,'TMP Paste'!$M899))</f>
        <v/>
      </c>
      <c r="AM899" t="str">
        <f>IF('TMP Paste'!$F899="","",IF('TMP Paste'!$N899="",$AM898,'TMP Paste'!$N899))</f>
        <v/>
      </c>
      <c r="AN899" t="str">
        <f>IF('TMP Paste'!$F899="","",IF('TMP Paste'!$O899="",$AN898,'TMP Paste'!$O899))</f>
        <v/>
      </c>
      <c r="AO899" t="str">
        <f>IF('TMP Paste'!$F899="","",IF('TMP Paste'!$P899="",$AO898,'TMP Paste'!$P899))</f>
        <v/>
      </c>
      <c r="AP899" t="str">
        <f t="shared" si="89"/>
        <v/>
      </c>
      <c r="AQ899" t="str">
        <f>IF($AS899="","",TRIM(IF(COUNTIFS(Calc!$B$2:$B$1601,ROW()-1,Calc!$C$2:$C$1601,"&lt;1")&gt;0,"Ada PO tanpa Koli - cek TMP. ","")&amp;IF(OR($AU899="",$AU899&lt;=0),"Volume kosong/0 - dimensi dikosongkan. ","")&amp;IF(AND($AU899&lt;&gt;"",$AU899&gt;=1000000),"Volume &gt;= 1.000.000 cm3 (di luar aturan) - dimensi dikosongkan. ","")&amp;IF(LEN($R899)&gt;500,"R &gt; 500 karakter.","")))</f>
        <v/>
      </c>
      <c r="AS899" t="str">
        <f>IFERROR(MATCH(ROW()-1,Calc!$J$2:$J$1601,0),"")</f>
        <v/>
      </c>
      <c r="AT899" t="str">
        <f>IFERROR(MATCH(ROW()-1,Calc!$K$2:$K$1601,0),"")</f>
        <v/>
      </c>
      <c r="AU899" t="str">
        <f>IF($AS899="","",IFERROR(INDEX('TMP Paste'!$D$2:$D$1601,$AS899)*1000000/$AB899,""))</f>
        <v/>
      </c>
    </row>
    <row r="900" spans="1:47">
      <c r="A900" t="str">
        <f>IF($AS900="","",INDEX('TMP Paste'!$B$2:$B$1601,$AS900))</f>
        <v/>
      </c>
      <c r="B900" t="str">
        <f>IF($AS900="","",Config!$B$14)</f>
        <v/>
      </c>
      <c r="C900" t="str">
        <f>IF($AS900="","",Config!$B$15)</f>
        <v/>
      </c>
      <c r="D900" t="str">
        <f>IF($AS900="","",INDEX('TMP Paste'!$B$2:$B$1601,$AS900))</f>
        <v/>
      </c>
      <c r="E900" t="str">
        <f>IF($AS900="","",Config!$B$27)</f>
        <v/>
      </c>
      <c r="F900" t="str">
        <f>IF($AS900="","",Config!$B$9)</f>
        <v/>
      </c>
      <c r="G900" t="str">
        <f>IF($AS900="","",Config!$B$10)</f>
        <v/>
      </c>
      <c r="H900" t="str">
        <f>IF($AS900="","",Config!$B$11)</f>
        <v/>
      </c>
      <c r="I900" t="str">
        <f>IF($AS900="","",Config!$B$16)</f>
        <v/>
      </c>
      <c r="J900" t="str">
        <f>IF($AS900="","",INDEX('TMP Paste'!$A$2:$A$1601,$AS900))</f>
        <v/>
      </c>
      <c r="K900" t="str">
        <f>IF($AS900="","",INDEX('TMP Paste'!$L$2:$L$1601,$AS900))</f>
        <v/>
      </c>
      <c r="L900" t="str">
        <f>IF($AS900="","",INDEX('TMP Paste'!$I$2:$I$1601,$AS900))</f>
        <v/>
      </c>
      <c r="M900" t="str">
        <f>IF($AS900="","",Config!$B$16)</f>
        <v/>
      </c>
      <c r="N900" t="str">
        <f t="shared" si="84"/>
        <v/>
      </c>
      <c r="O900" t="str">
        <f>IF($AS900="","",INDEX('TMP Paste'!$K$2:$K$1601,$AS900))</f>
        <v/>
      </c>
      <c r="P900" t="str">
        <f t="shared" si="85"/>
        <v/>
      </c>
      <c r="Q900" t="str">
        <f>IF($AS900="","",INDEX('TMP Paste'!$J$2:$J$1601,$AS900))</f>
        <v/>
      </c>
      <c r="R900" t="str">
        <f>IF($AS900="","",Config!$B$24)</f>
        <v/>
      </c>
      <c r="S900" t="str">
        <f ca="1">IF($AS900="","",TEXT(Config!$B$4,"yyyy-mm-dd"))</f>
        <v/>
      </c>
      <c r="T900" t="str">
        <f>IF($AS900="","",Config!$B$17)</f>
        <v/>
      </c>
      <c r="U900" t="str">
        <f>IF($AS900="","",Config!$B$18)</f>
        <v/>
      </c>
      <c r="V900" t="str">
        <f>IF($AS900="","",Config!$B$19)</f>
        <v/>
      </c>
      <c r="W900" t="str">
        <f>IF($AS900="","",INDEX('TMP Paste'!$C$2:$C$1601,$AS900))</f>
        <v/>
      </c>
      <c r="X900" t="str">
        <f>IF($AS900="","",Config!$B$29)</f>
        <v/>
      </c>
      <c r="Y900" t="str">
        <f>IF($AT900="","",INDEX(Calc!$I$2:$I$1601,$AT900)&amp;" - "&amp;INDEX(Calc!$D$2:$D$1601,$AT900)&amp;" koli")</f>
        <v/>
      </c>
      <c r="Z900" t="str">
        <f>IF($AS900="","",Config!$B$21)</f>
        <v/>
      </c>
      <c r="AA900" t="str">
        <f>IF($AS900="","",Config!$B$22)</f>
        <v/>
      </c>
      <c r="AB900" t="str">
        <f>IF($AT900="","",INDEX(Calc!$D$2:$D$1601,$AT900))</f>
        <v/>
      </c>
      <c r="AC900" t="str">
        <f>IF($AT900="","",INDEX(Calc!$G$2:$G$1601,$AT900))</f>
        <v/>
      </c>
      <c r="AD900" t="str">
        <f>IF($AS900="","",Config!$B$23)</f>
        <v/>
      </c>
      <c r="AE900" t="str">
        <f>IF($AS900="","",Config!$B$28)</f>
        <v/>
      </c>
      <c r="AF900" t="str">
        <f t="shared" si="86"/>
        <v/>
      </c>
      <c r="AG900" t="str">
        <f t="shared" si="87"/>
        <v/>
      </c>
      <c r="AH900" t="str">
        <f t="shared" si="88"/>
        <v/>
      </c>
      <c r="AI900" t="str">
        <f>IF($AG900="","",SUMIF($AG$2:$AG900,$AG900,$AH$2:$AH900))</f>
        <v/>
      </c>
      <c r="AJ900" t="str">
        <f>IF('TMP Paste'!$F900="","",IF('TMP Paste'!$B900="",$AJ899,'TMP Paste'!$B900))</f>
        <v/>
      </c>
      <c r="AK900" t="str">
        <f>IF('TMP Paste'!$F900="","",N('TMP Paste'!$G900))</f>
        <v/>
      </c>
      <c r="AL900" t="str">
        <f>IF('TMP Paste'!$F900="","",IF('TMP Paste'!$M900="",$AL899,'TMP Paste'!$M900))</f>
        <v/>
      </c>
      <c r="AM900" t="str">
        <f>IF('TMP Paste'!$F900="","",IF('TMP Paste'!$N900="",$AM899,'TMP Paste'!$N900))</f>
        <v/>
      </c>
      <c r="AN900" t="str">
        <f>IF('TMP Paste'!$F900="","",IF('TMP Paste'!$O900="",$AN899,'TMP Paste'!$O900))</f>
        <v/>
      </c>
      <c r="AO900" t="str">
        <f>IF('TMP Paste'!$F900="","",IF('TMP Paste'!$P900="",$AO899,'TMP Paste'!$P900))</f>
        <v/>
      </c>
      <c r="AP900" t="str">
        <f t="shared" si="89"/>
        <v/>
      </c>
      <c r="AQ900" t="str">
        <f>IF($AS900="","",TRIM(IF(COUNTIFS(Calc!$B$2:$B$1601,ROW()-1,Calc!$C$2:$C$1601,"&lt;1")&gt;0,"Ada PO tanpa Koli - cek TMP. ","")&amp;IF(OR($AU900="",$AU900&lt;=0),"Volume kosong/0 - dimensi dikosongkan. ","")&amp;IF(AND($AU900&lt;&gt;"",$AU900&gt;=1000000),"Volume &gt;= 1.000.000 cm3 (di luar aturan) - dimensi dikosongkan. ","")&amp;IF(LEN($R900)&gt;500,"R &gt; 500 karakter.","")))</f>
        <v/>
      </c>
      <c r="AS900" t="str">
        <f>IFERROR(MATCH(ROW()-1,Calc!$J$2:$J$1601,0),"")</f>
        <v/>
      </c>
      <c r="AT900" t="str">
        <f>IFERROR(MATCH(ROW()-1,Calc!$K$2:$K$1601,0),"")</f>
        <v/>
      </c>
      <c r="AU900" t="str">
        <f>IF($AS900="","",IFERROR(INDEX('TMP Paste'!$D$2:$D$1601,$AS900)*1000000/$AB900,""))</f>
        <v/>
      </c>
    </row>
    <row r="901" spans="1:47">
      <c r="A901" t="str">
        <f>IF($AS901="","",INDEX('TMP Paste'!$B$2:$B$1601,$AS901))</f>
        <v/>
      </c>
      <c r="B901" t="str">
        <f>IF($AS901="","",Config!$B$14)</f>
        <v/>
      </c>
      <c r="C901" t="str">
        <f>IF($AS901="","",Config!$B$15)</f>
        <v/>
      </c>
      <c r="D901" t="str">
        <f>IF($AS901="","",INDEX('TMP Paste'!$B$2:$B$1601,$AS901))</f>
        <v/>
      </c>
      <c r="E901" t="str">
        <f>IF($AS901="","",Config!$B$27)</f>
        <v/>
      </c>
      <c r="F901" t="str">
        <f>IF($AS901="","",Config!$B$9)</f>
        <v/>
      </c>
      <c r="G901" t="str">
        <f>IF($AS901="","",Config!$B$10)</f>
        <v/>
      </c>
      <c r="H901" t="str">
        <f>IF($AS901="","",Config!$B$11)</f>
        <v/>
      </c>
      <c r="I901" t="str">
        <f>IF($AS901="","",Config!$B$16)</f>
        <v/>
      </c>
      <c r="J901" t="str">
        <f>IF($AS901="","",INDEX('TMP Paste'!$A$2:$A$1601,$AS901))</f>
        <v/>
      </c>
      <c r="K901" t="str">
        <f>IF($AS901="","",INDEX('TMP Paste'!$L$2:$L$1601,$AS901))</f>
        <v/>
      </c>
      <c r="L901" t="str">
        <f>IF($AS901="","",INDEX('TMP Paste'!$I$2:$I$1601,$AS901))</f>
        <v/>
      </c>
      <c r="M901" t="str">
        <f>IF($AS901="","",Config!$B$16)</f>
        <v/>
      </c>
      <c r="N901" t="str">
        <f t="shared" si="84"/>
        <v/>
      </c>
      <c r="O901" t="str">
        <f>IF($AS901="","",INDEX('TMP Paste'!$K$2:$K$1601,$AS901))</f>
        <v/>
      </c>
      <c r="P901" t="str">
        <f t="shared" si="85"/>
        <v/>
      </c>
      <c r="Q901" t="str">
        <f>IF($AS901="","",INDEX('TMP Paste'!$J$2:$J$1601,$AS901))</f>
        <v/>
      </c>
      <c r="R901" t="str">
        <f>IF($AS901="","",Config!$B$24)</f>
        <v/>
      </c>
      <c r="S901" t="str">
        <f ca="1">IF($AS901="","",TEXT(Config!$B$4,"yyyy-mm-dd"))</f>
        <v/>
      </c>
      <c r="T901" t="str">
        <f>IF($AS901="","",Config!$B$17)</f>
        <v/>
      </c>
      <c r="U901" t="str">
        <f>IF($AS901="","",Config!$B$18)</f>
        <v/>
      </c>
      <c r="V901" t="str">
        <f>IF($AS901="","",Config!$B$19)</f>
        <v/>
      </c>
      <c r="W901" t="str">
        <f>IF($AS901="","",INDEX('TMP Paste'!$C$2:$C$1601,$AS901))</f>
        <v/>
      </c>
      <c r="X901" t="str">
        <f>IF($AS901="","",Config!$B$29)</f>
        <v/>
      </c>
      <c r="Y901" t="str">
        <f>IF($AT901="","",INDEX(Calc!$I$2:$I$1601,$AT901)&amp;" - "&amp;INDEX(Calc!$D$2:$D$1601,$AT901)&amp;" koli")</f>
        <v/>
      </c>
      <c r="Z901" t="str">
        <f>IF($AS901="","",Config!$B$21)</f>
        <v/>
      </c>
      <c r="AA901" t="str">
        <f>IF($AS901="","",Config!$B$22)</f>
        <v/>
      </c>
      <c r="AB901" t="str">
        <f>IF($AT901="","",INDEX(Calc!$D$2:$D$1601,$AT901))</f>
        <v/>
      </c>
      <c r="AC901" t="str">
        <f>IF($AT901="","",INDEX(Calc!$G$2:$G$1601,$AT901))</f>
        <v/>
      </c>
      <c r="AD901" t="str">
        <f>IF($AS901="","",Config!$B$23)</f>
        <v/>
      </c>
      <c r="AE901" t="str">
        <f>IF($AS901="","",Config!$B$28)</f>
        <v/>
      </c>
      <c r="AF901" t="str">
        <f t="shared" si="86"/>
        <v/>
      </c>
      <c r="AG901" t="str">
        <f t="shared" si="87"/>
        <v/>
      </c>
      <c r="AH901" t="str">
        <f t="shared" si="88"/>
        <v/>
      </c>
      <c r="AI901" t="str">
        <f>IF($AG901="","",SUMIF($AG$2:$AG901,$AG901,$AH$2:$AH901))</f>
        <v/>
      </c>
      <c r="AJ901" t="str">
        <f>IF('TMP Paste'!$F901="","",IF('TMP Paste'!$B901="",$AJ900,'TMP Paste'!$B901))</f>
        <v/>
      </c>
      <c r="AK901" t="str">
        <f>IF('TMP Paste'!$F901="","",N('TMP Paste'!$G901))</f>
        <v/>
      </c>
      <c r="AL901" t="str">
        <f>IF('TMP Paste'!$F901="","",IF('TMP Paste'!$M901="",$AL900,'TMP Paste'!$M901))</f>
        <v/>
      </c>
      <c r="AM901" t="str">
        <f>IF('TMP Paste'!$F901="","",IF('TMP Paste'!$N901="",$AM900,'TMP Paste'!$N901))</f>
        <v/>
      </c>
      <c r="AN901" t="str">
        <f>IF('TMP Paste'!$F901="","",IF('TMP Paste'!$O901="",$AN900,'TMP Paste'!$O901))</f>
        <v/>
      </c>
      <c r="AO901" t="str">
        <f>IF('TMP Paste'!$F901="","",IF('TMP Paste'!$P901="",$AO900,'TMP Paste'!$P901))</f>
        <v/>
      </c>
      <c r="AP901" t="str">
        <f t="shared" si="89"/>
        <v/>
      </c>
      <c r="AQ901" t="str">
        <f>IF($AS901="","",TRIM(IF(COUNTIFS(Calc!$B$2:$B$1601,ROW()-1,Calc!$C$2:$C$1601,"&lt;1")&gt;0,"Ada PO tanpa Koli - cek TMP. ","")&amp;IF(OR($AU901="",$AU901&lt;=0),"Volume kosong/0 - dimensi dikosongkan. ","")&amp;IF(AND($AU901&lt;&gt;"",$AU901&gt;=1000000),"Volume &gt;= 1.000.000 cm3 (di luar aturan) - dimensi dikosongkan. ","")&amp;IF(LEN($R901)&gt;500,"R &gt; 500 karakter.","")))</f>
        <v/>
      </c>
      <c r="AS901" t="str">
        <f>IFERROR(MATCH(ROW()-1,Calc!$J$2:$J$1601,0),"")</f>
        <v/>
      </c>
      <c r="AT901" t="str">
        <f>IFERROR(MATCH(ROW()-1,Calc!$K$2:$K$1601,0),"")</f>
        <v/>
      </c>
      <c r="AU901" t="str">
        <f>IF($AS901="","",IFERROR(INDEX('TMP Paste'!$D$2:$D$1601,$AS901)*1000000/$AB901,""))</f>
        <v/>
      </c>
    </row>
    <row r="902" spans="1:47">
      <c r="A902" t="str">
        <f>IF($AS902="","",INDEX('TMP Paste'!$B$2:$B$1601,$AS902))</f>
        <v/>
      </c>
      <c r="B902" t="str">
        <f>IF($AS902="","",Config!$B$14)</f>
        <v/>
      </c>
      <c r="C902" t="str">
        <f>IF($AS902="","",Config!$B$15)</f>
        <v/>
      </c>
      <c r="D902" t="str">
        <f>IF($AS902="","",INDEX('TMP Paste'!$B$2:$B$1601,$AS902))</f>
        <v/>
      </c>
      <c r="E902" t="str">
        <f>IF($AS902="","",Config!$B$27)</f>
        <v/>
      </c>
      <c r="F902" t="str">
        <f>IF($AS902="","",Config!$B$9)</f>
        <v/>
      </c>
      <c r="G902" t="str">
        <f>IF($AS902="","",Config!$B$10)</f>
        <v/>
      </c>
      <c r="H902" t="str">
        <f>IF($AS902="","",Config!$B$11)</f>
        <v/>
      </c>
      <c r="I902" t="str">
        <f>IF($AS902="","",Config!$B$16)</f>
        <v/>
      </c>
      <c r="J902" t="str">
        <f>IF($AS902="","",INDEX('TMP Paste'!$A$2:$A$1601,$AS902))</f>
        <v/>
      </c>
      <c r="K902" t="str">
        <f>IF($AS902="","",INDEX('TMP Paste'!$L$2:$L$1601,$AS902))</f>
        <v/>
      </c>
      <c r="L902" t="str">
        <f>IF($AS902="","",INDEX('TMP Paste'!$I$2:$I$1601,$AS902))</f>
        <v/>
      </c>
      <c r="M902" t="str">
        <f>IF($AS902="","",Config!$B$16)</f>
        <v/>
      </c>
      <c r="N902" t="str">
        <f t="shared" si="84"/>
        <v/>
      </c>
      <c r="O902" t="str">
        <f>IF($AS902="","",INDEX('TMP Paste'!$K$2:$K$1601,$AS902))</f>
        <v/>
      </c>
      <c r="P902" t="str">
        <f t="shared" si="85"/>
        <v/>
      </c>
      <c r="Q902" t="str">
        <f>IF($AS902="","",INDEX('TMP Paste'!$J$2:$J$1601,$AS902))</f>
        <v/>
      </c>
      <c r="R902" t="str">
        <f>IF($AS902="","",Config!$B$24)</f>
        <v/>
      </c>
      <c r="S902" t="str">
        <f ca="1">IF($AS902="","",TEXT(Config!$B$4,"yyyy-mm-dd"))</f>
        <v/>
      </c>
      <c r="T902" t="str">
        <f>IF($AS902="","",Config!$B$17)</f>
        <v/>
      </c>
      <c r="U902" t="str">
        <f>IF($AS902="","",Config!$B$18)</f>
        <v/>
      </c>
      <c r="V902" t="str">
        <f>IF($AS902="","",Config!$B$19)</f>
        <v/>
      </c>
      <c r="W902" t="str">
        <f>IF($AS902="","",INDEX('TMP Paste'!$C$2:$C$1601,$AS902))</f>
        <v/>
      </c>
      <c r="X902" t="str">
        <f>IF($AS902="","",Config!$B$29)</f>
        <v/>
      </c>
      <c r="Y902" t="str">
        <f>IF($AT902="","",INDEX(Calc!$I$2:$I$1601,$AT902)&amp;" - "&amp;INDEX(Calc!$D$2:$D$1601,$AT902)&amp;" koli")</f>
        <v/>
      </c>
      <c r="Z902" t="str">
        <f>IF($AS902="","",Config!$B$21)</f>
        <v/>
      </c>
      <c r="AA902" t="str">
        <f>IF($AS902="","",Config!$B$22)</f>
        <v/>
      </c>
      <c r="AB902" t="str">
        <f>IF($AT902="","",INDEX(Calc!$D$2:$D$1601,$AT902))</f>
        <v/>
      </c>
      <c r="AC902" t="str">
        <f>IF($AT902="","",INDEX(Calc!$G$2:$G$1601,$AT902))</f>
        <v/>
      </c>
      <c r="AD902" t="str">
        <f>IF($AS902="","",Config!$B$23)</f>
        <v/>
      </c>
      <c r="AE902" t="str">
        <f>IF($AS902="","",Config!$B$28)</f>
        <v/>
      </c>
      <c r="AF902" t="str">
        <f t="shared" si="86"/>
        <v/>
      </c>
      <c r="AG902" t="str">
        <f t="shared" si="87"/>
        <v/>
      </c>
      <c r="AH902" t="str">
        <f t="shared" si="88"/>
        <v/>
      </c>
      <c r="AI902" t="str">
        <f>IF($AG902="","",SUMIF($AG$2:$AG902,$AG902,$AH$2:$AH902))</f>
        <v/>
      </c>
      <c r="AJ902" t="str">
        <f>IF('TMP Paste'!$F902="","",IF('TMP Paste'!$B902="",$AJ901,'TMP Paste'!$B902))</f>
        <v/>
      </c>
      <c r="AK902" t="str">
        <f>IF('TMP Paste'!$F902="","",N('TMP Paste'!$G902))</f>
        <v/>
      </c>
      <c r="AL902" t="str">
        <f>IF('TMP Paste'!$F902="","",IF('TMP Paste'!$M902="",$AL901,'TMP Paste'!$M902))</f>
        <v/>
      </c>
      <c r="AM902" t="str">
        <f>IF('TMP Paste'!$F902="","",IF('TMP Paste'!$N902="",$AM901,'TMP Paste'!$N902))</f>
        <v/>
      </c>
      <c r="AN902" t="str">
        <f>IF('TMP Paste'!$F902="","",IF('TMP Paste'!$O902="",$AN901,'TMP Paste'!$O902))</f>
        <v/>
      </c>
      <c r="AO902" t="str">
        <f>IF('TMP Paste'!$F902="","",IF('TMP Paste'!$P902="",$AO901,'TMP Paste'!$P902))</f>
        <v/>
      </c>
      <c r="AP902" t="str">
        <f t="shared" si="89"/>
        <v/>
      </c>
      <c r="AQ902" t="str">
        <f>IF($AS902="","",TRIM(IF(COUNTIFS(Calc!$B$2:$B$1601,ROW()-1,Calc!$C$2:$C$1601,"&lt;1")&gt;0,"Ada PO tanpa Koli - cek TMP. ","")&amp;IF(OR($AU902="",$AU902&lt;=0),"Volume kosong/0 - dimensi dikosongkan. ","")&amp;IF(AND($AU902&lt;&gt;"",$AU902&gt;=1000000),"Volume &gt;= 1.000.000 cm3 (di luar aturan) - dimensi dikosongkan. ","")&amp;IF(LEN($R902)&gt;500,"R &gt; 500 karakter.","")))</f>
        <v/>
      </c>
      <c r="AS902" t="str">
        <f>IFERROR(MATCH(ROW()-1,Calc!$J$2:$J$1601,0),"")</f>
        <v/>
      </c>
      <c r="AT902" t="str">
        <f>IFERROR(MATCH(ROW()-1,Calc!$K$2:$K$1601,0),"")</f>
        <v/>
      </c>
      <c r="AU902" t="str">
        <f>IF($AS902="","",IFERROR(INDEX('TMP Paste'!$D$2:$D$1601,$AS902)*1000000/$AB902,""))</f>
        <v/>
      </c>
    </row>
    <row r="903" spans="1:47">
      <c r="A903" t="str">
        <f>IF($AS903="","",INDEX('TMP Paste'!$B$2:$B$1601,$AS903))</f>
        <v/>
      </c>
      <c r="B903" t="str">
        <f>IF($AS903="","",Config!$B$14)</f>
        <v/>
      </c>
      <c r="C903" t="str">
        <f>IF($AS903="","",Config!$B$15)</f>
        <v/>
      </c>
      <c r="D903" t="str">
        <f>IF($AS903="","",INDEX('TMP Paste'!$B$2:$B$1601,$AS903))</f>
        <v/>
      </c>
      <c r="E903" t="str">
        <f>IF($AS903="","",Config!$B$27)</f>
        <v/>
      </c>
      <c r="F903" t="str">
        <f>IF($AS903="","",Config!$B$9)</f>
        <v/>
      </c>
      <c r="G903" t="str">
        <f>IF($AS903="","",Config!$B$10)</f>
        <v/>
      </c>
      <c r="H903" t="str">
        <f>IF($AS903="","",Config!$B$11)</f>
        <v/>
      </c>
      <c r="I903" t="str">
        <f>IF($AS903="","",Config!$B$16)</f>
        <v/>
      </c>
      <c r="J903" t="str">
        <f>IF($AS903="","",INDEX('TMP Paste'!$A$2:$A$1601,$AS903))</f>
        <v/>
      </c>
      <c r="K903" t="str">
        <f>IF($AS903="","",INDEX('TMP Paste'!$L$2:$L$1601,$AS903))</f>
        <v/>
      </c>
      <c r="L903" t="str">
        <f>IF($AS903="","",INDEX('TMP Paste'!$I$2:$I$1601,$AS903))</f>
        <v/>
      </c>
      <c r="M903" t="str">
        <f>IF($AS903="","",Config!$B$16)</f>
        <v/>
      </c>
      <c r="N903" t="str">
        <f t="shared" si="84"/>
        <v/>
      </c>
      <c r="O903" t="str">
        <f>IF($AS903="","",INDEX('TMP Paste'!$K$2:$K$1601,$AS903))</f>
        <v/>
      </c>
      <c r="P903" t="str">
        <f t="shared" si="85"/>
        <v/>
      </c>
      <c r="Q903" t="str">
        <f>IF($AS903="","",INDEX('TMP Paste'!$J$2:$J$1601,$AS903))</f>
        <v/>
      </c>
      <c r="R903" t="str">
        <f>IF($AS903="","",Config!$B$24)</f>
        <v/>
      </c>
      <c r="S903" t="str">
        <f ca="1">IF($AS903="","",TEXT(Config!$B$4,"yyyy-mm-dd"))</f>
        <v/>
      </c>
      <c r="T903" t="str">
        <f>IF($AS903="","",Config!$B$17)</f>
        <v/>
      </c>
      <c r="U903" t="str">
        <f>IF($AS903="","",Config!$B$18)</f>
        <v/>
      </c>
      <c r="V903" t="str">
        <f>IF($AS903="","",Config!$B$19)</f>
        <v/>
      </c>
      <c r="W903" t="str">
        <f>IF($AS903="","",INDEX('TMP Paste'!$C$2:$C$1601,$AS903))</f>
        <v/>
      </c>
      <c r="X903" t="str">
        <f>IF($AS903="","",Config!$B$29)</f>
        <v/>
      </c>
      <c r="Y903" t="str">
        <f>IF($AT903="","",INDEX(Calc!$I$2:$I$1601,$AT903)&amp;" - "&amp;INDEX(Calc!$D$2:$D$1601,$AT903)&amp;" koli")</f>
        <v/>
      </c>
      <c r="Z903" t="str">
        <f>IF($AS903="","",Config!$B$21)</f>
        <v/>
      </c>
      <c r="AA903" t="str">
        <f>IF($AS903="","",Config!$B$22)</f>
        <v/>
      </c>
      <c r="AB903" t="str">
        <f>IF($AT903="","",INDEX(Calc!$D$2:$D$1601,$AT903))</f>
        <v/>
      </c>
      <c r="AC903" t="str">
        <f>IF($AT903="","",INDEX(Calc!$G$2:$G$1601,$AT903))</f>
        <v/>
      </c>
      <c r="AD903" t="str">
        <f>IF($AS903="","",Config!$B$23)</f>
        <v/>
      </c>
      <c r="AE903" t="str">
        <f>IF($AS903="","",Config!$B$28)</f>
        <v/>
      </c>
      <c r="AF903" t="str">
        <f t="shared" si="86"/>
        <v/>
      </c>
      <c r="AG903" t="str">
        <f t="shared" si="87"/>
        <v/>
      </c>
      <c r="AH903" t="str">
        <f t="shared" si="88"/>
        <v/>
      </c>
      <c r="AI903" t="str">
        <f>IF($AG903="","",SUMIF($AG$2:$AG903,$AG903,$AH$2:$AH903))</f>
        <v/>
      </c>
      <c r="AJ903" t="str">
        <f>IF('TMP Paste'!$F903="","",IF('TMP Paste'!$B903="",$AJ902,'TMP Paste'!$B903))</f>
        <v/>
      </c>
      <c r="AK903" t="str">
        <f>IF('TMP Paste'!$F903="","",N('TMP Paste'!$G903))</f>
        <v/>
      </c>
      <c r="AL903" t="str">
        <f>IF('TMP Paste'!$F903="","",IF('TMP Paste'!$M903="",$AL902,'TMP Paste'!$M903))</f>
        <v/>
      </c>
      <c r="AM903" t="str">
        <f>IF('TMP Paste'!$F903="","",IF('TMP Paste'!$N903="",$AM902,'TMP Paste'!$N903))</f>
        <v/>
      </c>
      <c r="AN903" t="str">
        <f>IF('TMP Paste'!$F903="","",IF('TMP Paste'!$O903="",$AN902,'TMP Paste'!$O903))</f>
        <v/>
      </c>
      <c r="AO903" t="str">
        <f>IF('TMP Paste'!$F903="","",IF('TMP Paste'!$P903="",$AO902,'TMP Paste'!$P903))</f>
        <v/>
      </c>
      <c r="AP903" t="str">
        <f t="shared" si="89"/>
        <v/>
      </c>
      <c r="AQ903" t="str">
        <f>IF($AS903="","",TRIM(IF(COUNTIFS(Calc!$B$2:$B$1601,ROW()-1,Calc!$C$2:$C$1601,"&lt;1")&gt;0,"Ada PO tanpa Koli - cek TMP. ","")&amp;IF(OR($AU903="",$AU903&lt;=0),"Volume kosong/0 - dimensi dikosongkan. ","")&amp;IF(AND($AU903&lt;&gt;"",$AU903&gt;=1000000),"Volume &gt;= 1.000.000 cm3 (di luar aturan) - dimensi dikosongkan. ","")&amp;IF(LEN($R903)&gt;500,"R &gt; 500 karakter.","")))</f>
        <v/>
      </c>
      <c r="AS903" t="str">
        <f>IFERROR(MATCH(ROW()-1,Calc!$J$2:$J$1601,0),"")</f>
        <v/>
      </c>
      <c r="AT903" t="str">
        <f>IFERROR(MATCH(ROW()-1,Calc!$K$2:$K$1601,0),"")</f>
        <v/>
      </c>
      <c r="AU903" t="str">
        <f>IF($AS903="","",IFERROR(INDEX('TMP Paste'!$D$2:$D$1601,$AS903)*1000000/$AB903,""))</f>
        <v/>
      </c>
    </row>
    <row r="904" spans="1:47">
      <c r="A904" t="str">
        <f>IF($AS904="","",INDEX('TMP Paste'!$B$2:$B$1601,$AS904))</f>
        <v/>
      </c>
      <c r="B904" t="str">
        <f>IF($AS904="","",Config!$B$14)</f>
        <v/>
      </c>
      <c r="C904" t="str">
        <f>IF($AS904="","",Config!$B$15)</f>
        <v/>
      </c>
      <c r="D904" t="str">
        <f>IF($AS904="","",INDEX('TMP Paste'!$B$2:$B$1601,$AS904))</f>
        <v/>
      </c>
      <c r="E904" t="str">
        <f>IF($AS904="","",Config!$B$27)</f>
        <v/>
      </c>
      <c r="F904" t="str">
        <f>IF($AS904="","",Config!$B$9)</f>
        <v/>
      </c>
      <c r="G904" t="str">
        <f>IF($AS904="","",Config!$B$10)</f>
        <v/>
      </c>
      <c r="H904" t="str">
        <f>IF($AS904="","",Config!$B$11)</f>
        <v/>
      </c>
      <c r="I904" t="str">
        <f>IF($AS904="","",Config!$B$16)</f>
        <v/>
      </c>
      <c r="J904" t="str">
        <f>IF($AS904="","",INDEX('TMP Paste'!$A$2:$A$1601,$AS904))</f>
        <v/>
      </c>
      <c r="K904" t="str">
        <f>IF($AS904="","",INDEX('TMP Paste'!$L$2:$L$1601,$AS904))</f>
        <v/>
      </c>
      <c r="L904" t="str">
        <f>IF($AS904="","",INDEX('TMP Paste'!$I$2:$I$1601,$AS904))</f>
        <v/>
      </c>
      <c r="M904" t="str">
        <f>IF($AS904="","",Config!$B$16)</f>
        <v/>
      </c>
      <c r="N904" t="str">
        <f t="shared" si="84"/>
        <v/>
      </c>
      <c r="O904" t="str">
        <f>IF($AS904="","",INDEX('TMP Paste'!$K$2:$K$1601,$AS904))</f>
        <v/>
      </c>
      <c r="P904" t="str">
        <f t="shared" si="85"/>
        <v/>
      </c>
      <c r="Q904" t="str">
        <f>IF($AS904="","",INDEX('TMP Paste'!$J$2:$J$1601,$AS904))</f>
        <v/>
      </c>
      <c r="R904" t="str">
        <f>IF($AS904="","",Config!$B$24)</f>
        <v/>
      </c>
      <c r="S904" t="str">
        <f ca="1">IF($AS904="","",TEXT(Config!$B$4,"yyyy-mm-dd"))</f>
        <v/>
      </c>
      <c r="T904" t="str">
        <f>IF($AS904="","",Config!$B$17)</f>
        <v/>
      </c>
      <c r="U904" t="str">
        <f>IF($AS904="","",Config!$B$18)</f>
        <v/>
      </c>
      <c r="V904" t="str">
        <f>IF($AS904="","",Config!$B$19)</f>
        <v/>
      </c>
      <c r="W904" t="str">
        <f>IF($AS904="","",INDEX('TMP Paste'!$C$2:$C$1601,$AS904))</f>
        <v/>
      </c>
      <c r="X904" t="str">
        <f>IF($AS904="","",Config!$B$29)</f>
        <v/>
      </c>
      <c r="Y904" t="str">
        <f>IF($AT904="","",INDEX(Calc!$I$2:$I$1601,$AT904)&amp;" - "&amp;INDEX(Calc!$D$2:$D$1601,$AT904)&amp;" koli")</f>
        <v/>
      </c>
      <c r="Z904" t="str">
        <f>IF($AS904="","",Config!$B$21)</f>
        <v/>
      </c>
      <c r="AA904" t="str">
        <f>IF($AS904="","",Config!$B$22)</f>
        <v/>
      </c>
      <c r="AB904" t="str">
        <f>IF($AT904="","",INDEX(Calc!$D$2:$D$1601,$AT904))</f>
        <v/>
      </c>
      <c r="AC904" t="str">
        <f>IF($AT904="","",INDEX(Calc!$G$2:$G$1601,$AT904))</f>
        <v/>
      </c>
      <c r="AD904" t="str">
        <f>IF($AS904="","",Config!$B$23)</f>
        <v/>
      </c>
      <c r="AE904" t="str">
        <f>IF($AS904="","",Config!$B$28)</f>
        <v/>
      </c>
      <c r="AF904" t="str">
        <f t="shared" si="86"/>
        <v/>
      </c>
      <c r="AG904" t="str">
        <f t="shared" si="87"/>
        <v/>
      </c>
      <c r="AH904" t="str">
        <f t="shared" si="88"/>
        <v/>
      </c>
      <c r="AI904" t="str">
        <f>IF($AG904="","",SUMIF($AG$2:$AG904,$AG904,$AH$2:$AH904))</f>
        <v/>
      </c>
      <c r="AJ904" t="str">
        <f>IF('TMP Paste'!$F904="","",IF('TMP Paste'!$B904="",$AJ903,'TMP Paste'!$B904))</f>
        <v/>
      </c>
      <c r="AK904" t="str">
        <f>IF('TMP Paste'!$F904="","",N('TMP Paste'!$G904))</f>
        <v/>
      </c>
      <c r="AL904" t="str">
        <f>IF('TMP Paste'!$F904="","",IF('TMP Paste'!$M904="",$AL903,'TMP Paste'!$M904))</f>
        <v/>
      </c>
      <c r="AM904" t="str">
        <f>IF('TMP Paste'!$F904="","",IF('TMP Paste'!$N904="",$AM903,'TMP Paste'!$N904))</f>
        <v/>
      </c>
      <c r="AN904" t="str">
        <f>IF('TMP Paste'!$F904="","",IF('TMP Paste'!$O904="",$AN903,'TMP Paste'!$O904))</f>
        <v/>
      </c>
      <c r="AO904" t="str">
        <f>IF('TMP Paste'!$F904="","",IF('TMP Paste'!$P904="",$AO903,'TMP Paste'!$P904))</f>
        <v/>
      </c>
      <c r="AP904" t="str">
        <f t="shared" si="89"/>
        <v/>
      </c>
      <c r="AQ904" t="str">
        <f>IF($AS904="","",TRIM(IF(COUNTIFS(Calc!$B$2:$B$1601,ROW()-1,Calc!$C$2:$C$1601,"&lt;1")&gt;0,"Ada PO tanpa Koli - cek TMP. ","")&amp;IF(OR($AU904="",$AU904&lt;=0),"Volume kosong/0 - dimensi dikosongkan. ","")&amp;IF(AND($AU904&lt;&gt;"",$AU904&gt;=1000000),"Volume &gt;= 1.000.000 cm3 (di luar aturan) - dimensi dikosongkan. ","")&amp;IF(LEN($R904)&gt;500,"R &gt; 500 karakter.","")))</f>
        <v/>
      </c>
      <c r="AS904" t="str">
        <f>IFERROR(MATCH(ROW()-1,Calc!$J$2:$J$1601,0),"")</f>
        <v/>
      </c>
      <c r="AT904" t="str">
        <f>IFERROR(MATCH(ROW()-1,Calc!$K$2:$K$1601,0),"")</f>
        <v/>
      </c>
      <c r="AU904" t="str">
        <f>IF($AS904="","",IFERROR(INDEX('TMP Paste'!$D$2:$D$1601,$AS904)*1000000/$AB904,""))</f>
        <v/>
      </c>
    </row>
    <row r="905" spans="1:47">
      <c r="A905" t="str">
        <f>IF($AS905="","",INDEX('TMP Paste'!$B$2:$B$1601,$AS905))</f>
        <v/>
      </c>
      <c r="B905" t="str">
        <f>IF($AS905="","",Config!$B$14)</f>
        <v/>
      </c>
      <c r="C905" t="str">
        <f>IF($AS905="","",Config!$B$15)</f>
        <v/>
      </c>
      <c r="D905" t="str">
        <f>IF($AS905="","",INDEX('TMP Paste'!$B$2:$B$1601,$AS905))</f>
        <v/>
      </c>
      <c r="E905" t="str">
        <f>IF($AS905="","",Config!$B$27)</f>
        <v/>
      </c>
      <c r="F905" t="str">
        <f>IF($AS905="","",Config!$B$9)</f>
        <v/>
      </c>
      <c r="G905" t="str">
        <f>IF($AS905="","",Config!$B$10)</f>
        <v/>
      </c>
      <c r="H905" t="str">
        <f>IF($AS905="","",Config!$B$11)</f>
        <v/>
      </c>
      <c r="I905" t="str">
        <f>IF($AS905="","",Config!$B$16)</f>
        <v/>
      </c>
      <c r="J905" t="str">
        <f>IF($AS905="","",INDEX('TMP Paste'!$A$2:$A$1601,$AS905))</f>
        <v/>
      </c>
      <c r="K905" t="str">
        <f>IF($AS905="","",INDEX('TMP Paste'!$L$2:$L$1601,$AS905))</f>
        <v/>
      </c>
      <c r="L905" t="str">
        <f>IF($AS905="","",INDEX('TMP Paste'!$I$2:$I$1601,$AS905))</f>
        <v/>
      </c>
      <c r="M905" t="str">
        <f>IF($AS905="","",Config!$B$16)</f>
        <v/>
      </c>
      <c r="N905" t="str">
        <f t="shared" si="84"/>
        <v/>
      </c>
      <c r="O905" t="str">
        <f>IF($AS905="","",INDEX('TMP Paste'!$K$2:$K$1601,$AS905))</f>
        <v/>
      </c>
      <c r="P905" t="str">
        <f t="shared" si="85"/>
        <v/>
      </c>
      <c r="Q905" t="str">
        <f>IF($AS905="","",INDEX('TMP Paste'!$J$2:$J$1601,$AS905))</f>
        <v/>
      </c>
      <c r="R905" t="str">
        <f>IF($AS905="","",Config!$B$24)</f>
        <v/>
      </c>
      <c r="S905" t="str">
        <f ca="1">IF($AS905="","",TEXT(Config!$B$4,"yyyy-mm-dd"))</f>
        <v/>
      </c>
      <c r="T905" t="str">
        <f>IF($AS905="","",Config!$B$17)</f>
        <v/>
      </c>
      <c r="U905" t="str">
        <f>IF($AS905="","",Config!$B$18)</f>
        <v/>
      </c>
      <c r="V905" t="str">
        <f>IF($AS905="","",Config!$B$19)</f>
        <v/>
      </c>
      <c r="W905" t="str">
        <f>IF($AS905="","",INDEX('TMP Paste'!$C$2:$C$1601,$AS905))</f>
        <v/>
      </c>
      <c r="X905" t="str">
        <f>IF($AS905="","",Config!$B$29)</f>
        <v/>
      </c>
      <c r="Y905" t="str">
        <f>IF($AT905="","",INDEX(Calc!$I$2:$I$1601,$AT905)&amp;" - "&amp;INDEX(Calc!$D$2:$D$1601,$AT905)&amp;" koli")</f>
        <v/>
      </c>
      <c r="Z905" t="str">
        <f>IF($AS905="","",Config!$B$21)</f>
        <v/>
      </c>
      <c r="AA905" t="str">
        <f>IF($AS905="","",Config!$B$22)</f>
        <v/>
      </c>
      <c r="AB905" t="str">
        <f>IF($AT905="","",INDEX(Calc!$D$2:$D$1601,$AT905))</f>
        <v/>
      </c>
      <c r="AC905" t="str">
        <f>IF($AT905="","",INDEX(Calc!$G$2:$G$1601,$AT905))</f>
        <v/>
      </c>
      <c r="AD905" t="str">
        <f>IF($AS905="","",Config!$B$23)</f>
        <v/>
      </c>
      <c r="AE905" t="str">
        <f>IF($AS905="","",Config!$B$28)</f>
        <v/>
      </c>
      <c r="AF905" t="str">
        <f t="shared" si="86"/>
        <v/>
      </c>
      <c r="AG905" t="str">
        <f t="shared" si="87"/>
        <v/>
      </c>
      <c r="AH905" t="str">
        <f t="shared" si="88"/>
        <v/>
      </c>
      <c r="AI905" t="str">
        <f>IF($AG905="","",SUMIF($AG$2:$AG905,$AG905,$AH$2:$AH905))</f>
        <v/>
      </c>
      <c r="AJ905" t="str">
        <f>IF('TMP Paste'!$F905="","",IF('TMP Paste'!$B905="",$AJ904,'TMP Paste'!$B905))</f>
        <v/>
      </c>
      <c r="AK905" t="str">
        <f>IF('TMP Paste'!$F905="","",N('TMP Paste'!$G905))</f>
        <v/>
      </c>
      <c r="AL905" t="str">
        <f>IF('TMP Paste'!$F905="","",IF('TMP Paste'!$M905="",$AL904,'TMP Paste'!$M905))</f>
        <v/>
      </c>
      <c r="AM905" t="str">
        <f>IF('TMP Paste'!$F905="","",IF('TMP Paste'!$N905="",$AM904,'TMP Paste'!$N905))</f>
        <v/>
      </c>
      <c r="AN905" t="str">
        <f>IF('TMP Paste'!$F905="","",IF('TMP Paste'!$O905="",$AN904,'TMP Paste'!$O905))</f>
        <v/>
      </c>
      <c r="AO905" t="str">
        <f>IF('TMP Paste'!$F905="","",IF('TMP Paste'!$P905="",$AO904,'TMP Paste'!$P905))</f>
        <v/>
      </c>
      <c r="AP905" t="str">
        <f t="shared" si="89"/>
        <v/>
      </c>
      <c r="AQ905" t="str">
        <f>IF($AS905="","",TRIM(IF(COUNTIFS(Calc!$B$2:$B$1601,ROW()-1,Calc!$C$2:$C$1601,"&lt;1")&gt;0,"Ada PO tanpa Koli - cek TMP. ","")&amp;IF(OR($AU905="",$AU905&lt;=0),"Volume kosong/0 - dimensi dikosongkan. ","")&amp;IF(AND($AU905&lt;&gt;"",$AU905&gt;=1000000),"Volume &gt;= 1.000.000 cm3 (di luar aturan) - dimensi dikosongkan. ","")&amp;IF(LEN($R905)&gt;500,"R &gt; 500 karakter.","")))</f>
        <v/>
      </c>
      <c r="AS905" t="str">
        <f>IFERROR(MATCH(ROW()-1,Calc!$J$2:$J$1601,0),"")</f>
        <v/>
      </c>
      <c r="AT905" t="str">
        <f>IFERROR(MATCH(ROW()-1,Calc!$K$2:$K$1601,0),"")</f>
        <v/>
      </c>
      <c r="AU905" t="str">
        <f>IF($AS905="","",IFERROR(INDEX('TMP Paste'!$D$2:$D$1601,$AS905)*1000000/$AB905,""))</f>
        <v/>
      </c>
    </row>
    <row r="906" spans="1:47">
      <c r="A906" t="str">
        <f>IF($AS906="","",INDEX('TMP Paste'!$B$2:$B$1601,$AS906))</f>
        <v/>
      </c>
      <c r="B906" t="str">
        <f>IF($AS906="","",Config!$B$14)</f>
        <v/>
      </c>
      <c r="C906" t="str">
        <f>IF($AS906="","",Config!$B$15)</f>
        <v/>
      </c>
      <c r="D906" t="str">
        <f>IF($AS906="","",INDEX('TMP Paste'!$B$2:$B$1601,$AS906))</f>
        <v/>
      </c>
      <c r="E906" t="str">
        <f>IF($AS906="","",Config!$B$27)</f>
        <v/>
      </c>
      <c r="F906" t="str">
        <f>IF($AS906="","",Config!$B$9)</f>
        <v/>
      </c>
      <c r="G906" t="str">
        <f>IF($AS906="","",Config!$B$10)</f>
        <v/>
      </c>
      <c r="H906" t="str">
        <f>IF($AS906="","",Config!$B$11)</f>
        <v/>
      </c>
      <c r="I906" t="str">
        <f>IF($AS906="","",Config!$B$16)</f>
        <v/>
      </c>
      <c r="J906" t="str">
        <f>IF($AS906="","",INDEX('TMP Paste'!$A$2:$A$1601,$AS906))</f>
        <v/>
      </c>
      <c r="K906" t="str">
        <f>IF($AS906="","",INDEX('TMP Paste'!$L$2:$L$1601,$AS906))</f>
        <v/>
      </c>
      <c r="L906" t="str">
        <f>IF($AS906="","",INDEX('TMP Paste'!$I$2:$I$1601,$AS906))</f>
        <v/>
      </c>
      <c r="M906" t="str">
        <f>IF($AS906="","",Config!$B$16)</f>
        <v/>
      </c>
      <c r="N906" t="str">
        <f t="shared" si="84"/>
        <v/>
      </c>
      <c r="O906" t="str">
        <f>IF($AS906="","",INDEX('TMP Paste'!$K$2:$K$1601,$AS906))</f>
        <v/>
      </c>
      <c r="P906" t="str">
        <f t="shared" si="85"/>
        <v/>
      </c>
      <c r="Q906" t="str">
        <f>IF($AS906="","",INDEX('TMP Paste'!$J$2:$J$1601,$AS906))</f>
        <v/>
      </c>
      <c r="R906" t="str">
        <f>IF($AS906="","",Config!$B$24)</f>
        <v/>
      </c>
      <c r="S906" t="str">
        <f ca="1">IF($AS906="","",TEXT(Config!$B$4,"yyyy-mm-dd"))</f>
        <v/>
      </c>
      <c r="T906" t="str">
        <f>IF($AS906="","",Config!$B$17)</f>
        <v/>
      </c>
      <c r="U906" t="str">
        <f>IF($AS906="","",Config!$B$18)</f>
        <v/>
      </c>
      <c r="V906" t="str">
        <f>IF($AS906="","",Config!$B$19)</f>
        <v/>
      </c>
      <c r="W906" t="str">
        <f>IF($AS906="","",INDEX('TMP Paste'!$C$2:$C$1601,$AS906))</f>
        <v/>
      </c>
      <c r="X906" t="str">
        <f>IF($AS906="","",Config!$B$29)</f>
        <v/>
      </c>
      <c r="Y906" t="str">
        <f>IF($AT906="","",INDEX(Calc!$I$2:$I$1601,$AT906)&amp;" - "&amp;INDEX(Calc!$D$2:$D$1601,$AT906)&amp;" koli")</f>
        <v/>
      </c>
      <c r="Z906" t="str">
        <f>IF($AS906="","",Config!$B$21)</f>
        <v/>
      </c>
      <c r="AA906" t="str">
        <f>IF($AS906="","",Config!$B$22)</f>
        <v/>
      </c>
      <c r="AB906" t="str">
        <f>IF($AT906="","",INDEX(Calc!$D$2:$D$1601,$AT906))</f>
        <v/>
      </c>
      <c r="AC906" t="str">
        <f>IF($AT906="","",INDEX(Calc!$G$2:$G$1601,$AT906))</f>
        <v/>
      </c>
      <c r="AD906" t="str">
        <f>IF($AS906="","",Config!$B$23)</f>
        <v/>
      </c>
      <c r="AE906" t="str">
        <f>IF($AS906="","",Config!$B$28)</f>
        <v/>
      </c>
      <c r="AF906" t="str">
        <f t="shared" si="86"/>
        <v/>
      </c>
      <c r="AG906" t="str">
        <f t="shared" si="87"/>
        <v/>
      </c>
      <c r="AH906" t="str">
        <f t="shared" si="88"/>
        <v/>
      </c>
      <c r="AI906" t="str">
        <f>IF($AG906="","",SUMIF($AG$2:$AG906,$AG906,$AH$2:$AH906))</f>
        <v/>
      </c>
      <c r="AJ906" t="str">
        <f>IF('TMP Paste'!$F906="","",IF('TMP Paste'!$B906="",$AJ905,'TMP Paste'!$B906))</f>
        <v/>
      </c>
      <c r="AK906" t="str">
        <f>IF('TMP Paste'!$F906="","",N('TMP Paste'!$G906))</f>
        <v/>
      </c>
      <c r="AL906" t="str">
        <f>IF('TMP Paste'!$F906="","",IF('TMP Paste'!$M906="",$AL905,'TMP Paste'!$M906))</f>
        <v/>
      </c>
      <c r="AM906" t="str">
        <f>IF('TMP Paste'!$F906="","",IF('TMP Paste'!$N906="",$AM905,'TMP Paste'!$N906))</f>
        <v/>
      </c>
      <c r="AN906" t="str">
        <f>IF('TMP Paste'!$F906="","",IF('TMP Paste'!$O906="",$AN905,'TMP Paste'!$O906))</f>
        <v/>
      </c>
      <c r="AO906" t="str">
        <f>IF('TMP Paste'!$F906="","",IF('TMP Paste'!$P906="",$AO905,'TMP Paste'!$P906))</f>
        <v/>
      </c>
      <c r="AP906" t="str">
        <f t="shared" si="89"/>
        <v/>
      </c>
      <c r="AQ906" t="str">
        <f>IF($AS906="","",TRIM(IF(COUNTIFS(Calc!$B$2:$B$1601,ROW()-1,Calc!$C$2:$C$1601,"&lt;1")&gt;0,"Ada PO tanpa Koli - cek TMP. ","")&amp;IF(OR($AU906="",$AU906&lt;=0),"Volume kosong/0 - dimensi dikosongkan. ","")&amp;IF(AND($AU906&lt;&gt;"",$AU906&gt;=1000000),"Volume &gt;= 1.000.000 cm3 (di luar aturan) - dimensi dikosongkan. ","")&amp;IF(LEN($R906)&gt;500,"R &gt; 500 karakter.","")))</f>
        <v/>
      </c>
      <c r="AS906" t="str">
        <f>IFERROR(MATCH(ROW()-1,Calc!$J$2:$J$1601,0),"")</f>
        <v/>
      </c>
      <c r="AT906" t="str">
        <f>IFERROR(MATCH(ROW()-1,Calc!$K$2:$K$1601,0),"")</f>
        <v/>
      </c>
      <c r="AU906" t="str">
        <f>IF($AS906="","",IFERROR(INDEX('TMP Paste'!$D$2:$D$1601,$AS906)*1000000/$AB906,""))</f>
        <v/>
      </c>
    </row>
    <row r="907" spans="1:47">
      <c r="A907" t="str">
        <f>IF($AS907="","",INDEX('TMP Paste'!$B$2:$B$1601,$AS907))</f>
        <v/>
      </c>
      <c r="B907" t="str">
        <f>IF($AS907="","",Config!$B$14)</f>
        <v/>
      </c>
      <c r="C907" t="str">
        <f>IF($AS907="","",Config!$B$15)</f>
        <v/>
      </c>
      <c r="D907" t="str">
        <f>IF($AS907="","",INDEX('TMP Paste'!$B$2:$B$1601,$AS907))</f>
        <v/>
      </c>
      <c r="E907" t="str">
        <f>IF($AS907="","",Config!$B$27)</f>
        <v/>
      </c>
      <c r="F907" t="str">
        <f>IF($AS907="","",Config!$B$9)</f>
        <v/>
      </c>
      <c r="G907" t="str">
        <f>IF($AS907="","",Config!$B$10)</f>
        <v/>
      </c>
      <c r="H907" t="str">
        <f>IF($AS907="","",Config!$B$11)</f>
        <v/>
      </c>
      <c r="I907" t="str">
        <f>IF($AS907="","",Config!$B$16)</f>
        <v/>
      </c>
      <c r="J907" t="str">
        <f>IF($AS907="","",INDEX('TMP Paste'!$A$2:$A$1601,$AS907))</f>
        <v/>
      </c>
      <c r="K907" t="str">
        <f>IF($AS907="","",INDEX('TMP Paste'!$L$2:$L$1601,$AS907))</f>
        <v/>
      </c>
      <c r="L907" t="str">
        <f>IF($AS907="","",INDEX('TMP Paste'!$I$2:$I$1601,$AS907))</f>
        <v/>
      </c>
      <c r="M907" t="str">
        <f>IF($AS907="","",Config!$B$16)</f>
        <v/>
      </c>
      <c r="N907" t="str">
        <f t="shared" si="84"/>
        <v/>
      </c>
      <c r="O907" t="str">
        <f>IF($AS907="","",INDEX('TMP Paste'!$K$2:$K$1601,$AS907))</f>
        <v/>
      </c>
      <c r="P907" t="str">
        <f t="shared" si="85"/>
        <v/>
      </c>
      <c r="Q907" t="str">
        <f>IF($AS907="","",INDEX('TMP Paste'!$J$2:$J$1601,$AS907))</f>
        <v/>
      </c>
      <c r="R907" t="str">
        <f>IF($AS907="","",Config!$B$24)</f>
        <v/>
      </c>
      <c r="S907" t="str">
        <f ca="1">IF($AS907="","",TEXT(Config!$B$4,"yyyy-mm-dd"))</f>
        <v/>
      </c>
      <c r="T907" t="str">
        <f>IF($AS907="","",Config!$B$17)</f>
        <v/>
      </c>
      <c r="U907" t="str">
        <f>IF($AS907="","",Config!$B$18)</f>
        <v/>
      </c>
      <c r="V907" t="str">
        <f>IF($AS907="","",Config!$B$19)</f>
        <v/>
      </c>
      <c r="W907" t="str">
        <f>IF($AS907="","",INDEX('TMP Paste'!$C$2:$C$1601,$AS907))</f>
        <v/>
      </c>
      <c r="X907" t="str">
        <f>IF($AS907="","",Config!$B$29)</f>
        <v/>
      </c>
      <c r="Y907" t="str">
        <f>IF($AT907="","",INDEX(Calc!$I$2:$I$1601,$AT907)&amp;" - "&amp;INDEX(Calc!$D$2:$D$1601,$AT907)&amp;" koli")</f>
        <v/>
      </c>
      <c r="Z907" t="str">
        <f>IF($AS907="","",Config!$B$21)</f>
        <v/>
      </c>
      <c r="AA907" t="str">
        <f>IF($AS907="","",Config!$B$22)</f>
        <v/>
      </c>
      <c r="AB907" t="str">
        <f>IF($AT907="","",INDEX(Calc!$D$2:$D$1601,$AT907))</f>
        <v/>
      </c>
      <c r="AC907" t="str">
        <f>IF($AT907="","",INDEX(Calc!$G$2:$G$1601,$AT907))</f>
        <v/>
      </c>
      <c r="AD907" t="str">
        <f>IF($AS907="","",Config!$B$23)</f>
        <v/>
      </c>
      <c r="AE907" t="str">
        <f>IF($AS907="","",Config!$B$28)</f>
        <v/>
      </c>
      <c r="AF907" t="str">
        <f t="shared" si="86"/>
        <v/>
      </c>
      <c r="AG907" t="str">
        <f t="shared" si="87"/>
        <v/>
      </c>
      <c r="AH907" t="str">
        <f t="shared" si="88"/>
        <v/>
      </c>
      <c r="AI907" t="str">
        <f>IF($AG907="","",SUMIF($AG$2:$AG907,$AG907,$AH$2:$AH907))</f>
        <v/>
      </c>
      <c r="AJ907" t="str">
        <f>IF('TMP Paste'!$F907="","",IF('TMP Paste'!$B907="",$AJ906,'TMP Paste'!$B907))</f>
        <v/>
      </c>
      <c r="AK907" t="str">
        <f>IF('TMP Paste'!$F907="","",N('TMP Paste'!$G907))</f>
        <v/>
      </c>
      <c r="AL907" t="str">
        <f>IF('TMP Paste'!$F907="","",IF('TMP Paste'!$M907="",$AL906,'TMP Paste'!$M907))</f>
        <v/>
      </c>
      <c r="AM907" t="str">
        <f>IF('TMP Paste'!$F907="","",IF('TMP Paste'!$N907="",$AM906,'TMP Paste'!$N907))</f>
        <v/>
      </c>
      <c r="AN907" t="str">
        <f>IF('TMP Paste'!$F907="","",IF('TMP Paste'!$O907="",$AN906,'TMP Paste'!$O907))</f>
        <v/>
      </c>
      <c r="AO907" t="str">
        <f>IF('TMP Paste'!$F907="","",IF('TMP Paste'!$P907="",$AO906,'TMP Paste'!$P907))</f>
        <v/>
      </c>
      <c r="AP907" t="str">
        <f t="shared" si="89"/>
        <v/>
      </c>
      <c r="AQ907" t="str">
        <f>IF($AS907="","",TRIM(IF(COUNTIFS(Calc!$B$2:$B$1601,ROW()-1,Calc!$C$2:$C$1601,"&lt;1")&gt;0,"Ada PO tanpa Koli - cek TMP. ","")&amp;IF(OR($AU907="",$AU907&lt;=0),"Volume kosong/0 - dimensi dikosongkan. ","")&amp;IF(AND($AU907&lt;&gt;"",$AU907&gt;=1000000),"Volume &gt;= 1.000.000 cm3 (di luar aturan) - dimensi dikosongkan. ","")&amp;IF(LEN($R907)&gt;500,"R &gt; 500 karakter.","")))</f>
        <v/>
      </c>
      <c r="AS907" t="str">
        <f>IFERROR(MATCH(ROW()-1,Calc!$J$2:$J$1601,0),"")</f>
        <v/>
      </c>
      <c r="AT907" t="str">
        <f>IFERROR(MATCH(ROW()-1,Calc!$K$2:$K$1601,0),"")</f>
        <v/>
      </c>
      <c r="AU907" t="str">
        <f>IF($AS907="","",IFERROR(INDEX('TMP Paste'!$D$2:$D$1601,$AS907)*1000000/$AB907,""))</f>
        <v/>
      </c>
    </row>
    <row r="908" spans="1:47">
      <c r="A908" t="str">
        <f>IF($AS908="","",INDEX('TMP Paste'!$B$2:$B$1601,$AS908))</f>
        <v/>
      </c>
      <c r="B908" t="str">
        <f>IF($AS908="","",Config!$B$14)</f>
        <v/>
      </c>
      <c r="C908" t="str">
        <f>IF($AS908="","",Config!$B$15)</f>
        <v/>
      </c>
      <c r="D908" t="str">
        <f>IF($AS908="","",INDEX('TMP Paste'!$B$2:$B$1601,$AS908))</f>
        <v/>
      </c>
      <c r="E908" t="str">
        <f>IF($AS908="","",Config!$B$27)</f>
        <v/>
      </c>
      <c r="F908" t="str">
        <f>IF($AS908="","",Config!$B$9)</f>
        <v/>
      </c>
      <c r="G908" t="str">
        <f>IF($AS908="","",Config!$B$10)</f>
        <v/>
      </c>
      <c r="H908" t="str">
        <f>IF($AS908="","",Config!$B$11)</f>
        <v/>
      </c>
      <c r="I908" t="str">
        <f>IF($AS908="","",Config!$B$16)</f>
        <v/>
      </c>
      <c r="J908" t="str">
        <f>IF($AS908="","",INDEX('TMP Paste'!$A$2:$A$1601,$AS908))</f>
        <v/>
      </c>
      <c r="K908" t="str">
        <f>IF($AS908="","",INDEX('TMP Paste'!$L$2:$L$1601,$AS908))</f>
        <v/>
      </c>
      <c r="L908" t="str">
        <f>IF($AS908="","",INDEX('TMP Paste'!$I$2:$I$1601,$AS908))</f>
        <v/>
      </c>
      <c r="M908" t="str">
        <f>IF($AS908="","",Config!$B$16)</f>
        <v/>
      </c>
      <c r="N908" t="str">
        <f t="shared" si="84"/>
        <v/>
      </c>
      <c r="O908" t="str">
        <f>IF($AS908="","",INDEX('TMP Paste'!$K$2:$K$1601,$AS908))</f>
        <v/>
      </c>
      <c r="P908" t="str">
        <f t="shared" si="85"/>
        <v/>
      </c>
      <c r="Q908" t="str">
        <f>IF($AS908="","",INDEX('TMP Paste'!$J$2:$J$1601,$AS908))</f>
        <v/>
      </c>
      <c r="R908" t="str">
        <f>IF($AS908="","",Config!$B$24)</f>
        <v/>
      </c>
      <c r="S908" t="str">
        <f ca="1">IF($AS908="","",TEXT(Config!$B$4,"yyyy-mm-dd"))</f>
        <v/>
      </c>
      <c r="T908" t="str">
        <f>IF($AS908="","",Config!$B$17)</f>
        <v/>
      </c>
      <c r="U908" t="str">
        <f>IF($AS908="","",Config!$B$18)</f>
        <v/>
      </c>
      <c r="V908" t="str">
        <f>IF($AS908="","",Config!$B$19)</f>
        <v/>
      </c>
      <c r="W908" t="str">
        <f>IF($AS908="","",INDEX('TMP Paste'!$C$2:$C$1601,$AS908))</f>
        <v/>
      </c>
      <c r="X908" t="str">
        <f>IF($AS908="","",Config!$B$29)</f>
        <v/>
      </c>
      <c r="Y908" t="str">
        <f>IF($AT908="","",INDEX(Calc!$I$2:$I$1601,$AT908)&amp;" - "&amp;INDEX(Calc!$D$2:$D$1601,$AT908)&amp;" koli")</f>
        <v/>
      </c>
      <c r="Z908" t="str">
        <f>IF($AS908="","",Config!$B$21)</f>
        <v/>
      </c>
      <c r="AA908" t="str">
        <f>IF($AS908="","",Config!$B$22)</f>
        <v/>
      </c>
      <c r="AB908" t="str">
        <f>IF($AT908="","",INDEX(Calc!$D$2:$D$1601,$AT908))</f>
        <v/>
      </c>
      <c r="AC908" t="str">
        <f>IF($AT908="","",INDEX(Calc!$G$2:$G$1601,$AT908))</f>
        <v/>
      </c>
      <c r="AD908" t="str">
        <f>IF($AS908="","",Config!$B$23)</f>
        <v/>
      </c>
      <c r="AE908" t="str">
        <f>IF($AS908="","",Config!$B$28)</f>
        <v/>
      </c>
      <c r="AF908" t="str">
        <f t="shared" si="86"/>
        <v/>
      </c>
      <c r="AG908" t="str">
        <f t="shared" si="87"/>
        <v/>
      </c>
      <c r="AH908" t="str">
        <f t="shared" si="88"/>
        <v/>
      </c>
      <c r="AI908" t="str">
        <f>IF($AG908="","",SUMIF($AG$2:$AG908,$AG908,$AH$2:$AH908))</f>
        <v/>
      </c>
      <c r="AJ908" t="str">
        <f>IF('TMP Paste'!$F908="","",IF('TMP Paste'!$B908="",$AJ907,'TMP Paste'!$B908))</f>
        <v/>
      </c>
      <c r="AK908" t="str">
        <f>IF('TMP Paste'!$F908="","",N('TMP Paste'!$G908))</f>
        <v/>
      </c>
      <c r="AL908" t="str">
        <f>IF('TMP Paste'!$F908="","",IF('TMP Paste'!$M908="",$AL907,'TMP Paste'!$M908))</f>
        <v/>
      </c>
      <c r="AM908" t="str">
        <f>IF('TMP Paste'!$F908="","",IF('TMP Paste'!$N908="",$AM907,'TMP Paste'!$N908))</f>
        <v/>
      </c>
      <c r="AN908" t="str">
        <f>IF('TMP Paste'!$F908="","",IF('TMP Paste'!$O908="",$AN907,'TMP Paste'!$O908))</f>
        <v/>
      </c>
      <c r="AO908" t="str">
        <f>IF('TMP Paste'!$F908="","",IF('TMP Paste'!$P908="",$AO907,'TMP Paste'!$P908))</f>
        <v/>
      </c>
      <c r="AP908" t="str">
        <f t="shared" si="89"/>
        <v/>
      </c>
      <c r="AQ908" t="str">
        <f>IF($AS908="","",TRIM(IF(COUNTIFS(Calc!$B$2:$B$1601,ROW()-1,Calc!$C$2:$C$1601,"&lt;1")&gt;0,"Ada PO tanpa Koli - cek TMP. ","")&amp;IF(OR($AU908="",$AU908&lt;=0),"Volume kosong/0 - dimensi dikosongkan. ","")&amp;IF(AND($AU908&lt;&gt;"",$AU908&gt;=1000000),"Volume &gt;= 1.000.000 cm3 (di luar aturan) - dimensi dikosongkan. ","")&amp;IF(LEN($R908)&gt;500,"R &gt; 500 karakter.","")))</f>
        <v/>
      </c>
      <c r="AS908" t="str">
        <f>IFERROR(MATCH(ROW()-1,Calc!$J$2:$J$1601,0),"")</f>
        <v/>
      </c>
      <c r="AT908" t="str">
        <f>IFERROR(MATCH(ROW()-1,Calc!$K$2:$K$1601,0),"")</f>
        <v/>
      </c>
      <c r="AU908" t="str">
        <f>IF($AS908="","",IFERROR(INDEX('TMP Paste'!$D$2:$D$1601,$AS908)*1000000/$AB908,""))</f>
        <v/>
      </c>
    </row>
    <row r="909" spans="1:47">
      <c r="A909" t="str">
        <f>IF($AS909="","",INDEX('TMP Paste'!$B$2:$B$1601,$AS909))</f>
        <v/>
      </c>
      <c r="B909" t="str">
        <f>IF($AS909="","",Config!$B$14)</f>
        <v/>
      </c>
      <c r="C909" t="str">
        <f>IF($AS909="","",Config!$B$15)</f>
        <v/>
      </c>
      <c r="D909" t="str">
        <f>IF($AS909="","",INDEX('TMP Paste'!$B$2:$B$1601,$AS909))</f>
        <v/>
      </c>
      <c r="E909" t="str">
        <f>IF($AS909="","",Config!$B$27)</f>
        <v/>
      </c>
      <c r="F909" t="str">
        <f>IF($AS909="","",Config!$B$9)</f>
        <v/>
      </c>
      <c r="G909" t="str">
        <f>IF($AS909="","",Config!$B$10)</f>
        <v/>
      </c>
      <c r="H909" t="str">
        <f>IF($AS909="","",Config!$B$11)</f>
        <v/>
      </c>
      <c r="I909" t="str">
        <f>IF($AS909="","",Config!$B$16)</f>
        <v/>
      </c>
      <c r="J909" t="str">
        <f>IF($AS909="","",INDEX('TMP Paste'!$A$2:$A$1601,$AS909))</f>
        <v/>
      </c>
      <c r="K909" t="str">
        <f>IF($AS909="","",INDEX('TMP Paste'!$L$2:$L$1601,$AS909))</f>
        <v/>
      </c>
      <c r="L909" t="str">
        <f>IF($AS909="","",INDEX('TMP Paste'!$I$2:$I$1601,$AS909))</f>
        <v/>
      </c>
      <c r="M909" t="str">
        <f>IF($AS909="","",Config!$B$16)</f>
        <v/>
      </c>
      <c r="N909" t="str">
        <f t="shared" si="84"/>
        <v/>
      </c>
      <c r="O909" t="str">
        <f>IF($AS909="","",INDEX('TMP Paste'!$K$2:$K$1601,$AS909))</f>
        <v/>
      </c>
      <c r="P909" t="str">
        <f t="shared" si="85"/>
        <v/>
      </c>
      <c r="Q909" t="str">
        <f>IF($AS909="","",INDEX('TMP Paste'!$J$2:$J$1601,$AS909))</f>
        <v/>
      </c>
      <c r="R909" t="str">
        <f>IF($AS909="","",Config!$B$24)</f>
        <v/>
      </c>
      <c r="S909" t="str">
        <f ca="1">IF($AS909="","",TEXT(Config!$B$4,"yyyy-mm-dd"))</f>
        <v/>
      </c>
      <c r="T909" t="str">
        <f>IF($AS909="","",Config!$B$17)</f>
        <v/>
      </c>
      <c r="U909" t="str">
        <f>IF($AS909="","",Config!$B$18)</f>
        <v/>
      </c>
      <c r="V909" t="str">
        <f>IF($AS909="","",Config!$B$19)</f>
        <v/>
      </c>
      <c r="W909" t="str">
        <f>IF($AS909="","",INDEX('TMP Paste'!$C$2:$C$1601,$AS909))</f>
        <v/>
      </c>
      <c r="X909" t="str">
        <f>IF($AS909="","",Config!$B$29)</f>
        <v/>
      </c>
      <c r="Y909" t="str">
        <f>IF($AT909="","",INDEX(Calc!$I$2:$I$1601,$AT909)&amp;" - "&amp;INDEX(Calc!$D$2:$D$1601,$AT909)&amp;" koli")</f>
        <v/>
      </c>
      <c r="Z909" t="str">
        <f>IF($AS909="","",Config!$B$21)</f>
        <v/>
      </c>
      <c r="AA909" t="str">
        <f>IF($AS909="","",Config!$B$22)</f>
        <v/>
      </c>
      <c r="AB909" t="str">
        <f>IF($AT909="","",INDEX(Calc!$D$2:$D$1601,$AT909))</f>
        <v/>
      </c>
      <c r="AC909" t="str">
        <f>IF($AT909="","",INDEX(Calc!$G$2:$G$1601,$AT909))</f>
        <v/>
      </c>
      <c r="AD909" t="str">
        <f>IF($AS909="","",Config!$B$23)</f>
        <v/>
      </c>
      <c r="AE909" t="str">
        <f>IF($AS909="","",Config!$B$28)</f>
        <v/>
      </c>
      <c r="AF909" t="str">
        <f t="shared" si="86"/>
        <v/>
      </c>
      <c r="AG909" t="str">
        <f t="shared" si="87"/>
        <v/>
      </c>
      <c r="AH909" t="str">
        <f t="shared" si="88"/>
        <v/>
      </c>
      <c r="AI909" t="str">
        <f>IF($AG909="","",SUMIF($AG$2:$AG909,$AG909,$AH$2:$AH909))</f>
        <v/>
      </c>
      <c r="AJ909" t="str">
        <f>IF('TMP Paste'!$F909="","",IF('TMP Paste'!$B909="",$AJ908,'TMP Paste'!$B909))</f>
        <v/>
      </c>
      <c r="AK909" t="str">
        <f>IF('TMP Paste'!$F909="","",N('TMP Paste'!$G909))</f>
        <v/>
      </c>
      <c r="AL909" t="str">
        <f>IF('TMP Paste'!$F909="","",IF('TMP Paste'!$M909="",$AL908,'TMP Paste'!$M909))</f>
        <v/>
      </c>
      <c r="AM909" t="str">
        <f>IF('TMP Paste'!$F909="","",IF('TMP Paste'!$N909="",$AM908,'TMP Paste'!$N909))</f>
        <v/>
      </c>
      <c r="AN909" t="str">
        <f>IF('TMP Paste'!$F909="","",IF('TMP Paste'!$O909="",$AN908,'TMP Paste'!$O909))</f>
        <v/>
      </c>
      <c r="AO909" t="str">
        <f>IF('TMP Paste'!$F909="","",IF('TMP Paste'!$P909="",$AO908,'TMP Paste'!$P909))</f>
        <v/>
      </c>
      <c r="AP909" t="str">
        <f t="shared" si="89"/>
        <v/>
      </c>
      <c r="AQ909" t="str">
        <f>IF($AS909="","",TRIM(IF(COUNTIFS(Calc!$B$2:$B$1601,ROW()-1,Calc!$C$2:$C$1601,"&lt;1")&gt;0,"Ada PO tanpa Koli - cek TMP. ","")&amp;IF(OR($AU909="",$AU909&lt;=0),"Volume kosong/0 - dimensi dikosongkan. ","")&amp;IF(AND($AU909&lt;&gt;"",$AU909&gt;=1000000),"Volume &gt;= 1.000.000 cm3 (di luar aturan) - dimensi dikosongkan. ","")&amp;IF(LEN($R909)&gt;500,"R &gt; 500 karakter.","")))</f>
        <v/>
      </c>
      <c r="AS909" t="str">
        <f>IFERROR(MATCH(ROW()-1,Calc!$J$2:$J$1601,0),"")</f>
        <v/>
      </c>
      <c r="AT909" t="str">
        <f>IFERROR(MATCH(ROW()-1,Calc!$K$2:$K$1601,0),"")</f>
        <v/>
      </c>
      <c r="AU909" t="str">
        <f>IF($AS909="","",IFERROR(INDEX('TMP Paste'!$D$2:$D$1601,$AS909)*1000000/$AB909,""))</f>
        <v/>
      </c>
    </row>
    <row r="910" spans="1:47">
      <c r="A910" t="str">
        <f>IF($AS910="","",INDEX('TMP Paste'!$B$2:$B$1601,$AS910))</f>
        <v/>
      </c>
      <c r="B910" t="str">
        <f>IF($AS910="","",Config!$B$14)</f>
        <v/>
      </c>
      <c r="C910" t="str">
        <f>IF($AS910="","",Config!$B$15)</f>
        <v/>
      </c>
      <c r="D910" t="str">
        <f>IF($AS910="","",INDEX('TMP Paste'!$B$2:$B$1601,$AS910))</f>
        <v/>
      </c>
      <c r="E910" t="str">
        <f>IF($AS910="","",Config!$B$27)</f>
        <v/>
      </c>
      <c r="F910" t="str">
        <f>IF($AS910="","",Config!$B$9)</f>
        <v/>
      </c>
      <c r="G910" t="str">
        <f>IF($AS910="","",Config!$B$10)</f>
        <v/>
      </c>
      <c r="H910" t="str">
        <f>IF($AS910="","",Config!$B$11)</f>
        <v/>
      </c>
      <c r="I910" t="str">
        <f>IF($AS910="","",Config!$B$16)</f>
        <v/>
      </c>
      <c r="J910" t="str">
        <f>IF($AS910="","",INDEX('TMP Paste'!$A$2:$A$1601,$AS910))</f>
        <v/>
      </c>
      <c r="K910" t="str">
        <f>IF($AS910="","",INDEX('TMP Paste'!$L$2:$L$1601,$AS910))</f>
        <v/>
      </c>
      <c r="L910" t="str">
        <f>IF($AS910="","",INDEX('TMP Paste'!$I$2:$I$1601,$AS910))</f>
        <v/>
      </c>
      <c r="M910" t="str">
        <f>IF($AS910="","",Config!$B$16)</f>
        <v/>
      </c>
      <c r="N910" t="str">
        <f t="shared" si="84"/>
        <v/>
      </c>
      <c r="O910" t="str">
        <f>IF($AS910="","",INDEX('TMP Paste'!$K$2:$K$1601,$AS910))</f>
        <v/>
      </c>
      <c r="P910" t="str">
        <f t="shared" si="85"/>
        <v/>
      </c>
      <c r="Q910" t="str">
        <f>IF($AS910="","",INDEX('TMP Paste'!$J$2:$J$1601,$AS910))</f>
        <v/>
      </c>
      <c r="R910" t="str">
        <f>IF($AS910="","",Config!$B$24)</f>
        <v/>
      </c>
      <c r="S910" t="str">
        <f ca="1">IF($AS910="","",TEXT(Config!$B$4,"yyyy-mm-dd"))</f>
        <v/>
      </c>
      <c r="T910" t="str">
        <f>IF($AS910="","",Config!$B$17)</f>
        <v/>
      </c>
      <c r="U910" t="str">
        <f>IF($AS910="","",Config!$B$18)</f>
        <v/>
      </c>
      <c r="V910" t="str">
        <f>IF($AS910="","",Config!$B$19)</f>
        <v/>
      </c>
      <c r="W910" t="str">
        <f>IF($AS910="","",INDEX('TMP Paste'!$C$2:$C$1601,$AS910))</f>
        <v/>
      </c>
      <c r="X910" t="str">
        <f>IF($AS910="","",Config!$B$29)</f>
        <v/>
      </c>
      <c r="Y910" t="str">
        <f>IF($AT910="","",INDEX(Calc!$I$2:$I$1601,$AT910)&amp;" - "&amp;INDEX(Calc!$D$2:$D$1601,$AT910)&amp;" koli")</f>
        <v/>
      </c>
      <c r="Z910" t="str">
        <f>IF($AS910="","",Config!$B$21)</f>
        <v/>
      </c>
      <c r="AA910" t="str">
        <f>IF($AS910="","",Config!$B$22)</f>
        <v/>
      </c>
      <c r="AB910" t="str">
        <f>IF($AT910="","",INDEX(Calc!$D$2:$D$1601,$AT910))</f>
        <v/>
      </c>
      <c r="AC910" t="str">
        <f>IF($AT910="","",INDEX(Calc!$G$2:$G$1601,$AT910))</f>
        <v/>
      </c>
      <c r="AD910" t="str">
        <f>IF($AS910="","",Config!$B$23)</f>
        <v/>
      </c>
      <c r="AE910" t="str">
        <f>IF($AS910="","",Config!$B$28)</f>
        <v/>
      </c>
      <c r="AF910" t="str">
        <f t="shared" si="86"/>
        <v/>
      </c>
      <c r="AG910" t="str">
        <f t="shared" si="87"/>
        <v/>
      </c>
      <c r="AH910" t="str">
        <f t="shared" si="88"/>
        <v/>
      </c>
      <c r="AI910" t="str">
        <f>IF($AG910="","",SUMIF($AG$2:$AG910,$AG910,$AH$2:$AH910))</f>
        <v/>
      </c>
      <c r="AJ910" t="str">
        <f>IF('TMP Paste'!$F910="","",IF('TMP Paste'!$B910="",$AJ909,'TMP Paste'!$B910))</f>
        <v/>
      </c>
      <c r="AK910" t="str">
        <f>IF('TMP Paste'!$F910="","",N('TMP Paste'!$G910))</f>
        <v/>
      </c>
      <c r="AL910" t="str">
        <f>IF('TMP Paste'!$F910="","",IF('TMP Paste'!$M910="",$AL909,'TMP Paste'!$M910))</f>
        <v/>
      </c>
      <c r="AM910" t="str">
        <f>IF('TMP Paste'!$F910="","",IF('TMP Paste'!$N910="",$AM909,'TMP Paste'!$N910))</f>
        <v/>
      </c>
      <c r="AN910" t="str">
        <f>IF('TMP Paste'!$F910="","",IF('TMP Paste'!$O910="",$AN909,'TMP Paste'!$O910))</f>
        <v/>
      </c>
      <c r="AO910" t="str">
        <f>IF('TMP Paste'!$F910="","",IF('TMP Paste'!$P910="",$AO909,'TMP Paste'!$P910))</f>
        <v/>
      </c>
      <c r="AP910" t="str">
        <f t="shared" si="89"/>
        <v/>
      </c>
      <c r="AQ910" t="str">
        <f>IF($AS910="","",TRIM(IF(COUNTIFS(Calc!$B$2:$B$1601,ROW()-1,Calc!$C$2:$C$1601,"&lt;1")&gt;0,"Ada PO tanpa Koli - cek TMP. ","")&amp;IF(OR($AU910="",$AU910&lt;=0),"Volume kosong/0 - dimensi dikosongkan. ","")&amp;IF(AND($AU910&lt;&gt;"",$AU910&gt;=1000000),"Volume &gt;= 1.000.000 cm3 (di luar aturan) - dimensi dikosongkan. ","")&amp;IF(LEN($R910)&gt;500,"R &gt; 500 karakter.","")))</f>
        <v/>
      </c>
      <c r="AS910" t="str">
        <f>IFERROR(MATCH(ROW()-1,Calc!$J$2:$J$1601,0),"")</f>
        <v/>
      </c>
      <c r="AT910" t="str">
        <f>IFERROR(MATCH(ROW()-1,Calc!$K$2:$K$1601,0),"")</f>
        <v/>
      </c>
      <c r="AU910" t="str">
        <f>IF($AS910="","",IFERROR(INDEX('TMP Paste'!$D$2:$D$1601,$AS910)*1000000/$AB910,""))</f>
        <v/>
      </c>
    </row>
    <row r="911" spans="1:47">
      <c r="A911" t="str">
        <f>IF($AS911="","",INDEX('TMP Paste'!$B$2:$B$1601,$AS911))</f>
        <v/>
      </c>
      <c r="B911" t="str">
        <f>IF($AS911="","",Config!$B$14)</f>
        <v/>
      </c>
      <c r="C911" t="str">
        <f>IF($AS911="","",Config!$B$15)</f>
        <v/>
      </c>
      <c r="D911" t="str">
        <f>IF($AS911="","",INDEX('TMP Paste'!$B$2:$B$1601,$AS911))</f>
        <v/>
      </c>
      <c r="E911" t="str">
        <f>IF($AS911="","",Config!$B$27)</f>
        <v/>
      </c>
      <c r="F911" t="str">
        <f>IF($AS911="","",Config!$B$9)</f>
        <v/>
      </c>
      <c r="G911" t="str">
        <f>IF($AS911="","",Config!$B$10)</f>
        <v/>
      </c>
      <c r="H911" t="str">
        <f>IF($AS911="","",Config!$B$11)</f>
        <v/>
      </c>
      <c r="I911" t="str">
        <f>IF($AS911="","",Config!$B$16)</f>
        <v/>
      </c>
      <c r="J911" t="str">
        <f>IF($AS911="","",INDEX('TMP Paste'!$A$2:$A$1601,$AS911))</f>
        <v/>
      </c>
      <c r="K911" t="str">
        <f>IF($AS911="","",INDEX('TMP Paste'!$L$2:$L$1601,$AS911))</f>
        <v/>
      </c>
      <c r="L911" t="str">
        <f>IF($AS911="","",INDEX('TMP Paste'!$I$2:$I$1601,$AS911))</f>
        <v/>
      </c>
      <c r="M911" t="str">
        <f>IF($AS911="","",Config!$B$16)</f>
        <v/>
      </c>
      <c r="N911" t="str">
        <f t="shared" si="84"/>
        <v/>
      </c>
      <c r="O911" t="str">
        <f>IF($AS911="","",INDEX('TMP Paste'!$K$2:$K$1601,$AS911))</f>
        <v/>
      </c>
      <c r="P911" t="str">
        <f t="shared" si="85"/>
        <v/>
      </c>
      <c r="Q911" t="str">
        <f>IF($AS911="","",INDEX('TMP Paste'!$J$2:$J$1601,$AS911))</f>
        <v/>
      </c>
      <c r="R911" t="str">
        <f>IF($AS911="","",Config!$B$24)</f>
        <v/>
      </c>
      <c r="S911" t="str">
        <f ca="1">IF($AS911="","",TEXT(Config!$B$4,"yyyy-mm-dd"))</f>
        <v/>
      </c>
      <c r="T911" t="str">
        <f>IF($AS911="","",Config!$B$17)</f>
        <v/>
      </c>
      <c r="U911" t="str">
        <f>IF($AS911="","",Config!$B$18)</f>
        <v/>
      </c>
      <c r="V911" t="str">
        <f>IF($AS911="","",Config!$B$19)</f>
        <v/>
      </c>
      <c r="W911" t="str">
        <f>IF($AS911="","",INDEX('TMP Paste'!$C$2:$C$1601,$AS911))</f>
        <v/>
      </c>
      <c r="X911" t="str">
        <f>IF($AS911="","",Config!$B$29)</f>
        <v/>
      </c>
      <c r="Y911" t="str">
        <f>IF($AT911="","",INDEX(Calc!$I$2:$I$1601,$AT911)&amp;" - "&amp;INDEX(Calc!$D$2:$D$1601,$AT911)&amp;" koli")</f>
        <v/>
      </c>
      <c r="Z911" t="str">
        <f>IF($AS911="","",Config!$B$21)</f>
        <v/>
      </c>
      <c r="AA911" t="str">
        <f>IF($AS911="","",Config!$B$22)</f>
        <v/>
      </c>
      <c r="AB911" t="str">
        <f>IF($AT911="","",INDEX(Calc!$D$2:$D$1601,$AT911))</f>
        <v/>
      </c>
      <c r="AC911" t="str">
        <f>IF($AT911="","",INDEX(Calc!$G$2:$G$1601,$AT911))</f>
        <v/>
      </c>
      <c r="AD911" t="str">
        <f>IF($AS911="","",Config!$B$23)</f>
        <v/>
      </c>
      <c r="AE911" t="str">
        <f>IF($AS911="","",Config!$B$28)</f>
        <v/>
      </c>
      <c r="AF911" t="str">
        <f t="shared" si="86"/>
        <v/>
      </c>
      <c r="AG911" t="str">
        <f t="shared" si="87"/>
        <v/>
      </c>
      <c r="AH911" t="str">
        <f t="shared" si="88"/>
        <v/>
      </c>
      <c r="AI911" t="str">
        <f>IF($AG911="","",SUMIF($AG$2:$AG911,$AG911,$AH$2:$AH911))</f>
        <v/>
      </c>
      <c r="AJ911" t="str">
        <f>IF('TMP Paste'!$F911="","",IF('TMP Paste'!$B911="",$AJ910,'TMP Paste'!$B911))</f>
        <v/>
      </c>
      <c r="AK911" t="str">
        <f>IF('TMP Paste'!$F911="","",N('TMP Paste'!$G911))</f>
        <v/>
      </c>
      <c r="AL911" t="str">
        <f>IF('TMP Paste'!$F911="","",IF('TMP Paste'!$M911="",$AL910,'TMP Paste'!$M911))</f>
        <v/>
      </c>
      <c r="AM911" t="str">
        <f>IF('TMP Paste'!$F911="","",IF('TMP Paste'!$N911="",$AM910,'TMP Paste'!$N911))</f>
        <v/>
      </c>
      <c r="AN911" t="str">
        <f>IF('TMP Paste'!$F911="","",IF('TMP Paste'!$O911="",$AN910,'TMP Paste'!$O911))</f>
        <v/>
      </c>
      <c r="AO911" t="str">
        <f>IF('TMP Paste'!$F911="","",IF('TMP Paste'!$P911="",$AO910,'TMP Paste'!$P911))</f>
        <v/>
      </c>
      <c r="AP911" t="str">
        <f t="shared" si="89"/>
        <v/>
      </c>
      <c r="AQ911" t="str">
        <f>IF($AS911="","",TRIM(IF(COUNTIFS(Calc!$B$2:$B$1601,ROW()-1,Calc!$C$2:$C$1601,"&lt;1")&gt;0,"Ada PO tanpa Koli - cek TMP. ","")&amp;IF(OR($AU911="",$AU911&lt;=0),"Volume kosong/0 - dimensi dikosongkan. ","")&amp;IF(AND($AU911&lt;&gt;"",$AU911&gt;=1000000),"Volume &gt;= 1.000.000 cm3 (di luar aturan) - dimensi dikosongkan. ","")&amp;IF(LEN($R911)&gt;500,"R &gt; 500 karakter.","")))</f>
        <v/>
      </c>
      <c r="AS911" t="str">
        <f>IFERROR(MATCH(ROW()-1,Calc!$J$2:$J$1601,0),"")</f>
        <v/>
      </c>
      <c r="AT911" t="str">
        <f>IFERROR(MATCH(ROW()-1,Calc!$K$2:$K$1601,0),"")</f>
        <v/>
      </c>
      <c r="AU911" t="str">
        <f>IF($AS911="","",IFERROR(INDEX('TMP Paste'!$D$2:$D$1601,$AS911)*1000000/$AB911,""))</f>
        <v/>
      </c>
    </row>
    <row r="912" spans="1:47">
      <c r="A912" t="str">
        <f>IF($AS912="","",INDEX('TMP Paste'!$B$2:$B$1601,$AS912))</f>
        <v/>
      </c>
      <c r="B912" t="str">
        <f>IF($AS912="","",Config!$B$14)</f>
        <v/>
      </c>
      <c r="C912" t="str">
        <f>IF($AS912="","",Config!$B$15)</f>
        <v/>
      </c>
      <c r="D912" t="str">
        <f>IF($AS912="","",INDEX('TMP Paste'!$B$2:$B$1601,$AS912))</f>
        <v/>
      </c>
      <c r="E912" t="str">
        <f>IF($AS912="","",Config!$B$27)</f>
        <v/>
      </c>
      <c r="F912" t="str">
        <f>IF($AS912="","",Config!$B$9)</f>
        <v/>
      </c>
      <c r="G912" t="str">
        <f>IF($AS912="","",Config!$B$10)</f>
        <v/>
      </c>
      <c r="H912" t="str">
        <f>IF($AS912="","",Config!$B$11)</f>
        <v/>
      </c>
      <c r="I912" t="str">
        <f>IF($AS912="","",Config!$B$16)</f>
        <v/>
      </c>
      <c r="J912" t="str">
        <f>IF($AS912="","",INDEX('TMP Paste'!$A$2:$A$1601,$AS912))</f>
        <v/>
      </c>
      <c r="K912" t="str">
        <f>IF($AS912="","",INDEX('TMP Paste'!$L$2:$L$1601,$AS912))</f>
        <v/>
      </c>
      <c r="L912" t="str">
        <f>IF($AS912="","",INDEX('TMP Paste'!$I$2:$I$1601,$AS912))</f>
        <v/>
      </c>
      <c r="M912" t="str">
        <f>IF($AS912="","",Config!$B$16)</f>
        <v/>
      </c>
      <c r="N912" t="str">
        <f t="shared" si="84"/>
        <v/>
      </c>
      <c r="O912" t="str">
        <f>IF($AS912="","",INDEX('TMP Paste'!$K$2:$K$1601,$AS912))</f>
        <v/>
      </c>
      <c r="P912" t="str">
        <f t="shared" si="85"/>
        <v/>
      </c>
      <c r="Q912" t="str">
        <f>IF($AS912="","",INDEX('TMP Paste'!$J$2:$J$1601,$AS912))</f>
        <v/>
      </c>
      <c r="R912" t="str">
        <f>IF($AS912="","",Config!$B$24)</f>
        <v/>
      </c>
      <c r="S912" t="str">
        <f ca="1">IF($AS912="","",TEXT(Config!$B$4,"yyyy-mm-dd"))</f>
        <v/>
      </c>
      <c r="T912" t="str">
        <f>IF($AS912="","",Config!$B$17)</f>
        <v/>
      </c>
      <c r="U912" t="str">
        <f>IF($AS912="","",Config!$B$18)</f>
        <v/>
      </c>
      <c r="V912" t="str">
        <f>IF($AS912="","",Config!$B$19)</f>
        <v/>
      </c>
      <c r="W912" t="str">
        <f>IF($AS912="","",INDEX('TMP Paste'!$C$2:$C$1601,$AS912))</f>
        <v/>
      </c>
      <c r="X912" t="str">
        <f>IF($AS912="","",Config!$B$29)</f>
        <v/>
      </c>
      <c r="Y912" t="str">
        <f>IF($AT912="","",INDEX(Calc!$I$2:$I$1601,$AT912)&amp;" - "&amp;INDEX(Calc!$D$2:$D$1601,$AT912)&amp;" koli")</f>
        <v/>
      </c>
      <c r="Z912" t="str">
        <f>IF($AS912="","",Config!$B$21)</f>
        <v/>
      </c>
      <c r="AA912" t="str">
        <f>IF($AS912="","",Config!$B$22)</f>
        <v/>
      </c>
      <c r="AB912" t="str">
        <f>IF($AT912="","",INDEX(Calc!$D$2:$D$1601,$AT912))</f>
        <v/>
      </c>
      <c r="AC912" t="str">
        <f>IF($AT912="","",INDEX(Calc!$G$2:$G$1601,$AT912))</f>
        <v/>
      </c>
      <c r="AD912" t="str">
        <f>IF($AS912="","",Config!$B$23)</f>
        <v/>
      </c>
      <c r="AE912" t="str">
        <f>IF($AS912="","",Config!$B$28)</f>
        <v/>
      </c>
      <c r="AF912" t="str">
        <f t="shared" si="86"/>
        <v/>
      </c>
      <c r="AG912" t="str">
        <f t="shared" si="87"/>
        <v/>
      </c>
      <c r="AH912" t="str">
        <f t="shared" si="88"/>
        <v/>
      </c>
      <c r="AI912" t="str">
        <f>IF($AG912="","",SUMIF($AG$2:$AG912,$AG912,$AH$2:$AH912))</f>
        <v/>
      </c>
      <c r="AJ912" t="str">
        <f>IF('TMP Paste'!$F912="","",IF('TMP Paste'!$B912="",$AJ911,'TMP Paste'!$B912))</f>
        <v/>
      </c>
      <c r="AK912" t="str">
        <f>IF('TMP Paste'!$F912="","",N('TMP Paste'!$G912))</f>
        <v/>
      </c>
      <c r="AL912" t="str">
        <f>IF('TMP Paste'!$F912="","",IF('TMP Paste'!$M912="",$AL911,'TMP Paste'!$M912))</f>
        <v/>
      </c>
      <c r="AM912" t="str">
        <f>IF('TMP Paste'!$F912="","",IF('TMP Paste'!$N912="",$AM911,'TMP Paste'!$N912))</f>
        <v/>
      </c>
      <c r="AN912" t="str">
        <f>IF('TMP Paste'!$F912="","",IF('TMP Paste'!$O912="",$AN911,'TMP Paste'!$O912))</f>
        <v/>
      </c>
      <c r="AO912" t="str">
        <f>IF('TMP Paste'!$F912="","",IF('TMP Paste'!$P912="",$AO911,'TMP Paste'!$P912))</f>
        <v/>
      </c>
      <c r="AP912" t="str">
        <f t="shared" si="89"/>
        <v/>
      </c>
      <c r="AQ912" t="str">
        <f>IF($AS912="","",TRIM(IF(COUNTIFS(Calc!$B$2:$B$1601,ROW()-1,Calc!$C$2:$C$1601,"&lt;1")&gt;0,"Ada PO tanpa Koli - cek TMP. ","")&amp;IF(OR($AU912="",$AU912&lt;=0),"Volume kosong/0 - dimensi dikosongkan. ","")&amp;IF(AND($AU912&lt;&gt;"",$AU912&gt;=1000000),"Volume &gt;= 1.000.000 cm3 (di luar aturan) - dimensi dikosongkan. ","")&amp;IF(LEN($R912)&gt;500,"R &gt; 500 karakter.","")))</f>
        <v/>
      </c>
      <c r="AS912" t="str">
        <f>IFERROR(MATCH(ROW()-1,Calc!$J$2:$J$1601,0),"")</f>
        <v/>
      </c>
      <c r="AT912" t="str">
        <f>IFERROR(MATCH(ROW()-1,Calc!$K$2:$K$1601,0),"")</f>
        <v/>
      </c>
      <c r="AU912" t="str">
        <f>IF($AS912="","",IFERROR(INDEX('TMP Paste'!$D$2:$D$1601,$AS912)*1000000/$AB912,""))</f>
        <v/>
      </c>
    </row>
    <row r="913" spans="1:47">
      <c r="A913" t="str">
        <f>IF($AS913="","",INDEX('TMP Paste'!$B$2:$B$1601,$AS913))</f>
        <v/>
      </c>
      <c r="B913" t="str">
        <f>IF($AS913="","",Config!$B$14)</f>
        <v/>
      </c>
      <c r="C913" t="str">
        <f>IF($AS913="","",Config!$B$15)</f>
        <v/>
      </c>
      <c r="D913" t="str">
        <f>IF($AS913="","",INDEX('TMP Paste'!$B$2:$B$1601,$AS913))</f>
        <v/>
      </c>
      <c r="E913" t="str">
        <f>IF($AS913="","",Config!$B$27)</f>
        <v/>
      </c>
      <c r="F913" t="str">
        <f>IF($AS913="","",Config!$B$9)</f>
        <v/>
      </c>
      <c r="G913" t="str">
        <f>IF($AS913="","",Config!$B$10)</f>
        <v/>
      </c>
      <c r="H913" t="str">
        <f>IF($AS913="","",Config!$B$11)</f>
        <v/>
      </c>
      <c r="I913" t="str">
        <f>IF($AS913="","",Config!$B$16)</f>
        <v/>
      </c>
      <c r="J913" t="str">
        <f>IF($AS913="","",INDEX('TMP Paste'!$A$2:$A$1601,$AS913))</f>
        <v/>
      </c>
      <c r="K913" t="str">
        <f>IF($AS913="","",INDEX('TMP Paste'!$L$2:$L$1601,$AS913))</f>
        <v/>
      </c>
      <c r="L913" t="str">
        <f>IF($AS913="","",INDEX('TMP Paste'!$I$2:$I$1601,$AS913))</f>
        <v/>
      </c>
      <c r="M913" t="str">
        <f>IF($AS913="","",Config!$B$16)</f>
        <v/>
      </c>
      <c r="N913" t="str">
        <f t="shared" si="84"/>
        <v/>
      </c>
      <c r="O913" t="str">
        <f>IF($AS913="","",INDEX('TMP Paste'!$K$2:$K$1601,$AS913))</f>
        <v/>
      </c>
      <c r="P913" t="str">
        <f t="shared" si="85"/>
        <v/>
      </c>
      <c r="Q913" t="str">
        <f>IF($AS913="","",INDEX('TMP Paste'!$J$2:$J$1601,$AS913))</f>
        <v/>
      </c>
      <c r="R913" t="str">
        <f>IF($AS913="","",Config!$B$24)</f>
        <v/>
      </c>
      <c r="S913" t="str">
        <f ca="1">IF($AS913="","",TEXT(Config!$B$4,"yyyy-mm-dd"))</f>
        <v/>
      </c>
      <c r="T913" t="str">
        <f>IF($AS913="","",Config!$B$17)</f>
        <v/>
      </c>
      <c r="U913" t="str">
        <f>IF($AS913="","",Config!$B$18)</f>
        <v/>
      </c>
      <c r="V913" t="str">
        <f>IF($AS913="","",Config!$B$19)</f>
        <v/>
      </c>
      <c r="W913" t="str">
        <f>IF($AS913="","",INDEX('TMP Paste'!$C$2:$C$1601,$AS913))</f>
        <v/>
      </c>
      <c r="X913" t="str">
        <f>IF($AS913="","",Config!$B$29)</f>
        <v/>
      </c>
      <c r="Y913" t="str">
        <f>IF($AT913="","",INDEX(Calc!$I$2:$I$1601,$AT913)&amp;" - "&amp;INDEX(Calc!$D$2:$D$1601,$AT913)&amp;" koli")</f>
        <v/>
      </c>
      <c r="Z913" t="str">
        <f>IF($AS913="","",Config!$B$21)</f>
        <v/>
      </c>
      <c r="AA913" t="str">
        <f>IF($AS913="","",Config!$B$22)</f>
        <v/>
      </c>
      <c r="AB913" t="str">
        <f>IF($AT913="","",INDEX(Calc!$D$2:$D$1601,$AT913))</f>
        <v/>
      </c>
      <c r="AC913" t="str">
        <f>IF($AT913="","",INDEX(Calc!$G$2:$G$1601,$AT913))</f>
        <v/>
      </c>
      <c r="AD913" t="str">
        <f>IF($AS913="","",Config!$B$23)</f>
        <v/>
      </c>
      <c r="AE913" t="str">
        <f>IF($AS913="","",Config!$B$28)</f>
        <v/>
      </c>
      <c r="AF913" t="str">
        <f t="shared" si="86"/>
        <v/>
      </c>
      <c r="AG913" t="str">
        <f t="shared" si="87"/>
        <v/>
      </c>
      <c r="AH913" t="str">
        <f t="shared" si="88"/>
        <v/>
      </c>
      <c r="AI913" t="str">
        <f>IF($AG913="","",SUMIF($AG$2:$AG913,$AG913,$AH$2:$AH913))</f>
        <v/>
      </c>
      <c r="AJ913" t="str">
        <f>IF('TMP Paste'!$F913="","",IF('TMP Paste'!$B913="",$AJ912,'TMP Paste'!$B913))</f>
        <v/>
      </c>
      <c r="AK913" t="str">
        <f>IF('TMP Paste'!$F913="","",N('TMP Paste'!$G913))</f>
        <v/>
      </c>
      <c r="AL913" t="str">
        <f>IF('TMP Paste'!$F913="","",IF('TMP Paste'!$M913="",$AL912,'TMP Paste'!$M913))</f>
        <v/>
      </c>
      <c r="AM913" t="str">
        <f>IF('TMP Paste'!$F913="","",IF('TMP Paste'!$N913="",$AM912,'TMP Paste'!$N913))</f>
        <v/>
      </c>
      <c r="AN913" t="str">
        <f>IF('TMP Paste'!$F913="","",IF('TMP Paste'!$O913="",$AN912,'TMP Paste'!$O913))</f>
        <v/>
      </c>
      <c r="AO913" t="str">
        <f>IF('TMP Paste'!$F913="","",IF('TMP Paste'!$P913="",$AO912,'TMP Paste'!$P913))</f>
        <v/>
      </c>
      <c r="AP913" t="str">
        <f t="shared" si="89"/>
        <v/>
      </c>
      <c r="AQ913" t="str">
        <f>IF($AS913="","",TRIM(IF(COUNTIFS(Calc!$B$2:$B$1601,ROW()-1,Calc!$C$2:$C$1601,"&lt;1")&gt;0,"Ada PO tanpa Koli - cek TMP. ","")&amp;IF(OR($AU913="",$AU913&lt;=0),"Volume kosong/0 - dimensi dikosongkan. ","")&amp;IF(AND($AU913&lt;&gt;"",$AU913&gt;=1000000),"Volume &gt;= 1.000.000 cm3 (di luar aturan) - dimensi dikosongkan. ","")&amp;IF(LEN($R913)&gt;500,"R &gt; 500 karakter.","")))</f>
        <v/>
      </c>
      <c r="AS913" t="str">
        <f>IFERROR(MATCH(ROW()-1,Calc!$J$2:$J$1601,0),"")</f>
        <v/>
      </c>
      <c r="AT913" t="str">
        <f>IFERROR(MATCH(ROW()-1,Calc!$K$2:$K$1601,0),"")</f>
        <v/>
      </c>
      <c r="AU913" t="str">
        <f>IF($AS913="","",IFERROR(INDEX('TMP Paste'!$D$2:$D$1601,$AS913)*1000000/$AB913,""))</f>
        <v/>
      </c>
    </row>
    <row r="914" spans="1:47">
      <c r="A914" t="str">
        <f>IF($AS914="","",INDEX('TMP Paste'!$B$2:$B$1601,$AS914))</f>
        <v/>
      </c>
      <c r="B914" t="str">
        <f>IF($AS914="","",Config!$B$14)</f>
        <v/>
      </c>
      <c r="C914" t="str">
        <f>IF($AS914="","",Config!$B$15)</f>
        <v/>
      </c>
      <c r="D914" t="str">
        <f>IF($AS914="","",INDEX('TMP Paste'!$B$2:$B$1601,$AS914))</f>
        <v/>
      </c>
      <c r="E914" t="str">
        <f>IF($AS914="","",Config!$B$27)</f>
        <v/>
      </c>
      <c r="F914" t="str">
        <f>IF($AS914="","",Config!$B$9)</f>
        <v/>
      </c>
      <c r="G914" t="str">
        <f>IF($AS914="","",Config!$B$10)</f>
        <v/>
      </c>
      <c r="H914" t="str">
        <f>IF($AS914="","",Config!$B$11)</f>
        <v/>
      </c>
      <c r="I914" t="str">
        <f>IF($AS914="","",Config!$B$16)</f>
        <v/>
      </c>
      <c r="J914" t="str">
        <f>IF($AS914="","",INDEX('TMP Paste'!$A$2:$A$1601,$AS914))</f>
        <v/>
      </c>
      <c r="K914" t="str">
        <f>IF($AS914="","",INDEX('TMP Paste'!$L$2:$L$1601,$AS914))</f>
        <v/>
      </c>
      <c r="L914" t="str">
        <f>IF($AS914="","",INDEX('TMP Paste'!$I$2:$I$1601,$AS914))</f>
        <v/>
      </c>
      <c r="M914" t="str">
        <f>IF($AS914="","",Config!$B$16)</f>
        <v/>
      </c>
      <c r="N914" t="str">
        <f t="shared" si="84"/>
        <v/>
      </c>
      <c r="O914" t="str">
        <f>IF($AS914="","",INDEX('TMP Paste'!$K$2:$K$1601,$AS914))</f>
        <v/>
      </c>
      <c r="P914" t="str">
        <f t="shared" si="85"/>
        <v/>
      </c>
      <c r="Q914" t="str">
        <f>IF($AS914="","",INDEX('TMP Paste'!$J$2:$J$1601,$AS914))</f>
        <v/>
      </c>
      <c r="R914" t="str">
        <f>IF($AS914="","",Config!$B$24)</f>
        <v/>
      </c>
      <c r="S914" t="str">
        <f ca="1">IF($AS914="","",TEXT(Config!$B$4,"yyyy-mm-dd"))</f>
        <v/>
      </c>
      <c r="T914" t="str">
        <f>IF($AS914="","",Config!$B$17)</f>
        <v/>
      </c>
      <c r="U914" t="str">
        <f>IF($AS914="","",Config!$B$18)</f>
        <v/>
      </c>
      <c r="V914" t="str">
        <f>IF($AS914="","",Config!$B$19)</f>
        <v/>
      </c>
      <c r="W914" t="str">
        <f>IF($AS914="","",INDEX('TMP Paste'!$C$2:$C$1601,$AS914))</f>
        <v/>
      </c>
      <c r="X914" t="str">
        <f>IF($AS914="","",Config!$B$29)</f>
        <v/>
      </c>
      <c r="Y914" t="str">
        <f>IF($AT914="","",INDEX(Calc!$I$2:$I$1601,$AT914)&amp;" - "&amp;INDEX(Calc!$D$2:$D$1601,$AT914)&amp;" koli")</f>
        <v/>
      </c>
      <c r="Z914" t="str">
        <f>IF($AS914="","",Config!$B$21)</f>
        <v/>
      </c>
      <c r="AA914" t="str">
        <f>IF($AS914="","",Config!$B$22)</f>
        <v/>
      </c>
      <c r="AB914" t="str">
        <f>IF($AT914="","",INDEX(Calc!$D$2:$D$1601,$AT914))</f>
        <v/>
      </c>
      <c r="AC914" t="str">
        <f>IF($AT914="","",INDEX(Calc!$G$2:$G$1601,$AT914))</f>
        <v/>
      </c>
      <c r="AD914" t="str">
        <f>IF($AS914="","",Config!$B$23)</f>
        <v/>
      </c>
      <c r="AE914" t="str">
        <f>IF($AS914="","",Config!$B$28)</f>
        <v/>
      </c>
      <c r="AF914" t="str">
        <f t="shared" si="86"/>
        <v/>
      </c>
      <c r="AG914" t="str">
        <f t="shared" si="87"/>
        <v/>
      </c>
      <c r="AH914" t="str">
        <f t="shared" si="88"/>
        <v/>
      </c>
      <c r="AI914" t="str">
        <f>IF($AG914="","",SUMIF($AG$2:$AG914,$AG914,$AH$2:$AH914))</f>
        <v/>
      </c>
      <c r="AJ914" t="str">
        <f>IF('TMP Paste'!$F914="","",IF('TMP Paste'!$B914="",$AJ913,'TMP Paste'!$B914))</f>
        <v/>
      </c>
      <c r="AK914" t="str">
        <f>IF('TMP Paste'!$F914="","",N('TMP Paste'!$G914))</f>
        <v/>
      </c>
      <c r="AL914" t="str">
        <f>IF('TMP Paste'!$F914="","",IF('TMP Paste'!$M914="",$AL913,'TMP Paste'!$M914))</f>
        <v/>
      </c>
      <c r="AM914" t="str">
        <f>IF('TMP Paste'!$F914="","",IF('TMP Paste'!$N914="",$AM913,'TMP Paste'!$N914))</f>
        <v/>
      </c>
      <c r="AN914" t="str">
        <f>IF('TMP Paste'!$F914="","",IF('TMP Paste'!$O914="",$AN913,'TMP Paste'!$O914))</f>
        <v/>
      </c>
      <c r="AO914" t="str">
        <f>IF('TMP Paste'!$F914="","",IF('TMP Paste'!$P914="",$AO913,'TMP Paste'!$P914))</f>
        <v/>
      </c>
      <c r="AP914" t="str">
        <f t="shared" si="89"/>
        <v/>
      </c>
      <c r="AQ914" t="str">
        <f>IF($AS914="","",TRIM(IF(COUNTIFS(Calc!$B$2:$B$1601,ROW()-1,Calc!$C$2:$C$1601,"&lt;1")&gt;0,"Ada PO tanpa Koli - cek TMP. ","")&amp;IF(OR($AU914="",$AU914&lt;=0),"Volume kosong/0 - dimensi dikosongkan. ","")&amp;IF(AND($AU914&lt;&gt;"",$AU914&gt;=1000000),"Volume &gt;= 1.000.000 cm3 (di luar aturan) - dimensi dikosongkan. ","")&amp;IF(LEN($R914)&gt;500,"R &gt; 500 karakter.","")))</f>
        <v/>
      </c>
      <c r="AS914" t="str">
        <f>IFERROR(MATCH(ROW()-1,Calc!$J$2:$J$1601,0),"")</f>
        <v/>
      </c>
      <c r="AT914" t="str">
        <f>IFERROR(MATCH(ROW()-1,Calc!$K$2:$K$1601,0),"")</f>
        <v/>
      </c>
      <c r="AU914" t="str">
        <f>IF($AS914="","",IFERROR(INDEX('TMP Paste'!$D$2:$D$1601,$AS914)*1000000/$AB914,""))</f>
        <v/>
      </c>
    </row>
    <row r="915" spans="1:47">
      <c r="A915" t="str">
        <f>IF($AS915="","",INDEX('TMP Paste'!$B$2:$B$1601,$AS915))</f>
        <v/>
      </c>
      <c r="B915" t="str">
        <f>IF($AS915="","",Config!$B$14)</f>
        <v/>
      </c>
      <c r="C915" t="str">
        <f>IF($AS915="","",Config!$B$15)</f>
        <v/>
      </c>
      <c r="D915" t="str">
        <f>IF($AS915="","",INDEX('TMP Paste'!$B$2:$B$1601,$AS915))</f>
        <v/>
      </c>
      <c r="E915" t="str">
        <f>IF($AS915="","",Config!$B$27)</f>
        <v/>
      </c>
      <c r="F915" t="str">
        <f>IF($AS915="","",Config!$B$9)</f>
        <v/>
      </c>
      <c r="G915" t="str">
        <f>IF($AS915="","",Config!$B$10)</f>
        <v/>
      </c>
      <c r="H915" t="str">
        <f>IF($AS915="","",Config!$B$11)</f>
        <v/>
      </c>
      <c r="I915" t="str">
        <f>IF($AS915="","",Config!$B$16)</f>
        <v/>
      </c>
      <c r="J915" t="str">
        <f>IF($AS915="","",INDEX('TMP Paste'!$A$2:$A$1601,$AS915))</f>
        <v/>
      </c>
      <c r="K915" t="str">
        <f>IF($AS915="","",INDEX('TMP Paste'!$L$2:$L$1601,$AS915))</f>
        <v/>
      </c>
      <c r="L915" t="str">
        <f>IF($AS915="","",INDEX('TMP Paste'!$I$2:$I$1601,$AS915))</f>
        <v/>
      </c>
      <c r="M915" t="str">
        <f>IF($AS915="","",Config!$B$16)</f>
        <v/>
      </c>
      <c r="N915" t="str">
        <f t="shared" si="84"/>
        <v/>
      </c>
      <c r="O915" t="str">
        <f>IF($AS915="","",INDEX('TMP Paste'!$K$2:$K$1601,$AS915))</f>
        <v/>
      </c>
      <c r="P915" t="str">
        <f t="shared" si="85"/>
        <v/>
      </c>
      <c r="Q915" t="str">
        <f>IF($AS915="","",INDEX('TMP Paste'!$J$2:$J$1601,$AS915))</f>
        <v/>
      </c>
      <c r="R915" t="str">
        <f>IF($AS915="","",Config!$B$24)</f>
        <v/>
      </c>
      <c r="S915" t="str">
        <f ca="1">IF($AS915="","",TEXT(Config!$B$4,"yyyy-mm-dd"))</f>
        <v/>
      </c>
      <c r="T915" t="str">
        <f>IF($AS915="","",Config!$B$17)</f>
        <v/>
      </c>
      <c r="U915" t="str">
        <f>IF($AS915="","",Config!$B$18)</f>
        <v/>
      </c>
      <c r="V915" t="str">
        <f>IF($AS915="","",Config!$B$19)</f>
        <v/>
      </c>
      <c r="W915" t="str">
        <f>IF($AS915="","",INDEX('TMP Paste'!$C$2:$C$1601,$AS915))</f>
        <v/>
      </c>
      <c r="X915" t="str">
        <f>IF($AS915="","",Config!$B$29)</f>
        <v/>
      </c>
      <c r="Y915" t="str">
        <f>IF($AT915="","",INDEX(Calc!$I$2:$I$1601,$AT915)&amp;" - "&amp;INDEX(Calc!$D$2:$D$1601,$AT915)&amp;" koli")</f>
        <v/>
      </c>
      <c r="Z915" t="str">
        <f>IF($AS915="","",Config!$B$21)</f>
        <v/>
      </c>
      <c r="AA915" t="str">
        <f>IF($AS915="","",Config!$B$22)</f>
        <v/>
      </c>
      <c r="AB915" t="str">
        <f>IF($AT915="","",INDEX(Calc!$D$2:$D$1601,$AT915))</f>
        <v/>
      </c>
      <c r="AC915" t="str">
        <f>IF($AT915="","",INDEX(Calc!$G$2:$G$1601,$AT915))</f>
        <v/>
      </c>
      <c r="AD915" t="str">
        <f>IF($AS915="","",Config!$B$23)</f>
        <v/>
      </c>
      <c r="AE915" t="str">
        <f>IF($AS915="","",Config!$B$28)</f>
        <v/>
      </c>
      <c r="AF915" t="str">
        <f t="shared" si="86"/>
        <v/>
      </c>
      <c r="AG915" t="str">
        <f t="shared" si="87"/>
        <v/>
      </c>
      <c r="AH915" t="str">
        <f t="shared" si="88"/>
        <v/>
      </c>
      <c r="AI915" t="str">
        <f>IF($AG915="","",SUMIF($AG$2:$AG915,$AG915,$AH$2:$AH915))</f>
        <v/>
      </c>
      <c r="AJ915" t="str">
        <f>IF('TMP Paste'!$F915="","",IF('TMP Paste'!$B915="",$AJ914,'TMP Paste'!$B915))</f>
        <v/>
      </c>
      <c r="AK915" t="str">
        <f>IF('TMP Paste'!$F915="","",N('TMP Paste'!$G915))</f>
        <v/>
      </c>
      <c r="AL915" t="str">
        <f>IF('TMP Paste'!$F915="","",IF('TMP Paste'!$M915="",$AL914,'TMP Paste'!$M915))</f>
        <v/>
      </c>
      <c r="AM915" t="str">
        <f>IF('TMP Paste'!$F915="","",IF('TMP Paste'!$N915="",$AM914,'TMP Paste'!$N915))</f>
        <v/>
      </c>
      <c r="AN915" t="str">
        <f>IF('TMP Paste'!$F915="","",IF('TMP Paste'!$O915="",$AN914,'TMP Paste'!$O915))</f>
        <v/>
      </c>
      <c r="AO915" t="str">
        <f>IF('TMP Paste'!$F915="","",IF('TMP Paste'!$P915="",$AO914,'TMP Paste'!$P915))</f>
        <v/>
      </c>
      <c r="AP915" t="str">
        <f t="shared" si="89"/>
        <v/>
      </c>
      <c r="AQ915" t="str">
        <f>IF($AS915="","",TRIM(IF(COUNTIFS(Calc!$B$2:$B$1601,ROW()-1,Calc!$C$2:$C$1601,"&lt;1")&gt;0,"Ada PO tanpa Koli - cek TMP. ","")&amp;IF(OR($AU915="",$AU915&lt;=0),"Volume kosong/0 - dimensi dikosongkan. ","")&amp;IF(AND($AU915&lt;&gt;"",$AU915&gt;=1000000),"Volume &gt;= 1.000.000 cm3 (di luar aturan) - dimensi dikosongkan. ","")&amp;IF(LEN($R915)&gt;500,"R &gt; 500 karakter.","")))</f>
        <v/>
      </c>
      <c r="AS915" t="str">
        <f>IFERROR(MATCH(ROW()-1,Calc!$J$2:$J$1601,0),"")</f>
        <v/>
      </c>
      <c r="AT915" t="str">
        <f>IFERROR(MATCH(ROW()-1,Calc!$K$2:$K$1601,0),"")</f>
        <v/>
      </c>
      <c r="AU915" t="str">
        <f>IF($AS915="","",IFERROR(INDEX('TMP Paste'!$D$2:$D$1601,$AS915)*1000000/$AB915,""))</f>
        <v/>
      </c>
    </row>
    <row r="916" spans="1:47">
      <c r="A916" t="str">
        <f>IF($AS916="","",INDEX('TMP Paste'!$B$2:$B$1601,$AS916))</f>
        <v/>
      </c>
      <c r="B916" t="str">
        <f>IF($AS916="","",Config!$B$14)</f>
        <v/>
      </c>
      <c r="C916" t="str">
        <f>IF($AS916="","",Config!$B$15)</f>
        <v/>
      </c>
      <c r="D916" t="str">
        <f>IF($AS916="","",INDEX('TMP Paste'!$B$2:$B$1601,$AS916))</f>
        <v/>
      </c>
      <c r="E916" t="str">
        <f>IF($AS916="","",Config!$B$27)</f>
        <v/>
      </c>
      <c r="F916" t="str">
        <f>IF($AS916="","",Config!$B$9)</f>
        <v/>
      </c>
      <c r="G916" t="str">
        <f>IF($AS916="","",Config!$B$10)</f>
        <v/>
      </c>
      <c r="H916" t="str">
        <f>IF($AS916="","",Config!$B$11)</f>
        <v/>
      </c>
      <c r="I916" t="str">
        <f>IF($AS916="","",Config!$B$16)</f>
        <v/>
      </c>
      <c r="J916" t="str">
        <f>IF($AS916="","",INDEX('TMP Paste'!$A$2:$A$1601,$AS916))</f>
        <v/>
      </c>
      <c r="K916" t="str">
        <f>IF($AS916="","",INDEX('TMP Paste'!$L$2:$L$1601,$AS916))</f>
        <v/>
      </c>
      <c r="L916" t="str">
        <f>IF($AS916="","",INDEX('TMP Paste'!$I$2:$I$1601,$AS916))</f>
        <v/>
      </c>
      <c r="M916" t="str">
        <f>IF($AS916="","",Config!$B$16)</f>
        <v/>
      </c>
      <c r="N916" t="str">
        <f t="shared" si="84"/>
        <v/>
      </c>
      <c r="O916" t="str">
        <f>IF($AS916="","",INDEX('TMP Paste'!$K$2:$K$1601,$AS916))</f>
        <v/>
      </c>
      <c r="P916" t="str">
        <f t="shared" si="85"/>
        <v/>
      </c>
      <c r="Q916" t="str">
        <f>IF($AS916="","",INDEX('TMP Paste'!$J$2:$J$1601,$AS916))</f>
        <v/>
      </c>
      <c r="R916" t="str">
        <f>IF($AS916="","",Config!$B$24)</f>
        <v/>
      </c>
      <c r="S916" t="str">
        <f ca="1">IF($AS916="","",TEXT(Config!$B$4,"yyyy-mm-dd"))</f>
        <v/>
      </c>
      <c r="T916" t="str">
        <f>IF($AS916="","",Config!$B$17)</f>
        <v/>
      </c>
      <c r="U916" t="str">
        <f>IF($AS916="","",Config!$B$18)</f>
        <v/>
      </c>
      <c r="V916" t="str">
        <f>IF($AS916="","",Config!$B$19)</f>
        <v/>
      </c>
      <c r="W916" t="str">
        <f>IF($AS916="","",INDEX('TMP Paste'!$C$2:$C$1601,$AS916))</f>
        <v/>
      </c>
      <c r="X916" t="str">
        <f>IF($AS916="","",Config!$B$29)</f>
        <v/>
      </c>
      <c r="Y916" t="str">
        <f>IF($AT916="","",INDEX(Calc!$I$2:$I$1601,$AT916)&amp;" - "&amp;INDEX(Calc!$D$2:$D$1601,$AT916)&amp;" koli")</f>
        <v/>
      </c>
      <c r="Z916" t="str">
        <f>IF($AS916="","",Config!$B$21)</f>
        <v/>
      </c>
      <c r="AA916" t="str">
        <f>IF($AS916="","",Config!$B$22)</f>
        <v/>
      </c>
      <c r="AB916" t="str">
        <f>IF($AT916="","",INDEX(Calc!$D$2:$D$1601,$AT916))</f>
        <v/>
      </c>
      <c r="AC916" t="str">
        <f>IF($AT916="","",INDEX(Calc!$G$2:$G$1601,$AT916))</f>
        <v/>
      </c>
      <c r="AD916" t="str">
        <f>IF($AS916="","",Config!$B$23)</f>
        <v/>
      </c>
      <c r="AE916" t="str">
        <f>IF($AS916="","",Config!$B$28)</f>
        <v/>
      </c>
      <c r="AF916" t="str">
        <f t="shared" si="86"/>
        <v/>
      </c>
      <c r="AG916" t="str">
        <f t="shared" si="87"/>
        <v/>
      </c>
      <c r="AH916" t="str">
        <f t="shared" si="88"/>
        <v/>
      </c>
      <c r="AI916" t="str">
        <f>IF($AG916="","",SUMIF($AG$2:$AG916,$AG916,$AH$2:$AH916))</f>
        <v/>
      </c>
      <c r="AJ916" t="str">
        <f>IF('TMP Paste'!$F916="","",IF('TMP Paste'!$B916="",$AJ915,'TMP Paste'!$B916))</f>
        <v/>
      </c>
      <c r="AK916" t="str">
        <f>IF('TMP Paste'!$F916="","",N('TMP Paste'!$G916))</f>
        <v/>
      </c>
      <c r="AL916" t="str">
        <f>IF('TMP Paste'!$F916="","",IF('TMP Paste'!$M916="",$AL915,'TMP Paste'!$M916))</f>
        <v/>
      </c>
      <c r="AM916" t="str">
        <f>IF('TMP Paste'!$F916="","",IF('TMP Paste'!$N916="",$AM915,'TMP Paste'!$N916))</f>
        <v/>
      </c>
      <c r="AN916" t="str">
        <f>IF('TMP Paste'!$F916="","",IF('TMP Paste'!$O916="",$AN915,'TMP Paste'!$O916))</f>
        <v/>
      </c>
      <c r="AO916" t="str">
        <f>IF('TMP Paste'!$F916="","",IF('TMP Paste'!$P916="",$AO915,'TMP Paste'!$P916))</f>
        <v/>
      </c>
      <c r="AP916" t="str">
        <f t="shared" si="89"/>
        <v/>
      </c>
      <c r="AQ916" t="str">
        <f>IF($AS916="","",TRIM(IF(COUNTIFS(Calc!$B$2:$B$1601,ROW()-1,Calc!$C$2:$C$1601,"&lt;1")&gt;0,"Ada PO tanpa Koli - cek TMP. ","")&amp;IF(OR($AU916="",$AU916&lt;=0),"Volume kosong/0 - dimensi dikosongkan. ","")&amp;IF(AND($AU916&lt;&gt;"",$AU916&gt;=1000000),"Volume &gt;= 1.000.000 cm3 (di luar aturan) - dimensi dikosongkan. ","")&amp;IF(LEN($R916)&gt;500,"R &gt; 500 karakter.","")))</f>
        <v/>
      </c>
      <c r="AS916" t="str">
        <f>IFERROR(MATCH(ROW()-1,Calc!$J$2:$J$1601,0),"")</f>
        <v/>
      </c>
      <c r="AT916" t="str">
        <f>IFERROR(MATCH(ROW()-1,Calc!$K$2:$K$1601,0),"")</f>
        <v/>
      </c>
      <c r="AU916" t="str">
        <f>IF($AS916="","",IFERROR(INDEX('TMP Paste'!$D$2:$D$1601,$AS916)*1000000/$AB916,""))</f>
        <v/>
      </c>
    </row>
    <row r="917" spans="1:47">
      <c r="A917" t="str">
        <f>IF($AS917="","",INDEX('TMP Paste'!$B$2:$B$1601,$AS917))</f>
        <v/>
      </c>
      <c r="B917" t="str">
        <f>IF($AS917="","",Config!$B$14)</f>
        <v/>
      </c>
      <c r="C917" t="str">
        <f>IF($AS917="","",Config!$B$15)</f>
        <v/>
      </c>
      <c r="D917" t="str">
        <f>IF($AS917="","",INDEX('TMP Paste'!$B$2:$B$1601,$AS917))</f>
        <v/>
      </c>
      <c r="E917" t="str">
        <f>IF($AS917="","",Config!$B$27)</f>
        <v/>
      </c>
      <c r="F917" t="str">
        <f>IF($AS917="","",Config!$B$9)</f>
        <v/>
      </c>
      <c r="G917" t="str">
        <f>IF($AS917="","",Config!$B$10)</f>
        <v/>
      </c>
      <c r="H917" t="str">
        <f>IF($AS917="","",Config!$B$11)</f>
        <v/>
      </c>
      <c r="I917" t="str">
        <f>IF($AS917="","",Config!$B$16)</f>
        <v/>
      </c>
      <c r="J917" t="str">
        <f>IF($AS917="","",INDEX('TMP Paste'!$A$2:$A$1601,$AS917))</f>
        <v/>
      </c>
      <c r="K917" t="str">
        <f>IF($AS917="","",INDEX('TMP Paste'!$L$2:$L$1601,$AS917))</f>
        <v/>
      </c>
      <c r="L917" t="str">
        <f>IF($AS917="","",INDEX('TMP Paste'!$I$2:$I$1601,$AS917))</f>
        <v/>
      </c>
      <c r="M917" t="str">
        <f>IF($AS917="","",Config!$B$16)</f>
        <v/>
      </c>
      <c r="N917" t="str">
        <f t="shared" si="84"/>
        <v/>
      </c>
      <c r="O917" t="str">
        <f>IF($AS917="","",INDEX('TMP Paste'!$K$2:$K$1601,$AS917))</f>
        <v/>
      </c>
      <c r="P917" t="str">
        <f t="shared" si="85"/>
        <v/>
      </c>
      <c r="Q917" t="str">
        <f>IF($AS917="","",INDEX('TMP Paste'!$J$2:$J$1601,$AS917))</f>
        <v/>
      </c>
      <c r="R917" t="str">
        <f>IF($AS917="","",Config!$B$24)</f>
        <v/>
      </c>
      <c r="S917" t="str">
        <f ca="1">IF($AS917="","",TEXT(Config!$B$4,"yyyy-mm-dd"))</f>
        <v/>
      </c>
      <c r="T917" t="str">
        <f>IF($AS917="","",Config!$B$17)</f>
        <v/>
      </c>
      <c r="U917" t="str">
        <f>IF($AS917="","",Config!$B$18)</f>
        <v/>
      </c>
      <c r="V917" t="str">
        <f>IF($AS917="","",Config!$B$19)</f>
        <v/>
      </c>
      <c r="W917" t="str">
        <f>IF($AS917="","",INDEX('TMP Paste'!$C$2:$C$1601,$AS917))</f>
        <v/>
      </c>
      <c r="X917" t="str">
        <f>IF($AS917="","",Config!$B$29)</f>
        <v/>
      </c>
      <c r="Y917" t="str">
        <f>IF($AT917="","",INDEX(Calc!$I$2:$I$1601,$AT917)&amp;" - "&amp;INDEX(Calc!$D$2:$D$1601,$AT917)&amp;" koli")</f>
        <v/>
      </c>
      <c r="Z917" t="str">
        <f>IF($AS917="","",Config!$B$21)</f>
        <v/>
      </c>
      <c r="AA917" t="str">
        <f>IF($AS917="","",Config!$B$22)</f>
        <v/>
      </c>
      <c r="AB917" t="str">
        <f>IF($AT917="","",INDEX(Calc!$D$2:$D$1601,$AT917))</f>
        <v/>
      </c>
      <c r="AC917" t="str">
        <f>IF($AT917="","",INDEX(Calc!$G$2:$G$1601,$AT917))</f>
        <v/>
      </c>
      <c r="AD917" t="str">
        <f>IF($AS917="","",Config!$B$23)</f>
        <v/>
      </c>
      <c r="AE917" t="str">
        <f>IF($AS917="","",Config!$B$28)</f>
        <v/>
      </c>
      <c r="AF917" t="str">
        <f t="shared" si="86"/>
        <v/>
      </c>
      <c r="AG917" t="str">
        <f t="shared" si="87"/>
        <v/>
      </c>
      <c r="AH917" t="str">
        <f t="shared" si="88"/>
        <v/>
      </c>
      <c r="AI917" t="str">
        <f>IF($AG917="","",SUMIF($AG$2:$AG917,$AG917,$AH$2:$AH917))</f>
        <v/>
      </c>
      <c r="AJ917" t="str">
        <f>IF('TMP Paste'!$F917="","",IF('TMP Paste'!$B917="",$AJ916,'TMP Paste'!$B917))</f>
        <v/>
      </c>
      <c r="AK917" t="str">
        <f>IF('TMP Paste'!$F917="","",N('TMP Paste'!$G917))</f>
        <v/>
      </c>
      <c r="AL917" t="str">
        <f>IF('TMP Paste'!$F917="","",IF('TMP Paste'!$M917="",$AL916,'TMP Paste'!$M917))</f>
        <v/>
      </c>
      <c r="AM917" t="str">
        <f>IF('TMP Paste'!$F917="","",IF('TMP Paste'!$N917="",$AM916,'TMP Paste'!$N917))</f>
        <v/>
      </c>
      <c r="AN917" t="str">
        <f>IF('TMP Paste'!$F917="","",IF('TMP Paste'!$O917="",$AN916,'TMP Paste'!$O917))</f>
        <v/>
      </c>
      <c r="AO917" t="str">
        <f>IF('TMP Paste'!$F917="","",IF('TMP Paste'!$P917="",$AO916,'TMP Paste'!$P917))</f>
        <v/>
      </c>
      <c r="AP917" t="str">
        <f t="shared" si="89"/>
        <v/>
      </c>
      <c r="AQ917" t="str">
        <f>IF($AS917="","",TRIM(IF(COUNTIFS(Calc!$B$2:$B$1601,ROW()-1,Calc!$C$2:$C$1601,"&lt;1")&gt;0,"Ada PO tanpa Koli - cek TMP. ","")&amp;IF(OR($AU917="",$AU917&lt;=0),"Volume kosong/0 - dimensi dikosongkan. ","")&amp;IF(AND($AU917&lt;&gt;"",$AU917&gt;=1000000),"Volume &gt;= 1.000.000 cm3 (di luar aturan) - dimensi dikosongkan. ","")&amp;IF(LEN($R917)&gt;500,"R &gt; 500 karakter.","")))</f>
        <v/>
      </c>
      <c r="AS917" t="str">
        <f>IFERROR(MATCH(ROW()-1,Calc!$J$2:$J$1601,0),"")</f>
        <v/>
      </c>
      <c r="AT917" t="str">
        <f>IFERROR(MATCH(ROW()-1,Calc!$K$2:$K$1601,0),"")</f>
        <v/>
      </c>
      <c r="AU917" t="str">
        <f>IF($AS917="","",IFERROR(INDEX('TMP Paste'!$D$2:$D$1601,$AS917)*1000000/$AB917,""))</f>
        <v/>
      </c>
    </row>
    <row r="918" spans="1:47">
      <c r="A918" t="str">
        <f>IF($AS918="","",INDEX('TMP Paste'!$B$2:$B$1601,$AS918))</f>
        <v/>
      </c>
      <c r="B918" t="str">
        <f>IF($AS918="","",Config!$B$14)</f>
        <v/>
      </c>
      <c r="C918" t="str">
        <f>IF($AS918="","",Config!$B$15)</f>
        <v/>
      </c>
      <c r="D918" t="str">
        <f>IF($AS918="","",INDEX('TMP Paste'!$B$2:$B$1601,$AS918))</f>
        <v/>
      </c>
      <c r="E918" t="str">
        <f>IF($AS918="","",Config!$B$27)</f>
        <v/>
      </c>
      <c r="F918" t="str">
        <f>IF($AS918="","",Config!$B$9)</f>
        <v/>
      </c>
      <c r="G918" t="str">
        <f>IF($AS918="","",Config!$B$10)</f>
        <v/>
      </c>
      <c r="H918" t="str">
        <f>IF($AS918="","",Config!$B$11)</f>
        <v/>
      </c>
      <c r="I918" t="str">
        <f>IF($AS918="","",Config!$B$16)</f>
        <v/>
      </c>
      <c r="J918" t="str">
        <f>IF($AS918="","",INDEX('TMP Paste'!$A$2:$A$1601,$AS918))</f>
        <v/>
      </c>
      <c r="K918" t="str">
        <f>IF($AS918="","",INDEX('TMP Paste'!$L$2:$L$1601,$AS918))</f>
        <v/>
      </c>
      <c r="L918" t="str">
        <f>IF($AS918="","",INDEX('TMP Paste'!$I$2:$I$1601,$AS918))</f>
        <v/>
      </c>
      <c r="M918" t="str">
        <f>IF($AS918="","",Config!$B$16)</f>
        <v/>
      </c>
      <c r="N918" t="str">
        <f t="shared" si="84"/>
        <v/>
      </c>
      <c r="O918" t="str">
        <f>IF($AS918="","",INDEX('TMP Paste'!$K$2:$K$1601,$AS918))</f>
        <v/>
      </c>
      <c r="P918" t="str">
        <f t="shared" si="85"/>
        <v/>
      </c>
      <c r="Q918" t="str">
        <f>IF($AS918="","",INDEX('TMP Paste'!$J$2:$J$1601,$AS918))</f>
        <v/>
      </c>
      <c r="R918" t="str">
        <f>IF($AS918="","",Config!$B$24)</f>
        <v/>
      </c>
      <c r="S918" t="str">
        <f ca="1">IF($AS918="","",TEXT(Config!$B$4,"yyyy-mm-dd"))</f>
        <v/>
      </c>
      <c r="T918" t="str">
        <f>IF($AS918="","",Config!$B$17)</f>
        <v/>
      </c>
      <c r="U918" t="str">
        <f>IF($AS918="","",Config!$B$18)</f>
        <v/>
      </c>
      <c r="V918" t="str">
        <f>IF($AS918="","",Config!$B$19)</f>
        <v/>
      </c>
      <c r="W918" t="str">
        <f>IF($AS918="","",INDEX('TMP Paste'!$C$2:$C$1601,$AS918))</f>
        <v/>
      </c>
      <c r="X918" t="str">
        <f>IF($AS918="","",Config!$B$29)</f>
        <v/>
      </c>
      <c r="Y918" t="str">
        <f>IF($AT918="","",INDEX(Calc!$I$2:$I$1601,$AT918)&amp;" - "&amp;INDEX(Calc!$D$2:$D$1601,$AT918)&amp;" koli")</f>
        <v/>
      </c>
      <c r="Z918" t="str">
        <f>IF($AS918="","",Config!$B$21)</f>
        <v/>
      </c>
      <c r="AA918" t="str">
        <f>IF($AS918="","",Config!$B$22)</f>
        <v/>
      </c>
      <c r="AB918" t="str">
        <f>IF($AT918="","",INDEX(Calc!$D$2:$D$1601,$AT918))</f>
        <v/>
      </c>
      <c r="AC918" t="str">
        <f>IF($AT918="","",INDEX(Calc!$G$2:$G$1601,$AT918))</f>
        <v/>
      </c>
      <c r="AD918" t="str">
        <f>IF($AS918="","",Config!$B$23)</f>
        <v/>
      </c>
      <c r="AE918" t="str">
        <f>IF($AS918="","",Config!$B$28)</f>
        <v/>
      </c>
      <c r="AF918" t="str">
        <f t="shared" si="86"/>
        <v/>
      </c>
      <c r="AG918" t="str">
        <f t="shared" si="87"/>
        <v/>
      </c>
      <c r="AH918" t="str">
        <f t="shared" si="88"/>
        <v/>
      </c>
      <c r="AI918" t="str">
        <f>IF($AG918="","",SUMIF($AG$2:$AG918,$AG918,$AH$2:$AH918))</f>
        <v/>
      </c>
      <c r="AJ918" t="str">
        <f>IF('TMP Paste'!$F918="","",IF('TMP Paste'!$B918="",$AJ917,'TMP Paste'!$B918))</f>
        <v/>
      </c>
      <c r="AK918" t="str">
        <f>IF('TMP Paste'!$F918="","",N('TMP Paste'!$G918))</f>
        <v/>
      </c>
      <c r="AL918" t="str">
        <f>IF('TMP Paste'!$F918="","",IF('TMP Paste'!$M918="",$AL917,'TMP Paste'!$M918))</f>
        <v/>
      </c>
      <c r="AM918" t="str">
        <f>IF('TMP Paste'!$F918="","",IF('TMP Paste'!$N918="",$AM917,'TMP Paste'!$N918))</f>
        <v/>
      </c>
      <c r="AN918" t="str">
        <f>IF('TMP Paste'!$F918="","",IF('TMP Paste'!$O918="",$AN917,'TMP Paste'!$O918))</f>
        <v/>
      </c>
      <c r="AO918" t="str">
        <f>IF('TMP Paste'!$F918="","",IF('TMP Paste'!$P918="",$AO917,'TMP Paste'!$P918))</f>
        <v/>
      </c>
      <c r="AP918" t="str">
        <f t="shared" si="89"/>
        <v/>
      </c>
      <c r="AQ918" t="str">
        <f>IF($AS918="","",TRIM(IF(COUNTIFS(Calc!$B$2:$B$1601,ROW()-1,Calc!$C$2:$C$1601,"&lt;1")&gt;0,"Ada PO tanpa Koli - cek TMP. ","")&amp;IF(OR($AU918="",$AU918&lt;=0),"Volume kosong/0 - dimensi dikosongkan. ","")&amp;IF(AND($AU918&lt;&gt;"",$AU918&gt;=1000000),"Volume &gt;= 1.000.000 cm3 (di luar aturan) - dimensi dikosongkan. ","")&amp;IF(LEN($R918)&gt;500,"R &gt; 500 karakter.","")))</f>
        <v/>
      </c>
      <c r="AS918" t="str">
        <f>IFERROR(MATCH(ROW()-1,Calc!$J$2:$J$1601,0),"")</f>
        <v/>
      </c>
      <c r="AT918" t="str">
        <f>IFERROR(MATCH(ROW()-1,Calc!$K$2:$K$1601,0),"")</f>
        <v/>
      </c>
      <c r="AU918" t="str">
        <f>IF($AS918="","",IFERROR(INDEX('TMP Paste'!$D$2:$D$1601,$AS918)*1000000/$AB918,""))</f>
        <v/>
      </c>
    </row>
    <row r="919" spans="1:47">
      <c r="A919" t="str">
        <f>IF($AS919="","",INDEX('TMP Paste'!$B$2:$B$1601,$AS919))</f>
        <v/>
      </c>
      <c r="B919" t="str">
        <f>IF($AS919="","",Config!$B$14)</f>
        <v/>
      </c>
      <c r="C919" t="str">
        <f>IF($AS919="","",Config!$B$15)</f>
        <v/>
      </c>
      <c r="D919" t="str">
        <f>IF($AS919="","",INDEX('TMP Paste'!$B$2:$B$1601,$AS919))</f>
        <v/>
      </c>
      <c r="E919" t="str">
        <f>IF($AS919="","",Config!$B$27)</f>
        <v/>
      </c>
      <c r="F919" t="str">
        <f>IF($AS919="","",Config!$B$9)</f>
        <v/>
      </c>
      <c r="G919" t="str">
        <f>IF($AS919="","",Config!$B$10)</f>
        <v/>
      </c>
      <c r="H919" t="str">
        <f>IF($AS919="","",Config!$B$11)</f>
        <v/>
      </c>
      <c r="I919" t="str">
        <f>IF($AS919="","",Config!$B$16)</f>
        <v/>
      </c>
      <c r="J919" t="str">
        <f>IF($AS919="","",INDEX('TMP Paste'!$A$2:$A$1601,$AS919))</f>
        <v/>
      </c>
      <c r="K919" t="str">
        <f>IF($AS919="","",INDEX('TMP Paste'!$L$2:$L$1601,$AS919))</f>
        <v/>
      </c>
      <c r="L919" t="str">
        <f>IF($AS919="","",INDEX('TMP Paste'!$I$2:$I$1601,$AS919))</f>
        <v/>
      </c>
      <c r="M919" t="str">
        <f>IF($AS919="","",Config!$B$16)</f>
        <v/>
      </c>
      <c r="N919" t="str">
        <f t="shared" si="84"/>
        <v/>
      </c>
      <c r="O919" t="str">
        <f>IF($AS919="","",INDEX('TMP Paste'!$K$2:$K$1601,$AS919))</f>
        <v/>
      </c>
      <c r="P919" t="str">
        <f t="shared" si="85"/>
        <v/>
      </c>
      <c r="Q919" t="str">
        <f>IF($AS919="","",INDEX('TMP Paste'!$J$2:$J$1601,$AS919))</f>
        <v/>
      </c>
      <c r="R919" t="str">
        <f>IF($AS919="","",Config!$B$24)</f>
        <v/>
      </c>
      <c r="S919" t="str">
        <f ca="1">IF($AS919="","",TEXT(Config!$B$4,"yyyy-mm-dd"))</f>
        <v/>
      </c>
      <c r="T919" t="str">
        <f>IF($AS919="","",Config!$B$17)</f>
        <v/>
      </c>
      <c r="U919" t="str">
        <f>IF($AS919="","",Config!$B$18)</f>
        <v/>
      </c>
      <c r="V919" t="str">
        <f>IF($AS919="","",Config!$B$19)</f>
        <v/>
      </c>
      <c r="W919" t="str">
        <f>IF($AS919="","",INDEX('TMP Paste'!$C$2:$C$1601,$AS919))</f>
        <v/>
      </c>
      <c r="X919" t="str">
        <f>IF($AS919="","",Config!$B$29)</f>
        <v/>
      </c>
      <c r="Y919" t="str">
        <f>IF($AT919="","",INDEX(Calc!$I$2:$I$1601,$AT919)&amp;" - "&amp;INDEX(Calc!$D$2:$D$1601,$AT919)&amp;" koli")</f>
        <v/>
      </c>
      <c r="Z919" t="str">
        <f>IF($AS919="","",Config!$B$21)</f>
        <v/>
      </c>
      <c r="AA919" t="str">
        <f>IF($AS919="","",Config!$B$22)</f>
        <v/>
      </c>
      <c r="AB919" t="str">
        <f>IF($AT919="","",INDEX(Calc!$D$2:$D$1601,$AT919))</f>
        <v/>
      </c>
      <c r="AC919" t="str">
        <f>IF($AT919="","",INDEX(Calc!$G$2:$G$1601,$AT919))</f>
        <v/>
      </c>
      <c r="AD919" t="str">
        <f>IF($AS919="","",Config!$B$23)</f>
        <v/>
      </c>
      <c r="AE919" t="str">
        <f>IF($AS919="","",Config!$B$28)</f>
        <v/>
      </c>
      <c r="AF919" t="str">
        <f t="shared" si="86"/>
        <v/>
      </c>
      <c r="AG919" t="str">
        <f t="shared" si="87"/>
        <v/>
      </c>
      <c r="AH919" t="str">
        <f t="shared" si="88"/>
        <v/>
      </c>
      <c r="AI919" t="str">
        <f>IF($AG919="","",SUMIF($AG$2:$AG919,$AG919,$AH$2:$AH919))</f>
        <v/>
      </c>
      <c r="AJ919" t="str">
        <f>IF('TMP Paste'!$F919="","",IF('TMP Paste'!$B919="",$AJ918,'TMP Paste'!$B919))</f>
        <v/>
      </c>
      <c r="AK919" t="str">
        <f>IF('TMP Paste'!$F919="","",N('TMP Paste'!$G919))</f>
        <v/>
      </c>
      <c r="AL919" t="str">
        <f>IF('TMP Paste'!$F919="","",IF('TMP Paste'!$M919="",$AL918,'TMP Paste'!$M919))</f>
        <v/>
      </c>
      <c r="AM919" t="str">
        <f>IF('TMP Paste'!$F919="","",IF('TMP Paste'!$N919="",$AM918,'TMP Paste'!$N919))</f>
        <v/>
      </c>
      <c r="AN919" t="str">
        <f>IF('TMP Paste'!$F919="","",IF('TMP Paste'!$O919="",$AN918,'TMP Paste'!$O919))</f>
        <v/>
      </c>
      <c r="AO919" t="str">
        <f>IF('TMP Paste'!$F919="","",IF('TMP Paste'!$P919="",$AO918,'TMP Paste'!$P919))</f>
        <v/>
      </c>
      <c r="AP919" t="str">
        <f t="shared" si="89"/>
        <v/>
      </c>
      <c r="AQ919" t="str">
        <f>IF($AS919="","",TRIM(IF(COUNTIFS(Calc!$B$2:$B$1601,ROW()-1,Calc!$C$2:$C$1601,"&lt;1")&gt;0,"Ada PO tanpa Koli - cek TMP. ","")&amp;IF(OR($AU919="",$AU919&lt;=0),"Volume kosong/0 - dimensi dikosongkan. ","")&amp;IF(AND($AU919&lt;&gt;"",$AU919&gt;=1000000),"Volume &gt;= 1.000.000 cm3 (di luar aturan) - dimensi dikosongkan. ","")&amp;IF(LEN($R919)&gt;500,"R &gt; 500 karakter.","")))</f>
        <v/>
      </c>
      <c r="AS919" t="str">
        <f>IFERROR(MATCH(ROW()-1,Calc!$J$2:$J$1601,0),"")</f>
        <v/>
      </c>
      <c r="AT919" t="str">
        <f>IFERROR(MATCH(ROW()-1,Calc!$K$2:$K$1601,0),"")</f>
        <v/>
      </c>
      <c r="AU919" t="str">
        <f>IF($AS919="","",IFERROR(INDEX('TMP Paste'!$D$2:$D$1601,$AS919)*1000000/$AB919,""))</f>
        <v/>
      </c>
    </row>
    <row r="920" spans="1:47">
      <c r="A920" t="str">
        <f>IF($AS920="","",INDEX('TMP Paste'!$B$2:$B$1601,$AS920))</f>
        <v/>
      </c>
      <c r="B920" t="str">
        <f>IF($AS920="","",Config!$B$14)</f>
        <v/>
      </c>
      <c r="C920" t="str">
        <f>IF($AS920="","",Config!$B$15)</f>
        <v/>
      </c>
      <c r="D920" t="str">
        <f>IF($AS920="","",INDEX('TMP Paste'!$B$2:$B$1601,$AS920))</f>
        <v/>
      </c>
      <c r="E920" t="str">
        <f>IF($AS920="","",Config!$B$27)</f>
        <v/>
      </c>
      <c r="F920" t="str">
        <f>IF($AS920="","",Config!$B$9)</f>
        <v/>
      </c>
      <c r="G920" t="str">
        <f>IF($AS920="","",Config!$B$10)</f>
        <v/>
      </c>
      <c r="H920" t="str">
        <f>IF($AS920="","",Config!$B$11)</f>
        <v/>
      </c>
      <c r="I920" t="str">
        <f>IF($AS920="","",Config!$B$16)</f>
        <v/>
      </c>
      <c r="J920" t="str">
        <f>IF($AS920="","",INDEX('TMP Paste'!$A$2:$A$1601,$AS920))</f>
        <v/>
      </c>
      <c r="K920" t="str">
        <f>IF($AS920="","",INDEX('TMP Paste'!$L$2:$L$1601,$AS920))</f>
        <v/>
      </c>
      <c r="L920" t="str">
        <f>IF($AS920="","",INDEX('TMP Paste'!$I$2:$I$1601,$AS920))</f>
        <v/>
      </c>
      <c r="M920" t="str">
        <f>IF($AS920="","",Config!$B$16)</f>
        <v/>
      </c>
      <c r="N920" t="str">
        <f t="shared" si="84"/>
        <v/>
      </c>
      <c r="O920" t="str">
        <f>IF($AS920="","",INDEX('TMP Paste'!$K$2:$K$1601,$AS920))</f>
        <v/>
      </c>
      <c r="P920" t="str">
        <f t="shared" si="85"/>
        <v/>
      </c>
      <c r="Q920" t="str">
        <f>IF($AS920="","",INDEX('TMP Paste'!$J$2:$J$1601,$AS920))</f>
        <v/>
      </c>
      <c r="R920" t="str">
        <f>IF($AS920="","",Config!$B$24)</f>
        <v/>
      </c>
      <c r="S920" t="str">
        <f ca="1">IF($AS920="","",TEXT(Config!$B$4,"yyyy-mm-dd"))</f>
        <v/>
      </c>
      <c r="T920" t="str">
        <f>IF($AS920="","",Config!$B$17)</f>
        <v/>
      </c>
      <c r="U920" t="str">
        <f>IF($AS920="","",Config!$B$18)</f>
        <v/>
      </c>
      <c r="V920" t="str">
        <f>IF($AS920="","",Config!$B$19)</f>
        <v/>
      </c>
      <c r="W920" t="str">
        <f>IF($AS920="","",INDEX('TMP Paste'!$C$2:$C$1601,$AS920))</f>
        <v/>
      </c>
      <c r="X920" t="str">
        <f>IF($AS920="","",Config!$B$29)</f>
        <v/>
      </c>
      <c r="Y920" t="str">
        <f>IF($AT920="","",INDEX(Calc!$I$2:$I$1601,$AT920)&amp;" - "&amp;INDEX(Calc!$D$2:$D$1601,$AT920)&amp;" koli")</f>
        <v/>
      </c>
      <c r="Z920" t="str">
        <f>IF($AS920="","",Config!$B$21)</f>
        <v/>
      </c>
      <c r="AA920" t="str">
        <f>IF($AS920="","",Config!$B$22)</f>
        <v/>
      </c>
      <c r="AB920" t="str">
        <f>IF($AT920="","",INDEX(Calc!$D$2:$D$1601,$AT920))</f>
        <v/>
      </c>
      <c r="AC920" t="str">
        <f>IF($AT920="","",INDEX(Calc!$G$2:$G$1601,$AT920))</f>
        <v/>
      </c>
      <c r="AD920" t="str">
        <f>IF($AS920="","",Config!$B$23)</f>
        <v/>
      </c>
      <c r="AE920" t="str">
        <f>IF($AS920="","",Config!$B$28)</f>
        <v/>
      </c>
      <c r="AF920" t="str">
        <f t="shared" si="86"/>
        <v/>
      </c>
      <c r="AG920" t="str">
        <f t="shared" si="87"/>
        <v/>
      </c>
      <c r="AH920" t="str">
        <f t="shared" si="88"/>
        <v/>
      </c>
      <c r="AI920" t="str">
        <f>IF($AG920="","",SUMIF($AG$2:$AG920,$AG920,$AH$2:$AH920))</f>
        <v/>
      </c>
      <c r="AJ920" t="str">
        <f>IF('TMP Paste'!$F920="","",IF('TMP Paste'!$B920="",$AJ919,'TMP Paste'!$B920))</f>
        <v/>
      </c>
      <c r="AK920" t="str">
        <f>IF('TMP Paste'!$F920="","",N('TMP Paste'!$G920))</f>
        <v/>
      </c>
      <c r="AL920" t="str">
        <f>IF('TMP Paste'!$F920="","",IF('TMP Paste'!$M920="",$AL919,'TMP Paste'!$M920))</f>
        <v/>
      </c>
      <c r="AM920" t="str">
        <f>IF('TMP Paste'!$F920="","",IF('TMP Paste'!$N920="",$AM919,'TMP Paste'!$N920))</f>
        <v/>
      </c>
      <c r="AN920" t="str">
        <f>IF('TMP Paste'!$F920="","",IF('TMP Paste'!$O920="",$AN919,'TMP Paste'!$O920))</f>
        <v/>
      </c>
      <c r="AO920" t="str">
        <f>IF('TMP Paste'!$F920="","",IF('TMP Paste'!$P920="",$AO919,'TMP Paste'!$P920))</f>
        <v/>
      </c>
      <c r="AP920" t="str">
        <f t="shared" si="89"/>
        <v/>
      </c>
      <c r="AQ920" t="str">
        <f>IF($AS920="","",TRIM(IF(COUNTIFS(Calc!$B$2:$B$1601,ROW()-1,Calc!$C$2:$C$1601,"&lt;1")&gt;0,"Ada PO tanpa Koli - cek TMP. ","")&amp;IF(OR($AU920="",$AU920&lt;=0),"Volume kosong/0 - dimensi dikosongkan. ","")&amp;IF(AND($AU920&lt;&gt;"",$AU920&gt;=1000000),"Volume &gt;= 1.000.000 cm3 (di luar aturan) - dimensi dikosongkan. ","")&amp;IF(LEN($R920)&gt;500,"R &gt; 500 karakter.","")))</f>
        <v/>
      </c>
      <c r="AS920" t="str">
        <f>IFERROR(MATCH(ROW()-1,Calc!$J$2:$J$1601,0),"")</f>
        <v/>
      </c>
      <c r="AT920" t="str">
        <f>IFERROR(MATCH(ROW()-1,Calc!$K$2:$K$1601,0),"")</f>
        <v/>
      </c>
      <c r="AU920" t="str">
        <f>IF($AS920="","",IFERROR(INDEX('TMP Paste'!$D$2:$D$1601,$AS920)*1000000/$AB920,""))</f>
        <v/>
      </c>
    </row>
    <row r="921" spans="1:47">
      <c r="A921" t="str">
        <f>IF($AS921="","",INDEX('TMP Paste'!$B$2:$B$1601,$AS921))</f>
        <v/>
      </c>
      <c r="B921" t="str">
        <f>IF($AS921="","",Config!$B$14)</f>
        <v/>
      </c>
      <c r="C921" t="str">
        <f>IF($AS921="","",Config!$B$15)</f>
        <v/>
      </c>
      <c r="D921" t="str">
        <f>IF($AS921="","",INDEX('TMP Paste'!$B$2:$B$1601,$AS921))</f>
        <v/>
      </c>
      <c r="E921" t="str">
        <f>IF($AS921="","",Config!$B$27)</f>
        <v/>
      </c>
      <c r="F921" t="str">
        <f>IF($AS921="","",Config!$B$9)</f>
        <v/>
      </c>
      <c r="G921" t="str">
        <f>IF($AS921="","",Config!$B$10)</f>
        <v/>
      </c>
      <c r="H921" t="str">
        <f>IF($AS921="","",Config!$B$11)</f>
        <v/>
      </c>
      <c r="I921" t="str">
        <f>IF($AS921="","",Config!$B$16)</f>
        <v/>
      </c>
      <c r="J921" t="str">
        <f>IF($AS921="","",INDEX('TMP Paste'!$A$2:$A$1601,$AS921))</f>
        <v/>
      </c>
      <c r="K921" t="str">
        <f>IF($AS921="","",INDEX('TMP Paste'!$L$2:$L$1601,$AS921))</f>
        <v/>
      </c>
      <c r="L921" t="str">
        <f>IF($AS921="","",INDEX('TMP Paste'!$I$2:$I$1601,$AS921))</f>
        <v/>
      </c>
      <c r="M921" t="str">
        <f>IF($AS921="","",Config!$B$16)</f>
        <v/>
      </c>
      <c r="N921" t="str">
        <f t="shared" si="84"/>
        <v/>
      </c>
      <c r="O921" t="str">
        <f>IF($AS921="","",INDEX('TMP Paste'!$K$2:$K$1601,$AS921))</f>
        <v/>
      </c>
      <c r="P921" t="str">
        <f t="shared" si="85"/>
        <v/>
      </c>
      <c r="Q921" t="str">
        <f>IF($AS921="","",INDEX('TMP Paste'!$J$2:$J$1601,$AS921))</f>
        <v/>
      </c>
      <c r="R921" t="str">
        <f>IF($AS921="","",Config!$B$24)</f>
        <v/>
      </c>
      <c r="S921" t="str">
        <f ca="1">IF($AS921="","",TEXT(Config!$B$4,"yyyy-mm-dd"))</f>
        <v/>
      </c>
      <c r="T921" t="str">
        <f>IF($AS921="","",Config!$B$17)</f>
        <v/>
      </c>
      <c r="U921" t="str">
        <f>IF($AS921="","",Config!$B$18)</f>
        <v/>
      </c>
      <c r="V921" t="str">
        <f>IF($AS921="","",Config!$B$19)</f>
        <v/>
      </c>
      <c r="W921" t="str">
        <f>IF($AS921="","",INDEX('TMP Paste'!$C$2:$C$1601,$AS921))</f>
        <v/>
      </c>
      <c r="X921" t="str">
        <f>IF($AS921="","",Config!$B$29)</f>
        <v/>
      </c>
      <c r="Y921" t="str">
        <f>IF($AT921="","",INDEX(Calc!$I$2:$I$1601,$AT921)&amp;" - "&amp;INDEX(Calc!$D$2:$D$1601,$AT921)&amp;" koli")</f>
        <v/>
      </c>
      <c r="Z921" t="str">
        <f>IF($AS921="","",Config!$B$21)</f>
        <v/>
      </c>
      <c r="AA921" t="str">
        <f>IF($AS921="","",Config!$B$22)</f>
        <v/>
      </c>
      <c r="AB921" t="str">
        <f>IF($AT921="","",INDEX(Calc!$D$2:$D$1601,$AT921))</f>
        <v/>
      </c>
      <c r="AC921" t="str">
        <f>IF($AT921="","",INDEX(Calc!$G$2:$G$1601,$AT921))</f>
        <v/>
      </c>
      <c r="AD921" t="str">
        <f>IF($AS921="","",Config!$B$23)</f>
        <v/>
      </c>
      <c r="AE921" t="str">
        <f>IF($AS921="","",Config!$B$28)</f>
        <v/>
      </c>
      <c r="AF921" t="str">
        <f t="shared" si="86"/>
        <v/>
      </c>
      <c r="AG921" t="str">
        <f t="shared" si="87"/>
        <v/>
      </c>
      <c r="AH921" t="str">
        <f t="shared" si="88"/>
        <v/>
      </c>
      <c r="AI921" t="str">
        <f>IF($AG921="","",SUMIF($AG$2:$AG921,$AG921,$AH$2:$AH921))</f>
        <v/>
      </c>
      <c r="AJ921" t="str">
        <f>IF('TMP Paste'!$F921="","",IF('TMP Paste'!$B921="",$AJ920,'TMP Paste'!$B921))</f>
        <v/>
      </c>
      <c r="AK921" t="str">
        <f>IF('TMP Paste'!$F921="","",N('TMP Paste'!$G921))</f>
        <v/>
      </c>
      <c r="AL921" t="str">
        <f>IF('TMP Paste'!$F921="","",IF('TMP Paste'!$M921="",$AL920,'TMP Paste'!$M921))</f>
        <v/>
      </c>
      <c r="AM921" t="str">
        <f>IF('TMP Paste'!$F921="","",IF('TMP Paste'!$N921="",$AM920,'TMP Paste'!$N921))</f>
        <v/>
      </c>
      <c r="AN921" t="str">
        <f>IF('TMP Paste'!$F921="","",IF('TMP Paste'!$O921="",$AN920,'TMP Paste'!$O921))</f>
        <v/>
      </c>
      <c r="AO921" t="str">
        <f>IF('TMP Paste'!$F921="","",IF('TMP Paste'!$P921="",$AO920,'TMP Paste'!$P921))</f>
        <v/>
      </c>
      <c r="AP921" t="str">
        <f t="shared" si="89"/>
        <v/>
      </c>
      <c r="AQ921" t="str">
        <f>IF($AS921="","",TRIM(IF(COUNTIFS(Calc!$B$2:$B$1601,ROW()-1,Calc!$C$2:$C$1601,"&lt;1")&gt;0,"Ada PO tanpa Koli - cek TMP. ","")&amp;IF(OR($AU921="",$AU921&lt;=0),"Volume kosong/0 - dimensi dikosongkan. ","")&amp;IF(AND($AU921&lt;&gt;"",$AU921&gt;=1000000),"Volume &gt;= 1.000.000 cm3 (di luar aturan) - dimensi dikosongkan. ","")&amp;IF(LEN($R921)&gt;500,"R &gt; 500 karakter.","")))</f>
        <v/>
      </c>
      <c r="AS921" t="str">
        <f>IFERROR(MATCH(ROW()-1,Calc!$J$2:$J$1601,0),"")</f>
        <v/>
      </c>
      <c r="AT921" t="str">
        <f>IFERROR(MATCH(ROW()-1,Calc!$K$2:$K$1601,0),"")</f>
        <v/>
      </c>
      <c r="AU921" t="str">
        <f>IF($AS921="","",IFERROR(INDEX('TMP Paste'!$D$2:$D$1601,$AS921)*1000000/$AB921,""))</f>
        <v/>
      </c>
    </row>
    <row r="922" spans="1:47">
      <c r="A922" t="str">
        <f>IF($AS922="","",INDEX('TMP Paste'!$B$2:$B$1601,$AS922))</f>
        <v/>
      </c>
      <c r="B922" t="str">
        <f>IF($AS922="","",Config!$B$14)</f>
        <v/>
      </c>
      <c r="C922" t="str">
        <f>IF($AS922="","",Config!$B$15)</f>
        <v/>
      </c>
      <c r="D922" t="str">
        <f>IF($AS922="","",INDEX('TMP Paste'!$B$2:$B$1601,$AS922))</f>
        <v/>
      </c>
      <c r="E922" t="str">
        <f>IF($AS922="","",Config!$B$27)</f>
        <v/>
      </c>
      <c r="F922" t="str">
        <f>IF($AS922="","",Config!$B$9)</f>
        <v/>
      </c>
      <c r="G922" t="str">
        <f>IF($AS922="","",Config!$B$10)</f>
        <v/>
      </c>
      <c r="H922" t="str">
        <f>IF($AS922="","",Config!$B$11)</f>
        <v/>
      </c>
      <c r="I922" t="str">
        <f>IF($AS922="","",Config!$B$16)</f>
        <v/>
      </c>
      <c r="J922" t="str">
        <f>IF($AS922="","",INDEX('TMP Paste'!$A$2:$A$1601,$AS922))</f>
        <v/>
      </c>
      <c r="K922" t="str">
        <f>IF($AS922="","",INDEX('TMP Paste'!$L$2:$L$1601,$AS922))</f>
        <v/>
      </c>
      <c r="L922" t="str">
        <f>IF($AS922="","",INDEX('TMP Paste'!$I$2:$I$1601,$AS922))</f>
        <v/>
      </c>
      <c r="M922" t="str">
        <f>IF($AS922="","",Config!$B$16)</f>
        <v/>
      </c>
      <c r="N922" t="str">
        <f t="shared" si="84"/>
        <v/>
      </c>
      <c r="O922" t="str">
        <f>IF($AS922="","",INDEX('TMP Paste'!$K$2:$K$1601,$AS922))</f>
        <v/>
      </c>
      <c r="P922" t="str">
        <f t="shared" si="85"/>
        <v/>
      </c>
      <c r="Q922" t="str">
        <f>IF($AS922="","",INDEX('TMP Paste'!$J$2:$J$1601,$AS922))</f>
        <v/>
      </c>
      <c r="R922" t="str">
        <f>IF($AS922="","",Config!$B$24)</f>
        <v/>
      </c>
      <c r="S922" t="str">
        <f ca="1">IF($AS922="","",TEXT(Config!$B$4,"yyyy-mm-dd"))</f>
        <v/>
      </c>
      <c r="T922" t="str">
        <f>IF($AS922="","",Config!$B$17)</f>
        <v/>
      </c>
      <c r="U922" t="str">
        <f>IF($AS922="","",Config!$B$18)</f>
        <v/>
      </c>
      <c r="V922" t="str">
        <f>IF($AS922="","",Config!$B$19)</f>
        <v/>
      </c>
      <c r="W922" t="str">
        <f>IF($AS922="","",INDEX('TMP Paste'!$C$2:$C$1601,$AS922))</f>
        <v/>
      </c>
      <c r="X922" t="str">
        <f>IF($AS922="","",Config!$B$29)</f>
        <v/>
      </c>
      <c r="Y922" t="str">
        <f>IF($AT922="","",INDEX(Calc!$I$2:$I$1601,$AT922)&amp;" - "&amp;INDEX(Calc!$D$2:$D$1601,$AT922)&amp;" koli")</f>
        <v/>
      </c>
      <c r="Z922" t="str">
        <f>IF($AS922="","",Config!$B$21)</f>
        <v/>
      </c>
      <c r="AA922" t="str">
        <f>IF($AS922="","",Config!$B$22)</f>
        <v/>
      </c>
      <c r="AB922" t="str">
        <f>IF($AT922="","",INDEX(Calc!$D$2:$D$1601,$AT922))</f>
        <v/>
      </c>
      <c r="AC922" t="str">
        <f>IF($AT922="","",INDEX(Calc!$G$2:$G$1601,$AT922))</f>
        <v/>
      </c>
      <c r="AD922" t="str">
        <f>IF($AS922="","",Config!$B$23)</f>
        <v/>
      </c>
      <c r="AE922" t="str">
        <f>IF($AS922="","",Config!$B$28)</f>
        <v/>
      </c>
      <c r="AF922" t="str">
        <f t="shared" si="86"/>
        <v/>
      </c>
      <c r="AG922" t="str">
        <f t="shared" si="87"/>
        <v/>
      </c>
      <c r="AH922" t="str">
        <f t="shared" si="88"/>
        <v/>
      </c>
      <c r="AI922" t="str">
        <f>IF($AG922="","",SUMIF($AG$2:$AG922,$AG922,$AH$2:$AH922))</f>
        <v/>
      </c>
      <c r="AJ922" t="str">
        <f>IF('TMP Paste'!$F922="","",IF('TMP Paste'!$B922="",$AJ921,'TMP Paste'!$B922))</f>
        <v/>
      </c>
      <c r="AK922" t="str">
        <f>IF('TMP Paste'!$F922="","",N('TMP Paste'!$G922))</f>
        <v/>
      </c>
      <c r="AL922" t="str">
        <f>IF('TMP Paste'!$F922="","",IF('TMP Paste'!$M922="",$AL921,'TMP Paste'!$M922))</f>
        <v/>
      </c>
      <c r="AM922" t="str">
        <f>IF('TMP Paste'!$F922="","",IF('TMP Paste'!$N922="",$AM921,'TMP Paste'!$N922))</f>
        <v/>
      </c>
      <c r="AN922" t="str">
        <f>IF('TMP Paste'!$F922="","",IF('TMP Paste'!$O922="",$AN921,'TMP Paste'!$O922))</f>
        <v/>
      </c>
      <c r="AO922" t="str">
        <f>IF('TMP Paste'!$F922="","",IF('TMP Paste'!$P922="",$AO921,'TMP Paste'!$P922))</f>
        <v/>
      </c>
      <c r="AP922" t="str">
        <f t="shared" si="89"/>
        <v/>
      </c>
      <c r="AQ922" t="str">
        <f>IF($AS922="","",TRIM(IF(COUNTIFS(Calc!$B$2:$B$1601,ROW()-1,Calc!$C$2:$C$1601,"&lt;1")&gt;0,"Ada PO tanpa Koli - cek TMP. ","")&amp;IF(OR($AU922="",$AU922&lt;=0),"Volume kosong/0 - dimensi dikosongkan. ","")&amp;IF(AND($AU922&lt;&gt;"",$AU922&gt;=1000000),"Volume &gt;= 1.000.000 cm3 (di luar aturan) - dimensi dikosongkan. ","")&amp;IF(LEN($R922)&gt;500,"R &gt; 500 karakter.","")))</f>
        <v/>
      </c>
      <c r="AS922" t="str">
        <f>IFERROR(MATCH(ROW()-1,Calc!$J$2:$J$1601,0),"")</f>
        <v/>
      </c>
      <c r="AT922" t="str">
        <f>IFERROR(MATCH(ROW()-1,Calc!$K$2:$K$1601,0),"")</f>
        <v/>
      </c>
      <c r="AU922" t="str">
        <f>IF($AS922="","",IFERROR(INDEX('TMP Paste'!$D$2:$D$1601,$AS922)*1000000/$AB922,""))</f>
        <v/>
      </c>
    </row>
    <row r="923" spans="1:47">
      <c r="A923" t="str">
        <f>IF($AS923="","",INDEX('TMP Paste'!$B$2:$B$1601,$AS923))</f>
        <v/>
      </c>
      <c r="B923" t="str">
        <f>IF($AS923="","",Config!$B$14)</f>
        <v/>
      </c>
      <c r="C923" t="str">
        <f>IF($AS923="","",Config!$B$15)</f>
        <v/>
      </c>
      <c r="D923" t="str">
        <f>IF($AS923="","",INDEX('TMP Paste'!$B$2:$B$1601,$AS923))</f>
        <v/>
      </c>
      <c r="E923" t="str">
        <f>IF($AS923="","",Config!$B$27)</f>
        <v/>
      </c>
      <c r="F923" t="str">
        <f>IF($AS923="","",Config!$B$9)</f>
        <v/>
      </c>
      <c r="G923" t="str">
        <f>IF($AS923="","",Config!$B$10)</f>
        <v/>
      </c>
      <c r="H923" t="str">
        <f>IF($AS923="","",Config!$B$11)</f>
        <v/>
      </c>
      <c r="I923" t="str">
        <f>IF($AS923="","",Config!$B$16)</f>
        <v/>
      </c>
      <c r="J923" t="str">
        <f>IF($AS923="","",INDEX('TMP Paste'!$A$2:$A$1601,$AS923))</f>
        <v/>
      </c>
      <c r="K923" t="str">
        <f>IF($AS923="","",INDEX('TMP Paste'!$L$2:$L$1601,$AS923))</f>
        <v/>
      </c>
      <c r="L923" t="str">
        <f>IF($AS923="","",INDEX('TMP Paste'!$I$2:$I$1601,$AS923))</f>
        <v/>
      </c>
      <c r="M923" t="str">
        <f>IF($AS923="","",Config!$B$16)</f>
        <v/>
      </c>
      <c r="N923" t="str">
        <f t="shared" si="84"/>
        <v/>
      </c>
      <c r="O923" t="str">
        <f>IF($AS923="","",INDEX('TMP Paste'!$K$2:$K$1601,$AS923))</f>
        <v/>
      </c>
      <c r="P923" t="str">
        <f t="shared" si="85"/>
        <v/>
      </c>
      <c r="Q923" t="str">
        <f>IF($AS923="","",INDEX('TMP Paste'!$J$2:$J$1601,$AS923))</f>
        <v/>
      </c>
      <c r="R923" t="str">
        <f>IF($AS923="","",Config!$B$24)</f>
        <v/>
      </c>
      <c r="S923" t="str">
        <f ca="1">IF($AS923="","",TEXT(Config!$B$4,"yyyy-mm-dd"))</f>
        <v/>
      </c>
      <c r="T923" t="str">
        <f>IF($AS923="","",Config!$B$17)</f>
        <v/>
      </c>
      <c r="U923" t="str">
        <f>IF($AS923="","",Config!$B$18)</f>
        <v/>
      </c>
      <c r="V923" t="str">
        <f>IF($AS923="","",Config!$B$19)</f>
        <v/>
      </c>
      <c r="W923" t="str">
        <f>IF($AS923="","",INDEX('TMP Paste'!$C$2:$C$1601,$AS923))</f>
        <v/>
      </c>
      <c r="X923" t="str">
        <f>IF($AS923="","",Config!$B$29)</f>
        <v/>
      </c>
      <c r="Y923" t="str">
        <f>IF($AT923="","",INDEX(Calc!$I$2:$I$1601,$AT923)&amp;" - "&amp;INDEX(Calc!$D$2:$D$1601,$AT923)&amp;" koli")</f>
        <v/>
      </c>
      <c r="Z923" t="str">
        <f>IF($AS923="","",Config!$B$21)</f>
        <v/>
      </c>
      <c r="AA923" t="str">
        <f>IF($AS923="","",Config!$B$22)</f>
        <v/>
      </c>
      <c r="AB923" t="str">
        <f>IF($AT923="","",INDEX(Calc!$D$2:$D$1601,$AT923))</f>
        <v/>
      </c>
      <c r="AC923" t="str">
        <f>IF($AT923="","",INDEX(Calc!$G$2:$G$1601,$AT923))</f>
        <v/>
      </c>
      <c r="AD923" t="str">
        <f>IF($AS923="","",Config!$B$23)</f>
        <v/>
      </c>
      <c r="AE923" t="str">
        <f>IF($AS923="","",Config!$B$28)</f>
        <v/>
      </c>
      <c r="AF923" t="str">
        <f t="shared" si="86"/>
        <v/>
      </c>
      <c r="AG923" t="str">
        <f t="shared" si="87"/>
        <v/>
      </c>
      <c r="AH923" t="str">
        <f t="shared" si="88"/>
        <v/>
      </c>
      <c r="AI923" t="str">
        <f>IF($AG923="","",SUMIF($AG$2:$AG923,$AG923,$AH$2:$AH923))</f>
        <v/>
      </c>
      <c r="AJ923" t="str">
        <f>IF('TMP Paste'!$F923="","",IF('TMP Paste'!$B923="",$AJ922,'TMP Paste'!$B923))</f>
        <v/>
      </c>
      <c r="AK923" t="str">
        <f>IF('TMP Paste'!$F923="","",N('TMP Paste'!$G923))</f>
        <v/>
      </c>
      <c r="AL923" t="str">
        <f>IF('TMP Paste'!$F923="","",IF('TMP Paste'!$M923="",$AL922,'TMP Paste'!$M923))</f>
        <v/>
      </c>
      <c r="AM923" t="str">
        <f>IF('TMP Paste'!$F923="","",IF('TMP Paste'!$N923="",$AM922,'TMP Paste'!$N923))</f>
        <v/>
      </c>
      <c r="AN923" t="str">
        <f>IF('TMP Paste'!$F923="","",IF('TMP Paste'!$O923="",$AN922,'TMP Paste'!$O923))</f>
        <v/>
      </c>
      <c r="AO923" t="str">
        <f>IF('TMP Paste'!$F923="","",IF('TMP Paste'!$P923="",$AO922,'TMP Paste'!$P923))</f>
        <v/>
      </c>
      <c r="AP923" t="str">
        <f t="shared" si="89"/>
        <v/>
      </c>
      <c r="AQ923" t="str">
        <f>IF($AS923="","",TRIM(IF(COUNTIFS(Calc!$B$2:$B$1601,ROW()-1,Calc!$C$2:$C$1601,"&lt;1")&gt;0,"Ada PO tanpa Koli - cek TMP. ","")&amp;IF(OR($AU923="",$AU923&lt;=0),"Volume kosong/0 - dimensi dikosongkan. ","")&amp;IF(AND($AU923&lt;&gt;"",$AU923&gt;=1000000),"Volume &gt;= 1.000.000 cm3 (di luar aturan) - dimensi dikosongkan. ","")&amp;IF(LEN($R923)&gt;500,"R &gt; 500 karakter.","")))</f>
        <v/>
      </c>
      <c r="AS923" t="str">
        <f>IFERROR(MATCH(ROW()-1,Calc!$J$2:$J$1601,0),"")</f>
        <v/>
      </c>
      <c r="AT923" t="str">
        <f>IFERROR(MATCH(ROW()-1,Calc!$K$2:$K$1601,0),"")</f>
        <v/>
      </c>
      <c r="AU923" t="str">
        <f>IF($AS923="","",IFERROR(INDEX('TMP Paste'!$D$2:$D$1601,$AS923)*1000000/$AB923,""))</f>
        <v/>
      </c>
    </row>
    <row r="924" spans="1:47">
      <c r="A924" t="str">
        <f>IF($AS924="","",INDEX('TMP Paste'!$B$2:$B$1601,$AS924))</f>
        <v/>
      </c>
      <c r="B924" t="str">
        <f>IF($AS924="","",Config!$B$14)</f>
        <v/>
      </c>
      <c r="C924" t="str">
        <f>IF($AS924="","",Config!$B$15)</f>
        <v/>
      </c>
      <c r="D924" t="str">
        <f>IF($AS924="","",INDEX('TMP Paste'!$B$2:$B$1601,$AS924))</f>
        <v/>
      </c>
      <c r="E924" t="str">
        <f>IF($AS924="","",Config!$B$27)</f>
        <v/>
      </c>
      <c r="F924" t="str">
        <f>IF($AS924="","",Config!$B$9)</f>
        <v/>
      </c>
      <c r="G924" t="str">
        <f>IF($AS924="","",Config!$B$10)</f>
        <v/>
      </c>
      <c r="H924" t="str">
        <f>IF($AS924="","",Config!$B$11)</f>
        <v/>
      </c>
      <c r="I924" t="str">
        <f>IF($AS924="","",Config!$B$16)</f>
        <v/>
      </c>
      <c r="J924" t="str">
        <f>IF($AS924="","",INDEX('TMP Paste'!$A$2:$A$1601,$AS924))</f>
        <v/>
      </c>
      <c r="K924" t="str">
        <f>IF($AS924="","",INDEX('TMP Paste'!$L$2:$L$1601,$AS924))</f>
        <v/>
      </c>
      <c r="L924" t="str">
        <f>IF($AS924="","",INDEX('TMP Paste'!$I$2:$I$1601,$AS924))</f>
        <v/>
      </c>
      <c r="M924" t="str">
        <f>IF($AS924="","",Config!$B$16)</f>
        <v/>
      </c>
      <c r="N924" t="str">
        <f t="shared" si="84"/>
        <v/>
      </c>
      <c r="O924" t="str">
        <f>IF($AS924="","",INDEX('TMP Paste'!$K$2:$K$1601,$AS924))</f>
        <v/>
      </c>
      <c r="P924" t="str">
        <f t="shared" si="85"/>
        <v/>
      </c>
      <c r="Q924" t="str">
        <f>IF($AS924="","",INDEX('TMP Paste'!$J$2:$J$1601,$AS924))</f>
        <v/>
      </c>
      <c r="R924" t="str">
        <f>IF($AS924="","",Config!$B$24)</f>
        <v/>
      </c>
      <c r="S924" t="str">
        <f ca="1">IF($AS924="","",TEXT(Config!$B$4,"yyyy-mm-dd"))</f>
        <v/>
      </c>
      <c r="T924" t="str">
        <f>IF($AS924="","",Config!$B$17)</f>
        <v/>
      </c>
      <c r="U924" t="str">
        <f>IF($AS924="","",Config!$B$18)</f>
        <v/>
      </c>
      <c r="V924" t="str">
        <f>IF($AS924="","",Config!$B$19)</f>
        <v/>
      </c>
      <c r="W924" t="str">
        <f>IF($AS924="","",INDEX('TMP Paste'!$C$2:$C$1601,$AS924))</f>
        <v/>
      </c>
      <c r="X924" t="str">
        <f>IF($AS924="","",Config!$B$29)</f>
        <v/>
      </c>
      <c r="Y924" t="str">
        <f>IF($AT924="","",INDEX(Calc!$I$2:$I$1601,$AT924)&amp;" - "&amp;INDEX(Calc!$D$2:$D$1601,$AT924)&amp;" koli")</f>
        <v/>
      </c>
      <c r="Z924" t="str">
        <f>IF($AS924="","",Config!$B$21)</f>
        <v/>
      </c>
      <c r="AA924" t="str">
        <f>IF($AS924="","",Config!$B$22)</f>
        <v/>
      </c>
      <c r="AB924" t="str">
        <f>IF($AT924="","",INDEX(Calc!$D$2:$D$1601,$AT924))</f>
        <v/>
      </c>
      <c r="AC924" t="str">
        <f>IF($AT924="","",INDEX(Calc!$G$2:$G$1601,$AT924))</f>
        <v/>
      </c>
      <c r="AD924" t="str">
        <f>IF($AS924="","",Config!$B$23)</f>
        <v/>
      </c>
      <c r="AE924" t="str">
        <f>IF($AS924="","",Config!$B$28)</f>
        <v/>
      </c>
      <c r="AF924" t="str">
        <f t="shared" si="86"/>
        <v/>
      </c>
      <c r="AG924" t="str">
        <f t="shared" si="87"/>
        <v/>
      </c>
      <c r="AH924" t="str">
        <f t="shared" si="88"/>
        <v/>
      </c>
      <c r="AI924" t="str">
        <f>IF($AG924="","",SUMIF($AG$2:$AG924,$AG924,$AH$2:$AH924))</f>
        <v/>
      </c>
      <c r="AJ924" t="str">
        <f>IF('TMP Paste'!$F924="","",IF('TMP Paste'!$B924="",$AJ923,'TMP Paste'!$B924))</f>
        <v/>
      </c>
      <c r="AK924" t="str">
        <f>IF('TMP Paste'!$F924="","",N('TMP Paste'!$G924))</f>
        <v/>
      </c>
      <c r="AL924" t="str">
        <f>IF('TMP Paste'!$F924="","",IF('TMP Paste'!$M924="",$AL923,'TMP Paste'!$M924))</f>
        <v/>
      </c>
      <c r="AM924" t="str">
        <f>IF('TMP Paste'!$F924="","",IF('TMP Paste'!$N924="",$AM923,'TMP Paste'!$N924))</f>
        <v/>
      </c>
      <c r="AN924" t="str">
        <f>IF('TMP Paste'!$F924="","",IF('TMP Paste'!$O924="",$AN923,'TMP Paste'!$O924))</f>
        <v/>
      </c>
      <c r="AO924" t="str">
        <f>IF('TMP Paste'!$F924="","",IF('TMP Paste'!$P924="",$AO923,'TMP Paste'!$P924))</f>
        <v/>
      </c>
      <c r="AP924" t="str">
        <f t="shared" si="89"/>
        <v/>
      </c>
      <c r="AQ924" t="str">
        <f>IF($AS924="","",TRIM(IF(COUNTIFS(Calc!$B$2:$B$1601,ROW()-1,Calc!$C$2:$C$1601,"&lt;1")&gt;0,"Ada PO tanpa Koli - cek TMP. ","")&amp;IF(OR($AU924="",$AU924&lt;=0),"Volume kosong/0 - dimensi dikosongkan. ","")&amp;IF(AND($AU924&lt;&gt;"",$AU924&gt;=1000000),"Volume &gt;= 1.000.000 cm3 (di luar aturan) - dimensi dikosongkan. ","")&amp;IF(LEN($R924)&gt;500,"R &gt; 500 karakter.","")))</f>
        <v/>
      </c>
      <c r="AS924" t="str">
        <f>IFERROR(MATCH(ROW()-1,Calc!$J$2:$J$1601,0),"")</f>
        <v/>
      </c>
      <c r="AT924" t="str">
        <f>IFERROR(MATCH(ROW()-1,Calc!$K$2:$K$1601,0),"")</f>
        <v/>
      </c>
      <c r="AU924" t="str">
        <f>IF($AS924="","",IFERROR(INDEX('TMP Paste'!$D$2:$D$1601,$AS924)*1000000/$AB924,""))</f>
        <v/>
      </c>
    </row>
    <row r="925" spans="1:47">
      <c r="A925" t="str">
        <f>IF($AS925="","",INDEX('TMP Paste'!$B$2:$B$1601,$AS925))</f>
        <v/>
      </c>
      <c r="B925" t="str">
        <f>IF($AS925="","",Config!$B$14)</f>
        <v/>
      </c>
      <c r="C925" t="str">
        <f>IF($AS925="","",Config!$B$15)</f>
        <v/>
      </c>
      <c r="D925" t="str">
        <f>IF($AS925="","",INDEX('TMP Paste'!$B$2:$B$1601,$AS925))</f>
        <v/>
      </c>
      <c r="E925" t="str">
        <f>IF($AS925="","",Config!$B$27)</f>
        <v/>
      </c>
      <c r="F925" t="str">
        <f>IF($AS925="","",Config!$B$9)</f>
        <v/>
      </c>
      <c r="G925" t="str">
        <f>IF($AS925="","",Config!$B$10)</f>
        <v/>
      </c>
      <c r="H925" t="str">
        <f>IF($AS925="","",Config!$B$11)</f>
        <v/>
      </c>
      <c r="I925" t="str">
        <f>IF($AS925="","",Config!$B$16)</f>
        <v/>
      </c>
      <c r="J925" t="str">
        <f>IF($AS925="","",INDEX('TMP Paste'!$A$2:$A$1601,$AS925))</f>
        <v/>
      </c>
      <c r="K925" t="str">
        <f>IF($AS925="","",INDEX('TMP Paste'!$L$2:$L$1601,$AS925))</f>
        <v/>
      </c>
      <c r="L925" t="str">
        <f>IF($AS925="","",INDEX('TMP Paste'!$I$2:$I$1601,$AS925))</f>
        <v/>
      </c>
      <c r="M925" t="str">
        <f>IF($AS925="","",Config!$B$16)</f>
        <v/>
      </c>
      <c r="N925" t="str">
        <f t="shared" si="84"/>
        <v/>
      </c>
      <c r="O925" t="str">
        <f>IF($AS925="","",INDEX('TMP Paste'!$K$2:$K$1601,$AS925))</f>
        <v/>
      </c>
      <c r="P925" t="str">
        <f t="shared" si="85"/>
        <v/>
      </c>
      <c r="Q925" t="str">
        <f>IF($AS925="","",INDEX('TMP Paste'!$J$2:$J$1601,$AS925))</f>
        <v/>
      </c>
      <c r="R925" t="str">
        <f>IF($AS925="","",Config!$B$24)</f>
        <v/>
      </c>
      <c r="S925" t="str">
        <f ca="1">IF($AS925="","",TEXT(Config!$B$4,"yyyy-mm-dd"))</f>
        <v/>
      </c>
      <c r="T925" t="str">
        <f>IF($AS925="","",Config!$B$17)</f>
        <v/>
      </c>
      <c r="U925" t="str">
        <f>IF($AS925="","",Config!$B$18)</f>
        <v/>
      </c>
      <c r="V925" t="str">
        <f>IF($AS925="","",Config!$B$19)</f>
        <v/>
      </c>
      <c r="W925" t="str">
        <f>IF($AS925="","",INDEX('TMP Paste'!$C$2:$C$1601,$AS925))</f>
        <v/>
      </c>
      <c r="X925" t="str">
        <f>IF($AS925="","",Config!$B$29)</f>
        <v/>
      </c>
      <c r="Y925" t="str">
        <f>IF($AT925="","",INDEX(Calc!$I$2:$I$1601,$AT925)&amp;" - "&amp;INDEX(Calc!$D$2:$D$1601,$AT925)&amp;" koli")</f>
        <v/>
      </c>
      <c r="Z925" t="str">
        <f>IF($AS925="","",Config!$B$21)</f>
        <v/>
      </c>
      <c r="AA925" t="str">
        <f>IF($AS925="","",Config!$B$22)</f>
        <v/>
      </c>
      <c r="AB925" t="str">
        <f>IF($AT925="","",INDEX(Calc!$D$2:$D$1601,$AT925))</f>
        <v/>
      </c>
      <c r="AC925" t="str">
        <f>IF($AT925="","",INDEX(Calc!$G$2:$G$1601,$AT925))</f>
        <v/>
      </c>
      <c r="AD925" t="str">
        <f>IF($AS925="","",Config!$B$23)</f>
        <v/>
      </c>
      <c r="AE925" t="str">
        <f>IF($AS925="","",Config!$B$28)</f>
        <v/>
      </c>
      <c r="AF925" t="str">
        <f t="shared" si="86"/>
        <v/>
      </c>
      <c r="AG925" t="str">
        <f t="shared" si="87"/>
        <v/>
      </c>
      <c r="AH925" t="str">
        <f t="shared" si="88"/>
        <v/>
      </c>
      <c r="AI925" t="str">
        <f>IF($AG925="","",SUMIF($AG$2:$AG925,$AG925,$AH$2:$AH925))</f>
        <v/>
      </c>
      <c r="AJ925" t="str">
        <f>IF('TMP Paste'!$F925="","",IF('TMP Paste'!$B925="",$AJ924,'TMP Paste'!$B925))</f>
        <v/>
      </c>
      <c r="AK925" t="str">
        <f>IF('TMP Paste'!$F925="","",N('TMP Paste'!$G925))</f>
        <v/>
      </c>
      <c r="AL925" t="str">
        <f>IF('TMP Paste'!$F925="","",IF('TMP Paste'!$M925="",$AL924,'TMP Paste'!$M925))</f>
        <v/>
      </c>
      <c r="AM925" t="str">
        <f>IF('TMP Paste'!$F925="","",IF('TMP Paste'!$N925="",$AM924,'TMP Paste'!$N925))</f>
        <v/>
      </c>
      <c r="AN925" t="str">
        <f>IF('TMP Paste'!$F925="","",IF('TMP Paste'!$O925="",$AN924,'TMP Paste'!$O925))</f>
        <v/>
      </c>
      <c r="AO925" t="str">
        <f>IF('TMP Paste'!$F925="","",IF('TMP Paste'!$P925="",$AO924,'TMP Paste'!$P925))</f>
        <v/>
      </c>
      <c r="AP925" t="str">
        <f t="shared" si="89"/>
        <v/>
      </c>
      <c r="AQ925" t="str">
        <f>IF($AS925="","",TRIM(IF(COUNTIFS(Calc!$B$2:$B$1601,ROW()-1,Calc!$C$2:$C$1601,"&lt;1")&gt;0,"Ada PO tanpa Koli - cek TMP. ","")&amp;IF(OR($AU925="",$AU925&lt;=0),"Volume kosong/0 - dimensi dikosongkan. ","")&amp;IF(AND($AU925&lt;&gt;"",$AU925&gt;=1000000),"Volume &gt;= 1.000.000 cm3 (di luar aturan) - dimensi dikosongkan. ","")&amp;IF(LEN($R925)&gt;500,"R &gt; 500 karakter.","")))</f>
        <v/>
      </c>
      <c r="AS925" t="str">
        <f>IFERROR(MATCH(ROW()-1,Calc!$J$2:$J$1601,0),"")</f>
        <v/>
      </c>
      <c r="AT925" t="str">
        <f>IFERROR(MATCH(ROW()-1,Calc!$K$2:$K$1601,0),"")</f>
        <v/>
      </c>
      <c r="AU925" t="str">
        <f>IF($AS925="","",IFERROR(INDEX('TMP Paste'!$D$2:$D$1601,$AS925)*1000000/$AB925,""))</f>
        <v/>
      </c>
    </row>
    <row r="926" spans="1:47">
      <c r="A926" t="str">
        <f>IF($AS926="","",INDEX('TMP Paste'!$B$2:$B$1601,$AS926))</f>
        <v/>
      </c>
      <c r="B926" t="str">
        <f>IF($AS926="","",Config!$B$14)</f>
        <v/>
      </c>
      <c r="C926" t="str">
        <f>IF($AS926="","",Config!$B$15)</f>
        <v/>
      </c>
      <c r="D926" t="str">
        <f>IF($AS926="","",INDEX('TMP Paste'!$B$2:$B$1601,$AS926))</f>
        <v/>
      </c>
      <c r="E926" t="str">
        <f>IF($AS926="","",Config!$B$27)</f>
        <v/>
      </c>
      <c r="F926" t="str">
        <f>IF($AS926="","",Config!$B$9)</f>
        <v/>
      </c>
      <c r="G926" t="str">
        <f>IF($AS926="","",Config!$B$10)</f>
        <v/>
      </c>
      <c r="H926" t="str">
        <f>IF($AS926="","",Config!$B$11)</f>
        <v/>
      </c>
      <c r="I926" t="str">
        <f>IF($AS926="","",Config!$B$16)</f>
        <v/>
      </c>
      <c r="J926" t="str">
        <f>IF($AS926="","",INDEX('TMP Paste'!$A$2:$A$1601,$AS926))</f>
        <v/>
      </c>
      <c r="K926" t="str">
        <f>IF($AS926="","",INDEX('TMP Paste'!$L$2:$L$1601,$AS926))</f>
        <v/>
      </c>
      <c r="L926" t="str">
        <f>IF($AS926="","",INDEX('TMP Paste'!$I$2:$I$1601,$AS926))</f>
        <v/>
      </c>
      <c r="M926" t="str">
        <f>IF($AS926="","",Config!$B$16)</f>
        <v/>
      </c>
      <c r="N926" t="str">
        <f t="shared" si="84"/>
        <v/>
      </c>
      <c r="O926" t="str">
        <f>IF($AS926="","",INDEX('TMP Paste'!$K$2:$K$1601,$AS926))</f>
        <v/>
      </c>
      <c r="P926" t="str">
        <f t="shared" si="85"/>
        <v/>
      </c>
      <c r="Q926" t="str">
        <f>IF($AS926="","",INDEX('TMP Paste'!$J$2:$J$1601,$AS926))</f>
        <v/>
      </c>
      <c r="R926" t="str">
        <f>IF($AS926="","",Config!$B$24)</f>
        <v/>
      </c>
      <c r="S926" t="str">
        <f ca="1">IF($AS926="","",TEXT(Config!$B$4,"yyyy-mm-dd"))</f>
        <v/>
      </c>
      <c r="T926" t="str">
        <f>IF($AS926="","",Config!$B$17)</f>
        <v/>
      </c>
      <c r="U926" t="str">
        <f>IF($AS926="","",Config!$B$18)</f>
        <v/>
      </c>
      <c r="V926" t="str">
        <f>IF($AS926="","",Config!$B$19)</f>
        <v/>
      </c>
      <c r="W926" t="str">
        <f>IF($AS926="","",INDEX('TMP Paste'!$C$2:$C$1601,$AS926))</f>
        <v/>
      </c>
      <c r="X926" t="str">
        <f>IF($AS926="","",Config!$B$29)</f>
        <v/>
      </c>
      <c r="Y926" t="str">
        <f>IF($AT926="","",INDEX(Calc!$I$2:$I$1601,$AT926)&amp;" - "&amp;INDEX(Calc!$D$2:$D$1601,$AT926)&amp;" koli")</f>
        <v/>
      </c>
      <c r="Z926" t="str">
        <f>IF($AS926="","",Config!$B$21)</f>
        <v/>
      </c>
      <c r="AA926" t="str">
        <f>IF($AS926="","",Config!$B$22)</f>
        <v/>
      </c>
      <c r="AB926" t="str">
        <f>IF($AT926="","",INDEX(Calc!$D$2:$D$1601,$AT926))</f>
        <v/>
      </c>
      <c r="AC926" t="str">
        <f>IF($AT926="","",INDEX(Calc!$G$2:$G$1601,$AT926))</f>
        <v/>
      </c>
      <c r="AD926" t="str">
        <f>IF($AS926="","",Config!$B$23)</f>
        <v/>
      </c>
      <c r="AE926" t="str">
        <f>IF($AS926="","",Config!$B$28)</f>
        <v/>
      </c>
      <c r="AF926" t="str">
        <f t="shared" si="86"/>
        <v/>
      </c>
      <c r="AG926" t="str">
        <f t="shared" si="87"/>
        <v/>
      </c>
      <c r="AH926" t="str">
        <f t="shared" si="88"/>
        <v/>
      </c>
      <c r="AI926" t="str">
        <f>IF($AG926="","",SUMIF($AG$2:$AG926,$AG926,$AH$2:$AH926))</f>
        <v/>
      </c>
      <c r="AJ926" t="str">
        <f>IF('TMP Paste'!$F926="","",IF('TMP Paste'!$B926="",$AJ925,'TMP Paste'!$B926))</f>
        <v/>
      </c>
      <c r="AK926" t="str">
        <f>IF('TMP Paste'!$F926="","",N('TMP Paste'!$G926))</f>
        <v/>
      </c>
      <c r="AL926" t="str">
        <f>IF('TMP Paste'!$F926="","",IF('TMP Paste'!$M926="",$AL925,'TMP Paste'!$M926))</f>
        <v/>
      </c>
      <c r="AM926" t="str">
        <f>IF('TMP Paste'!$F926="","",IF('TMP Paste'!$N926="",$AM925,'TMP Paste'!$N926))</f>
        <v/>
      </c>
      <c r="AN926" t="str">
        <f>IF('TMP Paste'!$F926="","",IF('TMP Paste'!$O926="",$AN925,'TMP Paste'!$O926))</f>
        <v/>
      </c>
      <c r="AO926" t="str">
        <f>IF('TMP Paste'!$F926="","",IF('TMP Paste'!$P926="",$AO925,'TMP Paste'!$P926))</f>
        <v/>
      </c>
      <c r="AP926" t="str">
        <f t="shared" si="89"/>
        <v/>
      </c>
      <c r="AQ926" t="str">
        <f>IF($AS926="","",TRIM(IF(COUNTIFS(Calc!$B$2:$B$1601,ROW()-1,Calc!$C$2:$C$1601,"&lt;1")&gt;0,"Ada PO tanpa Koli - cek TMP. ","")&amp;IF(OR($AU926="",$AU926&lt;=0),"Volume kosong/0 - dimensi dikosongkan. ","")&amp;IF(AND($AU926&lt;&gt;"",$AU926&gt;=1000000),"Volume &gt;= 1.000.000 cm3 (di luar aturan) - dimensi dikosongkan. ","")&amp;IF(LEN($R926)&gt;500,"R &gt; 500 karakter.","")))</f>
        <v/>
      </c>
      <c r="AS926" t="str">
        <f>IFERROR(MATCH(ROW()-1,Calc!$J$2:$J$1601,0),"")</f>
        <v/>
      </c>
      <c r="AT926" t="str">
        <f>IFERROR(MATCH(ROW()-1,Calc!$K$2:$K$1601,0),"")</f>
        <v/>
      </c>
      <c r="AU926" t="str">
        <f>IF($AS926="","",IFERROR(INDEX('TMP Paste'!$D$2:$D$1601,$AS926)*1000000/$AB926,""))</f>
        <v/>
      </c>
    </row>
    <row r="927" spans="1:47">
      <c r="A927" t="str">
        <f>IF($AS927="","",INDEX('TMP Paste'!$B$2:$B$1601,$AS927))</f>
        <v/>
      </c>
      <c r="B927" t="str">
        <f>IF($AS927="","",Config!$B$14)</f>
        <v/>
      </c>
      <c r="C927" t="str">
        <f>IF($AS927="","",Config!$B$15)</f>
        <v/>
      </c>
      <c r="D927" t="str">
        <f>IF($AS927="","",INDEX('TMP Paste'!$B$2:$B$1601,$AS927))</f>
        <v/>
      </c>
      <c r="E927" t="str">
        <f>IF($AS927="","",Config!$B$27)</f>
        <v/>
      </c>
      <c r="F927" t="str">
        <f>IF($AS927="","",Config!$B$9)</f>
        <v/>
      </c>
      <c r="G927" t="str">
        <f>IF($AS927="","",Config!$B$10)</f>
        <v/>
      </c>
      <c r="H927" t="str">
        <f>IF($AS927="","",Config!$B$11)</f>
        <v/>
      </c>
      <c r="I927" t="str">
        <f>IF($AS927="","",Config!$B$16)</f>
        <v/>
      </c>
      <c r="J927" t="str">
        <f>IF($AS927="","",INDEX('TMP Paste'!$A$2:$A$1601,$AS927))</f>
        <v/>
      </c>
      <c r="K927" t="str">
        <f>IF($AS927="","",INDEX('TMP Paste'!$L$2:$L$1601,$AS927))</f>
        <v/>
      </c>
      <c r="L927" t="str">
        <f>IF($AS927="","",INDEX('TMP Paste'!$I$2:$I$1601,$AS927))</f>
        <v/>
      </c>
      <c r="M927" t="str">
        <f>IF($AS927="","",Config!$B$16)</f>
        <v/>
      </c>
      <c r="N927" t="str">
        <f t="shared" si="84"/>
        <v/>
      </c>
      <c r="O927" t="str">
        <f>IF($AS927="","",INDEX('TMP Paste'!$K$2:$K$1601,$AS927))</f>
        <v/>
      </c>
      <c r="P927" t="str">
        <f t="shared" si="85"/>
        <v/>
      </c>
      <c r="Q927" t="str">
        <f>IF($AS927="","",INDEX('TMP Paste'!$J$2:$J$1601,$AS927))</f>
        <v/>
      </c>
      <c r="R927" t="str">
        <f>IF($AS927="","",Config!$B$24)</f>
        <v/>
      </c>
      <c r="S927" t="str">
        <f ca="1">IF($AS927="","",TEXT(Config!$B$4,"yyyy-mm-dd"))</f>
        <v/>
      </c>
      <c r="T927" t="str">
        <f>IF($AS927="","",Config!$B$17)</f>
        <v/>
      </c>
      <c r="U927" t="str">
        <f>IF($AS927="","",Config!$B$18)</f>
        <v/>
      </c>
      <c r="V927" t="str">
        <f>IF($AS927="","",Config!$B$19)</f>
        <v/>
      </c>
      <c r="W927" t="str">
        <f>IF($AS927="","",INDEX('TMP Paste'!$C$2:$C$1601,$AS927))</f>
        <v/>
      </c>
      <c r="X927" t="str">
        <f>IF($AS927="","",Config!$B$29)</f>
        <v/>
      </c>
      <c r="Y927" t="str">
        <f>IF($AT927="","",INDEX(Calc!$I$2:$I$1601,$AT927)&amp;" - "&amp;INDEX(Calc!$D$2:$D$1601,$AT927)&amp;" koli")</f>
        <v/>
      </c>
      <c r="Z927" t="str">
        <f>IF($AS927="","",Config!$B$21)</f>
        <v/>
      </c>
      <c r="AA927" t="str">
        <f>IF($AS927="","",Config!$B$22)</f>
        <v/>
      </c>
      <c r="AB927" t="str">
        <f>IF($AT927="","",INDEX(Calc!$D$2:$D$1601,$AT927))</f>
        <v/>
      </c>
      <c r="AC927" t="str">
        <f>IF($AT927="","",INDEX(Calc!$G$2:$G$1601,$AT927))</f>
        <v/>
      </c>
      <c r="AD927" t="str">
        <f>IF($AS927="","",Config!$B$23)</f>
        <v/>
      </c>
      <c r="AE927" t="str">
        <f>IF($AS927="","",Config!$B$28)</f>
        <v/>
      </c>
      <c r="AF927" t="str">
        <f t="shared" si="86"/>
        <v/>
      </c>
      <c r="AG927" t="str">
        <f t="shared" si="87"/>
        <v/>
      </c>
      <c r="AH927" t="str">
        <f t="shared" si="88"/>
        <v/>
      </c>
      <c r="AI927" t="str">
        <f>IF($AG927="","",SUMIF($AG$2:$AG927,$AG927,$AH$2:$AH927))</f>
        <v/>
      </c>
      <c r="AJ927" t="str">
        <f>IF('TMP Paste'!$F927="","",IF('TMP Paste'!$B927="",$AJ926,'TMP Paste'!$B927))</f>
        <v/>
      </c>
      <c r="AK927" t="str">
        <f>IF('TMP Paste'!$F927="","",N('TMP Paste'!$G927))</f>
        <v/>
      </c>
      <c r="AL927" t="str">
        <f>IF('TMP Paste'!$F927="","",IF('TMP Paste'!$M927="",$AL926,'TMP Paste'!$M927))</f>
        <v/>
      </c>
      <c r="AM927" t="str">
        <f>IF('TMP Paste'!$F927="","",IF('TMP Paste'!$N927="",$AM926,'TMP Paste'!$N927))</f>
        <v/>
      </c>
      <c r="AN927" t="str">
        <f>IF('TMP Paste'!$F927="","",IF('TMP Paste'!$O927="",$AN926,'TMP Paste'!$O927))</f>
        <v/>
      </c>
      <c r="AO927" t="str">
        <f>IF('TMP Paste'!$F927="","",IF('TMP Paste'!$P927="",$AO926,'TMP Paste'!$P927))</f>
        <v/>
      </c>
      <c r="AP927" t="str">
        <f t="shared" si="89"/>
        <v/>
      </c>
      <c r="AQ927" t="str">
        <f>IF($AS927="","",TRIM(IF(COUNTIFS(Calc!$B$2:$B$1601,ROW()-1,Calc!$C$2:$C$1601,"&lt;1")&gt;0,"Ada PO tanpa Koli - cek TMP. ","")&amp;IF(OR($AU927="",$AU927&lt;=0),"Volume kosong/0 - dimensi dikosongkan. ","")&amp;IF(AND($AU927&lt;&gt;"",$AU927&gt;=1000000),"Volume &gt;= 1.000.000 cm3 (di luar aturan) - dimensi dikosongkan. ","")&amp;IF(LEN($R927)&gt;500,"R &gt; 500 karakter.","")))</f>
        <v/>
      </c>
      <c r="AS927" t="str">
        <f>IFERROR(MATCH(ROW()-1,Calc!$J$2:$J$1601,0),"")</f>
        <v/>
      </c>
      <c r="AT927" t="str">
        <f>IFERROR(MATCH(ROW()-1,Calc!$K$2:$K$1601,0),"")</f>
        <v/>
      </c>
      <c r="AU927" t="str">
        <f>IF($AS927="","",IFERROR(INDEX('TMP Paste'!$D$2:$D$1601,$AS927)*1000000/$AB927,""))</f>
        <v/>
      </c>
    </row>
    <row r="928" spans="1:47">
      <c r="A928" t="str">
        <f>IF($AS928="","",INDEX('TMP Paste'!$B$2:$B$1601,$AS928))</f>
        <v/>
      </c>
      <c r="B928" t="str">
        <f>IF($AS928="","",Config!$B$14)</f>
        <v/>
      </c>
      <c r="C928" t="str">
        <f>IF($AS928="","",Config!$B$15)</f>
        <v/>
      </c>
      <c r="D928" t="str">
        <f>IF($AS928="","",INDEX('TMP Paste'!$B$2:$B$1601,$AS928))</f>
        <v/>
      </c>
      <c r="E928" t="str">
        <f>IF($AS928="","",Config!$B$27)</f>
        <v/>
      </c>
      <c r="F928" t="str">
        <f>IF($AS928="","",Config!$B$9)</f>
        <v/>
      </c>
      <c r="G928" t="str">
        <f>IF($AS928="","",Config!$B$10)</f>
        <v/>
      </c>
      <c r="H928" t="str">
        <f>IF($AS928="","",Config!$B$11)</f>
        <v/>
      </c>
      <c r="I928" t="str">
        <f>IF($AS928="","",Config!$B$16)</f>
        <v/>
      </c>
      <c r="J928" t="str">
        <f>IF($AS928="","",INDEX('TMP Paste'!$A$2:$A$1601,$AS928))</f>
        <v/>
      </c>
      <c r="K928" t="str">
        <f>IF($AS928="","",INDEX('TMP Paste'!$L$2:$L$1601,$AS928))</f>
        <v/>
      </c>
      <c r="L928" t="str">
        <f>IF($AS928="","",INDEX('TMP Paste'!$I$2:$I$1601,$AS928))</f>
        <v/>
      </c>
      <c r="M928" t="str">
        <f>IF($AS928="","",Config!$B$16)</f>
        <v/>
      </c>
      <c r="N928" t="str">
        <f t="shared" si="84"/>
        <v/>
      </c>
      <c r="O928" t="str">
        <f>IF($AS928="","",INDEX('TMP Paste'!$K$2:$K$1601,$AS928))</f>
        <v/>
      </c>
      <c r="P928" t="str">
        <f t="shared" si="85"/>
        <v/>
      </c>
      <c r="Q928" t="str">
        <f>IF($AS928="","",INDEX('TMP Paste'!$J$2:$J$1601,$AS928))</f>
        <v/>
      </c>
      <c r="R928" t="str">
        <f>IF($AS928="","",Config!$B$24)</f>
        <v/>
      </c>
      <c r="S928" t="str">
        <f ca="1">IF($AS928="","",TEXT(Config!$B$4,"yyyy-mm-dd"))</f>
        <v/>
      </c>
      <c r="T928" t="str">
        <f>IF($AS928="","",Config!$B$17)</f>
        <v/>
      </c>
      <c r="U928" t="str">
        <f>IF($AS928="","",Config!$B$18)</f>
        <v/>
      </c>
      <c r="V928" t="str">
        <f>IF($AS928="","",Config!$B$19)</f>
        <v/>
      </c>
      <c r="W928" t="str">
        <f>IF($AS928="","",INDEX('TMP Paste'!$C$2:$C$1601,$AS928))</f>
        <v/>
      </c>
      <c r="X928" t="str">
        <f>IF($AS928="","",Config!$B$29)</f>
        <v/>
      </c>
      <c r="Y928" t="str">
        <f>IF($AT928="","",INDEX(Calc!$I$2:$I$1601,$AT928)&amp;" - "&amp;INDEX(Calc!$D$2:$D$1601,$AT928)&amp;" koli")</f>
        <v/>
      </c>
      <c r="Z928" t="str">
        <f>IF($AS928="","",Config!$B$21)</f>
        <v/>
      </c>
      <c r="AA928" t="str">
        <f>IF($AS928="","",Config!$B$22)</f>
        <v/>
      </c>
      <c r="AB928" t="str">
        <f>IF($AT928="","",INDEX(Calc!$D$2:$D$1601,$AT928))</f>
        <v/>
      </c>
      <c r="AC928" t="str">
        <f>IF($AT928="","",INDEX(Calc!$G$2:$G$1601,$AT928))</f>
        <v/>
      </c>
      <c r="AD928" t="str">
        <f>IF($AS928="","",Config!$B$23)</f>
        <v/>
      </c>
      <c r="AE928" t="str">
        <f>IF($AS928="","",Config!$B$28)</f>
        <v/>
      </c>
      <c r="AF928" t="str">
        <f t="shared" si="86"/>
        <v/>
      </c>
      <c r="AG928" t="str">
        <f t="shared" si="87"/>
        <v/>
      </c>
      <c r="AH928" t="str">
        <f t="shared" si="88"/>
        <v/>
      </c>
      <c r="AI928" t="str">
        <f>IF($AG928="","",SUMIF($AG$2:$AG928,$AG928,$AH$2:$AH928))</f>
        <v/>
      </c>
      <c r="AJ928" t="str">
        <f>IF('TMP Paste'!$F928="","",IF('TMP Paste'!$B928="",$AJ927,'TMP Paste'!$B928))</f>
        <v/>
      </c>
      <c r="AK928" t="str">
        <f>IF('TMP Paste'!$F928="","",N('TMP Paste'!$G928))</f>
        <v/>
      </c>
      <c r="AL928" t="str">
        <f>IF('TMP Paste'!$F928="","",IF('TMP Paste'!$M928="",$AL927,'TMP Paste'!$M928))</f>
        <v/>
      </c>
      <c r="AM928" t="str">
        <f>IF('TMP Paste'!$F928="","",IF('TMP Paste'!$N928="",$AM927,'TMP Paste'!$N928))</f>
        <v/>
      </c>
      <c r="AN928" t="str">
        <f>IF('TMP Paste'!$F928="","",IF('TMP Paste'!$O928="",$AN927,'TMP Paste'!$O928))</f>
        <v/>
      </c>
      <c r="AO928" t="str">
        <f>IF('TMP Paste'!$F928="","",IF('TMP Paste'!$P928="",$AO927,'TMP Paste'!$P928))</f>
        <v/>
      </c>
      <c r="AP928" t="str">
        <f t="shared" si="89"/>
        <v/>
      </c>
      <c r="AQ928" t="str">
        <f>IF($AS928="","",TRIM(IF(COUNTIFS(Calc!$B$2:$B$1601,ROW()-1,Calc!$C$2:$C$1601,"&lt;1")&gt;0,"Ada PO tanpa Koli - cek TMP. ","")&amp;IF(OR($AU928="",$AU928&lt;=0),"Volume kosong/0 - dimensi dikosongkan. ","")&amp;IF(AND($AU928&lt;&gt;"",$AU928&gt;=1000000),"Volume &gt;= 1.000.000 cm3 (di luar aturan) - dimensi dikosongkan. ","")&amp;IF(LEN($R928)&gt;500,"R &gt; 500 karakter.","")))</f>
        <v/>
      </c>
      <c r="AS928" t="str">
        <f>IFERROR(MATCH(ROW()-1,Calc!$J$2:$J$1601,0),"")</f>
        <v/>
      </c>
      <c r="AT928" t="str">
        <f>IFERROR(MATCH(ROW()-1,Calc!$K$2:$K$1601,0),"")</f>
        <v/>
      </c>
      <c r="AU928" t="str">
        <f>IF($AS928="","",IFERROR(INDEX('TMP Paste'!$D$2:$D$1601,$AS928)*1000000/$AB928,""))</f>
        <v/>
      </c>
    </row>
    <row r="929" spans="1:47">
      <c r="A929" t="str">
        <f>IF($AS929="","",INDEX('TMP Paste'!$B$2:$B$1601,$AS929))</f>
        <v/>
      </c>
      <c r="B929" t="str">
        <f>IF($AS929="","",Config!$B$14)</f>
        <v/>
      </c>
      <c r="C929" t="str">
        <f>IF($AS929="","",Config!$B$15)</f>
        <v/>
      </c>
      <c r="D929" t="str">
        <f>IF($AS929="","",INDEX('TMP Paste'!$B$2:$B$1601,$AS929))</f>
        <v/>
      </c>
      <c r="E929" t="str">
        <f>IF($AS929="","",Config!$B$27)</f>
        <v/>
      </c>
      <c r="F929" t="str">
        <f>IF($AS929="","",Config!$B$9)</f>
        <v/>
      </c>
      <c r="G929" t="str">
        <f>IF($AS929="","",Config!$B$10)</f>
        <v/>
      </c>
      <c r="H929" t="str">
        <f>IF($AS929="","",Config!$B$11)</f>
        <v/>
      </c>
      <c r="I929" t="str">
        <f>IF($AS929="","",Config!$B$16)</f>
        <v/>
      </c>
      <c r="J929" t="str">
        <f>IF($AS929="","",INDEX('TMP Paste'!$A$2:$A$1601,$AS929))</f>
        <v/>
      </c>
      <c r="K929" t="str">
        <f>IF($AS929="","",INDEX('TMP Paste'!$L$2:$L$1601,$AS929))</f>
        <v/>
      </c>
      <c r="L929" t="str">
        <f>IF($AS929="","",INDEX('TMP Paste'!$I$2:$I$1601,$AS929))</f>
        <v/>
      </c>
      <c r="M929" t="str">
        <f>IF($AS929="","",Config!$B$16)</f>
        <v/>
      </c>
      <c r="N929" t="str">
        <f t="shared" si="84"/>
        <v/>
      </c>
      <c r="O929" t="str">
        <f>IF($AS929="","",INDEX('TMP Paste'!$K$2:$K$1601,$AS929))</f>
        <v/>
      </c>
      <c r="P929" t="str">
        <f t="shared" si="85"/>
        <v/>
      </c>
      <c r="Q929" t="str">
        <f>IF($AS929="","",INDEX('TMP Paste'!$J$2:$J$1601,$AS929))</f>
        <v/>
      </c>
      <c r="R929" t="str">
        <f>IF($AS929="","",Config!$B$24)</f>
        <v/>
      </c>
      <c r="S929" t="str">
        <f ca="1">IF($AS929="","",TEXT(Config!$B$4,"yyyy-mm-dd"))</f>
        <v/>
      </c>
      <c r="T929" t="str">
        <f>IF($AS929="","",Config!$B$17)</f>
        <v/>
      </c>
      <c r="U929" t="str">
        <f>IF($AS929="","",Config!$B$18)</f>
        <v/>
      </c>
      <c r="V929" t="str">
        <f>IF($AS929="","",Config!$B$19)</f>
        <v/>
      </c>
      <c r="W929" t="str">
        <f>IF($AS929="","",INDEX('TMP Paste'!$C$2:$C$1601,$AS929))</f>
        <v/>
      </c>
      <c r="X929" t="str">
        <f>IF($AS929="","",Config!$B$29)</f>
        <v/>
      </c>
      <c r="Y929" t="str">
        <f>IF($AT929="","",INDEX(Calc!$I$2:$I$1601,$AT929)&amp;" - "&amp;INDEX(Calc!$D$2:$D$1601,$AT929)&amp;" koli")</f>
        <v/>
      </c>
      <c r="Z929" t="str">
        <f>IF($AS929="","",Config!$B$21)</f>
        <v/>
      </c>
      <c r="AA929" t="str">
        <f>IF($AS929="","",Config!$B$22)</f>
        <v/>
      </c>
      <c r="AB929" t="str">
        <f>IF($AT929="","",INDEX(Calc!$D$2:$D$1601,$AT929))</f>
        <v/>
      </c>
      <c r="AC929" t="str">
        <f>IF($AT929="","",INDEX(Calc!$G$2:$G$1601,$AT929))</f>
        <v/>
      </c>
      <c r="AD929" t="str">
        <f>IF($AS929="","",Config!$B$23)</f>
        <v/>
      </c>
      <c r="AE929" t="str">
        <f>IF($AS929="","",Config!$B$28)</f>
        <v/>
      </c>
      <c r="AF929" t="str">
        <f t="shared" si="86"/>
        <v/>
      </c>
      <c r="AG929" t="str">
        <f t="shared" si="87"/>
        <v/>
      </c>
      <c r="AH929" t="str">
        <f t="shared" si="88"/>
        <v/>
      </c>
      <c r="AI929" t="str">
        <f>IF($AG929="","",SUMIF($AG$2:$AG929,$AG929,$AH$2:$AH929))</f>
        <v/>
      </c>
      <c r="AJ929" t="str">
        <f>IF('TMP Paste'!$F929="","",IF('TMP Paste'!$B929="",$AJ928,'TMP Paste'!$B929))</f>
        <v/>
      </c>
      <c r="AK929" t="str">
        <f>IF('TMP Paste'!$F929="","",N('TMP Paste'!$G929))</f>
        <v/>
      </c>
      <c r="AL929" t="str">
        <f>IF('TMP Paste'!$F929="","",IF('TMP Paste'!$M929="",$AL928,'TMP Paste'!$M929))</f>
        <v/>
      </c>
      <c r="AM929" t="str">
        <f>IF('TMP Paste'!$F929="","",IF('TMP Paste'!$N929="",$AM928,'TMP Paste'!$N929))</f>
        <v/>
      </c>
      <c r="AN929" t="str">
        <f>IF('TMP Paste'!$F929="","",IF('TMP Paste'!$O929="",$AN928,'TMP Paste'!$O929))</f>
        <v/>
      </c>
      <c r="AO929" t="str">
        <f>IF('TMP Paste'!$F929="","",IF('TMP Paste'!$P929="",$AO928,'TMP Paste'!$P929))</f>
        <v/>
      </c>
      <c r="AP929" t="str">
        <f t="shared" si="89"/>
        <v/>
      </c>
      <c r="AQ929" t="str">
        <f>IF($AS929="","",TRIM(IF(COUNTIFS(Calc!$B$2:$B$1601,ROW()-1,Calc!$C$2:$C$1601,"&lt;1")&gt;0,"Ada PO tanpa Koli - cek TMP. ","")&amp;IF(OR($AU929="",$AU929&lt;=0),"Volume kosong/0 - dimensi dikosongkan. ","")&amp;IF(AND($AU929&lt;&gt;"",$AU929&gt;=1000000),"Volume &gt;= 1.000.000 cm3 (di luar aturan) - dimensi dikosongkan. ","")&amp;IF(LEN($R929)&gt;500,"R &gt; 500 karakter.","")))</f>
        <v/>
      </c>
      <c r="AS929" t="str">
        <f>IFERROR(MATCH(ROW()-1,Calc!$J$2:$J$1601,0),"")</f>
        <v/>
      </c>
      <c r="AT929" t="str">
        <f>IFERROR(MATCH(ROW()-1,Calc!$K$2:$K$1601,0),"")</f>
        <v/>
      </c>
      <c r="AU929" t="str">
        <f>IF($AS929="","",IFERROR(INDEX('TMP Paste'!$D$2:$D$1601,$AS929)*1000000/$AB929,""))</f>
        <v/>
      </c>
    </row>
    <row r="930" spans="1:47">
      <c r="A930" t="str">
        <f>IF($AS930="","",INDEX('TMP Paste'!$B$2:$B$1601,$AS930))</f>
        <v/>
      </c>
      <c r="B930" t="str">
        <f>IF($AS930="","",Config!$B$14)</f>
        <v/>
      </c>
      <c r="C930" t="str">
        <f>IF($AS930="","",Config!$B$15)</f>
        <v/>
      </c>
      <c r="D930" t="str">
        <f>IF($AS930="","",INDEX('TMP Paste'!$B$2:$B$1601,$AS930))</f>
        <v/>
      </c>
      <c r="E930" t="str">
        <f>IF($AS930="","",Config!$B$27)</f>
        <v/>
      </c>
      <c r="F930" t="str">
        <f>IF($AS930="","",Config!$B$9)</f>
        <v/>
      </c>
      <c r="G930" t="str">
        <f>IF($AS930="","",Config!$B$10)</f>
        <v/>
      </c>
      <c r="H930" t="str">
        <f>IF($AS930="","",Config!$B$11)</f>
        <v/>
      </c>
      <c r="I930" t="str">
        <f>IF($AS930="","",Config!$B$16)</f>
        <v/>
      </c>
      <c r="J930" t="str">
        <f>IF($AS930="","",INDEX('TMP Paste'!$A$2:$A$1601,$AS930))</f>
        <v/>
      </c>
      <c r="K930" t="str">
        <f>IF($AS930="","",INDEX('TMP Paste'!$L$2:$L$1601,$AS930))</f>
        <v/>
      </c>
      <c r="L930" t="str">
        <f>IF($AS930="","",INDEX('TMP Paste'!$I$2:$I$1601,$AS930))</f>
        <v/>
      </c>
      <c r="M930" t="str">
        <f>IF($AS930="","",Config!$B$16)</f>
        <v/>
      </c>
      <c r="N930" t="str">
        <f t="shared" si="84"/>
        <v/>
      </c>
      <c r="O930" t="str">
        <f>IF($AS930="","",INDEX('TMP Paste'!$K$2:$K$1601,$AS930))</f>
        <v/>
      </c>
      <c r="P930" t="str">
        <f t="shared" si="85"/>
        <v/>
      </c>
      <c r="Q930" t="str">
        <f>IF($AS930="","",INDEX('TMP Paste'!$J$2:$J$1601,$AS930))</f>
        <v/>
      </c>
      <c r="R930" t="str">
        <f>IF($AS930="","",Config!$B$24)</f>
        <v/>
      </c>
      <c r="S930" t="str">
        <f ca="1">IF($AS930="","",TEXT(Config!$B$4,"yyyy-mm-dd"))</f>
        <v/>
      </c>
      <c r="T930" t="str">
        <f>IF($AS930="","",Config!$B$17)</f>
        <v/>
      </c>
      <c r="U930" t="str">
        <f>IF($AS930="","",Config!$B$18)</f>
        <v/>
      </c>
      <c r="V930" t="str">
        <f>IF($AS930="","",Config!$B$19)</f>
        <v/>
      </c>
      <c r="W930" t="str">
        <f>IF($AS930="","",INDEX('TMP Paste'!$C$2:$C$1601,$AS930))</f>
        <v/>
      </c>
      <c r="X930" t="str">
        <f>IF($AS930="","",Config!$B$29)</f>
        <v/>
      </c>
      <c r="Y930" t="str">
        <f>IF($AT930="","",INDEX(Calc!$I$2:$I$1601,$AT930)&amp;" - "&amp;INDEX(Calc!$D$2:$D$1601,$AT930)&amp;" koli")</f>
        <v/>
      </c>
      <c r="Z930" t="str">
        <f>IF($AS930="","",Config!$B$21)</f>
        <v/>
      </c>
      <c r="AA930" t="str">
        <f>IF($AS930="","",Config!$B$22)</f>
        <v/>
      </c>
      <c r="AB930" t="str">
        <f>IF($AT930="","",INDEX(Calc!$D$2:$D$1601,$AT930))</f>
        <v/>
      </c>
      <c r="AC930" t="str">
        <f>IF($AT930="","",INDEX(Calc!$G$2:$G$1601,$AT930))</f>
        <v/>
      </c>
      <c r="AD930" t="str">
        <f>IF($AS930="","",Config!$B$23)</f>
        <v/>
      </c>
      <c r="AE930" t="str">
        <f>IF($AS930="","",Config!$B$28)</f>
        <v/>
      </c>
      <c r="AF930" t="str">
        <f t="shared" si="86"/>
        <v/>
      </c>
      <c r="AG930" t="str">
        <f t="shared" si="87"/>
        <v/>
      </c>
      <c r="AH930" t="str">
        <f t="shared" si="88"/>
        <v/>
      </c>
      <c r="AI930" t="str">
        <f>IF($AG930="","",SUMIF($AG$2:$AG930,$AG930,$AH$2:$AH930))</f>
        <v/>
      </c>
      <c r="AJ930" t="str">
        <f>IF('TMP Paste'!$F930="","",IF('TMP Paste'!$B930="",$AJ929,'TMP Paste'!$B930))</f>
        <v/>
      </c>
      <c r="AK930" t="str">
        <f>IF('TMP Paste'!$F930="","",N('TMP Paste'!$G930))</f>
        <v/>
      </c>
      <c r="AL930" t="str">
        <f>IF('TMP Paste'!$F930="","",IF('TMP Paste'!$M930="",$AL929,'TMP Paste'!$M930))</f>
        <v/>
      </c>
      <c r="AM930" t="str">
        <f>IF('TMP Paste'!$F930="","",IF('TMP Paste'!$N930="",$AM929,'TMP Paste'!$N930))</f>
        <v/>
      </c>
      <c r="AN930" t="str">
        <f>IF('TMP Paste'!$F930="","",IF('TMP Paste'!$O930="",$AN929,'TMP Paste'!$O930))</f>
        <v/>
      </c>
      <c r="AO930" t="str">
        <f>IF('TMP Paste'!$F930="","",IF('TMP Paste'!$P930="",$AO929,'TMP Paste'!$P930))</f>
        <v/>
      </c>
      <c r="AP930" t="str">
        <f t="shared" si="89"/>
        <v/>
      </c>
      <c r="AQ930" t="str">
        <f>IF($AS930="","",TRIM(IF(COUNTIFS(Calc!$B$2:$B$1601,ROW()-1,Calc!$C$2:$C$1601,"&lt;1")&gt;0,"Ada PO tanpa Koli - cek TMP. ","")&amp;IF(OR($AU930="",$AU930&lt;=0),"Volume kosong/0 - dimensi dikosongkan. ","")&amp;IF(AND($AU930&lt;&gt;"",$AU930&gt;=1000000),"Volume &gt;= 1.000.000 cm3 (di luar aturan) - dimensi dikosongkan. ","")&amp;IF(LEN($R930)&gt;500,"R &gt; 500 karakter.","")))</f>
        <v/>
      </c>
      <c r="AS930" t="str">
        <f>IFERROR(MATCH(ROW()-1,Calc!$J$2:$J$1601,0),"")</f>
        <v/>
      </c>
      <c r="AT930" t="str">
        <f>IFERROR(MATCH(ROW()-1,Calc!$K$2:$K$1601,0),"")</f>
        <v/>
      </c>
      <c r="AU930" t="str">
        <f>IF($AS930="","",IFERROR(INDEX('TMP Paste'!$D$2:$D$1601,$AS930)*1000000/$AB930,""))</f>
        <v/>
      </c>
    </row>
    <row r="931" spans="1:47">
      <c r="A931" t="str">
        <f>IF($AS931="","",INDEX('TMP Paste'!$B$2:$B$1601,$AS931))</f>
        <v/>
      </c>
      <c r="B931" t="str">
        <f>IF($AS931="","",Config!$B$14)</f>
        <v/>
      </c>
      <c r="C931" t="str">
        <f>IF($AS931="","",Config!$B$15)</f>
        <v/>
      </c>
      <c r="D931" t="str">
        <f>IF($AS931="","",INDEX('TMP Paste'!$B$2:$B$1601,$AS931))</f>
        <v/>
      </c>
      <c r="E931" t="str">
        <f>IF($AS931="","",Config!$B$27)</f>
        <v/>
      </c>
      <c r="F931" t="str">
        <f>IF($AS931="","",Config!$B$9)</f>
        <v/>
      </c>
      <c r="G931" t="str">
        <f>IF($AS931="","",Config!$B$10)</f>
        <v/>
      </c>
      <c r="H931" t="str">
        <f>IF($AS931="","",Config!$B$11)</f>
        <v/>
      </c>
      <c r="I931" t="str">
        <f>IF($AS931="","",Config!$B$16)</f>
        <v/>
      </c>
      <c r="J931" t="str">
        <f>IF($AS931="","",INDEX('TMP Paste'!$A$2:$A$1601,$AS931))</f>
        <v/>
      </c>
      <c r="K931" t="str">
        <f>IF($AS931="","",INDEX('TMP Paste'!$L$2:$L$1601,$AS931))</f>
        <v/>
      </c>
      <c r="L931" t="str">
        <f>IF($AS931="","",INDEX('TMP Paste'!$I$2:$I$1601,$AS931))</f>
        <v/>
      </c>
      <c r="M931" t="str">
        <f>IF($AS931="","",Config!$B$16)</f>
        <v/>
      </c>
      <c r="N931" t="str">
        <f t="shared" si="84"/>
        <v/>
      </c>
      <c r="O931" t="str">
        <f>IF($AS931="","",INDEX('TMP Paste'!$K$2:$K$1601,$AS931))</f>
        <v/>
      </c>
      <c r="P931" t="str">
        <f t="shared" si="85"/>
        <v/>
      </c>
      <c r="Q931" t="str">
        <f>IF($AS931="","",INDEX('TMP Paste'!$J$2:$J$1601,$AS931))</f>
        <v/>
      </c>
      <c r="R931" t="str">
        <f>IF($AS931="","",Config!$B$24)</f>
        <v/>
      </c>
      <c r="S931" t="str">
        <f ca="1">IF($AS931="","",TEXT(Config!$B$4,"yyyy-mm-dd"))</f>
        <v/>
      </c>
      <c r="T931" t="str">
        <f>IF($AS931="","",Config!$B$17)</f>
        <v/>
      </c>
      <c r="U931" t="str">
        <f>IF($AS931="","",Config!$B$18)</f>
        <v/>
      </c>
      <c r="V931" t="str">
        <f>IF($AS931="","",Config!$B$19)</f>
        <v/>
      </c>
      <c r="W931" t="str">
        <f>IF($AS931="","",INDEX('TMP Paste'!$C$2:$C$1601,$AS931))</f>
        <v/>
      </c>
      <c r="X931" t="str">
        <f>IF($AS931="","",Config!$B$29)</f>
        <v/>
      </c>
      <c r="Y931" t="str">
        <f>IF($AT931="","",INDEX(Calc!$I$2:$I$1601,$AT931)&amp;" - "&amp;INDEX(Calc!$D$2:$D$1601,$AT931)&amp;" koli")</f>
        <v/>
      </c>
      <c r="Z931" t="str">
        <f>IF($AS931="","",Config!$B$21)</f>
        <v/>
      </c>
      <c r="AA931" t="str">
        <f>IF($AS931="","",Config!$B$22)</f>
        <v/>
      </c>
      <c r="AB931" t="str">
        <f>IF($AT931="","",INDEX(Calc!$D$2:$D$1601,$AT931))</f>
        <v/>
      </c>
      <c r="AC931" t="str">
        <f>IF($AT931="","",INDEX(Calc!$G$2:$G$1601,$AT931))</f>
        <v/>
      </c>
      <c r="AD931" t="str">
        <f>IF($AS931="","",Config!$B$23)</f>
        <v/>
      </c>
      <c r="AE931" t="str">
        <f>IF($AS931="","",Config!$B$28)</f>
        <v/>
      </c>
      <c r="AF931" t="str">
        <f t="shared" si="86"/>
        <v/>
      </c>
      <c r="AG931" t="str">
        <f t="shared" si="87"/>
        <v/>
      </c>
      <c r="AH931" t="str">
        <f t="shared" si="88"/>
        <v/>
      </c>
      <c r="AI931" t="str">
        <f>IF($AG931="","",SUMIF($AG$2:$AG931,$AG931,$AH$2:$AH931))</f>
        <v/>
      </c>
      <c r="AJ931" t="str">
        <f>IF('TMP Paste'!$F931="","",IF('TMP Paste'!$B931="",$AJ930,'TMP Paste'!$B931))</f>
        <v/>
      </c>
      <c r="AK931" t="str">
        <f>IF('TMP Paste'!$F931="","",N('TMP Paste'!$G931))</f>
        <v/>
      </c>
      <c r="AL931" t="str">
        <f>IF('TMP Paste'!$F931="","",IF('TMP Paste'!$M931="",$AL930,'TMP Paste'!$M931))</f>
        <v/>
      </c>
      <c r="AM931" t="str">
        <f>IF('TMP Paste'!$F931="","",IF('TMP Paste'!$N931="",$AM930,'TMP Paste'!$N931))</f>
        <v/>
      </c>
      <c r="AN931" t="str">
        <f>IF('TMP Paste'!$F931="","",IF('TMP Paste'!$O931="",$AN930,'TMP Paste'!$O931))</f>
        <v/>
      </c>
      <c r="AO931" t="str">
        <f>IF('TMP Paste'!$F931="","",IF('TMP Paste'!$P931="",$AO930,'TMP Paste'!$P931))</f>
        <v/>
      </c>
      <c r="AP931" t="str">
        <f t="shared" si="89"/>
        <v/>
      </c>
      <c r="AQ931" t="str">
        <f>IF($AS931="","",TRIM(IF(COUNTIFS(Calc!$B$2:$B$1601,ROW()-1,Calc!$C$2:$C$1601,"&lt;1")&gt;0,"Ada PO tanpa Koli - cek TMP. ","")&amp;IF(OR($AU931="",$AU931&lt;=0),"Volume kosong/0 - dimensi dikosongkan. ","")&amp;IF(AND($AU931&lt;&gt;"",$AU931&gt;=1000000),"Volume &gt;= 1.000.000 cm3 (di luar aturan) - dimensi dikosongkan. ","")&amp;IF(LEN($R931)&gt;500,"R &gt; 500 karakter.","")))</f>
        <v/>
      </c>
      <c r="AS931" t="str">
        <f>IFERROR(MATCH(ROW()-1,Calc!$J$2:$J$1601,0),"")</f>
        <v/>
      </c>
      <c r="AT931" t="str">
        <f>IFERROR(MATCH(ROW()-1,Calc!$K$2:$K$1601,0),"")</f>
        <v/>
      </c>
      <c r="AU931" t="str">
        <f>IF($AS931="","",IFERROR(INDEX('TMP Paste'!$D$2:$D$1601,$AS931)*1000000/$AB931,""))</f>
        <v/>
      </c>
    </row>
    <row r="932" spans="1:47">
      <c r="A932" t="str">
        <f>IF($AS932="","",INDEX('TMP Paste'!$B$2:$B$1601,$AS932))</f>
        <v/>
      </c>
      <c r="B932" t="str">
        <f>IF($AS932="","",Config!$B$14)</f>
        <v/>
      </c>
      <c r="C932" t="str">
        <f>IF($AS932="","",Config!$B$15)</f>
        <v/>
      </c>
      <c r="D932" t="str">
        <f>IF($AS932="","",INDEX('TMP Paste'!$B$2:$B$1601,$AS932))</f>
        <v/>
      </c>
      <c r="E932" t="str">
        <f>IF($AS932="","",Config!$B$27)</f>
        <v/>
      </c>
      <c r="F932" t="str">
        <f>IF($AS932="","",Config!$B$9)</f>
        <v/>
      </c>
      <c r="G932" t="str">
        <f>IF($AS932="","",Config!$B$10)</f>
        <v/>
      </c>
      <c r="H932" t="str">
        <f>IF($AS932="","",Config!$B$11)</f>
        <v/>
      </c>
      <c r="I932" t="str">
        <f>IF($AS932="","",Config!$B$16)</f>
        <v/>
      </c>
      <c r="J932" t="str">
        <f>IF($AS932="","",INDEX('TMP Paste'!$A$2:$A$1601,$AS932))</f>
        <v/>
      </c>
      <c r="K932" t="str">
        <f>IF($AS932="","",INDEX('TMP Paste'!$L$2:$L$1601,$AS932))</f>
        <v/>
      </c>
      <c r="L932" t="str">
        <f>IF($AS932="","",INDEX('TMP Paste'!$I$2:$I$1601,$AS932))</f>
        <v/>
      </c>
      <c r="M932" t="str">
        <f>IF($AS932="","",Config!$B$16)</f>
        <v/>
      </c>
      <c r="N932" t="str">
        <f t="shared" si="84"/>
        <v/>
      </c>
      <c r="O932" t="str">
        <f>IF($AS932="","",INDEX('TMP Paste'!$K$2:$K$1601,$AS932))</f>
        <v/>
      </c>
      <c r="P932" t="str">
        <f t="shared" si="85"/>
        <v/>
      </c>
      <c r="Q932" t="str">
        <f>IF($AS932="","",INDEX('TMP Paste'!$J$2:$J$1601,$AS932))</f>
        <v/>
      </c>
      <c r="R932" t="str">
        <f>IF($AS932="","",Config!$B$24)</f>
        <v/>
      </c>
      <c r="S932" t="str">
        <f ca="1">IF($AS932="","",TEXT(Config!$B$4,"yyyy-mm-dd"))</f>
        <v/>
      </c>
      <c r="T932" t="str">
        <f>IF($AS932="","",Config!$B$17)</f>
        <v/>
      </c>
      <c r="U932" t="str">
        <f>IF($AS932="","",Config!$B$18)</f>
        <v/>
      </c>
      <c r="V932" t="str">
        <f>IF($AS932="","",Config!$B$19)</f>
        <v/>
      </c>
      <c r="W932" t="str">
        <f>IF($AS932="","",INDEX('TMP Paste'!$C$2:$C$1601,$AS932))</f>
        <v/>
      </c>
      <c r="X932" t="str">
        <f>IF($AS932="","",Config!$B$29)</f>
        <v/>
      </c>
      <c r="Y932" t="str">
        <f>IF($AT932="","",INDEX(Calc!$I$2:$I$1601,$AT932)&amp;" - "&amp;INDEX(Calc!$D$2:$D$1601,$AT932)&amp;" koli")</f>
        <v/>
      </c>
      <c r="Z932" t="str">
        <f>IF($AS932="","",Config!$B$21)</f>
        <v/>
      </c>
      <c r="AA932" t="str">
        <f>IF($AS932="","",Config!$B$22)</f>
        <v/>
      </c>
      <c r="AB932" t="str">
        <f>IF($AT932="","",INDEX(Calc!$D$2:$D$1601,$AT932))</f>
        <v/>
      </c>
      <c r="AC932" t="str">
        <f>IF($AT932="","",INDEX(Calc!$G$2:$G$1601,$AT932))</f>
        <v/>
      </c>
      <c r="AD932" t="str">
        <f>IF($AS932="","",Config!$B$23)</f>
        <v/>
      </c>
      <c r="AE932" t="str">
        <f>IF($AS932="","",Config!$B$28)</f>
        <v/>
      </c>
      <c r="AF932" t="str">
        <f t="shared" si="86"/>
        <v/>
      </c>
      <c r="AG932" t="str">
        <f t="shared" si="87"/>
        <v/>
      </c>
      <c r="AH932" t="str">
        <f t="shared" si="88"/>
        <v/>
      </c>
      <c r="AI932" t="str">
        <f>IF($AG932="","",SUMIF($AG$2:$AG932,$AG932,$AH$2:$AH932))</f>
        <v/>
      </c>
      <c r="AJ932" t="str">
        <f>IF('TMP Paste'!$F932="","",IF('TMP Paste'!$B932="",$AJ931,'TMP Paste'!$B932))</f>
        <v/>
      </c>
      <c r="AK932" t="str">
        <f>IF('TMP Paste'!$F932="","",N('TMP Paste'!$G932))</f>
        <v/>
      </c>
      <c r="AL932" t="str">
        <f>IF('TMP Paste'!$F932="","",IF('TMP Paste'!$M932="",$AL931,'TMP Paste'!$M932))</f>
        <v/>
      </c>
      <c r="AM932" t="str">
        <f>IF('TMP Paste'!$F932="","",IF('TMP Paste'!$N932="",$AM931,'TMP Paste'!$N932))</f>
        <v/>
      </c>
      <c r="AN932" t="str">
        <f>IF('TMP Paste'!$F932="","",IF('TMP Paste'!$O932="",$AN931,'TMP Paste'!$O932))</f>
        <v/>
      </c>
      <c r="AO932" t="str">
        <f>IF('TMP Paste'!$F932="","",IF('TMP Paste'!$P932="",$AO931,'TMP Paste'!$P932))</f>
        <v/>
      </c>
      <c r="AP932" t="str">
        <f t="shared" si="89"/>
        <v/>
      </c>
      <c r="AQ932" t="str">
        <f>IF($AS932="","",TRIM(IF(COUNTIFS(Calc!$B$2:$B$1601,ROW()-1,Calc!$C$2:$C$1601,"&lt;1")&gt;0,"Ada PO tanpa Koli - cek TMP. ","")&amp;IF(OR($AU932="",$AU932&lt;=0),"Volume kosong/0 - dimensi dikosongkan. ","")&amp;IF(AND($AU932&lt;&gt;"",$AU932&gt;=1000000),"Volume &gt;= 1.000.000 cm3 (di luar aturan) - dimensi dikosongkan. ","")&amp;IF(LEN($R932)&gt;500,"R &gt; 500 karakter.","")))</f>
        <v/>
      </c>
      <c r="AS932" t="str">
        <f>IFERROR(MATCH(ROW()-1,Calc!$J$2:$J$1601,0),"")</f>
        <v/>
      </c>
      <c r="AT932" t="str">
        <f>IFERROR(MATCH(ROW()-1,Calc!$K$2:$K$1601,0),"")</f>
        <v/>
      </c>
      <c r="AU932" t="str">
        <f>IF($AS932="","",IFERROR(INDEX('TMP Paste'!$D$2:$D$1601,$AS932)*1000000/$AB932,""))</f>
        <v/>
      </c>
    </row>
    <row r="933" spans="1:47">
      <c r="A933" t="str">
        <f>IF($AS933="","",INDEX('TMP Paste'!$B$2:$B$1601,$AS933))</f>
        <v/>
      </c>
      <c r="B933" t="str">
        <f>IF($AS933="","",Config!$B$14)</f>
        <v/>
      </c>
      <c r="C933" t="str">
        <f>IF($AS933="","",Config!$B$15)</f>
        <v/>
      </c>
      <c r="D933" t="str">
        <f>IF($AS933="","",INDEX('TMP Paste'!$B$2:$B$1601,$AS933))</f>
        <v/>
      </c>
      <c r="E933" t="str">
        <f>IF($AS933="","",Config!$B$27)</f>
        <v/>
      </c>
      <c r="F933" t="str">
        <f>IF($AS933="","",Config!$B$9)</f>
        <v/>
      </c>
      <c r="G933" t="str">
        <f>IF($AS933="","",Config!$B$10)</f>
        <v/>
      </c>
      <c r="H933" t="str">
        <f>IF($AS933="","",Config!$B$11)</f>
        <v/>
      </c>
      <c r="I933" t="str">
        <f>IF($AS933="","",Config!$B$16)</f>
        <v/>
      </c>
      <c r="J933" t="str">
        <f>IF($AS933="","",INDEX('TMP Paste'!$A$2:$A$1601,$AS933))</f>
        <v/>
      </c>
      <c r="K933" t="str">
        <f>IF($AS933="","",INDEX('TMP Paste'!$L$2:$L$1601,$AS933))</f>
        <v/>
      </c>
      <c r="L933" t="str">
        <f>IF($AS933="","",INDEX('TMP Paste'!$I$2:$I$1601,$AS933))</f>
        <v/>
      </c>
      <c r="M933" t="str">
        <f>IF($AS933="","",Config!$B$16)</f>
        <v/>
      </c>
      <c r="N933" t="str">
        <f t="shared" si="84"/>
        <v/>
      </c>
      <c r="O933" t="str">
        <f>IF($AS933="","",INDEX('TMP Paste'!$K$2:$K$1601,$AS933))</f>
        <v/>
      </c>
      <c r="P933" t="str">
        <f t="shared" si="85"/>
        <v/>
      </c>
      <c r="Q933" t="str">
        <f>IF($AS933="","",INDEX('TMP Paste'!$J$2:$J$1601,$AS933))</f>
        <v/>
      </c>
      <c r="R933" t="str">
        <f>IF($AS933="","",Config!$B$24)</f>
        <v/>
      </c>
      <c r="S933" t="str">
        <f ca="1">IF($AS933="","",TEXT(Config!$B$4,"yyyy-mm-dd"))</f>
        <v/>
      </c>
      <c r="T933" t="str">
        <f>IF($AS933="","",Config!$B$17)</f>
        <v/>
      </c>
      <c r="U933" t="str">
        <f>IF($AS933="","",Config!$B$18)</f>
        <v/>
      </c>
      <c r="V933" t="str">
        <f>IF($AS933="","",Config!$B$19)</f>
        <v/>
      </c>
      <c r="W933" t="str">
        <f>IF($AS933="","",INDEX('TMP Paste'!$C$2:$C$1601,$AS933))</f>
        <v/>
      </c>
      <c r="X933" t="str">
        <f>IF($AS933="","",Config!$B$29)</f>
        <v/>
      </c>
      <c r="Y933" t="str">
        <f>IF($AT933="","",INDEX(Calc!$I$2:$I$1601,$AT933)&amp;" - "&amp;INDEX(Calc!$D$2:$D$1601,$AT933)&amp;" koli")</f>
        <v/>
      </c>
      <c r="Z933" t="str">
        <f>IF($AS933="","",Config!$B$21)</f>
        <v/>
      </c>
      <c r="AA933" t="str">
        <f>IF($AS933="","",Config!$B$22)</f>
        <v/>
      </c>
      <c r="AB933" t="str">
        <f>IF($AT933="","",INDEX(Calc!$D$2:$D$1601,$AT933))</f>
        <v/>
      </c>
      <c r="AC933" t="str">
        <f>IF($AT933="","",INDEX(Calc!$G$2:$G$1601,$AT933))</f>
        <v/>
      </c>
      <c r="AD933" t="str">
        <f>IF($AS933="","",Config!$B$23)</f>
        <v/>
      </c>
      <c r="AE933" t="str">
        <f>IF($AS933="","",Config!$B$28)</f>
        <v/>
      </c>
      <c r="AF933" t="str">
        <f t="shared" si="86"/>
        <v/>
      </c>
      <c r="AG933" t="str">
        <f t="shared" si="87"/>
        <v/>
      </c>
      <c r="AH933" t="str">
        <f t="shared" si="88"/>
        <v/>
      </c>
      <c r="AI933" t="str">
        <f>IF($AG933="","",SUMIF($AG$2:$AG933,$AG933,$AH$2:$AH933))</f>
        <v/>
      </c>
      <c r="AJ933" t="str">
        <f>IF('TMP Paste'!$F933="","",IF('TMP Paste'!$B933="",$AJ932,'TMP Paste'!$B933))</f>
        <v/>
      </c>
      <c r="AK933" t="str">
        <f>IF('TMP Paste'!$F933="","",N('TMP Paste'!$G933))</f>
        <v/>
      </c>
      <c r="AL933" t="str">
        <f>IF('TMP Paste'!$F933="","",IF('TMP Paste'!$M933="",$AL932,'TMP Paste'!$M933))</f>
        <v/>
      </c>
      <c r="AM933" t="str">
        <f>IF('TMP Paste'!$F933="","",IF('TMP Paste'!$N933="",$AM932,'TMP Paste'!$N933))</f>
        <v/>
      </c>
      <c r="AN933" t="str">
        <f>IF('TMP Paste'!$F933="","",IF('TMP Paste'!$O933="",$AN932,'TMP Paste'!$O933))</f>
        <v/>
      </c>
      <c r="AO933" t="str">
        <f>IF('TMP Paste'!$F933="","",IF('TMP Paste'!$P933="",$AO932,'TMP Paste'!$P933))</f>
        <v/>
      </c>
      <c r="AP933" t="str">
        <f t="shared" si="89"/>
        <v/>
      </c>
      <c r="AQ933" t="str">
        <f>IF($AS933="","",TRIM(IF(COUNTIFS(Calc!$B$2:$B$1601,ROW()-1,Calc!$C$2:$C$1601,"&lt;1")&gt;0,"Ada PO tanpa Koli - cek TMP. ","")&amp;IF(OR($AU933="",$AU933&lt;=0),"Volume kosong/0 - dimensi dikosongkan. ","")&amp;IF(AND($AU933&lt;&gt;"",$AU933&gt;=1000000),"Volume &gt;= 1.000.000 cm3 (di luar aturan) - dimensi dikosongkan. ","")&amp;IF(LEN($R933)&gt;500,"R &gt; 500 karakter.","")))</f>
        <v/>
      </c>
      <c r="AS933" t="str">
        <f>IFERROR(MATCH(ROW()-1,Calc!$J$2:$J$1601,0),"")</f>
        <v/>
      </c>
      <c r="AT933" t="str">
        <f>IFERROR(MATCH(ROW()-1,Calc!$K$2:$K$1601,0),"")</f>
        <v/>
      </c>
      <c r="AU933" t="str">
        <f>IF($AS933="","",IFERROR(INDEX('TMP Paste'!$D$2:$D$1601,$AS933)*1000000/$AB933,""))</f>
        <v/>
      </c>
    </row>
    <row r="934" spans="1:47">
      <c r="A934" t="str">
        <f>IF($AS934="","",INDEX('TMP Paste'!$B$2:$B$1601,$AS934))</f>
        <v/>
      </c>
      <c r="B934" t="str">
        <f>IF($AS934="","",Config!$B$14)</f>
        <v/>
      </c>
      <c r="C934" t="str">
        <f>IF($AS934="","",Config!$B$15)</f>
        <v/>
      </c>
      <c r="D934" t="str">
        <f>IF($AS934="","",INDEX('TMP Paste'!$B$2:$B$1601,$AS934))</f>
        <v/>
      </c>
      <c r="E934" t="str">
        <f>IF($AS934="","",Config!$B$27)</f>
        <v/>
      </c>
      <c r="F934" t="str">
        <f>IF($AS934="","",Config!$B$9)</f>
        <v/>
      </c>
      <c r="G934" t="str">
        <f>IF($AS934="","",Config!$B$10)</f>
        <v/>
      </c>
      <c r="H934" t="str">
        <f>IF($AS934="","",Config!$B$11)</f>
        <v/>
      </c>
      <c r="I934" t="str">
        <f>IF($AS934="","",Config!$B$16)</f>
        <v/>
      </c>
      <c r="J934" t="str">
        <f>IF($AS934="","",INDEX('TMP Paste'!$A$2:$A$1601,$AS934))</f>
        <v/>
      </c>
      <c r="K934" t="str">
        <f>IF($AS934="","",INDEX('TMP Paste'!$L$2:$L$1601,$AS934))</f>
        <v/>
      </c>
      <c r="L934" t="str">
        <f>IF($AS934="","",INDEX('TMP Paste'!$I$2:$I$1601,$AS934))</f>
        <v/>
      </c>
      <c r="M934" t="str">
        <f>IF($AS934="","",Config!$B$16)</f>
        <v/>
      </c>
      <c r="N934" t="str">
        <f t="shared" si="84"/>
        <v/>
      </c>
      <c r="O934" t="str">
        <f>IF($AS934="","",INDEX('TMP Paste'!$K$2:$K$1601,$AS934))</f>
        <v/>
      </c>
      <c r="P934" t="str">
        <f t="shared" si="85"/>
        <v/>
      </c>
      <c r="Q934" t="str">
        <f>IF($AS934="","",INDEX('TMP Paste'!$J$2:$J$1601,$AS934))</f>
        <v/>
      </c>
      <c r="R934" t="str">
        <f>IF($AS934="","",Config!$B$24)</f>
        <v/>
      </c>
      <c r="S934" t="str">
        <f ca="1">IF($AS934="","",TEXT(Config!$B$4,"yyyy-mm-dd"))</f>
        <v/>
      </c>
      <c r="T934" t="str">
        <f>IF($AS934="","",Config!$B$17)</f>
        <v/>
      </c>
      <c r="U934" t="str">
        <f>IF($AS934="","",Config!$B$18)</f>
        <v/>
      </c>
      <c r="V934" t="str">
        <f>IF($AS934="","",Config!$B$19)</f>
        <v/>
      </c>
      <c r="W934" t="str">
        <f>IF($AS934="","",INDEX('TMP Paste'!$C$2:$C$1601,$AS934))</f>
        <v/>
      </c>
      <c r="X934" t="str">
        <f>IF($AS934="","",Config!$B$29)</f>
        <v/>
      </c>
      <c r="Y934" t="str">
        <f>IF($AT934="","",INDEX(Calc!$I$2:$I$1601,$AT934)&amp;" - "&amp;INDEX(Calc!$D$2:$D$1601,$AT934)&amp;" koli")</f>
        <v/>
      </c>
      <c r="Z934" t="str">
        <f>IF($AS934="","",Config!$B$21)</f>
        <v/>
      </c>
      <c r="AA934" t="str">
        <f>IF($AS934="","",Config!$B$22)</f>
        <v/>
      </c>
      <c r="AB934" t="str">
        <f>IF($AT934="","",INDEX(Calc!$D$2:$D$1601,$AT934))</f>
        <v/>
      </c>
      <c r="AC934" t="str">
        <f>IF($AT934="","",INDEX(Calc!$G$2:$G$1601,$AT934))</f>
        <v/>
      </c>
      <c r="AD934" t="str">
        <f>IF($AS934="","",Config!$B$23)</f>
        <v/>
      </c>
      <c r="AE934" t="str">
        <f>IF($AS934="","",Config!$B$28)</f>
        <v/>
      </c>
      <c r="AF934" t="str">
        <f t="shared" si="86"/>
        <v/>
      </c>
      <c r="AG934" t="str">
        <f t="shared" si="87"/>
        <v/>
      </c>
      <c r="AH934" t="str">
        <f t="shared" si="88"/>
        <v/>
      </c>
      <c r="AI934" t="str">
        <f>IF($AG934="","",SUMIF($AG$2:$AG934,$AG934,$AH$2:$AH934))</f>
        <v/>
      </c>
      <c r="AJ934" t="str">
        <f>IF('TMP Paste'!$F934="","",IF('TMP Paste'!$B934="",$AJ933,'TMP Paste'!$B934))</f>
        <v/>
      </c>
      <c r="AK934" t="str">
        <f>IF('TMP Paste'!$F934="","",N('TMP Paste'!$G934))</f>
        <v/>
      </c>
      <c r="AL934" t="str">
        <f>IF('TMP Paste'!$F934="","",IF('TMP Paste'!$M934="",$AL933,'TMP Paste'!$M934))</f>
        <v/>
      </c>
      <c r="AM934" t="str">
        <f>IF('TMP Paste'!$F934="","",IF('TMP Paste'!$N934="",$AM933,'TMP Paste'!$N934))</f>
        <v/>
      </c>
      <c r="AN934" t="str">
        <f>IF('TMP Paste'!$F934="","",IF('TMP Paste'!$O934="",$AN933,'TMP Paste'!$O934))</f>
        <v/>
      </c>
      <c r="AO934" t="str">
        <f>IF('TMP Paste'!$F934="","",IF('TMP Paste'!$P934="",$AO933,'TMP Paste'!$P934))</f>
        <v/>
      </c>
      <c r="AP934" t="str">
        <f t="shared" si="89"/>
        <v/>
      </c>
      <c r="AQ934" t="str">
        <f>IF($AS934="","",TRIM(IF(COUNTIFS(Calc!$B$2:$B$1601,ROW()-1,Calc!$C$2:$C$1601,"&lt;1")&gt;0,"Ada PO tanpa Koli - cek TMP. ","")&amp;IF(OR($AU934="",$AU934&lt;=0),"Volume kosong/0 - dimensi dikosongkan. ","")&amp;IF(AND($AU934&lt;&gt;"",$AU934&gt;=1000000),"Volume &gt;= 1.000.000 cm3 (di luar aturan) - dimensi dikosongkan. ","")&amp;IF(LEN($R934)&gt;500,"R &gt; 500 karakter.","")))</f>
        <v/>
      </c>
      <c r="AS934" t="str">
        <f>IFERROR(MATCH(ROW()-1,Calc!$J$2:$J$1601,0),"")</f>
        <v/>
      </c>
      <c r="AT934" t="str">
        <f>IFERROR(MATCH(ROW()-1,Calc!$K$2:$K$1601,0),"")</f>
        <v/>
      </c>
      <c r="AU934" t="str">
        <f>IF($AS934="","",IFERROR(INDEX('TMP Paste'!$D$2:$D$1601,$AS934)*1000000/$AB934,""))</f>
        <v/>
      </c>
    </row>
    <row r="935" spans="1:47">
      <c r="A935" t="str">
        <f>IF($AS935="","",INDEX('TMP Paste'!$B$2:$B$1601,$AS935))</f>
        <v/>
      </c>
      <c r="B935" t="str">
        <f>IF($AS935="","",Config!$B$14)</f>
        <v/>
      </c>
      <c r="C935" t="str">
        <f>IF($AS935="","",Config!$B$15)</f>
        <v/>
      </c>
      <c r="D935" t="str">
        <f>IF($AS935="","",INDEX('TMP Paste'!$B$2:$B$1601,$AS935))</f>
        <v/>
      </c>
      <c r="E935" t="str">
        <f>IF($AS935="","",Config!$B$27)</f>
        <v/>
      </c>
      <c r="F935" t="str">
        <f>IF($AS935="","",Config!$B$9)</f>
        <v/>
      </c>
      <c r="G935" t="str">
        <f>IF($AS935="","",Config!$B$10)</f>
        <v/>
      </c>
      <c r="H935" t="str">
        <f>IF($AS935="","",Config!$B$11)</f>
        <v/>
      </c>
      <c r="I935" t="str">
        <f>IF($AS935="","",Config!$B$16)</f>
        <v/>
      </c>
      <c r="J935" t="str">
        <f>IF($AS935="","",INDEX('TMP Paste'!$A$2:$A$1601,$AS935))</f>
        <v/>
      </c>
      <c r="K935" t="str">
        <f>IF($AS935="","",INDEX('TMP Paste'!$L$2:$L$1601,$AS935))</f>
        <v/>
      </c>
      <c r="L935" t="str">
        <f>IF($AS935="","",INDEX('TMP Paste'!$I$2:$I$1601,$AS935))</f>
        <v/>
      </c>
      <c r="M935" t="str">
        <f>IF($AS935="","",Config!$B$16)</f>
        <v/>
      </c>
      <c r="N935" t="str">
        <f t="shared" si="84"/>
        <v/>
      </c>
      <c r="O935" t="str">
        <f>IF($AS935="","",INDEX('TMP Paste'!$K$2:$K$1601,$AS935))</f>
        <v/>
      </c>
      <c r="P935" t="str">
        <f t="shared" si="85"/>
        <v/>
      </c>
      <c r="Q935" t="str">
        <f>IF($AS935="","",INDEX('TMP Paste'!$J$2:$J$1601,$AS935))</f>
        <v/>
      </c>
      <c r="R935" t="str">
        <f>IF($AS935="","",Config!$B$24)</f>
        <v/>
      </c>
      <c r="S935" t="str">
        <f ca="1">IF($AS935="","",TEXT(Config!$B$4,"yyyy-mm-dd"))</f>
        <v/>
      </c>
      <c r="T935" t="str">
        <f>IF($AS935="","",Config!$B$17)</f>
        <v/>
      </c>
      <c r="U935" t="str">
        <f>IF($AS935="","",Config!$B$18)</f>
        <v/>
      </c>
      <c r="V935" t="str">
        <f>IF($AS935="","",Config!$B$19)</f>
        <v/>
      </c>
      <c r="W935" t="str">
        <f>IF($AS935="","",INDEX('TMP Paste'!$C$2:$C$1601,$AS935))</f>
        <v/>
      </c>
      <c r="X935" t="str">
        <f>IF($AS935="","",Config!$B$29)</f>
        <v/>
      </c>
      <c r="Y935" t="str">
        <f>IF($AT935="","",INDEX(Calc!$I$2:$I$1601,$AT935)&amp;" - "&amp;INDEX(Calc!$D$2:$D$1601,$AT935)&amp;" koli")</f>
        <v/>
      </c>
      <c r="Z935" t="str">
        <f>IF($AS935="","",Config!$B$21)</f>
        <v/>
      </c>
      <c r="AA935" t="str">
        <f>IF($AS935="","",Config!$B$22)</f>
        <v/>
      </c>
      <c r="AB935" t="str">
        <f>IF($AT935="","",INDEX(Calc!$D$2:$D$1601,$AT935))</f>
        <v/>
      </c>
      <c r="AC935" t="str">
        <f>IF($AT935="","",INDEX(Calc!$G$2:$G$1601,$AT935))</f>
        <v/>
      </c>
      <c r="AD935" t="str">
        <f>IF($AS935="","",Config!$B$23)</f>
        <v/>
      </c>
      <c r="AE935" t="str">
        <f>IF($AS935="","",Config!$B$28)</f>
        <v/>
      </c>
      <c r="AF935" t="str">
        <f t="shared" si="86"/>
        <v/>
      </c>
      <c r="AG935" t="str">
        <f t="shared" si="87"/>
        <v/>
      </c>
      <c r="AH935" t="str">
        <f t="shared" si="88"/>
        <v/>
      </c>
      <c r="AI935" t="str">
        <f>IF($AG935="","",SUMIF($AG$2:$AG935,$AG935,$AH$2:$AH935))</f>
        <v/>
      </c>
      <c r="AJ935" t="str">
        <f>IF('TMP Paste'!$F935="","",IF('TMP Paste'!$B935="",$AJ934,'TMP Paste'!$B935))</f>
        <v/>
      </c>
      <c r="AK935" t="str">
        <f>IF('TMP Paste'!$F935="","",N('TMP Paste'!$G935))</f>
        <v/>
      </c>
      <c r="AL935" t="str">
        <f>IF('TMP Paste'!$F935="","",IF('TMP Paste'!$M935="",$AL934,'TMP Paste'!$M935))</f>
        <v/>
      </c>
      <c r="AM935" t="str">
        <f>IF('TMP Paste'!$F935="","",IF('TMP Paste'!$N935="",$AM934,'TMP Paste'!$N935))</f>
        <v/>
      </c>
      <c r="AN935" t="str">
        <f>IF('TMP Paste'!$F935="","",IF('TMP Paste'!$O935="",$AN934,'TMP Paste'!$O935))</f>
        <v/>
      </c>
      <c r="AO935" t="str">
        <f>IF('TMP Paste'!$F935="","",IF('TMP Paste'!$P935="",$AO934,'TMP Paste'!$P935))</f>
        <v/>
      </c>
      <c r="AP935" t="str">
        <f t="shared" si="89"/>
        <v/>
      </c>
      <c r="AQ935" t="str">
        <f>IF($AS935="","",TRIM(IF(COUNTIFS(Calc!$B$2:$B$1601,ROW()-1,Calc!$C$2:$C$1601,"&lt;1")&gt;0,"Ada PO tanpa Koli - cek TMP. ","")&amp;IF(OR($AU935="",$AU935&lt;=0),"Volume kosong/0 - dimensi dikosongkan. ","")&amp;IF(AND($AU935&lt;&gt;"",$AU935&gt;=1000000),"Volume &gt;= 1.000.000 cm3 (di luar aturan) - dimensi dikosongkan. ","")&amp;IF(LEN($R935)&gt;500,"R &gt; 500 karakter.","")))</f>
        <v/>
      </c>
      <c r="AS935" t="str">
        <f>IFERROR(MATCH(ROW()-1,Calc!$J$2:$J$1601,0),"")</f>
        <v/>
      </c>
      <c r="AT935" t="str">
        <f>IFERROR(MATCH(ROW()-1,Calc!$K$2:$K$1601,0),"")</f>
        <v/>
      </c>
      <c r="AU935" t="str">
        <f>IF($AS935="","",IFERROR(INDEX('TMP Paste'!$D$2:$D$1601,$AS935)*1000000/$AB935,""))</f>
        <v/>
      </c>
    </row>
    <row r="936" spans="1:47">
      <c r="A936" t="str">
        <f>IF($AS936="","",INDEX('TMP Paste'!$B$2:$B$1601,$AS936))</f>
        <v/>
      </c>
      <c r="B936" t="str">
        <f>IF($AS936="","",Config!$B$14)</f>
        <v/>
      </c>
      <c r="C936" t="str">
        <f>IF($AS936="","",Config!$B$15)</f>
        <v/>
      </c>
      <c r="D936" t="str">
        <f>IF($AS936="","",INDEX('TMP Paste'!$B$2:$B$1601,$AS936))</f>
        <v/>
      </c>
      <c r="E936" t="str">
        <f>IF($AS936="","",Config!$B$27)</f>
        <v/>
      </c>
      <c r="F936" t="str">
        <f>IF($AS936="","",Config!$B$9)</f>
        <v/>
      </c>
      <c r="G936" t="str">
        <f>IF($AS936="","",Config!$B$10)</f>
        <v/>
      </c>
      <c r="H936" t="str">
        <f>IF($AS936="","",Config!$B$11)</f>
        <v/>
      </c>
      <c r="I936" t="str">
        <f>IF($AS936="","",Config!$B$16)</f>
        <v/>
      </c>
      <c r="J936" t="str">
        <f>IF($AS936="","",INDEX('TMP Paste'!$A$2:$A$1601,$AS936))</f>
        <v/>
      </c>
      <c r="K936" t="str">
        <f>IF($AS936="","",INDEX('TMP Paste'!$L$2:$L$1601,$AS936))</f>
        <v/>
      </c>
      <c r="L936" t="str">
        <f>IF($AS936="","",INDEX('TMP Paste'!$I$2:$I$1601,$AS936))</f>
        <v/>
      </c>
      <c r="M936" t="str">
        <f>IF($AS936="","",Config!$B$16)</f>
        <v/>
      </c>
      <c r="N936" t="str">
        <f t="shared" si="84"/>
        <v/>
      </c>
      <c r="O936" t="str">
        <f>IF($AS936="","",INDEX('TMP Paste'!$K$2:$K$1601,$AS936))</f>
        <v/>
      </c>
      <c r="P936" t="str">
        <f t="shared" si="85"/>
        <v/>
      </c>
      <c r="Q936" t="str">
        <f>IF($AS936="","",INDEX('TMP Paste'!$J$2:$J$1601,$AS936))</f>
        <v/>
      </c>
      <c r="R936" t="str">
        <f>IF($AS936="","",Config!$B$24)</f>
        <v/>
      </c>
      <c r="S936" t="str">
        <f ca="1">IF($AS936="","",TEXT(Config!$B$4,"yyyy-mm-dd"))</f>
        <v/>
      </c>
      <c r="T936" t="str">
        <f>IF($AS936="","",Config!$B$17)</f>
        <v/>
      </c>
      <c r="U936" t="str">
        <f>IF($AS936="","",Config!$B$18)</f>
        <v/>
      </c>
      <c r="V936" t="str">
        <f>IF($AS936="","",Config!$B$19)</f>
        <v/>
      </c>
      <c r="W936" t="str">
        <f>IF($AS936="","",INDEX('TMP Paste'!$C$2:$C$1601,$AS936))</f>
        <v/>
      </c>
      <c r="X936" t="str">
        <f>IF($AS936="","",Config!$B$29)</f>
        <v/>
      </c>
      <c r="Y936" t="str">
        <f>IF($AT936="","",INDEX(Calc!$I$2:$I$1601,$AT936)&amp;" - "&amp;INDEX(Calc!$D$2:$D$1601,$AT936)&amp;" koli")</f>
        <v/>
      </c>
      <c r="Z936" t="str">
        <f>IF($AS936="","",Config!$B$21)</f>
        <v/>
      </c>
      <c r="AA936" t="str">
        <f>IF($AS936="","",Config!$B$22)</f>
        <v/>
      </c>
      <c r="AB936" t="str">
        <f>IF($AT936="","",INDEX(Calc!$D$2:$D$1601,$AT936))</f>
        <v/>
      </c>
      <c r="AC936" t="str">
        <f>IF($AT936="","",INDEX(Calc!$G$2:$G$1601,$AT936))</f>
        <v/>
      </c>
      <c r="AD936" t="str">
        <f>IF($AS936="","",Config!$B$23)</f>
        <v/>
      </c>
      <c r="AE936" t="str">
        <f>IF($AS936="","",Config!$B$28)</f>
        <v/>
      </c>
      <c r="AF936" t="str">
        <f t="shared" si="86"/>
        <v/>
      </c>
      <c r="AG936" t="str">
        <f t="shared" si="87"/>
        <v/>
      </c>
      <c r="AH936" t="str">
        <f t="shared" si="88"/>
        <v/>
      </c>
      <c r="AI936" t="str">
        <f>IF($AG936="","",SUMIF($AG$2:$AG936,$AG936,$AH$2:$AH936))</f>
        <v/>
      </c>
      <c r="AJ936" t="str">
        <f>IF('TMP Paste'!$F936="","",IF('TMP Paste'!$B936="",$AJ935,'TMP Paste'!$B936))</f>
        <v/>
      </c>
      <c r="AK936" t="str">
        <f>IF('TMP Paste'!$F936="","",N('TMP Paste'!$G936))</f>
        <v/>
      </c>
      <c r="AL936" t="str">
        <f>IF('TMP Paste'!$F936="","",IF('TMP Paste'!$M936="",$AL935,'TMP Paste'!$M936))</f>
        <v/>
      </c>
      <c r="AM936" t="str">
        <f>IF('TMP Paste'!$F936="","",IF('TMP Paste'!$N936="",$AM935,'TMP Paste'!$N936))</f>
        <v/>
      </c>
      <c r="AN936" t="str">
        <f>IF('TMP Paste'!$F936="","",IF('TMP Paste'!$O936="",$AN935,'TMP Paste'!$O936))</f>
        <v/>
      </c>
      <c r="AO936" t="str">
        <f>IF('TMP Paste'!$F936="","",IF('TMP Paste'!$P936="",$AO935,'TMP Paste'!$P936))</f>
        <v/>
      </c>
      <c r="AP936" t="str">
        <f t="shared" si="89"/>
        <v/>
      </c>
      <c r="AQ936" t="str">
        <f>IF($AS936="","",TRIM(IF(COUNTIFS(Calc!$B$2:$B$1601,ROW()-1,Calc!$C$2:$C$1601,"&lt;1")&gt;0,"Ada PO tanpa Koli - cek TMP. ","")&amp;IF(OR($AU936="",$AU936&lt;=0),"Volume kosong/0 - dimensi dikosongkan. ","")&amp;IF(AND($AU936&lt;&gt;"",$AU936&gt;=1000000),"Volume &gt;= 1.000.000 cm3 (di luar aturan) - dimensi dikosongkan. ","")&amp;IF(LEN($R936)&gt;500,"R &gt; 500 karakter.","")))</f>
        <v/>
      </c>
      <c r="AS936" t="str">
        <f>IFERROR(MATCH(ROW()-1,Calc!$J$2:$J$1601,0),"")</f>
        <v/>
      </c>
      <c r="AT936" t="str">
        <f>IFERROR(MATCH(ROW()-1,Calc!$K$2:$K$1601,0),"")</f>
        <v/>
      </c>
      <c r="AU936" t="str">
        <f>IF($AS936="","",IFERROR(INDEX('TMP Paste'!$D$2:$D$1601,$AS936)*1000000/$AB936,""))</f>
        <v/>
      </c>
    </row>
    <row r="937" spans="1:47">
      <c r="A937" t="str">
        <f>IF($AS937="","",INDEX('TMP Paste'!$B$2:$B$1601,$AS937))</f>
        <v/>
      </c>
      <c r="B937" t="str">
        <f>IF($AS937="","",Config!$B$14)</f>
        <v/>
      </c>
      <c r="C937" t="str">
        <f>IF($AS937="","",Config!$B$15)</f>
        <v/>
      </c>
      <c r="D937" t="str">
        <f>IF($AS937="","",INDEX('TMP Paste'!$B$2:$B$1601,$AS937))</f>
        <v/>
      </c>
      <c r="E937" t="str">
        <f>IF($AS937="","",Config!$B$27)</f>
        <v/>
      </c>
      <c r="F937" t="str">
        <f>IF($AS937="","",Config!$B$9)</f>
        <v/>
      </c>
      <c r="G937" t="str">
        <f>IF($AS937="","",Config!$B$10)</f>
        <v/>
      </c>
      <c r="H937" t="str">
        <f>IF($AS937="","",Config!$B$11)</f>
        <v/>
      </c>
      <c r="I937" t="str">
        <f>IF($AS937="","",Config!$B$16)</f>
        <v/>
      </c>
      <c r="J937" t="str">
        <f>IF($AS937="","",INDEX('TMP Paste'!$A$2:$A$1601,$AS937))</f>
        <v/>
      </c>
      <c r="K937" t="str">
        <f>IF($AS937="","",INDEX('TMP Paste'!$L$2:$L$1601,$AS937))</f>
        <v/>
      </c>
      <c r="L937" t="str">
        <f>IF($AS937="","",INDEX('TMP Paste'!$I$2:$I$1601,$AS937))</f>
        <v/>
      </c>
      <c r="M937" t="str">
        <f>IF($AS937="","",Config!$B$16)</f>
        <v/>
      </c>
      <c r="N937" t="str">
        <f t="shared" si="84"/>
        <v/>
      </c>
      <c r="O937" t="str">
        <f>IF($AS937="","",INDEX('TMP Paste'!$K$2:$K$1601,$AS937))</f>
        <v/>
      </c>
      <c r="P937" t="str">
        <f t="shared" si="85"/>
        <v/>
      </c>
      <c r="Q937" t="str">
        <f>IF($AS937="","",INDEX('TMP Paste'!$J$2:$J$1601,$AS937))</f>
        <v/>
      </c>
      <c r="R937" t="str">
        <f>IF($AS937="","",Config!$B$24)</f>
        <v/>
      </c>
      <c r="S937" t="str">
        <f ca="1">IF($AS937="","",TEXT(Config!$B$4,"yyyy-mm-dd"))</f>
        <v/>
      </c>
      <c r="T937" t="str">
        <f>IF($AS937="","",Config!$B$17)</f>
        <v/>
      </c>
      <c r="U937" t="str">
        <f>IF($AS937="","",Config!$B$18)</f>
        <v/>
      </c>
      <c r="V937" t="str">
        <f>IF($AS937="","",Config!$B$19)</f>
        <v/>
      </c>
      <c r="W937" t="str">
        <f>IF($AS937="","",INDEX('TMP Paste'!$C$2:$C$1601,$AS937))</f>
        <v/>
      </c>
      <c r="X937" t="str">
        <f>IF($AS937="","",Config!$B$29)</f>
        <v/>
      </c>
      <c r="Y937" t="str">
        <f>IF($AT937="","",INDEX(Calc!$I$2:$I$1601,$AT937)&amp;" - "&amp;INDEX(Calc!$D$2:$D$1601,$AT937)&amp;" koli")</f>
        <v/>
      </c>
      <c r="Z937" t="str">
        <f>IF($AS937="","",Config!$B$21)</f>
        <v/>
      </c>
      <c r="AA937" t="str">
        <f>IF($AS937="","",Config!$B$22)</f>
        <v/>
      </c>
      <c r="AB937" t="str">
        <f>IF($AT937="","",INDEX(Calc!$D$2:$D$1601,$AT937))</f>
        <v/>
      </c>
      <c r="AC937" t="str">
        <f>IF($AT937="","",INDEX(Calc!$G$2:$G$1601,$AT937))</f>
        <v/>
      </c>
      <c r="AD937" t="str">
        <f>IF($AS937="","",Config!$B$23)</f>
        <v/>
      </c>
      <c r="AE937" t="str">
        <f>IF($AS937="","",Config!$B$28)</f>
        <v/>
      </c>
      <c r="AF937" t="str">
        <f t="shared" si="86"/>
        <v/>
      </c>
      <c r="AG937" t="str">
        <f t="shared" si="87"/>
        <v/>
      </c>
      <c r="AH937" t="str">
        <f t="shared" si="88"/>
        <v/>
      </c>
      <c r="AI937" t="str">
        <f>IF($AG937="","",SUMIF($AG$2:$AG937,$AG937,$AH$2:$AH937))</f>
        <v/>
      </c>
      <c r="AJ937" t="str">
        <f>IF('TMP Paste'!$F937="","",IF('TMP Paste'!$B937="",$AJ936,'TMP Paste'!$B937))</f>
        <v/>
      </c>
      <c r="AK937" t="str">
        <f>IF('TMP Paste'!$F937="","",N('TMP Paste'!$G937))</f>
        <v/>
      </c>
      <c r="AL937" t="str">
        <f>IF('TMP Paste'!$F937="","",IF('TMP Paste'!$M937="",$AL936,'TMP Paste'!$M937))</f>
        <v/>
      </c>
      <c r="AM937" t="str">
        <f>IF('TMP Paste'!$F937="","",IF('TMP Paste'!$N937="",$AM936,'TMP Paste'!$N937))</f>
        <v/>
      </c>
      <c r="AN937" t="str">
        <f>IF('TMP Paste'!$F937="","",IF('TMP Paste'!$O937="",$AN936,'TMP Paste'!$O937))</f>
        <v/>
      </c>
      <c r="AO937" t="str">
        <f>IF('TMP Paste'!$F937="","",IF('TMP Paste'!$P937="",$AO936,'TMP Paste'!$P937))</f>
        <v/>
      </c>
      <c r="AP937" t="str">
        <f t="shared" si="89"/>
        <v/>
      </c>
      <c r="AQ937" t="str">
        <f>IF($AS937="","",TRIM(IF(COUNTIFS(Calc!$B$2:$B$1601,ROW()-1,Calc!$C$2:$C$1601,"&lt;1")&gt;0,"Ada PO tanpa Koli - cek TMP. ","")&amp;IF(OR($AU937="",$AU937&lt;=0),"Volume kosong/0 - dimensi dikosongkan. ","")&amp;IF(AND($AU937&lt;&gt;"",$AU937&gt;=1000000),"Volume &gt;= 1.000.000 cm3 (di luar aturan) - dimensi dikosongkan. ","")&amp;IF(LEN($R937)&gt;500,"R &gt; 500 karakter.","")))</f>
        <v/>
      </c>
      <c r="AS937" t="str">
        <f>IFERROR(MATCH(ROW()-1,Calc!$J$2:$J$1601,0),"")</f>
        <v/>
      </c>
      <c r="AT937" t="str">
        <f>IFERROR(MATCH(ROW()-1,Calc!$K$2:$K$1601,0),"")</f>
        <v/>
      </c>
      <c r="AU937" t="str">
        <f>IF($AS937="","",IFERROR(INDEX('TMP Paste'!$D$2:$D$1601,$AS937)*1000000/$AB937,""))</f>
        <v/>
      </c>
    </row>
    <row r="938" spans="1:47">
      <c r="A938" t="str">
        <f>IF($AS938="","",INDEX('TMP Paste'!$B$2:$B$1601,$AS938))</f>
        <v/>
      </c>
      <c r="B938" t="str">
        <f>IF($AS938="","",Config!$B$14)</f>
        <v/>
      </c>
      <c r="C938" t="str">
        <f>IF($AS938="","",Config!$B$15)</f>
        <v/>
      </c>
      <c r="D938" t="str">
        <f>IF($AS938="","",INDEX('TMP Paste'!$B$2:$B$1601,$AS938))</f>
        <v/>
      </c>
      <c r="E938" t="str">
        <f>IF($AS938="","",Config!$B$27)</f>
        <v/>
      </c>
      <c r="F938" t="str">
        <f>IF($AS938="","",Config!$B$9)</f>
        <v/>
      </c>
      <c r="G938" t="str">
        <f>IF($AS938="","",Config!$B$10)</f>
        <v/>
      </c>
      <c r="H938" t="str">
        <f>IF($AS938="","",Config!$B$11)</f>
        <v/>
      </c>
      <c r="I938" t="str">
        <f>IF($AS938="","",Config!$B$16)</f>
        <v/>
      </c>
      <c r="J938" t="str">
        <f>IF($AS938="","",INDEX('TMP Paste'!$A$2:$A$1601,$AS938))</f>
        <v/>
      </c>
      <c r="K938" t="str">
        <f>IF($AS938="","",INDEX('TMP Paste'!$L$2:$L$1601,$AS938))</f>
        <v/>
      </c>
      <c r="L938" t="str">
        <f>IF($AS938="","",INDEX('TMP Paste'!$I$2:$I$1601,$AS938))</f>
        <v/>
      </c>
      <c r="M938" t="str">
        <f>IF($AS938="","",Config!$B$16)</f>
        <v/>
      </c>
      <c r="N938" t="str">
        <f t="shared" si="84"/>
        <v/>
      </c>
      <c r="O938" t="str">
        <f>IF($AS938="","",INDEX('TMP Paste'!$K$2:$K$1601,$AS938))</f>
        <v/>
      </c>
      <c r="P938" t="str">
        <f t="shared" si="85"/>
        <v/>
      </c>
      <c r="Q938" t="str">
        <f>IF($AS938="","",INDEX('TMP Paste'!$J$2:$J$1601,$AS938))</f>
        <v/>
      </c>
      <c r="R938" t="str">
        <f>IF($AS938="","",Config!$B$24)</f>
        <v/>
      </c>
      <c r="S938" t="str">
        <f ca="1">IF($AS938="","",TEXT(Config!$B$4,"yyyy-mm-dd"))</f>
        <v/>
      </c>
      <c r="T938" t="str">
        <f>IF($AS938="","",Config!$B$17)</f>
        <v/>
      </c>
      <c r="U938" t="str">
        <f>IF($AS938="","",Config!$B$18)</f>
        <v/>
      </c>
      <c r="V938" t="str">
        <f>IF($AS938="","",Config!$B$19)</f>
        <v/>
      </c>
      <c r="W938" t="str">
        <f>IF($AS938="","",INDEX('TMP Paste'!$C$2:$C$1601,$AS938))</f>
        <v/>
      </c>
      <c r="X938" t="str">
        <f>IF($AS938="","",Config!$B$29)</f>
        <v/>
      </c>
      <c r="Y938" t="str">
        <f>IF($AT938="","",INDEX(Calc!$I$2:$I$1601,$AT938)&amp;" - "&amp;INDEX(Calc!$D$2:$D$1601,$AT938)&amp;" koli")</f>
        <v/>
      </c>
      <c r="Z938" t="str">
        <f>IF($AS938="","",Config!$B$21)</f>
        <v/>
      </c>
      <c r="AA938" t="str">
        <f>IF($AS938="","",Config!$B$22)</f>
        <v/>
      </c>
      <c r="AB938" t="str">
        <f>IF($AT938="","",INDEX(Calc!$D$2:$D$1601,$AT938))</f>
        <v/>
      </c>
      <c r="AC938" t="str">
        <f>IF($AT938="","",INDEX(Calc!$G$2:$G$1601,$AT938))</f>
        <v/>
      </c>
      <c r="AD938" t="str">
        <f>IF($AS938="","",Config!$B$23)</f>
        <v/>
      </c>
      <c r="AE938" t="str">
        <f>IF($AS938="","",Config!$B$28)</f>
        <v/>
      </c>
      <c r="AF938" t="str">
        <f t="shared" si="86"/>
        <v/>
      </c>
      <c r="AG938" t="str">
        <f t="shared" si="87"/>
        <v/>
      </c>
      <c r="AH938" t="str">
        <f t="shared" si="88"/>
        <v/>
      </c>
      <c r="AI938" t="str">
        <f>IF($AG938="","",SUMIF($AG$2:$AG938,$AG938,$AH$2:$AH938))</f>
        <v/>
      </c>
      <c r="AJ938" t="str">
        <f>IF('TMP Paste'!$F938="","",IF('TMP Paste'!$B938="",$AJ937,'TMP Paste'!$B938))</f>
        <v/>
      </c>
      <c r="AK938" t="str">
        <f>IF('TMP Paste'!$F938="","",N('TMP Paste'!$G938))</f>
        <v/>
      </c>
      <c r="AL938" t="str">
        <f>IF('TMP Paste'!$F938="","",IF('TMP Paste'!$M938="",$AL937,'TMP Paste'!$M938))</f>
        <v/>
      </c>
      <c r="AM938" t="str">
        <f>IF('TMP Paste'!$F938="","",IF('TMP Paste'!$N938="",$AM937,'TMP Paste'!$N938))</f>
        <v/>
      </c>
      <c r="AN938" t="str">
        <f>IF('TMP Paste'!$F938="","",IF('TMP Paste'!$O938="",$AN937,'TMP Paste'!$O938))</f>
        <v/>
      </c>
      <c r="AO938" t="str">
        <f>IF('TMP Paste'!$F938="","",IF('TMP Paste'!$P938="",$AO937,'TMP Paste'!$P938))</f>
        <v/>
      </c>
      <c r="AP938" t="str">
        <f t="shared" si="89"/>
        <v/>
      </c>
      <c r="AQ938" t="str">
        <f>IF($AS938="","",TRIM(IF(COUNTIFS(Calc!$B$2:$B$1601,ROW()-1,Calc!$C$2:$C$1601,"&lt;1")&gt;0,"Ada PO tanpa Koli - cek TMP. ","")&amp;IF(OR($AU938="",$AU938&lt;=0),"Volume kosong/0 - dimensi dikosongkan. ","")&amp;IF(AND($AU938&lt;&gt;"",$AU938&gt;=1000000),"Volume &gt;= 1.000.000 cm3 (di luar aturan) - dimensi dikosongkan. ","")&amp;IF(LEN($R938)&gt;500,"R &gt; 500 karakter.","")))</f>
        <v/>
      </c>
      <c r="AS938" t="str">
        <f>IFERROR(MATCH(ROW()-1,Calc!$J$2:$J$1601,0),"")</f>
        <v/>
      </c>
      <c r="AT938" t="str">
        <f>IFERROR(MATCH(ROW()-1,Calc!$K$2:$K$1601,0),"")</f>
        <v/>
      </c>
      <c r="AU938" t="str">
        <f>IF($AS938="","",IFERROR(INDEX('TMP Paste'!$D$2:$D$1601,$AS938)*1000000/$AB938,""))</f>
        <v/>
      </c>
    </row>
    <row r="939" spans="1:47">
      <c r="A939" t="str">
        <f>IF($AS939="","",INDEX('TMP Paste'!$B$2:$B$1601,$AS939))</f>
        <v/>
      </c>
      <c r="B939" t="str">
        <f>IF($AS939="","",Config!$B$14)</f>
        <v/>
      </c>
      <c r="C939" t="str">
        <f>IF($AS939="","",Config!$B$15)</f>
        <v/>
      </c>
      <c r="D939" t="str">
        <f>IF($AS939="","",INDEX('TMP Paste'!$B$2:$B$1601,$AS939))</f>
        <v/>
      </c>
      <c r="E939" t="str">
        <f>IF($AS939="","",Config!$B$27)</f>
        <v/>
      </c>
      <c r="F939" t="str">
        <f>IF($AS939="","",Config!$B$9)</f>
        <v/>
      </c>
      <c r="G939" t="str">
        <f>IF($AS939="","",Config!$B$10)</f>
        <v/>
      </c>
      <c r="H939" t="str">
        <f>IF($AS939="","",Config!$B$11)</f>
        <v/>
      </c>
      <c r="I939" t="str">
        <f>IF($AS939="","",Config!$B$16)</f>
        <v/>
      </c>
      <c r="J939" t="str">
        <f>IF($AS939="","",INDEX('TMP Paste'!$A$2:$A$1601,$AS939))</f>
        <v/>
      </c>
      <c r="K939" t="str">
        <f>IF($AS939="","",INDEX('TMP Paste'!$L$2:$L$1601,$AS939))</f>
        <v/>
      </c>
      <c r="L939" t="str">
        <f>IF($AS939="","",INDEX('TMP Paste'!$I$2:$I$1601,$AS939))</f>
        <v/>
      </c>
      <c r="M939" t="str">
        <f>IF($AS939="","",Config!$B$16)</f>
        <v/>
      </c>
      <c r="N939" t="str">
        <f t="shared" si="84"/>
        <v/>
      </c>
      <c r="O939" t="str">
        <f>IF($AS939="","",INDEX('TMP Paste'!$K$2:$K$1601,$AS939))</f>
        <v/>
      </c>
      <c r="P939" t="str">
        <f t="shared" si="85"/>
        <v/>
      </c>
      <c r="Q939" t="str">
        <f>IF($AS939="","",INDEX('TMP Paste'!$J$2:$J$1601,$AS939))</f>
        <v/>
      </c>
      <c r="R939" t="str">
        <f>IF($AS939="","",Config!$B$24)</f>
        <v/>
      </c>
      <c r="S939" t="str">
        <f ca="1">IF($AS939="","",TEXT(Config!$B$4,"yyyy-mm-dd"))</f>
        <v/>
      </c>
      <c r="T939" t="str">
        <f>IF($AS939="","",Config!$B$17)</f>
        <v/>
      </c>
      <c r="U939" t="str">
        <f>IF($AS939="","",Config!$B$18)</f>
        <v/>
      </c>
      <c r="V939" t="str">
        <f>IF($AS939="","",Config!$B$19)</f>
        <v/>
      </c>
      <c r="W939" t="str">
        <f>IF($AS939="","",INDEX('TMP Paste'!$C$2:$C$1601,$AS939))</f>
        <v/>
      </c>
      <c r="X939" t="str">
        <f>IF($AS939="","",Config!$B$29)</f>
        <v/>
      </c>
      <c r="Y939" t="str">
        <f>IF($AT939="","",INDEX(Calc!$I$2:$I$1601,$AT939)&amp;" - "&amp;INDEX(Calc!$D$2:$D$1601,$AT939)&amp;" koli")</f>
        <v/>
      </c>
      <c r="Z939" t="str">
        <f>IF($AS939="","",Config!$B$21)</f>
        <v/>
      </c>
      <c r="AA939" t="str">
        <f>IF($AS939="","",Config!$B$22)</f>
        <v/>
      </c>
      <c r="AB939" t="str">
        <f>IF($AT939="","",INDEX(Calc!$D$2:$D$1601,$AT939))</f>
        <v/>
      </c>
      <c r="AC939" t="str">
        <f>IF($AT939="","",INDEX(Calc!$G$2:$G$1601,$AT939))</f>
        <v/>
      </c>
      <c r="AD939" t="str">
        <f>IF($AS939="","",Config!$B$23)</f>
        <v/>
      </c>
      <c r="AE939" t="str">
        <f>IF($AS939="","",Config!$B$28)</f>
        <v/>
      </c>
      <c r="AF939" t="str">
        <f t="shared" si="86"/>
        <v/>
      </c>
      <c r="AG939" t="str">
        <f t="shared" si="87"/>
        <v/>
      </c>
      <c r="AH939" t="str">
        <f t="shared" si="88"/>
        <v/>
      </c>
      <c r="AI939" t="str">
        <f>IF($AG939="","",SUMIF($AG$2:$AG939,$AG939,$AH$2:$AH939))</f>
        <v/>
      </c>
      <c r="AJ939" t="str">
        <f>IF('TMP Paste'!$F939="","",IF('TMP Paste'!$B939="",$AJ938,'TMP Paste'!$B939))</f>
        <v/>
      </c>
      <c r="AK939" t="str">
        <f>IF('TMP Paste'!$F939="","",N('TMP Paste'!$G939))</f>
        <v/>
      </c>
      <c r="AL939" t="str">
        <f>IF('TMP Paste'!$F939="","",IF('TMP Paste'!$M939="",$AL938,'TMP Paste'!$M939))</f>
        <v/>
      </c>
      <c r="AM939" t="str">
        <f>IF('TMP Paste'!$F939="","",IF('TMP Paste'!$N939="",$AM938,'TMP Paste'!$N939))</f>
        <v/>
      </c>
      <c r="AN939" t="str">
        <f>IF('TMP Paste'!$F939="","",IF('TMP Paste'!$O939="",$AN938,'TMP Paste'!$O939))</f>
        <v/>
      </c>
      <c r="AO939" t="str">
        <f>IF('TMP Paste'!$F939="","",IF('TMP Paste'!$P939="",$AO938,'TMP Paste'!$P939))</f>
        <v/>
      </c>
      <c r="AP939" t="str">
        <f t="shared" si="89"/>
        <v/>
      </c>
      <c r="AQ939" t="str">
        <f>IF($AS939="","",TRIM(IF(COUNTIFS(Calc!$B$2:$B$1601,ROW()-1,Calc!$C$2:$C$1601,"&lt;1")&gt;0,"Ada PO tanpa Koli - cek TMP. ","")&amp;IF(OR($AU939="",$AU939&lt;=0),"Volume kosong/0 - dimensi dikosongkan. ","")&amp;IF(AND($AU939&lt;&gt;"",$AU939&gt;=1000000),"Volume &gt;= 1.000.000 cm3 (di luar aturan) - dimensi dikosongkan. ","")&amp;IF(LEN($R939)&gt;500,"R &gt; 500 karakter.","")))</f>
        <v/>
      </c>
      <c r="AS939" t="str">
        <f>IFERROR(MATCH(ROW()-1,Calc!$J$2:$J$1601,0),"")</f>
        <v/>
      </c>
      <c r="AT939" t="str">
        <f>IFERROR(MATCH(ROW()-1,Calc!$K$2:$K$1601,0),"")</f>
        <v/>
      </c>
      <c r="AU939" t="str">
        <f>IF($AS939="","",IFERROR(INDEX('TMP Paste'!$D$2:$D$1601,$AS939)*1000000/$AB939,""))</f>
        <v/>
      </c>
    </row>
    <row r="940" spans="1:47">
      <c r="A940" t="str">
        <f>IF($AS940="","",INDEX('TMP Paste'!$B$2:$B$1601,$AS940))</f>
        <v/>
      </c>
      <c r="B940" t="str">
        <f>IF($AS940="","",Config!$B$14)</f>
        <v/>
      </c>
      <c r="C940" t="str">
        <f>IF($AS940="","",Config!$B$15)</f>
        <v/>
      </c>
      <c r="D940" t="str">
        <f>IF($AS940="","",INDEX('TMP Paste'!$B$2:$B$1601,$AS940))</f>
        <v/>
      </c>
      <c r="E940" t="str">
        <f>IF($AS940="","",Config!$B$27)</f>
        <v/>
      </c>
      <c r="F940" t="str">
        <f>IF($AS940="","",Config!$B$9)</f>
        <v/>
      </c>
      <c r="G940" t="str">
        <f>IF($AS940="","",Config!$B$10)</f>
        <v/>
      </c>
      <c r="H940" t="str">
        <f>IF($AS940="","",Config!$B$11)</f>
        <v/>
      </c>
      <c r="I940" t="str">
        <f>IF($AS940="","",Config!$B$16)</f>
        <v/>
      </c>
      <c r="J940" t="str">
        <f>IF($AS940="","",INDEX('TMP Paste'!$A$2:$A$1601,$AS940))</f>
        <v/>
      </c>
      <c r="K940" t="str">
        <f>IF($AS940="","",INDEX('TMP Paste'!$L$2:$L$1601,$AS940))</f>
        <v/>
      </c>
      <c r="L940" t="str">
        <f>IF($AS940="","",INDEX('TMP Paste'!$I$2:$I$1601,$AS940))</f>
        <v/>
      </c>
      <c r="M940" t="str">
        <f>IF($AS940="","",Config!$B$16)</f>
        <v/>
      </c>
      <c r="N940" t="str">
        <f t="shared" si="84"/>
        <v/>
      </c>
      <c r="O940" t="str">
        <f>IF($AS940="","",INDEX('TMP Paste'!$K$2:$K$1601,$AS940))</f>
        <v/>
      </c>
      <c r="P940" t="str">
        <f t="shared" si="85"/>
        <v/>
      </c>
      <c r="Q940" t="str">
        <f>IF($AS940="","",INDEX('TMP Paste'!$J$2:$J$1601,$AS940))</f>
        <v/>
      </c>
      <c r="R940" t="str">
        <f>IF($AS940="","",Config!$B$24)</f>
        <v/>
      </c>
      <c r="S940" t="str">
        <f ca="1">IF($AS940="","",TEXT(Config!$B$4,"yyyy-mm-dd"))</f>
        <v/>
      </c>
      <c r="T940" t="str">
        <f>IF($AS940="","",Config!$B$17)</f>
        <v/>
      </c>
      <c r="U940" t="str">
        <f>IF($AS940="","",Config!$B$18)</f>
        <v/>
      </c>
      <c r="V940" t="str">
        <f>IF($AS940="","",Config!$B$19)</f>
        <v/>
      </c>
      <c r="W940" t="str">
        <f>IF($AS940="","",INDEX('TMP Paste'!$C$2:$C$1601,$AS940))</f>
        <v/>
      </c>
      <c r="X940" t="str">
        <f>IF($AS940="","",Config!$B$29)</f>
        <v/>
      </c>
      <c r="Y940" t="str">
        <f>IF($AT940="","",INDEX(Calc!$I$2:$I$1601,$AT940)&amp;" - "&amp;INDEX(Calc!$D$2:$D$1601,$AT940)&amp;" koli")</f>
        <v/>
      </c>
      <c r="Z940" t="str">
        <f>IF($AS940="","",Config!$B$21)</f>
        <v/>
      </c>
      <c r="AA940" t="str">
        <f>IF($AS940="","",Config!$B$22)</f>
        <v/>
      </c>
      <c r="AB940" t="str">
        <f>IF($AT940="","",INDEX(Calc!$D$2:$D$1601,$AT940))</f>
        <v/>
      </c>
      <c r="AC940" t="str">
        <f>IF($AT940="","",INDEX(Calc!$G$2:$G$1601,$AT940))</f>
        <v/>
      </c>
      <c r="AD940" t="str">
        <f>IF($AS940="","",Config!$B$23)</f>
        <v/>
      </c>
      <c r="AE940" t="str">
        <f>IF($AS940="","",Config!$B$28)</f>
        <v/>
      </c>
      <c r="AF940" t="str">
        <f t="shared" si="86"/>
        <v/>
      </c>
      <c r="AG940" t="str">
        <f t="shared" si="87"/>
        <v/>
      </c>
      <c r="AH940" t="str">
        <f t="shared" si="88"/>
        <v/>
      </c>
      <c r="AI940" t="str">
        <f>IF($AG940="","",SUMIF($AG$2:$AG940,$AG940,$AH$2:$AH940))</f>
        <v/>
      </c>
      <c r="AJ940" t="str">
        <f>IF('TMP Paste'!$F940="","",IF('TMP Paste'!$B940="",$AJ939,'TMP Paste'!$B940))</f>
        <v/>
      </c>
      <c r="AK940" t="str">
        <f>IF('TMP Paste'!$F940="","",N('TMP Paste'!$G940))</f>
        <v/>
      </c>
      <c r="AL940" t="str">
        <f>IF('TMP Paste'!$F940="","",IF('TMP Paste'!$M940="",$AL939,'TMP Paste'!$M940))</f>
        <v/>
      </c>
      <c r="AM940" t="str">
        <f>IF('TMP Paste'!$F940="","",IF('TMP Paste'!$N940="",$AM939,'TMP Paste'!$N940))</f>
        <v/>
      </c>
      <c r="AN940" t="str">
        <f>IF('TMP Paste'!$F940="","",IF('TMP Paste'!$O940="",$AN939,'TMP Paste'!$O940))</f>
        <v/>
      </c>
      <c r="AO940" t="str">
        <f>IF('TMP Paste'!$F940="","",IF('TMP Paste'!$P940="",$AO939,'TMP Paste'!$P940))</f>
        <v/>
      </c>
      <c r="AP940" t="str">
        <f t="shared" si="89"/>
        <v/>
      </c>
      <c r="AQ940" t="str">
        <f>IF($AS940="","",TRIM(IF(COUNTIFS(Calc!$B$2:$B$1601,ROW()-1,Calc!$C$2:$C$1601,"&lt;1")&gt;0,"Ada PO tanpa Koli - cek TMP. ","")&amp;IF(OR($AU940="",$AU940&lt;=0),"Volume kosong/0 - dimensi dikosongkan. ","")&amp;IF(AND($AU940&lt;&gt;"",$AU940&gt;=1000000),"Volume &gt;= 1.000.000 cm3 (di luar aturan) - dimensi dikosongkan. ","")&amp;IF(LEN($R940)&gt;500,"R &gt; 500 karakter.","")))</f>
        <v/>
      </c>
      <c r="AS940" t="str">
        <f>IFERROR(MATCH(ROW()-1,Calc!$J$2:$J$1601,0),"")</f>
        <v/>
      </c>
      <c r="AT940" t="str">
        <f>IFERROR(MATCH(ROW()-1,Calc!$K$2:$K$1601,0),"")</f>
        <v/>
      </c>
      <c r="AU940" t="str">
        <f>IF($AS940="","",IFERROR(INDEX('TMP Paste'!$D$2:$D$1601,$AS940)*1000000/$AB940,""))</f>
        <v/>
      </c>
    </row>
    <row r="941" spans="1:47">
      <c r="A941" t="str">
        <f>IF($AS941="","",INDEX('TMP Paste'!$B$2:$B$1601,$AS941))</f>
        <v/>
      </c>
      <c r="B941" t="str">
        <f>IF($AS941="","",Config!$B$14)</f>
        <v/>
      </c>
      <c r="C941" t="str">
        <f>IF($AS941="","",Config!$B$15)</f>
        <v/>
      </c>
      <c r="D941" t="str">
        <f>IF($AS941="","",INDEX('TMP Paste'!$B$2:$B$1601,$AS941))</f>
        <v/>
      </c>
      <c r="E941" t="str">
        <f>IF($AS941="","",Config!$B$27)</f>
        <v/>
      </c>
      <c r="F941" t="str">
        <f>IF($AS941="","",Config!$B$9)</f>
        <v/>
      </c>
      <c r="G941" t="str">
        <f>IF($AS941="","",Config!$B$10)</f>
        <v/>
      </c>
      <c r="H941" t="str">
        <f>IF($AS941="","",Config!$B$11)</f>
        <v/>
      </c>
      <c r="I941" t="str">
        <f>IF($AS941="","",Config!$B$16)</f>
        <v/>
      </c>
      <c r="J941" t="str">
        <f>IF($AS941="","",INDEX('TMP Paste'!$A$2:$A$1601,$AS941))</f>
        <v/>
      </c>
      <c r="K941" t="str">
        <f>IF($AS941="","",INDEX('TMP Paste'!$L$2:$L$1601,$AS941))</f>
        <v/>
      </c>
      <c r="L941" t="str">
        <f>IF($AS941="","",INDEX('TMP Paste'!$I$2:$I$1601,$AS941))</f>
        <v/>
      </c>
      <c r="M941" t="str">
        <f>IF($AS941="","",Config!$B$16)</f>
        <v/>
      </c>
      <c r="N941" t="str">
        <f t="shared" si="84"/>
        <v/>
      </c>
      <c r="O941" t="str">
        <f>IF($AS941="","",INDEX('TMP Paste'!$K$2:$K$1601,$AS941))</f>
        <v/>
      </c>
      <c r="P941" t="str">
        <f t="shared" si="85"/>
        <v/>
      </c>
      <c r="Q941" t="str">
        <f>IF($AS941="","",INDEX('TMP Paste'!$J$2:$J$1601,$AS941))</f>
        <v/>
      </c>
      <c r="R941" t="str">
        <f>IF($AS941="","",Config!$B$24)</f>
        <v/>
      </c>
      <c r="S941" t="str">
        <f ca="1">IF($AS941="","",TEXT(Config!$B$4,"yyyy-mm-dd"))</f>
        <v/>
      </c>
      <c r="T941" t="str">
        <f>IF($AS941="","",Config!$B$17)</f>
        <v/>
      </c>
      <c r="U941" t="str">
        <f>IF($AS941="","",Config!$B$18)</f>
        <v/>
      </c>
      <c r="V941" t="str">
        <f>IF($AS941="","",Config!$B$19)</f>
        <v/>
      </c>
      <c r="W941" t="str">
        <f>IF($AS941="","",INDEX('TMP Paste'!$C$2:$C$1601,$AS941))</f>
        <v/>
      </c>
      <c r="X941" t="str">
        <f>IF($AS941="","",Config!$B$29)</f>
        <v/>
      </c>
      <c r="Y941" t="str">
        <f>IF($AT941="","",INDEX(Calc!$I$2:$I$1601,$AT941)&amp;" - "&amp;INDEX(Calc!$D$2:$D$1601,$AT941)&amp;" koli")</f>
        <v/>
      </c>
      <c r="Z941" t="str">
        <f>IF($AS941="","",Config!$B$21)</f>
        <v/>
      </c>
      <c r="AA941" t="str">
        <f>IF($AS941="","",Config!$B$22)</f>
        <v/>
      </c>
      <c r="AB941" t="str">
        <f>IF($AT941="","",INDEX(Calc!$D$2:$D$1601,$AT941))</f>
        <v/>
      </c>
      <c r="AC941" t="str">
        <f>IF($AT941="","",INDEX(Calc!$G$2:$G$1601,$AT941))</f>
        <v/>
      </c>
      <c r="AD941" t="str">
        <f>IF($AS941="","",Config!$B$23)</f>
        <v/>
      </c>
      <c r="AE941" t="str">
        <f>IF($AS941="","",Config!$B$28)</f>
        <v/>
      </c>
      <c r="AF941" t="str">
        <f t="shared" si="86"/>
        <v/>
      </c>
      <c r="AG941" t="str">
        <f t="shared" si="87"/>
        <v/>
      </c>
      <c r="AH941" t="str">
        <f t="shared" si="88"/>
        <v/>
      </c>
      <c r="AI941" t="str">
        <f>IF($AG941="","",SUMIF($AG$2:$AG941,$AG941,$AH$2:$AH941))</f>
        <v/>
      </c>
      <c r="AJ941" t="str">
        <f>IF('TMP Paste'!$F941="","",IF('TMP Paste'!$B941="",$AJ940,'TMP Paste'!$B941))</f>
        <v/>
      </c>
      <c r="AK941" t="str">
        <f>IF('TMP Paste'!$F941="","",N('TMP Paste'!$G941))</f>
        <v/>
      </c>
      <c r="AL941" t="str">
        <f>IF('TMP Paste'!$F941="","",IF('TMP Paste'!$M941="",$AL940,'TMP Paste'!$M941))</f>
        <v/>
      </c>
      <c r="AM941" t="str">
        <f>IF('TMP Paste'!$F941="","",IF('TMP Paste'!$N941="",$AM940,'TMP Paste'!$N941))</f>
        <v/>
      </c>
      <c r="AN941" t="str">
        <f>IF('TMP Paste'!$F941="","",IF('TMP Paste'!$O941="",$AN940,'TMP Paste'!$O941))</f>
        <v/>
      </c>
      <c r="AO941" t="str">
        <f>IF('TMP Paste'!$F941="","",IF('TMP Paste'!$P941="",$AO940,'TMP Paste'!$P941))</f>
        <v/>
      </c>
      <c r="AP941" t="str">
        <f t="shared" si="89"/>
        <v/>
      </c>
      <c r="AQ941" t="str">
        <f>IF($AS941="","",TRIM(IF(COUNTIFS(Calc!$B$2:$B$1601,ROW()-1,Calc!$C$2:$C$1601,"&lt;1")&gt;0,"Ada PO tanpa Koli - cek TMP. ","")&amp;IF(OR($AU941="",$AU941&lt;=0),"Volume kosong/0 - dimensi dikosongkan. ","")&amp;IF(AND($AU941&lt;&gt;"",$AU941&gt;=1000000),"Volume &gt;= 1.000.000 cm3 (di luar aturan) - dimensi dikosongkan. ","")&amp;IF(LEN($R941)&gt;500,"R &gt; 500 karakter.","")))</f>
        <v/>
      </c>
      <c r="AS941" t="str">
        <f>IFERROR(MATCH(ROW()-1,Calc!$J$2:$J$1601,0),"")</f>
        <v/>
      </c>
      <c r="AT941" t="str">
        <f>IFERROR(MATCH(ROW()-1,Calc!$K$2:$K$1601,0),"")</f>
        <v/>
      </c>
      <c r="AU941" t="str">
        <f>IF($AS941="","",IFERROR(INDEX('TMP Paste'!$D$2:$D$1601,$AS941)*1000000/$AB941,""))</f>
        <v/>
      </c>
    </row>
    <row r="942" spans="1:47">
      <c r="A942" t="str">
        <f>IF($AS942="","",INDEX('TMP Paste'!$B$2:$B$1601,$AS942))</f>
        <v/>
      </c>
      <c r="B942" t="str">
        <f>IF($AS942="","",Config!$B$14)</f>
        <v/>
      </c>
      <c r="C942" t="str">
        <f>IF($AS942="","",Config!$B$15)</f>
        <v/>
      </c>
      <c r="D942" t="str">
        <f>IF($AS942="","",INDEX('TMP Paste'!$B$2:$B$1601,$AS942))</f>
        <v/>
      </c>
      <c r="E942" t="str">
        <f>IF($AS942="","",Config!$B$27)</f>
        <v/>
      </c>
      <c r="F942" t="str">
        <f>IF($AS942="","",Config!$B$9)</f>
        <v/>
      </c>
      <c r="G942" t="str">
        <f>IF($AS942="","",Config!$B$10)</f>
        <v/>
      </c>
      <c r="H942" t="str">
        <f>IF($AS942="","",Config!$B$11)</f>
        <v/>
      </c>
      <c r="I942" t="str">
        <f>IF($AS942="","",Config!$B$16)</f>
        <v/>
      </c>
      <c r="J942" t="str">
        <f>IF($AS942="","",INDEX('TMP Paste'!$A$2:$A$1601,$AS942))</f>
        <v/>
      </c>
      <c r="K942" t="str">
        <f>IF($AS942="","",INDEX('TMP Paste'!$L$2:$L$1601,$AS942))</f>
        <v/>
      </c>
      <c r="L942" t="str">
        <f>IF($AS942="","",INDEX('TMP Paste'!$I$2:$I$1601,$AS942))</f>
        <v/>
      </c>
      <c r="M942" t="str">
        <f>IF($AS942="","",Config!$B$16)</f>
        <v/>
      </c>
      <c r="N942" t="str">
        <f t="shared" si="84"/>
        <v/>
      </c>
      <c r="O942" t="str">
        <f>IF($AS942="","",INDEX('TMP Paste'!$K$2:$K$1601,$AS942))</f>
        <v/>
      </c>
      <c r="P942" t="str">
        <f t="shared" si="85"/>
        <v/>
      </c>
      <c r="Q942" t="str">
        <f>IF($AS942="","",INDEX('TMP Paste'!$J$2:$J$1601,$AS942))</f>
        <v/>
      </c>
      <c r="R942" t="str">
        <f>IF($AS942="","",Config!$B$24)</f>
        <v/>
      </c>
      <c r="S942" t="str">
        <f ca="1">IF($AS942="","",TEXT(Config!$B$4,"yyyy-mm-dd"))</f>
        <v/>
      </c>
      <c r="T942" t="str">
        <f>IF($AS942="","",Config!$B$17)</f>
        <v/>
      </c>
      <c r="U942" t="str">
        <f>IF($AS942="","",Config!$B$18)</f>
        <v/>
      </c>
      <c r="V942" t="str">
        <f>IF($AS942="","",Config!$B$19)</f>
        <v/>
      </c>
      <c r="W942" t="str">
        <f>IF($AS942="","",INDEX('TMP Paste'!$C$2:$C$1601,$AS942))</f>
        <v/>
      </c>
      <c r="X942" t="str">
        <f>IF($AS942="","",Config!$B$29)</f>
        <v/>
      </c>
      <c r="Y942" t="str">
        <f>IF($AT942="","",INDEX(Calc!$I$2:$I$1601,$AT942)&amp;" - "&amp;INDEX(Calc!$D$2:$D$1601,$AT942)&amp;" koli")</f>
        <v/>
      </c>
      <c r="Z942" t="str">
        <f>IF($AS942="","",Config!$B$21)</f>
        <v/>
      </c>
      <c r="AA942" t="str">
        <f>IF($AS942="","",Config!$B$22)</f>
        <v/>
      </c>
      <c r="AB942" t="str">
        <f>IF($AT942="","",INDEX(Calc!$D$2:$D$1601,$AT942))</f>
        <v/>
      </c>
      <c r="AC942" t="str">
        <f>IF($AT942="","",INDEX(Calc!$G$2:$G$1601,$AT942))</f>
        <v/>
      </c>
      <c r="AD942" t="str">
        <f>IF($AS942="","",Config!$B$23)</f>
        <v/>
      </c>
      <c r="AE942" t="str">
        <f>IF($AS942="","",Config!$B$28)</f>
        <v/>
      </c>
      <c r="AF942" t="str">
        <f t="shared" si="86"/>
        <v/>
      </c>
      <c r="AG942" t="str">
        <f t="shared" si="87"/>
        <v/>
      </c>
      <c r="AH942" t="str">
        <f t="shared" si="88"/>
        <v/>
      </c>
      <c r="AI942" t="str">
        <f>IF($AG942="","",SUMIF($AG$2:$AG942,$AG942,$AH$2:$AH942))</f>
        <v/>
      </c>
      <c r="AJ942" t="str">
        <f>IF('TMP Paste'!$F942="","",IF('TMP Paste'!$B942="",$AJ941,'TMP Paste'!$B942))</f>
        <v/>
      </c>
      <c r="AK942" t="str">
        <f>IF('TMP Paste'!$F942="","",N('TMP Paste'!$G942))</f>
        <v/>
      </c>
      <c r="AL942" t="str">
        <f>IF('TMP Paste'!$F942="","",IF('TMP Paste'!$M942="",$AL941,'TMP Paste'!$M942))</f>
        <v/>
      </c>
      <c r="AM942" t="str">
        <f>IF('TMP Paste'!$F942="","",IF('TMP Paste'!$N942="",$AM941,'TMP Paste'!$N942))</f>
        <v/>
      </c>
      <c r="AN942" t="str">
        <f>IF('TMP Paste'!$F942="","",IF('TMP Paste'!$O942="",$AN941,'TMP Paste'!$O942))</f>
        <v/>
      </c>
      <c r="AO942" t="str">
        <f>IF('TMP Paste'!$F942="","",IF('TMP Paste'!$P942="",$AO941,'TMP Paste'!$P942))</f>
        <v/>
      </c>
      <c r="AP942" t="str">
        <f t="shared" si="89"/>
        <v/>
      </c>
      <c r="AQ942" t="str">
        <f>IF($AS942="","",TRIM(IF(COUNTIFS(Calc!$B$2:$B$1601,ROW()-1,Calc!$C$2:$C$1601,"&lt;1")&gt;0,"Ada PO tanpa Koli - cek TMP. ","")&amp;IF(OR($AU942="",$AU942&lt;=0),"Volume kosong/0 - dimensi dikosongkan. ","")&amp;IF(AND($AU942&lt;&gt;"",$AU942&gt;=1000000),"Volume &gt;= 1.000.000 cm3 (di luar aturan) - dimensi dikosongkan. ","")&amp;IF(LEN($R942)&gt;500,"R &gt; 500 karakter.","")))</f>
        <v/>
      </c>
      <c r="AS942" t="str">
        <f>IFERROR(MATCH(ROW()-1,Calc!$J$2:$J$1601,0),"")</f>
        <v/>
      </c>
      <c r="AT942" t="str">
        <f>IFERROR(MATCH(ROW()-1,Calc!$K$2:$K$1601,0),"")</f>
        <v/>
      </c>
      <c r="AU942" t="str">
        <f>IF($AS942="","",IFERROR(INDEX('TMP Paste'!$D$2:$D$1601,$AS942)*1000000/$AB942,""))</f>
        <v/>
      </c>
    </row>
    <row r="943" spans="1:47">
      <c r="A943" t="str">
        <f>IF($AS943="","",INDEX('TMP Paste'!$B$2:$B$1601,$AS943))</f>
        <v/>
      </c>
      <c r="B943" t="str">
        <f>IF($AS943="","",Config!$B$14)</f>
        <v/>
      </c>
      <c r="C943" t="str">
        <f>IF($AS943="","",Config!$B$15)</f>
        <v/>
      </c>
      <c r="D943" t="str">
        <f>IF($AS943="","",INDEX('TMP Paste'!$B$2:$B$1601,$AS943))</f>
        <v/>
      </c>
      <c r="E943" t="str">
        <f>IF($AS943="","",Config!$B$27)</f>
        <v/>
      </c>
      <c r="F943" t="str">
        <f>IF($AS943="","",Config!$B$9)</f>
        <v/>
      </c>
      <c r="G943" t="str">
        <f>IF($AS943="","",Config!$B$10)</f>
        <v/>
      </c>
      <c r="H943" t="str">
        <f>IF($AS943="","",Config!$B$11)</f>
        <v/>
      </c>
      <c r="I943" t="str">
        <f>IF($AS943="","",Config!$B$16)</f>
        <v/>
      </c>
      <c r="J943" t="str">
        <f>IF($AS943="","",INDEX('TMP Paste'!$A$2:$A$1601,$AS943))</f>
        <v/>
      </c>
      <c r="K943" t="str">
        <f>IF($AS943="","",INDEX('TMP Paste'!$L$2:$L$1601,$AS943))</f>
        <v/>
      </c>
      <c r="L943" t="str">
        <f>IF($AS943="","",INDEX('TMP Paste'!$I$2:$I$1601,$AS943))</f>
        <v/>
      </c>
      <c r="M943" t="str">
        <f>IF($AS943="","",Config!$B$16)</f>
        <v/>
      </c>
      <c r="N943" t="str">
        <f t="shared" si="84"/>
        <v/>
      </c>
      <c r="O943" t="str">
        <f>IF($AS943="","",INDEX('TMP Paste'!$K$2:$K$1601,$AS943))</f>
        <v/>
      </c>
      <c r="P943" t="str">
        <f t="shared" si="85"/>
        <v/>
      </c>
      <c r="Q943" t="str">
        <f>IF($AS943="","",INDEX('TMP Paste'!$J$2:$J$1601,$AS943))</f>
        <v/>
      </c>
      <c r="R943" t="str">
        <f>IF($AS943="","",Config!$B$24)</f>
        <v/>
      </c>
      <c r="S943" t="str">
        <f ca="1">IF($AS943="","",TEXT(Config!$B$4,"yyyy-mm-dd"))</f>
        <v/>
      </c>
      <c r="T943" t="str">
        <f>IF($AS943="","",Config!$B$17)</f>
        <v/>
      </c>
      <c r="U943" t="str">
        <f>IF($AS943="","",Config!$B$18)</f>
        <v/>
      </c>
      <c r="V943" t="str">
        <f>IF($AS943="","",Config!$B$19)</f>
        <v/>
      </c>
      <c r="W943" t="str">
        <f>IF($AS943="","",INDEX('TMP Paste'!$C$2:$C$1601,$AS943))</f>
        <v/>
      </c>
      <c r="X943" t="str">
        <f>IF($AS943="","",Config!$B$29)</f>
        <v/>
      </c>
      <c r="Y943" t="str">
        <f>IF($AT943="","",INDEX(Calc!$I$2:$I$1601,$AT943)&amp;" - "&amp;INDEX(Calc!$D$2:$D$1601,$AT943)&amp;" koli")</f>
        <v/>
      </c>
      <c r="Z943" t="str">
        <f>IF($AS943="","",Config!$B$21)</f>
        <v/>
      </c>
      <c r="AA943" t="str">
        <f>IF($AS943="","",Config!$B$22)</f>
        <v/>
      </c>
      <c r="AB943" t="str">
        <f>IF($AT943="","",INDEX(Calc!$D$2:$D$1601,$AT943))</f>
        <v/>
      </c>
      <c r="AC943" t="str">
        <f>IF($AT943="","",INDEX(Calc!$G$2:$G$1601,$AT943))</f>
        <v/>
      </c>
      <c r="AD943" t="str">
        <f>IF($AS943="","",Config!$B$23)</f>
        <v/>
      </c>
      <c r="AE943" t="str">
        <f>IF($AS943="","",Config!$B$28)</f>
        <v/>
      </c>
      <c r="AF943" t="str">
        <f t="shared" si="86"/>
        <v/>
      </c>
      <c r="AG943" t="str">
        <f t="shared" si="87"/>
        <v/>
      </c>
      <c r="AH943" t="str">
        <f t="shared" si="88"/>
        <v/>
      </c>
      <c r="AI943" t="str">
        <f>IF($AG943="","",SUMIF($AG$2:$AG943,$AG943,$AH$2:$AH943))</f>
        <v/>
      </c>
      <c r="AJ943" t="str">
        <f>IF('TMP Paste'!$F943="","",IF('TMP Paste'!$B943="",$AJ942,'TMP Paste'!$B943))</f>
        <v/>
      </c>
      <c r="AK943" t="str">
        <f>IF('TMP Paste'!$F943="","",N('TMP Paste'!$G943))</f>
        <v/>
      </c>
      <c r="AL943" t="str">
        <f>IF('TMP Paste'!$F943="","",IF('TMP Paste'!$M943="",$AL942,'TMP Paste'!$M943))</f>
        <v/>
      </c>
      <c r="AM943" t="str">
        <f>IF('TMP Paste'!$F943="","",IF('TMP Paste'!$N943="",$AM942,'TMP Paste'!$N943))</f>
        <v/>
      </c>
      <c r="AN943" t="str">
        <f>IF('TMP Paste'!$F943="","",IF('TMP Paste'!$O943="",$AN942,'TMP Paste'!$O943))</f>
        <v/>
      </c>
      <c r="AO943" t="str">
        <f>IF('TMP Paste'!$F943="","",IF('TMP Paste'!$P943="",$AO942,'TMP Paste'!$P943))</f>
        <v/>
      </c>
      <c r="AP943" t="str">
        <f t="shared" si="89"/>
        <v/>
      </c>
      <c r="AQ943" t="str">
        <f>IF($AS943="","",TRIM(IF(COUNTIFS(Calc!$B$2:$B$1601,ROW()-1,Calc!$C$2:$C$1601,"&lt;1")&gt;0,"Ada PO tanpa Koli - cek TMP. ","")&amp;IF(OR($AU943="",$AU943&lt;=0),"Volume kosong/0 - dimensi dikosongkan. ","")&amp;IF(AND($AU943&lt;&gt;"",$AU943&gt;=1000000),"Volume &gt;= 1.000.000 cm3 (di luar aturan) - dimensi dikosongkan. ","")&amp;IF(LEN($R943)&gt;500,"R &gt; 500 karakter.","")))</f>
        <v/>
      </c>
      <c r="AS943" t="str">
        <f>IFERROR(MATCH(ROW()-1,Calc!$J$2:$J$1601,0),"")</f>
        <v/>
      </c>
      <c r="AT943" t="str">
        <f>IFERROR(MATCH(ROW()-1,Calc!$K$2:$K$1601,0),"")</f>
        <v/>
      </c>
      <c r="AU943" t="str">
        <f>IF($AS943="","",IFERROR(INDEX('TMP Paste'!$D$2:$D$1601,$AS943)*1000000/$AB943,""))</f>
        <v/>
      </c>
    </row>
    <row r="944" spans="1:47">
      <c r="A944" t="str">
        <f>IF($AS944="","",INDEX('TMP Paste'!$B$2:$B$1601,$AS944))</f>
        <v/>
      </c>
      <c r="B944" t="str">
        <f>IF($AS944="","",Config!$B$14)</f>
        <v/>
      </c>
      <c r="C944" t="str">
        <f>IF($AS944="","",Config!$B$15)</f>
        <v/>
      </c>
      <c r="D944" t="str">
        <f>IF($AS944="","",INDEX('TMP Paste'!$B$2:$B$1601,$AS944))</f>
        <v/>
      </c>
      <c r="E944" t="str">
        <f>IF($AS944="","",Config!$B$27)</f>
        <v/>
      </c>
      <c r="F944" t="str">
        <f>IF($AS944="","",Config!$B$9)</f>
        <v/>
      </c>
      <c r="G944" t="str">
        <f>IF($AS944="","",Config!$B$10)</f>
        <v/>
      </c>
      <c r="H944" t="str">
        <f>IF($AS944="","",Config!$B$11)</f>
        <v/>
      </c>
      <c r="I944" t="str">
        <f>IF($AS944="","",Config!$B$16)</f>
        <v/>
      </c>
      <c r="J944" t="str">
        <f>IF($AS944="","",INDEX('TMP Paste'!$A$2:$A$1601,$AS944))</f>
        <v/>
      </c>
      <c r="K944" t="str">
        <f>IF($AS944="","",INDEX('TMP Paste'!$L$2:$L$1601,$AS944))</f>
        <v/>
      </c>
      <c r="L944" t="str">
        <f>IF($AS944="","",INDEX('TMP Paste'!$I$2:$I$1601,$AS944))</f>
        <v/>
      </c>
      <c r="M944" t="str">
        <f>IF($AS944="","",Config!$B$16)</f>
        <v/>
      </c>
      <c r="N944" t="str">
        <f t="shared" si="84"/>
        <v/>
      </c>
      <c r="O944" t="str">
        <f>IF($AS944="","",INDEX('TMP Paste'!$K$2:$K$1601,$AS944))</f>
        <v/>
      </c>
      <c r="P944" t="str">
        <f t="shared" si="85"/>
        <v/>
      </c>
      <c r="Q944" t="str">
        <f>IF($AS944="","",INDEX('TMP Paste'!$J$2:$J$1601,$AS944))</f>
        <v/>
      </c>
      <c r="R944" t="str">
        <f>IF($AS944="","",Config!$B$24)</f>
        <v/>
      </c>
      <c r="S944" t="str">
        <f ca="1">IF($AS944="","",TEXT(Config!$B$4,"yyyy-mm-dd"))</f>
        <v/>
      </c>
      <c r="T944" t="str">
        <f>IF($AS944="","",Config!$B$17)</f>
        <v/>
      </c>
      <c r="U944" t="str">
        <f>IF($AS944="","",Config!$B$18)</f>
        <v/>
      </c>
      <c r="V944" t="str">
        <f>IF($AS944="","",Config!$B$19)</f>
        <v/>
      </c>
      <c r="W944" t="str">
        <f>IF($AS944="","",INDEX('TMP Paste'!$C$2:$C$1601,$AS944))</f>
        <v/>
      </c>
      <c r="X944" t="str">
        <f>IF($AS944="","",Config!$B$29)</f>
        <v/>
      </c>
      <c r="Y944" t="str">
        <f>IF($AT944="","",INDEX(Calc!$I$2:$I$1601,$AT944)&amp;" - "&amp;INDEX(Calc!$D$2:$D$1601,$AT944)&amp;" koli")</f>
        <v/>
      </c>
      <c r="Z944" t="str">
        <f>IF($AS944="","",Config!$B$21)</f>
        <v/>
      </c>
      <c r="AA944" t="str">
        <f>IF($AS944="","",Config!$B$22)</f>
        <v/>
      </c>
      <c r="AB944" t="str">
        <f>IF($AT944="","",INDEX(Calc!$D$2:$D$1601,$AT944))</f>
        <v/>
      </c>
      <c r="AC944" t="str">
        <f>IF($AT944="","",INDEX(Calc!$G$2:$G$1601,$AT944))</f>
        <v/>
      </c>
      <c r="AD944" t="str">
        <f>IF($AS944="","",Config!$B$23)</f>
        <v/>
      </c>
      <c r="AE944" t="str">
        <f>IF($AS944="","",Config!$B$28)</f>
        <v/>
      </c>
      <c r="AF944" t="str">
        <f t="shared" si="86"/>
        <v/>
      </c>
      <c r="AG944" t="str">
        <f t="shared" si="87"/>
        <v/>
      </c>
      <c r="AH944" t="str">
        <f t="shared" si="88"/>
        <v/>
      </c>
      <c r="AI944" t="str">
        <f>IF($AG944="","",SUMIF($AG$2:$AG944,$AG944,$AH$2:$AH944))</f>
        <v/>
      </c>
      <c r="AJ944" t="str">
        <f>IF('TMP Paste'!$F944="","",IF('TMP Paste'!$B944="",$AJ943,'TMP Paste'!$B944))</f>
        <v/>
      </c>
      <c r="AK944" t="str">
        <f>IF('TMP Paste'!$F944="","",N('TMP Paste'!$G944))</f>
        <v/>
      </c>
      <c r="AL944" t="str">
        <f>IF('TMP Paste'!$F944="","",IF('TMP Paste'!$M944="",$AL943,'TMP Paste'!$M944))</f>
        <v/>
      </c>
      <c r="AM944" t="str">
        <f>IF('TMP Paste'!$F944="","",IF('TMP Paste'!$N944="",$AM943,'TMP Paste'!$N944))</f>
        <v/>
      </c>
      <c r="AN944" t="str">
        <f>IF('TMP Paste'!$F944="","",IF('TMP Paste'!$O944="",$AN943,'TMP Paste'!$O944))</f>
        <v/>
      </c>
      <c r="AO944" t="str">
        <f>IF('TMP Paste'!$F944="","",IF('TMP Paste'!$P944="",$AO943,'TMP Paste'!$P944))</f>
        <v/>
      </c>
      <c r="AP944" t="str">
        <f t="shared" si="89"/>
        <v/>
      </c>
      <c r="AQ944" t="str">
        <f>IF($AS944="","",TRIM(IF(COUNTIFS(Calc!$B$2:$B$1601,ROW()-1,Calc!$C$2:$C$1601,"&lt;1")&gt;0,"Ada PO tanpa Koli - cek TMP. ","")&amp;IF(OR($AU944="",$AU944&lt;=0),"Volume kosong/0 - dimensi dikosongkan. ","")&amp;IF(AND($AU944&lt;&gt;"",$AU944&gt;=1000000),"Volume &gt;= 1.000.000 cm3 (di luar aturan) - dimensi dikosongkan. ","")&amp;IF(LEN($R944)&gt;500,"R &gt; 500 karakter.","")))</f>
        <v/>
      </c>
      <c r="AS944" t="str">
        <f>IFERROR(MATCH(ROW()-1,Calc!$J$2:$J$1601,0),"")</f>
        <v/>
      </c>
      <c r="AT944" t="str">
        <f>IFERROR(MATCH(ROW()-1,Calc!$K$2:$K$1601,0),"")</f>
        <v/>
      </c>
      <c r="AU944" t="str">
        <f>IF($AS944="","",IFERROR(INDEX('TMP Paste'!$D$2:$D$1601,$AS944)*1000000/$AB944,""))</f>
        <v/>
      </c>
    </row>
    <row r="945" spans="1:47">
      <c r="A945" t="str">
        <f>IF($AS945="","",INDEX('TMP Paste'!$B$2:$B$1601,$AS945))</f>
        <v/>
      </c>
      <c r="B945" t="str">
        <f>IF($AS945="","",Config!$B$14)</f>
        <v/>
      </c>
      <c r="C945" t="str">
        <f>IF($AS945="","",Config!$B$15)</f>
        <v/>
      </c>
      <c r="D945" t="str">
        <f>IF($AS945="","",INDEX('TMP Paste'!$B$2:$B$1601,$AS945))</f>
        <v/>
      </c>
      <c r="E945" t="str">
        <f>IF($AS945="","",Config!$B$27)</f>
        <v/>
      </c>
      <c r="F945" t="str">
        <f>IF($AS945="","",Config!$B$9)</f>
        <v/>
      </c>
      <c r="G945" t="str">
        <f>IF($AS945="","",Config!$B$10)</f>
        <v/>
      </c>
      <c r="H945" t="str">
        <f>IF($AS945="","",Config!$B$11)</f>
        <v/>
      </c>
      <c r="I945" t="str">
        <f>IF($AS945="","",Config!$B$16)</f>
        <v/>
      </c>
      <c r="J945" t="str">
        <f>IF($AS945="","",INDEX('TMP Paste'!$A$2:$A$1601,$AS945))</f>
        <v/>
      </c>
      <c r="K945" t="str">
        <f>IF($AS945="","",INDEX('TMP Paste'!$L$2:$L$1601,$AS945))</f>
        <v/>
      </c>
      <c r="L945" t="str">
        <f>IF($AS945="","",INDEX('TMP Paste'!$I$2:$I$1601,$AS945))</f>
        <v/>
      </c>
      <c r="M945" t="str">
        <f>IF($AS945="","",Config!$B$16)</f>
        <v/>
      </c>
      <c r="N945" t="str">
        <f t="shared" si="84"/>
        <v/>
      </c>
      <c r="O945" t="str">
        <f>IF($AS945="","",INDEX('TMP Paste'!$K$2:$K$1601,$AS945))</f>
        <v/>
      </c>
      <c r="P945" t="str">
        <f t="shared" si="85"/>
        <v/>
      </c>
      <c r="Q945" t="str">
        <f>IF($AS945="","",INDEX('TMP Paste'!$J$2:$J$1601,$AS945))</f>
        <v/>
      </c>
      <c r="R945" t="str">
        <f>IF($AS945="","",Config!$B$24)</f>
        <v/>
      </c>
      <c r="S945" t="str">
        <f ca="1">IF($AS945="","",TEXT(Config!$B$4,"yyyy-mm-dd"))</f>
        <v/>
      </c>
      <c r="T945" t="str">
        <f>IF($AS945="","",Config!$B$17)</f>
        <v/>
      </c>
      <c r="U945" t="str">
        <f>IF($AS945="","",Config!$B$18)</f>
        <v/>
      </c>
      <c r="V945" t="str">
        <f>IF($AS945="","",Config!$B$19)</f>
        <v/>
      </c>
      <c r="W945" t="str">
        <f>IF($AS945="","",INDEX('TMP Paste'!$C$2:$C$1601,$AS945))</f>
        <v/>
      </c>
      <c r="X945" t="str">
        <f>IF($AS945="","",Config!$B$29)</f>
        <v/>
      </c>
      <c r="Y945" t="str">
        <f>IF($AT945="","",INDEX(Calc!$I$2:$I$1601,$AT945)&amp;" - "&amp;INDEX(Calc!$D$2:$D$1601,$AT945)&amp;" koli")</f>
        <v/>
      </c>
      <c r="Z945" t="str">
        <f>IF($AS945="","",Config!$B$21)</f>
        <v/>
      </c>
      <c r="AA945" t="str">
        <f>IF($AS945="","",Config!$B$22)</f>
        <v/>
      </c>
      <c r="AB945" t="str">
        <f>IF($AT945="","",INDEX(Calc!$D$2:$D$1601,$AT945))</f>
        <v/>
      </c>
      <c r="AC945" t="str">
        <f>IF($AT945="","",INDEX(Calc!$G$2:$G$1601,$AT945))</f>
        <v/>
      </c>
      <c r="AD945" t="str">
        <f>IF($AS945="","",Config!$B$23)</f>
        <v/>
      </c>
      <c r="AE945" t="str">
        <f>IF($AS945="","",Config!$B$28)</f>
        <v/>
      </c>
      <c r="AF945" t="str">
        <f t="shared" si="86"/>
        <v/>
      </c>
      <c r="AG945" t="str">
        <f t="shared" si="87"/>
        <v/>
      </c>
      <c r="AH945" t="str">
        <f t="shared" si="88"/>
        <v/>
      </c>
      <c r="AI945" t="str">
        <f>IF($AG945="","",SUMIF($AG$2:$AG945,$AG945,$AH$2:$AH945))</f>
        <v/>
      </c>
      <c r="AJ945" t="str">
        <f>IF('TMP Paste'!$F945="","",IF('TMP Paste'!$B945="",$AJ944,'TMP Paste'!$B945))</f>
        <v/>
      </c>
      <c r="AK945" t="str">
        <f>IF('TMP Paste'!$F945="","",N('TMP Paste'!$G945))</f>
        <v/>
      </c>
      <c r="AL945" t="str">
        <f>IF('TMP Paste'!$F945="","",IF('TMP Paste'!$M945="",$AL944,'TMP Paste'!$M945))</f>
        <v/>
      </c>
      <c r="AM945" t="str">
        <f>IF('TMP Paste'!$F945="","",IF('TMP Paste'!$N945="",$AM944,'TMP Paste'!$N945))</f>
        <v/>
      </c>
      <c r="AN945" t="str">
        <f>IF('TMP Paste'!$F945="","",IF('TMP Paste'!$O945="",$AN944,'TMP Paste'!$O945))</f>
        <v/>
      </c>
      <c r="AO945" t="str">
        <f>IF('TMP Paste'!$F945="","",IF('TMP Paste'!$P945="",$AO944,'TMP Paste'!$P945))</f>
        <v/>
      </c>
      <c r="AP945" t="str">
        <f t="shared" si="89"/>
        <v/>
      </c>
      <c r="AQ945" t="str">
        <f>IF($AS945="","",TRIM(IF(COUNTIFS(Calc!$B$2:$B$1601,ROW()-1,Calc!$C$2:$C$1601,"&lt;1")&gt;0,"Ada PO tanpa Koli - cek TMP. ","")&amp;IF(OR($AU945="",$AU945&lt;=0),"Volume kosong/0 - dimensi dikosongkan. ","")&amp;IF(AND($AU945&lt;&gt;"",$AU945&gt;=1000000),"Volume &gt;= 1.000.000 cm3 (di luar aturan) - dimensi dikosongkan. ","")&amp;IF(LEN($R945)&gt;500,"R &gt; 500 karakter.","")))</f>
        <v/>
      </c>
      <c r="AS945" t="str">
        <f>IFERROR(MATCH(ROW()-1,Calc!$J$2:$J$1601,0),"")</f>
        <v/>
      </c>
      <c r="AT945" t="str">
        <f>IFERROR(MATCH(ROW()-1,Calc!$K$2:$K$1601,0),"")</f>
        <v/>
      </c>
      <c r="AU945" t="str">
        <f>IF($AS945="","",IFERROR(INDEX('TMP Paste'!$D$2:$D$1601,$AS945)*1000000/$AB945,""))</f>
        <v/>
      </c>
    </row>
    <row r="946" spans="1:47">
      <c r="A946" t="str">
        <f>IF($AS946="","",INDEX('TMP Paste'!$B$2:$B$1601,$AS946))</f>
        <v/>
      </c>
      <c r="B946" t="str">
        <f>IF($AS946="","",Config!$B$14)</f>
        <v/>
      </c>
      <c r="C946" t="str">
        <f>IF($AS946="","",Config!$B$15)</f>
        <v/>
      </c>
      <c r="D946" t="str">
        <f>IF($AS946="","",INDEX('TMP Paste'!$B$2:$B$1601,$AS946))</f>
        <v/>
      </c>
      <c r="E946" t="str">
        <f>IF($AS946="","",Config!$B$27)</f>
        <v/>
      </c>
      <c r="F946" t="str">
        <f>IF($AS946="","",Config!$B$9)</f>
        <v/>
      </c>
      <c r="G946" t="str">
        <f>IF($AS946="","",Config!$B$10)</f>
        <v/>
      </c>
      <c r="H946" t="str">
        <f>IF($AS946="","",Config!$B$11)</f>
        <v/>
      </c>
      <c r="I946" t="str">
        <f>IF($AS946="","",Config!$B$16)</f>
        <v/>
      </c>
      <c r="J946" t="str">
        <f>IF($AS946="","",INDEX('TMP Paste'!$A$2:$A$1601,$AS946))</f>
        <v/>
      </c>
      <c r="K946" t="str">
        <f>IF($AS946="","",INDEX('TMP Paste'!$L$2:$L$1601,$AS946))</f>
        <v/>
      </c>
      <c r="L946" t="str">
        <f>IF($AS946="","",INDEX('TMP Paste'!$I$2:$I$1601,$AS946))</f>
        <v/>
      </c>
      <c r="M946" t="str">
        <f>IF($AS946="","",Config!$B$16)</f>
        <v/>
      </c>
      <c r="N946" t="str">
        <f t="shared" si="84"/>
        <v/>
      </c>
      <c r="O946" t="str">
        <f>IF($AS946="","",INDEX('TMP Paste'!$K$2:$K$1601,$AS946))</f>
        <v/>
      </c>
      <c r="P946" t="str">
        <f t="shared" si="85"/>
        <v/>
      </c>
      <c r="Q946" t="str">
        <f>IF($AS946="","",INDEX('TMP Paste'!$J$2:$J$1601,$AS946))</f>
        <v/>
      </c>
      <c r="R946" t="str">
        <f>IF($AS946="","",Config!$B$24)</f>
        <v/>
      </c>
      <c r="S946" t="str">
        <f ca="1">IF($AS946="","",TEXT(Config!$B$4,"yyyy-mm-dd"))</f>
        <v/>
      </c>
      <c r="T946" t="str">
        <f>IF($AS946="","",Config!$B$17)</f>
        <v/>
      </c>
      <c r="U946" t="str">
        <f>IF($AS946="","",Config!$B$18)</f>
        <v/>
      </c>
      <c r="V946" t="str">
        <f>IF($AS946="","",Config!$B$19)</f>
        <v/>
      </c>
      <c r="W946" t="str">
        <f>IF($AS946="","",INDEX('TMP Paste'!$C$2:$C$1601,$AS946))</f>
        <v/>
      </c>
      <c r="X946" t="str">
        <f>IF($AS946="","",Config!$B$29)</f>
        <v/>
      </c>
      <c r="Y946" t="str">
        <f>IF($AT946="","",INDEX(Calc!$I$2:$I$1601,$AT946)&amp;" - "&amp;INDEX(Calc!$D$2:$D$1601,$AT946)&amp;" koli")</f>
        <v/>
      </c>
      <c r="Z946" t="str">
        <f>IF($AS946="","",Config!$B$21)</f>
        <v/>
      </c>
      <c r="AA946" t="str">
        <f>IF($AS946="","",Config!$B$22)</f>
        <v/>
      </c>
      <c r="AB946" t="str">
        <f>IF($AT946="","",INDEX(Calc!$D$2:$D$1601,$AT946))</f>
        <v/>
      </c>
      <c r="AC946" t="str">
        <f>IF($AT946="","",INDEX(Calc!$G$2:$G$1601,$AT946))</f>
        <v/>
      </c>
      <c r="AD946" t="str">
        <f>IF($AS946="","",Config!$B$23)</f>
        <v/>
      </c>
      <c r="AE946" t="str">
        <f>IF($AS946="","",Config!$B$28)</f>
        <v/>
      </c>
      <c r="AF946" t="str">
        <f t="shared" si="86"/>
        <v/>
      </c>
      <c r="AG946" t="str">
        <f t="shared" si="87"/>
        <v/>
      </c>
      <c r="AH946" t="str">
        <f t="shared" si="88"/>
        <v/>
      </c>
      <c r="AI946" t="str">
        <f>IF($AG946="","",SUMIF($AG$2:$AG946,$AG946,$AH$2:$AH946))</f>
        <v/>
      </c>
      <c r="AJ946" t="str">
        <f>IF('TMP Paste'!$F946="","",IF('TMP Paste'!$B946="",$AJ945,'TMP Paste'!$B946))</f>
        <v/>
      </c>
      <c r="AK946" t="str">
        <f>IF('TMP Paste'!$F946="","",N('TMP Paste'!$G946))</f>
        <v/>
      </c>
      <c r="AL946" t="str">
        <f>IF('TMP Paste'!$F946="","",IF('TMP Paste'!$M946="",$AL945,'TMP Paste'!$M946))</f>
        <v/>
      </c>
      <c r="AM946" t="str">
        <f>IF('TMP Paste'!$F946="","",IF('TMP Paste'!$N946="",$AM945,'TMP Paste'!$N946))</f>
        <v/>
      </c>
      <c r="AN946" t="str">
        <f>IF('TMP Paste'!$F946="","",IF('TMP Paste'!$O946="",$AN945,'TMP Paste'!$O946))</f>
        <v/>
      </c>
      <c r="AO946" t="str">
        <f>IF('TMP Paste'!$F946="","",IF('TMP Paste'!$P946="",$AO945,'TMP Paste'!$P946))</f>
        <v/>
      </c>
      <c r="AP946" t="str">
        <f t="shared" si="89"/>
        <v/>
      </c>
      <c r="AQ946" t="str">
        <f>IF($AS946="","",TRIM(IF(COUNTIFS(Calc!$B$2:$B$1601,ROW()-1,Calc!$C$2:$C$1601,"&lt;1")&gt;0,"Ada PO tanpa Koli - cek TMP. ","")&amp;IF(OR($AU946="",$AU946&lt;=0),"Volume kosong/0 - dimensi dikosongkan. ","")&amp;IF(AND($AU946&lt;&gt;"",$AU946&gt;=1000000),"Volume &gt;= 1.000.000 cm3 (di luar aturan) - dimensi dikosongkan. ","")&amp;IF(LEN($R946)&gt;500,"R &gt; 500 karakter.","")))</f>
        <v/>
      </c>
      <c r="AS946" t="str">
        <f>IFERROR(MATCH(ROW()-1,Calc!$J$2:$J$1601,0),"")</f>
        <v/>
      </c>
      <c r="AT946" t="str">
        <f>IFERROR(MATCH(ROW()-1,Calc!$K$2:$K$1601,0),"")</f>
        <v/>
      </c>
      <c r="AU946" t="str">
        <f>IF($AS946="","",IFERROR(INDEX('TMP Paste'!$D$2:$D$1601,$AS946)*1000000/$AB946,""))</f>
        <v/>
      </c>
    </row>
    <row r="947" spans="1:47">
      <c r="A947" t="str">
        <f>IF($AS947="","",INDEX('TMP Paste'!$B$2:$B$1601,$AS947))</f>
        <v/>
      </c>
      <c r="B947" t="str">
        <f>IF($AS947="","",Config!$B$14)</f>
        <v/>
      </c>
      <c r="C947" t="str">
        <f>IF($AS947="","",Config!$B$15)</f>
        <v/>
      </c>
      <c r="D947" t="str">
        <f>IF($AS947="","",INDEX('TMP Paste'!$B$2:$B$1601,$AS947))</f>
        <v/>
      </c>
      <c r="E947" t="str">
        <f>IF($AS947="","",Config!$B$27)</f>
        <v/>
      </c>
      <c r="F947" t="str">
        <f>IF($AS947="","",Config!$B$9)</f>
        <v/>
      </c>
      <c r="G947" t="str">
        <f>IF($AS947="","",Config!$B$10)</f>
        <v/>
      </c>
      <c r="H947" t="str">
        <f>IF($AS947="","",Config!$B$11)</f>
        <v/>
      </c>
      <c r="I947" t="str">
        <f>IF($AS947="","",Config!$B$16)</f>
        <v/>
      </c>
      <c r="J947" t="str">
        <f>IF($AS947="","",INDEX('TMP Paste'!$A$2:$A$1601,$AS947))</f>
        <v/>
      </c>
      <c r="K947" t="str">
        <f>IF($AS947="","",INDEX('TMP Paste'!$L$2:$L$1601,$AS947))</f>
        <v/>
      </c>
      <c r="L947" t="str">
        <f>IF($AS947="","",INDEX('TMP Paste'!$I$2:$I$1601,$AS947))</f>
        <v/>
      </c>
      <c r="M947" t="str">
        <f>IF($AS947="","",Config!$B$16)</f>
        <v/>
      </c>
      <c r="N947" t="str">
        <f t="shared" si="84"/>
        <v/>
      </c>
      <c r="O947" t="str">
        <f>IF($AS947="","",INDEX('TMP Paste'!$K$2:$K$1601,$AS947))</f>
        <v/>
      </c>
      <c r="P947" t="str">
        <f t="shared" si="85"/>
        <v/>
      </c>
      <c r="Q947" t="str">
        <f>IF($AS947="","",INDEX('TMP Paste'!$J$2:$J$1601,$AS947))</f>
        <v/>
      </c>
      <c r="R947" t="str">
        <f>IF($AS947="","",Config!$B$24)</f>
        <v/>
      </c>
      <c r="S947" t="str">
        <f ca="1">IF($AS947="","",TEXT(Config!$B$4,"yyyy-mm-dd"))</f>
        <v/>
      </c>
      <c r="T947" t="str">
        <f>IF($AS947="","",Config!$B$17)</f>
        <v/>
      </c>
      <c r="U947" t="str">
        <f>IF($AS947="","",Config!$B$18)</f>
        <v/>
      </c>
      <c r="V947" t="str">
        <f>IF($AS947="","",Config!$B$19)</f>
        <v/>
      </c>
      <c r="W947" t="str">
        <f>IF($AS947="","",INDEX('TMP Paste'!$C$2:$C$1601,$AS947))</f>
        <v/>
      </c>
      <c r="X947" t="str">
        <f>IF($AS947="","",Config!$B$29)</f>
        <v/>
      </c>
      <c r="Y947" t="str">
        <f>IF($AT947="","",INDEX(Calc!$I$2:$I$1601,$AT947)&amp;" - "&amp;INDEX(Calc!$D$2:$D$1601,$AT947)&amp;" koli")</f>
        <v/>
      </c>
      <c r="Z947" t="str">
        <f>IF($AS947="","",Config!$B$21)</f>
        <v/>
      </c>
      <c r="AA947" t="str">
        <f>IF($AS947="","",Config!$B$22)</f>
        <v/>
      </c>
      <c r="AB947" t="str">
        <f>IF($AT947="","",INDEX(Calc!$D$2:$D$1601,$AT947))</f>
        <v/>
      </c>
      <c r="AC947" t="str">
        <f>IF($AT947="","",INDEX(Calc!$G$2:$G$1601,$AT947))</f>
        <v/>
      </c>
      <c r="AD947" t="str">
        <f>IF($AS947="","",Config!$B$23)</f>
        <v/>
      </c>
      <c r="AE947" t="str">
        <f>IF($AS947="","",Config!$B$28)</f>
        <v/>
      </c>
      <c r="AF947" t="str">
        <f t="shared" si="86"/>
        <v/>
      </c>
      <c r="AG947" t="str">
        <f t="shared" si="87"/>
        <v/>
      </c>
      <c r="AH947" t="str">
        <f t="shared" si="88"/>
        <v/>
      </c>
      <c r="AI947" t="str">
        <f>IF($AG947="","",SUMIF($AG$2:$AG947,$AG947,$AH$2:$AH947))</f>
        <v/>
      </c>
      <c r="AJ947" t="str">
        <f>IF('TMP Paste'!$F947="","",IF('TMP Paste'!$B947="",$AJ946,'TMP Paste'!$B947))</f>
        <v/>
      </c>
      <c r="AK947" t="str">
        <f>IF('TMP Paste'!$F947="","",N('TMP Paste'!$G947))</f>
        <v/>
      </c>
      <c r="AL947" t="str">
        <f>IF('TMP Paste'!$F947="","",IF('TMP Paste'!$M947="",$AL946,'TMP Paste'!$M947))</f>
        <v/>
      </c>
      <c r="AM947" t="str">
        <f>IF('TMP Paste'!$F947="","",IF('TMP Paste'!$N947="",$AM946,'TMP Paste'!$N947))</f>
        <v/>
      </c>
      <c r="AN947" t="str">
        <f>IF('TMP Paste'!$F947="","",IF('TMP Paste'!$O947="",$AN946,'TMP Paste'!$O947))</f>
        <v/>
      </c>
      <c r="AO947" t="str">
        <f>IF('TMP Paste'!$F947="","",IF('TMP Paste'!$P947="",$AO946,'TMP Paste'!$P947))</f>
        <v/>
      </c>
      <c r="AP947" t="str">
        <f t="shared" si="89"/>
        <v/>
      </c>
      <c r="AQ947" t="str">
        <f>IF($AS947="","",TRIM(IF(COUNTIFS(Calc!$B$2:$B$1601,ROW()-1,Calc!$C$2:$C$1601,"&lt;1")&gt;0,"Ada PO tanpa Koli - cek TMP. ","")&amp;IF(OR($AU947="",$AU947&lt;=0),"Volume kosong/0 - dimensi dikosongkan. ","")&amp;IF(AND($AU947&lt;&gt;"",$AU947&gt;=1000000),"Volume &gt;= 1.000.000 cm3 (di luar aturan) - dimensi dikosongkan. ","")&amp;IF(LEN($R947)&gt;500,"R &gt; 500 karakter.","")))</f>
        <v/>
      </c>
      <c r="AS947" t="str">
        <f>IFERROR(MATCH(ROW()-1,Calc!$J$2:$J$1601,0),"")</f>
        <v/>
      </c>
      <c r="AT947" t="str">
        <f>IFERROR(MATCH(ROW()-1,Calc!$K$2:$K$1601,0),"")</f>
        <v/>
      </c>
      <c r="AU947" t="str">
        <f>IF($AS947="","",IFERROR(INDEX('TMP Paste'!$D$2:$D$1601,$AS947)*1000000/$AB947,""))</f>
        <v/>
      </c>
    </row>
    <row r="948" spans="1:47">
      <c r="A948" t="str">
        <f>IF($AS948="","",INDEX('TMP Paste'!$B$2:$B$1601,$AS948))</f>
        <v/>
      </c>
      <c r="B948" t="str">
        <f>IF($AS948="","",Config!$B$14)</f>
        <v/>
      </c>
      <c r="C948" t="str">
        <f>IF($AS948="","",Config!$B$15)</f>
        <v/>
      </c>
      <c r="D948" t="str">
        <f>IF($AS948="","",INDEX('TMP Paste'!$B$2:$B$1601,$AS948))</f>
        <v/>
      </c>
      <c r="E948" t="str">
        <f>IF($AS948="","",Config!$B$27)</f>
        <v/>
      </c>
      <c r="F948" t="str">
        <f>IF($AS948="","",Config!$B$9)</f>
        <v/>
      </c>
      <c r="G948" t="str">
        <f>IF($AS948="","",Config!$B$10)</f>
        <v/>
      </c>
      <c r="H948" t="str">
        <f>IF($AS948="","",Config!$B$11)</f>
        <v/>
      </c>
      <c r="I948" t="str">
        <f>IF($AS948="","",Config!$B$16)</f>
        <v/>
      </c>
      <c r="J948" t="str">
        <f>IF($AS948="","",INDEX('TMP Paste'!$A$2:$A$1601,$AS948))</f>
        <v/>
      </c>
      <c r="K948" t="str">
        <f>IF($AS948="","",INDEX('TMP Paste'!$L$2:$L$1601,$AS948))</f>
        <v/>
      </c>
      <c r="L948" t="str">
        <f>IF($AS948="","",INDEX('TMP Paste'!$I$2:$I$1601,$AS948))</f>
        <v/>
      </c>
      <c r="M948" t="str">
        <f>IF($AS948="","",Config!$B$16)</f>
        <v/>
      </c>
      <c r="N948" t="str">
        <f t="shared" si="84"/>
        <v/>
      </c>
      <c r="O948" t="str">
        <f>IF($AS948="","",INDEX('TMP Paste'!$K$2:$K$1601,$AS948))</f>
        <v/>
      </c>
      <c r="P948" t="str">
        <f t="shared" si="85"/>
        <v/>
      </c>
      <c r="Q948" t="str">
        <f>IF($AS948="","",INDEX('TMP Paste'!$J$2:$J$1601,$AS948))</f>
        <v/>
      </c>
      <c r="R948" t="str">
        <f>IF($AS948="","",Config!$B$24)</f>
        <v/>
      </c>
      <c r="S948" t="str">
        <f ca="1">IF($AS948="","",TEXT(Config!$B$4,"yyyy-mm-dd"))</f>
        <v/>
      </c>
      <c r="T948" t="str">
        <f>IF($AS948="","",Config!$B$17)</f>
        <v/>
      </c>
      <c r="U948" t="str">
        <f>IF($AS948="","",Config!$B$18)</f>
        <v/>
      </c>
      <c r="V948" t="str">
        <f>IF($AS948="","",Config!$B$19)</f>
        <v/>
      </c>
      <c r="W948" t="str">
        <f>IF($AS948="","",INDEX('TMP Paste'!$C$2:$C$1601,$AS948))</f>
        <v/>
      </c>
      <c r="X948" t="str">
        <f>IF($AS948="","",Config!$B$29)</f>
        <v/>
      </c>
      <c r="Y948" t="str">
        <f>IF($AT948="","",INDEX(Calc!$I$2:$I$1601,$AT948)&amp;" - "&amp;INDEX(Calc!$D$2:$D$1601,$AT948)&amp;" koli")</f>
        <v/>
      </c>
      <c r="Z948" t="str">
        <f>IF($AS948="","",Config!$B$21)</f>
        <v/>
      </c>
      <c r="AA948" t="str">
        <f>IF($AS948="","",Config!$B$22)</f>
        <v/>
      </c>
      <c r="AB948" t="str">
        <f>IF($AT948="","",INDEX(Calc!$D$2:$D$1601,$AT948))</f>
        <v/>
      </c>
      <c r="AC948" t="str">
        <f>IF($AT948="","",INDEX(Calc!$G$2:$G$1601,$AT948))</f>
        <v/>
      </c>
      <c r="AD948" t="str">
        <f>IF($AS948="","",Config!$B$23)</f>
        <v/>
      </c>
      <c r="AE948" t="str">
        <f>IF($AS948="","",Config!$B$28)</f>
        <v/>
      </c>
      <c r="AF948" t="str">
        <f t="shared" si="86"/>
        <v/>
      </c>
      <c r="AG948" t="str">
        <f t="shared" si="87"/>
        <v/>
      </c>
      <c r="AH948" t="str">
        <f t="shared" si="88"/>
        <v/>
      </c>
      <c r="AI948" t="str">
        <f>IF($AG948="","",SUMIF($AG$2:$AG948,$AG948,$AH$2:$AH948))</f>
        <v/>
      </c>
      <c r="AJ948" t="str">
        <f>IF('TMP Paste'!$F948="","",IF('TMP Paste'!$B948="",$AJ947,'TMP Paste'!$B948))</f>
        <v/>
      </c>
      <c r="AK948" t="str">
        <f>IF('TMP Paste'!$F948="","",N('TMP Paste'!$G948))</f>
        <v/>
      </c>
      <c r="AL948" t="str">
        <f>IF('TMP Paste'!$F948="","",IF('TMP Paste'!$M948="",$AL947,'TMP Paste'!$M948))</f>
        <v/>
      </c>
      <c r="AM948" t="str">
        <f>IF('TMP Paste'!$F948="","",IF('TMP Paste'!$N948="",$AM947,'TMP Paste'!$N948))</f>
        <v/>
      </c>
      <c r="AN948" t="str">
        <f>IF('TMP Paste'!$F948="","",IF('TMP Paste'!$O948="",$AN947,'TMP Paste'!$O948))</f>
        <v/>
      </c>
      <c r="AO948" t="str">
        <f>IF('TMP Paste'!$F948="","",IF('TMP Paste'!$P948="",$AO947,'TMP Paste'!$P948))</f>
        <v/>
      </c>
      <c r="AP948" t="str">
        <f t="shared" si="89"/>
        <v/>
      </c>
      <c r="AQ948" t="str">
        <f>IF($AS948="","",TRIM(IF(COUNTIFS(Calc!$B$2:$B$1601,ROW()-1,Calc!$C$2:$C$1601,"&lt;1")&gt;0,"Ada PO tanpa Koli - cek TMP. ","")&amp;IF(OR($AU948="",$AU948&lt;=0),"Volume kosong/0 - dimensi dikosongkan. ","")&amp;IF(AND($AU948&lt;&gt;"",$AU948&gt;=1000000),"Volume &gt;= 1.000.000 cm3 (di luar aturan) - dimensi dikosongkan. ","")&amp;IF(LEN($R948)&gt;500,"R &gt; 500 karakter.","")))</f>
        <v/>
      </c>
      <c r="AS948" t="str">
        <f>IFERROR(MATCH(ROW()-1,Calc!$J$2:$J$1601,0),"")</f>
        <v/>
      </c>
      <c r="AT948" t="str">
        <f>IFERROR(MATCH(ROW()-1,Calc!$K$2:$K$1601,0),"")</f>
        <v/>
      </c>
      <c r="AU948" t="str">
        <f>IF($AS948="","",IFERROR(INDEX('TMP Paste'!$D$2:$D$1601,$AS948)*1000000/$AB948,""))</f>
        <v/>
      </c>
    </row>
    <row r="949" spans="1:47">
      <c r="A949" t="str">
        <f>IF($AS949="","",INDEX('TMP Paste'!$B$2:$B$1601,$AS949))</f>
        <v/>
      </c>
      <c r="B949" t="str">
        <f>IF($AS949="","",Config!$B$14)</f>
        <v/>
      </c>
      <c r="C949" t="str">
        <f>IF($AS949="","",Config!$B$15)</f>
        <v/>
      </c>
      <c r="D949" t="str">
        <f>IF($AS949="","",INDEX('TMP Paste'!$B$2:$B$1601,$AS949))</f>
        <v/>
      </c>
      <c r="E949" t="str">
        <f>IF($AS949="","",Config!$B$27)</f>
        <v/>
      </c>
      <c r="F949" t="str">
        <f>IF($AS949="","",Config!$B$9)</f>
        <v/>
      </c>
      <c r="G949" t="str">
        <f>IF($AS949="","",Config!$B$10)</f>
        <v/>
      </c>
      <c r="H949" t="str">
        <f>IF($AS949="","",Config!$B$11)</f>
        <v/>
      </c>
      <c r="I949" t="str">
        <f>IF($AS949="","",Config!$B$16)</f>
        <v/>
      </c>
      <c r="J949" t="str">
        <f>IF($AS949="","",INDEX('TMP Paste'!$A$2:$A$1601,$AS949))</f>
        <v/>
      </c>
      <c r="K949" t="str">
        <f>IF($AS949="","",INDEX('TMP Paste'!$L$2:$L$1601,$AS949))</f>
        <v/>
      </c>
      <c r="L949" t="str">
        <f>IF($AS949="","",INDEX('TMP Paste'!$I$2:$I$1601,$AS949))</f>
        <v/>
      </c>
      <c r="M949" t="str">
        <f>IF($AS949="","",Config!$B$16)</f>
        <v/>
      </c>
      <c r="N949" t="str">
        <f t="shared" si="84"/>
        <v/>
      </c>
      <c r="O949" t="str">
        <f>IF($AS949="","",INDEX('TMP Paste'!$K$2:$K$1601,$AS949))</f>
        <v/>
      </c>
      <c r="P949" t="str">
        <f t="shared" si="85"/>
        <v/>
      </c>
      <c r="Q949" t="str">
        <f>IF($AS949="","",INDEX('TMP Paste'!$J$2:$J$1601,$AS949))</f>
        <v/>
      </c>
      <c r="R949" t="str">
        <f>IF($AS949="","",Config!$B$24)</f>
        <v/>
      </c>
      <c r="S949" t="str">
        <f ca="1">IF($AS949="","",TEXT(Config!$B$4,"yyyy-mm-dd"))</f>
        <v/>
      </c>
      <c r="T949" t="str">
        <f>IF($AS949="","",Config!$B$17)</f>
        <v/>
      </c>
      <c r="U949" t="str">
        <f>IF($AS949="","",Config!$B$18)</f>
        <v/>
      </c>
      <c r="V949" t="str">
        <f>IF($AS949="","",Config!$B$19)</f>
        <v/>
      </c>
      <c r="W949" t="str">
        <f>IF($AS949="","",INDEX('TMP Paste'!$C$2:$C$1601,$AS949))</f>
        <v/>
      </c>
      <c r="X949" t="str">
        <f>IF($AS949="","",Config!$B$29)</f>
        <v/>
      </c>
      <c r="Y949" t="str">
        <f>IF($AT949="","",INDEX(Calc!$I$2:$I$1601,$AT949)&amp;" - "&amp;INDEX(Calc!$D$2:$D$1601,$AT949)&amp;" koli")</f>
        <v/>
      </c>
      <c r="Z949" t="str">
        <f>IF($AS949="","",Config!$B$21)</f>
        <v/>
      </c>
      <c r="AA949" t="str">
        <f>IF($AS949="","",Config!$B$22)</f>
        <v/>
      </c>
      <c r="AB949" t="str">
        <f>IF($AT949="","",INDEX(Calc!$D$2:$D$1601,$AT949))</f>
        <v/>
      </c>
      <c r="AC949" t="str">
        <f>IF($AT949="","",INDEX(Calc!$G$2:$G$1601,$AT949))</f>
        <v/>
      </c>
      <c r="AD949" t="str">
        <f>IF($AS949="","",Config!$B$23)</f>
        <v/>
      </c>
      <c r="AE949" t="str">
        <f>IF($AS949="","",Config!$B$28)</f>
        <v/>
      </c>
      <c r="AF949" t="str">
        <f t="shared" si="86"/>
        <v/>
      </c>
      <c r="AG949" t="str">
        <f t="shared" si="87"/>
        <v/>
      </c>
      <c r="AH949" t="str">
        <f t="shared" si="88"/>
        <v/>
      </c>
      <c r="AI949" t="str">
        <f>IF($AG949="","",SUMIF($AG$2:$AG949,$AG949,$AH$2:$AH949))</f>
        <v/>
      </c>
      <c r="AJ949" t="str">
        <f>IF('TMP Paste'!$F949="","",IF('TMP Paste'!$B949="",$AJ948,'TMP Paste'!$B949))</f>
        <v/>
      </c>
      <c r="AK949" t="str">
        <f>IF('TMP Paste'!$F949="","",N('TMP Paste'!$G949))</f>
        <v/>
      </c>
      <c r="AL949" t="str">
        <f>IF('TMP Paste'!$F949="","",IF('TMP Paste'!$M949="",$AL948,'TMP Paste'!$M949))</f>
        <v/>
      </c>
      <c r="AM949" t="str">
        <f>IF('TMP Paste'!$F949="","",IF('TMP Paste'!$N949="",$AM948,'TMP Paste'!$N949))</f>
        <v/>
      </c>
      <c r="AN949" t="str">
        <f>IF('TMP Paste'!$F949="","",IF('TMP Paste'!$O949="",$AN948,'TMP Paste'!$O949))</f>
        <v/>
      </c>
      <c r="AO949" t="str">
        <f>IF('TMP Paste'!$F949="","",IF('TMP Paste'!$P949="",$AO948,'TMP Paste'!$P949))</f>
        <v/>
      </c>
      <c r="AP949" t="str">
        <f t="shared" si="89"/>
        <v/>
      </c>
      <c r="AQ949" t="str">
        <f>IF($AS949="","",TRIM(IF(COUNTIFS(Calc!$B$2:$B$1601,ROW()-1,Calc!$C$2:$C$1601,"&lt;1")&gt;0,"Ada PO tanpa Koli - cek TMP. ","")&amp;IF(OR($AU949="",$AU949&lt;=0),"Volume kosong/0 - dimensi dikosongkan. ","")&amp;IF(AND($AU949&lt;&gt;"",$AU949&gt;=1000000),"Volume &gt;= 1.000.000 cm3 (di luar aturan) - dimensi dikosongkan. ","")&amp;IF(LEN($R949)&gt;500,"R &gt; 500 karakter.","")))</f>
        <v/>
      </c>
      <c r="AS949" t="str">
        <f>IFERROR(MATCH(ROW()-1,Calc!$J$2:$J$1601,0),"")</f>
        <v/>
      </c>
      <c r="AT949" t="str">
        <f>IFERROR(MATCH(ROW()-1,Calc!$K$2:$K$1601,0),"")</f>
        <v/>
      </c>
      <c r="AU949" t="str">
        <f>IF($AS949="","",IFERROR(INDEX('TMP Paste'!$D$2:$D$1601,$AS949)*1000000/$AB949,""))</f>
        <v/>
      </c>
    </row>
    <row r="950" spans="1:47">
      <c r="A950" t="str">
        <f>IF($AS950="","",INDEX('TMP Paste'!$B$2:$B$1601,$AS950))</f>
        <v/>
      </c>
      <c r="B950" t="str">
        <f>IF($AS950="","",Config!$B$14)</f>
        <v/>
      </c>
      <c r="C950" t="str">
        <f>IF($AS950="","",Config!$B$15)</f>
        <v/>
      </c>
      <c r="D950" t="str">
        <f>IF($AS950="","",INDEX('TMP Paste'!$B$2:$B$1601,$AS950))</f>
        <v/>
      </c>
      <c r="E950" t="str">
        <f>IF($AS950="","",Config!$B$27)</f>
        <v/>
      </c>
      <c r="F950" t="str">
        <f>IF($AS950="","",Config!$B$9)</f>
        <v/>
      </c>
      <c r="G950" t="str">
        <f>IF($AS950="","",Config!$B$10)</f>
        <v/>
      </c>
      <c r="H950" t="str">
        <f>IF($AS950="","",Config!$B$11)</f>
        <v/>
      </c>
      <c r="I950" t="str">
        <f>IF($AS950="","",Config!$B$16)</f>
        <v/>
      </c>
      <c r="J950" t="str">
        <f>IF($AS950="","",INDEX('TMP Paste'!$A$2:$A$1601,$AS950))</f>
        <v/>
      </c>
      <c r="K950" t="str">
        <f>IF($AS950="","",INDEX('TMP Paste'!$L$2:$L$1601,$AS950))</f>
        <v/>
      </c>
      <c r="L950" t="str">
        <f>IF($AS950="","",INDEX('TMP Paste'!$I$2:$I$1601,$AS950))</f>
        <v/>
      </c>
      <c r="M950" t="str">
        <f>IF($AS950="","",Config!$B$16)</f>
        <v/>
      </c>
      <c r="N950" t="str">
        <f t="shared" si="84"/>
        <v/>
      </c>
      <c r="O950" t="str">
        <f>IF($AS950="","",INDEX('TMP Paste'!$K$2:$K$1601,$AS950))</f>
        <v/>
      </c>
      <c r="P950" t="str">
        <f t="shared" si="85"/>
        <v/>
      </c>
      <c r="Q950" t="str">
        <f>IF($AS950="","",INDEX('TMP Paste'!$J$2:$J$1601,$AS950))</f>
        <v/>
      </c>
      <c r="R950" t="str">
        <f>IF($AS950="","",Config!$B$24)</f>
        <v/>
      </c>
      <c r="S950" t="str">
        <f ca="1">IF($AS950="","",TEXT(Config!$B$4,"yyyy-mm-dd"))</f>
        <v/>
      </c>
      <c r="T950" t="str">
        <f>IF($AS950="","",Config!$B$17)</f>
        <v/>
      </c>
      <c r="U950" t="str">
        <f>IF($AS950="","",Config!$B$18)</f>
        <v/>
      </c>
      <c r="V950" t="str">
        <f>IF($AS950="","",Config!$B$19)</f>
        <v/>
      </c>
      <c r="W950" t="str">
        <f>IF($AS950="","",INDEX('TMP Paste'!$C$2:$C$1601,$AS950))</f>
        <v/>
      </c>
      <c r="X950" t="str">
        <f>IF($AS950="","",Config!$B$29)</f>
        <v/>
      </c>
      <c r="Y950" t="str">
        <f>IF($AT950="","",INDEX(Calc!$I$2:$I$1601,$AT950)&amp;" - "&amp;INDEX(Calc!$D$2:$D$1601,$AT950)&amp;" koli")</f>
        <v/>
      </c>
      <c r="Z950" t="str">
        <f>IF($AS950="","",Config!$B$21)</f>
        <v/>
      </c>
      <c r="AA950" t="str">
        <f>IF($AS950="","",Config!$B$22)</f>
        <v/>
      </c>
      <c r="AB950" t="str">
        <f>IF($AT950="","",INDEX(Calc!$D$2:$D$1601,$AT950))</f>
        <v/>
      </c>
      <c r="AC950" t="str">
        <f>IF($AT950="","",INDEX(Calc!$G$2:$G$1601,$AT950))</f>
        <v/>
      </c>
      <c r="AD950" t="str">
        <f>IF($AS950="","",Config!$B$23)</f>
        <v/>
      </c>
      <c r="AE950" t="str">
        <f>IF($AS950="","",Config!$B$28)</f>
        <v/>
      </c>
      <c r="AF950" t="str">
        <f t="shared" si="86"/>
        <v/>
      </c>
      <c r="AG950" t="str">
        <f t="shared" si="87"/>
        <v/>
      </c>
      <c r="AH950" t="str">
        <f t="shared" si="88"/>
        <v/>
      </c>
      <c r="AI950" t="str">
        <f>IF($AG950="","",SUMIF($AG$2:$AG950,$AG950,$AH$2:$AH950))</f>
        <v/>
      </c>
      <c r="AJ950" t="str">
        <f>IF('TMP Paste'!$F950="","",IF('TMP Paste'!$B950="",$AJ949,'TMP Paste'!$B950))</f>
        <v/>
      </c>
      <c r="AK950" t="str">
        <f>IF('TMP Paste'!$F950="","",N('TMP Paste'!$G950))</f>
        <v/>
      </c>
      <c r="AL950" t="str">
        <f>IF('TMP Paste'!$F950="","",IF('TMP Paste'!$M950="",$AL949,'TMP Paste'!$M950))</f>
        <v/>
      </c>
      <c r="AM950" t="str">
        <f>IF('TMP Paste'!$F950="","",IF('TMP Paste'!$N950="",$AM949,'TMP Paste'!$N950))</f>
        <v/>
      </c>
      <c r="AN950" t="str">
        <f>IF('TMP Paste'!$F950="","",IF('TMP Paste'!$O950="",$AN949,'TMP Paste'!$O950))</f>
        <v/>
      </c>
      <c r="AO950" t="str">
        <f>IF('TMP Paste'!$F950="","",IF('TMP Paste'!$P950="",$AO949,'TMP Paste'!$P950))</f>
        <v/>
      </c>
      <c r="AP950" t="str">
        <f t="shared" si="89"/>
        <v/>
      </c>
      <c r="AQ950" t="str">
        <f>IF($AS950="","",TRIM(IF(COUNTIFS(Calc!$B$2:$B$1601,ROW()-1,Calc!$C$2:$C$1601,"&lt;1")&gt;0,"Ada PO tanpa Koli - cek TMP. ","")&amp;IF(OR($AU950="",$AU950&lt;=0),"Volume kosong/0 - dimensi dikosongkan. ","")&amp;IF(AND($AU950&lt;&gt;"",$AU950&gt;=1000000),"Volume &gt;= 1.000.000 cm3 (di luar aturan) - dimensi dikosongkan. ","")&amp;IF(LEN($R950)&gt;500,"R &gt; 500 karakter.","")))</f>
        <v/>
      </c>
      <c r="AS950" t="str">
        <f>IFERROR(MATCH(ROW()-1,Calc!$J$2:$J$1601,0),"")</f>
        <v/>
      </c>
      <c r="AT950" t="str">
        <f>IFERROR(MATCH(ROW()-1,Calc!$K$2:$K$1601,0),"")</f>
        <v/>
      </c>
      <c r="AU950" t="str">
        <f>IF($AS950="","",IFERROR(INDEX('TMP Paste'!$D$2:$D$1601,$AS950)*1000000/$AB950,""))</f>
        <v/>
      </c>
    </row>
    <row r="951" spans="1:47">
      <c r="A951" t="str">
        <f>IF($AS951="","",INDEX('TMP Paste'!$B$2:$B$1601,$AS951))</f>
        <v/>
      </c>
      <c r="B951" t="str">
        <f>IF($AS951="","",Config!$B$14)</f>
        <v/>
      </c>
      <c r="C951" t="str">
        <f>IF($AS951="","",Config!$B$15)</f>
        <v/>
      </c>
      <c r="D951" t="str">
        <f>IF($AS951="","",INDEX('TMP Paste'!$B$2:$B$1601,$AS951))</f>
        <v/>
      </c>
      <c r="E951" t="str">
        <f>IF($AS951="","",Config!$B$27)</f>
        <v/>
      </c>
      <c r="F951" t="str">
        <f>IF($AS951="","",Config!$B$9)</f>
        <v/>
      </c>
      <c r="G951" t="str">
        <f>IF($AS951="","",Config!$B$10)</f>
        <v/>
      </c>
      <c r="H951" t="str">
        <f>IF($AS951="","",Config!$B$11)</f>
        <v/>
      </c>
      <c r="I951" t="str">
        <f>IF($AS951="","",Config!$B$16)</f>
        <v/>
      </c>
      <c r="J951" t="str">
        <f>IF($AS951="","",INDEX('TMP Paste'!$A$2:$A$1601,$AS951))</f>
        <v/>
      </c>
      <c r="K951" t="str">
        <f>IF($AS951="","",INDEX('TMP Paste'!$L$2:$L$1601,$AS951))</f>
        <v/>
      </c>
      <c r="L951" t="str">
        <f>IF($AS951="","",INDEX('TMP Paste'!$I$2:$I$1601,$AS951))</f>
        <v/>
      </c>
      <c r="M951" t="str">
        <f>IF($AS951="","",Config!$B$16)</f>
        <v/>
      </c>
      <c r="N951" t="str">
        <f t="shared" si="84"/>
        <v/>
      </c>
      <c r="O951" t="str">
        <f>IF($AS951="","",INDEX('TMP Paste'!$K$2:$K$1601,$AS951))</f>
        <v/>
      </c>
      <c r="P951" t="str">
        <f t="shared" si="85"/>
        <v/>
      </c>
      <c r="Q951" t="str">
        <f>IF($AS951="","",INDEX('TMP Paste'!$J$2:$J$1601,$AS951))</f>
        <v/>
      </c>
      <c r="R951" t="str">
        <f>IF($AS951="","",Config!$B$24)</f>
        <v/>
      </c>
      <c r="S951" t="str">
        <f ca="1">IF($AS951="","",TEXT(Config!$B$4,"yyyy-mm-dd"))</f>
        <v/>
      </c>
      <c r="T951" t="str">
        <f>IF($AS951="","",Config!$B$17)</f>
        <v/>
      </c>
      <c r="U951" t="str">
        <f>IF($AS951="","",Config!$B$18)</f>
        <v/>
      </c>
      <c r="V951" t="str">
        <f>IF($AS951="","",Config!$B$19)</f>
        <v/>
      </c>
      <c r="W951" t="str">
        <f>IF($AS951="","",INDEX('TMP Paste'!$C$2:$C$1601,$AS951))</f>
        <v/>
      </c>
      <c r="X951" t="str">
        <f>IF($AS951="","",Config!$B$29)</f>
        <v/>
      </c>
      <c r="Y951" t="str">
        <f>IF($AT951="","",INDEX(Calc!$I$2:$I$1601,$AT951)&amp;" - "&amp;INDEX(Calc!$D$2:$D$1601,$AT951)&amp;" koli")</f>
        <v/>
      </c>
      <c r="Z951" t="str">
        <f>IF($AS951="","",Config!$B$21)</f>
        <v/>
      </c>
      <c r="AA951" t="str">
        <f>IF($AS951="","",Config!$B$22)</f>
        <v/>
      </c>
      <c r="AB951" t="str">
        <f>IF($AT951="","",INDEX(Calc!$D$2:$D$1601,$AT951))</f>
        <v/>
      </c>
      <c r="AC951" t="str">
        <f>IF($AT951="","",INDEX(Calc!$G$2:$G$1601,$AT951))</f>
        <v/>
      </c>
      <c r="AD951" t="str">
        <f>IF($AS951="","",Config!$B$23)</f>
        <v/>
      </c>
      <c r="AE951" t="str">
        <f>IF($AS951="","",Config!$B$28)</f>
        <v/>
      </c>
      <c r="AF951" t="str">
        <f t="shared" si="86"/>
        <v/>
      </c>
      <c r="AG951" t="str">
        <f t="shared" si="87"/>
        <v/>
      </c>
      <c r="AH951" t="str">
        <f t="shared" si="88"/>
        <v/>
      </c>
      <c r="AI951" t="str">
        <f>IF($AG951="","",SUMIF($AG$2:$AG951,$AG951,$AH$2:$AH951))</f>
        <v/>
      </c>
      <c r="AJ951" t="str">
        <f>IF('TMP Paste'!$F951="","",IF('TMP Paste'!$B951="",$AJ950,'TMP Paste'!$B951))</f>
        <v/>
      </c>
      <c r="AK951" t="str">
        <f>IF('TMP Paste'!$F951="","",N('TMP Paste'!$G951))</f>
        <v/>
      </c>
      <c r="AL951" t="str">
        <f>IF('TMP Paste'!$F951="","",IF('TMP Paste'!$M951="",$AL950,'TMP Paste'!$M951))</f>
        <v/>
      </c>
      <c r="AM951" t="str">
        <f>IF('TMP Paste'!$F951="","",IF('TMP Paste'!$N951="",$AM950,'TMP Paste'!$N951))</f>
        <v/>
      </c>
      <c r="AN951" t="str">
        <f>IF('TMP Paste'!$F951="","",IF('TMP Paste'!$O951="",$AN950,'TMP Paste'!$O951))</f>
        <v/>
      </c>
      <c r="AO951" t="str">
        <f>IF('TMP Paste'!$F951="","",IF('TMP Paste'!$P951="",$AO950,'TMP Paste'!$P951))</f>
        <v/>
      </c>
      <c r="AP951" t="str">
        <f t="shared" si="89"/>
        <v/>
      </c>
      <c r="AQ951" t="str">
        <f>IF($AS951="","",TRIM(IF(COUNTIFS(Calc!$B$2:$B$1601,ROW()-1,Calc!$C$2:$C$1601,"&lt;1")&gt;0,"Ada PO tanpa Koli - cek TMP. ","")&amp;IF(OR($AU951="",$AU951&lt;=0),"Volume kosong/0 - dimensi dikosongkan. ","")&amp;IF(AND($AU951&lt;&gt;"",$AU951&gt;=1000000),"Volume &gt;= 1.000.000 cm3 (di luar aturan) - dimensi dikosongkan. ","")&amp;IF(LEN($R951)&gt;500,"R &gt; 500 karakter.","")))</f>
        <v/>
      </c>
      <c r="AS951" t="str">
        <f>IFERROR(MATCH(ROW()-1,Calc!$J$2:$J$1601,0),"")</f>
        <v/>
      </c>
      <c r="AT951" t="str">
        <f>IFERROR(MATCH(ROW()-1,Calc!$K$2:$K$1601,0),"")</f>
        <v/>
      </c>
      <c r="AU951" t="str">
        <f>IF($AS951="","",IFERROR(INDEX('TMP Paste'!$D$2:$D$1601,$AS951)*1000000/$AB951,""))</f>
        <v/>
      </c>
    </row>
    <row r="952" spans="1:47">
      <c r="A952" t="str">
        <f>IF($AS952="","",INDEX('TMP Paste'!$B$2:$B$1601,$AS952))</f>
        <v/>
      </c>
      <c r="B952" t="str">
        <f>IF($AS952="","",Config!$B$14)</f>
        <v/>
      </c>
      <c r="C952" t="str">
        <f>IF($AS952="","",Config!$B$15)</f>
        <v/>
      </c>
      <c r="D952" t="str">
        <f>IF($AS952="","",INDEX('TMP Paste'!$B$2:$B$1601,$AS952))</f>
        <v/>
      </c>
      <c r="E952" t="str">
        <f>IF($AS952="","",Config!$B$27)</f>
        <v/>
      </c>
      <c r="F952" t="str">
        <f>IF($AS952="","",Config!$B$9)</f>
        <v/>
      </c>
      <c r="G952" t="str">
        <f>IF($AS952="","",Config!$B$10)</f>
        <v/>
      </c>
      <c r="H952" t="str">
        <f>IF($AS952="","",Config!$B$11)</f>
        <v/>
      </c>
      <c r="I952" t="str">
        <f>IF($AS952="","",Config!$B$16)</f>
        <v/>
      </c>
      <c r="J952" t="str">
        <f>IF($AS952="","",INDEX('TMP Paste'!$A$2:$A$1601,$AS952))</f>
        <v/>
      </c>
      <c r="K952" t="str">
        <f>IF($AS952="","",INDEX('TMP Paste'!$L$2:$L$1601,$AS952))</f>
        <v/>
      </c>
      <c r="L952" t="str">
        <f>IF($AS952="","",INDEX('TMP Paste'!$I$2:$I$1601,$AS952))</f>
        <v/>
      </c>
      <c r="M952" t="str">
        <f>IF($AS952="","",Config!$B$16)</f>
        <v/>
      </c>
      <c r="N952" t="str">
        <f t="shared" si="84"/>
        <v/>
      </c>
      <c r="O952" t="str">
        <f>IF($AS952="","",INDEX('TMP Paste'!$K$2:$K$1601,$AS952))</f>
        <v/>
      </c>
      <c r="P952" t="str">
        <f t="shared" si="85"/>
        <v/>
      </c>
      <c r="Q952" t="str">
        <f>IF($AS952="","",INDEX('TMP Paste'!$J$2:$J$1601,$AS952))</f>
        <v/>
      </c>
      <c r="R952" t="str">
        <f>IF($AS952="","",Config!$B$24)</f>
        <v/>
      </c>
      <c r="S952" t="str">
        <f ca="1">IF($AS952="","",TEXT(Config!$B$4,"yyyy-mm-dd"))</f>
        <v/>
      </c>
      <c r="T952" t="str">
        <f>IF($AS952="","",Config!$B$17)</f>
        <v/>
      </c>
      <c r="U952" t="str">
        <f>IF($AS952="","",Config!$B$18)</f>
        <v/>
      </c>
      <c r="V952" t="str">
        <f>IF($AS952="","",Config!$B$19)</f>
        <v/>
      </c>
      <c r="W952" t="str">
        <f>IF($AS952="","",INDEX('TMP Paste'!$C$2:$C$1601,$AS952))</f>
        <v/>
      </c>
      <c r="X952" t="str">
        <f>IF($AS952="","",Config!$B$29)</f>
        <v/>
      </c>
      <c r="Y952" t="str">
        <f>IF($AT952="","",INDEX(Calc!$I$2:$I$1601,$AT952)&amp;" - "&amp;INDEX(Calc!$D$2:$D$1601,$AT952)&amp;" koli")</f>
        <v/>
      </c>
      <c r="Z952" t="str">
        <f>IF($AS952="","",Config!$B$21)</f>
        <v/>
      </c>
      <c r="AA952" t="str">
        <f>IF($AS952="","",Config!$B$22)</f>
        <v/>
      </c>
      <c r="AB952" t="str">
        <f>IF($AT952="","",INDEX(Calc!$D$2:$D$1601,$AT952))</f>
        <v/>
      </c>
      <c r="AC952" t="str">
        <f>IF($AT952="","",INDEX(Calc!$G$2:$G$1601,$AT952))</f>
        <v/>
      </c>
      <c r="AD952" t="str">
        <f>IF($AS952="","",Config!$B$23)</f>
        <v/>
      </c>
      <c r="AE952" t="str">
        <f>IF($AS952="","",Config!$B$28)</f>
        <v/>
      </c>
      <c r="AF952" t="str">
        <f t="shared" si="86"/>
        <v/>
      </c>
      <c r="AG952" t="str">
        <f t="shared" si="87"/>
        <v/>
      </c>
      <c r="AH952" t="str">
        <f t="shared" si="88"/>
        <v/>
      </c>
      <c r="AI952" t="str">
        <f>IF($AG952="","",SUMIF($AG$2:$AG952,$AG952,$AH$2:$AH952))</f>
        <v/>
      </c>
      <c r="AJ952" t="str">
        <f>IF('TMP Paste'!$F952="","",IF('TMP Paste'!$B952="",$AJ951,'TMP Paste'!$B952))</f>
        <v/>
      </c>
      <c r="AK952" t="str">
        <f>IF('TMP Paste'!$F952="","",N('TMP Paste'!$G952))</f>
        <v/>
      </c>
      <c r="AL952" t="str">
        <f>IF('TMP Paste'!$F952="","",IF('TMP Paste'!$M952="",$AL951,'TMP Paste'!$M952))</f>
        <v/>
      </c>
      <c r="AM952" t="str">
        <f>IF('TMP Paste'!$F952="","",IF('TMP Paste'!$N952="",$AM951,'TMP Paste'!$N952))</f>
        <v/>
      </c>
      <c r="AN952" t="str">
        <f>IF('TMP Paste'!$F952="","",IF('TMP Paste'!$O952="",$AN951,'TMP Paste'!$O952))</f>
        <v/>
      </c>
      <c r="AO952" t="str">
        <f>IF('TMP Paste'!$F952="","",IF('TMP Paste'!$P952="",$AO951,'TMP Paste'!$P952))</f>
        <v/>
      </c>
      <c r="AP952" t="str">
        <f t="shared" si="89"/>
        <v/>
      </c>
      <c r="AQ952" t="str">
        <f>IF($AS952="","",TRIM(IF(COUNTIFS(Calc!$B$2:$B$1601,ROW()-1,Calc!$C$2:$C$1601,"&lt;1")&gt;0,"Ada PO tanpa Koli - cek TMP. ","")&amp;IF(OR($AU952="",$AU952&lt;=0),"Volume kosong/0 - dimensi dikosongkan. ","")&amp;IF(AND($AU952&lt;&gt;"",$AU952&gt;=1000000),"Volume &gt;= 1.000.000 cm3 (di luar aturan) - dimensi dikosongkan. ","")&amp;IF(LEN($R952)&gt;500,"R &gt; 500 karakter.","")))</f>
        <v/>
      </c>
      <c r="AS952" t="str">
        <f>IFERROR(MATCH(ROW()-1,Calc!$J$2:$J$1601,0),"")</f>
        <v/>
      </c>
      <c r="AT952" t="str">
        <f>IFERROR(MATCH(ROW()-1,Calc!$K$2:$K$1601,0),"")</f>
        <v/>
      </c>
      <c r="AU952" t="str">
        <f>IF($AS952="","",IFERROR(INDEX('TMP Paste'!$D$2:$D$1601,$AS952)*1000000/$AB952,""))</f>
        <v/>
      </c>
    </row>
    <row r="953" spans="1:47">
      <c r="A953" t="str">
        <f>IF($AS953="","",INDEX('TMP Paste'!$B$2:$B$1601,$AS953))</f>
        <v/>
      </c>
      <c r="B953" t="str">
        <f>IF($AS953="","",Config!$B$14)</f>
        <v/>
      </c>
      <c r="C953" t="str">
        <f>IF($AS953="","",Config!$B$15)</f>
        <v/>
      </c>
      <c r="D953" t="str">
        <f>IF($AS953="","",INDEX('TMP Paste'!$B$2:$B$1601,$AS953))</f>
        <v/>
      </c>
      <c r="E953" t="str">
        <f>IF($AS953="","",Config!$B$27)</f>
        <v/>
      </c>
      <c r="F953" t="str">
        <f>IF($AS953="","",Config!$B$9)</f>
        <v/>
      </c>
      <c r="G953" t="str">
        <f>IF($AS953="","",Config!$B$10)</f>
        <v/>
      </c>
      <c r="H953" t="str">
        <f>IF($AS953="","",Config!$B$11)</f>
        <v/>
      </c>
      <c r="I953" t="str">
        <f>IF($AS953="","",Config!$B$16)</f>
        <v/>
      </c>
      <c r="J953" t="str">
        <f>IF($AS953="","",INDEX('TMP Paste'!$A$2:$A$1601,$AS953))</f>
        <v/>
      </c>
      <c r="K953" t="str">
        <f>IF($AS953="","",INDEX('TMP Paste'!$L$2:$L$1601,$AS953))</f>
        <v/>
      </c>
      <c r="L953" t="str">
        <f>IF($AS953="","",INDEX('TMP Paste'!$I$2:$I$1601,$AS953))</f>
        <v/>
      </c>
      <c r="M953" t="str">
        <f>IF($AS953="","",Config!$B$16)</f>
        <v/>
      </c>
      <c r="N953" t="str">
        <f t="shared" si="84"/>
        <v/>
      </c>
      <c r="O953" t="str">
        <f>IF($AS953="","",INDEX('TMP Paste'!$K$2:$K$1601,$AS953))</f>
        <v/>
      </c>
      <c r="P953" t="str">
        <f t="shared" si="85"/>
        <v/>
      </c>
      <c r="Q953" t="str">
        <f>IF($AS953="","",INDEX('TMP Paste'!$J$2:$J$1601,$AS953))</f>
        <v/>
      </c>
      <c r="R953" t="str">
        <f>IF($AS953="","",Config!$B$24)</f>
        <v/>
      </c>
      <c r="S953" t="str">
        <f ca="1">IF($AS953="","",TEXT(Config!$B$4,"yyyy-mm-dd"))</f>
        <v/>
      </c>
      <c r="T953" t="str">
        <f>IF($AS953="","",Config!$B$17)</f>
        <v/>
      </c>
      <c r="U953" t="str">
        <f>IF($AS953="","",Config!$B$18)</f>
        <v/>
      </c>
      <c r="V953" t="str">
        <f>IF($AS953="","",Config!$B$19)</f>
        <v/>
      </c>
      <c r="W953" t="str">
        <f>IF($AS953="","",INDEX('TMP Paste'!$C$2:$C$1601,$AS953))</f>
        <v/>
      </c>
      <c r="X953" t="str">
        <f>IF($AS953="","",Config!$B$29)</f>
        <v/>
      </c>
      <c r="Y953" t="str">
        <f>IF($AT953="","",INDEX(Calc!$I$2:$I$1601,$AT953)&amp;" - "&amp;INDEX(Calc!$D$2:$D$1601,$AT953)&amp;" koli")</f>
        <v/>
      </c>
      <c r="Z953" t="str">
        <f>IF($AS953="","",Config!$B$21)</f>
        <v/>
      </c>
      <c r="AA953" t="str">
        <f>IF($AS953="","",Config!$B$22)</f>
        <v/>
      </c>
      <c r="AB953" t="str">
        <f>IF($AT953="","",INDEX(Calc!$D$2:$D$1601,$AT953))</f>
        <v/>
      </c>
      <c r="AC953" t="str">
        <f>IF($AT953="","",INDEX(Calc!$G$2:$G$1601,$AT953))</f>
        <v/>
      </c>
      <c r="AD953" t="str">
        <f>IF($AS953="","",Config!$B$23)</f>
        <v/>
      </c>
      <c r="AE953" t="str">
        <f>IF($AS953="","",Config!$B$28)</f>
        <v/>
      </c>
      <c r="AF953" t="str">
        <f t="shared" si="86"/>
        <v/>
      </c>
      <c r="AG953" t="str">
        <f t="shared" si="87"/>
        <v/>
      </c>
      <c r="AH953" t="str">
        <f t="shared" si="88"/>
        <v/>
      </c>
      <c r="AI953" t="str">
        <f>IF($AG953="","",SUMIF($AG$2:$AG953,$AG953,$AH$2:$AH953))</f>
        <v/>
      </c>
      <c r="AJ953" t="str">
        <f>IF('TMP Paste'!$F953="","",IF('TMP Paste'!$B953="",$AJ952,'TMP Paste'!$B953))</f>
        <v/>
      </c>
      <c r="AK953" t="str">
        <f>IF('TMP Paste'!$F953="","",N('TMP Paste'!$G953))</f>
        <v/>
      </c>
      <c r="AL953" t="str">
        <f>IF('TMP Paste'!$F953="","",IF('TMP Paste'!$M953="",$AL952,'TMP Paste'!$M953))</f>
        <v/>
      </c>
      <c r="AM953" t="str">
        <f>IF('TMP Paste'!$F953="","",IF('TMP Paste'!$N953="",$AM952,'TMP Paste'!$N953))</f>
        <v/>
      </c>
      <c r="AN953" t="str">
        <f>IF('TMP Paste'!$F953="","",IF('TMP Paste'!$O953="",$AN952,'TMP Paste'!$O953))</f>
        <v/>
      </c>
      <c r="AO953" t="str">
        <f>IF('TMP Paste'!$F953="","",IF('TMP Paste'!$P953="",$AO952,'TMP Paste'!$P953))</f>
        <v/>
      </c>
      <c r="AP953" t="str">
        <f t="shared" si="89"/>
        <v/>
      </c>
      <c r="AQ953" t="str">
        <f>IF($AS953="","",TRIM(IF(COUNTIFS(Calc!$B$2:$B$1601,ROW()-1,Calc!$C$2:$C$1601,"&lt;1")&gt;0,"Ada PO tanpa Koli - cek TMP. ","")&amp;IF(OR($AU953="",$AU953&lt;=0),"Volume kosong/0 - dimensi dikosongkan. ","")&amp;IF(AND($AU953&lt;&gt;"",$AU953&gt;=1000000),"Volume &gt;= 1.000.000 cm3 (di luar aturan) - dimensi dikosongkan. ","")&amp;IF(LEN($R953)&gt;500,"R &gt; 500 karakter.","")))</f>
        <v/>
      </c>
      <c r="AS953" t="str">
        <f>IFERROR(MATCH(ROW()-1,Calc!$J$2:$J$1601,0),"")</f>
        <v/>
      </c>
      <c r="AT953" t="str">
        <f>IFERROR(MATCH(ROW()-1,Calc!$K$2:$K$1601,0),"")</f>
        <v/>
      </c>
      <c r="AU953" t="str">
        <f>IF($AS953="","",IFERROR(INDEX('TMP Paste'!$D$2:$D$1601,$AS953)*1000000/$AB953,""))</f>
        <v/>
      </c>
    </row>
    <row r="954" spans="1:47">
      <c r="A954" t="str">
        <f>IF($AS954="","",INDEX('TMP Paste'!$B$2:$B$1601,$AS954))</f>
        <v/>
      </c>
      <c r="B954" t="str">
        <f>IF($AS954="","",Config!$B$14)</f>
        <v/>
      </c>
      <c r="C954" t="str">
        <f>IF($AS954="","",Config!$B$15)</f>
        <v/>
      </c>
      <c r="D954" t="str">
        <f>IF($AS954="","",INDEX('TMP Paste'!$B$2:$B$1601,$AS954))</f>
        <v/>
      </c>
      <c r="E954" t="str">
        <f>IF($AS954="","",Config!$B$27)</f>
        <v/>
      </c>
      <c r="F954" t="str">
        <f>IF($AS954="","",Config!$B$9)</f>
        <v/>
      </c>
      <c r="G954" t="str">
        <f>IF($AS954="","",Config!$B$10)</f>
        <v/>
      </c>
      <c r="H954" t="str">
        <f>IF($AS954="","",Config!$B$11)</f>
        <v/>
      </c>
      <c r="I954" t="str">
        <f>IF($AS954="","",Config!$B$16)</f>
        <v/>
      </c>
      <c r="J954" t="str">
        <f>IF($AS954="","",INDEX('TMP Paste'!$A$2:$A$1601,$AS954))</f>
        <v/>
      </c>
      <c r="K954" t="str">
        <f>IF($AS954="","",INDEX('TMP Paste'!$L$2:$L$1601,$AS954))</f>
        <v/>
      </c>
      <c r="L954" t="str">
        <f>IF($AS954="","",INDEX('TMP Paste'!$I$2:$I$1601,$AS954))</f>
        <v/>
      </c>
      <c r="M954" t="str">
        <f>IF($AS954="","",Config!$B$16)</f>
        <v/>
      </c>
      <c r="N954" t="str">
        <f t="shared" si="84"/>
        <v/>
      </c>
      <c r="O954" t="str">
        <f>IF($AS954="","",INDEX('TMP Paste'!$K$2:$K$1601,$AS954))</f>
        <v/>
      </c>
      <c r="P954" t="str">
        <f t="shared" si="85"/>
        <v/>
      </c>
      <c r="Q954" t="str">
        <f>IF($AS954="","",INDEX('TMP Paste'!$J$2:$J$1601,$AS954))</f>
        <v/>
      </c>
      <c r="R954" t="str">
        <f>IF($AS954="","",Config!$B$24)</f>
        <v/>
      </c>
      <c r="S954" t="str">
        <f ca="1">IF($AS954="","",TEXT(Config!$B$4,"yyyy-mm-dd"))</f>
        <v/>
      </c>
      <c r="T954" t="str">
        <f>IF($AS954="","",Config!$B$17)</f>
        <v/>
      </c>
      <c r="U954" t="str">
        <f>IF($AS954="","",Config!$B$18)</f>
        <v/>
      </c>
      <c r="V954" t="str">
        <f>IF($AS954="","",Config!$B$19)</f>
        <v/>
      </c>
      <c r="W954" t="str">
        <f>IF($AS954="","",INDEX('TMP Paste'!$C$2:$C$1601,$AS954))</f>
        <v/>
      </c>
      <c r="X954" t="str">
        <f>IF($AS954="","",Config!$B$29)</f>
        <v/>
      </c>
      <c r="Y954" t="str">
        <f>IF($AT954="","",INDEX(Calc!$I$2:$I$1601,$AT954)&amp;" - "&amp;INDEX(Calc!$D$2:$D$1601,$AT954)&amp;" koli")</f>
        <v/>
      </c>
      <c r="Z954" t="str">
        <f>IF($AS954="","",Config!$B$21)</f>
        <v/>
      </c>
      <c r="AA954" t="str">
        <f>IF($AS954="","",Config!$B$22)</f>
        <v/>
      </c>
      <c r="AB954" t="str">
        <f>IF($AT954="","",INDEX(Calc!$D$2:$D$1601,$AT954))</f>
        <v/>
      </c>
      <c r="AC954" t="str">
        <f>IF($AT954="","",INDEX(Calc!$G$2:$G$1601,$AT954))</f>
        <v/>
      </c>
      <c r="AD954" t="str">
        <f>IF($AS954="","",Config!$B$23)</f>
        <v/>
      </c>
      <c r="AE954" t="str">
        <f>IF($AS954="","",Config!$B$28)</f>
        <v/>
      </c>
      <c r="AF954" t="str">
        <f t="shared" si="86"/>
        <v/>
      </c>
      <c r="AG954" t="str">
        <f t="shared" si="87"/>
        <v/>
      </c>
      <c r="AH954" t="str">
        <f t="shared" si="88"/>
        <v/>
      </c>
      <c r="AI954" t="str">
        <f>IF($AG954="","",SUMIF($AG$2:$AG954,$AG954,$AH$2:$AH954))</f>
        <v/>
      </c>
      <c r="AJ954" t="str">
        <f>IF('TMP Paste'!$F954="","",IF('TMP Paste'!$B954="",$AJ953,'TMP Paste'!$B954))</f>
        <v/>
      </c>
      <c r="AK954" t="str">
        <f>IF('TMP Paste'!$F954="","",N('TMP Paste'!$G954))</f>
        <v/>
      </c>
      <c r="AL954" t="str">
        <f>IF('TMP Paste'!$F954="","",IF('TMP Paste'!$M954="",$AL953,'TMP Paste'!$M954))</f>
        <v/>
      </c>
      <c r="AM954" t="str">
        <f>IF('TMP Paste'!$F954="","",IF('TMP Paste'!$N954="",$AM953,'TMP Paste'!$N954))</f>
        <v/>
      </c>
      <c r="AN954" t="str">
        <f>IF('TMP Paste'!$F954="","",IF('TMP Paste'!$O954="",$AN953,'TMP Paste'!$O954))</f>
        <v/>
      </c>
      <c r="AO954" t="str">
        <f>IF('TMP Paste'!$F954="","",IF('TMP Paste'!$P954="",$AO953,'TMP Paste'!$P954))</f>
        <v/>
      </c>
      <c r="AP954" t="str">
        <f t="shared" si="89"/>
        <v/>
      </c>
      <c r="AQ954" t="str">
        <f>IF($AS954="","",TRIM(IF(COUNTIFS(Calc!$B$2:$B$1601,ROW()-1,Calc!$C$2:$C$1601,"&lt;1")&gt;0,"Ada PO tanpa Koli - cek TMP. ","")&amp;IF(OR($AU954="",$AU954&lt;=0),"Volume kosong/0 - dimensi dikosongkan. ","")&amp;IF(AND($AU954&lt;&gt;"",$AU954&gt;=1000000),"Volume &gt;= 1.000.000 cm3 (di luar aturan) - dimensi dikosongkan. ","")&amp;IF(LEN($R954)&gt;500,"R &gt; 500 karakter.","")))</f>
        <v/>
      </c>
      <c r="AS954" t="str">
        <f>IFERROR(MATCH(ROW()-1,Calc!$J$2:$J$1601,0),"")</f>
        <v/>
      </c>
      <c r="AT954" t="str">
        <f>IFERROR(MATCH(ROW()-1,Calc!$K$2:$K$1601,0),"")</f>
        <v/>
      </c>
      <c r="AU954" t="str">
        <f>IF($AS954="","",IFERROR(INDEX('TMP Paste'!$D$2:$D$1601,$AS954)*1000000/$AB954,""))</f>
        <v/>
      </c>
    </row>
    <row r="955" spans="1:47">
      <c r="A955" t="str">
        <f>IF($AS955="","",INDEX('TMP Paste'!$B$2:$B$1601,$AS955))</f>
        <v/>
      </c>
      <c r="B955" t="str">
        <f>IF($AS955="","",Config!$B$14)</f>
        <v/>
      </c>
      <c r="C955" t="str">
        <f>IF($AS955="","",Config!$B$15)</f>
        <v/>
      </c>
      <c r="D955" t="str">
        <f>IF($AS955="","",INDEX('TMP Paste'!$B$2:$B$1601,$AS955))</f>
        <v/>
      </c>
      <c r="E955" t="str">
        <f>IF($AS955="","",Config!$B$27)</f>
        <v/>
      </c>
      <c r="F955" t="str">
        <f>IF($AS955="","",Config!$B$9)</f>
        <v/>
      </c>
      <c r="G955" t="str">
        <f>IF($AS955="","",Config!$B$10)</f>
        <v/>
      </c>
      <c r="H955" t="str">
        <f>IF($AS955="","",Config!$B$11)</f>
        <v/>
      </c>
      <c r="I955" t="str">
        <f>IF($AS955="","",Config!$B$16)</f>
        <v/>
      </c>
      <c r="J955" t="str">
        <f>IF($AS955="","",INDEX('TMP Paste'!$A$2:$A$1601,$AS955))</f>
        <v/>
      </c>
      <c r="K955" t="str">
        <f>IF($AS955="","",INDEX('TMP Paste'!$L$2:$L$1601,$AS955))</f>
        <v/>
      </c>
      <c r="L955" t="str">
        <f>IF($AS955="","",INDEX('TMP Paste'!$I$2:$I$1601,$AS955))</f>
        <v/>
      </c>
      <c r="M955" t="str">
        <f>IF($AS955="","",Config!$B$16)</f>
        <v/>
      </c>
      <c r="N955" t="str">
        <f t="shared" si="84"/>
        <v/>
      </c>
      <c r="O955" t="str">
        <f>IF($AS955="","",INDEX('TMP Paste'!$K$2:$K$1601,$AS955))</f>
        <v/>
      </c>
      <c r="P955" t="str">
        <f t="shared" si="85"/>
        <v/>
      </c>
      <c r="Q955" t="str">
        <f>IF($AS955="","",INDEX('TMP Paste'!$J$2:$J$1601,$AS955))</f>
        <v/>
      </c>
      <c r="R955" t="str">
        <f>IF($AS955="","",Config!$B$24)</f>
        <v/>
      </c>
      <c r="S955" t="str">
        <f ca="1">IF($AS955="","",TEXT(Config!$B$4,"yyyy-mm-dd"))</f>
        <v/>
      </c>
      <c r="T955" t="str">
        <f>IF($AS955="","",Config!$B$17)</f>
        <v/>
      </c>
      <c r="U955" t="str">
        <f>IF($AS955="","",Config!$B$18)</f>
        <v/>
      </c>
      <c r="V955" t="str">
        <f>IF($AS955="","",Config!$B$19)</f>
        <v/>
      </c>
      <c r="W955" t="str">
        <f>IF($AS955="","",INDEX('TMP Paste'!$C$2:$C$1601,$AS955))</f>
        <v/>
      </c>
      <c r="X955" t="str">
        <f>IF($AS955="","",Config!$B$29)</f>
        <v/>
      </c>
      <c r="Y955" t="str">
        <f>IF($AT955="","",INDEX(Calc!$I$2:$I$1601,$AT955)&amp;" - "&amp;INDEX(Calc!$D$2:$D$1601,$AT955)&amp;" koli")</f>
        <v/>
      </c>
      <c r="Z955" t="str">
        <f>IF($AS955="","",Config!$B$21)</f>
        <v/>
      </c>
      <c r="AA955" t="str">
        <f>IF($AS955="","",Config!$B$22)</f>
        <v/>
      </c>
      <c r="AB955" t="str">
        <f>IF($AT955="","",INDEX(Calc!$D$2:$D$1601,$AT955))</f>
        <v/>
      </c>
      <c r="AC955" t="str">
        <f>IF($AT955="","",INDEX(Calc!$G$2:$G$1601,$AT955))</f>
        <v/>
      </c>
      <c r="AD955" t="str">
        <f>IF($AS955="","",Config!$B$23)</f>
        <v/>
      </c>
      <c r="AE955" t="str">
        <f>IF($AS955="","",Config!$B$28)</f>
        <v/>
      </c>
      <c r="AF955" t="str">
        <f t="shared" si="86"/>
        <v/>
      </c>
      <c r="AG955" t="str">
        <f t="shared" si="87"/>
        <v/>
      </c>
      <c r="AH955" t="str">
        <f t="shared" si="88"/>
        <v/>
      </c>
      <c r="AI955" t="str">
        <f>IF($AG955="","",SUMIF($AG$2:$AG955,$AG955,$AH$2:$AH955))</f>
        <v/>
      </c>
      <c r="AJ955" t="str">
        <f>IF('TMP Paste'!$F955="","",IF('TMP Paste'!$B955="",$AJ954,'TMP Paste'!$B955))</f>
        <v/>
      </c>
      <c r="AK955" t="str">
        <f>IF('TMP Paste'!$F955="","",N('TMP Paste'!$G955))</f>
        <v/>
      </c>
      <c r="AL955" t="str">
        <f>IF('TMP Paste'!$F955="","",IF('TMP Paste'!$M955="",$AL954,'TMP Paste'!$M955))</f>
        <v/>
      </c>
      <c r="AM955" t="str">
        <f>IF('TMP Paste'!$F955="","",IF('TMP Paste'!$N955="",$AM954,'TMP Paste'!$N955))</f>
        <v/>
      </c>
      <c r="AN955" t="str">
        <f>IF('TMP Paste'!$F955="","",IF('TMP Paste'!$O955="",$AN954,'TMP Paste'!$O955))</f>
        <v/>
      </c>
      <c r="AO955" t="str">
        <f>IF('TMP Paste'!$F955="","",IF('TMP Paste'!$P955="",$AO954,'TMP Paste'!$P955))</f>
        <v/>
      </c>
      <c r="AP955" t="str">
        <f t="shared" si="89"/>
        <v/>
      </c>
      <c r="AQ955" t="str">
        <f>IF($AS955="","",TRIM(IF(COUNTIFS(Calc!$B$2:$B$1601,ROW()-1,Calc!$C$2:$C$1601,"&lt;1")&gt;0,"Ada PO tanpa Koli - cek TMP. ","")&amp;IF(OR($AU955="",$AU955&lt;=0),"Volume kosong/0 - dimensi dikosongkan. ","")&amp;IF(AND($AU955&lt;&gt;"",$AU955&gt;=1000000),"Volume &gt;= 1.000.000 cm3 (di luar aturan) - dimensi dikosongkan. ","")&amp;IF(LEN($R955)&gt;500,"R &gt; 500 karakter.","")))</f>
        <v/>
      </c>
      <c r="AS955" t="str">
        <f>IFERROR(MATCH(ROW()-1,Calc!$J$2:$J$1601,0),"")</f>
        <v/>
      </c>
      <c r="AT955" t="str">
        <f>IFERROR(MATCH(ROW()-1,Calc!$K$2:$K$1601,0),"")</f>
        <v/>
      </c>
      <c r="AU955" t="str">
        <f>IF($AS955="","",IFERROR(INDEX('TMP Paste'!$D$2:$D$1601,$AS955)*1000000/$AB955,""))</f>
        <v/>
      </c>
    </row>
    <row r="956" spans="1:47">
      <c r="A956" t="str">
        <f>IF($AS956="","",INDEX('TMP Paste'!$B$2:$B$1601,$AS956))</f>
        <v/>
      </c>
      <c r="B956" t="str">
        <f>IF($AS956="","",Config!$B$14)</f>
        <v/>
      </c>
      <c r="C956" t="str">
        <f>IF($AS956="","",Config!$B$15)</f>
        <v/>
      </c>
      <c r="D956" t="str">
        <f>IF($AS956="","",INDEX('TMP Paste'!$B$2:$B$1601,$AS956))</f>
        <v/>
      </c>
      <c r="E956" t="str">
        <f>IF($AS956="","",Config!$B$27)</f>
        <v/>
      </c>
      <c r="F956" t="str">
        <f>IF($AS956="","",Config!$B$9)</f>
        <v/>
      </c>
      <c r="G956" t="str">
        <f>IF($AS956="","",Config!$B$10)</f>
        <v/>
      </c>
      <c r="H956" t="str">
        <f>IF($AS956="","",Config!$B$11)</f>
        <v/>
      </c>
      <c r="I956" t="str">
        <f>IF($AS956="","",Config!$B$16)</f>
        <v/>
      </c>
      <c r="J956" t="str">
        <f>IF($AS956="","",INDEX('TMP Paste'!$A$2:$A$1601,$AS956))</f>
        <v/>
      </c>
      <c r="K956" t="str">
        <f>IF($AS956="","",INDEX('TMP Paste'!$L$2:$L$1601,$AS956))</f>
        <v/>
      </c>
      <c r="L956" t="str">
        <f>IF($AS956="","",INDEX('TMP Paste'!$I$2:$I$1601,$AS956))</f>
        <v/>
      </c>
      <c r="M956" t="str">
        <f>IF($AS956="","",Config!$B$16)</f>
        <v/>
      </c>
      <c r="N956" t="str">
        <f t="shared" si="84"/>
        <v/>
      </c>
      <c r="O956" t="str">
        <f>IF($AS956="","",INDEX('TMP Paste'!$K$2:$K$1601,$AS956))</f>
        <v/>
      </c>
      <c r="P956" t="str">
        <f t="shared" si="85"/>
        <v/>
      </c>
      <c r="Q956" t="str">
        <f>IF($AS956="","",INDEX('TMP Paste'!$J$2:$J$1601,$AS956))</f>
        <v/>
      </c>
      <c r="R956" t="str">
        <f>IF($AS956="","",Config!$B$24)</f>
        <v/>
      </c>
      <c r="S956" t="str">
        <f ca="1">IF($AS956="","",TEXT(Config!$B$4,"yyyy-mm-dd"))</f>
        <v/>
      </c>
      <c r="T956" t="str">
        <f>IF($AS956="","",Config!$B$17)</f>
        <v/>
      </c>
      <c r="U956" t="str">
        <f>IF($AS956="","",Config!$B$18)</f>
        <v/>
      </c>
      <c r="V956" t="str">
        <f>IF($AS956="","",Config!$B$19)</f>
        <v/>
      </c>
      <c r="W956" t="str">
        <f>IF($AS956="","",INDEX('TMP Paste'!$C$2:$C$1601,$AS956))</f>
        <v/>
      </c>
      <c r="X956" t="str">
        <f>IF($AS956="","",Config!$B$29)</f>
        <v/>
      </c>
      <c r="Y956" t="str">
        <f>IF($AT956="","",INDEX(Calc!$I$2:$I$1601,$AT956)&amp;" - "&amp;INDEX(Calc!$D$2:$D$1601,$AT956)&amp;" koli")</f>
        <v/>
      </c>
      <c r="Z956" t="str">
        <f>IF($AS956="","",Config!$B$21)</f>
        <v/>
      </c>
      <c r="AA956" t="str">
        <f>IF($AS956="","",Config!$B$22)</f>
        <v/>
      </c>
      <c r="AB956" t="str">
        <f>IF($AT956="","",INDEX(Calc!$D$2:$D$1601,$AT956))</f>
        <v/>
      </c>
      <c r="AC956" t="str">
        <f>IF($AT956="","",INDEX(Calc!$G$2:$G$1601,$AT956))</f>
        <v/>
      </c>
      <c r="AD956" t="str">
        <f>IF($AS956="","",Config!$B$23)</f>
        <v/>
      </c>
      <c r="AE956" t="str">
        <f>IF($AS956="","",Config!$B$28)</f>
        <v/>
      </c>
      <c r="AF956" t="str">
        <f t="shared" si="86"/>
        <v/>
      </c>
      <c r="AG956" t="str">
        <f t="shared" si="87"/>
        <v/>
      </c>
      <c r="AH956" t="str">
        <f t="shared" si="88"/>
        <v/>
      </c>
      <c r="AI956" t="str">
        <f>IF($AG956="","",SUMIF($AG$2:$AG956,$AG956,$AH$2:$AH956))</f>
        <v/>
      </c>
      <c r="AJ956" t="str">
        <f>IF('TMP Paste'!$F956="","",IF('TMP Paste'!$B956="",$AJ955,'TMP Paste'!$B956))</f>
        <v/>
      </c>
      <c r="AK956" t="str">
        <f>IF('TMP Paste'!$F956="","",N('TMP Paste'!$G956))</f>
        <v/>
      </c>
      <c r="AL956" t="str">
        <f>IF('TMP Paste'!$F956="","",IF('TMP Paste'!$M956="",$AL955,'TMP Paste'!$M956))</f>
        <v/>
      </c>
      <c r="AM956" t="str">
        <f>IF('TMP Paste'!$F956="","",IF('TMP Paste'!$N956="",$AM955,'TMP Paste'!$N956))</f>
        <v/>
      </c>
      <c r="AN956" t="str">
        <f>IF('TMP Paste'!$F956="","",IF('TMP Paste'!$O956="",$AN955,'TMP Paste'!$O956))</f>
        <v/>
      </c>
      <c r="AO956" t="str">
        <f>IF('TMP Paste'!$F956="","",IF('TMP Paste'!$P956="",$AO955,'TMP Paste'!$P956))</f>
        <v/>
      </c>
      <c r="AP956" t="str">
        <f t="shared" si="89"/>
        <v/>
      </c>
      <c r="AQ956" t="str">
        <f>IF($AS956="","",TRIM(IF(COUNTIFS(Calc!$B$2:$B$1601,ROW()-1,Calc!$C$2:$C$1601,"&lt;1")&gt;0,"Ada PO tanpa Koli - cek TMP. ","")&amp;IF(OR($AU956="",$AU956&lt;=0),"Volume kosong/0 - dimensi dikosongkan. ","")&amp;IF(AND($AU956&lt;&gt;"",$AU956&gt;=1000000),"Volume &gt;= 1.000.000 cm3 (di luar aturan) - dimensi dikosongkan. ","")&amp;IF(LEN($R956)&gt;500,"R &gt; 500 karakter.","")))</f>
        <v/>
      </c>
      <c r="AS956" t="str">
        <f>IFERROR(MATCH(ROW()-1,Calc!$J$2:$J$1601,0),"")</f>
        <v/>
      </c>
      <c r="AT956" t="str">
        <f>IFERROR(MATCH(ROW()-1,Calc!$K$2:$K$1601,0),"")</f>
        <v/>
      </c>
      <c r="AU956" t="str">
        <f>IF($AS956="","",IFERROR(INDEX('TMP Paste'!$D$2:$D$1601,$AS956)*1000000/$AB956,""))</f>
        <v/>
      </c>
    </row>
    <row r="957" spans="1:47">
      <c r="A957" t="str">
        <f>IF($AS957="","",INDEX('TMP Paste'!$B$2:$B$1601,$AS957))</f>
        <v/>
      </c>
      <c r="B957" t="str">
        <f>IF($AS957="","",Config!$B$14)</f>
        <v/>
      </c>
      <c r="C957" t="str">
        <f>IF($AS957="","",Config!$B$15)</f>
        <v/>
      </c>
      <c r="D957" t="str">
        <f>IF($AS957="","",INDEX('TMP Paste'!$B$2:$B$1601,$AS957))</f>
        <v/>
      </c>
      <c r="E957" t="str">
        <f>IF($AS957="","",Config!$B$27)</f>
        <v/>
      </c>
      <c r="F957" t="str">
        <f>IF($AS957="","",Config!$B$9)</f>
        <v/>
      </c>
      <c r="G957" t="str">
        <f>IF($AS957="","",Config!$B$10)</f>
        <v/>
      </c>
      <c r="H957" t="str">
        <f>IF($AS957="","",Config!$B$11)</f>
        <v/>
      </c>
      <c r="I957" t="str">
        <f>IF($AS957="","",Config!$B$16)</f>
        <v/>
      </c>
      <c r="J957" t="str">
        <f>IF($AS957="","",INDEX('TMP Paste'!$A$2:$A$1601,$AS957))</f>
        <v/>
      </c>
      <c r="K957" t="str">
        <f>IF($AS957="","",INDEX('TMP Paste'!$L$2:$L$1601,$AS957))</f>
        <v/>
      </c>
      <c r="L957" t="str">
        <f>IF($AS957="","",INDEX('TMP Paste'!$I$2:$I$1601,$AS957))</f>
        <v/>
      </c>
      <c r="M957" t="str">
        <f>IF($AS957="","",Config!$B$16)</f>
        <v/>
      </c>
      <c r="N957" t="str">
        <f t="shared" si="84"/>
        <v/>
      </c>
      <c r="O957" t="str">
        <f>IF($AS957="","",INDEX('TMP Paste'!$K$2:$K$1601,$AS957))</f>
        <v/>
      </c>
      <c r="P957" t="str">
        <f t="shared" si="85"/>
        <v/>
      </c>
      <c r="Q957" t="str">
        <f>IF($AS957="","",INDEX('TMP Paste'!$J$2:$J$1601,$AS957))</f>
        <v/>
      </c>
      <c r="R957" t="str">
        <f>IF($AS957="","",Config!$B$24)</f>
        <v/>
      </c>
      <c r="S957" t="str">
        <f ca="1">IF($AS957="","",TEXT(Config!$B$4,"yyyy-mm-dd"))</f>
        <v/>
      </c>
      <c r="T957" t="str">
        <f>IF($AS957="","",Config!$B$17)</f>
        <v/>
      </c>
      <c r="U957" t="str">
        <f>IF($AS957="","",Config!$B$18)</f>
        <v/>
      </c>
      <c r="V957" t="str">
        <f>IF($AS957="","",Config!$B$19)</f>
        <v/>
      </c>
      <c r="W957" t="str">
        <f>IF($AS957="","",INDEX('TMP Paste'!$C$2:$C$1601,$AS957))</f>
        <v/>
      </c>
      <c r="X957" t="str">
        <f>IF($AS957="","",Config!$B$29)</f>
        <v/>
      </c>
      <c r="Y957" t="str">
        <f>IF($AT957="","",INDEX(Calc!$I$2:$I$1601,$AT957)&amp;" - "&amp;INDEX(Calc!$D$2:$D$1601,$AT957)&amp;" koli")</f>
        <v/>
      </c>
      <c r="Z957" t="str">
        <f>IF($AS957="","",Config!$B$21)</f>
        <v/>
      </c>
      <c r="AA957" t="str">
        <f>IF($AS957="","",Config!$B$22)</f>
        <v/>
      </c>
      <c r="AB957" t="str">
        <f>IF($AT957="","",INDEX(Calc!$D$2:$D$1601,$AT957))</f>
        <v/>
      </c>
      <c r="AC957" t="str">
        <f>IF($AT957="","",INDEX(Calc!$G$2:$G$1601,$AT957))</f>
        <v/>
      </c>
      <c r="AD957" t="str">
        <f>IF($AS957="","",Config!$B$23)</f>
        <v/>
      </c>
      <c r="AE957" t="str">
        <f>IF($AS957="","",Config!$B$28)</f>
        <v/>
      </c>
      <c r="AF957" t="str">
        <f t="shared" si="86"/>
        <v/>
      </c>
      <c r="AG957" t="str">
        <f t="shared" si="87"/>
        <v/>
      </c>
      <c r="AH957" t="str">
        <f t="shared" si="88"/>
        <v/>
      </c>
      <c r="AI957" t="str">
        <f>IF($AG957="","",SUMIF($AG$2:$AG957,$AG957,$AH$2:$AH957))</f>
        <v/>
      </c>
      <c r="AJ957" t="str">
        <f>IF('TMP Paste'!$F957="","",IF('TMP Paste'!$B957="",$AJ956,'TMP Paste'!$B957))</f>
        <v/>
      </c>
      <c r="AK957" t="str">
        <f>IF('TMP Paste'!$F957="","",N('TMP Paste'!$G957))</f>
        <v/>
      </c>
      <c r="AL957" t="str">
        <f>IF('TMP Paste'!$F957="","",IF('TMP Paste'!$M957="",$AL956,'TMP Paste'!$M957))</f>
        <v/>
      </c>
      <c r="AM957" t="str">
        <f>IF('TMP Paste'!$F957="","",IF('TMP Paste'!$N957="",$AM956,'TMP Paste'!$N957))</f>
        <v/>
      </c>
      <c r="AN957" t="str">
        <f>IF('TMP Paste'!$F957="","",IF('TMP Paste'!$O957="",$AN956,'TMP Paste'!$O957))</f>
        <v/>
      </c>
      <c r="AO957" t="str">
        <f>IF('TMP Paste'!$F957="","",IF('TMP Paste'!$P957="",$AO956,'TMP Paste'!$P957))</f>
        <v/>
      </c>
      <c r="AP957" t="str">
        <f t="shared" si="89"/>
        <v/>
      </c>
      <c r="AQ957" t="str">
        <f>IF($AS957="","",TRIM(IF(COUNTIFS(Calc!$B$2:$B$1601,ROW()-1,Calc!$C$2:$C$1601,"&lt;1")&gt;0,"Ada PO tanpa Koli - cek TMP. ","")&amp;IF(OR($AU957="",$AU957&lt;=0),"Volume kosong/0 - dimensi dikosongkan. ","")&amp;IF(AND($AU957&lt;&gt;"",$AU957&gt;=1000000),"Volume &gt;= 1.000.000 cm3 (di luar aturan) - dimensi dikosongkan. ","")&amp;IF(LEN($R957)&gt;500,"R &gt; 500 karakter.","")))</f>
        <v/>
      </c>
      <c r="AS957" t="str">
        <f>IFERROR(MATCH(ROW()-1,Calc!$J$2:$J$1601,0),"")</f>
        <v/>
      </c>
      <c r="AT957" t="str">
        <f>IFERROR(MATCH(ROW()-1,Calc!$K$2:$K$1601,0),"")</f>
        <v/>
      </c>
      <c r="AU957" t="str">
        <f>IF($AS957="","",IFERROR(INDEX('TMP Paste'!$D$2:$D$1601,$AS957)*1000000/$AB957,""))</f>
        <v/>
      </c>
    </row>
    <row r="958" spans="1:47">
      <c r="A958" t="str">
        <f>IF($AS958="","",INDEX('TMP Paste'!$B$2:$B$1601,$AS958))</f>
        <v/>
      </c>
      <c r="B958" t="str">
        <f>IF($AS958="","",Config!$B$14)</f>
        <v/>
      </c>
      <c r="C958" t="str">
        <f>IF($AS958="","",Config!$B$15)</f>
        <v/>
      </c>
      <c r="D958" t="str">
        <f>IF($AS958="","",INDEX('TMP Paste'!$B$2:$B$1601,$AS958))</f>
        <v/>
      </c>
      <c r="E958" t="str">
        <f>IF($AS958="","",Config!$B$27)</f>
        <v/>
      </c>
      <c r="F958" t="str">
        <f>IF($AS958="","",Config!$B$9)</f>
        <v/>
      </c>
      <c r="G958" t="str">
        <f>IF($AS958="","",Config!$B$10)</f>
        <v/>
      </c>
      <c r="H958" t="str">
        <f>IF($AS958="","",Config!$B$11)</f>
        <v/>
      </c>
      <c r="I958" t="str">
        <f>IF($AS958="","",Config!$B$16)</f>
        <v/>
      </c>
      <c r="J958" t="str">
        <f>IF($AS958="","",INDEX('TMP Paste'!$A$2:$A$1601,$AS958))</f>
        <v/>
      </c>
      <c r="K958" t="str">
        <f>IF($AS958="","",INDEX('TMP Paste'!$L$2:$L$1601,$AS958))</f>
        <v/>
      </c>
      <c r="L958" t="str">
        <f>IF($AS958="","",INDEX('TMP Paste'!$I$2:$I$1601,$AS958))</f>
        <v/>
      </c>
      <c r="M958" t="str">
        <f>IF($AS958="","",Config!$B$16)</f>
        <v/>
      </c>
      <c r="N958" t="str">
        <f t="shared" si="84"/>
        <v/>
      </c>
      <c r="O958" t="str">
        <f>IF($AS958="","",INDEX('TMP Paste'!$K$2:$K$1601,$AS958))</f>
        <v/>
      </c>
      <c r="P958" t="str">
        <f t="shared" si="85"/>
        <v/>
      </c>
      <c r="Q958" t="str">
        <f>IF($AS958="","",INDEX('TMP Paste'!$J$2:$J$1601,$AS958))</f>
        <v/>
      </c>
      <c r="R958" t="str">
        <f>IF($AS958="","",Config!$B$24)</f>
        <v/>
      </c>
      <c r="S958" t="str">
        <f ca="1">IF($AS958="","",TEXT(Config!$B$4,"yyyy-mm-dd"))</f>
        <v/>
      </c>
      <c r="T958" t="str">
        <f>IF($AS958="","",Config!$B$17)</f>
        <v/>
      </c>
      <c r="U958" t="str">
        <f>IF($AS958="","",Config!$B$18)</f>
        <v/>
      </c>
      <c r="V958" t="str">
        <f>IF($AS958="","",Config!$B$19)</f>
        <v/>
      </c>
      <c r="W958" t="str">
        <f>IF($AS958="","",INDEX('TMP Paste'!$C$2:$C$1601,$AS958))</f>
        <v/>
      </c>
      <c r="X958" t="str">
        <f>IF($AS958="","",Config!$B$29)</f>
        <v/>
      </c>
      <c r="Y958" t="str">
        <f>IF($AT958="","",INDEX(Calc!$I$2:$I$1601,$AT958)&amp;" - "&amp;INDEX(Calc!$D$2:$D$1601,$AT958)&amp;" koli")</f>
        <v/>
      </c>
      <c r="Z958" t="str">
        <f>IF($AS958="","",Config!$B$21)</f>
        <v/>
      </c>
      <c r="AA958" t="str">
        <f>IF($AS958="","",Config!$B$22)</f>
        <v/>
      </c>
      <c r="AB958" t="str">
        <f>IF($AT958="","",INDEX(Calc!$D$2:$D$1601,$AT958))</f>
        <v/>
      </c>
      <c r="AC958" t="str">
        <f>IF($AT958="","",INDEX(Calc!$G$2:$G$1601,$AT958))</f>
        <v/>
      </c>
      <c r="AD958" t="str">
        <f>IF($AS958="","",Config!$B$23)</f>
        <v/>
      </c>
      <c r="AE958" t="str">
        <f>IF($AS958="","",Config!$B$28)</f>
        <v/>
      </c>
      <c r="AF958" t="str">
        <f t="shared" si="86"/>
        <v/>
      </c>
      <c r="AG958" t="str">
        <f t="shared" si="87"/>
        <v/>
      </c>
      <c r="AH958" t="str">
        <f t="shared" si="88"/>
        <v/>
      </c>
      <c r="AI958" t="str">
        <f>IF($AG958="","",SUMIF($AG$2:$AG958,$AG958,$AH$2:$AH958))</f>
        <v/>
      </c>
      <c r="AJ958" t="str">
        <f>IF('TMP Paste'!$F958="","",IF('TMP Paste'!$B958="",$AJ957,'TMP Paste'!$B958))</f>
        <v/>
      </c>
      <c r="AK958" t="str">
        <f>IF('TMP Paste'!$F958="","",N('TMP Paste'!$G958))</f>
        <v/>
      </c>
      <c r="AL958" t="str">
        <f>IF('TMP Paste'!$F958="","",IF('TMP Paste'!$M958="",$AL957,'TMP Paste'!$M958))</f>
        <v/>
      </c>
      <c r="AM958" t="str">
        <f>IF('TMP Paste'!$F958="","",IF('TMP Paste'!$N958="",$AM957,'TMP Paste'!$N958))</f>
        <v/>
      </c>
      <c r="AN958" t="str">
        <f>IF('TMP Paste'!$F958="","",IF('TMP Paste'!$O958="",$AN957,'TMP Paste'!$O958))</f>
        <v/>
      </c>
      <c r="AO958" t="str">
        <f>IF('TMP Paste'!$F958="","",IF('TMP Paste'!$P958="",$AO957,'TMP Paste'!$P958))</f>
        <v/>
      </c>
      <c r="AP958" t="str">
        <f t="shared" si="89"/>
        <v/>
      </c>
      <c r="AQ958" t="str">
        <f>IF($AS958="","",TRIM(IF(COUNTIFS(Calc!$B$2:$B$1601,ROW()-1,Calc!$C$2:$C$1601,"&lt;1")&gt;0,"Ada PO tanpa Koli - cek TMP. ","")&amp;IF(OR($AU958="",$AU958&lt;=0),"Volume kosong/0 - dimensi dikosongkan. ","")&amp;IF(AND($AU958&lt;&gt;"",$AU958&gt;=1000000),"Volume &gt;= 1.000.000 cm3 (di luar aturan) - dimensi dikosongkan. ","")&amp;IF(LEN($R958)&gt;500,"R &gt; 500 karakter.","")))</f>
        <v/>
      </c>
      <c r="AS958" t="str">
        <f>IFERROR(MATCH(ROW()-1,Calc!$J$2:$J$1601,0),"")</f>
        <v/>
      </c>
      <c r="AT958" t="str">
        <f>IFERROR(MATCH(ROW()-1,Calc!$K$2:$K$1601,0),"")</f>
        <v/>
      </c>
      <c r="AU958" t="str">
        <f>IF($AS958="","",IFERROR(INDEX('TMP Paste'!$D$2:$D$1601,$AS958)*1000000/$AB958,""))</f>
        <v/>
      </c>
    </row>
    <row r="959" spans="1:47">
      <c r="A959" t="str">
        <f>IF($AS959="","",INDEX('TMP Paste'!$B$2:$B$1601,$AS959))</f>
        <v/>
      </c>
      <c r="B959" t="str">
        <f>IF($AS959="","",Config!$B$14)</f>
        <v/>
      </c>
      <c r="C959" t="str">
        <f>IF($AS959="","",Config!$B$15)</f>
        <v/>
      </c>
      <c r="D959" t="str">
        <f>IF($AS959="","",INDEX('TMP Paste'!$B$2:$B$1601,$AS959))</f>
        <v/>
      </c>
      <c r="E959" t="str">
        <f>IF($AS959="","",Config!$B$27)</f>
        <v/>
      </c>
      <c r="F959" t="str">
        <f>IF($AS959="","",Config!$B$9)</f>
        <v/>
      </c>
      <c r="G959" t="str">
        <f>IF($AS959="","",Config!$B$10)</f>
        <v/>
      </c>
      <c r="H959" t="str">
        <f>IF($AS959="","",Config!$B$11)</f>
        <v/>
      </c>
      <c r="I959" t="str">
        <f>IF($AS959="","",Config!$B$16)</f>
        <v/>
      </c>
      <c r="J959" t="str">
        <f>IF($AS959="","",INDEX('TMP Paste'!$A$2:$A$1601,$AS959))</f>
        <v/>
      </c>
      <c r="K959" t="str">
        <f>IF($AS959="","",INDEX('TMP Paste'!$L$2:$L$1601,$AS959))</f>
        <v/>
      </c>
      <c r="L959" t="str">
        <f>IF($AS959="","",INDEX('TMP Paste'!$I$2:$I$1601,$AS959))</f>
        <v/>
      </c>
      <c r="M959" t="str">
        <f>IF($AS959="","",Config!$B$16)</f>
        <v/>
      </c>
      <c r="N959" t="str">
        <f t="shared" si="84"/>
        <v/>
      </c>
      <c r="O959" t="str">
        <f>IF($AS959="","",INDEX('TMP Paste'!$K$2:$K$1601,$AS959))</f>
        <v/>
      </c>
      <c r="P959" t="str">
        <f t="shared" si="85"/>
        <v/>
      </c>
      <c r="Q959" t="str">
        <f>IF($AS959="","",INDEX('TMP Paste'!$J$2:$J$1601,$AS959))</f>
        <v/>
      </c>
      <c r="R959" t="str">
        <f>IF($AS959="","",Config!$B$24)</f>
        <v/>
      </c>
      <c r="S959" t="str">
        <f ca="1">IF($AS959="","",TEXT(Config!$B$4,"yyyy-mm-dd"))</f>
        <v/>
      </c>
      <c r="T959" t="str">
        <f>IF($AS959="","",Config!$B$17)</f>
        <v/>
      </c>
      <c r="U959" t="str">
        <f>IF($AS959="","",Config!$B$18)</f>
        <v/>
      </c>
      <c r="V959" t="str">
        <f>IF($AS959="","",Config!$B$19)</f>
        <v/>
      </c>
      <c r="W959" t="str">
        <f>IF($AS959="","",INDEX('TMP Paste'!$C$2:$C$1601,$AS959))</f>
        <v/>
      </c>
      <c r="X959" t="str">
        <f>IF($AS959="","",Config!$B$29)</f>
        <v/>
      </c>
      <c r="Y959" t="str">
        <f>IF($AT959="","",INDEX(Calc!$I$2:$I$1601,$AT959)&amp;" - "&amp;INDEX(Calc!$D$2:$D$1601,$AT959)&amp;" koli")</f>
        <v/>
      </c>
      <c r="Z959" t="str">
        <f>IF($AS959="","",Config!$B$21)</f>
        <v/>
      </c>
      <c r="AA959" t="str">
        <f>IF($AS959="","",Config!$B$22)</f>
        <v/>
      </c>
      <c r="AB959" t="str">
        <f>IF($AT959="","",INDEX(Calc!$D$2:$D$1601,$AT959))</f>
        <v/>
      </c>
      <c r="AC959" t="str">
        <f>IF($AT959="","",INDEX(Calc!$G$2:$G$1601,$AT959))</f>
        <v/>
      </c>
      <c r="AD959" t="str">
        <f>IF($AS959="","",Config!$B$23)</f>
        <v/>
      </c>
      <c r="AE959" t="str">
        <f>IF($AS959="","",Config!$B$28)</f>
        <v/>
      </c>
      <c r="AF959" t="str">
        <f t="shared" si="86"/>
        <v/>
      </c>
      <c r="AG959" t="str">
        <f t="shared" si="87"/>
        <v/>
      </c>
      <c r="AH959" t="str">
        <f t="shared" si="88"/>
        <v/>
      </c>
      <c r="AI959" t="str">
        <f>IF($AG959="","",SUMIF($AG$2:$AG959,$AG959,$AH$2:$AH959))</f>
        <v/>
      </c>
      <c r="AJ959" t="str">
        <f>IF('TMP Paste'!$F959="","",IF('TMP Paste'!$B959="",$AJ958,'TMP Paste'!$B959))</f>
        <v/>
      </c>
      <c r="AK959" t="str">
        <f>IF('TMP Paste'!$F959="","",N('TMP Paste'!$G959))</f>
        <v/>
      </c>
      <c r="AL959" t="str">
        <f>IF('TMP Paste'!$F959="","",IF('TMP Paste'!$M959="",$AL958,'TMP Paste'!$M959))</f>
        <v/>
      </c>
      <c r="AM959" t="str">
        <f>IF('TMP Paste'!$F959="","",IF('TMP Paste'!$N959="",$AM958,'TMP Paste'!$N959))</f>
        <v/>
      </c>
      <c r="AN959" t="str">
        <f>IF('TMP Paste'!$F959="","",IF('TMP Paste'!$O959="",$AN958,'TMP Paste'!$O959))</f>
        <v/>
      </c>
      <c r="AO959" t="str">
        <f>IF('TMP Paste'!$F959="","",IF('TMP Paste'!$P959="",$AO958,'TMP Paste'!$P959))</f>
        <v/>
      </c>
      <c r="AP959" t="str">
        <f t="shared" si="89"/>
        <v/>
      </c>
      <c r="AQ959" t="str">
        <f>IF($AS959="","",TRIM(IF(COUNTIFS(Calc!$B$2:$B$1601,ROW()-1,Calc!$C$2:$C$1601,"&lt;1")&gt;0,"Ada PO tanpa Koli - cek TMP. ","")&amp;IF(OR($AU959="",$AU959&lt;=0),"Volume kosong/0 - dimensi dikosongkan. ","")&amp;IF(AND($AU959&lt;&gt;"",$AU959&gt;=1000000),"Volume &gt;= 1.000.000 cm3 (di luar aturan) - dimensi dikosongkan. ","")&amp;IF(LEN($R959)&gt;500,"R &gt; 500 karakter.","")))</f>
        <v/>
      </c>
      <c r="AS959" t="str">
        <f>IFERROR(MATCH(ROW()-1,Calc!$J$2:$J$1601,0),"")</f>
        <v/>
      </c>
      <c r="AT959" t="str">
        <f>IFERROR(MATCH(ROW()-1,Calc!$K$2:$K$1601,0),"")</f>
        <v/>
      </c>
      <c r="AU959" t="str">
        <f>IF($AS959="","",IFERROR(INDEX('TMP Paste'!$D$2:$D$1601,$AS959)*1000000/$AB959,""))</f>
        <v/>
      </c>
    </row>
    <row r="960" spans="1:47">
      <c r="A960" t="str">
        <f>IF($AS960="","",INDEX('TMP Paste'!$B$2:$B$1601,$AS960))</f>
        <v/>
      </c>
      <c r="B960" t="str">
        <f>IF($AS960="","",Config!$B$14)</f>
        <v/>
      </c>
      <c r="C960" t="str">
        <f>IF($AS960="","",Config!$B$15)</f>
        <v/>
      </c>
      <c r="D960" t="str">
        <f>IF($AS960="","",INDEX('TMP Paste'!$B$2:$B$1601,$AS960))</f>
        <v/>
      </c>
      <c r="E960" t="str">
        <f>IF($AS960="","",Config!$B$27)</f>
        <v/>
      </c>
      <c r="F960" t="str">
        <f>IF($AS960="","",Config!$B$9)</f>
        <v/>
      </c>
      <c r="G960" t="str">
        <f>IF($AS960="","",Config!$B$10)</f>
        <v/>
      </c>
      <c r="H960" t="str">
        <f>IF($AS960="","",Config!$B$11)</f>
        <v/>
      </c>
      <c r="I960" t="str">
        <f>IF($AS960="","",Config!$B$16)</f>
        <v/>
      </c>
      <c r="J960" t="str">
        <f>IF($AS960="","",INDEX('TMP Paste'!$A$2:$A$1601,$AS960))</f>
        <v/>
      </c>
      <c r="K960" t="str">
        <f>IF($AS960="","",INDEX('TMP Paste'!$L$2:$L$1601,$AS960))</f>
        <v/>
      </c>
      <c r="L960" t="str">
        <f>IF($AS960="","",INDEX('TMP Paste'!$I$2:$I$1601,$AS960))</f>
        <v/>
      </c>
      <c r="M960" t="str">
        <f>IF($AS960="","",Config!$B$16)</f>
        <v/>
      </c>
      <c r="N960" t="str">
        <f t="shared" si="84"/>
        <v/>
      </c>
      <c r="O960" t="str">
        <f>IF($AS960="","",INDEX('TMP Paste'!$K$2:$K$1601,$AS960))</f>
        <v/>
      </c>
      <c r="P960" t="str">
        <f t="shared" si="85"/>
        <v/>
      </c>
      <c r="Q960" t="str">
        <f>IF($AS960="","",INDEX('TMP Paste'!$J$2:$J$1601,$AS960))</f>
        <v/>
      </c>
      <c r="R960" t="str">
        <f>IF($AS960="","",Config!$B$24)</f>
        <v/>
      </c>
      <c r="S960" t="str">
        <f ca="1">IF($AS960="","",TEXT(Config!$B$4,"yyyy-mm-dd"))</f>
        <v/>
      </c>
      <c r="T960" t="str">
        <f>IF($AS960="","",Config!$B$17)</f>
        <v/>
      </c>
      <c r="U960" t="str">
        <f>IF($AS960="","",Config!$B$18)</f>
        <v/>
      </c>
      <c r="V960" t="str">
        <f>IF($AS960="","",Config!$B$19)</f>
        <v/>
      </c>
      <c r="W960" t="str">
        <f>IF($AS960="","",INDEX('TMP Paste'!$C$2:$C$1601,$AS960))</f>
        <v/>
      </c>
      <c r="X960" t="str">
        <f>IF($AS960="","",Config!$B$29)</f>
        <v/>
      </c>
      <c r="Y960" t="str">
        <f>IF($AT960="","",INDEX(Calc!$I$2:$I$1601,$AT960)&amp;" - "&amp;INDEX(Calc!$D$2:$D$1601,$AT960)&amp;" koli")</f>
        <v/>
      </c>
      <c r="Z960" t="str">
        <f>IF($AS960="","",Config!$B$21)</f>
        <v/>
      </c>
      <c r="AA960" t="str">
        <f>IF($AS960="","",Config!$B$22)</f>
        <v/>
      </c>
      <c r="AB960" t="str">
        <f>IF($AT960="","",INDEX(Calc!$D$2:$D$1601,$AT960))</f>
        <v/>
      </c>
      <c r="AC960" t="str">
        <f>IF($AT960="","",INDEX(Calc!$G$2:$G$1601,$AT960))</f>
        <v/>
      </c>
      <c r="AD960" t="str">
        <f>IF($AS960="","",Config!$B$23)</f>
        <v/>
      </c>
      <c r="AE960" t="str">
        <f>IF($AS960="","",Config!$B$28)</f>
        <v/>
      </c>
      <c r="AF960" t="str">
        <f t="shared" si="86"/>
        <v/>
      </c>
      <c r="AG960" t="str">
        <f t="shared" si="87"/>
        <v/>
      </c>
      <c r="AH960" t="str">
        <f t="shared" si="88"/>
        <v/>
      </c>
      <c r="AI960" t="str">
        <f>IF($AG960="","",SUMIF($AG$2:$AG960,$AG960,$AH$2:$AH960))</f>
        <v/>
      </c>
      <c r="AJ960" t="str">
        <f>IF('TMP Paste'!$F960="","",IF('TMP Paste'!$B960="",$AJ959,'TMP Paste'!$B960))</f>
        <v/>
      </c>
      <c r="AK960" t="str">
        <f>IF('TMP Paste'!$F960="","",N('TMP Paste'!$G960))</f>
        <v/>
      </c>
      <c r="AL960" t="str">
        <f>IF('TMP Paste'!$F960="","",IF('TMP Paste'!$M960="",$AL959,'TMP Paste'!$M960))</f>
        <v/>
      </c>
      <c r="AM960" t="str">
        <f>IF('TMP Paste'!$F960="","",IF('TMP Paste'!$N960="",$AM959,'TMP Paste'!$N960))</f>
        <v/>
      </c>
      <c r="AN960" t="str">
        <f>IF('TMP Paste'!$F960="","",IF('TMP Paste'!$O960="",$AN959,'TMP Paste'!$O960))</f>
        <v/>
      </c>
      <c r="AO960" t="str">
        <f>IF('TMP Paste'!$F960="","",IF('TMP Paste'!$P960="",$AO959,'TMP Paste'!$P960))</f>
        <v/>
      </c>
      <c r="AP960" t="str">
        <f t="shared" si="89"/>
        <v/>
      </c>
      <c r="AQ960" t="str">
        <f>IF($AS960="","",TRIM(IF(COUNTIFS(Calc!$B$2:$B$1601,ROW()-1,Calc!$C$2:$C$1601,"&lt;1")&gt;0,"Ada PO tanpa Koli - cek TMP. ","")&amp;IF(OR($AU960="",$AU960&lt;=0),"Volume kosong/0 - dimensi dikosongkan. ","")&amp;IF(AND($AU960&lt;&gt;"",$AU960&gt;=1000000),"Volume &gt;= 1.000.000 cm3 (di luar aturan) - dimensi dikosongkan. ","")&amp;IF(LEN($R960)&gt;500,"R &gt; 500 karakter.","")))</f>
        <v/>
      </c>
      <c r="AS960" t="str">
        <f>IFERROR(MATCH(ROW()-1,Calc!$J$2:$J$1601,0),"")</f>
        <v/>
      </c>
      <c r="AT960" t="str">
        <f>IFERROR(MATCH(ROW()-1,Calc!$K$2:$K$1601,0),"")</f>
        <v/>
      </c>
      <c r="AU960" t="str">
        <f>IF($AS960="","",IFERROR(INDEX('TMP Paste'!$D$2:$D$1601,$AS960)*1000000/$AB960,""))</f>
        <v/>
      </c>
    </row>
    <row r="961" spans="1:47">
      <c r="A961" t="str">
        <f>IF($AS961="","",INDEX('TMP Paste'!$B$2:$B$1601,$AS961))</f>
        <v/>
      </c>
      <c r="B961" t="str">
        <f>IF($AS961="","",Config!$B$14)</f>
        <v/>
      </c>
      <c r="C961" t="str">
        <f>IF($AS961="","",Config!$B$15)</f>
        <v/>
      </c>
      <c r="D961" t="str">
        <f>IF($AS961="","",INDEX('TMP Paste'!$B$2:$B$1601,$AS961))</f>
        <v/>
      </c>
      <c r="E961" t="str">
        <f>IF($AS961="","",Config!$B$27)</f>
        <v/>
      </c>
      <c r="F961" t="str">
        <f>IF($AS961="","",Config!$B$9)</f>
        <v/>
      </c>
      <c r="G961" t="str">
        <f>IF($AS961="","",Config!$B$10)</f>
        <v/>
      </c>
      <c r="H961" t="str">
        <f>IF($AS961="","",Config!$B$11)</f>
        <v/>
      </c>
      <c r="I961" t="str">
        <f>IF($AS961="","",Config!$B$16)</f>
        <v/>
      </c>
      <c r="J961" t="str">
        <f>IF($AS961="","",INDEX('TMP Paste'!$A$2:$A$1601,$AS961))</f>
        <v/>
      </c>
      <c r="K961" t="str">
        <f>IF($AS961="","",INDEX('TMP Paste'!$L$2:$L$1601,$AS961))</f>
        <v/>
      </c>
      <c r="L961" t="str">
        <f>IF($AS961="","",INDEX('TMP Paste'!$I$2:$I$1601,$AS961))</f>
        <v/>
      </c>
      <c r="M961" t="str">
        <f>IF($AS961="","",Config!$B$16)</f>
        <v/>
      </c>
      <c r="N961" t="str">
        <f t="shared" si="84"/>
        <v/>
      </c>
      <c r="O961" t="str">
        <f>IF($AS961="","",INDEX('TMP Paste'!$K$2:$K$1601,$AS961))</f>
        <v/>
      </c>
      <c r="P961" t="str">
        <f t="shared" si="85"/>
        <v/>
      </c>
      <c r="Q961" t="str">
        <f>IF($AS961="","",INDEX('TMP Paste'!$J$2:$J$1601,$AS961))</f>
        <v/>
      </c>
      <c r="R961" t="str">
        <f>IF($AS961="","",Config!$B$24)</f>
        <v/>
      </c>
      <c r="S961" t="str">
        <f ca="1">IF($AS961="","",TEXT(Config!$B$4,"yyyy-mm-dd"))</f>
        <v/>
      </c>
      <c r="T961" t="str">
        <f>IF($AS961="","",Config!$B$17)</f>
        <v/>
      </c>
      <c r="U961" t="str">
        <f>IF($AS961="","",Config!$B$18)</f>
        <v/>
      </c>
      <c r="V961" t="str">
        <f>IF($AS961="","",Config!$B$19)</f>
        <v/>
      </c>
      <c r="W961" t="str">
        <f>IF($AS961="","",INDEX('TMP Paste'!$C$2:$C$1601,$AS961))</f>
        <v/>
      </c>
      <c r="X961" t="str">
        <f>IF($AS961="","",Config!$B$29)</f>
        <v/>
      </c>
      <c r="Y961" t="str">
        <f>IF($AT961="","",INDEX(Calc!$I$2:$I$1601,$AT961)&amp;" - "&amp;INDEX(Calc!$D$2:$D$1601,$AT961)&amp;" koli")</f>
        <v/>
      </c>
      <c r="Z961" t="str">
        <f>IF($AS961="","",Config!$B$21)</f>
        <v/>
      </c>
      <c r="AA961" t="str">
        <f>IF($AS961="","",Config!$B$22)</f>
        <v/>
      </c>
      <c r="AB961" t="str">
        <f>IF($AT961="","",INDEX(Calc!$D$2:$D$1601,$AT961))</f>
        <v/>
      </c>
      <c r="AC961" t="str">
        <f>IF($AT961="","",INDEX(Calc!$G$2:$G$1601,$AT961))</f>
        <v/>
      </c>
      <c r="AD961" t="str">
        <f>IF($AS961="","",Config!$B$23)</f>
        <v/>
      </c>
      <c r="AE961" t="str">
        <f>IF($AS961="","",Config!$B$28)</f>
        <v/>
      </c>
      <c r="AF961" t="str">
        <f t="shared" si="86"/>
        <v/>
      </c>
      <c r="AG961" t="str">
        <f t="shared" si="87"/>
        <v/>
      </c>
      <c r="AH961" t="str">
        <f t="shared" si="88"/>
        <v/>
      </c>
      <c r="AI961" t="str">
        <f>IF($AG961="","",SUMIF($AG$2:$AG961,$AG961,$AH$2:$AH961))</f>
        <v/>
      </c>
      <c r="AJ961" t="str">
        <f>IF('TMP Paste'!$F961="","",IF('TMP Paste'!$B961="",$AJ960,'TMP Paste'!$B961))</f>
        <v/>
      </c>
      <c r="AK961" t="str">
        <f>IF('TMP Paste'!$F961="","",N('TMP Paste'!$G961))</f>
        <v/>
      </c>
      <c r="AL961" t="str">
        <f>IF('TMP Paste'!$F961="","",IF('TMP Paste'!$M961="",$AL960,'TMP Paste'!$M961))</f>
        <v/>
      </c>
      <c r="AM961" t="str">
        <f>IF('TMP Paste'!$F961="","",IF('TMP Paste'!$N961="",$AM960,'TMP Paste'!$N961))</f>
        <v/>
      </c>
      <c r="AN961" t="str">
        <f>IF('TMP Paste'!$F961="","",IF('TMP Paste'!$O961="",$AN960,'TMP Paste'!$O961))</f>
        <v/>
      </c>
      <c r="AO961" t="str">
        <f>IF('TMP Paste'!$F961="","",IF('TMP Paste'!$P961="",$AO960,'TMP Paste'!$P961))</f>
        <v/>
      </c>
      <c r="AP961" t="str">
        <f t="shared" si="89"/>
        <v/>
      </c>
      <c r="AQ961" t="str">
        <f>IF($AS961="","",TRIM(IF(COUNTIFS(Calc!$B$2:$B$1601,ROW()-1,Calc!$C$2:$C$1601,"&lt;1")&gt;0,"Ada PO tanpa Koli - cek TMP. ","")&amp;IF(OR($AU961="",$AU961&lt;=0),"Volume kosong/0 - dimensi dikosongkan. ","")&amp;IF(AND($AU961&lt;&gt;"",$AU961&gt;=1000000),"Volume &gt;= 1.000.000 cm3 (di luar aturan) - dimensi dikosongkan. ","")&amp;IF(LEN($R961)&gt;500,"R &gt; 500 karakter.","")))</f>
        <v/>
      </c>
      <c r="AS961" t="str">
        <f>IFERROR(MATCH(ROW()-1,Calc!$J$2:$J$1601,0),"")</f>
        <v/>
      </c>
      <c r="AT961" t="str">
        <f>IFERROR(MATCH(ROW()-1,Calc!$K$2:$K$1601,0),"")</f>
        <v/>
      </c>
      <c r="AU961" t="str">
        <f>IF($AS961="","",IFERROR(INDEX('TMP Paste'!$D$2:$D$1601,$AS961)*1000000/$AB961,""))</f>
        <v/>
      </c>
    </row>
    <row r="962" spans="1:47">
      <c r="A962" t="str">
        <f>IF($AS962="","",INDEX('TMP Paste'!$B$2:$B$1601,$AS962))</f>
        <v/>
      </c>
      <c r="B962" t="str">
        <f>IF($AS962="","",Config!$B$14)</f>
        <v/>
      </c>
      <c r="C962" t="str">
        <f>IF($AS962="","",Config!$B$15)</f>
        <v/>
      </c>
      <c r="D962" t="str">
        <f>IF($AS962="","",INDEX('TMP Paste'!$B$2:$B$1601,$AS962))</f>
        <v/>
      </c>
      <c r="E962" t="str">
        <f>IF($AS962="","",Config!$B$27)</f>
        <v/>
      </c>
      <c r="F962" t="str">
        <f>IF($AS962="","",Config!$B$9)</f>
        <v/>
      </c>
      <c r="G962" t="str">
        <f>IF($AS962="","",Config!$B$10)</f>
        <v/>
      </c>
      <c r="H962" t="str">
        <f>IF($AS962="","",Config!$B$11)</f>
        <v/>
      </c>
      <c r="I962" t="str">
        <f>IF($AS962="","",Config!$B$16)</f>
        <v/>
      </c>
      <c r="J962" t="str">
        <f>IF($AS962="","",INDEX('TMP Paste'!$A$2:$A$1601,$AS962))</f>
        <v/>
      </c>
      <c r="K962" t="str">
        <f>IF($AS962="","",INDEX('TMP Paste'!$L$2:$L$1601,$AS962))</f>
        <v/>
      </c>
      <c r="L962" t="str">
        <f>IF($AS962="","",INDEX('TMP Paste'!$I$2:$I$1601,$AS962))</f>
        <v/>
      </c>
      <c r="M962" t="str">
        <f>IF($AS962="","",Config!$B$16)</f>
        <v/>
      </c>
      <c r="N962" t="str">
        <f t="shared" ref="N962:N1025" si="90">IF($AS962="","","")</f>
        <v/>
      </c>
      <c r="O962" t="str">
        <f>IF($AS962="","",INDEX('TMP Paste'!$K$2:$K$1601,$AS962))</f>
        <v/>
      </c>
      <c r="P962" t="str">
        <f t="shared" ref="P962:P1025" si="91">IF($AS962="","","")</f>
        <v/>
      </c>
      <c r="Q962" t="str">
        <f>IF($AS962="","",INDEX('TMP Paste'!$J$2:$J$1601,$AS962))</f>
        <v/>
      </c>
      <c r="R962" t="str">
        <f>IF($AS962="","",Config!$B$24)</f>
        <v/>
      </c>
      <c r="S962" t="str">
        <f ca="1">IF($AS962="","",TEXT(Config!$B$4,"yyyy-mm-dd"))</f>
        <v/>
      </c>
      <c r="T962" t="str">
        <f>IF($AS962="","",Config!$B$17)</f>
        <v/>
      </c>
      <c r="U962" t="str">
        <f>IF($AS962="","",Config!$B$18)</f>
        <v/>
      </c>
      <c r="V962" t="str">
        <f>IF($AS962="","",Config!$B$19)</f>
        <v/>
      </c>
      <c r="W962" t="str">
        <f>IF($AS962="","",INDEX('TMP Paste'!$C$2:$C$1601,$AS962))</f>
        <v/>
      </c>
      <c r="X962" t="str">
        <f>IF($AS962="","",Config!$B$29)</f>
        <v/>
      </c>
      <c r="Y962" t="str">
        <f>IF($AT962="","",INDEX(Calc!$I$2:$I$1601,$AT962)&amp;" - "&amp;INDEX(Calc!$D$2:$D$1601,$AT962)&amp;" koli")</f>
        <v/>
      </c>
      <c r="Z962" t="str">
        <f>IF($AS962="","",Config!$B$21)</f>
        <v/>
      </c>
      <c r="AA962" t="str">
        <f>IF($AS962="","",Config!$B$22)</f>
        <v/>
      </c>
      <c r="AB962" t="str">
        <f>IF($AT962="","",INDEX(Calc!$D$2:$D$1601,$AT962))</f>
        <v/>
      </c>
      <c r="AC962" t="str">
        <f>IF($AT962="","",INDEX(Calc!$G$2:$G$1601,$AT962))</f>
        <v/>
      </c>
      <c r="AD962" t="str">
        <f>IF($AS962="","",Config!$B$23)</f>
        <v/>
      </c>
      <c r="AE962" t="str">
        <f>IF($AS962="","",Config!$B$28)</f>
        <v/>
      </c>
      <c r="AF962" t="str">
        <f t="shared" ref="AF962:AF1025" si="92">IF($AS962="","",IF(OR($AU962="",$AU962&lt;=0,$AU962&gt;=1000000),"",IF($AU962&lt;10000,10,100)))</f>
        <v/>
      </c>
      <c r="AG962" t="str">
        <f t="shared" ref="AG962:AG1025" si="93">IF($AS962="","",IF(OR($AU962="",$AU962&lt;=0,$AU962&gt;=1000000),"",IF($AU962&lt;10000,$AU962/100,IF($AU962&lt;100000,$AU962/1000,$AU962/10000))))</f>
        <v/>
      </c>
      <c r="AH962" t="str">
        <f t="shared" ref="AH962:AH1025" si="94">IF($AS962="","",IF(OR($AU962="",$AU962&lt;=0,$AU962&gt;=1000000),"",IF($AU962&lt;100000,10,100)))</f>
        <v/>
      </c>
      <c r="AI962" t="str">
        <f>IF($AG962="","",SUMIF($AG$2:$AG962,$AG962,$AH$2:$AH962))</f>
        <v/>
      </c>
      <c r="AJ962" t="str">
        <f>IF('TMP Paste'!$F962="","",IF('TMP Paste'!$B962="",$AJ961,'TMP Paste'!$B962))</f>
        <v/>
      </c>
      <c r="AK962" t="str">
        <f>IF('TMP Paste'!$F962="","",N('TMP Paste'!$G962))</f>
        <v/>
      </c>
      <c r="AL962" t="str">
        <f>IF('TMP Paste'!$F962="","",IF('TMP Paste'!$M962="",$AL961,'TMP Paste'!$M962))</f>
        <v/>
      </c>
      <c r="AM962" t="str">
        <f>IF('TMP Paste'!$F962="","",IF('TMP Paste'!$N962="",$AM961,'TMP Paste'!$N962))</f>
        <v/>
      </c>
      <c r="AN962" t="str">
        <f>IF('TMP Paste'!$F962="","",IF('TMP Paste'!$O962="",$AN961,'TMP Paste'!$O962))</f>
        <v/>
      </c>
      <c r="AO962" t="str">
        <f>IF('TMP Paste'!$F962="","",IF('TMP Paste'!$P962="",$AO961,'TMP Paste'!$P962))</f>
        <v/>
      </c>
      <c r="AP962" t="str">
        <f t="shared" ref="AP962:AP1025" si="95">IF($AG962="","",LEN($R962))</f>
        <v/>
      </c>
      <c r="AQ962" t="str">
        <f>IF($AS962="","",TRIM(IF(COUNTIFS(Calc!$B$2:$B$1601,ROW()-1,Calc!$C$2:$C$1601,"&lt;1")&gt;0,"Ada PO tanpa Koli - cek TMP. ","")&amp;IF(OR($AU962="",$AU962&lt;=0),"Volume kosong/0 - dimensi dikosongkan. ","")&amp;IF(AND($AU962&lt;&gt;"",$AU962&gt;=1000000),"Volume &gt;= 1.000.000 cm3 (di luar aturan) - dimensi dikosongkan. ","")&amp;IF(LEN($R962)&gt;500,"R &gt; 500 karakter.","")))</f>
        <v/>
      </c>
      <c r="AS962" t="str">
        <f>IFERROR(MATCH(ROW()-1,Calc!$J$2:$J$1601,0),"")</f>
        <v/>
      </c>
      <c r="AT962" t="str">
        <f>IFERROR(MATCH(ROW()-1,Calc!$K$2:$K$1601,0),"")</f>
        <v/>
      </c>
      <c r="AU962" t="str">
        <f>IF($AS962="","",IFERROR(INDEX('TMP Paste'!$D$2:$D$1601,$AS962)*1000000/$AB962,""))</f>
        <v/>
      </c>
    </row>
    <row r="963" spans="1:47">
      <c r="A963" t="str">
        <f>IF($AS963="","",INDEX('TMP Paste'!$B$2:$B$1601,$AS963))</f>
        <v/>
      </c>
      <c r="B963" t="str">
        <f>IF($AS963="","",Config!$B$14)</f>
        <v/>
      </c>
      <c r="C963" t="str">
        <f>IF($AS963="","",Config!$B$15)</f>
        <v/>
      </c>
      <c r="D963" t="str">
        <f>IF($AS963="","",INDEX('TMP Paste'!$B$2:$B$1601,$AS963))</f>
        <v/>
      </c>
      <c r="E963" t="str">
        <f>IF($AS963="","",Config!$B$27)</f>
        <v/>
      </c>
      <c r="F963" t="str">
        <f>IF($AS963="","",Config!$B$9)</f>
        <v/>
      </c>
      <c r="G963" t="str">
        <f>IF($AS963="","",Config!$B$10)</f>
        <v/>
      </c>
      <c r="H963" t="str">
        <f>IF($AS963="","",Config!$B$11)</f>
        <v/>
      </c>
      <c r="I963" t="str">
        <f>IF($AS963="","",Config!$B$16)</f>
        <v/>
      </c>
      <c r="J963" t="str">
        <f>IF($AS963="","",INDEX('TMP Paste'!$A$2:$A$1601,$AS963))</f>
        <v/>
      </c>
      <c r="K963" t="str">
        <f>IF($AS963="","",INDEX('TMP Paste'!$L$2:$L$1601,$AS963))</f>
        <v/>
      </c>
      <c r="L963" t="str">
        <f>IF($AS963="","",INDEX('TMP Paste'!$I$2:$I$1601,$AS963))</f>
        <v/>
      </c>
      <c r="M963" t="str">
        <f>IF($AS963="","",Config!$B$16)</f>
        <v/>
      </c>
      <c r="N963" t="str">
        <f t="shared" si="90"/>
        <v/>
      </c>
      <c r="O963" t="str">
        <f>IF($AS963="","",INDEX('TMP Paste'!$K$2:$K$1601,$AS963))</f>
        <v/>
      </c>
      <c r="P963" t="str">
        <f t="shared" si="91"/>
        <v/>
      </c>
      <c r="Q963" t="str">
        <f>IF($AS963="","",INDEX('TMP Paste'!$J$2:$J$1601,$AS963))</f>
        <v/>
      </c>
      <c r="R963" t="str">
        <f>IF($AS963="","",Config!$B$24)</f>
        <v/>
      </c>
      <c r="S963" t="str">
        <f ca="1">IF($AS963="","",TEXT(Config!$B$4,"yyyy-mm-dd"))</f>
        <v/>
      </c>
      <c r="T963" t="str">
        <f>IF($AS963="","",Config!$B$17)</f>
        <v/>
      </c>
      <c r="U963" t="str">
        <f>IF($AS963="","",Config!$B$18)</f>
        <v/>
      </c>
      <c r="V963" t="str">
        <f>IF($AS963="","",Config!$B$19)</f>
        <v/>
      </c>
      <c r="W963" t="str">
        <f>IF($AS963="","",INDEX('TMP Paste'!$C$2:$C$1601,$AS963))</f>
        <v/>
      </c>
      <c r="X963" t="str">
        <f>IF($AS963="","",Config!$B$29)</f>
        <v/>
      </c>
      <c r="Y963" t="str">
        <f>IF($AT963="","",INDEX(Calc!$I$2:$I$1601,$AT963)&amp;" - "&amp;INDEX(Calc!$D$2:$D$1601,$AT963)&amp;" koli")</f>
        <v/>
      </c>
      <c r="Z963" t="str">
        <f>IF($AS963="","",Config!$B$21)</f>
        <v/>
      </c>
      <c r="AA963" t="str">
        <f>IF($AS963="","",Config!$B$22)</f>
        <v/>
      </c>
      <c r="AB963" t="str">
        <f>IF($AT963="","",INDEX(Calc!$D$2:$D$1601,$AT963))</f>
        <v/>
      </c>
      <c r="AC963" t="str">
        <f>IF($AT963="","",INDEX(Calc!$G$2:$G$1601,$AT963))</f>
        <v/>
      </c>
      <c r="AD963" t="str">
        <f>IF($AS963="","",Config!$B$23)</f>
        <v/>
      </c>
      <c r="AE963" t="str">
        <f>IF($AS963="","",Config!$B$28)</f>
        <v/>
      </c>
      <c r="AF963" t="str">
        <f t="shared" si="92"/>
        <v/>
      </c>
      <c r="AG963" t="str">
        <f t="shared" si="93"/>
        <v/>
      </c>
      <c r="AH963" t="str">
        <f t="shared" si="94"/>
        <v/>
      </c>
      <c r="AI963" t="str">
        <f>IF($AG963="","",SUMIF($AG$2:$AG963,$AG963,$AH$2:$AH963))</f>
        <v/>
      </c>
      <c r="AJ963" t="str">
        <f>IF('TMP Paste'!$F963="","",IF('TMP Paste'!$B963="",$AJ962,'TMP Paste'!$B963))</f>
        <v/>
      </c>
      <c r="AK963" t="str">
        <f>IF('TMP Paste'!$F963="","",N('TMP Paste'!$G963))</f>
        <v/>
      </c>
      <c r="AL963" t="str">
        <f>IF('TMP Paste'!$F963="","",IF('TMP Paste'!$M963="",$AL962,'TMP Paste'!$M963))</f>
        <v/>
      </c>
      <c r="AM963" t="str">
        <f>IF('TMP Paste'!$F963="","",IF('TMP Paste'!$N963="",$AM962,'TMP Paste'!$N963))</f>
        <v/>
      </c>
      <c r="AN963" t="str">
        <f>IF('TMP Paste'!$F963="","",IF('TMP Paste'!$O963="",$AN962,'TMP Paste'!$O963))</f>
        <v/>
      </c>
      <c r="AO963" t="str">
        <f>IF('TMP Paste'!$F963="","",IF('TMP Paste'!$P963="",$AO962,'TMP Paste'!$P963))</f>
        <v/>
      </c>
      <c r="AP963" t="str">
        <f t="shared" si="95"/>
        <v/>
      </c>
      <c r="AQ963" t="str">
        <f>IF($AS963="","",TRIM(IF(COUNTIFS(Calc!$B$2:$B$1601,ROW()-1,Calc!$C$2:$C$1601,"&lt;1")&gt;0,"Ada PO tanpa Koli - cek TMP. ","")&amp;IF(OR($AU963="",$AU963&lt;=0),"Volume kosong/0 - dimensi dikosongkan. ","")&amp;IF(AND($AU963&lt;&gt;"",$AU963&gt;=1000000),"Volume &gt;= 1.000.000 cm3 (di luar aturan) - dimensi dikosongkan. ","")&amp;IF(LEN($R963)&gt;500,"R &gt; 500 karakter.","")))</f>
        <v/>
      </c>
      <c r="AS963" t="str">
        <f>IFERROR(MATCH(ROW()-1,Calc!$J$2:$J$1601,0),"")</f>
        <v/>
      </c>
      <c r="AT963" t="str">
        <f>IFERROR(MATCH(ROW()-1,Calc!$K$2:$K$1601,0),"")</f>
        <v/>
      </c>
      <c r="AU963" t="str">
        <f>IF($AS963="","",IFERROR(INDEX('TMP Paste'!$D$2:$D$1601,$AS963)*1000000/$AB963,""))</f>
        <v/>
      </c>
    </row>
    <row r="964" spans="1:47">
      <c r="A964" t="str">
        <f>IF($AS964="","",INDEX('TMP Paste'!$B$2:$B$1601,$AS964))</f>
        <v/>
      </c>
      <c r="B964" t="str">
        <f>IF($AS964="","",Config!$B$14)</f>
        <v/>
      </c>
      <c r="C964" t="str">
        <f>IF($AS964="","",Config!$B$15)</f>
        <v/>
      </c>
      <c r="D964" t="str">
        <f>IF($AS964="","",INDEX('TMP Paste'!$B$2:$B$1601,$AS964))</f>
        <v/>
      </c>
      <c r="E964" t="str">
        <f>IF($AS964="","",Config!$B$27)</f>
        <v/>
      </c>
      <c r="F964" t="str">
        <f>IF($AS964="","",Config!$B$9)</f>
        <v/>
      </c>
      <c r="G964" t="str">
        <f>IF($AS964="","",Config!$B$10)</f>
        <v/>
      </c>
      <c r="H964" t="str">
        <f>IF($AS964="","",Config!$B$11)</f>
        <v/>
      </c>
      <c r="I964" t="str">
        <f>IF($AS964="","",Config!$B$16)</f>
        <v/>
      </c>
      <c r="J964" t="str">
        <f>IF($AS964="","",INDEX('TMP Paste'!$A$2:$A$1601,$AS964))</f>
        <v/>
      </c>
      <c r="K964" t="str">
        <f>IF($AS964="","",INDEX('TMP Paste'!$L$2:$L$1601,$AS964))</f>
        <v/>
      </c>
      <c r="L964" t="str">
        <f>IF($AS964="","",INDEX('TMP Paste'!$I$2:$I$1601,$AS964))</f>
        <v/>
      </c>
      <c r="M964" t="str">
        <f>IF($AS964="","",Config!$B$16)</f>
        <v/>
      </c>
      <c r="N964" t="str">
        <f t="shared" si="90"/>
        <v/>
      </c>
      <c r="O964" t="str">
        <f>IF($AS964="","",INDEX('TMP Paste'!$K$2:$K$1601,$AS964))</f>
        <v/>
      </c>
      <c r="P964" t="str">
        <f t="shared" si="91"/>
        <v/>
      </c>
      <c r="Q964" t="str">
        <f>IF($AS964="","",INDEX('TMP Paste'!$J$2:$J$1601,$AS964))</f>
        <v/>
      </c>
      <c r="R964" t="str">
        <f>IF($AS964="","",Config!$B$24)</f>
        <v/>
      </c>
      <c r="S964" t="str">
        <f ca="1">IF($AS964="","",TEXT(Config!$B$4,"yyyy-mm-dd"))</f>
        <v/>
      </c>
      <c r="T964" t="str">
        <f>IF($AS964="","",Config!$B$17)</f>
        <v/>
      </c>
      <c r="U964" t="str">
        <f>IF($AS964="","",Config!$B$18)</f>
        <v/>
      </c>
      <c r="V964" t="str">
        <f>IF($AS964="","",Config!$B$19)</f>
        <v/>
      </c>
      <c r="W964" t="str">
        <f>IF($AS964="","",INDEX('TMP Paste'!$C$2:$C$1601,$AS964))</f>
        <v/>
      </c>
      <c r="X964" t="str">
        <f>IF($AS964="","",Config!$B$29)</f>
        <v/>
      </c>
      <c r="Y964" t="str">
        <f>IF($AT964="","",INDEX(Calc!$I$2:$I$1601,$AT964)&amp;" - "&amp;INDEX(Calc!$D$2:$D$1601,$AT964)&amp;" koli")</f>
        <v/>
      </c>
      <c r="Z964" t="str">
        <f>IF($AS964="","",Config!$B$21)</f>
        <v/>
      </c>
      <c r="AA964" t="str">
        <f>IF($AS964="","",Config!$B$22)</f>
        <v/>
      </c>
      <c r="AB964" t="str">
        <f>IF($AT964="","",INDEX(Calc!$D$2:$D$1601,$AT964))</f>
        <v/>
      </c>
      <c r="AC964" t="str">
        <f>IF($AT964="","",INDEX(Calc!$G$2:$G$1601,$AT964))</f>
        <v/>
      </c>
      <c r="AD964" t="str">
        <f>IF($AS964="","",Config!$B$23)</f>
        <v/>
      </c>
      <c r="AE964" t="str">
        <f>IF($AS964="","",Config!$B$28)</f>
        <v/>
      </c>
      <c r="AF964" t="str">
        <f t="shared" si="92"/>
        <v/>
      </c>
      <c r="AG964" t="str">
        <f t="shared" si="93"/>
        <v/>
      </c>
      <c r="AH964" t="str">
        <f t="shared" si="94"/>
        <v/>
      </c>
      <c r="AI964" t="str">
        <f>IF($AG964="","",SUMIF($AG$2:$AG964,$AG964,$AH$2:$AH964))</f>
        <v/>
      </c>
      <c r="AJ964" t="str">
        <f>IF('TMP Paste'!$F964="","",IF('TMP Paste'!$B964="",$AJ963,'TMP Paste'!$B964))</f>
        <v/>
      </c>
      <c r="AK964" t="str">
        <f>IF('TMP Paste'!$F964="","",N('TMP Paste'!$G964))</f>
        <v/>
      </c>
      <c r="AL964" t="str">
        <f>IF('TMP Paste'!$F964="","",IF('TMP Paste'!$M964="",$AL963,'TMP Paste'!$M964))</f>
        <v/>
      </c>
      <c r="AM964" t="str">
        <f>IF('TMP Paste'!$F964="","",IF('TMP Paste'!$N964="",$AM963,'TMP Paste'!$N964))</f>
        <v/>
      </c>
      <c r="AN964" t="str">
        <f>IF('TMP Paste'!$F964="","",IF('TMP Paste'!$O964="",$AN963,'TMP Paste'!$O964))</f>
        <v/>
      </c>
      <c r="AO964" t="str">
        <f>IF('TMP Paste'!$F964="","",IF('TMP Paste'!$P964="",$AO963,'TMP Paste'!$P964))</f>
        <v/>
      </c>
      <c r="AP964" t="str">
        <f t="shared" si="95"/>
        <v/>
      </c>
      <c r="AQ964" t="str">
        <f>IF($AS964="","",TRIM(IF(COUNTIFS(Calc!$B$2:$B$1601,ROW()-1,Calc!$C$2:$C$1601,"&lt;1")&gt;0,"Ada PO tanpa Koli - cek TMP. ","")&amp;IF(OR($AU964="",$AU964&lt;=0),"Volume kosong/0 - dimensi dikosongkan. ","")&amp;IF(AND($AU964&lt;&gt;"",$AU964&gt;=1000000),"Volume &gt;= 1.000.000 cm3 (di luar aturan) - dimensi dikosongkan. ","")&amp;IF(LEN($R964)&gt;500,"R &gt; 500 karakter.","")))</f>
        <v/>
      </c>
      <c r="AS964" t="str">
        <f>IFERROR(MATCH(ROW()-1,Calc!$J$2:$J$1601,0),"")</f>
        <v/>
      </c>
      <c r="AT964" t="str">
        <f>IFERROR(MATCH(ROW()-1,Calc!$K$2:$K$1601,0),"")</f>
        <v/>
      </c>
      <c r="AU964" t="str">
        <f>IF($AS964="","",IFERROR(INDEX('TMP Paste'!$D$2:$D$1601,$AS964)*1000000/$AB964,""))</f>
        <v/>
      </c>
    </row>
    <row r="965" spans="1:47">
      <c r="A965" t="str">
        <f>IF($AS965="","",INDEX('TMP Paste'!$B$2:$B$1601,$AS965))</f>
        <v/>
      </c>
      <c r="B965" t="str">
        <f>IF($AS965="","",Config!$B$14)</f>
        <v/>
      </c>
      <c r="C965" t="str">
        <f>IF($AS965="","",Config!$B$15)</f>
        <v/>
      </c>
      <c r="D965" t="str">
        <f>IF($AS965="","",INDEX('TMP Paste'!$B$2:$B$1601,$AS965))</f>
        <v/>
      </c>
      <c r="E965" t="str">
        <f>IF($AS965="","",Config!$B$27)</f>
        <v/>
      </c>
      <c r="F965" t="str">
        <f>IF($AS965="","",Config!$B$9)</f>
        <v/>
      </c>
      <c r="G965" t="str">
        <f>IF($AS965="","",Config!$B$10)</f>
        <v/>
      </c>
      <c r="H965" t="str">
        <f>IF($AS965="","",Config!$B$11)</f>
        <v/>
      </c>
      <c r="I965" t="str">
        <f>IF($AS965="","",Config!$B$16)</f>
        <v/>
      </c>
      <c r="J965" t="str">
        <f>IF($AS965="","",INDEX('TMP Paste'!$A$2:$A$1601,$AS965))</f>
        <v/>
      </c>
      <c r="K965" t="str">
        <f>IF($AS965="","",INDEX('TMP Paste'!$L$2:$L$1601,$AS965))</f>
        <v/>
      </c>
      <c r="L965" t="str">
        <f>IF($AS965="","",INDEX('TMP Paste'!$I$2:$I$1601,$AS965))</f>
        <v/>
      </c>
      <c r="M965" t="str">
        <f>IF($AS965="","",Config!$B$16)</f>
        <v/>
      </c>
      <c r="N965" t="str">
        <f t="shared" si="90"/>
        <v/>
      </c>
      <c r="O965" t="str">
        <f>IF($AS965="","",INDEX('TMP Paste'!$K$2:$K$1601,$AS965))</f>
        <v/>
      </c>
      <c r="P965" t="str">
        <f t="shared" si="91"/>
        <v/>
      </c>
      <c r="Q965" t="str">
        <f>IF($AS965="","",INDEX('TMP Paste'!$J$2:$J$1601,$AS965))</f>
        <v/>
      </c>
      <c r="R965" t="str">
        <f>IF($AS965="","",Config!$B$24)</f>
        <v/>
      </c>
      <c r="S965" t="str">
        <f ca="1">IF($AS965="","",TEXT(Config!$B$4,"yyyy-mm-dd"))</f>
        <v/>
      </c>
      <c r="T965" t="str">
        <f>IF($AS965="","",Config!$B$17)</f>
        <v/>
      </c>
      <c r="U965" t="str">
        <f>IF($AS965="","",Config!$B$18)</f>
        <v/>
      </c>
      <c r="V965" t="str">
        <f>IF($AS965="","",Config!$B$19)</f>
        <v/>
      </c>
      <c r="W965" t="str">
        <f>IF($AS965="","",INDEX('TMP Paste'!$C$2:$C$1601,$AS965))</f>
        <v/>
      </c>
      <c r="X965" t="str">
        <f>IF($AS965="","",Config!$B$29)</f>
        <v/>
      </c>
      <c r="Y965" t="str">
        <f>IF($AT965="","",INDEX(Calc!$I$2:$I$1601,$AT965)&amp;" - "&amp;INDEX(Calc!$D$2:$D$1601,$AT965)&amp;" koli")</f>
        <v/>
      </c>
      <c r="Z965" t="str">
        <f>IF($AS965="","",Config!$B$21)</f>
        <v/>
      </c>
      <c r="AA965" t="str">
        <f>IF($AS965="","",Config!$B$22)</f>
        <v/>
      </c>
      <c r="AB965" t="str">
        <f>IF($AT965="","",INDEX(Calc!$D$2:$D$1601,$AT965))</f>
        <v/>
      </c>
      <c r="AC965" t="str">
        <f>IF($AT965="","",INDEX(Calc!$G$2:$G$1601,$AT965))</f>
        <v/>
      </c>
      <c r="AD965" t="str">
        <f>IF($AS965="","",Config!$B$23)</f>
        <v/>
      </c>
      <c r="AE965" t="str">
        <f>IF($AS965="","",Config!$B$28)</f>
        <v/>
      </c>
      <c r="AF965" t="str">
        <f t="shared" si="92"/>
        <v/>
      </c>
      <c r="AG965" t="str">
        <f t="shared" si="93"/>
        <v/>
      </c>
      <c r="AH965" t="str">
        <f t="shared" si="94"/>
        <v/>
      </c>
      <c r="AI965" t="str">
        <f>IF($AG965="","",SUMIF($AG$2:$AG965,$AG965,$AH$2:$AH965))</f>
        <v/>
      </c>
      <c r="AJ965" t="str">
        <f>IF('TMP Paste'!$F965="","",IF('TMP Paste'!$B965="",$AJ964,'TMP Paste'!$B965))</f>
        <v/>
      </c>
      <c r="AK965" t="str">
        <f>IF('TMP Paste'!$F965="","",N('TMP Paste'!$G965))</f>
        <v/>
      </c>
      <c r="AL965" t="str">
        <f>IF('TMP Paste'!$F965="","",IF('TMP Paste'!$M965="",$AL964,'TMP Paste'!$M965))</f>
        <v/>
      </c>
      <c r="AM965" t="str">
        <f>IF('TMP Paste'!$F965="","",IF('TMP Paste'!$N965="",$AM964,'TMP Paste'!$N965))</f>
        <v/>
      </c>
      <c r="AN965" t="str">
        <f>IF('TMP Paste'!$F965="","",IF('TMP Paste'!$O965="",$AN964,'TMP Paste'!$O965))</f>
        <v/>
      </c>
      <c r="AO965" t="str">
        <f>IF('TMP Paste'!$F965="","",IF('TMP Paste'!$P965="",$AO964,'TMP Paste'!$P965))</f>
        <v/>
      </c>
      <c r="AP965" t="str">
        <f t="shared" si="95"/>
        <v/>
      </c>
      <c r="AQ965" t="str">
        <f>IF($AS965="","",TRIM(IF(COUNTIFS(Calc!$B$2:$B$1601,ROW()-1,Calc!$C$2:$C$1601,"&lt;1")&gt;0,"Ada PO tanpa Koli - cek TMP. ","")&amp;IF(OR($AU965="",$AU965&lt;=0),"Volume kosong/0 - dimensi dikosongkan. ","")&amp;IF(AND($AU965&lt;&gt;"",$AU965&gt;=1000000),"Volume &gt;= 1.000.000 cm3 (di luar aturan) - dimensi dikosongkan. ","")&amp;IF(LEN($R965)&gt;500,"R &gt; 500 karakter.","")))</f>
        <v/>
      </c>
      <c r="AS965" t="str">
        <f>IFERROR(MATCH(ROW()-1,Calc!$J$2:$J$1601,0),"")</f>
        <v/>
      </c>
      <c r="AT965" t="str">
        <f>IFERROR(MATCH(ROW()-1,Calc!$K$2:$K$1601,0),"")</f>
        <v/>
      </c>
      <c r="AU965" t="str">
        <f>IF($AS965="","",IFERROR(INDEX('TMP Paste'!$D$2:$D$1601,$AS965)*1000000/$AB965,""))</f>
        <v/>
      </c>
    </row>
    <row r="966" spans="1:47">
      <c r="A966" t="str">
        <f>IF($AS966="","",INDEX('TMP Paste'!$B$2:$B$1601,$AS966))</f>
        <v/>
      </c>
      <c r="B966" t="str">
        <f>IF($AS966="","",Config!$B$14)</f>
        <v/>
      </c>
      <c r="C966" t="str">
        <f>IF($AS966="","",Config!$B$15)</f>
        <v/>
      </c>
      <c r="D966" t="str">
        <f>IF($AS966="","",INDEX('TMP Paste'!$B$2:$B$1601,$AS966))</f>
        <v/>
      </c>
      <c r="E966" t="str">
        <f>IF($AS966="","",Config!$B$27)</f>
        <v/>
      </c>
      <c r="F966" t="str">
        <f>IF($AS966="","",Config!$B$9)</f>
        <v/>
      </c>
      <c r="G966" t="str">
        <f>IF($AS966="","",Config!$B$10)</f>
        <v/>
      </c>
      <c r="H966" t="str">
        <f>IF($AS966="","",Config!$B$11)</f>
        <v/>
      </c>
      <c r="I966" t="str">
        <f>IF($AS966="","",Config!$B$16)</f>
        <v/>
      </c>
      <c r="J966" t="str">
        <f>IF($AS966="","",INDEX('TMP Paste'!$A$2:$A$1601,$AS966))</f>
        <v/>
      </c>
      <c r="K966" t="str">
        <f>IF($AS966="","",INDEX('TMP Paste'!$L$2:$L$1601,$AS966))</f>
        <v/>
      </c>
      <c r="L966" t="str">
        <f>IF($AS966="","",INDEX('TMP Paste'!$I$2:$I$1601,$AS966))</f>
        <v/>
      </c>
      <c r="M966" t="str">
        <f>IF($AS966="","",Config!$B$16)</f>
        <v/>
      </c>
      <c r="N966" t="str">
        <f t="shared" si="90"/>
        <v/>
      </c>
      <c r="O966" t="str">
        <f>IF($AS966="","",INDEX('TMP Paste'!$K$2:$K$1601,$AS966))</f>
        <v/>
      </c>
      <c r="P966" t="str">
        <f t="shared" si="91"/>
        <v/>
      </c>
      <c r="Q966" t="str">
        <f>IF($AS966="","",INDEX('TMP Paste'!$J$2:$J$1601,$AS966))</f>
        <v/>
      </c>
      <c r="R966" t="str">
        <f>IF($AS966="","",Config!$B$24)</f>
        <v/>
      </c>
      <c r="S966" t="str">
        <f ca="1">IF($AS966="","",TEXT(Config!$B$4,"yyyy-mm-dd"))</f>
        <v/>
      </c>
      <c r="T966" t="str">
        <f>IF($AS966="","",Config!$B$17)</f>
        <v/>
      </c>
      <c r="U966" t="str">
        <f>IF($AS966="","",Config!$B$18)</f>
        <v/>
      </c>
      <c r="V966" t="str">
        <f>IF($AS966="","",Config!$B$19)</f>
        <v/>
      </c>
      <c r="W966" t="str">
        <f>IF($AS966="","",INDEX('TMP Paste'!$C$2:$C$1601,$AS966))</f>
        <v/>
      </c>
      <c r="X966" t="str">
        <f>IF($AS966="","",Config!$B$29)</f>
        <v/>
      </c>
      <c r="Y966" t="str">
        <f>IF($AT966="","",INDEX(Calc!$I$2:$I$1601,$AT966)&amp;" - "&amp;INDEX(Calc!$D$2:$D$1601,$AT966)&amp;" koli")</f>
        <v/>
      </c>
      <c r="Z966" t="str">
        <f>IF($AS966="","",Config!$B$21)</f>
        <v/>
      </c>
      <c r="AA966" t="str">
        <f>IF($AS966="","",Config!$B$22)</f>
        <v/>
      </c>
      <c r="AB966" t="str">
        <f>IF($AT966="","",INDEX(Calc!$D$2:$D$1601,$AT966))</f>
        <v/>
      </c>
      <c r="AC966" t="str">
        <f>IF($AT966="","",INDEX(Calc!$G$2:$G$1601,$AT966))</f>
        <v/>
      </c>
      <c r="AD966" t="str">
        <f>IF($AS966="","",Config!$B$23)</f>
        <v/>
      </c>
      <c r="AE966" t="str">
        <f>IF($AS966="","",Config!$B$28)</f>
        <v/>
      </c>
      <c r="AF966" t="str">
        <f t="shared" si="92"/>
        <v/>
      </c>
      <c r="AG966" t="str">
        <f t="shared" si="93"/>
        <v/>
      </c>
      <c r="AH966" t="str">
        <f t="shared" si="94"/>
        <v/>
      </c>
      <c r="AI966" t="str">
        <f>IF($AG966="","",SUMIF($AG$2:$AG966,$AG966,$AH$2:$AH966))</f>
        <v/>
      </c>
      <c r="AJ966" t="str">
        <f>IF('TMP Paste'!$F966="","",IF('TMP Paste'!$B966="",$AJ965,'TMP Paste'!$B966))</f>
        <v/>
      </c>
      <c r="AK966" t="str">
        <f>IF('TMP Paste'!$F966="","",N('TMP Paste'!$G966))</f>
        <v/>
      </c>
      <c r="AL966" t="str">
        <f>IF('TMP Paste'!$F966="","",IF('TMP Paste'!$M966="",$AL965,'TMP Paste'!$M966))</f>
        <v/>
      </c>
      <c r="AM966" t="str">
        <f>IF('TMP Paste'!$F966="","",IF('TMP Paste'!$N966="",$AM965,'TMP Paste'!$N966))</f>
        <v/>
      </c>
      <c r="AN966" t="str">
        <f>IF('TMP Paste'!$F966="","",IF('TMP Paste'!$O966="",$AN965,'TMP Paste'!$O966))</f>
        <v/>
      </c>
      <c r="AO966" t="str">
        <f>IF('TMP Paste'!$F966="","",IF('TMP Paste'!$P966="",$AO965,'TMP Paste'!$P966))</f>
        <v/>
      </c>
      <c r="AP966" t="str">
        <f t="shared" si="95"/>
        <v/>
      </c>
      <c r="AQ966" t="str">
        <f>IF($AS966="","",TRIM(IF(COUNTIFS(Calc!$B$2:$B$1601,ROW()-1,Calc!$C$2:$C$1601,"&lt;1")&gt;0,"Ada PO tanpa Koli - cek TMP. ","")&amp;IF(OR($AU966="",$AU966&lt;=0),"Volume kosong/0 - dimensi dikosongkan. ","")&amp;IF(AND($AU966&lt;&gt;"",$AU966&gt;=1000000),"Volume &gt;= 1.000.000 cm3 (di luar aturan) - dimensi dikosongkan. ","")&amp;IF(LEN($R966)&gt;500,"R &gt; 500 karakter.","")))</f>
        <v/>
      </c>
      <c r="AS966" t="str">
        <f>IFERROR(MATCH(ROW()-1,Calc!$J$2:$J$1601,0),"")</f>
        <v/>
      </c>
      <c r="AT966" t="str">
        <f>IFERROR(MATCH(ROW()-1,Calc!$K$2:$K$1601,0),"")</f>
        <v/>
      </c>
      <c r="AU966" t="str">
        <f>IF($AS966="","",IFERROR(INDEX('TMP Paste'!$D$2:$D$1601,$AS966)*1000000/$AB966,""))</f>
        <v/>
      </c>
    </row>
    <row r="967" spans="1:47">
      <c r="A967" t="str">
        <f>IF($AS967="","",INDEX('TMP Paste'!$B$2:$B$1601,$AS967))</f>
        <v/>
      </c>
      <c r="B967" t="str">
        <f>IF($AS967="","",Config!$B$14)</f>
        <v/>
      </c>
      <c r="C967" t="str">
        <f>IF($AS967="","",Config!$B$15)</f>
        <v/>
      </c>
      <c r="D967" t="str">
        <f>IF($AS967="","",INDEX('TMP Paste'!$B$2:$B$1601,$AS967))</f>
        <v/>
      </c>
      <c r="E967" t="str">
        <f>IF($AS967="","",Config!$B$27)</f>
        <v/>
      </c>
      <c r="F967" t="str">
        <f>IF($AS967="","",Config!$B$9)</f>
        <v/>
      </c>
      <c r="G967" t="str">
        <f>IF($AS967="","",Config!$B$10)</f>
        <v/>
      </c>
      <c r="H967" t="str">
        <f>IF($AS967="","",Config!$B$11)</f>
        <v/>
      </c>
      <c r="I967" t="str">
        <f>IF($AS967="","",Config!$B$16)</f>
        <v/>
      </c>
      <c r="J967" t="str">
        <f>IF($AS967="","",INDEX('TMP Paste'!$A$2:$A$1601,$AS967))</f>
        <v/>
      </c>
      <c r="K967" t="str">
        <f>IF($AS967="","",INDEX('TMP Paste'!$L$2:$L$1601,$AS967))</f>
        <v/>
      </c>
      <c r="L967" t="str">
        <f>IF($AS967="","",INDEX('TMP Paste'!$I$2:$I$1601,$AS967))</f>
        <v/>
      </c>
      <c r="M967" t="str">
        <f>IF($AS967="","",Config!$B$16)</f>
        <v/>
      </c>
      <c r="N967" t="str">
        <f t="shared" si="90"/>
        <v/>
      </c>
      <c r="O967" t="str">
        <f>IF($AS967="","",INDEX('TMP Paste'!$K$2:$K$1601,$AS967))</f>
        <v/>
      </c>
      <c r="P967" t="str">
        <f t="shared" si="91"/>
        <v/>
      </c>
      <c r="Q967" t="str">
        <f>IF($AS967="","",INDEX('TMP Paste'!$J$2:$J$1601,$AS967))</f>
        <v/>
      </c>
      <c r="R967" t="str">
        <f>IF($AS967="","",Config!$B$24)</f>
        <v/>
      </c>
      <c r="S967" t="str">
        <f ca="1">IF($AS967="","",TEXT(Config!$B$4,"yyyy-mm-dd"))</f>
        <v/>
      </c>
      <c r="T967" t="str">
        <f>IF($AS967="","",Config!$B$17)</f>
        <v/>
      </c>
      <c r="U967" t="str">
        <f>IF($AS967="","",Config!$B$18)</f>
        <v/>
      </c>
      <c r="V967" t="str">
        <f>IF($AS967="","",Config!$B$19)</f>
        <v/>
      </c>
      <c r="W967" t="str">
        <f>IF($AS967="","",INDEX('TMP Paste'!$C$2:$C$1601,$AS967))</f>
        <v/>
      </c>
      <c r="X967" t="str">
        <f>IF($AS967="","",Config!$B$29)</f>
        <v/>
      </c>
      <c r="Y967" t="str">
        <f>IF($AT967="","",INDEX(Calc!$I$2:$I$1601,$AT967)&amp;" - "&amp;INDEX(Calc!$D$2:$D$1601,$AT967)&amp;" koli")</f>
        <v/>
      </c>
      <c r="Z967" t="str">
        <f>IF($AS967="","",Config!$B$21)</f>
        <v/>
      </c>
      <c r="AA967" t="str">
        <f>IF($AS967="","",Config!$B$22)</f>
        <v/>
      </c>
      <c r="AB967" t="str">
        <f>IF($AT967="","",INDEX(Calc!$D$2:$D$1601,$AT967))</f>
        <v/>
      </c>
      <c r="AC967" t="str">
        <f>IF($AT967="","",INDEX(Calc!$G$2:$G$1601,$AT967))</f>
        <v/>
      </c>
      <c r="AD967" t="str">
        <f>IF($AS967="","",Config!$B$23)</f>
        <v/>
      </c>
      <c r="AE967" t="str">
        <f>IF($AS967="","",Config!$B$28)</f>
        <v/>
      </c>
      <c r="AF967" t="str">
        <f t="shared" si="92"/>
        <v/>
      </c>
      <c r="AG967" t="str">
        <f t="shared" si="93"/>
        <v/>
      </c>
      <c r="AH967" t="str">
        <f t="shared" si="94"/>
        <v/>
      </c>
      <c r="AI967" t="str">
        <f>IF($AG967="","",SUMIF($AG$2:$AG967,$AG967,$AH$2:$AH967))</f>
        <v/>
      </c>
      <c r="AJ967" t="str">
        <f>IF('TMP Paste'!$F967="","",IF('TMP Paste'!$B967="",$AJ966,'TMP Paste'!$B967))</f>
        <v/>
      </c>
      <c r="AK967" t="str">
        <f>IF('TMP Paste'!$F967="","",N('TMP Paste'!$G967))</f>
        <v/>
      </c>
      <c r="AL967" t="str">
        <f>IF('TMP Paste'!$F967="","",IF('TMP Paste'!$M967="",$AL966,'TMP Paste'!$M967))</f>
        <v/>
      </c>
      <c r="AM967" t="str">
        <f>IF('TMP Paste'!$F967="","",IF('TMP Paste'!$N967="",$AM966,'TMP Paste'!$N967))</f>
        <v/>
      </c>
      <c r="AN967" t="str">
        <f>IF('TMP Paste'!$F967="","",IF('TMP Paste'!$O967="",$AN966,'TMP Paste'!$O967))</f>
        <v/>
      </c>
      <c r="AO967" t="str">
        <f>IF('TMP Paste'!$F967="","",IF('TMP Paste'!$P967="",$AO966,'TMP Paste'!$P967))</f>
        <v/>
      </c>
      <c r="AP967" t="str">
        <f t="shared" si="95"/>
        <v/>
      </c>
      <c r="AQ967" t="str">
        <f>IF($AS967="","",TRIM(IF(COUNTIFS(Calc!$B$2:$B$1601,ROW()-1,Calc!$C$2:$C$1601,"&lt;1")&gt;0,"Ada PO tanpa Koli - cek TMP. ","")&amp;IF(OR($AU967="",$AU967&lt;=0),"Volume kosong/0 - dimensi dikosongkan. ","")&amp;IF(AND($AU967&lt;&gt;"",$AU967&gt;=1000000),"Volume &gt;= 1.000.000 cm3 (di luar aturan) - dimensi dikosongkan. ","")&amp;IF(LEN($R967)&gt;500,"R &gt; 500 karakter.","")))</f>
        <v/>
      </c>
      <c r="AS967" t="str">
        <f>IFERROR(MATCH(ROW()-1,Calc!$J$2:$J$1601,0),"")</f>
        <v/>
      </c>
      <c r="AT967" t="str">
        <f>IFERROR(MATCH(ROW()-1,Calc!$K$2:$K$1601,0),"")</f>
        <v/>
      </c>
      <c r="AU967" t="str">
        <f>IF($AS967="","",IFERROR(INDEX('TMP Paste'!$D$2:$D$1601,$AS967)*1000000/$AB967,""))</f>
        <v/>
      </c>
    </row>
    <row r="968" spans="1:47">
      <c r="A968" t="str">
        <f>IF($AS968="","",INDEX('TMP Paste'!$B$2:$B$1601,$AS968))</f>
        <v/>
      </c>
      <c r="B968" t="str">
        <f>IF($AS968="","",Config!$B$14)</f>
        <v/>
      </c>
      <c r="C968" t="str">
        <f>IF($AS968="","",Config!$B$15)</f>
        <v/>
      </c>
      <c r="D968" t="str">
        <f>IF($AS968="","",INDEX('TMP Paste'!$B$2:$B$1601,$AS968))</f>
        <v/>
      </c>
      <c r="E968" t="str">
        <f>IF($AS968="","",Config!$B$27)</f>
        <v/>
      </c>
      <c r="F968" t="str">
        <f>IF($AS968="","",Config!$B$9)</f>
        <v/>
      </c>
      <c r="G968" t="str">
        <f>IF($AS968="","",Config!$B$10)</f>
        <v/>
      </c>
      <c r="H968" t="str">
        <f>IF($AS968="","",Config!$B$11)</f>
        <v/>
      </c>
      <c r="I968" t="str">
        <f>IF($AS968="","",Config!$B$16)</f>
        <v/>
      </c>
      <c r="J968" t="str">
        <f>IF($AS968="","",INDEX('TMP Paste'!$A$2:$A$1601,$AS968))</f>
        <v/>
      </c>
      <c r="K968" t="str">
        <f>IF($AS968="","",INDEX('TMP Paste'!$L$2:$L$1601,$AS968))</f>
        <v/>
      </c>
      <c r="L968" t="str">
        <f>IF($AS968="","",INDEX('TMP Paste'!$I$2:$I$1601,$AS968))</f>
        <v/>
      </c>
      <c r="M968" t="str">
        <f>IF($AS968="","",Config!$B$16)</f>
        <v/>
      </c>
      <c r="N968" t="str">
        <f t="shared" si="90"/>
        <v/>
      </c>
      <c r="O968" t="str">
        <f>IF($AS968="","",INDEX('TMP Paste'!$K$2:$K$1601,$AS968))</f>
        <v/>
      </c>
      <c r="P968" t="str">
        <f t="shared" si="91"/>
        <v/>
      </c>
      <c r="Q968" t="str">
        <f>IF($AS968="","",INDEX('TMP Paste'!$J$2:$J$1601,$AS968))</f>
        <v/>
      </c>
      <c r="R968" t="str">
        <f>IF($AS968="","",Config!$B$24)</f>
        <v/>
      </c>
      <c r="S968" t="str">
        <f ca="1">IF($AS968="","",TEXT(Config!$B$4,"yyyy-mm-dd"))</f>
        <v/>
      </c>
      <c r="T968" t="str">
        <f>IF($AS968="","",Config!$B$17)</f>
        <v/>
      </c>
      <c r="U968" t="str">
        <f>IF($AS968="","",Config!$B$18)</f>
        <v/>
      </c>
      <c r="V968" t="str">
        <f>IF($AS968="","",Config!$B$19)</f>
        <v/>
      </c>
      <c r="W968" t="str">
        <f>IF($AS968="","",INDEX('TMP Paste'!$C$2:$C$1601,$AS968))</f>
        <v/>
      </c>
      <c r="X968" t="str">
        <f>IF($AS968="","",Config!$B$29)</f>
        <v/>
      </c>
      <c r="Y968" t="str">
        <f>IF($AT968="","",INDEX(Calc!$I$2:$I$1601,$AT968)&amp;" - "&amp;INDEX(Calc!$D$2:$D$1601,$AT968)&amp;" koli")</f>
        <v/>
      </c>
      <c r="Z968" t="str">
        <f>IF($AS968="","",Config!$B$21)</f>
        <v/>
      </c>
      <c r="AA968" t="str">
        <f>IF($AS968="","",Config!$B$22)</f>
        <v/>
      </c>
      <c r="AB968" t="str">
        <f>IF($AT968="","",INDEX(Calc!$D$2:$D$1601,$AT968))</f>
        <v/>
      </c>
      <c r="AC968" t="str">
        <f>IF($AT968="","",INDEX(Calc!$G$2:$G$1601,$AT968))</f>
        <v/>
      </c>
      <c r="AD968" t="str">
        <f>IF($AS968="","",Config!$B$23)</f>
        <v/>
      </c>
      <c r="AE968" t="str">
        <f>IF($AS968="","",Config!$B$28)</f>
        <v/>
      </c>
      <c r="AF968" t="str">
        <f t="shared" si="92"/>
        <v/>
      </c>
      <c r="AG968" t="str">
        <f t="shared" si="93"/>
        <v/>
      </c>
      <c r="AH968" t="str">
        <f t="shared" si="94"/>
        <v/>
      </c>
      <c r="AI968" t="str">
        <f>IF($AG968="","",SUMIF($AG$2:$AG968,$AG968,$AH$2:$AH968))</f>
        <v/>
      </c>
      <c r="AJ968" t="str">
        <f>IF('TMP Paste'!$F968="","",IF('TMP Paste'!$B968="",$AJ967,'TMP Paste'!$B968))</f>
        <v/>
      </c>
      <c r="AK968" t="str">
        <f>IF('TMP Paste'!$F968="","",N('TMP Paste'!$G968))</f>
        <v/>
      </c>
      <c r="AL968" t="str">
        <f>IF('TMP Paste'!$F968="","",IF('TMP Paste'!$M968="",$AL967,'TMP Paste'!$M968))</f>
        <v/>
      </c>
      <c r="AM968" t="str">
        <f>IF('TMP Paste'!$F968="","",IF('TMP Paste'!$N968="",$AM967,'TMP Paste'!$N968))</f>
        <v/>
      </c>
      <c r="AN968" t="str">
        <f>IF('TMP Paste'!$F968="","",IF('TMP Paste'!$O968="",$AN967,'TMP Paste'!$O968))</f>
        <v/>
      </c>
      <c r="AO968" t="str">
        <f>IF('TMP Paste'!$F968="","",IF('TMP Paste'!$P968="",$AO967,'TMP Paste'!$P968))</f>
        <v/>
      </c>
      <c r="AP968" t="str">
        <f t="shared" si="95"/>
        <v/>
      </c>
      <c r="AQ968" t="str">
        <f>IF($AS968="","",TRIM(IF(COUNTIFS(Calc!$B$2:$B$1601,ROW()-1,Calc!$C$2:$C$1601,"&lt;1")&gt;0,"Ada PO tanpa Koli - cek TMP. ","")&amp;IF(OR($AU968="",$AU968&lt;=0),"Volume kosong/0 - dimensi dikosongkan. ","")&amp;IF(AND($AU968&lt;&gt;"",$AU968&gt;=1000000),"Volume &gt;= 1.000.000 cm3 (di luar aturan) - dimensi dikosongkan. ","")&amp;IF(LEN($R968)&gt;500,"R &gt; 500 karakter.","")))</f>
        <v/>
      </c>
      <c r="AS968" t="str">
        <f>IFERROR(MATCH(ROW()-1,Calc!$J$2:$J$1601,0),"")</f>
        <v/>
      </c>
      <c r="AT968" t="str">
        <f>IFERROR(MATCH(ROW()-1,Calc!$K$2:$K$1601,0),"")</f>
        <v/>
      </c>
      <c r="AU968" t="str">
        <f>IF($AS968="","",IFERROR(INDEX('TMP Paste'!$D$2:$D$1601,$AS968)*1000000/$AB968,""))</f>
        <v/>
      </c>
    </row>
    <row r="969" spans="1:47">
      <c r="A969" t="str">
        <f>IF($AS969="","",INDEX('TMP Paste'!$B$2:$B$1601,$AS969))</f>
        <v/>
      </c>
      <c r="B969" t="str">
        <f>IF($AS969="","",Config!$B$14)</f>
        <v/>
      </c>
      <c r="C969" t="str">
        <f>IF($AS969="","",Config!$B$15)</f>
        <v/>
      </c>
      <c r="D969" t="str">
        <f>IF($AS969="","",INDEX('TMP Paste'!$B$2:$B$1601,$AS969))</f>
        <v/>
      </c>
      <c r="E969" t="str">
        <f>IF($AS969="","",Config!$B$27)</f>
        <v/>
      </c>
      <c r="F969" t="str">
        <f>IF($AS969="","",Config!$B$9)</f>
        <v/>
      </c>
      <c r="G969" t="str">
        <f>IF($AS969="","",Config!$B$10)</f>
        <v/>
      </c>
      <c r="H969" t="str">
        <f>IF($AS969="","",Config!$B$11)</f>
        <v/>
      </c>
      <c r="I969" t="str">
        <f>IF($AS969="","",Config!$B$16)</f>
        <v/>
      </c>
      <c r="J969" t="str">
        <f>IF($AS969="","",INDEX('TMP Paste'!$A$2:$A$1601,$AS969))</f>
        <v/>
      </c>
      <c r="K969" t="str">
        <f>IF($AS969="","",INDEX('TMP Paste'!$L$2:$L$1601,$AS969))</f>
        <v/>
      </c>
      <c r="L969" t="str">
        <f>IF($AS969="","",INDEX('TMP Paste'!$I$2:$I$1601,$AS969))</f>
        <v/>
      </c>
      <c r="M969" t="str">
        <f>IF($AS969="","",Config!$B$16)</f>
        <v/>
      </c>
      <c r="N969" t="str">
        <f t="shared" si="90"/>
        <v/>
      </c>
      <c r="O969" t="str">
        <f>IF($AS969="","",INDEX('TMP Paste'!$K$2:$K$1601,$AS969))</f>
        <v/>
      </c>
      <c r="P969" t="str">
        <f t="shared" si="91"/>
        <v/>
      </c>
      <c r="Q969" t="str">
        <f>IF($AS969="","",INDEX('TMP Paste'!$J$2:$J$1601,$AS969))</f>
        <v/>
      </c>
      <c r="R969" t="str">
        <f>IF($AS969="","",Config!$B$24)</f>
        <v/>
      </c>
      <c r="S969" t="str">
        <f ca="1">IF($AS969="","",TEXT(Config!$B$4,"yyyy-mm-dd"))</f>
        <v/>
      </c>
      <c r="T969" t="str">
        <f>IF($AS969="","",Config!$B$17)</f>
        <v/>
      </c>
      <c r="U969" t="str">
        <f>IF($AS969="","",Config!$B$18)</f>
        <v/>
      </c>
      <c r="V969" t="str">
        <f>IF($AS969="","",Config!$B$19)</f>
        <v/>
      </c>
      <c r="W969" t="str">
        <f>IF($AS969="","",INDEX('TMP Paste'!$C$2:$C$1601,$AS969))</f>
        <v/>
      </c>
      <c r="X969" t="str">
        <f>IF($AS969="","",Config!$B$29)</f>
        <v/>
      </c>
      <c r="Y969" t="str">
        <f>IF($AT969="","",INDEX(Calc!$I$2:$I$1601,$AT969)&amp;" - "&amp;INDEX(Calc!$D$2:$D$1601,$AT969)&amp;" koli")</f>
        <v/>
      </c>
      <c r="Z969" t="str">
        <f>IF($AS969="","",Config!$B$21)</f>
        <v/>
      </c>
      <c r="AA969" t="str">
        <f>IF($AS969="","",Config!$B$22)</f>
        <v/>
      </c>
      <c r="AB969" t="str">
        <f>IF($AT969="","",INDEX(Calc!$D$2:$D$1601,$AT969))</f>
        <v/>
      </c>
      <c r="AC969" t="str">
        <f>IF($AT969="","",INDEX(Calc!$G$2:$G$1601,$AT969))</f>
        <v/>
      </c>
      <c r="AD969" t="str">
        <f>IF($AS969="","",Config!$B$23)</f>
        <v/>
      </c>
      <c r="AE969" t="str">
        <f>IF($AS969="","",Config!$B$28)</f>
        <v/>
      </c>
      <c r="AF969" t="str">
        <f t="shared" si="92"/>
        <v/>
      </c>
      <c r="AG969" t="str">
        <f t="shared" si="93"/>
        <v/>
      </c>
      <c r="AH969" t="str">
        <f t="shared" si="94"/>
        <v/>
      </c>
      <c r="AI969" t="str">
        <f>IF($AG969="","",SUMIF($AG$2:$AG969,$AG969,$AH$2:$AH969))</f>
        <v/>
      </c>
      <c r="AJ969" t="str">
        <f>IF('TMP Paste'!$F969="","",IF('TMP Paste'!$B969="",$AJ968,'TMP Paste'!$B969))</f>
        <v/>
      </c>
      <c r="AK969" t="str">
        <f>IF('TMP Paste'!$F969="","",N('TMP Paste'!$G969))</f>
        <v/>
      </c>
      <c r="AL969" t="str">
        <f>IF('TMP Paste'!$F969="","",IF('TMP Paste'!$M969="",$AL968,'TMP Paste'!$M969))</f>
        <v/>
      </c>
      <c r="AM969" t="str">
        <f>IF('TMP Paste'!$F969="","",IF('TMP Paste'!$N969="",$AM968,'TMP Paste'!$N969))</f>
        <v/>
      </c>
      <c r="AN969" t="str">
        <f>IF('TMP Paste'!$F969="","",IF('TMP Paste'!$O969="",$AN968,'TMP Paste'!$O969))</f>
        <v/>
      </c>
      <c r="AO969" t="str">
        <f>IF('TMP Paste'!$F969="","",IF('TMP Paste'!$P969="",$AO968,'TMP Paste'!$P969))</f>
        <v/>
      </c>
      <c r="AP969" t="str">
        <f t="shared" si="95"/>
        <v/>
      </c>
      <c r="AQ969" t="str">
        <f>IF($AS969="","",TRIM(IF(COUNTIFS(Calc!$B$2:$B$1601,ROW()-1,Calc!$C$2:$C$1601,"&lt;1")&gt;0,"Ada PO tanpa Koli - cek TMP. ","")&amp;IF(OR($AU969="",$AU969&lt;=0),"Volume kosong/0 - dimensi dikosongkan. ","")&amp;IF(AND($AU969&lt;&gt;"",$AU969&gt;=1000000),"Volume &gt;= 1.000.000 cm3 (di luar aturan) - dimensi dikosongkan. ","")&amp;IF(LEN($R969)&gt;500,"R &gt; 500 karakter.","")))</f>
        <v/>
      </c>
      <c r="AS969" t="str">
        <f>IFERROR(MATCH(ROW()-1,Calc!$J$2:$J$1601,0),"")</f>
        <v/>
      </c>
      <c r="AT969" t="str">
        <f>IFERROR(MATCH(ROW()-1,Calc!$K$2:$K$1601,0),"")</f>
        <v/>
      </c>
      <c r="AU969" t="str">
        <f>IF($AS969="","",IFERROR(INDEX('TMP Paste'!$D$2:$D$1601,$AS969)*1000000/$AB969,""))</f>
        <v/>
      </c>
    </row>
    <row r="970" spans="1:47">
      <c r="A970" t="str">
        <f>IF($AS970="","",INDEX('TMP Paste'!$B$2:$B$1601,$AS970))</f>
        <v/>
      </c>
      <c r="B970" t="str">
        <f>IF($AS970="","",Config!$B$14)</f>
        <v/>
      </c>
      <c r="C970" t="str">
        <f>IF($AS970="","",Config!$B$15)</f>
        <v/>
      </c>
      <c r="D970" t="str">
        <f>IF($AS970="","",INDEX('TMP Paste'!$B$2:$B$1601,$AS970))</f>
        <v/>
      </c>
      <c r="E970" t="str">
        <f>IF($AS970="","",Config!$B$27)</f>
        <v/>
      </c>
      <c r="F970" t="str">
        <f>IF($AS970="","",Config!$B$9)</f>
        <v/>
      </c>
      <c r="G970" t="str">
        <f>IF($AS970="","",Config!$B$10)</f>
        <v/>
      </c>
      <c r="H970" t="str">
        <f>IF($AS970="","",Config!$B$11)</f>
        <v/>
      </c>
      <c r="I970" t="str">
        <f>IF($AS970="","",Config!$B$16)</f>
        <v/>
      </c>
      <c r="J970" t="str">
        <f>IF($AS970="","",INDEX('TMP Paste'!$A$2:$A$1601,$AS970))</f>
        <v/>
      </c>
      <c r="K970" t="str">
        <f>IF($AS970="","",INDEX('TMP Paste'!$L$2:$L$1601,$AS970))</f>
        <v/>
      </c>
      <c r="L970" t="str">
        <f>IF($AS970="","",INDEX('TMP Paste'!$I$2:$I$1601,$AS970))</f>
        <v/>
      </c>
      <c r="M970" t="str">
        <f>IF($AS970="","",Config!$B$16)</f>
        <v/>
      </c>
      <c r="N970" t="str">
        <f t="shared" si="90"/>
        <v/>
      </c>
      <c r="O970" t="str">
        <f>IF($AS970="","",INDEX('TMP Paste'!$K$2:$K$1601,$AS970))</f>
        <v/>
      </c>
      <c r="P970" t="str">
        <f t="shared" si="91"/>
        <v/>
      </c>
      <c r="Q970" t="str">
        <f>IF($AS970="","",INDEX('TMP Paste'!$J$2:$J$1601,$AS970))</f>
        <v/>
      </c>
      <c r="R970" t="str">
        <f>IF($AS970="","",Config!$B$24)</f>
        <v/>
      </c>
      <c r="S970" t="str">
        <f ca="1">IF($AS970="","",TEXT(Config!$B$4,"yyyy-mm-dd"))</f>
        <v/>
      </c>
      <c r="T970" t="str">
        <f>IF($AS970="","",Config!$B$17)</f>
        <v/>
      </c>
      <c r="U970" t="str">
        <f>IF($AS970="","",Config!$B$18)</f>
        <v/>
      </c>
      <c r="V970" t="str">
        <f>IF($AS970="","",Config!$B$19)</f>
        <v/>
      </c>
      <c r="W970" t="str">
        <f>IF($AS970="","",INDEX('TMP Paste'!$C$2:$C$1601,$AS970))</f>
        <v/>
      </c>
      <c r="X970" t="str">
        <f>IF($AS970="","",Config!$B$29)</f>
        <v/>
      </c>
      <c r="Y970" t="str">
        <f>IF($AT970="","",INDEX(Calc!$I$2:$I$1601,$AT970)&amp;" - "&amp;INDEX(Calc!$D$2:$D$1601,$AT970)&amp;" koli")</f>
        <v/>
      </c>
      <c r="Z970" t="str">
        <f>IF($AS970="","",Config!$B$21)</f>
        <v/>
      </c>
      <c r="AA970" t="str">
        <f>IF($AS970="","",Config!$B$22)</f>
        <v/>
      </c>
      <c r="AB970" t="str">
        <f>IF($AT970="","",INDEX(Calc!$D$2:$D$1601,$AT970))</f>
        <v/>
      </c>
      <c r="AC970" t="str">
        <f>IF($AT970="","",INDEX(Calc!$G$2:$G$1601,$AT970))</f>
        <v/>
      </c>
      <c r="AD970" t="str">
        <f>IF($AS970="","",Config!$B$23)</f>
        <v/>
      </c>
      <c r="AE970" t="str">
        <f>IF($AS970="","",Config!$B$28)</f>
        <v/>
      </c>
      <c r="AF970" t="str">
        <f t="shared" si="92"/>
        <v/>
      </c>
      <c r="AG970" t="str">
        <f t="shared" si="93"/>
        <v/>
      </c>
      <c r="AH970" t="str">
        <f t="shared" si="94"/>
        <v/>
      </c>
      <c r="AI970" t="str">
        <f>IF($AG970="","",SUMIF($AG$2:$AG970,$AG970,$AH$2:$AH970))</f>
        <v/>
      </c>
      <c r="AJ970" t="str">
        <f>IF('TMP Paste'!$F970="","",IF('TMP Paste'!$B970="",$AJ969,'TMP Paste'!$B970))</f>
        <v/>
      </c>
      <c r="AK970" t="str">
        <f>IF('TMP Paste'!$F970="","",N('TMP Paste'!$G970))</f>
        <v/>
      </c>
      <c r="AL970" t="str">
        <f>IF('TMP Paste'!$F970="","",IF('TMP Paste'!$M970="",$AL969,'TMP Paste'!$M970))</f>
        <v/>
      </c>
      <c r="AM970" t="str">
        <f>IF('TMP Paste'!$F970="","",IF('TMP Paste'!$N970="",$AM969,'TMP Paste'!$N970))</f>
        <v/>
      </c>
      <c r="AN970" t="str">
        <f>IF('TMP Paste'!$F970="","",IF('TMP Paste'!$O970="",$AN969,'TMP Paste'!$O970))</f>
        <v/>
      </c>
      <c r="AO970" t="str">
        <f>IF('TMP Paste'!$F970="","",IF('TMP Paste'!$P970="",$AO969,'TMP Paste'!$P970))</f>
        <v/>
      </c>
      <c r="AP970" t="str">
        <f t="shared" si="95"/>
        <v/>
      </c>
      <c r="AQ970" t="str">
        <f>IF($AS970="","",TRIM(IF(COUNTIFS(Calc!$B$2:$B$1601,ROW()-1,Calc!$C$2:$C$1601,"&lt;1")&gt;0,"Ada PO tanpa Koli - cek TMP. ","")&amp;IF(OR($AU970="",$AU970&lt;=0),"Volume kosong/0 - dimensi dikosongkan. ","")&amp;IF(AND($AU970&lt;&gt;"",$AU970&gt;=1000000),"Volume &gt;= 1.000.000 cm3 (di luar aturan) - dimensi dikosongkan. ","")&amp;IF(LEN($R970)&gt;500,"R &gt; 500 karakter.","")))</f>
        <v/>
      </c>
      <c r="AS970" t="str">
        <f>IFERROR(MATCH(ROW()-1,Calc!$J$2:$J$1601,0),"")</f>
        <v/>
      </c>
      <c r="AT970" t="str">
        <f>IFERROR(MATCH(ROW()-1,Calc!$K$2:$K$1601,0),"")</f>
        <v/>
      </c>
      <c r="AU970" t="str">
        <f>IF($AS970="","",IFERROR(INDEX('TMP Paste'!$D$2:$D$1601,$AS970)*1000000/$AB970,""))</f>
        <v/>
      </c>
    </row>
    <row r="971" spans="1:47">
      <c r="A971" t="str">
        <f>IF($AS971="","",INDEX('TMP Paste'!$B$2:$B$1601,$AS971))</f>
        <v/>
      </c>
      <c r="B971" t="str">
        <f>IF($AS971="","",Config!$B$14)</f>
        <v/>
      </c>
      <c r="C971" t="str">
        <f>IF($AS971="","",Config!$B$15)</f>
        <v/>
      </c>
      <c r="D971" t="str">
        <f>IF($AS971="","",INDEX('TMP Paste'!$B$2:$B$1601,$AS971))</f>
        <v/>
      </c>
      <c r="E971" t="str">
        <f>IF($AS971="","",Config!$B$27)</f>
        <v/>
      </c>
      <c r="F971" t="str">
        <f>IF($AS971="","",Config!$B$9)</f>
        <v/>
      </c>
      <c r="G971" t="str">
        <f>IF($AS971="","",Config!$B$10)</f>
        <v/>
      </c>
      <c r="H971" t="str">
        <f>IF($AS971="","",Config!$B$11)</f>
        <v/>
      </c>
      <c r="I971" t="str">
        <f>IF($AS971="","",Config!$B$16)</f>
        <v/>
      </c>
      <c r="J971" t="str">
        <f>IF($AS971="","",INDEX('TMP Paste'!$A$2:$A$1601,$AS971))</f>
        <v/>
      </c>
      <c r="K971" t="str">
        <f>IF($AS971="","",INDEX('TMP Paste'!$L$2:$L$1601,$AS971))</f>
        <v/>
      </c>
      <c r="L971" t="str">
        <f>IF($AS971="","",INDEX('TMP Paste'!$I$2:$I$1601,$AS971))</f>
        <v/>
      </c>
      <c r="M971" t="str">
        <f>IF($AS971="","",Config!$B$16)</f>
        <v/>
      </c>
      <c r="N971" t="str">
        <f t="shared" si="90"/>
        <v/>
      </c>
      <c r="O971" t="str">
        <f>IF($AS971="","",INDEX('TMP Paste'!$K$2:$K$1601,$AS971))</f>
        <v/>
      </c>
      <c r="P971" t="str">
        <f t="shared" si="91"/>
        <v/>
      </c>
      <c r="Q971" t="str">
        <f>IF($AS971="","",INDEX('TMP Paste'!$J$2:$J$1601,$AS971))</f>
        <v/>
      </c>
      <c r="R971" t="str">
        <f>IF($AS971="","",Config!$B$24)</f>
        <v/>
      </c>
      <c r="S971" t="str">
        <f ca="1">IF($AS971="","",TEXT(Config!$B$4,"yyyy-mm-dd"))</f>
        <v/>
      </c>
      <c r="T971" t="str">
        <f>IF($AS971="","",Config!$B$17)</f>
        <v/>
      </c>
      <c r="U971" t="str">
        <f>IF($AS971="","",Config!$B$18)</f>
        <v/>
      </c>
      <c r="V971" t="str">
        <f>IF($AS971="","",Config!$B$19)</f>
        <v/>
      </c>
      <c r="W971" t="str">
        <f>IF($AS971="","",INDEX('TMP Paste'!$C$2:$C$1601,$AS971))</f>
        <v/>
      </c>
      <c r="X971" t="str">
        <f>IF($AS971="","",Config!$B$29)</f>
        <v/>
      </c>
      <c r="Y971" t="str">
        <f>IF($AT971="","",INDEX(Calc!$I$2:$I$1601,$AT971)&amp;" - "&amp;INDEX(Calc!$D$2:$D$1601,$AT971)&amp;" koli")</f>
        <v/>
      </c>
      <c r="Z971" t="str">
        <f>IF($AS971="","",Config!$B$21)</f>
        <v/>
      </c>
      <c r="AA971" t="str">
        <f>IF($AS971="","",Config!$B$22)</f>
        <v/>
      </c>
      <c r="AB971" t="str">
        <f>IF($AT971="","",INDEX(Calc!$D$2:$D$1601,$AT971))</f>
        <v/>
      </c>
      <c r="AC971" t="str">
        <f>IF($AT971="","",INDEX(Calc!$G$2:$G$1601,$AT971))</f>
        <v/>
      </c>
      <c r="AD971" t="str">
        <f>IF($AS971="","",Config!$B$23)</f>
        <v/>
      </c>
      <c r="AE971" t="str">
        <f>IF($AS971="","",Config!$B$28)</f>
        <v/>
      </c>
      <c r="AF971" t="str">
        <f t="shared" si="92"/>
        <v/>
      </c>
      <c r="AG971" t="str">
        <f t="shared" si="93"/>
        <v/>
      </c>
      <c r="AH971" t="str">
        <f t="shared" si="94"/>
        <v/>
      </c>
      <c r="AI971" t="str">
        <f>IF($AG971="","",SUMIF($AG$2:$AG971,$AG971,$AH$2:$AH971))</f>
        <v/>
      </c>
      <c r="AJ971" t="str">
        <f>IF('TMP Paste'!$F971="","",IF('TMP Paste'!$B971="",$AJ970,'TMP Paste'!$B971))</f>
        <v/>
      </c>
      <c r="AK971" t="str">
        <f>IF('TMP Paste'!$F971="","",N('TMP Paste'!$G971))</f>
        <v/>
      </c>
      <c r="AL971" t="str">
        <f>IF('TMP Paste'!$F971="","",IF('TMP Paste'!$M971="",$AL970,'TMP Paste'!$M971))</f>
        <v/>
      </c>
      <c r="AM971" t="str">
        <f>IF('TMP Paste'!$F971="","",IF('TMP Paste'!$N971="",$AM970,'TMP Paste'!$N971))</f>
        <v/>
      </c>
      <c r="AN971" t="str">
        <f>IF('TMP Paste'!$F971="","",IF('TMP Paste'!$O971="",$AN970,'TMP Paste'!$O971))</f>
        <v/>
      </c>
      <c r="AO971" t="str">
        <f>IF('TMP Paste'!$F971="","",IF('TMP Paste'!$P971="",$AO970,'TMP Paste'!$P971))</f>
        <v/>
      </c>
      <c r="AP971" t="str">
        <f t="shared" si="95"/>
        <v/>
      </c>
      <c r="AQ971" t="str">
        <f>IF($AS971="","",TRIM(IF(COUNTIFS(Calc!$B$2:$B$1601,ROW()-1,Calc!$C$2:$C$1601,"&lt;1")&gt;0,"Ada PO tanpa Koli - cek TMP. ","")&amp;IF(OR($AU971="",$AU971&lt;=0),"Volume kosong/0 - dimensi dikosongkan. ","")&amp;IF(AND($AU971&lt;&gt;"",$AU971&gt;=1000000),"Volume &gt;= 1.000.000 cm3 (di luar aturan) - dimensi dikosongkan. ","")&amp;IF(LEN($R971)&gt;500,"R &gt; 500 karakter.","")))</f>
        <v/>
      </c>
      <c r="AS971" t="str">
        <f>IFERROR(MATCH(ROW()-1,Calc!$J$2:$J$1601,0),"")</f>
        <v/>
      </c>
      <c r="AT971" t="str">
        <f>IFERROR(MATCH(ROW()-1,Calc!$K$2:$K$1601,0),"")</f>
        <v/>
      </c>
      <c r="AU971" t="str">
        <f>IF($AS971="","",IFERROR(INDEX('TMP Paste'!$D$2:$D$1601,$AS971)*1000000/$AB971,""))</f>
        <v/>
      </c>
    </row>
    <row r="972" spans="1:47">
      <c r="A972" t="str">
        <f>IF($AS972="","",INDEX('TMP Paste'!$B$2:$B$1601,$AS972))</f>
        <v/>
      </c>
      <c r="B972" t="str">
        <f>IF($AS972="","",Config!$B$14)</f>
        <v/>
      </c>
      <c r="C972" t="str">
        <f>IF($AS972="","",Config!$B$15)</f>
        <v/>
      </c>
      <c r="D972" t="str">
        <f>IF($AS972="","",INDEX('TMP Paste'!$B$2:$B$1601,$AS972))</f>
        <v/>
      </c>
      <c r="E972" t="str">
        <f>IF($AS972="","",Config!$B$27)</f>
        <v/>
      </c>
      <c r="F972" t="str">
        <f>IF($AS972="","",Config!$B$9)</f>
        <v/>
      </c>
      <c r="G972" t="str">
        <f>IF($AS972="","",Config!$B$10)</f>
        <v/>
      </c>
      <c r="H972" t="str">
        <f>IF($AS972="","",Config!$B$11)</f>
        <v/>
      </c>
      <c r="I972" t="str">
        <f>IF($AS972="","",Config!$B$16)</f>
        <v/>
      </c>
      <c r="J972" t="str">
        <f>IF($AS972="","",INDEX('TMP Paste'!$A$2:$A$1601,$AS972))</f>
        <v/>
      </c>
      <c r="K972" t="str">
        <f>IF($AS972="","",INDEX('TMP Paste'!$L$2:$L$1601,$AS972))</f>
        <v/>
      </c>
      <c r="L972" t="str">
        <f>IF($AS972="","",INDEX('TMP Paste'!$I$2:$I$1601,$AS972))</f>
        <v/>
      </c>
      <c r="M972" t="str">
        <f>IF($AS972="","",Config!$B$16)</f>
        <v/>
      </c>
      <c r="N972" t="str">
        <f t="shared" si="90"/>
        <v/>
      </c>
      <c r="O972" t="str">
        <f>IF($AS972="","",INDEX('TMP Paste'!$K$2:$K$1601,$AS972))</f>
        <v/>
      </c>
      <c r="P972" t="str">
        <f t="shared" si="91"/>
        <v/>
      </c>
      <c r="Q972" t="str">
        <f>IF($AS972="","",INDEX('TMP Paste'!$J$2:$J$1601,$AS972))</f>
        <v/>
      </c>
      <c r="R972" t="str">
        <f>IF($AS972="","",Config!$B$24)</f>
        <v/>
      </c>
      <c r="S972" t="str">
        <f ca="1">IF($AS972="","",TEXT(Config!$B$4,"yyyy-mm-dd"))</f>
        <v/>
      </c>
      <c r="T972" t="str">
        <f>IF($AS972="","",Config!$B$17)</f>
        <v/>
      </c>
      <c r="U972" t="str">
        <f>IF($AS972="","",Config!$B$18)</f>
        <v/>
      </c>
      <c r="V972" t="str">
        <f>IF($AS972="","",Config!$B$19)</f>
        <v/>
      </c>
      <c r="W972" t="str">
        <f>IF($AS972="","",INDEX('TMP Paste'!$C$2:$C$1601,$AS972))</f>
        <v/>
      </c>
      <c r="X972" t="str">
        <f>IF($AS972="","",Config!$B$29)</f>
        <v/>
      </c>
      <c r="Y972" t="str">
        <f>IF($AT972="","",INDEX(Calc!$I$2:$I$1601,$AT972)&amp;" - "&amp;INDEX(Calc!$D$2:$D$1601,$AT972)&amp;" koli")</f>
        <v/>
      </c>
      <c r="Z972" t="str">
        <f>IF($AS972="","",Config!$B$21)</f>
        <v/>
      </c>
      <c r="AA972" t="str">
        <f>IF($AS972="","",Config!$B$22)</f>
        <v/>
      </c>
      <c r="AB972" t="str">
        <f>IF($AT972="","",INDEX(Calc!$D$2:$D$1601,$AT972))</f>
        <v/>
      </c>
      <c r="AC972" t="str">
        <f>IF($AT972="","",INDEX(Calc!$G$2:$G$1601,$AT972))</f>
        <v/>
      </c>
      <c r="AD972" t="str">
        <f>IF($AS972="","",Config!$B$23)</f>
        <v/>
      </c>
      <c r="AE972" t="str">
        <f>IF($AS972="","",Config!$B$28)</f>
        <v/>
      </c>
      <c r="AF972" t="str">
        <f t="shared" si="92"/>
        <v/>
      </c>
      <c r="AG972" t="str">
        <f t="shared" si="93"/>
        <v/>
      </c>
      <c r="AH972" t="str">
        <f t="shared" si="94"/>
        <v/>
      </c>
      <c r="AI972" t="str">
        <f>IF($AG972="","",SUMIF($AG$2:$AG972,$AG972,$AH$2:$AH972))</f>
        <v/>
      </c>
      <c r="AJ972" t="str">
        <f>IF('TMP Paste'!$F972="","",IF('TMP Paste'!$B972="",$AJ971,'TMP Paste'!$B972))</f>
        <v/>
      </c>
      <c r="AK972" t="str">
        <f>IF('TMP Paste'!$F972="","",N('TMP Paste'!$G972))</f>
        <v/>
      </c>
      <c r="AL972" t="str">
        <f>IF('TMP Paste'!$F972="","",IF('TMP Paste'!$M972="",$AL971,'TMP Paste'!$M972))</f>
        <v/>
      </c>
      <c r="AM972" t="str">
        <f>IF('TMP Paste'!$F972="","",IF('TMP Paste'!$N972="",$AM971,'TMP Paste'!$N972))</f>
        <v/>
      </c>
      <c r="AN972" t="str">
        <f>IF('TMP Paste'!$F972="","",IF('TMP Paste'!$O972="",$AN971,'TMP Paste'!$O972))</f>
        <v/>
      </c>
      <c r="AO972" t="str">
        <f>IF('TMP Paste'!$F972="","",IF('TMP Paste'!$P972="",$AO971,'TMP Paste'!$P972))</f>
        <v/>
      </c>
      <c r="AP972" t="str">
        <f t="shared" si="95"/>
        <v/>
      </c>
      <c r="AQ972" t="str">
        <f>IF($AS972="","",TRIM(IF(COUNTIFS(Calc!$B$2:$B$1601,ROW()-1,Calc!$C$2:$C$1601,"&lt;1")&gt;0,"Ada PO tanpa Koli - cek TMP. ","")&amp;IF(OR($AU972="",$AU972&lt;=0),"Volume kosong/0 - dimensi dikosongkan. ","")&amp;IF(AND($AU972&lt;&gt;"",$AU972&gt;=1000000),"Volume &gt;= 1.000.000 cm3 (di luar aturan) - dimensi dikosongkan. ","")&amp;IF(LEN($R972)&gt;500,"R &gt; 500 karakter.","")))</f>
        <v/>
      </c>
      <c r="AS972" t="str">
        <f>IFERROR(MATCH(ROW()-1,Calc!$J$2:$J$1601,0),"")</f>
        <v/>
      </c>
      <c r="AT972" t="str">
        <f>IFERROR(MATCH(ROW()-1,Calc!$K$2:$K$1601,0),"")</f>
        <v/>
      </c>
      <c r="AU972" t="str">
        <f>IF($AS972="","",IFERROR(INDEX('TMP Paste'!$D$2:$D$1601,$AS972)*1000000/$AB972,""))</f>
        <v/>
      </c>
    </row>
    <row r="973" spans="1:47">
      <c r="A973" t="str">
        <f>IF($AS973="","",INDEX('TMP Paste'!$B$2:$B$1601,$AS973))</f>
        <v/>
      </c>
      <c r="B973" t="str">
        <f>IF($AS973="","",Config!$B$14)</f>
        <v/>
      </c>
      <c r="C973" t="str">
        <f>IF($AS973="","",Config!$B$15)</f>
        <v/>
      </c>
      <c r="D973" t="str">
        <f>IF($AS973="","",INDEX('TMP Paste'!$B$2:$B$1601,$AS973))</f>
        <v/>
      </c>
      <c r="E973" t="str">
        <f>IF($AS973="","",Config!$B$27)</f>
        <v/>
      </c>
      <c r="F973" t="str">
        <f>IF($AS973="","",Config!$B$9)</f>
        <v/>
      </c>
      <c r="G973" t="str">
        <f>IF($AS973="","",Config!$B$10)</f>
        <v/>
      </c>
      <c r="H973" t="str">
        <f>IF($AS973="","",Config!$B$11)</f>
        <v/>
      </c>
      <c r="I973" t="str">
        <f>IF($AS973="","",Config!$B$16)</f>
        <v/>
      </c>
      <c r="J973" t="str">
        <f>IF($AS973="","",INDEX('TMP Paste'!$A$2:$A$1601,$AS973))</f>
        <v/>
      </c>
      <c r="K973" t="str">
        <f>IF($AS973="","",INDEX('TMP Paste'!$L$2:$L$1601,$AS973))</f>
        <v/>
      </c>
      <c r="L973" t="str">
        <f>IF($AS973="","",INDEX('TMP Paste'!$I$2:$I$1601,$AS973))</f>
        <v/>
      </c>
      <c r="M973" t="str">
        <f>IF($AS973="","",Config!$B$16)</f>
        <v/>
      </c>
      <c r="N973" t="str">
        <f t="shared" si="90"/>
        <v/>
      </c>
      <c r="O973" t="str">
        <f>IF($AS973="","",INDEX('TMP Paste'!$K$2:$K$1601,$AS973))</f>
        <v/>
      </c>
      <c r="P973" t="str">
        <f t="shared" si="91"/>
        <v/>
      </c>
      <c r="Q973" t="str">
        <f>IF($AS973="","",INDEX('TMP Paste'!$J$2:$J$1601,$AS973))</f>
        <v/>
      </c>
      <c r="R973" t="str">
        <f>IF($AS973="","",Config!$B$24)</f>
        <v/>
      </c>
      <c r="S973" t="str">
        <f ca="1">IF($AS973="","",TEXT(Config!$B$4,"yyyy-mm-dd"))</f>
        <v/>
      </c>
      <c r="T973" t="str">
        <f>IF($AS973="","",Config!$B$17)</f>
        <v/>
      </c>
      <c r="U973" t="str">
        <f>IF($AS973="","",Config!$B$18)</f>
        <v/>
      </c>
      <c r="V973" t="str">
        <f>IF($AS973="","",Config!$B$19)</f>
        <v/>
      </c>
      <c r="W973" t="str">
        <f>IF($AS973="","",INDEX('TMP Paste'!$C$2:$C$1601,$AS973))</f>
        <v/>
      </c>
      <c r="X973" t="str">
        <f>IF($AS973="","",Config!$B$29)</f>
        <v/>
      </c>
      <c r="Y973" t="str">
        <f>IF($AT973="","",INDEX(Calc!$I$2:$I$1601,$AT973)&amp;" - "&amp;INDEX(Calc!$D$2:$D$1601,$AT973)&amp;" koli")</f>
        <v/>
      </c>
      <c r="Z973" t="str">
        <f>IF($AS973="","",Config!$B$21)</f>
        <v/>
      </c>
      <c r="AA973" t="str">
        <f>IF($AS973="","",Config!$B$22)</f>
        <v/>
      </c>
      <c r="AB973" t="str">
        <f>IF($AT973="","",INDEX(Calc!$D$2:$D$1601,$AT973))</f>
        <v/>
      </c>
      <c r="AC973" t="str">
        <f>IF($AT973="","",INDEX(Calc!$G$2:$G$1601,$AT973))</f>
        <v/>
      </c>
      <c r="AD973" t="str">
        <f>IF($AS973="","",Config!$B$23)</f>
        <v/>
      </c>
      <c r="AE973" t="str">
        <f>IF($AS973="","",Config!$B$28)</f>
        <v/>
      </c>
      <c r="AF973" t="str">
        <f t="shared" si="92"/>
        <v/>
      </c>
      <c r="AG973" t="str">
        <f t="shared" si="93"/>
        <v/>
      </c>
      <c r="AH973" t="str">
        <f t="shared" si="94"/>
        <v/>
      </c>
      <c r="AI973" t="str">
        <f>IF($AG973="","",SUMIF($AG$2:$AG973,$AG973,$AH$2:$AH973))</f>
        <v/>
      </c>
      <c r="AJ973" t="str">
        <f>IF('TMP Paste'!$F973="","",IF('TMP Paste'!$B973="",$AJ972,'TMP Paste'!$B973))</f>
        <v/>
      </c>
      <c r="AK973" t="str">
        <f>IF('TMP Paste'!$F973="","",N('TMP Paste'!$G973))</f>
        <v/>
      </c>
      <c r="AL973" t="str">
        <f>IF('TMP Paste'!$F973="","",IF('TMP Paste'!$M973="",$AL972,'TMP Paste'!$M973))</f>
        <v/>
      </c>
      <c r="AM973" t="str">
        <f>IF('TMP Paste'!$F973="","",IF('TMP Paste'!$N973="",$AM972,'TMP Paste'!$N973))</f>
        <v/>
      </c>
      <c r="AN973" t="str">
        <f>IF('TMP Paste'!$F973="","",IF('TMP Paste'!$O973="",$AN972,'TMP Paste'!$O973))</f>
        <v/>
      </c>
      <c r="AO973" t="str">
        <f>IF('TMP Paste'!$F973="","",IF('TMP Paste'!$P973="",$AO972,'TMP Paste'!$P973))</f>
        <v/>
      </c>
      <c r="AP973" t="str">
        <f t="shared" si="95"/>
        <v/>
      </c>
      <c r="AQ973" t="str">
        <f>IF($AS973="","",TRIM(IF(COUNTIFS(Calc!$B$2:$B$1601,ROW()-1,Calc!$C$2:$C$1601,"&lt;1")&gt;0,"Ada PO tanpa Koli - cek TMP. ","")&amp;IF(OR($AU973="",$AU973&lt;=0),"Volume kosong/0 - dimensi dikosongkan. ","")&amp;IF(AND($AU973&lt;&gt;"",$AU973&gt;=1000000),"Volume &gt;= 1.000.000 cm3 (di luar aturan) - dimensi dikosongkan. ","")&amp;IF(LEN($R973)&gt;500,"R &gt; 500 karakter.","")))</f>
        <v/>
      </c>
      <c r="AS973" t="str">
        <f>IFERROR(MATCH(ROW()-1,Calc!$J$2:$J$1601,0),"")</f>
        <v/>
      </c>
      <c r="AT973" t="str">
        <f>IFERROR(MATCH(ROW()-1,Calc!$K$2:$K$1601,0),"")</f>
        <v/>
      </c>
      <c r="AU973" t="str">
        <f>IF($AS973="","",IFERROR(INDEX('TMP Paste'!$D$2:$D$1601,$AS973)*1000000/$AB973,""))</f>
        <v/>
      </c>
    </row>
    <row r="974" spans="1:47">
      <c r="A974" t="str">
        <f>IF($AS974="","",INDEX('TMP Paste'!$B$2:$B$1601,$AS974))</f>
        <v/>
      </c>
      <c r="B974" t="str">
        <f>IF($AS974="","",Config!$B$14)</f>
        <v/>
      </c>
      <c r="C974" t="str">
        <f>IF($AS974="","",Config!$B$15)</f>
        <v/>
      </c>
      <c r="D974" t="str">
        <f>IF($AS974="","",INDEX('TMP Paste'!$B$2:$B$1601,$AS974))</f>
        <v/>
      </c>
      <c r="E974" t="str">
        <f>IF($AS974="","",Config!$B$27)</f>
        <v/>
      </c>
      <c r="F974" t="str">
        <f>IF($AS974="","",Config!$B$9)</f>
        <v/>
      </c>
      <c r="G974" t="str">
        <f>IF($AS974="","",Config!$B$10)</f>
        <v/>
      </c>
      <c r="H974" t="str">
        <f>IF($AS974="","",Config!$B$11)</f>
        <v/>
      </c>
      <c r="I974" t="str">
        <f>IF($AS974="","",Config!$B$16)</f>
        <v/>
      </c>
      <c r="J974" t="str">
        <f>IF($AS974="","",INDEX('TMP Paste'!$A$2:$A$1601,$AS974))</f>
        <v/>
      </c>
      <c r="K974" t="str">
        <f>IF($AS974="","",INDEX('TMP Paste'!$L$2:$L$1601,$AS974))</f>
        <v/>
      </c>
      <c r="L974" t="str">
        <f>IF($AS974="","",INDEX('TMP Paste'!$I$2:$I$1601,$AS974))</f>
        <v/>
      </c>
      <c r="M974" t="str">
        <f>IF($AS974="","",Config!$B$16)</f>
        <v/>
      </c>
      <c r="N974" t="str">
        <f t="shared" si="90"/>
        <v/>
      </c>
      <c r="O974" t="str">
        <f>IF($AS974="","",INDEX('TMP Paste'!$K$2:$K$1601,$AS974))</f>
        <v/>
      </c>
      <c r="P974" t="str">
        <f t="shared" si="91"/>
        <v/>
      </c>
      <c r="Q974" t="str">
        <f>IF($AS974="","",INDEX('TMP Paste'!$J$2:$J$1601,$AS974))</f>
        <v/>
      </c>
      <c r="R974" t="str">
        <f>IF($AS974="","",Config!$B$24)</f>
        <v/>
      </c>
      <c r="S974" t="str">
        <f ca="1">IF($AS974="","",TEXT(Config!$B$4,"yyyy-mm-dd"))</f>
        <v/>
      </c>
      <c r="T974" t="str">
        <f>IF($AS974="","",Config!$B$17)</f>
        <v/>
      </c>
      <c r="U974" t="str">
        <f>IF($AS974="","",Config!$B$18)</f>
        <v/>
      </c>
      <c r="V974" t="str">
        <f>IF($AS974="","",Config!$B$19)</f>
        <v/>
      </c>
      <c r="W974" t="str">
        <f>IF($AS974="","",INDEX('TMP Paste'!$C$2:$C$1601,$AS974))</f>
        <v/>
      </c>
      <c r="X974" t="str">
        <f>IF($AS974="","",Config!$B$29)</f>
        <v/>
      </c>
      <c r="Y974" t="str">
        <f>IF($AT974="","",INDEX(Calc!$I$2:$I$1601,$AT974)&amp;" - "&amp;INDEX(Calc!$D$2:$D$1601,$AT974)&amp;" koli")</f>
        <v/>
      </c>
      <c r="Z974" t="str">
        <f>IF($AS974="","",Config!$B$21)</f>
        <v/>
      </c>
      <c r="AA974" t="str">
        <f>IF($AS974="","",Config!$B$22)</f>
        <v/>
      </c>
      <c r="AB974" t="str">
        <f>IF($AT974="","",INDEX(Calc!$D$2:$D$1601,$AT974))</f>
        <v/>
      </c>
      <c r="AC974" t="str">
        <f>IF($AT974="","",INDEX(Calc!$G$2:$G$1601,$AT974))</f>
        <v/>
      </c>
      <c r="AD974" t="str">
        <f>IF($AS974="","",Config!$B$23)</f>
        <v/>
      </c>
      <c r="AE974" t="str">
        <f>IF($AS974="","",Config!$B$28)</f>
        <v/>
      </c>
      <c r="AF974" t="str">
        <f t="shared" si="92"/>
        <v/>
      </c>
      <c r="AG974" t="str">
        <f t="shared" si="93"/>
        <v/>
      </c>
      <c r="AH974" t="str">
        <f t="shared" si="94"/>
        <v/>
      </c>
      <c r="AI974" t="str">
        <f>IF($AG974="","",SUMIF($AG$2:$AG974,$AG974,$AH$2:$AH974))</f>
        <v/>
      </c>
      <c r="AJ974" t="str">
        <f>IF('TMP Paste'!$F974="","",IF('TMP Paste'!$B974="",$AJ973,'TMP Paste'!$B974))</f>
        <v/>
      </c>
      <c r="AK974" t="str">
        <f>IF('TMP Paste'!$F974="","",N('TMP Paste'!$G974))</f>
        <v/>
      </c>
      <c r="AL974" t="str">
        <f>IF('TMP Paste'!$F974="","",IF('TMP Paste'!$M974="",$AL973,'TMP Paste'!$M974))</f>
        <v/>
      </c>
      <c r="AM974" t="str">
        <f>IF('TMP Paste'!$F974="","",IF('TMP Paste'!$N974="",$AM973,'TMP Paste'!$N974))</f>
        <v/>
      </c>
      <c r="AN974" t="str">
        <f>IF('TMP Paste'!$F974="","",IF('TMP Paste'!$O974="",$AN973,'TMP Paste'!$O974))</f>
        <v/>
      </c>
      <c r="AO974" t="str">
        <f>IF('TMP Paste'!$F974="","",IF('TMP Paste'!$P974="",$AO973,'TMP Paste'!$P974))</f>
        <v/>
      </c>
      <c r="AP974" t="str">
        <f t="shared" si="95"/>
        <v/>
      </c>
      <c r="AQ974" t="str">
        <f>IF($AS974="","",TRIM(IF(COUNTIFS(Calc!$B$2:$B$1601,ROW()-1,Calc!$C$2:$C$1601,"&lt;1")&gt;0,"Ada PO tanpa Koli - cek TMP. ","")&amp;IF(OR($AU974="",$AU974&lt;=0),"Volume kosong/0 - dimensi dikosongkan. ","")&amp;IF(AND($AU974&lt;&gt;"",$AU974&gt;=1000000),"Volume &gt;= 1.000.000 cm3 (di luar aturan) - dimensi dikosongkan. ","")&amp;IF(LEN($R974)&gt;500,"R &gt; 500 karakter.","")))</f>
        <v/>
      </c>
      <c r="AS974" t="str">
        <f>IFERROR(MATCH(ROW()-1,Calc!$J$2:$J$1601,0),"")</f>
        <v/>
      </c>
      <c r="AT974" t="str">
        <f>IFERROR(MATCH(ROW()-1,Calc!$K$2:$K$1601,0),"")</f>
        <v/>
      </c>
      <c r="AU974" t="str">
        <f>IF($AS974="","",IFERROR(INDEX('TMP Paste'!$D$2:$D$1601,$AS974)*1000000/$AB974,""))</f>
        <v/>
      </c>
    </row>
    <row r="975" spans="1:47">
      <c r="A975" t="str">
        <f>IF($AS975="","",INDEX('TMP Paste'!$B$2:$B$1601,$AS975))</f>
        <v/>
      </c>
      <c r="B975" t="str">
        <f>IF($AS975="","",Config!$B$14)</f>
        <v/>
      </c>
      <c r="C975" t="str">
        <f>IF($AS975="","",Config!$B$15)</f>
        <v/>
      </c>
      <c r="D975" t="str">
        <f>IF($AS975="","",INDEX('TMP Paste'!$B$2:$B$1601,$AS975))</f>
        <v/>
      </c>
      <c r="E975" t="str">
        <f>IF($AS975="","",Config!$B$27)</f>
        <v/>
      </c>
      <c r="F975" t="str">
        <f>IF($AS975="","",Config!$B$9)</f>
        <v/>
      </c>
      <c r="G975" t="str">
        <f>IF($AS975="","",Config!$B$10)</f>
        <v/>
      </c>
      <c r="H975" t="str">
        <f>IF($AS975="","",Config!$B$11)</f>
        <v/>
      </c>
      <c r="I975" t="str">
        <f>IF($AS975="","",Config!$B$16)</f>
        <v/>
      </c>
      <c r="J975" t="str">
        <f>IF($AS975="","",INDEX('TMP Paste'!$A$2:$A$1601,$AS975))</f>
        <v/>
      </c>
      <c r="K975" t="str">
        <f>IF($AS975="","",INDEX('TMP Paste'!$L$2:$L$1601,$AS975))</f>
        <v/>
      </c>
      <c r="L975" t="str">
        <f>IF($AS975="","",INDEX('TMP Paste'!$I$2:$I$1601,$AS975))</f>
        <v/>
      </c>
      <c r="M975" t="str">
        <f>IF($AS975="","",Config!$B$16)</f>
        <v/>
      </c>
      <c r="N975" t="str">
        <f t="shared" si="90"/>
        <v/>
      </c>
      <c r="O975" t="str">
        <f>IF($AS975="","",INDEX('TMP Paste'!$K$2:$K$1601,$AS975))</f>
        <v/>
      </c>
      <c r="P975" t="str">
        <f t="shared" si="91"/>
        <v/>
      </c>
      <c r="Q975" t="str">
        <f>IF($AS975="","",INDEX('TMP Paste'!$J$2:$J$1601,$AS975))</f>
        <v/>
      </c>
      <c r="R975" t="str">
        <f>IF($AS975="","",Config!$B$24)</f>
        <v/>
      </c>
      <c r="S975" t="str">
        <f ca="1">IF($AS975="","",TEXT(Config!$B$4,"yyyy-mm-dd"))</f>
        <v/>
      </c>
      <c r="T975" t="str">
        <f>IF($AS975="","",Config!$B$17)</f>
        <v/>
      </c>
      <c r="U975" t="str">
        <f>IF($AS975="","",Config!$B$18)</f>
        <v/>
      </c>
      <c r="V975" t="str">
        <f>IF($AS975="","",Config!$B$19)</f>
        <v/>
      </c>
      <c r="W975" t="str">
        <f>IF($AS975="","",INDEX('TMP Paste'!$C$2:$C$1601,$AS975))</f>
        <v/>
      </c>
      <c r="X975" t="str">
        <f>IF($AS975="","",Config!$B$29)</f>
        <v/>
      </c>
      <c r="Y975" t="str">
        <f>IF($AT975="","",INDEX(Calc!$I$2:$I$1601,$AT975)&amp;" - "&amp;INDEX(Calc!$D$2:$D$1601,$AT975)&amp;" koli")</f>
        <v/>
      </c>
      <c r="Z975" t="str">
        <f>IF($AS975="","",Config!$B$21)</f>
        <v/>
      </c>
      <c r="AA975" t="str">
        <f>IF($AS975="","",Config!$B$22)</f>
        <v/>
      </c>
      <c r="AB975" t="str">
        <f>IF($AT975="","",INDEX(Calc!$D$2:$D$1601,$AT975))</f>
        <v/>
      </c>
      <c r="AC975" t="str">
        <f>IF($AT975="","",INDEX(Calc!$G$2:$G$1601,$AT975))</f>
        <v/>
      </c>
      <c r="AD975" t="str">
        <f>IF($AS975="","",Config!$B$23)</f>
        <v/>
      </c>
      <c r="AE975" t="str">
        <f>IF($AS975="","",Config!$B$28)</f>
        <v/>
      </c>
      <c r="AF975" t="str">
        <f t="shared" si="92"/>
        <v/>
      </c>
      <c r="AG975" t="str">
        <f t="shared" si="93"/>
        <v/>
      </c>
      <c r="AH975" t="str">
        <f t="shared" si="94"/>
        <v/>
      </c>
      <c r="AI975" t="str">
        <f>IF($AG975="","",SUMIF($AG$2:$AG975,$AG975,$AH$2:$AH975))</f>
        <v/>
      </c>
      <c r="AJ975" t="str">
        <f>IF('TMP Paste'!$F975="","",IF('TMP Paste'!$B975="",$AJ974,'TMP Paste'!$B975))</f>
        <v/>
      </c>
      <c r="AK975" t="str">
        <f>IF('TMP Paste'!$F975="","",N('TMP Paste'!$G975))</f>
        <v/>
      </c>
      <c r="AL975" t="str">
        <f>IF('TMP Paste'!$F975="","",IF('TMP Paste'!$M975="",$AL974,'TMP Paste'!$M975))</f>
        <v/>
      </c>
      <c r="AM975" t="str">
        <f>IF('TMP Paste'!$F975="","",IF('TMP Paste'!$N975="",$AM974,'TMP Paste'!$N975))</f>
        <v/>
      </c>
      <c r="AN975" t="str">
        <f>IF('TMP Paste'!$F975="","",IF('TMP Paste'!$O975="",$AN974,'TMP Paste'!$O975))</f>
        <v/>
      </c>
      <c r="AO975" t="str">
        <f>IF('TMP Paste'!$F975="","",IF('TMP Paste'!$P975="",$AO974,'TMP Paste'!$P975))</f>
        <v/>
      </c>
      <c r="AP975" t="str">
        <f t="shared" si="95"/>
        <v/>
      </c>
      <c r="AQ975" t="str">
        <f>IF($AS975="","",TRIM(IF(COUNTIFS(Calc!$B$2:$B$1601,ROW()-1,Calc!$C$2:$C$1601,"&lt;1")&gt;0,"Ada PO tanpa Koli - cek TMP. ","")&amp;IF(OR($AU975="",$AU975&lt;=0),"Volume kosong/0 - dimensi dikosongkan. ","")&amp;IF(AND($AU975&lt;&gt;"",$AU975&gt;=1000000),"Volume &gt;= 1.000.000 cm3 (di luar aturan) - dimensi dikosongkan. ","")&amp;IF(LEN($R975)&gt;500,"R &gt; 500 karakter.","")))</f>
        <v/>
      </c>
      <c r="AS975" t="str">
        <f>IFERROR(MATCH(ROW()-1,Calc!$J$2:$J$1601,0),"")</f>
        <v/>
      </c>
      <c r="AT975" t="str">
        <f>IFERROR(MATCH(ROW()-1,Calc!$K$2:$K$1601,0),"")</f>
        <v/>
      </c>
      <c r="AU975" t="str">
        <f>IF($AS975="","",IFERROR(INDEX('TMP Paste'!$D$2:$D$1601,$AS975)*1000000/$AB975,""))</f>
        <v/>
      </c>
    </row>
    <row r="976" spans="1:47">
      <c r="A976" t="str">
        <f>IF($AS976="","",INDEX('TMP Paste'!$B$2:$B$1601,$AS976))</f>
        <v/>
      </c>
      <c r="B976" t="str">
        <f>IF($AS976="","",Config!$B$14)</f>
        <v/>
      </c>
      <c r="C976" t="str">
        <f>IF($AS976="","",Config!$B$15)</f>
        <v/>
      </c>
      <c r="D976" t="str">
        <f>IF($AS976="","",INDEX('TMP Paste'!$B$2:$B$1601,$AS976))</f>
        <v/>
      </c>
      <c r="E976" t="str">
        <f>IF($AS976="","",Config!$B$27)</f>
        <v/>
      </c>
      <c r="F976" t="str">
        <f>IF($AS976="","",Config!$B$9)</f>
        <v/>
      </c>
      <c r="G976" t="str">
        <f>IF($AS976="","",Config!$B$10)</f>
        <v/>
      </c>
      <c r="H976" t="str">
        <f>IF($AS976="","",Config!$B$11)</f>
        <v/>
      </c>
      <c r="I976" t="str">
        <f>IF($AS976="","",Config!$B$16)</f>
        <v/>
      </c>
      <c r="J976" t="str">
        <f>IF($AS976="","",INDEX('TMP Paste'!$A$2:$A$1601,$AS976))</f>
        <v/>
      </c>
      <c r="K976" t="str">
        <f>IF($AS976="","",INDEX('TMP Paste'!$L$2:$L$1601,$AS976))</f>
        <v/>
      </c>
      <c r="L976" t="str">
        <f>IF($AS976="","",INDEX('TMP Paste'!$I$2:$I$1601,$AS976))</f>
        <v/>
      </c>
      <c r="M976" t="str">
        <f>IF($AS976="","",Config!$B$16)</f>
        <v/>
      </c>
      <c r="N976" t="str">
        <f t="shared" si="90"/>
        <v/>
      </c>
      <c r="O976" t="str">
        <f>IF($AS976="","",INDEX('TMP Paste'!$K$2:$K$1601,$AS976))</f>
        <v/>
      </c>
      <c r="P976" t="str">
        <f t="shared" si="91"/>
        <v/>
      </c>
      <c r="Q976" t="str">
        <f>IF($AS976="","",INDEX('TMP Paste'!$J$2:$J$1601,$AS976))</f>
        <v/>
      </c>
      <c r="R976" t="str">
        <f>IF($AS976="","",Config!$B$24)</f>
        <v/>
      </c>
      <c r="S976" t="str">
        <f ca="1">IF($AS976="","",TEXT(Config!$B$4,"yyyy-mm-dd"))</f>
        <v/>
      </c>
      <c r="T976" t="str">
        <f>IF($AS976="","",Config!$B$17)</f>
        <v/>
      </c>
      <c r="U976" t="str">
        <f>IF($AS976="","",Config!$B$18)</f>
        <v/>
      </c>
      <c r="V976" t="str">
        <f>IF($AS976="","",Config!$B$19)</f>
        <v/>
      </c>
      <c r="W976" t="str">
        <f>IF($AS976="","",INDEX('TMP Paste'!$C$2:$C$1601,$AS976))</f>
        <v/>
      </c>
      <c r="X976" t="str">
        <f>IF($AS976="","",Config!$B$29)</f>
        <v/>
      </c>
      <c r="Y976" t="str">
        <f>IF($AT976="","",INDEX(Calc!$I$2:$I$1601,$AT976)&amp;" - "&amp;INDEX(Calc!$D$2:$D$1601,$AT976)&amp;" koli")</f>
        <v/>
      </c>
      <c r="Z976" t="str">
        <f>IF($AS976="","",Config!$B$21)</f>
        <v/>
      </c>
      <c r="AA976" t="str">
        <f>IF($AS976="","",Config!$B$22)</f>
        <v/>
      </c>
      <c r="AB976" t="str">
        <f>IF($AT976="","",INDEX(Calc!$D$2:$D$1601,$AT976))</f>
        <v/>
      </c>
      <c r="AC976" t="str">
        <f>IF($AT976="","",INDEX(Calc!$G$2:$G$1601,$AT976))</f>
        <v/>
      </c>
      <c r="AD976" t="str">
        <f>IF($AS976="","",Config!$B$23)</f>
        <v/>
      </c>
      <c r="AE976" t="str">
        <f>IF($AS976="","",Config!$B$28)</f>
        <v/>
      </c>
      <c r="AF976" t="str">
        <f t="shared" si="92"/>
        <v/>
      </c>
      <c r="AG976" t="str">
        <f t="shared" si="93"/>
        <v/>
      </c>
      <c r="AH976" t="str">
        <f t="shared" si="94"/>
        <v/>
      </c>
      <c r="AI976" t="str">
        <f>IF($AG976="","",SUMIF($AG$2:$AG976,$AG976,$AH$2:$AH976))</f>
        <v/>
      </c>
      <c r="AJ976" t="str">
        <f>IF('TMP Paste'!$F976="","",IF('TMP Paste'!$B976="",$AJ975,'TMP Paste'!$B976))</f>
        <v/>
      </c>
      <c r="AK976" t="str">
        <f>IF('TMP Paste'!$F976="","",N('TMP Paste'!$G976))</f>
        <v/>
      </c>
      <c r="AL976" t="str">
        <f>IF('TMP Paste'!$F976="","",IF('TMP Paste'!$M976="",$AL975,'TMP Paste'!$M976))</f>
        <v/>
      </c>
      <c r="AM976" t="str">
        <f>IF('TMP Paste'!$F976="","",IF('TMP Paste'!$N976="",$AM975,'TMP Paste'!$N976))</f>
        <v/>
      </c>
      <c r="AN976" t="str">
        <f>IF('TMP Paste'!$F976="","",IF('TMP Paste'!$O976="",$AN975,'TMP Paste'!$O976))</f>
        <v/>
      </c>
      <c r="AO976" t="str">
        <f>IF('TMP Paste'!$F976="","",IF('TMP Paste'!$P976="",$AO975,'TMP Paste'!$P976))</f>
        <v/>
      </c>
      <c r="AP976" t="str">
        <f t="shared" si="95"/>
        <v/>
      </c>
      <c r="AQ976" t="str">
        <f>IF($AS976="","",TRIM(IF(COUNTIFS(Calc!$B$2:$B$1601,ROW()-1,Calc!$C$2:$C$1601,"&lt;1")&gt;0,"Ada PO tanpa Koli - cek TMP. ","")&amp;IF(OR($AU976="",$AU976&lt;=0),"Volume kosong/0 - dimensi dikosongkan. ","")&amp;IF(AND($AU976&lt;&gt;"",$AU976&gt;=1000000),"Volume &gt;= 1.000.000 cm3 (di luar aturan) - dimensi dikosongkan. ","")&amp;IF(LEN($R976)&gt;500,"R &gt; 500 karakter.","")))</f>
        <v/>
      </c>
      <c r="AS976" t="str">
        <f>IFERROR(MATCH(ROW()-1,Calc!$J$2:$J$1601,0),"")</f>
        <v/>
      </c>
      <c r="AT976" t="str">
        <f>IFERROR(MATCH(ROW()-1,Calc!$K$2:$K$1601,0),"")</f>
        <v/>
      </c>
      <c r="AU976" t="str">
        <f>IF($AS976="","",IFERROR(INDEX('TMP Paste'!$D$2:$D$1601,$AS976)*1000000/$AB976,""))</f>
        <v/>
      </c>
    </row>
    <row r="977" spans="1:47">
      <c r="A977" t="str">
        <f>IF($AS977="","",INDEX('TMP Paste'!$B$2:$B$1601,$AS977))</f>
        <v/>
      </c>
      <c r="B977" t="str">
        <f>IF($AS977="","",Config!$B$14)</f>
        <v/>
      </c>
      <c r="C977" t="str">
        <f>IF($AS977="","",Config!$B$15)</f>
        <v/>
      </c>
      <c r="D977" t="str">
        <f>IF($AS977="","",INDEX('TMP Paste'!$B$2:$B$1601,$AS977))</f>
        <v/>
      </c>
      <c r="E977" t="str">
        <f>IF($AS977="","",Config!$B$27)</f>
        <v/>
      </c>
      <c r="F977" t="str">
        <f>IF($AS977="","",Config!$B$9)</f>
        <v/>
      </c>
      <c r="G977" t="str">
        <f>IF($AS977="","",Config!$B$10)</f>
        <v/>
      </c>
      <c r="H977" t="str">
        <f>IF($AS977="","",Config!$B$11)</f>
        <v/>
      </c>
      <c r="I977" t="str">
        <f>IF($AS977="","",Config!$B$16)</f>
        <v/>
      </c>
      <c r="J977" t="str">
        <f>IF($AS977="","",INDEX('TMP Paste'!$A$2:$A$1601,$AS977))</f>
        <v/>
      </c>
      <c r="K977" t="str">
        <f>IF($AS977="","",INDEX('TMP Paste'!$L$2:$L$1601,$AS977))</f>
        <v/>
      </c>
      <c r="L977" t="str">
        <f>IF($AS977="","",INDEX('TMP Paste'!$I$2:$I$1601,$AS977))</f>
        <v/>
      </c>
      <c r="M977" t="str">
        <f>IF($AS977="","",Config!$B$16)</f>
        <v/>
      </c>
      <c r="N977" t="str">
        <f t="shared" si="90"/>
        <v/>
      </c>
      <c r="O977" t="str">
        <f>IF($AS977="","",INDEX('TMP Paste'!$K$2:$K$1601,$AS977))</f>
        <v/>
      </c>
      <c r="P977" t="str">
        <f t="shared" si="91"/>
        <v/>
      </c>
      <c r="Q977" t="str">
        <f>IF($AS977="","",INDEX('TMP Paste'!$J$2:$J$1601,$AS977))</f>
        <v/>
      </c>
      <c r="R977" t="str">
        <f>IF($AS977="","",Config!$B$24)</f>
        <v/>
      </c>
      <c r="S977" t="str">
        <f ca="1">IF($AS977="","",TEXT(Config!$B$4,"yyyy-mm-dd"))</f>
        <v/>
      </c>
      <c r="T977" t="str">
        <f>IF($AS977="","",Config!$B$17)</f>
        <v/>
      </c>
      <c r="U977" t="str">
        <f>IF($AS977="","",Config!$B$18)</f>
        <v/>
      </c>
      <c r="V977" t="str">
        <f>IF($AS977="","",Config!$B$19)</f>
        <v/>
      </c>
      <c r="W977" t="str">
        <f>IF($AS977="","",INDEX('TMP Paste'!$C$2:$C$1601,$AS977))</f>
        <v/>
      </c>
      <c r="X977" t="str">
        <f>IF($AS977="","",Config!$B$29)</f>
        <v/>
      </c>
      <c r="Y977" t="str">
        <f>IF($AT977="","",INDEX(Calc!$I$2:$I$1601,$AT977)&amp;" - "&amp;INDEX(Calc!$D$2:$D$1601,$AT977)&amp;" koli")</f>
        <v/>
      </c>
      <c r="Z977" t="str">
        <f>IF($AS977="","",Config!$B$21)</f>
        <v/>
      </c>
      <c r="AA977" t="str">
        <f>IF($AS977="","",Config!$B$22)</f>
        <v/>
      </c>
      <c r="AB977" t="str">
        <f>IF($AT977="","",INDEX(Calc!$D$2:$D$1601,$AT977))</f>
        <v/>
      </c>
      <c r="AC977" t="str">
        <f>IF($AT977="","",INDEX(Calc!$G$2:$G$1601,$AT977))</f>
        <v/>
      </c>
      <c r="AD977" t="str">
        <f>IF($AS977="","",Config!$B$23)</f>
        <v/>
      </c>
      <c r="AE977" t="str">
        <f>IF($AS977="","",Config!$B$28)</f>
        <v/>
      </c>
      <c r="AF977" t="str">
        <f t="shared" si="92"/>
        <v/>
      </c>
      <c r="AG977" t="str">
        <f t="shared" si="93"/>
        <v/>
      </c>
      <c r="AH977" t="str">
        <f t="shared" si="94"/>
        <v/>
      </c>
      <c r="AI977" t="str">
        <f>IF($AG977="","",SUMIF($AG$2:$AG977,$AG977,$AH$2:$AH977))</f>
        <v/>
      </c>
      <c r="AJ977" t="str">
        <f>IF('TMP Paste'!$F977="","",IF('TMP Paste'!$B977="",$AJ976,'TMP Paste'!$B977))</f>
        <v/>
      </c>
      <c r="AK977" t="str">
        <f>IF('TMP Paste'!$F977="","",N('TMP Paste'!$G977))</f>
        <v/>
      </c>
      <c r="AL977" t="str">
        <f>IF('TMP Paste'!$F977="","",IF('TMP Paste'!$M977="",$AL976,'TMP Paste'!$M977))</f>
        <v/>
      </c>
      <c r="AM977" t="str">
        <f>IF('TMP Paste'!$F977="","",IF('TMP Paste'!$N977="",$AM976,'TMP Paste'!$N977))</f>
        <v/>
      </c>
      <c r="AN977" t="str">
        <f>IF('TMP Paste'!$F977="","",IF('TMP Paste'!$O977="",$AN976,'TMP Paste'!$O977))</f>
        <v/>
      </c>
      <c r="AO977" t="str">
        <f>IF('TMP Paste'!$F977="","",IF('TMP Paste'!$P977="",$AO976,'TMP Paste'!$P977))</f>
        <v/>
      </c>
      <c r="AP977" t="str">
        <f t="shared" si="95"/>
        <v/>
      </c>
      <c r="AQ977" t="str">
        <f>IF($AS977="","",TRIM(IF(COUNTIFS(Calc!$B$2:$B$1601,ROW()-1,Calc!$C$2:$C$1601,"&lt;1")&gt;0,"Ada PO tanpa Koli - cek TMP. ","")&amp;IF(OR($AU977="",$AU977&lt;=0),"Volume kosong/0 - dimensi dikosongkan. ","")&amp;IF(AND($AU977&lt;&gt;"",$AU977&gt;=1000000),"Volume &gt;= 1.000.000 cm3 (di luar aturan) - dimensi dikosongkan. ","")&amp;IF(LEN($R977)&gt;500,"R &gt; 500 karakter.","")))</f>
        <v/>
      </c>
      <c r="AS977" t="str">
        <f>IFERROR(MATCH(ROW()-1,Calc!$J$2:$J$1601,0),"")</f>
        <v/>
      </c>
      <c r="AT977" t="str">
        <f>IFERROR(MATCH(ROW()-1,Calc!$K$2:$K$1601,0),"")</f>
        <v/>
      </c>
      <c r="AU977" t="str">
        <f>IF($AS977="","",IFERROR(INDEX('TMP Paste'!$D$2:$D$1601,$AS977)*1000000/$AB977,""))</f>
        <v/>
      </c>
    </row>
    <row r="978" spans="1:47">
      <c r="A978" t="str">
        <f>IF($AS978="","",INDEX('TMP Paste'!$B$2:$B$1601,$AS978))</f>
        <v/>
      </c>
      <c r="B978" t="str">
        <f>IF($AS978="","",Config!$B$14)</f>
        <v/>
      </c>
      <c r="C978" t="str">
        <f>IF($AS978="","",Config!$B$15)</f>
        <v/>
      </c>
      <c r="D978" t="str">
        <f>IF($AS978="","",INDEX('TMP Paste'!$B$2:$B$1601,$AS978))</f>
        <v/>
      </c>
      <c r="E978" t="str">
        <f>IF($AS978="","",Config!$B$27)</f>
        <v/>
      </c>
      <c r="F978" t="str">
        <f>IF($AS978="","",Config!$B$9)</f>
        <v/>
      </c>
      <c r="G978" t="str">
        <f>IF($AS978="","",Config!$B$10)</f>
        <v/>
      </c>
      <c r="H978" t="str">
        <f>IF($AS978="","",Config!$B$11)</f>
        <v/>
      </c>
      <c r="I978" t="str">
        <f>IF($AS978="","",Config!$B$16)</f>
        <v/>
      </c>
      <c r="J978" t="str">
        <f>IF($AS978="","",INDEX('TMP Paste'!$A$2:$A$1601,$AS978))</f>
        <v/>
      </c>
      <c r="K978" t="str">
        <f>IF($AS978="","",INDEX('TMP Paste'!$L$2:$L$1601,$AS978))</f>
        <v/>
      </c>
      <c r="L978" t="str">
        <f>IF($AS978="","",INDEX('TMP Paste'!$I$2:$I$1601,$AS978))</f>
        <v/>
      </c>
      <c r="M978" t="str">
        <f>IF($AS978="","",Config!$B$16)</f>
        <v/>
      </c>
      <c r="N978" t="str">
        <f t="shared" si="90"/>
        <v/>
      </c>
      <c r="O978" t="str">
        <f>IF($AS978="","",INDEX('TMP Paste'!$K$2:$K$1601,$AS978))</f>
        <v/>
      </c>
      <c r="P978" t="str">
        <f t="shared" si="91"/>
        <v/>
      </c>
      <c r="Q978" t="str">
        <f>IF($AS978="","",INDEX('TMP Paste'!$J$2:$J$1601,$AS978))</f>
        <v/>
      </c>
      <c r="R978" t="str">
        <f>IF($AS978="","",Config!$B$24)</f>
        <v/>
      </c>
      <c r="S978" t="str">
        <f ca="1">IF($AS978="","",TEXT(Config!$B$4,"yyyy-mm-dd"))</f>
        <v/>
      </c>
      <c r="T978" t="str">
        <f>IF($AS978="","",Config!$B$17)</f>
        <v/>
      </c>
      <c r="U978" t="str">
        <f>IF($AS978="","",Config!$B$18)</f>
        <v/>
      </c>
      <c r="V978" t="str">
        <f>IF($AS978="","",Config!$B$19)</f>
        <v/>
      </c>
      <c r="W978" t="str">
        <f>IF($AS978="","",INDEX('TMP Paste'!$C$2:$C$1601,$AS978))</f>
        <v/>
      </c>
      <c r="X978" t="str">
        <f>IF($AS978="","",Config!$B$29)</f>
        <v/>
      </c>
      <c r="Y978" t="str">
        <f>IF($AT978="","",INDEX(Calc!$I$2:$I$1601,$AT978)&amp;" - "&amp;INDEX(Calc!$D$2:$D$1601,$AT978)&amp;" koli")</f>
        <v/>
      </c>
      <c r="Z978" t="str">
        <f>IF($AS978="","",Config!$B$21)</f>
        <v/>
      </c>
      <c r="AA978" t="str">
        <f>IF($AS978="","",Config!$B$22)</f>
        <v/>
      </c>
      <c r="AB978" t="str">
        <f>IF($AT978="","",INDEX(Calc!$D$2:$D$1601,$AT978))</f>
        <v/>
      </c>
      <c r="AC978" t="str">
        <f>IF($AT978="","",INDEX(Calc!$G$2:$G$1601,$AT978))</f>
        <v/>
      </c>
      <c r="AD978" t="str">
        <f>IF($AS978="","",Config!$B$23)</f>
        <v/>
      </c>
      <c r="AE978" t="str">
        <f>IF($AS978="","",Config!$B$28)</f>
        <v/>
      </c>
      <c r="AF978" t="str">
        <f t="shared" si="92"/>
        <v/>
      </c>
      <c r="AG978" t="str">
        <f t="shared" si="93"/>
        <v/>
      </c>
      <c r="AH978" t="str">
        <f t="shared" si="94"/>
        <v/>
      </c>
      <c r="AI978" t="str">
        <f>IF($AG978="","",SUMIF($AG$2:$AG978,$AG978,$AH$2:$AH978))</f>
        <v/>
      </c>
      <c r="AJ978" t="str">
        <f>IF('TMP Paste'!$F978="","",IF('TMP Paste'!$B978="",$AJ977,'TMP Paste'!$B978))</f>
        <v/>
      </c>
      <c r="AK978" t="str">
        <f>IF('TMP Paste'!$F978="","",N('TMP Paste'!$G978))</f>
        <v/>
      </c>
      <c r="AL978" t="str">
        <f>IF('TMP Paste'!$F978="","",IF('TMP Paste'!$M978="",$AL977,'TMP Paste'!$M978))</f>
        <v/>
      </c>
      <c r="AM978" t="str">
        <f>IF('TMP Paste'!$F978="","",IF('TMP Paste'!$N978="",$AM977,'TMP Paste'!$N978))</f>
        <v/>
      </c>
      <c r="AN978" t="str">
        <f>IF('TMP Paste'!$F978="","",IF('TMP Paste'!$O978="",$AN977,'TMP Paste'!$O978))</f>
        <v/>
      </c>
      <c r="AO978" t="str">
        <f>IF('TMP Paste'!$F978="","",IF('TMP Paste'!$P978="",$AO977,'TMP Paste'!$P978))</f>
        <v/>
      </c>
      <c r="AP978" t="str">
        <f t="shared" si="95"/>
        <v/>
      </c>
      <c r="AQ978" t="str">
        <f>IF($AS978="","",TRIM(IF(COUNTIFS(Calc!$B$2:$B$1601,ROW()-1,Calc!$C$2:$C$1601,"&lt;1")&gt;0,"Ada PO tanpa Koli - cek TMP. ","")&amp;IF(OR($AU978="",$AU978&lt;=0),"Volume kosong/0 - dimensi dikosongkan. ","")&amp;IF(AND($AU978&lt;&gt;"",$AU978&gt;=1000000),"Volume &gt;= 1.000.000 cm3 (di luar aturan) - dimensi dikosongkan. ","")&amp;IF(LEN($R978)&gt;500,"R &gt; 500 karakter.","")))</f>
        <v/>
      </c>
      <c r="AS978" t="str">
        <f>IFERROR(MATCH(ROW()-1,Calc!$J$2:$J$1601,0),"")</f>
        <v/>
      </c>
      <c r="AT978" t="str">
        <f>IFERROR(MATCH(ROW()-1,Calc!$K$2:$K$1601,0),"")</f>
        <v/>
      </c>
      <c r="AU978" t="str">
        <f>IF($AS978="","",IFERROR(INDEX('TMP Paste'!$D$2:$D$1601,$AS978)*1000000/$AB978,""))</f>
        <v/>
      </c>
    </row>
    <row r="979" spans="1:47">
      <c r="A979" t="str">
        <f>IF($AS979="","",INDEX('TMP Paste'!$B$2:$B$1601,$AS979))</f>
        <v/>
      </c>
      <c r="B979" t="str">
        <f>IF($AS979="","",Config!$B$14)</f>
        <v/>
      </c>
      <c r="C979" t="str">
        <f>IF($AS979="","",Config!$B$15)</f>
        <v/>
      </c>
      <c r="D979" t="str">
        <f>IF($AS979="","",INDEX('TMP Paste'!$B$2:$B$1601,$AS979))</f>
        <v/>
      </c>
      <c r="E979" t="str">
        <f>IF($AS979="","",Config!$B$27)</f>
        <v/>
      </c>
      <c r="F979" t="str">
        <f>IF($AS979="","",Config!$B$9)</f>
        <v/>
      </c>
      <c r="G979" t="str">
        <f>IF($AS979="","",Config!$B$10)</f>
        <v/>
      </c>
      <c r="H979" t="str">
        <f>IF($AS979="","",Config!$B$11)</f>
        <v/>
      </c>
      <c r="I979" t="str">
        <f>IF($AS979="","",Config!$B$16)</f>
        <v/>
      </c>
      <c r="J979" t="str">
        <f>IF($AS979="","",INDEX('TMP Paste'!$A$2:$A$1601,$AS979))</f>
        <v/>
      </c>
      <c r="K979" t="str">
        <f>IF($AS979="","",INDEX('TMP Paste'!$L$2:$L$1601,$AS979))</f>
        <v/>
      </c>
      <c r="L979" t="str">
        <f>IF($AS979="","",INDEX('TMP Paste'!$I$2:$I$1601,$AS979))</f>
        <v/>
      </c>
      <c r="M979" t="str">
        <f>IF($AS979="","",Config!$B$16)</f>
        <v/>
      </c>
      <c r="N979" t="str">
        <f t="shared" si="90"/>
        <v/>
      </c>
      <c r="O979" t="str">
        <f>IF($AS979="","",INDEX('TMP Paste'!$K$2:$K$1601,$AS979))</f>
        <v/>
      </c>
      <c r="P979" t="str">
        <f t="shared" si="91"/>
        <v/>
      </c>
      <c r="Q979" t="str">
        <f>IF($AS979="","",INDEX('TMP Paste'!$J$2:$J$1601,$AS979))</f>
        <v/>
      </c>
      <c r="R979" t="str">
        <f>IF($AS979="","",Config!$B$24)</f>
        <v/>
      </c>
      <c r="S979" t="str">
        <f ca="1">IF($AS979="","",TEXT(Config!$B$4,"yyyy-mm-dd"))</f>
        <v/>
      </c>
      <c r="T979" t="str">
        <f>IF($AS979="","",Config!$B$17)</f>
        <v/>
      </c>
      <c r="U979" t="str">
        <f>IF($AS979="","",Config!$B$18)</f>
        <v/>
      </c>
      <c r="V979" t="str">
        <f>IF($AS979="","",Config!$B$19)</f>
        <v/>
      </c>
      <c r="W979" t="str">
        <f>IF($AS979="","",INDEX('TMP Paste'!$C$2:$C$1601,$AS979))</f>
        <v/>
      </c>
      <c r="X979" t="str">
        <f>IF($AS979="","",Config!$B$29)</f>
        <v/>
      </c>
      <c r="Y979" t="str">
        <f>IF($AT979="","",INDEX(Calc!$I$2:$I$1601,$AT979)&amp;" - "&amp;INDEX(Calc!$D$2:$D$1601,$AT979)&amp;" koli")</f>
        <v/>
      </c>
      <c r="Z979" t="str">
        <f>IF($AS979="","",Config!$B$21)</f>
        <v/>
      </c>
      <c r="AA979" t="str">
        <f>IF($AS979="","",Config!$B$22)</f>
        <v/>
      </c>
      <c r="AB979" t="str">
        <f>IF($AT979="","",INDEX(Calc!$D$2:$D$1601,$AT979))</f>
        <v/>
      </c>
      <c r="AC979" t="str">
        <f>IF($AT979="","",INDEX(Calc!$G$2:$G$1601,$AT979))</f>
        <v/>
      </c>
      <c r="AD979" t="str">
        <f>IF($AS979="","",Config!$B$23)</f>
        <v/>
      </c>
      <c r="AE979" t="str">
        <f>IF($AS979="","",Config!$B$28)</f>
        <v/>
      </c>
      <c r="AF979" t="str">
        <f t="shared" si="92"/>
        <v/>
      </c>
      <c r="AG979" t="str">
        <f t="shared" si="93"/>
        <v/>
      </c>
      <c r="AH979" t="str">
        <f t="shared" si="94"/>
        <v/>
      </c>
      <c r="AI979" t="str">
        <f>IF($AG979="","",SUMIF($AG$2:$AG979,$AG979,$AH$2:$AH979))</f>
        <v/>
      </c>
      <c r="AJ979" t="str">
        <f>IF('TMP Paste'!$F979="","",IF('TMP Paste'!$B979="",$AJ978,'TMP Paste'!$B979))</f>
        <v/>
      </c>
      <c r="AK979" t="str">
        <f>IF('TMP Paste'!$F979="","",N('TMP Paste'!$G979))</f>
        <v/>
      </c>
      <c r="AL979" t="str">
        <f>IF('TMP Paste'!$F979="","",IF('TMP Paste'!$M979="",$AL978,'TMP Paste'!$M979))</f>
        <v/>
      </c>
      <c r="AM979" t="str">
        <f>IF('TMP Paste'!$F979="","",IF('TMP Paste'!$N979="",$AM978,'TMP Paste'!$N979))</f>
        <v/>
      </c>
      <c r="AN979" t="str">
        <f>IF('TMP Paste'!$F979="","",IF('TMP Paste'!$O979="",$AN978,'TMP Paste'!$O979))</f>
        <v/>
      </c>
      <c r="AO979" t="str">
        <f>IF('TMP Paste'!$F979="","",IF('TMP Paste'!$P979="",$AO978,'TMP Paste'!$P979))</f>
        <v/>
      </c>
      <c r="AP979" t="str">
        <f t="shared" si="95"/>
        <v/>
      </c>
      <c r="AQ979" t="str">
        <f>IF($AS979="","",TRIM(IF(COUNTIFS(Calc!$B$2:$B$1601,ROW()-1,Calc!$C$2:$C$1601,"&lt;1")&gt;0,"Ada PO tanpa Koli - cek TMP. ","")&amp;IF(OR($AU979="",$AU979&lt;=0),"Volume kosong/0 - dimensi dikosongkan. ","")&amp;IF(AND($AU979&lt;&gt;"",$AU979&gt;=1000000),"Volume &gt;= 1.000.000 cm3 (di luar aturan) - dimensi dikosongkan. ","")&amp;IF(LEN($R979)&gt;500,"R &gt; 500 karakter.","")))</f>
        <v/>
      </c>
      <c r="AS979" t="str">
        <f>IFERROR(MATCH(ROW()-1,Calc!$J$2:$J$1601,0),"")</f>
        <v/>
      </c>
      <c r="AT979" t="str">
        <f>IFERROR(MATCH(ROW()-1,Calc!$K$2:$K$1601,0),"")</f>
        <v/>
      </c>
      <c r="AU979" t="str">
        <f>IF($AS979="","",IFERROR(INDEX('TMP Paste'!$D$2:$D$1601,$AS979)*1000000/$AB979,""))</f>
        <v/>
      </c>
    </row>
    <row r="980" spans="1:47">
      <c r="A980" t="str">
        <f>IF($AS980="","",INDEX('TMP Paste'!$B$2:$B$1601,$AS980))</f>
        <v/>
      </c>
      <c r="B980" t="str">
        <f>IF($AS980="","",Config!$B$14)</f>
        <v/>
      </c>
      <c r="C980" t="str">
        <f>IF($AS980="","",Config!$B$15)</f>
        <v/>
      </c>
      <c r="D980" t="str">
        <f>IF($AS980="","",INDEX('TMP Paste'!$B$2:$B$1601,$AS980))</f>
        <v/>
      </c>
      <c r="E980" t="str">
        <f>IF($AS980="","",Config!$B$27)</f>
        <v/>
      </c>
      <c r="F980" t="str">
        <f>IF($AS980="","",Config!$B$9)</f>
        <v/>
      </c>
      <c r="G980" t="str">
        <f>IF($AS980="","",Config!$B$10)</f>
        <v/>
      </c>
      <c r="H980" t="str">
        <f>IF($AS980="","",Config!$B$11)</f>
        <v/>
      </c>
      <c r="I980" t="str">
        <f>IF($AS980="","",Config!$B$16)</f>
        <v/>
      </c>
      <c r="J980" t="str">
        <f>IF($AS980="","",INDEX('TMP Paste'!$A$2:$A$1601,$AS980))</f>
        <v/>
      </c>
      <c r="K980" t="str">
        <f>IF($AS980="","",INDEX('TMP Paste'!$L$2:$L$1601,$AS980))</f>
        <v/>
      </c>
      <c r="L980" t="str">
        <f>IF($AS980="","",INDEX('TMP Paste'!$I$2:$I$1601,$AS980))</f>
        <v/>
      </c>
      <c r="M980" t="str">
        <f>IF($AS980="","",Config!$B$16)</f>
        <v/>
      </c>
      <c r="N980" t="str">
        <f t="shared" si="90"/>
        <v/>
      </c>
      <c r="O980" t="str">
        <f>IF($AS980="","",INDEX('TMP Paste'!$K$2:$K$1601,$AS980))</f>
        <v/>
      </c>
      <c r="P980" t="str">
        <f t="shared" si="91"/>
        <v/>
      </c>
      <c r="Q980" t="str">
        <f>IF($AS980="","",INDEX('TMP Paste'!$J$2:$J$1601,$AS980))</f>
        <v/>
      </c>
      <c r="R980" t="str">
        <f>IF($AS980="","",Config!$B$24)</f>
        <v/>
      </c>
      <c r="S980" t="str">
        <f ca="1">IF($AS980="","",TEXT(Config!$B$4,"yyyy-mm-dd"))</f>
        <v/>
      </c>
      <c r="T980" t="str">
        <f>IF($AS980="","",Config!$B$17)</f>
        <v/>
      </c>
      <c r="U980" t="str">
        <f>IF($AS980="","",Config!$B$18)</f>
        <v/>
      </c>
      <c r="V980" t="str">
        <f>IF($AS980="","",Config!$B$19)</f>
        <v/>
      </c>
      <c r="W980" t="str">
        <f>IF($AS980="","",INDEX('TMP Paste'!$C$2:$C$1601,$AS980))</f>
        <v/>
      </c>
      <c r="X980" t="str">
        <f>IF($AS980="","",Config!$B$29)</f>
        <v/>
      </c>
      <c r="Y980" t="str">
        <f>IF($AT980="","",INDEX(Calc!$I$2:$I$1601,$AT980)&amp;" - "&amp;INDEX(Calc!$D$2:$D$1601,$AT980)&amp;" koli")</f>
        <v/>
      </c>
      <c r="Z980" t="str">
        <f>IF($AS980="","",Config!$B$21)</f>
        <v/>
      </c>
      <c r="AA980" t="str">
        <f>IF($AS980="","",Config!$B$22)</f>
        <v/>
      </c>
      <c r="AB980" t="str">
        <f>IF($AT980="","",INDEX(Calc!$D$2:$D$1601,$AT980))</f>
        <v/>
      </c>
      <c r="AC980" t="str">
        <f>IF($AT980="","",INDEX(Calc!$G$2:$G$1601,$AT980))</f>
        <v/>
      </c>
      <c r="AD980" t="str">
        <f>IF($AS980="","",Config!$B$23)</f>
        <v/>
      </c>
      <c r="AE980" t="str">
        <f>IF($AS980="","",Config!$B$28)</f>
        <v/>
      </c>
      <c r="AF980" t="str">
        <f t="shared" si="92"/>
        <v/>
      </c>
      <c r="AG980" t="str">
        <f t="shared" si="93"/>
        <v/>
      </c>
      <c r="AH980" t="str">
        <f t="shared" si="94"/>
        <v/>
      </c>
      <c r="AI980" t="str">
        <f>IF($AG980="","",SUMIF($AG$2:$AG980,$AG980,$AH$2:$AH980))</f>
        <v/>
      </c>
      <c r="AJ980" t="str">
        <f>IF('TMP Paste'!$F980="","",IF('TMP Paste'!$B980="",$AJ979,'TMP Paste'!$B980))</f>
        <v/>
      </c>
      <c r="AK980" t="str">
        <f>IF('TMP Paste'!$F980="","",N('TMP Paste'!$G980))</f>
        <v/>
      </c>
      <c r="AL980" t="str">
        <f>IF('TMP Paste'!$F980="","",IF('TMP Paste'!$M980="",$AL979,'TMP Paste'!$M980))</f>
        <v/>
      </c>
      <c r="AM980" t="str">
        <f>IF('TMP Paste'!$F980="","",IF('TMP Paste'!$N980="",$AM979,'TMP Paste'!$N980))</f>
        <v/>
      </c>
      <c r="AN980" t="str">
        <f>IF('TMP Paste'!$F980="","",IF('TMP Paste'!$O980="",$AN979,'TMP Paste'!$O980))</f>
        <v/>
      </c>
      <c r="AO980" t="str">
        <f>IF('TMP Paste'!$F980="","",IF('TMP Paste'!$P980="",$AO979,'TMP Paste'!$P980))</f>
        <v/>
      </c>
      <c r="AP980" t="str">
        <f t="shared" si="95"/>
        <v/>
      </c>
      <c r="AQ980" t="str">
        <f>IF($AS980="","",TRIM(IF(COUNTIFS(Calc!$B$2:$B$1601,ROW()-1,Calc!$C$2:$C$1601,"&lt;1")&gt;0,"Ada PO tanpa Koli - cek TMP. ","")&amp;IF(OR($AU980="",$AU980&lt;=0),"Volume kosong/0 - dimensi dikosongkan. ","")&amp;IF(AND($AU980&lt;&gt;"",$AU980&gt;=1000000),"Volume &gt;= 1.000.000 cm3 (di luar aturan) - dimensi dikosongkan. ","")&amp;IF(LEN($R980)&gt;500,"R &gt; 500 karakter.","")))</f>
        <v/>
      </c>
      <c r="AS980" t="str">
        <f>IFERROR(MATCH(ROW()-1,Calc!$J$2:$J$1601,0),"")</f>
        <v/>
      </c>
      <c r="AT980" t="str">
        <f>IFERROR(MATCH(ROW()-1,Calc!$K$2:$K$1601,0),"")</f>
        <v/>
      </c>
      <c r="AU980" t="str">
        <f>IF($AS980="","",IFERROR(INDEX('TMP Paste'!$D$2:$D$1601,$AS980)*1000000/$AB980,""))</f>
        <v/>
      </c>
    </row>
    <row r="981" spans="1:47">
      <c r="A981" t="str">
        <f>IF($AS981="","",INDEX('TMP Paste'!$B$2:$B$1601,$AS981))</f>
        <v/>
      </c>
      <c r="B981" t="str">
        <f>IF($AS981="","",Config!$B$14)</f>
        <v/>
      </c>
      <c r="C981" t="str">
        <f>IF($AS981="","",Config!$B$15)</f>
        <v/>
      </c>
      <c r="D981" t="str">
        <f>IF($AS981="","",INDEX('TMP Paste'!$B$2:$B$1601,$AS981))</f>
        <v/>
      </c>
      <c r="E981" t="str">
        <f>IF($AS981="","",Config!$B$27)</f>
        <v/>
      </c>
      <c r="F981" t="str">
        <f>IF($AS981="","",Config!$B$9)</f>
        <v/>
      </c>
      <c r="G981" t="str">
        <f>IF($AS981="","",Config!$B$10)</f>
        <v/>
      </c>
      <c r="H981" t="str">
        <f>IF($AS981="","",Config!$B$11)</f>
        <v/>
      </c>
      <c r="I981" t="str">
        <f>IF($AS981="","",Config!$B$16)</f>
        <v/>
      </c>
      <c r="J981" t="str">
        <f>IF($AS981="","",INDEX('TMP Paste'!$A$2:$A$1601,$AS981))</f>
        <v/>
      </c>
      <c r="K981" t="str">
        <f>IF($AS981="","",INDEX('TMP Paste'!$L$2:$L$1601,$AS981))</f>
        <v/>
      </c>
      <c r="L981" t="str">
        <f>IF($AS981="","",INDEX('TMP Paste'!$I$2:$I$1601,$AS981))</f>
        <v/>
      </c>
      <c r="M981" t="str">
        <f>IF($AS981="","",Config!$B$16)</f>
        <v/>
      </c>
      <c r="N981" t="str">
        <f t="shared" si="90"/>
        <v/>
      </c>
      <c r="O981" t="str">
        <f>IF($AS981="","",INDEX('TMP Paste'!$K$2:$K$1601,$AS981))</f>
        <v/>
      </c>
      <c r="P981" t="str">
        <f t="shared" si="91"/>
        <v/>
      </c>
      <c r="Q981" t="str">
        <f>IF($AS981="","",INDEX('TMP Paste'!$J$2:$J$1601,$AS981))</f>
        <v/>
      </c>
      <c r="R981" t="str">
        <f>IF($AS981="","",Config!$B$24)</f>
        <v/>
      </c>
      <c r="S981" t="str">
        <f ca="1">IF($AS981="","",TEXT(Config!$B$4,"yyyy-mm-dd"))</f>
        <v/>
      </c>
      <c r="T981" t="str">
        <f>IF($AS981="","",Config!$B$17)</f>
        <v/>
      </c>
      <c r="U981" t="str">
        <f>IF($AS981="","",Config!$B$18)</f>
        <v/>
      </c>
      <c r="V981" t="str">
        <f>IF($AS981="","",Config!$B$19)</f>
        <v/>
      </c>
      <c r="W981" t="str">
        <f>IF($AS981="","",INDEX('TMP Paste'!$C$2:$C$1601,$AS981))</f>
        <v/>
      </c>
      <c r="X981" t="str">
        <f>IF($AS981="","",Config!$B$29)</f>
        <v/>
      </c>
      <c r="Y981" t="str">
        <f>IF($AT981="","",INDEX(Calc!$I$2:$I$1601,$AT981)&amp;" - "&amp;INDEX(Calc!$D$2:$D$1601,$AT981)&amp;" koli")</f>
        <v/>
      </c>
      <c r="Z981" t="str">
        <f>IF($AS981="","",Config!$B$21)</f>
        <v/>
      </c>
      <c r="AA981" t="str">
        <f>IF($AS981="","",Config!$B$22)</f>
        <v/>
      </c>
      <c r="AB981" t="str">
        <f>IF($AT981="","",INDEX(Calc!$D$2:$D$1601,$AT981))</f>
        <v/>
      </c>
      <c r="AC981" t="str">
        <f>IF($AT981="","",INDEX(Calc!$G$2:$G$1601,$AT981))</f>
        <v/>
      </c>
      <c r="AD981" t="str">
        <f>IF($AS981="","",Config!$B$23)</f>
        <v/>
      </c>
      <c r="AE981" t="str">
        <f>IF($AS981="","",Config!$B$28)</f>
        <v/>
      </c>
      <c r="AF981" t="str">
        <f t="shared" si="92"/>
        <v/>
      </c>
      <c r="AG981" t="str">
        <f t="shared" si="93"/>
        <v/>
      </c>
      <c r="AH981" t="str">
        <f t="shared" si="94"/>
        <v/>
      </c>
      <c r="AI981" t="str">
        <f>IF($AG981="","",SUMIF($AG$2:$AG981,$AG981,$AH$2:$AH981))</f>
        <v/>
      </c>
      <c r="AJ981" t="str">
        <f>IF('TMP Paste'!$F981="","",IF('TMP Paste'!$B981="",$AJ980,'TMP Paste'!$B981))</f>
        <v/>
      </c>
      <c r="AK981" t="str">
        <f>IF('TMP Paste'!$F981="","",N('TMP Paste'!$G981))</f>
        <v/>
      </c>
      <c r="AL981" t="str">
        <f>IF('TMP Paste'!$F981="","",IF('TMP Paste'!$M981="",$AL980,'TMP Paste'!$M981))</f>
        <v/>
      </c>
      <c r="AM981" t="str">
        <f>IF('TMP Paste'!$F981="","",IF('TMP Paste'!$N981="",$AM980,'TMP Paste'!$N981))</f>
        <v/>
      </c>
      <c r="AN981" t="str">
        <f>IF('TMP Paste'!$F981="","",IF('TMP Paste'!$O981="",$AN980,'TMP Paste'!$O981))</f>
        <v/>
      </c>
      <c r="AO981" t="str">
        <f>IF('TMP Paste'!$F981="","",IF('TMP Paste'!$P981="",$AO980,'TMP Paste'!$P981))</f>
        <v/>
      </c>
      <c r="AP981" t="str">
        <f t="shared" si="95"/>
        <v/>
      </c>
      <c r="AQ981" t="str">
        <f>IF($AS981="","",TRIM(IF(COUNTIFS(Calc!$B$2:$B$1601,ROW()-1,Calc!$C$2:$C$1601,"&lt;1")&gt;0,"Ada PO tanpa Koli - cek TMP. ","")&amp;IF(OR($AU981="",$AU981&lt;=0),"Volume kosong/0 - dimensi dikosongkan. ","")&amp;IF(AND($AU981&lt;&gt;"",$AU981&gt;=1000000),"Volume &gt;= 1.000.000 cm3 (di luar aturan) - dimensi dikosongkan. ","")&amp;IF(LEN($R981)&gt;500,"R &gt; 500 karakter.","")))</f>
        <v/>
      </c>
      <c r="AS981" t="str">
        <f>IFERROR(MATCH(ROW()-1,Calc!$J$2:$J$1601,0),"")</f>
        <v/>
      </c>
      <c r="AT981" t="str">
        <f>IFERROR(MATCH(ROW()-1,Calc!$K$2:$K$1601,0),"")</f>
        <v/>
      </c>
      <c r="AU981" t="str">
        <f>IF($AS981="","",IFERROR(INDEX('TMP Paste'!$D$2:$D$1601,$AS981)*1000000/$AB981,""))</f>
        <v/>
      </c>
    </row>
    <row r="982" spans="1:47">
      <c r="A982" t="str">
        <f>IF($AS982="","",INDEX('TMP Paste'!$B$2:$B$1601,$AS982))</f>
        <v/>
      </c>
      <c r="B982" t="str">
        <f>IF($AS982="","",Config!$B$14)</f>
        <v/>
      </c>
      <c r="C982" t="str">
        <f>IF($AS982="","",Config!$B$15)</f>
        <v/>
      </c>
      <c r="D982" t="str">
        <f>IF($AS982="","",INDEX('TMP Paste'!$B$2:$B$1601,$AS982))</f>
        <v/>
      </c>
      <c r="E982" t="str">
        <f>IF($AS982="","",Config!$B$27)</f>
        <v/>
      </c>
      <c r="F982" t="str">
        <f>IF($AS982="","",Config!$B$9)</f>
        <v/>
      </c>
      <c r="G982" t="str">
        <f>IF($AS982="","",Config!$B$10)</f>
        <v/>
      </c>
      <c r="H982" t="str">
        <f>IF($AS982="","",Config!$B$11)</f>
        <v/>
      </c>
      <c r="I982" t="str">
        <f>IF($AS982="","",Config!$B$16)</f>
        <v/>
      </c>
      <c r="J982" t="str">
        <f>IF($AS982="","",INDEX('TMP Paste'!$A$2:$A$1601,$AS982))</f>
        <v/>
      </c>
      <c r="K982" t="str">
        <f>IF($AS982="","",INDEX('TMP Paste'!$L$2:$L$1601,$AS982))</f>
        <v/>
      </c>
      <c r="L982" t="str">
        <f>IF($AS982="","",INDEX('TMP Paste'!$I$2:$I$1601,$AS982))</f>
        <v/>
      </c>
      <c r="M982" t="str">
        <f>IF($AS982="","",Config!$B$16)</f>
        <v/>
      </c>
      <c r="N982" t="str">
        <f t="shared" si="90"/>
        <v/>
      </c>
      <c r="O982" t="str">
        <f>IF($AS982="","",INDEX('TMP Paste'!$K$2:$K$1601,$AS982))</f>
        <v/>
      </c>
      <c r="P982" t="str">
        <f t="shared" si="91"/>
        <v/>
      </c>
      <c r="Q982" t="str">
        <f>IF($AS982="","",INDEX('TMP Paste'!$J$2:$J$1601,$AS982))</f>
        <v/>
      </c>
      <c r="R982" t="str">
        <f>IF($AS982="","",Config!$B$24)</f>
        <v/>
      </c>
      <c r="S982" t="str">
        <f ca="1">IF($AS982="","",TEXT(Config!$B$4,"yyyy-mm-dd"))</f>
        <v/>
      </c>
      <c r="T982" t="str">
        <f>IF($AS982="","",Config!$B$17)</f>
        <v/>
      </c>
      <c r="U982" t="str">
        <f>IF($AS982="","",Config!$B$18)</f>
        <v/>
      </c>
      <c r="V982" t="str">
        <f>IF($AS982="","",Config!$B$19)</f>
        <v/>
      </c>
      <c r="W982" t="str">
        <f>IF($AS982="","",INDEX('TMP Paste'!$C$2:$C$1601,$AS982))</f>
        <v/>
      </c>
      <c r="X982" t="str">
        <f>IF($AS982="","",Config!$B$29)</f>
        <v/>
      </c>
      <c r="Y982" t="str">
        <f>IF($AT982="","",INDEX(Calc!$I$2:$I$1601,$AT982)&amp;" - "&amp;INDEX(Calc!$D$2:$D$1601,$AT982)&amp;" koli")</f>
        <v/>
      </c>
      <c r="Z982" t="str">
        <f>IF($AS982="","",Config!$B$21)</f>
        <v/>
      </c>
      <c r="AA982" t="str">
        <f>IF($AS982="","",Config!$B$22)</f>
        <v/>
      </c>
      <c r="AB982" t="str">
        <f>IF($AT982="","",INDEX(Calc!$D$2:$D$1601,$AT982))</f>
        <v/>
      </c>
      <c r="AC982" t="str">
        <f>IF($AT982="","",INDEX(Calc!$G$2:$G$1601,$AT982))</f>
        <v/>
      </c>
      <c r="AD982" t="str">
        <f>IF($AS982="","",Config!$B$23)</f>
        <v/>
      </c>
      <c r="AE982" t="str">
        <f>IF($AS982="","",Config!$B$28)</f>
        <v/>
      </c>
      <c r="AF982" t="str">
        <f t="shared" si="92"/>
        <v/>
      </c>
      <c r="AG982" t="str">
        <f t="shared" si="93"/>
        <v/>
      </c>
      <c r="AH982" t="str">
        <f t="shared" si="94"/>
        <v/>
      </c>
      <c r="AI982" t="str">
        <f>IF($AG982="","",SUMIF($AG$2:$AG982,$AG982,$AH$2:$AH982))</f>
        <v/>
      </c>
      <c r="AJ982" t="str">
        <f>IF('TMP Paste'!$F982="","",IF('TMP Paste'!$B982="",$AJ981,'TMP Paste'!$B982))</f>
        <v/>
      </c>
      <c r="AK982" t="str">
        <f>IF('TMP Paste'!$F982="","",N('TMP Paste'!$G982))</f>
        <v/>
      </c>
      <c r="AL982" t="str">
        <f>IF('TMP Paste'!$F982="","",IF('TMP Paste'!$M982="",$AL981,'TMP Paste'!$M982))</f>
        <v/>
      </c>
      <c r="AM982" t="str">
        <f>IF('TMP Paste'!$F982="","",IF('TMP Paste'!$N982="",$AM981,'TMP Paste'!$N982))</f>
        <v/>
      </c>
      <c r="AN982" t="str">
        <f>IF('TMP Paste'!$F982="","",IF('TMP Paste'!$O982="",$AN981,'TMP Paste'!$O982))</f>
        <v/>
      </c>
      <c r="AO982" t="str">
        <f>IF('TMP Paste'!$F982="","",IF('TMP Paste'!$P982="",$AO981,'TMP Paste'!$P982))</f>
        <v/>
      </c>
      <c r="AP982" t="str">
        <f t="shared" si="95"/>
        <v/>
      </c>
      <c r="AQ982" t="str">
        <f>IF($AS982="","",TRIM(IF(COUNTIFS(Calc!$B$2:$B$1601,ROW()-1,Calc!$C$2:$C$1601,"&lt;1")&gt;0,"Ada PO tanpa Koli - cek TMP. ","")&amp;IF(OR($AU982="",$AU982&lt;=0),"Volume kosong/0 - dimensi dikosongkan. ","")&amp;IF(AND($AU982&lt;&gt;"",$AU982&gt;=1000000),"Volume &gt;= 1.000.000 cm3 (di luar aturan) - dimensi dikosongkan. ","")&amp;IF(LEN($R982)&gt;500,"R &gt; 500 karakter.","")))</f>
        <v/>
      </c>
      <c r="AS982" t="str">
        <f>IFERROR(MATCH(ROW()-1,Calc!$J$2:$J$1601,0),"")</f>
        <v/>
      </c>
      <c r="AT982" t="str">
        <f>IFERROR(MATCH(ROW()-1,Calc!$K$2:$K$1601,0),"")</f>
        <v/>
      </c>
      <c r="AU982" t="str">
        <f>IF($AS982="","",IFERROR(INDEX('TMP Paste'!$D$2:$D$1601,$AS982)*1000000/$AB982,""))</f>
        <v/>
      </c>
    </row>
    <row r="983" spans="1:47">
      <c r="A983" t="str">
        <f>IF($AS983="","",INDEX('TMP Paste'!$B$2:$B$1601,$AS983))</f>
        <v/>
      </c>
      <c r="B983" t="str">
        <f>IF($AS983="","",Config!$B$14)</f>
        <v/>
      </c>
      <c r="C983" t="str">
        <f>IF($AS983="","",Config!$B$15)</f>
        <v/>
      </c>
      <c r="D983" t="str">
        <f>IF($AS983="","",INDEX('TMP Paste'!$B$2:$B$1601,$AS983))</f>
        <v/>
      </c>
      <c r="E983" t="str">
        <f>IF($AS983="","",Config!$B$27)</f>
        <v/>
      </c>
      <c r="F983" t="str">
        <f>IF($AS983="","",Config!$B$9)</f>
        <v/>
      </c>
      <c r="G983" t="str">
        <f>IF($AS983="","",Config!$B$10)</f>
        <v/>
      </c>
      <c r="H983" t="str">
        <f>IF($AS983="","",Config!$B$11)</f>
        <v/>
      </c>
      <c r="I983" t="str">
        <f>IF($AS983="","",Config!$B$16)</f>
        <v/>
      </c>
      <c r="J983" t="str">
        <f>IF($AS983="","",INDEX('TMP Paste'!$A$2:$A$1601,$AS983))</f>
        <v/>
      </c>
      <c r="K983" t="str">
        <f>IF($AS983="","",INDEX('TMP Paste'!$L$2:$L$1601,$AS983))</f>
        <v/>
      </c>
      <c r="L983" t="str">
        <f>IF($AS983="","",INDEX('TMP Paste'!$I$2:$I$1601,$AS983))</f>
        <v/>
      </c>
      <c r="M983" t="str">
        <f>IF($AS983="","",Config!$B$16)</f>
        <v/>
      </c>
      <c r="N983" t="str">
        <f t="shared" si="90"/>
        <v/>
      </c>
      <c r="O983" t="str">
        <f>IF($AS983="","",INDEX('TMP Paste'!$K$2:$K$1601,$AS983))</f>
        <v/>
      </c>
      <c r="P983" t="str">
        <f t="shared" si="91"/>
        <v/>
      </c>
      <c r="Q983" t="str">
        <f>IF($AS983="","",INDEX('TMP Paste'!$J$2:$J$1601,$AS983))</f>
        <v/>
      </c>
      <c r="R983" t="str">
        <f>IF($AS983="","",Config!$B$24)</f>
        <v/>
      </c>
      <c r="S983" t="str">
        <f ca="1">IF($AS983="","",TEXT(Config!$B$4,"yyyy-mm-dd"))</f>
        <v/>
      </c>
      <c r="T983" t="str">
        <f>IF($AS983="","",Config!$B$17)</f>
        <v/>
      </c>
      <c r="U983" t="str">
        <f>IF($AS983="","",Config!$B$18)</f>
        <v/>
      </c>
      <c r="V983" t="str">
        <f>IF($AS983="","",Config!$B$19)</f>
        <v/>
      </c>
      <c r="W983" t="str">
        <f>IF($AS983="","",INDEX('TMP Paste'!$C$2:$C$1601,$AS983))</f>
        <v/>
      </c>
      <c r="X983" t="str">
        <f>IF($AS983="","",Config!$B$29)</f>
        <v/>
      </c>
      <c r="Y983" t="str">
        <f>IF($AT983="","",INDEX(Calc!$I$2:$I$1601,$AT983)&amp;" - "&amp;INDEX(Calc!$D$2:$D$1601,$AT983)&amp;" koli")</f>
        <v/>
      </c>
      <c r="Z983" t="str">
        <f>IF($AS983="","",Config!$B$21)</f>
        <v/>
      </c>
      <c r="AA983" t="str">
        <f>IF($AS983="","",Config!$B$22)</f>
        <v/>
      </c>
      <c r="AB983" t="str">
        <f>IF($AT983="","",INDEX(Calc!$D$2:$D$1601,$AT983))</f>
        <v/>
      </c>
      <c r="AC983" t="str">
        <f>IF($AT983="","",INDEX(Calc!$G$2:$G$1601,$AT983))</f>
        <v/>
      </c>
      <c r="AD983" t="str">
        <f>IF($AS983="","",Config!$B$23)</f>
        <v/>
      </c>
      <c r="AE983" t="str">
        <f>IF($AS983="","",Config!$B$28)</f>
        <v/>
      </c>
      <c r="AF983" t="str">
        <f t="shared" si="92"/>
        <v/>
      </c>
      <c r="AG983" t="str">
        <f t="shared" si="93"/>
        <v/>
      </c>
      <c r="AH983" t="str">
        <f t="shared" si="94"/>
        <v/>
      </c>
      <c r="AI983" t="str">
        <f>IF($AG983="","",SUMIF($AG$2:$AG983,$AG983,$AH$2:$AH983))</f>
        <v/>
      </c>
      <c r="AJ983" t="str">
        <f>IF('TMP Paste'!$F983="","",IF('TMP Paste'!$B983="",$AJ982,'TMP Paste'!$B983))</f>
        <v/>
      </c>
      <c r="AK983" t="str">
        <f>IF('TMP Paste'!$F983="","",N('TMP Paste'!$G983))</f>
        <v/>
      </c>
      <c r="AL983" t="str">
        <f>IF('TMP Paste'!$F983="","",IF('TMP Paste'!$M983="",$AL982,'TMP Paste'!$M983))</f>
        <v/>
      </c>
      <c r="AM983" t="str">
        <f>IF('TMP Paste'!$F983="","",IF('TMP Paste'!$N983="",$AM982,'TMP Paste'!$N983))</f>
        <v/>
      </c>
      <c r="AN983" t="str">
        <f>IF('TMP Paste'!$F983="","",IF('TMP Paste'!$O983="",$AN982,'TMP Paste'!$O983))</f>
        <v/>
      </c>
      <c r="AO983" t="str">
        <f>IF('TMP Paste'!$F983="","",IF('TMP Paste'!$P983="",$AO982,'TMP Paste'!$P983))</f>
        <v/>
      </c>
      <c r="AP983" t="str">
        <f t="shared" si="95"/>
        <v/>
      </c>
      <c r="AQ983" t="str">
        <f>IF($AS983="","",TRIM(IF(COUNTIFS(Calc!$B$2:$B$1601,ROW()-1,Calc!$C$2:$C$1601,"&lt;1")&gt;0,"Ada PO tanpa Koli - cek TMP. ","")&amp;IF(OR($AU983="",$AU983&lt;=0),"Volume kosong/0 - dimensi dikosongkan. ","")&amp;IF(AND($AU983&lt;&gt;"",$AU983&gt;=1000000),"Volume &gt;= 1.000.000 cm3 (di luar aturan) - dimensi dikosongkan. ","")&amp;IF(LEN($R983)&gt;500,"R &gt; 500 karakter.","")))</f>
        <v/>
      </c>
      <c r="AS983" t="str">
        <f>IFERROR(MATCH(ROW()-1,Calc!$J$2:$J$1601,0),"")</f>
        <v/>
      </c>
      <c r="AT983" t="str">
        <f>IFERROR(MATCH(ROW()-1,Calc!$K$2:$K$1601,0),"")</f>
        <v/>
      </c>
      <c r="AU983" t="str">
        <f>IF($AS983="","",IFERROR(INDEX('TMP Paste'!$D$2:$D$1601,$AS983)*1000000/$AB983,""))</f>
        <v/>
      </c>
    </row>
    <row r="984" spans="1:47">
      <c r="A984" t="str">
        <f>IF($AS984="","",INDEX('TMP Paste'!$B$2:$B$1601,$AS984))</f>
        <v/>
      </c>
      <c r="B984" t="str">
        <f>IF($AS984="","",Config!$B$14)</f>
        <v/>
      </c>
      <c r="C984" t="str">
        <f>IF($AS984="","",Config!$B$15)</f>
        <v/>
      </c>
      <c r="D984" t="str">
        <f>IF($AS984="","",INDEX('TMP Paste'!$B$2:$B$1601,$AS984))</f>
        <v/>
      </c>
      <c r="E984" t="str">
        <f>IF($AS984="","",Config!$B$27)</f>
        <v/>
      </c>
      <c r="F984" t="str">
        <f>IF($AS984="","",Config!$B$9)</f>
        <v/>
      </c>
      <c r="G984" t="str">
        <f>IF($AS984="","",Config!$B$10)</f>
        <v/>
      </c>
      <c r="H984" t="str">
        <f>IF($AS984="","",Config!$B$11)</f>
        <v/>
      </c>
      <c r="I984" t="str">
        <f>IF($AS984="","",Config!$B$16)</f>
        <v/>
      </c>
      <c r="J984" t="str">
        <f>IF($AS984="","",INDEX('TMP Paste'!$A$2:$A$1601,$AS984))</f>
        <v/>
      </c>
      <c r="K984" t="str">
        <f>IF($AS984="","",INDEX('TMP Paste'!$L$2:$L$1601,$AS984))</f>
        <v/>
      </c>
      <c r="L984" t="str">
        <f>IF($AS984="","",INDEX('TMP Paste'!$I$2:$I$1601,$AS984))</f>
        <v/>
      </c>
      <c r="M984" t="str">
        <f>IF($AS984="","",Config!$B$16)</f>
        <v/>
      </c>
      <c r="N984" t="str">
        <f t="shared" si="90"/>
        <v/>
      </c>
      <c r="O984" t="str">
        <f>IF($AS984="","",INDEX('TMP Paste'!$K$2:$K$1601,$AS984))</f>
        <v/>
      </c>
      <c r="P984" t="str">
        <f t="shared" si="91"/>
        <v/>
      </c>
      <c r="Q984" t="str">
        <f>IF($AS984="","",INDEX('TMP Paste'!$J$2:$J$1601,$AS984))</f>
        <v/>
      </c>
      <c r="R984" t="str">
        <f>IF($AS984="","",Config!$B$24)</f>
        <v/>
      </c>
      <c r="S984" t="str">
        <f ca="1">IF($AS984="","",TEXT(Config!$B$4,"yyyy-mm-dd"))</f>
        <v/>
      </c>
      <c r="T984" t="str">
        <f>IF($AS984="","",Config!$B$17)</f>
        <v/>
      </c>
      <c r="U984" t="str">
        <f>IF($AS984="","",Config!$B$18)</f>
        <v/>
      </c>
      <c r="V984" t="str">
        <f>IF($AS984="","",Config!$B$19)</f>
        <v/>
      </c>
      <c r="W984" t="str">
        <f>IF($AS984="","",INDEX('TMP Paste'!$C$2:$C$1601,$AS984))</f>
        <v/>
      </c>
      <c r="X984" t="str">
        <f>IF($AS984="","",Config!$B$29)</f>
        <v/>
      </c>
      <c r="Y984" t="str">
        <f>IF($AT984="","",INDEX(Calc!$I$2:$I$1601,$AT984)&amp;" - "&amp;INDEX(Calc!$D$2:$D$1601,$AT984)&amp;" koli")</f>
        <v/>
      </c>
      <c r="Z984" t="str">
        <f>IF($AS984="","",Config!$B$21)</f>
        <v/>
      </c>
      <c r="AA984" t="str">
        <f>IF($AS984="","",Config!$B$22)</f>
        <v/>
      </c>
      <c r="AB984" t="str">
        <f>IF($AT984="","",INDEX(Calc!$D$2:$D$1601,$AT984))</f>
        <v/>
      </c>
      <c r="AC984" t="str">
        <f>IF($AT984="","",INDEX(Calc!$G$2:$G$1601,$AT984))</f>
        <v/>
      </c>
      <c r="AD984" t="str">
        <f>IF($AS984="","",Config!$B$23)</f>
        <v/>
      </c>
      <c r="AE984" t="str">
        <f>IF($AS984="","",Config!$B$28)</f>
        <v/>
      </c>
      <c r="AF984" t="str">
        <f t="shared" si="92"/>
        <v/>
      </c>
      <c r="AG984" t="str">
        <f t="shared" si="93"/>
        <v/>
      </c>
      <c r="AH984" t="str">
        <f t="shared" si="94"/>
        <v/>
      </c>
      <c r="AI984" t="str">
        <f>IF($AG984="","",SUMIF($AG$2:$AG984,$AG984,$AH$2:$AH984))</f>
        <v/>
      </c>
      <c r="AJ984" t="str">
        <f>IF('TMP Paste'!$F984="","",IF('TMP Paste'!$B984="",$AJ983,'TMP Paste'!$B984))</f>
        <v/>
      </c>
      <c r="AK984" t="str">
        <f>IF('TMP Paste'!$F984="","",N('TMP Paste'!$G984))</f>
        <v/>
      </c>
      <c r="AL984" t="str">
        <f>IF('TMP Paste'!$F984="","",IF('TMP Paste'!$M984="",$AL983,'TMP Paste'!$M984))</f>
        <v/>
      </c>
      <c r="AM984" t="str">
        <f>IF('TMP Paste'!$F984="","",IF('TMP Paste'!$N984="",$AM983,'TMP Paste'!$N984))</f>
        <v/>
      </c>
      <c r="AN984" t="str">
        <f>IF('TMP Paste'!$F984="","",IF('TMP Paste'!$O984="",$AN983,'TMP Paste'!$O984))</f>
        <v/>
      </c>
      <c r="AO984" t="str">
        <f>IF('TMP Paste'!$F984="","",IF('TMP Paste'!$P984="",$AO983,'TMP Paste'!$P984))</f>
        <v/>
      </c>
      <c r="AP984" t="str">
        <f t="shared" si="95"/>
        <v/>
      </c>
      <c r="AQ984" t="str">
        <f>IF($AS984="","",TRIM(IF(COUNTIFS(Calc!$B$2:$B$1601,ROW()-1,Calc!$C$2:$C$1601,"&lt;1")&gt;0,"Ada PO tanpa Koli - cek TMP. ","")&amp;IF(OR($AU984="",$AU984&lt;=0),"Volume kosong/0 - dimensi dikosongkan. ","")&amp;IF(AND($AU984&lt;&gt;"",$AU984&gt;=1000000),"Volume &gt;= 1.000.000 cm3 (di luar aturan) - dimensi dikosongkan. ","")&amp;IF(LEN($R984)&gt;500,"R &gt; 500 karakter.","")))</f>
        <v/>
      </c>
      <c r="AS984" t="str">
        <f>IFERROR(MATCH(ROW()-1,Calc!$J$2:$J$1601,0),"")</f>
        <v/>
      </c>
      <c r="AT984" t="str">
        <f>IFERROR(MATCH(ROW()-1,Calc!$K$2:$K$1601,0),"")</f>
        <v/>
      </c>
      <c r="AU984" t="str">
        <f>IF($AS984="","",IFERROR(INDEX('TMP Paste'!$D$2:$D$1601,$AS984)*1000000/$AB984,""))</f>
        <v/>
      </c>
    </row>
    <row r="985" spans="1:47">
      <c r="A985" t="str">
        <f>IF($AS985="","",INDEX('TMP Paste'!$B$2:$B$1601,$AS985))</f>
        <v/>
      </c>
      <c r="B985" t="str">
        <f>IF($AS985="","",Config!$B$14)</f>
        <v/>
      </c>
      <c r="C985" t="str">
        <f>IF($AS985="","",Config!$B$15)</f>
        <v/>
      </c>
      <c r="D985" t="str">
        <f>IF($AS985="","",INDEX('TMP Paste'!$B$2:$B$1601,$AS985))</f>
        <v/>
      </c>
      <c r="E985" t="str">
        <f>IF($AS985="","",Config!$B$27)</f>
        <v/>
      </c>
      <c r="F985" t="str">
        <f>IF($AS985="","",Config!$B$9)</f>
        <v/>
      </c>
      <c r="G985" t="str">
        <f>IF($AS985="","",Config!$B$10)</f>
        <v/>
      </c>
      <c r="H985" t="str">
        <f>IF($AS985="","",Config!$B$11)</f>
        <v/>
      </c>
      <c r="I985" t="str">
        <f>IF($AS985="","",Config!$B$16)</f>
        <v/>
      </c>
      <c r="J985" t="str">
        <f>IF($AS985="","",INDEX('TMP Paste'!$A$2:$A$1601,$AS985))</f>
        <v/>
      </c>
      <c r="K985" t="str">
        <f>IF($AS985="","",INDEX('TMP Paste'!$L$2:$L$1601,$AS985))</f>
        <v/>
      </c>
      <c r="L985" t="str">
        <f>IF($AS985="","",INDEX('TMP Paste'!$I$2:$I$1601,$AS985))</f>
        <v/>
      </c>
      <c r="M985" t="str">
        <f>IF($AS985="","",Config!$B$16)</f>
        <v/>
      </c>
      <c r="N985" t="str">
        <f t="shared" si="90"/>
        <v/>
      </c>
      <c r="O985" t="str">
        <f>IF($AS985="","",INDEX('TMP Paste'!$K$2:$K$1601,$AS985))</f>
        <v/>
      </c>
      <c r="P985" t="str">
        <f t="shared" si="91"/>
        <v/>
      </c>
      <c r="Q985" t="str">
        <f>IF($AS985="","",INDEX('TMP Paste'!$J$2:$J$1601,$AS985))</f>
        <v/>
      </c>
      <c r="R985" t="str">
        <f>IF($AS985="","",Config!$B$24)</f>
        <v/>
      </c>
      <c r="S985" t="str">
        <f ca="1">IF($AS985="","",TEXT(Config!$B$4,"yyyy-mm-dd"))</f>
        <v/>
      </c>
      <c r="T985" t="str">
        <f>IF($AS985="","",Config!$B$17)</f>
        <v/>
      </c>
      <c r="U985" t="str">
        <f>IF($AS985="","",Config!$B$18)</f>
        <v/>
      </c>
      <c r="V985" t="str">
        <f>IF($AS985="","",Config!$B$19)</f>
        <v/>
      </c>
      <c r="W985" t="str">
        <f>IF($AS985="","",INDEX('TMP Paste'!$C$2:$C$1601,$AS985))</f>
        <v/>
      </c>
      <c r="X985" t="str">
        <f>IF($AS985="","",Config!$B$29)</f>
        <v/>
      </c>
      <c r="Y985" t="str">
        <f>IF($AT985="","",INDEX(Calc!$I$2:$I$1601,$AT985)&amp;" - "&amp;INDEX(Calc!$D$2:$D$1601,$AT985)&amp;" koli")</f>
        <v/>
      </c>
      <c r="Z985" t="str">
        <f>IF($AS985="","",Config!$B$21)</f>
        <v/>
      </c>
      <c r="AA985" t="str">
        <f>IF($AS985="","",Config!$B$22)</f>
        <v/>
      </c>
      <c r="AB985" t="str">
        <f>IF($AT985="","",INDEX(Calc!$D$2:$D$1601,$AT985))</f>
        <v/>
      </c>
      <c r="AC985" t="str">
        <f>IF($AT985="","",INDEX(Calc!$G$2:$G$1601,$AT985))</f>
        <v/>
      </c>
      <c r="AD985" t="str">
        <f>IF($AS985="","",Config!$B$23)</f>
        <v/>
      </c>
      <c r="AE985" t="str">
        <f>IF($AS985="","",Config!$B$28)</f>
        <v/>
      </c>
      <c r="AF985" t="str">
        <f t="shared" si="92"/>
        <v/>
      </c>
      <c r="AG985" t="str">
        <f t="shared" si="93"/>
        <v/>
      </c>
      <c r="AH985" t="str">
        <f t="shared" si="94"/>
        <v/>
      </c>
      <c r="AI985" t="str">
        <f>IF($AG985="","",SUMIF($AG$2:$AG985,$AG985,$AH$2:$AH985))</f>
        <v/>
      </c>
      <c r="AJ985" t="str">
        <f>IF('TMP Paste'!$F985="","",IF('TMP Paste'!$B985="",$AJ984,'TMP Paste'!$B985))</f>
        <v/>
      </c>
      <c r="AK985" t="str">
        <f>IF('TMP Paste'!$F985="","",N('TMP Paste'!$G985))</f>
        <v/>
      </c>
      <c r="AL985" t="str">
        <f>IF('TMP Paste'!$F985="","",IF('TMP Paste'!$M985="",$AL984,'TMP Paste'!$M985))</f>
        <v/>
      </c>
      <c r="AM985" t="str">
        <f>IF('TMP Paste'!$F985="","",IF('TMP Paste'!$N985="",$AM984,'TMP Paste'!$N985))</f>
        <v/>
      </c>
      <c r="AN985" t="str">
        <f>IF('TMP Paste'!$F985="","",IF('TMP Paste'!$O985="",$AN984,'TMP Paste'!$O985))</f>
        <v/>
      </c>
      <c r="AO985" t="str">
        <f>IF('TMP Paste'!$F985="","",IF('TMP Paste'!$P985="",$AO984,'TMP Paste'!$P985))</f>
        <v/>
      </c>
      <c r="AP985" t="str">
        <f t="shared" si="95"/>
        <v/>
      </c>
      <c r="AQ985" t="str">
        <f>IF($AS985="","",TRIM(IF(COUNTIFS(Calc!$B$2:$B$1601,ROW()-1,Calc!$C$2:$C$1601,"&lt;1")&gt;0,"Ada PO tanpa Koli - cek TMP. ","")&amp;IF(OR($AU985="",$AU985&lt;=0),"Volume kosong/0 - dimensi dikosongkan. ","")&amp;IF(AND($AU985&lt;&gt;"",$AU985&gt;=1000000),"Volume &gt;= 1.000.000 cm3 (di luar aturan) - dimensi dikosongkan. ","")&amp;IF(LEN($R985)&gt;500,"R &gt; 500 karakter.","")))</f>
        <v/>
      </c>
      <c r="AS985" t="str">
        <f>IFERROR(MATCH(ROW()-1,Calc!$J$2:$J$1601,0),"")</f>
        <v/>
      </c>
      <c r="AT985" t="str">
        <f>IFERROR(MATCH(ROW()-1,Calc!$K$2:$K$1601,0),"")</f>
        <v/>
      </c>
      <c r="AU985" t="str">
        <f>IF($AS985="","",IFERROR(INDEX('TMP Paste'!$D$2:$D$1601,$AS985)*1000000/$AB985,""))</f>
        <v/>
      </c>
    </row>
    <row r="986" spans="1:47">
      <c r="A986" t="str">
        <f>IF($AS986="","",INDEX('TMP Paste'!$B$2:$B$1601,$AS986))</f>
        <v/>
      </c>
      <c r="B986" t="str">
        <f>IF($AS986="","",Config!$B$14)</f>
        <v/>
      </c>
      <c r="C986" t="str">
        <f>IF($AS986="","",Config!$B$15)</f>
        <v/>
      </c>
      <c r="D986" t="str">
        <f>IF($AS986="","",INDEX('TMP Paste'!$B$2:$B$1601,$AS986))</f>
        <v/>
      </c>
      <c r="E986" t="str">
        <f>IF($AS986="","",Config!$B$27)</f>
        <v/>
      </c>
      <c r="F986" t="str">
        <f>IF($AS986="","",Config!$B$9)</f>
        <v/>
      </c>
      <c r="G986" t="str">
        <f>IF($AS986="","",Config!$B$10)</f>
        <v/>
      </c>
      <c r="H986" t="str">
        <f>IF($AS986="","",Config!$B$11)</f>
        <v/>
      </c>
      <c r="I986" t="str">
        <f>IF($AS986="","",Config!$B$16)</f>
        <v/>
      </c>
      <c r="J986" t="str">
        <f>IF($AS986="","",INDEX('TMP Paste'!$A$2:$A$1601,$AS986))</f>
        <v/>
      </c>
      <c r="K986" t="str">
        <f>IF($AS986="","",INDEX('TMP Paste'!$L$2:$L$1601,$AS986))</f>
        <v/>
      </c>
      <c r="L986" t="str">
        <f>IF($AS986="","",INDEX('TMP Paste'!$I$2:$I$1601,$AS986))</f>
        <v/>
      </c>
      <c r="M986" t="str">
        <f>IF($AS986="","",Config!$B$16)</f>
        <v/>
      </c>
      <c r="N986" t="str">
        <f t="shared" si="90"/>
        <v/>
      </c>
      <c r="O986" t="str">
        <f>IF($AS986="","",INDEX('TMP Paste'!$K$2:$K$1601,$AS986))</f>
        <v/>
      </c>
      <c r="P986" t="str">
        <f t="shared" si="91"/>
        <v/>
      </c>
      <c r="Q986" t="str">
        <f>IF($AS986="","",INDEX('TMP Paste'!$J$2:$J$1601,$AS986))</f>
        <v/>
      </c>
      <c r="R986" t="str">
        <f>IF($AS986="","",Config!$B$24)</f>
        <v/>
      </c>
      <c r="S986" t="str">
        <f ca="1">IF($AS986="","",TEXT(Config!$B$4,"yyyy-mm-dd"))</f>
        <v/>
      </c>
      <c r="T986" t="str">
        <f>IF($AS986="","",Config!$B$17)</f>
        <v/>
      </c>
      <c r="U986" t="str">
        <f>IF($AS986="","",Config!$B$18)</f>
        <v/>
      </c>
      <c r="V986" t="str">
        <f>IF($AS986="","",Config!$B$19)</f>
        <v/>
      </c>
      <c r="W986" t="str">
        <f>IF($AS986="","",INDEX('TMP Paste'!$C$2:$C$1601,$AS986))</f>
        <v/>
      </c>
      <c r="X986" t="str">
        <f>IF($AS986="","",Config!$B$29)</f>
        <v/>
      </c>
      <c r="Y986" t="str">
        <f>IF($AT986="","",INDEX(Calc!$I$2:$I$1601,$AT986)&amp;" - "&amp;INDEX(Calc!$D$2:$D$1601,$AT986)&amp;" koli")</f>
        <v/>
      </c>
      <c r="Z986" t="str">
        <f>IF($AS986="","",Config!$B$21)</f>
        <v/>
      </c>
      <c r="AA986" t="str">
        <f>IF($AS986="","",Config!$B$22)</f>
        <v/>
      </c>
      <c r="AB986" t="str">
        <f>IF($AT986="","",INDEX(Calc!$D$2:$D$1601,$AT986))</f>
        <v/>
      </c>
      <c r="AC986" t="str">
        <f>IF($AT986="","",INDEX(Calc!$G$2:$G$1601,$AT986))</f>
        <v/>
      </c>
      <c r="AD986" t="str">
        <f>IF($AS986="","",Config!$B$23)</f>
        <v/>
      </c>
      <c r="AE986" t="str">
        <f>IF($AS986="","",Config!$B$28)</f>
        <v/>
      </c>
      <c r="AF986" t="str">
        <f t="shared" si="92"/>
        <v/>
      </c>
      <c r="AG986" t="str">
        <f t="shared" si="93"/>
        <v/>
      </c>
      <c r="AH986" t="str">
        <f t="shared" si="94"/>
        <v/>
      </c>
      <c r="AI986" t="str">
        <f>IF($AG986="","",SUMIF($AG$2:$AG986,$AG986,$AH$2:$AH986))</f>
        <v/>
      </c>
      <c r="AJ986" t="str">
        <f>IF('TMP Paste'!$F986="","",IF('TMP Paste'!$B986="",$AJ985,'TMP Paste'!$B986))</f>
        <v/>
      </c>
      <c r="AK986" t="str">
        <f>IF('TMP Paste'!$F986="","",N('TMP Paste'!$G986))</f>
        <v/>
      </c>
      <c r="AL986" t="str">
        <f>IF('TMP Paste'!$F986="","",IF('TMP Paste'!$M986="",$AL985,'TMP Paste'!$M986))</f>
        <v/>
      </c>
      <c r="AM986" t="str">
        <f>IF('TMP Paste'!$F986="","",IF('TMP Paste'!$N986="",$AM985,'TMP Paste'!$N986))</f>
        <v/>
      </c>
      <c r="AN986" t="str">
        <f>IF('TMP Paste'!$F986="","",IF('TMP Paste'!$O986="",$AN985,'TMP Paste'!$O986))</f>
        <v/>
      </c>
      <c r="AO986" t="str">
        <f>IF('TMP Paste'!$F986="","",IF('TMP Paste'!$P986="",$AO985,'TMP Paste'!$P986))</f>
        <v/>
      </c>
      <c r="AP986" t="str">
        <f t="shared" si="95"/>
        <v/>
      </c>
      <c r="AQ986" t="str">
        <f>IF($AS986="","",TRIM(IF(COUNTIFS(Calc!$B$2:$B$1601,ROW()-1,Calc!$C$2:$C$1601,"&lt;1")&gt;0,"Ada PO tanpa Koli - cek TMP. ","")&amp;IF(OR($AU986="",$AU986&lt;=0),"Volume kosong/0 - dimensi dikosongkan. ","")&amp;IF(AND($AU986&lt;&gt;"",$AU986&gt;=1000000),"Volume &gt;= 1.000.000 cm3 (di luar aturan) - dimensi dikosongkan. ","")&amp;IF(LEN($R986)&gt;500,"R &gt; 500 karakter.","")))</f>
        <v/>
      </c>
      <c r="AS986" t="str">
        <f>IFERROR(MATCH(ROW()-1,Calc!$J$2:$J$1601,0),"")</f>
        <v/>
      </c>
      <c r="AT986" t="str">
        <f>IFERROR(MATCH(ROW()-1,Calc!$K$2:$K$1601,0),"")</f>
        <v/>
      </c>
      <c r="AU986" t="str">
        <f>IF($AS986="","",IFERROR(INDEX('TMP Paste'!$D$2:$D$1601,$AS986)*1000000/$AB986,""))</f>
        <v/>
      </c>
    </row>
    <row r="987" spans="1:47">
      <c r="A987" t="str">
        <f>IF($AS987="","",INDEX('TMP Paste'!$B$2:$B$1601,$AS987))</f>
        <v/>
      </c>
      <c r="B987" t="str">
        <f>IF($AS987="","",Config!$B$14)</f>
        <v/>
      </c>
      <c r="C987" t="str">
        <f>IF($AS987="","",Config!$B$15)</f>
        <v/>
      </c>
      <c r="D987" t="str">
        <f>IF($AS987="","",INDEX('TMP Paste'!$B$2:$B$1601,$AS987))</f>
        <v/>
      </c>
      <c r="E987" t="str">
        <f>IF($AS987="","",Config!$B$27)</f>
        <v/>
      </c>
      <c r="F987" t="str">
        <f>IF($AS987="","",Config!$B$9)</f>
        <v/>
      </c>
      <c r="G987" t="str">
        <f>IF($AS987="","",Config!$B$10)</f>
        <v/>
      </c>
      <c r="H987" t="str">
        <f>IF($AS987="","",Config!$B$11)</f>
        <v/>
      </c>
      <c r="I987" t="str">
        <f>IF($AS987="","",Config!$B$16)</f>
        <v/>
      </c>
      <c r="J987" t="str">
        <f>IF($AS987="","",INDEX('TMP Paste'!$A$2:$A$1601,$AS987))</f>
        <v/>
      </c>
      <c r="K987" t="str">
        <f>IF($AS987="","",INDEX('TMP Paste'!$L$2:$L$1601,$AS987))</f>
        <v/>
      </c>
      <c r="L987" t="str">
        <f>IF($AS987="","",INDEX('TMP Paste'!$I$2:$I$1601,$AS987))</f>
        <v/>
      </c>
      <c r="M987" t="str">
        <f>IF($AS987="","",Config!$B$16)</f>
        <v/>
      </c>
      <c r="N987" t="str">
        <f t="shared" si="90"/>
        <v/>
      </c>
      <c r="O987" t="str">
        <f>IF($AS987="","",INDEX('TMP Paste'!$K$2:$K$1601,$AS987))</f>
        <v/>
      </c>
      <c r="P987" t="str">
        <f t="shared" si="91"/>
        <v/>
      </c>
      <c r="Q987" t="str">
        <f>IF($AS987="","",INDEX('TMP Paste'!$J$2:$J$1601,$AS987))</f>
        <v/>
      </c>
      <c r="R987" t="str">
        <f>IF($AS987="","",Config!$B$24)</f>
        <v/>
      </c>
      <c r="S987" t="str">
        <f ca="1">IF($AS987="","",TEXT(Config!$B$4,"yyyy-mm-dd"))</f>
        <v/>
      </c>
      <c r="T987" t="str">
        <f>IF($AS987="","",Config!$B$17)</f>
        <v/>
      </c>
      <c r="U987" t="str">
        <f>IF($AS987="","",Config!$B$18)</f>
        <v/>
      </c>
      <c r="V987" t="str">
        <f>IF($AS987="","",Config!$B$19)</f>
        <v/>
      </c>
      <c r="W987" t="str">
        <f>IF($AS987="","",INDEX('TMP Paste'!$C$2:$C$1601,$AS987))</f>
        <v/>
      </c>
      <c r="X987" t="str">
        <f>IF($AS987="","",Config!$B$29)</f>
        <v/>
      </c>
      <c r="Y987" t="str">
        <f>IF($AT987="","",INDEX(Calc!$I$2:$I$1601,$AT987)&amp;" - "&amp;INDEX(Calc!$D$2:$D$1601,$AT987)&amp;" koli")</f>
        <v/>
      </c>
      <c r="Z987" t="str">
        <f>IF($AS987="","",Config!$B$21)</f>
        <v/>
      </c>
      <c r="AA987" t="str">
        <f>IF($AS987="","",Config!$B$22)</f>
        <v/>
      </c>
      <c r="AB987" t="str">
        <f>IF($AT987="","",INDEX(Calc!$D$2:$D$1601,$AT987))</f>
        <v/>
      </c>
      <c r="AC987" t="str">
        <f>IF($AT987="","",INDEX(Calc!$G$2:$G$1601,$AT987))</f>
        <v/>
      </c>
      <c r="AD987" t="str">
        <f>IF($AS987="","",Config!$B$23)</f>
        <v/>
      </c>
      <c r="AE987" t="str">
        <f>IF($AS987="","",Config!$B$28)</f>
        <v/>
      </c>
      <c r="AF987" t="str">
        <f t="shared" si="92"/>
        <v/>
      </c>
      <c r="AG987" t="str">
        <f t="shared" si="93"/>
        <v/>
      </c>
      <c r="AH987" t="str">
        <f t="shared" si="94"/>
        <v/>
      </c>
      <c r="AI987" t="str">
        <f>IF($AG987="","",SUMIF($AG$2:$AG987,$AG987,$AH$2:$AH987))</f>
        <v/>
      </c>
      <c r="AJ987" t="str">
        <f>IF('TMP Paste'!$F987="","",IF('TMP Paste'!$B987="",$AJ986,'TMP Paste'!$B987))</f>
        <v/>
      </c>
      <c r="AK987" t="str">
        <f>IF('TMP Paste'!$F987="","",N('TMP Paste'!$G987))</f>
        <v/>
      </c>
      <c r="AL987" t="str">
        <f>IF('TMP Paste'!$F987="","",IF('TMP Paste'!$M987="",$AL986,'TMP Paste'!$M987))</f>
        <v/>
      </c>
      <c r="AM987" t="str">
        <f>IF('TMP Paste'!$F987="","",IF('TMP Paste'!$N987="",$AM986,'TMP Paste'!$N987))</f>
        <v/>
      </c>
      <c r="AN987" t="str">
        <f>IF('TMP Paste'!$F987="","",IF('TMP Paste'!$O987="",$AN986,'TMP Paste'!$O987))</f>
        <v/>
      </c>
      <c r="AO987" t="str">
        <f>IF('TMP Paste'!$F987="","",IF('TMP Paste'!$P987="",$AO986,'TMP Paste'!$P987))</f>
        <v/>
      </c>
      <c r="AP987" t="str">
        <f t="shared" si="95"/>
        <v/>
      </c>
      <c r="AQ987" t="str">
        <f>IF($AS987="","",TRIM(IF(COUNTIFS(Calc!$B$2:$B$1601,ROW()-1,Calc!$C$2:$C$1601,"&lt;1")&gt;0,"Ada PO tanpa Koli - cek TMP. ","")&amp;IF(OR($AU987="",$AU987&lt;=0),"Volume kosong/0 - dimensi dikosongkan. ","")&amp;IF(AND($AU987&lt;&gt;"",$AU987&gt;=1000000),"Volume &gt;= 1.000.000 cm3 (di luar aturan) - dimensi dikosongkan. ","")&amp;IF(LEN($R987)&gt;500,"R &gt; 500 karakter.","")))</f>
        <v/>
      </c>
      <c r="AS987" t="str">
        <f>IFERROR(MATCH(ROW()-1,Calc!$J$2:$J$1601,0),"")</f>
        <v/>
      </c>
      <c r="AT987" t="str">
        <f>IFERROR(MATCH(ROW()-1,Calc!$K$2:$K$1601,0),"")</f>
        <v/>
      </c>
      <c r="AU987" t="str">
        <f>IF($AS987="","",IFERROR(INDEX('TMP Paste'!$D$2:$D$1601,$AS987)*1000000/$AB987,""))</f>
        <v/>
      </c>
    </row>
    <row r="988" spans="1:47">
      <c r="A988" t="str">
        <f>IF($AS988="","",INDEX('TMP Paste'!$B$2:$B$1601,$AS988))</f>
        <v/>
      </c>
      <c r="B988" t="str">
        <f>IF($AS988="","",Config!$B$14)</f>
        <v/>
      </c>
      <c r="C988" t="str">
        <f>IF($AS988="","",Config!$B$15)</f>
        <v/>
      </c>
      <c r="D988" t="str">
        <f>IF($AS988="","",INDEX('TMP Paste'!$B$2:$B$1601,$AS988))</f>
        <v/>
      </c>
      <c r="E988" t="str">
        <f>IF($AS988="","",Config!$B$27)</f>
        <v/>
      </c>
      <c r="F988" t="str">
        <f>IF($AS988="","",Config!$B$9)</f>
        <v/>
      </c>
      <c r="G988" t="str">
        <f>IF($AS988="","",Config!$B$10)</f>
        <v/>
      </c>
      <c r="H988" t="str">
        <f>IF($AS988="","",Config!$B$11)</f>
        <v/>
      </c>
      <c r="I988" t="str">
        <f>IF($AS988="","",Config!$B$16)</f>
        <v/>
      </c>
      <c r="J988" t="str">
        <f>IF($AS988="","",INDEX('TMP Paste'!$A$2:$A$1601,$AS988))</f>
        <v/>
      </c>
      <c r="K988" t="str">
        <f>IF($AS988="","",INDEX('TMP Paste'!$L$2:$L$1601,$AS988))</f>
        <v/>
      </c>
      <c r="L988" t="str">
        <f>IF($AS988="","",INDEX('TMP Paste'!$I$2:$I$1601,$AS988))</f>
        <v/>
      </c>
      <c r="M988" t="str">
        <f>IF($AS988="","",Config!$B$16)</f>
        <v/>
      </c>
      <c r="N988" t="str">
        <f t="shared" si="90"/>
        <v/>
      </c>
      <c r="O988" t="str">
        <f>IF($AS988="","",INDEX('TMP Paste'!$K$2:$K$1601,$AS988))</f>
        <v/>
      </c>
      <c r="P988" t="str">
        <f t="shared" si="91"/>
        <v/>
      </c>
      <c r="Q988" t="str">
        <f>IF($AS988="","",INDEX('TMP Paste'!$J$2:$J$1601,$AS988))</f>
        <v/>
      </c>
      <c r="R988" t="str">
        <f>IF($AS988="","",Config!$B$24)</f>
        <v/>
      </c>
      <c r="S988" t="str">
        <f ca="1">IF($AS988="","",TEXT(Config!$B$4,"yyyy-mm-dd"))</f>
        <v/>
      </c>
      <c r="T988" t="str">
        <f>IF($AS988="","",Config!$B$17)</f>
        <v/>
      </c>
      <c r="U988" t="str">
        <f>IF($AS988="","",Config!$B$18)</f>
        <v/>
      </c>
      <c r="V988" t="str">
        <f>IF($AS988="","",Config!$B$19)</f>
        <v/>
      </c>
      <c r="W988" t="str">
        <f>IF($AS988="","",INDEX('TMP Paste'!$C$2:$C$1601,$AS988))</f>
        <v/>
      </c>
      <c r="X988" t="str">
        <f>IF($AS988="","",Config!$B$29)</f>
        <v/>
      </c>
      <c r="Y988" t="str">
        <f>IF($AT988="","",INDEX(Calc!$I$2:$I$1601,$AT988)&amp;" - "&amp;INDEX(Calc!$D$2:$D$1601,$AT988)&amp;" koli")</f>
        <v/>
      </c>
      <c r="Z988" t="str">
        <f>IF($AS988="","",Config!$B$21)</f>
        <v/>
      </c>
      <c r="AA988" t="str">
        <f>IF($AS988="","",Config!$B$22)</f>
        <v/>
      </c>
      <c r="AB988" t="str">
        <f>IF($AT988="","",INDEX(Calc!$D$2:$D$1601,$AT988))</f>
        <v/>
      </c>
      <c r="AC988" t="str">
        <f>IF($AT988="","",INDEX(Calc!$G$2:$G$1601,$AT988))</f>
        <v/>
      </c>
      <c r="AD988" t="str">
        <f>IF($AS988="","",Config!$B$23)</f>
        <v/>
      </c>
      <c r="AE988" t="str">
        <f>IF($AS988="","",Config!$B$28)</f>
        <v/>
      </c>
      <c r="AF988" t="str">
        <f t="shared" si="92"/>
        <v/>
      </c>
      <c r="AG988" t="str">
        <f t="shared" si="93"/>
        <v/>
      </c>
      <c r="AH988" t="str">
        <f t="shared" si="94"/>
        <v/>
      </c>
      <c r="AI988" t="str">
        <f>IF($AG988="","",SUMIF($AG$2:$AG988,$AG988,$AH$2:$AH988))</f>
        <v/>
      </c>
      <c r="AJ988" t="str">
        <f>IF('TMP Paste'!$F988="","",IF('TMP Paste'!$B988="",$AJ987,'TMP Paste'!$B988))</f>
        <v/>
      </c>
      <c r="AK988" t="str">
        <f>IF('TMP Paste'!$F988="","",N('TMP Paste'!$G988))</f>
        <v/>
      </c>
      <c r="AL988" t="str">
        <f>IF('TMP Paste'!$F988="","",IF('TMP Paste'!$M988="",$AL987,'TMP Paste'!$M988))</f>
        <v/>
      </c>
      <c r="AM988" t="str">
        <f>IF('TMP Paste'!$F988="","",IF('TMP Paste'!$N988="",$AM987,'TMP Paste'!$N988))</f>
        <v/>
      </c>
      <c r="AN988" t="str">
        <f>IF('TMP Paste'!$F988="","",IF('TMP Paste'!$O988="",$AN987,'TMP Paste'!$O988))</f>
        <v/>
      </c>
      <c r="AO988" t="str">
        <f>IF('TMP Paste'!$F988="","",IF('TMP Paste'!$P988="",$AO987,'TMP Paste'!$P988))</f>
        <v/>
      </c>
      <c r="AP988" t="str">
        <f t="shared" si="95"/>
        <v/>
      </c>
      <c r="AQ988" t="str">
        <f>IF($AS988="","",TRIM(IF(COUNTIFS(Calc!$B$2:$B$1601,ROW()-1,Calc!$C$2:$C$1601,"&lt;1")&gt;0,"Ada PO tanpa Koli - cek TMP. ","")&amp;IF(OR($AU988="",$AU988&lt;=0),"Volume kosong/0 - dimensi dikosongkan. ","")&amp;IF(AND($AU988&lt;&gt;"",$AU988&gt;=1000000),"Volume &gt;= 1.000.000 cm3 (di luar aturan) - dimensi dikosongkan. ","")&amp;IF(LEN($R988)&gt;500,"R &gt; 500 karakter.","")))</f>
        <v/>
      </c>
      <c r="AS988" t="str">
        <f>IFERROR(MATCH(ROW()-1,Calc!$J$2:$J$1601,0),"")</f>
        <v/>
      </c>
      <c r="AT988" t="str">
        <f>IFERROR(MATCH(ROW()-1,Calc!$K$2:$K$1601,0),"")</f>
        <v/>
      </c>
      <c r="AU988" t="str">
        <f>IF($AS988="","",IFERROR(INDEX('TMP Paste'!$D$2:$D$1601,$AS988)*1000000/$AB988,""))</f>
        <v/>
      </c>
    </row>
    <row r="989" spans="1:47">
      <c r="A989" t="str">
        <f>IF($AS989="","",INDEX('TMP Paste'!$B$2:$B$1601,$AS989))</f>
        <v/>
      </c>
      <c r="B989" t="str">
        <f>IF($AS989="","",Config!$B$14)</f>
        <v/>
      </c>
      <c r="C989" t="str">
        <f>IF($AS989="","",Config!$B$15)</f>
        <v/>
      </c>
      <c r="D989" t="str">
        <f>IF($AS989="","",INDEX('TMP Paste'!$B$2:$B$1601,$AS989))</f>
        <v/>
      </c>
      <c r="E989" t="str">
        <f>IF($AS989="","",Config!$B$27)</f>
        <v/>
      </c>
      <c r="F989" t="str">
        <f>IF($AS989="","",Config!$B$9)</f>
        <v/>
      </c>
      <c r="G989" t="str">
        <f>IF($AS989="","",Config!$B$10)</f>
        <v/>
      </c>
      <c r="H989" t="str">
        <f>IF($AS989="","",Config!$B$11)</f>
        <v/>
      </c>
      <c r="I989" t="str">
        <f>IF($AS989="","",Config!$B$16)</f>
        <v/>
      </c>
      <c r="J989" t="str">
        <f>IF($AS989="","",INDEX('TMP Paste'!$A$2:$A$1601,$AS989))</f>
        <v/>
      </c>
      <c r="K989" t="str">
        <f>IF($AS989="","",INDEX('TMP Paste'!$L$2:$L$1601,$AS989))</f>
        <v/>
      </c>
      <c r="L989" t="str">
        <f>IF($AS989="","",INDEX('TMP Paste'!$I$2:$I$1601,$AS989))</f>
        <v/>
      </c>
      <c r="M989" t="str">
        <f>IF($AS989="","",Config!$B$16)</f>
        <v/>
      </c>
      <c r="N989" t="str">
        <f t="shared" si="90"/>
        <v/>
      </c>
      <c r="O989" t="str">
        <f>IF($AS989="","",INDEX('TMP Paste'!$K$2:$K$1601,$AS989))</f>
        <v/>
      </c>
      <c r="P989" t="str">
        <f t="shared" si="91"/>
        <v/>
      </c>
      <c r="Q989" t="str">
        <f>IF($AS989="","",INDEX('TMP Paste'!$J$2:$J$1601,$AS989))</f>
        <v/>
      </c>
      <c r="R989" t="str">
        <f>IF($AS989="","",Config!$B$24)</f>
        <v/>
      </c>
      <c r="S989" t="str">
        <f ca="1">IF($AS989="","",TEXT(Config!$B$4,"yyyy-mm-dd"))</f>
        <v/>
      </c>
      <c r="T989" t="str">
        <f>IF($AS989="","",Config!$B$17)</f>
        <v/>
      </c>
      <c r="U989" t="str">
        <f>IF($AS989="","",Config!$B$18)</f>
        <v/>
      </c>
      <c r="V989" t="str">
        <f>IF($AS989="","",Config!$B$19)</f>
        <v/>
      </c>
      <c r="W989" t="str">
        <f>IF($AS989="","",INDEX('TMP Paste'!$C$2:$C$1601,$AS989))</f>
        <v/>
      </c>
      <c r="X989" t="str">
        <f>IF($AS989="","",Config!$B$29)</f>
        <v/>
      </c>
      <c r="Y989" t="str">
        <f>IF($AT989="","",INDEX(Calc!$I$2:$I$1601,$AT989)&amp;" - "&amp;INDEX(Calc!$D$2:$D$1601,$AT989)&amp;" koli")</f>
        <v/>
      </c>
      <c r="Z989" t="str">
        <f>IF($AS989="","",Config!$B$21)</f>
        <v/>
      </c>
      <c r="AA989" t="str">
        <f>IF($AS989="","",Config!$B$22)</f>
        <v/>
      </c>
      <c r="AB989" t="str">
        <f>IF($AT989="","",INDEX(Calc!$D$2:$D$1601,$AT989))</f>
        <v/>
      </c>
      <c r="AC989" t="str">
        <f>IF($AT989="","",INDEX(Calc!$G$2:$G$1601,$AT989))</f>
        <v/>
      </c>
      <c r="AD989" t="str">
        <f>IF($AS989="","",Config!$B$23)</f>
        <v/>
      </c>
      <c r="AE989" t="str">
        <f>IF($AS989="","",Config!$B$28)</f>
        <v/>
      </c>
      <c r="AF989" t="str">
        <f t="shared" si="92"/>
        <v/>
      </c>
      <c r="AG989" t="str">
        <f t="shared" si="93"/>
        <v/>
      </c>
      <c r="AH989" t="str">
        <f t="shared" si="94"/>
        <v/>
      </c>
      <c r="AI989" t="str">
        <f>IF($AG989="","",SUMIF($AG$2:$AG989,$AG989,$AH$2:$AH989))</f>
        <v/>
      </c>
      <c r="AJ989" t="str">
        <f>IF('TMP Paste'!$F989="","",IF('TMP Paste'!$B989="",$AJ988,'TMP Paste'!$B989))</f>
        <v/>
      </c>
      <c r="AK989" t="str">
        <f>IF('TMP Paste'!$F989="","",N('TMP Paste'!$G989))</f>
        <v/>
      </c>
      <c r="AL989" t="str">
        <f>IF('TMP Paste'!$F989="","",IF('TMP Paste'!$M989="",$AL988,'TMP Paste'!$M989))</f>
        <v/>
      </c>
      <c r="AM989" t="str">
        <f>IF('TMP Paste'!$F989="","",IF('TMP Paste'!$N989="",$AM988,'TMP Paste'!$N989))</f>
        <v/>
      </c>
      <c r="AN989" t="str">
        <f>IF('TMP Paste'!$F989="","",IF('TMP Paste'!$O989="",$AN988,'TMP Paste'!$O989))</f>
        <v/>
      </c>
      <c r="AO989" t="str">
        <f>IF('TMP Paste'!$F989="","",IF('TMP Paste'!$P989="",$AO988,'TMP Paste'!$P989))</f>
        <v/>
      </c>
      <c r="AP989" t="str">
        <f t="shared" si="95"/>
        <v/>
      </c>
      <c r="AQ989" t="str">
        <f>IF($AS989="","",TRIM(IF(COUNTIFS(Calc!$B$2:$B$1601,ROW()-1,Calc!$C$2:$C$1601,"&lt;1")&gt;0,"Ada PO tanpa Koli - cek TMP. ","")&amp;IF(OR($AU989="",$AU989&lt;=0),"Volume kosong/0 - dimensi dikosongkan. ","")&amp;IF(AND($AU989&lt;&gt;"",$AU989&gt;=1000000),"Volume &gt;= 1.000.000 cm3 (di luar aturan) - dimensi dikosongkan. ","")&amp;IF(LEN($R989)&gt;500,"R &gt; 500 karakter.","")))</f>
        <v/>
      </c>
      <c r="AS989" t="str">
        <f>IFERROR(MATCH(ROW()-1,Calc!$J$2:$J$1601,0),"")</f>
        <v/>
      </c>
      <c r="AT989" t="str">
        <f>IFERROR(MATCH(ROW()-1,Calc!$K$2:$K$1601,0),"")</f>
        <v/>
      </c>
      <c r="AU989" t="str">
        <f>IF($AS989="","",IFERROR(INDEX('TMP Paste'!$D$2:$D$1601,$AS989)*1000000/$AB989,""))</f>
        <v/>
      </c>
    </row>
    <row r="990" spans="1:47">
      <c r="A990" t="str">
        <f>IF($AS990="","",INDEX('TMP Paste'!$B$2:$B$1601,$AS990))</f>
        <v/>
      </c>
      <c r="B990" t="str">
        <f>IF($AS990="","",Config!$B$14)</f>
        <v/>
      </c>
      <c r="C990" t="str">
        <f>IF($AS990="","",Config!$B$15)</f>
        <v/>
      </c>
      <c r="D990" t="str">
        <f>IF($AS990="","",INDEX('TMP Paste'!$B$2:$B$1601,$AS990))</f>
        <v/>
      </c>
      <c r="E990" t="str">
        <f>IF($AS990="","",Config!$B$27)</f>
        <v/>
      </c>
      <c r="F990" t="str">
        <f>IF($AS990="","",Config!$B$9)</f>
        <v/>
      </c>
      <c r="G990" t="str">
        <f>IF($AS990="","",Config!$B$10)</f>
        <v/>
      </c>
      <c r="H990" t="str">
        <f>IF($AS990="","",Config!$B$11)</f>
        <v/>
      </c>
      <c r="I990" t="str">
        <f>IF($AS990="","",Config!$B$16)</f>
        <v/>
      </c>
      <c r="J990" t="str">
        <f>IF($AS990="","",INDEX('TMP Paste'!$A$2:$A$1601,$AS990))</f>
        <v/>
      </c>
      <c r="K990" t="str">
        <f>IF($AS990="","",INDEX('TMP Paste'!$L$2:$L$1601,$AS990))</f>
        <v/>
      </c>
      <c r="L990" t="str">
        <f>IF($AS990="","",INDEX('TMP Paste'!$I$2:$I$1601,$AS990))</f>
        <v/>
      </c>
      <c r="M990" t="str">
        <f>IF($AS990="","",Config!$B$16)</f>
        <v/>
      </c>
      <c r="N990" t="str">
        <f t="shared" si="90"/>
        <v/>
      </c>
      <c r="O990" t="str">
        <f>IF($AS990="","",INDEX('TMP Paste'!$K$2:$K$1601,$AS990))</f>
        <v/>
      </c>
      <c r="P990" t="str">
        <f t="shared" si="91"/>
        <v/>
      </c>
      <c r="Q990" t="str">
        <f>IF($AS990="","",INDEX('TMP Paste'!$J$2:$J$1601,$AS990))</f>
        <v/>
      </c>
      <c r="R990" t="str">
        <f>IF($AS990="","",Config!$B$24)</f>
        <v/>
      </c>
      <c r="S990" t="str">
        <f ca="1">IF($AS990="","",TEXT(Config!$B$4,"yyyy-mm-dd"))</f>
        <v/>
      </c>
      <c r="T990" t="str">
        <f>IF($AS990="","",Config!$B$17)</f>
        <v/>
      </c>
      <c r="U990" t="str">
        <f>IF($AS990="","",Config!$B$18)</f>
        <v/>
      </c>
      <c r="V990" t="str">
        <f>IF($AS990="","",Config!$B$19)</f>
        <v/>
      </c>
      <c r="W990" t="str">
        <f>IF($AS990="","",INDEX('TMP Paste'!$C$2:$C$1601,$AS990))</f>
        <v/>
      </c>
      <c r="X990" t="str">
        <f>IF($AS990="","",Config!$B$29)</f>
        <v/>
      </c>
      <c r="Y990" t="str">
        <f>IF($AT990="","",INDEX(Calc!$I$2:$I$1601,$AT990)&amp;" - "&amp;INDEX(Calc!$D$2:$D$1601,$AT990)&amp;" koli")</f>
        <v/>
      </c>
      <c r="Z990" t="str">
        <f>IF($AS990="","",Config!$B$21)</f>
        <v/>
      </c>
      <c r="AA990" t="str">
        <f>IF($AS990="","",Config!$B$22)</f>
        <v/>
      </c>
      <c r="AB990" t="str">
        <f>IF($AT990="","",INDEX(Calc!$D$2:$D$1601,$AT990))</f>
        <v/>
      </c>
      <c r="AC990" t="str">
        <f>IF($AT990="","",INDEX(Calc!$G$2:$G$1601,$AT990))</f>
        <v/>
      </c>
      <c r="AD990" t="str">
        <f>IF($AS990="","",Config!$B$23)</f>
        <v/>
      </c>
      <c r="AE990" t="str">
        <f>IF($AS990="","",Config!$B$28)</f>
        <v/>
      </c>
      <c r="AF990" t="str">
        <f t="shared" si="92"/>
        <v/>
      </c>
      <c r="AG990" t="str">
        <f t="shared" si="93"/>
        <v/>
      </c>
      <c r="AH990" t="str">
        <f t="shared" si="94"/>
        <v/>
      </c>
      <c r="AI990" t="str">
        <f>IF($AG990="","",SUMIF($AG$2:$AG990,$AG990,$AH$2:$AH990))</f>
        <v/>
      </c>
      <c r="AJ990" t="str">
        <f>IF('TMP Paste'!$F990="","",IF('TMP Paste'!$B990="",$AJ989,'TMP Paste'!$B990))</f>
        <v/>
      </c>
      <c r="AK990" t="str">
        <f>IF('TMP Paste'!$F990="","",N('TMP Paste'!$G990))</f>
        <v/>
      </c>
      <c r="AL990" t="str">
        <f>IF('TMP Paste'!$F990="","",IF('TMP Paste'!$M990="",$AL989,'TMP Paste'!$M990))</f>
        <v/>
      </c>
      <c r="AM990" t="str">
        <f>IF('TMP Paste'!$F990="","",IF('TMP Paste'!$N990="",$AM989,'TMP Paste'!$N990))</f>
        <v/>
      </c>
      <c r="AN990" t="str">
        <f>IF('TMP Paste'!$F990="","",IF('TMP Paste'!$O990="",$AN989,'TMP Paste'!$O990))</f>
        <v/>
      </c>
      <c r="AO990" t="str">
        <f>IF('TMP Paste'!$F990="","",IF('TMP Paste'!$P990="",$AO989,'TMP Paste'!$P990))</f>
        <v/>
      </c>
      <c r="AP990" t="str">
        <f t="shared" si="95"/>
        <v/>
      </c>
      <c r="AQ990" t="str">
        <f>IF($AS990="","",TRIM(IF(COUNTIFS(Calc!$B$2:$B$1601,ROW()-1,Calc!$C$2:$C$1601,"&lt;1")&gt;0,"Ada PO tanpa Koli - cek TMP. ","")&amp;IF(OR($AU990="",$AU990&lt;=0),"Volume kosong/0 - dimensi dikosongkan. ","")&amp;IF(AND($AU990&lt;&gt;"",$AU990&gt;=1000000),"Volume &gt;= 1.000.000 cm3 (di luar aturan) - dimensi dikosongkan. ","")&amp;IF(LEN($R990)&gt;500,"R &gt; 500 karakter.","")))</f>
        <v/>
      </c>
      <c r="AS990" t="str">
        <f>IFERROR(MATCH(ROW()-1,Calc!$J$2:$J$1601,0),"")</f>
        <v/>
      </c>
      <c r="AT990" t="str">
        <f>IFERROR(MATCH(ROW()-1,Calc!$K$2:$K$1601,0),"")</f>
        <v/>
      </c>
      <c r="AU990" t="str">
        <f>IF($AS990="","",IFERROR(INDEX('TMP Paste'!$D$2:$D$1601,$AS990)*1000000/$AB990,""))</f>
        <v/>
      </c>
    </row>
    <row r="991" spans="1:47">
      <c r="A991" t="str">
        <f>IF($AS991="","",INDEX('TMP Paste'!$B$2:$B$1601,$AS991))</f>
        <v/>
      </c>
      <c r="B991" t="str">
        <f>IF($AS991="","",Config!$B$14)</f>
        <v/>
      </c>
      <c r="C991" t="str">
        <f>IF($AS991="","",Config!$B$15)</f>
        <v/>
      </c>
      <c r="D991" t="str">
        <f>IF($AS991="","",INDEX('TMP Paste'!$B$2:$B$1601,$AS991))</f>
        <v/>
      </c>
      <c r="E991" t="str">
        <f>IF($AS991="","",Config!$B$27)</f>
        <v/>
      </c>
      <c r="F991" t="str">
        <f>IF($AS991="","",Config!$B$9)</f>
        <v/>
      </c>
      <c r="G991" t="str">
        <f>IF($AS991="","",Config!$B$10)</f>
        <v/>
      </c>
      <c r="H991" t="str">
        <f>IF($AS991="","",Config!$B$11)</f>
        <v/>
      </c>
      <c r="I991" t="str">
        <f>IF($AS991="","",Config!$B$16)</f>
        <v/>
      </c>
      <c r="J991" t="str">
        <f>IF($AS991="","",INDEX('TMP Paste'!$A$2:$A$1601,$AS991))</f>
        <v/>
      </c>
      <c r="K991" t="str">
        <f>IF($AS991="","",INDEX('TMP Paste'!$L$2:$L$1601,$AS991))</f>
        <v/>
      </c>
      <c r="L991" t="str">
        <f>IF($AS991="","",INDEX('TMP Paste'!$I$2:$I$1601,$AS991))</f>
        <v/>
      </c>
      <c r="M991" t="str">
        <f>IF($AS991="","",Config!$B$16)</f>
        <v/>
      </c>
      <c r="N991" t="str">
        <f t="shared" si="90"/>
        <v/>
      </c>
      <c r="O991" t="str">
        <f>IF($AS991="","",INDEX('TMP Paste'!$K$2:$K$1601,$AS991))</f>
        <v/>
      </c>
      <c r="P991" t="str">
        <f t="shared" si="91"/>
        <v/>
      </c>
      <c r="Q991" t="str">
        <f>IF($AS991="","",INDEX('TMP Paste'!$J$2:$J$1601,$AS991))</f>
        <v/>
      </c>
      <c r="R991" t="str">
        <f>IF($AS991="","",Config!$B$24)</f>
        <v/>
      </c>
      <c r="S991" t="str">
        <f ca="1">IF($AS991="","",TEXT(Config!$B$4,"yyyy-mm-dd"))</f>
        <v/>
      </c>
      <c r="T991" t="str">
        <f>IF($AS991="","",Config!$B$17)</f>
        <v/>
      </c>
      <c r="U991" t="str">
        <f>IF($AS991="","",Config!$B$18)</f>
        <v/>
      </c>
      <c r="V991" t="str">
        <f>IF($AS991="","",Config!$B$19)</f>
        <v/>
      </c>
      <c r="W991" t="str">
        <f>IF($AS991="","",INDEX('TMP Paste'!$C$2:$C$1601,$AS991))</f>
        <v/>
      </c>
      <c r="X991" t="str">
        <f>IF($AS991="","",Config!$B$29)</f>
        <v/>
      </c>
      <c r="Y991" t="str">
        <f>IF($AT991="","",INDEX(Calc!$I$2:$I$1601,$AT991)&amp;" - "&amp;INDEX(Calc!$D$2:$D$1601,$AT991)&amp;" koli")</f>
        <v/>
      </c>
      <c r="Z991" t="str">
        <f>IF($AS991="","",Config!$B$21)</f>
        <v/>
      </c>
      <c r="AA991" t="str">
        <f>IF($AS991="","",Config!$B$22)</f>
        <v/>
      </c>
      <c r="AB991" t="str">
        <f>IF($AT991="","",INDEX(Calc!$D$2:$D$1601,$AT991))</f>
        <v/>
      </c>
      <c r="AC991" t="str">
        <f>IF($AT991="","",INDEX(Calc!$G$2:$G$1601,$AT991))</f>
        <v/>
      </c>
      <c r="AD991" t="str">
        <f>IF($AS991="","",Config!$B$23)</f>
        <v/>
      </c>
      <c r="AE991" t="str">
        <f>IF($AS991="","",Config!$B$28)</f>
        <v/>
      </c>
      <c r="AF991" t="str">
        <f t="shared" si="92"/>
        <v/>
      </c>
      <c r="AG991" t="str">
        <f t="shared" si="93"/>
        <v/>
      </c>
      <c r="AH991" t="str">
        <f t="shared" si="94"/>
        <v/>
      </c>
      <c r="AI991" t="str">
        <f>IF($AG991="","",SUMIF($AG$2:$AG991,$AG991,$AH$2:$AH991))</f>
        <v/>
      </c>
      <c r="AJ991" t="str">
        <f>IF('TMP Paste'!$F991="","",IF('TMP Paste'!$B991="",$AJ990,'TMP Paste'!$B991))</f>
        <v/>
      </c>
      <c r="AK991" t="str">
        <f>IF('TMP Paste'!$F991="","",N('TMP Paste'!$G991))</f>
        <v/>
      </c>
      <c r="AL991" t="str">
        <f>IF('TMP Paste'!$F991="","",IF('TMP Paste'!$M991="",$AL990,'TMP Paste'!$M991))</f>
        <v/>
      </c>
      <c r="AM991" t="str">
        <f>IF('TMP Paste'!$F991="","",IF('TMP Paste'!$N991="",$AM990,'TMP Paste'!$N991))</f>
        <v/>
      </c>
      <c r="AN991" t="str">
        <f>IF('TMP Paste'!$F991="","",IF('TMP Paste'!$O991="",$AN990,'TMP Paste'!$O991))</f>
        <v/>
      </c>
      <c r="AO991" t="str">
        <f>IF('TMP Paste'!$F991="","",IF('TMP Paste'!$P991="",$AO990,'TMP Paste'!$P991))</f>
        <v/>
      </c>
      <c r="AP991" t="str">
        <f t="shared" si="95"/>
        <v/>
      </c>
      <c r="AQ991" t="str">
        <f>IF($AS991="","",TRIM(IF(COUNTIFS(Calc!$B$2:$B$1601,ROW()-1,Calc!$C$2:$C$1601,"&lt;1")&gt;0,"Ada PO tanpa Koli - cek TMP. ","")&amp;IF(OR($AU991="",$AU991&lt;=0),"Volume kosong/0 - dimensi dikosongkan. ","")&amp;IF(AND($AU991&lt;&gt;"",$AU991&gt;=1000000),"Volume &gt;= 1.000.000 cm3 (di luar aturan) - dimensi dikosongkan. ","")&amp;IF(LEN($R991)&gt;500,"R &gt; 500 karakter.","")))</f>
        <v/>
      </c>
      <c r="AS991" t="str">
        <f>IFERROR(MATCH(ROW()-1,Calc!$J$2:$J$1601,0),"")</f>
        <v/>
      </c>
      <c r="AT991" t="str">
        <f>IFERROR(MATCH(ROW()-1,Calc!$K$2:$K$1601,0),"")</f>
        <v/>
      </c>
      <c r="AU991" t="str">
        <f>IF($AS991="","",IFERROR(INDEX('TMP Paste'!$D$2:$D$1601,$AS991)*1000000/$AB991,""))</f>
        <v/>
      </c>
    </row>
    <row r="992" spans="1:47">
      <c r="A992" t="str">
        <f>IF($AS992="","",INDEX('TMP Paste'!$B$2:$B$1601,$AS992))</f>
        <v/>
      </c>
      <c r="B992" t="str">
        <f>IF($AS992="","",Config!$B$14)</f>
        <v/>
      </c>
      <c r="C992" t="str">
        <f>IF($AS992="","",Config!$B$15)</f>
        <v/>
      </c>
      <c r="D992" t="str">
        <f>IF($AS992="","",INDEX('TMP Paste'!$B$2:$B$1601,$AS992))</f>
        <v/>
      </c>
      <c r="E992" t="str">
        <f>IF($AS992="","",Config!$B$27)</f>
        <v/>
      </c>
      <c r="F992" t="str">
        <f>IF($AS992="","",Config!$B$9)</f>
        <v/>
      </c>
      <c r="G992" t="str">
        <f>IF($AS992="","",Config!$B$10)</f>
        <v/>
      </c>
      <c r="H992" t="str">
        <f>IF($AS992="","",Config!$B$11)</f>
        <v/>
      </c>
      <c r="I992" t="str">
        <f>IF($AS992="","",Config!$B$16)</f>
        <v/>
      </c>
      <c r="J992" t="str">
        <f>IF($AS992="","",INDEX('TMP Paste'!$A$2:$A$1601,$AS992))</f>
        <v/>
      </c>
      <c r="K992" t="str">
        <f>IF($AS992="","",INDEX('TMP Paste'!$L$2:$L$1601,$AS992))</f>
        <v/>
      </c>
      <c r="L992" t="str">
        <f>IF($AS992="","",INDEX('TMP Paste'!$I$2:$I$1601,$AS992))</f>
        <v/>
      </c>
      <c r="M992" t="str">
        <f>IF($AS992="","",Config!$B$16)</f>
        <v/>
      </c>
      <c r="N992" t="str">
        <f t="shared" si="90"/>
        <v/>
      </c>
      <c r="O992" t="str">
        <f>IF($AS992="","",INDEX('TMP Paste'!$K$2:$K$1601,$AS992))</f>
        <v/>
      </c>
      <c r="P992" t="str">
        <f t="shared" si="91"/>
        <v/>
      </c>
      <c r="Q992" t="str">
        <f>IF($AS992="","",INDEX('TMP Paste'!$J$2:$J$1601,$AS992))</f>
        <v/>
      </c>
      <c r="R992" t="str">
        <f>IF($AS992="","",Config!$B$24)</f>
        <v/>
      </c>
      <c r="S992" t="str">
        <f ca="1">IF($AS992="","",TEXT(Config!$B$4,"yyyy-mm-dd"))</f>
        <v/>
      </c>
      <c r="T992" t="str">
        <f>IF($AS992="","",Config!$B$17)</f>
        <v/>
      </c>
      <c r="U992" t="str">
        <f>IF($AS992="","",Config!$B$18)</f>
        <v/>
      </c>
      <c r="V992" t="str">
        <f>IF($AS992="","",Config!$B$19)</f>
        <v/>
      </c>
      <c r="W992" t="str">
        <f>IF($AS992="","",INDEX('TMP Paste'!$C$2:$C$1601,$AS992))</f>
        <v/>
      </c>
      <c r="X992" t="str">
        <f>IF($AS992="","",Config!$B$29)</f>
        <v/>
      </c>
      <c r="Y992" t="str">
        <f>IF($AT992="","",INDEX(Calc!$I$2:$I$1601,$AT992)&amp;" - "&amp;INDEX(Calc!$D$2:$D$1601,$AT992)&amp;" koli")</f>
        <v/>
      </c>
      <c r="Z992" t="str">
        <f>IF($AS992="","",Config!$B$21)</f>
        <v/>
      </c>
      <c r="AA992" t="str">
        <f>IF($AS992="","",Config!$B$22)</f>
        <v/>
      </c>
      <c r="AB992" t="str">
        <f>IF($AT992="","",INDEX(Calc!$D$2:$D$1601,$AT992))</f>
        <v/>
      </c>
      <c r="AC992" t="str">
        <f>IF($AT992="","",INDEX(Calc!$G$2:$G$1601,$AT992))</f>
        <v/>
      </c>
      <c r="AD992" t="str">
        <f>IF($AS992="","",Config!$B$23)</f>
        <v/>
      </c>
      <c r="AE992" t="str">
        <f>IF($AS992="","",Config!$B$28)</f>
        <v/>
      </c>
      <c r="AF992" t="str">
        <f t="shared" si="92"/>
        <v/>
      </c>
      <c r="AG992" t="str">
        <f t="shared" si="93"/>
        <v/>
      </c>
      <c r="AH992" t="str">
        <f t="shared" si="94"/>
        <v/>
      </c>
      <c r="AI992" t="str">
        <f>IF($AG992="","",SUMIF($AG$2:$AG992,$AG992,$AH$2:$AH992))</f>
        <v/>
      </c>
      <c r="AJ992" t="str">
        <f>IF('TMP Paste'!$F992="","",IF('TMP Paste'!$B992="",$AJ991,'TMP Paste'!$B992))</f>
        <v/>
      </c>
      <c r="AK992" t="str">
        <f>IF('TMP Paste'!$F992="","",N('TMP Paste'!$G992))</f>
        <v/>
      </c>
      <c r="AL992" t="str">
        <f>IF('TMP Paste'!$F992="","",IF('TMP Paste'!$M992="",$AL991,'TMP Paste'!$M992))</f>
        <v/>
      </c>
      <c r="AM992" t="str">
        <f>IF('TMP Paste'!$F992="","",IF('TMP Paste'!$N992="",$AM991,'TMP Paste'!$N992))</f>
        <v/>
      </c>
      <c r="AN992" t="str">
        <f>IF('TMP Paste'!$F992="","",IF('TMP Paste'!$O992="",$AN991,'TMP Paste'!$O992))</f>
        <v/>
      </c>
      <c r="AO992" t="str">
        <f>IF('TMP Paste'!$F992="","",IF('TMP Paste'!$P992="",$AO991,'TMP Paste'!$P992))</f>
        <v/>
      </c>
      <c r="AP992" t="str">
        <f t="shared" si="95"/>
        <v/>
      </c>
      <c r="AQ992" t="str">
        <f>IF($AS992="","",TRIM(IF(COUNTIFS(Calc!$B$2:$B$1601,ROW()-1,Calc!$C$2:$C$1601,"&lt;1")&gt;0,"Ada PO tanpa Koli - cek TMP. ","")&amp;IF(OR($AU992="",$AU992&lt;=0),"Volume kosong/0 - dimensi dikosongkan. ","")&amp;IF(AND($AU992&lt;&gt;"",$AU992&gt;=1000000),"Volume &gt;= 1.000.000 cm3 (di luar aturan) - dimensi dikosongkan. ","")&amp;IF(LEN($R992)&gt;500,"R &gt; 500 karakter.","")))</f>
        <v/>
      </c>
      <c r="AS992" t="str">
        <f>IFERROR(MATCH(ROW()-1,Calc!$J$2:$J$1601,0),"")</f>
        <v/>
      </c>
      <c r="AT992" t="str">
        <f>IFERROR(MATCH(ROW()-1,Calc!$K$2:$K$1601,0),"")</f>
        <v/>
      </c>
      <c r="AU992" t="str">
        <f>IF($AS992="","",IFERROR(INDEX('TMP Paste'!$D$2:$D$1601,$AS992)*1000000/$AB992,""))</f>
        <v/>
      </c>
    </row>
    <row r="993" spans="1:47">
      <c r="A993" t="str">
        <f>IF($AS993="","",INDEX('TMP Paste'!$B$2:$B$1601,$AS993))</f>
        <v/>
      </c>
      <c r="B993" t="str">
        <f>IF($AS993="","",Config!$B$14)</f>
        <v/>
      </c>
      <c r="C993" t="str">
        <f>IF($AS993="","",Config!$B$15)</f>
        <v/>
      </c>
      <c r="D993" t="str">
        <f>IF($AS993="","",INDEX('TMP Paste'!$B$2:$B$1601,$AS993))</f>
        <v/>
      </c>
      <c r="E993" t="str">
        <f>IF($AS993="","",Config!$B$27)</f>
        <v/>
      </c>
      <c r="F993" t="str">
        <f>IF($AS993="","",Config!$B$9)</f>
        <v/>
      </c>
      <c r="G993" t="str">
        <f>IF($AS993="","",Config!$B$10)</f>
        <v/>
      </c>
      <c r="H993" t="str">
        <f>IF($AS993="","",Config!$B$11)</f>
        <v/>
      </c>
      <c r="I993" t="str">
        <f>IF($AS993="","",Config!$B$16)</f>
        <v/>
      </c>
      <c r="J993" t="str">
        <f>IF($AS993="","",INDEX('TMP Paste'!$A$2:$A$1601,$AS993))</f>
        <v/>
      </c>
      <c r="K993" t="str">
        <f>IF($AS993="","",INDEX('TMP Paste'!$L$2:$L$1601,$AS993))</f>
        <v/>
      </c>
      <c r="L993" t="str">
        <f>IF($AS993="","",INDEX('TMP Paste'!$I$2:$I$1601,$AS993))</f>
        <v/>
      </c>
      <c r="M993" t="str">
        <f>IF($AS993="","",Config!$B$16)</f>
        <v/>
      </c>
      <c r="N993" t="str">
        <f t="shared" si="90"/>
        <v/>
      </c>
      <c r="O993" t="str">
        <f>IF($AS993="","",INDEX('TMP Paste'!$K$2:$K$1601,$AS993))</f>
        <v/>
      </c>
      <c r="P993" t="str">
        <f t="shared" si="91"/>
        <v/>
      </c>
      <c r="Q993" t="str">
        <f>IF($AS993="","",INDEX('TMP Paste'!$J$2:$J$1601,$AS993))</f>
        <v/>
      </c>
      <c r="R993" t="str">
        <f>IF($AS993="","",Config!$B$24)</f>
        <v/>
      </c>
      <c r="S993" t="str">
        <f ca="1">IF($AS993="","",TEXT(Config!$B$4,"yyyy-mm-dd"))</f>
        <v/>
      </c>
      <c r="T993" t="str">
        <f>IF($AS993="","",Config!$B$17)</f>
        <v/>
      </c>
      <c r="U993" t="str">
        <f>IF($AS993="","",Config!$B$18)</f>
        <v/>
      </c>
      <c r="V993" t="str">
        <f>IF($AS993="","",Config!$B$19)</f>
        <v/>
      </c>
      <c r="W993" t="str">
        <f>IF($AS993="","",INDEX('TMP Paste'!$C$2:$C$1601,$AS993))</f>
        <v/>
      </c>
      <c r="X993" t="str">
        <f>IF($AS993="","",Config!$B$29)</f>
        <v/>
      </c>
      <c r="Y993" t="str">
        <f>IF($AT993="","",INDEX(Calc!$I$2:$I$1601,$AT993)&amp;" - "&amp;INDEX(Calc!$D$2:$D$1601,$AT993)&amp;" koli")</f>
        <v/>
      </c>
      <c r="Z993" t="str">
        <f>IF($AS993="","",Config!$B$21)</f>
        <v/>
      </c>
      <c r="AA993" t="str">
        <f>IF($AS993="","",Config!$B$22)</f>
        <v/>
      </c>
      <c r="AB993" t="str">
        <f>IF($AT993="","",INDEX(Calc!$D$2:$D$1601,$AT993))</f>
        <v/>
      </c>
      <c r="AC993" t="str">
        <f>IF($AT993="","",INDEX(Calc!$G$2:$G$1601,$AT993))</f>
        <v/>
      </c>
      <c r="AD993" t="str">
        <f>IF($AS993="","",Config!$B$23)</f>
        <v/>
      </c>
      <c r="AE993" t="str">
        <f>IF($AS993="","",Config!$B$28)</f>
        <v/>
      </c>
      <c r="AF993" t="str">
        <f t="shared" si="92"/>
        <v/>
      </c>
      <c r="AG993" t="str">
        <f t="shared" si="93"/>
        <v/>
      </c>
      <c r="AH993" t="str">
        <f t="shared" si="94"/>
        <v/>
      </c>
      <c r="AI993" t="str">
        <f>IF($AG993="","",SUMIF($AG$2:$AG993,$AG993,$AH$2:$AH993))</f>
        <v/>
      </c>
      <c r="AJ993" t="str">
        <f>IF('TMP Paste'!$F993="","",IF('TMP Paste'!$B993="",$AJ992,'TMP Paste'!$B993))</f>
        <v/>
      </c>
      <c r="AK993" t="str">
        <f>IF('TMP Paste'!$F993="","",N('TMP Paste'!$G993))</f>
        <v/>
      </c>
      <c r="AL993" t="str">
        <f>IF('TMP Paste'!$F993="","",IF('TMP Paste'!$M993="",$AL992,'TMP Paste'!$M993))</f>
        <v/>
      </c>
      <c r="AM993" t="str">
        <f>IF('TMP Paste'!$F993="","",IF('TMP Paste'!$N993="",$AM992,'TMP Paste'!$N993))</f>
        <v/>
      </c>
      <c r="AN993" t="str">
        <f>IF('TMP Paste'!$F993="","",IF('TMP Paste'!$O993="",$AN992,'TMP Paste'!$O993))</f>
        <v/>
      </c>
      <c r="AO993" t="str">
        <f>IF('TMP Paste'!$F993="","",IF('TMP Paste'!$P993="",$AO992,'TMP Paste'!$P993))</f>
        <v/>
      </c>
      <c r="AP993" t="str">
        <f t="shared" si="95"/>
        <v/>
      </c>
      <c r="AQ993" t="str">
        <f>IF($AS993="","",TRIM(IF(COUNTIFS(Calc!$B$2:$B$1601,ROW()-1,Calc!$C$2:$C$1601,"&lt;1")&gt;0,"Ada PO tanpa Koli - cek TMP. ","")&amp;IF(OR($AU993="",$AU993&lt;=0),"Volume kosong/0 - dimensi dikosongkan. ","")&amp;IF(AND($AU993&lt;&gt;"",$AU993&gt;=1000000),"Volume &gt;= 1.000.000 cm3 (di luar aturan) - dimensi dikosongkan. ","")&amp;IF(LEN($R993)&gt;500,"R &gt; 500 karakter.","")))</f>
        <v/>
      </c>
      <c r="AS993" t="str">
        <f>IFERROR(MATCH(ROW()-1,Calc!$J$2:$J$1601,0),"")</f>
        <v/>
      </c>
      <c r="AT993" t="str">
        <f>IFERROR(MATCH(ROW()-1,Calc!$K$2:$K$1601,0),"")</f>
        <v/>
      </c>
      <c r="AU993" t="str">
        <f>IF($AS993="","",IFERROR(INDEX('TMP Paste'!$D$2:$D$1601,$AS993)*1000000/$AB993,""))</f>
        <v/>
      </c>
    </row>
    <row r="994" spans="1:47">
      <c r="A994" t="str">
        <f>IF($AS994="","",INDEX('TMP Paste'!$B$2:$B$1601,$AS994))</f>
        <v/>
      </c>
      <c r="B994" t="str">
        <f>IF($AS994="","",Config!$B$14)</f>
        <v/>
      </c>
      <c r="C994" t="str">
        <f>IF($AS994="","",Config!$B$15)</f>
        <v/>
      </c>
      <c r="D994" t="str">
        <f>IF($AS994="","",INDEX('TMP Paste'!$B$2:$B$1601,$AS994))</f>
        <v/>
      </c>
      <c r="E994" t="str">
        <f>IF($AS994="","",Config!$B$27)</f>
        <v/>
      </c>
      <c r="F994" t="str">
        <f>IF($AS994="","",Config!$B$9)</f>
        <v/>
      </c>
      <c r="G994" t="str">
        <f>IF($AS994="","",Config!$B$10)</f>
        <v/>
      </c>
      <c r="H994" t="str">
        <f>IF($AS994="","",Config!$B$11)</f>
        <v/>
      </c>
      <c r="I994" t="str">
        <f>IF($AS994="","",Config!$B$16)</f>
        <v/>
      </c>
      <c r="J994" t="str">
        <f>IF($AS994="","",INDEX('TMP Paste'!$A$2:$A$1601,$AS994))</f>
        <v/>
      </c>
      <c r="K994" t="str">
        <f>IF($AS994="","",INDEX('TMP Paste'!$L$2:$L$1601,$AS994))</f>
        <v/>
      </c>
      <c r="L994" t="str">
        <f>IF($AS994="","",INDEX('TMP Paste'!$I$2:$I$1601,$AS994))</f>
        <v/>
      </c>
      <c r="M994" t="str">
        <f>IF($AS994="","",Config!$B$16)</f>
        <v/>
      </c>
      <c r="N994" t="str">
        <f t="shared" si="90"/>
        <v/>
      </c>
      <c r="O994" t="str">
        <f>IF($AS994="","",INDEX('TMP Paste'!$K$2:$K$1601,$AS994))</f>
        <v/>
      </c>
      <c r="P994" t="str">
        <f t="shared" si="91"/>
        <v/>
      </c>
      <c r="Q994" t="str">
        <f>IF($AS994="","",INDEX('TMP Paste'!$J$2:$J$1601,$AS994))</f>
        <v/>
      </c>
      <c r="R994" t="str">
        <f>IF($AS994="","",Config!$B$24)</f>
        <v/>
      </c>
      <c r="S994" t="str">
        <f ca="1">IF($AS994="","",TEXT(Config!$B$4,"yyyy-mm-dd"))</f>
        <v/>
      </c>
      <c r="T994" t="str">
        <f>IF($AS994="","",Config!$B$17)</f>
        <v/>
      </c>
      <c r="U994" t="str">
        <f>IF($AS994="","",Config!$B$18)</f>
        <v/>
      </c>
      <c r="V994" t="str">
        <f>IF($AS994="","",Config!$B$19)</f>
        <v/>
      </c>
      <c r="W994" t="str">
        <f>IF($AS994="","",INDEX('TMP Paste'!$C$2:$C$1601,$AS994))</f>
        <v/>
      </c>
      <c r="X994" t="str">
        <f>IF($AS994="","",Config!$B$29)</f>
        <v/>
      </c>
      <c r="Y994" t="str">
        <f>IF($AT994="","",INDEX(Calc!$I$2:$I$1601,$AT994)&amp;" - "&amp;INDEX(Calc!$D$2:$D$1601,$AT994)&amp;" koli")</f>
        <v/>
      </c>
      <c r="Z994" t="str">
        <f>IF($AS994="","",Config!$B$21)</f>
        <v/>
      </c>
      <c r="AA994" t="str">
        <f>IF($AS994="","",Config!$B$22)</f>
        <v/>
      </c>
      <c r="AB994" t="str">
        <f>IF($AT994="","",INDEX(Calc!$D$2:$D$1601,$AT994))</f>
        <v/>
      </c>
      <c r="AC994" t="str">
        <f>IF($AT994="","",INDEX(Calc!$G$2:$G$1601,$AT994))</f>
        <v/>
      </c>
      <c r="AD994" t="str">
        <f>IF($AS994="","",Config!$B$23)</f>
        <v/>
      </c>
      <c r="AE994" t="str">
        <f>IF($AS994="","",Config!$B$28)</f>
        <v/>
      </c>
      <c r="AF994" t="str">
        <f t="shared" si="92"/>
        <v/>
      </c>
      <c r="AG994" t="str">
        <f t="shared" si="93"/>
        <v/>
      </c>
      <c r="AH994" t="str">
        <f t="shared" si="94"/>
        <v/>
      </c>
      <c r="AI994" t="str">
        <f>IF($AG994="","",SUMIF($AG$2:$AG994,$AG994,$AH$2:$AH994))</f>
        <v/>
      </c>
      <c r="AJ994" t="str">
        <f>IF('TMP Paste'!$F994="","",IF('TMP Paste'!$B994="",$AJ993,'TMP Paste'!$B994))</f>
        <v/>
      </c>
      <c r="AK994" t="str">
        <f>IF('TMP Paste'!$F994="","",N('TMP Paste'!$G994))</f>
        <v/>
      </c>
      <c r="AL994" t="str">
        <f>IF('TMP Paste'!$F994="","",IF('TMP Paste'!$M994="",$AL993,'TMP Paste'!$M994))</f>
        <v/>
      </c>
      <c r="AM994" t="str">
        <f>IF('TMP Paste'!$F994="","",IF('TMP Paste'!$N994="",$AM993,'TMP Paste'!$N994))</f>
        <v/>
      </c>
      <c r="AN994" t="str">
        <f>IF('TMP Paste'!$F994="","",IF('TMP Paste'!$O994="",$AN993,'TMP Paste'!$O994))</f>
        <v/>
      </c>
      <c r="AO994" t="str">
        <f>IF('TMP Paste'!$F994="","",IF('TMP Paste'!$P994="",$AO993,'TMP Paste'!$P994))</f>
        <v/>
      </c>
      <c r="AP994" t="str">
        <f t="shared" si="95"/>
        <v/>
      </c>
      <c r="AQ994" t="str">
        <f>IF($AS994="","",TRIM(IF(COUNTIFS(Calc!$B$2:$B$1601,ROW()-1,Calc!$C$2:$C$1601,"&lt;1")&gt;0,"Ada PO tanpa Koli - cek TMP. ","")&amp;IF(OR($AU994="",$AU994&lt;=0),"Volume kosong/0 - dimensi dikosongkan. ","")&amp;IF(AND($AU994&lt;&gt;"",$AU994&gt;=1000000),"Volume &gt;= 1.000.000 cm3 (di luar aturan) - dimensi dikosongkan. ","")&amp;IF(LEN($R994)&gt;500,"R &gt; 500 karakter.","")))</f>
        <v/>
      </c>
      <c r="AS994" t="str">
        <f>IFERROR(MATCH(ROW()-1,Calc!$J$2:$J$1601,0),"")</f>
        <v/>
      </c>
      <c r="AT994" t="str">
        <f>IFERROR(MATCH(ROW()-1,Calc!$K$2:$K$1601,0),"")</f>
        <v/>
      </c>
      <c r="AU994" t="str">
        <f>IF($AS994="","",IFERROR(INDEX('TMP Paste'!$D$2:$D$1601,$AS994)*1000000/$AB994,""))</f>
        <v/>
      </c>
    </row>
    <row r="995" spans="1:47">
      <c r="A995" t="str">
        <f>IF($AS995="","",INDEX('TMP Paste'!$B$2:$B$1601,$AS995))</f>
        <v/>
      </c>
      <c r="B995" t="str">
        <f>IF($AS995="","",Config!$B$14)</f>
        <v/>
      </c>
      <c r="C995" t="str">
        <f>IF($AS995="","",Config!$B$15)</f>
        <v/>
      </c>
      <c r="D995" t="str">
        <f>IF($AS995="","",INDEX('TMP Paste'!$B$2:$B$1601,$AS995))</f>
        <v/>
      </c>
      <c r="E995" t="str">
        <f>IF($AS995="","",Config!$B$27)</f>
        <v/>
      </c>
      <c r="F995" t="str">
        <f>IF($AS995="","",Config!$B$9)</f>
        <v/>
      </c>
      <c r="G995" t="str">
        <f>IF($AS995="","",Config!$B$10)</f>
        <v/>
      </c>
      <c r="H995" t="str">
        <f>IF($AS995="","",Config!$B$11)</f>
        <v/>
      </c>
      <c r="I995" t="str">
        <f>IF($AS995="","",Config!$B$16)</f>
        <v/>
      </c>
      <c r="J995" t="str">
        <f>IF($AS995="","",INDEX('TMP Paste'!$A$2:$A$1601,$AS995))</f>
        <v/>
      </c>
      <c r="K995" t="str">
        <f>IF($AS995="","",INDEX('TMP Paste'!$L$2:$L$1601,$AS995))</f>
        <v/>
      </c>
      <c r="L995" t="str">
        <f>IF($AS995="","",INDEX('TMP Paste'!$I$2:$I$1601,$AS995))</f>
        <v/>
      </c>
      <c r="M995" t="str">
        <f>IF($AS995="","",Config!$B$16)</f>
        <v/>
      </c>
      <c r="N995" t="str">
        <f t="shared" si="90"/>
        <v/>
      </c>
      <c r="O995" t="str">
        <f>IF($AS995="","",INDEX('TMP Paste'!$K$2:$K$1601,$AS995))</f>
        <v/>
      </c>
      <c r="P995" t="str">
        <f t="shared" si="91"/>
        <v/>
      </c>
      <c r="Q995" t="str">
        <f>IF($AS995="","",INDEX('TMP Paste'!$J$2:$J$1601,$AS995))</f>
        <v/>
      </c>
      <c r="R995" t="str">
        <f>IF($AS995="","",Config!$B$24)</f>
        <v/>
      </c>
      <c r="S995" t="str">
        <f ca="1">IF($AS995="","",TEXT(Config!$B$4,"yyyy-mm-dd"))</f>
        <v/>
      </c>
      <c r="T995" t="str">
        <f>IF($AS995="","",Config!$B$17)</f>
        <v/>
      </c>
      <c r="U995" t="str">
        <f>IF($AS995="","",Config!$B$18)</f>
        <v/>
      </c>
      <c r="V995" t="str">
        <f>IF($AS995="","",Config!$B$19)</f>
        <v/>
      </c>
      <c r="W995" t="str">
        <f>IF($AS995="","",INDEX('TMP Paste'!$C$2:$C$1601,$AS995))</f>
        <v/>
      </c>
      <c r="X995" t="str">
        <f>IF($AS995="","",Config!$B$29)</f>
        <v/>
      </c>
      <c r="Y995" t="str">
        <f>IF($AT995="","",INDEX(Calc!$I$2:$I$1601,$AT995)&amp;" - "&amp;INDEX(Calc!$D$2:$D$1601,$AT995)&amp;" koli")</f>
        <v/>
      </c>
      <c r="Z995" t="str">
        <f>IF($AS995="","",Config!$B$21)</f>
        <v/>
      </c>
      <c r="AA995" t="str">
        <f>IF($AS995="","",Config!$B$22)</f>
        <v/>
      </c>
      <c r="AB995" t="str">
        <f>IF($AT995="","",INDEX(Calc!$D$2:$D$1601,$AT995))</f>
        <v/>
      </c>
      <c r="AC995" t="str">
        <f>IF($AT995="","",INDEX(Calc!$G$2:$G$1601,$AT995))</f>
        <v/>
      </c>
      <c r="AD995" t="str">
        <f>IF($AS995="","",Config!$B$23)</f>
        <v/>
      </c>
      <c r="AE995" t="str">
        <f>IF($AS995="","",Config!$B$28)</f>
        <v/>
      </c>
      <c r="AF995" t="str">
        <f t="shared" si="92"/>
        <v/>
      </c>
      <c r="AG995" t="str">
        <f t="shared" si="93"/>
        <v/>
      </c>
      <c r="AH995" t="str">
        <f t="shared" si="94"/>
        <v/>
      </c>
      <c r="AI995" t="str">
        <f>IF($AG995="","",SUMIF($AG$2:$AG995,$AG995,$AH$2:$AH995))</f>
        <v/>
      </c>
      <c r="AJ995" t="str">
        <f>IF('TMP Paste'!$F995="","",IF('TMP Paste'!$B995="",$AJ994,'TMP Paste'!$B995))</f>
        <v/>
      </c>
      <c r="AK995" t="str">
        <f>IF('TMP Paste'!$F995="","",N('TMP Paste'!$G995))</f>
        <v/>
      </c>
      <c r="AL995" t="str">
        <f>IF('TMP Paste'!$F995="","",IF('TMP Paste'!$M995="",$AL994,'TMP Paste'!$M995))</f>
        <v/>
      </c>
      <c r="AM995" t="str">
        <f>IF('TMP Paste'!$F995="","",IF('TMP Paste'!$N995="",$AM994,'TMP Paste'!$N995))</f>
        <v/>
      </c>
      <c r="AN995" t="str">
        <f>IF('TMP Paste'!$F995="","",IF('TMP Paste'!$O995="",$AN994,'TMP Paste'!$O995))</f>
        <v/>
      </c>
      <c r="AO995" t="str">
        <f>IF('TMP Paste'!$F995="","",IF('TMP Paste'!$P995="",$AO994,'TMP Paste'!$P995))</f>
        <v/>
      </c>
      <c r="AP995" t="str">
        <f t="shared" si="95"/>
        <v/>
      </c>
      <c r="AQ995" t="str">
        <f>IF($AS995="","",TRIM(IF(COUNTIFS(Calc!$B$2:$B$1601,ROW()-1,Calc!$C$2:$C$1601,"&lt;1")&gt;0,"Ada PO tanpa Koli - cek TMP. ","")&amp;IF(OR($AU995="",$AU995&lt;=0),"Volume kosong/0 - dimensi dikosongkan. ","")&amp;IF(AND($AU995&lt;&gt;"",$AU995&gt;=1000000),"Volume &gt;= 1.000.000 cm3 (di luar aturan) - dimensi dikosongkan. ","")&amp;IF(LEN($R995)&gt;500,"R &gt; 500 karakter.","")))</f>
        <v/>
      </c>
      <c r="AS995" t="str">
        <f>IFERROR(MATCH(ROW()-1,Calc!$J$2:$J$1601,0),"")</f>
        <v/>
      </c>
      <c r="AT995" t="str">
        <f>IFERROR(MATCH(ROW()-1,Calc!$K$2:$K$1601,0),"")</f>
        <v/>
      </c>
      <c r="AU995" t="str">
        <f>IF($AS995="","",IFERROR(INDEX('TMP Paste'!$D$2:$D$1601,$AS995)*1000000/$AB995,""))</f>
        <v/>
      </c>
    </row>
    <row r="996" spans="1:47">
      <c r="A996" t="str">
        <f>IF($AS996="","",INDEX('TMP Paste'!$B$2:$B$1601,$AS996))</f>
        <v/>
      </c>
      <c r="B996" t="str">
        <f>IF($AS996="","",Config!$B$14)</f>
        <v/>
      </c>
      <c r="C996" t="str">
        <f>IF($AS996="","",Config!$B$15)</f>
        <v/>
      </c>
      <c r="D996" t="str">
        <f>IF($AS996="","",INDEX('TMP Paste'!$B$2:$B$1601,$AS996))</f>
        <v/>
      </c>
      <c r="E996" t="str">
        <f>IF($AS996="","",Config!$B$27)</f>
        <v/>
      </c>
      <c r="F996" t="str">
        <f>IF($AS996="","",Config!$B$9)</f>
        <v/>
      </c>
      <c r="G996" t="str">
        <f>IF($AS996="","",Config!$B$10)</f>
        <v/>
      </c>
      <c r="H996" t="str">
        <f>IF($AS996="","",Config!$B$11)</f>
        <v/>
      </c>
      <c r="I996" t="str">
        <f>IF($AS996="","",Config!$B$16)</f>
        <v/>
      </c>
      <c r="J996" t="str">
        <f>IF($AS996="","",INDEX('TMP Paste'!$A$2:$A$1601,$AS996))</f>
        <v/>
      </c>
      <c r="K996" t="str">
        <f>IF($AS996="","",INDEX('TMP Paste'!$L$2:$L$1601,$AS996))</f>
        <v/>
      </c>
      <c r="L996" t="str">
        <f>IF($AS996="","",INDEX('TMP Paste'!$I$2:$I$1601,$AS996))</f>
        <v/>
      </c>
      <c r="M996" t="str">
        <f>IF($AS996="","",Config!$B$16)</f>
        <v/>
      </c>
      <c r="N996" t="str">
        <f t="shared" si="90"/>
        <v/>
      </c>
      <c r="O996" t="str">
        <f>IF($AS996="","",INDEX('TMP Paste'!$K$2:$K$1601,$AS996))</f>
        <v/>
      </c>
      <c r="P996" t="str">
        <f t="shared" si="91"/>
        <v/>
      </c>
      <c r="Q996" t="str">
        <f>IF($AS996="","",INDEX('TMP Paste'!$J$2:$J$1601,$AS996))</f>
        <v/>
      </c>
      <c r="R996" t="str">
        <f>IF($AS996="","",Config!$B$24)</f>
        <v/>
      </c>
      <c r="S996" t="str">
        <f ca="1">IF($AS996="","",TEXT(Config!$B$4,"yyyy-mm-dd"))</f>
        <v/>
      </c>
      <c r="T996" t="str">
        <f>IF($AS996="","",Config!$B$17)</f>
        <v/>
      </c>
      <c r="U996" t="str">
        <f>IF($AS996="","",Config!$B$18)</f>
        <v/>
      </c>
      <c r="V996" t="str">
        <f>IF($AS996="","",Config!$B$19)</f>
        <v/>
      </c>
      <c r="W996" t="str">
        <f>IF($AS996="","",INDEX('TMP Paste'!$C$2:$C$1601,$AS996))</f>
        <v/>
      </c>
      <c r="X996" t="str">
        <f>IF($AS996="","",Config!$B$29)</f>
        <v/>
      </c>
      <c r="Y996" t="str">
        <f>IF($AT996="","",INDEX(Calc!$I$2:$I$1601,$AT996)&amp;" - "&amp;INDEX(Calc!$D$2:$D$1601,$AT996)&amp;" koli")</f>
        <v/>
      </c>
      <c r="Z996" t="str">
        <f>IF($AS996="","",Config!$B$21)</f>
        <v/>
      </c>
      <c r="AA996" t="str">
        <f>IF($AS996="","",Config!$B$22)</f>
        <v/>
      </c>
      <c r="AB996" t="str">
        <f>IF($AT996="","",INDEX(Calc!$D$2:$D$1601,$AT996))</f>
        <v/>
      </c>
      <c r="AC996" t="str">
        <f>IF($AT996="","",INDEX(Calc!$G$2:$G$1601,$AT996))</f>
        <v/>
      </c>
      <c r="AD996" t="str">
        <f>IF($AS996="","",Config!$B$23)</f>
        <v/>
      </c>
      <c r="AE996" t="str">
        <f>IF($AS996="","",Config!$B$28)</f>
        <v/>
      </c>
      <c r="AF996" t="str">
        <f t="shared" si="92"/>
        <v/>
      </c>
      <c r="AG996" t="str">
        <f t="shared" si="93"/>
        <v/>
      </c>
      <c r="AH996" t="str">
        <f t="shared" si="94"/>
        <v/>
      </c>
      <c r="AI996" t="str">
        <f>IF($AG996="","",SUMIF($AG$2:$AG996,$AG996,$AH$2:$AH996))</f>
        <v/>
      </c>
      <c r="AJ996" t="str">
        <f>IF('TMP Paste'!$F996="","",IF('TMP Paste'!$B996="",$AJ995,'TMP Paste'!$B996))</f>
        <v/>
      </c>
      <c r="AK996" t="str">
        <f>IF('TMP Paste'!$F996="","",N('TMP Paste'!$G996))</f>
        <v/>
      </c>
      <c r="AL996" t="str">
        <f>IF('TMP Paste'!$F996="","",IF('TMP Paste'!$M996="",$AL995,'TMP Paste'!$M996))</f>
        <v/>
      </c>
      <c r="AM996" t="str">
        <f>IF('TMP Paste'!$F996="","",IF('TMP Paste'!$N996="",$AM995,'TMP Paste'!$N996))</f>
        <v/>
      </c>
      <c r="AN996" t="str">
        <f>IF('TMP Paste'!$F996="","",IF('TMP Paste'!$O996="",$AN995,'TMP Paste'!$O996))</f>
        <v/>
      </c>
      <c r="AO996" t="str">
        <f>IF('TMP Paste'!$F996="","",IF('TMP Paste'!$P996="",$AO995,'TMP Paste'!$P996))</f>
        <v/>
      </c>
      <c r="AP996" t="str">
        <f t="shared" si="95"/>
        <v/>
      </c>
      <c r="AQ996" t="str">
        <f>IF($AS996="","",TRIM(IF(COUNTIFS(Calc!$B$2:$B$1601,ROW()-1,Calc!$C$2:$C$1601,"&lt;1")&gt;0,"Ada PO tanpa Koli - cek TMP. ","")&amp;IF(OR($AU996="",$AU996&lt;=0),"Volume kosong/0 - dimensi dikosongkan. ","")&amp;IF(AND($AU996&lt;&gt;"",$AU996&gt;=1000000),"Volume &gt;= 1.000.000 cm3 (di luar aturan) - dimensi dikosongkan. ","")&amp;IF(LEN($R996)&gt;500,"R &gt; 500 karakter.","")))</f>
        <v/>
      </c>
      <c r="AS996" t="str">
        <f>IFERROR(MATCH(ROW()-1,Calc!$J$2:$J$1601,0),"")</f>
        <v/>
      </c>
      <c r="AT996" t="str">
        <f>IFERROR(MATCH(ROW()-1,Calc!$K$2:$K$1601,0),"")</f>
        <v/>
      </c>
      <c r="AU996" t="str">
        <f>IF($AS996="","",IFERROR(INDEX('TMP Paste'!$D$2:$D$1601,$AS996)*1000000/$AB996,""))</f>
        <v/>
      </c>
    </row>
    <row r="997" spans="1:47">
      <c r="A997" t="str">
        <f>IF($AS997="","",INDEX('TMP Paste'!$B$2:$B$1601,$AS997))</f>
        <v/>
      </c>
      <c r="B997" t="str">
        <f>IF($AS997="","",Config!$B$14)</f>
        <v/>
      </c>
      <c r="C997" t="str">
        <f>IF($AS997="","",Config!$B$15)</f>
        <v/>
      </c>
      <c r="D997" t="str">
        <f>IF($AS997="","",INDEX('TMP Paste'!$B$2:$B$1601,$AS997))</f>
        <v/>
      </c>
      <c r="E997" t="str">
        <f>IF($AS997="","",Config!$B$27)</f>
        <v/>
      </c>
      <c r="F997" t="str">
        <f>IF($AS997="","",Config!$B$9)</f>
        <v/>
      </c>
      <c r="G997" t="str">
        <f>IF($AS997="","",Config!$B$10)</f>
        <v/>
      </c>
      <c r="H997" t="str">
        <f>IF($AS997="","",Config!$B$11)</f>
        <v/>
      </c>
      <c r="I997" t="str">
        <f>IF($AS997="","",Config!$B$16)</f>
        <v/>
      </c>
      <c r="J997" t="str">
        <f>IF($AS997="","",INDEX('TMP Paste'!$A$2:$A$1601,$AS997))</f>
        <v/>
      </c>
      <c r="K997" t="str">
        <f>IF($AS997="","",INDEX('TMP Paste'!$L$2:$L$1601,$AS997))</f>
        <v/>
      </c>
      <c r="L997" t="str">
        <f>IF($AS997="","",INDEX('TMP Paste'!$I$2:$I$1601,$AS997))</f>
        <v/>
      </c>
      <c r="M997" t="str">
        <f>IF($AS997="","",Config!$B$16)</f>
        <v/>
      </c>
      <c r="N997" t="str">
        <f t="shared" si="90"/>
        <v/>
      </c>
      <c r="O997" t="str">
        <f>IF($AS997="","",INDEX('TMP Paste'!$K$2:$K$1601,$AS997))</f>
        <v/>
      </c>
      <c r="P997" t="str">
        <f t="shared" si="91"/>
        <v/>
      </c>
      <c r="Q997" t="str">
        <f>IF($AS997="","",INDEX('TMP Paste'!$J$2:$J$1601,$AS997))</f>
        <v/>
      </c>
      <c r="R997" t="str">
        <f>IF($AS997="","",Config!$B$24)</f>
        <v/>
      </c>
      <c r="S997" t="str">
        <f ca="1">IF($AS997="","",TEXT(Config!$B$4,"yyyy-mm-dd"))</f>
        <v/>
      </c>
      <c r="T997" t="str">
        <f>IF($AS997="","",Config!$B$17)</f>
        <v/>
      </c>
      <c r="U997" t="str">
        <f>IF($AS997="","",Config!$B$18)</f>
        <v/>
      </c>
      <c r="V997" t="str">
        <f>IF($AS997="","",Config!$B$19)</f>
        <v/>
      </c>
      <c r="W997" t="str">
        <f>IF($AS997="","",INDEX('TMP Paste'!$C$2:$C$1601,$AS997))</f>
        <v/>
      </c>
      <c r="X997" t="str">
        <f>IF($AS997="","",Config!$B$29)</f>
        <v/>
      </c>
      <c r="Y997" t="str">
        <f>IF($AT997="","",INDEX(Calc!$I$2:$I$1601,$AT997)&amp;" - "&amp;INDEX(Calc!$D$2:$D$1601,$AT997)&amp;" koli")</f>
        <v/>
      </c>
      <c r="Z997" t="str">
        <f>IF($AS997="","",Config!$B$21)</f>
        <v/>
      </c>
      <c r="AA997" t="str">
        <f>IF($AS997="","",Config!$B$22)</f>
        <v/>
      </c>
      <c r="AB997" t="str">
        <f>IF($AT997="","",INDEX(Calc!$D$2:$D$1601,$AT997))</f>
        <v/>
      </c>
      <c r="AC997" t="str">
        <f>IF($AT997="","",INDEX(Calc!$G$2:$G$1601,$AT997))</f>
        <v/>
      </c>
      <c r="AD997" t="str">
        <f>IF($AS997="","",Config!$B$23)</f>
        <v/>
      </c>
      <c r="AE997" t="str">
        <f>IF($AS997="","",Config!$B$28)</f>
        <v/>
      </c>
      <c r="AF997" t="str">
        <f t="shared" si="92"/>
        <v/>
      </c>
      <c r="AG997" t="str">
        <f t="shared" si="93"/>
        <v/>
      </c>
      <c r="AH997" t="str">
        <f t="shared" si="94"/>
        <v/>
      </c>
      <c r="AI997" t="str">
        <f>IF($AG997="","",SUMIF($AG$2:$AG997,$AG997,$AH$2:$AH997))</f>
        <v/>
      </c>
      <c r="AJ997" t="str">
        <f>IF('TMP Paste'!$F997="","",IF('TMP Paste'!$B997="",$AJ996,'TMP Paste'!$B997))</f>
        <v/>
      </c>
      <c r="AK997" t="str">
        <f>IF('TMP Paste'!$F997="","",N('TMP Paste'!$G997))</f>
        <v/>
      </c>
      <c r="AL997" t="str">
        <f>IF('TMP Paste'!$F997="","",IF('TMP Paste'!$M997="",$AL996,'TMP Paste'!$M997))</f>
        <v/>
      </c>
      <c r="AM997" t="str">
        <f>IF('TMP Paste'!$F997="","",IF('TMP Paste'!$N997="",$AM996,'TMP Paste'!$N997))</f>
        <v/>
      </c>
      <c r="AN997" t="str">
        <f>IF('TMP Paste'!$F997="","",IF('TMP Paste'!$O997="",$AN996,'TMP Paste'!$O997))</f>
        <v/>
      </c>
      <c r="AO997" t="str">
        <f>IF('TMP Paste'!$F997="","",IF('TMP Paste'!$P997="",$AO996,'TMP Paste'!$P997))</f>
        <v/>
      </c>
      <c r="AP997" t="str">
        <f t="shared" si="95"/>
        <v/>
      </c>
      <c r="AQ997" t="str">
        <f>IF($AS997="","",TRIM(IF(COUNTIFS(Calc!$B$2:$B$1601,ROW()-1,Calc!$C$2:$C$1601,"&lt;1")&gt;0,"Ada PO tanpa Koli - cek TMP. ","")&amp;IF(OR($AU997="",$AU997&lt;=0),"Volume kosong/0 - dimensi dikosongkan. ","")&amp;IF(AND($AU997&lt;&gt;"",$AU997&gt;=1000000),"Volume &gt;= 1.000.000 cm3 (di luar aturan) - dimensi dikosongkan. ","")&amp;IF(LEN($R997)&gt;500,"R &gt; 500 karakter.","")))</f>
        <v/>
      </c>
      <c r="AS997" t="str">
        <f>IFERROR(MATCH(ROW()-1,Calc!$J$2:$J$1601,0),"")</f>
        <v/>
      </c>
      <c r="AT997" t="str">
        <f>IFERROR(MATCH(ROW()-1,Calc!$K$2:$K$1601,0),"")</f>
        <v/>
      </c>
      <c r="AU997" t="str">
        <f>IF($AS997="","",IFERROR(INDEX('TMP Paste'!$D$2:$D$1601,$AS997)*1000000/$AB997,""))</f>
        <v/>
      </c>
    </row>
    <row r="998" spans="1:47">
      <c r="A998" t="str">
        <f>IF($AS998="","",INDEX('TMP Paste'!$B$2:$B$1601,$AS998))</f>
        <v/>
      </c>
      <c r="B998" t="str">
        <f>IF($AS998="","",Config!$B$14)</f>
        <v/>
      </c>
      <c r="C998" t="str">
        <f>IF($AS998="","",Config!$B$15)</f>
        <v/>
      </c>
      <c r="D998" t="str">
        <f>IF($AS998="","",INDEX('TMP Paste'!$B$2:$B$1601,$AS998))</f>
        <v/>
      </c>
      <c r="E998" t="str">
        <f>IF($AS998="","",Config!$B$27)</f>
        <v/>
      </c>
      <c r="F998" t="str">
        <f>IF($AS998="","",Config!$B$9)</f>
        <v/>
      </c>
      <c r="G998" t="str">
        <f>IF($AS998="","",Config!$B$10)</f>
        <v/>
      </c>
      <c r="H998" t="str">
        <f>IF($AS998="","",Config!$B$11)</f>
        <v/>
      </c>
      <c r="I998" t="str">
        <f>IF($AS998="","",Config!$B$16)</f>
        <v/>
      </c>
      <c r="J998" t="str">
        <f>IF($AS998="","",INDEX('TMP Paste'!$A$2:$A$1601,$AS998))</f>
        <v/>
      </c>
      <c r="K998" t="str">
        <f>IF($AS998="","",INDEX('TMP Paste'!$L$2:$L$1601,$AS998))</f>
        <v/>
      </c>
      <c r="L998" t="str">
        <f>IF($AS998="","",INDEX('TMP Paste'!$I$2:$I$1601,$AS998))</f>
        <v/>
      </c>
      <c r="M998" t="str">
        <f>IF($AS998="","",Config!$B$16)</f>
        <v/>
      </c>
      <c r="N998" t="str">
        <f t="shared" si="90"/>
        <v/>
      </c>
      <c r="O998" t="str">
        <f>IF($AS998="","",INDEX('TMP Paste'!$K$2:$K$1601,$AS998))</f>
        <v/>
      </c>
      <c r="P998" t="str">
        <f t="shared" si="91"/>
        <v/>
      </c>
      <c r="Q998" t="str">
        <f>IF($AS998="","",INDEX('TMP Paste'!$J$2:$J$1601,$AS998))</f>
        <v/>
      </c>
      <c r="R998" t="str">
        <f>IF($AS998="","",Config!$B$24)</f>
        <v/>
      </c>
      <c r="S998" t="str">
        <f ca="1">IF($AS998="","",TEXT(Config!$B$4,"yyyy-mm-dd"))</f>
        <v/>
      </c>
      <c r="T998" t="str">
        <f>IF($AS998="","",Config!$B$17)</f>
        <v/>
      </c>
      <c r="U998" t="str">
        <f>IF($AS998="","",Config!$B$18)</f>
        <v/>
      </c>
      <c r="V998" t="str">
        <f>IF($AS998="","",Config!$B$19)</f>
        <v/>
      </c>
      <c r="W998" t="str">
        <f>IF($AS998="","",INDEX('TMP Paste'!$C$2:$C$1601,$AS998))</f>
        <v/>
      </c>
      <c r="X998" t="str">
        <f>IF($AS998="","",Config!$B$29)</f>
        <v/>
      </c>
      <c r="Y998" t="str">
        <f>IF($AT998="","",INDEX(Calc!$I$2:$I$1601,$AT998)&amp;" - "&amp;INDEX(Calc!$D$2:$D$1601,$AT998)&amp;" koli")</f>
        <v/>
      </c>
      <c r="Z998" t="str">
        <f>IF($AS998="","",Config!$B$21)</f>
        <v/>
      </c>
      <c r="AA998" t="str">
        <f>IF($AS998="","",Config!$B$22)</f>
        <v/>
      </c>
      <c r="AB998" t="str">
        <f>IF($AT998="","",INDEX(Calc!$D$2:$D$1601,$AT998))</f>
        <v/>
      </c>
      <c r="AC998" t="str">
        <f>IF($AT998="","",INDEX(Calc!$G$2:$G$1601,$AT998))</f>
        <v/>
      </c>
      <c r="AD998" t="str">
        <f>IF($AS998="","",Config!$B$23)</f>
        <v/>
      </c>
      <c r="AE998" t="str">
        <f>IF($AS998="","",Config!$B$28)</f>
        <v/>
      </c>
      <c r="AF998" t="str">
        <f t="shared" si="92"/>
        <v/>
      </c>
      <c r="AG998" t="str">
        <f t="shared" si="93"/>
        <v/>
      </c>
      <c r="AH998" t="str">
        <f t="shared" si="94"/>
        <v/>
      </c>
      <c r="AI998" t="str">
        <f>IF($AG998="","",SUMIF($AG$2:$AG998,$AG998,$AH$2:$AH998))</f>
        <v/>
      </c>
      <c r="AJ998" t="str">
        <f>IF('TMP Paste'!$F998="","",IF('TMP Paste'!$B998="",$AJ997,'TMP Paste'!$B998))</f>
        <v/>
      </c>
      <c r="AK998" t="str">
        <f>IF('TMP Paste'!$F998="","",N('TMP Paste'!$G998))</f>
        <v/>
      </c>
      <c r="AL998" t="str">
        <f>IF('TMP Paste'!$F998="","",IF('TMP Paste'!$M998="",$AL997,'TMP Paste'!$M998))</f>
        <v/>
      </c>
      <c r="AM998" t="str">
        <f>IF('TMP Paste'!$F998="","",IF('TMP Paste'!$N998="",$AM997,'TMP Paste'!$N998))</f>
        <v/>
      </c>
      <c r="AN998" t="str">
        <f>IF('TMP Paste'!$F998="","",IF('TMP Paste'!$O998="",$AN997,'TMP Paste'!$O998))</f>
        <v/>
      </c>
      <c r="AO998" t="str">
        <f>IF('TMP Paste'!$F998="","",IF('TMP Paste'!$P998="",$AO997,'TMP Paste'!$P998))</f>
        <v/>
      </c>
      <c r="AP998" t="str">
        <f t="shared" si="95"/>
        <v/>
      </c>
      <c r="AQ998" t="str">
        <f>IF($AS998="","",TRIM(IF(COUNTIFS(Calc!$B$2:$B$1601,ROW()-1,Calc!$C$2:$C$1601,"&lt;1")&gt;0,"Ada PO tanpa Koli - cek TMP. ","")&amp;IF(OR($AU998="",$AU998&lt;=0),"Volume kosong/0 - dimensi dikosongkan. ","")&amp;IF(AND($AU998&lt;&gt;"",$AU998&gt;=1000000),"Volume &gt;= 1.000.000 cm3 (di luar aturan) - dimensi dikosongkan. ","")&amp;IF(LEN($R998)&gt;500,"R &gt; 500 karakter.","")))</f>
        <v/>
      </c>
      <c r="AS998" t="str">
        <f>IFERROR(MATCH(ROW()-1,Calc!$J$2:$J$1601,0),"")</f>
        <v/>
      </c>
      <c r="AT998" t="str">
        <f>IFERROR(MATCH(ROW()-1,Calc!$K$2:$K$1601,0),"")</f>
        <v/>
      </c>
      <c r="AU998" t="str">
        <f>IF($AS998="","",IFERROR(INDEX('TMP Paste'!$D$2:$D$1601,$AS998)*1000000/$AB998,""))</f>
        <v/>
      </c>
    </row>
    <row r="999" spans="1:47">
      <c r="A999" t="str">
        <f>IF($AS999="","",INDEX('TMP Paste'!$B$2:$B$1601,$AS999))</f>
        <v/>
      </c>
      <c r="B999" t="str">
        <f>IF($AS999="","",Config!$B$14)</f>
        <v/>
      </c>
      <c r="C999" t="str">
        <f>IF($AS999="","",Config!$B$15)</f>
        <v/>
      </c>
      <c r="D999" t="str">
        <f>IF($AS999="","",INDEX('TMP Paste'!$B$2:$B$1601,$AS999))</f>
        <v/>
      </c>
      <c r="E999" t="str">
        <f>IF($AS999="","",Config!$B$27)</f>
        <v/>
      </c>
      <c r="F999" t="str">
        <f>IF($AS999="","",Config!$B$9)</f>
        <v/>
      </c>
      <c r="G999" t="str">
        <f>IF($AS999="","",Config!$B$10)</f>
        <v/>
      </c>
      <c r="H999" t="str">
        <f>IF($AS999="","",Config!$B$11)</f>
        <v/>
      </c>
      <c r="I999" t="str">
        <f>IF($AS999="","",Config!$B$16)</f>
        <v/>
      </c>
      <c r="J999" t="str">
        <f>IF($AS999="","",INDEX('TMP Paste'!$A$2:$A$1601,$AS999))</f>
        <v/>
      </c>
      <c r="K999" t="str">
        <f>IF($AS999="","",INDEX('TMP Paste'!$L$2:$L$1601,$AS999))</f>
        <v/>
      </c>
      <c r="L999" t="str">
        <f>IF($AS999="","",INDEX('TMP Paste'!$I$2:$I$1601,$AS999))</f>
        <v/>
      </c>
      <c r="M999" t="str">
        <f>IF($AS999="","",Config!$B$16)</f>
        <v/>
      </c>
      <c r="N999" t="str">
        <f t="shared" si="90"/>
        <v/>
      </c>
      <c r="O999" t="str">
        <f>IF($AS999="","",INDEX('TMP Paste'!$K$2:$K$1601,$AS999))</f>
        <v/>
      </c>
      <c r="P999" t="str">
        <f t="shared" si="91"/>
        <v/>
      </c>
      <c r="Q999" t="str">
        <f>IF($AS999="","",INDEX('TMP Paste'!$J$2:$J$1601,$AS999))</f>
        <v/>
      </c>
      <c r="R999" t="str">
        <f>IF($AS999="","",Config!$B$24)</f>
        <v/>
      </c>
      <c r="S999" t="str">
        <f ca="1">IF($AS999="","",TEXT(Config!$B$4,"yyyy-mm-dd"))</f>
        <v/>
      </c>
      <c r="T999" t="str">
        <f>IF($AS999="","",Config!$B$17)</f>
        <v/>
      </c>
      <c r="U999" t="str">
        <f>IF($AS999="","",Config!$B$18)</f>
        <v/>
      </c>
      <c r="V999" t="str">
        <f>IF($AS999="","",Config!$B$19)</f>
        <v/>
      </c>
      <c r="W999" t="str">
        <f>IF($AS999="","",INDEX('TMP Paste'!$C$2:$C$1601,$AS999))</f>
        <v/>
      </c>
      <c r="X999" t="str">
        <f>IF($AS999="","",Config!$B$29)</f>
        <v/>
      </c>
      <c r="Y999" t="str">
        <f>IF($AT999="","",INDEX(Calc!$I$2:$I$1601,$AT999)&amp;" - "&amp;INDEX(Calc!$D$2:$D$1601,$AT999)&amp;" koli")</f>
        <v/>
      </c>
      <c r="Z999" t="str">
        <f>IF($AS999="","",Config!$B$21)</f>
        <v/>
      </c>
      <c r="AA999" t="str">
        <f>IF($AS999="","",Config!$B$22)</f>
        <v/>
      </c>
      <c r="AB999" t="str">
        <f>IF($AT999="","",INDEX(Calc!$D$2:$D$1601,$AT999))</f>
        <v/>
      </c>
      <c r="AC999" t="str">
        <f>IF($AT999="","",INDEX(Calc!$G$2:$G$1601,$AT999))</f>
        <v/>
      </c>
      <c r="AD999" t="str">
        <f>IF($AS999="","",Config!$B$23)</f>
        <v/>
      </c>
      <c r="AE999" t="str">
        <f>IF($AS999="","",Config!$B$28)</f>
        <v/>
      </c>
      <c r="AF999" t="str">
        <f t="shared" si="92"/>
        <v/>
      </c>
      <c r="AG999" t="str">
        <f t="shared" si="93"/>
        <v/>
      </c>
      <c r="AH999" t="str">
        <f t="shared" si="94"/>
        <v/>
      </c>
      <c r="AI999" t="str">
        <f>IF($AG999="","",SUMIF($AG$2:$AG999,$AG999,$AH$2:$AH999))</f>
        <v/>
      </c>
      <c r="AJ999" t="str">
        <f>IF('TMP Paste'!$F999="","",IF('TMP Paste'!$B999="",$AJ998,'TMP Paste'!$B999))</f>
        <v/>
      </c>
      <c r="AK999" t="str">
        <f>IF('TMP Paste'!$F999="","",N('TMP Paste'!$G999))</f>
        <v/>
      </c>
      <c r="AL999" t="str">
        <f>IF('TMP Paste'!$F999="","",IF('TMP Paste'!$M999="",$AL998,'TMP Paste'!$M999))</f>
        <v/>
      </c>
      <c r="AM999" t="str">
        <f>IF('TMP Paste'!$F999="","",IF('TMP Paste'!$N999="",$AM998,'TMP Paste'!$N999))</f>
        <v/>
      </c>
      <c r="AN999" t="str">
        <f>IF('TMP Paste'!$F999="","",IF('TMP Paste'!$O999="",$AN998,'TMP Paste'!$O999))</f>
        <v/>
      </c>
      <c r="AO999" t="str">
        <f>IF('TMP Paste'!$F999="","",IF('TMP Paste'!$P999="",$AO998,'TMP Paste'!$P999))</f>
        <v/>
      </c>
      <c r="AP999" t="str">
        <f t="shared" si="95"/>
        <v/>
      </c>
      <c r="AQ999" t="str">
        <f>IF($AS999="","",TRIM(IF(COUNTIFS(Calc!$B$2:$B$1601,ROW()-1,Calc!$C$2:$C$1601,"&lt;1")&gt;0,"Ada PO tanpa Koli - cek TMP. ","")&amp;IF(OR($AU999="",$AU999&lt;=0),"Volume kosong/0 - dimensi dikosongkan. ","")&amp;IF(AND($AU999&lt;&gt;"",$AU999&gt;=1000000),"Volume &gt;= 1.000.000 cm3 (di luar aturan) - dimensi dikosongkan. ","")&amp;IF(LEN($R999)&gt;500,"R &gt; 500 karakter.","")))</f>
        <v/>
      </c>
      <c r="AS999" t="str">
        <f>IFERROR(MATCH(ROW()-1,Calc!$J$2:$J$1601,0),"")</f>
        <v/>
      </c>
      <c r="AT999" t="str">
        <f>IFERROR(MATCH(ROW()-1,Calc!$K$2:$K$1601,0),"")</f>
        <v/>
      </c>
      <c r="AU999" t="str">
        <f>IF($AS999="","",IFERROR(INDEX('TMP Paste'!$D$2:$D$1601,$AS999)*1000000/$AB999,""))</f>
        <v/>
      </c>
    </row>
    <row r="1000" spans="1:47">
      <c r="A1000" t="str">
        <f>IF($AS1000="","",INDEX('TMP Paste'!$B$2:$B$1601,$AS1000))</f>
        <v/>
      </c>
      <c r="B1000" t="str">
        <f>IF($AS1000="","",Config!$B$14)</f>
        <v/>
      </c>
      <c r="C1000" t="str">
        <f>IF($AS1000="","",Config!$B$15)</f>
        <v/>
      </c>
      <c r="D1000" t="str">
        <f>IF($AS1000="","",INDEX('TMP Paste'!$B$2:$B$1601,$AS1000))</f>
        <v/>
      </c>
      <c r="E1000" t="str">
        <f>IF($AS1000="","",Config!$B$27)</f>
        <v/>
      </c>
      <c r="F1000" t="str">
        <f>IF($AS1000="","",Config!$B$9)</f>
        <v/>
      </c>
      <c r="G1000" t="str">
        <f>IF($AS1000="","",Config!$B$10)</f>
        <v/>
      </c>
      <c r="H1000" t="str">
        <f>IF($AS1000="","",Config!$B$11)</f>
        <v/>
      </c>
      <c r="I1000" t="str">
        <f>IF($AS1000="","",Config!$B$16)</f>
        <v/>
      </c>
      <c r="J1000" t="str">
        <f>IF($AS1000="","",INDEX('TMP Paste'!$A$2:$A$1601,$AS1000))</f>
        <v/>
      </c>
      <c r="K1000" t="str">
        <f>IF($AS1000="","",INDEX('TMP Paste'!$L$2:$L$1601,$AS1000))</f>
        <v/>
      </c>
      <c r="L1000" t="str">
        <f>IF($AS1000="","",INDEX('TMP Paste'!$I$2:$I$1601,$AS1000))</f>
        <v/>
      </c>
      <c r="M1000" t="str">
        <f>IF($AS1000="","",Config!$B$16)</f>
        <v/>
      </c>
      <c r="N1000" t="str">
        <f t="shared" si="90"/>
        <v/>
      </c>
      <c r="O1000" t="str">
        <f>IF($AS1000="","",INDEX('TMP Paste'!$K$2:$K$1601,$AS1000))</f>
        <v/>
      </c>
      <c r="P1000" t="str">
        <f t="shared" si="91"/>
        <v/>
      </c>
      <c r="Q1000" t="str">
        <f>IF($AS1000="","",INDEX('TMP Paste'!$J$2:$J$1601,$AS1000))</f>
        <v/>
      </c>
      <c r="R1000" t="str">
        <f>IF($AS1000="","",Config!$B$24)</f>
        <v/>
      </c>
      <c r="S1000" t="str">
        <f ca="1">IF($AS1000="","",TEXT(Config!$B$4,"yyyy-mm-dd"))</f>
        <v/>
      </c>
      <c r="T1000" t="str">
        <f>IF($AS1000="","",Config!$B$17)</f>
        <v/>
      </c>
      <c r="U1000" t="str">
        <f>IF($AS1000="","",Config!$B$18)</f>
        <v/>
      </c>
      <c r="V1000" t="str">
        <f>IF($AS1000="","",Config!$B$19)</f>
        <v/>
      </c>
      <c r="W1000" t="str">
        <f>IF($AS1000="","",INDEX('TMP Paste'!$C$2:$C$1601,$AS1000))</f>
        <v/>
      </c>
      <c r="X1000" t="str">
        <f>IF($AS1000="","",Config!$B$29)</f>
        <v/>
      </c>
      <c r="Y1000" t="str">
        <f>IF($AT1000="","",INDEX(Calc!$I$2:$I$1601,$AT1000)&amp;" - "&amp;INDEX(Calc!$D$2:$D$1601,$AT1000)&amp;" koli")</f>
        <v/>
      </c>
      <c r="Z1000" t="str">
        <f>IF($AS1000="","",Config!$B$21)</f>
        <v/>
      </c>
      <c r="AA1000" t="str">
        <f>IF($AS1000="","",Config!$B$22)</f>
        <v/>
      </c>
      <c r="AB1000" t="str">
        <f>IF($AT1000="","",INDEX(Calc!$D$2:$D$1601,$AT1000))</f>
        <v/>
      </c>
      <c r="AC1000" t="str">
        <f>IF($AT1000="","",INDEX(Calc!$G$2:$G$1601,$AT1000))</f>
        <v/>
      </c>
      <c r="AD1000" t="str">
        <f>IF($AS1000="","",Config!$B$23)</f>
        <v/>
      </c>
      <c r="AE1000" t="str">
        <f>IF($AS1000="","",Config!$B$28)</f>
        <v/>
      </c>
      <c r="AF1000" t="str">
        <f t="shared" si="92"/>
        <v/>
      </c>
      <c r="AG1000" t="str">
        <f t="shared" si="93"/>
        <v/>
      </c>
      <c r="AH1000" t="str">
        <f t="shared" si="94"/>
        <v/>
      </c>
      <c r="AI1000" t="str">
        <f>IF($AG1000="","",SUMIF($AG$2:$AG1000,$AG1000,$AH$2:$AH1000))</f>
        <v/>
      </c>
      <c r="AJ1000" t="str">
        <f>IF('TMP Paste'!$F1000="","",IF('TMP Paste'!$B1000="",$AJ999,'TMP Paste'!$B1000))</f>
        <v/>
      </c>
      <c r="AK1000" t="str">
        <f>IF('TMP Paste'!$F1000="","",N('TMP Paste'!$G1000))</f>
        <v/>
      </c>
      <c r="AL1000" t="str">
        <f>IF('TMP Paste'!$F1000="","",IF('TMP Paste'!$M1000="",$AL999,'TMP Paste'!$M1000))</f>
        <v/>
      </c>
      <c r="AM1000" t="str">
        <f>IF('TMP Paste'!$F1000="","",IF('TMP Paste'!$N1000="",$AM999,'TMP Paste'!$N1000))</f>
        <v/>
      </c>
      <c r="AN1000" t="str">
        <f>IF('TMP Paste'!$F1000="","",IF('TMP Paste'!$O1000="",$AN999,'TMP Paste'!$O1000))</f>
        <v/>
      </c>
      <c r="AO1000" t="str">
        <f>IF('TMP Paste'!$F1000="","",IF('TMP Paste'!$P1000="",$AO999,'TMP Paste'!$P1000))</f>
        <v/>
      </c>
      <c r="AP1000" t="str">
        <f t="shared" si="95"/>
        <v/>
      </c>
      <c r="AQ1000" t="str">
        <f>IF($AS1000="","",TRIM(IF(COUNTIFS(Calc!$B$2:$B$1601,ROW()-1,Calc!$C$2:$C$1601,"&lt;1")&gt;0,"Ada PO tanpa Koli - cek TMP. ","")&amp;IF(OR($AU1000="",$AU1000&lt;=0),"Volume kosong/0 - dimensi dikosongkan. ","")&amp;IF(AND($AU1000&lt;&gt;"",$AU1000&gt;=1000000),"Volume &gt;= 1.000.000 cm3 (di luar aturan) - dimensi dikosongkan. ","")&amp;IF(LEN($R1000)&gt;500,"R &gt; 500 karakter.","")))</f>
        <v/>
      </c>
      <c r="AS1000" t="str">
        <f>IFERROR(MATCH(ROW()-1,Calc!$J$2:$J$1601,0),"")</f>
        <v/>
      </c>
      <c r="AT1000" t="str">
        <f>IFERROR(MATCH(ROW()-1,Calc!$K$2:$K$1601,0),"")</f>
        <v/>
      </c>
      <c r="AU1000" t="str">
        <f>IF($AS1000="","",IFERROR(INDEX('TMP Paste'!$D$2:$D$1601,$AS1000)*1000000/$AB1000,""))</f>
        <v/>
      </c>
    </row>
    <row r="1001" spans="1:47">
      <c r="A1001" t="str">
        <f>IF($AS1001="","",INDEX('TMP Paste'!$B$2:$B$1601,$AS1001))</f>
        <v/>
      </c>
      <c r="B1001" t="str">
        <f>IF($AS1001="","",Config!$B$14)</f>
        <v/>
      </c>
      <c r="C1001" t="str">
        <f>IF($AS1001="","",Config!$B$15)</f>
        <v/>
      </c>
      <c r="D1001" t="str">
        <f>IF($AS1001="","",INDEX('TMP Paste'!$B$2:$B$1601,$AS1001))</f>
        <v/>
      </c>
      <c r="E1001" t="str">
        <f>IF($AS1001="","",Config!$B$27)</f>
        <v/>
      </c>
      <c r="F1001" t="str">
        <f>IF($AS1001="","",Config!$B$9)</f>
        <v/>
      </c>
      <c r="G1001" t="str">
        <f>IF($AS1001="","",Config!$B$10)</f>
        <v/>
      </c>
      <c r="H1001" t="str">
        <f>IF($AS1001="","",Config!$B$11)</f>
        <v/>
      </c>
      <c r="I1001" t="str">
        <f>IF($AS1001="","",Config!$B$16)</f>
        <v/>
      </c>
      <c r="J1001" t="str">
        <f>IF($AS1001="","",INDEX('TMP Paste'!$A$2:$A$1601,$AS1001))</f>
        <v/>
      </c>
      <c r="K1001" t="str">
        <f>IF($AS1001="","",INDEX('TMP Paste'!$L$2:$L$1601,$AS1001))</f>
        <v/>
      </c>
      <c r="L1001" t="str">
        <f>IF($AS1001="","",INDEX('TMP Paste'!$I$2:$I$1601,$AS1001))</f>
        <v/>
      </c>
      <c r="M1001" t="str">
        <f>IF($AS1001="","",Config!$B$16)</f>
        <v/>
      </c>
      <c r="N1001" t="str">
        <f t="shared" si="90"/>
        <v/>
      </c>
      <c r="O1001" t="str">
        <f>IF($AS1001="","",INDEX('TMP Paste'!$K$2:$K$1601,$AS1001))</f>
        <v/>
      </c>
      <c r="P1001" t="str">
        <f t="shared" si="91"/>
        <v/>
      </c>
      <c r="Q1001" t="str">
        <f>IF($AS1001="","",INDEX('TMP Paste'!$J$2:$J$1601,$AS1001))</f>
        <v/>
      </c>
      <c r="R1001" t="str">
        <f>IF($AS1001="","",Config!$B$24)</f>
        <v/>
      </c>
      <c r="S1001" t="str">
        <f ca="1">IF($AS1001="","",TEXT(Config!$B$4,"yyyy-mm-dd"))</f>
        <v/>
      </c>
      <c r="T1001" t="str">
        <f>IF($AS1001="","",Config!$B$17)</f>
        <v/>
      </c>
      <c r="U1001" t="str">
        <f>IF($AS1001="","",Config!$B$18)</f>
        <v/>
      </c>
      <c r="V1001" t="str">
        <f>IF($AS1001="","",Config!$B$19)</f>
        <v/>
      </c>
      <c r="W1001" t="str">
        <f>IF($AS1001="","",INDEX('TMP Paste'!$C$2:$C$1601,$AS1001))</f>
        <v/>
      </c>
      <c r="X1001" t="str">
        <f>IF($AS1001="","",Config!$B$29)</f>
        <v/>
      </c>
      <c r="Y1001" t="str">
        <f>IF($AT1001="","",INDEX(Calc!$I$2:$I$1601,$AT1001)&amp;" - "&amp;INDEX(Calc!$D$2:$D$1601,$AT1001)&amp;" koli")</f>
        <v/>
      </c>
      <c r="Z1001" t="str">
        <f>IF($AS1001="","",Config!$B$21)</f>
        <v/>
      </c>
      <c r="AA1001" t="str">
        <f>IF($AS1001="","",Config!$B$22)</f>
        <v/>
      </c>
      <c r="AB1001" t="str">
        <f>IF($AT1001="","",INDEX(Calc!$D$2:$D$1601,$AT1001))</f>
        <v/>
      </c>
      <c r="AC1001" t="str">
        <f>IF($AT1001="","",INDEX(Calc!$G$2:$G$1601,$AT1001))</f>
        <v/>
      </c>
      <c r="AD1001" t="str">
        <f>IF($AS1001="","",Config!$B$23)</f>
        <v/>
      </c>
      <c r="AE1001" t="str">
        <f>IF($AS1001="","",Config!$B$28)</f>
        <v/>
      </c>
      <c r="AF1001" t="str">
        <f t="shared" si="92"/>
        <v/>
      </c>
      <c r="AG1001" t="str">
        <f t="shared" si="93"/>
        <v/>
      </c>
      <c r="AH1001" t="str">
        <f t="shared" si="94"/>
        <v/>
      </c>
      <c r="AI1001" t="str">
        <f>IF($AG1001="","",SUMIF($AG$2:$AG1001,$AG1001,$AH$2:$AH1001))</f>
        <v/>
      </c>
      <c r="AJ1001" t="str">
        <f>IF('TMP Paste'!$F1001="","",IF('TMP Paste'!$B1001="",$AJ1000,'TMP Paste'!$B1001))</f>
        <v/>
      </c>
      <c r="AK1001" t="str">
        <f>IF('TMP Paste'!$F1001="","",N('TMP Paste'!$G1001))</f>
        <v/>
      </c>
      <c r="AL1001" t="str">
        <f>IF('TMP Paste'!$F1001="","",IF('TMP Paste'!$M1001="",$AL1000,'TMP Paste'!$M1001))</f>
        <v/>
      </c>
      <c r="AM1001" t="str">
        <f>IF('TMP Paste'!$F1001="","",IF('TMP Paste'!$N1001="",$AM1000,'TMP Paste'!$N1001))</f>
        <v/>
      </c>
      <c r="AN1001" t="str">
        <f>IF('TMP Paste'!$F1001="","",IF('TMP Paste'!$O1001="",$AN1000,'TMP Paste'!$O1001))</f>
        <v/>
      </c>
      <c r="AO1001" t="str">
        <f>IF('TMP Paste'!$F1001="","",IF('TMP Paste'!$P1001="",$AO1000,'TMP Paste'!$P1001))</f>
        <v/>
      </c>
      <c r="AP1001" t="str">
        <f t="shared" si="95"/>
        <v/>
      </c>
      <c r="AQ1001" t="str">
        <f>IF($AS1001="","",TRIM(IF(COUNTIFS(Calc!$B$2:$B$1601,ROW()-1,Calc!$C$2:$C$1601,"&lt;1")&gt;0,"Ada PO tanpa Koli - cek TMP. ","")&amp;IF(OR($AU1001="",$AU1001&lt;=0),"Volume kosong/0 - dimensi dikosongkan. ","")&amp;IF(AND($AU1001&lt;&gt;"",$AU1001&gt;=1000000),"Volume &gt;= 1.000.000 cm3 (di luar aturan) - dimensi dikosongkan. ","")&amp;IF(LEN($R1001)&gt;500,"R &gt; 500 karakter.","")))</f>
        <v/>
      </c>
      <c r="AS1001" t="str">
        <f>IFERROR(MATCH(ROW()-1,Calc!$J$2:$J$1601,0),"")</f>
        <v/>
      </c>
      <c r="AT1001" t="str">
        <f>IFERROR(MATCH(ROW()-1,Calc!$K$2:$K$1601,0),"")</f>
        <v/>
      </c>
      <c r="AU1001" t="str">
        <f>IF($AS1001="","",IFERROR(INDEX('TMP Paste'!$D$2:$D$1601,$AS1001)*1000000/$AB1001,""))</f>
        <v/>
      </c>
    </row>
    <row r="1002" spans="1:47">
      <c r="A1002" t="str">
        <f>IF($AS1002="","",INDEX('TMP Paste'!$B$2:$B$1601,$AS1002))</f>
        <v/>
      </c>
      <c r="B1002" t="str">
        <f>IF($AS1002="","",Config!$B$14)</f>
        <v/>
      </c>
      <c r="C1002" t="str">
        <f>IF($AS1002="","",Config!$B$15)</f>
        <v/>
      </c>
      <c r="D1002" t="str">
        <f>IF($AS1002="","",INDEX('TMP Paste'!$B$2:$B$1601,$AS1002))</f>
        <v/>
      </c>
      <c r="E1002" t="str">
        <f>IF($AS1002="","",Config!$B$27)</f>
        <v/>
      </c>
      <c r="F1002" t="str">
        <f>IF($AS1002="","",Config!$B$9)</f>
        <v/>
      </c>
      <c r="G1002" t="str">
        <f>IF($AS1002="","",Config!$B$10)</f>
        <v/>
      </c>
      <c r="H1002" t="str">
        <f>IF($AS1002="","",Config!$B$11)</f>
        <v/>
      </c>
      <c r="I1002" t="str">
        <f>IF($AS1002="","",Config!$B$16)</f>
        <v/>
      </c>
      <c r="J1002" t="str">
        <f>IF($AS1002="","",INDEX('TMP Paste'!$A$2:$A$1601,$AS1002))</f>
        <v/>
      </c>
      <c r="K1002" t="str">
        <f>IF($AS1002="","",INDEX('TMP Paste'!$L$2:$L$1601,$AS1002))</f>
        <v/>
      </c>
      <c r="L1002" t="str">
        <f>IF($AS1002="","",INDEX('TMP Paste'!$I$2:$I$1601,$AS1002))</f>
        <v/>
      </c>
      <c r="M1002" t="str">
        <f>IF($AS1002="","",Config!$B$16)</f>
        <v/>
      </c>
      <c r="N1002" t="str">
        <f t="shared" si="90"/>
        <v/>
      </c>
      <c r="O1002" t="str">
        <f>IF($AS1002="","",INDEX('TMP Paste'!$K$2:$K$1601,$AS1002))</f>
        <v/>
      </c>
      <c r="P1002" t="str">
        <f t="shared" si="91"/>
        <v/>
      </c>
      <c r="Q1002" t="str">
        <f>IF($AS1002="","",INDEX('TMP Paste'!$J$2:$J$1601,$AS1002))</f>
        <v/>
      </c>
      <c r="R1002" t="str">
        <f>IF($AS1002="","",Config!$B$24)</f>
        <v/>
      </c>
      <c r="S1002" t="str">
        <f ca="1">IF($AS1002="","",TEXT(Config!$B$4,"yyyy-mm-dd"))</f>
        <v/>
      </c>
      <c r="T1002" t="str">
        <f>IF($AS1002="","",Config!$B$17)</f>
        <v/>
      </c>
      <c r="U1002" t="str">
        <f>IF($AS1002="","",Config!$B$18)</f>
        <v/>
      </c>
      <c r="V1002" t="str">
        <f>IF($AS1002="","",Config!$B$19)</f>
        <v/>
      </c>
      <c r="W1002" t="str">
        <f>IF($AS1002="","",INDEX('TMP Paste'!$C$2:$C$1601,$AS1002))</f>
        <v/>
      </c>
      <c r="X1002" t="str">
        <f>IF($AS1002="","",Config!$B$29)</f>
        <v/>
      </c>
      <c r="Y1002" t="str">
        <f>IF($AT1002="","",INDEX(Calc!$I$2:$I$1601,$AT1002)&amp;" - "&amp;INDEX(Calc!$D$2:$D$1601,$AT1002)&amp;" koli")</f>
        <v/>
      </c>
      <c r="Z1002" t="str">
        <f>IF($AS1002="","",Config!$B$21)</f>
        <v/>
      </c>
      <c r="AA1002" t="str">
        <f>IF($AS1002="","",Config!$B$22)</f>
        <v/>
      </c>
      <c r="AB1002" t="str">
        <f>IF($AT1002="","",INDEX(Calc!$D$2:$D$1601,$AT1002))</f>
        <v/>
      </c>
      <c r="AC1002" t="str">
        <f>IF($AT1002="","",INDEX(Calc!$G$2:$G$1601,$AT1002))</f>
        <v/>
      </c>
      <c r="AD1002" t="str">
        <f>IF($AS1002="","",Config!$B$23)</f>
        <v/>
      </c>
      <c r="AE1002" t="str">
        <f>IF($AS1002="","",Config!$B$28)</f>
        <v/>
      </c>
      <c r="AF1002" t="str">
        <f t="shared" si="92"/>
        <v/>
      </c>
      <c r="AG1002" t="str">
        <f t="shared" si="93"/>
        <v/>
      </c>
      <c r="AH1002" t="str">
        <f t="shared" si="94"/>
        <v/>
      </c>
      <c r="AI1002" t="str">
        <f>IF($AG1002="","",SUMIF($AG$2:$AG1002,$AG1002,$AH$2:$AH1002))</f>
        <v/>
      </c>
      <c r="AJ1002" t="str">
        <f>IF('TMP Paste'!$F1002="","",IF('TMP Paste'!$B1002="",$AJ1001,'TMP Paste'!$B1002))</f>
        <v/>
      </c>
      <c r="AK1002" t="str">
        <f>IF('TMP Paste'!$F1002="","",N('TMP Paste'!$G1002))</f>
        <v/>
      </c>
      <c r="AL1002" t="str">
        <f>IF('TMP Paste'!$F1002="","",IF('TMP Paste'!$M1002="",$AL1001,'TMP Paste'!$M1002))</f>
        <v/>
      </c>
      <c r="AM1002" t="str">
        <f>IF('TMP Paste'!$F1002="","",IF('TMP Paste'!$N1002="",$AM1001,'TMP Paste'!$N1002))</f>
        <v/>
      </c>
      <c r="AN1002" t="str">
        <f>IF('TMP Paste'!$F1002="","",IF('TMP Paste'!$O1002="",$AN1001,'TMP Paste'!$O1002))</f>
        <v/>
      </c>
      <c r="AO1002" t="str">
        <f>IF('TMP Paste'!$F1002="","",IF('TMP Paste'!$P1002="",$AO1001,'TMP Paste'!$P1002))</f>
        <v/>
      </c>
      <c r="AP1002" t="str">
        <f t="shared" si="95"/>
        <v/>
      </c>
      <c r="AQ1002" t="str">
        <f>IF($AS1002="","",TRIM(IF(COUNTIFS(Calc!$B$2:$B$1601,ROW()-1,Calc!$C$2:$C$1601,"&lt;1")&gt;0,"Ada PO tanpa Koli - cek TMP. ","")&amp;IF(OR($AU1002="",$AU1002&lt;=0),"Volume kosong/0 - dimensi dikosongkan. ","")&amp;IF(AND($AU1002&lt;&gt;"",$AU1002&gt;=1000000),"Volume &gt;= 1.000.000 cm3 (di luar aturan) - dimensi dikosongkan. ","")&amp;IF(LEN($R1002)&gt;500,"R &gt; 500 karakter.","")))</f>
        <v/>
      </c>
      <c r="AS1002" t="str">
        <f>IFERROR(MATCH(ROW()-1,Calc!$J$2:$J$1601,0),"")</f>
        <v/>
      </c>
      <c r="AT1002" t="str">
        <f>IFERROR(MATCH(ROW()-1,Calc!$K$2:$K$1601,0),"")</f>
        <v/>
      </c>
      <c r="AU1002" t="str">
        <f>IF($AS1002="","",IFERROR(INDEX('TMP Paste'!$D$2:$D$1601,$AS1002)*1000000/$AB1002,""))</f>
        <v/>
      </c>
    </row>
    <row r="1003" spans="1:47">
      <c r="A1003" t="str">
        <f>IF($AS1003="","",INDEX('TMP Paste'!$B$2:$B$1601,$AS1003))</f>
        <v/>
      </c>
      <c r="B1003" t="str">
        <f>IF($AS1003="","",Config!$B$14)</f>
        <v/>
      </c>
      <c r="C1003" t="str">
        <f>IF($AS1003="","",Config!$B$15)</f>
        <v/>
      </c>
      <c r="D1003" t="str">
        <f>IF($AS1003="","",INDEX('TMP Paste'!$B$2:$B$1601,$AS1003))</f>
        <v/>
      </c>
      <c r="E1003" t="str">
        <f>IF($AS1003="","",Config!$B$27)</f>
        <v/>
      </c>
      <c r="F1003" t="str">
        <f>IF($AS1003="","",Config!$B$9)</f>
        <v/>
      </c>
      <c r="G1003" t="str">
        <f>IF($AS1003="","",Config!$B$10)</f>
        <v/>
      </c>
      <c r="H1003" t="str">
        <f>IF($AS1003="","",Config!$B$11)</f>
        <v/>
      </c>
      <c r="I1003" t="str">
        <f>IF($AS1003="","",Config!$B$16)</f>
        <v/>
      </c>
      <c r="J1003" t="str">
        <f>IF($AS1003="","",INDEX('TMP Paste'!$A$2:$A$1601,$AS1003))</f>
        <v/>
      </c>
      <c r="K1003" t="str">
        <f>IF($AS1003="","",INDEX('TMP Paste'!$L$2:$L$1601,$AS1003))</f>
        <v/>
      </c>
      <c r="L1003" t="str">
        <f>IF($AS1003="","",INDEX('TMP Paste'!$I$2:$I$1601,$AS1003))</f>
        <v/>
      </c>
      <c r="M1003" t="str">
        <f>IF($AS1003="","",Config!$B$16)</f>
        <v/>
      </c>
      <c r="N1003" t="str">
        <f t="shared" si="90"/>
        <v/>
      </c>
      <c r="O1003" t="str">
        <f>IF($AS1003="","",INDEX('TMP Paste'!$K$2:$K$1601,$AS1003))</f>
        <v/>
      </c>
      <c r="P1003" t="str">
        <f t="shared" si="91"/>
        <v/>
      </c>
      <c r="Q1003" t="str">
        <f>IF($AS1003="","",INDEX('TMP Paste'!$J$2:$J$1601,$AS1003))</f>
        <v/>
      </c>
      <c r="R1003" t="str">
        <f>IF($AS1003="","",Config!$B$24)</f>
        <v/>
      </c>
      <c r="S1003" t="str">
        <f ca="1">IF($AS1003="","",TEXT(Config!$B$4,"yyyy-mm-dd"))</f>
        <v/>
      </c>
      <c r="T1003" t="str">
        <f>IF($AS1003="","",Config!$B$17)</f>
        <v/>
      </c>
      <c r="U1003" t="str">
        <f>IF($AS1003="","",Config!$B$18)</f>
        <v/>
      </c>
      <c r="V1003" t="str">
        <f>IF($AS1003="","",Config!$B$19)</f>
        <v/>
      </c>
      <c r="W1003" t="str">
        <f>IF($AS1003="","",INDEX('TMP Paste'!$C$2:$C$1601,$AS1003))</f>
        <v/>
      </c>
      <c r="X1003" t="str">
        <f>IF($AS1003="","",Config!$B$29)</f>
        <v/>
      </c>
      <c r="Y1003" t="str">
        <f>IF($AT1003="","",INDEX(Calc!$I$2:$I$1601,$AT1003)&amp;" - "&amp;INDEX(Calc!$D$2:$D$1601,$AT1003)&amp;" koli")</f>
        <v/>
      </c>
      <c r="Z1003" t="str">
        <f>IF($AS1003="","",Config!$B$21)</f>
        <v/>
      </c>
      <c r="AA1003" t="str">
        <f>IF($AS1003="","",Config!$B$22)</f>
        <v/>
      </c>
      <c r="AB1003" t="str">
        <f>IF($AT1003="","",INDEX(Calc!$D$2:$D$1601,$AT1003))</f>
        <v/>
      </c>
      <c r="AC1003" t="str">
        <f>IF($AT1003="","",INDEX(Calc!$G$2:$G$1601,$AT1003))</f>
        <v/>
      </c>
      <c r="AD1003" t="str">
        <f>IF($AS1003="","",Config!$B$23)</f>
        <v/>
      </c>
      <c r="AE1003" t="str">
        <f>IF($AS1003="","",Config!$B$28)</f>
        <v/>
      </c>
      <c r="AF1003" t="str">
        <f t="shared" si="92"/>
        <v/>
      </c>
      <c r="AG1003" t="str">
        <f t="shared" si="93"/>
        <v/>
      </c>
      <c r="AH1003" t="str">
        <f t="shared" si="94"/>
        <v/>
      </c>
      <c r="AI1003" t="str">
        <f>IF($AG1003="","",SUMIF($AG$2:$AG1003,$AG1003,$AH$2:$AH1003))</f>
        <v/>
      </c>
      <c r="AJ1003" t="str">
        <f>IF('TMP Paste'!$F1003="","",IF('TMP Paste'!$B1003="",$AJ1002,'TMP Paste'!$B1003))</f>
        <v/>
      </c>
      <c r="AK1003" t="str">
        <f>IF('TMP Paste'!$F1003="","",N('TMP Paste'!$G1003))</f>
        <v/>
      </c>
      <c r="AL1003" t="str">
        <f>IF('TMP Paste'!$F1003="","",IF('TMP Paste'!$M1003="",$AL1002,'TMP Paste'!$M1003))</f>
        <v/>
      </c>
      <c r="AM1003" t="str">
        <f>IF('TMP Paste'!$F1003="","",IF('TMP Paste'!$N1003="",$AM1002,'TMP Paste'!$N1003))</f>
        <v/>
      </c>
      <c r="AN1003" t="str">
        <f>IF('TMP Paste'!$F1003="","",IF('TMP Paste'!$O1003="",$AN1002,'TMP Paste'!$O1003))</f>
        <v/>
      </c>
      <c r="AO1003" t="str">
        <f>IF('TMP Paste'!$F1003="","",IF('TMP Paste'!$P1003="",$AO1002,'TMP Paste'!$P1003))</f>
        <v/>
      </c>
      <c r="AP1003" t="str">
        <f t="shared" si="95"/>
        <v/>
      </c>
      <c r="AQ1003" t="str">
        <f>IF($AS1003="","",TRIM(IF(COUNTIFS(Calc!$B$2:$B$1601,ROW()-1,Calc!$C$2:$C$1601,"&lt;1")&gt;0,"Ada PO tanpa Koli - cek TMP. ","")&amp;IF(OR($AU1003="",$AU1003&lt;=0),"Volume kosong/0 - dimensi dikosongkan. ","")&amp;IF(AND($AU1003&lt;&gt;"",$AU1003&gt;=1000000),"Volume &gt;= 1.000.000 cm3 (di luar aturan) - dimensi dikosongkan. ","")&amp;IF(LEN($R1003)&gt;500,"R &gt; 500 karakter.","")))</f>
        <v/>
      </c>
      <c r="AS1003" t="str">
        <f>IFERROR(MATCH(ROW()-1,Calc!$J$2:$J$1601,0),"")</f>
        <v/>
      </c>
      <c r="AT1003" t="str">
        <f>IFERROR(MATCH(ROW()-1,Calc!$K$2:$K$1601,0),"")</f>
        <v/>
      </c>
      <c r="AU1003" t="str">
        <f>IF($AS1003="","",IFERROR(INDEX('TMP Paste'!$D$2:$D$1601,$AS1003)*1000000/$AB1003,""))</f>
        <v/>
      </c>
    </row>
    <row r="1004" spans="1:47">
      <c r="A1004" t="str">
        <f>IF($AS1004="","",INDEX('TMP Paste'!$B$2:$B$1601,$AS1004))</f>
        <v/>
      </c>
      <c r="B1004" t="str">
        <f>IF($AS1004="","",Config!$B$14)</f>
        <v/>
      </c>
      <c r="C1004" t="str">
        <f>IF($AS1004="","",Config!$B$15)</f>
        <v/>
      </c>
      <c r="D1004" t="str">
        <f>IF($AS1004="","",INDEX('TMP Paste'!$B$2:$B$1601,$AS1004))</f>
        <v/>
      </c>
      <c r="E1004" t="str">
        <f>IF($AS1004="","",Config!$B$27)</f>
        <v/>
      </c>
      <c r="F1004" t="str">
        <f>IF($AS1004="","",Config!$B$9)</f>
        <v/>
      </c>
      <c r="G1004" t="str">
        <f>IF($AS1004="","",Config!$B$10)</f>
        <v/>
      </c>
      <c r="H1004" t="str">
        <f>IF($AS1004="","",Config!$B$11)</f>
        <v/>
      </c>
      <c r="I1004" t="str">
        <f>IF($AS1004="","",Config!$B$16)</f>
        <v/>
      </c>
      <c r="J1004" t="str">
        <f>IF($AS1004="","",INDEX('TMP Paste'!$A$2:$A$1601,$AS1004))</f>
        <v/>
      </c>
      <c r="K1004" t="str">
        <f>IF($AS1004="","",INDEX('TMP Paste'!$L$2:$L$1601,$AS1004))</f>
        <v/>
      </c>
      <c r="L1004" t="str">
        <f>IF($AS1004="","",INDEX('TMP Paste'!$I$2:$I$1601,$AS1004))</f>
        <v/>
      </c>
      <c r="M1004" t="str">
        <f>IF($AS1004="","",Config!$B$16)</f>
        <v/>
      </c>
      <c r="N1004" t="str">
        <f t="shared" si="90"/>
        <v/>
      </c>
      <c r="O1004" t="str">
        <f>IF($AS1004="","",INDEX('TMP Paste'!$K$2:$K$1601,$AS1004))</f>
        <v/>
      </c>
      <c r="P1004" t="str">
        <f t="shared" si="91"/>
        <v/>
      </c>
      <c r="Q1004" t="str">
        <f>IF($AS1004="","",INDEX('TMP Paste'!$J$2:$J$1601,$AS1004))</f>
        <v/>
      </c>
      <c r="R1004" t="str">
        <f>IF($AS1004="","",Config!$B$24)</f>
        <v/>
      </c>
      <c r="S1004" t="str">
        <f ca="1">IF($AS1004="","",TEXT(Config!$B$4,"yyyy-mm-dd"))</f>
        <v/>
      </c>
      <c r="T1004" t="str">
        <f>IF($AS1004="","",Config!$B$17)</f>
        <v/>
      </c>
      <c r="U1004" t="str">
        <f>IF($AS1004="","",Config!$B$18)</f>
        <v/>
      </c>
      <c r="V1004" t="str">
        <f>IF($AS1004="","",Config!$B$19)</f>
        <v/>
      </c>
      <c r="W1004" t="str">
        <f>IF($AS1004="","",INDEX('TMP Paste'!$C$2:$C$1601,$AS1004))</f>
        <v/>
      </c>
      <c r="X1004" t="str">
        <f>IF($AS1004="","",Config!$B$29)</f>
        <v/>
      </c>
      <c r="Y1004" t="str">
        <f>IF($AT1004="","",INDEX(Calc!$I$2:$I$1601,$AT1004)&amp;" - "&amp;INDEX(Calc!$D$2:$D$1601,$AT1004)&amp;" koli")</f>
        <v/>
      </c>
      <c r="Z1004" t="str">
        <f>IF($AS1004="","",Config!$B$21)</f>
        <v/>
      </c>
      <c r="AA1004" t="str">
        <f>IF($AS1004="","",Config!$B$22)</f>
        <v/>
      </c>
      <c r="AB1004" t="str">
        <f>IF($AT1004="","",INDEX(Calc!$D$2:$D$1601,$AT1004))</f>
        <v/>
      </c>
      <c r="AC1004" t="str">
        <f>IF($AT1004="","",INDEX(Calc!$G$2:$G$1601,$AT1004))</f>
        <v/>
      </c>
      <c r="AD1004" t="str">
        <f>IF($AS1004="","",Config!$B$23)</f>
        <v/>
      </c>
      <c r="AE1004" t="str">
        <f>IF($AS1004="","",Config!$B$28)</f>
        <v/>
      </c>
      <c r="AF1004" t="str">
        <f t="shared" si="92"/>
        <v/>
      </c>
      <c r="AG1004" t="str">
        <f t="shared" si="93"/>
        <v/>
      </c>
      <c r="AH1004" t="str">
        <f t="shared" si="94"/>
        <v/>
      </c>
      <c r="AI1004" t="str">
        <f>IF($AG1004="","",SUMIF($AG$2:$AG1004,$AG1004,$AH$2:$AH1004))</f>
        <v/>
      </c>
      <c r="AJ1004" t="str">
        <f>IF('TMP Paste'!$F1004="","",IF('TMP Paste'!$B1004="",$AJ1003,'TMP Paste'!$B1004))</f>
        <v/>
      </c>
      <c r="AK1004" t="str">
        <f>IF('TMP Paste'!$F1004="","",N('TMP Paste'!$G1004))</f>
        <v/>
      </c>
      <c r="AL1004" t="str">
        <f>IF('TMP Paste'!$F1004="","",IF('TMP Paste'!$M1004="",$AL1003,'TMP Paste'!$M1004))</f>
        <v/>
      </c>
      <c r="AM1004" t="str">
        <f>IF('TMP Paste'!$F1004="","",IF('TMP Paste'!$N1004="",$AM1003,'TMP Paste'!$N1004))</f>
        <v/>
      </c>
      <c r="AN1004" t="str">
        <f>IF('TMP Paste'!$F1004="","",IF('TMP Paste'!$O1004="",$AN1003,'TMP Paste'!$O1004))</f>
        <v/>
      </c>
      <c r="AO1004" t="str">
        <f>IF('TMP Paste'!$F1004="","",IF('TMP Paste'!$P1004="",$AO1003,'TMP Paste'!$P1004))</f>
        <v/>
      </c>
      <c r="AP1004" t="str">
        <f t="shared" si="95"/>
        <v/>
      </c>
      <c r="AQ1004" t="str">
        <f>IF($AS1004="","",TRIM(IF(COUNTIFS(Calc!$B$2:$B$1601,ROW()-1,Calc!$C$2:$C$1601,"&lt;1")&gt;0,"Ada PO tanpa Koli - cek TMP. ","")&amp;IF(OR($AU1004="",$AU1004&lt;=0),"Volume kosong/0 - dimensi dikosongkan. ","")&amp;IF(AND($AU1004&lt;&gt;"",$AU1004&gt;=1000000),"Volume &gt;= 1.000.000 cm3 (di luar aturan) - dimensi dikosongkan. ","")&amp;IF(LEN($R1004)&gt;500,"R &gt; 500 karakter.","")))</f>
        <v/>
      </c>
      <c r="AS1004" t="str">
        <f>IFERROR(MATCH(ROW()-1,Calc!$J$2:$J$1601,0),"")</f>
        <v/>
      </c>
      <c r="AT1004" t="str">
        <f>IFERROR(MATCH(ROW()-1,Calc!$K$2:$K$1601,0),"")</f>
        <v/>
      </c>
      <c r="AU1004" t="str">
        <f>IF($AS1004="","",IFERROR(INDEX('TMP Paste'!$D$2:$D$1601,$AS1004)*1000000/$AB1004,""))</f>
        <v/>
      </c>
    </row>
    <row r="1005" spans="1:47">
      <c r="A1005" t="str">
        <f>IF($AS1005="","",INDEX('TMP Paste'!$B$2:$B$1601,$AS1005))</f>
        <v/>
      </c>
      <c r="B1005" t="str">
        <f>IF($AS1005="","",Config!$B$14)</f>
        <v/>
      </c>
      <c r="C1005" t="str">
        <f>IF($AS1005="","",Config!$B$15)</f>
        <v/>
      </c>
      <c r="D1005" t="str">
        <f>IF($AS1005="","",INDEX('TMP Paste'!$B$2:$B$1601,$AS1005))</f>
        <v/>
      </c>
      <c r="E1005" t="str">
        <f>IF($AS1005="","",Config!$B$27)</f>
        <v/>
      </c>
      <c r="F1005" t="str">
        <f>IF($AS1005="","",Config!$B$9)</f>
        <v/>
      </c>
      <c r="G1005" t="str">
        <f>IF($AS1005="","",Config!$B$10)</f>
        <v/>
      </c>
      <c r="H1005" t="str">
        <f>IF($AS1005="","",Config!$B$11)</f>
        <v/>
      </c>
      <c r="I1005" t="str">
        <f>IF($AS1005="","",Config!$B$16)</f>
        <v/>
      </c>
      <c r="J1005" t="str">
        <f>IF($AS1005="","",INDEX('TMP Paste'!$A$2:$A$1601,$AS1005))</f>
        <v/>
      </c>
      <c r="K1005" t="str">
        <f>IF($AS1005="","",INDEX('TMP Paste'!$L$2:$L$1601,$AS1005))</f>
        <v/>
      </c>
      <c r="L1005" t="str">
        <f>IF($AS1005="","",INDEX('TMP Paste'!$I$2:$I$1601,$AS1005))</f>
        <v/>
      </c>
      <c r="M1005" t="str">
        <f>IF($AS1005="","",Config!$B$16)</f>
        <v/>
      </c>
      <c r="N1005" t="str">
        <f t="shared" si="90"/>
        <v/>
      </c>
      <c r="O1005" t="str">
        <f>IF($AS1005="","",INDEX('TMP Paste'!$K$2:$K$1601,$AS1005))</f>
        <v/>
      </c>
      <c r="P1005" t="str">
        <f t="shared" si="91"/>
        <v/>
      </c>
      <c r="Q1005" t="str">
        <f>IF($AS1005="","",INDEX('TMP Paste'!$J$2:$J$1601,$AS1005))</f>
        <v/>
      </c>
      <c r="R1005" t="str">
        <f>IF($AS1005="","",Config!$B$24)</f>
        <v/>
      </c>
      <c r="S1005" t="str">
        <f ca="1">IF($AS1005="","",TEXT(Config!$B$4,"yyyy-mm-dd"))</f>
        <v/>
      </c>
      <c r="T1005" t="str">
        <f>IF($AS1005="","",Config!$B$17)</f>
        <v/>
      </c>
      <c r="U1005" t="str">
        <f>IF($AS1005="","",Config!$B$18)</f>
        <v/>
      </c>
      <c r="V1005" t="str">
        <f>IF($AS1005="","",Config!$B$19)</f>
        <v/>
      </c>
      <c r="W1005" t="str">
        <f>IF($AS1005="","",INDEX('TMP Paste'!$C$2:$C$1601,$AS1005))</f>
        <v/>
      </c>
      <c r="X1005" t="str">
        <f>IF($AS1005="","",Config!$B$29)</f>
        <v/>
      </c>
      <c r="Y1005" t="str">
        <f>IF($AT1005="","",INDEX(Calc!$I$2:$I$1601,$AT1005)&amp;" - "&amp;INDEX(Calc!$D$2:$D$1601,$AT1005)&amp;" koli")</f>
        <v/>
      </c>
      <c r="Z1005" t="str">
        <f>IF($AS1005="","",Config!$B$21)</f>
        <v/>
      </c>
      <c r="AA1005" t="str">
        <f>IF($AS1005="","",Config!$B$22)</f>
        <v/>
      </c>
      <c r="AB1005" t="str">
        <f>IF($AT1005="","",INDEX(Calc!$D$2:$D$1601,$AT1005))</f>
        <v/>
      </c>
      <c r="AC1005" t="str">
        <f>IF($AT1005="","",INDEX(Calc!$G$2:$G$1601,$AT1005))</f>
        <v/>
      </c>
      <c r="AD1005" t="str">
        <f>IF($AS1005="","",Config!$B$23)</f>
        <v/>
      </c>
      <c r="AE1005" t="str">
        <f>IF($AS1005="","",Config!$B$28)</f>
        <v/>
      </c>
      <c r="AF1005" t="str">
        <f t="shared" si="92"/>
        <v/>
      </c>
      <c r="AG1005" t="str">
        <f t="shared" si="93"/>
        <v/>
      </c>
      <c r="AH1005" t="str">
        <f t="shared" si="94"/>
        <v/>
      </c>
      <c r="AI1005" t="str">
        <f>IF($AG1005="","",SUMIF($AG$2:$AG1005,$AG1005,$AH$2:$AH1005))</f>
        <v/>
      </c>
      <c r="AJ1005" t="str">
        <f>IF('TMP Paste'!$F1005="","",IF('TMP Paste'!$B1005="",$AJ1004,'TMP Paste'!$B1005))</f>
        <v/>
      </c>
      <c r="AK1005" t="str">
        <f>IF('TMP Paste'!$F1005="","",N('TMP Paste'!$G1005))</f>
        <v/>
      </c>
      <c r="AL1005" t="str">
        <f>IF('TMP Paste'!$F1005="","",IF('TMP Paste'!$M1005="",$AL1004,'TMP Paste'!$M1005))</f>
        <v/>
      </c>
      <c r="AM1005" t="str">
        <f>IF('TMP Paste'!$F1005="","",IF('TMP Paste'!$N1005="",$AM1004,'TMP Paste'!$N1005))</f>
        <v/>
      </c>
      <c r="AN1005" t="str">
        <f>IF('TMP Paste'!$F1005="","",IF('TMP Paste'!$O1005="",$AN1004,'TMP Paste'!$O1005))</f>
        <v/>
      </c>
      <c r="AO1005" t="str">
        <f>IF('TMP Paste'!$F1005="","",IF('TMP Paste'!$P1005="",$AO1004,'TMP Paste'!$P1005))</f>
        <v/>
      </c>
      <c r="AP1005" t="str">
        <f t="shared" si="95"/>
        <v/>
      </c>
      <c r="AQ1005" t="str">
        <f>IF($AS1005="","",TRIM(IF(COUNTIFS(Calc!$B$2:$B$1601,ROW()-1,Calc!$C$2:$C$1601,"&lt;1")&gt;0,"Ada PO tanpa Koli - cek TMP. ","")&amp;IF(OR($AU1005="",$AU1005&lt;=0),"Volume kosong/0 - dimensi dikosongkan. ","")&amp;IF(AND($AU1005&lt;&gt;"",$AU1005&gt;=1000000),"Volume &gt;= 1.000.000 cm3 (di luar aturan) - dimensi dikosongkan. ","")&amp;IF(LEN($R1005)&gt;500,"R &gt; 500 karakter.","")))</f>
        <v/>
      </c>
      <c r="AS1005" t="str">
        <f>IFERROR(MATCH(ROW()-1,Calc!$J$2:$J$1601,0),"")</f>
        <v/>
      </c>
      <c r="AT1005" t="str">
        <f>IFERROR(MATCH(ROW()-1,Calc!$K$2:$K$1601,0),"")</f>
        <v/>
      </c>
      <c r="AU1005" t="str">
        <f>IF($AS1005="","",IFERROR(INDEX('TMP Paste'!$D$2:$D$1601,$AS1005)*1000000/$AB1005,""))</f>
        <v/>
      </c>
    </row>
    <row r="1006" spans="1:47">
      <c r="A1006" t="str">
        <f>IF($AS1006="","",INDEX('TMP Paste'!$B$2:$B$1601,$AS1006))</f>
        <v/>
      </c>
      <c r="B1006" t="str">
        <f>IF($AS1006="","",Config!$B$14)</f>
        <v/>
      </c>
      <c r="C1006" t="str">
        <f>IF($AS1006="","",Config!$B$15)</f>
        <v/>
      </c>
      <c r="D1006" t="str">
        <f>IF($AS1006="","",INDEX('TMP Paste'!$B$2:$B$1601,$AS1006))</f>
        <v/>
      </c>
      <c r="E1006" t="str">
        <f>IF($AS1006="","",Config!$B$27)</f>
        <v/>
      </c>
      <c r="F1006" t="str">
        <f>IF($AS1006="","",Config!$B$9)</f>
        <v/>
      </c>
      <c r="G1006" t="str">
        <f>IF($AS1006="","",Config!$B$10)</f>
        <v/>
      </c>
      <c r="H1006" t="str">
        <f>IF($AS1006="","",Config!$B$11)</f>
        <v/>
      </c>
      <c r="I1006" t="str">
        <f>IF($AS1006="","",Config!$B$16)</f>
        <v/>
      </c>
      <c r="J1006" t="str">
        <f>IF($AS1006="","",INDEX('TMP Paste'!$A$2:$A$1601,$AS1006))</f>
        <v/>
      </c>
      <c r="K1006" t="str">
        <f>IF($AS1006="","",INDEX('TMP Paste'!$L$2:$L$1601,$AS1006))</f>
        <v/>
      </c>
      <c r="L1006" t="str">
        <f>IF($AS1006="","",INDEX('TMP Paste'!$I$2:$I$1601,$AS1006))</f>
        <v/>
      </c>
      <c r="M1006" t="str">
        <f>IF($AS1006="","",Config!$B$16)</f>
        <v/>
      </c>
      <c r="N1006" t="str">
        <f t="shared" si="90"/>
        <v/>
      </c>
      <c r="O1006" t="str">
        <f>IF($AS1006="","",INDEX('TMP Paste'!$K$2:$K$1601,$AS1006))</f>
        <v/>
      </c>
      <c r="P1006" t="str">
        <f t="shared" si="91"/>
        <v/>
      </c>
      <c r="Q1006" t="str">
        <f>IF($AS1006="","",INDEX('TMP Paste'!$J$2:$J$1601,$AS1006))</f>
        <v/>
      </c>
      <c r="R1006" t="str">
        <f>IF($AS1006="","",Config!$B$24)</f>
        <v/>
      </c>
      <c r="S1006" t="str">
        <f ca="1">IF($AS1006="","",TEXT(Config!$B$4,"yyyy-mm-dd"))</f>
        <v/>
      </c>
      <c r="T1006" t="str">
        <f>IF($AS1006="","",Config!$B$17)</f>
        <v/>
      </c>
      <c r="U1006" t="str">
        <f>IF($AS1006="","",Config!$B$18)</f>
        <v/>
      </c>
      <c r="V1006" t="str">
        <f>IF($AS1006="","",Config!$B$19)</f>
        <v/>
      </c>
      <c r="W1006" t="str">
        <f>IF($AS1006="","",INDEX('TMP Paste'!$C$2:$C$1601,$AS1006))</f>
        <v/>
      </c>
      <c r="X1006" t="str">
        <f>IF($AS1006="","",Config!$B$29)</f>
        <v/>
      </c>
      <c r="Y1006" t="str">
        <f>IF($AT1006="","",INDEX(Calc!$I$2:$I$1601,$AT1006)&amp;" - "&amp;INDEX(Calc!$D$2:$D$1601,$AT1006)&amp;" koli")</f>
        <v/>
      </c>
      <c r="Z1006" t="str">
        <f>IF($AS1006="","",Config!$B$21)</f>
        <v/>
      </c>
      <c r="AA1006" t="str">
        <f>IF($AS1006="","",Config!$B$22)</f>
        <v/>
      </c>
      <c r="AB1006" t="str">
        <f>IF($AT1006="","",INDEX(Calc!$D$2:$D$1601,$AT1006))</f>
        <v/>
      </c>
      <c r="AC1006" t="str">
        <f>IF($AT1006="","",INDEX(Calc!$G$2:$G$1601,$AT1006))</f>
        <v/>
      </c>
      <c r="AD1006" t="str">
        <f>IF($AS1006="","",Config!$B$23)</f>
        <v/>
      </c>
      <c r="AE1006" t="str">
        <f>IF($AS1006="","",Config!$B$28)</f>
        <v/>
      </c>
      <c r="AF1006" t="str">
        <f t="shared" si="92"/>
        <v/>
      </c>
      <c r="AG1006" t="str">
        <f t="shared" si="93"/>
        <v/>
      </c>
      <c r="AH1006" t="str">
        <f t="shared" si="94"/>
        <v/>
      </c>
      <c r="AI1006" t="str">
        <f>IF($AG1006="","",SUMIF($AG$2:$AG1006,$AG1006,$AH$2:$AH1006))</f>
        <v/>
      </c>
      <c r="AJ1006" t="str">
        <f>IF('TMP Paste'!$F1006="","",IF('TMP Paste'!$B1006="",$AJ1005,'TMP Paste'!$B1006))</f>
        <v/>
      </c>
      <c r="AK1006" t="str">
        <f>IF('TMP Paste'!$F1006="","",N('TMP Paste'!$G1006))</f>
        <v/>
      </c>
      <c r="AL1006" t="str">
        <f>IF('TMP Paste'!$F1006="","",IF('TMP Paste'!$M1006="",$AL1005,'TMP Paste'!$M1006))</f>
        <v/>
      </c>
      <c r="AM1006" t="str">
        <f>IF('TMP Paste'!$F1006="","",IF('TMP Paste'!$N1006="",$AM1005,'TMP Paste'!$N1006))</f>
        <v/>
      </c>
      <c r="AN1006" t="str">
        <f>IF('TMP Paste'!$F1006="","",IF('TMP Paste'!$O1006="",$AN1005,'TMP Paste'!$O1006))</f>
        <v/>
      </c>
      <c r="AO1006" t="str">
        <f>IF('TMP Paste'!$F1006="","",IF('TMP Paste'!$P1006="",$AO1005,'TMP Paste'!$P1006))</f>
        <v/>
      </c>
      <c r="AP1006" t="str">
        <f t="shared" si="95"/>
        <v/>
      </c>
      <c r="AQ1006" t="str">
        <f>IF($AS1006="","",TRIM(IF(COUNTIFS(Calc!$B$2:$B$1601,ROW()-1,Calc!$C$2:$C$1601,"&lt;1")&gt;0,"Ada PO tanpa Koli - cek TMP. ","")&amp;IF(OR($AU1006="",$AU1006&lt;=0),"Volume kosong/0 - dimensi dikosongkan. ","")&amp;IF(AND($AU1006&lt;&gt;"",$AU1006&gt;=1000000),"Volume &gt;= 1.000.000 cm3 (di luar aturan) - dimensi dikosongkan. ","")&amp;IF(LEN($R1006)&gt;500,"R &gt; 500 karakter.","")))</f>
        <v/>
      </c>
      <c r="AS1006" t="str">
        <f>IFERROR(MATCH(ROW()-1,Calc!$J$2:$J$1601,0),"")</f>
        <v/>
      </c>
      <c r="AT1006" t="str">
        <f>IFERROR(MATCH(ROW()-1,Calc!$K$2:$K$1601,0),"")</f>
        <v/>
      </c>
      <c r="AU1006" t="str">
        <f>IF($AS1006="","",IFERROR(INDEX('TMP Paste'!$D$2:$D$1601,$AS1006)*1000000/$AB1006,""))</f>
        <v/>
      </c>
    </row>
    <row r="1007" spans="1:47">
      <c r="A1007" t="str">
        <f>IF($AS1007="","",INDEX('TMP Paste'!$B$2:$B$1601,$AS1007))</f>
        <v/>
      </c>
      <c r="B1007" t="str">
        <f>IF($AS1007="","",Config!$B$14)</f>
        <v/>
      </c>
      <c r="C1007" t="str">
        <f>IF($AS1007="","",Config!$B$15)</f>
        <v/>
      </c>
      <c r="D1007" t="str">
        <f>IF($AS1007="","",INDEX('TMP Paste'!$B$2:$B$1601,$AS1007))</f>
        <v/>
      </c>
      <c r="E1007" t="str">
        <f>IF($AS1007="","",Config!$B$27)</f>
        <v/>
      </c>
      <c r="F1007" t="str">
        <f>IF($AS1007="","",Config!$B$9)</f>
        <v/>
      </c>
      <c r="G1007" t="str">
        <f>IF($AS1007="","",Config!$B$10)</f>
        <v/>
      </c>
      <c r="H1007" t="str">
        <f>IF($AS1007="","",Config!$B$11)</f>
        <v/>
      </c>
      <c r="I1007" t="str">
        <f>IF($AS1007="","",Config!$B$16)</f>
        <v/>
      </c>
      <c r="J1007" t="str">
        <f>IF($AS1007="","",INDEX('TMP Paste'!$A$2:$A$1601,$AS1007))</f>
        <v/>
      </c>
      <c r="K1007" t="str">
        <f>IF($AS1007="","",INDEX('TMP Paste'!$L$2:$L$1601,$AS1007))</f>
        <v/>
      </c>
      <c r="L1007" t="str">
        <f>IF($AS1007="","",INDEX('TMP Paste'!$I$2:$I$1601,$AS1007))</f>
        <v/>
      </c>
      <c r="M1007" t="str">
        <f>IF($AS1007="","",Config!$B$16)</f>
        <v/>
      </c>
      <c r="N1007" t="str">
        <f t="shared" si="90"/>
        <v/>
      </c>
      <c r="O1007" t="str">
        <f>IF($AS1007="","",INDEX('TMP Paste'!$K$2:$K$1601,$AS1007))</f>
        <v/>
      </c>
      <c r="P1007" t="str">
        <f t="shared" si="91"/>
        <v/>
      </c>
      <c r="Q1007" t="str">
        <f>IF($AS1007="","",INDEX('TMP Paste'!$J$2:$J$1601,$AS1007))</f>
        <v/>
      </c>
      <c r="R1007" t="str">
        <f>IF($AS1007="","",Config!$B$24)</f>
        <v/>
      </c>
      <c r="S1007" t="str">
        <f ca="1">IF($AS1007="","",TEXT(Config!$B$4,"yyyy-mm-dd"))</f>
        <v/>
      </c>
      <c r="T1007" t="str">
        <f>IF($AS1007="","",Config!$B$17)</f>
        <v/>
      </c>
      <c r="U1007" t="str">
        <f>IF($AS1007="","",Config!$B$18)</f>
        <v/>
      </c>
      <c r="V1007" t="str">
        <f>IF($AS1007="","",Config!$B$19)</f>
        <v/>
      </c>
      <c r="W1007" t="str">
        <f>IF($AS1007="","",INDEX('TMP Paste'!$C$2:$C$1601,$AS1007))</f>
        <v/>
      </c>
      <c r="X1007" t="str">
        <f>IF($AS1007="","",Config!$B$29)</f>
        <v/>
      </c>
      <c r="Y1007" t="str">
        <f>IF($AT1007="","",INDEX(Calc!$I$2:$I$1601,$AT1007)&amp;" - "&amp;INDEX(Calc!$D$2:$D$1601,$AT1007)&amp;" koli")</f>
        <v/>
      </c>
      <c r="Z1007" t="str">
        <f>IF($AS1007="","",Config!$B$21)</f>
        <v/>
      </c>
      <c r="AA1007" t="str">
        <f>IF($AS1007="","",Config!$B$22)</f>
        <v/>
      </c>
      <c r="AB1007" t="str">
        <f>IF($AT1007="","",INDEX(Calc!$D$2:$D$1601,$AT1007))</f>
        <v/>
      </c>
      <c r="AC1007" t="str">
        <f>IF($AT1007="","",INDEX(Calc!$G$2:$G$1601,$AT1007))</f>
        <v/>
      </c>
      <c r="AD1007" t="str">
        <f>IF($AS1007="","",Config!$B$23)</f>
        <v/>
      </c>
      <c r="AE1007" t="str">
        <f>IF($AS1007="","",Config!$B$28)</f>
        <v/>
      </c>
      <c r="AF1007" t="str">
        <f t="shared" si="92"/>
        <v/>
      </c>
      <c r="AG1007" t="str">
        <f t="shared" si="93"/>
        <v/>
      </c>
      <c r="AH1007" t="str">
        <f t="shared" si="94"/>
        <v/>
      </c>
      <c r="AI1007" t="str">
        <f>IF($AG1007="","",SUMIF($AG$2:$AG1007,$AG1007,$AH$2:$AH1007))</f>
        <v/>
      </c>
      <c r="AJ1007" t="str">
        <f>IF('TMP Paste'!$F1007="","",IF('TMP Paste'!$B1007="",$AJ1006,'TMP Paste'!$B1007))</f>
        <v/>
      </c>
      <c r="AK1007" t="str">
        <f>IF('TMP Paste'!$F1007="","",N('TMP Paste'!$G1007))</f>
        <v/>
      </c>
      <c r="AL1007" t="str">
        <f>IF('TMP Paste'!$F1007="","",IF('TMP Paste'!$M1007="",$AL1006,'TMP Paste'!$M1007))</f>
        <v/>
      </c>
      <c r="AM1007" t="str">
        <f>IF('TMP Paste'!$F1007="","",IF('TMP Paste'!$N1007="",$AM1006,'TMP Paste'!$N1007))</f>
        <v/>
      </c>
      <c r="AN1007" t="str">
        <f>IF('TMP Paste'!$F1007="","",IF('TMP Paste'!$O1007="",$AN1006,'TMP Paste'!$O1007))</f>
        <v/>
      </c>
      <c r="AO1007" t="str">
        <f>IF('TMP Paste'!$F1007="","",IF('TMP Paste'!$P1007="",$AO1006,'TMP Paste'!$P1007))</f>
        <v/>
      </c>
      <c r="AP1007" t="str">
        <f t="shared" si="95"/>
        <v/>
      </c>
      <c r="AQ1007" t="str">
        <f>IF($AS1007="","",TRIM(IF(COUNTIFS(Calc!$B$2:$B$1601,ROW()-1,Calc!$C$2:$C$1601,"&lt;1")&gt;0,"Ada PO tanpa Koli - cek TMP. ","")&amp;IF(OR($AU1007="",$AU1007&lt;=0),"Volume kosong/0 - dimensi dikosongkan. ","")&amp;IF(AND($AU1007&lt;&gt;"",$AU1007&gt;=1000000),"Volume &gt;= 1.000.000 cm3 (di luar aturan) - dimensi dikosongkan. ","")&amp;IF(LEN($R1007)&gt;500,"R &gt; 500 karakter.","")))</f>
        <v/>
      </c>
      <c r="AS1007" t="str">
        <f>IFERROR(MATCH(ROW()-1,Calc!$J$2:$J$1601,0),"")</f>
        <v/>
      </c>
      <c r="AT1007" t="str">
        <f>IFERROR(MATCH(ROW()-1,Calc!$K$2:$K$1601,0),"")</f>
        <v/>
      </c>
      <c r="AU1007" t="str">
        <f>IF($AS1007="","",IFERROR(INDEX('TMP Paste'!$D$2:$D$1601,$AS1007)*1000000/$AB1007,""))</f>
        <v/>
      </c>
    </row>
    <row r="1008" spans="1:47">
      <c r="A1008" t="str">
        <f>IF($AS1008="","",INDEX('TMP Paste'!$B$2:$B$1601,$AS1008))</f>
        <v/>
      </c>
      <c r="B1008" t="str">
        <f>IF($AS1008="","",Config!$B$14)</f>
        <v/>
      </c>
      <c r="C1008" t="str">
        <f>IF($AS1008="","",Config!$B$15)</f>
        <v/>
      </c>
      <c r="D1008" t="str">
        <f>IF($AS1008="","",INDEX('TMP Paste'!$B$2:$B$1601,$AS1008))</f>
        <v/>
      </c>
      <c r="E1008" t="str">
        <f>IF($AS1008="","",Config!$B$27)</f>
        <v/>
      </c>
      <c r="F1008" t="str">
        <f>IF($AS1008="","",Config!$B$9)</f>
        <v/>
      </c>
      <c r="G1008" t="str">
        <f>IF($AS1008="","",Config!$B$10)</f>
        <v/>
      </c>
      <c r="H1008" t="str">
        <f>IF($AS1008="","",Config!$B$11)</f>
        <v/>
      </c>
      <c r="I1008" t="str">
        <f>IF($AS1008="","",Config!$B$16)</f>
        <v/>
      </c>
      <c r="J1008" t="str">
        <f>IF($AS1008="","",INDEX('TMP Paste'!$A$2:$A$1601,$AS1008))</f>
        <v/>
      </c>
      <c r="K1008" t="str">
        <f>IF($AS1008="","",INDEX('TMP Paste'!$L$2:$L$1601,$AS1008))</f>
        <v/>
      </c>
      <c r="L1008" t="str">
        <f>IF($AS1008="","",INDEX('TMP Paste'!$I$2:$I$1601,$AS1008))</f>
        <v/>
      </c>
      <c r="M1008" t="str">
        <f>IF($AS1008="","",Config!$B$16)</f>
        <v/>
      </c>
      <c r="N1008" t="str">
        <f t="shared" si="90"/>
        <v/>
      </c>
      <c r="O1008" t="str">
        <f>IF($AS1008="","",INDEX('TMP Paste'!$K$2:$K$1601,$AS1008))</f>
        <v/>
      </c>
      <c r="P1008" t="str">
        <f t="shared" si="91"/>
        <v/>
      </c>
      <c r="Q1008" t="str">
        <f>IF($AS1008="","",INDEX('TMP Paste'!$J$2:$J$1601,$AS1008))</f>
        <v/>
      </c>
      <c r="R1008" t="str">
        <f>IF($AS1008="","",Config!$B$24)</f>
        <v/>
      </c>
      <c r="S1008" t="str">
        <f ca="1">IF($AS1008="","",TEXT(Config!$B$4,"yyyy-mm-dd"))</f>
        <v/>
      </c>
      <c r="T1008" t="str">
        <f>IF($AS1008="","",Config!$B$17)</f>
        <v/>
      </c>
      <c r="U1008" t="str">
        <f>IF($AS1008="","",Config!$B$18)</f>
        <v/>
      </c>
      <c r="V1008" t="str">
        <f>IF($AS1008="","",Config!$B$19)</f>
        <v/>
      </c>
      <c r="W1008" t="str">
        <f>IF($AS1008="","",INDEX('TMP Paste'!$C$2:$C$1601,$AS1008))</f>
        <v/>
      </c>
      <c r="X1008" t="str">
        <f>IF($AS1008="","",Config!$B$29)</f>
        <v/>
      </c>
      <c r="Y1008" t="str">
        <f>IF($AT1008="","",INDEX(Calc!$I$2:$I$1601,$AT1008)&amp;" - "&amp;INDEX(Calc!$D$2:$D$1601,$AT1008)&amp;" koli")</f>
        <v/>
      </c>
      <c r="Z1008" t="str">
        <f>IF($AS1008="","",Config!$B$21)</f>
        <v/>
      </c>
      <c r="AA1008" t="str">
        <f>IF($AS1008="","",Config!$B$22)</f>
        <v/>
      </c>
      <c r="AB1008" t="str">
        <f>IF($AT1008="","",INDEX(Calc!$D$2:$D$1601,$AT1008))</f>
        <v/>
      </c>
      <c r="AC1008" t="str">
        <f>IF($AT1008="","",INDEX(Calc!$G$2:$G$1601,$AT1008))</f>
        <v/>
      </c>
      <c r="AD1008" t="str">
        <f>IF($AS1008="","",Config!$B$23)</f>
        <v/>
      </c>
      <c r="AE1008" t="str">
        <f>IF($AS1008="","",Config!$B$28)</f>
        <v/>
      </c>
      <c r="AF1008" t="str">
        <f t="shared" si="92"/>
        <v/>
      </c>
      <c r="AG1008" t="str">
        <f t="shared" si="93"/>
        <v/>
      </c>
      <c r="AH1008" t="str">
        <f t="shared" si="94"/>
        <v/>
      </c>
      <c r="AI1008" t="str">
        <f>IF($AG1008="","",SUMIF($AG$2:$AG1008,$AG1008,$AH$2:$AH1008))</f>
        <v/>
      </c>
      <c r="AJ1008" t="str">
        <f>IF('TMP Paste'!$F1008="","",IF('TMP Paste'!$B1008="",$AJ1007,'TMP Paste'!$B1008))</f>
        <v/>
      </c>
      <c r="AK1008" t="str">
        <f>IF('TMP Paste'!$F1008="","",N('TMP Paste'!$G1008))</f>
        <v/>
      </c>
      <c r="AL1008" t="str">
        <f>IF('TMP Paste'!$F1008="","",IF('TMP Paste'!$M1008="",$AL1007,'TMP Paste'!$M1008))</f>
        <v/>
      </c>
      <c r="AM1008" t="str">
        <f>IF('TMP Paste'!$F1008="","",IF('TMP Paste'!$N1008="",$AM1007,'TMP Paste'!$N1008))</f>
        <v/>
      </c>
      <c r="AN1008" t="str">
        <f>IF('TMP Paste'!$F1008="","",IF('TMP Paste'!$O1008="",$AN1007,'TMP Paste'!$O1008))</f>
        <v/>
      </c>
      <c r="AO1008" t="str">
        <f>IF('TMP Paste'!$F1008="","",IF('TMP Paste'!$P1008="",$AO1007,'TMP Paste'!$P1008))</f>
        <v/>
      </c>
      <c r="AP1008" t="str">
        <f t="shared" si="95"/>
        <v/>
      </c>
      <c r="AQ1008" t="str">
        <f>IF($AS1008="","",TRIM(IF(COUNTIFS(Calc!$B$2:$B$1601,ROW()-1,Calc!$C$2:$C$1601,"&lt;1")&gt;0,"Ada PO tanpa Koli - cek TMP. ","")&amp;IF(OR($AU1008="",$AU1008&lt;=0),"Volume kosong/0 - dimensi dikosongkan. ","")&amp;IF(AND($AU1008&lt;&gt;"",$AU1008&gt;=1000000),"Volume &gt;= 1.000.000 cm3 (di luar aturan) - dimensi dikosongkan. ","")&amp;IF(LEN($R1008)&gt;500,"R &gt; 500 karakter.","")))</f>
        <v/>
      </c>
      <c r="AS1008" t="str">
        <f>IFERROR(MATCH(ROW()-1,Calc!$J$2:$J$1601,0),"")</f>
        <v/>
      </c>
      <c r="AT1008" t="str">
        <f>IFERROR(MATCH(ROW()-1,Calc!$K$2:$K$1601,0),"")</f>
        <v/>
      </c>
      <c r="AU1008" t="str">
        <f>IF($AS1008="","",IFERROR(INDEX('TMP Paste'!$D$2:$D$1601,$AS1008)*1000000/$AB1008,""))</f>
        <v/>
      </c>
    </row>
    <row r="1009" spans="1:47">
      <c r="A1009" t="str">
        <f>IF($AS1009="","",INDEX('TMP Paste'!$B$2:$B$1601,$AS1009))</f>
        <v/>
      </c>
      <c r="B1009" t="str">
        <f>IF($AS1009="","",Config!$B$14)</f>
        <v/>
      </c>
      <c r="C1009" t="str">
        <f>IF($AS1009="","",Config!$B$15)</f>
        <v/>
      </c>
      <c r="D1009" t="str">
        <f>IF($AS1009="","",INDEX('TMP Paste'!$B$2:$B$1601,$AS1009))</f>
        <v/>
      </c>
      <c r="E1009" t="str">
        <f>IF($AS1009="","",Config!$B$27)</f>
        <v/>
      </c>
      <c r="F1009" t="str">
        <f>IF($AS1009="","",Config!$B$9)</f>
        <v/>
      </c>
      <c r="G1009" t="str">
        <f>IF($AS1009="","",Config!$B$10)</f>
        <v/>
      </c>
      <c r="H1009" t="str">
        <f>IF($AS1009="","",Config!$B$11)</f>
        <v/>
      </c>
      <c r="I1009" t="str">
        <f>IF($AS1009="","",Config!$B$16)</f>
        <v/>
      </c>
      <c r="J1009" t="str">
        <f>IF($AS1009="","",INDEX('TMP Paste'!$A$2:$A$1601,$AS1009))</f>
        <v/>
      </c>
      <c r="K1009" t="str">
        <f>IF($AS1009="","",INDEX('TMP Paste'!$L$2:$L$1601,$AS1009))</f>
        <v/>
      </c>
      <c r="L1009" t="str">
        <f>IF($AS1009="","",INDEX('TMP Paste'!$I$2:$I$1601,$AS1009))</f>
        <v/>
      </c>
      <c r="M1009" t="str">
        <f>IF($AS1009="","",Config!$B$16)</f>
        <v/>
      </c>
      <c r="N1009" t="str">
        <f t="shared" si="90"/>
        <v/>
      </c>
      <c r="O1009" t="str">
        <f>IF($AS1009="","",INDEX('TMP Paste'!$K$2:$K$1601,$AS1009))</f>
        <v/>
      </c>
      <c r="P1009" t="str">
        <f t="shared" si="91"/>
        <v/>
      </c>
      <c r="Q1009" t="str">
        <f>IF($AS1009="","",INDEX('TMP Paste'!$J$2:$J$1601,$AS1009))</f>
        <v/>
      </c>
      <c r="R1009" t="str">
        <f>IF($AS1009="","",Config!$B$24)</f>
        <v/>
      </c>
      <c r="S1009" t="str">
        <f ca="1">IF($AS1009="","",TEXT(Config!$B$4,"yyyy-mm-dd"))</f>
        <v/>
      </c>
      <c r="T1009" t="str">
        <f>IF($AS1009="","",Config!$B$17)</f>
        <v/>
      </c>
      <c r="U1009" t="str">
        <f>IF($AS1009="","",Config!$B$18)</f>
        <v/>
      </c>
      <c r="V1009" t="str">
        <f>IF($AS1009="","",Config!$B$19)</f>
        <v/>
      </c>
      <c r="W1009" t="str">
        <f>IF($AS1009="","",INDEX('TMP Paste'!$C$2:$C$1601,$AS1009))</f>
        <v/>
      </c>
      <c r="X1009" t="str">
        <f>IF($AS1009="","",Config!$B$29)</f>
        <v/>
      </c>
      <c r="Y1009" t="str">
        <f>IF($AT1009="","",INDEX(Calc!$I$2:$I$1601,$AT1009)&amp;" - "&amp;INDEX(Calc!$D$2:$D$1601,$AT1009)&amp;" koli")</f>
        <v/>
      </c>
      <c r="Z1009" t="str">
        <f>IF($AS1009="","",Config!$B$21)</f>
        <v/>
      </c>
      <c r="AA1009" t="str">
        <f>IF($AS1009="","",Config!$B$22)</f>
        <v/>
      </c>
      <c r="AB1009" t="str">
        <f>IF($AT1009="","",INDEX(Calc!$D$2:$D$1601,$AT1009))</f>
        <v/>
      </c>
      <c r="AC1009" t="str">
        <f>IF($AT1009="","",INDEX(Calc!$G$2:$G$1601,$AT1009))</f>
        <v/>
      </c>
      <c r="AD1009" t="str">
        <f>IF($AS1009="","",Config!$B$23)</f>
        <v/>
      </c>
      <c r="AE1009" t="str">
        <f>IF($AS1009="","",Config!$B$28)</f>
        <v/>
      </c>
      <c r="AF1009" t="str">
        <f t="shared" si="92"/>
        <v/>
      </c>
      <c r="AG1009" t="str">
        <f t="shared" si="93"/>
        <v/>
      </c>
      <c r="AH1009" t="str">
        <f t="shared" si="94"/>
        <v/>
      </c>
      <c r="AI1009" t="str">
        <f>IF($AG1009="","",SUMIF($AG$2:$AG1009,$AG1009,$AH$2:$AH1009))</f>
        <v/>
      </c>
      <c r="AJ1009" t="str">
        <f>IF('TMP Paste'!$F1009="","",IF('TMP Paste'!$B1009="",$AJ1008,'TMP Paste'!$B1009))</f>
        <v/>
      </c>
      <c r="AK1009" t="str">
        <f>IF('TMP Paste'!$F1009="","",N('TMP Paste'!$G1009))</f>
        <v/>
      </c>
      <c r="AL1009" t="str">
        <f>IF('TMP Paste'!$F1009="","",IF('TMP Paste'!$M1009="",$AL1008,'TMP Paste'!$M1009))</f>
        <v/>
      </c>
      <c r="AM1009" t="str">
        <f>IF('TMP Paste'!$F1009="","",IF('TMP Paste'!$N1009="",$AM1008,'TMP Paste'!$N1009))</f>
        <v/>
      </c>
      <c r="AN1009" t="str">
        <f>IF('TMP Paste'!$F1009="","",IF('TMP Paste'!$O1009="",$AN1008,'TMP Paste'!$O1009))</f>
        <v/>
      </c>
      <c r="AO1009" t="str">
        <f>IF('TMP Paste'!$F1009="","",IF('TMP Paste'!$P1009="",$AO1008,'TMP Paste'!$P1009))</f>
        <v/>
      </c>
      <c r="AP1009" t="str">
        <f t="shared" si="95"/>
        <v/>
      </c>
      <c r="AQ1009" t="str">
        <f>IF($AS1009="","",TRIM(IF(COUNTIFS(Calc!$B$2:$B$1601,ROW()-1,Calc!$C$2:$C$1601,"&lt;1")&gt;0,"Ada PO tanpa Koli - cek TMP. ","")&amp;IF(OR($AU1009="",$AU1009&lt;=0),"Volume kosong/0 - dimensi dikosongkan. ","")&amp;IF(AND($AU1009&lt;&gt;"",$AU1009&gt;=1000000),"Volume &gt;= 1.000.000 cm3 (di luar aturan) - dimensi dikosongkan. ","")&amp;IF(LEN($R1009)&gt;500,"R &gt; 500 karakter.","")))</f>
        <v/>
      </c>
      <c r="AS1009" t="str">
        <f>IFERROR(MATCH(ROW()-1,Calc!$J$2:$J$1601,0),"")</f>
        <v/>
      </c>
      <c r="AT1009" t="str">
        <f>IFERROR(MATCH(ROW()-1,Calc!$K$2:$K$1601,0),"")</f>
        <v/>
      </c>
      <c r="AU1009" t="str">
        <f>IF($AS1009="","",IFERROR(INDEX('TMP Paste'!$D$2:$D$1601,$AS1009)*1000000/$AB1009,""))</f>
        <v/>
      </c>
    </row>
    <row r="1010" spans="1:47">
      <c r="A1010" t="str">
        <f>IF($AS1010="","",INDEX('TMP Paste'!$B$2:$B$1601,$AS1010))</f>
        <v/>
      </c>
      <c r="B1010" t="str">
        <f>IF($AS1010="","",Config!$B$14)</f>
        <v/>
      </c>
      <c r="C1010" t="str">
        <f>IF($AS1010="","",Config!$B$15)</f>
        <v/>
      </c>
      <c r="D1010" t="str">
        <f>IF($AS1010="","",INDEX('TMP Paste'!$B$2:$B$1601,$AS1010))</f>
        <v/>
      </c>
      <c r="E1010" t="str">
        <f>IF($AS1010="","",Config!$B$27)</f>
        <v/>
      </c>
      <c r="F1010" t="str">
        <f>IF($AS1010="","",Config!$B$9)</f>
        <v/>
      </c>
      <c r="G1010" t="str">
        <f>IF($AS1010="","",Config!$B$10)</f>
        <v/>
      </c>
      <c r="H1010" t="str">
        <f>IF($AS1010="","",Config!$B$11)</f>
        <v/>
      </c>
      <c r="I1010" t="str">
        <f>IF($AS1010="","",Config!$B$16)</f>
        <v/>
      </c>
      <c r="J1010" t="str">
        <f>IF($AS1010="","",INDEX('TMP Paste'!$A$2:$A$1601,$AS1010))</f>
        <v/>
      </c>
      <c r="K1010" t="str">
        <f>IF($AS1010="","",INDEX('TMP Paste'!$L$2:$L$1601,$AS1010))</f>
        <v/>
      </c>
      <c r="L1010" t="str">
        <f>IF($AS1010="","",INDEX('TMP Paste'!$I$2:$I$1601,$AS1010))</f>
        <v/>
      </c>
      <c r="M1010" t="str">
        <f>IF($AS1010="","",Config!$B$16)</f>
        <v/>
      </c>
      <c r="N1010" t="str">
        <f t="shared" si="90"/>
        <v/>
      </c>
      <c r="O1010" t="str">
        <f>IF($AS1010="","",INDEX('TMP Paste'!$K$2:$K$1601,$AS1010))</f>
        <v/>
      </c>
      <c r="P1010" t="str">
        <f t="shared" si="91"/>
        <v/>
      </c>
      <c r="Q1010" t="str">
        <f>IF($AS1010="","",INDEX('TMP Paste'!$J$2:$J$1601,$AS1010))</f>
        <v/>
      </c>
      <c r="R1010" t="str">
        <f>IF($AS1010="","",Config!$B$24)</f>
        <v/>
      </c>
      <c r="S1010" t="str">
        <f ca="1">IF($AS1010="","",TEXT(Config!$B$4,"yyyy-mm-dd"))</f>
        <v/>
      </c>
      <c r="T1010" t="str">
        <f>IF($AS1010="","",Config!$B$17)</f>
        <v/>
      </c>
      <c r="U1010" t="str">
        <f>IF($AS1010="","",Config!$B$18)</f>
        <v/>
      </c>
      <c r="V1010" t="str">
        <f>IF($AS1010="","",Config!$B$19)</f>
        <v/>
      </c>
      <c r="W1010" t="str">
        <f>IF($AS1010="","",INDEX('TMP Paste'!$C$2:$C$1601,$AS1010))</f>
        <v/>
      </c>
      <c r="X1010" t="str">
        <f>IF($AS1010="","",Config!$B$29)</f>
        <v/>
      </c>
      <c r="Y1010" t="str">
        <f>IF($AT1010="","",INDEX(Calc!$I$2:$I$1601,$AT1010)&amp;" - "&amp;INDEX(Calc!$D$2:$D$1601,$AT1010)&amp;" koli")</f>
        <v/>
      </c>
      <c r="Z1010" t="str">
        <f>IF($AS1010="","",Config!$B$21)</f>
        <v/>
      </c>
      <c r="AA1010" t="str">
        <f>IF($AS1010="","",Config!$B$22)</f>
        <v/>
      </c>
      <c r="AB1010" t="str">
        <f>IF($AT1010="","",INDEX(Calc!$D$2:$D$1601,$AT1010))</f>
        <v/>
      </c>
      <c r="AC1010" t="str">
        <f>IF($AT1010="","",INDEX(Calc!$G$2:$G$1601,$AT1010))</f>
        <v/>
      </c>
      <c r="AD1010" t="str">
        <f>IF($AS1010="","",Config!$B$23)</f>
        <v/>
      </c>
      <c r="AE1010" t="str">
        <f>IF($AS1010="","",Config!$B$28)</f>
        <v/>
      </c>
      <c r="AF1010" t="str">
        <f t="shared" si="92"/>
        <v/>
      </c>
      <c r="AG1010" t="str">
        <f t="shared" si="93"/>
        <v/>
      </c>
      <c r="AH1010" t="str">
        <f t="shared" si="94"/>
        <v/>
      </c>
      <c r="AI1010" t="str">
        <f>IF($AG1010="","",SUMIF($AG$2:$AG1010,$AG1010,$AH$2:$AH1010))</f>
        <v/>
      </c>
      <c r="AJ1010" t="str">
        <f>IF('TMP Paste'!$F1010="","",IF('TMP Paste'!$B1010="",$AJ1009,'TMP Paste'!$B1010))</f>
        <v/>
      </c>
      <c r="AK1010" t="str">
        <f>IF('TMP Paste'!$F1010="","",N('TMP Paste'!$G1010))</f>
        <v/>
      </c>
      <c r="AL1010" t="str">
        <f>IF('TMP Paste'!$F1010="","",IF('TMP Paste'!$M1010="",$AL1009,'TMP Paste'!$M1010))</f>
        <v/>
      </c>
      <c r="AM1010" t="str">
        <f>IF('TMP Paste'!$F1010="","",IF('TMP Paste'!$N1010="",$AM1009,'TMP Paste'!$N1010))</f>
        <v/>
      </c>
      <c r="AN1010" t="str">
        <f>IF('TMP Paste'!$F1010="","",IF('TMP Paste'!$O1010="",$AN1009,'TMP Paste'!$O1010))</f>
        <v/>
      </c>
      <c r="AO1010" t="str">
        <f>IF('TMP Paste'!$F1010="","",IF('TMP Paste'!$P1010="",$AO1009,'TMP Paste'!$P1010))</f>
        <v/>
      </c>
      <c r="AP1010" t="str">
        <f t="shared" si="95"/>
        <v/>
      </c>
      <c r="AQ1010" t="str">
        <f>IF($AS1010="","",TRIM(IF(COUNTIFS(Calc!$B$2:$B$1601,ROW()-1,Calc!$C$2:$C$1601,"&lt;1")&gt;0,"Ada PO tanpa Koli - cek TMP. ","")&amp;IF(OR($AU1010="",$AU1010&lt;=0),"Volume kosong/0 - dimensi dikosongkan. ","")&amp;IF(AND($AU1010&lt;&gt;"",$AU1010&gt;=1000000),"Volume &gt;= 1.000.000 cm3 (di luar aturan) - dimensi dikosongkan. ","")&amp;IF(LEN($R1010)&gt;500,"R &gt; 500 karakter.","")))</f>
        <v/>
      </c>
      <c r="AS1010" t="str">
        <f>IFERROR(MATCH(ROW()-1,Calc!$J$2:$J$1601,0),"")</f>
        <v/>
      </c>
      <c r="AT1010" t="str">
        <f>IFERROR(MATCH(ROW()-1,Calc!$K$2:$K$1601,0),"")</f>
        <v/>
      </c>
      <c r="AU1010" t="str">
        <f>IF($AS1010="","",IFERROR(INDEX('TMP Paste'!$D$2:$D$1601,$AS1010)*1000000/$AB1010,""))</f>
        <v/>
      </c>
    </row>
    <row r="1011" spans="1:47">
      <c r="A1011" t="str">
        <f>IF($AS1011="","",INDEX('TMP Paste'!$B$2:$B$1601,$AS1011))</f>
        <v/>
      </c>
      <c r="B1011" t="str">
        <f>IF($AS1011="","",Config!$B$14)</f>
        <v/>
      </c>
      <c r="C1011" t="str">
        <f>IF($AS1011="","",Config!$B$15)</f>
        <v/>
      </c>
      <c r="D1011" t="str">
        <f>IF($AS1011="","",INDEX('TMP Paste'!$B$2:$B$1601,$AS1011))</f>
        <v/>
      </c>
      <c r="E1011" t="str">
        <f>IF($AS1011="","",Config!$B$27)</f>
        <v/>
      </c>
      <c r="F1011" t="str">
        <f>IF($AS1011="","",Config!$B$9)</f>
        <v/>
      </c>
      <c r="G1011" t="str">
        <f>IF($AS1011="","",Config!$B$10)</f>
        <v/>
      </c>
      <c r="H1011" t="str">
        <f>IF($AS1011="","",Config!$B$11)</f>
        <v/>
      </c>
      <c r="I1011" t="str">
        <f>IF($AS1011="","",Config!$B$16)</f>
        <v/>
      </c>
      <c r="J1011" t="str">
        <f>IF($AS1011="","",INDEX('TMP Paste'!$A$2:$A$1601,$AS1011))</f>
        <v/>
      </c>
      <c r="K1011" t="str">
        <f>IF($AS1011="","",INDEX('TMP Paste'!$L$2:$L$1601,$AS1011))</f>
        <v/>
      </c>
      <c r="L1011" t="str">
        <f>IF($AS1011="","",INDEX('TMP Paste'!$I$2:$I$1601,$AS1011))</f>
        <v/>
      </c>
      <c r="M1011" t="str">
        <f>IF($AS1011="","",Config!$B$16)</f>
        <v/>
      </c>
      <c r="N1011" t="str">
        <f t="shared" si="90"/>
        <v/>
      </c>
      <c r="O1011" t="str">
        <f>IF($AS1011="","",INDEX('TMP Paste'!$K$2:$K$1601,$AS1011))</f>
        <v/>
      </c>
      <c r="P1011" t="str">
        <f t="shared" si="91"/>
        <v/>
      </c>
      <c r="Q1011" t="str">
        <f>IF($AS1011="","",INDEX('TMP Paste'!$J$2:$J$1601,$AS1011))</f>
        <v/>
      </c>
      <c r="R1011" t="str">
        <f>IF($AS1011="","",Config!$B$24)</f>
        <v/>
      </c>
      <c r="S1011" t="str">
        <f ca="1">IF($AS1011="","",TEXT(Config!$B$4,"yyyy-mm-dd"))</f>
        <v/>
      </c>
      <c r="T1011" t="str">
        <f>IF($AS1011="","",Config!$B$17)</f>
        <v/>
      </c>
      <c r="U1011" t="str">
        <f>IF($AS1011="","",Config!$B$18)</f>
        <v/>
      </c>
      <c r="V1011" t="str">
        <f>IF($AS1011="","",Config!$B$19)</f>
        <v/>
      </c>
      <c r="W1011" t="str">
        <f>IF($AS1011="","",INDEX('TMP Paste'!$C$2:$C$1601,$AS1011))</f>
        <v/>
      </c>
      <c r="X1011" t="str">
        <f>IF($AS1011="","",Config!$B$29)</f>
        <v/>
      </c>
      <c r="Y1011" t="str">
        <f>IF($AT1011="","",INDEX(Calc!$I$2:$I$1601,$AT1011)&amp;" - "&amp;INDEX(Calc!$D$2:$D$1601,$AT1011)&amp;" koli")</f>
        <v/>
      </c>
      <c r="Z1011" t="str">
        <f>IF($AS1011="","",Config!$B$21)</f>
        <v/>
      </c>
      <c r="AA1011" t="str">
        <f>IF($AS1011="","",Config!$B$22)</f>
        <v/>
      </c>
      <c r="AB1011" t="str">
        <f>IF($AT1011="","",INDEX(Calc!$D$2:$D$1601,$AT1011))</f>
        <v/>
      </c>
      <c r="AC1011" t="str">
        <f>IF($AT1011="","",INDEX(Calc!$G$2:$G$1601,$AT1011))</f>
        <v/>
      </c>
      <c r="AD1011" t="str">
        <f>IF($AS1011="","",Config!$B$23)</f>
        <v/>
      </c>
      <c r="AE1011" t="str">
        <f>IF($AS1011="","",Config!$B$28)</f>
        <v/>
      </c>
      <c r="AF1011" t="str">
        <f t="shared" si="92"/>
        <v/>
      </c>
      <c r="AG1011" t="str">
        <f t="shared" si="93"/>
        <v/>
      </c>
      <c r="AH1011" t="str">
        <f t="shared" si="94"/>
        <v/>
      </c>
      <c r="AI1011" t="str">
        <f>IF($AG1011="","",SUMIF($AG$2:$AG1011,$AG1011,$AH$2:$AH1011))</f>
        <v/>
      </c>
      <c r="AJ1011" t="str">
        <f>IF('TMP Paste'!$F1011="","",IF('TMP Paste'!$B1011="",$AJ1010,'TMP Paste'!$B1011))</f>
        <v/>
      </c>
      <c r="AK1011" t="str">
        <f>IF('TMP Paste'!$F1011="","",N('TMP Paste'!$G1011))</f>
        <v/>
      </c>
      <c r="AL1011" t="str">
        <f>IF('TMP Paste'!$F1011="","",IF('TMP Paste'!$M1011="",$AL1010,'TMP Paste'!$M1011))</f>
        <v/>
      </c>
      <c r="AM1011" t="str">
        <f>IF('TMP Paste'!$F1011="","",IF('TMP Paste'!$N1011="",$AM1010,'TMP Paste'!$N1011))</f>
        <v/>
      </c>
      <c r="AN1011" t="str">
        <f>IF('TMP Paste'!$F1011="","",IF('TMP Paste'!$O1011="",$AN1010,'TMP Paste'!$O1011))</f>
        <v/>
      </c>
      <c r="AO1011" t="str">
        <f>IF('TMP Paste'!$F1011="","",IF('TMP Paste'!$P1011="",$AO1010,'TMP Paste'!$P1011))</f>
        <v/>
      </c>
      <c r="AP1011" t="str">
        <f t="shared" si="95"/>
        <v/>
      </c>
      <c r="AQ1011" t="str">
        <f>IF($AS1011="","",TRIM(IF(COUNTIFS(Calc!$B$2:$B$1601,ROW()-1,Calc!$C$2:$C$1601,"&lt;1")&gt;0,"Ada PO tanpa Koli - cek TMP. ","")&amp;IF(OR($AU1011="",$AU1011&lt;=0),"Volume kosong/0 - dimensi dikosongkan. ","")&amp;IF(AND($AU1011&lt;&gt;"",$AU1011&gt;=1000000),"Volume &gt;= 1.000.000 cm3 (di luar aturan) - dimensi dikosongkan. ","")&amp;IF(LEN($R1011)&gt;500,"R &gt; 500 karakter.","")))</f>
        <v/>
      </c>
      <c r="AS1011" t="str">
        <f>IFERROR(MATCH(ROW()-1,Calc!$J$2:$J$1601,0),"")</f>
        <v/>
      </c>
      <c r="AT1011" t="str">
        <f>IFERROR(MATCH(ROW()-1,Calc!$K$2:$K$1601,0),"")</f>
        <v/>
      </c>
      <c r="AU1011" t="str">
        <f>IF($AS1011="","",IFERROR(INDEX('TMP Paste'!$D$2:$D$1601,$AS1011)*1000000/$AB1011,""))</f>
        <v/>
      </c>
    </row>
    <row r="1012" spans="1:47">
      <c r="A1012" t="str">
        <f>IF($AS1012="","",INDEX('TMP Paste'!$B$2:$B$1601,$AS1012))</f>
        <v/>
      </c>
      <c r="B1012" t="str">
        <f>IF($AS1012="","",Config!$B$14)</f>
        <v/>
      </c>
      <c r="C1012" t="str">
        <f>IF($AS1012="","",Config!$B$15)</f>
        <v/>
      </c>
      <c r="D1012" t="str">
        <f>IF($AS1012="","",INDEX('TMP Paste'!$B$2:$B$1601,$AS1012))</f>
        <v/>
      </c>
      <c r="E1012" t="str">
        <f>IF($AS1012="","",Config!$B$27)</f>
        <v/>
      </c>
      <c r="F1012" t="str">
        <f>IF($AS1012="","",Config!$B$9)</f>
        <v/>
      </c>
      <c r="G1012" t="str">
        <f>IF($AS1012="","",Config!$B$10)</f>
        <v/>
      </c>
      <c r="H1012" t="str">
        <f>IF($AS1012="","",Config!$B$11)</f>
        <v/>
      </c>
      <c r="I1012" t="str">
        <f>IF($AS1012="","",Config!$B$16)</f>
        <v/>
      </c>
      <c r="J1012" t="str">
        <f>IF($AS1012="","",INDEX('TMP Paste'!$A$2:$A$1601,$AS1012))</f>
        <v/>
      </c>
      <c r="K1012" t="str">
        <f>IF($AS1012="","",INDEX('TMP Paste'!$L$2:$L$1601,$AS1012))</f>
        <v/>
      </c>
      <c r="L1012" t="str">
        <f>IF($AS1012="","",INDEX('TMP Paste'!$I$2:$I$1601,$AS1012))</f>
        <v/>
      </c>
      <c r="M1012" t="str">
        <f>IF($AS1012="","",Config!$B$16)</f>
        <v/>
      </c>
      <c r="N1012" t="str">
        <f t="shared" si="90"/>
        <v/>
      </c>
      <c r="O1012" t="str">
        <f>IF($AS1012="","",INDEX('TMP Paste'!$K$2:$K$1601,$AS1012))</f>
        <v/>
      </c>
      <c r="P1012" t="str">
        <f t="shared" si="91"/>
        <v/>
      </c>
      <c r="Q1012" t="str">
        <f>IF($AS1012="","",INDEX('TMP Paste'!$J$2:$J$1601,$AS1012))</f>
        <v/>
      </c>
      <c r="R1012" t="str">
        <f>IF($AS1012="","",Config!$B$24)</f>
        <v/>
      </c>
      <c r="S1012" t="str">
        <f ca="1">IF($AS1012="","",TEXT(Config!$B$4,"yyyy-mm-dd"))</f>
        <v/>
      </c>
      <c r="T1012" t="str">
        <f>IF($AS1012="","",Config!$B$17)</f>
        <v/>
      </c>
      <c r="U1012" t="str">
        <f>IF($AS1012="","",Config!$B$18)</f>
        <v/>
      </c>
      <c r="V1012" t="str">
        <f>IF($AS1012="","",Config!$B$19)</f>
        <v/>
      </c>
      <c r="W1012" t="str">
        <f>IF($AS1012="","",INDEX('TMP Paste'!$C$2:$C$1601,$AS1012))</f>
        <v/>
      </c>
      <c r="X1012" t="str">
        <f>IF($AS1012="","",Config!$B$29)</f>
        <v/>
      </c>
      <c r="Y1012" t="str">
        <f>IF($AT1012="","",INDEX(Calc!$I$2:$I$1601,$AT1012)&amp;" - "&amp;INDEX(Calc!$D$2:$D$1601,$AT1012)&amp;" koli")</f>
        <v/>
      </c>
      <c r="Z1012" t="str">
        <f>IF($AS1012="","",Config!$B$21)</f>
        <v/>
      </c>
      <c r="AA1012" t="str">
        <f>IF($AS1012="","",Config!$B$22)</f>
        <v/>
      </c>
      <c r="AB1012" t="str">
        <f>IF($AT1012="","",INDEX(Calc!$D$2:$D$1601,$AT1012))</f>
        <v/>
      </c>
      <c r="AC1012" t="str">
        <f>IF($AT1012="","",INDEX(Calc!$G$2:$G$1601,$AT1012))</f>
        <v/>
      </c>
      <c r="AD1012" t="str">
        <f>IF($AS1012="","",Config!$B$23)</f>
        <v/>
      </c>
      <c r="AE1012" t="str">
        <f>IF($AS1012="","",Config!$B$28)</f>
        <v/>
      </c>
      <c r="AF1012" t="str">
        <f t="shared" si="92"/>
        <v/>
      </c>
      <c r="AG1012" t="str">
        <f t="shared" si="93"/>
        <v/>
      </c>
      <c r="AH1012" t="str">
        <f t="shared" si="94"/>
        <v/>
      </c>
      <c r="AI1012" t="str">
        <f>IF($AG1012="","",SUMIF($AG$2:$AG1012,$AG1012,$AH$2:$AH1012))</f>
        <v/>
      </c>
      <c r="AJ1012" t="str">
        <f>IF('TMP Paste'!$F1012="","",IF('TMP Paste'!$B1012="",$AJ1011,'TMP Paste'!$B1012))</f>
        <v/>
      </c>
      <c r="AK1012" t="str">
        <f>IF('TMP Paste'!$F1012="","",N('TMP Paste'!$G1012))</f>
        <v/>
      </c>
      <c r="AL1012" t="str">
        <f>IF('TMP Paste'!$F1012="","",IF('TMP Paste'!$M1012="",$AL1011,'TMP Paste'!$M1012))</f>
        <v/>
      </c>
      <c r="AM1012" t="str">
        <f>IF('TMP Paste'!$F1012="","",IF('TMP Paste'!$N1012="",$AM1011,'TMP Paste'!$N1012))</f>
        <v/>
      </c>
      <c r="AN1012" t="str">
        <f>IF('TMP Paste'!$F1012="","",IF('TMP Paste'!$O1012="",$AN1011,'TMP Paste'!$O1012))</f>
        <v/>
      </c>
      <c r="AO1012" t="str">
        <f>IF('TMP Paste'!$F1012="","",IF('TMP Paste'!$P1012="",$AO1011,'TMP Paste'!$P1012))</f>
        <v/>
      </c>
      <c r="AP1012" t="str">
        <f t="shared" si="95"/>
        <v/>
      </c>
      <c r="AQ1012" t="str">
        <f>IF($AS1012="","",TRIM(IF(COUNTIFS(Calc!$B$2:$B$1601,ROW()-1,Calc!$C$2:$C$1601,"&lt;1")&gt;0,"Ada PO tanpa Koli - cek TMP. ","")&amp;IF(OR($AU1012="",$AU1012&lt;=0),"Volume kosong/0 - dimensi dikosongkan. ","")&amp;IF(AND($AU1012&lt;&gt;"",$AU1012&gt;=1000000),"Volume &gt;= 1.000.000 cm3 (di luar aturan) - dimensi dikosongkan. ","")&amp;IF(LEN($R1012)&gt;500,"R &gt; 500 karakter.","")))</f>
        <v/>
      </c>
      <c r="AS1012" t="str">
        <f>IFERROR(MATCH(ROW()-1,Calc!$J$2:$J$1601,0),"")</f>
        <v/>
      </c>
      <c r="AT1012" t="str">
        <f>IFERROR(MATCH(ROW()-1,Calc!$K$2:$K$1601,0),"")</f>
        <v/>
      </c>
      <c r="AU1012" t="str">
        <f>IF($AS1012="","",IFERROR(INDEX('TMP Paste'!$D$2:$D$1601,$AS1012)*1000000/$AB1012,""))</f>
        <v/>
      </c>
    </row>
    <row r="1013" spans="1:47">
      <c r="A1013" t="str">
        <f>IF($AS1013="","",INDEX('TMP Paste'!$B$2:$B$1601,$AS1013))</f>
        <v/>
      </c>
      <c r="B1013" t="str">
        <f>IF($AS1013="","",Config!$B$14)</f>
        <v/>
      </c>
      <c r="C1013" t="str">
        <f>IF($AS1013="","",Config!$B$15)</f>
        <v/>
      </c>
      <c r="D1013" t="str">
        <f>IF($AS1013="","",INDEX('TMP Paste'!$B$2:$B$1601,$AS1013))</f>
        <v/>
      </c>
      <c r="E1013" t="str">
        <f>IF($AS1013="","",Config!$B$27)</f>
        <v/>
      </c>
      <c r="F1013" t="str">
        <f>IF($AS1013="","",Config!$B$9)</f>
        <v/>
      </c>
      <c r="G1013" t="str">
        <f>IF($AS1013="","",Config!$B$10)</f>
        <v/>
      </c>
      <c r="H1013" t="str">
        <f>IF($AS1013="","",Config!$B$11)</f>
        <v/>
      </c>
      <c r="I1013" t="str">
        <f>IF($AS1013="","",Config!$B$16)</f>
        <v/>
      </c>
      <c r="J1013" t="str">
        <f>IF($AS1013="","",INDEX('TMP Paste'!$A$2:$A$1601,$AS1013))</f>
        <v/>
      </c>
      <c r="K1013" t="str">
        <f>IF($AS1013="","",INDEX('TMP Paste'!$L$2:$L$1601,$AS1013))</f>
        <v/>
      </c>
      <c r="L1013" t="str">
        <f>IF($AS1013="","",INDEX('TMP Paste'!$I$2:$I$1601,$AS1013))</f>
        <v/>
      </c>
      <c r="M1013" t="str">
        <f>IF($AS1013="","",Config!$B$16)</f>
        <v/>
      </c>
      <c r="N1013" t="str">
        <f t="shared" si="90"/>
        <v/>
      </c>
      <c r="O1013" t="str">
        <f>IF($AS1013="","",INDEX('TMP Paste'!$K$2:$K$1601,$AS1013))</f>
        <v/>
      </c>
      <c r="P1013" t="str">
        <f t="shared" si="91"/>
        <v/>
      </c>
      <c r="Q1013" t="str">
        <f>IF($AS1013="","",INDEX('TMP Paste'!$J$2:$J$1601,$AS1013))</f>
        <v/>
      </c>
      <c r="R1013" t="str">
        <f>IF($AS1013="","",Config!$B$24)</f>
        <v/>
      </c>
      <c r="S1013" t="str">
        <f ca="1">IF($AS1013="","",TEXT(Config!$B$4,"yyyy-mm-dd"))</f>
        <v/>
      </c>
      <c r="T1013" t="str">
        <f>IF($AS1013="","",Config!$B$17)</f>
        <v/>
      </c>
      <c r="U1013" t="str">
        <f>IF($AS1013="","",Config!$B$18)</f>
        <v/>
      </c>
      <c r="V1013" t="str">
        <f>IF($AS1013="","",Config!$B$19)</f>
        <v/>
      </c>
      <c r="W1013" t="str">
        <f>IF($AS1013="","",INDEX('TMP Paste'!$C$2:$C$1601,$AS1013))</f>
        <v/>
      </c>
      <c r="X1013" t="str">
        <f>IF($AS1013="","",Config!$B$29)</f>
        <v/>
      </c>
      <c r="Y1013" t="str">
        <f>IF($AT1013="","",INDEX(Calc!$I$2:$I$1601,$AT1013)&amp;" - "&amp;INDEX(Calc!$D$2:$D$1601,$AT1013)&amp;" koli")</f>
        <v/>
      </c>
      <c r="Z1013" t="str">
        <f>IF($AS1013="","",Config!$B$21)</f>
        <v/>
      </c>
      <c r="AA1013" t="str">
        <f>IF($AS1013="","",Config!$B$22)</f>
        <v/>
      </c>
      <c r="AB1013" t="str">
        <f>IF($AT1013="","",INDEX(Calc!$D$2:$D$1601,$AT1013))</f>
        <v/>
      </c>
      <c r="AC1013" t="str">
        <f>IF($AT1013="","",INDEX(Calc!$G$2:$G$1601,$AT1013))</f>
        <v/>
      </c>
      <c r="AD1013" t="str">
        <f>IF($AS1013="","",Config!$B$23)</f>
        <v/>
      </c>
      <c r="AE1013" t="str">
        <f>IF($AS1013="","",Config!$B$28)</f>
        <v/>
      </c>
      <c r="AF1013" t="str">
        <f t="shared" si="92"/>
        <v/>
      </c>
      <c r="AG1013" t="str">
        <f t="shared" si="93"/>
        <v/>
      </c>
      <c r="AH1013" t="str">
        <f t="shared" si="94"/>
        <v/>
      </c>
      <c r="AI1013" t="str">
        <f>IF($AG1013="","",SUMIF($AG$2:$AG1013,$AG1013,$AH$2:$AH1013))</f>
        <v/>
      </c>
      <c r="AJ1013" t="str">
        <f>IF('TMP Paste'!$F1013="","",IF('TMP Paste'!$B1013="",$AJ1012,'TMP Paste'!$B1013))</f>
        <v/>
      </c>
      <c r="AK1013" t="str">
        <f>IF('TMP Paste'!$F1013="","",N('TMP Paste'!$G1013))</f>
        <v/>
      </c>
      <c r="AL1013" t="str">
        <f>IF('TMP Paste'!$F1013="","",IF('TMP Paste'!$M1013="",$AL1012,'TMP Paste'!$M1013))</f>
        <v/>
      </c>
      <c r="AM1013" t="str">
        <f>IF('TMP Paste'!$F1013="","",IF('TMP Paste'!$N1013="",$AM1012,'TMP Paste'!$N1013))</f>
        <v/>
      </c>
      <c r="AN1013" t="str">
        <f>IF('TMP Paste'!$F1013="","",IF('TMP Paste'!$O1013="",$AN1012,'TMP Paste'!$O1013))</f>
        <v/>
      </c>
      <c r="AO1013" t="str">
        <f>IF('TMP Paste'!$F1013="","",IF('TMP Paste'!$P1013="",$AO1012,'TMP Paste'!$P1013))</f>
        <v/>
      </c>
      <c r="AP1013" t="str">
        <f t="shared" si="95"/>
        <v/>
      </c>
      <c r="AQ1013" t="str">
        <f>IF($AS1013="","",TRIM(IF(COUNTIFS(Calc!$B$2:$B$1601,ROW()-1,Calc!$C$2:$C$1601,"&lt;1")&gt;0,"Ada PO tanpa Koli - cek TMP. ","")&amp;IF(OR($AU1013="",$AU1013&lt;=0),"Volume kosong/0 - dimensi dikosongkan. ","")&amp;IF(AND($AU1013&lt;&gt;"",$AU1013&gt;=1000000),"Volume &gt;= 1.000.000 cm3 (di luar aturan) - dimensi dikosongkan. ","")&amp;IF(LEN($R1013)&gt;500,"R &gt; 500 karakter.","")))</f>
        <v/>
      </c>
      <c r="AS1013" t="str">
        <f>IFERROR(MATCH(ROW()-1,Calc!$J$2:$J$1601,0),"")</f>
        <v/>
      </c>
      <c r="AT1013" t="str">
        <f>IFERROR(MATCH(ROW()-1,Calc!$K$2:$K$1601,0),"")</f>
        <v/>
      </c>
      <c r="AU1013" t="str">
        <f>IF($AS1013="","",IFERROR(INDEX('TMP Paste'!$D$2:$D$1601,$AS1013)*1000000/$AB1013,""))</f>
        <v/>
      </c>
    </row>
    <row r="1014" spans="1:47">
      <c r="A1014" t="str">
        <f>IF($AS1014="","",INDEX('TMP Paste'!$B$2:$B$1601,$AS1014))</f>
        <v/>
      </c>
      <c r="B1014" t="str">
        <f>IF($AS1014="","",Config!$B$14)</f>
        <v/>
      </c>
      <c r="C1014" t="str">
        <f>IF($AS1014="","",Config!$B$15)</f>
        <v/>
      </c>
      <c r="D1014" t="str">
        <f>IF($AS1014="","",INDEX('TMP Paste'!$B$2:$B$1601,$AS1014))</f>
        <v/>
      </c>
      <c r="E1014" t="str">
        <f>IF($AS1014="","",Config!$B$27)</f>
        <v/>
      </c>
      <c r="F1014" t="str">
        <f>IF($AS1014="","",Config!$B$9)</f>
        <v/>
      </c>
      <c r="G1014" t="str">
        <f>IF($AS1014="","",Config!$B$10)</f>
        <v/>
      </c>
      <c r="H1014" t="str">
        <f>IF($AS1014="","",Config!$B$11)</f>
        <v/>
      </c>
      <c r="I1014" t="str">
        <f>IF($AS1014="","",Config!$B$16)</f>
        <v/>
      </c>
      <c r="J1014" t="str">
        <f>IF($AS1014="","",INDEX('TMP Paste'!$A$2:$A$1601,$AS1014))</f>
        <v/>
      </c>
      <c r="K1014" t="str">
        <f>IF($AS1014="","",INDEX('TMP Paste'!$L$2:$L$1601,$AS1014))</f>
        <v/>
      </c>
      <c r="L1014" t="str">
        <f>IF($AS1014="","",INDEX('TMP Paste'!$I$2:$I$1601,$AS1014))</f>
        <v/>
      </c>
      <c r="M1014" t="str">
        <f>IF($AS1014="","",Config!$B$16)</f>
        <v/>
      </c>
      <c r="N1014" t="str">
        <f t="shared" si="90"/>
        <v/>
      </c>
      <c r="O1014" t="str">
        <f>IF($AS1014="","",INDEX('TMP Paste'!$K$2:$K$1601,$AS1014))</f>
        <v/>
      </c>
      <c r="P1014" t="str">
        <f t="shared" si="91"/>
        <v/>
      </c>
      <c r="Q1014" t="str">
        <f>IF($AS1014="","",INDEX('TMP Paste'!$J$2:$J$1601,$AS1014))</f>
        <v/>
      </c>
      <c r="R1014" t="str">
        <f>IF($AS1014="","",Config!$B$24)</f>
        <v/>
      </c>
      <c r="S1014" t="str">
        <f ca="1">IF($AS1014="","",TEXT(Config!$B$4,"yyyy-mm-dd"))</f>
        <v/>
      </c>
      <c r="T1014" t="str">
        <f>IF($AS1014="","",Config!$B$17)</f>
        <v/>
      </c>
      <c r="U1014" t="str">
        <f>IF($AS1014="","",Config!$B$18)</f>
        <v/>
      </c>
      <c r="V1014" t="str">
        <f>IF($AS1014="","",Config!$B$19)</f>
        <v/>
      </c>
      <c r="W1014" t="str">
        <f>IF($AS1014="","",INDEX('TMP Paste'!$C$2:$C$1601,$AS1014))</f>
        <v/>
      </c>
      <c r="X1014" t="str">
        <f>IF($AS1014="","",Config!$B$29)</f>
        <v/>
      </c>
      <c r="Y1014" t="str">
        <f>IF($AT1014="","",INDEX(Calc!$I$2:$I$1601,$AT1014)&amp;" - "&amp;INDEX(Calc!$D$2:$D$1601,$AT1014)&amp;" koli")</f>
        <v/>
      </c>
      <c r="Z1014" t="str">
        <f>IF($AS1014="","",Config!$B$21)</f>
        <v/>
      </c>
      <c r="AA1014" t="str">
        <f>IF($AS1014="","",Config!$B$22)</f>
        <v/>
      </c>
      <c r="AB1014" t="str">
        <f>IF($AT1014="","",INDEX(Calc!$D$2:$D$1601,$AT1014))</f>
        <v/>
      </c>
      <c r="AC1014" t="str">
        <f>IF($AT1014="","",INDEX(Calc!$G$2:$G$1601,$AT1014))</f>
        <v/>
      </c>
      <c r="AD1014" t="str">
        <f>IF($AS1014="","",Config!$B$23)</f>
        <v/>
      </c>
      <c r="AE1014" t="str">
        <f>IF($AS1014="","",Config!$B$28)</f>
        <v/>
      </c>
      <c r="AF1014" t="str">
        <f t="shared" si="92"/>
        <v/>
      </c>
      <c r="AG1014" t="str">
        <f t="shared" si="93"/>
        <v/>
      </c>
      <c r="AH1014" t="str">
        <f t="shared" si="94"/>
        <v/>
      </c>
      <c r="AI1014" t="str">
        <f>IF($AG1014="","",SUMIF($AG$2:$AG1014,$AG1014,$AH$2:$AH1014))</f>
        <v/>
      </c>
      <c r="AJ1014" t="str">
        <f>IF('TMP Paste'!$F1014="","",IF('TMP Paste'!$B1014="",$AJ1013,'TMP Paste'!$B1014))</f>
        <v/>
      </c>
      <c r="AK1014" t="str">
        <f>IF('TMP Paste'!$F1014="","",N('TMP Paste'!$G1014))</f>
        <v/>
      </c>
      <c r="AL1014" t="str">
        <f>IF('TMP Paste'!$F1014="","",IF('TMP Paste'!$M1014="",$AL1013,'TMP Paste'!$M1014))</f>
        <v/>
      </c>
      <c r="AM1014" t="str">
        <f>IF('TMP Paste'!$F1014="","",IF('TMP Paste'!$N1014="",$AM1013,'TMP Paste'!$N1014))</f>
        <v/>
      </c>
      <c r="AN1014" t="str">
        <f>IF('TMP Paste'!$F1014="","",IF('TMP Paste'!$O1014="",$AN1013,'TMP Paste'!$O1014))</f>
        <v/>
      </c>
      <c r="AO1014" t="str">
        <f>IF('TMP Paste'!$F1014="","",IF('TMP Paste'!$P1014="",$AO1013,'TMP Paste'!$P1014))</f>
        <v/>
      </c>
      <c r="AP1014" t="str">
        <f t="shared" si="95"/>
        <v/>
      </c>
      <c r="AQ1014" t="str">
        <f>IF($AS1014="","",TRIM(IF(COUNTIFS(Calc!$B$2:$B$1601,ROW()-1,Calc!$C$2:$C$1601,"&lt;1")&gt;0,"Ada PO tanpa Koli - cek TMP. ","")&amp;IF(OR($AU1014="",$AU1014&lt;=0),"Volume kosong/0 - dimensi dikosongkan. ","")&amp;IF(AND($AU1014&lt;&gt;"",$AU1014&gt;=1000000),"Volume &gt;= 1.000.000 cm3 (di luar aturan) - dimensi dikosongkan. ","")&amp;IF(LEN($R1014)&gt;500,"R &gt; 500 karakter.","")))</f>
        <v/>
      </c>
      <c r="AS1014" t="str">
        <f>IFERROR(MATCH(ROW()-1,Calc!$J$2:$J$1601,0),"")</f>
        <v/>
      </c>
      <c r="AT1014" t="str">
        <f>IFERROR(MATCH(ROW()-1,Calc!$K$2:$K$1601,0),"")</f>
        <v/>
      </c>
      <c r="AU1014" t="str">
        <f>IF($AS1014="","",IFERROR(INDEX('TMP Paste'!$D$2:$D$1601,$AS1014)*1000000/$AB1014,""))</f>
        <v/>
      </c>
    </row>
    <row r="1015" spans="1:47">
      <c r="A1015" t="str">
        <f>IF($AS1015="","",INDEX('TMP Paste'!$B$2:$B$1601,$AS1015))</f>
        <v/>
      </c>
      <c r="B1015" t="str">
        <f>IF($AS1015="","",Config!$B$14)</f>
        <v/>
      </c>
      <c r="C1015" t="str">
        <f>IF($AS1015="","",Config!$B$15)</f>
        <v/>
      </c>
      <c r="D1015" t="str">
        <f>IF($AS1015="","",INDEX('TMP Paste'!$B$2:$B$1601,$AS1015))</f>
        <v/>
      </c>
      <c r="E1015" t="str">
        <f>IF($AS1015="","",Config!$B$27)</f>
        <v/>
      </c>
      <c r="F1015" t="str">
        <f>IF($AS1015="","",Config!$B$9)</f>
        <v/>
      </c>
      <c r="G1015" t="str">
        <f>IF($AS1015="","",Config!$B$10)</f>
        <v/>
      </c>
      <c r="H1015" t="str">
        <f>IF($AS1015="","",Config!$B$11)</f>
        <v/>
      </c>
      <c r="I1015" t="str">
        <f>IF($AS1015="","",Config!$B$16)</f>
        <v/>
      </c>
      <c r="J1015" t="str">
        <f>IF($AS1015="","",INDEX('TMP Paste'!$A$2:$A$1601,$AS1015))</f>
        <v/>
      </c>
      <c r="K1015" t="str">
        <f>IF($AS1015="","",INDEX('TMP Paste'!$L$2:$L$1601,$AS1015))</f>
        <v/>
      </c>
      <c r="L1015" t="str">
        <f>IF($AS1015="","",INDEX('TMP Paste'!$I$2:$I$1601,$AS1015))</f>
        <v/>
      </c>
      <c r="M1015" t="str">
        <f>IF($AS1015="","",Config!$B$16)</f>
        <v/>
      </c>
      <c r="N1015" t="str">
        <f t="shared" si="90"/>
        <v/>
      </c>
      <c r="O1015" t="str">
        <f>IF($AS1015="","",INDEX('TMP Paste'!$K$2:$K$1601,$AS1015))</f>
        <v/>
      </c>
      <c r="P1015" t="str">
        <f t="shared" si="91"/>
        <v/>
      </c>
      <c r="Q1015" t="str">
        <f>IF($AS1015="","",INDEX('TMP Paste'!$J$2:$J$1601,$AS1015))</f>
        <v/>
      </c>
      <c r="R1015" t="str">
        <f>IF($AS1015="","",Config!$B$24)</f>
        <v/>
      </c>
      <c r="S1015" t="str">
        <f ca="1">IF($AS1015="","",TEXT(Config!$B$4,"yyyy-mm-dd"))</f>
        <v/>
      </c>
      <c r="T1015" t="str">
        <f>IF($AS1015="","",Config!$B$17)</f>
        <v/>
      </c>
      <c r="U1015" t="str">
        <f>IF($AS1015="","",Config!$B$18)</f>
        <v/>
      </c>
      <c r="V1015" t="str">
        <f>IF($AS1015="","",Config!$B$19)</f>
        <v/>
      </c>
      <c r="W1015" t="str">
        <f>IF($AS1015="","",INDEX('TMP Paste'!$C$2:$C$1601,$AS1015))</f>
        <v/>
      </c>
      <c r="X1015" t="str">
        <f>IF($AS1015="","",Config!$B$29)</f>
        <v/>
      </c>
      <c r="Y1015" t="str">
        <f>IF($AT1015="","",INDEX(Calc!$I$2:$I$1601,$AT1015)&amp;" - "&amp;INDEX(Calc!$D$2:$D$1601,$AT1015)&amp;" koli")</f>
        <v/>
      </c>
      <c r="Z1015" t="str">
        <f>IF($AS1015="","",Config!$B$21)</f>
        <v/>
      </c>
      <c r="AA1015" t="str">
        <f>IF($AS1015="","",Config!$B$22)</f>
        <v/>
      </c>
      <c r="AB1015" t="str">
        <f>IF($AT1015="","",INDEX(Calc!$D$2:$D$1601,$AT1015))</f>
        <v/>
      </c>
      <c r="AC1015" t="str">
        <f>IF($AT1015="","",INDEX(Calc!$G$2:$G$1601,$AT1015))</f>
        <v/>
      </c>
      <c r="AD1015" t="str">
        <f>IF($AS1015="","",Config!$B$23)</f>
        <v/>
      </c>
      <c r="AE1015" t="str">
        <f>IF($AS1015="","",Config!$B$28)</f>
        <v/>
      </c>
      <c r="AF1015" t="str">
        <f t="shared" si="92"/>
        <v/>
      </c>
      <c r="AG1015" t="str">
        <f t="shared" si="93"/>
        <v/>
      </c>
      <c r="AH1015" t="str">
        <f t="shared" si="94"/>
        <v/>
      </c>
      <c r="AI1015" t="str">
        <f>IF($AG1015="","",SUMIF($AG$2:$AG1015,$AG1015,$AH$2:$AH1015))</f>
        <v/>
      </c>
      <c r="AJ1015" t="str">
        <f>IF('TMP Paste'!$F1015="","",IF('TMP Paste'!$B1015="",$AJ1014,'TMP Paste'!$B1015))</f>
        <v/>
      </c>
      <c r="AK1015" t="str">
        <f>IF('TMP Paste'!$F1015="","",N('TMP Paste'!$G1015))</f>
        <v/>
      </c>
      <c r="AL1015" t="str">
        <f>IF('TMP Paste'!$F1015="","",IF('TMP Paste'!$M1015="",$AL1014,'TMP Paste'!$M1015))</f>
        <v/>
      </c>
      <c r="AM1015" t="str">
        <f>IF('TMP Paste'!$F1015="","",IF('TMP Paste'!$N1015="",$AM1014,'TMP Paste'!$N1015))</f>
        <v/>
      </c>
      <c r="AN1015" t="str">
        <f>IF('TMP Paste'!$F1015="","",IF('TMP Paste'!$O1015="",$AN1014,'TMP Paste'!$O1015))</f>
        <v/>
      </c>
      <c r="AO1015" t="str">
        <f>IF('TMP Paste'!$F1015="","",IF('TMP Paste'!$P1015="",$AO1014,'TMP Paste'!$P1015))</f>
        <v/>
      </c>
      <c r="AP1015" t="str">
        <f t="shared" si="95"/>
        <v/>
      </c>
      <c r="AQ1015" t="str">
        <f>IF($AS1015="","",TRIM(IF(COUNTIFS(Calc!$B$2:$B$1601,ROW()-1,Calc!$C$2:$C$1601,"&lt;1")&gt;0,"Ada PO tanpa Koli - cek TMP. ","")&amp;IF(OR($AU1015="",$AU1015&lt;=0),"Volume kosong/0 - dimensi dikosongkan. ","")&amp;IF(AND($AU1015&lt;&gt;"",$AU1015&gt;=1000000),"Volume &gt;= 1.000.000 cm3 (di luar aturan) - dimensi dikosongkan. ","")&amp;IF(LEN($R1015)&gt;500,"R &gt; 500 karakter.","")))</f>
        <v/>
      </c>
      <c r="AS1015" t="str">
        <f>IFERROR(MATCH(ROW()-1,Calc!$J$2:$J$1601,0),"")</f>
        <v/>
      </c>
      <c r="AT1015" t="str">
        <f>IFERROR(MATCH(ROW()-1,Calc!$K$2:$K$1601,0),"")</f>
        <v/>
      </c>
      <c r="AU1015" t="str">
        <f>IF($AS1015="","",IFERROR(INDEX('TMP Paste'!$D$2:$D$1601,$AS1015)*1000000/$AB1015,""))</f>
        <v/>
      </c>
    </row>
    <row r="1016" spans="1:47">
      <c r="A1016" t="str">
        <f>IF($AS1016="","",INDEX('TMP Paste'!$B$2:$B$1601,$AS1016))</f>
        <v/>
      </c>
      <c r="B1016" t="str">
        <f>IF($AS1016="","",Config!$B$14)</f>
        <v/>
      </c>
      <c r="C1016" t="str">
        <f>IF($AS1016="","",Config!$B$15)</f>
        <v/>
      </c>
      <c r="D1016" t="str">
        <f>IF($AS1016="","",INDEX('TMP Paste'!$B$2:$B$1601,$AS1016))</f>
        <v/>
      </c>
      <c r="E1016" t="str">
        <f>IF($AS1016="","",Config!$B$27)</f>
        <v/>
      </c>
      <c r="F1016" t="str">
        <f>IF($AS1016="","",Config!$B$9)</f>
        <v/>
      </c>
      <c r="G1016" t="str">
        <f>IF($AS1016="","",Config!$B$10)</f>
        <v/>
      </c>
      <c r="H1016" t="str">
        <f>IF($AS1016="","",Config!$B$11)</f>
        <v/>
      </c>
      <c r="I1016" t="str">
        <f>IF($AS1016="","",Config!$B$16)</f>
        <v/>
      </c>
      <c r="J1016" t="str">
        <f>IF($AS1016="","",INDEX('TMP Paste'!$A$2:$A$1601,$AS1016))</f>
        <v/>
      </c>
      <c r="K1016" t="str">
        <f>IF($AS1016="","",INDEX('TMP Paste'!$L$2:$L$1601,$AS1016))</f>
        <v/>
      </c>
      <c r="L1016" t="str">
        <f>IF($AS1016="","",INDEX('TMP Paste'!$I$2:$I$1601,$AS1016))</f>
        <v/>
      </c>
      <c r="M1016" t="str">
        <f>IF($AS1016="","",Config!$B$16)</f>
        <v/>
      </c>
      <c r="N1016" t="str">
        <f t="shared" si="90"/>
        <v/>
      </c>
      <c r="O1016" t="str">
        <f>IF($AS1016="","",INDEX('TMP Paste'!$K$2:$K$1601,$AS1016))</f>
        <v/>
      </c>
      <c r="P1016" t="str">
        <f t="shared" si="91"/>
        <v/>
      </c>
      <c r="Q1016" t="str">
        <f>IF($AS1016="","",INDEX('TMP Paste'!$J$2:$J$1601,$AS1016))</f>
        <v/>
      </c>
      <c r="R1016" t="str">
        <f>IF($AS1016="","",Config!$B$24)</f>
        <v/>
      </c>
      <c r="S1016" t="str">
        <f ca="1">IF($AS1016="","",TEXT(Config!$B$4,"yyyy-mm-dd"))</f>
        <v/>
      </c>
      <c r="T1016" t="str">
        <f>IF($AS1016="","",Config!$B$17)</f>
        <v/>
      </c>
      <c r="U1016" t="str">
        <f>IF($AS1016="","",Config!$B$18)</f>
        <v/>
      </c>
      <c r="V1016" t="str">
        <f>IF($AS1016="","",Config!$B$19)</f>
        <v/>
      </c>
      <c r="W1016" t="str">
        <f>IF($AS1016="","",INDEX('TMP Paste'!$C$2:$C$1601,$AS1016))</f>
        <v/>
      </c>
      <c r="X1016" t="str">
        <f>IF($AS1016="","",Config!$B$29)</f>
        <v/>
      </c>
      <c r="Y1016" t="str">
        <f>IF($AT1016="","",INDEX(Calc!$I$2:$I$1601,$AT1016)&amp;" - "&amp;INDEX(Calc!$D$2:$D$1601,$AT1016)&amp;" koli")</f>
        <v/>
      </c>
      <c r="Z1016" t="str">
        <f>IF($AS1016="","",Config!$B$21)</f>
        <v/>
      </c>
      <c r="AA1016" t="str">
        <f>IF($AS1016="","",Config!$B$22)</f>
        <v/>
      </c>
      <c r="AB1016" t="str">
        <f>IF($AT1016="","",INDEX(Calc!$D$2:$D$1601,$AT1016))</f>
        <v/>
      </c>
      <c r="AC1016" t="str">
        <f>IF($AT1016="","",INDEX(Calc!$G$2:$G$1601,$AT1016))</f>
        <v/>
      </c>
      <c r="AD1016" t="str">
        <f>IF($AS1016="","",Config!$B$23)</f>
        <v/>
      </c>
      <c r="AE1016" t="str">
        <f>IF($AS1016="","",Config!$B$28)</f>
        <v/>
      </c>
      <c r="AF1016" t="str">
        <f t="shared" si="92"/>
        <v/>
      </c>
      <c r="AG1016" t="str">
        <f t="shared" si="93"/>
        <v/>
      </c>
      <c r="AH1016" t="str">
        <f t="shared" si="94"/>
        <v/>
      </c>
      <c r="AI1016" t="str">
        <f>IF($AG1016="","",SUMIF($AG$2:$AG1016,$AG1016,$AH$2:$AH1016))</f>
        <v/>
      </c>
      <c r="AJ1016" t="str">
        <f>IF('TMP Paste'!$F1016="","",IF('TMP Paste'!$B1016="",$AJ1015,'TMP Paste'!$B1016))</f>
        <v/>
      </c>
      <c r="AK1016" t="str">
        <f>IF('TMP Paste'!$F1016="","",N('TMP Paste'!$G1016))</f>
        <v/>
      </c>
      <c r="AL1016" t="str">
        <f>IF('TMP Paste'!$F1016="","",IF('TMP Paste'!$M1016="",$AL1015,'TMP Paste'!$M1016))</f>
        <v/>
      </c>
      <c r="AM1016" t="str">
        <f>IF('TMP Paste'!$F1016="","",IF('TMP Paste'!$N1016="",$AM1015,'TMP Paste'!$N1016))</f>
        <v/>
      </c>
      <c r="AN1016" t="str">
        <f>IF('TMP Paste'!$F1016="","",IF('TMP Paste'!$O1016="",$AN1015,'TMP Paste'!$O1016))</f>
        <v/>
      </c>
      <c r="AO1016" t="str">
        <f>IF('TMP Paste'!$F1016="","",IF('TMP Paste'!$P1016="",$AO1015,'TMP Paste'!$P1016))</f>
        <v/>
      </c>
      <c r="AP1016" t="str">
        <f t="shared" si="95"/>
        <v/>
      </c>
      <c r="AQ1016" t="str">
        <f>IF($AS1016="","",TRIM(IF(COUNTIFS(Calc!$B$2:$B$1601,ROW()-1,Calc!$C$2:$C$1601,"&lt;1")&gt;0,"Ada PO tanpa Koli - cek TMP. ","")&amp;IF(OR($AU1016="",$AU1016&lt;=0),"Volume kosong/0 - dimensi dikosongkan. ","")&amp;IF(AND($AU1016&lt;&gt;"",$AU1016&gt;=1000000),"Volume &gt;= 1.000.000 cm3 (di luar aturan) - dimensi dikosongkan. ","")&amp;IF(LEN($R1016)&gt;500,"R &gt; 500 karakter.","")))</f>
        <v/>
      </c>
      <c r="AS1016" t="str">
        <f>IFERROR(MATCH(ROW()-1,Calc!$J$2:$J$1601,0),"")</f>
        <v/>
      </c>
      <c r="AT1016" t="str">
        <f>IFERROR(MATCH(ROW()-1,Calc!$K$2:$K$1601,0),"")</f>
        <v/>
      </c>
      <c r="AU1016" t="str">
        <f>IF($AS1016="","",IFERROR(INDEX('TMP Paste'!$D$2:$D$1601,$AS1016)*1000000/$AB1016,""))</f>
        <v/>
      </c>
    </row>
    <row r="1017" spans="1:47">
      <c r="A1017" t="str">
        <f>IF($AS1017="","",INDEX('TMP Paste'!$B$2:$B$1601,$AS1017))</f>
        <v/>
      </c>
      <c r="B1017" t="str">
        <f>IF($AS1017="","",Config!$B$14)</f>
        <v/>
      </c>
      <c r="C1017" t="str">
        <f>IF($AS1017="","",Config!$B$15)</f>
        <v/>
      </c>
      <c r="D1017" t="str">
        <f>IF($AS1017="","",INDEX('TMP Paste'!$B$2:$B$1601,$AS1017))</f>
        <v/>
      </c>
      <c r="E1017" t="str">
        <f>IF($AS1017="","",Config!$B$27)</f>
        <v/>
      </c>
      <c r="F1017" t="str">
        <f>IF($AS1017="","",Config!$B$9)</f>
        <v/>
      </c>
      <c r="G1017" t="str">
        <f>IF($AS1017="","",Config!$B$10)</f>
        <v/>
      </c>
      <c r="H1017" t="str">
        <f>IF($AS1017="","",Config!$B$11)</f>
        <v/>
      </c>
      <c r="I1017" t="str">
        <f>IF($AS1017="","",Config!$B$16)</f>
        <v/>
      </c>
      <c r="J1017" t="str">
        <f>IF($AS1017="","",INDEX('TMP Paste'!$A$2:$A$1601,$AS1017))</f>
        <v/>
      </c>
      <c r="K1017" t="str">
        <f>IF($AS1017="","",INDEX('TMP Paste'!$L$2:$L$1601,$AS1017))</f>
        <v/>
      </c>
      <c r="L1017" t="str">
        <f>IF($AS1017="","",INDEX('TMP Paste'!$I$2:$I$1601,$AS1017))</f>
        <v/>
      </c>
      <c r="M1017" t="str">
        <f>IF($AS1017="","",Config!$B$16)</f>
        <v/>
      </c>
      <c r="N1017" t="str">
        <f t="shared" si="90"/>
        <v/>
      </c>
      <c r="O1017" t="str">
        <f>IF($AS1017="","",INDEX('TMP Paste'!$K$2:$K$1601,$AS1017))</f>
        <v/>
      </c>
      <c r="P1017" t="str">
        <f t="shared" si="91"/>
        <v/>
      </c>
      <c r="Q1017" t="str">
        <f>IF($AS1017="","",INDEX('TMP Paste'!$J$2:$J$1601,$AS1017))</f>
        <v/>
      </c>
      <c r="R1017" t="str">
        <f>IF($AS1017="","",Config!$B$24)</f>
        <v/>
      </c>
      <c r="S1017" t="str">
        <f ca="1">IF($AS1017="","",TEXT(Config!$B$4,"yyyy-mm-dd"))</f>
        <v/>
      </c>
      <c r="T1017" t="str">
        <f>IF($AS1017="","",Config!$B$17)</f>
        <v/>
      </c>
      <c r="U1017" t="str">
        <f>IF($AS1017="","",Config!$B$18)</f>
        <v/>
      </c>
      <c r="V1017" t="str">
        <f>IF($AS1017="","",Config!$B$19)</f>
        <v/>
      </c>
      <c r="W1017" t="str">
        <f>IF($AS1017="","",INDEX('TMP Paste'!$C$2:$C$1601,$AS1017))</f>
        <v/>
      </c>
      <c r="X1017" t="str">
        <f>IF($AS1017="","",Config!$B$29)</f>
        <v/>
      </c>
      <c r="Y1017" t="str">
        <f>IF($AT1017="","",INDEX(Calc!$I$2:$I$1601,$AT1017)&amp;" - "&amp;INDEX(Calc!$D$2:$D$1601,$AT1017)&amp;" koli")</f>
        <v/>
      </c>
      <c r="Z1017" t="str">
        <f>IF($AS1017="","",Config!$B$21)</f>
        <v/>
      </c>
      <c r="AA1017" t="str">
        <f>IF($AS1017="","",Config!$B$22)</f>
        <v/>
      </c>
      <c r="AB1017" t="str">
        <f>IF($AT1017="","",INDEX(Calc!$D$2:$D$1601,$AT1017))</f>
        <v/>
      </c>
      <c r="AC1017" t="str">
        <f>IF($AT1017="","",INDEX(Calc!$G$2:$G$1601,$AT1017))</f>
        <v/>
      </c>
      <c r="AD1017" t="str">
        <f>IF($AS1017="","",Config!$B$23)</f>
        <v/>
      </c>
      <c r="AE1017" t="str">
        <f>IF($AS1017="","",Config!$B$28)</f>
        <v/>
      </c>
      <c r="AF1017" t="str">
        <f t="shared" si="92"/>
        <v/>
      </c>
      <c r="AG1017" t="str">
        <f t="shared" si="93"/>
        <v/>
      </c>
      <c r="AH1017" t="str">
        <f t="shared" si="94"/>
        <v/>
      </c>
      <c r="AI1017" t="str">
        <f>IF($AG1017="","",SUMIF($AG$2:$AG1017,$AG1017,$AH$2:$AH1017))</f>
        <v/>
      </c>
      <c r="AJ1017" t="str">
        <f>IF('TMP Paste'!$F1017="","",IF('TMP Paste'!$B1017="",$AJ1016,'TMP Paste'!$B1017))</f>
        <v/>
      </c>
      <c r="AK1017" t="str">
        <f>IF('TMP Paste'!$F1017="","",N('TMP Paste'!$G1017))</f>
        <v/>
      </c>
      <c r="AL1017" t="str">
        <f>IF('TMP Paste'!$F1017="","",IF('TMP Paste'!$M1017="",$AL1016,'TMP Paste'!$M1017))</f>
        <v/>
      </c>
      <c r="AM1017" t="str">
        <f>IF('TMP Paste'!$F1017="","",IF('TMP Paste'!$N1017="",$AM1016,'TMP Paste'!$N1017))</f>
        <v/>
      </c>
      <c r="AN1017" t="str">
        <f>IF('TMP Paste'!$F1017="","",IF('TMP Paste'!$O1017="",$AN1016,'TMP Paste'!$O1017))</f>
        <v/>
      </c>
      <c r="AO1017" t="str">
        <f>IF('TMP Paste'!$F1017="","",IF('TMP Paste'!$P1017="",$AO1016,'TMP Paste'!$P1017))</f>
        <v/>
      </c>
      <c r="AP1017" t="str">
        <f t="shared" si="95"/>
        <v/>
      </c>
      <c r="AQ1017" t="str">
        <f>IF($AS1017="","",TRIM(IF(COUNTIFS(Calc!$B$2:$B$1601,ROW()-1,Calc!$C$2:$C$1601,"&lt;1")&gt;0,"Ada PO tanpa Koli - cek TMP. ","")&amp;IF(OR($AU1017="",$AU1017&lt;=0),"Volume kosong/0 - dimensi dikosongkan. ","")&amp;IF(AND($AU1017&lt;&gt;"",$AU1017&gt;=1000000),"Volume &gt;= 1.000.000 cm3 (di luar aturan) - dimensi dikosongkan. ","")&amp;IF(LEN($R1017)&gt;500,"R &gt; 500 karakter.","")))</f>
        <v/>
      </c>
      <c r="AS1017" t="str">
        <f>IFERROR(MATCH(ROW()-1,Calc!$J$2:$J$1601,0),"")</f>
        <v/>
      </c>
      <c r="AT1017" t="str">
        <f>IFERROR(MATCH(ROW()-1,Calc!$K$2:$K$1601,0),"")</f>
        <v/>
      </c>
      <c r="AU1017" t="str">
        <f>IF($AS1017="","",IFERROR(INDEX('TMP Paste'!$D$2:$D$1601,$AS1017)*1000000/$AB1017,""))</f>
        <v/>
      </c>
    </row>
    <row r="1018" spans="1:47">
      <c r="A1018" t="str">
        <f>IF($AS1018="","",INDEX('TMP Paste'!$B$2:$B$1601,$AS1018))</f>
        <v/>
      </c>
      <c r="B1018" t="str">
        <f>IF($AS1018="","",Config!$B$14)</f>
        <v/>
      </c>
      <c r="C1018" t="str">
        <f>IF($AS1018="","",Config!$B$15)</f>
        <v/>
      </c>
      <c r="D1018" t="str">
        <f>IF($AS1018="","",INDEX('TMP Paste'!$B$2:$B$1601,$AS1018))</f>
        <v/>
      </c>
      <c r="E1018" t="str">
        <f>IF($AS1018="","",Config!$B$27)</f>
        <v/>
      </c>
      <c r="F1018" t="str">
        <f>IF($AS1018="","",Config!$B$9)</f>
        <v/>
      </c>
      <c r="G1018" t="str">
        <f>IF($AS1018="","",Config!$B$10)</f>
        <v/>
      </c>
      <c r="H1018" t="str">
        <f>IF($AS1018="","",Config!$B$11)</f>
        <v/>
      </c>
      <c r="I1018" t="str">
        <f>IF($AS1018="","",Config!$B$16)</f>
        <v/>
      </c>
      <c r="J1018" t="str">
        <f>IF($AS1018="","",INDEX('TMP Paste'!$A$2:$A$1601,$AS1018))</f>
        <v/>
      </c>
      <c r="K1018" t="str">
        <f>IF($AS1018="","",INDEX('TMP Paste'!$L$2:$L$1601,$AS1018))</f>
        <v/>
      </c>
      <c r="L1018" t="str">
        <f>IF($AS1018="","",INDEX('TMP Paste'!$I$2:$I$1601,$AS1018))</f>
        <v/>
      </c>
      <c r="M1018" t="str">
        <f>IF($AS1018="","",Config!$B$16)</f>
        <v/>
      </c>
      <c r="N1018" t="str">
        <f t="shared" si="90"/>
        <v/>
      </c>
      <c r="O1018" t="str">
        <f>IF($AS1018="","",INDEX('TMP Paste'!$K$2:$K$1601,$AS1018))</f>
        <v/>
      </c>
      <c r="P1018" t="str">
        <f t="shared" si="91"/>
        <v/>
      </c>
      <c r="Q1018" t="str">
        <f>IF($AS1018="","",INDEX('TMP Paste'!$J$2:$J$1601,$AS1018))</f>
        <v/>
      </c>
      <c r="R1018" t="str">
        <f>IF($AS1018="","",Config!$B$24)</f>
        <v/>
      </c>
      <c r="S1018" t="str">
        <f ca="1">IF($AS1018="","",TEXT(Config!$B$4,"yyyy-mm-dd"))</f>
        <v/>
      </c>
      <c r="T1018" t="str">
        <f>IF($AS1018="","",Config!$B$17)</f>
        <v/>
      </c>
      <c r="U1018" t="str">
        <f>IF($AS1018="","",Config!$B$18)</f>
        <v/>
      </c>
      <c r="V1018" t="str">
        <f>IF($AS1018="","",Config!$B$19)</f>
        <v/>
      </c>
      <c r="W1018" t="str">
        <f>IF($AS1018="","",INDEX('TMP Paste'!$C$2:$C$1601,$AS1018))</f>
        <v/>
      </c>
      <c r="X1018" t="str">
        <f>IF($AS1018="","",Config!$B$29)</f>
        <v/>
      </c>
      <c r="Y1018" t="str">
        <f>IF($AT1018="","",INDEX(Calc!$I$2:$I$1601,$AT1018)&amp;" - "&amp;INDEX(Calc!$D$2:$D$1601,$AT1018)&amp;" koli")</f>
        <v/>
      </c>
      <c r="Z1018" t="str">
        <f>IF($AS1018="","",Config!$B$21)</f>
        <v/>
      </c>
      <c r="AA1018" t="str">
        <f>IF($AS1018="","",Config!$B$22)</f>
        <v/>
      </c>
      <c r="AB1018" t="str">
        <f>IF($AT1018="","",INDEX(Calc!$D$2:$D$1601,$AT1018))</f>
        <v/>
      </c>
      <c r="AC1018" t="str">
        <f>IF($AT1018="","",INDEX(Calc!$G$2:$G$1601,$AT1018))</f>
        <v/>
      </c>
      <c r="AD1018" t="str">
        <f>IF($AS1018="","",Config!$B$23)</f>
        <v/>
      </c>
      <c r="AE1018" t="str">
        <f>IF($AS1018="","",Config!$B$28)</f>
        <v/>
      </c>
      <c r="AF1018" t="str">
        <f t="shared" si="92"/>
        <v/>
      </c>
      <c r="AG1018" t="str">
        <f t="shared" si="93"/>
        <v/>
      </c>
      <c r="AH1018" t="str">
        <f t="shared" si="94"/>
        <v/>
      </c>
      <c r="AI1018" t="str">
        <f>IF($AG1018="","",SUMIF($AG$2:$AG1018,$AG1018,$AH$2:$AH1018))</f>
        <v/>
      </c>
      <c r="AJ1018" t="str">
        <f>IF('TMP Paste'!$F1018="","",IF('TMP Paste'!$B1018="",$AJ1017,'TMP Paste'!$B1018))</f>
        <v/>
      </c>
      <c r="AK1018" t="str">
        <f>IF('TMP Paste'!$F1018="","",N('TMP Paste'!$G1018))</f>
        <v/>
      </c>
      <c r="AL1018" t="str">
        <f>IF('TMP Paste'!$F1018="","",IF('TMP Paste'!$M1018="",$AL1017,'TMP Paste'!$M1018))</f>
        <v/>
      </c>
      <c r="AM1018" t="str">
        <f>IF('TMP Paste'!$F1018="","",IF('TMP Paste'!$N1018="",$AM1017,'TMP Paste'!$N1018))</f>
        <v/>
      </c>
      <c r="AN1018" t="str">
        <f>IF('TMP Paste'!$F1018="","",IF('TMP Paste'!$O1018="",$AN1017,'TMP Paste'!$O1018))</f>
        <v/>
      </c>
      <c r="AO1018" t="str">
        <f>IF('TMP Paste'!$F1018="","",IF('TMP Paste'!$P1018="",$AO1017,'TMP Paste'!$P1018))</f>
        <v/>
      </c>
      <c r="AP1018" t="str">
        <f t="shared" si="95"/>
        <v/>
      </c>
      <c r="AQ1018" t="str">
        <f>IF($AS1018="","",TRIM(IF(COUNTIFS(Calc!$B$2:$B$1601,ROW()-1,Calc!$C$2:$C$1601,"&lt;1")&gt;0,"Ada PO tanpa Koli - cek TMP. ","")&amp;IF(OR($AU1018="",$AU1018&lt;=0),"Volume kosong/0 - dimensi dikosongkan. ","")&amp;IF(AND($AU1018&lt;&gt;"",$AU1018&gt;=1000000),"Volume &gt;= 1.000.000 cm3 (di luar aturan) - dimensi dikosongkan. ","")&amp;IF(LEN($R1018)&gt;500,"R &gt; 500 karakter.","")))</f>
        <v/>
      </c>
      <c r="AS1018" t="str">
        <f>IFERROR(MATCH(ROW()-1,Calc!$J$2:$J$1601,0),"")</f>
        <v/>
      </c>
      <c r="AT1018" t="str">
        <f>IFERROR(MATCH(ROW()-1,Calc!$K$2:$K$1601,0),"")</f>
        <v/>
      </c>
      <c r="AU1018" t="str">
        <f>IF($AS1018="","",IFERROR(INDEX('TMP Paste'!$D$2:$D$1601,$AS1018)*1000000/$AB1018,""))</f>
        <v/>
      </c>
    </row>
    <row r="1019" spans="1:47">
      <c r="A1019" t="str">
        <f>IF($AS1019="","",INDEX('TMP Paste'!$B$2:$B$1601,$AS1019))</f>
        <v/>
      </c>
      <c r="B1019" t="str">
        <f>IF($AS1019="","",Config!$B$14)</f>
        <v/>
      </c>
      <c r="C1019" t="str">
        <f>IF($AS1019="","",Config!$B$15)</f>
        <v/>
      </c>
      <c r="D1019" t="str">
        <f>IF($AS1019="","",INDEX('TMP Paste'!$B$2:$B$1601,$AS1019))</f>
        <v/>
      </c>
      <c r="E1019" t="str">
        <f>IF($AS1019="","",Config!$B$27)</f>
        <v/>
      </c>
      <c r="F1019" t="str">
        <f>IF($AS1019="","",Config!$B$9)</f>
        <v/>
      </c>
      <c r="G1019" t="str">
        <f>IF($AS1019="","",Config!$B$10)</f>
        <v/>
      </c>
      <c r="H1019" t="str">
        <f>IF($AS1019="","",Config!$B$11)</f>
        <v/>
      </c>
      <c r="I1019" t="str">
        <f>IF($AS1019="","",Config!$B$16)</f>
        <v/>
      </c>
      <c r="J1019" t="str">
        <f>IF($AS1019="","",INDEX('TMP Paste'!$A$2:$A$1601,$AS1019))</f>
        <v/>
      </c>
      <c r="K1019" t="str">
        <f>IF($AS1019="","",INDEX('TMP Paste'!$L$2:$L$1601,$AS1019))</f>
        <v/>
      </c>
      <c r="L1019" t="str">
        <f>IF($AS1019="","",INDEX('TMP Paste'!$I$2:$I$1601,$AS1019))</f>
        <v/>
      </c>
      <c r="M1019" t="str">
        <f>IF($AS1019="","",Config!$B$16)</f>
        <v/>
      </c>
      <c r="N1019" t="str">
        <f t="shared" si="90"/>
        <v/>
      </c>
      <c r="O1019" t="str">
        <f>IF($AS1019="","",INDEX('TMP Paste'!$K$2:$K$1601,$AS1019))</f>
        <v/>
      </c>
      <c r="P1019" t="str">
        <f t="shared" si="91"/>
        <v/>
      </c>
      <c r="Q1019" t="str">
        <f>IF($AS1019="","",INDEX('TMP Paste'!$J$2:$J$1601,$AS1019))</f>
        <v/>
      </c>
      <c r="R1019" t="str">
        <f>IF($AS1019="","",Config!$B$24)</f>
        <v/>
      </c>
      <c r="S1019" t="str">
        <f ca="1">IF($AS1019="","",TEXT(Config!$B$4,"yyyy-mm-dd"))</f>
        <v/>
      </c>
      <c r="T1019" t="str">
        <f>IF($AS1019="","",Config!$B$17)</f>
        <v/>
      </c>
      <c r="U1019" t="str">
        <f>IF($AS1019="","",Config!$B$18)</f>
        <v/>
      </c>
      <c r="V1019" t="str">
        <f>IF($AS1019="","",Config!$B$19)</f>
        <v/>
      </c>
      <c r="W1019" t="str">
        <f>IF($AS1019="","",INDEX('TMP Paste'!$C$2:$C$1601,$AS1019))</f>
        <v/>
      </c>
      <c r="X1019" t="str">
        <f>IF($AS1019="","",Config!$B$29)</f>
        <v/>
      </c>
      <c r="Y1019" t="str">
        <f>IF($AT1019="","",INDEX(Calc!$I$2:$I$1601,$AT1019)&amp;" - "&amp;INDEX(Calc!$D$2:$D$1601,$AT1019)&amp;" koli")</f>
        <v/>
      </c>
      <c r="Z1019" t="str">
        <f>IF($AS1019="","",Config!$B$21)</f>
        <v/>
      </c>
      <c r="AA1019" t="str">
        <f>IF($AS1019="","",Config!$B$22)</f>
        <v/>
      </c>
      <c r="AB1019" t="str">
        <f>IF($AT1019="","",INDEX(Calc!$D$2:$D$1601,$AT1019))</f>
        <v/>
      </c>
      <c r="AC1019" t="str">
        <f>IF($AT1019="","",INDEX(Calc!$G$2:$G$1601,$AT1019))</f>
        <v/>
      </c>
      <c r="AD1019" t="str">
        <f>IF($AS1019="","",Config!$B$23)</f>
        <v/>
      </c>
      <c r="AE1019" t="str">
        <f>IF($AS1019="","",Config!$B$28)</f>
        <v/>
      </c>
      <c r="AF1019" t="str">
        <f t="shared" si="92"/>
        <v/>
      </c>
      <c r="AG1019" t="str">
        <f t="shared" si="93"/>
        <v/>
      </c>
      <c r="AH1019" t="str">
        <f t="shared" si="94"/>
        <v/>
      </c>
      <c r="AI1019" t="str">
        <f>IF($AG1019="","",SUMIF($AG$2:$AG1019,$AG1019,$AH$2:$AH1019))</f>
        <v/>
      </c>
      <c r="AJ1019" t="str">
        <f>IF('TMP Paste'!$F1019="","",IF('TMP Paste'!$B1019="",$AJ1018,'TMP Paste'!$B1019))</f>
        <v/>
      </c>
      <c r="AK1019" t="str">
        <f>IF('TMP Paste'!$F1019="","",N('TMP Paste'!$G1019))</f>
        <v/>
      </c>
      <c r="AL1019" t="str">
        <f>IF('TMP Paste'!$F1019="","",IF('TMP Paste'!$M1019="",$AL1018,'TMP Paste'!$M1019))</f>
        <v/>
      </c>
      <c r="AM1019" t="str">
        <f>IF('TMP Paste'!$F1019="","",IF('TMP Paste'!$N1019="",$AM1018,'TMP Paste'!$N1019))</f>
        <v/>
      </c>
      <c r="AN1019" t="str">
        <f>IF('TMP Paste'!$F1019="","",IF('TMP Paste'!$O1019="",$AN1018,'TMP Paste'!$O1019))</f>
        <v/>
      </c>
      <c r="AO1019" t="str">
        <f>IF('TMP Paste'!$F1019="","",IF('TMP Paste'!$P1019="",$AO1018,'TMP Paste'!$P1019))</f>
        <v/>
      </c>
      <c r="AP1019" t="str">
        <f t="shared" si="95"/>
        <v/>
      </c>
      <c r="AQ1019" t="str">
        <f>IF($AS1019="","",TRIM(IF(COUNTIFS(Calc!$B$2:$B$1601,ROW()-1,Calc!$C$2:$C$1601,"&lt;1")&gt;0,"Ada PO tanpa Koli - cek TMP. ","")&amp;IF(OR($AU1019="",$AU1019&lt;=0),"Volume kosong/0 - dimensi dikosongkan. ","")&amp;IF(AND($AU1019&lt;&gt;"",$AU1019&gt;=1000000),"Volume &gt;= 1.000.000 cm3 (di luar aturan) - dimensi dikosongkan. ","")&amp;IF(LEN($R1019)&gt;500,"R &gt; 500 karakter.","")))</f>
        <v/>
      </c>
      <c r="AS1019" t="str">
        <f>IFERROR(MATCH(ROW()-1,Calc!$J$2:$J$1601,0),"")</f>
        <v/>
      </c>
      <c r="AT1019" t="str">
        <f>IFERROR(MATCH(ROW()-1,Calc!$K$2:$K$1601,0),"")</f>
        <v/>
      </c>
      <c r="AU1019" t="str">
        <f>IF($AS1019="","",IFERROR(INDEX('TMP Paste'!$D$2:$D$1601,$AS1019)*1000000/$AB1019,""))</f>
        <v/>
      </c>
    </row>
    <row r="1020" spans="1:47">
      <c r="A1020" t="str">
        <f>IF($AS1020="","",INDEX('TMP Paste'!$B$2:$B$1601,$AS1020))</f>
        <v/>
      </c>
      <c r="B1020" t="str">
        <f>IF($AS1020="","",Config!$B$14)</f>
        <v/>
      </c>
      <c r="C1020" t="str">
        <f>IF($AS1020="","",Config!$B$15)</f>
        <v/>
      </c>
      <c r="D1020" t="str">
        <f>IF($AS1020="","",INDEX('TMP Paste'!$B$2:$B$1601,$AS1020))</f>
        <v/>
      </c>
      <c r="E1020" t="str">
        <f>IF($AS1020="","",Config!$B$27)</f>
        <v/>
      </c>
      <c r="F1020" t="str">
        <f>IF($AS1020="","",Config!$B$9)</f>
        <v/>
      </c>
      <c r="G1020" t="str">
        <f>IF($AS1020="","",Config!$B$10)</f>
        <v/>
      </c>
      <c r="H1020" t="str">
        <f>IF($AS1020="","",Config!$B$11)</f>
        <v/>
      </c>
      <c r="I1020" t="str">
        <f>IF($AS1020="","",Config!$B$16)</f>
        <v/>
      </c>
      <c r="J1020" t="str">
        <f>IF($AS1020="","",INDEX('TMP Paste'!$A$2:$A$1601,$AS1020))</f>
        <v/>
      </c>
      <c r="K1020" t="str">
        <f>IF($AS1020="","",INDEX('TMP Paste'!$L$2:$L$1601,$AS1020))</f>
        <v/>
      </c>
      <c r="L1020" t="str">
        <f>IF($AS1020="","",INDEX('TMP Paste'!$I$2:$I$1601,$AS1020))</f>
        <v/>
      </c>
      <c r="M1020" t="str">
        <f>IF($AS1020="","",Config!$B$16)</f>
        <v/>
      </c>
      <c r="N1020" t="str">
        <f t="shared" si="90"/>
        <v/>
      </c>
      <c r="O1020" t="str">
        <f>IF($AS1020="","",INDEX('TMP Paste'!$K$2:$K$1601,$AS1020))</f>
        <v/>
      </c>
      <c r="P1020" t="str">
        <f t="shared" si="91"/>
        <v/>
      </c>
      <c r="Q1020" t="str">
        <f>IF($AS1020="","",INDEX('TMP Paste'!$J$2:$J$1601,$AS1020))</f>
        <v/>
      </c>
      <c r="R1020" t="str">
        <f>IF($AS1020="","",Config!$B$24)</f>
        <v/>
      </c>
      <c r="S1020" t="str">
        <f ca="1">IF($AS1020="","",TEXT(Config!$B$4,"yyyy-mm-dd"))</f>
        <v/>
      </c>
      <c r="T1020" t="str">
        <f>IF($AS1020="","",Config!$B$17)</f>
        <v/>
      </c>
      <c r="U1020" t="str">
        <f>IF($AS1020="","",Config!$B$18)</f>
        <v/>
      </c>
      <c r="V1020" t="str">
        <f>IF($AS1020="","",Config!$B$19)</f>
        <v/>
      </c>
      <c r="W1020" t="str">
        <f>IF($AS1020="","",INDEX('TMP Paste'!$C$2:$C$1601,$AS1020))</f>
        <v/>
      </c>
      <c r="X1020" t="str">
        <f>IF($AS1020="","",Config!$B$29)</f>
        <v/>
      </c>
      <c r="Y1020" t="str">
        <f>IF($AT1020="","",INDEX(Calc!$I$2:$I$1601,$AT1020)&amp;" - "&amp;INDEX(Calc!$D$2:$D$1601,$AT1020)&amp;" koli")</f>
        <v/>
      </c>
      <c r="Z1020" t="str">
        <f>IF($AS1020="","",Config!$B$21)</f>
        <v/>
      </c>
      <c r="AA1020" t="str">
        <f>IF($AS1020="","",Config!$B$22)</f>
        <v/>
      </c>
      <c r="AB1020" t="str">
        <f>IF($AT1020="","",INDEX(Calc!$D$2:$D$1601,$AT1020))</f>
        <v/>
      </c>
      <c r="AC1020" t="str">
        <f>IF($AT1020="","",INDEX(Calc!$G$2:$G$1601,$AT1020))</f>
        <v/>
      </c>
      <c r="AD1020" t="str">
        <f>IF($AS1020="","",Config!$B$23)</f>
        <v/>
      </c>
      <c r="AE1020" t="str">
        <f>IF($AS1020="","",Config!$B$28)</f>
        <v/>
      </c>
      <c r="AF1020" t="str">
        <f t="shared" si="92"/>
        <v/>
      </c>
      <c r="AG1020" t="str">
        <f t="shared" si="93"/>
        <v/>
      </c>
      <c r="AH1020" t="str">
        <f t="shared" si="94"/>
        <v/>
      </c>
      <c r="AI1020" t="str">
        <f>IF($AG1020="","",SUMIF($AG$2:$AG1020,$AG1020,$AH$2:$AH1020))</f>
        <v/>
      </c>
      <c r="AJ1020" t="str">
        <f>IF('TMP Paste'!$F1020="","",IF('TMP Paste'!$B1020="",$AJ1019,'TMP Paste'!$B1020))</f>
        <v/>
      </c>
      <c r="AK1020" t="str">
        <f>IF('TMP Paste'!$F1020="","",N('TMP Paste'!$G1020))</f>
        <v/>
      </c>
      <c r="AL1020" t="str">
        <f>IF('TMP Paste'!$F1020="","",IF('TMP Paste'!$M1020="",$AL1019,'TMP Paste'!$M1020))</f>
        <v/>
      </c>
      <c r="AM1020" t="str">
        <f>IF('TMP Paste'!$F1020="","",IF('TMP Paste'!$N1020="",$AM1019,'TMP Paste'!$N1020))</f>
        <v/>
      </c>
      <c r="AN1020" t="str">
        <f>IF('TMP Paste'!$F1020="","",IF('TMP Paste'!$O1020="",$AN1019,'TMP Paste'!$O1020))</f>
        <v/>
      </c>
      <c r="AO1020" t="str">
        <f>IF('TMP Paste'!$F1020="","",IF('TMP Paste'!$P1020="",$AO1019,'TMP Paste'!$P1020))</f>
        <v/>
      </c>
      <c r="AP1020" t="str">
        <f t="shared" si="95"/>
        <v/>
      </c>
      <c r="AQ1020" t="str">
        <f>IF($AS1020="","",TRIM(IF(COUNTIFS(Calc!$B$2:$B$1601,ROW()-1,Calc!$C$2:$C$1601,"&lt;1")&gt;0,"Ada PO tanpa Koli - cek TMP. ","")&amp;IF(OR($AU1020="",$AU1020&lt;=0),"Volume kosong/0 - dimensi dikosongkan. ","")&amp;IF(AND($AU1020&lt;&gt;"",$AU1020&gt;=1000000),"Volume &gt;= 1.000.000 cm3 (di luar aturan) - dimensi dikosongkan. ","")&amp;IF(LEN($R1020)&gt;500,"R &gt; 500 karakter.","")))</f>
        <v/>
      </c>
      <c r="AS1020" t="str">
        <f>IFERROR(MATCH(ROW()-1,Calc!$J$2:$J$1601,0),"")</f>
        <v/>
      </c>
      <c r="AT1020" t="str">
        <f>IFERROR(MATCH(ROW()-1,Calc!$K$2:$K$1601,0),"")</f>
        <v/>
      </c>
      <c r="AU1020" t="str">
        <f>IF($AS1020="","",IFERROR(INDEX('TMP Paste'!$D$2:$D$1601,$AS1020)*1000000/$AB1020,""))</f>
        <v/>
      </c>
    </row>
    <row r="1021" spans="1:47">
      <c r="A1021" t="str">
        <f>IF($AS1021="","",INDEX('TMP Paste'!$B$2:$B$1601,$AS1021))</f>
        <v/>
      </c>
      <c r="B1021" t="str">
        <f>IF($AS1021="","",Config!$B$14)</f>
        <v/>
      </c>
      <c r="C1021" t="str">
        <f>IF($AS1021="","",Config!$B$15)</f>
        <v/>
      </c>
      <c r="D1021" t="str">
        <f>IF($AS1021="","",INDEX('TMP Paste'!$B$2:$B$1601,$AS1021))</f>
        <v/>
      </c>
      <c r="E1021" t="str">
        <f>IF($AS1021="","",Config!$B$27)</f>
        <v/>
      </c>
      <c r="F1021" t="str">
        <f>IF($AS1021="","",Config!$B$9)</f>
        <v/>
      </c>
      <c r="G1021" t="str">
        <f>IF($AS1021="","",Config!$B$10)</f>
        <v/>
      </c>
      <c r="H1021" t="str">
        <f>IF($AS1021="","",Config!$B$11)</f>
        <v/>
      </c>
      <c r="I1021" t="str">
        <f>IF($AS1021="","",Config!$B$16)</f>
        <v/>
      </c>
      <c r="J1021" t="str">
        <f>IF($AS1021="","",INDEX('TMP Paste'!$A$2:$A$1601,$AS1021))</f>
        <v/>
      </c>
      <c r="K1021" t="str">
        <f>IF($AS1021="","",INDEX('TMP Paste'!$L$2:$L$1601,$AS1021))</f>
        <v/>
      </c>
      <c r="L1021" t="str">
        <f>IF($AS1021="","",INDEX('TMP Paste'!$I$2:$I$1601,$AS1021))</f>
        <v/>
      </c>
      <c r="M1021" t="str">
        <f>IF($AS1021="","",Config!$B$16)</f>
        <v/>
      </c>
      <c r="N1021" t="str">
        <f t="shared" si="90"/>
        <v/>
      </c>
      <c r="O1021" t="str">
        <f>IF($AS1021="","",INDEX('TMP Paste'!$K$2:$K$1601,$AS1021))</f>
        <v/>
      </c>
      <c r="P1021" t="str">
        <f t="shared" si="91"/>
        <v/>
      </c>
      <c r="Q1021" t="str">
        <f>IF($AS1021="","",INDEX('TMP Paste'!$J$2:$J$1601,$AS1021))</f>
        <v/>
      </c>
      <c r="R1021" t="str">
        <f>IF($AS1021="","",Config!$B$24)</f>
        <v/>
      </c>
      <c r="S1021" t="str">
        <f ca="1">IF($AS1021="","",TEXT(Config!$B$4,"yyyy-mm-dd"))</f>
        <v/>
      </c>
      <c r="T1021" t="str">
        <f>IF($AS1021="","",Config!$B$17)</f>
        <v/>
      </c>
      <c r="U1021" t="str">
        <f>IF($AS1021="","",Config!$B$18)</f>
        <v/>
      </c>
      <c r="V1021" t="str">
        <f>IF($AS1021="","",Config!$B$19)</f>
        <v/>
      </c>
      <c r="W1021" t="str">
        <f>IF($AS1021="","",INDEX('TMP Paste'!$C$2:$C$1601,$AS1021))</f>
        <v/>
      </c>
      <c r="X1021" t="str">
        <f>IF($AS1021="","",Config!$B$29)</f>
        <v/>
      </c>
      <c r="Y1021" t="str">
        <f>IF($AT1021="","",INDEX(Calc!$I$2:$I$1601,$AT1021)&amp;" - "&amp;INDEX(Calc!$D$2:$D$1601,$AT1021)&amp;" koli")</f>
        <v/>
      </c>
      <c r="Z1021" t="str">
        <f>IF($AS1021="","",Config!$B$21)</f>
        <v/>
      </c>
      <c r="AA1021" t="str">
        <f>IF($AS1021="","",Config!$B$22)</f>
        <v/>
      </c>
      <c r="AB1021" t="str">
        <f>IF($AT1021="","",INDEX(Calc!$D$2:$D$1601,$AT1021))</f>
        <v/>
      </c>
      <c r="AC1021" t="str">
        <f>IF($AT1021="","",INDEX(Calc!$G$2:$G$1601,$AT1021))</f>
        <v/>
      </c>
      <c r="AD1021" t="str">
        <f>IF($AS1021="","",Config!$B$23)</f>
        <v/>
      </c>
      <c r="AE1021" t="str">
        <f>IF($AS1021="","",Config!$B$28)</f>
        <v/>
      </c>
      <c r="AF1021" t="str">
        <f t="shared" si="92"/>
        <v/>
      </c>
      <c r="AG1021" t="str">
        <f t="shared" si="93"/>
        <v/>
      </c>
      <c r="AH1021" t="str">
        <f t="shared" si="94"/>
        <v/>
      </c>
      <c r="AI1021" t="str">
        <f>IF($AG1021="","",SUMIF($AG$2:$AG1021,$AG1021,$AH$2:$AH1021))</f>
        <v/>
      </c>
      <c r="AJ1021" t="str">
        <f>IF('TMP Paste'!$F1021="","",IF('TMP Paste'!$B1021="",$AJ1020,'TMP Paste'!$B1021))</f>
        <v/>
      </c>
      <c r="AK1021" t="str">
        <f>IF('TMP Paste'!$F1021="","",N('TMP Paste'!$G1021))</f>
        <v/>
      </c>
      <c r="AL1021" t="str">
        <f>IF('TMP Paste'!$F1021="","",IF('TMP Paste'!$M1021="",$AL1020,'TMP Paste'!$M1021))</f>
        <v/>
      </c>
      <c r="AM1021" t="str">
        <f>IF('TMP Paste'!$F1021="","",IF('TMP Paste'!$N1021="",$AM1020,'TMP Paste'!$N1021))</f>
        <v/>
      </c>
      <c r="AN1021" t="str">
        <f>IF('TMP Paste'!$F1021="","",IF('TMP Paste'!$O1021="",$AN1020,'TMP Paste'!$O1021))</f>
        <v/>
      </c>
      <c r="AO1021" t="str">
        <f>IF('TMP Paste'!$F1021="","",IF('TMP Paste'!$P1021="",$AO1020,'TMP Paste'!$P1021))</f>
        <v/>
      </c>
      <c r="AP1021" t="str">
        <f t="shared" si="95"/>
        <v/>
      </c>
      <c r="AQ1021" t="str">
        <f>IF($AS1021="","",TRIM(IF(COUNTIFS(Calc!$B$2:$B$1601,ROW()-1,Calc!$C$2:$C$1601,"&lt;1")&gt;0,"Ada PO tanpa Koli - cek TMP. ","")&amp;IF(OR($AU1021="",$AU1021&lt;=0),"Volume kosong/0 - dimensi dikosongkan. ","")&amp;IF(AND($AU1021&lt;&gt;"",$AU1021&gt;=1000000),"Volume &gt;= 1.000.000 cm3 (di luar aturan) - dimensi dikosongkan. ","")&amp;IF(LEN($R1021)&gt;500,"R &gt; 500 karakter.","")))</f>
        <v/>
      </c>
      <c r="AS1021" t="str">
        <f>IFERROR(MATCH(ROW()-1,Calc!$J$2:$J$1601,0),"")</f>
        <v/>
      </c>
      <c r="AT1021" t="str">
        <f>IFERROR(MATCH(ROW()-1,Calc!$K$2:$K$1601,0),"")</f>
        <v/>
      </c>
      <c r="AU1021" t="str">
        <f>IF($AS1021="","",IFERROR(INDEX('TMP Paste'!$D$2:$D$1601,$AS1021)*1000000/$AB1021,""))</f>
        <v/>
      </c>
    </row>
    <row r="1022" spans="1:47">
      <c r="A1022" t="str">
        <f>IF($AS1022="","",INDEX('TMP Paste'!$B$2:$B$1601,$AS1022))</f>
        <v/>
      </c>
      <c r="B1022" t="str">
        <f>IF($AS1022="","",Config!$B$14)</f>
        <v/>
      </c>
      <c r="C1022" t="str">
        <f>IF($AS1022="","",Config!$B$15)</f>
        <v/>
      </c>
      <c r="D1022" t="str">
        <f>IF($AS1022="","",INDEX('TMP Paste'!$B$2:$B$1601,$AS1022))</f>
        <v/>
      </c>
      <c r="E1022" t="str">
        <f>IF($AS1022="","",Config!$B$27)</f>
        <v/>
      </c>
      <c r="F1022" t="str">
        <f>IF($AS1022="","",Config!$B$9)</f>
        <v/>
      </c>
      <c r="G1022" t="str">
        <f>IF($AS1022="","",Config!$B$10)</f>
        <v/>
      </c>
      <c r="H1022" t="str">
        <f>IF($AS1022="","",Config!$B$11)</f>
        <v/>
      </c>
      <c r="I1022" t="str">
        <f>IF($AS1022="","",Config!$B$16)</f>
        <v/>
      </c>
      <c r="J1022" t="str">
        <f>IF($AS1022="","",INDEX('TMP Paste'!$A$2:$A$1601,$AS1022))</f>
        <v/>
      </c>
      <c r="K1022" t="str">
        <f>IF($AS1022="","",INDEX('TMP Paste'!$L$2:$L$1601,$AS1022))</f>
        <v/>
      </c>
      <c r="L1022" t="str">
        <f>IF($AS1022="","",INDEX('TMP Paste'!$I$2:$I$1601,$AS1022))</f>
        <v/>
      </c>
      <c r="M1022" t="str">
        <f>IF($AS1022="","",Config!$B$16)</f>
        <v/>
      </c>
      <c r="N1022" t="str">
        <f t="shared" si="90"/>
        <v/>
      </c>
      <c r="O1022" t="str">
        <f>IF($AS1022="","",INDEX('TMP Paste'!$K$2:$K$1601,$AS1022))</f>
        <v/>
      </c>
      <c r="P1022" t="str">
        <f t="shared" si="91"/>
        <v/>
      </c>
      <c r="Q1022" t="str">
        <f>IF($AS1022="","",INDEX('TMP Paste'!$J$2:$J$1601,$AS1022))</f>
        <v/>
      </c>
      <c r="R1022" t="str">
        <f>IF($AS1022="","",Config!$B$24)</f>
        <v/>
      </c>
      <c r="S1022" t="str">
        <f ca="1">IF($AS1022="","",TEXT(Config!$B$4,"yyyy-mm-dd"))</f>
        <v/>
      </c>
      <c r="T1022" t="str">
        <f>IF($AS1022="","",Config!$B$17)</f>
        <v/>
      </c>
      <c r="U1022" t="str">
        <f>IF($AS1022="","",Config!$B$18)</f>
        <v/>
      </c>
      <c r="V1022" t="str">
        <f>IF($AS1022="","",Config!$B$19)</f>
        <v/>
      </c>
      <c r="W1022" t="str">
        <f>IF($AS1022="","",INDEX('TMP Paste'!$C$2:$C$1601,$AS1022))</f>
        <v/>
      </c>
      <c r="X1022" t="str">
        <f>IF($AS1022="","",Config!$B$29)</f>
        <v/>
      </c>
      <c r="Y1022" t="str">
        <f>IF($AT1022="","",INDEX(Calc!$I$2:$I$1601,$AT1022)&amp;" - "&amp;INDEX(Calc!$D$2:$D$1601,$AT1022)&amp;" koli")</f>
        <v/>
      </c>
      <c r="Z1022" t="str">
        <f>IF($AS1022="","",Config!$B$21)</f>
        <v/>
      </c>
      <c r="AA1022" t="str">
        <f>IF($AS1022="","",Config!$B$22)</f>
        <v/>
      </c>
      <c r="AB1022" t="str">
        <f>IF($AT1022="","",INDEX(Calc!$D$2:$D$1601,$AT1022))</f>
        <v/>
      </c>
      <c r="AC1022" t="str">
        <f>IF($AT1022="","",INDEX(Calc!$G$2:$G$1601,$AT1022))</f>
        <v/>
      </c>
      <c r="AD1022" t="str">
        <f>IF($AS1022="","",Config!$B$23)</f>
        <v/>
      </c>
      <c r="AE1022" t="str">
        <f>IF($AS1022="","",Config!$B$28)</f>
        <v/>
      </c>
      <c r="AF1022" t="str">
        <f t="shared" si="92"/>
        <v/>
      </c>
      <c r="AG1022" t="str">
        <f t="shared" si="93"/>
        <v/>
      </c>
      <c r="AH1022" t="str">
        <f t="shared" si="94"/>
        <v/>
      </c>
      <c r="AI1022" t="str">
        <f>IF($AG1022="","",SUMIF($AG$2:$AG1022,$AG1022,$AH$2:$AH1022))</f>
        <v/>
      </c>
      <c r="AJ1022" t="str">
        <f>IF('TMP Paste'!$F1022="","",IF('TMP Paste'!$B1022="",$AJ1021,'TMP Paste'!$B1022))</f>
        <v/>
      </c>
      <c r="AK1022" t="str">
        <f>IF('TMP Paste'!$F1022="","",N('TMP Paste'!$G1022))</f>
        <v/>
      </c>
      <c r="AL1022" t="str">
        <f>IF('TMP Paste'!$F1022="","",IF('TMP Paste'!$M1022="",$AL1021,'TMP Paste'!$M1022))</f>
        <v/>
      </c>
      <c r="AM1022" t="str">
        <f>IF('TMP Paste'!$F1022="","",IF('TMP Paste'!$N1022="",$AM1021,'TMP Paste'!$N1022))</f>
        <v/>
      </c>
      <c r="AN1022" t="str">
        <f>IF('TMP Paste'!$F1022="","",IF('TMP Paste'!$O1022="",$AN1021,'TMP Paste'!$O1022))</f>
        <v/>
      </c>
      <c r="AO1022" t="str">
        <f>IF('TMP Paste'!$F1022="","",IF('TMP Paste'!$P1022="",$AO1021,'TMP Paste'!$P1022))</f>
        <v/>
      </c>
      <c r="AP1022" t="str">
        <f t="shared" si="95"/>
        <v/>
      </c>
      <c r="AQ1022" t="str">
        <f>IF($AS1022="","",TRIM(IF(COUNTIFS(Calc!$B$2:$B$1601,ROW()-1,Calc!$C$2:$C$1601,"&lt;1")&gt;0,"Ada PO tanpa Koli - cek TMP. ","")&amp;IF(OR($AU1022="",$AU1022&lt;=0),"Volume kosong/0 - dimensi dikosongkan. ","")&amp;IF(AND($AU1022&lt;&gt;"",$AU1022&gt;=1000000),"Volume &gt;= 1.000.000 cm3 (di luar aturan) - dimensi dikosongkan. ","")&amp;IF(LEN($R1022)&gt;500,"R &gt; 500 karakter.","")))</f>
        <v/>
      </c>
      <c r="AS1022" t="str">
        <f>IFERROR(MATCH(ROW()-1,Calc!$J$2:$J$1601,0),"")</f>
        <v/>
      </c>
      <c r="AT1022" t="str">
        <f>IFERROR(MATCH(ROW()-1,Calc!$K$2:$K$1601,0),"")</f>
        <v/>
      </c>
      <c r="AU1022" t="str">
        <f>IF($AS1022="","",IFERROR(INDEX('TMP Paste'!$D$2:$D$1601,$AS1022)*1000000/$AB1022,""))</f>
        <v/>
      </c>
    </row>
    <row r="1023" spans="1:47">
      <c r="A1023" t="str">
        <f>IF($AS1023="","",INDEX('TMP Paste'!$B$2:$B$1601,$AS1023))</f>
        <v/>
      </c>
      <c r="B1023" t="str">
        <f>IF($AS1023="","",Config!$B$14)</f>
        <v/>
      </c>
      <c r="C1023" t="str">
        <f>IF($AS1023="","",Config!$B$15)</f>
        <v/>
      </c>
      <c r="D1023" t="str">
        <f>IF($AS1023="","",INDEX('TMP Paste'!$B$2:$B$1601,$AS1023))</f>
        <v/>
      </c>
      <c r="E1023" t="str">
        <f>IF($AS1023="","",Config!$B$27)</f>
        <v/>
      </c>
      <c r="F1023" t="str">
        <f>IF($AS1023="","",Config!$B$9)</f>
        <v/>
      </c>
      <c r="G1023" t="str">
        <f>IF($AS1023="","",Config!$B$10)</f>
        <v/>
      </c>
      <c r="H1023" t="str">
        <f>IF($AS1023="","",Config!$B$11)</f>
        <v/>
      </c>
      <c r="I1023" t="str">
        <f>IF($AS1023="","",Config!$B$16)</f>
        <v/>
      </c>
      <c r="J1023" t="str">
        <f>IF($AS1023="","",INDEX('TMP Paste'!$A$2:$A$1601,$AS1023))</f>
        <v/>
      </c>
      <c r="K1023" t="str">
        <f>IF($AS1023="","",INDEX('TMP Paste'!$L$2:$L$1601,$AS1023))</f>
        <v/>
      </c>
      <c r="L1023" t="str">
        <f>IF($AS1023="","",INDEX('TMP Paste'!$I$2:$I$1601,$AS1023))</f>
        <v/>
      </c>
      <c r="M1023" t="str">
        <f>IF($AS1023="","",Config!$B$16)</f>
        <v/>
      </c>
      <c r="N1023" t="str">
        <f t="shared" si="90"/>
        <v/>
      </c>
      <c r="O1023" t="str">
        <f>IF($AS1023="","",INDEX('TMP Paste'!$K$2:$K$1601,$AS1023))</f>
        <v/>
      </c>
      <c r="P1023" t="str">
        <f t="shared" si="91"/>
        <v/>
      </c>
      <c r="Q1023" t="str">
        <f>IF($AS1023="","",INDEX('TMP Paste'!$J$2:$J$1601,$AS1023))</f>
        <v/>
      </c>
      <c r="R1023" t="str">
        <f>IF($AS1023="","",Config!$B$24)</f>
        <v/>
      </c>
      <c r="S1023" t="str">
        <f ca="1">IF($AS1023="","",TEXT(Config!$B$4,"yyyy-mm-dd"))</f>
        <v/>
      </c>
      <c r="T1023" t="str">
        <f>IF($AS1023="","",Config!$B$17)</f>
        <v/>
      </c>
      <c r="U1023" t="str">
        <f>IF($AS1023="","",Config!$B$18)</f>
        <v/>
      </c>
      <c r="V1023" t="str">
        <f>IF($AS1023="","",Config!$B$19)</f>
        <v/>
      </c>
      <c r="W1023" t="str">
        <f>IF($AS1023="","",INDEX('TMP Paste'!$C$2:$C$1601,$AS1023))</f>
        <v/>
      </c>
      <c r="X1023" t="str">
        <f>IF($AS1023="","",Config!$B$29)</f>
        <v/>
      </c>
      <c r="Y1023" t="str">
        <f>IF($AT1023="","",INDEX(Calc!$I$2:$I$1601,$AT1023)&amp;" - "&amp;INDEX(Calc!$D$2:$D$1601,$AT1023)&amp;" koli")</f>
        <v/>
      </c>
      <c r="Z1023" t="str">
        <f>IF($AS1023="","",Config!$B$21)</f>
        <v/>
      </c>
      <c r="AA1023" t="str">
        <f>IF($AS1023="","",Config!$B$22)</f>
        <v/>
      </c>
      <c r="AB1023" t="str">
        <f>IF($AT1023="","",INDEX(Calc!$D$2:$D$1601,$AT1023))</f>
        <v/>
      </c>
      <c r="AC1023" t="str">
        <f>IF($AT1023="","",INDEX(Calc!$G$2:$G$1601,$AT1023))</f>
        <v/>
      </c>
      <c r="AD1023" t="str">
        <f>IF($AS1023="","",Config!$B$23)</f>
        <v/>
      </c>
      <c r="AE1023" t="str">
        <f>IF($AS1023="","",Config!$B$28)</f>
        <v/>
      </c>
      <c r="AF1023" t="str">
        <f t="shared" si="92"/>
        <v/>
      </c>
      <c r="AG1023" t="str">
        <f t="shared" si="93"/>
        <v/>
      </c>
      <c r="AH1023" t="str">
        <f t="shared" si="94"/>
        <v/>
      </c>
      <c r="AI1023" t="str">
        <f>IF($AG1023="","",SUMIF($AG$2:$AG1023,$AG1023,$AH$2:$AH1023))</f>
        <v/>
      </c>
      <c r="AJ1023" t="str">
        <f>IF('TMP Paste'!$F1023="","",IF('TMP Paste'!$B1023="",$AJ1022,'TMP Paste'!$B1023))</f>
        <v/>
      </c>
      <c r="AK1023" t="str">
        <f>IF('TMP Paste'!$F1023="","",N('TMP Paste'!$G1023))</f>
        <v/>
      </c>
      <c r="AL1023" t="str">
        <f>IF('TMP Paste'!$F1023="","",IF('TMP Paste'!$M1023="",$AL1022,'TMP Paste'!$M1023))</f>
        <v/>
      </c>
      <c r="AM1023" t="str">
        <f>IF('TMP Paste'!$F1023="","",IF('TMP Paste'!$N1023="",$AM1022,'TMP Paste'!$N1023))</f>
        <v/>
      </c>
      <c r="AN1023" t="str">
        <f>IF('TMP Paste'!$F1023="","",IF('TMP Paste'!$O1023="",$AN1022,'TMP Paste'!$O1023))</f>
        <v/>
      </c>
      <c r="AO1023" t="str">
        <f>IF('TMP Paste'!$F1023="","",IF('TMP Paste'!$P1023="",$AO1022,'TMP Paste'!$P1023))</f>
        <v/>
      </c>
      <c r="AP1023" t="str">
        <f t="shared" si="95"/>
        <v/>
      </c>
      <c r="AQ1023" t="str">
        <f>IF($AS1023="","",TRIM(IF(COUNTIFS(Calc!$B$2:$B$1601,ROW()-1,Calc!$C$2:$C$1601,"&lt;1")&gt;0,"Ada PO tanpa Koli - cek TMP. ","")&amp;IF(OR($AU1023="",$AU1023&lt;=0),"Volume kosong/0 - dimensi dikosongkan. ","")&amp;IF(AND($AU1023&lt;&gt;"",$AU1023&gt;=1000000),"Volume &gt;= 1.000.000 cm3 (di luar aturan) - dimensi dikosongkan. ","")&amp;IF(LEN($R1023)&gt;500,"R &gt; 500 karakter.","")))</f>
        <v/>
      </c>
      <c r="AS1023" t="str">
        <f>IFERROR(MATCH(ROW()-1,Calc!$J$2:$J$1601,0),"")</f>
        <v/>
      </c>
      <c r="AT1023" t="str">
        <f>IFERROR(MATCH(ROW()-1,Calc!$K$2:$K$1601,0),"")</f>
        <v/>
      </c>
      <c r="AU1023" t="str">
        <f>IF($AS1023="","",IFERROR(INDEX('TMP Paste'!$D$2:$D$1601,$AS1023)*1000000/$AB1023,""))</f>
        <v/>
      </c>
    </row>
    <row r="1024" spans="1:47">
      <c r="A1024" t="str">
        <f>IF($AS1024="","",INDEX('TMP Paste'!$B$2:$B$1601,$AS1024))</f>
        <v/>
      </c>
      <c r="B1024" t="str">
        <f>IF($AS1024="","",Config!$B$14)</f>
        <v/>
      </c>
      <c r="C1024" t="str">
        <f>IF($AS1024="","",Config!$B$15)</f>
        <v/>
      </c>
      <c r="D1024" t="str">
        <f>IF($AS1024="","",INDEX('TMP Paste'!$B$2:$B$1601,$AS1024))</f>
        <v/>
      </c>
      <c r="E1024" t="str">
        <f>IF($AS1024="","",Config!$B$27)</f>
        <v/>
      </c>
      <c r="F1024" t="str">
        <f>IF($AS1024="","",Config!$B$9)</f>
        <v/>
      </c>
      <c r="G1024" t="str">
        <f>IF($AS1024="","",Config!$B$10)</f>
        <v/>
      </c>
      <c r="H1024" t="str">
        <f>IF($AS1024="","",Config!$B$11)</f>
        <v/>
      </c>
      <c r="I1024" t="str">
        <f>IF($AS1024="","",Config!$B$16)</f>
        <v/>
      </c>
      <c r="J1024" t="str">
        <f>IF($AS1024="","",INDEX('TMP Paste'!$A$2:$A$1601,$AS1024))</f>
        <v/>
      </c>
      <c r="K1024" t="str">
        <f>IF($AS1024="","",INDEX('TMP Paste'!$L$2:$L$1601,$AS1024))</f>
        <v/>
      </c>
      <c r="L1024" t="str">
        <f>IF($AS1024="","",INDEX('TMP Paste'!$I$2:$I$1601,$AS1024))</f>
        <v/>
      </c>
      <c r="M1024" t="str">
        <f>IF($AS1024="","",Config!$B$16)</f>
        <v/>
      </c>
      <c r="N1024" t="str">
        <f t="shared" si="90"/>
        <v/>
      </c>
      <c r="O1024" t="str">
        <f>IF($AS1024="","",INDEX('TMP Paste'!$K$2:$K$1601,$AS1024))</f>
        <v/>
      </c>
      <c r="P1024" t="str">
        <f t="shared" si="91"/>
        <v/>
      </c>
      <c r="Q1024" t="str">
        <f>IF($AS1024="","",INDEX('TMP Paste'!$J$2:$J$1601,$AS1024))</f>
        <v/>
      </c>
      <c r="R1024" t="str">
        <f>IF($AS1024="","",Config!$B$24)</f>
        <v/>
      </c>
      <c r="S1024" t="str">
        <f ca="1">IF($AS1024="","",TEXT(Config!$B$4,"yyyy-mm-dd"))</f>
        <v/>
      </c>
      <c r="T1024" t="str">
        <f>IF($AS1024="","",Config!$B$17)</f>
        <v/>
      </c>
      <c r="U1024" t="str">
        <f>IF($AS1024="","",Config!$B$18)</f>
        <v/>
      </c>
      <c r="V1024" t="str">
        <f>IF($AS1024="","",Config!$B$19)</f>
        <v/>
      </c>
      <c r="W1024" t="str">
        <f>IF($AS1024="","",INDEX('TMP Paste'!$C$2:$C$1601,$AS1024))</f>
        <v/>
      </c>
      <c r="X1024" t="str">
        <f>IF($AS1024="","",Config!$B$29)</f>
        <v/>
      </c>
      <c r="Y1024" t="str">
        <f>IF($AT1024="","",INDEX(Calc!$I$2:$I$1601,$AT1024)&amp;" - "&amp;INDEX(Calc!$D$2:$D$1601,$AT1024)&amp;" koli")</f>
        <v/>
      </c>
      <c r="Z1024" t="str">
        <f>IF($AS1024="","",Config!$B$21)</f>
        <v/>
      </c>
      <c r="AA1024" t="str">
        <f>IF($AS1024="","",Config!$B$22)</f>
        <v/>
      </c>
      <c r="AB1024" t="str">
        <f>IF($AT1024="","",INDEX(Calc!$D$2:$D$1601,$AT1024))</f>
        <v/>
      </c>
      <c r="AC1024" t="str">
        <f>IF($AT1024="","",INDEX(Calc!$G$2:$G$1601,$AT1024))</f>
        <v/>
      </c>
      <c r="AD1024" t="str">
        <f>IF($AS1024="","",Config!$B$23)</f>
        <v/>
      </c>
      <c r="AE1024" t="str">
        <f>IF($AS1024="","",Config!$B$28)</f>
        <v/>
      </c>
      <c r="AF1024" t="str">
        <f t="shared" si="92"/>
        <v/>
      </c>
      <c r="AG1024" t="str">
        <f t="shared" si="93"/>
        <v/>
      </c>
      <c r="AH1024" t="str">
        <f t="shared" si="94"/>
        <v/>
      </c>
      <c r="AI1024" t="str">
        <f>IF($AG1024="","",SUMIF($AG$2:$AG1024,$AG1024,$AH$2:$AH1024))</f>
        <v/>
      </c>
      <c r="AJ1024" t="str">
        <f>IF('TMP Paste'!$F1024="","",IF('TMP Paste'!$B1024="",$AJ1023,'TMP Paste'!$B1024))</f>
        <v/>
      </c>
      <c r="AK1024" t="str">
        <f>IF('TMP Paste'!$F1024="","",N('TMP Paste'!$G1024))</f>
        <v/>
      </c>
      <c r="AL1024" t="str">
        <f>IF('TMP Paste'!$F1024="","",IF('TMP Paste'!$M1024="",$AL1023,'TMP Paste'!$M1024))</f>
        <v/>
      </c>
      <c r="AM1024" t="str">
        <f>IF('TMP Paste'!$F1024="","",IF('TMP Paste'!$N1024="",$AM1023,'TMP Paste'!$N1024))</f>
        <v/>
      </c>
      <c r="AN1024" t="str">
        <f>IF('TMP Paste'!$F1024="","",IF('TMP Paste'!$O1024="",$AN1023,'TMP Paste'!$O1024))</f>
        <v/>
      </c>
      <c r="AO1024" t="str">
        <f>IF('TMP Paste'!$F1024="","",IF('TMP Paste'!$P1024="",$AO1023,'TMP Paste'!$P1024))</f>
        <v/>
      </c>
      <c r="AP1024" t="str">
        <f t="shared" si="95"/>
        <v/>
      </c>
      <c r="AQ1024" t="str">
        <f>IF($AS1024="","",TRIM(IF(COUNTIFS(Calc!$B$2:$B$1601,ROW()-1,Calc!$C$2:$C$1601,"&lt;1")&gt;0,"Ada PO tanpa Koli - cek TMP. ","")&amp;IF(OR($AU1024="",$AU1024&lt;=0),"Volume kosong/0 - dimensi dikosongkan. ","")&amp;IF(AND($AU1024&lt;&gt;"",$AU1024&gt;=1000000),"Volume &gt;= 1.000.000 cm3 (di luar aturan) - dimensi dikosongkan. ","")&amp;IF(LEN($R1024)&gt;500,"R &gt; 500 karakter.","")))</f>
        <v/>
      </c>
      <c r="AS1024" t="str">
        <f>IFERROR(MATCH(ROW()-1,Calc!$J$2:$J$1601,0),"")</f>
        <v/>
      </c>
      <c r="AT1024" t="str">
        <f>IFERROR(MATCH(ROW()-1,Calc!$K$2:$K$1601,0),"")</f>
        <v/>
      </c>
      <c r="AU1024" t="str">
        <f>IF($AS1024="","",IFERROR(INDEX('TMP Paste'!$D$2:$D$1601,$AS1024)*1000000/$AB1024,""))</f>
        <v/>
      </c>
    </row>
    <row r="1025" spans="1:47">
      <c r="A1025" t="str">
        <f>IF($AS1025="","",INDEX('TMP Paste'!$B$2:$B$1601,$AS1025))</f>
        <v/>
      </c>
      <c r="B1025" t="str">
        <f>IF($AS1025="","",Config!$B$14)</f>
        <v/>
      </c>
      <c r="C1025" t="str">
        <f>IF($AS1025="","",Config!$B$15)</f>
        <v/>
      </c>
      <c r="D1025" t="str">
        <f>IF($AS1025="","",INDEX('TMP Paste'!$B$2:$B$1601,$AS1025))</f>
        <v/>
      </c>
      <c r="E1025" t="str">
        <f>IF($AS1025="","",Config!$B$27)</f>
        <v/>
      </c>
      <c r="F1025" t="str">
        <f>IF($AS1025="","",Config!$B$9)</f>
        <v/>
      </c>
      <c r="G1025" t="str">
        <f>IF($AS1025="","",Config!$B$10)</f>
        <v/>
      </c>
      <c r="H1025" t="str">
        <f>IF($AS1025="","",Config!$B$11)</f>
        <v/>
      </c>
      <c r="I1025" t="str">
        <f>IF($AS1025="","",Config!$B$16)</f>
        <v/>
      </c>
      <c r="J1025" t="str">
        <f>IF($AS1025="","",INDEX('TMP Paste'!$A$2:$A$1601,$AS1025))</f>
        <v/>
      </c>
      <c r="K1025" t="str">
        <f>IF($AS1025="","",INDEX('TMP Paste'!$L$2:$L$1601,$AS1025))</f>
        <v/>
      </c>
      <c r="L1025" t="str">
        <f>IF($AS1025="","",INDEX('TMP Paste'!$I$2:$I$1601,$AS1025))</f>
        <v/>
      </c>
      <c r="M1025" t="str">
        <f>IF($AS1025="","",Config!$B$16)</f>
        <v/>
      </c>
      <c r="N1025" t="str">
        <f t="shared" si="90"/>
        <v/>
      </c>
      <c r="O1025" t="str">
        <f>IF($AS1025="","",INDEX('TMP Paste'!$K$2:$K$1601,$AS1025))</f>
        <v/>
      </c>
      <c r="P1025" t="str">
        <f t="shared" si="91"/>
        <v/>
      </c>
      <c r="Q1025" t="str">
        <f>IF($AS1025="","",INDEX('TMP Paste'!$J$2:$J$1601,$AS1025))</f>
        <v/>
      </c>
      <c r="R1025" t="str">
        <f>IF($AS1025="","",Config!$B$24)</f>
        <v/>
      </c>
      <c r="S1025" t="str">
        <f ca="1">IF($AS1025="","",TEXT(Config!$B$4,"yyyy-mm-dd"))</f>
        <v/>
      </c>
      <c r="T1025" t="str">
        <f>IF($AS1025="","",Config!$B$17)</f>
        <v/>
      </c>
      <c r="U1025" t="str">
        <f>IF($AS1025="","",Config!$B$18)</f>
        <v/>
      </c>
      <c r="V1025" t="str">
        <f>IF($AS1025="","",Config!$B$19)</f>
        <v/>
      </c>
      <c r="W1025" t="str">
        <f>IF($AS1025="","",INDEX('TMP Paste'!$C$2:$C$1601,$AS1025))</f>
        <v/>
      </c>
      <c r="X1025" t="str">
        <f>IF($AS1025="","",Config!$B$29)</f>
        <v/>
      </c>
      <c r="Y1025" t="str">
        <f>IF($AT1025="","",INDEX(Calc!$I$2:$I$1601,$AT1025)&amp;" - "&amp;INDEX(Calc!$D$2:$D$1601,$AT1025)&amp;" koli")</f>
        <v/>
      </c>
      <c r="Z1025" t="str">
        <f>IF($AS1025="","",Config!$B$21)</f>
        <v/>
      </c>
      <c r="AA1025" t="str">
        <f>IF($AS1025="","",Config!$B$22)</f>
        <v/>
      </c>
      <c r="AB1025" t="str">
        <f>IF($AT1025="","",INDEX(Calc!$D$2:$D$1601,$AT1025))</f>
        <v/>
      </c>
      <c r="AC1025" t="str">
        <f>IF($AT1025="","",INDEX(Calc!$G$2:$G$1601,$AT1025))</f>
        <v/>
      </c>
      <c r="AD1025" t="str">
        <f>IF($AS1025="","",Config!$B$23)</f>
        <v/>
      </c>
      <c r="AE1025" t="str">
        <f>IF($AS1025="","",Config!$B$28)</f>
        <v/>
      </c>
      <c r="AF1025" t="str">
        <f t="shared" si="92"/>
        <v/>
      </c>
      <c r="AG1025" t="str">
        <f t="shared" si="93"/>
        <v/>
      </c>
      <c r="AH1025" t="str">
        <f t="shared" si="94"/>
        <v/>
      </c>
      <c r="AI1025" t="str">
        <f>IF($AG1025="","",SUMIF($AG$2:$AG1025,$AG1025,$AH$2:$AH1025))</f>
        <v/>
      </c>
      <c r="AJ1025" t="str">
        <f>IF('TMP Paste'!$F1025="","",IF('TMP Paste'!$B1025="",$AJ1024,'TMP Paste'!$B1025))</f>
        <v/>
      </c>
      <c r="AK1025" t="str">
        <f>IF('TMP Paste'!$F1025="","",N('TMP Paste'!$G1025))</f>
        <v/>
      </c>
      <c r="AL1025" t="str">
        <f>IF('TMP Paste'!$F1025="","",IF('TMP Paste'!$M1025="",$AL1024,'TMP Paste'!$M1025))</f>
        <v/>
      </c>
      <c r="AM1025" t="str">
        <f>IF('TMP Paste'!$F1025="","",IF('TMP Paste'!$N1025="",$AM1024,'TMP Paste'!$N1025))</f>
        <v/>
      </c>
      <c r="AN1025" t="str">
        <f>IF('TMP Paste'!$F1025="","",IF('TMP Paste'!$O1025="",$AN1024,'TMP Paste'!$O1025))</f>
        <v/>
      </c>
      <c r="AO1025" t="str">
        <f>IF('TMP Paste'!$F1025="","",IF('TMP Paste'!$P1025="",$AO1024,'TMP Paste'!$P1025))</f>
        <v/>
      </c>
      <c r="AP1025" t="str">
        <f t="shared" si="95"/>
        <v/>
      </c>
      <c r="AQ1025" t="str">
        <f>IF($AS1025="","",TRIM(IF(COUNTIFS(Calc!$B$2:$B$1601,ROW()-1,Calc!$C$2:$C$1601,"&lt;1")&gt;0,"Ada PO tanpa Koli - cek TMP. ","")&amp;IF(OR($AU1025="",$AU1025&lt;=0),"Volume kosong/0 - dimensi dikosongkan. ","")&amp;IF(AND($AU1025&lt;&gt;"",$AU1025&gt;=1000000),"Volume &gt;= 1.000.000 cm3 (di luar aturan) - dimensi dikosongkan. ","")&amp;IF(LEN($R1025)&gt;500,"R &gt; 500 karakter.","")))</f>
        <v/>
      </c>
      <c r="AS1025" t="str">
        <f>IFERROR(MATCH(ROW()-1,Calc!$J$2:$J$1601,0),"")</f>
        <v/>
      </c>
      <c r="AT1025" t="str">
        <f>IFERROR(MATCH(ROW()-1,Calc!$K$2:$K$1601,0),"")</f>
        <v/>
      </c>
      <c r="AU1025" t="str">
        <f>IF($AS1025="","",IFERROR(INDEX('TMP Paste'!$D$2:$D$1601,$AS1025)*1000000/$AB1025,""))</f>
        <v/>
      </c>
    </row>
    <row r="1026" spans="1:47">
      <c r="A1026" t="str">
        <f>IF($AS1026="","",INDEX('TMP Paste'!$B$2:$B$1601,$AS1026))</f>
        <v/>
      </c>
      <c r="B1026" t="str">
        <f>IF($AS1026="","",Config!$B$14)</f>
        <v/>
      </c>
      <c r="C1026" t="str">
        <f>IF($AS1026="","",Config!$B$15)</f>
        <v/>
      </c>
      <c r="D1026" t="str">
        <f>IF($AS1026="","",INDEX('TMP Paste'!$B$2:$B$1601,$AS1026))</f>
        <v/>
      </c>
      <c r="E1026" t="str">
        <f>IF($AS1026="","",Config!$B$27)</f>
        <v/>
      </c>
      <c r="F1026" t="str">
        <f>IF($AS1026="","",Config!$B$9)</f>
        <v/>
      </c>
      <c r="G1026" t="str">
        <f>IF($AS1026="","",Config!$B$10)</f>
        <v/>
      </c>
      <c r="H1026" t="str">
        <f>IF($AS1026="","",Config!$B$11)</f>
        <v/>
      </c>
      <c r="I1026" t="str">
        <f>IF($AS1026="","",Config!$B$16)</f>
        <v/>
      </c>
      <c r="J1026" t="str">
        <f>IF($AS1026="","",INDEX('TMP Paste'!$A$2:$A$1601,$AS1026))</f>
        <v/>
      </c>
      <c r="K1026" t="str">
        <f>IF($AS1026="","",INDEX('TMP Paste'!$L$2:$L$1601,$AS1026))</f>
        <v/>
      </c>
      <c r="L1026" t="str">
        <f>IF($AS1026="","",INDEX('TMP Paste'!$I$2:$I$1601,$AS1026))</f>
        <v/>
      </c>
      <c r="M1026" t="str">
        <f>IF($AS1026="","",Config!$B$16)</f>
        <v/>
      </c>
      <c r="N1026" t="str">
        <f t="shared" ref="N1026:N1089" si="96">IF($AS1026="","","")</f>
        <v/>
      </c>
      <c r="O1026" t="str">
        <f>IF($AS1026="","",INDEX('TMP Paste'!$K$2:$K$1601,$AS1026))</f>
        <v/>
      </c>
      <c r="P1026" t="str">
        <f t="shared" ref="P1026:P1089" si="97">IF($AS1026="","","")</f>
        <v/>
      </c>
      <c r="Q1026" t="str">
        <f>IF($AS1026="","",INDEX('TMP Paste'!$J$2:$J$1601,$AS1026))</f>
        <v/>
      </c>
      <c r="R1026" t="str">
        <f>IF($AS1026="","",Config!$B$24)</f>
        <v/>
      </c>
      <c r="S1026" t="str">
        <f ca="1">IF($AS1026="","",TEXT(Config!$B$4,"yyyy-mm-dd"))</f>
        <v/>
      </c>
      <c r="T1026" t="str">
        <f>IF($AS1026="","",Config!$B$17)</f>
        <v/>
      </c>
      <c r="U1026" t="str">
        <f>IF($AS1026="","",Config!$B$18)</f>
        <v/>
      </c>
      <c r="V1026" t="str">
        <f>IF($AS1026="","",Config!$B$19)</f>
        <v/>
      </c>
      <c r="W1026" t="str">
        <f>IF($AS1026="","",INDEX('TMP Paste'!$C$2:$C$1601,$AS1026))</f>
        <v/>
      </c>
      <c r="X1026" t="str">
        <f>IF($AS1026="","",Config!$B$29)</f>
        <v/>
      </c>
      <c r="Y1026" t="str">
        <f>IF($AT1026="","",INDEX(Calc!$I$2:$I$1601,$AT1026)&amp;" - "&amp;INDEX(Calc!$D$2:$D$1601,$AT1026)&amp;" koli")</f>
        <v/>
      </c>
      <c r="Z1026" t="str">
        <f>IF($AS1026="","",Config!$B$21)</f>
        <v/>
      </c>
      <c r="AA1026" t="str">
        <f>IF($AS1026="","",Config!$B$22)</f>
        <v/>
      </c>
      <c r="AB1026" t="str">
        <f>IF($AT1026="","",INDEX(Calc!$D$2:$D$1601,$AT1026))</f>
        <v/>
      </c>
      <c r="AC1026" t="str">
        <f>IF($AT1026="","",INDEX(Calc!$G$2:$G$1601,$AT1026))</f>
        <v/>
      </c>
      <c r="AD1026" t="str">
        <f>IF($AS1026="","",Config!$B$23)</f>
        <v/>
      </c>
      <c r="AE1026" t="str">
        <f>IF($AS1026="","",Config!$B$28)</f>
        <v/>
      </c>
      <c r="AF1026" t="str">
        <f t="shared" ref="AF1026:AF1089" si="98">IF($AS1026="","",IF(OR($AU1026="",$AU1026&lt;=0,$AU1026&gt;=1000000),"",IF($AU1026&lt;10000,10,100)))</f>
        <v/>
      </c>
      <c r="AG1026" t="str">
        <f t="shared" ref="AG1026:AG1089" si="99">IF($AS1026="","",IF(OR($AU1026="",$AU1026&lt;=0,$AU1026&gt;=1000000),"",IF($AU1026&lt;10000,$AU1026/100,IF($AU1026&lt;100000,$AU1026/1000,$AU1026/10000))))</f>
        <v/>
      </c>
      <c r="AH1026" t="str">
        <f t="shared" ref="AH1026:AH1089" si="100">IF($AS1026="","",IF(OR($AU1026="",$AU1026&lt;=0,$AU1026&gt;=1000000),"",IF($AU1026&lt;100000,10,100)))</f>
        <v/>
      </c>
      <c r="AI1026" t="str">
        <f>IF($AG1026="","",SUMIF($AG$2:$AG1026,$AG1026,$AH$2:$AH1026))</f>
        <v/>
      </c>
      <c r="AJ1026" t="str">
        <f>IF('TMP Paste'!$F1026="","",IF('TMP Paste'!$B1026="",$AJ1025,'TMP Paste'!$B1026))</f>
        <v/>
      </c>
      <c r="AK1026" t="str">
        <f>IF('TMP Paste'!$F1026="","",N('TMP Paste'!$G1026))</f>
        <v/>
      </c>
      <c r="AL1026" t="str">
        <f>IF('TMP Paste'!$F1026="","",IF('TMP Paste'!$M1026="",$AL1025,'TMP Paste'!$M1026))</f>
        <v/>
      </c>
      <c r="AM1026" t="str">
        <f>IF('TMP Paste'!$F1026="","",IF('TMP Paste'!$N1026="",$AM1025,'TMP Paste'!$N1026))</f>
        <v/>
      </c>
      <c r="AN1026" t="str">
        <f>IF('TMP Paste'!$F1026="","",IF('TMP Paste'!$O1026="",$AN1025,'TMP Paste'!$O1026))</f>
        <v/>
      </c>
      <c r="AO1026" t="str">
        <f>IF('TMP Paste'!$F1026="","",IF('TMP Paste'!$P1026="",$AO1025,'TMP Paste'!$P1026))</f>
        <v/>
      </c>
      <c r="AP1026" t="str">
        <f t="shared" ref="AP1026:AP1089" si="101">IF($AG1026="","",LEN($R1026))</f>
        <v/>
      </c>
      <c r="AQ1026" t="str">
        <f>IF($AS1026="","",TRIM(IF(COUNTIFS(Calc!$B$2:$B$1601,ROW()-1,Calc!$C$2:$C$1601,"&lt;1")&gt;0,"Ada PO tanpa Koli - cek TMP. ","")&amp;IF(OR($AU1026="",$AU1026&lt;=0),"Volume kosong/0 - dimensi dikosongkan. ","")&amp;IF(AND($AU1026&lt;&gt;"",$AU1026&gt;=1000000),"Volume &gt;= 1.000.000 cm3 (di luar aturan) - dimensi dikosongkan. ","")&amp;IF(LEN($R1026)&gt;500,"R &gt; 500 karakter.","")))</f>
        <v/>
      </c>
      <c r="AS1026" t="str">
        <f>IFERROR(MATCH(ROW()-1,Calc!$J$2:$J$1601,0),"")</f>
        <v/>
      </c>
      <c r="AT1026" t="str">
        <f>IFERROR(MATCH(ROW()-1,Calc!$K$2:$K$1601,0),"")</f>
        <v/>
      </c>
      <c r="AU1026" t="str">
        <f>IF($AS1026="","",IFERROR(INDEX('TMP Paste'!$D$2:$D$1601,$AS1026)*1000000/$AB1026,""))</f>
        <v/>
      </c>
    </row>
    <row r="1027" spans="1:47">
      <c r="A1027" t="str">
        <f>IF($AS1027="","",INDEX('TMP Paste'!$B$2:$B$1601,$AS1027))</f>
        <v/>
      </c>
      <c r="B1027" t="str">
        <f>IF($AS1027="","",Config!$B$14)</f>
        <v/>
      </c>
      <c r="C1027" t="str">
        <f>IF($AS1027="","",Config!$B$15)</f>
        <v/>
      </c>
      <c r="D1027" t="str">
        <f>IF($AS1027="","",INDEX('TMP Paste'!$B$2:$B$1601,$AS1027))</f>
        <v/>
      </c>
      <c r="E1027" t="str">
        <f>IF($AS1027="","",Config!$B$27)</f>
        <v/>
      </c>
      <c r="F1027" t="str">
        <f>IF($AS1027="","",Config!$B$9)</f>
        <v/>
      </c>
      <c r="G1027" t="str">
        <f>IF($AS1027="","",Config!$B$10)</f>
        <v/>
      </c>
      <c r="H1027" t="str">
        <f>IF($AS1027="","",Config!$B$11)</f>
        <v/>
      </c>
      <c r="I1027" t="str">
        <f>IF($AS1027="","",Config!$B$16)</f>
        <v/>
      </c>
      <c r="J1027" t="str">
        <f>IF($AS1027="","",INDEX('TMP Paste'!$A$2:$A$1601,$AS1027))</f>
        <v/>
      </c>
      <c r="K1027" t="str">
        <f>IF($AS1027="","",INDEX('TMP Paste'!$L$2:$L$1601,$AS1027))</f>
        <v/>
      </c>
      <c r="L1027" t="str">
        <f>IF($AS1027="","",INDEX('TMP Paste'!$I$2:$I$1601,$AS1027))</f>
        <v/>
      </c>
      <c r="M1027" t="str">
        <f>IF($AS1027="","",Config!$B$16)</f>
        <v/>
      </c>
      <c r="N1027" t="str">
        <f t="shared" si="96"/>
        <v/>
      </c>
      <c r="O1027" t="str">
        <f>IF($AS1027="","",INDEX('TMP Paste'!$K$2:$K$1601,$AS1027))</f>
        <v/>
      </c>
      <c r="P1027" t="str">
        <f t="shared" si="97"/>
        <v/>
      </c>
      <c r="Q1027" t="str">
        <f>IF($AS1027="","",INDEX('TMP Paste'!$J$2:$J$1601,$AS1027))</f>
        <v/>
      </c>
      <c r="R1027" t="str">
        <f>IF($AS1027="","",Config!$B$24)</f>
        <v/>
      </c>
      <c r="S1027" t="str">
        <f ca="1">IF($AS1027="","",TEXT(Config!$B$4,"yyyy-mm-dd"))</f>
        <v/>
      </c>
      <c r="T1027" t="str">
        <f>IF($AS1027="","",Config!$B$17)</f>
        <v/>
      </c>
      <c r="U1027" t="str">
        <f>IF($AS1027="","",Config!$B$18)</f>
        <v/>
      </c>
      <c r="V1027" t="str">
        <f>IF($AS1027="","",Config!$B$19)</f>
        <v/>
      </c>
      <c r="W1027" t="str">
        <f>IF($AS1027="","",INDEX('TMP Paste'!$C$2:$C$1601,$AS1027))</f>
        <v/>
      </c>
      <c r="X1027" t="str">
        <f>IF($AS1027="","",Config!$B$29)</f>
        <v/>
      </c>
      <c r="Y1027" t="str">
        <f>IF($AT1027="","",INDEX(Calc!$I$2:$I$1601,$AT1027)&amp;" - "&amp;INDEX(Calc!$D$2:$D$1601,$AT1027)&amp;" koli")</f>
        <v/>
      </c>
      <c r="Z1027" t="str">
        <f>IF($AS1027="","",Config!$B$21)</f>
        <v/>
      </c>
      <c r="AA1027" t="str">
        <f>IF($AS1027="","",Config!$B$22)</f>
        <v/>
      </c>
      <c r="AB1027" t="str">
        <f>IF($AT1027="","",INDEX(Calc!$D$2:$D$1601,$AT1027))</f>
        <v/>
      </c>
      <c r="AC1027" t="str">
        <f>IF($AT1027="","",INDEX(Calc!$G$2:$G$1601,$AT1027))</f>
        <v/>
      </c>
      <c r="AD1027" t="str">
        <f>IF($AS1027="","",Config!$B$23)</f>
        <v/>
      </c>
      <c r="AE1027" t="str">
        <f>IF($AS1027="","",Config!$B$28)</f>
        <v/>
      </c>
      <c r="AF1027" t="str">
        <f t="shared" si="98"/>
        <v/>
      </c>
      <c r="AG1027" t="str">
        <f t="shared" si="99"/>
        <v/>
      </c>
      <c r="AH1027" t="str">
        <f t="shared" si="100"/>
        <v/>
      </c>
      <c r="AI1027" t="str">
        <f>IF($AG1027="","",SUMIF($AG$2:$AG1027,$AG1027,$AH$2:$AH1027))</f>
        <v/>
      </c>
      <c r="AJ1027" t="str">
        <f>IF('TMP Paste'!$F1027="","",IF('TMP Paste'!$B1027="",$AJ1026,'TMP Paste'!$B1027))</f>
        <v/>
      </c>
      <c r="AK1027" t="str">
        <f>IF('TMP Paste'!$F1027="","",N('TMP Paste'!$G1027))</f>
        <v/>
      </c>
      <c r="AL1027" t="str">
        <f>IF('TMP Paste'!$F1027="","",IF('TMP Paste'!$M1027="",$AL1026,'TMP Paste'!$M1027))</f>
        <v/>
      </c>
      <c r="AM1027" t="str">
        <f>IF('TMP Paste'!$F1027="","",IF('TMP Paste'!$N1027="",$AM1026,'TMP Paste'!$N1027))</f>
        <v/>
      </c>
      <c r="AN1027" t="str">
        <f>IF('TMP Paste'!$F1027="","",IF('TMP Paste'!$O1027="",$AN1026,'TMP Paste'!$O1027))</f>
        <v/>
      </c>
      <c r="AO1027" t="str">
        <f>IF('TMP Paste'!$F1027="","",IF('TMP Paste'!$P1027="",$AO1026,'TMP Paste'!$P1027))</f>
        <v/>
      </c>
      <c r="AP1027" t="str">
        <f t="shared" si="101"/>
        <v/>
      </c>
      <c r="AQ1027" t="str">
        <f>IF($AS1027="","",TRIM(IF(COUNTIFS(Calc!$B$2:$B$1601,ROW()-1,Calc!$C$2:$C$1601,"&lt;1")&gt;0,"Ada PO tanpa Koli - cek TMP. ","")&amp;IF(OR($AU1027="",$AU1027&lt;=0),"Volume kosong/0 - dimensi dikosongkan. ","")&amp;IF(AND($AU1027&lt;&gt;"",$AU1027&gt;=1000000),"Volume &gt;= 1.000.000 cm3 (di luar aturan) - dimensi dikosongkan. ","")&amp;IF(LEN($R1027)&gt;500,"R &gt; 500 karakter.","")))</f>
        <v/>
      </c>
      <c r="AS1027" t="str">
        <f>IFERROR(MATCH(ROW()-1,Calc!$J$2:$J$1601,0),"")</f>
        <v/>
      </c>
      <c r="AT1027" t="str">
        <f>IFERROR(MATCH(ROW()-1,Calc!$K$2:$K$1601,0),"")</f>
        <v/>
      </c>
      <c r="AU1027" t="str">
        <f>IF($AS1027="","",IFERROR(INDEX('TMP Paste'!$D$2:$D$1601,$AS1027)*1000000/$AB1027,""))</f>
        <v/>
      </c>
    </row>
    <row r="1028" spans="1:47">
      <c r="A1028" t="str">
        <f>IF($AS1028="","",INDEX('TMP Paste'!$B$2:$B$1601,$AS1028))</f>
        <v/>
      </c>
      <c r="B1028" t="str">
        <f>IF($AS1028="","",Config!$B$14)</f>
        <v/>
      </c>
      <c r="C1028" t="str">
        <f>IF($AS1028="","",Config!$B$15)</f>
        <v/>
      </c>
      <c r="D1028" t="str">
        <f>IF($AS1028="","",INDEX('TMP Paste'!$B$2:$B$1601,$AS1028))</f>
        <v/>
      </c>
      <c r="E1028" t="str">
        <f>IF($AS1028="","",Config!$B$27)</f>
        <v/>
      </c>
      <c r="F1028" t="str">
        <f>IF($AS1028="","",Config!$B$9)</f>
        <v/>
      </c>
      <c r="G1028" t="str">
        <f>IF($AS1028="","",Config!$B$10)</f>
        <v/>
      </c>
      <c r="H1028" t="str">
        <f>IF($AS1028="","",Config!$B$11)</f>
        <v/>
      </c>
      <c r="I1028" t="str">
        <f>IF($AS1028="","",Config!$B$16)</f>
        <v/>
      </c>
      <c r="J1028" t="str">
        <f>IF($AS1028="","",INDEX('TMP Paste'!$A$2:$A$1601,$AS1028))</f>
        <v/>
      </c>
      <c r="K1028" t="str">
        <f>IF($AS1028="","",INDEX('TMP Paste'!$L$2:$L$1601,$AS1028))</f>
        <v/>
      </c>
      <c r="L1028" t="str">
        <f>IF($AS1028="","",INDEX('TMP Paste'!$I$2:$I$1601,$AS1028))</f>
        <v/>
      </c>
      <c r="M1028" t="str">
        <f>IF($AS1028="","",Config!$B$16)</f>
        <v/>
      </c>
      <c r="N1028" t="str">
        <f t="shared" si="96"/>
        <v/>
      </c>
      <c r="O1028" t="str">
        <f>IF($AS1028="","",INDEX('TMP Paste'!$K$2:$K$1601,$AS1028))</f>
        <v/>
      </c>
      <c r="P1028" t="str">
        <f t="shared" si="97"/>
        <v/>
      </c>
      <c r="Q1028" t="str">
        <f>IF($AS1028="","",INDEX('TMP Paste'!$J$2:$J$1601,$AS1028))</f>
        <v/>
      </c>
      <c r="R1028" t="str">
        <f>IF($AS1028="","",Config!$B$24)</f>
        <v/>
      </c>
      <c r="S1028" t="str">
        <f ca="1">IF($AS1028="","",TEXT(Config!$B$4,"yyyy-mm-dd"))</f>
        <v/>
      </c>
      <c r="T1028" t="str">
        <f>IF($AS1028="","",Config!$B$17)</f>
        <v/>
      </c>
      <c r="U1028" t="str">
        <f>IF($AS1028="","",Config!$B$18)</f>
        <v/>
      </c>
      <c r="V1028" t="str">
        <f>IF($AS1028="","",Config!$B$19)</f>
        <v/>
      </c>
      <c r="W1028" t="str">
        <f>IF($AS1028="","",INDEX('TMP Paste'!$C$2:$C$1601,$AS1028))</f>
        <v/>
      </c>
      <c r="X1028" t="str">
        <f>IF($AS1028="","",Config!$B$29)</f>
        <v/>
      </c>
      <c r="Y1028" t="str">
        <f>IF($AT1028="","",INDEX(Calc!$I$2:$I$1601,$AT1028)&amp;" - "&amp;INDEX(Calc!$D$2:$D$1601,$AT1028)&amp;" koli")</f>
        <v/>
      </c>
      <c r="Z1028" t="str">
        <f>IF($AS1028="","",Config!$B$21)</f>
        <v/>
      </c>
      <c r="AA1028" t="str">
        <f>IF($AS1028="","",Config!$B$22)</f>
        <v/>
      </c>
      <c r="AB1028" t="str">
        <f>IF($AT1028="","",INDEX(Calc!$D$2:$D$1601,$AT1028))</f>
        <v/>
      </c>
      <c r="AC1028" t="str">
        <f>IF($AT1028="","",INDEX(Calc!$G$2:$G$1601,$AT1028))</f>
        <v/>
      </c>
      <c r="AD1028" t="str">
        <f>IF($AS1028="","",Config!$B$23)</f>
        <v/>
      </c>
      <c r="AE1028" t="str">
        <f>IF($AS1028="","",Config!$B$28)</f>
        <v/>
      </c>
      <c r="AF1028" t="str">
        <f t="shared" si="98"/>
        <v/>
      </c>
      <c r="AG1028" t="str">
        <f t="shared" si="99"/>
        <v/>
      </c>
      <c r="AH1028" t="str">
        <f t="shared" si="100"/>
        <v/>
      </c>
      <c r="AI1028" t="str">
        <f>IF($AG1028="","",SUMIF($AG$2:$AG1028,$AG1028,$AH$2:$AH1028))</f>
        <v/>
      </c>
      <c r="AJ1028" t="str">
        <f>IF('TMP Paste'!$F1028="","",IF('TMP Paste'!$B1028="",$AJ1027,'TMP Paste'!$B1028))</f>
        <v/>
      </c>
      <c r="AK1028" t="str">
        <f>IF('TMP Paste'!$F1028="","",N('TMP Paste'!$G1028))</f>
        <v/>
      </c>
      <c r="AL1028" t="str">
        <f>IF('TMP Paste'!$F1028="","",IF('TMP Paste'!$M1028="",$AL1027,'TMP Paste'!$M1028))</f>
        <v/>
      </c>
      <c r="AM1028" t="str">
        <f>IF('TMP Paste'!$F1028="","",IF('TMP Paste'!$N1028="",$AM1027,'TMP Paste'!$N1028))</f>
        <v/>
      </c>
      <c r="AN1028" t="str">
        <f>IF('TMP Paste'!$F1028="","",IF('TMP Paste'!$O1028="",$AN1027,'TMP Paste'!$O1028))</f>
        <v/>
      </c>
      <c r="AO1028" t="str">
        <f>IF('TMP Paste'!$F1028="","",IF('TMP Paste'!$P1028="",$AO1027,'TMP Paste'!$P1028))</f>
        <v/>
      </c>
      <c r="AP1028" t="str">
        <f t="shared" si="101"/>
        <v/>
      </c>
      <c r="AQ1028" t="str">
        <f>IF($AS1028="","",TRIM(IF(COUNTIFS(Calc!$B$2:$B$1601,ROW()-1,Calc!$C$2:$C$1601,"&lt;1")&gt;0,"Ada PO tanpa Koli - cek TMP. ","")&amp;IF(OR($AU1028="",$AU1028&lt;=0),"Volume kosong/0 - dimensi dikosongkan. ","")&amp;IF(AND($AU1028&lt;&gt;"",$AU1028&gt;=1000000),"Volume &gt;= 1.000.000 cm3 (di luar aturan) - dimensi dikosongkan. ","")&amp;IF(LEN($R1028)&gt;500,"R &gt; 500 karakter.","")))</f>
        <v/>
      </c>
      <c r="AS1028" t="str">
        <f>IFERROR(MATCH(ROW()-1,Calc!$J$2:$J$1601,0),"")</f>
        <v/>
      </c>
      <c r="AT1028" t="str">
        <f>IFERROR(MATCH(ROW()-1,Calc!$K$2:$K$1601,0),"")</f>
        <v/>
      </c>
      <c r="AU1028" t="str">
        <f>IF($AS1028="","",IFERROR(INDEX('TMP Paste'!$D$2:$D$1601,$AS1028)*1000000/$AB1028,""))</f>
        <v/>
      </c>
    </row>
    <row r="1029" spans="1:47">
      <c r="A1029" t="str">
        <f>IF($AS1029="","",INDEX('TMP Paste'!$B$2:$B$1601,$AS1029))</f>
        <v/>
      </c>
      <c r="B1029" t="str">
        <f>IF($AS1029="","",Config!$B$14)</f>
        <v/>
      </c>
      <c r="C1029" t="str">
        <f>IF($AS1029="","",Config!$B$15)</f>
        <v/>
      </c>
      <c r="D1029" t="str">
        <f>IF($AS1029="","",INDEX('TMP Paste'!$B$2:$B$1601,$AS1029))</f>
        <v/>
      </c>
      <c r="E1029" t="str">
        <f>IF($AS1029="","",Config!$B$27)</f>
        <v/>
      </c>
      <c r="F1029" t="str">
        <f>IF($AS1029="","",Config!$B$9)</f>
        <v/>
      </c>
      <c r="G1029" t="str">
        <f>IF($AS1029="","",Config!$B$10)</f>
        <v/>
      </c>
      <c r="H1029" t="str">
        <f>IF($AS1029="","",Config!$B$11)</f>
        <v/>
      </c>
      <c r="I1029" t="str">
        <f>IF($AS1029="","",Config!$B$16)</f>
        <v/>
      </c>
      <c r="J1029" t="str">
        <f>IF($AS1029="","",INDEX('TMP Paste'!$A$2:$A$1601,$AS1029))</f>
        <v/>
      </c>
      <c r="K1029" t="str">
        <f>IF($AS1029="","",INDEX('TMP Paste'!$L$2:$L$1601,$AS1029))</f>
        <v/>
      </c>
      <c r="L1029" t="str">
        <f>IF($AS1029="","",INDEX('TMP Paste'!$I$2:$I$1601,$AS1029))</f>
        <v/>
      </c>
      <c r="M1029" t="str">
        <f>IF($AS1029="","",Config!$B$16)</f>
        <v/>
      </c>
      <c r="N1029" t="str">
        <f t="shared" si="96"/>
        <v/>
      </c>
      <c r="O1029" t="str">
        <f>IF($AS1029="","",INDEX('TMP Paste'!$K$2:$K$1601,$AS1029))</f>
        <v/>
      </c>
      <c r="P1029" t="str">
        <f t="shared" si="97"/>
        <v/>
      </c>
      <c r="Q1029" t="str">
        <f>IF($AS1029="","",INDEX('TMP Paste'!$J$2:$J$1601,$AS1029))</f>
        <v/>
      </c>
      <c r="R1029" t="str">
        <f>IF($AS1029="","",Config!$B$24)</f>
        <v/>
      </c>
      <c r="S1029" t="str">
        <f ca="1">IF($AS1029="","",TEXT(Config!$B$4,"yyyy-mm-dd"))</f>
        <v/>
      </c>
      <c r="T1029" t="str">
        <f>IF($AS1029="","",Config!$B$17)</f>
        <v/>
      </c>
      <c r="U1029" t="str">
        <f>IF($AS1029="","",Config!$B$18)</f>
        <v/>
      </c>
      <c r="V1029" t="str">
        <f>IF($AS1029="","",Config!$B$19)</f>
        <v/>
      </c>
      <c r="W1029" t="str">
        <f>IF($AS1029="","",INDEX('TMP Paste'!$C$2:$C$1601,$AS1029))</f>
        <v/>
      </c>
      <c r="X1029" t="str">
        <f>IF($AS1029="","",Config!$B$29)</f>
        <v/>
      </c>
      <c r="Y1029" t="str">
        <f>IF($AT1029="","",INDEX(Calc!$I$2:$I$1601,$AT1029)&amp;" - "&amp;INDEX(Calc!$D$2:$D$1601,$AT1029)&amp;" koli")</f>
        <v/>
      </c>
      <c r="Z1029" t="str">
        <f>IF($AS1029="","",Config!$B$21)</f>
        <v/>
      </c>
      <c r="AA1029" t="str">
        <f>IF($AS1029="","",Config!$B$22)</f>
        <v/>
      </c>
      <c r="AB1029" t="str">
        <f>IF($AT1029="","",INDEX(Calc!$D$2:$D$1601,$AT1029))</f>
        <v/>
      </c>
      <c r="AC1029" t="str">
        <f>IF($AT1029="","",INDEX(Calc!$G$2:$G$1601,$AT1029))</f>
        <v/>
      </c>
      <c r="AD1029" t="str">
        <f>IF($AS1029="","",Config!$B$23)</f>
        <v/>
      </c>
      <c r="AE1029" t="str">
        <f>IF($AS1029="","",Config!$B$28)</f>
        <v/>
      </c>
      <c r="AF1029" t="str">
        <f t="shared" si="98"/>
        <v/>
      </c>
      <c r="AG1029" t="str">
        <f t="shared" si="99"/>
        <v/>
      </c>
      <c r="AH1029" t="str">
        <f t="shared" si="100"/>
        <v/>
      </c>
      <c r="AI1029" t="str">
        <f>IF($AG1029="","",SUMIF($AG$2:$AG1029,$AG1029,$AH$2:$AH1029))</f>
        <v/>
      </c>
      <c r="AJ1029" t="str">
        <f>IF('TMP Paste'!$F1029="","",IF('TMP Paste'!$B1029="",$AJ1028,'TMP Paste'!$B1029))</f>
        <v/>
      </c>
      <c r="AK1029" t="str">
        <f>IF('TMP Paste'!$F1029="","",N('TMP Paste'!$G1029))</f>
        <v/>
      </c>
      <c r="AL1029" t="str">
        <f>IF('TMP Paste'!$F1029="","",IF('TMP Paste'!$M1029="",$AL1028,'TMP Paste'!$M1029))</f>
        <v/>
      </c>
      <c r="AM1029" t="str">
        <f>IF('TMP Paste'!$F1029="","",IF('TMP Paste'!$N1029="",$AM1028,'TMP Paste'!$N1029))</f>
        <v/>
      </c>
      <c r="AN1029" t="str">
        <f>IF('TMP Paste'!$F1029="","",IF('TMP Paste'!$O1029="",$AN1028,'TMP Paste'!$O1029))</f>
        <v/>
      </c>
      <c r="AO1029" t="str">
        <f>IF('TMP Paste'!$F1029="","",IF('TMP Paste'!$P1029="",$AO1028,'TMP Paste'!$P1029))</f>
        <v/>
      </c>
      <c r="AP1029" t="str">
        <f t="shared" si="101"/>
        <v/>
      </c>
      <c r="AQ1029" t="str">
        <f>IF($AS1029="","",TRIM(IF(COUNTIFS(Calc!$B$2:$B$1601,ROW()-1,Calc!$C$2:$C$1601,"&lt;1")&gt;0,"Ada PO tanpa Koli - cek TMP. ","")&amp;IF(OR($AU1029="",$AU1029&lt;=0),"Volume kosong/0 - dimensi dikosongkan. ","")&amp;IF(AND($AU1029&lt;&gt;"",$AU1029&gt;=1000000),"Volume &gt;= 1.000.000 cm3 (di luar aturan) - dimensi dikosongkan. ","")&amp;IF(LEN($R1029)&gt;500,"R &gt; 500 karakter.","")))</f>
        <v/>
      </c>
      <c r="AS1029" t="str">
        <f>IFERROR(MATCH(ROW()-1,Calc!$J$2:$J$1601,0),"")</f>
        <v/>
      </c>
      <c r="AT1029" t="str">
        <f>IFERROR(MATCH(ROW()-1,Calc!$K$2:$K$1601,0),"")</f>
        <v/>
      </c>
      <c r="AU1029" t="str">
        <f>IF($AS1029="","",IFERROR(INDEX('TMP Paste'!$D$2:$D$1601,$AS1029)*1000000/$AB1029,""))</f>
        <v/>
      </c>
    </row>
    <row r="1030" spans="1:47">
      <c r="A1030" t="str">
        <f>IF($AS1030="","",INDEX('TMP Paste'!$B$2:$B$1601,$AS1030))</f>
        <v/>
      </c>
      <c r="B1030" t="str">
        <f>IF($AS1030="","",Config!$B$14)</f>
        <v/>
      </c>
      <c r="C1030" t="str">
        <f>IF($AS1030="","",Config!$B$15)</f>
        <v/>
      </c>
      <c r="D1030" t="str">
        <f>IF($AS1030="","",INDEX('TMP Paste'!$B$2:$B$1601,$AS1030))</f>
        <v/>
      </c>
      <c r="E1030" t="str">
        <f>IF($AS1030="","",Config!$B$27)</f>
        <v/>
      </c>
      <c r="F1030" t="str">
        <f>IF($AS1030="","",Config!$B$9)</f>
        <v/>
      </c>
      <c r="G1030" t="str">
        <f>IF($AS1030="","",Config!$B$10)</f>
        <v/>
      </c>
      <c r="H1030" t="str">
        <f>IF($AS1030="","",Config!$B$11)</f>
        <v/>
      </c>
      <c r="I1030" t="str">
        <f>IF($AS1030="","",Config!$B$16)</f>
        <v/>
      </c>
      <c r="J1030" t="str">
        <f>IF($AS1030="","",INDEX('TMP Paste'!$A$2:$A$1601,$AS1030))</f>
        <v/>
      </c>
      <c r="K1030" t="str">
        <f>IF($AS1030="","",INDEX('TMP Paste'!$L$2:$L$1601,$AS1030))</f>
        <v/>
      </c>
      <c r="L1030" t="str">
        <f>IF($AS1030="","",INDEX('TMP Paste'!$I$2:$I$1601,$AS1030))</f>
        <v/>
      </c>
      <c r="M1030" t="str">
        <f>IF($AS1030="","",Config!$B$16)</f>
        <v/>
      </c>
      <c r="N1030" t="str">
        <f t="shared" si="96"/>
        <v/>
      </c>
      <c r="O1030" t="str">
        <f>IF($AS1030="","",INDEX('TMP Paste'!$K$2:$K$1601,$AS1030))</f>
        <v/>
      </c>
      <c r="P1030" t="str">
        <f t="shared" si="97"/>
        <v/>
      </c>
      <c r="Q1030" t="str">
        <f>IF($AS1030="","",INDEX('TMP Paste'!$J$2:$J$1601,$AS1030))</f>
        <v/>
      </c>
      <c r="R1030" t="str">
        <f>IF($AS1030="","",Config!$B$24)</f>
        <v/>
      </c>
      <c r="S1030" t="str">
        <f ca="1">IF($AS1030="","",TEXT(Config!$B$4,"yyyy-mm-dd"))</f>
        <v/>
      </c>
      <c r="T1030" t="str">
        <f>IF($AS1030="","",Config!$B$17)</f>
        <v/>
      </c>
      <c r="U1030" t="str">
        <f>IF($AS1030="","",Config!$B$18)</f>
        <v/>
      </c>
      <c r="V1030" t="str">
        <f>IF($AS1030="","",Config!$B$19)</f>
        <v/>
      </c>
      <c r="W1030" t="str">
        <f>IF($AS1030="","",INDEX('TMP Paste'!$C$2:$C$1601,$AS1030))</f>
        <v/>
      </c>
      <c r="X1030" t="str">
        <f>IF($AS1030="","",Config!$B$29)</f>
        <v/>
      </c>
      <c r="Y1030" t="str">
        <f>IF($AT1030="","",INDEX(Calc!$I$2:$I$1601,$AT1030)&amp;" - "&amp;INDEX(Calc!$D$2:$D$1601,$AT1030)&amp;" koli")</f>
        <v/>
      </c>
      <c r="Z1030" t="str">
        <f>IF($AS1030="","",Config!$B$21)</f>
        <v/>
      </c>
      <c r="AA1030" t="str">
        <f>IF($AS1030="","",Config!$B$22)</f>
        <v/>
      </c>
      <c r="AB1030" t="str">
        <f>IF($AT1030="","",INDEX(Calc!$D$2:$D$1601,$AT1030))</f>
        <v/>
      </c>
      <c r="AC1030" t="str">
        <f>IF($AT1030="","",INDEX(Calc!$G$2:$G$1601,$AT1030))</f>
        <v/>
      </c>
      <c r="AD1030" t="str">
        <f>IF($AS1030="","",Config!$B$23)</f>
        <v/>
      </c>
      <c r="AE1030" t="str">
        <f>IF($AS1030="","",Config!$B$28)</f>
        <v/>
      </c>
      <c r="AF1030" t="str">
        <f t="shared" si="98"/>
        <v/>
      </c>
      <c r="AG1030" t="str">
        <f t="shared" si="99"/>
        <v/>
      </c>
      <c r="AH1030" t="str">
        <f t="shared" si="100"/>
        <v/>
      </c>
      <c r="AI1030" t="str">
        <f>IF($AG1030="","",SUMIF($AG$2:$AG1030,$AG1030,$AH$2:$AH1030))</f>
        <v/>
      </c>
      <c r="AJ1030" t="str">
        <f>IF('TMP Paste'!$F1030="","",IF('TMP Paste'!$B1030="",$AJ1029,'TMP Paste'!$B1030))</f>
        <v/>
      </c>
      <c r="AK1030" t="str">
        <f>IF('TMP Paste'!$F1030="","",N('TMP Paste'!$G1030))</f>
        <v/>
      </c>
      <c r="AL1030" t="str">
        <f>IF('TMP Paste'!$F1030="","",IF('TMP Paste'!$M1030="",$AL1029,'TMP Paste'!$M1030))</f>
        <v/>
      </c>
      <c r="AM1030" t="str">
        <f>IF('TMP Paste'!$F1030="","",IF('TMP Paste'!$N1030="",$AM1029,'TMP Paste'!$N1030))</f>
        <v/>
      </c>
      <c r="AN1030" t="str">
        <f>IF('TMP Paste'!$F1030="","",IF('TMP Paste'!$O1030="",$AN1029,'TMP Paste'!$O1030))</f>
        <v/>
      </c>
      <c r="AO1030" t="str">
        <f>IF('TMP Paste'!$F1030="","",IF('TMP Paste'!$P1030="",$AO1029,'TMP Paste'!$P1030))</f>
        <v/>
      </c>
      <c r="AP1030" t="str">
        <f t="shared" si="101"/>
        <v/>
      </c>
      <c r="AQ1030" t="str">
        <f>IF($AS1030="","",TRIM(IF(COUNTIFS(Calc!$B$2:$B$1601,ROW()-1,Calc!$C$2:$C$1601,"&lt;1")&gt;0,"Ada PO tanpa Koli - cek TMP. ","")&amp;IF(OR($AU1030="",$AU1030&lt;=0),"Volume kosong/0 - dimensi dikosongkan. ","")&amp;IF(AND($AU1030&lt;&gt;"",$AU1030&gt;=1000000),"Volume &gt;= 1.000.000 cm3 (di luar aturan) - dimensi dikosongkan. ","")&amp;IF(LEN($R1030)&gt;500,"R &gt; 500 karakter.","")))</f>
        <v/>
      </c>
      <c r="AS1030" t="str">
        <f>IFERROR(MATCH(ROW()-1,Calc!$J$2:$J$1601,0),"")</f>
        <v/>
      </c>
      <c r="AT1030" t="str">
        <f>IFERROR(MATCH(ROW()-1,Calc!$K$2:$K$1601,0),"")</f>
        <v/>
      </c>
      <c r="AU1030" t="str">
        <f>IF($AS1030="","",IFERROR(INDEX('TMP Paste'!$D$2:$D$1601,$AS1030)*1000000/$AB1030,""))</f>
        <v/>
      </c>
    </row>
    <row r="1031" spans="1:47">
      <c r="A1031" t="str">
        <f>IF($AS1031="","",INDEX('TMP Paste'!$B$2:$B$1601,$AS1031))</f>
        <v/>
      </c>
      <c r="B1031" t="str">
        <f>IF($AS1031="","",Config!$B$14)</f>
        <v/>
      </c>
      <c r="C1031" t="str">
        <f>IF($AS1031="","",Config!$B$15)</f>
        <v/>
      </c>
      <c r="D1031" t="str">
        <f>IF($AS1031="","",INDEX('TMP Paste'!$B$2:$B$1601,$AS1031))</f>
        <v/>
      </c>
      <c r="E1031" t="str">
        <f>IF($AS1031="","",Config!$B$27)</f>
        <v/>
      </c>
      <c r="F1031" t="str">
        <f>IF($AS1031="","",Config!$B$9)</f>
        <v/>
      </c>
      <c r="G1031" t="str">
        <f>IF($AS1031="","",Config!$B$10)</f>
        <v/>
      </c>
      <c r="H1031" t="str">
        <f>IF($AS1031="","",Config!$B$11)</f>
        <v/>
      </c>
      <c r="I1031" t="str">
        <f>IF($AS1031="","",Config!$B$16)</f>
        <v/>
      </c>
      <c r="J1031" t="str">
        <f>IF($AS1031="","",INDEX('TMP Paste'!$A$2:$A$1601,$AS1031))</f>
        <v/>
      </c>
      <c r="K1031" t="str">
        <f>IF($AS1031="","",INDEX('TMP Paste'!$L$2:$L$1601,$AS1031))</f>
        <v/>
      </c>
      <c r="L1031" t="str">
        <f>IF($AS1031="","",INDEX('TMP Paste'!$I$2:$I$1601,$AS1031))</f>
        <v/>
      </c>
      <c r="M1031" t="str">
        <f>IF($AS1031="","",Config!$B$16)</f>
        <v/>
      </c>
      <c r="N1031" t="str">
        <f t="shared" si="96"/>
        <v/>
      </c>
      <c r="O1031" t="str">
        <f>IF($AS1031="","",INDEX('TMP Paste'!$K$2:$K$1601,$AS1031))</f>
        <v/>
      </c>
      <c r="P1031" t="str">
        <f t="shared" si="97"/>
        <v/>
      </c>
      <c r="Q1031" t="str">
        <f>IF($AS1031="","",INDEX('TMP Paste'!$J$2:$J$1601,$AS1031))</f>
        <v/>
      </c>
      <c r="R1031" t="str">
        <f>IF($AS1031="","",Config!$B$24)</f>
        <v/>
      </c>
      <c r="S1031" t="str">
        <f ca="1">IF($AS1031="","",TEXT(Config!$B$4,"yyyy-mm-dd"))</f>
        <v/>
      </c>
      <c r="T1031" t="str">
        <f>IF($AS1031="","",Config!$B$17)</f>
        <v/>
      </c>
      <c r="U1031" t="str">
        <f>IF($AS1031="","",Config!$B$18)</f>
        <v/>
      </c>
      <c r="V1031" t="str">
        <f>IF($AS1031="","",Config!$B$19)</f>
        <v/>
      </c>
      <c r="W1031" t="str">
        <f>IF($AS1031="","",INDEX('TMP Paste'!$C$2:$C$1601,$AS1031))</f>
        <v/>
      </c>
      <c r="X1031" t="str">
        <f>IF($AS1031="","",Config!$B$29)</f>
        <v/>
      </c>
      <c r="Y1031" t="str">
        <f>IF($AT1031="","",INDEX(Calc!$I$2:$I$1601,$AT1031)&amp;" - "&amp;INDEX(Calc!$D$2:$D$1601,$AT1031)&amp;" koli")</f>
        <v/>
      </c>
      <c r="Z1031" t="str">
        <f>IF($AS1031="","",Config!$B$21)</f>
        <v/>
      </c>
      <c r="AA1031" t="str">
        <f>IF($AS1031="","",Config!$B$22)</f>
        <v/>
      </c>
      <c r="AB1031" t="str">
        <f>IF($AT1031="","",INDEX(Calc!$D$2:$D$1601,$AT1031))</f>
        <v/>
      </c>
      <c r="AC1031" t="str">
        <f>IF($AT1031="","",INDEX(Calc!$G$2:$G$1601,$AT1031))</f>
        <v/>
      </c>
      <c r="AD1031" t="str">
        <f>IF($AS1031="","",Config!$B$23)</f>
        <v/>
      </c>
      <c r="AE1031" t="str">
        <f>IF($AS1031="","",Config!$B$28)</f>
        <v/>
      </c>
      <c r="AF1031" t="str">
        <f t="shared" si="98"/>
        <v/>
      </c>
      <c r="AG1031" t="str">
        <f t="shared" si="99"/>
        <v/>
      </c>
      <c r="AH1031" t="str">
        <f t="shared" si="100"/>
        <v/>
      </c>
      <c r="AI1031" t="str">
        <f>IF($AG1031="","",SUMIF($AG$2:$AG1031,$AG1031,$AH$2:$AH1031))</f>
        <v/>
      </c>
      <c r="AJ1031" t="str">
        <f>IF('TMP Paste'!$F1031="","",IF('TMP Paste'!$B1031="",$AJ1030,'TMP Paste'!$B1031))</f>
        <v/>
      </c>
      <c r="AK1031" t="str">
        <f>IF('TMP Paste'!$F1031="","",N('TMP Paste'!$G1031))</f>
        <v/>
      </c>
      <c r="AL1031" t="str">
        <f>IF('TMP Paste'!$F1031="","",IF('TMP Paste'!$M1031="",$AL1030,'TMP Paste'!$M1031))</f>
        <v/>
      </c>
      <c r="AM1031" t="str">
        <f>IF('TMP Paste'!$F1031="","",IF('TMP Paste'!$N1031="",$AM1030,'TMP Paste'!$N1031))</f>
        <v/>
      </c>
      <c r="AN1031" t="str">
        <f>IF('TMP Paste'!$F1031="","",IF('TMP Paste'!$O1031="",$AN1030,'TMP Paste'!$O1031))</f>
        <v/>
      </c>
      <c r="AO1031" t="str">
        <f>IF('TMP Paste'!$F1031="","",IF('TMP Paste'!$P1031="",$AO1030,'TMP Paste'!$P1031))</f>
        <v/>
      </c>
      <c r="AP1031" t="str">
        <f t="shared" si="101"/>
        <v/>
      </c>
      <c r="AQ1031" t="str">
        <f>IF($AS1031="","",TRIM(IF(COUNTIFS(Calc!$B$2:$B$1601,ROW()-1,Calc!$C$2:$C$1601,"&lt;1")&gt;0,"Ada PO tanpa Koli - cek TMP. ","")&amp;IF(OR($AU1031="",$AU1031&lt;=0),"Volume kosong/0 - dimensi dikosongkan. ","")&amp;IF(AND($AU1031&lt;&gt;"",$AU1031&gt;=1000000),"Volume &gt;= 1.000.000 cm3 (di luar aturan) - dimensi dikosongkan. ","")&amp;IF(LEN($R1031)&gt;500,"R &gt; 500 karakter.","")))</f>
        <v/>
      </c>
      <c r="AS1031" t="str">
        <f>IFERROR(MATCH(ROW()-1,Calc!$J$2:$J$1601,0),"")</f>
        <v/>
      </c>
      <c r="AT1031" t="str">
        <f>IFERROR(MATCH(ROW()-1,Calc!$K$2:$K$1601,0),"")</f>
        <v/>
      </c>
      <c r="AU1031" t="str">
        <f>IF($AS1031="","",IFERROR(INDEX('TMP Paste'!$D$2:$D$1601,$AS1031)*1000000/$AB1031,""))</f>
        <v/>
      </c>
    </row>
    <row r="1032" spans="1:47">
      <c r="A1032" t="str">
        <f>IF($AS1032="","",INDEX('TMP Paste'!$B$2:$B$1601,$AS1032))</f>
        <v/>
      </c>
      <c r="B1032" t="str">
        <f>IF($AS1032="","",Config!$B$14)</f>
        <v/>
      </c>
      <c r="C1032" t="str">
        <f>IF($AS1032="","",Config!$B$15)</f>
        <v/>
      </c>
      <c r="D1032" t="str">
        <f>IF($AS1032="","",INDEX('TMP Paste'!$B$2:$B$1601,$AS1032))</f>
        <v/>
      </c>
      <c r="E1032" t="str">
        <f>IF($AS1032="","",Config!$B$27)</f>
        <v/>
      </c>
      <c r="F1032" t="str">
        <f>IF($AS1032="","",Config!$B$9)</f>
        <v/>
      </c>
      <c r="G1032" t="str">
        <f>IF($AS1032="","",Config!$B$10)</f>
        <v/>
      </c>
      <c r="H1032" t="str">
        <f>IF($AS1032="","",Config!$B$11)</f>
        <v/>
      </c>
      <c r="I1032" t="str">
        <f>IF($AS1032="","",Config!$B$16)</f>
        <v/>
      </c>
      <c r="J1032" t="str">
        <f>IF($AS1032="","",INDEX('TMP Paste'!$A$2:$A$1601,$AS1032))</f>
        <v/>
      </c>
      <c r="K1032" t="str">
        <f>IF($AS1032="","",INDEX('TMP Paste'!$L$2:$L$1601,$AS1032))</f>
        <v/>
      </c>
      <c r="L1032" t="str">
        <f>IF($AS1032="","",INDEX('TMP Paste'!$I$2:$I$1601,$AS1032))</f>
        <v/>
      </c>
      <c r="M1032" t="str">
        <f>IF($AS1032="","",Config!$B$16)</f>
        <v/>
      </c>
      <c r="N1032" t="str">
        <f t="shared" si="96"/>
        <v/>
      </c>
      <c r="O1032" t="str">
        <f>IF($AS1032="","",INDEX('TMP Paste'!$K$2:$K$1601,$AS1032))</f>
        <v/>
      </c>
      <c r="P1032" t="str">
        <f t="shared" si="97"/>
        <v/>
      </c>
      <c r="Q1032" t="str">
        <f>IF($AS1032="","",INDEX('TMP Paste'!$J$2:$J$1601,$AS1032))</f>
        <v/>
      </c>
      <c r="R1032" t="str">
        <f>IF($AS1032="","",Config!$B$24)</f>
        <v/>
      </c>
      <c r="S1032" t="str">
        <f ca="1">IF($AS1032="","",TEXT(Config!$B$4,"yyyy-mm-dd"))</f>
        <v/>
      </c>
      <c r="T1032" t="str">
        <f>IF($AS1032="","",Config!$B$17)</f>
        <v/>
      </c>
      <c r="U1032" t="str">
        <f>IF($AS1032="","",Config!$B$18)</f>
        <v/>
      </c>
      <c r="V1032" t="str">
        <f>IF($AS1032="","",Config!$B$19)</f>
        <v/>
      </c>
      <c r="W1032" t="str">
        <f>IF($AS1032="","",INDEX('TMP Paste'!$C$2:$C$1601,$AS1032))</f>
        <v/>
      </c>
      <c r="X1032" t="str">
        <f>IF($AS1032="","",Config!$B$29)</f>
        <v/>
      </c>
      <c r="Y1032" t="str">
        <f>IF($AT1032="","",INDEX(Calc!$I$2:$I$1601,$AT1032)&amp;" - "&amp;INDEX(Calc!$D$2:$D$1601,$AT1032)&amp;" koli")</f>
        <v/>
      </c>
      <c r="Z1032" t="str">
        <f>IF($AS1032="","",Config!$B$21)</f>
        <v/>
      </c>
      <c r="AA1032" t="str">
        <f>IF($AS1032="","",Config!$B$22)</f>
        <v/>
      </c>
      <c r="AB1032" t="str">
        <f>IF($AT1032="","",INDEX(Calc!$D$2:$D$1601,$AT1032))</f>
        <v/>
      </c>
      <c r="AC1032" t="str">
        <f>IF($AT1032="","",INDEX(Calc!$G$2:$G$1601,$AT1032))</f>
        <v/>
      </c>
      <c r="AD1032" t="str">
        <f>IF($AS1032="","",Config!$B$23)</f>
        <v/>
      </c>
      <c r="AE1032" t="str">
        <f>IF($AS1032="","",Config!$B$28)</f>
        <v/>
      </c>
      <c r="AF1032" t="str">
        <f t="shared" si="98"/>
        <v/>
      </c>
      <c r="AG1032" t="str">
        <f t="shared" si="99"/>
        <v/>
      </c>
      <c r="AH1032" t="str">
        <f t="shared" si="100"/>
        <v/>
      </c>
      <c r="AI1032" t="str">
        <f>IF($AG1032="","",SUMIF($AG$2:$AG1032,$AG1032,$AH$2:$AH1032))</f>
        <v/>
      </c>
      <c r="AJ1032" t="str">
        <f>IF('TMP Paste'!$F1032="","",IF('TMP Paste'!$B1032="",$AJ1031,'TMP Paste'!$B1032))</f>
        <v/>
      </c>
      <c r="AK1032" t="str">
        <f>IF('TMP Paste'!$F1032="","",N('TMP Paste'!$G1032))</f>
        <v/>
      </c>
      <c r="AL1032" t="str">
        <f>IF('TMP Paste'!$F1032="","",IF('TMP Paste'!$M1032="",$AL1031,'TMP Paste'!$M1032))</f>
        <v/>
      </c>
      <c r="AM1032" t="str">
        <f>IF('TMP Paste'!$F1032="","",IF('TMP Paste'!$N1032="",$AM1031,'TMP Paste'!$N1032))</f>
        <v/>
      </c>
      <c r="AN1032" t="str">
        <f>IF('TMP Paste'!$F1032="","",IF('TMP Paste'!$O1032="",$AN1031,'TMP Paste'!$O1032))</f>
        <v/>
      </c>
      <c r="AO1032" t="str">
        <f>IF('TMP Paste'!$F1032="","",IF('TMP Paste'!$P1032="",$AO1031,'TMP Paste'!$P1032))</f>
        <v/>
      </c>
      <c r="AP1032" t="str">
        <f t="shared" si="101"/>
        <v/>
      </c>
      <c r="AQ1032" t="str">
        <f>IF($AS1032="","",TRIM(IF(COUNTIFS(Calc!$B$2:$B$1601,ROW()-1,Calc!$C$2:$C$1601,"&lt;1")&gt;0,"Ada PO tanpa Koli - cek TMP. ","")&amp;IF(OR($AU1032="",$AU1032&lt;=0),"Volume kosong/0 - dimensi dikosongkan. ","")&amp;IF(AND($AU1032&lt;&gt;"",$AU1032&gt;=1000000),"Volume &gt;= 1.000.000 cm3 (di luar aturan) - dimensi dikosongkan. ","")&amp;IF(LEN($R1032)&gt;500,"R &gt; 500 karakter.","")))</f>
        <v/>
      </c>
      <c r="AS1032" t="str">
        <f>IFERROR(MATCH(ROW()-1,Calc!$J$2:$J$1601,0),"")</f>
        <v/>
      </c>
      <c r="AT1032" t="str">
        <f>IFERROR(MATCH(ROW()-1,Calc!$K$2:$K$1601,0),"")</f>
        <v/>
      </c>
      <c r="AU1032" t="str">
        <f>IF($AS1032="","",IFERROR(INDEX('TMP Paste'!$D$2:$D$1601,$AS1032)*1000000/$AB1032,""))</f>
        <v/>
      </c>
    </row>
    <row r="1033" spans="1:47">
      <c r="A1033" t="str">
        <f>IF($AS1033="","",INDEX('TMP Paste'!$B$2:$B$1601,$AS1033))</f>
        <v/>
      </c>
      <c r="B1033" t="str">
        <f>IF($AS1033="","",Config!$B$14)</f>
        <v/>
      </c>
      <c r="C1033" t="str">
        <f>IF($AS1033="","",Config!$B$15)</f>
        <v/>
      </c>
      <c r="D1033" t="str">
        <f>IF($AS1033="","",INDEX('TMP Paste'!$B$2:$B$1601,$AS1033))</f>
        <v/>
      </c>
      <c r="E1033" t="str">
        <f>IF($AS1033="","",Config!$B$27)</f>
        <v/>
      </c>
      <c r="F1033" t="str">
        <f>IF($AS1033="","",Config!$B$9)</f>
        <v/>
      </c>
      <c r="G1033" t="str">
        <f>IF($AS1033="","",Config!$B$10)</f>
        <v/>
      </c>
      <c r="H1033" t="str">
        <f>IF($AS1033="","",Config!$B$11)</f>
        <v/>
      </c>
      <c r="I1033" t="str">
        <f>IF($AS1033="","",Config!$B$16)</f>
        <v/>
      </c>
      <c r="J1033" t="str">
        <f>IF($AS1033="","",INDEX('TMP Paste'!$A$2:$A$1601,$AS1033))</f>
        <v/>
      </c>
      <c r="K1033" t="str">
        <f>IF($AS1033="","",INDEX('TMP Paste'!$L$2:$L$1601,$AS1033))</f>
        <v/>
      </c>
      <c r="L1033" t="str">
        <f>IF($AS1033="","",INDEX('TMP Paste'!$I$2:$I$1601,$AS1033))</f>
        <v/>
      </c>
      <c r="M1033" t="str">
        <f>IF($AS1033="","",Config!$B$16)</f>
        <v/>
      </c>
      <c r="N1033" t="str">
        <f t="shared" si="96"/>
        <v/>
      </c>
      <c r="O1033" t="str">
        <f>IF($AS1033="","",INDEX('TMP Paste'!$K$2:$K$1601,$AS1033))</f>
        <v/>
      </c>
      <c r="P1033" t="str">
        <f t="shared" si="97"/>
        <v/>
      </c>
      <c r="Q1033" t="str">
        <f>IF($AS1033="","",INDEX('TMP Paste'!$J$2:$J$1601,$AS1033))</f>
        <v/>
      </c>
      <c r="R1033" t="str">
        <f>IF($AS1033="","",Config!$B$24)</f>
        <v/>
      </c>
      <c r="S1033" t="str">
        <f ca="1">IF($AS1033="","",TEXT(Config!$B$4,"yyyy-mm-dd"))</f>
        <v/>
      </c>
      <c r="T1033" t="str">
        <f>IF($AS1033="","",Config!$B$17)</f>
        <v/>
      </c>
      <c r="U1033" t="str">
        <f>IF($AS1033="","",Config!$B$18)</f>
        <v/>
      </c>
      <c r="V1033" t="str">
        <f>IF($AS1033="","",Config!$B$19)</f>
        <v/>
      </c>
      <c r="W1033" t="str">
        <f>IF($AS1033="","",INDEX('TMP Paste'!$C$2:$C$1601,$AS1033))</f>
        <v/>
      </c>
      <c r="X1033" t="str">
        <f>IF($AS1033="","",Config!$B$29)</f>
        <v/>
      </c>
      <c r="Y1033" t="str">
        <f>IF($AT1033="","",INDEX(Calc!$I$2:$I$1601,$AT1033)&amp;" - "&amp;INDEX(Calc!$D$2:$D$1601,$AT1033)&amp;" koli")</f>
        <v/>
      </c>
      <c r="Z1033" t="str">
        <f>IF($AS1033="","",Config!$B$21)</f>
        <v/>
      </c>
      <c r="AA1033" t="str">
        <f>IF($AS1033="","",Config!$B$22)</f>
        <v/>
      </c>
      <c r="AB1033" t="str">
        <f>IF($AT1033="","",INDEX(Calc!$D$2:$D$1601,$AT1033))</f>
        <v/>
      </c>
      <c r="AC1033" t="str">
        <f>IF($AT1033="","",INDEX(Calc!$G$2:$G$1601,$AT1033))</f>
        <v/>
      </c>
      <c r="AD1033" t="str">
        <f>IF($AS1033="","",Config!$B$23)</f>
        <v/>
      </c>
      <c r="AE1033" t="str">
        <f>IF($AS1033="","",Config!$B$28)</f>
        <v/>
      </c>
      <c r="AF1033" t="str">
        <f t="shared" si="98"/>
        <v/>
      </c>
      <c r="AG1033" t="str">
        <f t="shared" si="99"/>
        <v/>
      </c>
      <c r="AH1033" t="str">
        <f t="shared" si="100"/>
        <v/>
      </c>
      <c r="AI1033" t="str">
        <f>IF($AG1033="","",SUMIF($AG$2:$AG1033,$AG1033,$AH$2:$AH1033))</f>
        <v/>
      </c>
      <c r="AJ1033" t="str">
        <f>IF('TMP Paste'!$F1033="","",IF('TMP Paste'!$B1033="",$AJ1032,'TMP Paste'!$B1033))</f>
        <v/>
      </c>
      <c r="AK1033" t="str">
        <f>IF('TMP Paste'!$F1033="","",N('TMP Paste'!$G1033))</f>
        <v/>
      </c>
      <c r="AL1033" t="str">
        <f>IF('TMP Paste'!$F1033="","",IF('TMP Paste'!$M1033="",$AL1032,'TMP Paste'!$M1033))</f>
        <v/>
      </c>
      <c r="AM1033" t="str">
        <f>IF('TMP Paste'!$F1033="","",IF('TMP Paste'!$N1033="",$AM1032,'TMP Paste'!$N1033))</f>
        <v/>
      </c>
      <c r="AN1033" t="str">
        <f>IF('TMP Paste'!$F1033="","",IF('TMP Paste'!$O1033="",$AN1032,'TMP Paste'!$O1033))</f>
        <v/>
      </c>
      <c r="AO1033" t="str">
        <f>IF('TMP Paste'!$F1033="","",IF('TMP Paste'!$P1033="",$AO1032,'TMP Paste'!$P1033))</f>
        <v/>
      </c>
      <c r="AP1033" t="str">
        <f t="shared" si="101"/>
        <v/>
      </c>
      <c r="AQ1033" t="str">
        <f>IF($AS1033="","",TRIM(IF(COUNTIFS(Calc!$B$2:$B$1601,ROW()-1,Calc!$C$2:$C$1601,"&lt;1")&gt;0,"Ada PO tanpa Koli - cek TMP. ","")&amp;IF(OR($AU1033="",$AU1033&lt;=0),"Volume kosong/0 - dimensi dikosongkan. ","")&amp;IF(AND($AU1033&lt;&gt;"",$AU1033&gt;=1000000),"Volume &gt;= 1.000.000 cm3 (di luar aturan) - dimensi dikosongkan. ","")&amp;IF(LEN($R1033)&gt;500,"R &gt; 500 karakter.","")))</f>
        <v/>
      </c>
      <c r="AS1033" t="str">
        <f>IFERROR(MATCH(ROW()-1,Calc!$J$2:$J$1601,0),"")</f>
        <v/>
      </c>
      <c r="AT1033" t="str">
        <f>IFERROR(MATCH(ROW()-1,Calc!$K$2:$K$1601,0),"")</f>
        <v/>
      </c>
      <c r="AU1033" t="str">
        <f>IF($AS1033="","",IFERROR(INDEX('TMP Paste'!$D$2:$D$1601,$AS1033)*1000000/$AB1033,""))</f>
        <v/>
      </c>
    </row>
    <row r="1034" spans="1:47">
      <c r="A1034" t="str">
        <f>IF($AS1034="","",INDEX('TMP Paste'!$B$2:$B$1601,$AS1034))</f>
        <v/>
      </c>
      <c r="B1034" t="str">
        <f>IF($AS1034="","",Config!$B$14)</f>
        <v/>
      </c>
      <c r="C1034" t="str">
        <f>IF($AS1034="","",Config!$B$15)</f>
        <v/>
      </c>
      <c r="D1034" t="str">
        <f>IF($AS1034="","",INDEX('TMP Paste'!$B$2:$B$1601,$AS1034))</f>
        <v/>
      </c>
      <c r="E1034" t="str">
        <f>IF($AS1034="","",Config!$B$27)</f>
        <v/>
      </c>
      <c r="F1034" t="str">
        <f>IF($AS1034="","",Config!$B$9)</f>
        <v/>
      </c>
      <c r="G1034" t="str">
        <f>IF($AS1034="","",Config!$B$10)</f>
        <v/>
      </c>
      <c r="H1034" t="str">
        <f>IF($AS1034="","",Config!$B$11)</f>
        <v/>
      </c>
      <c r="I1034" t="str">
        <f>IF($AS1034="","",Config!$B$16)</f>
        <v/>
      </c>
      <c r="J1034" t="str">
        <f>IF($AS1034="","",INDEX('TMP Paste'!$A$2:$A$1601,$AS1034))</f>
        <v/>
      </c>
      <c r="K1034" t="str">
        <f>IF($AS1034="","",INDEX('TMP Paste'!$L$2:$L$1601,$AS1034))</f>
        <v/>
      </c>
      <c r="L1034" t="str">
        <f>IF($AS1034="","",INDEX('TMP Paste'!$I$2:$I$1601,$AS1034))</f>
        <v/>
      </c>
      <c r="M1034" t="str">
        <f>IF($AS1034="","",Config!$B$16)</f>
        <v/>
      </c>
      <c r="N1034" t="str">
        <f t="shared" si="96"/>
        <v/>
      </c>
      <c r="O1034" t="str">
        <f>IF($AS1034="","",INDEX('TMP Paste'!$K$2:$K$1601,$AS1034))</f>
        <v/>
      </c>
      <c r="P1034" t="str">
        <f t="shared" si="97"/>
        <v/>
      </c>
      <c r="Q1034" t="str">
        <f>IF($AS1034="","",INDEX('TMP Paste'!$J$2:$J$1601,$AS1034))</f>
        <v/>
      </c>
      <c r="R1034" t="str">
        <f>IF($AS1034="","",Config!$B$24)</f>
        <v/>
      </c>
      <c r="S1034" t="str">
        <f ca="1">IF($AS1034="","",TEXT(Config!$B$4,"yyyy-mm-dd"))</f>
        <v/>
      </c>
      <c r="T1034" t="str">
        <f>IF($AS1034="","",Config!$B$17)</f>
        <v/>
      </c>
      <c r="U1034" t="str">
        <f>IF($AS1034="","",Config!$B$18)</f>
        <v/>
      </c>
      <c r="V1034" t="str">
        <f>IF($AS1034="","",Config!$B$19)</f>
        <v/>
      </c>
      <c r="W1034" t="str">
        <f>IF($AS1034="","",INDEX('TMP Paste'!$C$2:$C$1601,$AS1034))</f>
        <v/>
      </c>
      <c r="X1034" t="str">
        <f>IF($AS1034="","",Config!$B$29)</f>
        <v/>
      </c>
      <c r="Y1034" t="str">
        <f>IF($AT1034="","",INDEX(Calc!$I$2:$I$1601,$AT1034)&amp;" - "&amp;INDEX(Calc!$D$2:$D$1601,$AT1034)&amp;" koli")</f>
        <v/>
      </c>
      <c r="Z1034" t="str">
        <f>IF($AS1034="","",Config!$B$21)</f>
        <v/>
      </c>
      <c r="AA1034" t="str">
        <f>IF($AS1034="","",Config!$B$22)</f>
        <v/>
      </c>
      <c r="AB1034" t="str">
        <f>IF($AT1034="","",INDEX(Calc!$D$2:$D$1601,$AT1034))</f>
        <v/>
      </c>
      <c r="AC1034" t="str">
        <f>IF($AT1034="","",INDEX(Calc!$G$2:$G$1601,$AT1034))</f>
        <v/>
      </c>
      <c r="AD1034" t="str">
        <f>IF($AS1034="","",Config!$B$23)</f>
        <v/>
      </c>
      <c r="AE1034" t="str">
        <f>IF($AS1034="","",Config!$B$28)</f>
        <v/>
      </c>
      <c r="AF1034" t="str">
        <f t="shared" si="98"/>
        <v/>
      </c>
      <c r="AG1034" t="str">
        <f t="shared" si="99"/>
        <v/>
      </c>
      <c r="AH1034" t="str">
        <f t="shared" si="100"/>
        <v/>
      </c>
      <c r="AI1034" t="str">
        <f>IF($AG1034="","",SUMIF($AG$2:$AG1034,$AG1034,$AH$2:$AH1034))</f>
        <v/>
      </c>
      <c r="AJ1034" t="str">
        <f>IF('TMP Paste'!$F1034="","",IF('TMP Paste'!$B1034="",$AJ1033,'TMP Paste'!$B1034))</f>
        <v/>
      </c>
      <c r="AK1034" t="str">
        <f>IF('TMP Paste'!$F1034="","",N('TMP Paste'!$G1034))</f>
        <v/>
      </c>
      <c r="AL1034" t="str">
        <f>IF('TMP Paste'!$F1034="","",IF('TMP Paste'!$M1034="",$AL1033,'TMP Paste'!$M1034))</f>
        <v/>
      </c>
      <c r="AM1034" t="str">
        <f>IF('TMP Paste'!$F1034="","",IF('TMP Paste'!$N1034="",$AM1033,'TMP Paste'!$N1034))</f>
        <v/>
      </c>
      <c r="AN1034" t="str">
        <f>IF('TMP Paste'!$F1034="","",IF('TMP Paste'!$O1034="",$AN1033,'TMP Paste'!$O1034))</f>
        <v/>
      </c>
      <c r="AO1034" t="str">
        <f>IF('TMP Paste'!$F1034="","",IF('TMP Paste'!$P1034="",$AO1033,'TMP Paste'!$P1034))</f>
        <v/>
      </c>
      <c r="AP1034" t="str">
        <f t="shared" si="101"/>
        <v/>
      </c>
      <c r="AQ1034" t="str">
        <f>IF($AS1034="","",TRIM(IF(COUNTIFS(Calc!$B$2:$B$1601,ROW()-1,Calc!$C$2:$C$1601,"&lt;1")&gt;0,"Ada PO tanpa Koli - cek TMP. ","")&amp;IF(OR($AU1034="",$AU1034&lt;=0),"Volume kosong/0 - dimensi dikosongkan. ","")&amp;IF(AND($AU1034&lt;&gt;"",$AU1034&gt;=1000000),"Volume &gt;= 1.000.000 cm3 (di luar aturan) - dimensi dikosongkan. ","")&amp;IF(LEN($R1034)&gt;500,"R &gt; 500 karakter.","")))</f>
        <v/>
      </c>
      <c r="AS1034" t="str">
        <f>IFERROR(MATCH(ROW()-1,Calc!$J$2:$J$1601,0),"")</f>
        <v/>
      </c>
      <c r="AT1034" t="str">
        <f>IFERROR(MATCH(ROW()-1,Calc!$K$2:$K$1601,0),"")</f>
        <v/>
      </c>
      <c r="AU1034" t="str">
        <f>IF($AS1034="","",IFERROR(INDEX('TMP Paste'!$D$2:$D$1601,$AS1034)*1000000/$AB1034,""))</f>
        <v/>
      </c>
    </row>
    <row r="1035" spans="1:47">
      <c r="A1035" t="str">
        <f>IF($AS1035="","",INDEX('TMP Paste'!$B$2:$B$1601,$AS1035))</f>
        <v/>
      </c>
      <c r="B1035" t="str">
        <f>IF($AS1035="","",Config!$B$14)</f>
        <v/>
      </c>
      <c r="C1035" t="str">
        <f>IF($AS1035="","",Config!$B$15)</f>
        <v/>
      </c>
      <c r="D1035" t="str">
        <f>IF($AS1035="","",INDEX('TMP Paste'!$B$2:$B$1601,$AS1035))</f>
        <v/>
      </c>
      <c r="E1035" t="str">
        <f>IF($AS1035="","",Config!$B$27)</f>
        <v/>
      </c>
      <c r="F1035" t="str">
        <f>IF($AS1035="","",Config!$B$9)</f>
        <v/>
      </c>
      <c r="G1035" t="str">
        <f>IF($AS1035="","",Config!$B$10)</f>
        <v/>
      </c>
      <c r="H1035" t="str">
        <f>IF($AS1035="","",Config!$B$11)</f>
        <v/>
      </c>
      <c r="I1035" t="str">
        <f>IF($AS1035="","",Config!$B$16)</f>
        <v/>
      </c>
      <c r="J1035" t="str">
        <f>IF($AS1035="","",INDEX('TMP Paste'!$A$2:$A$1601,$AS1035))</f>
        <v/>
      </c>
      <c r="K1035" t="str">
        <f>IF($AS1035="","",INDEX('TMP Paste'!$L$2:$L$1601,$AS1035))</f>
        <v/>
      </c>
      <c r="L1035" t="str">
        <f>IF($AS1035="","",INDEX('TMP Paste'!$I$2:$I$1601,$AS1035))</f>
        <v/>
      </c>
      <c r="M1035" t="str">
        <f>IF($AS1035="","",Config!$B$16)</f>
        <v/>
      </c>
      <c r="N1035" t="str">
        <f t="shared" si="96"/>
        <v/>
      </c>
      <c r="O1035" t="str">
        <f>IF($AS1035="","",INDEX('TMP Paste'!$K$2:$K$1601,$AS1035))</f>
        <v/>
      </c>
      <c r="P1035" t="str">
        <f t="shared" si="97"/>
        <v/>
      </c>
      <c r="Q1035" t="str">
        <f>IF($AS1035="","",INDEX('TMP Paste'!$J$2:$J$1601,$AS1035))</f>
        <v/>
      </c>
      <c r="R1035" t="str">
        <f>IF($AS1035="","",Config!$B$24)</f>
        <v/>
      </c>
      <c r="S1035" t="str">
        <f ca="1">IF($AS1035="","",TEXT(Config!$B$4,"yyyy-mm-dd"))</f>
        <v/>
      </c>
      <c r="T1035" t="str">
        <f>IF($AS1035="","",Config!$B$17)</f>
        <v/>
      </c>
      <c r="U1035" t="str">
        <f>IF($AS1035="","",Config!$B$18)</f>
        <v/>
      </c>
      <c r="V1035" t="str">
        <f>IF($AS1035="","",Config!$B$19)</f>
        <v/>
      </c>
      <c r="W1035" t="str">
        <f>IF($AS1035="","",INDEX('TMP Paste'!$C$2:$C$1601,$AS1035))</f>
        <v/>
      </c>
      <c r="X1035" t="str">
        <f>IF($AS1035="","",Config!$B$29)</f>
        <v/>
      </c>
      <c r="Y1035" t="str">
        <f>IF($AT1035="","",INDEX(Calc!$I$2:$I$1601,$AT1035)&amp;" - "&amp;INDEX(Calc!$D$2:$D$1601,$AT1035)&amp;" koli")</f>
        <v/>
      </c>
      <c r="Z1035" t="str">
        <f>IF($AS1035="","",Config!$B$21)</f>
        <v/>
      </c>
      <c r="AA1035" t="str">
        <f>IF($AS1035="","",Config!$B$22)</f>
        <v/>
      </c>
      <c r="AB1035" t="str">
        <f>IF($AT1035="","",INDEX(Calc!$D$2:$D$1601,$AT1035))</f>
        <v/>
      </c>
      <c r="AC1035" t="str">
        <f>IF($AT1035="","",INDEX(Calc!$G$2:$G$1601,$AT1035))</f>
        <v/>
      </c>
      <c r="AD1035" t="str">
        <f>IF($AS1035="","",Config!$B$23)</f>
        <v/>
      </c>
      <c r="AE1035" t="str">
        <f>IF($AS1035="","",Config!$B$28)</f>
        <v/>
      </c>
      <c r="AF1035" t="str">
        <f t="shared" si="98"/>
        <v/>
      </c>
      <c r="AG1035" t="str">
        <f t="shared" si="99"/>
        <v/>
      </c>
      <c r="AH1035" t="str">
        <f t="shared" si="100"/>
        <v/>
      </c>
      <c r="AI1035" t="str">
        <f>IF($AG1035="","",SUMIF($AG$2:$AG1035,$AG1035,$AH$2:$AH1035))</f>
        <v/>
      </c>
      <c r="AJ1035" t="str">
        <f>IF('TMP Paste'!$F1035="","",IF('TMP Paste'!$B1035="",$AJ1034,'TMP Paste'!$B1035))</f>
        <v/>
      </c>
      <c r="AK1035" t="str">
        <f>IF('TMP Paste'!$F1035="","",N('TMP Paste'!$G1035))</f>
        <v/>
      </c>
      <c r="AL1035" t="str">
        <f>IF('TMP Paste'!$F1035="","",IF('TMP Paste'!$M1035="",$AL1034,'TMP Paste'!$M1035))</f>
        <v/>
      </c>
      <c r="AM1035" t="str">
        <f>IF('TMP Paste'!$F1035="","",IF('TMP Paste'!$N1035="",$AM1034,'TMP Paste'!$N1035))</f>
        <v/>
      </c>
      <c r="AN1035" t="str">
        <f>IF('TMP Paste'!$F1035="","",IF('TMP Paste'!$O1035="",$AN1034,'TMP Paste'!$O1035))</f>
        <v/>
      </c>
      <c r="AO1035" t="str">
        <f>IF('TMP Paste'!$F1035="","",IF('TMP Paste'!$P1035="",$AO1034,'TMP Paste'!$P1035))</f>
        <v/>
      </c>
      <c r="AP1035" t="str">
        <f t="shared" si="101"/>
        <v/>
      </c>
      <c r="AQ1035" t="str">
        <f>IF($AS1035="","",TRIM(IF(COUNTIFS(Calc!$B$2:$B$1601,ROW()-1,Calc!$C$2:$C$1601,"&lt;1")&gt;0,"Ada PO tanpa Koli - cek TMP. ","")&amp;IF(OR($AU1035="",$AU1035&lt;=0),"Volume kosong/0 - dimensi dikosongkan. ","")&amp;IF(AND($AU1035&lt;&gt;"",$AU1035&gt;=1000000),"Volume &gt;= 1.000.000 cm3 (di luar aturan) - dimensi dikosongkan. ","")&amp;IF(LEN($R1035)&gt;500,"R &gt; 500 karakter.","")))</f>
        <v/>
      </c>
      <c r="AS1035" t="str">
        <f>IFERROR(MATCH(ROW()-1,Calc!$J$2:$J$1601,0),"")</f>
        <v/>
      </c>
      <c r="AT1035" t="str">
        <f>IFERROR(MATCH(ROW()-1,Calc!$K$2:$K$1601,0),"")</f>
        <v/>
      </c>
      <c r="AU1035" t="str">
        <f>IF($AS1035="","",IFERROR(INDEX('TMP Paste'!$D$2:$D$1601,$AS1035)*1000000/$AB1035,""))</f>
        <v/>
      </c>
    </row>
    <row r="1036" spans="1:47">
      <c r="A1036" t="str">
        <f>IF($AS1036="","",INDEX('TMP Paste'!$B$2:$B$1601,$AS1036))</f>
        <v/>
      </c>
      <c r="B1036" t="str">
        <f>IF($AS1036="","",Config!$B$14)</f>
        <v/>
      </c>
      <c r="C1036" t="str">
        <f>IF($AS1036="","",Config!$B$15)</f>
        <v/>
      </c>
      <c r="D1036" t="str">
        <f>IF($AS1036="","",INDEX('TMP Paste'!$B$2:$B$1601,$AS1036))</f>
        <v/>
      </c>
      <c r="E1036" t="str">
        <f>IF($AS1036="","",Config!$B$27)</f>
        <v/>
      </c>
      <c r="F1036" t="str">
        <f>IF($AS1036="","",Config!$B$9)</f>
        <v/>
      </c>
      <c r="G1036" t="str">
        <f>IF($AS1036="","",Config!$B$10)</f>
        <v/>
      </c>
      <c r="H1036" t="str">
        <f>IF($AS1036="","",Config!$B$11)</f>
        <v/>
      </c>
      <c r="I1036" t="str">
        <f>IF($AS1036="","",Config!$B$16)</f>
        <v/>
      </c>
      <c r="J1036" t="str">
        <f>IF($AS1036="","",INDEX('TMP Paste'!$A$2:$A$1601,$AS1036))</f>
        <v/>
      </c>
      <c r="K1036" t="str">
        <f>IF($AS1036="","",INDEX('TMP Paste'!$L$2:$L$1601,$AS1036))</f>
        <v/>
      </c>
      <c r="L1036" t="str">
        <f>IF($AS1036="","",INDEX('TMP Paste'!$I$2:$I$1601,$AS1036))</f>
        <v/>
      </c>
      <c r="M1036" t="str">
        <f>IF($AS1036="","",Config!$B$16)</f>
        <v/>
      </c>
      <c r="N1036" t="str">
        <f t="shared" si="96"/>
        <v/>
      </c>
      <c r="O1036" t="str">
        <f>IF($AS1036="","",INDEX('TMP Paste'!$K$2:$K$1601,$AS1036))</f>
        <v/>
      </c>
      <c r="P1036" t="str">
        <f t="shared" si="97"/>
        <v/>
      </c>
      <c r="Q1036" t="str">
        <f>IF($AS1036="","",INDEX('TMP Paste'!$J$2:$J$1601,$AS1036))</f>
        <v/>
      </c>
      <c r="R1036" t="str">
        <f>IF($AS1036="","",Config!$B$24)</f>
        <v/>
      </c>
      <c r="S1036" t="str">
        <f ca="1">IF($AS1036="","",TEXT(Config!$B$4,"yyyy-mm-dd"))</f>
        <v/>
      </c>
      <c r="T1036" t="str">
        <f>IF($AS1036="","",Config!$B$17)</f>
        <v/>
      </c>
      <c r="U1036" t="str">
        <f>IF($AS1036="","",Config!$B$18)</f>
        <v/>
      </c>
      <c r="V1036" t="str">
        <f>IF($AS1036="","",Config!$B$19)</f>
        <v/>
      </c>
      <c r="W1036" t="str">
        <f>IF($AS1036="","",INDEX('TMP Paste'!$C$2:$C$1601,$AS1036))</f>
        <v/>
      </c>
      <c r="X1036" t="str">
        <f>IF($AS1036="","",Config!$B$29)</f>
        <v/>
      </c>
      <c r="Y1036" t="str">
        <f>IF($AT1036="","",INDEX(Calc!$I$2:$I$1601,$AT1036)&amp;" - "&amp;INDEX(Calc!$D$2:$D$1601,$AT1036)&amp;" koli")</f>
        <v/>
      </c>
      <c r="Z1036" t="str">
        <f>IF($AS1036="","",Config!$B$21)</f>
        <v/>
      </c>
      <c r="AA1036" t="str">
        <f>IF($AS1036="","",Config!$B$22)</f>
        <v/>
      </c>
      <c r="AB1036" t="str">
        <f>IF($AT1036="","",INDEX(Calc!$D$2:$D$1601,$AT1036))</f>
        <v/>
      </c>
      <c r="AC1036" t="str">
        <f>IF($AT1036="","",INDEX(Calc!$G$2:$G$1601,$AT1036))</f>
        <v/>
      </c>
      <c r="AD1036" t="str">
        <f>IF($AS1036="","",Config!$B$23)</f>
        <v/>
      </c>
      <c r="AE1036" t="str">
        <f>IF($AS1036="","",Config!$B$28)</f>
        <v/>
      </c>
      <c r="AF1036" t="str">
        <f t="shared" si="98"/>
        <v/>
      </c>
      <c r="AG1036" t="str">
        <f t="shared" si="99"/>
        <v/>
      </c>
      <c r="AH1036" t="str">
        <f t="shared" si="100"/>
        <v/>
      </c>
      <c r="AI1036" t="str">
        <f>IF($AG1036="","",SUMIF($AG$2:$AG1036,$AG1036,$AH$2:$AH1036))</f>
        <v/>
      </c>
      <c r="AJ1036" t="str">
        <f>IF('TMP Paste'!$F1036="","",IF('TMP Paste'!$B1036="",$AJ1035,'TMP Paste'!$B1036))</f>
        <v/>
      </c>
      <c r="AK1036" t="str">
        <f>IF('TMP Paste'!$F1036="","",N('TMP Paste'!$G1036))</f>
        <v/>
      </c>
      <c r="AL1036" t="str">
        <f>IF('TMP Paste'!$F1036="","",IF('TMP Paste'!$M1036="",$AL1035,'TMP Paste'!$M1036))</f>
        <v/>
      </c>
      <c r="AM1036" t="str">
        <f>IF('TMP Paste'!$F1036="","",IF('TMP Paste'!$N1036="",$AM1035,'TMP Paste'!$N1036))</f>
        <v/>
      </c>
      <c r="AN1036" t="str">
        <f>IF('TMP Paste'!$F1036="","",IF('TMP Paste'!$O1036="",$AN1035,'TMP Paste'!$O1036))</f>
        <v/>
      </c>
      <c r="AO1036" t="str">
        <f>IF('TMP Paste'!$F1036="","",IF('TMP Paste'!$P1036="",$AO1035,'TMP Paste'!$P1036))</f>
        <v/>
      </c>
      <c r="AP1036" t="str">
        <f t="shared" si="101"/>
        <v/>
      </c>
      <c r="AQ1036" t="str">
        <f>IF($AS1036="","",TRIM(IF(COUNTIFS(Calc!$B$2:$B$1601,ROW()-1,Calc!$C$2:$C$1601,"&lt;1")&gt;0,"Ada PO tanpa Koli - cek TMP. ","")&amp;IF(OR($AU1036="",$AU1036&lt;=0),"Volume kosong/0 - dimensi dikosongkan. ","")&amp;IF(AND($AU1036&lt;&gt;"",$AU1036&gt;=1000000),"Volume &gt;= 1.000.000 cm3 (di luar aturan) - dimensi dikosongkan. ","")&amp;IF(LEN($R1036)&gt;500,"R &gt; 500 karakter.","")))</f>
        <v/>
      </c>
      <c r="AS1036" t="str">
        <f>IFERROR(MATCH(ROW()-1,Calc!$J$2:$J$1601,0),"")</f>
        <v/>
      </c>
      <c r="AT1036" t="str">
        <f>IFERROR(MATCH(ROW()-1,Calc!$K$2:$K$1601,0),"")</f>
        <v/>
      </c>
      <c r="AU1036" t="str">
        <f>IF($AS1036="","",IFERROR(INDEX('TMP Paste'!$D$2:$D$1601,$AS1036)*1000000/$AB1036,""))</f>
        <v/>
      </c>
    </row>
    <row r="1037" spans="1:47">
      <c r="A1037" t="str">
        <f>IF($AS1037="","",INDEX('TMP Paste'!$B$2:$B$1601,$AS1037))</f>
        <v/>
      </c>
      <c r="B1037" t="str">
        <f>IF($AS1037="","",Config!$B$14)</f>
        <v/>
      </c>
      <c r="C1037" t="str">
        <f>IF($AS1037="","",Config!$B$15)</f>
        <v/>
      </c>
      <c r="D1037" t="str">
        <f>IF($AS1037="","",INDEX('TMP Paste'!$B$2:$B$1601,$AS1037))</f>
        <v/>
      </c>
      <c r="E1037" t="str">
        <f>IF($AS1037="","",Config!$B$27)</f>
        <v/>
      </c>
      <c r="F1037" t="str">
        <f>IF($AS1037="","",Config!$B$9)</f>
        <v/>
      </c>
      <c r="G1037" t="str">
        <f>IF($AS1037="","",Config!$B$10)</f>
        <v/>
      </c>
      <c r="H1037" t="str">
        <f>IF($AS1037="","",Config!$B$11)</f>
        <v/>
      </c>
      <c r="I1037" t="str">
        <f>IF($AS1037="","",Config!$B$16)</f>
        <v/>
      </c>
      <c r="J1037" t="str">
        <f>IF($AS1037="","",INDEX('TMP Paste'!$A$2:$A$1601,$AS1037))</f>
        <v/>
      </c>
      <c r="K1037" t="str">
        <f>IF($AS1037="","",INDEX('TMP Paste'!$L$2:$L$1601,$AS1037))</f>
        <v/>
      </c>
      <c r="L1037" t="str">
        <f>IF($AS1037="","",INDEX('TMP Paste'!$I$2:$I$1601,$AS1037))</f>
        <v/>
      </c>
      <c r="M1037" t="str">
        <f>IF($AS1037="","",Config!$B$16)</f>
        <v/>
      </c>
      <c r="N1037" t="str">
        <f t="shared" si="96"/>
        <v/>
      </c>
      <c r="O1037" t="str">
        <f>IF($AS1037="","",INDEX('TMP Paste'!$K$2:$K$1601,$AS1037))</f>
        <v/>
      </c>
      <c r="P1037" t="str">
        <f t="shared" si="97"/>
        <v/>
      </c>
      <c r="Q1037" t="str">
        <f>IF($AS1037="","",INDEX('TMP Paste'!$J$2:$J$1601,$AS1037))</f>
        <v/>
      </c>
      <c r="R1037" t="str">
        <f>IF($AS1037="","",Config!$B$24)</f>
        <v/>
      </c>
      <c r="S1037" t="str">
        <f ca="1">IF($AS1037="","",TEXT(Config!$B$4,"yyyy-mm-dd"))</f>
        <v/>
      </c>
      <c r="T1037" t="str">
        <f>IF($AS1037="","",Config!$B$17)</f>
        <v/>
      </c>
      <c r="U1037" t="str">
        <f>IF($AS1037="","",Config!$B$18)</f>
        <v/>
      </c>
      <c r="V1037" t="str">
        <f>IF($AS1037="","",Config!$B$19)</f>
        <v/>
      </c>
      <c r="W1037" t="str">
        <f>IF($AS1037="","",INDEX('TMP Paste'!$C$2:$C$1601,$AS1037))</f>
        <v/>
      </c>
      <c r="X1037" t="str">
        <f>IF($AS1037="","",Config!$B$29)</f>
        <v/>
      </c>
      <c r="Y1037" t="str">
        <f>IF($AT1037="","",INDEX(Calc!$I$2:$I$1601,$AT1037)&amp;" - "&amp;INDEX(Calc!$D$2:$D$1601,$AT1037)&amp;" koli")</f>
        <v/>
      </c>
      <c r="Z1037" t="str">
        <f>IF($AS1037="","",Config!$B$21)</f>
        <v/>
      </c>
      <c r="AA1037" t="str">
        <f>IF($AS1037="","",Config!$B$22)</f>
        <v/>
      </c>
      <c r="AB1037" t="str">
        <f>IF($AT1037="","",INDEX(Calc!$D$2:$D$1601,$AT1037))</f>
        <v/>
      </c>
      <c r="AC1037" t="str">
        <f>IF($AT1037="","",INDEX(Calc!$G$2:$G$1601,$AT1037))</f>
        <v/>
      </c>
      <c r="AD1037" t="str">
        <f>IF($AS1037="","",Config!$B$23)</f>
        <v/>
      </c>
      <c r="AE1037" t="str">
        <f>IF($AS1037="","",Config!$B$28)</f>
        <v/>
      </c>
      <c r="AF1037" t="str">
        <f t="shared" si="98"/>
        <v/>
      </c>
      <c r="AG1037" t="str">
        <f t="shared" si="99"/>
        <v/>
      </c>
      <c r="AH1037" t="str">
        <f t="shared" si="100"/>
        <v/>
      </c>
      <c r="AI1037" t="str">
        <f>IF($AG1037="","",SUMIF($AG$2:$AG1037,$AG1037,$AH$2:$AH1037))</f>
        <v/>
      </c>
      <c r="AJ1037" t="str">
        <f>IF('TMP Paste'!$F1037="","",IF('TMP Paste'!$B1037="",$AJ1036,'TMP Paste'!$B1037))</f>
        <v/>
      </c>
      <c r="AK1037" t="str">
        <f>IF('TMP Paste'!$F1037="","",N('TMP Paste'!$G1037))</f>
        <v/>
      </c>
      <c r="AL1037" t="str">
        <f>IF('TMP Paste'!$F1037="","",IF('TMP Paste'!$M1037="",$AL1036,'TMP Paste'!$M1037))</f>
        <v/>
      </c>
      <c r="AM1037" t="str">
        <f>IF('TMP Paste'!$F1037="","",IF('TMP Paste'!$N1037="",$AM1036,'TMP Paste'!$N1037))</f>
        <v/>
      </c>
      <c r="AN1037" t="str">
        <f>IF('TMP Paste'!$F1037="","",IF('TMP Paste'!$O1037="",$AN1036,'TMP Paste'!$O1037))</f>
        <v/>
      </c>
      <c r="AO1037" t="str">
        <f>IF('TMP Paste'!$F1037="","",IF('TMP Paste'!$P1037="",$AO1036,'TMP Paste'!$P1037))</f>
        <v/>
      </c>
      <c r="AP1037" t="str">
        <f t="shared" si="101"/>
        <v/>
      </c>
      <c r="AQ1037" t="str">
        <f>IF($AS1037="","",TRIM(IF(COUNTIFS(Calc!$B$2:$B$1601,ROW()-1,Calc!$C$2:$C$1601,"&lt;1")&gt;0,"Ada PO tanpa Koli - cek TMP. ","")&amp;IF(OR($AU1037="",$AU1037&lt;=0),"Volume kosong/0 - dimensi dikosongkan. ","")&amp;IF(AND($AU1037&lt;&gt;"",$AU1037&gt;=1000000),"Volume &gt;= 1.000.000 cm3 (di luar aturan) - dimensi dikosongkan. ","")&amp;IF(LEN($R1037)&gt;500,"R &gt; 500 karakter.","")))</f>
        <v/>
      </c>
      <c r="AS1037" t="str">
        <f>IFERROR(MATCH(ROW()-1,Calc!$J$2:$J$1601,0),"")</f>
        <v/>
      </c>
      <c r="AT1037" t="str">
        <f>IFERROR(MATCH(ROW()-1,Calc!$K$2:$K$1601,0),"")</f>
        <v/>
      </c>
      <c r="AU1037" t="str">
        <f>IF($AS1037="","",IFERROR(INDEX('TMP Paste'!$D$2:$D$1601,$AS1037)*1000000/$AB1037,""))</f>
        <v/>
      </c>
    </row>
    <row r="1038" spans="1:47">
      <c r="A1038" t="str">
        <f>IF($AS1038="","",INDEX('TMP Paste'!$B$2:$B$1601,$AS1038))</f>
        <v/>
      </c>
      <c r="B1038" t="str">
        <f>IF($AS1038="","",Config!$B$14)</f>
        <v/>
      </c>
      <c r="C1038" t="str">
        <f>IF($AS1038="","",Config!$B$15)</f>
        <v/>
      </c>
      <c r="D1038" t="str">
        <f>IF($AS1038="","",INDEX('TMP Paste'!$B$2:$B$1601,$AS1038))</f>
        <v/>
      </c>
      <c r="E1038" t="str">
        <f>IF($AS1038="","",Config!$B$27)</f>
        <v/>
      </c>
      <c r="F1038" t="str">
        <f>IF($AS1038="","",Config!$B$9)</f>
        <v/>
      </c>
      <c r="G1038" t="str">
        <f>IF($AS1038="","",Config!$B$10)</f>
        <v/>
      </c>
      <c r="H1038" t="str">
        <f>IF($AS1038="","",Config!$B$11)</f>
        <v/>
      </c>
      <c r="I1038" t="str">
        <f>IF($AS1038="","",Config!$B$16)</f>
        <v/>
      </c>
      <c r="J1038" t="str">
        <f>IF($AS1038="","",INDEX('TMP Paste'!$A$2:$A$1601,$AS1038))</f>
        <v/>
      </c>
      <c r="K1038" t="str">
        <f>IF($AS1038="","",INDEX('TMP Paste'!$L$2:$L$1601,$AS1038))</f>
        <v/>
      </c>
      <c r="L1038" t="str">
        <f>IF($AS1038="","",INDEX('TMP Paste'!$I$2:$I$1601,$AS1038))</f>
        <v/>
      </c>
      <c r="M1038" t="str">
        <f>IF($AS1038="","",Config!$B$16)</f>
        <v/>
      </c>
      <c r="N1038" t="str">
        <f t="shared" si="96"/>
        <v/>
      </c>
      <c r="O1038" t="str">
        <f>IF($AS1038="","",INDEX('TMP Paste'!$K$2:$K$1601,$AS1038))</f>
        <v/>
      </c>
      <c r="P1038" t="str">
        <f t="shared" si="97"/>
        <v/>
      </c>
      <c r="Q1038" t="str">
        <f>IF($AS1038="","",INDEX('TMP Paste'!$J$2:$J$1601,$AS1038))</f>
        <v/>
      </c>
      <c r="R1038" t="str">
        <f>IF($AS1038="","",Config!$B$24)</f>
        <v/>
      </c>
      <c r="S1038" t="str">
        <f ca="1">IF($AS1038="","",TEXT(Config!$B$4,"yyyy-mm-dd"))</f>
        <v/>
      </c>
      <c r="T1038" t="str">
        <f>IF($AS1038="","",Config!$B$17)</f>
        <v/>
      </c>
      <c r="U1038" t="str">
        <f>IF($AS1038="","",Config!$B$18)</f>
        <v/>
      </c>
      <c r="V1038" t="str">
        <f>IF($AS1038="","",Config!$B$19)</f>
        <v/>
      </c>
      <c r="W1038" t="str">
        <f>IF($AS1038="","",INDEX('TMP Paste'!$C$2:$C$1601,$AS1038))</f>
        <v/>
      </c>
      <c r="X1038" t="str">
        <f>IF($AS1038="","",Config!$B$29)</f>
        <v/>
      </c>
      <c r="Y1038" t="str">
        <f>IF($AT1038="","",INDEX(Calc!$I$2:$I$1601,$AT1038)&amp;" - "&amp;INDEX(Calc!$D$2:$D$1601,$AT1038)&amp;" koli")</f>
        <v/>
      </c>
      <c r="Z1038" t="str">
        <f>IF($AS1038="","",Config!$B$21)</f>
        <v/>
      </c>
      <c r="AA1038" t="str">
        <f>IF($AS1038="","",Config!$B$22)</f>
        <v/>
      </c>
      <c r="AB1038" t="str">
        <f>IF($AT1038="","",INDEX(Calc!$D$2:$D$1601,$AT1038))</f>
        <v/>
      </c>
      <c r="AC1038" t="str">
        <f>IF($AT1038="","",INDEX(Calc!$G$2:$G$1601,$AT1038))</f>
        <v/>
      </c>
      <c r="AD1038" t="str">
        <f>IF($AS1038="","",Config!$B$23)</f>
        <v/>
      </c>
      <c r="AE1038" t="str">
        <f>IF($AS1038="","",Config!$B$28)</f>
        <v/>
      </c>
      <c r="AF1038" t="str">
        <f t="shared" si="98"/>
        <v/>
      </c>
      <c r="AG1038" t="str">
        <f t="shared" si="99"/>
        <v/>
      </c>
      <c r="AH1038" t="str">
        <f t="shared" si="100"/>
        <v/>
      </c>
      <c r="AI1038" t="str">
        <f>IF($AG1038="","",SUMIF($AG$2:$AG1038,$AG1038,$AH$2:$AH1038))</f>
        <v/>
      </c>
      <c r="AJ1038" t="str">
        <f>IF('TMP Paste'!$F1038="","",IF('TMP Paste'!$B1038="",$AJ1037,'TMP Paste'!$B1038))</f>
        <v/>
      </c>
      <c r="AK1038" t="str">
        <f>IF('TMP Paste'!$F1038="","",N('TMP Paste'!$G1038))</f>
        <v/>
      </c>
      <c r="AL1038" t="str">
        <f>IF('TMP Paste'!$F1038="","",IF('TMP Paste'!$M1038="",$AL1037,'TMP Paste'!$M1038))</f>
        <v/>
      </c>
      <c r="AM1038" t="str">
        <f>IF('TMP Paste'!$F1038="","",IF('TMP Paste'!$N1038="",$AM1037,'TMP Paste'!$N1038))</f>
        <v/>
      </c>
      <c r="AN1038" t="str">
        <f>IF('TMP Paste'!$F1038="","",IF('TMP Paste'!$O1038="",$AN1037,'TMP Paste'!$O1038))</f>
        <v/>
      </c>
      <c r="AO1038" t="str">
        <f>IF('TMP Paste'!$F1038="","",IF('TMP Paste'!$P1038="",$AO1037,'TMP Paste'!$P1038))</f>
        <v/>
      </c>
      <c r="AP1038" t="str">
        <f t="shared" si="101"/>
        <v/>
      </c>
      <c r="AQ1038" t="str">
        <f>IF($AS1038="","",TRIM(IF(COUNTIFS(Calc!$B$2:$B$1601,ROW()-1,Calc!$C$2:$C$1601,"&lt;1")&gt;0,"Ada PO tanpa Koli - cek TMP. ","")&amp;IF(OR($AU1038="",$AU1038&lt;=0),"Volume kosong/0 - dimensi dikosongkan. ","")&amp;IF(AND($AU1038&lt;&gt;"",$AU1038&gt;=1000000),"Volume &gt;= 1.000.000 cm3 (di luar aturan) - dimensi dikosongkan. ","")&amp;IF(LEN($R1038)&gt;500,"R &gt; 500 karakter.","")))</f>
        <v/>
      </c>
      <c r="AS1038" t="str">
        <f>IFERROR(MATCH(ROW()-1,Calc!$J$2:$J$1601,0),"")</f>
        <v/>
      </c>
      <c r="AT1038" t="str">
        <f>IFERROR(MATCH(ROW()-1,Calc!$K$2:$K$1601,0),"")</f>
        <v/>
      </c>
      <c r="AU1038" t="str">
        <f>IF($AS1038="","",IFERROR(INDEX('TMP Paste'!$D$2:$D$1601,$AS1038)*1000000/$AB1038,""))</f>
        <v/>
      </c>
    </row>
    <row r="1039" spans="1:47">
      <c r="A1039" t="str">
        <f>IF($AS1039="","",INDEX('TMP Paste'!$B$2:$B$1601,$AS1039))</f>
        <v/>
      </c>
      <c r="B1039" t="str">
        <f>IF($AS1039="","",Config!$B$14)</f>
        <v/>
      </c>
      <c r="C1039" t="str">
        <f>IF($AS1039="","",Config!$B$15)</f>
        <v/>
      </c>
      <c r="D1039" t="str">
        <f>IF($AS1039="","",INDEX('TMP Paste'!$B$2:$B$1601,$AS1039))</f>
        <v/>
      </c>
      <c r="E1039" t="str">
        <f>IF($AS1039="","",Config!$B$27)</f>
        <v/>
      </c>
      <c r="F1039" t="str">
        <f>IF($AS1039="","",Config!$B$9)</f>
        <v/>
      </c>
      <c r="G1039" t="str">
        <f>IF($AS1039="","",Config!$B$10)</f>
        <v/>
      </c>
      <c r="H1039" t="str">
        <f>IF($AS1039="","",Config!$B$11)</f>
        <v/>
      </c>
      <c r="I1039" t="str">
        <f>IF($AS1039="","",Config!$B$16)</f>
        <v/>
      </c>
      <c r="J1039" t="str">
        <f>IF($AS1039="","",INDEX('TMP Paste'!$A$2:$A$1601,$AS1039))</f>
        <v/>
      </c>
      <c r="K1039" t="str">
        <f>IF($AS1039="","",INDEX('TMP Paste'!$L$2:$L$1601,$AS1039))</f>
        <v/>
      </c>
      <c r="L1039" t="str">
        <f>IF($AS1039="","",INDEX('TMP Paste'!$I$2:$I$1601,$AS1039))</f>
        <v/>
      </c>
      <c r="M1039" t="str">
        <f>IF($AS1039="","",Config!$B$16)</f>
        <v/>
      </c>
      <c r="N1039" t="str">
        <f t="shared" si="96"/>
        <v/>
      </c>
      <c r="O1039" t="str">
        <f>IF($AS1039="","",INDEX('TMP Paste'!$K$2:$K$1601,$AS1039))</f>
        <v/>
      </c>
      <c r="P1039" t="str">
        <f t="shared" si="97"/>
        <v/>
      </c>
      <c r="Q1039" t="str">
        <f>IF($AS1039="","",INDEX('TMP Paste'!$J$2:$J$1601,$AS1039))</f>
        <v/>
      </c>
      <c r="R1039" t="str">
        <f>IF($AS1039="","",Config!$B$24)</f>
        <v/>
      </c>
      <c r="S1039" t="str">
        <f ca="1">IF($AS1039="","",TEXT(Config!$B$4,"yyyy-mm-dd"))</f>
        <v/>
      </c>
      <c r="T1039" t="str">
        <f>IF($AS1039="","",Config!$B$17)</f>
        <v/>
      </c>
      <c r="U1039" t="str">
        <f>IF($AS1039="","",Config!$B$18)</f>
        <v/>
      </c>
      <c r="V1039" t="str">
        <f>IF($AS1039="","",Config!$B$19)</f>
        <v/>
      </c>
      <c r="W1039" t="str">
        <f>IF($AS1039="","",INDEX('TMP Paste'!$C$2:$C$1601,$AS1039))</f>
        <v/>
      </c>
      <c r="X1039" t="str">
        <f>IF($AS1039="","",Config!$B$29)</f>
        <v/>
      </c>
      <c r="Y1039" t="str">
        <f>IF($AT1039="","",INDEX(Calc!$I$2:$I$1601,$AT1039)&amp;" - "&amp;INDEX(Calc!$D$2:$D$1601,$AT1039)&amp;" koli")</f>
        <v/>
      </c>
      <c r="Z1039" t="str">
        <f>IF($AS1039="","",Config!$B$21)</f>
        <v/>
      </c>
      <c r="AA1039" t="str">
        <f>IF($AS1039="","",Config!$B$22)</f>
        <v/>
      </c>
      <c r="AB1039" t="str">
        <f>IF($AT1039="","",INDEX(Calc!$D$2:$D$1601,$AT1039))</f>
        <v/>
      </c>
      <c r="AC1039" t="str">
        <f>IF($AT1039="","",INDEX(Calc!$G$2:$G$1601,$AT1039))</f>
        <v/>
      </c>
      <c r="AD1039" t="str">
        <f>IF($AS1039="","",Config!$B$23)</f>
        <v/>
      </c>
      <c r="AE1039" t="str">
        <f>IF($AS1039="","",Config!$B$28)</f>
        <v/>
      </c>
      <c r="AF1039" t="str">
        <f t="shared" si="98"/>
        <v/>
      </c>
      <c r="AG1039" t="str">
        <f t="shared" si="99"/>
        <v/>
      </c>
      <c r="AH1039" t="str">
        <f t="shared" si="100"/>
        <v/>
      </c>
      <c r="AI1039" t="str">
        <f>IF($AG1039="","",SUMIF($AG$2:$AG1039,$AG1039,$AH$2:$AH1039))</f>
        <v/>
      </c>
      <c r="AJ1039" t="str">
        <f>IF('TMP Paste'!$F1039="","",IF('TMP Paste'!$B1039="",$AJ1038,'TMP Paste'!$B1039))</f>
        <v/>
      </c>
      <c r="AK1039" t="str">
        <f>IF('TMP Paste'!$F1039="","",N('TMP Paste'!$G1039))</f>
        <v/>
      </c>
      <c r="AL1039" t="str">
        <f>IF('TMP Paste'!$F1039="","",IF('TMP Paste'!$M1039="",$AL1038,'TMP Paste'!$M1039))</f>
        <v/>
      </c>
      <c r="AM1039" t="str">
        <f>IF('TMP Paste'!$F1039="","",IF('TMP Paste'!$N1039="",$AM1038,'TMP Paste'!$N1039))</f>
        <v/>
      </c>
      <c r="AN1039" t="str">
        <f>IF('TMP Paste'!$F1039="","",IF('TMP Paste'!$O1039="",$AN1038,'TMP Paste'!$O1039))</f>
        <v/>
      </c>
      <c r="AO1039" t="str">
        <f>IF('TMP Paste'!$F1039="","",IF('TMP Paste'!$P1039="",$AO1038,'TMP Paste'!$P1039))</f>
        <v/>
      </c>
      <c r="AP1039" t="str">
        <f t="shared" si="101"/>
        <v/>
      </c>
      <c r="AQ1039" t="str">
        <f>IF($AS1039="","",TRIM(IF(COUNTIFS(Calc!$B$2:$B$1601,ROW()-1,Calc!$C$2:$C$1601,"&lt;1")&gt;0,"Ada PO tanpa Koli - cek TMP. ","")&amp;IF(OR($AU1039="",$AU1039&lt;=0),"Volume kosong/0 - dimensi dikosongkan. ","")&amp;IF(AND($AU1039&lt;&gt;"",$AU1039&gt;=1000000),"Volume &gt;= 1.000.000 cm3 (di luar aturan) - dimensi dikosongkan. ","")&amp;IF(LEN($R1039)&gt;500,"R &gt; 500 karakter.","")))</f>
        <v/>
      </c>
      <c r="AS1039" t="str">
        <f>IFERROR(MATCH(ROW()-1,Calc!$J$2:$J$1601,0),"")</f>
        <v/>
      </c>
      <c r="AT1039" t="str">
        <f>IFERROR(MATCH(ROW()-1,Calc!$K$2:$K$1601,0),"")</f>
        <v/>
      </c>
      <c r="AU1039" t="str">
        <f>IF($AS1039="","",IFERROR(INDEX('TMP Paste'!$D$2:$D$1601,$AS1039)*1000000/$AB1039,""))</f>
        <v/>
      </c>
    </row>
    <row r="1040" spans="1:47">
      <c r="A1040" t="str">
        <f>IF($AS1040="","",INDEX('TMP Paste'!$B$2:$B$1601,$AS1040))</f>
        <v/>
      </c>
      <c r="B1040" t="str">
        <f>IF($AS1040="","",Config!$B$14)</f>
        <v/>
      </c>
      <c r="C1040" t="str">
        <f>IF($AS1040="","",Config!$B$15)</f>
        <v/>
      </c>
      <c r="D1040" t="str">
        <f>IF($AS1040="","",INDEX('TMP Paste'!$B$2:$B$1601,$AS1040))</f>
        <v/>
      </c>
      <c r="E1040" t="str">
        <f>IF($AS1040="","",Config!$B$27)</f>
        <v/>
      </c>
      <c r="F1040" t="str">
        <f>IF($AS1040="","",Config!$B$9)</f>
        <v/>
      </c>
      <c r="G1040" t="str">
        <f>IF($AS1040="","",Config!$B$10)</f>
        <v/>
      </c>
      <c r="H1040" t="str">
        <f>IF($AS1040="","",Config!$B$11)</f>
        <v/>
      </c>
      <c r="I1040" t="str">
        <f>IF($AS1040="","",Config!$B$16)</f>
        <v/>
      </c>
      <c r="J1040" t="str">
        <f>IF($AS1040="","",INDEX('TMP Paste'!$A$2:$A$1601,$AS1040))</f>
        <v/>
      </c>
      <c r="K1040" t="str">
        <f>IF($AS1040="","",INDEX('TMP Paste'!$L$2:$L$1601,$AS1040))</f>
        <v/>
      </c>
      <c r="L1040" t="str">
        <f>IF($AS1040="","",INDEX('TMP Paste'!$I$2:$I$1601,$AS1040))</f>
        <v/>
      </c>
      <c r="M1040" t="str">
        <f>IF($AS1040="","",Config!$B$16)</f>
        <v/>
      </c>
      <c r="N1040" t="str">
        <f t="shared" si="96"/>
        <v/>
      </c>
      <c r="O1040" t="str">
        <f>IF($AS1040="","",INDEX('TMP Paste'!$K$2:$K$1601,$AS1040))</f>
        <v/>
      </c>
      <c r="P1040" t="str">
        <f t="shared" si="97"/>
        <v/>
      </c>
      <c r="Q1040" t="str">
        <f>IF($AS1040="","",INDEX('TMP Paste'!$J$2:$J$1601,$AS1040))</f>
        <v/>
      </c>
      <c r="R1040" t="str">
        <f>IF($AS1040="","",Config!$B$24)</f>
        <v/>
      </c>
      <c r="S1040" t="str">
        <f ca="1">IF($AS1040="","",TEXT(Config!$B$4,"yyyy-mm-dd"))</f>
        <v/>
      </c>
      <c r="T1040" t="str">
        <f>IF($AS1040="","",Config!$B$17)</f>
        <v/>
      </c>
      <c r="U1040" t="str">
        <f>IF($AS1040="","",Config!$B$18)</f>
        <v/>
      </c>
      <c r="V1040" t="str">
        <f>IF($AS1040="","",Config!$B$19)</f>
        <v/>
      </c>
      <c r="W1040" t="str">
        <f>IF($AS1040="","",INDEX('TMP Paste'!$C$2:$C$1601,$AS1040))</f>
        <v/>
      </c>
      <c r="X1040" t="str">
        <f>IF($AS1040="","",Config!$B$29)</f>
        <v/>
      </c>
      <c r="Y1040" t="str">
        <f>IF($AT1040="","",INDEX(Calc!$I$2:$I$1601,$AT1040)&amp;" - "&amp;INDEX(Calc!$D$2:$D$1601,$AT1040)&amp;" koli")</f>
        <v/>
      </c>
      <c r="Z1040" t="str">
        <f>IF($AS1040="","",Config!$B$21)</f>
        <v/>
      </c>
      <c r="AA1040" t="str">
        <f>IF($AS1040="","",Config!$B$22)</f>
        <v/>
      </c>
      <c r="AB1040" t="str">
        <f>IF($AT1040="","",INDEX(Calc!$D$2:$D$1601,$AT1040))</f>
        <v/>
      </c>
      <c r="AC1040" t="str">
        <f>IF($AT1040="","",INDEX(Calc!$G$2:$G$1601,$AT1040))</f>
        <v/>
      </c>
      <c r="AD1040" t="str">
        <f>IF($AS1040="","",Config!$B$23)</f>
        <v/>
      </c>
      <c r="AE1040" t="str">
        <f>IF($AS1040="","",Config!$B$28)</f>
        <v/>
      </c>
      <c r="AF1040" t="str">
        <f t="shared" si="98"/>
        <v/>
      </c>
      <c r="AG1040" t="str">
        <f t="shared" si="99"/>
        <v/>
      </c>
      <c r="AH1040" t="str">
        <f t="shared" si="100"/>
        <v/>
      </c>
      <c r="AI1040" t="str">
        <f>IF($AG1040="","",SUMIF($AG$2:$AG1040,$AG1040,$AH$2:$AH1040))</f>
        <v/>
      </c>
      <c r="AJ1040" t="str">
        <f>IF('TMP Paste'!$F1040="","",IF('TMP Paste'!$B1040="",$AJ1039,'TMP Paste'!$B1040))</f>
        <v/>
      </c>
      <c r="AK1040" t="str">
        <f>IF('TMP Paste'!$F1040="","",N('TMP Paste'!$G1040))</f>
        <v/>
      </c>
      <c r="AL1040" t="str">
        <f>IF('TMP Paste'!$F1040="","",IF('TMP Paste'!$M1040="",$AL1039,'TMP Paste'!$M1040))</f>
        <v/>
      </c>
      <c r="AM1040" t="str">
        <f>IF('TMP Paste'!$F1040="","",IF('TMP Paste'!$N1040="",$AM1039,'TMP Paste'!$N1040))</f>
        <v/>
      </c>
      <c r="AN1040" t="str">
        <f>IF('TMP Paste'!$F1040="","",IF('TMP Paste'!$O1040="",$AN1039,'TMP Paste'!$O1040))</f>
        <v/>
      </c>
      <c r="AO1040" t="str">
        <f>IF('TMP Paste'!$F1040="","",IF('TMP Paste'!$P1040="",$AO1039,'TMP Paste'!$P1040))</f>
        <v/>
      </c>
      <c r="AP1040" t="str">
        <f t="shared" si="101"/>
        <v/>
      </c>
      <c r="AQ1040" t="str">
        <f>IF($AS1040="","",TRIM(IF(COUNTIFS(Calc!$B$2:$B$1601,ROW()-1,Calc!$C$2:$C$1601,"&lt;1")&gt;0,"Ada PO tanpa Koli - cek TMP. ","")&amp;IF(OR($AU1040="",$AU1040&lt;=0),"Volume kosong/0 - dimensi dikosongkan. ","")&amp;IF(AND($AU1040&lt;&gt;"",$AU1040&gt;=1000000),"Volume &gt;= 1.000.000 cm3 (di luar aturan) - dimensi dikosongkan. ","")&amp;IF(LEN($R1040)&gt;500,"R &gt; 500 karakter.","")))</f>
        <v/>
      </c>
      <c r="AS1040" t="str">
        <f>IFERROR(MATCH(ROW()-1,Calc!$J$2:$J$1601,0),"")</f>
        <v/>
      </c>
      <c r="AT1040" t="str">
        <f>IFERROR(MATCH(ROW()-1,Calc!$K$2:$K$1601,0),"")</f>
        <v/>
      </c>
      <c r="AU1040" t="str">
        <f>IF($AS1040="","",IFERROR(INDEX('TMP Paste'!$D$2:$D$1601,$AS1040)*1000000/$AB1040,""))</f>
        <v/>
      </c>
    </row>
    <row r="1041" spans="1:47">
      <c r="A1041" t="str">
        <f>IF($AS1041="","",INDEX('TMP Paste'!$B$2:$B$1601,$AS1041))</f>
        <v/>
      </c>
      <c r="B1041" t="str">
        <f>IF($AS1041="","",Config!$B$14)</f>
        <v/>
      </c>
      <c r="C1041" t="str">
        <f>IF($AS1041="","",Config!$B$15)</f>
        <v/>
      </c>
      <c r="D1041" t="str">
        <f>IF($AS1041="","",INDEX('TMP Paste'!$B$2:$B$1601,$AS1041))</f>
        <v/>
      </c>
      <c r="E1041" t="str">
        <f>IF($AS1041="","",Config!$B$27)</f>
        <v/>
      </c>
      <c r="F1041" t="str">
        <f>IF($AS1041="","",Config!$B$9)</f>
        <v/>
      </c>
      <c r="G1041" t="str">
        <f>IF($AS1041="","",Config!$B$10)</f>
        <v/>
      </c>
      <c r="H1041" t="str">
        <f>IF($AS1041="","",Config!$B$11)</f>
        <v/>
      </c>
      <c r="I1041" t="str">
        <f>IF($AS1041="","",Config!$B$16)</f>
        <v/>
      </c>
      <c r="J1041" t="str">
        <f>IF($AS1041="","",INDEX('TMP Paste'!$A$2:$A$1601,$AS1041))</f>
        <v/>
      </c>
      <c r="K1041" t="str">
        <f>IF($AS1041="","",INDEX('TMP Paste'!$L$2:$L$1601,$AS1041))</f>
        <v/>
      </c>
      <c r="L1041" t="str">
        <f>IF($AS1041="","",INDEX('TMP Paste'!$I$2:$I$1601,$AS1041))</f>
        <v/>
      </c>
      <c r="M1041" t="str">
        <f>IF($AS1041="","",Config!$B$16)</f>
        <v/>
      </c>
      <c r="N1041" t="str">
        <f t="shared" si="96"/>
        <v/>
      </c>
      <c r="O1041" t="str">
        <f>IF($AS1041="","",INDEX('TMP Paste'!$K$2:$K$1601,$AS1041))</f>
        <v/>
      </c>
      <c r="P1041" t="str">
        <f t="shared" si="97"/>
        <v/>
      </c>
      <c r="Q1041" t="str">
        <f>IF($AS1041="","",INDEX('TMP Paste'!$J$2:$J$1601,$AS1041))</f>
        <v/>
      </c>
      <c r="R1041" t="str">
        <f>IF($AS1041="","",Config!$B$24)</f>
        <v/>
      </c>
      <c r="S1041" t="str">
        <f ca="1">IF($AS1041="","",TEXT(Config!$B$4,"yyyy-mm-dd"))</f>
        <v/>
      </c>
      <c r="T1041" t="str">
        <f>IF($AS1041="","",Config!$B$17)</f>
        <v/>
      </c>
      <c r="U1041" t="str">
        <f>IF($AS1041="","",Config!$B$18)</f>
        <v/>
      </c>
      <c r="V1041" t="str">
        <f>IF($AS1041="","",Config!$B$19)</f>
        <v/>
      </c>
      <c r="W1041" t="str">
        <f>IF($AS1041="","",INDEX('TMP Paste'!$C$2:$C$1601,$AS1041))</f>
        <v/>
      </c>
      <c r="X1041" t="str">
        <f>IF($AS1041="","",Config!$B$29)</f>
        <v/>
      </c>
      <c r="Y1041" t="str">
        <f>IF($AT1041="","",INDEX(Calc!$I$2:$I$1601,$AT1041)&amp;" - "&amp;INDEX(Calc!$D$2:$D$1601,$AT1041)&amp;" koli")</f>
        <v/>
      </c>
      <c r="Z1041" t="str">
        <f>IF($AS1041="","",Config!$B$21)</f>
        <v/>
      </c>
      <c r="AA1041" t="str">
        <f>IF($AS1041="","",Config!$B$22)</f>
        <v/>
      </c>
      <c r="AB1041" t="str">
        <f>IF($AT1041="","",INDEX(Calc!$D$2:$D$1601,$AT1041))</f>
        <v/>
      </c>
      <c r="AC1041" t="str">
        <f>IF($AT1041="","",INDEX(Calc!$G$2:$G$1601,$AT1041))</f>
        <v/>
      </c>
      <c r="AD1041" t="str">
        <f>IF($AS1041="","",Config!$B$23)</f>
        <v/>
      </c>
      <c r="AE1041" t="str">
        <f>IF($AS1041="","",Config!$B$28)</f>
        <v/>
      </c>
      <c r="AF1041" t="str">
        <f t="shared" si="98"/>
        <v/>
      </c>
      <c r="AG1041" t="str">
        <f t="shared" si="99"/>
        <v/>
      </c>
      <c r="AH1041" t="str">
        <f t="shared" si="100"/>
        <v/>
      </c>
      <c r="AI1041" t="str">
        <f>IF($AG1041="","",SUMIF($AG$2:$AG1041,$AG1041,$AH$2:$AH1041))</f>
        <v/>
      </c>
      <c r="AJ1041" t="str">
        <f>IF('TMP Paste'!$F1041="","",IF('TMP Paste'!$B1041="",$AJ1040,'TMP Paste'!$B1041))</f>
        <v/>
      </c>
      <c r="AK1041" t="str">
        <f>IF('TMP Paste'!$F1041="","",N('TMP Paste'!$G1041))</f>
        <v/>
      </c>
      <c r="AL1041" t="str">
        <f>IF('TMP Paste'!$F1041="","",IF('TMP Paste'!$M1041="",$AL1040,'TMP Paste'!$M1041))</f>
        <v/>
      </c>
      <c r="AM1041" t="str">
        <f>IF('TMP Paste'!$F1041="","",IF('TMP Paste'!$N1041="",$AM1040,'TMP Paste'!$N1041))</f>
        <v/>
      </c>
      <c r="AN1041" t="str">
        <f>IF('TMP Paste'!$F1041="","",IF('TMP Paste'!$O1041="",$AN1040,'TMP Paste'!$O1041))</f>
        <v/>
      </c>
      <c r="AO1041" t="str">
        <f>IF('TMP Paste'!$F1041="","",IF('TMP Paste'!$P1041="",$AO1040,'TMP Paste'!$P1041))</f>
        <v/>
      </c>
      <c r="AP1041" t="str">
        <f t="shared" si="101"/>
        <v/>
      </c>
      <c r="AQ1041" t="str">
        <f>IF($AS1041="","",TRIM(IF(COUNTIFS(Calc!$B$2:$B$1601,ROW()-1,Calc!$C$2:$C$1601,"&lt;1")&gt;0,"Ada PO tanpa Koli - cek TMP. ","")&amp;IF(OR($AU1041="",$AU1041&lt;=0),"Volume kosong/0 - dimensi dikosongkan. ","")&amp;IF(AND($AU1041&lt;&gt;"",$AU1041&gt;=1000000),"Volume &gt;= 1.000.000 cm3 (di luar aturan) - dimensi dikosongkan. ","")&amp;IF(LEN($R1041)&gt;500,"R &gt; 500 karakter.","")))</f>
        <v/>
      </c>
      <c r="AS1041" t="str">
        <f>IFERROR(MATCH(ROW()-1,Calc!$J$2:$J$1601,0),"")</f>
        <v/>
      </c>
      <c r="AT1041" t="str">
        <f>IFERROR(MATCH(ROW()-1,Calc!$K$2:$K$1601,0),"")</f>
        <v/>
      </c>
      <c r="AU1041" t="str">
        <f>IF($AS1041="","",IFERROR(INDEX('TMP Paste'!$D$2:$D$1601,$AS1041)*1000000/$AB1041,""))</f>
        <v/>
      </c>
    </row>
    <row r="1042" spans="1:47">
      <c r="A1042" t="str">
        <f>IF($AS1042="","",INDEX('TMP Paste'!$B$2:$B$1601,$AS1042))</f>
        <v/>
      </c>
      <c r="B1042" t="str">
        <f>IF($AS1042="","",Config!$B$14)</f>
        <v/>
      </c>
      <c r="C1042" t="str">
        <f>IF($AS1042="","",Config!$B$15)</f>
        <v/>
      </c>
      <c r="D1042" t="str">
        <f>IF($AS1042="","",INDEX('TMP Paste'!$B$2:$B$1601,$AS1042))</f>
        <v/>
      </c>
      <c r="E1042" t="str">
        <f>IF($AS1042="","",Config!$B$27)</f>
        <v/>
      </c>
      <c r="F1042" t="str">
        <f>IF($AS1042="","",Config!$B$9)</f>
        <v/>
      </c>
      <c r="G1042" t="str">
        <f>IF($AS1042="","",Config!$B$10)</f>
        <v/>
      </c>
      <c r="H1042" t="str">
        <f>IF($AS1042="","",Config!$B$11)</f>
        <v/>
      </c>
      <c r="I1042" t="str">
        <f>IF($AS1042="","",Config!$B$16)</f>
        <v/>
      </c>
      <c r="J1042" t="str">
        <f>IF($AS1042="","",INDEX('TMP Paste'!$A$2:$A$1601,$AS1042))</f>
        <v/>
      </c>
      <c r="K1042" t="str">
        <f>IF($AS1042="","",INDEX('TMP Paste'!$L$2:$L$1601,$AS1042))</f>
        <v/>
      </c>
      <c r="L1042" t="str">
        <f>IF($AS1042="","",INDEX('TMP Paste'!$I$2:$I$1601,$AS1042))</f>
        <v/>
      </c>
      <c r="M1042" t="str">
        <f>IF($AS1042="","",Config!$B$16)</f>
        <v/>
      </c>
      <c r="N1042" t="str">
        <f t="shared" si="96"/>
        <v/>
      </c>
      <c r="O1042" t="str">
        <f>IF($AS1042="","",INDEX('TMP Paste'!$K$2:$K$1601,$AS1042))</f>
        <v/>
      </c>
      <c r="P1042" t="str">
        <f t="shared" si="97"/>
        <v/>
      </c>
      <c r="Q1042" t="str">
        <f>IF($AS1042="","",INDEX('TMP Paste'!$J$2:$J$1601,$AS1042))</f>
        <v/>
      </c>
      <c r="R1042" t="str">
        <f>IF($AS1042="","",Config!$B$24)</f>
        <v/>
      </c>
      <c r="S1042" t="str">
        <f ca="1">IF($AS1042="","",TEXT(Config!$B$4,"yyyy-mm-dd"))</f>
        <v/>
      </c>
      <c r="T1042" t="str">
        <f>IF($AS1042="","",Config!$B$17)</f>
        <v/>
      </c>
      <c r="U1042" t="str">
        <f>IF($AS1042="","",Config!$B$18)</f>
        <v/>
      </c>
      <c r="V1042" t="str">
        <f>IF($AS1042="","",Config!$B$19)</f>
        <v/>
      </c>
      <c r="W1042" t="str">
        <f>IF($AS1042="","",INDEX('TMP Paste'!$C$2:$C$1601,$AS1042))</f>
        <v/>
      </c>
      <c r="X1042" t="str">
        <f>IF($AS1042="","",Config!$B$29)</f>
        <v/>
      </c>
      <c r="Y1042" t="str">
        <f>IF($AT1042="","",INDEX(Calc!$I$2:$I$1601,$AT1042)&amp;" - "&amp;INDEX(Calc!$D$2:$D$1601,$AT1042)&amp;" koli")</f>
        <v/>
      </c>
      <c r="Z1042" t="str">
        <f>IF($AS1042="","",Config!$B$21)</f>
        <v/>
      </c>
      <c r="AA1042" t="str">
        <f>IF($AS1042="","",Config!$B$22)</f>
        <v/>
      </c>
      <c r="AB1042" t="str">
        <f>IF($AT1042="","",INDEX(Calc!$D$2:$D$1601,$AT1042))</f>
        <v/>
      </c>
      <c r="AC1042" t="str">
        <f>IF($AT1042="","",INDEX(Calc!$G$2:$G$1601,$AT1042))</f>
        <v/>
      </c>
      <c r="AD1042" t="str">
        <f>IF($AS1042="","",Config!$B$23)</f>
        <v/>
      </c>
      <c r="AE1042" t="str">
        <f>IF($AS1042="","",Config!$B$28)</f>
        <v/>
      </c>
      <c r="AF1042" t="str">
        <f t="shared" si="98"/>
        <v/>
      </c>
      <c r="AG1042" t="str">
        <f t="shared" si="99"/>
        <v/>
      </c>
      <c r="AH1042" t="str">
        <f t="shared" si="100"/>
        <v/>
      </c>
      <c r="AI1042" t="str">
        <f>IF($AG1042="","",SUMIF($AG$2:$AG1042,$AG1042,$AH$2:$AH1042))</f>
        <v/>
      </c>
      <c r="AJ1042" t="str">
        <f>IF('TMP Paste'!$F1042="","",IF('TMP Paste'!$B1042="",$AJ1041,'TMP Paste'!$B1042))</f>
        <v/>
      </c>
      <c r="AK1042" t="str">
        <f>IF('TMP Paste'!$F1042="","",N('TMP Paste'!$G1042))</f>
        <v/>
      </c>
      <c r="AL1042" t="str">
        <f>IF('TMP Paste'!$F1042="","",IF('TMP Paste'!$M1042="",$AL1041,'TMP Paste'!$M1042))</f>
        <v/>
      </c>
      <c r="AM1042" t="str">
        <f>IF('TMP Paste'!$F1042="","",IF('TMP Paste'!$N1042="",$AM1041,'TMP Paste'!$N1042))</f>
        <v/>
      </c>
      <c r="AN1042" t="str">
        <f>IF('TMP Paste'!$F1042="","",IF('TMP Paste'!$O1042="",$AN1041,'TMP Paste'!$O1042))</f>
        <v/>
      </c>
      <c r="AO1042" t="str">
        <f>IF('TMP Paste'!$F1042="","",IF('TMP Paste'!$P1042="",$AO1041,'TMP Paste'!$P1042))</f>
        <v/>
      </c>
      <c r="AP1042" t="str">
        <f t="shared" si="101"/>
        <v/>
      </c>
      <c r="AQ1042" t="str">
        <f>IF($AS1042="","",TRIM(IF(COUNTIFS(Calc!$B$2:$B$1601,ROW()-1,Calc!$C$2:$C$1601,"&lt;1")&gt;0,"Ada PO tanpa Koli - cek TMP. ","")&amp;IF(OR($AU1042="",$AU1042&lt;=0),"Volume kosong/0 - dimensi dikosongkan. ","")&amp;IF(AND($AU1042&lt;&gt;"",$AU1042&gt;=1000000),"Volume &gt;= 1.000.000 cm3 (di luar aturan) - dimensi dikosongkan. ","")&amp;IF(LEN($R1042)&gt;500,"R &gt; 500 karakter.","")))</f>
        <v/>
      </c>
      <c r="AS1042" t="str">
        <f>IFERROR(MATCH(ROW()-1,Calc!$J$2:$J$1601,0),"")</f>
        <v/>
      </c>
      <c r="AT1042" t="str">
        <f>IFERROR(MATCH(ROW()-1,Calc!$K$2:$K$1601,0),"")</f>
        <v/>
      </c>
      <c r="AU1042" t="str">
        <f>IF($AS1042="","",IFERROR(INDEX('TMP Paste'!$D$2:$D$1601,$AS1042)*1000000/$AB1042,""))</f>
        <v/>
      </c>
    </row>
    <row r="1043" spans="1:47">
      <c r="A1043" t="str">
        <f>IF($AS1043="","",INDEX('TMP Paste'!$B$2:$B$1601,$AS1043))</f>
        <v/>
      </c>
      <c r="B1043" t="str">
        <f>IF($AS1043="","",Config!$B$14)</f>
        <v/>
      </c>
      <c r="C1043" t="str">
        <f>IF($AS1043="","",Config!$B$15)</f>
        <v/>
      </c>
      <c r="D1043" t="str">
        <f>IF($AS1043="","",INDEX('TMP Paste'!$B$2:$B$1601,$AS1043))</f>
        <v/>
      </c>
      <c r="E1043" t="str">
        <f>IF($AS1043="","",Config!$B$27)</f>
        <v/>
      </c>
      <c r="F1043" t="str">
        <f>IF($AS1043="","",Config!$B$9)</f>
        <v/>
      </c>
      <c r="G1043" t="str">
        <f>IF($AS1043="","",Config!$B$10)</f>
        <v/>
      </c>
      <c r="H1043" t="str">
        <f>IF($AS1043="","",Config!$B$11)</f>
        <v/>
      </c>
      <c r="I1043" t="str">
        <f>IF($AS1043="","",Config!$B$16)</f>
        <v/>
      </c>
      <c r="J1043" t="str">
        <f>IF($AS1043="","",INDEX('TMP Paste'!$A$2:$A$1601,$AS1043))</f>
        <v/>
      </c>
      <c r="K1043" t="str">
        <f>IF($AS1043="","",INDEX('TMP Paste'!$L$2:$L$1601,$AS1043))</f>
        <v/>
      </c>
      <c r="L1043" t="str">
        <f>IF($AS1043="","",INDEX('TMP Paste'!$I$2:$I$1601,$AS1043))</f>
        <v/>
      </c>
      <c r="M1043" t="str">
        <f>IF($AS1043="","",Config!$B$16)</f>
        <v/>
      </c>
      <c r="N1043" t="str">
        <f t="shared" si="96"/>
        <v/>
      </c>
      <c r="O1043" t="str">
        <f>IF($AS1043="","",INDEX('TMP Paste'!$K$2:$K$1601,$AS1043))</f>
        <v/>
      </c>
      <c r="P1043" t="str">
        <f t="shared" si="97"/>
        <v/>
      </c>
      <c r="Q1043" t="str">
        <f>IF($AS1043="","",INDEX('TMP Paste'!$J$2:$J$1601,$AS1043))</f>
        <v/>
      </c>
      <c r="R1043" t="str">
        <f>IF($AS1043="","",Config!$B$24)</f>
        <v/>
      </c>
      <c r="S1043" t="str">
        <f ca="1">IF($AS1043="","",TEXT(Config!$B$4,"yyyy-mm-dd"))</f>
        <v/>
      </c>
      <c r="T1043" t="str">
        <f>IF($AS1043="","",Config!$B$17)</f>
        <v/>
      </c>
      <c r="U1043" t="str">
        <f>IF($AS1043="","",Config!$B$18)</f>
        <v/>
      </c>
      <c r="V1043" t="str">
        <f>IF($AS1043="","",Config!$B$19)</f>
        <v/>
      </c>
      <c r="W1043" t="str">
        <f>IF($AS1043="","",INDEX('TMP Paste'!$C$2:$C$1601,$AS1043))</f>
        <v/>
      </c>
      <c r="X1043" t="str">
        <f>IF($AS1043="","",Config!$B$29)</f>
        <v/>
      </c>
      <c r="Y1043" t="str">
        <f>IF($AT1043="","",INDEX(Calc!$I$2:$I$1601,$AT1043)&amp;" - "&amp;INDEX(Calc!$D$2:$D$1601,$AT1043)&amp;" koli")</f>
        <v/>
      </c>
      <c r="Z1043" t="str">
        <f>IF($AS1043="","",Config!$B$21)</f>
        <v/>
      </c>
      <c r="AA1043" t="str">
        <f>IF($AS1043="","",Config!$B$22)</f>
        <v/>
      </c>
      <c r="AB1043" t="str">
        <f>IF($AT1043="","",INDEX(Calc!$D$2:$D$1601,$AT1043))</f>
        <v/>
      </c>
      <c r="AC1043" t="str">
        <f>IF($AT1043="","",INDEX(Calc!$G$2:$G$1601,$AT1043))</f>
        <v/>
      </c>
      <c r="AD1043" t="str">
        <f>IF($AS1043="","",Config!$B$23)</f>
        <v/>
      </c>
      <c r="AE1043" t="str">
        <f>IF($AS1043="","",Config!$B$28)</f>
        <v/>
      </c>
      <c r="AF1043" t="str">
        <f t="shared" si="98"/>
        <v/>
      </c>
      <c r="AG1043" t="str">
        <f t="shared" si="99"/>
        <v/>
      </c>
      <c r="AH1043" t="str">
        <f t="shared" si="100"/>
        <v/>
      </c>
      <c r="AI1043" t="str">
        <f>IF($AG1043="","",SUMIF($AG$2:$AG1043,$AG1043,$AH$2:$AH1043))</f>
        <v/>
      </c>
      <c r="AJ1043" t="str">
        <f>IF('TMP Paste'!$F1043="","",IF('TMP Paste'!$B1043="",$AJ1042,'TMP Paste'!$B1043))</f>
        <v/>
      </c>
      <c r="AK1043" t="str">
        <f>IF('TMP Paste'!$F1043="","",N('TMP Paste'!$G1043))</f>
        <v/>
      </c>
      <c r="AL1043" t="str">
        <f>IF('TMP Paste'!$F1043="","",IF('TMP Paste'!$M1043="",$AL1042,'TMP Paste'!$M1043))</f>
        <v/>
      </c>
      <c r="AM1043" t="str">
        <f>IF('TMP Paste'!$F1043="","",IF('TMP Paste'!$N1043="",$AM1042,'TMP Paste'!$N1043))</f>
        <v/>
      </c>
      <c r="AN1043" t="str">
        <f>IF('TMP Paste'!$F1043="","",IF('TMP Paste'!$O1043="",$AN1042,'TMP Paste'!$O1043))</f>
        <v/>
      </c>
      <c r="AO1043" t="str">
        <f>IF('TMP Paste'!$F1043="","",IF('TMP Paste'!$P1043="",$AO1042,'TMP Paste'!$P1043))</f>
        <v/>
      </c>
      <c r="AP1043" t="str">
        <f t="shared" si="101"/>
        <v/>
      </c>
      <c r="AQ1043" t="str">
        <f>IF($AS1043="","",TRIM(IF(COUNTIFS(Calc!$B$2:$B$1601,ROW()-1,Calc!$C$2:$C$1601,"&lt;1")&gt;0,"Ada PO tanpa Koli - cek TMP. ","")&amp;IF(OR($AU1043="",$AU1043&lt;=0),"Volume kosong/0 - dimensi dikosongkan. ","")&amp;IF(AND($AU1043&lt;&gt;"",$AU1043&gt;=1000000),"Volume &gt;= 1.000.000 cm3 (di luar aturan) - dimensi dikosongkan. ","")&amp;IF(LEN($R1043)&gt;500,"R &gt; 500 karakter.","")))</f>
        <v/>
      </c>
      <c r="AS1043" t="str">
        <f>IFERROR(MATCH(ROW()-1,Calc!$J$2:$J$1601,0),"")</f>
        <v/>
      </c>
      <c r="AT1043" t="str">
        <f>IFERROR(MATCH(ROW()-1,Calc!$K$2:$K$1601,0),"")</f>
        <v/>
      </c>
      <c r="AU1043" t="str">
        <f>IF($AS1043="","",IFERROR(INDEX('TMP Paste'!$D$2:$D$1601,$AS1043)*1000000/$AB1043,""))</f>
        <v/>
      </c>
    </row>
    <row r="1044" spans="1:47">
      <c r="A1044" t="str">
        <f>IF($AS1044="","",INDEX('TMP Paste'!$B$2:$B$1601,$AS1044))</f>
        <v/>
      </c>
      <c r="B1044" t="str">
        <f>IF($AS1044="","",Config!$B$14)</f>
        <v/>
      </c>
      <c r="C1044" t="str">
        <f>IF($AS1044="","",Config!$B$15)</f>
        <v/>
      </c>
      <c r="D1044" t="str">
        <f>IF($AS1044="","",INDEX('TMP Paste'!$B$2:$B$1601,$AS1044))</f>
        <v/>
      </c>
      <c r="E1044" t="str">
        <f>IF($AS1044="","",Config!$B$27)</f>
        <v/>
      </c>
      <c r="F1044" t="str">
        <f>IF($AS1044="","",Config!$B$9)</f>
        <v/>
      </c>
      <c r="G1044" t="str">
        <f>IF($AS1044="","",Config!$B$10)</f>
        <v/>
      </c>
      <c r="H1044" t="str">
        <f>IF($AS1044="","",Config!$B$11)</f>
        <v/>
      </c>
      <c r="I1044" t="str">
        <f>IF($AS1044="","",Config!$B$16)</f>
        <v/>
      </c>
      <c r="J1044" t="str">
        <f>IF($AS1044="","",INDEX('TMP Paste'!$A$2:$A$1601,$AS1044))</f>
        <v/>
      </c>
      <c r="K1044" t="str">
        <f>IF($AS1044="","",INDEX('TMP Paste'!$L$2:$L$1601,$AS1044))</f>
        <v/>
      </c>
      <c r="L1044" t="str">
        <f>IF($AS1044="","",INDEX('TMP Paste'!$I$2:$I$1601,$AS1044))</f>
        <v/>
      </c>
      <c r="M1044" t="str">
        <f>IF($AS1044="","",Config!$B$16)</f>
        <v/>
      </c>
      <c r="N1044" t="str">
        <f t="shared" si="96"/>
        <v/>
      </c>
      <c r="O1044" t="str">
        <f>IF($AS1044="","",INDEX('TMP Paste'!$K$2:$K$1601,$AS1044))</f>
        <v/>
      </c>
      <c r="P1044" t="str">
        <f t="shared" si="97"/>
        <v/>
      </c>
      <c r="Q1044" t="str">
        <f>IF($AS1044="","",INDEX('TMP Paste'!$J$2:$J$1601,$AS1044))</f>
        <v/>
      </c>
      <c r="R1044" t="str">
        <f>IF($AS1044="","",Config!$B$24)</f>
        <v/>
      </c>
      <c r="S1044" t="str">
        <f ca="1">IF($AS1044="","",TEXT(Config!$B$4,"yyyy-mm-dd"))</f>
        <v/>
      </c>
      <c r="T1044" t="str">
        <f>IF($AS1044="","",Config!$B$17)</f>
        <v/>
      </c>
      <c r="U1044" t="str">
        <f>IF($AS1044="","",Config!$B$18)</f>
        <v/>
      </c>
      <c r="V1044" t="str">
        <f>IF($AS1044="","",Config!$B$19)</f>
        <v/>
      </c>
      <c r="W1044" t="str">
        <f>IF($AS1044="","",INDEX('TMP Paste'!$C$2:$C$1601,$AS1044))</f>
        <v/>
      </c>
      <c r="X1044" t="str">
        <f>IF($AS1044="","",Config!$B$29)</f>
        <v/>
      </c>
      <c r="Y1044" t="str">
        <f>IF($AT1044="","",INDEX(Calc!$I$2:$I$1601,$AT1044)&amp;" - "&amp;INDEX(Calc!$D$2:$D$1601,$AT1044)&amp;" koli")</f>
        <v/>
      </c>
      <c r="Z1044" t="str">
        <f>IF($AS1044="","",Config!$B$21)</f>
        <v/>
      </c>
      <c r="AA1044" t="str">
        <f>IF($AS1044="","",Config!$B$22)</f>
        <v/>
      </c>
      <c r="AB1044" t="str">
        <f>IF($AT1044="","",INDEX(Calc!$D$2:$D$1601,$AT1044))</f>
        <v/>
      </c>
      <c r="AC1044" t="str">
        <f>IF($AT1044="","",INDEX(Calc!$G$2:$G$1601,$AT1044))</f>
        <v/>
      </c>
      <c r="AD1044" t="str">
        <f>IF($AS1044="","",Config!$B$23)</f>
        <v/>
      </c>
      <c r="AE1044" t="str">
        <f>IF($AS1044="","",Config!$B$28)</f>
        <v/>
      </c>
      <c r="AF1044" t="str">
        <f t="shared" si="98"/>
        <v/>
      </c>
      <c r="AG1044" t="str">
        <f t="shared" si="99"/>
        <v/>
      </c>
      <c r="AH1044" t="str">
        <f t="shared" si="100"/>
        <v/>
      </c>
      <c r="AI1044" t="str">
        <f>IF($AG1044="","",SUMIF($AG$2:$AG1044,$AG1044,$AH$2:$AH1044))</f>
        <v/>
      </c>
      <c r="AJ1044" t="str">
        <f>IF('TMP Paste'!$F1044="","",IF('TMP Paste'!$B1044="",$AJ1043,'TMP Paste'!$B1044))</f>
        <v/>
      </c>
      <c r="AK1044" t="str">
        <f>IF('TMP Paste'!$F1044="","",N('TMP Paste'!$G1044))</f>
        <v/>
      </c>
      <c r="AL1044" t="str">
        <f>IF('TMP Paste'!$F1044="","",IF('TMP Paste'!$M1044="",$AL1043,'TMP Paste'!$M1044))</f>
        <v/>
      </c>
      <c r="AM1044" t="str">
        <f>IF('TMP Paste'!$F1044="","",IF('TMP Paste'!$N1044="",$AM1043,'TMP Paste'!$N1044))</f>
        <v/>
      </c>
      <c r="AN1044" t="str">
        <f>IF('TMP Paste'!$F1044="","",IF('TMP Paste'!$O1044="",$AN1043,'TMP Paste'!$O1044))</f>
        <v/>
      </c>
      <c r="AO1044" t="str">
        <f>IF('TMP Paste'!$F1044="","",IF('TMP Paste'!$P1044="",$AO1043,'TMP Paste'!$P1044))</f>
        <v/>
      </c>
      <c r="AP1044" t="str">
        <f t="shared" si="101"/>
        <v/>
      </c>
      <c r="AQ1044" t="str">
        <f>IF($AS1044="","",TRIM(IF(COUNTIFS(Calc!$B$2:$B$1601,ROW()-1,Calc!$C$2:$C$1601,"&lt;1")&gt;0,"Ada PO tanpa Koli - cek TMP. ","")&amp;IF(OR($AU1044="",$AU1044&lt;=0),"Volume kosong/0 - dimensi dikosongkan. ","")&amp;IF(AND($AU1044&lt;&gt;"",$AU1044&gt;=1000000),"Volume &gt;= 1.000.000 cm3 (di luar aturan) - dimensi dikosongkan. ","")&amp;IF(LEN($R1044)&gt;500,"R &gt; 500 karakter.","")))</f>
        <v/>
      </c>
      <c r="AS1044" t="str">
        <f>IFERROR(MATCH(ROW()-1,Calc!$J$2:$J$1601,0),"")</f>
        <v/>
      </c>
      <c r="AT1044" t="str">
        <f>IFERROR(MATCH(ROW()-1,Calc!$K$2:$K$1601,0),"")</f>
        <v/>
      </c>
      <c r="AU1044" t="str">
        <f>IF($AS1044="","",IFERROR(INDEX('TMP Paste'!$D$2:$D$1601,$AS1044)*1000000/$AB1044,""))</f>
        <v/>
      </c>
    </row>
    <row r="1045" spans="1:47">
      <c r="A1045" t="str">
        <f>IF($AS1045="","",INDEX('TMP Paste'!$B$2:$B$1601,$AS1045))</f>
        <v/>
      </c>
      <c r="B1045" t="str">
        <f>IF($AS1045="","",Config!$B$14)</f>
        <v/>
      </c>
      <c r="C1045" t="str">
        <f>IF($AS1045="","",Config!$B$15)</f>
        <v/>
      </c>
      <c r="D1045" t="str">
        <f>IF($AS1045="","",INDEX('TMP Paste'!$B$2:$B$1601,$AS1045))</f>
        <v/>
      </c>
      <c r="E1045" t="str">
        <f>IF($AS1045="","",Config!$B$27)</f>
        <v/>
      </c>
      <c r="F1045" t="str">
        <f>IF($AS1045="","",Config!$B$9)</f>
        <v/>
      </c>
      <c r="G1045" t="str">
        <f>IF($AS1045="","",Config!$B$10)</f>
        <v/>
      </c>
      <c r="H1045" t="str">
        <f>IF($AS1045="","",Config!$B$11)</f>
        <v/>
      </c>
      <c r="I1045" t="str">
        <f>IF($AS1045="","",Config!$B$16)</f>
        <v/>
      </c>
      <c r="J1045" t="str">
        <f>IF($AS1045="","",INDEX('TMP Paste'!$A$2:$A$1601,$AS1045))</f>
        <v/>
      </c>
      <c r="K1045" t="str">
        <f>IF($AS1045="","",INDEX('TMP Paste'!$L$2:$L$1601,$AS1045))</f>
        <v/>
      </c>
      <c r="L1045" t="str">
        <f>IF($AS1045="","",INDEX('TMP Paste'!$I$2:$I$1601,$AS1045))</f>
        <v/>
      </c>
      <c r="M1045" t="str">
        <f>IF($AS1045="","",Config!$B$16)</f>
        <v/>
      </c>
      <c r="N1045" t="str">
        <f t="shared" si="96"/>
        <v/>
      </c>
      <c r="O1045" t="str">
        <f>IF($AS1045="","",INDEX('TMP Paste'!$K$2:$K$1601,$AS1045))</f>
        <v/>
      </c>
      <c r="P1045" t="str">
        <f t="shared" si="97"/>
        <v/>
      </c>
      <c r="Q1045" t="str">
        <f>IF($AS1045="","",INDEX('TMP Paste'!$J$2:$J$1601,$AS1045))</f>
        <v/>
      </c>
      <c r="R1045" t="str">
        <f>IF($AS1045="","",Config!$B$24)</f>
        <v/>
      </c>
      <c r="S1045" t="str">
        <f ca="1">IF($AS1045="","",TEXT(Config!$B$4,"yyyy-mm-dd"))</f>
        <v/>
      </c>
      <c r="T1045" t="str">
        <f>IF($AS1045="","",Config!$B$17)</f>
        <v/>
      </c>
      <c r="U1045" t="str">
        <f>IF($AS1045="","",Config!$B$18)</f>
        <v/>
      </c>
      <c r="V1045" t="str">
        <f>IF($AS1045="","",Config!$B$19)</f>
        <v/>
      </c>
      <c r="W1045" t="str">
        <f>IF($AS1045="","",INDEX('TMP Paste'!$C$2:$C$1601,$AS1045))</f>
        <v/>
      </c>
      <c r="X1045" t="str">
        <f>IF($AS1045="","",Config!$B$29)</f>
        <v/>
      </c>
      <c r="Y1045" t="str">
        <f>IF($AT1045="","",INDEX(Calc!$I$2:$I$1601,$AT1045)&amp;" - "&amp;INDEX(Calc!$D$2:$D$1601,$AT1045)&amp;" koli")</f>
        <v/>
      </c>
      <c r="Z1045" t="str">
        <f>IF($AS1045="","",Config!$B$21)</f>
        <v/>
      </c>
      <c r="AA1045" t="str">
        <f>IF($AS1045="","",Config!$B$22)</f>
        <v/>
      </c>
      <c r="AB1045" t="str">
        <f>IF($AT1045="","",INDEX(Calc!$D$2:$D$1601,$AT1045))</f>
        <v/>
      </c>
      <c r="AC1045" t="str">
        <f>IF($AT1045="","",INDEX(Calc!$G$2:$G$1601,$AT1045))</f>
        <v/>
      </c>
      <c r="AD1045" t="str">
        <f>IF($AS1045="","",Config!$B$23)</f>
        <v/>
      </c>
      <c r="AE1045" t="str">
        <f>IF($AS1045="","",Config!$B$28)</f>
        <v/>
      </c>
      <c r="AF1045" t="str">
        <f t="shared" si="98"/>
        <v/>
      </c>
      <c r="AG1045" t="str">
        <f t="shared" si="99"/>
        <v/>
      </c>
      <c r="AH1045" t="str">
        <f t="shared" si="100"/>
        <v/>
      </c>
      <c r="AI1045" t="str">
        <f>IF($AG1045="","",SUMIF($AG$2:$AG1045,$AG1045,$AH$2:$AH1045))</f>
        <v/>
      </c>
      <c r="AJ1045" t="str">
        <f>IF('TMP Paste'!$F1045="","",IF('TMP Paste'!$B1045="",$AJ1044,'TMP Paste'!$B1045))</f>
        <v/>
      </c>
      <c r="AK1045" t="str">
        <f>IF('TMP Paste'!$F1045="","",N('TMP Paste'!$G1045))</f>
        <v/>
      </c>
      <c r="AL1045" t="str">
        <f>IF('TMP Paste'!$F1045="","",IF('TMP Paste'!$M1045="",$AL1044,'TMP Paste'!$M1045))</f>
        <v/>
      </c>
      <c r="AM1045" t="str">
        <f>IF('TMP Paste'!$F1045="","",IF('TMP Paste'!$N1045="",$AM1044,'TMP Paste'!$N1045))</f>
        <v/>
      </c>
      <c r="AN1045" t="str">
        <f>IF('TMP Paste'!$F1045="","",IF('TMP Paste'!$O1045="",$AN1044,'TMP Paste'!$O1045))</f>
        <v/>
      </c>
      <c r="AO1045" t="str">
        <f>IF('TMP Paste'!$F1045="","",IF('TMP Paste'!$P1045="",$AO1044,'TMP Paste'!$P1045))</f>
        <v/>
      </c>
      <c r="AP1045" t="str">
        <f t="shared" si="101"/>
        <v/>
      </c>
      <c r="AQ1045" t="str">
        <f>IF($AS1045="","",TRIM(IF(COUNTIFS(Calc!$B$2:$B$1601,ROW()-1,Calc!$C$2:$C$1601,"&lt;1")&gt;0,"Ada PO tanpa Koli - cek TMP. ","")&amp;IF(OR($AU1045="",$AU1045&lt;=0),"Volume kosong/0 - dimensi dikosongkan. ","")&amp;IF(AND($AU1045&lt;&gt;"",$AU1045&gt;=1000000),"Volume &gt;= 1.000.000 cm3 (di luar aturan) - dimensi dikosongkan. ","")&amp;IF(LEN($R1045)&gt;500,"R &gt; 500 karakter.","")))</f>
        <v/>
      </c>
      <c r="AS1045" t="str">
        <f>IFERROR(MATCH(ROW()-1,Calc!$J$2:$J$1601,0),"")</f>
        <v/>
      </c>
      <c r="AT1045" t="str">
        <f>IFERROR(MATCH(ROW()-1,Calc!$K$2:$K$1601,0),"")</f>
        <v/>
      </c>
      <c r="AU1045" t="str">
        <f>IF($AS1045="","",IFERROR(INDEX('TMP Paste'!$D$2:$D$1601,$AS1045)*1000000/$AB1045,""))</f>
        <v/>
      </c>
    </row>
    <row r="1046" spans="1:47">
      <c r="A1046" t="str">
        <f>IF($AS1046="","",INDEX('TMP Paste'!$B$2:$B$1601,$AS1046))</f>
        <v/>
      </c>
      <c r="B1046" t="str">
        <f>IF($AS1046="","",Config!$B$14)</f>
        <v/>
      </c>
      <c r="C1046" t="str">
        <f>IF($AS1046="","",Config!$B$15)</f>
        <v/>
      </c>
      <c r="D1046" t="str">
        <f>IF($AS1046="","",INDEX('TMP Paste'!$B$2:$B$1601,$AS1046))</f>
        <v/>
      </c>
      <c r="E1046" t="str">
        <f>IF($AS1046="","",Config!$B$27)</f>
        <v/>
      </c>
      <c r="F1046" t="str">
        <f>IF($AS1046="","",Config!$B$9)</f>
        <v/>
      </c>
      <c r="G1046" t="str">
        <f>IF($AS1046="","",Config!$B$10)</f>
        <v/>
      </c>
      <c r="H1046" t="str">
        <f>IF($AS1046="","",Config!$B$11)</f>
        <v/>
      </c>
      <c r="I1046" t="str">
        <f>IF($AS1046="","",Config!$B$16)</f>
        <v/>
      </c>
      <c r="J1046" t="str">
        <f>IF($AS1046="","",INDEX('TMP Paste'!$A$2:$A$1601,$AS1046))</f>
        <v/>
      </c>
      <c r="K1046" t="str">
        <f>IF($AS1046="","",INDEX('TMP Paste'!$L$2:$L$1601,$AS1046))</f>
        <v/>
      </c>
      <c r="L1046" t="str">
        <f>IF($AS1046="","",INDEX('TMP Paste'!$I$2:$I$1601,$AS1046))</f>
        <v/>
      </c>
      <c r="M1046" t="str">
        <f>IF($AS1046="","",Config!$B$16)</f>
        <v/>
      </c>
      <c r="N1046" t="str">
        <f t="shared" si="96"/>
        <v/>
      </c>
      <c r="O1046" t="str">
        <f>IF($AS1046="","",INDEX('TMP Paste'!$K$2:$K$1601,$AS1046))</f>
        <v/>
      </c>
      <c r="P1046" t="str">
        <f t="shared" si="97"/>
        <v/>
      </c>
      <c r="Q1046" t="str">
        <f>IF($AS1046="","",INDEX('TMP Paste'!$J$2:$J$1601,$AS1046))</f>
        <v/>
      </c>
      <c r="R1046" t="str">
        <f>IF($AS1046="","",Config!$B$24)</f>
        <v/>
      </c>
      <c r="S1046" t="str">
        <f ca="1">IF($AS1046="","",TEXT(Config!$B$4,"yyyy-mm-dd"))</f>
        <v/>
      </c>
      <c r="T1046" t="str">
        <f>IF($AS1046="","",Config!$B$17)</f>
        <v/>
      </c>
      <c r="U1046" t="str">
        <f>IF($AS1046="","",Config!$B$18)</f>
        <v/>
      </c>
      <c r="V1046" t="str">
        <f>IF($AS1046="","",Config!$B$19)</f>
        <v/>
      </c>
      <c r="W1046" t="str">
        <f>IF($AS1046="","",INDEX('TMP Paste'!$C$2:$C$1601,$AS1046))</f>
        <v/>
      </c>
      <c r="X1046" t="str">
        <f>IF($AS1046="","",Config!$B$29)</f>
        <v/>
      </c>
      <c r="Y1046" t="str">
        <f>IF($AT1046="","",INDEX(Calc!$I$2:$I$1601,$AT1046)&amp;" - "&amp;INDEX(Calc!$D$2:$D$1601,$AT1046)&amp;" koli")</f>
        <v/>
      </c>
      <c r="Z1046" t="str">
        <f>IF($AS1046="","",Config!$B$21)</f>
        <v/>
      </c>
      <c r="AA1046" t="str">
        <f>IF($AS1046="","",Config!$B$22)</f>
        <v/>
      </c>
      <c r="AB1046" t="str">
        <f>IF($AT1046="","",INDEX(Calc!$D$2:$D$1601,$AT1046))</f>
        <v/>
      </c>
      <c r="AC1046" t="str">
        <f>IF($AT1046="","",INDEX(Calc!$G$2:$G$1601,$AT1046))</f>
        <v/>
      </c>
      <c r="AD1046" t="str">
        <f>IF($AS1046="","",Config!$B$23)</f>
        <v/>
      </c>
      <c r="AE1046" t="str">
        <f>IF($AS1046="","",Config!$B$28)</f>
        <v/>
      </c>
      <c r="AF1046" t="str">
        <f t="shared" si="98"/>
        <v/>
      </c>
      <c r="AG1046" t="str">
        <f t="shared" si="99"/>
        <v/>
      </c>
      <c r="AH1046" t="str">
        <f t="shared" si="100"/>
        <v/>
      </c>
      <c r="AI1046" t="str">
        <f>IF($AG1046="","",SUMIF($AG$2:$AG1046,$AG1046,$AH$2:$AH1046))</f>
        <v/>
      </c>
      <c r="AJ1046" t="str">
        <f>IF('TMP Paste'!$F1046="","",IF('TMP Paste'!$B1046="",$AJ1045,'TMP Paste'!$B1046))</f>
        <v/>
      </c>
      <c r="AK1046" t="str">
        <f>IF('TMP Paste'!$F1046="","",N('TMP Paste'!$G1046))</f>
        <v/>
      </c>
      <c r="AL1046" t="str">
        <f>IF('TMP Paste'!$F1046="","",IF('TMP Paste'!$M1046="",$AL1045,'TMP Paste'!$M1046))</f>
        <v/>
      </c>
      <c r="AM1046" t="str">
        <f>IF('TMP Paste'!$F1046="","",IF('TMP Paste'!$N1046="",$AM1045,'TMP Paste'!$N1046))</f>
        <v/>
      </c>
      <c r="AN1046" t="str">
        <f>IF('TMP Paste'!$F1046="","",IF('TMP Paste'!$O1046="",$AN1045,'TMP Paste'!$O1046))</f>
        <v/>
      </c>
      <c r="AO1046" t="str">
        <f>IF('TMP Paste'!$F1046="","",IF('TMP Paste'!$P1046="",$AO1045,'TMP Paste'!$P1046))</f>
        <v/>
      </c>
      <c r="AP1046" t="str">
        <f t="shared" si="101"/>
        <v/>
      </c>
      <c r="AQ1046" t="str">
        <f>IF($AS1046="","",TRIM(IF(COUNTIFS(Calc!$B$2:$B$1601,ROW()-1,Calc!$C$2:$C$1601,"&lt;1")&gt;0,"Ada PO tanpa Koli - cek TMP. ","")&amp;IF(OR($AU1046="",$AU1046&lt;=0),"Volume kosong/0 - dimensi dikosongkan. ","")&amp;IF(AND($AU1046&lt;&gt;"",$AU1046&gt;=1000000),"Volume &gt;= 1.000.000 cm3 (di luar aturan) - dimensi dikosongkan. ","")&amp;IF(LEN($R1046)&gt;500,"R &gt; 500 karakter.","")))</f>
        <v/>
      </c>
      <c r="AS1046" t="str">
        <f>IFERROR(MATCH(ROW()-1,Calc!$J$2:$J$1601,0),"")</f>
        <v/>
      </c>
      <c r="AT1046" t="str">
        <f>IFERROR(MATCH(ROW()-1,Calc!$K$2:$K$1601,0),"")</f>
        <v/>
      </c>
      <c r="AU1046" t="str">
        <f>IF($AS1046="","",IFERROR(INDEX('TMP Paste'!$D$2:$D$1601,$AS1046)*1000000/$AB1046,""))</f>
        <v/>
      </c>
    </row>
    <row r="1047" spans="1:47">
      <c r="A1047" t="str">
        <f>IF($AS1047="","",INDEX('TMP Paste'!$B$2:$B$1601,$AS1047))</f>
        <v/>
      </c>
      <c r="B1047" t="str">
        <f>IF($AS1047="","",Config!$B$14)</f>
        <v/>
      </c>
      <c r="C1047" t="str">
        <f>IF($AS1047="","",Config!$B$15)</f>
        <v/>
      </c>
      <c r="D1047" t="str">
        <f>IF($AS1047="","",INDEX('TMP Paste'!$B$2:$B$1601,$AS1047))</f>
        <v/>
      </c>
      <c r="E1047" t="str">
        <f>IF($AS1047="","",Config!$B$27)</f>
        <v/>
      </c>
      <c r="F1047" t="str">
        <f>IF($AS1047="","",Config!$B$9)</f>
        <v/>
      </c>
      <c r="G1047" t="str">
        <f>IF($AS1047="","",Config!$B$10)</f>
        <v/>
      </c>
      <c r="H1047" t="str">
        <f>IF($AS1047="","",Config!$B$11)</f>
        <v/>
      </c>
      <c r="I1047" t="str">
        <f>IF($AS1047="","",Config!$B$16)</f>
        <v/>
      </c>
      <c r="J1047" t="str">
        <f>IF($AS1047="","",INDEX('TMP Paste'!$A$2:$A$1601,$AS1047))</f>
        <v/>
      </c>
      <c r="K1047" t="str">
        <f>IF($AS1047="","",INDEX('TMP Paste'!$L$2:$L$1601,$AS1047))</f>
        <v/>
      </c>
      <c r="L1047" t="str">
        <f>IF($AS1047="","",INDEX('TMP Paste'!$I$2:$I$1601,$AS1047))</f>
        <v/>
      </c>
      <c r="M1047" t="str">
        <f>IF($AS1047="","",Config!$B$16)</f>
        <v/>
      </c>
      <c r="N1047" t="str">
        <f t="shared" si="96"/>
        <v/>
      </c>
      <c r="O1047" t="str">
        <f>IF($AS1047="","",INDEX('TMP Paste'!$K$2:$K$1601,$AS1047))</f>
        <v/>
      </c>
      <c r="P1047" t="str">
        <f t="shared" si="97"/>
        <v/>
      </c>
      <c r="Q1047" t="str">
        <f>IF($AS1047="","",INDEX('TMP Paste'!$J$2:$J$1601,$AS1047))</f>
        <v/>
      </c>
      <c r="R1047" t="str">
        <f>IF($AS1047="","",Config!$B$24)</f>
        <v/>
      </c>
      <c r="S1047" t="str">
        <f ca="1">IF($AS1047="","",TEXT(Config!$B$4,"yyyy-mm-dd"))</f>
        <v/>
      </c>
      <c r="T1047" t="str">
        <f>IF($AS1047="","",Config!$B$17)</f>
        <v/>
      </c>
      <c r="U1047" t="str">
        <f>IF($AS1047="","",Config!$B$18)</f>
        <v/>
      </c>
      <c r="V1047" t="str">
        <f>IF($AS1047="","",Config!$B$19)</f>
        <v/>
      </c>
      <c r="W1047" t="str">
        <f>IF($AS1047="","",INDEX('TMP Paste'!$C$2:$C$1601,$AS1047))</f>
        <v/>
      </c>
      <c r="X1047" t="str">
        <f>IF($AS1047="","",Config!$B$29)</f>
        <v/>
      </c>
      <c r="Y1047" t="str">
        <f>IF($AT1047="","",INDEX(Calc!$I$2:$I$1601,$AT1047)&amp;" - "&amp;INDEX(Calc!$D$2:$D$1601,$AT1047)&amp;" koli")</f>
        <v/>
      </c>
      <c r="Z1047" t="str">
        <f>IF($AS1047="","",Config!$B$21)</f>
        <v/>
      </c>
      <c r="AA1047" t="str">
        <f>IF($AS1047="","",Config!$B$22)</f>
        <v/>
      </c>
      <c r="AB1047" t="str">
        <f>IF($AT1047="","",INDEX(Calc!$D$2:$D$1601,$AT1047))</f>
        <v/>
      </c>
      <c r="AC1047" t="str">
        <f>IF($AT1047="","",INDEX(Calc!$G$2:$G$1601,$AT1047))</f>
        <v/>
      </c>
      <c r="AD1047" t="str">
        <f>IF($AS1047="","",Config!$B$23)</f>
        <v/>
      </c>
      <c r="AE1047" t="str">
        <f>IF($AS1047="","",Config!$B$28)</f>
        <v/>
      </c>
      <c r="AF1047" t="str">
        <f t="shared" si="98"/>
        <v/>
      </c>
      <c r="AG1047" t="str">
        <f t="shared" si="99"/>
        <v/>
      </c>
      <c r="AH1047" t="str">
        <f t="shared" si="100"/>
        <v/>
      </c>
      <c r="AI1047" t="str">
        <f>IF($AG1047="","",SUMIF($AG$2:$AG1047,$AG1047,$AH$2:$AH1047))</f>
        <v/>
      </c>
      <c r="AJ1047" t="str">
        <f>IF('TMP Paste'!$F1047="","",IF('TMP Paste'!$B1047="",$AJ1046,'TMP Paste'!$B1047))</f>
        <v/>
      </c>
      <c r="AK1047" t="str">
        <f>IF('TMP Paste'!$F1047="","",N('TMP Paste'!$G1047))</f>
        <v/>
      </c>
      <c r="AL1047" t="str">
        <f>IF('TMP Paste'!$F1047="","",IF('TMP Paste'!$M1047="",$AL1046,'TMP Paste'!$M1047))</f>
        <v/>
      </c>
      <c r="AM1047" t="str">
        <f>IF('TMP Paste'!$F1047="","",IF('TMP Paste'!$N1047="",$AM1046,'TMP Paste'!$N1047))</f>
        <v/>
      </c>
      <c r="AN1047" t="str">
        <f>IF('TMP Paste'!$F1047="","",IF('TMP Paste'!$O1047="",$AN1046,'TMP Paste'!$O1047))</f>
        <v/>
      </c>
      <c r="AO1047" t="str">
        <f>IF('TMP Paste'!$F1047="","",IF('TMP Paste'!$P1047="",$AO1046,'TMP Paste'!$P1047))</f>
        <v/>
      </c>
      <c r="AP1047" t="str">
        <f t="shared" si="101"/>
        <v/>
      </c>
      <c r="AQ1047" t="str">
        <f>IF($AS1047="","",TRIM(IF(COUNTIFS(Calc!$B$2:$B$1601,ROW()-1,Calc!$C$2:$C$1601,"&lt;1")&gt;0,"Ada PO tanpa Koli - cek TMP. ","")&amp;IF(OR($AU1047="",$AU1047&lt;=0),"Volume kosong/0 - dimensi dikosongkan. ","")&amp;IF(AND($AU1047&lt;&gt;"",$AU1047&gt;=1000000),"Volume &gt;= 1.000.000 cm3 (di luar aturan) - dimensi dikosongkan. ","")&amp;IF(LEN($R1047)&gt;500,"R &gt; 500 karakter.","")))</f>
        <v/>
      </c>
      <c r="AS1047" t="str">
        <f>IFERROR(MATCH(ROW()-1,Calc!$J$2:$J$1601,0),"")</f>
        <v/>
      </c>
      <c r="AT1047" t="str">
        <f>IFERROR(MATCH(ROW()-1,Calc!$K$2:$K$1601,0),"")</f>
        <v/>
      </c>
      <c r="AU1047" t="str">
        <f>IF($AS1047="","",IFERROR(INDEX('TMP Paste'!$D$2:$D$1601,$AS1047)*1000000/$AB1047,""))</f>
        <v/>
      </c>
    </row>
    <row r="1048" spans="1:47">
      <c r="A1048" t="str">
        <f>IF($AS1048="","",INDEX('TMP Paste'!$B$2:$B$1601,$AS1048))</f>
        <v/>
      </c>
      <c r="B1048" t="str">
        <f>IF($AS1048="","",Config!$B$14)</f>
        <v/>
      </c>
      <c r="C1048" t="str">
        <f>IF($AS1048="","",Config!$B$15)</f>
        <v/>
      </c>
      <c r="D1048" t="str">
        <f>IF($AS1048="","",INDEX('TMP Paste'!$B$2:$B$1601,$AS1048))</f>
        <v/>
      </c>
      <c r="E1048" t="str">
        <f>IF($AS1048="","",Config!$B$27)</f>
        <v/>
      </c>
      <c r="F1048" t="str">
        <f>IF($AS1048="","",Config!$B$9)</f>
        <v/>
      </c>
      <c r="G1048" t="str">
        <f>IF($AS1048="","",Config!$B$10)</f>
        <v/>
      </c>
      <c r="H1048" t="str">
        <f>IF($AS1048="","",Config!$B$11)</f>
        <v/>
      </c>
      <c r="I1048" t="str">
        <f>IF($AS1048="","",Config!$B$16)</f>
        <v/>
      </c>
      <c r="J1048" t="str">
        <f>IF($AS1048="","",INDEX('TMP Paste'!$A$2:$A$1601,$AS1048))</f>
        <v/>
      </c>
      <c r="K1048" t="str">
        <f>IF($AS1048="","",INDEX('TMP Paste'!$L$2:$L$1601,$AS1048))</f>
        <v/>
      </c>
      <c r="L1048" t="str">
        <f>IF($AS1048="","",INDEX('TMP Paste'!$I$2:$I$1601,$AS1048))</f>
        <v/>
      </c>
      <c r="M1048" t="str">
        <f>IF($AS1048="","",Config!$B$16)</f>
        <v/>
      </c>
      <c r="N1048" t="str">
        <f t="shared" si="96"/>
        <v/>
      </c>
      <c r="O1048" t="str">
        <f>IF($AS1048="","",INDEX('TMP Paste'!$K$2:$K$1601,$AS1048))</f>
        <v/>
      </c>
      <c r="P1048" t="str">
        <f t="shared" si="97"/>
        <v/>
      </c>
      <c r="Q1048" t="str">
        <f>IF($AS1048="","",INDEX('TMP Paste'!$J$2:$J$1601,$AS1048))</f>
        <v/>
      </c>
      <c r="R1048" t="str">
        <f>IF($AS1048="","",Config!$B$24)</f>
        <v/>
      </c>
      <c r="S1048" t="str">
        <f ca="1">IF($AS1048="","",TEXT(Config!$B$4,"yyyy-mm-dd"))</f>
        <v/>
      </c>
      <c r="T1048" t="str">
        <f>IF($AS1048="","",Config!$B$17)</f>
        <v/>
      </c>
      <c r="U1048" t="str">
        <f>IF($AS1048="","",Config!$B$18)</f>
        <v/>
      </c>
      <c r="V1048" t="str">
        <f>IF($AS1048="","",Config!$B$19)</f>
        <v/>
      </c>
      <c r="W1048" t="str">
        <f>IF($AS1048="","",INDEX('TMP Paste'!$C$2:$C$1601,$AS1048))</f>
        <v/>
      </c>
      <c r="X1048" t="str">
        <f>IF($AS1048="","",Config!$B$29)</f>
        <v/>
      </c>
      <c r="Y1048" t="str">
        <f>IF($AT1048="","",INDEX(Calc!$I$2:$I$1601,$AT1048)&amp;" - "&amp;INDEX(Calc!$D$2:$D$1601,$AT1048)&amp;" koli")</f>
        <v/>
      </c>
      <c r="Z1048" t="str">
        <f>IF($AS1048="","",Config!$B$21)</f>
        <v/>
      </c>
      <c r="AA1048" t="str">
        <f>IF($AS1048="","",Config!$B$22)</f>
        <v/>
      </c>
      <c r="AB1048" t="str">
        <f>IF($AT1048="","",INDEX(Calc!$D$2:$D$1601,$AT1048))</f>
        <v/>
      </c>
      <c r="AC1048" t="str">
        <f>IF($AT1048="","",INDEX(Calc!$G$2:$G$1601,$AT1048))</f>
        <v/>
      </c>
      <c r="AD1048" t="str">
        <f>IF($AS1048="","",Config!$B$23)</f>
        <v/>
      </c>
      <c r="AE1048" t="str">
        <f>IF($AS1048="","",Config!$B$28)</f>
        <v/>
      </c>
      <c r="AF1048" t="str">
        <f t="shared" si="98"/>
        <v/>
      </c>
      <c r="AG1048" t="str">
        <f t="shared" si="99"/>
        <v/>
      </c>
      <c r="AH1048" t="str">
        <f t="shared" si="100"/>
        <v/>
      </c>
      <c r="AI1048" t="str">
        <f>IF($AG1048="","",SUMIF($AG$2:$AG1048,$AG1048,$AH$2:$AH1048))</f>
        <v/>
      </c>
      <c r="AJ1048" t="str">
        <f>IF('TMP Paste'!$F1048="","",IF('TMP Paste'!$B1048="",$AJ1047,'TMP Paste'!$B1048))</f>
        <v/>
      </c>
      <c r="AK1048" t="str">
        <f>IF('TMP Paste'!$F1048="","",N('TMP Paste'!$G1048))</f>
        <v/>
      </c>
      <c r="AL1048" t="str">
        <f>IF('TMP Paste'!$F1048="","",IF('TMP Paste'!$M1048="",$AL1047,'TMP Paste'!$M1048))</f>
        <v/>
      </c>
      <c r="AM1048" t="str">
        <f>IF('TMP Paste'!$F1048="","",IF('TMP Paste'!$N1048="",$AM1047,'TMP Paste'!$N1048))</f>
        <v/>
      </c>
      <c r="AN1048" t="str">
        <f>IF('TMP Paste'!$F1048="","",IF('TMP Paste'!$O1048="",$AN1047,'TMP Paste'!$O1048))</f>
        <v/>
      </c>
      <c r="AO1048" t="str">
        <f>IF('TMP Paste'!$F1048="","",IF('TMP Paste'!$P1048="",$AO1047,'TMP Paste'!$P1048))</f>
        <v/>
      </c>
      <c r="AP1048" t="str">
        <f t="shared" si="101"/>
        <v/>
      </c>
      <c r="AQ1048" t="str">
        <f>IF($AS1048="","",TRIM(IF(COUNTIFS(Calc!$B$2:$B$1601,ROW()-1,Calc!$C$2:$C$1601,"&lt;1")&gt;0,"Ada PO tanpa Koli - cek TMP. ","")&amp;IF(OR($AU1048="",$AU1048&lt;=0),"Volume kosong/0 - dimensi dikosongkan. ","")&amp;IF(AND($AU1048&lt;&gt;"",$AU1048&gt;=1000000),"Volume &gt;= 1.000.000 cm3 (di luar aturan) - dimensi dikosongkan. ","")&amp;IF(LEN($R1048)&gt;500,"R &gt; 500 karakter.","")))</f>
        <v/>
      </c>
      <c r="AS1048" t="str">
        <f>IFERROR(MATCH(ROW()-1,Calc!$J$2:$J$1601,0),"")</f>
        <v/>
      </c>
      <c r="AT1048" t="str">
        <f>IFERROR(MATCH(ROW()-1,Calc!$K$2:$K$1601,0),"")</f>
        <v/>
      </c>
      <c r="AU1048" t="str">
        <f>IF($AS1048="","",IFERROR(INDEX('TMP Paste'!$D$2:$D$1601,$AS1048)*1000000/$AB1048,""))</f>
        <v/>
      </c>
    </row>
    <row r="1049" spans="1:47">
      <c r="A1049" t="str">
        <f>IF($AS1049="","",INDEX('TMP Paste'!$B$2:$B$1601,$AS1049))</f>
        <v/>
      </c>
      <c r="B1049" t="str">
        <f>IF($AS1049="","",Config!$B$14)</f>
        <v/>
      </c>
      <c r="C1049" t="str">
        <f>IF($AS1049="","",Config!$B$15)</f>
        <v/>
      </c>
      <c r="D1049" t="str">
        <f>IF($AS1049="","",INDEX('TMP Paste'!$B$2:$B$1601,$AS1049))</f>
        <v/>
      </c>
      <c r="E1049" t="str">
        <f>IF($AS1049="","",Config!$B$27)</f>
        <v/>
      </c>
      <c r="F1049" t="str">
        <f>IF($AS1049="","",Config!$B$9)</f>
        <v/>
      </c>
      <c r="G1049" t="str">
        <f>IF($AS1049="","",Config!$B$10)</f>
        <v/>
      </c>
      <c r="H1049" t="str">
        <f>IF($AS1049="","",Config!$B$11)</f>
        <v/>
      </c>
      <c r="I1049" t="str">
        <f>IF($AS1049="","",Config!$B$16)</f>
        <v/>
      </c>
      <c r="J1049" t="str">
        <f>IF($AS1049="","",INDEX('TMP Paste'!$A$2:$A$1601,$AS1049))</f>
        <v/>
      </c>
      <c r="K1049" t="str">
        <f>IF($AS1049="","",INDEX('TMP Paste'!$L$2:$L$1601,$AS1049))</f>
        <v/>
      </c>
      <c r="L1049" t="str">
        <f>IF($AS1049="","",INDEX('TMP Paste'!$I$2:$I$1601,$AS1049))</f>
        <v/>
      </c>
      <c r="M1049" t="str">
        <f>IF($AS1049="","",Config!$B$16)</f>
        <v/>
      </c>
      <c r="N1049" t="str">
        <f t="shared" si="96"/>
        <v/>
      </c>
      <c r="O1049" t="str">
        <f>IF($AS1049="","",INDEX('TMP Paste'!$K$2:$K$1601,$AS1049))</f>
        <v/>
      </c>
      <c r="P1049" t="str">
        <f t="shared" si="97"/>
        <v/>
      </c>
      <c r="Q1049" t="str">
        <f>IF($AS1049="","",INDEX('TMP Paste'!$J$2:$J$1601,$AS1049))</f>
        <v/>
      </c>
      <c r="R1049" t="str">
        <f>IF($AS1049="","",Config!$B$24)</f>
        <v/>
      </c>
      <c r="S1049" t="str">
        <f ca="1">IF($AS1049="","",TEXT(Config!$B$4,"yyyy-mm-dd"))</f>
        <v/>
      </c>
      <c r="T1049" t="str">
        <f>IF($AS1049="","",Config!$B$17)</f>
        <v/>
      </c>
      <c r="U1049" t="str">
        <f>IF($AS1049="","",Config!$B$18)</f>
        <v/>
      </c>
      <c r="V1049" t="str">
        <f>IF($AS1049="","",Config!$B$19)</f>
        <v/>
      </c>
      <c r="W1049" t="str">
        <f>IF($AS1049="","",INDEX('TMP Paste'!$C$2:$C$1601,$AS1049))</f>
        <v/>
      </c>
      <c r="X1049" t="str">
        <f>IF($AS1049="","",Config!$B$29)</f>
        <v/>
      </c>
      <c r="Y1049" t="str">
        <f>IF($AT1049="","",INDEX(Calc!$I$2:$I$1601,$AT1049)&amp;" - "&amp;INDEX(Calc!$D$2:$D$1601,$AT1049)&amp;" koli")</f>
        <v/>
      </c>
      <c r="Z1049" t="str">
        <f>IF($AS1049="","",Config!$B$21)</f>
        <v/>
      </c>
      <c r="AA1049" t="str">
        <f>IF($AS1049="","",Config!$B$22)</f>
        <v/>
      </c>
      <c r="AB1049" t="str">
        <f>IF($AT1049="","",INDEX(Calc!$D$2:$D$1601,$AT1049))</f>
        <v/>
      </c>
      <c r="AC1049" t="str">
        <f>IF($AT1049="","",INDEX(Calc!$G$2:$G$1601,$AT1049))</f>
        <v/>
      </c>
      <c r="AD1049" t="str">
        <f>IF($AS1049="","",Config!$B$23)</f>
        <v/>
      </c>
      <c r="AE1049" t="str">
        <f>IF($AS1049="","",Config!$B$28)</f>
        <v/>
      </c>
      <c r="AF1049" t="str">
        <f t="shared" si="98"/>
        <v/>
      </c>
      <c r="AG1049" t="str">
        <f t="shared" si="99"/>
        <v/>
      </c>
      <c r="AH1049" t="str">
        <f t="shared" si="100"/>
        <v/>
      </c>
      <c r="AI1049" t="str">
        <f>IF($AG1049="","",SUMIF($AG$2:$AG1049,$AG1049,$AH$2:$AH1049))</f>
        <v/>
      </c>
      <c r="AJ1049" t="str">
        <f>IF('TMP Paste'!$F1049="","",IF('TMP Paste'!$B1049="",$AJ1048,'TMP Paste'!$B1049))</f>
        <v/>
      </c>
      <c r="AK1049" t="str">
        <f>IF('TMP Paste'!$F1049="","",N('TMP Paste'!$G1049))</f>
        <v/>
      </c>
      <c r="AL1049" t="str">
        <f>IF('TMP Paste'!$F1049="","",IF('TMP Paste'!$M1049="",$AL1048,'TMP Paste'!$M1049))</f>
        <v/>
      </c>
      <c r="AM1049" t="str">
        <f>IF('TMP Paste'!$F1049="","",IF('TMP Paste'!$N1049="",$AM1048,'TMP Paste'!$N1049))</f>
        <v/>
      </c>
      <c r="AN1049" t="str">
        <f>IF('TMP Paste'!$F1049="","",IF('TMP Paste'!$O1049="",$AN1048,'TMP Paste'!$O1049))</f>
        <v/>
      </c>
      <c r="AO1049" t="str">
        <f>IF('TMP Paste'!$F1049="","",IF('TMP Paste'!$P1049="",$AO1048,'TMP Paste'!$P1049))</f>
        <v/>
      </c>
      <c r="AP1049" t="str">
        <f t="shared" si="101"/>
        <v/>
      </c>
      <c r="AQ1049" t="str">
        <f>IF($AS1049="","",TRIM(IF(COUNTIFS(Calc!$B$2:$B$1601,ROW()-1,Calc!$C$2:$C$1601,"&lt;1")&gt;0,"Ada PO tanpa Koli - cek TMP. ","")&amp;IF(OR($AU1049="",$AU1049&lt;=0),"Volume kosong/0 - dimensi dikosongkan. ","")&amp;IF(AND($AU1049&lt;&gt;"",$AU1049&gt;=1000000),"Volume &gt;= 1.000.000 cm3 (di luar aturan) - dimensi dikosongkan. ","")&amp;IF(LEN($R1049)&gt;500,"R &gt; 500 karakter.","")))</f>
        <v/>
      </c>
      <c r="AS1049" t="str">
        <f>IFERROR(MATCH(ROW()-1,Calc!$J$2:$J$1601,0),"")</f>
        <v/>
      </c>
      <c r="AT1049" t="str">
        <f>IFERROR(MATCH(ROW()-1,Calc!$K$2:$K$1601,0),"")</f>
        <v/>
      </c>
      <c r="AU1049" t="str">
        <f>IF($AS1049="","",IFERROR(INDEX('TMP Paste'!$D$2:$D$1601,$AS1049)*1000000/$AB1049,""))</f>
        <v/>
      </c>
    </row>
    <row r="1050" spans="1:47">
      <c r="A1050" t="str">
        <f>IF($AS1050="","",INDEX('TMP Paste'!$B$2:$B$1601,$AS1050))</f>
        <v/>
      </c>
      <c r="B1050" t="str">
        <f>IF($AS1050="","",Config!$B$14)</f>
        <v/>
      </c>
      <c r="C1050" t="str">
        <f>IF($AS1050="","",Config!$B$15)</f>
        <v/>
      </c>
      <c r="D1050" t="str">
        <f>IF($AS1050="","",INDEX('TMP Paste'!$B$2:$B$1601,$AS1050))</f>
        <v/>
      </c>
      <c r="E1050" t="str">
        <f>IF($AS1050="","",Config!$B$27)</f>
        <v/>
      </c>
      <c r="F1050" t="str">
        <f>IF($AS1050="","",Config!$B$9)</f>
        <v/>
      </c>
      <c r="G1050" t="str">
        <f>IF($AS1050="","",Config!$B$10)</f>
        <v/>
      </c>
      <c r="H1050" t="str">
        <f>IF($AS1050="","",Config!$B$11)</f>
        <v/>
      </c>
      <c r="I1050" t="str">
        <f>IF($AS1050="","",Config!$B$16)</f>
        <v/>
      </c>
      <c r="J1050" t="str">
        <f>IF($AS1050="","",INDEX('TMP Paste'!$A$2:$A$1601,$AS1050))</f>
        <v/>
      </c>
      <c r="K1050" t="str">
        <f>IF($AS1050="","",INDEX('TMP Paste'!$L$2:$L$1601,$AS1050))</f>
        <v/>
      </c>
      <c r="L1050" t="str">
        <f>IF($AS1050="","",INDEX('TMP Paste'!$I$2:$I$1601,$AS1050))</f>
        <v/>
      </c>
      <c r="M1050" t="str">
        <f>IF($AS1050="","",Config!$B$16)</f>
        <v/>
      </c>
      <c r="N1050" t="str">
        <f t="shared" si="96"/>
        <v/>
      </c>
      <c r="O1050" t="str">
        <f>IF($AS1050="","",INDEX('TMP Paste'!$K$2:$K$1601,$AS1050))</f>
        <v/>
      </c>
      <c r="P1050" t="str">
        <f t="shared" si="97"/>
        <v/>
      </c>
      <c r="Q1050" t="str">
        <f>IF($AS1050="","",INDEX('TMP Paste'!$J$2:$J$1601,$AS1050))</f>
        <v/>
      </c>
      <c r="R1050" t="str">
        <f>IF($AS1050="","",Config!$B$24)</f>
        <v/>
      </c>
      <c r="S1050" t="str">
        <f ca="1">IF($AS1050="","",TEXT(Config!$B$4,"yyyy-mm-dd"))</f>
        <v/>
      </c>
      <c r="T1050" t="str">
        <f>IF($AS1050="","",Config!$B$17)</f>
        <v/>
      </c>
      <c r="U1050" t="str">
        <f>IF($AS1050="","",Config!$B$18)</f>
        <v/>
      </c>
      <c r="V1050" t="str">
        <f>IF($AS1050="","",Config!$B$19)</f>
        <v/>
      </c>
      <c r="W1050" t="str">
        <f>IF($AS1050="","",INDEX('TMP Paste'!$C$2:$C$1601,$AS1050))</f>
        <v/>
      </c>
      <c r="X1050" t="str">
        <f>IF($AS1050="","",Config!$B$29)</f>
        <v/>
      </c>
      <c r="Y1050" t="str">
        <f>IF($AT1050="","",INDEX(Calc!$I$2:$I$1601,$AT1050)&amp;" - "&amp;INDEX(Calc!$D$2:$D$1601,$AT1050)&amp;" koli")</f>
        <v/>
      </c>
      <c r="Z1050" t="str">
        <f>IF($AS1050="","",Config!$B$21)</f>
        <v/>
      </c>
      <c r="AA1050" t="str">
        <f>IF($AS1050="","",Config!$B$22)</f>
        <v/>
      </c>
      <c r="AB1050" t="str">
        <f>IF($AT1050="","",INDEX(Calc!$D$2:$D$1601,$AT1050))</f>
        <v/>
      </c>
      <c r="AC1050" t="str">
        <f>IF($AT1050="","",INDEX(Calc!$G$2:$G$1601,$AT1050))</f>
        <v/>
      </c>
      <c r="AD1050" t="str">
        <f>IF($AS1050="","",Config!$B$23)</f>
        <v/>
      </c>
      <c r="AE1050" t="str">
        <f>IF($AS1050="","",Config!$B$28)</f>
        <v/>
      </c>
      <c r="AF1050" t="str">
        <f t="shared" si="98"/>
        <v/>
      </c>
      <c r="AG1050" t="str">
        <f t="shared" si="99"/>
        <v/>
      </c>
      <c r="AH1050" t="str">
        <f t="shared" si="100"/>
        <v/>
      </c>
      <c r="AI1050" t="str">
        <f>IF($AG1050="","",SUMIF($AG$2:$AG1050,$AG1050,$AH$2:$AH1050))</f>
        <v/>
      </c>
      <c r="AJ1050" t="str">
        <f>IF('TMP Paste'!$F1050="","",IF('TMP Paste'!$B1050="",$AJ1049,'TMP Paste'!$B1050))</f>
        <v/>
      </c>
      <c r="AK1050" t="str">
        <f>IF('TMP Paste'!$F1050="","",N('TMP Paste'!$G1050))</f>
        <v/>
      </c>
      <c r="AL1050" t="str">
        <f>IF('TMP Paste'!$F1050="","",IF('TMP Paste'!$M1050="",$AL1049,'TMP Paste'!$M1050))</f>
        <v/>
      </c>
      <c r="AM1050" t="str">
        <f>IF('TMP Paste'!$F1050="","",IF('TMP Paste'!$N1050="",$AM1049,'TMP Paste'!$N1050))</f>
        <v/>
      </c>
      <c r="AN1050" t="str">
        <f>IF('TMP Paste'!$F1050="","",IF('TMP Paste'!$O1050="",$AN1049,'TMP Paste'!$O1050))</f>
        <v/>
      </c>
      <c r="AO1050" t="str">
        <f>IF('TMP Paste'!$F1050="","",IF('TMP Paste'!$P1050="",$AO1049,'TMP Paste'!$P1050))</f>
        <v/>
      </c>
      <c r="AP1050" t="str">
        <f t="shared" si="101"/>
        <v/>
      </c>
      <c r="AQ1050" t="str">
        <f>IF($AS1050="","",TRIM(IF(COUNTIFS(Calc!$B$2:$B$1601,ROW()-1,Calc!$C$2:$C$1601,"&lt;1")&gt;0,"Ada PO tanpa Koli - cek TMP. ","")&amp;IF(OR($AU1050="",$AU1050&lt;=0),"Volume kosong/0 - dimensi dikosongkan. ","")&amp;IF(AND($AU1050&lt;&gt;"",$AU1050&gt;=1000000),"Volume &gt;= 1.000.000 cm3 (di luar aturan) - dimensi dikosongkan. ","")&amp;IF(LEN($R1050)&gt;500,"R &gt; 500 karakter.","")))</f>
        <v/>
      </c>
      <c r="AS1050" t="str">
        <f>IFERROR(MATCH(ROW()-1,Calc!$J$2:$J$1601,0),"")</f>
        <v/>
      </c>
      <c r="AT1050" t="str">
        <f>IFERROR(MATCH(ROW()-1,Calc!$K$2:$K$1601,0),"")</f>
        <v/>
      </c>
      <c r="AU1050" t="str">
        <f>IF($AS1050="","",IFERROR(INDEX('TMP Paste'!$D$2:$D$1601,$AS1050)*1000000/$AB1050,""))</f>
        <v/>
      </c>
    </row>
    <row r="1051" spans="1:47">
      <c r="A1051" t="str">
        <f>IF($AS1051="","",INDEX('TMP Paste'!$B$2:$B$1601,$AS1051))</f>
        <v/>
      </c>
      <c r="B1051" t="str">
        <f>IF($AS1051="","",Config!$B$14)</f>
        <v/>
      </c>
      <c r="C1051" t="str">
        <f>IF($AS1051="","",Config!$B$15)</f>
        <v/>
      </c>
      <c r="D1051" t="str">
        <f>IF($AS1051="","",INDEX('TMP Paste'!$B$2:$B$1601,$AS1051))</f>
        <v/>
      </c>
      <c r="E1051" t="str">
        <f>IF($AS1051="","",Config!$B$27)</f>
        <v/>
      </c>
      <c r="F1051" t="str">
        <f>IF($AS1051="","",Config!$B$9)</f>
        <v/>
      </c>
      <c r="G1051" t="str">
        <f>IF($AS1051="","",Config!$B$10)</f>
        <v/>
      </c>
      <c r="H1051" t="str">
        <f>IF($AS1051="","",Config!$B$11)</f>
        <v/>
      </c>
      <c r="I1051" t="str">
        <f>IF($AS1051="","",Config!$B$16)</f>
        <v/>
      </c>
      <c r="J1051" t="str">
        <f>IF($AS1051="","",INDEX('TMP Paste'!$A$2:$A$1601,$AS1051))</f>
        <v/>
      </c>
      <c r="K1051" t="str">
        <f>IF($AS1051="","",INDEX('TMP Paste'!$L$2:$L$1601,$AS1051))</f>
        <v/>
      </c>
      <c r="L1051" t="str">
        <f>IF($AS1051="","",INDEX('TMP Paste'!$I$2:$I$1601,$AS1051))</f>
        <v/>
      </c>
      <c r="M1051" t="str">
        <f>IF($AS1051="","",Config!$B$16)</f>
        <v/>
      </c>
      <c r="N1051" t="str">
        <f t="shared" si="96"/>
        <v/>
      </c>
      <c r="O1051" t="str">
        <f>IF($AS1051="","",INDEX('TMP Paste'!$K$2:$K$1601,$AS1051))</f>
        <v/>
      </c>
      <c r="P1051" t="str">
        <f t="shared" si="97"/>
        <v/>
      </c>
      <c r="Q1051" t="str">
        <f>IF($AS1051="","",INDEX('TMP Paste'!$J$2:$J$1601,$AS1051))</f>
        <v/>
      </c>
      <c r="R1051" t="str">
        <f>IF($AS1051="","",Config!$B$24)</f>
        <v/>
      </c>
      <c r="S1051" t="str">
        <f ca="1">IF($AS1051="","",TEXT(Config!$B$4,"yyyy-mm-dd"))</f>
        <v/>
      </c>
      <c r="T1051" t="str">
        <f>IF($AS1051="","",Config!$B$17)</f>
        <v/>
      </c>
      <c r="U1051" t="str">
        <f>IF($AS1051="","",Config!$B$18)</f>
        <v/>
      </c>
      <c r="V1051" t="str">
        <f>IF($AS1051="","",Config!$B$19)</f>
        <v/>
      </c>
      <c r="W1051" t="str">
        <f>IF($AS1051="","",INDEX('TMP Paste'!$C$2:$C$1601,$AS1051))</f>
        <v/>
      </c>
      <c r="X1051" t="str">
        <f>IF($AS1051="","",Config!$B$29)</f>
        <v/>
      </c>
      <c r="Y1051" t="str">
        <f>IF($AT1051="","",INDEX(Calc!$I$2:$I$1601,$AT1051)&amp;" - "&amp;INDEX(Calc!$D$2:$D$1601,$AT1051)&amp;" koli")</f>
        <v/>
      </c>
      <c r="Z1051" t="str">
        <f>IF($AS1051="","",Config!$B$21)</f>
        <v/>
      </c>
      <c r="AA1051" t="str">
        <f>IF($AS1051="","",Config!$B$22)</f>
        <v/>
      </c>
      <c r="AB1051" t="str">
        <f>IF($AT1051="","",INDEX(Calc!$D$2:$D$1601,$AT1051))</f>
        <v/>
      </c>
      <c r="AC1051" t="str">
        <f>IF($AT1051="","",INDEX(Calc!$G$2:$G$1601,$AT1051))</f>
        <v/>
      </c>
      <c r="AD1051" t="str">
        <f>IF($AS1051="","",Config!$B$23)</f>
        <v/>
      </c>
      <c r="AE1051" t="str">
        <f>IF($AS1051="","",Config!$B$28)</f>
        <v/>
      </c>
      <c r="AF1051" t="str">
        <f t="shared" si="98"/>
        <v/>
      </c>
      <c r="AG1051" t="str">
        <f t="shared" si="99"/>
        <v/>
      </c>
      <c r="AH1051" t="str">
        <f t="shared" si="100"/>
        <v/>
      </c>
      <c r="AI1051" t="str">
        <f>IF($AG1051="","",SUMIF($AG$2:$AG1051,$AG1051,$AH$2:$AH1051))</f>
        <v/>
      </c>
      <c r="AJ1051" t="str">
        <f>IF('TMP Paste'!$F1051="","",IF('TMP Paste'!$B1051="",$AJ1050,'TMP Paste'!$B1051))</f>
        <v/>
      </c>
      <c r="AK1051" t="str">
        <f>IF('TMP Paste'!$F1051="","",N('TMP Paste'!$G1051))</f>
        <v/>
      </c>
      <c r="AL1051" t="str">
        <f>IF('TMP Paste'!$F1051="","",IF('TMP Paste'!$M1051="",$AL1050,'TMP Paste'!$M1051))</f>
        <v/>
      </c>
      <c r="AM1051" t="str">
        <f>IF('TMP Paste'!$F1051="","",IF('TMP Paste'!$N1051="",$AM1050,'TMP Paste'!$N1051))</f>
        <v/>
      </c>
      <c r="AN1051" t="str">
        <f>IF('TMP Paste'!$F1051="","",IF('TMP Paste'!$O1051="",$AN1050,'TMP Paste'!$O1051))</f>
        <v/>
      </c>
      <c r="AO1051" t="str">
        <f>IF('TMP Paste'!$F1051="","",IF('TMP Paste'!$P1051="",$AO1050,'TMP Paste'!$P1051))</f>
        <v/>
      </c>
      <c r="AP1051" t="str">
        <f t="shared" si="101"/>
        <v/>
      </c>
      <c r="AQ1051" t="str">
        <f>IF($AS1051="","",TRIM(IF(COUNTIFS(Calc!$B$2:$B$1601,ROW()-1,Calc!$C$2:$C$1601,"&lt;1")&gt;0,"Ada PO tanpa Koli - cek TMP. ","")&amp;IF(OR($AU1051="",$AU1051&lt;=0),"Volume kosong/0 - dimensi dikosongkan. ","")&amp;IF(AND($AU1051&lt;&gt;"",$AU1051&gt;=1000000),"Volume &gt;= 1.000.000 cm3 (di luar aturan) - dimensi dikosongkan. ","")&amp;IF(LEN($R1051)&gt;500,"R &gt; 500 karakter.","")))</f>
        <v/>
      </c>
      <c r="AS1051" t="str">
        <f>IFERROR(MATCH(ROW()-1,Calc!$J$2:$J$1601,0),"")</f>
        <v/>
      </c>
      <c r="AT1051" t="str">
        <f>IFERROR(MATCH(ROW()-1,Calc!$K$2:$K$1601,0),"")</f>
        <v/>
      </c>
      <c r="AU1051" t="str">
        <f>IF($AS1051="","",IFERROR(INDEX('TMP Paste'!$D$2:$D$1601,$AS1051)*1000000/$AB1051,""))</f>
        <v/>
      </c>
    </row>
    <row r="1052" spans="1:47">
      <c r="A1052" t="str">
        <f>IF($AS1052="","",INDEX('TMP Paste'!$B$2:$B$1601,$AS1052))</f>
        <v/>
      </c>
      <c r="B1052" t="str">
        <f>IF($AS1052="","",Config!$B$14)</f>
        <v/>
      </c>
      <c r="C1052" t="str">
        <f>IF($AS1052="","",Config!$B$15)</f>
        <v/>
      </c>
      <c r="D1052" t="str">
        <f>IF($AS1052="","",INDEX('TMP Paste'!$B$2:$B$1601,$AS1052))</f>
        <v/>
      </c>
      <c r="E1052" t="str">
        <f>IF($AS1052="","",Config!$B$27)</f>
        <v/>
      </c>
      <c r="F1052" t="str">
        <f>IF($AS1052="","",Config!$B$9)</f>
        <v/>
      </c>
      <c r="G1052" t="str">
        <f>IF($AS1052="","",Config!$B$10)</f>
        <v/>
      </c>
      <c r="H1052" t="str">
        <f>IF($AS1052="","",Config!$B$11)</f>
        <v/>
      </c>
      <c r="I1052" t="str">
        <f>IF($AS1052="","",Config!$B$16)</f>
        <v/>
      </c>
      <c r="J1052" t="str">
        <f>IF($AS1052="","",INDEX('TMP Paste'!$A$2:$A$1601,$AS1052))</f>
        <v/>
      </c>
      <c r="K1052" t="str">
        <f>IF($AS1052="","",INDEX('TMP Paste'!$L$2:$L$1601,$AS1052))</f>
        <v/>
      </c>
      <c r="L1052" t="str">
        <f>IF($AS1052="","",INDEX('TMP Paste'!$I$2:$I$1601,$AS1052))</f>
        <v/>
      </c>
      <c r="M1052" t="str">
        <f>IF($AS1052="","",Config!$B$16)</f>
        <v/>
      </c>
      <c r="N1052" t="str">
        <f t="shared" si="96"/>
        <v/>
      </c>
      <c r="O1052" t="str">
        <f>IF($AS1052="","",INDEX('TMP Paste'!$K$2:$K$1601,$AS1052))</f>
        <v/>
      </c>
      <c r="P1052" t="str">
        <f t="shared" si="97"/>
        <v/>
      </c>
      <c r="Q1052" t="str">
        <f>IF($AS1052="","",INDEX('TMP Paste'!$J$2:$J$1601,$AS1052))</f>
        <v/>
      </c>
      <c r="R1052" t="str">
        <f>IF($AS1052="","",Config!$B$24)</f>
        <v/>
      </c>
      <c r="S1052" t="str">
        <f ca="1">IF($AS1052="","",TEXT(Config!$B$4,"yyyy-mm-dd"))</f>
        <v/>
      </c>
      <c r="T1052" t="str">
        <f>IF($AS1052="","",Config!$B$17)</f>
        <v/>
      </c>
      <c r="U1052" t="str">
        <f>IF($AS1052="","",Config!$B$18)</f>
        <v/>
      </c>
      <c r="V1052" t="str">
        <f>IF($AS1052="","",Config!$B$19)</f>
        <v/>
      </c>
      <c r="W1052" t="str">
        <f>IF($AS1052="","",INDEX('TMP Paste'!$C$2:$C$1601,$AS1052))</f>
        <v/>
      </c>
      <c r="X1052" t="str">
        <f>IF($AS1052="","",Config!$B$29)</f>
        <v/>
      </c>
      <c r="Y1052" t="str">
        <f>IF($AT1052="","",INDEX(Calc!$I$2:$I$1601,$AT1052)&amp;" - "&amp;INDEX(Calc!$D$2:$D$1601,$AT1052)&amp;" koli")</f>
        <v/>
      </c>
      <c r="Z1052" t="str">
        <f>IF($AS1052="","",Config!$B$21)</f>
        <v/>
      </c>
      <c r="AA1052" t="str">
        <f>IF($AS1052="","",Config!$B$22)</f>
        <v/>
      </c>
      <c r="AB1052" t="str">
        <f>IF($AT1052="","",INDEX(Calc!$D$2:$D$1601,$AT1052))</f>
        <v/>
      </c>
      <c r="AC1052" t="str">
        <f>IF($AT1052="","",INDEX(Calc!$G$2:$G$1601,$AT1052))</f>
        <v/>
      </c>
      <c r="AD1052" t="str">
        <f>IF($AS1052="","",Config!$B$23)</f>
        <v/>
      </c>
      <c r="AE1052" t="str">
        <f>IF($AS1052="","",Config!$B$28)</f>
        <v/>
      </c>
      <c r="AF1052" t="str">
        <f t="shared" si="98"/>
        <v/>
      </c>
      <c r="AG1052" t="str">
        <f t="shared" si="99"/>
        <v/>
      </c>
      <c r="AH1052" t="str">
        <f t="shared" si="100"/>
        <v/>
      </c>
      <c r="AI1052" t="str">
        <f>IF($AG1052="","",SUMIF($AG$2:$AG1052,$AG1052,$AH$2:$AH1052))</f>
        <v/>
      </c>
      <c r="AJ1052" t="str">
        <f>IF('TMP Paste'!$F1052="","",IF('TMP Paste'!$B1052="",$AJ1051,'TMP Paste'!$B1052))</f>
        <v/>
      </c>
      <c r="AK1052" t="str">
        <f>IF('TMP Paste'!$F1052="","",N('TMP Paste'!$G1052))</f>
        <v/>
      </c>
      <c r="AL1052" t="str">
        <f>IF('TMP Paste'!$F1052="","",IF('TMP Paste'!$M1052="",$AL1051,'TMP Paste'!$M1052))</f>
        <v/>
      </c>
      <c r="AM1052" t="str">
        <f>IF('TMP Paste'!$F1052="","",IF('TMP Paste'!$N1052="",$AM1051,'TMP Paste'!$N1052))</f>
        <v/>
      </c>
      <c r="AN1052" t="str">
        <f>IF('TMP Paste'!$F1052="","",IF('TMP Paste'!$O1052="",$AN1051,'TMP Paste'!$O1052))</f>
        <v/>
      </c>
      <c r="AO1052" t="str">
        <f>IF('TMP Paste'!$F1052="","",IF('TMP Paste'!$P1052="",$AO1051,'TMP Paste'!$P1052))</f>
        <v/>
      </c>
      <c r="AP1052" t="str">
        <f t="shared" si="101"/>
        <v/>
      </c>
      <c r="AQ1052" t="str">
        <f>IF($AS1052="","",TRIM(IF(COUNTIFS(Calc!$B$2:$B$1601,ROW()-1,Calc!$C$2:$C$1601,"&lt;1")&gt;0,"Ada PO tanpa Koli - cek TMP. ","")&amp;IF(OR($AU1052="",$AU1052&lt;=0),"Volume kosong/0 - dimensi dikosongkan. ","")&amp;IF(AND($AU1052&lt;&gt;"",$AU1052&gt;=1000000),"Volume &gt;= 1.000.000 cm3 (di luar aturan) - dimensi dikosongkan. ","")&amp;IF(LEN($R1052)&gt;500,"R &gt; 500 karakter.","")))</f>
        <v/>
      </c>
      <c r="AS1052" t="str">
        <f>IFERROR(MATCH(ROW()-1,Calc!$J$2:$J$1601,0),"")</f>
        <v/>
      </c>
      <c r="AT1052" t="str">
        <f>IFERROR(MATCH(ROW()-1,Calc!$K$2:$K$1601,0),"")</f>
        <v/>
      </c>
      <c r="AU1052" t="str">
        <f>IF($AS1052="","",IFERROR(INDEX('TMP Paste'!$D$2:$D$1601,$AS1052)*1000000/$AB1052,""))</f>
        <v/>
      </c>
    </row>
    <row r="1053" spans="1:47">
      <c r="A1053" t="str">
        <f>IF($AS1053="","",INDEX('TMP Paste'!$B$2:$B$1601,$AS1053))</f>
        <v/>
      </c>
      <c r="B1053" t="str">
        <f>IF($AS1053="","",Config!$B$14)</f>
        <v/>
      </c>
      <c r="C1053" t="str">
        <f>IF($AS1053="","",Config!$B$15)</f>
        <v/>
      </c>
      <c r="D1053" t="str">
        <f>IF($AS1053="","",INDEX('TMP Paste'!$B$2:$B$1601,$AS1053))</f>
        <v/>
      </c>
      <c r="E1053" t="str">
        <f>IF($AS1053="","",Config!$B$27)</f>
        <v/>
      </c>
      <c r="F1053" t="str">
        <f>IF($AS1053="","",Config!$B$9)</f>
        <v/>
      </c>
      <c r="G1053" t="str">
        <f>IF($AS1053="","",Config!$B$10)</f>
        <v/>
      </c>
      <c r="H1053" t="str">
        <f>IF($AS1053="","",Config!$B$11)</f>
        <v/>
      </c>
      <c r="I1053" t="str">
        <f>IF($AS1053="","",Config!$B$16)</f>
        <v/>
      </c>
      <c r="J1053" t="str">
        <f>IF($AS1053="","",INDEX('TMP Paste'!$A$2:$A$1601,$AS1053))</f>
        <v/>
      </c>
      <c r="K1053" t="str">
        <f>IF($AS1053="","",INDEX('TMP Paste'!$L$2:$L$1601,$AS1053))</f>
        <v/>
      </c>
      <c r="L1053" t="str">
        <f>IF($AS1053="","",INDEX('TMP Paste'!$I$2:$I$1601,$AS1053))</f>
        <v/>
      </c>
      <c r="M1053" t="str">
        <f>IF($AS1053="","",Config!$B$16)</f>
        <v/>
      </c>
      <c r="N1053" t="str">
        <f t="shared" si="96"/>
        <v/>
      </c>
      <c r="O1053" t="str">
        <f>IF($AS1053="","",INDEX('TMP Paste'!$K$2:$K$1601,$AS1053))</f>
        <v/>
      </c>
      <c r="P1053" t="str">
        <f t="shared" si="97"/>
        <v/>
      </c>
      <c r="Q1053" t="str">
        <f>IF($AS1053="","",INDEX('TMP Paste'!$J$2:$J$1601,$AS1053))</f>
        <v/>
      </c>
      <c r="R1053" t="str">
        <f>IF($AS1053="","",Config!$B$24)</f>
        <v/>
      </c>
      <c r="S1053" t="str">
        <f ca="1">IF($AS1053="","",TEXT(Config!$B$4,"yyyy-mm-dd"))</f>
        <v/>
      </c>
      <c r="T1053" t="str">
        <f>IF($AS1053="","",Config!$B$17)</f>
        <v/>
      </c>
      <c r="U1053" t="str">
        <f>IF($AS1053="","",Config!$B$18)</f>
        <v/>
      </c>
      <c r="V1053" t="str">
        <f>IF($AS1053="","",Config!$B$19)</f>
        <v/>
      </c>
      <c r="W1053" t="str">
        <f>IF($AS1053="","",INDEX('TMP Paste'!$C$2:$C$1601,$AS1053))</f>
        <v/>
      </c>
      <c r="X1053" t="str">
        <f>IF($AS1053="","",Config!$B$29)</f>
        <v/>
      </c>
      <c r="Y1053" t="str">
        <f>IF($AT1053="","",INDEX(Calc!$I$2:$I$1601,$AT1053)&amp;" - "&amp;INDEX(Calc!$D$2:$D$1601,$AT1053)&amp;" koli")</f>
        <v/>
      </c>
      <c r="Z1053" t="str">
        <f>IF($AS1053="","",Config!$B$21)</f>
        <v/>
      </c>
      <c r="AA1053" t="str">
        <f>IF($AS1053="","",Config!$B$22)</f>
        <v/>
      </c>
      <c r="AB1053" t="str">
        <f>IF($AT1053="","",INDEX(Calc!$D$2:$D$1601,$AT1053))</f>
        <v/>
      </c>
      <c r="AC1053" t="str">
        <f>IF($AT1053="","",INDEX(Calc!$G$2:$G$1601,$AT1053))</f>
        <v/>
      </c>
      <c r="AD1053" t="str">
        <f>IF($AS1053="","",Config!$B$23)</f>
        <v/>
      </c>
      <c r="AE1053" t="str">
        <f>IF($AS1053="","",Config!$B$28)</f>
        <v/>
      </c>
      <c r="AF1053" t="str">
        <f t="shared" si="98"/>
        <v/>
      </c>
      <c r="AG1053" t="str">
        <f t="shared" si="99"/>
        <v/>
      </c>
      <c r="AH1053" t="str">
        <f t="shared" si="100"/>
        <v/>
      </c>
      <c r="AI1053" t="str">
        <f>IF($AG1053="","",SUMIF($AG$2:$AG1053,$AG1053,$AH$2:$AH1053))</f>
        <v/>
      </c>
      <c r="AJ1053" t="str">
        <f>IF('TMP Paste'!$F1053="","",IF('TMP Paste'!$B1053="",$AJ1052,'TMP Paste'!$B1053))</f>
        <v/>
      </c>
      <c r="AK1053" t="str">
        <f>IF('TMP Paste'!$F1053="","",N('TMP Paste'!$G1053))</f>
        <v/>
      </c>
      <c r="AL1053" t="str">
        <f>IF('TMP Paste'!$F1053="","",IF('TMP Paste'!$M1053="",$AL1052,'TMP Paste'!$M1053))</f>
        <v/>
      </c>
      <c r="AM1053" t="str">
        <f>IF('TMP Paste'!$F1053="","",IF('TMP Paste'!$N1053="",$AM1052,'TMP Paste'!$N1053))</f>
        <v/>
      </c>
      <c r="AN1053" t="str">
        <f>IF('TMP Paste'!$F1053="","",IF('TMP Paste'!$O1053="",$AN1052,'TMP Paste'!$O1053))</f>
        <v/>
      </c>
      <c r="AO1053" t="str">
        <f>IF('TMP Paste'!$F1053="","",IF('TMP Paste'!$P1053="",$AO1052,'TMP Paste'!$P1053))</f>
        <v/>
      </c>
      <c r="AP1053" t="str">
        <f t="shared" si="101"/>
        <v/>
      </c>
      <c r="AQ1053" t="str">
        <f>IF($AS1053="","",TRIM(IF(COUNTIFS(Calc!$B$2:$B$1601,ROW()-1,Calc!$C$2:$C$1601,"&lt;1")&gt;0,"Ada PO tanpa Koli - cek TMP. ","")&amp;IF(OR($AU1053="",$AU1053&lt;=0),"Volume kosong/0 - dimensi dikosongkan. ","")&amp;IF(AND($AU1053&lt;&gt;"",$AU1053&gt;=1000000),"Volume &gt;= 1.000.000 cm3 (di luar aturan) - dimensi dikosongkan. ","")&amp;IF(LEN($R1053)&gt;500,"R &gt; 500 karakter.","")))</f>
        <v/>
      </c>
      <c r="AS1053" t="str">
        <f>IFERROR(MATCH(ROW()-1,Calc!$J$2:$J$1601,0),"")</f>
        <v/>
      </c>
      <c r="AT1053" t="str">
        <f>IFERROR(MATCH(ROW()-1,Calc!$K$2:$K$1601,0),"")</f>
        <v/>
      </c>
      <c r="AU1053" t="str">
        <f>IF($AS1053="","",IFERROR(INDEX('TMP Paste'!$D$2:$D$1601,$AS1053)*1000000/$AB1053,""))</f>
        <v/>
      </c>
    </row>
    <row r="1054" spans="1:47">
      <c r="A1054" t="str">
        <f>IF($AS1054="","",INDEX('TMP Paste'!$B$2:$B$1601,$AS1054))</f>
        <v/>
      </c>
      <c r="B1054" t="str">
        <f>IF($AS1054="","",Config!$B$14)</f>
        <v/>
      </c>
      <c r="C1054" t="str">
        <f>IF($AS1054="","",Config!$B$15)</f>
        <v/>
      </c>
      <c r="D1054" t="str">
        <f>IF($AS1054="","",INDEX('TMP Paste'!$B$2:$B$1601,$AS1054))</f>
        <v/>
      </c>
      <c r="E1054" t="str">
        <f>IF($AS1054="","",Config!$B$27)</f>
        <v/>
      </c>
      <c r="F1054" t="str">
        <f>IF($AS1054="","",Config!$B$9)</f>
        <v/>
      </c>
      <c r="G1054" t="str">
        <f>IF($AS1054="","",Config!$B$10)</f>
        <v/>
      </c>
      <c r="H1054" t="str">
        <f>IF($AS1054="","",Config!$B$11)</f>
        <v/>
      </c>
      <c r="I1054" t="str">
        <f>IF($AS1054="","",Config!$B$16)</f>
        <v/>
      </c>
      <c r="J1054" t="str">
        <f>IF($AS1054="","",INDEX('TMP Paste'!$A$2:$A$1601,$AS1054))</f>
        <v/>
      </c>
      <c r="K1054" t="str">
        <f>IF($AS1054="","",INDEX('TMP Paste'!$L$2:$L$1601,$AS1054))</f>
        <v/>
      </c>
      <c r="L1054" t="str">
        <f>IF($AS1054="","",INDEX('TMP Paste'!$I$2:$I$1601,$AS1054))</f>
        <v/>
      </c>
      <c r="M1054" t="str">
        <f>IF($AS1054="","",Config!$B$16)</f>
        <v/>
      </c>
      <c r="N1054" t="str">
        <f t="shared" si="96"/>
        <v/>
      </c>
      <c r="O1054" t="str">
        <f>IF($AS1054="","",INDEX('TMP Paste'!$K$2:$K$1601,$AS1054))</f>
        <v/>
      </c>
      <c r="P1054" t="str">
        <f t="shared" si="97"/>
        <v/>
      </c>
      <c r="Q1054" t="str">
        <f>IF($AS1054="","",INDEX('TMP Paste'!$J$2:$J$1601,$AS1054))</f>
        <v/>
      </c>
      <c r="R1054" t="str">
        <f>IF($AS1054="","",Config!$B$24)</f>
        <v/>
      </c>
      <c r="S1054" t="str">
        <f ca="1">IF($AS1054="","",TEXT(Config!$B$4,"yyyy-mm-dd"))</f>
        <v/>
      </c>
      <c r="T1054" t="str">
        <f>IF($AS1054="","",Config!$B$17)</f>
        <v/>
      </c>
      <c r="U1054" t="str">
        <f>IF($AS1054="","",Config!$B$18)</f>
        <v/>
      </c>
      <c r="V1054" t="str">
        <f>IF($AS1054="","",Config!$B$19)</f>
        <v/>
      </c>
      <c r="W1054" t="str">
        <f>IF($AS1054="","",INDEX('TMP Paste'!$C$2:$C$1601,$AS1054))</f>
        <v/>
      </c>
      <c r="X1054" t="str">
        <f>IF($AS1054="","",Config!$B$29)</f>
        <v/>
      </c>
      <c r="Y1054" t="str">
        <f>IF($AT1054="","",INDEX(Calc!$I$2:$I$1601,$AT1054)&amp;" - "&amp;INDEX(Calc!$D$2:$D$1601,$AT1054)&amp;" koli")</f>
        <v/>
      </c>
      <c r="Z1054" t="str">
        <f>IF($AS1054="","",Config!$B$21)</f>
        <v/>
      </c>
      <c r="AA1054" t="str">
        <f>IF($AS1054="","",Config!$B$22)</f>
        <v/>
      </c>
      <c r="AB1054" t="str">
        <f>IF($AT1054="","",INDEX(Calc!$D$2:$D$1601,$AT1054))</f>
        <v/>
      </c>
      <c r="AC1054" t="str">
        <f>IF($AT1054="","",INDEX(Calc!$G$2:$G$1601,$AT1054))</f>
        <v/>
      </c>
      <c r="AD1054" t="str">
        <f>IF($AS1054="","",Config!$B$23)</f>
        <v/>
      </c>
      <c r="AE1054" t="str">
        <f>IF($AS1054="","",Config!$B$28)</f>
        <v/>
      </c>
      <c r="AF1054" t="str">
        <f t="shared" si="98"/>
        <v/>
      </c>
      <c r="AG1054" t="str">
        <f t="shared" si="99"/>
        <v/>
      </c>
      <c r="AH1054" t="str">
        <f t="shared" si="100"/>
        <v/>
      </c>
      <c r="AI1054" t="str">
        <f>IF($AG1054="","",SUMIF($AG$2:$AG1054,$AG1054,$AH$2:$AH1054))</f>
        <v/>
      </c>
      <c r="AJ1054" t="str">
        <f>IF('TMP Paste'!$F1054="","",IF('TMP Paste'!$B1054="",$AJ1053,'TMP Paste'!$B1054))</f>
        <v/>
      </c>
      <c r="AK1054" t="str">
        <f>IF('TMP Paste'!$F1054="","",N('TMP Paste'!$G1054))</f>
        <v/>
      </c>
      <c r="AL1054" t="str">
        <f>IF('TMP Paste'!$F1054="","",IF('TMP Paste'!$M1054="",$AL1053,'TMP Paste'!$M1054))</f>
        <v/>
      </c>
      <c r="AM1054" t="str">
        <f>IF('TMP Paste'!$F1054="","",IF('TMP Paste'!$N1054="",$AM1053,'TMP Paste'!$N1054))</f>
        <v/>
      </c>
      <c r="AN1054" t="str">
        <f>IF('TMP Paste'!$F1054="","",IF('TMP Paste'!$O1054="",$AN1053,'TMP Paste'!$O1054))</f>
        <v/>
      </c>
      <c r="AO1054" t="str">
        <f>IF('TMP Paste'!$F1054="","",IF('TMP Paste'!$P1054="",$AO1053,'TMP Paste'!$P1054))</f>
        <v/>
      </c>
      <c r="AP1054" t="str">
        <f t="shared" si="101"/>
        <v/>
      </c>
      <c r="AQ1054" t="str">
        <f>IF($AS1054="","",TRIM(IF(COUNTIFS(Calc!$B$2:$B$1601,ROW()-1,Calc!$C$2:$C$1601,"&lt;1")&gt;0,"Ada PO tanpa Koli - cek TMP. ","")&amp;IF(OR($AU1054="",$AU1054&lt;=0),"Volume kosong/0 - dimensi dikosongkan. ","")&amp;IF(AND($AU1054&lt;&gt;"",$AU1054&gt;=1000000),"Volume &gt;= 1.000.000 cm3 (di luar aturan) - dimensi dikosongkan. ","")&amp;IF(LEN($R1054)&gt;500,"R &gt; 500 karakter.","")))</f>
        <v/>
      </c>
      <c r="AS1054" t="str">
        <f>IFERROR(MATCH(ROW()-1,Calc!$J$2:$J$1601,0),"")</f>
        <v/>
      </c>
      <c r="AT1054" t="str">
        <f>IFERROR(MATCH(ROW()-1,Calc!$K$2:$K$1601,0),"")</f>
        <v/>
      </c>
      <c r="AU1054" t="str">
        <f>IF($AS1054="","",IFERROR(INDEX('TMP Paste'!$D$2:$D$1601,$AS1054)*1000000/$AB1054,""))</f>
        <v/>
      </c>
    </row>
    <row r="1055" spans="1:47">
      <c r="A1055" t="str">
        <f>IF($AS1055="","",INDEX('TMP Paste'!$B$2:$B$1601,$AS1055))</f>
        <v/>
      </c>
      <c r="B1055" t="str">
        <f>IF($AS1055="","",Config!$B$14)</f>
        <v/>
      </c>
      <c r="C1055" t="str">
        <f>IF($AS1055="","",Config!$B$15)</f>
        <v/>
      </c>
      <c r="D1055" t="str">
        <f>IF($AS1055="","",INDEX('TMP Paste'!$B$2:$B$1601,$AS1055))</f>
        <v/>
      </c>
      <c r="E1055" t="str">
        <f>IF($AS1055="","",Config!$B$27)</f>
        <v/>
      </c>
      <c r="F1055" t="str">
        <f>IF($AS1055="","",Config!$B$9)</f>
        <v/>
      </c>
      <c r="G1055" t="str">
        <f>IF($AS1055="","",Config!$B$10)</f>
        <v/>
      </c>
      <c r="H1055" t="str">
        <f>IF($AS1055="","",Config!$B$11)</f>
        <v/>
      </c>
      <c r="I1055" t="str">
        <f>IF($AS1055="","",Config!$B$16)</f>
        <v/>
      </c>
      <c r="J1055" t="str">
        <f>IF($AS1055="","",INDEX('TMP Paste'!$A$2:$A$1601,$AS1055))</f>
        <v/>
      </c>
      <c r="K1055" t="str">
        <f>IF($AS1055="","",INDEX('TMP Paste'!$L$2:$L$1601,$AS1055))</f>
        <v/>
      </c>
      <c r="L1055" t="str">
        <f>IF($AS1055="","",INDEX('TMP Paste'!$I$2:$I$1601,$AS1055))</f>
        <v/>
      </c>
      <c r="M1055" t="str">
        <f>IF($AS1055="","",Config!$B$16)</f>
        <v/>
      </c>
      <c r="N1055" t="str">
        <f t="shared" si="96"/>
        <v/>
      </c>
      <c r="O1055" t="str">
        <f>IF($AS1055="","",INDEX('TMP Paste'!$K$2:$K$1601,$AS1055))</f>
        <v/>
      </c>
      <c r="P1055" t="str">
        <f t="shared" si="97"/>
        <v/>
      </c>
      <c r="Q1055" t="str">
        <f>IF($AS1055="","",INDEX('TMP Paste'!$J$2:$J$1601,$AS1055))</f>
        <v/>
      </c>
      <c r="R1055" t="str">
        <f>IF($AS1055="","",Config!$B$24)</f>
        <v/>
      </c>
      <c r="S1055" t="str">
        <f ca="1">IF($AS1055="","",TEXT(Config!$B$4,"yyyy-mm-dd"))</f>
        <v/>
      </c>
      <c r="T1055" t="str">
        <f>IF($AS1055="","",Config!$B$17)</f>
        <v/>
      </c>
      <c r="U1055" t="str">
        <f>IF($AS1055="","",Config!$B$18)</f>
        <v/>
      </c>
      <c r="V1055" t="str">
        <f>IF($AS1055="","",Config!$B$19)</f>
        <v/>
      </c>
      <c r="W1055" t="str">
        <f>IF($AS1055="","",INDEX('TMP Paste'!$C$2:$C$1601,$AS1055))</f>
        <v/>
      </c>
      <c r="X1055" t="str">
        <f>IF($AS1055="","",Config!$B$29)</f>
        <v/>
      </c>
      <c r="Y1055" t="str">
        <f>IF($AT1055="","",INDEX(Calc!$I$2:$I$1601,$AT1055)&amp;" - "&amp;INDEX(Calc!$D$2:$D$1601,$AT1055)&amp;" koli")</f>
        <v/>
      </c>
      <c r="Z1055" t="str">
        <f>IF($AS1055="","",Config!$B$21)</f>
        <v/>
      </c>
      <c r="AA1055" t="str">
        <f>IF($AS1055="","",Config!$B$22)</f>
        <v/>
      </c>
      <c r="AB1055" t="str">
        <f>IF($AT1055="","",INDEX(Calc!$D$2:$D$1601,$AT1055))</f>
        <v/>
      </c>
      <c r="AC1055" t="str">
        <f>IF($AT1055="","",INDEX(Calc!$G$2:$G$1601,$AT1055))</f>
        <v/>
      </c>
      <c r="AD1055" t="str">
        <f>IF($AS1055="","",Config!$B$23)</f>
        <v/>
      </c>
      <c r="AE1055" t="str">
        <f>IF($AS1055="","",Config!$B$28)</f>
        <v/>
      </c>
      <c r="AF1055" t="str">
        <f t="shared" si="98"/>
        <v/>
      </c>
      <c r="AG1055" t="str">
        <f t="shared" si="99"/>
        <v/>
      </c>
      <c r="AH1055" t="str">
        <f t="shared" si="100"/>
        <v/>
      </c>
      <c r="AI1055" t="str">
        <f>IF($AG1055="","",SUMIF($AG$2:$AG1055,$AG1055,$AH$2:$AH1055))</f>
        <v/>
      </c>
      <c r="AJ1055" t="str">
        <f>IF('TMP Paste'!$F1055="","",IF('TMP Paste'!$B1055="",$AJ1054,'TMP Paste'!$B1055))</f>
        <v/>
      </c>
      <c r="AK1055" t="str">
        <f>IF('TMP Paste'!$F1055="","",N('TMP Paste'!$G1055))</f>
        <v/>
      </c>
      <c r="AL1055" t="str">
        <f>IF('TMP Paste'!$F1055="","",IF('TMP Paste'!$M1055="",$AL1054,'TMP Paste'!$M1055))</f>
        <v/>
      </c>
      <c r="AM1055" t="str">
        <f>IF('TMP Paste'!$F1055="","",IF('TMP Paste'!$N1055="",$AM1054,'TMP Paste'!$N1055))</f>
        <v/>
      </c>
      <c r="AN1055" t="str">
        <f>IF('TMP Paste'!$F1055="","",IF('TMP Paste'!$O1055="",$AN1054,'TMP Paste'!$O1055))</f>
        <v/>
      </c>
      <c r="AO1055" t="str">
        <f>IF('TMP Paste'!$F1055="","",IF('TMP Paste'!$P1055="",$AO1054,'TMP Paste'!$P1055))</f>
        <v/>
      </c>
      <c r="AP1055" t="str">
        <f t="shared" si="101"/>
        <v/>
      </c>
      <c r="AQ1055" t="str">
        <f>IF($AS1055="","",TRIM(IF(COUNTIFS(Calc!$B$2:$B$1601,ROW()-1,Calc!$C$2:$C$1601,"&lt;1")&gt;0,"Ada PO tanpa Koli - cek TMP. ","")&amp;IF(OR($AU1055="",$AU1055&lt;=0),"Volume kosong/0 - dimensi dikosongkan. ","")&amp;IF(AND($AU1055&lt;&gt;"",$AU1055&gt;=1000000),"Volume &gt;= 1.000.000 cm3 (di luar aturan) - dimensi dikosongkan. ","")&amp;IF(LEN($R1055)&gt;500,"R &gt; 500 karakter.","")))</f>
        <v/>
      </c>
      <c r="AS1055" t="str">
        <f>IFERROR(MATCH(ROW()-1,Calc!$J$2:$J$1601,0),"")</f>
        <v/>
      </c>
      <c r="AT1055" t="str">
        <f>IFERROR(MATCH(ROW()-1,Calc!$K$2:$K$1601,0),"")</f>
        <v/>
      </c>
      <c r="AU1055" t="str">
        <f>IF($AS1055="","",IFERROR(INDEX('TMP Paste'!$D$2:$D$1601,$AS1055)*1000000/$AB1055,""))</f>
        <v/>
      </c>
    </row>
    <row r="1056" spans="1:47">
      <c r="A1056" t="str">
        <f>IF($AS1056="","",INDEX('TMP Paste'!$B$2:$B$1601,$AS1056))</f>
        <v/>
      </c>
      <c r="B1056" t="str">
        <f>IF($AS1056="","",Config!$B$14)</f>
        <v/>
      </c>
      <c r="C1056" t="str">
        <f>IF($AS1056="","",Config!$B$15)</f>
        <v/>
      </c>
      <c r="D1056" t="str">
        <f>IF($AS1056="","",INDEX('TMP Paste'!$B$2:$B$1601,$AS1056))</f>
        <v/>
      </c>
      <c r="E1056" t="str">
        <f>IF($AS1056="","",Config!$B$27)</f>
        <v/>
      </c>
      <c r="F1056" t="str">
        <f>IF($AS1056="","",Config!$B$9)</f>
        <v/>
      </c>
      <c r="G1056" t="str">
        <f>IF($AS1056="","",Config!$B$10)</f>
        <v/>
      </c>
      <c r="H1056" t="str">
        <f>IF($AS1056="","",Config!$B$11)</f>
        <v/>
      </c>
      <c r="I1056" t="str">
        <f>IF($AS1056="","",Config!$B$16)</f>
        <v/>
      </c>
      <c r="J1056" t="str">
        <f>IF($AS1056="","",INDEX('TMP Paste'!$A$2:$A$1601,$AS1056))</f>
        <v/>
      </c>
      <c r="K1056" t="str">
        <f>IF($AS1056="","",INDEX('TMP Paste'!$L$2:$L$1601,$AS1056))</f>
        <v/>
      </c>
      <c r="L1056" t="str">
        <f>IF($AS1056="","",INDEX('TMP Paste'!$I$2:$I$1601,$AS1056))</f>
        <v/>
      </c>
      <c r="M1056" t="str">
        <f>IF($AS1056="","",Config!$B$16)</f>
        <v/>
      </c>
      <c r="N1056" t="str">
        <f t="shared" si="96"/>
        <v/>
      </c>
      <c r="O1056" t="str">
        <f>IF($AS1056="","",INDEX('TMP Paste'!$K$2:$K$1601,$AS1056))</f>
        <v/>
      </c>
      <c r="P1056" t="str">
        <f t="shared" si="97"/>
        <v/>
      </c>
      <c r="Q1056" t="str">
        <f>IF($AS1056="","",INDEX('TMP Paste'!$J$2:$J$1601,$AS1056))</f>
        <v/>
      </c>
      <c r="R1056" t="str">
        <f>IF($AS1056="","",Config!$B$24)</f>
        <v/>
      </c>
      <c r="S1056" t="str">
        <f ca="1">IF($AS1056="","",TEXT(Config!$B$4,"yyyy-mm-dd"))</f>
        <v/>
      </c>
      <c r="T1056" t="str">
        <f>IF($AS1056="","",Config!$B$17)</f>
        <v/>
      </c>
      <c r="U1056" t="str">
        <f>IF($AS1056="","",Config!$B$18)</f>
        <v/>
      </c>
      <c r="V1056" t="str">
        <f>IF($AS1056="","",Config!$B$19)</f>
        <v/>
      </c>
      <c r="W1056" t="str">
        <f>IF($AS1056="","",INDEX('TMP Paste'!$C$2:$C$1601,$AS1056))</f>
        <v/>
      </c>
      <c r="X1056" t="str">
        <f>IF($AS1056="","",Config!$B$29)</f>
        <v/>
      </c>
      <c r="Y1056" t="str">
        <f>IF($AT1056="","",INDEX(Calc!$I$2:$I$1601,$AT1056)&amp;" - "&amp;INDEX(Calc!$D$2:$D$1601,$AT1056)&amp;" koli")</f>
        <v/>
      </c>
      <c r="Z1056" t="str">
        <f>IF($AS1056="","",Config!$B$21)</f>
        <v/>
      </c>
      <c r="AA1056" t="str">
        <f>IF($AS1056="","",Config!$B$22)</f>
        <v/>
      </c>
      <c r="AB1056" t="str">
        <f>IF($AT1056="","",INDEX(Calc!$D$2:$D$1601,$AT1056))</f>
        <v/>
      </c>
      <c r="AC1056" t="str">
        <f>IF($AT1056="","",INDEX(Calc!$G$2:$G$1601,$AT1056))</f>
        <v/>
      </c>
      <c r="AD1056" t="str">
        <f>IF($AS1056="","",Config!$B$23)</f>
        <v/>
      </c>
      <c r="AE1056" t="str">
        <f>IF($AS1056="","",Config!$B$28)</f>
        <v/>
      </c>
      <c r="AF1056" t="str">
        <f t="shared" si="98"/>
        <v/>
      </c>
      <c r="AG1056" t="str">
        <f t="shared" si="99"/>
        <v/>
      </c>
      <c r="AH1056" t="str">
        <f t="shared" si="100"/>
        <v/>
      </c>
      <c r="AI1056" t="str">
        <f>IF($AG1056="","",SUMIF($AG$2:$AG1056,$AG1056,$AH$2:$AH1056))</f>
        <v/>
      </c>
      <c r="AJ1056" t="str">
        <f>IF('TMP Paste'!$F1056="","",IF('TMP Paste'!$B1056="",$AJ1055,'TMP Paste'!$B1056))</f>
        <v/>
      </c>
      <c r="AK1056" t="str">
        <f>IF('TMP Paste'!$F1056="","",N('TMP Paste'!$G1056))</f>
        <v/>
      </c>
      <c r="AL1056" t="str">
        <f>IF('TMP Paste'!$F1056="","",IF('TMP Paste'!$M1056="",$AL1055,'TMP Paste'!$M1056))</f>
        <v/>
      </c>
      <c r="AM1056" t="str">
        <f>IF('TMP Paste'!$F1056="","",IF('TMP Paste'!$N1056="",$AM1055,'TMP Paste'!$N1056))</f>
        <v/>
      </c>
      <c r="AN1056" t="str">
        <f>IF('TMP Paste'!$F1056="","",IF('TMP Paste'!$O1056="",$AN1055,'TMP Paste'!$O1056))</f>
        <v/>
      </c>
      <c r="AO1056" t="str">
        <f>IF('TMP Paste'!$F1056="","",IF('TMP Paste'!$P1056="",$AO1055,'TMP Paste'!$P1056))</f>
        <v/>
      </c>
      <c r="AP1056" t="str">
        <f t="shared" si="101"/>
        <v/>
      </c>
      <c r="AQ1056" t="str">
        <f>IF($AS1056="","",TRIM(IF(COUNTIFS(Calc!$B$2:$B$1601,ROW()-1,Calc!$C$2:$C$1601,"&lt;1")&gt;0,"Ada PO tanpa Koli - cek TMP. ","")&amp;IF(OR($AU1056="",$AU1056&lt;=0),"Volume kosong/0 - dimensi dikosongkan. ","")&amp;IF(AND($AU1056&lt;&gt;"",$AU1056&gt;=1000000),"Volume &gt;= 1.000.000 cm3 (di luar aturan) - dimensi dikosongkan. ","")&amp;IF(LEN($R1056)&gt;500,"R &gt; 500 karakter.","")))</f>
        <v/>
      </c>
      <c r="AS1056" t="str">
        <f>IFERROR(MATCH(ROW()-1,Calc!$J$2:$J$1601,0),"")</f>
        <v/>
      </c>
      <c r="AT1056" t="str">
        <f>IFERROR(MATCH(ROW()-1,Calc!$K$2:$K$1601,0),"")</f>
        <v/>
      </c>
      <c r="AU1056" t="str">
        <f>IF($AS1056="","",IFERROR(INDEX('TMP Paste'!$D$2:$D$1601,$AS1056)*1000000/$AB1056,""))</f>
        <v/>
      </c>
    </row>
    <row r="1057" spans="1:47">
      <c r="A1057" t="str">
        <f>IF($AS1057="","",INDEX('TMP Paste'!$B$2:$B$1601,$AS1057))</f>
        <v/>
      </c>
      <c r="B1057" t="str">
        <f>IF($AS1057="","",Config!$B$14)</f>
        <v/>
      </c>
      <c r="C1057" t="str">
        <f>IF($AS1057="","",Config!$B$15)</f>
        <v/>
      </c>
      <c r="D1057" t="str">
        <f>IF($AS1057="","",INDEX('TMP Paste'!$B$2:$B$1601,$AS1057))</f>
        <v/>
      </c>
      <c r="E1057" t="str">
        <f>IF($AS1057="","",Config!$B$27)</f>
        <v/>
      </c>
      <c r="F1057" t="str">
        <f>IF($AS1057="","",Config!$B$9)</f>
        <v/>
      </c>
      <c r="G1057" t="str">
        <f>IF($AS1057="","",Config!$B$10)</f>
        <v/>
      </c>
      <c r="H1057" t="str">
        <f>IF($AS1057="","",Config!$B$11)</f>
        <v/>
      </c>
      <c r="I1057" t="str">
        <f>IF($AS1057="","",Config!$B$16)</f>
        <v/>
      </c>
      <c r="J1057" t="str">
        <f>IF($AS1057="","",INDEX('TMP Paste'!$A$2:$A$1601,$AS1057))</f>
        <v/>
      </c>
      <c r="K1057" t="str">
        <f>IF($AS1057="","",INDEX('TMP Paste'!$L$2:$L$1601,$AS1057))</f>
        <v/>
      </c>
      <c r="L1057" t="str">
        <f>IF($AS1057="","",INDEX('TMP Paste'!$I$2:$I$1601,$AS1057))</f>
        <v/>
      </c>
      <c r="M1057" t="str">
        <f>IF($AS1057="","",Config!$B$16)</f>
        <v/>
      </c>
      <c r="N1057" t="str">
        <f t="shared" si="96"/>
        <v/>
      </c>
      <c r="O1057" t="str">
        <f>IF($AS1057="","",INDEX('TMP Paste'!$K$2:$K$1601,$AS1057))</f>
        <v/>
      </c>
      <c r="P1057" t="str">
        <f t="shared" si="97"/>
        <v/>
      </c>
      <c r="Q1057" t="str">
        <f>IF($AS1057="","",INDEX('TMP Paste'!$J$2:$J$1601,$AS1057))</f>
        <v/>
      </c>
      <c r="R1057" t="str">
        <f>IF($AS1057="","",Config!$B$24)</f>
        <v/>
      </c>
      <c r="S1057" t="str">
        <f ca="1">IF($AS1057="","",TEXT(Config!$B$4,"yyyy-mm-dd"))</f>
        <v/>
      </c>
      <c r="T1057" t="str">
        <f>IF($AS1057="","",Config!$B$17)</f>
        <v/>
      </c>
      <c r="U1057" t="str">
        <f>IF($AS1057="","",Config!$B$18)</f>
        <v/>
      </c>
      <c r="V1057" t="str">
        <f>IF($AS1057="","",Config!$B$19)</f>
        <v/>
      </c>
      <c r="W1057" t="str">
        <f>IF($AS1057="","",INDEX('TMP Paste'!$C$2:$C$1601,$AS1057))</f>
        <v/>
      </c>
      <c r="X1057" t="str">
        <f>IF($AS1057="","",Config!$B$29)</f>
        <v/>
      </c>
      <c r="Y1057" t="str">
        <f>IF($AT1057="","",INDEX(Calc!$I$2:$I$1601,$AT1057)&amp;" - "&amp;INDEX(Calc!$D$2:$D$1601,$AT1057)&amp;" koli")</f>
        <v/>
      </c>
      <c r="Z1057" t="str">
        <f>IF($AS1057="","",Config!$B$21)</f>
        <v/>
      </c>
      <c r="AA1057" t="str">
        <f>IF($AS1057="","",Config!$B$22)</f>
        <v/>
      </c>
      <c r="AB1057" t="str">
        <f>IF($AT1057="","",INDEX(Calc!$D$2:$D$1601,$AT1057))</f>
        <v/>
      </c>
      <c r="AC1057" t="str">
        <f>IF($AT1057="","",INDEX(Calc!$G$2:$G$1601,$AT1057))</f>
        <v/>
      </c>
      <c r="AD1057" t="str">
        <f>IF($AS1057="","",Config!$B$23)</f>
        <v/>
      </c>
      <c r="AE1057" t="str">
        <f>IF($AS1057="","",Config!$B$28)</f>
        <v/>
      </c>
      <c r="AF1057" t="str">
        <f t="shared" si="98"/>
        <v/>
      </c>
      <c r="AG1057" t="str">
        <f t="shared" si="99"/>
        <v/>
      </c>
      <c r="AH1057" t="str">
        <f t="shared" si="100"/>
        <v/>
      </c>
      <c r="AI1057" t="str">
        <f>IF($AG1057="","",SUMIF($AG$2:$AG1057,$AG1057,$AH$2:$AH1057))</f>
        <v/>
      </c>
      <c r="AJ1057" t="str">
        <f>IF('TMP Paste'!$F1057="","",IF('TMP Paste'!$B1057="",$AJ1056,'TMP Paste'!$B1057))</f>
        <v/>
      </c>
      <c r="AK1057" t="str">
        <f>IF('TMP Paste'!$F1057="","",N('TMP Paste'!$G1057))</f>
        <v/>
      </c>
      <c r="AL1057" t="str">
        <f>IF('TMP Paste'!$F1057="","",IF('TMP Paste'!$M1057="",$AL1056,'TMP Paste'!$M1057))</f>
        <v/>
      </c>
      <c r="AM1057" t="str">
        <f>IF('TMP Paste'!$F1057="","",IF('TMP Paste'!$N1057="",$AM1056,'TMP Paste'!$N1057))</f>
        <v/>
      </c>
      <c r="AN1057" t="str">
        <f>IF('TMP Paste'!$F1057="","",IF('TMP Paste'!$O1057="",$AN1056,'TMP Paste'!$O1057))</f>
        <v/>
      </c>
      <c r="AO1057" t="str">
        <f>IF('TMP Paste'!$F1057="","",IF('TMP Paste'!$P1057="",$AO1056,'TMP Paste'!$P1057))</f>
        <v/>
      </c>
      <c r="AP1057" t="str">
        <f t="shared" si="101"/>
        <v/>
      </c>
      <c r="AQ1057" t="str">
        <f>IF($AS1057="","",TRIM(IF(COUNTIFS(Calc!$B$2:$B$1601,ROW()-1,Calc!$C$2:$C$1601,"&lt;1")&gt;0,"Ada PO tanpa Koli - cek TMP. ","")&amp;IF(OR($AU1057="",$AU1057&lt;=0),"Volume kosong/0 - dimensi dikosongkan. ","")&amp;IF(AND($AU1057&lt;&gt;"",$AU1057&gt;=1000000),"Volume &gt;= 1.000.000 cm3 (di luar aturan) - dimensi dikosongkan. ","")&amp;IF(LEN($R1057)&gt;500,"R &gt; 500 karakter.","")))</f>
        <v/>
      </c>
      <c r="AS1057" t="str">
        <f>IFERROR(MATCH(ROW()-1,Calc!$J$2:$J$1601,0),"")</f>
        <v/>
      </c>
      <c r="AT1057" t="str">
        <f>IFERROR(MATCH(ROW()-1,Calc!$K$2:$K$1601,0),"")</f>
        <v/>
      </c>
      <c r="AU1057" t="str">
        <f>IF($AS1057="","",IFERROR(INDEX('TMP Paste'!$D$2:$D$1601,$AS1057)*1000000/$AB1057,""))</f>
        <v/>
      </c>
    </row>
    <row r="1058" spans="1:47">
      <c r="A1058" t="str">
        <f>IF($AS1058="","",INDEX('TMP Paste'!$B$2:$B$1601,$AS1058))</f>
        <v/>
      </c>
      <c r="B1058" t="str">
        <f>IF($AS1058="","",Config!$B$14)</f>
        <v/>
      </c>
      <c r="C1058" t="str">
        <f>IF($AS1058="","",Config!$B$15)</f>
        <v/>
      </c>
      <c r="D1058" t="str">
        <f>IF($AS1058="","",INDEX('TMP Paste'!$B$2:$B$1601,$AS1058))</f>
        <v/>
      </c>
      <c r="E1058" t="str">
        <f>IF($AS1058="","",Config!$B$27)</f>
        <v/>
      </c>
      <c r="F1058" t="str">
        <f>IF($AS1058="","",Config!$B$9)</f>
        <v/>
      </c>
      <c r="G1058" t="str">
        <f>IF($AS1058="","",Config!$B$10)</f>
        <v/>
      </c>
      <c r="H1058" t="str">
        <f>IF($AS1058="","",Config!$B$11)</f>
        <v/>
      </c>
      <c r="I1058" t="str">
        <f>IF($AS1058="","",Config!$B$16)</f>
        <v/>
      </c>
      <c r="J1058" t="str">
        <f>IF($AS1058="","",INDEX('TMP Paste'!$A$2:$A$1601,$AS1058))</f>
        <v/>
      </c>
      <c r="K1058" t="str">
        <f>IF($AS1058="","",INDEX('TMP Paste'!$L$2:$L$1601,$AS1058))</f>
        <v/>
      </c>
      <c r="L1058" t="str">
        <f>IF($AS1058="","",INDEX('TMP Paste'!$I$2:$I$1601,$AS1058))</f>
        <v/>
      </c>
      <c r="M1058" t="str">
        <f>IF($AS1058="","",Config!$B$16)</f>
        <v/>
      </c>
      <c r="N1058" t="str">
        <f t="shared" si="96"/>
        <v/>
      </c>
      <c r="O1058" t="str">
        <f>IF($AS1058="","",INDEX('TMP Paste'!$K$2:$K$1601,$AS1058))</f>
        <v/>
      </c>
      <c r="P1058" t="str">
        <f t="shared" si="97"/>
        <v/>
      </c>
      <c r="Q1058" t="str">
        <f>IF($AS1058="","",INDEX('TMP Paste'!$J$2:$J$1601,$AS1058))</f>
        <v/>
      </c>
      <c r="R1058" t="str">
        <f>IF($AS1058="","",Config!$B$24)</f>
        <v/>
      </c>
      <c r="S1058" t="str">
        <f ca="1">IF($AS1058="","",TEXT(Config!$B$4,"yyyy-mm-dd"))</f>
        <v/>
      </c>
      <c r="T1058" t="str">
        <f>IF($AS1058="","",Config!$B$17)</f>
        <v/>
      </c>
      <c r="U1058" t="str">
        <f>IF($AS1058="","",Config!$B$18)</f>
        <v/>
      </c>
      <c r="V1058" t="str">
        <f>IF($AS1058="","",Config!$B$19)</f>
        <v/>
      </c>
      <c r="W1058" t="str">
        <f>IF($AS1058="","",INDEX('TMP Paste'!$C$2:$C$1601,$AS1058))</f>
        <v/>
      </c>
      <c r="X1058" t="str">
        <f>IF($AS1058="","",Config!$B$29)</f>
        <v/>
      </c>
      <c r="Y1058" t="str">
        <f>IF($AT1058="","",INDEX(Calc!$I$2:$I$1601,$AT1058)&amp;" - "&amp;INDEX(Calc!$D$2:$D$1601,$AT1058)&amp;" koli")</f>
        <v/>
      </c>
      <c r="Z1058" t="str">
        <f>IF($AS1058="","",Config!$B$21)</f>
        <v/>
      </c>
      <c r="AA1058" t="str">
        <f>IF($AS1058="","",Config!$B$22)</f>
        <v/>
      </c>
      <c r="AB1058" t="str">
        <f>IF($AT1058="","",INDEX(Calc!$D$2:$D$1601,$AT1058))</f>
        <v/>
      </c>
      <c r="AC1058" t="str">
        <f>IF($AT1058="","",INDEX(Calc!$G$2:$G$1601,$AT1058))</f>
        <v/>
      </c>
      <c r="AD1058" t="str">
        <f>IF($AS1058="","",Config!$B$23)</f>
        <v/>
      </c>
      <c r="AE1058" t="str">
        <f>IF($AS1058="","",Config!$B$28)</f>
        <v/>
      </c>
      <c r="AF1058" t="str">
        <f t="shared" si="98"/>
        <v/>
      </c>
      <c r="AG1058" t="str">
        <f t="shared" si="99"/>
        <v/>
      </c>
      <c r="AH1058" t="str">
        <f t="shared" si="100"/>
        <v/>
      </c>
      <c r="AI1058" t="str">
        <f>IF($AG1058="","",SUMIF($AG$2:$AG1058,$AG1058,$AH$2:$AH1058))</f>
        <v/>
      </c>
      <c r="AJ1058" t="str">
        <f>IF('TMP Paste'!$F1058="","",IF('TMP Paste'!$B1058="",$AJ1057,'TMP Paste'!$B1058))</f>
        <v/>
      </c>
      <c r="AK1058" t="str">
        <f>IF('TMP Paste'!$F1058="","",N('TMP Paste'!$G1058))</f>
        <v/>
      </c>
      <c r="AL1058" t="str">
        <f>IF('TMP Paste'!$F1058="","",IF('TMP Paste'!$M1058="",$AL1057,'TMP Paste'!$M1058))</f>
        <v/>
      </c>
      <c r="AM1058" t="str">
        <f>IF('TMP Paste'!$F1058="","",IF('TMP Paste'!$N1058="",$AM1057,'TMP Paste'!$N1058))</f>
        <v/>
      </c>
      <c r="AN1058" t="str">
        <f>IF('TMP Paste'!$F1058="","",IF('TMP Paste'!$O1058="",$AN1057,'TMP Paste'!$O1058))</f>
        <v/>
      </c>
      <c r="AO1058" t="str">
        <f>IF('TMP Paste'!$F1058="","",IF('TMP Paste'!$P1058="",$AO1057,'TMP Paste'!$P1058))</f>
        <v/>
      </c>
      <c r="AP1058" t="str">
        <f t="shared" si="101"/>
        <v/>
      </c>
      <c r="AQ1058" t="str">
        <f>IF($AS1058="","",TRIM(IF(COUNTIFS(Calc!$B$2:$B$1601,ROW()-1,Calc!$C$2:$C$1601,"&lt;1")&gt;0,"Ada PO tanpa Koli - cek TMP. ","")&amp;IF(OR($AU1058="",$AU1058&lt;=0),"Volume kosong/0 - dimensi dikosongkan. ","")&amp;IF(AND($AU1058&lt;&gt;"",$AU1058&gt;=1000000),"Volume &gt;= 1.000.000 cm3 (di luar aturan) - dimensi dikosongkan. ","")&amp;IF(LEN($R1058)&gt;500,"R &gt; 500 karakter.","")))</f>
        <v/>
      </c>
      <c r="AS1058" t="str">
        <f>IFERROR(MATCH(ROW()-1,Calc!$J$2:$J$1601,0),"")</f>
        <v/>
      </c>
      <c r="AT1058" t="str">
        <f>IFERROR(MATCH(ROW()-1,Calc!$K$2:$K$1601,0),"")</f>
        <v/>
      </c>
      <c r="AU1058" t="str">
        <f>IF($AS1058="","",IFERROR(INDEX('TMP Paste'!$D$2:$D$1601,$AS1058)*1000000/$AB1058,""))</f>
        <v/>
      </c>
    </row>
    <row r="1059" spans="1:47">
      <c r="A1059" t="str">
        <f>IF($AS1059="","",INDEX('TMP Paste'!$B$2:$B$1601,$AS1059))</f>
        <v/>
      </c>
      <c r="B1059" t="str">
        <f>IF($AS1059="","",Config!$B$14)</f>
        <v/>
      </c>
      <c r="C1059" t="str">
        <f>IF($AS1059="","",Config!$B$15)</f>
        <v/>
      </c>
      <c r="D1059" t="str">
        <f>IF($AS1059="","",INDEX('TMP Paste'!$B$2:$B$1601,$AS1059))</f>
        <v/>
      </c>
      <c r="E1059" t="str">
        <f>IF($AS1059="","",Config!$B$27)</f>
        <v/>
      </c>
      <c r="F1059" t="str">
        <f>IF($AS1059="","",Config!$B$9)</f>
        <v/>
      </c>
      <c r="G1059" t="str">
        <f>IF($AS1059="","",Config!$B$10)</f>
        <v/>
      </c>
      <c r="H1059" t="str">
        <f>IF($AS1059="","",Config!$B$11)</f>
        <v/>
      </c>
      <c r="I1059" t="str">
        <f>IF($AS1059="","",Config!$B$16)</f>
        <v/>
      </c>
      <c r="J1059" t="str">
        <f>IF($AS1059="","",INDEX('TMP Paste'!$A$2:$A$1601,$AS1059))</f>
        <v/>
      </c>
      <c r="K1059" t="str">
        <f>IF($AS1059="","",INDEX('TMP Paste'!$L$2:$L$1601,$AS1059))</f>
        <v/>
      </c>
      <c r="L1059" t="str">
        <f>IF($AS1059="","",INDEX('TMP Paste'!$I$2:$I$1601,$AS1059))</f>
        <v/>
      </c>
      <c r="M1059" t="str">
        <f>IF($AS1059="","",Config!$B$16)</f>
        <v/>
      </c>
      <c r="N1059" t="str">
        <f t="shared" si="96"/>
        <v/>
      </c>
      <c r="O1059" t="str">
        <f>IF($AS1059="","",INDEX('TMP Paste'!$K$2:$K$1601,$AS1059))</f>
        <v/>
      </c>
      <c r="P1059" t="str">
        <f t="shared" si="97"/>
        <v/>
      </c>
      <c r="Q1059" t="str">
        <f>IF($AS1059="","",INDEX('TMP Paste'!$J$2:$J$1601,$AS1059))</f>
        <v/>
      </c>
      <c r="R1059" t="str">
        <f>IF($AS1059="","",Config!$B$24)</f>
        <v/>
      </c>
      <c r="S1059" t="str">
        <f ca="1">IF($AS1059="","",TEXT(Config!$B$4,"yyyy-mm-dd"))</f>
        <v/>
      </c>
      <c r="T1059" t="str">
        <f>IF($AS1059="","",Config!$B$17)</f>
        <v/>
      </c>
      <c r="U1059" t="str">
        <f>IF($AS1059="","",Config!$B$18)</f>
        <v/>
      </c>
      <c r="V1059" t="str">
        <f>IF($AS1059="","",Config!$B$19)</f>
        <v/>
      </c>
      <c r="W1059" t="str">
        <f>IF($AS1059="","",INDEX('TMP Paste'!$C$2:$C$1601,$AS1059))</f>
        <v/>
      </c>
      <c r="X1059" t="str">
        <f>IF($AS1059="","",Config!$B$29)</f>
        <v/>
      </c>
      <c r="Y1059" t="str">
        <f>IF($AT1059="","",INDEX(Calc!$I$2:$I$1601,$AT1059)&amp;" - "&amp;INDEX(Calc!$D$2:$D$1601,$AT1059)&amp;" koli")</f>
        <v/>
      </c>
      <c r="Z1059" t="str">
        <f>IF($AS1059="","",Config!$B$21)</f>
        <v/>
      </c>
      <c r="AA1059" t="str">
        <f>IF($AS1059="","",Config!$B$22)</f>
        <v/>
      </c>
      <c r="AB1059" t="str">
        <f>IF($AT1059="","",INDEX(Calc!$D$2:$D$1601,$AT1059))</f>
        <v/>
      </c>
      <c r="AC1059" t="str">
        <f>IF($AT1059="","",INDEX(Calc!$G$2:$G$1601,$AT1059))</f>
        <v/>
      </c>
      <c r="AD1059" t="str">
        <f>IF($AS1059="","",Config!$B$23)</f>
        <v/>
      </c>
      <c r="AE1059" t="str">
        <f>IF($AS1059="","",Config!$B$28)</f>
        <v/>
      </c>
      <c r="AF1059" t="str">
        <f t="shared" si="98"/>
        <v/>
      </c>
      <c r="AG1059" t="str">
        <f t="shared" si="99"/>
        <v/>
      </c>
      <c r="AH1059" t="str">
        <f t="shared" si="100"/>
        <v/>
      </c>
      <c r="AI1059" t="str">
        <f>IF($AG1059="","",SUMIF($AG$2:$AG1059,$AG1059,$AH$2:$AH1059))</f>
        <v/>
      </c>
      <c r="AJ1059" t="str">
        <f>IF('TMP Paste'!$F1059="","",IF('TMP Paste'!$B1059="",$AJ1058,'TMP Paste'!$B1059))</f>
        <v/>
      </c>
      <c r="AK1059" t="str">
        <f>IF('TMP Paste'!$F1059="","",N('TMP Paste'!$G1059))</f>
        <v/>
      </c>
      <c r="AL1059" t="str">
        <f>IF('TMP Paste'!$F1059="","",IF('TMP Paste'!$M1059="",$AL1058,'TMP Paste'!$M1059))</f>
        <v/>
      </c>
      <c r="AM1059" t="str">
        <f>IF('TMP Paste'!$F1059="","",IF('TMP Paste'!$N1059="",$AM1058,'TMP Paste'!$N1059))</f>
        <v/>
      </c>
      <c r="AN1059" t="str">
        <f>IF('TMP Paste'!$F1059="","",IF('TMP Paste'!$O1059="",$AN1058,'TMP Paste'!$O1059))</f>
        <v/>
      </c>
      <c r="AO1059" t="str">
        <f>IF('TMP Paste'!$F1059="","",IF('TMP Paste'!$P1059="",$AO1058,'TMP Paste'!$P1059))</f>
        <v/>
      </c>
      <c r="AP1059" t="str">
        <f t="shared" si="101"/>
        <v/>
      </c>
      <c r="AQ1059" t="str">
        <f>IF($AS1059="","",TRIM(IF(COUNTIFS(Calc!$B$2:$B$1601,ROW()-1,Calc!$C$2:$C$1601,"&lt;1")&gt;0,"Ada PO tanpa Koli - cek TMP. ","")&amp;IF(OR($AU1059="",$AU1059&lt;=0),"Volume kosong/0 - dimensi dikosongkan. ","")&amp;IF(AND($AU1059&lt;&gt;"",$AU1059&gt;=1000000),"Volume &gt;= 1.000.000 cm3 (di luar aturan) - dimensi dikosongkan. ","")&amp;IF(LEN($R1059)&gt;500,"R &gt; 500 karakter.","")))</f>
        <v/>
      </c>
      <c r="AS1059" t="str">
        <f>IFERROR(MATCH(ROW()-1,Calc!$J$2:$J$1601,0),"")</f>
        <v/>
      </c>
      <c r="AT1059" t="str">
        <f>IFERROR(MATCH(ROW()-1,Calc!$K$2:$K$1601,0),"")</f>
        <v/>
      </c>
      <c r="AU1059" t="str">
        <f>IF($AS1059="","",IFERROR(INDEX('TMP Paste'!$D$2:$D$1601,$AS1059)*1000000/$AB1059,""))</f>
        <v/>
      </c>
    </row>
    <row r="1060" spans="1:47">
      <c r="A1060" t="str">
        <f>IF($AS1060="","",INDEX('TMP Paste'!$B$2:$B$1601,$AS1060))</f>
        <v/>
      </c>
      <c r="B1060" t="str">
        <f>IF($AS1060="","",Config!$B$14)</f>
        <v/>
      </c>
      <c r="C1060" t="str">
        <f>IF($AS1060="","",Config!$B$15)</f>
        <v/>
      </c>
      <c r="D1060" t="str">
        <f>IF($AS1060="","",INDEX('TMP Paste'!$B$2:$B$1601,$AS1060))</f>
        <v/>
      </c>
      <c r="E1060" t="str">
        <f>IF($AS1060="","",Config!$B$27)</f>
        <v/>
      </c>
      <c r="F1060" t="str">
        <f>IF($AS1060="","",Config!$B$9)</f>
        <v/>
      </c>
      <c r="G1060" t="str">
        <f>IF($AS1060="","",Config!$B$10)</f>
        <v/>
      </c>
      <c r="H1060" t="str">
        <f>IF($AS1060="","",Config!$B$11)</f>
        <v/>
      </c>
      <c r="I1060" t="str">
        <f>IF($AS1060="","",Config!$B$16)</f>
        <v/>
      </c>
      <c r="J1060" t="str">
        <f>IF($AS1060="","",INDEX('TMP Paste'!$A$2:$A$1601,$AS1060))</f>
        <v/>
      </c>
      <c r="K1060" t="str">
        <f>IF($AS1060="","",INDEX('TMP Paste'!$L$2:$L$1601,$AS1060))</f>
        <v/>
      </c>
      <c r="L1060" t="str">
        <f>IF($AS1060="","",INDEX('TMP Paste'!$I$2:$I$1601,$AS1060))</f>
        <v/>
      </c>
      <c r="M1060" t="str">
        <f>IF($AS1060="","",Config!$B$16)</f>
        <v/>
      </c>
      <c r="N1060" t="str">
        <f t="shared" si="96"/>
        <v/>
      </c>
      <c r="O1060" t="str">
        <f>IF($AS1060="","",INDEX('TMP Paste'!$K$2:$K$1601,$AS1060))</f>
        <v/>
      </c>
      <c r="P1060" t="str">
        <f t="shared" si="97"/>
        <v/>
      </c>
      <c r="Q1060" t="str">
        <f>IF($AS1060="","",INDEX('TMP Paste'!$J$2:$J$1601,$AS1060))</f>
        <v/>
      </c>
      <c r="R1060" t="str">
        <f>IF($AS1060="","",Config!$B$24)</f>
        <v/>
      </c>
      <c r="S1060" t="str">
        <f ca="1">IF($AS1060="","",TEXT(Config!$B$4,"yyyy-mm-dd"))</f>
        <v/>
      </c>
      <c r="T1060" t="str">
        <f>IF($AS1060="","",Config!$B$17)</f>
        <v/>
      </c>
      <c r="U1060" t="str">
        <f>IF($AS1060="","",Config!$B$18)</f>
        <v/>
      </c>
      <c r="V1060" t="str">
        <f>IF($AS1060="","",Config!$B$19)</f>
        <v/>
      </c>
      <c r="W1060" t="str">
        <f>IF($AS1060="","",INDEX('TMP Paste'!$C$2:$C$1601,$AS1060))</f>
        <v/>
      </c>
      <c r="X1060" t="str">
        <f>IF($AS1060="","",Config!$B$29)</f>
        <v/>
      </c>
      <c r="Y1060" t="str">
        <f>IF($AT1060="","",INDEX(Calc!$I$2:$I$1601,$AT1060)&amp;" - "&amp;INDEX(Calc!$D$2:$D$1601,$AT1060)&amp;" koli")</f>
        <v/>
      </c>
      <c r="Z1060" t="str">
        <f>IF($AS1060="","",Config!$B$21)</f>
        <v/>
      </c>
      <c r="AA1060" t="str">
        <f>IF($AS1060="","",Config!$B$22)</f>
        <v/>
      </c>
      <c r="AB1060" t="str">
        <f>IF($AT1060="","",INDEX(Calc!$D$2:$D$1601,$AT1060))</f>
        <v/>
      </c>
      <c r="AC1060" t="str">
        <f>IF($AT1060="","",INDEX(Calc!$G$2:$G$1601,$AT1060))</f>
        <v/>
      </c>
      <c r="AD1060" t="str">
        <f>IF($AS1060="","",Config!$B$23)</f>
        <v/>
      </c>
      <c r="AE1060" t="str">
        <f>IF($AS1060="","",Config!$B$28)</f>
        <v/>
      </c>
      <c r="AF1060" t="str">
        <f t="shared" si="98"/>
        <v/>
      </c>
      <c r="AG1060" t="str">
        <f t="shared" si="99"/>
        <v/>
      </c>
      <c r="AH1060" t="str">
        <f t="shared" si="100"/>
        <v/>
      </c>
      <c r="AI1060" t="str">
        <f>IF($AG1060="","",SUMIF($AG$2:$AG1060,$AG1060,$AH$2:$AH1060))</f>
        <v/>
      </c>
      <c r="AJ1060" t="str">
        <f>IF('TMP Paste'!$F1060="","",IF('TMP Paste'!$B1060="",$AJ1059,'TMP Paste'!$B1060))</f>
        <v/>
      </c>
      <c r="AK1060" t="str">
        <f>IF('TMP Paste'!$F1060="","",N('TMP Paste'!$G1060))</f>
        <v/>
      </c>
      <c r="AL1060" t="str">
        <f>IF('TMP Paste'!$F1060="","",IF('TMP Paste'!$M1060="",$AL1059,'TMP Paste'!$M1060))</f>
        <v/>
      </c>
      <c r="AM1060" t="str">
        <f>IF('TMP Paste'!$F1060="","",IF('TMP Paste'!$N1060="",$AM1059,'TMP Paste'!$N1060))</f>
        <v/>
      </c>
      <c r="AN1060" t="str">
        <f>IF('TMP Paste'!$F1060="","",IF('TMP Paste'!$O1060="",$AN1059,'TMP Paste'!$O1060))</f>
        <v/>
      </c>
      <c r="AO1060" t="str">
        <f>IF('TMP Paste'!$F1060="","",IF('TMP Paste'!$P1060="",$AO1059,'TMP Paste'!$P1060))</f>
        <v/>
      </c>
      <c r="AP1060" t="str">
        <f t="shared" si="101"/>
        <v/>
      </c>
      <c r="AQ1060" t="str">
        <f>IF($AS1060="","",TRIM(IF(COUNTIFS(Calc!$B$2:$B$1601,ROW()-1,Calc!$C$2:$C$1601,"&lt;1")&gt;0,"Ada PO tanpa Koli - cek TMP. ","")&amp;IF(OR($AU1060="",$AU1060&lt;=0),"Volume kosong/0 - dimensi dikosongkan. ","")&amp;IF(AND($AU1060&lt;&gt;"",$AU1060&gt;=1000000),"Volume &gt;= 1.000.000 cm3 (di luar aturan) - dimensi dikosongkan. ","")&amp;IF(LEN($R1060)&gt;500,"R &gt; 500 karakter.","")))</f>
        <v/>
      </c>
      <c r="AS1060" t="str">
        <f>IFERROR(MATCH(ROW()-1,Calc!$J$2:$J$1601,0),"")</f>
        <v/>
      </c>
      <c r="AT1060" t="str">
        <f>IFERROR(MATCH(ROW()-1,Calc!$K$2:$K$1601,0),"")</f>
        <v/>
      </c>
      <c r="AU1060" t="str">
        <f>IF($AS1060="","",IFERROR(INDEX('TMP Paste'!$D$2:$D$1601,$AS1060)*1000000/$AB1060,""))</f>
        <v/>
      </c>
    </row>
    <row r="1061" spans="1:47">
      <c r="A1061" t="str">
        <f>IF($AS1061="","",INDEX('TMP Paste'!$B$2:$B$1601,$AS1061))</f>
        <v/>
      </c>
      <c r="B1061" t="str">
        <f>IF($AS1061="","",Config!$B$14)</f>
        <v/>
      </c>
      <c r="C1061" t="str">
        <f>IF($AS1061="","",Config!$B$15)</f>
        <v/>
      </c>
      <c r="D1061" t="str">
        <f>IF($AS1061="","",INDEX('TMP Paste'!$B$2:$B$1601,$AS1061))</f>
        <v/>
      </c>
      <c r="E1061" t="str">
        <f>IF($AS1061="","",Config!$B$27)</f>
        <v/>
      </c>
      <c r="F1061" t="str">
        <f>IF($AS1061="","",Config!$B$9)</f>
        <v/>
      </c>
      <c r="G1061" t="str">
        <f>IF($AS1061="","",Config!$B$10)</f>
        <v/>
      </c>
      <c r="H1061" t="str">
        <f>IF($AS1061="","",Config!$B$11)</f>
        <v/>
      </c>
      <c r="I1061" t="str">
        <f>IF($AS1061="","",Config!$B$16)</f>
        <v/>
      </c>
      <c r="J1061" t="str">
        <f>IF($AS1061="","",INDEX('TMP Paste'!$A$2:$A$1601,$AS1061))</f>
        <v/>
      </c>
      <c r="K1061" t="str">
        <f>IF($AS1061="","",INDEX('TMP Paste'!$L$2:$L$1601,$AS1061))</f>
        <v/>
      </c>
      <c r="L1061" t="str">
        <f>IF($AS1061="","",INDEX('TMP Paste'!$I$2:$I$1601,$AS1061))</f>
        <v/>
      </c>
      <c r="M1061" t="str">
        <f>IF($AS1061="","",Config!$B$16)</f>
        <v/>
      </c>
      <c r="N1061" t="str">
        <f t="shared" si="96"/>
        <v/>
      </c>
      <c r="O1061" t="str">
        <f>IF($AS1061="","",INDEX('TMP Paste'!$K$2:$K$1601,$AS1061))</f>
        <v/>
      </c>
      <c r="P1061" t="str">
        <f t="shared" si="97"/>
        <v/>
      </c>
      <c r="Q1061" t="str">
        <f>IF($AS1061="","",INDEX('TMP Paste'!$J$2:$J$1601,$AS1061))</f>
        <v/>
      </c>
      <c r="R1061" t="str">
        <f>IF($AS1061="","",Config!$B$24)</f>
        <v/>
      </c>
      <c r="S1061" t="str">
        <f ca="1">IF($AS1061="","",TEXT(Config!$B$4,"yyyy-mm-dd"))</f>
        <v/>
      </c>
      <c r="T1061" t="str">
        <f>IF($AS1061="","",Config!$B$17)</f>
        <v/>
      </c>
      <c r="U1061" t="str">
        <f>IF($AS1061="","",Config!$B$18)</f>
        <v/>
      </c>
      <c r="V1061" t="str">
        <f>IF($AS1061="","",Config!$B$19)</f>
        <v/>
      </c>
      <c r="W1061" t="str">
        <f>IF($AS1061="","",INDEX('TMP Paste'!$C$2:$C$1601,$AS1061))</f>
        <v/>
      </c>
      <c r="X1061" t="str">
        <f>IF($AS1061="","",Config!$B$29)</f>
        <v/>
      </c>
      <c r="Y1061" t="str">
        <f>IF($AT1061="","",INDEX(Calc!$I$2:$I$1601,$AT1061)&amp;" - "&amp;INDEX(Calc!$D$2:$D$1601,$AT1061)&amp;" koli")</f>
        <v/>
      </c>
      <c r="Z1061" t="str">
        <f>IF($AS1061="","",Config!$B$21)</f>
        <v/>
      </c>
      <c r="AA1061" t="str">
        <f>IF($AS1061="","",Config!$B$22)</f>
        <v/>
      </c>
      <c r="AB1061" t="str">
        <f>IF($AT1061="","",INDEX(Calc!$D$2:$D$1601,$AT1061))</f>
        <v/>
      </c>
      <c r="AC1061" t="str">
        <f>IF($AT1061="","",INDEX(Calc!$G$2:$G$1601,$AT1061))</f>
        <v/>
      </c>
      <c r="AD1061" t="str">
        <f>IF($AS1061="","",Config!$B$23)</f>
        <v/>
      </c>
      <c r="AE1061" t="str">
        <f>IF($AS1061="","",Config!$B$28)</f>
        <v/>
      </c>
      <c r="AF1061" t="str">
        <f t="shared" si="98"/>
        <v/>
      </c>
      <c r="AG1061" t="str">
        <f t="shared" si="99"/>
        <v/>
      </c>
      <c r="AH1061" t="str">
        <f t="shared" si="100"/>
        <v/>
      </c>
      <c r="AI1061" t="str">
        <f>IF($AG1061="","",SUMIF($AG$2:$AG1061,$AG1061,$AH$2:$AH1061))</f>
        <v/>
      </c>
      <c r="AJ1061" t="str">
        <f>IF('TMP Paste'!$F1061="","",IF('TMP Paste'!$B1061="",$AJ1060,'TMP Paste'!$B1061))</f>
        <v/>
      </c>
      <c r="AK1061" t="str">
        <f>IF('TMP Paste'!$F1061="","",N('TMP Paste'!$G1061))</f>
        <v/>
      </c>
      <c r="AL1061" t="str">
        <f>IF('TMP Paste'!$F1061="","",IF('TMP Paste'!$M1061="",$AL1060,'TMP Paste'!$M1061))</f>
        <v/>
      </c>
      <c r="AM1061" t="str">
        <f>IF('TMP Paste'!$F1061="","",IF('TMP Paste'!$N1061="",$AM1060,'TMP Paste'!$N1061))</f>
        <v/>
      </c>
      <c r="AN1061" t="str">
        <f>IF('TMP Paste'!$F1061="","",IF('TMP Paste'!$O1061="",$AN1060,'TMP Paste'!$O1061))</f>
        <v/>
      </c>
      <c r="AO1061" t="str">
        <f>IF('TMP Paste'!$F1061="","",IF('TMP Paste'!$P1061="",$AO1060,'TMP Paste'!$P1061))</f>
        <v/>
      </c>
      <c r="AP1061" t="str">
        <f t="shared" si="101"/>
        <v/>
      </c>
      <c r="AQ1061" t="str">
        <f>IF($AS1061="","",TRIM(IF(COUNTIFS(Calc!$B$2:$B$1601,ROW()-1,Calc!$C$2:$C$1601,"&lt;1")&gt;0,"Ada PO tanpa Koli - cek TMP. ","")&amp;IF(OR($AU1061="",$AU1061&lt;=0),"Volume kosong/0 - dimensi dikosongkan. ","")&amp;IF(AND($AU1061&lt;&gt;"",$AU1061&gt;=1000000),"Volume &gt;= 1.000.000 cm3 (di luar aturan) - dimensi dikosongkan. ","")&amp;IF(LEN($R1061)&gt;500,"R &gt; 500 karakter.","")))</f>
        <v/>
      </c>
      <c r="AS1061" t="str">
        <f>IFERROR(MATCH(ROW()-1,Calc!$J$2:$J$1601,0),"")</f>
        <v/>
      </c>
      <c r="AT1061" t="str">
        <f>IFERROR(MATCH(ROW()-1,Calc!$K$2:$K$1601,0),"")</f>
        <v/>
      </c>
      <c r="AU1061" t="str">
        <f>IF($AS1061="","",IFERROR(INDEX('TMP Paste'!$D$2:$D$1601,$AS1061)*1000000/$AB1061,""))</f>
        <v/>
      </c>
    </row>
    <row r="1062" spans="1:47">
      <c r="A1062" t="str">
        <f>IF($AS1062="","",INDEX('TMP Paste'!$B$2:$B$1601,$AS1062))</f>
        <v/>
      </c>
      <c r="B1062" t="str">
        <f>IF($AS1062="","",Config!$B$14)</f>
        <v/>
      </c>
      <c r="C1062" t="str">
        <f>IF($AS1062="","",Config!$B$15)</f>
        <v/>
      </c>
      <c r="D1062" t="str">
        <f>IF($AS1062="","",INDEX('TMP Paste'!$B$2:$B$1601,$AS1062))</f>
        <v/>
      </c>
      <c r="E1062" t="str">
        <f>IF($AS1062="","",Config!$B$27)</f>
        <v/>
      </c>
      <c r="F1062" t="str">
        <f>IF($AS1062="","",Config!$B$9)</f>
        <v/>
      </c>
      <c r="G1062" t="str">
        <f>IF($AS1062="","",Config!$B$10)</f>
        <v/>
      </c>
      <c r="H1062" t="str">
        <f>IF($AS1062="","",Config!$B$11)</f>
        <v/>
      </c>
      <c r="I1062" t="str">
        <f>IF($AS1062="","",Config!$B$16)</f>
        <v/>
      </c>
      <c r="J1062" t="str">
        <f>IF($AS1062="","",INDEX('TMP Paste'!$A$2:$A$1601,$AS1062))</f>
        <v/>
      </c>
      <c r="K1062" t="str">
        <f>IF($AS1062="","",INDEX('TMP Paste'!$L$2:$L$1601,$AS1062))</f>
        <v/>
      </c>
      <c r="L1062" t="str">
        <f>IF($AS1062="","",INDEX('TMP Paste'!$I$2:$I$1601,$AS1062))</f>
        <v/>
      </c>
      <c r="M1062" t="str">
        <f>IF($AS1062="","",Config!$B$16)</f>
        <v/>
      </c>
      <c r="N1062" t="str">
        <f t="shared" si="96"/>
        <v/>
      </c>
      <c r="O1062" t="str">
        <f>IF($AS1062="","",INDEX('TMP Paste'!$K$2:$K$1601,$AS1062))</f>
        <v/>
      </c>
      <c r="P1062" t="str">
        <f t="shared" si="97"/>
        <v/>
      </c>
      <c r="Q1062" t="str">
        <f>IF($AS1062="","",INDEX('TMP Paste'!$J$2:$J$1601,$AS1062))</f>
        <v/>
      </c>
      <c r="R1062" t="str">
        <f>IF($AS1062="","",Config!$B$24)</f>
        <v/>
      </c>
      <c r="S1062" t="str">
        <f ca="1">IF($AS1062="","",TEXT(Config!$B$4,"yyyy-mm-dd"))</f>
        <v/>
      </c>
      <c r="T1062" t="str">
        <f>IF($AS1062="","",Config!$B$17)</f>
        <v/>
      </c>
      <c r="U1062" t="str">
        <f>IF($AS1062="","",Config!$B$18)</f>
        <v/>
      </c>
      <c r="V1062" t="str">
        <f>IF($AS1062="","",Config!$B$19)</f>
        <v/>
      </c>
      <c r="W1062" t="str">
        <f>IF($AS1062="","",INDEX('TMP Paste'!$C$2:$C$1601,$AS1062))</f>
        <v/>
      </c>
      <c r="X1062" t="str">
        <f>IF($AS1062="","",Config!$B$29)</f>
        <v/>
      </c>
      <c r="Y1062" t="str">
        <f>IF($AT1062="","",INDEX(Calc!$I$2:$I$1601,$AT1062)&amp;" - "&amp;INDEX(Calc!$D$2:$D$1601,$AT1062)&amp;" koli")</f>
        <v/>
      </c>
      <c r="Z1062" t="str">
        <f>IF($AS1062="","",Config!$B$21)</f>
        <v/>
      </c>
      <c r="AA1062" t="str">
        <f>IF($AS1062="","",Config!$B$22)</f>
        <v/>
      </c>
      <c r="AB1062" t="str">
        <f>IF($AT1062="","",INDEX(Calc!$D$2:$D$1601,$AT1062))</f>
        <v/>
      </c>
      <c r="AC1062" t="str">
        <f>IF($AT1062="","",INDEX(Calc!$G$2:$G$1601,$AT1062))</f>
        <v/>
      </c>
      <c r="AD1062" t="str">
        <f>IF($AS1062="","",Config!$B$23)</f>
        <v/>
      </c>
      <c r="AE1062" t="str">
        <f>IF($AS1062="","",Config!$B$28)</f>
        <v/>
      </c>
      <c r="AF1062" t="str">
        <f t="shared" si="98"/>
        <v/>
      </c>
      <c r="AG1062" t="str">
        <f t="shared" si="99"/>
        <v/>
      </c>
      <c r="AH1062" t="str">
        <f t="shared" si="100"/>
        <v/>
      </c>
      <c r="AI1062" t="str">
        <f>IF($AG1062="","",SUMIF($AG$2:$AG1062,$AG1062,$AH$2:$AH1062))</f>
        <v/>
      </c>
      <c r="AJ1062" t="str">
        <f>IF('TMP Paste'!$F1062="","",IF('TMP Paste'!$B1062="",$AJ1061,'TMP Paste'!$B1062))</f>
        <v/>
      </c>
      <c r="AK1062" t="str">
        <f>IF('TMP Paste'!$F1062="","",N('TMP Paste'!$G1062))</f>
        <v/>
      </c>
      <c r="AL1062" t="str">
        <f>IF('TMP Paste'!$F1062="","",IF('TMP Paste'!$M1062="",$AL1061,'TMP Paste'!$M1062))</f>
        <v/>
      </c>
      <c r="AM1062" t="str">
        <f>IF('TMP Paste'!$F1062="","",IF('TMP Paste'!$N1062="",$AM1061,'TMP Paste'!$N1062))</f>
        <v/>
      </c>
      <c r="AN1062" t="str">
        <f>IF('TMP Paste'!$F1062="","",IF('TMP Paste'!$O1062="",$AN1061,'TMP Paste'!$O1062))</f>
        <v/>
      </c>
      <c r="AO1062" t="str">
        <f>IF('TMP Paste'!$F1062="","",IF('TMP Paste'!$P1062="",$AO1061,'TMP Paste'!$P1062))</f>
        <v/>
      </c>
      <c r="AP1062" t="str">
        <f t="shared" si="101"/>
        <v/>
      </c>
      <c r="AQ1062" t="str">
        <f>IF($AS1062="","",TRIM(IF(COUNTIFS(Calc!$B$2:$B$1601,ROW()-1,Calc!$C$2:$C$1601,"&lt;1")&gt;0,"Ada PO tanpa Koli - cek TMP. ","")&amp;IF(OR($AU1062="",$AU1062&lt;=0),"Volume kosong/0 - dimensi dikosongkan. ","")&amp;IF(AND($AU1062&lt;&gt;"",$AU1062&gt;=1000000),"Volume &gt;= 1.000.000 cm3 (di luar aturan) - dimensi dikosongkan. ","")&amp;IF(LEN($R1062)&gt;500,"R &gt; 500 karakter.","")))</f>
        <v/>
      </c>
      <c r="AS1062" t="str">
        <f>IFERROR(MATCH(ROW()-1,Calc!$J$2:$J$1601,0),"")</f>
        <v/>
      </c>
      <c r="AT1062" t="str">
        <f>IFERROR(MATCH(ROW()-1,Calc!$K$2:$K$1601,0),"")</f>
        <v/>
      </c>
      <c r="AU1062" t="str">
        <f>IF($AS1062="","",IFERROR(INDEX('TMP Paste'!$D$2:$D$1601,$AS1062)*1000000/$AB1062,""))</f>
        <v/>
      </c>
    </row>
    <row r="1063" spans="1:47">
      <c r="A1063" t="str">
        <f>IF($AS1063="","",INDEX('TMP Paste'!$B$2:$B$1601,$AS1063))</f>
        <v/>
      </c>
      <c r="B1063" t="str">
        <f>IF($AS1063="","",Config!$B$14)</f>
        <v/>
      </c>
      <c r="C1063" t="str">
        <f>IF($AS1063="","",Config!$B$15)</f>
        <v/>
      </c>
      <c r="D1063" t="str">
        <f>IF($AS1063="","",INDEX('TMP Paste'!$B$2:$B$1601,$AS1063))</f>
        <v/>
      </c>
      <c r="E1063" t="str">
        <f>IF($AS1063="","",Config!$B$27)</f>
        <v/>
      </c>
      <c r="F1063" t="str">
        <f>IF($AS1063="","",Config!$B$9)</f>
        <v/>
      </c>
      <c r="G1063" t="str">
        <f>IF($AS1063="","",Config!$B$10)</f>
        <v/>
      </c>
      <c r="H1063" t="str">
        <f>IF($AS1063="","",Config!$B$11)</f>
        <v/>
      </c>
      <c r="I1063" t="str">
        <f>IF($AS1063="","",Config!$B$16)</f>
        <v/>
      </c>
      <c r="J1063" t="str">
        <f>IF($AS1063="","",INDEX('TMP Paste'!$A$2:$A$1601,$AS1063))</f>
        <v/>
      </c>
      <c r="K1063" t="str">
        <f>IF($AS1063="","",INDEX('TMP Paste'!$L$2:$L$1601,$AS1063))</f>
        <v/>
      </c>
      <c r="L1063" t="str">
        <f>IF($AS1063="","",INDEX('TMP Paste'!$I$2:$I$1601,$AS1063))</f>
        <v/>
      </c>
      <c r="M1063" t="str">
        <f>IF($AS1063="","",Config!$B$16)</f>
        <v/>
      </c>
      <c r="N1063" t="str">
        <f t="shared" si="96"/>
        <v/>
      </c>
      <c r="O1063" t="str">
        <f>IF($AS1063="","",INDEX('TMP Paste'!$K$2:$K$1601,$AS1063))</f>
        <v/>
      </c>
      <c r="P1063" t="str">
        <f t="shared" si="97"/>
        <v/>
      </c>
      <c r="Q1063" t="str">
        <f>IF($AS1063="","",INDEX('TMP Paste'!$J$2:$J$1601,$AS1063))</f>
        <v/>
      </c>
      <c r="R1063" t="str">
        <f>IF($AS1063="","",Config!$B$24)</f>
        <v/>
      </c>
      <c r="S1063" t="str">
        <f ca="1">IF($AS1063="","",TEXT(Config!$B$4,"yyyy-mm-dd"))</f>
        <v/>
      </c>
      <c r="T1063" t="str">
        <f>IF($AS1063="","",Config!$B$17)</f>
        <v/>
      </c>
      <c r="U1063" t="str">
        <f>IF($AS1063="","",Config!$B$18)</f>
        <v/>
      </c>
      <c r="V1063" t="str">
        <f>IF($AS1063="","",Config!$B$19)</f>
        <v/>
      </c>
      <c r="W1063" t="str">
        <f>IF($AS1063="","",INDEX('TMP Paste'!$C$2:$C$1601,$AS1063))</f>
        <v/>
      </c>
      <c r="X1063" t="str">
        <f>IF($AS1063="","",Config!$B$29)</f>
        <v/>
      </c>
      <c r="Y1063" t="str">
        <f>IF($AT1063="","",INDEX(Calc!$I$2:$I$1601,$AT1063)&amp;" - "&amp;INDEX(Calc!$D$2:$D$1601,$AT1063)&amp;" koli")</f>
        <v/>
      </c>
      <c r="Z1063" t="str">
        <f>IF($AS1063="","",Config!$B$21)</f>
        <v/>
      </c>
      <c r="AA1063" t="str">
        <f>IF($AS1063="","",Config!$B$22)</f>
        <v/>
      </c>
      <c r="AB1063" t="str">
        <f>IF($AT1063="","",INDEX(Calc!$D$2:$D$1601,$AT1063))</f>
        <v/>
      </c>
      <c r="AC1063" t="str">
        <f>IF($AT1063="","",INDEX(Calc!$G$2:$G$1601,$AT1063))</f>
        <v/>
      </c>
      <c r="AD1063" t="str">
        <f>IF($AS1063="","",Config!$B$23)</f>
        <v/>
      </c>
      <c r="AE1063" t="str">
        <f>IF($AS1063="","",Config!$B$28)</f>
        <v/>
      </c>
      <c r="AF1063" t="str">
        <f t="shared" si="98"/>
        <v/>
      </c>
      <c r="AG1063" t="str">
        <f t="shared" si="99"/>
        <v/>
      </c>
      <c r="AH1063" t="str">
        <f t="shared" si="100"/>
        <v/>
      </c>
      <c r="AI1063" t="str">
        <f>IF($AG1063="","",SUMIF($AG$2:$AG1063,$AG1063,$AH$2:$AH1063))</f>
        <v/>
      </c>
      <c r="AJ1063" t="str">
        <f>IF('TMP Paste'!$F1063="","",IF('TMP Paste'!$B1063="",$AJ1062,'TMP Paste'!$B1063))</f>
        <v/>
      </c>
      <c r="AK1063" t="str">
        <f>IF('TMP Paste'!$F1063="","",N('TMP Paste'!$G1063))</f>
        <v/>
      </c>
      <c r="AL1063" t="str">
        <f>IF('TMP Paste'!$F1063="","",IF('TMP Paste'!$M1063="",$AL1062,'TMP Paste'!$M1063))</f>
        <v/>
      </c>
      <c r="AM1063" t="str">
        <f>IF('TMP Paste'!$F1063="","",IF('TMP Paste'!$N1063="",$AM1062,'TMP Paste'!$N1063))</f>
        <v/>
      </c>
      <c r="AN1063" t="str">
        <f>IF('TMP Paste'!$F1063="","",IF('TMP Paste'!$O1063="",$AN1062,'TMP Paste'!$O1063))</f>
        <v/>
      </c>
      <c r="AO1063" t="str">
        <f>IF('TMP Paste'!$F1063="","",IF('TMP Paste'!$P1063="",$AO1062,'TMP Paste'!$P1063))</f>
        <v/>
      </c>
      <c r="AP1063" t="str">
        <f t="shared" si="101"/>
        <v/>
      </c>
      <c r="AQ1063" t="str">
        <f>IF($AS1063="","",TRIM(IF(COUNTIFS(Calc!$B$2:$B$1601,ROW()-1,Calc!$C$2:$C$1601,"&lt;1")&gt;0,"Ada PO tanpa Koli - cek TMP. ","")&amp;IF(OR($AU1063="",$AU1063&lt;=0),"Volume kosong/0 - dimensi dikosongkan. ","")&amp;IF(AND($AU1063&lt;&gt;"",$AU1063&gt;=1000000),"Volume &gt;= 1.000.000 cm3 (di luar aturan) - dimensi dikosongkan. ","")&amp;IF(LEN($R1063)&gt;500,"R &gt; 500 karakter.","")))</f>
        <v/>
      </c>
      <c r="AS1063" t="str">
        <f>IFERROR(MATCH(ROW()-1,Calc!$J$2:$J$1601,0),"")</f>
        <v/>
      </c>
      <c r="AT1063" t="str">
        <f>IFERROR(MATCH(ROW()-1,Calc!$K$2:$K$1601,0),"")</f>
        <v/>
      </c>
      <c r="AU1063" t="str">
        <f>IF($AS1063="","",IFERROR(INDEX('TMP Paste'!$D$2:$D$1601,$AS1063)*1000000/$AB1063,""))</f>
        <v/>
      </c>
    </row>
    <row r="1064" spans="1:47">
      <c r="A1064" t="str">
        <f>IF($AS1064="","",INDEX('TMP Paste'!$B$2:$B$1601,$AS1064))</f>
        <v/>
      </c>
      <c r="B1064" t="str">
        <f>IF($AS1064="","",Config!$B$14)</f>
        <v/>
      </c>
      <c r="C1064" t="str">
        <f>IF($AS1064="","",Config!$B$15)</f>
        <v/>
      </c>
      <c r="D1064" t="str">
        <f>IF($AS1064="","",INDEX('TMP Paste'!$B$2:$B$1601,$AS1064))</f>
        <v/>
      </c>
      <c r="E1064" t="str">
        <f>IF($AS1064="","",Config!$B$27)</f>
        <v/>
      </c>
      <c r="F1064" t="str">
        <f>IF($AS1064="","",Config!$B$9)</f>
        <v/>
      </c>
      <c r="G1064" t="str">
        <f>IF($AS1064="","",Config!$B$10)</f>
        <v/>
      </c>
      <c r="H1064" t="str">
        <f>IF($AS1064="","",Config!$B$11)</f>
        <v/>
      </c>
      <c r="I1064" t="str">
        <f>IF($AS1064="","",Config!$B$16)</f>
        <v/>
      </c>
      <c r="J1064" t="str">
        <f>IF($AS1064="","",INDEX('TMP Paste'!$A$2:$A$1601,$AS1064))</f>
        <v/>
      </c>
      <c r="K1064" t="str">
        <f>IF($AS1064="","",INDEX('TMP Paste'!$L$2:$L$1601,$AS1064))</f>
        <v/>
      </c>
      <c r="L1064" t="str">
        <f>IF($AS1064="","",INDEX('TMP Paste'!$I$2:$I$1601,$AS1064))</f>
        <v/>
      </c>
      <c r="M1064" t="str">
        <f>IF($AS1064="","",Config!$B$16)</f>
        <v/>
      </c>
      <c r="N1064" t="str">
        <f t="shared" si="96"/>
        <v/>
      </c>
      <c r="O1064" t="str">
        <f>IF($AS1064="","",INDEX('TMP Paste'!$K$2:$K$1601,$AS1064))</f>
        <v/>
      </c>
      <c r="P1064" t="str">
        <f t="shared" si="97"/>
        <v/>
      </c>
      <c r="Q1064" t="str">
        <f>IF($AS1064="","",INDEX('TMP Paste'!$J$2:$J$1601,$AS1064))</f>
        <v/>
      </c>
      <c r="R1064" t="str">
        <f>IF($AS1064="","",Config!$B$24)</f>
        <v/>
      </c>
      <c r="S1064" t="str">
        <f ca="1">IF($AS1064="","",TEXT(Config!$B$4,"yyyy-mm-dd"))</f>
        <v/>
      </c>
      <c r="T1064" t="str">
        <f>IF($AS1064="","",Config!$B$17)</f>
        <v/>
      </c>
      <c r="U1064" t="str">
        <f>IF($AS1064="","",Config!$B$18)</f>
        <v/>
      </c>
      <c r="V1064" t="str">
        <f>IF($AS1064="","",Config!$B$19)</f>
        <v/>
      </c>
      <c r="W1064" t="str">
        <f>IF($AS1064="","",INDEX('TMP Paste'!$C$2:$C$1601,$AS1064))</f>
        <v/>
      </c>
      <c r="X1064" t="str">
        <f>IF($AS1064="","",Config!$B$29)</f>
        <v/>
      </c>
      <c r="Y1064" t="str">
        <f>IF($AT1064="","",INDEX(Calc!$I$2:$I$1601,$AT1064)&amp;" - "&amp;INDEX(Calc!$D$2:$D$1601,$AT1064)&amp;" koli")</f>
        <v/>
      </c>
      <c r="Z1064" t="str">
        <f>IF($AS1064="","",Config!$B$21)</f>
        <v/>
      </c>
      <c r="AA1064" t="str">
        <f>IF($AS1064="","",Config!$B$22)</f>
        <v/>
      </c>
      <c r="AB1064" t="str">
        <f>IF($AT1064="","",INDEX(Calc!$D$2:$D$1601,$AT1064))</f>
        <v/>
      </c>
      <c r="AC1064" t="str">
        <f>IF($AT1064="","",INDEX(Calc!$G$2:$G$1601,$AT1064))</f>
        <v/>
      </c>
      <c r="AD1064" t="str">
        <f>IF($AS1064="","",Config!$B$23)</f>
        <v/>
      </c>
      <c r="AE1064" t="str">
        <f>IF($AS1064="","",Config!$B$28)</f>
        <v/>
      </c>
      <c r="AF1064" t="str">
        <f t="shared" si="98"/>
        <v/>
      </c>
      <c r="AG1064" t="str">
        <f t="shared" si="99"/>
        <v/>
      </c>
      <c r="AH1064" t="str">
        <f t="shared" si="100"/>
        <v/>
      </c>
      <c r="AI1064" t="str">
        <f>IF($AG1064="","",SUMIF($AG$2:$AG1064,$AG1064,$AH$2:$AH1064))</f>
        <v/>
      </c>
      <c r="AJ1064" t="str">
        <f>IF('TMP Paste'!$F1064="","",IF('TMP Paste'!$B1064="",$AJ1063,'TMP Paste'!$B1064))</f>
        <v/>
      </c>
      <c r="AK1064" t="str">
        <f>IF('TMP Paste'!$F1064="","",N('TMP Paste'!$G1064))</f>
        <v/>
      </c>
      <c r="AL1064" t="str">
        <f>IF('TMP Paste'!$F1064="","",IF('TMP Paste'!$M1064="",$AL1063,'TMP Paste'!$M1064))</f>
        <v/>
      </c>
      <c r="AM1064" t="str">
        <f>IF('TMP Paste'!$F1064="","",IF('TMP Paste'!$N1064="",$AM1063,'TMP Paste'!$N1064))</f>
        <v/>
      </c>
      <c r="AN1064" t="str">
        <f>IF('TMP Paste'!$F1064="","",IF('TMP Paste'!$O1064="",$AN1063,'TMP Paste'!$O1064))</f>
        <v/>
      </c>
      <c r="AO1064" t="str">
        <f>IF('TMP Paste'!$F1064="","",IF('TMP Paste'!$P1064="",$AO1063,'TMP Paste'!$P1064))</f>
        <v/>
      </c>
      <c r="AP1064" t="str">
        <f t="shared" si="101"/>
        <v/>
      </c>
      <c r="AQ1064" t="str">
        <f>IF($AS1064="","",TRIM(IF(COUNTIFS(Calc!$B$2:$B$1601,ROW()-1,Calc!$C$2:$C$1601,"&lt;1")&gt;0,"Ada PO tanpa Koli - cek TMP. ","")&amp;IF(OR($AU1064="",$AU1064&lt;=0),"Volume kosong/0 - dimensi dikosongkan. ","")&amp;IF(AND($AU1064&lt;&gt;"",$AU1064&gt;=1000000),"Volume &gt;= 1.000.000 cm3 (di luar aturan) - dimensi dikosongkan. ","")&amp;IF(LEN($R1064)&gt;500,"R &gt; 500 karakter.","")))</f>
        <v/>
      </c>
      <c r="AS1064" t="str">
        <f>IFERROR(MATCH(ROW()-1,Calc!$J$2:$J$1601,0),"")</f>
        <v/>
      </c>
      <c r="AT1064" t="str">
        <f>IFERROR(MATCH(ROW()-1,Calc!$K$2:$K$1601,0),"")</f>
        <v/>
      </c>
      <c r="AU1064" t="str">
        <f>IF($AS1064="","",IFERROR(INDEX('TMP Paste'!$D$2:$D$1601,$AS1064)*1000000/$AB1064,""))</f>
        <v/>
      </c>
    </row>
    <row r="1065" spans="1:47">
      <c r="A1065" t="str">
        <f>IF($AS1065="","",INDEX('TMP Paste'!$B$2:$B$1601,$AS1065))</f>
        <v/>
      </c>
      <c r="B1065" t="str">
        <f>IF($AS1065="","",Config!$B$14)</f>
        <v/>
      </c>
      <c r="C1065" t="str">
        <f>IF($AS1065="","",Config!$B$15)</f>
        <v/>
      </c>
      <c r="D1065" t="str">
        <f>IF($AS1065="","",INDEX('TMP Paste'!$B$2:$B$1601,$AS1065))</f>
        <v/>
      </c>
      <c r="E1065" t="str">
        <f>IF($AS1065="","",Config!$B$27)</f>
        <v/>
      </c>
      <c r="F1065" t="str">
        <f>IF($AS1065="","",Config!$B$9)</f>
        <v/>
      </c>
      <c r="G1065" t="str">
        <f>IF($AS1065="","",Config!$B$10)</f>
        <v/>
      </c>
      <c r="H1065" t="str">
        <f>IF($AS1065="","",Config!$B$11)</f>
        <v/>
      </c>
      <c r="I1065" t="str">
        <f>IF($AS1065="","",Config!$B$16)</f>
        <v/>
      </c>
      <c r="J1065" t="str">
        <f>IF($AS1065="","",INDEX('TMP Paste'!$A$2:$A$1601,$AS1065))</f>
        <v/>
      </c>
      <c r="K1065" t="str">
        <f>IF($AS1065="","",INDEX('TMP Paste'!$L$2:$L$1601,$AS1065))</f>
        <v/>
      </c>
      <c r="L1065" t="str">
        <f>IF($AS1065="","",INDEX('TMP Paste'!$I$2:$I$1601,$AS1065))</f>
        <v/>
      </c>
      <c r="M1065" t="str">
        <f>IF($AS1065="","",Config!$B$16)</f>
        <v/>
      </c>
      <c r="N1065" t="str">
        <f t="shared" si="96"/>
        <v/>
      </c>
      <c r="O1065" t="str">
        <f>IF($AS1065="","",INDEX('TMP Paste'!$K$2:$K$1601,$AS1065))</f>
        <v/>
      </c>
      <c r="P1065" t="str">
        <f t="shared" si="97"/>
        <v/>
      </c>
      <c r="Q1065" t="str">
        <f>IF($AS1065="","",INDEX('TMP Paste'!$J$2:$J$1601,$AS1065))</f>
        <v/>
      </c>
      <c r="R1065" t="str">
        <f>IF($AS1065="","",Config!$B$24)</f>
        <v/>
      </c>
      <c r="S1065" t="str">
        <f ca="1">IF($AS1065="","",TEXT(Config!$B$4,"yyyy-mm-dd"))</f>
        <v/>
      </c>
      <c r="T1065" t="str">
        <f>IF($AS1065="","",Config!$B$17)</f>
        <v/>
      </c>
      <c r="U1065" t="str">
        <f>IF($AS1065="","",Config!$B$18)</f>
        <v/>
      </c>
      <c r="V1065" t="str">
        <f>IF($AS1065="","",Config!$B$19)</f>
        <v/>
      </c>
      <c r="W1065" t="str">
        <f>IF($AS1065="","",INDEX('TMP Paste'!$C$2:$C$1601,$AS1065))</f>
        <v/>
      </c>
      <c r="X1065" t="str">
        <f>IF($AS1065="","",Config!$B$29)</f>
        <v/>
      </c>
      <c r="Y1065" t="str">
        <f>IF($AT1065="","",INDEX(Calc!$I$2:$I$1601,$AT1065)&amp;" - "&amp;INDEX(Calc!$D$2:$D$1601,$AT1065)&amp;" koli")</f>
        <v/>
      </c>
      <c r="Z1065" t="str">
        <f>IF($AS1065="","",Config!$B$21)</f>
        <v/>
      </c>
      <c r="AA1065" t="str">
        <f>IF($AS1065="","",Config!$B$22)</f>
        <v/>
      </c>
      <c r="AB1065" t="str">
        <f>IF($AT1065="","",INDEX(Calc!$D$2:$D$1601,$AT1065))</f>
        <v/>
      </c>
      <c r="AC1065" t="str">
        <f>IF($AT1065="","",INDEX(Calc!$G$2:$G$1601,$AT1065))</f>
        <v/>
      </c>
      <c r="AD1065" t="str">
        <f>IF($AS1065="","",Config!$B$23)</f>
        <v/>
      </c>
      <c r="AE1065" t="str">
        <f>IF($AS1065="","",Config!$B$28)</f>
        <v/>
      </c>
      <c r="AF1065" t="str">
        <f t="shared" si="98"/>
        <v/>
      </c>
      <c r="AG1065" t="str">
        <f t="shared" si="99"/>
        <v/>
      </c>
      <c r="AH1065" t="str">
        <f t="shared" si="100"/>
        <v/>
      </c>
      <c r="AI1065" t="str">
        <f>IF($AG1065="","",SUMIF($AG$2:$AG1065,$AG1065,$AH$2:$AH1065))</f>
        <v/>
      </c>
      <c r="AJ1065" t="str">
        <f>IF('TMP Paste'!$F1065="","",IF('TMP Paste'!$B1065="",$AJ1064,'TMP Paste'!$B1065))</f>
        <v/>
      </c>
      <c r="AK1065" t="str">
        <f>IF('TMP Paste'!$F1065="","",N('TMP Paste'!$G1065))</f>
        <v/>
      </c>
      <c r="AL1065" t="str">
        <f>IF('TMP Paste'!$F1065="","",IF('TMP Paste'!$M1065="",$AL1064,'TMP Paste'!$M1065))</f>
        <v/>
      </c>
      <c r="AM1065" t="str">
        <f>IF('TMP Paste'!$F1065="","",IF('TMP Paste'!$N1065="",$AM1064,'TMP Paste'!$N1065))</f>
        <v/>
      </c>
      <c r="AN1065" t="str">
        <f>IF('TMP Paste'!$F1065="","",IF('TMP Paste'!$O1065="",$AN1064,'TMP Paste'!$O1065))</f>
        <v/>
      </c>
      <c r="AO1065" t="str">
        <f>IF('TMP Paste'!$F1065="","",IF('TMP Paste'!$P1065="",$AO1064,'TMP Paste'!$P1065))</f>
        <v/>
      </c>
      <c r="AP1065" t="str">
        <f t="shared" si="101"/>
        <v/>
      </c>
      <c r="AQ1065" t="str">
        <f>IF($AS1065="","",TRIM(IF(COUNTIFS(Calc!$B$2:$B$1601,ROW()-1,Calc!$C$2:$C$1601,"&lt;1")&gt;0,"Ada PO tanpa Koli - cek TMP. ","")&amp;IF(OR($AU1065="",$AU1065&lt;=0),"Volume kosong/0 - dimensi dikosongkan. ","")&amp;IF(AND($AU1065&lt;&gt;"",$AU1065&gt;=1000000),"Volume &gt;= 1.000.000 cm3 (di luar aturan) - dimensi dikosongkan. ","")&amp;IF(LEN($R1065)&gt;500,"R &gt; 500 karakter.","")))</f>
        <v/>
      </c>
      <c r="AS1065" t="str">
        <f>IFERROR(MATCH(ROW()-1,Calc!$J$2:$J$1601,0),"")</f>
        <v/>
      </c>
      <c r="AT1065" t="str">
        <f>IFERROR(MATCH(ROW()-1,Calc!$K$2:$K$1601,0),"")</f>
        <v/>
      </c>
      <c r="AU1065" t="str">
        <f>IF($AS1065="","",IFERROR(INDEX('TMP Paste'!$D$2:$D$1601,$AS1065)*1000000/$AB1065,""))</f>
        <v/>
      </c>
    </row>
    <row r="1066" spans="1:47">
      <c r="A1066" t="str">
        <f>IF($AS1066="","",INDEX('TMP Paste'!$B$2:$B$1601,$AS1066))</f>
        <v/>
      </c>
      <c r="B1066" t="str">
        <f>IF($AS1066="","",Config!$B$14)</f>
        <v/>
      </c>
      <c r="C1066" t="str">
        <f>IF($AS1066="","",Config!$B$15)</f>
        <v/>
      </c>
      <c r="D1066" t="str">
        <f>IF($AS1066="","",INDEX('TMP Paste'!$B$2:$B$1601,$AS1066))</f>
        <v/>
      </c>
      <c r="E1066" t="str">
        <f>IF($AS1066="","",Config!$B$27)</f>
        <v/>
      </c>
      <c r="F1066" t="str">
        <f>IF($AS1066="","",Config!$B$9)</f>
        <v/>
      </c>
      <c r="G1066" t="str">
        <f>IF($AS1066="","",Config!$B$10)</f>
        <v/>
      </c>
      <c r="H1066" t="str">
        <f>IF($AS1066="","",Config!$B$11)</f>
        <v/>
      </c>
      <c r="I1066" t="str">
        <f>IF($AS1066="","",Config!$B$16)</f>
        <v/>
      </c>
      <c r="J1066" t="str">
        <f>IF($AS1066="","",INDEX('TMP Paste'!$A$2:$A$1601,$AS1066))</f>
        <v/>
      </c>
      <c r="K1066" t="str">
        <f>IF($AS1066="","",INDEX('TMP Paste'!$L$2:$L$1601,$AS1066))</f>
        <v/>
      </c>
      <c r="L1066" t="str">
        <f>IF($AS1066="","",INDEX('TMP Paste'!$I$2:$I$1601,$AS1066))</f>
        <v/>
      </c>
      <c r="M1066" t="str">
        <f>IF($AS1066="","",Config!$B$16)</f>
        <v/>
      </c>
      <c r="N1066" t="str">
        <f t="shared" si="96"/>
        <v/>
      </c>
      <c r="O1066" t="str">
        <f>IF($AS1066="","",INDEX('TMP Paste'!$K$2:$K$1601,$AS1066))</f>
        <v/>
      </c>
      <c r="P1066" t="str">
        <f t="shared" si="97"/>
        <v/>
      </c>
      <c r="Q1066" t="str">
        <f>IF($AS1066="","",INDEX('TMP Paste'!$J$2:$J$1601,$AS1066))</f>
        <v/>
      </c>
      <c r="R1066" t="str">
        <f>IF($AS1066="","",Config!$B$24)</f>
        <v/>
      </c>
      <c r="S1066" t="str">
        <f ca="1">IF($AS1066="","",TEXT(Config!$B$4,"yyyy-mm-dd"))</f>
        <v/>
      </c>
      <c r="T1066" t="str">
        <f>IF($AS1066="","",Config!$B$17)</f>
        <v/>
      </c>
      <c r="U1066" t="str">
        <f>IF($AS1066="","",Config!$B$18)</f>
        <v/>
      </c>
      <c r="V1066" t="str">
        <f>IF($AS1066="","",Config!$B$19)</f>
        <v/>
      </c>
      <c r="W1066" t="str">
        <f>IF($AS1066="","",INDEX('TMP Paste'!$C$2:$C$1601,$AS1066))</f>
        <v/>
      </c>
      <c r="X1066" t="str">
        <f>IF($AS1066="","",Config!$B$29)</f>
        <v/>
      </c>
      <c r="Y1066" t="str">
        <f>IF($AT1066="","",INDEX(Calc!$I$2:$I$1601,$AT1066)&amp;" - "&amp;INDEX(Calc!$D$2:$D$1601,$AT1066)&amp;" koli")</f>
        <v/>
      </c>
      <c r="Z1066" t="str">
        <f>IF($AS1066="","",Config!$B$21)</f>
        <v/>
      </c>
      <c r="AA1066" t="str">
        <f>IF($AS1066="","",Config!$B$22)</f>
        <v/>
      </c>
      <c r="AB1066" t="str">
        <f>IF($AT1066="","",INDEX(Calc!$D$2:$D$1601,$AT1066))</f>
        <v/>
      </c>
      <c r="AC1066" t="str">
        <f>IF($AT1066="","",INDEX(Calc!$G$2:$G$1601,$AT1066))</f>
        <v/>
      </c>
      <c r="AD1066" t="str">
        <f>IF($AS1066="","",Config!$B$23)</f>
        <v/>
      </c>
      <c r="AE1066" t="str">
        <f>IF($AS1066="","",Config!$B$28)</f>
        <v/>
      </c>
      <c r="AF1066" t="str">
        <f t="shared" si="98"/>
        <v/>
      </c>
      <c r="AG1066" t="str">
        <f t="shared" si="99"/>
        <v/>
      </c>
      <c r="AH1066" t="str">
        <f t="shared" si="100"/>
        <v/>
      </c>
      <c r="AI1066" t="str">
        <f>IF($AG1066="","",SUMIF($AG$2:$AG1066,$AG1066,$AH$2:$AH1066))</f>
        <v/>
      </c>
      <c r="AJ1066" t="str">
        <f>IF('TMP Paste'!$F1066="","",IF('TMP Paste'!$B1066="",$AJ1065,'TMP Paste'!$B1066))</f>
        <v/>
      </c>
      <c r="AK1066" t="str">
        <f>IF('TMP Paste'!$F1066="","",N('TMP Paste'!$G1066))</f>
        <v/>
      </c>
      <c r="AL1066" t="str">
        <f>IF('TMP Paste'!$F1066="","",IF('TMP Paste'!$M1066="",$AL1065,'TMP Paste'!$M1066))</f>
        <v/>
      </c>
      <c r="AM1066" t="str">
        <f>IF('TMP Paste'!$F1066="","",IF('TMP Paste'!$N1066="",$AM1065,'TMP Paste'!$N1066))</f>
        <v/>
      </c>
      <c r="AN1066" t="str">
        <f>IF('TMP Paste'!$F1066="","",IF('TMP Paste'!$O1066="",$AN1065,'TMP Paste'!$O1066))</f>
        <v/>
      </c>
      <c r="AO1066" t="str">
        <f>IF('TMP Paste'!$F1066="","",IF('TMP Paste'!$P1066="",$AO1065,'TMP Paste'!$P1066))</f>
        <v/>
      </c>
      <c r="AP1066" t="str">
        <f t="shared" si="101"/>
        <v/>
      </c>
      <c r="AQ1066" t="str">
        <f>IF($AS1066="","",TRIM(IF(COUNTIFS(Calc!$B$2:$B$1601,ROW()-1,Calc!$C$2:$C$1601,"&lt;1")&gt;0,"Ada PO tanpa Koli - cek TMP. ","")&amp;IF(OR($AU1066="",$AU1066&lt;=0),"Volume kosong/0 - dimensi dikosongkan. ","")&amp;IF(AND($AU1066&lt;&gt;"",$AU1066&gt;=1000000),"Volume &gt;= 1.000.000 cm3 (di luar aturan) - dimensi dikosongkan. ","")&amp;IF(LEN($R1066)&gt;500,"R &gt; 500 karakter.","")))</f>
        <v/>
      </c>
      <c r="AS1066" t="str">
        <f>IFERROR(MATCH(ROW()-1,Calc!$J$2:$J$1601,0),"")</f>
        <v/>
      </c>
      <c r="AT1066" t="str">
        <f>IFERROR(MATCH(ROW()-1,Calc!$K$2:$K$1601,0),"")</f>
        <v/>
      </c>
      <c r="AU1066" t="str">
        <f>IF($AS1066="","",IFERROR(INDEX('TMP Paste'!$D$2:$D$1601,$AS1066)*1000000/$AB1066,""))</f>
        <v/>
      </c>
    </row>
    <row r="1067" spans="1:47">
      <c r="A1067" t="str">
        <f>IF($AS1067="","",INDEX('TMP Paste'!$B$2:$B$1601,$AS1067))</f>
        <v/>
      </c>
      <c r="B1067" t="str">
        <f>IF($AS1067="","",Config!$B$14)</f>
        <v/>
      </c>
      <c r="C1067" t="str">
        <f>IF($AS1067="","",Config!$B$15)</f>
        <v/>
      </c>
      <c r="D1067" t="str">
        <f>IF($AS1067="","",INDEX('TMP Paste'!$B$2:$B$1601,$AS1067))</f>
        <v/>
      </c>
      <c r="E1067" t="str">
        <f>IF($AS1067="","",Config!$B$27)</f>
        <v/>
      </c>
      <c r="F1067" t="str">
        <f>IF($AS1067="","",Config!$B$9)</f>
        <v/>
      </c>
      <c r="G1067" t="str">
        <f>IF($AS1067="","",Config!$B$10)</f>
        <v/>
      </c>
      <c r="H1067" t="str">
        <f>IF($AS1067="","",Config!$B$11)</f>
        <v/>
      </c>
      <c r="I1067" t="str">
        <f>IF($AS1067="","",Config!$B$16)</f>
        <v/>
      </c>
      <c r="J1067" t="str">
        <f>IF($AS1067="","",INDEX('TMP Paste'!$A$2:$A$1601,$AS1067))</f>
        <v/>
      </c>
      <c r="K1067" t="str">
        <f>IF($AS1067="","",INDEX('TMP Paste'!$L$2:$L$1601,$AS1067))</f>
        <v/>
      </c>
      <c r="L1067" t="str">
        <f>IF($AS1067="","",INDEX('TMP Paste'!$I$2:$I$1601,$AS1067))</f>
        <v/>
      </c>
      <c r="M1067" t="str">
        <f>IF($AS1067="","",Config!$B$16)</f>
        <v/>
      </c>
      <c r="N1067" t="str">
        <f t="shared" si="96"/>
        <v/>
      </c>
      <c r="O1067" t="str">
        <f>IF($AS1067="","",INDEX('TMP Paste'!$K$2:$K$1601,$AS1067))</f>
        <v/>
      </c>
      <c r="P1067" t="str">
        <f t="shared" si="97"/>
        <v/>
      </c>
      <c r="Q1067" t="str">
        <f>IF($AS1067="","",INDEX('TMP Paste'!$J$2:$J$1601,$AS1067))</f>
        <v/>
      </c>
      <c r="R1067" t="str">
        <f>IF($AS1067="","",Config!$B$24)</f>
        <v/>
      </c>
      <c r="S1067" t="str">
        <f ca="1">IF($AS1067="","",TEXT(Config!$B$4,"yyyy-mm-dd"))</f>
        <v/>
      </c>
      <c r="T1067" t="str">
        <f>IF($AS1067="","",Config!$B$17)</f>
        <v/>
      </c>
      <c r="U1067" t="str">
        <f>IF($AS1067="","",Config!$B$18)</f>
        <v/>
      </c>
      <c r="V1067" t="str">
        <f>IF($AS1067="","",Config!$B$19)</f>
        <v/>
      </c>
      <c r="W1067" t="str">
        <f>IF($AS1067="","",INDEX('TMP Paste'!$C$2:$C$1601,$AS1067))</f>
        <v/>
      </c>
      <c r="X1067" t="str">
        <f>IF($AS1067="","",Config!$B$29)</f>
        <v/>
      </c>
      <c r="Y1067" t="str">
        <f>IF($AT1067="","",INDEX(Calc!$I$2:$I$1601,$AT1067)&amp;" - "&amp;INDEX(Calc!$D$2:$D$1601,$AT1067)&amp;" koli")</f>
        <v/>
      </c>
      <c r="Z1067" t="str">
        <f>IF($AS1067="","",Config!$B$21)</f>
        <v/>
      </c>
      <c r="AA1067" t="str">
        <f>IF($AS1067="","",Config!$B$22)</f>
        <v/>
      </c>
      <c r="AB1067" t="str">
        <f>IF($AT1067="","",INDEX(Calc!$D$2:$D$1601,$AT1067))</f>
        <v/>
      </c>
      <c r="AC1067" t="str">
        <f>IF($AT1067="","",INDEX(Calc!$G$2:$G$1601,$AT1067))</f>
        <v/>
      </c>
      <c r="AD1067" t="str">
        <f>IF($AS1067="","",Config!$B$23)</f>
        <v/>
      </c>
      <c r="AE1067" t="str">
        <f>IF($AS1067="","",Config!$B$28)</f>
        <v/>
      </c>
      <c r="AF1067" t="str">
        <f t="shared" si="98"/>
        <v/>
      </c>
      <c r="AG1067" t="str">
        <f t="shared" si="99"/>
        <v/>
      </c>
      <c r="AH1067" t="str">
        <f t="shared" si="100"/>
        <v/>
      </c>
      <c r="AI1067" t="str">
        <f>IF($AG1067="","",SUMIF($AG$2:$AG1067,$AG1067,$AH$2:$AH1067))</f>
        <v/>
      </c>
      <c r="AJ1067" t="str">
        <f>IF('TMP Paste'!$F1067="","",IF('TMP Paste'!$B1067="",$AJ1066,'TMP Paste'!$B1067))</f>
        <v/>
      </c>
      <c r="AK1067" t="str">
        <f>IF('TMP Paste'!$F1067="","",N('TMP Paste'!$G1067))</f>
        <v/>
      </c>
      <c r="AL1067" t="str">
        <f>IF('TMP Paste'!$F1067="","",IF('TMP Paste'!$M1067="",$AL1066,'TMP Paste'!$M1067))</f>
        <v/>
      </c>
      <c r="AM1067" t="str">
        <f>IF('TMP Paste'!$F1067="","",IF('TMP Paste'!$N1067="",$AM1066,'TMP Paste'!$N1067))</f>
        <v/>
      </c>
      <c r="AN1067" t="str">
        <f>IF('TMP Paste'!$F1067="","",IF('TMP Paste'!$O1067="",$AN1066,'TMP Paste'!$O1067))</f>
        <v/>
      </c>
      <c r="AO1067" t="str">
        <f>IF('TMP Paste'!$F1067="","",IF('TMP Paste'!$P1067="",$AO1066,'TMP Paste'!$P1067))</f>
        <v/>
      </c>
      <c r="AP1067" t="str">
        <f t="shared" si="101"/>
        <v/>
      </c>
      <c r="AQ1067" t="str">
        <f>IF($AS1067="","",TRIM(IF(COUNTIFS(Calc!$B$2:$B$1601,ROW()-1,Calc!$C$2:$C$1601,"&lt;1")&gt;0,"Ada PO tanpa Koli - cek TMP. ","")&amp;IF(OR($AU1067="",$AU1067&lt;=0),"Volume kosong/0 - dimensi dikosongkan. ","")&amp;IF(AND($AU1067&lt;&gt;"",$AU1067&gt;=1000000),"Volume &gt;= 1.000.000 cm3 (di luar aturan) - dimensi dikosongkan. ","")&amp;IF(LEN($R1067)&gt;500,"R &gt; 500 karakter.","")))</f>
        <v/>
      </c>
      <c r="AS1067" t="str">
        <f>IFERROR(MATCH(ROW()-1,Calc!$J$2:$J$1601,0),"")</f>
        <v/>
      </c>
      <c r="AT1067" t="str">
        <f>IFERROR(MATCH(ROW()-1,Calc!$K$2:$K$1601,0),"")</f>
        <v/>
      </c>
      <c r="AU1067" t="str">
        <f>IF($AS1067="","",IFERROR(INDEX('TMP Paste'!$D$2:$D$1601,$AS1067)*1000000/$AB1067,""))</f>
        <v/>
      </c>
    </row>
    <row r="1068" spans="1:47">
      <c r="A1068" t="str">
        <f>IF($AS1068="","",INDEX('TMP Paste'!$B$2:$B$1601,$AS1068))</f>
        <v/>
      </c>
      <c r="B1068" t="str">
        <f>IF($AS1068="","",Config!$B$14)</f>
        <v/>
      </c>
      <c r="C1068" t="str">
        <f>IF($AS1068="","",Config!$B$15)</f>
        <v/>
      </c>
      <c r="D1068" t="str">
        <f>IF($AS1068="","",INDEX('TMP Paste'!$B$2:$B$1601,$AS1068))</f>
        <v/>
      </c>
      <c r="E1068" t="str">
        <f>IF($AS1068="","",Config!$B$27)</f>
        <v/>
      </c>
      <c r="F1068" t="str">
        <f>IF($AS1068="","",Config!$B$9)</f>
        <v/>
      </c>
      <c r="G1068" t="str">
        <f>IF($AS1068="","",Config!$B$10)</f>
        <v/>
      </c>
      <c r="H1068" t="str">
        <f>IF($AS1068="","",Config!$B$11)</f>
        <v/>
      </c>
      <c r="I1068" t="str">
        <f>IF($AS1068="","",Config!$B$16)</f>
        <v/>
      </c>
      <c r="J1068" t="str">
        <f>IF($AS1068="","",INDEX('TMP Paste'!$A$2:$A$1601,$AS1068))</f>
        <v/>
      </c>
      <c r="K1068" t="str">
        <f>IF($AS1068="","",INDEX('TMP Paste'!$L$2:$L$1601,$AS1068))</f>
        <v/>
      </c>
      <c r="L1068" t="str">
        <f>IF($AS1068="","",INDEX('TMP Paste'!$I$2:$I$1601,$AS1068))</f>
        <v/>
      </c>
      <c r="M1068" t="str">
        <f>IF($AS1068="","",Config!$B$16)</f>
        <v/>
      </c>
      <c r="N1068" t="str">
        <f t="shared" si="96"/>
        <v/>
      </c>
      <c r="O1068" t="str">
        <f>IF($AS1068="","",INDEX('TMP Paste'!$K$2:$K$1601,$AS1068))</f>
        <v/>
      </c>
      <c r="P1068" t="str">
        <f t="shared" si="97"/>
        <v/>
      </c>
      <c r="Q1068" t="str">
        <f>IF($AS1068="","",INDEX('TMP Paste'!$J$2:$J$1601,$AS1068))</f>
        <v/>
      </c>
      <c r="R1068" t="str">
        <f>IF($AS1068="","",Config!$B$24)</f>
        <v/>
      </c>
      <c r="S1068" t="str">
        <f ca="1">IF($AS1068="","",TEXT(Config!$B$4,"yyyy-mm-dd"))</f>
        <v/>
      </c>
      <c r="T1068" t="str">
        <f>IF($AS1068="","",Config!$B$17)</f>
        <v/>
      </c>
      <c r="U1068" t="str">
        <f>IF($AS1068="","",Config!$B$18)</f>
        <v/>
      </c>
      <c r="V1068" t="str">
        <f>IF($AS1068="","",Config!$B$19)</f>
        <v/>
      </c>
      <c r="W1068" t="str">
        <f>IF($AS1068="","",INDEX('TMP Paste'!$C$2:$C$1601,$AS1068))</f>
        <v/>
      </c>
      <c r="X1068" t="str">
        <f>IF($AS1068="","",Config!$B$29)</f>
        <v/>
      </c>
      <c r="Y1068" t="str">
        <f>IF($AT1068="","",INDEX(Calc!$I$2:$I$1601,$AT1068)&amp;" - "&amp;INDEX(Calc!$D$2:$D$1601,$AT1068)&amp;" koli")</f>
        <v/>
      </c>
      <c r="Z1068" t="str">
        <f>IF($AS1068="","",Config!$B$21)</f>
        <v/>
      </c>
      <c r="AA1068" t="str">
        <f>IF($AS1068="","",Config!$B$22)</f>
        <v/>
      </c>
      <c r="AB1068" t="str">
        <f>IF($AT1068="","",INDEX(Calc!$D$2:$D$1601,$AT1068))</f>
        <v/>
      </c>
      <c r="AC1068" t="str">
        <f>IF($AT1068="","",INDEX(Calc!$G$2:$G$1601,$AT1068))</f>
        <v/>
      </c>
      <c r="AD1068" t="str">
        <f>IF($AS1068="","",Config!$B$23)</f>
        <v/>
      </c>
      <c r="AE1068" t="str">
        <f>IF($AS1068="","",Config!$B$28)</f>
        <v/>
      </c>
      <c r="AF1068" t="str">
        <f t="shared" si="98"/>
        <v/>
      </c>
      <c r="AG1068" t="str">
        <f t="shared" si="99"/>
        <v/>
      </c>
      <c r="AH1068" t="str">
        <f t="shared" si="100"/>
        <v/>
      </c>
      <c r="AI1068" t="str">
        <f>IF($AG1068="","",SUMIF($AG$2:$AG1068,$AG1068,$AH$2:$AH1068))</f>
        <v/>
      </c>
      <c r="AJ1068" t="str">
        <f>IF('TMP Paste'!$F1068="","",IF('TMP Paste'!$B1068="",$AJ1067,'TMP Paste'!$B1068))</f>
        <v/>
      </c>
      <c r="AK1068" t="str">
        <f>IF('TMP Paste'!$F1068="","",N('TMP Paste'!$G1068))</f>
        <v/>
      </c>
      <c r="AL1068" t="str">
        <f>IF('TMP Paste'!$F1068="","",IF('TMP Paste'!$M1068="",$AL1067,'TMP Paste'!$M1068))</f>
        <v/>
      </c>
      <c r="AM1068" t="str">
        <f>IF('TMP Paste'!$F1068="","",IF('TMP Paste'!$N1068="",$AM1067,'TMP Paste'!$N1068))</f>
        <v/>
      </c>
      <c r="AN1068" t="str">
        <f>IF('TMP Paste'!$F1068="","",IF('TMP Paste'!$O1068="",$AN1067,'TMP Paste'!$O1068))</f>
        <v/>
      </c>
      <c r="AO1068" t="str">
        <f>IF('TMP Paste'!$F1068="","",IF('TMP Paste'!$P1068="",$AO1067,'TMP Paste'!$P1068))</f>
        <v/>
      </c>
      <c r="AP1068" t="str">
        <f t="shared" si="101"/>
        <v/>
      </c>
      <c r="AQ1068" t="str">
        <f>IF($AS1068="","",TRIM(IF(COUNTIFS(Calc!$B$2:$B$1601,ROW()-1,Calc!$C$2:$C$1601,"&lt;1")&gt;0,"Ada PO tanpa Koli - cek TMP. ","")&amp;IF(OR($AU1068="",$AU1068&lt;=0),"Volume kosong/0 - dimensi dikosongkan. ","")&amp;IF(AND($AU1068&lt;&gt;"",$AU1068&gt;=1000000),"Volume &gt;= 1.000.000 cm3 (di luar aturan) - dimensi dikosongkan. ","")&amp;IF(LEN($R1068)&gt;500,"R &gt; 500 karakter.","")))</f>
        <v/>
      </c>
      <c r="AS1068" t="str">
        <f>IFERROR(MATCH(ROW()-1,Calc!$J$2:$J$1601,0),"")</f>
        <v/>
      </c>
      <c r="AT1068" t="str">
        <f>IFERROR(MATCH(ROW()-1,Calc!$K$2:$K$1601,0),"")</f>
        <v/>
      </c>
      <c r="AU1068" t="str">
        <f>IF($AS1068="","",IFERROR(INDEX('TMP Paste'!$D$2:$D$1601,$AS1068)*1000000/$AB1068,""))</f>
        <v/>
      </c>
    </row>
    <row r="1069" spans="1:47">
      <c r="A1069" t="str">
        <f>IF($AS1069="","",INDEX('TMP Paste'!$B$2:$B$1601,$AS1069))</f>
        <v/>
      </c>
      <c r="B1069" t="str">
        <f>IF($AS1069="","",Config!$B$14)</f>
        <v/>
      </c>
      <c r="C1069" t="str">
        <f>IF($AS1069="","",Config!$B$15)</f>
        <v/>
      </c>
      <c r="D1069" t="str">
        <f>IF($AS1069="","",INDEX('TMP Paste'!$B$2:$B$1601,$AS1069))</f>
        <v/>
      </c>
      <c r="E1069" t="str">
        <f>IF($AS1069="","",Config!$B$27)</f>
        <v/>
      </c>
      <c r="F1069" t="str">
        <f>IF($AS1069="","",Config!$B$9)</f>
        <v/>
      </c>
      <c r="G1069" t="str">
        <f>IF($AS1069="","",Config!$B$10)</f>
        <v/>
      </c>
      <c r="H1069" t="str">
        <f>IF($AS1069="","",Config!$B$11)</f>
        <v/>
      </c>
      <c r="I1069" t="str">
        <f>IF($AS1069="","",Config!$B$16)</f>
        <v/>
      </c>
      <c r="J1069" t="str">
        <f>IF($AS1069="","",INDEX('TMP Paste'!$A$2:$A$1601,$AS1069))</f>
        <v/>
      </c>
      <c r="K1069" t="str">
        <f>IF($AS1069="","",INDEX('TMP Paste'!$L$2:$L$1601,$AS1069))</f>
        <v/>
      </c>
      <c r="L1069" t="str">
        <f>IF($AS1069="","",INDEX('TMP Paste'!$I$2:$I$1601,$AS1069))</f>
        <v/>
      </c>
      <c r="M1069" t="str">
        <f>IF($AS1069="","",Config!$B$16)</f>
        <v/>
      </c>
      <c r="N1069" t="str">
        <f t="shared" si="96"/>
        <v/>
      </c>
      <c r="O1069" t="str">
        <f>IF($AS1069="","",INDEX('TMP Paste'!$K$2:$K$1601,$AS1069))</f>
        <v/>
      </c>
      <c r="P1069" t="str">
        <f t="shared" si="97"/>
        <v/>
      </c>
      <c r="Q1069" t="str">
        <f>IF($AS1069="","",INDEX('TMP Paste'!$J$2:$J$1601,$AS1069))</f>
        <v/>
      </c>
      <c r="R1069" t="str">
        <f>IF($AS1069="","",Config!$B$24)</f>
        <v/>
      </c>
      <c r="S1069" t="str">
        <f ca="1">IF($AS1069="","",TEXT(Config!$B$4,"yyyy-mm-dd"))</f>
        <v/>
      </c>
      <c r="T1069" t="str">
        <f>IF($AS1069="","",Config!$B$17)</f>
        <v/>
      </c>
      <c r="U1069" t="str">
        <f>IF($AS1069="","",Config!$B$18)</f>
        <v/>
      </c>
      <c r="V1069" t="str">
        <f>IF($AS1069="","",Config!$B$19)</f>
        <v/>
      </c>
      <c r="W1069" t="str">
        <f>IF($AS1069="","",INDEX('TMP Paste'!$C$2:$C$1601,$AS1069))</f>
        <v/>
      </c>
      <c r="X1069" t="str">
        <f>IF($AS1069="","",Config!$B$29)</f>
        <v/>
      </c>
      <c r="Y1069" t="str">
        <f>IF($AT1069="","",INDEX(Calc!$I$2:$I$1601,$AT1069)&amp;" - "&amp;INDEX(Calc!$D$2:$D$1601,$AT1069)&amp;" koli")</f>
        <v/>
      </c>
      <c r="Z1069" t="str">
        <f>IF($AS1069="","",Config!$B$21)</f>
        <v/>
      </c>
      <c r="AA1069" t="str">
        <f>IF($AS1069="","",Config!$B$22)</f>
        <v/>
      </c>
      <c r="AB1069" t="str">
        <f>IF($AT1069="","",INDEX(Calc!$D$2:$D$1601,$AT1069))</f>
        <v/>
      </c>
      <c r="AC1069" t="str">
        <f>IF($AT1069="","",INDEX(Calc!$G$2:$G$1601,$AT1069))</f>
        <v/>
      </c>
      <c r="AD1069" t="str">
        <f>IF($AS1069="","",Config!$B$23)</f>
        <v/>
      </c>
      <c r="AE1069" t="str">
        <f>IF($AS1069="","",Config!$B$28)</f>
        <v/>
      </c>
      <c r="AF1069" t="str">
        <f t="shared" si="98"/>
        <v/>
      </c>
      <c r="AG1069" t="str">
        <f t="shared" si="99"/>
        <v/>
      </c>
      <c r="AH1069" t="str">
        <f t="shared" si="100"/>
        <v/>
      </c>
      <c r="AI1069" t="str">
        <f>IF($AG1069="","",SUMIF($AG$2:$AG1069,$AG1069,$AH$2:$AH1069))</f>
        <v/>
      </c>
      <c r="AJ1069" t="str">
        <f>IF('TMP Paste'!$F1069="","",IF('TMP Paste'!$B1069="",$AJ1068,'TMP Paste'!$B1069))</f>
        <v/>
      </c>
      <c r="AK1069" t="str">
        <f>IF('TMP Paste'!$F1069="","",N('TMP Paste'!$G1069))</f>
        <v/>
      </c>
      <c r="AL1069" t="str">
        <f>IF('TMP Paste'!$F1069="","",IF('TMP Paste'!$M1069="",$AL1068,'TMP Paste'!$M1069))</f>
        <v/>
      </c>
      <c r="AM1069" t="str">
        <f>IF('TMP Paste'!$F1069="","",IF('TMP Paste'!$N1069="",$AM1068,'TMP Paste'!$N1069))</f>
        <v/>
      </c>
      <c r="AN1069" t="str">
        <f>IF('TMP Paste'!$F1069="","",IF('TMP Paste'!$O1069="",$AN1068,'TMP Paste'!$O1069))</f>
        <v/>
      </c>
      <c r="AO1069" t="str">
        <f>IF('TMP Paste'!$F1069="","",IF('TMP Paste'!$P1069="",$AO1068,'TMP Paste'!$P1069))</f>
        <v/>
      </c>
      <c r="AP1069" t="str">
        <f t="shared" si="101"/>
        <v/>
      </c>
      <c r="AQ1069" t="str">
        <f>IF($AS1069="","",TRIM(IF(COUNTIFS(Calc!$B$2:$B$1601,ROW()-1,Calc!$C$2:$C$1601,"&lt;1")&gt;0,"Ada PO tanpa Koli - cek TMP. ","")&amp;IF(OR($AU1069="",$AU1069&lt;=0),"Volume kosong/0 - dimensi dikosongkan. ","")&amp;IF(AND($AU1069&lt;&gt;"",$AU1069&gt;=1000000),"Volume &gt;= 1.000.000 cm3 (di luar aturan) - dimensi dikosongkan. ","")&amp;IF(LEN($R1069)&gt;500,"R &gt; 500 karakter.","")))</f>
        <v/>
      </c>
      <c r="AS1069" t="str">
        <f>IFERROR(MATCH(ROW()-1,Calc!$J$2:$J$1601,0),"")</f>
        <v/>
      </c>
      <c r="AT1069" t="str">
        <f>IFERROR(MATCH(ROW()-1,Calc!$K$2:$K$1601,0),"")</f>
        <v/>
      </c>
      <c r="AU1069" t="str">
        <f>IF($AS1069="","",IFERROR(INDEX('TMP Paste'!$D$2:$D$1601,$AS1069)*1000000/$AB1069,""))</f>
        <v/>
      </c>
    </row>
    <row r="1070" spans="1:47">
      <c r="A1070" t="str">
        <f>IF($AS1070="","",INDEX('TMP Paste'!$B$2:$B$1601,$AS1070))</f>
        <v/>
      </c>
      <c r="B1070" t="str">
        <f>IF($AS1070="","",Config!$B$14)</f>
        <v/>
      </c>
      <c r="C1070" t="str">
        <f>IF($AS1070="","",Config!$B$15)</f>
        <v/>
      </c>
      <c r="D1070" t="str">
        <f>IF($AS1070="","",INDEX('TMP Paste'!$B$2:$B$1601,$AS1070))</f>
        <v/>
      </c>
      <c r="E1070" t="str">
        <f>IF($AS1070="","",Config!$B$27)</f>
        <v/>
      </c>
      <c r="F1070" t="str">
        <f>IF($AS1070="","",Config!$B$9)</f>
        <v/>
      </c>
      <c r="G1070" t="str">
        <f>IF($AS1070="","",Config!$B$10)</f>
        <v/>
      </c>
      <c r="H1070" t="str">
        <f>IF($AS1070="","",Config!$B$11)</f>
        <v/>
      </c>
      <c r="I1070" t="str">
        <f>IF($AS1070="","",Config!$B$16)</f>
        <v/>
      </c>
      <c r="J1070" t="str">
        <f>IF($AS1070="","",INDEX('TMP Paste'!$A$2:$A$1601,$AS1070))</f>
        <v/>
      </c>
      <c r="K1070" t="str">
        <f>IF($AS1070="","",INDEX('TMP Paste'!$L$2:$L$1601,$AS1070))</f>
        <v/>
      </c>
      <c r="L1070" t="str">
        <f>IF($AS1070="","",INDEX('TMP Paste'!$I$2:$I$1601,$AS1070))</f>
        <v/>
      </c>
      <c r="M1070" t="str">
        <f>IF($AS1070="","",Config!$B$16)</f>
        <v/>
      </c>
      <c r="N1070" t="str">
        <f t="shared" si="96"/>
        <v/>
      </c>
      <c r="O1070" t="str">
        <f>IF($AS1070="","",INDEX('TMP Paste'!$K$2:$K$1601,$AS1070))</f>
        <v/>
      </c>
      <c r="P1070" t="str">
        <f t="shared" si="97"/>
        <v/>
      </c>
      <c r="Q1070" t="str">
        <f>IF($AS1070="","",INDEX('TMP Paste'!$J$2:$J$1601,$AS1070))</f>
        <v/>
      </c>
      <c r="R1070" t="str">
        <f>IF($AS1070="","",Config!$B$24)</f>
        <v/>
      </c>
      <c r="S1070" t="str">
        <f ca="1">IF($AS1070="","",TEXT(Config!$B$4,"yyyy-mm-dd"))</f>
        <v/>
      </c>
      <c r="T1070" t="str">
        <f>IF($AS1070="","",Config!$B$17)</f>
        <v/>
      </c>
      <c r="U1070" t="str">
        <f>IF($AS1070="","",Config!$B$18)</f>
        <v/>
      </c>
      <c r="V1070" t="str">
        <f>IF($AS1070="","",Config!$B$19)</f>
        <v/>
      </c>
      <c r="W1070" t="str">
        <f>IF($AS1070="","",INDEX('TMP Paste'!$C$2:$C$1601,$AS1070))</f>
        <v/>
      </c>
      <c r="X1070" t="str">
        <f>IF($AS1070="","",Config!$B$29)</f>
        <v/>
      </c>
      <c r="Y1070" t="str">
        <f>IF($AT1070="","",INDEX(Calc!$I$2:$I$1601,$AT1070)&amp;" - "&amp;INDEX(Calc!$D$2:$D$1601,$AT1070)&amp;" koli")</f>
        <v/>
      </c>
      <c r="Z1070" t="str">
        <f>IF($AS1070="","",Config!$B$21)</f>
        <v/>
      </c>
      <c r="AA1070" t="str">
        <f>IF($AS1070="","",Config!$B$22)</f>
        <v/>
      </c>
      <c r="AB1070" t="str">
        <f>IF($AT1070="","",INDEX(Calc!$D$2:$D$1601,$AT1070))</f>
        <v/>
      </c>
      <c r="AC1070" t="str">
        <f>IF($AT1070="","",INDEX(Calc!$G$2:$G$1601,$AT1070))</f>
        <v/>
      </c>
      <c r="AD1070" t="str">
        <f>IF($AS1070="","",Config!$B$23)</f>
        <v/>
      </c>
      <c r="AE1070" t="str">
        <f>IF($AS1070="","",Config!$B$28)</f>
        <v/>
      </c>
      <c r="AF1070" t="str">
        <f t="shared" si="98"/>
        <v/>
      </c>
      <c r="AG1070" t="str">
        <f t="shared" si="99"/>
        <v/>
      </c>
      <c r="AH1070" t="str">
        <f t="shared" si="100"/>
        <v/>
      </c>
      <c r="AI1070" t="str">
        <f>IF($AG1070="","",SUMIF($AG$2:$AG1070,$AG1070,$AH$2:$AH1070))</f>
        <v/>
      </c>
      <c r="AJ1070" t="str">
        <f>IF('TMP Paste'!$F1070="","",IF('TMP Paste'!$B1070="",$AJ1069,'TMP Paste'!$B1070))</f>
        <v/>
      </c>
      <c r="AK1070" t="str">
        <f>IF('TMP Paste'!$F1070="","",N('TMP Paste'!$G1070))</f>
        <v/>
      </c>
      <c r="AL1070" t="str">
        <f>IF('TMP Paste'!$F1070="","",IF('TMP Paste'!$M1070="",$AL1069,'TMP Paste'!$M1070))</f>
        <v/>
      </c>
      <c r="AM1070" t="str">
        <f>IF('TMP Paste'!$F1070="","",IF('TMP Paste'!$N1070="",$AM1069,'TMP Paste'!$N1070))</f>
        <v/>
      </c>
      <c r="AN1070" t="str">
        <f>IF('TMP Paste'!$F1070="","",IF('TMP Paste'!$O1070="",$AN1069,'TMP Paste'!$O1070))</f>
        <v/>
      </c>
      <c r="AO1070" t="str">
        <f>IF('TMP Paste'!$F1070="","",IF('TMP Paste'!$P1070="",$AO1069,'TMP Paste'!$P1070))</f>
        <v/>
      </c>
      <c r="AP1070" t="str">
        <f t="shared" si="101"/>
        <v/>
      </c>
      <c r="AQ1070" t="str">
        <f>IF($AS1070="","",TRIM(IF(COUNTIFS(Calc!$B$2:$B$1601,ROW()-1,Calc!$C$2:$C$1601,"&lt;1")&gt;0,"Ada PO tanpa Koli - cek TMP. ","")&amp;IF(OR($AU1070="",$AU1070&lt;=0),"Volume kosong/0 - dimensi dikosongkan. ","")&amp;IF(AND($AU1070&lt;&gt;"",$AU1070&gt;=1000000),"Volume &gt;= 1.000.000 cm3 (di luar aturan) - dimensi dikosongkan. ","")&amp;IF(LEN($R1070)&gt;500,"R &gt; 500 karakter.","")))</f>
        <v/>
      </c>
      <c r="AS1070" t="str">
        <f>IFERROR(MATCH(ROW()-1,Calc!$J$2:$J$1601,0),"")</f>
        <v/>
      </c>
      <c r="AT1070" t="str">
        <f>IFERROR(MATCH(ROW()-1,Calc!$K$2:$K$1601,0),"")</f>
        <v/>
      </c>
      <c r="AU1070" t="str">
        <f>IF($AS1070="","",IFERROR(INDEX('TMP Paste'!$D$2:$D$1601,$AS1070)*1000000/$AB1070,""))</f>
        <v/>
      </c>
    </row>
    <row r="1071" spans="1:47">
      <c r="A1071" t="str">
        <f>IF($AS1071="","",INDEX('TMP Paste'!$B$2:$B$1601,$AS1071))</f>
        <v/>
      </c>
      <c r="B1071" t="str">
        <f>IF($AS1071="","",Config!$B$14)</f>
        <v/>
      </c>
      <c r="C1071" t="str">
        <f>IF($AS1071="","",Config!$B$15)</f>
        <v/>
      </c>
      <c r="D1071" t="str">
        <f>IF($AS1071="","",INDEX('TMP Paste'!$B$2:$B$1601,$AS1071))</f>
        <v/>
      </c>
      <c r="E1071" t="str">
        <f>IF($AS1071="","",Config!$B$27)</f>
        <v/>
      </c>
      <c r="F1071" t="str">
        <f>IF($AS1071="","",Config!$B$9)</f>
        <v/>
      </c>
      <c r="G1071" t="str">
        <f>IF($AS1071="","",Config!$B$10)</f>
        <v/>
      </c>
      <c r="H1071" t="str">
        <f>IF($AS1071="","",Config!$B$11)</f>
        <v/>
      </c>
      <c r="I1071" t="str">
        <f>IF($AS1071="","",Config!$B$16)</f>
        <v/>
      </c>
      <c r="J1071" t="str">
        <f>IF($AS1071="","",INDEX('TMP Paste'!$A$2:$A$1601,$AS1071))</f>
        <v/>
      </c>
      <c r="K1071" t="str">
        <f>IF($AS1071="","",INDEX('TMP Paste'!$L$2:$L$1601,$AS1071))</f>
        <v/>
      </c>
      <c r="L1071" t="str">
        <f>IF($AS1071="","",INDEX('TMP Paste'!$I$2:$I$1601,$AS1071))</f>
        <v/>
      </c>
      <c r="M1071" t="str">
        <f>IF($AS1071="","",Config!$B$16)</f>
        <v/>
      </c>
      <c r="N1071" t="str">
        <f t="shared" si="96"/>
        <v/>
      </c>
      <c r="O1071" t="str">
        <f>IF($AS1071="","",INDEX('TMP Paste'!$K$2:$K$1601,$AS1071))</f>
        <v/>
      </c>
      <c r="P1071" t="str">
        <f t="shared" si="97"/>
        <v/>
      </c>
      <c r="Q1071" t="str">
        <f>IF($AS1071="","",INDEX('TMP Paste'!$J$2:$J$1601,$AS1071))</f>
        <v/>
      </c>
      <c r="R1071" t="str">
        <f>IF($AS1071="","",Config!$B$24)</f>
        <v/>
      </c>
      <c r="S1071" t="str">
        <f ca="1">IF($AS1071="","",TEXT(Config!$B$4,"yyyy-mm-dd"))</f>
        <v/>
      </c>
      <c r="T1071" t="str">
        <f>IF($AS1071="","",Config!$B$17)</f>
        <v/>
      </c>
      <c r="U1071" t="str">
        <f>IF($AS1071="","",Config!$B$18)</f>
        <v/>
      </c>
      <c r="V1071" t="str">
        <f>IF($AS1071="","",Config!$B$19)</f>
        <v/>
      </c>
      <c r="W1071" t="str">
        <f>IF($AS1071="","",INDEX('TMP Paste'!$C$2:$C$1601,$AS1071))</f>
        <v/>
      </c>
      <c r="X1071" t="str">
        <f>IF($AS1071="","",Config!$B$29)</f>
        <v/>
      </c>
      <c r="Y1071" t="str">
        <f>IF($AT1071="","",INDEX(Calc!$I$2:$I$1601,$AT1071)&amp;" - "&amp;INDEX(Calc!$D$2:$D$1601,$AT1071)&amp;" koli")</f>
        <v/>
      </c>
      <c r="Z1071" t="str">
        <f>IF($AS1071="","",Config!$B$21)</f>
        <v/>
      </c>
      <c r="AA1071" t="str">
        <f>IF($AS1071="","",Config!$B$22)</f>
        <v/>
      </c>
      <c r="AB1071" t="str">
        <f>IF($AT1071="","",INDEX(Calc!$D$2:$D$1601,$AT1071))</f>
        <v/>
      </c>
      <c r="AC1071" t="str">
        <f>IF($AT1071="","",INDEX(Calc!$G$2:$G$1601,$AT1071))</f>
        <v/>
      </c>
      <c r="AD1071" t="str">
        <f>IF($AS1071="","",Config!$B$23)</f>
        <v/>
      </c>
      <c r="AE1071" t="str">
        <f>IF($AS1071="","",Config!$B$28)</f>
        <v/>
      </c>
      <c r="AF1071" t="str">
        <f t="shared" si="98"/>
        <v/>
      </c>
      <c r="AG1071" t="str">
        <f t="shared" si="99"/>
        <v/>
      </c>
      <c r="AH1071" t="str">
        <f t="shared" si="100"/>
        <v/>
      </c>
      <c r="AI1071" t="str">
        <f>IF($AG1071="","",SUMIF($AG$2:$AG1071,$AG1071,$AH$2:$AH1071))</f>
        <v/>
      </c>
      <c r="AJ1071" t="str">
        <f>IF('TMP Paste'!$F1071="","",IF('TMP Paste'!$B1071="",$AJ1070,'TMP Paste'!$B1071))</f>
        <v/>
      </c>
      <c r="AK1071" t="str">
        <f>IF('TMP Paste'!$F1071="","",N('TMP Paste'!$G1071))</f>
        <v/>
      </c>
      <c r="AL1071" t="str">
        <f>IF('TMP Paste'!$F1071="","",IF('TMP Paste'!$M1071="",$AL1070,'TMP Paste'!$M1071))</f>
        <v/>
      </c>
      <c r="AM1071" t="str">
        <f>IF('TMP Paste'!$F1071="","",IF('TMP Paste'!$N1071="",$AM1070,'TMP Paste'!$N1071))</f>
        <v/>
      </c>
      <c r="AN1071" t="str">
        <f>IF('TMP Paste'!$F1071="","",IF('TMP Paste'!$O1071="",$AN1070,'TMP Paste'!$O1071))</f>
        <v/>
      </c>
      <c r="AO1071" t="str">
        <f>IF('TMP Paste'!$F1071="","",IF('TMP Paste'!$P1071="",$AO1070,'TMP Paste'!$P1071))</f>
        <v/>
      </c>
      <c r="AP1071" t="str">
        <f t="shared" si="101"/>
        <v/>
      </c>
      <c r="AQ1071" t="str">
        <f>IF($AS1071="","",TRIM(IF(COUNTIFS(Calc!$B$2:$B$1601,ROW()-1,Calc!$C$2:$C$1601,"&lt;1")&gt;0,"Ada PO tanpa Koli - cek TMP. ","")&amp;IF(OR($AU1071="",$AU1071&lt;=0),"Volume kosong/0 - dimensi dikosongkan. ","")&amp;IF(AND($AU1071&lt;&gt;"",$AU1071&gt;=1000000),"Volume &gt;= 1.000.000 cm3 (di luar aturan) - dimensi dikosongkan. ","")&amp;IF(LEN($R1071)&gt;500,"R &gt; 500 karakter.","")))</f>
        <v/>
      </c>
      <c r="AS1071" t="str">
        <f>IFERROR(MATCH(ROW()-1,Calc!$J$2:$J$1601,0),"")</f>
        <v/>
      </c>
      <c r="AT1071" t="str">
        <f>IFERROR(MATCH(ROW()-1,Calc!$K$2:$K$1601,0),"")</f>
        <v/>
      </c>
      <c r="AU1071" t="str">
        <f>IF($AS1071="","",IFERROR(INDEX('TMP Paste'!$D$2:$D$1601,$AS1071)*1000000/$AB1071,""))</f>
        <v/>
      </c>
    </row>
    <row r="1072" spans="1:47">
      <c r="A1072" t="str">
        <f>IF($AS1072="","",INDEX('TMP Paste'!$B$2:$B$1601,$AS1072))</f>
        <v/>
      </c>
      <c r="B1072" t="str">
        <f>IF($AS1072="","",Config!$B$14)</f>
        <v/>
      </c>
      <c r="C1072" t="str">
        <f>IF($AS1072="","",Config!$B$15)</f>
        <v/>
      </c>
      <c r="D1072" t="str">
        <f>IF($AS1072="","",INDEX('TMP Paste'!$B$2:$B$1601,$AS1072))</f>
        <v/>
      </c>
      <c r="E1072" t="str">
        <f>IF($AS1072="","",Config!$B$27)</f>
        <v/>
      </c>
      <c r="F1072" t="str">
        <f>IF($AS1072="","",Config!$B$9)</f>
        <v/>
      </c>
      <c r="G1072" t="str">
        <f>IF($AS1072="","",Config!$B$10)</f>
        <v/>
      </c>
      <c r="H1072" t="str">
        <f>IF($AS1072="","",Config!$B$11)</f>
        <v/>
      </c>
      <c r="I1072" t="str">
        <f>IF($AS1072="","",Config!$B$16)</f>
        <v/>
      </c>
      <c r="J1072" t="str">
        <f>IF($AS1072="","",INDEX('TMP Paste'!$A$2:$A$1601,$AS1072))</f>
        <v/>
      </c>
      <c r="K1072" t="str">
        <f>IF($AS1072="","",INDEX('TMP Paste'!$L$2:$L$1601,$AS1072))</f>
        <v/>
      </c>
      <c r="L1072" t="str">
        <f>IF($AS1072="","",INDEX('TMP Paste'!$I$2:$I$1601,$AS1072))</f>
        <v/>
      </c>
      <c r="M1072" t="str">
        <f>IF($AS1072="","",Config!$B$16)</f>
        <v/>
      </c>
      <c r="N1072" t="str">
        <f t="shared" si="96"/>
        <v/>
      </c>
      <c r="O1072" t="str">
        <f>IF($AS1072="","",INDEX('TMP Paste'!$K$2:$K$1601,$AS1072))</f>
        <v/>
      </c>
      <c r="P1072" t="str">
        <f t="shared" si="97"/>
        <v/>
      </c>
      <c r="Q1072" t="str">
        <f>IF($AS1072="","",INDEX('TMP Paste'!$J$2:$J$1601,$AS1072))</f>
        <v/>
      </c>
      <c r="R1072" t="str">
        <f>IF($AS1072="","",Config!$B$24)</f>
        <v/>
      </c>
      <c r="S1072" t="str">
        <f ca="1">IF($AS1072="","",TEXT(Config!$B$4,"yyyy-mm-dd"))</f>
        <v/>
      </c>
      <c r="T1072" t="str">
        <f>IF($AS1072="","",Config!$B$17)</f>
        <v/>
      </c>
      <c r="U1072" t="str">
        <f>IF($AS1072="","",Config!$B$18)</f>
        <v/>
      </c>
      <c r="V1072" t="str">
        <f>IF($AS1072="","",Config!$B$19)</f>
        <v/>
      </c>
      <c r="W1072" t="str">
        <f>IF($AS1072="","",INDEX('TMP Paste'!$C$2:$C$1601,$AS1072))</f>
        <v/>
      </c>
      <c r="X1072" t="str">
        <f>IF($AS1072="","",Config!$B$29)</f>
        <v/>
      </c>
      <c r="Y1072" t="str">
        <f>IF($AT1072="","",INDEX(Calc!$I$2:$I$1601,$AT1072)&amp;" - "&amp;INDEX(Calc!$D$2:$D$1601,$AT1072)&amp;" koli")</f>
        <v/>
      </c>
      <c r="Z1072" t="str">
        <f>IF($AS1072="","",Config!$B$21)</f>
        <v/>
      </c>
      <c r="AA1072" t="str">
        <f>IF($AS1072="","",Config!$B$22)</f>
        <v/>
      </c>
      <c r="AB1072" t="str">
        <f>IF($AT1072="","",INDEX(Calc!$D$2:$D$1601,$AT1072))</f>
        <v/>
      </c>
      <c r="AC1072" t="str">
        <f>IF($AT1072="","",INDEX(Calc!$G$2:$G$1601,$AT1072))</f>
        <v/>
      </c>
      <c r="AD1072" t="str">
        <f>IF($AS1072="","",Config!$B$23)</f>
        <v/>
      </c>
      <c r="AE1072" t="str">
        <f>IF($AS1072="","",Config!$B$28)</f>
        <v/>
      </c>
      <c r="AF1072" t="str">
        <f t="shared" si="98"/>
        <v/>
      </c>
      <c r="AG1072" t="str">
        <f t="shared" si="99"/>
        <v/>
      </c>
      <c r="AH1072" t="str">
        <f t="shared" si="100"/>
        <v/>
      </c>
      <c r="AI1072" t="str">
        <f>IF($AG1072="","",SUMIF($AG$2:$AG1072,$AG1072,$AH$2:$AH1072))</f>
        <v/>
      </c>
      <c r="AJ1072" t="str">
        <f>IF('TMP Paste'!$F1072="","",IF('TMP Paste'!$B1072="",$AJ1071,'TMP Paste'!$B1072))</f>
        <v/>
      </c>
      <c r="AK1072" t="str">
        <f>IF('TMP Paste'!$F1072="","",N('TMP Paste'!$G1072))</f>
        <v/>
      </c>
      <c r="AL1072" t="str">
        <f>IF('TMP Paste'!$F1072="","",IF('TMP Paste'!$M1072="",$AL1071,'TMP Paste'!$M1072))</f>
        <v/>
      </c>
      <c r="AM1072" t="str">
        <f>IF('TMP Paste'!$F1072="","",IF('TMP Paste'!$N1072="",$AM1071,'TMP Paste'!$N1072))</f>
        <v/>
      </c>
      <c r="AN1072" t="str">
        <f>IF('TMP Paste'!$F1072="","",IF('TMP Paste'!$O1072="",$AN1071,'TMP Paste'!$O1072))</f>
        <v/>
      </c>
      <c r="AO1072" t="str">
        <f>IF('TMP Paste'!$F1072="","",IF('TMP Paste'!$P1072="",$AO1071,'TMP Paste'!$P1072))</f>
        <v/>
      </c>
      <c r="AP1072" t="str">
        <f t="shared" si="101"/>
        <v/>
      </c>
      <c r="AQ1072" t="str">
        <f>IF($AS1072="","",TRIM(IF(COUNTIFS(Calc!$B$2:$B$1601,ROW()-1,Calc!$C$2:$C$1601,"&lt;1")&gt;0,"Ada PO tanpa Koli - cek TMP. ","")&amp;IF(OR($AU1072="",$AU1072&lt;=0),"Volume kosong/0 - dimensi dikosongkan. ","")&amp;IF(AND($AU1072&lt;&gt;"",$AU1072&gt;=1000000),"Volume &gt;= 1.000.000 cm3 (di luar aturan) - dimensi dikosongkan. ","")&amp;IF(LEN($R1072)&gt;500,"R &gt; 500 karakter.","")))</f>
        <v/>
      </c>
      <c r="AS1072" t="str">
        <f>IFERROR(MATCH(ROW()-1,Calc!$J$2:$J$1601,0),"")</f>
        <v/>
      </c>
      <c r="AT1072" t="str">
        <f>IFERROR(MATCH(ROW()-1,Calc!$K$2:$K$1601,0),"")</f>
        <v/>
      </c>
      <c r="AU1072" t="str">
        <f>IF($AS1072="","",IFERROR(INDEX('TMP Paste'!$D$2:$D$1601,$AS1072)*1000000/$AB1072,""))</f>
        <v/>
      </c>
    </row>
    <row r="1073" spans="1:47">
      <c r="A1073" t="str">
        <f>IF($AS1073="","",INDEX('TMP Paste'!$B$2:$B$1601,$AS1073))</f>
        <v/>
      </c>
      <c r="B1073" t="str">
        <f>IF($AS1073="","",Config!$B$14)</f>
        <v/>
      </c>
      <c r="C1073" t="str">
        <f>IF($AS1073="","",Config!$B$15)</f>
        <v/>
      </c>
      <c r="D1073" t="str">
        <f>IF($AS1073="","",INDEX('TMP Paste'!$B$2:$B$1601,$AS1073))</f>
        <v/>
      </c>
      <c r="E1073" t="str">
        <f>IF($AS1073="","",Config!$B$27)</f>
        <v/>
      </c>
      <c r="F1073" t="str">
        <f>IF($AS1073="","",Config!$B$9)</f>
        <v/>
      </c>
      <c r="G1073" t="str">
        <f>IF($AS1073="","",Config!$B$10)</f>
        <v/>
      </c>
      <c r="H1073" t="str">
        <f>IF($AS1073="","",Config!$B$11)</f>
        <v/>
      </c>
      <c r="I1073" t="str">
        <f>IF($AS1073="","",Config!$B$16)</f>
        <v/>
      </c>
      <c r="J1073" t="str">
        <f>IF($AS1073="","",INDEX('TMP Paste'!$A$2:$A$1601,$AS1073))</f>
        <v/>
      </c>
      <c r="K1073" t="str">
        <f>IF($AS1073="","",INDEX('TMP Paste'!$L$2:$L$1601,$AS1073))</f>
        <v/>
      </c>
      <c r="L1073" t="str">
        <f>IF($AS1073="","",INDEX('TMP Paste'!$I$2:$I$1601,$AS1073))</f>
        <v/>
      </c>
      <c r="M1073" t="str">
        <f>IF($AS1073="","",Config!$B$16)</f>
        <v/>
      </c>
      <c r="N1073" t="str">
        <f t="shared" si="96"/>
        <v/>
      </c>
      <c r="O1073" t="str">
        <f>IF($AS1073="","",INDEX('TMP Paste'!$K$2:$K$1601,$AS1073))</f>
        <v/>
      </c>
      <c r="P1073" t="str">
        <f t="shared" si="97"/>
        <v/>
      </c>
      <c r="Q1073" t="str">
        <f>IF($AS1073="","",INDEX('TMP Paste'!$J$2:$J$1601,$AS1073))</f>
        <v/>
      </c>
      <c r="R1073" t="str">
        <f>IF($AS1073="","",Config!$B$24)</f>
        <v/>
      </c>
      <c r="S1073" t="str">
        <f ca="1">IF($AS1073="","",TEXT(Config!$B$4,"yyyy-mm-dd"))</f>
        <v/>
      </c>
      <c r="T1073" t="str">
        <f>IF($AS1073="","",Config!$B$17)</f>
        <v/>
      </c>
      <c r="U1073" t="str">
        <f>IF($AS1073="","",Config!$B$18)</f>
        <v/>
      </c>
      <c r="V1073" t="str">
        <f>IF($AS1073="","",Config!$B$19)</f>
        <v/>
      </c>
      <c r="W1073" t="str">
        <f>IF($AS1073="","",INDEX('TMP Paste'!$C$2:$C$1601,$AS1073))</f>
        <v/>
      </c>
      <c r="X1073" t="str">
        <f>IF($AS1073="","",Config!$B$29)</f>
        <v/>
      </c>
      <c r="Y1073" t="str">
        <f>IF($AT1073="","",INDEX(Calc!$I$2:$I$1601,$AT1073)&amp;" - "&amp;INDEX(Calc!$D$2:$D$1601,$AT1073)&amp;" koli")</f>
        <v/>
      </c>
      <c r="Z1073" t="str">
        <f>IF($AS1073="","",Config!$B$21)</f>
        <v/>
      </c>
      <c r="AA1073" t="str">
        <f>IF($AS1073="","",Config!$B$22)</f>
        <v/>
      </c>
      <c r="AB1073" t="str">
        <f>IF($AT1073="","",INDEX(Calc!$D$2:$D$1601,$AT1073))</f>
        <v/>
      </c>
      <c r="AC1073" t="str">
        <f>IF($AT1073="","",INDEX(Calc!$G$2:$G$1601,$AT1073))</f>
        <v/>
      </c>
      <c r="AD1073" t="str">
        <f>IF($AS1073="","",Config!$B$23)</f>
        <v/>
      </c>
      <c r="AE1073" t="str">
        <f>IF($AS1073="","",Config!$B$28)</f>
        <v/>
      </c>
      <c r="AF1073" t="str">
        <f t="shared" si="98"/>
        <v/>
      </c>
      <c r="AG1073" t="str">
        <f t="shared" si="99"/>
        <v/>
      </c>
      <c r="AH1073" t="str">
        <f t="shared" si="100"/>
        <v/>
      </c>
      <c r="AI1073" t="str">
        <f>IF($AG1073="","",SUMIF($AG$2:$AG1073,$AG1073,$AH$2:$AH1073))</f>
        <v/>
      </c>
      <c r="AJ1073" t="str">
        <f>IF('TMP Paste'!$F1073="","",IF('TMP Paste'!$B1073="",$AJ1072,'TMP Paste'!$B1073))</f>
        <v/>
      </c>
      <c r="AK1073" t="str">
        <f>IF('TMP Paste'!$F1073="","",N('TMP Paste'!$G1073))</f>
        <v/>
      </c>
      <c r="AL1073" t="str">
        <f>IF('TMP Paste'!$F1073="","",IF('TMP Paste'!$M1073="",$AL1072,'TMP Paste'!$M1073))</f>
        <v/>
      </c>
      <c r="AM1073" t="str">
        <f>IF('TMP Paste'!$F1073="","",IF('TMP Paste'!$N1073="",$AM1072,'TMP Paste'!$N1073))</f>
        <v/>
      </c>
      <c r="AN1073" t="str">
        <f>IF('TMP Paste'!$F1073="","",IF('TMP Paste'!$O1073="",$AN1072,'TMP Paste'!$O1073))</f>
        <v/>
      </c>
      <c r="AO1073" t="str">
        <f>IF('TMP Paste'!$F1073="","",IF('TMP Paste'!$P1073="",$AO1072,'TMP Paste'!$P1073))</f>
        <v/>
      </c>
      <c r="AP1073" t="str">
        <f t="shared" si="101"/>
        <v/>
      </c>
      <c r="AQ1073" t="str">
        <f>IF($AS1073="","",TRIM(IF(COUNTIFS(Calc!$B$2:$B$1601,ROW()-1,Calc!$C$2:$C$1601,"&lt;1")&gt;0,"Ada PO tanpa Koli - cek TMP. ","")&amp;IF(OR($AU1073="",$AU1073&lt;=0),"Volume kosong/0 - dimensi dikosongkan. ","")&amp;IF(AND($AU1073&lt;&gt;"",$AU1073&gt;=1000000),"Volume &gt;= 1.000.000 cm3 (di luar aturan) - dimensi dikosongkan. ","")&amp;IF(LEN($R1073)&gt;500,"R &gt; 500 karakter.","")))</f>
        <v/>
      </c>
      <c r="AS1073" t="str">
        <f>IFERROR(MATCH(ROW()-1,Calc!$J$2:$J$1601,0),"")</f>
        <v/>
      </c>
      <c r="AT1073" t="str">
        <f>IFERROR(MATCH(ROW()-1,Calc!$K$2:$K$1601,0),"")</f>
        <v/>
      </c>
      <c r="AU1073" t="str">
        <f>IF($AS1073="","",IFERROR(INDEX('TMP Paste'!$D$2:$D$1601,$AS1073)*1000000/$AB1073,""))</f>
        <v/>
      </c>
    </row>
    <row r="1074" spans="1:47">
      <c r="A1074" t="str">
        <f>IF($AS1074="","",INDEX('TMP Paste'!$B$2:$B$1601,$AS1074))</f>
        <v/>
      </c>
      <c r="B1074" t="str">
        <f>IF($AS1074="","",Config!$B$14)</f>
        <v/>
      </c>
      <c r="C1074" t="str">
        <f>IF($AS1074="","",Config!$B$15)</f>
        <v/>
      </c>
      <c r="D1074" t="str">
        <f>IF($AS1074="","",INDEX('TMP Paste'!$B$2:$B$1601,$AS1074))</f>
        <v/>
      </c>
      <c r="E1074" t="str">
        <f>IF($AS1074="","",Config!$B$27)</f>
        <v/>
      </c>
      <c r="F1074" t="str">
        <f>IF($AS1074="","",Config!$B$9)</f>
        <v/>
      </c>
      <c r="G1074" t="str">
        <f>IF($AS1074="","",Config!$B$10)</f>
        <v/>
      </c>
      <c r="H1074" t="str">
        <f>IF($AS1074="","",Config!$B$11)</f>
        <v/>
      </c>
      <c r="I1074" t="str">
        <f>IF($AS1074="","",Config!$B$16)</f>
        <v/>
      </c>
      <c r="J1074" t="str">
        <f>IF($AS1074="","",INDEX('TMP Paste'!$A$2:$A$1601,$AS1074))</f>
        <v/>
      </c>
      <c r="K1074" t="str">
        <f>IF($AS1074="","",INDEX('TMP Paste'!$L$2:$L$1601,$AS1074))</f>
        <v/>
      </c>
      <c r="L1074" t="str">
        <f>IF($AS1074="","",INDEX('TMP Paste'!$I$2:$I$1601,$AS1074))</f>
        <v/>
      </c>
      <c r="M1074" t="str">
        <f>IF($AS1074="","",Config!$B$16)</f>
        <v/>
      </c>
      <c r="N1074" t="str">
        <f t="shared" si="96"/>
        <v/>
      </c>
      <c r="O1074" t="str">
        <f>IF($AS1074="","",INDEX('TMP Paste'!$K$2:$K$1601,$AS1074))</f>
        <v/>
      </c>
      <c r="P1074" t="str">
        <f t="shared" si="97"/>
        <v/>
      </c>
      <c r="Q1074" t="str">
        <f>IF($AS1074="","",INDEX('TMP Paste'!$J$2:$J$1601,$AS1074))</f>
        <v/>
      </c>
      <c r="R1074" t="str">
        <f>IF($AS1074="","",Config!$B$24)</f>
        <v/>
      </c>
      <c r="S1074" t="str">
        <f ca="1">IF($AS1074="","",TEXT(Config!$B$4,"yyyy-mm-dd"))</f>
        <v/>
      </c>
      <c r="T1074" t="str">
        <f>IF($AS1074="","",Config!$B$17)</f>
        <v/>
      </c>
      <c r="U1074" t="str">
        <f>IF($AS1074="","",Config!$B$18)</f>
        <v/>
      </c>
      <c r="V1074" t="str">
        <f>IF($AS1074="","",Config!$B$19)</f>
        <v/>
      </c>
      <c r="W1074" t="str">
        <f>IF($AS1074="","",INDEX('TMP Paste'!$C$2:$C$1601,$AS1074))</f>
        <v/>
      </c>
      <c r="X1074" t="str">
        <f>IF($AS1074="","",Config!$B$29)</f>
        <v/>
      </c>
      <c r="Y1074" t="str">
        <f>IF($AT1074="","",INDEX(Calc!$I$2:$I$1601,$AT1074)&amp;" - "&amp;INDEX(Calc!$D$2:$D$1601,$AT1074)&amp;" koli")</f>
        <v/>
      </c>
      <c r="Z1074" t="str">
        <f>IF($AS1074="","",Config!$B$21)</f>
        <v/>
      </c>
      <c r="AA1074" t="str">
        <f>IF($AS1074="","",Config!$B$22)</f>
        <v/>
      </c>
      <c r="AB1074" t="str">
        <f>IF($AT1074="","",INDEX(Calc!$D$2:$D$1601,$AT1074))</f>
        <v/>
      </c>
      <c r="AC1074" t="str">
        <f>IF($AT1074="","",INDEX(Calc!$G$2:$G$1601,$AT1074))</f>
        <v/>
      </c>
      <c r="AD1074" t="str">
        <f>IF($AS1074="","",Config!$B$23)</f>
        <v/>
      </c>
      <c r="AE1074" t="str">
        <f>IF($AS1074="","",Config!$B$28)</f>
        <v/>
      </c>
      <c r="AF1074" t="str">
        <f t="shared" si="98"/>
        <v/>
      </c>
      <c r="AG1074" t="str">
        <f t="shared" si="99"/>
        <v/>
      </c>
      <c r="AH1074" t="str">
        <f t="shared" si="100"/>
        <v/>
      </c>
      <c r="AI1074" t="str">
        <f>IF($AG1074="","",SUMIF($AG$2:$AG1074,$AG1074,$AH$2:$AH1074))</f>
        <v/>
      </c>
      <c r="AJ1074" t="str">
        <f>IF('TMP Paste'!$F1074="","",IF('TMP Paste'!$B1074="",$AJ1073,'TMP Paste'!$B1074))</f>
        <v/>
      </c>
      <c r="AK1074" t="str">
        <f>IF('TMP Paste'!$F1074="","",N('TMP Paste'!$G1074))</f>
        <v/>
      </c>
      <c r="AL1074" t="str">
        <f>IF('TMP Paste'!$F1074="","",IF('TMP Paste'!$M1074="",$AL1073,'TMP Paste'!$M1074))</f>
        <v/>
      </c>
      <c r="AM1074" t="str">
        <f>IF('TMP Paste'!$F1074="","",IF('TMP Paste'!$N1074="",$AM1073,'TMP Paste'!$N1074))</f>
        <v/>
      </c>
      <c r="AN1074" t="str">
        <f>IF('TMP Paste'!$F1074="","",IF('TMP Paste'!$O1074="",$AN1073,'TMP Paste'!$O1074))</f>
        <v/>
      </c>
      <c r="AO1074" t="str">
        <f>IF('TMP Paste'!$F1074="","",IF('TMP Paste'!$P1074="",$AO1073,'TMP Paste'!$P1074))</f>
        <v/>
      </c>
      <c r="AP1074" t="str">
        <f t="shared" si="101"/>
        <v/>
      </c>
      <c r="AQ1074" t="str">
        <f>IF($AS1074="","",TRIM(IF(COUNTIFS(Calc!$B$2:$B$1601,ROW()-1,Calc!$C$2:$C$1601,"&lt;1")&gt;0,"Ada PO tanpa Koli - cek TMP. ","")&amp;IF(OR($AU1074="",$AU1074&lt;=0),"Volume kosong/0 - dimensi dikosongkan. ","")&amp;IF(AND($AU1074&lt;&gt;"",$AU1074&gt;=1000000),"Volume &gt;= 1.000.000 cm3 (di luar aturan) - dimensi dikosongkan. ","")&amp;IF(LEN($R1074)&gt;500,"R &gt; 500 karakter.","")))</f>
        <v/>
      </c>
      <c r="AS1074" t="str">
        <f>IFERROR(MATCH(ROW()-1,Calc!$J$2:$J$1601,0),"")</f>
        <v/>
      </c>
      <c r="AT1074" t="str">
        <f>IFERROR(MATCH(ROW()-1,Calc!$K$2:$K$1601,0),"")</f>
        <v/>
      </c>
      <c r="AU1074" t="str">
        <f>IF($AS1074="","",IFERROR(INDEX('TMP Paste'!$D$2:$D$1601,$AS1074)*1000000/$AB1074,""))</f>
        <v/>
      </c>
    </row>
    <row r="1075" spans="1:47">
      <c r="A1075" t="str">
        <f>IF($AS1075="","",INDEX('TMP Paste'!$B$2:$B$1601,$AS1075))</f>
        <v/>
      </c>
      <c r="B1075" t="str">
        <f>IF($AS1075="","",Config!$B$14)</f>
        <v/>
      </c>
      <c r="C1075" t="str">
        <f>IF($AS1075="","",Config!$B$15)</f>
        <v/>
      </c>
      <c r="D1075" t="str">
        <f>IF($AS1075="","",INDEX('TMP Paste'!$B$2:$B$1601,$AS1075))</f>
        <v/>
      </c>
      <c r="E1075" t="str">
        <f>IF($AS1075="","",Config!$B$27)</f>
        <v/>
      </c>
      <c r="F1075" t="str">
        <f>IF($AS1075="","",Config!$B$9)</f>
        <v/>
      </c>
      <c r="G1075" t="str">
        <f>IF($AS1075="","",Config!$B$10)</f>
        <v/>
      </c>
      <c r="H1075" t="str">
        <f>IF($AS1075="","",Config!$B$11)</f>
        <v/>
      </c>
      <c r="I1075" t="str">
        <f>IF($AS1075="","",Config!$B$16)</f>
        <v/>
      </c>
      <c r="J1075" t="str">
        <f>IF($AS1075="","",INDEX('TMP Paste'!$A$2:$A$1601,$AS1075))</f>
        <v/>
      </c>
      <c r="K1075" t="str">
        <f>IF($AS1075="","",INDEX('TMP Paste'!$L$2:$L$1601,$AS1075))</f>
        <v/>
      </c>
      <c r="L1075" t="str">
        <f>IF($AS1075="","",INDEX('TMP Paste'!$I$2:$I$1601,$AS1075))</f>
        <v/>
      </c>
      <c r="M1075" t="str">
        <f>IF($AS1075="","",Config!$B$16)</f>
        <v/>
      </c>
      <c r="N1075" t="str">
        <f t="shared" si="96"/>
        <v/>
      </c>
      <c r="O1075" t="str">
        <f>IF($AS1075="","",INDEX('TMP Paste'!$K$2:$K$1601,$AS1075))</f>
        <v/>
      </c>
      <c r="P1075" t="str">
        <f t="shared" si="97"/>
        <v/>
      </c>
      <c r="Q1075" t="str">
        <f>IF($AS1075="","",INDEX('TMP Paste'!$J$2:$J$1601,$AS1075))</f>
        <v/>
      </c>
      <c r="R1075" t="str">
        <f>IF($AS1075="","",Config!$B$24)</f>
        <v/>
      </c>
      <c r="S1075" t="str">
        <f ca="1">IF($AS1075="","",TEXT(Config!$B$4,"yyyy-mm-dd"))</f>
        <v/>
      </c>
      <c r="T1075" t="str">
        <f>IF($AS1075="","",Config!$B$17)</f>
        <v/>
      </c>
      <c r="U1075" t="str">
        <f>IF($AS1075="","",Config!$B$18)</f>
        <v/>
      </c>
      <c r="V1075" t="str">
        <f>IF($AS1075="","",Config!$B$19)</f>
        <v/>
      </c>
      <c r="W1075" t="str">
        <f>IF($AS1075="","",INDEX('TMP Paste'!$C$2:$C$1601,$AS1075))</f>
        <v/>
      </c>
      <c r="X1075" t="str">
        <f>IF($AS1075="","",Config!$B$29)</f>
        <v/>
      </c>
      <c r="Y1075" t="str">
        <f>IF($AT1075="","",INDEX(Calc!$I$2:$I$1601,$AT1075)&amp;" - "&amp;INDEX(Calc!$D$2:$D$1601,$AT1075)&amp;" koli")</f>
        <v/>
      </c>
      <c r="Z1075" t="str">
        <f>IF($AS1075="","",Config!$B$21)</f>
        <v/>
      </c>
      <c r="AA1075" t="str">
        <f>IF($AS1075="","",Config!$B$22)</f>
        <v/>
      </c>
      <c r="AB1075" t="str">
        <f>IF($AT1075="","",INDEX(Calc!$D$2:$D$1601,$AT1075))</f>
        <v/>
      </c>
      <c r="AC1075" t="str">
        <f>IF($AT1075="","",INDEX(Calc!$G$2:$G$1601,$AT1075))</f>
        <v/>
      </c>
      <c r="AD1075" t="str">
        <f>IF($AS1075="","",Config!$B$23)</f>
        <v/>
      </c>
      <c r="AE1075" t="str">
        <f>IF($AS1075="","",Config!$B$28)</f>
        <v/>
      </c>
      <c r="AF1075" t="str">
        <f t="shared" si="98"/>
        <v/>
      </c>
      <c r="AG1075" t="str">
        <f t="shared" si="99"/>
        <v/>
      </c>
      <c r="AH1075" t="str">
        <f t="shared" si="100"/>
        <v/>
      </c>
      <c r="AI1075" t="str">
        <f>IF($AG1075="","",SUMIF($AG$2:$AG1075,$AG1075,$AH$2:$AH1075))</f>
        <v/>
      </c>
      <c r="AJ1075" t="str">
        <f>IF('TMP Paste'!$F1075="","",IF('TMP Paste'!$B1075="",$AJ1074,'TMP Paste'!$B1075))</f>
        <v/>
      </c>
      <c r="AK1075" t="str">
        <f>IF('TMP Paste'!$F1075="","",N('TMP Paste'!$G1075))</f>
        <v/>
      </c>
      <c r="AL1075" t="str">
        <f>IF('TMP Paste'!$F1075="","",IF('TMP Paste'!$M1075="",$AL1074,'TMP Paste'!$M1075))</f>
        <v/>
      </c>
      <c r="AM1075" t="str">
        <f>IF('TMP Paste'!$F1075="","",IF('TMP Paste'!$N1075="",$AM1074,'TMP Paste'!$N1075))</f>
        <v/>
      </c>
      <c r="AN1075" t="str">
        <f>IF('TMP Paste'!$F1075="","",IF('TMP Paste'!$O1075="",$AN1074,'TMP Paste'!$O1075))</f>
        <v/>
      </c>
      <c r="AO1075" t="str">
        <f>IF('TMP Paste'!$F1075="","",IF('TMP Paste'!$P1075="",$AO1074,'TMP Paste'!$P1075))</f>
        <v/>
      </c>
      <c r="AP1075" t="str">
        <f t="shared" si="101"/>
        <v/>
      </c>
      <c r="AQ1075" t="str">
        <f>IF($AS1075="","",TRIM(IF(COUNTIFS(Calc!$B$2:$B$1601,ROW()-1,Calc!$C$2:$C$1601,"&lt;1")&gt;0,"Ada PO tanpa Koli - cek TMP. ","")&amp;IF(OR($AU1075="",$AU1075&lt;=0),"Volume kosong/0 - dimensi dikosongkan. ","")&amp;IF(AND($AU1075&lt;&gt;"",$AU1075&gt;=1000000),"Volume &gt;= 1.000.000 cm3 (di luar aturan) - dimensi dikosongkan. ","")&amp;IF(LEN($R1075)&gt;500,"R &gt; 500 karakter.","")))</f>
        <v/>
      </c>
      <c r="AS1075" t="str">
        <f>IFERROR(MATCH(ROW()-1,Calc!$J$2:$J$1601,0),"")</f>
        <v/>
      </c>
      <c r="AT1075" t="str">
        <f>IFERROR(MATCH(ROW()-1,Calc!$K$2:$K$1601,0),"")</f>
        <v/>
      </c>
      <c r="AU1075" t="str">
        <f>IF($AS1075="","",IFERROR(INDEX('TMP Paste'!$D$2:$D$1601,$AS1075)*1000000/$AB1075,""))</f>
        <v/>
      </c>
    </row>
    <row r="1076" spans="1:47">
      <c r="A1076" t="str">
        <f>IF($AS1076="","",INDEX('TMP Paste'!$B$2:$B$1601,$AS1076))</f>
        <v/>
      </c>
      <c r="B1076" t="str">
        <f>IF($AS1076="","",Config!$B$14)</f>
        <v/>
      </c>
      <c r="C1076" t="str">
        <f>IF($AS1076="","",Config!$B$15)</f>
        <v/>
      </c>
      <c r="D1076" t="str">
        <f>IF($AS1076="","",INDEX('TMP Paste'!$B$2:$B$1601,$AS1076))</f>
        <v/>
      </c>
      <c r="E1076" t="str">
        <f>IF($AS1076="","",Config!$B$27)</f>
        <v/>
      </c>
      <c r="F1076" t="str">
        <f>IF($AS1076="","",Config!$B$9)</f>
        <v/>
      </c>
      <c r="G1076" t="str">
        <f>IF($AS1076="","",Config!$B$10)</f>
        <v/>
      </c>
      <c r="H1076" t="str">
        <f>IF($AS1076="","",Config!$B$11)</f>
        <v/>
      </c>
      <c r="I1076" t="str">
        <f>IF($AS1076="","",Config!$B$16)</f>
        <v/>
      </c>
      <c r="J1076" t="str">
        <f>IF($AS1076="","",INDEX('TMP Paste'!$A$2:$A$1601,$AS1076))</f>
        <v/>
      </c>
      <c r="K1076" t="str">
        <f>IF($AS1076="","",INDEX('TMP Paste'!$L$2:$L$1601,$AS1076))</f>
        <v/>
      </c>
      <c r="L1076" t="str">
        <f>IF($AS1076="","",INDEX('TMP Paste'!$I$2:$I$1601,$AS1076))</f>
        <v/>
      </c>
      <c r="M1076" t="str">
        <f>IF($AS1076="","",Config!$B$16)</f>
        <v/>
      </c>
      <c r="N1076" t="str">
        <f t="shared" si="96"/>
        <v/>
      </c>
      <c r="O1076" t="str">
        <f>IF($AS1076="","",INDEX('TMP Paste'!$K$2:$K$1601,$AS1076))</f>
        <v/>
      </c>
      <c r="P1076" t="str">
        <f t="shared" si="97"/>
        <v/>
      </c>
      <c r="Q1076" t="str">
        <f>IF($AS1076="","",INDEX('TMP Paste'!$J$2:$J$1601,$AS1076))</f>
        <v/>
      </c>
      <c r="R1076" t="str">
        <f>IF($AS1076="","",Config!$B$24)</f>
        <v/>
      </c>
      <c r="S1076" t="str">
        <f ca="1">IF($AS1076="","",TEXT(Config!$B$4,"yyyy-mm-dd"))</f>
        <v/>
      </c>
      <c r="T1076" t="str">
        <f>IF($AS1076="","",Config!$B$17)</f>
        <v/>
      </c>
      <c r="U1076" t="str">
        <f>IF($AS1076="","",Config!$B$18)</f>
        <v/>
      </c>
      <c r="V1076" t="str">
        <f>IF($AS1076="","",Config!$B$19)</f>
        <v/>
      </c>
      <c r="W1076" t="str">
        <f>IF($AS1076="","",INDEX('TMP Paste'!$C$2:$C$1601,$AS1076))</f>
        <v/>
      </c>
      <c r="X1076" t="str">
        <f>IF($AS1076="","",Config!$B$29)</f>
        <v/>
      </c>
      <c r="Y1076" t="str">
        <f>IF($AT1076="","",INDEX(Calc!$I$2:$I$1601,$AT1076)&amp;" - "&amp;INDEX(Calc!$D$2:$D$1601,$AT1076)&amp;" koli")</f>
        <v/>
      </c>
      <c r="Z1076" t="str">
        <f>IF($AS1076="","",Config!$B$21)</f>
        <v/>
      </c>
      <c r="AA1076" t="str">
        <f>IF($AS1076="","",Config!$B$22)</f>
        <v/>
      </c>
      <c r="AB1076" t="str">
        <f>IF($AT1076="","",INDEX(Calc!$D$2:$D$1601,$AT1076))</f>
        <v/>
      </c>
      <c r="AC1076" t="str">
        <f>IF($AT1076="","",INDEX(Calc!$G$2:$G$1601,$AT1076))</f>
        <v/>
      </c>
      <c r="AD1076" t="str">
        <f>IF($AS1076="","",Config!$B$23)</f>
        <v/>
      </c>
      <c r="AE1076" t="str">
        <f>IF($AS1076="","",Config!$B$28)</f>
        <v/>
      </c>
      <c r="AF1076" t="str">
        <f t="shared" si="98"/>
        <v/>
      </c>
      <c r="AG1076" t="str">
        <f t="shared" si="99"/>
        <v/>
      </c>
      <c r="AH1076" t="str">
        <f t="shared" si="100"/>
        <v/>
      </c>
      <c r="AI1076" t="str">
        <f>IF($AG1076="","",SUMIF($AG$2:$AG1076,$AG1076,$AH$2:$AH1076))</f>
        <v/>
      </c>
      <c r="AJ1076" t="str">
        <f>IF('TMP Paste'!$F1076="","",IF('TMP Paste'!$B1076="",$AJ1075,'TMP Paste'!$B1076))</f>
        <v/>
      </c>
      <c r="AK1076" t="str">
        <f>IF('TMP Paste'!$F1076="","",N('TMP Paste'!$G1076))</f>
        <v/>
      </c>
      <c r="AL1076" t="str">
        <f>IF('TMP Paste'!$F1076="","",IF('TMP Paste'!$M1076="",$AL1075,'TMP Paste'!$M1076))</f>
        <v/>
      </c>
      <c r="AM1076" t="str">
        <f>IF('TMP Paste'!$F1076="","",IF('TMP Paste'!$N1076="",$AM1075,'TMP Paste'!$N1076))</f>
        <v/>
      </c>
      <c r="AN1076" t="str">
        <f>IF('TMP Paste'!$F1076="","",IF('TMP Paste'!$O1076="",$AN1075,'TMP Paste'!$O1076))</f>
        <v/>
      </c>
      <c r="AO1076" t="str">
        <f>IF('TMP Paste'!$F1076="","",IF('TMP Paste'!$P1076="",$AO1075,'TMP Paste'!$P1076))</f>
        <v/>
      </c>
      <c r="AP1076" t="str">
        <f t="shared" si="101"/>
        <v/>
      </c>
      <c r="AQ1076" t="str">
        <f>IF($AS1076="","",TRIM(IF(COUNTIFS(Calc!$B$2:$B$1601,ROW()-1,Calc!$C$2:$C$1601,"&lt;1")&gt;0,"Ada PO tanpa Koli - cek TMP. ","")&amp;IF(OR($AU1076="",$AU1076&lt;=0),"Volume kosong/0 - dimensi dikosongkan. ","")&amp;IF(AND($AU1076&lt;&gt;"",$AU1076&gt;=1000000),"Volume &gt;= 1.000.000 cm3 (di luar aturan) - dimensi dikosongkan. ","")&amp;IF(LEN($R1076)&gt;500,"R &gt; 500 karakter.","")))</f>
        <v/>
      </c>
      <c r="AS1076" t="str">
        <f>IFERROR(MATCH(ROW()-1,Calc!$J$2:$J$1601,0),"")</f>
        <v/>
      </c>
      <c r="AT1076" t="str">
        <f>IFERROR(MATCH(ROW()-1,Calc!$K$2:$K$1601,0),"")</f>
        <v/>
      </c>
      <c r="AU1076" t="str">
        <f>IF($AS1076="","",IFERROR(INDEX('TMP Paste'!$D$2:$D$1601,$AS1076)*1000000/$AB1076,""))</f>
        <v/>
      </c>
    </row>
    <row r="1077" spans="1:47">
      <c r="A1077" t="str">
        <f>IF($AS1077="","",INDEX('TMP Paste'!$B$2:$B$1601,$AS1077))</f>
        <v/>
      </c>
      <c r="B1077" t="str">
        <f>IF($AS1077="","",Config!$B$14)</f>
        <v/>
      </c>
      <c r="C1077" t="str">
        <f>IF($AS1077="","",Config!$B$15)</f>
        <v/>
      </c>
      <c r="D1077" t="str">
        <f>IF($AS1077="","",INDEX('TMP Paste'!$B$2:$B$1601,$AS1077))</f>
        <v/>
      </c>
      <c r="E1077" t="str">
        <f>IF($AS1077="","",Config!$B$27)</f>
        <v/>
      </c>
      <c r="F1077" t="str">
        <f>IF($AS1077="","",Config!$B$9)</f>
        <v/>
      </c>
      <c r="G1077" t="str">
        <f>IF($AS1077="","",Config!$B$10)</f>
        <v/>
      </c>
      <c r="H1077" t="str">
        <f>IF($AS1077="","",Config!$B$11)</f>
        <v/>
      </c>
      <c r="I1077" t="str">
        <f>IF($AS1077="","",Config!$B$16)</f>
        <v/>
      </c>
      <c r="J1077" t="str">
        <f>IF($AS1077="","",INDEX('TMP Paste'!$A$2:$A$1601,$AS1077))</f>
        <v/>
      </c>
      <c r="K1077" t="str">
        <f>IF($AS1077="","",INDEX('TMP Paste'!$L$2:$L$1601,$AS1077))</f>
        <v/>
      </c>
      <c r="L1077" t="str">
        <f>IF($AS1077="","",INDEX('TMP Paste'!$I$2:$I$1601,$AS1077))</f>
        <v/>
      </c>
      <c r="M1077" t="str">
        <f>IF($AS1077="","",Config!$B$16)</f>
        <v/>
      </c>
      <c r="N1077" t="str">
        <f t="shared" si="96"/>
        <v/>
      </c>
      <c r="O1077" t="str">
        <f>IF($AS1077="","",INDEX('TMP Paste'!$K$2:$K$1601,$AS1077))</f>
        <v/>
      </c>
      <c r="P1077" t="str">
        <f t="shared" si="97"/>
        <v/>
      </c>
      <c r="Q1077" t="str">
        <f>IF($AS1077="","",INDEX('TMP Paste'!$J$2:$J$1601,$AS1077))</f>
        <v/>
      </c>
      <c r="R1077" t="str">
        <f>IF($AS1077="","",Config!$B$24)</f>
        <v/>
      </c>
      <c r="S1077" t="str">
        <f ca="1">IF($AS1077="","",TEXT(Config!$B$4,"yyyy-mm-dd"))</f>
        <v/>
      </c>
      <c r="T1077" t="str">
        <f>IF($AS1077="","",Config!$B$17)</f>
        <v/>
      </c>
      <c r="U1077" t="str">
        <f>IF($AS1077="","",Config!$B$18)</f>
        <v/>
      </c>
      <c r="V1077" t="str">
        <f>IF($AS1077="","",Config!$B$19)</f>
        <v/>
      </c>
      <c r="W1077" t="str">
        <f>IF($AS1077="","",INDEX('TMP Paste'!$C$2:$C$1601,$AS1077))</f>
        <v/>
      </c>
      <c r="X1077" t="str">
        <f>IF($AS1077="","",Config!$B$29)</f>
        <v/>
      </c>
      <c r="Y1077" t="str">
        <f>IF($AT1077="","",INDEX(Calc!$I$2:$I$1601,$AT1077)&amp;" - "&amp;INDEX(Calc!$D$2:$D$1601,$AT1077)&amp;" koli")</f>
        <v/>
      </c>
      <c r="Z1077" t="str">
        <f>IF($AS1077="","",Config!$B$21)</f>
        <v/>
      </c>
      <c r="AA1077" t="str">
        <f>IF($AS1077="","",Config!$B$22)</f>
        <v/>
      </c>
      <c r="AB1077" t="str">
        <f>IF($AT1077="","",INDEX(Calc!$D$2:$D$1601,$AT1077))</f>
        <v/>
      </c>
      <c r="AC1077" t="str">
        <f>IF($AT1077="","",INDEX(Calc!$G$2:$G$1601,$AT1077))</f>
        <v/>
      </c>
      <c r="AD1077" t="str">
        <f>IF($AS1077="","",Config!$B$23)</f>
        <v/>
      </c>
      <c r="AE1077" t="str">
        <f>IF($AS1077="","",Config!$B$28)</f>
        <v/>
      </c>
      <c r="AF1077" t="str">
        <f t="shared" si="98"/>
        <v/>
      </c>
      <c r="AG1077" t="str">
        <f t="shared" si="99"/>
        <v/>
      </c>
      <c r="AH1077" t="str">
        <f t="shared" si="100"/>
        <v/>
      </c>
      <c r="AI1077" t="str">
        <f>IF($AG1077="","",SUMIF($AG$2:$AG1077,$AG1077,$AH$2:$AH1077))</f>
        <v/>
      </c>
      <c r="AJ1077" t="str">
        <f>IF('TMP Paste'!$F1077="","",IF('TMP Paste'!$B1077="",$AJ1076,'TMP Paste'!$B1077))</f>
        <v/>
      </c>
      <c r="AK1077" t="str">
        <f>IF('TMP Paste'!$F1077="","",N('TMP Paste'!$G1077))</f>
        <v/>
      </c>
      <c r="AL1077" t="str">
        <f>IF('TMP Paste'!$F1077="","",IF('TMP Paste'!$M1077="",$AL1076,'TMP Paste'!$M1077))</f>
        <v/>
      </c>
      <c r="AM1077" t="str">
        <f>IF('TMP Paste'!$F1077="","",IF('TMP Paste'!$N1077="",$AM1076,'TMP Paste'!$N1077))</f>
        <v/>
      </c>
      <c r="AN1077" t="str">
        <f>IF('TMP Paste'!$F1077="","",IF('TMP Paste'!$O1077="",$AN1076,'TMP Paste'!$O1077))</f>
        <v/>
      </c>
      <c r="AO1077" t="str">
        <f>IF('TMP Paste'!$F1077="","",IF('TMP Paste'!$P1077="",$AO1076,'TMP Paste'!$P1077))</f>
        <v/>
      </c>
      <c r="AP1077" t="str">
        <f t="shared" si="101"/>
        <v/>
      </c>
      <c r="AQ1077" t="str">
        <f>IF($AS1077="","",TRIM(IF(COUNTIFS(Calc!$B$2:$B$1601,ROW()-1,Calc!$C$2:$C$1601,"&lt;1")&gt;0,"Ada PO tanpa Koli - cek TMP. ","")&amp;IF(OR($AU1077="",$AU1077&lt;=0),"Volume kosong/0 - dimensi dikosongkan. ","")&amp;IF(AND($AU1077&lt;&gt;"",$AU1077&gt;=1000000),"Volume &gt;= 1.000.000 cm3 (di luar aturan) - dimensi dikosongkan. ","")&amp;IF(LEN($R1077)&gt;500,"R &gt; 500 karakter.","")))</f>
        <v/>
      </c>
      <c r="AS1077" t="str">
        <f>IFERROR(MATCH(ROW()-1,Calc!$J$2:$J$1601,0),"")</f>
        <v/>
      </c>
      <c r="AT1077" t="str">
        <f>IFERROR(MATCH(ROW()-1,Calc!$K$2:$K$1601,0),"")</f>
        <v/>
      </c>
      <c r="AU1077" t="str">
        <f>IF($AS1077="","",IFERROR(INDEX('TMP Paste'!$D$2:$D$1601,$AS1077)*1000000/$AB1077,""))</f>
        <v/>
      </c>
    </row>
    <row r="1078" spans="1:47">
      <c r="A1078" t="str">
        <f>IF($AS1078="","",INDEX('TMP Paste'!$B$2:$B$1601,$AS1078))</f>
        <v/>
      </c>
      <c r="B1078" t="str">
        <f>IF($AS1078="","",Config!$B$14)</f>
        <v/>
      </c>
      <c r="C1078" t="str">
        <f>IF($AS1078="","",Config!$B$15)</f>
        <v/>
      </c>
      <c r="D1078" t="str">
        <f>IF($AS1078="","",INDEX('TMP Paste'!$B$2:$B$1601,$AS1078))</f>
        <v/>
      </c>
      <c r="E1078" t="str">
        <f>IF($AS1078="","",Config!$B$27)</f>
        <v/>
      </c>
      <c r="F1078" t="str">
        <f>IF($AS1078="","",Config!$B$9)</f>
        <v/>
      </c>
      <c r="G1078" t="str">
        <f>IF($AS1078="","",Config!$B$10)</f>
        <v/>
      </c>
      <c r="H1078" t="str">
        <f>IF($AS1078="","",Config!$B$11)</f>
        <v/>
      </c>
      <c r="I1078" t="str">
        <f>IF($AS1078="","",Config!$B$16)</f>
        <v/>
      </c>
      <c r="J1078" t="str">
        <f>IF($AS1078="","",INDEX('TMP Paste'!$A$2:$A$1601,$AS1078))</f>
        <v/>
      </c>
      <c r="K1078" t="str">
        <f>IF($AS1078="","",INDEX('TMP Paste'!$L$2:$L$1601,$AS1078))</f>
        <v/>
      </c>
      <c r="L1078" t="str">
        <f>IF($AS1078="","",INDEX('TMP Paste'!$I$2:$I$1601,$AS1078))</f>
        <v/>
      </c>
      <c r="M1078" t="str">
        <f>IF($AS1078="","",Config!$B$16)</f>
        <v/>
      </c>
      <c r="N1078" t="str">
        <f t="shared" si="96"/>
        <v/>
      </c>
      <c r="O1078" t="str">
        <f>IF($AS1078="","",INDEX('TMP Paste'!$K$2:$K$1601,$AS1078))</f>
        <v/>
      </c>
      <c r="P1078" t="str">
        <f t="shared" si="97"/>
        <v/>
      </c>
      <c r="Q1078" t="str">
        <f>IF($AS1078="","",INDEX('TMP Paste'!$J$2:$J$1601,$AS1078))</f>
        <v/>
      </c>
      <c r="R1078" t="str">
        <f>IF($AS1078="","",Config!$B$24)</f>
        <v/>
      </c>
      <c r="S1078" t="str">
        <f ca="1">IF($AS1078="","",TEXT(Config!$B$4,"yyyy-mm-dd"))</f>
        <v/>
      </c>
      <c r="T1078" t="str">
        <f>IF($AS1078="","",Config!$B$17)</f>
        <v/>
      </c>
      <c r="U1078" t="str">
        <f>IF($AS1078="","",Config!$B$18)</f>
        <v/>
      </c>
      <c r="V1078" t="str">
        <f>IF($AS1078="","",Config!$B$19)</f>
        <v/>
      </c>
      <c r="W1078" t="str">
        <f>IF($AS1078="","",INDEX('TMP Paste'!$C$2:$C$1601,$AS1078))</f>
        <v/>
      </c>
      <c r="X1078" t="str">
        <f>IF($AS1078="","",Config!$B$29)</f>
        <v/>
      </c>
      <c r="Y1078" t="str">
        <f>IF($AT1078="","",INDEX(Calc!$I$2:$I$1601,$AT1078)&amp;" - "&amp;INDEX(Calc!$D$2:$D$1601,$AT1078)&amp;" koli")</f>
        <v/>
      </c>
      <c r="Z1078" t="str">
        <f>IF($AS1078="","",Config!$B$21)</f>
        <v/>
      </c>
      <c r="AA1078" t="str">
        <f>IF($AS1078="","",Config!$B$22)</f>
        <v/>
      </c>
      <c r="AB1078" t="str">
        <f>IF($AT1078="","",INDEX(Calc!$D$2:$D$1601,$AT1078))</f>
        <v/>
      </c>
      <c r="AC1078" t="str">
        <f>IF($AT1078="","",INDEX(Calc!$G$2:$G$1601,$AT1078))</f>
        <v/>
      </c>
      <c r="AD1078" t="str">
        <f>IF($AS1078="","",Config!$B$23)</f>
        <v/>
      </c>
      <c r="AE1078" t="str">
        <f>IF($AS1078="","",Config!$B$28)</f>
        <v/>
      </c>
      <c r="AF1078" t="str">
        <f t="shared" si="98"/>
        <v/>
      </c>
      <c r="AG1078" t="str">
        <f t="shared" si="99"/>
        <v/>
      </c>
      <c r="AH1078" t="str">
        <f t="shared" si="100"/>
        <v/>
      </c>
      <c r="AI1078" t="str">
        <f>IF($AG1078="","",SUMIF($AG$2:$AG1078,$AG1078,$AH$2:$AH1078))</f>
        <v/>
      </c>
      <c r="AJ1078" t="str">
        <f>IF('TMP Paste'!$F1078="","",IF('TMP Paste'!$B1078="",$AJ1077,'TMP Paste'!$B1078))</f>
        <v/>
      </c>
      <c r="AK1078" t="str">
        <f>IF('TMP Paste'!$F1078="","",N('TMP Paste'!$G1078))</f>
        <v/>
      </c>
      <c r="AL1078" t="str">
        <f>IF('TMP Paste'!$F1078="","",IF('TMP Paste'!$M1078="",$AL1077,'TMP Paste'!$M1078))</f>
        <v/>
      </c>
      <c r="AM1078" t="str">
        <f>IF('TMP Paste'!$F1078="","",IF('TMP Paste'!$N1078="",$AM1077,'TMP Paste'!$N1078))</f>
        <v/>
      </c>
      <c r="AN1078" t="str">
        <f>IF('TMP Paste'!$F1078="","",IF('TMP Paste'!$O1078="",$AN1077,'TMP Paste'!$O1078))</f>
        <v/>
      </c>
      <c r="AO1078" t="str">
        <f>IF('TMP Paste'!$F1078="","",IF('TMP Paste'!$P1078="",$AO1077,'TMP Paste'!$P1078))</f>
        <v/>
      </c>
      <c r="AP1078" t="str">
        <f t="shared" si="101"/>
        <v/>
      </c>
      <c r="AQ1078" t="str">
        <f>IF($AS1078="","",TRIM(IF(COUNTIFS(Calc!$B$2:$B$1601,ROW()-1,Calc!$C$2:$C$1601,"&lt;1")&gt;0,"Ada PO tanpa Koli - cek TMP. ","")&amp;IF(OR($AU1078="",$AU1078&lt;=0),"Volume kosong/0 - dimensi dikosongkan. ","")&amp;IF(AND($AU1078&lt;&gt;"",$AU1078&gt;=1000000),"Volume &gt;= 1.000.000 cm3 (di luar aturan) - dimensi dikosongkan. ","")&amp;IF(LEN($R1078)&gt;500,"R &gt; 500 karakter.","")))</f>
        <v/>
      </c>
      <c r="AS1078" t="str">
        <f>IFERROR(MATCH(ROW()-1,Calc!$J$2:$J$1601,0),"")</f>
        <v/>
      </c>
      <c r="AT1078" t="str">
        <f>IFERROR(MATCH(ROW()-1,Calc!$K$2:$K$1601,0),"")</f>
        <v/>
      </c>
      <c r="AU1078" t="str">
        <f>IF($AS1078="","",IFERROR(INDEX('TMP Paste'!$D$2:$D$1601,$AS1078)*1000000/$AB1078,""))</f>
        <v/>
      </c>
    </row>
    <row r="1079" spans="1:47">
      <c r="A1079" t="str">
        <f>IF($AS1079="","",INDEX('TMP Paste'!$B$2:$B$1601,$AS1079))</f>
        <v/>
      </c>
      <c r="B1079" t="str">
        <f>IF($AS1079="","",Config!$B$14)</f>
        <v/>
      </c>
      <c r="C1079" t="str">
        <f>IF($AS1079="","",Config!$B$15)</f>
        <v/>
      </c>
      <c r="D1079" t="str">
        <f>IF($AS1079="","",INDEX('TMP Paste'!$B$2:$B$1601,$AS1079))</f>
        <v/>
      </c>
      <c r="E1079" t="str">
        <f>IF($AS1079="","",Config!$B$27)</f>
        <v/>
      </c>
      <c r="F1079" t="str">
        <f>IF($AS1079="","",Config!$B$9)</f>
        <v/>
      </c>
      <c r="G1079" t="str">
        <f>IF($AS1079="","",Config!$B$10)</f>
        <v/>
      </c>
      <c r="H1079" t="str">
        <f>IF($AS1079="","",Config!$B$11)</f>
        <v/>
      </c>
      <c r="I1079" t="str">
        <f>IF($AS1079="","",Config!$B$16)</f>
        <v/>
      </c>
      <c r="J1079" t="str">
        <f>IF($AS1079="","",INDEX('TMP Paste'!$A$2:$A$1601,$AS1079))</f>
        <v/>
      </c>
      <c r="K1079" t="str">
        <f>IF($AS1079="","",INDEX('TMP Paste'!$L$2:$L$1601,$AS1079))</f>
        <v/>
      </c>
      <c r="L1079" t="str">
        <f>IF($AS1079="","",INDEX('TMP Paste'!$I$2:$I$1601,$AS1079))</f>
        <v/>
      </c>
      <c r="M1079" t="str">
        <f>IF($AS1079="","",Config!$B$16)</f>
        <v/>
      </c>
      <c r="N1079" t="str">
        <f t="shared" si="96"/>
        <v/>
      </c>
      <c r="O1079" t="str">
        <f>IF($AS1079="","",INDEX('TMP Paste'!$K$2:$K$1601,$AS1079))</f>
        <v/>
      </c>
      <c r="P1079" t="str">
        <f t="shared" si="97"/>
        <v/>
      </c>
      <c r="Q1079" t="str">
        <f>IF($AS1079="","",INDEX('TMP Paste'!$J$2:$J$1601,$AS1079))</f>
        <v/>
      </c>
      <c r="R1079" t="str">
        <f>IF($AS1079="","",Config!$B$24)</f>
        <v/>
      </c>
      <c r="S1079" t="str">
        <f ca="1">IF($AS1079="","",TEXT(Config!$B$4,"yyyy-mm-dd"))</f>
        <v/>
      </c>
      <c r="T1079" t="str">
        <f>IF($AS1079="","",Config!$B$17)</f>
        <v/>
      </c>
      <c r="U1079" t="str">
        <f>IF($AS1079="","",Config!$B$18)</f>
        <v/>
      </c>
      <c r="V1079" t="str">
        <f>IF($AS1079="","",Config!$B$19)</f>
        <v/>
      </c>
      <c r="W1079" t="str">
        <f>IF($AS1079="","",INDEX('TMP Paste'!$C$2:$C$1601,$AS1079))</f>
        <v/>
      </c>
      <c r="X1079" t="str">
        <f>IF($AS1079="","",Config!$B$29)</f>
        <v/>
      </c>
      <c r="Y1079" t="str">
        <f>IF($AT1079="","",INDEX(Calc!$I$2:$I$1601,$AT1079)&amp;" - "&amp;INDEX(Calc!$D$2:$D$1601,$AT1079)&amp;" koli")</f>
        <v/>
      </c>
      <c r="Z1079" t="str">
        <f>IF($AS1079="","",Config!$B$21)</f>
        <v/>
      </c>
      <c r="AA1079" t="str">
        <f>IF($AS1079="","",Config!$B$22)</f>
        <v/>
      </c>
      <c r="AB1079" t="str">
        <f>IF($AT1079="","",INDEX(Calc!$D$2:$D$1601,$AT1079))</f>
        <v/>
      </c>
      <c r="AC1079" t="str">
        <f>IF($AT1079="","",INDEX(Calc!$G$2:$G$1601,$AT1079))</f>
        <v/>
      </c>
      <c r="AD1079" t="str">
        <f>IF($AS1079="","",Config!$B$23)</f>
        <v/>
      </c>
      <c r="AE1079" t="str">
        <f>IF($AS1079="","",Config!$B$28)</f>
        <v/>
      </c>
      <c r="AF1079" t="str">
        <f t="shared" si="98"/>
        <v/>
      </c>
      <c r="AG1079" t="str">
        <f t="shared" si="99"/>
        <v/>
      </c>
      <c r="AH1079" t="str">
        <f t="shared" si="100"/>
        <v/>
      </c>
      <c r="AI1079" t="str">
        <f>IF($AG1079="","",SUMIF($AG$2:$AG1079,$AG1079,$AH$2:$AH1079))</f>
        <v/>
      </c>
      <c r="AJ1079" t="str">
        <f>IF('TMP Paste'!$F1079="","",IF('TMP Paste'!$B1079="",$AJ1078,'TMP Paste'!$B1079))</f>
        <v/>
      </c>
      <c r="AK1079" t="str">
        <f>IF('TMP Paste'!$F1079="","",N('TMP Paste'!$G1079))</f>
        <v/>
      </c>
      <c r="AL1079" t="str">
        <f>IF('TMP Paste'!$F1079="","",IF('TMP Paste'!$M1079="",$AL1078,'TMP Paste'!$M1079))</f>
        <v/>
      </c>
      <c r="AM1079" t="str">
        <f>IF('TMP Paste'!$F1079="","",IF('TMP Paste'!$N1079="",$AM1078,'TMP Paste'!$N1079))</f>
        <v/>
      </c>
      <c r="AN1079" t="str">
        <f>IF('TMP Paste'!$F1079="","",IF('TMP Paste'!$O1079="",$AN1078,'TMP Paste'!$O1079))</f>
        <v/>
      </c>
      <c r="AO1079" t="str">
        <f>IF('TMP Paste'!$F1079="","",IF('TMP Paste'!$P1079="",$AO1078,'TMP Paste'!$P1079))</f>
        <v/>
      </c>
      <c r="AP1079" t="str">
        <f t="shared" si="101"/>
        <v/>
      </c>
      <c r="AQ1079" t="str">
        <f>IF($AS1079="","",TRIM(IF(COUNTIFS(Calc!$B$2:$B$1601,ROW()-1,Calc!$C$2:$C$1601,"&lt;1")&gt;0,"Ada PO tanpa Koli - cek TMP. ","")&amp;IF(OR($AU1079="",$AU1079&lt;=0),"Volume kosong/0 - dimensi dikosongkan. ","")&amp;IF(AND($AU1079&lt;&gt;"",$AU1079&gt;=1000000),"Volume &gt;= 1.000.000 cm3 (di luar aturan) - dimensi dikosongkan. ","")&amp;IF(LEN($R1079)&gt;500,"R &gt; 500 karakter.","")))</f>
        <v/>
      </c>
      <c r="AS1079" t="str">
        <f>IFERROR(MATCH(ROW()-1,Calc!$J$2:$J$1601,0),"")</f>
        <v/>
      </c>
      <c r="AT1079" t="str">
        <f>IFERROR(MATCH(ROW()-1,Calc!$K$2:$K$1601,0),"")</f>
        <v/>
      </c>
      <c r="AU1079" t="str">
        <f>IF($AS1079="","",IFERROR(INDEX('TMP Paste'!$D$2:$D$1601,$AS1079)*1000000/$AB1079,""))</f>
        <v/>
      </c>
    </row>
    <row r="1080" spans="1:47">
      <c r="A1080" t="str">
        <f>IF($AS1080="","",INDEX('TMP Paste'!$B$2:$B$1601,$AS1080))</f>
        <v/>
      </c>
      <c r="B1080" t="str">
        <f>IF($AS1080="","",Config!$B$14)</f>
        <v/>
      </c>
      <c r="C1080" t="str">
        <f>IF($AS1080="","",Config!$B$15)</f>
        <v/>
      </c>
      <c r="D1080" t="str">
        <f>IF($AS1080="","",INDEX('TMP Paste'!$B$2:$B$1601,$AS1080))</f>
        <v/>
      </c>
      <c r="E1080" t="str">
        <f>IF($AS1080="","",Config!$B$27)</f>
        <v/>
      </c>
      <c r="F1080" t="str">
        <f>IF($AS1080="","",Config!$B$9)</f>
        <v/>
      </c>
      <c r="G1080" t="str">
        <f>IF($AS1080="","",Config!$B$10)</f>
        <v/>
      </c>
      <c r="H1080" t="str">
        <f>IF($AS1080="","",Config!$B$11)</f>
        <v/>
      </c>
      <c r="I1080" t="str">
        <f>IF($AS1080="","",Config!$B$16)</f>
        <v/>
      </c>
      <c r="J1080" t="str">
        <f>IF($AS1080="","",INDEX('TMP Paste'!$A$2:$A$1601,$AS1080))</f>
        <v/>
      </c>
      <c r="K1080" t="str">
        <f>IF($AS1080="","",INDEX('TMP Paste'!$L$2:$L$1601,$AS1080))</f>
        <v/>
      </c>
      <c r="L1080" t="str">
        <f>IF($AS1080="","",INDEX('TMP Paste'!$I$2:$I$1601,$AS1080))</f>
        <v/>
      </c>
      <c r="M1080" t="str">
        <f>IF($AS1080="","",Config!$B$16)</f>
        <v/>
      </c>
      <c r="N1080" t="str">
        <f t="shared" si="96"/>
        <v/>
      </c>
      <c r="O1080" t="str">
        <f>IF($AS1080="","",INDEX('TMP Paste'!$K$2:$K$1601,$AS1080))</f>
        <v/>
      </c>
      <c r="P1080" t="str">
        <f t="shared" si="97"/>
        <v/>
      </c>
      <c r="Q1080" t="str">
        <f>IF($AS1080="","",INDEX('TMP Paste'!$J$2:$J$1601,$AS1080))</f>
        <v/>
      </c>
      <c r="R1080" t="str">
        <f>IF($AS1080="","",Config!$B$24)</f>
        <v/>
      </c>
      <c r="S1080" t="str">
        <f ca="1">IF($AS1080="","",TEXT(Config!$B$4,"yyyy-mm-dd"))</f>
        <v/>
      </c>
      <c r="T1080" t="str">
        <f>IF($AS1080="","",Config!$B$17)</f>
        <v/>
      </c>
      <c r="U1080" t="str">
        <f>IF($AS1080="","",Config!$B$18)</f>
        <v/>
      </c>
      <c r="V1080" t="str">
        <f>IF($AS1080="","",Config!$B$19)</f>
        <v/>
      </c>
      <c r="W1080" t="str">
        <f>IF($AS1080="","",INDEX('TMP Paste'!$C$2:$C$1601,$AS1080))</f>
        <v/>
      </c>
      <c r="X1080" t="str">
        <f>IF($AS1080="","",Config!$B$29)</f>
        <v/>
      </c>
      <c r="Y1080" t="str">
        <f>IF($AT1080="","",INDEX(Calc!$I$2:$I$1601,$AT1080)&amp;" - "&amp;INDEX(Calc!$D$2:$D$1601,$AT1080)&amp;" koli")</f>
        <v/>
      </c>
      <c r="Z1080" t="str">
        <f>IF($AS1080="","",Config!$B$21)</f>
        <v/>
      </c>
      <c r="AA1080" t="str">
        <f>IF($AS1080="","",Config!$B$22)</f>
        <v/>
      </c>
      <c r="AB1080" t="str">
        <f>IF($AT1080="","",INDEX(Calc!$D$2:$D$1601,$AT1080))</f>
        <v/>
      </c>
      <c r="AC1080" t="str">
        <f>IF($AT1080="","",INDEX(Calc!$G$2:$G$1601,$AT1080))</f>
        <v/>
      </c>
      <c r="AD1080" t="str">
        <f>IF($AS1080="","",Config!$B$23)</f>
        <v/>
      </c>
      <c r="AE1080" t="str">
        <f>IF($AS1080="","",Config!$B$28)</f>
        <v/>
      </c>
      <c r="AF1080" t="str">
        <f t="shared" si="98"/>
        <v/>
      </c>
      <c r="AG1080" t="str">
        <f t="shared" si="99"/>
        <v/>
      </c>
      <c r="AH1080" t="str">
        <f t="shared" si="100"/>
        <v/>
      </c>
      <c r="AI1080" t="str">
        <f>IF($AG1080="","",SUMIF($AG$2:$AG1080,$AG1080,$AH$2:$AH1080))</f>
        <v/>
      </c>
      <c r="AJ1080" t="str">
        <f>IF('TMP Paste'!$F1080="","",IF('TMP Paste'!$B1080="",$AJ1079,'TMP Paste'!$B1080))</f>
        <v/>
      </c>
      <c r="AK1080" t="str">
        <f>IF('TMP Paste'!$F1080="","",N('TMP Paste'!$G1080))</f>
        <v/>
      </c>
      <c r="AL1080" t="str">
        <f>IF('TMP Paste'!$F1080="","",IF('TMP Paste'!$M1080="",$AL1079,'TMP Paste'!$M1080))</f>
        <v/>
      </c>
      <c r="AM1080" t="str">
        <f>IF('TMP Paste'!$F1080="","",IF('TMP Paste'!$N1080="",$AM1079,'TMP Paste'!$N1080))</f>
        <v/>
      </c>
      <c r="AN1080" t="str">
        <f>IF('TMP Paste'!$F1080="","",IF('TMP Paste'!$O1080="",$AN1079,'TMP Paste'!$O1080))</f>
        <v/>
      </c>
      <c r="AO1080" t="str">
        <f>IF('TMP Paste'!$F1080="","",IF('TMP Paste'!$P1080="",$AO1079,'TMP Paste'!$P1080))</f>
        <v/>
      </c>
      <c r="AP1080" t="str">
        <f t="shared" si="101"/>
        <v/>
      </c>
      <c r="AQ1080" t="str">
        <f>IF($AS1080="","",TRIM(IF(COUNTIFS(Calc!$B$2:$B$1601,ROW()-1,Calc!$C$2:$C$1601,"&lt;1")&gt;0,"Ada PO tanpa Koli - cek TMP. ","")&amp;IF(OR($AU1080="",$AU1080&lt;=0),"Volume kosong/0 - dimensi dikosongkan. ","")&amp;IF(AND($AU1080&lt;&gt;"",$AU1080&gt;=1000000),"Volume &gt;= 1.000.000 cm3 (di luar aturan) - dimensi dikosongkan. ","")&amp;IF(LEN($R1080)&gt;500,"R &gt; 500 karakter.","")))</f>
        <v/>
      </c>
      <c r="AS1080" t="str">
        <f>IFERROR(MATCH(ROW()-1,Calc!$J$2:$J$1601,0),"")</f>
        <v/>
      </c>
      <c r="AT1080" t="str">
        <f>IFERROR(MATCH(ROW()-1,Calc!$K$2:$K$1601,0),"")</f>
        <v/>
      </c>
      <c r="AU1080" t="str">
        <f>IF($AS1080="","",IFERROR(INDEX('TMP Paste'!$D$2:$D$1601,$AS1080)*1000000/$AB1080,""))</f>
        <v/>
      </c>
    </row>
    <row r="1081" spans="1:47">
      <c r="A1081" t="str">
        <f>IF($AS1081="","",INDEX('TMP Paste'!$B$2:$B$1601,$AS1081))</f>
        <v/>
      </c>
      <c r="B1081" t="str">
        <f>IF($AS1081="","",Config!$B$14)</f>
        <v/>
      </c>
      <c r="C1081" t="str">
        <f>IF($AS1081="","",Config!$B$15)</f>
        <v/>
      </c>
      <c r="D1081" t="str">
        <f>IF($AS1081="","",INDEX('TMP Paste'!$B$2:$B$1601,$AS1081))</f>
        <v/>
      </c>
      <c r="E1081" t="str">
        <f>IF($AS1081="","",Config!$B$27)</f>
        <v/>
      </c>
      <c r="F1081" t="str">
        <f>IF($AS1081="","",Config!$B$9)</f>
        <v/>
      </c>
      <c r="G1081" t="str">
        <f>IF($AS1081="","",Config!$B$10)</f>
        <v/>
      </c>
      <c r="H1081" t="str">
        <f>IF($AS1081="","",Config!$B$11)</f>
        <v/>
      </c>
      <c r="I1081" t="str">
        <f>IF($AS1081="","",Config!$B$16)</f>
        <v/>
      </c>
      <c r="J1081" t="str">
        <f>IF($AS1081="","",INDEX('TMP Paste'!$A$2:$A$1601,$AS1081))</f>
        <v/>
      </c>
      <c r="K1081" t="str">
        <f>IF($AS1081="","",INDEX('TMP Paste'!$L$2:$L$1601,$AS1081))</f>
        <v/>
      </c>
      <c r="L1081" t="str">
        <f>IF($AS1081="","",INDEX('TMP Paste'!$I$2:$I$1601,$AS1081))</f>
        <v/>
      </c>
      <c r="M1081" t="str">
        <f>IF($AS1081="","",Config!$B$16)</f>
        <v/>
      </c>
      <c r="N1081" t="str">
        <f t="shared" si="96"/>
        <v/>
      </c>
      <c r="O1081" t="str">
        <f>IF($AS1081="","",INDEX('TMP Paste'!$K$2:$K$1601,$AS1081))</f>
        <v/>
      </c>
      <c r="P1081" t="str">
        <f t="shared" si="97"/>
        <v/>
      </c>
      <c r="Q1081" t="str">
        <f>IF($AS1081="","",INDEX('TMP Paste'!$J$2:$J$1601,$AS1081))</f>
        <v/>
      </c>
      <c r="R1081" t="str">
        <f>IF($AS1081="","",Config!$B$24)</f>
        <v/>
      </c>
      <c r="S1081" t="str">
        <f ca="1">IF($AS1081="","",TEXT(Config!$B$4,"yyyy-mm-dd"))</f>
        <v/>
      </c>
      <c r="T1081" t="str">
        <f>IF($AS1081="","",Config!$B$17)</f>
        <v/>
      </c>
      <c r="U1081" t="str">
        <f>IF($AS1081="","",Config!$B$18)</f>
        <v/>
      </c>
      <c r="V1081" t="str">
        <f>IF($AS1081="","",Config!$B$19)</f>
        <v/>
      </c>
      <c r="W1081" t="str">
        <f>IF($AS1081="","",INDEX('TMP Paste'!$C$2:$C$1601,$AS1081))</f>
        <v/>
      </c>
      <c r="X1081" t="str">
        <f>IF($AS1081="","",Config!$B$29)</f>
        <v/>
      </c>
      <c r="Y1081" t="str">
        <f>IF($AT1081="","",INDEX(Calc!$I$2:$I$1601,$AT1081)&amp;" - "&amp;INDEX(Calc!$D$2:$D$1601,$AT1081)&amp;" koli")</f>
        <v/>
      </c>
      <c r="Z1081" t="str">
        <f>IF($AS1081="","",Config!$B$21)</f>
        <v/>
      </c>
      <c r="AA1081" t="str">
        <f>IF($AS1081="","",Config!$B$22)</f>
        <v/>
      </c>
      <c r="AB1081" t="str">
        <f>IF($AT1081="","",INDEX(Calc!$D$2:$D$1601,$AT1081))</f>
        <v/>
      </c>
      <c r="AC1081" t="str">
        <f>IF($AT1081="","",INDEX(Calc!$G$2:$G$1601,$AT1081))</f>
        <v/>
      </c>
      <c r="AD1081" t="str">
        <f>IF($AS1081="","",Config!$B$23)</f>
        <v/>
      </c>
      <c r="AE1081" t="str">
        <f>IF($AS1081="","",Config!$B$28)</f>
        <v/>
      </c>
      <c r="AF1081" t="str">
        <f t="shared" si="98"/>
        <v/>
      </c>
      <c r="AG1081" t="str">
        <f t="shared" si="99"/>
        <v/>
      </c>
      <c r="AH1081" t="str">
        <f t="shared" si="100"/>
        <v/>
      </c>
      <c r="AI1081" t="str">
        <f>IF($AG1081="","",SUMIF($AG$2:$AG1081,$AG1081,$AH$2:$AH1081))</f>
        <v/>
      </c>
      <c r="AJ1081" t="str">
        <f>IF('TMP Paste'!$F1081="","",IF('TMP Paste'!$B1081="",$AJ1080,'TMP Paste'!$B1081))</f>
        <v/>
      </c>
      <c r="AK1081" t="str">
        <f>IF('TMP Paste'!$F1081="","",N('TMP Paste'!$G1081))</f>
        <v/>
      </c>
      <c r="AL1081" t="str">
        <f>IF('TMP Paste'!$F1081="","",IF('TMP Paste'!$M1081="",$AL1080,'TMP Paste'!$M1081))</f>
        <v/>
      </c>
      <c r="AM1081" t="str">
        <f>IF('TMP Paste'!$F1081="","",IF('TMP Paste'!$N1081="",$AM1080,'TMP Paste'!$N1081))</f>
        <v/>
      </c>
      <c r="AN1081" t="str">
        <f>IF('TMP Paste'!$F1081="","",IF('TMP Paste'!$O1081="",$AN1080,'TMP Paste'!$O1081))</f>
        <v/>
      </c>
      <c r="AO1081" t="str">
        <f>IF('TMP Paste'!$F1081="","",IF('TMP Paste'!$P1081="",$AO1080,'TMP Paste'!$P1081))</f>
        <v/>
      </c>
      <c r="AP1081" t="str">
        <f t="shared" si="101"/>
        <v/>
      </c>
      <c r="AQ1081" t="str">
        <f>IF($AS1081="","",TRIM(IF(COUNTIFS(Calc!$B$2:$B$1601,ROW()-1,Calc!$C$2:$C$1601,"&lt;1")&gt;0,"Ada PO tanpa Koli - cek TMP. ","")&amp;IF(OR($AU1081="",$AU1081&lt;=0),"Volume kosong/0 - dimensi dikosongkan. ","")&amp;IF(AND($AU1081&lt;&gt;"",$AU1081&gt;=1000000),"Volume &gt;= 1.000.000 cm3 (di luar aturan) - dimensi dikosongkan. ","")&amp;IF(LEN($R1081)&gt;500,"R &gt; 500 karakter.","")))</f>
        <v/>
      </c>
      <c r="AS1081" t="str">
        <f>IFERROR(MATCH(ROW()-1,Calc!$J$2:$J$1601,0),"")</f>
        <v/>
      </c>
      <c r="AT1081" t="str">
        <f>IFERROR(MATCH(ROW()-1,Calc!$K$2:$K$1601,0),"")</f>
        <v/>
      </c>
      <c r="AU1081" t="str">
        <f>IF($AS1081="","",IFERROR(INDEX('TMP Paste'!$D$2:$D$1601,$AS1081)*1000000/$AB1081,""))</f>
        <v/>
      </c>
    </row>
    <row r="1082" spans="1:47">
      <c r="A1082" t="str">
        <f>IF($AS1082="","",INDEX('TMP Paste'!$B$2:$B$1601,$AS1082))</f>
        <v/>
      </c>
      <c r="B1082" t="str">
        <f>IF($AS1082="","",Config!$B$14)</f>
        <v/>
      </c>
      <c r="C1082" t="str">
        <f>IF($AS1082="","",Config!$B$15)</f>
        <v/>
      </c>
      <c r="D1082" t="str">
        <f>IF($AS1082="","",INDEX('TMP Paste'!$B$2:$B$1601,$AS1082))</f>
        <v/>
      </c>
      <c r="E1082" t="str">
        <f>IF($AS1082="","",Config!$B$27)</f>
        <v/>
      </c>
      <c r="F1082" t="str">
        <f>IF($AS1082="","",Config!$B$9)</f>
        <v/>
      </c>
      <c r="G1082" t="str">
        <f>IF($AS1082="","",Config!$B$10)</f>
        <v/>
      </c>
      <c r="H1082" t="str">
        <f>IF($AS1082="","",Config!$B$11)</f>
        <v/>
      </c>
      <c r="I1082" t="str">
        <f>IF($AS1082="","",Config!$B$16)</f>
        <v/>
      </c>
      <c r="J1082" t="str">
        <f>IF($AS1082="","",INDEX('TMP Paste'!$A$2:$A$1601,$AS1082))</f>
        <v/>
      </c>
      <c r="K1082" t="str">
        <f>IF($AS1082="","",INDEX('TMP Paste'!$L$2:$L$1601,$AS1082))</f>
        <v/>
      </c>
      <c r="L1082" t="str">
        <f>IF($AS1082="","",INDEX('TMP Paste'!$I$2:$I$1601,$AS1082))</f>
        <v/>
      </c>
      <c r="M1082" t="str">
        <f>IF($AS1082="","",Config!$B$16)</f>
        <v/>
      </c>
      <c r="N1082" t="str">
        <f t="shared" si="96"/>
        <v/>
      </c>
      <c r="O1082" t="str">
        <f>IF($AS1082="","",INDEX('TMP Paste'!$K$2:$K$1601,$AS1082))</f>
        <v/>
      </c>
      <c r="P1082" t="str">
        <f t="shared" si="97"/>
        <v/>
      </c>
      <c r="Q1082" t="str">
        <f>IF($AS1082="","",INDEX('TMP Paste'!$J$2:$J$1601,$AS1082))</f>
        <v/>
      </c>
      <c r="R1082" t="str">
        <f>IF($AS1082="","",Config!$B$24)</f>
        <v/>
      </c>
      <c r="S1082" t="str">
        <f ca="1">IF($AS1082="","",TEXT(Config!$B$4,"yyyy-mm-dd"))</f>
        <v/>
      </c>
      <c r="T1082" t="str">
        <f>IF($AS1082="","",Config!$B$17)</f>
        <v/>
      </c>
      <c r="U1082" t="str">
        <f>IF($AS1082="","",Config!$B$18)</f>
        <v/>
      </c>
      <c r="V1082" t="str">
        <f>IF($AS1082="","",Config!$B$19)</f>
        <v/>
      </c>
      <c r="W1082" t="str">
        <f>IF($AS1082="","",INDEX('TMP Paste'!$C$2:$C$1601,$AS1082))</f>
        <v/>
      </c>
      <c r="X1082" t="str">
        <f>IF($AS1082="","",Config!$B$29)</f>
        <v/>
      </c>
      <c r="Y1082" t="str">
        <f>IF($AT1082="","",INDEX(Calc!$I$2:$I$1601,$AT1082)&amp;" - "&amp;INDEX(Calc!$D$2:$D$1601,$AT1082)&amp;" koli")</f>
        <v/>
      </c>
      <c r="Z1082" t="str">
        <f>IF($AS1082="","",Config!$B$21)</f>
        <v/>
      </c>
      <c r="AA1082" t="str">
        <f>IF($AS1082="","",Config!$B$22)</f>
        <v/>
      </c>
      <c r="AB1082" t="str">
        <f>IF($AT1082="","",INDEX(Calc!$D$2:$D$1601,$AT1082))</f>
        <v/>
      </c>
      <c r="AC1082" t="str">
        <f>IF($AT1082="","",INDEX(Calc!$G$2:$G$1601,$AT1082))</f>
        <v/>
      </c>
      <c r="AD1082" t="str">
        <f>IF($AS1082="","",Config!$B$23)</f>
        <v/>
      </c>
      <c r="AE1082" t="str">
        <f>IF($AS1082="","",Config!$B$28)</f>
        <v/>
      </c>
      <c r="AF1082" t="str">
        <f t="shared" si="98"/>
        <v/>
      </c>
      <c r="AG1082" t="str">
        <f t="shared" si="99"/>
        <v/>
      </c>
      <c r="AH1082" t="str">
        <f t="shared" si="100"/>
        <v/>
      </c>
      <c r="AI1082" t="str">
        <f>IF($AG1082="","",SUMIF($AG$2:$AG1082,$AG1082,$AH$2:$AH1082))</f>
        <v/>
      </c>
      <c r="AJ1082" t="str">
        <f>IF('TMP Paste'!$F1082="","",IF('TMP Paste'!$B1082="",$AJ1081,'TMP Paste'!$B1082))</f>
        <v/>
      </c>
      <c r="AK1082" t="str">
        <f>IF('TMP Paste'!$F1082="","",N('TMP Paste'!$G1082))</f>
        <v/>
      </c>
      <c r="AL1082" t="str">
        <f>IF('TMP Paste'!$F1082="","",IF('TMP Paste'!$M1082="",$AL1081,'TMP Paste'!$M1082))</f>
        <v/>
      </c>
      <c r="AM1082" t="str">
        <f>IF('TMP Paste'!$F1082="","",IF('TMP Paste'!$N1082="",$AM1081,'TMP Paste'!$N1082))</f>
        <v/>
      </c>
      <c r="AN1082" t="str">
        <f>IF('TMP Paste'!$F1082="","",IF('TMP Paste'!$O1082="",$AN1081,'TMP Paste'!$O1082))</f>
        <v/>
      </c>
      <c r="AO1082" t="str">
        <f>IF('TMP Paste'!$F1082="","",IF('TMP Paste'!$P1082="",$AO1081,'TMP Paste'!$P1082))</f>
        <v/>
      </c>
      <c r="AP1082" t="str">
        <f t="shared" si="101"/>
        <v/>
      </c>
      <c r="AQ1082" t="str">
        <f>IF($AS1082="","",TRIM(IF(COUNTIFS(Calc!$B$2:$B$1601,ROW()-1,Calc!$C$2:$C$1601,"&lt;1")&gt;0,"Ada PO tanpa Koli - cek TMP. ","")&amp;IF(OR($AU1082="",$AU1082&lt;=0),"Volume kosong/0 - dimensi dikosongkan. ","")&amp;IF(AND($AU1082&lt;&gt;"",$AU1082&gt;=1000000),"Volume &gt;= 1.000.000 cm3 (di luar aturan) - dimensi dikosongkan. ","")&amp;IF(LEN($R1082)&gt;500,"R &gt; 500 karakter.","")))</f>
        <v/>
      </c>
      <c r="AS1082" t="str">
        <f>IFERROR(MATCH(ROW()-1,Calc!$J$2:$J$1601,0),"")</f>
        <v/>
      </c>
      <c r="AT1082" t="str">
        <f>IFERROR(MATCH(ROW()-1,Calc!$K$2:$K$1601,0),"")</f>
        <v/>
      </c>
      <c r="AU1082" t="str">
        <f>IF($AS1082="","",IFERROR(INDEX('TMP Paste'!$D$2:$D$1601,$AS1082)*1000000/$AB1082,""))</f>
        <v/>
      </c>
    </row>
    <row r="1083" spans="1:47">
      <c r="A1083" t="str">
        <f>IF($AS1083="","",INDEX('TMP Paste'!$B$2:$B$1601,$AS1083))</f>
        <v/>
      </c>
      <c r="B1083" t="str">
        <f>IF($AS1083="","",Config!$B$14)</f>
        <v/>
      </c>
      <c r="C1083" t="str">
        <f>IF($AS1083="","",Config!$B$15)</f>
        <v/>
      </c>
      <c r="D1083" t="str">
        <f>IF($AS1083="","",INDEX('TMP Paste'!$B$2:$B$1601,$AS1083))</f>
        <v/>
      </c>
      <c r="E1083" t="str">
        <f>IF($AS1083="","",Config!$B$27)</f>
        <v/>
      </c>
      <c r="F1083" t="str">
        <f>IF($AS1083="","",Config!$B$9)</f>
        <v/>
      </c>
      <c r="G1083" t="str">
        <f>IF($AS1083="","",Config!$B$10)</f>
        <v/>
      </c>
      <c r="H1083" t="str">
        <f>IF($AS1083="","",Config!$B$11)</f>
        <v/>
      </c>
      <c r="I1083" t="str">
        <f>IF($AS1083="","",Config!$B$16)</f>
        <v/>
      </c>
      <c r="J1083" t="str">
        <f>IF($AS1083="","",INDEX('TMP Paste'!$A$2:$A$1601,$AS1083))</f>
        <v/>
      </c>
      <c r="K1083" t="str">
        <f>IF($AS1083="","",INDEX('TMP Paste'!$L$2:$L$1601,$AS1083))</f>
        <v/>
      </c>
      <c r="L1083" t="str">
        <f>IF($AS1083="","",INDEX('TMP Paste'!$I$2:$I$1601,$AS1083))</f>
        <v/>
      </c>
      <c r="M1083" t="str">
        <f>IF($AS1083="","",Config!$B$16)</f>
        <v/>
      </c>
      <c r="N1083" t="str">
        <f t="shared" si="96"/>
        <v/>
      </c>
      <c r="O1083" t="str">
        <f>IF($AS1083="","",INDEX('TMP Paste'!$K$2:$K$1601,$AS1083))</f>
        <v/>
      </c>
      <c r="P1083" t="str">
        <f t="shared" si="97"/>
        <v/>
      </c>
      <c r="Q1083" t="str">
        <f>IF($AS1083="","",INDEX('TMP Paste'!$J$2:$J$1601,$AS1083))</f>
        <v/>
      </c>
      <c r="R1083" t="str">
        <f>IF($AS1083="","",Config!$B$24)</f>
        <v/>
      </c>
      <c r="S1083" t="str">
        <f ca="1">IF($AS1083="","",TEXT(Config!$B$4,"yyyy-mm-dd"))</f>
        <v/>
      </c>
      <c r="T1083" t="str">
        <f>IF($AS1083="","",Config!$B$17)</f>
        <v/>
      </c>
      <c r="U1083" t="str">
        <f>IF($AS1083="","",Config!$B$18)</f>
        <v/>
      </c>
      <c r="V1083" t="str">
        <f>IF($AS1083="","",Config!$B$19)</f>
        <v/>
      </c>
      <c r="W1083" t="str">
        <f>IF($AS1083="","",INDEX('TMP Paste'!$C$2:$C$1601,$AS1083))</f>
        <v/>
      </c>
      <c r="X1083" t="str">
        <f>IF($AS1083="","",Config!$B$29)</f>
        <v/>
      </c>
      <c r="Y1083" t="str">
        <f>IF($AT1083="","",INDEX(Calc!$I$2:$I$1601,$AT1083)&amp;" - "&amp;INDEX(Calc!$D$2:$D$1601,$AT1083)&amp;" koli")</f>
        <v/>
      </c>
      <c r="Z1083" t="str">
        <f>IF($AS1083="","",Config!$B$21)</f>
        <v/>
      </c>
      <c r="AA1083" t="str">
        <f>IF($AS1083="","",Config!$B$22)</f>
        <v/>
      </c>
      <c r="AB1083" t="str">
        <f>IF($AT1083="","",INDEX(Calc!$D$2:$D$1601,$AT1083))</f>
        <v/>
      </c>
      <c r="AC1083" t="str">
        <f>IF($AT1083="","",INDEX(Calc!$G$2:$G$1601,$AT1083))</f>
        <v/>
      </c>
      <c r="AD1083" t="str">
        <f>IF($AS1083="","",Config!$B$23)</f>
        <v/>
      </c>
      <c r="AE1083" t="str">
        <f>IF($AS1083="","",Config!$B$28)</f>
        <v/>
      </c>
      <c r="AF1083" t="str">
        <f t="shared" si="98"/>
        <v/>
      </c>
      <c r="AG1083" t="str">
        <f t="shared" si="99"/>
        <v/>
      </c>
      <c r="AH1083" t="str">
        <f t="shared" si="100"/>
        <v/>
      </c>
      <c r="AI1083" t="str">
        <f>IF($AG1083="","",SUMIF($AG$2:$AG1083,$AG1083,$AH$2:$AH1083))</f>
        <v/>
      </c>
      <c r="AJ1083" t="str">
        <f>IF('TMP Paste'!$F1083="","",IF('TMP Paste'!$B1083="",$AJ1082,'TMP Paste'!$B1083))</f>
        <v/>
      </c>
      <c r="AK1083" t="str">
        <f>IF('TMP Paste'!$F1083="","",N('TMP Paste'!$G1083))</f>
        <v/>
      </c>
      <c r="AL1083" t="str">
        <f>IF('TMP Paste'!$F1083="","",IF('TMP Paste'!$M1083="",$AL1082,'TMP Paste'!$M1083))</f>
        <v/>
      </c>
      <c r="AM1083" t="str">
        <f>IF('TMP Paste'!$F1083="","",IF('TMP Paste'!$N1083="",$AM1082,'TMP Paste'!$N1083))</f>
        <v/>
      </c>
      <c r="AN1083" t="str">
        <f>IF('TMP Paste'!$F1083="","",IF('TMP Paste'!$O1083="",$AN1082,'TMP Paste'!$O1083))</f>
        <v/>
      </c>
      <c r="AO1083" t="str">
        <f>IF('TMP Paste'!$F1083="","",IF('TMP Paste'!$P1083="",$AO1082,'TMP Paste'!$P1083))</f>
        <v/>
      </c>
      <c r="AP1083" t="str">
        <f t="shared" si="101"/>
        <v/>
      </c>
      <c r="AQ1083" t="str">
        <f>IF($AS1083="","",TRIM(IF(COUNTIFS(Calc!$B$2:$B$1601,ROW()-1,Calc!$C$2:$C$1601,"&lt;1")&gt;0,"Ada PO tanpa Koli - cek TMP. ","")&amp;IF(OR($AU1083="",$AU1083&lt;=0),"Volume kosong/0 - dimensi dikosongkan. ","")&amp;IF(AND($AU1083&lt;&gt;"",$AU1083&gt;=1000000),"Volume &gt;= 1.000.000 cm3 (di luar aturan) - dimensi dikosongkan. ","")&amp;IF(LEN($R1083)&gt;500,"R &gt; 500 karakter.","")))</f>
        <v/>
      </c>
      <c r="AS1083" t="str">
        <f>IFERROR(MATCH(ROW()-1,Calc!$J$2:$J$1601,0),"")</f>
        <v/>
      </c>
      <c r="AT1083" t="str">
        <f>IFERROR(MATCH(ROW()-1,Calc!$K$2:$K$1601,0),"")</f>
        <v/>
      </c>
      <c r="AU1083" t="str">
        <f>IF($AS1083="","",IFERROR(INDEX('TMP Paste'!$D$2:$D$1601,$AS1083)*1000000/$AB1083,""))</f>
        <v/>
      </c>
    </row>
    <row r="1084" spans="1:47">
      <c r="A1084" t="str">
        <f>IF($AS1084="","",INDEX('TMP Paste'!$B$2:$B$1601,$AS1084))</f>
        <v/>
      </c>
      <c r="B1084" t="str">
        <f>IF($AS1084="","",Config!$B$14)</f>
        <v/>
      </c>
      <c r="C1084" t="str">
        <f>IF($AS1084="","",Config!$B$15)</f>
        <v/>
      </c>
      <c r="D1084" t="str">
        <f>IF($AS1084="","",INDEX('TMP Paste'!$B$2:$B$1601,$AS1084))</f>
        <v/>
      </c>
      <c r="E1084" t="str">
        <f>IF($AS1084="","",Config!$B$27)</f>
        <v/>
      </c>
      <c r="F1084" t="str">
        <f>IF($AS1084="","",Config!$B$9)</f>
        <v/>
      </c>
      <c r="G1084" t="str">
        <f>IF($AS1084="","",Config!$B$10)</f>
        <v/>
      </c>
      <c r="H1084" t="str">
        <f>IF($AS1084="","",Config!$B$11)</f>
        <v/>
      </c>
      <c r="I1084" t="str">
        <f>IF($AS1084="","",Config!$B$16)</f>
        <v/>
      </c>
      <c r="J1084" t="str">
        <f>IF($AS1084="","",INDEX('TMP Paste'!$A$2:$A$1601,$AS1084))</f>
        <v/>
      </c>
      <c r="K1084" t="str">
        <f>IF($AS1084="","",INDEX('TMP Paste'!$L$2:$L$1601,$AS1084))</f>
        <v/>
      </c>
      <c r="L1084" t="str">
        <f>IF($AS1084="","",INDEX('TMP Paste'!$I$2:$I$1601,$AS1084))</f>
        <v/>
      </c>
      <c r="M1084" t="str">
        <f>IF($AS1084="","",Config!$B$16)</f>
        <v/>
      </c>
      <c r="N1084" t="str">
        <f t="shared" si="96"/>
        <v/>
      </c>
      <c r="O1084" t="str">
        <f>IF($AS1084="","",INDEX('TMP Paste'!$K$2:$K$1601,$AS1084))</f>
        <v/>
      </c>
      <c r="P1084" t="str">
        <f t="shared" si="97"/>
        <v/>
      </c>
      <c r="Q1084" t="str">
        <f>IF($AS1084="","",INDEX('TMP Paste'!$J$2:$J$1601,$AS1084))</f>
        <v/>
      </c>
      <c r="R1084" t="str">
        <f>IF($AS1084="","",Config!$B$24)</f>
        <v/>
      </c>
      <c r="S1084" t="str">
        <f ca="1">IF($AS1084="","",TEXT(Config!$B$4,"yyyy-mm-dd"))</f>
        <v/>
      </c>
      <c r="T1084" t="str">
        <f>IF($AS1084="","",Config!$B$17)</f>
        <v/>
      </c>
      <c r="U1084" t="str">
        <f>IF($AS1084="","",Config!$B$18)</f>
        <v/>
      </c>
      <c r="V1084" t="str">
        <f>IF($AS1084="","",Config!$B$19)</f>
        <v/>
      </c>
      <c r="W1084" t="str">
        <f>IF($AS1084="","",INDEX('TMP Paste'!$C$2:$C$1601,$AS1084))</f>
        <v/>
      </c>
      <c r="X1084" t="str">
        <f>IF($AS1084="","",Config!$B$29)</f>
        <v/>
      </c>
      <c r="Y1084" t="str">
        <f>IF($AT1084="","",INDEX(Calc!$I$2:$I$1601,$AT1084)&amp;" - "&amp;INDEX(Calc!$D$2:$D$1601,$AT1084)&amp;" koli")</f>
        <v/>
      </c>
      <c r="Z1084" t="str">
        <f>IF($AS1084="","",Config!$B$21)</f>
        <v/>
      </c>
      <c r="AA1084" t="str">
        <f>IF($AS1084="","",Config!$B$22)</f>
        <v/>
      </c>
      <c r="AB1084" t="str">
        <f>IF($AT1084="","",INDEX(Calc!$D$2:$D$1601,$AT1084))</f>
        <v/>
      </c>
      <c r="AC1084" t="str">
        <f>IF($AT1084="","",INDEX(Calc!$G$2:$G$1601,$AT1084))</f>
        <v/>
      </c>
      <c r="AD1084" t="str">
        <f>IF($AS1084="","",Config!$B$23)</f>
        <v/>
      </c>
      <c r="AE1084" t="str">
        <f>IF($AS1084="","",Config!$B$28)</f>
        <v/>
      </c>
      <c r="AF1084" t="str">
        <f t="shared" si="98"/>
        <v/>
      </c>
      <c r="AG1084" t="str">
        <f t="shared" si="99"/>
        <v/>
      </c>
      <c r="AH1084" t="str">
        <f t="shared" si="100"/>
        <v/>
      </c>
      <c r="AI1084" t="str">
        <f>IF($AG1084="","",SUMIF($AG$2:$AG1084,$AG1084,$AH$2:$AH1084))</f>
        <v/>
      </c>
      <c r="AJ1084" t="str">
        <f>IF('TMP Paste'!$F1084="","",IF('TMP Paste'!$B1084="",$AJ1083,'TMP Paste'!$B1084))</f>
        <v/>
      </c>
      <c r="AK1084" t="str">
        <f>IF('TMP Paste'!$F1084="","",N('TMP Paste'!$G1084))</f>
        <v/>
      </c>
      <c r="AL1084" t="str">
        <f>IF('TMP Paste'!$F1084="","",IF('TMP Paste'!$M1084="",$AL1083,'TMP Paste'!$M1084))</f>
        <v/>
      </c>
      <c r="AM1084" t="str">
        <f>IF('TMP Paste'!$F1084="","",IF('TMP Paste'!$N1084="",$AM1083,'TMP Paste'!$N1084))</f>
        <v/>
      </c>
      <c r="AN1084" t="str">
        <f>IF('TMP Paste'!$F1084="","",IF('TMP Paste'!$O1084="",$AN1083,'TMP Paste'!$O1084))</f>
        <v/>
      </c>
      <c r="AO1084" t="str">
        <f>IF('TMP Paste'!$F1084="","",IF('TMP Paste'!$P1084="",$AO1083,'TMP Paste'!$P1084))</f>
        <v/>
      </c>
      <c r="AP1084" t="str">
        <f t="shared" si="101"/>
        <v/>
      </c>
      <c r="AQ1084" t="str">
        <f>IF($AS1084="","",TRIM(IF(COUNTIFS(Calc!$B$2:$B$1601,ROW()-1,Calc!$C$2:$C$1601,"&lt;1")&gt;0,"Ada PO tanpa Koli - cek TMP. ","")&amp;IF(OR($AU1084="",$AU1084&lt;=0),"Volume kosong/0 - dimensi dikosongkan. ","")&amp;IF(AND($AU1084&lt;&gt;"",$AU1084&gt;=1000000),"Volume &gt;= 1.000.000 cm3 (di luar aturan) - dimensi dikosongkan. ","")&amp;IF(LEN($R1084)&gt;500,"R &gt; 500 karakter.","")))</f>
        <v/>
      </c>
      <c r="AS1084" t="str">
        <f>IFERROR(MATCH(ROW()-1,Calc!$J$2:$J$1601,0),"")</f>
        <v/>
      </c>
      <c r="AT1084" t="str">
        <f>IFERROR(MATCH(ROW()-1,Calc!$K$2:$K$1601,0),"")</f>
        <v/>
      </c>
      <c r="AU1084" t="str">
        <f>IF($AS1084="","",IFERROR(INDEX('TMP Paste'!$D$2:$D$1601,$AS1084)*1000000/$AB1084,""))</f>
        <v/>
      </c>
    </row>
    <row r="1085" spans="1:47">
      <c r="A1085" t="str">
        <f>IF($AS1085="","",INDEX('TMP Paste'!$B$2:$B$1601,$AS1085))</f>
        <v/>
      </c>
      <c r="B1085" t="str">
        <f>IF($AS1085="","",Config!$B$14)</f>
        <v/>
      </c>
      <c r="C1085" t="str">
        <f>IF($AS1085="","",Config!$B$15)</f>
        <v/>
      </c>
      <c r="D1085" t="str">
        <f>IF($AS1085="","",INDEX('TMP Paste'!$B$2:$B$1601,$AS1085))</f>
        <v/>
      </c>
      <c r="E1085" t="str">
        <f>IF($AS1085="","",Config!$B$27)</f>
        <v/>
      </c>
      <c r="F1085" t="str">
        <f>IF($AS1085="","",Config!$B$9)</f>
        <v/>
      </c>
      <c r="G1085" t="str">
        <f>IF($AS1085="","",Config!$B$10)</f>
        <v/>
      </c>
      <c r="H1085" t="str">
        <f>IF($AS1085="","",Config!$B$11)</f>
        <v/>
      </c>
      <c r="I1085" t="str">
        <f>IF($AS1085="","",Config!$B$16)</f>
        <v/>
      </c>
      <c r="J1085" t="str">
        <f>IF($AS1085="","",INDEX('TMP Paste'!$A$2:$A$1601,$AS1085))</f>
        <v/>
      </c>
      <c r="K1085" t="str">
        <f>IF($AS1085="","",INDEX('TMP Paste'!$L$2:$L$1601,$AS1085))</f>
        <v/>
      </c>
      <c r="L1085" t="str">
        <f>IF($AS1085="","",INDEX('TMP Paste'!$I$2:$I$1601,$AS1085))</f>
        <v/>
      </c>
      <c r="M1085" t="str">
        <f>IF($AS1085="","",Config!$B$16)</f>
        <v/>
      </c>
      <c r="N1085" t="str">
        <f t="shared" si="96"/>
        <v/>
      </c>
      <c r="O1085" t="str">
        <f>IF($AS1085="","",INDEX('TMP Paste'!$K$2:$K$1601,$AS1085))</f>
        <v/>
      </c>
      <c r="P1085" t="str">
        <f t="shared" si="97"/>
        <v/>
      </c>
      <c r="Q1085" t="str">
        <f>IF($AS1085="","",INDEX('TMP Paste'!$J$2:$J$1601,$AS1085))</f>
        <v/>
      </c>
      <c r="R1085" t="str">
        <f>IF($AS1085="","",Config!$B$24)</f>
        <v/>
      </c>
      <c r="S1085" t="str">
        <f ca="1">IF($AS1085="","",TEXT(Config!$B$4,"yyyy-mm-dd"))</f>
        <v/>
      </c>
      <c r="T1085" t="str">
        <f>IF($AS1085="","",Config!$B$17)</f>
        <v/>
      </c>
      <c r="U1085" t="str">
        <f>IF($AS1085="","",Config!$B$18)</f>
        <v/>
      </c>
      <c r="V1085" t="str">
        <f>IF($AS1085="","",Config!$B$19)</f>
        <v/>
      </c>
      <c r="W1085" t="str">
        <f>IF($AS1085="","",INDEX('TMP Paste'!$C$2:$C$1601,$AS1085))</f>
        <v/>
      </c>
      <c r="X1085" t="str">
        <f>IF($AS1085="","",Config!$B$29)</f>
        <v/>
      </c>
      <c r="Y1085" t="str">
        <f>IF($AT1085="","",INDEX(Calc!$I$2:$I$1601,$AT1085)&amp;" - "&amp;INDEX(Calc!$D$2:$D$1601,$AT1085)&amp;" koli")</f>
        <v/>
      </c>
      <c r="Z1085" t="str">
        <f>IF($AS1085="","",Config!$B$21)</f>
        <v/>
      </c>
      <c r="AA1085" t="str">
        <f>IF($AS1085="","",Config!$B$22)</f>
        <v/>
      </c>
      <c r="AB1085" t="str">
        <f>IF($AT1085="","",INDEX(Calc!$D$2:$D$1601,$AT1085))</f>
        <v/>
      </c>
      <c r="AC1085" t="str">
        <f>IF($AT1085="","",INDEX(Calc!$G$2:$G$1601,$AT1085))</f>
        <v/>
      </c>
      <c r="AD1085" t="str">
        <f>IF($AS1085="","",Config!$B$23)</f>
        <v/>
      </c>
      <c r="AE1085" t="str">
        <f>IF($AS1085="","",Config!$B$28)</f>
        <v/>
      </c>
      <c r="AF1085" t="str">
        <f t="shared" si="98"/>
        <v/>
      </c>
      <c r="AG1085" t="str">
        <f t="shared" si="99"/>
        <v/>
      </c>
      <c r="AH1085" t="str">
        <f t="shared" si="100"/>
        <v/>
      </c>
      <c r="AI1085" t="str">
        <f>IF($AG1085="","",SUMIF($AG$2:$AG1085,$AG1085,$AH$2:$AH1085))</f>
        <v/>
      </c>
      <c r="AJ1085" t="str">
        <f>IF('TMP Paste'!$F1085="","",IF('TMP Paste'!$B1085="",$AJ1084,'TMP Paste'!$B1085))</f>
        <v/>
      </c>
      <c r="AK1085" t="str">
        <f>IF('TMP Paste'!$F1085="","",N('TMP Paste'!$G1085))</f>
        <v/>
      </c>
      <c r="AL1085" t="str">
        <f>IF('TMP Paste'!$F1085="","",IF('TMP Paste'!$M1085="",$AL1084,'TMP Paste'!$M1085))</f>
        <v/>
      </c>
      <c r="AM1085" t="str">
        <f>IF('TMP Paste'!$F1085="","",IF('TMP Paste'!$N1085="",$AM1084,'TMP Paste'!$N1085))</f>
        <v/>
      </c>
      <c r="AN1085" t="str">
        <f>IF('TMP Paste'!$F1085="","",IF('TMP Paste'!$O1085="",$AN1084,'TMP Paste'!$O1085))</f>
        <v/>
      </c>
      <c r="AO1085" t="str">
        <f>IF('TMP Paste'!$F1085="","",IF('TMP Paste'!$P1085="",$AO1084,'TMP Paste'!$P1085))</f>
        <v/>
      </c>
      <c r="AP1085" t="str">
        <f t="shared" si="101"/>
        <v/>
      </c>
      <c r="AQ1085" t="str">
        <f>IF($AS1085="","",TRIM(IF(COUNTIFS(Calc!$B$2:$B$1601,ROW()-1,Calc!$C$2:$C$1601,"&lt;1")&gt;0,"Ada PO tanpa Koli - cek TMP. ","")&amp;IF(OR($AU1085="",$AU1085&lt;=0),"Volume kosong/0 - dimensi dikosongkan. ","")&amp;IF(AND($AU1085&lt;&gt;"",$AU1085&gt;=1000000),"Volume &gt;= 1.000.000 cm3 (di luar aturan) - dimensi dikosongkan. ","")&amp;IF(LEN($R1085)&gt;500,"R &gt; 500 karakter.","")))</f>
        <v/>
      </c>
      <c r="AS1085" t="str">
        <f>IFERROR(MATCH(ROW()-1,Calc!$J$2:$J$1601,0),"")</f>
        <v/>
      </c>
      <c r="AT1085" t="str">
        <f>IFERROR(MATCH(ROW()-1,Calc!$K$2:$K$1601,0),"")</f>
        <v/>
      </c>
      <c r="AU1085" t="str">
        <f>IF($AS1085="","",IFERROR(INDEX('TMP Paste'!$D$2:$D$1601,$AS1085)*1000000/$AB1085,""))</f>
        <v/>
      </c>
    </row>
    <row r="1086" spans="1:47">
      <c r="A1086" t="str">
        <f>IF($AS1086="","",INDEX('TMP Paste'!$B$2:$B$1601,$AS1086))</f>
        <v/>
      </c>
      <c r="B1086" t="str">
        <f>IF($AS1086="","",Config!$B$14)</f>
        <v/>
      </c>
      <c r="C1086" t="str">
        <f>IF($AS1086="","",Config!$B$15)</f>
        <v/>
      </c>
      <c r="D1086" t="str">
        <f>IF($AS1086="","",INDEX('TMP Paste'!$B$2:$B$1601,$AS1086))</f>
        <v/>
      </c>
      <c r="E1086" t="str">
        <f>IF($AS1086="","",Config!$B$27)</f>
        <v/>
      </c>
      <c r="F1086" t="str">
        <f>IF($AS1086="","",Config!$B$9)</f>
        <v/>
      </c>
      <c r="G1086" t="str">
        <f>IF($AS1086="","",Config!$B$10)</f>
        <v/>
      </c>
      <c r="H1086" t="str">
        <f>IF($AS1086="","",Config!$B$11)</f>
        <v/>
      </c>
      <c r="I1086" t="str">
        <f>IF($AS1086="","",Config!$B$16)</f>
        <v/>
      </c>
      <c r="J1086" t="str">
        <f>IF($AS1086="","",INDEX('TMP Paste'!$A$2:$A$1601,$AS1086))</f>
        <v/>
      </c>
      <c r="K1086" t="str">
        <f>IF($AS1086="","",INDEX('TMP Paste'!$L$2:$L$1601,$AS1086))</f>
        <v/>
      </c>
      <c r="L1086" t="str">
        <f>IF($AS1086="","",INDEX('TMP Paste'!$I$2:$I$1601,$AS1086))</f>
        <v/>
      </c>
      <c r="M1086" t="str">
        <f>IF($AS1086="","",Config!$B$16)</f>
        <v/>
      </c>
      <c r="N1086" t="str">
        <f t="shared" si="96"/>
        <v/>
      </c>
      <c r="O1086" t="str">
        <f>IF($AS1086="","",INDEX('TMP Paste'!$K$2:$K$1601,$AS1086))</f>
        <v/>
      </c>
      <c r="P1086" t="str">
        <f t="shared" si="97"/>
        <v/>
      </c>
      <c r="Q1086" t="str">
        <f>IF($AS1086="","",INDEX('TMP Paste'!$J$2:$J$1601,$AS1086))</f>
        <v/>
      </c>
      <c r="R1086" t="str">
        <f>IF($AS1086="","",Config!$B$24)</f>
        <v/>
      </c>
      <c r="S1086" t="str">
        <f ca="1">IF($AS1086="","",TEXT(Config!$B$4,"yyyy-mm-dd"))</f>
        <v/>
      </c>
      <c r="T1086" t="str">
        <f>IF($AS1086="","",Config!$B$17)</f>
        <v/>
      </c>
      <c r="U1086" t="str">
        <f>IF($AS1086="","",Config!$B$18)</f>
        <v/>
      </c>
      <c r="V1086" t="str">
        <f>IF($AS1086="","",Config!$B$19)</f>
        <v/>
      </c>
      <c r="W1086" t="str">
        <f>IF($AS1086="","",INDEX('TMP Paste'!$C$2:$C$1601,$AS1086))</f>
        <v/>
      </c>
      <c r="X1086" t="str">
        <f>IF($AS1086="","",Config!$B$29)</f>
        <v/>
      </c>
      <c r="Y1086" t="str">
        <f>IF($AT1086="","",INDEX(Calc!$I$2:$I$1601,$AT1086)&amp;" - "&amp;INDEX(Calc!$D$2:$D$1601,$AT1086)&amp;" koli")</f>
        <v/>
      </c>
      <c r="Z1086" t="str">
        <f>IF($AS1086="","",Config!$B$21)</f>
        <v/>
      </c>
      <c r="AA1086" t="str">
        <f>IF($AS1086="","",Config!$B$22)</f>
        <v/>
      </c>
      <c r="AB1086" t="str">
        <f>IF($AT1086="","",INDEX(Calc!$D$2:$D$1601,$AT1086))</f>
        <v/>
      </c>
      <c r="AC1086" t="str">
        <f>IF($AT1086="","",INDEX(Calc!$G$2:$G$1601,$AT1086))</f>
        <v/>
      </c>
      <c r="AD1086" t="str">
        <f>IF($AS1086="","",Config!$B$23)</f>
        <v/>
      </c>
      <c r="AE1086" t="str">
        <f>IF($AS1086="","",Config!$B$28)</f>
        <v/>
      </c>
      <c r="AF1086" t="str">
        <f t="shared" si="98"/>
        <v/>
      </c>
      <c r="AG1086" t="str">
        <f t="shared" si="99"/>
        <v/>
      </c>
      <c r="AH1086" t="str">
        <f t="shared" si="100"/>
        <v/>
      </c>
      <c r="AI1086" t="str">
        <f>IF($AG1086="","",SUMIF($AG$2:$AG1086,$AG1086,$AH$2:$AH1086))</f>
        <v/>
      </c>
      <c r="AJ1086" t="str">
        <f>IF('TMP Paste'!$F1086="","",IF('TMP Paste'!$B1086="",$AJ1085,'TMP Paste'!$B1086))</f>
        <v/>
      </c>
      <c r="AK1086" t="str">
        <f>IF('TMP Paste'!$F1086="","",N('TMP Paste'!$G1086))</f>
        <v/>
      </c>
      <c r="AL1086" t="str">
        <f>IF('TMP Paste'!$F1086="","",IF('TMP Paste'!$M1086="",$AL1085,'TMP Paste'!$M1086))</f>
        <v/>
      </c>
      <c r="AM1086" t="str">
        <f>IF('TMP Paste'!$F1086="","",IF('TMP Paste'!$N1086="",$AM1085,'TMP Paste'!$N1086))</f>
        <v/>
      </c>
      <c r="AN1086" t="str">
        <f>IF('TMP Paste'!$F1086="","",IF('TMP Paste'!$O1086="",$AN1085,'TMP Paste'!$O1086))</f>
        <v/>
      </c>
      <c r="AO1086" t="str">
        <f>IF('TMP Paste'!$F1086="","",IF('TMP Paste'!$P1086="",$AO1085,'TMP Paste'!$P1086))</f>
        <v/>
      </c>
      <c r="AP1086" t="str">
        <f t="shared" si="101"/>
        <v/>
      </c>
      <c r="AQ1086" t="str">
        <f>IF($AS1086="","",TRIM(IF(COUNTIFS(Calc!$B$2:$B$1601,ROW()-1,Calc!$C$2:$C$1601,"&lt;1")&gt;0,"Ada PO tanpa Koli - cek TMP. ","")&amp;IF(OR($AU1086="",$AU1086&lt;=0),"Volume kosong/0 - dimensi dikosongkan. ","")&amp;IF(AND($AU1086&lt;&gt;"",$AU1086&gt;=1000000),"Volume &gt;= 1.000.000 cm3 (di luar aturan) - dimensi dikosongkan. ","")&amp;IF(LEN($R1086)&gt;500,"R &gt; 500 karakter.","")))</f>
        <v/>
      </c>
      <c r="AS1086" t="str">
        <f>IFERROR(MATCH(ROW()-1,Calc!$J$2:$J$1601,0),"")</f>
        <v/>
      </c>
      <c r="AT1086" t="str">
        <f>IFERROR(MATCH(ROW()-1,Calc!$K$2:$K$1601,0),"")</f>
        <v/>
      </c>
      <c r="AU1086" t="str">
        <f>IF($AS1086="","",IFERROR(INDEX('TMP Paste'!$D$2:$D$1601,$AS1086)*1000000/$AB1086,""))</f>
        <v/>
      </c>
    </row>
    <row r="1087" spans="1:47">
      <c r="A1087" t="str">
        <f>IF($AS1087="","",INDEX('TMP Paste'!$B$2:$B$1601,$AS1087))</f>
        <v/>
      </c>
      <c r="B1087" t="str">
        <f>IF($AS1087="","",Config!$B$14)</f>
        <v/>
      </c>
      <c r="C1087" t="str">
        <f>IF($AS1087="","",Config!$B$15)</f>
        <v/>
      </c>
      <c r="D1087" t="str">
        <f>IF($AS1087="","",INDEX('TMP Paste'!$B$2:$B$1601,$AS1087))</f>
        <v/>
      </c>
      <c r="E1087" t="str">
        <f>IF($AS1087="","",Config!$B$27)</f>
        <v/>
      </c>
      <c r="F1087" t="str">
        <f>IF($AS1087="","",Config!$B$9)</f>
        <v/>
      </c>
      <c r="G1087" t="str">
        <f>IF($AS1087="","",Config!$B$10)</f>
        <v/>
      </c>
      <c r="H1087" t="str">
        <f>IF($AS1087="","",Config!$B$11)</f>
        <v/>
      </c>
      <c r="I1087" t="str">
        <f>IF($AS1087="","",Config!$B$16)</f>
        <v/>
      </c>
      <c r="J1087" t="str">
        <f>IF($AS1087="","",INDEX('TMP Paste'!$A$2:$A$1601,$AS1087))</f>
        <v/>
      </c>
      <c r="K1087" t="str">
        <f>IF($AS1087="","",INDEX('TMP Paste'!$L$2:$L$1601,$AS1087))</f>
        <v/>
      </c>
      <c r="L1087" t="str">
        <f>IF($AS1087="","",INDEX('TMP Paste'!$I$2:$I$1601,$AS1087))</f>
        <v/>
      </c>
      <c r="M1087" t="str">
        <f>IF($AS1087="","",Config!$B$16)</f>
        <v/>
      </c>
      <c r="N1087" t="str">
        <f t="shared" si="96"/>
        <v/>
      </c>
      <c r="O1087" t="str">
        <f>IF($AS1087="","",INDEX('TMP Paste'!$K$2:$K$1601,$AS1087))</f>
        <v/>
      </c>
      <c r="P1087" t="str">
        <f t="shared" si="97"/>
        <v/>
      </c>
      <c r="Q1087" t="str">
        <f>IF($AS1087="","",INDEX('TMP Paste'!$J$2:$J$1601,$AS1087))</f>
        <v/>
      </c>
      <c r="R1087" t="str">
        <f>IF($AS1087="","",Config!$B$24)</f>
        <v/>
      </c>
      <c r="S1087" t="str">
        <f ca="1">IF($AS1087="","",TEXT(Config!$B$4,"yyyy-mm-dd"))</f>
        <v/>
      </c>
      <c r="T1087" t="str">
        <f>IF($AS1087="","",Config!$B$17)</f>
        <v/>
      </c>
      <c r="U1087" t="str">
        <f>IF($AS1087="","",Config!$B$18)</f>
        <v/>
      </c>
      <c r="V1087" t="str">
        <f>IF($AS1087="","",Config!$B$19)</f>
        <v/>
      </c>
      <c r="W1087" t="str">
        <f>IF($AS1087="","",INDEX('TMP Paste'!$C$2:$C$1601,$AS1087))</f>
        <v/>
      </c>
      <c r="X1087" t="str">
        <f>IF($AS1087="","",Config!$B$29)</f>
        <v/>
      </c>
      <c r="Y1087" t="str">
        <f>IF($AT1087="","",INDEX(Calc!$I$2:$I$1601,$AT1087)&amp;" - "&amp;INDEX(Calc!$D$2:$D$1601,$AT1087)&amp;" koli")</f>
        <v/>
      </c>
      <c r="Z1087" t="str">
        <f>IF($AS1087="","",Config!$B$21)</f>
        <v/>
      </c>
      <c r="AA1087" t="str">
        <f>IF($AS1087="","",Config!$B$22)</f>
        <v/>
      </c>
      <c r="AB1087" t="str">
        <f>IF($AT1087="","",INDEX(Calc!$D$2:$D$1601,$AT1087))</f>
        <v/>
      </c>
      <c r="AC1087" t="str">
        <f>IF($AT1087="","",INDEX(Calc!$G$2:$G$1601,$AT1087))</f>
        <v/>
      </c>
      <c r="AD1087" t="str">
        <f>IF($AS1087="","",Config!$B$23)</f>
        <v/>
      </c>
      <c r="AE1087" t="str">
        <f>IF($AS1087="","",Config!$B$28)</f>
        <v/>
      </c>
      <c r="AF1087" t="str">
        <f t="shared" si="98"/>
        <v/>
      </c>
      <c r="AG1087" t="str">
        <f t="shared" si="99"/>
        <v/>
      </c>
      <c r="AH1087" t="str">
        <f t="shared" si="100"/>
        <v/>
      </c>
      <c r="AI1087" t="str">
        <f>IF($AG1087="","",SUMIF($AG$2:$AG1087,$AG1087,$AH$2:$AH1087))</f>
        <v/>
      </c>
      <c r="AJ1087" t="str">
        <f>IF('TMP Paste'!$F1087="","",IF('TMP Paste'!$B1087="",$AJ1086,'TMP Paste'!$B1087))</f>
        <v/>
      </c>
      <c r="AK1087" t="str">
        <f>IF('TMP Paste'!$F1087="","",N('TMP Paste'!$G1087))</f>
        <v/>
      </c>
      <c r="AL1087" t="str">
        <f>IF('TMP Paste'!$F1087="","",IF('TMP Paste'!$M1087="",$AL1086,'TMP Paste'!$M1087))</f>
        <v/>
      </c>
      <c r="AM1087" t="str">
        <f>IF('TMP Paste'!$F1087="","",IF('TMP Paste'!$N1087="",$AM1086,'TMP Paste'!$N1087))</f>
        <v/>
      </c>
      <c r="AN1087" t="str">
        <f>IF('TMP Paste'!$F1087="","",IF('TMP Paste'!$O1087="",$AN1086,'TMP Paste'!$O1087))</f>
        <v/>
      </c>
      <c r="AO1087" t="str">
        <f>IF('TMP Paste'!$F1087="","",IF('TMP Paste'!$P1087="",$AO1086,'TMP Paste'!$P1087))</f>
        <v/>
      </c>
      <c r="AP1087" t="str">
        <f t="shared" si="101"/>
        <v/>
      </c>
      <c r="AQ1087" t="str">
        <f>IF($AS1087="","",TRIM(IF(COUNTIFS(Calc!$B$2:$B$1601,ROW()-1,Calc!$C$2:$C$1601,"&lt;1")&gt;0,"Ada PO tanpa Koli - cek TMP. ","")&amp;IF(OR($AU1087="",$AU1087&lt;=0),"Volume kosong/0 - dimensi dikosongkan. ","")&amp;IF(AND($AU1087&lt;&gt;"",$AU1087&gt;=1000000),"Volume &gt;= 1.000.000 cm3 (di luar aturan) - dimensi dikosongkan. ","")&amp;IF(LEN($R1087)&gt;500,"R &gt; 500 karakter.","")))</f>
        <v/>
      </c>
      <c r="AS1087" t="str">
        <f>IFERROR(MATCH(ROW()-1,Calc!$J$2:$J$1601,0),"")</f>
        <v/>
      </c>
      <c r="AT1087" t="str">
        <f>IFERROR(MATCH(ROW()-1,Calc!$K$2:$K$1601,0),"")</f>
        <v/>
      </c>
      <c r="AU1087" t="str">
        <f>IF($AS1087="","",IFERROR(INDEX('TMP Paste'!$D$2:$D$1601,$AS1087)*1000000/$AB1087,""))</f>
        <v/>
      </c>
    </row>
    <row r="1088" spans="1:47">
      <c r="A1088" t="str">
        <f>IF($AS1088="","",INDEX('TMP Paste'!$B$2:$B$1601,$AS1088))</f>
        <v/>
      </c>
      <c r="B1088" t="str">
        <f>IF($AS1088="","",Config!$B$14)</f>
        <v/>
      </c>
      <c r="C1088" t="str">
        <f>IF($AS1088="","",Config!$B$15)</f>
        <v/>
      </c>
      <c r="D1088" t="str">
        <f>IF($AS1088="","",INDEX('TMP Paste'!$B$2:$B$1601,$AS1088))</f>
        <v/>
      </c>
      <c r="E1088" t="str">
        <f>IF($AS1088="","",Config!$B$27)</f>
        <v/>
      </c>
      <c r="F1088" t="str">
        <f>IF($AS1088="","",Config!$B$9)</f>
        <v/>
      </c>
      <c r="G1088" t="str">
        <f>IF($AS1088="","",Config!$B$10)</f>
        <v/>
      </c>
      <c r="H1088" t="str">
        <f>IF($AS1088="","",Config!$B$11)</f>
        <v/>
      </c>
      <c r="I1088" t="str">
        <f>IF($AS1088="","",Config!$B$16)</f>
        <v/>
      </c>
      <c r="J1088" t="str">
        <f>IF($AS1088="","",INDEX('TMP Paste'!$A$2:$A$1601,$AS1088))</f>
        <v/>
      </c>
      <c r="K1088" t="str">
        <f>IF($AS1088="","",INDEX('TMP Paste'!$L$2:$L$1601,$AS1088))</f>
        <v/>
      </c>
      <c r="L1088" t="str">
        <f>IF($AS1088="","",INDEX('TMP Paste'!$I$2:$I$1601,$AS1088))</f>
        <v/>
      </c>
      <c r="M1088" t="str">
        <f>IF($AS1088="","",Config!$B$16)</f>
        <v/>
      </c>
      <c r="N1088" t="str">
        <f t="shared" si="96"/>
        <v/>
      </c>
      <c r="O1088" t="str">
        <f>IF($AS1088="","",INDEX('TMP Paste'!$K$2:$K$1601,$AS1088))</f>
        <v/>
      </c>
      <c r="P1088" t="str">
        <f t="shared" si="97"/>
        <v/>
      </c>
      <c r="Q1088" t="str">
        <f>IF($AS1088="","",INDEX('TMP Paste'!$J$2:$J$1601,$AS1088))</f>
        <v/>
      </c>
      <c r="R1088" t="str">
        <f>IF($AS1088="","",Config!$B$24)</f>
        <v/>
      </c>
      <c r="S1088" t="str">
        <f ca="1">IF($AS1088="","",TEXT(Config!$B$4,"yyyy-mm-dd"))</f>
        <v/>
      </c>
      <c r="T1088" t="str">
        <f>IF($AS1088="","",Config!$B$17)</f>
        <v/>
      </c>
      <c r="U1088" t="str">
        <f>IF($AS1088="","",Config!$B$18)</f>
        <v/>
      </c>
      <c r="V1088" t="str">
        <f>IF($AS1088="","",Config!$B$19)</f>
        <v/>
      </c>
      <c r="W1088" t="str">
        <f>IF($AS1088="","",INDEX('TMP Paste'!$C$2:$C$1601,$AS1088))</f>
        <v/>
      </c>
      <c r="X1088" t="str">
        <f>IF($AS1088="","",Config!$B$29)</f>
        <v/>
      </c>
      <c r="Y1088" t="str">
        <f>IF($AT1088="","",INDEX(Calc!$I$2:$I$1601,$AT1088)&amp;" - "&amp;INDEX(Calc!$D$2:$D$1601,$AT1088)&amp;" koli")</f>
        <v/>
      </c>
      <c r="Z1088" t="str">
        <f>IF($AS1088="","",Config!$B$21)</f>
        <v/>
      </c>
      <c r="AA1088" t="str">
        <f>IF($AS1088="","",Config!$B$22)</f>
        <v/>
      </c>
      <c r="AB1088" t="str">
        <f>IF($AT1088="","",INDEX(Calc!$D$2:$D$1601,$AT1088))</f>
        <v/>
      </c>
      <c r="AC1088" t="str">
        <f>IF($AT1088="","",INDEX(Calc!$G$2:$G$1601,$AT1088))</f>
        <v/>
      </c>
      <c r="AD1088" t="str">
        <f>IF($AS1088="","",Config!$B$23)</f>
        <v/>
      </c>
      <c r="AE1088" t="str">
        <f>IF($AS1088="","",Config!$B$28)</f>
        <v/>
      </c>
      <c r="AF1088" t="str">
        <f t="shared" si="98"/>
        <v/>
      </c>
      <c r="AG1088" t="str">
        <f t="shared" si="99"/>
        <v/>
      </c>
      <c r="AH1088" t="str">
        <f t="shared" si="100"/>
        <v/>
      </c>
      <c r="AI1088" t="str">
        <f>IF($AG1088="","",SUMIF($AG$2:$AG1088,$AG1088,$AH$2:$AH1088))</f>
        <v/>
      </c>
      <c r="AJ1088" t="str">
        <f>IF('TMP Paste'!$F1088="","",IF('TMP Paste'!$B1088="",$AJ1087,'TMP Paste'!$B1088))</f>
        <v/>
      </c>
      <c r="AK1088" t="str">
        <f>IF('TMP Paste'!$F1088="","",N('TMP Paste'!$G1088))</f>
        <v/>
      </c>
      <c r="AL1088" t="str">
        <f>IF('TMP Paste'!$F1088="","",IF('TMP Paste'!$M1088="",$AL1087,'TMP Paste'!$M1088))</f>
        <v/>
      </c>
      <c r="AM1088" t="str">
        <f>IF('TMP Paste'!$F1088="","",IF('TMP Paste'!$N1088="",$AM1087,'TMP Paste'!$N1088))</f>
        <v/>
      </c>
      <c r="AN1088" t="str">
        <f>IF('TMP Paste'!$F1088="","",IF('TMP Paste'!$O1088="",$AN1087,'TMP Paste'!$O1088))</f>
        <v/>
      </c>
      <c r="AO1088" t="str">
        <f>IF('TMP Paste'!$F1088="","",IF('TMP Paste'!$P1088="",$AO1087,'TMP Paste'!$P1088))</f>
        <v/>
      </c>
      <c r="AP1088" t="str">
        <f t="shared" si="101"/>
        <v/>
      </c>
      <c r="AQ1088" t="str">
        <f>IF($AS1088="","",TRIM(IF(COUNTIFS(Calc!$B$2:$B$1601,ROW()-1,Calc!$C$2:$C$1601,"&lt;1")&gt;0,"Ada PO tanpa Koli - cek TMP. ","")&amp;IF(OR($AU1088="",$AU1088&lt;=0),"Volume kosong/0 - dimensi dikosongkan. ","")&amp;IF(AND($AU1088&lt;&gt;"",$AU1088&gt;=1000000),"Volume &gt;= 1.000.000 cm3 (di luar aturan) - dimensi dikosongkan. ","")&amp;IF(LEN($R1088)&gt;500,"R &gt; 500 karakter.","")))</f>
        <v/>
      </c>
      <c r="AS1088" t="str">
        <f>IFERROR(MATCH(ROW()-1,Calc!$J$2:$J$1601,0),"")</f>
        <v/>
      </c>
      <c r="AT1088" t="str">
        <f>IFERROR(MATCH(ROW()-1,Calc!$K$2:$K$1601,0),"")</f>
        <v/>
      </c>
      <c r="AU1088" t="str">
        <f>IF($AS1088="","",IFERROR(INDEX('TMP Paste'!$D$2:$D$1601,$AS1088)*1000000/$AB1088,""))</f>
        <v/>
      </c>
    </row>
    <row r="1089" spans="1:47">
      <c r="A1089" t="str">
        <f>IF($AS1089="","",INDEX('TMP Paste'!$B$2:$B$1601,$AS1089))</f>
        <v/>
      </c>
      <c r="B1089" t="str">
        <f>IF($AS1089="","",Config!$B$14)</f>
        <v/>
      </c>
      <c r="C1089" t="str">
        <f>IF($AS1089="","",Config!$B$15)</f>
        <v/>
      </c>
      <c r="D1089" t="str">
        <f>IF($AS1089="","",INDEX('TMP Paste'!$B$2:$B$1601,$AS1089))</f>
        <v/>
      </c>
      <c r="E1089" t="str">
        <f>IF($AS1089="","",Config!$B$27)</f>
        <v/>
      </c>
      <c r="F1089" t="str">
        <f>IF($AS1089="","",Config!$B$9)</f>
        <v/>
      </c>
      <c r="G1089" t="str">
        <f>IF($AS1089="","",Config!$B$10)</f>
        <v/>
      </c>
      <c r="H1089" t="str">
        <f>IF($AS1089="","",Config!$B$11)</f>
        <v/>
      </c>
      <c r="I1089" t="str">
        <f>IF($AS1089="","",Config!$B$16)</f>
        <v/>
      </c>
      <c r="J1089" t="str">
        <f>IF($AS1089="","",INDEX('TMP Paste'!$A$2:$A$1601,$AS1089))</f>
        <v/>
      </c>
      <c r="K1089" t="str">
        <f>IF($AS1089="","",INDEX('TMP Paste'!$L$2:$L$1601,$AS1089))</f>
        <v/>
      </c>
      <c r="L1089" t="str">
        <f>IF($AS1089="","",INDEX('TMP Paste'!$I$2:$I$1601,$AS1089))</f>
        <v/>
      </c>
      <c r="M1089" t="str">
        <f>IF($AS1089="","",Config!$B$16)</f>
        <v/>
      </c>
      <c r="N1089" t="str">
        <f t="shared" si="96"/>
        <v/>
      </c>
      <c r="O1089" t="str">
        <f>IF($AS1089="","",INDEX('TMP Paste'!$K$2:$K$1601,$AS1089))</f>
        <v/>
      </c>
      <c r="P1089" t="str">
        <f t="shared" si="97"/>
        <v/>
      </c>
      <c r="Q1089" t="str">
        <f>IF($AS1089="","",INDEX('TMP Paste'!$J$2:$J$1601,$AS1089))</f>
        <v/>
      </c>
      <c r="R1089" t="str">
        <f>IF($AS1089="","",Config!$B$24)</f>
        <v/>
      </c>
      <c r="S1089" t="str">
        <f ca="1">IF($AS1089="","",TEXT(Config!$B$4,"yyyy-mm-dd"))</f>
        <v/>
      </c>
      <c r="T1089" t="str">
        <f>IF($AS1089="","",Config!$B$17)</f>
        <v/>
      </c>
      <c r="U1089" t="str">
        <f>IF($AS1089="","",Config!$B$18)</f>
        <v/>
      </c>
      <c r="V1089" t="str">
        <f>IF($AS1089="","",Config!$B$19)</f>
        <v/>
      </c>
      <c r="W1089" t="str">
        <f>IF($AS1089="","",INDEX('TMP Paste'!$C$2:$C$1601,$AS1089))</f>
        <v/>
      </c>
      <c r="X1089" t="str">
        <f>IF($AS1089="","",Config!$B$29)</f>
        <v/>
      </c>
      <c r="Y1089" t="str">
        <f>IF($AT1089="","",INDEX(Calc!$I$2:$I$1601,$AT1089)&amp;" - "&amp;INDEX(Calc!$D$2:$D$1601,$AT1089)&amp;" koli")</f>
        <v/>
      </c>
      <c r="Z1089" t="str">
        <f>IF($AS1089="","",Config!$B$21)</f>
        <v/>
      </c>
      <c r="AA1089" t="str">
        <f>IF($AS1089="","",Config!$B$22)</f>
        <v/>
      </c>
      <c r="AB1089" t="str">
        <f>IF($AT1089="","",INDEX(Calc!$D$2:$D$1601,$AT1089))</f>
        <v/>
      </c>
      <c r="AC1089" t="str">
        <f>IF($AT1089="","",INDEX(Calc!$G$2:$G$1601,$AT1089))</f>
        <v/>
      </c>
      <c r="AD1089" t="str">
        <f>IF($AS1089="","",Config!$B$23)</f>
        <v/>
      </c>
      <c r="AE1089" t="str">
        <f>IF($AS1089="","",Config!$B$28)</f>
        <v/>
      </c>
      <c r="AF1089" t="str">
        <f t="shared" si="98"/>
        <v/>
      </c>
      <c r="AG1089" t="str">
        <f t="shared" si="99"/>
        <v/>
      </c>
      <c r="AH1089" t="str">
        <f t="shared" si="100"/>
        <v/>
      </c>
      <c r="AI1089" t="str">
        <f>IF($AG1089="","",SUMIF($AG$2:$AG1089,$AG1089,$AH$2:$AH1089))</f>
        <v/>
      </c>
      <c r="AJ1089" t="str">
        <f>IF('TMP Paste'!$F1089="","",IF('TMP Paste'!$B1089="",$AJ1088,'TMP Paste'!$B1089))</f>
        <v/>
      </c>
      <c r="AK1089" t="str">
        <f>IF('TMP Paste'!$F1089="","",N('TMP Paste'!$G1089))</f>
        <v/>
      </c>
      <c r="AL1089" t="str">
        <f>IF('TMP Paste'!$F1089="","",IF('TMP Paste'!$M1089="",$AL1088,'TMP Paste'!$M1089))</f>
        <v/>
      </c>
      <c r="AM1089" t="str">
        <f>IF('TMP Paste'!$F1089="","",IF('TMP Paste'!$N1089="",$AM1088,'TMP Paste'!$N1089))</f>
        <v/>
      </c>
      <c r="AN1089" t="str">
        <f>IF('TMP Paste'!$F1089="","",IF('TMP Paste'!$O1089="",$AN1088,'TMP Paste'!$O1089))</f>
        <v/>
      </c>
      <c r="AO1089" t="str">
        <f>IF('TMP Paste'!$F1089="","",IF('TMP Paste'!$P1089="",$AO1088,'TMP Paste'!$P1089))</f>
        <v/>
      </c>
      <c r="AP1089" t="str">
        <f t="shared" si="101"/>
        <v/>
      </c>
      <c r="AQ1089" t="str">
        <f>IF($AS1089="","",TRIM(IF(COUNTIFS(Calc!$B$2:$B$1601,ROW()-1,Calc!$C$2:$C$1601,"&lt;1")&gt;0,"Ada PO tanpa Koli - cek TMP. ","")&amp;IF(OR($AU1089="",$AU1089&lt;=0),"Volume kosong/0 - dimensi dikosongkan. ","")&amp;IF(AND($AU1089&lt;&gt;"",$AU1089&gt;=1000000),"Volume &gt;= 1.000.000 cm3 (di luar aturan) - dimensi dikosongkan. ","")&amp;IF(LEN($R1089)&gt;500,"R &gt; 500 karakter.","")))</f>
        <v/>
      </c>
      <c r="AS1089" t="str">
        <f>IFERROR(MATCH(ROW()-1,Calc!$J$2:$J$1601,0),"")</f>
        <v/>
      </c>
      <c r="AT1089" t="str">
        <f>IFERROR(MATCH(ROW()-1,Calc!$K$2:$K$1601,0),"")</f>
        <v/>
      </c>
      <c r="AU1089" t="str">
        <f>IF($AS1089="","",IFERROR(INDEX('TMP Paste'!$D$2:$D$1601,$AS1089)*1000000/$AB1089,""))</f>
        <v/>
      </c>
    </row>
    <row r="1090" spans="1:47">
      <c r="A1090" t="str">
        <f>IF($AS1090="","",INDEX('TMP Paste'!$B$2:$B$1601,$AS1090))</f>
        <v/>
      </c>
      <c r="B1090" t="str">
        <f>IF($AS1090="","",Config!$B$14)</f>
        <v/>
      </c>
      <c r="C1090" t="str">
        <f>IF($AS1090="","",Config!$B$15)</f>
        <v/>
      </c>
      <c r="D1090" t="str">
        <f>IF($AS1090="","",INDEX('TMP Paste'!$B$2:$B$1601,$AS1090))</f>
        <v/>
      </c>
      <c r="E1090" t="str">
        <f>IF($AS1090="","",Config!$B$27)</f>
        <v/>
      </c>
      <c r="F1090" t="str">
        <f>IF($AS1090="","",Config!$B$9)</f>
        <v/>
      </c>
      <c r="G1090" t="str">
        <f>IF($AS1090="","",Config!$B$10)</f>
        <v/>
      </c>
      <c r="H1090" t="str">
        <f>IF($AS1090="","",Config!$B$11)</f>
        <v/>
      </c>
      <c r="I1090" t="str">
        <f>IF($AS1090="","",Config!$B$16)</f>
        <v/>
      </c>
      <c r="J1090" t="str">
        <f>IF($AS1090="","",INDEX('TMP Paste'!$A$2:$A$1601,$AS1090))</f>
        <v/>
      </c>
      <c r="K1090" t="str">
        <f>IF($AS1090="","",INDEX('TMP Paste'!$L$2:$L$1601,$AS1090))</f>
        <v/>
      </c>
      <c r="L1090" t="str">
        <f>IF($AS1090="","",INDEX('TMP Paste'!$I$2:$I$1601,$AS1090))</f>
        <v/>
      </c>
      <c r="M1090" t="str">
        <f>IF($AS1090="","",Config!$B$16)</f>
        <v/>
      </c>
      <c r="N1090" t="str">
        <f t="shared" ref="N1090:N1153" si="102">IF($AS1090="","","")</f>
        <v/>
      </c>
      <c r="O1090" t="str">
        <f>IF($AS1090="","",INDEX('TMP Paste'!$K$2:$K$1601,$AS1090))</f>
        <v/>
      </c>
      <c r="P1090" t="str">
        <f t="shared" ref="P1090:P1153" si="103">IF($AS1090="","","")</f>
        <v/>
      </c>
      <c r="Q1090" t="str">
        <f>IF($AS1090="","",INDEX('TMP Paste'!$J$2:$J$1601,$AS1090))</f>
        <v/>
      </c>
      <c r="R1090" t="str">
        <f>IF($AS1090="","",Config!$B$24)</f>
        <v/>
      </c>
      <c r="S1090" t="str">
        <f ca="1">IF($AS1090="","",TEXT(Config!$B$4,"yyyy-mm-dd"))</f>
        <v/>
      </c>
      <c r="T1090" t="str">
        <f>IF($AS1090="","",Config!$B$17)</f>
        <v/>
      </c>
      <c r="U1090" t="str">
        <f>IF($AS1090="","",Config!$B$18)</f>
        <v/>
      </c>
      <c r="V1090" t="str">
        <f>IF($AS1090="","",Config!$B$19)</f>
        <v/>
      </c>
      <c r="W1090" t="str">
        <f>IF($AS1090="","",INDEX('TMP Paste'!$C$2:$C$1601,$AS1090))</f>
        <v/>
      </c>
      <c r="X1090" t="str">
        <f>IF($AS1090="","",Config!$B$29)</f>
        <v/>
      </c>
      <c r="Y1090" t="str">
        <f>IF($AT1090="","",INDEX(Calc!$I$2:$I$1601,$AT1090)&amp;" - "&amp;INDEX(Calc!$D$2:$D$1601,$AT1090)&amp;" koli")</f>
        <v/>
      </c>
      <c r="Z1090" t="str">
        <f>IF($AS1090="","",Config!$B$21)</f>
        <v/>
      </c>
      <c r="AA1090" t="str">
        <f>IF($AS1090="","",Config!$B$22)</f>
        <v/>
      </c>
      <c r="AB1090" t="str">
        <f>IF($AT1090="","",INDEX(Calc!$D$2:$D$1601,$AT1090))</f>
        <v/>
      </c>
      <c r="AC1090" t="str">
        <f>IF($AT1090="","",INDEX(Calc!$G$2:$G$1601,$AT1090))</f>
        <v/>
      </c>
      <c r="AD1090" t="str">
        <f>IF($AS1090="","",Config!$B$23)</f>
        <v/>
      </c>
      <c r="AE1090" t="str">
        <f>IF($AS1090="","",Config!$B$28)</f>
        <v/>
      </c>
      <c r="AF1090" t="str">
        <f t="shared" ref="AF1090:AF1153" si="104">IF($AS1090="","",IF(OR($AU1090="",$AU1090&lt;=0,$AU1090&gt;=1000000),"",IF($AU1090&lt;10000,10,100)))</f>
        <v/>
      </c>
      <c r="AG1090" t="str">
        <f t="shared" ref="AG1090:AG1153" si="105">IF($AS1090="","",IF(OR($AU1090="",$AU1090&lt;=0,$AU1090&gt;=1000000),"",IF($AU1090&lt;10000,$AU1090/100,IF($AU1090&lt;100000,$AU1090/1000,$AU1090/10000))))</f>
        <v/>
      </c>
      <c r="AH1090" t="str">
        <f t="shared" ref="AH1090:AH1153" si="106">IF($AS1090="","",IF(OR($AU1090="",$AU1090&lt;=0,$AU1090&gt;=1000000),"",IF($AU1090&lt;100000,10,100)))</f>
        <v/>
      </c>
      <c r="AI1090" t="str">
        <f>IF($AG1090="","",SUMIF($AG$2:$AG1090,$AG1090,$AH$2:$AH1090))</f>
        <v/>
      </c>
      <c r="AJ1090" t="str">
        <f>IF('TMP Paste'!$F1090="","",IF('TMP Paste'!$B1090="",$AJ1089,'TMP Paste'!$B1090))</f>
        <v/>
      </c>
      <c r="AK1090" t="str">
        <f>IF('TMP Paste'!$F1090="","",N('TMP Paste'!$G1090))</f>
        <v/>
      </c>
      <c r="AL1090" t="str">
        <f>IF('TMP Paste'!$F1090="","",IF('TMP Paste'!$M1090="",$AL1089,'TMP Paste'!$M1090))</f>
        <v/>
      </c>
      <c r="AM1090" t="str">
        <f>IF('TMP Paste'!$F1090="","",IF('TMP Paste'!$N1090="",$AM1089,'TMP Paste'!$N1090))</f>
        <v/>
      </c>
      <c r="AN1090" t="str">
        <f>IF('TMP Paste'!$F1090="","",IF('TMP Paste'!$O1090="",$AN1089,'TMP Paste'!$O1090))</f>
        <v/>
      </c>
      <c r="AO1090" t="str">
        <f>IF('TMP Paste'!$F1090="","",IF('TMP Paste'!$P1090="",$AO1089,'TMP Paste'!$P1090))</f>
        <v/>
      </c>
      <c r="AP1090" t="str">
        <f t="shared" ref="AP1090:AP1153" si="107">IF($AG1090="","",LEN($R1090))</f>
        <v/>
      </c>
      <c r="AQ1090" t="str">
        <f>IF($AS1090="","",TRIM(IF(COUNTIFS(Calc!$B$2:$B$1601,ROW()-1,Calc!$C$2:$C$1601,"&lt;1")&gt;0,"Ada PO tanpa Koli - cek TMP. ","")&amp;IF(OR($AU1090="",$AU1090&lt;=0),"Volume kosong/0 - dimensi dikosongkan. ","")&amp;IF(AND($AU1090&lt;&gt;"",$AU1090&gt;=1000000),"Volume &gt;= 1.000.000 cm3 (di luar aturan) - dimensi dikosongkan. ","")&amp;IF(LEN($R1090)&gt;500,"R &gt; 500 karakter.","")))</f>
        <v/>
      </c>
      <c r="AS1090" t="str">
        <f>IFERROR(MATCH(ROW()-1,Calc!$J$2:$J$1601,0),"")</f>
        <v/>
      </c>
      <c r="AT1090" t="str">
        <f>IFERROR(MATCH(ROW()-1,Calc!$K$2:$K$1601,0),"")</f>
        <v/>
      </c>
      <c r="AU1090" t="str">
        <f>IF($AS1090="","",IFERROR(INDEX('TMP Paste'!$D$2:$D$1601,$AS1090)*1000000/$AB1090,""))</f>
        <v/>
      </c>
    </row>
    <row r="1091" spans="1:47">
      <c r="A1091" t="str">
        <f>IF($AS1091="","",INDEX('TMP Paste'!$B$2:$B$1601,$AS1091))</f>
        <v/>
      </c>
      <c r="B1091" t="str">
        <f>IF($AS1091="","",Config!$B$14)</f>
        <v/>
      </c>
      <c r="C1091" t="str">
        <f>IF($AS1091="","",Config!$B$15)</f>
        <v/>
      </c>
      <c r="D1091" t="str">
        <f>IF($AS1091="","",INDEX('TMP Paste'!$B$2:$B$1601,$AS1091))</f>
        <v/>
      </c>
      <c r="E1091" t="str">
        <f>IF($AS1091="","",Config!$B$27)</f>
        <v/>
      </c>
      <c r="F1091" t="str">
        <f>IF($AS1091="","",Config!$B$9)</f>
        <v/>
      </c>
      <c r="G1091" t="str">
        <f>IF($AS1091="","",Config!$B$10)</f>
        <v/>
      </c>
      <c r="H1091" t="str">
        <f>IF($AS1091="","",Config!$B$11)</f>
        <v/>
      </c>
      <c r="I1091" t="str">
        <f>IF($AS1091="","",Config!$B$16)</f>
        <v/>
      </c>
      <c r="J1091" t="str">
        <f>IF($AS1091="","",INDEX('TMP Paste'!$A$2:$A$1601,$AS1091))</f>
        <v/>
      </c>
      <c r="K1091" t="str">
        <f>IF($AS1091="","",INDEX('TMP Paste'!$L$2:$L$1601,$AS1091))</f>
        <v/>
      </c>
      <c r="L1091" t="str">
        <f>IF($AS1091="","",INDEX('TMP Paste'!$I$2:$I$1601,$AS1091))</f>
        <v/>
      </c>
      <c r="M1091" t="str">
        <f>IF($AS1091="","",Config!$B$16)</f>
        <v/>
      </c>
      <c r="N1091" t="str">
        <f t="shared" si="102"/>
        <v/>
      </c>
      <c r="O1091" t="str">
        <f>IF($AS1091="","",INDEX('TMP Paste'!$K$2:$K$1601,$AS1091))</f>
        <v/>
      </c>
      <c r="P1091" t="str">
        <f t="shared" si="103"/>
        <v/>
      </c>
      <c r="Q1091" t="str">
        <f>IF($AS1091="","",INDEX('TMP Paste'!$J$2:$J$1601,$AS1091))</f>
        <v/>
      </c>
      <c r="R1091" t="str">
        <f>IF($AS1091="","",Config!$B$24)</f>
        <v/>
      </c>
      <c r="S1091" t="str">
        <f ca="1">IF($AS1091="","",TEXT(Config!$B$4,"yyyy-mm-dd"))</f>
        <v/>
      </c>
      <c r="T1091" t="str">
        <f>IF($AS1091="","",Config!$B$17)</f>
        <v/>
      </c>
      <c r="U1091" t="str">
        <f>IF($AS1091="","",Config!$B$18)</f>
        <v/>
      </c>
      <c r="V1091" t="str">
        <f>IF($AS1091="","",Config!$B$19)</f>
        <v/>
      </c>
      <c r="W1091" t="str">
        <f>IF($AS1091="","",INDEX('TMP Paste'!$C$2:$C$1601,$AS1091))</f>
        <v/>
      </c>
      <c r="X1091" t="str">
        <f>IF($AS1091="","",Config!$B$29)</f>
        <v/>
      </c>
      <c r="Y1091" t="str">
        <f>IF($AT1091="","",INDEX(Calc!$I$2:$I$1601,$AT1091)&amp;" - "&amp;INDEX(Calc!$D$2:$D$1601,$AT1091)&amp;" koli")</f>
        <v/>
      </c>
      <c r="Z1091" t="str">
        <f>IF($AS1091="","",Config!$B$21)</f>
        <v/>
      </c>
      <c r="AA1091" t="str">
        <f>IF($AS1091="","",Config!$B$22)</f>
        <v/>
      </c>
      <c r="AB1091" t="str">
        <f>IF($AT1091="","",INDEX(Calc!$D$2:$D$1601,$AT1091))</f>
        <v/>
      </c>
      <c r="AC1091" t="str">
        <f>IF($AT1091="","",INDEX(Calc!$G$2:$G$1601,$AT1091))</f>
        <v/>
      </c>
      <c r="AD1091" t="str">
        <f>IF($AS1091="","",Config!$B$23)</f>
        <v/>
      </c>
      <c r="AE1091" t="str">
        <f>IF($AS1091="","",Config!$B$28)</f>
        <v/>
      </c>
      <c r="AF1091" t="str">
        <f t="shared" si="104"/>
        <v/>
      </c>
      <c r="AG1091" t="str">
        <f t="shared" si="105"/>
        <v/>
      </c>
      <c r="AH1091" t="str">
        <f t="shared" si="106"/>
        <v/>
      </c>
      <c r="AI1091" t="str">
        <f>IF($AG1091="","",SUMIF($AG$2:$AG1091,$AG1091,$AH$2:$AH1091))</f>
        <v/>
      </c>
      <c r="AJ1091" t="str">
        <f>IF('TMP Paste'!$F1091="","",IF('TMP Paste'!$B1091="",$AJ1090,'TMP Paste'!$B1091))</f>
        <v/>
      </c>
      <c r="AK1091" t="str">
        <f>IF('TMP Paste'!$F1091="","",N('TMP Paste'!$G1091))</f>
        <v/>
      </c>
      <c r="AL1091" t="str">
        <f>IF('TMP Paste'!$F1091="","",IF('TMP Paste'!$M1091="",$AL1090,'TMP Paste'!$M1091))</f>
        <v/>
      </c>
      <c r="AM1091" t="str">
        <f>IF('TMP Paste'!$F1091="","",IF('TMP Paste'!$N1091="",$AM1090,'TMP Paste'!$N1091))</f>
        <v/>
      </c>
      <c r="AN1091" t="str">
        <f>IF('TMP Paste'!$F1091="","",IF('TMP Paste'!$O1091="",$AN1090,'TMP Paste'!$O1091))</f>
        <v/>
      </c>
      <c r="AO1091" t="str">
        <f>IF('TMP Paste'!$F1091="","",IF('TMP Paste'!$P1091="",$AO1090,'TMP Paste'!$P1091))</f>
        <v/>
      </c>
      <c r="AP1091" t="str">
        <f t="shared" si="107"/>
        <v/>
      </c>
      <c r="AQ1091" t="str">
        <f>IF($AS1091="","",TRIM(IF(COUNTIFS(Calc!$B$2:$B$1601,ROW()-1,Calc!$C$2:$C$1601,"&lt;1")&gt;0,"Ada PO tanpa Koli - cek TMP. ","")&amp;IF(OR($AU1091="",$AU1091&lt;=0),"Volume kosong/0 - dimensi dikosongkan. ","")&amp;IF(AND($AU1091&lt;&gt;"",$AU1091&gt;=1000000),"Volume &gt;= 1.000.000 cm3 (di luar aturan) - dimensi dikosongkan. ","")&amp;IF(LEN($R1091)&gt;500,"R &gt; 500 karakter.","")))</f>
        <v/>
      </c>
      <c r="AS1091" t="str">
        <f>IFERROR(MATCH(ROW()-1,Calc!$J$2:$J$1601,0),"")</f>
        <v/>
      </c>
      <c r="AT1091" t="str">
        <f>IFERROR(MATCH(ROW()-1,Calc!$K$2:$K$1601,0),"")</f>
        <v/>
      </c>
      <c r="AU1091" t="str">
        <f>IF($AS1091="","",IFERROR(INDEX('TMP Paste'!$D$2:$D$1601,$AS1091)*1000000/$AB1091,""))</f>
        <v/>
      </c>
    </row>
    <row r="1092" spans="1:47">
      <c r="A1092" t="str">
        <f>IF($AS1092="","",INDEX('TMP Paste'!$B$2:$B$1601,$AS1092))</f>
        <v/>
      </c>
      <c r="B1092" t="str">
        <f>IF($AS1092="","",Config!$B$14)</f>
        <v/>
      </c>
      <c r="C1092" t="str">
        <f>IF($AS1092="","",Config!$B$15)</f>
        <v/>
      </c>
      <c r="D1092" t="str">
        <f>IF($AS1092="","",INDEX('TMP Paste'!$B$2:$B$1601,$AS1092))</f>
        <v/>
      </c>
      <c r="E1092" t="str">
        <f>IF($AS1092="","",Config!$B$27)</f>
        <v/>
      </c>
      <c r="F1092" t="str">
        <f>IF($AS1092="","",Config!$B$9)</f>
        <v/>
      </c>
      <c r="G1092" t="str">
        <f>IF($AS1092="","",Config!$B$10)</f>
        <v/>
      </c>
      <c r="H1092" t="str">
        <f>IF($AS1092="","",Config!$B$11)</f>
        <v/>
      </c>
      <c r="I1092" t="str">
        <f>IF($AS1092="","",Config!$B$16)</f>
        <v/>
      </c>
      <c r="J1092" t="str">
        <f>IF($AS1092="","",INDEX('TMP Paste'!$A$2:$A$1601,$AS1092))</f>
        <v/>
      </c>
      <c r="K1092" t="str">
        <f>IF($AS1092="","",INDEX('TMP Paste'!$L$2:$L$1601,$AS1092))</f>
        <v/>
      </c>
      <c r="L1092" t="str">
        <f>IF($AS1092="","",INDEX('TMP Paste'!$I$2:$I$1601,$AS1092))</f>
        <v/>
      </c>
      <c r="M1092" t="str">
        <f>IF($AS1092="","",Config!$B$16)</f>
        <v/>
      </c>
      <c r="N1092" t="str">
        <f t="shared" si="102"/>
        <v/>
      </c>
      <c r="O1092" t="str">
        <f>IF($AS1092="","",INDEX('TMP Paste'!$K$2:$K$1601,$AS1092))</f>
        <v/>
      </c>
      <c r="P1092" t="str">
        <f t="shared" si="103"/>
        <v/>
      </c>
      <c r="Q1092" t="str">
        <f>IF($AS1092="","",INDEX('TMP Paste'!$J$2:$J$1601,$AS1092))</f>
        <v/>
      </c>
      <c r="R1092" t="str">
        <f>IF($AS1092="","",Config!$B$24)</f>
        <v/>
      </c>
      <c r="S1092" t="str">
        <f ca="1">IF($AS1092="","",TEXT(Config!$B$4,"yyyy-mm-dd"))</f>
        <v/>
      </c>
      <c r="T1092" t="str">
        <f>IF($AS1092="","",Config!$B$17)</f>
        <v/>
      </c>
      <c r="U1092" t="str">
        <f>IF($AS1092="","",Config!$B$18)</f>
        <v/>
      </c>
      <c r="V1092" t="str">
        <f>IF($AS1092="","",Config!$B$19)</f>
        <v/>
      </c>
      <c r="W1092" t="str">
        <f>IF($AS1092="","",INDEX('TMP Paste'!$C$2:$C$1601,$AS1092))</f>
        <v/>
      </c>
      <c r="X1092" t="str">
        <f>IF($AS1092="","",Config!$B$29)</f>
        <v/>
      </c>
      <c r="Y1092" t="str">
        <f>IF($AT1092="","",INDEX(Calc!$I$2:$I$1601,$AT1092)&amp;" - "&amp;INDEX(Calc!$D$2:$D$1601,$AT1092)&amp;" koli")</f>
        <v/>
      </c>
      <c r="Z1092" t="str">
        <f>IF($AS1092="","",Config!$B$21)</f>
        <v/>
      </c>
      <c r="AA1092" t="str">
        <f>IF($AS1092="","",Config!$B$22)</f>
        <v/>
      </c>
      <c r="AB1092" t="str">
        <f>IF($AT1092="","",INDEX(Calc!$D$2:$D$1601,$AT1092))</f>
        <v/>
      </c>
      <c r="AC1092" t="str">
        <f>IF($AT1092="","",INDEX(Calc!$G$2:$G$1601,$AT1092))</f>
        <v/>
      </c>
      <c r="AD1092" t="str">
        <f>IF($AS1092="","",Config!$B$23)</f>
        <v/>
      </c>
      <c r="AE1092" t="str">
        <f>IF($AS1092="","",Config!$B$28)</f>
        <v/>
      </c>
      <c r="AF1092" t="str">
        <f t="shared" si="104"/>
        <v/>
      </c>
      <c r="AG1092" t="str">
        <f t="shared" si="105"/>
        <v/>
      </c>
      <c r="AH1092" t="str">
        <f t="shared" si="106"/>
        <v/>
      </c>
      <c r="AI1092" t="str">
        <f>IF($AG1092="","",SUMIF($AG$2:$AG1092,$AG1092,$AH$2:$AH1092))</f>
        <v/>
      </c>
      <c r="AJ1092" t="str">
        <f>IF('TMP Paste'!$F1092="","",IF('TMP Paste'!$B1092="",$AJ1091,'TMP Paste'!$B1092))</f>
        <v/>
      </c>
      <c r="AK1092" t="str">
        <f>IF('TMP Paste'!$F1092="","",N('TMP Paste'!$G1092))</f>
        <v/>
      </c>
      <c r="AL1092" t="str">
        <f>IF('TMP Paste'!$F1092="","",IF('TMP Paste'!$M1092="",$AL1091,'TMP Paste'!$M1092))</f>
        <v/>
      </c>
      <c r="AM1092" t="str">
        <f>IF('TMP Paste'!$F1092="","",IF('TMP Paste'!$N1092="",$AM1091,'TMP Paste'!$N1092))</f>
        <v/>
      </c>
      <c r="AN1092" t="str">
        <f>IF('TMP Paste'!$F1092="","",IF('TMP Paste'!$O1092="",$AN1091,'TMP Paste'!$O1092))</f>
        <v/>
      </c>
      <c r="AO1092" t="str">
        <f>IF('TMP Paste'!$F1092="","",IF('TMP Paste'!$P1092="",$AO1091,'TMP Paste'!$P1092))</f>
        <v/>
      </c>
      <c r="AP1092" t="str">
        <f t="shared" si="107"/>
        <v/>
      </c>
      <c r="AQ1092" t="str">
        <f>IF($AS1092="","",TRIM(IF(COUNTIFS(Calc!$B$2:$B$1601,ROW()-1,Calc!$C$2:$C$1601,"&lt;1")&gt;0,"Ada PO tanpa Koli - cek TMP. ","")&amp;IF(OR($AU1092="",$AU1092&lt;=0),"Volume kosong/0 - dimensi dikosongkan. ","")&amp;IF(AND($AU1092&lt;&gt;"",$AU1092&gt;=1000000),"Volume &gt;= 1.000.000 cm3 (di luar aturan) - dimensi dikosongkan. ","")&amp;IF(LEN($R1092)&gt;500,"R &gt; 500 karakter.","")))</f>
        <v/>
      </c>
      <c r="AS1092" t="str">
        <f>IFERROR(MATCH(ROW()-1,Calc!$J$2:$J$1601,0),"")</f>
        <v/>
      </c>
      <c r="AT1092" t="str">
        <f>IFERROR(MATCH(ROW()-1,Calc!$K$2:$K$1601,0),"")</f>
        <v/>
      </c>
      <c r="AU1092" t="str">
        <f>IF($AS1092="","",IFERROR(INDEX('TMP Paste'!$D$2:$D$1601,$AS1092)*1000000/$AB1092,""))</f>
        <v/>
      </c>
    </row>
    <row r="1093" spans="1:47">
      <c r="A1093" t="str">
        <f>IF($AS1093="","",INDEX('TMP Paste'!$B$2:$B$1601,$AS1093))</f>
        <v/>
      </c>
      <c r="B1093" t="str">
        <f>IF($AS1093="","",Config!$B$14)</f>
        <v/>
      </c>
      <c r="C1093" t="str">
        <f>IF($AS1093="","",Config!$B$15)</f>
        <v/>
      </c>
      <c r="D1093" t="str">
        <f>IF($AS1093="","",INDEX('TMP Paste'!$B$2:$B$1601,$AS1093))</f>
        <v/>
      </c>
      <c r="E1093" t="str">
        <f>IF($AS1093="","",Config!$B$27)</f>
        <v/>
      </c>
      <c r="F1093" t="str">
        <f>IF($AS1093="","",Config!$B$9)</f>
        <v/>
      </c>
      <c r="G1093" t="str">
        <f>IF($AS1093="","",Config!$B$10)</f>
        <v/>
      </c>
      <c r="H1093" t="str">
        <f>IF($AS1093="","",Config!$B$11)</f>
        <v/>
      </c>
      <c r="I1093" t="str">
        <f>IF($AS1093="","",Config!$B$16)</f>
        <v/>
      </c>
      <c r="J1093" t="str">
        <f>IF($AS1093="","",INDEX('TMP Paste'!$A$2:$A$1601,$AS1093))</f>
        <v/>
      </c>
      <c r="K1093" t="str">
        <f>IF($AS1093="","",INDEX('TMP Paste'!$L$2:$L$1601,$AS1093))</f>
        <v/>
      </c>
      <c r="L1093" t="str">
        <f>IF($AS1093="","",INDEX('TMP Paste'!$I$2:$I$1601,$AS1093))</f>
        <v/>
      </c>
      <c r="M1093" t="str">
        <f>IF($AS1093="","",Config!$B$16)</f>
        <v/>
      </c>
      <c r="N1093" t="str">
        <f t="shared" si="102"/>
        <v/>
      </c>
      <c r="O1093" t="str">
        <f>IF($AS1093="","",INDEX('TMP Paste'!$K$2:$K$1601,$AS1093))</f>
        <v/>
      </c>
      <c r="P1093" t="str">
        <f t="shared" si="103"/>
        <v/>
      </c>
      <c r="Q1093" t="str">
        <f>IF($AS1093="","",INDEX('TMP Paste'!$J$2:$J$1601,$AS1093))</f>
        <v/>
      </c>
      <c r="R1093" t="str">
        <f>IF($AS1093="","",Config!$B$24)</f>
        <v/>
      </c>
      <c r="S1093" t="str">
        <f ca="1">IF($AS1093="","",TEXT(Config!$B$4,"yyyy-mm-dd"))</f>
        <v/>
      </c>
      <c r="T1093" t="str">
        <f>IF($AS1093="","",Config!$B$17)</f>
        <v/>
      </c>
      <c r="U1093" t="str">
        <f>IF($AS1093="","",Config!$B$18)</f>
        <v/>
      </c>
      <c r="V1093" t="str">
        <f>IF($AS1093="","",Config!$B$19)</f>
        <v/>
      </c>
      <c r="W1093" t="str">
        <f>IF($AS1093="","",INDEX('TMP Paste'!$C$2:$C$1601,$AS1093))</f>
        <v/>
      </c>
      <c r="X1093" t="str">
        <f>IF($AS1093="","",Config!$B$29)</f>
        <v/>
      </c>
      <c r="Y1093" t="str">
        <f>IF($AT1093="","",INDEX(Calc!$I$2:$I$1601,$AT1093)&amp;" - "&amp;INDEX(Calc!$D$2:$D$1601,$AT1093)&amp;" koli")</f>
        <v/>
      </c>
      <c r="Z1093" t="str">
        <f>IF($AS1093="","",Config!$B$21)</f>
        <v/>
      </c>
      <c r="AA1093" t="str">
        <f>IF($AS1093="","",Config!$B$22)</f>
        <v/>
      </c>
      <c r="AB1093" t="str">
        <f>IF($AT1093="","",INDEX(Calc!$D$2:$D$1601,$AT1093))</f>
        <v/>
      </c>
      <c r="AC1093" t="str">
        <f>IF($AT1093="","",INDEX(Calc!$G$2:$G$1601,$AT1093))</f>
        <v/>
      </c>
      <c r="AD1093" t="str">
        <f>IF($AS1093="","",Config!$B$23)</f>
        <v/>
      </c>
      <c r="AE1093" t="str">
        <f>IF($AS1093="","",Config!$B$28)</f>
        <v/>
      </c>
      <c r="AF1093" t="str">
        <f t="shared" si="104"/>
        <v/>
      </c>
      <c r="AG1093" t="str">
        <f t="shared" si="105"/>
        <v/>
      </c>
      <c r="AH1093" t="str">
        <f t="shared" si="106"/>
        <v/>
      </c>
      <c r="AI1093" t="str">
        <f>IF($AG1093="","",SUMIF($AG$2:$AG1093,$AG1093,$AH$2:$AH1093))</f>
        <v/>
      </c>
      <c r="AJ1093" t="str">
        <f>IF('TMP Paste'!$F1093="","",IF('TMP Paste'!$B1093="",$AJ1092,'TMP Paste'!$B1093))</f>
        <v/>
      </c>
      <c r="AK1093" t="str">
        <f>IF('TMP Paste'!$F1093="","",N('TMP Paste'!$G1093))</f>
        <v/>
      </c>
      <c r="AL1093" t="str">
        <f>IF('TMP Paste'!$F1093="","",IF('TMP Paste'!$M1093="",$AL1092,'TMP Paste'!$M1093))</f>
        <v/>
      </c>
      <c r="AM1093" t="str">
        <f>IF('TMP Paste'!$F1093="","",IF('TMP Paste'!$N1093="",$AM1092,'TMP Paste'!$N1093))</f>
        <v/>
      </c>
      <c r="AN1093" t="str">
        <f>IF('TMP Paste'!$F1093="","",IF('TMP Paste'!$O1093="",$AN1092,'TMP Paste'!$O1093))</f>
        <v/>
      </c>
      <c r="AO1093" t="str">
        <f>IF('TMP Paste'!$F1093="","",IF('TMP Paste'!$P1093="",$AO1092,'TMP Paste'!$P1093))</f>
        <v/>
      </c>
      <c r="AP1093" t="str">
        <f t="shared" si="107"/>
        <v/>
      </c>
      <c r="AQ1093" t="str">
        <f>IF($AS1093="","",TRIM(IF(COUNTIFS(Calc!$B$2:$B$1601,ROW()-1,Calc!$C$2:$C$1601,"&lt;1")&gt;0,"Ada PO tanpa Koli - cek TMP. ","")&amp;IF(OR($AU1093="",$AU1093&lt;=0),"Volume kosong/0 - dimensi dikosongkan. ","")&amp;IF(AND($AU1093&lt;&gt;"",$AU1093&gt;=1000000),"Volume &gt;= 1.000.000 cm3 (di luar aturan) - dimensi dikosongkan. ","")&amp;IF(LEN($R1093)&gt;500,"R &gt; 500 karakter.","")))</f>
        <v/>
      </c>
      <c r="AS1093" t="str">
        <f>IFERROR(MATCH(ROW()-1,Calc!$J$2:$J$1601,0),"")</f>
        <v/>
      </c>
      <c r="AT1093" t="str">
        <f>IFERROR(MATCH(ROW()-1,Calc!$K$2:$K$1601,0),"")</f>
        <v/>
      </c>
      <c r="AU1093" t="str">
        <f>IF($AS1093="","",IFERROR(INDEX('TMP Paste'!$D$2:$D$1601,$AS1093)*1000000/$AB1093,""))</f>
        <v/>
      </c>
    </row>
    <row r="1094" spans="1:47">
      <c r="A1094" t="str">
        <f>IF($AS1094="","",INDEX('TMP Paste'!$B$2:$B$1601,$AS1094))</f>
        <v/>
      </c>
      <c r="B1094" t="str">
        <f>IF($AS1094="","",Config!$B$14)</f>
        <v/>
      </c>
      <c r="C1094" t="str">
        <f>IF($AS1094="","",Config!$B$15)</f>
        <v/>
      </c>
      <c r="D1094" t="str">
        <f>IF($AS1094="","",INDEX('TMP Paste'!$B$2:$B$1601,$AS1094))</f>
        <v/>
      </c>
      <c r="E1094" t="str">
        <f>IF($AS1094="","",Config!$B$27)</f>
        <v/>
      </c>
      <c r="F1094" t="str">
        <f>IF($AS1094="","",Config!$B$9)</f>
        <v/>
      </c>
      <c r="G1094" t="str">
        <f>IF($AS1094="","",Config!$B$10)</f>
        <v/>
      </c>
      <c r="H1094" t="str">
        <f>IF($AS1094="","",Config!$B$11)</f>
        <v/>
      </c>
      <c r="I1094" t="str">
        <f>IF($AS1094="","",Config!$B$16)</f>
        <v/>
      </c>
      <c r="J1094" t="str">
        <f>IF($AS1094="","",INDEX('TMP Paste'!$A$2:$A$1601,$AS1094))</f>
        <v/>
      </c>
      <c r="K1094" t="str">
        <f>IF($AS1094="","",INDEX('TMP Paste'!$L$2:$L$1601,$AS1094))</f>
        <v/>
      </c>
      <c r="L1094" t="str">
        <f>IF($AS1094="","",INDEX('TMP Paste'!$I$2:$I$1601,$AS1094))</f>
        <v/>
      </c>
      <c r="M1094" t="str">
        <f>IF($AS1094="","",Config!$B$16)</f>
        <v/>
      </c>
      <c r="N1094" t="str">
        <f t="shared" si="102"/>
        <v/>
      </c>
      <c r="O1094" t="str">
        <f>IF($AS1094="","",INDEX('TMP Paste'!$K$2:$K$1601,$AS1094))</f>
        <v/>
      </c>
      <c r="P1094" t="str">
        <f t="shared" si="103"/>
        <v/>
      </c>
      <c r="Q1094" t="str">
        <f>IF($AS1094="","",INDEX('TMP Paste'!$J$2:$J$1601,$AS1094))</f>
        <v/>
      </c>
      <c r="R1094" t="str">
        <f>IF($AS1094="","",Config!$B$24)</f>
        <v/>
      </c>
      <c r="S1094" t="str">
        <f ca="1">IF($AS1094="","",TEXT(Config!$B$4,"yyyy-mm-dd"))</f>
        <v/>
      </c>
      <c r="T1094" t="str">
        <f>IF($AS1094="","",Config!$B$17)</f>
        <v/>
      </c>
      <c r="U1094" t="str">
        <f>IF($AS1094="","",Config!$B$18)</f>
        <v/>
      </c>
      <c r="V1094" t="str">
        <f>IF($AS1094="","",Config!$B$19)</f>
        <v/>
      </c>
      <c r="W1094" t="str">
        <f>IF($AS1094="","",INDEX('TMP Paste'!$C$2:$C$1601,$AS1094))</f>
        <v/>
      </c>
      <c r="X1094" t="str">
        <f>IF($AS1094="","",Config!$B$29)</f>
        <v/>
      </c>
      <c r="Y1094" t="str">
        <f>IF($AT1094="","",INDEX(Calc!$I$2:$I$1601,$AT1094)&amp;" - "&amp;INDEX(Calc!$D$2:$D$1601,$AT1094)&amp;" koli")</f>
        <v/>
      </c>
      <c r="Z1094" t="str">
        <f>IF($AS1094="","",Config!$B$21)</f>
        <v/>
      </c>
      <c r="AA1094" t="str">
        <f>IF($AS1094="","",Config!$B$22)</f>
        <v/>
      </c>
      <c r="AB1094" t="str">
        <f>IF($AT1094="","",INDEX(Calc!$D$2:$D$1601,$AT1094))</f>
        <v/>
      </c>
      <c r="AC1094" t="str">
        <f>IF($AT1094="","",INDEX(Calc!$G$2:$G$1601,$AT1094))</f>
        <v/>
      </c>
      <c r="AD1094" t="str">
        <f>IF($AS1094="","",Config!$B$23)</f>
        <v/>
      </c>
      <c r="AE1094" t="str">
        <f>IF($AS1094="","",Config!$B$28)</f>
        <v/>
      </c>
      <c r="AF1094" t="str">
        <f t="shared" si="104"/>
        <v/>
      </c>
      <c r="AG1094" t="str">
        <f t="shared" si="105"/>
        <v/>
      </c>
      <c r="AH1094" t="str">
        <f t="shared" si="106"/>
        <v/>
      </c>
      <c r="AI1094" t="str">
        <f>IF($AG1094="","",SUMIF($AG$2:$AG1094,$AG1094,$AH$2:$AH1094))</f>
        <v/>
      </c>
      <c r="AJ1094" t="str">
        <f>IF('TMP Paste'!$F1094="","",IF('TMP Paste'!$B1094="",$AJ1093,'TMP Paste'!$B1094))</f>
        <v/>
      </c>
      <c r="AK1094" t="str">
        <f>IF('TMP Paste'!$F1094="","",N('TMP Paste'!$G1094))</f>
        <v/>
      </c>
      <c r="AL1094" t="str">
        <f>IF('TMP Paste'!$F1094="","",IF('TMP Paste'!$M1094="",$AL1093,'TMP Paste'!$M1094))</f>
        <v/>
      </c>
      <c r="AM1094" t="str">
        <f>IF('TMP Paste'!$F1094="","",IF('TMP Paste'!$N1094="",$AM1093,'TMP Paste'!$N1094))</f>
        <v/>
      </c>
      <c r="AN1094" t="str">
        <f>IF('TMP Paste'!$F1094="","",IF('TMP Paste'!$O1094="",$AN1093,'TMP Paste'!$O1094))</f>
        <v/>
      </c>
      <c r="AO1094" t="str">
        <f>IF('TMP Paste'!$F1094="","",IF('TMP Paste'!$P1094="",$AO1093,'TMP Paste'!$P1094))</f>
        <v/>
      </c>
      <c r="AP1094" t="str">
        <f t="shared" si="107"/>
        <v/>
      </c>
      <c r="AQ1094" t="str">
        <f>IF($AS1094="","",TRIM(IF(COUNTIFS(Calc!$B$2:$B$1601,ROW()-1,Calc!$C$2:$C$1601,"&lt;1")&gt;0,"Ada PO tanpa Koli - cek TMP. ","")&amp;IF(OR($AU1094="",$AU1094&lt;=0),"Volume kosong/0 - dimensi dikosongkan. ","")&amp;IF(AND($AU1094&lt;&gt;"",$AU1094&gt;=1000000),"Volume &gt;= 1.000.000 cm3 (di luar aturan) - dimensi dikosongkan. ","")&amp;IF(LEN($R1094)&gt;500,"R &gt; 500 karakter.","")))</f>
        <v/>
      </c>
      <c r="AS1094" t="str">
        <f>IFERROR(MATCH(ROW()-1,Calc!$J$2:$J$1601,0),"")</f>
        <v/>
      </c>
      <c r="AT1094" t="str">
        <f>IFERROR(MATCH(ROW()-1,Calc!$K$2:$K$1601,0),"")</f>
        <v/>
      </c>
      <c r="AU1094" t="str">
        <f>IF($AS1094="","",IFERROR(INDEX('TMP Paste'!$D$2:$D$1601,$AS1094)*1000000/$AB1094,""))</f>
        <v/>
      </c>
    </row>
    <row r="1095" spans="1:47">
      <c r="A1095" t="str">
        <f>IF($AS1095="","",INDEX('TMP Paste'!$B$2:$B$1601,$AS1095))</f>
        <v/>
      </c>
      <c r="B1095" t="str">
        <f>IF($AS1095="","",Config!$B$14)</f>
        <v/>
      </c>
      <c r="C1095" t="str">
        <f>IF($AS1095="","",Config!$B$15)</f>
        <v/>
      </c>
      <c r="D1095" t="str">
        <f>IF($AS1095="","",INDEX('TMP Paste'!$B$2:$B$1601,$AS1095))</f>
        <v/>
      </c>
      <c r="E1095" t="str">
        <f>IF($AS1095="","",Config!$B$27)</f>
        <v/>
      </c>
      <c r="F1095" t="str">
        <f>IF($AS1095="","",Config!$B$9)</f>
        <v/>
      </c>
      <c r="G1095" t="str">
        <f>IF($AS1095="","",Config!$B$10)</f>
        <v/>
      </c>
      <c r="H1095" t="str">
        <f>IF($AS1095="","",Config!$B$11)</f>
        <v/>
      </c>
      <c r="I1095" t="str">
        <f>IF($AS1095="","",Config!$B$16)</f>
        <v/>
      </c>
      <c r="J1095" t="str">
        <f>IF($AS1095="","",INDEX('TMP Paste'!$A$2:$A$1601,$AS1095))</f>
        <v/>
      </c>
      <c r="K1095" t="str">
        <f>IF($AS1095="","",INDEX('TMP Paste'!$L$2:$L$1601,$AS1095))</f>
        <v/>
      </c>
      <c r="L1095" t="str">
        <f>IF($AS1095="","",INDEX('TMP Paste'!$I$2:$I$1601,$AS1095))</f>
        <v/>
      </c>
      <c r="M1095" t="str">
        <f>IF($AS1095="","",Config!$B$16)</f>
        <v/>
      </c>
      <c r="N1095" t="str">
        <f t="shared" si="102"/>
        <v/>
      </c>
      <c r="O1095" t="str">
        <f>IF($AS1095="","",INDEX('TMP Paste'!$K$2:$K$1601,$AS1095))</f>
        <v/>
      </c>
      <c r="P1095" t="str">
        <f t="shared" si="103"/>
        <v/>
      </c>
      <c r="Q1095" t="str">
        <f>IF($AS1095="","",INDEX('TMP Paste'!$J$2:$J$1601,$AS1095))</f>
        <v/>
      </c>
      <c r="R1095" t="str">
        <f>IF($AS1095="","",Config!$B$24)</f>
        <v/>
      </c>
      <c r="S1095" t="str">
        <f ca="1">IF($AS1095="","",TEXT(Config!$B$4,"yyyy-mm-dd"))</f>
        <v/>
      </c>
      <c r="T1095" t="str">
        <f>IF($AS1095="","",Config!$B$17)</f>
        <v/>
      </c>
      <c r="U1095" t="str">
        <f>IF($AS1095="","",Config!$B$18)</f>
        <v/>
      </c>
      <c r="V1095" t="str">
        <f>IF($AS1095="","",Config!$B$19)</f>
        <v/>
      </c>
      <c r="W1095" t="str">
        <f>IF($AS1095="","",INDEX('TMP Paste'!$C$2:$C$1601,$AS1095))</f>
        <v/>
      </c>
      <c r="X1095" t="str">
        <f>IF($AS1095="","",Config!$B$29)</f>
        <v/>
      </c>
      <c r="Y1095" t="str">
        <f>IF($AT1095="","",INDEX(Calc!$I$2:$I$1601,$AT1095)&amp;" - "&amp;INDEX(Calc!$D$2:$D$1601,$AT1095)&amp;" koli")</f>
        <v/>
      </c>
      <c r="Z1095" t="str">
        <f>IF($AS1095="","",Config!$B$21)</f>
        <v/>
      </c>
      <c r="AA1095" t="str">
        <f>IF($AS1095="","",Config!$B$22)</f>
        <v/>
      </c>
      <c r="AB1095" t="str">
        <f>IF($AT1095="","",INDEX(Calc!$D$2:$D$1601,$AT1095))</f>
        <v/>
      </c>
      <c r="AC1095" t="str">
        <f>IF($AT1095="","",INDEX(Calc!$G$2:$G$1601,$AT1095))</f>
        <v/>
      </c>
      <c r="AD1095" t="str">
        <f>IF($AS1095="","",Config!$B$23)</f>
        <v/>
      </c>
      <c r="AE1095" t="str">
        <f>IF($AS1095="","",Config!$B$28)</f>
        <v/>
      </c>
      <c r="AF1095" t="str">
        <f t="shared" si="104"/>
        <v/>
      </c>
      <c r="AG1095" t="str">
        <f t="shared" si="105"/>
        <v/>
      </c>
      <c r="AH1095" t="str">
        <f t="shared" si="106"/>
        <v/>
      </c>
      <c r="AI1095" t="str">
        <f>IF($AG1095="","",SUMIF($AG$2:$AG1095,$AG1095,$AH$2:$AH1095))</f>
        <v/>
      </c>
      <c r="AJ1095" t="str">
        <f>IF('TMP Paste'!$F1095="","",IF('TMP Paste'!$B1095="",$AJ1094,'TMP Paste'!$B1095))</f>
        <v/>
      </c>
      <c r="AK1095" t="str">
        <f>IF('TMP Paste'!$F1095="","",N('TMP Paste'!$G1095))</f>
        <v/>
      </c>
      <c r="AL1095" t="str">
        <f>IF('TMP Paste'!$F1095="","",IF('TMP Paste'!$M1095="",$AL1094,'TMP Paste'!$M1095))</f>
        <v/>
      </c>
      <c r="AM1095" t="str">
        <f>IF('TMP Paste'!$F1095="","",IF('TMP Paste'!$N1095="",$AM1094,'TMP Paste'!$N1095))</f>
        <v/>
      </c>
      <c r="AN1095" t="str">
        <f>IF('TMP Paste'!$F1095="","",IF('TMP Paste'!$O1095="",$AN1094,'TMP Paste'!$O1095))</f>
        <v/>
      </c>
      <c r="AO1095" t="str">
        <f>IF('TMP Paste'!$F1095="","",IF('TMP Paste'!$P1095="",$AO1094,'TMP Paste'!$P1095))</f>
        <v/>
      </c>
      <c r="AP1095" t="str">
        <f t="shared" si="107"/>
        <v/>
      </c>
      <c r="AQ1095" t="str">
        <f>IF($AS1095="","",TRIM(IF(COUNTIFS(Calc!$B$2:$B$1601,ROW()-1,Calc!$C$2:$C$1601,"&lt;1")&gt;0,"Ada PO tanpa Koli - cek TMP. ","")&amp;IF(OR($AU1095="",$AU1095&lt;=0),"Volume kosong/0 - dimensi dikosongkan. ","")&amp;IF(AND($AU1095&lt;&gt;"",$AU1095&gt;=1000000),"Volume &gt;= 1.000.000 cm3 (di luar aturan) - dimensi dikosongkan. ","")&amp;IF(LEN($R1095)&gt;500,"R &gt; 500 karakter.","")))</f>
        <v/>
      </c>
      <c r="AS1095" t="str">
        <f>IFERROR(MATCH(ROW()-1,Calc!$J$2:$J$1601,0),"")</f>
        <v/>
      </c>
      <c r="AT1095" t="str">
        <f>IFERROR(MATCH(ROW()-1,Calc!$K$2:$K$1601,0),"")</f>
        <v/>
      </c>
      <c r="AU1095" t="str">
        <f>IF($AS1095="","",IFERROR(INDEX('TMP Paste'!$D$2:$D$1601,$AS1095)*1000000/$AB1095,""))</f>
        <v/>
      </c>
    </row>
    <row r="1096" spans="1:47">
      <c r="A1096" t="str">
        <f>IF($AS1096="","",INDEX('TMP Paste'!$B$2:$B$1601,$AS1096))</f>
        <v/>
      </c>
      <c r="B1096" t="str">
        <f>IF($AS1096="","",Config!$B$14)</f>
        <v/>
      </c>
      <c r="C1096" t="str">
        <f>IF($AS1096="","",Config!$B$15)</f>
        <v/>
      </c>
      <c r="D1096" t="str">
        <f>IF($AS1096="","",INDEX('TMP Paste'!$B$2:$B$1601,$AS1096))</f>
        <v/>
      </c>
      <c r="E1096" t="str">
        <f>IF($AS1096="","",Config!$B$27)</f>
        <v/>
      </c>
      <c r="F1096" t="str">
        <f>IF($AS1096="","",Config!$B$9)</f>
        <v/>
      </c>
      <c r="G1096" t="str">
        <f>IF($AS1096="","",Config!$B$10)</f>
        <v/>
      </c>
      <c r="H1096" t="str">
        <f>IF($AS1096="","",Config!$B$11)</f>
        <v/>
      </c>
      <c r="I1096" t="str">
        <f>IF($AS1096="","",Config!$B$16)</f>
        <v/>
      </c>
      <c r="J1096" t="str">
        <f>IF($AS1096="","",INDEX('TMP Paste'!$A$2:$A$1601,$AS1096))</f>
        <v/>
      </c>
      <c r="K1096" t="str">
        <f>IF($AS1096="","",INDEX('TMP Paste'!$L$2:$L$1601,$AS1096))</f>
        <v/>
      </c>
      <c r="L1096" t="str">
        <f>IF($AS1096="","",INDEX('TMP Paste'!$I$2:$I$1601,$AS1096))</f>
        <v/>
      </c>
      <c r="M1096" t="str">
        <f>IF($AS1096="","",Config!$B$16)</f>
        <v/>
      </c>
      <c r="N1096" t="str">
        <f t="shared" si="102"/>
        <v/>
      </c>
      <c r="O1096" t="str">
        <f>IF($AS1096="","",INDEX('TMP Paste'!$K$2:$K$1601,$AS1096))</f>
        <v/>
      </c>
      <c r="P1096" t="str">
        <f t="shared" si="103"/>
        <v/>
      </c>
      <c r="Q1096" t="str">
        <f>IF($AS1096="","",INDEX('TMP Paste'!$J$2:$J$1601,$AS1096))</f>
        <v/>
      </c>
      <c r="R1096" t="str">
        <f>IF($AS1096="","",Config!$B$24)</f>
        <v/>
      </c>
      <c r="S1096" t="str">
        <f ca="1">IF($AS1096="","",TEXT(Config!$B$4,"yyyy-mm-dd"))</f>
        <v/>
      </c>
      <c r="T1096" t="str">
        <f>IF($AS1096="","",Config!$B$17)</f>
        <v/>
      </c>
      <c r="U1096" t="str">
        <f>IF($AS1096="","",Config!$B$18)</f>
        <v/>
      </c>
      <c r="V1096" t="str">
        <f>IF($AS1096="","",Config!$B$19)</f>
        <v/>
      </c>
      <c r="W1096" t="str">
        <f>IF($AS1096="","",INDEX('TMP Paste'!$C$2:$C$1601,$AS1096))</f>
        <v/>
      </c>
      <c r="X1096" t="str">
        <f>IF($AS1096="","",Config!$B$29)</f>
        <v/>
      </c>
      <c r="Y1096" t="str">
        <f>IF($AT1096="","",INDEX(Calc!$I$2:$I$1601,$AT1096)&amp;" - "&amp;INDEX(Calc!$D$2:$D$1601,$AT1096)&amp;" koli")</f>
        <v/>
      </c>
      <c r="Z1096" t="str">
        <f>IF($AS1096="","",Config!$B$21)</f>
        <v/>
      </c>
      <c r="AA1096" t="str">
        <f>IF($AS1096="","",Config!$B$22)</f>
        <v/>
      </c>
      <c r="AB1096" t="str">
        <f>IF($AT1096="","",INDEX(Calc!$D$2:$D$1601,$AT1096))</f>
        <v/>
      </c>
      <c r="AC1096" t="str">
        <f>IF($AT1096="","",INDEX(Calc!$G$2:$G$1601,$AT1096))</f>
        <v/>
      </c>
      <c r="AD1096" t="str">
        <f>IF($AS1096="","",Config!$B$23)</f>
        <v/>
      </c>
      <c r="AE1096" t="str">
        <f>IF($AS1096="","",Config!$B$28)</f>
        <v/>
      </c>
      <c r="AF1096" t="str">
        <f t="shared" si="104"/>
        <v/>
      </c>
      <c r="AG1096" t="str">
        <f t="shared" si="105"/>
        <v/>
      </c>
      <c r="AH1096" t="str">
        <f t="shared" si="106"/>
        <v/>
      </c>
      <c r="AI1096" t="str">
        <f>IF($AG1096="","",SUMIF($AG$2:$AG1096,$AG1096,$AH$2:$AH1096))</f>
        <v/>
      </c>
      <c r="AJ1096" t="str">
        <f>IF('TMP Paste'!$F1096="","",IF('TMP Paste'!$B1096="",$AJ1095,'TMP Paste'!$B1096))</f>
        <v/>
      </c>
      <c r="AK1096" t="str">
        <f>IF('TMP Paste'!$F1096="","",N('TMP Paste'!$G1096))</f>
        <v/>
      </c>
      <c r="AL1096" t="str">
        <f>IF('TMP Paste'!$F1096="","",IF('TMP Paste'!$M1096="",$AL1095,'TMP Paste'!$M1096))</f>
        <v/>
      </c>
      <c r="AM1096" t="str">
        <f>IF('TMP Paste'!$F1096="","",IF('TMP Paste'!$N1096="",$AM1095,'TMP Paste'!$N1096))</f>
        <v/>
      </c>
      <c r="AN1096" t="str">
        <f>IF('TMP Paste'!$F1096="","",IF('TMP Paste'!$O1096="",$AN1095,'TMP Paste'!$O1096))</f>
        <v/>
      </c>
      <c r="AO1096" t="str">
        <f>IF('TMP Paste'!$F1096="","",IF('TMP Paste'!$P1096="",$AO1095,'TMP Paste'!$P1096))</f>
        <v/>
      </c>
      <c r="AP1096" t="str">
        <f t="shared" si="107"/>
        <v/>
      </c>
      <c r="AQ1096" t="str">
        <f>IF($AS1096="","",TRIM(IF(COUNTIFS(Calc!$B$2:$B$1601,ROW()-1,Calc!$C$2:$C$1601,"&lt;1")&gt;0,"Ada PO tanpa Koli - cek TMP. ","")&amp;IF(OR($AU1096="",$AU1096&lt;=0),"Volume kosong/0 - dimensi dikosongkan. ","")&amp;IF(AND($AU1096&lt;&gt;"",$AU1096&gt;=1000000),"Volume &gt;= 1.000.000 cm3 (di luar aturan) - dimensi dikosongkan. ","")&amp;IF(LEN($R1096)&gt;500,"R &gt; 500 karakter.","")))</f>
        <v/>
      </c>
      <c r="AS1096" t="str">
        <f>IFERROR(MATCH(ROW()-1,Calc!$J$2:$J$1601,0),"")</f>
        <v/>
      </c>
      <c r="AT1096" t="str">
        <f>IFERROR(MATCH(ROW()-1,Calc!$K$2:$K$1601,0),"")</f>
        <v/>
      </c>
      <c r="AU1096" t="str">
        <f>IF($AS1096="","",IFERROR(INDEX('TMP Paste'!$D$2:$D$1601,$AS1096)*1000000/$AB1096,""))</f>
        <v/>
      </c>
    </row>
    <row r="1097" spans="1:47">
      <c r="A1097" t="str">
        <f>IF($AS1097="","",INDEX('TMP Paste'!$B$2:$B$1601,$AS1097))</f>
        <v/>
      </c>
      <c r="B1097" t="str">
        <f>IF($AS1097="","",Config!$B$14)</f>
        <v/>
      </c>
      <c r="C1097" t="str">
        <f>IF($AS1097="","",Config!$B$15)</f>
        <v/>
      </c>
      <c r="D1097" t="str">
        <f>IF($AS1097="","",INDEX('TMP Paste'!$B$2:$B$1601,$AS1097))</f>
        <v/>
      </c>
      <c r="E1097" t="str">
        <f>IF($AS1097="","",Config!$B$27)</f>
        <v/>
      </c>
      <c r="F1097" t="str">
        <f>IF($AS1097="","",Config!$B$9)</f>
        <v/>
      </c>
      <c r="G1097" t="str">
        <f>IF($AS1097="","",Config!$B$10)</f>
        <v/>
      </c>
      <c r="H1097" t="str">
        <f>IF($AS1097="","",Config!$B$11)</f>
        <v/>
      </c>
      <c r="I1097" t="str">
        <f>IF($AS1097="","",Config!$B$16)</f>
        <v/>
      </c>
      <c r="J1097" t="str">
        <f>IF($AS1097="","",INDEX('TMP Paste'!$A$2:$A$1601,$AS1097))</f>
        <v/>
      </c>
      <c r="K1097" t="str">
        <f>IF($AS1097="","",INDEX('TMP Paste'!$L$2:$L$1601,$AS1097))</f>
        <v/>
      </c>
      <c r="L1097" t="str">
        <f>IF($AS1097="","",INDEX('TMP Paste'!$I$2:$I$1601,$AS1097))</f>
        <v/>
      </c>
      <c r="M1097" t="str">
        <f>IF($AS1097="","",Config!$B$16)</f>
        <v/>
      </c>
      <c r="N1097" t="str">
        <f t="shared" si="102"/>
        <v/>
      </c>
      <c r="O1097" t="str">
        <f>IF($AS1097="","",INDEX('TMP Paste'!$K$2:$K$1601,$AS1097))</f>
        <v/>
      </c>
      <c r="P1097" t="str">
        <f t="shared" si="103"/>
        <v/>
      </c>
      <c r="Q1097" t="str">
        <f>IF($AS1097="","",INDEX('TMP Paste'!$J$2:$J$1601,$AS1097))</f>
        <v/>
      </c>
      <c r="R1097" t="str">
        <f>IF($AS1097="","",Config!$B$24)</f>
        <v/>
      </c>
      <c r="S1097" t="str">
        <f ca="1">IF($AS1097="","",TEXT(Config!$B$4,"yyyy-mm-dd"))</f>
        <v/>
      </c>
      <c r="T1097" t="str">
        <f>IF($AS1097="","",Config!$B$17)</f>
        <v/>
      </c>
      <c r="U1097" t="str">
        <f>IF($AS1097="","",Config!$B$18)</f>
        <v/>
      </c>
      <c r="V1097" t="str">
        <f>IF($AS1097="","",Config!$B$19)</f>
        <v/>
      </c>
      <c r="W1097" t="str">
        <f>IF($AS1097="","",INDEX('TMP Paste'!$C$2:$C$1601,$AS1097))</f>
        <v/>
      </c>
      <c r="X1097" t="str">
        <f>IF($AS1097="","",Config!$B$29)</f>
        <v/>
      </c>
      <c r="Y1097" t="str">
        <f>IF($AT1097="","",INDEX(Calc!$I$2:$I$1601,$AT1097)&amp;" - "&amp;INDEX(Calc!$D$2:$D$1601,$AT1097)&amp;" koli")</f>
        <v/>
      </c>
      <c r="Z1097" t="str">
        <f>IF($AS1097="","",Config!$B$21)</f>
        <v/>
      </c>
      <c r="AA1097" t="str">
        <f>IF($AS1097="","",Config!$B$22)</f>
        <v/>
      </c>
      <c r="AB1097" t="str">
        <f>IF($AT1097="","",INDEX(Calc!$D$2:$D$1601,$AT1097))</f>
        <v/>
      </c>
      <c r="AC1097" t="str">
        <f>IF($AT1097="","",INDEX(Calc!$G$2:$G$1601,$AT1097))</f>
        <v/>
      </c>
      <c r="AD1097" t="str">
        <f>IF($AS1097="","",Config!$B$23)</f>
        <v/>
      </c>
      <c r="AE1097" t="str">
        <f>IF($AS1097="","",Config!$B$28)</f>
        <v/>
      </c>
      <c r="AF1097" t="str">
        <f t="shared" si="104"/>
        <v/>
      </c>
      <c r="AG1097" t="str">
        <f t="shared" si="105"/>
        <v/>
      </c>
      <c r="AH1097" t="str">
        <f t="shared" si="106"/>
        <v/>
      </c>
      <c r="AI1097" t="str">
        <f>IF($AG1097="","",SUMIF($AG$2:$AG1097,$AG1097,$AH$2:$AH1097))</f>
        <v/>
      </c>
      <c r="AJ1097" t="str">
        <f>IF('TMP Paste'!$F1097="","",IF('TMP Paste'!$B1097="",$AJ1096,'TMP Paste'!$B1097))</f>
        <v/>
      </c>
      <c r="AK1097" t="str">
        <f>IF('TMP Paste'!$F1097="","",N('TMP Paste'!$G1097))</f>
        <v/>
      </c>
      <c r="AL1097" t="str">
        <f>IF('TMP Paste'!$F1097="","",IF('TMP Paste'!$M1097="",$AL1096,'TMP Paste'!$M1097))</f>
        <v/>
      </c>
      <c r="AM1097" t="str">
        <f>IF('TMP Paste'!$F1097="","",IF('TMP Paste'!$N1097="",$AM1096,'TMP Paste'!$N1097))</f>
        <v/>
      </c>
      <c r="AN1097" t="str">
        <f>IF('TMP Paste'!$F1097="","",IF('TMP Paste'!$O1097="",$AN1096,'TMP Paste'!$O1097))</f>
        <v/>
      </c>
      <c r="AO1097" t="str">
        <f>IF('TMP Paste'!$F1097="","",IF('TMP Paste'!$P1097="",$AO1096,'TMP Paste'!$P1097))</f>
        <v/>
      </c>
      <c r="AP1097" t="str">
        <f t="shared" si="107"/>
        <v/>
      </c>
      <c r="AQ1097" t="str">
        <f>IF($AS1097="","",TRIM(IF(COUNTIFS(Calc!$B$2:$B$1601,ROW()-1,Calc!$C$2:$C$1601,"&lt;1")&gt;0,"Ada PO tanpa Koli - cek TMP. ","")&amp;IF(OR($AU1097="",$AU1097&lt;=0),"Volume kosong/0 - dimensi dikosongkan. ","")&amp;IF(AND($AU1097&lt;&gt;"",$AU1097&gt;=1000000),"Volume &gt;= 1.000.000 cm3 (di luar aturan) - dimensi dikosongkan. ","")&amp;IF(LEN($R1097)&gt;500,"R &gt; 500 karakter.","")))</f>
        <v/>
      </c>
      <c r="AS1097" t="str">
        <f>IFERROR(MATCH(ROW()-1,Calc!$J$2:$J$1601,0),"")</f>
        <v/>
      </c>
      <c r="AT1097" t="str">
        <f>IFERROR(MATCH(ROW()-1,Calc!$K$2:$K$1601,0),"")</f>
        <v/>
      </c>
      <c r="AU1097" t="str">
        <f>IF($AS1097="","",IFERROR(INDEX('TMP Paste'!$D$2:$D$1601,$AS1097)*1000000/$AB1097,""))</f>
        <v/>
      </c>
    </row>
    <row r="1098" spans="1:47">
      <c r="A1098" t="str">
        <f>IF($AS1098="","",INDEX('TMP Paste'!$B$2:$B$1601,$AS1098))</f>
        <v/>
      </c>
      <c r="B1098" t="str">
        <f>IF($AS1098="","",Config!$B$14)</f>
        <v/>
      </c>
      <c r="C1098" t="str">
        <f>IF($AS1098="","",Config!$B$15)</f>
        <v/>
      </c>
      <c r="D1098" t="str">
        <f>IF($AS1098="","",INDEX('TMP Paste'!$B$2:$B$1601,$AS1098))</f>
        <v/>
      </c>
      <c r="E1098" t="str">
        <f>IF($AS1098="","",Config!$B$27)</f>
        <v/>
      </c>
      <c r="F1098" t="str">
        <f>IF($AS1098="","",Config!$B$9)</f>
        <v/>
      </c>
      <c r="G1098" t="str">
        <f>IF($AS1098="","",Config!$B$10)</f>
        <v/>
      </c>
      <c r="H1098" t="str">
        <f>IF($AS1098="","",Config!$B$11)</f>
        <v/>
      </c>
      <c r="I1098" t="str">
        <f>IF($AS1098="","",Config!$B$16)</f>
        <v/>
      </c>
      <c r="J1098" t="str">
        <f>IF($AS1098="","",INDEX('TMP Paste'!$A$2:$A$1601,$AS1098))</f>
        <v/>
      </c>
      <c r="K1098" t="str">
        <f>IF($AS1098="","",INDEX('TMP Paste'!$L$2:$L$1601,$AS1098))</f>
        <v/>
      </c>
      <c r="L1098" t="str">
        <f>IF($AS1098="","",INDEX('TMP Paste'!$I$2:$I$1601,$AS1098))</f>
        <v/>
      </c>
      <c r="M1098" t="str">
        <f>IF($AS1098="","",Config!$B$16)</f>
        <v/>
      </c>
      <c r="N1098" t="str">
        <f t="shared" si="102"/>
        <v/>
      </c>
      <c r="O1098" t="str">
        <f>IF($AS1098="","",INDEX('TMP Paste'!$K$2:$K$1601,$AS1098))</f>
        <v/>
      </c>
      <c r="P1098" t="str">
        <f t="shared" si="103"/>
        <v/>
      </c>
      <c r="Q1098" t="str">
        <f>IF($AS1098="","",INDEX('TMP Paste'!$J$2:$J$1601,$AS1098))</f>
        <v/>
      </c>
      <c r="R1098" t="str">
        <f>IF($AS1098="","",Config!$B$24)</f>
        <v/>
      </c>
      <c r="S1098" t="str">
        <f ca="1">IF($AS1098="","",TEXT(Config!$B$4,"yyyy-mm-dd"))</f>
        <v/>
      </c>
      <c r="T1098" t="str">
        <f>IF($AS1098="","",Config!$B$17)</f>
        <v/>
      </c>
      <c r="U1098" t="str">
        <f>IF($AS1098="","",Config!$B$18)</f>
        <v/>
      </c>
      <c r="V1098" t="str">
        <f>IF($AS1098="","",Config!$B$19)</f>
        <v/>
      </c>
      <c r="W1098" t="str">
        <f>IF($AS1098="","",INDEX('TMP Paste'!$C$2:$C$1601,$AS1098))</f>
        <v/>
      </c>
      <c r="X1098" t="str">
        <f>IF($AS1098="","",Config!$B$29)</f>
        <v/>
      </c>
      <c r="Y1098" t="str">
        <f>IF($AT1098="","",INDEX(Calc!$I$2:$I$1601,$AT1098)&amp;" - "&amp;INDEX(Calc!$D$2:$D$1601,$AT1098)&amp;" koli")</f>
        <v/>
      </c>
      <c r="Z1098" t="str">
        <f>IF($AS1098="","",Config!$B$21)</f>
        <v/>
      </c>
      <c r="AA1098" t="str">
        <f>IF($AS1098="","",Config!$B$22)</f>
        <v/>
      </c>
      <c r="AB1098" t="str">
        <f>IF($AT1098="","",INDEX(Calc!$D$2:$D$1601,$AT1098))</f>
        <v/>
      </c>
      <c r="AC1098" t="str">
        <f>IF($AT1098="","",INDEX(Calc!$G$2:$G$1601,$AT1098))</f>
        <v/>
      </c>
      <c r="AD1098" t="str">
        <f>IF($AS1098="","",Config!$B$23)</f>
        <v/>
      </c>
      <c r="AE1098" t="str">
        <f>IF($AS1098="","",Config!$B$28)</f>
        <v/>
      </c>
      <c r="AF1098" t="str">
        <f t="shared" si="104"/>
        <v/>
      </c>
      <c r="AG1098" t="str">
        <f t="shared" si="105"/>
        <v/>
      </c>
      <c r="AH1098" t="str">
        <f t="shared" si="106"/>
        <v/>
      </c>
      <c r="AI1098" t="str">
        <f>IF($AG1098="","",SUMIF($AG$2:$AG1098,$AG1098,$AH$2:$AH1098))</f>
        <v/>
      </c>
      <c r="AJ1098" t="str">
        <f>IF('TMP Paste'!$F1098="","",IF('TMP Paste'!$B1098="",$AJ1097,'TMP Paste'!$B1098))</f>
        <v/>
      </c>
      <c r="AK1098" t="str">
        <f>IF('TMP Paste'!$F1098="","",N('TMP Paste'!$G1098))</f>
        <v/>
      </c>
      <c r="AL1098" t="str">
        <f>IF('TMP Paste'!$F1098="","",IF('TMP Paste'!$M1098="",$AL1097,'TMP Paste'!$M1098))</f>
        <v/>
      </c>
      <c r="AM1098" t="str">
        <f>IF('TMP Paste'!$F1098="","",IF('TMP Paste'!$N1098="",$AM1097,'TMP Paste'!$N1098))</f>
        <v/>
      </c>
      <c r="AN1098" t="str">
        <f>IF('TMP Paste'!$F1098="","",IF('TMP Paste'!$O1098="",$AN1097,'TMP Paste'!$O1098))</f>
        <v/>
      </c>
      <c r="AO1098" t="str">
        <f>IF('TMP Paste'!$F1098="","",IF('TMP Paste'!$P1098="",$AO1097,'TMP Paste'!$P1098))</f>
        <v/>
      </c>
      <c r="AP1098" t="str">
        <f t="shared" si="107"/>
        <v/>
      </c>
      <c r="AQ1098" t="str">
        <f>IF($AS1098="","",TRIM(IF(COUNTIFS(Calc!$B$2:$B$1601,ROW()-1,Calc!$C$2:$C$1601,"&lt;1")&gt;0,"Ada PO tanpa Koli - cek TMP. ","")&amp;IF(OR($AU1098="",$AU1098&lt;=0),"Volume kosong/0 - dimensi dikosongkan. ","")&amp;IF(AND($AU1098&lt;&gt;"",$AU1098&gt;=1000000),"Volume &gt;= 1.000.000 cm3 (di luar aturan) - dimensi dikosongkan. ","")&amp;IF(LEN($R1098)&gt;500,"R &gt; 500 karakter.","")))</f>
        <v/>
      </c>
      <c r="AS1098" t="str">
        <f>IFERROR(MATCH(ROW()-1,Calc!$J$2:$J$1601,0),"")</f>
        <v/>
      </c>
      <c r="AT1098" t="str">
        <f>IFERROR(MATCH(ROW()-1,Calc!$K$2:$K$1601,0),"")</f>
        <v/>
      </c>
      <c r="AU1098" t="str">
        <f>IF($AS1098="","",IFERROR(INDEX('TMP Paste'!$D$2:$D$1601,$AS1098)*1000000/$AB1098,""))</f>
        <v/>
      </c>
    </row>
    <row r="1099" spans="1:47">
      <c r="A1099" t="str">
        <f>IF($AS1099="","",INDEX('TMP Paste'!$B$2:$B$1601,$AS1099))</f>
        <v/>
      </c>
      <c r="B1099" t="str">
        <f>IF($AS1099="","",Config!$B$14)</f>
        <v/>
      </c>
      <c r="C1099" t="str">
        <f>IF($AS1099="","",Config!$B$15)</f>
        <v/>
      </c>
      <c r="D1099" t="str">
        <f>IF($AS1099="","",INDEX('TMP Paste'!$B$2:$B$1601,$AS1099))</f>
        <v/>
      </c>
      <c r="E1099" t="str">
        <f>IF($AS1099="","",Config!$B$27)</f>
        <v/>
      </c>
      <c r="F1099" t="str">
        <f>IF($AS1099="","",Config!$B$9)</f>
        <v/>
      </c>
      <c r="G1099" t="str">
        <f>IF($AS1099="","",Config!$B$10)</f>
        <v/>
      </c>
      <c r="H1099" t="str">
        <f>IF($AS1099="","",Config!$B$11)</f>
        <v/>
      </c>
      <c r="I1099" t="str">
        <f>IF($AS1099="","",Config!$B$16)</f>
        <v/>
      </c>
      <c r="J1099" t="str">
        <f>IF($AS1099="","",INDEX('TMP Paste'!$A$2:$A$1601,$AS1099))</f>
        <v/>
      </c>
      <c r="K1099" t="str">
        <f>IF($AS1099="","",INDEX('TMP Paste'!$L$2:$L$1601,$AS1099))</f>
        <v/>
      </c>
      <c r="L1099" t="str">
        <f>IF($AS1099="","",INDEX('TMP Paste'!$I$2:$I$1601,$AS1099))</f>
        <v/>
      </c>
      <c r="M1099" t="str">
        <f>IF($AS1099="","",Config!$B$16)</f>
        <v/>
      </c>
      <c r="N1099" t="str">
        <f t="shared" si="102"/>
        <v/>
      </c>
      <c r="O1099" t="str">
        <f>IF($AS1099="","",INDEX('TMP Paste'!$K$2:$K$1601,$AS1099))</f>
        <v/>
      </c>
      <c r="P1099" t="str">
        <f t="shared" si="103"/>
        <v/>
      </c>
      <c r="Q1099" t="str">
        <f>IF($AS1099="","",INDEX('TMP Paste'!$J$2:$J$1601,$AS1099))</f>
        <v/>
      </c>
      <c r="R1099" t="str">
        <f>IF($AS1099="","",Config!$B$24)</f>
        <v/>
      </c>
      <c r="S1099" t="str">
        <f ca="1">IF($AS1099="","",TEXT(Config!$B$4,"yyyy-mm-dd"))</f>
        <v/>
      </c>
      <c r="T1099" t="str">
        <f>IF($AS1099="","",Config!$B$17)</f>
        <v/>
      </c>
      <c r="U1099" t="str">
        <f>IF($AS1099="","",Config!$B$18)</f>
        <v/>
      </c>
      <c r="V1099" t="str">
        <f>IF($AS1099="","",Config!$B$19)</f>
        <v/>
      </c>
      <c r="W1099" t="str">
        <f>IF($AS1099="","",INDEX('TMP Paste'!$C$2:$C$1601,$AS1099))</f>
        <v/>
      </c>
      <c r="X1099" t="str">
        <f>IF($AS1099="","",Config!$B$29)</f>
        <v/>
      </c>
      <c r="Y1099" t="str">
        <f>IF($AT1099="","",INDEX(Calc!$I$2:$I$1601,$AT1099)&amp;" - "&amp;INDEX(Calc!$D$2:$D$1601,$AT1099)&amp;" koli")</f>
        <v/>
      </c>
      <c r="Z1099" t="str">
        <f>IF($AS1099="","",Config!$B$21)</f>
        <v/>
      </c>
      <c r="AA1099" t="str">
        <f>IF($AS1099="","",Config!$B$22)</f>
        <v/>
      </c>
      <c r="AB1099" t="str">
        <f>IF($AT1099="","",INDEX(Calc!$D$2:$D$1601,$AT1099))</f>
        <v/>
      </c>
      <c r="AC1099" t="str">
        <f>IF($AT1099="","",INDEX(Calc!$G$2:$G$1601,$AT1099))</f>
        <v/>
      </c>
      <c r="AD1099" t="str">
        <f>IF($AS1099="","",Config!$B$23)</f>
        <v/>
      </c>
      <c r="AE1099" t="str">
        <f>IF($AS1099="","",Config!$B$28)</f>
        <v/>
      </c>
      <c r="AF1099" t="str">
        <f t="shared" si="104"/>
        <v/>
      </c>
      <c r="AG1099" t="str">
        <f t="shared" si="105"/>
        <v/>
      </c>
      <c r="AH1099" t="str">
        <f t="shared" si="106"/>
        <v/>
      </c>
      <c r="AI1099" t="str">
        <f>IF($AG1099="","",SUMIF($AG$2:$AG1099,$AG1099,$AH$2:$AH1099))</f>
        <v/>
      </c>
      <c r="AJ1099" t="str">
        <f>IF('TMP Paste'!$F1099="","",IF('TMP Paste'!$B1099="",$AJ1098,'TMP Paste'!$B1099))</f>
        <v/>
      </c>
      <c r="AK1099" t="str">
        <f>IF('TMP Paste'!$F1099="","",N('TMP Paste'!$G1099))</f>
        <v/>
      </c>
      <c r="AL1099" t="str">
        <f>IF('TMP Paste'!$F1099="","",IF('TMP Paste'!$M1099="",$AL1098,'TMP Paste'!$M1099))</f>
        <v/>
      </c>
      <c r="AM1099" t="str">
        <f>IF('TMP Paste'!$F1099="","",IF('TMP Paste'!$N1099="",$AM1098,'TMP Paste'!$N1099))</f>
        <v/>
      </c>
      <c r="AN1099" t="str">
        <f>IF('TMP Paste'!$F1099="","",IF('TMP Paste'!$O1099="",$AN1098,'TMP Paste'!$O1099))</f>
        <v/>
      </c>
      <c r="AO1099" t="str">
        <f>IF('TMP Paste'!$F1099="","",IF('TMP Paste'!$P1099="",$AO1098,'TMP Paste'!$P1099))</f>
        <v/>
      </c>
      <c r="AP1099" t="str">
        <f t="shared" si="107"/>
        <v/>
      </c>
      <c r="AQ1099" t="str">
        <f>IF($AS1099="","",TRIM(IF(COUNTIFS(Calc!$B$2:$B$1601,ROW()-1,Calc!$C$2:$C$1601,"&lt;1")&gt;0,"Ada PO tanpa Koli - cek TMP. ","")&amp;IF(OR($AU1099="",$AU1099&lt;=0),"Volume kosong/0 - dimensi dikosongkan. ","")&amp;IF(AND($AU1099&lt;&gt;"",$AU1099&gt;=1000000),"Volume &gt;= 1.000.000 cm3 (di luar aturan) - dimensi dikosongkan. ","")&amp;IF(LEN($R1099)&gt;500,"R &gt; 500 karakter.","")))</f>
        <v/>
      </c>
      <c r="AS1099" t="str">
        <f>IFERROR(MATCH(ROW()-1,Calc!$J$2:$J$1601,0),"")</f>
        <v/>
      </c>
      <c r="AT1099" t="str">
        <f>IFERROR(MATCH(ROW()-1,Calc!$K$2:$K$1601,0),"")</f>
        <v/>
      </c>
      <c r="AU1099" t="str">
        <f>IF($AS1099="","",IFERROR(INDEX('TMP Paste'!$D$2:$D$1601,$AS1099)*1000000/$AB1099,""))</f>
        <v/>
      </c>
    </row>
    <row r="1100" spans="1:47">
      <c r="A1100" t="str">
        <f>IF($AS1100="","",INDEX('TMP Paste'!$B$2:$B$1601,$AS1100))</f>
        <v/>
      </c>
      <c r="B1100" t="str">
        <f>IF($AS1100="","",Config!$B$14)</f>
        <v/>
      </c>
      <c r="C1100" t="str">
        <f>IF($AS1100="","",Config!$B$15)</f>
        <v/>
      </c>
      <c r="D1100" t="str">
        <f>IF($AS1100="","",INDEX('TMP Paste'!$B$2:$B$1601,$AS1100))</f>
        <v/>
      </c>
      <c r="E1100" t="str">
        <f>IF($AS1100="","",Config!$B$27)</f>
        <v/>
      </c>
      <c r="F1100" t="str">
        <f>IF($AS1100="","",Config!$B$9)</f>
        <v/>
      </c>
      <c r="G1100" t="str">
        <f>IF($AS1100="","",Config!$B$10)</f>
        <v/>
      </c>
      <c r="H1100" t="str">
        <f>IF($AS1100="","",Config!$B$11)</f>
        <v/>
      </c>
      <c r="I1100" t="str">
        <f>IF($AS1100="","",Config!$B$16)</f>
        <v/>
      </c>
      <c r="J1100" t="str">
        <f>IF($AS1100="","",INDEX('TMP Paste'!$A$2:$A$1601,$AS1100))</f>
        <v/>
      </c>
      <c r="K1100" t="str">
        <f>IF($AS1100="","",INDEX('TMP Paste'!$L$2:$L$1601,$AS1100))</f>
        <v/>
      </c>
      <c r="L1100" t="str">
        <f>IF($AS1100="","",INDEX('TMP Paste'!$I$2:$I$1601,$AS1100))</f>
        <v/>
      </c>
      <c r="M1100" t="str">
        <f>IF($AS1100="","",Config!$B$16)</f>
        <v/>
      </c>
      <c r="N1100" t="str">
        <f t="shared" si="102"/>
        <v/>
      </c>
      <c r="O1100" t="str">
        <f>IF($AS1100="","",INDEX('TMP Paste'!$K$2:$K$1601,$AS1100))</f>
        <v/>
      </c>
      <c r="P1100" t="str">
        <f t="shared" si="103"/>
        <v/>
      </c>
      <c r="Q1100" t="str">
        <f>IF($AS1100="","",INDEX('TMP Paste'!$J$2:$J$1601,$AS1100))</f>
        <v/>
      </c>
      <c r="R1100" t="str">
        <f>IF($AS1100="","",Config!$B$24)</f>
        <v/>
      </c>
      <c r="S1100" t="str">
        <f ca="1">IF($AS1100="","",TEXT(Config!$B$4,"yyyy-mm-dd"))</f>
        <v/>
      </c>
      <c r="T1100" t="str">
        <f>IF($AS1100="","",Config!$B$17)</f>
        <v/>
      </c>
      <c r="U1100" t="str">
        <f>IF($AS1100="","",Config!$B$18)</f>
        <v/>
      </c>
      <c r="V1100" t="str">
        <f>IF($AS1100="","",Config!$B$19)</f>
        <v/>
      </c>
      <c r="W1100" t="str">
        <f>IF($AS1100="","",INDEX('TMP Paste'!$C$2:$C$1601,$AS1100))</f>
        <v/>
      </c>
      <c r="X1100" t="str">
        <f>IF($AS1100="","",Config!$B$29)</f>
        <v/>
      </c>
      <c r="Y1100" t="str">
        <f>IF($AT1100="","",INDEX(Calc!$I$2:$I$1601,$AT1100)&amp;" - "&amp;INDEX(Calc!$D$2:$D$1601,$AT1100)&amp;" koli")</f>
        <v/>
      </c>
      <c r="Z1100" t="str">
        <f>IF($AS1100="","",Config!$B$21)</f>
        <v/>
      </c>
      <c r="AA1100" t="str">
        <f>IF($AS1100="","",Config!$B$22)</f>
        <v/>
      </c>
      <c r="AB1100" t="str">
        <f>IF($AT1100="","",INDEX(Calc!$D$2:$D$1601,$AT1100))</f>
        <v/>
      </c>
      <c r="AC1100" t="str">
        <f>IF($AT1100="","",INDEX(Calc!$G$2:$G$1601,$AT1100))</f>
        <v/>
      </c>
      <c r="AD1100" t="str">
        <f>IF($AS1100="","",Config!$B$23)</f>
        <v/>
      </c>
      <c r="AE1100" t="str">
        <f>IF($AS1100="","",Config!$B$28)</f>
        <v/>
      </c>
      <c r="AF1100" t="str">
        <f t="shared" si="104"/>
        <v/>
      </c>
      <c r="AG1100" t="str">
        <f t="shared" si="105"/>
        <v/>
      </c>
      <c r="AH1100" t="str">
        <f t="shared" si="106"/>
        <v/>
      </c>
      <c r="AI1100" t="str">
        <f>IF($AG1100="","",SUMIF($AG$2:$AG1100,$AG1100,$AH$2:$AH1100))</f>
        <v/>
      </c>
      <c r="AJ1100" t="str">
        <f>IF('TMP Paste'!$F1100="","",IF('TMP Paste'!$B1100="",$AJ1099,'TMP Paste'!$B1100))</f>
        <v/>
      </c>
      <c r="AK1100" t="str">
        <f>IF('TMP Paste'!$F1100="","",N('TMP Paste'!$G1100))</f>
        <v/>
      </c>
      <c r="AL1100" t="str">
        <f>IF('TMP Paste'!$F1100="","",IF('TMP Paste'!$M1100="",$AL1099,'TMP Paste'!$M1100))</f>
        <v/>
      </c>
      <c r="AM1100" t="str">
        <f>IF('TMP Paste'!$F1100="","",IF('TMP Paste'!$N1100="",$AM1099,'TMP Paste'!$N1100))</f>
        <v/>
      </c>
      <c r="AN1100" t="str">
        <f>IF('TMP Paste'!$F1100="","",IF('TMP Paste'!$O1100="",$AN1099,'TMP Paste'!$O1100))</f>
        <v/>
      </c>
      <c r="AO1100" t="str">
        <f>IF('TMP Paste'!$F1100="","",IF('TMP Paste'!$P1100="",$AO1099,'TMP Paste'!$P1100))</f>
        <v/>
      </c>
      <c r="AP1100" t="str">
        <f t="shared" si="107"/>
        <v/>
      </c>
      <c r="AQ1100" t="str">
        <f>IF($AS1100="","",TRIM(IF(COUNTIFS(Calc!$B$2:$B$1601,ROW()-1,Calc!$C$2:$C$1601,"&lt;1")&gt;0,"Ada PO tanpa Koli - cek TMP. ","")&amp;IF(OR($AU1100="",$AU1100&lt;=0),"Volume kosong/0 - dimensi dikosongkan. ","")&amp;IF(AND($AU1100&lt;&gt;"",$AU1100&gt;=1000000),"Volume &gt;= 1.000.000 cm3 (di luar aturan) - dimensi dikosongkan. ","")&amp;IF(LEN($R1100)&gt;500,"R &gt; 500 karakter.","")))</f>
        <v/>
      </c>
      <c r="AS1100" t="str">
        <f>IFERROR(MATCH(ROW()-1,Calc!$J$2:$J$1601,0),"")</f>
        <v/>
      </c>
      <c r="AT1100" t="str">
        <f>IFERROR(MATCH(ROW()-1,Calc!$K$2:$K$1601,0),"")</f>
        <v/>
      </c>
      <c r="AU1100" t="str">
        <f>IF($AS1100="","",IFERROR(INDEX('TMP Paste'!$D$2:$D$1601,$AS1100)*1000000/$AB1100,""))</f>
        <v/>
      </c>
    </row>
    <row r="1101" spans="1:47">
      <c r="A1101" t="str">
        <f>IF($AS1101="","",INDEX('TMP Paste'!$B$2:$B$1601,$AS1101))</f>
        <v/>
      </c>
      <c r="B1101" t="str">
        <f>IF($AS1101="","",Config!$B$14)</f>
        <v/>
      </c>
      <c r="C1101" t="str">
        <f>IF($AS1101="","",Config!$B$15)</f>
        <v/>
      </c>
      <c r="D1101" t="str">
        <f>IF($AS1101="","",INDEX('TMP Paste'!$B$2:$B$1601,$AS1101))</f>
        <v/>
      </c>
      <c r="E1101" t="str">
        <f>IF($AS1101="","",Config!$B$27)</f>
        <v/>
      </c>
      <c r="F1101" t="str">
        <f>IF($AS1101="","",Config!$B$9)</f>
        <v/>
      </c>
      <c r="G1101" t="str">
        <f>IF($AS1101="","",Config!$B$10)</f>
        <v/>
      </c>
      <c r="H1101" t="str">
        <f>IF($AS1101="","",Config!$B$11)</f>
        <v/>
      </c>
      <c r="I1101" t="str">
        <f>IF($AS1101="","",Config!$B$16)</f>
        <v/>
      </c>
      <c r="J1101" t="str">
        <f>IF($AS1101="","",INDEX('TMP Paste'!$A$2:$A$1601,$AS1101))</f>
        <v/>
      </c>
      <c r="K1101" t="str">
        <f>IF($AS1101="","",INDEX('TMP Paste'!$L$2:$L$1601,$AS1101))</f>
        <v/>
      </c>
      <c r="L1101" t="str">
        <f>IF($AS1101="","",INDEX('TMP Paste'!$I$2:$I$1601,$AS1101))</f>
        <v/>
      </c>
      <c r="M1101" t="str">
        <f>IF($AS1101="","",Config!$B$16)</f>
        <v/>
      </c>
      <c r="N1101" t="str">
        <f t="shared" si="102"/>
        <v/>
      </c>
      <c r="O1101" t="str">
        <f>IF($AS1101="","",INDEX('TMP Paste'!$K$2:$K$1601,$AS1101))</f>
        <v/>
      </c>
      <c r="P1101" t="str">
        <f t="shared" si="103"/>
        <v/>
      </c>
      <c r="Q1101" t="str">
        <f>IF($AS1101="","",INDEX('TMP Paste'!$J$2:$J$1601,$AS1101))</f>
        <v/>
      </c>
      <c r="R1101" t="str">
        <f>IF($AS1101="","",Config!$B$24)</f>
        <v/>
      </c>
      <c r="S1101" t="str">
        <f ca="1">IF($AS1101="","",TEXT(Config!$B$4,"yyyy-mm-dd"))</f>
        <v/>
      </c>
      <c r="T1101" t="str">
        <f>IF($AS1101="","",Config!$B$17)</f>
        <v/>
      </c>
      <c r="U1101" t="str">
        <f>IF($AS1101="","",Config!$B$18)</f>
        <v/>
      </c>
      <c r="V1101" t="str">
        <f>IF($AS1101="","",Config!$B$19)</f>
        <v/>
      </c>
      <c r="W1101" t="str">
        <f>IF($AS1101="","",INDEX('TMP Paste'!$C$2:$C$1601,$AS1101))</f>
        <v/>
      </c>
      <c r="X1101" t="str">
        <f>IF($AS1101="","",Config!$B$29)</f>
        <v/>
      </c>
      <c r="Y1101" t="str">
        <f>IF($AT1101="","",INDEX(Calc!$I$2:$I$1601,$AT1101)&amp;" - "&amp;INDEX(Calc!$D$2:$D$1601,$AT1101)&amp;" koli")</f>
        <v/>
      </c>
      <c r="Z1101" t="str">
        <f>IF($AS1101="","",Config!$B$21)</f>
        <v/>
      </c>
      <c r="AA1101" t="str">
        <f>IF($AS1101="","",Config!$B$22)</f>
        <v/>
      </c>
      <c r="AB1101" t="str">
        <f>IF($AT1101="","",INDEX(Calc!$D$2:$D$1601,$AT1101))</f>
        <v/>
      </c>
      <c r="AC1101" t="str">
        <f>IF($AT1101="","",INDEX(Calc!$G$2:$G$1601,$AT1101))</f>
        <v/>
      </c>
      <c r="AD1101" t="str">
        <f>IF($AS1101="","",Config!$B$23)</f>
        <v/>
      </c>
      <c r="AE1101" t="str">
        <f>IF($AS1101="","",Config!$B$28)</f>
        <v/>
      </c>
      <c r="AF1101" t="str">
        <f t="shared" si="104"/>
        <v/>
      </c>
      <c r="AG1101" t="str">
        <f t="shared" si="105"/>
        <v/>
      </c>
      <c r="AH1101" t="str">
        <f t="shared" si="106"/>
        <v/>
      </c>
      <c r="AI1101" t="str">
        <f>IF($AG1101="","",SUMIF($AG$2:$AG1101,$AG1101,$AH$2:$AH1101))</f>
        <v/>
      </c>
      <c r="AJ1101" t="str">
        <f>IF('TMP Paste'!$F1101="","",IF('TMP Paste'!$B1101="",$AJ1100,'TMP Paste'!$B1101))</f>
        <v/>
      </c>
      <c r="AK1101" t="str">
        <f>IF('TMP Paste'!$F1101="","",N('TMP Paste'!$G1101))</f>
        <v/>
      </c>
      <c r="AL1101" t="str">
        <f>IF('TMP Paste'!$F1101="","",IF('TMP Paste'!$M1101="",$AL1100,'TMP Paste'!$M1101))</f>
        <v/>
      </c>
      <c r="AM1101" t="str">
        <f>IF('TMP Paste'!$F1101="","",IF('TMP Paste'!$N1101="",$AM1100,'TMP Paste'!$N1101))</f>
        <v/>
      </c>
      <c r="AN1101" t="str">
        <f>IF('TMP Paste'!$F1101="","",IF('TMP Paste'!$O1101="",$AN1100,'TMP Paste'!$O1101))</f>
        <v/>
      </c>
      <c r="AO1101" t="str">
        <f>IF('TMP Paste'!$F1101="","",IF('TMP Paste'!$P1101="",$AO1100,'TMP Paste'!$P1101))</f>
        <v/>
      </c>
      <c r="AP1101" t="str">
        <f t="shared" si="107"/>
        <v/>
      </c>
      <c r="AQ1101" t="str">
        <f>IF($AS1101="","",TRIM(IF(COUNTIFS(Calc!$B$2:$B$1601,ROW()-1,Calc!$C$2:$C$1601,"&lt;1")&gt;0,"Ada PO tanpa Koli - cek TMP. ","")&amp;IF(OR($AU1101="",$AU1101&lt;=0),"Volume kosong/0 - dimensi dikosongkan. ","")&amp;IF(AND($AU1101&lt;&gt;"",$AU1101&gt;=1000000),"Volume &gt;= 1.000.000 cm3 (di luar aturan) - dimensi dikosongkan. ","")&amp;IF(LEN($R1101)&gt;500,"R &gt; 500 karakter.","")))</f>
        <v/>
      </c>
      <c r="AS1101" t="str">
        <f>IFERROR(MATCH(ROW()-1,Calc!$J$2:$J$1601,0),"")</f>
        <v/>
      </c>
      <c r="AT1101" t="str">
        <f>IFERROR(MATCH(ROW()-1,Calc!$K$2:$K$1601,0),"")</f>
        <v/>
      </c>
      <c r="AU1101" t="str">
        <f>IF($AS1101="","",IFERROR(INDEX('TMP Paste'!$D$2:$D$1601,$AS1101)*1000000/$AB1101,""))</f>
        <v/>
      </c>
    </row>
    <row r="1102" spans="1:47">
      <c r="A1102" t="str">
        <f>IF($AS1102="","",INDEX('TMP Paste'!$B$2:$B$1601,$AS1102))</f>
        <v/>
      </c>
      <c r="B1102" t="str">
        <f>IF($AS1102="","",Config!$B$14)</f>
        <v/>
      </c>
      <c r="C1102" t="str">
        <f>IF($AS1102="","",Config!$B$15)</f>
        <v/>
      </c>
      <c r="D1102" t="str">
        <f>IF($AS1102="","",INDEX('TMP Paste'!$B$2:$B$1601,$AS1102))</f>
        <v/>
      </c>
      <c r="E1102" t="str">
        <f>IF($AS1102="","",Config!$B$27)</f>
        <v/>
      </c>
      <c r="F1102" t="str">
        <f>IF($AS1102="","",Config!$B$9)</f>
        <v/>
      </c>
      <c r="G1102" t="str">
        <f>IF($AS1102="","",Config!$B$10)</f>
        <v/>
      </c>
      <c r="H1102" t="str">
        <f>IF($AS1102="","",Config!$B$11)</f>
        <v/>
      </c>
      <c r="I1102" t="str">
        <f>IF($AS1102="","",Config!$B$16)</f>
        <v/>
      </c>
      <c r="J1102" t="str">
        <f>IF($AS1102="","",INDEX('TMP Paste'!$A$2:$A$1601,$AS1102))</f>
        <v/>
      </c>
      <c r="K1102" t="str">
        <f>IF($AS1102="","",INDEX('TMP Paste'!$L$2:$L$1601,$AS1102))</f>
        <v/>
      </c>
      <c r="L1102" t="str">
        <f>IF($AS1102="","",INDEX('TMP Paste'!$I$2:$I$1601,$AS1102))</f>
        <v/>
      </c>
      <c r="M1102" t="str">
        <f>IF($AS1102="","",Config!$B$16)</f>
        <v/>
      </c>
      <c r="N1102" t="str">
        <f t="shared" si="102"/>
        <v/>
      </c>
      <c r="O1102" t="str">
        <f>IF($AS1102="","",INDEX('TMP Paste'!$K$2:$K$1601,$AS1102))</f>
        <v/>
      </c>
      <c r="P1102" t="str">
        <f t="shared" si="103"/>
        <v/>
      </c>
      <c r="Q1102" t="str">
        <f>IF($AS1102="","",INDEX('TMP Paste'!$J$2:$J$1601,$AS1102))</f>
        <v/>
      </c>
      <c r="R1102" t="str">
        <f>IF($AS1102="","",Config!$B$24)</f>
        <v/>
      </c>
      <c r="S1102" t="str">
        <f ca="1">IF($AS1102="","",TEXT(Config!$B$4,"yyyy-mm-dd"))</f>
        <v/>
      </c>
      <c r="T1102" t="str">
        <f>IF($AS1102="","",Config!$B$17)</f>
        <v/>
      </c>
      <c r="U1102" t="str">
        <f>IF($AS1102="","",Config!$B$18)</f>
        <v/>
      </c>
      <c r="V1102" t="str">
        <f>IF($AS1102="","",Config!$B$19)</f>
        <v/>
      </c>
      <c r="W1102" t="str">
        <f>IF($AS1102="","",INDEX('TMP Paste'!$C$2:$C$1601,$AS1102))</f>
        <v/>
      </c>
      <c r="X1102" t="str">
        <f>IF($AS1102="","",Config!$B$29)</f>
        <v/>
      </c>
      <c r="Y1102" t="str">
        <f>IF($AT1102="","",INDEX(Calc!$I$2:$I$1601,$AT1102)&amp;" - "&amp;INDEX(Calc!$D$2:$D$1601,$AT1102)&amp;" koli")</f>
        <v/>
      </c>
      <c r="Z1102" t="str">
        <f>IF($AS1102="","",Config!$B$21)</f>
        <v/>
      </c>
      <c r="AA1102" t="str">
        <f>IF($AS1102="","",Config!$B$22)</f>
        <v/>
      </c>
      <c r="AB1102" t="str">
        <f>IF($AT1102="","",INDEX(Calc!$D$2:$D$1601,$AT1102))</f>
        <v/>
      </c>
      <c r="AC1102" t="str">
        <f>IF($AT1102="","",INDEX(Calc!$G$2:$G$1601,$AT1102))</f>
        <v/>
      </c>
      <c r="AD1102" t="str">
        <f>IF($AS1102="","",Config!$B$23)</f>
        <v/>
      </c>
      <c r="AE1102" t="str">
        <f>IF($AS1102="","",Config!$B$28)</f>
        <v/>
      </c>
      <c r="AF1102" t="str">
        <f t="shared" si="104"/>
        <v/>
      </c>
      <c r="AG1102" t="str">
        <f t="shared" si="105"/>
        <v/>
      </c>
      <c r="AH1102" t="str">
        <f t="shared" si="106"/>
        <v/>
      </c>
      <c r="AI1102" t="str">
        <f>IF($AG1102="","",SUMIF($AG$2:$AG1102,$AG1102,$AH$2:$AH1102))</f>
        <v/>
      </c>
      <c r="AJ1102" t="str">
        <f>IF('TMP Paste'!$F1102="","",IF('TMP Paste'!$B1102="",$AJ1101,'TMP Paste'!$B1102))</f>
        <v/>
      </c>
      <c r="AK1102" t="str">
        <f>IF('TMP Paste'!$F1102="","",N('TMP Paste'!$G1102))</f>
        <v/>
      </c>
      <c r="AL1102" t="str">
        <f>IF('TMP Paste'!$F1102="","",IF('TMP Paste'!$M1102="",$AL1101,'TMP Paste'!$M1102))</f>
        <v/>
      </c>
      <c r="AM1102" t="str">
        <f>IF('TMP Paste'!$F1102="","",IF('TMP Paste'!$N1102="",$AM1101,'TMP Paste'!$N1102))</f>
        <v/>
      </c>
      <c r="AN1102" t="str">
        <f>IF('TMP Paste'!$F1102="","",IF('TMP Paste'!$O1102="",$AN1101,'TMP Paste'!$O1102))</f>
        <v/>
      </c>
      <c r="AO1102" t="str">
        <f>IF('TMP Paste'!$F1102="","",IF('TMP Paste'!$P1102="",$AO1101,'TMP Paste'!$P1102))</f>
        <v/>
      </c>
      <c r="AP1102" t="str">
        <f t="shared" si="107"/>
        <v/>
      </c>
      <c r="AQ1102" t="str">
        <f>IF($AS1102="","",TRIM(IF(COUNTIFS(Calc!$B$2:$B$1601,ROW()-1,Calc!$C$2:$C$1601,"&lt;1")&gt;0,"Ada PO tanpa Koli - cek TMP. ","")&amp;IF(OR($AU1102="",$AU1102&lt;=0),"Volume kosong/0 - dimensi dikosongkan. ","")&amp;IF(AND($AU1102&lt;&gt;"",$AU1102&gt;=1000000),"Volume &gt;= 1.000.000 cm3 (di luar aturan) - dimensi dikosongkan. ","")&amp;IF(LEN($R1102)&gt;500,"R &gt; 500 karakter.","")))</f>
        <v/>
      </c>
      <c r="AS1102" t="str">
        <f>IFERROR(MATCH(ROW()-1,Calc!$J$2:$J$1601,0),"")</f>
        <v/>
      </c>
      <c r="AT1102" t="str">
        <f>IFERROR(MATCH(ROW()-1,Calc!$K$2:$K$1601,0),"")</f>
        <v/>
      </c>
      <c r="AU1102" t="str">
        <f>IF($AS1102="","",IFERROR(INDEX('TMP Paste'!$D$2:$D$1601,$AS1102)*1000000/$AB1102,""))</f>
        <v/>
      </c>
    </row>
    <row r="1103" spans="1:47">
      <c r="A1103" t="str">
        <f>IF($AS1103="","",INDEX('TMP Paste'!$B$2:$B$1601,$AS1103))</f>
        <v/>
      </c>
      <c r="B1103" t="str">
        <f>IF($AS1103="","",Config!$B$14)</f>
        <v/>
      </c>
      <c r="C1103" t="str">
        <f>IF($AS1103="","",Config!$B$15)</f>
        <v/>
      </c>
      <c r="D1103" t="str">
        <f>IF($AS1103="","",INDEX('TMP Paste'!$B$2:$B$1601,$AS1103))</f>
        <v/>
      </c>
      <c r="E1103" t="str">
        <f>IF($AS1103="","",Config!$B$27)</f>
        <v/>
      </c>
      <c r="F1103" t="str">
        <f>IF($AS1103="","",Config!$B$9)</f>
        <v/>
      </c>
      <c r="G1103" t="str">
        <f>IF($AS1103="","",Config!$B$10)</f>
        <v/>
      </c>
      <c r="H1103" t="str">
        <f>IF($AS1103="","",Config!$B$11)</f>
        <v/>
      </c>
      <c r="I1103" t="str">
        <f>IF($AS1103="","",Config!$B$16)</f>
        <v/>
      </c>
      <c r="J1103" t="str">
        <f>IF($AS1103="","",INDEX('TMP Paste'!$A$2:$A$1601,$AS1103))</f>
        <v/>
      </c>
      <c r="K1103" t="str">
        <f>IF($AS1103="","",INDEX('TMP Paste'!$L$2:$L$1601,$AS1103))</f>
        <v/>
      </c>
      <c r="L1103" t="str">
        <f>IF($AS1103="","",INDEX('TMP Paste'!$I$2:$I$1601,$AS1103))</f>
        <v/>
      </c>
      <c r="M1103" t="str">
        <f>IF($AS1103="","",Config!$B$16)</f>
        <v/>
      </c>
      <c r="N1103" t="str">
        <f t="shared" si="102"/>
        <v/>
      </c>
      <c r="O1103" t="str">
        <f>IF($AS1103="","",INDEX('TMP Paste'!$K$2:$K$1601,$AS1103))</f>
        <v/>
      </c>
      <c r="P1103" t="str">
        <f t="shared" si="103"/>
        <v/>
      </c>
      <c r="Q1103" t="str">
        <f>IF($AS1103="","",INDEX('TMP Paste'!$J$2:$J$1601,$AS1103))</f>
        <v/>
      </c>
      <c r="R1103" t="str">
        <f>IF($AS1103="","",Config!$B$24)</f>
        <v/>
      </c>
      <c r="S1103" t="str">
        <f ca="1">IF($AS1103="","",TEXT(Config!$B$4,"yyyy-mm-dd"))</f>
        <v/>
      </c>
      <c r="T1103" t="str">
        <f>IF($AS1103="","",Config!$B$17)</f>
        <v/>
      </c>
      <c r="U1103" t="str">
        <f>IF($AS1103="","",Config!$B$18)</f>
        <v/>
      </c>
      <c r="V1103" t="str">
        <f>IF($AS1103="","",Config!$B$19)</f>
        <v/>
      </c>
      <c r="W1103" t="str">
        <f>IF($AS1103="","",INDEX('TMP Paste'!$C$2:$C$1601,$AS1103))</f>
        <v/>
      </c>
      <c r="X1103" t="str">
        <f>IF($AS1103="","",Config!$B$29)</f>
        <v/>
      </c>
      <c r="Y1103" t="str">
        <f>IF($AT1103="","",INDEX(Calc!$I$2:$I$1601,$AT1103)&amp;" - "&amp;INDEX(Calc!$D$2:$D$1601,$AT1103)&amp;" koli")</f>
        <v/>
      </c>
      <c r="Z1103" t="str">
        <f>IF($AS1103="","",Config!$B$21)</f>
        <v/>
      </c>
      <c r="AA1103" t="str">
        <f>IF($AS1103="","",Config!$B$22)</f>
        <v/>
      </c>
      <c r="AB1103" t="str">
        <f>IF($AT1103="","",INDEX(Calc!$D$2:$D$1601,$AT1103))</f>
        <v/>
      </c>
      <c r="AC1103" t="str">
        <f>IF($AT1103="","",INDEX(Calc!$G$2:$G$1601,$AT1103))</f>
        <v/>
      </c>
      <c r="AD1103" t="str">
        <f>IF($AS1103="","",Config!$B$23)</f>
        <v/>
      </c>
      <c r="AE1103" t="str">
        <f>IF($AS1103="","",Config!$B$28)</f>
        <v/>
      </c>
      <c r="AF1103" t="str">
        <f t="shared" si="104"/>
        <v/>
      </c>
      <c r="AG1103" t="str">
        <f t="shared" si="105"/>
        <v/>
      </c>
      <c r="AH1103" t="str">
        <f t="shared" si="106"/>
        <v/>
      </c>
      <c r="AI1103" t="str">
        <f>IF($AG1103="","",SUMIF($AG$2:$AG1103,$AG1103,$AH$2:$AH1103))</f>
        <v/>
      </c>
      <c r="AJ1103" t="str">
        <f>IF('TMP Paste'!$F1103="","",IF('TMP Paste'!$B1103="",$AJ1102,'TMP Paste'!$B1103))</f>
        <v/>
      </c>
      <c r="AK1103" t="str">
        <f>IF('TMP Paste'!$F1103="","",N('TMP Paste'!$G1103))</f>
        <v/>
      </c>
      <c r="AL1103" t="str">
        <f>IF('TMP Paste'!$F1103="","",IF('TMP Paste'!$M1103="",$AL1102,'TMP Paste'!$M1103))</f>
        <v/>
      </c>
      <c r="AM1103" t="str">
        <f>IF('TMP Paste'!$F1103="","",IF('TMP Paste'!$N1103="",$AM1102,'TMP Paste'!$N1103))</f>
        <v/>
      </c>
      <c r="AN1103" t="str">
        <f>IF('TMP Paste'!$F1103="","",IF('TMP Paste'!$O1103="",$AN1102,'TMP Paste'!$O1103))</f>
        <v/>
      </c>
      <c r="AO1103" t="str">
        <f>IF('TMP Paste'!$F1103="","",IF('TMP Paste'!$P1103="",$AO1102,'TMP Paste'!$P1103))</f>
        <v/>
      </c>
      <c r="AP1103" t="str">
        <f t="shared" si="107"/>
        <v/>
      </c>
      <c r="AQ1103" t="str">
        <f>IF($AS1103="","",TRIM(IF(COUNTIFS(Calc!$B$2:$B$1601,ROW()-1,Calc!$C$2:$C$1601,"&lt;1")&gt;0,"Ada PO tanpa Koli - cek TMP. ","")&amp;IF(OR($AU1103="",$AU1103&lt;=0),"Volume kosong/0 - dimensi dikosongkan. ","")&amp;IF(AND($AU1103&lt;&gt;"",$AU1103&gt;=1000000),"Volume &gt;= 1.000.000 cm3 (di luar aturan) - dimensi dikosongkan. ","")&amp;IF(LEN($R1103)&gt;500,"R &gt; 500 karakter.","")))</f>
        <v/>
      </c>
      <c r="AS1103" t="str">
        <f>IFERROR(MATCH(ROW()-1,Calc!$J$2:$J$1601,0),"")</f>
        <v/>
      </c>
      <c r="AT1103" t="str">
        <f>IFERROR(MATCH(ROW()-1,Calc!$K$2:$K$1601,0),"")</f>
        <v/>
      </c>
      <c r="AU1103" t="str">
        <f>IF($AS1103="","",IFERROR(INDEX('TMP Paste'!$D$2:$D$1601,$AS1103)*1000000/$AB1103,""))</f>
        <v/>
      </c>
    </row>
    <row r="1104" spans="1:47">
      <c r="A1104" t="str">
        <f>IF($AS1104="","",INDEX('TMP Paste'!$B$2:$B$1601,$AS1104))</f>
        <v/>
      </c>
      <c r="B1104" t="str">
        <f>IF($AS1104="","",Config!$B$14)</f>
        <v/>
      </c>
      <c r="C1104" t="str">
        <f>IF($AS1104="","",Config!$B$15)</f>
        <v/>
      </c>
      <c r="D1104" t="str">
        <f>IF($AS1104="","",INDEX('TMP Paste'!$B$2:$B$1601,$AS1104))</f>
        <v/>
      </c>
      <c r="E1104" t="str">
        <f>IF($AS1104="","",Config!$B$27)</f>
        <v/>
      </c>
      <c r="F1104" t="str">
        <f>IF($AS1104="","",Config!$B$9)</f>
        <v/>
      </c>
      <c r="G1104" t="str">
        <f>IF($AS1104="","",Config!$B$10)</f>
        <v/>
      </c>
      <c r="H1104" t="str">
        <f>IF($AS1104="","",Config!$B$11)</f>
        <v/>
      </c>
      <c r="I1104" t="str">
        <f>IF($AS1104="","",Config!$B$16)</f>
        <v/>
      </c>
      <c r="J1104" t="str">
        <f>IF($AS1104="","",INDEX('TMP Paste'!$A$2:$A$1601,$AS1104))</f>
        <v/>
      </c>
      <c r="K1104" t="str">
        <f>IF($AS1104="","",INDEX('TMP Paste'!$L$2:$L$1601,$AS1104))</f>
        <v/>
      </c>
      <c r="L1104" t="str">
        <f>IF($AS1104="","",INDEX('TMP Paste'!$I$2:$I$1601,$AS1104))</f>
        <v/>
      </c>
      <c r="M1104" t="str">
        <f>IF($AS1104="","",Config!$B$16)</f>
        <v/>
      </c>
      <c r="N1104" t="str">
        <f t="shared" si="102"/>
        <v/>
      </c>
      <c r="O1104" t="str">
        <f>IF($AS1104="","",INDEX('TMP Paste'!$K$2:$K$1601,$AS1104))</f>
        <v/>
      </c>
      <c r="P1104" t="str">
        <f t="shared" si="103"/>
        <v/>
      </c>
      <c r="Q1104" t="str">
        <f>IF($AS1104="","",INDEX('TMP Paste'!$J$2:$J$1601,$AS1104))</f>
        <v/>
      </c>
      <c r="R1104" t="str">
        <f>IF($AS1104="","",Config!$B$24)</f>
        <v/>
      </c>
      <c r="S1104" t="str">
        <f ca="1">IF($AS1104="","",TEXT(Config!$B$4,"yyyy-mm-dd"))</f>
        <v/>
      </c>
      <c r="T1104" t="str">
        <f>IF($AS1104="","",Config!$B$17)</f>
        <v/>
      </c>
      <c r="U1104" t="str">
        <f>IF($AS1104="","",Config!$B$18)</f>
        <v/>
      </c>
      <c r="V1104" t="str">
        <f>IF($AS1104="","",Config!$B$19)</f>
        <v/>
      </c>
      <c r="W1104" t="str">
        <f>IF($AS1104="","",INDEX('TMP Paste'!$C$2:$C$1601,$AS1104))</f>
        <v/>
      </c>
      <c r="X1104" t="str">
        <f>IF($AS1104="","",Config!$B$29)</f>
        <v/>
      </c>
      <c r="Y1104" t="str">
        <f>IF($AT1104="","",INDEX(Calc!$I$2:$I$1601,$AT1104)&amp;" - "&amp;INDEX(Calc!$D$2:$D$1601,$AT1104)&amp;" koli")</f>
        <v/>
      </c>
      <c r="Z1104" t="str">
        <f>IF($AS1104="","",Config!$B$21)</f>
        <v/>
      </c>
      <c r="AA1104" t="str">
        <f>IF($AS1104="","",Config!$B$22)</f>
        <v/>
      </c>
      <c r="AB1104" t="str">
        <f>IF($AT1104="","",INDEX(Calc!$D$2:$D$1601,$AT1104))</f>
        <v/>
      </c>
      <c r="AC1104" t="str">
        <f>IF($AT1104="","",INDEX(Calc!$G$2:$G$1601,$AT1104))</f>
        <v/>
      </c>
      <c r="AD1104" t="str">
        <f>IF($AS1104="","",Config!$B$23)</f>
        <v/>
      </c>
      <c r="AE1104" t="str">
        <f>IF($AS1104="","",Config!$B$28)</f>
        <v/>
      </c>
      <c r="AF1104" t="str">
        <f t="shared" si="104"/>
        <v/>
      </c>
      <c r="AG1104" t="str">
        <f t="shared" si="105"/>
        <v/>
      </c>
      <c r="AH1104" t="str">
        <f t="shared" si="106"/>
        <v/>
      </c>
      <c r="AI1104" t="str">
        <f>IF($AG1104="","",SUMIF($AG$2:$AG1104,$AG1104,$AH$2:$AH1104))</f>
        <v/>
      </c>
      <c r="AJ1104" t="str">
        <f>IF('TMP Paste'!$F1104="","",IF('TMP Paste'!$B1104="",$AJ1103,'TMP Paste'!$B1104))</f>
        <v/>
      </c>
      <c r="AK1104" t="str">
        <f>IF('TMP Paste'!$F1104="","",N('TMP Paste'!$G1104))</f>
        <v/>
      </c>
      <c r="AL1104" t="str">
        <f>IF('TMP Paste'!$F1104="","",IF('TMP Paste'!$M1104="",$AL1103,'TMP Paste'!$M1104))</f>
        <v/>
      </c>
      <c r="AM1104" t="str">
        <f>IF('TMP Paste'!$F1104="","",IF('TMP Paste'!$N1104="",$AM1103,'TMP Paste'!$N1104))</f>
        <v/>
      </c>
      <c r="AN1104" t="str">
        <f>IF('TMP Paste'!$F1104="","",IF('TMP Paste'!$O1104="",$AN1103,'TMP Paste'!$O1104))</f>
        <v/>
      </c>
      <c r="AO1104" t="str">
        <f>IF('TMP Paste'!$F1104="","",IF('TMP Paste'!$P1104="",$AO1103,'TMP Paste'!$P1104))</f>
        <v/>
      </c>
      <c r="AP1104" t="str">
        <f t="shared" si="107"/>
        <v/>
      </c>
      <c r="AQ1104" t="str">
        <f>IF($AS1104="","",TRIM(IF(COUNTIFS(Calc!$B$2:$B$1601,ROW()-1,Calc!$C$2:$C$1601,"&lt;1")&gt;0,"Ada PO tanpa Koli - cek TMP. ","")&amp;IF(OR($AU1104="",$AU1104&lt;=0),"Volume kosong/0 - dimensi dikosongkan. ","")&amp;IF(AND($AU1104&lt;&gt;"",$AU1104&gt;=1000000),"Volume &gt;= 1.000.000 cm3 (di luar aturan) - dimensi dikosongkan. ","")&amp;IF(LEN($R1104)&gt;500,"R &gt; 500 karakter.","")))</f>
        <v/>
      </c>
      <c r="AS1104" t="str">
        <f>IFERROR(MATCH(ROW()-1,Calc!$J$2:$J$1601,0),"")</f>
        <v/>
      </c>
      <c r="AT1104" t="str">
        <f>IFERROR(MATCH(ROW()-1,Calc!$K$2:$K$1601,0),"")</f>
        <v/>
      </c>
      <c r="AU1104" t="str">
        <f>IF($AS1104="","",IFERROR(INDEX('TMP Paste'!$D$2:$D$1601,$AS1104)*1000000/$AB1104,""))</f>
        <v/>
      </c>
    </row>
    <row r="1105" spans="1:47">
      <c r="A1105" t="str">
        <f>IF($AS1105="","",INDEX('TMP Paste'!$B$2:$B$1601,$AS1105))</f>
        <v/>
      </c>
      <c r="B1105" t="str">
        <f>IF($AS1105="","",Config!$B$14)</f>
        <v/>
      </c>
      <c r="C1105" t="str">
        <f>IF($AS1105="","",Config!$B$15)</f>
        <v/>
      </c>
      <c r="D1105" t="str">
        <f>IF($AS1105="","",INDEX('TMP Paste'!$B$2:$B$1601,$AS1105))</f>
        <v/>
      </c>
      <c r="E1105" t="str">
        <f>IF($AS1105="","",Config!$B$27)</f>
        <v/>
      </c>
      <c r="F1105" t="str">
        <f>IF($AS1105="","",Config!$B$9)</f>
        <v/>
      </c>
      <c r="G1105" t="str">
        <f>IF($AS1105="","",Config!$B$10)</f>
        <v/>
      </c>
      <c r="H1105" t="str">
        <f>IF($AS1105="","",Config!$B$11)</f>
        <v/>
      </c>
      <c r="I1105" t="str">
        <f>IF($AS1105="","",Config!$B$16)</f>
        <v/>
      </c>
      <c r="J1105" t="str">
        <f>IF($AS1105="","",INDEX('TMP Paste'!$A$2:$A$1601,$AS1105))</f>
        <v/>
      </c>
      <c r="K1105" t="str">
        <f>IF($AS1105="","",INDEX('TMP Paste'!$L$2:$L$1601,$AS1105))</f>
        <v/>
      </c>
      <c r="L1105" t="str">
        <f>IF($AS1105="","",INDEX('TMP Paste'!$I$2:$I$1601,$AS1105))</f>
        <v/>
      </c>
      <c r="M1105" t="str">
        <f>IF($AS1105="","",Config!$B$16)</f>
        <v/>
      </c>
      <c r="N1105" t="str">
        <f t="shared" si="102"/>
        <v/>
      </c>
      <c r="O1105" t="str">
        <f>IF($AS1105="","",INDEX('TMP Paste'!$K$2:$K$1601,$AS1105))</f>
        <v/>
      </c>
      <c r="P1105" t="str">
        <f t="shared" si="103"/>
        <v/>
      </c>
      <c r="Q1105" t="str">
        <f>IF($AS1105="","",INDEX('TMP Paste'!$J$2:$J$1601,$AS1105))</f>
        <v/>
      </c>
      <c r="R1105" t="str">
        <f>IF($AS1105="","",Config!$B$24)</f>
        <v/>
      </c>
      <c r="S1105" t="str">
        <f ca="1">IF($AS1105="","",TEXT(Config!$B$4,"yyyy-mm-dd"))</f>
        <v/>
      </c>
      <c r="T1105" t="str">
        <f>IF($AS1105="","",Config!$B$17)</f>
        <v/>
      </c>
      <c r="U1105" t="str">
        <f>IF($AS1105="","",Config!$B$18)</f>
        <v/>
      </c>
      <c r="V1105" t="str">
        <f>IF($AS1105="","",Config!$B$19)</f>
        <v/>
      </c>
      <c r="W1105" t="str">
        <f>IF($AS1105="","",INDEX('TMP Paste'!$C$2:$C$1601,$AS1105))</f>
        <v/>
      </c>
      <c r="X1105" t="str">
        <f>IF($AS1105="","",Config!$B$29)</f>
        <v/>
      </c>
      <c r="Y1105" t="str">
        <f>IF($AT1105="","",INDEX(Calc!$I$2:$I$1601,$AT1105)&amp;" - "&amp;INDEX(Calc!$D$2:$D$1601,$AT1105)&amp;" koli")</f>
        <v/>
      </c>
      <c r="Z1105" t="str">
        <f>IF($AS1105="","",Config!$B$21)</f>
        <v/>
      </c>
      <c r="AA1105" t="str">
        <f>IF($AS1105="","",Config!$B$22)</f>
        <v/>
      </c>
      <c r="AB1105" t="str">
        <f>IF($AT1105="","",INDEX(Calc!$D$2:$D$1601,$AT1105))</f>
        <v/>
      </c>
      <c r="AC1105" t="str">
        <f>IF($AT1105="","",INDEX(Calc!$G$2:$G$1601,$AT1105))</f>
        <v/>
      </c>
      <c r="AD1105" t="str">
        <f>IF($AS1105="","",Config!$B$23)</f>
        <v/>
      </c>
      <c r="AE1105" t="str">
        <f>IF($AS1105="","",Config!$B$28)</f>
        <v/>
      </c>
      <c r="AF1105" t="str">
        <f t="shared" si="104"/>
        <v/>
      </c>
      <c r="AG1105" t="str">
        <f t="shared" si="105"/>
        <v/>
      </c>
      <c r="AH1105" t="str">
        <f t="shared" si="106"/>
        <v/>
      </c>
      <c r="AI1105" t="str">
        <f>IF($AG1105="","",SUMIF($AG$2:$AG1105,$AG1105,$AH$2:$AH1105))</f>
        <v/>
      </c>
      <c r="AJ1105" t="str">
        <f>IF('TMP Paste'!$F1105="","",IF('TMP Paste'!$B1105="",$AJ1104,'TMP Paste'!$B1105))</f>
        <v/>
      </c>
      <c r="AK1105" t="str">
        <f>IF('TMP Paste'!$F1105="","",N('TMP Paste'!$G1105))</f>
        <v/>
      </c>
      <c r="AL1105" t="str">
        <f>IF('TMP Paste'!$F1105="","",IF('TMP Paste'!$M1105="",$AL1104,'TMP Paste'!$M1105))</f>
        <v/>
      </c>
      <c r="AM1105" t="str">
        <f>IF('TMP Paste'!$F1105="","",IF('TMP Paste'!$N1105="",$AM1104,'TMP Paste'!$N1105))</f>
        <v/>
      </c>
      <c r="AN1105" t="str">
        <f>IF('TMP Paste'!$F1105="","",IF('TMP Paste'!$O1105="",$AN1104,'TMP Paste'!$O1105))</f>
        <v/>
      </c>
      <c r="AO1105" t="str">
        <f>IF('TMP Paste'!$F1105="","",IF('TMP Paste'!$P1105="",$AO1104,'TMP Paste'!$P1105))</f>
        <v/>
      </c>
      <c r="AP1105" t="str">
        <f t="shared" si="107"/>
        <v/>
      </c>
      <c r="AQ1105" t="str">
        <f>IF($AS1105="","",TRIM(IF(COUNTIFS(Calc!$B$2:$B$1601,ROW()-1,Calc!$C$2:$C$1601,"&lt;1")&gt;0,"Ada PO tanpa Koli - cek TMP. ","")&amp;IF(OR($AU1105="",$AU1105&lt;=0),"Volume kosong/0 - dimensi dikosongkan. ","")&amp;IF(AND($AU1105&lt;&gt;"",$AU1105&gt;=1000000),"Volume &gt;= 1.000.000 cm3 (di luar aturan) - dimensi dikosongkan. ","")&amp;IF(LEN($R1105)&gt;500,"R &gt; 500 karakter.","")))</f>
        <v/>
      </c>
      <c r="AS1105" t="str">
        <f>IFERROR(MATCH(ROW()-1,Calc!$J$2:$J$1601,0),"")</f>
        <v/>
      </c>
      <c r="AT1105" t="str">
        <f>IFERROR(MATCH(ROW()-1,Calc!$K$2:$K$1601,0),"")</f>
        <v/>
      </c>
      <c r="AU1105" t="str">
        <f>IF($AS1105="","",IFERROR(INDEX('TMP Paste'!$D$2:$D$1601,$AS1105)*1000000/$AB1105,""))</f>
        <v/>
      </c>
    </row>
    <row r="1106" spans="1:47">
      <c r="A1106" t="str">
        <f>IF($AS1106="","",INDEX('TMP Paste'!$B$2:$B$1601,$AS1106))</f>
        <v/>
      </c>
      <c r="B1106" t="str">
        <f>IF($AS1106="","",Config!$B$14)</f>
        <v/>
      </c>
      <c r="C1106" t="str">
        <f>IF($AS1106="","",Config!$B$15)</f>
        <v/>
      </c>
      <c r="D1106" t="str">
        <f>IF($AS1106="","",INDEX('TMP Paste'!$B$2:$B$1601,$AS1106))</f>
        <v/>
      </c>
      <c r="E1106" t="str">
        <f>IF($AS1106="","",Config!$B$27)</f>
        <v/>
      </c>
      <c r="F1106" t="str">
        <f>IF($AS1106="","",Config!$B$9)</f>
        <v/>
      </c>
      <c r="G1106" t="str">
        <f>IF($AS1106="","",Config!$B$10)</f>
        <v/>
      </c>
      <c r="H1106" t="str">
        <f>IF($AS1106="","",Config!$B$11)</f>
        <v/>
      </c>
      <c r="I1106" t="str">
        <f>IF($AS1106="","",Config!$B$16)</f>
        <v/>
      </c>
      <c r="J1106" t="str">
        <f>IF($AS1106="","",INDEX('TMP Paste'!$A$2:$A$1601,$AS1106))</f>
        <v/>
      </c>
      <c r="K1106" t="str">
        <f>IF($AS1106="","",INDEX('TMP Paste'!$L$2:$L$1601,$AS1106))</f>
        <v/>
      </c>
      <c r="L1106" t="str">
        <f>IF($AS1106="","",INDEX('TMP Paste'!$I$2:$I$1601,$AS1106))</f>
        <v/>
      </c>
      <c r="M1106" t="str">
        <f>IF($AS1106="","",Config!$B$16)</f>
        <v/>
      </c>
      <c r="N1106" t="str">
        <f t="shared" si="102"/>
        <v/>
      </c>
      <c r="O1106" t="str">
        <f>IF($AS1106="","",INDEX('TMP Paste'!$K$2:$K$1601,$AS1106))</f>
        <v/>
      </c>
      <c r="P1106" t="str">
        <f t="shared" si="103"/>
        <v/>
      </c>
      <c r="Q1106" t="str">
        <f>IF($AS1106="","",INDEX('TMP Paste'!$J$2:$J$1601,$AS1106))</f>
        <v/>
      </c>
      <c r="R1106" t="str">
        <f>IF($AS1106="","",Config!$B$24)</f>
        <v/>
      </c>
      <c r="S1106" t="str">
        <f ca="1">IF($AS1106="","",TEXT(Config!$B$4,"yyyy-mm-dd"))</f>
        <v/>
      </c>
      <c r="T1106" t="str">
        <f>IF($AS1106="","",Config!$B$17)</f>
        <v/>
      </c>
      <c r="U1106" t="str">
        <f>IF($AS1106="","",Config!$B$18)</f>
        <v/>
      </c>
      <c r="V1106" t="str">
        <f>IF($AS1106="","",Config!$B$19)</f>
        <v/>
      </c>
      <c r="W1106" t="str">
        <f>IF($AS1106="","",INDEX('TMP Paste'!$C$2:$C$1601,$AS1106))</f>
        <v/>
      </c>
      <c r="X1106" t="str">
        <f>IF($AS1106="","",Config!$B$29)</f>
        <v/>
      </c>
      <c r="Y1106" t="str">
        <f>IF($AT1106="","",INDEX(Calc!$I$2:$I$1601,$AT1106)&amp;" - "&amp;INDEX(Calc!$D$2:$D$1601,$AT1106)&amp;" koli")</f>
        <v/>
      </c>
      <c r="Z1106" t="str">
        <f>IF($AS1106="","",Config!$B$21)</f>
        <v/>
      </c>
      <c r="AA1106" t="str">
        <f>IF($AS1106="","",Config!$B$22)</f>
        <v/>
      </c>
      <c r="AB1106" t="str">
        <f>IF($AT1106="","",INDEX(Calc!$D$2:$D$1601,$AT1106))</f>
        <v/>
      </c>
      <c r="AC1106" t="str">
        <f>IF($AT1106="","",INDEX(Calc!$G$2:$G$1601,$AT1106))</f>
        <v/>
      </c>
      <c r="AD1106" t="str">
        <f>IF($AS1106="","",Config!$B$23)</f>
        <v/>
      </c>
      <c r="AE1106" t="str">
        <f>IF($AS1106="","",Config!$B$28)</f>
        <v/>
      </c>
      <c r="AF1106" t="str">
        <f t="shared" si="104"/>
        <v/>
      </c>
      <c r="AG1106" t="str">
        <f t="shared" si="105"/>
        <v/>
      </c>
      <c r="AH1106" t="str">
        <f t="shared" si="106"/>
        <v/>
      </c>
      <c r="AI1106" t="str">
        <f>IF($AG1106="","",SUMIF($AG$2:$AG1106,$AG1106,$AH$2:$AH1106))</f>
        <v/>
      </c>
      <c r="AJ1106" t="str">
        <f>IF('TMP Paste'!$F1106="","",IF('TMP Paste'!$B1106="",$AJ1105,'TMP Paste'!$B1106))</f>
        <v/>
      </c>
      <c r="AK1106" t="str">
        <f>IF('TMP Paste'!$F1106="","",N('TMP Paste'!$G1106))</f>
        <v/>
      </c>
      <c r="AL1106" t="str">
        <f>IF('TMP Paste'!$F1106="","",IF('TMP Paste'!$M1106="",$AL1105,'TMP Paste'!$M1106))</f>
        <v/>
      </c>
      <c r="AM1106" t="str">
        <f>IF('TMP Paste'!$F1106="","",IF('TMP Paste'!$N1106="",$AM1105,'TMP Paste'!$N1106))</f>
        <v/>
      </c>
      <c r="AN1106" t="str">
        <f>IF('TMP Paste'!$F1106="","",IF('TMP Paste'!$O1106="",$AN1105,'TMP Paste'!$O1106))</f>
        <v/>
      </c>
      <c r="AO1106" t="str">
        <f>IF('TMP Paste'!$F1106="","",IF('TMP Paste'!$P1106="",$AO1105,'TMP Paste'!$P1106))</f>
        <v/>
      </c>
      <c r="AP1106" t="str">
        <f t="shared" si="107"/>
        <v/>
      </c>
      <c r="AQ1106" t="str">
        <f>IF($AS1106="","",TRIM(IF(COUNTIFS(Calc!$B$2:$B$1601,ROW()-1,Calc!$C$2:$C$1601,"&lt;1")&gt;0,"Ada PO tanpa Koli - cek TMP. ","")&amp;IF(OR($AU1106="",$AU1106&lt;=0),"Volume kosong/0 - dimensi dikosongkan. ","")&amp;IF(AND($AU1106&lt;&gt;"",$AU1106&gt;=1000000),"Volume &gt;= 1.000.000 cm3 (di luar aturan) - dimensi dikosongkan. ","")&amp;IF(LEN($R1106)&gt;500,"R &gt; 500 karakter.","")))</f>
        <v/>
      </c>
      <c r="AS1106" t="str">
        <f>IFERROR(MATCH(ROW()-1,Calc!$J$2:$J$1601,0),"")</f>
        <v/>
      </c>
      <c r="AT1106" t="str">
        <f>IFERROR(MATCH(ROW()-1,Calc!$K$2:$K$1601,0),"")</f>
        <v/>
      </c>
      <c r="AU1106" t="str">
        <f>IF($AS1106="","",IFERROR(INDEX('TMP Paste'!$D$2:$D$1601,$AS1106)*1000000/$AB1106,""))</f>
        <v/>
      </c>
    </row>
    <row r="1107" spans="1:47">
      <c r="A1107" t="str">
        <f>IF($AS1107="","",INDEX('TMP Paste'!$B$2:$B$1601,$AS1107))</f>
        <v/>
      </c>
      <c r="B1107" t="str">
        <f>IF($AS1107="","",Config!$B$14)</f>
        <v/>
      </c>
      <c r="C1107" t="str">
        <f>IF($AS1107="","",Config!$B$15)</f>
        <v/>
      </c>
      <c r="D1107" t="str">
        <f>IF($AS1107="","",INDEX('TMP Paste'!$B$2:$B$1601,$AS1107))</f>
        <v/>
      </c>
      <c r="E1107" t="str">
        <f>IF($AS1107="","",Config!$B$27)</f>
        <v/>
      </c>
      <c r="F1107" t="str">
        <f>IF($AS1107="","",Config!$B$9)</f>
        <v/>
      </c>
      <c r="G1107" t="str">
        <f>IF($AS1107="","",Config!$B$10)</f>
        <v/>
      </c>
      <c r="H1107" t="str">
        <f>IF($AS1107="","",Config!$B$11)</f>
        <v/>
      </c>
      <c r="I1107" t="str">
        <f>IF($AS1107="","",Config!$B$16)</f>
        <v/>
      </c>
      <c r="J1107" t="str">
        <f>IF($AS1107="","",INDEX('TMP Paste'!$A$2:$A$1601,$AS1107))</f>
        <v/>
      </c>
      <c r="K1107" t="str">
        <f>IF($AS1107="","",INDEX('TMP Paste'!$L$2:$L$1601,$AS1107))</f>
        <v/>
      </c>
      <c r="L1107" t="str">
        <f>IF($AS1107="","",INDEX('TMP Paste'!$I$2:$I$1601,$AS1107))</f>
        <v/>
      </c>
      <c r="M1107" t="str">
        <f>IF($AS1107="","",Config!$B$16)</f>
        <v/>
      </c>
      <c r="N1107" t="str">
        <f t="shared" si="102"/>
        <v/>
      </c>
      <c r="O1107" t="str">
        <f>IF($AS1107="","",INDEX('TMP Paste'!$K$2:$K$1601,$AS1107))</f>
        <v/>
      </c>
      <c r="P1107" t="str">
        <f t="shared" si="103"/>
        <v/>
      </c>
      <c r="Q1107" t="str">
        <f>IF($AS1107="","",INDEX('TMP Paste'!$J$2:$J$1601,$AS1107))</f>
        <v/>
      </c>
      <c r="R1107" t="str">
        <f>IF($AS1107="","",Config!$B$24)</f>
        <v/>
      </c>
      <c r="S1107" t="str">
        <f ca="1">IF($AS1107="","",TEXT(Config!$B$4,"yyyy-mm-dd"))</f>
        <v/>
      </c>
      <c r="T1107" t="str">
        <f>IF($AS1107="","",Config!$B$17)</f>
        <v/>
      </c>
      <c r="U1107" t="str">
        <f>IF($AS1107="","",Config!$B$18)</f>
        <v/>
      </c>
      <c r="V1107" t="str">
        <f>IF($AS1107="","",Config!$B$19)</f>
        <v/>
      </c>
      <c r="W1107" t="str">
        <f>IF($AS1107="","",INDEX('TMP Paste'!$C$2:$C$1601,$AS1107))</f>
        <v/>
      </c>
      <c r="X1107" t="str">
        <f>IF($AS1107="","",Config!$B$29)</f>
        <v/>
      </c>
      <c r="Y1107" t="str">
        <f>IF($AT1107="","",INDEX(Calc!$I$2:$I$1601,$AT1107)&amp;" - "&amp;INDEX(Calc!$D$2:$D$1601,$AT1107)&amp;" koli")</f>
        <v/>
      </c>
      <c r="Z1107" t="str">
        <f>IF($AS1107="","",Config!$B$21)</f>
        <v/>
      </c>
      <c r="AA1107" t="str">
        <f>IF($AS1107="","",Config!$B$22)</f>
        <v/>
      </c>
      <c r="AB1107" t="str">
        <f>IF($AT1107="","",INDEX(Calc!$D$2:$D$1601,$AT1107))</f>
        <v/>
      </c>
      <c r="AC1107" t="str">
        <f>IF($AT1107="","",INDEX(Calc!$G$2:$G$1601,$AT1107))</f>
        <v/>
      </c>
      <c r="AD1107" t="str">
        <f>IF($AS1107="","",Config!$B$23)</f>
        <v/>
      </c>
      <c r="AE1107" t="str">
        <f>IF($AS1107="","",Config!$B$28)</f>
        <v/>
      </c>
      <c r="AF1107" t="str">
        <f t="shared" si="104"/>
        <v/>
      </c>
      <c r="AG1107" t="str">
        <f t="shared" si="105"/>
        <v/>
      </c>
      <c r="AH1107" t="str">
        <f t="shared" si="106"/>
        <v/>
      </c>
      <c r="AI1107" t="str">
        <f>IF($AG1107="","",SUMIF($AG$2:$AG1107,$AG1107,$AH$2:$AH1107))</f>
        <v/>
      </c>
      <c r="AJ1107" t="str">
        <f>IF('TMP Paste'!$F1107="","",IF('TMP Paste'!$B1107="",$AJ1106,'TMP Paste'!$B1107))</f>
        <v/>
      </c>
      <c r="AK1107" t="str">
        <f>IF('TMP Paste'!$F1107="","",N('TMP Paste'!$G1107))</f>
        <v/>
      </c>
      <c r="AL1107" t="str">
        <f>IF('TMP Paste'!$F1107="","",IF('TMP Paste'!$M1107="",$AL1106,'TMP Paste'!$M1107))</f>
        <v/>
      </c>
      <c r="AM1107" t="str">
        <f>IF('TMP Paste'!$F1107="","",IF('TMP Paste'!$N1107="",$AM1106,'TMP Paste'!$N1107))</f>
        <v/>
      </c>
      <c r="AN1107" t="str">
        <f>IF('TMP Paste'!$F1107="","",IF('TMP Paste'!$O1107="",$AN1106,'TMP Paste'!$O1107))</f>
        <v/>
      </c>
      <c r="AO1107" t="str">
        <f>IF('TMP Paste'!$F1107="","",IF('TMP Paste'!$P1107="",$AO1106,'TMP Paste'!$P1107))</f>
        <v/>
      </c>
      <c r="AP1107" t="str">
        <f t="shared" si="107"/>
        <v/>
      </c>
      <c r="AQ1107" t="str">
        <f>IF($AS1107="","",TRIM(IF(COUNTIFS(Calc!$B$2:$B$1601,ROW()-1,Calc!$C$2:$C$1601,"&lt;1")&gt;0,"Ada PO tanpa Koli - cek TMP. ","")&amp;IF(OR($AU1107="",$AU1107&lt;=0),"Volume kosong/0 - dimensi dikosongkan. ","")&amp;IF(AND($AU1107&lt;&gt;"",$AU1107&gt;=1000000),"Volume &gt;= 1.000.000 cm3 (di luar aturan) - dimensi dikosongkan. ","")&amp;IF(LEN($R1107)&gt;500,"R &gt; 500 karakter.","")))</f>
        <v/>
      </c>
      <c r="AS1107" t="str">
        <f>IFERROR(MATCH(ROW()-1,Calc!$J$2:$J$1601,0),"")</f>
        <v/>
      </c>
      <c r="AT1107" t="str">
        <f>IFERROR(MATCH(ROW()-1,Calc!$K$2:$K$1601,0),"")</f>
        <v/>
      </c>
      <c r="AU1107" t="str">
        <f>IF($AS1107="","",IFERROR(INDEX('TMP Paste'!$D$2:$D$1601,$AS1107)*1000000/$AB1107,""))</f>
        <v/>
      </c>
    </row>
    <row r="1108" spans="1:47">
      <c r="A1108" t="str">
        <f>IF($AS1108="","",INDEX('TMP Paste'!$B$2:$B$1601,$AS1108))</f>
        <v/>
      </c>
      <c r="B1108" t="str">
        <f>IF($AS1108="","",Config!$B$14)</f>
        <v/>
      </c>
      <c r="C1108" t="str">
        <f>IF($AS1108="","",Config!$B$15)</f>
        <v/>
      </c>
      <c r="D1108" t="str">
        <f>IF($AS1108="","",INDEX('TMP Paste'!$B$2:$B$1601,$AS1108))</f>
        <v/>
      </c>
      <c r="E1108" t="str">
        <f>IF($AS1108="","",Config!$B$27)</f>
        <v/>
      </c>
      <c r="F1108" t="str">
        <f>IF($AS1108="","",Config!$B$9)</f>
        <v/>
      </c>
      <c r="G1108" t="str">
        <f>IF($AS1108="","",Config!$B$10)</f>
        <v/>
      </c>
      <c r="H1108" t="str">
        <f>IF($AS1108="","",Config!$B$11)</f>
        <v/>
      </c>
      <c r="I1108" t="str">
        <f>IF($AS1108="","",Config!$B$16)</f>
        <v/>
      </c>
      <c r="J1108" t="str">
        <f>IF($AS1108="","",INDEX('TMP Paste'!$A$2:$A$1601,$AS1108))</f>
        <v/>
      </c>
      <c r="K1108" t="str">
        <f>IF($AS1108="","",INDEX('TMP Paste'!$L$2:$L$1601,$AS1108))</f>
        <v/>
      </c>
      <c r="L1108" t="str">
        <f>IF($AS1108="","",INDEX('TMP Paste'!$I$2:$I$1601,$AS1108))</f>
        <v/>
      </c>
      <c r="M1108" t="str">
        <f>IF($AS1108="","",Config!$B$16)</f>
        <v/>
      </c>
      <c r="N1108" t="str">
        <f t="shared" si="102"/>
        <v/>
      </c>
      <c r="O1108" t="str">
        <f>IF($AS1108="","",INDEX('TMP Paste'!$K$2:$K$1601,$AS1108))</f>
        <v/>
      </c>
      <c r="P1108" t="str">
        <f t="shared" si="103"/>
        <v/>
      </c>
      <c r="Q1108" t="str">
        <f>IF($AS1108="","",INDEX('TMP Paste'!$J$2:$J$1601,$AS1108))</f>
        <v/>
      </c>
      <c r="R1108" t="str">
        <f>IF($AS1108="","",Config!$B$24)</f>
        <v/>
      </c>
      <c r="S1108" t="str">
        <f ca="1">IF($AS1108="","",TEXT(Config!$B$4,"yyyy-mm-dd"))</f>
        <v/>
      </c>
      <c r="T1108" t="str">
        <f>IF($AS1108="","",Config!$B$17)</f>
        <v/>
      </c>
      <c r="U1108" t="str">
        <f>IF($AS1108="","",Config!$B$18)</f>
        <v/>
      </c>
      <c r="V1108" t="str">
        <f>IF($AS1108="","",Config!$B$19)</f>
        <v/>
      </c>
      <c r="W1108" t="str">
        <f>IF($AS1108="","",INDEX('TMP Paste'!$C$2:$C$1601,$AS1108))</f>
        <v/>
      </c>
      <c r="X1108" t="str">
        <f>IF($AS1108="","",Config!$B$29)</f>
        <v/>
      </c>
      <c r="Y1108" t="str">
        <f>IF($AT1108="","",INDEX(Calc!$I$2:$I$1601,$AT1108)&amp;" - "&amp;INDEX(Calc!$D$2:$D$1601,$AT1108)&amp;" koli")</f>
        <v/>
      </c>
      <c r="Z1108" t="str">
        <f>IF($AS1108="","",Config!$B$21)</f>
        <v/>
      </c>
      <c r="AA1108" t="str">
        <f>IF($AS1108="","",Config!$B$22)</f>
        <v/>
      </c>
      <c r="AB1108" t="str">
        <f>IF($AT1108="","",INDEX(Calc!$D$2:$D$1601,$AT1108))</f>
        <v/>
      </c>
      <c r="AC1108" t="str">
        <f>IF($AT1108="","",INDEX(Calc!$G$2:$G$1601,$AT1108))</f>
        <v/>
      </c>
      <c r="AD1108" t="str">
        <f>IF($AS1108="","",Config!$B$23)</f>
        <v/>
      </c>
      <c r="AE1108" t="str">
        <f>IF($AS1108="","",Config!$B$28)</f>
        <v/>
      </c>
      <c r="AF1108" t="str">
        <f t="shared" si="104"/>
        <v/>
      </c>
      <c r="AG1108" t="str">
        <f t="shared" si="105"/>
        <v/>
      </c>
      <c r="AH1108" t="str">
        <f t="shared" si="106"/>
        <v/>
      </c>
      <c r="AI1108" t="str">
        <f>IF($AG1108="","",SUMIF($AG$2:$AG1108,$AG1108,$AH$2:$AH1108))</f>
        <v/>
      </c>
      <c r="AJ1108" t="str">
        <f>IF('TMP Paste'!$F1108="","",IF('TMP Paste'!$B1108="",$AJ1107,'TMP Paste'!$B1108))</f>
        <v/>
      </c>
      <c r="AK1108" t="str">
        <f>IF('TMP Paste'!$F1108="","",N('TMP Paste'!$G1108))</f>
        <v/>
      </c>
      <c r="AL1108" t="str">
        <f>IF('TMP Paste'!$F1108="","",IF('TMP Paste'!$M1108="",$AL1107,'TMP Paste'!$M1108))</f>
        <v/>
      </c>
      <c r="AM1108" t="str">
        <f>IF('TMP Paste'!$F1108="","",IF('TMP Paste'!$N1108="",$AM1107,'TMP Paste'!$N1108))</f>
        <v/>
      </c>
      <c r="AN1108" t="str">
        <f>IF('TMP Paste'!$F1108="","",IF('TMP Paste'!$O1108="",$AN1107,'TMP Paste'!$O1108))</f>
        <v/>
      </c>
      <c r="AO1108" t="str">
        <f>IF('TMP Paste'!$F1108="","",IF('TMP Paste'!$P1108="",$AO1107,'TMP Paste'!$P1108))</f>
        <v/>
      </c>
      <c r="AP1108" t="str">
        <f t="shared" si="107"/>
        <v/>
      </c>
      <c r="AQ1108" t="str">
        <f>IF($AS1108="","",TRIM(IF(COUNTIFS(Calc!$B$2:$B$1601,ROW()-1,Calc!$C$2:$C$1601,"&lt;1")&gt;0,"Ada PO tanpa Koli - cek TMP. ","")&amp;IF(OR($AU1108="",$AU1108&lt;=0),"Volume kosong/0 - dimensi dikosongkan. ","")&amp;IF(AND($AU1108&lt;&gt;"",$AU1108&gt;=1000000),"Volume &gt;= 1.000.000 cm3 (di luar aturan) - dimensi dikosongkan. ","")&amp;IF(LEN($R1108)&gt;500,"R &gt; 500 karakter.","")))</f>
        <v/>
      </c>
      <c r="AS1108" t="str">
        <f>IFERROR(MATCH(ROW()-1,Calc!$J$2:$J$1601,0),"")</f>
        <v/>
      </c>
      <c r="AT1108" t="str">
        <f>IFERROR(MATCH(ROW()-1,Calc!$K$2:$K$1601,0),"")</f>
        <v/>
      </c>
      <c r="AU1108" t="str">
        <f>IF($AS1108="","",IFERROR(INDEX('TMP Paste'!$D$2:$D$1601,$AS1108)*1000000/$AB1108,""))</f>
        <v/>
      </c>
    </row>
    <row r="1109" spans="1:47">
      <c r="A1109" t="str">
        <f>IF($AS1109="","",INDEX('TMP Paste'!$B$2:$B$1601,$AS1109))</f>
        <v/>
      </c>
      <c r="B1109" t="str">
        <f>IF($AS1109="","",Config!$B$14)</f>
        <v/>
      </c>
      <c r="C1109" t="str">
        <f>IF($AS1109="","",Config!$B$15)</f>
        <v/>
      </c>
      <c r="D1109" t="str">
        <f>IF($AS1109="","",INDEX('TMP Paste'!$B$2:$B$1601,$AS1109))</f>
        <v/>
      </c>
      <c r="E1109" t="str">
        <f>IF($AS1109="","",Config!$B$27)</f>
        <v/>
      </c>
      <c r="F1109" t="str">
        <f>IF($AS1109="","",Config!$B$9)</f>
        <v/>
      </c>
      <c r="G1109" t="str">
        <f>IF($AS1109="","",Config!$B$10)</f>
        <v/>
      </c>
      <c r="H1109" t="str">
        <f>IF($AS1109="","",Config!$B$11)</f>
        <v/>
      </c>
      <c r="I1109" t="str">
        <f>IF($AS1109="","",Config!$B$16)</f>
        <v/>
      </c>
      <c r="J1109" t="str">
        <f>IF($AS1109="","",INDEX('TMP Paste'!$A$2:$A$1601,$AS1109))</f>
        <v/>
      </c>
      <c r="K1109" t="str">
        <f>IF($AS1109="","",INDEX('TMP Paste'!$L$2:$L$1601,$AS1109))</f>
        <v/>
      </c>
      <c r="L1109" t="str">
        <f>IF($AS1109="","",INDEX('TMP Paste'!$I$2:$I$1601,$AS1109))</f>
        <v/>
      </c>
      <c r="M1109" t="str">
        <f>IF($AS1109="","",Config!$B$16)</f>
        <v/>
      </c>
      <c r="N1109" t="str">
        <f t="shared" si="102"/>
        <v/>
      </c>
      <c r="O1109" t="str">
        <f>IF($AS1109="","",INDEX('TMP Paste'!$K$2:$K$1601,$AS1109))</f>
        <v/>
      </c>
      <c r="P1109" t="str">
        <f t="shared" si="103"/>
        <v/>
      </c>
      <c r="Q1109" t="str">
        <f>IF($AS1109="","",INDEX('TMP Paste'!$J$2:$J$1601,$AS1109))</f>
        <v/>
      </c>
      <c r="R1109" t="str">
        <f>IF($AS1109="","",Config!$B$24)</f>
        <v/>
      </c>
      <c r="S1109" t="str">
        <f ca="1">IF($AS1109="","",TEXT(Config!$B$4,"yyyy-mm-dd"))</f>
        <v/>
      </c>
      <c r="T1109" t="str">
        <f>IF($AS1109="","",Config!$B$17)</f>
        <v/>
      </c>
      <c r="U1109" t="str">
        <f>IF($AS1109="","",Config!$B$18)</f>
        <v/>
      </c>
      <c r="V1109" t="str">
        <f>IF($AS1109="","",Config!$B$19)</f>
        <v/>
      </c>
      <c r="W1109" t="str">
        <f>IF($AS1109="","",INDEX('TMP Paste'!$C$2:$C$1601,$AS1109))</f>
        <v/>
      </c>
      <c r="X1109" t="str">
        <f>IF($AS1109="","",Config!$B$29)</f>
        <v/>
      </c>
      <c r="Y1109" t="str">
        <f>IF($AT1109="","",INDEX(Calc!$I$2:$I$1601,$AT1109)&amp;" - "&amp;INDEX(Calc!$D$2:$D$1601,$AT1109)&amp;" koli")</f>
        <v/>
      </c>
      <c r="Z1109" t="str">
        <f>IF($AS1109="","",Config!$B$21)</f>
        <v/>
      </c>
      <c r="AA1109" t="str">
        <f>IF($AS1109="","",Config!$B$22)</f>
        <v/>
      </c>
      <c r="AB1109" t="str">
        <f>IF($AT1109="","",INDEX(Calc!$D$2:$D$1601,$AT1109))</f>
        <v/>
      </c>
      <c r="AC1109" t="str">
        <f>IF($AT1109="","",INDEX(Calc!$G$2:$G$1601,$AT1109))</f>
        <v/>
      </c>
      <c r="AD1109" t="str">
        <f>IF($AS1109="","",Config!$B$23)</f>
        <v/>
      </c>
      <c r="AE1109" t="str">
        <f>IF($AS1109="","",Config!$B$28)</f>
        <v/>
      </c>
      <c r="AF1109" t="str">
        <f t="shared" si="104"/>
        <v/>
      </c>
      <c r="AG1109" t="str">
        <f t="shared" si="105"/>
        <v/>
      </c>
      <c r="AH1109" t="str">
        <f t="shared" si="106"/>
        <v/>
      </c>
      <c r="AI1109" t="str">
        <f>IF($AG1109="","",SUMIF($AG$2:$AG1109,$AG1109,$AH$2:$AH1109))</f>
        <v/>
      </c>
      <c r="AJ1109" t="str">
        <f>IF('TMP Paste'!$F1109="","",IF('TMP Paste'!$B1109="",$AJ1108,'TMP Paste'!$B1109))</f>
        <v/>
      </c>
      <c r="AK1109" t="str">
        <f>IF('TMP Paste'!$F1109="","",N('TMP Paste'!$G1109))</f>
        <v/>
      </c>
      <c r="AL1109" t="str">
        <f>IF('TMP Paste'!$F1109="","",IF('TMP Paste'!$M1109="",$AL1108,'TMP Paste'!$M1109))</f>
        <v/>
      </c>
      <c r="AM1109" t="str">
        <f>IF('TMP Paste'!$F1109="","",IF('TMP Paste'!$N1109="",$AM1108,'TMP Paste'!$N1109))</f>
        <v/>
      </c>
      <c r="AN1109" t="str">
        <f>IF('TMP Paste'!$F1109="","",IF('TMP Paste'!$O1109="",$AN1108,'TMP Paste'!$O1109))</f>
        <v/>
      </c>
      <c r="AO1109" t="str">
        <f>IF('TMP Paste'!$F1109="","",IF('TMP Paste'!$P1109="",$AO1108,'TMP Paste'!$P1109))</f>
        <v/>
      </c>
      <c r="AP1109" t="str">
        <f t="shared" si="107"/>
        <v/>
      </c>
      <c r="AQ1109" t="str">
        <f>IF($AS1109="","",TRIM(IF(COUNTIFS(Calc!$B$2:$B$1601,ROW()-1,Calc!$C$2:$C$1601,"&lt;1")&gt;0,"Ada PO tanpa Koli - cek TMP. ","")&amp;IF(OR($AU1109="",$AU1109&lt;=0),"Volume kosong/0 - dimensi dikosongkan. ","")&amp;IF(AND($AU1109&lt;&gt;"",$AU1109&gt;=1000000),"Volume &gt;= 1.000.000 cm3 (di luar aturan) - dimensi dikosongkan. ","")&amp;IF(LEN($R1109)&gt;500,"R &gt; 500 karakter.","")))</f>
        <v/>
      </c>
      <c r="AS1109" t="str">
        <f>IFERROR(MATCH(ROW()-1,Calc!$J$2:$J$1601,0),"")</f>
        <v/>
      </c>
      <c r="AT1109" t="str">
        <f>IFERROR(MATCH(ROW()-1,Calc!$K$2:$K$1601,0),"")</f>
        <v/>
      </c>
      <c r="AU1109" t="str">
        <f>IF($AS1109="","",IFERROR(INDEX('TMP Paste'!$D$2:$D$1601,$AS1109)*1000000/$AB1109,""))</f>
        <v/>
      </c>
    </row>
    <row r="1110" spans="1:47">
      <c r="A1110" t="str">
        <f>IF($AS1110="","",INDEX('TMP Paste'!$B$2:$B$1601,$AS1110))</f>
        <v/>
      </c>
      <c r="B1110" t="str">
        <f>IF($AS1110="","",Config!$B$14)</f>
        <v/>
      </c>
      <c r="C1110" t="str">
        <f>IF($AS1110="","",Config!$B$15)</f>
        <v/>
      </c>
      <c r="D1110" t="str">
        <f>IF($AS1110="","",INDEX('TMP Paste'!$B$2:$B$1601,$AS1110))</f>
        <v/>
      </c>
      <c r="E1110" t="str">
        <f>IF($AS1110="","",Config!$B$27)</f>
        <v/>
      </c>
      <c r="F1110" t="str">
        <f>IF($AS1110="","",Config!$B$9)</f>
        <v/>
      </c>
      <c r="G1110" t="str">
        <f>IF($AS1110="","",Config!$B$10)</f>
        <v/>
      </c>
      <c r="H1110" t="str">
        <f>IF($AS1110="","",Config!$B$11)</f>
        <v/>
      </c>
      <c r="I1110" t="str">
        <f>IF($AS1110="","",Config!$B$16)</f>
        <v/>
      </c>
      <c r="J1110" t="str">
        <f>IF($AS1110="","",INDEX('TMP Paste'!$A$2:$A$1601,$AS1110))</f>
        <v/>
      </c>
      <c r="K1110" t="str">
        <f>IF($AS1110="","",INDEX('TMP Paste'!$L$2:$L$1601,$AS1110))</f>
        <v/>
      </c>
      <c r="L1110" t="str">
        <f>IF($AS1110="","",INDEX('TMP Paste'!$I$2:$I$1601,$AS1110))</f>
        <v/>
      </c>
      <c r="M1110" t="str">
        <f>IF($AS1110="","",Config!$B$16)</f>
        <v/>
      </c>
      <c r="N1110" t="str">
        <f t="shared" si="102"/>
        <v/>
      </c>
      <c r="O1110" t="str">
        <f>IF($AS1110="","",INDEX('TMP Paste'!$K$2:$K$1601,$AS1110))</f>
        <v/>
      </c>
      <c r="P1110" t="str">
        <f t="shared" si="103"/>
        <v/>
      </c>
      <c r="Q1110" t="str">
        <f>IF($AS1110="","",INDEX('TMP Paste'!$J$2:$J$1601,$AS1110))</f>
        <v/>
      </c>
      <c r="R1110" t="str">
        <f>IF($AS1110="","",Config!$B$24)</f>
        <v/>
      </c>
      <c r="S1110" t="str">
        <f ca="1">IF($AS1110="","",TEXT(Config!$B$4,"yyyy-mm-dd"))</f>
        <v/>
      </c>
      <c r="T1110" t="str">
        <f>IF($AS1110="","",Config!$B$17)</f>
        <v/>
      </c>
      <c r="U1110" t="str">
        <f>IF($AS1110="","",Config!$B$18)</f>
        <v/>
      </c>
      <c r="V1110" t="str">
        <f>IF($AS1110="","",Config!$B$19)</f>
        <v/>
      </c>
      <c r="W1110" t="str">
        <f>IF($AS1110="","",INDEX('TMP Paste'!$C$2:$C$1601,$AS1110))</f>
        <v/>
      </c>
      <c r="X1110" t="str">
        <f>IF($AS1110="","",Config!$B$29)</f>
        <v/>
      </c>
      <c r="Y1110" t="str">
        <f>IF($AT1110="","",INDEX(Calc!$I$2:$I$1601,$AT1110)&amp;" - "&amp;INDEX(Calc!$D$2:$D$1601,$AT1110)&amp;" koli")</f>
        <v/>
      </c>
      <c r="Z1110" t="str">
        <f>IF($AS1110="","",Config!$B$21)</f>
        <v/>
      </c>
      <c r="AA1110" t="str">
        <f>IF($AS1110="","",Config!$B$22)</f>
        <v/>
      </c>
      <c r="AB1110" t="str">
        <f>IF($AT1110="","",INDEX(Calc!$D$2:$D$1601,$AT1110))</f>
        <v/>
      </c>
      <c r="AC1110" t="str">
        <f>IF($AT1110="","",INDEX(Calc!$G$2:$G$1601,$AT1110))</f>
        <v/>
      </c>
      <c r="AD1110" t="str">
        <f>IF($AS1110="","",Config!$B$23)</f>
        <v/>
      </c>
      <c r="AE1110" t="str">
        <f>IF($AS1110="","",Config!$B$28)</f>
        <v/>
      </c>
      <c r="AF1110" t="str">
        <f t="shared" si="104"/>
        <v/>
      </c>
      <c r="AG1110" t="str">
        <f t="shared" si="105"/>
        <v/>
      </c>
      <c r="AH1110" t="str">
        <f t="shared" si="106"/>
        <v/>
      </c>
      <c r="AI1110" t="str">
        <f>IF($AG1110="","",SUMIF($AG$2:$AG1110,$AG1110,$AH$2:$AH1110))</f>
        <v/>
      </c>
      <c r="AJ1110" t="str">
        <f>IF('TMP Paste'!$F1110="","",IF('TMP Paste'!$B1110="",$AJ1109,'TMP Paste'!$B1110))</f>
        <v/>
      </c>
      <c r="AK1110" t="str">
        <f>IF('TMP Paste'!$F1110="","",N('TMP Paste'!$G1110))</f>
        <v/>
      </c>
      <c r="AL1110" t="str">
        <f>IF('TMP Paste'!$F1110="","",IF('TMP Paste'!$M1110="",$AL1109,'TMP Paste'!$M1110))</f>
        <v/>
      </c>
      <c r="AM1110" t="str">
        <f>IF('TMP Paste'!$F1110="","",IF('TMP Paste'!$N1110="",$AM1109,'TMP Paste'!$N1110))</f>
        <v/>
      </c>
      <c r="AN1110" t="str">
        <f>IF('TMP Paste'!$F1110="","",IF('TMP Paste'!$O1110="",$AN1109,'TMP Paste'!$O1110))</f>
        <v/>
      </c>
      <c r="AO1110" t="str">
        <f>IF('TMP Paste'!$F1110="","",IF('TMP Paste'!$P1110="",$AO1109,'TMP Paste'!$P1110))</f>
        <v/>
      </c>
      <c r="AP1110" t="str">
        <f t="shared" si="107"/>
        <v/>
      </c>
      <c r="AQ1110" t="str">
        <f>IF($AS1110="","",TRIM(IF(COUNTIFS(Calc!$B$2:$B$1601,ROW()-1,Calc!$C$2:$C$1601,"&lt;1")&gt;0,"Ada PO tanpa Koli - cek TMP. ","")&amp;IF(OR($AU1110="",$AU1110&lt;=0),"Volume kosong/0 - dimensi dikosongkan. ","")&amp;IF(AND($AU1110&lt;&gt;"",$AU1110&gt;=1000000),"Volume &gt;= 1.000.000 cm3 (di luar aturan) - dimensi dikosongkan. ","")&amp;IF(LEN($R1110)&gt;500,"R &gt; 500 karakter.","")))</f>
        <v/>
      </c>
      <c r="AS1110" t="str">
        <f>IFERROR(MATCH(ROW()-1,Calc!$J$2:$J$1601,0),"")</f>
        <v/>
      </c>
      <c r="AT1110" t="str">
        <f>IFERROR(MATCH(ROW()-1,Calc!$K$2:$K$1601,0),"")</f>
        <v/>
      </c>
      <c r="AU1110" t="str">
        <f>IF($AS1110="","",IFERROR(INDEX('TMP Paste'!$D$2:$D$1601,$AS1110)*1000000/$AB1110,""))</f>
        <v/>
      </c>
    </row>
    <row r="1111" spans="1:47">
      <c r="A1111" t="str">
        <f>IF($AS1111="","",INDEX('TMP Paste'!$B$2:$B$1601,$AS1111))</f>
        <v/>
      </c>
      <c r="B1111" t="str">
        <f>IF($AS1111="","",Config!$B$14)</f>
        <v/>
      </c>
      <c r="C1111" t="str">
        <f>IF($AS1111="","",Config!$B$15)</f>
        <v/>
      </c>
      <c r="D1111" t="str">
        <f>IF($AS1111="","",INDEX('TMP Paste'!$B$2:$B$1601,$AS1111))</f>
        <v/>
      </c>
      <c r="E1111" t="str">
        <f>IF($AS1111="","",Config!$B$27)</f>
        <v/>
      </c>
      <c r="F1111" t="str">
        <f>IF($AS1111="","",Config!$B$9)</f>
        <v/>
      </c>
      <c r="G1111" t="str">
        <f>IF($AS1111="","",Config!$B$10)</f>
        <v/>
      </c>
      <c r="H1111" t="str">
        <f>IF($AS1111="","",Config!$B$11)</f>
        <v/>
      </c>
      <c r="I1111" t="str">
        <f>IF($AS1111="","",Config!$B$16)</f>
        <v/>
      </c>
      <c r="J1111" t="str">
        <f>IF($AS1111="","",INDEX('TMP Paste'!$A$2:$A$1601,$AS1111))</f>
        <v/>
      </c>
      <c r="K1111" t="str">
        <f>IF($AS1111="","",INDEX('TMP Paste'!$L$2:$L$1601,$AS1111))</f>
        <v/>
      </c>
      <c r="L1111" t="str">
        <f>IF($AS1111="","",INDEX('TMP Paste'!$I$2:$I$1601,$AS1111))</f>
        <v/>
      </c>
      <c r="M1111" t="str">
        <f>IF($AS1111="","",Config!$B$16)</f>
        <v/>
      </c>
      <c r="N1111" t="str">
        <f t="shared" si="102"/>
        <v/>
      </c>
      <c r="O1111" t="str">
        <f>IF($AS1111="","",INDEX('TMP Paste'!$K$2:$K$1601,$AS1111))</f>
        <v/>
      </c>
      <c r="P1111" t="str">
        <f t="shared" si="103"/>
        <v/>
      </c>
      <c r="Q1111" t="str">
        <f>IF($AS1111="","",INDEX('TMP Paste'!$J$2:$J$1601,$AS1111))</f>
        <v/>
      </c>
      <c r="R1111" t="str">
        <f>IF($AS1111="","",Config!$B$24)</f>
        <v/>
      </c>
      <c r="S1111" t="str">
        <f ca="1">IF($AS1111="","",TEXT(Config!$B$4,"yyyy-mm-dd"))</f>
        <v/>
      </c>
      <c r="T1111" t="str">
        <f>IF($AS1111="","",Config!$B$17)</f>
        <v/>
      </c>
      <c r="U1111" t="str">
        <f>IF($AS1111="","",Config!$B$18)</f>
        <v/>
      </c>
      <c r="V1111" t="str">
        <f>IF($AS1111="","",Config!$B$19)</f>
        <v/>
      </c>
      <c r="W1111" t="str">
        <f>IF($AS1111="","",INDEX('TMP Paste'!$C$2:$C$1601,$AS1111))</f>
        <v/>
      </c>
      <c r="X1111" t="str">
        <f>IF($AS1111="","",Config!$B$29)</f>
        <v/>
      </c>
      <c r="Y1111" t="str">
        <f>IF($AT1111="","",INDEX(Calc!$I$2:$I$1601,$AT1111)&amp;" - "&amp;INDEX(Calc!$D$2:$D$1601,$AT1111)&amp;" koli")</f>
        <v/>
      </c>
      <c r="Z1111" t="str">
        <f>IF($AS1111="","",Config!$B$21)</f>
        <v/>
      </c>
      <c r="AA1111" t="str">
        <f>IF($AS1111="","",Config!$B$22)</f>
        <v/>
      </c>
      <c r="AB1111" t="str">
        <f>IF($AT1111="","",INDEX(Calc!$D$2:$D$1601,$AT1111))</f>
        <v/>
      </c>
      <c r="AC1111" t="str">
        <f>IF($AT1111="","",INDEX(Calc!$G$2:$G$1601,$AT1111))</f>
        <v/>
      </c>
      <c r="AD1111" t="str">
        <f>IF($AS1111="","",Config!$B$23)</f>
        <v/>
      </c>
      <c r="AE1111" t="str">
        <f>IF($AS1111="","",Config!$B$28)</f>
        <v/>
      </c>
      <c r="AF1111" t="str">
        <f t="shared" si="104"/>
        <v/>
      </c>
      <c r="AG1111" t="str">
        <f t="shared" si="105"/>
        <v/>
      </c>
      <c r="AH1111" t="str">
        <f t="shared" si="106"/>
        <v/>
      </c>
      <c r="AI1111" t="str">
        <f>IF($AG1111="","",SUMIF($AG$2:$AG1111,$AG1111,$AH$2:$AH1111))</f>
        <v/>
      </c>
      <c r="AJ1111" t="str">
        <f>IF('TMP Paste'!$F1111="","",IF('TMP Paste'!$B1111="",$AJ1110,'TMP Paste'!$B1111))</f>
        <v/>
      </c>
      <c r="AK1111" t="str">
        <f>IF('TMP Paste'!$F1111="","",N('TMP Paste'!$G1111))</f>
        <v/>
      </c>
      <c r="AL1111" t="str">
        <f>IF('TMP Paste'!$F1111="","",IF('TMP Paste'!$M1111="",$AL1110,'TMP Paste'!$M1111))</f>
        <v/>
      </c>
      <c r="AM1111" t="str">
        <f>IF('TMP Paste'!$F1111="","",IF('TMP Paste'!$N1111="",$AM1110,'TMP Paste'!$N1111))</f>
        <v/>
      </c>
      <c r="AN1111" t="str">
        <f>IF('TMP Paste'!$F1111="","",IF('TMP Paste'!$O1111="",$AN1110,'TMP Paste'!$O1111))</f>
        <v/>
      </c>
      <c r="AO1111" t="str">
        <f>IF('TMP Paste'!$F1111="","",IF('TMP Paste'!$P1111="",$AO1110,'TMP Paste'!$P1111))</f>
        <v/>
      </c>
      <c r="AP1111" t="str">
        <f t="shared" si="107"/>
        <v/>
      </c>
      <c r="AQ1111" t="str">
        <f>IF($AS1111="","",TRIM(IF(COUNTIFS(Calc!$B$2:$B$1601,ROW()-1,Calc!$C$2:$C$1601,"&lt;1")&gt;0,"Ada PO tanpa Koli - cek TMP. ","")&amp;IF(OR($AU1111="",$AU1111&lt;=0),"Volume kosong/0 - dimensi dikosongkan. ","")&amp;IF(AND($AU1111&lt;&gt;"",$AU1111&gt;=1000000),"Volume &gt;= 1.000.000 cm3 (di luar aturan) - dimensi dikosongkan. ","")&amp;IF(LEN($R1111)&gt;500,"R &gt; 500 karakter.","")))</f>
        <v/>
      </c>
      <c r="AS1111" t="str">
        <f>IFERROR(MATCH(ROW()-1,Calc!$J$2:$J$1601,0),"")</f>
        <v/>
      </c>
      <c r="AT1111" t="str">
        <f>IFERROR(MATCH(ROW()-1,Calc!$K$2:$K$1601,0),"")</f>
        <v/>
      </c>
      <c r="AU1111" t="str">
        <f>IF($AS1111="","",IFERROR(INDEX('TMP Paste'!$D$2:$D$1601,$AS1111)*1000000/$AB1111,""))</f>
        <v/>
      </c>
    </row>
    <row r="1112" spans="1:47">
      <c r="A1112" t="str">
        <f>IF($AS1112="","",INDEX('TMP Paste'!$B$2:$B$1601,$AS1112))</f>
        <v/>
      </c>
      <c r="B1112" t="str">
        <f>IF($AS1112="","",Config!$B$14)</f>
        <v/>
      </c>
      <c r="C1112" t="str">
        <f>IF($AS1112="","",Config!$B$15)</f>
        <v/>
      </c>
      <c r="D1112" t="str">
        <f>IF($AS1112="","",INDEX('TMP Paste'!$B$2:$B$1601,$AS1112))</f>
        <v/>
      </c>
      <c r="E1112" t="str">
        <f>IF($AS1112="","",Config!$B$27)</f>
        <v/>
      </c>
      <c r="F1112" t="str">
        <f>IF($AS1112="","",Config!$B$9)</f>
        <v/>
      </c>
      <c r="G1112" t="str">
        <f>IF($AS1112="","",Config!$B$10)</f>
        <v/>
      </c>
      <c r="H1112" t="str">
        <f>IF($AS1112="","",Config!$B$11)</f>
        <v/>
      </c>
      <c r="I1112" t="str">
        <f>IF($AS1112="","",Config!$B$16)</f>
        <v/>
      </c>
      <c r="J1112" t="str">
        <f>IF($AS1112="","",INDEX('TMP Paste'!$A$2:$A$1601,$AS1112))</f>
        <v/>
      </c>
      <c r="K1112" t="str">
        <f>IF($AS1112="","",INDEX('TMP Paste'!$L$2:$L$1601,$AS1112))</f>
        <v/>
      </c>
      <c r="L1112" t="str">
        <f>IF($AS1112="","",INDEX('TMP Paste'!$I$2:$I$1601,$AS1112))</f>
        <v/>
      </c>
      <c r="M1112" t="str">
        <f>IF($AS1112="","",Config!$B$16)</f>
        <v/>
      </c>
      <c r="N1112" t="str">
        <f t="shared" si="102"/>
        <v/>
      </c>
      <c r="O1112" t="str">
        <f>IF($AS1112="","",INDEX('TMP Paste'!$K$2:$K$1601,$AS1112))</f>
        <v/>
      </c>
      <c r="P1112" t="str">
        <f t="shared" si="103"/>
        <v/>
      </c>
      <c r="Q1112" t="str">
        <f>IF($AS1112="","",INDEX('TMP Paste'!$J$2:$J$1601,$AS1112))</f>
        <v/>
      </c>
      <c r="R1112" t="str">
        <f>IF($AS1112="","",Config!$B$24)</f>
        <v/>
      </c>
      <c r="S1112" t="str">
        <f ca="1">IF($AS1112="","",TEXT(Config!$B$4,"yyyy-mm-dd"))</f>
        <v/>
      </c>
      <c r="T1112" t="str">
        <f>IF($AS1112="","",Config!$B$17)</f>
        <v/>
      </c>
      <c r="U1112" t="str">
        <f>IF($AS1112="","",Config!$B$18)</f>
        <v/>
      </c>
      <c r="V1112" t="str">
        <f>IF($AS1112="","",Config!$B$19)</f>
        <v/>
      </c>
      <c r="W1112" t="str">
        <f>IF($AS1112="","",INDEX('TMP Paste'!$C$2:$C$1601,$AS1112))</f>
        <v/>
      </c>
      <c r="X1112" t="str">
        <f>IF($AS1112="","",Config!$B$29)</f>
        <v/>
      </c>
      <c r="Y1112" t="str">
        <f>IF($AT1112="","",INDEX(Calc!$I$2:$I$1601,$AT1112)&amp;" - "&amp;INDEX(Calc!$D$2:$D$1601,$AT1112)&amp;" koli")</f>
        <v/>
      </c>
      <c r="Z1112" t="str">
        <f>IF($AS1112="","",Config!$B$21)</f>
        <v/>
      </c>
      <c r="AA1112" t="str">
        <f>IF($AS1112="","",Config!$B$22)</f>
        <v/>
      </c>
      <c r="AB1112" t="str">
        <f>IF($AT1112="","",INDEX(Calc!$D$2:$D$1601,$AT1112))</f>
        <v/>
      </c>
      <c r="AC1112" t="str">
        <f>IF($AT1112="","",INDEX(Calc!$G$2:$G$1601,$AT1112))</f>
        <v/>
      </c>
      <c r="AD1112" t="str">
        <f>IF($AS1112="","",Config!$B$23)</f>
        <v/>
      </c>
      <c r="AE1112" t="str">
        <f>IF($AS1112="","",Config!$B$28)</f>
        <v/>
      </c>
      <c r="AF1112" t="str">
        <f t="shared" si="104"/>
        <v/>
      </c>
      <c r="AG1112" t="str">
        <f t="shared" si="105"/>
        <v/>
      </c>
      <c r="AH1112" t="str">
        <f t="shared" si="106"/>
        <v/>
      </c>
      <c r="AI1112" t="str">
        <f>IF($AG1112="","",SUMIF($AG$2:$AG1112,$AG1112,$AH$2:$AH1112))</f>
        <v/>
      </c>
      <c r="AJ1112" t="str">
        <f>IF('TMP Paste'!$F1112="","",IF('TMP Paste'!$B1112="",$AJ1111,'TMP Paste'!$B1112))</f>
        <v/>
      </c>
      <c r="AK1112" t="str">
        <f>IF('TMP Paste'!$F1112="","",N('TMP Paste'!$G1112))</f>
        <v/>
      </c>
      <c r="AL1112" t="str">
        <f>IF('TMP Paste'!$F1112="","",IF('TMP Paste'!$M1112="",$AL1111,'TMP Paste'!$M1112))</f>
        <v/>
      </c>
      <c r="AM1112" t="str">
        <f>IF('TMP Paste'!$F1112="","",IF('TMP Paste'!$N1112="",$AM1111,'TMP Paste'!$N1112))</f>
        <v/>
      </c>
      <c r="AN1112" t="str">
        <f>IF('TMP Paste'!$F1112="","",IF('TMP Paste'!$O1112="",$AN1111,'TMP Paste'!$O1112))</f>
        <v/>
      </c>
      <c r="AO1112" t="str">
        <f>IF('TMP Paste'!$F1112="","",IF('TMP Paste'!$P1112="",$AO1111,'TMP Paste'!$P1112))</f>
        <v/>
      </c>
      <c r="AP1112" t="str">
        <f t="shared" si="107"/>
        <v/>
      </c>
      <c r="AQ1112" t="str">
        <f>IF($AS1112="","",TRIM(IF(COUNTIFS(Calc!$B$2:$B$1601,ROW()-1,Calc!$C$2:$C$1601,"&lt;1")&gt;0,"Ada PO tanpa Koli - cek TMP. ","")&amp;IF(OR($AU1112="",$AU1112&lt;=0),"Volume kosong/0 - dimensi dikosongkan. ","")&amp;IF(AND($AU1112&lt;&gt;"",$AU1112&gt;=1000000),"Volume &gt;= 1.000.000 cm3 (di luar aturan) - dimensi dikosongkan. ","")&amp;IF(LEN($R1112)&gt;500,"R &gt; 500 karakter.","")))</f>
        <v/>
      </c>
      <c r="AS1112" t="str">
        <f>IFERROR(MATCH(ROW()-1,Calc!$J$2:$J$1601,0),"")</f>
        <v/>
      </c>
      <c r="AT1112" t="str">
        <f>IFERROR(MATCH(ROW()-1,Calc!$K$2:$K$1601,0),"")</f>
        <v/>
      </c>
      <c r="AU1112" t="str">
        <f>IF($AS1112="","",IFERROR(INDEX('TMP Paste'!$D$2:$D$1601,$AS1112)*1000000/$AB1112,""))</f>
        <v/>
      </c>
    </row>
    <row r="1113" spans="1:47">
      <c r="A1113" t="str">
        <f>IF($AS1113="","",INDEX('TMP Paste'!$B$2:$B$1601,$AS1113))</f>
        <v/>
      </c>
      <c r="B1113" t="str">
        <f>IF($AS1113="","",Config!$B$14)</f>
        <v/>
      </c>
      <c r="C1113" t="str">
        <f>IF($AS1113="","",Config!$B$15)</f>
        <v/>
      </c>
      <c r="D1113" t="str">
        <f>IF($AS1113="","",INDEX('TMP Paste'!$B$2:$B$1601,$AS1113))</f>
        <v/>
      </c>
      <c r="E1113" t="str">
        <f>IF($AS1113="","",Config!$B$27)</f>
        <v/>
      </c>
      <c r="F1113" t="str">
        <f>IF($AS1113="","",Config!$B$9)</f>
        <v/>
      </c>
      <c r="G1113" t="str">
        <f>IF($AS1113="","",Config!$B$10)</f>
        <v/>
      </c>
      <c r="H1113" t="str">
        <f>IF($AS1113="","",Config!$B$11)</f>
        <v/>
      </c>
      <c r="I1113" t="str">
        <f>IF($AS1113="","",Config!$B$16)</f>
        <v/>
      </c>
      <c r="J1113" t="str">
        <f>IF($AS1113="","",INDEX('TMP Paste'!$A$2:$A$1601,$AS1113))</f>
        <v/>
      </c>
      <c r="K1113" t="str">
        <f>IF($AS1113="","",INDEX('TMP Paste'!$L$2:$L$1601,$AS1113))</f>
        <v/>
      </c>
      <c r="L1113" t="str">
        <f>IF($AS1113="","",INDEX('TMP Paste'!$I$2:$I$1601,$AS1113))</f>
        <v/>
      </c>
      <c r="M1113" t="str">
        <f>IF($AS1113="","",Config!$B$16)</f>
        <v/>
      </c>
      <c r="N1113" t="str">
        <f t="shared" si="102"/>
        <v/>
      </c>
      <c r="O1113" t="str">
        <f>IF($AS1113="","",INDEX('TMP Paste'!$K$2:$K$1601,$AS1113))</f>
        <v/>
      </c>
      <c r="P1113" t="str">
        <f t="shared" si="103"/>
        <v/>
      </c>
      <c r="Q1113" t="str">
        <f>IF($AS1113="","",INDEX('TMP Paste'!$J$2:$J$1601,$AS1113))</f>
        <v/>
      </c>
      <c r="R1113" t="str">
        <f>IF($AS1113="","",Config!$B$24)</f>
        <v/>
      </c>
      <c r="S1113" t="str">
        <f ca="1">IF($AS1113="","",TEXT(Config!$B$4,"yyyy-mm-dd"))</f>
        <v/>
      </c>
      <c r="T1113" t="str">
        <f>IF($AS1113="","",Config!$B$17)</f>
        <v/>
      </c>
      <c r="U1113" t="str">
        <f>IF($AS1113="","",Config!$B$18)</f>
        <v/>
      </c>
      <c r="V1113" t="str">
        <f>IF($AS1113="","",Config!$B$19)</f>
        <v/>
      </c>
      <c r="W1113" t="str">
        <f>IF($AS1113="","",INDEX('TMP Paste'!$C$2:$C$1601,$AS1113))</f>
        <v/>
      </c>
      <c r="X1113" t="str">
        <f>IF($AS1113="","",Config!$B$29)</f>
        <v/>
      </c>
      <c r="Y1113" t="str">
        <f>IF($AT1113="","",INDEX(Calc!$I$2:$I$1601,$AT1113)&amp;" - "&amp;INDEX(Calc!$D$2:$D$1601,$AT1113)&amp;" koli")</f>
        <v/>
      </c>
      <c r="Z1113" t="str">
        <f>IF($AS1113="","",Config!$B$21)</f>
        <v/>
      </c>
      <c r="AA1113" t="str">
        <f>IF($AS1113="","",Config!$B$22)</f>
        <v/>
      </c>
      <c r="AB1113" t="str">
        <f>IF($AT1113="","",INDEX(Calc!$D$2:$D$1601,$AT1113))</f>
        <v/>
      </c>
      <c r="AC1113" t="str">
        <f>IF($AT1113="","",INDEX(Calc!$G$2:$G$1601,$AT1113))</f>
        <v/>
      </c>
      <c r="AD1113" t="str">
        <f>IF($AS1113="","",Config!$B$23)</f>
        <v/>
      </c>
      <c r="AE1113" t="str">
        <f>IF($AS1113="","",Config!$B$28)</f>
        <v/>
      </c>
      <c r="AF1113" t="str">
        <f t="shared" si="104"/>
        <v/>
      </c>
      <c r="AG1113" t="str">
        <f t="shared" si="105"/>
        <v/>
      </c>
      <c r="AH1113" t="str">
        <f t="shared" si="106"/>
        <v/>
      </c>
      <c r="AI1113" t="str">
        <f>IF($AG1113="","",SUMIF($AG$2:$AG1113,$AG1113,$AH$2:$AH1113))</f>
        <v/>
      </c>
      <c r="AJ1113" t="str">
        <f>IF('TMP Paste'!$F1113="","",IF('TMP Paste'!$B1113="",$AJ1112,'TMP Paste'!$B1113))</f>
        <v/>
      </c>
      <c r="AK1113" t="str">
        <f>IF('TMP Paste'!$F1113="","",N('TMP Paste'!$G1113))</f>
        <v/>
      </c>
      <c r="AL1113" t="str">
        <f>IF('TMP Paste'!$F1113="","",IF('TMP Paste'!$M1113="",$AL1112,'TMP Paste'!$M1113))</f>
        <v/>
      </c>
      <c r="AM1113" t="str">
        <f>IF('TMP Paste'!$F1113="","",IF('TMP Paste'!$N1113="",$AM1112,'TMP Paste'!$N1113))</f>
        <v/>
      </c>
      <c r="AN1113" t="str">
        <f>IF('TMP Paste'!$F1113="","",IF('TMP Paste'!$O1113="",$AN1112,'TMP Paste'!$O1113))</f>
        <v/>
      </c>
      <c r="AO1113" t="str">
        <f>IF('TMP Paste'!$F1113="","",IF('TMP Paste'!$P1113="",$AO1112,'TMP Paste'!$P1113))</f>
        <v/>
      </c>
      <c r="AP1113" t="str">
        <f t="shared" si="107"/>
        <v/>
      </c>
      <c r="AQ1113" t="str">
        <f>IF($AS1113="","",TRIM(IF(COUNTIFS(Calc!$B$2:$B$1601,ROW()-1,Calc!$C$2:$C$1601,"&lt;1")&gt;0,"Ada PO tanpa Koli - cek TMP. ","")&amp;IF(OR($AU1113="",$AU1113&lt;=0),"Volume kosong/0 - dimensi dikosongkan. ","")&amp;IF(AND($AU1113&lt;&gt;"",$AU1113&gt;=1000000),"Volume &gt;= 1.000.000 cm3 (di luar aturan) - dimensi dikosongkan. ","")&amp;IF(LEN($R1113)&gt;500,"R &gt; 500 karakter.","")))</f>
        <v/>
      </c>
      <c r="AS1113" t="str">
        <f>IFERROR(MATCH(ROW()-1,Calc!$J$2:$J$1601,0),"")</f>
        <v/>
      </c>
      <c r="AT1113" t="str">
        <f>IFERROR(MATCH(ROW()-1,Calc!$K$2:$K$1601,0),"")</f>
        <v/>
      </c>
      <c r="AU1113" t="str">
        <f>IF($AS1113="","",IFERROR(INDEX('TMP Paste'!$D$2:$D$1601,$AS1113)*1000000/$AB1113,""))</f>
        <v/>
      </c>
    </row>
    <row r="1114" spans="1:47">
      <c r="A1114" t="str">
        <f>IF($AS1114="","",INDEX('TMP Paste'!$B$2:$B$1601,$AS1114))</f>
        <v/>
      </c>
      <c r="B1114" t="str">
        <f>IF($AS1114="","",Config!$B$14)</f>
        <v/>
      </c>
      <c r="C1114" t="str">
        <f>IF($AS1114="","",Config!$B$15)</f>
        <v/>
      </c>
      <c r="D1114" t="str">
        <f>IF($AS1114="","",INDEX('TMP Paste'!$B$2:$B$1601,$AS1114))</f>
        <v/>
      </c>
      <c r="E1114" t="str">
        <f>IF($AS1114="","",Config!$B$27)</f>
        <v/>
      </c>
      <c r="F1114" t="str">
        <f>IF($AS1114="","",Config!$B$9)</f>
        <v/>
      </c>
      <c r="G1114" t="str">
        <f>IF($AS1114="","",Config!$B$10)</f>
        <v/>
      </c>
      <c r="H1114" t="str">
        <f>IF($AS1114="","",Config!$B$11)</f>
        <v/>
      </c>
      <c r="I1114" t="str">
        <f>IF($AS1114="","",Config!$B$16)</f>
        <v/>
      </c>
      <c r="J1114" t="str">
        <f>IF($AS1114="","",INDEX('TMP Paste'!$A$2:$A$1601,$AS1114))</f>
        <v/>
      </c>
      <c r="K1114" t="str">
        <f>IF($AS1114="","",INDEX('TMP Paste'!$L$2:$L$1601,$AS1114))</f>
        <v/>
      </c>
      <c r="L1114" t="str">
        <f>IF($AS1114="","",INDEX('TMP Paste'!$I$2:$I$1601,$AS1114))</f>
        <v/>
      </c>
      <c r="M1114" t="str">
        <f>IF($AS1114="","",Config!$B$16)</f>
        <v/>
      </c>
      <c r="N1114" t="str">
        <f t="shared" si="102"/>
        <v/>
      </c>
      <c r="O1114" t="str">
        <f>IF($AS1114="","",INDEX('TMP Paste'!$K$2:$K$1601,$AS1114))</f>
        <v/>
      </c>
      <c r="P1114" t="str">
        <f t="shared" si="103"/>
        <v/>
      </c>
      <c r="Q1114" t="str">
        <f>IF($AS1114="","",INDEX('TMP Paste'!$J$2:$J$1601,$AS1114))</f>
        <v/>
      </c>
      <c r="R1114" t="str">
        <f>IF($AS1114="","",Config!$B$24)</f>
        <v/>
      </c>
      <c r="S1114" t="str">
        <f ca="1">IF($AS1114="","",TEXT(Config!$B$4,"yyyy-mm-dd"))</f>
        <v/>
      </c>
      <c r="T1114" t="str">
        <f>IF($AS1114="","",Config!$B$17)</f>
        <v/>
      </c>
      <c r="U1114" t="str">
        <f>IF($AS1114="","",Config!$B$18)</f>
        <v/>
      </c>
      <c r="V1114" t="str">
        <f>IF($AS1114="","",Config!$B$19)</f>
        <v/>
      </c>
      <c r="W1114" t="str">
        <f>IF($AS1114="","",INDEX('TMP Paste'!$C$2:$C$1601,$AS1114))</f>
        <v/>
      </c>
      <c r="X1114" t="str">
        <f>IF($AS1114="","",Config!$B$29)</f>
        <v/>
      </c>
      <c r="Y1114" t="str">
        <f>IF($AT1114="","",INDEX(Calc!$I$2:$I$1601,$AT1114)&amp;" - "&amp;INDEX(Calc!$D$2:$D$1601,$AT1114)&amp;" koli")</f>
        <v/>
      </c>
      <c r="Z1114" t="str">
        <f>IF($AS1114="","",Config!$B$21)</f>
        <v/>
      </c>
      <c r="AA1114" t="str">
        <f>IF($AS1114="","",Config!$B$22)</f>
        <v/>
      </c>
      <c r="AB1114" t="str">
        <f>IF($AT1114="","",INDEX(Calc!$D$2:$D$1601,$AT1114))</f>
        <v/>
      </c>
      <c r="AC1114" t="str">
        <f>IF($AT1114="","",INDEX(Calc!$G$2:$G$1601,$AT1114))</f>
        <v/>
      </c>
      <c r="AD1114" t="str">
        <f>IF($AS1114="","",Config!$B$23)</f>
        <v/>
      </c>
      <c r="AE1114" t="str">
        <f>IF($AS1114="","",Config!$B$28)</f>
        <v/>
      </c>
      <c r="AF1114" t="str">
        <f t="shared" si="104"/>
        <v/>
      </c>
      <c r="AG1114" t="str">
        <f t="shared" si="105"/>
        <v/>
      </c>
      <c r="AH1114" t="str">
        <f t="shared" si="106"/>
        <v/>
      </c>
      <c r="AI1114" t="str">
        <f>IF($AG1114="","",SUMIF($AG$2:$AG1114,$AG1114,$AH$2:$AH1114))</f>
        <v/>
      </c>
      <c r="AJ1114" t="str">
        <f>IF('TMP Paste'!$F1114="","",IF('TMP Paste'!$B1114="",$AJ1113,'TMP Paste'!$B1114))</f>
        <v/>
      </c>
      <c r="AK1114" t="str">
        <f>IF('TMP Paste'!$F1114="","",N('TMP Paste'!$G1114))</f>
        <v/>
      </c>
      <c r="AL1114" t="str">
        <f>IF('TMP Paste'!$F1114="","",IF('TMP Paste'!$M1114="",$AL1113,'TMP Paste'!$M1114))</f>
        <v/>
      </c>
      <c r="AM1114" t="str">
        <f>IF('TMP Paste'!$F1114="","",IF('TMP Paste'!$N1114="",$AM1113,'TMP Paste'!$N1114))</f>
        <v/>
      </c>
      <c r="AN1114" t="str">
        <f>IF('TMP Paste'!$F1114="","",IF('TMP Paste'!$O1114="",$AN1113,'TMP Paste'!$O1114))</f>
        <v/>
      </c>
      <c r="AO1114" t="str">
        <f>IF('TMP Paste'!$F1114="","",IF('TMP Paste'!$P1114="",$AO1113,'TMP Paste'!$P1114))</f>
        <v/>
      </c>
      <c r="AP1114" t="str">
        <f t="shared" si="107"/>
        <v/>
      </c>
      <c r="AQ1114" t="str">
        <f>IF($AS1114="","",TRIM(IF(COUNTIFS(Calc!$B$2:$B$1601,ROW()-1,Calc!$C$2:$C$1601,"&lt;1")&gt;0,"Ada PO tanpa Koli - cek TMP. ","")&amp;IF(OR($AU1114="",$AU1114&lt;=0),"Volume kosong/0 - dimensi dikosongkan. ","")&amp;IF(AND($AU1114&lt;&gt;"",$AU1114&gt;=1000000),"Volume &gt;= 1.000.000 cm3 (di luar aturan) - dimensi dikosongkan. ","")&amp;IF(LEN($R1114)&gt;500,"R &gt; 500 karakter.","")))</f>
        <v/>
      </c>
      <c r="AS1114" t="str">
        <f>IFERROR(MATCH(ROW()-1,Calc!$J$2:$J$1601,0),"")</f>
        <v/>
      </c>
      <c r="AT1114" t="str">
        <f>IFERROR(MATCH(ROW()-1,Calc!$K$2:$K$1601,0),"")</f>
        <v/>
      </c>
      <c r="AU1114" t="str">
        <f>IF($AS1114="","",IFERROR(INDEX('TMP Paste'!$D$2:$D$1601,$AS1114)*1000000/$AB1114,""))</f>
        <v/>
      </c>
    </row>
    <row r="1115" spans="1:47">
      <c r="A1115" t="str">
        <f>IF($AS1115="","",INDEX('TMP Paste'!$B$2:$B$1601,$AS1115))</f>
        <v/>
      </c>
      <c r="B1115" t="str">
        <f>IF($AS1115="","",Config!$B$14)</f>
        <v/>
      </c>
      <c r="C1115" t="str">
        <f>IF($AS1115="","",Config!$B$15)</f>
        <v/>
      </c>
      <c r="D1115" t="str">
        <f>IF($AS1115="","",INDEX('TMP Paste'!$B$2:$B$1601,$AS1115))</f>
        <v/>
      </c>
      <c r="E1115" t="str">
        <f>IF($AS1115="","",Config!$B$27)</f>
        <v/>
      </c>
      <c r="F1115" t="str">
        <f>IF($AS1115="","",Config!$B$9)</f>
        <v/>
      </c>
      <c r="G1115" t="str">
        <f>IF($AS1115="","",Config!$B$10)</f>
        <v/>
      </c>
      <c r="H1115" t="str">
        <f>IF($AS1115="","",Config!$B$11)</f>
        <v/>
      </c>
      <c r="I1115" t="str">
        <f>IF($AS1115="","",Config!$B$16)</f>
        <v/>
      </c>
      <c r="J1115" t="str">
        <f>IF($AS1115="","",INDEX('TMP Paste'!$A$2:$A$1601,$AS1115))</f>
        <v/>
      </c>
      <c r="K1115" t="str">
        <f>IF($AS1115="","",INDEX('TMP Paste'!$L$2:$L$1601,$AS1115))</f>
        <v/>
      </c>
      <c r="L1115" t="str">
        <f>IF($AS1115="","",INDEX('TMP Paste'!$I$2:$I$1601,$AS1115))</f>
        <v/>
      </c>
      <c r="M1115" t="str">
        <f>IF($AS1115="","",Config!$B$16)</f>
        <v/>
      </c>
      <c r="N1115" t="str">
        <f t="shared" si="102"/>
        <v/>
      </c>
      <c r="O1115" t="str">
        <f>IF($AS1115="","",INDEX('TMP Paste'!$K$2:$K$1601,$AS1115))</f>
        <v/>
      </c>
      <c r="P1115" t="str">
        <f t="shared" si="103"/>
        <v/>
      </c>
      <c r="Q1115" t="str">
        <f>IF($AS1115="","",INDEX('TMP Paste'!$J$2:$J$1601,$AS1115))</f>
        <v/>
      </c>
      <c r="R1115" t="str">
        <f>IF($AS1115="","",Config!$B$24)</f>
        <v/>
      </c>
      <c r="S1115" t="str">
        <f ca="1">IF($AS1115="","",TEXT(Config!$B$4,"yyyy-mm-dd"))</f>
        <v/>
      </c>
      <c r="T1115" t="str">
        <f>IF($AS1115="","",Config!$B$17)</f>
        <v/>
      </c>
      <c r="U1115" t="str">
        <f>IF($AS1115="","",Config!$B$18)</f>
        <v/>
      </c>
      <c r="V1115" t="str">
        <f>IF($AS1115="","",Config!$B$19)</f>
        <v/>
      </c>
      <c r="W1115" t="str">
        <f>IF($AS1115="","",INDEX('TMP Paste'!$C$2:$C$1601,$AS1115))</f>
        <v/>
      </c>
      <c r="X1115" t="str">
        <f>IF($AS1115="","",Config!$B$29)</f>
        <v/>
      </c>
      <c r="Y1115" t="str">
        <f>IF($AT1115="","",INDEX(Calc!$I$2:$I$1601,$AT1115)&amp;" - "&amp;INDEX(Calc!$D$2:$D$1601,$AT1115)&amp;" koli")</f>
        <v/>
      </c>
      <c r="Z1115" t="str">
        <f>IF($AS1115="","",Config!$B$21)</f>
        <v/>
      </c>
      <c r="AA1115" t="str">
        <f>IF($AS1115="","",Config!$B$22)</f>
        <v/>
      </c>
      <c r="AB1115" t="str">
        <f>IF($AT1115="","",INDEX(Calc!$D$2:$D$1601,$AT1115))</f>
        <v/>
      </c>
      <c r="AC1115" t="str">
        <f>IF($AT1115="","",INDEX(Calc!$G$2:$G$1601,$AT1115))</f>
        <v/>
      </c>
      <c r="AD1115" t="str">
        <f>IF($AS1115="","",Config!$B$23)</f>
        <v/>
      </c>
      <c r="AE1115" t="str">
        <f>IF($AS1115="","",Config!$B$28)</f>
        <v/>
      </c>
      <c r="AF1115" t="str">
        <f t="shared" si="104"/>
        <v/>
      </c>
      <c r="AG1115" t="str">
        <f t="shared" si="105"/>
        <v/>
      </c>
      <c r="AH1115" t="str">
        <f t="shared" si="106"/>
        <v/>
      </c>
      <c r="AI1115" t="str">
        <f>IF($AG1115="","",SUMIF($AG$2:$AG1115,$AG1115,$AH$2:$AH1115))</f>
        <v/>
      </c>
      <c r="AJ1115" t="str">
        <f>IF('TMP Paste'!$F1115="","",IF('TMP Paste'!$B1115="",$AJ1114,'TMP Paste'!$B1115))</f>
        <v/>
      </c>
      <c r="AK1115" t="str">
        <f>IF('TMP Paste'!$F1115="","",N('TMP Paste'!$G1115))</f>
        <v/>
      </c>
      <c r="AL1115" t="str">
        <f>IF('TMP Paste'!$F1115="","",IF('TMP Paste'!$M1115="",$AL1114,'TMP Paste'!$M1115))</f>
        <v/>
      </c>
      <c r="AM1115" t="str">
        <f>IF('TMP Paste'!$F1115="","",IF('TMP Paste'!$N1115="",$AM1114,'TMP Paste'!$N1115))</f>
        <v/>
      </c>
      <c r="AN1115" t="str">
        <f>IF('TMP Paste'!$F1115="","",IF('TMP Paste'!$O1115="",$AN1114,'TMP Paste'!$O1115))</f>
        <v/>
      </c>
      <c r="AO1115" t="str">
        <f>IF('TMP Paste'!$F1115="","",IF('TMP Paste'!$P1115="",$AO1114,'TMP Paste'!$P1115))</f>
        <v/>
      </c>
      <c r="AP1115" t="str">
        <f t="shared" si="107"/>
        <v/>
      </c>
      <c r="AQ1115" t="str">
        <f>IF($AS1115="","",TRIM(IF(COUNTIFS(Calc!$B$2:$B$1601,ROW()-1,Calc!$C$2:$C$1601,"&lt;1")&gt;0,"Ada PO tanpa Koli - cek TMP. ","")&amp;IF(OR($AU1115="",$AU1115&lt;=0),"Volume kosong/0 - dimensi dikosongkan. ","")&amp;IF(AND($AU1115&lt;&gt;"",$AU1115&gt;=1000000),"Volume &gt;= 1.000.000 cm3 (di luar aturan) - dimensi dikosongkan. ","")&amp;IF(LEN($R1115)&gt;500,"R &gt; 500 karakter.","")))</f>
        <v/>
      </c>
      <c r="AS1115" t="str">
        <f>IFERROR(MATCH(ROW()-1,Calc!$J$2:$J$1601,0),"")</f>
        <v/>
      </c>
      <c r="AT1115" t="str">
        <f>IFERROR(MATCH(ROW()-1,Calc!$K$2:$K$1601,0),"")</f>
        <v/>
      </c>
      <c r="AU1115" t="str">
        <f>IF($AS1115="","",IFERROR(INDEX('TMP Paste'!$D$2:$D$1601,$AS1115)*1000000/$AB1115,""))</f>
        <v/>
      </c>
    </row>
    <row r="1116" spans="1:47">
      <c r="A1116" t="str">
        <f>IF($AS1116="","",INDEX('TMP Paste'!$B$2:$B$1601,$AS1116))</f>
        <v/>
      </c>
      <c r="B1116" t="str">
        <f>IF($AS1116="","",Config!$B$14)</f>
        <v/>
      </c>
      <c r="C1116" t="str">
        <f>IF($AS1116="","",Config!$B$15)</f>
        <v/>
      </c>
      <c r="D1116" t="str">
        <f>IF($AS1116="","",INDEX('TMP Paste'!$B$2:$B$1601,$AS1116))</f>
        <v/>
      </c>
      <c r="E1116" t="str">
        <f>IF($AS1116="","",Config!$B$27)</f>
        <v/>
      </c>
      <c r="F1116" t="str">
        <f>IF($AS1116="","",Config!$B$9)</f>
        <v/>
      </c>
      <c r="G1116" t="str">
        <f>IF($AS1116="","",Config!$B$10)</f>
        <v/>
      </c>
      <c r="H1116" t="str">
        <f>IF($AS1116="","",Config!$B$11)</f>
        <v/>
      </c>
      <c r="I1116" t="str">
        <f>IF($AS1116="","",Config!$B$16)</f>
        <v/>
      </c>
      <c r="J1116" t="str">
        <f>IF($AS1116="","",INDEX('TMP Paste'!$A$2:$A$1601,$AS1116))</f>
        <v/>
      </c>
      <c r="K1116" t="str">
        <f>IF($AS1116="","",INDEX('TMP Paste'!$L$2:$L$1601,$AS1116))</f>
        <v/>
      </c>
      <c r="L1116" t="str">
        <f>IF($AS1116="","",INDEX('TMP Paste'!$I$2:$I$1601,$AS1116))</f>
        <v/>
      </c>
      <c r="M1116" t="str">
        <f>IF($AS1116="","",Config!$B$16)</f>
        <v/>
      </c>
      <c r="N1116" t="str">
        <f t="shared" si="102"/>
        <v/>
      </c>
      <c r="O1116" t="str">
        <f>IF($AS1116="","",INDEX('TMP Paste'!$K$2:$K$1601,$AS1116))</f>
        <v/>
      </c>
      <c r="P1116" t="str">
        <f t="shared" si="103"/>
        <v/>
      </c>
      <c r="Q1116" t="str">
        <f>IF($AS1116="","",INDEX('TMP Paste'!$J$2:$J$1601,$AS1116))</f>
        <v/>
      </c>
      <c r="R1116" t="str">
        <f>IF($AS1116="","",Config!$B$24)</f>
        <v/>
      </c>
      <c r="S1116" t="str">
        <f ca="1">IF($AS1116="","",TEXT(Config!$B$4,"yyyy-mm-dd"))</f>
        <v/>
      </c>
      <c r="T1116" t="str">
        <f>IF($AS1116="","",Config!$B$17)</f>
        <v/>
      </c>
      <c r="U1116" t="str">
        <f>IF($AS1116="","",Config!$B$18)</f>
        <v/>
      </c>
      <c r="V1116" t="str">
        <f>IF($AS1116="","",Config!$B$19)</f>
        <v/>
      </c>
      <c r="W1116" t="str">
        <f>IF($AS1116="","",INDEX('TMP Paste'!$C$2:$C$1601,$AS1116))</f>
        <v/>
      </c>
      <c r="X1116" t="str">
        <f>IF($AS1116="","",Config!$B$29)</f>
        <v/>
      </c>
      <c r="Y1116" t="str">
        <f>IF($AT1116="","",INDEX(Calc!$I$2:$I$1601,$AT1116)&amp;" - "&amp;INDEX(Calc!$D$2:$D$1601,$AT1116)&amp;" koli")</f>
        <v/>
      </c>
      <c r="Z1116" t="str">
        <f>IF($AS1116="","",Config!$B$21)</f>
        <v/>
      </c>
      <c r="AA1116" t="str">
        <f>IF($AS1116="","",Config!$B$22)</f>
        <v/>
      </c>
      <c r="AB1116" t="str">
        <f>IF($AT1116="","",INDEX(Calc!$D$2:$D$1601,$AT1116))</f>
        <v/>
      </c>
      <c r="AC1116" t="str">
        <f>IF($AT1116="","",INDEX(Calc!$G$2:$G$1601,$AT1116))</f>
        <v/>
      </c>
      <c r="AD1116" t="str">
        <f>IF($AS1116="","",Config!$B$23)</f>
        <v/>
      </c>
      <c r="AE1116" t="str">
        <f>IF($AS1116="","",Config!$B$28)</f>
        <v/>
      </c>
      <c r="AF1116" t="str">
        <f t="shared" si="104"/>
        <v/>
      </c>
      <c r="AG1116" t="str">
        <f t="shared" si="105"/>
        <v/>
      </c>
      <c r="AH1116" t="str">
        <f t="shared" si="106"/>
        <v/>
      </c>
      <c r="AI1116" t="str">
        <f>IF($AG1116="","",SUMIF($AG$2:$AG1116,$AG1116,$AH$2:$AH1116))</f>
        <v/>
      </c>
      <c r="AJ1116" t="str">
        <f>IF('TMP Paste'!$F1116="","",IF('TMP Paste'!$B1116="",$AJ1115,'TMP Paste'!$B1116))</f>
        <v/>
      </c>
      <c r="AK1116" t="str">
        <f>IF('TMP Paste'!$F1116="","",N('TMP Paste'!$G1116))</f>
        <v/>
      </c>
      <c r="AL1116" t="str">
        <f>IF('TMP Paste'!$F1116="","",IF('TMP Paste'!$M1116="",$AL1115,'TMP Paste'!$M1116))</f>
        <v/>
      </c>
      <c r="AM1116" t="str">
        <f>IF('TMP Paste'!$F1116="","",IF('TMP Paste'!$N1116="",$AM1115,'TMP Paste'!$N1116))</f>
        <v/>
      </c>
      <c r="AN1116" t="str">
        <f>IF('TMP Paste'!$F1116="","",IF('TMP Paste'!$O1116="",$AN1115,'TMP Paste'!$O1116))</f>
        <v/>
      </c>
      <c r="AO1116" t="str">
        <f>IF('TMP Paste'!$F1116="","",IF('TMP Paste'!$P1116="",$AO1115,'TMP Paste'!$P1116))</f>
        <v/>
      </c>
      <c r="AP1116" t="str">
        <f t="shared" si="107"/>
        <v/>
      </c>
      <c r="AQ1116" t="str">
        <f>IF($AS1116="","",TRIM(IF(COUNTIFS(Calc!$B$2:$B$1601,ROW()-1,Calc!$C$2:$C$1601,"&lt;1")&gt;0,"Ada PO tanpa Koli - cek TMP. ","")&amp;IF(OR($AU1116="",$AU1116&lt;=0),"Volume kosong/0 - dimensi dikosongkan. ","")&amp;IF(AND($AU1116&lt;&gt;"",$AU1116&gt;=1000000),"Volume &gt;= 1.000.000 cm3 (di luar aturan) - dimensi dikosongkan. ","")&amp;IF(LEN($R1116)&gt;500,"R &gt; 500 karakter.","")))</f>
        <v/>
      </c>
      <c r="AS1116" t="str">
        <f>IFERROR(MATCH(ROW()-1,Calc!$J$2:$J$1601,0),"")</f>
        <v/>
      </c>
      <c r="AT1116" t="str">
        <f>IFERROR(MATCH(ROW()-1,Calc!$K$2:$K$1601,0),"")</f>
        <v/>
      </c>
      <c r="AU1116" t="str">
        <f>IF($AS1116="","",IFERROR(INDEX('TMP Paste'!$D$2:$D$1601,$AS1116)*1000000/$AB1116,""))</f>
        <v/>
      </c>
    </row>
    <row r="1117" spans="1:47">
      <c r="A1117" t="str">
        <f>IF($AS1117="","",INDEX('TMP Paste'!$B$2:$B$1601,$AS1117))</f>
        <v/>
      </c>
      <c r="B1117" t="str">
        <f>IF($AS1117="","",Config!$B$14)</f>
        <v/>
      </c>
      <c r="C1117" t="str">
        <f>IF($AS1117="","",Config!$B$15)</f>
        <v/>
      </c>
      <c r="D1117" t="str">
        <f>IF($AS1117="","",INDEX('TMP Paste'!$B$2:$B$1601,$AS1117))</f>
        <v/>
      </c>
      <c r="E1117" t="str">
        <f>IF($AS1117="","",Config!$B$27)</f>
        <v/>
      </c>
      <c r="F1117" t="str">
        <f>IF($AS1117="","",Config!$B$9)</f>
        <v/>
      </c>
      <c r="G1117" t="str">
        <f>IF($AS1117="","",Config!$B$10)</f>
        <v/>
      </c>
      <c r="H1117" t="str">
        <f>IF($AS1117="","",Config!$B$11)</f>
        <v/>
      </c>
      <c r="I1117" t="str">
        <f>IF($AS1117="","",Config!$B$16)</f>
        <v/>
      </c>
      <c r="J1117" t="str">
        <f>IF($AS1117="","",INDEX('TMP Paste'!$A$2:$A$1601,$AS1117))</f>
        <v/>
      </c>
      <c r="K1117" t="str">
        <f>IF($AS1117="","",INDEX('TMP Paste'!$L$2:$L$1601,$AS1117))</f>
        <v/>
      </c>
      <c r="L1117" t="str">
        <f>IF($AS1117="","",INDEX('TMP Paste'!$I$2:$I$1601,$AS1117))</f>
        <v/>
      </c>
      <c r="M1117" t="str">
        <f>IF($AS1117="","",Config!$B$16)</f>
        <v/>
      </c>
      <c r="N1117" t="str">
        <f t="shared" si="102"/>
        <v/>
      </c>
      <c r="O1117" t="str">
        <f>IF($AS1117="","",INDEX('TMP Paste'!$K$2:$K$1601,$AS1117))</f>
        <v/>
      </c>
      <c r="P1117" t="str">
        <f t="shared" si="103"/>
        <v/>
      </c>
      <c r="Q1117" t="str">
        <f>IF($AS1117="","",INDEX('TMP Paste'!$J$2:$J$1601,$AS1117))</f>
        <v/>
      </c>
      <c r="R1117" t="str">
        <f>IF($AS1117="","",Config!$B$24)</f>
        <v/>
      </c>
      <c r="S1117" t="str">
        <f ca="1">IF($AS1117="","",TEXT(Config!$B$4,"yyyy-mm-dd"))</f>
        <v/>
      </c>
      <c r="T1117" t="str">
        <f>IF($AS1117="","",Config!$B$17)</f>
        <v/>
      </c>
      <c r="U1117" t="str">
        <f>IF($AS1117="","",Config!$B$18)</f>
        <v/>
      </c>
      <c r="V1117" t="str">
        <f>IF($AS1117="","",Config!$B$19)</f>
        <v/>
      </c>
      <c r="W1117" t="str">
        <f>IF($AS1117="","",INDEX('TMP Paste'!$C$2:$C$1601,$AS1117))</f>
        <v/>
      </c>
      <c r="X1117" t="str">
        <f>IF($AS1117="","",Config!$B$29)</f>
        <v/>
      </c>
      <c r="Y1117" t="str">
        <f>IF($AT1117="","",INDEX(Calc!$I$2:$I$1601,$AT1117)&amp;" - "&amp;INDEX(Calc!$D$2:$D$1601,$AT1117)&amp;" koli")</f>
        <v/>
      </c>
      <c r="Z1117" t="str">
        <f>IF($AS1117="","",Config!$B$21)</f>
        <v/>
      </c>
      <c r="AA1117" t="str">
        <f>IF($AS1117="","",Config!$B$22)</f>
        <v/>
      </c>
      <c r="AB1117" t="str">
        <f>IF($AT1117="","",INDEX(Calc!$D$2:$D$1601,$AT1117))</f>
        <v/>
      </c>
      <c r="AC1117" t="str">
        <f>IF($AT1117="","",INDEX(Calc!$G$2:$G$1601,$AT1117))</f>
        <v/>
      </c>
      <c r="AD1117" t="str">
        <f>IF($AS1117="","",Config!$B$23)</f>
        <v/>
      </c>
      <c r="AE1117" t="str">
        <f>IF($AS1117="","",Config!$B$28)</f>
        <v/>
      </c>
      <c r="AF1117" t="str">
        <f t="shared" si="104"/>
        <v/>
      </c>
      <c r="AG1117" t="str">
        <f t="shared" si="105"/>
        <v/>
      </c>
      <c r="AH1117" t="str">
        <f t="shared" si="106"/>
        <v/>
      </c>
      <c r="AI1117" t="str">
        <f>IF($AG1117="","",SUMIF($AG$2:$AG1117,$AG1117,$AH$2:$AH1117))</f>
        <v/>
      </c>
      <c r="AJ1117" t="str">
        <f>IF('TMP Paste'!$F1117="","",IF('TMP Paste'!$B1117="",$AJ1116,'TMP Paste'!$B1117))</f>
        <v/>
      </c>
      <c r="AK1117" t="str">
        <f>IF('TMP Paste'!$F1117="","",N('TMP Paste'!$G1117))</f>
        <v/>
      </c>
      <c r="AL1117" t="str">
        <f>IF('TMP Paste'!$F1117="","",IF('TMP Paste'!$M1117="",$AL1116,'TMP Paste'!$M1117))</f>
        <v/>
      </c>
      <c r="AM1117" t="str">
        <f>IF('TMP Paste'!$F1117="","",IF('TMP Paste'!$N1117="",$AM1116,'TMP Paste'!$N1117))</f>
        <v/>
      </c>
      <c r="AN1117" t="str">
        <f>IF('TMP Paste'!$F1117="","",IF('TMP Paste'!$O1117="",$AN1116,'TMP Paste'!$O1117))</f>
        <v/>
      </c>
      <c r="AO1117" t="str">
        <f>IF('TMP Paste'!$F1117="","",IF('TMP Paste'!$P1117="",$AO1116,'TMP Paste'!$P1117))</f>
        <v/>
      </c>
      <c r="AP1117" t="str">
        <f t="shared" si="107"/>
        <v/>
      </c>
      <c r="AQ1117" t="str">
        <f>IF($AS1117="","",TRIM(IF(COUNTIFS(Calc!$B$2:$B$1601,ROW()-1,Calc!$C$2:$C$1601,"&lt;1")&gt;0,"Ada PO tanpa Koli - cek TMP. ","")&amp;IF(OR($AU1117="",$AU1117&lt;=0),"Volume kosong/0 - dimensi dikosongkan. ","")&amp;IF(AND($AU1117&lt;&gt;"",$AU1117&gt;=1000000),"Volume &gt;= 1.000.000 cm3 (di luar aturan) - dimensi dikosongkan. ","")&amp;IF(LEN($R1117)&gt;500,"R &gt; 500 karakter.","")))</f>
        <v/>
      </c>
      <c r="AS1117" t="str">
        <f>IFERROR(MATCH(ROW()-1,Calc!$J$2:$J$1601,0),"")</f>
        <v/>
      </c>
      <c r="AT1117" t="str">
        <f>IFERROR(MATCH(ROW()-1,Calc!$K$2:$K$1601,0),"")</f>
        <v/>
      </c>
      <c r="AU1117" t="str">
        <f>IF($AS1117="","",IFERROR(INDEX('TMP Paste'!$D$2:$D$1601,$AS1117)*1000000/$AB1117,""))</f>
        <v/>
      </c>
    </row>
    <row r="1118" spans="1:47">
      <c r="A1118" t="str">
        <f>IF($AS1118="","",INDEX('TMP Paste'!$B$2:$B$1601,$AS1118))</f>
        <v/>
      </c>
      <c r="B1118" t="str">
        <f>IF($AS1118="","",Config!$B$14)</f>
        <v/>
      </c>
      <c r="C1118" t="str">
        <f>IF($AS1118="","",Config!$B$15)</f>
        <v/>
      </c>
      <c r="D1118" t="str">
        <f>IF($AS1118="","",INDEX('TMP Paste'!$B$2:$B$1601,$AS1118))</f>
        <v/>
      </c>
      <c r="E1118" t="str">
        <f>IF($AS1118="","",Config!$B$27)</f>
        <v/>
      </c>
      <c r="F1118" t="str">
        <f>IF($AS1118="","",Config!$B$9)</f>
        <v/>
      </c>
      <c r="G1118" t="str">
        <f>IF($AS1118="","",Config!$B$10)</f>
        <v/>
      </c>
      <c r="H1118" t="str">
        <f>IF($AS1118="","",Config!$B$11)</f>
        <v/>
      </c>
      <c r="I1118" t="str">
        <f>IF($AS1118="","",Config!$B$16)</f>
        <v/>
      </c>
      <c r="J1118" t="str">
        <f>IF($AS1118="","",INDEX('TMP Paste'!$A$2:$A$1601,$AS1118))</f>
        <v/>
      </c>
      <c r="K1118" t="str">
        <f>IF($AS1118="","",INDEX('TMP Paste'!$L$2:$L$1601,$AS1118))</f>
        <v/>
      </c>
      <c r="L1118" t="str">
        <f>IF($AS1118="","",INDEX('TMP Paste'!$I$2:$I$1601,$AS1118))</f>
        <v/>
      </c>
      <c r="M1118" t="str">
        <f>IF($AS1118="","",Config!$B$16)</f>
        <v/>
      </c>
      <c r="N1118" t="str">
        <f t="shared" si="102"/>
        <v/>
      </c>
      <c r="O1118" t="str">
        <f>IF($AS1118="","",INDEX('TMP Paste'!$K$2:$K$1601,$AS1118))</f>
        <v/>
      </c>
      <c r="P1118" t="str">
        <f t="shared" si="103"/>
        <v/>
      </c>
      <c r="Q1118" t="str">
        <f>IF($AS1118="","",INDEX('TMP Paste'!$J$2:$J$1601,$AS1118))</f>
        <v/>
      </c>
      <c r="R1118" t="str">
        <f>IF($AS1118="","",Config!$B$24)</f>
        <v/>
      </c>
      <c r="S1118" t="str">
        <f ca="1">IF($AS1118="","",TEXT(Config!$B$4,"yyyy-mm-dd"))</f>
        <v/>
      </c>
      <c r="T1118" t="str">
        <f>IF($AS1118="","",Config!$B$17)</f>
        <v/>
      </c>
      <c r="U1118" t="str">
        <f>IF($AS1118="","",Config!$B$18)</f>
        <v/>
      </c>
      <c r="V1118" t="str">
        <f>IF($AS1118="","",Config!$B$19)</f>
        <v/>
      </c>
      <c r="W1118" t="str">
        <f>IF($AS1118="","",INDEX('TMP Paste'!$C$2:$C$1601,$AS1118))</f>
        <v/>
      </c>
      <c r="X1118" t="str">
        <f>IF($AS1118="","",Config!$B$29)</f>
        <v/>
      </c>
      <c r="Y1118" t="str">
        <f>IF($AT1118="","",INDEX(Calc!$I$2:$I$1601,$AT1118)&amp;" - "&amp;INDEX(Calc!$D$2:$D$1601,$AT1118)&amp;" koli")</f>
        <v/>
      </c>
      <c r="Z1118" t="str">
        <f>IF($AS1118="","",Config!$B$21)</f>
        <v/>
      </c>
      <c r="AA1118" t="str">
        <f>IF($AS1118="","",Config!$B$22)</f>
        <v/>
      </c>
      <c r="AB1118" t="str">
        <f>IF($AT1118="","",INDEX(Calc!$D$2:$D$1601,$AT1118))</f>
        <v/>
      </c>
      <c r="AC1118" t="str">
        <f>IF($AT1118="","",INDEX(Calc!$G$2:$G$1601,$AT1118))</f>
        <v/>
      </c>
      <c r="AD1118" t="str">
        <f>IF($AS1118="","",Config!$B$23)</f>
        <v/>
      </c>
      <c r="AE1118" t="str">
        <f>IF($AS1118="","",Config!$B$28)</f>
        <v/>
      </c>
      <c r="AF1118" t="str">
        <f t="shared" si="104"/>
        <v/>
      </c>
      <c r="AG1118" t="str">
        <f t="shared" si="105"/>
        <v/>
      </c>
      <c r="AH1118" t="str">
        <f t="shared" si="106"/>
        <v/>
      </c>
      <c r="AI1118" t="str">
        <f>IF($AG1118="","",SUMIF($AG$2:$AG1118,$AG1118,$AH$2:$AH1118))</f>
        <v/>
      </c>
      <c r="AJ1118" t="str">
        <f>IF('TMP Paste'!$F1118="","",IF('TMP Paste'!$B1118="",$AJ1117,'TMP Paste'!$B1118))</f>
        <v/>
      </c>
      <c r="AK1118" t="str">
        <f>IF('TMP Paste'!$F1118="","",N('TMP Paste'!$G1118))</f>
        <v/>
      </c>
      <c r="AL1118" t="str">
        <f>IF('TMP Paste'!$F1118="","",IF('TMP Paste'!$M1118="",$AL1117,'TMP Paste'!$M1118))</f>
        <v/>
      </c>
      <c r="AM1118" t="str">
        <f>IF('TMP Paste'!$F1118="","",IF('TMP Paste'!$N1118="",$AM1117,'TMP Paste'!$N1118))</f>
        <v/>
      </c>
      <c r="AN1118" t="str">
        <f>IF('TMP Paste'!$F1118="","",IF('TMP Paste'!$O1118="",$AN1117,'TMP Paste'!$O1118))</f>
        <v/>
      </c>
      <c r="AO1118" t="str">
        <f>IF('TMP Paste'!$F1118="","",IF('TMP Paste'!$P1118="",$AO1117,'TMP Paste'!$P1118))</f>
        <v/>
      </c>
      <c r="AP1118" t="str">
        <f t="shared" si="107"/>
        <v/>
      </c>
      <c r="AQ1118" t="str">
        <f>IF($AS1118="","",TRIM(IF(COUNTIFS(Calc!$B$2:$B$1601,ROW()-1,Calc!$C$2:$C$1601,"&lt;1")&gt;0,"Ada PO tanpa Koli - cek TMP. ","")&amp;IF(OR($AU1118="",$AU1118&lt;=0),"Volume kosong/0 - dimensi dikosongkan. ","")&amp;IF(AND($AU1118&lt;&gt;"",$AU1118&gt;=1000000),"Volume &gt;= 1.000.000 cm3 (di luar aturan) - dimensi dikosongkan. ","")&amp;IF(LEN($R1118)&gt;500,"R &gt; 500 karakter.","")))</f>
        <v/>
      </c>
      <c r="AS1118" t="str">
        <f>IFERROR(MATCH(ROW()-1,Calc!$J$2:$J$1601,0),"")</f>
        <v/>
      </c>
      <c r="AT1118" t="str">
        <f>IFERROR(MATCH(ROW()-1,Calc!$K$2:$K$1601,0),"")</f>
        <v/>
      </c>
      <c r="AU1118" t="str">
        <f>IF($AS1118="","",IFERROR(INDEX('TMP Paste'!$D$2:$D$1601,$AS1118)*1000000/$AB1118,""))</f>
        <v/>
      </c>
    </row>
    <row r="1119" spans="1:47">
      <c r="A1119" t="str">
        <f>IF($AS1119="","",INDEX('TMP Paste'!$B$2:$B$1601,$AS1119))</f>
        <v/>
      </c>
      <c r="B1119" t="str">
        <f>IF($AS1119="","",Config!$B$14)</f>
        <v/>
      </c>
      <c r="C1119" t="str">
        <f>IF($AS1119="","",Config!$B$15)</f>
        <v/>
      </c>
      <c r="D1119" t="str">
        <f>IF($AS1119="","",INDEX('TMP Paste'!$B$2:$B$1601,$AS1119))</f>
        <v/>
      </c>
      <c r="E1119" t="str">
        <f>IF($AS1119="","",Config!$B$27)</f>
        <v/>
      </c>
      <c r="F1119" t="str">
        <f>IF($AS1119="","",Config!$B$9)</f>
        <v/>
      </c>
      <c r="G1119" t="str">
        <f>IF($AS1119="","",Config!$B$10)</f>
        <v/>
      </c>
      <c r="H1119" t="str">
        <f>IF($AS1119="","",Config!$B$11)</f>
        <v/>
      </c>
      <c r="I1119" t="str">
        <f>IF($AS1119="","",Config!$B$16)</f>
        <v/>
      </c>
      <c r="J1119" t="str">
        <f>IF($AS1119="","",INDEX('TMP Paste'!$A$2:$A$1601,$AS1119))</f>
        <v/>
      </c>
      <c r="K1119" t="str">
        <f>IF($AS1119="","",INDEX('TMP Paste'!$L$2:$L$1601,$AS1119))</f>
        <v/>
      </c>
      <c r="L1119" t="str">
        <f>IF($AS1119="","",INDEX('TMP Paste'!$I$2:$I$1601,$AS1119))</f>
        <v/>
      </c>
      <c r="M1119" t="str">
        <f>IF($AS1119="","",Config!$B$16)</f>
        <v/>
      </c>
      <c r="N1119" t="str">
        <f t="shared" si="102"/>
        <v/>
      </c>
      <c r="O1119" t="str">
        <f>IF($AS1119="","",INDEX('TMP Paste'!$K$2:$K$1601,$AS1119))</f>
        <v/>
      </c>
      <c r="P1119" t="str">
        <f t="shared" si="103"/>
        <v/>
      </c>
      <c r="Q1119" t="str">
        <f>IF($AS1119="","",INDEX('TMP Paste'!$J$2:$J$1601,$AS1119))</f>
        <v/>
      </c>
      <c r="R1119" t="str">
        <f>IF($AS1119="","",Config!$B$24)</f>
        <v/>
      </c>
      <c r="S1119" t="str">
        <f ca="1">IF($AS1119="","",TEXT(Config!$B$4,"yyyy-mm-dd"))</f>
        <v/>
      </c>
      <c r="T1119" t="str">
        <f>IF($AS1119="","",Config!$B$17)</f>
        <v/>
      </c>
      <c r="U1119" t="str">
        <f>IF($AS1119="","",Config!$B$18)</f>
        <v/>
      </c>
      <c r="V1119" t="str">
        <f>IF($AS1119="","",Config!$B$19)</f>
        <v/>
      </c>
      <c r="W1119" t="str">
        <f>IF($AS1119="","",INDEX('TMP Paste'!$C$2:$C$1601,$AS1119))</f>
        <v/>
      </c>
      <c r="X1119" t="str">
        <f>IF($AS1119="","",Config!$B$29)</f>
        <v/>
      </c>
      <c r="Y1119" t="str">
        <f>IF($AT1119="","",INDEX(Calc!$I$2:$I$1601,$AT1119)&amp;" - "&amp;INDEX(Calc!$D$2:$D$1601,$AT1119)&amp;" koli")</f>
        <v/>
      </c>
      <c r="Z1119" t="str">
        <f>IF($AS1119="","",Config!$B$21)</f>
        <v/>
      </c>
      <c r="AA1119" t="str">
        <f>IF($AS1119="","",Config!$B$22)</f>
        <v/>
      </c>
      <c r="AB1119" t="str">
        <f>IF($AT1119="","",INDEX(Calc!$D$2:$D$1601,$AT1119))</f>
        <v/>
      </c>
      <c r="AC1119" t="str">
        <f>IF($AT1119="","",INDEX(Calc!$G$2:$G$1601,$AT1119))</f>
        <v/>
      </c>
      <c r="AD1119" t="str">
        <f>IF($AS1119="","",Config!$B$23)</f>
        <v/>
      </c>
      <c r="AE1119" t="str">
        <f>IF($AS1119="","",Config!$B$28)</f>
        <v/>
      </c>
      <c r="AF1119" t="str">
        <f t="shared" si="104"/>
        <v/>
      </c>
      <c r="AG1119" t="str">
        <f t="shared" si="105"/>
        <v/>
      </c>
      <c r="AH1119" t="str">
        <f t="shared" si="106"/>
        <v/>
      </c>
      <c r="AI1119" t="str">
        <f>IF($AG1119="","",SUMIF($AG$2:$AG1119,$AG1119,$AH$2:$AH1119))</f>
        <v/>
      </c>
      <c r="AJ1119" t="str">
        <f>IF('TMP Paste'!$F1119="","",IF('TMP Paste'!$B1119="",$AJ1118,'TMP Paste'!$B1119))</f>
        <v/>
      </c>
      <c r="AK1119" t="str">
        <f>IF('TMP Paste'!$F1119="","",N('TMP Paste'!$G1119))</f>
        <v/>
      </c>
      <c r="AL1119" t="str">
        <f>IF('TMP Paste'!$F1119="","",IF('TMP Paste'!$M1119="",$AL1118,'TMP Paste'!$M1119))</f>
        <v/>
      </c>
      <c r="AM1119" t="str">
        <f>IF('TMP Paste'!$F1119="","",IF('TMP Paste'!$N1119="",$AM1118,'TMP Paste'!$N1119))</f>
        <v/>
      </c>
      <c r="AN1119" t="str">
        <f>IF('TMP Paste'!$F1119="","",IF('TMP Paste'!$O1119="",$AN1118,'TMP Paste'!$O1119))</f>
        <v/>
      </c>
      <c r="AO1119" t="str">
        <f>IF('TMP Paste'!$F1119="","",IF('TMP Paste'!$P1119="",$AO1118,'TMP Paste'!$P1119))</f>
        <v/>
      </c>
      <c r="AP1119" t="str">
        <f t="shared" si="107"/>
        <v/>
      </c>
      <c r="AQ1119" t="str">
        <f>IF($AS1119="","",TRIM(IF(COUNTIFS(Calc!$B$2:$B$1601,ROW()-1,Calc!$C$2:$C$1601,"&lt;1")&gt;0,"Ada PO tanpa Koli - cek TMP. ","")&amp;IF(OR($AU1119="",$AU1119&lt;=0),"Volume kosong/0 - dimensi dikosongkan. ","")&amp;IF(AND($AU1119&lt;&gt;"",$AU1119&gt;=1000000),"Volume &gt;= 1.000.000 cm3 (di luar aturan) - dimensi dikosongkan. ","")&amp;IF(LEN($R1119)&gt;500,"R &gt; 500 karakter.","")))</f>
        <v/>
      </c>
      <c r="AS1119" t="str">
        <f>IFERROR(MATCH(ROW()-1,Calc!$J$2:$J$1601,0),"")</f>
        <v/>
      </c>
      <c r="AT1119" t="str">
        <f>IFERROR(MATCH(ROW()-1,Calc!$K$2:$K$1601,0),"")</f>
        <v/>
      </c>
      <c r="AU1119" t="str">
        <f>IF($AS1119="","",IFERROR(INDEX('TMP Paste'!$D$2:$D$1601,$AS1119)*1000000/$AB1119,""))</f>
        <v/>
      </c>
    </row>
    <row r="1120" spans="1:47">
      <c r="A1120" t="str">
        <f>IF($AS1120="","",INDEX('TMP Paste'!$B$2:$B$1601,$AS1120))</f>
        <v/>
      </c>
      <c r="B1120" t="str">
        <f>IF($AS1120="","",Config!$B$14)</f>
        <v/>
      </c>
      <c r="C1120" t="str">
        <f>IF($AS1120="","",Config!$B$15)</f>
        <v/>
      </c>
      <c r="D1120" t="str">
        <f>IF($AS1120="","",INDEX('TMP Paste'!$B$2:$B$1601,$AS1120))</f>
        <v/>
      </c>
      <c r="E1120" t="str">
        <f>IF($AS1120="","",Config!$B$27)</f>
        <v/>
      </c>
      <c r="F1120" t="str">
        <f>IF($AS1120="","",Config!$B$9)</f>
        <v/>
      </c>
      <c r="G1120" t="str">
        <f>IF($AS1120="","",Config!$B$10)</f>
        <v/>
      </c>
      <c r="H1120" t="str">
        <f>IF($AS1120="","",Config!$B$11)</f>
        <v/>
      </c>
      <c r="I1120" t="str">
        <f>IF($AS1120="","",Config!$B$16)</f>
        <v/>
      </c>
      <c r="J1120" t="str">
        <f>IF($AS1120="","",INDEX('TMP Paste'!$A$2:$A$1601,$AS1120))</f>
        <v/>
      </c>
      <c r="K1120" t="str">
        <f>IF($AS1120="","",INDEX('TMP Paste'!$L$2:$L$1601,$AS1120))</f>
        <v/>
      </c>
      <c r="L1120" t="str">
        <f>IF($AS1120="","",INDEX('TMP Paste'!$I$2:$I$1601,$AS1120))</f>
        <v/>
      </c>
      <c r="M1120" t="str">
        <f>IF($AS1120="","",Config!$B$16)</f>
        <v/>
      </c>
      <c r="N1120" t="str">
        <f t="shared" si="102"/>
        <v/>
      </c>
      <c r="O1120" t="str">
        <f>IF($AS1120="","",INDEX('TMP Paste'!$K$2:$K$1601,$AS1120))</f>
        <v/>
      </c>
      <c r="P1120" t="str">
        <f t="shared" si="103"/>
        <v/>
      </c>
      <c r="Q1120" t="str">
        <f>IF($AS1120="","",INDEX('TMP Paste'!$J$2:$J$1601,$AS1120))</f>
        <v/>
      </c>
      <c r="R1120" t="str">
        <f>IF($AS1120="","",Config!$B$24)</f>
        <v/>
      </c>
      <c r="S1120" t="str">
        <f ca="1">IF($AS1120="","",TEXT(Config!$B$4,"yyyy-mm-dd"))</f>
        <v/>
      </c>
      <c r="T1120" t="str">
        <f>IF($AS1120="","",Config!$B$17)</f>
        <v/>
      </c>
      <c r="U1120" t="str">
        <f>IF($AS1120="","",Config!$B$18)</f>
        <v/>
      </c>
      <c r="V1120" t="str">
        <f>IF($AS1120="","",Config!$B$19)</f>
        <v/>
      </c>
      <c r="W1120" t="str">
        <f>IF($AS1120="","",INDEX('TMP Paste'!$C$2:$C$1601,$AS1120))</f>
        <v/>
      </c>
      <c r="X1120" t="str">
        <f>IF($AS1120="","",Config!$B$29)</f>
        <v/>
      </c>
      <c r="Y1120" t="str">
        <f>IF($AT1120="","",INDEX(Calc!$I$2:$I$1601,$AT1120)&amp;" - "&amp;INDEX(Calc!$D$2:$D$1601,$AT1120)&amp;" koli")</f>
        <v/>
      </c>
      <c r="Z1120" t="str">
        <f>IF($AS1120="","",Config!$B$21)</f>
        <v/>
      </c>
      <c r="AA1120" t="str">
        <f>IF($AS1120="","",Config!$B$22)</f>
        <v/>
      </c>
      <c r="AB1120" t="str">
        <f>IF($AT1120="","",INDEX(Calc!$D$2:$D$1601,$AT1120))</f>
        <v/>
      </c>
      <c r="AC1120" t="str">
        <f>IF($AT1120="","",INDEX(Calc!$G$2:$G$1601,$AT1120))</f>
        <v/>
      </c>
      <c r="AD1120" t="str">
        <f>IF($AS1120="","",Config!$B$23)</f>
        <v/>
      </c>
      <c r="AE1120" t="str">
        <f>IF($AS1120="","",Config!$B$28)</f>
        <v/>
      </c>
      <c r="AF1120" t="str">
        <f t="shared" si="104"/>
        <v/>
      </c>
      <c r="AG1120" t="str">
        <f t="shared" si="105"/>
        <v/>
      </c>
      <c r="AH1120" t="str">
        <f t="shared" si="106"/>
        <v/>
      </c>
      <c r="AI1120" t="str">
        <f>IF($AG1120="","",SUMIF($AG$2:$AG1120,$AG1120,$AH$2:$AH1120))</f>
        <v/>
      </c>
      <c r="AJ1120" t="str">
        <f>IF('TMP Paste'!$F1120="","",IF('TMP Paste'!$B1120="",$AJ1119,'TMP Paste'!$B1120))</f>
        <v/>
      </c>
      <c r="AK1120" t="str">
        <f>IF('TMP Paste'!$F1120="","",N('TMP Paste'!$G1120))</f>
        <v/>
      </c>
      <c r="AL1120" t="str">
        <f>IF('TMP Paste'!$F1120="","",IF('TMP Paste'!$M1120="",$AL1119,'TMP Paste'!$M1120))</f>
        <v/>
      </c>
      <c r="AM1120" t="str">
        <f>IF('TMP Paste'!$F1120="","",IF('TMP Paste'!$N1120="",$AM1119,'TMP Paste'!$N1120))</f>
        <v/>
      </c>
      <c r="AN1120" t="str">
        <f>IF('TMP Paste'!$F1120="","",IF('TMP Paste'!$O1120="",$AN1119,'TMP Paste'!$O1120))</f>
        <v/>
      </c>
      <c r="AO1120" t="str">
        <f>IF('TMP Paste'!$F1120="","",IF('TMP Paste'!$P1120="",$AO1119,'TMP Paste'!$P1120))</f>
        <v/>
      </c>
      <c r="AP1120" t="str">
        <f t="shared" si="107"/>
        <v/>
      </c>
      <c r="AQ1120" t="str">
        <f>IF($AS1120="","",TRIM(IF(COUNTIFS(Calc!$B$2:$B$1601,ROW()-1,Calc!$C$2:$C$1601,"&lt;1")&gt;0,"Ada PO tanpa Koli - cek TMP. ","")&amp;IF(OR($AU1120="",$AU1120&lt;=0),"Volume kosong/0 - dimensi dikosongkan. ","")&amp;IF(AND($AU1120&lt;&gt;"",$AU1120&gt;=1000000),"Volume &gt;= 1.000.000 cm3 (di luar aturan) - dimensi dikosongkan. ","")&amp;IF(LEN($R1120)&gt;500,"R &gt; 500 karakter.","")))</f>
        <v/>
      </c>
      <c r="AS1120" t="str">
        <f>IFERROR(MATCH(ROW()-1,Calc!$J$2:$J$1601,0),"")</f>
        <v/>
      </c>
      <c r="AT1120" t="str">
        <f>IFERROR(MATCH(ROW()-1,Calc!$K$2:$K$1601,0),"")</f>
        <v/>
      </c>
      <c r="AU1120" t="str">
        <f>IF($AS1120="","",IFERROR(INDEX('TMP Paste'!$D$2:$D$1601,$AS1120)*1000000/$AB1120,""))</f>
        <v/>
      </c>
    </row>
    <row r="1121" spans="1:47">
      <c r="A1121" t="str">
        <f>IF($AS1121="","",INDEX('TMP Paste'!$B$2:$B$1601,$AS1121))</f>
        <v/>
      </c>
      <c r="B1121" t="str">
        <f>IF($AS1121="","",Config!$B$14)</f>
        <v/>
      </c>
      <c r="C1121" t="str">
        <f>IF($AS1121="","",Config!$B$15)</f>
        <v/>
      </c>
      <c r="D1121" t="str">
        <f>IF($AS1121="","",INDEX('TMP Paste'!$B$2:$B$1601,$AS1121))</f>
        <v/>
      </c>
      <c r="E1121" t="str">
        <f>IF($AS1121="","",Config!$B$27)</f>
        <v/>
      </c>
      <c r="F1121" t="str">
        <f>IF($AS1121="","",Config!$B$9)</f>
        <v/>
      </c>
      <c r="G1121" t="str">
        <f>IF($AS1121="","",Config!$B$10)</f>
        <v/>
      </c>
      <c r="H1121" t="str">
        <f>IF($AS1121="","",Config!$B$11)</f>
        <v/>
      </c>
      <c r="I1121" t="str">
        <f>IF($AS1121="","",Config!$B$16)</f>
        <v/>
      </c>
      <c r="J1121" t="str">
        <f>IF($AS1121="","",INDEX('TMP Paste'!$A$2:$A$1601,$AS1121))</f>
        <v/>
      </c>
      <c r="K1121" t="str">
        <f>IF($AS1121="","",INDEX('TMP Paste'!$L$2:$L$1601,$AS1121))</f>
        <v/>
      </c>
      <c r="L1121" t="str">
        <f>IF($AS1121="","",INDEX('TMP Paste'!$I$2:$I$1601,$AS1121))</f>
        <v/>
      </c>
      <c r="M1121" t="str">
        <f>IF($AS1121="","",Config!$B$16)</f>
        <v/>
      </c>
      <c r="N1121" t="str">
        <f t="shared" si="102"/>
        <v/>
      </c>
      <c r="O1121" t="str">
        <f>IF($AS1121="","",INDEX('TMP Paste'!$K$2:$K$1601,$AS1121))</f>
        <v/>
      </c>
      <c r="P1121" t="str">
        <f t="shared" si="103"/>
        <v/>
      </c>
      <c r="Q1121" t="str">
        <f>IF($AS1121="","",INDEX('TMP Paste'!$J$2:$J$1601,$AS1121))</f>
        <v/>
      </c>
      <c r="R1121" t="str">
        <f>IF($AS1121="","",Config!$B$24)</f>
        <v/>
      </c>
      <c r="S1121" t="str">
        <f ca="1">IF($AS1121="","",TEXT(Config!$B$4,"yyyy-mm-dd"))</f>
        <v/>
      </c>
      <c r="T1121" t="str">
        <f>IF($AS1121="","",Config!$B$17)</f>
        <v/>
      </c>
      <c r="U1121" t="str">
        <f>IF($AS1121="","",Config!$B$18)</f>
        <v/>
      </c>
      <c r="V1121" t="str">
        <f>IF($AS1121="","",Config!$B$19)</f>
        <v/>
      </c>
      <c r="W1121" t="str">
        <f>IF($AS1121="","",INDEX('TMP Paste'!$C$2:$C$1601,$AS1121))</f>
        <v/>
      </c>
      <c r="X1121" t="str">
        <f>IF($AS1121="","",Config!$B$29)</f>
        <v/>
      </c>
      <c r="Y1121" t="str">
        <f>IF($AT1121="","",INDEX(Calc!$I$2:$I$1601,$AT1121)&amp;" - "&amp;INDEX(Calc!$D$2:$D$1601,$AT1121)&amp;" koli")</f>
        <v/>
      </c>
      <c r="Z1121" t="str">
        <f>IF($AS1121="","",Config!$B$21)</f>
        <v/>
      </c>
      <c r="AA1121" t="str">
        <f>IF($AS1121="","",Config!$B$22)</f>
        <v/>
      </c>
      <c r="AB1121" t="str">
        <f>IF($AT1121="","",INDEX(Calc!$D$2:$D$1601,$AT1121))</f>
        <v/>
      </c>
      <c r="AC1121" t="str">
        <f>IF($AT1121="","",INDEX(Calc!$G$2:$G$1601,$AT1121))</f>
        <v/>
      </c>
      <c r="AD1121" t="str">
        <f>IF($AS1121="","",Config!$B$23)</f>
        <v/>
      </c>
      <c r="AE1121" t="str">
        <f>IF($AS1121="","",Config!$B$28)</f>
        <v/>
      </c>
      <c r="AF1121" t="str">
        <f t="shared" si="104"/>
        <v/>
      </c>
      <c r="AG1121" t="str">
        <f t="shared" si="105"/>
        <v/>
      </c>
      <c r="AH1121" t="str">
        <f t="shared" si="106"/>
        <v/>
      </c>
      <c r="AI1121" t="str">
        <f>IF($AG1121="","",SUMIF($AG$2:$AG1121,$AG1121,$AH$2:$AH1121))</f>
        <v/>
      </c>
      <c r="AJ1121" t="str">
        <f>IF('TMP Paste'!$F1121="","",IF('TMP Paste'!$B1121="",$AJ1120,'TMP Paste'!$B1121))</f>
        <v/>
      </c>
      <c r="AK1121" t="str">
        <f>IF('TMP Paste'!$F1121="","",N('TMP Paste'!$G1121))</f>
        <v/>
      </c>
      <c r="AL1121" t="str">
        <f>IF('TMP Paste'!$F1121="","",IF('TMP Paste'!$M1121="",$AL1120,'TMP Paste'!$M1121))</f>
        <v/>
      </c>
      <c r="AM1121" t="str">
        <f>IF('TMP Paste'!$F1121="","",IF('TMP Paste'!$N1121="",$AM1120,'TMP Paste'!$N1121))</f>
        <v/>
      </c>
      <c r="AN1121" t="str">
        <f>IF('TMP Paste'!$F1121="","",IF('TMP Paste'!$O1121="",$AN1120,'TMP Paste'!$O1121))</f>
        <v/>
      </c>
      <c r="AO1121" t="str">
        <f>IF('TMP Paste'!$F1121="","",IF('TMP Paste'!$P1121="",$AO1120,'TMP Paste'!$P1121))</f>
        <v/>
      </c>
      <c r="AP1121" t="str">
        <f t="shared" si="107"/>
        <v/>
      </c>
      <c r="AQ1121" t="str">
        <f>IF($AS1121="","",TRIM(IF(COUNTIFS(Calc!$B$2:$B$1601,ROW()-1,Calc!$C$2:$C$1601,"&lt;1")&gt;0,"Ada PO tanpa Koli - cek TMP. ","")&amp;IF(OR($AU1121="",$AU1121&lt;=0),"Volume kosong/0 - dimensi dikosongkan. ","")&amp;IF(AND($AU1121&lt;&gt;"",$AU1121&gt;=1000000),"Volume &gt;= 1.000.000 cm3 (di luar aturan) - dimensi dikosongkan. ","")&amp;IF(LEN($R1121)&gt;500,"R &gt; 500 karakter.","")))</f>
        <v/>
      </c>
      <c r="AS1121" t="str">
        <f>IFERROR(MATCH(ROW()-1,Calc!$J$2:$J$1601,0),"")</f>
        <v/>
      </c>
      <c r="AT1121" t="str">
        <f>IFERROR(MATCH(ROW()-1,Calc!$K$2:$K$1601,0),"")</f>
        <v/>
      </c>
      <c r="AU1121" t="str">
        <f>IF($AS1121="","",IFERROR(INDEX('TMP Paste'!$D$2:$D$1601,$AS1121)*1000000/$AB1121,""))</f>
        <v/>
      </c>
    </row>
    <row r="1122" spans="1:47">
      <c r="A1122" t="str">
        <f>IF($AS1122="","",INDEX('TMP Paste'!$B$2:$B$1601,$AS1122))</f>
        <v/>
      </c>
      <c r="B1122" t="str">
        <f>IF($AS1122="","",Config!$B$14)</f>
        <v/>
      </c>
      <c r="C1122" t="str">
        <f>IF($AS1122="","",Config!$B$15)</f>
        <v/>
      </c>
      <c r="D1122" t="str">
        <f>IF($AS1122="","",INDEX('TMP Paste'!$B$2:$B$1601,$AS1122))</f>
        <v/>
      </c>
      <c r="E1122" t="str">
        <f>IF($AS1122="","",Config!$B$27)</f>
        <v/>
      </c>
      <c r="F1122" t="str">
        <f>IF($AS1122="","",Config!$B$9)</f>
        <v/>
      </c>
      <c r="G1122" t="str">
        <f>IF($AS1122="","",Config!$B$10)</f>
        <v/>
      </c>
      <c r="H1122" t="str">
        <f>IF($AS1122="","",Config!$B$11)</f>
        <v/>
      </c>
      <c r="I1122" t="str">
        <f>IF($AS1122="","",Config!$B$16)</f>
        <v/>
      </c>
      <c r="J1122" t="str">
        <f>IF($AS1122="","",INDEX('TMP Paste'!$A$2:$A$1601,$AS1122))</f>
        <v/>
      </c>
      <c r="K1122" t="str">
        <f>IF($AS1122="","",INDEX('TMP Paste'!$L$2:$L$1601,$AS1122))</f>
        <v/>
      </c>
      <c r="L1122" t="str">
        <f>IF($AS1122="","",INDEX('TMP Paste'!$I$2:$I$1601,$AS1122))</f>
        <v/>
      </c>
      <c r="M1122" t="str">
        <f>IF($AS1122="","",Config!$B$16)</f>
        <v/>
      </c>
      <c r="N1122" t="str">
        <f t="shared" si="102"/>
        <v/>
      </c>
      <c r="O1122" t="str">
        <f>IF($AS1122="","",INDEX('TMP Paste'!$K$2:$K$1601,$AS1122))</f>
        <v/>
      </c>
      <c r="P1122" t="str">
        <f t="shared" si="103"/>
        <v/>
      </c>
      <c r="Q1122" t="str">
        <f>IF($AS1122="","",INDEX('TMP Paste'!$J$2:$J$1601,$AS1122))</f>
        <v/>
      </c>
      <c r="R1122" t="str">
        <f>IF($AS1122="","",Config!$B$24)</f>
        <v/>
      </c>
      <c r="S1122" t="str">
        <f ca="1">IF($AS1122="","",TEXT(Config!$B$4,"yyyy-mm-dd"))</f>
        <v/>
      </c>
      <c r="T1122" t="str">
        <f>IF($AS1122="","",Config!$B$17)</f>
        <v/>
      </c>
      <c r="U1122" t="str">
        <f>IF($AS1122="","",Config!$B$18)</f>
        <v/>
      </c>
      <c r="V1122" t="str">
        <f>IF($AS1122="","",Config!$B$19)</f>
        <v/>
      </c>
      <c r="W1122" t="str">
        <f>IF($AS1122="","",INDEX('TMP Paste'!$C$2:$C$1601,$AS1122))</f>
        <v/>
      </c>
      <c r="X1122" t="str">
        <f>IF($AS1122="","",Config!$B$29)</f>
        <v/>
      </c>
      <c r="Y1122" t="str">
        <f>IF($AT1122="","",INDEX(Calc!$I$2:$I$1601,$AT1122)&amp;" - "&amp;INDEX(Calc!$D$2:$D$1601,$AT1122)&amp;" koli")</f>
        <v/>
      </c>
      <c r="Z1122" t="str">
        <f>IF($AS1122="","",Config!$B$21)</f>
        <v/>
      </c>
      <c r="AA1122" t="str">
        <f>IF($AS1122="","",Config!$B$22)</f>
        <v/>
      </c>
      <c r="AB1122" t="str">
        <f>IF($AT1122="","",INDEX(Calc!$D$2:$D$1601,$AT1122))</f>
        <v/>
      </c>
      <c r="AC1122" t="str">
        <f>IF($AT1122="","",INDEX(Calc!$G$2:$G$1601,$AT1122))</f>
        <v/>
      </c>
      <c r="AD1122" t="str">
        <f>IF($AS1122="","",Config!$B$23)</f>
        <v/>
      </c>
      <c r="AE1122" t="str">
        <f>IF($AS1122="","",Config!$B$28)</f>
        <v/>
      </c>
      <c r="AF1122" t="str">
        <f t="shared" si="104"/>
        <v/>
      </c>
      <c r="AG1122" t="str">
        <f t="shared" si="105"/>
        <v/>
      </c>
      <c r="AH1122" t="str">
        <f t="shared" si="106"/>
        <v/>
      </c>
      <c r="AI1122" t="str">
        <f>IF($AG1122="","",SUMIF($AG$2:$AG1122,$AG1122,$AH$2:$AH1122))</f>
        <v/>
      </c>
      <c r="AJ1122" t="str">
        <f>IF('TMP Paste'!$F1122="","",IF('TMP Paste'!$B1122="",$AJ1121,'TMP Paste'!$B1122))</f>
        <v/>
      </c>
      <c r="AK1122" t="str">
        <f>IF('TMP Paste'!$F1122="","",N('TMP Paste'!$G1122))</f>
        <v/>
      </c>
      <c r="AL1122" t="str">
        <f>IF('TMP Paste'!$F1122="","",IF('TMP Paste'!$M1122="",$AL1121,'TMP Paste'!$M1122))</f>
        <v/>
      </c>
      <c r="AM1122" t="str">
        <f>IF('TMP Paste'!$F1122="","",IF('TMP Paste'!$N1122="",$AM1121,'TMP Paste'!$N1122))</f>
        <v/>
      </c>
      <c r="AN1122" t="str">
        <f>IF('TMP Paste'!$F1122="","",IF('TMP Paste'!$O1122="",$AN1121,'TMP Paste'!$O1122))</f>
        <v/>
      </c>
      <c r="AO1122" t="str">
        <f>IF('TMP Paste'!$F1122="","",IF('TMP Paste'!$P1122="",$AO1121,'TMP Paste'!$P1122))</f>
        <v/>
      </c>
      <c r="AP1122" t="str">
        <f t="shared" si="107"/>
        <v/>
      </c>
      <c r="AQ1122" t="str">
        <f>IF($AS1122="","",TRIM(IF(COUNTIFS(Calc!$B$2:$B$1601,ROW()-1,Calc!$C$2:$C$1601,"&lt;1")&gt;0,"Ada PO tanpa Koli - cek TMP. ","")&amp;IF(OR($AU1122="",$AU1122&lt;=0),"Volume kosong/0 - dimensi dikosongkan. ","")&amp;IF(AND($AU1122&lt;&gt;"",$AU1122&gt;=1000000),"Volume &gt;= 1.000.000 cm3 (di luar aturan) - dimensi dikosongkan. ","")&amp;IF(LEN($R1122)&gt;500,"R &gt; 500 karakter.","")))</f>
        <v/>
      </c>
      <c r="AS1122" t="str">
        <f>IFERROR(MATCH(ROW()-1,Calc!$J$2:$J$1601,0),"")</f>
        <v/>
      </c>
      <c r="AT1122" t="str">
        <f>IFERROR(MATCH(ROW()-1,Calc!$K$2:$K$1601,0),"")</f>
        <v/>
      </c>
      <c r="AU1122" t="str">
        <f>IF($AS1122="","",IFERROR(INDEX('TMP Paste'!$D$2:$D$1601,$AS1122)*1000000/$AB1122,""))</f>
        <v/>
      </c>
    </row>
    <row r="1123" spans="1:47">
      <c r="A1123" t="str">
        <f>IF($AS1123="","",INDEX('TMP Paste'!$B$2:$B$1601,$AS1123))</f>
        <v/>
      </c>
      <c r="B1123" t="str">
        <f>IF($AS1123="","",Config!$B$14)</f>
        <v/>
      </c>
      <c r="C1123" t="str">
        <f>IF($AS1123="","",Config!$B$15)</f>
        <v/>
      </c>
      <c r="D1123" t="str">
        <f>IF($AS1123="","",INDEX('TMP Paste'!$B$2:$B$1601,$AS1123))</f>
        <v/>
      </c>
      <c r="E1123" t="str">
        <f>IF($AS1123="","",Config!$B$27)</f>
        <v/>
      </c>
      <c r="F1123" t="str">
        <f>IF($AS1123="","",Config!$B$9)</f>
        <v/>
      </c>
      <c r="G1123" t="str">
        <f>IF($AS1123="","",Config!$B$10)</f>
        <v/>
      </c>
      <c r="H1123" t="str">
        <f>IF($AS1123="","",Config!$B$11)</f>
        <v/>
      </c>
      <c r="I1123" t="str">
        <f>IF($AS1123="","",Config!$B$16)</f>
        <v/>
      </c>
      <c r="J1123" t="str">
        <f>IF($AS1123="","",INDEX('TMP Paste'!$A$2:$A$1601,$AS1123))</f>
        <v/>
      </c>
      <c r="K1123" t="str">
        <f>IF($AS1123="","",INDEX('TMP Paste'!$L$2:$L$1601,$AS1123))</f>
        <v/>
      </c>
      <c r="L1123" t="str">
        <f>IF($AS1123="","",INDEX('TMP Paste'!$I$2:$I$1601,$AS1123))</f>
        <v/>
      </c>
      <c r="M1123" t="str">
        <f>IF($AS1123="","",Config!$B$16)</f>
        <v/>
      </c>
      <c r="N1123" t="str">
        <f t="shared" si="102"/>
        <v/>
      </c>
      <c r="O1123" t="str">
        <f>IF($AS1123="","",INDEX('TMP Paste'!$K$2:$K$1601,$AS1123))</f>
        <v/>
      </c>
      <c r="P1123" t="str">
        <f t="shared" si="103"/>
        <v/>
      </c>
      <c r="Q1123" t="str">
        <f>IF($AS1123="","",INDEX('TMP Paste'!$J$2:$J$1601,$AS1123))</f>
        <v/>
      </c>
      <c r="R1123" t="str">
        <f>IF($AS1123="","",Config!$B$24)</f>
        <v/>
      </c>
      <c r="S1123" t="str">
        <f ca="1">IF($AS1123="","",TEXT(Config!$B$4,"yyyy-mm-dd"))</f>
        <v/>
      </c>
      <c r="T1123" t="str">
        <f>IF($AS1123="","",Config!$B$17)</f>
        <v/>
      </c>
      <c r="U1123" t="str">
        <f>IF($AS1123="","",Config!$B$18)</f>
        <v/>
      </c>
      <c r="V1123" t="str">
        <f>IF($AS1123="","",Config!$B$19)</f>
        <v/>
      </c>
      <c r="W1123" t="str">
        <f>IF($AS1123="","",INDEX('TMP Paste'!$C$2:$C$1601,$AS1123))</f>
        <v/>
      </c>
      <c r="X1123" t="str">
        <f>IF($AS1123="","",Config!$B$29)</f>
        <v/>
      </c>
      <c r="Y1123" t="str">
        <f>IF($AT1123="","",INDEX(Calc!$I$2:$I$1601,$AT1123)&amp;" - "&amp;INDEX(Calc!$D$2:$D$1601,$AT1123)&amp;" koli")</f>
        <v/>
      </c>
      <c r="Z1123" t="str">
        <f>IF($AS1123="","",Config!$B$21)</f>
        <v/>
      </c>
      <c r="AA1123" t="str">
        <f>IF($AS1123="","",Config!$B$22)</f>
        <v/>
      </c>
      <c r="AB1123" t="str">
        <f>IF($AT1123="","",INDEX(Calc!$D$2:$D$1601,$AT1123))</f>
        <v/>
      </c>
      <c r="AC1123" t="str">
        <f>IF($AT1123="","",INDEX(Calc!$G$2:$G$1601,$AT1123))</f>
        <v/>
      </c>
      <c r="AD1123" t="str">
        <f>IF($AS1123="","",Config!$B$23)</f>
        <v/>
      </c>
      <c r="AE1123" t="str">
        <f>IF($AS1123="","",Config!$B$28)</f>
        <v/>
      </c>
      <c r="AF1123" t="str">
        <f t="shared" si="104"/>
        <v/>
      </c>
      <c r="AG1123" t="str">
        <f t="shared" si="105"/>
        <v/>
      </c>
      <c r="AH1123" t="str">
        <f t="shared" si="106"/>
        <v/>
      </c>
      <c r="AI1123" t="str">
        <f>IF($AG1123="","",SUMIF($AG$2:$AG1123,$AG1123,$AH$2:$AH1123))</f>
        <v/>
      </c>
      <c r="AJ1123" t="str">
        <f>IF('TMP Paste'!$F1123="","",IF('TMP Paste'!$B1123="",$AJ1122,'TMP Paste'!$B1123))</f>
        <v/>
      </c>
      <c r="AK1123" t="str">
        <f>IF('TMP Paste'!$F1123="","",N('TMP Paste'!$G1123))</f>
        <v/>
      </c>
      <c r="AL1123" t="str">
        <f>IF('TMP Paste'!$F1123="","",IF('TMP Paste'!$M1123="",$AL1122,'TMP Paste'!$M1123))</f>
        <v/>
      </c>
      <c r="AM1123" t="str">
        <f>IF('TMP Paste'!$F1123="","",IF('TMP Paste'!$N1123="",$AM1122,'TMP Paste'!$N1123))</f>
        <v/>
      </c>
      <c r="AN1123" t="str">
        <f>IF('TMP Paste'!$F1123="","",IF('TMP Paste'!$O1123="",$AN1122,'TMP Paste'!$O1123))</f>
        <v/>
      </c>
      <c r="AO1123" t="str">
        <f>IF('TMP Paste'!$F1123="","",IF('TMP Paste'!$P1123="",$AO1122,'TMP Paste'!$P1123))</f>
        <v/>
      </c>
      <c r="AP1123" t="str">
        <f t="shared" si="107"/>
        <v/>
      </c>
      <c r="AQ1123" t="str">
        <f>IF($AS1123="","",TRIM(IF(COUNTIFS(Calc!$B$2:$B$1601,ROW()-1,Calc!$C$2:$C$1601,"&lt;1")&gt;0,"Ada PO tanpa Koli - cek TMP. ","")&amp;IF(OR($AU1123="",$AU1123&lt;=0),"Volume kosong/0 - dimensi dikosongkan. ","")&amp;IF(AND($AU1123&lt;&gt;"",$AU1123&gt;=1000000),"Volume &gt;= 1.000.000 cm3 (di luar aturan) - dimensi dikosongkan. ","")&amp;IF(LEN($R1123)&gt;500,"R &gt; 500 karakter.","")))</f>
        <v/>
      </c>
      <c r="AS1123" t="str">
        <f>IFERROR(MATCH(ROW()-1,Calc!$J$2:$J$1601,0),"")</f>
        <v/>
      </c>
      <c r="AT1123" t="str">
        <f>IFERROR(MATCH(ROW()-1,Calc!$K$2:$K$1601,0),"")</f>
        <v/>
      </c>
      <c r="AU1123" t="str">
        <f>IF($AS1123="","",IFERROR(INDEX('TMP Paste'!$D$2:$D$1601,$AS1123)*1000000/$AB1123,""))</f>
        <v/>
      </c>
    </row>
    <row r="1124" spans="1:47">
      <c r="A1124" t="str">
        <f>IF($AS1124="","",INDEX('TMP Paste'!$B$2:$B$1601,$AS1124))</f>
        <v/>
      </c>
      <c r="B1124" t="str">
        <f>IF($AS1124="","",Config!$B$14)</f>
        <v/>
      </c>
      <c r="C1124" t="str">
        <f>IF($AS1124="","",Config!$B$15)</f>
        <v/>
      </c>
      <c r="D1124" t="str">
        <f>IF($AS1124="","",INDEX('TMP Paste'!$B$2:$B$1601,$AS1124))</f>
        <v/>
      </c>
      <c r="E1124" t="str">
        <f>IF($AS1124="","",Config!$B$27)</f>
        <v/>
      </c>
      <c r="F1124" t="str">
        <f>IF($AS1124="","",Config!$B$9)</f>
        <v/>
      </c>
      <c r="G1124" t="str">
        <f>IF($AS1124="","",Config!$B$10)</f>
        <v/>
      </c>
      <c r="H1124" t="str">
        <f>IF($AS1124="","",Config!$B$11)</f>
        <v/>
      </c>
      <c r="I1124" t="str">
        <f>IF($AS1124="","",Config!$B$16)</f>
        <v/>
      </c>
      <c r="J1124" t="str">
        <f>IF($AS1124="","",INDEX('TMP Paste'!$A$2:$A$1601,$AS1124))</f>
        <v/>
      </c>
      <c r="K1124" t="str">
        <f>IF($AS1124="","",INDEX('TMP Paste'!$L$2:$L$1601,$AS1124))</f>
        <v/>
      </c>
      <c r="L1124" t="str">
        <f>IF($AS1124="","",INDEX('TMP Paste'!$I$2:$I$1601,$AS1124))</f>
        <v/>
      </c>
      <c r="M1124" t="str">
        <f>IF($AS1124="","",Config!$B$16)</f>
        <v/>
      </c>
      <c r="N1124" t="str">
        <f t="shared" si="102"/>
        <v/>
      </c>
      <c r="O1124" t="str">
        <f>IF($AS1124="","",INDEX('TMP Paste'!$K$2:$K$1601,$AS1124))</f>
        <v/>
      </c>
      <c r="P1124" t="str">
        <f t="shared" si="103"/>
        <v/>
      </c>
      <c r="Q1124" t="str">
        <f>IF($AS1124="","",INDEX('TMP Paste'!$J$2:$J$1601,$AS1124))</f>
        <v/>
      </c>
      <c r="R1124" t="str">
        <f>IF($AS1124="","",Config!$B$24)</f>
        <v/>
      </c>
      <c r="S1124" t="str">
        <f ca="1">IF($AS1124="","",TEXT(Config!$B$4,"yyyy-mm-dd"))</f>
        <v/>
      </c>
      <c r="T1124" t="str">
        <f>IF($AS1124="","",Config!$B$17)</f>
        <v/>
      </c>
      <c r="U1124" t="str">
        <f>IF($AS1124="","",Config!$B$18)</f>
        <v/>
      </c>
      <c r="V1124" t="str">
        <f>IF($AS1124="","",Config!$B$19)</f>
        <v/>
      </c>
      <c r="W1124" t="str">
        <f>IF($AS1124="","",INDEX('TMP Paste'!$C$2:$C$1601,$AS1124))</f>
        <v/>
      </c>
      <c r="X1124" t="str">
        <f>IF($AS1124="","",Config!$B$29)</f>
        <v/>
      </c>
      <c r="Y1124" t="str">
        <f>IF($AT1124="","",INDEX(Calc!$I$2:$I$1601,$AT1124)&amp;" - "&amp;INDEX(Calc!$D$2:$D$1601,$AT1124)&amp;" koli")</f>
        <v/>
      </c>
      <c r="Z1124" t="str">
        <f>IF($AS1124="","",Config!$B$21)</f>
        <v/>
      </c>
      <c r="AA1124" t="str">
        <f>IF($AS1124="","",Config!$B$22)</f>
        <v/>
      </c>
      <c r="AB1124" t="str">
        <f>IF($AT1124="","",INDEX(Calc!$D$2:$D$1601,$AT1124))</f>
        <v/>
      </c>
      <c r="AC1124" t="str">
        <f>IF($AT1124="","",INDEX(Calc!$G$2:$G$1601,$AT1124))</f>
        <v/>
      </c>
      <c r="AD1124" t="str">
        <f>IF($AS1124="","",Config!$B$23)</f>
        <v/>
      </c>
      <c r="AE1124" t="str">
        <f>IF($AS1124="","",Config!$B$28)</f>
        <v/>
      </c>
      <c r="AF1124" t="str">
        <f t="shared" si="104"/>
        <v/>
      </c>
      <c r="AG1124" t="str">
        <f t="shared" si="105"/>
        <v/>
      </c>
      <c r="AH1124" t="str">
        <f t="shared" si="106"/>
        <v/>
      </c>
      <c r="AI1124" t="str">
        <f>IF($AG1124="","",SUMIF($AG$2:$AG1124,$AG1124,$AH$2:$AH1124))</f>
        <v/>
      </c>
      <c r="AJ1124" t="str">
        <f>IF('TMP Paste'!$F1124="","",IF('TMP Paste'!$B1124="",$AJ1123,'TMP Paste'!$B1124))</f>
        <v/>
      </c>
      <c r="AK1124" t="str">
        <f>IF('TMP Paste'!$F1124="","",N('TMP Paste'!$G1124))</f>
        <v/>
      </c>
      <c r="AL1124" t="str">
        <f>IF('TMP Paste'!$F1124="","",IF('TMP Paste'!$M1124="",$AL1123,'TMP Paste'!$M1124))</f>
        <v/>
      </c>
      <c r="AM1124" t="str">
        <f>IF('TMP Paste'!$F1124="","",IF('TMP Paste'!$N1124="",$AM1123,'TMP Paste'!$N1124))</f>
        <v/>
      </c>
      <c r="AN1124" t="str">
        <f>IF('TMP Paste'!$F1124="","",IF('TMP Paste'!$O1124="",$AN1123,'TMP Paste'!$O1124))</f>
        <v/>
      </c>
      <c r="AO1124" t="str">
        <f>IF('TMP Paste'!$F1124="","",IF('TMP Paste'!$P1124="",$AO1123,'TMP Paste'!$P1124))</f>
        <v/>
      </c>
      <c r="AP1124" t="str">
        <f t="shared" si="107"/>
        <v/>
      </c>
      <c r="AQ1124" t="str">
        <f>IF($AS1124="","",TRIM(IF(COUNTIFS(Calc!$B$2:$B$1601,ROW()-1,Calc!$C$2:$C$1601,"&lt;1")&gt;0,"Ada PO tanpa Koli - cek TMP. ","")&amp;IF(OR($AU1124="",$AU1124&lt;=0),"Volume kosong/0 - dimensi dikosongkan. ","")&amp;IF(AND($AU1124&lt;&gt;"",$AU1124&gt;=1000000),"Volume &gt;= 1.000.000 cm3 (di luar aturan) - dimensi dikosongkan. ","")&amp;IF(LEN($R1124)&gt;500,"R &gt; 500 karakter.","")))</f>
        <v/>
      </c>
      <c r="AS1124" t="str">
        <f>IFERROR(MATCH(ROW()-1,Calc!$J$2:$J$1601,0),"")</f>
        <v/>
      </c>
      <c r="AT1124" t="str">
        <f>IFERROR(MATCH(ROW()-1,Calc!$K$2:$K$1601,0),"")</f>
        <v/>
      </c>
      <c r="AU1124" t="str">
        <f>IF($AS1124="","",IFERROR(INDEX('TMP Paste'!$D$2:$D$1601,$AS1124)*1000000/$AB1124,""))</f>
        <v/>
      </c>
    </row>
    <row r="1125" spans="1:47">
      <c r="A1125" t="str">
        <f>IF($AS1125="","",INDEX('TMP Paste'!$B$2:$B$1601,$AS1125))</f>
        <v/>
      </c>
      <c r="B1125" t="str">
        <f>IF($AS1125="","",Config!$B$14)</f>
        <v/>
      </c>
      <c r="C1125" t="str">
        <f>IF($AS1125="","",Config!$B$15)</f>
        <v/>
      </c>
      <c r="D1125" t="str">
        <f>IF($AS1125="","",INDEX('TMP Paste'!$B$2:$B$1601,$AS1125))</f>
        <v/>
      </c>
      <c r="E1125" t="str">
        <f>IF($AS1125="","",Config!$B$27)</f>
        <v/>
      </c>
      <c r="F1125" t="str">
        <f>IF($AS1125="","",Config!$B$9)</f>
        <v/>
      </c>
      <c r="G1125" t="str">
        <f>IF($AS1125="","",Config!$B$10)</f>
        <v/>
      </c>
      <c r="H1125" t="str">
        <f>IF($AS1125="","",Config!$B$11)</f>
        <v/>
      </c>
      <c r="I1125" t="str">
        <f>IF($AS1125="","",Config!$B$16)</f>
        <v/>
      </c>
      <c r="J1125" t="str">
        <f>IF($AS1125="","",INDEX('TMP Paste'!$A$2:$A$1601,$AS1125))</f>
        <v/>
      </c>
      <c r="K1125" t="str">
        <f>IF($AS1125="","",INDEX('TMP Paste'!$L$2:$L$1601,$AS1125))</f>
        <v/>
      </c>
      <c r="L1125" t="str">
        <f>IF($AS1125="","",INDEX('TMP Paste'!$I$2:$I$1601,$AS1125))</f>
        <v/>
      </c>
      <c r="M1125" t="str">
        <f>IF($AS1125="","",Config!$B$16)</f>
        <v/>
      </c>
      <c r="N1125" t="str">
        <f t="shared" si="102"/>
        <v/>
      </c>
      <c r="O1125" t="str">
        <f>IF($AS1125="","",INDEX('TMP Paste'!$K$2:$K$1601,$AS1125))</f>
        <v/>
      </c>
      <c r="P1125" t="str">
        <f t="shared" si="103"/>
        <v/>
      </c>
      <c r="Q1125" t="str">
        <f>IF($AS1125="","",INDEX('TMP Paste'!$J$2:$J$1601,$AS1125))</f>
        <v/>
      </c>
      <c r="R1125" t="str">
        <f>IF($AS1125="","",Config!$B$24)</f>
        <v/>
      </c>
      <c r="S1125" t="str">
        <f ca="1">IF($AS1125="","",TEXT(Config!$B$4,"yyyy-mm-dd"))</f>
        <v/>
      </c>
      <c r="T1125" t="str">
        <f>IF($AS1125="","",Config!$B$17)</f>
        <v/>
      </c>
      <c r="U1125" t="str">
        <f>IF($AS1125="","",Config!$B$18)</f>
        <v/>
      </c>
      <c r="V1125" t="str">
        <f>IF($AS1125="","",Config!$B$19)</f>
        <v/>
      </c>
      <c r="W1125" t="str">
        <f>IF($AS1125="","",INDEX('TMP Paste'!$C$2:$C$1601,$AS1125))</f>
        <v/>
      </c>
      <c r="X1125" t="str">
        <f>IF($AS1125="","",Config!$B$29)</f>
        <v/>
      </c>
      <c r="Y1125" t="str">
        <f>IF($AT1125="","",INDEX(Calc!$I$2:$I$1601,$AT1125)&amp;" - "&amp;INDEX(Calc!$D$2:$D$1601,$AT1125)&amp;" koli")</f>
        <v/>
      </c>
      <c r="Z1125" t="str">
        <f>IF($AS1125="","",Config!$B$21)</f>
        <v/>
      </c>
      <c r="AA1125" t="str">
        <f>IF($AS1125="","",Config!$B$22)</f>
        <v/>
      </c>
      <c r="AB1125" t="str">
        <f>IF($AT1125="","",INDEX(Calc!$D$2:$D$1601,$AT1125))</f>
        <v/>
      </c>
      <c r="AC1125" t="str">
        <f>IF($AT1125="","",INDEX(Calc!$G$2:$G$1601,$AT1125))</f>
        <v/>
      </c>
      <c r="AD1125" t="str">
        <f>IF($AS1125="","",Config!$B$23)</f>
        <v/>
      </c>
      <c r="AE1125" t="str">
        <f>IF($AS1125="","",Config!$B$28)</f>
        <v/>
      </c>
      <c r="AF1125" t="str">
        <f t="shared" si="104"/>
        <v/>
      </c>
      <c r="AG1125" t="str">
        <f t="shared" si="105"/>
        <v/>
      </c>
      <c r="AH1125" t="str">
        <f t="shared" si="106"/>
        <v/>
      </c>
      <c r="AI1125" t="str">
        <f>IF($AG1125="","",SUMIF($AG$2:$AG1125,$AG1125,$AH$2:$AH1125))</f>
        <v/>
      </c>
      <c r="AJ1125" t="str">
        <f>IF('TMP Paste'!$F1125="","",IF('TMP Paste'!$B1125="",$AJ1124,'TMP Paste'!$B1125))</f>
        <v/>
      </c>
      <c r="AK1125" t="str">
        <f>IF('TMP Paste'!$F1125="","",N('TMP Paste'!$G1125))</f>
        <v/>
      </c>
      <c r="AL1125" t="str">
        <f>IF('TMP Paste'!$F1125="","",IF('TMP Paste'!$M1125="",$AL1124,'TMP Paste'!$M1125))</f>
        <v/>
      </c>
      <c r="AM1125" t="str">
        <f>IF('TMP Paste'!$F1125="","",IF('TMP Paste'!$N1125="",$AM1124,'TMP Paste'!$N1125))</f>
        <v/>
      </c>
      <c r="AN1125" t="str">
        <f>IF('TMP Paste'!$F1125="","",IF('TMP Paste'!$O1125="",$AN1124,'TMP Paste'!$O1125))</f>
        <v/>
      </c>
      <c r="AO1125" t="str">
        <f>IF('TMP Paste'!$F1125="","",IF('TMP Paste'!$P1125="",$AO1124,'TMP Paste'!$P1125))</f>
        <v/>
      </c>
      <c r="AP1125" t="str">
        <f t="shared" si="107"/>
        <v/>
      </c>
      <c r="AQ1125" t="str">
        <f>IF($AS1125="","",TRIM(IF(COUNTIFS(Calc!$B$2:$B$1601,ROW()-1,Calc!$C$2:$C$1601,"&lt;1")&gt;0,"Ada PO tanpa Koli - cek TMP. ","")&amp;IF(OR($AU1125="",$AU1125&lt;=0),"Volume kosong/0 - dimensi dikosongkan. ","")&amp;IF(AND($AU1125&lt;&gt;"",$AU1125&gt;=1000000),"Volume &gt;= 1.000.000 cm3 (di luar aturan) - dimensi dikosongkan. ","")&amp;IF(LEN($R1125)&gt;500,"R &gt; 500 karakter.","")))</f>
        <v/>
      </c>
      <c r="AS1125" t="str">
        <f>IFERROR(MATCH(ROW()-1,Calc!$J$2:$J$1601,0),"")</f>
        <v/>
      </c>
      <c r="AT1125" t="str">
        <f>IFERROR(MATCH(ROW()-1,Calc!$K$2:$K$1601,0),"")</f>
        <v/>
      </c>
      <c r="AU1125" t="str">
        <f>IF($AS1125="","",IFERROR(INDEX('TMP Paste'!$D$2:$D$1601,$AS1125)*1000000/$AB1125,""))</f>
        <v/>
      </c>
    </row>
    <row r="1126" spans="1:47">
      <c r="A1126" t="str">
        <f>IF($AS1126="","",INDEX('TMP Paste'!$B$2:$B$1601,$AS1126))</f>
        <v/>
      </c>
      <c r="B1126" t="str">
        <f>IF($AS1126="","",Config!$B$14)</f>
        <v/>
      </c>
      <c r="C1126" t="str">
        <f>IF($AS1126="","",Config!$B$15)</f>
        <v/>
      </c>
      <c r="D1126" t="str">
        <f>IF($AS1126="","",INDEX('TMP Paste'!$B$2:$B$1601,$AS1126))</f>
        <v/>
      </c>
      <c r="E1126" t="str">
        <f>IF($AS1126="","",Config!$B$27)</f>
        <v/>
      </c>
      <c r="F1126" t="str">
        <f>IF($AS1126="","",Config!$B$9)</f>
        <v/>
      </c>
      <c r="G1126" t="str">
        <f>IF($AS1126="","",Config!$B$10)</f>
        <v/>
      </c>
      <c r="H1126" t="str">
        <f>IF($AS1126="","",Config!$B$11)</f>
        <v/>
      </c>
      <c r="I1126" t="str">
        <f>IF($AS1126="","",Config!$B$16)</f>
        <v/>
      </c>
      <c r="J1126" t="str">
        <f>IF($AS1126="","",INDEX('TMP Paste'!$A$2:$A$1601,$AS1126))</f>
        <v/>
      </c>
      <c r="K1126" t="str">
        <f>IF($AS1126="","",INDEX('TMP Paste'!$L$2:$L$1601,$AS1126))</f>
        <v/>
      </c>
      <c r="L1126" t="str">
        <f>IF($AS1126="","",INDEX('TMP Paste'!$I$2:$I$1601,$AS1126))</f>
        <v/>
      </c>
      <c r="M1126" t="str">
        <f>IF($AS1126="","",Config!$B$16)</f>
        <v/>
      </c>
      <c r="N1126" t="str">
        <f t="shared" si="102"/>
        <v/>
      </c>
      <c r="O1126" t="str">
        <f>IF($AS1126="","",INDEX('TMP Paste'!$K$2:$K$1601,$AS1126))</f>
        <v/>
      </c>
      <c r="P1126" t="str">
        <f t="shared" si="103"/>
        <v/>
      </c>
      <c r="Q1126" t="str">
        <f>IF($AS1126="","",INDEX('TMP Paste'!$J$2:$J$1601,$AS1126))</f>
        <v/>
      </c>
      <c r="R1126" t="str">
        <f>IF($AS1126="","",Config!$B$24)</f>
        <v/>
      </c>
      <c r="S1126" t="str">
        <f ca="1">IF($AS1126="","",TEXT(Config!$B$4,"yyyy-mm-dd"))</f>
        <v/>
      </c>
      <c r="T1126" t="str">
        <f>IF($AS1126="","",Config!$B$17)</f>
        <v/>
      </c>
      <c r="U1126" t="str">
        <f>IF($AS1126="","",Config!$B$18)</f>
        <v/>
      </c>
      <c r="V1126" t="str">
        <f>IF($AS1126="","",Config!$B$19)</f>
        <v/>
      </c>
      <c r="W1126" t="str">
        <f>IF($AS1126="","",INDEX('TMP Paste'!$C$2:$C$1601,$AS1126))</f>
        <v/>
      </c>
      <c r="X1126" t="str">
        <f>IF($AS1126="","",Config!$B$29)</f>
        <v/>
      </c>
      <c r="Y1126" t="str">
        <f>IF($AT1126="","",INDEX(Calc!$I$2:$I$1601,$AT1126)&amp;" - "&amp;INDEX(Calc!$D$2:$D$1601,$AT1126)&amp;" koli")</f>
        <v/>
      </c>
      <c r="Z1126" t="str">
        <f>IF($AS1126="","",Config!$B$21)</f>
        <v/>
      </c>
      <c r="AA1126" t="str">
        <f>IF($AS1126="","",Config!$B$22)</f>
        <v/>
      </c>
      <c r="AB1126" t="str">
        <f>IF($AT1126="","",INDEX(Calc!$D$2:$D$1601,$AT1126))</f>
        <v/>
      </c>
      <c r="AC1126" t="str">
        <f>IF($AT1126="","",INDEX(Calc!$G$2:$G$1601,$AT1126))</f>
        <v/>
      </c>
      <c r="AD1126" t="str">
        <f>IF($AS1126="","",Config!$B$23)</f>
        <v/>
      </c>
      <c r="AE1126" t="str">
        <f>IF($AS1126="","",Config!$B$28)</f>
        <v/>
      </c>
      <c r="AF1126" t="str">
        <f t="shared" si="104"/>
        <v/>
      </c>
      <c r="AG1126" t="str">
        <f t="shared" si="105"/>
        <v/>
      </c>
      <c r="AH1126" t="str">
        <f t="shared" si="106"/>
        <v/>
      </c>
      <c r="AI1126" t="str">
        <f>IF($AG1126="","",SUMIF($AG$2:$AG1126,$AG1126,$AH$2:$AH1126))</f>
        <v/>
      </c>
      <c r="AJ1126" t="str">
        <f>IF('TMP Paste'!$F1126="","",IF('TMP Paste'!$B1126="",$AJ1125,'TMP Paste'!$B1126))</f>
        <v/>
      </c>
      <c r="AK1126" t="str">
        <f>IF('TMP Paste'!$F1126="","",N('TMP Paste'!$G1126))</f>
        <v/>
      </c>
      <c r="AL1126" t="str">
        <f>IF('TMP Paste'!$F1126="","",IF('TMP Paste'!$M1126="",$AL1125,'TMP Paste'!$M1126))</f>
        <v/>
      </c>
      <c r="AM1126" t="str">
        <f>IF('TMP Paste'!$F1126="","",IF('TMP Paste'!$N1126="",$AM1125,'TMP Paste'!$N1126))</f>
        <v/>
      </c>
      <c r="AN1126" t="str">
        <f>IF('TMP Paste'!$F1126="","",IF('TMP Paste'!$O1126="",$AN1125,'TMP Paste'!$O1126))</f>
        <v/>
      </c>
      <c r="AO1126" t="str">
        <f>IF('TMP Paste'!$F1126="","",IF('TMP Paste'!$P1126="",$AO1125,'TMP Paste'!$P1126))</f>
        <v/>
      </c>
      <c r="AP1126" t="str">
        <f t="shared" si="107"/>
        <v/>
      </c>
      <c r="AQ1126" t="str">
        <f>IF($AS1126="","",TRIM(IF(COUNTIFS(Calc!$B$2:$B$1601,ROW()-1,Calc!$C$2:$C$1601,"&lt;1")&gt;0,"Ada PO tanpa Koli - cek TMP. ","")&amp;IF(OR($AU1126="",$AU1126&lt;=0),"Volume kosong/0 - dimensi dikosongkan. ","")&amp;IF(AND($AU1126&lt;&gt;"",$AU1126&gt;=1000000),"Volume &gt;= 1.000.000 cm3 (di luar aturan) - dimensi dikosongkan. ","")&amp;IF(LEN($R1126)&gt;500,"R &gt; 500 karakter.","")))</f>
        <v/>
      </c>
      <c r="AS1126" t="str">
        <f>IFERROR(MATCH(ROW()-1,Calc!$J$2:$J$1601,0),"")</f>
        <v/>
      </c>
      <c r="AT1126" t="str">
        <f>IFERROR(MATCH(ROW()-1,Calc!$K$2:$K$1601,0),"")</f>
        <v/>
      </c>
      <c r="AU1126" t="str">
        <f>IF($AS1126="","",IFERROR(INDEX('TMP Paste'!$D$2:$D$1601,$AS1126)*1000000/$AB1126,""))</f>
        <v/>
      </c>
    </row>
    <row r="1127" spans="1:47">
      <c r="A1127" t="str">
        <f>IF($AS1127="","",INDEX('TMP Paste'!$B$2:$B$1601,$AS1127))</f>
        <v/>
      </c>
      <c r="B1127" t="str">
        <f>IF($AS1127="","",Config!$B$14)</f>
        <v/>
      </c>
      <c r="C1127" t="str">
        <f>IF($AS1127="","",Config!$B$15)</f>
        <v/>
      </c>
      <c r="D1127" t="str">
        <f>IF($AS1127="","",INDEX('TMP Paste'!$B$2:$B$1601,$AS1127))</f>
        <v/>
      </c>
      <c r="E1127" t="str">
        <f>IF($AS1127="","",Config!$B$27)</f>
        <v/>
      </c>
      <c r="F1127" t="str">
        <f>IF($AS1127="","",Config!$B$9)</f>
        <v/>
      </c>
      <c r="G1127" t="str">
        <f>IF($AS1127="","",Config!$B$10)</f>
        <v/>
      </c>
      <c r="H1127" t="str">
        <f>IF($AS1127="","",Config!$B$11)</f>
        <v/>
      </c>
      <c r="I1127" t="str">
        <f>IF($AS1127="","",Config!$B$16)</f>
        <v/>
      </c>
      <c r="J1127" t="str">
        <f>IF($AS1127="","",INDEX('TMP Paste'!$A$2:$A$1601,$AS1127))</f>
        <v/>
      </c>
      <c r="K1127" t="str">
        <f>IF($AS1127="","",INDEX('TMP Paste'!$L$2:$L$1601,$AS1127))</f>
        <v/>
      </c>
      <c r="L1127" t="str">
        <f>IF($AS1127="","",INDEX('TMP Paste'!$I$2:$I$1601,$AS1127))</f>
        <v/>
      </c>
      <c r="M1127" t="str">
        <f>IF($AS1127="","",Config!$B$16)</f>
        <v/>
      </c>
      <c r="N1127" t="str">
        <f t="shared" si="102"/>
        <v/>
      </c>
      <c r="O1127" t="str">
        <f>IF($AS1127="","",INDEX('TMP Paste'!$K$2:$K$1601,$AS1127))</f>
        <v/>
      </c>
      <c r="P1127" t="str">
        <f t="shared" si="103"/>
        <v/>
      </c>
      <c r="Q1127" t="str">
        <f>IF($AS1127="","",INDEX('TMP Paste'!$J$2:$J$1601,$AS1127))</f>
        <v/>
      </c>
      <c r="R1127" t="str">
        <f>IF($AS1127="","",Config!$B$24)</f>
        <v/>
      </c>
      <c r="S1127" t="str">
        <f ca="1">IF($AS1127="","",TEXT(Config!$B$4,"yyyy-mm-dd"))</f>
        <v/>
      </c>
      <c r="T1127" t="str">
        <f>IF($AS1127="","",Config!$B$17)</f>
        <v/>
      </c>
      <c r="U1127" t="str">
        <f>IF($AS1127="","",Config!$B$18)</f>
        <v/>
      </c>
      <c r="V1127" t="str">
        <f>IF($AS1127="","",Config!$B$19)</f>
        <v/>
      </c>
      <c r="W1127" t="str">
        <f>IF($AS1127="","",INDEX('TMP Paste'!$C$2:$C$1601,$AS1127))</f>
        <v/>
      </c>
      <c r="X1127" t="str">
        <f>IF($AS1127="","",Config!$B$29)</f>
        <v/>
      </c>
      <c r="Y1127" t="str">
        <f>IF($AT1127="","",INDEX(Calc!$I$2:$I$1601,$AT1127)&amp;" - "&amp;INDEX(Calc!$D$2:$D$1601,$AT1127)&amp;" koli")</f>
        <v/>
      </c>
      <c r="Z1127" t="str">
        <f>IF($AS1127="","",Config!$B$21)</f>
        <v/>
      </c>
      <c r="AA1127" t="str">
        <f>IF($AS1127="","",Config!$B$22)</f>
        <v/>
      </c>
      <c r="AB1127" t="str">
        <f>IF($AT1127="","",INDEX(Calc!$D$2:$D$1601,$AT1127))</f>
        <v/>
      </c>
      <c r="AC1127" t="str">
        <f>IF($AT1127="","",INDEX(Calc!$G$2:$G$1601,$AT1127))</f>
        <v/>
      </c>
      <c r="AD1127" t="str">
        <f>IF($AS1127="","",Config!$B$23)</f>
        <v/>
      </c>
      <c r="AE1127" t="str">
        <f>IF($AS1127="","",Config!$B$28)</f>
        <v/>
      </c>
      <c r="AF1127" t="str">
        <f t="shared" si="104"/>
        <v/>
      </c>
      <c r="AG1127" t="str">
        <f t="shared" si="105"/>
        <v/>
      </c>
      <c r="AH1127" t="str">
        <f t="shared" si="106"/>
        <v/>
      </c>
      <c r="AI1127" t="str">
        <f>IF($AG1127="","",SUMIF($AG$2:$AG1127,$AG1127,$AH$2:$AH1127))</f>
        <v/>
      </c>
      <c r="AJ1127" t="str">
        <f>IF('TMP Paste'!$F1127="","",IF('TMP Paste'!$B1127="",$AJ1126,'TMP Paste'!$B1127))</f>
        <v/>
      </c>
      <c r="AK1127" t="str">
        <f>IF('TMP Paste'!$F1127="","",N('TMP Paste'!$G1127))</f>
        <v/>
      </c>
      <c r="AL1127" t="str">
        <f>IF('TMP Paste'!$F1127="","",IF('TMP Paste'!$M1127="",$AL1126,'TMP Paste'!$M1127))</f>
        <v/>
      </c>
      <c r="AM1127" t="str">
        <f>IF('TMP Paste'!$F1127="","",IF('TMP Paste'!$N1127="",$AM1126,'TMP Paste'!$N1127))</f>
        <v/>
      </c>
      <c r="AN1127" t="str">
        <f>IF('TMP Paste'!$F1127="","",IF('TMP Paste'!$O1127="",$AN1126,'TMP Paste'!$O1127))</f>
        <v/>
      </c>
      <c r="AO1127" t="str">
        <f>IF('TMP Paste'!$F1127="","",IF('TMP Paste'!$P1127="",$AO1126,'TMP Paste'!$P1127))</f>
        <v/>
      </c>
      <c r="AP1127" t="str">
        <f t="shared" si="107"/>
        <v/>
      </c>
      <c r="AQ1127" t="str">
        <f>IF($AS1127="","",TRIM(IF(COUNTIFS(Calc!$B$2:$B$1601,ROW()-1,Calc!$C$2:$C$1601,"&lt;1")&gt;0,"Ada PO tanpa Koli - cek TMP. ","")&amp;IF(OR($AU1127="",$AU1127&lt;=0),"Volume kosong/0 - dimensi dikosongkan. ","")&amp;IF(AND($AU1127&lt;&gt;"",$AU1127&gt;=1000000),"Volume &gt;= 1.000.000 cm3 (di luar aturan) - dimensi dikosongkan. ","")&amp;IF(LEN($R1127)&gt;500,"R &gt; 500 karakter.","")))</f>
        <v/>
      </c>
      <c r="AS1127" t="str">
        <f>IFERROR(MATCH(ROW()-1,Calc!$J$2:$J$1601,0),"")</f>
        <v/>
      </c>
      <c r="AT1127" t="str">
        <f>IFERROR(MATCH(ROW()-1,Calc!$K$2:$K$1601,0),"")</f>
        <v/>
      </c>
      <c r="AU1127" t="str">
        <f>IF($AS1127="","",IFERROR(INDEX('TMP Paste'!$D$2:$D$1601,$AS1127)*1000000/$AB1127,""))</f>
        <v/>
      </c>
    </row>
    <row r="1128" spans="1:47">
      <c r="A1128" t="str">
        <f>IF($AS1128="","",INDEX('TMP Paste'!$B$2:$B$1601,$AS1128))</f>
        <v/>
      </c>
      <c r="B1128" t="str">
        <f>IF($AS1128="","",Config!$B$14)</f>
        <v/>
      </c>
      <c r="C1128" t="str">
        <f>IF($AS1128="","",Config!$B$15)</f>
        <v/>
      </c>
      <c r="D1128" t="str">
        <f>IF($AS1128="","",INDEX('TMP Paste'!$B$2:$B$1601,$AS1128))</f>
        <v/>
      </c>
      <c r="E1128" t="str">
        <f>IF($AS1128="","",Config!$B$27)</f>
        <v/>
      </c>
      <c r="F1128" t="str">
        <f>IF($AS1128="","",Config!$B$9)</f>
        <v/>
      </c>
      <c r="G1128" t="str">
        <f>IF($AS1128="","",Config!$B$10)</f>
        <v/>
      </c>
      <c r="H1128" t="str">
        <f>IF($AS1128="","",Config!$B$11)</f>
        <v/>
      </c>
      <c r="I1128" t="str">
        <f>IF($AS1128="","",Config!$B$16)</f>
        <v/>
      </c>
      <c r="J1128" t="str">
        <f>IF($AS1128="","",INDEX('TMP Paste'!$A$2:$A$1601,$AS1128))</f>
        <v/>
      </c>
      <c r="K1128" t="str">
        <f>IF($AS1128="","",INDEX('TMP Paste'!$L$2:$L$1601,$AS1128))</f>
        <v/>
      </c>
      <c r="L1128" t="str">
        <f>IF($AS1128="","",INDEX('TMP Paste'!$I$2:$I$1601,$AS1128))</f>
        <v/>
      </c>
      <c r="M1128" t="str">
        <f>IF($AS1128="","",Config!$B$16)</f>
        <v/>
      </c>
      <c r="N1128" t="str">
        <f t="shared" si="102"/>
        <v/>
      </c>
      <c r="O1128" t="str">
        <f>IF($AS1128="","",INDEX('TMP Paste'!$K$2:$K$1601,$AS1128))</f>
        <v/>
      </c>
      <c r="P1128" t="str">
        <f t="shared" si="103"/>
        <v/>
      </c>
      <c r="Q1128" t="str">
        <f>IF($AS1128="","",INDEX('TMP Paste'!$J$2:$J$1601,$AS1128))</f>
        <v/>
      </c>
      <c r="R1128" t="str">
        <f>IF($AS1128="","",Config!$B$24)</f>
        <v/>
      </c>
      <c r="S1128" t="str">
        <f ca="1">IF($AS1128="","",TEXT(Config!$B$4,"yyyy-mm-dd"))</f>
        <v/>
      </c>
      <c r="T1128" t="str">
        <f>IF($AS1128="","",Config!$B$17)</f>
        <v/>
      </c>
      <c r="U1128" t="str">
        <f>IF($AS1128="","",Config!$B$18)</f>
        <v/>
      </c>
      <c r="V1128" t="str">
        <f>IF($AS1128="","",Config!$B$19)</f>
        <v/>
      </c>
      <c r="W1128" t="str">
        <f>IF($AS1128="","",INDEX('TMP Paste'!$C$2:$C$1601,$AS1128))</f>
        <v/>
      </c>
      <c r="X1128" t="str">
        <f>IF($AS1128="","",Config!$B$29)</f>
        <v/>
      </c>
      <c r="Y1128" t="str">
        <f>IF($AT1128="","",INDEX(Calc!$I$2:$I$1601,$AT1128)&amp;" - "&amp;INDEX(Calc!$D$2:$D$1601,$AT1128)&amp;" koli")</f>
        <v/>
      </c>
      <c r="Z1128" t="str">
        <f>IF($AS1128="","",Config!$B$21)</f>
        <v/>
      </c>
      <c r="AA1128" t="str">
        <f>IF($AS1128="","",Config!$B$22)</f>
        <v/>
      </c>
      <c r="AB1128" t="str">
        <f>IF($AT1128="","",INDEX(Calc!$D$2:$D$1601,$AT1128))</f>
        <v/>
      </c>
      <c r="AC1128" t="str">
        <f>IF($AT1128="","",INDEX(Calc!$G$2:$G$1601,$AT1128))</f>
        <v/>
      </c>
      <c r="AD1128" t="str">
        <f>IF($AS1128="","",Config!$B$23)</f>
        <v/>
      </c>
      <c r="AE1128" t="str">
        <f>IF($AS1128="","",Config!$B$28)</f>
        <v/>
      </c>
      <c r="AF1128" t="str">
        <f t="shared" si="104"/>
        <v/>
      </c>
      <c r="AG1128" t="str">
        <f t="shared" si="105"/>
        <v/>
      </c>
      <c r="AH1128" t="str">
        <f t="shared" si="106"/>
        <v/>
      </c>
      <c r="AI1128" t="str">
        <f>IF($AG1128="","",SUMIF($AG$2:$AG1128,$AG1128,$AH$2:$AH1128))</f>
        <v/>
      </c>
      <c r="AJ1128" t="str">
        <f>IF('TMP Paste'!$F1128="","",IF('TMP Paste'!$B1128="",$AJ1127,'TMP Paste'!$B1128))</f>
        <v/>
      </c>
      <c r="AK1128" t="str">
        <f>IF('TMP Paste'!$F1128="","",N('TMP Paste'!$G1128))</f>
        <v/>
      </c>
      <c r="AL1128" t="str">
        <f>IF('TMP Paste'!$F1128="","",IF('TMP Paste'!$M1128="",$AL1127,'TMP Paste'!$M1128))</f>
        <v/>
      </c>
      <c r="AM1128" t="str">
        <f>IF('TMP Paste'!$F1128="","",IF('TMP Paste'!$N1128="",$AM1127,'TMP Paste'!$N1128))</f>
        <v/>
      </c>
      <c r="AN1128" t="str">
        <f>IF('TMP Paste'!$F1128="","",IF('TMP Paste'!$O1128="",$AN1127,'TMP Paste'!$O1128))</f>
        <v/>
      </c>
      <c r="AO1128" t="str">
        <f>IF('TMP Paste'!$F1128="","",IF('TMP Paste'!$P1128="",$AO1127,'TMP Paste'!$P1128))</f>
        <v/>
      </c>
      <c r="AP1128" t="str">
        <f t="shared" si="107"/>
        <v/>
      </c>
      <c r="AQ1128" t="str">
        <f>IF($AS1128="","",TRIM(IF(COUNTIFS(Calc!$B$2:$B$1601,ROW()-1,Calc!$C$2:$C$1601,"&lt;1")&gt;0,"Ada PO tanpa Koli - cek TMP. ","")&amp;IF(OR($AU1128="",$AU1128&lt;=0),"Volume kosong/0 - dimensi dikosongkan. ","")&amp;IF(AND($AU1128&lt;&gt;"",$AU1128&gt;=1000000),"Volume &gt;= 1.000.000 cm3 (di luar aturan) - dimensi dikosongkan. ","")&amp;IF(LEN($R1128)&gt;500,"R &gt; 500 karakter.","")))</f>
        <v/>
      </c>
      <c r="AS1128" t="str">
        <f>IFERROR(MATCH(ROW()-1,Calc!$J$2:$J$1601,0),"")</f>
        <v/>
      </c>
      <c r="AT1128" t="str">
        <f>IFERROR(MATCH(ROW()-1,Calc!$K$2:$K$1601,0),"")</f>
        <v/>
      </c>
      <c r="AU1128" t="str">
        <f>IF($AS1128="","",IFERROR(INDEX('TMP Paste'!$D$2:$D$1601,$AS1128)*1000000/$AB1128,""))</f>
        <v/>
      </c>
    </row>
    <row r="1129" spans="1:47">
      <c r="A1129" t="str">
        <f>IF($AS1129="","",INDEX('TMP Paste'!$B$2:$B$1601,$AS1129))</f>
        <v/>
      </c>
      <c r="B1129" t="str">
        <f>IF($AS1129="","",Config!$B$14)</f>
        <v/>
      </c>
      <c r="C1129" t="str">
        <f>IF($AS1129="","",Config!$B$15)</f>
        <v/>
      </c>
      <c r="D1129" t="str">
        <f>IF($AS1129="","",INDEX('TMP Paste'!$B$2:$B$1601,$AS1129))</f>
        <v/>
      </c>
      <c r="E1129" t="str">
        <f>IF($AS1129="","",Config!$B$27)</f>
        <v/>
      </c>
      <c r="F1129" t="str">
        <f>IF($AS1129="","",Config!$B$9)</f>
        <v/>
      </c>
      <c r="G1129" t="str">
        <f>IF($AS1129="","",Config!$B$10)</f>
        <v/>
      </c>
      <c r="H1129" t="str">
        <f>IF($AS1129="","",Config!$B$11)</f>
        <v/>
      </c>
      <c r="I1129" t="str">
        <f>IF($AS1129="","",Config!$B$16)</f>
        <v/>
      </c>
      <c r="J1129" t="str">
        <f>IF($AS1129="","",INDEX('TMP Paste'!$A$2:$A$1601,$AS1129))</f>
        <v/>
      </c>
      <c r="K1129" t="str">
        <f>IF($AS1129="","",INDEX('TMP Paste'!$L$2:$L$1601,$AS1129))</f>
        <v/>
      </c>
      <c r="L1129" t="str">
        <f>IF($AS1129="","",INDEX('TMP Paste'!$I$2:$I$1601,$AS1129))</f>
        <v/>
      </c>
      <c r="M1129" t="str">
        <f>IF($AS1129="","",Config!$B$16)</f>
        <v/>
      </c>
      <c r="N1129" t="str">
        <f t="shared" si="102"/>
        <v/>
      </c>
      <c r="O1129" t="str">
        <f>IF($AS1129="","",INDEX('TMP Paste'!$K$2:$K$1601,$AS1129))</f>
        <v/>
      </c>
      <c r="P1129" t="str">
        <f t="shared" si="103"/>
        <v/>
      </c>
      <c r="Q1129" t="str">
        <f>IF($AS1129="","",INDEX('TMP Paste'!$J$2:$J$1601,$AS1129))</f>
        <v/>
      </c>
      <c r="R1129" t="str">
        <f>IF($AS1129="","",Config!$B$24)</f>
        <v/>
      </c>
      <c r="S1129" t="str">
        <f ca="1">IF($AS1129="","",TEXT(Config!$B$4,"yyyy-mm-dd"))</f>
        <v/>
      </c>
      <c r="T1129" t="str">
        <f>IF($AS1129="","",Config!$B$17)</f>
        <v/>
      </c>
      <c r="U1129" t="str">
        <f>IF($AS1129="","",Config!$B$18)</f>
        <v/>
      </c>
      <c r="V1129" t="str">
        <f>IF($AS1129="","",Config!$B$19)</f>
        <v/>
      </c>
      <c r="W1129" t="str">
        <f>IF($AS1129="","",INDEX('TMP Paste'!$C$2:$C$1601,$AS1129))</f>
        <v/>
      </c>
      <c r="X1129" t="str">
        <f>IF($AS1129="","",Config!$B$29)</f>
        <v/>
      </c>
      <c r="Y1129" t="str">
        <f>IF($AT1129="","",INDEX(Calc!$I$2:$I$1601,$AT1129)&amp;" - "&amp;INDEX(Calc!$D$2:$D$1601,$AT1129)&amp;" koli")</f>
        <v/>
      </c>
      <c r="Z1129" t="str">
        <f>IF($AS1129="","",Config!$B$21)</f>
        <v/>
      </c>
      <c r="AA1129" t="str">
        <f>IF($AS1129="","",Config!$B$22)</f>
        <v/>
      </c>
      <c r="AB1129" t="str">
        <f>IF($AT1129="","",INDEX(Calc!$D$2:$D$1601,$AT1129))</f>
        <v/>
      </c>
      <c r="AC1129" t="str">
        <f>IF($AT1129="","",INDEX(Calc!$G$2:$G$1601,$AT1129))</f>
        <v/>
      </c>
      <c r="AD1129" t="str">
        <f>IF($AS1129="","",Config!$B$23)</f>
        <v/>
      </c>
      <c r="AE1129" t="str">
        <f>IF($AS1129="","",Config!$B$28)</f>
        <v/>
      </c>
      <c r="AF1129" t="str">
        <f t="shared" si="104"/>
        <v/>
      </c>
      <c r="AG1129" t="str">
        <f t="shared" si="105"/>
        <v/>
      </c>
      <c r="AH1129" t="str">
        <f t="shared" si="106"/>
        <v/>
      </c>
      <c r="AI1129" t="str">
        <f>IF($AG1129="","",SUMIF($AG$2:$AG1129,$AG1129,$AH$2:$AH1129))</f>
        <v/>
      </c>
      <c r="AJ1129" t="str">
        <f>IF('TMP Paste'!$F1129="","",IF('TMP Paste'!$B1129="",$AJ1128,'TMP Paste'!$B1129))</f>
        <v/>
      </c>
      <c r="AK1129" t="str">
        <f>IF('TMP Paste'!$F1129="","",N('TMP Paste'!$G1129))</f>
        <v/>
      </c>
      <c r="AL1129" t="str">
        <f>IF('TMP Paste'!$F1129="","",IF('TMP Paste'!$M1129="",$AL1128,'TMP Paste'!$M1129))</f>
        <v/>
      </c>
      <c r="AM1129" t="str">
        <f>IF('TMP Paste'!$F1129="","",IF('TMP Paste'!$N1129="",$AM1128,'TMP Paste'!$N1129))</f>
        <v/>
      </c>
      <c r="AN1129" t="str">
        <f>IF('TMP Paste'!$F1129="","",IF('TMP Paste'!$O1129="",$AN1128,'TMP Paste'!$O1129))</f>
        <v/>
      </c>
      <c r="AO1129" t="str">
        <f>IF('TMP Paste'!$F1129="","",IF('TMP Paste'!$P1129="",$AO1128,'TMP Paste'!$P1129))</f>
        <v/>
      </c>
      <c r="AP1129" t="str">
        <f t="shared" si="107"/>
        <v/>
      </c>
      <c r="AQ1129" t="str">
        <f>IF($AS1129="","",TRIM(IF(COUNTIFS(Calc!$B$2:$B$1601,ROW()-1,Calc!$C$2:$C$1601,"&lt;1")&gt;0,"Ada PO tanpa Koli - cek TMP. ","")&amp;IF(OR($AU1129="",$AU1129&lt;=0),"Volume kosong/0 - dimensi dikosongkan. ","")&amp;IF(AND($AU1129&lt;&gt;"",$AU1129&gt;=1000000),"Volume &gt;= 1.000.000 cm3 (di luar aturan) - dimensi dikosongkan. ","")&amp;IF(LEN($R1129)&gt;500,"R &gt; 500 karakter.","")))</f>
        <v/>
      </c>
      <c r="AS1129" t="str">
        <f>IFERROR(MATCH(ROW()-1,Calc!$J$2:$J$1601,0),"")</f>
        <v/>
      </c>
      <c r="AT1129" t="str">
        <f>IFERROR(MATCH(ROW()-1,Calc!$K$2:$K$1601,0),"")</f>
        <v/>
      </c>
      <c r="AU1129" t="str">
        <f>IF($AS1129="","",IFERROR(INDEX('TMP Paste'!$D$2:$D$1601,$AS1129)*1000000/$AB1129,""))</f>
        <v/>
      </c>
    </row>
    <row r="1130" spans="1:47">
      <c r="A1130" t="str">
        <f>IF($AS1130="","",INDEX('TMP Paste'!$B$2:$B$1601,$AS1130))</f>
        <v/>
      </c>
      <c r="B1130" t="str">
        <f>IF($AS1130="","",Config!$B$14)</f>
        <v/>
      </c>
      <c r="C1130" t="str">
        <f>IF($AS1130="","",Config!$B$15)</f>
        <v/>
      </c>
      <c r="D1130" t="str">
        <f>IF($AS1130="","",INDEX('TMP Paste'!$B$2:$B$1601,$AS1130))</f>
        <v/>
      </c>
      <c r="E1130" t="str">
        <f>IF($AS1130="","",Config!$B$27)</f>
        <v/>
      </c>
      <c r="F1130" t="str">
        <f>IF($AS1130="","",Config!$B$9)</f>
        <v/>
      </c>
      <c r="G1130" t="str">
        <f>IF($AS1130="","",Config!$B$10)</f>
        <v/>
      </c>
      <c r="H1130" t="str">
        <f>IF($AS1130="","",Config!$B$11)</f>
        <v/>
      </c>
      <c r="I1130" t="str">
        <f>IF($AS1130="","",Config!$B$16)</f>
        <v/>
      </c>
      <c r="J1130" t="str">
        <f>IF($AS1130="","",INDEX('TMP Paste'!$A$2:$A$1601,$AS1130))</f>
        <v/>
      </c>
      <c r="K1130" t="str">
        <f>IF($AS1130="","",INDEX('TMP Paste'!$L$2:$L$1601,$AS1130))</f>
        <v/>
      </c>
      <c r="L1130" t="str">
        <f>IF($AS1130="","",INDEX('TMP Paste'!$I$2:$I$1601,$AS1130))</f>
        <v/>
      </c>
      <c r="M1130" t="str">
        <f>IF($AS1130="","",Config!$B$16)</f>
        <v/>
      </c>
      <c r="N1130" t="str">
        <f t="shared" si="102"/>
        <v/>
      </c>
      <c r="O1130" t="str">
        <f>IF($AS1130="","",INDEX('TMP Paste'!$K$2:$K$1601,$AS1130))</f>
        <v/>
      </c>
      <c r="P1130" t="str">
        <f t="shared" si="103"/>
        <v/>
      </c>
      <c r="Q1130" t="str">
        <f>IF($AS1130="","",INDEX('TMP Paste'!$J$2:$J$1601,$AS1130))</f>
        <v/>
      </c>
      <c r="R1130" t="str">
        <f>IF($AS1130="","",Config!$B$24)</f>
        <v/>
      </c>
      <c r="S1130" t="str">
        <f ca="1">IF($AS1130="","",TEXT(Config!$B$4,"yyyy-mm-dd"))</f>
        <v/>
      </c>
      <c r="T1130" t="str">
        <f>IF($AS1130="","",Config!$B$17)</f>
        <v/>
      </c>
      <c r="U1130" t="str">
        <f>IF($AS1130="","",Config!$B$18)</f>
        <v/>
      </c>
      <c r="V1130" t="str">
        <f>IF($AS1130="","",Config!$B$19)</f>
        <v/>
      </c>
      <c r="W1130" t="str">
        <f>IF($AS1130="","",INDEX('TMP Paste'!$C$2:$C$1601,$AS1130))</f>
        <v/>
      </c>
      <c r="X1130" t="str">
        <f>IF($AS1130="","",Config!$B$29)</f>
        <v/>
      </c>
      <c r="Y1130" t="str">
        <f>IF($AT1130="","",INDEX(Calc!$I$2:$I$1601,$AT1130)&amp;" - "&amp;INDEX(Calc!$D$2:$D$1601,$AT1130)&amp;" koli")</f>
        <v/>
      </c>
      <c r="Z1130" t="str">
        <f>IF($AS1130="","",Config!$B$21)</f>
        <v/>
      </c>
      <c r="AA1130" t="str">
        <f>IF($AS1130="","",Config!$B$22)</f>
        <v/>
      </c>
      <c r="AB1130" t="str">
        <f>IF($AT1130="","",INDEX(Calc!$D$2:$D$1601,$AT1130))</f>
        <v/>
      </c>
      <c r="AC1130" t="str">
        <f>IF($AT1130="","",INDEX(Calc!$G$2:$G$1601,$AT1130))</f>
        <v/>
      </c>
      <c r="AD1130" t="str">
        <f>IF($AS1130="","",Config!$B$23)</f>
        <v/>
      </c>
      <c r="AE1130" t="str">
        <f>IF($AS1130="","",Config!$B$28)</f>
        <v/>
      </c>
      <c r="AF1130" t="str">
        <f t="shared" si="104"/>
        <v/>
      </c>
      <c r="AG1130" t="str">
        <f t="shared" si="105"/>
        <v/>
      </c>
      <c r="AH1130" t="str">
        <f t="shared" si="106"/>
        <v/>
      </c>
      <c r="AI1130" t="str">
        <f>IF($AG1130="","",SUMIF($AG$2:$AG1130,$AG1130,$AH$2:$AH1130))</f>
        <v/>
      </c>
      <c r="AJ1130" t="str">
        <f>IF('TMP Paste'!$F1130="","",IF('TMP Paste'!$B1130="",$AJ1129,'TMP Paste'!$B1130))</f>
        <v/>
      </c>
      <c r="AK1130" t="str">
        <f>IF('TMP Paste'!$F1130="","",N('TMP Paste'!$G1130))</f>
        <v/>
      </c>
      <c r="AL1130" t="str">
        <f>IF('TMP Paste'!$F1130="","",IF('TMP Paste'!$M1130="",$AL1129,'TMP Paste'!$M1130))</f>
        <v/>
      </c>
      <c r="AM1130" t="str">
        <f>IF('TMP Paste'!$F1130="","",IF('TMP Paste'!$N1130="",$AM1129,'TMP Paste'!$N1130))</f>
        <v/>
      </c>
      <c r="AN1130" t="str">
        <f>IF('TMP Paste'!$F1130="","",IF('TMP Paste'!$O1130="",$AN1129,'TMP Paste'!$O1130))</f>
        <v/>
      </c>
      <c r="AO1130" t="str">
        <f>IF('TMP Paste'!$F1130="","",IF('TMP Paste'!$P1130="",$AO1129,'TMP Paste'!$P1130))</f>
        <v/>
      </c>
      <c r="AP1130" t="str">
        <f t="shared" si="107"/>
        <v/>
      </c>
      <c r="AQ1130" t="str">
        <f>IF($AS1130="","",TRIM(IF(COUNTIFS(Calc!$B$2:$B$1601,ROW()-1,Calc!$C$2:$C$1601,"&lt;1")&gt;0,"Ada PO tanpa Koli - cek TMP. ","")&amp;IF(OR($AU1130="",$AU1130&lt;=0),"Volume kosong/0 - dimensi dikosongkan. ","")&amp;IF(AND($AU1130&lt;&gt;"",$AU1130&gt;=1000000),"Volume &gt;= 1.000.000 cm3 (di luar aturan) - dimensi dikosongkan. ","")&amp;IF(LEN($R1130)&gt;500,"R &gt; 500 karakter.","")))</f>
        <v/>
      </c>
      <c r="AS1130" t="str">
        <f>IFERROR(MATCH(ROW()-1,Calc!$J$2:$J$1601,0),"")</f>
        <v/>
      </c>
      <c r="AT1130" t="str">
        <f>IFERROR(MATCH(ROW()-1,Calc!$K$2:$K$1601,0),"")</f>
        <v/>
      </c>
      <c r="AU1130" t="str">
        <f>IF($AS1130="","",IFERROR(INDEX('TMP Paste'!$D$2:$D$1601,$AS1130)*1000000/$AB1130,""))</f>
        <v/>
      </c>
    </row>
    <row r="1131" spans="1:47">
      <c r="A1131" t="str">
        <f>IF($AS1131="","",INDEX('TMP Paste'!$B$2:$B$1601,$AS1131))</f>
        <v/>
      </c>
      <c r="B1131" t="str">
        <f>IF($AS1131="","",Config!$B$14)</f>
        <v/>
      </c>
      <c r="C1131" t="str">
        <f>IF($AS1131="","",Config!$B$15)</f>
        <v/>
      </c>
      <c r="D1131" t="str">
        <f>IF($AS1131="","",INDEX('TMP Paste'!$B$2:$B$1601,$AS1131))</f>
        <v/>
      </c>
      <c r="E1131" t="str">
        <f>IF($AS1131="","",Config!$B$27)</f>
        <v/>
      </c>
      <c r="F1131" t="str">
        <f>IF($AS1131="","",Config!$B$9)</f>
        <v/>
      </c>
      <c r="G1131" t="str">
        <f>IF($AS1131="","",Config!$B$10)</f>
        <v/>
      </c>
      <c r="H1131" t="str">
        <f>IF($AS1131="","",Config!$B$11)</f>
        <v/>
      </c>
      <c r="I1131" t="str">
        <f>IF($AS1131="","",Config!$B$16)</f>
        <v/>
      </c>
      <c r="J1131" t="str">
        <f>IF($AS1131="","",INDEX('TMP Paste'!$A$2:$A$1601,$AS1131))</f>
        <v/>
      </c>
      <c r="K1131" t="str">
        <f>IF($AS1131="","",INDEX('TMP Paste'!$L$2:$L$1601,$AS1131))</f>
        <v/>
      </c>
      <c r="L1131" t="str">
        <f>IF($AS1131="","",INDEX('TMP Paste'!$I$2:$I$1601,$AS1131))</f>
        <v/>
      </c>
      <c r="M1131" t="str">
        <f>IF($AS1131="","",Config!$B$16)</f>
        <v/>
      </c>
      <c r="N1131" t="str">
        <f t="shared" si="102"/>
        <v/>
      </c>
      <c r="O1131" t="str">
        <f>IF($AS1131="","",INDEX('TMP Paste'!$K$2:$K$1601,$AS1131))</f>
        <v/>
      </c>
      <c r="P1131" t="str">
        <f t="shared" si="103"/>
        <v/>
      </c>
      <c r="Q1131" t="str">
        <f>IF($AS1131="","",INDEX('TMP Paste'!$J$2:$J$1601,$AS1131))</f>
        <v/>
      </c>
      <c r="R1131" t="str">
        <f>IF($AS1131="","",Config!$B$24)</f>
        <v/>
      </c>
      <c r="S1131" t="str">
        <f ca="1">IF($AS1131="","",TEXT(Config!$B$4,"yyyy-mm-dd"))</f>
        <v/>
      </c>
      <c r="T1131" t="str">
        <f>IF($AS1131="","",Config!$B$17)</f>
        <v/>
      </c>
      <c r="U1131" t="str">
        <f>IF($AS1131="","",Config!$B$18)</f>
        <v/>
      </c>
      <c r="V1131" t="str">
        <f>IF($AS1131="","",Config!$B$19)</f>
        <v/>
      </c>
      <c r="W1131" t="str">
        <f>IF($AS1131="","",INDEX('TMP Paste'!$C$2:$C$1601,$AS1131))</f>
        <v/>
      </c>
      <c r="X1131" t="str">
        <f>IF($AS1131="","",Config!$B$29)</f>
        <v/>
      </c>
      <c r="Y1131" t="str">
        <f>IF($AT1131="","",INDEX(Calc!$I$2:$I$1601,$AT1131)&amp;" - "&amp;INDEX(Calc!$D$2:$D$1601,$AT1131)&amp;" koli")</f>
        <v/>
      </c>
      <c r="Z1131" t="str">
        <f>IF($AS1131="","",Config!$B$21)</f>
        <v/>
      </c>
      <c r="AA1131" t="str">
        <f>IF($AS1131="","",Config!$B$22)</f>
        <v/>
      </c>
      <c r="AB1131" t="str">
        <f>IF($AT1131="","",INDEX(Calc!$D$2:$D$1601,$AT1131))</f>
        <v/>
      </c>
      <c r="AC1131" t="str">
        <f>IF($AT1131="","",INDEX(Calc!$G$2:$G$1601,$AT1131))</f>
        <v/>
      </c>
      <c r="AD1131" t="str">
        <f>IF($AS1131="","",Config!$B$23)</f>
        <v/>
      </c>
      <c r="AE1131" t="str">
        <f>IF($AS1131="","",Config!$B$28)</f>
        <v/>
      </c>
      <c r="AF1131" t="str">
        <f t="shared" si="104"/>
        <v/>
      </c>
      <c r="AG1131" t="str">
        <f t="shared" si="105"/>
        <v/>
      </c>
      <c r="AH1131" t="str">
        <f t="shared" si="106"/>
        <v/>
      </c>
      <c r="AI1131" t="str">
        <f>IF($AG1131="","",SUMIF($AG$2:$AG1131,$AG1131,$AH$2:$AH1131))</f>
        <v/>
      </c>
      <c r="AJ1131" t="str">
        <f>IF('TMP Paste'!$F1131="","",IF('TMP Paste'!$B1131="",$AJ1130,'TMP Paste'!$B1131))</f>
        <v/>
      </c>
      <c r="AK1131" t="str">
        <f>IF('TMP Paste'!$F1131="","",N('TMP Paste'!$G1131))</f>
        <v/>
      </c>
      <c r="AL1131" t="str">
        <f>IF('TMP Paste'!$F1131="","",IF('TMP Paste'!$M1131="",$AL1130,'TMP Paste'!$M1131))</f>
        <v/>
      </c>
      <c r="AM1131" t="str">
        <f>IF('TMP Paste'!$F1131="","",IF('TMP Paste'!$N1131="",$AM1130,'TMP Paste'!$N1131))</f>
        <v/>
      </c>
      <c r="AN1131" t="str">
        <f>IF('TMP Paste'!$F1131="","",IF('TMP Paste'!$O1131="",$AN1130,'TMP Paste'!$O1131))</f>
        <v/>
      </c>
      <c r="AO1131" t="str">
        <f>IF('TMP Paste'!$F1131="","",IF('TMP Paste'!$P1131="",$AO1130,'TMP Paste'!$P1131))</f>
        <v/>
      </c>
      <c r="AP1131" t="str">
        <f t="shared" si="107"/>
        <v/>
      </c>
      <c r="AQ1131" t="str">
        <f>IF($AS1131="","",TRIM(IF(COUNTIFS(Calc!$B$2:$B$1601,ROW()-1,Calc!$C$2:$C$1601,"&lt;1")&gt;0,"Ada PO tanpa Koli - cek TMP. ","")&amp;IF(OR($AU1131="",$AU1131&lt;=0),"Volume kosong/0 - dimensi dikosongkan. ","")&amp;IF(AND($AU1131&lt;&gt;"",$AU1131&gt;=1000000),"Volume &gt;= 1.000.000 cm3 (di luar aturan) - dimensi dikosongkan. ","")&amp;IF(LEN($R1131)&gt;500,"R &gt; 500 karakter.","")))</f>
        <v/>
      </c>
      <c r="AS1131" t="str">
        <f>IFERROR(MATCH(ROW()-1,Calc!$J$2:$J$1601,0),"")</f>
        <v/>
      </c>
      <c r="AT1131" t="str">
        <f>IFERROR(MATCH(ROW()-1,Calc!$K$2:$K$1601,0),"")</f>
        <v/>
      </c>
      <c r="AU1131" t="str">
        <f>IF($AS1131="","",IFERROR(INDEX('TMP Paste'!$D$2:$D$1601,$AS1131)*1000000/$AB1131,""))</f>
        <v/>
      </c>
    </row>
    <row r="1132" spans="1:47">
      <c r="A1132" t="str">
        <f>IF($AS1132="","",INDEX('TMP Paste'!$B$2:$B$1601,$AS1132))</f>
        <v/>
      </c>
      <c r="B1132" t="str">
        <f>IF($AS1132="","",Config!$B$14)</f>
        <v/>
      </c>
      <c r="C1132" t="str">
        <f>IF($AS1132="","",Config!$B$15)</f>
        <v/>
      </c>
      <c r="D1132" t="str">
        <f>IF($AS1132="","",INDEX('TMP Paste'!$B$2:$B$1601,$AS1132))</f>
        <v/>
      </c>
      <c r="E1132" t="str">
        <f>IF($AS1132="","",Config!$B$27)</f>
        <v/>
      </c>
      <c r="F1132" t="str">
        <f>IF($AS1132="","",Config!$B$9)</f>
        <v/>
      </c>
      <c r="G1132" t="str">
        <f>IF($AS1132="","",Config!$B$10)</f>
        <v/>
      </c>
      <c r="H1132" t="str">
        <f>IF($AS1132="","",Config!$B$11)</f>
        <v/>
      </c>
      <c r="I1132" t="str">
        <f>IF($AS1132="","",Config!$B$16)</f>
        <v/>
      </c>
      <c r="J1132" t="str">
        <f>IF($AS1132="","",INDEX('TMP Paste'!$A$2:$A$1601,$AS1132))</f>
        <v/>
      </c>
      <c r="K1132" t="str">
        <f>IF($AS1132="","",INDEX('TMP Paste'!$L$2:$L$1601,$AS1132))</f>
        <v/>
      </c>
      <c r="L1132" t="str">
        <f>IF($AS1132="","",INDEX('TMP Paste'!$I$2:$I$1601,$AS1132))</f>
        <v/>
      </c>
      <c r="M1132" t="str">
        <f>IF($AS1132="","",Config!$B$16)</f>
        <v/>
      </c>
      <c r="N1132" t="str">
        <f t="shared" si="102"/>
        <v/>
      </c>
      <c r="O1132" t="str">
        <f>IF($AS1132="","",INDEX('TMP Paste'!$K$2:$K$1601,$AS1132))</f>
        <v/>
      </c>
      <c r="P1132" t="str">
        <f t="shared" si="103"/>
        <v/>
      </c>
      <c r="Q1132" t="str">
        <f>IF($AS1132="","",INDEX('TMP Paste'!$J$2:$J$1601,$AS1132))</f>
        <v/>
      </c>
      <c r="R1132" t="str">
        <f>IF($AS1132="","",Config!$B$24)</f>
        <v/>
      </c>
      <c r="S1132" t="str">
        <f ca="1">IF($AS1132="","",TEXT(Config!$B$4,"yyyy-mm-dd"))</f>
        <v/>
      </c>
      <c r="T1132" t="str">
        <f>IF($AS1132="","",Config!$B$17)</f>
        <v/>
      </c>
      <c r="U1132" t="str">
        <f>IF($AS1132="","",Config!$B$18)</f>
        <v/>
      </c>
      <c r="V1132" t="str">
        <f>IF($AS1132="","",Config!$B$19)</f>
        <v/>
      </c>
      <c r="W1132" t="str">
        <f>IF($AS1132="","",INDEX('TMP Paste'!$C$2:$C$1601,$AS1132))</f>
        <v/>
      </c>
      <c r="X1132" t="str">
        <f>IF($AS1132="","",Config!$B$29)</f>
        <v/>
      </c>
      <c r="Y1132" t="str">
        <f>IF($AT1132="","",INDEX(Calc!$I$2:$I$1601,$AT1132)&amp;" - "&amp;INDEX(Calc!$D$2:$D$1601,$AT1132)&amp;" koli")</f>
        <v/>
      </c>
      <c r="Z1132" t="str">
        <f>IF($AS1132="","",Config!$B$21)</f>
        <v/>
      </c>
      <c r="AA1132" t="str">
        <f>IF($AS1132="","",Config!$B$22)</f>
        <v/>
      </c>
      <c r="AB1132" t="str">
        <f>IF($AT1132="","",INDEX(Calc!$D$2:$D$1601,$AT1132))</f>
        <v/>
      </c>
      <c r="AC1132" t="str">
        <f>IF($AT1132="","",INDEX(Calc!$G$2:$G$1601,$AT1132))</f>
        <v/>
      </c>
      <c r="AD1132" t="str">
        <f>IF($AS1132="","",Config!$B$23)</f>
        <v/>
      </c>
      <c r="AE1132" t="str">
        <f>IF($AS1132="","",Config!$B$28)</f>
        <v/>
      </c>
      <c r="AF1132" t="str">
        <f t="shared" si="104"/>
        <v/>
      </c>
      <c r="AG1132" t="str">
        <f t="shared" si="105"/>
        <v/>
      </c>
      <c r="AH1132" t="str">
        <f t="shared" si="106"/>
        <v/>
      </c>
      <c r="AI1132" t="str">
        <f>IF($AG1132="","",SUMIF($AG$2:$AG1132,$AG1132,$AH$2:$AH1132))</f>
        <v/>
      </c>
      <c r="AJ1132" t="str">
        <f>IF('TMP Paste'!$F1132="","",IF('TMP Paste'!$B1132="",$AJ1131,'TMP Paste'!$B1132))</f>
        <v/>
      </c>
      <c r="AK1132" t="str">
        <f>IF('TMP Paste'!$F1132="","",N('TMP Paste'!$G1132))</f>
        <v/>
      </c>
      <c r="AL1132" t="str">
        <f>IF('TMP Paste'!$F1132="","",IF('TMP Paste'!$M1132="",$AL1131,'TMP Paste'!$M1132))</f>
        <v/>
      </c>
      <c r="AM1132" t="str">
        <f>IF('TMP Paste'!$F1132="","",IF('TMP Paste'!$N1132="",$AM1131,'TMP Paste'!$N1132))</f>
        <v/>
      </c>
      <c r="AN1132" t="str">
        <f>IF('TMP Paste'!$F1132="","",IF('TMP Paste'!$O1132="",$AN1131,'TMP Paste'!$O1132))</f>
        <v/>
      </c>
      <c r="AO1132" t="str">
        <f>IF('TMP Paste'!$F1132="","",IF('TMP Paste'!$P1132="",$AO1131,'TMP Paste'!$P1132))</f>
        <v/>
      </c>
      <c r="AP1132" t="str">
        <f t="shared" si="107"/>
        <v/>
      </c>
      <c r="AQ1132" t="str">
        <f>IF($AS1132="","",TRIM(IF(COUNTIFS(Calc!$B$2:$B$1601,ROW()-1,Calc!$C$2:$C$1601,"&lt;1")&gt;0,"Ada PO tanpa Koli - cek TMP. ","")&amp;IF(OR($AU1132="",$AU1132&lt;=0),"Volume kosong/0 - dimensi dikosongkan. ","")&amp;IF(AND($AU1132&lt;&gt;"",$AU1132&gt;=1000000),"Volume &gt;= 1.000.000 cm3 (di luar aturan) - dimensi dikosongkan. ","")&amp;IF(LEN($R1132)&gt;500,"R &gt; 500 karakter.","")))</f>
        <v/>
      </c>
      <c r="AS1132" t="str">
        <f>IFERROR(MATCH(ROW()-1,Calc!$J$2:$J$1601,0),"")</f>
        <v/>
      </c>
      <c r="AT1132" t="str">
        <f>IFERROR(MATCH(ROW()-1,Calc!$K$2:$K$1601,0),"")</f>
        <v/>
      </c>
      <c r="AU1132" t="str">
        <f>IF($AS1132="","",IFERROR(INDEX('TMP Paste'!$D$2:$D$1601,$AS1132)*1000000/$AB1132,""))</f>
        <v/>
      </c>
    </row>
    <row r="1133" spans="1:47">
      <c r="A1133" t="str">
        <f>IF($AS1133="","",INDEX('TMP Paste'!$B$2:$B$1601,$AS1133))</f>
        <v/>
      </c>
      <c r="B1133" t="str">
        <f>IF($AS1133="","",Config!$B$14)</f>
        <v/>
      </c>
      <c r="C1133" t="str">
        <f>IF($AS1133="","",Config!$B$15)</f>
        <v/>
      </c>
      <c r="D1133" t="str">
        <f>IF($AS1133="","",INDEX('TMP Paste'!$B$2:$B$1601,$AS1133))</f>
        <v/>
      </c>
      <c r="E1133" t="str">
        <f>IF($AS1133="","",Config!$B$27)</f>
        <v/>
      </c>
      <c r="F1133" t="str">
        <f>IF($AS1133="","",Config!$B$9)</f>
        <v/>
      </c>
      <c r="G1133" t="str">
        <f>IF($AS1133="","",Config!$B$10)</f>
        <v/>
      </c>
      <c r="H1133" t="str">
        <f>IF($AS1133="","",Config!$B$11)</f>
        <v/>
      </c>
      <c r="I1133" t="str">
        <f>IF($AS1133="","",Config!$B$16)</f>
        <v/>
      </c>
      <c r="J1133" t="str">
        <f>IF($AS1133="","",INDEX('TMP Paste'!$A$2:$A$1601,$AS1133))</f>
        <v/>
      </c>
      <c r="K1133" t="str">
        <f>IF($AS1133="","",INDEX('TMP Paste'!$L$2:$L$1601,$AS1133))</f>
        <v/>
      </c>
      <c r="L1133" t="str">
        <f>IF($AS1133="","",INDEX('TMP Paste'!$I$2:$I$1601,$AS1133))</f>
        <v/>
      </c>
      <c r="M1133" t="str">
        <f>IF($AS1133="","",Config!$B$16)</f>
        <v/>
      </c>
      <c r="N1133" t="str">
        <f t="shared" si="102"/>
        <v/>
      </c>
      <c r="O1133" t="str">
        <f>IF($AS1133="","",INDEX('TMP Paste'!$K$2:$K$1601,$AS1133))</f>
        <v/>
      </c>
      <c r="P1133" t="str">
        <f t="shared" si="103"/>
        <v/>
      </c>
      <c r="Q1133" t="str">
        <f>IF($AS1133="","",INDEX('TMP Paste'!$J$2:$J$1601,$AS1133))</f>
        <v/>
      </c>
      <c r="R1133" t="str">
        <f>IF($AS1133="","",Config!$B$24)</f>
        <v/>
      </c>
      <c r="S1133" t="str">
        <f ca="1">IF($AS1133="","",TEXT(Config!$B$4,"yyyy-mm-dd"))</f>
        <v/>
      </c>
      <c r="T1133" t="str">
        <f>IF($AS1133="","",Config!$B$17)</f>
        <v/>
      </c>
      <c r="U1133" t="str">
        <f>IF($AS1133="","",Config!$B$18)</f>
        <v/>
      </c>
      <c r="V1133" t="str">
        <f>IF($AS1133="","",Config!$B$19)</f>
        <v/>
      </c>
      <c r="W1133" t="str">
        <f>IF($AS1133="","",INDEX('TMP Paste'!$C$2:$C$1601,$AS1133))</f>
        <v/>
      </c>
      <c r="X1133" t="str">
        <f>IF($AS1133="","",Config!$B$29)</f>
        <v/>
      </c>
      <c r="Y1133" t="str">
        <f>IF($AT1133="","",INDEX(Calc!$I$2:$I$1601,$AT1133)&amp;" - "&amp;INDEX(Calc!$D$2:$D$1601,$AT1133)&amp;" koli")</f>
        <v/>
      </c>
      <c r="Z1133" t="str">
        <f>IF($AS1133="","",Config!$B$21)</f>
        <v/>
      </c>
      <c r="AA1133" t="str">
        <f>IF($AS1133="","",Config!$B$22)</f>
        <v/>
      </c>
      <c r="AB1133" t="str">
        <f>IF($AT1133="","",INDEX(Calc!$D$2:$D$1601,$AT1133))</f>
        <v/>
      </c>
      <c r="AC1133" t="str">
        <f>IF($AT1133="","",INDEX(Calc!$G$2:$G$1601,$AT1133))</f>
        <v/>
      </c>
      <c r="AD1133" t="str">
        <f>IF($AS1133="","",Config!$B$23)</f>
        <v/>
      </c>
      <c r="AE1133" t="str">
        <f>IF($AS1133="","",Config!$B$28)</f>
        <v/>
      </c>
      <c r="AF1133" t="str">
        <f t="shared" si="104"/>
        <v/>
      </c>
      <c r="AG1133" t="str">
        <f t="shared" si="105"/>
        <v/>
      </c>
      <c r="AH1133" t="str">
        <f t="shared" si="106"/>
        <v/>
      </c>
      <c r="AI1133" t="str">
        <f>IF($AG1133="","",SUMIF($AG$2:$AG1133,$AG1133,$AH$2:$AH1133))</f>
        <v/>
      </c>
      <c r="AJ1133" t="str">
        <f>IF('TMP Paste'!$F1133="","",IF('TMP Paste'!$B1133="",$AJ1132,'TMP Paste'!$B1133))</f>
        <v/>
      </c>
      <c r="AK1133" t="str">
        <f>IF('TMP Paste'!$F1133="","",N('TMP Paste'!$G1133))</f>
        <v/>
      </c>
      <c r="AL1133" t="str">
        <f>IF('TMP Paste'!$F1133="","",IF('TMP Paste'!$M1133="",$AL1132,'TMP Paste'!$M1133))</f>
        <v/>
      </c>
      <c r="AM1133" t="str">
        <f>IF('TMP Paste'!$F1133="","",IF('TMP Paste'!$N1133="",$AM1132,'TMP Paste'!$N1133))</f>
        <v/>
      </c>
      <c r="AN1133" t="str">
        <f>IF('TMP Paste'!$F1133="","",IF('TMP Paste'!$O1133="",$AN1132,'TMP Paste'!$O1133))</f>
        <v/>
      </c>
      <c r="AO1133" t="str">
        <f>IF('TMP Paste'!$F1133="","",IF('TMP Paste'!$P1133="",$AO1132,'TMP Paste'!$P1133))</f>
        <v/>
      </c>
      <c r="AP1133" t="str">
        <f t="shared" si="107"/>
        <v/>
      </c>
      <c r="AQ1133" t="str">
        <f>IF($AS1133="","",TRIM(IF(COUNTIFS(Calc!$B$2:$B$1601,ROW()-1,Calc!$C$2:$C$1601,"&lt;1")&gt;0,"Ada PO tanpa Koli - cek TMP. ","")&amp;IF(OR($AU1133="",$AU1133&lt;=0),"Volume kosong/0 - dimensi dikosongkan. ","")&amp;IF(AND($AU1133&lt;&gt;"",$AU1133&gt;=1000000),"Volume &gt;= 1.000.000 cm3 (di luar aturan) - dimensi dikosongkan. ","")&amp;IF(LEN($R1133)&gt;500,"R &gt; 500 karakter.","")))</f>
        <v/>
      </c>
      <c r="AS1133" t="str">
        <f>IFERROR(MATCH(ROW()-1,Calc!$J$2:$J$1601,0),"")</f>
        <v/>
      </c>
      <c r="AT1133" t="str">
        <f>IFERROR(MATCH(ROW()-1,Calc!$K$2:$K$1601,0),"")</f>
        <v/>
      </c>
      <c r="AU1133" t="str">
        <f>IF($AS1133="","",IFERROR(INDEX('TMP Paste'!$D$2:$D$1601,$AS1133)*1000000/$AB1133,""))</f>
        <v/>
      </c>
    </row>
    <row r="1134" spans="1:47">
      <c r="A1134" t="str">
        <f>IF($AS1134="","",INDEX('TMP Paste'!$B$2:$B$1601,$AS1134))</f>
        <v/>
      </c>
      <c r="B1134" t="str">
        <f>IF($AS1134="","",Config!$B$14)</f>
        <v/>
      </c>
      <c r="C1134" t="str">
        <f>IF($AS1134="","",Config!$B$15)</f>
        <v/>
      </c>
      <c r="D1134" t="str">
        <f>IF($AS1134="","",INDEX('TMP Paste'!$B$2:$B$1601,$AS1134))</f>
        <v/>
      </c>
      <c r="E1134" t="str">
        <f>IF($AS1134="","",Config!$B$27)</f>
        <v/>
      </c>
      <c r="F1134" t="str">
        <f>IF($AS1134="","",Config!$B$9)</f>
        <v/>
      </c>
      <c r="G1134" t="str">
        <f>IF($AS1134="","",Config!$B$10)</f>
        <v/>
      </c>
      <c r="H1134" t="str">
        <f>IF($AS1134="","",Config!$B$11)</f>
        <v/>
      </c>
      <c r="I1134" t="str">
        <f>IF($AS1134="","",Config!$B$16)</f>
        <v/>
      </c>
      <c r="J1134" t="str">
        <f>IF($AS1134="","",INDEX('TMP Paste'!$A$2:$A$1601,$AS1134))</f>
        <v/>
      </c>
      <c r="K1134" t="str">
        <f>IF($AS1134="","",INDEX('TMP Paste'!$L$2:$L$1601,$AS1134))</f>
        <v/>
      </c>
      <c r="L1134" t="str">
        <f>IF($AS1134="","",INDEX('TMP Paste'!$I$2:$I$1601,$AS1134))</f>
        <v/>
      </c>
      <c r="M1134" t="str">
        <f>IF($AS1134="","",Config!$B$16)</f>
        <v/>
      </c>
      <c r="N1134" t="str">
        <f t="shared" si="102"/>
        <v/>
      </c>
      <c r="O1134" t="str">
        <f>IF($AS1134="","",INDEX('TMP Paste'!$K$2:$K$1601,$AS1134))</f>
        <v/>
      </c>
      <c r="P1134" t="str">
        <f t="shared" si="103"/>
        <v/>
      </c>
      <c r="Q1134" t="str">
        <f>IF($AS1134="","",INDEX('TMP Paste'!$J$2:$J$1601,$AS1134))</f>
        <v/>
      </c>
      <c r="R1134" t="str">
        <f>IF($AS1134="","",Config!$B$24)</f>
        <v/>
      </c>
      <c r="S1134" t="str">
        <f ca="1">IF($AS1134="","",TEXT(Config!$B$4,"yyyy-mm-dd"))</f>
        <v/>
      </c>
      <c r="T1134" t="str">
        <f>IF($AS1134="","",Config!$B$17)</f>
        <v/>
      </c>
      <c r="U1134" t="str">
        <f>IF($AS1134="","",Config!$B$18)</f>
        <v/>
      </c>
      <c r="V1134" t="str">
        <f>IF($AS1134="","",Config!$B$19)</f>
        <v/>
      </c>
      <c r="W1134" t="str">
        <f>IF($AS1134="","",INDEX('TMP Paste'!$C$2:$C$1601,$AS1134))</f>
        <v/>
      </c>
      <c r="X1134" t="str">
        <f>IF($AS1134="","",Config!$B$29)</f>
        <v/>
      </c>
      <c r="Y1134" t="str">
        <f>IF($AT1134="","",INDEX(Calc!$I$2:$I$1601,$AT1134)&amp;" - "&amp;INDEX(Calc!$D$2:$D$1601,$AT1134)&amp;" koli")</f>
        <v/>
      </c>
      <c r="Z1134" t="str">
        <f>IF($AS1134="","",Config!$B$21)</f>
        <v/>
      </c>
      <c r="AA1134" t="str">
        <f>IF($AS1134="","",Config!$B$22)</f>
        <v/>
      </c>
      <c r="AB1134" t="str">
        <f>IF($AT1134="","",INDEX(Calc!$D$2:$D$1601,$AT1134))</f>
        <v/>
      </c>
      <c r="AC1134" t="str">
        <f>IF($AT1134="","",INDEX(Calc!$G$2:$G$1601,$AT1134))</f>
        <v/>
      </c>
      <c r="AD1134" t="str">
        <f>IF($AS1134="","",Config!$B$23)</f>
        <v/>
      </c>
      <c r="AE1134" t="str">
        <f>IF($AS1134="","",Config!$B$28)</f>
        <v/>
      </c>
      <c r="AF1134" t="str">
        <f t="shared" si="104"/>
        <v/>
      </c>
      <c r="AG1134" t="str">
        <f t="shared" si="105"/>
        <v/>
      </c>
      <c r="AH1134" t="str">
        <f t="shared" si="106"/>
        <v/>
      </c>
      <c r="AI1134" t="str">
        <f>IF($AG1134="","",SUMIF($AG$2:$AG1134,$AG1134,$AH$2:$AH1134))</f>
        <v/>
      </c>
      <c r="AJ1134" t="str">
        <f>IF('TMP Paste'!$F1134="","",IF('TMP Paste'!$B1134="",$AJ1133,'TMP Paste'!$B1134))</f>
        <v/>
      </c>
      <c r="AK1134" t="str">
        <f>IF('TMP Paste'!$F1134="","",N('TMP Paste'!$G1134))</f>
        <v/>
      </c>
      <c r="AL1134" t="str">
        <f>IF('TMP Paste'!$F1134="","",IF('TMP Paste'!$M1134="",$AL1133,'TMP Paste'!$M1134))</f>
        <v/>
      </c>
      <c r="AM1134" t="str">
        <f>IF('TMP Paste'!$F1134="","",IF('TMP Paste'!$N1134="",$AM1133,'TMP Paste'!$N1134))</f>
        <v/>
      </c>
      <c r="AN1134" t="str">
        <f>IF('TMP Paste'!$F1134="","",IF('TMP Paste'!$O1134="",$AN1133,'TMP Paste'!$O1134))</f>
        <v/>
      </c>
      <c r="AO1134" t="str">
        <f>IF('TMP Paste'!$F1134="","",IF('TMP Paste'!$P1134="",$AO1133,'TMP Paste'!$P1134))</f>
        <v/>
      </c>
      <c r="AP1134" t="str">
        <f t="shared" si="107"/>
        <v/>
      </c>
      <c r="AQ1134" t="str">
        <f>IF($AS1134="","",TRIM(IF(COUNTIFS(Calc!$B$2:$B$1601,ROW()-1,Calc!$C$2:$C$1601,"&lt;1")&gt;0,"Ada PO tanpa Koli - cek TMP. ","")&amp;IF(OR($AU1134="",$AU1134&lt;=0),"Volume kosong/0 - dimensi dikosongkan. ","")&amp;IF(AND($AU1134&lt;&gt;"",$AU1134&gt;=1000000),"Volume &gt;= 1.000.000 cm3 (di luar aturan) - dimensi dikosongkan. ","")&amp;IF(LEN($R1134)&gt;500,"R &gt; 500 karakter.","")))</f>
        <v/>
      </c>
      <c r="AS1134" t="str">
        <f>IFERROR(MATCH(ROW()-1,Calc!$J$2:$J$1601,0),"")</f>
        <v/>
      </c>
      <c r="AT1134" t="str">
        <f>IFERROR(MATCH(ROW()-1,Calc!$K$2:$K$1601,0),"")</f>
        <v/>
      </c>
      <c r="AU1134" t="str">
        <f>IF($AS1134="","",IFERROR(INDEX('TMP Paste'!$D$2:$D$1601,$AS1134)*1000000/$AB1134,""))</f>
        <v/>
      </c>
    </row>
    <row r="1135" spans="1:47">
      <c r="A1135" t="str">
        <f>IF($AS1135="","",INDEX('TMP Paste'!$B$2:$B$1601,$AS1135))</f>
        <v/>
      </c>
      <c r="B1135" t="str">
        <f>IF($AS1135="","",Config!$B$14)</f>
        <v/>
      </c>
      <c r="C1135" t="str">
        <f>IF($AS1135="","",Config!$B$15)</f>
        <v/>
      </c>
      <c r="D1135" t="str">
        <f>IF($AS1135="","",INDEX('TMP Paste'!$B$2:$B$1601,$AS1135))</f>
        <v/>
      </c>
      <c r="E1135" t="str">
        <f>IF($AS1135="","",Config!$B$27)</f>
        <v/>
      </c>
      <c r="F1135" t="str">
        <f>IF($AS1135="","",Config!$B$9)</f>
        <v/>
      </c>
      <c r="G1135" t="str">
        <f>IF($AS1135="","",Config!$B$10)</f>
        <v/>
      </c>
      <c r="H1135" t="str">
        <f>IF($AS1135="","",Config!$B$11)</f>
        <v/>
      </c>
      <c r="I1135" t="str">
        <f>IF($AS1135="","",Config!$B$16)</f>
        <v/>
      </c>
      <c r="J1135" t="str">
        <f>IF($AS1135="","",INDEX('TMP Paste'!$A$2:$A$1601,$AS1135))</f>
        <v/>
      </c>
      <c r="K1135" t="str">
        <f>IF($AS1135="","",INDEX('TMP Paste'!$L$2:$L$1601,$AS1135))</f>
        <v/>
      </c>
      <c r="L1135" t="str">
        <f>IF($AS1135="","",INDEX('TMP Paste'!$I$2:$I$1601,$AS1135))</f>
        <v/>
      </c>
      <c r="M1135" t="str">
        <f>IF($AS1135="","",Config!$B$16)</f>
        <v/>
      </c>
      <c r="N1135" t="str">
        <f t="shared" si="102"/>
        <v/>
      </c>
      <c r="O1135" t="str">
        <f>IF($AS1135="","",INDEX('TMP Paste'!$K$2:$K$1601,$AS1135))</f>
        <v/>
      </c>
      <c r="P1135" t="str">
        <f t="shared" si="103"/>
        <v/>
      </c>
      <c r="Q1135" t="str">
        <f>IF($AS1135="","",INDEX('TMP Paste'!$J$2:$J$1601,$AS1135))</f>
        <v/>
      </c>
      <c r="R1135" t="str">
        <f>IF($AS1135="","",Config!$B$24)</f>
        <v/>
      </c>
      <c r="S1135" t="str">
        <f ca="1">IF($AS1135="","",TEXT(Config!$B$4,"yyyy-mm-dd"))</f>
        <v/>
      </c>
      <c r="T1135" t="str">
        <f>IF($AS1135="","",Config!$B$17)</f>
        <v/>
      </c>
      <c r="U1135" t="str">
        <f>IF($AS1135="","",Config!$B$18)</f>
        <v/>
      </c>
      <c r="V1135" t="str">
        <f>IF($AS1135="","",Config!$B$19)</f>
        <v/>
      </c>
      <c r="W1135" t="str">
        <f>IF($AS1135="","",INDEX('TMP Paste'!$C$2:$C$1601,$AS1135))</f>
        <v/>
      </c>
      <c r="X1135" t="str">
        <f>IF($AS1135="","",Config!$B$29)</f>
        <v/>
      </c>
      <c r="Y1135" t="str">
        <f>IF($AT1135="","",INDEX(Calc!$I$2:$I$1601,$AT1135)&amp;" - "&amp;INDEX(Calc!$D$2:$D$1601,$AT1135)&amp;" koli")</f>
        <v/>
      </c>
      <c r="Z1135" t="str">
        <f>IF($AS1135="","",Config!$B$21)</f>
        <v/>
      </c>
      <c r="AA1135" t="str">
        <f>IF($AS1135="","",Config!$B$22)</f>
        <v/>
      </c>
      <c r="AB1135" t="str">
        <f>IF($AT1135="","",INDEX(Calc!$D$2:$D$1601,$AT1135))</f>
        <v/>
      </c>
      <c r="AC1135" t="str">
        <f>IF($AT1135="","",INDEX(Calc!$G$2:$G$1601,$AT1135))</f>
        <v/>
      </c>
      <c r="AD1135" t="str">
        <f>IF($AS1135="","",Config!$B$23)</f>
        <v/>
      </c>
      <c r="AE1135" t="str">
        <f>IF($AS1135="","",Config!$B$28)</f>
        <v/>
      </c>
      <c r="AF1135" t="str">
        <f t="shared" si="104"/>
        <v/>
      </c>
      <c r="AG1135" t="str">
        <f t="shared" si="105"/>
        <v/>
      </c>
      <c r="AH1135" t="str">
        <f t="shared" si="106"/>
        <v/>
      </c>
      <c r="AI1135" t="str">
        <f>IF($AG1135="","",SUMIF($AG$2:$AG1135,$AG1135,$AH$2:$AH1135))</f>
        <v/>
      </c>
      <c r="AJ1135" t="str">
        <f>IF('TMP Paste'!$F1135="","",IF('TMP Paste'!$B1135="",$AJ1134,'TMP Paste'!$B1135))</f>
        <v/>
      </c>
      <c r="AK1135" t="str">
        <f>IF('TMP Paste'!$F1135="","",N('TMP Paste'!$G1135))</f>
        <v/>
      </c>
      <c r="AL1135" t="str">
        <f>IF('TMP Paste'!$F1135="","",IF('TMP Paste'!$M1135="",$AL1134,'TMP Paste'!$M1135))</f>
        <v/>
      </c>
      <c r="AM1135" t="str">
        <f>IF('TMP Paste'!$F1135="","",IF('TMP Paste'!$N1135="",$AM1134,'TMP Paste'!$N1135))</f>
        <v/>
      </c>
      <c r="AN1135" t="str">
        <f>IF('TMP Paste'!$F1135="","",IF('TMP Paste'!$O1135="",$AN1134,'TMP Paste'!$O1135))</f>
        <v/>
      </c>
      <c r="AO1135" t="str">
        <f>IF('TMP Paste'!$F1135="","",IF('TMP Paste'!$P1135="",$AO1134,'TMP Paste'!$P1135))</f>
        <v/>
      </c>
      <c r="AP1135" t="str">
        <f t="shared" si="107"/>
        <v/>
      </c>
      <c r="AQ1135" t="str">
        <f>IF($AS1135="","",TRIM(IF(COUNTIFS(Calc!$B$2:$B$1601,ROW()-1,Calc!$C$2:$C$1601,"&lt;1")&gt;0,"Ada PO tanpa Koli - cek TMP. ","")&amp;IF(OR($AU1135="",$AU1135&lt;=0),"Volume kosong/0 - dimensi dikosongkan. ","")&amp;IF(AND($AU1135&lt;&gt;"",$AU1135&gt;=1000000),"Volume &gt;= 1.000.000 cm3 (di luar aturan) - dimensi dikosongkan. ","")&amp;IF(LEN($R1135)&gt;500,"R &gt; 500 karakter.","")))</f>
        <v/>
      </c>
      <c r="AS1135" t="str">
        <f>IFERROR(MATCH(ROW()-1,Calc!$J$2:$J$1601,0),"")</f>
        <v/>
      </c>
      <c r="AT1135" t="str">
        <f>IFERROR(MATCH(ROW()-1,Calc!$K$2:$K$1601,0),"")</f>
        <v/>
      </c>
      <c r="AU1135" t="str">
        <f>IF($AS1135="","",IFERROR(INDEX('TMP Paste'!$D$2:$D$1601,$AS1135)*1000000/$AB1135,""))</f>
        <v/>
      </c>
    </row>
    <row r="1136" spans="1:47">
      <c r="A1136" t="str">
        <f>IF($AS1136="","",INDEX('TMP Paste'!$B$2:$B$1601,$AS1136))</f>
        <v/>
      </c>
      <c r="B1136" t="str">
        <f>IF($AS1136="","",Config!$B$14)</f>
        <v/>
      </c>
      <c r="C1136" t="str">
        <f>IF($AS1136="","",Config!$B$15)</f>
        <v/>
      </c>
      <c r="D1136" t="str">
        <f>IF($AS1136="","",INDEX('TMP Paste'!$B$2:$B$1601,$AS1136))</f>
        <v/>
      </c>
      <c r="E1136" t="str">
        <f>IF($AS1136="","",Config!$B$27)</f>
        <v/>
      </c>
      <c r="F1136" t="str">
        <f>IF($AS1136="","",Config!$B$9)</f>
        <v/>
      </c>
      <c r="G1136" t="str">
        <f>IF($AS1136="","",Config!$B$10)</f>
        <v/>
      </c>
      <c r="H1136" t="str">
        <f>IF($AS1136="","",Config!$B$11)</f>
        <v/>
      </c>
      <c r="I1136" t="str">
        <f>IF($AS1136="","",Config!$B$16)</f>
        <v/>
      </c>
      <c r="J1136" t="str">
        <f>IF($AS1136="","",INDEX('TMP Paste'!$A$2:$A$1601,$AS1136))</f>
        <v/>
      </c>
      <c r="K1136" t="str">
        <f>IF($AS1136="","",INDEX('TMP Paste'!$L$2:$L$1601,$AS1136))</f>
        <v/>
      </c>
      <c r="L1136" t="str">
        <f>IF($AS1136="","",INDEX('TMP Paste'!$I$2:$I$1601,$AS1136))</f>
        <v/>
      </c>
      <c r="M1136" t="str">
        <f>IF($AS1136="","",Config!$B$16)</f>
        <v/>
      </c>
      <c r="N1136" t="str">
        <f t="shared" si="102"/>
        <v/>
      </c>
      <c r="O1136" t="str">
        <f>IF($AS1136="","",INDEX('TMP Paste'!$K$2:$K$1601,$AS1136))</f>
        <v/>
      </c>
      <c r="P1136" t="str">
        <f t="shared" si="103"/>
        <v/>
      </c>
      <c r="Q1136" t="str">
        <f>IF($AS1136="","",INDEX('TMP Paste'!$J$2:$J$1601,$AS1136))</f>
        <v/>
      </c>
      <c r="R1136" t="str">
        <f>IF($AS1136="","",Config!$B$24)</f>
        <v/>
      </c>
      <c r="S1136" t="str">
        <f ca="1">IF($AS1136="","",TEXT(Config!$B$4,"yyyy-mm-dd"))</f>
        <v/>
      </c>
      <c r="T1136" t="str">
        <f>IF($AS1136="","",Config!$B$17)</f>
        <v/>
      </c>
      <c r="U1136" t="str">
        <f>IF($AS1136="","",Config!$B$18)</f>
        <v/>
      </c>
      <c r="V1136" t="str">
        <f>IF($AS1136="","",Config!$B$19)</f>
        <v/>
      </c>
      <c r="W1136" t="str">
        <f>IF($AS1136="","",INDEX('TMP Paste'!$C$2:$C$1601,$AS1136))</f>
        <v/>
      </c>
      <c r="X1136" t="str">
        <f>IF($AS1136="","",Config!$B$29)</f>
        <v/>
      </c>
      <c r="Y1136" t="str">
        <f>IF($AT1136="","",INDEX(Calc!$I$2:$I$1601,$AT1136)&amp;" - "&amp;INDEX(Calc!$D$2:$D$1601,$AT1136)&amp;" koli")</f>
        <v/>
      </c>
      <c r="Z1136" t="str">
        <f>IF($AS1136="","",Config!$B$21)</f>
        <v/>
      </c>
      <c r="AA1136" t="str">
        <f>IF($AS1136="","",Config!$B$22)</f>
        <v/>
      </c>
      <c r="AB1136" t="str">
        <f>IF($AT1136="","",INDEX(Calc!$D$2:$D$1601,$AT1136))</f>
        <v/>
      </c>
      <c r="AC1136" t="str">
        <f>IF($AT1136="","",INDEX(Calc!$G$2:$G$1601,$AT1136))</f>
        <v/>
      </c>
      <c r="AD1136" t="str">
        <f>IF($AS1136="","",Config!$B$23)</f>
        <v/>
      </c>
      <c r="AE1136" t="str">
        <f>IF($AS1136="","",Config!$B$28)</f>
        <v/>
      </c>
      <c r="AF1136" t="str">
        <f t="shared" si="104"/>
        <v/>
      </c>
      <c r="AG1136" t="str">
        <f t="shared" si="105"/>
        <v/>
      </c>
      <c r="AH1136" t="str">
        <f t="shared" si="106"/>
        <v/>
      </c>
      <c r="AI1136" t="str">
        <f>IF($AG1136="","",SUMIF($AG$2:$AG1136,$AG1136,$AH$2:$AH1136))</f>
        <v/>
      </c>
      <c r="AJ1136" t="str">
        <f>IF('TMP Paste'!$F1136="","",IF('TMP Paste'!$B1136="",$AJ1135,'TMP Paste'!$B1136))</f>
        <v/>
      </c>
      <c r="AK1136" t="str">
        <f>IF('TMP Paste'!$F1136="","",N('TMP Paste'!$G1136))</f>
        <v/>
      </c>
      <c r="AL1136" t="str">
        <f>IF('TMP Paste'!$F1136="","",IF('TMP Paste'!$M1136="",$AL1135,'TMP Paste'!$M1136))</f>
        <v/>
      </c>
      <c r="AM1136" t="str">
        <f>IF('TMP Paste'!$F1136="","",IF('TMP Paste'!$N1136="",$AM1135,'TMP Paste'!$N1136))</f>
        <v/>
      </c>
      <c r="AN1136" t="str">
        <f>IF('TMP Paste'!$F1136="","",IF('TMP Paste'!$O1136="",$AN1135,'TMP Paste'!$O1136))</f>
        <v/>
      </c>
      <c r="AO1136" t="str">
        <f>IF('TMP Paste'!$F1136="","",IF('TMP Paste'!$P1136="",$AO1135,'TMP Paste'!$P1136))</f>
        <v/>
      </c>
      <c r="AP1136" t="str">
        <f t="shared" si="107"/>
        <v/>
      </c>
      <c r="AQ1136" t="str">
        <f>IF($AS1136="","",TRIM(IF(COUNTIFS(Calc!$B$2:$B$1601,ROW()-1,Calc!$C$2:$C$1601,"&lt;1")&gt;0,"Ada PO tanpa Koli - cek TMP. ","")&amp;IF(OR($AU1136="",$AU1136&lt;=0),"Volume kosong/0 - dimensi dikosongkan. ","")&amp;IF(AND($AU1136&lt;&gt;"",$AU1136&gt;=1000000),"Volume &gt;= 1.000.000 cm3 (di luar aturan) - dimensi dikosongkan. ","")&amp;IF(LEN($R1136)&gt;500,"R &gt; 500 karakter.","")))</f>
        <v/>
      </c>
      <c r="AS1136" t="str">
        <f>IFERROR(MATCH(ROW()-1,Calc!$J$2:$J$1601,0),"")</f>
        <v/>
      </c>
      <c r="AT1136" t="str">
        <f>IFERROR(MATCH(ROW()-1,Calc!$K$2:$K$1601,0),"")</f>
        <v/>
      </c>
      <c r="AU1136" t="str">
        <f>IF($AS1136="","",IFERROR(INDEX('TMP Paste'!$D$2:$D$1601,$AS1136)*1000000/$AB1136,""))</f>
        <v/>
      </c>
    </row>
    <row r="1137" spans="1:47">
      <c r="A1137" t="str">
        <f>IF($AS1137="","",INDEX('TMP Paste'!$B$2:$B$1601,$AS1137))</f>
        <v/>
      </c>
      <c r="B1137" t="str">
        <f>IF($AS1137="","",Config!$B$14)</f>
        <v/>
      </c>
      <c r="C1137" t="str">
        <f>IF($AS1137="","",Config!$B$15)</f>
        <v/>
      </c>
      <c r="D1137" t="str">
        <f>IF($AS1137="","",INDEX('TMP Paste'!$B$2:$B$1601,$AS1137))</f>
        <v/>
      </c>
      <c r="E1137" t="str">
        <f>IF($AS1137="","",Config!$B$27)</f>
        <v/>
      </c>
      <c r="F1137" t="str">
        <f>IF($AS1137="","",Config!$B$9)</f>
        <v/>
      </c>
      <c r="G1137" t="str">
        <f>IF($AS1137="","",Config!$B$10)</f>
        <v/>
      </c>
      <c r="H1137" t="str">
        <f>IF($AS1137="","",Config!$B$11)</f>
        <v/>
      </c>
      <c r="I1137" t="str">
        <f>IF($AS1137="","",Config!$B$16)</f>
        <v/>
      </c>
      <c r="J1137" t="str">
        <f>IF($AS1137="","",INDEX('TMP Paste'!$A$2:$A$1601,$AS1137))</f>
        <v/>
      </c>
      <c r="K1137" t="str">
        <f>IF($AS1137="","",INDEX('TMP Paste'!$L$2:$L$1601,$AS1137))</f>
        <v/>
      </c>
      <c r="L1137" t="str">
        <f>IF($AS1137="","",INDEX('TMP Paste'!$I$2:$I$1601,$AS1137))</f>
        <v/>
      </c>
      <c r="M1137" t="str">
        <f>IF($AS1137="","",Config!$B$16)</f>
        <v/>
      </c>
      <c r="N1137" t="str">
        <f t="shared" si="102"/>
        <v/>
      </c>
      <c r="O1137" t="str">
        <f>IF($AS1137="","",INDEX('TMP Paste'!$K$2:$K$1601,$AS1137))</f>
        <v/>
      </c>
      <c r="P1137" t="str">
        <f t="shared" si="103"/>
        <v/>
      </c>
      <c r="Q1137" t="str">
        <f>IF($AS1137="","",INDEX('TMP Paste'!$J$2:$J$1601,$AS1137))</f>
        <v/>
      </c>
      <c r="R1137" t="str">
        <f>IF($AS1137="","",Config!$B$24)</f>
        <v/>
      </c>
      <c r="S1137" t="str">
        <f ca="1">IF($AS1137="","",TEXT(Config!$B$4,"yyyy-mm-dd"))</f>
        <v/>
      </c>
      <c r="T1137" t="str">
        <f>IF($AS1137="","",Config!$B$17)</f>
        <v/>
      </c>
      <c r="U1137" t="str">
        <f>IF($AS1137="","",Config!$B$18)</f>
        <v/>
      </c>
      <c r="V1137" t="str">
        <f>IF($AS1137="","",Config!$B$19)</f>
        <v/>
      </c>
      <c r="W1137" t="str">
        <f>IF($AS1137="","",INDEX('TMP Paste'!$C$2:$C$1601,$AS1137))</f>
        <v/>
      </c>
      <c r="X1137" t="str">
        <f>IF($AS1137="","",Config!$B$29)</f>
        <v/>
      </c>
      <c r="Y1137" t="str">
        <f>IF($AT1137="","",INDEX(Calc!$I$2:$I$1601,$AT1137)&amp;" - "&amp;INDEX(Calc!$D$2:$D$1601,$AT1137)&amp;" koli")</f>
        <v/>
      </c>
      <c r="Z1137" t="str">
        <f>IF($AS1137="","",Config!$B$21)</f>
        <v/>
      </c>
      <c r="AA1137" t="str">
        <f>IF($AS1137="","",Config!$B$22)</f>
        <v/>
      </c>
      <c r="AB1137" t="str">
        <f>IF($AT1137="","",INDEX(Calc!$D$2:$D$1601,$AT1137))</f>
        <v/>
      </c>
      <c r="AC1137" t="str">
        <f>IF($AT1137="","",INDEX(Calc!$G$2:$G$1601,$AT1137))</f>
        <v/>
      </c>
      <c r="AD1137" t="str">
        <f>IF($AS1137="","",Config!$B$23)</f>
        <v/>
      </c>
      <c r="AE1137" t="str">
        <f>IF($AS1137="","",Config!$B$28)</f>
        <v/>
      </c>
      <c r="AF1137" t="str">
        <f t="shared" si="104"/>
        <v/>
      </c>
      <c r="AG1137" t="str">
        <f t="shared" si="105"/>
        <v/>
      </c>
      <c r="AH1137" t="str">
        <f t="shared" si="106"/>
        <v/>
      </c>
      <c r="AI1137" t="str">
        <f>IF($AG1137="","",SUMIF($AG$2:$AG1137,$AG1137,$AH$2:$AH1137))</f>
        <v/>
      </c>
      <c r="AJ1137" t="str">
        <f>IF('TMP Paste'!$F1137="","",IF('TMP Paste'!$B1137="",$AJ1136,'TMP Paste'!$B1137))</f>
        <v/>
      </c>
      <c r="AK1137" t="str">
        <f>IF('TMP Paste'!$F1137="","",N('TMP Paste'!$G1137))</f>
        <v/>
      </c>
      <c r="AL1137" t="str">
        <f>IF('TMP Paste'!$F1137="","",IF('TMP Paste'!$M1137="",$AL1136,'TMP Paste'!$M1137))</f>
        <v/>
      </c>
      <c r="AM1137" t="str">
        <f>IF('TMP Paste'!$F1137="","",IF('TMP Paste'!$N1137="",$AM1136,'TMP Paste'!$N1137))</f>
        <v/>
      </c>
      <c r="AN1137" t="str">
        <f>IF('TMP Paste'!$F1137="","",IF('TMP Paste'!$O1137="",$AN1136,'TMP Paste'!$O1137))</f>
        <v/>
      </c>
      <c r="AO1137" t="str">
        <f>IF('TMP Paste'!$F1137="","",IF('TMP Paste'!$P1137="",$AO1136,'TMP Paste'!$P1137))</f>
        <v/>
      </c>
      <c r="AP1137" t="str">
        <f t="shared" si="107"/>
        <v/>
      </c>
      <c r="AQ1137" t="str">
        <f>IF($AS1137="","",TRIM(IF(COUNTIFS(Calc!$B$2:$B$1601,ROW()-1,Calc!$C$2:$C$1601,"&lt;1")&gt;0,"Ada PO tanpa Koli - cek TMP. ","")&amp;IF(OR($AU1137="",$AU1137&lt;=0),"Volume kosong/0 - dimensi dikosongkan. ","")&amp;IF(AND($AU1137&lt;&gt;"",$AU1137&gt;=1000000),"Volume &gt;= 1.000.000 cm3 (di luar aturan) - dimensi dikosongkan. ","")&amp;IF(LEN($R1137)&gt;500,"R &gt; 500 karakter.","")))</f>
        <v/>
      </c>
      <c r="AS1137" t="str">
        <f>IFERROR(MATCH(ROW()-1,Calc!$J$2:$J$1601,0),"")</f>
        <v/>
      </c>
      <c r="AT1137" t="str">
        <f>IFERROR(MATCH(ROW()-1,Calc!$K$2:$K$1601,0),"")</f>
        <v/>
      </c>
      <c r="AU1137" t="str">
        <f>IF($AS1137="","",IFERROR(INDEX('TMP Paste'!$D$2:$D$1601,$AS1137)*1000000/$AB1137,""))</f>
        <v/>
      </c>
    </row>
    <row r="1138" spans="1:47">
      <c r="A1138" t="str">
        <f>IF($AS1138="","",INDEX('TMP Paste'!$B$2:$B$1601,$AS1138))</f>
        <v/>
      </c>
      <c r="B1138" t="str">
        <f>IF($AS1138="","",Config!$B$14)</f>
        <v/>
      </c>
      <c r="C1138" t="str">
        <f>IF($AS1138="","",Config!$B$15)</f>
        <v/>
      </c>
      <c r="D1138" t="str">
        <f>IF($AS1138="","",INDEX('TMP Paste'!$B$2:$B$1601,$AS1138))</f>
        <v/>
      </c>
      <c r="E1138" t="str">
        <f>IF($AS1138="","",Config!$B$27)</f>
        <v/>
      </c>
      <c r="F1138" t="str">
        <f>IF($AS1138="","",Config!$B$9)</f>
        <v/>
      </c>
      <c r="G1138" t="str">
        <f>IF($AS1138="","",Config!$B$10)</f>
        <v/>
      </c>
      <c r="H1138" t="str">
        <f>IF($AS1138="","",Config!$B$11)</f>
        <v/>
      </c>
      <c r="I1138" t="str">
        <f>IF($AS1138="","",Config!$B$16)</f>
        <v/>
      </c>
      <c r="J1138" t="str">
        <f>IF($AS1138="","",INDEX('TMP Paste'!$A$2:$A$1601,$AS1138))</f>
        <v/>
      </c>
      <c r="K1138" t="str">
        <f>IF($AS1138="","",INDEX('TMP Paste'!$L$2:$L$1601,$AS1138))</f>
        <v/>
      </c>
      <c r="L1138" t="str">
        <f>IF($AS1138="","",INDEX('TMP Paste'!$I$2:$I$1601,$AS1138))</f>
        <v/>
      </c>
      <c r="M1138" t="str">
        <f>IF($AS1138="","",Config!$B$16)</f>
        <v/>
      </c>
      <c r="N1138" t="str">
        <f t="shared" si="102"/>
        <v/>
      </c>
      <c r="O1138" t="str">
        <f>IF($AS1138="","",INDEX('TMP Paste'!$K$2:$K$1601,$AS1138))</f>
        <v/>
      </c>
      <c r="P1138" t="str">
        <f t="shared" si="103"/>
        <v/>
      </c>
      <c r="Q1138" t="str">
        <f>IF($AS1138="","",INDEX('TMP Paste'!$J$2:$J$1601,$AS1138))</f>
        <v/>
      </c>
      <c r="R1138" t="str">
        <f>IF($AS1138="","",Config!$B$24)</f>
        <v/>
      </c>
      <c r="S1138" t="str">
        <f ca="1">IF($AS1138="","",TEXT(Config!$B$4,"yyyy-mm-dd"))</f>
        <v/>
      </c>
      <c r="T1138" t="str">
        <f>IF($AS1138="","",Config!$B$17)</f>
        <v/>
      </c>
      <c r="U1138" t="str">
        <f>IF($AS1138="","",Config!$B$18)</f>
        <v/>
      </c>
      <c r="V1138" t="str">
        <f>IF($AS1138="","",Config!$B$19)</f>
        <v/>
      </c>
      <c r="W1138" t="str">
        <f>IF($AS1138="","",INDEX('TMP Paste'!$C$2:$C$1601,$AS1138))</f>
        <v/>
      </c>
      <c r="X1138" t="str">
        <f>IF($AS1138="","",Config!$B$29)</f>
        <v/>
      </c>
      <c r="Y1138" t="str">
        <f>IF($AT1138="","",INDEX(Calc!$I$2:$I$1601,$AT1138)&amp;" - "&amp;INDEX(Calc!$D$2:$D$1601,$AT1138)&amp;" koli")</f>
        <v/>
      </c>
      <c r="Z1138" t="str">
        <f>IF($AS1138="","",Config!$B$21)</f>
        <v/>
      </c>
      <c r="AA1138" t="str">
        <f>IF($AS1138="","",Config!$B$22)</f>
        <v/>
      </c>
      <c r="AB1138" t="str">
        <f>IF($AT1138="","",INDEX(Calc!$D$2:$D$1601,$AT1138))</f>
        <v/>
      </c>
      <c r="AC1138" t="str">
        <f>IF($AT1138="","",INDEX(Calc!$G$2:$G$1601,$AT1138))</f>
        <v/>
      </c>
      <c r="AD1138" t="str">
        <f>IF($AS1138="","",Config!$B$23)</f>
        <v/>
      </c>
      <c r="AE1138" t="str">
        <f>IF($AS1138="","",Config!$B$28)</f>
        <v/>
      </c>
      <c r="AF1138" t="str">
        <f t="shared" si="104"/>
        <v/>
      </c>
      <c r="AG1138" t="str">
        <f t="shared" si="105"/>
        <v/>
      </c>
      <c r="AH1138" t="str">
        <f t="shared" si="106"/>
        <v/>
      </c>
      <c r="AI1138" t="str">
        <f>IF($AG1138="","",SUMIF($AG$2:$AG1138,$AG1138,$AH$2:$AH1138))</f>
        <v/>
      </c>
      <c r="AJ1138" t="str">
        <f>IF('TMP Paste'!$F1138="","",IF('TMP Paste'!$B1138="",$AJ1137,'TMP Paste'!$B1138))</f>
        <v/>
      </c>
      <c r="AK1138" t="str">
        <f>IF('TMP Paste'!$F1138="","",N('TMP Paste'!$G1138))</f>
        <v/>
      </c>
      <c r="AL1138" t="str">
        <f>IF('TMP Paste'!$F1138="","",IF('TMP Paste'!$M1138="",$AL1137,'TMP Paste'!$M1138))</f>
        <v/>
      </c>
      <c r="AM1138" t="str">
        <f>IF('TMP Paste'!$F1138="","",IF('TMP Paste'!$N1138="",$AM1137,'TMP Paste'!$N1138))</f>
        <v/>
      </c>
      <c r="AN1138" t="str">
        <f>IF('TMP Paste'!$F1138="","",IF('TMP Paste'!$O1138="",$AN1137,'TMP Paste'!$O1138))</f>
        <v/>
      </c>
      <c r="AO1138" t="str">
        <f>IF('TMP Paste'!$F1138="","",IF('TMP Paste'!$P1138="",$AO1137,'TMP Paste'!$P1138))</f>
        <v/>
      </c>
      <c r="AP1138" t="str">
        <f t="shared" si="107"/>
        <v/>
      </c>
      <c r="AQ1138" t="str">
        <f>IF($AS1138="","",TRIM(IF(COUNTIFS(Calc!$B$2:$B$1601,ROW()-1,Calc!$C$2:$C$1601,"&lt;1")&gt;0,"Ada PO tanpa Koli - cek TMP. ","")&amp;IF(OR($AU1138="",$AU1138&lt;=0),"Volume kosong/0 - dimensi dikosongkan. ","")&amp;IF(AND($AU1138&lt;&gt;"",$AU1138&gt;=1000000),"Volume &gt;= 1.000.000 cm3 (di luar aturan) - dimensi dikosongkan. ","")&amp;IF(LEN($R1138)&gt;500,"R &gt; 500 karakter.","")))</f>
        <v/>
      </c>
      <c r="AS1138" t="str">
        <f>IFERROR(MATCH(ROW()-1,Calc!$J$2:$J$1601,0),"")</f>
        <v/>
      </c>
      <c r="AT1138" t="str">
        <f>IFERROR(MATCH(ROW()-1,Calc!$K$2:$K$1601,0),"")</f>
        <v/>
      </c>
      <c r="AU1138" t="str">
        <f>IF($AS1138="","",IFERROR(INDEX('TMP Paste'!$D$2:$D$1601,$AS1138)*1000000/$AB1138,""))</f>
        <v/>
      </c>
    </row>
    <row r="1139" spans="1:47">
      <c r="A1139" t="str">
        <f>IF($AS1139="","",INDEX('TMP Paste'!$B$2:$B$1601,$AS1139))</f>
        <v/>
      </c>
      <c r="B1139" t="str">
        <f>IF($AS1139="","",Config!$B$14)</f>
        <v/>
      </c>
      <c r="C1139" t="str">
        <f>IF($AS1139="","",Config!$B$15)</f>
        <v/>
      </c>
      <c r="D1139" t="str">
        <f>IF($AS1139="","",INDEX('TMP Paste'!$B$2:$B$1601,$AS1139))</f>
        <v/>
      </c>
      <c r="E1139" t="str">
        <f>IF($AS1139="","",Config!$B$27)</f>
        <v/>
      </c>
      <c r="F1139" t="str">
        <f>IF($AS1139="","",Config!$B$9)</f>
        <v/>
      </c>
      <c r="G1139" t="str">
        <f>IF($AS1139="","",Config!$B$10)</f>
        <v/>
      </c>
      <c r="H1139" t="str">
        <f>IF($AS1139="","",Config!$B$11)</f>
        <v/>
      </c>
      <c r="I1139" t="str">
        <f>IF($AS1139="","",Config!$B$16)</f>
        <v/>
      </c>
      <c r="J1139" t="str">
        <f>IF($AS1139="","",INDEX('TMP Paste'!$A$2:$A$1601,$AS1139))</f>
        <v/>
      </c>
      <c r="K1139" t="str">
        <f>IF($AS1139="","",INDEX('TMP Paste'!$L$2:$L$1601,$AS1139))</f>
        <v/>
      </c>
      <c r="L1139" t="str">
        <f>IF($AS1139="","",INDEX('TMP Paste'!$I$2:$I$1601,$AS1139))</f>
        <v/>
      </c>
      <c r="M1139" t="str">
        <f>IF($AS1139="","",Config!$B$16)</f>
        <v/>
      </c>
      <c r="N1139" t="str">
        <f t="shared" si="102"/>
        <v/>
      </c>
      <c r="O1139" t="str">
        <f>IF($AS1139="","",INDEX('TMP Paste'!$K$2:$K$1601,$AS1139))</f>
        <v/>
      </c>
      <c r="P1139" t="str">
        <f t="shared" si="103"/>
        <v/>
      </c>
      <c r="Q1139" t="str">
        <f>IF($AS1139="","",INDEX('TMP Paste'!$J$2:$J$1601,$AS1139))</f>
        <v/>
      </c>
      <c r="R1139" t="str">
        <f>IF($AS1139="","",Config!$B$24)</f>
        <v/>
      </c>
      <c r="S1139" t="str">
        <f ca="1">IF($AS1139="","",TEXT(Config!$B$4,"yyyy-mm-dd"))</f>
        <v/>
      </c>
      <c r="T1139" t="str">
        <f>IF($AS1139="","",Config!$B$17)</f>
        <v/>
      </c>
      <c r="U1139" t="str">
        <f>IF($AS1139="","",Config!$B$18)</f>
        <v/>
      </c>
      <c r="V1139" t="str">
        <f>IF($AS1139="","",Config!$B$19)</f>
        <v/>
      </c>
      <c r="W1139" t="str">
        <f>IF($AS1139="","",INDEX('TMP Paste'!$C$2:$C$1601,$AS1139))</f>
        <v/>
      </c>
      <c r="X1139" t="str">
        <f>IF($AS1139="","",Config!$B$29)</f>
        <v/>
      </c>
      <c r="Y1139" t="str">
        <f>IF($AT1139="","",INDEX(Calc!$I$2:$I$1601,$AT1139)&amp;" - "&amp;INDEX(Calc!$D$2:$D$1601,$AT1139)&amp;" koli")</f>
        <v/>
      </c>
      <c r="Z1139" t="str">
        <f>IF($AS1139="","",Config!$B$21)</f>
        <v/>
      </c>
      <c r="AA1139" t="str">
        <f>IF($AS1139="","",Config!$B$22)</f>
        <v/>
      </c>
      <c r="AB1139" t="str">
        <f>IF($AT1139="","",INDEX(Calc!$D$2:$D$1601,$AT1139))</f>
        <v/>
      </c>
      <c r="AC1139" t="str">
        <f>IF($AT1139="","",INDEX(Calc!$G$2:$G$1601,$AT1139))</f>
        <v/>
      </c>
      <c r="AD1139" t="str">
        <f>IF($AS1139="","",Config!$B$23)</f>
        <v/>
      </c>
      <c r="AE1139" t="str">
        <f>IF($AS1139="","",Config!$B$28)</f>
        <v/>
      </c>
      <c r="AF1139" t="str">
        <f t="shared" si="104"/>
        <v/>
      </c>
      <c r="AG1139" t="str">
        <f t="shared" si="105"/>
        <v/>
      </c>
      <c r="AH1139" t="str">
        <f t="shared" si="106"/>
        <v/>
      </c>
      <c r="AI1139" t="str">
        <f>IF($AG1139="","",SUMIF($AG$2:$AG1139,$AG1139,$AH$2:$AH1139))</f>
        <v/>
      </c>
      <c r="AJ1139" t="str">
        <f>IF('TMP Paste'!$F1139="","",IF('TMP Paste'!$B1139="",$AJ1138,'TMP Paste'!$B1139))</f>
        <v/>
      </c>
      <c r="AK1139" t="str">
        <f>IF('TMP Paste'!$F1139="","",N('TMP Paste'!$G1139))</f>
        <v/>
      </c>
      <c r="AL1139" t="str">
        <f>IF('TMP Paste'!$F1139="","",IF('TMP Paste'!$M1139="",$AL1138,'TMP Paste'!$M1139))</f>
        <v/>
      </c>
      <c r="AM1139" t="str">
        <f>IF('TMP Paste'!$F1139="","",IF('TMP Paste'!$N1139="",$AM1138,'TMP Paste'!$N1139))</f>
        <v/>
      </c>
      <c r="AN1139" t="str">
        <f>IF('TMP Paste'!$F1139="","",IF('TMP Paste'!$O1139="",$AN1138,'TMP Paste'!$O1139))</f>
        <v/>
      </c>
      <c r="AO1139" t="str">
        <f>IF('TMP Paste'!$F1139="","",IF('TMP Paste'!$P1139="",$AO1138,'TMP Paste'!$P1139))</f>
        <v/>
      </c>
      <c r="AP1139" t="str">
        <f t="shared" si="107"/>
        <v/>
      </c>
      <c r="AQ1139" t="str">
        <f>IF($AS1139="","",TRIM(IF(COUNTIFS(Calc!$B$2:$B$1601,ROW()-1,Calc!$C$2:$C$1601,"&lt;1")&gt;0,"Ada PO tanpa Koli - cek TMP. ","")&amp;IF(OR($AU1139="",$AU1139&lt;=0),"Volume kosong/0 - dimensi dikosongkan. ","")&amp;IF(AND($AU1139&lt;&gt;"",$AU1139&gt;=1000000),"Volume &gt;= 1.000.000 cm3 (di luar aturan) - dimensi dikosongkan. ","")&amp;IF(LEN($R1139)&gt;500,"R &gt; 500 karakter.","")))</f>
        <v/>
      </c>
      <c r="AS1139" t="str">
        <f>IFERROR(MATCH(ROW()-1,Calc!$J$2:$J$1601,0),"")</f>
        <v/>
      </c>
      <c r="AT1139" t="str">
        <f>IFERROR(MATCH(ROW()-1,Calc!$K$2:$K$1601,0),"")</f>
        <v/>
      </c>
      <c r="AU1139" t="str">
        <f>IF($AS1139="","",IFERROR(INDEX('TMP Paste'!$D$2:$D$1601,$AS1139)*1000000/$AB1139,""))</f>
        <v/>
      </c>
    </row>
    <row r="1140" spans="1:47">
      <c r="A1140" t="str">
        <f>IF($AS1140="","",INDEX('TMP Paste'!$B$2:$B$1601,$AS1140))</f>
        <v/>
      </c>
      <c r="B1140" t="str">
        <f>IF($AS1140="","",Config!$B$14)</f>
        <v/>
      </c>
      <c r="C1140" t="str">
        <f>IF($AS1140="","",Config!$B$15)</f>
        <v/>
      </c>
      <c r="D1140" t="str">
        <f>IF($AS1140="","",INDEX('TMP Paste'!$B$2:$B$1601,$AS1140))</f>
        <v/>
      </c>
      <c r="E1140" t="str">
        <f>IF($AS1140="","",Config!$B$27)</f>
        <v/>
      </c>
      <c r="F1140" t="str">
        <f>IF($AS1140="","",Config!$B$9)</f>
        <v/>
      </c>
      <c r="G1140" t="str">
        <f>IF($AS1140="","",Config!$B$10)</f>
        <v/>
      </c>
      <c r="H1140" t="str">
        <f>IF($AS1140="","",Config!$B$11)</f>
        <v/>
      </c>
      <c r="I1140" t="str">
        <f>IF($AS1140="","",Config!$B$16)</f>
        <v/>
      </c>
      <c r="J1140" t="str">
        <f>IF($AS1140="","",INDEX('TMP Paste'!$A$2:$A$1601,$AS1140))</f>
        <v/>
      </c>
      <c r="K1140" t="str">
        <f>IF($AS1140="","",INDEX('TMP Paste'!$L$2:$L$1601,$AS1140))</f>
        <v/>
      </c>
      <c r="L1140" t="str">
        <f>IF($AS1140="","",INDEX('TMP Paste'!$I$2:$I$1601,$AS1140))</f>
        <v/>
      </c>
      <c r="M1140" t="str">
        <f>IF($AS1140="","",Config!$B$16)</f>
        <v/>
      </c>
      <c r="N1140" t="str">
        <f t="shared" si="102"/>
        <v/>
      </c>
      <c r="O1140" t="str">
        <f>IF($AS1140="","",INDEX('TMP Paste'!$K$2:$K$1601,$AS1140))</f>
        <v/>
      </c>
      <c r="P1140" t="str">
        <f t="shared" si="103"/>
        <v/>
      </c>
      <c r="Q1140" t="str">
        <f>IF($AS1140="","",INDEX('TMP Paste'!$J$2:$J$1601,$AS1140))</f>
        <v/>
      </c>
      <c r="R1140" t="str">
        <f>IF($AS1140="","",Config!$B$24)</f>
        <v/>
      </c>
      <c r="S1140" t="str">
        <f ca="1">IF($AS1140="","",TEXT(Config!$B$4,"yyyy-mm-dd"))</f>
        <v/>
      </c>
      <c r="T1140" t="str">
        <f>IF($AS1140="","",Config!$B$17)</f>
        <v/>
      </c>
      <c r="U1140" t="str">
        <f>IF($AS1140="","",Config!$B$18)</f>
        <v/>
      </c>
      <c r="V1140" t="str">
        <f>IF($AS1140="","",Config!$B$19)</f>
        <v/>
      </c>
      <c r="W1140" t="str">
        <f>IF($AS1140="","",INDEX('TMP Paste'!$C$2:$C$1601,$AS1140))</f>
        <v/>
      </c>
      <c r="X1140" t="str">
        <f>IF($AS1140="","",Config!$B$29)</f>
        <v/>
      </c>
      <c r="Y1140" t="str">
        <f>IF($AT1140="","",INDEX(Calc!$I$2:$I$1601,$AT1140)&amp;" - "&amp;INDEX(Calc!$D$2:$D$1601,$AT1140)&amp;" koli")</f>
        <v/>
      </c>
      <c r="Z1140" t="str">
        <f>IF($AS1140="","",Config!$B$21)</f>
        <v/>
      </c>
      <c r="AA1140" t="str">
        <f>IF($AS1140="","",Config!$B$22)</f>
        <v/>
      </c>
      <c r="AB1140" t="str">
        <f>IF($AT1140="","",INDEX(Calc!$D$2:$D$1601,$AT1140))</f>
        <v/>
      </c>
      <c r="AC1140" t="str">
        <f>IF($AT1140="","",INDEX(Calc!$G$2:$G$1601,$AT1140))</f>
        <v/>
      </c>
      <c r="AD1140" t="str">
        <f>IF($AS1140="","",Config!$B$23)</f>
        <v/>
      </c>
      <c r="AE1140" t="str">
        <f>IF($AS1140="","",Config!$B$28)</f>
        <v/>
      </c>
      <c r="AF1140" t="str">
        <f t="shared" si="104"/>
        <v/>
      </c>
      <c r="AG1140" t="str">
        <f t="shared" si="105"/>
        <v/>
      </c>
      <c r="AH1140" t="str">
        <f t="shared" si="106"/>
        <v/>
      </c>
      <c r="AI1140" t="str">
        <f>IF($AG1140="","",SUMIF($AG$2:$AG1140,$AG1140,$AH$2:$AH1140))</f>
        <v/>
      </c>
      <c r="AJ1140" t="str">
        <f>IF('TMP Paste'!$F1140="","",IF('TMP Paste'!$B1140="",$AJ1139,'TMP Paste'!$B1140))</f>
        <v/>
      </c>
      <c r="AK1140" t="str">
        <f>IF('TMP Paste'!$F1140="","",N('TMP Paste'!$G1140))</f>
        <v/>
      </c>
      <c r="AL1140" t="str">
        <f>IF('TMP Paste'!$F1140="","",IF('TMP Paste'!$M1140="",$AL1139,'TMP Paste'!$M1140))</f>
        <v/>
      </c>
      <c r="AM1140" t="str">
        <f>IF('TMP Paste'!$F1140="","",IF('TMP Paste'!$N1140="",$AM1139,'TMP Paste'!$N1140))</f>
        <v/>
      </c>
      <c r="AN1140" t="str">
        <f>IF('TMP Paste'!$F1140="","",IF('TMP Paste'!$O1140="",$AN1139,'TMP Paste'!$O1140))</f>
        <v/>
      </c>
      <c r="AO1140" t="str">
        <f>IF('TMP Paste'!$F1140="","",IF('TMP Paste'!$P1140="",$AO1139,'TMP Paste'!$P1140))</f>
        <v/>
      </c>
      <c r="AP1140" t="str">
        <f t="shared" si="107"/>
        <v/>
      </c>
      <c r="AQ1140" t="str">
        <f>IF($AS1140="","",TRIM(IF(COUNTIFS(Calc!$B$2:$B$1601,ROW()-1,Calc!$C$2:$C$1601,"&lt;1")&gt;0,"Ada PO tanpa Koli - cek TMP. ","")&amp;IF(OR($AU1140="",$AU1140&lt;=0),"Volume kosong/0 - dimensi dikosongkan. ","")&amp;IF(AND($AU1140&lt;&gt;"",$AU1140&gt;=1000000),"Volume &gt;= 1.000.000 cm3 (di luar aturan) - dimensi dikosongkan. ","")&amp;IF(LEN($R1140)&gt;500,"R &gt; 500 karakter.","")))</f>
        <v/>
      </c>
      <c r="AS1140" t="str">
        <f>IFERROR(MATCH(ROW()-1,Calc!$J$2:$J$1601,0),"")</f>
        <v/>
      </c>
      <c r="AT1140" t="str">
        <f>IFERROR(MATCH(ROW()-1,Calc!$K$2:$K$1601,0),"")</f>
        <v/>
      </c>
      <c r="AU1140" t="str">
        <f>IF($AS1140="","",IFERROR(INDEX('TMP Paste'!$D$2:$D$1601,$AS1140)*1000000/$AB1140,""))</f>
        <v/>
      </c>
    </row>
    <row r="1141" spans="1:47">
      <c r="A1141" t="str">
        <f>IF($AS1141="","",INDEX('TMP Paste'!$B$2:$B$1601,$AS1141))</f>
        <v/>
      </c>
      <c r="B1141" t="str">
        <f>IF($AS1141="","",Config!$B$14)</f>
        <v/>
      </c>
      <c r="C1141" t="str">
        <f>IF($AS1141="","",Config!$B$15)</f>
        <v/>
      </c>
      <c r="D1141" t="str">
        <f>IF($AS1141="","",INDEX('TMP Paste'!$B$2:$B$1601,$AS1141))</f>
        <v/>
      </c>
      <c r="E1141" t="str">
        <f>IF($AS1141="","",Config!$B$27)</f>
        <v/>
      </c>
      <c r="F1141" t="str">
        <f>IF($AS1141="","",Config!$B$9)</f>
        <v/>
      </c>
      <c r="G1141" t="str">
        <f>IF($AS1141="","",Config!$B$10)</f>
        <v/>
      </c>
      <c r="H1141" t="str">
        <f>IF($AS1141="","",Config!$B$11)</f>
        <v/>
      </c>
      <c r="I1141" t="str">
        <f>IF($AS1141="","",Config!$B$16)</f>
        <v/>
      </c>
      <c r="J1141" t="str">
        <f>IF($AS1141="","",INDEX('TMP Paste'!$A$2:$A$1601,$AS1141))</f>
        <v/>
      </c>
      <c r="K1141" t="str">
        <f>IF($AS1141="","",INDEX('TMP Paste'!$L$2:$L$1601,$AS1141))</f>
        <v/>
      </c>
      <c r="L1141" t="str">
        <f>IF($AS1141="","",INDEX('TMP Paste'!$I$2:$I$1601,$AS1141))</f>
        <v/>
      </c>
      <c r="M1141" t="str">
        <f>IF($AS1141="","",Config!$B$16)</f>
        <v/>
      </c>
      <c r="N1141" t="str">
        <f t="shared" si="102"/>
        <v/>
      </c>
      <c r="O1141" t="str">
        <f>IF($AS1141="","",INDEX('TMP Paste'!$K$2:$K$1601,$AS1141))</f>
        <v/>
      </c>
      <c r="P1141" t="str">
        <f t="shared" si="103"/>
        <v/>
      </c>
      <c r="Q1141" t="str">
        <f>IF($AS1141="","",INDEX('TMP Paste'!$J$2:$J$1601,$AS1141))</f>
        <v/>
      </c>
      <c r="R1141" t="str">
        <f>IF($AS1141="","",Config!$B$24)</f>
        <v/>
      </c>
      <c r="S1141" t="str">
        <f ca="1">IF($AS1141="","",TEXT(Config!$B$4,"yyyy-mm-dd"))</f>
        <v/>
      </c>
      <c r="T1141" t="str">
        <f>IF($AS1141="","",Config!$B$17)</f>
        <v/>
      </c>
      <c r="U1141" t="str">
        <f>IF($AS1141="","",Config!$B$18)</f>
        <v/>
      </c>
      <c r="V1141" t="str">
        <f>IF($AS1141="","",Config!$B$19)</f>
        <v/>
      </c>
      <c r="W1141" t="str">
        <f>IF($AS1141="","",INDEX('TMP Paste'!$C$2:$C$1601,$AS1141))</f>
        <v/>
      </c>
      <c r="X1141" t="str">
        <f>IF($AS1141="","",Config!$B$29)</f>
        <v/>
      </c>
      <c r="Y1141" t="str">
        <f>IF($AT1141="","",INDEX(Calc!$I$2:$I$1601,$AT1141)&amp;" - "&amp;INDEX(Calc!$D$2:$D$1601,$AT1141)&amp;" koli")</f>
        <v/>
      </c>
      <c r="Z1141" t="str">
        <f>IF($AS1141="","",Config!$B$21)</f>
        <v/>
      </c>
      <c r="AA1141" t="str">
        <f>IF($AS1141="","",Config!$B$22)</f>
        <v/>
      </c>
      <c r="AB1141" t="str">
        <f>IF($AT1141="","",INDEX(Calc!$D$2:$D$1601,$AT1141))</f>
        <v/>
      </c>
      <c r="AC1141" t="str">
        <f>IF($AT1141="","",INDEX(Calc!$G$2:$G$1601,$AT1141))</f>
        <v/>
      </c>
      <c r="AD1141" t="str">
        <f>IF($AS1141="","",Config!$B$23)</f>
        <v/>
      </c>
      <c r="AE1141" t="str">
        <f>IF($AS1141="","",Config!$B$28)</f>
        <v/>
      </c>
      <c r="AF1141" t="str">
        <f t="shared" si="104"/>
        <v/>
      </c>
      <c r="AG1141" t="str">
        <f t="shared" si="105"/>
        <v/>
      </c>
      <c r="AH1141" t="str">
        <f t="shared" si="106"/>
        <v/>
      </c>
      <c r="AI1141" t="str">
        <f>IF($AG1141="","",SUMIF($AG$2:$AG1141,$AG1141,$AH$2:$AH1141))</f>
        <v/>
      </c>
      <c r="AJ1141" t="str">
        <f>IF('TMP Paste'!$F1141="","",IF('TMP Paste'!$B1141="",$AJ1140,'TMP Paste'!$B1141))</f>
        <v/>
      </c>
      <c r="AK1141" t="str">
        <f>IF('TMP Paste'!$F1141="","",N('TMP Paste'!$G1141))</f>
        <v/>
      </c>
      <c r="AL1141" t="str">
        <f>IF('TMP Paste'!$F1141="","",IF('TMP Paste'!$M1141="",$AL1140,'TMP Paste'!$M1141))</f>
        <v/>
      </c>
      <c r="AM1141" t="str">
        <f>IF('TMP Paste'!$F1141="","",IF('TMP Paste'!$N1141="",$AM1140,'TMP Paste'!$N1141))</f>
        <v/>
      </c>
      <c r="AN1141" t="str">
        <f>IF('TMP Paste'!$F1141="","",IF('TMP Paste'!$O1141="",$AN1140,'TMP Paste'!$O1141))</f>
        <v/>
      </c>
      <c r="AO1141" t="str">
        <f>IF('TMP Paste'!$F1141="","",IF('TMP Paste'!$P1141="",$AO1140,'TMP Paste'!$P1141))</f>
        <v/>
      </c>
      <c r="AP1141" t="str">
        <f t="shared" si="107"/>
        <v/>
      </c>
      <c r="AQ1141" t="str">
        <f>IF($AS1141="","",TRIM(IF(COUNTIFS(Calc!$B$2:$B$1601,ROW()-1,Calc!$C$2:$C$1601,"&lt;1")&gt;0,"Ada PO tanpa Koli - cek TMP. ","")&amp;IF(OR($AU1141="",$AU1141&lt;=0),"Volume kosong/0 - dimensi dikosongkan. ","")&amp;IF(AND($AU1141&lt;&gt;"",$AU1141&gt;=1000000),"Volume &gt;= 1.000.000 cm3 (di luar aturan) - dimensi dikosongkan. ","")&amp;IF(LEN($R1141)&gt;500,"R &gt; 500 karakter.","")))</f>
        <v/>
      </c>
      <c r="AS1141" t="str">
        <f>IFERROR(MATCH(ROW()-1,Calc!$J$2:$J$1601,0),"")</f>
        <v/>
      </c>
      <c r="AT1141" t="str">
        <f>IFERROR(MATCH(ROW()-1,Calc!$K$2:$K$1601,0),"")</f>
        <v/>
      </c>
      <c r="AU1141" t="str">
        <f>IF($AS1141="","",IFERROR(INDEX('TMP Paste'!$D$2:$D$1601,$AS1141)*1000000/$AB1141,""))</f>
        <v/>
      </c>
    </row>
    <row r="1142" spans="1:47">
      <c r="A1142" t="str">
        <f>IF($AS1142="","",INDEX('TMP Paste'!$B$2:$B$1601,$AS1142))</f>
        <v/>
      </c>
      <c r="B1142" t="str">
        <f>IF($AS1142="","",Config!$B$14)</f>
        <v/>
      </c>
      <c r="C1142" t="str">
        <f>IF($AS1142="","",Config!$B$15)</f>
        <v/>
      </c>
      <c r="D1142" t="str">
        <f>IF($AS1142="","",INDEX('TMP Paste'!$B$2:$B$1601,$AS1142))</f>
        <v/>
      </c>
      <c r="E1142" t="str">
        <f>IF($AS1142="","",Config!$B$27)</f>
        <v/>
      </c>
      <c r="F1142" t="str">
        <f>IF($AS1142="","",Config!$B$9)</f>
        <v/>
      </c>
      <c r="G1142" t="str">
        <f>IF($AS1142="","",Config!$B$10)</f>
        <v/>
      </c>
      <c r="H1142" t="str">
        <f>IF($AS1142="","",Config!$B$11)</f>
        <v/>
      </c>
      <c r="I1142" t="str">
        <f>IF($AS1142="","",Config!$B$16)</f>
        <v/>
      </c>
      <c r="J1142" t="str">
        <f>IF($AS1142="","",INDEX('TMP Paste'!$A$2:$A$1601,$AS1142))</f>
        <v/>
      </c>
      <c r="K1142" t="str">
        <f>IF($AS1142="","",INDEX('TMP Paste'!$L$2:$L$1601,$AS1142))</f>
        <v/>
      </c>
      <c r="L1142" t="str">
        <f>IF($AS1142="","",INDEX('TMP Paste'!$I$2:$I$1601,$AS1142))</f>
        <v/>
      </c>
      <c r="M1142" t="str">
        <f>IF($AS1142="","",Config!$B$16)</f>
        <v/>
      </c>
      <c r="N1142" t="str">
        <f t="shared" si="102"/>
        <v/>
      </c>
      <c r="O1142" t="str">
        <f>IF($AS1142="","",INDEX('TMP Paste'!$K$2:$K$1601,$AS1142))</f>
        <v/>
      </c>
      <c r="P1142" t="str">
        <f t="shared" si="103"/>
        <v/>
      </c>
      <c r="Q1142" t="str">
        <f>IF($AS1142="","",INDEX('TMP Paste'!$J$2:$J$1601,$AS1142))</f>
        <v/>
      </c>
      <c r="R1142" t="str">
        <f>IF($AS1142="","",Config!$B$24)</f>
        <v/>
      </c>
      <c r="S1142" t="str">
        <f ca="1">IF($AS1142="","",TEXT(Config!$B$4,"yyyy-mm-dd"))</f>
        <v/>
      </c>
      <c r="T1142" t="str">
        <f>IF($AS1142="","",Config!$B$17)</f>
        <v/>
      </c>
      <c r="U1142" t="str">
        <f>IF($AS1142="","",Config!$B$18)</f>
        <v/>
      </c>
      <c r="V1142" t="str">
        <f>IF($AS1142="","",Config!$B$19)</f>
        <v/>
      </c>
      <c r="W1142" t="str">
        <f>IF($AS1142="","",INDEX('TMP Paste'!$C$2:$C$1601,$AS1142))</f>
        <v/>
      </c>
      <c r="X1142" t="str">
        <f>IF($AS1142="","",Config!$B$29)</f>
        <v/>
      </c>
      <c r="Y1142" t="str">
        <f>IF($AT1142="","",INDEX(Calc!$I$2:$I$1601,$AT1142)&amp;" - "&amp;INDEX(Calc!$D$2:$D$1601,$AT1142)&amp;" koli")</f>
        <v/>
      </c>
      <c r="Z1142" t="str">
        <f>IF($AS1142="","",Config!$B$21)</f>
        <v/>
      </c>
      <c r="AA1142" t="str">
        <f>IF($AS1142="","",Config!$B$22)</f>
        <v/>
      </c>
      <c r="AB1142" t="str">
        <f>IF($AT1142="","",INDEX(Calc!$D$2:$D$1601,$AT1142))</f>
        <v/>
      </c>
      <c r="AC1142" t="str">
        <f>IF($AT1142="","",INDEX(Calc!$G$2:$G$1601,$AT1142))</f>
        <v/>
      </c>
      <c r="AD1142" t="str">
        <f>IF($AS1142="","",Config!$B$23)</f>
        <v/>
      </c>
      <c r="AE1142" t="str">
        <f>IF($AS1142="","",Config!$B$28)</f>
        <v/>
      </c>
      <c r="AF1142" t="str">
        <f t="shared" si="104"/>
        <v/>
      </c>
      <c r="AG1142" t="str">
        <f t="shared" si="105"/>
        <v/>
      </c>
      <c r="AH1142" t="str">
        <f t="shared" si="106"/>
        <v/>
      </c>
      <c r="AI1142" t="str">
        <f>IF($AG1142="","",SUMIF($AG$2:$AG1142,$AG1142,$AH$2:$AH1142))</f>
        <v/>
      </c>
      <c r="AJ1142" t="str">
        <f>IF('TMP Paste'!$F1142="","",IF('TMP Paste'!$B1142="",$AJ1141,'TMP Paste'!$B1142))</f>
        <v/>
      </c>
      <c r="AK1142" t="str">
        <f>IF('TMP Paste'!$F1142="","",N('TMP Paste'!$G1142))</f>
        <v/>
      </c>
      <c r="AL1142" t="str">
        <f>IF('TMP Paste'!$F1142="","",IF('TMP Paste'!$M1142="",$AL1141,'TMP Paste'!$M1142))</f>
        <v/>
      </c>
      <c r="AM1142" t="str">
        <f>IF('TMP Paste'!$F1142="","",IF('TMP Paste'!$N1142="",$AM1141,'TMP Paste'!$N1142))</f>
        <v/>
      </c>
      <c r="AN1142" t="str">
        <f>IF('TMP Paste'!$F1142="","",IF('TMP Paste'!$O1142="",$AN1141,'TMP Paste'!$O1142))</f>
        <v/>
      </c>
      <c r="AO1142" t="str">
        <f>IF('TMP Paste'!$F1142="","",IF('TMP Paste'!$P1142="",$AO1141,'TMP Paste'!$P1142))</f>
        <v/>
      </c>
      <c r="AP1142" t="str">
        <f t="shared" si="107"/>
        <v/>
      </c>
      <c r="AQ1142" t="str">
        <f>IF($AS1142="","",TRIM(IF(COUNTIFS(Calc!$B$2:$B$1601,ROW()-1,Calc!$C$2:$C$1601,"&lt;1")&gt;0,"Ada PO tanpa Koli - cek TMP. ","")&amp;IF(OR($AU1142="",$AU1142&lt;=0),"Volume kosong/0 - dimensi dikosongkan. ","")&amp;IF(AND($AU1142&lt;&gt;"",$AU1142&gt;=1000000),"Volume &gt;= 1.000.000 cm3 (di luar aturan) - dimensi dikosongkan. ","")&amp;IF(LEN($R1142)&gt;500,"R &gt; 500 karakter.","")))</f>
        <v/>
      </c>
      <c r="AS1142" t="str">
        <f>IFERROR(MATCH(ROW()-1,Calc!$J$2:$J$1601,0),"")</f>
        <v/>
      </c>
      <c r="AT1142" t="str">
        <f>IFERROR(MATCH(ROW()-1,Calc!$K$2:$K$1601,0),"")</f>
        <v/>
      </c>
      <c r="AU1142" t="str">
        <f>IF($AS1142="","",IFERROR(INDEX('TMP Paste'!$D$2:$D$1601,$AS1142)*1000000/$AB1142,""))</f>
        <v/>
      </c>
    </row>
    <row r="1143" spans="1:47">
      <c r="A1143" t="str">
        <f>IF($AS1143="","",INDEX('TMP Paste'!$B$2:$B$1601,$AS1143))</f>
        <v/>
      </c>
      <c r="B1143" t="str">
        <f>IF($AS1143="","",Config!$B$14)</f>
        <v/>
      </c>
      <c r="C1143" t="str">
        <f>IF($AS1143="","",Config!$B$15)</f>
        <v/>
      </c>
      <c r="D1143" t="str">
        <f>IF($AS1143="","",INDEX('TMP Paste'!$B$2:$B$1601,$AS1143))</f>
        <v/>
      </c>
      <c r="E1143" t="str">
        <f>IF($AS1143="","",Config!$B$27)</f>
        <v/>
      </c>
      <c r="F1143" t="str">
        <f>IF($AS1143="","",Config!$B$9)</f>
        <v/>
      </c>
      <c r="G1143" t="str">
        <f>IF($AS1143="","",Config!$B$10)</f>
        <v/>
      </c>
      <c r="H1143" t="str">
        <f>IF($AS1143="","",Config!$B$11)</f>
        <v/>
      </c>
      <c r="I1143" t="str">
        <f>IF($AS1143="","",Config!$B$16)</f>
        <v/>
      </c>
      <c r="J1143" t="str">
        <f>IF($AS1143="","",INDEX('TMP Paste'!$A$2:$A$1601,$AS1143))</f>
        <v/>
      </c>
      <c r="K1143" t="str">
        <f>IF($AS1143="","",INDEX('TMP Paste'!$L$2:$L$1601,$AS1143))</f>
        <v/>
      </c>
      <c r="L1143" t="str">
        <f>IF($AS1143="","",INDEX('TMP Paste'!$I$2:$I$1601,$AS1143))</f>
        <v/>
      </c>
      <c r="M1143" t="str">
        <f>IF($AS1143="","",Config!$B$16)</f>
        <v/>
      </c>
      <c r="N1143" t="str">
        <f t="shared" si="102"/>
        <v/>
      </c>
      <c r="O1143" t="str">
        <f>IF($AS1143="","",INDEX('TMP Paste'!$K$2:$K$1601,$AS1143))</f>
        <v/>
      </c>
      <c r="P1143" t="str">
        <f t="shared" si="103"/>
        <v/>
      </c>
      <c r="Q1143" t="str">
        <f>IF($AS1143="","",INDEX('TMP Paste'!$J$2:$J$1601,$AS1143))</f>
        <v/>
      </c>
      <c r="R1143" t="str">
        <f>IF($AS1143="","",Config!$B$24)</f>
        <v/>
      </c>
      <c r="S1143" t="str">
        <f ca="1">IF($AS1143="","",TEXT(Config!$B$4,"yyyy-mm-dd"))</f>
        <v/>
      </c>
      <c r="T1143" t="str">
        <f>IF($AS1143="","",Config!$B$17)</f>
        <v/>
      </c>
      <c r="U1143" t="str">
        <f>IF($AS1143="","",Config!$B$18)</f>
        <v/>
      </c>
      <c r="V1143" t="str">
        <f>IF($AS1143="","",Config!$B$19)</f>
        <v/>
      </c>
      <c r="W1143" t="str">
        <f>IF($AS1143="","",INDEX('TMP Paste'!$C$2:$C$1601,$AS1143))</f>
        <v/>
      </c>
      <c r="X1143" t="str">
        <f>IF($AS1143="","",Config!$B$29)</f>
        <v/>
      </c>
      <c r="Y1143" t="str">
        <f>IF($AT1143="","",INDEX(Calc!$I$2:$I$1601,$AT1143)&amp;" - "&amp;INDEX(Calc!$D$2:$D$1601,$AT1143)&amp;" koli")</f>
        <v/>
      </c>
      <c r="Z1143" t="str">
        <f>IF($AS1143="","",Config!$B$21)</f>
        <v/>
      </c>
      <c r="AA1143" t="str">
        <f>IF($AS1143="","",Config!$B$22)</f>
        <v/>
      </c>
      <c r="AB1143" t="str">
        <f>IF($AT1143="","",INDEX(Calc!$D$2:$D$1601,$AT1143))</f>
        <v/>
      </c>
      <c r="AC1143" t="str">
        <f>IF($AT1143="","",INDEX(Calc!$G$2:$G$1601,$AT1143))</f>
        <v/>
      </c>
      <c r="AD1143" t="str">
        <f>IF($AS1143="","",Config!$B$23)</f>
        <v/>
      </c>
      <c r="AE1143" t="str">
        <f>IF($AS1143="","",Config!$B$28)</f>
        <v/>
      </c>
      <c r="AF1143" t="str">
        <f t="shared" si="104"/>
        <v/>
      </c>
      <c r="AG1143" t="str">
        <f t="shared" si="105"/>
        <v/>
      </c>
      <c r="AH1143" t="str">
        <f t="shared" si="106"/>
        <v/>
      </c>
      <c r="AI1143" t="str">
        <f>IF($AG1143="","",SUMIF($AG$2:$AG1143,$AG1143,$AH$2:$AH1143))</f>
        <v/>
      </c>
      <c r="AJ1143" t="str">
        <f>IF('TMP Paste'!$F1143="","",IF('TMP Paste'!$B1143="",$AJ1142,'TMP Paste'!$B1143))</f>
        <v/>
      </c>
      <c r="AK1143" t="str">
        <f>IF('TMP Paste'!$F1143="","",N('TMP Paste'!$G1143))</f>
        <v/>
      </c>
      <c r="AL1143" t="str">
        <f>IF('TMP Paste'!$F1143="","",IF('TMP Paste'!$M1143="",$AL1142,'TMP Paste'!$M1143))</f>
        <v/>
      </c>
      <c r="AM1143" t="str">
        <f>IF('TMP Paste'!$F1143="","",IF('TMP Paste'!$N1143="",$AM1142,'TMP Paste'!$N1143))</f>
        <v/>
      </c>
      <c r="AN1143" t="str">
        <f>IF('TMP Paste'!$F1143="","",IF('TMP Paste'!$O1143="",$AN1142,'TMP Paste'!$O1143))</f>
        <v/>
      </c>
      <c r="AO1143" t="str">
        <f>IF('TMP Paste'!$F1143="","",IF('TMP Paste'!$P1143="",$AO1142,'TMP Paste'!$P1143))</f>
        <v/>
      </c>
      <c r="AP1143" t="str">
        <f t="shared" si="107"/>
        <v/>
      </c>
      <c r="AQ1143" t="str">
        <f>IF($AS1143="","",TRIM(IF(COUNTIFS(Calc!$B$2:$B$1601,ROW()-1,Calc!$C$2:$C$1601,"&lt;1")&gt;0,"Ada PO tanpa Koli - cek TMP. ","")&amp;IF(OR($AU1143="",$AU1143&lt;=0),"Volume kosong/0 - dimensi dikosongkan. ","")&amp;IF(AND($AU1143&lt;&gt;"",$AU1143&gt;=1000000),"Volume &gt;= 1.000.000 cm3 (di luar aturan) - dimensi dikosongkan. ","")&amp;IF(LEN($R1143)&gt;500,"R &gt; 500 karakter.","")))</f>
        <v/>
      </c>
      <c r="AS1143" t="str">
        <f>IFERROR(MATCH(ROW()-1,Calc!$J$2:$J$1601,0),"")</f>
        <v/>
      </c>
      <c r="AT1143" t="str">
        <f>IFERROR(MATCH(ROW()-1,Calc!$K$2:$K$1601,0),"")</f>
        <v/>
      </c>
      <c r="AU1143" t="str">
        <f>IF($AS1143="","",IFERROR(INDEX('TMP Paste'!$D$2:$D$1601,$AS1143)*1000000/$AB1143,""))</f>
        <v/>
      </c>
    </row>
    <row r="1144" spans="1:47">
      <c r="A1144" t="str">
        <f>IF($AS1144="","",INDEX('TMP Paste'!$B$2:$B$1601,$AS1144))</f>
        <v/>
      </c>
      <c r="B1144" t="str">
        <f>IF($AS1144="","",Config!$B$14)</f>
        <v/>
      </c>
      <c r="C1144" t="str">
        <f>IF($AS1144="","",Config!$B$15)</f>
        <v/>
      </c>
      <c r="D1144" t="str">
        <f>IF($AS1144="","",INDEX('TMP Paste'!$B$2:$B$1601,$AS1144))</f>
        <v/>
      </c>
      <c r="E1144" t="str">
        <f>IF($AS1144="","",Config!$B$27)</f>
        <v/>
      </c>
      <c r="F1144" t="str">
        <f>IF($AS1144="","",Config!$B$9)</f>
        <v/>
      </c>
      <c r="G1144" t="str">
        <f>IF($AS1144="","",Config!$B$10)</f>
        <v/>
      </c>
      <c r="H1144" t="str">
        <f>IF($AS1144="","",Config!$B$11)</f>
        <v/>
      </c>
      <c r="I1144" t="str">
        <f>IF($AS1144="","",Config!$B$16)</f>
        <v/>
      </c>
      <c r="J1144" t="str">
        <f>IF($AS1144="","",INDEX('TMP Paste'!$A$2:$A$1601,$AS1144))</f>
        <v/>
      </c>
      <c r="K1144" t="str">
        <f>IF($AS1144="","",INDEX('TMP Paste'!$L$2:$L$1601,$AS1144))</f>
        <v/>
      </c>
      <c r="L1144" t="str">
        <f>IF($AS1144="","",INDEX('TMP Paste'!$I$2:$I$1601,$AS1144))</f>
        <v/>
      </c>
      <c r="M1144" t="str">
        <f>IF($AS1144="","",Config!$B$16)</f>
        <v/>
      </c>
      <c r="N1144" t="str">
        <f t="shared" si="102"/>
        <v/>
      </c>
      <c r="O1144" t="str">
        <f>IF($AS1144="","",INDEX('TMP Paste'!$K$2:$K$1601,$AS1144))</f>
        <v/>
      </c>
      <c r="P1144" t="str">
        <f t="shared" si="103"/>
        <v/>
      </c>
      <c r="Q1144" t="str">
        <f>IF($AS1144="","",INDEX('TMP Paste'!$J$2:$J$1601,$AS1144))</f>
        <v/>
      </c>
      <c r="R1144" t="str">
        <f>IF($AS1144="","",Config!$B$24)</f>
        <v/>
      </c>
      <c r="S1144" t="str">
        <f ca="1">IF($AS1144="","",TEXT(Config!$B$4,"yyyy-mm-dd"))</f>
        <v/>
      </c>
      <c r="T1144" t="str">
        <f>IF($AS1144="","",Config!$B$17)</f>
        <v/>
      </c>
      <c r="U1144" t="str">
        <f>IF($AS1144="","",Config!$B$18)</f>
        <v/>
      </c>
      <c r="V1144" t="str">
        <f>IF($AS1144="","",Config!$B$19)</f>
        <v/>
      </c>
      <c r="W1144" t="str">
        <f>IF($AS1144="","",INDEX('TMP Paste'!$C$2:$C$1601,$AS1144))</f>
        <v/>
      </c>
      <c r="X1144" t="str">
        <f>IF($AS1144="","",Config!$B$29)</f>
        <v/>
      </c>
      <c r="Y1144" t="str">
        <f>IF($AT1144="","",INDEX(Calc!$I$2:$I$1601,$AT1144)&amp;" - "&amp;INDEX(Calc!$D$2:$D$1601,$AT1144)&amp;" koli")</f>
        <v/>
      </c>
      <c r="Z1144" t="str">
        <f>IF($AS1144="","",Config!$B$21)</f>
        <v/>
      </c>
      <c r="AA1144" t="str">
        <f>IF($AS1144="","",Config!$B$22)</f>
        <v/>
      </c>
      <c r="AB1144" t="str">
        <f>IF($AT1144="","",INDEX(Calc!$D$2:$D$1601,$AT1144))</f>
        <v/>
      </c>
      <c r="AC1144" t="str">
        <f>IF($AT1144="","",INDEX(Calc!$G$2:$G$1601,$AT1144))</f>
        <v/>
      </c>
      <c r="AD1144" t="str">
        <f>IF($AS1144="","",Config!$B$23)</f>
        <v/>
      </c>
      <c r="AE1144" t="str">
        <f>IF($AS1144="","",Config!$B$28)</f>
        <v/>
      </c>
      <c r="AF1144" t="str">
        <f t="shared" si="104"/>
        <v/>
      </c>
      <c r="AG1144" t="str">
        <f t="shared" si="105"/>
        <v/>
      </c>
      <c r="AH1144" t="str">
        <f t="shared" si="106"/>
        <v/>
      </c>
      <c r="AI1144" t="str">
        <f>IF($AG1144="","",SUMIF($AG$2:$AG1144,$AG1144,$AH$2:$AH1144))</f>
        <v/>
      </c>
      <c r="AJ1144" t="str">
        <f>IF('TMP Paste'!$F1144="","",IF('TMP Paste'!$B1144="",$AJ1143,'TMP Paste'!$B1144))</f>
        <v/>
      </c>
      <c r="AK1144" t="str">
        <f>IF('TMP Paste'!$F1144="","",N('TMP Paste'!$G1144))</f>
        <v/>
      </c>
      <c r="AL1144" t="str">
        <f>IF('TMP Paste'!$F1144="","",IF('TMP Paste'!$M1144="",$AL1143,'TMP Paste'!$M1144))</f>
        <v/>
      </c>
      <c r="AM1144" t="str">
        <f>IF('TMP Paste'!$F1144="","",IF('TMP Paste'!$N1144="",$AM1143,'TMP Paste'!$N1144))</f>
        <v/>
      </c>
      <c r="AN1144" t="str">
        <f>IF('TMP Paste'!$F1144="","",IF('TMP Paste'!$O1144="",$AN1143,'TMP Paste'!$O1144))</f>
        <v/>
      </c>
      <c r="AO1144" t="str">
        <f>IF('TMP Paste'!$F1144="","",IF('TMP Paste'!$P1144="",$AO1143,'TMP Paste'!$P1144))</f>
        <v/>
      </c>
      <c r="AP1144" t="str">
        <f t="shared" si="107"/>
        <v/>
      </c>
      <c r="AQ1144" t="str">
        <f>IF($AS1144="","",TRIM(IF(COUNTIFS(Calc!$B$2:$B$1601,ROW()-1,Calc!$C$2:$C$1601,"&lt;1")&gt;0,"Ada PO tanpa Koli - cek TMP. ","")&amp;IF(OR($AU1144="",$AU1144&lt;=0),"Volume kosong/0 - dimensi dikosongkan. ","")&amp;IF(AND($AU1144&lt;&gt;"",$AU1144&gt;=1000000),"Volume &gt;= 1.000.000 cm3 (di luar aturan) - dimensi dikosongkan. ","")&amp;IF(LEN($R1144)&gt;500,"R &gt; 500 karakter.","")))</f>
        <v/>
      </c>
      <c r="AS1144" t="str">
        <f>IFERROR(MATCH(ROW()-1,Calc!$J$2:$J$1601,0),"")</f>
        <v/>
      </c>
      <c r="AT1144" t="str">
        <f>IFERROR(MATCH(ROW()-1,Calc!$K$2:$K$1601,0),"")</f>
        <v/>
      </c>
      <c r="AU1144" t="str">
        <f>IF($AS1144="","",IFERROR(INDEX('TMP Paste'!$D$2:$D$1601,$AS1144)*1000000/$AB1144,""))</f>
        <v/>
      </c>
    </row>
    <row r="1145" spans="1:47">
      <c r="A1145" t="str">
        <f>IF($AS1145="","",INDEX('TMP Paste'!$B$2:$B$1601,$AS1145))</f>
        <v/>
      </c>
      <c r="B1145" t="str">
        <f>IF($AS1145="","",Config!$B$14)</f>
        <v/>
      </c>
      <c r="C1145" t="str">
        <f>IF($AS1145="","",Config!$B$15)</f>
        <v/>
      </c>
      <c r="D1145" t="str">
        <f>IF($AS1145="","",INDEX('TMP Paste'!$B$2:$B$1601,$AS1145))</f>
        <v/>
      </c>
      <c r="E1145" t="str">
        <f>IF($AS1145="","",Config!$B$27)</f>
        <v/>
      </c>
      <c r="F1145" t="str">
        <f>IF($AS1145="","",Config!$B$9)</f>
        <v/>
      </c>
      <c r="G1145" t="str">
        <f>IF($AS1145="","",Config!$B$10)</f>
        <v/>
      </c>
      <c r="H1145" t="str">
        <f>IF($AS1145="","",Config!$B$11)</f>
        <v/>
      </c>
      <c r="I1145" t="str">
        <f>IF($AS1145="","",Config!$B$16)</f>
        <v/>
      </c>
      <c r="J1145" t="str">
        <f>IF($AS1145="","",INDEX('TMP Paste'!$A$2:$A$1601,$AS1145))</f>
        <v/>
      </c>
      <c r="K1145" t="str">
        <f>IF($AS1145="","",INDEX('TMP Paste'!$L$2:$L$1601,$AS1145))</f>
        <v/>
      </c>
      <c r="L1145" t="str">
        <f>IF($AS1145="","",INDEX('TMP Paste'!$I$2:$I$1601,$AS1145))</f>
        <v/>
      </c>
      <c r="M1145" t="str">
        <f>IF($AS1145="","",Config!$B$16)</f>
        <v/>
      </c>
      <c r="N1145" t="str">
        <f t="shared" si="102"/>
        <v/>
      </c>
      <c r="O1145" t="str">
        <f>IF($AS1145="","",INDEX('TMP Paste'!$K$2:$K$1601,$AS1145))</f>
        <v/>
      </c>
      <c r="P1145" t="str">
        <f t="shared" si="103"/>
        <v/>
      </c>
      <c r="Q1145" t="str">
        <f>IF($AS1145="","",INDEX('TMP Paste'!$J$2:$J$1601,$AS1145))</f>
        <v/>
      </c>
      <c r="R1145" t="str">
        <f>IF($AS1145="","",Config!$B$24)</f>
        <v/>
      </c>
      <c r="S1145" t="str">
        <f ca="1">IF($AS1145="","",TEXT(Config!$B$4,"yyyy-mm-dd"))</f>
        <v/>
      </c>
      <c r="T1145" t="str">
        <f>IF($AS1145="","",Config!$B$17)</f>
        <v/>
      </c>
      <c r="U1145" t="str">
        <f>IF($AS1145="","",Config!$B$18)</f>
        <v/>
      </c>
      <c r="V1145" t="str">
        <f>IF($AS1145="","",Config!$B$19)</f>
        <v/>
      </c>
      <c r="W1145" t="str">
        <f>IF($AS1145="","",INDEX('TMP Paste'!$C$2:$C$1601,$AS1145))</f>
        <v/>
      </c>
      <c r="X1145" t="str">
        <f>IF($AS1145="","",Config!$B$29)</f>
        <v/>
      </c>
      <c r="Y1145" t="str">
        <f>IF($AT1145="","",INDEX(Calc!$I$2:$I$1601,$AT1145)&amp;" - "&amp;INDEX(Calc!$D$2:$D$1601,$AT1145)&amp;" koli")</f>
        <v/>
      </c>
      <c r="Z1145" t="str">
        <f>IF($AS1145="","",Config!$B$21)</f>
        <v/>
      </c>
      <c r="AA1145" t="str">
        <f>IF($AS1145="","",Config!$B$22)</f>
        <v/>
      </c>
      <c r="AB1145" t="str">
        <f>IF($AT1145="","",INDEX(Calc!$D$2:$D$1601,$AT1145))</f>
        <v/>
      </c>
      <c r="AC1145" t="str">
        <f>IF($AT1145="","",INDEX(Calc!$G$2:$G$1601,$AT1145))</f>
        <v/>
      </c>
      <c r="AD1145" t="str">
        <f>IF($AS1145="","",Config!$B$23)</f>
        <v/>
      </c>
      <c r="AE1145" t="str">
        <f>IF($AS1145="","",Config!$B$28)</f>
        <v/>
      </c>
      <c r="AF1145" t="str">
        <f t="shared" si="104"/>
        <v/>
      </c>
      <c r="AG1145" t="str">
        <f t="shared" si="105"/>
        <v/>
      </c>
      <c r="AH1145" t="str">
        <f t="shared" si="106"/>
        <v/>
      </c>
      <c r="AI1145" t="str">
        <f>IF($AG1145="","",SUMIF($AG$2:$AG1145,$AG1145,$AH$2:$AH1145))</f>
        <v/>
      </c>
      <c r="AJ1145" t="str">
        <f>IF('TMP Paste'!$F1145="","",IF('TMP Paste'!$B1145="",$AJ1144,'TMP Paste'!$B1145))</f>
        <v/>
      </c>
      <c r="AK1145" t="str">
        <f>IF('TMP Paste'!$F1145="","",N('TMP Paste'!$G1145))</f>
        <v/>
      </c>
      <c r="AL1145" t="str">
        <f>IF('TMP Paste'!$F1145="","",IF('TMP Paste'!$M1145="",$AL1144,'TMP Paste'!$M1145))</f>
        <v/>
      </c>
      <c r="AM1145" t="str">
        <f>IF('TMP Paste'!$F1145="","",IF('TMP Paste'!$N1145="",$AM1144,'TMP Paste'!$N1145))</f>
        <v/>
      </c>
      <c r="AN1145" t="str">
        <f>IF('TMP Paste'!$F1145="","",IF('TMP Paste'!$O1145="",$AN1144,'TMP Paste'!$O1145))</f>
        <v/>
      </c>
      <c r="AO1145" t="str">
        <f>IF('TMP Paste'!$F1145="","",IF('TMP Paste'!$P1145="",$AO1144,'TMP Paste'!$P1145))</f>
        <v/>
      </c>
      <c r="AP1145" t="str">
        <f t="shared" si="107"/>
        <v/>
      </c>
      <c r="AQ1145" t="str">
        <f>IF($AS1145="","",TRIM(IF(COUNTIFS(Calc!$B$2:$B$1601,ROW()-1,Calc!$C$2:$C$1601,"&lt;1")&gt;0,"Ada PO tanpa Koli - cek TMP. ","")&amp;IF(OR($AU1145="",$AU1145&lt;=0),"Volume kosong/0 - dimensi dikosongkan. ","")&amp;IF(AND($AU1145&lt;&gt;"",$AU1145&gt;=1000000),"Volume &gt;= 1.000.000 cm3 (di luar aturan) - dimensi dikosongkan. ","")&amp;IF(LEN($R1145)&gt;500,"R &gt; 500 karakter.","")))</f>
        <v/>
      </c>
      <c r="AS1145" t="str">
        <f>IFERROR(MATCH(ROW()-1,Calc!$J$2:$J$1601,0),"")</f>
        <v/>
      </c>
      <c r="AT1145" t="str">
        <f>IFERROR(MATCH(ROW()-1,Calc!$K$2:$K$1601,0),"")</f>
        <v/>
      </c>
      <c r="AU1145" t="str">
        <f>IF($AS1145="","",IFERROR(INDEX('TMP Paste'!$D$2:$D$1601,$AS1145)*1000000/$AB1145,""))</f>
        <v/>
      </c>
    </row>
    <row r="1146" spans="1:47">
      <c r="A1146" t="str">
        <f>IF($AS1146="","",INDEX('TMP Paste'!$B$2:$B$1601,$AS1146))</f>
        <v/>
      </c>
      <c r="B1146" t="str">
        <f>IF($AS1146="","",Config!$B$14)</f>
        <v/>
      </c>
      <c r="C1146" t="str">
        <f>IF($AS1146="","",Config!$B$15)</f>
        <v/>
      </c>
      <c r="D1146" t="str">
        <f>IF($AS1146="","",INDEX('TMP Paste'!$B$2:$B$1601,$AS1146))</f>
        <v/>
      </c>
      <c r="E1146" t="str">
        <f>IF($AS1146="","",Config!$B$27)</f>
        <v/>
      </c>
      <c r="F1146" t="str">
        <f>IF($AS1146="","",Config!$B$9)</f>
        <v/>
      </c>
      <c r="G1146" t="str">
        <f>IF($AS1146="","",Config!$B$10)</f>
        <v/>
      </c>
      <c r="H1146" t="str">
        <f>IF($AS1146="","",Config!$B$11)</f>
        <v/>
      </c>
      <c r="I1146" t="str">
        <f>IF($AS1146="","",Config!$B$16)</f>
        <v/>
      </c>
      <c r="J1146" t="str">
        <f>IF($AS1146="","",INDEX('TMP Paste'!$A$2:$A$1601,$AS1146))</f>
        <v/>
      </c>
      <c r="K1146" t="str">
        <f>IF($AS1146="","",INDEX('TMP Paste'!$L$2:$L$1601,$AS1146))</f>
        <v/>
      </c>
      <c r="L1146" t="str">
        <f>IF($AS1146="","",INDEX('TMP Paste'!$I$2:$I$1601,$AS1146))</f>
        <v/>
      </c>
      <c r="M1146" t="str">
        <f>IF($AS1146="","",Config!$B$16)</f>
        <v/>
      </c>
      <c r="N1146" t="str">
        <f t="shared" si="102"/>
        <v/>
      </c>
      <c r="O1146" t="str">
        <f>IF($AS1146="","",INDEX('TMP Paste'!$K$2:$K$1601,$AS1146))</f>
        <v/>
      </c>
      <c r="P1146" t="str">
        <f t="shared" si="103"/>
        <v/>
      </c>
      <c r="Q1146" t="str">
        <f>IF($AS1146="","",INDEX('TMP Paste'!$J$2:$J$1601,$AS1146))</f>
        <v/>
      </c>
      <c r="R1146" t="str">
        <f>IF($AS1146="","",Config!$B$24)</f>
        <v/>
      </c>
      <c r="S1146" t="str">
        <f ca="1">IF($AS1146="","",TEXT(Config!$B$4,"yyyy-mm-dd"))</f>
        <v/>
      </c>
      <c r="T1146" t="str">
        <f>IF($AS1146="","",Config!$B$17)</f>
        <v/>
      </c>
      <c r="U1146" t="str">
        <f>IF($AS1146="","",Config!$B$18)</f>
        <v/>
      </c>
      <c r="V1146" t="str">
        <f>IF($AS1146="","",Config!$B$19)</f>
        <v/>
      </c>
      <c r="W1146" t="str">
        <f>IF($AS1146="","",INDEX('TMP Paste'!$C$2:$C$1601,$AS1146))</f>
        <v/>
      </c>
      <c r="X1146" t="str">
        <f>IF($AS1146="","",Config!$B$29)</f>
        <v/>
      </c>
      <c r="Y1146" t="str">
        <f>IF($AT1146="","",INDEX(Calc!$I$2:$I$1601,$AT1146)&amp;" - "&amp;INDEX(Calc!$D$2:$D$1601,$AT1146)&amp;" koli")</f>
        <v/>
      </c>
      <c r="Z1146" t="str">
        <f>IF($AS1146="","",Config!$B$21)</f>
        <v/>
      </c>
      <c r="AA1146" t="str">
        <f>IF($AS1146="","",Config!$B$22)</f>
        <v/>
      </c>
      <c r="AB1146" t="str">
        <f>IF($AT1146="","",INDEX(Calc!$D$2:$D$1601,$AT1146))</f>
        <v/>
      </c>
      <c r="AC1146" t="str">
        <f>IF($AT1146="","",INDEX(Calc!$G$2:$G$1601,$AT1146))</f>
        <v/>
      </c>
      <c r="AD1146" t="str">
        <f>IF($AS1146="","",Config!$B$23)</f>
        <v/>
      </c>
      <c r="AE1146" t="str">
        <f>IF($AS1146="","",Config!$B$28)</f>
        <v/>
      </c>
      <c r="AF1146" t="str">
        <f t="shared" si="104"/>
        <v/>
      </c>
      <c r="AG1146" t="str">
        <f t="shared" si="105"/>
        <v/>
      </c>
      <c r="AH1146" t="str">
        <f t="shared" si="106"/>
        <v/>
      </c>
      <c r="AI1146" t="str">
        <f>IF($AG1146="","",SUMIF($AG$2:$AG1146,$AG1146,$AH$2:$AH1146))</f>
        <v/>
      </c>
      <c r="AJ1146" t="str">
        <f>IF('TMP Paste'!$F1146="","",IF('TMP Paste'!$B1146="",$AJ1145,'TMP Paste'!$B1146))</f>
        <v/>
      </c>
      <c r="AK1146" t="str">
        <f>IF('TMP Paste'!$F1146="","",N('TMP Paste'!$G1146))</f>
        <v/>
      </c>
      <c r="AL1146" t="str">
        <f>IF('TMP Paste'!$F1146="","",IF('TMP Paste'!$M1146="",$AL1145,'TMP Paste'!$M1146))</f>
        <v/>
      </c>
      <c r="AM1146" t="str">
        <f>IF('TMP Paste'!$F1146="","",IF('TMP Paste'!$N1146="",$AM1145,'TMP Paste'!$N1146))</f>
        <v/>
      </c>
      <c r="AN1146" t="str">
        <f>IF('TMP Paste'!$F1146="","",IF('TMP Paste'!$O1146="",$AN1145,'TMP Paste'!$O1146))</f>
        <v/>
      </c>
      <c r="AO1146" t="str">
        <f>IF('TMP Paste'!$F1146="","",IF('TMP Paste'!$P1146="",$AO1145,'TMP Paste'!$P1146))</f>
        <v/>
      </c>
      <c r="AP1146" t="str">
        <f t="shared" si="107"/>
        <v/>
      </c>
      <c r="AQ1146" t="str">
        <f>IF($AS1146="","",TRIM(IF(COUNTIFS(Calc!$B$2:$B$1601,ROW()-1,Calc!$C$2:$C$1601,"&lt;1")&gt;0,"Ada PO tanpa Koli - cek TMP. ","")&amp;IF(OR($AU1146="",$AU1146&lt;=0),"Volume kosong/0 - dimensi dikosongkan. ","")&amp;IF(AND($AU1146&lt;&gt;"",$AU1146&gt;=1000000),"Volume &gt;= 1.000.000 cm3 (di luar aturan) - dimensi dikosongkan. ","")&amp;IF(LEN($R1146)&gt;500,"R &gt; 500 karakter.","")))</f>
        <v/>
      </c>
      <c r="AS1146" t="str">
        <f>IFERROR(MATCH(ROW()-1,Calc!$J$2:$J$1601,0),"")</f>
        <v/>
      </c>
      <c r="AT1146" t="str">
        <f>IFERROR(MATCH(ROW()-1,Calc!$K$2:$K$1601,0),"")</f>
        <v/>
      </c>
      <c r="AU1146" t="str">
        <f>IF($AS1146="","",IFERROR(INDEX('TMP Paste'!$D$2:$D$1601,$AS1146)*1000000/$AB1146,""))</f>
        <v/>
      </c>
    </row>
    <row r="1147" spans="1:47">
      <c r="A1147" t="str">
        <f>IF($AS1147="","",INDEX('TMP Paste'!$B$2:$B$1601,$AS1147))</f>
        <v/>
      </c>
      <c r="B1147" t="str">
        <f>IF($AS1147="","",Config!$B$14)</f>
        <v/>
      </c>
      <c r="C1147" t="str">
        <f>IF($AS1147="","",Config!$B$15)</f>
        <v/>
      </c>
      <c r="D1147" t="str">
        <f>IF($AS1147="","",INDEX('TMP Paste'!$B$2:$B$1601,$AS1147))</f>
        <v/>
      </c>
      <c r="E1147" t="str">
        <f>IF($AS1147="","",Config!$B$27)</f>
        <v/>
      </c>
      <c r="F1147" t="str">
        <f>IF($AS1147="","",Config!$B$9)</f>
        <v/>
      </c>
      <c r="G1147" t="str">
        <f>IF($AS1147="","",Config!$B$10)</f>
        <v/>
      </c>
      <c r="H1147" t="str">
        <f>IF($AS1147="","",Config!$B$11)</f>
        <v/>
      </c>
      <c r="I1147" t="str">
        <f>IF($AS1147="","",Config!$B$16)</f>
        <v/>
      </c>
      <c r="J1147" t="str">
        <f>IF($AS1147="","",INDEX('TMP Paste'!$A$2:$A$1601,$AS1147))</f>
        <v/>
      </c>
      <c r="K1147" t="str">
        <f>IF($AS1147="","",INDEX('TMP Paste'!$L$2:$L$1601,$AS1147))</f>
        <v/>
      </c>
      <c r="L1147" t="str">
        <f>IF($AS1147="","",INDEX('TMP Paste'!$I$2:$I$1601,$AS1147))</f>
        <v/>
      </c>
      <c r="M1147" t="str">
        <f>IF($AS1147="","",Config!$B$16)</f>
        <v/>
      </c>
      <c r="N1147" t="str">
        <f t="shared" si="102"/>
        <v/>
      </c>
      <c r="O1147" t="str">
        <f>IF($AS1147="","",INDEX('TMP Paste'!$K$2:$K$1601,$AS1147))</f>
        <v/>
      </c>
      <c r="P1147" t="str">
        <f t="shared" si="103"/>
        <v/>
      </c>
      <c r="Q1147" t="str">
        <f>IF($AS1147="","",INDEX('TMP Paste'!$J$2:$J$1601,$AS1147))</f>
        <v/>
      </c>
      <c r="R1147" t="str">
        <f>IF($AS1147="","",Config!$B$24)</f>
        <v/>
      </c>
      <c r="S1147" t="str">
        <f ca="1">IF($AS1147="","",TEXT(Config!$B$4,"yyyy-mm-dd"))</f>
        <v/>
      </c>
      <c r="T1147" t="str">
        <f>IF($AS1147="","",Config!$B$17)</f>
        <v/>
      </c>
      <c r="U1147" t="str">
        <f>IF($AS1147="","",Config!$B$18)</f>
        <v/>
      </c>
      <c r="V1147" t="str">
        <f>IF($AS1147="","",Config!$B$19)</f>
        <v/>
      </c>
      <c r="W1147" t="str">
        <f>IF($AS1147="","",INDEX('TMP Paste'!$C$2:$C$1601,$AS1147))</f>
        <v/>
      </c>
      <c r="X1147" t="str">
        <f>IF($AS1147="","",Config!$B$29)</f>
        <v/>
      </c>
      <c r="Y1147" t="str">
        <f>IF($AT1147="","",INDEX(Calc!$I$2:$I$1601,$AT1147)&amp;" - "&amp;INDEX(Calc!$D$2:$D$1601,$AT1147)&amp;" koli")</f>
        <v/>
      </c>
      <c r="Z1147" t="str">
        <f>IF($AS1147="","",Config!$B$21)</f>
        <v/>
      </c>
      <c r="AA1147" t="str">
        <f>IF($AS1147="","",Config!$B$22)</f>
        <v/>
      </c>
      <c r="AB1147" t="str">
        <f>IF($AT1147="","",INDEX(Calc!$D$2:$D$1601,$AT1147))</f>
        <v/>
      </c>
      <c r="AC1147" t="str">
        <f>IF($AT1147="","",INDEX(Calc!$G$2:$G$1601,$AT1147))</f>
        <v/>
      </c>
      <c r="AD1147" t="str">
        <f>IF($AS1147="","",Config!$B$23)</f>
        <v/>
      </c>
      <c r="AE1147" t="str">
        <f>IF($AS1147="","",Config!$B$28)</f>
        <v/>
      </c>
      <c r="AF1147" t="str">
        <f t="shared" si="104"/>
        <v/>
      </c>
      <c r="AG1147" t="str">
        <f t="shared" si="105"/>
        <v/>
      </c>
      <c r="AH1147" t="str">
        <f t="shared" si="106"/>
        <v/>
      </c>
      <c r="AI1147" t="str">
        <f>IF($AG1147="","",SUMIF($AG$2:$AG1147,$AG1147,$AH$2:$AH1147))</f>
        <v/>
      </c>
      <c r="AJ1147" t="str">
        <f>IF('TMP Paste'!$F1147="","",IF('TMP Paste'!$B1147="",$AJ1146,'TMP Paste'!$B1147))</f>
        <v/>
      </c>
      <c r="AK1147" t="str">
        <f>IF('TMP Paste'!$F1147="","",N('TMP Paste'!$G1147))</f>
        <v/>
      </c>
      <c r="AL1147" t="str">
        <f>IF('TMP Paste'!$F1147="","",IF('TMP Paste'!$M1147="",$AL1146,'TMP Paste'!$M1147))</f>
        <v/>
      </c>
      <c r="AM1147" t="str">
        <f>IF('TMP Paste'!$F1147="","",IF('TMP Paste'!$N1147="",$AM1146,'TMP Paste'!$N1147))</f>
        <v/>
      </c>
      <c r="AN1147" t="str">
        <f>IF('TMP Paste'!$F1147="","",IF('TMP Paste'!$O1147="",$AN1146,'TMP Paste'!$O1147))</f>
        <v/>
      </c>
      <c r="AO1147" t="str">
        <f>IF('TMP Paste'!$F1147="","",IF('TMP Paste'!$P1147="",$AO1146,'TMP Paste'!$P1147))</f>
        <v/>
      </c>
      <c r="AP1147" t="str">
        <f t="shared" si="107"/>
        <v/>
      </c>
      <c r="AQ1147" t="str">
        <f>IF($AS1147="","",TRIM(IF(COUNTIFS(Calc!$B$2:$B$1601,ROW()-1,Calc!$C$2:$C$1601,"&lt;1")&gt;0,"Ada PO tanpa Koli - cek TMP. ","")&amp;IF(OR($AU1147="",$AU1147&lt;=0),"Volume kosong/0 - dimensi dikosongkan. ","")&amp;IF(AND($AU1147&lt;&gt;"",$AU1147&gt;=1000000),"Volume &gt;= 1.000.000 cm3 (di luar aturan) - dimensi dikosongkan. ","")&amp;IF(LEN($R1147)&gt;500,"R &gt; 500 karakter.","")))</f>
        <v/>
      </c>
      <c r="AS1147" t="str">
        <f>IFERROR(MATCH(ROW()-1,Calc!$J$2:$J$1601,0),"")</f>
        <v/>
      </c>
      <c r="AT1147" t="str">
        <f>IFERROR(MATCH(ROW()-1,Calc!$K$2:$K$1601,0),"")</f>
        <v/>
      </c>
      <c r="AU1147" t="str">
        <f>IF($AS1147="","",IFERROR(INDEX('TMP Paste'!$D$2:$D$1601,$AS1147)*1000000/$AB1147,""))</f>
        <v/>
      </c>
    </row>
    <row r="1148" spans="1:47">
      <c r="A1148" t="str">
        <f>IF($AS1148="","",INDEX('TMP Paste'!$B$2:$B$1601,$AS1148))</f>
        <v/>
      </c>
      <c r="B1148" t="str">
        <f>IF($AS1148="","",Config!$B$14)</f>
        <v/>
      </c>
      <c r="C1148" t="str">
        <f>IF($AS1148="","",Config!$B$15)</f>
        <v/>
      </c>
      <c r="D1148" t="str">
        <f>IF($AS1148="","",INDEX('TMP Paste'!$B$2:$B$1601,$AS1148))</f>
        <v/>
      </c>
      <c r="E1148" t="str">
        <f>IF($AS1148="","",Config!$B$27)</f>
        <v/>
      </c>
      <c r="F1148" t="str">
        <f>IF($AS1148="","",Config!$B$9)</f>
        <v/>
      </c>
      <c r="G1148" t="str">
        <f>IF($AS1148="","",Config!$B$10)</f>
        <v/>
      </c>
      <c r="H1148" t="str">
        <f>IF($AS1148="","",Config!$B$11)</f>
        <v/>
      </c>
      <c r="I1148" t="str">
        <f>IF($AS1148="","",Config!$B$16)</f>
        <v/>
      </c>
      <c r="J1148" t="str">
        <f>IF($AS1148="","",INDEX('TMP Paste'!$A$2:$A$1601,$AS1148))</f>
        <v/>
      </c>
      <c r="K1148" t="str">
        <f>IF($AS1148="","",INDEX('TMP Paste'!$L$2:$L$1601,$AS1148))</f>
        <v/>
      </c>
      <c r="L1148" t="str">
        <f>IF($AS1148="","",INDEX('TMP Paste'!$I$2:$I$1601,$AS1148))</f>
        <v/>
      </c>
      <c r="M1148" t="str">
        <f>IF($AS1148="","",Config!$B$16)</f>
        <v/>
      </c>
      <c r="N1148" t="str">
        <f t="shared" si="102"/>
        <v/>
      </c>
      <c r="O1148" t="str">
        <f>IF($AS1148="","",INDEX('TMP Paste'!$K$2:$K$1601,$AS1148))</f>
        <v/>
      </c>
      <c r="P1148" t="str">
        <f t="shared" si="103"/>
        <v/>
      </c>
      <c r="Q1148" t="str">
        <f>IF($AS1148="","",INDEX('TMP Paste'!$J$2:$J$1601,$AS1148))</f>
        <v/>
      </c>
      <c r="R1148" t="str">
        <f>IF($AS1148="","",Config!$B$24)</f>
        <v/>
      </c>
      <c r="S1148" t="str">
        <f ca="1">IF($AS1148="","",TEXT(Config!$B$4,"yyyy-mm-dd"))</f>
        <v/>
      </c>
      <c r="T1148" t="str">
        <f>IF($AS1148="","",Config!$B$17)</f>
        <v/>
      </c>
      <c r="U1148" t="str">
        <f>IF($AS1148="","",Config!$B$18)</f>
        <v/>
      </c>
      <c r="V1148" t="str">
        <f>IF($AS1148="","",Config!$B$19)</f>
        <v/>
      </c>
      <c r="W1148" t="str">
        <f>IF($AS1148="","",INDEX('TMP Paste'!$C$2:$C$1601,$AS1148))</f>
        <v/>
      </c>
      <c r="X1148" t="str">
        <f>IF($AS1148="","",Config!$B$29)</f>
        <v/>
      </c>
      <c r="Y1148" t="str">
        <f>IF($AT1148="","",INDEX(Calc!$I$2:$I$1601,$AT1148)&amp;" - "&amp;INDEX(Calc!$D$2:$D$1601,$AT1148)&amp;" koli")</f>
        <v/>
      </c>
      <c r="Z1148" t="str">
        <f>IF($AS1148="","",Config!$B$21)</f>
        <v/>
      </c>
      <c r="AA1148" t="str">
        <f>IF($AS1148="","",Config!$B$22)</f>
        <v/>
      </c>
      <c r="AB1148" t="str">
        <f>IF($AT1148="","",INDEX(Calc!$D$2:$D$1601,$AT1148))</f>
        <v/>
      </c>
      <c r="AC1148" t="str">
        <f>IF($AT1148="","",INDEX(Calc!$G$2:$G$1601,$AT1148))</f>
        <v/>
      </c>
      <c r="AD1148" t="str">
        <f>IF($AS1148="","",Config!$B$23)</f>
        <v/>
      </c>
      <c r="AE1148" t="str">
        <f>IF($AS1148="","",Config!$B$28)</f>
        <v/>
      </c>
      <c r="AF1148" t="str">
        <f t="shared" si="104"/>
        <v/>
      </c>
      <c r="AG1148" t="str">
        <f t="shared" si="105"/>
        <v/>
      </c>
      <c r="AH1148" t="str">
        <f t="shared" si="106"/>
        <v/>
      </c>
      <c r="AI1148" t="str">
        <f>IF($AG1148="","",SUMIF($AG$2:$AG1148,$AG1148,$AH$2:$AH1148))</f>
        <v/>
      </c>
      <c r="AJ1148" t="str">
        <f>IF('TMP Paste'!$F1148="","",IF('TMP Paste'!$B1148="",$AJ1147,'TMP Paste'!$B1148))</f>
        <v/>
      </c>
      <c r="AK1148" t="str">
        <f>IF('TMP Paste'!$F1148="","",N('TMP Paste'!$G1148))</f>
        <v/>
      </c>
      <c r="AL1148" t="str">
        <f>IF('TMP Paste'!$F1148="","",IF('TMP Paste'!$M1148="",$AL1147,'TMP Paste'!$M1148))</f>
        <v/>
      </c>
      <c r="AM1148" t="str">
        <f>IF('TMP Paste'!$F1148="","",IF('TMP Paste'!$N1148="",$AM1147,'TMP Paste'!$N1148))</f>
        <v/>
      </c>
      <c r="AN1148" t="str">
        <f>IF('TMP Paste'!$F1148="","",IF('TMP Paste'!$O1148="",$AN1147,'TMP Paste'!$O1148))</f>
        <v/>
      </c>
      <c r="AO1148" t="str">
        <f>IF('TMP Paste'!$F1148="","",IF('TMP Paste'!$P1148="",$AO1147,'TMP Paste'!$P1148))</f>
        <v/>
      </c>
      <c r="AP1148" t="str">
        <f t="shared" si="107"/>
        <v/>
      </c>
      <c r="AQ1148" t="str">
        <f>IF($AS1148="","",TRIM(IF(COUNTIFS(Calc!$B$2:$B$1601,ROW()-1,Calc!$C$2:$C$1601,"&lt;1")&gt;0,"Ada PO tanpa Koli - cek TMP. ","")&amp;IF(OR($AU1148="",$AU1148&lt;=0),"Volume kosong/0 - dimensi dikosongkan. ","")&amp;IF(AND($AU1148&lt;&gt;"",$AU1148&gt;=1000000),"Volume &gt;= 1.000.000 cm3 (di luar aturan) - dimensi dikosongkan. ","")&amp;IF(LEN($R1148)&gt;500,"R &gt; 500 karakter.","")))</f>
        <v/>
      </c>
      <c r="AS1148" t="str">
        <f>IFERROR(MATCH(ROW()-1,Calc!$J$2:$J$1601,0),"")</f>
        <v/>
      </c>
      <c r="AT1148" t="str">
        <f>IFERROR(MATCH(ROW()-1,Calc!$K$2:$K$1601,0),"")</f>
        <v/>
      </c>
      <c r="AU1148" t="str">
        <f>IF($AS1148="","",IFERROR(INDEX('TMP Paste'!$D$2:$D$1601,$AS1148)*1000000/$AB1148,""))</f>
        <v/>
      </c>
    </row>
    <row r="1149" spans="1:47">
      <c r="A1149" t="str">
        <f>IF($AS1149="","",INDEX('TMP Paste'!$B$2:$B$1601,$AS1149))</f>
        <v/>
      </c>
      <c r="B1149" t="str">
        <f>IF($AS1149="","",Config!$B$14)</f>
        <v/>
      </c>
      <c r="C1149" t="str">
        <f>IF($AS1149="","",Config!$B$15)</f>
        <v/>
      </c>
      <c r="D1149" t="str">
        <f>IF($AS1149="","",INDEX('TMP Paste'!$B$2:$B$1601,$AS1149))</f>
        <v/>
      </c>
      <c r="E1149" t="str">
        <f>IF($AS1149="","",Config!$B$27)</f>
        <v/>
      </c>
      <c r="F1149" t="str">
        <f>IF($AS1149="","",Config!$B$9)</f>
        <v/>
      </c>
      <c r="G1149" t="str">
        <f>IF($AS1149="","",Config!$B$10)</f>
        <v/>
      </c>
      <c r="H1149" t="str">
        <f>IF($AS1149="","",Config!$B$11)</f>
        <v/>
      </c>
      <c r="I1149" t="str">
        <f>IF($AS1149="","",Config!$B$16)</f>
        <v/>
      </c>
      <c r="J1149" t="str">
        <f>IF($AS1149="","",INDEX('TMP Paste'!$A$2:$A$1601,$AS1149))</f>
        <v/>
      </c>
      <c r="K1149" t="str">
        <f>IF($AS1149="","",INDEX('TMP Paste'!$L$2:$L$1601,$AS1149))</f>
        <v/>
      </c>
      <c r="L1149" t="str">
        <f>IF($AS1149="","",INDEX('TMP Paste'!$I$2:$I$1601,$AS1149))</f>
        <v/>
      </c>
      <c r="M1149" t="str">
        <f>IF($AS1149="","",Config!$B$16)</f>
        <v/>
      </c>
      <c r="N1149" t="str">
        <f t="shared" si="102"/>
        <v/>
      </c>
      <c r="O1149" t="str">
        <f>IF($AS1149="","",INDEX('TMP Paste'!$K$2:$K$1601,$AS1149))</f>
        <v/>
      </c>
      <c r="P1149" t="str">
        <f t="shared" si="103"/>
        <v/>
      </c>
      <c r="Q1149" t="str">
        <f>IF($AS1149="","",INDEX('TMP Paste'!$J$2:$J$1601,$AS1149))</f>
        <v/>
      </c>
      <c r="R1149" t="str">
        <f>IF($AS1149="","",Config!$B$24)</f>
        <v/>
      </c>
      <c r="S1149" t="str">
        <f ca="1">IF($AS1149="","",TEXT(Config!$B$4,"yyyy-mm-dd"))</f>
        <v/>
      </c>
      <c r="T1149" t="str">
        <f>IF($AS1149="","",Config!$B$17)</f>
        <v/>
      </c>
      <c r="U1149" t="str">
        <f>IF($AS1149="","",Config!$B$18)</f>
        <v/>
      </c>
      <c r="V1149" t="str">
        <f>IF($AS1149="","",Config!$B$19)</f>
        <v/>
      </c>
      <c r="W1149" t="str">
        <f>IF($AS1149="","",INDEX('TMP Paste'!$C$2:$C$1601,$AS1149))</f>
        <v/>
      </c>
      <c r="X1149" t="str">
        <f>IF($AS1149="","",Config!$B$29)</f>
        <v/>
      </c>
      <c r="Y1149" t="str">
        <f>IF($AT1149="","",INDEX(Calc!$I$2:$I$1601,$AT1149)&amp;" - "&amp;INDEX(Calc!$D$2:$D$1601,$AT1149)&amp;" koli")</f>
        <v/>
      </c>
      <c r="Z1149" t="str">
        <f>IF($AS1149="","",Config!$B$21)</f>
        <v/>
      </c>
      <c r="AA1149" t="str">
        <f>IF($AS1149="","",Config!$B$22)</f>
        <v/>
      </c>
      <c r="AB1149" t="str">
        <f>IF($AT1149="","",INDEX(Calc!$D$2:$D$1601,$AT1149))</f>
        <v/>
      </c>
      <c r="AC1149" t="str">
        <f>IF($AT1149="","",INDEX(Calc!$G$2:$G$1601,$AT1149))</f>
        <v/>
      </c>
      <c r="AD1149" t="str">
        <f>IF($AS1149="","",Config!$B$23)</f>
        <v/>
      </c>
      <c r="AE1149" t="str">
        <f>IF($AS1149="","",Config!$B$28)</f>
        <v/>
      </c>
      <c r="AF1149" t="str">
        <f t="shared" si="104"/>
        <v/>
      </c>
      <c r="AG1149" t="str">
        <f t="shared" si="105"/>
        <v/>
      </c>
      <c r="AH1149" t="str">
        <f t="shared" si="106"/>
        <v/>
      </c>
      <c r="AI1149" t="str">
        <f>IF($AG1149="","",SUMIF($AG$2:$AG1149,$AG1149,$AH$2:$AH1149))</f>
        <v/>
      </c>
      <c r="AJ1149" t="str">
        <f>IF('TMP Paste'!$F1149="","",IF('TMP Paste'!$B1149="",$AJ1148,'TMP Paste'!$B1149))</f>
        <v/>
      </c>
      <c r="AK1149" t="str">
        <f>IF('TMP Paste'!$F1149="","",N('TMP Paste'!$G1149))</f>
        <v/>
      </c>
      <c r="AL1149" t="str">
        <f>IF('TMP Paste'!$F1149="","",IF('TMP Paste'!$M1149="",$AL1148,'TMP Paste'!$M1149))</f>
        <v/>
      </c>
      <c r="AM1149" t="str">
        <f>IF('TMP Paste'!$F1149="","",IF('TMP Paste'!$N1149="",$AM1148,'TMP Paste'!$N1149))</f>
        <v/>
      </c>
      <c r="AN1149" t="str">
        <f>IF('TMP Paste'!$F1149="","",IF('TMP Paste'!$O1149="",$AN1148,'TMP Paste'!$O1149))</f>
        <v/>
      </c>
      <c r="AO1149" t="str">
        <f>IF('TMP Paste'!$F1149="","",IF('TMP Paste'!$P1149="",$AO1148,'TMP Paste'!$P1149))</f>
        <v/>
      </c>
      <c r="AP1149" t="str">
        <f t="shared" si="107"/>
        <v/>
      </c>
      <c r="AQ1149" t="str">
        <f>IF($AS1149="","",TRIM(IF(COUNTIFS(Calc!$B$2:$B$1601,ROW()-1,Calc!$C$2:$C$1601,"&lt;1")&gt;0,"Ada PO tanpa Koli - cek TMP. ","")&amp;IF(OR($AU1149="",$AU1149&lt;=0),"Volume kosong/0 - dimensi dikosongkan. ","")&amp;IF(AND($AU1149&lt;&gt;"",$AU1149&gt;=1000000),"Volume &gt;= 1.000.000 cm3 (di luar aturan) - dimensi dikosongkan. ","")&amp;IF(LEN($R1149)&gt;500,"R &gt; 500 karakter.","")))</f>
        <v/>
      </c>
      <c r="AS1149" t="str">
        <f>IFERROR(MATCH(ROW()-1,Calc!$J$2:$J$1601,0),"")</f>
        <v/>
      </c>
      <c r="AT1149" t="str">
        <f>IFERROR(MATCH(ROW()-1,Calc!$K$2:$K$1601,0),"")</f>
        <v/>
      </c>
      <c r="AU1149" t="str">
        <f>IF($AS1149="","",IFERROR(INDEX('TMP Paste'!$D$2:$D$1601,$AS1149)*1000000/$AB1149,""))</f>
        <v/>
      </c>
    </row>
    <row r="1150" spans="1:47">
      <c r="A1150" t="str">
        <f>IF($AS1150="","",INDEX('TMP Paste'!$B$2:$B$1601,$AS1150))</f>
        <v/>
      </c>
      <c r="B1150" t="str">
        <f>IF($AS1150="","",Config!$B$14)</f>
        <v/>
      </c>
      <c r="C1150" t="str">
        <f>IF($AS1150="","",Config!$B$15)</f>
        <v/>
      </c>
      <c r="D1150" t="str">
        <f>IF($AS1150="","",INDEX('TMP Paste'!$B$2:$B$1601,$AS1150))</f>
        <v/>
      </c>
      <c r="E1150" t="str">
        <f>IF($AS1150="","",Config!$B$27)</f>
        <v/>
      </c>
      <c r="F1150" t="str">
        <f>IF($AS1150="","",Config!$B$9)</f>
        <v/>
      </c>
      <c r="G1150" t="str">
        <f>IF($AS1150="","",Config!$B$10)</f>
        <v/>
      </c>
      <c r="H1150" t="str">
        <f>IF($AS1150="","",Config!$B$11)</f>
        <v/>
      </c>
      <c r="I1150" t="str">
        <f>IF($AS1150="","",Config!$B$16)</f>
        <v/>
      </c>
      <c r="J1150" t="str">
        <f>IF($AS1150="","",INDEX('TMP Paste'!$A$2:$A$1601,$AS1150))</f>
        <v/>
      </c>
      <c r="K1150" t="str">
        <f>IF($AS1150="","",INDEX('TMP Paste'!$L$2:$L$1601,$AS1150))</f>
        <v/>
      </c>
      <c r="L1150" t="str">
        <f>IF($AS1150="","",INDEX('TMP Paste'!$I$2:$I$1601,$AS1150))</f>
        <v/>
      </c>
      <c r="M1150" t="str">
        <f>IF($AS1150="","",Config!$B$16)</f>
        <v/>
      </c>
      <c r="N1150" t="str">
        <f t="shared" si="102"/>
        <v/>
      </c>
      <c r="O1150" t="str">
        <f>IF($AS1150="","",INDEX('TMP Paste'!$K$2:$K$1601,$AS1150))</f>
        <v/>
      </c>
      <c r="P1150" t="str">
        <f t="shared" si="103"/>
        <v/>
      </c>
      <c r="Q1150" t="str">
        <f>IF($AS1150="","",INDEX('TMP Paste'!$J$2:$J$1601,$AS1150))</f>
        <v/>
      </c>
      <c r="R1150" t="str">
        <f>IF($AS1150="","",Config!$B$24)</f>
        <v/>
      </c>
      <c r="S1150" t="str">
        <f ca="1">IF($AS1150="","",TEXT(Config!$B$4,"yyyy-mm-dd"))</f>
        <v/>
      </c>
      <c r="T1150" t="str">
        <f>IF($AS1150="","",Config!$B$17)</f>
        <v/>
      </c>
      <c r="U1150" t="str">
        <f>IF($AS1150="","",Config!$B$18)</f>
        <v/>
      </c>
      <c r="V1150" t="str">
        <f>IF($AS1150="","",Config!$B$19)</f>
        <v/>
      </c>
      <c r="W1150" t="str">
        <f>IF($AS1150="","",INDEX('TMP Paste'!$C$2:$C$1601,$AS1150))</f>
        <v/>
      </c>
      <c r="X1150" t="str">
        <f>IF($AS1150="","",Config!$B$29)</f>
        <v/>
      </c>
      <c r="Y1150" t="str">
        <f>IF($AT1150="","",INDEX(Calc!$I$2:$I$1601,$AT1150)&amp;" - "&amp;INDEX(Calc!$D$2:$D$1601,$AT1150)&amp;" koli")</f>
        <v/>
      </c>
      <c r="Z1150" t="str">
        <f>IF($AS1150="","",Config!$B$21)</f>
        <v/>
      </c>
      <c r="AA1150" t="str">
        <f>IF($AS1150="","",Config!$B$22)</f>
        <v/>
      </c>
      <c r="AB1150" t="str">
        <f>IF($AT1150="","",INDEX(Calc!$D$2:$D$1601,$AT1150))</f>
        <v/>
      </c>
      <c r="AC1150" t="str">
        <f>IF($AT1150="","",INDEX(Calc!$G$2:$G$1601,$AT1150))</f>
        <v/>
      </c>
      <c r="AD1150" t="str">
        <f>IF($AS1150="","",Config!$B$23)</f>
        <v/>
      </c>
      <c r="AE1150" t="str">
        <f>IF($AS1150="","",Config!$B$28)</f>
        <v/>
      </c>
      <c r="AF1150" t="str">
        <f t="shared" si="104"/>
        <v/>
      </c>
      <c r="AG1150" t="str">
        <f t="shared" si="105"/>
        <v/>
      </c>
      <c r="AH1150" t="str">
        <f t="shared" si="106"/>
        <v/>
      </c>
      <c r="AI1150" t="str">
        <f>IF($AG1150="","",SUMIF($AG$2:$AG1150,$AG1150,$AH$2:$AH1150))</f>
        <v/>
      </c>
      <c r="AJ1150" t="str">
        <f>IF('TMP Paste'!$F1150="","",IF('TMP Paste'!$B1150="",$AJ1149,'TMP Paste'!$B1150))</f>
        <v/>
      </c>
      <c r="AK1150" t="str">
        <f>IF('TMP Paste'!$F1150="","",N('TMP Paste'!$G1150))</f>
        <v/>
      </c>
      <c r="AL1150" t="str">
        <f>IF('TMP Paste'!$F1150="","",IF('TMP Paste'!$M1150="",$AL1149,'TMP Paste'!$M1150))</f>
        <v/>
      </c>
      <c r="AM1150" t="str">
        <f>IF('TMP Paste'!$F1150="","",IF('TMP Paste'!$N1150="",$AM1149,'TMP Paste'!$N1150))</f>
        <v/>
      </c>
      <c r="AN1150" t="str">
        <f>IF('TMP Paste'!$F1150="","",IF('TMP Paste'!$O1150="",$AN1149,'TMP Paste'!$O1150))</f>
        <v/>
      </c>
      <c r="AO1150" t="str">
        <f>IF('TMP Paste'!$F1150="","",IF('TMP Paste'!$P1150="",$AO1149,'TMP Paste'!$P1150))</f>
        <v/>
      </c>
      <c r="AP1150" t="str">
        <f t="shared" si="107"/>
        <v/>
      </c>
      <c r="AQ1150" t="str">
        <f>IF($AS1150="","",TRIM(IF(COUNTIFS(Calc!$B$2:$B$1601,ROW()-1,Calc!$C$2:$C$1601,"&lt;1")&gt;0,"Ada PO tanpa Koli - cek TMP. ","")&amp;IF(OR($AU1150="",$AU1150&lt;=0),"Volume kosong/0 - dimensi dikosongkan. ","")&amp;IF(AND($AU1150&lt;&gt;"",$AU1150&gt;=1000000),"Volume &gt;= 1.000.000 cm3 (di luar aturan) - dimensi dikosongkan. ","")&amp;IF(LEN($R1150)&gt;500,"R &gt; 500 karakter.","")))</f>
        <v/>
      </c>
      <c r="AS1150" t="str">
        <f>IFERROR(MATCH(ROW()-1,Calc!$J$2:$J$1601,0),"")</f>
        <v/>
      </c>
      <c r="AT1150" t="str">
        <f>IFERROR(MATCH(ROW()-1,Calc!$K$2:$K$1601,0),"")</f>
        <v/>
      </c>
      <c r="AU1150" t="str">
        <f>IF($AS1150="","",IFERROR(INDEX('TMP Paste'!$D$2:$D$1601,$AS1150)*1000000/$AB1150,""))</f>
        <v/>
      </c>
    </row>
    <row r="1151" spans="1:47">
      <c r="A1151" t="str">
        <f>IF($AS1151="","",INDEX('TMP Paste'!$B$2:$B$1601,$AS1151))</f>
        <v/>
      </c>
      <c r="B1151" t="str">
        <f>IF($AS1151="","",Config!$B$14)</f>
        <v/>
      </c>
      <c r="C1151" t="str">
        <f>IF($AS1151="","",Config!$B$15)</f>
        <v/>
      </c>
      <c r="D1151" t="str">
        <f>IF($AS1151="","",INDEX('TMP Paste'!$B$2:$B$1601,$AS1151))</f>
        <v/>
      </c>
      <c r="E1151" t="str">
        <f>IF($AS1151="","",Config!$B$27)</f>
        <v/>
      </c>
      <c r="F1151" t="str">
        <f>IF($AS1151="","",Config!$B$9)</f>
        <v/>
      </c>
      <c r="G1151" t="str">
        <f>IF($AS1151="","",Config!$B$10)</f>
        <v/>
      </c>
      <c r="H1151" t="str">
        <f>IF($AS1151="","",Config!$B$11)</f>
        <v/>
      </c>
      <c r="I1151" t="str">
        <f>IF($AS1151="","",Config!$B$16)</f>
        <v/>
      </c>
      <c r="J1151" t="str">
        <f>IF($AS1151="","",INDEX('TMP Paste'!$A$2:$A$1601,$AS1151))</f>
        <v/>
      </c>
      <c r="K1151" t="str">
        <f>IF($AS1151="","",INDEX('TMP Paste'!$L$2:$L$1601,$AS1151))</f>
        <v/>
      </c>
      <c r="L1151" t="str">
        <f>IF($AS1151="","",INDEX('TMP Paste'!$I$2:$I$1601,$AS1151))</f>
        <v/>
      </c>
      <c r="M1151" t="str">
        <f>IF($AS1151="","",Config!$B$16)</f>
        <v/>
      </c>
      <c r="N1151" t="str">
        <f t="shared" si="102"/>
        <v/>
      </c>
      <c r="O1151" t="str">
        <f>IF($AS1151="","",INDEX('TMP Paste'!$K$2:$K$1601,$AS1151))</f>
        <v/>
      </c>
      <c r="P1151" t="str">
        <f t="shared" si="103"/>
        <v/>
      </c>
      <c r="Q1151" t="str">
        <f>IF($AS1151="","",INDEX('TMP Paste'!$J$2:$J$1601,$AS1151))</f>
        <v/>
      </c>
      <c r="R1151" t="str">
        <f>IF($AS1151="","",Config!$B$24)</f>
        <v/>
      </c>
      <c r="S1151" t="str">
        <f ca="1">IF($AS1151="","",TEXT(Config!$B$4,"yyyy-mm-dd"))</f>
        <v/>
      </c>
      <c r="T1151" t="str">
        <f>IF($AS1151="","",Config!$B$17)</f>
        <v/>
      </c>
      <c r="U1151" t="str">
        <f>IF($AS1151="","",Config!$B$18)</f>
        <v/>
      </c>
      <c r="V1151" t="str">
        <f>IF($AS1151="","",Config!$B$19)</f>
        <v/>
      </c>
      <c r="W1151" t="str">
        <f>IF($AS1151="","",INDEX('TMP Paste'!$C$2:$C$1601,$AS1151))</f>
        <v/>
      </c>
      <c r="X1151" t="str">
        <f>IF($AS1151="","",Config!$B$29)</f>
        <v/>
      </c>
      <c r="Y1151" t="str">
        <f>IF($AT1151="","",INDEX(Calc!$I$2:$I$1601,$AT1151)&amp;" - "&amp;INDEX(Calc!$D$2:$D$1601,$AT1151)&amp;" koli")</f>
        <v/>
      </c>
      <c r="Z1151" t="str">
        <f>IF($AS1151="","",Config!$B$21)</f>
        <v/>
      </c>
      <c r="AA1151" t="str">
        <f>IF($AS1151="","",Config!$B$22)</f>
        <v/>
      </c>
      <c r="AB1151" t="str">
        <f>IF($AT1151="","",INDEX(Calc!$D$2:$D$1601,$AT1151))</f>
        <v/>
      </c>
      <c r="AC1151" t="str">
        <f>IF($AT1151="","",INDEX(Calc!$G$2:$G$1601,$AT1151))</f>
        <v/>
      </c>
      <c r="AD1151" t="str">
        <f>IF($AS1151="","",Config!$B$23)</f>
        <v/>
      </c>
      <c r="AE1151" t="str">
        <f>IF($AS1151="","",Config!$B$28)</f>
        <v/>
      </c>
      <c r="AF1151" t="str">
        <f t="shared" si="104"/>
        <v/>
      </c>
      <c r="AG1151" t="str">
        <f t="shared" si="105"/>
        <v/>
      </c>
      <c r="AH1151" t="str">
        <f t="shared" si="106"/>
        <v/>
      </c>
      <c r="AI1151" t="str">
        <f>IF($AG1151="","",SUMIF($AG$2:$AG1151,$AG1151,$AH$2:$AH1151))</f>
        <v/>
      </c>
      <c r="AJ1151" t="str">
        <f>IF('TMP Paste'!$F1151="","",IF('TMP Paste'!$B1151="",$AJ1150,'TMP Paste'!$B1151))</f>
        <v/>
      </c>
      <c r="AK1151" t="str">
        <f>IF('TMP Paste'!$F1151="","",N('TMP Paste'!$G1151))</f>
        <v/>
      </c>
      <c r="AL1151" t="str">
        <f>IF('TMP Paste'!$F1151="","",IF('TMP Paste'!$M1151="",$AL1150,'TMP Paste'!$M1151))</f>
        <v/>
      </c>
      <c r="AM1151" t="str">
        <f>IF('TMP Paste'!$F1151="","",IF('TMP Paste'!$N1151="",$AM1150,'TMP Paste'!$N1151))</f>
        <v/>
      </c>
      <c r="AN1151" t="str">
        <f>IF('TMP Paste'!$F1151="","",IF('TMP Paste'!$O1151="",$AN1150,'TMP Paste'!$O1151))</f>
        <v/>
      </c>
      <c r="AO1151" t="str">
        <f>IF('TMP Paste'!$F1151="","",IF('TMP Paste'!$P1151="",$AO1150,'TMP Paste'!$P1151))</f>
        <v/>
      </c>
      <c r="AP1151" t="str">
        <f t="shared" si="107"/>
        <v/>
      </c>
      <c r="AQ1151" t="str">
        <f>IF($AS1151="","",TRIM(IF(COUNTIFS(Calc!$B$2:$B$1601,ROW()-1,Calc!$C$2:$C$1601,"&lt;1")&gt;0,"Ada PO tanpa Koli - cek TMP. ","")&amp;IF(OR($AU1151="",$AU1151&lt;=0),"Volume kosong/0 - dimensi dikosongkan. ","")&amp;IF(AND($AU1151&lt;&gt;"",$AU1151&gt;=1000000),"Volume &gt;= 1.000.000 cm3 (di luar aturan) - dimensi dikosongkan. ","")&amp;IF(LEN($R1151)&gt;500,"R &gt; 500 karakter.","")))</f>
        <v/>
      </c>
      <c r="AS1151" t="str">
        <f>IFERROR(MATCH(ROW()-1,Calc!$J$2:$J$1601,0),"")</f>
        <v/>
      </c>
      <c r="AT1151" t="str">
        <f>IFERROR(MATCH(ROW()-1,Calc!$K$2:$K$1601,0),"")</f>
        <v/>
      </c>
      <c r="AU1151" t="str">
        <f>IF($AS1151="","",IFERROR(INDEX('TMP Paste'!$D$2:$D$1601,$AS1151)*1000000/$AB1151,""))</f>
        <v/>
      </c>
    </row>
    <row r="1152" spans="1:47">
      <c r="A1152" t="str">
        <f>IF($AS1152="","",INDEX('TMP Paste'!$B$2:$B$1601,$AS1152))</f>
        <v/>
      </c>
      <c r="B1152" t="str">
        <f>IF($AS1152="","",Config!$B$14)</f>
        <v/>
      </c>
      <c r="C1152" t="str">
        <f>IF($AS1152="","",Config!$B$15)</f>
        <v/>
      </c>
      <c r="D1152" t="str">
        <f>IF($AS1152="","",INDEX('TMP Paste'!$B$2:$B$1601,$AS1152))</f>
        <v/>
      </c>
      <c r="E1152" t="str">
        <f>IF($AS1152="","",Config!$B$27)</f>
        <v/>
      </c>
      <c r="F1152" t="str">
        <f>IF($AS1152="","",Config!$B$9)</f>
        <v/>
      </c>
      <c r="G1152" t="str">
        <f>IF($AS1152="","",Config!$B$10)</f>
        <v/>
      </c>
      <c r="H1152" t="str">
        <f>IF($AS1152="","",Config!$B$11)</f>
        <v/>
      </c>
      <c r="I1152" t="str">
        <f>IF($AS1152="","",Config!$B$16)</f>
        <v/>
      </c>
      <c r="J1152" t="str">
        <f>IF($AS1152="","",INDEX('TMP Paste'!$A$2:$A$1601,$AS1152))</f>
        <v/>
      </c>
      <c r="K1152" t="str">
        <f>IF($AS1152="","",INDEX('TMP Paste'!$L$2:$L$1601,$AS1152))</f>
        <v/>
      </c>
      <c r="L1152" t="str">
        <f>IF($AS1152="","",INDEX('TMP Paste'!$I$2:$I$1601,$AS1152))</f>
        <v/>
      </c>
      <c r="M1152" t="str">
        <f>IF($AS1152="","",Config!$B$16)</f>
        <v/>
      </c>
      <c r="N1152" t="str">
        <f t="shared" si="102"/>
        <v/>
      </c>
      <c r="O1152" t="str">
        <f>IF($AS1152="","",INDEX('TMP Paste'!$K$2:$K$1601,$AS1152))</f>
        <v/>
      </c>
      <c r="P1152" t="str">
        <f t="shared" si="103"/>
        <v/>
      </c>
      <c r="Q1152" t="str">
        <f>IF($AS1152="","",INDEX('TMP Paste'!$J$2:$J$1601,$AS1152))</f>
        <v/>
      </c>
      <c r="R1152" t="str">
        <f>IF($AS1152="","",Config!$B$24)</f>
        <v/>
      </c>
      <c r="S1152" t="str">
        <f ca="1">IF($AS1152="","",TEXT(Config!$B$4,"yyyy-mm-dd"))</f>
        <v/>
      </c>
      <c r="T1152" t="str">
        <f>IF($AS1152="","",Config!$B$17)</f>
        <v/>
      </c>
      <c r="U1152" t="str">
        <f>IF($AS1152="","",Config!$B$18)</f>
        <v/>
      </c>
      <c r="V1152" t="str">
        <f>IF($AS1152="","",Config!$B$19)</f>
        <v/>
      </c>
      <c r="W1152" t="str">
        <f>IF($AS1152="","",INDEX('TMP Paste'!$C$2:$C$1601,$AS1152))</f>
        <v/>
      </c>
      <c r="X1152" t="str">
        <f>IF($AS1152="","",Config!$B$29)</f>
        <v/>
      </c>
      <c r="Y1152" t="str">
        <f>IF($AT1152="","",INDEX(Calc!$I$2:$I$1601,$AT1152)&amp;" - "&amp;INDEX(Calc!$D$2:$D$1601,$AT1152)&amp;" koli")</f>
        <v/>
      </c>
      <c r="Z1152" t="str">
        <f>IF($AS1152="","",Config!$B$21)</f>
        <v/>
      </c>
      <c r="AA1152" t="str">
        <f>IF($AS1152="","",Config!$B$22)</f>
        <v/>
      </c>
      <c r="AB1152" t="str">
        <f>IF($AT1152="","",INDEX(Calc!$D$2:$D$1601,$AT1152))</f>
        <v/>
      </c>
      <c r="AC1152" t="str">
        <f>IF($AT1152="","",INDEX(Calc!$G$2:$G$1601,$AT1152))</f>
        <v/>
      </c>
      <c r="AD1152" t="str">
        <f>IF($AS1152="","",Config!$B$23)</f>
        <v/>
      </c>
      <c r="AE1152" t="str">
        <f>IF($AS1152="","",Config!$B$28)</f>
        <v/>
      </c>
      <c r="AF1152" t="str">
        <f t="shared" si="104"/>
        <v/>
      </c>
      <c r="AG1152" t="str">
        <f t="shared" si="105"/>
        <v/>
      </c>
      <c r="AH1152" t="str">
        <f t="shared" si="106"/>
        <v/>
      </c>
      <c r="AI1152" t="str">
        <f>IF($AG1152="","",SUMIF($AG$2:$AG1152,$AG1152,$AH$2:$AH1152))</f>
        <v/>
      </c>
      <c r="AJ1152" t="str">
        <f>IF('TMP Paste'!$F1152="","",IF('TMP Paste'!$B1152="",$AJ1151,'TMP Paste'!$B1152))</f>
        <v/>
      </c>
      <c r="AK1152" t="str">
        <f>IF('TMP Paste'!$F1152="","",N('TMP Paste'!$G1152))</f>
        <v/>
      </c>
      <c r="AL1152" t="str">
        <f>IF('TMP Paste'!$F1152="","",IF('TMP Paste'!$M1152="",$AL1151,'TMP Paste'!$M1152))</f>
        <v/>
      </c>
      <c r="AM1152" t="str">
        <f>IF('TMP Paste'!$F1152="","",IF('TMP Paste'!$N1152="",$AM1151,'TMP Paste'!$N1152))</f>
        <v/>
      </c>
      <c r="AN1152" t="str">
        <f>IF('TMP Paste'!$F1152="","",IF('TMP Paste'!$O1152="",$AN1151,'TMP Paste'!$O1152))</f>
        <v/>
      </c>
      <c r="AO1152" t="str">
        <f>IF('TMP Paste'!$F1152="","",IF('TMP Paste'!$P1152="",$AO1151,'TMP Paste'!$P1152))</f>
        <v/>
      </c>
      <c r="AP1152" t="str">
        <f t="shared" si="107"/>
        <v/>
      </c>
      <c r="AQ1152" t="str">
        <f>IF($AS1152="","",TRIM(IF(COUNTIFS(Calc!$B$2:$B$1601,ROW()-1,Calc!$C$2:$C$1601,"&lt;1")&gt;0,"Ada PO tanpa Koli - cek TMP. ","")&amp;IF(OR($AU1152="",$AU1152&lt;=0),"Volume kosong/0 - dimensi dikosongkan. ","")&amp;IF(AND($AU1152&lt;&gt;"",$AU1152&gt;=1000000),"Volume &gt;= 1.000.000 cm3 (di luar aturan) - dimensi dikosongkan. ","")&amp;IF(LEN($R1152)&gt;500,"R &gt; 500 karakter.","")))</f>
        <v/>
      </c>
      <c r="AS1152" t="str">
        <f>IFERROR(MATCH(ROW()-1,Calc!$J$2:$J$1601,0),"")</f>
        <v/>
      </c>
      <c r="AT1152" t="str">
        <f>IFERROR(MATCH(ROW()-1,Calc!$K$2:$K$1601,0),"")</f>
        <v/>
      </c>
      <c r="AU1152" t="str">
        <f>IF($AS1152="","",IFERROR(INDEX('TMP Paste'!$D$2:$D$1601,$AS1152)*1000000/$AB1152,""))</f>
        <v/>
      </c>
    </row>
    <row r="1153" spans="1:47">
      <c r="A1153" t="str">
        <f>IF($AS1153="","",INDEX('TMP Paste'!$B$2:$B$1601,$AS1153))</f>
        <v/>
      </c>
      <c r="B1153" t="str">
        <f>IF($AS1153="","",Config!$B$14)</f>
        <v/>
      </c>
      <c r="C1153" t="str">
        <f>IF($AS1153="","",Config!$B$15)</f>
        <v/>
      </c>
      <c r="D1153" t="str">
        <f>IF($AS1153="","",INDEX('TMP Paste'!$B$2:$B$1601,$AS1153))</f>
        <v/>
      </c>
      <c r="E1153" t="str">
        <f>IF($AS1153="","",Config!$B$27)</f>
        <v/>
      </c>
      <c r="F1153" t="str">
        <f>IF($AS1153="","",Config!$B$9)</f>
        <v/>
      </c>
      <c r="G1153" t="str">
        <f>IF($AS1153="","",Config!$B$10)</f>
        <v/>
      </c>
      <c r="H1153" t="str">
        <f>IF($AS1153="","",Config!$B$11)</f>
        <v/>
      </c>
      <c r="I1153" t="str">
        <f>IF($AS1153="","",Config!$B$16)</f>
        <v/>
      </c>
      <c r="J1153" t="str">
        <f>IF($AS1153="","",INDEX('TMP Paste'!$A$2:$A$1601,$AS1153))</f>
        <v/>
      </c>
      <c r="K1153" t="str">
        <f>IF($AS1153="","",INDEX('TMP Paste'!$L$2:$L$1601,$AS1153))</f>
        <v/>
      </c>
      <c r="L1153" t="str">
        <f>IF($AS1153="","",INDEX('TMP Paste'!$I$2:$I$1601,$AS1153))</f>
        <v/>
      </c>
      <c r="M1153" t="str">
        <f>IF($AS1153="","",Config!$B$16)</f>
        <v/>
      </c>
      <c r="N1153" t="str">
        <f t="shared" si="102"/>
        <v/>
      </c>
      <c r="O1153" t="str">
        <f>IF($AS1153="","",INDEX('TMP Paste'!$K$2:$K$1601,$AS1153))</f>
        <v/>
      </c>
      <c r="P1153" t="str">
        <f t="shared" si="103"/>
        <v/>
      </c>
      <c r="Q1153" t="str">
        <f>IF($AS1153="","",INDEX('TMP Paste'!$J$2:$J$1601,$AS1153))</f>
        <v/>
      </c>
      <c r="R1153" t="str">
        <f>IF($AS1153="","",Config!$B$24)</f>
        <v/>
      </c>
      <c r="S1153" t="str">
        <f ca="1">IF($AS1153="","",TEXT(Config!$B$4,"yyyy-mm-dd"))</f>
        <v/>
      </c>
      <c r="T1153" t="str">
        <f>IF($AS1153="","",Config!$B$17)</f>
        <v/>
      </c>
      <c r="U1153" t="str">
        <f>IF($AS1153="","",Config!$B$18)</f>
        <v/>
      </c>
      <c r="V1153" t="str">
        <f>IF($AS1153="","",Config!$B$19)</f>
        <v/>
      </c>
      <c r="W1153" t="str">
        <f>IF($AS1153="","",INDEX('TMP Paste'!$C$2:$C$1601,$AS1153))</f>
        <v/>
      </c>
      <c r="X1153" t="str">
        <f>IF($AS1153="","",Config!$B$29)</f>
        <v/>
      </c>
      <c r="Y1153" t="str">
        <f>IF($AT1153="","",INDEX(Calc!$I$2:$I$1601,$AT1153)&amp;" - "&amp;INDEX(Calc!$D$2:$D$1601,$AT1153)&amp;" koli")</f>
        <v/>
      </c>
      <c r="Z1153" t="str">
        <f>IF($AS1153="","",Config!$B$21)</f>
        <v/>
      </c>
      <c r="AA1153" t="str">
        <f>IF($AS1153="","",Config!$B$22)</f>
        <v/>
      </c>
      <c r="AB1153" t="str">
        <f>IF($AT1153="","",INDEX(Calc!$D$2:$D$1601,$AT1153))</f>
        <v/>
      </c>
      <c r="AC1153" t="str">
        <f>IF($AT1153="","",INDEX(Calc!$G$2:$G$1601,$AT1153))</f>
        <v/>
      </c>
      <c r="AD1153" t="str">
        <f>IF($AS1153="","",Config!$B$23)</f>
        <v/>
      </c>
      <c r="AE1153" t="str">
        <f>IF($AS1153="","",Config!$B$28)</f>
        <v/>
      </c>
      <c r="AF1153" t="str">
        <f t="shared" si="104"/>
        <v/>
      </c>
      <c r="AG1153" t="str">
        <f t="shared" si="105"/>
        <v/>
      </c>
      <c r="AH1153" t="str">
        <f t="shared" si="106"/>
        <v/>
      </c>
      <c r="AI1153" t="str">
        <f>IF($AG1153="","",SUMIF($AG$2:$AG1153,$AG1153,$AH$2:$AH1153))</f>
        <v/>
      </c>
      <c r="AJ1153" t="str">
        <f>IF('TMP Paste'!$F1153="","",IF('TMP Paste'!$B1153="",$AJ1152,'TMP Paste'!$B1153))</f>
        <v/>
      </c>
      <c r="AK1153" t="str">
        <f>IF('TMP Paste'!$F1153="","",N('TMP Paste'!$G1153))</f>
        <v/>
      </c>
      <c r="AL1153" t="str">
        <f>IF('TMP Paste'!$F1153="","",IF('TMP Paste'!$M1153="",$AL1152,'TMP Paste'!$M1153))</f>
        <v/>
      </c>
      <c r="AM1153" t="str">
        <f>IF('TMP Paste'!$F1153="","",IF('TMP Paste'!$N1153="",$AM1152,'TMP Paste'!$N1153))</f>
        <v/>
      </c>
      <c r="AN1153" t="str">
        <f>IF('TMP Paste'!$F1153="","",IF('TMP Paste'!$O1153="",$AN1152,'TMP Paste'!$O1153))</f>
        <v/>
      </c>
      <c r="AO1153" t="str">
        <f>IF('TMP Paste'!$F1153="","",IF('TMP Paste'!$P1153="",$AO1152,'TMP Paste'!$P1153))</f>
        <v/>
      </c>
      <c r="AP1153" t="str">
        <f t="shared" si="107"/>
        <v/>
      </c>
      <c r="AQ1153" t="str">
        <f>IF($AS1153="","",TRIM(IF(COUNTIFS(Calc!$B$2:$B$1601,ROW()-1,Calc!$C$2:$C$1601,"&lt;1")&gt;0,"Ada PO tanpa Koli - cek TMP. ","")&amp;IF(OR($AU1153="",$AU1153&lt;=0),"Volume kosong/0 - dimensi dikosongkan. ","")&amp;IF(AND($AU1153&lt;&gt;"",$AU1153&gt;=1000000),"Volume &gt;= 1.000.000 cm3 (di luar aturan) - dimensi dikosongkan. ","")&amp;IF(LEN($R1153)&gt;500,"R &gt; 500 karakter.","")))</f>
        <v/>
      </c>
      <c r="AS1153" t="str">
        <f>IFERROR(MATCH(ROW()-1,Calc!$J$2:$J$1601,0),"")</f>
        <v/>
      </c>
      <c r="AT1153" t="str">
        <f>IFERROR(MATCH(ROW()-1,Calc!$K$2:$K$1601,0),"")</f>
        <v/>
      </c>
      <c r="AU1153" t="str">
        <f>IF($AS1153="","",IFERROR(INDEX('TMP Paste'!$D$2:$D$1601,$AS1153)*1000000/$AB1153,""))</f>
        <v/>
      </c>
    </row>
    <row r="1154" spans="1:47">
      <c r="A1154" t="str">
        <f>IF($AS1154="","",INDEX('TMP Paste'!$B$2:$B$1601,$AS1154))</f>
        <v/>
      </c>
      <c r="B1154" t="str">
        <f>IF($AS1154="","",Config!$B$14)</f>
        <v/>
      </c>
      <c r="C1154" t="str">
        <f>IF($AS1154="","",Config!$B$15)</f>
        <v/>
      </c>
      <c r="D1154" t="str">
        <f>IF($AS1154="","",INDEX('TMP Paste'!$B$2:$B$1601,$AS1154))</f>
        <v/>
      </c>
      <c r="E1154" t="str">
        <f>IF($AS1154="","",Config!$B$27)</f>
        <v/>
      </c>
      <c r="F1154" t="str">
        <f>IF($AS1154="","",Config!$B$9)</f>
        <v/>
      </c>
      <c r="G1154" t="str">
        <f>IF($AS1154="","",Config!$B$10)</f>
        <v/>
      </c>
      <c r="H1154" t="str">
        <f>IF($AS1154="","",Config!$B$11)</f>
        <v/>
      </c>
      <c r="I1154" t="str">
        <f>IF($AS1154="","",Config!$B$16)</f>
        <v/>
      </c>
      <c r="J1154" t="str">
        <f>IF($AS1154="","",INDEX('TMP Paste'!$A$2:$A$1601,$AS1154))</f>
        <v/>
      </c>
      <c r="K1154" t="str">
        <f>IF($AS1154="","",INDEX('TMP Paste'!$L$2:$L$1601,$AS1154))</f>
        <v/>
      </c>
      <c r="L1154" t="str">
        <f>IF($AS1154="","",INDEX('TMP Paste'!$I$2:$I$1601,$AS1154))</f>
        <v/>
      </c>
      <c r="M1154" t="str">
        <f>IF($AS1154="","",Config!$B$16)</f>
        <v/>
      </c>
      <c r="N1154" t="str">
        <f t="shared" ref="N1154:N1217" si="108">IF($AS1154="","","")</f>
        <v/>
      </c>
      <c r="O1154" t="str">
        <f>IF($AS1154="","",INDEX('TMP Paste'!$K$2:$K$1601,$AS1154))</f>
        <v/>
      </c>
      <c r="P1154" t="str">
        <f t="shared" ref="P1154:P1217" si="109">IF($AS1154="","","")</f>
        <v/>
      </c>
      <c r="Q1154" t="str">
        <f>IF($AS1154="","",INDEX('TMP Paste'!$J$2:$J$1601,$AS1154))</f>
        <v/>
      </c>
      <c r="R1154" t="str">
        <f>IF($AS1154="","",Config!$B$24)</f>
        <v/>
      </c>
      <c r="S1154" t="str">
        <f ca="1">IF($AS1154="","",TEXT(Config!$B$4,"yyyy-mm-dd"))</f>
        <v/>
      </c>
      <c r="T1154" t="str">
        <f>IF($AS1154="","",Config!$B$17)</f>
        <v/>
      </c>
      <c r="U1154" t="str">
        <f>IF($AS1154="","",Config!$B$18)</f>
        <v/>
      </c>
      <c r="V1154" t="str">
        <f>IF($AS1154="","",Config!$B$19)</f>
        <v/>
      </c>
      <c r="W1154" t="str">
        <f>IF($AS1154="","",INDEX('TMP Paste'!$C$2:$C$1601,$AS1154))</f>
        <v/>
      </c>
      <c r="X1154" t="str">
        <f>IF($AS1154="","",Config!$B$29)</f>
        <v/>
      </c>
      <c r="Y1154" t="str">
        <f>IF($AT1154="","",INDEX(Calc!$I$2:$I$1601,$AT1154)&amp;" - "&amp;INDEX(Calc!$D$2:$D$1601,$AT1154)&amp;" koli")</f>
        <v/>
      </c>
      <c r="Z1154" t="str">
        <f>IF($AS1154="","",Config!$B$21)</f>
        <v/>
      </c>
      <c r="AA1154" t="str">
        <f>IF($AS1154="","",Config!$B$22)</f>
        <v/>
      </c>
      <c r="AB1154" t="str">
        <f>IF($AT1154="","",INDEX(Calc!$D$2:$D$1601,$AT1154))</f>
        <v/>
      </c>
      <c r="AC1154" t="str">
        <f>IF($AT1154="","",INDEX(Calc!$G$2:$G$1601,$AT1154))</f>
        <v/>
      </c>
      <c r="AD1154" t="str">
        <f>IF($AS1154="","",Config!$B$23)</f>
        <v/>
      </c>
      <c r="AE1154" t="str">
        <f>IF($AS1154="","",Config!$B$28)</f>
        <v/>
      </c>
      <c r="AF1154" t="str">
        <f t="shared" ref="AF1154:AF1217" si="110">IF($AS1154="","",IF(OR($AU1154="",$AU1154&lt;=0,$AU1154&gt;=1000000),"",IF($AU1154&lt;10000,10,100)))</f>
        <v/>
      </c>
      <c r="AG1154" t="str">
        <f t="shared" ref="AG1154:AG1217" si="111">IF($AS1154="","",IF(OR($AU1154="",$AU1154&lt;=0,$AU1154&gt;=1000000),"",IF($AU1154&lt;10000,$AU1154/100,IF($AU1154&lt;100000,$AU1154/1000,$AU1154/10000))))</f>
        <v/>
      </c>
      <c r="AH1154" t="str">
        <f t="shared" ref="AH1154:AH1217" si="112">IF($AS1154="","",IF(OR($AU1154="",$AU1154&lt;=0,$AU1154&gt;=1000000),"",IF($AU1154&lt;100000,10,100)))</f>
        <v/>
      </c>
      <c r="AI1154" t="str">
        <f>IF($AG1154="","",SUMIF($AG$2:$AG1154,$AG1154,$AH$2:$AH1154))</f>
        <v/>
      </c>
      <c r="AJ1154" t="str">
        <f>IF('TMP Paste'!$F1154="","",IF('TMP Paste'!$B1154="",$AJ1153,'TMP Paste'!$B1154))</f>
        <v/>
      </c>
      <c r="AK1154" t="str">
        <f>IF('TMP Paste'!$F1154="","",N('TMP Paste'!$G1154))</f>
        <v/>
      </c>
      <c r="AL1154" t="str">
        <f>IF('TMP Paste'!$F1154="","",IF('TMP Paste'!$M1154="",$AL1153,'TMP Paste'!$M1154))</f>
        <v/>
      </c>
      <c r="AM1154" t="str">
        <f>IF('TMP Paste'!$F1154="","",IF('TMP Paste'!$N1154="",$AM1153,'TMP Paste'!$N1154))</f>
        <v/>
      </c>
      <c r="AN1154" t="str">
        <f>IF('TMP Paste'!$F1154="","",IF('TMP Paste'!$O1154="",$AN1153,'TMP Paste'!$O1154))</f>
        <v/>
      </c>
      <c r="AO1154" t="str">
        <f>IF('TMP Paste'!$F1154="","",IF('TMP Paste'!$P1154="",$AO1153,'TMP Paste'!$P1154))</f>
        <v/>
      </c>
      <c r="AP1154" t="str">
        <f t="shared" ref="AP1154:AP1217" si="113">IF($AG1154="","",LEN($R1154))</f>
        <v/>
      </c>
      <c r="AQ1154" t="str">
        <f>IF($AS1154="","",TRIM(IF(COUNTIFS(Calc!$B$2:$B$1601,ROW()-1,Calc!$C$2:$C$1601,"&lt;1")&gt;0,"Ada PO tanpa Koli - cek TMP. ","")&amp;IF(OR($AU1154="",$AU1154&lt;=0),"Volume kosong/0 - dimensi dikosongkan. ","")&amp;IF(AND($AU1154&lt;&gt;"",$AU1154&gt;=1000000),"Volume &gt;= 1.000.000 cm3 (di luar aturan) - dimensi dikosongkan. ","")&amp;IF(LEN($R1154)&gt;500,"R &gt; 500 karakter.","")))</f>
        <v/>
      </c>
      <c r="AS1154" t="str">
        <f>IFERROR(MATCH(ROW()-1,Calc!$J$2:$J$1601,0),"")</f>
        <v/>
      </c>
      <c r="AT1154" t="str">
        <f>IFERROR(MATCH(ROW()-1,Calc!$K$2:$K$1601,0),"")</f>
        <v/>
      </c>
      <c r="AU1154" t="str">
        <f>IF($AS1154="","",IFERROR(INDEX('TMP Paste'!$D$2:$D$1601,$AS1154)*1000000/$AB1154,""))</f>
        <v/>
      </c>
    </row>
    <row r="1155" spans="1:47">
      <c r="A1155" t="str">
        <f>IF($AS1155="","",INDEX('TMP Paste'!$B$2:$B$1601,$AS1155))</f>
        <v/>
      </c>
      <c r="B1155" t="str">
        <f>IF($AS1155="","",Config!$B$14)</f>
        <v/>
      </c>
      <c r="C1155" t="str">
        <f>IF($AS1155="","",Config!$B$15)</f>
        <v/>
      </c>
      <c r="D1155" t="str">
        <f>IF($AS1155="","",INDEX('TMP Paste'!$B$2:$B$1601,$AS1155))</f>
        <v/>
      </c>
      <c r="E1155" t="str">
        <f>IF($AS1155="","",Config!$B$27)</f>
        <v/>
      </c>
      <c r="F1155" t="str">
        <f>IF($AS1155="","",Config!$B$9)</f>
        <v/>
      </c>
      <c r="G1155" t="str">
        <f>IF($AS1155="","",Config!$B$10)</f>
        <v/>
      </c>
      <c r="H1155" t="str">
        <f>IF($AS1155="","",Config!$B$11)</f>
        <v/>
      </c>
      <c r="I1155" t="str">
        <f>IF($AS1155="","",Config!$B$16)</f>
        <v/>
      </c>
      <c r="J1155" t="str">
        <f>IF($AS1155="","",INDEX('TMP Paste'!$A$2:$A$1601,$AS1155))</f>
        <v/>
      </c>
      <c r="K1155" t="str">
        <f>IF($AS1155="","",INDEX('TMP Paste'!$L$2:$L$1601,$AS1155))</f>
        <v/>
      </c>
      <c r="L1155" t="str">
        <f>IF($AS1155="","",INDEX('TMP Paste'!$I$2:$I$1601,$AS1155))</f>
        <v/>
      </c>
      <c r="M1155" t="str">
        <f>IF($AS1155="","",Config!$B$16)</f>
        <v/>
      </c>
      <c r="N1155" t="str">
        <f t="shared" si="108"/>
        <v/>
      </c>
      <c r="O1155" t="str">
        <f>IF($AS1155="","",INDEX('TMP Paste'!$K$2:$K$1601,$AS1155))</f>
        <v/>
      </c>
      <c r="P1155" t="str">
        <f t="shared" si="109"/>
        <v/>
      </c>
      <c r="Q1155" t="str">
        <f>IF($AS1155="","",INDEX('TMP Paste'!$J$2:$J$1601,$AS1155))</f>
        <v/>
      </c>
      <c r="R1155" t="str">
        <f>IF($AS1155="","",Config!$B$24)</f>
        <v/>
      </c>
      <c r="S1155" t="str">
        <f ca="1">IF($AS1155="","",TEXT(Config!$B$4,"yyyy-mm-dd"))</f>
        <v/>
      </c>
      <c r="T1155" t="str">
        <f>IF($AS1155="","",Config!$B$17)</f>
        <v/>
      </c>
      <c r="U1155" t="str">
        <f>IF($AS1155="","",Config!$B$18)</f>
        <v/>
      </c>
      <c r="V1155" t="str">
        <f>IF($AS1155="","",Config!$B$19)</f>
        <v/>
      </c>
      <c r="W1155" t="str">
        <f>IF($AS1155="","",INDEX('TMP Paste'!$C$2:$C$1601,$AS1155))</f>
        <v/>
      </c>
      <c r="X1155" t="str">
        <f>IF($AS1155="","",Config!$B$29)</f>
        <v/>
      </c>
      <c r="Y1155" t="str">
        <f>IF($AT1155="","",INDEX(Calc!$I$2:$I$1601,$AT1155)&amp;" - "&amp;INDEX(Calc!$D$2:$D$1601,$AT1155)&amp;" koli")</f>
        <v/>
      </c>
      <c r="Z1155" t="str">
        <f>IF($AS1155="","",Config!$B$21)</f>
        <v/>
      </c>
      <c r="AA1155" t="str">
        <f>IF($AS1155="","",Config!$B$22)</f>
        <v/>
      </c>
      <c r="AB1155" t="str">
        <f>IF($AT1155="","",INDEX(Calc!$D$2:$D$1601,$AT1155))</f>
        <v/>
      </c>
      <c r="AC1155" t="str">
        <f>IF($AT1155="","",INDEX(Calc!$G$2:$G$1601,$AT1155))</f>
        <v/>
      </c>
      <c r="AD1155" t="str">
        <f>IF($AS1155="","",Config!$B$23)</f>
        <v/>
      </c>
      <c r="AE1155" t="str">
        <f>IF($AS1155="","",Config!$B$28)</f>
        <v/>
      </c>
      <c r="AF1155" t="str">
        <f t="shared" si="110"/>
        <v/>
      </c>
      <c r="AG1155" t="str">
        <f t="shared" si="111"/>
        <v/>
      </c>
      <c r="AH1155" t="str">
        <f t="shared" si="112"/>
        <v/>
      </c>
      <c r="AI1155" t="str">
        <f>IF($AG1155="","",SUMIF($AG$2:$AG1155,$AG1155,$AH$2:$AH1155))</f>
        <v/>
      </c>
      <c r="AJ1155" t="str">
        <f>IF('TMP Paste'!$F1155="","",IF('TMP Paste'!$B1155="",$AJ1154,'TMP Paste'!$B1155))</f>
        <v/>
      </c>
      <c r="AK1155" t="str">
        <f>IF('TMP Paste'!$F1155="","",N('TMP Paste'!$G1155))</f>
        <v/>
      </c>
      <c r="AL1155" t="str">
        <f>IF('TMP Paste'!$F1155="","",IF('TMP Paste'!$M1155="",$AL1154,'TMP Paste'!$M1155))</f>
        <v/>
      </c>
      <c r="AM1155" t="str">
        <f>IF('TMP Paste'!$F1155="","",IF('TMP Paste'!$N1155="",$AM1154,'TMP Paste'!$N1155))</f>
        <v/>
      </c>
      <c r="AN1155" t="str">
        <f>IF('TMP Paste'!$F1155="","",IF('TMP Paste'!$O1155="",$AN1154,'TMP Paste'!$O1155))</f>
        <v/>
      </c>
      <c r="AO1155" t="str">
        <f>IF('TMP Paste'!$F1155="","",IF('TMP Paste'!$P1155="",$AO1154,'TMP Paste'!$P1155))</f>
        <v/>
      </c>
      <c r="AP1155" t="str">
        <f t="shared" si="113"/>
        <v/>
      </c>
      <c r="AQ1155" t="str">
        <f>IF($AS1155="","",TRIM(IF(COUNTIFS(Calc!$B$2:$B$1601,ROW()-1,Calc!$C$2:$C$1601,"&lt;1")&gt;0,"Ada PO tanpa Koli - cek TMP. ","")&amp;IF(OR($AU1155="",$AU1155&lt;=0),"Volume kosong/0 - dimensi dikosongkan. ","")&amp;IF(AND($AU1155&lt;&gt;"",$AU1155&gt;=1000000),"Volume &gt;= 1.000.000 cm3 (di luar aturan) - dimensi dikosongkan. ","")&amp;IF(LEN($R1155)&gt;500,"R &gt; 500 karakter.","")))</f>
        <v/>
      </c>
      <c r="AS1155" t="str">
        <f>IFERROR(MATCH(ROW()-1,Calc!$J$2:$J$1601,0),"")</f>
        <v/>
      </c>
      <c r="AT1155" t="str">
        <f>IFERROR(MATCH(ROW()-1,Calc!$K$2:$K$1601,0),"")</f>
        <v/>
      </c>
      <c r="AU1155" t="str">
        <f>IF($AS1155="","",IFERROR(INDEX('TMP Paste'!$D$2:$D$1601,$AS1155)*1000000/$AB1155,""))</f>
        <v/>
      </c>
    </row>
    <row r="1156" spans="1:47">
      <c r="A1156" t="str">
        <f>IF($AS1156="","",INDEX('TMP Paste'!$B$2:$B$1601,$AS1156))</f>
        <v/>
      </c>
      <c r="B1156" t="str">
        <f>IF($AS1156="","",Config!$B$14)</f>
        <v/>
      </c>
      <c r="C1156" t="str">
        <f>IF($AS1156="","",Config!$B$15)</f>
        <v/>
      </c>
      <c r="D1156" t="str">
        <f>IF($AS1156="","",INDEX('TMP Paste'!$B$2:$B$1601,$AS1156))</f>
        <v/>
      </c>
      <c r="E1156" t="str">
        <f>IF($AS1156="","",Config!$B$27)</f>
        <v/>
      </c>
      <c r="F1156" t="str">
        <f>IF($AS1156="","",Config!$B$9)</f>
        <v/>
      </c>
      <c r="G1156" t="str">
        <f>IF($AS1156="","",Config!$B$10)</f>
        <v/>
      </c>
      <c r="H1156" t="str">
        <f>IF($AS1156="","",Config!$B$11)</f>
        <v/>
      </c>
      <c r="I1156" t="str">
        <f>IF($AS1156="","",Config!$B$16)</f>
        <v/>
      </c>
      <c r="J1156" t="str">
        <f>IF($AS1156="","",INDEX('TMP Paste'!$A$2:$A$1601,$AS1156))</f>
        <v/>
      </c>
      <c r="K1156" t="str">
        <f>IF($AS1156="","",INDEX('TMP Paste'!$L$2:$L$1601,$AS1156))</f>
        <v/>
      </c>
      <c r="L1156" t="str">
        <f>IF($AS1156="","",INDEX('TMP Paste'!$I$2:$I$1601,$AS1156))</f>
        <v/>
      </c>
      <c r="M1156" t="str">
        <f>IF($AS1156="","",Config!$B$16)</f>
        <v/>
      </c>
      <c r="N1156" t="str">
        <f t="shared" si="108"/>
        <v/>
      </c>
      <c r="O1156" t="str">
        <f>IF($AS1156="","",INDEX('TMP Paste'!$K$2:$K$1601,$AS1156))</f>
        <v/>
      </c>
      <c r="P1156" t="str">
        <f t="shared" si="109"/>
        <v/>
      </c>
      <c r="Q1156" t="str">
        <f>IF($AS1156="","",INDEX('TMP Paste'!$J$2:$J$1601,$AS1156))</f>
        <v/>
      </c>
      <c r="R1156" t="str">
        <f>IF($AS1156="","",Config!$B$24)</f>
        <v/>
      </c>
      <c r="S1156" t="str">
        <f ca="1">IF($AS1156="","",TEXT(Config!$B$4,"yyyy-mm-dd"))</f>
        <v/>
      </c>
      <c r="T1156" t="str">
        <f>IF($AS1156="","",Config!$B$17)</f>
        <v/>
      </c>
      <c r="U1156" t="str">
        <f>IF($AS1156="","",Config!$B$18)</f>
        <v/>
      </c>
      <c r="V1156" t="str">
        <f>IF($AS1156="","",Config!$B$19)</f>
        <v/>
      </c>
      <c r="W1156" t="str">
        <f>IF($AS1156="","",INDEX('TMP Paste'!$C$2:$C$1601,$AS1156))</f>
        <v/>
      </c>
      <c r="X1156" t="str">
        <f>IF($AS1156="","",Config!$B$29)</f>
        <v/>
      </c>
      <c r="Y1156" t="str">
        <f>IF($AT1156="","",INDEX(Calc!$I$2:$I$1601,$AT1156)&amp;" - "&amp;INDEX(Calc!$D$2:$D$1601,$AT1156)&amp;" koli")</f>
        <v/>
      </c>
      <c r="Z1156" t="str">
        <f>IF($AS1156="","",Config!$B$21)</f>
        <v/>
      </c>
      <c r="AA1156" t="str">
        <f>IF($AS1156="","",Config!$B$22)</f>
        <v/>
      </c>
      <c r="AB1156" t="str">
        <f>IF($AT1156="","",INDEX(Calc!$D$2:$D$1601,$AT1156))</f>
        <v/>
      </c>
      <c r="AC1156" t="str">
        <f>IF($AT1156="","",INDEX(Calc!$G$2:$G$1601,$AT1156))</f>
        <v/>
      </c>
      <c r="AD1156" t="str">
        <f>IF($AS1156="","",Config!$B$23)</f>
        <v/>
      </c>
      <c r="AE1156" t="str">
        <f>IF($AS1156="","",Config!$B$28)</f>
        <v/>
      </c>
      <c r="AF1156" t="str">
        <f t="shared" si="110"/>
        <v/>
      </c>
      <c r="AG1156" t="str">
        <f t="shared" si="111"/>
        <v/>
      </c>
      <c r="AH1156" t="str">
        <f t="shared" si="112"/>
        <v/>
      </c>
      <c r="AI1156" t="str">
        <f>IF($AG1156="","",SUMIF($AG$2:$AG1156,$AG1156,$AH$2:$AH1156))</f>
        <v/>
      </c>
      <c r="AJ1156" t="str">
        <f>IF('TMP Paste'!$F1156="","",IF('TMP Paste'!$B1156="",$AJ1155,'TMP Paste'!$B1156))</f>
        <v/>
      </c>
      <c r="AK1156" t="str">
        <f>IF('TMP Paste'!$F1156="","",N('TMP Paste'!$G1156))</f>
        <v/>
      </c>
      <c r="AL1156" t="str">
        <f>IF('TMP Paste'!$F1156="","",IF('TMP Paste'!$M1156="",$AL1155,'TMP Paste'!$M1156))</f>
        <v/>
      </c>
      <c r="AM1156" t="str">
        <f>IF('TMP Paste'!$F1156="","",IF('TMP Paste'!$N1156="",$AM1155,'TMP Paste'!$N1156))</f>
        <v/>
      </c>
      <c r="AN1156" t="str">
        <f>IF('TMP Paste'!$F1156="","",IF('TMP Paste'!$O1156="",$AN1155,'TMP Paste'!$O1156))</f>
        <v/>
      </c>
      <c r="AO1156" t="str">
        <f>IF('TMP Paste'!$F1156="","",IF('TMP Paste'!$P1156="",$AO1155,'TMP Paste'!$P1156))</f>
        <v/>
      </c>
      <c r="AP1156" t="str">
        <f t="shared" si="113"/>
        <v/>
      </c>
      <c r="AQ1156" t="str">
        <f>IF($AS1156="","",TRIM(IF(COUNTIFS(Calc!$B$2:$B$1601,ROW()-1,Calc!$C$2:$C$1601,"&lt;1")&gt;0,"Ada PO tanpa Koli - cek TMP. ","")&amp;IF(OR($AU1156="",$AU1156&lt;=0),"Volume kosong/0 - dimensi dikosongkan. ","")&amp;IF(AND($AU1156&lt;&gt;"",$AU1156&gt;=1000000),"Volume &gt;= 1.000.000 cm3 (di luar aturan) - dimensi dikosongkan. ","")&amp;IF(LEN($R1156)&gt;500,"R &gt; 500 karakter.","")))</f>
        <v/>
      </c>
      <c r="AS1156" t="str">
        <f>IFERROR(MATCH(ROW()-1,Calc!$J$2:$J$1601,0),"")</f>
        <v/>
      </c>
      <c r="AT1156" t="str">
        <f>IFERROR(MATCH(ROW()-1,Calc!$K$2:$K$1601,0),"")</f>
        <v/>
      </c>
      <c r="AU1156" t="str">
        <f>IF($AS1156="","",IFERROR(INDEX('TMP Paste'!$D$2:$D$1601,$AS1156)*1000000/$AB1156,""))</f>
        <v/>
      </c>
    </row>
    <row r="1157" spans="1:47">
      <c r="A1157" t="str">
        <f>IF($AS1157="","",INDEX('TMP Paste'!$B$2:$B$1601,$AS1157))</f>
        <v/>
      </c>
      <c r="B1157" t="str">
        <f>IF($AS1157="","",Config!$B$14)</f>
        <v/>
      </c>
      <c r="C1157" t="str">
        <f>IF($AS1157="","",Config!$B$15)</f>
        <v/>
      </c>
      <c r="D1157" t="str">
        <f>IF($AS1157="","",INDEX('TMP Paste'!$B$2:$B$1601,$AS1157))</f>
        <v/>
      </c>
      <c r="E1157" t="str">
        <f>IF($AS1157="","",Config!$B$27)</f>
        <v/>
      </c>
      <c r="F1157" t="str">
        <f>IF($AS1157="","",Config!$B$9)</f>
        <v/>
      </c>
      <c r="G1157" t="str">
        <f>IF($AS1157="","",Config!$B$10)</f>
        <v/>
      </c>
      <c r="H1157" t="str">
        <f>IF($AS1157="","",Config!$B$11)</f>
        <v/>
      </c>
      <c r="I1157" t="str">
        <f>IF($AS1157="","",Config!$B$16)</f>
        <v/>
      </c>
      <c r="J1157" t="str">
        <f>IF($AS1157="","",INDEX('TMP Paste'!$A$2:$A$1601,$AS1157))</f>
        <v/>
      </c>
      <c r="K1157" t="str">
        <f>IF($AS1157="","",INDEX('TMP Paste'!$L$2:$L$1601,$AS1157))</f>
        <v/>
      </c>
      <c r="L1157" t="str">
        <f>IF($AS1157="","",INDEX('TMP Paste'!$I$2:$I$1601,$AS1157))</f>
        <v/>
      </c>
      <c r="M1157" t="str">
        <f>IF($AS1157="","",Config!$B$16)</f>
        <v/>
      </c>
      <c r="N1157" t="str">
        <f t="shared" si="108"/>
        <v/>
      </c>
      <c r="O1157" t="str">
        <f>IF($AS1157="","",INDEX('TMP Paste'!$K$2:$K$1601,$AS1157))</f>
        <v/>
      </c>
      <c r="P1157" t="str">
        <f t="shared" si="109"/>
        <v/>
      </c>
      <c r="Q1157" t="str">
        <f>IF($AS1157="","",INDEX('TMP Paste'!$J$2:$J$1601,$AS1157))</f>
        <v/>
      </c>
      <c r="R1157" t="str">
        <f>IF($AS1157="","",Config!$B$24)</f>
        <v/>
      </c>
      <c r="S1157" t="str">
        <f ca="1">IF($AS1157="","",TEXT(Config!$B$4,"yyyy-mm-dd"))</f>
        <v/>
      </c>
      <c r="T1157" t="str">
        <f>IF($AS1157="","",Config!$B$17)</f>
        <v/>
      </c>
      <c r="U1157" t="str">
        <f>IF($AS1157="","",Config!$B$18)</f>
        <v/>
      </c>
      <c r="V1157" t="str">
        <f>IF($AS1157="","",Config!$B$19)</f>
        <v/>
      </c>
      <c r="W1157" t="str">
        <f>IF($AS1157="","",INDEX('TMP Paste'!$C$2:$C$1601,$AS1157))</f>
        <v/>
      </c>
      <c r="X1157" t="str">
        <f>IF($AS1157="","",Config!$B$29)</f>
        <v/>
      </c>
      <c r="Y1157" t="str">
        <f>IF($AT1157="","",INDEX(Calc!$I$2:$I$1601,$AT1157)&amp;" - "&amp;INDEX(Calc!$D$2:$D$1601,$AT1157)&amp;" koli")</f>
        <v/>
      </c>
      <c r="Z1157" t="str">
        <f>IF($AS1157="","",Config!$B$21)</f>
        <v/>
      </c>
      <c r="AA1157" t="str">
        <f>IF($AS1157="","",Config!$B$22)</f>
        <v/>
      </c>
      <c r="AB1157" t="str">
        <f>IF($AT1157="","",INDEX(Calc!$D$2:$D$1601,$AT1157))</f>
        <v/>
      </c>
      <c r="AC1157" t="str">
        <f>IF($AT1157="","",INDEX(Calc!$G$2:$G$1601,$AT1157))</f>
        <v/>
      </c>
      <c r="AD1157" t="str">
        <f>IF($AS1157="","",Config!$B$23)</f>
        <v/>
      </c>
      <c r="AE1157" t="str">
        <f>IF($AS1157="","",Config!$B$28)</f>
        <v/>
      </c>
      <c r="AF1157" t="str">
        <f t="shared" si="110"/>
        <v/>
      </c>
      <c r="AG1157" t="str">
        <f t="shared" si="111"/>
        <v/>
      </c>
      <c r="AH1157" t="str">
        <f t="shared" si="112"/>
        <v/>
      </c>
      <c r="AI1157" t="str">
        <f>IF($AG1157="","",SUMIF($AG$2:$AG1157,$AG1157,$AH$2:$AH1157))</f>
        <v/>
      </c>
      <c r="AJ1157" t="str">
        <f>IF('TMP Paste'!$F1157="","",IF('TMP Paste'!$B1157="",$AJ1156,'TMP Paste'!$B1157))</f>
        <v/>
      </c>
      <c r="AK1157" t="str">
        <f>IF('TMP Paste'!$F1157="","",N('TMP Paste'!$G1157))</f>
        <v/>
      </c>
      <c r="AL1157" t="str">
        <f>IF('TMP Paste'!$F1157="","",IF('TMP Paste'!$M1157="",$AL1156,'TMP Paste'!$M1157))</f>
        <v/>
      </c>
      <c r="AM1157" t="str">
        <f>IF('TMP Paste'!$F1157="","",IF('TMP Paste'!$N1157="",$AM1156,'TMP Paste'!$N1157))</f>
        <v/>
      </c>
      <c r="AN1157" t="str">
        <f>IF('TMP Paste'!$F1157="","",IF('TMP Paste'!$O1157="",$AN1156,'TMP Paste'!$O1157))</f>
        <v/>
      </c>
      <c r="AO1157" t="str">
        <f>IF('TMP Paste'!$F1157="","",IF('TMP Paste'!$P1157="",$AO1156,'TMP Paste'!$P1157))</f>
        <v/>
      </c>
      <c r="AP1157" t="str">
        <f t="shared" si="113"/>
        <v/>
      </c>
      <c r="AQ1157" t="str">
        <f>IF($AS1157="","",TRIM(IF(COUNTIFS(Calc!$B$2:$B$1601,ROW()-1,Calc!$C$2:$C$1601,"&lt;1")&gt;0,"Ada PO tanpa Koli - cek TMP. ","")&amp;IF(OR($AU1157="",$AU1157&lt;=0),"Volume kosong/0 - dimensi dikosongkan. ","")&amp;IF(AND($AU1157&lt;&gt;"",$AU1157&gt;=1000000),"Volume &gt;= 1.000.000 cm3 (di luar aturan) - dimensi dikosongkan. ","")&amp;IF(LEN($R1157)&gt;500,"R &gt; 500 karakter.","")))</f>
        <v/>
      </c>
      <c r="AS1157" t="str">
        <f>IFERROR(MATCH(ROW()-1,Calc!$J$2:$J$1601,0),"")</f>
        <v/>
      </c>
      <c r="AT1157" t="str">
        <f>IFERROR(MATCH(ROW()-1,Calc!$K$2:$K$1601,0),"")</f>
        <v/>
      </c>
      <c r="AU1157" t="str">
        <f>IF($AS1157="","",IFERROR(INDEX('TMP Paste'!$D$2:$D$1601,$AS1157)*1000000/$AB1157,""))</f>
        <v/>
      </c>
    </row>
    <row r="1158" spans="1:47">
      <c r="A1158" t="str">
        <f>IF($AS1158="","",INDEX('TMP Paste'!$B$2:$B$1601,$AS1158))</f>
        <v/>
      </c>
      <c r="B1158" t="str">
        <f>IF($AS1158="","",Config!$B$14)</f>
        <v/>
      </c>
      <c r="C1158" t="str">
        <f>IF($AS1158="","",Config!$B$15)</f>
        <v/>
      </c>
      <c r="D1158" t="str">
        <f>IF($AS1158="","",INDEX('TMP Paste'!$B$2:$B$1601,$AS1158))</f>
        <v/>
      </c>
      <c r="E1158" t="str">
        <f>IF($AS1158="","",Config!$B$27)</f>
        <v/>
      </c>
      <c r="F1158" t="str">
        <f>IF($AS1158="","",Config!$B$9)</f>
        <v/>
      </c>
      <c r="G1158" t="str">
        <f>IF($AS1158="","",Config!$B$10)</f>
        <v/>
      </c>
      <c r="H1158" t="str">
        <f>IF($AS1158="","",Config!$B$11)</f>
        <v/>
      </c>
      <c r="I1158" t="str">
        <f>IF($AS1158="","",Config!$B$16)</f>
        <v/>
      </c>
      <c r="J1158" t="str">
        <f>IF($AS1158="","",INDEX('TMP Paste'!$A$2:$A$1601,$AS1158))</f>
        <v/>
      </c>
      <c r="K1158" t="str">
        <f>IF($AS1158="","",INDEX('TMP Paste'!$L$2:$L$1601,$AS1158))</f>
        <v/>
      </c>
      <c r="L1158" t="str">
        <f>IF($AS1158="","",INDEX('TMP Paste'!$I$2:$I$1601,$AS1158))</f>
        <v/>
      </c>
      <c r="M1158" t="str">
        <f>IF($AS1158="","",Config!$B$16)</f>
        <v/>
      </c>
      <c r="N1158" t="str">
        <f t="shared" si="108"/>
        <v/>
      </c>
      <c r="O1158" t="str">
        <f>IF($AS1158="","",INDEX('TMP Paste'!$K$2:$K$1601,$AS1158))</f>
        <v/>
      </c>
      <c r="P1158" t="str">
        <f t="shared" si="109"/>
        <v/>
      </c>
      <c r="Q1158" t="str">
        <f>IF($AS1158="","",INDEX('TMP Paste'!$J$2:$J$1601,$AS1158))</f>
        <v/>
      </c>
      <c r="R1158" t="str">
        <f>IF($AS1158="","",Config!$B$24)</f>
        <v/>
      </c>
      <c r="S1158" t="str">
        <f ca="1">IF($AS1158="","",TEXT(Config!$B$4,"yyyy-mm-dd"))</f>
        <v/>
      </c>
      <c r="T1158" t="str">
        <f>IF($AS1158="","",Config!$B$17)</f>
        <v/>
      </c>
      <c r="U1158" t="str">
        <f>IF($AS1158="","",Config!$B$18)</f>
        <v/>
      </c>
      <c r="V1158" t="str">
        <f>IF($AS1158="","",Config!$B$19)</f>
        <v/>
      </c>
      <c r="W1158" t="str">
        <f>IF($AS1158="","",INDEX('TMP Paste'!$C$2:$C$1601,$AS1158))</f>
        <v/>
      </c>
      <c r="X1158" t="str">
        <f>IF($AS1158="","",Config!$B$29)</f>
        <v/>
      </c>
      <c r="Y1158" t="str">
        <f>IF($AT1158="","",INDEX(Calc!$I$2:$I$1601,$AT1158)&amp;" - "&amp;INDEX(Calc!$D$2:$D$1601,$AT1158)&amp;" koli")</f>
        <v/>
      </c>
      <c r="Z1158" t="str">
        <f>IF($AS1158="","",Config!$B$21)</f>
        <v/>
      </c>
      <c r="AA1158" t="str">
        <f>IF($AS1158="","",Config!$B$22)</f>
        <v/>
      </c>
      <c r="AB1158" t="str">
        <f>IF($AT1158="","",INDEX(Calc!$D$2:$D$1601,$AT1158))</f>
        <v/>
      </c>
      <c r="AC1158" t="str">
        <f>IF($AT1158="","",INDEX(Calc!$G$2:$G$1601,$AT1158))</f>
        <v/>
      </c>
      <c r="AD1158" t="str">
        <f>IF($AS1158="","",Config!$B$23)</f>
        <v/>
      </c>
      <c r="AE1158" t="str">
        <f>IF($AS1158="","",Config!$B$28)</f>
        <v/>
      </c>
      <c r="AF1158" t="str">
        <f t="shared" si="110"/>
        <v/>
      </c>
      <c r="AG1158" t="str">
        <f t="shared" si="111"/>
        <v/>
      </c>
      <c r="AH1158" t="str">
        <f t="shared" si="112"/>
        <v/>
      </c>
      <c r="AI1158" t="str">
        <f>IF($AG1158="","",SUMIF($AG$2:$AG1158,$AG1158,$AH$2:$AH1158))</f>
        <v/>
      </c>
      <c r="AJ1158" t="str">
        <f>IF('TMP Paste'!$F1158="","",IF('TMP Paste'!$B1158="",$AJ1157,'TMP Paste'!$B1158))</f>
        <v/>
      </c>
      <c r="AK1158" t="str">
        <f>IF('TMP Paste'!$F1158="","",N('TMP Paste'!$G1158))</f>
        <v/>
      </c>
      <c r="AL1158" t="str">
        <f>IF('TMP Paste'!$F1158="","",IF('TMP Paste'!$M1158="",$AL1157,'TMP Paste'!$M1158))</f>
        <v/>
      </c>
      <c r="AM1158" t="str">
        <f>IF('TMP Paste'!$F1158="","",IF('TMP Paste'!$N1158="",$AM1157,'TMP Paste'!$N1158))</f>
        <v/>
      </c>
      <c r="AN1158" t="str">
        <f>IF('TMP Paste'!$F1158="","",IF('TMP Paste'!$O1158="",$AN1157,'TMP Paste'!$O1158))</f>
        <v/>
      </c>
      <c r="AO1158" t="str">
        <f>IF('TMP Paste'!$F1158="","",IF('TMP Paste'!$P1158="",$AO1157,'TMP Paste'!$P1158))</f>
        <v/>
      </c>
      <c r="AP1158" t="str">
        <f t="shared" si="113"/>
        <v/>
      </c>
      <c r="AQ1158" t="str">
        <f>IF($AS1158="","",TRIM(IF(COUNTIFS(Calc!$B$2:$B$1601,ROW()-1,Calc!$C$2:$C$1601,"&lt;1")&gt;0,"Ada PO tanpa Koli - cek TMP. ","")&amp;IF(OR($AU1158="",$AU1158&lt;=0),"Volume kosong/0 - dimensi dikosongkan. ","")&amp;IF(AND($AU1158&lt;&gt;"",$AU1158&gt;=1000000),"Volume &gt;= 1.000.000 cm3 (di luar aturan) - dimensi dikosongkan. ","")&amp;IF(LEN($R1158)&gt;500,"R &gt; 500 karakter.","")))</f>
        <v/>
      </c>
      <c r="AS1158" t="str">
        <f>IFERROR(MATCH(ROW()-1,Calc!$J$2:$J$1601,0),"")</f>
        <v/>
      </c>
      <c r="AT1158" t="str">
        <f>IFERROR(MATCH(ROW()-1,Calc!$K$2:$K$1601,0),"")</f>
        <v/>
      </c>
      <c r="AU1158" t="str">
        <f>IF($AS1158="","",IFERROR(INDEX('TMP Paste'!$D$2:$D$1601,$AS1158)*1000000/$AB1158,""))</f>
        <v/>
      </c>
    </row>
    <row r="1159" spans="1:47">
      <c r="A1159" t="str">
        <f>IF($AS1159="","",INDEX('TMP Paste'!$B$2:$B$1601,$AS1159))</f>
        <v/>
      </c>
      <c r="B1159" t="str">
        <f>IF($AS1159="","",Config!$B$14)</f>
        <v/>
      </c>
      <c r="C1159" t="str">
        <f>IF($AS1159="","",Config!$B$15)</f>
        <v/>
      </c>
      <c r="D1159" t="str">
        <f>IF($AS1159="","",INDEX('TMP Paste'!$B$2:$B$1601,$AS1159))</f>
        <v/>
      </c>
      <c r="E1159" t="str">
        <f>IF($AS1159="","",Config!$B$27)</f>
        <v/>
      </c>
      <c r="F1159" t="str">
        <f>IF($AS1159="","",Config!$B$9)</f>
        <v/>
      </c>
      <c r="G1159" t="str">
        <f>IF($AS1159="","",Config!$B$10)</f>
        <v/>
      </c>
      <c r="H1159" t="str">
        <f>IF($AS1159="","",Config!$B$11)</f>
        <v/>
      </c>
      <c r="I1159" t="str">
        <f>IF($AS1159="","",Config!$B$16)</f>
        <v/>
      </c>
      <c r="J1159" t="str">
        <f>IF($AS1159="","",INDEX('TMP Paste'!$A$2:$A$1601,$AS1159))</f>
        <v/>
      </c>
      <c r="K1159" t="str">
        <f>IF($AS1159="","",INDEX('TMP Paste'!$L$2:$L$1601,$AS1159))</f>
        <v/>
      </c>
      <c r="L1159" t="str">
        <f>IF($AS1159="","",INDEX('TMP Paste'!$I$2:$I$1601,$AS1159))</f>
        <v/>
      </c>
      <c r="M1159" t="str">
        <f>IF($AS1159="","",Config!$B$16)</f>
        <v/>
      </c>
      <c r="N1159" t="str">
        <f t="shared" si="108"/>
        <v/>
      </c>
      <c r="O1159" t="str">
        <f>IF($AS1159="","",INDEX('TMP Paste'!$K$2:$K$1601,$AS1159))</f>
        <v/>
      </c>
      <c r="P1159" t="str">
        <f t="shared" si="109"/>
        <v/>
      </c>
      <c r="Q1159" t="str">
        <f>IF($AS1159="","",INDEX('TMP Paste'!$J$2:$J$1601,$AS1159))</f>
        <v/>
      </c>
      <c r="R1159" t="str">
        <f>IF($AS1159="","",Config!$B$24)</f>
        <v/>
      </c>
      <c r="S1159" t="str">
        <f ca="1">IF($AS1159="","",TEXT(Config!$B$4,"yyyy-mm-dd"))</f>
        <v/>
      </c>
      <c r="T1159" t="str">
        <f>IF($AS1159="","",Config!$B$17)</f>
        <v/>
      </c>
      <c r="U1159" t="str">
        <f>IF($AS1159="","",Config!$B$18)</f>
        <v/>
      </c>
      <c r="V1159" t="str">
        <f>IF($AS1159="","",Config!$B$19)</f>
        <v/>
      </c>
      <c r="W1159" t="str">
        <f>IF($AS1159="","",INDEX('TMP Paste'!$C$2:$C$1601,$AS1159))</f>
        <v/>
      </c>
      <c r="X1159" t="str">
        <f>IF($AS1159="","",Config!$B$29)</f>
        <v/>
      </c>
      <c r="Y1159" t="str">
        <f>IF($AT1159="","",INDEX(Calc!$I$2:$I$1601,$AT1159)&amp;" - "&amp;INDEX(Calc!$D$2:$D$1601,$AT1159)&amp;" koli")</f>
        <v/>
      </c>
      <c r="Z1159" t="str">
        <f>IF($AS1159="","",Config!$B$21)</f>
        <v/>
      </c>
      <c r="AA1159" t="str">
        <f>IF($AS1159="","",Config!$B$22)</f>
        <v/>
      </c>
      <c r="AB1159" t="str">
        <f>IF($AT1159="","",INDEX(Calc!$D$2:$D$1601,$AT1159))</f>
        <v/>
      </c>
      <c r="AC1159" t="str">
        <f>IF($AT1159="","",INDEX(Calc!$G$2:$G$1601,$AT1159))</f>
        <v/>
      </c>
      <c r="AD1159" t="str">
        <f>IF($AS1159="","",Config!$B$23)</f>
        <v/>
      </c>
      <c r="AE1159" t="str">
        <f>IF($AS1159="","",Config!$B$28)</f>
        <v/>
      </c>
      <c r="AF1159" t="str">
        <f t="shared" si="110"/>
        <v/>
      </c>
      <c r="AG1159" t="str">
        <f t="shared" si="111"/>
        <v/>
      </c>
      <c r="AH1159" t="str">
        <f t="shared" si="112"/>
        <v/>
      </c>
      <c r="AI1159" t="str">
        <f>IF($AG1159="","",SUMIF($AG$2:$AG1159,$AG1159,$AH$2:$AH1159))</f>
        <v/>
      </c>
      <c r="AJ1159" t="str">
        <f>IF('TMP Paste'!$F1159="","",IF('TMP Paste'!$B1159="",$AJ1158,'TMP Paste'!$B1159))</f>
        <v/>
      </c>
      <c r="AK1159" t="str">
        <f>IF('TMP Paste'!$F1159="","",N('TMP Paste'!$G1159))</f>
        <v/>
      </c>
      <c r="AL1159" t="str">
        <f>IF('TMP Paste'!$F1159="","",IF('TMP Paste'!$M1159="",$AL1158,'TMP Paste'!$M1159))</f>
        <v/>
      </c>
      <c r="AM1159" t="str">
        <f>IF('TMP Paste'!$F1159="","",IF('TMP Paste'!$N1159="",$AM1158,'TMP Paste'!$N1159))</f>
        <v/>
      </c>
      <c r="AN1159" t="str">
        <f>IF('TMP Paste'!$F1159="","",IF('TMP Paste'!$O1159="",$AN1158,'TMP Paste'!$O1159))</f>
        <v/>
      </c>
      <c r="AO1159" t="str">
        <f>IF('TMP Paste'!$F1159="","",IF('TMP Paste'!$P1159="",$AO1158,'TMP Paste'!$P1159))</f>
        <v/>
      </c>
      <c r="AP1159" t="str">
        <f t="shared" si="113"/>
        <v/>
      </c>
      <c r="AQ1159" t="str">
        <f>IF($AS1159="","",TRIM(IF(COUNTIFS(Calc!$B$2:$B$1601,ROW()-1,Calc!$C$2:$C$1601,"&lt;1")&gt;0,"Ada PO tanpa Koli - cek TMP. ","")&amp;IF(OR($AU1159="",$AU1159&lt;=0),"Volume kosong/0 - dimensi dikosongkan. ","")&amp;IF(AND($AU1159&lt;&gt;"",$AU1159&gt;=1000000),"Volume &gt;= 1.000.000 cm3 (di luar aturan) - dimensi dikosongkan. ","")&amp;IF(LEN($R1159)&gt;500,"R &gt; 500 karakter.","")))</f>
        <v/>
      </c>
      <c r="AS1159" t="str">
        <f>IFERROR(MATCH(ROW()-1,Calc!$J$2:$J$1601,0),"")</f>
        <v/>
      </c>
      <c r="AT1159" t="str">
        <f>IFERROR(MATCH(ROW()-1,Calc!$K$2:$K$1601,0),"")</f>
        <v/>
      </c>
      <c r="AU1159" t="str">
        <f>IF($AS1159="","",IFERROR(INDEX('TMP Paste'!$D$2:$D$1601,$AS1159)*1000000/$AB1159,""))</f>
        <v/>
      </c>
    </row>
    <row r="1160" spans="1:47">
      <c r="A1160" t="str">
        <f>IF($AS1160="","",INDEX('TMP Paste'!$B$2:$B$1601,$AS1160))</f>
        <v/>
      </c>
      <c r="B1160" t="str">
        <f>IF($AS1160="","",Config!$B$14)</f>
        <v/>
      </c>
      <c r="C1160" t="str">
        <f>IF($AS1160="","",Config!$B$15)</f>
        <v/>
      </c>
      <c r="D1160" t="str">
        <f>IF($AS1160="","",INDEX('TMP Paste'!$B$2:$B$1601,$AS1160))</f>
        <v/>
      </c>
      <c r="E1160" t="str">
        <f>IF($AS1160="","",Config!$B$27)</f>
        <v/>
      </c>
      <c r="F1160" t="str">
        <f>IF($AS1160="","",Config!$B$9)</f>
        <v/>
      </c>
      <c r="G1160" t="str">
        <f>IF($AS1160="","",Config!$B$10)</f>
        <v/>
      </c>
      <c r="H1160" t="str">
        <f>IF($AS1160="","",Config!$B$11)</f>
        <v/>
      </c>
      <c r="I1160" t="str">
        <f>IF($AS1160="","",Config!$B$16)</f>
        <v/>
      </c>
      <c r="J1160" t="str">
        <f>IF($AS1160="","",INDEX('TMP Paste'!$A$2:$A$1601,$AS1160))</f>
        <v/>
      </c>
      <c r="K1160" t="str">
        <f>IF($AS1160="","",INDEX('TMP Paste'!$L$2:$L$1601,$AS1160))</f>
        <v/>
      </c>
      <c r="L1160" t="str">
        <f>IF($AS1160="","",INDEX('TMP Paste'!$I$2:$I$1601,$AS1160))</f>
        <v/>
      </c>
      <c r="M1160" t="str">
        <f>IF($AS1160="","",Config!$B$16)</f>
        <v/>
      </c>
      <c r="N1160" t="str">
        <f t="shared" si="108"/>
        <v/>
      </c>
      <c r="O1160" t="str">
        <f>IF($AS1160="","",INDEX('TMP Paste'!$K$2:$K$1601,$AS1160))</f>
        <v/>
      </c>
      <c r="P1160" t="str">
        <f t="shared" si="109"/>
        <v/>
      </c>
      <c r="Q1160" t="str">
        <f>IF($AS1160="","",INDEX('TMP Paste'!$J$2:$J$1601,$AS1160))</f>
        <v/>
      </c>
      <c r="R1160" t="str">
        <f>IF($AS1160="","",Config!$B$24)</f>
        <v/>
      </c>
      <c r="S1160" t="str">
        <f ca="1">IF($AS1160="","",TEXT(Config!$B$4,"yyyy-mm-dd"))</f>
        <v/>
      </c>
      <c r="T1160" t="str">
        <f>IF($AS1160="","",Config!$B$17)</f>
        <v/>
      </c>
      <c r="U1160" t="str">
        <f>IF($AS1160="","",Config!$B$18)</f>
        <v/>
      </c>
      <c r="V1160" t="str">
        <f>IF($AS1160="","",Config!$B$19)</f>
        <v/>
      </c>
      <c r="W1160" t="str">
        <f>IF($AS1160="","",INDEX('TMP Paste'!$C$2:$C$1601,$AS1160))</f>
        <v/>
      </c>
      <c r="X1160" t="str">
        <f>IF($AS1160="","",Config!$B$29)</f>
        <v/>
      </c>
      <c r="Y1160" t="str">
        <f>IF($AT1160="","",INDEX(Calc!$I$2:$I$1601,$AT1160)&amp;" - "&amp;INDEX(Calc!$D$2:$D$1601,$AT1160)&amp;" koli")</f>
        <v/>
      </c>
      <c r="Z1160" t="str">
        <f>IF($AS1160="","",Config!$B$21)</f>
        <v/>
      </c>
      <c r="AA1160" t="str">
        <f>IF($AS1160="","",Config!$B$22)</f>
        <v/>
      </c>
      <c r="AB1160" t="str">
        <f>IF($AT1160="","",INDEX(Calc!$D$2:$D$1601,$AT1160))</f>
        <v/>
      </c>
      <c r="AC1160" t="str">
        <f>IF($AT1160="","",INDEX(Calc!$G$2:$G$1601,$AT1160))</f>
        <v/>
      </c>
      <c r="AD1160" t="str">
        <f>IF($AS1160="","",Config!$B$23)</f>
        <v/>
      </c>
      <c r="AE1160" t="str">
        <f>IF($AS1160="","",Config!$B$28)</f>
        <v/>
      </c>
      <c r="AF1160" t="str">
        <f t="shared" si="110"/>
        <v/>
      </c>
      <c r="AG1160" t="str">
        <f t="shared" si="111"/>
        <v/>
      </c>
      <c r="AH1160" t="str">
        <f t="shared" si="112"/>
        <v/>
      </c>
      <c r="AI1160" t="str">
        <f>IF($AG1160="","",SUMIF($AG$2:$AG1160,$AG1160,$AH$2:$AH1160))</f>
        <v/>
      </c>
      <c r="AJ1160" t="str">
        <f>IF('TMP Paste'!$F1160="","",IF('TMP Paste'!$B1160="",$AJ1159,'TMP Paste'!$B1160))</f>
        <v/>
      </c>
      <c r="AK1160" t="str">
        <f>IF('TMP Paste'!$F1160="","",N('TMP Paste'!$G1160))</f>
        <v/>
      </c>
      <c r="AL1160" t="str">
        <f>IF('TMP Paste'!$F1160="","",IF('TMP Paste'!$M1160="",$AL1159,'TMP Paste'!$M1160))</f>
        <v/>
      </c>
      <c r="AM1160" t="str">
        <f>IF('TMP Paste'!$F1160="","",IF('TMP Paste'!$N1160="",$AM1159,'TMP Paste'!$N1160))</f>
        <v/>
      </c>
      <c r="AN1160" t="str">
        <f>IF('TMP Paste'!$F1160="","",IF('TMP Paste'!$O1160="",$AN1159,'TMP Paste'!$O1160))</f>
        <v/>
      </c>
      <c r="AO1160" t="str">
        <f>IF('TMP Paste'!$F1160="","",IF('TMP Paste'!$P1160="",$AO1159,'TMP Paste'!$P1160))</f>
        <v/>
      </c>
      <c r="AP1160" t="str">
        <f t="shared" si="113"/>
        <v/>
      </c>
      <c r="AQ1160" t="str">
        <f>IF($AS1160="","",TRIM(IF(COUNTIFS(Calc!$B$2:$B$1601,ROW()-1,Calc!$C$2:$C$1601,"&lt;1")&gt;0,"Ada PO tanpa Koli - cek TMP. ","")&amp;IF(OR($AU1160="",$AU1160&lt;=0),"Volume kosong/0 - dimensi dikosongkan. ","")&amp;IF(AND($AU1160&lt;&gt;"",$AU1160&gt;=1000000),"Volume &gt;= 1.000.000 cm3 (di luar aturan) - dimensi dikosongkan. ","")&amp;IF(LEN($R1160)&gt;500,"R &gt; 500 karakter.","")))</f>
        <v/>
      </c>
      <c r="AS1160" t="str">
        <f>IFERROR(MATCH(ROW()-1,Calc!$J$2:$J$1601,0),"")</f>
        <v/>
      </c>
      <c r="AT1160" t="str">
        <f>IFERROR(MATCH(ROW()-1,Calc!$K$2:$K$1601,0),"")</f>
        <v/>
      </c>
      <c r="AU1160" t="str">
        <f>IF($AS1160="","",IFERROR(INDEX('TMP Paste'!$D$2:$D$1601,$AS1160)*1000000/$AB1160,""))</f>
        <v/>
      </c>
    </row>
    <row r="1161" spans="1:47">
      <c r="A1161" t="str">
        <f>IF($AS1161="","",INDEX('TMP Paste'!$B$2:$B$1601,$AS1161))</f>
        <v/>
      </c>
      <c r="B1161" t="str">
        <f>IF($AS1161="","",Config!$B$14)</f>
        <v/>
      </c>
      <c r="C1161" t="str">
        <f>IF($AS1161="","",Config!$B$15)</f>
        <v/>
      </c>
      <c r="D1161" t="str">
        <f>IF($AS1161="","",INDEX('TMP Paste'!$B$2:$B$1601,$AS1161))</f>
        <v/>
      </c>
      <c r="E1161" t="str">
        <f>IF($AS1161="","",Config!$B$27)</f>
        <v/>
      </c>
      <c r="F1161" t="str">
        <f>IF($AS1161="","",Config!$B$9)</f>
        <v/>
      </c>
      <c r="G1161" t="str">
        <f>IF($AS1161="","",Config!$B$10)</f>
        <v/>
      </c>
      <c r="H1161" t="str">
        <f>IF($AS1161="","",Config!$B$11)</f>
        <v/>
      </c>
      <c r="I1161" t="str">
        <f>IF($AS1161="","",Config!$B$16)</f>
        <v/>
      </c>
      <c r="J1161" t="str">
        <f>IF($AS1161="","",INDEX('TMP Paste'!$A$2:$A$1601,$AS1161))</f>
        <v/>
      </c>
      <c r="K1161" t="str">
        <f>IF($AS1161="","",INDEX('TMP Paste'!$L$2:$L$1601,$AS1161))</f>
        <v/>
      </c>
      <c r="L1161" t="str">
        <f>IF($AS1161="","",INDEX('TMP Paste'!$I$2:$I$1601,$AS1161))</f>
        <v/>
      </c>
      <c r="M1161" t="str">
        <f>IF($AS1161="","",Config!$B$16)</f>
        <v/>
      </c>
      <c r="N1161" t="str">
        <f t="shared" si="108"/>
        <v/>
      </c>
      <c r="O1161" t="str">
        <f>IF($AS1161="","",INDEX('TMP Paste'!$K$2:$K$1601,$AS1161))</f>
        <v/>
      </c>
      <c r="P1161" t="str">
        <f t="shared" si="109"/>
        <v/>
      </c>
      <c r="Q1161" t="str">
        <f>IF($AS1161="","",INDEX('TMP Paste'!$J$2:$J$1601,$AS1161))</f>
        <v/>
      </c>
      <c r="R1161" t="str">
        <f>IF($AS1161="","",Config!$B$24)</f>
        <v/>
      </c>
      <c r="S1161" t="str">
        <f ca="1">IF($AS1161="","",TEXT(Config!$B$4,"yyyy-mm-dd"))</f>
        <v/>
      </c>
      <c r="T1161" t="str">
        <f>IF($AS1161="","",Config!$B$17)</f>
        <v/>
      </c>
      <c r="U1161" t="str">
        <f>IF($AS1161="","",Config!$B$18)</f>
        <v/>
      </c>
      <c r="V1161" t="str">
        <f>IF($AS1161="","",Config!$B$19)</f>
        <v/>
      </c>
      <c r="W1161" t="str">
        <f>IF($AS1161="","",INDEX('TMP Paste'!$C$2:$C$1601,$AS1161))</f>
        <v/>
      </c>
      <c r="X1161" t="str">
        <f>IF($AS1161="","",Config!$B$29)</f>
        <v/>
      </c>
      <c r="Y1161" t="str">
        <f>IF($AT1161="","",INDEX(Calc!$I$2:$I$1601,$AT1161)&amp;" - "&amp;INDEX(Calc!$D$2:$D$1601,$AT1161)&amp;" koli")</f>
        <v/>
      </c>
      <c r="Z1161" t="str">
        <f>IF($AS1161="","",Config!$B$21)</f>
        <v/>
      </c>
      <c r="AA1161" t="str">
        <f>IF($AS1161="","",Config!$B$22)</f>
        <v/>
      </c>
      <c r="AB1161" t="str">
        <f>IF($AT1161="","",INDEX(Calc!$D$2:$D$1601,$AT1161))</f>
        <v/>
      </c>
      <c r="AC1161" t="str">
        <f>IF($AT1161="","",INDEX(Calc!$G$2:$G$1601,$AT1161))</f>
        <v/>
      </c>
      <c r="AD1161" t="str">
        <f>IF($AS1161="","",Config!$B$23)</f>
        <v/>
      </c>
      <c r="AE1161" t="str">
        <f>IF($AS1161="","",Config!$B$28)</f>
        <v/>
      </c>
      <c r="AF1161" t="str">
        <f t="shared" si="110"/>
        <v/>
      </c>
      <c r="AG1161" t="str">
        <f t="shared" si="111"/>
        <v/>
      </c>
      <c r="AH1161" t="str">
        <f t="shared" si="112"/>
        <v/>
      </c>
      <c r="AI1161" t="str">
        <f>IF($AG1161="","",SUMIF($AG$2:$AG1161,$AG1161,$AH$2:$AH1161))</f>
        <v/>
      </c>
      <c r="AJ1161" t="str">
        <f>IF('TMP Paste'!$F1161="","",IF('TMP Paste'!$B1161="",$AJ1160,'TMP Paste'!$B1161))</f>
        <v/>
      </c>
      <c r="AK1161" t="str">
        <f>IF('TMP Paste'!$F1161="","",N('TMP Paste'!$G1161))</f>
        <v/>
      </c>
      <c r="AL1161" t="str">
        <f>IF('TMP Paste'!$F1161="","",IF('TMP Paste'!$M1161="",$AL1160,'TMP Paste'!$M1161))</f>
        <v/>
      </c>
      <c r="AM1161" t="str">
        <f>IF('TMP Paste'!$F1161="","",IF('TMP Paste'!$N1161="",$AM1160,'TMP Paste'!$N1161))</f>
        <v/>
      </c>
      <c r="AN1161" t="str">
        <f>IF('TMP Paste'!$F1161="","",IF('TMP Paste'!$O1161="",$AN1160,'TMP Paste'!$O1161))</f>
        <v/>
      </c>
      <c r="AO1161" t="str">
        <f>IF('TMP Paste'!$F1161="","",IF('TMP Paste'!$P1161="",$AO1160,'TMP Paste'!$P1161))</f>
        <v/>
      </c>
      <c r="AP1161" t="str">
        <f t="shared" si="113"/>
        <v/>
      </c>
      <c r="AQ1161" t="str">
        <f>IF($AS1161="","",TRIM(IF(COUNTIFS(Calc!$B$2:$B$1601,ROW()-1,Calc!$C$2:$C$1601,"&lt;1")&gt;0,"Ada PO tanpa Koli - cek TMP. ","")&amp;IF(OR($AU1161="",$AU1161&lt;=0),"Volume kosong/0 - dimensi dikosongkan. ","")&amp;IF(AND($AU1161&lt;&gt;"",$AU1161&gt;=1000000),"Volume &gt;= 1.000.000 cm3 (di luar aturan) - dimensi dikosongkan. ","")&amp;IF(LEN($R1161)&gt;500,"R &gt; 500 karakter.","")))</f>
        <v/>
      </c>
      <c r="AS1161" t="str">
        <f>IFERROR(MATCH(ROW()-1,Calc!$J$2:$J$1601,0),"")</f>
        <v/>
      </c>
      <c r="AT1161" t="str">
        <f>IFERROR(MATCH(ROW()-1,Calc!$K$2:$K$1601,0),"")</f>
        <v/>
      </c>
      <c r="AU1161" t="str">
        <f>IF($AS1161="","",IFERROR(INDEX('TMP Paste'!$D$2:$D$1601,$AS1161)*1000000/$AB1161,""))</f>
        <v/>
      </c>
    </row>
    <row r="1162" spans="1:47">
      <c r="A1162" t="str">
        <f>IF($AS1162="","",INDEX('TMP Paste'!$B$2:$B$1601,$AS1162))</f>
        <v/>
      </c>
      <c r="B1162" t="str">
        <f>IF($AS1162="","",Config!$B$14)</f>
        <v/>
      </c>
      <c r="C1162" t="str">
        <f>IF($AS1162="","",Config!$B$15)</f>
        <v/>
      </c>
      <c r="D1162" t="str">
        <f>IF($AS1162="","",INDEX('TMP Paste'!$B$2:$B$1601,$AS1162))</f>
        <v/>
      </c>
      <c r="E1162" t="str">
        <f>IF($AS1162="","",Config!$B$27)</f>
        <v/>
      </c>
      <c r="F1162" t="str">
        <f>IF($AS1162="","",Config!$B$9)</f>
        <v/>
      </c>
      <c r="G1162" t="str">
        <f>IF($AS1162="","",Config!$B$10)</f>
        <v/>
      </c>
      <c r="H1162" t="str">
        <f>IF($AS1162="","",Config!$B$11)</f>
        <v/>
      </c>
      <c r="I1162" t="str">
        <f>IF($AS1162="","",Config!$B$16)</f>
        <v/>
      </c>
      <c r="J1162" t="str">
        <f>IF($AS1162="","",INDEX('TMP Paste'!$A$2:$A$1601,$AS1162))</f>
        <v/>
      </c>
      <c r="K1162" t="str">
        <f>IF($AS1162="","",INDEX('TMP Paste'!$L$2:$L$1601,$AS1162))</f>
        <v/>
      </c>
      <c r="L1162" t="str">
        <f>IF($AS1162="","",INDEX('TMP Paste'!$I$2:$I$1601,$AS1162))</f>
        <v/>
      </c>
      <c r="M1162" t="str">
        <f>IF($AS1162="","",Config!$B$16)</f>
        <v/>
      </c>
      <c r="N1162" t="str">
        <f t="shared" si="108"/>
        <v/>
      </c>
      <c r="O1162" t="str">
        <f>IF($AS1162="","",INDEX('TMP Paste'!$K$2:$K$1601,$AS1162))</f>
        <v/>
      </c>
      <c r="P1162" t="str">
        <f t="shared" si="109"/>
        <v/>
      </c>
      <c r="Q1162" t="str">
        <f>IF($AS1162="","",INDEX('TMP Paste'!$J$2:$J$1601,$AS1162))</f>
        <v/>
      </c>
      <c r="R1162" t="str">
        <f>IF($AS1162="","",Config!$B$24)</f>
        <v/>
      </c>
      <c r="S1162" t="str">
        <f ca="1">IF($AS1162="","",TEXT(Config!$B$4,"yyyy-mm-dd"))</f>
        <v/>
      </c>
      <c r="T1162" t="str">
        <f>IF($AS1162="","",Config!$B$17)</f>
        <v/>
      </c>
      <c r="U1162" t="str">
        <f>IF($AS1162="","",Config!$B$18)</f>
        <v/>
      </c>
      <c r="V1162" t="str">
        <f>IF($AS1162="","",Config!$B$19)</f>
        <v/>
      </c>
      <c r="W1162" t="str">
        <f>IF($AS1162="","",INDEX('TMP Paste'!$C$2:$C$1601,$AS1162))</f>
        <v/>
      </c>
      <c r="X1162" t="str">
        <f>IF($AS1162="","",Config!$B$29)</f>
        <v/>
      </c>
      <c r="Y1162" t="str">
        <f>IF($AT1162="","",INDEX(Calc!$I$2:$I$1601,$AT1162)&amp;" - "&amp;INDEX(Calc!$D$2:$D$1601,$AT1162)&amp;" koli")</f>
        <v/>
      </c>
      <c r="Z1162" t="str">
        <f>IF($AS1162="","",Config!$B$21)</f>
        <v/>
      </c>
      <c r="AA1162" t="str">
        <f>IF($AS1162="","",Config!$B$22)</f>
        <v/>
      </c>
      <c r="AB1162" t="str">
        <f>IF($AT1162="","",INDEX(Calc!$D$2:$D$1601,$AT1162))</f>
        <v/>
      </c>
      <c r="AC1162" t="str">
        <f>IF($AT1162="","",INDEX(Calc!$G$2:$G$1601,$AT1162))</f>
        <v/>
      </c>
      <c r="AD1162" t="str">
        <f>IF($AS1162="","",Config!$B$23)</f>
        <v/>
      </c>
      <c r="AE1162" t="str">
        <f>IF($AS1162="","",Config!$B$28)</f>
        <v/>
      </c>
      <c r="AF1162" t="str">
        <f t="shared" si="110"/>
        <v/>
      </c>
      <c r="AG1162" t="str">
        <f t="shared" si="111"/>
        <v/>
      </c>
      <c r="AH1162" t="str">
        <f t="shared" si="112"/>
        <v/>
      </c>
      <c r="AI1162" t="str">
        <f>IF($AG1162="","",SUMIF($AG$2:$AG1162,$AG1162,$AH$2:$AH1162))</f>
        <v/>
      </c>
      <c r="AJ1162" t="str">
        <f>IF('TMP Paste'!$F1162="","",IF('TMP Paste'!$B1162="",$AJ1161,'TMP Paste'!$B1162))</f>
        <v/>
      </c>
      <c r="AK1162" t="str">
        <f>IF('TMP Paste'!$F1162="","",N('TMP Paste'!$G1162))</f>
        <v/>
      </c>
      <c r="AL1162" t="str">
        <f>IF('TMP Paste'!$F1162="","",IF('TMP Paste'!$M1162="",$AL1161,'TMP Paste'!$M1162))</f>
        <v/>
      </c>
      <c r="AM1162" t="str">
        <f>IF('TMP Paste'!$F1162="","",IF('TMP Paste'!$N1162="",$AM1161,'TMP Paste'!$N1162))</f>
        <v/>
      </c>
      <c r="AN1162" t="str">
        <f>IF('TMP Paste'!$F1162="","",IF('TMP Paste'!$O1162="",$AN1161,'TMP Paste'!$O1162))</f>
        <v/>
      </c>
      <c r="AO1162" t="str">
        <f>IF('TMP Paste'!$F1162="","",IF('TMP Paste'!$P1162="",$AO1161,'TMP Paste'!$P1162))</f>
        <v/>
      </c>
      <c r="AP1162" t="str">
        <f t="shared" si="113"/>
        <v/>
      </c>
      <c r="AQ1162" t="str">
        <f>IF($AS1162="","",TRIM(IF(COUNTIFS(Calc!$B$2:$B$1601,ROW()-1,Calc!$C$2:$C$1601,"&lt;1")&gt;0,"Ada PO tanpa Koli - cek TMP. ","")&amp;IF(OR($AU1162="",$AU1162&lt;=0),"Volume kosong/0 - dimensi dikosongkan. ","")&amp;IF(AND($AU1162&lt;&gt;"",$AU1162&gt;=1000000),"Volume &gt;= 1.000.000 cm3 (di luar aturan) - dimensi dikosongkan. ","")&amp;IF(LEN($R1162)&gt;500,"R &gt; 500 karakter.","")))</f>
        <v/>
      </c>
      <c r="AS1162" t="str">
        <f>IFERROR(MATCH(ROW()-1,Calc!$J$2:$J$1601,0),"")</f>
        <v/>
      </c>
      <c r="AT1162" t="str">
        <f>IFERROR(MATCH(ROW()-1,Calc!$K$2:$K$1601,0),"")</f>
        <v/>
      </c>
      <c r="AU1162" t="str">
        <f>IF($AS1162="","",IFERROR(INDEX('TMP Paste'!$D$2:$D$1601,$AS1162)*1000000/$AB1162,""))</f>
        <v/>
      </c>
    </row>
    <row r="1163" spans="1:47">
      <c r="A1163" t="str">
        <f>IF($AS1163="","",INDEX('TMP Paste'!$B$2:$B$1601,$AS1163))</f>
        <v/>
      </c>
      <c r="B1163" t="str">
        <f>IF($AS1163="","",Config!$B$14)</f>
        <v/>
      </c>
      <c r="C1163" t="str">
        <f>IF($AS1163="","",Config!$B$15)</f>
        <v/>
      </c>
      <c r="D1163" t="str">
        <f>IF($AS1163="","",INDEX('TMP Paste'!$B$2:$B$1601,$AS1163))</f>
        <v/>
      </c>
      <c r="E1163" t="str">
        <f>IF($AS1163="","",Config!$B$27)</f>
        <v/>
      </c>
      <c r="F1163" t="str">
        <f>IF($AS1163="","",Config!$B$9)</f>
        <v/>
      </c>
      <c r="G1163" t="str">
        <f>IF($AS1163="","",Config!$B$10)</f>
        <v/>
      </c>
      <c r="H1163" t="str">
        <f>IF($AS1163="","",Config!$B$11)</f>
        <v/>
      </c>
      <c r="I1163" t="str">
        <f>IF($AS1163="","",Config!$B$16)</f>
        <v/>
      </c>
      <c r="J1163" t="str">
        <f>IF($AS1163="","",INDEX('TMP Paste'!$A$2:$A$1601,$AS1163))</f>
        <v/>
      </c>
      <c r="K1163" t="str">
        <f>IF($AS1163="","",INDEX('TMP Paste'!$L$2:$L$1601,$AS1163))</f>
        <v/>
      </c>
      <c r="L1163" t="str">
        <f>IF($AS1163="","",INDEX('TMP Paste'!$I$2:$I$1601,$AS1163))</f>
        <v/>
      </c>
      <c r="M1163" t="str">
        <f>IF($AS1163="","",Config!$B$16)</f>
        <v/>
      </c>
      <c r="N1163" t="str">
        <f t="shared" si="108"/>
        <v/>
      </c>
      <c r="O1163" t="str">
        <f>IF($AS1163="","",INDEX('TMP Paste'!$K$2:$K$1601,$AS1163))</f>
        <v/>
      </c>
      <c r="P1163" t="str">
        <f t="shared" si="109"/>
        <v/>
      </c>
      <c r="Q1163" t="str">
        <f>IF($AS1163="","",INDEX('TMP Paste'!$J$2:$J$1601,$AS1163))</f>
        <v/>
      </c>
      <c r="R1163" t="str">
        <f>IF($AS1163="","",Config!$B$24)</f>
        <v/>
      </c>
      <c r="S1163" t="str">
        <f ca="1">IF($AS1163="","",TEXT(Config!$B$4,"yyyy-mm-dd"))</f>
        <v/>
      </c>
      <c r="T1163" t="str">
        <f>IF($AS1163="","",Config!$B$17)</f>
        <v/>
      </c>
      <c r="U1163" t="str">
        <f>IF($AS1163="","",Config!$B$18)</f>
        <v/>
      </c>
      <c r="V1163" t="str">
        <f>IF($AS1163="","",Config!$B$19)</f>
        <v/>
      </c>
      <c r="W1163" t="str">
        <f>IF($AS1163="","",INDEX('TMP Paste'!$C$2:$C$1601,$AS1163))</f>
        <v/>
      </c>
      <c r="X1163" t="str">
        <f>IF($AS1163="","",Config!$B$29)</f>
        <v/>
      </c>
      <c r="Y1163" t="str">
        <f>IF($AT1163="","",INDEX(Calc!$I$2:$I$1601,$AT1163)&amp;" - "&amp;INDEX(Calc!$D$2:$D$1601,$AT1163)&amp;" koli")</f>
        <v/>
      </c>
      <c r="Z1163" t="str">
        <f>IF($AS1163="","",Config!$B$21)</f>
        <v/>
      </c>
      <c r="AA1163" t="str">
        <f>IF($AS1163="","",Config!$B$22)</f>
        <v/>
      </c>
      <c r="AB1163" t="str">
        <f>IF($AT1163="","",INDEX(Calc!$D$2:$D$1601,$AT1163))</f>
        <v/>
      </c>
      <c r="AC1163" t="str">
        <f>IF($AT1163="","",INDEX(Calc!$G$2:$G$1601,$AT1163))</f>
        <v/>
      </c>
      <c r="AD1163" t="str">
        <f>IF($AS1163="","",Config!$B$23)</f>
        <v/>
      </c>
      <c r="AE1163" t="str">
        <f>IF($AS1163="","",Config!$B$28)</f>
        <v/>
      </c>
      <c r="AF1163" t="str">
        <f t="shared" si="110"/>
        <v/>
      </c>
      <c r="AG1163" t="str">
        <f t="shared" si="111"/>
        <v/>
      </c>
      <c r="AH1163" t="str">
        <f t="shared" si="112"/>
        <v/>
      </c>
      <c r="AI1163" t="str">
        <f>IF($AG1163="","",SUMIF($AG$2:$AG1163,$AG1163,$AH$2:$AH1163))</f>
        <v/>
      </c>
      <c r="AJ1163" t="str">
        <f>IF('TMP Paste'!$F1163="","",IF('TMP Paste'!$B1163="",$AJ1162,'TMP Paste'!$B1163))</f>
        <v/>
      </c>
      <c r="AK1163" t="str">
        <f>IF('TMP Paste'!$F1163="","",N('TMP Paste'!$G1163))</f>
        <v/>
      </c>
      <c r="AL1163" t="str">
        <f>IF('TMP Paste'!$F1163="","",IF('TMP Paste'!$M1163="",$AL1162,'TMP Paste'!$M1163))</f>
        <v/>
      </c>
      <c r="AM1163" t="str">
        <f>IF('TMP Paste'!$F1163="","",IF('TMP Paste'!$N1163="",$AM1162,'TMP Paste'!$N1163))</f>
        <v/>
      </c>
      <c r="AN1163" t="str">
        <f>IF('TMP Paste'!$F1163="","",IF('TMP Paste'!$O1163="",$AN1162,'TMP Paste'!$O1163))</f>
        <v/>
      </c>
      <c r="AO1163" t="str">
        <f>IF('TMP Paste'!$F1163="","",IF('TMP Paste'!$P1163="",$AO1162,'TMP Paste'!$P1163))</f>
        <v/>
      </c>
      <c r="AP1163" t="str">
        <f t="shared" si="113"/>
        <v/>
      </c>
      <c r="AQ1163" t="str">
        <f>IF($AS1163="","",TRIM(IF(COUNTIFS(Calc!$B$2:$B$1601,ROW()-1,Calc!$C$2:$C$1601,"&lt;1")&gt;0,"Ada PO tanpa Koli - cek TMP. ","")&amp;IF(OR($AU1163="",$AU1163&lt;=0),"Volume kosong/0 - dimensi dikosongkan. ","")&amp;IF(AND($AU1163&lt;&gt;"",$AU1163&gt;=1000000),"Volume &gt;= 1.000.000 cm3 (di luar aturan) - dimensi dikosongkan. ","")&amp;IF(LEN($R1163)&gt;500,"R &gt; 500 karakter.","")))</f>
        <v/>
      </c>
      <c r="AS1163" t="str">
        <f>IFERROR(MATCH(ROW()-1,Calc!$J$2:$J$1601,0),"")</f>
        <v/>
      </c>
      <c r="AT1163" t="str">
        <f>IFERROR(MATCH(ROW()-1,Calc!$K$2:$K$1601,0),"")</f>
        <v/>
      </c>
      <c r="AU1163" t="str">
        <f>IF($AS1163="","",IFERROR(INDEX('TMP Paste'!$D$2:$D$1601,$AS1163)*1000000/$AB1163,""))</f>
        <v/>
      </c>
    </row>
    <row r="1164" spans="1:47">
      <c r="A1164" t="str">
        <f>IF($AS1164="","",INDEX('TMP Paste'!$B$2:$B$1601,$AS1164))</f>
        <v/>
      </c>
      <c r="B1164" t="str">
        <f>IF($AS1164="","",Config!$B$14)</f>
        <v/>
      </c>
      <c r="C1164" t="str">
        <f>IF($AS1164="","",Config!$B$15)</f>
        <v/>
      </c>
      <c r="D1164" t="str">
        <f>IF($AS1164="","",INDEX('TMP Paste'!$B$2:$B$1601,$AS1164))</f>
        <v/>
      </c>
      <c r="E1164" t="str">
        <f>IF($AS1164="","",Config!$B$27)</f>
        <v/>
      </c>
      <c r="F1164" t="str">
        <f>IF($AS1164="","",Config!$B$9)</f>
        <v/>
      </c>
      <c r="G1164" t="str">
        <f>IF($AS1164="","",Config!$B$10)</f>
        <v/>
      </c>
      <c r="H1164" t="str">
        <f>IF($AS1164="","",Config!$B$11)</f>
        <v/>
      </c>
      <c r="I1164" t="str">
        <f>IF($AS1164="","",Config!$B$16)</f>
        <v/>
      </c>
      <c r="J1164" t="str">
        <f>IF($AS1164="","",INDEX('TMP Paste'!$A$2:$A$1601,$AS1164))</f>
        <v/>
      </c>
      <c r="K1164" t="str">
        <f>IF($AS1164="","",INDEX('TMP Paste'!$L$2:$L$1601,$AS1164))</f>
        <v/>
      </c>
      <c r="L1164" t="str">
        <f>IF($AS1164="","",INDEX('TMP Paste'!$I$2:$I$1601,$AS1164))</f>
        <v/>
      </c>
      <c r="M1164" t="str">
        <f>IF($AS1164="","",Config!$B$16)</f>
        <v/>
      </c>
      <c r="N1164" t="str">
        <f t="shared" si="108"/>
        <v/>
      </c>
      <c r="O1164" t="str">
        <f>IF($AS1164="","",INDEX('TMP Paste'!$K$2:$K$1601,$AS1164))</f>
        <v/>
      </c>
      <c r="P1164" t="str">
        <f t="shared" si="109"/>
        <v/>
      </c>
      <c r="Q1164" t="str">
        <f>IF($AS1164="","",INDEX('TMP Paste'!$J$2:$J$1601,$AS1164))</f>
        <v/>
      </c>
      <c r="R1164" t="str">
        <f>IF($AS1164="","",Config!$B$24)</f>
        <v/>
      </c>
      <c r="S1164" t="str">
        <f ca="1">IF($AS1164="","",TEXT(Config!$B$4,"yyyy-mm-dd"))</f>
        <v/>
      </c>
      <c r="T1164" t="str">
        <f>IF($AS1164="","",Config!$B$17)</f>
        <v/>
      </c>
      <c r="U1164" t="str">
        <f>IF($AS1164="","",Config!$B$18)</f>
        <v/>
      </c>
      <c r="V1164" t="str">
        <f>IF($AS1164="","",Config!$B$19)</f>
        <v/>
      </c>
      <c r="W1164" t="str">
        <f>IF($AS1164="","",INDEX('TMP Paste'!$C$2:$C$1601,$AS1164))</f>
        <v/>
      </c>
      <c r="X1164" t="str">
        <f>IF($AS1164="","",Config!$B$29)</f>
        <v/>
      </c>
      <c r="Y1164" t="str">
        <f>IF($AT1164="","",INDEX(Calc!$I$2:$I$1601,$AT1164)&amp;" - "&amp;INDEX(Calc!$D$2:$D$1601,$AT1164)&amp;" koli")</f>
        <v/>
      </c>
      <c r="Z1164" t="str">
        <f>IF($AS1164="","",Config!$B$21)</f>
        <v/>
      </c>
      <c r="AA1164" t="str">
        <f>IF($AS1164="","",Config!$B$22)</f>
        <v/>
      </c>
      <c r="AB1164" t="str">
        <f>IF($AT1164="","",INDEX(Calc!$D$2:$D$1601,$AT1164))</f>
        <v/>
      </c>
      <c r="AC1164" t="str">
        <f>IF($AT1164="","",INDEX(Calc!$G$2:$G$1601,$AT1164))</f>
        <v/>
      </c>
      <c r="AD1164" t="str">
        <f>IF($AS1164="","",Config!$B$23)</f>
        <v/>
      </c>
      <c r="AE1164" t="str">
        <f>IF($AS1164="","",Config!$B$28)</f>
        <v/>
      </c>
      <c r="AF1164" t="str">
        <f t="shared" si="110"/>
        <v/>
      </c>
      <c r="AG1164" t="str">
        <f t="shared" si="111"/>
        <v/>
      </c>
      <c r="AH1164" t="str">
        <f t="shared" si="112"/>
        <v/>
      </c>
      <c r="AI1164" t="str">
        <f>IF($AG1164="","",SUMIF($AG$2:$AG1164,$AG1164,$AH$2:$AH1164))</f>
        <v/>
      </c>
      <c r="AJ1164" t="str">
        <f>IF('TMP Paste'!$F1164="","",IF('TMP Paste'!$B1164="",$AJ1163,'TMP Paste'!$B1164))</f>
        <v/>
      </c>
      <c r="AK1164" t="str">
        <f>IF('TMP Paste'!$F1164="","",N('TMP Paste'!$G1164))</f>
        <v/>
      </c>
      <c r="AL1164" t="str">
        <f>IF('TMP Paste'!$F1164="","",IF('TMP Paste'!$M1164="",$AL1163,'TMP Paste'!$M1164))</f>
        <v/>
      </c>
      <c r="AM1164" t="str">
        <f>IF('TMP Paste'!$F1164="","",IF('TMP Paste'!$N1164="",$AM1163,'TMP Paste'!$N1164))</f>
        <v/>
      </c>
      <c r="AN1164" t="str">
        <f>IF('TMP Paste'!$F1164="","",IF('TMP Paste'!$O1164="",$AN1163,'TMP Paste'!$O1164))</f>
        <v/>
      </c>
      <c r="AO1164" t="str">
        <f>IF('TMP Paste'!$F1164="","",IF('TMP Paste'!$P1164="",$AO1163,'TMP Paste'!$P1164))</f>
        <v/>
      </c>
      <c r="AP1164" t="str">
        <f t="shared" si="113"/>
        <v/>
      </c>
      <c r="AQ1164" t="str">
        <f>IF($AS1164="","",TRIM(IF(COUNTIFS(Calc!$B$2:$B$1601,ROW()-1,Calc!$C$2:$C$1601,"&lt;1")&gt;0,"Ada PO tanpa Koli - cek TMP. ","")&amp;IF(OR($AU1164="",$AU1164&lt;=0),"Volume kosong/0 - dimensi dikosongkan. ","")&amp;IF(AND($AU1164&lt;&gt;"",$AU1164&gt;=1000000),"Volume &gt;= 1.000.000 cm3 (di luar aturan) - dimensi dikosongkan. ","")&amp;IF(LEN($R1164)&gt;500,"R &gt; 500 karakter.","")))</f>
        <v/>
      </c>
      <c r="AS1164" t="str">
        <f>IFERROR(MATCH(ROW()-1,Calc!$J$2:$J$1601,0),"")</f>
        <v/>
      </c>
      <c r="AT1164" t="str">
        <f>IFERROR(MATCH(ROW()-1,Calc!$K$2:$K$1601,0),"")</f>
        <v/>
      </c>
      <c r="AU1164" t="str">
        <f>IF($AS1164="","",IFERROR(INDEX('TMP Paste'!$D$2:$D$1601,$AS1164)*1000000/$AB1164,""))</f>
        <v/>
      </c>
    </row>
    <row r="1165" spans="1:47">
      <c r="A1165" t="str">
        <f>IF($AS1165="","",INDEX('TMP Paste'!$B$2:$B$1601,$AS1165))</f>
        <v/>
      </c>
      <c r="B1165" t="str">
        <f>IF($AS1165="","",Config!$B$14)</f>
        <v/>
      </c>
      <c r="C1165" t="str">
        <f>IF($AS1165="","",Config!$B$15)</f>
        <v/>
      </c>
      <c r="D1165" t="str">
        <f>IF($AS1165="","",INDEX('TMP Paste'!$B$2:$B$1601,$AS1165))</f>
        <v/>
      </c>
      <c r="E1165" t="str">
        <f>IF($AS1165="","",Config!$B$27)</f>
        <v/>
      </c>
      <c r="F1165" t="str">
        <f>IF($AS1165="","",Config!$B$9)</f>
        <v/>
      </c>
      <c r="G1165" t="str">
        <f>IF($AS1165="","",Config!$B$10)</f>
        <v/>
      </c>
      <c r="H1165" t="str">
        <f>IF($AS1165="","",Config!$B$11)</f>
        <v/>
      </c>
      <c r="I1165" t="str">
        <f>IF($AS1165="","",Config!$B$16)</f>
        <v/>
      </c>
      <c r="J1165" t="str">
        <f>IF($AS1165="","",INDEX('TMP Paste'!$A$2:$A$1601,$AS1165))</f>
        <v/>
      </c>
      <c r="K1165" t="str">
        <f>IF($AS1165="","",INDEX('TMP Paste'!$L$2:$L$1601,$AS1165))</f>
        <v/>
      </c>
      <c r="L1165" t="str">
        <f>IF($AS1165="","",INDEX('TMP Paste'!$I$2:$I$1601,$AS1165))</f>
        <v/>
      </c>
      <c r="M1165" t="str">
        <f>IF($AS1165="","",Config!$B$16)</f>
        <v/>
      </c>
      <c r="N1165" t="str">
        <f t="shared" si="108"/>
        <v/>
      </c>
      <c r="O1165" t="str">
        <f>IF($AS1165="","",INDEX('TMP Paste'!$K$2:$K$1601,$AS1165))</f>
        <v/>
      </c>
      <c r="P1165" t="str">
        <f t="shared" si="109"/>
        <v/>
      </c>
      <c r="Q1165" t="str">
        <f>IF($AS1165="","",INDEX('TMP Paste'!$J$2:$J$1601,$AS1165))</f>
        <v/>
      </c>
      <c r="R1165" t="str">
        <f>IF($AS1165="","",Config!$B$24)</f>
        <v/>
      </c>
      <c r="S1165" t="str">
        <f ca="1">IF($AS1165="","",TEXT(Config!$B$4,"yyyy-mm-dd"))</f>
        <v/>
      </c>
      <c r="T1165" t="str">
        <f>IF($AS1165="","",Config!$B$17)</f>
        <v/>
      </c>
      <c r="U1165" t="str">
        <f>IF($AS1165="","",Config!$B$18)</f>
        <v/>
      </c>
      <c r="V1165" t="str">
        <f>IF($AS1165="","",Config!$B$19)</f>
        <v/>
      </c>
      <c r="W1165" t="str">
        <f>IF($AS1165="","",INDEX('TMP Paste'!$C$2:$C$1601,$AS1165))</f>
        <v/>
      </c>
      <c r="X1165" t="str">
        <f>IF($AS1165="","",Config!$B$29)</f>
        <v/>
      </c>
      <c r="Y1165" t="str">
        <f>IF($AT1165="","",INDEX(Calc!$I$2:$I$1601,$AT1165)&amp;" - "&amp;INDEX(Calc!$D$2:$D$1601,$AT1165)&amp;" koli")</f>
        <v/>
      </c>
      <c r="Z1165" t="str">
        <f>IF($AS1165="","",Config!$B$21)</f>
        <v/>
      </c>
      <c r="AA1165" t="str">
        <f>IF($AS1165="","",Config!$B$22)</f>
        <v/>
      </c>
      <c r="AB1165" t="str">
        <f>IF($AT1165="","",INDEX(Calc!$D$2:$D$1601,$AT1165))</f>
        <v/>
      </c>
      <c r="AC1165" t="str">
        <f>IF($AT1165="","",INDEX(Calc!$G$2:$G$1601,$AT1165))</f>
        <v/>
      </c>
      <c r="AD1165" t="str">
        <f>IF($AS1165="","",Config!$B$23)</f>
        <v/>
      </c>
      <c r="AE1165" t="str">
        <f>IF($AS1165="","",Config!$B$28)</f>
        <v/>
      </c>
      <c r="AF1165" t="str">
        <f t="shared" si="110"/>
        <v/>
      </c>
      <c r="AG1165" t="str">
        <f t="shared" si="111"/>
        <v/>
      </c>
      <c r="AH1165" t="str">
        <f t="shared" si="112"/>
        <v/>
      </c>
      <c r="AI1165" t="str">
        <f>IF($AG1165="","",SUMIF($AG$2:$AG1165,$AG1165,$AH$2:$AH1165))</f>
        <v/>
      </c>
      <c r="AJ1165" t="str">
        <f>IF('TMP Paste'!$F1165="","",IF('TMP Paste'!$B1165="",$AJ1164,'TMP Paste'!$B1165))</f>
        <v/>
      </c>
      <c r="AK1165" t="str">
        <f>IF('TMP Paste'!$F1165="","",N('TMP Paste'!$G1165))</f>
        <v/>
      </c>
      <c r="AL1165" t="str">
        <f>IF('TMP Paste'!$F1165="","",IF('TMP Paste'!$M1165="",$AL1164,'TMP Paste'!$M1165))</f>
        <v/>
      </c>
      <c r="AM1165" t="str">
        <f>IF('TMP Paste'!$F1165="","",IF('TMP Paste'!$N1165="",$AM1164,'TMP Paste'!$N1165))</f>
        <v/>
      </c>
      <c r="AN1165" t="str">
        <f>IF('TMP Paste'!$F1165="","",IF('TMP Paste'!$O1165="",$AN1164,'TMP Paste'!$O1165))</f>
        <v/>
      </c>
      <c r="AO1165" t="str">
        <f>IF('TMP Paste'!$F1165="","",IF('TMP Paste'!$P1165="",$AO1164,'TMP Paste'!$P1165))</f>
        <v/>
      </c>
      <c r="AP1165" t="str">
        <f t="shared" si="113"/>
        <v/>
      </c>
      <c r="AQ1165" t="str">
        <f>IF($AS1165="","",TRIM(IF(COUNTIFS(Calc!$B$2:$B$1601,ROW()-1,Calc!$C$2:$C$1601,"&lt;1")&gt;0,"Ada PO tanpa Koli - cek TMP. ","")&amp;IF(OR($AU1165="",$AU1165&lt;=0),"Volume kosong/0 - dimensi dikosongkan. ","")&amp;IF(AND($AU1165&lt;&gt;"",$AU1165&gt;=1000000),"Volume &gt;= 1.000.000 cm3 (di luar aturan) - dimensi dikosongkan. ","")&amp;IF(LEN($R1165)&gt;500,"R &gt; 500 karakter.","")))</f>
        <v/>
      </c>
      <c r="AS1165" t="str">
        <f>IFERROR(MATCH(ROW()-1,Calc!$J$2:$J$1601,0),"")</f>
        <v/>
      </c>
      <c r="AT1165" t="str">
        <f>IFERROR(MATCH(ROW()-1,Calc!$K$2:$K$1601,0),"")</f>
        <v/>
      </c>
      <c r="AU1165" t="str">
        <f>IF($AS1165="","",IFERROR(INDEX('TMP Paste'!$D$2:$D$1601,$AS1165)*1000000/$AB1165,""))</f>
        <v/>
      </c>
    </row>
    <row r="1166" spans="1:47">
      <c r="A1166" t="str">
        <f>IF($AS1166="","",INDEX('TMP Paste'!$B$2:$B$1601,$AS1166))</f>
        <v/>
      </c>
      <c r="B1166" t="str">
        <f>IF($AS1166="","",Config!$B$14)</f>
        <v/>
      </c>
      <c r="C1166" t="str">
        <f>IF($AS1166="","",Config!$B$15)</f>
        <v/>
      </c>
      <c r="D1166" t="str">
        <f>IF($AS1166="","",INDEX('TMP Paste'!$B$2:$B$1601,$AS1166))</f>
        <v/>
      </c>
      <c r="E1166" t="str">
        <f>IF($AS1166="","",Config!$B$27)</f>
        <v/>
      </c>
      <c r="F1166" t="str">
        <f>IF($AS1166="","",Config!$B$9)</f>
        <v/>
      </c>
      <c r="G1166" t="str">
        <f>IF($AS1166="","",Config!$B$10)</f>
        <v/>
      </c>
      <c r="H1166" t="str">
        <f>IF($AS1166="","",Config!$B$11)</f>
        <v/>
      </c>
      <c r="I1166" t="str">
        <f>IF($AS1166="","",Config!$B$16)</f>
        <v/>
      </c>
      <c r="J1166" t="str">
        <f>IF($AS1166="","",INDEX('TMP Paste'!$A$2:$A$1601,$AS1166))</f>
        <v/>
      </c>
      <c r="K1166" t="str">
        <f>IF($AS1166="","",INDEX('TMP Paste'!$L$2:$L$1601,$AS1166))</f>
        <v/>
      </c>
      <c r="L1166" t="str">
        <f>IF($AS1166="","",INDEX('TMP Paste'!$I$2:$I$1601,$AS1166))</f>
        <v/>
      </c>
      <c r="M1166" t="str">
        <f>IF($AS1166="","",Config!$B$16)</f>
        <v/>
      </c>
      <c r="N1166" t="str">
        <f t="shared" si="108"/>
        <v/>
      </c>
      <c r="O1166" t="str">
        <f>IF($AS1166="","",INDEX('TMP Paste'!$K$2:$K$1601,$AS1166))</f>
        <v/>
      </c>
      <c r="P1166" t="str">
        <f t="shared" si="109"/>
        <v/>
      </c>
      <c r="Q1166" t="str">
        <f>IF($AS1166="","",INDEX('TMP Paste'!$J$2:$J$1601,$AS1166))</f>
        <v/>
      </c>
      <c r="R1166" t="str">
        <f>IF($AS1166="","",Config!$B$24)</f>
        <v/>
      </c>
      <c r="S1166" t="str">
        <f ca="1">IF($AS1166="","",TEXT(Config!$B$4,"yyyy-mm-dd"))</f>
        <v/>
      </c>
      <c r="T1166" t="str">
        <f>IF($AS1166="","",Config!$B$17)</f>
        <v/>
      </c>
      <c r="U1166" t="str">
        <f>IF($AS1166="","",Config!$B$18)</f>
        <v/>
      </c>
      <c r="V1166" t="str">
        <f>IF($AS1166="","",Config!$B$19)</f>
        <v/>
      </c>
      <c r="W1166" t="str">
        <f>IF($AS1166="","",INDEX('TMP Paste'!$C$2:$C$1601,$AS1166))</f>
        <v/>
      </c>
      <c r="X1166" t="str">
        <f>IF($AS1166="","",Config!$B$29)</f>
        <v/>
      </c>
      <c r="Y1166" t="str">
        <f>IF($AT1166="","",INDEX(Calc!$I$2:$I$1601,$AT1166)&amp;" - "&amp;INDEX(Calc!$D$2:$D$1601,$AT1166)&amp;" koli")</f>
        <v/>
      </c>
      <c r="Z1166" t="str">
        <f>IF($AS1166="","",Config!$B$21)</f>
        <v/>
      </c>
      <c r="AA1166" t="str">
        <f>IF($AS1166="","",Config!$B$22)</f>
        <v/>
      </c>
      <c r="AB1166" t="str">
        <f>IF($AT1166="","",INDEX(Calc!$D$2:$D$1601,$AT1166))</f>
        <v/>
      </c>
      <c r="AC1166" t="str">
        <f>IF($AT1166="","",INDEX(Calc!$G$2:$G$1601,$AT1166))</f>
        <v/>
      </c>
      <c r="AD1166" t="str">
        <f>IF($AS1166="","",Config!$B$23)</f>
        <v/>
      </c>
      <c r="AE1166" t="str">
        <f>IF($AS1166="","",Config!$B$28)</f>
        <v/>
      </c>
      <c r="AF1166" t="str">
        <f t="shared" si="110"/>
        <v/>
      </c>
      <c r="AG1166" t="str">
        <f t="shared" si="111"/>
        <v/>
      </c>
      <c r="AH1166" t="str">
        <f t="shared" si="112"/>
        <v/>
      </c>
      <c r="AI1166" t="str">
        <f>IF($AG1166="","",SUMIF($AG$2:$AG1166,$AG1166,$AH$2:$AH1166))</f>
        <v/>
      </c>
      <c r="AJ1166" t="str">
        <f>IF('TMP Paste'!$F1166="","",IF('TMP Paste'!$B1166="",$AJ1165,'TMP Paste'!$B1166))</f>
        <v/>
      </c>
      <c r="AK1166" t="str">
        <f>IF('TMP Paste'!$F1166="","",N('TMP Paste'!$G1166))</f>
        <v/>
      </c>
      <c r="AL1166" t="str">
        <f>IF('TMP Paste'!$F1166="","",IF('TMP Paste'!$M1166="",$AL1165,'TMP Paste'!$M1166))</f>
        <v/>
      </c>
      <c r="AM1166" t="str">
        <f>IF('TMP Paste'!$F1166="","",IF('TMP Paste'!$N1166="",$AM1165,'TMP Paste'!$N1166))</f>
        <v/>
      </c>
      <c r="AN1166" t="str">
        <f>IF('TMP Paste'!$F1166="","",IF('TMP Paste'!$O1166="",$AN1165,'TMP Paste'!$O1166))</f>
        <v/>
      </c>
      <c r="AO1166" t="str">
        <f>IF('TMP Paste'!$F1166="","",IF('TMP Paste'!$P1166="",$AO1165,'TMP Paste'!$P1166))</f>
        <v/>
      </c>
      <c r="AP1166" t="str">
        <f t="shared" si="113"/>
        <v/>
      </c>
      <c r="AQ1166" t="str">
        <f>IF($AS1166="","",TRIM(IF(COUNTIFS(Calc!$B$2:$B$1601,ROW()-1,Calc!$C$2:$C$1601,"&lt;1")&gt;0,"Ada PO tanpa Koli - cek TMP. ","")&amp;IF(OR($AU1166="",$AU1166&lt;=0),"Volume kosong/0 - dimensi dikosongkan. ","")&amp;IF(AND($AU1166&lt;&gt;"",$AU1166&gt;=1000000),"Volume &gt;= 1.000.000 cm3 (di luar aturan) - dimensi dikosongkan. ","")&amp;IF(LEN($R1166)&gt;500,"R &gt; 500 karakter.","")))</f>
        <v/>
      </c>
      <c r="AS1166" t="str">
        <f>IFERROR(MATCH(ROW()-1,Calc!$J$2:$J$1601,0),"")</f>
        <v/>
      </c>
      <c r="AT1166" t="str">
        <f>IFERROR(MATCH(ROW()-1,Calc!$K$2:$K$1601,0),"")</f>
        <v/>
      </c>
      <c r="AU1166" t="str">
        <f>IF($AS1166="","",IFERROR(INDEX('TMP Paste'!$D$2:$D$1601,$AS1166)*1000000/$AB1166,""))</f>
        <v/>
      </c>
    </row>
    <row r="1167" spans="1:47">
      <c r="A1167" t="str">
        <f>IF($AS1167="","",INDEX('TMP Paste'!$B$2:$B$1601,$AS1167))</f>
        <v/>
      </c>
      <c r="B1167" t="str">
        <f>IF($AS1167="","",Config!$B$14)</f>
        <v/>
      </c>
      <c r="C1167" t="str">
        <f>IF($AS1167="","",Config!$B$15)</f>
        <v/>
      </c>
      <c r="D1167" t="str">
        <f>IF($AS1167="","",INDEX('TMP Paste'!$B$2:$B$1601,$AS1167))</f>
        <v/>
      </c>
      <c r="E1167" t="str">
        <f>IF($AS1167="","",Config!$B$27)</f>
        <v/>
      </c>
      <c r="F1167" t="str">
        <f>IF($AS1167="","",Config!$B$9)</f>
        <v/>
      </c>
      <c r="G1167" t="str">
        <f>IF($AS1167="","",Config!$B$10)</f>
        <v/>
      </c>
      <c r="H1167" t="str">
        <f>IF($AS1167="","",Config!$B$11)</f>
        <v/>
      </c>
      <c r="I1167" t="str">
        <f>IF($AS1167="","",Config!$B$16)</f>
        <v/>
      </c>
      <c r="J1167" t="str">
        <f>IF($AS1167="","",INDEX('TMP Paste'!$A$2:$A$1601,$AS1167))</f>
        <v/>
      </c>
      <c r="K1167" t="str">
        <f>IF($AS1167="","",INDEX('TMP Paste'!$L$2:$L$1601,$AS1167))</f>
        <v/>
      </c>
      <c r="L1167" t="str">
        <f>IF($AS1167="","",INDEX('TMP Paste'!$I$2:$I$1601,$AS1167))</f>
        <v/>
      </c>
      <c r="M1167" t="str">
        <f>IF($AS1167="","",Config!$B$16)</f>
        <v/>
      </c>
      <c r="N1167" t="str">
        <f t="shared" si="108"/>
        <v/>
      </c>
      <c r="O1167" t="str">
        <f>IF($AS1167="","",INDEX('TMP Paste'!$K$2:$K$1601,$AS1167))</f>
        <v/>
      </c>
      <c r="P1167" t="str">
        <f t="shared" si="109"/>
        <v/>
      </c>
      <c r="Q1167" t="str">
        <f>IF($AS1167="","",INDEX('TMP Paste'!$J$2:$J$1601,$AS1167))</f>
        <v/>
      </c>
      <c r="R1167" t="str">
        <f>IF($AS1167="","",Config!$B$24)</f>
        <v/>
      </c>
      <c r="S1167" t="str">
        <f ca="1">IF($AS1167="","",TEXT(Config!$B$4,"yyyy-mm-dd"))</f>
        <v/>
      </c>
      <c r="T1167" t="str">
        <f>IF($AS1167="","",Config!$B$17)</f>
        <v/>
      </c>
      <c r="U1167" t="str">
        <f>IF($AS1167="","",Config!$B$18)</f>
        <v/>
      </c>
      <c r="V1167" t="str">
        <f>IF($AS1167="","",Config!$B$19)</f>
        <v/>
      </c>
      <c r="W1167" t="str">
        <f>IF($AS1167="","",INDEX('TMP Paste'!$C$2:$C$1601,$AS1167))</f>
        <v/>
      </c>
      <c r="X1167" t="str">
        <f>IF($AS1167="","",Config!$B$29)</f>
        <v/>
      </c>
      <c r="Y1167" t="str">
        <f>IF($AT1167="","",INDEX(Calc!$I$2:$I$1601,$AT1167)&amp;" - "&amp;INDEX(Calc!$D$2:$D$1601,$AT1167)&amp;" koli")</f>
        <v/>
      </c>
      <c r="Z1167" t="str">
        <f>IF($AS1167="","",Config!$B$21)</f>
        <v/>
      </c>
      <c r="AA1167" t="str">
        <f>IF($AS1167="","",Config!$B$22)</f>
        <v/>
      </c>
      <c r="AB1167" t="str">
        <f>IF($AT1167="","",INDEX(Calc!$D$2:$D$1601,$AT1167))</f>
        <v/>
      </c>
      <c r="AC1167" t="str">
        <f>IF($AT1167="","",INDEX(Calc!$G$2:$G$1601,$AT1167))</f>
        <v/>
      </c>
      <c r="AD1167" t="str">
        <f>IF($AS1167="","",Config!$B$23)</f>
        <v/>
      </c>
      <c r="AE1167" t="str">
        <f>IF($AS1167="","",Config!$B$28)</f>
        <v/>
      </c>
      <c r="AF1167" t="str">
        <f t="shared" si="110"/>
        <v/>
      </c>
      <c r="AG1167" t="str">
        <f t="shared" si="111"/>
        <v/>
      </c>
      <c r="AH1167" t="str">
        <f t="shared" si="112"/>
        <v/>
      </c>
      <c r="AI1167" t="str">
        <f>IF($AG1167="","",SUMIF($AG$2:$AG1167,$AG1167,$AH$2:$AH1167))</f>
        <v/>
      </c>
      <c r="AJ1167" t="str">
        <f>IF('TMP Paste'!$F1167="","",IF('TMP Paste'!$B1167="",$AJ1166,'TMP Paste'!$B1167))</f>
        <v/>
      </c>
      <c r="AK1167" t="str">
        <f>IF('TMP Paste'!$F1167="","",N('TMP Paste'!$G1167))</f>
        <v/>
      </c>
      <c r="AL1167" t="str">
        <f>IF('TMP Paste'!$F1167="","",IF('TMP Paste'!$M1167="",$AL1166,'TMP Paste'!$M1167))</f>
        <v/>
      </c>
      <c r="AM1167" t="str">
        <f>IF('TMP Paste'!$F1167="","",IF('TMP Paste'!$N1167="",$AM1166,'TMP Paste'!$N1167))</f>
        <v/>
      </c>
      <c r="AN1167" t="str">
        <f>IF('TMP Paste'!$F1167="","",IF('TMP Paste'!$O1167="",$AN1166,'TMP Paste'!$O1167))</f>
        <v/>
      </c>
      <c r="AO1167" t="str">
        <f>IF('TMP Paste'!$F1167="","",IF('TMP Paste'!$P1167="",$AO1166,'TMP Paste'!$P1167))</f>
        <v/>
      </c>
      <c r="AP1167" t="str">
        <f t="shared" si="113"/>
        <v/>
      </c>
      <c r="AQ1167" t="str">
        <f>IF($AS1167="","",TRIM(IF(COUNTIFS(Calc!$B$2:$B$1601,ROW()-1,Calc!$C$2:$C$1601,"&lt;1")&gt;0,"Ada PO tanpa Koli - cek TMP. ","")&amp;IF(OR($AU1167="",$AU1167&lt;=0),"Volume kosong/0 - dimensi dikosongkan. ","")&amp;IF(AND($AU1167&lt;&gt;"",$AU1167&gt;=1000000),"Volume &gt;= 1.000.000 cm3 (di luar aturan) - dimensi dikosongkan. ","")&amp;IF(LEN($R1167)&gt;500,"R &gt; 500 karakter.","")))</f>
        <v/>
      </c>
      <c r="AS1167" t="str">
        <f>IFERROR(MATCH(ROW()-1,Calc!$J$2:$J$1601,0),"")</f>
        <v/>
      </c>
      <c r="AT1167" t="str">
        <f>IFERROR(MATCH(ROW()-1,Calc!$K$2:$K$1601,0),"")</f>
        <v/>
      </c>
      <c r="AU1167" t="str">
        <f>IF($AS1167="","",IFERROR(INDEX('TMP Paste'!$D$2:$D$1601,$AS1167)*1000000/$AB1167,""))</f>
        <v/>
      </c>
    </row>
    <row r="1168" spans="1:47">
      <c r="A1168" t="str">
        <f>IF($AS1168="","",INDEX('TMP Paste'!$B$2:$B$1601,$AS1168))</f>
        <v/>
      </c>
      <c r="B1168" t="str">
        <f>IF($AS1168="","",Config!$B$14)</f>
        <v/>
      </c>
      <c r="C1168" t="str">
        <f>IF($AS1168="","",Config!$B$15)</f>
        <v/>
      </c>
      <c r="D1168" t="str">
        <f>IF($AS1168="","",INDEX('TMP Paste'!$B$2:$B$1601,$AS1168))</f>
        <v/>
      </c>
      <c r="E1168" t="str">
        <f>IF($AS1168="","",Config!$B$27)</f>
        <v/>
      </c>
      <c r="F1168" t="str">
        <f>IF($AS1168="","",Config!$B$9)</f>
        <v/>
      </c>
      <c r="G1168" t="str">
        <f>IF($AS1168="","",Config!$B$10)</f>
        <v/>
      </c>
      <c r="H1168" t="str">
        <f>IF($AS1168="","",Config!$B$11)</f>
        <v/>
      </c>
      <c r="I1168" t="str">
        <f>IF($AS1168="","",Config!$B$16)</f>
        <v/>
      </c>
      <c r="J1168" t="str">
        <f>IF($AS1168="","",INDEX('TMP Paste'!$A$2:$A$1601,$AS1168))</f>
        <v/>
      </c>
      <c r="K1168" t="str">
        <f>IF($AS1168="","",INDEX('TMP Paste'!$L$2:$L$1601,$AS1168))</f>
        <v/>
      </c>
      <c r="L1168" t="str">
        <f>IF($AS1168="","",INDEX('TMP Paste'!$I$2:$I$1601,$AS1168))</f>
        <v/>
      </c>
      <c r="M1168" t="str">
        <f>IF($AS1168="","",Config!$B$16)</f>
        <v/>
      </c>
      <c r="N1168" t="str">
        <f t="shared" si="108"/>
        <v/>
      </c>
      <c r="O1168" t="str">
        <f>IF($AS1168="","",INDEX('TMP Paste'!$K$2:$K$1601,$AS1168))</f>
        <v/>
      </c>
      <c r="P1168" t="str">
        <f t="shared" si="109"/>
        <v/>
      </c>
      <c r="Q1168" t="str">
        <f>IF($AS1168="","",INDEX('TMP Paste'!$J$2:$J$1601,$AS1168))</f>
        <v/>
      </c>
      <c r="R1168" t="str">
        <f>IF($AS1168="","",Config!$B$24)</f>
        <v/>
      </c>
      <c r="S1168" t="str">
        <f ca="1">IF($AS1168="","",TEXT(Config!$B$4,"yyyy-mm-dd"))</f>
        <v/>
      </c>
      <c r="T1168" t="str">
        <f>IF($AS1168="","",Config!$B$17)</f>
        <v/>
      </c>
      <c r="U1168" t="str">
        <f>IF($AS1168="","",Config!$B$18)</f>
        <v/>
      </c>
      <c r="V1168" t="str">
        <f>IF($AS1168="","",Config!$B$19)</f>
        <v/>
      </c>
      <c r="W1168" t="str">
        <f>IF($AS1168="","",INDEX('TMP Paste'!$C$2:$C$1601,$AS1168))</f>
        <v/>
      </c>
      <c r="X1168" t="str">
        <f>IF($AS1168="","",Config!$B$29)</f>
        <v/>
      </c>
      <c r="Y1168" t="str">
        <f>IF($AT1168="","",INDEX(Calc!$I$2:$I$1601,$AT1168)&amp;" - "&amp;INDEX(Calc!$D$2:$D$1601,$AT1168)&amp;" koli")</f>
        <v/>
      </c>
      <c r="Z1168" t="str">
        <f>IF($AS1168="","",Config!$B$21)</f>
        <v/>
      </c>
      <c r="AA1168" t="str">
        <f>IF($AS1168="","",Config!$B$22)</f>
        <v/>
      </c>
      <c r="AB1168" t="str">
        <f>IF($AT1168="","",INDEX(Calc!$D$2:$D$1601,$AT1168))</f>
        <v/>
      </c>
      <c r="AC1168" t="str">
        <f>IF($AT1168="","",INDEX(Calc!$G$2:$G$1601,$AT1168))</f>
        <v/>
      </c>
      <c r="AD1168" t="str">
        <f>IF($AS1168="","",Config!$B$23)</f>
        <v/>
      </c>
      <c r="AE1168" t="str">
        <f>IF($AS1168="","",Config!$B$28)</f>
        <v/>
      </c>
      <c r="AF1168" t="str">
        <f t="shared" si="110"/>
        <v/>
      </c>
      <c r="AG1168" t="str">
        <f t="shared" si="111"/>
        <v/>
      </c>
      <c r="AH1168" t="str">
        <f t="shared" si="112"/>
        <v/>
      </c>
      <c r="AI1168" t="str">
        <f>IF($AG1168="","",SUMIF($AG$2:$AG1168,$AG1168,$AH$2:$AH1168))</f>
        <v/>
      </c>
      <c r="AJ1168" t="str">
        <f>IF('TMP Paste'!$F1168="","",IF('TMP Paste'!$B1168="",$AJ1167,'TMP Paste'!$B1168))</f>
        <v/>
      </c>
      <c r="AK1168" t="str">
        <f>IF('TMP Paste'!$F1168="","",N('TMP Paste'!$G1168))</f>
        <v/>
      </c>
      <c r="AL1168" t="str">
        <f>IF('TMP Paste'!$F1168="","",IF('TMP Paste'!$M1168="",$AL1167,'TMP Paste'!$M1168))</f>
        <v/>
      </c>
      <c r="AM1168" t="str">
        <f>IF('TMP Paste'!$F1168="","",IF('TMP Paste'!$N1168="",$AM1167,'TMP Paste'!$N1168))</f>
        <v/>
      </c>
      <c r="AN1168" t="str">
        <f>IF('TMP Paste'!$F1168="","",IF('TMP Paste'!$O1168="",$AN1167,'TMP Paste'!$O1168))</f>
        <v/>
      </c>
      <c r="AO1168" t="str">
        <f>IF('TMP Paste'!$F1168="","",IF('TMP Paste'!$P1168="",$AO1167,'TMP Paste'!$P1168))</f>
        <v/>
      </c>
      <c r="AP1168" t="str">
        <f t="shared" si="113"/>
        <v/>
      </c>
      <c r="AQ1168" t="str">
        <f>IF($AS1168="","",TRIM(IF(COUNTIFS(Calc!$B$2:$B$1601,ROW()-1,Calc!$C$2:$C$1601,"&lt;1")&gt;0,"Ada PO tanpa Koli - cek TMP. ","")&amp;IF(OR($AU1168="",$AU1168&lt;=0),"Volume kosong/0 - dimensi dikosongkan. ","")&amp;IF(AND($AU1168&lt;&gt;"",$AU1168&gt;=1000000),"Volume &gt;= 1.000.000 cm3 (di luar aturan) - dimensi dikosongkan. ","")&amp;IF(LEN($R1168)&gt;500,"R &gt; 500 karakter.","")))</f>
        <v/>
      </c>
      <c r="AS1168" t="str">
        <f>IFERROR(MATCH(ROW()-1,Calc!$J$2:$J$1601,0),"")</f>
        <v/>
      </c>
      <c r="AT1168" t="str">
        <f>IFERROR(MATCH(ROW()-1,Calc!$K$2:$K$1601,0),"")</f>
        <v/>
      </c>
      <c r="AU1168" t="str">
        <f>IF($AS1168="","",IFERROR(INDEX('TMP Paste'!$D$2:$D$1601,$AS1168)*1000000/$AB1168,""))</f>
        <v/>
      </c>
    </row>
    <row r="1169" spans="1:47">
      <c r="A1169" t="str">
        <f>IF($AS1169="","",INDEX('TMP Paste'!$B$2:$B$1601,$AS1169))</f>
        <v/>
      </c>
      <c r="B1169" t="str">
        <f>IF($AS1169="","",Config!$B$14)</f>
        <v/>
      </c>
      <c r="C1169" t="str">
        <f>IF($AS1169="","",Config!$B$15)</f>
        <v/>
      </c>
      <c r="D1169" t="str">
        <f>IF($AS1169="","",INDEX('TMP Paste'!$B$2:$B$1601,$AS1169))</f>
        <v/>
      </c>
      <c r="E1169" t="str">
        <f>IF($AS1169="","",Config!$B$27)</f>
        <v/>
      </c>
      <c r="F1169" t="str">
        <f>IF($AS1169="","",Config!$B$9)</f>
        <v/>
      </c>
      <c r="G1169" t="str">
        <f>IF($AS1169="","",Config!$B$10)</f>
        <v/>
      </c>
      <c r="H1169" t="str">
        <f>IF($AS1169="","",Config!$B$11)</f>
        <v/>
      </c>
      <c r="I1169" t="str">
        <f>IF($AS1169="","",Config!$B$16)</f>
        <v/>
      </c>
      <c r="J1169" t="str">
        <f>IF($AS1169="","",INDEX('TMP Paste'!$A$2:$A$1601,$AS1169))</f>
        <v/>
      </c>
      <c r="K1169" t="str">
        <f>IF($AS1169="","",INDEX('TMP Paste'!$L$2:$L$1601,$AS1169))</f>
        <v/>
      </c>
      <c r="L1169" t="str">
        <f>IF($AS1169="","",INDEX('TMP Paste'!$I$2:$I$1601,$AS1169))</f>
        <v/>
      </c>
      <c r="M1169" t="str">
        <f>IF($AS1169="","",Config!$B$16)</f>
        <v/>
      </c>
      <c r="N1169" t="str">
        <f t="shared" si="108"/>
        <v/>
      </c>
      <c r="O1169" t="str">
        <f>IF($AS1169="","",INDEX('TMP Paste'!$K$2:$K$1601,$AS1169))</f>
        <v/>
      </c>
      <c r="P1169" t="str">
        <f t="shared" si="109"/>
        <v/>
      </c>
      <c r="Q1169" t="str">
        <f>IF($AS1169="","",INDEX('TMP Paste'!$J$2:$J$1601,$AS1169))</f>
        <v/>
      </c>
      <c r="R1169" t="str">
        <f>IF($AS1169="","",Config!$B$24)</f>
        <v/>
      </c>
      <c r="S1169" t="str">
        <f ca="1">IF($AS1169="","",TEXT(Config!$B$4,"yyyy-mm-dd"))</f>
        <v/>
      </c>
      <c r="T1169" t="str">
        <f>IF($AS1169="","",Config!$B$17)</f>
        <v/>
      </c>
      <c r="U1169" t="str">
        <f>IF($AS1169="","",Config!$B$18)</f>
        <v/>
      </c>
      <c r="V1169" t="str">
        <f>IF($AS1169="","",Config!$B$19)</f>
        <v/>
      </c>
      <c r="W1169" t="str">
        <f>IF($AS1169="","",INDEX('TMP Paste'!$C$2:$C$1601,$AS1169))</f>
        <v/>
      </c>
      <c r="X1169" t="str">
        <f>IF($AS1169="","",Config!$B$29)</f>
        <v/>
      </c>
      <c r="Y1169" t="str">
        <f>IF($AT1169="","",INDEX(Calc!$I$2:$I$1601,$AT1169)&amp;" - "&amp;INDEX(Calc!$D$2:$D$1601,$AT1169)&amp;" koli")</f>
        <v/>
      </c>
      <c r="Z1169" t="str">
        <f>IF($AS1169="","",Config!$B$21)</f>
        <v/>
      </c>
      <c r="AA1169" t="str">
        <f>IF($AS1169="","",Config!$B$22)</f>
        <v/>
      </c>
      <c r="AB1169" t="str">
        <f>IF($AT1169="","",INDEX(Calc!$D$2:$D$1601,$AT1169))</f>
        <v/>
      </c>
      <c r="AC1169" t="str">
        <f>IF($AT1169="","",INDEX(Calc!$G$2:$G$1601,$AT1169))</f>
        <v/>
      </c>
      <c r="AD1169" t="str">
        <f>IF($AS1169="","",Config!$B$23)</f>
        <v/>
      </c>
      <c r="AE1169" t="str">
        <f>IF($AS1169="","",Config!$B$28)</f>
        <v/>
      </c>
      <c r="AF1169" t="str">
        <f t="shared" si="110"/>
        <v/>
      </c>
      <c r="AG1169" t="str">
        <f t="shared" si="111"/>
        <v/>
      </c>
      <c r="AH1169" t="str">
        <f t="shared" si="112"/>
        <v/>
      </c>
      <c r="AI1169" t="str">
        <f>IF($AG1169="","",SUMIF($AG$2:$AG1169,$AG1169,$AH$2:$AH1169))</f>
        <v/>
      </c>
      <c r="AJ1169" t="str">
        <f>IF('TMP Paste'!$F1169="","",IF('TMP Paste'!$B1169="",$AJ1168,'TMP Paste'!$B1169))</f>
        <v/>
      </c>
      <c r="AK1169" t="str">
        <f>IF('TMP Paste'!$F1169="","",N('TMP Paste'!$G1169))</f>
        <v/>
      </c>
      <c r="AL1169" t="str">
        <f>IF('TMP Paste'!$F1169="","",IF('TMP Paste'!$M1169="",$AL1168,'TMP Paste'!$M1169))</f>
        <v/>
      </c>
      <c r="AM1169" t="str">
        <f>IF('TMP Paste'!$F1169="","",IF('TMP Paste'!$N1169="",$AM1168,'TMP Paste'!$N1169))</f>
        <v/>
      </c>
      <c r="AN1169" t="str">
        <f>IF('TMP Paste'!$F1169="","",IF('TMP Paste'!$O1169="",$AN1168,'TMP Paste'!$O1169))</f>
        <v/>
      </c>
      <c r="AO1169" t="str">
        <f>IF('TMP Paste'!$F1169="","",IF('TMP Paste'!$P1169="",$AO1168,'TMP Paste'!$P1169))</f>
        <v/>
      </c>
      <c r="AP1169" t="str">
        <f t="shared" si="113"/>
        <v/>
      </c>
      <c r="AQ1169" t="str">
        <f>IF($AS1169="","",TRIM(IF(COUNTIFS(Calc!$B$2:$B$1601,ROW()-1,Calc!$C$2:$C$1601,"&lt;1")&gt;0,"Ada PO tanpa Koli - cek TMP. ","")&amp;IF(OR($AU1169="",$AU1169&lt;=0),"Volume kosong/0 - dimensi dikosongkan. ","")&amp;IF(AND($AU1169&lt;&gt;"",$AU1169&gt;=1000000),"Volume &gt;= 1.000.000 cm3 (di luar aturan) - dimensi dikosongkan. ","")&amp;IF(LEN($R1169)&gt;500,"R &gt; 500 karakter.","")))</f>
        <v/>
      </c>
      <c r="AS1169" t="str">
        <f>IFERROR(MATCH(ROW()-1,Calc!$J$2:$J$1601,0),"")</f>
        <v/>
      </c>
      <c r="AT1169" t="str">
        <f>IFERROR(MATCH(ROW()-1,Calc!$K$2:$K$1601,0),"")</f>
        <v/>
      </c>
      <c r="AU1169" t="str">
        <f>IF($AS1169="","",IFERROR(INDEX('TMP Paste'!$D$2:$D$1601,$AS1169)*1000000/$AB1169,""))</f>
        <v/>
      </c>
    </row>
    <row r="1170" spans="1:47">
      <c r="A1170" t="str">
        <f>IF($AS1170="","",INDEX('TMP Paste'!$B$2:$B$1601,$AS1170))</f>
        <v/>
      </c>
      <c r="B1170" t="str">
        <f>IF($AS1170="","",Config!$B$14)</f>
        <v/>
      </c>
      <c r="C1170" t="str">
        <f>IF($AS1170="","",Config!$B$15)</f>
        <v/>
      </c>
      <c r="D1170" t="str">
        <f>IF($AS1170="","",INDEX('TMP Paste'!$B$2:$B$1601,$AS1170))</f>
        <v/>
      </c>
      <c r="E1170" t="str">
        <f>IF($AS1170="","",Config!$B$27)</f>
        <v/>
      </c>
      <c r="F1170" t="str">
        <f>IF($AS1170="","",Config!$B$9)</f>
        <v/>
      </c>
      <c r="G1170" t="str">
        <f>IF($AS1170="","",Config!$B$10)</f>
        <v/>
      </c>
      <c r="H1170" t="str">
        <f>IF($AS1170="","",Config!$B$11)</f>
        <v/>
      </c>
      <c r="I1170" t="str">
        <f>IF($AS1170="","",Config!$B$16)</f>
        <v/>
      </c>
      <c r="J1170" t="str">
        <f>IF($AS1170="","",INDEX('TMP Paste'!$A$2:$A$1601,$AS1170))</f>
        <v/>
      </c>
      <c r="K1170" t="str">
        <f>IF($AS1170="","",INDEX('TMP Paste'!$L$2:$L$1601,$AS1170))</f>
        <v/>
      </c>
      <c r="L1170" t="str">
        <f>IF($AS1170="","",INDEX('TMP Paste'!$I$2:$I$1601,$AS1170))</f>
        <v/>
      </c>
      <c r="M1170" t="str">
        <f>IF($AS1170="","",Config!$B$16)</f>
        <v/>
      </c>
      <c r="N1170" t="str">
        <f t="shared" si="108"/>
        <v/>
      </c>
      <c r="O1170" t="str">
        <f>IF($AS1170="","",INDEX('TMP Paste'!$K$2:$K$1601,$AS1170))</f>
        <v/>
      </c>
      <c r="P1170" t="str">
        <f t="shared" si="109"/>
        <v/>
      </c>
      <c r="Q1170" t="str">
        <f>IF($AS1170="","",INDEX('TMP Paste'!$J$2:$J$1601,$AS1170))</f>
        <v/>
      </c>
      <c r="R1170" t="str">
        <f>IF($AS1170="","",Config!$B$24)</f>
        <v/>
      </c>
      <c r="S1170" t="str">
        <f ca="1">IF($AS1170="","",TEXT(Config!$B$4,"yyyy-mm-dd"))</f>
        <v/>
      </c>
      <c r="T1170" t="str">
        <f>IF($AS1170="","",Config!$B$17)</f>
        <v/>
      </c>
      <c r="U1170" t="str">
        <f>IF($AS1170="","",Config!$B$18)</f>
        <v/>
      </c>
      <c r="V1170" t="str">
        <f>IF($AS1170="","",Config!$B$19)</f>
        <v/>
      </c>
      <c r="W1170" t="str">
        <f>IF($AS1170="","",INDEX('TMP Paste'!$C$2:$C$1601,$AS1170))</f>
        <v/>
      </c>
      <c r="X1170" t="str">
        <f>IF($AS1170="","",Config!$B$29)</f>
        <v/>
      </c>
      <c r="Y1170" t="str">
        <f>IF($AT1170="","",INDEX(Calc!$I$2:$I$1601,$AT1170)&amp;" - "&amp;INDEX(Calc!$D$2:$D$1601,$AT1170)&amp;" koli")</f>
        <v/>
      </c>
      <c r="Z1170" t="str">
        <f>IF($AS1170="","",Config!$B$21)</f>
        <v/>
      </c>
      <c r="AA1170" t="str">
        <f>IF($AS1170="","",Config!$B$22)</f>
        <v/>
      </c>
      <c r="AB1170" t="str">
        <f>IF($AT1170="","",INDEX(Calc!$D$2:$D$1601,$AT1170))</f>
        <v/>
      </c>
      <c r="AC1170" t="str">
        <f>IF($AT1170="","",INDEX(Calc!$G$2:$G$1601,$AT1170))</f>
        <v/>
      </c>
      <c r="AD1170" t="str">
        <f>IF($AS1170="","",Config!$B$23)</f>
        <v/>
      </c>
      <c r="AE1170" t="str">
        <f>IF($AS1170="","",Config!$B$28)</f>
        <v/>
      </c>
      <c r="AF1170" t="str">
        <f t="shared" si="110"/>
        <v/>
      </c>
      <c r="AG1170" t="str">
        <f t="shared" si="111"/>
        <v/>
      </c>
      <c r="AH1170" t="str">
        <f t="shared" si="112"/>
        <v/>
      </c>
      <c r="AI1170" t="str">
        <f>IF($AG1170="","",SUMIF($AG$2:$AG1170,$AG1170,$AH$2:$AH1170))</f>
        <v/>
      </c>
      <c r="AJ1170" t="str">
        <f>IF('TMP Paste'!$F1170="","",IF('TMP Paste'!$B1170="",$AJ1169,'TMP Paste'!$B1170))</f>
        <v/>
      </c>
      <c r="AK1170" t="str">
        <f>IF('TMP Paste'!$F1170="","",N('TMP Paste'!$G1170))</f>
        <v/>
      </c>
      <c r="AL1170" t="str">
        <f>IF('TMP Paste'!$F1170="","",IF('TMP Paste'!$M1170="",$AL1169,'TMP Paste'!$M1170))</f>
        <v/>
      </c>
      <c r="AM1170" t="str">
        <f>IF('TMP Paste'!$F1170="","",IF('TMP Paste'!$N1170="",$AM1169,'TMP Paste'!$N1170))</f>
        <v/>
      </c>
      <c r="AN1170" t="str">
        <f>IF('TMP Paste'!$F1170="","",IF('TMP Paste'!$O1170="",$AN1169,'TMP Paste'!$O1170))</f>
        <v/>
      </c>
      <c r="AO1170" t="str">
        <f>IF('TMP Paste'!$F1170="","",IF('TMP Paste'!$P1170="",$AO1169,'TMP Paste'!$P1170))</f>
        <v/>
      </c>
      <c r="AP1170" t="str">
        <f t="shared" si="113"/>
        <v/>
      </c>
      <c r="AQ1170" t="str">
        <f>IF($AS1170="","",TRIM(IF(COUNTIFS(Calc!$B$2:$B$1601,ROW()-1,Calc!$C$2:$C$1601,"&lt;1")&gt;0,"Ada PO tanpa Koli - cek TMP. ","")&amp;IF(OR($AU1170="",$AU1170&lt;=0),"Volume kosong/0 - dimensi dikosongkan. ","")&amp;IF(AND($AU1170&lt;&gt;"",$AU1170&gt;=1000000),"Volume &gt;= 1.000.000 cm3 (di luar aturan) - dimensi dikosongkan. ","")&amp;IF(LEN($R1170)&gt;500,"R &gt; 500 karakter.","")))</f>
        <v/>
      </c>
      <c r="AS1170" t="str">
        <f>IFERROR(MATCH(ROW()-1,Calc!$J$2:$J$1601,0),"")</f>
        <v/>
      </c>
      <c r="AT1170" t="str">
        <f>IFERROR(MATCH(ROW()-1,Calc!$K$2:$K$1601,0),"")</f>
        <v/>
      </c>
      <c r="AU1170" t="str">
        <f>IF($AS1170="","",IFERROR(INDEX('TMP Paste'!$D$2:$D$1601,$AS1170)*1000000/$AB1170,""))</f>
        <v/>
      </c>
    </row>
    <row r="1171" spans="1:47">
      <c r="A1171" t="str">
        <f>IF($AS1171="","",INDEX('TMP Paste'!$B$2:$B$1601,$AS1171))</f>
        <v/>
      </c>
      <c r="B1171" t="str">
        <f>IF($AS1171="","",Config!$B$14)</f>
        <v/>
      </c>
      <c r="C1171" t="str">
        <f>IF($AS1171="","",Config!$B$15)</f>
        <v/>
      </c>
      <c r="D1171" t="str">
        <f>IF($AS1171="","",INDEX('TMP Paste'!$B$2:$B$1601,$AS1171))</f>
        <v/>
      </c>
      <c r="E1171" t="str">
        <f>IF($AS1171="","",Config!$B$27)</f>
        <v/>
      </c>
      <c r="F1171" t="str">
        <f>IF($AS1171="","",Config!$B$9)</f>
        <v/>
      </c>
      <c r="G1171" t="str">
        <f>IF($AS1171="","",Config!$B$10)</f>
        <v/>
      </c>
      <c r="H1171" t="str">
        <f>IF($AS1171="","",Config!$B$11)</f>
        <v/>
      </c>
      <c r="I1171" t="str">
        <f>IF($AS1171="","",Config!$B$16)</f>
        <v/>
      </c>
      <c r="J1171" t="str">
        <f>IF($AS1171="","",INDEX('TMP Paste'!$A$2:$A$1601,$AS1171))</f>
        <v/>
      </c>
      <c r="K1171" t="str">
        <f>IF($AS1171="","",INDEX('TMP Paste'!$L$2:$L$1601,$AS1171))</f>
        <v/>
      </c>
      <c r="L1171" t="str">
        <f>IF($AS1171="","",INDEX('TMP Paste'!$I$2:$I$1601,$AS1171))</f>
        <v/>
      </c>
      <c r="M1171" t="str">
        <f>IF($AS1171="","",Config!$B$16)</f>
        <v/>
      </c>
      <c r="N1171" t="str">
        <f t="shared" si="108"/>
        <v/>
      </c>
      <c r="O1171" t="str">
        <f>IF($AS1171="","",INDEX('TMP Paste'!$K$2:$K$1601,$AS1171))</f>
        <v/>
      </c>
      <c r="P1171" t="str">
        <f t="shared" si="109"/>
        <v/>
      </c>
      <c r="Q1171" t="str">
        <f>IF($AS1171="","",INDEX('TMP Paste'!$J$2:$J$1601,$AS1171))</f>
        <v/>
      </c>
      <c r="R1171" t="str">
        <f>IF($AS1171="","",Config!$B$24)</f>
        <v/>
      </c>
      <c r="S1171" t="str">
        <f ca="1">IF($AS1171="","",TEXT(Config!$B$4,"yyyy-mm-dd"))</f>
        <v/>
      </c>
      <c r="T1171" t="str">
        <f>IF($AS1171="","",Config!$B$17)</f>
        <v/>
      </c>
      <c r="U1171" t="str">
        <f>IF($AS1171="","",Config!$B$18)</f>
        <v/>
      </c>
      <c r="V1171" t="str">
        <f>IF($AS1171="","",Config!$B$19)</f>
        <v/>
      </c>
      <c r="W1171" t="str">
        <f>IF($AS1171="","",INDEX('TMP Paste'!$C$2:$C$1601,$AS1171))</f>
        <v/>
      </c>
      <c r="X1171" t="str">
        <f>IF($AS1171="","",Config!$B$29)</f>
        <v/>
      </c>
      <c r="Y1171" t="str">
        <f>IF($AT1171="","",INDEX(Calc!$I$2:$I$1601,$AT1171)&amp;" - "&amp;INDEX(Calc!$D$2:$D$1601,$AT1171)&amp;" koli")</f>
        <v/>
      </c>
      <c r="Z1171" t="str">
        <f>IF($AS1171="","",Config!$B$21)</f>
        <v/>
      </c>
      <c r="AA1171" t="str">
        <f>IF($AS1171="","",Config!$B$22)</f>
        <v/>
      </c>
      <c r="AB1171" t="str">
        <f>IF($AT1171="","",INDEX(Calc!$D$2:$D$1601,$AT1171))</f>
        <v/>
      </c>
      <c r="AC1171" t="str">
        <f>IF($AT1171="","",INDEX(Calc!$G$2:$G$1601,$AT1171))</f>
        <v/>
      </c>
      <c r="AD1171" t="str">
        <f>IF($AS1171="","",Config!$B$23)</f>
        <v/>
      </c>
      <c r="AE1171" t="str">
        <f>IF($AS1171="","",Config!$B$28)</f>
        <v/>
      </c>
      <c r="AF1171" t="str">
        <f t="shared" si="110"/>
        <v/>
      </c>
      <c r="AG1171" t="str">
        <f t="shared" si="111"/>
        <v/>
      </c>
      <c r="AH1171" t="str">
        <f t="shared" si="112"/>
        <v/>
      </c>
      <c r="AI1171" t="str">
        <f>IF($AG1171="","",SUMIF($AG$2:$AG1171,$AG1171,$AH$2:$AH1171))</f>
        <v/>
      </c>
      <c r="AJ1171" t="str">
        <f>IF('TMP Paste'!$F1171="","",IF('TMP Paste'!$B1171="",$AJ1170,'TMP Paste'!$B1171))</f>
        <v/>
      </c>
      <c r="AK1171" t="str">
        <f>IF('TMP Paste'!$F1171="","",N('TMP Paste'!$G1171))</f>
        <v/>
      </c>
      <c r="AL1171" t="str">
        <f>IF('TMP Paste'!$F1171="","",IF('TMP Paste'!$M1171="",$AL1170,'TMP Paste'!$M1171))</f>
        <v/>
      </c>
      <c r="AM1171" t="str">
        <f>IF('TMP Paste'!$F1171="","",IF('TMP Paste'!$N1171="",$AM1170,'TMP Paste'!$N1171))</f>
        <v/>
      </c>
      <c r="AN1171" t="str">
        <f>IF('TMP Paste'!$F1171="","",IF('TMP Paste'!$O1171="",$AN1170,'TMP Paste'!$O1171))</f>
        <v/>
      </c>
      <c r="AO1171" t="str">
        <f>IF('TMP Paste'!$F1171="","",IF('TMP Paste'!$P1171="",$AO1170,'TMP Paste'!$P1171))</f>
        <v/>
      </c>
      <c r="AP1171" t="str">
        <f t="shared" si="113"/>
        <v/>
      </c>
      <c r="AQ1171" t="str">
        <f>IF($AS1171="","",TRIM(IF(COUNTIFS(Calc!$B$2:$B$1601,ROW()-1,Calc!$C$2:$C$1601,"&lt;1")&gt;0,"Ada PO tanpa Koli - cek TMP. ","")&amp;IF(OR($AU1171="",$AU1171&lt;=0),"Volume kosong/0 - dimensi dikosongkan. ","")&amp;IF(AND($AU1171&lt;&gt;"",$AU1171&gt;=1000000),"Volume &gt;= 1.000.000 cm3 (di luar aturan) - dimensi dikosongkan. ","")&amp;IF(LEN($R1171)&gt;500,"R &gt; 500 karakter.","")))</f>
        <v/>
      </c>
      <c r="AS1171" t="str">
        <f>IFERROR(MATCH(ROW()-1,Calc!$J$2:$J$1601,0),"")</f>
        <v/>
      </c>
      <c r="AT1171" t="str">
        <f>IFERROR(MATCH(ROW()-1,Calc!$K$2:$K$1601,0),"")</f>
        <v/>
      </c>
      <c r="AU1171" t="str">
        <f>IF($AS1171="","",IFERROR(INDEX('TMP Paste'!$D$2:$D$1601,$AS1171)*1000000/$AB1171,""))</f>
        <v/>
      </c>
    </row>
    <row r="1172" spans="1:47">
      <c r="A1172" t="str">
        <f>IF($AS1172="","",INDEX('TMP Paste'!$B$2:$B$1601,$AS1172))</f>
        <v/>
      </c>
      <c r="B1172" t="str">
        <f>IF($AS1172="","",Config!$B$14)</f>
        <v/>
      </c>
      <c r="C1172" t="str">
        <f>IF($AS1172="","",Config!$B$15)</f>
        <v/>
      </c>
      <c r="D1172" t="str">
        <f>IF($AS1172="","",INDEX('TMP Paste'!$B$2:$B$1601,$AS1172))</f>
        <v/>
      </c>
      <c r="E1172" t="str">
        <f>IF($AS1172="","",Config!$B$27)</f>
        <v/>
      </c>
      <c r="F1172" t="str">
        <f>IF($AS1172="","",Config!$B$9)</f>
        <v/>
      </c>
      <c r="G1172" t="str">
        <f>IF($AS1172="","",Config!$B$10)</f>
        <v/>
      </c>
      <c r="H1172" t="str">
        <f>IF($AS1172="","",Config!$B$11)</f>
        <v/>
      </c>
      <c r="I1172" t="str">
        <f>IF($AS1172="","",Config!$B$16)</f>
        <v/>
      </c>
      <c r="J1172" t="str">
        <f>IF($AS1172="","",INDEX('TMP Paste'!$A$2:$A$1601,$AS1172))</f>
        <v/>
      </c>
      <c r="K1172" t="str">
        <f>IF($AS1172="","",INDEX('TMP Paste'!$L$2:$L$1601,$AS1172))</f>
        <v/>
      </c>
      <c r="L1172" t="str">
        <f>IF($AS1172="","",INDEX('TMP Paste'!$I$2:$I$1601,$AS1172))</f>
        <v/>
      </c>
      <c r="M1172" t="str">
        <f>IF($AS1172="","",Config!$B$16)</f>
        <v/>
      </c>
      <c r="N1172" t="str">
        <f t="shared" si="108"/>
        <v/>
      </c>
      <c r="O1172" t="str">
        <f>IF($AS1172="","",INDEX('TMP Paste'!$K$2:$K$1601,$AS1172))</f>
        <v/>
      </c>
      <c r="P1172" t="str">
        <f t="shared" si="109"/>
        <v/>
      </c>
      <c r="Q1172" t="str">
        <f>IF($AS1172="","",INDEX('TMP Paste'!$J$2:$J$1601,$AS1172))</f>
        <v/>
      </c>
      <c r="R1172" t="str">
        <f>IF($AS1172="","",Config!$B$24)</f>
        <v/>
      </c>
      <c r="S1172" t="str">
        <f ca="1">IF($AS1172="","",TEXT(Config!$B$4,"yyyy-mm-dd"))</f>
        <v/>
      </c>
      <c r="T1172" t="str">
        <f>IF($AS1172="","",Config!$B$17)</f>
        <v/>
      </c>
      <c r="U1172" t="str">
        <f>IF($AS1172="","",Config!$B$18)</f>
        <v/>
      </c>
      <c r="V1172" t="str">
        <f>IF($AS1172="","",Config!$B$19)</f>
        <v/>
      </c>
      <c r="W1172" t="str">
        <f>IF($AS1172="","",INDEX('TMP Paste'!$C$2:$C$1601,$AS1172))</f>
        <v/>
      </c>
      <c r="X1172" t="str">
        <f>IF($AS1172="","",Config!$B$29)</f>
        <v/>
      </c>
      <c r="Y1172" t="str">
        <f>IF($AT1172="","",INDEX(Calc!$I$2:$I$1601,$AT1172)&amp;" - "&amp;INDEX(Calc!$D$2:$D$1601,$AT1172)&amp;" koli")</f>
        <v/>
      </c>
      <c r="Z1172" t="str">
        <f>IF($AS1172="","",Config!$B$21)</f>
        <v/>
      </c>
      <c r="AA1172" t="str">
        <f>IF($AS1172="","",Config!$B$22)</f>
        <v/>
      </c>
      <c r="AB1172" t="str">
        <f>IF($AT1172="","",INDEX(Calc!$D$2:$D$1601,$AT1172))</f>
        <v/>
      </c>
      <c r="AC1172" t="str">
        <f>IF($AT1172="","",INDEX(Calc!$G$2:$G$1601,$AT1172))</f>
        <v/>
      </c>
      <c r="AD1172" t="str">
        <f>IF($AS1172="","",Config!$B$23)</f>
        <v/>
      </c>
      <c r="AE1172" t="str">
        <f>IF($AS1172="","",Config!$B$28)</f>
        <v/>
      </c>
      <c r="AF1172" t="str">
        <f t="shared" si="110"/>
        <v/>
      </c>
      <c r="AG1172" t="str">
        <f t="shared" si="111"/>
        <v/>
      </c>
      <c r="AH1172" t="str">
        <f t="shared" si="112"/>
        <v/>
      </c>
      <c r="AI1172" t="str">
        <f>IF($AG1172="","",SUMIF($AG$2:$AG1172,$AG1172,$AH$2:$AH1172))</f>
        <v/>
      </c>
      <c r="AJ1172" t="str">
        <f>IF('TMP Paste'!$F1172="","",IF('TMP Paste'!$B1172="",$AJ1171,'TMP Paste'!$B1172))</f>
        <v/>
      </c>
      <c r="AK1172" t="str">
        <f>IF('TMP Paste'!$F1172="","",N('TMP Paste'!$G1172))</f>
        <v/>
      </c>
      <c r="AL1172" t="str">
        <f>IF('TMP Paste'!$F1172="","",IF('TMP Paste'!$M1172="",$AL1171,'TMP Paste'!$M1172))</f>
        <v/>
      </c>
      <c r="AM1172" t="str">
        <f>IF('TMP Paste'!$F1172="","",IF('TMP Paste'!$N1172="",$AM1171,'TMP Paste'!$N1172))</f>
        <v/>
      </c>
      <c r="AN1172" t="str">
        <f>IF('TMP Paste'!$F1172="","",IF('TMP Paste'!$O1172="",$AN1171,'TMP Paste'!$O1172))</f>
        <v/>
      </c>
      <c r="AO1172" t="str">
        <f>IF('TMP Paste'!$F1172="","",IF('TMP Paste'!$P1172="",$AO1171,'TMP Paste'!$P1172))</f>
        <v/>
      </c>
      <c r="AP1172" t="str">
        <f t="shared" si="113"/>
        <v/>
      </c>
      <c r="AQ1172" t="str">
        <f>IF($AS1172="","",TRIM(IF(COUNTIFS(Calc!$B$2:$B$1601,ROW()-1,Calc!$C$2:$C$1601,"&lt;1")&gt;0,"Ada PO tanpa Koli - cek TMP. ","")&amp;IF(OR($AU1172="",$AU1172&lt;=0),"Volume kosong/0 - dimensi dikosongkan. ","")&amp;IF(AND($AU1172&lt;&gt;"",$AU1172&gt;=1000000),"Volume &gt;= 1.000.000 cm3 (di luar aturan) - dimensi dikosongkan. ","")&amp;IF(LEN($R1172)&gt;500,"R &gt; 500 karakter.","")))</f>
        <v/>
      </c>
      <c r="AS1172" t="str">
        <f>IFERROR(MATCH(ROW()-1,Calc!$J$2:$J$1601,0),"")</f>
        <v/>
      </c>
      <c r="AT1172" t="str">
        <f>IFERROR(MATCH(ROW()-1,Calc!$K$2:$K$1601,0),"")</f>
        <v/>
      </c>
      <c r="AU1172" t="str">
        <f>IF($AS1172="","",IFERROR(INDEX('TMP Paste'!$D$2:$D$1601,$AS1172)*1000000/$AB1172,""))</f>
        <v/>
      </c>
    </row>
    <row r="1173" spans="1:47">
      <c r="A1173" t="str">
        <f>IF($AS1173="","",INDEX('TMP Paste'!$B$2:$B$1601,$AS1173))</f>
        <v/>
      </c>
      <c r="B1173" t="str">
        <f>IF($AS1173="","",Config!$B$14)</f>
        <v/>
      </c>
      <c r="C1173" t="str">
        <f>IF($AS1173="","",Config!$B$15)</f>
        <v/>
      </c>
      <c r="D1173" t="str">
        <f>IF($AS1173="","",INDEX('TMP Paste'!$B$2:$B$1601,$AS1173))</f>
        <v/>
      </c>
      <c r="E1173" t="str">
        <f>IF($AS1173="","",Config!$B$27)</f>
        <v/>
      </c>
      <c r="F1173" t="str">
        <f>IF($AS1173="","",Config!$B$9)</f>
        <v/>
      </c>
      <c r="G1173" t="str">
        <f>IF($AS1173="","",Config!$B$10)</f>
        <v/>
      </c>
      <c r="H1173" t="str">
        <f>IF($AS1173="","",Config!$B$11)</f>
        <v/>
      </c>
      <c r="I1173" t="str">
        <f>IF($AS1173="","",Config!$B$16)</f>
        <v/>
      </c>
      <c r="J1173" t="str">
        <f>IF($AS1173="","",INDEX('TMP Paste'!$A$2:$A$1601,$AS1173))</f>
        <v/>
      </c>
      <c r="K1173" t="str">
        <f>IF($AS1173="","",INDEX('TMP Paste'!$L$2:$L$1601,$AS1173))</f>
        <v/>
      </c>
      <c r="L1173" t="str">
        <f>IF($AS1173="","",INDEX('TMP Paste'!$I$2:$I$1601,$AS1173))</f>
        <v/>
      </c>
      <c r="M1173" t="str">
        <f>IF($AS1173="","",Config!$B$16)</f>
        <v/>
      </c>
      <c r="N1173" t="str">
        <f t="shared" si="108"/>
        <v/>
      </c>
      <c r="O1173" t="str">
        <f>IF($AS1173="","",INDEX('TMP Paste'!$K$2:$K$1601,$AS1173))</f>
        <v/>
      </c>
      <c r="P1173" t="str">
        <f t="shared" si="109"/>
        <v/>
      </c>
      <c r="Q1173" t="str">
        <f>IF($AS1173="","",INDEX('TMP Paste'!$J$2:$J$1601,$AS1173))</f>
        <v/>
      </c>
      <c r="R1173" t="str">
        <f>IF($AS1173="","",Config!$B$24)</f>
        <v/>
      </c>
      <c r="S1173" t="str">
        <f ca="1">IF($AS1173="","",TEXT(Config!$B$4,"yyyy-mm-dd"))</f>
        <v/>
      </c>
      <c r="T1173" t="str">
        <f>IF($AS1173="","",Config!$B$17)</f>
        <v/>
      </c>
      <c r="U1173" t="str">
        <f>IF($AS1173="","",Config!$B$18)</f>
        <v/>
      </c>
      <c r="V1173" t="str">
        <f>IF($AS1173="","",Config!$B$19)</f>
        <v/>
      </c>
      <c r="W1173" t="str">
        <f>IF($AS1173="","",INDEX('TMP Paste'!$C$2:$C$1601,$AS1173))</f>
        <v/>
      </c>
      <c r="X1173" t="str">
        <f>IF($AS1173="","",Config!$B$29)</f>
        <v/>
      </c>
      <c r="Y1173" t="str">
        <f>IF($AT1173="","",INDEX(Calc!$I$2:$I$1601,$AT1173)&amp;" - "&amp;INDEX(Calc!$D$2:$D$1601,$AT1173)&amp;" koli")</f>
        <v/>
      </c>
      <c r="Z1173" t="str">
        <f>IF($AS1173="","",Config!$B$21)</f>
        <v/>
      </c>
      <c r="AA1173" t="str">
        <f>IF($AS1173="","",Config!$B$22)</f>
        <v/>
      </c>
      <c r="AB1173" t="str">
        <f>IF($AT1173="","",INDEX(Calc!$D$2:$D$1601,$AT1173))</f>
        <v/>
      </c>
      <c r="AC1173" t="str">
        <f>IF($AT1173="","",INDEX(Calc!$G$2:$G$1601,$AT1173))</f>
        <v/>
      </c>
      <c r="AD1173" t="str">
        <f>IF($AS1173="","",Config!$B$23)</f>
        <v/>
      </c>
      <c r="AE1173" t="str">
        <f>IF($AS1173="","",Config!$B$28)</f>
        <v/>
      </c>
      <c r="AF1173" t="str">
        <f t="shared" si="110"/>
        <v/>
      </c>
      <c r="AG1173" t="str">
        <f t="shared" si="111"/>
        <v/>
      </c>
      <c r="AH1173" t="str">
        <f t="shared" si="112"/>
        <v/>
      </c>
      <c r="AI1173" t="str">
        <f>IF($AG1173="","",SUMIF($AG$2:$AG1173,$AG1173,$AH$2:$AH1173))</f>
        <v/>
      </c>
      <c r="AJ1173" t="str">
        <f>IF('TMP Paste'!$F1173="","",IF('TMP Paste'!$B1173="",$AJ1172,'TMP Paste'!$B1173))</f>
        <v/>
      </c>
      <c r="AK1173" t="str">
        <f>IF('TMP Paste'!$F1173="","",N('TMP Paste'!$G1173))</f>
        <v/>
      </c>
      <c r="AL1173" t="str">
        <f>IF('TMP Paste'!$F1173="","",IF('TMP Paste'!$M1173="",$AL1172,'TMP Paste'!$M1173))</f>
        <v/>
      </c>
      <c r="AM1173" t="str">
        <f>IF('TMP Paste'!$F1173="","",IF('TMP Paste'!$N1173="",$AM1172,'TMP Paste'!$N1173))</f>
        <v/>
      </c>
      <c r="AN1173" t="str">
        <f>IF('TMP Paste'!$F1173="","",IF('TMP Paste'!$O1173="",$AN1172,'TMP Paste'!$O1173))</f>
        <v/>
      </c>
      <c r="AO1173" t="str">
        <f>IF('TMP Paste'!$F1173="","",IF('TMP Paste'!$P1173="",$AO1172,'TMP Paste'!$P1173))</f>
        <v/>
      </c>
      <c r="AP1173" t="str">
        <f t="shared" si="113"/>
        <v/>
      </c>
      <c r="AQ1173" t="str">
        <f>IF($AS1173="","",TRIM(IF(COUNTIFS(Calc!$B$2:$B$1601,ROW()-1,Calc!$C$2:$C$1601,"&lt;1")&gt;0,"Ada PO tanpa Koli - cek TMP. ","")&amp;IF(OR($AU1173="",$AU1173&lt;=0),"Volume kosong/0 - dimensi dikosongkan. ","")&amp;IF(AND($AU1173&lt;&gt;"",$AU1173&gt;=1000000),"Volume &gt;= 1.000.000 cm3 (di luar aturan) - dimensi dikosongkan. ","")&amp;IF(LEN($R1173)&gt;500,"R &gt; 500 karakter.","")))</f>
        <v/>
      </c>
      <c r="AS1173" t="str">
        <f>IFERROR(MATCH(ROW()-1,Calc!$J$2:$J$1601,0),"")</f>
        <v/>
      </c>
      <c r="AT1173" t="str">
        <f>IFERROR(MATCH(ROW()-1,Calc!$K$2:$K$1601,0),"")</f>
        <v/>
      </c>
      <c r="AU1173" t="str">
        <f>IF($AS1173="","",IFERROR(INDEX('TMP Paste'!$D$2:$D$1601,$AS1173)*1000000/$AB1173,""))</f>
        <v/>
      </c>
    </row>
    <row r="1174" spans="1:47">
      <c r="A1174" t="str">
        <f>IF($AS1174="","",INDEX('TMP Paste'!$B$2:$B$1601,$AS1174))</f>
        <v/>
      </c>
      <c r="B1174" t="str">
        <f>IF($AS1174="","",Config!$B$14)</f>
        <v/>
      </c>
      <c r="C1174" t="str">
        <f>IF($AS1174="","",Config!$B$15)</f>
        <v/>
      </c>
      <c r="D1174" t="str">
        <f>IF($AS1174="","",INDEX('TMP Paste'!$B$2:$B$1601,$AS1174))</f>
        <v/>
      </c>
      <c r="E1174" t="str">
        <f>IF($AS1174="","",Config!$B$27)</f>
        <v/>
      </c>
      <c r="F1174" t="str">
        <f>IF($AS1174="","",Config!$B$9)</f>
        <v/>
      </c>
      <c r="G1174" t="str">
        <f>IF($AS1174="","",Config!$B$10)</f>
        <v/>
      </c>
      <c r="H1174" t="str">
        <f>IF($AS1174="","",Config!$B$11)</f>
        <v/>
      </c>
      <c r="I1174" t="str">
        <f>IF($AS1174="","",Config!$B$16)</f>
        <v/>
      </c>
      <c r="J1174" t="str">
        <f>IF($AS1174="","",INDEX('TMP Paste'!$A$2:$A$1601,$AS1174))</f>
        <v/>
      </c>
      <c r="K1174" t="str">
        <f>IF($AS1174="","",INDEX('TMP Paste'!$L$2:$L$1601,$AS1174))</f>
        <v/>
      </c>
      <c r="L1174" t="str">
        <f>IF($AS1174="","",INDEX('TMP Paste'!$I$2:$I$1601,$AS1174))</f>
        <v/>
      </c>
      <c r="M1174" t="str">
        <f>IF($AS1174="","",Config!$B$16)</f>
        <v/>
      </c>
      <c r="N1174" t="str">
        <f t="shared" si="108"/>
        <v/>
      </c>
      <c r="O1174" t="str">
        <f>IF($AS1174="","",INDEX('TMP Paste'!$K$2:$K$1601,$AS1174))</f>
        <v/>
      </c>
      <c r="P1174" t="str">
        <f t="shared" si="109"/>
        <v/>
      </c>
      <c r="Q1174" t="str">
        <f>IF($AS1174="","",INDEX('TMP Paste'!$J$2:$J$1601,$AS1174))</f>
        <v/>
      </c>
      <c r="R1174" t="str">
        <f>IF($AS1174="","",Config!$B$24)</f>
        <v/>
      </c>
      <c r="S1174" t="str">
        <f ca="1">IF($AS1174="","",TEXT(Config!$B$4,"yyyy-mm-dd"))</f>
        <v/>
      </c>
      <c r="T1174" t="str">
        <f>IF($AS1174="","",Config!$B$17)</f>
        <v/>
      </c>
      <c r="U1174" t="str">
        <f>IF($AS1174="","",Config!$B$18)</f>
        <v/>
      </c>
      <c r="V1174" t="str">
        <f>IF($AS1174="","",Config!$B$19)</f>
        <v/>
      </c>
      <c r="W1174" t="str">
        <f>IF($AS1174="","",INDEX('TMP Paste'!$C$2:$C$1601,$AS1174))</f>
        <v/>
      </c>
      <c r="X1174" t="str">
        <f>IF($AS1174="","",Config!$B$29)</f>
        <v/>
      </c>
      <c r="Y1174" t="str">
        <f>IF($AT1174="","",INDEX(Calc!$I$2:$I$1601,$AT1174)&amp;" - "&amp;INDEX(Calc!$D$2:$D$1601,$AT1174)&amp;" koli")</f>
        <v/>
      </c>
      <c r="Z1174" t="str">
        <f>IF($AS1174="","",Config!$B$21)</f>
        <v/>
      </c>
      <c r="AA1174" t="str">
        <f>IF($AS1174="","",Config!$B$22)</f>
        <v/>
      </c>
      <c r="AB1174" t="str">
        <f>IF($AT1174="","",INDEX(Calc!$D$2:$D$1601,$AT1174))</f>
        <v/>
      </c>
      <c r="AC1174" t="str">
        <f>IF($AT1174="","",INDEX(Calc!$G$2:$G$1601,$AT1174))</f>
        <v/>
      </c>
      <c r="AD1174" t="str">
        <f>IF($AS1174="","",Config!$B$23)</f>
        <v/>
      </c>
      <c r="AE1174" t="str">
        <f>IF($AS1174="","",Config!$B$28)</f>
        <v/>
      </c>
      <c r="AF1174" t="str">
        <f t="shared" si="110"/>
        <v/>
      </c>
      <c r="AG1174" t="str">
        <f t="shared" si="111"/>
        <v/>
      </c>
      <c r="AH1174" t="str">
        <f t="shared" si="112"/>
        <v/>
      </c>
      <c r="AI1174" t="str">
        <f>IF($AG1174="","",SUMIF($AG$2:$AG1174,$AG1174,$AH$2:$AH1174))</f>
        <v/>
      </c>
      <c r="AJ1174" t="str">
        <f>IF('TMP Paste'!$F1174="","",IF('TMP Paste'!$B1174="",$AJ1173,'TMP Paste'!$B1174))</f>
        <v/>
      </c>
      <c r="AK1174" t="str">
        <f>IF('TMP Paste'!$F1174="","",N('TMP Paste'!$G1174))</f>
        <v/>
      </c>
      <c r="AL1174" t="str">
        <f>IF('TMP Paste'!$F1174="","",IF('TMP Paste'!$M1174="",$AL1173,'TMP Paste'!$M1174))</f>
        <v/>
      </c>
      <c r="AM1174" t="str">
        <f>IF('TMP Paste'!$F1174="","",IF('TMP Paste'!$N1174="",$AM1173,'TMP Paste'!$N1174))</f>
        <v/>
      </c>
      <c r="AN1174" t="str">
        <f>IF('TMP Paste'!$F1174="","",IF('TMP Paste'!$O1174="",$AN1173,'TMP Paste'!$O1174))</f>
        <v/>
      </c>
      <c r="AO1174" t="str">
        <f>IF('TMP Paste'!$F1174="","",IF('TMP Paste'!$P1174="",$AO1173,'TMP Paste'!$P1174))</f>
        <v/>
      </c>
      <c r="AP1174" t="str">
        <f t="shared" si="113"/>
        <v/>
      </c>
      <c r="AQ1174" t="str">
        <f>IF($AS1174="","",TRIM(IF(COUNTIFS(Calc!$B$2:$B$1601,ROW()-1,Calc!$C$2:$C$1601,"&lt;1")&gt;0,"Ada PO tanpa Koli - cek TMP. ","")&amp;IF(OR($AU1174="",$AU1174&lt;=0),"Volume kosong/0 - dimensi dikosongkan. ","")&amp;IF(AND($AU1174&lt;&gt;"",$AU1174&gt;=1000000),"Volume &gt;= 1.000.000 cm3 (di luar aturan) - dimensi dikosongkan. ","")&amp;IF(LEN($R1174)&gt;500,"R &gt; 500 karakter.","")))</f>
        <v/>
      </c>
      <c r="AS1174" t="str">
        <f>IFERROR(MATCH(ROW()-1,Calc!$J$2:$J$1601,0),"")</f>
        <v/>
      </c>
      <c r="AT1174" t="str">
        <f>IFERROR(MATCH(ROW()-1,Calc!$K$2:$K$1601,0),"")</f>
        <v/>
      </c>
      <c r="AU1174" t="str">
        <f>IF($AS1174="","",IFERROR(INDEX('TMP Paste'!$D$2:$D$1601,$AS1174)*1000000/$AB1174,""))</f>
        <v/>
      </c>
    </row>
    <row r="1175" spans="1:47">
      <c r="A1175" t="str">
        <f>IF($AS1175="","",INDEX('TMP Paste'!$B$2:$B$1601,$AS1175))</f>
        <v/>
      </c>
      <c r="B1175" t="str">
        <f>IF($AS1175="","",Config!$B$14)</f>
        <v/>
      </c>
      <c r="C1175" t="str">
        <f>IF($AS1175="","",Config!$B$15)</f>
        <v/>
      </c>
      <c r="D1175" t="str">
        <f>IF($AS1175="","",INDEX('TMP Paste'!$B$2:$B$1601,$AS1175))</f>
        <v/>
      </c>
      <c r="E1175" t="str">
        <f>IF($AS1175="","",Config!$B$27)</f>
        <v/>
      </c>
      <c r="F1175" t="str">
        <f>IF($AS1175="","",Config!$B$9)</f>
        <v/>
      </c>
      <c r="G1175" t="str">
        <f>IF($AS1175="","",Config!$B$10)</f>
        <v/>
      </c>
      <c r="H1175" t="str">
        <f>IF($AS1175="","",Config!$B$11)</f>
        <v/>
      </c>
      <c r="I1175" t="str">
        <f>IF($AS1175="","",Config!$B$16)</f>
        <v/>
      </c>
      <c r="J1175" t="str">
        <f>IF($AS1175="","",INDEX('TMP Paste'!$A$2:$A$1601,$AS1175))</f>
        <v/>
      </c>
      <c r="K1175" t="str">
        <f>IF($AS1175="","",INDEX('TMP Paste'!$L$2:$L$1601,$AS1175))</f>
        <v/>
      </c>
      <c r="L1175" t="str">
        <f>IF($AS1175="","",INDEX('TMP Paste'!$I$2:$I$1601,$AS1175))</f>
        <v/>
      </c>
      <c r="M1175" t="str">
        <f>IF($AS1175="","",Config!$B$16)</f>
        <v/>
      </c>
      <c r="N1175" t="str">
        <f t="shared" si="108"/>
        <v/>
      </c>
      <c r="O1175" t="str">
        <f>IF($AS1175="","",INDEX('TMP Paste'!$K$2:$K$1601,$AS1175))</f>
        <v/>
      </c>
      <c r="P1175" t="str">
        <f t="shared" si="109"/>
        <v/>
      </c>
      <c r="Q1175" t="str">
        <f>IF($AS1175="","",INDEX('TMP Paste'!$J$2:$J$1601,$AS1175))</f>
        <v/>
      </c>
      <c r="R1175" t="str">
        <f>IF($AS1175="","",Config!$B$24)</f>
        <v/>
      </c>
      <c r="S1175" t="str">
        <f ca="1">IF($AS1175="","",TEXT(Config!$B$4,"yyyy-mm-dd"))</f>
        <v/>
      </c>
      <c r="T1175" t="str">
        <f>IF($AS1175="","",Config!$B$17)</f>
        <v/>
      </c>
      <c r="U1175" t="str">
        <f>IF($AS1175="","",Config!$B$18)</f>
        <v/>
      </c>
      <c r="V1175" t="str">
        <f>IF($AS1175="","",Config!$B$19)</f>
        <v/>
      </c>
      <c r="W1175" t="str">
        <f>IF($AS1175="","",INDEX('TMP Paste'!$C$2:$C$1601,$AS1175))</f>
        <v/>
      </c>
      <c r="X1175" t="str">
        <f>IF($AS1175="","",Config!$B$29)</f>
        <v/>
      </c>
      <c r="Y1175" t="str">
        <f>IF($AT1175="","",INDEX(Calc!$I$2:$I$1601,$AT1175)&amp;" - "&amp;INDEX(Calc!$D$2:$D$1601,$AT1175)&amp;" koli")</f>
        <v/>
      </c>
      <c r="Z1175" t="str">
        <f>IF($AS1175="","",Config!$B$21)</f>
        <v/>
      </c>
      <c r="AA1175" t="str">
        <f>IF($AS1175="","",Config!$B$22)</f>
        <v/>
      </c>
      <c r="AB1175" t="str">
        <f>IF($AT1175="","",INDEX(Calc!$D$2:$D$1601,$AT1175))</f>
        <v/>
      </c>
      <c r="AC1175" t="str">
        <f>IF($AT1175="","",INDEX(Calc!$G$2:$G$1601,$AT1175))</f>
        <v/>
      </c>
      <c r="AD1175" t="str">
        <f>IF($AS1175="","",Config!$B$23)</f>
        <v/>
      </c>
      <c r="AE1175" t="str">
        <f>IF($AS1175="","",Config!$B$28)</f>
        <v/>
      </c>
      <c r="AF1175" t="str">
        <f t="shared" si="110"/>
        <v/>
      </c>
      <c r="AG1175" t="str">
        <f t="shared" si="111"/>
        <v/>
      </c>
      <c r="AH1175" t="str">
        <f t="shared" si="112"/>
        <v/>
      </c>
      <c r="AI1175" t="str">
        <f>IF($AG1175="","",SUMIF($AG$2:$AG1175,$AG1175,$AH$2:$AH1175))</f>
        <v/>
      </c>
      <c r="AJ1175" t="str">
        <f>IF('TMP Paste'!$F1175="","",IF('TMP Paste'!$B1175="",$AJ1174,'TMP Paste'!$B1175))</f>
        <v/>
      </c>
      <c r="AK1175" t="str">
        <f>IF('TMP Paste'!$F1175="","",N('TMP Paste'!$G1175))</f>
        <v/>
      </c>
      <c r="AL1175" t="str">
        <f>IF('TMP Paste'!$F1175="","",IF('TMP Paste'!$M1175="",$AL1174,'TMP Paste'!$M1175))</f>
        <v/>
      </c>
      <c r="AM1175" t="str">
        <f>IF('TMP Paste'!$F1175="","",IF('TMP Paste'!$N1175="",$AM1174,'TMP Paste'!$N1175))</f>
        <v/>
      </c>
      <c r="AN1175" t="str">
        <f>IF('TMP Paste'!$F1175="","",IF('TMP Paste'!$O1175="",$AN1174,'TMP Paste'!$O1175))</f>
        <v/>
      </c>
      <c r="AO1175" t="str">
        <f>IF('TMP Paste'!$F1175="","",IF('TMP Paste'!$P1175="",$AO1174,'TMP Paste'!$P1175))</f>
        <v/>
      </c>
      <c r="AP1175" t="str">
        <f t="shared" si="113"/>
        <v/>
      </c>
      <c r="AQ1175" t="str">
        <f>IF($AS1175="","",TRIM(IF(COUNTIFS(Calc!$B$2:$B$1601,ROW()-1,Calc!$C$2:$C$1601,"&lt;1")&gt;0,"Ada PO tanpa Koli - cek TMP. ","")&amp;IF(OR($AU1175="",$AU1175&lt;=0),"Volume kosong/0 - dimensi dikosongkan. ","")&amp;IF(AND($AU1175&lt;&gt;"",$AU1175&gt;=1000000),"Volume &gt;= 1.000.000 cm3 (di luar aturan) - dimensi dikosongkan. ","")&amp;IF(LEN($R1175)&gt;500,"R &gt; 500 karakter.","")))</f>
        <v/>
      </c>
      <c r="AS1175" t="str">
        <f>IFERROR(MATCH(ROW()-1,Calc!$J$2:$J$1601,0),"")</f>
        <v/>
      </c>
      <c r="AT1175" t="str">
        <f>IFERROR(MATCH(ROW()-1,Calc!$K$2:$K$1601,0),"")</f>
        <v/>
      </c>
      <c r="AU1175" t="str">
        <f>IF($AS1175="","",IFERROR(INDEX('TMP Paste'!$D$2:$D$1601,$AS1175)*1000000/$AB1175,""))</f>
        <v/>
      </c>
    </row>
    <row r="1176" spans="1:47">
      <c r="A1176" t="str">
        <f>IF($AS1176="","",INDEX('TMP Paste'!$B$2:$B$1601,$AS1176))</f>
        <v/>
      </c>
      <c r="B1176" t="str">
        <f>IF($AS1176="","",Config!$B$14)</f>
        <v/>
      </c>
      <c r="C1176" t="str">
        <f>IF($AS1176="","",Config!$B$15)</f>
        <v/>
      </c>
      <c r="D1176" t="str">
        <f>IF($AS1176="","",INDEX('TMP Paste'!$B$2:$B$1601,$AS1176))</f>
        <v/>
      </c>
      <c r="E1176" t="str">
        <f>IF($AS1176="","",Config!$B$27)</f>
        <v/>
      </c>
      <c r="F1176" t="str">
        <f>IF($AS1176="","",Config!$B$9)</f>
        <v/>
      </c>
      <c r="G1176" t="str">
        <f>IF($AS1176="","",Config!$B$10)</f>
        <v/>
      </c>
      <c r="H1176" t="str">
        <f>IF($AS1176="","",Config!$B$11)</f>
        <v/>
      </c>
      <c r="I1176" t="str">
        <f>IF($AS1176="","",Config!$B$16)</f>
        <v/>
      </c>
      <c r="J1176" t="str">
        <f>IF($AS1176="","",INDEX('TMP Paste'!$A$2:$A$1601,$AS1176))</f>
        <v/>
      </c>
      <c r="K1176" t="str">
        <f>IF($AS1176="","",INDEX('TMP Paste'!$L$2:$L$1601,$AS1176))</f>
        <v/>
      </c>
      <c r="L1176" t="str">
        <f>IF($AS1176="","",INDEX('TMP Paste'!$I$2:$I$1601,$AS1176))</f>
        <v/>
      </c>
      <c r="M1176" t="str">
        <f>IF($AS1176="","",Config!$B$16)</f>
        <v/>
      </c>
      <c r="N1176" t="str">
        <f t="shared" si="108"/>
        <v/>
      </c>
      <c r="O1176" t="str">
        <f>IF($AS1176="","",INDEX('TMP Paste'!$K$2:$K$1601,$AS1176))</f>
        <v/>
      </c>
      <c r="P1176" t="str">
        <f t="shared" si="109"/>
        <v/>
      </c>
      <c r="Q1176" t="str">
        <f>IF($AS1176="","",INDEX('TMP Paste'!$J$2:$J$1601,$AS1176))</f>
        <v/>
      </c>
      <c r="R1176" t="str">
        <f>IF($AS1176="","",Config!$B$24)</f>
        <v/>
      </c>
      <c r="S1176" t="str">
        <f ca="1">IF($AS1176="","",TEXT(Config!$B$4,"yyyy-mm-dd"))</f>
        <v/>
      </c>
      <c r="T1176" t="str">
        <f>IF($AS1176="","",Config!$B$17)</f>
        <v/>
      </c>
      <c r="U1176" t="str">
        <f>IF($AS1176="","",Config!$B$18)</f>
        <v/>
      </c>
      <c r="V1176" t="str">
        <f>IF($AS1176="","",Config!$B$19)</f>
        <v/>
      </c>
      <c r="W1176" t="str">
        <f>IF($AS1176="","",INDEX('TMP Paste'!$C$2:$C$1601,$AS1176))</f>
        <v/>
      </c>
      <c r="X1176" t="str">
        <f>IF($AS1176="","",Config!$B$29)</f>
        <v/>
      </c>
      <c r="Y1176" t="str">
        <f>IF($AT1176="","",INDEX(Calc!$I$2:$I$1601,$AT1176)&amp;" - "&amp;INDEX(Calc!$D$2:$D$1601,$AT1176)&amp;" koli")</f>
        <v/>
      </c>
      <c r="Z1176" t="str">
        <f>IF($AS1176="","",Config!$B$21)</f>
        <v/>
      </c>
      <c r="AA1176" t="str">
        <f>IF($AS1176="","",Config!$B$22)</f>
        <v/>
      </c>
      <c r="AB1176" t="str">
        <f>IF($AT1176="","",INDEX(Calc!$D$2:$D$1601,$AT1176))</f>
        <v/>
      </c>
      <c r="AC1176" t="str">
        <f>IF($AT1176="","",INDEX(Calc!$G$2:$G$1601,$AT1176))</f>
        <v/>
      </c>
      <c r="AD1176" t="str">
        <f>IF($AS1176="","",Config!$B$23)</f>
        <v/>
      </c>
      <c r="AE1176" t="str">
        <f>IF($AS1176="","",Config!$B$28)</f>
        <v/>
      </c>
      <c r="AF1176" t="str">
        <f t="shared" si="110"/>
        <v/>
      </c>
      <c r="AG1176" t="str">
        <f t="shared" si="111"/>
        <v/>
      </c>
      <c r="AH1176" t="str">
        <f t="shared" si="112"/>
        <v/>
      </c>
      <c r="AI1176" t="str">
        <f>IF($AG1176="","",SUMIF($AG$2:$AG1176,$AG1176,$AH$2:$AH1176))</f>
        <v/>
      </c>
      <c r="AJ1176" t="str">
        <f>IF('TMP Paste'!$F1176="","",IF('TMP Paste'!$B1176="",$AJ1175,'TMP Paste'!$B1176))</f>
        <v/>
      </c>
      <c r="AK1176" t="str">
        <f>IF('TMP Paste'!$F1176="","",N('TMP Paste'!$G1176))</f>
        <v/>
      </c>
      <c r="AL1176" t="str">
        <f>IF('TMP Paste'!$F1176="","",IF('TMP Paste'!$M1176="",$AL1175,'TMP Paste'!$M1176))</f>
        <v/>
      </c>
      <c r="AM1176" t="str">
        <f>IF('TMP Paste'!$F1176="","",IF('TMP Paste'!$N1176="",$AM1175,'TMP Paste'!$N1176))</f>
        <v/>
      </c>
      <c r="AN1176" t="str">
        <f>IF('TMP Paste'!$F1176="","",IF('TMP Paste'!$O1176="",$AN1175,'TMP Paste'!$O1176))</f>
        <v/>
      </c>
      <c r="AO1176" t="str">
        <f>IF('TMP Paste'!$F1176="","",IF('TMP Paste'!$P1176="",$AO1175,'TMP Paste'!$P1176))</f>
        <v/>
      </c>
      <c r="AP1176" t="str">
        <f t="shared" si="113"/>
        <v/>
      </c>
      <c r="AQ1176" t="str">
        <f>IF($AS1176="","",TRIM(IF(COUNTIFS(Calc!$B$2:$B$1601,ROW()-1,Calc!$C$2:$C$1601,"&lt;1")&gt;0,"Ada PO tanpa Koli - cek TMP. ","")&amp;IF(OR($AU1176="",$AU1176&lt;=0),"Volume kosong/0 - dimensi dikosongkan. ","")&amp;IF(AND($AU1176&lt;&gt;"",$AU1176&gt;=1000000),"Volume &gt;= 1.000.000 cm3 (di luar aturan) - dimensi dikosongkan. ","")&amp;IF(LEN($R1176)&gt;500,"R &gt; 500 karakter.","")))</f>
        <v/>
      </c>
      <c r="AS1176" t="str">
        <f>IFERROR(MATCH(ROW()-1,Calc!$J$2:$J$1601,0),"")</f>
        <v/>
      </c>
      <c r="AT1176" t="str">
        <f>IFERROR(MATCH(ROW()-1,Calc!$K$2:$K$1601,0),"")</f>
        <v/>
      </c>
      <c r="AU1176" t="str">
        <f>IF($AS1176="","",IFERROR(INDEX('TMP Paste'!$D$2:$D$1601,$AS1176)*1000000/$AB1176,""))</f>
        <v/>
      </c>
    </row>
    <row r="1177" spans="1:47">
      <c r="A1177" t="str">
        <f>IF($AS1177="","",INDEX('TMP Paste'!$B$2:$B$1601,$AS1177))</f>
        <v/>
      </c>
      <c r="B1177" t="str">
        <f>IF($AS1177="","",Config!$B$14)</f>
        <v/>
      </c>
      <c r="C1177" t="str">
        <f>IF($AS1177="","",Config!$B$15)</f>
        <v/>
      </c>
      <c r="D1177" t="str">
        <f>IF($AS1177="","",INDEX('TMP Paste'!$B$2:$B$1601,$AS1177))</f>
        <v/>
      </c>
      <c r="E1177" t="str">
        <f>IF($AS1177="","",Config!$B$27)</f>
        <v/>
      </c>
      <c r="F1177" t="str">
        <f>IF($AS1177="","",Config!$B$9)</f>
        <v/>
      </c>
      <c r="G1177" t="str">
        <f>IF($AS1177="","",Config!$B$10)</f>
        <v/>
      </c>
      <c r="H1177" t="str">
        <f>IF($AS1177="","",Config!$B$11)</f>
        <v/>
      </c>
      <c r="I1177" t="str">
        <f>IF($AS1177="","",Config!$B$16)</f>
        <v/>
      </c>
      <c r="J1177" t="str">
        <f>IF($AS1177="","",INDEX('TMP Paste'!$A$2:$A$1601,$AS1177))</f>
        <v/>
      </c>
      <c r="K1177" t="str">
        <f>IF($AS1177="","",INDEX('TMP Paste'!$L$2:$L$1601,$AS1177))</f>
        <v/>
      </c>
      <c r="L1177" t="str">
        <f>IF($AS1177="","",INDEX('TMP Paste'!$I$2:$I$1601,$AS1177))</f>
        <v/>
      </c>
      <c r="M1177" t="str">
        <f>IF($AS1177="","",Config!$B$16)</f>
        <v/>
      </c>
      <c r="N1177" t="str">
        <f t="shared" si="108"/>
        <v/>
      </c>
      <c r="O1177" t="str">
        <f>IF($AS1177="","",INDEX('TMP Paste'!$K$2:$K$1601,$AS1177))</f>
        <v/>
      </c>
      <c r="P1177" t="str">
        <f t="shared" si="109"/>
        <v/>
      </c>
      <c r="Q1177" t="str">
        <f>IF($AS1177="","",INDEX('TMP Paste'!$J$2:$J$1601,$AS1177))</f>
        <v/>
      </c>
      <c r="R1177" t="str">
        <f>IF($AS1177="","",Config!$B$24)</f>
        <v/>
      </c>
      <c r="S1177" t="str">
        <f ca="1">IF($AS1177="","",TEXT(Config!$B$4,"yyyy-mm-dd"))</f>
        <v/>
      </c>
      <c r="T1177" t="str">
        <f>IF($AS1177="","",Config!$B$17)</f>
        <v/>
      </c>
      <c r="U1177" t="str">
        <f>IF($AS1177="","",Config!$B$18)</f>
        <v/>
      </c>
      <c r="V1177" t="str">
        <f>IF($AS1177="","",Config!$B$19)</f>
        <v/>
      </c>
      <c r="W1177" t="str">
        <f>IF($AS1177="","",INDEX('TMP Paste'!$C$2:$C$1601,$AS1177))</f>
        <v/>
      </c>
      <c r="X1177" t="str">
        <f>IF($AS1177="","",Config!$B$29)</f>
        <v/>
      </c>
      <c r="Y1177" t="str">
        <f>IF($AT1177="","",INDEX(Calc!$I$2:$I$1601,$AT1177)&amp;" - "&amp;INDEX(Calc!$D$2:$D$1601,$AT1177)&amp;" koli")</f>
        <v/>
      </c>
      <c r="Z1177" t="str">
        <f>IF($AS1177="","",Config!$B$21)</f>
        <v/>
      </c>
      <c r="AA1177" t="str">
        <f>IF($AS1177="","",Config!$B$22)</f>
        <v/>
      </c>
      <c r="AB1177" t="str">
        <f>IF($AT1177="","",INDEX(Calc!$D$2:$D$1601,$AT1177))</f>
        <v/>
      </c>
      <c r="AC1177" t="str">
        <f>IF($AT1177="","",INDEX(Calc!$G$2:$G$1601,$AT1177))</f>
        <v/>
      </c>
      <c r="AD1177" t="str">
        <f>IF($AS1177="","",Config!$B$23)</f>
        <v/>
      </c>
      <c r="AE1177" t="str">
        <f>IF($AS1177="","",Config!$B$28)</f>
        <v/>
      </c>
      <c r="AF1177" t="str">
        <f t="shared" si="110"/>
        <v/>
      </c>
      <c r="AG1177" t="str">
        <f t="shared" si="111"/>
        <v/>
      </c>
      <c r="AH1177" t="str">
        <f t="shared" si="112"/>
        <v/>
      </c>
      <c r="AI1177" t="str">
        <f>IF($AG1177="","",SUMIF($AG$2:$AG1177,$AG1177,$AH$2:$AH1177))</f>
        <v/>
      </c>
      <c r="AJ1177" t="str">
        <f>IF('TMP Paste'!$F1177="","",IF('TMP Paste'!$B1177="",$AJ1176,'TMP Paste'!$B1177))</f>
        <v/>
      </c>
      <c r="AK1177" t="str">
        <f>IF('TMP Paste'!$F1177="","",N('TMP Paste'!$G1177))</f>
        <v/>
      </c>
      <c r="AL1177" t="str">
        <f>IF('TMP Paste'!$F1177="","",IF('TMP Paste'!$M1177="",$AL1176,'TMP Paste'!$M1177))</f>
        <v/>
      </c>
      <c r="AM1177" t="str">
        <f>IF('TMP Paste'!$F1177="","",IF('TMP Paste'!$N1177="",$AM1176,'TMP Paste'!$N1177))</f>
        <v/>
      </c>
      <c r="AN1177" t="str">
        <f>IF('TMP Paste'!$F1177="","",IF('TMP Paste'!$O1177="",$AN1176,'TMP Paste'!$O1177))</f>
        <v/>
      </c>
      <c r="AO1177" t="str">
        <f>IF('TMP Paste'!$F1177="","",IF('TMP Paste'!$P1177="",$AO1176,'TMP Paste'!$P1177))</f>
        <v/>
      </c>
      <c r="AP1177" t="str">
        <f t="shared" si="113"/>
        <v/>
      </c>
      <c r="AQ1177" t="str">
        <f>IF($AS1177="","",TRIM(IF(COUNTIFS(Calc!$B$2:$B$1601,ROW()-1,Calc!$C$2:$C$1601,"&lt;1")&gt;0,"Ada PO tanpa Koli - cek TMP. ","")&amp;IF(OR($AU1177="",$AU1177&lt;=0),"Volume kosong/0 - dimensi dikosongkan. ","")&amp;IF(AND($AU1177&lt;&gt;"",$AU1177&gt;=1000000),"Volume &gt;= 1.000.000 cm3 (di luar aturan) - dimensi dikosongkan. ","")&amp;IF(LEN($R1177)&gt;500,"R &gt; 500 karakter.","")))</f>
        <v/>
      </c>
      <c r="AS1177" t="str">
        <f>IFERROR(MATCH(ROW()-1,Calc!$J$2:$J$1601,0),"")</f>
        <v/>
      </c>
      <c r="AT1177" t="str">
        <f>IFERROR(MATCH(ROW()-1,Calc!$K$2:$K$1601,0),"")</f>
        <v/>
      </c>
      <c r="AU1177" t="str">
        <f>IF($AS1177="","",IFERROR(INDEX('TMP Paste'!$D$2:$D$1601,$AS1177)*1000000/$AB1177,""))</f>
        <v/>
      </c>
    </row>
    <row r="1178" spans="1:47">
      <c r="A1178" t="str">
        <f>IF($AS1178="","",INDEX('TMP Paste'!$B$2:$B$1601,$AS1178))</f>
        <v/>
      </c>
      <c r="B1178" t="str">
        <f>IF($AS1178="","",Config!$B$14)</f>
        <v/>
      </c>
      <c r="C1178" t="str">
        <f>IF($AS1178="","",Config!$B$15)</f>
        <v/>
      </c>
      <c r="D1178" t="str">
        <f>IF($AS1178="","",INDEX('TMP Paste'!$B$2:$B$1601,$AS1178))</f>
        <v/>
      </c>
      <c r="E1178" t="str">
        <f>IF($AS1178="","",Config!$B$27)</f>
        <v/>
      </c>
      <c r="F1178" t="str">
        <f>IF($AS1178="","",Config!$B$9)</f>
        <v/>
      </c>
      <c r="G1178" t="str">
        <f>IF($AS1178="","",Config!$B$10)</f>
        <v/>
      </c>
      <c r="H1178" t="str">
        <f>IF($AS1178="","",Config!$B$11)</f>
        <v/>
      </c>
      <c r="I1178" t="str">
        <f>IF($AS1178="","",Config!$B$16)</f>
        <v/>
      </c>
      <c r="J1178" t="str">
        <f>IF($AS1178="","",INDEX('TMP Paste'!$A$2:$A$1601,$AS1178))</f>
        <v/>
      </c>
      <c r="K1178" t="str">
        <f>IF($AS1178="","",INDEX('TMP Paste'!$L$2:$L$1601,$AS1178))</f>
        <v/>
      </c>
      <c r="L1178" t="str">
        <f>IF($AS1178="","",INDEX('TMP Paste'!$I$2:$I$1601,$AS1178))</f>
        <v/>
      </c>
      <c r="M1178" t="str">
        <f>IF($AS1178="","",Config!$B$16)</f>
        <v/>
      </c>
      <c r="N1178" t="str">
        <f t="shared" si="108"/>
        <v/>
      </c>
      <c r="O1178" t="str">
        <f>IF($AS1178="","",INDEX('TMP Paste'!$K$2:$K$1601,$AS1178))</f>
        <v/>
      </c>
      <c r="P1178" t="str">
        <f t="shared" si="109"/>
        <v/>
      </c>
      <c r="Q1178" t="str">
        <f>IF($AS1178="","",INDEX('TMP Paste'!$J$2:$J$1601,$AS1178))</f>
        <v/>
      </c>
      <c r="R1178" t="str">
        <f>IF($AS1178="","",Config!$B$24)</f>
        <v/>
      </c>
      <c r="S1178" t="str">
        <f ca="1">IF($AS1178="","",TEXT(Config!$B$4,"yyyy-mm-dd"))</f>
        <v/>
      </c>
      <c r="T1178" t="str">
        <f>IF($AS1178="","",Config!$B$17)</f>
        <v/>
      </c>
      <c r="U1178" t="str">
        <f>IF($AS1178="","",Config!$B$18)</f>
        <v/>
      </c>
      <c r="V1178" t="str">
        <f>IF($AS1178="","",Config!$B$19)</f>
        <v/>
      </c>
      <c r="W1178" t="str">
        <f>IF($AS1178="","",INDEX('TMP Paste'!$C$2:$C$1601,$AS1178))</f>
        <v/>
      </c>
      <c r="X1178" t="str">
        <f>IF($AS1178="","",Config!$B$29)</f>
        <v/>
      </c>
      <c r="Y1178" t="str">
        <f>IF($AT1178="","",INDEX(Calc!$I$2:$I$1601,$AT1178)&amp;" - "&amp;INDEX(Calc!$D$2:$D$1601,$AT1178)&amp;" koli")</f>
        <v/>
      </c>
      <c r="Z1178" t="str">
        <f>IF($AS1178="","",Config!$B$21)</f>
        <v/>
      </c>
      <c r="AA1178" t="str">
        <f>IF($AS1178="","",Config!$B$22)</f>
        <v/>
      </c>
      <c r="AB1178" t="str">
        <f>IF($AT1178="","",INDEX(Calc!$D$2:$D$1601,$AT1178))</f>
        <v/>
      </c>
      <c r="AC1178" t="str">
        <f>IF($AT1178="","",INDEX(Calc!$G$2:$G$1601,$AT1178))</f>
        <v/>
      </c>
      <c r="AD1178" t="str">
        <f>IF($AS1178="","",Config!$B$23)</f>
        <v/>
      </c>
      <c r="AE1178" t="str">
        <f>IF($AS1178="","",Config!$B$28)</f>
        <v/>
      </c>
      <c r="AF1178" t="str">
        <f t="shared" si="110"/>
        <v/>
      </c>
      <c r="AG1178" t="str">
        <f t="shared" si="111"/>
        <v/>
      </c>
      <c r="AH1178" t="str">
        <f t="shared" si="112"/>
        <v/>
      </c>
      <c r="AI1178" t="str">
        <f>IF($AG1178="","",SUMIF($AG$2:$AG1178,$AG1178,$AH$2:$AH1178))</f>
        <v/>
      </c>
      <c r="AJ1178" t="str">
        <f>IF('TMP Paste'!$F1178="","",IF('TMP Paste'!$B1178="",$AJ1177,'TMP Paste'!$B1178))</f>
        <v/>
      </c>
      <c r="AK1178" t="str">
        <f>IF('TMP Paste'!$F1178="","",N('TMP Paste'!$G1178))</f>
        <v/>
      </c>
      <c r="AL1178" t="str">
        <f>IF('TMP Paste'!$F1178="","",IF('TMP Paste'!$M1178="",$AL1177,'TMP Paste'!$M1178))</f>
        <v/>
      </c>
      <c r="AM1178" t="str">
        <f>IF('TMP Paste'!$F1178="","",IF('TMP Paste'!$N1178="",$AM1177,'TMP Paste'!$N1178))</f>
        <v/>
      </c>
      <c r="AN1178" t="str">
        <f>IF('TMP Paste'!$F1178="","",IF('TMP Paste'!$O1178="",$AN1177,'TMP Paste'!$O1178))</f>
        <v/>
      </c>
      <c r="AO1178" t="str">
        <f>IF('TMP Paste'!$F1178="","",IF('TMP Paste'!$P1178="",$AO1177,'TMP Paste'!$P1178))</f>
        <v/>
      </c>
      <c r="AP1178" t="str">
        <f t="shared" si="113"/>
        <v/>
      </c>
      <c r="AQ1178" t="str">
        <f>IF($AS1178="","",TRIM(IF(COUNTIFS(Calc!$B$2:$B$1601,ROW()-1,Calc!$C$2:$C$1601,"&lt;1")&gt;0,"Ada PO tanpa Koli - cek TMP. ","")&amp;IF(OR($AU1178="",$AU1178&lt;=0),"Volume kosong/0 - dimensi dikosongkan. ","")&amp;IF(AND($AU1178&lt;&gt;"",$AU1178&gt;=1000000),"Volume &gt;= 1.000.000 cm3 (di luar aturan) - dimensi dikosongkan. ","")&amp;IF(LEN($R1178)&gt;500,"R &gt; 500 karakter.","")))</f>
        <v/>
      </c>
      <c r="AS1178" t="str">
        <f>IFERROR(MATCH(ROW()-1,Calc!$J$2:$J$1601,0),"")</f>
        <v/>
      </c>
      <c r="AT1178" t="str">
        <f>IFERROR(MATCH(ROW()-1,Calc!$K$2:$K$1601,0),"")</f>
        <v/>
      </c>
      <c r="AU1178" t="str">
        <f>IF($AS1178="","",IFERROR(INDEX('TMP Paste'!$D$2:$D$1601,$AS1178)*1000000/$AB1178,""))</f>
        <v/>
      </c>
    </row>
    <row r="1179" spans="1:47">
      <c r="A1179" t="str">
        <f>IF($AS1179="","",INDEX('TMP Paste'!$B$2:$B$1601,$AS1179))</f>
        <v/>
      </c>
      <c r="B1179" t="str">
        <f>IF($AS1179="","",Config!$B$14)</f>
        <v/>
      </c>
      <c r="C1179" t="str">
        <f>IF($AS1179="","",Config!$B$15)</f>
        <v/>
      </c>
      <c r="D1179" t="str">
        <f>IF($AS1179="","",INDEX('TMP Paste'!$B$2:$B$1601,$AS1179))</f>
        <v/>
      </c>
      <c r="E1179" t="str">
        <f>IF($AS1179="","",Config!$B$27)</f>
        <v/>
      </c>
      <c r="F1179" t="str">
        <f>IF($AS1179="","",Config!$B$9)</f>
        <v/>
      </c>
      <c r="G1179" t="str">
        <f>IF($AS1179="","",Config!$B$10)</f>
        <v/>
      </c>
      <c r="H1179" t="str">
        <f>IF($AS1179="","",Config!$B$11)</f>
        <v/>
      </c>
      <c r="I1179" t="str">
        <f>IF($AS1179="","",Config!$B$16)</f>
        <v/>
      </c>
      <c r="J1179" t="str">
        <f>IF($AS1179="","",INDEX('TMP Paste'!$A$2:$A$1601,$AS1179))</f>
        <v/>
      </c>
      <c r="K1179" t="str">
        <f>IF($AS1179="","",INDEX('TMP Paste'!$L$2:$L$1601,$AS1179))</f>
        <v/>
      </c>
      <c r="L1179" t="str">
        <f>IF($AS1179="","",INDEX('TMP Paste'!$I$2:$I$1601,$AS1179))</f>
        <v/>
      </c>
      <c r="M1179" t="str">
        <f>IF($AS1179="","",Config!$B$16)</f>
        <v/>
      </c>
      <c r="N1179" t="str">
        <f t="shared" si="108"/>
        <v/>
      </c>
      <c r="O1179" t="str">
        <f>IF($AS1179="","",INDEX('TMP Paste'!$K$2:$K$1601,$AS1179))</f>
        <v/>
      </c>
      <c r="P1179" t="str">
        <f t="shared" si="109"/>
        <v/>
      </c>
      <c r="Q1179" t="str">
        <f>IF($AS1179="","",INDEX('TMP Paste'!$J$2:$J$1601,$AS1179))</f>
        <v/>
      </c>
      <c r="R1179" t="str">
        <f>IF($AS1179="","",Config!$B$24)</f>
        <v/>
      </c>
      <c r="S1179" t="str">
        <f ca="1">IF($AS1179="","",TEXT(Config!$B$4,"yyyy-mm-dd"))</f>
        <v/>
      </c>
      <c r="T1179" t="str">
        <f>IF($AS1179="","",Config!$B$17)</f>
        <v/>
      </c>
      <c r="U1179" t="str">
        <f>IF($AS1179="","",Config!$B$18)</f>
        <v/>
      </c>
      <c r="V1179" t="str">
        <f>IF($AS1179="","",Config!$B$19)</f>
        <v/>
      </c>
      <c r="W1179" t="str">
        <f>IF($AS1179="","",INDEX('TMP Paste'!$C$2:$C$1601,$AS1179))</f>
        <v/>
      </c>
      <c r="X1179" t="str">
        <f>IF($AS1179="","",Config!$B$29)</f>
        <v/>
      </c>
      <c r="Y1179" t="str">
        <f>IF($AT1179="","",INDEX(Calc!$I$2:$I$1601,$AT1179)&amp;" - "&amp;INDEX(Calc!$D$2:$D$1601,$AT1179)&amp;" koli")</f>
        <v/>
      </c>
      <c r="Z1179" t="str">
        <f>IF($AS1179="","",Config!$B$21)</f>
        <v/>
      </c>
      <c r="AA1179" t="str">
        <f>IF($AS1179="","",Config!$B$22)</f>
        <v/>
      </c>
      <c r="AB1179" t="str">
        <f>IF($AT1179="","",INDEX(Calc!$D$2:$D$1601,$AT1179))</f>
        <v/>
      </c>
      <c r="AC1179" t="str">
        <f>IF($AT1179="","",INDEX(Calc!$G$2:$G$1601,$AT1179))</f>
        <v/>
      </c>
      <c r="AD1179" t="str">
        <f>IF($AS1179="","",Config!$B$23)</f>
        <v/>
      </c>
      <c r="AE1179" t="str">
        <f>IF($AS1179="","",Config!$B$28)</f>
        <v/>
      </c>
      <c r="AF1179" t="str">
        <f t="shared" si="110"/>
        <v/>
      </c>
      <c r="AG1179" t="str">
        <f t="shared" si="111"/>
        <v/>
      </c>
      <c r="AH1179" t="str">
        <f t="shared" si="112"/>
        <v/>
      </c>
      <c r="AI1179" t="str">
        <f>IF($AG1179="","",SUMIF($AG$2:$AG1179,$AG1179,$AH$2:$AH1179))</f>
        <v/>
      </c>
      <c r="AJ1179" t="str">
        <f>IF('TMP Paste'!$F1179="","",IF('TMP Paste'!$B1179="",$AJ1178,'TMP Paste'!$B1179))</f>
        <v/>
      </c>
      <c r="AK1179" t="str">
        <f>IF('TMP Paste'!$F1179="","",N('TMP Paste'!$G1179))</f>
        <v/>
      </c>
      <c r="AL1179" t="str">
        <f>IF('TMP Paste'!$F1179="","",IF('TMP Paste'!$M1179="",$AL1178,'TMP Paste'!$M1179))</f>
        <v/>
      </c>
      <c r="AM1179" t="str">
        <f>IF('TMP Paste'!$F1179="","",IF('TMP Paste'!$N1179="",$AM1178,'TMP Paste'!$N1179))</f>
        <v/>
      </c>
      <c r="AN1179" t="str">
        <f>IF('TMP Paste'!$F1179="","",IF('TMP Paste'!$O1179="",$AN1178,'TMP Paste'!$O1179))</f>
        <v/>
      </c>
      <c r="AO1179" t="str">
        <f>IF('TMP Paste'!$F1179="","",IF('TMP Paste'!$P1179="",$AO1178,'TMP Paste'!$P1179))</f>
        <v/>
      </c>
      <c r="AP1179" t="str">
        <f t="shared" si="113"/>
        <v/>
      </c>
      <c r="AQ1179" t="str">
        <f>IF($AS1179="","",TRIM(IF(COUNTIFS(Calc!$B$2:$B$1601,ROW()-1,Calc!$C$2:$C$1601,"&lt;1")&gt;0,"Ada PO tanpa Koli - cek TMP. ","")&amp;IF(OR($AU1179="",$AU1179&lt;=0),"Volume kosong/0 - dimensi dikosongkan. ","")&amp;IF(AND($AU1179&lt;&gt;"",$AU1179&gt;=1000000),"Volume &gt;= 1.000.000 cm3 (di luar aturan) - dimensi dikosongkan. ","")&amp;IF(LEN($R1179)&gt;500,"R &gt; 500 karakter.","")))</f>
        <v/>
      </c>
      <c r="AS1179" t="str">
        <f>IFERROR(MATCH(ROW()-1,Calc!$J$2:$J$1601,0),"")</f>
        <v/>
      </c>
      <c r="AT1179" t="str">
        <f>IFERROR(MATCH(ROW()-1,Calc!$K$2:$K$1601,0),"")</f>
        <v/>
      </c>
      <c r="AU1179" t="str">
        <f>IF($AS1179="","",IFERROR(INDEX('TMP Paste'!$D$2:$D$1601,$AS1179)*1000000/$AB1179,""))</f>
        <v/>
      </c>
    </row>
    <row r="1180" spans="1:47">
      <c r="A1180" t="str">
        <f>IF($AS1180="","",INDEX('TMP Paste'!$B$2:$B$1601,$AS1180))</f>
        <v/>
      </c>
      <c r="B1180" t="str">
        <f>IF($AS1180="","",Config!$B$14)</f>
        <v/>
      </c>
      <c r="C1180" t="str">
        <f>IF($AS1180="","",Config!$B$15)</f>
        <v/>
      </c>
      <c r="D1180" t="str">
        <f>IF($AS1180="","",INDEX('TMP Paste'!$B$2:$B$1601,$AS1180))</f>
        <v/>
      </c>
      <c r="E1180" t="str">
        <f>IF($AS1180="","",Config!$B$27)</f>
        <v/>
      </c>
      <c r="F1180" t="str">
        <f>IF($AS1180="","",Config!$B$9)</f>
        <v/>
      </c>
      <c r="G1180" t="str">
        <f>IF($AS1180="","",Config!$B$10)</f>
        <v/>
      </c>
      <c r="H1180" t="str">
        <f>IF($AS1180="","",Config!$B$11)</f>
        <v/>
      </c>
      <c r="I1180" t="str">
        <f>IF($AS1180="","",Config!$B$16)</f>
        <v/>
      </c>
      <c r="J1180" t="str">
        <f>IF($AS1180="","",INDEX('TMP Paste'!$A$2:$A$1601,$AS1180))</f>
        <v/>
      </c>
      <c r="K1180" t="str">
        <f>IF($AS1180="","",INDEX('TMP Paste'!$L$2:$L$1601,$AS1180))</f>
        <v/>
      </c>
      <c r="L1180" t="str">
        <f>IF($AS1180="","",INDEX('TMP Paste'!$I$2:$I$1601,$AS1180))</f>
        <v/>
      </c>
      <c r="M1180" t="str">
        <f>IF($AS1180="","",Config!$B$16)</f>
        <v/>
      </c>
      <c r="N1180" t="str">
        <f t="shared" si="108"/>
        <v/>
      </c>
      <c r="O1180" t="str">
        <f>IF($AS1180="","",INDEX('TMP Paste'!$K$2:$K$1601,$AS1180))</f>
        <v/>
      </c>
      <c r="P1180" t="str">
        <f t="shared" si="109"/>
        <v/>
      </c>
      <c r="Q1180" t="str">
        <f>IF($AS1180="","",INDEX('TMP Paste'!$J$2:$J$1601,$AS1180))</f>
        <v/>
      </c>
      <c r="R1180" t="str">
        <f>IF($AS1180="","",Config!$B$24)</f>
        <v/>
      </c>
      <c r="S1180" t="str">
        <f ca="1">IF($AS1180="","",TEXT(Config!$B$4,"yyyy-mm-dd"))</f>
        <v/>
      </c>
      <c r="T1180" t="str">
        <f>IF($AS1180="","",Config!$B$17)</f>
        <v/>
      </c>
      <c r="U1180" t="str">
        <f>IF($AS1180="","",Config!$B$18)</f>
        <v/>
      </c>
      <c r="V1180" t="str">
        <f>IF($AS1180="","",Config!$B$19)</f>
        <v/>
      </c>
      <c r="W1180" t="str">
        <f>IF($AS1180="","",INDEX('TMP Paste'!$C$2:$C$1601,$AS1180))</f>
        <v/>
      </c>
      <c r="X1180" t="str">
        <f>IF($AS1180="","",Config!$B$29)</f>
        <v/>
      </c>
      <c r="Y1180" t="str">
        <f>IF($AT1180="","",INDEX(Calc!$I$2:$I$1601,$AT1180)&amp;" - "&amp;INDEX(Calc!$D$2:$D$1601,$AT1180)&amp;" koli")</f>
        <v/>
      </c>
      <c r="Z1180" t="str">
        <f>IF($AS1180="","",Config!$B$21)</f>
        <v/>
      </c>
      <c r="AA1180" t="str">
        <f>IF($AS1180="","",Config!$B$22)</f>
        <v/>
      </c>
      <c r="AB1180" t="str">
        <f>IF($AT1180="","",INDEX(Calc!$D$2:$D$1601,$AT1180))</f>
        <v/>
      </c>
      <c r="AC1180" t="str">
        <f>IF($AT1180="","",INDEX(Calc!$G$2:$G$1601,$AT1180))</f>
        <v/>
      </c>
      <c r="AD1180" t="str">
        <f>IF($AS1180="","",Config!$B$23)</f>
        <v/>
      </c>
      <c r="AE1180" t="str">
        <f>IF($AS1180="","",Config!$B$28)</f>
        <v/>
      </c>
      <c r="AF1180" t="str">
        <f t="shared" si="110"/>
        <v/>
      </c>
      <c r="AG1180" t="str">
        <f t="shared" si="111"/>
        <v/>
      </c>
      <c r="AH1180" t="str">
        <f t="shared" si="112"/>
        <v/>
      </c>
      <c r="AI1180" t="str">
        <f>IF($AG1180="","",SUMIF($AG$2:$AG1180,$AG1180,$AH$2:$AH1180))</f>
        <v/>
      </c>
      <c r="AJ1180" t="str">
        <f>IF('TMP Paste'!$F1180="","",IF('TMP Paste'!$B1180="",$AJ1179,'TMP Paste'!$B1180))</f>
        <v/>
      </c>
      <c r="AK1180" t="str">
        <f>IF('TMP Paste'!$F1180="","",N('TMP Paste'!$G1180))</f>
        <v/>
      </c>
      <c r="AL1180" t="str">
        <f>IF('TMP Paste'!$F1180="","",IF('TMP Paste'!$M1180="",$AL1179,'TMP Paste'!$M1180))</f>
        <v/>
      </c>
      <c r="AM1180" t="str">
        <f>IF('TMP Paste'!$F1180="","",IF('TMP Paste'!$N1180="",$AM1179,'TMP Paste'!$N1180))</f>
        <v/>
      </c>
      <c r="AN1180" t="str">
        <f>IF('TMP Paste'!$F1180="","",IF('TMP Paste'!$O1180="",$AN1179,'TMP Paste'!$O1180))</f>
        <v/>
      </c>
      <c r="AO1180" t="str">
        <f>IF('TMP Paste'!$F1180="","",IF('TMP Paste'!$P1180="",$AO1179,'TMP Paste'!$P1180))</f>
        <v/>
      </c>
      <c r="AP1180" t="str">
        <f t="shared" si="113"/>
        <v/>
      </c>
      <c r="AQ1180" t="str">
        <f>IF($AS1180="","",TRIM(IF(COUNTIFS(Calc!$B$2:$B$1601,ROW()-1,Calc!$C$2:$C$1601,"&lt;1")&gt;0,"Ada PO tanpa Koli - cek TMP. ","")&amp;IF(OR($AU1180="",$AU1180&lt;=0),"Volume kosong/0 - dimensi dikosongkan. ","")&amp;IF(AND($AU1180&lt;&gt;"",$AU1180&gt;=1000000),"Volume &gt;= 1.000.000 cm3 (di luar aturan) - dimensi dikosongkan. ","")&amp;IF(LEN($R1180)&gt;500,"R &gt; 500 karakter.","")))</f>
        <v/>
      </c>
      <c r="AS1180" t="str">
        <f>IFERROR(MATCH(ROW()-1,Calc!$J$2:$J$1601,0),"")</f>
        <v/>
      </c>
      <c r="AT1180" t="str">
        <f>IFERROR(MATCH(ROW()-1,Calc!$K$2:$K$1601,0),"")</f>
        <v/>
      </c>
      <c r="AU1180" t="str">
        <f>IF($AS1180="","",IFERROR(INDEX('TMP Paste'!$D$2:$D$1601,$AS1180)*1000000/$AB1180,""))</f>
        <v/>
      </c>
    </row>
    <row r="1181" spans="1:47">
      <c r="A1181" t="str">
        <f>IF($AS1181="","",INDEX('TMP Paste'!$B$2:$B$1601,$AS1181))</f>
        <v/>
      </c>
      <c r="B1181" t="str">
        <f>IF($AS1181="","",Config!$B$14)</f>
        <v/>
      </c>
      <c r="C1181" t="str">
        <f>IF($AS1181="","",Config!$B$15)</f>
        <v/>
      </c>
      <c r="D1181" t="str">
        <f>IF($AS1181="","",INDEX('TMP Paste'!$B$2:$B$1601,$AS1181))</f>
        <v/>
      </c>
      <c r="E1181" t="str">
        <f>IF($AS1181="","",Config!$B$27)</f>
        <v/>
      </c>
      <c r="F1181" t="str">
        <f>IF($AS1181="","",Config!$B$9)</f>
        <v/>
      </c>
      <c r="G1181" t="str">
        <f>IF($AS1181="","",Config!$B$10)</f>
        <v/>
      </c>
      <c r="H1181" t="str">
        <f>IF($AS1181="","",Config!$B$11)</f>
        <v/>
      </c>
      <c r="I1181" t="str">
        <f>IF($AS1181="","",Config!$B$16)</f>
        <v/>
      </c>
      <c r="J1181" t="str">
        <f>IF($AS1181="","",INDEX('TMP Paste'!$A$2:$A$1601,$AS1181))</f>
        <v/>
      </c>
      <c r="K1181" t="str">
        <f>IF($AS1181="","",INDEX('TMP Paste'!$L$2:$L$1601,$AS1181))</f>
        <v/>
      </c>
      <c r="L1181" t="str">
        <f>IF($AS1181="","",INDEX('TMP Paste'!$I$2:$I$1601,$AS1181))</f>
        <v/>
      </c>
      <c r="M1181" t="str">
        <f>IF($AS1181="","",Config!$B$16)</f>
        <v/>
      </c>
      <c r="N1181" t="str">
        <f t="shared" si="108"/>
        <v/>
      </c>
      <c r="O1181" t="str">
        <f>IF($AS1181="","",INDEX('TMP Paste'!$K$2:$K$1601,$AS1181))</f>
        <v/>
      </c>
      <c r="P1181" t="str">
        <f t="shared" si="109"/>
        <v/>
      </c>
      <c r="Q1181" t="str">
        <f>IF($AS1181="","",INDEX('TMP Paste'!$J$2:$J$1601,$AS1181))</f>
        <v/>
      </c>
      <c r="R1181" t="str">
        <f>IF($AS1181="","",Config!$B$24)</f>
        <v/>
      </c>
      <c r="S1181" t="str">
        <f ca="1">IF($AS1181="","",TEXT(Config!$B$4,"yyyy-mm-dd"))</f>
        <v/>
      </c>
      <c r="T1181" t="str">
        <f>IF($AS1181="","",Config!$B$17)</f>
        <v/>
      </c>
      <c r="U1181" t="str">
        <f>IF($AS1181="","",Config!$B$18)</f>
        <v/>
      </c>
      <c r="V1181" t="str">
        <f>IF($AS1181="","",Config!$B$19)</f>
        <v/>
      </c>
      <c r="W1181" t="str">
        <f>IF($AS1181="","",INDEX('TMP Paste'!$C$2:$C$1601,$AS1181))</f>
        <v/>
      </c>
      <c r="X1181" t="str">
        <f>IF($AS1181="","",Config!$B$29)</f>
        <v/>
      </c>
      <c r="Y1181" t="str">
        <f>IF($AT1181="","",INDEX(Calc!$I$2:$I$1601,$AT1181)&amp;" - "&amp;INDEX(Calc!$D$2:$D$1601,$AT1181)&amp;" koli")</f>
        <v/>
      </c>
      <c r="Z1181" t="str">
        <f>IF($AS1181="","",Config!$B$21)</f>
        <v/>
      </c>
      <c r="AA1181" t="str">
        <f>IF($AS1181="","",Config!$B$22)</f>
        <v/>
      </c>
      <c r="AB1181" t="str">
        <f>IF($AT1181="","",INDEX(Calc!$D$2:$D$1601,$AT1181))</f>
        <v/>
      </c>
      <c r="AC1181" t="str">
        <f>IF($AT1181="","",INDEX(Calc!$G$2:$G$1601,$AT1181))</f>
        <v/>
      </c>
      <c r="AD1181" t="str">
        <f>IF($AS1181="","",Config!$B$23)</f>
        <v/>
      </c>
      <c r="AE1181" t="str">
        <f>IF($AS1181="","",Config!$B$28)</f>
        <v/>
      </c>
      <c r="AF1181" t="str">
        <f t="shared" si="110"/>
        <v/>
      </c>
      <c r="AG1181" t="str">
        <f t="shared" si="111"/>
        <v/>
      </c>
      <c r="AH1181" t="str">
        <f t="shared" si="112"/>
        <v/>
      </c>
      <c r="AI1181" t="str">
        <f>IF($AG1181="","",SUMIF($AG$2:$AG1181,$AG1181,$AH$2:$AH1181))</f>
        <v/>
      </c>
      <c r="AJ1181" t="str">
        <f>IF('TMP Paste'!$F1181="","",IF('TMP Paste'!$B1181="",$AJ1180,'TMP Paste'!$B1181))</f>
        <v/>
      </c>
      <c r="AK1181" t="str">
        <f>IF('TMP Paste'!$F1181="","",N('TMP Paste'!$G1181))</f>
        <v/>
      </c>
      <c r="AL1181" t="str">
        <f>IF('TMP Paste'!$F1181="","",IF('TMP Paste'!$M1181="",$AL1180,'TMP Paste'!$M1181))</f>
        <v/>
      </c>
      <c r="AM1181" t="str">
        <f>IF('TMP Paste'!$F1181="","",IF('TMP Paste'!$N1181="",$AM1180,'TMP Paste'!$N1181))</f>
        <v/>
      </c>
      <c r="AN1181" t="str">
        <f>IF('TMP Paste'!$F1181="","",IF('TMP Paste'!$O1181="",$AN1180,'TMP Paste'!$O1181))</f>
        <v/>
      </c>
      <c r="AO1181" t="str">
        <f>IF('TMP Paste'!$F1181="","",IF('TMP Paste'!$P1181="",$AO1180,'TMP Paste'!$P1181))</f>
        <v/>
      </c>
      <c r="AP1181" t="str">
        <f t="shared" si="113"/>
        <v/>
      </c>
      <c r="AQ1181" t="str">
        <f>IF($AS1181="","",TRIM(IF(COUNTIFS(Calc!$B$2:$B$1601,ROW()-1,Calc!$C$2:$C$1601,"&lt;1")&gt;0,"Ada PO tanpa Koli - cek TMP. ","")&amp;IF(OR($AU1181="",$AU1181&lt;=0),"Volume kosong/0 - dimensi dikosongkan. ","")&amp;IF(AND($AU1181&lt;&gt;"",$AU1181&gt;=1000000),"Volume &gt;= 1.000.000 cm3 (di luar aturan) - dimensi dikosongkan. ","")&amp;IF(LEN($R1181)&gt;500,"R &gt; 500 karakter.","")))</f>
        <v/>
      </c>
      <c r="AS1181" t="str">
        <f>IFERROR(MATCH(ROW()-1,Calc!$J$2:$J$1601,0),"")</f>
        <v/>
      </c>
      <c r="AT1181" t="str">
        <f>IFERROR(MATCH(ROW()-1,Calc!$K$2:$K$1601,0),"")</f>
        <v/>
      </c>
      <c r="AU1181" t="str">
        <f>IF($AS1181="","",IFERROR(INDEX('TMP Paste'!$D$2:$D$1601,$AS1181)*1000000/$AB1181,""))</f>
        <v/>
      </c>
    </row>
    <row r="1182" spans="1:47">
      <c r="A1182" t="str">
        <f>IF($AS1182="","",INDEX('TMP Paste'!$B$2:$B$1601,$AS1182))</f>
        <v/>
      </c>
      <c r="B1182" t="str">
        <f>IF($AS1182="","",Config!$B$14)</f>
        <v/>
      </c>
      <c r="C1182" t="str">
        <f>IF($AS1182="","",Config!$B$15)</f>
        <v/>
      </c>
      <c r="D1182" t="str">
        <f>IF($AS1182="","",INDEX('TMP Paste'!$B$2:$B$1601,$AS1182))</f>
        <v/>
      </c>
      <c r="E1182" t="str">
        <f>IF($AS1182="","",Config!$B$27)</f>
        <v/>
      </c>
      <c r="F1182" t="str">
        <f>IF($AS1182="","",Config!$B$9)</f>
        <v/>
      </c>
      <c r="G1182" t="str">
        <f>IF($AS1182="","",Config!$B$10)</f>
        <v/>
      </c>
      <c r="H1182" t="str">
        <f>IF($AS1182="","",Config!$B$11)</f>
        <v/>
      </c>
      <c r="I1182" t="str">
        <f>IF($AS1182="","",Config!$B$16)</f>
        <v/>
      </c>
      <c r="J1182" t="str">
        <f>IF($AS1182="","",INDEX('TMP Paste'!$A$2:$A$1601,$AS1182))</f>
        <v/>
      </c>
      <c r="K1182" t="str">
        <f>IF($AS1182="","",INDEX('TMP Paste'!$L$2:$L$1601,$AS1182))</f>
        <v/>
      </c>
      <c r="L1182" t="str">
        <f>IF($AS1182="","",INDEX('TMP Paste'!$I$2:$I$1601,$AS1182))</f>
        <v/>
      </c>
      <c r="M1182" t="str">
        <f>IF($AS1182="","",Config!$B$16)</f>
        <v/>
      </c>
      <c r="N1182" t="str">
        <f t="shared" si="108"/>
        <v/>
      </c>
      <c r="O1182" t="str">
        <f>IF($AS1182="","",INDEX('TMP Paste'!$K$2:$K$1601,$AS1182))</f>
        <v/>
      </c>
      <c r="P1182" t="str">
        <f t="shared" si="109"/>
        <v/>
      </c>
      <c r="Q1182" t="str">
        <f>IF($AS1182="","",INDEX('TMP Paste'!$J$2:$J$1601,$AS1182))</f>
        <v/>
      </c>
      <c r="R1182" t="str">
        <f>IF($AS1182="","",Config!$B$24)</f>
        <v/>
      </c>
      <c r="S1182" t="str">
        <f ca="1">IF($AS1182="","",TEXT(Config!$B$4,"yyyy-mm-dd"))</f>
        <v/>
      </c>
      <c r="T1182" t="str">
        <f>IF($AS1182="","",Config!$B$17)</f>
        <v/>
      </c>
      <c r="U1182" t="str">
        <f>IF($AS1182="","",Config!$B$18)</f>
        <v/>
      </c>
      <c r="V1182" t="str">
        <f>IF($AS1182="","",Config!$B$19)</f>
        <v/>
      </c>
      <c r="W1182" t="str">
        <f>IF($AS1182="","",INDEX('TMP Paste'!$C$2:$C$1601,$AS1182))</f>
        <v/>
      </c>
      <c r="X1182" t="str">
        <f>IF($AS1182="","",Config!$B$29)</f>
        <v/>
      </c>
      <c r="Y1182" t="str">
        <f>IF($AT1182="","",INDEX(Calc!$I$2:$I$1601,$AT1182)&amp;" - "&amp;INDEX(Calc!$D$2:$D$1601,$AT1182)&amp;" koli")</f>
        <v/>
      </c>
      <c r="Z1182" t="str">
        <f>IF($AS1182="","",Config!$B$21)</f>
        <v/>
      </c>
      <c r="AA1182" t="str">
        <f>IF($AS1182="","",Config!$B$22)</f>
        <v/>
      </c>
      <c r="AB1182" t="str">
        <f>IF($AT1182="","",INDEX(Calc!$D$2:$D$1601,$AT1182))</f>
        <v/>
      </c>
      <c r="AC1182" t="str">
        <f>IF($AT1182="","",INDEX(Calc!$G$2:$G$1601,$AT1182))</f>
        <v/>
      </c>
      <c r="AD1182" t="str">
        <f>IF($AS1182="","",Config!$B$23)</f>
        <v/>
      </c>
      <c r="AE1182" t="str">
        <f>IF($AS1182="","",Config!$B$28)</f>
        <v/>
      </c>
      <c r="AF1182" t="str">
        <f t="shared" si="110"/>
        <v/>
      </c>
      <c r="AG1182" t="str">
        <f t="shared" si="111"/>
        <v/>
      </c>
      <c r="AH1182" t="str">
        <f t="shared" si="112"/>
        <v/>
      </c>
      <c r="AI1182" t="str">
        <f>IF($AG1182="","",SUMIF($AG$2:$AG1182,$AG1182,$AH$2:$AH1182))</f>
        <v/>
      </c>
      <c r="AJ1182" t="str">
        <f>IF('TMP Paste'!$F1182="","",IF('TMP Paste'!$B1182="",$AJ1181,'TMP Paste'!$B1182))</f>
        <v/>
      </c>
      <c r="AK1182" t="str">
        <f>IF('TMP Paste'!$F1182="","",N('TMP Paste'!$G1182))</f>
        <v/>
      </c>
      <c r="AL1182" t="str">
        <f>IF('TMP Paste'!$F1182="","",IF('TMP Paste'!$M1182="",$AL1181,'TMP Paste'!$M1182))</f>
        <v/>
      </c>
      <c r="AM1182" t="str">
        <f>IF('TMP Paste'!$F1182="","",IF('TMP Paste'!$N1182="",$AM1181,'TMP Paste'!$N1182))</f>
        <v/>
      </c>
      <c r="AN1182" t="str">
        <f>IF('TMP Paste'!$F1182="","",IF('TMP Paste'!$O1182="",$AN1181,'TMP Paste'!$O1182))</f>
        <v/>
      </c>
      <c r="AO1182" t="str">
        <f>IF('TMP Paste'!$F1182="","",IF('TMP Paste'!$P1182="",$AO1181,'TMP Paste'!$P1182))</f>
        <v/>
      </c>
      <c r="AP1182" t="str">
        <f t="shared" si="113"/>
        <v/>
      </c>
      <c r="AQ1182" t="str">
        <f>IF($AS1182="","",TRIM(IF(COUNTIFS(Calc!$B$2:$B$1601,ROW()-1,Calc!$C$2:$C$1601,"&lt;1")&gt;0,"Ada PO tanpa Koli - cek TMP. ","")&amp;IF(OR($AU1182="",$AU1182&lt;=0),"Volume kosong/0 - dimensi dikosongkan. ","")&amp;IF(AND($AU1182&lt;&gt;"",$AU1182&gt;=1000000),"Volume &gt;= 1.000.000 cm3 (di luar aturan) - dimensi dikosongkan. ","")&amp;IF(LEN($R1182)&gt;500,"R &gt; 500 karakter.","")))</f>
        <v/>
      </c>
      <c r="AS1182" t="str">
        <f>IFERROR(MATCH(ROW()-1,Calc!$J$2:$J$1601,0),"")</f>
        <v/>
      </c>
      <c r="AT1182" t="str">
        <f>IFERROR(MATCH(ROW()-1,Calc!$K$2:$K$1601,0),"")</f>
        <v/>
      </c>
      <c r="AU1182" t="str">
        <f>IF($AS1182="","",IFERROR(INDEX('TMP Paste'!$D$2:$D$1601,$AS1182)*1000000/$AB1182,""))</f>
        <v/>
      </c>
    </row>
    <row r="1183" spans="1:47">
      <c r="A1183" t="str">
        <f>IF($AS1183="","",INDEX('TMP Paste'!$B$2:$B$1601,$AS1183))</f>
        <v/>
      </c>
      <c r="B1183" t="str">
        <f>IF($AS1183="","",Config!$B$14)</f>
        <v/>
      </c>
      <c r="C1183" t="str">
        <f>IF($AS1183="","",Config!$B$15)</f>
        <v/>
      </c>
      <c r="D1183" t="str">
        <f>IF($AS1183="","",INDEX('TMP Paste'!$B$2:$B$1601,$AS1183))</f>
        <v/>
      </c>
      <c r="E1183" t="str">
        <f>IF($AS1183="","",Config!$B$27)</f>
        <v/>
      </c>
      <c r="F1183" t="str">
        <f>IF($AS1183="","",Config!$B$9)</f>
        <v/>
      </c>
      <c r="G1183" t="str">
        <f>IF($AS1183="","",Config!$B$10)</f>
        <v/>
      </c>
      <c r="H1183" t="str">
        <f>IF($AS1183="","",Config!$B$11)</f>
        <v/>
      </c>
      <c r="I1183" t="str">
        <f>IF($AS1183="","",Config!$B$16)</f>
        <v/>
      </c>
      <c r="J1183" t="str">
        <f>IF($AS1183="","",INDEX('TMP Paste'!$A$2:$A$1601,$AS1183))</f>
        <v/>
      </c>
      <c r="K1183" t="str">
        <f>IF($AS1183="","",INDEX('TMP Paste'!$L$2:$L$1601,$AS1183))</f>
        <v/>
      </c>
      <c r="L1183" t="str">
        <f>IF($AS1183="","",INDEX('TMP Paste'!$I$2:$I$1601,$AS1183))</f>
        <v/>
      </c>
      <c r="M1183" t="str">
        <f>IF($AS1183="","",Config!$B$16)</f>
        <v/>
      </c>
      <c r="N1183" t="str">
        <f t="shared" si="108"/>
        <v/>
      </c>
      <c r="O1183" t="str">
        <f>IF($AS1183="","",INDEX('TMP Paste'!$K$2:$K$1601,$AS1183))</f>
        <v/>
      </c>
      <c r="P1183" t="str">
        <f t="shared" si="109"/>
        <v/>
      </c>
      <c r="Q1183" t="str">
        <f>IF($AS1183="","",INDEX('TMP Paste'!$J$2:$J$1601,$AS1183))</f>
        <v/>
      </c>
      <c r="R1183" t="str">
        <f>IF($AS1183="","",Config!$B$24)</f>
        <v/>
      </c>
      <c r="S1183" t="str">
        <f ca="1">IF($AS1183="","",TEXT(Config!$B$4,"yyyy-mm-dd"))</f>
        <v/>
      </c>
      <c r="T1183" t="str">
        <f>IF($AS1183="","",Config!$B$17)</f>
        <v/>
      </c>
      <c r="U1183" t="str">
        <f>IF($AS1183="","",Config!$B$18)</f>
        <v/>
      </c>
      <c r="V1183" t="str">
        <f>IF($AS1183="","",Config!$B$19)</f>
        <v/>
      </c>
      <c r="W1183" t="str">
        <f>IF($AS1183="","",INDEX('TMP Paste'!$C$2:$C$1601,$AS1183))</f>
        <v/>
      </c>
      <c r="X1183" t="str">
        <f>IF($AS1183="","",Config!$B$29)</f>
        <v/>
      </c>
      <c r="Y1183" t="str">
        <f>IF($AT1183="","",INDEX(Calc!$I$2:$I$1601,$AT1183)&amp;" - "&amp;INDEX(Calc!$D$2:$D$1601,$AT1183)&amp;" koli")</f>
        <v/>
      </c>
      <c r="Z1183" t="str">
        <f>IF($AS1183="","",Config!$B$21)</f>
        <v/>
      </c>
      <c r="AA1183" t="str">
        <f>IF($AS1183="","",Config!$B$22)</f>
        <v/>
      </c>
      <c r="AB1183" t="str">
        <f>IF($AT1183="","",INDEX(Calc!$D$2:$D$1601,$AT1183))</f>
        <v/>
      </c>
      <c r="AC1183" t="str">
        <f>IF($AT1183="","",INDEX(Calc!$G$2:$G$1601,$AT1183))</f>
        <v/>
      </c>
      <c r="AD1183" t="str">
        <f>IF($AS1183="","",Config!$B$23)</f>
        <v/>
      </c>
      <c r="AE1183" t="str">
        <f>IF($AS1183="","",Config!$B$28)</f>
        <v/>
      </c>
      <c r="AF1183" t="str">
        <f t="shared" si="110"/>
        <v/>
      </c>
      <c r="AG1183" t="str">
        <f t="shared" si="111"/>
        <v/>
      </c>
      <c r="AH1183" t="str">
        <f t="shared" si="112"/>
        <v/>
      </c>
      <c r="AI1183" t="str">
        <f>IF($AG1183="","",SUMIF($AG$2:$AG1183,$AG1183,$AH$2:$AH1183))</f>
        <v/>
      </c>
      <c r="AJ1183" t="str">
        <f>IF('TMP Paste'!$F1183="","",IF('TMP Paste'!$B1183="",$AJ1182,'TMP Paste'!$B1183))</f>
        <v/>
      </c>
      <c r="AK1183" t="str">
        <f>IF('TMP Paste'!$F1183="","",N('TMP Paste'!$G1183))</f>
        <v/>
      </c>
      <c r="AL1183" t="str">
        <f>IF('TMP Paste'!$F1183="","",IF('TMP Paste'!$M1183="",$AL1182,'TMP Paste'!$M1183))</f>
        <v/>
      </c>
      <c r="AM1183" t="str">
        <f>IF('TMP Paste'!$F1183="","",IF('TMP Paste'!$N1183="",$AM1182,'TMP Paste'!$N1183))</f>
        <v/>
      </c>
      <c r="AN1183" t="str">
        <f>IF('TMP Paste'!$F1183="","",IF('TMP Paste'!$O1183="",$AN1182,'TMP Paste'!$O1183))</f>
        <v/>
      </c>
      <c r="AO1183" t="str">
        <f>IF('TMP Paste'!$F1183="","",IF('TMP Paste'!$P1183="",$AO1182,'TMP Paste'!$P1183))</f>
        <v/>
      </c>
      <c r="AP1183" t="str">
        <f t="shared" si="113"/>
        <v/>
      </c>
      <c r="AQ1183" t="str">
        <f>IF($AS1183="","",TRIM(IF(COUNTIFS(Calc!$B$2:$B$1601,ROW()-1,Calc!$C$2:$C$1601,"&lt;1")&gt;0,"Ada PO tanpa Koli - cek TMP. ","")&amp;IF(OR($AU1183="",$AU1183&lt;=0),"Volume kosong/0 - dimensi dikosongkan. ","")&amp;IF(AND($AU1183&lt;&gt;"",$AU1183&gt;=1000000),"Volume &gt;= 1.000.000 cm3 (di luar aturan) - dimensi dikosongkan. ","")&amp;IF(LEN($R1183)&gt;500,"R &gt; 500 karakter.","")))</f>
        <v/>
      </c>
      <c r="AS1183" t="str">
        <f>IFERROR(MATCH(ROW()-1,Calc!$J$2:$J$1601,0),"")</f>
        <v/>
      </c>
      <c r="AT1183" t="str">
        <f>IFERROR(MATCH(ROW()-1,Calc!$K$2:$K$1601,0),"")</f>
        <v/>
      </c>
      <c r="AU1183" t="str">
        <f>IF($AS1183="","",IFERROR(INDEX('TMP Paste'!$D$2:$D$1601,$AS1183)*1000000/$AB1183,""))</f>
        <v/>
      </c>
    </row>
    <row r="1184" spans="1:47">
      <c r="A1184" t="str">
        <f>IF($AS1184="","",INDEX('TMP Paste'!$B$2:$B$1601,$AS1184))</f>
        <v/>
      </c>
      <c r="B1184" t="str">
        <f>IF($AS1184="","",Config!$B$14)</f>
        <v/>
      </c>
      <c r="C1184" t="str">
        <f>IF($AS1184="","",Config!$B$15)</f>
        <v/>
      </c>
      <c r="D1184" t="str">
        <f>IF($AS1184="","",INDEX('TMP Paste'!$B$2:$B$1601,$AS1184))</f>
        <v/>
      </c>
      <c r="E1184" t="str">
        <f>IF($AS1184="","",Config!$B$27)</f>
        <v/>
      </c>
      <c r="F1184" t="str">
        <f>IF($AS1184="","",Config!$B$9)</f>
        <v/>
      </c>
      <c r="G1184" t="str">
        <f>IF($AS1184="","",Config!$B$10)</f>
        <v/>
      </c>
      <c r="H1184" t="str">
        <f>IF($AS1184="","",Config!$B$11)</f>
        <v/>
      </c>
      <c r="I1184" t="str">
        <f>IF($AS1184="","",Config!$B$16)</f>
        <v/>
      </c>
      <c r="J1184" t="str">
        <f>IF($AS1184="","",INDEX('TMP Paste'!$A$2:$A$1601,$AS1184))</f>
        <v/>
      </c>
      <c r="K1184" t="str">
        <f>IF($AS1184="","",INDEX('TMP Paste'!$L$2:$L$1601,$AS1184))</f>
        <v/>
      </c>
      <c r="L1184" t="str">
        <f>IF($AS1184="","",INDEX('TMP Paste'!$I$2:$I$1601,$AS1184))</f>
        <v/>
      </c>
      <c r="M1184" t="str">
        <f>IF($AS1184="","",Config!$B$16)</f>
        <v/>
      </c>
      <c r="N1184" t="str">
        <f t="shared" si="108"/>
        <v/>
      </c>
      <c r="O1184" t="str">
        <f>IF($AS1184="","",INDEX('TMP Paste'!$K$2:$K$1601,$AS1184))</f>
        <v/>
      </c>
      <c r="P1184" t="str">
        <f t="shared" si="109"/>
        <v/>
      </c>
      <c r="Q1184" t="str">
        <f>IF($AS1184="","",INDEX('TMP Paste'!$J$2:$J$1601,$AS1184))</f>
        <v/>
      </c>
      <c r="R1184" t="str">
        <f>IF($AS1184="","",Config!$B$24)</f>
        <v/>
      </c>
      <c r="S1184" t="str">
        <f ca="1">IF($AS1184="","",TEXT(Config!$B$4,"yyyy-mm-dd"))</f>
        <v/>
      </c>
      <c r="T1184" t="str">
        <f>IF($AS1184="","",Config!$B$17)</f>
        <v/>
      </c>
      <c r="U1184" t="str">
        <f>IF($AS1184="","",Config!$B$18)</f>
        <v/>
      </c>
      <c r="V1184" t="str">
        <f>IF($AS1184="","",Config!$B$19)</f>
        <v/>
      </c>
      <c r="W1184" t="str">
        <f>IF($AS1184="","",INDEX('TMP Paste'!$C$2:$C$1601,$AS1184))</f>
        <v/>
      </c>
      <c r="X1184" t="str">
        <f>IF($AS1184="","",Config!$B$29)</f>
        <v/>
      </c>
      <c r="Y1184" t="str">
        <f>IF($AT1184="","",INDEX(Calc!$I$2:$I$1601,$AT1184)&amp;" - "&amp;INDEX(Calc!$D$2:$D$1601,$AT1184)&amp;" koli")</f>
        <v/>
      </c>
      <c r="Z1184" t="str">
        <f>IF($AS1184="","",Config!$B$21)</f>
        <v/>
      </c>
      <c r="AA1184" t="str">
        <f>IF($AS1184="","",Config!$B$22)</f>
        <v/>
      </c>
      <c r="AB1184" t="str">
        <f>IF($AT1184="","",INDEX(Calc!$D$2:$D$1601,$AT1184))</f>
        <v/>
      </c>
      <c r="AC1184" t="str">
        <f>IF($AT1184="","",INDEX(Calc!$G$2:$G$1601,$AT1184))</f>
        <v/>
      </c>
      <c r="AD1184" t="str">
        <f>IF($AS1184="","",Config!$B$23)</f>
        <v/>
      </c>
      <c r="AE1184" t="str">
        <f>IF($AS1184="","",Config!$B$28)</f>
        <v/>
      </c>
      <c r="AF1184" t="str">
        <f t="shared" si="110"/>
        <v/>
      </c>
      <c r="AG1184" t="str">
        <f t="shared" si="111"/>
        <v/>
      </c>
      <c r="AH1184" t="str">
        <f t="shared" si="112"/>
        <v/>
      </c>
      <c r="AI1184" t="str">
        <f>IF($AG1184="","",SUMIF($AG$2:$AG1184,$AG1184,$AH$2:$AH1184))</f>
        <v/>
      </c>
      <c r="AJ1184" t="str">
        <f>IF('TMP Paste'!$F1184="","",IF('TMP Paste'!$B1184="",$AJ1183,'TMP Paste'!$B1184))</f>
        <v/>
      </c>
      <c r="AK1184" t="str">
        <f>IF('TMP Paste'!$F1184="","",N('TMP Paste'!$G1184))</f>
        <v/>
      </c>
      <c r="AL1184" t="str">
        <f>IF('TMP Paste'!$F1184="","",IF('TMP Paste'!$M1184="",$AL1183,'TMP Paste'!$M1184))</f>
        <v/>
      </c>
      <c r="AM1184" t="str">
        <f>IF('TMP Paste'!$F1184="","",IF('TMP Paste'!$N1184="",$AM1183,'TMP Paste'!$N1184))</f>
        <v/>
      </c>
      <c r="AN1184" t="str">
        <f>IF('TMP Paste'!$F1184="","",IF('TMP Paste'!$O1184="",$AN1183,'TMP Paste'!$O1184))</f>
        <v/>
      </c>
      <c r="AO1184" t="str">
        <f>IF('TMP Paste'!$F1184="","",IF('TMP Paste'!$P1184="",$AO1183,'TMP Paste'!$P1184))</f>
        <v/>
      </c>
      <c r="AP1184" t="str">
        <f t="shared" si="113"/>
        <v/>
      </c>
      <c r="AQ1184" t="str">
        <f>IF($AS1184="","",TRIM(IF(COUNTIFS(Calc!$B$2:$B$1601,ROW()-1,Calc!$C$2:$C$1601,"&lt;1")&gt;0,"Ada PO tanpa Koli - cek TMP. ","")&amp;IF(OR($AU1184="",$AU1184&lt;=0),"Volume kosong/0 - dimensi dikosongkan. ","")&amp;IF(AND($AU1184&lt;&gt;"",$AU1184&gt;=1000000),"Volume &gt;= 1.000.000 cm3 (di luar aturan) - dimensi dikosongkan. ","")&amp;IF(LEN($R1184)&gt;500,"R &gt; 500 karakter.","")))</f>
        <v/>
      </c>
      <c r="AS1184" t="str">
        <f>IFERROR(MATCH(ROW()-1,Calc!$J$2:$J$1601,0),"")</f>
        <v/>
      </c>
      <c r="AT1184" t="str">
        <f>IFERROR(MATCH(ROW()-1,Calc!$K$2:$K$1601,0),"")</f>
        <v/>
      </c>
      <c r="AU1184" t="str">
        <f>IF($AS1184="","",IFERROR(INDEX('TMP Paste'!$D$2:$D$1601,$AS1184)*1000000/$AB1184,""))</f>
        <v/>
      </c>
    </row>
    <row r="1185" spans="1:47">
      <c r="A1185" t="str">
        <f>IF($AS1185="","",INDEX('TMP Paste'!$B$2:$B$1601,$AS1185))</f>
        <v/>
      </c>
      <c r="B1185" t="str">
        <f>IF($AS1185="","",Config!$B$14)</f>
        <v/>
      </c>
      <c r="C1185" t="str">
        <f>IF($AS1185="","",Config!$B$15)</f>
        <v/>
      </c>
      <c r="D1185" t="str">
        <f>IF($AS1185="","",INDEX('TMP Paste'!$B$2:$B$1601,$AS1185))</f>
        <v/>
      </c>
      <c r="E1185" t="str">
        <f>IF($AS1185="","",Config!$B$27)</f>
        <v/>
      </c>
      <c r="F1185" t="str">
        <f>IF($AS1185="","",Config!$B$9)</f>
        <v/>
      </c>
      <c r="G1185" t="str">
        <f>IF($AS1185="","",Config!$B$10)</f>
        <v/>
      </c>
      <c r="H1185" t="str">
        <f>IF($AS1185="","",Config!$B$11)</f>
        <v/>
      </c>
      <c r="I1185" t="str">
        <f>IF($AS1185="","",Config!$B$16)</f>
        <v/>
      </c>
      <c r="J1185" t="str">
        <f>IF($AS1185="","",INDEX('TMP Paste'!$A$2:$A$1601,$AS1185))</f>
        <v/>
      </c>
      <c r="K1185" t="str">
        <f>IF($AS1185="","",INDEX('TMP Paste'!$L$2:$L$1601,$AS1185))</f>
        <v/>
      </c>
      <c r="L1185" t="str">
        <f>IF($AS1185="","",INDEX('TMP Paste'!$I$2:$I$1601,$AS1185))</f>
        <v/>
      </c>
      <c r="M1185" t="str">
        <f>IF($AS1185="","",Config!$B$16)</f>
        <v/>
      </c>
      <c r="N1185" t="str">
        <f t="shared" si="108"/>
        <v/>
      </c>
      <c r="O1185" t="str">
        <f>IF($AS1185="","",INDEX('TMP Paste'!$K$2:$K$1601,$AS1185))</f>
        <v/>
      </c>
      <c r="P1185" t="str">
        <f t="shared" si="109"/>
        <v/>
      </c>
      <c r="Q1185" t="str">
        <f>IF($AS1185="","",INDEX('TMP Paste'!$J$2:$J$1601,$AS1185))</f>
        <v/>
      </c>
      <c r="R1185" t="str">
        <f>IF($AS1185="","",Config!$B$24)</f>
        <v/>
      </c>
      <c r="S1185" t="str">
        <f ca="1">IF($AS1185="","",TEXT(Config!$B$4,"yyyy-mm-dd"))</f>
        <v/>
      </c>
      <c r="T1185" t="str">
        <f>IF($AS1185="","",Config!$B$17)</f>
        <v/>
      </c>
      <c r="U1185" t="str">
        <f>IF($AS1185="","",Config!$B$18)</f>
        <v/>
      </c>
      <c r="V1185" t="str">
        <f>IF($AS1185="","",Config!$B$19)</f>
        <v/>
      </c>
      <c r="W1185" t="str">
        <f>IF($AS1185="","",INDEX('TMP Paste'!$C$2:$C$1601,$AS1185))</f>
        <v/>
      </c>
      <c r="X1185" t="str">
        <f>IF($AS1185="","",Config!$B$29)</f>
        <v/>
      </c>
      <c r="Y1185" t="str">
        <f>IF($AT1185="","",INDEX(Calc!$I$2:$I$1601,$AT1185)&amp;" - "&amp;INDEX(Calc!$D$2:$D$1601,$AT1185)&amp;" koli")</f>
        <v/>
      </c>
      <c r="Z1185" t="str">
        <f>IF($AS1185="","",Config!$B$21)</f>
        <v/>
      </c>
      <c r="AA1185" t="str">
        <f>IF($AS1185="","",Config!$B$22)</f>
        <v/>
      </c>
      <c r="AB1185" t="str">
        <f>IF($AT1185="","",INDEX(Calc!$D$2:$D$1601,$AT1185))</f>
        <v/>
      </c>
      <c r="AC1185" t="str">
        <f>IF($AT1185="","",INDEX(Calc!$G$2:$G$1601,$AT1185))</f>
        <v/>
      </c>
      <c r="AD1185" t="str">
        <f>IF($AS1185="","",Config!$B$23)</f>
        <v/>
      </c>
      <c r="AE1185" t="str">
        <f>IF($AS1185="","",Config!$B$28)</f>
        <v/>
      </c>
      <c r="AF1185" t="str">
        <f t="shared" si="110"/>
        <v/>
      </c>
      <c r="AG1185" t="str">
        <f t="shared" si="111"/>
        <v/>
      </c>
      <c r="AH1185" t="str">
        <f t="shared" si="112"/>
        <v/>
      </c>
      <c r="AI1185" t="str">
        <f>IF($AG1185="","",SUMIF($AG$2:$AG1185,$AG1185,$AH$2:$AH1185))</f>
        <v/>
      </c>
      <c r="AJ1185" t="str">
        <f>IF('TMP Paste'!$F1185="","",IF('TMP Paste'!$B1185="",$AJ1184,'TMP Paste'!$B1185))</f>
        <v/>
      </c>
      <c r="AK1185" t="str">
        <f>IF('TMP Paste'!$F1185="","",N('TMP Paste'!$G1185))</f>
        <v/>
      </c>
      <c r="AL1185" t="str">
        <f>IF('TMP Paste'!$F1185="","",IF('TMP Paste'!$M1185="",$AL1184,'TMP Paste'!$M1185))</f>
        <v/>
      </c>
      <c r="AM1185" t="str">
        <f>IF('TMP Paste'!$F1185="","",IF('TMP Paste'!$N1185="",$AM1184,'TMP Paste'!$N1185))</f>
        <v/>
      </c>
      <c r="AN1185" t="str">
        <f>IF('TMP Paste'!$F1185="","",IF('TMP Paste'!$O1185="",$AN1184,'TMP Paste'!$O1185))</f>
        <v/>
      </c>
      <c r="AO1185" t="str">
        <f>IF('TMP Paste'!$F1185="","",IF('TMP Paste'!$P1185="",$AO1184,'TMP Paste'!$P1185))</f>
        <v/>
      </c>
      <c r="AP1185" t="str">
        <f t="shared" si="113"/>
        <v/>
      </c>
      <c r="AQ1185" t="str">
        <f>IF($AS1185="","",TRIM(IF(COUNTIFS(Calc!$B$2:$B$1601,ROW()-1,Calc!$C$2:$C$1601,"&lt;1")&gt;0,"Ada PO tanpa Koli - cek TMP. ","")&amp;IF(OR($AU1185="",$AU1185&lt;=0),"Volume kosong/0 - dimensi dikosongkan. ","")&amp;IF(AND($AU1185&lt;&gt;"",$AU1185&gt;=1000000),"Volume &gt;= 1.000.000 cm3 (di luar aturan) - dimensi dikosongkan. ","")&amp;IF(LEN($R1185)&gt;500,"R &gt; 500 karakter.","")))</f>
        <v/>
      </c>
      <c r="AS1185" t="str">
        <f>IFERROR(MATCH(ROW()-1,Calc!$J$2:$J$1601,0),"")</f>
        <v/>
      </c>
      <c r="AT1185" t="str">
        <f>IFERROR(MATCH(ROW()-1,Calc!$K$2:$K$1601,0),"")</f>
        <v/>
      </c>
      <c r="AU1185" t="str">
        <f>IF($AS1185="","",IFERROR(INDEX('TMP Paste'!$D$2:$D$1601,$AS1185)*1000000/$AB1185,""))</f>
        <v/>
      </c>
    </row>
    <row r="1186" spans="1:47">
      <c r="A1186" t="str">
        <f>IF($AS1186="","",INDEX('TMP Paste'!$B$2:$B$1601,$AS1186))</f>
        <v/>
      </c>
      <c r="B1186" t="str">
        <f>IF($AS1186="","",Config!$B$14)</f>
        <v/>
      </c>
      <c r="C1186" t="str">
        <f>IF($AS1186="","",Config!$B$15)</f>
        <v/>
      </c>
      <c r="D1186" t="str">
        <f>IF($AS1186="","",INDEX('TMP Paste'!$B$2:$B$1601,$AS1186))</f>
        <v/>
      </c>
      <c r="E1186" t="str">
        <f>IF($AS1186="","",Config!$B$27)</f>
        <v/>
      </c>
      <c r="F1186" t="str">
        <f>IF($AS1186="","",Config!$B$9)</f>
        <v/>
      </c>
      <c r="G1186" t="str">
        <f>IF($AS1186="","",Config!$B$10)</f>
        <v/>
      </c>
      <c r="H1186" t="str">
        <f>IF($AS1186="","",Config!$B$11)</f>
        <v/>
      </c>
      <c r="I1186" t="str">
        <f>IF($AS1186="","",Config!$B$16)</f>
        <v/>
      </c>
      <c r="J1186" t="str">
        <f>IF($AS1186="","",INDEX('TMP Paste'!$A$2:$A$1601,$AS1186))</f>
        <v/>
      </c>
      <c r="K1186" t="str">
        <f>IF($AS1186="","",INDEX('TMP Paste'!$L$2:$L$1601,$AS1186))</f>
        <v/>
      </c>
      <c r="L1186" t="str">
        <f>IF($AS1186="","",INDEX('TMP Paste'!$I$2:$I$1601,$AS1186))</f>
        <v/>
      </c>
      <c r="M1186" t="str">
        <f>IF($AS1186="","",Config!$B$16)</f>
        <v/>
      </c>
      <c r="N1186" t="str">
        <f t="shared" si="108"/>
        <v/>
      </c>
      <c r="O1186" t="str">
        <f>IF($AS1186="","",INDEX('TMP Paste'!$K$2:$K$1601,$AS1186))</f>
        <v/>
      </c>
      <c r="P1186" t="str">
        <f t="shared" si="109"/>
        <v/>
      </c>
      <c r="Q1186" t="str">
        <f>IF($AS1186="","",INDEX('TMP Paste'!$J$2:$J$1601,$AS1186))</f>
        <v/>
      </c>
      <c r="R1186" t="str">
        <f>IF($AS1186="","",Config!$B$24)</f>
        <v/>
      </c>
      <c r="S1186" t="str">
        <f ca="1">IF($AS1186="","",TEXT(Config!$B$4,"yyyy-mm-dd"))</f>
        <v/>
      </c>
      <c r="T1186" t="str">
        <f>IF($AS1186="","",Config!$B$17)</f>
        <v/>
      </c>
      <c r="U1186" t="str">
        <f>IF($AS1186="","",Config!$B$18)</f>
        <v/>
      </c>
      <c r="V1186" t="str">
        <f>IF($AS1186="","",Config!$B$19)</f>
        <v/>
      </c>
      <c r="W1186" t="str">
        <f>IF($AS1186="","",INDEX('TMP Paste'!$C$2:$C$1601,$AS1186))</f>
        <v/>
      </c>
      <c r="X1186" t="str">
        <f>IF($AS1186="","",Config!$B$29)</f>
        <v/>
      </c>
      <c r="Y1186" t="str">
        <f>IF($AT1186="","",INDEX(Calc!$I$2:$I$1601,$AT1186)&amp;" - "&amp;INDEX(Calc!$D$2:$D$1601,$AT1186)&amp;" koli")</f>
        <v/>
      </c>
      <c r="Z1186" t="str">
        <f>IF($AS1186="","",Config!$B$21)</f>
        <v/>
      </c>
      <c r="AA1186" t="str">
        <f>IF($AS1186="","",Config!$B$22)</f>
        <v/>
      </c>
      <c r="AB1186" t="str">
        <f>IF($AT1186="","",INDEX(Calc!$D$2:$D$1601,$AT1186))</f>
        <v/>
      </c>
      <c r="AC1186" t="str">
        <f>IF($AT1186="","",INDEX(Calc!$G$2:$G$1601,$AT1186))</f>
        <v/>
      </c>
      <c r="AD1186" t="str">
        <f>IF($AS1186="","",Config!$B$23)</f>
        <v/>
      </c>
      <c r="AE1186" t="str">
        <f>IF($AS1186="","",Config!$B$28)</f>
        <v/>
      </c>
      <c r="AF1186" t="str">
        <f t="shared" si="110"/>
        <v/>
      </c>
      <c r="AG1186" t="str">
        <f t="shared" si="111"/>
        <v/>
      </c>
      <c r="AH1186" t="str">
        <f t="shared" si="112"/>
        <v/>
      </c>
      <c r="AI1186" t="str">
        <f>IF($AG1186="","",SUMIF($AG$2:$AG1186,$AG1186,$AH$2:$AH1186))</f>
        <v/>
      </c>
      <c r="AJ1186" t="str">
        <f>IF('TMP Paste'!$F1186="","",IF('TMP Paste'!$B1186="",$AJ1185,'TMP Paste'!$B1186))</f>
        <v/>
      </c>
      <c r="AK1186" t="str">
        <f>IF('TMP Paste'!$F1186="","",N('TMP Paste'!$G1186))</f>
        <v/>
      </c>
      <c r="AL1186" t="str">
        <f>IF('TMP Paste'!$F1186="","",IF('TMP Paste'!$M1186="",$AL1185,'TMP Paste'!$M1186))</f>
        <v/>
      </c>
      <c r="AM1186" t="str">
        <f>IF('TMP Paste'!$F1186="","",IF('TMP Paste'!$N1186="",$AM1185,'TMP Paste'!$N1186))</f>
        <v/>
      </c>
      <c r="AN1186" t="str">
        <f>IF('TMP Paste'!$F1186="","",IF('TMP Paste'!$O1186="",$AN1185,'TMP Paste'!$O1186))</f>
        <v/>
      </c>
      <c r="AO1186" t="str">
        <f>IF('TMP Paste'!$F1186="","",IF('TMP Paste'!$P1186="",$AO1185,'TMP Paste'!$P1186))</f>
        <v/>
      </c>
      <c r="AP1186" t="str">
        <f t="shared" si="113"/>
        <v/>
      </c>
      <c r="AQ1186" t="str">
        <f>IF($AS1186="","",TRIM(IF(COUNTIFS(Calc!$B$2:$B$1601,ROW()-1,Calc!$C$2:$C$1601,"&lt;1")&gt;0,"Ada PO tanpa Koli - cek TMP. ","")&amp;IF(OR($AU1186="",$AU1186&lt;=0),"Volume kosong/0 - dimensi dikosongkan. ","")&amp;IF(AND($AU1186&lt;&gt;"",$AU1186&gt;=1000000),"Volume &gt;= 1.000.000 cm3 (di luar aturan) - dimensi dikosongkan. ","")&amp;IF(LEN($R1186)&gt;500,"R &gt; 500 karakter.","")))</f>
        <v/>
      </c>
      <c r="AS1186" t="str">
        <f>IFERROR(MATCH(ROW()-1,Calc!$J$2:$J$1601,0),"")</f>
        <v/>
      </c>
      <c r="AT1186" t="str">
        <f>IFERROR(MATCH(ROW()-1,Calc!$K$2:$K$1601,0),"")</f>
        <v/>
      </c>
      <c r="AU1186" t="str">
        <f>IF($AS1186="","",IFERROR(INDEX('TMP Paste'!$D$2:$D$1601,$AS1186)*1000000/$AB1186,""))</f>
        <v/>
      </c>
    </row>
    <row r="1187" spans="1:47">
      <c r="A1187" t="str">
        <f>IF($AS1187="","",INDEX('TMP Paste'!$B$2:$B$1601,$AS1187))</f>
        <v/>
      </c>
      <c r="B1187" t="str">
        <f>IF($AS1187="","",Config!$B$14)</f>
        <v/>
      </c>
      <c r="C1187" t="str">
        <f>IF($AS1187="","",Config!$B$15)</f>
        <v/>
      </c>
      <c r="D1187" t="str">
        <f>IF($AS1187="","",INDEX('TMP Paste'!$B$2:$B$1601,$AS1187))</f>
        <v/>
      </c>
      <c r="E1187" t="str">
        <f>IF($AS1187="","",Config!$B$27)</f>
        <v/>
      </c>
      <c r="F1187" t="str">
        <f>IF($AS1187="","",Config!$B$9)</f>
        <v/>
      </c>
      <c r="G1187" t="str">
        <f>IF($AS1187="","",Config!$B$10)</f>
        <v/>
      </c>
      <c r="H1187" t="str">
        <f>IF($AS1187="","",Config!$B$11)</f>
        <v/>
      </c>
      <c r="I1187" t="str">
        <f>IF($AS1187="","",Config!$B$16)</f>
        <v/>
      </c>
      <c r="J1187" t="str">
        <f>IF($AS1187="","",INDEX('TMP Paste'!$A$2:$A$1601,$AS1187))</f>
        <v/>
      </c>
      <c r="K1187" t="str">
        <f>IF($AS1187="","",INDEX('TMP Paste'!$L$2:$L$1601,$AS1187))</f>
        <v/>
      </c>
      <c r="L1187" t="str">
        <f>IF($AS1187="","",INDEX('TMP Paste'!$I$2:$I$1601,$AS1187))</f>
        <v/>
      </c>
      <c r="M1187" t="str">
        <f>IF($AS1187="","",Config!$B$16)</f>
        <v/>
      </c>
      <c r="N1187" t="str">
        <f t="shared" si="108"/>
        <v/>
      </c>
      <c r="O1187" t="str">
        <f>IF($AS1187="","",INDEX('TMP Paste'!$K$2:$K$1601,$AS1187))</f>
        <v/>
      </c>
      <c r="P1187" t="str">
        <f t="shared" si="109"/>
        <v/>
      </c>
      <c r="Q1187" t="str">
        <f>IF($AS1187="","",INDEX('TMP Paste'!$J$2:$J$1601,$AS1187))</f>
        <v/>
      </c>
      <c r="R1187" t="str">
        <f>IF($AS1187="","",Config!$B$24)</f>
        <v/>
      </c>
      <c r="S1187" t="str">
        <f ca="1">IF($AS1187="","",TEXT(Config!$B$4,"yyyy-mm-dd"))</f>
        <v/>
      </c>
      <c r="T1187" t="str">
        <f>IF($AS1187="","",Config!$B$17)</f>
        <v/>
      </c>
      <c r="U1187" t="str">
        <f>IF($AS1187="","",Config!$B$18)</f>
        <v/>
      </c>
      <c r="V1187" t="str">
        <f>IF($AS1187="","",Config!$B$19)</f>
        <v/>
      </c>
      <c r="W1187" t="str">
        <f>IF($AS1187="","",INDEX('TMP Paste'!$C$2:$C$1601,$AS1187))</f>
        <v/>
      </c>
      <c r="X1187" t="str">
        <f>IF($AS1187="","",Config!$B$29)</f>
        <v/>
      </c>
      <c r="Y1187" t="str">
        <f>IF($AT1187="","",INDEX(Calc!$I$2:$I$1601,$AT1187)&amp;" - "&amp;INDEX(Calc!$D$2:$D$1601,$AT1187)&amp;" koli")</f>
        <v/>
      </c>
      <c r="Z1187" t="str">
        <f>IF($AS1187="","",Config!$B$21)</f>
        <v/>
      </c>
      <c r="AA1187" t="str">
        <f>IF($AS1187="","",Config!$B$22)</f>
        <v/>
      </c>
      <c r="AB1187" t="str">
        <f>IF($AT1187="","",INDEX(Calc!$D$2:$D$1601,$AT1187))</f>
        <v/>
      </c>
      <c r="AC1187" t="str">
        <f>IF($AT1187="","",INDEX(Calc!$G$2:$G$1601,$AT1187))</f>
        <v/>
      </c>
      <c r="AD1187" t="str">
        <f>IF($AS1187="","",Config!$B$23)</f>
        <v/>
      </c>
      <c r="AE1187" t="str">
        <f>IF($AS1187="","",Config!$B$28)</f>
        <v/>
      </c>
      <c r="AF1187" t="str">
        <f t="shared" si="110"/>
        <v/>
      </c>
      <c r="AG1187" t="str">
        <f t="shared" si="111"/>
        <v/>
      </c>
      <c r="AH1187" t="str">
        <f t="shared" si="112"/>
        <v/>
      </c>
      <c r="AI1187" t="str">
        <f>IF($AG1187="","",SUMIF($AG$2:$AG1187,$AG1187,$AH$2:$AH1187))</f>
        <v/>
      </c>
      <c r="AJ1187" t="str">
        <f>IF('TMP Paste'!$F1187="","",IF('TMP Paste'!$B1187="",$AJ1186,'TMP Paste'!$B1187))</f>
        <v/>
      </c>
      <c r="AK1187" t="str">
        <f>IF('TMP Paste'!$F1187="","",N('TMP Paste'!$G1187))</f>
        <v/>
      </c>
      <c r="AL1187" t="str">
        <f>IF('TMP Paste'!$F1187="","",IF('TMP Paste'!$M1187="",$AL1186,'TMP Paste'!$M1187))</f>
        <v/>
      </c>
      <c r="AM1187" t="str">
        <f>IF('TMP Paste'!$F1187="","",IF('TMP Paste'!$N1187="",$AM1186,'TMP Paste'!$N1187))</f>
        <v/>
      </c>
      <c r="AN1187" t="str">
        <f>IF('TMP Paste'!$F1187="","",IF('TMP Paste'!$O1187="",$AN1186,'TMP Paste'!$O1187))</f>
        <v/>
      </c>
      <c r="AO1187" t="str">
        <f>IF('TMP Paste'!$F1187="","",IF('TMP Paste'!$P1187="",$AO1186,'TMP Paste'!$P1187))</f>
        <v/>
      </c>
      <c r="AP1187" t="str">
        <f t="shared" si="113"/>
        <v/>
      </c>
      <c r="AQ1187" t="str">
        <f>IF($AS1187="","",TRIM(IF(COUNTIFS(Calc!$B$2:$B$1601,ROW()-1,Calc!$C$2:$C$1601,"&lt;1")&gt;0,"Ada PO tanpa Koli - cek TMP. ","")&amp;IF(OR($AU1187="",$AU1187&lt;=0),"Volume kosong/0 - dimensi dikosongkan. ","")&amp;IF(AND($AU1187&lt;&gt;"",$AU1187&gt;=1000000),"Volume &gt;= 1.000.000 cm3 (di luar aturan) - dimensi dikosongkan. ","")&amp;IF(LEN($R1187)&gt;500,"R &gt; 500 karakter.","")))</f>
        <v/>
      </c>
      <c r="AS1187" t="str">
        <f>IFERROR(MATCH(ROW()-1,Calc!$J$2:$J$1601,0),"")</f>
        <v/>
      </c>
      <c r="AT1187" t="str">
        <f>IFERROR(MATCH(ROW()-1,Calc!$K$2:$K$1601,0),"")</f>
        <v/>
      </c>
      <c r="AU1187" t="str">
        <f>IF($AS1187="","",IFERROR(INDEX('TMP Paste'!$D$2:$D$1601,$AS1187)*1000000/$AB1187,""))</f>
        <v/>
      </c>
    </row>
    <row r="1188" spans="1:47">
      <c r="A1188" t="str">
        <f>IF($AS1188="","",INDEX('TMP Paste'!$B$2:$B$1601,$AS1188))</f>
        <v/>
      </c>
      <c r="B1188" t="str">
        <f>IF($AS1188="","",Config!$B$14)</f>
        <v/>
      </c>
      <c r="C1188" t="str">
        <f>IF($AS1188="","",Config!$B$15)</f>
        <v/>
      </c>
      <c r="D1188" t="str">
        <f>IF($AS1188="","",INDEX('TMP Paste'!$B$2:$B$1601,$AS1188))</f>
        <v/>
      </c>
      <c r="E1188" t="str">
        <f>IF($AS1188="","",Config!$B$27)</f>
        <v/>
      </c>
      <c r="F1188" t="str">
        <f>IF($AS1188="","",Config!$B$9)</f>
        <v/>
      </c>
      <c r="G1188" t="str">
        <f>IF($AS1188="","",Config!$B$10)</f>
        <v/>
      </c>
      <c r="H1188" t="str">
        <f>IF($AS1188="","",Config!$B$11)</f>
        <v/>
      </c>
      <c r="I1188" t="str">
        <f>IF($AS1188="","",Config!$B$16)</f>
        <v/>
      </c>
      <c r="J1188" t="str">
        <f>IF($AS1188="","",INDEX('TMP Paste'!$A$2:$A$1601,$AS1188))</f>
        <v/>
      </c>
      <c r="K1188" t="str">
        <f>IF($AS1188="","",INDEX('TMP Paste'!$L$2:$L$1601,$AS1188))</f>
        <v/>
      </c>
      <c r="L1188" t="str">
        <f>IF($AS1188="","",INDEX('TMP Paste'!$I$2:$I$1601,$AS1188))</f>
        <v/>
      </c>
      <c r="M1188" t="str">
        <f>IF($AS1188="","",Config!$B$16)</f>
        <v/>
      </c>
      <c r="N1188" t="str">
        <f t="shared" si="108"/>
        <v/>
      </c>
      <c r="O1188" t="str">
        <f>IF($AS1188="","",INDEX('TMP Paste'!$K$2:$K$1601,$AS1188))</f>
        <v/>
      </c>
      <c r="P1188" t="str">
        <f t="shared" si="109"/>
        <v/>
      </c>
      <c r="Q1188" t="str">
        <f>IF($AS1188="","",INDEX('TMP Paste'!$J$2:$J$1601,$AS1188))</f>
        <v/>
      </c>
      <c r="R1188" t="str">
        <f>IF($AS1188="","",Config!$B$24)</f>
        <v/>
      </c>
      <c r="S1188" t="str">
        <f ca="1">IF($AS1188="","",TEXT(Config!$B$4,"yyyy-mm-dd"))</f>
        <v/>
      </c>
      <c r="T1188" t="str">
        <f>IF($AS1188="","",Config!$B$17)</f>
        <v/>
      </c>
      <c r="U1188" t="str">
        <f>IF($AS1188="","",Config!$B$18)</f>
        <v/>
      </c>
      <c r="V1188" t="str">
        <f>IF($AS1188="","",Config!$B$19)</f>
        <v/>
      </c>
      <c r="W1188" t="str">
        <f>IF($AS1188="","",INDEX('TMP Paste'!$C$2:$C$1601,$AS1188))</f>
        <v/>
      </c>
      <c r="X1188" t="str">
        <f>IF($AS1188="","",Config!$B$29)</f>
        <v/>
      </c>
      <c r="Y1188" t="str">
        <f>IF($AT1188="","",INDEX(Calc!$I$2:$I$1601,$AT1188)&amp;" - "&amp;INDEX(Calc!$D$2:$D$1601,$AT1188)&amp;" koli")</f>
        <v/>
      </c>
      <c r="Z1188" t="str">
        <f>IF($AS1188="","",Config!$B$21)</f>
        <v/>
      </c>
      <c r="AA1188" t="str">
        <f>IF($AS1188="","",Config!$B$22)</f>
        <v/>
      </c>
      <c r="AB1188" t="str">
        <f>IF($AT1188="","",INDEX(Calc!$D$2:$D$1601,$AT1188))</f>
        <v/>
      </c>
      <c r="AC1188" t="str">
        <f>IF($AT1188="","",INDEX(Calc!$G$2:$G$1601,$AT1188))</f>
        <v/>
      </c>
      <c r="AD1188" t="str">
        <f>IF($AS1188="","",Config!$B$23)</f>
        <v/>
      </c>
      <c r="AE1188" t="str">
        <f>IF($AS1188="","",Config!$B$28)</f>
        <v/>
      </c>
      <c r="AF1188" t="str">
        <f t="shared" si="110"/>
        <v/>
      </c>
      <c r="AG1188" t="str">
        <f t="shared" si="111"/>
        <v/>
      </c>
      <c r="AH1188" t="str">
        <f t="shared" si="112"/>
        <v/>
      </c>
      <c r="AI1188" t="str">
        <f>IF($AG1188="","",SUMIF($AG$2:$AG1188,$AG1188,$AH$2:$AH1188))</f>
        <v/>
      </c>
      <c r="AJ1188" t="str">
        <f>IF('TMP Paste'!$F1188="","",IF('TMP Paste'!$B1188="",$AJ1187,'TMP Paste'!$B1188))</f>
        <v/>
      </c>
      <c r="AK1188" t="str">
        <f>IF('TMP Paste'!$F1188="","",N('TMP Paste'!$G1188))</f>
        <v/>
      </c>
      <c r="AL1188" t="str">
        <f>IF('TMP Paste'!$F1188="","",IF('TMP Paste'!$M1188="",$AL1187,'TMP Paste'!$M1188))</f>
        <v/>
      </c>
      <c r="AM1188" t="str">
        <f>IF('TMP Paste'!$F1188="","",IF('TMP Paste'!$N1188="",$AM1187,'TMP Paste'!$N1188))</f>
        <v/>
      </c>
      <c r="AN1188" t="str">
        <f>IF('TMP Paste'!$F1188="","",IF('TMP Paste'!$O1188="",$AN1187,'TMP Paste'!$O1188))</f>
        <v/>
      </c>
      <c r="AO1188" t="str">
        <f>IF('TMP Paste'!$F1188="","",IF('TMP Paste'!$P1188="",$AO1187,'TMP Paste'!$P1188))</f>
        <v/>
      </c>
      <c r="AP1188" t="str">
        <f t="shared" si="113"/>
        <v/>
      </c>
      <c r="AQ1188" t="str">
        <f>IF($AS1188="","",TRIM(IF(COUNTIFS(Calc!$B$2:$B$1601,ROW()-1,Calc!$C$2:$C$1601,"&lt;1")&gt;0,"Ada PO tanpa Koli - cek TMP. ","")&amp;IF(OR($AU1188="",$AU1188&lt;=0),"Volume kosong/0 - dimensi dikosongkan. ","")&amp;IF(AND($AU1188&lt;&gt;"",$AU1188&gt;=1000000),"Volume &gt;= 1.000.000 cm3 (di luar aturan) - dimensi dikosongkan. ","")&amp;IF(LEN($R1188)&gt;500,"R &gt; 500 karakter.","")))</f>
        <v/>
      </c>
      <c r="AS1188" t="str">
        <f>IFERROR(MATCH(ROW()-1,Calc!$J$2:$J$1601,0),"")</f>
        <v/>
      </c>
      <c r="AT1188" t="str">
        <f>IFERROR(MATCH(ROW()-1,Calc!$K$2:$K$1601,0),"")</f>
        <v/>
      </c>
      <c r="AU1188" t="str">
        <f>IF($AS1188="","",IFERROR(INDEX('TMP Paste'!$D$2:$D$1601,$AS1188)*1000000/$AB1188,""))</f>
        <v/>
      </c>
    </row>
    <row r="1189" spans="1:47">
      <c r="A1189" t="str">
        <f>IF($AS1189="","",INDEX('TMP Paste'!$B$2:$B$1601,$AS1189))</f>
        <v/>
      </c>
      <c r="B1189" t="str">
        <f>IF($AS1189="","",Config!$B$14)</f>
        <v/>
      </c>
      <c r="C1189" t="str">
        <f>IF($AS1189="","",Config!$B$15)</f>
        <v/>
      </c>
      <c r="D1189" t="str">
        <f>IF($AS1189="","",INDEX('TMP Paste'!$B$2:$B$1601,$AS1189))</f>
        <v/>
      </c>
      <c r="E1189" t="str">
        <f>IF($AS1189="","",Config!$B$27)</f>
        <v/>
      </c>
      <c r="F1189" t="str">
        <f>IF($AS1189="","",Config!$B$9)</f>
        <v/>
      </c>
      <c r="G1189" t="str">
        <f>IF($AS1189="","",Config!$B$10)</f>
        <v/>
      </c>
      <c r="H1189" t="str">
        <f>IF($AS1189="","",Config!$B$11)</f>
        <v/>
      </c>
      <c r="I1189" t="str">
        <f>IF($AS1189="","",Config!$B$16)</f>
        <v/>
      </c>
      <c r="J1189" t="str">
        <f>IF($AS1189="","",INDEX('TMP Paste'!$A$2:$A$1601,$AS1189))</f>
        <v/>
      </c>
      <c r="K1189" t="str">
        <f>IF($AS1189="","",INDEX('TMP Paste'!$L$2:$L$1601,$AS1189))</f>
        <v/>
      </c>
      <c r="L1189" t="str">
        <f>IF($AS1189="","",INDEX('TMP Paste'!$I$2:$I$1601,$AS1189))</f>
        <v/>
      </c>
      <c r="M1189" t="str">
        <f>IF($AS1189="","",Config!$B$16)</f>
        <v/>
      </c>
      <c r="N1189" t="str">
        <f t="shared" si="108"/>
        <v/>
      </c>
      <c r="O1189" t="str">
        <f>IF($AS1189="","",INDEX('TMP Paste'!$K$2:$K$1601,$AS1189))</f>
        <v/>
      </c>
      <c r="P1189" t="str">
        <f t="shared" si="109"/>
        <v/>
      </c>
      <c r="Q1189" t="str">
        <f>IF($AS1189="","",INDEX('TMP Paste'!$J$2:$J$1601,$AS1189))</f>
        <v/>
      </c>
      <c r="R1189" t="str">
        <f>IF($AS1189="","",Config!$B$24)</f>
        <v/>
      </c>
      <c r="S1189" t="str">
        <f ca="1">IF($AS1189="","",TEXT(Config!$B$4,"yyyy-mm-dd"))</f>
        <v/>
      </c>
      <c r="T1189" t="str">
        <f>IF($AS1189="","",Config!$B$17)</f>
        <v/>
      </c>
      <c r="U1189" t="str">
        <f>IF($AS1189="","",Config!$B$18)</f>
        <v/>
      </c>
      <c r="V1189" t="str">
        <f>IF($AS1189="","",Config!$B$19)</f>
        <v/>
      </c>
      <c r="W1189" t="str">
        <f>IF($AS1189="","",INDEX('TMP Paste'!$C$2:$C$1601,$AS1189))</f>
        <v/>
      </c>
      <c r="X1189" t="str">
        <f>IF($AS1189="","",Config!$B$29)</f>
        <v/>
      </c>
      <c r="Y1189" t="str">
        <f>IF($AT1189="","",INDEX(Calc!$I$2:$I$1601,$AT1189)&amp;" - "&amp;INDEX(Calc!$D$2:$D$1601,$AT1189)&amp;" koli")</f>
        <v/>
      </c>
      <c r="Z1189" t="str">
        <f>IF($AS1189="","",Config!$B$21)</f>
        <v/>
      </c>
      <c r="AA1189" t="str">
        <f>IF($AS1189="","",Config!$B$22)</f>
        <v/>
      </c>
      <c r="AB1189" t="str">
        <f>IF($AT1189="","",INDEX(Calc!$D$2:$D$1601,$AT1189))</f>
        <v/>
      </c>
      <c r="AC1189" t="str">
        <f>IF($AT1189="","",INDEX(Calc!$G$2:$G$1601,$AT1189))</f>
        <v/>
      </c>
      <c r="AD1189" t="str">
        <f>IF($AS1189="","",Config!$B$23)</f>
        <v/>
      </c>
      <c r="AE1189" t="str">
        <f>IF($AS1189="","",Config!$B$28)</f>
        <v/>
      </c>
      <c r="AF1189" t="str">
        <f t="shared" si="110"/>
        <v/>
      </c>
      <c r="AG1189" t="str">
        <f t="shared" si="111"/>
        <v/>
      </c>
      <c r="AH1189" t="str">
        <f t="shared" si="112"/>
        <v/>
      </c>
      <c r="AI1189" t="str">
        <f>IF($AG1189="","",SUMIF($AG$2:$AG1189,$AG1189,$AH$2:$AH1189))</f>
        <v/>
      </c>
      <c r="AJ1189" t="str">
        <f>IF('TMP Paste'!$F1189="","",IF('TMP Paste'!$B1189="",$AJ1188,'TMP Paste'!$B1189))</f>
        <v/>
      </c>
      <c r="AK1189" t="str">
        <f>IF('TMP Paste'!$F1189="","",N('TMP Paste'!$G1189))</f>
        <v/>
      </c>
      <c r="AL1189" t="str">
        <f>IF('TMP Paste'!$F1189="","",IF('TMP Paste'!$M1189="",$AL1188,'TMP Paste'!$M1189))</f>
        <v/>
      </c>
      <c r="AM1189" t="str">
        <f>IF('TMP Paste'!$F1189="","",IF('TMP Paste'!$N1189="",$AM1188,'TMP Paste'!$N1189))</f>
        <v/>
      </c>
      <c r="AN1189" t="str">
        <f>IF('TMP Paste'!$F1189="","",IF('TMP Paste'!$O1189="",$AN1188,'TMP Paste'!$O1189))</f>
        <v/>
      </c>
      <c r="AO1189" t="str">
        <f>IF('TMP Paste'!$F1189="","",IF('TMP Paste'!$P1189="",$AO1188,'TMP Paste'!$P1189))</f>
        <v/>
      </c>
      <c r="AP1189" t="str">
        <f t="shared" si="113"/>
        <v/>
      </c>
      <c r="AQ1189" t="str">
        <f>IF($AS1189="","",TRIM(IF(COUNTIFS(Calc!$B$2:$B$1601,ROW()-1,Calc!$C$2:$C$1601,"&lt;1")&gt;0,"Ada PO tanpa Koli - cek TMP. ","")&amp;IF(OR($AU1189="",$AU1189&lt;=0),"Volume kosong/0 - dimensi dikosongkan. ","")&amp;IF(AND($AU1189&lt;&gt;"",$AU1189&gt;=1000000),"Volume &gt;= 1.000.000 cm3 (di luar aturan) - dimensi dikosongkan. ","")&amp;IF(LEN($R1189)&gt;500,"R &gt; 500 karakter.","")))</f>
        <v/>
      </c>
      <c r="AS1189" t="str">
        <f>IFERROR(MATCH(ROW()-1,Calc!$J$2:$J$1601,0),"")</f>
        <v/>
      </c>
      <c r="AT1189" t="str">
        <f>IFERROR(MATCH(ROW()-1,Calc!$K$2:$K$1601,0),"")</f>
        <v/>
      </c>
      <c r="AU1189" t="str">
        <f>IF($AS1189="","",IFERROR(INDEX('TMP Paste'!$D$2:$D$1601,$AS1189)*1000000/$AB1189,""))</f>
        <v/>
      </c>
    </row>
    <row r="1190" spans="1:47">
      <c r="A1190" t="str">
        <f>IF($AS1190="","",INDEX('TMP Paste'!$B$2:$B$1601,$AS1190))</f>
        <v/>
      </c>
      <c r="B1190" t="str">
        <f>IF($AS1190="","",Config!$B$14)</f>
        <v/>
      </c>
      <c r="C1190" t="str">
        <f>IF($AS1190="","",Config!$B$15)</f>
        <v/>
      </c>
      <c r="D1190" t="str">
        <f>IF($AS1190="","",INDEX('TMP Paste'!$B$2:$B$1601,$AS1190))</f>
        <v/>
      </c>
      <c r="E1190" t="str">
        <f>IF($AS1190="","",Config!$B$27)</f>
        <v/>
      </c>
      <c r="F1190" t="str">
        <f>IF($AS1190="","",Config!$B$9)</f>
        <v/>
      </c>
      <c r="G1190" t="str">
        <f>IF($AS1190="","",Config!$B$10)</f>
        <v/>
      </c>
      <c r="H1190" t="str">
        <f>IF($AS1190="","",Config!$B$11)</f>
        <v/>
      </c>
      <c r="I1190" t="str">
        <f>IF($AS1190="","",Config!$B$16)</f>
        <v/>
      </c>
      <c r="J1190" t="str">
        <f>IF($AS1190="","",INDEX('TMP Paste'!$A$2:$A$1601,$AS1190))</f>
        <v/>
      </c>
      <c r="K1190" t="str">
        <f>IF($AS1190="","",INDEX('TMP Paste'!$L$2:$L$1601,$AS1190))</f>
        <v/>
      </c>
      <c r="L1190" t="str">
        <f>IF($AS1190="","",INDEX('TMP Paste'!$I$2:$I$1601,$AS1190))</f>
        <v/>
      </c>
      <c r="M1190" t="str">
        <f>IF($AS1190="","",Config!$B$16)</f>
        <v/>
      </c>
      <c r="N1190" t="str">
        <f t="shared" si="108"/>
        <v/>
      </c>
      <c r="O1190" t="str">
        <f>IF($AS1190="","",INDEX('TMP Paste'!$K$2:$K$1601,$AS1190))</f>
        <v/>
      </c>
      <c r="P1190" t="str">
        <f t="shared" si="109"/>
        <v/>
      </c>
      <c r="Q1190" t="str">
        <f>IF($AS1190="","",INDEX('TMP Paste'!$J$2:$J$1601,$AS1190))</f>
        <v/>
      </c>
      <c r="R1190" t="str">
        <f>IF($AS1190="","",Config!$B$24)</f>
        <v/>
      </c>
      <c r="S1190" t="str">
        <f ca="1">IF($AS1190="","",TEXT(Config!$B$4,"yyyy-mm-dd"))</f>
        <v/>
      </c>
      <c r="T1190" t="str">
        <f>IF($AS1190="","",Config!$B$17)</f>
        <v/>
      </c>
      <c r="U1190" t="str">
        <f>IF($AS1190="","",Config!$B$18)</f>
        <v/>
      </c>
      <c r="V1190" t="str">
        <f>IF($AS1190="","",Config!$B$19)</f>
        <v/>
      </c>
      <c r="W1190" t="str">
        <f>IF($AS1190="","",INDEX('TMP Paste'!$C$2:$C$1601,$AS1190))</f>
        <v/>
      </c>
      <c r="X1190" t="str">
        <f>IF($AS1190="","",Config!$B$29)</f>
        <v/>
      </c>
      <c r="Y1190" t="str">
        <f>IF($AT1190="","",INDEX(Calc!$I$2:$I$1601,$AT1190)&amp;" - "&amp;INDEX(Calc!$D$2:$D$1601,$AT1190)&amp;" koli")</f>
        <v/>
      </c>
      <c r="Z1190" t="str">
        <f>IF($AS1190="","",Config!$B$21)</f>
        <v/>
      </c>
      <c r="AA1190" t="str">
        <f>IF($AS1190="","",Config!$B$22)</f>
        <v/>
      </c>
      <c r="AB1190" t="str">
        <f>IF($AT1190="","",INDEX(Calc!$D$2:$D$1601,$AT1190))</f>
        <v/>
      </c>
      <c r="AC1190" t="str">
        <f>IF($AT1190="","",INDEX(Calc!$G$2:$G$1601,$AT1190))</f>
        <v/>
      </c>
      <c r="AD1190" t="str">
        <f>IF($AS1190="","",Config!$B$23)</f>
        <v/>
      </c>
      <c r="AE1190" t="str">
        <f>IF($AS1190="","",Config!$B$28)</f>
        <v/>
      </c>
      <c r="AF1190" t="str">
        <f t="shared" si="110"/>
        <v/>
      </c>
      <c r="AG1190" t="str">
        <f t="shared" si="111"/>
        <v/>
      </c>
      <c r="AH1190" t="str">
        <f t="shared" si="112"/>
        <v/>
      </c>
      <c r="AI1190" t="str">
        <f>IF($AG1190="","",SUMIF($AG$2:$AG1190,$AG1190,$AH$2:$AH1190))</f>
        <v/>
      </c>
      <c r="AJ1190" t="str">
        <f>IF('TMP Paste'!$F1190="","",IF('TMP Paste'!$B1190="",$AJ1189,'TMP Paste'!$B1190))</f>
        <v/>
      </c>
      <c r="AK1190" t="str">
        <f>IF('TMP Paste'!$F1190="","",N('TMP Paste'!$G1190))</f>
        <v/>
      </c>
      <c r="AL1190" t="str">
        <f>IF('TMP Paste'!$F1190="","",IF('TMP Paste'!$M1190="",$AL1189,'TMP Paste'!$M1190))</f>
        <v/>
      </c>
      <c r="AM1190" t="str">
        <f>IF('TMP Paste'!$F1190="","",IF('TMP Paste'!$N1190="",$AM1189,'TMP Paste'!$N1190))</f>
        <v/>
      </c>
      <c r="AN1190" t="str">
        <f>IF('TMP Paste'!$F1190="","",IF('TMP Paste'!$O1190="",$AN1189,'TMP Paste'!$O1190))</f>
        <v/>
      </c>
      <c r="AO1190" t="str">
        <f>IF('TMP Paste'!$F1190="","",IF('TMP Paste'!$P1190="",$AO1189,'TMP Paste'!$P1190))</f>
        <v/>
      </c>
      <c r="AP1190" t="str">
        <f t="shared" si="113"/>
        <v/>
      </c>
      <c r="AQ1190" t="str">
        <f>IF($AS1190="","",TRIM(IF(COUNTIFS(Calc!$B$2:$B$1601,ROW()-1,Calc!$C$2:$C$1601,"&lt;1")&gt;0,"Ada PO tanpa Koli - cek TMP. ","")&amp;IF(OR($AU1190="",$AU1190&lt;=0),"Volume kosong/0 - dimensi dikosongkan. ","")&amp;IF(AND($AU1190&lt;&gt;"",$AU1190&gt;=1000000),"Volume &gt;= 1.000.000 cm3 (di luar aturan) - dimensi dikosongkan. ","")&amp;IF(LEN($R1190)&gt;500,"R &gt; 500 karakter.","")))</f>
        <v/>
      </c>
      <c r="AS1190" t="str">
        <f>IFERROR(MATCH(ROW()-1,Calc!$J$2:$J$1601,0),"")</f>
        <v/>
      </c>
      <c r="AT1190" t="str">
        <f>IFERROR(MATCH(ROW()-1,Calc!$K$2:$K$1601,0),"")</f>
        <v/>
      </c>
      <c r="AU1190" t="str">
        <f>IF($AS1190="","",IFERROR(INDEX('TMP Paste'!$D$2:$D$1601,$AS1190)*1000000/$AB1190,""))</f>
        <v/>
      </c>
    </row>
    <row r="1191" spans="1:47">
      <c r="A1191" t="str">
        <f>IF($AS1191="","",INDEX('TMP Paste'!$B$2:$B$1601,$AS1191))</f>
        <v/>
      </c>
      <c r="B1191" t="str">
        <f>IF($AS1191="","",Config!$B$14)</f>
        <v/>
      </c>
      <c r="C1191" t="str">
        <f>IF($AS1191="","",Config!$B$15)</f>
        <v/>
      </c>
      <c r="D1191" t="str">
        <f>IF($AS1191="","",INDEX('TMP Paste'!$B$2:$B$1601,$AS1191))</f>
        <v/>
      </c>
      <c r="E1191" t="str">
        <f>IF($AS1191="","",Config!$B$27)</f>
        <v/>
      </c>
      <c r="F1191" t="str">
        <f>IF($AS1191="","",Config!$B$9)</f>
        <v/>
      </c>
      <c r="G1191" t="str">
        <f>IF($AS1191="","",Config!$B$10)</f>
        <v/>
      </c>
      <c r="H1191" t="str">
        <f>IF($AS1191="","",Config!$B$11)</f>
        <v/>
      </c>
      <c r="I1191" t="str">
        <f>IF($AS1191="","",Config!$B$16)</f>
        <v/>
      </c>
      <c r="J1191" t="str">
        <f>IF($AS1191="","",INDEX('TMP Paste'!$A$2:$A$1601,$AS1191))</f>
        <v/>
      </c>
      <c r="K1191" t="str">
        <f>IF($AS1191="","",INDEX('TMP Paste'!$L$2:$L$1601,$AS1191))</f>
        <v/>
      </c>
      <c r="L1191" t="str">
        <f>IF($AS1191="","",INDEX('TMP Paste'!$I$2:$I$1601,$AS1191))</f>
        <v/>
      </c>
      <c r="M1191" t="str">
        <f>IF($AS1191="","",Config!$B$16)</f>
        <v/>
      </c>
      <c r="N1191" t="str">
        <f t="shared" si="108"/>
        <v/>
      </c>
      <c r="O1191" t="str">
        <f>IF($AS1191="","",INDEX('TMP Paste'!$K$2:$K$1601,$AS1191))</f>
        <v/>
      </c>
      <c r="P1191" t="str">
        <f t="shared" si="109"/>
        <v/>
      </c>
      <c r="Q1191" t="str">
        <f>IF($AS1191="","",INDEX('TMP Paste'!$J$2:$J$1601,$AS1191))</f>
        <v/>
      </c>
      <c r="R1191" t="str">
        <f>IF($AS1191="","",Config!$B$24)</f>
        <v/>
      </c>
      <c r="S1191" t="str">
        <f ca="1">IF($AS1191="","",TEXT(Config!$B$4,"yyyy-mm-dd"))</f>
        <v/>
      </c>
      <c r="T1191" t="str">
        <f>IF($AS1191="","",Config!$B$17)</f>
        <v/>
      </c>
      <c r="U1191" t="str">
        <f>IF($AS1191="","",Config!$B$18)</f>
        <v/>
      </c>
      <c r="V1191" t="str">
        <f>IF($AS1191="","",Config!$B$19)</f>
        <v/>
      </c>
      <c r="W1191" t="str">
        <f>IF($AS1191="","",INDEX('TMP Paste'!$C$2:$C$1601,$AS1191))</f>
        <v/>
      </c>
      <c r="X1191" t="str">
        <f>IF($AS1191="","",Config!$B$29)</f>
        <v/>
      </c>
      <c r="Y1191" t="str">
        <f>IF($AT1191="","",INDEX(Calc!$I$2:$I$1601,$AT1191)&amp;" - "&amp;INDEX(Calc!$D$2:$D$1601,$AT1191)&amp;" koli")</f>
        <v/>
      </c>
      <c r="Z1191" t="str">
        <f>IF($AS1191="","",Config!$B$21)</f>
        <v/>
      </c>
      <c r="AA1191" t="str">
        <f>IF($AS1191="","",Config!$B$22)</f>
        <v/>
      </c>
      <c r="AB1191" t="str">
        <f>IF($AT1191="","",INDEX(Calc!$D$2:$D$1601,$AT1191))</f>
        <v/>
      </c>
      <c r="AC1191" t="str">
        <f>IF($AT1191="","",INDEX(Calc!$G$2:$G$1601,$AT1191))</f>
        <v/>
      </c>
      <c r="AD1191" t="str">
        <f>IF($AS1191="","",Config!$B$23)</f>
        <v/>
      </c>
      <c r="AE1191" t="str">
        <f>IF($AS1191="","",Config!$B$28)</f>
        <v/>
      </c>
      <c r="AF1191" t="str">
        <f t="shared" si="110"/>
        <v/>
      </c>
      <c r="AG1191" t="str">
        <f t="shared" si="111"/>
        <v/>
      </c>
      <c r="AH1191" t="str">
        <f t="shared" si="112"/>
        <v/>
      </c>
      <c r="AI1191" t="str">
        <f>IF($AG1191="","",SUMIF($AG$2:$AG1191,$AG1191,$AH$2:$AH1191))</f>
        <v/>
      </c>
      <c r="AJ1191" t="str">
        <f>IF('TMP Paste'!$F1191="","",IF('TMP Paste'!$B1191="",$AJ1190,'TMP Paste'!$B1191))</f>
        <v/>
      </c>
      <c r="AK1191" t="str">
        <f>IF('TMP Paste'!$F1191="","",N('TMP Paste'!$G1191))</f>
        <v/>
      </c>
      <c r="AL1191" t="str">
        <f>IF('TMP Paste'!$F1191="","",IF('TMP Paste'!$M1191="",$AL1190,'TMP Paste'!$M1191))</f>
        <v/>
      </c>
      <c r="AM1191" t="str">
        <f>IF('TMP Paste'!$F1191="","",IF('TMP Paste'!$N1191="",$AM1190,'TMP Paste'!$N1191))</f>
        <v/>
      </c>
      <c r="AN1191" t="str">
        <f>IF('TMP Paste'!$F1191="","",IF('TMP Paste'!$O1191="",$AN1190,'TMP Paste'!$O1191))</f>
        <v/>
      </c>
      <c r="AO1191" t="str">
        <f>IF('TMP Paste'!$F1191="","",IF('TMP Paste'!$P1191="",$AO1190,'TMP Paste'!$P1191))</f>
        <v/>
      </c>
      <c r="AP1191" t="str">
        <f t="shared" si="113"/>
        <v/>
      </c>
      <c r="AQ1191" t="str">
        <f>IF($AS1191="","",TRIM(IF(COUNTIFS(Calc!$B$2:$B$1601,ROW()-1,Calc!$C$2:$C$1601,"&lt;1")&gt;0,"Ada PO tanpa Koli - cek TMP. ","")&amp;IF(OR($AU1191="",$AU1191&lt;=0),"Volume kosong/0 - dimensi dikosongkan. ","")&amp;IF(AND($AU1191&lt;&gt;"",$AU1191&gt;=1000000),"Volume &gt;= 1.000.000 cm3 (di luar aturan) - dimensi dikosongkan. ","")&amp;IF(LEN($R1191)&gt;500,"R &gt; 500 karakter.","")))</f>
        <v/>
      </c>
      <c r="AS1191" t="str">
        <f>IFERROR(MATCH(ROW()-1,Calc!$J$2:$J$1601,0),"")</f>
        <v/>
      </c>
      <c r="AT1191" t="str">
        <f>IFERROR(MATCH(ROW()-1,Calc!$K$2:$K$1601,0),"")</f>
        <v/>
      </c>
      <c r="AU1191" t="str">
        <f>IF($AS1191="","",IFERROR(INDEX('TMP Paste'!$D$2:$D$1601,$AS1191)*1000000/$AB1191,""))</f>
        <v/>
      </c>
    </row>
    <row r="1192" spans="1:47">
      <c r="A1192" t="str">
        <f>IF($AS1192="","",INDEX('TMP Paste'!$B$2:$B$1601,$AS1192))</f>
        <v/>
      </c>
      <c r="B1192" t="str">
        <f>IF($AS1192="","",Config!$B$14)</f>
        <v/>
      </c>
      <c r="C1192" t="str">
        <f>IF($AS1192="","",Config!$B$15)</f>
        <v/>
      </c>
      <c r="D1192" t="str">
        <f>IF($AS1192="","",INDEX('TMP Paste'!$B$2:$B$1601,$AS1192))</f>
        <v/>
      </c>
      <c r="E1192" t="str">
        <f>IF($AS1192="","",Config!$B$27)</f>
        <v/>
      </c>
      <c r="F1192" t="str">
        <f>IF($AS1192="","",Config!$B$9)</f>
        <v/>
      </c>
      <c r="G1192" t="str">
        <f>IF($AS1192="","",Config!$B$10)</f>
        <v/>
      </c>
      <c r="H1192" t="str">
        <f>IF($AS1192="","",Config!$B$11)</f>
        <v/>
      </c>
      <c r="I1192" t="str">
        <f>IF($AS1192="","",Config!$B$16)</f>
        <v/>
      </c>
      <c r="J1192" t="str">
        <f>IF($AS1192="","",INDEX('TMP Paste'!$A$2:$A$1601,$AS1192))</f>
        <v/>
      </c>
      <c r="K1192" t="str">
        <f>IF($AS1192="","",INDEX('TMP Paste'!$L$2:$L$1601,$AS1192))</f>
        <v/>
      </c>
      <c r="L1192" t="str">
        <f>IF($AS1192="","",INDEX('TMP Paste'!$I$2:$I$1601,$AS1192))</f>
        <v/>
      </c>
      <c r="M1192" t="str">
        <f>IF($AS1192="","",Config!$B$16)</f>
        <v/>
      </c>
      <c r="N1192" t="str">
        <f t="shared" si="108"/>
        <v/>
      </c>
      <c r="O1192" t="str">
        <f>IF($AS1192="","",INDEX('TMP Paste'!$K$2:$K$1601,$AS1192))</f>
        <v/>
      </c>
      <c r="P1192" t="str">
        <f t="shared" si="109"/>
        <v/>
      </c>
      <c r="Q1192" t="str">
        <f>IF($AS1192="","",INDEX('TMP Paste'!$J$2:$J$1601,$AS1192))</f>
        <v/>
      </c>
      <c r="R1192" t="str">
        <f>IF($AS1192="","",Config!$B$24)</f>
        <v/>
      </c>
      <c r="S1192" t="str">
        <f ca="1">IF($AS1192="","",TEXT(Config!$B$4,"yyyy-mm-dd"))</f>
        <v/>
      </c>
      <c r="T1192" t="str">
        <f>IF($AS1192="","",Config!$B$17)</f>
        <v/>
      </c>
      <c r="U1192" t="str">
        <f>IF($AS1192="","",Config!$B$18)</f>
        <v/>
      </c>
      <c r="V1192" t="str">
        <f>IF($AS1192="","",Config!$B$19)</f>
        <v/>
      </c>
      <c r="W1192" t="str">
        <f>IF($AS1192="","",INDEX('TMP Paste'!$C$2:$C$1601,$AS1192))</f>
        <v/>
      </c>
      <c r="X1192" t="str">
        <f>IF($AS1192="","",Config!$B$29)</f>
        <v/>
      </c>
      <c r="Y1192" t="str">
        <f>IF($AT1192="","",INDEX(Calc!$I$2:$I$1601,$AT1192)&amp;" - "&amp;INDEX(Calc!$D$2:$D$1601,$AT1192)&amp;" koli")</f>
        <v/>
      </c>
      <c r="Z1192" t="str">
        <f>IF($AS1192="","",Config!$B$21)</f>
        <v/>
      </c>
      <c r="AA1192" t="str">
        <f>IF($AS1192="","",Config!$B$22)</f>
        <v/>
      </c>
      <c r="AB1192" t="str">
        <f>IF($AT1192="","",INDEX(Calc!$D$2:$D$1601,$AT1192))</f>
        <v/>
      </c>
      <c r="AC1192" t="str">
        <f>IF($AT1192="","",INDEX(Calc!$G$2:$G$1601,$AT1192))</f>
        <v/>
      </c>
      <c r="AD1192" t="str">
        <f>IF($AS1192="","",Config!$B$23)</f>
        <v/>
      </c>
      <c r="AE1192" t="str">
        <f>IF($AS1192="","",Config!$B$28)</f>
        <v/>
      </c>
      <c r="AF1192" t="str">
        <f t="shared" si="110"/>
        <v/>
      </c>
      <c r="AG1192" t="str">
        <f t="shared" si="111"/>
        <v/>
      </c>
      <c r="AH1192" t="str">
        <f t="shared" si="112"/>
        <v/>
      </c>
      <c r="AI1192" t="str">
        <f>IF($AG1192="","",SUMIF($AG$2:$AG1192,$AG1192,$AH$2:$AH1192))</f>
        <v/>
      </c>
      <c r="AJ1192" t="str">
        <f>IF('TMP Paste'!$F1192="","",IF('TMP Paste'!$B1192="",$AJ1191,'TMP Paste'!$B1192))</f>
        <v/>
      </c>
      <c r="AK1192" t="str">
        <f>IF('TMP Paste'!$F1192="","",N('TMP Paste'!$G1192))</f>
        <v/>
      </c>
      <c r="AL1192" t="str">
        <f>IF('TMP Paste'!$F1192="","",IF('TMP Paste'!$M1192="",$AL1191,'TMP Paste'!$M1192))</f>
        <v/>
      </c>
      <c r="AM1192" t="str">
        <f>IF('TMP Paste'!$F1192="","",IF('TMP Paste'!$N1192="",$AM1191,'TMP Paste'!$N1192))</f>
        <v/>
      </c>
      <c r="AN1192" t="str">
        <f>IF('TMP Paste'!$F1192="","",IF('TMP Paste'!$O1192="",$AN1191,'TMP Paste'!$O1192))</f>
        <v/>
      </c>
      <c r="AO1192" t="str">
        <f>IF('TMP Paste'!$F1192="","",IF('TMP Paste'!$P1192="",$AO1191,'TMP Paste'!$P1192))</f>
        <v/>
      </c>
      <c r="AP1192" t="str">
        <f t="shared" si="113"/>
        <v/>
      </c>
      <c r="AQ1192" t="str">
        <f>IF($AS1192="","",TRIM(IF(COUNTIFS(Calc!$B$2:$B$1601,ROW()-1,Calc!$C$2:$C$1601,"&lt;1")&gt;0,"Ada PO tanpa Koli - cek TMP. ","")&amp;IF(OR($AU1192="",$AU1192&lt;=0),"Volume kosong/0 - dimensi dikosongkan. ","")&amp;IF(AND($AU1192&lt;&gt;"",$AU1192&gt;=1000000),"Volume &gt;= 1.000.000 cm3 (di luar aturan) - dimensi dikosongkan. ","")&amp;IF(LEN($R1192)&gt;500,"R &gt; 500 karakter.","")))</f>
        <v/>
      </c>
      <c r="AS1192" t="str">
        <f>IFERROR(MATCH(ROW()-1,Calc!$J$2:$J$1601,0),"")</f>
        <v/>
      </c>
      <c r="AT1192" t="str">
        <f>IFERROR(MATCH(ROW()-1,Calc!$K$2:$K$1601,0),"")</f>
        <v/>
      </c>
      <c r="AU1192" t="str">
        <f>IF($AS1192="","",IFERROR(INDEX('TMP Paste'!$D$2:$D$1601,$AS1192)*1000000/$AB1192,""))</f>
        <v/>
      </c>
    </row>
    <row r="1193" spans="1:47">
      <c r="A1193" t="str">
        <f>IF($AS1193="","",INDEX('TMP Paste'!$B$2:$B$1601,$AS1193))</f>
        <v/>
      </c>
      <c r="B1193" t="str">
        <f>IF($AS1193="","",Config!$B$14)</f>
        <v/>
      </c>
      <c r="C1193" t="str">
        <f>IF($AS1193="","",Config!$B$15)</f>
        <v/>
      </c>
      <c r="D1193" t="str">
        <f>IF($AS1193="","",INDEX('TMP Paste'!$B$2:$B$1601,$AS1193))</f>
        <v/>
      </c>
      <c r="E1193" t="str">
        <f>IF($AS1193="","",Config!$B$27)</f>
        <v/>
      </c>
      <c r="F1193" t="str">
        <f>IF($AS1193="","",Config!$B$9)</f>
        <v/>
      </c>
      <c r="G1193" t="str">
        <f>IF($AS1193="","",Config!$B$10)</f>
        <v/>
      </c>
      <c r="H1193" t="str">
        <f>IF($AS1193="","",Config!$B$11)</f>
        <v/>
      </c>
      <c r="I1193" t="str">
        <f>IF($AS1193="","",Config!$B$16)</f>
        <v/>
      </c>
      <c r="J1193" t="str">
        <f>IF($AS1193="","",INDEX('TMP Paste'!$A$2:$A$1601,$AS1193))</f>
        <v/>
      </c>
      <c r="K1193" t="str">
        <f>IF($AS1193="","",INDEX('TMP Paste'!$L$2:$L$1601,$AS1193))</f>
        <v/>
      </c>
      <c r="L1193" t="str">
        <f>IF($AS1193="","",INDEX('TMP Paste'!$I$2:$I$1601,$AS1193))</f>
        <v/>
      </c>
      <c r="M1193" t="str">
        <f>IF($AS1193="","",Config!$B$16)</f>
        <v/>
      </c>
      <c r="N1193" t="str">
        <f t="shared" si="108"/>
        <v/>
      </c>
      <c r="O1193" t="str">
        <f>IF($AS1193="","",INDEX('TMP Paste'!$K$2:$K$1601,$AS1193))</f>
        <v/>
      </c>
      <c r="P1193" t="str">
        <f t="shared" si="109"/>
        <v/>
      </c>
      <c r="Q1193" t="str">
        <f>IF($AS1193="","",INDEX('TMP Paste'!$J$2:$J$1601,$AS1193))</f>
        <v/>
      </c>
      <c r="R1193" t="str">
        <f>IF($AS1193="","",Config!$B$24)</f>
        <v/>
      </c>
      <c r="S1193" t="str">
        <f ca="1">IF($AS1193="","",TEXT(Config!$B$4,"yyyy-mm-dd"))</f>
        <v/>
      </c>
      <c r="T1193" t="str">
        <f>IF($AS1193="","",Config!$B$17)</f>
        <v/>
      </c>
      <c r="U1193" t="str">
        <f>IF($AS1193="","",Config!$B$18)</f>
        <v/>
      </c>
      <c r="V1193" t="str">
        <f>IF($AS1193="","",Config!$B$19)</f>
        <v/>
      </c>
      <c r="W1193" t="str">
        <f>IF($AS1193="","",INDEX('TMP Paste'!$C$2:$C$1601,$AS1193))</f>
        <v/>
      </c>
      <c r="X1193" t="str">
        <f>IF($AS1193="","",Config!$B$29)</f>
        <v/>
      </c>
      <c r="Y1193" t="str">
        <f>IF($AT1193="","",INDEX(Calc!$I$2:$I$1601,$AT1193)&amp;" - "&amp;INDEX(Calc!$D$2:$D$1601,$AT1193)&amp;" koli")</f>
        <v/>
      </c>
      <c r="Z1193" t="str">
        <f>IF($AS1193="","",Config!$B$21)</f>
        <v/>
      </c>
      <c r="AA1193" t="str">
        <f>IF($AS1193="","",Config!$B$22)</f>
        <v/>
      </c>
      <c r="AB1193" t="str">
        <f>IF($AT1193="","",INDEX(Calc!$D$2:$D$1601,$AT1193))</f>
        <v/>
      </c>
      <c r="AC1193" t="str">
        <f>IF($AT1193="","",INDEX(Calc!$G$2:$G$1601,$AT1193))</f>
        <v/>
      </c>
      <c r="AD1193" t="str">
        <f>IF($AS1193="","",Config!$B$23)</f>
        <v/>
      </c>
      <c r="AE1193" t="str">
        <f>IF($AS1193="","",Config!$B$28)</f>
        <v/>
      </c>
      <c r="AF1193" t="str">
        <f t="shared" si="110"/>
        <v/>
      </c>
      <c r="AG1193" t="str">
        <f t="shared" si="111"/>
        <v/>
      </c>
      <c r="AH1193" t="str">
        <f t="shared" si="112"/>
        <v/>
      </c>
      <c r="AI1193" t="str">
        <f>IF($AG1193="","",SUMIF($AG$2:$AG1193,$AG1193,$AH$2:$AH1193))</f>
        <v/>
      </c>
      <c r="AJ1193" t="str">
        <f>IF('TMP Paste'!$F1193="","",IF('TMP Paste'!$B1193="",$AJ1192,'TMP Paste'!$B1193))</f>
        <v/>
      </c>
      <c r="AK1193" t="str">
        <f>IF('TMP Paste'!$F1193="","",N('TMP Paste'!$G1193))</f>
        <v/>
      </c>
      <c r="AL1193" t="str">
        <f>IF('TMP Paste'!$F1193="","",IF('TMP Paste'!$M1193="",$AL1192,'TMP Paste'!$M1193))</f>
        <v/>
      </c>
      <c r="AM1193" t="str">
        <f>IF('TMP Paste'!$F1193="","",IF('TMP Paste'!$N1193="",$AM1192,'TMP Paste'!$N1193))</f>
        <v/>
      </c>
      <c r="AN1193" t="str">
        <f>IF('TMP Paste'!$F1193="","",IF('TMP Paste'!$O1193="",$AN1192,'TMP Paste'!$O1193))</f>
        <v/>
      </c>
      <c r="AO1193" t="str">
        <f>IF('TMP Paste'!$F1193="","",IF('TMP Paste'!$P1193="",$AO1192,'TMP Paste'!$P1193))</f>
        <v/>
      </c>
      <c r="AP1193" t="str">
        <f t="shared" si="113"/>
        <v/>
      </c>
      <c r="AQ1193" t="str">
        <f>IF($AS1193="","",TRIM(IF(COUNTIFS(Calc!$B$2:$B$1601,ROW()-1,Calc!$C$2:$C$1601,"&lt;1")&gt;0,"Ada PO tanpa Koli - cek TMP. ","")&amp;IF(OR($AU1193="",$AU1193&lt;=0),"Volume kosong/0 - dimensi dikosongkan. ","")&amp;IF(AND($AU1193&lt;&gt;"",$AU1193&gt;=1000000),"Volume &gt;= 1.000.000 cm3 (di luar aturan) - dimensi dikosongkan. ","")&amp;IF(LEN($R1193)&gt;500,"R &gt; 500 karakter.","")))</f>
        <v/>
      </c>
      <c r="AS1193" t="str">
        <f>IFERROR(MATCH(ROW()-1,Calc!$J$2:$J$1601,0),"")</f>
        <v/>
      </c>
      <c r="AT1193" t="str">
        <f>IFERROR(MATCH(ROW()-1,Calc!$K$2:$K$1601,0),"")</f>
        <v/>
      </c>
      <c r="AU1193" t="str">
        <f>IF($AS1193="","",IFERROR(INDEX('TMP Paste'!$D$2:$D$1601,$AS1193)*1000000/$AB1193,""))</f>
        <v/>
      </c>
    </row>
    <row r="1194" spans="1:47">
      <c r="A1194" t="str">
        <f>IF($AS1194="","",INDEX('TMP Paste'!$B$2:$B$1601,$AS1194))</f>
        <v/>
      </c>
      <c r="B1194" t="str">
        <f>IF($AS1194="","",Config!$B$14)</f>
        <v/>
      </c>
      <c r="C1194" t="str">
        <f>IF($AS1194="","",Config!$B$15)</f>
        <v/>
      </c>
      <c r="D1194" t="str">
        <f>IF($AS1194="","",INDEX('TMP Paste'!$B$2:$B$1601,$AS1194))</f>
        <v/>
      </c>
      <c r="E1194" t="str">
        <f>IF($AS1194="","",Config!$B$27)</f>
        <v/>
      </c>
      <c r="F1194" t="str">
        <f>IF($AS1194="","",Config!$B$9)</f>
        <v/>
      </c>
      <c r="G1194" t="str">
        <f>IF($AS1194="","",Config!$B$10)</f>
        <v/>
      </c>
      <c r="H1194" t="str">
        <f>IF($AS1194="","",Config!$B$11)</f>
        <v/>
      </c>
      <c r="I1194" t="str">
        <f>IF($AS1194="","",Config!$B$16)</f>
        <v/>
      </c>
      <c r="J1194" t="str">
        <f>IF($AS1194="","",INDEX('TMP Paste'!$A$2:$A$1601,$AS1194))</f>
        <v/>
      </c>
      <c r="K1194" t="str">
        <f>IF($AS1194="","",INDEX('TMP Paste'!$L$2:$L$1601,$AS1194))</f>
        <v/>
      </c>
      <c r="L1194" t="str">
        <f>IF($AS1194="","",INDEX('TMP Paste'!$I$2:$I$1601,$AS1194))</f>
        <v/>
      </c>
      <c r="M1194" t="str">
        <f>IF($AS1194="","",Config!$B$16)</f>
        <v/>
      </c>
      <c r="N1194" t="str">
        <f t="shared" si="108"/>
        <v/>
      </c>
      <c r="O1194" t="str">
        <f>IF($AS1194="","",INDEX('TMP Paste'!$K$2:$K$1601,$AS1194))</f>
        <v/>
      </c>
      <c r="P1194" t="str">
        <f t="shared" si="109"/>
        <v/>
      </c>
      <c r="Q1194" t="str">
        <f>IF($AS1194="","",INDEX('TMP Paste'!$J$2:$J$1601,$AS1194))</f>
        <v/>
      </c>
      <c r="R1194" t="str">
        <f>IF($AS1194="","",Config!$B$24)</f>
        <v/>
      </c>
      <c r="S1194" t="str">
        <f ca="1">IF($AS1194="","",TEXT(Config!$B$4,"yyyy-mm-dd"))</f>
        <v/>
      </c>
      <c r="T1194" t="str">
        <f>IF($AS1194="","",Config!$B$17)</f>
        <v/>
      </c>
      <c r="U1194" t="str">
        <f>IF($AS1194="","",Config!$B$18)</f>
        <v/>
      </c>
      <c r="V1194" t="str">
        <f>IF($AS1194="","",Config!$B$19)</f>
        <v/>
      </c>
      <c r="W1194" t="str">
        <f>IF($AS1194="","",INDEX('TMP Paste'!$C$2:$C$1601,$AS1194))</f>
        <v/>
      </c>
      <c r="X1194" t="str">
        <f>IF($AS1194="","",Config!$B$29)</f>
        <v/>
      </c>
      <c r="Y1194" t="str">
        <f>IF($AT1194="","",INDEX(Calc!$I$2:$I$1601,$AT1194)&amp;" - "&amp;INDEX(Calc!$D$2:$D$1601,$AT1194)&amp;" koli")</f>
        <v/>
      </c>
      <c r="Z1194" t="str">
        <f>IF($AS1194="","",Config!$B$21)</f>
        <v/>
      </c>
      <c r="AA1194" t="str">
        <f>IF($AS1194="","",Config!$B$22)</f>
        <v/>
      </c>
      <c r="AB1194" t="str">
        <f>IF($AT1194="","",INDEX(Calc!$D$2:$D$1601,$AT1194))</f>
        <v/>
      </c>
      <c r="AC1194" t="str">
        <f>IF($AT1194="","",INDEX(Calc!$G$2:$G$1601,$AT1194))</f>
        <v/>
      </c>
      <c r="AD1194" t="str">
        <f>IF($AS1194="","",Config!$B$23)</f>
        <v/>
      </c>
      <c r="AE1194" t="str">
        <f>IF($AS1194="","",Config!$B$28)</f>
        <v/>
      </c>
      <c r="AF1194" t="str">
        <f t="shared" si="110"/>
        <v/>
      </c>
      <c r="AG1194" t="str">
        <f t="shared" si="111"/>
        <v/>
      </c>
      <c r="AH1194" t="str">
        <f t="shared" si="112"/>
        <v/>
      </c>
      <c r="AI1194" t="str">
        <f>IF($AG1194="","",SUMIF($AG$2:$AG1194,$AG1194,$AH$2:$AH1194))</f>
        <v/>
      </c>
      <c r="AJ1194" t="str">
        <f>IF('TMP Paste'!$F1194="","",IF('TMP Paste'!$B1194="",$AJ1193,'TMP Paste'!$B1194))</f>
        <v/>
      </c>
      <c r="AK1194" t="str">
        <f>IF('TMP Paste'!$F1194="","",N('TMP Paste'!$G1194))</f>
        <v/>
      </c>
      <c r="AL1194" t="str">
        <f>IF('TMP Paste'!$F1194="","",IF('TMP Paste'!$M1194="",$AL1193,'TMP Paste'!$M1194))</f>
        <v/>
      </c>
      <c r="AM1194" t="str">
        <f>IF('TMP Paste'!$F1194="","",IF('TMP Paste'!$N1194="",$AM1193,'TMP Paste'!$N1194))</f>
        <v/>
      </c>
      <c r="AN1194" t="str">
        <f>IF('TMP Paste'!$F1194="","",IF('TMP Paste'!$O1194="",$AN1193,'TMP Paste'!$O1194))</f>
        <v/>
      </c>
      <c r="AO1194" t="str">
        <f>IF('TMP Paste'!$F1194="","",IF('TMP Paste'!$P1194="",$AO1193,'TMP Paste'!$P1194))</f>
        <v/>
      </c>
      <c r="AP1194" t="str">
        <f t="shared" si="113"/>
        <v/>
      </c>
      <c r="AQ1194" t="str">
        <f>IF($AS1194="","",TRIM(IF(COUNTIFS(Calc!$B$2:$B$1601,ROW()-1,Calc!$C$2:$C$1601,"&lt;1")&gt;0,"Ada PO tanpa Koli - cek TMP. ","")&amp;IF(OR($AU1194="",$AU1194&lt;=0),"Volume kosong/0 - dimensi dikosongkan. ","")&amp;IF(AND($AU1194&lt;&gt;"",$AU1194&gt;=1000000),"Volume &gt;= 1.000.000 cm3 (di luar aturan) - dimensi dikosongkan. ","")&amp;IF(LEN($R1194)&gt;500,"R &gt; 500 karakter.","")))</f>
        <v/>
      </c>
      <c r="AS1194" t="str">
        <f>IFERROR(MATCH(ROW()-1,Calc!$J$2:$J$1601,0),"")</f>
        <v/>
      </c>
      <c r="AT1194" t="str">
        <f>IFERROR(MATCH(ROW()-1,Calc!$K$2:$K$1601,0),"")</f>
        <v/>
      </c>
      <c r="AU1194" t="str">
        <f>IF($AS1194="","",IFERROR(INDEX('TMP Paste'!$D$2:$D$1601,$AS1194)*1000000/$AB1194,""))</f>
        <v/>
      </c>
    </row>
    <row r="1195" spans="1:47">
      <c r="A1195" t="str">
        <f>IF($AS1195="","",INDEX('TMP Paste'!$B$2:$B$1601,$AS1195))</f>
        <v/>
      </c>
      <c r="B1195" t="str">
        <f>IF($AS1195="","",Config!$B$14)</f>
        <v/>
      </c>
      <c r="C1195" t="str">
        <f>IF($AS1195="","",Config!$B$15)</f>
        <v/>
      </c>
      <c r="D1195" t="str">
        <f>IF($AS1195="","",INDEX('TMP Paste'!$B$2:$B$1601,$AS1195))</f>
        <v/>
      </c>
      <c r="E1195" t="str">
        <f>IF($AS1195="","",Config!$B$27)</f>
        <v/>
      </c>
      <c r="F1195" t="str">
        <f>IF($AS1195="","",Config!$B$9)</f>
        <v/>
      </c>
      <c r="G1195" t="str">
        <f>IF($AS1195="","",Config!$B$10)</f>
        <v/>
      </c>
      <c r="H1195" t="str">
        <f>IF($AS1195="","",Config!$B$11)</f>
        <v/>
      </c>
      <c r="I1195" t="str">
        <f>IF($AS1195="","",Config!$B$16)</f>
        <v/>
      </c>
      <c r="J1195" t="str">
        <f>IF($AS1195="","",INDEX('TMP Paste'!$A$2:$A$1601,$AS1195))</f>
        <v/>
      </c>
      <c r="K1195" t="str">
        <f>IF($AS1195="","",INDEX('TMP Paste'!$L$2:$L$1601,$AS1195))</f>
        <v/>
      </c>
      <c r="L1195" t="str">
        <f>IF($AS1195="","",INDEX('TMP Paste'!$I$2:$I$1601,$AS1195))</f>
        <v/>
      </c>
      <c r="M1195" t="str">
        <f>IF($AS1195="","",Config!$B$16)</f>
        <v/>
      </c>
      <c r="N1195" t="str">
        <f t="shared" si="108"/>
        <v/>
      </c>
      <c r="O1195" t="str">
        <f>IF($AS1195="","",INDEX('TMP Paste'!$K$2:$K$1601,$AS1195))</f>
        <v/>
      </c>
      <c r="P1195" t="str">
        <f t="shared" si="109"/>
        <v/>
      </c>
      <c r="Q1195" t="str">
        <f>IF($AS1195="","",INDEX('TMP Paste'!$J$2:$J$1601,$AS1195))</f>
        <v/>
      </c>
      <c r="R1195" t="str">
        <f>IF($AS1195="","",Config!$B$24)</f>
        <v/>
      </c>
      <c r="S1195" t="str">
        <f ca="1">IF($AS1195="","",TEXT(Config!$B$4,"yyyy-mm-dd"))</f>
        <v/>
      </c>
      <c r="T1195" t="str">
        <f>IF($AS1195="","",Config!$B$17)</f>
        <v/>
      </c>
      <c r="U1195" t="str">
        <f>IF($AS1195="","",Config!$B$18)</f>
        <v/>
      </c>
      <c r="V1195" t="str">
        <f>IF($AS1195="","",Config!$B$19)</f>
        <v/>
      </c>
      <c r="W1195" t="str">
        <f>IF($AS1195="","",INDEX('TMP Paste'!$C$2:$C$1601,$AS1195))</f>
        <v/>
      </c>
      <c r="X1195" t="str">
        <f>IF($AS1195="","",Config!$B$29)</f>
        <v/>
      </c>
      <c r="Y1195" t="str">
        <f>IF($AT1195="","",INDEX(Calc!$I$2:$I$1601,$AT1195)&amp;" - "&amp;INDEX(Calc!$D$2:$D$1601,$AT1195)&amp;" koli")</f>
        <v/>
      </c>
      <c r="Z1195" t="str">
        <f>IF($AS1195="","",Config!$B$21)</f>
        <v/>
      </c>
      <c r="AA1195" t="str">
        <f>IF($AS1195="","",Config!$B$22)</f>
        <v/>
      </c>
      <c r="AB1195" t="str">
        <f>IF($AT1195="","",INDEX(Calc!$D$2:$D$1601,$AT1195))</f>
        <v/>
      </c>
      <c r="AC1195" t="str">
        <f>IF($AT1195="","",INDEX(Calc!$G$2:$G$1601,$AT1195))</f>
        <v/>
      </c>
      <c r="AD1195" t="str">
        <f>IF($AS1195="","",Config!$B$23)</f>
        <v/>
      </c>
      <c r="AE1195" t="str">
        <f>IF($AS1195="","",Config!$B$28)</f>
        <v/>
      </c>
      <c r="AF1195" t="str">
        <f t="shared" si="110"/>
        <v/>
      </c>
      <c r="AG1195" t="str">
        <f t="shared" si="111"/>
        <v/>
      </c>
      <c r="AH1195" t="str">
        <f t="shared" si="112"/>
        <v/>
      </c>
      <c r="AI1195" t="str">
        <f>IF($AG1195="","",SUMIF($AG$2:$AG1195,$AG1195,$AH$2:$AH1195))</f>
        <v/>
      </c>
      <c r="AJ1195" t="str">
        <f>IF('TMP Paste'!$F1195="","",IF('TMP Paste'!$B1195="",$AJ1194,'TMP Paste'!$B1195))</f>
        <v/>
      </c>
      <c r="AK1195" t="str">
        <f>IF('TMP Paste'!$F1195="","",N('TMP Paste'!$G1195))</f>
        <v/>
      </c>
      <c r="AL1195" t="str">
        <f>IF('TMP Paste'!$F1195="","",IF('TMP Paste'!$M1195="",$AL1194,'TMP Paste'!$M1195))</f>
        <v/>
      </c>
      <c r="AM1195" t="str">
        <f>IF('TMP Paste'!$F1195="","",IF('TMP Paste'!$N1195="",$AM1194,'TMP Paste'!$N1195))</f>
        <v/>
      </c>
      <c r="AN1195" t="str">
        <f>IF('TMP Paste'!$F1195="","",IF('TMP Paste'!$O1195="",$AN1194,'TMP Paste'!$O1195))</f>
        <v/>
      </c>
      <c r="AO1195" t="str">
        <f>IF('TMP Paste'!$F1195="","",IF('TMP Paste'!$P1195="",$AO1194,'TMP Paste'!$P1195))</f>
        <v/>
      </c>
      <c r="AP1195" t="str">
        <f t="shared" si="113"/>
        <v/>
      </c>
      <c r="AQ1195" t="str">
        <f>IF($AS1195="","",TRIM(IF(COUNTIFS(Calc!$B$2:$B$1601,ROW()-1,Calc!$C$2:$C$1601,"&lt;1")&gt;0,"Ada PO tanpa Koli - cek TMP. ","")&amp;IF(OR($AU1195="",$AU1195&lt;=0),"Volume kosong/0 - dimensi dikosongkan. ","")&amp;IF(AND($AU1195&lt;&gt;"",$AU1195&gt;=1000000),"Volume &gt;= 1.000.000 cm3 (di luar aturan) - dimensi dikosongkan. ","")&amp;IF(LEN($R1195)&gt;500,"R &gt; 500 karakter.","")))</f>
        <v/>
      </c>
      <c r="AS1195" t="str">
        <f>IFERROR(MATCH(ROW()-1,Calc!$J$2:$J$1601,0),"")</f>
        <v/>
      </c>
      <c r="AT1195" t="str">
        <f>IFERROR(MATCH(ROW()-1,Calc!$K$2:$K$1601,0),"")</f>
        <v/>
      </c>
      <c r="AU1195" t="str">
        <f>IF($AS1195="","",IFERROR(INDEX('TMP Paste'!$D$2:$D$1601,$AS1195)*1000000/$AB1195,""))</f>
        <v/>
      </c>
    </row>
    <row r="1196" spans="1:47">
      <c r="A1196" t="str">
        <f>IF($AS1196="","",INDEX('TMP Paste'!$B$2:$B$1601,$AS1196))</f>
        <v/>
      </c>
      <c r="B1196" t="str">
        <f>IF($AS1196="","",Config!$B$14)</f>
        <v/>
      </c>
      <c r="C1196" t="str">
        <f>IF($AS1196="","",Config!$B$15)</f>
        <v/>
      </c>
      <c r="D1196" t="str">
        <f>IF($AS1196="","",INDEX('TMP Paste'!$B$2:$B$1601,$AS1196))</f>
        <v/>
      </c>
      <c r="E1196" t="str">
        <f>IF($AS1196="","",Config!$B$27)</f>
        <v/>
      </c>
      <c r="F1196" t="str">
        <f>IF($AS1196="","",Config!$B$9)</f>
        <v/>
      </c>
      <c r="G1196" t="str">
        <f>IF($AS1196="","",Config!$B$10)</f>
        <v/>
      </c>
      <c r="H1196" t="str">
        <f>IF($AS1196="","",Config!$B$11)</f>
        <v/>
      </c>
      <c r="I1196" t="str">
        <f>IF($AS1196="","",Config!$B$16)</f>
        <v/>
      </c>
      <c r="J1196" t="str">
        <f>IF($AS1196="","",INDEX('TMP Paste'!$A$2:$A$1601,$AS1196))</f>
        <v/>
      </c>
      <c r="K1196" t="str">
        <f>IF($AS1196="","",INDEX('TMP Paste'!$L$2:$L$1601,$AS1196))</f>
        <v/>
      </c>
      <c r="L1196" t="str">
        <f>IF($AS1196="","",INDEX('TMP Paste'!$I$2:$I$1601,$AS1196))</f>
        <v/>
      </c>
      <c r="M1196" t="str">
        <f>IF($AS1196="","",Config!$B$16)</f>
        <v/>
      </c>
      <c r="N1196" t="str">
        <f t="shared" si="108"/>
        <v/>
      </c>
      <c r="O1196" t="str">
        <f>IF($AS1196="","",INDEX('TMP Paste'!$K$2:$K$1601,$AS1196))</f>
        <v/>
      </c>
      <c r="P1196" t="str">
        <f t="shared" si="109"/>
        <v/>
      </c>
      <c r="Q1196" t="str">
        <f>IF($AS1196="","",INDEX('TMP Paste'!$J$2:$J$1601,$AS1196))</f>
        <v/>
      </c>
      <c r="R1196" t="str">
        <f>IF($AS1196="","",Config!$B$24)</f>
        <v/>
      </c>
      <c r="S1196" t="str">
        <f ca="1">IF($AS1196="","",TEXT(Config!$B$4,"yyyy-mm-dd"))</f>
        <v/>
      </c>
      <c r="T1196" t="str">
        <f>IF($AS1196="","",Config!$B$17)</f>
        <v/>
      </c>
      <c r="U1196" t="str">
        <f>IF($AS1196="","",Config!$B$18)</f>
        <v/>
      </c>
      <c r="V1196" t="str">
        <f>IF($AS1196="","",Config!$B$19)</f>
        <v/>
      </c>
      <c r="W1196" t="str">
        <f>IF($AS1196="","",INDEX('TMP Paste'!$C$2:$C$1601,$AS1196))</f>
        <v/>
      </c>
      <c r="X1196" t="str">
        <f>IF($AS1196="","",Config!$B$29)</f>
        <v/>
      </c>
      <c r="Y1196" t="str">
        <f>IF($AT1196="","",INDEX(Calc!$I$2:$I$1601,$AT1196)&amp;" - "&amp;INDEX(Calc!$D$2:$D$1601,$AT1196)&amp;" koli")</f>
        <v/>
      </c>
      <c r="Z1196" t="str">
        <f>IF($AS1196="","",Config!$B$21)</f>
        <v/>
      </c>
      <c r="AA1196" t="str">
        <f>IF($AS1196="","",Config!$B$22)</f>
        <v/>
      </c>
      <c r="AB1196" t="str">
        <f>IF($AT1196="","",INDEX(Calc!$D$2:$D$1601,$AT1196))</f>
        <v/>
      </c>
      <c r="AC1196" t="str">
        <f>IF($AT1196="","",INDEX(Calc!$G$2:$G$1601,$AT1196))</f>
        <v/>
      </c>
      <c r="AD1196" t="str">
        <f>IF($AS1196="","",Config!$B$23)</f>
        <v/>
      </c>
      <c r="AE1196" t="str">
        <f>IF($AS1196="","",Config!$B$28)</f>
        <v/>
      </c>
      <c r="AF1196" t="str">
        <f t="shared" si="110"/>
        <v/>
      </c>
      <c r="AG1196" t="str">
        <f t="shared" si="111"/>
        <v/>
      </c>
      <c r="AH1196" t="str">
        <f t="shared" si="112"/>
        <v/>
      </c>
      <c r="AI1196" t="str">
        <f>IF($AG1196="","",SUMIF($AG$2:$AG1196,$AG1196,$AH$2:$AH1196))</f>
        <v/>
      </c>
      <c r="AJ1196" t="str">
        <f>IF('TMP Paste'!$F1196="","",IF('TMP Paste'!$B1196="",$AJ1195,'TMP Paste'!$B1196))</f>
        <v/>
      </c>
      <c r="AK1196" t="str">
        <f>IF('TMP Paste'!$F1196="","",N('TMP Paste'!$G1196))</f>
        <v/>
      </c>
      <c r="AL1196" t="str">
        <f>IF('TMP Paste'!$F1196="","",IF('TMP Paste'!$M1196="",$AL1195,'TMP Paste'!$M1196))</f>
        <v/>
      </c>
      <c r="AM1196" t="str">
        <f>IF('TMP Paste'!$F1196="","",IF('TMP Paste'!$N1196="",$AM1195,'TMP Paste'!$N1196))</f>
        <v/>
      </c>
      <c r="AN1196" t="str">
        <f>IF('TMP Paste'!$F1196="","",IF('TMP Paste'!$O1196="",$AN1195,'TMP Paste'!$O1196))</f>
        <v/>
      </c>
      <c r="AO1196" t="str">
        <f>IF('TMP Paste'!$F1196="","",IF('TMP Paste'!$P1196="",$AO1195,'TMP Paste'!$P1196))</f>
        <v/>
      </c>
      <c r="AP1196" t="str">
        <f t="shared" si="113"/>
        <v/>
      </c>
      <c r="AQ1196" t="str">
        <f>IF($AS1196="","",TRIM(IF(COUNTIFS(Calc!$B$2:$B$1601,ROW()-1,Calc!$C$2:$C$1601,"&lt;1")&gt;0,"Ada PO tanpa Koli - cek TMP. ","")&amp;IF(OR($AU1196="",$AU1196&lt;=0),"Volume kosong/0 - dimensi dikosongkan. ","")&amp;IF(AND($AU1196&lt;&gt;"",$AU1196&gt;=1000000),"Volume &gt;= 1.000.000 cm3 (di luar aturan) - dimensi dikosongkan. ","")&amp;IF(LEN($R1196)&gt;500,"R &gt; 500 karakter.","")))</f>
        <v/>
      </c>
      <c r="AS1196" t="str">
        <f>IFERROR(MATCH(ROW()-1,Calc!$J$2:$J$1601,0),"")</f>
        <v/>
      </c>
      <c r="AT1196" t="str">
        <f>IFERROR(MATCH(ROW()-1,Calc!$K$2:$K$1601,0),"")</f>
        <v/>
      </c>
      <c r="AU1196" t="str">
        <f>IF($AS1196="","",IFERROR(INDEX('TMP Paste'!$D$2:$D$1601,$AS1196)*1000000/$AB1196,""))</f>
        <v/>
      </c>
    </row>
    <row r="1197" spans="1:47">
      <c r="A1197" t="str">
        <f>IF($AS1197="","",INDEX('TMP Paste'!$B$2:$B$1601,$AS1197))</f>
        <v/>
      </c>
      <c r="B1197" t="str">
        <f>IF($AS1197="","",Config!$B$14)</f>
        <v/>
      </c>
      <c r="C1197" t="str">
        <f>IF($AS1197="","",Config!$B$15)</f>
        <v/>
      </c>
      <c r="D1197" t="str">
        <f>IF($AS1197="","",INDEX('TMP Paste'!$B$2:$B$1601,$AS1197))</f>
        <v/>
      </c>
      <c r="E1197" t="str">
        <f>IF($AS1197="","",Config!$B$27)</f>
        <v/>
      </c>
      <c r="F1197" t="str">
        <f>IF($AS1197="","",Config!$B$9)</f>
        <v/>
      </c>
      <c r="G1197" t="str">
        <f>IF($AS1197="","",Config!$B$10)</f>
        <v/>
      </c>
      <c r="H1197" t="str">
        <f>IF($AS1197="","",Config!$B$11)</f>
        <v/>
      </c>
      <c r="I1197" t="str">
        <f>IF($AS1197="","",Config!$B$16)</f>
        <v/>
      </c>
      <c r="J1197" t="str">
        <f>IF($AS1197="","",INDEX('TMP Paste'!$A$2:$A$1601,$AS1197))</f>
        <v/>
      </c>
      <c r="K1197" t="str">
        <f>IF($AS1197="","",INDEX('TMP Paste'!$L$2:$L$1601,$AS1197))</f>
        <v/>
      </c>
      <c r="L1197" t="str">
        <f>IF($AS1197="","",INDEX('TMP Paste'!$I$2:$I$1601,$AS1197))</f>
        <v/>
      </c>
      <c r="M1197" t="str">
        <f>IF($AS1197="","",Config!$B$16)</f>
        <v/>
      </c>
      <c r="N1197" t="str">
        <f t="shared" si="108"/>
        <v/>
      </c>
      <c r="O1197" t="str">
        <f>IF($AS1197="","",INDEX('TMP Paste'!$K$2:$K$1601,$AS1197))</f>
        <v/>
      </c>
      <c r="P1197" t="str">
        <f t="shared" si="109"/>
        <v/>
      </c>
      <c r="Q1197" t="str">
        <f>IF($AS1197="","",INDEX('TMP Paste'!$J$2:$J$1601,$AS1197))</f>
        <v/>
      </c>
      <c r="R1197" t="str">
        <f>IF($AS1197="","",Config!$B$24)</f>
        <v/>
      </c>
      <c r="S1197" t="str">
        <f ca="1">IF($AS1197="","",TEXT(Config!$B$4,"yyyy-mm-dd"))</f>
        <v/>
      </c>
      <c r="T1197" t="str">
        <f>IF($AS1197="","",Config!$B$17)</f>
        <v/>
      </c>
      <c r="U1197" t="str">
        <f>IF($AS1197="","",Config!$B$18)</f>
        <v/>
      </c>
      <c r="V1197" t="str">
        <f>IF($AS1197="","",Config!$B$19)</f>
        <v/>
      </c>
      <c r="W1197" t="str">
        <f>IF($AS1197="","",INDEX('TMP Paste'!$C$2:$C$1601,$AS1197))</f>
        <v/>
      </c>
      <c r="X1197" t="str">
        <f>IF($AS1197="","",Config!$B$29)</f>
        <v/>
      </c>
      <c r="Y1197" t="str">
        <f>IF($AT1197="","",INDEX(Calc!$I$2:$I$1601,$AT1197)&amp;" - "&amp;INDEX(Calc!$D$2:$D$1601,$AT1197)&amp;" koli")</f>
        <v/>
      </c>
      <c r="Z1197" t="str">
        <f>IF($AS1197="","",Config!$B$21)</f>
        <v/>
      </c>
      <c r="AA1197" t="str">
        <f>IF($AS1197="","",Config!$B$22)</f>
        <v/>
      </c>
      <c r="AB1197" t="str">
        <f>IF($AT1197="","",INDEX(Calc!$D$2:$D$1601,$AT1197))</f>
        <v/>
      </c>
      <c r="AC1197" t="str">
        <f>IF($AT1197="","",INDEX(Calc!$G$2:$G$1601,$AT1197))</f>
        <v/>
      </c>
      <c r="AD1197" t="str">
        <f>IF($AS1197="","",Config!$B$23)</f>
        <v/>
      </c>
      <c r="AE1197" t="str">
        <f>IF($AS1197="","",Config!$B$28)</f>
        <v/>
      </c>
      <c r="AF1197" t="str">
        <f t="shared" si="110"/>
        <v/>
      </c>
      <c r="AG1197" t="str">
        <f t="shared" si="111"/>
        <v/>
      </c>
      <c r="AH1197" t="str">
        <f t="shared" si="112"/>
        <v/>
      </c>
      <c r="AI1197" t="str">
        <f>IF($AG1197="","",SUMIF($AG$2:$AG1197,$AG1197,$AH$2:$AH1197))</f>
        <v/>
      </c>
      <c r="AJ1197" t="str">
        <f>IF('TMP Paste'!$F1197="","",IF('TMP Paste'!$B1197="",$AJ1196,'TMP Paste'!$B1197))</f>
        <v/>
      </c>
      <c r="AK1197" t="str">
        <f>IF('TMP Paste'!$F1197="","",N('TMP Paste'!$G1197))</f>
        <v/>
      </c>
      <c r="AL1197" t="str">
        <f>IF('TMP Paste'!$F1197="","",IF('TMP Paste'!$M1197="",$AL1196,'TMP Paste'!$M1197))</f>
        <v/>
      </c>
      <c r="AM1197" t="str">
        <f>IF('TMP Paste'!$F1197="","",IF('TMP Paste'!$N1197="",$AM1196,'TMP Paste'!$N1197))</f>
        <v/>
      </c>
      <c r="AN1197" t="str">
        <f>IF('TMP Paste'!$F1197="","",IF('TMP Paste'!$O1197="",$AN1196,'TMP Paste'!$O1197))</f>
        <v/>
      </c>
      <c r="AO1197" t="str">
        <f>IF('TMP Paste'!$F1197="","",IF('TMP Paste'!$P1197="",$AO1196,'TMP Paste'!$P1197))</f>
        <v/>
      </c>
      <c r="AP1197" t="str">
        <f t="shared" si="113"/>
        <v/>
      </c>
      <c r="AQ1197" t="str">
        <f>IF($AS1197="","",TRIM(IF(COUNTIFS(Calc!$B$2:$B$1601,ROW()-1,Calc!$C$2:$C$1601,"&lt;1")&gt;0,"Ada PO tanpa Koli - cek TMP. ","")&amp;IF(OR($AU1197="",$AU1197&lt;=0),"Volume kosong/0 - dimensi dikosongkan. ","")&amp;IF(AND($AU1197&lt;&gt;"",$AU1197&gt;=1000000),"Volume &gt;= 1.000.000 cm3 (di luar aturan) - dimensi dikosongkan. ","")&amp;IF(LEN($R1197)&gt;500,"R &gt; 500 karakter.","")))</f>
        <v/>
      </c>
      <c r="AS1197" t="str">
        <f>IFERROR(MATCH(ROW()-1,Calc!$J$2:$J$1601,0),"")</f>
        <v/>
      </c>
      <c r="AT1197" t="str">
        <f>IFERROR(MATCH(ROW()-1,Calc!$K$2:$K$1601,0),"")</f>
        <v/>
      </c>
      <c r="AU1197" t="str">
        <f>IF($AS1197="","",IFERROR(INDEX('TMP Paste'!$D$2:$D$1601,$AS1197)*1000000/$AB1197,""))</f>
        <v/>
      </c>
    </row>
    <row r="1198" spans="1:47">
      <c r="A1198" t="str">
        <f>IF($AS1198="","",INDEX('TMP Paste'!$B$2:$B$1601,$AS1198))</f>
        <v/>
      </c>
      <c r="B1198" t="str">
        <f>IF($AS1198="","",Config!$B$14)</f>
        <v/>
      </c>
      <c r="C1198" t="str">
        <f>IF($AS1198="","",Config!$B$15)</f>
        <v/>
      </c>
      <c r="D1198" t="str">
        <f>IF($AS1198="","",INDEX('TMP Paste'!$B$2:$B$1601,$AS1198))</f>
        <v/>
      </c>
      <c r="E1198" t="str">
        <f>IF($AS1198="","",Config!$B$27)</f>
        <v/>
      </c>
      <c r="F1198" t="str">
        <f>IF($AS1198="","",Config!$B$9)</f>
        <v/>
      </c>
      <c r="G1198" t="str">
        <f>IF($AS1198="","",Config!$B$10)</f>
        <v/>
      </c>
      <c r="H1198" t="str">
        <f>IF($AS1198="","",Config!$B$11)</f>
        <v/>
      </c>
      <c r="I1198" t="str">
        <f>IF($AS1198="","",Config!$B$16)</f>
        <v/>
      </c>
      <c r="J1198" t="str">
        <f>IF($AS1198="","",INDEX('TMP Paste'!$A$2:$A$1601,$AS1198))</f>
        <v/>
      </c>
      <c r="K1198" t="str">
        <f>IF($AS1198="","",INDEX('TMP Paste'!$L$2:$L$1601,$AS1198))</f>
        <v/>
      </c>
      <c r="L1198" t="str">
        <f>IF($AS1198="","",INDEX('TMP Paste'!$I$2:$I$1601,$AS1198))</f>
        <v/>
      </c>
      <c r="M1198" t="str">
        <f>IF($AS1198="","",Config!$B$16)</f>
        <v/>
      </c>
      <c r="N1198" t="str">
        <f t="shared" si="108"/>
        <v/>
      </c>
      <c r="O1198" t="str">
        <f>IF($AS1198="","",INDEX('TMP Paste'!$K$2:$K$1601,$AS1198))</f>
        <v/>
      </c>
      <c r="P1198" t="str">
        <f t="shared" si="109"/>
        <v/>
      </c>
      <c r="Q1198" t="str">
        <f>IF($AS1198="","",INDEX('TMP Paste'!$J$2:$J$1601,$AS1198))</f>
        <v/>
      </c>
      <c r="R1198" t="str">
        <f>IF($AS1198="","",Config!$B$24)</f>
        <v/>
      </c>
      <c r="S1198" t="str">
        <f ca="1">IF($AS1198="","",TEXT(Config!$B$4,"yyyy-mm-dd"))</f>
        <v/>
      </c>
      <c r="T1198" t="str">
        <f>IF($AS1198="","",Config!$B$17)</f>
        <v/>
      </c>
      <c r="U1198" t="str">
        <f>IF($AS1198="","",Config!$B$18)</f>
        <v/>
      </c>
      <c r="V1198" t="str">
        <f>IF($AS1198="","",Config!$B$19)</f>
        <v/>
      </c>
      <c r="W1198" t="str">
        <f>IF($AS1198="","",INDEX('TMP Paste'!$C$2:$C$1601,$AS1198))</f>
        <v/>
      </c>
      <c r="X1198" t="str">
        <f>IF($AS1198="","",Config!$B$29)</f>
        <v/>
      </c>
      <c r="Y1198" t="str">
        <f>IF($AT1198="","",INDEX(Calc!$I$2:$I$1601,$AT1198)&amp;" - "&amp;INDEX(Calc!$D$2:$D$1601,$AT1198)&amp;" koli")</f>
        <v/>
      </c>
      <c r="Z1198" t="str">
        <f>IF($AS1198="","",Config!$B$21)</f>
        <v/>
      </c>
      <c r="AA1198" t="str">
        <f>IF($AS1198="","",Config!$B$22)</f>
        <v/>
      </c>
      <c r="AB1198" t="str">
        <f>IF($AT1198="","",INDEX(Calc!$D$2:$D$1601,$AT1198))</f>
        <v/>
      </c>
      <c r="AC1198" t="str">
        <f>IF($AT1198="","",INDEX(Calc!$G$2:$G$1601,$AT1198))</f>
        <v/>
      </c>
      <c r="AD1198" t="str">
        <f>IF($AS1198="","",Config!$B$23)</f>
        <v/>
      </c>
      <c r="AE1198" t="str">
        <f>IF($AS1198="","",Config!$B$28)</f>
        <v/>
      </c>
      <c r="AF1198" t="str">
        <f t="shared" si="110"/>
        <v/>
      </c>
      <c r="AG1198" t="str">
        <f t="shared" si="111"/>
        <v/>
      </c>
      <c r="AH1198" t="str">
        <f t="shared" si="112"/>
        <v/>
      </c>
      <c r="AI1198" t="str">
        <f>IF($AG1198="","",SUMIF($AG$2:$AG1198,$AG1198,$AH$2:$AH1198))</f>
        <v/>
      </c>
      <c r="AJ1198" t="str">
        <f>IF('TMP Paste'!$F1198="","",IF('TMP Paste'!$B1198="",$AJ1197,'TMP Paste'!$B1198))</f>
        <v/>
      </c>
      <c r="AK1198" t="str">
        <f>IF('TMP Paste'!$F1198="","",N('TMP Paste'!$G1198))</f>
        <v/>
      </c>
      <c r="AL1198" t="str">
        <f>IF('TMP Paste'!$F1198="","",IF('TMP Paste'!$M1198="",$AL1197,'TMP Paste'!$M1198))</f>
        <v/>
      </c>
      <c r="AM1198" t="str">
        <f>IF('TMP Paste'!$F1198="","",IF('TMP Paste'!$N1198="",$AM1197,'TMP Paste'!$N1198))</f>
        <v/>
      </c>
      <c r="AN1198" t="str">
        <f>IF('TMP Paste'!$F1198="","",IF('TMP Paste'!$O1198="",$AN1197,'TMP Paste'!$O1198))</f>
        <v/>
      </c>
      <c r="AO1198" t="str">
        <f>IF('TMP Paste'!$F1198="","",IF('TMP Paste'!$P1198="",$AO1197,'TMP Paste'!$P1198))</f>
        <v/>
      </c>
      <c r="AP1198" t="str">
        <f t="shared" si="113"/>
        <v/>
      </c>
      <c r="AQ1198" t="str">
        <f>IF($AS1198="","",TRIM(IF(COUNTIFS(Calc!$B$2:$B$1601,ROW()-1,Calc!$C$2:$C$1601,"&lt;1")&gt;0,"Ada PO tanpa Koli - cek TMP. ","")&amp;IF(OR($AU1198="",$AU1198&lt;=0),"Volume kosong/0 - dimensi dikosongkan. ","")&amp;IF(AND($AU1198&lt;&gt;"",$AU1198&gt;=1000000),"Volume &gt;= 1.000.000 cm3 (di luar aturan) - dimensi dikosongkan. ","")&amp;IF(LEN($R1198)&gt;500,"R &gt; 500 karakter.","")))</f>
        <v/>
      </c>
      <c r="AS1198" t="str">
        <f>IFERROR(MATCH(ROW()-1,Calc!$J$2:$J$1601,0),"")</f>
        <v/>
      </c>
      <c r="AT1198" t="str">
        <f>IFERROR(MATCH(ROW()-1,Calc!$K$2:$K$1601,0),"")</f>
        <v/>
      </c>
      <c r="AU1198" t="str">
        <f>IF($AS1198="","",IFERROR(INDEX('TMP Paste'!$D$2:$D$1601,$AS1198)*1000000/$AB1198,""))</f>
        <v/>
      </c>
    </row>
    <row r="1199" spans="1:47">
      <c r="A1199" t="str">
        <f>IF($AS1199="","",INDEX('TMP Paste'!$B$2:$B$1601,$AS1199))</f>
        <v/>
      </c>
      <c r="B1199" t="str">
        <f>IF($AS1199="","",Config!$B$14)</f>
        <v/>
      </c>
      <c r="C1199" t="str">
        <f>IF($AS1199="","",Config!$B$15)</f>
        <v/>
      </c>
      <c r="D1199" t="str">
        <f>IF($AS1199="","",INDEX('TMP Paste'!$B$2:$B$1601,$AS1199))</f>
        <v/>
      </c>
      <c r="E1199" t="str">
        <f>IF($AS1199="","",Config!$B$27)</f>
        <v/>
      </c>
      <c r="F1199" t="str">
        <f>IF($AS1199="","",Config!$B$9)</f>
        <v/>
      </c>
      <c r="G1199" t="str">
        <f>IF($AS1199="","",Config!$B$10)</f>
        <v/>
      </c>
      <c r="H1199" t="str">
        <f>IF($AS1199="","",Config!$B$11)</f>
        <v/>
      </c>
      <c r="I1199" t="str">
        <f>IF($AS1199="","",Config!$B$16)</f>
        <v/>
      </c>
      <c r="J1199" t="str">
        <f>IF($AS1199="","",INDEX('TMP Paste'!$A$2:$A$1601,$AS1199))</f>
        <v/>
      </c>
      <c r="K1199" t="str">
        <f>IF($AS1199="","",INDEX('TMP Paste'!$L$2:$L$1601,$AS1199))</f>
        <v/>
      </c>
      <c r="L1199" t="str">
        <f>IF($AS1199="","",INDEX('TMP Paste'!$I$2:$I$1601,$AS1199))</f>
        <v/>
      </c>
      <c r="M1199" t="str">
        <f>IF($AS1199="","",Config!$B$16)</f>
        <v/>
      </c>
      <c r="N1199" t="str">
        <f t="shared" si="108"/>
        <v/>
      </c>
      <c r="O1199" t="str">
        <f>IF($AS1199="","",INDEX('TMP Paste'!$K$2:$K$1601,$AS1199))</f>
        <v/>
      </c>
      <c r="P1199" t="str">
        <f t="shared" si="109"/>
        <v/>
      </c>
      <c r="Q1199" t="str">
        <f>IF($AS1199="","",INDEX('TMP Paste'!$J$2:$J$1601,$AS1199))</f>
        <v/>
      </c>
      <c r="R1199" t="str">
        <f>IF($AS1199="","",Config!$B$24)</f>
        <v/>
      </c>
      <c r="S1199" t="str">
        <f ca="1">IF($AS1199="","",TEXT(Config!$B$4,"yyyy-mm-dd"))</f>
        <v/>
      </c>
      <c r="T1199" t="str">
        <f>IF($AS1199="","",Config!$B$17)</f>
        <v/>
      </c>
      <c r="U1199" t="str">
        <f>IF($AS1199="","",Config!$B$18)</f>
        <v/>
      </c>
      <c r="V1199" t="str">
        <f>IF($AS1199="","",Config!$B$19)</f>
        <v/>
      </c>
      <c r="W1199" t="str">
        <f>IF($AS1199="","",INDEX('TMP Paste'!$C$2:$C$1601,$AS1199))</f>
        <v/>
      </c>
      <c r="X1199" t="str">
        <f>IF($AS1199="","",Config!$B$29)</f>
        <v/>
      </c>
      <c r="Y1199" t="str">
        <f>IF($AT1199="","",INDEX(Calc!$I$2:$I$1601,$AT1199)&amp;" - "&amp;INDEX(Calc!$D$2:$D$1601,$AT1199)&amp;" koli")</f>
        <v/>
      </c>
      <c r="Z1199" t="str">
        <f>IF($AS1199="","",Config!$B$21)</f>
        <v/>
      </c>
      <c r="AA1199" t="str">
        <f>IF($AS1199="","",Config!$B$22)</f>
        <v/>
      </c>
      <c r="AB1199" t="str">
        <f>IF($AT1199="","",INDEX(Calc!$D$2:$D$1601,$AT1199))</f>
        <v/>
      </c>
      <c r="AC1199" t="str">
        <f>IF($AT1199="","",INDEX(Calc!$G$2:$G$1601,$AT1199))</f>
        <v/>
      </c>
      <c r="AD1199" t="str">
        <f>IF($AS1199="","",Config!$B$23)</f>
        <v/>
      </c>
      <c r="AE1199" t="str">
        <f>IF($AS1199="","",Config!$B$28)</f>
        <v/>
      </c>
      <c r="AF1199" t="str">
        <f t="shared" si="110"/>
        <v/>
      </c>
      <c r="AG1199" t="str">
        <f t="shared" si="111"/>
        <v/>
      </c>
      <c r="AH1199" t="str">
        <f t="shared" si="112"/>
        <v/>
      </c>
      <c r="AI1199" t="str">
        <f>IF($AG1199="","",SUMIF($AG$2:$AG1199,$AG1199,$AH$2:$AH1199))</f>
        <v/>
      </c>
      <c r="AJ1199" t="str">
        <f>IF('TMP Paste'!$F1199="","",IF('TMP Paste'!$B1199="",$AJ1198,'TMP Paste'!$B1199))</f>
        <v/>
      </c>
      <c r="AK1199" t="str">
        <f>IF('TMP Paste'!$F1199="","",N('TMP Paste'!$G1199))</f>
        <v/>
      </c>
      <c r="AL1199" t="str">
        <f>IF('TMP Paste'!$F1199="","",IF('TMP Paste'!$M1199="",$AL1198,'TMP Paste'!$M1199))</f>
        <v/>
      </c>
      <c r="AM1199" t="str">
        <f>IF('TMP Paste'!$F1199="","",IF('TMP Paste'!$N1199="",$AM1198,'TMP Paste'!$N1199))</f>
        <v/>
      </c>
      <c r="AN1199" t="str">
        <f>IF('TMP Paste'!$F1199="","",IF('TMP Paste'!$O1199="",$AN1198,'TMP Paste'!$O1199))</f>
        <v/>
      </c>
      <c r="AO1199" t="str">
        <f>IF('TMP Paste'!$F1199="","",IF('TMP Paste'!$P1199="",$AO1198,'TMP Paste'!$P1199))</f>
        <v/>
      </c>
      <c r="AP1199" t="str">
        <f t="shared" si="113"/>
        <v/>
      </c>
      <c r="AQ1199" t="str">
        <f>IF($AS1199="","",TRIM(IF(COUNTIFS(Calc!$B$2:$B$1601,ROW()-1,Calc!$C$2:$C$1601,"&lt;1")&gt;0,"Ada PO tanpa Koli - cek TMP. ","")&amp;IF(OR($AU1199="",$AU1199&lt;=0),"Volume kosong/0 - dimensi dikosongkan. ","")&amp;IF(AND($AU1199&lt;&gt;"",$AU1199&gt;=1000000),"Volume &gt;= 1.000.000 cm3 (di luar aturan) - dimensi dikosongkan. ","")&amp;IF(LEN($R1199)&gt;500,"R &gt; 500 karakter.","")))</f>
        <v/>
      </c>
      <c r="AS1199" t="str">
        <f>IFERROR(MATCH(ROW()-1,Calc!$J$2:$J$1601,0),"")</f>
        <v/>
      </c>
      <c r="AT1199" t="str">
        <f>IFERROR(MATCH(ROW()-1,Calc!$K$2:$K$1601,0),"")</f>
        <v/>
      </c>
      <c r="AU1199" t="str">
        <f>IF($AS1199="","",IFERROR(INDEX('TMP Paste'!$D$2:$D$1601,$AS1199)*1000000/$AB1199,""))</f>
        <v/>
      </c>
    </row>
    <row r="1200" spans="1:47">
      <c r="A1200" t="str">
        <f>IF($AS1200="","",INDEX('TMP Paste'!$B$2:$B$1601,$AS1200))</f>
        <v/>
      </c>
      <c r="B1200" t="str">
        <f>IF($AS1200="","",Config!$B$14)</f>
        <v/>
      </c>
      <c r="C1200" t="str">
        <f>IF($AS1200="","",Config!$B$15)</f>
        <v/>
      </c>
      <c r="D1200" t="str">
        <f>IF($AS1200="","",INDEX('TMP Paste'!$B$2:$B$1601,$AS1200))</f>
        <v/>
      </c>
      <c r="E1200" t="str">
        <f>IF($AS1200="","",Config!$B$27)</f>
        <v/>
      </c>
      <c r="F1200" t="str">
        <f>IF($AS1200="","",Config!$B$9)</f>
        <v/>
      </c>
      <c r="G1200" t="str">
        <f>IF($AS1200="","",Config!$B$10)</f>
        <v/>
      </c>
      <c r="H1200" t="str">
        <f>IF($AS1200="","",Config!$B$11)</f>
        <v/>
      </c>
      <c r="I1200" t="str">
        <f>IF($AS1200="","",Config!$B$16)</f>
        <v/>
      </c>
      <c r="J1200" t="str">
        <f>IF($AS1200="","",INDEX('TMP Paste'!$A$2:$A$1601,$AS1200))</f>
        <v/>
      </c>
      <c r="K1200" t="str">
        <f>IF($AS1200="","",INDEX('TMP Paste'!$L$2:$L$1601,$AS1200))</f>
        <v/>
      </c>
      <c r="L1200" t="str">
        <f>IF($AS1200="","",INDEX('TMP Paste'!$I$2:$I$1601,$AS1200))</f>
        <v/>
      </c>
      <c r="M1200" t="str">
        <f>IF($AS1200="","",Config!$B$16)</f>
        <v/>
      </c>
      <c r="N1200" t="str">
        <f t="shared" si="108"/>
        <v/>
      </c>
      <c r="O1200" t="str">
        <f>IF($AS1200="","",INDEX('TMP Paste'!$K$2:$K$1601,$AS1200))</f>
        <v/>
      </c>
      <c r="P1200" t="str">
        <f t="shared" si="109"/>
        <v/>
      </c>
      <c r="Q1200" t="str">
        <f>IF($AS1200="","",INDEX('TMP Paste'!$J$2:$J$1601,$AS1200))</f>
        <v/>
      </c>
      <c r="R1200" t="str">
        <f>IF($AS1200="","",Config!$B$24)</f>
        <v/>
      </c>
      <c r="S1200" t="str">
        <f ca="1">IF($AS1200="","",TEXT(Config!$B$4,"yyyy-mm-dd"))</f>
        <v/>
      </c>
      <c r="T1200" t="str">
        <f>IF($AS1200="","",Config!$B$17)</f>
        <v/>
      </c>
      <c r="U1200" t="str">
        <f>IF($AS1200="","",Config!$B$18)</f>
        <v/>
      </c>
      <c r="V1200" t="str">
        <f>IF($AS1200="","",Config!$B$19)</f>
        <v/>
      </c>
      <c r="W1200" t="str">
        <f>IF($AS1200="","",INDEX('TMP Paste'!$C$2:$C$1601,$AS1200))</f>
        <v/>
      </c>
      <c r="X1200" t="str">
        <f>IF($AS1200="","",Config!$B$29)</f>
        <v/>
      </c>
      <c r="Y1200" t="str">
        <f>IF($AT1200="","",INDEX(Calc!$I$2:$I$1601,$AT1200)&amp;" - "&amp;INDEX(Calc!$D$2:$D$1601,$AT1200)&amp;" koli")</f>
        <v/>
      </c>
      <c r="Z1200" t="str">
        <f>IF($AS1200="","",Config!$B$21)</f>
        <v/>
      </c>
      <c r="AA1200" t="str">
        <f>IF($AS1200="","",Config!$B$22)</f>
        <v/>
      </c>
      <c r="AB1200" t="str">
        <f>IF($AT1200="","",INDEX(Calc!$D$2:$D$1601,$AT1200))</f>
        <v/>
      </c>
      <c r="AC1200" t="str">
        <f>IF($AT1200="","",INDEX(Calc!$G$2:$G$1601,$AT1200))</f>
        <v/>
      </c>
      <c r="AD1200" t="str">
        <f>IF($AS1200="","",Config!$B$23)</f>
        <v/>
      </c>
      <c r="AE1200" t="str">
        <f>IF($AS1200="","",Config!$B$28)</f>
        <v/>
      </c>
      <c r="AF1200" t="str">
        <f t="shared" si="110"/>
        <v/>
      </c>
      <c r="AG1200" t="str">
        <f t="shared" si="111"/>
        <v/>
      </c>
      <c r="AH1200" t="str">
        <f t="shared" si="112"/>
        <v/>
      </c>
      <c r="AI1200" t="str">
        <f>IF($AG1200="","",SUMIF($AG$2:$AG1200,$AG1200,$AH$2:$AH1200))</f>
        <v/>
      </c>
      <c r="AJ1200" t="str">
        <f>IF('TMP Paste'!$F1200="","",IF('TMP Paste'!$B1200="",$AJ1199,'TMP Paste'!$B1200))</f>
        <v/>
      </c>
      <c r="AK1200" t="str">
        <f>IF('TMP Paste'!$F1200="","",N('TMP Paste'!$G1200))</f>
        <v/>
      </c>
      <c r="AL1200" t="str">
        <f>IF('TMP Paste'!$F1200="","",IF('TMP Paste'!$M1200="",$AL1199,'TMP Paste'!$M1200))</f>
        <v/>
      </c>
      <c r="AM1200" t="str">
        <f>IF('TMP Paste'!$F1200="","",IF('TMP Paste'!$N1200="",$AM1199,'TMP Paste'!$N1200))</f>
        <v/>
      </c>
      <c r="AN1200" t="str">
        <f>IF('TMP Paste'!$F1200="","",IF('TMP Paste'!$O1200="",$AN1199,'TMP Paste'!$O1200))</f>
        <v/>
      </c>
      <c r="AO1200" t="str">
        <f>IF('TMP Paste'!$F1200="","",IF('TMP Paste'!$P1200="",$AO1199,'TMP Paste'!$P1200))</f>
        <v/>
      </c>
      <c r="AP1200" t="str">
        <f t="shared" si="113"/>
        <v/>
      </c>
      <c r="AQ1200" t="str">
        <f>IF($AS1200="","",TRIM(IF(COUNTIFS(Calc!$B$2:$B$1601,ROW()-1,Calc!$C$2:$C$1601,"&lt;1")&gt;0,"Ada PO tanpa Koli - cek TMP. ","")&amp;IF(OR($AU1200="",$AU1200&lt;=0),"Volume kosong/0 - dimensi dikosongkan. ","")&amp;IF(AND($AU1200&lt;&gt;"",$AU1200&gt;=1000000),"Volume &gt;= 1.000.000 cm3 (di luar aturan) - dimensi dikosongkan. ","")&amp;IF(LEN($R1200)&gt;500,"R &gt; 500 karakter.","")))</f>
        <v/>
      </c>
      <c r="AS1200" t="str">
        <f>IFERROR(MATCH(ROW()-1,Calc!$J$2:$J$1601,0),"")</f>
        <v/>
      </c>
      <c r="AT1200" t="str">
        <f>IFERROR(MATCH(ROW()-1,Calc!$K$2:$K$1601,0),"")</f>
        <v/>
      </c>
      <c r="AU1200" t="str">
        <f>IF($AS1200="","",IFERROR(INDEX('TMP Paste'!$D$2:$D$1601,$AS1200)*1000000/$AB1200,""))</f>
        <v/>
      </c>
    </row>
    <row r="1201" spans="1:47">
      <c r="A1201" t="str">
        <f>IF($AS1201="","",INDEX('TMP Paste'!$B$2:$B$1601,$AS1201))</f>
        <v/>
      </c>
      <c r="B1201" t="str">
        <f>IF($AS1201="","",Config!$B$14)</f>
        <v/>
      </c>
      <c r="C1201" t="str">
        <f>IF($AS1201="","",Config!$B$15)</f>
        <v/>
      </c>
      <c r="D1201" t="str">
        <f>IF($AS1201="","",INDEX('TMP Paste'!$B$2:$B$1601,$AS1201))</f>
        <v/>
      </c>
      <c r="E1201" t="str">
        <f>IF($AS1201="","",Config!$B$27)</f>
        <v/>
      </c>
      <c r="F1201" t="str">
        <f>IF($AS1201="","",Config!$B$9)</f>
        <v/>
      </c>
      <c r="G1201" t="str">
        <f>IF($AS1201="","",Config!$B$10)</f>
        <v/>
      </c>
      <c r="H1201" t="str">
        <f>IF($AS1201="","",Config!$B$11)</f>
        <v/>
      </c>
      <c r="I1201" t="str">
        <f>IF($AS1201="","",Config!$B$16)</f>
        <v/>
      </c>
      <c r="J1201" t="str">
        <f>IF($AS1201="","",INDEX('TMP Paste'!$A$2:$A$1601,$AS1201))</f>
        <v/>
      </c>
      <c r="K1201" t="str">
        <f>IF($AS1201="","",INDEX('TMP Paste'!$L$2:$L$1601,$AS1201))</f>
        <v/>
      </c>
      <c r="L1201" t="str">
        <f>IF($AS1201="","",INDEX('TMP Paste'!$I$2:$I$1601,$AS1201))</f>
        <v/>
      </c>
      <c r="M1201" t="str">
        <f>IF($AS1201="","",Config!$B$16)</f>
        <v/>
      </c>
      <c r="N1201" t="str">
        <f t="shared" si="108"/>
        <v/>
      </c>
      <c r="O1201" t="str">
        <f>IF($AS1201="","",INDEX('TMP Paste'!$K$2:$K$1601,$AS1201))</f>
        <v/>
      </c>
      <c r="P1201" t="str">
        <f t="shared" si="109"/>
        <v/>
      </c>
      <c r="Q1201" t="str">
        <f>IF($AS1201="","",INDEX('TMP Paste'!$J$2:$J$1601,$AS1201))</f>
        <v/>
      </c>
      <c r="R1201" t="str">
        <f>IF($AS1201="","",Config!$B$24)</f>
        <v/>
      </c>
      <c r="S1201" t="str">
        <f ca="1">IF($AS1201="","",TEXT(Config!$B$4,"yyyy-mm-dd"))</f>
        <v/>
      </c>
      <c r="T1201" t="str">
        <f>IF($AS1201="","",Config!$B$17)</f>
        <v/>
      </c>
      <c r="U1201" t="str">
        <f>IF($AS1201="","",Config!$B$18)</f>
        <v/>
      </c>
      <c r="V1201" t="str">
        <f>IF($AS1201="","",Config!$B$19)</f>
        <v/>
      </c>
      <c r="W1201" t="str">
        <f>IF($AS1201="","",INDEX('TMP Paste'!$C$2:$C$1601,$AS1201))</f>
        <v/>
      </c>
      <c r="X1201" t="str">
        <f>IF($AS1201="","",Config!$B$29)</f>
        <v/>
      </c>
      <c r="Y1201" t="str">
        <f>IF($AT1201="","",INDEX(Calc!$I$2:$I$1601,$AT1201)&amp;" - "&amp;INDEX(Calc!$D$2:$D$1601,$AT1201)&amp;" koli")</f>
        <v/>
      </c>
      <c r="Z1201" t="str">
        <f>IF($AS1201="","",Config!$B$21)</f>
        <v/>
      </c>
      <c r="AA1201" t="str">
        <f>IF($AS1201="","",Config!$B$22)</f>
        <v/>
      </c>
      <c r="AB1201" t="str">
        <f>IF($AT1201="","",INDEX(Calc!$D$2:$D$1601,$AT1201))</f>
        <v/>
      </c>
      <c r="AC1201" t="str">
        <f>IF($AT1201="","",INDEX(Calc!$G$2:$G$1601,$AT1201))</f>
        <v/>
      </c>
      <c r="AD1201" t="str">
        <f>IF($AS1201="","",Config!$B$23)</f>
        <v/>
      </c>
      <c r="AE1201" t="str">
        <f>IF($AS1201="","",Config!$B$28)</f>
        <v/>
      </c>
      <c r="AF1201" t="str">
        <f t="shared" si="110"/>
        <v/>
      </c>
      <c r="AG1201" t="str">
        <f t="shared" si="111"/>
        <v/>
      </c>
      <c r="AH1201" t="str">
        <f t="shared" si="112"/>
        <v/>
      </c>
      <c r="AI1201" t="str">
        <f>IF($AG1201="","",SUMIF($AG$2:$AG1201,$AG1201,$AH$2:$AH1201))</f>
        <v/>
      </c>
      <c r="AJ1201" t="str">
        <f>IF('TMP Paste'!$F1201="","",IF('TMP Paste'!$B1201="",$AJ1200,'TMP Paste'!$B1201))</f>
        <v/>
      </c>
      <c r="AK1201" t="str">
        <f>IF('TMP Paste'!$F1201="","",N('TMP Paste'!$G1201))</f>
        <v/>
      </c>
      <c r="AL1201" t="str">
        <f>IF('TMP Paste'!$F1201="","",IF('TMP Paste'!$M1201="",$AL1200,'TMP Paste'!$M1201))</f>
        <v/>
      </c>
      <c r="AM1201" t="str">
        <f>IF('TMP Paste'!$F1201="","",IF('TMP Paste'!$N1201="",$AM1200,'TMP Paste'!$N1201))</f>
        <v/>
      </c>
      <c r="AN1201" t="str">
        <f>IF('TMP Paste'!$F1201="","",IF('TMP Paste'!$O1201="",$AN1200,'TMP Paste'!$O1201))</f>
        <v/>
      </c>
      <c r="AO1201" t="str">
        <f>IF('TMP Paste'!$F1201="","",IF('TMP Paste'!$P1201="",$AO1200,'TMP Paste'!$P1201))</f>
        <v/>
      </c>
      <c r="AP1201" t="str">
        <f t="shared" si="113"/>
        <v/>
      </c>
      <c r="AQ1201" t="str">
        <f>IF($AS1201="","",TRIM(IF(COUNTIFS(Calc!$B$2:$B$1601,ROW()-1,Calc!$C$2:$C$1601,"&lt;1")&gt;0,"Ada PO tanpa Koli - cek TMP. ","")&amp;IF(OR($AU1201="",$AU1201&lt;=0),"Volume kosong/0 - dimensi dikosongkan. ","")&amp;IF(AND($AU1201&lt;&gt;"",$AU1201&gt;=1000000),"Volume &gt;= 1.000.000 cm3 (di luar aturan) - dimensi dikosongkan. ","")&amp;IF(LEN($R1201)&gt;500,"R &gt; 500 karakter.","")))</f>
        <v/>
      </c>
      <c r="AS1201" t="str">
        <f>IFERROR(MATCH(ROW()-1,Calc!$J$2:$J$1601,0),"")</f>
        <v/>
      </c>
      <c r="AT1201" t="str">
        <f>IFERROR(MATCH(ROW()-1,Calc!$K$2:$K$1601,0),"")</f>
        <v/>
      </c>
      <c r="AU1201" t="str">
        <f>IF($AS1201="","",IFERROR(INDEX('TMP Paste'!$D$2:$D$1601,$AS1201)*1000000/$AB1201,""))</f>
        <v/>
      </c>
    </row>
    <row r="1202" spans="1:47">
      <c r="A1202" t="str">
        <f>IF($AS1202="","",INDEX('TMP Paste'!$B$2:$B$1601,$AS1202))</f>
        <v/>
      </c>
      <c r="B1202" t="str">
        <f>IF($AS1202="","",Config!$B$14)</f>
        <v/>
      </c>
      <c r="C1202" t="str">
        <f>IF($AS1202="","",Config!$B$15)</f>
        <v/>
      </c>
      <c r="D1202" t="str">
        <f>IF($AS1202="","",INDEX('TMP Paste'!$B$2:$B$1601,$AS1202))</f>
        <v/>
      </c>
      <c r="E1202" t="str">
        <f>IF($AS1202="","",Config!$B$27)</f>
        <v/>
      </c>
      <c r="F1202" t="str">
        <f>IF($AS1202="","",Config!$B$9)</f>
        <v/>
      </c>
      <c r="G1202" t="str">
        <f>IF($AS1202="","",Config!$B$10)</f>
        <v/>
      </c>
      <c r="H1202" t="str">
        <f>IF($AS1202="","",Config!$B$11)</f>
        <v/>
      </c>
      <c r="I1202" t="str">
        <f>IF($AS1202="","",Config!$B$16)</f>
        <v/>
      </c>
      <c r="J1202" t="str">
        <f>IF($AS1202="","",INDEX('TMP Paste'!$A$2:$A$1601,$AS1202))</f>
        <v/>
      </c>
      <c r="K1202" t="str">
        <f>IF($AS1202="","",INDEX('TMP Paste'!$L$2:$L$1601,$AS1202))</f>
        <v/>
      </c>
      <c r="L1202" t="str">
        <f>IF($AS1202="","",INDEX('TMP Paste'!$I$2:$I$1601,$AS1202))</f>
        <v/>
      </c>
      <c r="M1202" t="str">
        <f>IF($AS1202="","",Config!$B$16)</f>
        <v/>
      </c>
      <c r="N1202" t="str">
        <f t="shared" si="108"/>
        <v/>
      </c>
      <c r="O1202" t="str">
        <f>IF($AS1202="","",INDEX('TMP Paste'!$K$2:$K$1601,$AS1202))</f>
        <v/>
      </c>
      <c r="P1202" t="str">
        <f t="shared" si="109"/>
        <v/>
      </c>
      <c r="Q1202" t="str">
        <f>IF($AS1202="","",INDEX('TMP Paste'!$J$2:$J$1601,$AS1202))</f>
        <v/>
      </c>
      <c r="R1202" t="str">
        <f>IF($AS1202="","",Config!$B$24)</f>
        <v/>
      </c>
      <c r="S1202" t="str">
        <f ca="1">IF($AS1202="","",TEXT(Config!$B$4,"yyyy-mm-dd"))</f>
        <v/>
      </c>
      <c r="T1202" t="str">
        <f>IF($AS1202="","",Config!$B$17)</f>
        <v/>
      </c>
      <c r="U1202" t="str">
        <f>IF($AS1202="","",Config!$B$18)</f>
        <v/>
      </c>
      <c r="V1202" t="str">
        <f>IF($AS1202="","",Config!$B$19)</f>
        <v/>
      </c>
      <c r="W1202" t="str">
        <f>IF($AS1202="","",INDEX('TMP Paste'!$C$2:$C$1601,$AS1202))</f>
        <v/>
      </c>
      <c r="X1202" t="str">
        <f>IF($AS1202="","",Config!$B$29)</f>
        <v/>
      </c>
      <c r="Y1202" t="str">
        <f>IF($AT1202="","",INDEX(Calc!$I$2:$I$1601,$AT1202)&amp;" - "&amp;INDEX(Calc!$D$2:$D$1601,$AT1202)&amp;" koli")</f>
        <v/>
      </c>
      <c r="Z1202" t="str">
        <f>IF($AS1202="","",Config!$B$21)</f>
        <v/>
      </c>
      <c r="AA1202" t="str">
        <f>IF($AS1202="","",Config!$B$22)</f>
        <v/>
      </c>
      <c r="AB1202" t="str">
        <f>IF($AT1202="","",INDEX(Calc!$D$2:$D$1601,$AT1202))</f>
        <v/>
      </c>
      <c r="AC1202" t="str">
        <f>IF($AT1202="","",INDEX(Calc!$G$2:$G$1601,$AT1202))</f>
        <v/>
      </c>
      <c r="AD1202" t="str">
        <f>IF($AS1202="","",Config!$B$23)</f>
        <v/>
      </c>
      <c r="AE1202" t="str">
        <f>IF($AS1202="","",Config!$B$28)</f>
        <v/>
      </c>
      <c r="AF1202" t="str">
        <f t="shared" si="110"/>
        <v/>
      </c>
      <c r="AG1202" t="str">
        <f t="shared" si="111"/>
        <v/>
      </c>
      <c r="AH1202" t="str">
        <f t="shared" si="112"/>
        <v/>
      </c>
      <c r="AI1202" t="str">
        <f>IF($AG1202="","",SUMIF($AG$2:$AG1202,$AG1202,$AH$2:$AH1202))</f>
        <v/>
      </c>
      <c r="AJ1202" t="str">
        <f>IF('TMP Paste'!$F1202="","",IF('TMP Paste'!$B1202="",$AJ1201,'TMP Paste'!$B1202))</f>
        <v/>
      </c>
      <c r="AK1202" t="str">
        <f>IF('TMP Paste'!$F1202="","",N('TMP Paste'!$G1202))</f>
        <v/>
      </c>
      <c r="AL1202" t="str">
        <f>IF('TMP Paste'!$F1202="","",IF('TMP Paste'!$M1202="",$AL1201,'TMP Paste'!$M1202))</f>
        <v/>
      </c>
      <c r="AM1202" t="str">
        <f>IF('TMP Paste'!$F1202="","",IF('TMP Paste'!$N1202="",$AM1201,'TMP Paste'!$N1202))</f>
        <v/>
      </c>
      <c r="AN1202" t="str">
        <f>IF('TMP Paste'!$F1202="","",IF('TMP Paste'!$O1202="",$AN1201,'TMP Paste'!$O1202))</f>
        <v/>
      </c>
      <c r="AO1202" t="str">
        <f>IF('TMP Paste'!$F1202="","",IF('TMP Paste'!$P1202="",$AO1201,'TMP Paste'!$P1202))</f>
        <v/>
      </c>
      <c r="AP1202" t="str">
        <f t="shared" si="113"/>
        <v/>
      </c>
      <c r="AQ1202" t="str">
        <f>IF($AS1202="","",TRIM(IF(COUNTIFS(Calc!$B$2:$B$1601,ROW()-1,Calc!$C$2:$C$1601,"&lt;1")&gt;0,"Ada PO tanpa Koli - cek TMP. ","")&amp;IF(OR($AU1202="",$AU1202&lt;=0),"Volume kosong/0 - dimensi dikosongkan. ","")&amp;IF(AND($AU1202&lt;&gt;"",$AU1202&gt;=1000000),"Volume &gt;= 1.000.000 cm3 (di luar aturan) - dimensi dikosongkan. ","")&amp;IF(LEN($R1202)&gt;500,"R &gt; 500 karakter.","")))</f>
        <v/>
      </c>
      <c r="AS1202" t="str">
        <f>IFERROR(MATCH(ROW()-1,Calc!$J$2:$J$1601,0),"")</f>
        <v/>
      </c>
      <c r="AT1202" t="str">
        <f>IFERROR(MATCH(ROW()-1,Calc!$K$2:$K$1601,0),"")</f>
        <v/>
      </c>
      <c r="AU1202" t="str">
        <f>IF($AS1202="","",IFERROR(INDEX('TMP Paste'!$D$2:$D$1601,$AS1202)*1000000/$AB1202,""))</f>
        <v/>
      </c>
    </row>
    <row r="1203" spans="1:47">
      <c r="A1203" t="str">
        <f>IF($AS1203="","",INDEX('TMP Paste'!$B$2:$B$1601,$AS1203))</f>
        <v/>
      </c>
      <c r="B1203" t="str">
        <f>IF($AS1203="","",Config!$B$14)</f>
        <v/>
      </c>
      <c r="C1203" t="str">
        <f>IF($AS1203="","",Config!$B$15)</f>
        <v/>
      </c>
      <c r="D1203" t="str">
        <f>IF($AS1203="","",INDEX('TMP Paste'!$B$2:$B$1601,$AS1203))</f>
        <v/>
      </c>
      <c r="E1203" t="str">
        <f>IF($AS1203="","",Config!$B$27)</f>
        <v/>
      </c>
      <c r="F1203" t="str">
        <f>IF($AS1203="","",Config!$B$9)</f>
        <v/>
      </c>
      <c r="G1203" t="str">
        <f>IF($AS1203="","",Config!$B$10)</f>
        <v/>
      </c>
      <c r="H1203" t="str">
        <f>IF($AS1203="","",Config!$B$11)</f>
        <v/>
      </c>
      <c r="I1203" t="str">
        <f>IF($AS1203="","",Config!$B$16)</f>
        <v/>
      </c>
      <c r="J1203" t="str">
        <f>IF($AS1203="","",INDEX('TMP Paste'!$A$2:$A$1601,$AS1203))</f>
        <v/>
      </c>
      <c r="K1203" t="str">
        <f>IF($AS1203="","",INDEX('TMP Paste'!$L$2:$L$1601,$AS1203))</f>
        <v/>
      </c>
      <c r="L1203" t="str">
        <f>IF($AS1203="","",INDEX('TMP Paste'!$I$2:$I$1601,$AS1203))</f>
        <v/>
      </c>
      <c r="M1203" t="str">
        <f>IF($AS1203="","",Config!$B$16)</f>
        <v/>
      </c>
      <c r="N1203" t="str">
        <f t="shared" si="108"/>
        <v/>
      </c>
      <c r="O1203" t="str">
        <f>IF($AS1203="","",INDEX('TMP Paste'!$K$2:$K$1601,$AS1203))</f>
        <v/>
      </c>
      <c r="P1203" t="str">
        <f t="shared" si="109"/>
        <v/>
      </c>
      <c r="Q1203" t="str">
        <f>IF($AS1203="","",INDEX('TMP Paste'!$J$2:$J$1601,$AS1203))</f>
        <v/>
      </c>
      <c r="R1203" t="str">
        <f>IF($AS1203="","",Config!$B$24)</f>
        <v/>
      </c>
      <c r="S1203" t="str">
        <f ca="1">IF($AS1203="","",TEXT(Config!$B$4,"yyyy-mm-dd"))</f>
        <v/>
      </c>
      <c r="T1203" t="str">
        <f>IF($AS1203="","",Config!$B$17)</f>
        <v/>
      </c>
      <c r="U1203" t="str">
        <f>IF($AS1203="","",Config!$B$18)</f>
        <v/>
      </c>
      <c r="V1203" t="str">
        <f>IF($AS1203="","",Config!$B$19)</f>
        <v/>
      </c>
      <c r="W1203" t="str">
        <f>IF($AS1203="","",INDEX('TMP Paste'!$C$2:$C$1601,$AS1203))</f>
        <v/>
      </c>
      <c r="X1203" t="str">
        <f>IF($AS1203="","",Config!$B$29)</f>
        <v/>
      </c>
      <c r="Y1203" t="str">
        <f>IF($AT1203="","",INDEX(Calc!$I$2:$I$1601,$AT1203)&amp;" - "&amp;INDEX(Calc!$D$2:$D$1601,$AT1203)&amp;" koli")</f>
        <v/>
      </c>
      <c r="Z1203" t="str">
        <f>IF($AS1203="","",Config!$B$21)</f>
        <v/>
      </c>
      <c r="AA1203" t="str">
        <f>IF($AS1203="","",Config!$B$22)</f>
        <v/>
      </c>
      <c r="AB1203" t="str">
        <f>IF($AT1203="","",INDEX(Calc!$D$2:$D$1601,$AT1203))</f>
        <v/>
      </c>
      <c r="AC1203" t="str">
        <f>IF($AT1203="","",INDEX(Calc!$G$2:$G$1601,$AT1203))</f>
        <v/>
      </c>
      <c r="AD1203" t="str">
        <f>IF($AS1203="","",Config!$B$23)</f>
        <v/>
      </c>
      <c r="AE1203" t="str">
        <f>IF($AS1203="","",Config!$B$28)</f>
        <v/>
      </c>
      <c r="AF1203" t="str">
        <f t="shared" si="110"/>
        <v/>
      </c>
      <c r="AG1203" t="str">
        <f t="shared" si="111"/>
        <v/>
      </c>
      <c r="AH1203" t="str">
        <f t="shared" si="112"/>
        <v/>
      </c>
      <c r="AI1203" t="str">
        <f>IF($AG1203="","",SUMIF($AG$2:$AG1203,$AG1203,$AH$2:$AH1203))</f>
        <v/>
      </c>
      <c r="AJ1203" t="str">
        <f>IF('TMP Paste'!$F1203="","",IF('TMP Paste'!$B1203="",$AJ1202,'TMP Paste'!$B1203))</f>
        <v/>
      </c>
      <c r="AK1203" t="str">
        <f>IF('TMP Paste'!$F1203="","",N('TMP Paste'!$G1203))</f>
        <v/>
      </c>
      <c r="AL1203" t="str">
        <f>IF('TMP Paste'!$F1203="","",IF('TMP Paste'!$M1203="",$AL1202,'TMP Paste'!$M1203))</f>
        <v/>
      </c>
      <c r="AM1203" t="str">
        <f>IF('TMP Paste'!$F1203="","",IF('TMP Paste'!$N1203="",$AM1202,'TMP Paste'!$N1203))</f>
        <v/>
      </c>
      <c r="AN1203" t="str">
        <f>IF('TMP Paste'!$F1203="","",IF('TMP Paste'!$O1203="",$AN1202,'TMP Paste'!$O1203))</f>
        <v/>
      </c>
      <c r="AO1203" t="str">
        <f>IF('TMP Paste'!$F1203="","",IF('TMP Paste'!$P1203="",$AO1202,'TMP Paste'!$P1203))</f>
        <v/>
      </c>
      <c r="AP1203" t="str">
        <f t="shared" si="113"/>
        <v/>
      </c>
      <c r="AQ1203" t="str">
        <f>IF($AS1203="","",TRIM(IF(COUNTIFS(Calc!$B$2:$B$1601,ROW()-1,Calc!$C$2:$C$1601,"&lt;1")&gt;0,"Ada PO tanpa Koli - cek TMP. ","")&amp;IF(OR($AU1203="",$AU1203&lt;=0),"Volume kosong/0 - dimensi dikosongkan. ","")&amp;IF(AND($AU1203&lt;&gt;"",$AU1203&gt;=1000000),"Volume &gt;= 1.000.000 cm3 (di luar aturan) - dimensi dikosongkan. ","")&amp;IF(LEN($R1203)&gt;500,"R &gt; 500 karakter.","")))</f>
        <v/>
      </c>
      <c r="AS1203" t="str">
        <f>IFERROR(MATCH(ROW()-1,Calc!$J$2:$J$1601,0),"")</f>
        <v/>
      </c>
      <c r="AT1203" t="str">
        <f>IFERROR(MATCH(ROW()-1,Calc!$K$2:$K$1601,0),"")</f>
        <v/>
      </c>
      <c r="AU1203" t="str">
        <f>IF($AS1203="","",IFERROR(INDEX('TMP Paste'!$D$2:$D$1601,$AS1203)*1000000/$AB1203,""))</f>
        <v/>
      </c>
    </row>
    <row r="1204" spans="1:47">
      <c r="A1204" t="str">
        <f>IF($AS1204="","",INDEX('TMP Paste'!$B$2:$B$1601,$AS1204))</f>
        <v/>
      </c>
      <c r="B1204" t="str">
        <f>IF($AS1204="","",Config!$B$14)</f>
        <v/>
      </c>
      <c r="C1204" t="str">
        <f>IF($AS1204="","",Config!$B$15)</f>
        <v/>
      </c>
      <c r="D1204" t="str">
        <f>IF($AS1204="","",INDEX('TMP Paste'!$B$2:$B$1601,$AS1204))</f>
        <v/>
      </c>
      <c r="E1204" t="str">
        <f>IF($AS1204="","",Config!$B$27)</f>
        <v/>
      </c>
      <c r="F1204" t="str">
        <f>IF($AS1204="","",Config!$B$9)</f>
        <v/>
      </c>
      <c r="G1204" t="str">
        <f>IF($AS1204="","",Config!$B$10)</f>
        <v/>
      </c>
      <c r="H1204" t="str">
        <f>IF($AS1204="","",Config!$B$11)</f>
        <v/>
      </c>
      <c r="I1204" t="str">
        <f>IF($AS1204="","",Config!$B$16)</f>
        <v/>
      </c>
      <c r="J1204" t="str">
        <f>IF($AS1204="","",INDEX('TMP Paste'!$A$2:$A$1601,$AS1204))</f>
        <v/>
      </c>
      <c r="K1204" t="str">
        <f>IF($AS1204="","",INDEX('TMP Paste'!$L$2:$L$1601,$AS1204))</f>
        <v/>
      </c>
      <c r="L1204" t="str">
        <f>IF($AS1204="","",INDEX('TMP Paste'!$I$2:$I$1601,$AS1204))</f>
        <v/>
      </c>
      <c r="M1204" t="str">
        <f>IF($AS1204="","",Config!$B$16)</f>
        <v/>
      </c>
      <c r="N1204" t="str">
        <f t="shared" si="108"/>
        <v/>
      </c>
      <c r="O1204" t="str">
        <f>IF($AS1204="","",INDEX('TMP Paste'!$K$2:$K$1601,$AS1204))</f>
        <v/>
      </c>
      <c r="P1204" t="str">
        <f t="shared" si="109"/>
        <v/>
      </c>
      <c r="Q1204" t="str">
        <f>IF($AS1204="","",INDEX('TMP Paste'!$J$2:$J$1601,$AS1204))</f>
        <v/>
      </c>
      <c r="R1204" t="str">
        <f>IF($AS1204="","",Config!$B$24)</f>
        <v/>
      </c>
      <c r="S1204" t="str">
        <f ca="1">IF($AS1204="","",TEXT(Config!$B$4,"yyyy-mm-dd"))</f>
        <v/>
      </c>
      <c r="T1204" t="str">
        <f>IF($AS1204="","",Config!$B$17)</f>
        <v/>
      </c>
      <c r="U1204" t="str">
        <f>IF($AS1204="","",Config!$B$18)</f>
        <v/>
      </c>
      <c r="V1204" t="str">
        <f>IF($AS1204="","",Config!$B$19)</f>
        <v/>
      </c>
      <c r="W1204" t="str">
        <f>IF($AS1204="","",INDEX('TMP Paste'!$C$2:$C$1601,$AS1204))</f>
        <v/>
      </c>
      <c r="X1204" t="str">
        <f>IF($AS1204="","",Config!$B$29)</f>
        <v/>
      </c>
      <c r="Y1204" t="str">
        <f>IF($AT1204="","",INDEX(Calc!$I$2:$I$1601,$AT1204)&amp;" - "&amp;INDEX(Calc!$D$2:$D$1601,$AT1204)&amp;" koli")</f>
        <v/>
      </c>
      <c r="Z1204" t="str">
        <f>IF($AS1204="","",Config!$B$21)</f>
        <v/>
      </c>
      <c r="AA1204" t="str">
        <f>IF($AS1204="","",Config!$B$22)</f>
        <v/>
      </c>
      <c r="AB1204" t="str">
        <f>IF($AT1204="","",INDEX(Calc!$D$2:$D$1601,$AT1204))</f>
        <v/>
      </c>
      <c r="AC1204" t="str">
        <f>IF($AT1204="","",INDEX(Calc!$G$2:$G$1601,$AT1204))</f>
        <v/>
      </c>
      <c r="AD1204" t="str">
        <f>IF($AS1204="","",Config!$B$23)</f>
        <v/>
      </c>
      <c r="AE1204" t="str">
        <f>IF($AS1204="","",Config!$B$28)</f>
        <v/>
      </c>
      <c r="AF1204" t="str">
        <f t="shared" si="110"/>
        <v/>
      </c>
      <c r="AG1204" t="str">
        <f t="shared" si="111"/>
        <v/>
      </c>
      <c r="AH1204" t="str">
        <f t="shared" si="112"/>
        <v/>
      </c>
      <c r="AI1204" t="str">
        <f>IF($AG1204="","",SUMIF($AG$2:$AG1204,$AG1204,$AH$2:$AH1204))</f>
        <v/>
      </c>
      <c r="AJ1204" t="str">
        <f>IF('TMP Paste'!$F1204="","",IF('TMP Paste'!$B1204="",$AJ1203,'TMP Paste'!$B1204))</f>
        <v/>
      </c>
      <c r="AK1204" t="str">
        <f>IF('TMP Paste'!$F1204="","",N('TMP Paste'!$G1204))</f>
        <v/>
      </c>
      <c r="AL1204" t="str">
        <f>IF('TMP Paste'!$F1204="","",IF('TMP Paste'!$M1204="",$AL1203,'TMP Paste'!$M1204))</f>
        <v/>
      </c>
      <c r="AM1204" t="str">
        <f>IF('TMP Paste'!$F1204="","",IF('TMP Paste'!$N1204="",$AM1203,'TMP Paste'!$N1204))</f>
        <v/>
      </c>
      <c r="AN1204" t="str">
        <f>IF('TMP Paste'!$F1204="","",IF('TMP Paste'!$O1204="",$AN1203,'TMP Paste'!$O1204))</f>
        <v/>
      </c>
      <c r="AO1204" t="str">
        <f>IF('TMP Paste'!$F1204="","",IF('TMP Paste'!$P1204="",$AO1203,'TMP Paste'!$P1204))</f>
        <v/>
      </c>
      <c r="AP1204" t="str">
        <f t="shared" si="113"/>
        <v/>
      </c>
      <c r="AQ1204" t="str">
        <f>IF($AS1204="","",TRIM(IF(COUNTIFS(Calc!$B$2:$B$1601,ROW()-1,Calc!$C$2:$C$1601,"&lt;1")&gt;0,"Ada PO tanpa Koli - cek TMP. ","")&amp;IF(OR($AU1204="",$AU1204&lt;=0),"Volume kosong/0 - dimensi dikosongkan. ","")&amp;IF(AND($AU1204&lt;&gt;"",$AU1204&gt;=1000000),"Volume &gt;= 1.000.000 cm3 (di luar aturan) - dimensi dikosongkan. ","")&amp;IF(LEN($R1204)&gt;500,"R &gt; 500 karakter.","")))</f>
        <v/>
      </c>
      <c r="AS1204" t="str">
        <f>IFERROR(MATCH(ROW()-1,Calc!$J$2:$J$1601,0),"")</f>
        <v/>
      </c>
      <c r="AT1204" t="str">
        <f>IFERROR(MATCH(ROW()-1,Calc!$K$2:$K$1601,0),"")</f>
        <v/>
      </c>
      <c r="AU1204" t="str">
        <f>IF($AS1204="","",IFERROR(INDEX('TMP Paste'!$D$2:$D$1601,$AS1204)*1000000/$AB1204,""))</f>
        <v/>
      </c>
    </row>
    <row r="1205" spans="1:47">
      <c r="A1205" t="str">
        <f>IF($AS1205="","",INDEX('TMP Paste'!$B$2:$B$1601,$AS1205))</f>
        <v/>
      </c>
      <c r="B1205" t="str">
        <f>IF($AS1205="","",Config!$B$14)</f>
        <v/>
      </c>
      <c r="C1205" t="str">
        <f>IF($AS1205="","",Config!$B$15)</f>
        <v/>
      </c>
      <c r="D1205" t="str">
        <f>IF($AS1205="","",INDEX('TMP Paste'!$B$2:$B$1601,$AS1205))</f>
        <v/>
      </c>
      <c r="E1205" t="str">
        <f>IF($AS1205="","",Config!$B$27)</f>
        <v/>
      </c>
      <c r="F1205" t="str">
        <f>IF($AS1205="","",Config!$B$9)</f>
        <v/>
      </c>
      <c r="G1205" t="str">
        <f>IF($AS1205="","",Config!$B$10)</f>
        <v/>
      </c>
      <c r="H1205" t="str">
        <f>IF($AS1205="","",Config!$B$11)</f>
        <v/>
      </c>
      <c r="I1205" t="str">
        <f>IF($AS1205="","",Config!$B$16)</f>
        <v/>
      </c>
      <c r="J1205" t="str">
        <f>IF($AS1205="","",INDEX('TMP Paste'!$A$2:$A$1601,$AS1205))</f>
        <v/>
      </c>
      <c r="K1205" t="str">
        <f>IF($AS1205="","",INDEX('TMP Paste'!$L$2:$L$1601,$AS1205))</f>
        <v/>
      </c>
      <c r="L1205" t="str">
        <f>IF($AS1205="","",INDEX('TMP Paste'!$I$2:$I$1601,$AS1205))</f>
        <v/>
      </c>
      <c r="M1205" t="str">
        <f>IF($AS1205="","",Config!$B$16)</f>
        <v/>
      </c>
      <c r="N1205" t="str">
        <f t="shared" si="108"/>
        <v/>
      </c>
      <c r="O1205" t="str">
        <f>IF($AS1205="","",INDEX('TMP Paste'!$K$2:$K$1601,$AS1205))</f>
        <v/>
      </c>
      <c r="P1205" t="str">
        <f t="shared" si="109"/>
        <v/>
      </c>
      <c r="Q1205" t="str">
        <f>IF($AS1205="","",INDEX('TMP Paste'!$J$2:$J$1601,$AS1205))</f>
        <v/>
      </c>
      <c r="R1205" t="str">
        <f>IF($AS1205="","",Config!$B$24)</f>
        <v/>
      </c>
      <c r="S1205" t="str">
        <f ca="1">IF($AS1205="","",TEXT(Config!$B$4,"yyyy-mm-dd"))</f>
        <v/>
      </c>
      <c r="T1205" t="str">
        <f>IF($AS1205="","",Config!$B$17)</f>
        <v/>
      </c>
      <c r="U1205" t="str">
        <f>IF($AS1205="","",Config!$B$18)</f>
        <v/>
      </c>
      <c r="V1205" t="str">
        <f>IF($AS1205="","",Config!$B$19)</f>
        <v/>
      </c>
      <c r="W1205" t="str">
        <f>IF($AS1205="","",INDEX('TMP Paste'!$C$2:$C$1601,$AS1205))</f>
        <v/>
      </c>
      <c r="X1205" t="str">
        <f>IF($AS1205="","",Config!$B$29)</f>
        <v/>
      </c>
      <c r="Y1205" t="str">
        <f>IF($AT1205="","",INDEX(Calc!$I$2:$I$1601,$AT1205)&amp;" - "&amp;INDEX(Calc!$D$2:$D$1601,$AT1205)&amp;" koli")</f>
        <v/>
      </c>
      <c r="Z1205" t="str">
        <f>IF($AS1205="","",Config!$B$21)</f>
        <v/>
      </c>
      <c r="AA1205" t="str">
        <f>IF($AS1205="","",Config!$B$22)</f>
        <v/>
      </c>
      <c r="AB1205" t="str">
        <f>IF($AT1205="","",INDEX(Calc!$D$2:$D$1601,$AT1205))</f>
        <v/>
      </c>
      <c r="AC1205" t="str">
        <f>IF($AT1205="","",INDEX(Calc!$G$2:$G$1601,$AT1205))</f>
        <v/>
      </c>
      <c r="AD1205" t="str">
        <f>IF($AS1205="","",Config!$B$23)</f>
        <v/>
      </c>
      <c r="AE1205" t="str">
        <f>IF($AS1205="","",Config!$B$28)</f>
        <v/>
      </c>
      <c r="AF1205" t="str">
        <f t="shared" si="110"/>
        <v/>
      </c>
      <c r="AG1205" t="str">
        <f t="shared" si="111"/>
        <v/>
      </c>
      <c r="AH1205" t="str">
        <f t="shared" si="112"/>
        <v/>
      </c>
      <c r="AI1205" t="str">
        <f>IF($AG1205="","",SUMIF($AG$2:$AG1205,$AG1205,$AH$2:$AH1205))</f>
        <v/>
      </c>
      <c r="AJ1205" t="str">
        <f>IF('TMP Paste'!$F1205="","",IF('TMP Paste'!$B1205="",$AJ1204,'TMP Paste'!$B1205))</f>
        <v/>
      </c>
      <c r="AK1205" t="str">
        <f>IF('TMP Paste'!$F1205="","",N('TMP Paste'!$G1205))</f>
        <v/>
      </c>
      <c r="AL1205" t="str">
        <f>IF('TMP Paste'!$F1205="","",IF('TMP Paste'!$M1205="",$AL1204,'TMP Paste'!$M1205))</f>
        <v/>
      </c>
      <c r="AM1205" t="str">
        <f>IF('TMP Paste'!$F1205="","",IF('TMP Paste'!$N1205="",$AM1204,'TMP Paste'!$N1205))</f>
        <v/>
      </c>
      <c r="AN1205" t="str">
        <f>IF('TMP Paste'!$F1205="","",IF('TMP Paste'!$O1205="",$AN1204,'TMP Paste'!$O1205))</f>
        <v/>
      </c>
      <c r="AO1205" t="str">
        <f>IF('TMP Paste'!$F1205="","",IF('TMP Paste'!$P1205="",$AO1204,'TMP Paste'!$P1205))</f>
        <v/>
      </c>
      <c r="AP1205" t="str">
        <f t="shared" si="113"/>
        <v/>
      </c>
      <c r="AQ1205" t="str">
        <f>IF($AS1205="","",TRIM(IF(COUNTIFS(Calc!$B$2:$B$1601,ROW()-1,Calc!$C$2:$C$1601,"&lt;1")&gt;0,"Ada PO tanpa Koli - cek TMP. ","")&amp;IF(OR($AU1205="",$AU1205&lt;=0),"Volume kosong/0 - dimensi dikosongkan. ","")&amp;IF(AND($AU1205&lt;&gt;"",$AU1205&gt;=1000000),"Volume &gt;= 1.000.000 cm3 (di luar aturan) - dimensi dikosongkan. ","")&amp;IF(LEN($R1205)&gt;500,"R &gt; 500 karakter.","")))</f>
        <v/>
      </c>
      <c r="AS1205" t="str">
        <f>IFERROR(MATCH(ROW()-1,Calc!$J$2:$J$1601,0),"")</f>
        <v/>
      </c>
      <c r="AT1205" t="str">
        <f>IFERROR(MATCH(ROW()-1,Calc!$K$2:$K$1601,0),"")</f>
        <v/>
      </c>
      <c r="AU1205" t="str">
        <f>IF($AS1205="","",IFERROR(INDEX('TMP Paste'!$D$2:$D$1601,$AS1205)*1000000/$AB1205,""))</f>
        <v/>
      </c>
    </row>
    <row r="1206" spans="1:47">
      <c r="A1206" t="str">
        <f>IF($AS1206="","",INDEX('TMP Paste'!$B$2:$B$1601,$AS1206))</f>
        <v/>
      </c>
      <c r="B1206" t="str">
        <f>IF($AS1206="","",Config!$B$14)</f>
        <v/>
      </c>
      <c r="C1206" t="str">
        <f>IF($AS1206="","",Config!$B$15)</f>
        <v/>
      </c>
      <c r="D1206" t="str">
        <f>IF($AS1206="","",INDEX('TMP Paste'!$B$2:$B$1601,$AS1206))</f>
        <v/>
      </c>
      <c r="E1206" t="str">
        <f>IF($AS1206="","",Config!$B$27)</f>
        <v/>
      </c>
      <c r="F1206" t="str">
        <f>IF($AS1206="","",Config!$B$9)</f>
        <v/>
      </c>
      <c r="G1206" t="str">
        <f>IF($AS1206="","",Config!$B$10)</f>
        <v/>
      </c>
      <c r="H1206" t="str">
        <f>IF($AS1206="","",Config!$B$11)</f>
        <v/>
      </c>
      <c r="I1206" t="str">
        <f>IF($AS1206="","",Config!$B$16)</f>
        <v/>
      </c>
      <c r="J1206" t="str">
        <f>IF($AS1206="","",INDEX('TMP Paste'!$A$2:$A$1601,$AS1206))</f>
        <v/>
      </c>
      <c r="K1206" t="str">
        <f>IF($AS1206="","",INDEX('TMP Paste'!$L$2:$L$1601,$AS1206))</f>
        <v/>
      </c>
      <c r="L1206" t="str">
        <f>IF($AS1206="","",INDEX('TMP Paste'!$I$2:$I$1601,$AS1206))</f>
        <v/>
      </c>
      <c r="M1206" t="str">
        <f>IF($AS1206="","",Config!$B$16)</f>
        <v/>
      </c>
      <c r="N1206" t="str">
        <f t="shared" si="108"/>
        <v/>
      </c>
      <c r="O1206" t="str">
        <f>IF($AS1206="","",INDEX('TMP Paste'!$K$2:$K$1601,$AS1206))</f>
        <v/>
      </c>
      <c r="P1206" t="str">
        <f t="shared" si="109"/>
        <v/>
      </c>
      <c r="Q1206" t="str">
        <f>IF($AS1206="","",INDEX('TMP Paste'!$J$2:$J$1601,$AS1206))</f>
        <v/>
      </c>
      <c r="R1206" t="str">
        <f>IF($AS1206="","",Config!$B$24)</f>
        <v/>
      </c>
      <c r="S1206" t="str">
        <f ca="1">IF($AS1206="","",TEXT(Config!$B$4,"yyyy-mm-dd"))</f>
        <v/>
      </c>
      <c r="T1206" t="str">
        <f>IF($AS1206="","",Config!$B$17)</f>
        <v/>
      </c>
      <c r="U1206" t="str">
        <f>IF($AS1206="","",Config!$B$18)</f>
        <v/>
      </c>
      <c r="V1206" t="str">
        <f>IF($AS1206="","",Config!$B$19)</f>
        <v/>
      </c>
      <c r="W1206" t="str">
        <f>IF($AS1206="","",INDEX('TMP Paste'!$C$2:$C$1601,$AS1206))</f>
        <v/>
      </c>
      <c r="X1206" t="str">
        <f>IF($AS1206="","",Config!$B$29)</f>
        <v/>
      </c>
      <c r="Y1206" t="str">
        <f>IF($AT1206="","",INDEX(Calc!$I$2:$I$1601,$AT1206)&amp;" - "&amp;INDEX(Calc!$D$2:$D$1601,$AT1206)&amp;" koli")</f>
        <v/>
      </c>
      <c r="Z1206" t="str">
        <f>IF($AS1206="","",Config!$B$21)</f>
        <v/>
      </c>
      <c r="AA1206" t="str">
        <f>IF($AS1206="","",Config!$B$22)</f>
        <v/>
      </c>
      <c r="AB1206" t="str">
        <f>IF($AT1206="","",INDEX(Calc!$D$2:$D$1601,$AT1206))</f>
        <v/>
      </c>
      <c r="AC1206" t="str">
        <f>IF($AT1206="","",INDEX(Calc!$G$2:$G$1601,$AT1206))</f>
        <v/>
      </c>
      <c r="AD1206" t="str">
        <f>IF($AS1206="","",Config!$B$23)</f>
        <v/>
      </c>
      <c r="AE1206" t="str">
        <f>IF($AS1206="","",Config!$B$28)</f>
        <v/>
      </c>
      <c r="AF1206" t="str">
        <f t="shared" si="110"/>
        <v/>
      </c>
      <c r="AG1206" t="str">
        <f t="shared" si="111"/>
        <v/>
      </c>
      <c r="AH1206" t="str">
        <f t="shared" si="112"/>
        <v/>
      </c>
      <c r="AI1206" t="str">
        <f>IF($AG1206="","",SUMIF($AG$2:$AG1206,$AG1206,$AH$2:$AH1206))</f>
        <v/>
      </c>
      <c r="AJ1206" t="str">
        <f>IF('TMP Paste'!$F1206="","",IF('TMP Paste'!$B1206="",$AJ1205,'TMP Paste'!$B1206))</f>
        <v/>
      </c>
      <c r="AK1206" t="str">
        <f>IF('TMP Paste'!$F1206="","",N('TMP Paste'!$G1206))</f>
        <v/>
      </c>
      <c r="AL1206" t="str">
        <f>IF('TMP Paste'!$F1206="","",IF('TMP Paste'!$M1206="",$AL1205,'TMP Paste'!$M1206))</f>
        <v/>
      </c>
      <c r="AM1206" t="str">
        <f>IF('TMP Paste'!$F1206="","",IF('TMP Paste'!$N1206="",$AM1205,'TMP Paste'!$N1206))</f>
        <v/>
      </c>
      <c r="AN1206" t="str">
        <f>IF('TMP Paste'!$F1206="","",IF('TMP Paste'!$O1206="",$AN1205,'TMP Paste'!$O1206))</f>
        <v/>
      </c>
      <c r="AO1206" t="str">
        <f>IF('TMP Paste'!$F1206="","",IF('TMP Paste'!$P1206="",$AO1205,'TMP Paste'!$P1206))</f>
        <v/>
      </c>
      <c r="AP1206" t="str">
        <f t="shared" si="113"/>
        <v/>
      </c>
      <c r="AQ1206" t="str">
        <f>IF($AS1206="","",TRIM(IF(COUNTIFS(Calc!$B$2:$B$1601,ROW()-1,Calc!$C$2:$C$1601,"&lt;1")&gt;0,"Ada PO tanpa Koli - cek TMP. ","")&amp;IF(OR($AU1206="",$AU1206&lt;=0),"Volume kosong/0 - dimensi dikosongkan. ","")&amp;IF(AND($AU1206&lt;&gt;"",$AU1206&gt;=1000000),"Volume &gt;= 1.000.000 cm3 (di luar aturan) - dimensi dikosongkan. ","")&amp;IF(LEN($R1206)&gt;500,"R &gt; 500 karakter.","")))</f>
        <v/>
      </c>
      <c r="AS1206" t="str">
        <f>IFERROR(MATCH(ROW()-1,Calc!$J$2:$J$1601,0),"")</f>
        <v/>
      </c>
      <c r="AT1206" t="str">
        <f>IFERROR(MATCH(ROW()-1,Calc!$K$2:$K$1601,0),"")</f>
        <v/>
      </c>
      <c r="AU1206" t="str">
        <f>IF($AS1206="","",IFERROR(INDEX('TMP Paste'!$D$2:$D$1601,$AS1206)*1000000/$AB1206,""))</f>
        <v/>
      </c>
    </row>
    <row r="1207" spans="1:47">
      <c r="A1207" t="str">
        <f>IF($AS1207="","",INDEX('TMP Paste'!$B$2:$B$1601,$AS1207))</f>
        <v/>
      </c>
      <c r="B1207" t="str">
        <f>IF($AS1207="","",Config!$B$14)</f>
        <v/>
      </c>
      <c r="C1207" t="str">
        <f>IF($AS1207="","",Config!$B$15)</f>
        <v/>
      </c>
      <c r="D1207" t="str">
        <f>IF($AS1207="","",INDEX('TMP Paste'!$B$2:$B$1601,$AS1207))</f>
        <v/>
      </c>
      <c r="E1207" t="str">
        <f>IF($AS1207="","",Config!$B$27)</f>
        <v/>
      </c>
      <c r="F1207" t="str">
        <f>IF($AS1207="","",Config!$B$9)</f>
        <v/>
      </c>
      <c r="G1207" t="str">
        <f>IF($AS1207="","",Config!$B$10)</f>
        <v/>
      </c>
      <c r="H1207" t="str">
        <f>IF($AS1207="","",Config!$B$11)</f>
        <v/>
      </c>
      <c r="I1207" t="str">
        <f>IF($AS1207="","",Config!$B$16)</f>
        <v/>
      </c>
      <c r="J1207" t="str">
        <f>IF($AS1207="","",INDEX('TMP Paste'!$A$2:$A$1601,$AS1207))</f>
        <v/>
      </c>
      <c r="K1207" t="str">
        <f>IF($AS1207="","",INDEX('TMP Paste'!$L$2:$L$1601,$AS1207))</f>
        <v/>
      </c>
      <c r="L1207" t="str">
        <f>IF($AS1207="","",INDEX('TMP Paste'!$I$2:$I$1601,$AS1207))</f>
        <v/>
      </c>
      <c r="M1207" t="str">
        <f>IF($AS1207="","",Config!$B$16)</f>
        <v/>
      </c>
      <c r="N1207" t="str">
        <f t="shared" si="108"/>
        <v/>
      </c>
      <c r="O1207" t="str">
        <f>IF($AS1207="","",INDEX('TMP Paste'!$K$2:$K$1601,$AS1207))</f>
        <v/>
      </c>
      <c r="P1207" t="str">
        <f t="shared" si="109"/>
        <v/>
      </c>
      <c r="Q1207" t="str">
        <f>IF($AS1207="","",INDEX('TMP Paste'!$J$2:$J$1601,$AS1207))</f>
        <v/>
      </c>
      <c r="R1207" t="str">
        <f>IF($AS1207="","",Config!$B$24)</f>
        <v/>
      </c>
      <c r="S1207" t="str">
        <f ca="1">IF($AS1207="","",TEXT(Config!$B$4,"yyyy-mm-dd"))</f>
        <v/>
      </c>
      <c r="T1207" t="str">
        <f>IF($AS1207="","",Config!$B$17)</f>
        <v/>
      </c>
      <c r="U1207" t="str">
        <f>IF($AS1207="","",Config!$B$18)</f>
        <v/>
      </c>
      <c r="V1207" t="str">
        <f>IF($AS1207="","",Config!$B$19)</f>
        <v/>
      </c>
      <c r="W1207" t="str">
        <f>IF($AS1207="","",INDEX('TMP Paste'!$C$2:$C$1601,$AS1207))</f>
        <v/>
      </c>
      <c r="X1207" t="str">
        <f>IF($AS1207="","",Config!$B$29)</f>
        <v/>
      </c>
      <c r="Y1207" t="str">
        <f>IF($AT1207="","",INDEX(Calc!$I$2:$I$1601,$AT1207)&amp;" - "&amp;INDEX(Calc!$D$2:$D$1601,$AT1207)&amp;" koli")</f>
        <v/>
      </c>
      <c r="Z1207" t="str">
        <f>IF($AS1207="","",Config!$B$21)</f>
        <v/>
      </c>
      <c r="AA1207" t="str">
        <f>IF($AS1207="","",Config!$B$22)</f>
        <v/>
      </c>
      <c r="AB1207" t="str">
        <f>IF($AT1207="","",INDEX(Calc!$D$2:$D$1601,$AT1207))</f>
        <v/>
      </c>
      <c r="AC1207" t="str">
        <f>IF($AT1207="","",INDEX(Calc!$G$2:$G$1601,$AT1207))</f>
        <v/>
      </c>
      <c r="AD1207" t="str">
        <f>IF($AS1207="","",Config!$B$23)</f>
        <v/>
      </c>
      <c r="AE1207" t="str">
        <f>IF($AS1207="","",Config!$B$28)</f>
        <v/>
      </c>
      <c r="AF1207" t="str">
        <f t="shared" si="110"/>
        <v/>
      </c>
      <c r="AG1207" t="str">
        <f t="shared" si="111"/>
        <v/>
      </c>
      <c r="AH1207" t="str">
        <f t="shared" si="112"/>
        <v/>
      </c>
      <c r="AI1207" t="str">
        <f>IF($AG1207="","",SUMIF($AG$2:$AG1207,$AG1207,$AH$2:$AH1207))</f>
        <v/>
      </c>
      <c r="AJ1207" t="str">
        <f>IF('TMP Paste'!$F1207="","",IF('TMP Paste'!$B1207="",$AJ1206,'TMP Paste'!$B1207))</f>
        <v/>
      </c>
      <c r="AK1207" t="str">
        <f>IF('TMP Paste'!$F1207="","",N('TMP Paste'!$G1207))</f>
        <v/>
      </c>
      <c r="AL1207" t="str">
        <f>IF('TMP Paste'!$F1207="","",IF('TMP Paste'!$M1207="",$AL1206,'TMP Paste'!$M1207))</f>
        <v/>
      </c>
      <c r="AM1207" t="str">
        <f>IF('TMP Paste'!$F1207="","",IF('TMP Paste'!$N1207="",$AM1206,'TMP Paste'!$N1207))</f>
        <v/>
      </c>
      <c r="AN1207" t="str">
        <f>IF('TMP Paste'!$F1207="","",IF('TMP Paste'!$O1207="",$AN1206,'TMP Paste'!$O1207))</f>
        <v/>
      </c>
      <c r="AO1207" t="str">
        <f>IF('TMP Paste'!$F1207="","",IF('TMP Paste'!$P1207="",$AO1206,'TMP Paste'!$P1207))</f>
        <v/>
      </c>
      <c r="AP1207" t="str">
        <f t="shared" si="113"/>
        <v/>
      </c>
      <c r="AQ1207" t="str">
        <f>IF($AS1207="","",TRIM(IF(COUNTIFS(Calc!$B$2:$B$1601,ROW()-1,Calc!$C$2:$C$1601,"&lt;1")&gt;0,"Ada PO tanpa Koli - cek TMP. ","")&amp;IF(OR($AU1207="",$AU1207&lt;=0),"Volume kosong/0 - dimensi dikosongkan. ","")&amp;IF(AND($AU1207&lt;&gt;"",$AU1207&gt;=1000000),"Volume &gt;= 1.000.000 cm3 (di luar aturan) - dimensi dikosongkan. ","")&amp;IF(LEN($R1207)&gt;500,"R &gt; 500 karakter.","")))</f>
        <v/>
      </c>
      <c r="AS1207" t="str">
        <f>IFERROR(MATCH(ROW()-1,Calc!$J$2:$J$1601,0),"")</f>
        <v/>
      </c>
      <c r="AT1207" t="str">
        <f>IFERROR(MATCH(ROW()-1,Calc!$K$2:$K$1601,0),"")</f>
        <v/>
      </c>
      <c r="AU1207" t="str">
        <f>IF($AS1207="","",IFERROR(INDEX('TMP Paste'!$D$2:$D$1601,$AS1207)*1000000/$AB1207,""))</f>
        <v/>
      </c>
    </row>
    <row r="1208" spans="1:47">
      <c r="A1208" t="str">
        <f>IF($AS1208="","",INDEX('TMP Paste'!$B$2:$B$1601,$AS1208))</f>
        <v/>
      </c>
      <c r="B1208" t="str">
        <f>IF($AS1208="","",Config!$B$14)</f>
        <v/>
      </c>
      <c r="C1208" t="str">
        <f>IF($AS1208="","",Config!$B$15)</f>
        <v/>
      </c>
      <c r="D1208" t="str">
        <f>IF($AS1208="","",INDEX('TMP Paste'!$B$2:$B$1601,$AS1208))</f>
        <v/>
      </c>
      <c r="E1208" t="str">
        <f>IF($AS1208="","",Config!$B$27)</f>
        <v/>
      </c>
      <c r="F1208" t="str">
        <f>IF($AS1208="","",Config!$B$9)</f>
        <v/>
      </c>
      <c r="G1208" t="str">
        <f>IF($AS1208="","",Config!$B$10)</f>
        <v/>
      </c>
      <c r="H1208" t="str">
        <f>IF($AS1208="","",Config!$B$11)</f>
        <v/>
      </c>
      <c r="I1208" t="str">
        <f>IF($AS1208="","",Config!$B$16)</f>
        <v/>
      </c>
      <c r="J1208" t="str">
        <f>IF($AS1208="","",INDEX('TMP Paste'!$A$2:$A$1601,$AS1208))</f>
        <v/>
      </c>
      <c r="K1208" t="str">
        <f>IF($AS1208="","",INDEX('TMP Paste'!$L$2:$L$1601,$AS1208))</f>
        <v/>
      </c>
      <c r="L1208" t="str">
        <f>IF($AS1208="","",INDEX('TMP Paste'!$I$2:$I$1601,$AS1208))</f>
        <v/>
      </c>
      <c r="M1208" t="str">
        <f>IF($AS1208="","",Config!$B$16)</f>
        <v/>
      </c>
      <c r="N1208" t="str">
        <f t="shared" si="108"/>
        <v/>
      </c>
      <c r="O1208" t="str">
        <f>IF($AS1208="","",INDEX('TMP Paste'!$K$2:$K$1601,$AS1208))</f>
        <v/>
      </c>
      <c r="P1208" t="str">
        <f t="shared" si="109"/>
        <v/>
      </c>
      <c r="Q1208" t="str">
        <f>IF($AS1208="","",INDEX('TMP Paste'!$J$2:$J$1601,$AS1208))</f>
        <v/>
      </c>
      <c r="R1208" t="str">
        <f>IF($AS1208="","",Config!$B$24)</f>
        <v/>
      </c>
      <c r="S1208" t="str">
        <f ca="1">IF($AS1208="","",TEXT(Config!$B$4,"yyyy-mm-dd"))</f>
        <v/>
      </c>
      <c r="T1208" t="str">
        <f>IF($AS1208="","",Config!$B$17)</f>
        <v/>
      </c>
      <c r="U1208" t="str">
        <f>IF($AS1208="","",Config!$B$18)</f>
        <v/>
      </c>
      <c r="V1208" t="str">
        <f>IF($AS1208="","",Config!$B$19)</f>
        <v/>
      </c>
      <c r="W1208" t="str">
        <f>IF($AS1208="","",INDEX('TMP Paste'!$C$2:$C$1601,$AS1208))</f>
        <v/>
      </c>
      <c r="X1208" t="str">
        <f>IF($AS1208="","",Config!$B$29)</f>
        <v/>
      </c>
      <c r="Y1208" t="str">
        <f>IF($AT1208="","",INDEX(Calc!$I$2:$I$1601,$AT1208)&amp;" - "&amp;INDEX(Calc!$D$2:$D$1601,$AT1208)&amp;" koli")</f>
        <v/>
      </c>
      <c r="Z1208" t="str">
        <f>IF($AS1208="","",Config!$B$21)</f>
        <v/>
      </c>
      <c r="AA1208" t="str">
        <f>IF($AS1208="","",Config!$B$22)</f>
        <v/>
      </c>
      <c r="AB1208" t="str">
        <f>IF($AT1208="","",INDEX(Calc!$D$2:$D$1601,$AT1208))</f>
        <v/>
      </c>
      <c r="AC1208" t="str">
        <f>IF($AT1208="","",INDEX(Calc!$G$2:$G$1601,$AT1208))</f>
        <v/>
      </c>
      <c r="AD1208" t="str">
        <f>IF($AS1208="","",Config!$B$23)</f>
        <v/>
      </c>
      <c r="AE1208" t="str">
        <f>IF($AS1208="","",Config!$B$28)</f>
        <v/>
      </c>
      <c r="AF1208" t="str">
        <f t="shared" si="110"/>
        <v/>
      </c>
      <c r="AG1208" t="str">
        <f t="shared" si="111"/>
        <v/>
      </c>
      <c r="AH1208" t="str">
        <f t="shared" si="112"/>
        <v/>
      </c>
      <c r="AI1208" t="str">
        <f>IF($AG1208="","",SUMIF($AG$2:$AG1208,$AG1208,$AH$2:$AH1208))</f>
        <v/>
      </c>
      <c r="AJ1208" t="str">
        <f>IF('TMP Paste'!$F1208="","",IF('TMP Paste'!$B1208="",$AJ1207,'TMP Paste'!$B1208))</f>
        <v/>
      </c>
      <c r="AK1208" t="str">
        <f>IF('TMP Paste'!$F1208="","",N('TMP Paste'!$G1208))</f>
        <v/>
      </c>
      <c r="AL1208" t="str">
        <f>IF('TMP Paste'!$F1208="","",IF('TMP Paste'!$M1208="",$AL1207,'TMP Paste'!$M1208))</f>
        <v/>
      </c>
      <c r="AM1208" t="str">
        <f>IF('TMP Paste'!$F1208="","",IF('TMP Paste'!$N1208="",$AM1207,'TMP Paste'!$N1208))</f>
        <v/>
      </c>
      <c r="AN1208" t="str">
        <f>IF('TMP Paste'!$F1208="","",IF('TMP Paste'!$O1208="",$AN1207,'TMP Paste'!$O1208))</f>
        <v/>
      </c>
      <c r="AO1208" t="str">
        <f>IF('TMP Paste'!$F1208="","",IF('TMP Paste'!$P1208="",$AO1207,'TMP Paste'!$P1208))</f>
        <v/>
      </c>
      <c r="AP1208" t="str">
        <f t="shared" si="113"/>
        <v/>
      </c>
      <c r="AQ1208" t="str">
        <f>IF($AS1208="","",TRIM(IF(COUNTIFS(Calc!$B$2:$B$1601,ROW()-1,Calc!$C$2:$C$1601,"&lt;1")&gt;0,"Ada PO tanpa Koli - cek TMP. ","")&amp;IF(OR($AU1208="",$AU1208&lt;=0),"Volume kosong/0 - dimensi dikosongkan. ","")&amp;IF(AND($AU1208&lt;&gt;"",$AU1208&gt;=1000000),"Volume &gt;= 1.000.000 cm3 (di luar aturan) - dimensi dikosongkan. ","")&amp;IF(LEN($R1208)&gt;500,"R &gt; 500 karakter.","")))</f>
        <v/>
      </c>
      <c r="AS1208" t="str">
        <f>IFERROR(MATCH(ROW()-1,Calc!$J$2:$J$1601,0),"")</f>
        <v/>
      </c>
      <c r="AT1208" t="str">
        <f>IFERROR(MATCH(ROW()-1,Calc!$K$2:$K$1601,0),"")</f>
        <v/>
      </c>
      <c r="AU1208" t="str">
        <f>IF($AS1208="","",IFERROR(INDEX('TMP Paste'!$D$2:$D$1601,$AS1208)*1000000/$AB1208,""))</f>
        <v/>
      </c>
    </row>
    <row r="1209" spans="1:47">
      <c r="A1209" t="str">
        <f>IF($AS1209="","",INDEX('TMP Paste'!$B$2:$B$1601,$AS1209))</f>
        <v/>
      </c>
      <c r="B1209" t="str">
        <f>IF($AS1209="","",Config!$B$14)</f>
        <v/>
      </c>
      <c r="C1209" t="str">
        <f>IF($AS1209="","",Config!$B$15)</f>
        <v/>
      </c>
      <c r="D1209" t="str">
        <f>IF($AS1209="","",INDEX('TMP Paste'!$B$2:$B$1601,$AS1209))</f>
        <v/>
      </c>
      <c r="E1209" t="str">
        <f>IF($AS1209="","",Config!$B$27)</f>
        <v/>
      </c>
      <c r="F1209" t="str">
        <f>IF($AS1209="","",Config!$B$9)</f>
        <v/>
      </c>
      <c r="G1209" t="str">
        <f>IF($AS1209="","",Config!$B$10)</f>
        <v/>
      </c>
      <c r="H1209" t="str">
        <f>IF($AS1209="","",Config!$B$11)</f>
        <v/>
      </c>
      <c r="I1209" t="str">
        <f>IF($AS1209="","",Config!$B$16)</f>
        <v/>
      </c>
      <c r="J1209" t="str">
        <f>IF($AS1209="","",INDEX('TMP Paste'!$A$2:$A$1601,$AS1209))</f>
        <v/>
      </c>
      <c r="K1209" t="str">
        <f>IF($AS1209="","",INDEX('TMP Paste'!$L$2:$L$1601,$AS1209))</f>
        <v/>
      </c>
      <c r="L1209" t="str">
        <f>IF($AS1209="","",INDEX('TMP Paste'!$I$2:$I$1601,$AS1209))</f>
        <v/>
      </c>
      <c r="M1209" t="str">
        <f>IF($AS1209="","",Config!$B$16)</f>
        <v/>
      </c>
      <c r="N1209" t="str">
        <f t="shared" si="108"/>
        <v/>
      </c>
      <c r="O1209" t="str">
        <f>IF($AS1209="","",INDEX('TMP Paste'!$K$2:$K$1601,$AS1209))</f>
        <v/>
      </c>
      <c r="P1209" t="str">
        <f t="shared" si="109"/>
        <v/>
      </c>
      <c r="Q1209" t="str">
        <f>IF($AS1209="","",INDEX('TMP Paste'!$J$2:$J$1601,$AS1209))</f>
        <v/>
      </c>
      <c r="R1209" t="str">
        <f>IF($AS1209="","",Config!$B$24)</f>
        <v/>
      </c>
      <c r="S1209" t="str">
        <f ca="1">IF($AS1209="","",TEXT(Config!$B$4,"yyyy-mm-dd"))</f>
        <v/>
      </c>
      <c r="T1209" t="str">
        <f>IF($AS1209="","",Config!$B$17)</f>
        <v/>
      </c>
      <c r="U1209" t="str">
        <f>IF($AS1209="","",Config!$B$18)</f>
        <v/>
      </c>
      <c r="V1209" t="str">
        <f>IF($AS1209="","",Config!$B$19)</f>
        <v/>
      </c>
      <c r="W1209" t="str">
        <f>IF($AS1209="","",INDEX('TMP Paste'!$C$2:$C$1601,$AS1209))</f>
        <v/>
      </c>
      <c r="X1209" t="str">
        <f>IF($AS1209="","",Config!$B$29)</f>
        <v/>
      </c>
      <c r="Y1209" t="str">
        <f>IF($AT1209="","",INDEX(Calc!$I$2:$I$1601,$AT1209)&amp;" - "&amp;INDEX(Calc!$D$2:$D$1601,$AT1209)&amp;" koli")</f>
        <v/>
      </c>
      <c r="Z1209" t="str">
        <f>IF($AS1209="","",Config!$B$21)</f>
        <v/>
      </c>
      <c r="AA1209" t="str">
        <f>IF($AS1209="","",Config!$B$22)</f>
        <v/>
      </c>
      <c r="AB1209" t="str">
        <f>IF($AT1209="","",INDEX(Calc!$D$2:$D$1601,$AT1209))</f>
        <v/>
      </c>
      <c r="AC1209" t="str">
        <f>IF($AT1209="","",INDEX(Calc!$G$2:$G$1601,$AT1209))</f>
        <v/>
      </c>
      <c r="AD1209" t="str">
        <f>IF($AS1209="","",Config!$B$23)</f>
        <v/>
      </c>
      <c r="AE1209" t="str">
        <f>IF($AS1209="","",Config!$B$28)</f>
        <v/>
      </c>
      <c r="AF1209" t="str">
        <f t="shared" si="110"/>
        <v/>
      </c>
      <c r="AG1209" t="str">
        <f t="shared" si="111"/>
        <v/>
      </c>
      <c r="AH1209" t="str">
        <f t="shared" si="112"/>
        <v/>
      </c>
      <c r="AI1209" t="str">
        <f>IF($AG1209="","",SUMIF($AG$2:$AG1209,$AG1209,$AH$2:$AH1209))</f>
        <v/>
      </c>
      <c r="AJ1209" t="str">
        <f>IF('TMP Paste'!$F1209="","",IF('TMP Paste'!$B1209="",$AJ1208,'TMP Paste'!$B1209))</f>
        <v/>
      </c>
      <c r="AK1209" t="str">
        <f>IF('TMP Paste'!$F1209="","",N('TMP Paste'!$G1209))</f>
        <v/>
      </c>
      <c r="AL1209" t="str">
        <f>IF('TMP Paste'!$F1209="","",IF('TMP Paste'!$M1209="",$AL1208,'TMP Paste'!$M1209))</f>
        <v/>
      </c>
      <c r="AM1209" t="str">
        <f>IF('TMP Paste'!$F1209="","",IF('TMP Paste'!$N1209="",$AM1208,'TMP Paste'!$N1209))</f>
        <v/>
      </c>
      <c r="AN1209" t="str">
        <f>IF('TMP Paste'!$F1209="","",IF('TMP Paste'!$O1209="",$AN1208,'TMP Paste'!$O1209))</f>
        <v/>
      </c>
      <c r="AO1209" t="str">
        <f>IF('TMP Paste'!$F1209="","",IF('TMP Paste'!$P1209="",$AO1208,'TMP Paste'!$P1209))</f>
        <v/>
      </c>
      <c r="AP1209" t="str">
        <f t="shared" si="113"/>
        <v/>
      </c>
      <c r="AQ1209" t="str">
        <f>IF($AS1209="","",TRIM(IF(COUNTIFS(Calc!$B$2:$B$1601,ROW()-1,Calc!$C$2:$C$1601,"&lt;1")&gt;0,"Ada PO tanpa Koli - cek TMP. ","")&amp;IF(OR($AU1209="",$AU1209&lt;=0),"Volume kosong/0 - dimensi dikosongkan. ","")&amp;IF(AND($AU1209&lt;&gt;"",$AU1209&gt;=1000000),"Volume &gt;= 1.000.000 cm3 (di luar aturan) - dimensi dikosongkan. ","")&amp;IF(LEN($R1209)&gt;500,"R &gt; 500 karakter.","")))</f>
        <v/>
      </c>
      <c r="AS1209" t="str">
        <f>IFERROR(MATCH(ROW()-1,Calc!$J$2:$J$1601,0),"")</f>
        <v/>
      </c>
      <c r="AT1209" t="str">
        <f>IFERROR(MATCH(ROW()-1,Calc!$K$2:$K$1601,0),"")</f>
        <v/>
      </c>
      <c r="AU1209" t="str">
        <f>IF($AS1209="","",IFERROR(INDEX('TMP Paste'!$D$2:$D$1601,$AS1209)*1000000/$AB1209,""))</f>
        <v/>
      </c>
    </row>
    <row r="1210" spans="1:47">
      <c r="A1210" t="str">
        <f>IF($AS1210="","",INDEX('TMP Paste'!$B$2:$B$1601,$AS1210))</f>
        <v/>
      </c>
      <c r="B1210" t="str">
        <f>IF($AS1210="","",Config!$B$14)</f>
        <v/>
      </c>
      <c r="C1210" t="str">
        <f>IF($AS1210="","",Config!$B$15)</f>
        <v/>
      </c>
      <c r="D1210" t="str">
        <f>IF($AS1210="","",INDEX('TMP Paste'!$B$2:$B$1601,$AS1210))</f>
        <v/>
      </c>
      <c r="E1210" t="str">
        <f>IF($AS1210="","",Config!$B$27)</f>
        <v/>
      </c>
      <c r="F1210" t="str">
        <f>IF($AS1210="","",Config!$B$9)</f>
        <v/>
      </c>
      <c r="G1210" t="str">
        <f>IF($AS1210="","",Config!$B$10)</f>
        <v/>
      </c>
      <c r="H1210" t="str">
        <f>IF($AS1210="","",Config!$B$11)</f>
        <v/>
      </c>
      <c r="I1210" t="str">
        <f>IF($AS1210="","",Config!$B$16)</f>
        <v/>
      </c>
      <c r="J1210" t="str">
        <f>IF($AS1210="","",INDEX('TMP Paste'!$A$2:$A$1601,$AS1210))</f>
        <v/>
      </c>
      <c r="K1210" t="str">
        <f>IF($AS1210="","",INDEX('TMP Paste'!$L$2:$L$1601,$AS1210))</f>
        <v/>
      </c>
      <c r="L1210" t="str">
        <f>IF($AS1210="","",INDEX('TMP Paste'!$I$2:$I$1601,$AS1210))</f>
        <v/>
      </c>
      <c r="M1210" t="str">
        <f>IF($AS1210="","",Config!$B$16)</f>
        <v/>
      </c>
      <c r="N1210" t="str">
        <f t="shared" si="108"/>
        <v/>
      </c>
      <c r="O1210" t="str">
        <f>IF($AS1210="","",INDEX('TMP Paste'!$K$2:$K$1601,$AS1210))</f>
        <v/>
      </c>
      <c r="P1210" t="str">
        <f t="shared" si="109"/>
        <v/>
      </c>
      <c r="Q1210" t="str">
        <f>IF($AS1210="","",INDEX('TMP Paste'!$J$2:$J$1601,$AS1210))</f>
        <v/>
      </c>
      <c r="R1210" t="str">
        <f>IF($AS1210="","",Config!$B$24)</f>
        <v/>
      </c>
      <c r="S1210" t="str">
        <f ca="1">IF($AS1210="","",TEXT(Config!$B$4,"yyyy-mm-dd"))</f>
        <v/>
      </c>
      <c r="T1210" t="str">
        <f>IF($AS1210="","",Config!$B$17)</f>
        <v/>
      </c>
      <c r="U1210" t="str">
        <f>IF($AS1210="","",Config!$B$18)</f>
        <v/>
      </c>
      <c r="V1210" t="str">
        <f>IF($AS1210="","",Config!$B$19)</f>
        <v/>
      </c>
      <c r="W1210" t="str">
        <f>IF($AS1210="","",INDEX('TMP Paste'!$C$2:$C$1601,$AS1210))</f>
        <v/>
      </c>
      <c r="X1210" t="str">
        <f>IF($AS1210="","",Config!$B$29)</f>
        <v/>
      </c>
      <c r="Y1210" t="str">
        <f>IF($AT1210="","",INDEX(Calc!$I$2:$I$1601,$AT1210)&amp;" - "&amp;INDEX(Calc!$D$2:$D$1601,$AT1210)&amp;" koli")</f>
        <v/>
      </c>
      <c r="Z1210" t="str">
        <f>IF($AS1210="","",Config!$B$21)</f>
        <v/>
      </c>
      <c r="AA1210" t="str">
        <f>IF($AS1210="","",Config!$B$22)</f>
        <v/>
      </c>
      <c r="AB1210" t="str">
        <f>IF($AT1210="","",INDEX(Calc!$D$2:$D$1601,$AT1210))</f>
        <v/>
      </c>
      <c r="AC1210" t="str">
        <f>IF($AT1210="","",INDEX(Calc!$G$2:$G$1601,$AT1210))</f>
        <v/>
      </c>
      <c r="AD1210" t="str">
        <f>IF($AS1210="","",Config!$B$23)</f>
        <v/>
      </c>
      <c r="AE1210" t="str">
        <f>IF($AS1210="","",Config!$B$28)</f>
        <v/>
      </c>
      <c r="AF1210" t="str">
        <f t="shared" si="110"/>
        <v/>
      </c>
      <c r="AG1210" t="str">
        <f t="shared" si="111"/>
        <v/>
      </c>
      <c r="AH1210" t="str">
        <f t="shared" si="112"/>
        <v/>
      </c>
      <c r="AI1210" t="str">
        <f>IF($AG1210="","",SUMIF($AG$2:$AG1210,$AG1210,$AH$2:$AH1210))</f>
        <v/>
      </c>
      <c r="AJ1210" t="str">
        <f>IF('TMP Paste'!$F1210="","",IF('TMP Paste'!$B1210="",$AJ1209,'TMP Paste'!$B1210))</f>
        <v/>
      </c>
      <c r="AK1210" t="str">
        <f>IF('TMP Paste'!$F1210="","",N('TMP Paste'!$G1210))</f>
        <v/>
      </c>
      <c r="AL1210" t="str">
        <f>IF('TMP Paste'!$F1210="","",IF('TMP Paste'!$M1210="",$AL1209,'TMP Paste'!$M1210))</f>
        <v/>
      </c>
      <c r="AM1210" t="str">
        <f>IF('TMP Paste'!$F1210="","",IF('TMP Paste'!$N1210="",$AM1209,'TMP Paste'!$N1210))</f>
        <v/>
      </c>
      <c r="AN1210" t="str">
        <f>IF('TMP Paste'!$F1210="","",IF('TMP Paste'!$O1210="",$AN1209,'TMP Paste'!$O1210))</f>
        <v/>
      </c>
      <c r="AO1210" t="str">
        <f>IF('TMP Paste'!$F1210="","",IF('TMP Paste'!$P1210="",$AO1209,'TMP Paste'!$P1210))</f>
        <v/>
      </c>
      <c r="AP1210" t="str">
        <f t="shared" si="113"/>
        <v/>
      </c>
      <c r="AQ1210" t="str">
        <f>IF($AS1210="","",TRIM(IF(COUNTIFS(Calc!$B$2:$B$1601,ROW()-1,Calc!$C$2:$C$1601,"&lt;1")&gt;0,"Ada PO tanpa Koli - cek TMP. ","")&amp;IF(OR($AU1210="",$AU1210&lt;=0),"Volume kosong/0 - dimensi dikosongkan. ","")&amp;IF(AND($AU1210&lt;&gt;"",$AU1210&gt;=1000000),"Volume &gt;= 1.000.000 cm3 (di luar aturan) - dimensi dikosongkan. ","")&amp;IF(LEN($R1210)&gt;500,"R &gt; 500 karakter.","")))</f>
        <v/>
      </c>
      <c r="AS1210" t="str">
        <f>IFERROR(MATCH(ROW()-1,Calc!$J$2:$J$1601,0),"")</f>
        <v/>
      </c>
      <c r="AT1210" t="str">
        <f>IFERROR(MATCH(ROW()-1,Calc!$K$2:$K$1601,0),"")</f>
        <v/>
      </c>
      <c r="AU1210" t="str">
        <f>IF($AS1210="","",IFERROR(INDEX('TMP Paste'!$D$2:$D$1601,$AS1210)*1000000/$AB1210,""))</f>
        <v/>
      </c>
    </row>
    <row r="1211" spans="1:47">
      <c r="A1211" t="str">
        <f>IF($AS1211="","",INDEX('TMP Paste'!$B$2:$B$1601,$AS1211))</f>
        <v/>
      </c>
      <c r="B1211" t="str">
        <f>IF($AS1211="","",Config!$B$14)</f>
        <v/>
      </c>
      <c r="C1211" t="str">
        <f>IF($AS1211="","",Config!$B$15)</f>
        <v/>
      </c>
      <c r="D1211" t="str">
        <f>IF($AS1211="","",INDEX('TMP Paste'!$B$2:$B$1601,$AS1211))</f>
        <v/>
      </c>
      <c r="E1211" t="str">
        <f>IF($AS1211="","",Config!$B$27)</f>
        <v/>
      </c>
      <c r="F1211" t="str">
        <f>IF($AS1211="","",Config!$B$9)</f>
        <v/>
      </c>
      <c r="G1211" t="str">
        <f>IF($AS1211="","",Config!$B$10)</f>
        <v/>
      </c>
      <c r="H1211" t="str">
        <f>IF($AS1211="","",Config!$B$11)</f>
        <v/>
      </c>
      <c r="I1211" t="str">
        <f>IF($AS1211="","",Config!$B$16)</f>
        <v/>
      </c>
      <c r="J1211" t="str">
        <f>IF($AS1211="","",INDEX('TMP Paste'!$A$2:$A$1601,$AS1211))</f>
        <v/>
      </c>
      <c r="K1211" t="str">
        <f>IF($AS1211="","",INDEX('TMP Paste'!$L$2:$L$1601,$AS1211))</f>
        <v/>
      </c>
      <c r="L1211" t="str">
        <f>IF($AS1211="","",INDEX('TMP Paste'!$I$2:$I$1601,$AS1211))</f>
        <v/>
      </c>
      <c r="M1211" t="str">
        <f>IF($AS1211="","",Config!$B$16)</f>
        <v/>
      </c>
      <c r="N1211" t="str">
        <f t="shared" si="108"/>
        <v/>
      </c>
      <c r="O1211" t="str">
        <f>IF($AS1211="","",INDEX('TMP Paste'!$K$2:$K$1601,$AS1211))</f>
        <v/>
      </c>
      <c r="P1211" t="str">
        <f t="shared" si="109"/>
        <v/>
      </c>
      <c r="Q1211" t="str">
        <f>IF($AS1211="","",INDEX('TMP Paste'!$J$2:$J$1601,$AS1211))</f>
        <v/>
      </c>
      <c r="R1211" t="str">
        <f>IF($AS1211="","",Config!$B$24)</f>
        <v/>
      </c>
      <c r="S1211" t="str">
        <f ca="1">IF($AS1211="","",TEXT(Config!$B$4,"yyyy-mm-dd"))</f>
        <v/>
      </c>
      <c r="T1211" t="str">
        <f>IF($AS1211="","",Config!$B$17)</f>
        <v/>
      </c>
      <c r="U1211" t="str">
        <f>IF($AS1211="","",Config!$B$18)</f>
        <v/>
      </c>
      <c r="V1211" t="str">
        <f>IF($AS1211="","",Config!$B$19)</f>
        <v/>
      </c>
      <c r="W1211" t="str">
        <f>IF($AS1211="","",INDEX('TMP Paste'!$C$2:$C$1601,$AS1211))</f>
        <v/>
      </c>
      <c r="X1211" t="str">
        <f>IF($AS1211="","",Config!$B$29)</f>
        <v/>
      </c>
      <c r="Y1211" t="str">
        <f>IF($AT1211="","",INDEX(Calc!$I$2:$I$1601,$AT1211)&amp;" - "&amp;INDEX(Calc!$D$2:$D$1601,$AT1211)&amp;" koli")</f>
        <v/>
      </c>
      <c r="Z1211" t="str">
        <f>IF($AS1211="","",Config!$B$21)</f>
        <v/>
      </c>
      <c r="AA1211" t="str">
        <f>IF($AS1211="","",Config!$B$22)</f>
        <v/>
      </c>
      <c r="AB1211" t="str">
        <f>IF($AT1211="","",INDEX(Calc!$D$2:$D$1601,$AT1211))</f>
        <v/>
      </c>
      <c r="AC1211" t="str">
        <f>IF($AT1211="","",INDEX(Calc!$G$2:$G$1601,$AT1211))</f>
        <v/>
      </c>
      <c r="AD1211" t="str">
        <f>IF($AS1211="","",Config!$B$23)</f>
        <v/>
      </c>
      <c r="AE1211" t="str">
        <f>IF($AS1211="","",Config!$B$28)</f>
        <v/>
      </c>
      <c r="AF1211" t="str">
        <f t="shared" si="110"/>
        <v/>
      </c>
      <c r="AG1211" t="str">
        <f t="shared" si="111"/>
        <v/>
      </c>
      <c r="AH1211" t="str">
        <f t="shared" si="112"/>
        <v/>
      </c>
      <c r="AI1211" t="str">
        <f>IF($AG1211="","",SUMIF($AG$2:$AG1211,$AG1211,$AH$2:$AH1211))</f>
        <v/>
      </c>
      <c r="AJ1211" t="str">
        <f>IF('TMP Paste'!$F1211="","",IF('TMP Paste'!$B1211="",$AJ1210,'TMP Paste'!$B1211))</f>
        <v/>
      </c>
      <c r="AK1211" t="str">
        <f>IF('TMP Paste'!$F1211="","",N('TMP Paste'!$G1211))</f>
        <v/>
      </c>
      <c r="AL1211" t="str">
        <f>IF('TMP Paste'!$F1211="","",IF('TMP Paste'!$M1211="",$AL1210,'TMP Paste'!$M1211))</f>
        <v/>
      </c>
      <c r="AM1211" t="str">
        <f>IF('TMP Paste'!$F1211="","",IF('TMP Paste'!$N1211="",$AM1210,'TMP Paste'!$N1211))</f>
        <v/>
      </c>
      <c r="AN1211" t="str">
        <f>IF('TMP Paste'!$F1211="","",IF('TMP Paste'!$O1211="",$AN1210,'TMP Paste'!$O1211))</f>
        <v/>
      </c>
      <c r="AO1211" t="str">
        <f>IF('TMP Paste'!$F1211="","",IF('TMP Paste'!$P1211="",$AO1210,'TMP Paste'!$P1211))</f>
        <v/>
      </c>
      <c r="AP1211" t="str">
        <f t="shared" si="113"/>
        <v/>
      </c>
      <c r="AQ1211" t="str">
        <f>IF($AS1211="","",TRIM(IF(COUNTIFS(Calc!$B$2:$B$1601,ROW()-1,Calc!$C$2:$C$1601,"&lt;1")&gt;0,"Ada PO tanpa Koli - cek TMP. ","")&amp;IF(OR($AU1211="",$AU1211&lt;=0),"Volume kosong/0 - dimensi dikosongkan. ","")&amp;IF(AND($AU1211&lt;&gt;"",$AU1211&gt;=1000000),"Volume &gt;= 1.000.000 cm3 (di luar aturan) - dimensi dikosongkan. ","")&amp;IF(LEN($R1211)&gt;500,"R &gt; 500 karakter.","")))</f>
        <v/>
      </c>
      <c r="AS1211" t="str">
        <f>IFERROR(MATCH(ROW()-1,Calc!$J$2:$J$1601,0),"")</f>
        <v/>
      </c>
      <c r="AT1211" t="str">
        <f>IFERROR(MATCH(ROW()-1,Calc!$K$2:$K$1601,0),"")</f>
        <v/>
      </c>
      <c r="AU1211" t="str">
        <f>IF($AS1211="","",IFERROR(INDEX('TMP Paste'!$D$2:$D$1601,$AS1211)*1000000/$AB1211,""))</f>
        <v/>
      </c>
    </row>
    <row r="1212" spans="1:47">
      <c r="A1212" t="str">
        <f>IF($AS1212="","",INDEX('TMP Paste'!$B$2:$B$1601,$AS1212))</f>
        <v/>
      </c>
      <c r="B1212" t="str">
        <f>IF($AS1212="","",Config!$B$14)</f>
        <v/>
      </c>
      <c r="C1212" t="str">
        <f>IF($AS1212="","",Config!$B$15)</f>
        <v/>
      </c>
      <c r="D1212" t="str">
        <f>IF($AS1212="","",INDEX('TMP Paste'!$B$2:$B$1601,$AS1212))</f>
        <v/>
      </c>
      <c r="E1212" t="str">
        <f>IF($AS1212="","",Config!$B$27)</f>
        <v/>
      </c>
      <c r="F1212" t="str">
        <f>IF($AS1212="","",Config!$B$9)</f>
        <v/>
      </c>
      <c r="G1212" t="str">
        <f>IF($AS1212="","",Config!$B$10)</f>
        <v/>
      </c>
      <c r="H1212" t="str">
        <f>IF($AS1212="","",Config!$B$11)</f>
        <v/>
      </c>
      <c r="I1212" t="str">
        <f>IF($AS1212="","",Config!$B$16)</f>
        <v/>
      </c>
      <c r="J1212" t="str">
        <f>IF($AS1212="","",INDEX('TMP Paste'!$A$2:$A$1601,$AS1212))</f>
        <v/>
      </c>
      <c r="K1212" t="str">
        <f>IF($AS1212="","",INDEX('TMP Paste'!$L$2:$L$1601,$AS1212))</f>
        <v/>
      </c>
      <c r="L1212" t="str">
        <f>IF($AS1212="","",INDEX('TMP Paste'!$I$2:$I$1601,$AS1212))</f>
        <v/>
      </c>
      <c r="M1212" t="str">
        <f>IF($AS1212="","",Config!$B$16)</f>
        <v/>
      </c>
      <c r="N1212" t="str">
        <f t="shared" si="108"/>
        <v/>
      </c>
      <c r="O1212" t="str">
        <f>IF($AS1212="","",INDEX('TMP Paste'!$K$2:$K$1601,$AS1212))</f>
        <v/>
      </c>
      <c r="P1212" t="str">
        <f t="shared" si="109"/>
        <v/>
      </c>
      <c r="Q1212" t="str">
        <f>IF($AS1212="","",INDEX('TMP Paste'!$J$2:$J$1601,$AS1212))</f>
        <v/>
      </c>
      <c r="R1212" t="str">
        <f>IF($AS1212="","",Config!$B$24)</f>
        <v/>
      </c>
      <c r="S1212" t="str">
        <f ca="1">IF($AS1212="","",TEXT(Config!$B$4,"yyyy-mm-dd"))</f>
        <v/>
      </c>
      <c r="T1212" t="str">
        <f>IF($AS1212="","",Config!$B$17)</f>
        <v/>
      </c>
      <c r="U1212" t="str">
        <f>IF($AS1212="","",Config!$B$18)</f>
        <v/>
      </c>
      <c r="V1212" t="str">
        <f>IF($AS1212="","",Config!$B$19)</f>
        <v/>
      </c>
      <c r="W1212" t="str">
        <f>IF($AS1212="","",INDEX('TMP Paste'!$C$2:$C$1601,$AS1212))</f>
        <v/>
      </c>
      <c r="X1212" t="str">
        <f>IF($AS1212="","",Config!$B$29)</f>
        <v/>
      </c>
      <c r="Y1212" t="str">
        <f>IF($AT1212="","",INDEX(Calc!$I$2:$I$1601,$AT1212)&amp;" - "&amp;INDEX(Calc!$D$2:$D$1601,$AT1212)&amp;" koli")</f>
        <v/>
      </c>
      <c r="Z1212" t="str">
        <f>IF($AS1212="","",Config!$B$21)</f>
        <v/>
      </c>
      <c r="AA1212" t="str">
        <f>IF($AS1212="","",Config!$B$22)</f>
        <v/>
      </c>
      <c r="AB1212" t="str">
        <f>IF($AT1212="","",INDEX(Calc!$D$2:$D$1601,$AT1212))</f>
        <v/>
      </c>
      <c r="AC1212" t="str">
        <f>IF($AT1212="","",INDEX(Calc!$G$2:$G$1601,$AT1212))</f>
        <v/>
      </c>
      <c r="AD1212" t="str">
        <f>IF($AS1212="","",Config!$B$23)</f>
        <v/>
      </c>
      <c r="AE1212" t="str">
        <f>IF($AS1212="","",Config!$B$28)</f>
        <v/>
      </c>
      <c r="AF1212" t="str">
        <f t="shared" si="110"/>
        <v/>
      </c>
      <c r="AG1212" t="str">
        <f t="shared" si="111"/>
        <v/>
      </c>
      <c r="AH1212" t="str">
        <f t="shared" si="112"/>
        <v/>
      </c>
      <c r="AI1212" t="str">
        <f>IF($AG1212="","",SUMIF($AG$2:$AG1212,$AG1212,$AH$2:$AH1212))</f>
        <v/>
      </c>
      <c r="AJ1212" t="str">
        <f>IF('TMP Paste'!$F1212="","",IF('TMP Paste'!$B1212="",$AJ1211,'TMP Paste'!$B1212))</f>
        <v/>
      </c>
      <c r="AK1212" t="str">
        <f>IF('TMP Paste'!$F1212="","",N('TMP Paste'!$G1212))</f>
        <v/>
      </c>
      <c r="AL1212" t="str">
        <f>IF('TMP Paste'!$F1212="","",IF('TMP Paste'!$M1212="",$AL1211,'TMP Paste'!$M1212))</f>
        <v/>
      </c>
      <c r="AM1212" t="str">
        <f>IF('TMP Paste'!$F1212="","",IF('TMP Paste'!$N1212="",$AM1211,'TMP Paste'!$N1212))</f>
        <v/>
      </c>
      <c r="AN1212" t="str">
        <f>IF('TMP Paste'!$F1212="","",IF('TMP Paste'!$O1212="",$AN1211,'TMP Paste'!$O1212))</f>
        <v/>
      </c>
      <c r="AO1212" t="str">
        <f>IF('TMP Paste'!$F1212="","",IF('TMP Paste'!$P1212="",$AO1211,'TMP Paste'!$P1212))</f>
        <v/>
      </c>
      <c r="AP1212" t="str">
        <f t="shared" si="113"/>
        <v/>
      </c>
      <c r="AQ1212" t="str">
        <f>IF($AS1212="","",TRIM(IF(COUNTIFS(Calc!$B$2:$B$1601,ROW()-1,Calc!$C$2:$C$1601,"&lt;1")&gt;0,"Ada PO tanpa Koli - cek TMP. ","")&amp;IF(OR($AU1212="",$AU1212&lt;=0),"Volume kosong/0 - dimensi dikosongkan. ","")&amp;IF(AND($AU1212&lt;&gt;"",$AU1212&gt;=1000000),"Volume &gt;= 1.000.000 cm3 (di luar aturan) - dimensi dikosongkan. ","")&amp;IF(LEN($R1212)&gt;500,"R &gt; 500 karakter.","")))</f>
        <v/>
      </c>
      <c r="AS1212" t="str">
        <f>IFERROR(MATCH(ROW()-1,Calc!$J$2:$J$1601,0),"")</f>
        <v/>
      </c>
      <c r="AT1212" t="str">
        <f>IFERROR(MATCH(ROW()-1,Calc!$K$2:$K$1601,0),"")</f>
        <v/>
      </c>
      <c r="AU1212" t="str">
        <f>IF($AS1212="","",IFERROR(INDEX('TMP Paste'!$D$2:$D$1601,$AS1212)*1000000/$AB1212,""))</f>
        <v/>
      </c>
    </row>
    <row r="1213" spans="1:47">
      <c r="A1213" t="str">
        <f>IF($AS1213="","",INDEX('TMP Paste'!$B$2:$B$1601,$AS1213))</f>
        <v/>
      </c>
      <c r="B1213" t="str">
        <f>IF($AS1213="","",Config!$B$14)</f>
        <v/>
      </c>
      <c r="C1213" t="str">
        <f>IF($AS1213="","",Config!$B$15)</f>
        <v/>
      </c>
      <c r="D1213" t="str">
        <f>IF($AS1213="","",INDEX('TMP Paste'!$B$2:$B$1601,$AS1213))</f>
        <v/>
      </c>
      <c r="E1213" t="str">
        <f>IF($AS1213="","",Config!$B$27)</f>
        <v/>
      </c>
      <c r="F1213" t="str">
        <f>IF($AS1213="","",Config!$B$9)</f>
        <v/>
      </c>
      <c r="G1213" t="str">
        <f>IF($AS1213="","",Config!$B$10)</f>
        <v/>
      </c>
      <c r="H1213" t="str">
        <f>IF($AS1213="","",Config!$B$11)</f>
        <v/>
      </c>
      <c r="I1213" t="str">
        <f>IF($AS1213="","",Config!$B$16)</f>
        <v/>
      </c>
      <c r="J1213" t="str">
        <f>IF($AS1213="","",INDEX('TMP Paste'!$A$2:$A$1601,$AS1213))</f>
        <v/>
      </c>
      <c r="K1213" t="str">
        <f>IF($AS1213="","",INDEX('TMP Paste'!$L$2:$L$1601,$AS1213))</f>
        <v/>
      </c>
      <c r="L1213" t="str">
        <f>IF($AS1213="","",INDEX('TMP Paste'!$I$2:$I$1601,$AS1213))</f>
        <v/>
      </c>
      <c r="M1213" t="str">
        <f>IF($AS1213="","",Config!$B$16)</f>
        <v/>
      </c>
      <c r="N1213" t="str">
        <f t="shared" si="108"/>
        <v/>
      </c>
      <c r="O1213" t="str">
        <f>IF($AS1213="","",INDEX('TMP Paste'!$K$2:$K$1601,$AS1213))</f>
        <v/>
      </c>
      <c r="P1213" t="str">
        <f t="shared" si="109"/>
        <v/>
      </c>
      <c r="Q1213" t="str">
        <f>IF($AS1213="","",INDEX('TMP Paste'!$J$2:$J$1601,$AS1213))</f>
        <v/>
      </c>
      <c r="R1213" t="str">
        <f>IF($AS1213="","",Config!$B$24)</f>
        <v/>
      </c>
      <c r="S1213" t="str">
        <f ca="1">IF($AS1213="","",TEXT(Config!$B$4,"yyyy-mm-dd"))</f>
        <v/>
      </c>
      <c r="T1213" t="str">
        <f>IF($AS1213="","",Config!$B$17)</f>
        <v/>
      </c>
      <c r="U1213" t="str">
        <f>IF($AS1213="","",Config!$B$18)</f>
        <v/>
      </c>
      <c r="V1213" t="str">
        <f>IF($AS1213="","",Config!$B$19)</f>
        <v/>
      </c>
      <c r="W1213" t="str">
        <f>IF($AS1213="","",INDEX('TMP Paste'!$C$2:$C$1601,$AS1213))</f>
        <v/>
      </c>
      <c r="X1213" t="str">
        <f>IF($AS1213="","",Config!$B$29)</f>
        <v/>
      </c>
      <c r="Y1213" t="str">
        <f>IF($AT1213="","",INDEX(Calc!$I$2:$I$1601,$AT1213)&amp;" - "&amp;INDEX(Calc!$D$2:$D$1601,$AT1213)&amp;" koli")</f>
        <v/>
      </c>
      <c r="Z1213" t="str">
        <f>IF($AS1213="","",Config!$B$21)</f>
        <v/>
      </c>
      <c r="AA1213" t="str">
        <f>IF($AS1213="","",Config!$B$22)</f>
        <v/>
      </c>
      <c r="AB1213" t="str">
        <f>IF($AT1213="","",INDEX(Calc!$D$2:$D$1601,$AT1213))</f>
        <v/>
      </c>
      <c r="AC1213" t="str">
        <f>IF($AT1213="","",INDEX(Calc!$G$2:$G$1601,$AT1213))</f>
        <v/>
      </c>
      <c r="AD1213" t="str">
        <f>IF($AS1213="","",Config!$B$23)</f>
        <v/>
      </c>
      <c r="AE1213" t="str">
        <f>IF($AS1213="","",Config!$B$28)</f>
        <v/>
      </c>
      <c r="AF1213" t="str">
        <f t="shared" si="110"/>
        <v/>
      </c>
      <c r="AG1213" t="str">
        <f t="shared" si="111"/>
        <v/>
      </c>
      <c r="AH1213" t="str">
        <f t="shared" si="112"/>
        <v/>
      </c>
      <c r="AI1213" t="str">
        <f>IF($AG1213="","",SUMIF($AG$2:$AG1213,$AG1213,$AH$2:$AH1213))</f>
        <v/>
      </c>
      <c r="AJ1213" t="str">
        <f>IF('TMP Paste'!$F1213="","",IF('TMP Paste'!$B1213="",$AJ1212,'TMP Paste'!$B1213))</f>
        <v/>
      </c>
      <c r="AK1213" t="str">
        <f>IF('TMP Paste'!$F1213="","",N('TMP Paste'!$G1213))</f>
        <v/>
      </c>
      <c r="AL1213" t="str">
        <f>IF('TMP Paste'!$F1213="","",IF('TMP Paste'!$M1213="",$AL1212,'TMP Paste'!$M1213))</f>
        <v/>
      </c>
      <c r="AM1213" t="str">
        <f>IF('TMP Paste'!$F1213="","",IF('TMP Paste'!$N1213="",$AM1212,'TMP Paste'!$N1213))</f>
        <v/>
      </c>
      <c r="AN1213" t="str">
        <f>IF('TMP Paste'!$F1213="","",IF('TMP Paste'!$O1213="",$AN1212,'TMP Paste'!$O1213))</f>
        <v/>
      </c>
      <c r="AO1213" t="str">
        <f>IF('TMP Paste'!$F1213="","",IF('TMP Paste'!$P1213="",$AO1212,'TMP Paste'!$P1213))</f>
        <v/>
      </c>
      <c r="AP1213" t="str">
        <f t="shared" si="113"/>
        <v/>
      </c>
      <c r="AQ1213" t="str">
        <f>IF($AS1213="","",TRIM(IF(COUNTIFS(Calc!$B$2:$B$1601,ROW()-1,Calc!$C$2:$C$1601,"&lt;1")&gt;0,"Ada PO tanpa Koli - cek TMP. ","")&amp;IF(OR($AU1213="",$AU1213&lt;=0),"Volume kosong/0 - dimensi dikosongkan. ","")&amp;IF(AND($AU1213&lt;&gt;"",$AU1213&gt;=1000000),"Volume &gt;= 1.000.000 cm3 (di luar aturan) - dimensi dikosongkan. ","")&amp;IF(LEN($R1213)&gt;500,"R &gt; 500 karakter.","")))</f>
        <v/>
      </c>
      <c r="AS1213" t="str">
        <f>IFERROR(MATCH(ROW()-1,Calc!$J$2:$J$1601,0),"")</f>
        <v/>
      </c>
      <c r="AT1213" t="str">
        <f>IFERROR(MATCH(ROW()-1,Calc!$K$2:$K$1601,0),"")</f>
        <v/>
      </c>
      <c r="AU1213" t="str">
        <f>IF($AS1213="","",IFERROR(INDEX('TMP Paste'!$D$2:$D$1601,$AS1213)*1000000/$AB1213,""))</f>
        <v/>
      </c>
    </row>
    <row r="1214" spans="1:47">
      <c r="A1214" t="str">
        <f>IF($AS1214="","",INDEX('TMP Paste'!$B$2:$B$1601,$AS1214))</f>
        <v/>
      </c>
      <c r="B1214" t="str">
        <f>IF($AS1214="","",Config!$B$14)</f>
        <v/>
      </c>
      <c r="C1214" t="str">
        <f>IF($AS1214="","",Config!$B$15)</f>
        <v/>
      </c>
      <c r="D1214" t="str">
        <f>IF($AS1214="","",INDEX('TMP Paste'!$B$2:$B$1601,$AS1214))</f>
        <v/>
      </c>
      <c r="E1214" t="str">
        <f>IF($AS1214="","",Config!$B$27)</f>
        <v/>
      </c>
      <c r="F1214" t="str">
        <f>IF($AS1214="","",Config!$B$9)</f>
        <v/>
      </c>
      <c r="G1214" t="str">
        <f>IF($AS1214="","",Config!$B$10)</f>
        <v/>
      </c>
      <c r="H1214" t="str">
        <f>IF($AS1214="","",Config!$B$11)</f>
        <v/>
      </c>
      <c r="I1214" t="str">
        <f>IF($AS1214="","",Config!$B$16)</f>
        <v/>
      </c>
      <c r="J1214" t="str">
        <f>IF($AS1214="","",INDEX('TMP Paste'!$A$2:$A$1601,$AS1214))</f>
        <v/>
      </c>
      <c r="K1214" t="str">
        <f>IF($AS1214="","",INDEX('TMP Paste'!$L$2:$L$1601,$AS1214))</f>
        <v/>
      </c>
      <c r="L1214" t="str">
        <f>IF($AS1214="","",INDEX('TMP Paste'!$I$2:$I$1601,$AS1214))</f>
        <v/>
      </c>
      <c r="M1214" t="str">
        <f>IF($AS1214="","",Config!$B$16)</f>
        <v/>
      </c>
      <c r="N1214" t="str">
        <f t="shared" si="108"/>
        <v/>
      </c>
      <c r="O1214" t="str">
        <f>IF($AS1214="","",INDEX('TMP Paste'!$K$2:$K$1601,$AS1214))</f>
        <v/>
      </c>
      <c r="P1214" t="str">
        <f t="shared" si="109"/>
        <v/>
      </c>
      <c r="Q1214" t="str">
        <f>IF($AS1214="","",INDEX('TMP Paste'!$J$2:$J$1601,$AS1214))</f>
        <v/>
      </c>
      <c r="R1214" t="str">
        <f>IF($AS1214="","",Config!$B$24)</f>
        <v/>
      </c>
      <c r="S1214" t="str">
        <f ca="1">IF($AS1214="","",TEXT(Config!$B$4,"yyyy-mm-dd"))</f>
        <v/>
      </c>
      <c r="T1214" t="str">
        <f>IF($AS1214="","",Config!$B$17)</f>
        <v/>
      </c>
      <c r="U1214" t="str">
        <f>IF($AS1214="","",Config!$B$18)</f>
        <v/>
      </c>
      <c r="V1214" t="str">
        <f>IF($AS1214="","",Config!$B$19)</f>
        <v/>
      </c>
      <c r="W1214" t="str">
        <f>IF($AS1214="","",INDEX('TMP Paste'!$C$2:$C$1601,$AS1214))</f>
        <v/>
      </c>
      <c r="X1214" t="str">
        <f>IF($AS1214="","",Config!$B$29)</f>
        <v/>
      </c>
      <c r="Y1214" t="str">
        <f>IF($AT1214="","",INDEX(Calc!$I$2:$I$1601,$AT1214)&amp;" - "&amp;INDEX(Calc!$D$2:$D$1601,$AT1214)&amp;" koli")</f>
        <v/>
      </c>
      <c r="Z1214" t="str">
        <f>IF($AS1214="","",Config!$B$21)</f>
        <v/>
      </c>
      <c r="AA1214" t="str">
        <f>IF($AS1214="","",Config!$B$22)</f>
        <v/>
      </c>
      <c r="AB1214" t="str">
        <f>IF($AT1214="","",INDEX(Calc!$D$2:$D$1601,$AT1214))</f>
        <v/>
      </c>
      <c r="AC1214" t="str">
        <f>IF($AT1214="","",INDEX(Calc!$G$2:$G$1601,$AT1214))</f>
        <v/>
      </c>
      <c r="AD1214" t="str">
        <f>IF($AS1214="","",Config!$B$23)</f>
        <v/>
      </c>
      <c r="AE1214" t="str">
        <f>IF($AS1214="","",Config!$B$28)</f>
        <v/>
      </c>
      <c r="AF1214" t="str">
        <f t="shared" si="110"/>
        <v/>
      </c>
      <c r="AG1214" t="str">
        <f t="shared" si="111"/>
        <v/>
      </c>
      <c r="AH1214" t="str">
        <f t="shared" si="112"/>
        <v/>
      </c>
      <c r="AI1214" t="str">
        <f>IF($AG1214="","",SUMIF($AG$2:$AG1214,$AG1214,$AH$2:$AH1214))</f>
        <v/>
      </c>
      <c r="AJ1214" t="str">
        <f>IF('TMP Paste'!$F1214="","",IF('TMP Paste'!$B1214="",$AJ1213,'TMP Paste'!$B1214))</f>
        <v/>
      </c>
      <c r="AK1214" t="str">
        <f>IF('TMP Paste'!$F1214="","",N('TMP Paste'!$G1214))</f>
        <v/>
      </c>
      <c r="AL1214" t="str">
        <f>IF('TMP Paste'!$F1214="","",IF('TMP Paste'!$M1214="",$AL1213,'TMP Paste'!$M1214))</f>
        <v/>
      </c>
      <c r="AM1214" t="str">
        <f>IF('TMP Paste'!$F1214="","",IF('TMP Paste'!$N1214="",$AM1213,'TMP Paste'!$N1214))</f>
        <v/>
      </c>
      <c r="AN1214" t="str">
        <f>IF('TMP Paste'!$F1214="","",IF('TMP Paste'!$O1214="",$AN1213,'TMP Paste'!$O1214))</f>
        <v/>
      </c>
      <c r="AO1214" t="str">
        <f>IF('TMP Paste'!$F1214="","",IF('TMP Paste'!$P1214="",$AO1213,'TMP Paste'!$P1214))</f>
        <v/>
      </c>
      <c r="AP1214" t="str">
        <f t="shared" si="113"/>
        <v/>
      </c>
      <c r="AQ1214" t="str">
        <f>IF($AS1214="","",TRIM(IF(COUNTIFS(Calc!$B$2:$B$1601,ROW()-1,Calc!$C$2:$C$1601,"&lt;1")&gt;0,"Ada PO tanpa Koli - cek TMP. ","")&amp;IF(OR($AU1214="",$AU1214&lt;=0),"Volume kosong/0 - dimensi dikosongkan. ","")&amp;IF(AND($AU1214&lt;&gt;"",$AU1214&gt;=1000000),"Volume &gt;= 1.000.000 cm3 (di luar aturan) - dimensi dikosongkan. ","")&amp;IF(LEN($R1214)&gt;500,"R &gt; 500 karakter.","")))</f>
        <v/>
      </c>
      <c r="AS1214" t="str">
        <f>IFERROR(MATCH(ROW()-1,Calc!$J$2:$J$1601,0),"")</f>
        <v/>
      </c>
      <c r="AT1214" t="str">
        <f>IFERROR(MATCH(ROW()-1,Calc!$K$2:$K$1601,0),"")</f>
        <v/>
      </c>
      <c r="AU1214" t="str">
        <f>IF($AS1214="","",IFERROR(INDEX('TMP Paste'!$D$2:$D$1601,$AS1214)*1000000/$AB1214,""))</f>
        <v/>
      </c>
    </row>
    <row r="1215" spans="1:47">
      <c r="A1215" t="str">
        <f>IF($AS1215="","",INDEX('TMP Paste'!$B$2:$B$1601,$AS1215))</f>
        <v/>
      </c>
      <c r="B1215" t="str">
        <f>IF($AS1215="","",Config!$B$14)</f>
        <v/>
      </c>
      <c r="C1215" t="str">
        <f>IF($AS1215="","",Config!$B$15)</f>
        <v/>
      </c>
      <c r="D1215" t="str">
        <f>IF($AS1215="","",INDEX('TMP Paste'!$B$2:$B$1601,$AS1215))</f>
        <v/>
      </c>
      <c r="E1215" t="str">
        <f>IF($AS1215="","",Config!$B$27)</f>
        <v/>
      </c>
      <c r="F1215" t="str">
        <f>IF($AS1215="","",Config!$B$9)</f>
        <v/>
      </c>
      <c r="G1215" t="str">
        <f>IF($AS1215="","",Config!$B$10)</f>
        <v/>
      </c>
      <c r="H1215" t="str">
        <f>IF($AS1215="","",Config!$B$11)</f>
        <v/>
      </c>
      <c r="I1215" t="str">
        <f>IF($AS1215="","",Config!$B$16)</f>
        <v/>
      </c>
      <c r="J1215" t="str">
        <f>IF($AS1215="","",INDEX('TMP Paste'!$A$2:$A$1601,$AS1215))</f>
        <v/>
      </c>
      <c r="K1215" t="str">
        <f>IF($AS1215="","",INDEX('TMP Paste'!$L$2:$L$1601,$AS1215))</f>
        <v/>
      </c>
      <c r="L1215" t="str">
        <f>IF($AS1215="","",INDEX('TMP Paste'!$I$2:$I$1601,$AS1215))</f>
        <v/>
      </c>
      <c r="M1215" t="str">
        <f>IF($AS1215="","",Config!$B$16)</f>
        <v/>
      </c>
      <c r="N1215" t="str">
        <f t="shared" si="108"/>
        <v/>
      </c>
      <c r="O1215" t="str">
        <f>IF($AS1215="","",INDEX('TMP Paste'!$K$2:$K$1601,$AS1215))</f>
        <v/>
      </c>
      <c r="P1215" t="str">
        <f t="shared" si="109"/>
        <v/>
      </c>
      <c r="Q1215" t="str">
        <f>IF($AS1215="","",INDEX('TMP Paste'!$J$2:$J$1601,$AS1215))</f>
        <v/>
      </c>
      <c r="R1215" t="str">
        <f>IF($AS1215="","",Config!$B$24)</f>
        <v/>
      </c>
      <c r="S1215" t="str">
        <f ca="1">IF($AS1215="","",TEXT(Config!$B$4,"yyyy-mm-dd"))</f>
        <v/>
      </c>
      <c r="T1215" t="str">
        <f>IF($AS1215="","",Config!$B$17)</f>
        <v/>
      </c>
      <c r="U1215" t="str">
        <f>IF($AS1215="","",Config!$B$18)</f>
        <v/>
      </c>
      <c r="V1215" t="str">
        <f>IF($AS1215="","",Config!$B$19)</f>
        <v/>
      </c>
      <c r="W1215" t="str">
        <f>IF($AS1215="","",INDEX('TMP Paste'!$C$2:$C$1601,$AS1215))</f>
        <v/>
      </c>
      <c r="X1215" t="str">
        <f>IF($AS1215="","",Config!$B$29)</f>
        <v/>
      </c>
      <c r="Y1215" t="str">
        <f>IF($AT1215="","",INDEX(Calc!$I$2:$I$1601,$AT1215)&amp;" - "&amp;INDEX(Calc!$D$2:$D$1601,$AT1215)&amp;" koli")</f>
        <v/>
      </c>
      <c r="Z1215" t="str">
        <f>IF($AS1215="","",Config!$B$21)</f>
        <v/>
      </c>
      <c r="AA1215" t="str">
        <f>IF($AS1215="","",Config!$B$22)</f>
        <v/>
      </c>
      <c r="AB1215" t="str">
        <f>IF($AT1215="","",INDEX(Calc!$D$2:$D$1601,$AT1215))</f>
        <v/>
      </c>
      <c r="AC1215" t="str">
        <f>IF($AT1215="","",INDEX(Calc!$G$2:$G$1601,$AT1215))</f>
        <v/>
      </c>
      <c r="AD1215" t="str">
        <f>IF($AS1215="","",Config!$B$23)</f>
        <v/>
      </c>
      <c r="AE1215" t="str">
        <f>IF($AS1215="","",Config!$B$28)</f>
        <v/>
      </c>
      <c r="AF1215" t="str">
        <f t="shared" si="110"/>
        <v/>
      </c>
      <c r="AG1215" t="str">
        <f t="shared" si="111"/>
        <v/>
      </c>
      <c r="AH1215" t="str">
        <f t="shared" si="112"/>
        <v/>
      </c>
      <c r="AI1215" t="str">
        <f>IF($AG1215="","",SUMIF($AG$2:$AG1215,$AG1215,$AH$2:$AH1215))</f>
        <v/>
      </c>
      <c r="AJ1215" t="str">
        <f>IF('TMP Paste'!$F1215="","",IF('TMP Paste'!$B1215="",$AJ1214,'TMP Paste'!$B1215))</f>
        <v/>
      </c>
      <c r="AK1215" t="str">
        <f>IF('TMP Paste'!$F1215="","",N('TMP Paste'!$G1215))</f>
        <v/>
      </c>
      <c r="AL1215" t="str">
        <f>IF('TMP Paste'!$F1215="","",IF('TMP Paste'!$M1215="",$AL1214,'TMP Paste'!$M1215))</f>
        <v/>
      </c>
      <c r="AM1215" t="str">
        <f>IF('TMP Paste'!$F1215="","",IF('TMP Paste'!$N1215="",$AM1214,'TMP Paste'!$N1215))</f>
        <v/>
      </c>
      <c r="AN1215" t="str">
        <f>IF('TMP Paste'!$F1215="","",IF('TMP Paste'!$O1215="",$AN1214,'TMP Paste'!$O1215))</f>
        <v/>
      </c>
      <c r="AO1215" t="str">
        <f>IF('TMP Paste'!$F1215="","",IF('TMP Paste'!$P1215="",$AO1214,'TMP Paste'!$P1215))</f>
        <v/>
      </c>
      <c r="AP1215" t="str">
        <f t="shared" si="113"/>
        <v/>
      </c>
      <c r="AQ1215" t="str">
        <f>IF($AS1215="","",TRIM(IF(COUNTIFS(Calc!$B$2:$B$1601,ROW()-1,Calc!$C$2:$C$1601,"&lt;1")&gt;0,"Ada PO tanpa Koli - cek TMP. ","")&amp;IF(OR($AU1215="",$AU1215&lt;=0),"Volume kosong/0 - dimensi dikosongkan. ","")&amp;IF(AND($AU1215&lt;&gt;"",$AU1215&gt;=1000000),"Volume &gt;= 1.000.000 cm3 (di luar aturan) - dimensi dikosongkan. ","")&amp;IF(LEN($R1215)&gt;500,"R &gt; 500 karakter.","")))</f>
        <v/>
      </c>
      <c r="AS1215" t="str">
        <f>IFERROR(MATCH(ROW()-1,Calc!$J$2:$J$1601,0),"")</f>
        <v/>
      </c>
      <c r="AT1215" t="str">
        <f>IFERROR(MATCH(ROW()-1,Calc!$K$2:$K$1601,0),"")</f>
        <v/>
      </c>
      <c r="AU1215" t="str">
        <f>IF($AS1215="","",IFERROR(INDEX('TMP Paste'!$D$2:$D$1601,$AS1215)*1000000/$AB1215,""))</f>
        <v/>
      </c>
    </row>
    <row r="1216" spans="1:47">
      <c r="A1216" t="str">
        <f>IF($AS1216="","",INDEX('TMP Paste'!$B$2:$B$1601,$AS1216))</f>
        <v/>
      </c>
      <c r="B1216" t="str">
        <f>IF($AS1216="","",Config!$B$14)</f>
        <v/>
      </c>
      <c r="C1216" t="str">
        <f>IF($AS1216="","",Config!$B$15)</f>
        <v/>
      </c>
      <c r="D1216" t="str">
        <f>IF($AS1216="","",INDEX('TMP Paste'!$B$2:$B$1601,$AS1216))</f>
        <v/>
      </c>
      <c r="E1216" t="str">
        <f>IF($AS1216="","",Config!$B$27)</f>
        <v/>
      </c>
      <c r="F1216" t="str">
        <f>IF($AS1216="","",Config!$B$9)</f>
        <v/>
      </c>
      <c r="G1216" t="str">
        <f>IF($AS1216="","",Config!$B$10)</f>
        <v/>
      </c>
      <c r="H1216" t="str">
        <f>IF($AS1216="","",Config!$B$11)</f>
        <v/>
      </c>
      <c r="I1216" t="str">
        <f>IF($AS1216="","",Config!$B$16)</f>
        <v/>
      </c>
      <c r="J1216" t="str">
        <f>IF($AS1216="","",INDEX('TMP Paste'!$A$2:$A$1601,$AS1216))</f>
        <v/>
      </c>
      <c r="K1216" t="str">
        <f>IF($AS1216="","",INDEX('TMP Paste'!$L$2:$L$1601,$AS1216))</f>
        <v/>
      </c>
      <c r="L1216" t="str">
        <f>IF($AS1216="","",INDEX('TMP Paste'!$I$2:$I$1601,$AS1216))</f>
        <v/>
      </c>
      <c r="M1216" t="str">
        <f>IF($AS1216="","",Config!$B$16)</f>
        <v/>
      </c>
      <c r="N1216" t="str">
        <f t="shared" si="108"/>
        <v/>
      </c>
      <c r="O1216" t="str">
        <f>IF($AS1216="","",INDEX('TMP Paste'!$K$2:$K$1601,$AS1216))</f>
        <v/>
      </c>
      <c r="P1216" t="str">
        <f t="shared" si="109"/>
        <v/>
      </c>
      <c r="Q1216" t="str">
        <f>IF($AS1216="","",INDEX('TMP Paste'!$J$2:$J$1601,$AS1216))</f>
        <v/>
      </c>
      <c r="R1216" t="str">
        <f>IF($AS1216="","",Config!$B$24)</f>
        <v/>
      </c>
      <c r="S1216" t="str">
        <f ca="1">IF($AS1216="","",TEXT(Config!$B$4,"yyyy-mm-dd"))</f>
        <v/>
      </c>
      <c r="T1216" t="str">
        <f>IF($AS1216="","",Config!$B$17)</f>
        <v/>
      </c>
      <c r="U1216" t="str">
        <f>IF($AS1216="","",Config!$B$18)</f>
        <v/>
      </c>
      <c r="V1216" t="str">
        <f>IF($AS1216="","",Config!$B$19)</f>
        <v/>
      </c>
      <c r="W1216" t="str">
        <f>IF($AS1216="","",INDEX('TMP Paste'!$C$2:$C$1601,$AS1216))</f>
        <v/>
      </c>
      <c r="X1216" t="str">
        <f>IF($AS1216="","",Config!$B$29)</f>
        <v/>
      </c>
      <c r="Y1216" t="str">
        <f>IF($AT1216="","",INDEX(Calc!$I$2:$I$1601,$AT1216)&amp;" - "&amp;INDEX(Calc!$D$2:$D$1601,$AT1216)&amp;" koli")</f>
        <v/>
      </c>
      <c r="Z1216" t="str">
        <f>IF($AS1216="","",Config!$B$21)</f>
        <v/>
      </c>
      <c r="AA1216" t="str">
        <f>IF($AS1216="","",Config!$B$22)</f>
        <v/>
      </c>
      <c r="AB1216" t="str">
        <f>IF($AT1216="","",INDEX(Calc!$D$2:$D$1601,$AT1216))</f>
        <v/>
      </c>
      <c r="AC1216" t="str">
        <f>IF($AT1216="","",INDEX(Calc!$G$2:$G$1601,$AT1216))</f>
        <v/>
      </c>
      <c r="AD1216" t="str">
        <f>IF($AS1216="","",Config!$B$23)</f>
        <v/>
      </c>
      <c r="AE1216" t="str">
        <f>IF($AS1216="","",Config!$B$28)</f>
        <v/>
      </c>
      <c r="AF1216" t="str">
        <f t="shared" si="110"/>
        <v/>
      </c>
      <c r="AG1216" t="str">
        <f t="shared" si="111"/>
        <v/>
      </c>
      <c r="AH1216" t="str">
        <f t="shared" si="112"/>
        <v/>
      </c>
      <c r="AI1216" t="str">
        <f>IF($AG1216="","",SUMIF($AG$2:$AG1216,$AG1216,$AH$2:$AH1216))</f>
        <v/>
      </c>
      <c r="AJ1216" t="str">
        <f>IF('TMP Paste'!$F1216="","",IF('TMP Paste'!$B1216="",$AJ1215,'TMP Paste'!$B1216))</f>
        <v/>
      </c>
      <c r="AK1216" t="str">
        <f>IF('TMP Paste'!$F1216="","",N('TMP Paste'!$G1216))</f>
        <v/>
      </c>
      <c r="AL1216" t="str">
        <f>IF('TMP Paste'!$F1216="","",IF('TMP Paste'!$M1216="",$AL1215,'TMP Paste'!$M1216))</f>
        <v/>
      </c>
      <c r="AM1216" t="str">
        <f>IF('TMP Paste'!$F1216="","",IF('TMP Paste'!$N1216="",$AM1215,'TMP Paste'!$N1216))</f>
        <v/>
      </c>
      <c r="AN1216" t="str">
        <f>IF('TMP Paste'!$F1216="","",IF('TMP Paste'!$O1216="",$AN1215,'TMP Paste'!$O1216))</f>
        <v/>
      </c>
      <c r="AO1216" t="str">
        <f>IF('TMP Paste'!$F1216="","",IF('TMP Paste'!$P1216="",$AO1215,'TMP Paste'!$P1216))</f>
        <v/>
      </c>
      <c r="AP1216" t="str">
        <f t="shared" si="113"/>
        <v/>
      </c>
      <c r="AQ1216" t="str">
        <f>IF($AS1216="","",TRIM(IF(COUNTIFS(Calc!$B$2:$B$1601,ROW()-1,Calc!$C$2:$C$1601,"&lt;1")&gt;0,"Ada PO tanpa Koli - cek TMP. ","")&amp;IF(OR($AU1216="",$AU1216&lt;=0),"Volume kosong/0 - dimensi dikosongkan. ","")&amp;IF(AND($AU1216&lt;&gt;"",$AU1216&gt;=1000000),"Volume &gt;= 1.000.000 cm3 (di luar aturan) - dimensi dikosongkan. ","")&amp;IF(LEN($R1216)&gt;500,"R &gt; 500 karakter.","")))</f>
        <v/>
      </c>
      <c r="AS1216" t="str">
        <f>IFERROR(MATCH(ROW()-1,Calc!$J$2:$J$1601,0),"")</f>
        <v/>
      </c>
      <c r="AT1216" t="str">
        <f>IFERROR(MATCH(ROW()-1,Calc!$K$2:$K$1601,0),"")</f>
        <v/>
      </c>
      <c r="AU1216" t="str">
        <f>IF($AS1216="","",IFERROR(INDEX('TMP Paste'!$D$2:$D$1601,$AS1216)*1000000/$AB1216,""))</f>
        <v/>
      </c>
    </row>
    <row r="1217" spans="1:47">
      <c r="A1217" t="str">
        <f>IF($AS1217="","",INDEX('TMP Paste'!$B$2:$B$1601,$AS1217))</f>
        <v/>
      </c>
      <c r="B1217" t="str">
        <f>IF($AS1217="","",Config!$B$14)</f>
        <v/>
      </c>
      <c r="C1217" t="str">
        <f>IF($AS1217="","",Config!$B$15)</f>
        <v/>
      </c>
      <c r="D1217" t="str">
        <f>IF($AS1217="","",INDEX('TMP Paste'!$B$2:$B$1601,$AS1217))</f>
        <v/>
      </c>
      <c r="E1217" t="str">
        <f>IF($AS1217="","",Config!$B$27)</f>
        <v/>
      </c>
      <c r="F1217" t="str">
        <f>IF($AS1217="","",Config!$B$9)</f>
        <v/>
      </c>
      <c r="G1217" t="str">
        <f>IF($AS1217="","",Config!$B$10)</f>
        <v/>
      </c>
      <c r="H1217" t="str">
        <f>IF($AS1217="","",Config!$B$11)</f>
        <v/>
      </c>
      <c r="I1217" t="str">
        <f>IF($AS1217="","",Config!$B$16)</f>
        <v/>
      </c>
      <c r="J1217" t="str">
        <f>IF($AS1217="","",INDEX('TMP Paste'!$A$2:$A$1601,$AS1217))</f>
        <v/>
      </c>
      <c r="K1217" t="str">
        <f>IF($AS1217="","",INDEX('TMP Paste'!$L$2:$L$1601,$AS1217))</f>
        <v/>
      </c>
      <c r="L1217" t="str">
        <f>IF($AS1217="","",INDEX('TMP Paste'!$I$2:$I$1601,$AS1217))</f>
        <v/>
      </c>
      <c r="M1217" t="str">
        <f>IF($AS1217="","",Config!$B$16)</f>
        <v/>
      </c>
      <c r="N1217" t="str">
        <f t="shared" si="108"/>
        <v/>
      </c>
      <c r="O1217" t="str">
        <f>IF($AS1217="","",INDEX('TMP Paste'!$K$2:$K$1601,$AS1217))</f>
        <v/>
      </c>
      <c r="P1217" t="str">
        <f t="shared" si="109"/>
        <v/>
      </c>
      <c r="Q1217" t="str">
        <f>IF($AS1217="","",INDEX('TMP Paste'!$J$2:$J$1601,$AS1217))</f>
        <v/>
      </c>
      <c r="R1217" t="str">
        <f>IF($AS1217="","",Config!$B$24)</f>
        <v/>
      </c>
      <c r="S1217" t="str">
        <f ca="1">IF($AS1217="","",TEXT(Config!$B$4,"yyyy-mm-dd"))</f>
        <v/>
      </c>
      <c r="T1217" t="str">
        <f>IF($AS1217="","",Config!$B$17)</f>
        <v/>
      </c>
      <c r="U1217" t="str">
        <f>IF($AS1217="","",Config!$B$18)</f>
        <v/>
      </c>
      <c r="V1217" t="str">
        <f>IF($AS1217="","",Config!$B$19)</f>
        <v/>
      </c>
      <c r="W1217" t="str">
        <f>IF($AS1217="","",INDEX('TMP Paste'!$C$2:$C$1601,$AS1217))</f>
        <v/>
      </c>
      <c r="X1217" t="str">
        <f>IF($AS1217="","",Config!$B$29)</f>
        <v/>
      </c>
      <c r="Y1217" t="str">
        <f>IF($AT1217="","",INDEX(Calc!$I$2:$I$1601,$AT1217)&amp;" - "&amp;INDEX(Calc!$D$2:$D$1601,$AT1217)&amp;" koli")</f>
        <v/>
      </c>
      <c r="Z1217" t="str">
        <f>IF($AS1217="","",Config!$B$21)</f>
        <v/>
      </c>
      <c r="AA1217" t="str">
        <f>IF($AS1217="","",Config!$B$22)</f>
        <v/>
      </c>
      <c r="AB1217" t="str">
        <f>IF($AT1217="","",INDEX(Calc!$D$2:$D$1601,$AT1217))</f>
        <v/>
      </c>
      <c r="AC1217" t="str">
        <f>IF($AT1217="","",INDEX(Calc!$G$2:$G$1601,$AT1217))</f>
        <v/>
      </c>
      <c r="AD1217" t="str">
        <f>IF($AS1217="","",Config!$B$23)</f>
        <v/>
      </c>
      <c r="AE1217" t="str">
        <f>IF($AS1217="","",Config!$B$28)</f>
        <v/>
      </c>
      <c r="AF1217" t="str">
        <f t="shared" si="110"/>
        <v/>
      </c>
      <c r="AG1217" t="str">
        <f t="shared" si="111"/>
        <v/>
      </c>
      <c r="AH1217" t="str">
        <f t="shared" si="112"/>
        <v/>
      </c>
      <c r="AI1217" t="str">
        <f>IF($AG1217="","",SUMIF($AG$2:$AG1217,$AG1217,$AH$2:$AH1217))</f>
        <v/>
      </c>
      <c r="AJ1217" t="str">
        <f>IF('TMP Paste'!$F1217="","",IF('TMP Paste'!$B1217="",$AJ1216,'TMP Paste'!$B1217))</f>
        <v/>
      </c>
      <c r="AK1217" t="str">
        <f>IF('TMP Paste'!$F1217="","",N('TMP Paste'!$G1217))</f>
        <v/>
      </c>
      <c r="AL1217" t="str">
        <f>IF('TMP Paste'!$F1217="","",IF('TMP Paste'!$M1217="",$AL1216,'TMP Paste'!$M1217))</f>
        <v/>
      </c>
      <c r="AM1217" t="str">
        <f>IF('TMP Paste'!$F1217="","",IF('TMP Paste'!$N1217="",$AM1216,'TMP Paste'!$N1217))</f>
        <v/>
      </c>
      <c r="AN1217" t="str">
        <f>IF('TMP Paste'!$F1217="","",IF('TMP Paste'!$O1217="",$AN1216,'TMP Paste'!$O1217))</f>
        <v/>
      </c>
      <c r="AO1217" t="str">
        <f>IF('TMP Paste'!$F1217="","",IF('TMP Paste'!$P1217="",$AO1216,'TMP Paste'!$P1217))</f>
        <v/>
      </c>
      <c r="AP1217" t="str">
        <f t="shared" si="113"/>
        <v/>
      </c>
      <c r="AQ1217" t="str">
        <f>IF($AS1217="","",TRIM(IF(COUNTIFS(Calc!$B$2:$B$1601,ROW()-1,Calc!$C$2:$C$1601,"&lt;1")&gt;0,"Ada PO tanpa Koli - cek TMP. ","")&amp;IF(OR($AU1217="",$AU1217&lt;=0),"Volume kosong/0 - dimensi dikosongkan. ","")&amp;IF(AND($AU1217&lt;&gt;"",$AU1217&gt;=1000000),"Volume &gt;= 1.000.000 cm3 (di luar aturan) - dimensi dikosongkan. ","")&amp;IF(LEN($R1217)&gt;500,"R &gt; 500 karakter.","")))</f>
        <v/>
      </c>
      <c r="AS1217" t="str">
        <f>IFERROR(MATCH(ROW()-1,Calc!$J$2:$J$1601,0),"")</f>
        <v/>
      </c>
      <c r="AT1217" t="str">
        <f>IFERROR(MATCH(ROW()-1,Calc!$K$2:$K$1601,0),"")</f>
        <v/>
      </c>
      <c r="AU1217" t="str">
        <f>IF($AS1217="","",IFERROR(INDEX('TMP Paste'!$D$2:$D$1601,$AS1217)*1000000/$AB1217,""))</f>
        <v/>
      </c>
    </row>
    <row r="1218" spans="1:47">
      <c r="A1218" t="str">
        <f>IF($AS1218="","",INDEX('TMP Paste'!$B$2:$B$1601,$AS1218))</f>
        <v/>
      </c>
      <c r="B1218" t="str">
        <f>IF($AS1218="","",Config!$B$14)</f>
        <v/>
      </c>
      <c r="C1218" t="str">
        <f>IF($AS1218="","",Config!$B$15)</f>
        <v/>
      </c>
      <c r="D1218" t="str">
        <f>IF($AS1218="","",INDEX('TMP Paste'!$B$2:$B$1601,$AS1218))</f>
        <v/>
      </c>
      <c r="E1218" t="str">
        <f>IF($AS1218="","",Config!$B$27)</f>
        <v/>
      </c>
      <c r="F1218" t="str">
        <f>IF($AS1218="","",Config!$B$9)</f>
        <v/>
      </c>
      <c r="G1218" t="str">
        <f>IF($AS1218="","",Config!$B$10)</f>
        <v/>
      </c>
      <c r="H1218" t="str">
        <f>IF($AS1218="","",Config!$B$11)</f>
        <v/>
      </c>
      <c r="I1218" t="str">
        <f>IF($AS1218="","",Config!$B$16)</f>
        <v/>
      </c>
      <c r="J1218" t="str">
        <f>IF($AS1218="","",INDEX('TMP Paste'!$A$2:$A$1601,$AS1218))</f>
        <v/>
      </c>
      <c r="K1218" t="str">
        <f>IF($AS1218="","",INDEX('TMP Paste'!$L$2:$L$1601,$AS1218))</f>
        <v/>
      </c>
      <c r="L1218" t="str">
        <f>IF($AS1218="","",INDEX('TMP Paste'!$I$2:$I$1601,$AS1218))</f>
        <v/>
      </c>
      <c r="M1218" t="str">
        <f>IF($AS1218="","",Config!$B$16)</f>
        <v/>
      </c>
      <c r="N1218" t="str">
        <f t="shared" ref="N1218:N1281" si="114">IF($AS1218="","","")</f>
        <v/>
      </c>
      <c r="O1218" t="str">
        <f>IF($AS1218="","",INDEX('TMP Paste'!$K$2:$K$1601,$AS1218))</f>
        <v/>
      </c>
      <c r="P1218" t="str">
        <f t="shared" ref="P1218:P1281" si="115">IF($AS1218="","","")</f>
        <v/>
      </c>
      <c r="Q1218" t="str">
        <f>IF($AS1218="","",INDEX('TMP Paste'!$J$2:$J$1601,$AS1218))</f>
        <v/>
      </c>
      <c r="R1218" t="str">
        <f>IF($AS1218="","",Config!$B$24)</f>
        <v/>
      </c>
      <c r="S1218" t="str">
        <f ca="1">IF($AS1218="","",TEXT(Config!$B$4,"yyyy-mm-dd"))</f>
        <v/>
      </c>
      <c r="T1218" t="str">
        <f>IF($AS1218="","",Config!$B$17)</f>
        <v/>
      </c>
      <c r="U1218" t="str">
        <f>IF($AS1218="","",Config!$B$18)</f>
        <v/>
      </c>
      <c r="V1218" t="str">
        <f>IF($AS1218="","",Config!$B$19)</f>
        <v/>
      </c>
      <c r="W1218" t="str">
        <f>IF($AS1218="","",INDEX('TMP Paste'!$C$2:$C$1601,$AS1218))</f>
        <v/>
      </c>
      <c r="X1218" t="str">
        <f>IF($AS1218="","",Config!$B$29)</f>
        <v/>
      </c>
      <c r="Y1218" t="str">
        <f>IF($AT1218="","",INDEX(Calc!$I$2:$I$1601,$AT1218)&amp;" - "&amp;INDEX(Calc!$D$2:$D$1601,$AT1218)&amp;" koli")</f>
        <v/>
      </c>
      <c r="Z1218" t="str">
        <f>IF($AS1218="","",Config!$B$21)</f>
        <v/>
      </c>
      <c r="AA1218" t="str">
        <f>IF($AS1218="","",Config!$B$22)</f>
        <v/>
      </c>
      <c r="AB1218" t="str">
        <f>IF($AT1218="","",INDEX(Calc!$D$2:$D$1601,$AT1218))</f>
        <v/>
      </c>
      <c r="AC1218" t="str">
        <f>IF($AT1218="","",INDEX(Calc!$G$2:$G$1601,$AT1218))</f>
        <v/>
      </c>
      <c r="AD1218" t="str">
        <f>IF($AS1218="","",Config!$B$23)</f>
        <v/>
      </c>
      <c r="AE1218" t="str">
        <f>IF($AS1218="","",Config!$B$28)</f>
        <v/>
      </c>
      <c r="AF1218" t="str">
        <f t="shared" ref="AF1218:AF1281" si="116">IF($AS1218="","",IF(OR($AU1218="",$AU1218&lt;=0,$AU1218&gt;=1000000),"",IF($AU1218&lt;10000,10,100)))</f>
        <v/>
      </c>
      <c r="AG1218" t="str">
        <f t="shared" ref="AG1218:AG1281" si="117">IF($AS1218="","",IF(OR($AU1218="",$AU1218&lt;=0,$AU1218&gt;=1000000),"",IF($AU1218&lt;10000,$AU1218/100,IF($AU1218&lt;100000,$AU1218/1000,$AU1218/10000))))</f>
        <v/>
      </c>
      <c r="AH1218" t="str">
        <f t="shared" ref="AH1218:AH1281" si="118">IF($AS1218="","",IF(OR($AU1218="",$AU1218&lt;=0,$AU1218&gt;=1000000),"",IF($AU1218&lt;100000,10,100)))</f>
        <v/>
      </c>
      <c r="AI1218" t="str">
        <f>IF($AG1218="","",SUMIF($AG$2:$AG1218,$AG1218,$AH$2:$AH1218))</f>
        <v/>
      </c>
      <c r="AJ1218" t="str">
        <f>IF('TMP Paste'!$F1218="","",IF('TMP Paste'!$B1218="",$AJ1217,'TMP Paste'!$B1218))</f>
        <v/>
      </c>
      <c r="AK1218" t="str">
        <f>IF('TMP Paste'!$F1218="","",N('TMP Paste'!$G1218))</f>
        <v/>
      </c>
      <c r="AL1218" t="str">
        <f>IF('TMP Paste'!$F1218="","",IF('TMP Paste'!$M1218="",$AL1217,'TMP Paste'!$M1218))</f>
        <v/>
      </c>
      <c r="AM1218" t="str">
        <f>IF('TMP Paste'!$F1218="","",IF('TMP Paste'!$N1218="",$AM1217,'TMP Paste'!$N1218))</f>
        <v/>
      </c>
      <c r="AN1218" t="str">
        <f>IF('TMP Paste'!$F1218="","",IF('TMP Paste'!$O1218="",$AN1217,'TMP Paste'!$O1218))</f>
        <v/>
      </c>
      <c r="AO1218" t="str">
        <f>IF('TMP Paste'!$F1218="","",IF('TMP Paste'!$P1218="",$AO1217,'TMP Paste'!$P1218))</f>
        <v/>
      </c>
      <c r="AP1218" t="str">
        <f t="shared" ref="AP1218:AP1281" si="119">IF($AG1218="","",LEN($R1218))</f>
        <v/>
      </c>
      <c r="AQ1218" t="str">
        <f>IF($AS1218="","",TRIM(IF(COUNTIFS(Calc!$B$2:$B$1601,ROW()-1,Calc!$C$2:$C$1601,"&lt;1")&gt;0,"Ada PO tanpa Koli - cek TMP. ","")&amp;IF(OR($AU1218="",$AU1218&lt;=0),"Volume kosong/0 - dimensi dikosongkan. ","")&amp;IF(AND($AU1218&lt;&gt;"",$AU1218&gt;=1000000),"Volume &gt;= 1.000.000 cm3 (di luar aturan) - dimensi dikosongkan. ","")&amp;IF(LEN($R1218)&gt;500,"R &gt; 500 karakter.","")))</f>
        <v/>
      </c>
      <c r="AS1218" t="str">
        <f>IFERROR(MATCH(ROW()-1,Calc!$J$2:$J$1601,0),"")</f>
        <v/>
      </c>
      <c r="AT1218" t="str">
        <f>IFERROR(MATCH(ROW()-1,Calc!$K$2:$K$1601,0),"")</f>
        <v/>
      </c>
      <c r="AU1218" t="str">
        <f>IF($AS1218="","",IFERROR(INDEX('TMP Paste'!$D$2:$D$1601,$AS1218)*1000000/$AB1218,""))</f>
        <v/>
      </c>
    </row>
    <row r="1219" spans="1:47">
      <c r="A1219" t="str">
        <f>IF($AS1219="","",INDEX('TMP Paste'!$B$2:$B$1601,$AS1219))</f>
        <v/>
      </c>
      <c r="B1219" t="str">
        <f>IF($AS1219="","",Config!$B$14)</f>
        <v/>
      </c>
      <c r="C1219" t="str">
        <f>IF($AS1219="","",Config!$B$15)</f>
        <v/>
      </c>
      <c r="D1219" t="str">
        <f>IF($AS1219="","",INDEX('TMP Paste'!$B$2:$B$1601,$AS1219))</f>
        <v/>
      </c>
      <c r="E1219" t="str">
        <f>IF($AS1219="","",Config!$B$27)</f>
        <v/>
      </c>
      <c r="F1219" t="str">
        <f>IF($AS1219="","",Config!$B$9)</f>
        <v/>
      </c>
      <c r="G1219" t="str">
        <f>IF($AS1219="","",Config!$B$10)</f>
        <v/>
      </c>
      <c r="H1219" t="str">
        <f>IF($AS1219="","",Config!$B$11)</f>
        <v/>
      </c>
      <c r="I1219" t="str">
        <f>IF($AS1219="","",Config!$B$16)</f>
        <v/>
      </c>
      <c r="J1219" t="str">
        <f>IF($AS1219="","",INDEX('TMP Paste'!$A$2:$A$1601,$AS1219))</f>
        <v/>
      </c>
      <c r="K1219" t="str">
        <f>IF($AS1219="","",INDEX('TMP Paste'!$L$2:$L$1601,$AS1219))</f>
        <v/>
      </c>
      <c r="L1219" t="str">
        <f>IF($AS1219="","",INDEX('TMP Paste'!$I$2:$I$1601,$AS1219))</f>
        <v/>
      </c>
      <c r="M1219" t="str">
        <f>IF($AS1219="","",Config!$B$16)</f>
        <v/>
      </c>
      <c r="N1219" t="str">
        <f t="shared" si="114"/>
        <v/>
      </c>
      <c r="O1219" t="str">
        <f>IF($AS1219="","",INDEX('TMP Paste'!$K$2:$K$1601,$AS1219))</f>
        <v/>
      </c>
      <c r="P1219" t="str">
        <f t="shared" si="115"/>
        <v/>
      </c>
      <c r="Q1219" t="str">
        <f>IF($AS1219="","",INDEX('TMP Paste'!$J$2:$J$1601,$AS1219))</f>
        <v/>
      </c>
      <c r="R1219" t="str">
        <f>IF($AS1219="","",Config!$B$24)</f>
        <v/>
      </c>
      <c r="S1219" t="str">
        <f ca="1">IF($AS1219="","",TEXT(Config!$B$4,"yyyy-mm-dd"))</f>
        <v/>
      </c>
      <c r="T1219" t="str">
        <f>IF($AS1219="","",Config!$B$17)</f>
        <v/>
      </c>
      <c r="U1219" t="str">
        <f>IF($AS1219="","",Config!$B$18)</f>
        <v/>
      </c>
      <c r="V1219" t="str">
        <f>IF($AS1219="","",Config!$B$19)</f>
        <v/>
      </c>
      <c r="W1219" t="str">
        <f>IF($AS1219="","",INDEX('TMP Paste'!$C$2:$C$1601,$AS1219))</f>
        <v/>
      </c>
      <c r="X1219" t="str">
        <f>IF($AS1219="","",Config!$B$29)</f>
        <v/>
      </c>
      <c r="Y1219" t="str">
        <f>IF($AT1219="","",INDEX(Calc!$I$2:$I$1601,$AT1219)&amp;" - "&amp;INDEX(Calc!$D$2:$D$1601,$AT1219)&amp;" koli")</f>
        <v/>
      </c>
      <c r="Z1219" t="str">
        <f>IF($AS1219="","",Config!$B$21)</f>
        <v/>
      </c>
      <c r="AA1219" t="str">
        <f>IF($AS1219="","",Config!$B$22)</f>
        <v/>
      </c>
      <c r="AB1219" t="str">
        <f>IF($AT1219="","",INDEX(Calc!$D$2:$D$1601,$AT1219))</f>
        <v/>
      </c>
      <c r="AC1219" t="str">
        <f>IF($AT1219="","",INDEX(Calc!$G$2:$G$1601,$AT1219))</f>
        <v/>
      </c>
      <c r="AD1219" t="str">
        <f>IF($AS1219="","",Config!$B$23)</f>
        <v/>
      </c>
      <c r="AE1219" t="str">
        <f>IF($AS1219="","",Config!$B$28)</f>
        <v/>
      </c>
      <c r="AF1219" t="str">
        <f t="shared" si="116"/>
        <v/>
      </c>
      <c r="AG1219" t="str">
        <f t="shared" si="117"/>
        <v/>
      </c>
      <c r="AH1219" t="str">
        <f t="shared" si="118"/>
        <v/>
      </c>
      <c r="AI1219" t="str">
        <f>IF($AG1219="","",SUMIF($AG$2:$AG1219,$AG1219,$AH$2:$AH1219))</f>
        <v/>
      </c>
      <c r="AJ1219" t="str">
        <f>IF('TMP Paste'!$F1219="","",IF('TMP Paste'!$B1219="",$AJ1218,'TMP Paste'!$B1219))</f>
        <v/>
      </c>
      <c r="AK1219" t="str">
        <f>IF('TMP Paste'!$F1219="","",N('TMP Paste'!$G1219))</f>
        <v/>
      </c>
      <c r="AL1219" t="str">
        <f>IF('TMP Paste'!$F1219="","",IF('TMP Paste'!$M1219="",$AL1218,'TMP Paste'!$M1219))</f>
        <v/>
      </c>
      <c r="AM1219" t="str">
        <f>IF('TMP Paste'!$F1219="","",IF('TMP Paste'!$N1219="",$AM1218,'TMP Paste'!$N1219))</f>
        <v/>
      </c>
      <c r="AN1219" t="str">
        <f>IF('TMP Paste'!$F1219="","",IF('TMP Paste'!$O1219="",$AN1218,'TMP Paste'!$O1219))</f>
        <v/>
      </c>
      <c r="AO1219" t="str">
        <f>IF('TMP Paste'!$F1219="","",IF('TMP Paste'!$P1219="",$AO1218,'TMP Paste'!$P1219))</f>
        <v/>
      </c>
      <c r="AP1219" t="str">
        <f t="shared" si="119"/>
        <v/>
      </c>
      <c r="AQ1219" t="str">
        <f>IF($AS1219="","",TRIM(IF(COUNTIFS(Calc!$B$2:$B$1601,ROW()-1,Calc!$C$2:$C$1601,"&lt;1")&gt;0,"Ada PO tanpa Koli - cek TMP. ","")&amp;IF(OR($AU1219="",$AU1219&lt;=0),"Volume kosong/0 - dimensi dikosongkan. ","")&amp;IF(AND($AU1219&lt;&gt;"",$AU1219&gt;=1000000),"Volume &gt;= 1.000.000 cm3 (di luar aturan) - dimensi dikosongkan. ","")&amp;IF(LEN($R1219)&gt;500,"R &gt; 500 karakter.","")))</f>
        <v/>
      </c>
      <c r="AS1219" t="str">
        <f>IFERROR(MATCH(ROW()-1,Calc!$J$2:$J$1601,0),"")</f>
        <v/>
      </c>
      <c r="AT1219" t="str">
        <f>IFERROR(MATCH(ROW()-1,Calc!$K$2:$K$1601,0),"")</f>
        <v/>
      </c>
      <c r="AU1219" t="str">
        <f>IF($AS1219="","",IFERROR(INDEX('TMP Paste'!$D$2:$D$1601,$AS1219)*1000000/$AB1219,""))</f>
        <v/>
      </c>
    </row>
    <row r="1220" spans="1:47">
      <c r="A1220" t="str">
        <f>IF($AS1220="","",INDEX('TMP Paste'!$B$2:$B$1601,$AS1220))</f>
        <v/>
      </c>
      <c r="B1220" t="str">
        <f>IF($AS1220="","",Config!$B$14)</f>
        <v/>
      </c>
      <c r="C1220" t="str">
        <f>IF($AS1220="","",Config!$B$15)</f>
        <v/>
      </c>
      <c r="D1220" t="str">
        <f>IF($AS1220="","",INDEX('TMP Paste'!$B$2:$B$1601,$AS1220))</f>
        <v/>
      </c>
      <c r="E1220" t="str">
        <f>IF($AS1220="","",Config!$B$27)</f>
        <v/>
      </c>
      <c r="F1220" t="str">
        <f>IF($AS1220="","",Config!$B$9)</f>
        <v/>
      </c>
      <c r="G1220" t="str">
        <f>IF($AS1220="","",Config!$B$10)</f>
        <v/>
      </c>
      <c r="H1220" t="str">
        <f>IF($AS1220="","",Config!$B$11)</f>
        <v/>
      </c>
      <c r="I1220" t="str">
        <f>IF($AS1220="","",Config!$B$16)</f>
        <v/>
      </c>
      <c r="J1220" t="str">
        <f>IF($AS1220="","",INDEX('TMP Paste'!$A$2:$A$1601,$AS1220))</f>
        <v/>
      </c>
      <c r="K1220" t="str">
        <f>IF($AS1220="","",INDEX('TMP Paste'!$L$2:$L$1601,$AS1220))</f>
        <v/>
      </c>
      <c r="L1220" t="str">
        <f>IF($AS1220="","",INDEX('TMP Paste'!$I$2:$I$1601,$AS1220))</f>
        <v/>
      </c>
      <c r="M1220" t="str">
        <f>IF($AS1220="","",Config!$B$16)</f>
        <v/>
      </c>
      <c r="N1220" t="str">
        <f t="shared" si="114"/>
        <v/>
      </c>
      <c r="O1220" t="str">
        <f>IF($AS1220="","",INDEX('TMP Paste'!$K$2:$K$1601,$AS1220))</f>
        <v/>
      </c>
      <c r="P1220" t="str">
        <f t="shared" si="115"/>
        <v/>
      </c>
      <c r="Q1220" t="str">
        <f>IF($AS1220="","",INDEX('TMP Paste'!$J$2:$J$1601,$AS1220))</f>
        <v/>
      </c>
      <c r="R1220" t="str">
        <f>IF($AS1220="","",Config!$B$24)</f>
        <v/>
      </c>
      <c r="S1220" t="str">
        <f ca="1">IF($AS1220="","",TEXT(Config!$B$4,"yyyy-mm-dd"))</f>
        <v/>
      </c>
      <c r="T1220" t="str">
        <f>IF($AS1220="","",Config!$B$17)</f>
        <v/>
      </c>
      <c r="U1220" t="str">
        <f>IF($AS1220="","",Config!$B$18)</f>
        <v/>
      </c>
      <c r="V1220" t="str">
        <f>IF($AS1220="","",Config!$B$19)</f>
        <v/>
      </c>
      <c r="W1220" t="str">
        <f>IF($AS1220="","",INDEX('TMP Paste'!$C$2:$C$1601,$AS1220))</f>
        <v/>
      </c>
      <c r="X1220" t="str">
        <f>IF($AS1220="","",Config!$B$29)</f>
        <v/>
      </c>
      <c r="Y1220" t="str">
        <f>IF($AT1220="","",INDEX(Calc!$I$2:$I$1601,$AT1220)&amp;" - "&amp;INDEX(Calc!$D$2:$D$1601,$AT1220)&amp;" koli")</f>
        <v/>
      </c>
      <c r="Z1220" t="str">
        <f>IF($AS1220="","",Config!$B$21)</f>
        <v/>
      </c>
      <c r="AA1220" t="str">
        <f>IF($AS1220="","",Config!$B$22)</f>
        <v/>
      </c>
      <c r="AB1220" t="str">
        <f>IF($AT1220="","",INDEX(Calc!$D$2:$D$1601,$AT1220))</f>
        <v/>
      </c>
      <c r="AC1220" t="str">
        <f>IF($AT1220="","",INDEX(Calc!$G$2:$G$1601,$AT1220))</f>
        <v/>
      </c>
      <c r="AD1220" t="str">
        <f>IF($AS1220="","",Config!$B$23)</f>
        <v/>
      </c>
      <c r="AE1220" t="str">
        <f>IF($AS1220="","",Config!$B$28)</f>
        <v/>
      </c>
      <c r="AF1220" t="str">
        <f t="shared" si="116"/>
        <v/>
      </c>
      <c r="AG1220" t="str">
        <f t="shared" si="117"/>
        <v/>
      </c>
      <c r="AH1220" t="str">
        <f t="shared" si="118"/>
        <v/>
      </c>
      <c r="AI1220" t="str">
        <f>IF($AG1220="","",SUMIF($AG$2:$AG1220,$AG1220,$AH$2:$AH1220))</f>
        <v/>
      </c>
      <c r="AJ1220" t="str">
        <f>IF('TMP Paste'!$F1220="","",IF('TMP Paste'!$B1220="",$AJ1219,'TMP Paste'!$B1220))</f>
        <v/>
      </c>
      <c r="AK1220" t="str">
        <f>IF('TMP Paste'!$F1220="","",N('TMP Paste'!$G1220))</f>
        <v/>
      </c>
      <c r="AL1220" t="str">
        <f>IF('TMP Paste'!$F1220="","",IF('TMP Paste'!$M1220="",$AL1219,'TMP Paste'!$M1220))</f>
        <v/>
      </c>
      <c r="AM1220" t="str">
        <f>IF('TMP Paste'!$F1220="","",IF('TMP Paste'!$N1220="",$AM1219,'TMP Paste'!$N1220))</f>
        <v/>
      </c>
      <c r="AN1220" t="str">
        <f>IF('TMP Paste'!$F1220="","",IF('TMP Paste'!$O1220="",$AN1219,'TMP Paste'!$O1220))</f>
        <v/>
      </c>
      <c r="AO1220" t="str">
        <f>IF('TMP Paste'!$F1220="","",IF('TMP Paste'!$P1220="",$AO1219,'TMP Paste'!$P1220))</f>
        <v/>
      </c>
      <c r="AP1220" t="str">
        <f t="shared" si="119"/>
        <v/>
      </c>
      <c r="AQ1220" t="str">
        <f>IF($AS1220="","",TRIM(IF(COUNTIFS(Calc!$B$2:$B$1601,ROW()-1,Calc!$C$2:$C$1601,"&lt;1")&gt;0,"Ada PO tanpa Koli - cek TMP. ","")&amp;IF(OR($AU1220="",$AU1220&lt;=0),"Volume kosong/0 - dimensi dikosongkan. ","")&amp;IF(AND($AU1220&lt;&gt;"",$AU1220&gt;=1000000),"Volume &gt;= 1.000.000 cm3 (di luar aturan) - dimensi dikosongkan. ","")&amp;IF(LEN($R1220)&gt;500,"R &gt; 500 karakter.","")))</f>
        <v/>
      </c>
      <c r="AS1220" t="str">
        <f>IFERROR(MATCH(ROW()-1,Calc!$J$2:$J$1601,0),"")</f>
        <v/>
      </c>
      <c r="AT1220" t="str">
        <f>IFERROR(MATCH(ROW()-1,Calc!$K$2:$K$1601,0),"")</f>
        <v/>
      </c>
      <c r="AU1220" t="str">
        <f>IF($AS1220="","",IFERROR(INDEX('TMP Paste'!$D$2:$D$1601,$AS1220)*1000000/$AB1220,""))</f>
        <v/>
      </c>
    </row>
    <row r="1221" spans="1:47">
      <c r="A1221" t="str">
        <f>IF($AS1221="","",INDEX('TMP Paste'!$B$2:$B$1601,$AS1221))</f>
        <v/>
      </c>
      <c r="B1221" t="str">
        <f>IF($AS1221="","",Config!$B$14)</f>
        <v/>
      </c>
      <c r="C1221" t="str">
        <f>IF($AS1221="","",Config!$B$15)</f>
        <v/>
      </c>
      <c r="D1221" t="str">
        <f>IF($AS1221="","",INDEX('TMP Paste'!$B$2:$B$1601,$AS1221))</f>
        <v/>
      </c>
      <c r="E1221" t="str">
        <f>IF($AS1221="","",Config!$B$27)</f>
        <v/>
      </c>
      <c r="F1221" t="str">
        <f>IF($AS1221="","",Config!$B$9)</f>
        <v/>
      </c>
      <c r="G1221" t="str">
        <f>IF($AS1221="","",Config!$B$10)</f>
        <v/>
      </c>
      <c r="H1221" t="str">
        <f>IF($AS1221="","",Config!$B$11)</f>
        <v/>
      </c>
      <c r="I1221" t="str">
        <f>IF($AS1221="","",Config!$B$16)</f>
        <v/>
      </c>
      <c r="J1221" t="str">
        <f>IF($AS1221="","",INDEX('TMP Paste'!$A$2:$A$1601,$AS1221))</f>
        <v/>
      </c>
      <c r="K1221" t="str">
        <f>IF($AS1221="","",INDEX('TMP Paste'!$L$2:$L$1601,$AS1221))</f>
        <v/>
      </c>
      <c r="L1221" t="str">
        <f>IF($AS1221="","",INDEX('TMP Paste'!$I$2:$I$1601,$AS1221))</f>
        <v/>
      </c>
      <c r="M1221" t="str">
        <f>IF($AS1221="","",Config!$B$16)</f>
        <v/>
      </c>
      <c r="N1221" t="str">
        <f t="shared" si="114"/>
        <v/>
      </c>
      <c r="O1221" t="str">
        <f>IF($AS1221="","",INDEX('TMP Paste'!$K$2:$K$1601,$AS1221))</f>
        <v/>
      </c>
      <c r="P1221" t="str">
        <f t="shared" si="115"/>
        <v/>
      </c>
      <c r="Q1221" t="str">
        <f>IF($AS1221="","",INDEX('TMP Paste'!$J$2:$J$1601,$AS1221))</f>
        <v/>
      </c>
      <c r="R1221" t="str">
        <f>IF($AS1221="","",Config!$B$24)</f>
        <v/>
      </c>
      <c r="S1221" t="str">
        <f ca="1">IF($AS1221="","",TEXT(Config!$B$4,"yyyy-mm-dd"))</f>
        <v/>
      </c>
      <c r="T1221" t="str">
        <f>IF($AS1221="","",Config!$B$17)</f>
        <v/>
      </c>
      <c r="U1221" t="str">
        <f>IF($AS1221="","",Config!$B$18)</f>
        <v/>
      </c>
      <c r="V1221" t="str">
        <f>IF($AS1221="","",Config!$B$19)</f>
        <v/>
      </c>
      <c r="W1221" t="str">
        <f>IF($AS1221="","",INDEX('TMP Paste'!$C$2:$C$1601,$AS1221))</f>
        <v/>
      </c>
      <c r="X1221" t="str">
        <f>IF($AS1221="","",Config!$B$29)</f>
        <v/>
      </c>
      <c r="Y1221" t="str">
        <f>IF($AT1221="","",INDEX(Calc!$I$2:$I$1601,$AT1221)&amp;" - "&amp;INDEX(Calc!$D$2:$D$1601,$AT1221)&amp;" koli")</f>
        <v/>
      </c>
      <c r="Z1221" t="str">
        <f>IF($AS1221="","",Config!$B$21)</f>
        <v/>
      </c>
      <c r="AA1221" t="str">
        <f>IF($AS1221="","",Config!$B$22)</f>
        <v/>
      </c>
      <c r="AB1221" t="str">
        <f>IF($AT1221="","",INDEX(Calc!$D$2:$D$1601,$AT1221))</f>
        <v/>
      </c>
      <c r="AC1221" t="str">
        <f>IF($AT1221="","",INDEX(Calc!$G$2:$G$1601,$AT1221))</f>
        <v/>
      </c>
      <c r="AD1221" t="str">
        <f>IF($AS1221="","",Config!$B$23)</f>
        <v/>
      </c>
      <c r="AE1221" t="str">
        <f>IF($AS1221="","",Config!$B$28)</f>
        <v/>
      </c>
      <c r="AF1221" t="str">
        <f t="shared" si="116"/>
        <v/>
      </c>
      <c r="AG1221" t="str">
        <f t="shared" si="117"/>
        <v/>
      </c>
      <c r="AH1221" t="str">
        <f t="shared" si="118"/>
        <v/>
      </c>
      <c r="AI1221" t="str">
        <f>IF($AG1221="","",SUMIF($AG$2:$AG1221,$AG1221,$AH$2:$AH1221))</f>
        <v/>
      </c>
      <c r="AJ1221" t="str">
        <f>IF('TMP Paste'!$F1221="","",IF('TMP Paste'!$B1221="",$AJ1220,'TMP Paste'!$B1221))</f>
        <v/>
      </c>
      <c r="AK1221" t="str">
        <f>IF('TMP Paste'!$F1221="","",N('TMP Paste'!$G1221))</f>
        <v/>
      </c>
      <c r="AL1221" t="str">
        <f>IF('TMP Paste'!$F1221="","",IF('TMP Paste'!$M1221="",$AL1220,'TMP Paste'!$M1221))</f>
        <v/>
      </c>
      <c r="AM1221" t="str">
        <f>IF('TMP Paste'!$F1221="","",IF('TMP Paste'!$N1221="",$AM1220,'TMP Paste'!$N1221))</f>
        <v/>
      </c>
      <c r="AN1221" t="str">
        <f>IF('TMP Paste'!$F1221="","",IF('TMP Paste'!$O1221="",$AN1220,'TMP Paste'!$O1221))</f>
        <v/>
      </c>
      <c r="AO1221" t="str">
        <f>IF('TMP Paste'!$F1221="","",IF('TMP Paste'!$P1221="",$AO1220,'TMP Paste'!$P1221))</f>
        <v/>
      </c>
      <c r="AP1221" t="str">
        <f t="shared" si="119"/>
        <v/>
      </c>
      <c r="AQ1221" t="str">
        <f>IF($AS1221="","",TRIM(IF(COUNTIFS(Calc!$B$2:$B$1601,ROW()-1,Calc!$C$2:$C$1601,"&lt;1")&gt;0,"Ada PO tanpa Koli - cek TMP. ","")&amp;IF(OR($AU1221="",$AU1221&lt;=0),"Volume kosong/0 - dimensi dikosongkan. ","")&amp;IF(AND($AU1221&lt;&gt;"",$AU1221&gt;=1000000),"Volume &gt;= 1.000.000 cm3 (di luar aturan) - dimensi dikosongkan. ","")&amp;IF(LEN($R1221)&gt;500,"R &gt; 500 karakter.","")))</f>
        <v/>
      </c>
      <c r="AS1221" t="str">
        <f>IFERROR(MATCH(ROW()-1,Calc!$J$2:$J$1601,0),"")</f>
        <v/>
      </c>
      <c r="AT1221" t="str">
        <f>IFERROR(MATCH(ROW()-1,Calc!$K$2:$K$1601,0),"")</f>
        <v/>
      </c>
      <c r="AU1221" t="str">
        <f>IF($AS1221="","",IFERROR(INDEX('TMP Paste'!$D$2:$D$1601,$AS1221)*1000000/$AB1221,""))</f>
        <v/>
      </c>
    </row>
    <row r="1222" spans="1:47">
      <c r="A1222" t="str">
        <f>IF($AS1222="","",INDEX('TMP Paste'!$B$2:$B$1601,$AS1222))</f>
        <v/>
      </c>
      <c r="B1222" t="str">
        <f>IF($AS1222="","",Config!$B$14)</f>
        <v/>
      </c>
      <c r="C1222" t="str">
        <f>IF($AS1222="","",Config!$B$15)</f>
        <v/>
      </c>
      <c r="D1222" t="str">
        <f>IF($AS1222="","",INDEX('TMP Paste'!$B$2:$B$1601,$AS1222))</f>
        <v/>
      </c>
      <c r="E1222" t="str">
        <f>IF($AS1222="","",Config!$B$27)</f>
        <v/>
      </c>
      <c r="F1222" t="str">
        <f>IF($AS1222="","",Config!$B$9)</f>
        <v/>
      </c>
      <c r="G1222" t="str">
        <f>IF($AS1222="","",Config!$B$10)</f>
        <v/>
      </c>
      <c r="H1222" t="str">
        <f>IF($AS1222="","",Config!$B$11)</f>
        <v/>
      </c>
      <c r="I1222" t="str">
        <f>IF($AS1222="","",Config!$B$16)</f>
        <v/>
      </c>
      <c r="J1222" t="str">
        <f>IF($AS1222="","",INDEX('TMP Paste'!$A$2:$A$1601,$AS1222))</f>
        <v/>
      </c>
      <c r="K1222" t="str">
        <f>IF($AS1222="","",INDEX('TMP Paste'!$L$2:$L$1601,$AS1222))</f>
        <v/>
      </c>
      <c r="L1222" t="str">
        <f>IF($AS1222="","",INDEX('TMP Paste'!$I$2:$I$1601,$AS1222))</f>
        <v/>
      </c>
      <c r="M1222" t="str">
        <f>IF($AS1222="","",Config!$B$16)</f>
        <v/>
      </c>
      <c r="N1222" t="str">
        <f t="shared" si="114"/>
        <v/>
      </c>
      <c r="O1222" t="str">
        <f>IF($AS1222="","",INDEX('TMP Paste'!$K$2:$K$1601,$AS1222))</f>
        <v/>
      </c>
      <c r="P1222" t="str">
        <f t="shared" si="115"/>
        <v/>
      </c>
      <c r="Q1222" t="str">
        <f>IF($AS1222="","",INDEX('TMP Paste'!$J$2:$J$1601,$AS1222))</f>
        <v/>
      </c>
      <c r="R1222" t="str">
        <f>IF($AS1222="","",Config!$B$24)</f>
        <v/>
      </c>
      <c r="S1222" t="str">
        <f ca="1">IF($AS1222="","",TEXT(Config!$B$4,"yyyy-mm-dd"))</f>
        <v/>
      </c>
      <c r="T1222" t="str">
        <f>IF($AS1222="","",Config!$B$17)</f>
        <v/>
      </c>
      <c r="U1222" t="str">
        <f>IF($AS1222="","",Config!$B$18)</f>
        <v/>
      </c>
      <c r="V1222" t="str">
        <f>IF($AS1222="","",Config!$B$19)</f>
        <v/>
      </c>
      <c r="W1222" t="str">
        <f>IF($AS1222="","",INDEX('TMP Paste'!$C$2:$C$1601,$AS1222))</f>
        <v/>
      </c>
      <c r="X1222" t="str">
        <f>IF($AS1222="","",Config!$B$29)</f>
        <v/>
      </c>
      <c r="Y1222" t="str">
        <f>IF($AT1222="","",INDEX(Calc!$I$2:$I$1601,$AT1222)&amp;" - "&amp;INDEX(Calc!$D$2:$D$1601,$AT1222)&amp;" koli")</f>
        <v/>
      </c>
      <c r="Z1222" t="str">
        <f>IF($AS1222="","",Config!$B$21)</f>
        <v/>
      </c>
      <c r="AA1222" t="str">
        <f>IF($AS1222="","",Config!$B$22)</f>
        <v/>
      </c>
      <c r="AB1222" t="str">
        <f>IF($AT1222="","",INDEX(Calc!$D$2:$D$1601,$AT1222))</f>
        <v/>
      </c>
      <c r="AC1222" t="str">
        <f>IF($AT1222="","",INDEX(Calc!$G$2:$G$1601,$AT1222))</f>
        <v/>
      </c>
      <c r="AD1222" t="str">
        <f>IF($AS1222="","",Config!$B$23)</f>
        <v/>
      </c>
      <c r="AE1222" t="str">
        <f>IF($AS1222="","",Config!$B$28)</f>
        <v/>
      </c>
      <c r="AF1222" t="str">
        <f t="shared" si="116"/>
        <v/>
      </c>
      <c r="AG1222" t="str">
        <f t="shared" si="117"/>
        <v/>
      </c>
      <c r="AH1222" t="str">
        <f t="shared" si="118"/>
        <v/>
      </c>
      <c r="AI1222" t="str">
        <f>IF($AG1222="","",SUMIF($AG$2:$AG1222,$AG1222,$AH$2:$AH1222))</f>
        <v/>
      </c>
      <c r="AJ1222" t="str">
        <f>IF('TMP Paste'!$F1222="","",IF('TMP Paste'!$B1222="",$AJ1221,'TMP Paste'!$B1222))</f>
        <v/>
      </c>
      <c r="AK1222" t="str">
        <f>IF('TMP Paste'!$F1222="","",N('TMP Paste'!$G1222))</f>
        <v/>
      </c>
      <c r="AL1222" t="str">
        <f>IF('TMP Paste'!$F1222="","",IF('TMP Paste'!$M1222="",$AL1221,'TMP Paste'!$M1222))</f>
        <v/>
      </c>
      <c r="AM1222" t="str">
        <f>IF('TMP Paste'!$F1222="","",IF('TMP Paste'!$N1222="",$AM1221,'TMP Paste'!$N1222))</f>
        <v/>
      </c>
      <c r="AN1222" t="str">
        <f>IF('TMP Paste'!$F1222="","",IF('TMP Paste'!$O1222="",$AN1221,'TMP Paste'!$O1222))</f>
        <v/>
      </c>
      <c r="AO1222" t="str">
        <f>IF('TMP Paste'!$F1222="","",IF('TMP Paste'!$P1222="",$AO1221,'TMP Paste'!$P1222))</f>
        <v/>
      </c>
      <c r="AP1222" t="str">
        <f t="shared" si="119"/>
        <v/>
      </c>
      <c r="AQ1222" t="str">
        <f>IF($AS1222="","",TRIM(IF(COUNTIFS(Calc!$B$2:$B$1601,ROW()-1,Calc!$C$2:$C$1601,"&lt;1")&gt;0,"Ada PO tanpa Koli - cek TMP. ","")&amp;IF(OR($AU1222="",$AU1222&lt;=0),"Volume kosong/0 - dimensi dikosongkan. ","")&amp;IF(AND($AU1222&lt;&gt;"",$AU1222&gt;=1000000),"Volume &gt;= 1.000.000 cm3 (di luar aturan) - dimensi dikosongkan. ","")&amp;IF(LEN($R1222)&gt;500,"R &gt; 500 karakter.","")))</f>
        <v/>
      </c>
      <c r="AS1222" t="str">
        <f>IFERROR(MATCH(ROW()-1,Calc!$J$2:$J$1601,0),"")</f>
        <v/>
      </c>
      <c r="AT1222" t="str">
        <f>IFERROR(MATCH(ROW()-1,Calc!$K$2:$K$1601,0),"")</f>
        <v/>
      </c>
      <c r="AU1222" t="str">
        <f>IF($AS1222="","",IFERROR(INDEX('TMP Paste'!$D$2:$D$1601,$AS1222)*1000000/$AB1222,""))</f>
        <v/>
      </c>
    </row>
    <row r="1223" spans="1:47">
      <c r="A1223" t="str">
        <f>IF($AS1223="","",INDEX('TMP Paste'!$B$2:$B$1601,$AS1223))</f>
        <v/>
      </c>
      <c r="B1223" t="str">
        <f>IF($AS1223="","",Config!$B$14)</f>
        <v/>
      </c>
      <c r="C1223" t="str">
        <f>IF($AS1223="","",Config!$B$15)</f>
        <v/>
      </c>
      <c r="D1223" t="str">
        <f>IF($AS1223="","",INDEX('TMP Paste'!$B$2:$B$1601,$AS1223))</f>
        <v/>
      </c>
      <c r="E1223" t="str">
        <f>IF($AS1223="","",Config!$B$27)</f>
        <v/>
      </c>
      <c r="F1223" t="str">
        <f>IF($AS1223="","",Config!$B$9)</f>
        <v/>
      </c>
      <c r="G1223" t="str">
        <f>IF($AS1223="","",Config!$B$10)</f>
        <v/>
      </c>
      <c r="H1223" t="str">
        <f>IF($AS1223="","",Config!$B$11)</f>
        <v/>
      </c>
      <c r="I1223" t="str">
        <f>IF($AS1223="","",Config!$B$16)</f>
        <v/>
      </c>
      <c r="J1223" t="str">
        <f>IF($AS1223="","",INDEX('TMP Paste'!$A$2:$A$1601,$AS1223))</f>
        <v/>
      </c>
      <c r="K1223" t="str">
        <f>IF($AS1223="","",INDEX('TMP Paste'!$L$2:$L$1601,$AS1223))</f>
        <v/>
      </c>
      <c r="L1223" t="str">
        <f>IF($AS1223="","",INDEX('TMP Paste'!$I$2:$I$1601,$AS1223))</f>
        <v/>
      </c>
      <c r="M1223" t="str">
        <f>IF($AS1223="","",Config!$B$16)</f>
        <v/>
      </c>
      <c r="N1223" t="str">
        <f t="shared" si="114"/>
        <v/>
      </c>
      <c r="O1223" t="str">
        <f>IF($AS1223="","",INDEX('TMP Paste'!$K$2:$K$1601,$AS1223))</f>
        <v/>
      </c>
      <c r="P1223" t="str">
        <f t="shared" si="115"/>
        <v/>
      </c>
      <c r="Q1223" t="str">
        <f>IF($AS1223="","",INDEX('TMP Paste'!$J$2:$J$1601,$AS1223))</f>
        <v/>
      </c>
      <c r="R1223" t="str">
        <f>IF($AS1223="","",Config!$B$24)</f>
        <v/>
      </c>
      <c r="S1223" t="str">
        <f ca="1">IF($AS1223="","",TEXT(Config!$B$4,"yyyy-mm-dd"))</f>
        <v/>
      </c>
      <c r="T1223" t="str">
        <f>IF($AS1223="","",Config!$B$17)</f>
        <v/>
      </c>
      <c r="U1223" t="str">
        <f>IF($AS1223="","",Config!$B$18)</f>
        <v/>
      </c>
      <c r="V1223" t="str">
        <f>IF($AS1223="","",Config!$B$19)</f>
        <v/>
      </c>
      <c r="W1223" t="str">
        <f>IF($AS1223="","",INDEX('TMP Paste'!$C$2:$C$1601,$AS1223))</f>
        <v/>
      </c>
      <c r="X1223" t="str">
        <f>IF($AS1223="","",Config!$B$29)</f>
        <v/>
      </c>
      <c r="Y1223" t="str">
        <f>IF($AT1223="","",INDEX(Calc!$I$2:$I$1601,$AT1223)&amp;" - "&amp;INDEX(Calc!$D$2:$D$1601,$AT1223)&amp;" koli")</f>
        <v/>
      </c>
      <c r="Z1223" t="str">
        <f>IF($AS1223="","",Config!$B$21)</f>
        <v/>
      </c>
      <c r="AA1223" t="str">
        <f>IF($AS1223="","",Config!$B$22)</f>
        <v/>
      </c>
      <c r="AB1223" t="str">
        <f>IF($AT1223="","",INDEX(Calc!$D$2:$D$1601,$AT1223))</f>
        <v/>
      </c>
      <c r="AC1223" t="str">
        <f>IF($AT1223="","",INDEX(Calc!$G$2:$G$1601,$AT1223))</f>
        <v/>
      </c>
      <c r="AD1223" t="str">
        <f>IF($AS1223="","",Config!$B$23)</f>
        <v/>
      </c>
      <c r="AE1223" t="str">
        <f>IF($AS1223="","",Config!$B$28)</f>
        <v/>
      </c>
      <c r="AF1223" t="str">
        <f t="shared" si="116"/>
        <v/>
      </c>
      <c r="AG1223" t="str">
        <f t="shared" si="117"/>
        <v/>
      </c>
      <c r="AH1223" t="str">
        <f t="shared" si="118"/>
        <v/>
      </c>
      <c r="AI1223" t="str">
        <f>IF($AG1223="","",SUMIF($AG$2:$AG1223,$AG1223,$AH$2:$AH1223))</f>
        <v/>
      </c>
      <c r="AJ1223" t="str">
        <f>IF('TMP Paste'!$F1223="","",IF('TMP Paste'!$B1223="",$AJ1222,'TMP Paste'!$B1223))</f>
        <v/>
      </c>
      <c r="AK1223" t="str">
        <f>IF('TMP Paste'!$F1223="","",N('TMP Paste'!$G1223))</f>
        <v/>
      </c>
      <c r="AL1223" t="str">
        <f>IF('TMP Paste'!$F1223="","",IF('TMP Paste'!$M1223="",$AL1222,'TMP Paste'!$M1223))</f>
        <v/>
      </c>
      <c r="AM1223" t="str">
        <f>IF('TMP Paste'!$F1223="","",IF('TMP Paste'!$N1223="",$AM1222,'TMP Paste'!$N1223))</f>
        <v/>
      </c>
      <c r="AN1223" t="str">
        <f>IF('TMP Paste'!$F1223="","",IF('TMP Paste'!$O1223="",$AN1222,'TMP Paste'!$O1223))</f>
        <v/>
      </c>
      <c r="AO1223" t="str">
        <f>IF('TMP Paste'!$F1223="","",IF('TMP Paste'!$P1223="",$AO1222,'TMP Paste'!$P1223))</f>
        <v/>
      </c>
      <c r="AP1223" t="str">
        <f t="shared" si="119"/>
        <v/>
      </c>
      <c r="AQ1223" t="str">
        <f>IF($AS1223="","",TRIM(IF(COUNTIFS(Calc!$B$2:$B$1601,ROW()-1,Calc!$C$2:$C$1601,"&lt;1")&gt;0,"Ada PO tanpa Koli - cek TMP. ","")&amp;IF(OR($AU1223="",$AU1223&lt;=0),"Volume kosong/0 - dimensi dikosongkan. ","")&amp;IF(AND($AU1223&lt;&gt;"",$AU1223&gt;=1000000),"Volume &gt;= 1.000.000 cm3 (di luar aturan) - dimensi dikosongkan. ","")&amp;IF(LEN($R1223)&gt;500,"R &gt; 500 karakter.","")))</f>
        <v/>
      </c>
      <c r="AS1223" t="str">
        <f>IFERROR(MATCH(ROW()-1,Calc!$J$2:$J$1601,0),"")</f>
        <v/>
      </c>
      <c r="AT1223" t="str">
        <f>IFERROR(MATCH(ROW()-1,Calc!$K$2:$K$1601,0),"")</f>
        <v/>
      </c>
      <c r="AU1223" t="str">
        <f>IF($AS1223="","",IFERROR(INDEX('TMP Paste'!$D$2:$D$1601,$AS1223)*1000000/$AB1223,""))</f>
        <v/>
      </c>
    </row>
    <row r="1224" spans="1:47">
      <c r="A1224" t="str">
        <f>IF($AS1224="","",INDEX('TMP Paste'!$B$2:$B$1601,$AS1224))</f>
        <v/>
      </c>
      <c r="B1224" t="str">
        <f>IF($AS1224="","",Config!$B$14)</f>
        <v/>
      </c>
      <c r="C1224" t="str">
        <f>IF($AS1224="","",Config!$B$15)</f>
        <v/>
      </c>
      <c r="D1224" t="str">
        <f>IF($AS1224="","",INDEX('TMP Paste'!$B$2:$B$1601,$AS1224))</f>
        <v/>
      </c>
      <c r="E1224" t="str">
        <f>IF($AS1224="","",Config!$B$27)</f>
        <v/>
      </c>
      <c r="F1224" t="str">
        <f>IF($AS1224="","",Config!$B$9)</f>
        <v/>
      </c>
      <c r="G1224" t="str">
        <f>IF($AS1224="","",Config!$B$10)</f>
        <v/>
      </c>
      <c r="H1224" t="str">
        <f>IF($AS1224="","",Config!$B$11)</f>
        <v/>
      </c>
      <c r="I1224" t="str">
        <f>IF($AS1224="","",Config!$B$16)</f>
        <v/>
      </c>
      <c r="J1224" t="str">
        <f>IF($AS1224="","",INDEX('TMP Paste'!$A$2:$A$1601,$AS1224))</f>
        <v/>
      </c>
      <c r="K1224" t="str">
        <f>IF($AS1224="","",INDEX('TMP Paste'!$L$2:$L$1601,$AS1224))</f>
        <v/>
      </c>
      <c r="L1224" t="str">
        <f>IF($AS1224="","",INDEX('TMP Paste'!$I$2:$I$1601,$AS1224))</f>
        <v/>
      </c>
      <c r="M1224" t="str">
        <f>IF($AS1224="","",Config!$B$16)</f>
        <v/>
      </c>
      <c r="N1224" t="str">
        <f t="shared" si="114"/>
        <v/>
      </c>
      <c r="O1224" t="str">
        <f>IF($AS1224="","",INDEX('TMP Paste'!$K$2:$K$1601,$AS1224))</f>
        <v/>
      </c>
      <c r="P1224" t="str">
        <f t="shared" si="115"/>
        <v/>
      </c>
      <c r="Q1224" t="str">
        <f>IF($AS1224="","",INDEX('TMP Paste'!$J$2:$J$1601,$AS1224))</f>
        <v/>
      </c>
      <c r="R1224" t="str">
        <f>IF($AS1224="","",Config!$B$24)</f>
        <v/>
      </c>
      <c r="S1224" t="str">
        <f ca="1">IF($AS1224="","",TEXT(Config!$B$4,"yyyy-mm-dd"))</f>
        <v/>
      </c>
      <c r="T1224" t="str">
        <f>IF($AS1224="","",Config!$B$17)</f>
        <v/>
      </c>
      <c r="U1224" t="str">
        <f>IF($AS1224="","",Config!$B$18)</f>
        <v/>
      </c>
      <c r="V1224" t="str">
        <f>IF($AS1224="","",Config!$B$19)</f>
        <v/>
      </c>
      <c r="W1224" t="str">
        <f>IF($AS1224="","",INDEX('TMP Paste'!$C$2:$C$1601,$AS1224))</f>
        <v/>
      </c>
      <c r="X1224" t="str">
        <f>IF($AS1224="","",Config!$B$29)</f>
        <v/>
      </c>
      <c r="Y1224" t="str">
        <f>IF($AT1224="","",INDEX(Calc!$I$2:$I$1601,$AT1224)&amp;" - "&amp;INDEX(Calc!$D$2:$D$1601,$AT1224)&amp;" koli")</f>
        <v/>
      </c>
      <c r="Z1224" t="str">
        <f>IF($AS1224="","",Config!$B$21)</f>
        <v/>
      </c>
      <c r="AA1224" t="str">
        <f>IF($AS1224="","",Config!$B$22)</f>
        <v/>
      </c>
      <c r="AB1224" t="str">
        <f>IF($AT1224="","",INDEX(Calc!$D$2:$D$1601,$AT1224))</f>
        <v/>
      </c>
      <c r="AC1224" t="str">
        <f>IF($AT1224="","",INDEX(Calc!$G$2:$G$1601,$AT1224))</f>
        <v/>
      </c>
      <c r="AD1224" t="str">
        <f>IF($AS1224="","",Config!$B$23)</f>
        <v/>
      </c>
      <c r="AE1224" t="str">
        <f>IF($AS1224="","",Config!$B$28)</f>
        <v/>
      </c>
      <c r="AF1224" t="str">
        <f t="shared" si="116"/>
        <v/>
      </c>
      <c r="AG1224" t="str">
        <f t="shared" si="117"/>
        <v/>
      </c>
      <c r="AH1224" t="str">
        <f t="shared" si="118"/>
        <v/>
      </c>
      <c r="AI1224" t="str">
        <f>IF($AG1224="","",SUMIF($AG$2:$AG1224,$AG1224,$AH$2:$AH1224))</f>
        <v/>
      </c>
      <c r="AJ1224" t="str">
        <f>IF('TMP Paste'!$F1224="","",IF('TMP Paste'!$B1224="",$AJ1223,'TMP Paste'!$B1224))</f>
        <v/>
      </c>
      <c r="AK1224" t="str">
        <f>IF('TMP Paste'!$F1224="","",N('TMP Paste'!$G1224))</f>
        <v/>
      </c>
      <c r="AL1224" t="str">
        <f>IF('TMP Paste'!$F1224="","",IF('TMP Paste'!$M1224="",$AL1223,'TMP Paste'!$M1224))</f>
        <v/>
      </c>
      <c r="AM1224" t="str">
        <f>IF('TMP Paste'!$F1224="","",IF('TMP Paste'!$N1224="",$AM1223,'TMP Paste'!$N1224))</f>
        <v/>
      </c>
      <c r="AN1224" t="str">
        <f>IF('TMP Paste'!$F1224="","",IF('TMP Paste'!$O1224="",$AN1223,'TMP Paste'!$O1224))</f>
        <v/>
      </c>
      <c r="AO1224" t="str">
        <f>IF('TMP Paste'!$F1224="","",IF('TMP Paste'!$P1224="",$AO1223,'TMP Paste'!$P1224))</f>
        <v/>
      </c>
      <c r="AP1224" t="str">
        <f t="shared" si="119"/>
        <v/>
      </c>
      <c r="AQ1224" t="str">
        <f>IF($AS1224="","",TRIM(IF(COUNTIFS(Calc!$B$2:$B$1601,ROW()-1,Calc!$C$2:$C$1601,"&lt;1")&gt;0,"Ada PO tanpa Koli - cek TMP. ","")&amp;IF(OR($AU1224="",$AU1224&lt;=0),"Volume kosong/0 - dimensi dikosongkan. ","")&amp;IF(AND($AU1224&lt;&gt;"",$AU1224&gt;=1000000),"Volume &gt;= 1.000.000 cm3 (di luar aturan) - dimensi dikosongkan. ","")&amp;IF(LEN($R1224)&gt;500,"R &gt; 500 karakter.","")))</f>
        <v/>
      </c>
      <c r="AS1224" t="str">
        <f>IFERROR(MATCH(ROW()-1,Calc!$J$2:$J$1601,0),"")</f>
        <v/>
      </c>
      <c r="AT1224" t="str">
        <f>IFERROR(MATCH(ROW()-1,Calc!$K$2:$K$1601,0),"")</f>
        <v/>
      </c>
      <c r="AU1224" t="str">
        <f>IF($AS1224="","",IFERROR(INDEX('TMP Paste'!$D$2:$D$1601,$AS1224)*1000000/$AB1224,""))</f>
        <v/>
      </c>
    </row>
    <row r="1225" spans="1:47">
      <c r="A1225" t="str">
        <f>IF($AS1225="","",INDEX('TMP Paste'!$B$2:$B$1601,$AS1225))</f>
        <v/>
      </c>
      <c r="B1225" t="str">
        <f>IF($AS1225="","",Config!$B$14)</f>
        <v/>
      </c>
      <c r="C1225" t="str">
        <f>IF($AS1225="","",Config!$B$15)</f>
        <v/>
      </c>
      <c r="D1225" t="str">
        <f>IF($AS1225="","",INDEX('TMP Paste'!$B$2:$B$1601,$AS1225))</f>
        <v/>
      </c>
      <c r="E1225" t="str">
        <f>IF($AS1225="","",Config!$B$27)</f>
        <v/>
      </c>
      <c r="F1225" t="str">
        <f>IF($AS1225="","",Config!$B$9)</f>
        <v/>
      </c>
      <c r="G1225" t="str">
        <f>IF($AS1225="","",Config!$B$10)</f>
        <v/>
      </c>
      <c r="H1225" t="str">
        <f>IF($AS1225="","",Config!$B$11)</f>
        <v/>
      </c>
      <c r="I1225" t="str">
        <f>IF($AS1225="","",Config!$B$16)</f>
        <v/>
      </c>
      <c r="J1225" t="str">
        <f>IF($AS1225="","",INDEX('TMP Paste'!$A$2:$A$1601,$AS1225))</f>
        <v/>
      </c>
      <c r="K1225" t="str">
        <f>IF($AS1225="","",INDEX('TMP Paste'!$L$2:$L$1601,$AS1225))</f>
        <v/>
      </c>
      <c r="L1225" t="str">
        <f>IF($AS1225="","",INDEX('TMP Paste'!$I$2:$I$1601,$AS1225))</f>
        <v/>
      </c>
      <c r="M1225" t="str">
        <f>IF($AS1225="","",Config!$B$16)</f>
        <v/>
      </c>
      <c r="N1225" t="str">
        <f t="shared" si="114"/>
        <v/>
      </c>
      <c r="O1225" t="str">
        <f>IF($AS1225="","",INDEX('TMP Paste'!$K$2:$K$1601,$AS1225))</f>
        <v/>
      </c>
      <c r="P1225" t="str">
        <f t="shared" si="115"/>
        <v/>
      </c>
      <c r="Q1225" t="str">
        <f>IF($AS1225="","",INDEX('TMP Paste'!$J$2:$J$1601,$AS1225))</f>
        <v/>
      </c>
      <c r="R1225" t="str">
        <f>IF($AS1225="","",Config!$B$24)</f>
        <v/>
      </c>
      <c r="S1225" t="str">
        <f ca="1">IF($AS1225="","",TEXT(Config!$B$4,"yyyy-mm-dd"))</f>
        <v/>
      </c>
      <c r="T1225" t="str">
        <f>IF($AS1225="","",Config!$B$17)</f>
        <v/>
      </c>
      <c r="U1225" t="str">
        <f>IF($AS1225="","",Config!$B$18)</f>
        <v/>
      </c>
      <c r="V1225" t="str">
        <f>IF($AS1225="","",Config!$B$19)</f>
        <v/>
      </c>
      <c r="W1225" t="str">
        <f>IF($AS1225="","",INDEX('TMP Paste'!$C$2:$C$1601,$AS1225))</f>
        <v/>
      </c>
      <c r="X1225" t="str">
        <f>IF($AS1225="","",Config!$B$29)</f>
        <v/>
      </c>
      <c r="Y1225" t="str">
        <f>IF($AT1225="","",INDEX(Calc!$I$2:$I$1601,$AT1225)&amp;" - "&amp;INDEX(Calc!$D$2:$D$1601,$AT1225)&amp;" koli")</f>
        <v/>
      </c>
      <c r="Z1225" t="str">
        <f>IF($AS1225="","",Config!$B$21)</f>
        <v/>
      </c>
      <c r="AA1225" t="str">
        <f>IF($AS1225="","",Config!$B$22)</f>
        <v/>
      </c>
      <c r="AB1225" t="str">
        <f>IF($AT1225="","",INDEX(Calc!$D$2:$D$1601,$AT1225))</f>
        <v/>
      </c>
      <c r="AC1225" t="str">
        <f>IF($AT1225="","",INDEX(Calc!$G$2:$G$1601,$AT1225))</f>
        <v/>
      </c>
      <c r="AD1225" t="str">
        <f>IF($AS1225="","",Config!$B$23)</f>
        <v/>
      </c>
      <c r="AE1225" t="str">
        <f>IF($AS1225="","",Config!$B$28)</f>
        <v/>
      </c>
      <c r="AF1225" t="str">
        <f t="shared" si="116"/>
        <v/>
      </c>
      <c r="AG1225" t="str">
        <f t="shared" si="117"/>
        <v/>
      </c>
      <c r="AH1225" t="str">
        <f t="shared" si="118"/>
        <v/>
      </c>
      <c r="AI1225" t="str">
        <f>IF($AG1225="","",SUMIF($AG$2:$AG1225,$AG1225,$AH$2:$AH1225))</f>
        <v/>
      </c>
      <c r="AJ1225" t="str">
        <f>IF('TMP Paste'!$F1225="","",IF('TMP Paste'!$B1225="",$AJ1224,'TMP Paste'!$B1225))</f>
        <v/>
      </c>
      <c r="AK1225" t="str">
        <f>IF('TMP Paste'!$F1225="","",N('TMP Paste'!$G1225))</f>
        <v/>
      </c>
      <c r="AL1225" t="str">
        <f>IF('TMP Paste'!$F1225="","",IF('TMP Paste'!$M1225="",$AL1224,'TMP Paste'!$M1225))</f>
        <v/>
      </c>
      <c r="AM1225" t="str">
        <f>IF('TMP Paste'!$F1225="","",IF('TMP Paste'!$N1225="",$AM1224,'TMP Paste'!$N1225))</f>
        <v/>
      </c>
      <c r="AN1225" t="str">
        <f>IF('TMP Paste'!$F1225="","",IF('TMP Paste'!$O1225="",$AN1224,'TMP Paste'!$O1225))</f>
        <v/>
      </c>
      <c r="AO1225" t="str">
        <f>IF('TMP Paste'!$F1225="","",IF('TMP Paste'!$P1225="",$AO1224,'TMP Paste'!$P1225))</f>
        <v/>
      </c>
      <c r="AP1225" t="str">
        <f t="shared" si="119"/>
        <v/>
      </c>
      <c r="AQ1225" t="str">
        <f>IF($AS1225="","",TRIM(IF(COUNTIFS(Calc!$B$2:$B$1601,ROW()-1,Calc!$C$2:$C$1601,"&lt;1")&gt;0,"Ada PO tanpa Koli - cek TMP. ","")&amp;IF(OR($AU1225="",$AU1225&lt;=0),"Volume kosong/0 - dimensi dikosongkan. ","")&amp;IF(AND($AU1225&lt;&gt;"",$AU1225&gt;=1000000),"Volume &gt;= 1.000.000 cm3 (di luar aturan) - dimensi dikosongkan. ","")&amp;IF(LEN($R1225)&gt;500,"R &gt; 500 karakter.","")))</f>
        <v/>
      </c>
      <c r="AS1225" t="str">
        <f>IFERROR(MATCH(ROW()-1,Calc!$J$2:$J$1601,0),"")</f>
        <v/>
      </c>
      <c r="AT1225" t="str">
        <f>IFERROR(MATCH(ROW()-1,Calc!$K$2:$K$1601,0),"")</f>
        <v/>
      </c>
      <c r="AU1225" t="str">
        <f>IF($AS1225="","",IFERROR(INDEX('TMP Paste'!$D$2:$D$1601,$AS1225)*1000000/$AB1225,""))</f>
        <v/>
      </c>
    </row>
    <row r="1226" spans="1:47">
      <c r="A1226" t="str">
        <f>IF($AS1226="","",INDEX('TMP Paste'!$B$2:$B$1601,$AS1226))</f>
        <v/>
      </c>
      <c r="B1226" t="str">
        <f>IF($AS1226="","",Config!$B$14)</f>
        <v/>
      </c>
      <c r="C1226" t="str">
        <f>IF($AS1226="","",Config!$B$15)</f>
        <v/>
      </c>
      <c r="D1226" t="str">
        <f>IF($AS1226="","",INDEX('TMP Paste'!$B$2:$B$1601,$AS1226))</f>
        <v/>
      </c>
      <c r="E1226" t="str">
        <f>IF($AS1226="","",Config!$B$27)</f>
        <v/>
      </c>
      <c r="F1226" t="str">
        <f>IF($AS1226="","",Config!$B$9)</f>
        <v/>
      </c>
      <c r="G1226" t="str">
        <f>IF($AS1226="","",Config!$B$10)</f>
        <v/>
      </c>
      <c r="H1226" t="str">
        <f>IF($AS1226="","",Config!$B$11)</f>
        <v/>
      </c>
      <c r="I1226" t="str">
        <f>IF($AS1226="","",Config!$B$16)</f>
        <v/>
      </c>
      <c r="J1226" t="str">
        <f>IF($AS1226="","",INDEX('TMP Paste'!$A$2:$A$1601,$AS1226))</f>
        <v/>
      </c>
      <c r="K1226" t="str">
        <f>IF($AS1226="","",INDEX('TMP Paste'!$L$2:$L$1601,$AS1226))</f>
        <v/>
      </c>
      <c r="L1226" t="str">
        <f>IF($AS1226="","",INDEX('TMP Paste'!$I$2:$I$1601,$AS1226))</f>
        <v/>
      </c>
      <c r="M1226" t="str">
        <f>IF($AS1226="","",Config!$B$16)</f>
        <v/>
      </c>
      <c r="N1226" t="str">
        <f t="shared" si="114"/>
        <v/>
      </c>
      <c r="O1226" t="str">
        <f>IF($AS1226="","",INDEX('TMP Paste'!$K$2:$K$1601,$AS1226))</f>
        <v/>
      </c>
      <c r="P1226" t="str">
        <f t="shared" si="115"/>
        <v/>
      </c>
      <c r="Q1226" t="str">
        <f>IF($AS1226="","",INDEX('TMP Paste'!$J$2:$J$1601,$AS1226))</f>
        <v/>
      </c>
      <c r="R1226" t="str">
        <f>IF($AS1226="","",Config!$B$24)</f>
        <v/>
      </c>
      <c r="S1226" t="str">
        <f ca="1">IF($AS1226="","",TEXT(Config!$B$4,"yyyy-mm-dd"))</f>
        <v/>
      </c>
      <c r="T1226" t="str">
        <f>IF($AS1226="","",Config!$B$17)</f>
        <v/>
      </c>
      <c r="U1226" t="str">
        <f>IF($AS1226="","",Config!$B$18)</f>
        <v/>
      </c>
      <c r="V1226" t="str">
        <f>IF($AS1226="","",Config!$B$19)</f>
        <v/>
      </c>
      <c r="W1226" t="str">
        <f>IF($AS1226="","",INDEX('TMP Paste'!$C$2:$C$1601,$AS1226))</f>
        <v/>
      </c>
      <c r="X1226" t="str">
        <f>IF($AS1226="","",Config!$B$29)</f>
        <v/>
      </c>
      <c r="Y1226" t="str">
        <f>IF($AT1226="","",INDEX(Calc!$I$2:$I$1601,$AT1226)&amp;" - "&amp;INDEX(Calc!$D$2:$D$1601,$AT1226)&amp;" koli")</f>
        <v/>
      </c>
      <c r="Z1226" t="str">
        <f>IF($AS1226="","",Config!$B$21)</f>
        <v/>
      </c>
      <c r="AA1226" t="str">
        <f>IF($AS1226="","",Config!$B$22)</f>
        <v/>
      </c>
      <c r="AB1226" t="str">
        <f>IF($AT1226="","",INDEX(Calc!$D$2:$D$1601,$AT1226))</f>
        <v/>
      </c>
      <c r="AC1226" t="str">
        <f>IF($AT1226="","",INDEX(Calc!$G$2:$G$1601,$AT1226))</f>
        <v/>
      </c>
      <c r="AD1226" t="str">
        <f>IF($AS1226="","",Config!$B$23)</f>
        <v/>
      </c>
      <c r="AE1226" t="str">
        <f>IF($AS1226="","",Config!$B$28)</f>
        <v/>
      </c>
      <c r="AF1226" t="str">
        <f t="shared" si="116"/>
        <v/>
      </c>
      <c r="AG1226" t="str">
        <f t="shared" si="117"/>
        <v/>
      </c>
      <c r="AH1226" t="str">
        <f t="shared" si="118"/>
        <v/>
      </c>
      <c r="AI1226" t="str">
        <f>IF($AG1226="","",SUMIF($AG$2:$AG1226,$AG1226,$AH$2:$AH1226))</f>
        <v/>
      </c>
      <c r="AJ1226" t="str">
        <f>IF('TMP Paste'!$F1226="","",IF('TMP Paste'!$B1226="",$AJ1225,'TMP Paste'!$B1226))</f>
        <v/>
      </c>
      <c r="AK1226" t="str">
        <f>IF('TMP Paste'!$F1226="","",N('TMP Paste'!$G1226))</f>
        <v/>
      </c>
      <c r="AL1226" t="str">
        <f>IF('TMP Paste'!$F1226="","",IF('TMP Paste'!$M1226="",$AL1225,'TMP Paste'!$M1226))</f>
        <v/>
      </c>
      <c r="AM1226" t="str">
        <f>IF('TMP Paste'!$F1226="","",IF('TMP Paste'!$N1226="",$AM1225,'TMP Paste'!$N1226))</f>
        <v/>
      </c>
      <c r="AN1226" t="str">
        <f>IF('TMP Paste'!$F1226="","",IF('TMP Paste'!$O1226="",$AN1225,'TMP Paste'!$O1226))</f>
        <v/>
      </c>
      <c r="AO1226" t="str">
        <f>IF('TMP Paste'!$F1226="","",IF('TMP Paste'!$P1226="",$AO1225,'TMP Paste'!$P1226))</f>
        <v/>
      </c>
      <c r="AP1226" t="str">
        <f t="shared" si="119"/>
        <v/>
      </c>
      <c r="AQ1226" t="str">
        <f>IF($AS1226="","",TRIM(IF(COUNTIFS(Calc!$B$2:$B$1601,ROW()-1,Calc!$C$2:$C$1601,"&lt;1")&gt;0,"Ada PO tanpa Koli - cek TMP. ","")&amp;IF(OR($AU1226="",$AU1226&lt;=0),"Volume kosong/0 - dimensi dikosongkan. ","")&amp;IF(AND($AU1226&lt;&gt;"",$AU1226&gt;=1000000),"Volume &gt;= 1.000.000 cm3 (di luar aturan) - dimensi dikosongkan. ","")&amp;IF(LEN($R1226)&gt;500,"R &gt; 500 karakter.","")))</f>
        <v/>
      </c>
      <c r="AS1226" t="str">
        <f>IFERROR(MATCH(ROW()-1,Calc!$J$2:$J$1601,0),"")</f>
        <v/>
      </c>
      <c r="AT1226" t="str">
        <f>IFERROR(MATCH(ROW()-1,Calc!$K$2:$K$1601,0),"")</f>
        <v/>
      </c>
      <c r="AU1226" t="str">
        <f>IF($AS1226="","",IFERROR(INDEX('TMP Paste'!$D$2:$D$1601,$AS1226)*1000000/$AB1226,""))</f>
        <v/>
      </c>
    </row>
    <row r="1227" spans="1:47">
      <c r="A1227" t="str">
        <f>IF($AS1227="","",INDEX('TMP Paste'!$B$2:$B$1601,$AS1227))</f>
        <v/>
      </c>
      <c r="B1227" t="str">
        <f>IF($AS1227="","",Config!$B$14)</f>
        <v/>
      </c>
      <c r="C1227" t="str">
        <f>IF($AS1227="","",Config!$B$15)</f>
        <v/>
      </c>
      <c r="D1227" t="str">
        <f>IF($AS1227="","",INDEX('TMP Paste'!$B$2:$B$1601,$AS1227))</f>
        <v/>
      </c>
      <c r="E1227" t="str">
        <f>IF($AS1227="","",Config!$B$27)</f>
        <v/>
      </c>
      <c r="F1227" t="str">
        <f>IF($AS1227="","",Config!$B$9)</f>
        <v/>
      </c>
      <c r="G1227" t="str">
        <f>IF($AS1227="","",Config!$B$10)</f>
        <v/>
      </c>
      <c r="H1227" t="str">
        <f>IF($AS1227="","",Config!$B$11)</f>
        <v/>
      </c>
      <c r="I1227" t="str">
        <f>IF($AS1227="","",Config!$B$16)</f>
        <v/>
      </c>
      <c r="J1227" t="str">
        <f>IF($AS1227="","",INDEX('TMP Paste'!$A$2:$A$1601,$AS1227))</f>
        <v/>
      </c>
      <c r="K1227" t="str">
        <f>IF($AS1227="","",INDEX('TMP Paste'!$L$2:$L$1601,$AS1227))</f>
        <v/>
      </c>
      <c r="L1227" t="str">
        <f>IF($AS1227="","",INDEX('TMP Paste'!$I$2:$I$1601,$AS1227))</f>
        <v/>
      </c>
      <c r="M1227" t="str">
        <f>IF($AS1227="","",Config!$B$16)</f>
        <v/>
      </c>
      <c r="N1227" t="str">
        <f t="shared" si="114"/>
        <v/>
      </c>
      <c r="O1227" t="str">
        <f>IF($AS1227="","",INDEX('TMP Paste'!$K$2:$K$1601,$AS1227))</f>
        <v/>
      </c>
      <c r="P1227" t="str">
        <f t="shared" si="115"/>
        <v/>
      </c>
      <c r="Q1227" t="str">
        <f>IF($AS1227="","",INDEX('TMP Paste'!$J$2:$J$1601,$AS1227))</f>
        <v/>
      </c>
      <c r="R1227" t="str">
        <f>IF($AS1227="","",Config!$B$24)</f>
        <v/>
      </c>
      <c r="S1227" t="str">
        <f ca="1">IF($AS1227="","",TEXT(Config!$B$4,"yyyy-mm-dd"))</f>
        <v/>
      </c>
      <c r="T1227" t="str">
        <f>IF($AS1227="","",Config!$B$17)</f>
        <v/>
      </c>
      <c r="U1227" t="str">
        <f>IF($AS1227="","",Config!$B$18)</f>
        <v/>
      </c>
      <c r="V1227" t="str">
        <f>IF($AS1227="","",Config!$B$19)</f>
        <v/>
      </c>
      <c r="W1227" t="str">
        <f>IF($AS1227="","",INDEX('TMP Paste'!$C$2:$C$1601,$AS1227))</f>
        <v/>
      </c>
      <c r="X1227" t="str">
        <f>IF($AS1227="","",Config!$B$29)</f>
        <v/>
      </c>
      <c r="Y1227" t="str">
        <f>IF($AT1227="","",INDEX(Calc!$I$2:$I$1601,$AT1227)&amp;" - "&amp;INDEX(Calc!$D$2:$D$1601,$AT1227)&amp;" koli")</f>
        <v/>
      </c>
      <c r="Z1227" t="str">
        <f>IF($AS1227="","",Config!$B$21)</f>
        <v/>
      </c>
      <c r="AA1227" t="str">
        <f>IF($AS1227="","",Config!$B$22)</f>
        <v/>
      </c>
      <c r="AB1227" t="str">
        <f>IF($AT1227="","",INDEX(Calc!$D$2:$D$1601,$AT1227))</f>
        <v/>
      </c>
      <c r="AC1227" t="str">
        <f>IF($AT1227="","",INDEX(Calc!$G$2:$G$1601,$AT1227))</f>
        <v/>
      </c>
      <c r="AD1227" t="str">
        <f>IF($AS1227="","",Config!$B$23)</f>
        <v/>
      </c>
      <c r="AE1227" t="str">
        <f>IF($AS1227="","",Config!$B$28)</f>
        <v/>
      </c>
      <c r="AF1227" t="str">
        <f t="shared" si="116"/>
        <v/>
      </c>
      <c r="AG1227" t="str">
        <f t="shared" si="117"/>
        <v/>
      </c>
      <c r="AH1227" t="str">
        <f t="shared" si="118"/>
        <v/>
      </c>
      <c r="AI1227" t="str">
        <f>IF($AG1227="","",SUMIF($AG$2:$AG1227,$AG1227,$AH$2:$AH1227))</f>
        <v/>
      </c>
      <c r="AJ1227" t="str">
        <f>IF('TMP Paste'!$F1227="","",IF('TMP Paste'!$B1227="",$AJ1226,'TMP Paste'!$B1227))</f>
        <v/>
      </c>
      <c r="AK1227" t="str">
        <f>IF('TMP Paste'!$F1227="","",N('TMP Paste'!$G1227))</f>
        <v/>
      </c>
      <c r="AL1227" t="str">
        <f>IF('TMP Paste'!$F1227="","",IF('TMP Paste'!$M1227="",$AL1226,'TMP Paste'!$M1227))</f>
        <v/>
      </c>
      <c r="AM1227" t="str">
        <f>IF('TMP Paste'!$F1227="","",IF('TMP Paste'!$N1227="",$AM1226,'TMP Paste'!$N1227))</f>
        <v/>
      </c>
      <c r="AN1227" t="str">
        <f>IF('TMP Paste'!$F1227="","",IF('TMP Paste'!$O1227="",$AN1226,'TMP Paste'!$O1227))</f>
        <v/>
      </c>
      <c r="AO1227" t="str">
        <f>IF('TMP Paste'!$F1227="","",IF('TMP Paste'!$P1227="",$AO1226,'TMP Paste'!$P1227))</f>
        <v/>
      </c>
      <c r="AP1227" t="str">
        <f t="shared" si="119"/>
        <v/>
      </c>
      <c r="AQ1227" t="str">
        <f>IF($AS1227="","",TRIM(IF(COUNTIFS(Calc!$B$2:$B$1601,ROW()-1,Calc!$C$2:$C$1601,"&lt;1")&gt;0,"Ada PO tanpa Koli - cek TMP. ","")&amp;IF(OR($AU1227="",$AU1227&lt;=0),"Volume kosong/0 - dimensi dikosongkan. ","")&amp;IF(AND($AU1227&lt;&gt;"",$AU1227&gt;=1000000),"Volume &gt;= 1.000.000 cm3 (di luar aturan) - dimensi dikosongkan. ","")&amp;IF(LEN($R1227)&gt;500,"R &gt; 500 karakter.","")))</f>
        <v/>
      </c>
      <c r="AS1227" t="str">
        <f>IFERROR(MATCH(ROW()-1,Calc!$J$2:$J$1601,0),"")</f>
        <v/>
      </c>
      <c r="AT1227" t="str">
        <f>IFERROR(MATCH(ROW()-1,Calc!$K$2:$K$1601,0),"")</f>
        <v/>
      </c>
      <c r="AU1227" t="str">
        <f>IF($AS1227="","",IFERROR(INDEX('TMP Paste'!$D$2:$D$1601,$AS1227)*1000000/$AB1227,""))</f>
        <v/>
      </c>
    </row>
    <row r="1228" spans="1:47">
      <c r="A1228" t="str">
        <f>IF($AS1228="","",INDEX('TMP Paste'!$B$2:$B$1601,$AS1228))</f>
        <v/>
      </c>
      <c r="B1228" t="str">
        <f>IF($AS1228="","",Config!$B$14)</f>
        <v/>
      </c>
      <c r="C1228" t="str">
        <f>IF($AS1228="","",Config!$B$15)</f>
        <v/>
      </c>
      <c r="D1228" t="str">
        <f>IF($AS1228="","",INDEX('TMP Paste'!$B$2:$B$1601,$AS1228))</f>
        <v/>
      </c>
      <c r="E1228" t="str">
        <f>IF($AS1228="","",Config!$B$27)</f>
        <v/>
      </c>
      <c r="F1228" t="str">
        <f>IF($AS1228="","",Config!$B$9)</f>
        <v/>
      </c>
      <c r="G1228" t="str">
        <f>IF($AS1228="","",Config!$B$10)</f>
        <v/>
      </c>
      <c r="H1228" t="str">
        <f>IF($AS1228="","",Config!$B$11)</f>
        <v/>
      </c>
      <c r="I1228" t="str">
        <f>IF($AS1228="","",Config!$B$16)</f>
        <v/>
      </c>
      <c r="J1228" t="str">
        <f>IF($AS1228="","",INDEX('TMP Paste'!$A$2:$A$1601,$AS1228))</f>
        <v/>
      </c>
      <c r="K1228" t="str">
        <f>IF($AS1228="","",INDEX('TMP Paste'!$L$2:$L$1601,$AS1228))</f>
        <v/>
      </c>
      <c r="L1228" t="str">
        <f>IF($AS1228="","",INDEX('TMP Paste'!$I$2:$I$1601,$AS1228))</f>
        <v/>
      </c>
      <c r="M1228" t="str">
        <f>IF($AS1228="","",Config!$B$16)</f>
        <v/>
      </c>
      <c r="N1228" t="str">
        <f t="shared" si="114"/>
        <v/>
      </c>
      <c r="O1228" t="str">
        <f>IF($AS1228="","",INDEX('TMP Paste'!$K$2:$K$1601,$AS1228))</f>
        <v/>
      </c>
      <c r="P1228" t="str">
        <f t="shared" si="115"/>
        <v/>
      </c>
      <c r="Q1228" t="str">
        <f>IF($AS1228="","",INDEX('TMP Paste'!$J$2:$J$1601,$AS1228))</f>
        <v/>
      </c>
      <c r="R1228" t="str">
        <f>IF($AS1228="","",Config!$B$24)</f>
        <v/>
      </c>
      <c r="S1228" t="str">
        <f ca="1">IF($AS1228="","",TEXT(Config!$B$4,"yyyy-mm-dd"))</f>
        <v/>
      </c>
      <c r="T1228" t="str">
        <f>IF($AS1228="","",Config!$B$17)</f>
        <v/>
      </c>
      <c r="U1228" t="str">
        <f>IF($AS1228="","",Config!$B$18)</f>
        <v/>
      </c>
      <c r="V1228" t="str">
        <f>IF($AS1228="","",Config!$B$19)</f>
        <v/>
      </c>
      <c r="W1228" t="str">
        <f>IF($AS1228="","",INDEX('TMP Paste'!$C$2:$C$1601,$AS1228))</f>
        <v/>
      </c>
      <c r="X1228" t="str">
        <f>IF($AS1228="","",Config!$B$29)</f>
        <v/>
      </c>
      <c r="Y1228" t="str">
        <f>IF($AT1228="","",INDEX(Calc!$I$2:$I$1601,$AT1228)&amp;" - "&amp;INDEX(Calc!$D$2:$D$1601,$AT1228)&amp;" koli")</f>
        <v/>
      </c>
      <c r="Z1228" t="str">
        <f>IF($AS1228="","",Config!$B$21)</f>
        <v/>
      </c>
      <c r="AA1228" t="str">
        <f>IF($AS1228="","",Config!$B$22)</f>
        <v/>
      </c>
      <c r="AB1228" t="str">
        <f>IF($AT1228="","",INDEX(Calc!$D$2:$D$1601,$AT1228))</f>
        <v/>
      </c>
      <c r="AC1228" t="str">
        <f>IF($AT1228="","",INDEX(Calc!$G$2:$G$1601,$AT1228))</f>
        <v/>
      </c>
      <c r="AD1228" t="str">
        <f>IF($AS1228="","",Config!$B$23)</f>
        <v/>
      </c>
      <c r="AE1228" t="str">
        <f>IF($AS1228="","",Config!$B$28)</f>
        <v/>
      </c>
      <c r="AF1228" t="str">
        <f t="shared" si="116"/>
        <v/>
      </c>
      <c r="AG1228" t="str">
        <f t="shared" si="117"/>
        <v/>
      </c>
      <c r="AH1228" t="str">
        <f t="shared" si="118"/>
        <v/>
      </c>
      <c r="AI1228" t="str">
        <f>IF($AG1228="","",SUMIF($AG$2:$AG1228,$AG1228,$AH$2:$AH1228))</f>
        <v/>
      </c>
      <c r="AJ1228" t="str">
        <f>IF('TMP Paste'!$F1228="","",IF('TMP Paste'!$B1228="",$AJ1227,'TMP Paste'!$B1228))</f>
        <v/>
      </c>
      <c r="AK1228" t="str">
        <f>IF('TMP Paste'!$F1228="","",N('TMP Paste'!$G1228))</f>
        <v/>
      </c>
      <c r="AL1228" t="str">
        <f>IF('TMP Paste'!$F1228="","",IF('TMP Paste'!$M1228="",$AL1227,'TMP Paste'!$M1228))</f>
        <v/>
      </c>
      <c r="AM1228" t="str">
        <f>IF('TMP Paste'!$F1228="","",IF('TMP Paste'!$N1228="",$AM1227,'TMP Paste'!$N1228))</f>
        <v/>
      </c>
      <c r="AN1228" t="str">
        <f>IF('TMP Paste'!$F1228="","",IF('TMP Paste'!$O1228="",$AN1227,'TMP Paste'!$O1228))</f>
        <v/>
      </c>
      <c r="AO1228" t="str">
        <f>IF('TMP Paste'!$F1228="","",IF('TMP Paste'!$P1228="",$AO1227,'TMP Paste'!$P1228))</f>
        <v/>
      </c>
      <c r="AP1228" t="str">
        <f t="shared" si="119"/>
        <v/>
      </c>
      <c r="AQ1228" t="str">
        <f>IF($AS1228="","",TRIM(IF(COUNTIFS(Calc!$B$2:$B$1601,ROW()-1,Calc!$C$2:$C$1601,"&lt;1")&gt;0,"Ada PO tanpa Koli - cek TMP. ","")&amp;IF(OR($AU1228="",$AU1228&lt;=0),"Volume kosong/0 - dimensi dikosongkan. ","")&amp;IF(AND($AU1228&lt;&gt;"",$AU1228&gt;=1000000),"Volume &gt;= 1.000.000 cm3 (di luar aturan) - dimensi dikosongkan. ","")&amp;IF(LEN($R1228)&gt;500,"R &gt; 500 karakter.","")))</f>
        <v/>
      </c>
      <c r="AS1228" t="str">
        <f>IFERROR(MATCH(ROW()-1,Calc!$J$2:$J$1601,0),"")</f>
        <v/>
      </c>
      <c r="AT1228" t="str">
        <f>IFERROR(MATCH(ROW()-1,Calc!$K$2:$K$1601,0),"")</f>
        <v/>
      </c>
      <c r="AU1228" t="str">
        <f>IF($AS1228="","",IFERROR(INDEX('TMP Paste'!$D$2:$D$1601,$AS1228)*1000000/$AB1228,""))</f>
        <v/>
      </c>
    </row>
    <row r="1229" spans="1:47">
      <c r="A1229" t="str">
        <f>IF($AS1229="","",INDEX('TMP Paste'!$B$2:$B$1601,$AS1229))</f>
        <v/>
      </c>
      <c r="B1229" t="str">
        <f>IF($AS1229="","",Config!$B$14)</f>
        <v/>
      </c>
      <c r="C1229" t="str">
        <f>IF($AS1229="","",Config!$B$15)</f>
        <v/>
      </c>
      <c r="D1229" t="str">
        <f>IF($AS1229="","",INDEX('TMP Paste'!$B$2:$B$1601,$AS1229))</f>
        <v/>
      </c>
      <c r="E1229" t="str">
        <f>IF($AS1229="","",Config!$B$27)</f>
        <v/>
      </c>
      <c r="F1229" t="str">
        <f>IF($AS1229="","",Config!$B$9)</f>
        <v/>
      </c>
      <c r="G1229" t="str">
        <f>IF($AS1229="","",Config!$B$10)</f>
        <v/>
      </c>
      <c r="H1229" t="str">
        <f>IF($AS1229="","",Config!$B$11)</f>
        <v/>
      </c>
      <c r="I1229" t="str">
        <f>IF($AS1229="","",Config!$B$16)</f>
        <v/>
      </c>
      <c r="J1229" t="str">
        <f>IF($AS1229="","",INDEX('TMP Paste'!$A$2:$A$1601,$AS1229))</f>
        <v/>
      </c>
      <c r="K1229" t="str">
        <f>IF($AS1229="","",INDEX('TMP Paste'!$L$2:$L$1601,$AS1229))</f>
        <v/>
      </c>
      <c r="L1229" t="str">
        <f>IF($AS1229="","",INDEX('TMP Paste'!$I$2:$I$1601,$AS1229))</f>
        <v/>
      </c>
      <c r="M1229" t="str">
        <f>IF($AS1229="","",Config!$B$16)</f>
        <v/>
      </c>
      <c r="N1229" t="str">
        <f t="shared" si="114"/>
        <v/>
      </c>
      <c r="O1229" t="str">
        <f>IF($AS1229="","",INDEX('TMP Paste'!$K$2:$K$1601,$AS1229))</f>
        <v/>
      </c>
      <c r="P1229" t="str">
        <f t="shared" si="115"/>
        <v/>
      </c>
      <c r="Q1229" t="str">
        <f>IF($AS1229="","",INDEX('TMP Paste'!$J$2:$J$1601,$AS1229))</f>
        <v/>
      </c>
      <c r="R1229" t="str">
        <f>IF($AS1229="","",Config!$B$24)</f>
        <v/>
      </c>
      <c r="S1229" t="str">
        <f ca="1">IF($AS1229="","",TEXT(Config!$B$4,"yyyy-mm-dd"))</f>
        <v/>
      </c>
      <c r="T1229" t="str">
        <f>IF($AS1229="","",Config!$B$17)</f>
        <v/>
      </c>
      <c r="U1229" t="str">
        <f>IF($AS1229="","",Config!$B$18)</f>
        <v/>
      </c>
      <c r="V1229" t="str">
        <f>IF($AS1229="","",Config!$B$19)</f>
        <v/>
      </c>
      <c r="W1229" t="str">
        <f>IF($AS1229="","",INDEX('TMP Paste'!$C$2:$C$1601,$AS1229))</f>
        <v/>
      </c>
      <c r="X1229" t="str">
        <f>IF($AS1229="","",Config!$B$29)</f>
        <v/>
      </c>
      <c r="Y1229" t="str">
        <f>IF($AT1229="","",INDEX(Calc!$I$2:$I$1601,$AT1229)&amp;" - "&amp;INDEX(Calc!$D$2:$D$1601,$AT1229)&amp;" koli")</f>
        <v/>
      </c>
      <c r="Z1229" t="str">
        <f>IF($AS1229="","",Config!$B$21)</f>
        <v/>
      </c>
      <c r="AA1229" t="str">
        <f>IF($AS1229="","",Config!$B$22)</f>
        <v/>
      </c>
      <c r="AB1229" t="str">
        <f>IF($AT1229="","",INDEX(Calc!$D$2:$D$1601,$AT1229))</f>
        <v/>
      </c>
      <c r="AC1229" t="str">
        <f>IF($AT1229="","",INDEX(Calc!$G$2:$G$1601,$AT1229))</f>
        <v/>
      </c>
      <c r="AD1229" t="str">
        <f>IF($AS1229="","",Config!$B$23)</f>
        <v/>
      </c>
      <c r="AE1229" t="str">
        <f>IF($AS1229="","",Config!$B$28)</f>
        <v/>
      </c>
      <c r="AF1229" t="str">
        <f t="shared" si="116"/>
        <v/>
      </c>
      <c r="AG1229" t="str">
        <f t="shared" si="117"/>
        <v/>
      </c>
      <c r="AH1229" t="str">
        <f t="shared" si="118"/>
        <v/>
      </c>
      <c r="AI1229" t="str">
        <f>IF($AG1229="","",SUMIF($AG$2:$AG1229,$AG1229,$AH$2:$AH1229))</f>
        <v/>
      </c>
      <c r="AJ1229" t="str">
        <f>IF('TMP Paste'!$F1229="","",IF('TMP Paste'!$B1229="",$AJ1228,'TMP Paste'!$B1229))</f>
        <v/>
      </c>
      <c r="AK1229" t="str">
        <f>IF('TMP Paste'!$F1229="","",N('TMP Paste'!$G1229))</f>
        <v/>
      </c>
      <c r="AL1229" t="str">
        <f>IF('TMP Paste'!$F1229="","",IF('TMP Paste'!$M1229="",$AL1228,'TMP Paste'!$M1229))</f>
        <v/>
      </c>
      <c r="AM1229" t="str">
        <f>IF('TMP Paste'!$F1229="","",IF('TMP Paste'!$N1229="",$AM1228,'TMP Paste'!$N1229))</f>
        <v/>
      </c>
      <c r="AN1229" t="str">
        <f>IF('TMP Paste'!$F1229="","",IF('TMP Paste'!$O1229="",$AN1228,'TMP Paste'!$O1229))</f>
        <v/>
      </c>
      <c r="AO1229" t="str">
        <f>IF('TMP Paste'!$F1229="","",IF('TMP Paste'!$P1229="",$AO1228,'TMP Paste'!$P1229))</f>
        <v/>
      </c>
      <c r="AP1229" t="str">
        <f t="shared" si="119"/>
        <v/>
      </c>
      <c r="AQ1229" t="str">
        <f>IF($AS1229="","",TRIM(IF(COUNTIFS(Calc!$B$2:$B$1601,ROW()-1,Calc!$C$2:$C$1601,"&lt;1")&gt;0,"Ada PO tanpa Koli - cek TMP. ","")&amp;IF(OR($AU1229="",$AU1229&lt;=0),"Volume kosong/0 - dimensi dikosongkan. ","")&amp;IF(AND($AU1229&lt;&gt;"",$AU1229&gt;=1000000),"Volume &gt;= 1.000.000 cm3 (di luar aturan) - dimensi dikosongkan. ","")&amp;IF(LEN($R1229)&gt;500,"R &gt; 500 karakter.","")))</f>
        <v/>
      </c>
      <c r="AS1229" t="str">
        <f>IFERROR(MATCH(ROW()-1,Calc!$J$2:$J$1601,0),"")</f>
        <v/>
      </c>
      <c r="AT1229" t="str">
        <f>IFERROR(MATCH(ROW()-1,Calc!$K$2:$K$1601,0),"")</f>
        <v/>
      </c>
      <c r="AU1229" t="str">
        <f>IF($AS1229="","",IFERROR(INDEX('TMP Paste'!$D$2:$D$1601,$AS1229)*1000000/$AB1229,""))</f>
        <v/>
      </c>
    </row>
    <row r="1230" spans="1:47">
      <c r="A1230" t="str">
        <f>IF($AS1230="","",INDEX('TMP Paste'!$B$2:$B$1601,$AS1230))</f>
        <v/>
      </c>
      <c r="B1230" t="str">
        <f>IF($AS1230="","",Config!$B$14)</f>
        <v/>
      </c>
      <c r="C1230" t="str">
        <f>IF($AS1230="","",Config!$B$15)</f>
        <v/>
      </c>
      <c r="D1230" t="str">
        <f>IF($AS1230="","",INDEX('TMP Paste'!$B$2:$B$1601,$AS1230))</f>
        <v/>
      </c>
      <c r="E1230" t="str">
        <f>IF($AS1230="","",Config!$B$27)</f>
        <v/>
      </c>
      <c r="F1230" t="str">
        <f>IF($AS1230="","",Config!$B$9)</f>
        <v/>
      </c>
      <c r="G1230" t="str">
        <f>IF($AS1230="","",Config!$B$10)</f>
        <v/>
      </c>
      <c r="H1230" t="str">
        <f>IF($AS1230="","",Config!$B$11)</f>
        <v/>
      </c>
      <c r="I1230" t="str">
        <f>IF($AS1230="","",Config!$B$16)</f>
        <v/>
      </c>
      <c r="J1230" t="str">
        <f>IF($AS1230="","",INDEX('TMP Paste'!$A$2:$A$1601,$AS1230))</f>
        <v/>
      </c>
      <c r="K1230" t="str">
        <f>IF($AS1230="","",INDEX('TMP Paste'!$L$2:$L$1601,$AS1230))</f>
        <v/>
      </c>
      <c r="L1230" t="str">
        <f>IF($AS1230="","",INDEX('TMP Paste'!$I$2:$I$1601,$AS1230))</f>
        <v/>
      </c>
      <c r="M1230" t="str">
        <f>IF($AS1230="","",Config!$B$16)</f>
        <v/>
      </c>
      <c r="N1230" t="str">
        <f t="shared" si="114"/>
        <v/>
      </c>
      <c r="O1230" t="str">
        <f>IF($AS1230="","",INDEX('TMP Paste'!$K$2:$K$1601,$AS1230))</f>
        <v/>
      </c>
      <c r="P1230" t="str">
        <f t="shared" si="115"/>
        <v/>
      </c>
      <c r="Q1230" t="str">
        <f>IF($AS1230="","",INDEX('TMP Paste'!$J$2:$J$1601,$AS1230))</f>
        <v/>
      </c>
      <c r="R1230" t="str">
        <f>IF($AS1230="","",Config!$B$24)</f>
        <v/>
      </c>
      <c r="S1230" t="str">
        <f ca="1">IF($AS1230="","",TEXT(Config!$B$4,"yyyy-mm-dd"))</f>
        <v/>
      </c>
      <c r="T1230" t="str">
        <f>IF($AS1230="","",Config!$B$17)</f>
        <v/>
      </c>
      <c r="U1230" t="str">
        <f>IF($AS1230="","",Config!$B$18)</f>
        <v/>
      </c>
      <c r="V1230" t="str">
        <f>IF($AS1230="","",Config!$B$19)</f>
        <v/>
      </c>
      <c r="W1230" t="str">
        <f>IF($AS1230="","",INDEX('TMP Paste'!$C$2:$C$1601,$AS1230))</f>
        <v/>
      </c>
      <c r="X1230" t="str">
        <f>IF($AS1230="","",Config!$B$29)</f>
        <v/>
      </c>
      <c r="Y1230" t="str">
        <f>IF($AT1230="","",INDEX(Calc!$I$2:$I$1601,$AT1230)&amp;" - "&amp;INDEX(Calc!$D$2:$D$1601,$AT1230)&amp;" koli")</f>
        <v/>
      </c>
      <c r="Z1230" t="str">
        <f>IF($AS1230="","",Config!$B$21)</f>
        <v/>
      </c>
      <c r="AA1230" t="str">
        <f>IF($AS1230="","",Config!$B$22)</f>
        <v/>
      </c>
      <c r="AB1230" t="str">
        <f>IF($AT1230="","",INDEX(Calc!$D$2:$D$1601,$AT1230))</f>
        <v/>
      </c>
      <c r="AC1230" t="str">
        <f>IF($AT1230="","",INDEX(Calc!$G$2:$G$1601,$AT1230))</f>
        <v/>
      </c>
      <c r="AD1230" t="str">
        <f>IF($AS1230="","",Config!$B$23)</f>
        <v/>
      </c>
      <c r="AE1230" t="str">
        <f>IF($AS1230="","",Config!$B$28)</f>
        <v/>
      </c>
      <c r="AF1230" t="str">
        <f t="shared" si="116"/>
        <v/>
      </c>
      <c r="AG1230" t="str">
        <f t="shared" si="117"/>
        <v/>
      </c>
      <c r="AH1230" t="str">
        <f t="shared" si="118"/>
        <v/>
      </c>
      <c r="AI1230" t="str">
        <f>IF($AG1230="","",SUMIF($AG$2:$AG1230,$AG1230,$AH$2:$AH1230))</f>
        <v/>
      </c>
      <c r="AJ1230" t="str">
        <f>IF('TMP Paste'!$F1230="","",IF('TMP Paste'!$B1230="",$AJ1229,'TMP Paste'!$B1230))</f>
        <v/>
      </c>
      <c r="AK1230" t="str">
        <f>IF('TMP Paste'!$F1230="","",N('TMP Paste'!$G1230))</f>
        <v/>
      </c>
      <c r="AL1230" t="str">
        <f>IF('TMP Paste'!$F1230="","",IF('TMP Paste'!$M1230="",$AL1229,'TMP Paste'!$M1230))</f>
        <v/>
      </c>
      <c r="AM1230" t="str">
        <f>IF('TMP Paste'!$F1230="","",IF('TMP Paste'!$N1230="",$AM1229,'TMP Paste'!$N1230))</f>
        <v/>
      </c>
      <c r="AN1230" t="str">
        <f>IF('TMP Paste'!$F1230="","",IF('TMP Paste'!$O1230="",$AN1229,'TMP Paste'!$O1230))</f>
        <v/>
      </c>
      <c r="AO1230" t="str">
        <f>IF('TMP Paste'!$F1230="","",IF('TMP Paste'!$P1230="",$AO1229,'TMP Paste'!$P1230))</f>
        <v/>
      </c>
      <c r="AP1230" t="str">
        <f t="shared" si="119"/>
        <v/>
      </c>
      <c r="AQ1230" t="str">
        <f>IF($AS1230="","",TRIM(IF(COUNTIFS(Calc!$B$2:$B$1601,ROW()-1,Calc!$C$2:$C$1601,"&lt;1")&gt;0,"Ada PO tanpa Koli - cek TMP. ","")&amp;IF(OR($AU1230="",$AU1230&lt;=0),"Volume kosong/0 - dimensi dikosongkan. ","")&amp;IF(AND($AU1230&lt;&gt;"",$AU1230&gt;=1000000),"Volume &gt;= 1.000.000 cm3 (di luar aturan) - dimensi dikosongkan. ","")&amp;IF(LEN($R1230)&gt;500,"R &gt; 500 karakter.","")))</f>
        <v/>
      </c>
      <c r="AS1230" t="str">
        <f>IFERROR(MATCH(ROW()-1,Calc!$J$2:$J$1601,0),"")</f>
        <v/>
      </c>
      <c r="AT1230" t="str">
        <f>IFERROR(MATCH(ROW()-1,Calc!$K$2:$K$1601,0),"")</f>
        <v/>
      </c>
      <c r="AU1230" t="str">
        <f>IF($AS1230="","",IFERROR(INDEX('TMP Paste'!$D$2:$D$1601,$AS1230)*1000000/$AB1230,""))</f>
        <v/>
      </c>
    </row>
    <row r="1231" spans="1:47">
      <c r="A1231" t="str">
        <f>IF($AS1231="","",INDEX('TMP Paste'!$B$2:$B$1601,$AS1231))</f>
        <v/>
      </c>
      <c r="B1231" t="str">
        <f>IF($AS1231="","",Config!$B$14)</f>
        <v/>
      </c>
      <c r="C1231" t="str">
        <f>IF($AS1231="","",Config!$B$15)</f>
        <v/>
      </c>
      <c r="D1231" t="str">
        <f>IF($AS1231="","",INDEX('TMP Paste'!$B$2:$B$1601,$AS1231))</f>
        <v/>
      </c>
      <c r="E1231" t="str">
        <f>IF($AS1231="","",Config!$B$27)</f>
        <v/>
      </c>
      <c r="F1231" t="str">
        <f>IF($AS1231="","",Config!$B$9)</f>
        <v/>
      </c>
      <c r="G1231" t="str">
        <f>IF($AS1231="","",Config!$B$10)</f>
        <v/>
      </c>
      <c r="H1231" t="str">
        <f>IF($AS1231="","",Config!$B$11)</f>
        <v/>
      </c>
      <c r="I1231" t="str">
        <f>IF($AS1231="","",Config!$B$16)</f>
        <v/>
      </c>
      <c r="J1231" t="str">
        <f>IF($AS1231="","",INDEX('TMP Paste'!$A$2:$A$1601,$AS1231))</f>
        <v/>
      </c>
      <c r="K1231" t="str">
        <f>IF($AS1231="","",INDEX('TMP Paste'!$L$2:$L$1601,$AS1231))</f>
        <v/>
      </c>
      <c r="L1231" t="str">
        <f>IF($AS1231="","",INDEX('TMP Paste'!$I$2:$I$1601,$AS1231))</f>
        <v/>
      </c>
      <c r="M1231" t="str">
        <f>IF($AS1231="","",Config!$B$16)</f>
        <v/>
      </c>
      <c r="N1231" t="str">
        <f t="shared" si="114"/>
        <v/>
      </c>
      <c r="O1231" t="str">
        <f>IF($AS1231="","",INDEX('TMP Paste'!$K$2:$K$1601,$AS1231))</f>
        <v/>
      </c>
      <c r="P1231" t="str">
        <f t="shared" si="115"/>
        <v/>
      </c>
      <c r="Q1231" t="str">
        <f>IF($AS1231="","",INDEX('TMP Paste'!$J$2:$J$1601,$AS1231))</f>
        <v/>
      </c>
      <c r="R1231" t="str">
        <f>IF($AS1231="","",Config!$B$24)</f>
        <v/>
      </c>
      <c r="S1231" t="str">
        <f ca="1">IF($AS1231="","",TEXT(Config!$B$4,"yyyy-mm-dd"))</f>
        <v/>
      </c>
      <c r="T1231" t="str">
        <f>IF($AS1231="","",Config!$B$17)</f>
        <v/>
      </c>
      <c r="U1231" t="str">
        <f>IF($AS1231="","",Config!$B$18)</f>
        <v/>
      </c>
      <c r="V1231" t="str">
        <f>IF($AS1231="","",Config!$B$19)</f>
        <v/>
      </c>
      <c r="W1231" t="str">
        <f>IF($AS1231="","",INDEX('TMP Paste'!$C$2:$C$1601,$AS1231))</f>
        <v/>
      </c>
      <c r="X1231" t="str">
        <f>IF($AS1231="","",Config!$B$29)</f>
        <v/>
      </c>
      <c r="Y1231" t="str">
        <f>IF($AT1231="","",INDEX(Calc!$I$2:$I$1601,$AT1231)&amp;" - "&amp;INDEX(Calc!$D$2:$D$1601,$AT1231)&amp;" koli")</f>
        <v/>
      </c>
      <c r="Z1231" t="str">
        <f>IF($AS1231="","",Config!$B$21)</f>
        <v/>
      </c>
      <c r="AA1231" t="str">
        <f>IF($AS1231="","",Config!$B$22)</f>
        <v/>
      </c>
      <c r="AB1231" t="str">
        <f>IF($AT1231="","",INDEX(Calc!$D$2:$D$1601,$AT1231))</f>
        <v/>
      </c>
      <c r="AC1231" t="str">
        <f>IF($AT1231="","",INDEX(Calc!$G$2:$G$1601,$AT1231))</f>
        <v/>
      </c>
      <c r="AD1231" t="str">
        <f>IF($AS1231="","",Config!$B$23)</f>
        <v/>
      </c>
      <c r="AE1231" t="str">
        <f>IF($AS1231="","",Config!$B$28)</f>
        <v/>
      </c>
      <c r="AF1231" t="str">
        <f t="shared" si="116"/>
        <v/>
      </c>
      <c r="AG1231" t="str">
        <f t="shared" si="117"/>
        <v/>
      </c>
      <c r="AH1231" t="str">
        <f t="shared" si="118"/>
        <v/>
      </c>
      <c r="AI1231" t="str">
        <f>IF($AG1231="","",SUMIF($AG$2:$AG1231,$AG1231,$AH$2:$AH1231))</f>
        <v/>
      </c>
      <c r="AJ1231" t="str">
        <f>IF('TMP Paste'!$F1231="","",IF('TMP Paste'!$B1231="",$AJ1230,'TMP Paste'!$B1231))</f>
        <v/>
      </c>
      <c r="AK1231" t="str">
        <f>IF('TMP Paste'!$F1231="","",N('TMP Paste'!$G1231))</f>
        <v/>
      </c>
      <c r="AL1231" t="str">
        <f>IF('TMP Paste'!$F1231="","",IF('TMP Paste'!$M1231="",$AL1230,'TMP Paste'!$M1231))</f>
        <v/>
      </c>
      <c r="AM1231" t="str">
        <f>IF('TMP Paste'!$F1231="","",IF('TMP Paste'!$N1231="",$AM1230,'TMP Paste'!$N1231))</f>
        <v/>
      </c>
      <c r="AN1231" t="str">
        <f>IF('TMP Paste'!$F1231="","",IF('TMP Paste'!$O1231="",$AN1230,'TMP Paste'!$O1231))</f>
        <v/>
      </c>
      <c r="AO1231" t="str">
        <f>IF('TMP Paste'!$F1231="","",IF('TMP Paste'!$P1231="",$AO1230,'TMP Paste'!$P1231))</f>
        <v/>
      </c>
      <c r="AP1231" t="str">
        <f t="shared" si="119"/>
        <v/>
      </c>
      <c r="AQ1231" t="str">
        <f>IF($AS1231="","",TRIM(IF(COUNTIFS(Calc!$B$2:$B$1601,ROW()-1,Calc!$C$2:$C$1601,"&lt;1")&gt;0,"Ada PO tanpa Koli - cek TMP. ","")&amp;IF(OR($AU1231="",$AU1231&lt;=0),"Volume kosong/0 - dimensi dikosongkan. ","")&amp;IF(AND($AU1231&lt;&gt;"",$AU1231&gt;=1000000),"Volume &gt;= 1.000.000 cm3 (di luar aturan) - dimensi dikosongkan. ","")&amp;IF(LEN($R1231)&gt;500,"R &gt; 500 karakter.","")))</f>
        <v/>
      </c>
      <c r="AS1231" t="str">
        <f>IFERROR(MATCH(ROW()-1,Calc!$J$2:$J$1601,0),"")</f>
        <v/>
      </c>
      <c r="AT1231" t="str">
        <f>IFERROR(MATCH(ROW()-1,Calc!$K$2:$K$1601,0),"")</f>
        <v/>
      </c>
      <c r="AU1231" t="str">
        <f>IF($AS1231="","",IFERROR(INDEX('TMP Paste'!$D$2:$D$1601,$AS1231)*1000000/$AB1231,""))</f>
        <v/>
      </c>
    </row>
    <row r="1232" spans="1:47">
      <c r="A1232" t="str">
        <f>IF($AS1232="","",INDEX('TMP Paste'!$B$2:$B$1601,$AS1232))</f>
        <v/>
      </c>
      <c r="B1232" t="str">
        <f>IF($AS1232="","",Config!$B$14)</f>
        <v/>
      </c>
      <c r="C1232" t="str">
        <f>IF($AS1232="","",Config!$B$15)</f>
        <v/>
      </c>
      <c r="D1232" t="str">
        <f>IF($AS1232="","",INDEX('TMP Paste'!$B$2:$B$1601,$AS1232))</f>
        <v/>
      </c>
      <c r="E1232" t="str">
        <f>IF($AS1232="","",Config!$B$27)</f>
        <v/>
      </c>
      <c r="F1232" t="str">
        <f>IF($AS1232="","",Config!$B$9)</f>
        <v/>
      </c>
      <c r="G1232" t="str">
        <f>IF($AS1232="","",Config!$B$10)</f>
        <v/>
      </c>
      <c r="H1232" t="str">
        <f>IF($AS1232="","",Config!$B$11)</f>
        <v/>
      </c>
      <c r="I1232" t="str">
        <f>IF($AS1232="","",Config!$B$16)</f>
        <v/>
      </c>
      <c r="J1232" t="str">
        <f>IF($AS1232="","",INDEX('TMP Paste'!$A$2:$A$1601,$AS1232))</f>
        <v/>
      </c>
      <c r="K1232" t="str">
        <f>IF($AS1232="","",INDEX('TMP Paste'!$L$2:$L$1601,$AS1232))</f>
        <v/>
      </c>
      <c r="L1232" t="str">
        <f>IF($AS1232="","",INDEX('TMP Paste'!$I$2:$I$1601,$AS1232))</f>
        <v/>
      </c>
      <c r="M1232" t="str">
        <f>IF($AS1232="","",Config!$B$16)</f>
        <v/>
      </c>
      <c r="N1232" t="str">
        <f t="shared" si="114"/>
        <v/>
      </c>
      <c r="O1232" t="str">
        <f>IF($AS1232="","",INDEX('TMP Paste'!$K$2:$K$1601,$AS1232))</f>
        <v/>
      </c>
      <c r="P1232" t="str">
        <f t="shared" si="115"/>
        <v/>
      </c>
      <c r="Q1232" t="str">
        <f>IF($AS1232="","",INDEX('TMP Paste'!$J$2:$J$1601,$AS1232))</f>
        <v/>
      </c>
      <c r="R1232" t="str">
        <f>IF($AS1232="","",Config!$B$24)</f>
        <v/>
      </c>
      <c r="S1232" t="str">
        <f ca="1">IF($AS1232="","",TEXT(Config!$B$4,"yyyy-mm-dd"))</f>
        <v/>
      </c>
      <c r="T1232" t="str">
        <f>IF($AS1232="","",Config!$B$17)</f>
        <v/>
      </c>
      <c r="U1232" t="str">
        <f>IF($AS1232="","",Config!$B$18)</f>
        <v/>
      </c>
      <c r="V1232" t="str">
        <f>IF($AS1232="","",Config!$B$19)</f>
        <v/>
      </c>
      <c r="W1232" t="str">
        <f>IF($AS1232="","",INDEX('TMP Paste'!$C$2:$C$1601,$AS1232))</f>
        <v/>
      </c>
      <c r="X1232" t="str">
        <f>IF($AS1232="","",Config!$B$29)</f>
        <v/>
      </c>
      <c r="Y1232" t="str">
        <f>IF($AT1232="","",INDEX(Calc!$I$2:$I$1601,$AT1232)&amp;" - "&amp;INDEX(Calc!$D$2:$D$1601,$AT1232)&amp;" koli")</f>
        <v/>
      </c>
      <c r="Z1232" t="str">
        <f>IF($AS1232="","",Config!$B$21)</f>
        <v/>
      </c>
      <c r="AA1232" t="str">
        <f>IF($AS1232="","",Config!$B$22)</f>
        <v/>
      </c>
      <c r="AB1232" t="str">
        <f>IF($AT1232="","",INDEX(Calc!$D$2:$D$1601,$AT1232))</f>
        <v/>
      </c>
      <c r="AC1232" t="str">
        <f>IF($AT1232="","",INDEX(Calc!$G$2:$G$1601,$AT1232))</f>
        <v/>
      </c>
      <c r="AD1232" t="str">
        <f>IF($AS1232="","",Config!$B$23)</f>
        <v/>
      </c>
      <c r="AE1232" t="str">
        <f>IF($AS1232="","",Config!$B$28)</f>
        <v/>
      </c>
      <c r="AF1232" t="str">
        <f t="shared" si="116"/>
        <v/>
      </c>
      <c r="AG1232" t="str">
        <f t="shared" si="117"/>
        <v/>
      </c>
      <c r="AH1232" t="str">
        <f t="shared" si="118"/>
        <v/>
      </c>
      <c r="AI1232" t="str">
        <f>IF($AG1232="","",SUMIF($AG$2:$AG1232,$AG1232,$AH$2:$AH1232))</f>
        <v/>
      </c>
      <c r="AJ1232" t="str">
        <f>IF('TMP Paste'!$F1232="","",IF('TMP Paste'!$B1232="",$AJ1231,'TMP Paste'!$B1232))</f>
        <v/>
      </c>
      <c r="AK1232" t="str">
        <f>IF('TMP Paste'!$F1232="","",N('TMP Paste'!$G1232))</f>
        <v/>
      </c>
      <c r="AL1232" t="str">
        <f>IF('TMP Paste'!$F1232="","",IF('TMP Paste'!$M1232="",$AL1231,'TMP Paste'!$M1232))</f>
        <v/>
      </c>
      <c r="AM1232" t="str">
        <f>IF('TMP Paste'!$F1232="","",IF('TMP Paste'!$N1232="",$AM1231,'TMP Paste'!$N1232))</f>
        <v/>
      </c>
      <c r="AN1232" t="str">
        <f>IF('TMP Paste'!$F1232="","",IF('TMP Paste'!$O1232="",$AN1231,'TMP Paste'!$O1232))</f>
        <v/>
      </c>
      <c r="AO1232" t="str">
        <f>IF('TMP Paste'!$F1232="","",IF('TMP Paste'!$P1232="",$AO1231,'TMP Paste'!$P1232))</f>
        <v/>
      </c>
      <c r="AP1232" t="str">
        <f t="shared" si="119"/>
        <v/>
      </c>
      <c r="AQ1232" t="str">
        <f>IF($AS1232="","",TRIM(IF(COUNTIFS(Calc!$B$2:$B$1601,ROW()-1,Calc!$C$2:$C$1601,"&lt;1")&gt;0,"Ada PO tanpa Koli - cek TMP. ","")&amp;IF(OR($AU1232="",$AU1232&lt;=0),"Volume kosong/0 - dimensi dikosongkan. ","")&amp;IF(AND($AU1232&lt;&gt;"",$AU1232&gt;=1000000),"Volume &gt;= 1.000.000 cm3 (di luar aturan) - dimensi dikosongkan. ","")&amp;IF(LEN($R1232)&gt;500,"R &gt; 500 karakter.","")))</f>
        <v/>
      </c>
      <c r="AS1232" t="str">
        <f>IFERROR(MATCH(ROW()-1,Calc!$J$2:$J$1601,0),"")</f>
        <v/>
      </c>
      <c r="AT1232" t="str">
        <f>IFERROR(MATCH(ROW()-1,Calc!$K$2:$K$1601,0),"")</f>
        <v/>
      </c>
      <c r="AU1232" t="str">
        <f>IF($AS1232="","",IFERROR(INDEX('TMP Paste'!$D$2:$D$1601,$AS1232)*1000000/$AB1232,""))</f>
        <v/>
      </c>
    </row>
    <row r="1233" spans="1:47">
      <c r="A1233" t="str">
        <f>IF($AS1233="","",INDEX('TMP Paste'!$B$2:$B$1601,$AS1233))</f>
        <v/>
      </c>
      <c r="B1233" t="str">
        <f>IF($AS1233="","",Config!$B$14)</f>
        <v/>
      </c>
      <c r="C1233" t="str">
        <f>IF($AS1233="","",Config!$B$15)</f>
        <v/>
      </c>
      <c r="D1233" t="str">
        <f>IF($AS1233="","",INDEX('TMP Paste'!$B$2:$B$1601,$AS1233))</f>
        <v/>
      </c>
      <c r="E1233" t="str">
        <f>IF($AS1233="","",Config!$B$27)</f>
        <v/>
      </c>
      <c r="F1233" t="str">
        <f>IF($AS1233="","",Config!$B$9)</f>
        <v/>
      </c>
      <c r="G1233" t="str">
        <f>IF($AS1233="","",Config!$B$10)</f>
        <v/>
      </c>
      <c r="H1233" t="str">
        <f>IF($AS1233="","",Config!$B$11)</f>
        <v/>
      </c>
      <c r="I1233" t="str">
        <f>IF($AS1233="","",Config!$B$16)</f>
        <v/>
      </c>
      <c r="J1233" t="str">
        <f>IF($AS1233="","",INDEX('TMP Paste'!$A$2:$A$1601,$AS1233))</f>
        <v/>
      </c>
      <c r="K1233" t="str">
        <f>IF($AS1233="","",INDEX('TMP Paste'!$L$2:$L$1601,$AS1233))</f>
        <v/>
      </c>
      <c r="L1233" t="str">
        <f>IF($AS1233="","",INDEX('TMP Paste'!$I$2:$I$1601,$AS1233))</f>
        <v/>
      </c>
      <c r="M1233" t="str">
        <f>IF($AS1233="","",Config!$B$16)</f>
        <v/>
      </c>
      <c r="N1233" t="str">
        <f t="shared" si="114"/>
        <v/>
      </c>
      <c r="O1233" t="str">
        <f>IF($AS1233="","",INDEX('TMP Paste'!$K$2:$K$1601,$AS1233))</f>
        <v/>
      </c>
      <c r="P1233" t="str">
        <f t="shared" si="115"/>
        <v/>
      </c>
      <c r="Q1233" t="str">
        <f>IF($AS1233="","",INDEX('TMP Paste'!$J$2:$J$1601,$AS1233))</f>
        <v/>
      </c>
      <c r="R1233" t="str">
        <f>IF($AS1233="","",Config!$B$24)</f>
        <v/>
      </c>
      <c r="S1233" t="str">
        <f ca="1">IF($AS1233="","",TEXT(Config!$B$4,"yyyy-mm-dd"))</f>
        <v/>
      </c>
      <c r="T1233" t="str">
        <f>IF($AS1233="","",Config!$B$17)</f>
        <v/>
      </c>
      <c r="U1233" t="str">
        <f>IF($AS1233="","",Config!$B$18)</f>
        <v/>
      </c>
      <c r="V1233" t="str">
        <f>IF($AS1233="","",Config!$B$19)</f>
        <v/>
      </c>
      <c r="W1233" t="str">
        <f>IF($AS1233="","",INDEX('TMP Paste'!$C$2:$C$1601,$AS1233))</f>
        <v/>
      </c>
      <c r="X1233" t="str">
        <f>IF($AS1233="","",Config!$B$29)</f>
        <v/>
      </c>
      <c r="Y1233" t="str">
        <f>IF($AT1233="","",INDEX(Calc!$I$2:$I$1601,$AT1233)&amp;" - "&amp;INDEX(Calc!$D$2:$D$1601,$AT1233)&amp;" koli")</f>
        <v/>
      </c>
      <c r="Z1233" t="str">
        <f>IF($AS1233="","",Config!$B$21)</f>
        <v/>
      </c>
      <c r="AA1233" t="str">
        <f>IF($AS1233="","",Config!$B$22)</f>
        <v/>
      </c>
      <c r="AB1233" t="str">
        <f>IF($AT1233="","",INDEX(Calc!$D$2:$D$1601,$AT1233))</f>
        <v/>
      </c>
      <c r="AC1233" t="str">
        <f>IF($AT1233="","",INDEX(Calc!$G$2:$G$1601,$AT1233))</f>
        <v/>
      </c>
      <c r="AD1233" t="str">
        <f>IF($AS1233="","",Config!$B$23)</f>
        <v/>
      </c>
      <c r="AE1233" t="str">
        <f>IF($AS1233="","",Config!$B$28)</f>
        <v/>
      </c>
      <c r="AF1233" t="str">
        <f t="shared" si="116"/>
        <v/>
      </c>
      <c r="AG1233" t="str">
        <f t="shared" si="117"/>
        <v/>
      </c>
      <c r="AH1233" t="str">
        <f t="shared" si="118"/>
        <v/>
      </c>
      <c r="AI1233" t="str">
        <f>IF($AG1233="","",SUMIF($AG$2:$AG1233,$AG1233,$AH$2:$AH1233))</f>
        <v/>
      </c>
      <c r="AJ1233" t="str">
        <f>IF('TMP Paste'!$F1233="","",IF('TMP Paste'!$B1233="",$AJ1232,'TMP Paste'!$B1233))</f>
        <v/>
      </c>
      <c r="AK1233" t="str">
        <f>IF('TMP Paste'!$F1233="","",N('TMP Paste'!$G1233))</f>
        <v/>
      </c>
      <c r="AL1233" t="str">
        <f>IF('TMP Paste'!$F1233="","",IF('TMP Paste'!$M1233="",$AL1232,'TMP Paste'!$M1233))</f>
        <v/>
      </c>
      <c r="AM1233" t="str">
        <f>IF('TMP Paste'!$F1233="","",IF('TMP Paste'!$N1233="",$AM1232,'TMP Paste'!$N1233))</f>
        <v/>
      </c>
      <c r="AN1233" t="str">
        <f>IF('TMP Paste'!$F1233="","",IF('TMP Paste'!$O1233="",$AN1232,'TMP Paste'!$O1233))</f>
        <v/>
      </c>
      <c r="AO1233" t="str">
        <f>IF('TMP Paste'!$F1233="","",IF('TMP Paste'!$P1233="",$AO1232,'TMP Paste'!$P1233))</f>
        <v/>
      </c>
      <c r="AP1233" t="str">
        <f t="shared" si="119"/>
        <v/>
      </c>
      <c r="AQ1233" t="str">
        <f>IF($AS1233="","",TRIM(IF(COUNTIFS(Calc!$B$2:$B$1601,ROW()-1,Calc!$C$2:$C$1601,"&lt;1")&gt;0,"Ada PO tanpa Koli - cek TMP. ","")&amp;IF(OR($AU1233="",$AU1233&lt;=0),"Volume kosong/0 - dimensi dikosongkan. ","")&amp;IF(AND($AU1233&lt;&gt;"",$AU1233&gt;=1000000),"Volume &gt;= 1.000.000 cm3 (di luar aturan) - dimensi dikosongkan. ","")&amp;IF(LEN($R1233)&gt;500,"R &gt; 500 karakter.","")))</f>
        <v/>
      </c>
      <c r="AS1233" t="str">
        <f>IFERROR(MATCH(ROW()-1,Calc!$J$2:$J$1601,0),"")</f>
        <v/>
      </c>
      <c r="AT1233" t="str">
        <f>IFERROR(MATCH(ROW()-1,Calc!$K$2:$K$1601,0),"")</f>
        <v/>
      </c>
      <c r="AU1233" t="str">
        <f>IF($AS1233="","",IFERROR(INDEX('TMP Paste'!$D$2:$D$1601,$AS1233)*1000000/$AB1233,""))</f>
        <v/>
      </c>
    </row>
    <row r="1234" spans="1:47">
      <c r="A1234" t="str">
        <f>IF($AS1234="","",INDEX('TMP Paste'!$B$2:$B$1601,$AS1234))</f>
        <v/>
      </c>
      <c r="B1234" t="str">
        <f>IF($AS1234="","",Config!$B$14)</f>
        <v/>
      </c>
      <c r="C1234" t="str">
        <f>IF($AS1234="","",Config!$B$15)</f>
        <v/>
      </c>
      <c r="D1234" t="str">
        <f>IF($AS1234="","",INDEX('TMP Paste'!$B$2:$B$1601,$AS1234))</f>
        <v/>
      </c>
      <c r="E1234" t="str">
        <f>IF($AS1234="","",Config!$B$27)</f>
        <v/>
      </c>
      <c r="F1234" t="str">
        <f>IF($AS1234="","",Config!$B$9)</f>
        <v/>
      </c>
      <c r="G1234" t="str">
        <f>IF($AS1234="","",Config!$B$10)</f>
        <v/>
      </c>
      <c r="H1234" t="str">
        <f>IF($AS1234="","",Config!$B$11)</f>
        <v/>
      </c>
      <c r="I1234" t="str">
        <f>IF($AS1234="","",Config!$B$16)</f>
        <v/>
      </c>
      <c r="J1234" t="str">
        <f>IF($AS1234="","",INDEX('TMP Paste'!$A$2:$A$1601,$AS1234))</f>
        <v/>
      </c>
      <c r="K1234" t="str">
        <f>IF($AS1234="","",INDEX('TMP Paste'!$L$2:$L$1601,$AS1234))</f>
        <v/>
      </c>
      <c r="L1234" t="str">
        <f>IF($AS1234="","",INDEX('TMP Paste'!$I$2:$I$1601,$AS1234))</f>
        <v/>
      </c>
      <c r="M1234" t="str">
        <f>IF($AS1234="","",Config!$B$16)</f>
        <v/>
      </c>
      <c r="N1234" t="str">
        <f t="shared" si="114"/>
        <v/>
      </c>
      <c r="O1234" t="str">
        <f>IF($AS1234="","",INDEX('TMP Paste'!$K$2:$K$1601,$AS1234))</f>
        <v/>
      </c>
      <c r="P1234" t="str">
        <f t="shared" si="115"/>
        <v/>
      </c>
      <c r="Q1234" t="str">
        <f>IF($AS1234="","",INDEX('TMP Paste'!$J$2:$J$1601,$AS1234))</f>
        <v/>
      </c>
      <c r="R1234" t="str">
        <f>IF($AS1234="","",Config!$B$24)</f>
        <v/>
      </c>
      <c r="S1234" t="str">
        <f ca="1">IF($AS1234="","",TEXT(Config!$B$4,"yyyy-mm-dd"))</f>
        <v/>
      </c>
      <c r="T1234" t="str">
        <f>IF($AS1234="","",Config!$B$17)</f>
        <v/>
      </c>
      <c r="U1234" t="str">
        <f>IF($AS1234="","",Config!$B$18)</f>
        <v/>
      </c>
      <c r="V1234" t="str">
        <f>IF($AS1234="","",Config!$B$19)</f>
        <v/>
      </c>
      <c r="W1234" t="str">
        <f>IF($AS1234="","",INDEX('TMP Paste'!$C$2:$C$1601,$AS1234))</f>
        <v/>
      </c>
      <c r="X1234" t="str">
        <f>IF($AS1234="","",Config!$B$29)</f>
        <v/>
      </c>
      <c r="Y1234" t="str">
        <f>IF($AT1234="","",INDEX(Calc!$I$2:$I$1601,$AT1234)&amp;" - "&amp;INDEX(Calc!$D$2:$D$1601,$AT1234)&amp;" koli")</f>
        <v/>
      </c>
      <c r="Z1234" t="str">
        <f>IF($AS1234="","",Config!$B$21)</f>
        <v/>
      </c>
      <c r="AA1234" t="str">
        <f>IF($AS1234="","",Config!$B$22)</f>
        <v/>
      </c>
      <c r="AB1234" t="str">
        <f>IF($AT1234="","",INDEX(Calc!$D$2:$D$1601,$AT1234))</f>
        <v/>
      </c>
      <c r="AC1234" t="str">
        <f>IF($AT1234="","",INDEX(Calc!$G$2:$G$1601,$AT1234))</f>
        <v/>
      </c>
      <c r="AD1234" t="str">
        <f>IF($AS1234="","",Config!$B$23)</f>
        <v/>
      </c>
      <c r="AE1234" t="str">
        <f>IF($AS1234="","",Config!$B$28)</f>
        <v/>
      </c>
      <c r="AF1234" t="str">
        <f t="shared" si="116"/>
        <v/>
      </c>
      <c r="AG1234" t="str">
        <f t="shared" si="117"/>
        <v/>
      </c>
      <c r="AH1234" t="str">
        <f t="shared" si="118"/>
        <v/>
      </c>
      <c r="AI1234" t="str">
        <f>IF($AG1234="","",SUMIF($AG$2:$AG1234,$AG1234,$AH$2:$AH1234))</f>
        <v/>
      </c>
      <c r="AJ1234" t="str">
        <f>IF('TMP Paste'!$F1234="","",IF('TMP Paste'!$B1234="",$AJ1233,'TMP Paste'!$B1234))</f>
        <v/>
      </c>
      <c r="AK1234" t="str">
        <f>IF('TMP Paste'!$F1234="","",N('TMP Paste'!$G1234))</f>
        <v/>
      </c>
      <c r="AL1234" t="str">
        <f>IF('TMP Paste'!$F1234="","",IF('TMP Paste'!$M1234="",$AL1233,'TMP Paste'!$M1234))</f>
        <v/>
      </c>
      <c r="AM1234" t="str">
        <f>IF('TMP Paste'!$F1234="","",IF('TMP Paste'!$N1234="",$AM1233,'TMP Paste'!$N1234))</f>
        <v/>
      </c>
      <c r="AN1234" t="str">
        <f>IF('TMP Paste'!$F1234="","",IF('TMP Paste'!$O1234="",$AN1233,'TMP Paste'!$O1234))</f>
        <v/>
      </c>
      <c r="AO1234" t="str">
        <f>IF('TMP Paste'!$F1234="","",IF('TMP Paste'!$P1234="",$AO1233,'TMP Paste'!$P1234))</f>
        <v/>
      </c>
      <c r="AP1234" t="str">
        <f t="shared" si="119"/>
        <v/>
      </c>
      <c r="AQ1234" t="str">
        <f>IF($AS1234="","",TRIM(IF(COUNTIFS(Calc!$B$2:$B$1601,ROW()-1,Calc!$C$2:$C$1601,"&lt;1")&gt;0,"Ada PO tanpa Koli - cek TMP. ","")&amp;IF(OR($AU1234="",$AU1234&lt;=0),"Volume kosong/0 - dimensi dikosongkan. ","")&amp;IF(AND($AU1234&lt;&gt;"",$AU1234&gt;=1000000),"Volume &gt;= 1.000.000 cm3 (di luar aturan) - dimensi dikosongkan. ","")&amp;IF(LEN($R1234)&gt;500,"R &gt; 500 karakter.","")))</f>
        <v/>
      </c>
      <c r="AS1234" t="str">
        <f>IFERROR(MATCH(ROW()-1,Calc!$J$2:$J$1601,0),"")</f>
        <v/>
      </c>
      <c r="AT1234" t="str">
        <f>IFERROR(MATCH(ROW()-1,Calc!$K$2:$K$1601,0),"")</f>
        <v/>
      </c>
      <c r="AU1234" t="str">
        <f>IF($AS1234="","",IFERROR(INDEX('TMP Paste'!$D$2:$D$1601,$AS1234)*1000000/$AB1234,""))</f>
        <v/>
      </c>
    </row>
    <row r="1235" spans="1:47">
      <c r="A1235" t="str">
        <f>IF($AS1235="","",INDEX('TMP Paste'!$B$2:$B$1601,$AS1235))</f>
        <v/>
      </c>
      <c r="B1235" t="str">
        <f>IF($AS1235="","",Config!$B$14)</f>
        <v/>
      </c>
      <c r="C1235" t="str">
        <f>IF($AS1235="","",Config!$B$15)</f>
        <v/>
      </c>
      <c r="D1235" t="str">
        <f>IF($AS1235="","",INDEX('TMP Paste'!$B$2:$B$1601,$AS1235))</f>
        <v/>
      </c>
      <c r="E1235" t="str">
        <f>IF($AS1235="","",Config!$B$27)</f>
        <v/>
      </c>
      <c r="F1235" t="str">
        <f>IF($AS1235="","",Config!$B$9)</f>
        <v/>
      </c>
      <c r="G1235" t="str">
        <f>IF($AS1235="","",Config!$B$10)</f>
        <v/>
      </c>
      <c r="H1235" t="str">
        <f>IF($AS1235="","",Config!$B$11)</f>
        <v/>
      </c>
      <c r="I1235" t="str">
        <f>IF($AS1235="","",Config!$B$16)</f>
        <v/>
      </c>
      <c r="J1235" t="str">
        <f>IF($AS1235="","",INDEX('TMP Paste'!$A$2:$A$1601,$AS1235))</f>
        <v/>
      </c>
      <c r="K1235" t="str">
        <f>IF($AS1235="","",INDEX('TMP Paste'!$L$2:$L$1601,$AS1235))</f>
        <v/>
      </c>
      <c r="L1235" t="str">
        <f>IF($AS1235="","",INDEX('TMP Paste'!$I$2:$I$1601,$AS1235))</f>
        <v/>
      </c>
      <c r="M1235" t="str">
        <f>IF($AS1235="","",Config!$B$16)</f>
        <v/>
      </c>
      <c r="N1235" t="str">
        <f t="shared" si="114"/>
        <v/>
      </c>
      <c r="O1235" t="str">
        <f>IF($AS1235="","",INDEX('TMP Paste'!$K$2:$K$1601,$AS1235))</f>
        <v/>
      </c>
      <c r="P1235" t="str">
        <f t="shared" si="115"/>
        <v/>
      </c>
      <c r="Q1235" t="str">
        <f>IF($AS1235="","",INDEX('TMP Paste'!$J$2:$J$1601,$AS1235))</f>
        <v/>
      </c>
      <c r="R1235" t="str">
        <f>IF($AS1235="","",Config!$B$24)</f>
        <v/>
      </c>
      <c r="S1235" t="str">
        <f ca="1">IF($AS1235="","",TEXT(Config!$B$4,"yyyy-mm-dd"))</f>
        <v/>
      </c>
      <c r="T1235" t="str">
        <f>IF($AS1235="","",Config!$B$17)</f>
        <v/>
      </c>
      <c r="U1235" t="str">
        <f>IF($AS1235="","",Config!$B$18)</f>
        <v/>
      </c>
      <c r="V1235" t="str">
        <f>IF($AS1235="","",Config!$B$19)</f>
        <v/>
      </c>
      <c r="W1235" t="str">
        <f>IF($AS1235="","",INDEX('TMP Paste'!$C$2:$C$1601,$AS1235))</f>
        <v/>
      </c>
      <c r="X1235" t="str">
        <f>IF($AS1235="","",Config!$B$29)</f>
        <v/>
      </c>
      <c r="Y1235" t="str">
        <f>IF($AT1235="","",INDEX(Calc!$I$2:$I$1601,$AT1235)&amp;" - "&amp;INDEX(Calc!$D$2:$D$1601,$AT1235)&amp;" koli")</f>
        <v/>
      </c>
      <c r="Z1235" t="str">
        <f>IF($AS1235="","",Config!$B$21)</f>
        <v/>
      </c>
      <c r="AA1235" t="str">
        <f>IF($AS1235="","",Config!$B$22)</f>
        <v/>
      </c>
      <c r="AB1235" t="str">
        <f>IF($AT1235="","",INDEX(Calc!$D$2:$D$1601,$AT1235))</f>
        <v/>
      </c>
      <c r="AC1235" t="str">
        <f>IF($AT1235="","",INDEX(Calc!$G$2:$G$1601,$AT1235))</f>
        <v/>
      </c>
      <c r="AD1235" t="str">
        <f>IF($AS1235="","",Config!$B$23)</f>
        <v/>
      </c>
      <c r="AE1235" t="str">
        <f>IF($AS1235="","",Config!$B$28)</f>
        <v/>
      </c>
      <c r="AF1235" t="str">
        <f t="shared" si="116"/>
        <v/>
      </c>
      <c r="AG1235" t="str">
        <f t="shared" si="117"/>
        <v/>
      </c>
      <c r="AH1235" t="str">
        <f t="shared" si="118"/>
        <v/>
      </c>
      <c r="AI1235" t="str">
        <f>IF($AG1235="","",SUMIF($AG$2:$AG1235,$AG1235,$AH$2:$AH1235))</f>
        <v/>
      </c>
      <c r="AJ1235" t="str">
        <f>IF('TMP Paste'!$F1235="","",IF('TMP Paste'!$B1235="",$AJ1234,'TMP Paste'!$B1235))</f>
        <v/>
      </c>
      <c r="AK1235" t="str">
        <f>IF('TMP Paste'!$F1235="","",N('TMP Paste'!$G1235))</f>
        <v/>
      </c>
      <c r="AL1235" t="str">
        <f>IF('TMP Paste'!$F1235="","",IF('TMP Paste'!$M1235="",$AL1234,'TMP Paste'!$M1235))</f>
        <v/>
      </c>
      <c r="AM1235" t="str">
        <f>IF('TMP Paste'!$F1235="","",IF('TMP Paste'!$N1235="",$AM1234,'TMP Paste'!$N1235))</f>
        <v/>
      </c>
      <c r="AN1235" t="str">
        <f>IF('TMP Paste'!$F1235="","",IF('TMP Paste'!$O1235="",$AN1234,'TMP Paste'!$O1235))</f>
        <v/>
      </c>
      <c r="AO1235" t="str">
        <f>IF('TMP Paste'!$F1235="","",IF('TMP Paste'!$P1235="",$AO1234,'TMP Paste'!$P1235))</f>
        <v/>
      </c>
      <c r="AP1235" t="str">
        <f t="shared" si="119"/>
        <v/>
      </c>
      <c r="AQ1235" t="str">
        <f>IF($AS1235="","",TRIM(IF(COUNTIFS(Calc!$B$2:$B$1601,ROW()-1,Calc!$C$2:$C$1601,"&lt;1")&gt;0,"Ada PO tanpa Koli - cek TMP. ","")&amp;IF(OR($AU1235="",$AU1235&lt;=0),"Volume kosong/0 - dimensi dikosongkan. ","")&amp;IF(AND($AU1235&lt;&gt;"",$AU1235&gt;=1000000),"Volume &gt;= 1.000.000 cm3 (di luar aturan) - dimensi dikosongkan. ","")&amp;IF(LEN($R1235)&gt;500,"R &gt; 500 karakter.","")))</f>
        <v/>
      </c>
      <c r="AS1235" t="str">
        <f>IFERROR(MATCH(ROW()-1,Calc!$J$2:$J$1601,0),"")</f>
        <v/>
      </c>
      <c r="AT1235" t="str">
        <f>IFERROR(MATCH(ROW()-1,Calc!$K$2:$K$1601,0),"")</f>
        <v/>
      </c>
      <c r="AU1235" t="str">
        <f>IF($AS1235="","",IFERROR(INDEX('TMP Paste'!$D$2:$D$1601,$AS1235)*1000000/$AB1235,""))</f>
        <v/>
      </c>
    </row>
    <row r="1236" spans="1:47">
      <c r="A1236" t="str">
        <f>IF($AS1236="","",INDEX('TMP Paste'!$B$2:$B$1601,$AS1236))</f>
        <v/>
      </c>
      <c r="B1236" t="str">
        <f>IF($AS1236="","",Config!$B$14)</f>
        <v/>
      </c>
      <c r="C1236" t="str">
        <f>IF($AS1236="","",Config!$B$15)</f>
        <v/>
      </c>
      <c r="D1236" t="str">
        <f>IF($AS1236="","",INDEX('TMP Paste'!$B$2:$B$1601,$AS1236))</f>
        <v/>
      </c>
      <c r="E1236" t="str">
        <f>IF($AS1236="","",Config!$B$27)</f>
        <v/>
      </c>
      <c r="F1236" t="str">
        <f>IF($AS1236="","",Config!$B$9)</f>
        <v/>
      </c>
      <c r="G1236" t="str">
        <f>IF($AS1236="","",Config!$B$10)</f>
        <v/>
      </c>
      <c r="H1236" t="str">
        <f>IF($AS1236="","",Config!$B$11)</f>
        <v/>
      </c>
      <c r="I1236" t="str">
        <f>IF($AS1236="","",Config!$B$16)</f>
        <v/>
      </c>
      <c r="J1236" t="str">
        <f>IF($AS1236="","",INDEX('TMP Paste'!$A$2:$A$1601,$AS1236))</f>
        <v/>
      </c>
      <c r="K1236" t="str">
        <f>IF($AS1236="","",INDEX('TMP Paste'!$L$2:$L$1601,$AS1236))</f>
        <v/>
      </c>
      <c r="L1236" t="str">
        <f>IF($AS1236="","",INDEX('TMP Paste'!$I$2:$I$1601,$AS1236))</f>
        <v/>
      </c>
      <c r="M1236" t="str">
        <f>IF($AS1236="","",Config!$B$16)</f>
        <v/>
      </c>
      <c r="N1236" t="str">
        <f t="shared" si="114"/>
        <v/>
      </c>
      <c r="O1236" t="str">
        <f>IF($AS1236="","",INDEX('TMP Paste'!$K$2:$K$1601,$AS1236))</f>
        <v/>
      </c>
      <c r="P1236" t="str">
        <f t="shared" si="115"/>
        <v/>
      </c>
      <c r="Q1236" t="str">
        <f>IF($AS1236="","",INDEX('TMP Paste'!$J$2:$J$1601,$AS1236))</f>
        <v/>
      </c>
      <c r="R1236" t="str">
        <f>IF($AS1236="","",Config!$B$24)</f>
        <v/>
      </c>
      <c r="S1236" t="str">
        <f ca="1">IF($AS1236="","",TEXT(Config!$B$4,"yyyy-mm-dd"))</f>
        <v/>
      </c>
      <c r="T1236" t="str">
        <f>IF($AS1236="","",Config!$B$17)</f>
        <v/>
      </c>
      <c r="U1236" t="str">
        <f>IF($AS1236="","",Config!$B$18)</f>
        <v/>
      </c>
      <c r="V1236" t="str">
        <f>IF($AS1236="","",Config!$B$19)</f>
        <v/>
      </c>
      <c r="W1236" t="str">
        <f>IF($AS1236="","",INDEX('TMP Paste'!$C$2:$C$1601,$AS1236))</f>
        <v/>
      </c>
      <c r="X1236" t="str">
        <f>IF($AS1236="","",Config!$B$29)</f>
        <v/>
      </c>
      <c r="Y1236" t="str">
        <f>IF($AT1236="","",INDEX(Calc!$I$2:$I$1601,$AT1236)&amp;" - "&amp;INDEX(Calc!$D$2:$D$1601,$AT1236)&amp;" koli")</f>
        <v/>
      </c>
      <c r="Z1236" t="str">
        <f>IF($AS1236="","",Config!$B$21)</f>
        <v/>
      </c>
      <c r="AA1236" t="str">
        <f>IF($AS1236="","",Config!$B$22)</f>
        <v/>
      </c>
      <c r="AB1236" t="str">
        <f>IF($AT1236="","",INDEX(Calc!$D$2:$D$1601,$AT1236))</f>
        <v/>
      </c>
      <c r="AC1236" t="str">
        <f>IF($AT1236="","",INDEX(Calc!$G$2:$G$1601,$AT1236))</f>
        <v/>
      </c>
      <c r="AD1236" t="str">
        <f>IF($AS1236="","",Config!$B$23)</f>
        <v/>
      </c>
      <c r="AE1236" t="str">
        <f>IF($AS1236="","",Config!$B$28)</f>
        <v/>
      </c>
      <c r="AF1236" t="str">
        <f t="shared" si="116"/>
        <v/>
      </c>
      <c r="AG1236" t="str">
        <f t="shared" si="117"/>
        <v/>
      </c>
      <c r="AH1236" t="str">
        <f t="shared" si="118"/>
        <v/>
      </c>
      <c r="AI1236" t="str">
        <f>IF($AG1236="","",SUMIF($AG$2:$AG1236,$AG1236,$AH$2:$AH1236))</f>
        <v/>
      </c>
      <c r="AJ1236" t="str">
        <f>IF('TMP Paste'!$F1236="","",IF('TMP Paste'!$B1236="",$AJ1235,'TMP Paste'!$B1236))</f>
        <v/>
      </c>
      <c r="AK1236" t="str">
        <f>IF('TMP Paste'!$F1236="","",N('TMP Paste'!$G1236))</f>
        <v/>
      </c>
      <c r="AL1236" t="str">
        <f>IF('TMP Paste'!$F1236="","",IF('TMP Paste'!$M1236="",$AL1235,'TMP Paste'!$M1236))</f>
        <v/>
      </c>
      <c r="AM1236" t="str">
        <f>IF('TMP Paste'!$F1236="","",IF('TMP Paste'!$N1236="",$AM1235,'TMP Paste'!$N1236))</f>
        <v/>
      </c>
      <c r="AN1236" t="str">
        <f>IF('TMP Paste'!$F1236="","",IF('TMP Paste'!$O1236="",$AN1235,'TMP Paste'!$O1236))</f>
        <v/>
      </c>
      <c r="AO1236" t="str">
        <f>IF('TMP Paste'!$F1236="","",IF('TMP Paste'!$P1236="",$AO1235,'TMP Paste'!$P1236))</f>
        <v/>
      </c>
      <c r="AP1236" t="str">
        <f t="shared" si="119"/>
        <v/>
      </c>
      <c r="AQ1236" t="str">
        <f>IF($AS1236="","",TRIM(IF(COUNTIFS(Calc!$B$2:$B$1601,ROW()-1,Calc!$C$2:$C$1601,"&lt;1")&gt;0,"Ada PO tanpa Koli - cek TMP. ","")&amp;IF(OR($AU1236="",$AU1236&lt;=0),"Volume kosong/0 - dimensi dikosongkan. ","")&amp;IF(AND($AU1236&lt;&gt;"",$AU1236&gt;=1000000),"Volume &gt;= 1.000.000 cm3 (di luar aturan) - dimensi dikosongkan. ","")&amp;IF(LEN($R1236)&gt;500,"R &gt; 500 karakter.","")))</f>
        <v/>
      </c>
      <c r="AS1236" t="str">
        <f>IFERROR(MATCH(ROW()-1,Calc!$J$2:$J$1601,0),"")</f>
        <v/>
      </c>
      <c r="AT1236" t="str">
        <f>IFERROR(MATCH(ROW()-1,Calc!$K$2:$K$1601,0),"")</f>
        <v/>
      </c>
      <c r="AU1236" t="str">
        <f>IF($AS1236="","",IFERROR(INDEX('TMP Paste'!$D$2:$D$1601,$AS1236)*1000000/$AB1236,""))</f>
        <v/>
      </c>
    </row>
    <row r="1237" spans="1:47">
      <c r="A1237" t="str">
        <f>IF($AS1237="","",INDEX('TMP Paste'!$B$2:$B$1601,$AS1237))</f>
        <v/>
      </c>
      <c r="B1237" t="str">
        <f>IF($AS1237="","",Config!$B$14)</f>
        <v/>
      </c>
      <c r="C1237" t="str">
        <f>IF($AS1237="","",Config!$B$15)</f>
        <v/>
      </c>
      <c r="D1237" t="str">
        <f>IF($AS1237="","",INDEX('TMP Paste'!$B$2:$B$1601,$AS1237))</f>
        <v/>
      </c>
      <c r="E1237" t="str">
        <f>IF($AS1237="","",Config!$B$27)</f>
        <v/>
      </c>
      <c r="F1237" t="str">
        <f>IF($AS1237="","",Config!$B$9)</f>
        <v/>
      </c>
      <c r="G1237" t="str">
        <f>IF($AS1237="","",Config!$B$10)</f>
        <v/>
      </c>
      <c r="H1237" t="str">
        <f>IF($AS1237="","",Config!$B$11)</f>
        <v/>
      </c>
      <c r="I1237" t="str">
        <f>IF($AS1237="","",Config!$B$16)</f>
        <v/>
      </c>
      <c r="J1237" t="str">
        <f>IF($AS1237="","",INDEX('TMP Paste'!$A$2:$A$1601,$AS1237))</f>
        <v/>
      </c>
      <c r="K1237" t="str">
        <f>IF($AS1237="","",INDEX('TMP Paste'!$L$2:$L$1601,$AS1237))</f>
        <v/>
      </c>
      <c r="L1237" t="str">
        <f>IF($AS1237="","",INDEX('TMP Paste'!$I$2:$I$1601,$AS1237))</f>
        <v/>
      </c>
      <c r="M1237" t="str">
        <f>IF($AS1237="","",Config!$B$16)</f>
        <v/>
      </c>
      <c r="N1237" t="str">
        <f t="shared" si="114"/>
        <v/>
      </c>
      <c r="O1237" t="str">
        <f>IF($AS1237="","",INDEX('TMP Paste'!$K$2:$K$1601,$AS1237))</f>
        <v/>
      </c>
      <c r="P1237" t="str">
        <f t="shared" si="115"/>
        <v/>
      </c>
      <c r="Q1237" t="str">
        <f>IF($AS1237="","",INDEX('TMP Paste'!$J$2:$J$1601,$AS1237))</f>
        <v/>
      </c>
      <c r="R1237" t="str">
        <f>IF($AS1237="","",Config!$B$24)</f>
        <v/>
      </c>
      <c r="S1237" t="str">
        <f ca="1">IF($AS1237="","",TEXT(Config!$B$4,"yyyy-mm-dd"))</f>
        <v/>
      </c>
      <c r="T1237" t="str">
        <f>IF($AS1237="","",Config!$B$17)</f>
        <v/>
      </c>
      <c r="U1237" t="str">
        <f>IF($AS1237="","",Config!$B$18)</f>
        <v/>
      </c>
      <c r="V1237" t="str">
        <f>IF($AS1237="","",Config!$B$19)</f>
        <v/>
      </c>
      <c r="W1237" t="str">
        <f>IF($AS1237="","",INDEX('TMP Paste'!$C$2:$C$1601,$AS1237))</f>
        <v/>
      </c>
      <c r="X1237" t="str">
        <f>IF($AS1237="","",Config!$B$29)</f>
        <v/>
      </c>
      <c r="Y1237" t="str">
        <f>IF($AT1237="","",INDEX(Calc!$I$2:$I$1601,$AT1237)&amp;" - "&amp;INDEX(Calc!$D$2:$D$1601,$AT1237)&amp;" koli")</f>
        <v/>
      </c>
      <c r="Z1237" t="str">
        <f>IF($AS1237="","",Config!$B$21)</f>
        <v/>
      </c>
      <c r="AA1237" t="str">
        <f>IF($AS1237="","",Config!$B$22)</f>
        <v/>
      </c>
      <c r="AB1237" t="str">
        <f>IF($AT1237="","",INDEX(Calc!$D$2:$D$1601,$AT1237))</f>
        <v/>
      </c>
      <c r="AC1237" t="str">
        <f>IF($AT1237="","",INDEX(Calc!$G$2:$G$1601,$AT1237))</f>
        <v/>
      </c>
      <c r="AD1237" t="str">
        <f>IF($AS1237="","",Config!$B$23)</f>
        <v/>
      </c>
      <c r="AE1237" t="str">
        <f>IF($AS1237="","",Config!$B$28)</f>
        <v/>
      </c>
      <c r="AF1237" t="str">
        <f t="shared" si="116"/>
        <v/>
      </c>
      <c r="AG1237" t="str">
        <f t="shared" si="117"/>
        <v/>
      </c>
      <c r="AH1237" t="str">
        <f t="shared" si="118"/>
        <v/>
      </c>
      <c r="AI1237" t="str">
        <f>IF($AG1237="","",SUMIF($AG$2:$AG1237,$AG1237,$AH$2:$AH1237))</f>
        <v/>
      </c>
      <c r="AJ1237" t="str">
        <f>IF('TMP Paste'!$F1237="","",IF('TMP Paste'!$B1237="",$AJ1236,'TMP Paste'!$B1237))</f>
        <v/>
      </c>
      <c r="AK1237" t="str">
        <f>IF('TMP Paste'!$F1237="","",N('TMP Paste'!$G1237))</f>
        <v/>
      </c>
      <c r="AL1237" t="str">
        <f>IF('TMP Paste'!$F1237="","",IF('TMP Paste'!$M1237="",$AL1236,'TMP Paste'!$M1237))</f>
        <v/>
      </c>
      <c r="AM1237" t="str">
        <f>IF('TMP Paste'!$F1237="","",IF('TMP Paste'!$N1237="",$AM1236,'TMP Paste'!$N1237))</f>
        <v/>
      </c>
      <c r="AN1237" t="str">
        <f>IF('TMP Paste'!$F1237="","",IF('TMP Paste'!$O1237="",$AN1236,'TMP Paste'!$O1237))</f>
        <v/>
      </c>
      <c r="AO1237" t="str">
        <f>IF('TMP Paste'!$F1237="","",IF('TMP Paste'!$P1237="",$AO1236,'TMP Paste'!$P1237))</f>
        <v/>
      </c>
      <c r="AP1237" t="str">
        <f t="shared" si="119"/>
        <v/>
      </c>
      <c r="AQ1237" t="str">
        <f>IF($AS1237="","",TRIM(IF(COUNTIFS(Calc!$B$2:$B$1601,ROW()-1,Calc!$C$2:$C$1601,"&lt;1")&gt;0,"Ada PO tanpa Koli - cek TMP. ","")&amp;IF(OR($AU1237="",$AU1237&lt;=0),"Volume kosong/0 - dimensi dikosongkan. ","")&amp;IF(AND($AU1237&lt;&gt;"",$AU1237&gt;=1000000),"Volume &gt;= 1.000.000 cm3 (di luar aturan) - dimensi dikosongkan. ","")&amp;IF(LEN($R1237)&gt;500,"R &gt; 500 karakter.","")))</f>
        <v/>
      </c>
      <c r="AS1237" t="str">
        <f>IFERROR(MATCH(ROW()-1,Calc!$J$2:$J$1601,0),"")</f>
        <v/>
      </c>
      <c r="AT1237" t="str">
        <f>IFERROR(MATCH(ROW()-1,Calc!$K$2:$K$1601,0),"")</f>
        <v/>
      </c>
      <c r="AU1237" t="str">
        <f>IF($AS1237="","",IFERROR(INDEX('TMP Paste'!$D$2:$D$1601,$AS1237)*1000000/$AB1237,""))</f>
        <v/>
      </c>
    </row>
    <row r="1238" spans="1:47">
      <c r="A1238" t="str">
        <f>IF($AS1238="","",INDEX('TMP Paste'!$B$2:$B$1601,$AS1238))</f>
        <v/>
      </c>
      <c r="B1238" t="str">
        <f>IF($AS1238="","",Config!$B$14)</f>
        <v/>
      </c>
      <c r="C1238" t="str">
        <f>IF($AS1238="","",Config!$B$15)</f>
        <v/>
      </c>
      <c r="D1238" t="str">
        <f>IF($AS1238="","",INDEX('TMP Paste'!$B$2:$B$1601,$AS1238))</f>
        <v/>
      </c>
      <c r="E1238" t="str">
        <f>IF($AS1238="","",Config!$B$27)</f>
        <v/>
      </c>
      <c r="F1238" t="str">
        <f>IF($AS1238="","",Config!$B$9)</f>
        <v/>
      </c>
      <c r="G1238" t="str">
        <f>IF($AS1238="","",Config!$B$10)</f>
        <v/>
      </c>
      <c r="H1238" t="str">
        <f>IF($AS1238="","",Config!$B$11)</f>
        <v/>
      </c>
      <c r="I1238" t="str">
        <f>IF($AS1238="","",Config!$B$16)</f>
        <v/>
      </c>
      <c r="J1238" t="str">
        <f>IF($AS1238="","",INDEX('TMP Paste'!$A$2:$A$1601,$AS1238))</f>
        <v/>
      </c>
      <c r="K1238" t="str">
        <f>IF($AS1238="","",INDEX('TMP Paste'!$L$2:$L$1601,$AS1238))</f>
        <v/>
      </c>
      <c r="L1238" t="str">
        <f>IF($AS1238="","",INDEX('TMP Paste'!$I$2:$I$1601,$AS1238))</f>
        <v/>
      </c>
      <c r="M1238" t="str">
        <f>IF($AS1238="","",Config!$B$16)</f>
        <v/>
      </c>
      <c r="N1238" t="str">
        <f t="shared" si="114"/>
        <v/>
      </c>
      <c r="O1238" t="str">
        <f>IF($AS1238="","",INDEX('TMP Paste'!$K$2:$K$1601,$AS1238))</f>
        <v/>
      </c>
      <c r="P1238" t="str">
        <f t="shared" si="115"/>
        <v/>
      </c>
      <c r="Q1238" t="str">
        <f>IF($AS1238="","",INDEX('TMP Paste'!$J$2:$J$1601,$AS1238))</f>
        <v/>
      </c>
      <c r="R1238" t="str">
        <f>IF($AS1238="","",Config!$B$24)</f>
        <v/>
      </c>
      <c r="S1238" t="str">
        <f ca="1">IF($AS1238="","",TEXT(Config!$B$4,"yyyy-mm-dd"))</f>
        <v/>
      </c>
      <c r="T1238" t="str">
        <f>IF($AS1238="","",Config!$B$17)</f>
        <v/>
      </c>
      <c r="U1238" t="str">
        <f>IF($AS1238="","",Config!$B$18)</f>
        <v/>
      </c>
      <c r="V1238" t="str">
        <f>IF($AS1238="","",Config!$B$19)</f>
        <v/>
      </c>
      <c r="W1238" t="str">
        <f>IF($AS1238="","",INDEX('TMP Paste'!$C$2:$C$1601,$AS1238))</f>
        <v/>
      </c>
      <c r="X1238" t="str">
        <f>IF($AS1238="","",Config!$B$29)</f>
        <v/>
      </c>
      <c r="Y1238" t="str">
        <f>IF($AT1238="","",INDEX(Calc!$I$2:$I$1601,$AT1238)&amp;" - "&amp;INDEX(Calc!$D$2:$D$1601,$AT1238)&amp;" koli")</f>
        <v/>
      </c>
      <c r="Z1238" t="str">
        <f>IF($AS1238="","",Config!$B$21)</f>
        <v/>
      </c>
      <c r="AA1238" t="str">
        <f>IF($AS1238="","",Config!$B$22)</f>
        <v/>
      </c>
      <c r="AB1238" t="str">
        <f>IF($AT1238="","",INDEX(Calc!$D$2:$D$1601,$AT1238))</f>
        <v/>
      </c>
      <c r="AC1238" t="str">
        <f>IF($AT1238="","",INDEX(Calc!$G$2:$G$1601,$AT1238))</f>
        <v/>
      </c>
      <c r="AD1238" t="str">
        <f>IF($AS1238="","",Config!$B$23)</f>
        <v/>
      </c>
      <c r="AE1238" t="str">
        <f>IF($AS1238="","",Config!$B$28)</f>
        <v/>
      </c>
      <c r="AF1238" t="str">
        <f t="shared" si="116"/>
        <v/>
      </c>
      <c r="AG1238" t="str">
        <f t="shared" si="117"/>
        <v/>
      </c>
      <c r="AH1238" t="str">
        <f t="shared" si="118"/>
        <v/>
      </c>
      <c r="AI1238" t="str">
        <f>IF($AG1238="","",SUMIF($AG$2:$AG1238,$AG1238,$AH$2:$AH1238))</f>
        <v/>
      </c>
      <c r="AJ1238" t="str">
        <f>IF('TMP Paste'!$F1238="","",IF('TMP Paste'!$B1238="",$AJ1237,'TMP Paste'!$B1238))</f>
        <v/>
      </c>
      <c r="AK1238" t="str">
        <f>IF('TMP Paste'!$F1238="","",N('TMP Paste'!$G1238))</f>
        <v/>
      </c>
      <c r="AL1238" t="str">
        <f>IF('TMP Paste'!$F1238="","",IF('TMP Paste'!$M1238="",$AL1237,'TMP Paste'!$M1238))</f>
        <v/>
      </c>
      <c r="AM1238" t="str">
        <f>IF('TMP Paste'!$F1238="","",IF('TMP Paste'!$N1238="",$AM1237,'TMP Paste'!$N1238))</f>
        <v/>
      </c>
      <c r="AN1238" t="str">
        <f>IF('TMP Paste'!$F1238="","",IF('TMP Paste'!$O1238="",$AN1237,'TMP Paste'!$O1238))</f>
        <v/>
      </c>
      <c r="AO1238" t="str">
        <f>IF('TMP Paste'!$F1238="","",IF('TMP Paste'!$P1238="",$AO1237,'TMP Paste'!$P1238))</f>
        <v/>
      </c>
      <c r="AP1238" t="str">
        <f t="shared" si="119"/>
        <v/>
      </c>
      <c r="AQ1238" t="str">
        <f>IF($AS1238="","",TRIM(IF(COUNTIFS(Calc!$B$2:$B$1601,ROW()-1,Calc!$C$2:$C$1601,"&lt;1")&gt;0,"Ada PO tanpa Koli - cek TMP. ","")&amp;IF(OR($AU1238="",$AU1238&lt;=0),"Volume kosong/0 - dimensi dikosongkan. ","")&amp;IF(AND($AU1238&lt;&gt;"",$AU1238&gt;=1000000),"Volume &gt;= 1.000.000 cm3 (di luar aturan) - dimensi dikosongkan. ","")&amp;IF(LEN($R1238)&gt;500,"R &gt; 500 karakter.","")))</f>
        <v/>
      </c>
      <c r="AS1238" t="str">
        <f>IFERROR(MATCH(ROW()-1,Calc!$J$2:$J$1601,0),"")</f>
        <v/>
      </c>
      <c r="AT1238" t="str">
        <f>IFERROR(MATCH(ROW()-1,Calc!$K$2:$K$1601,0),"")</f>
        <v/>
      </c>
      <c r="AU1238" t="str">
        <f>IF($AS1238="","",IFERROR(INDEX('TMP Paste'!$D$2:$D$1601,$AS1238)*1000000/$AB1238,""))</f>
        <v/>
      </c>
    </row>
    <row r="1239" spans="1:47">
      <c r="A1239" t="str">
        <f>IF($AS1239="","",INDEX('TMP Paste'!$B$2:$B$1601,$AS1239))</f>
        <v/>
      </c>
      <c r="B1239" t="str">
        <f>IF($AS1239="","",Config!$B$14)</f>
        <v/>
      </c>
      <c r="C1239" t="str">
        <f>IF($AS1239="","",Config!$B$15)</f>
        <v/>
      </c>
      <c r="D1239" t="str">
        <f>IF($AS1239="","",INDEX('TMP Paste'!$B$2:$B$1601,$AS1239))</f>
        <v/>
      </c>
      <c r="E1239" t="str">
        <f>IF($AS1239="","",Config!$B$27)</f>
        <v/>
      </c>
      <c r="F1239" t="str">
        <f>IF($AS1239="","",Config!$B$9)</f>
        <v/>
      </c>
      <c r="G1239" t="str">
        <f>IF($AS1239="","",Config!$B$10)</f>
        <v/>
      </c>
      <c r="H1239" t="str">
        <f>IF($AS1239="","",Config!$B$11)</f>
        <v/>
      </c>
      <c r="I1239" t="str">
        <f>IF($AS1239="","",Config!$B$16)</f>
        <v/>
      </c>
      <c r="J1239" t="str">
        <f>IF($AS1239="","",INDEX('TMP Paste'!$A$2:$A$1601,$AS1239))</f>
        <v/>
      </c>
      <c r="K1239" t="str">
        <f>IF($AS1239="","",INDEX('TMP Paste'!$L$2:$L$1601,$AS1239))</f>
        <v/>
      </c>
      <c r="L1239" t="str">
        <f>IF($AS1239="","",INDEX('TMP Paste'!$I$2:$I$1601,$AS1239))</f>
        <v/>
      </c>
      <c r="M1239" t="str">
        <f>IF($AS1239="","",Config!$B$16)</f>
        <v/>
      </c>
      <c r="N1239" t="str">
        <f t="shared" si="114"/>
        <v/>
      </c>
      <c r="O1239" t="str">
        <f>IF($AS1239="","",INDEX('TMP Paste'!$K$2:$K$1601,$AS1239))</f>
        <v/>
      </c>
      <c r="P1239" t="str">
        <f t="shared" si="115"/>
        <v/>
      </c>
      <c r="Q1239" t="str">
        <f>IF($AS1239="","",INDEX('TMP Paste'!$J$2:$J$1601,$AS1239))</f>
        <v/>
      </c>
      <c r="R1239" t="str">
        <f>IF($AS1239="","",Config!$B$24)</f>
        <v/>
      </c>
      <c r="S1239" t="str">
        <f ca="1">IF($AS1239="","",TEXT(Config!$B$4,"yyyy-mm-dd"))</f>
        <v/>
      </c>
      <c r="T1239" t="str">
        <f>IF($AS1239="","",Config!$B$17)</f>
        <v/>
      </c>
      <c r="U1239" t="str">
        <f>IF($AS1239="","",Config!$B$18)</f>
        <v/>
      </c>
      <c r="V1239" t="str">
        <f>IF($AS1239="","",Config!$B$19)</f>
        <v/>
      </c>
      <c r="W1239" t="str">
        <f>IF($AS1239="","",INDEX('TMP Paste'!$C$2:$C$1601,$AS1239))</f>
        <v/>
      </c>
      <c r="X1239" t="str">
        <f>IF($AS1239="","",Config!$B$29)</f>
        <v/>
      </c>
      <c r="Y1239" t="str">
        <f>IF($AT1239="","",INDEX(Calc!$I$2:$I$1601,$AT1239)&amp;" - "&amp;INDEX(Calc!$D$2:$D$1601,$AT1239)&amp;" koli")</f>
        <v/>
      </c>
      <c r="Z1239" t="str">
        <f>IF($AS1239="","",Config!$B$21)</f>
        <v/>
      </c>
      <c r="AA1239" t="str">
        <f>IF($AS1239="","",Config!$B$22)</f>
        <v/>
      </c>
      <c r="AB1239" t="str">
        <f>IF($AT1239="","",INDEX(Calc!$D$2:$D$1601,$AT1239))</f>
        <v/>
      </c>
      <c r="AC1239" t="str">
        <f>IF($AT1239="","",INDEX(Calc!$G$2:$G$1601,$AT1239))</f>
        <v/>
      </c>
      <c r="AD1239" t="str">
        <f>IF($AS1239="","",Config!$B$23)</f>
        <v/>
      </c>
      <c r="AE1239" t="str">
        <f>IF($AS1239="","",Config!$B$28)</f>
        <v/>
      </c>
      <c r="AF1239" t="str">
        <f t="shared" si="116"/>
        <v/>
      </c>
      <c r="AG1239" t="str">
        <f t="shared" si="117"/>
        <v/>
      </c>
      <c r="AH1239" t="str">
        <f t="shared" si="118"/>
        <v/>
      </c>
      <c r="AI1239" t="str">
        <f>IF($AG1239="","",SUMIF($AG$2:$AG1239,$AG1239,$AH$2:$AH1239))</f>
        <v/>
      </c>
      <c r="AJ1239" t="str">
        <f>IF('TMP Paste'!$F1239="","",IF('TMP Paste'!$B1239="",$AJ1238,'TMP Paste'!$B1239))</f>
        <v/>
      </c>
      <c r="AK1239" t="str">
        <f>IF('TMP Paste'!$F1239="","",N('TMP Paste'!$G1239))</f>
        <v/>
      </c>
      <c r="AL1239" t="str">
        <f>IF('TMP Paste'!$F1239="","",IF('TMP Paste'!$M1239="",$AL1238,'TMP Paste'!$M1239))</f>
        <v/>
      </c>
      <c r="AM1239" t="str">
        <f>IF('TMP Paste'!$F1239="","",IF('TMP Paste'!$N1239="",$AM1238,'TMP Paste'!$N1239))</f>
        <v/>
      </c>
      <c r="AN1239" t="str">
        <f>IF('TMP Paste'!$F1239="","",IF('TMP Paste'!$O1239="",$AN1238,'TMP Paste'!$O1239))</f>
        <v/>
      </c>
      <c r="AO1239" t="str">
        <f>IF('TMP Paste'!$F1239="","",IF('TMP Paste'!$P1239="",$AO1238,'TMP Paste'!$P1239))</f>
        <v/>
      </c>
      <c r="AP1239" t="str">
        <f t="shared" si="119"/>
        <v/>
      </c>
      <c r="AQ1239" t="str">
        <f>IF($AS1239="","",TRIM(IF(COUNTIFS(Calc!$B$2:$B$1601,ROW()-1,Calc!$C$2:$C$1601,"&lt;1")&gt;0,"Ada PO tanpa Koli - cek TMP. ","")&amp;IF(OR($AU1239="",$AU1239&lt;=0),"Volume kosong/0 - dimensi dikosongkan. ","")&amp;IF(AND($AU1239&lt;&gt;"",$AU1239&gt;=1000000),"Volume &gt;= 1.000.000 cm3 (di luar aturan) - dimensi dikosongkan. ","")&amp;IF(LEN($R1239)&gt;500,"R &gt; 500 karakter.","")))</f>
        <v/>
      </c>
      <c r="AS1239" t="str">
        <f>IFERROR(MATCH(ROW()-1,Calc!$J$2:$J$1601,0),"")</f>
        <v/>
      </c>
      <c r="AT1239" t="str">
        <f>IFERROR(MATCH(ROW()-1,Calc!$K$2:$K$1601,0),"")</f>
        <v/>
      </c>
      <c r="AU1239" t="str">
        <f>IF($AS1239="","",IFERROR(INDEX('TMP Paste'!$D$2:$D$1601,$AS1239)*1000000/$AB1239,""))</f>
        <v/>
      </c>
    </row>
    <row r="1240" spans="1:47">
      <c r="A1240" t="str">
        <f>IF($AS1240="","",INDEX('TMP Paste'!$B$2:$B$1601,$AS1240))</f>
        <v/>
      </c>
      <c r="B1240" t="str">
        <f>IF($AS1240="","",Config!$B$14)</f>
        <v/>
      </c>
      <c r="C1240" t="str">
        <f>IF($AS1240="","",Config!$B$15)</f>
        <v/>
      </c>
      <c r="D1240" t="str">
        <f>IF($AS1240="","",INDEX('TMP Paste'!$B$2:$B$1601,$AS1240))</f>
        <v/>
      </c>
      <c r="E1240" t="str">
        <f>IF($AS1240="","",Config!$B$27)</f>
        <v/>
      </c>
      <c r="F1240" t="str">
        <f>IF($AS1240="","",Config!$B$9)</f>
        <v/>
      </c>
      <c r="G1240" t="str">
        <f>IF($AS1240="","",Config!$B$10)</f>
        <v/>
      </c>
      <c r="H1240" t="str">
        <f>IF($AS1240="","",Config!$B$11)</f>
        <v/>
      </c>
      <c r="I1240" t="str">
        <f>IF($AS1240="","",Config!$B$16)</f>
        <v/>
      </c>
      <c r="J1240" t="str">
        <f>IF($AS1240="","",INDEX('TMP Paste'!$A$2:$A$1601,$AS1240))</f>
        <v/>
      </c>
      <c r="K1240" t="str">
        <f>IF($AS1240="","",INDEX('TMP Paste'!$L$2:$L$1601,$AS1240))</f>
        <v/>
      </c>
      <c r="L1240" t="str">
        <f>IF($AS1240="","",INDEX('TMP Paste'!$I$2:$I$1601,$AS1240))</f>
        <v/>
      </c>
      <c r="M1240" t="str">
        <f>IF($AS1240="","",Config!$B$16)</f>
        <v/>
      </c>
      <c r="N1240" t="str">
        <f t="shared" si="114"/>
        <v/>
      </c>
      <c r="O1240" t="str">
        <f>IF($AS1240="","",INDEX('TMP Paste'!$K$2:$K$1601,$AS1240))</f>
        <v/>
      </c>
      <c r="P1240" t="str">
        <f t="shared" si="115"/>
        <v/>
      </c>
      <c r="Q1240" t="str">
        <f>IF($AS1240="","",INDEX('TMP Paste'!$J$2:$J$1601,$AS1240))</f>
        <v/>
      </c>
      <c r="R1240" t="str">
        <f>IF($AS1240="","",Config!$B$24)</f>
        <v/>
      </c>
      <c r="S1240" t="str">
        <f ca="1">IF($AS1240="","",TEXT(Config!$B$4,"yyyy-mm-dd"))</f>
        <v/>
      </c>
      <c r="T1240" t="str">
        <f>IF($AS1240="","",Config!$B$17)</f>
        <v/>
      </c>
      <c r="U1240" t="str">
        <f>IF($AS1240="","",Config!$B$18)</f>
        <v/>
      </c>
      <c r="V1240" t="str">
        <f>IF($AS1240="","",Config!$B$19)</f>
        <v/>
      </c>
      <c r="W1240" t="str">
        <f>IF($AS1240="","",INDEX('TMP Paste'!$C$2:$C$1601,$AS1240))</f>
        <v/>
      </c>
      <c r="X1240" t="str">
        <f>IF($AS1240="","",Config!$B$29)</f>
        <v/>
      </c>
      <c r="Y1240" t="str">
        <f>IF($AT1240="","",INDEX(Calc!$I$2:$I$1601,$AT1240)&amp;" - "&amp;INDEX(Calc!$D$2:$D$1601,$AT1240)&amp;" koli")</f>
        <v/>
      </c>
      <c r="Z1240" t="str">
        <f>IF($AS1240="","",Config!$B$21)</f>
        <v/>
      </c>
      <c r="AA1240" t="str">
        <f>IF($AS1240="","",Config!$B$22)</f>
        <v/>
      </c>
      <c r="AB1240" t="str">
        <f>IF($AT1240="","",INDEX(Calc!$D$2:$D$1601,$AT1240))</f>
        <v/>
      </c>
      <c r="AC1240" t="str">
        <f>IF($AT1240="","",INDEX(Calc!$G$2:$G$1601,$AT1240))</f>
        <v/>
      </c>
      <c r="AD1240" t="str">
        <f>IF($AS1240="","",Config!$B$23)</f>
        <v/>
      </c>
      <c r="AE1240" t="str">
        <f>IF($AS1240="","",Config!$B$28)</f>
        <v/>
      </c>
      <c r="AF1240" t="str">
        <f t="shared" si="116"/>
        <v/>
      </c>
      <c r="AG1240" t="str">
        <f t="shared" si="117"/>
        <v/>
      </c>
      <c r="AH1240" t="str">
        <f t="shared" si="118"/>
        <v/>
      </c>
      <c r="AI1240" t="str">
        <f>IF($AG1240="","",SUMIF($AG$2:$AG1240,$AG1240,$AH$2:$AH1240))</f>
        <v/>
      </c>
      <c r="AJ1240" t="str">
        <f>IF('TMP Paste'!$F1240="","",IF('TMP Paste'!$B1240="",$AJ1239,'TMP Paste'!$B1240))</f>
        <v/>
      </c>
      <c r="AK1240" t="str">
        <f>IF('TMP Paste'!$F1240="","",N('TMP Paste'!$G1240))</f>
        <v/>
      </c>
      <c r="AL1240" t="str">
        <f>IF('TMP Paste'!$F1240="","",IF('TMP Paste'!$M1240="",$AL1239,'TMP Paste'!$M1240))</f>
        <v/>
      </c>
      <c r="AM1240" t="str">
        <f>IF('TMP Paste'!$F1240="","",IF('TMP Paste'!$N1240="",$AM1239,'TMP Paste'!$N1240))</f>
        <v/>
      </c>
      <c r="AN1240" t="str">
        <f>IF('TMP Paste'!$F1240="","",IF('TMP Paste'!$O1240="",$AN1239,'TMP Paste'!$O1240))</f>
        <v/>
      </c>
      <c r="AO1240" t="str">
        <f>IF('TMP Paste'!$F1240="","",IF('TMP Paste'!$P1240="",$AO1239,'TMP Paste'!$P1240))</f>
        <v/>
      </c>
      <c r="AP1240" t="str">
        <f t="shared" si="119"/>
        <v/>
      </c>
      <c r="AQ1240" t="str">
        <f>IF($AS1240="","",TRIM(IF(COUNTIFS(Calc!$B$2:$B$1601,ROW()-1,Calc!$C$2:$C$1601,"&lt;1")&gt;0,"Ada PO tanpa Koli - cek TMP. ","")&amp;IF(OR($AU1240="",$AU1240&lt;=0),"Volume kosong/0 - dimensi dikosongkan. ","")&amp;IF(AND($AU1240&lt;&gt;"",$AU1240&gt;=1000000),"Volume &gt;= 1.000.000 cm3 (di luar aturan) - dimensi dikosongkan. ","")&amp;IF(LEN($R1240)&gt;500,"R &gt; 500 karakter.","")))</f>
        <v/>
      </c>
      <c r="AS1240" t="str">
        <f>IFERROR(MATCH(ROW()-1,Calc!$J$2:$J$1601,0),"")</f>
        <v/>
      </c>
      <c r="AT1240" t="str">
        <f>IFERROR(MATCH(ROW()-1,Calc!$K$2:$K$1601,0),"")</f>
        <v/>
      </c>
      <c r="AU1240" t="str">
        <f>IF($AS1240="","",IFERROR(INDEX('TMP Paste'!$D$2:$D$1601,$AS1240)*1000000/$AB1240,""))</f>
        <v/>
      </c>
    </row>
    <row r="1241" spans="1:47">
      <c r="A1241" t="str">
        <f>IF($AS1241="","",INDEX('TMP Paste'!$B$2:$B$1601,$AS1241))</f>
        <v/>
      </c>
      <c r="B1241" t="str">
        <f>IF($AS1241="","",Config!$B$14)</f>
        <v/>
      </c>
      <c r="C1241" t="str">
        <f>IF($AS1241="","",Config!$B$15)</f>
        <v/>
      </c>
      <c r="D1241" t="str">
        <f>IF($AS1241="","",INDEX('TMP Paste'!$B$2:$B$1601,$AS1241))</f>
        <v/>
      </c>
      <c r="E1241" t="str">
        <f>IF($AS1241="","",Config!$B$27)</f>
        <v/>
      </c>
      <c r="F1241" t="str">
        <f>IF($AS1241="","",Config!$B$9)</f>
        <v/>
      </c>
      <c r="G1241" t="str">
        <f>IF($AS1241="","",Config!$B$10)</f>
        <v/>
      </c>
      <c r="H1241" t="str">
        <f>IF($AS1241="","",Config!$B$11)</f>
        <v/>
      </c>
      <c r="I1241" t="str">
        <f>IF($AS1241="","",Config!$B$16)</f>
        <v/>
      </c>
      <c r="J1241" t="str">
        <f>IF($AS1241="","",INDEX('TMP Paste'!$A$2:$A$1601,$AS1241))</f>
        <v/>
      </c>
      <c r="K1241" t="str">
        <f>IF($AS1241="","",INDEX('TMP Paste'!$L$2:$L$1601,$AS1241))</f>
        <v/>
      </c>
      <c r="L1241" t="str">
        <f>IF($AS1241="","",INDEX('TMP Paste'!$I$2:$I$1601,$AS1241))</f>
        <v/>
      </c>
      <c r="M1241" t="str">
        <f>IF($AS1241="","",Config!$B$16)</f>
        <v/>
      </c>
      <c r="N1241" t="str">
        <f t="shared" si="114"/>
        <v/>
      </c>
      <c r="O1241" t="str">
        <f>IF($AS1241="","",INDEX('TMP Paste'!$K$2:$K$1601,$AS1241))</f>
        <v/>
      </c>
      <c r="P1241" t="str">
        <f t="shared" si="115"/>
        <v/>
      </c>
      <c r="Q1241" t="str">
        <f>IF($AS1241="","",INDEX('TMP Paste'!$J$2:$J$1601,$AS1241))</f>
        <v/>
      </c>
      <c r="R1241" t="str">
        <f>IF($AS1241="","",Config!$B$24)</f>
        <v/>
      </c>
      <c r="S1241" t="str">
        <f ca="1">IF($AS1241="","",TEXT(Config!$B$4,"yyyy-mm-dd"))</f>
        <v/>
      </c>
      <c r="T1241" t="str">
        <f>IF($AS1241="","",Config!$B$17)</f>
        <v/>
      </c>
      <c r="U1241" t="str">
        <f>IF($AS1241="","",Config!$B$18)</f>
        <v/>
      </c>
      <c r="V1241" t="str">
        <f>IF($AS1241="","",Config!$B$19)</f>
        <v/>
      </c>
      <c r="W1241" t="str">
        <f>IF($AS1241="","",INDEX('TMP Paste'!$C$2:$C$1601,$AS1241))</f>
        <v/>
      </c>
      <c r="X1241" t="str">
        <f>IF($AS1241="","",Config!$B$29)</f>
        <v/>
      </c>
      <c r="Y1241" t="str">
        <f>IF($AT1241="","",INDEX(Calc!$I$2:$I$1601,$AT1241)&amp;" - "&amp;INDEX(Calc!$D$2:$D$1601,$AT1241)&amp;" koli")</f>
        <v/>
      </c>
      <c r="Z1241" t="str">
        <f>IF($AS1241="","",Config!$B$21)</f>
        <v/>
      </c>
      <c r="AA1241" t="str">
        <f>IF($AS1241="","",Config!$B$22)</f>
        <v/>
      </c>
      <c r="AB1241" t="str">
        <f>IF($AT1241="","",INDEX(Calc!$D$2:$D$1601,$AT1241))</f>
        <v/>
      </c>
      <c r="AC1241" t="str">
        <f>IF($AT1241="","",INDEX(Calc!$G$2:$G$1601,$AT1241))</f>
        <v/>
      </c>
      <c r="AD1241" t="str">
        <f>IF($AS1241="","",Config!$B$23)</f>
        <v/>
      </c>
      <c r="AE1241" t="str">
        <f>IF($AS1241="","",Config!$B$28)</f>
        <v/>
      </c>
      <c r="AF1241" t="str">
        <f t="shared" si="116"/>
        <v/>
      </c>
      <c r="AG1241" t="str">
        <f t="shared" si="117"/>
        <v/>
      </c>
      <c r="AH1241" t="str">
        <f t="shared" si="118"/>
        <v/>
      </c>
      <c r="AI1241" t="str">
        <f>IF($AG1241="","",SUMIF($AG$2:$AG1241,$AG1241,$AH$2:$AH1241))</f>
        <v/>
      </c>
      <c r="AJ1241" t="str">
        <f>IF('TMP Paste'!$F1241="","",IF('TMP Paste'!$B1241="",$AJ1240,'TMP Paste'!$B1241))</f>
        <v/>
      </c>
      <c r="AK1241" t="str">
        <f>IF('TMP Paste'!$F1241="","",N('TMP Paste'!$G1241))</f>
        <v/>
      </c>
      <c r="AL1241" t="str">
        <f>IF('TMP Paste'!$F1241="","",IF('TMP Paste'!$M1241="",$AL1240,'TMP Paste'!$M1241))</f>
        <v/>
      </c>
      <c r="AM1241" t="str">
        <f>IF('TMP Paste'!$F1241="","",IF('TMP Paste'!$N1241="",$AM1240,'TMP Paste'!$N1241))</f>
        <v/>
      </c>
      <c r="AN1241" t="str">
        <f>IF('TMP Paste'!$F1241="","",IF('TMP Paste'!$O1241="",$AN1240,'TMP Paste'!$O1241))</f>
        <v/>
      </c>
      <c r="AO1241" t="str">
        <f>IF('TMP Paste'!$F1241="","",IF('TMP Paste'!$P1241="",$AO1240,'TMP Paste'!$P1241))</f>
        <v/>
      </c>
      <c r="AP1241" t="str">
        <f t="shared" si="119"/>
        <v/>
      </c>
      <c r="AQ1241" t="str">
        <f>IF($AS1241="","",TRIM(IF(COUNTIFS(Calc!$B$2:$B$1601,ROW()-1,Calc!$C$2:$C$1601,"&lt;1")&gt;0,"Ada PO tanpa Koli - cek TMP. ","")&amp;IF(OR($AU1241="",$AU1241&lt;=0),"Volume kosong/0 - dimensi dikosongkan. ","")&amp;IF(AND($AU1241&lt;&gt;"",$AU1241&gt;=1000000),"Volume &gt;= 1.000.000 cm3 (di luar aturan) - dimensi dikosongkan. ","")&amp;IF(LEN($R1241)&gt;500,"R &gt; 500 karakter.","")))</f>
        <v/>
      </c>
      <c r="AS1241" t="str">
        <f>IFERROR(MATCH(ROW()-1,Calc!$J$2:$J$1601,0),"")</f>
        <v/>
      </c>
      <c r="AT1241" t="str">
        <f>IFERROR(MATCH(ROW()-1,Calc!$K$2:$K$1601,0),"")</f>
        <v/>
      </c>
      <c r="AU1241" t="str">
        <f>IF($AS1241="","",IFERROR(INDEX('TMP Paste'!$D$2:$D$1601,$AS1241)*1000000/$AB1241,""))</f>
        <v/>
      </c>
    </row>
    <row r="1242" spans="1:47">
      <c r="A1242" t="str">
        <f>IF($AS1242="","",INDEX('TMP Paste'!$B$2:$B$1601,$AS1242))</f>
        <v/>
      </c>
      <c r="B1242" t="str">
        <f>IF($AS1242="","",Config!$B$14)</f>
        <v/>
      </c>
      <c r="C1242" t="str">
        <f>IF($AS1242="","",Config!$B$15)</f>
        <v/>
      </c>
      <c r="D1242" t="str">
        <f>IF($AS1242="","",INDEX('TMP Paste'!$B$2:$B$1601,$AS1242))</f>
        <v/>
      </c>
      <c r="E1242" t="str">
        <f>IF($AS1242="","",Config!$B$27)</f>
        <v/>
      </c>
      <c r="F1242" t="str">
        <f>IF($AS1242="","",Config!$B$9)</f>
        <v/>
      </c>
      <c r="G1242" t="str">
        <f>IF($AS1242="","",Config!$B$10)</f>
        <v/>
      </c>
      <c r="H1242" t="str">
        <f>IF($AS1242="","",Config!$B$11)</f>
        <v/>
      </c>
      <c r="I1242" t="str">
        <f>IF($AS1242="","",Config!$B$16)</f>
        <v/>
      </c>
      <c r="J1242" t="str">
        <f>IF($AS1242="","",INDEX('TMP Paste'!$A$2:$A$1601,$AS1242))</f>
        <v/>
      </c>
      <c r="K1242" t="str">
        <f>IF($AS1242="","",INDEX('TMP Paste'!$L$2:$L$1601,$AS1242))</f>
        <v/>
      </c>
      <c r="L1242" t="str">
        <f>IF($AS1242="","",INDEX('TMP Paste'!$I$2:$I$1601,$AS1242))</f>
        <v/>
      </c>
      <c r="M1242" t="str">
        <f>IF($AS1242="","",Config!$B$16)</f>
        <v/>
      </c>
      <c r="N1242" t="str">
        <f t="shared" si="114"/>
        <v/>
      </c>
      <c r="O1242" t="str">
        <f>IF($AS1242="","",INDEX('TMP Paste'!$K$2:$K$1601,$AS1242))</f>
        <v/>
      </c>
      <c r="P1242" t="str">
        <f t="shared" si="115"/>
        <v/>
      </c>
      <c r="Q1242" t="str">
        <f>IF($AS1242="","",INDEX('TMP Paste'!$J$2:$J$1601,$AS1242))</f>
        <v/>
      </c>
      <c r="R1242" t="str">
        <f>IF($AS1242="","",Config!$B$24)</f>
        <v/>
      </c>
      <c r="S1242" t="str">
        <f ca="1">IF($AS1242="","",TEXT(Config!$B$4,"yyyy-mm-dd"))</f>
        <v/>
      </c>
      <c r="T1242" t="str">
        <f>IF($AS1242="","",Config!$B$17)</f>
        <v/>
      </c>
      <c r="U1242" t="str">
        <f>IF($AS1242="","",Config!$B$18)</f>
        <v/>
      </c>
      <c r="V1242" t="str">
        <f>IF($AS1242="","",Config!$B$19)</f>
        <v/>
      </c>
      <c r="W1242" t="str">
        <f>IF($AS1242="","",INDEX('TMP Paste'!$C$2:$C$1601,$AS1242))</f>
        <v/>
      </c>
      <c r="X1242" t="str">
        <f>IF($AS1242="","",Config!$B$29)</f>
        <v/>
      </c>
      <c r="Y1242" t="str">
        <f>IF($AT1242="","",INDEX(Calc!$I$2:$I$1601,$AT1242)&amp;" - "&amp;INDEX(Calc!$D$2:$D$1601,$AT1242)&amp;" koli")</f>
        <v/>
      </c>
      <c r="Z1242" t="str">
        <f>IF($AS1242="","",Config!$B$21)</f>
        <v/>
      </c>
      <c r="AA1242" t="str">
        <f>IF($AS1242="","",Config!$B$22)</f>
        <v/>
      </c>
      <c r="AB1242" t="str">
        <f>IF($AT1242="","",INDEX(Calc!$D$2:$D$1601,$AT1242))</f>
        <v/>
      </c>
      <c r="AC1242" t="str">
        <f>IF($AT1242="","",INDEX(Calc!$G$2:$G$1601,$AT1242))</f>
        <v/>
      </c>
      <c r="AD1242" t="str">
        <f>IF($AS1242="","",Config!$B$23)</f>
        <v/>
      </c>
      <c r="AE1242" t="str">
        <f>IF($AS1242="","",Config!$B$28)</f>
        <v/>
      </c>
      <c r="AF1242" t="str">
        <f t="shared" si="116"/>
        <v/>
      </c>
      <c r="AG1242" t="str">
        <f t="shared" si="117"/>
        <v/>
      </c>
      <c r="AH1242" t="str">
        <f t="shared" si="118"/>
        <v/>
      </c>
      <c r="AI1242" t="str">
        <f>IF($AG1242="","",SUMIF($AG$2:$AG1242,$AG1242,$AH$2:$AH1242))</f>
        <v/>
      </c>
      <c r="AJ1242" t="str">
        <f>IF('TMP Paste'!$F1242="","",IF('TMP Paste'!$B1242="",$AJ1241,'TMP Paste'!$B1242))</f>
        <v/>
      </c>
      <c r="AK1242" t="str">
        <f>IF('TMP Paste'!$F1242="","",N('TMP Paste'!$G1242))</f>
        <v/>
      </c>
      <c r="AL1242" t="str">
        <f>IF('TMP Paste'!$F1242="","",IF('TMP Paste'!$M1242="",$AL1241,'TMP Paste'!$M1242))</f>
        <v/>
      </c>
      <c r="AM1242" t="str">
        <f>IF('TMP Paste'!$F1242="","",IF('TMP Paste'!$N1242="",$AM1241,'TMP Paste'!$N1242))</f>
        <v/>
      </c>
      <c r="AN1242" t="str">
        <f>IF('TMP Paste'!$F1242="","",IF('TMP Paste'!$O1242="",$AN1241,'TMP Paste'!$O1242))</f>
        <v/>
      </c>
      <c r="AO1242" t="str">
        <f>IF('TMP Paste'!$F1242="","",IF('TMP Paste'!$P1242="",$AO1241,'TMP Paste'!$P1242))</f>
        <v/>
      </c>
      <c r="AP1242" t="str">
        <f t="shared" si="119"/>
        <v/>
      </c>
      <c r="AQ1242" t="str">
        <f>IF($AS1242="","",TRIM(IF(COUNTIFS(Calc!$B$2:$B$1601,ROW()-1,Calc!$C$2:$C$1601,"&lt;1")&gt;0,"Ada PO tanpa Koli - cek TMP. ","")&amp;IF(OR($AU1242="",$AU1242&lt;=0),"Volume kosong/0 - dimensi dikosongkan. ","")&amp;IF(AND($AU1242&lt;&gt;"",$AU1242&gt;=1000000),"Volume &gt;= 1.000.000 cm3 (di luar aturan) - dimensi dikosongkan. ","")&amp;IF(LEN($R1242)&gt;500,"R &gt; 500 karakter.","")))</f>
        <v/>
      </c>
      <c r="AS1242" t="str">
        <f>IFERROR(MATCH(ROW()-1,Calc!$J$2:$J$1601,0),"")</f>
        <v/>
      </c>
      <c r="AT1242" t="str">
        <f>IFERROR(MATCH(ROW()-1,Calc!$K$2:$K$1601,0),"")</f>
        <v/>
      </c>
      <c r="AU1242" t="str">
        <f>IF($AS1242="","",IFERROR(INDEX('TMP Paste'!$D$2:$D$1601,$AS1242)*1000000/$AB1242,""))</f>
        <v/>
      </c>
    </row>
    <row r="1243" spans="1:47">
      <c r="A1243" t="str">
        <f>IF($AS1243="","",INDEX('TMP Paste'!$B$2:$B$1601,$AS1243))</f>
        <v/>
      </c>
      <c r="B1243" t="str">
        <f>IF($AS1243="","",Config!$B$14)</f>
        <v/>
      </c>
      <c r="C1243" t="str">
        <f>IF($AS1243="","",Config!$B$15)</f>
        <v/>
      </c>
      <c r="D1243" t="str">
        <f>IF($AS1243="","",INDEX('TMP Paste'!$B$2:$B$1601,$AS1243))</f>
        <v/>
      </c>
      <c r="E1243" t="str">
        <f>IF($AS1243="","",Config!$B$27)</f>
        <v/>
      </c>
      <c r="F1243" t="str">
        <f>IF($AS1243="","",Config!$B$9)</f>
        <v/>
      </c>
      <c r="G1243" t="str">
        <f>IF($AS1243="","",Config!$B$10)</f>
        <v/>
      </c>
      <c r="H1243" t="str">
        <f>IF($AS1243="","",Config!$B$11)</f>
        <v/>
      </c>
      <c r="I1243" t="str">
        <f>IF($AS1243="","",Config!$B$16)</f>
        <v/>
      </c>
      <c r="J1243" t="str">
        <f>IF($AS1243="","",INDEX('TMP Paste'!$A$2:$A$1601,$AS1243))</f>
        <v/>
      </c>
      <c r="K1243" t="str">
        <f>IF($AS1243="","",INDEX('TMP Paste'!$L$2:$L$1601,$AS1243))</f>
        <v/>
      </c>
      <c r="L1243" t="str">
        <f>IF($AS1243="","",INDEX('TMP Paste'!$I$2:$I$1601,$AS1243))</f>
        <v/>
      </c>
      <c r="M1243" t="str">
        <f>IF($AS1243="","",Config!$B$16)</f>
        <v/>
      </c>
      <c r="N1243" t="str">
        <f t="shared" si="114"/>
        <v/>
      </c>
      <c r="O1243" t="str">
        <f>IF($AS1243="","",INDEX('TMP Paste'!$K$2:$K$1601,$AS1243))</f>
        <v/>
      </c>
      <c r="P1243" t="str">
        <f t="shared" si="115"/>
        <v/>
      </c>
      <c r="Q1243" t="str">
        <f>IF($AS1243="","",INDEX('TMP Paste'!$J$2:$J$1601,$AS1243))</f>
        <v/>
      </c>
      <c r="R1243" t="str">
        <f>IF($AS1243="","",Config!$B$24)</f>
        <v/>
      </c>
      <c r="S1243" t="str">
        <f ca="1">IF($AS1243="","",TEXT(Config!$B$4,"yyyy-mm-dd"))</f>
        <v/>
      </c>
      <c r="T1243" t="str">
        <f>IF($AS1243="","",Config!$B$17)</f>
        <v/>
      </c>
      <c r="U1243" t="str">
        <f>IF($AS1243="","",Config!$B$18)</f>
        <v/>
      </c>
      <c r="V1243" t="str">
        <f>IF($AS1243="","",Config!$B$19)</f>
        <v/>
      </c>
      <c r="W1243" t="str">
        <f>IF($AS1243="","",INDEX('TMP Paste'!$C$2:$C$1601,$AS1243))</f>
        <v/>
      </c>
      <c r="X1243" t="str">
        <f>IF($AS1243="","",Config!$B$29)</f>
        <v/>
      </c>
      <c r="Y1243" t="str">
        <f>IF($AT1243="","",INDEX(Calc!$I$2:$I$1601,$AT1243)&amp;" - "&amp;INDEX(Calc!$D$2:$D$1601,$AT1243)&amp;" koli")</f>
        <v/>
      </c>
      <c r="Z1243" t="str">
        <f>IF($AS1243="","",Config!$B$21)</f>
        <v/>
      </c>
      <c r="AA1243" t="str">
        <f>IF($AS1243="","",Config!$B$22)</f>
        <v/>
      </c>
      <c r="AB1243" t="str">
        <f>IF($AT1243="","",INDEX(Calc!$D$2:$D$1601,$AT1243))</f>
        <v/>
      </c>
      <c r="AC1243" t="str">
        <f>IF($AT1243="","",INDEX(Calc!$G$2:$G$1601,$AT1243))</f>
        <v/>
      </c>
      <c r="AD1243" t="str">
        <f>IF($AS1243="","",Config!$B$23)</f>
        <v/>
      </c>
      <c r="AE1243" t="str">
        <f>IF($AS1243="","",Config!$B$28)</f>
        <v/>
      </c>
      <c r="AF1243" t="str">
        <f t="shared" si="116"/>
        <v/>
      </c>
      <c r="AG1243" t="str">
        <f t="shared" si="117"/>
        <v/>
      </c>
      <c r="AH1243" t="str">
        <f t="shared" si="118"/>
        <v/>
      </c>
      <c r="AI1243" t="str">
        <f>IF($AG1243="","",SUMIF($AG$2:$AG1243,$AG1243,$AH$2:$AH1243))</f>
        <v/>
      </c>
      <c r="AJ1243" t="str">
        <f>IF('TMP Paste'!$F1243="","",IF('TMP Paste'!$B1243="",$AJ1242,'TMP Paste'!$B1243))</f>
        <v/>
      </c>
      <c r="AK1243" t="str">
        <f>IF('TMP Paste'!$F1243="","",N('TMP Paste'!$G1243))</f>
        <v/>
      </c>
      <c r="AL1243" t="str">
        <f>IF('TMP Paste'!$F1243="","",IF('TMP Paste'!$M1243="",$AL1242,'TMP Paste'!$M1243))</f>
        <v/>
      </c>
      <c r="AM1243" t="str">
        <f>IF('TMP Paste'!$F1243="","",IF('TMP Paste'!$N1243="",$AM1242,'TMP Paste'!$N1243))</f>
        <v/>
      </c>
      <c r="AN1243" t="str">
        <f>IF('TMP Paste'!$F1243="","",IF('TMP Paste'!$O1243="",$AN1242,'TMP Paste'!$O1243))</f>
        <v/>
      </c>
      <c r="AO1243" t="str">
        <f>IF('TMP Paste'!$F1243="","",IF('TMP Paste'!$P1243="",$AO1242,'TMP Paste'!$P1243))</f>
        <v/>
      </c>
      <c r="AP1243" t="str">
        <f t="shared" si="119"/>
        <v/>
      </c>
      <c r="AQ1243" t="str">
        <f>IF($AS1243="","",TRIM(IF(COUNTIFS(Calc!$B$2:$B$1601,ROW()-1,Calc!$C$2:$C$1601,"&lt;1")&gt;0,"Ada PO tanpa Koli - cek TMP. ","")&amp;IF(OR($AU1243="",$AU1243&lt;=0),"Volume kosong/0 - dimensi dikosongkan. ","")&amp;IF(AND($AU1243&lt;&gt;"",$AU1243&gt;=1000000),"Volume &gt;= 1.000.000 cm3 (di luar aturan) - dimensi dikosongkan. ","")&amp;IF(LEN($R1243)&gt;500,"R &gt; 500 karakter.","")))</f>
        <v/>
      </c>
      <c r="AS1243" t="str">
        <f>IFERROR(MATCH(ROW()-1,Calc!$J$2:$J$1601,0),"")</f>
        <v/>
      </c>
      <c r="AT1243" t="str">
        <f>IFERROR(MATCH(ROW()-1,Calc!$K$2:$K$1601,0),"")</f>
        <v/>
      </c>
      <c r="AU1243" t="str">
        <f>IF($AS1243="","",IFERROR(INDEX('TMP Paste'!$D$2:$D$1601,$AS1243)*1000000/$AB1243,""))</f>
        <v/>
      </c>
    </row>
    <row r="1244" spans="1:47">
      <c r="A1244" t="str">
        <f>IF($AS1244="","",INDEX('TMP Paste'!$B$2:$B$1601,$AS1244))</f>
        <v/>
      </c>
      <c r="B1244" t="str">
        <f>IF($AS1244="","",Config!$B$14)</f>
        <v/>
      </c>
      <c r="C1244" t="str">
        <f>IF($AS1244="","",Config!$B$15)</f>
        <v/>
      </c>
      <c r="D1244" t="str">
        <f>IF($AS1244="","",INDEX('TMP Paste'!$B$2:$B$1601,$AS1244))</f>
        <v/>
      </c>
      <c r="E1244" t="str">
        <f>IF($AS1244="","",Config!$B$27)</f>
        <v/>
      </c>
      <c r="F1244" t="str">
        <f>IF($AS1244="","",Config!$B$9)</f>
        <v/>
      </c>
      <c r="G1244" t="str">
        <f>IF($AS1244="","",Config!$B$10)</f>
        <v/>
      </c>
      <c r="H1244" t="str">
        <f>IF($AS1244="","",Config!$B$11)</f>
        <v/>
      </c>
      <c r="I1244" t="str">
        <f>IF($AS1244="","",Config!$B$16)</f>
        <v/>
      </c>
      <c r="J1244" t="str">
        <f>IF($AS1244="","",INDEX('TMP Paste'!$A$2:$A$1601,$AS1244))</f>
        <v/>
      </c>
      <c r="K1244" t="str">
        <f>IF($AS1244="","",INDEX('TMP Paste'!$L$2:$L$1601,$AS1244))</f>
        <v/>
      </c>
      <c r="L1244" t="str">
        <f>IF($AS1244="","",INDEX('TMP Paste'!$I$2:$I$1601,$AS1244))</f>
        <v/>
      </c>
      <c r="M1244" t="str">
        <f>IF($AS1244="","",Config!$B$16)</f>
        <v/>
      </c>
      <c r="N1244" t="str">
        <f t="shared" si="114"/>
        <v/>
      </c>
      <c r="O1244" t="str">
        <f>IF($AS1244="","",INDEX('TMP Paste'!$K$2:$K$1601,$AS1244))</f>
        <v/>
      </c>
      <c r="P1244" t="str">
        <f t="shared" si="115"/>
        <v/>
      </c>
      <c r="Q1244" t="str">
        <f>IF($AS1244="","",INDEX('TMP Paste'!$J$2:$J$1601,$AS1244))</f>
        <v/>
      </c>
      <c r="R1244" t="str">
        <f>IF($AS1244="","",Config!$B$24)</f>
        <v/>
      </c>
      <c r="S1244" t="str">
        <f ca="1">IF($AS1244="","",TEXT(Config!$B$4,"yyyy-mm-dd"))</f>
        <v/>
      </c>
      <c r="T1244" t="str">
        <f>IF($AS1244="","",Config!$B$17)</f>
        <v/>
      </c>
      <c r="U1244" t="str">
        <f>IF($AS1244="","",Config!$B$18)</f>
        <v/>
      </c>
      <c r="V1244" t="str">
        <f>IF($AS1244="","",Config!$B$19)</f>
        <v/>
      </c>
      <c r="W1244" t="str">
        <f>IF($AS1244="","",INDEX('TMP Paste'!$C$2:$C$1601,$AS1244))</f>
        <v/>
      </c>
      <c r="X1244" t="str">
        <f>IF($AS1244="","",Config!$B$29)</f>
        <v/>
      </c>
      <c r="Y1244" t="str">
        <f>IF($AT1244="","",INDEX(Calc!$I$2:$I$1601,$AT1244)&amp;" - "&amp;INDEX(Calc!$D$2:$D$1601,$AT1244)&amp;" koli")</f>
        <v/>
      </c>
      <c r="Z1244" t="str">
        <f>IF($AS1244="","",Config!$B$21)</f>
        <v/>
      </c>
      <c r="AA1244" t="str">
        <f>IF($AS1244="","",Config!$B$22)</f>
        <v/>
      </c>
      <c r="AB1244" t="str">
        <f>IF($AT1244="","",INDEX(Calc!$D$2:$D$1601,$AT1244))</f>
        <v/>
      </c>
      <c r="AC1244" t="str">
        <f>IF($AT1244="","",INDEX(Calc!$G$2:$G$1601,$AT1244))</f>
        <v/>
      </c>
      <c r="AD1244" t="str">
        <f>IF($AS1244="","",Config!$B$23)</f>
        <v/>
      </c>
      <c r="AE1244" t="str">
        <f>IF($AS1244="","",Config!$B$28)</f>
        <v/>
      </c>
      <c r="AF1244" t="str">
        <f t="shared" si="116"/>
        <v/>
      </c>
      <c r="AG1244" t="str">
        <f t="shared" si="117"/>
        <v/>
      </c>
      <c r="AH1244" t="str">
        <f t="shared" si="118"/>
        <v/>
      </c>
      <c r="AI1244" t="str">
        <f>IF($AG1244="","",SUMIF($AG$2:$AG1244,$AG1244,$AH$2:$AH1244))</f>
        <v/>
      </c>
      <c r="AJ1244" t="str">
        <f>IF('TMP Paste'!$F1244="","",IF('TMP Paste'!$B1244="",$AJ1243,'TMP Paste'!$B1244))</f>
        <v/>
      </c>
      <c r="AK1244" t="str">
        <f>IF('TMP Paste'!$F1244="","",N('TMP Paste'!$G1244))</f>
        <v/>
      </c>
      <c r="AL1244" t="str">
        <f>IF('TMP Paste'!$F1244="","",IF('TMP Paste'!$M1244="",$AL1243,'TMP Paste'!$M1244))</f>
        <v/>
      </c>
      <c r="AM1244" t="str">
        <f>IF('TMP Paste'!$F1244="","",IF('TMP Paste'!$N1244="",$AM1243,'TMP Paste'!$N1244))</f>
        <v/>
      </c>
      <c r="AN1244" t="str">
        <f>IF('TMP Paste'!$F1244="","",IF('TMP Paste'!$O1244="",$AN1243,'TMP Paste'!$O1244))</f>
        <v/>
      </c>
      <c r="AO1244" t="str">
        <f>IF('TMP Paste'!$F1244="","",IF('TMP Paste'!$P1244="",$AO1243,'TMP Paste'!$P1244))</f>
        <v/>
      </c>
      <c r="AP1244" t="str">
        <f t="shared" si="119"/>
        <v/>
      </c>
      <c r="AQ1244" t="str">
        <f>IF($AS1244="","",TRIM(IF(COUNTIFS(Calc!$B$2:$B$1601,ROW()-1,Calc!$C$2:$C$1601,"&lt;1")&gt;0,"Ada PO tanpa Koli - cek TMP. ","")&amp;IF(OR($AU1244="",$AU1244&lt;=0),"Volume kosong/0 - dimensi dikosongkan. ","")&amp;IF(AND($AU1244&lt;&gt;"",$AU1244&gt;=1000000),"Volume &gt;= 1.000.000 cm3 (di luar aturan) - dimensi dikosongkan. ","")&amp;IF(LEN($R1244)&gt;500,"R &gt; 500 karakter.","")))</f>
        <v/>
      </c>
      <c r="AS1244" t="str">
        <f>IFERROR(MATCH(ROW()-1,Calc!$J$2:$J$1601,0),"")</f>
        <v/>
      </c>
      <c r="AT1244" t="str">
        <f>IFERROR(MATCH(ROW()-1,Calc!$K$2:$K$1601,0),"")</f>
        <v/>
      </c>
      <c r="AU1244" t="str">
        <f>IF($AS1244="","",IFERROR(INDEX('TMP Paste'!$D$2:$D$1601,$AS1244)*1000000/$AB1244,""))</f>
        <v/>
      </c>
    </row>
    <row r="1245" spans="1:47">
      <c r="A1245" t="str">
        <f>IF($AS1245="","",INDEX('TMP Paste'!$B$2:$B$1601,$AS1245))</f>
        <v/>
      </c>
      <c r="B1245" t="str">
        <f>IF($AS1245="","",Config!$B$14)</f>
        <v/>
      </c>
      <c r="C1245" t="str">
        <f>IF($AS1245="","",Config!$B$15)</f>
        <v/>
      </c>
      <c r="D1245" t="str">
        <f>IF($AS1245="","",INDEX('TMP Paste'!$B$2:$B$1601,$AS1245))</f>
        <v/>
      </c>
      <c r="E1245" t="str">
        <f>IF($AS1245="","",Config!$B$27)</f>
        <v/>
      </c>
      <c r="F1245" t="str">
        <f>IF($AS1245="","",Config!$B$9)</f>
        <v/>
      </c>
      <c r="G1245" t="str">
        <f>IF($AS1245="","",Config!$B$10)</f>
        <v/>
      </c>
      <c r="H1245" t="str">
        <f>IF($AS1245="","",Config!$B$11)</f>
        <v/>
      </c>
      <c r="I1245" t="str">
        <f>IF($AS1245="","",Config!$B$16)</f>
        <v/>
      </c>
      <c r="J1245" t="str">
        <f>IF($AS1245="","",INDEX('TMP Paste'!$A$2:$A$1601,$AS1245))</f>
        <v/>
      </c>
      <c r="K1245" t="str">
        <f>IF($AS1245="","",INDEX('TMP Paste'!$L$2:$L$1601,$AS1245))</f>
        <v/>
      </c>
      <c r="L1245" t="str">
        <f>IF($AS1245="","",INDEX('TMP Paste'!$I$2:$I$1601,$AS1245))</f>
        <v/>
      </c>
      <c r="M1245" t="str">
        <f>IF($AS1245="","",Config!$B$16)</f>
        <v/>
      </c>
      <c r="N1245" t="str">
        <f t="shared" si="114"/>
        <v/>
      </c>
      <c r="O1245" t="str">
        <f>IF($AS1245="","",INDEX('TMP Paste'!$K$2:$K$1601,$AS1245))</f>
        <v/>
      </c>
      <c r="P1245" t="str">
        <f t="shared" si="115"/>
        <v/>
      </c>
      <c r="Q1245" t="str">
        <f>IF($AS1245="","",INDEX('TMP Paste'!$J$2:$J$1601,$AS1245))</f>
        <v/>
      </c>
      <c r="R1245" t="str">
        <f>IF($AS1245="","",Config!$B$24)</f>
        <v/>
      </c>
      <c r="S1245" t="str">
        <f ca="1">IF($AS1245="","",TEXT(Config!$B$4,"yyyy-mm-dd"))</f>
        <v/>
      </c>
      <c r="T1245" t="str">
        <f>IF($AS1245="","",Config!$B$17)</f>
        <v/>
      </c>
      <c r="U1245" t="str">
        <f>IF($AS1245="","",Config!$B$18)</f>
        <v/>
      </c>
      <c r="V1245" t="str">
        <f>IF($AS1245="","",Config!$B$19)</f>
        <v/>
      </c>
      <c r="W1245" t="str">
        <f>IF($AS1245="","",INDEX('TMP Paste'!$C$2:$C$1601,$AS1245))</f>
        <v/>
      </c>
      <c r="X1245" t="str">
        <f>IF($AS1245="","",Config!$B$29)</f>
        <v/>
      </c>
      <c r="Y1245" t="str">
        <f>IF($AT1245="","",INDEX(Calc!$I$2:$I$1601,$AT1245)&amp;" - "&amp;INDEX(Calc!$D$2:$D$1601,$AT1245)&amp;" koli")</f>
        <v/>
      </c>
      <c r="Z1245" t="str">
        <f>IF($AS1245="","",Config!$B$21)</f>
        <v/>
      </c>
      <c r="AA1245" t="str">
        <f>IF($AS1245="","",Config!$B$22)</f>
        <v/>
      </c>
      <c r="AB1245" t="str">
        <f>IF($AT1245="","",INDEX(Calc!$D$2:$D$1601,$AT1245))</f>
        <v/>
      </c>
      <c r="AC1245" t="str">
        <f>IF($AT1245="","",INDEX(Calc!$G$2:$G$1601,$AT1245))</f>
        <v/>
      </c>
      <c r="AD1245" t="str">
        <f>IF($AS1245="","",Config!$B$23)</f>
        <v/>
      </c>
      <c r="AE1245" t="str">
        <f>IF($AS1245="","",Config!$B$28)</f>
        <v/>
      </c>
      <c r="AF1245" t="str">
        <f t="shared" si="116"/>
        <v/>
      </c>
      <c r="AG1245" t="str">
        <f t="shared" si="117"/>
        <v/>
      </c>
      <c r="AH1245" t="str">
        <f t="shared" si="118"/>
        <v/>
      </c>
      <c r="AI1245" t="str">
        <f>IF($AG1245="","",SUMIF($AG$2:$AG1245,$AG1245,$AH$2:$AH1245))</f>
        <v/>
      </c>
      <c r="AJ1245" t="str">
        <f>IF('TMP Paste'!$F1245="","",IF('TMP Paste'!$B1245="",$AJ1244,'TMP Paste'!$B1245))</f>
        <v/>
      </c>
      <c r="AK1245" t="str">
        <f>IF('TMP Paste'!$F1245="","",N('TMP Paste'!$G1245))</f>
        <v/>
      </c>
      <c r="AL1245" t="str">
        <f>IF('TMP Paste'!$F1245="","",IF('TMP Paste'!$M1245="",$AL1244,'TMP Paste'!$M1245))</f>
        <v/>
      </c>
      <c r="AM1245" t="str">
        <f>IF('TMP Paste'!$F1245="","",IF('TMP Paste'!$N1245="",$AM1244,'TMP Paste'!$N1245))</f>
        <v/>
      </c>
      <c r="AN1245" t="str">
        <f>IF('TMP Paste'!$F1245="","",IF('TMP Paste'!$O1245="",$AN1244,'TMP Paste'!$O1245))</f>
        <v/>
      </c>
      <c r="AO1245" t="str">
        <f>IF('TMP Paste'!$F1245="","",IF('TMP Paste'!$P1245="",$AO1244,'TMP Paste'!$P1245))</f>
        <v/>
      </c>
      <c r="AP1245" t="str">
        <f t="shared" si="119"/>
        <v/>
      </c>
      <c r="AQ1245" t="str">
        <f>IF($AS1245="","",TRIM(IF(COUNTIFS(Calc!$B$2:$B$1601,ROW()-1,Calc!$C$2:$C$1601,"&lt;1")&gt;0,"Ada PO tanpa Koli - cek TMP. ","")&amp;IF(OR($AU1245="",$AU1245&lt;=0),"Volume kosong/0 - dimensi dikosongkan. ","")&amp;IF(AND($AU1245&lt;&gt;"",$AU1245&gt;=1000000),"Volume &gt;= 1.000.000 cm3 (di luar aturan) - dimensi dikosongkan. ","")&amp;IF(LEN($R1245)&gt;500,"R &gt; 500 karakter.","")))</f>
        <v/>
      </c>
      <c r="AS1245" t="str">
        <f>IFERROR(MATCH(ROW()-1,Calc!$J$2:$J$1601,0),"")</f>
        <v/>
      </c>
      <c r="AT1245" t="str">
        <f>IFERROR(MATCH(ROW()-1,Calc!$K$2:$K$1601,0),"")</f>
        <v/>
      </c>
      <c r="AU1245" t="str">
        <f>IF($AS1245="","",IFERROR(INDEX('TMP Paste'!$D$2:$D$1601,$AS1245)*1000000/$AB1245,""))</f>
        <v/>
      </c>
    </row>
    <row r="1246" spans="1:47">
      <c r="A1246" t="str">
        <f>IF($AS1246="","",INDEX('TMP Paste'!$B$2:$B$1601,$AS1246))</f>
        <v/>
      </c>
      <c r="B1246" t="str">
        <f>IF($AS1246="","",Config!$B$14)</f>
        <v/>
      </c>
      <c r="C1246" t="str">
        <f>IF($AS1246="","",Config!$B$15)</f>
        <v/>
      </c>
      <c r="D1246" t="str">
        <f>IF($AS1246="","",INDEX('TMP Paste'!$B$2:$B$1601,$AS1246))</f>
        <v/>
      </c>
      <c r="E1246" t="str">
        <f>IF($AS1246="","",Config!$B$27)</f>
        <v/>
      </c>
      <c r="F1246" t="str">
        <f>IF($AS1246="","",Config!$B$9)</f>
        <v/>
      </c>
      <c r="G1246" t="str">
        <f>IF($AS1246="","",Config!$B$10)</f>
        <v/>
      </c>
      <c r="H1246" t="str">
        <f>IF($AS1246="","",Config!$B$11)</f>
        <v/>
      </c>
      <c r="I1246" t="str">
        <f>IF($AS1246="","",Config!$B$16)</f>
        <v/>
      </c>
      <c r="J1246" t="str">
        <f>IF($AS1246="","",INDEX('TMP Paste'!$A$2:$A$1601,$AS1246))</f>
        <v/>
      </c>
      <c r="K1246" t="str">
        <f>IF($AS1246="","",INDEX('TMP Paste'!$L$2:$L$1601,$AS1246))</f>
        <v/>
      </c>
      <c r="L1246" t="str">
        <f>IF($AS1246="","",INDEX('TMP Paste'!$I$2:$I$1601,$AS1246))</f>
        <v/>
      </c>
      <c r="M1246" t="str">
        <f>IF($AS1246="","",Config!$B$16)</f>
        <v/>
      </c>
      <c r="N1246" t="str">
        <f t="shared" si="114"/>
        <v/>
      </c>
      <c r="O1246" t="str">
        <f>IF($AS1246="","",INDEX('TMP Paste'!$K$2:$K$1601,$AS1246))</f>
        <v/>
      </c>
      <c r="P1246" t="str">
        <f t="shared" si="115"/>
        <v/>
      </c>
      <c r="Q1246" t="str">
        <f>IF($AS1246="","",INDEX('TMP Paste'!$J$2:$J$1601,$AS1246))</f>
        <v/>
      </c>
      <c r="R1246" t="str">
        <f>IF($AS1246="","",Config!$B$24)</f>
        <v/>
      </c>
      <c r="S1246" t="str">
        <f ca="1">IF($AS1246="","",TEXT(Config!$B$4,"yyyy-mm-dd"))</f>
        <v/>
      </c>
      <c r="T1246" t="str">
        <f>IF($AS1246="","",Config!$B$17)</f>
        <v/>
      </c>
      <c r="U1246" t="str">
        <f>IF($AS1246="","",Config!$B$18)</f>
        <v/>
      </c>
      <c r="V1246" t="str">
        <f>IF($AS1246="","",Config!$B$19)</f>
        <v/>
      </c>
      <c r="W1246" t="str">
        <f>IF($AS1246="","",INDEX('TMP Paste'!$C$2:$C$1601,$AS1246))</f>
        <v/>
      </c>
      <c r="X1246" t="str">
        <f>IF($AS1246="","",Config!$B$29)</f>
        <v/>
      </c>
      <c r="Y1246" t="str">
        <f>IF($AT1246="","",INDEX(Calc!$I$2:$I$1601,$AT1246)&amp;" - "&amp;INDEX(Calc!$D$2:$D$1601,$AT1246)&amp;" koli")</f>
        <v/>
      </c>
      <c r="Z1246" t="str">
        <f>IF($AS1246="","",Config!$B$21)</f>
        <v/>
      </c>
      <c r="AA1246" t="str">
        <f>IF($AS1246="","",Config!$B$22)</f>
        <v/>
      </c>
      <c r="AB1246" t="str">
        <f>IF($AT1246="","",INDEX(Calc!$D$2:$D$1601,$AT1246))</f>
        <v/>
      </c>
      <c r="AC1246" t="str">
        <f>IF($AT1246="","",INDEX(Calc!$G$2:$G$1601,$AT1246))</f>
        <v/>
      </c>
      <c r="AD1246" t="str">
        <f>IF($AS1246="","",Config!$B$23)</f>
        <v/>
      </c>
      <c r="AE1246" t="str">
        <f>IF($AS1246="","",Config!$B$28)</f>
        <v/>
      </c>
      <c r="AF1246" t="str">
        <f t="shared" si="116"/>
        <v/>
      </c>
      <c r="AG1246" t="str">
        <f t="shared" si="117"/>
        <v/>
      </c>
      <c r="AH1246" t="str">
        <f t="shared" si="118"/>
        <v/>
      </c>
      <c r="AI1246" t="str">
        <f>IF($AG1246="","",SUMIF($AG$2:$AG1246,$AG1246,$AH$2:$AH1246))</f>
        <v/>
      </c>
      <c r="AJ1246" t="str">
        <f>IF('TMP Paste'!$F1246="","",IF('TMP Paste'!$B1246="",$AJ1245,'TMP Paste'!$B1246))</f>
        <v/>
      </c>
      <c r="AK1246" t="str">
        <f>IF('TMP Paste'!$F1246="","",N('TMP Paste'!$G1246))</f>
        <v/>
      </c>
      <c r="AL1246" t="str">
        <f>IF('TMP Paste'!$F1246="","",IF('TMP Paste'!$M1246="",$AL1245,'TMP Paste'!$M1246))</f>
        <v/>
      </c>
      <c r="AM1246" t="str">
        <f>IF('TMP Paste'!$F1246="","",IF('TMP Paste'!$N1246="",$AM1245,'TMP Paste'!$N1246))</f>
        <v/>
      </c>
      <c r="AN1246" t="str">
        <f>IF('TMP Paste'!$F1246="","",IF('TMP Paste'!$O1246="",$AN1245,'TMP Paste'!$O1246))</f>
        <v/>
      </c>
      <c r="AO1246" t="str">
        <f>IF('TMP Paste'!$F1246="","",IF('TMP Paste'!$P1246="",$AO1245,'TMP Paste'!$P1246))</f>
        <v/>
      </c>
      <c r="AP1246" t="str">
        <f t="shared" si="119"/>
        <v/>
      </c>
      <c r="AQ1246" t="str">
        <f>IF($AS1246="","",TRIM(IF(COUNTIFS(Calc!$B$2:$B$1601,ROW()-1,Calc!$C$2:$C$1601,"&lt;1")&gt;0,"Ada PO tanpa Koli - cek TMP. ","")&amp;IF(OR($AU1246="",$AU1246&lt;=0),"Volume kosong/0 - dimensi dikosongkan. ","")&amp;IF(AND($AU1246&lt;&gt;"",$AU1246&gt;=1000000),"Volume &gt;= 1.000.000 cm3 (di luar aturan) - dimensi dikosongkan. ","")&amp;IF(LEN($R1246)&gt;500,"R &gt; 500 karakter.","")))</f>
        <v/>
      </c>
      <c r="AS1246" t="str">
        <f>IFERROR(MATCH(ROW()-1,Calc!$J$2:$J$1601,0),"")</f>
        <v/>
      </c>
      <c r="AT1246" t="str">
        <f>IFERROR(MATCH(ROW()-1,Calc!$K$2:$K$1601,0),"")</f>
        <v/>
      </c>
      <c r="AU1246" t="str">
        <f>IF($AS1246="","",IFERROR(INDEX('TMP Paste'!$D$2:$D$1601,$AS1246)*1000000/$AB1246,""))</f>
        <v/>
      </c>
    </row>
    <row r="1247" spans="1:47">
      <c r="A1247" t="str">
        <f>IF($AS1247="","",INDEX('TMP Paste'!$B$2:$B$1601,$AS1247))</f>
        <v/>
      </c>
      <c r="B1247" t="str">
        <f>IF($AS1247="","",Config!$B$14)</f>
        <v/>
      </c>
      <c r="C1247" t="str">
        <f>IF($AS1247="","",Config!$B$15)</f>
        <v/>
      </c>
      <c r="D1247" t="str">
        <f>IF($AS1247="","",INDEX('TMP Paste'!$B$2:$B$1601,$AS1247))</f>
        <v/>
      </c>
      <c r="E1247" t="str">
        <f>IF($AS1247="","",Config!$B$27)</f>
        <v/>
      </c>
      <c r="F1247" t="str">
        <f>IF($AS1247="","",Config!$B$9)</f>
        <v/>
      </c>
      <c r="G1247" t="str">
        <f>IF($AS1247="","",Config!$B$10)</f>
        <v/>
      </c>
      <c r="H1247" t="str">
        <f>IF($AS1247="","",Config!$B$11)</f>
        <v/>
      </c>
      <c r="I1247" t="str">
        <f>IF($AS1247="","",Config!$B$16)</f>
        <v/>
      </c>
      <c r="J1247" t="str">
        <f>IF($AS1247="","",INDEX('TMP Paste'!$A$2:$A$1601,$AS1247))</f>
        <v/>
      </c>
      <c r="K1247" t="str">
        <f>IF($AS1247="","",INDEX('TMP Paste'!$L$2:$L$1601,$AS1247))</f>
        <v/>
      </c>
      <c r="L1247" t="str">
        <f>IF($AS1247="","",INDEX('TMP Paste'!$I$2:$I$1601,$AS1247))</f>
        <v/>
      </c>
      <c r="M1247" t="str">
        <f>IF($AS1247="","",Config!$B$16)</f>
        <v/>
      </c>
      <c r="N1247" t="str">
        <f t="shared" si="114"/>
        <v/>
      </c>
      <c r="O1247" t="str">
        <f>IF($AS1247="","",INDEX('TMP Paste'!$K$2:$K$1601,$AS1247))</f>
        <v/>
      </c>
      <c r="P1247" t="str">
        <f t="shared" si="115"/>
        <v/>
      </c>
      <c r="Q1247" t="str">
        <f>IF($AS1247="","",INDEX('TMP Paste'!$J$2:$J$1601,$AS1247))</f>
        <v/>
      </c>
      <c r="R1247" t="str">
        <f>IF($AS1247="","",Config!$B$24)</f>
        <v/>
      </c>
      <c r="S1247" t="str">
        <f ca="1">IF($AS1247="","",TEXT(Config!$B$4,"yyyy-mm-dd"))</f>
        <v/>
      </c>
      <c r="T1247" t="str">
        <f>IF($AS1247="","",Config!$B$17)</f>
        <v/>
      </c>
      <c r="U1247" t="str">
        <f>IF($AS1247="","",Config!$B$18)</f>
        <v/>
      </c>
      <c r="V1247" t="str">
        <f>IF($AS1247="","",Config!$B$19)</f>
        <v/>
      </c>
      <c r="W1247" t="str">
        <f>IF($AS1247="","",INDEX('TMP Paste'!$C$2:$C$1601,$AS1247))</f>
        <v/>
      </c>
      <c r="X1247" t="str">
        <f>IF($AS1247="","",Config!$B$29)</f>
        <v/>
      </c>
      <c r="Y1247" t="str">
        <f>IF($AT1247="","",INDEX(Calc!$I$2:$I$1601,$AT1247)&amp;" - "&amp;INDEX(Calc!$D$2:$D$1601,$AT1247)&amp;" koli")</f>
        <v/>
      </c>
      <c r="Z1247" t="str">
        <f>IF($AS1247="","",Config!$B$21)</f>
        <v/>
      </c>
      <c r="AA1247" t="str">
        <f>IF($AS1247="","",Config!$B$22)</f>
        <v/>
      </c>
      <c r="AB1247" t="str">
        <f>IF($AT1247="","",INDEX(Calc!$D$2:$D$1601,$AT1247))</f>
        <v/>
      </c>
      <c r="AC1247" t="str">
        <f>IF($AT1247="","",INDEX(Calc!$G$2:$G$1601,$AT1247))</f>
        <v/>
      </c>
      <c r="AD1247" t="str">
        <f>IF($AS1247="","",Config!$B$23)</f>
        <v/>
      </c>
      <c r="AE1247" t="str">
        <f>IF($AS1247="","",Config!$B$28)</f>
        <v/>
      </c>
      <c r="AF1247" t="str">
        <f t="shared" si="116"/>
        <v/>
      </c>
      <c r="AG1247" t="str">
        <f t="shared" si="117"/>
        <v/>
      </c>
      <c r="AH1247" t="str">
        <f t="shared" si="118"/>
        <v/>
      </c>
      <c r="AI1247" t="str">
        <f>IF($AG1247="","",SUMIF($AG$2:$AG1247,$AG1247,$AH$2:$AH1247))</f>
        <v/>
      </c>
      <c r="AJ1247" t="str">
        <f>IF('TMP Paste'!$F1247="","",IF('TMP Paste'!$B1247="",$AJ1246,'TMP Paste'!$B1247))</f>
        <v/>
      </c>
      <c r="AK1247" t="str">
        <f>IF('TMP Paste'!$F1247="","",N('TMP Paste'!$G1247))</f>
        <v/>
      </c>
      <c r="AL1247" t="str">
        <f>IF('TMP Paste'!$F1247="","",IF('TMP Paste'!$M1247="",$AL1246,'TMP Paste'!$M1247))</f>
        <v/>
      </c>
      <c r="AM1247" t="str">
        <f>IF('TMP Paste'!$F1247="","",IF('TMP Paste'!$N1247="",$AM1246,'TMP Paste'!$N1247))</f>
        <v/>
      </c>
      <c r="AN1247" t="str">
        <f>IF('TMP Paste'!$F1247="","",IF('TMP Paste'!$O1247="",$AN1246,'TMP Paste'!$O1247))</f>
        <v/>
      </c>
      <c r="AO1247" t="str">
        <f>IF('TMP Paste'!$F1247="","",IF('TMP Paste'!$P1247="",$AO1246,'TMP Paste'!$P1247))</f>
        <v/>
      </c>
      <c r="AP1247" t="str">
        <f t="shared" si="119"/>
        <v/>
      </c>
      <c r="AQ1247" t="str">
        <f>IF($AS1247="","",TRIM(IF(COUNTIFS(Calc!$B$2:$B$1601,ROW()-1,Calc!$C$2:$C$1601,"&lt;1")&gt;0,"Ada PO tanpa Koli - cek TMP. ","")&amp;IF(OR($AU1247="",$AU1247&lt;=0),"Volume kosong/0 - dimensi dikosongkan. ","")&amp;IF(AND($AU1247&lt;&gt;"",$AU1247&gt;=1000000),"Volume &gt;= 1.000.000 cm3 (di luar aturan) - dimensi dikosongkan. ","")&amp;IF(LEN($R1247)&gt;500,"R &gt; 500 karakter.","")))</f>
        <v/>
      </c>
      <c r="AS1247" t="str">
        <f>IFERROR(MATCH(ROW()-1,Calc!$J$2:$J$1601,0),"")</f>
        <v/>
      </c>
      <c r="AT1247" t="str">
        <f>IFERROR(MATCH(ROW()-1,Calc!$K$2:$K$1601,0),"")</f>
        <v/>
      </c>
      <c r="AU1247" t="str">
        <f>IF($AS1247="","",IFERROR(INDEX('TMP Paste'!$D$2:$D$1601,$AS1247)*1000000/$AB1247,""))</f>
        <v/>
      </c>
    </row>
    <row r="1248" spans="1:47">
      <c r="A1248" t="str">
        <f>IF($AS1248="","",INDEX('TMP Paste'!$B$2:$B$1601,$AS1248))</f>
        <v/>
      </c>
      <c r="B1248" t="str">
        <f>IF($AS1248="","",Config!$B$14)</f>
        <v/>
      </c>
      <c r="C1248" t="str">
        <f>IF($AS1248="","",Config!$B$15)</f>
        <v/>
      </c>
      <c r="D1248" t="str">
        <f>IF($AS1248="","",INDEX('TMP Paste'!$B$2:$B$1601,$AS1248))</f>
        <v/>
      </c>
      <c r="E1248" t="str">
        <f>IF($AS1248="","",Config!$B$27)</f>
        <v/>
      </c>
      <c r="F1248" t="str">
        <f>IF($AS1248="","",Config!$B$9)</f>
        <v/>
      </c>
      <c r="G1248" t="str">
        <f>IF($AS1248="","",Config!$B$10)</f>
        <v/>
      </c>
      <c r="H1248" t="str">
        <f>IF($AS1248="","",Config!$B$11)</f>
        <v/>
      </c>
      <c r="I1248" t="str">
        <f>IF($AS1248="","",Config!$B$16)</f>
        <v/>
      </c>
      <c r="J1248" t="str">
        <f>IF($AS1248="","",INDEX('TMP Paste'!$A$2:$A$1601,$AS1248))</f>
        <v/>
      </c>
      <c r="K1248" t="str">
        <f>IF($AS1248="","",INDEX('TMP Paste'!$L$2:$L$1601,$AS1248))</f>
        <v/>
      </c>
      <c r="L1248" t="str">
        <f>IF($AS1248="","",INDEX('TMP Paste'!$I$2:$I$1601,$AS1248))</f>
        <v/>
      </c>
      <c r="M1248" t="str">
        <f>IF($AS1248="","",Config!$B$16)</f>
        <v/>
      </c>
      <c r="N1248" t="str">
        <f t="shared" si="114"/>
        <v/>
      </c>
      <c r="O1248" t="str">
        <f>IF($AS1248="","",INDEX('TMP Paste'!$K$2:$K$1601,$AS1248))</f>
        <v/>
      </c>
      <c r="P1248" t="str">
        <f t="shared" si="115"/>
        <v/>
      </c>
      <c r="Q1248" t="str">
        <f>IF($AS1248="","",INDEX('TMP Paste'!$J$2:$J$1601,$AS1248))</f>
        <v/>
      </c>
      <c r="R1248" t="str">
        <f>IF($AS1248="","",Config!$B$24)</f>
        <v/>
      </c>
      <c r="S1248" t="str">
        <f ca="1">IF($AS1248="","",TEXT(Config!$B$4,"yyyy-mm-dd"))</f>
        <v/>
      </c>
      <c r="T1248" t="str">
        <f>IF($AS1248="","",Config!$B$17)</f>
        <v/>
      </c>
      <c r="U1248" t="str">
        <f>IF($AS1248="","",Config!$B$18)</f>
        <v/>
      </c>
      <c r="V1248" t="str">
        <f>IF($AS1248="","",Config!$B$19)</f>
        <v/>
      </c>
      <c r="W1248" t="str">
        <f>IF($AS1248="","",INDEX('TMP Paste'!$C$2:$C$1601,$AS1248))</f>
        <v/>
      </c>
      <c r="X1248" t="str">
        <f>IF($AS1248="","",Config!$B$29)</f>
        <v/>
      </c>
      <c r="Y1248" t="str">
        <f>IF($AT1248="","",INDEX(Calc!$I$2:$I$1601,$AT1248)&amp;" - "&amp;INDEX(Calc!$D$2:$D$1601,$AT1248)&amp;" koli")</f>
        <v/>
      </c>
      <c r="Z1248" t="str">
        <f>IF($AS1248="","",Config!$B$21)</f>
        <v/>
      </c>
      <c r="AA1248" t="str">
        <f>IF($AS1248="","",Config!$B$22)</f>
        <v/>
      </c>
      <c r="AB1248" t="str">
        <f>IF($AT1248="","",INDEX(Calc!$D$2:$D$1601,$AT1248))</f>
        <v/>
      </c>
      <c r="AC1248" t="str">
        <f>IF($AT1248="","",INDEX(Calc!$G$2:$G$1601,$AT1248))</f>
        <v/>
      </c>
      <c r="AD1248" t="str">
        <f>IF($AS1248="","",Config!$B$23)</f>
        <v/>
      </c>
      <c r="AE1248" t="str">
        <f>IF($AS1248="","",Config!$B$28)</f>
        <v/>
      </c>
      <c r="AF1248" t="str">
        <f t="shared" si="116"/>
        <v/>
      </c>
      <c r="AG1248" t="str">
        <f t="shared" si="117"/>
        <v/>
      </c>
      <c r="AH1248" t="str">
        <f t="shared" si="118"/>
        <v/>
      </c>
      <c r="AI1248" t="str">
        <f>IF($AG1248="","",SUMIF($AG$2:$AG1248,$AG1248,$AH$2:$AH1248))</f>
        <v/>
      </c>
      <c r="AJ1248" t="str">
        <f>IF('TMP Paste'!$F1248="","",IF('TMP Paste'!$B1248="",$AJ1247,'TMP Paste'!$B1248))</f>
        <v/>
      </c>
      <c r="AK1248" t="str">
        <f>IF('TMP Paste'!$F1248="","",N('TMP Paste'!$G1248))</f>
        <v/>
      </c>
      <c r="AL1248" t="str">
        <f>IF('TMP Paste'!$F1248="","",IF('TMP Paste'!$M1248="",$AL1247,'TMP Paste'!$M1248))</f>
        <v/>
      </c>
      <c r="AM1248" t="str">
        <f>IF('TMP Paste'!$F1248="","",IF('TMP Paste'!$N1248="",$AM1247,'TMP Paste'!$N1248))</f>
        <v/>
      </c>
      <c r="AN1248" t="str">
        <f>IF('TMP Paste'!$F1248="","",IF('TMP Paste'!$O1248="",$AN1247,'TMP Paste'!$O1248))</f>
        <v/>
      </c>
      <c r="AO1248" t="str">
        <f>IF('TMP Paste'!$F1248="","",IF('TMP Paste'!$P1248="",$AO1247,'TMP Paste'!$P1248))</f>
        <v/>
      </c>
      <c r="AP1248" t="str">
        <f t="shared" si="119"/>
        <v/>
      </c>
      <c r="AQ1248" t="str">
        <f>IF($AS1248="","",TRIM(IF(COUNTIFS(Calc!$B$2:$B$1601,ROW()-1,Calc!$C$2:$C$1601,"&lt;1")&gt;0,"Ada PO tanpa Koli - cek TMP. ","")&amp;IF(OR($AU1248="",$AU1248&lt;=0),"Volume kosong/0 - dimensi dikosongkan. ","")&amp;IF(AND($AU1248&lt;&gt;"",$AU1248&gt;=1000000),"Volume &gt;= 1.000.000 cm3 (di luar aturan) - dimensi dikosongkan. ","")&amp;IF(LEN($R1248)&gt;500,"R &gt; 500 karakter.","")))</f>
        <v/>
      </c>
      <c r="AS1248" t="str">
        <f>IFERROR(MATCH(ROW()-1,Calc!$J$2:$J$1601,0),"")</f>
        <v/>
      </c>
      <c r="AT1248" t="str">
        <f>IFERROR(MATCH(ROW()-1,Calc!$K$2:$K$1601,0),"")</f>
        <v/>
      </c>
      <c r="AU1248" t="str">
        <f>IF($AS1248="","",IFERROR(INDEX('TMP Paste'!$D$2:$D$1601,$AS1248)*1000000/$AB1248,""))</f>
        <v/>
      </c>
    </row>
    <row r="1249" spans="1:47">
      <c r="A1249" t="str">
        <f>IF($AS1249="","",INDEX('TMP Paste'!$B$2:$B$1601,$AS1249))</f>
        <v/>
      </c>
      <c r="B1249" t="str">
        <f>IF($AS1249="","",Config!$B$14)</f>
        <v/>
      </c>
      <c r="C1249" t="str">
        <f>IF($AS1249="","",Config!$B$15)</f>
        <v/>
      </c>
      <c r="D1249" t="str">
        <f>IF($AS1249="","",INDEX('TMP Paste'!$B$2:$B$1601,$AS1249))</f>
        <v/>
      </c>
      <c r="E1249" t="str">
        <f>IF($AS1249="","",Config!$B$27)</f>
        <v/>
      </c>
      <c r="F1249" t="str">
        <f>IF($AS1249="","",Config!$B$9)</f>
        <v/>
      </c>
      <c r="G1249" t="str">
        <f>IF($AS1249="","",Config!$B$10)</f>
        <v/>
      </c>
      <c r="H1249" t="str">
        <f>IF($AS1249="","",Config!$B$11)</f>
        <v/>
      </c>
      <c r="I1249" t="str">
        <f>IF($AS1249="","",Config!$B$16)</f>
        <v/>
      </c>
      <c r="J1249" t="str">
        <f>IF($AS1249="","",INDEX('TMP Paste'!$A$2:$A$1601,$AS1249))</f>
        <v/>
      </c>
      <c r="K1249" t="str">
        <f>IF($AS1249="","",INDEX('TMP Paste'!$L$2:$L$1601,$AS1249))</f>
        <v/>
      </c>
      <c r="L1249" t="str">
        <f>IF($AS1249="","",INDEX('TMP Paste'!$I$2:$I$1601,$AS1249))</f>
        <v/>
      </c>
      <c r="M1249" t="str">
        <f>IF($AS1249="","",Config!$B$16)</f>
        <v/>
      </c>
      <c r="N1249" t="str">
        <f t="shared" si="114"/>
        <v/>
      </c>
      <c r="O1249" t="str">
        <f>IF($AS1249="","",INDEX('TMP Paste'!$K$2:$K$1601,$AS1249))</f>
        <v/>
      </c>
      <c r="P1249" t="str">
        <f t="shared" si="115"/>
        <v/>
      </c>
      <c r="Q1249" t="str">
        <f>IF($AS1249="","",INDEX('TMP Paste'!$J$2:$J$1601,$AS1249))</f>
        <v/>
      </c>
      <c r="R1249" t="str">
        <f>IF($AS1249="","",Config!$B$24)</f>
        <v/>
      </c>
      <c r="S1249" t="str">
        <f ca="1">IF($AS1249="","",TEXT(Config!$B$4,"yyyy-mm-dd"))</f>
        <v/>
      </c>
      <c r="T1249" t="str">
        <f>IF($AS1249="","",Config!$B$17)</f>
        <v/>
      </c>
      <c r="U1249" t="str">
        <f>IF($AS1249="","",Config!$B$18)</f>
        <v/>
      </c>
      <c r="V1249" t="str">
        <f>IF($AS1249="","",Config!$B$19)</f>
        <v/>
      </c>
      <c r="W1249" t="str">
        <f>IF($AS1249="","",INDEX('TMP Paste'!$C$2:$C$1601,$AS1249))</f>
        <v/>
      </c>
      <c r="X1249" t="str">
        <f>IF($AS1249="","",Config!$B$29)</f>
        <v/>
      </c>
      <c r="Y1249" t="str">
        <f>IF($AT1249="","",INDEX(Calc!$I$2:$I$1601,$AT1249)&amp;" - "&amp;INDEX(Calc!$D$2:$D$1601,$AT1249)&amp;" koli")</f>
        <v/>
      </c>
      <c r="Z1249" t="str">
        <f>IF($AS1249="","",Config!$B$21)</f>
        <v/>
      </c>
      <c r="AA1249" t="str">
        <f>IF($AS1249="","",Config!$B$22)</f>
        <v/>
      </c>
      <c r="AB1249" t="str">
        <f>IF($AT1249="","",INDEX(Calc!$D$2:$D$1601,$AT1249))</f>
        <v/>
      </c>
      <c r="AC1249" t="str">
        <f>IF($AT1249="","",INDEX(Calc!$G$2:$G$1601,$AT1249))</f>
        <v/>
      </c>
      <c r="AD1249" t="str">
        <f>IF($AS1249="","",Config!$B$23)</f>
        <v/>
      </c>
      <c r="AE1249" t="str">
        <f>IF($AS1249="","",Config!$B$28)</f>
        <v/>
      </c>
      <c r="AF1249" t="str">
        <f t="shared" si="116"/>
        <v/>
      </c>
      <c r="AG1249" t="str">
        <f t="shared" si="117"/>
        <v/>
      </c>
      <c r="AH1249" t="str">
        <f t="shared" si="118"/>
        <v/>
      </c>
      <c r="AI1249" t="str">
        <f>IF($AG1249="","",SUMIF($AG$2:$AG1249,$AG1249,$AH$2:$AH1249))</f>
        <v/>
      </c>
      <c r="AJ1249" t="str">
        <f>IF('TMP Paste'!$F1249="","",IF('TMP Paste'!$B1249="",$AJ1248,'TMP Paste'!$B1249))</f>
        <v/>
      </c>
      <c r="AK1249" t="str">
        <f>IF('TMP Paste'!$F1249="","",N('TMP Paste'!$G1249))</f>
        <v/>
      </c>
      <c r="AL1249" t="str">
        <f>IF('TMP Paste'!$F1249="","",IF('TMP Paste'!$M1249="",$AL1248,'TMP Paste'!$M1249))</f>
        <v/>
      </c>
      <c r="AM1249" t="str">
        <f>IF('TMP Paste'!$F1249="","",IF('TMP Paste'!$N1249="",$AM1248,'TMP Paste'!$N1249))</f>
        <v/>
      </c>
      <c r="AN1249" t="str">
        <f>IF('TMP Paste'!$F1249="","",IF('TMP Paste'!$O1249="",$AN1248,'TMP Paste'!$O1249))</f>
        <v/>
      </c>
      <c r="AO1249" t="str">
        <f>IF('TMP Paste'!$F1249="","",IF('TMP Paste'!$P1249="",$AO1248,'TMP Paste'!$P1249))</f>
        <v/>
      </c>
      <c r="AP1249" t="str">
        <f t="shared" si="119"/>
        <v/>
      </c>
      <c r="AQ1249" t="str">
        <f>IF($AS1249="","",TRIM(IF(COUNTIFS(Calc!$B$2:$B$1601,ROW()-1,Calc!$C$2:$C$1601,"&lt;1")&gt;0,"Ada PO tanpa Koli - cek TMP. ","")&amp;IF(OR($AU1249="",$AU1249&lt;=0),"Volume kosong/0 - dimensi dikosongkan. ","")&amp;IF(AND($AU1249&lt;&gt;"",$AU1249&gt;=1000000),"Volume &gt;= 1.000.000 cm3 (di luar aturan) - dimensi dikosongkan. ","")&amp;IF(LEN($R1249)&gt;500,"R &gt; 500 karakter.","")))</f>
        <v/>
      </c>
      <c r="AS1249" t="str">
        <f>IFERROR(MATCH(ROW()-1,Calc!$J$2:$J$1601,0),"")</f>
        <v/>
      </c>
      <c r="AT1249" t="str">
        <f>IFERROR(MATCH(ROW()-1,Calc!$K$2:$K$1601,0),"")</f>
        <v/>
      </c>
      <c r="AU1249" t="str">
        <f>IF($AS1249="","",IFERROR(INDEX('TMP Paste'!$D$2:$D$1601,$AS1249)*1000000/$AB1249,""))</f>
        <v/>
      </c>
    </row>
    <row r="1250" spans="1:47">
      <c r="A1250" t="str">
        <f>IF($AS1250="","",INDEX('TMP Paste'!$B$2:$B$1601,$AS1250))</f>
        <v/>
      </c>
      <c r="B1250" t="str">
        <f>IF($AS1250="","",Config!$B$14)</f>
        <v/>
      </c>
      <c r="C1250" t="str">
        <f>IF($AS1250="","",Config!$B$15)</f>
        <v/>
      </c>
      <c r="D1250" t="str">
        <f>IF($AS1250="","",INDEX('TMP Paste'!$B$2:$B$1601,$AS1250))</f>
        <v/>
      </c>
      <c r="E1250" t="str">
        <f>IF($AS1250="","",Config!$B$27)</f>
        <v/>
      </c>
      <c r="F1250" t="str">
        <f>IF($AS1250="","",Config!$B$9)</f>
        <v/>
      </c>
      <c r="G1250" t="str">
        <f>IF($AS1250="","",Config!$B$10)</f>
        <v/>
      </c>
      <c r="H1250" t="str">
        <f>IF($AS1250="","",Config!$B$11)</f>
        <v/>
      </c>
      <c r="I1250" t="str">
        <f>IF($AS1250="","",Config!$B$16)</f>
        <v/>
      </c>
      <c r="J1250" t="str">
        <f>IF($AS1250="","",INDEX('TMP Paste'!$A$2:$A$1601,$AS1250))</f>
        <v/>
      </c>
      <c r="K1250" t="str">
        <f>IF($AS1250="","",INDEX('TMP Paste'!$L$2:$L$1601,$AS1250))</f>
        <v/>
      </c>
      <c r="L1250" t="str">
        <f>IF($AS1250="","",INDEX('TMP Paste'!$I$2:$I$1601,$AS1250))</f>
        <v/>
      </c>
      <c r="M1250" t="str">
        <f>IF($AS1250="","",Config!$B$16)</f>
        <v/>
      </c>
      <c r="N1250" t="str">
        <f t="shared" si="114"/>
        <v/>
      </c>
      <c r="O1250" t="str">
        <f>IF($AS1250="","",INDEX('TMP Paste'!$K$2:$K$1601,$AS1250))</f>
        <v/>
      </c>
      <c r="P1250" t="str">
        <f t="shared" si="115"/>
        <v/>
      </c>
      <c r="Q1250" t="str">
        <f>IF($AS1250="","",INDEX('TMP Paste'!$J$2:$J$1601,$AS1250))</f>
        <v/>
      </c>
      <c r="R1250" t="str">
        <f>IF($AS1250="","",Config!$B$24)</f>
        <v/>
      </c>
      <c r="S1250" t="str">
        <f ca="1">IF($AS1250="","",TEXT(Config!$B$4,"yyyy-mm-dd"))</f>
        <v/>
      </c>
      <c r="T1250" t="str">
        <f>IF($AS1250="","",Config!$B$17)</f>
        <v/>
      </c>
      <c r="U1250" t="str">
        <f>IF($AS1250="","",Config!$B$18)</f>
        <v/>
      </c>
      <c r="V1250" t="str">
        <f>IF($AS1250="","",Config!$B$19)</f>
        <v/>
      </c>
      <c r="W1250" t="str">
        <f>IF($AS1250="","",INDEX('TMP Paste'!$C$2:$C$1601,$AS1250))</f>
        <v/>
      </c>
      <c r="X1250" t="str">
        <f>IF($AS1250="","",Config!$B$29)</f>
        <v/>
      </c>
      <c r="Y1250" t="str">
        <f>IF($AT1250="","",INDEX(Calc!$I$2:$I$1601,$AT1250)&amp;" - "&amp;INDEX(Calc!$D$2:$D$1601,$AT1250)&amp;" koli")</f>
        <v/>
      </c>
      <c r="Z1250" t="str">
        <f>IF($AS1250="","",Config!$B$21)</f>
        <v/>
      </c>
      <c r="AA1250" t="str">
        <f>IF($AS1250="","",Config!$B$22)</f>
        <v/>
      </c>
      <c r="AB1250" t="str">
        <f>IF($AT1250="","",INDEX(Calc!$D$2:$D$1601,$AT1250))</f>
        <v/>
      </c>
      <c r="AC1250" t="str">
        <f>IF($AT1250="","",INDEX(Calc!$G$2:$G$1601,$AT1250))</f>
        <v/>
      </c>
      <c r="AD1250" t="str">
        <f>IF($AS1250="","",Config!$B$23)</f>
        <v/>
      </c>
      <c r="AE1250" t="str">
        <f>IF($AS1250="","",Config!$B$28)</f>
        <v/>
      </c>
      <c r="AF1250" t="str">
        <f t="shared" si="116"/>
        <v/>
      </c>
      <c r="AG1250" t="str">
        <f t="shared" si="117"/>
        <v/>
      </c>
      <c r="AH1250" t="str">
        <f t="shared" si="118"/>
        <v/>
      </c>
      <c r="AI1250" t="str">
        <f>IF($AG1250="","",SUMIF($AG$2:$AG1250,$AG1250,$AH$2:$AH1250))</f>
        <v/>
      </c>
      <c r="AJ1250" t="str">
        <f>IF('TMP Paste'!$F1250="","",IF('TMP Paste'!$B1250="",$AJ1249,'TMP Paste'!$B1250))</f>
        <v/>
      </c>
      <c r="AK1250" t="str">
        <f>IF('TMP Paste'!$F1250="","",N('TMP Paste'!$G1250))</f>
        <v/>
      </c>
      <c r="AL1250" t="str">
        <f>IF('TMP Paste'!$F1250="","",IF('TMP Paste'!$M1250="",$AL1249,'TMP Paste'!$M1250))</f>
        <v/>
      </c>
      <c r="AM1250" t="str">
        <f>IF('TMP Paste'!$F1250="","",IF('TMP Paste'!$N1250="",$AM1249,'TMP Paste'!$N1250))</f>
        <v/>
      </c>
      <c r="AN1250" t="str">
        <f>IF('TMP Paste'!$F1250="","",IF('TMP Paste'!$O1250="",$AN1249,'TMP Paste'!$O1250))</f>
        <v/>
      </c>
      <c r="AO1250" t="str">
        <f>IF('TMP Paste'!$F1250="","",IF('TMP Paste'!$P1250="",$AO1249,'TMP Paste'!$P1250))</f>
        <v/>
      </c>
      <c r="AP1250" t="str">
        <f t="shared" si="119"/>
        <v/>
      </c>
      <c r="AQ1250" t="str">
        <f>IF($AS1250="","",TRIM(IF(COUNTIFS(Calc!$B$2:$B$1601,ROW()-1,Calc!$C$2:$C$1601,"&lt;1")&gt;0,"Ada PO tanpa Koli - cek TMP. ","")&amp;IF(OR($AU1250="",$AU1250&lt;=0),"Volume kosong/0 - dimensi dikosongkan. ","")&amp;IF(AND($AU1250&lt;&gt;"",$AU1250&gt;=1000000),"Volume &gt;= 1.000.000 cm3 (di luar aturan) - dimensi dikosongkan. ","")&amp;IF(LEN($R1250)&gt;500,"R &gt; 500 karakter.","")))</f>
        <v/>
      </c>
      <c r="AS1250" t="str">
        <f>IFERROR(MATCH(ROW()-1,Calc!$J$2:$J$1601,0),"")</f>
        <v/>
      </c>
      <c r="AT1250" t="str">
        <f>IFERROR(MATCH(ROW()-1,Calc!$K$2:$K$1601,0),"")</f>
        <v/>
      </c>
      <c r="AU1250" t="str">
        <f>IF($AS1250="","",IFERROR(INDEX('TMP Paste'!$D$2:$D$1601,$AS1250)*1000000/$AB1250,""))</f>
        <v/>
      </c>
    </row>
    <row r="1251" spans="1:47">
      <c r="A1251" t="str">
        <f>IF($AS1251="","",INDEX('TMP Paste'!$B$2:$B$1601,$AS1251))</f>
        <v/>
      </c>
      <c r="B1251" t="str">
        <f>IF($AS1251="","",Config!$B$14)</f>
        <v/>
      </c>
      <c r="C1251" t="str">
        <f>IF($AS1251="","",Config!$B$15)</f>
        <v/>
      </c>
      <c r="D1251" t="str">
        <f>IF($AS1251="","",INDEX('TMP Paste'!$B$2:$B$1601,$AS1251))</f>
        <v/>
      </c>
      <c r="E1251" t="str">
        <f>IF($AS1251="","",Config!$B$27)</f>
        <v/>
      </c>
      <c r="F1251" t="str">
        <f>IF($AS1251="","",Config!$B$9)</f>
        <v/>
      </c>
      <c r="G1251" t="str">
        <f>IF($AS1251="","",Config!$B$10)</f>
        <v/>
      </c>
      <c r="H1251" t="str">
        <f>IF($AS1251="","",Config!$B$11)</f>
        <v/>
      </c>
      <c r="I1251" t="str">
        <f>IF($AS1251="","",Config!$B$16)</f>
        <v/>
      </c>
      <c r="J1251" t="str">
        <f>IF($AS1251="","",INDEX('TMP Paste'!$A$2:$A$1601,$AS1251))</f>
        <v/>
      </c>
      <c r="K1251" t="str">
        <f>IF($AS1251="","",INDEX('TMP Paste'!$L$2:$L$1601,$AS1251))</f>
        <v/>
      </c>
      <c r="L1251" t="str">
        <f>IF($AS1251="","",INDEX('TMP Paste'!$I$2:$I$1601,$AS1251))</f>
        <v/>
      </c>
      <c r="M1251" t="str">
        <f>IF($AS1251="","",Config!$B$16)</f>
        <v/>
      </c>
      <c r="N1251" t="str">
        <f t="shared" si="114"/>
        <v/>
      </c>
      <c r="O1251" t="str">
        <f>IF($AS1251="","",INDEX('TMP Paste'!$K$2:$K$1601,$AS1251))</f>
        <v/>
      </c>
      <c r="P1251" t="str">
        <f t="shared" si="115"/>
        <v/>
      </c>
      <c r="Q1251" t="str">
        <f>IF($AS1251="","",INDEX('TMP Paste'!$J$2:$J$1601,$AS1251))</f>
        <v/>
      </c>
      <c r="R1251" t="str">
        <f>IF($AS1251="","",Config!$B$24)</f>
        <v/>
      </c>
      <c r="S1251" t="str">
        <f ca="1">IF($AS1251="","",TEXT(Config!$B$4,"yyyy-mm-dd"))</f>
        <v/>
      </c>
      <c r="T1251" t="str">
        <f>IF($AS1251="","",Config!$B$17)</f>
        <v/>
      </c>
      <c r="U1251" t="str">
        <f>IF($AS1251="","",Config!$B$18)</f>
        <v/>
      </c>
      <c r="V1251" t="str">
        <f>IF($AS1251="","",Config!$B$19)</f>
        <v/>
      </c>
      <c r="W1251" t="str">
        <f>IF($AS1251="","",INDEX('TMP Paste'!$C$2:$C$1601,$AS1251))</f>
        <v/>
      </c>
      <c r="X1251" t="str">
        <f>IF($AS1251="","",Config!$B$29)</f>
        <v/>
      </c>
      <c r="Y1251" t="str">
        <f>IF($AT1251="","",INDEX(Calc!$I$2:$I$1601,$AT1251)&amp;" - "&amp;INDEX(Calc!$D$2:$D$1601,$AT1251)&amp;" koli")</f>
        <v/>
      </c>
      <c r="Z1251" t="str">
        <f>IF($AS1251="","",Config!$B$21)</f>
        <v/>
      </c>
      <c r="AA1251" t="str">
        <f>IF($AS1251="","",Config!$B$22)</f>
        <v/>
      </c>
      <c r="AB1251" t="str">
        <f>IF($AT1251="","",INDEX(Calc!$D$2:$D$1601,$AT1251))</f>
        <v/>
      </c>
      <c r="AC1251" t="str">
        <f>IF($AT1251="","",INDEX(Calc!$G$2:$G$1601,$AT1251))</f>
        <v/>
      </c>
      <c r="AD1251" t="str">
        <f>IF($AS1251="","",Config!$B$23)</f>
        <v/>
      </c>
      <c r="AE1251" t="str">
        <f>IF($AS1251="","",Config!$B$28)</f>
        <v/>
      </c>
      <c r="AF1251" t="str">
        <f t="shared" si="116"/>
        <v/>
      </c>
      <c r="AG1251" t="str">
        <f t="shared" si="117"/>
        <v/>
      </c>
      <c r="AH1251" t="str">
        <f t="shared" si="118"/>
        <v/>
      </c>
      <c r="AI1251" t="str">
        <f>IF($AG1251="","",SUMIF($AG$2:$AG1251,$AG1251,$AH$2:$AH1251))</f>
        <v/>
      </c>
      <c r="AJ1251" t="str">
        <f>IF('TMP Paste'!$F1251="","",IF('TMP Paste'!$B1251="",$AJ1250,'TMP Paste'!$B1251))</f>
        <v/>
      </c>
      <c r="AK1251" t="str">
        <f>IF('TMP Paste'!$F1251="","",N('TMP Paste'!$G1251))</f>
        <v/>
      </c>
      <c r="AL1251" t="str">
        <f>IF('TMP Paste'!$F1251="","",IF('TMP Paste'!$M1251="",$AL1250,'TMP Paste'!$M1251))</f>
        <v/>
      </c>
      <c r="AM1251" t="str">
        <f>IF('TMP Paste'!$F1251="","",IF('TMP Paste'!$N1251="",$AM1250,'TMP Paste'!$N1251))</f>
        <v/>
      </c>
      <c r="AN1251" t="str">
        <f>IF('TMP Paste'!$F1251="","",IF('TMP Paste'!$O1251="",$AN1250,'TMP Paste'!$O1251))</f>
        <v/>
      </c>
      <c r="AO1251" t="str">
        <f>IF('TMP Paste'!$F1251="","",IF('TMP Paste'!$P1251="",$AO1250,'TMP Paste'!$P1251))</f>
        <v/>
      </c>
      <c r="AP1251" t="str">
        <f t="shared" si="119"/>
        <v/>
      </c>
      <c r="AQ1251" t="str">
        <f>IF($AS1251="","",TRIM(IF(COUNTIFS(Calc!$B$2:$B$1601,ROW()-1,Calc!$C$2:$C$1601,"&lt;1")&gt;0,"Ada PO tanpa Koli - cek TMP. ","")&amp;IF(OR($AU1251="",$AU1251&lt;=0),"Volume kosong/0 - dimensi dikosongkan. ","")&amp;IF(AND($AU1251&lt;&gt;"",$AU1251&gt;=1000000),"Volume &gt;= 1.000.000 cm3 (di luar aturan) - dimensi dikosongkan. ","")&amp;IF(LEN($R1251)&gt;500,"R &gt; 500 karakter.","")))</f>
        <v/>
      </c>
      <c r="AS1251" t="str">
        <f>IFERROR(MATCH(ROW()-1,Calc!$J$2:$J$1601,0),"")</f>
        <v/>
      </c>
      <c r="AT1251" t="str">
        <f>IFERROR(MATCH(ROW()-1,Calc!$K$2:$K$1601,0),"")</f>
        <v/>
      </c>
      <c r="AU1251" t="str">
        <f>IF($AS1251="","",IFERROR(INDEX('TMP Paste'!$D$2:$D$1601,$AS1251)*1000000/$AB1251,""))</f>
        <v/>
      </c>
    </row>
    <row r="1252" spans="1:47">
      <c r="A1252" t="str">
        <f>IF($AS1252="","",INDEX('TMP Paste'!$B$2:$B$1601,$AS1252))</f>
        <v/>
      </c>
      <c r="B1252" t="str">
        <f>IF($AS1252="","",Config!$B$14)</f>
        <v/>
      </c>
      <c r="C1252" t="str">
        <f>IF($AS1252="","",Config!$B$15)</f>
        <v/>
      </c>
      <c r="D1252" t="str">
        <f>IF($AS1252="","",INDEX('TMP Paste'!$B$2:$B$1601,$AS1252))</f>
        <v/>
      </c>
      <c r="E1252" t="str">
        <f>IF($AS1252="","",Config!$B$27)</f>
        <v/>
      </c>
      <c r="F1252" t="str">
        <f>IF($AS1252="","",Config!$B$9)</f>
        <v/>
      </c>
      <c r="G1252" t="str">
        <f>IF($AS1252="","",Config!$B$10)</f>
        <v/>
      </c>
      <c r="H1252" t="str">
        <f>IF($AS1252="","",Config!$B$11)</f>
        <v/>
      </c>
      <c r="I1252" t="str">
        <f>IF($AS1252="","",Config!$B$16)</f>
        <v/>
      </c>
      <c r="J1252" t="str">
        <f>IF($AS1252="","",INDEX('TMP Paste'!$A$2:$A$1601,$AS1252))</f>
        <v/>
      </c>
      <c r="K1252" t="str">
        <f>IF($AS1252="","",INDEX('TMP Paste'!$L$2:$L$1601,$AS1252))</f>
        <v/>
      </c>
      <c r="L1252" t="str">
        <f>IF($AS1252="","",INDEX('TMP Paste'!$I$2:$I$1601,$AS1252))</f>
        <v/>
      </c>
      <c r="M1252" t="str">
        <f>IF($AS1252="","",Config!$B$16)</f>
        <v/>
      </c>
      <c r="N1252" t="str">
        <f t="shared" si="114"/>
        <v/>
      </c>
      <c r="O1252" t="str">
        <f>IF($AS1252="","",INDEX('TMP Paste'!$K$2:$K$1601,$AS1252))</f>
        <v/>
      </c>
      <c r="P1252" t="str">
        <f t="shared" si="115"/>
        <v/>
      </c>
      <c r="Q1252" t="str">
        <f>IF($AS1252="","",INDEX('TMP Paste'!$J$2:$J$1601,$AS1252))</f>
        <v/>
      </c>
      <c r="R1252" t="str">
        <f>IF($AS1252="","",Config!$B$24)</f>
        <v/>
      </c>
      <c r="S1252" t="str">
        <f ca="1">IF($AS1252="","",TEXT(Config!$B$4,"yyyy-mm-dd"))</f>
        <v/>
      </c>
      <c r="T1252" t="str">
        <f>IF($AS1252="","",Config!$B$17)</f>
        <v/>
      </c>
      <c r="U1252" t="str">
        <f>IF($AS1252="","",Config!$B$18)</f>
        <v/>
      </c>
      <c r="V1252" t="str">
        <f>IF($AS1252="","",Config!$B$19)</f>
        <v/>
      </c>
      <c r="W1252" t="str">
        <f>IF($AS1252="","",INDEX('TMP Paste'!$C$2:$C$1601,$AS1252))</f>
        <v/>
      </c>
      <c r="X1252" t="str">
        <f>IF($AS1252="","",Config!$B$29)</f>
        <v/>
      </c>
      <c r="Y1252" t="str">
        <f>IF($AT1252="","",INDEX(Calc!$I$2:$I$1601,$AT1252)&amp;" - "&amp;INDEX(Calc!$D$2:$D$1601,$AT1252)&amp;" koli")</f>
        <v/>
      </c>
      <c r="Z1252" t="str">
        <f>IF($AS1252="","",Config!$B$21)</f>
        <v/>
      </c>
      <c r="AA1252" t="str">
        <f>IF($AS1252="","",Config!$B$22)</f>
        <v/>
      </c>
      <c r="AB1252" t="str">
        <f>IF($AT1252="","",INDEX(Calc!$D$2:$D$1601,$AT1252))</f>
        <v/>
      </c>
      <c r="AC1252" t="str">
        <f>IF($AT1252="","",INDEX(Calc!$G$2:$G$1601,$AT1252))</f>
        <v/>
      </c>
      <c r="AD1252" t="str">
        <f>IF($AS1252="","",Config!$B$23)</f>
        <v/>
      </c>
      <c r="AE1252" t="str">
        <f>IF($AS1252="","",Config!$B$28)</f>
        <v/>
      </c>
      <c r="AF1252" t="str">
        <f t="shared" si="116"/>
        <v/>
      </c>
      <c r="AG1252" t="str">
        <f t="shared" si="117"/>
        <v/>
      </c>
      <c r="AH1252" t="str">
        <f t="shared" si="118"/>
        <v/>
      </c>
      <c r="AI1252" t="str">
        <f>IF($AG1252="","",SUMIF($AG$2:$AG1252,$AG1252,$AH$2:$AH1252))</f>
        <v/>
      </c>
      <c r="AJ1252" t="str">
        <f>IF('TMP Paste'!$F1252="","",IF('TMP Paste'!$B1252="",$AJ1251,'TMP Paste'!$B1252))</f>
        <v/>
      </c>
      <c r="AK1252" t="str">
        <f>IF('TMP Paste'!$F1252="","",N('TMP Paste'!$G1252))</f>
        <v/>
      </c>
      <c r="AL1252" t="str">
        <f>IF('TMP Paste'!$F1252="","",IF('TMP Paste'!$M1252="",$AL1251,'TMP Paste'!$M1252))</f>
        <v/>
      </c>
      <c r="AM1252" t="str">
        <f>IF('TMP Paste'!$F1252="","",IF('TMP Paste'!$N1252="",$AM1251,'TMP Paste'!$N1252))</f>
        <v/>
      </c>
      <c r="AN1252" t="str">
        <f>IF('TMP Paste'!$F1252="","",IF('TMP Paste'!$O1252="",$AN1251,'TMP Paste'!$O1252))</f>
        <v/>
      </c>
      <c r="AO1252" t="str">
        <f>IF('TMP Paste'!$F1252="","",IF('TMP Paste'!$P1252="",$AO1251,'TMP Paste'!$P1252))</f>
        <v/>
      </c>
      <c r="AP1252" t="str">
        <f t="shared" si="119"/>
        <v/>
      </c>
      <c r="AQ1252" t="str">
        <f>IF($AS1252="","",TRIM(IF(COUNTIFS(Calc!$B$2:$B$1601,ROW()-1,Calc!$C$2:$C$1601,"&lt;1")&gt;0,"Ada PO tanpa Koli - cek TMP. ","")&amp;IF(OR($AU1252="",$AU1252&lt;=0),"Volume kosong/0 - dimensi dikosongkan. ","")&amp;IF(AND($AU1252&lt;&gt;"",$AU1252&gt;=1000000),"Volume &gt;= 1.000.000 cm3 (di luar aturan) - dimensi dikosongkan. ","")&amp;IF(LEN($R1252)&gt;500,"R &gt; 500 karakter.","")))</f>
        <v/>
      </c>
      <c r="AS1252" t="str">
        <f>IFERROR(MATCH(ROW()-1,Calc!$J$2:$J$1601,0),"")</f>
        <v/>
      </c>
      <c r="AT1252" t="str">
        <f>IFERROR(MATCH(ROW()-1,Calc!$K$2:$K$1601,0),"")</f>
        <v/>
      </c>
      <c r="AU1252" t="str">
        <f>IF($AS1252="","",IFERROR(INDEX('TMP Paste'!$D$2:$D$1601,$AS1252)*1000000/$AB1252,""))</f>
        <v/>
      </c>
    </row>
    <row r="1253" spans="1:47">
      <c r="A1253" t="str">
        <f>IF($AS1253="","",INDEX('TMP Paste'!$B$2:$B$1601,$AS1253))</f>
        <v/>
      </c>
      <c r="B1253" t="str">
        <f>IF($AS1253="","",Config!$B$14)</f>
        <v/>
      </c>
      <c r="C1253" t="str">
        <f>IF($AS1253="","",Config!$B$15)</f>
        <v/>
      </c>
      <c r="D1253" t="str">
        <f>IF($AS1253="","",INDEX('TMP Paste'!$B$2:$B$1601,$AS1253))</f>
        <v/>
      </c>
      <c r="E1253" t="str">
        <f>IF($AS1253="","",Config!$B$27)</f>
        <v/>
      </c>
      <c r="F1253" t="str">
        <f>IF($AS1253="","",Config!$B$9)</f>
        <v/>
      </c>
      <c r="G1253" t="str">
        <f>IF($AS1253="","",Config!$B$10)</f>
        <v/>
      </c>
      <c r="H1253" t="str">
        <f>IF($AS1253="","",Config!$B$11)</f>
        <v/>
      </c>
      <c r="I1253" t="str">
        <f>IF($AS1253="","",Config!$B$16)</f>
        <v/>
      </c>
      <c r="J1253" t="str">
        <f>IF($AS1253="","",INDEX('TMP Paste'!$A$2:$A$1601,$AS1253))</f>
        <v/>
      </c>
      <c r="K1253" t="str">
        <f>IF($AS1253="","",INDEX('TMP Paste'!$L$2:$L$1601,$AS1253))</f>
        <v/>
      </c>
      <c r="L1253" t="str">
        <f>IF($AS1253="","",INDEX('TMP Paste'!$I$2:$I$1601,$AS1253))</f>
        <v/>
      </c>
      <c r="M1253" t="str">
        <f>IF($AS1253="","",Config!$B$16)</f>
        <v/>
      </c>
      <c r="N1253" t="str">
        <f t="shared" si="114"/>
        <v/>
      </c>
      <c r="O1253" t="str">
        <f>IF($AS1253="","",INDEX('TMP Paste'!$K$2:$K$1601,$AS1253))</f>
        <v/>
      </c>
      <c r="P1253" t="str">
        <f t="shared" si="115"/>
        <v/>
      </c>
      <c r="Q1253" t="str">
        <f>IF($AS1253="","",INDEX('TMP Paste'!$J$2:$J$1601,$AS1253))</f>
        <v/>
      </c>
      <c r="R1253" t="str">
        <f>IF($AS1253="","",Config!$B$24)</f>
        <v/>
      </c>
      <c r="S1253" t="str">
        <f ca="1">IF($AS1253="","",TEXT(Config!$B$4,"yyyy-mm-dd"))</f>
        <v/>
      </c>
      <c r="T1253" t="str">
        <f>IF($AS1253="","",Config!$B$17)</f>
        <v/>
      </c>
      <c r="U1253" t="str">
        <f>IF($AS1253="","",Config!$B$18)</f>
        <v/>
      </c>
      <c r="V1253" t="str">
        <f>IF($AS1253="","",Config!$B$19)</f>
        <v/>
      </c>
      <c r="W1253" t="str">
        <f>IF($AS1253="","",INDEX('TMP Paste'!$C$2:$C$1601,$AS1253))</f>
        <v/>
      </c>
      <c r="X1253" t="str">
        <f>IF($AS1253="","",Config!$B$29)</f>
        <v/>
      </c>
      <c r="Y1253" t="str">
        <f>IF($AT1253="","",INDEX(Calc!$I$2:$I$1601,$AT1253)&amp;" - "&amp;INDEX(Calc!$D$2:$D$1601,$AT1253)&amp;" koli")</f>
        <v/>
      </c>
      <c r="Z1253" t="str">
        <f>IF($AS1253="","",Config!$B$21)</f>
        <v/>
      </c>
      <c r="AA1253" t="str">
        <f>IF($AS1253="","",Config!$B$22)</f>
        <v/>
      </c>
      <c r="AB1253" t="str">
        <f>IF($AT1253="","",INDEX(Calc!$D$2:$D$1601,$AT1253))</f>
        <v/>
      </c>
      <c r="AC1253" t="str">
        <f>IF($AT1253="","",INDEX(Calc!$G$2:$G$1601,$AT1253))</f>
        <v/>
      </c>
      <c r="AD1253" t="str">
        <f>IF($AS1253="","",Config!$B$23)</f>
        <v/>
      </c>
      <c r="AE1253" t="str">
        <f>IF($AS1253="","",Config!$B$28)</f>
        <v/>
      </c>
      <c r="AF1253" t="str">
        <f t="shared" si="116"/>
        <v/>
      </c>
      <c r="AG1253" t="str">
        <f t="shared" si="117"/>
        <v/>
      </c>
      <c r="AH1253" t="str">
        <f t="shared" si="118"/>
        <v/>
      </c>
      <c r="AI1253" t="str">
        <f>IF($AG1253="","",SUMIF($AG$2:$AG1253,$AG1253,$AH$2:$AH1253))</f>
        <v/>
      </c>
      <c r="AJ1253" t="str">
        <f>IF('TMP Paste'!$F1253="","",IF('TMP Paste'!$B1253="",$AJ1252,'TMP Paste'!$B1253))</f>
        <v/>
      </c>
      <c r="AK1253" t="str">
        <f>IF('TMP Paste'!$F1253="","",N('TMP Paste'!$G1253))</f>
        <v/>
      </c>
      <c r="AL1253" t="str">
        <f>IF('TMP Paste'!$F1253="","",IF('TMP Paste'!$M1253="",$AL1252,'TMP Paste'!$M1253))</f>
        <v/>
      </c>
      <c r="AM1253" t="str">
        <f>IF('TMP Paste'!$F1253="","",IF('TMP Paste'!$N1253="",$AM1252,'TMP Paste'!$N1253))</f>
        <v/>
      </c>
      <c r="AN1253" t="str">
        <f>IF('TMP Paste'!$F1253="","",IF('TMP Paste'!$O1253="",$AN1252,'TMP Paste'!$O1253))</f>
        <v/>
      </c>
      <c r="AO1253" t="str">
        <f>IF('TMP Paste'!$F1253="","",IF('TMP Paste'!$P1253="",$AO1252,'TMP Paste'!$P1253))</f>
        <v/>
      </c>
      <c r="AP1253" t="str">
        <f t="shared" si="119"/>
        <v/>
      </c>
      <c r="AQ1253" t="str">
        <f>IF($AS1253="","",TRIM(IF(COUNTIFS(Calc!$B$2:$B$1601,ROW()-1,Calc!$C$2:$C$1601,"&lt;1")&gt;0,"Ada PO tanpa Koli - cek TMP. ","")&amp;IF(OR($AU1253="",$AU1253&lt;=0),"Volume kosong/0 - dimensi dikosongkan. ","")&amp;IF(AND($AU1253&lt;&gt;"",$AU1253&gt;=1000000),"Volume &gt;= 1.000.000 cm3 (di luar aturan) - dimensi dikosongkan. ","")&amp;IF(LEN($R1253)&gt;500,"R &gt; 500 karakter.","")))</f>
        <v/>
      </c>
      <c r="AS1253" t="str">
        <f>IFERROR(MATCH(ROW()-1,Calc!$J$2:$J$1601,0),"")</f>
        <v/>
      </c>
      <c r="AT1253" t="str">
        <f>IFERROR(MATCH(ROW()-1,Calc!$K$2:$K$1601,0),"")</f>
        <v/>
      </c>
      <c r="AU1253" t="str">
        <f>IF($AS1253="","",IFERROR(INDEX('TMP Paste'!$D$2:$D$1601,$AS1253)*1000000/$AB1253,""))</f>
        <v/>
      </c>
    </row>
    <row r="1254" spans="1:47">
      <c r="A1254" t="str">
        <f>IF($AS1254="","",INDEX('TMP Paste'!$B$2:$B$1601,$AS1254))</f>
        <v/>
      </c>
      <c r="B1254" t="str">
        <f>IF($AS1254="","",Config!$B$14)</f>
        <v/>
      </c>
      <c r="C1254" t="str">
        <f>IF($AS1254="","",Config!$B$15)</f>
        <v/>
      </c>
      <c r="D1254" t="str">
        <f>IF($AS1254="","",INDEX('TMP Paste'!$B$2:$B$1601,$AS1254))</f>
        <v/>
      </c>
      <c r="E1254" t="str">
        <f>IF($AS1254="","",Config!$B$27)</f>
        <v/>
      </c>
      <c r="F1254" t="str">
        <f>IF($AS1254="","",Config!$B$9)</f>
        <v/>
      </c>
      <c r="G1254" t="str">
        <f>IF($AS1254="","",Config!$B$10)</f>
        <v/>
      </c>
      <c r="H1254" t="str">
        <f>IF($AS1254="","",Config!$B$11)</f>
        <v/>
      </c>
      <c r="I1254" t="str">
        <f>IF($AS1254="","",Config!$B$16)</f>
        <v/>
      </c>
      <c r="J1254" t="str">
        <f>IF($AS1254="","",INDEX('TMP Paste'!$A$2:$A$1601,$AS1254))</f>
        <v/>
      </c>
      <c r="K1254" t="str">
        <f>IF($AS1254="","",INDEX('TMP Paste'!$L$2:$L$1601,$AS1254))</f>
        <v/>
      </c>
      <c r="L1254" t="str">
        <f>IF($AS1254="","",INDEX('TMP Paste'!$I$2:$I$1601,$AS1254))</f>
        <v/>
      </c>
      <c r="M1254" t="str">
        <f>IF($AS1254="","",Config!$B$16)</f>
        <v/>
      </c>
      <c r="N1254" t="str">
        <f t="shared" si="114"/>
        <v/>
      </c>
      <c r="O1254" t="str">
        <f>IF($AS1254="","",INDEX('TMP Paste'!$K$2:$K$1601,$AS1254))</f>
        <v/>
      </c>
      <c r="P1254" t="str">
        <f t="shared" si="115"/>
        <v/>
      </c>
      <c r="Q1254" t="str">
        <f>IF($AS1254="","",INDEX('TMP Paste'!$J$2:$J$1601,$AS1254))</f>
        <v/>
      </c>
      <c r="R1254" t="str">
        <f>IF($AS1254="","",Config!$B$24)</f>
        <v/>
      </c>
      <c r="S1254" t="str">
        <f ca="1">IF($AS1254="","",TEXT(Config!$B$4,"yyyy-mm-dd"))</f>
        <v/>
      </c>
      <c r="T1254" t="str">
        <f>IF($AS1254="","",Config!$B$17)</f>
        <v/>
      </c>
      <c r="U1254" t="str">
        <f>IF($AS1254="","",Config!$B$18)</f>
        <v/>
      </c>
      <c r="V1254" t="str">
        <f>IF($AS1254="","",Config!$B$19)</f>
        <v/>
      </c>
      <c r="W1254" t="str">
        <f>IF($AS1254="","",INDEX('TMP Paste'!$C$2:$C$1601,$AS1254))</f>
        <v/>
      </c>
      <c r="X1254" t="str">
        <f>IF($AS1254="","",Config!$B$29)</f>
        <v/>
      </c>
      <c r="Y1254" t="str">
        <f>IF($AT1254="","",INDEX(Calc!$I$2:$I$1601,$AT1254)&amp;" - "&amp;INDEX(Calc!$D$2:$D$1601,$AT1254)&amp;" koli")</f>
        <v/>
      </c>
      <c r="Z1254" t="str">
        <f>IF($AS1254="","",Config!$B$21)</f>
        <v/>
      </c>
      <c r="AA1254" t="str">
        <f>IF($AS1254="","",Config!$B$22)</f>
        <v/>
      </c>
      <c r="AB1254" t="str">
        <f>IF($AT1254="","",INDEX(Calc!$D$2:$D$1601,$AT1254))</f>
        <v/>
      </c>
      <c r="AC1254" t="str">
        <f>IF($AT1254="","",INDEX(Calc!$G$2:$G$1601,$AT1254))</f>
        <v/>
      </c>
      <c r="AD1254" t="str">
        <f>IF($AS1254="","",Config!$B$23)</f>
        <v/>
      </c>
      <c r="AE1254" t="str">
        <f>IF($AS1254="","",Config!$B$28)</f>
        <v/>
      </c>
      <c r="AF1254" t="str">
        <f t="shared" si="116"/>
        <v/>
      </c>
      <c r="AG1254" t="str">
        <f t="shared" si="117"/>
        <v/>
      </c>
      <c r="AH1254" t="str">
        <f t="shared" si="118"/>
        <v/>
      </c>
      <c r="AI1254" t="str">
        <f>IF($AG1254="","",SUMIF($AG$2:$AG1254,$AG1254,$AH$2:$AH1254))</f>
        <v/>
      </c>
      <c r="AJ1254" t="str">
        <f>IF('TMP Paste'!$F1254="","",IF('TMP Paste'!$B1254="",$AJ1253,'TMP Paste'!$B1254))</f>
        <v/>
      </c>
      <c r="AK1254" t="str">
        <f>IF('TMP Paste'!$F1254="","",N('TMP Paste'!$G1254))</f>
        <v/>
      </c>
      <c r="AL1254" t="str">
        <f>IF('TMP Paste'!$F1254="","",IF('TMP Paste'!$M1254="",$AL1253,'TMP Paste'!$M1254))</f>
        <v/>
      </c>
      <c r="AM1254" t="str">
        <f>IF('TMP Paste'!$F1254="","",IF('TMP Paste'!$N1254="",$AM1253,'TMP Paste'!$N1254))</f>
        <v/>
      </c>
      <c r="AN1254" t="str">
        <f>IF('TMP Paste'!$F1254="","",IF('TMP Paste'!$O1254="",$AN1253,'TMP Paste'!$O1254))</f>
        <v/>
      </c>
      <c r="AO1254" t="str">
        <f>IF('TMP Paste'!$F1254="","",IF('TMP Paste'!$P1254="",$AO1253,'TMP Paste'!$P1254))</f>
        <v/>
      </c>
      <c r="AP1254" t="str">
        <f t="shared" si="119"/>
        <v/>
      </c>
      <c r="AQ1254" t="str">
        <f>IF($AS1254="","",TRIM(IF(COUNTIFS(Calc!$B$2:$B$1601,ROW()-1,Calc!$C$2:$C$1601,"&lt;1")&gt;0,"Ada PO tanpa Koli - cek TMP. ","")&amp;IF(OR($AU1254="",$AU1254&lt;=0),"Volume kosong/0 - dimensi dikosongkan. ","")&amp;IF(AND($AU1254&lt;&gt;"",$AU1254&gt;=1000000),"Volume &gt;= 1.000.000 cm3 (di luar aturan) - dimensi dikosongkan. ","")&amp;IF(LEN($R1254)&gt;500,"R &gt; 500 karakter.","")))</f>
        <v/>
      </c>
      <c r="AS1254" t="str">
        <f>IFERROR(MATCH(ROW()-1,Calc!$J$2:$J$1601,0),"")</f>
        <v/>
      </c>
      <c r="AT1254" t="str">
        <f>IFERROR(MATCH(ROW()-1,Calc!$K$2:$K$1601,0),"")</f>
        <v/>
      </c>
      <c r="AU1254" t="str">
        <f>IF($AS1254="","",IFERROR(INDEX('TMP Paste'!$D$2:$D$1601,$AS1254)*1000000/$AB1254,""))</f>
        <v/>
      </c>
    </row>
    <row r="1255" spans="1:47">
      <c r="A1255" t="str">
        <f>IF($AS1255="","",INDEX('TMP Paste'!$B$2:$B$1601,$AS1255))</f>
        <v/>
      </c>
      <c r="B1255" t="str">
        <f>IF($AS1255="","",Config!$B$14)</f>
        <v/>
      </c>
      <c r="C1255" t="str">
        <f>IF($AS1255="","",Config!$B$15)</f>
        <v/>
      </c>
      <c r="D1255" t="str">
        <f>IF($AS1255="","",INDEX('TMP Paste'!$B$2:$B$1601,$AS1255))</f>
        <v/>
      </c>
      <c r="E1255" t="str">
        <f>IF($AS1255="","",Config!$B$27)</f>
        <v/>
      </c>
      <c r="F1255" t="str">
        <f>IF($AS1255="","",Config!$B$9)</f>
        <v/>
      </c>
      <c r="G1255" t="str">
        <f>IF($AS1255="","",Config!$B$10)</f>
        <v/>
      </c>
      <c r="H1255" t="str">
        <f>IF($AS1255="","",Config!$B$11)</f>
        <v/>
      </c>
      <c r="I1255" t="str">
        <f>IF($AS1255="","",Config!$B$16)</f>
        <v/>
      </c>
      <c r="J1255" t="str">
        <f>IF($AS1255="","",INDEX('TMP Paste'!$A$2:$A$1601,$AS1255))</f>
        <v/>
      </c>
      <c r="K1255" t="str">
        <f>IF($AS1255="","",INDEX('TMP Paste'!$L$2:$L$1601,$AS1255))</f>
        <v/>
      </c>
      <c r="L1255" t="str">
        <f>IF($AS1255="","",INDEX('TMP Paste'!$I$2:$I$1601,$AS1255))</f>
        <v/>
      </c>
      <c r="M1255" t="str">
        <f>IF($AS1255="","",Config!$B$16)</f>
        <v/>
      </c>
      <c r="N1255" t="str">
        <f t="shared" si="114"/>
        <v/>
      </c>
      <c r="O1255" t="str">
        <f>IF($AS1255="","",INDEX('TMP Paste'!$K$2:$K$1601,$AS1255))</f>
        <v/>
      </c>
      <c r="P1255" t="str">
        <f t="shared" si="115"/>
        <v/>
      </c>
      <c r="Q1255" t="str">
        <f>IF($AS1255="","",INDEX('TMP Paste'!$J$2:$J$1601,$AS1255))</f>
        <v/>
      </c>
      <c r="R1255" t="str">
        <f>IF($AS1255="","",Config!$B$24)</f>
        <v/>
      </c>
      <c r="S1255" t="str">
        <f ca="1">IF($AS1255="","",TEXT(Config!$B$4,"yyyy-mm-dd"))</f>
        <v/>
      </c>
      <c r="T1255" t="str">
        <f>IF($AS1255="","",Config!$B$17)</f>
        <v/>
      </c>
      <c r="U1255" t="str">
        <f>IF($AS1255="","",Config!$B$18)</f>
        <v/>
      </c>
      <c r="V1255" t="str">
        <f>IF($AS1255="","",Config!$B$19)</f>
        <v/>
      </c>
      <c r="W1255" t="str">
        <f>IF($AS1255="","",INDEX('TMP Paste'!$C$2:$C$1601,$AS1255))</f>
        <v/>
      </c>
      <c r="X1255" t="str">
        <f>IF($AS1255="","",Config!$B$29)</f>
        <v/>
      </c>
      <c r="Y1255" t="str">
        <f>IF($AT1255="","",INDEX(Calc!$I$2:$I$1601,$AT1255)&amp;" - "&amp;INDEX(Calc!$D$2:$D$1601,$AT1255)&amp;" koli")</f>
        <v/>
      </c>
      <c r="Z1255" t="str">
        <f>IF($AS1255="","",Config!$B$21)</f>
        <v/>
      </c>
      <c r="AA1255" t="str">
        <f>IF($AS1255="","",Config!$B$22)</f>
        <v/>
      </c>
      <c r="AB1255" t="str">
        <f>IF($AT1255="","",INDEX(Calc!$D$2:$D$1601,$AT1255))</f>
        <v/>
      </c>
      <c r="AC1255" t="str">
        <f>IF($AT1255="","",INDEX(Calc!$G$2:$G$1601,$AT1255))</f>
        <v/>
      </c>
      <c r="AD1255" t="str">
        <f>IF($AS1255="","",Config!$B$23)</f>
        <v/>
      </c>
      <c r="AE1255" t="str">
        <f>IF($AS1255="","",Config!$B$28)</f>
        <v/>
      </c>
      <c r="AF1255" t="str">
        <f t="shared" si="116"/>
        <v/>
      </c>
      <c r="AG1255" t="str">
        <f t="shared" si="117"/>
        <v/>
      </c>
      <c r="AH1255" t="str">
        <f t="shared" si="118"/>
        <v/>
      </c>
      <c r="AI1255" t="str">
        <f>IF($AG1255="","",SUMIF($AG$2:$AG1255,$AG1255,$AH$2:$AH1255))</f>
        <v/>
      </c>
      <c r="AJ1255" t="str">
        <f>IF('TMP Paste'!$F1255="","",IF('TMP Paste'!$B1255="",$AJ1254,'TMP Paste'!$B1255))</f>
        <v/>
      </c>
      <c r="AK1255" t="str">
        <f>IF('TMP Paste'!$F1255="","",N('TMP Paste'!$G1255))</f>
        <v/>
      </c>
      <c r="AL1255" t="str">
        <f>IF('TMP Paste'!$F1255="","",IF('TMP Paste'!$M1255="",$AL1254,'TMP Paste'!$M1255))</f>
        <v/>
      </c>
      <c r="AM1255" t="str">
        <f>IF('TMP Paste'!$F1255="","",IF('TMP Paste'!$N1255="",$AM1254,'TMP Paste'!$N1255))</f>
        <v/>
      </c>
      <c r="AN1255" t="str">
        <f>IF('TMP Paste'!$F1255="","",IF('TMP Paste'!$O1255="",$AN1254,'TMP Paste'!$O1255))</f>
        <v/>
      </c>
      <c r="AO1255" t="str">
        <f>IF('TMP Paste'!$F1255="","",IF('TMP Paste'!$P1255="",$AO1254,'TMP Paste'!$P1255))</f>
        <v/>
      </c>
      <c r="AP1255" t="str">
        <f t="shared" si="119"/>
        <v/>
      </c>
      <c r="AQ1255" t="str">
        <f>IF($AS1255="","",TRIM(IF(COUNTIFS(Calc!$B$2:$B$1601,ROW()-1,Calc!$C$2:$C$1601,"&lt;1")&gt;0,"Ada PO tanpa Koli - cek TMP. ","")&amp;IF(OR($AU1255="",$AU1255&lt;=0),"Volume kosong/0 - dimensi dikosongkan. ","")&amp;IF(AND($AU1255&lt;&gt;"",$AU1255&gt;=1000000),"Volume &gt;= 1.000.000 cm3 (di luar aturan) - dimensi dikosongkan. ","")&amp;IF(LEN($R1255)&gt;500,"R &gt; 500 karakter.","")))</f>
        <v/>
      </c>
      <c r="AS1255" t="str">
        <f>IFERROR(MATCH(ROW()-1,Calc!$J$2:$J$1601,0),"")</f>
        <v/>
      </c>
      <c r="AT1255" t="str">
        <f>IFERROR(MATCH(ROW()-1,Calc!$K$2:$K$1601,0),"")</f>
        <v/>
      </c>
      <c r="AU1255" t="str">
        <f>IF($AS1255="","",IFERROR(INDEX('TMP Paste'!$D$2:$D$1601,$AS1255)*1000000/$AB1255,""))</f>
        <v/>
      </c>
    </row>
    <row r="1256" spans="1:47">
      <c r="A1256" t="str">
        <f>IF($AS1256="","",INDEX('TMP Paste'!$B$2:$B$1601,$AS1256))</f>
        <v/>
      </c>
      <c r="B1256" t="str">
        <f>IF($AS1256="","",Config!$B$14)</f>
        <v/>
      </c>
      <c r="C1256" t="str">
        <f>IF($AS1256="","",Config!$B$15)</f>
        <v/>
      </c>
      <c r="D1256" t="str">
        <f>IF($AS1256="","",INDEX('TMP Paste'!$B$2:$B$1601,$AS1256))</f>
        <v/>
      </c>
      <c r="E1256" t="str">
        <f>IF($AS1256="","",Config!$B$27)</f>
        <v/>
      </c>
      <c r="F1256" t="str">
        <f>IF($AS1256="","",Config!$B$9)</f>
        <v/>
      </c>
      <c r="G1256" t="str">
        <f>IF($AS1256="","",Config!$B$10)</f>
        <v/>
      </c>
      <c r="H1256" t="str">
        <f>IF($AS1256="","",Config!$B$11)</f>
        <v/>
      </c>
      <c r="I1256" t="str">
        <f>IF($AS1256="","",Config!$B$16)</f>
        <v/>
      </c>
      <c r="J1256" t="str">
        <f>IF($AS1256="","",INDEX('TMP Paste'!$A$2:$A$1601,$AS1256))</f>
        <v/>
      </c>
      <c r="K1256" t="str">
        <f>IF($AS1256="","",INDEX('TMP Paste'!$L$2:$L$1601,$AS1256))</f>
        <v/>
      </c>
      <c r="L1256" t="str">
        <f>IF($AS1256="","",INDEX('TMP Paste'!$I$2:$I$1601,$AS1256))</f>
        <v/>
      </c>
      <c r="M1256" t="str">
        <f>IF($AS1256="","",Config!$B$16)</f>
        <v/>
      </c>
      <c r="N1256" t="str">
        <f t="shared" si="114"/>
        <v/>
      </c>
      <c r="O1256" t="str">
        <f>IF($AS1256="","",INDEX('TMP Paste'!$K$2:$K$1601,$AS1256))</f>
        <v/>
      </c>
      <c r="P1256" t="str">
        <f t="shared" si="115"/>
        <v/>
      </c>
      <c r="Q1256" t="str">
        <f>IF($AS1256="","",INDEX('TMP Paste'!$J$2:$J$1601,$AS1256))</f>
        <v/>
      </c>
      <c r="R1256" t="str">
        <f>IF($AS1256="","",Config!$B$24)</f>
        <v/>
      </c>
      <c r="S1256" t="str">
        <f ca="1">IF($AS1256="","",TEXT(Config!$B$4,"yyyy-mm-dd"))</f>
        <v/>
      </c>
      <c r="T1256" t="str">
        <f>IF($AS1256="","",Config!$B$17)</f>
        <v/>
      </c>
      <c r="U1256" t="str">
        <f>IF($AS1256="","",Config!$B$18)</f>
        <v/>
      </c>
      <c r="V1256" t="str">
        <f>IF($AS1256="","",Config!$B$19)</f>
        <v/>
      </c>
      <c r="W1256" t="str">
        <f>IF($AS1256="","",INDEX('TMP Paste'!$C$2:$C$1601,$AS1256))</f>
        <v/>
      </c>
      <c r="X1256" t="str">
        <f>IF($AS1256="","",Config!$B$29)</f>
        <v/>
      </c>
      <c r="Y1256" t="str">
        <f>IF($AT1256="","",INDEX(Calc!$I$2:$I$1601,$AT1256)&amp;" - "&amp;INDEX(Calc!$D$2:$D$1601,$AT1256)&amp;" koli")</f>
        <v/>
      </c>
      <c r="Z1256" t="str">
        <f>IF($AS1256="","",Config!$B$21)</f>
        <v/>
      </c>
      <c r="AA1256" t="str">
        <f>IF($AS1256="","",Config!$B$22)</f>
        <v/>
      </c>
      <c r="AB1256" t="str">
        <f>IF($AT1256="","",INDEX(Calc!$D$2:$D$1601,$AT1256))</f>
        <v/>
      </c>
      <c r="AC1256" t="str">
        <f>IF($AT1256="","",INDEX(Calc!$G$2:$G$1601,$AT1256))</f>
        <v/>
      </c>
      <c r="AD1256" t="str">
        <f>IF($AS1256="","",Config!$B$23)</f>
        <v/>
      </c>
      <c r="AE1256" t="str">
        <f>IF($AS1256="","",Config!$B$28)</f>
        <v/>
      </c>
      <c r="AF1256" t="str">
        <f t="shared" si="116"/>
        <v/>
      </c>
      <c r="AG1256" t="str">
        <f t="shared" si="117"/>
        <v/>
      </c>
      <c r="AH1256" t="str">
        <f t="shared" si="118"/>
        <v/>
      </c>
      <c r="AI1256" t="str">
        <f>IF($AG1256="","",SUMIF($AG$2:$AG1256,$AG1256,$AH$2:$AH1256))</f>
        <v/>
      </c>
      <c r="AJ1256" t="str">
        <f>IF('TMP Paste'!$F1256="","",IF('TMP Paste'!$B1256="",$AJ1255,'TMP Paste'!$B1256))</f>
        <v/>
      </c>
      <c r="AK1256" t="str">
        <f>IF('TMP Paste'!$F1256="","",N('TMP Paste'!$G1256))</f>
        <v/>
      </c>
      <c r="AL1256" t="str">
        <f>IF('TMP Paste'!$F1256="","",IF('TMP Paste'!$M1256="",$AL1255,'TMP Paste'!$M1256))</f>
        <v/>
      </c>
      <c r="AM1256" t="str">
        <f>IF('TMP Paste'!$F1256="","",IF('TMP Paste'!$N1256="",$AM1255,'TMP Paste'!$N1256))</f>
        <v/>
      </c>
      <c r="AN1256" t="str">
        <f>IF('TMP Paste'!$F1256="","",IF('TMP Paste'!$O1256="",$AN1255,'TMP Paste'!$O1256))</f>
        <v/>
      </c>
      <c r="AO1256" t="str">
        <f>IF('TMP Paste'!$F1256="","",IF('TMP Paste'!$P1256="",$AO1255,'TMP Paste'!$P1256))</f>
        <v/>
      </c>
      <c r="AP1256" t="str">
        <f t="shared" si="119"/>
        <v/>
      </c>
      <c r="AQ1256" t="str">
        <f>IF($AS1256="","",TRIM(IF(COUNTIFS(Calc!$B$2:$B$1601,ROW()-1,Calc!$C$2:$C$1601,"&lt;1")&gt;0,"Ada PO tanpa Koli - cek TMP. ","")&amp;IF(OR($AU1256="",$AU1256&lt;=0),"Volume kosong/0 - dimensi dikosongkan. ","")&amp;IF(AND($AU1256&lt;&gt;"",$AU1256&gt;=1000000),"Volume &gt;= 1.000.000 cm3 (di luar aturan) - dimensi dikosongkan. ","")&amp;IF(LEN($R1256)&gt;500,"R &gt; 500 karakter.","")))</f>
        <v/>
      </c>
      <c r="AS1256" t="str">
        <f>IFERROR(MATCH(ROW()-1,Calc!$J$2:$J$1601,0),"")</f>
        <v/>
      </c>
      <c r="AT1256" t="str">
        <f>IFERROR(MATCH(ROW()-1,Calc!$K$2:$K$1601,0),"")</f>
        <v/>
      </c>
      <c r="AU1256" t="str">
        <f>IF($AS1256="","",IFERROR(INDEX('TMP Paste'!$D$2:$D$1601,$AS1256)*1000000/$AB1256,""))</f>
        <v/>
      </c>
    </row>
    <row r="1257" spans="1:47">
      <c r="A1257" t="str">
        <f>IF($AS1257="","",INDEX('TMP Paste'!$B$2:$B$1601,$AS1257))</f>
        <v/>
      </c>
      <c r="B1257" t="str">
        <f>IF($AS1257="","",Config!$B$14)</f>
        <v/>
      </c>
      <c r="C1257" t="str">
        <f>IF($AS1257="","",Config!$B$15)</f>
        <v/>
      </c>
      <c r="D1257" t="str">
        <f>IF($AS1257="","",INDEX('TMP Paste'!$B$2:$B$1601,$AS1257))</f>
        <v/>
      </c>
      <c r="E1257" t="str">
        <f>IF($AS1257="","",Config!$B$27)</f>
        <v/>
      </c>
      <c r="F1257" t="str">
        <f>IF($AS1257="","",Config!$B$9)</f>
        <v/>
      </c>
      <c r="G1257" t="str">
        <f>IF($AS1257="","",Config!$B$10)</f>
        <v/>
      </c>
      <c r="H1257" t="str">
        <f>IF($AS1257="","",Config!$B$11)</f>
        <v/>
      </c>
      <c r="I1257" t="str">
        <f>IF($AS1257="","",Config!$B$16)</f>
        <v/>
      </c>
      <c r="J1257" t="str">
        <f>IF($AS1257="","",INDEX('TMP Paste'!$A$2:$A$1601,$AS1257))</f>
        <v/>
      </c>
      <c r="K1257" t="str">
        <f>IF($AS1257="","",INDEX('TMP Paste'!$L$2:$L$1601,$AS1257))</f>
        <v/>
      </c>
      <c r="L1257" t="str">
        <f>IF($AS1257="","",INDEX('TMP Paste'!$I$2:$I$1601,$AS1257))</f>
        <v/>
      </c>
      <c r="M1257" t="str">
        <f>IF($AS1257="","",Config!$B$16)</f>
        <v/>
      </c>
      <c r="N1257" t="str">
        <f t="shared" si="114"/>
        <v/>
      </c>
      <c r="O1257" t="str">
        <f>IF($AS1257="","",INDEX('TMP Paste'!$K$2:$K$1601,$AS1257))</f>
        <v/>
      </c>
      <c r="P1257" t="str">
        <f t="shared" si="115"/>
        <v/>
      </c>
      <c r="Q1257" t="str">
        <f>IF($AS1257="","",INDEX('TMP Paste'!$J$2:$J$1601,$AS1257))</f>
        <v/>
      </c>
      <c r="R1257" t="str">
        <f>IF($AS1257="","",Config!$B$24)</f>
        <v/>
      </c>
      <c r="S1257" t="str">
        <f ca="1">IF($AS1257="","",TEXT(Config!$B$4,"yyyy-mm-dd"))</f>
        <v/>
      </c>
      <c r="T1257" t="str">
        <f>IF($AS1257="","",Config!$B$17)</f>
        <v/>
      </c>
      <c r="U1257" t="str">
        <f>IF($AS1257="","",Config!$B$18)</f>
        <v/>
      </c>
      <c r="V1257" t="str">
        <f>IF($AS1257="","",Config!$B$19)</f>
        <v/>
      </c>
      <c r="W1257" t="str">
        <f>IF($AS1257="","",INDEX('TMP Paste'!$C$2:$C$1601,$AS1257))</f>
        <v/>
      </c>
      <c r="X1257" t="str">
        <f>IF($AS1257="","",Config!$B$29)</f>
        <v/>
      </c>
      <c r="Y1257" t="str">
        <f>IF($AT1257="","",INDEX(Calc!$I$2:$I$1601,$AT1257)&amp;" - "&amp;INDEX(Calc!$D$2:$D$1601,$AT1257)&amp;" koli")</f>
        <v/>
      </c>
      <c r="Z1257" t="str">
        <f>IF($AS1257="","",Config!$B$21)</f>
        <v/>
      </c>
      <c r="AA1257" t="str">
        <f>IF($AS1257="","",Config!$B$22)</f>
        <v/>
      </c>
      <c r="AB1257" t="str">
        <f>IF($AT1257="","",INDEX(Calc!$D$2:$D$1601,$AT1257))</f>
        <v/>
      </c>
      <c r="AC1257" t="str">
        <f>IF($AT1257="","",INDEX(Calc!$G$2:$G$1601,$AT1257))</f>
        <v/>
      </c>
      <c r="AD1257" t="str">
        <f>IF($AS1257="","",Config!$B$23)</f>
        <v/>
      </c>
      <c r="AE1257" t="str">
        <f>IF($AS1257="","",Config!$B$28)</f>
        <v/>
      </c>
      <c r="AF1257" t="str">
        <f t="shared" si="116"/>
        <v/>
      </c>
      <c r="AG1257" t="str">
        <f t="shared" si="117"/>
        <v/>
      </c>
      <c r="AH1257" t="str">
        <f t="shared" si="118"/>
        <v/>
      </c>
      <c r="AI1257" t="str">
        <f>IF($AG1257="","",SUMIF($AG$2:$AG1257,$AG1257,$AH$2:$AH1257))</f>
        <v/>
      </c>
      <c r="AJ1257" t="str">
        <f>IF('TMP Paste'!$F1257="","",IF('TMP Paste'!$B1257="",$AJ1256,'TMP Paste'!$B1257))</f>
        <v/>
      </c>
      <c r="AK1257" t="str">
        <f>IF('TMP Paste'!$F1257="","",N('TMP Paste'!$G1257))</f>
        <v/>
      </c>
      <c r="AL1257" t="str">
        <f>IF('TMP Paste'!$F1257="","",IF('TMP Paste'!$M1257="",$AL1256,'TMP Paste'!$M1257))</f>
        <v/>
      </c>
      <c r="AM1257" t="str">
        <f>IF('TMP Paste'!$F1257="","",IF('TMP Paste'!$N1257="",$AM1256,'TMP Paste'!$N1257))</f>
        <v/>
      </c>
      <c r="AN1257" t="str">
        <f>IF('TMP Paste'!$F1257="","",IF('TMP Paste'!$O1257="",$AN1256,'TMP Paste'!$O1257))</f>
        <v/>
      </c>
      <c r="AO1257" t="str">
        <f>IF('TMP Paste'!$F1257="","",IF('TMP Paste'!$P1257="",$AO1256,'TMP Paste'!$P1257))</f>
        <v/>
      </c>
      <c r="AP1257" t="str">
        <f t="shared" si="119"/>
        <v/>
      </c>
      <c r="AQ1257" t="str">
        <f>IF($AS1257="","",TRIM(IF(COUNTIFS(Calc!$B$2:$B$1601,ROW()-1,Calc!$C$2:$C$1601,"&lt;1")&gt;0,"Ada PO tanpa Koli - cek TMP. ","")&amp;IF(OR($AU1257="",$AU1257&lt;=0),"Volume kosong/0 - dimensi dikosongkan. ","")&amp;IF(AND($AU1257&lt;&gt;"",$AU1257&gt;=1000000),"Volume &gt;= 1.000.000 cm3 (di luar aturan) - dimensi dikosongkan. ","")&amp;IF(LEN($R1257)&gt;500,"R &gt; 500 karakter.","")))</f>
        <v/>
      </c>
      <c r="AS1257" t="str">
        <f>IFERROR(MATCH(ROW()-1,Calc!$J$2:$J$1601,0),"")</f>
        <v/>
      </c>
      <c r="AT1257" t="str">
        <f>IFERROR(MATCH(ROW()-1,Calc!$K$2:$K$1601,0),"")</f>
        <v/>
      </c>
      <c r="AU1257" t="str">
        <f>IF($AS1257="","",IFERROR(INDEX('TMP Paste'!$D$2:$D$1601,$AS1257)*1000000/$AB1257,""))</f>
        <v/>
      </c>
    </row>
    <row r="1258" spans="1:47">
      <c r="A1258" t="str">
        <f>IF($AS1258="","",INDEX('TMP Paste'!$B$2:$B$1601,$AS1258))</f>
        <v/>
      </c>
      <c r="B1258" t="str">
        <f>IF($AS1258="","",Config!$B$14)</f>
        <v/>
      </c>
      <c r="C1258" t="str">
        <f>IF($AS1258="","",Config!$B$15)</f>
        <v/>
      </c>
      <c r="D1258" t="str">
        <f>IF($AS1258="","",INDEX('TMP Paste'!$B$2:$B$1601,$AS1258))</f>
        <v/>
      </c>
      <c r="E1258" t="str">
        <f>IF($AS1258="","",Config!$B$27)</f>
        <v/>
      </c>
      <c r="F1258" t="str">
        <f>IF($AS1258="","",Config!$B$9)</f>
        <v/>
      </c>
      <c r="G1258" t="str">
        <f>IF($AS1258="","",Config!$B$10)</f>
        <v/>
      </c>
      <c r="H1258" t="str">
        <f>IF($AS1258="","",Config!$B$11)</f>
        <v/>
      </c>
      <c r="I1258" t="str">
        <f>IF($AS1258="","",Config!$B$16)</f>
        <v/>
      </c>
      <c r="J1258" t="str">
        <f>IF($AS1258="","",INDEX('TMP Paste'!$A$2:$A$1601,$AS1258))</f>
        <v/>
      </c>
      <c r="K1258" t="str">
        <f>IF($AS1258="","",INDEX('TMP Paste'!$L$2:$L$1601,$AS1258))</f>
        <v/>
      </c>
      <c r="L1258" t="str">
        <f>IF($AS1258="","",INDEX('TMP Paste'!$I$2:$I$1601,$AS1258))</f>
        <v/>
      </c>
      <c r="M1258" t="str">
        <f>IF($AS1258="","",Config!$B$16)</f>
        <v/>
      </c>
      <c r="N1258" t="str">
        <f t="shared" si="114"/>
        <v/>
      </c>
      <c r="O1258" t="str">
        <f>IF($AS1258="","",INDEX('TMP Paste'!$K$2:$K$1601,$AS1258))</f>
        <v/>
      </c>
      <c r="P1258" t="str">
        <f t="shared" si="115"/>
        <v/>
      </c>
      <c r="Q1258" t="str">
        <f>IF($AS1258="","",INDEX('TMP Paste'!$J$2:$J$1601,$AS1258))</f>
        <v/>
      </c>
      <c r="R1258" t="str">
        <f>IF($AS1258="","",Config!$B$24)</f>
        <v/>
      </c>
      <c r="S1258" t="str">
        <f ca="1">IF($AS1258="","",TEXT(Config!$B$4,"yyyy-mm-dd"))</f>
        <v/>
      </c>
      <c r="T1258" t="str">
        <f>IF($AS1258="","",Config!$B$17)</f>
        <v/>
      </c>
      <c r="U1258" t="str">
        <f>IF($AS1258="","",Config!$B$18)</f>
        <v/>
      </c>
      <c r="V1258" t="str">
        <f>IF($AS1258="","",Config!$B$19)</f>
        <v/>
      </c>
      <c r="W1258" t="str">
        <f>IF($AS1258="","",INDEX('TMP Paste'!$C$2:$C$1601,$AS1258))</f>
        <v/>
      </c>
      <c r="X1258" t="str">
        <f>IF($AS1258="","",Config!$B$29)</f>
        <v/>
      </c>
      <c r="Y1258" t="str">
        <f>IF($AT1258="","",INDEX(Calc!$I$2:$I$1601,$AT1258)&amp;" - "&amp;INDEX(Calc!$D$2:$D$1601,$AT1258)&amp;" koli")</f>
        <v/>
      </c>
      <c r="Z1258" t="str">
        <f>IF($AS1258="","",Config!$B$21)</f>
        <v/>
      </c>
      <c r="AA1258" t="str">
        <f>IF($AS1258="","",Config!$B$22)</f>
        <v/>
      </c>
      <c r="AB1258" t="str">
        <f>IF($AT1258="","",INDEX(Calc!$D$2:$D$1601,$AT1258))</f>
        <v/>
      </c>
      <c r="AC1258" t="str">
        <f>IF($AT1258="","",INDEX(Calc!$G$2:$G$1601,$AT1258))</f>
        <v/>
      </c>
      <c r="AD1258" t="str">
        <f>IF($AS1258="","",Config!$B$23)</f>
        <v/>
      </c>
      <c r="AE1258" t="str">
        <f>IF($AS1258="","",Config!$B$28)</f>
        <v/>
      </c>
      <c r="AF1258" t="str">
        <f t="shared" si="116"/>
        <v/>
      </c>
      <c r="AG1258" t="str">
        <f t="shared" si="117"/>
        <v/>
      </c>
      <c r="AH1258" t="str">
        <f t="shared" si="118"/>
        <v/>
      </c>
      <c r="AI1258" t="str">
        <f>IF($AG1258="","",SUMIF($AG$2:$AG1258,$AG1258,$AH$2:$AH1258))</f>
        <v/>
      </c>
      <c r="AJ1258" t="str">
        <f>IF('TMP Paste'!$F1258="","",IF('TMP Paste'!$B1258="",$AJ1257,'TMP Paste'!$B1258))</f>
        <v/>
      </c>
      <c r="AK1258" t="str">
        <f>IF('TMP Paste'!$F1258="","",N('TMP Paste'!$G1258))</f>
        <v/>
      </c>
      <c r="AL1258" t="str">
        <f>IF('TMP Paste'!$F1258="","",IF('TMP Paste'!$M1258="",$AL1257,'TMP Paste'!$M1258))</f>
        <v/>
      </c>
      <c r="AM1258" t="str">
        <f>IF('TMP Paste'!$F1258="","",IF('TMP Paste'!$N1258="",$AM1257,'TMP Paste'!$N1258))</f>
        <v/>
      </c>
      <c r="AN1258" t="str">
        <f>IF('TMP Paste'!$F1258="","",IF('TMP Paste'!$O1258="",$AN1257,'TMP Paste'!$O1258))</f>
        <v/>
      </c>
      <c r="AO1258" t="str">
        <f>IF('TMP Paste'!$F1258="","",IF('TMP Paste'!$P1258="",$AO1257,'TMP Paste'!$P1258))</f>
        <v/>
      </c>
      <c r="AP1258" t="str">
        <f t="shared" si="119"/>
        <v/>
      </c>
      <c r="AQ1258" t="str">
        <f>IF($AS1258="","",TRIM(IF(COUNTIFS(Calc!$B$2:$B$1601,ROW()-1,Calc!$C$2:$C$1601,"&lt;1")&gt;0,"Ada PO tanpa Koli - cek TMP. ","")&amp;IF(OR($AU1258="",$AU1258&lt;=0),"Volume kosong/0 - dimensi dikosongkan. ","")&amp;IF(AND($AU1258&lt;&gt;"",$AU1258&gt;=1000000),"Volume &gt;= 1.000.000 cm3 (di luar aturan) - dimensi dikosongkan. ","")&amp;IF(LEN($R1258)&gt;500,"R &gt; 500 karakter.","")))</f>
        <v/>
      </c>
      <c r="AS1258" t="str">
        <f>IFERROR(MATCH(ROW()-1,Calc!$J$2:$J$1601,0),"")</f>
        <v/>
      </c>
      <c r="AT1258" t="str">
        <f>IFERROR(MATCH(ROW()-1,Calc!$K$2:$K$1601,0),"")</f>
        <v/>
      </c>
      <c r="AU1258" t="str">
        <f>IF($AS1258="","",IFERROR(INDEX('TMP Paste'!$D$2:$D$1601,$AS1258)*1000000/$AB1258,""))</f>
        <v/>
      </c>
    </row>
    <row r="1259" spans="1:47">
      <c r="A1259" t="str">
        <f>IF($AS1259="","",INDEX('TMP Paste'!$B$2:$B$1601,$AS1259))</f>
        <v/>
      </c>
      <c r="B1259" t="str">
        <f>IF($AS1259="","",Config!$B$14)</f>
        <v/>
      </c>
      <c r="C1259" t="str">
        <f>IF($AS1259="","",Config!$B$15)</f>
        <v/>
      </c>
      <c r="D1259" t="str">
        <f>IF($AS1259="","",INDEX('TMP Paste'!$B$2:$B$1601,$AS1259))</f>
        <v/>
      </c>
      <c r="E1259" t="str">
        <f>IF($AS1259="","",Config!$B$27)</f>
        <v/>
      </c>
      <c r="F1259" t="str">
        <f>IF($AS1259="","",Config!$B$9)</f>
        <v/>
      </c>
      <c r="G1259" t="str">
        <f>IF($AS1259="","",Config!$B$10)</f>
        <v/>
      </c>
      <c r="H1259" t="str">
        <f>IF($AS1259="","",Config!$B$11)</f>
        <v/>
      </c>
      <c r="I1259" t="str">
        <f>IF($AS1259="","",Config!$B$16)</f>
        <v/>
      </c>
      <c r="J1259" t="str">
        <f>IF($AS1259="","",INDEX('TMP Paste'!$A$2:$A$1601,$AS1259))</f>
        <v/>
      </c>
      <c r="K1259" t="str">
        <f>IF($AS1259="","",INDEX('TMP Paste'!$L$2:$L$1601,$AS1259))</f>
        <v/>
      </c>
      <c r="L1259" t="str">
        <f>IF($AS1259="","",INDEX('TMP Paste'!$I$2:$I$1601,$AS1259))</f>
        <v/>
      </c>
      <c r="M1259" t="str">
        <f>IF($AS1259="","",Config!$B$16)</f>
        <v/>
      </c>
      <c r="N1259" t="str">
        <f t="shared" si="114"/>
        <v/>
      </c>
      <c r="O1259" t="str">
        <f>IF($AS1259="","",INDEX('TMP Paste'!$K$2:$K$1601,$AS1259))</f>
        <v/>
      </c>
      <c r="P1259" t="str">
        <f t="shared" si="115"/>
        <v/>
      </c>
      <c r="Q1259" t="str">
        <f>IF($AS1259="","",INDEX('TMP Paste'!$J$2:$J$1601,$AS1259))</f>
        <v/>
      </c>
      <c r="R1259" t="str">
        <f>IF($AS1259="","",Config!$B$24)</f>
        <v/>
      </c>
      <c r="S1259" t="str">
        <f ca="1">IF($AS1259="","",TEXT(Config!$B$4,"yyyy-mm-dd"))</f>
        <v/>
      </c>
      <c r="T1259" t="str">
        <f>IF($AS1259="","",Config!$B$17)</f>
        <v/>
      </c>
      <c r="U1259" t="str">
        <f>IF($AS1259="","",Config!$B$18)</f>
        <v/>
      </c>
      <c r="V1259" t="str">
        <f>IF($AS1259="","",Config!$B$19)</f>
        <v/>
      </c>
      <c r="W1259" t="str">
        <f>IF($AS1259="","",INDEX('TMP Paste'!$C$2:$C$1601,$AS1259))</f>
        <v/>
      </c>
      <c r="X1259" t="str">
        <f>IF($AS1259="","",Config!$B$29)</f>
        <v/>
      </c>
      <c r="Y1259" t="str">
        <f>IF($AT1259="","",INDEX(Calc!$I$2:$I$1601,$AT1259)&amp;" - "&amp;INDEX(Calc!$D$2:$D$1601,$AT1259)&amp;" koli")</f>
        <v/>
      </c>
      <c r="Z1259" t="str">
        <f>IF($AS1259="","",Config!$B$21)</f>
        <v/>
      </c>
      <c r="AA1259" t="str">
        <f>IF($AS1259="","",Config!$B$22)</f>
        <v/>
      </c>
      <c r="AB1259" t="str">
        <f>IF($AT1259="","",INDEX(Calc!$D$2:$D$1601,$AT1259))</f>
        <v/>
      </c>
      <c r="AC1259" t="str">
        <f>IF($AT1259="","",INDEX(Calc!$G$2:$G$1601,$AT1259))</f>
        <v/>
      </c>
      <c r="AD1259" t="str">
        <f>IF($AS1259="","",Config!$B$23)</f>
        <v/>
      </c>
      <c r="AE1259" t="str">
        <f>IF($AS1259="","",Config!$B$28)</f>
        <v/>
      </c>
      <c r="AF1259" t="str">
        <f t="shared" si="116"/>
        <v/>
      </c>
      <c r="AG1259" t="str">
        <f t="shared" si="117"/>
        <v/>
      </c>
      <c r="AH1259" t="str">
        <f t="shared" si="118"/>
        <v/>
      </c>
      <c r="AI1259" t="str">
        <f>IF($AG1259="","",SUMIF($AG$2:$AG1259,$AG1259,$AH$2:$AH1259))</f>
        <v/>
      </c>
      <c r="AJ1259" t="str">
        <f>IF('TMP Paste'!$F1259="","",IF('TMP Paste'!$B1259="",$AJ1258,'TMP Paste'!$B1259))</f>
        <v/>
      </c>
      <c r="AK1259" t="str">
        <f>IF('TMP Paste'!$F1259="","",N('TMP Paste'!$G1259))</f>
        <v/>
      </c>
      <c r="AL1259" t="str">
        <f>IF('TMP Paste'!$F1259="","",IF('TMP Paste'!$M1259="",$AL1258,'TMP Paste'!$M1259))</f>
        <v/>
      </c>
      <c r="AM1259" t="str">
        <f>IF('TMP Paste'!$F1259="","",IF('TMP Paste'!$N1259="",$AM1258,'TMP Paste'!$N1259))</f>
        <v/>
      </c>
      <c r="AN1259" t="str">
        <f>IF('TMP Paste'!$F1259="","",IF('TMP Paste'!$O1259="",$AN1258,'TMP Paste'!$O1259))</f>
        <v/>
      </c>
      <c r="AO1259" t="str">
        <f>IF('TMP Paste'!$F1259="","",IF('TMP Paste'!$P1259="",$AO1258,'TMP Paste'!$P1259))</f>
        <v/>
      </c>
      <c r="AP1259" t="str">
        <f t="shared" si="119"/>
        <v/>
      </c>
      <c r="AQ1259" t="str">
        <f>IF($AS1259="","",TRIM(IF(COUNTIFS(Calc!$B$2:$B$1601,ROW()-1,Calc!$C$2:$C$1601,"&lt;1")&gt;0,"Ada PO tanpa Koli - cek TMP. ","")&amp;IF(OR($AU1259="",$AU1259&lt;=0),"Volume kosong/0 - dimensi dikosongkan. ","")&amp;IF(AND($AU1259&lt;&gt;"",$AU1259&gt;=1000000),"Volume &gt;= 1.000.000 cm3 (di luar aturan) - dimensi dikosongkan. ","")&amp;IF(LEN($R1259)&gt;500,"R &gt; 500 karakter.","")))</f>
        <v/>
      </c>
      <c r="AS1259" t="str">
        <f>IFERROR(MATCH(ROW()-1,Calc!$J$2:$J$1601,0),"")</f>
        <v/>
      </c>
      <c r="AT1259" t="str">
        <f>IFERROR(MATCH(ROW()-1,Calc!$K$2:$K$1601,0),"")</f>
        <v/>
      </c>
      <c r="AU1259" t="str">
        <f>IF($AS1259="","",IFERROR(INDEX('TMP Paste'!$D$2:$D$1601,$AS1259)*1000000/$AB1259,""))</f>
        <v/>
      </c>
    </row>
    <row r="1260" spans="1:47">
      <c r="A1260" t="str">
        <f>IF($AS1260="","",INDEX('TMP Paste'!$B$2:$B$1601,$AS1260))</f>
        <v/>
      </c>
      <c r="B1260" t="str">
        <f>IF($AS1260="","",Config!$B$14)</f>
        <v/>
      </c>
      <c r="C1260" t="str">
        <f>IF($AS1260="","",Config!$B$15)</f>
        <v/>
      </c>
      <c r="D1260" t="str">
        <f>IF($AS1260="","",INDEX('TMP Paste'!$B$2:$B$1601,$AS1260))</f>
        <v/>
      </c>
      <c r="E1260" t="str">
        <f>IF($AS1260="","",Config!$B$27)</f>
        <v/>
      </c>
      <c r="F1260" t="str">
        <f>IF($AS1260="","",Config!$B$9)</f>
        <v/>
      </c>
      <c r="G1260" t="str">
        <f>IF($AS1260="","",Config!$B$10)</f>
        <v/>
      </c>
      <c r="H1260" t="str">
        <f>IF($AS1260="","",Config!$B$11)</f>
        <v/>
      </c>
      <c r="I1260" t="str">
        <f>IF($AS1260="","",Config!$B$16)</f>
        <v/>
      </c>
      <c r="J1260" t="str">
        <f>IF($AS1260="","",INDEX('TMP Paste'!$A$2:$A$1601,$AS1260))</f>
        <v/>
      </c>
      <c r="K1260" t="str">
        <f>IF($AS1260="","",INDEX('TMP Paste'!$L$2:$L$1601,$AS1260))</f>
        <v/>
      </c>
      <c r="L1260" t="str">
        <f>IF($AS1260="","",INDEX('TMP Paste'!$I$2:$I$1601,$AS1260))</f>
        <v/>
      </c>
      <c r="M1260" t="str">
        <f>IF($AS1260="","",Config!$B$16)</f>
        <v/>
      </c>
      <c r="N1260" t="str">
        <f t="shared" si="114"/>
        <v/>
      </c>
      <c r="O1260" t="str">
        <f>IF($AS1260="","",INDEX('TMP Paste'!$K$2:$K$1601,$AS1260))</f>
        <v/>
      </c>
      <c r="P1260" t="str">
        <f t="shared" si="115"/>
        <v/>
      </c>
      <c r="Q1260" t="str">
        <f>IF($AS1260="","",INDEX('TMP Paste'!$J$2:$J$1601,$AS1260))</f>
        <v/>
      </c>
      <c r="R1260" t="str">
        <f>IF($AS1260="","",Config!$B$24)</f>
        <v/>
      </c>
      <c r="S1260" t="str">
        <f ca="1">IF($AS1260="","",TEXT(Config!$B$4,"yyyy-mm-dd"))</f>
        <v/>
      </c>
      <c r="T1260" t="str">
        <f>IF($AS1260="","",Config!$B$17)</f>
        <v/>
      </c>
      <c r="U1260" t="str">
        <f>IF($AS1260="","",Config!$B$18)</f>
        <v/>
      </c>
      <c r="V1260" t="str">
        <f>IF($AS1260="","",Config!$B$19)</f>
        <v/>
      </c>
      <c r="W1260" t="str">
        <f>IF($AS1260="","",INDEX('TMP Paste'!$C$2:$C$1601,$AS1260))</f>
        <v/>
      </c>
      <c r="X1260" t="str">
        <f>IF($AS1260="","",Config!$B$29)</f>
        <v/>
      </c>
      <c r="Y1260" t="str">
        <f>IF($AT1260="","",INDEX(Calc!$I$2:$I$1601,$AT1260)&amp;" - "&amp;INDEX(Calc!$D$2:$D$1601,$AT1260)&amp;" koli")</f>
        <v/>
      </c>
      <c r="Z1260" t="str">
        <f>IF($AS1260="","",Config!$B$21)</f>
        <v/>
      </c>
      <c r="AA1260" t="str">
        <f>IF($AS1260="","",Config!$B$22)</f>
        <v/>
      </c>
      <c r="AB1260" t="str">
        <f>IF($AT1260="","",INDEX(Calc!$D$2:$D$1601,$AT1260))</f>
        <v/>
      </c>
      <c r="AC1260" t="str">
        <f>IF($AT1260="","",INDEX(Calc!$G$2:$G$1601,$AT1260))</f>
        <v/>
      </c>
      <c r="AD1260" t="str">
        <f>IF($AS1260="","",Config!$B$23)</f>
        <v/>
      </c>
      <c r="AE1260" t="str">
        <f>IF($AS1260="","",Config!$B$28)</f>
        <v/>
      </c>
      <c r="AF1260" t="str">
        <f t="shared" si="116"/>
        <v/>
      </c>
      <c r="AG1260" t="str">
        <f t="shared" si="117"/>
        <v/>
      </c>
      <c r="AH1260" t="str">
        <f t="shared" si="118"/>
        <v/>
      </c>
      <c r="AI1260" t="str">
        <f>IF($AG1260="","",SUMIF($AG$2:$AG1260,$AG1260,$AH$2:$AH1260))</f>
        <v/>
      </c>
      <c r="AJ1260" t="str">
        <f>IF('TMP Paste'!$F1260="","",IF('TMP Paste'!$B1260="",$AJ1259,'TMP Paste'!$B1260))</f>
        <v/>
      </c>
      <c r="AK1260" t="str">
        <f>IF('TMP Paste'!$F1260="","",N('TMP Paste'!$G1260))</f>
        <v/>
      </c>
      <c r="AL1260" t="str">
        <f>IF('TMP Paste'!$F1260="","",IF('TMP Paste'!$M1260="",$AL1259,'TMP Paste'!$M1260))</f>
        <v/>
      </c>
      <c r="AM1260" t="str">
        <f>IF('TMP Paste'!$F1260="","",IF('TMP Paste'!$N1260="",$AM1259,'TMP Paste'!$N1260))</f>
        <v/>
      </c>
      <c r="AN1260" t="str">
        <f>IF('TMP Paste'!$F1260="","",IF('TMP Paste'!$O1260="",$AN1259,'TMP Paste'!$O1260))</f>
        <v/>
      </c>
      <c r="AO1260" t="str">
        <f>IF('TMP Paste'!$F1260="","",IF('TMP Paste'!$P1260="",$AO1259,'TMP Paste'!$P1260))</f>
        <v/>
      </c>
      <c r="AP1260" t="str">
        <f t="shared" si="119"/>
        <v/>
      </c>
      <c r="AQ1260" t="str">
        <f>IF($AS1260="","",TRIM(IF(COUNTIFS(Calc!$B$2:$B$1601,ROW()-1,Calc!$C$2:$C$1601,"&lt;1")&gt;0,"Ada PO tanpa Koli - cek TMP. ","")&amp;IF(OR($AU1260="",$AU1260&lt;=0),"Volume kosong/0 - dimensi dikosongkan. ","")&amp;IF(AND($AU1260&lt;&gt;"",$AU1260&gt;=1000000),"Volume &gt;= 1.000.000 cm3 (di luar aturan) - dimensi dikosongkan. ","")&amp;IF(LEN($R1260)&gt;500,"R &gt; 500 karakter.","")))</f>
        <v/>
      </c>
      <c r="AS1260" t="str">
        <f>IFERROR(MATCH(ROW()-1,Calc!$J$2:$J$1601,0),"")</f>
        <v/>
      </c>
      <c r="AT1260" t="str">
        <f>IFERROR(MATCH(ROW()-1,Calc!$K$2:$K$1601,0),"")</f>
        <v/>
      </c>
      <c r="AU1260" t="str">
        <f>IF($AS1260="","",IFERROR(INDEX('TMP Paste'!$D$2:$D$1601,$AS1260)*1000000/$AB1260,""))</f>
        <v/>
      </c>
    </row>
    <row r="1261" spans="1:47">
      <c r="A1261" t="str">
        <f>IF($AS1261="","",INDEX('TMP Paste'!$B$2:$B$1601,$AS1261))</f>
        <v/>
      </c>
      <c r="B1261" t="str">
        <f>IF($AS1261="","",Config!$B$14)</f>
        <v/>
      </c>
      <c r="C1261" t="str">
        <f>IF($AS1261="","",Config!$B$15)</f>
        <v/>
      </c>
      <c r="D1261" t="str">
        <f>IF($AS1261="","",INDEX('TMP Paste'!$B$2:$B$1601,$AS1261))</f>
        <v/>
      </c>
      <c r="E1261" t="str">
        <f>IF($AS1261="","",Config!$B$27)</f>
        <v/>
      </c>
      <c r="F1261" t="str">
        <f>IF($AS1261="","",Config!$B$9)</f>
        <v/>
      </c>
      <c r="G1261" t="str">
        <f>IF($AS1261="","",Config!$B$10)</f>
        <v/>
      </c>
      <c r="H1261" t="str">
        <f>IF($AS1261="","",Config!$B$11)</f>
        <v/>
      </c>
      <c r="I1261" t="str">
        <f>IF($AS1261="","",Config!$B$16)</f>
        <v/>
      </c>
      <c r="J1261" t="str">
        <f>IF($AS1261="","",INDEX('TMP Paste'!$A$2:$A$1601,$AS1261))</f>
        <v/>
      </c>
      <c r="K1261" t="str">
        <f>IF($AS1261="","",INDEX('TMP Paste'!$L$2:$L$1601,$AS1261))</f>
        <v/>
      </c>
      <c r="L1261" t="str">
        <f>IF($AS1261="","",INDEX('TMP Paste'!$I$2:$I$1601,$AS1261))</f>
        <v/>
      </c>
      <c r="M1261" t="str">
        <f>IF($AS1261="","",Config!$B$16)</f>
        <v/>
      </c>
      <c r="N1261" t="str">
        <f t="shared" si="114"/>
        <v/>
      </c>
      <c r="O1261" t="str">
        <f>IF($AS1261="","",INDEX('TMP Paste'!$K$2:$K$1601,$AS1261))</f>
        <v/>
      </c>
      <c r="P1261" t="str">
        <f t="shared" si="115"/>
        <v/>
      </c>
      <c r="Q1261" t="str">
        <f>IF($AS1261="","",INDEX('TMP Paste'!$J$2:$J$1601,$AS1261))</f>
        <v/>
      </c>
      <c r="R1261" t="str">
        <f>IF($AS1261="","",Config!$B$24)</f>
        <v/>
      </c>
      <c r="S1261" t="str">
        <f ca="1">IF($AS1261="","",TEXT(Config!$B$4,"yyyy-mm-dd"))</f>
        <v/>
      </c>
      <c r="T1261" t="str">
        <f>IF($AS1261="","",Config!$B$17)</f>
        <v/>
      </c>
      <c r="U1261" t="str">
        <f>IF($AS1261="","",Config!$B$18)</f>
        <v/>
      </c>
      <c r="V1261" t="str">
        <f>IF($AS1261="","",Config!$B$19)</f>
        <v/>
      </c>
      <c r="W1261" t="str">
        <f>IF($AS1261="","",INDEX('TMP Paste'!$C$2:$C$1601,$AS1261))</f>
        <v/>
      </c>
      <c r="X1261" t="str">
        <f>IF($AS1261="","",Config!$B$29)</f>
        <v/>
      </c>
      <c r="Y1261" t="str">
        <f>IF($AT1261="","",INDEX(Calc!$I$2:$I$1601,$AT1261)&amp;" - "&amp;INDEX(Calc!$D$2:$D$1601,$AT1261)&amp;" koli")</f>
        <v/>
      </c>
      <c r="Z1261" t="str">
        <f>IF($AS1261="","",Config!$B$21)</f>
        <v/>
      </c>
      <c r="AA1261" t="str">
        <f>IF($AS1261="","",Config!$B$22)</f>
        <v/>
      </c>
      <c r="AB1261" t="str">
        <f>IF($AT1261="","",INDEX(Calc!$D$2:$D$1601,$AT1261))</f>
        <v/>
      </c>
      <c r="AC1261" t="str">
        <f>IF($AT1261="","",INDEX(Calc!$G$2:$G$1601,$AT1261))</f>
        <v/>
      </c>
      <c r="AD1261" t="str">
        <f>IF($AS1261="","",Config!$B$23)</f>
        <v/>
      </c>
      <c r="AE1261" t="str">
        <f>IF($AS1261="","",Config!$B$28)</f>
        <v/>
      </c>
      <c r="AF1261" t="str">
        <f t="shared" si="116"/>
        <v/>
      </c>
      <c r="AG1261" t="str">
        <f t="shared" si="117"/>
        <v/>
      </c>
      <c r="AH1261" t="str">
        <f t="shared" si="118"/>
        <v/>
      </c>
      <c r="AI1261" t="str">
        <f>IF($AG1261="","",SUMIF($AG$2:$AG1261,$AG1261,$AH$2:$AH1261))</f>
        <v/>
      </c>
      <c r="AJ1261" t="str">
        <f>IF('TMP Paste'!$F1261="","",IF('TMP Paste'!$B1261="",$AJ1260,'TMP Paste'!$B1261))</f>
        <v/>
      </c>
      <c r="AK1261" t="str">
        <f>IF('TMP Paste'!$F1261="","",N('TMP Paste'!$G1261))</f>
        <v/>
      </c>
      <c r="AL1261" t="str">
        <f>IF('TMP Paste'!$F1261="","",IF('TMP Paste'!$M1261="",$AL1260,'TMP Paste'!$M1261))</f>
        <v/>
      </c>
      <c r="AM1261" t="str">
        <f>IF('TMP Paste'!$F1261="","",IF('TMP Paste'!$N1261="",$AM1260,'TMP Paste'!$N1261))</f>
        <v/>
      </c>
      <c r="AN1261" t="str">
        <f>IF('TMP Paste'!$F1261="","",IF('TMP Paste'!$O1261="",$AN1260,'TMP Paste'!$O1261))</f>
        <v/>
      </c>
      <c r="AO1261" t="str">
        <f>IF('TMP Paste'!$F1261="","",IF('TMP Paste'!$P1261="",$AO1260,'TMP Paste'!$P1261))</f>
        <v/>
      </c>
      <c r="AP1261" t="str">
        <f t="shared" si="119"/>
        <v/>
      </c>
      <c r="AQ1261" t="str">
        <f>IF($AS1261="","",TRIM(IF(COUNTIFS(Calc!$B$2:$B$1601,ROW()-1,Calc!$C$2:$C$1601,"&lt;1")&gt;0,"Ada PO tanpa Koli - cek TMP. ","")&amp;IF(OR($AU1261="",$AU1261&lt;=0),"Volume kosong/0 - dimensi dikosongkan. ","")&amp;IF(AND($AU1261&lt;&gt;"",$AU1261&gt;=1000000),"Volume &gt;= 1.000.000 cm3 (di luar aturan) - dimensi dikosongkan. ","")&amp;IF(LEN($R1261)&gt;500,"R &gt; 500 karakter.","")))</f>
        <v/>
      </c>
      <c r="AS1261" t="str">
        <f>IFERROR(MATCH(ROW()-1,Calc!$J$2:$J$1601,0),"")</f>
        <v/>
      </c>
      <c r="AT1261" t="str">
        <f>IFERROR(MATCH(ROW()-1,Calc!$K$2:$K$1601,0),"")</f>
        <v/>
      </c>
      <c r="AU1261" t="str">
        <f>IF($AS1261="","",IFERROR(INDEX('TMP Paste'!$D$2:$D$1601,$AS1261)*1000000/$AB1261,""))</f>
        <v/>
      </c>
    </row>
    <row r="1262" spans="1:47">
      <c r="A1262" t="str">
        <f>IF($AS1262="","",INDEX('TMP Paste'!$B$2:$B$1601,$AS1262))</f>
        <v/>
      </c>
      <c r="B1262" t="str">
        <f>IF($AS1262="","",Config!$B$14)</f>
        <v/>
      </c>
      <c r="C1262" t="str">
        <f>IF($AS1262="","",Config!$B$15)</f>
        <v/>
      </c>
      <c r="D1262" t="str">
        <f>IF($AS1262="","",INDEX('TMP Paste'!$B$2:$B$1601,$AS1262))</f>
        <v/>
      </c>
      <c r="E1262" t="str">
        <f>IF($AS1262="","",Config!$B$27)</f>
        <v/>
      </c>
      <c r="F1262" t="str">
        <f>IF($AS1262="","",Config!$B$9)</f>
        <v/>
      </c>
      <c r="G1262" t="str">
        <f>IF($AS1262="","",Config!$B$10)</f>
        <v/>
      </c>
      <c r="H1262" t="str">
        <f>IF($AS1262="","",Config!$B$11)</f>
        <v/>
      </c>
      <c r="I1262" t="str">
        <f>IF($AS1262="","",Config!$B$16)</f>
        <v/>
      </c>
      <c r="J1262" t="str">
        <f>IF($AS1262="","",INDEX('TMP Paste'!$A$2:$A$1601,$AS1262))</f>
        <v/>
      </c>
      <c r="K1262" t="str">
        <f>IF($AS1262="","",INDEX('TMP Paste'!$L$2:$L$1601,$AS1262))</f>
        <v/>
      </c>
      <c r="L1262" t="str">
        <f>IF($AS1262="","",INDEX('TMP Paste'!$I$2:$I$1601,$AS1262))</f>
        <v/>
      </c>
      <c r="M1262" t="str">
        <f>IF($AS1262="","",Config!$B$16)</f>
        <v/>
      </c>
      <c r="N1262" t="str">
        <f t="shared" si="114"/>
        <v/>
      </c>
      <c r="O1262" t="str">
        <f>IF($AS1262="","",INDEX('TMP Paste'!$K$2:$K$1601,$AS1262))</f>
        <v/>
      </c>
      <c r="P1262" t="str">
        <f t="shared" si="115"/>
        <v/>
      </c>
      <c r="Q1262" t="str">
        <f>IF($AS1262="","",INDEX('TMP Paste'!$J$2:$J$1601,$AS1262))</f>
        <v/>
      </c>
      <c r="R1262" t="str">
        <f>IF($AS1262="","",Config!$B$24)</f>
        <v/>
      </c>
      <c r="S1262" t="str">
        <f ca="1">IF($AS1262="","",TEXT(Config!$B$4,"yyyy-mm-dd"))</f>
        <v/>
      </c>
      <c r="T1262" t="str">
        <f>IF($AS1262="","",Config!$B$17)</f>
        <v/>
      </c>
      <c r="U1262" t="str">
        <f>IF($AS1262="","",Config!$B$18)</f>
        <v/>
      </c>
      <c r="V1262" t="str">
        <f>IF($AS1262="","",Config!$B$19)</f>
        <v/>
      </c>
      <c r="W1262" t="str">
        <f>IF($AS1262="","",INDEX('TMP Paste'!$C$2:$C$1601,$AS1262))</f>
        <v/>
      </c>
      <c r="X1262" t="str">
        <f>IF($AS1262="","",Config!$B$29)</f>
        <v/>
      </c>
      <c r="Y1262" t="str">
        <f>IF($AT1262="","",INDEX(Calc!$I$2:$I$1601,$AT1262)&amp;" - "&amp;INDEX(Calc!$D$2:$D$1601,$AT1262)&amp;" koli")</f>
        <v/>
      </c>
      <c r="Z1262" t="str">
        <f>IF($AS1262="","",Config!$B$21)</f>
        <v/>
      </c>
      <c r="AA1262" t="str">
        <f>IF($AS1262="","",Config!$B$22)</f>
        <v/>
      </c>
      <c r="AB1262" t="str">
        <f>IF($AT1262="","",INDEX(Calc!$D$2:$D$1601,$AT1262))</f>
        <v/>
      </c>
      <c r="AC1262" t="str">
        <f>IF($AT1262="","",INDEX(Calc!$G$2:$G$1601,$AT1262))</f>
        <v/>
      </c>
      <c r="AD1262" t="str">
        <f>IF($AS1262="","",Config!$B$23)</f>
        <v/>
      </c>
      <c r="AE1262" t="str">
        <f>IF($AS1262="","",Config!$B$28)</f>
        <v/>
      </c>
      <c r="AF1262" t="str">
        <f t="shared" si="116"/>
        <v/>
      </c>
      <c r="AG1262" t="str">
        <f t="shared" si="117"/>
        <v/>
      </c>
      <c r="AH1262" t="str">
        <f t="shared" si="118"/>
        <v/>
      </c>
      <c r="AI1262" t="str">
        <f>IF($AG1262="","",SUMIF($AG$2:$AG1262,$AG1262,$AH$2:$AH1262))</f>
        <v/>
      </c>
      <c r="AJ1262" t="str">
        <f>IF('TMP Paste'!$F1262="","",IF('TMP Paste'!$B1262="",$AJ1261,'TMP Paste'!$B1262))</f>
        <v/>
      </c>
      <c r="AK1262" t="str">
        <f>IF('TMP Paste'!$F1262="","",N('TMP Paste'!$G1262))</f>
        <v/>
      </c>
      <c r="AL1262" t="str">
        <f>IF('TMP Paste'!$F1262="","",IF('TMP Paste'!$M1262="",$AL1261,'TMP Paste'!$M1262))</f>
        <v/>
      </c>
      <c r="AM1262" t="str">
        <f>IF('TMP Paste'!$F1262="","",IF('TMP Paste'!$N1262="",$AM1261,'TMP Paste'!$N1262))</f>
        <v/>
      </c>
      <c r="AN1262" t="str">
        <f>IF('TMP Paste'!$F1262="","",IF('TMP Paste'!$O1262="",$AN1261,'TMP Paste'!$O1262))</f>
        <v/>
      </c>
      <c r="AO1262" t="str">
        <f>IF('TMP Paste'!$F1262="","",IF('TMP Paste'!$P1262="",$AO1261,'TMP Paste'!$P1262))</f>
        <v/>
      </c>
      <c r="AP1262" t="str">
        <f t="shared" si="119"/>
        <v/>
      </c>
      <c r="AQ1262" t="str">
        <f>IF($AS1262="","",TRIM(IF(COUNTIFS(Calc!$B$2:$B$1601,ROW()-1,Calc!$C$2:$C$1601,"&lt;1")&gt;0,"Ada PO tanpa Koli - cek TMP. ","")&amp;IF(OR($AU1262="",$AU1262&lt;=0),"Volume kosong/0 - dimensi dikosongkan. ","")&amp;IF(AND($AU1262&lt;&gt;"",$AU1262&gt;=1000000),"Volume &gt;= 1.000.000 cm3 (di luar aturan) - dimensi dikosongkan. ","")&amp;IF(LEN($R1262)&gt;500,"R &gt; 500 karakter.","")))</f>
        <v/>
      </c>
      <c r="AS1262" t="str">
        <f>IFERROR(MATCH(ROW()-1,Calc!$J$2:$J$1601,0),"")</f>
        <v/>
      </c>
      <c r="AT1262" t="str">
        <f>IFERROR(MATCH(ROW()-1,Calc!$K$2:$K$1601,0),"")</f>
        <v/>
      </c>
      <c r="AU1262" t="str">
        <f>IF($AS1262="","",IFERROR(INDEX('TMP Paste'!$D$2:$D$1601,$AS1262)*1000000/$AB1262,""))</f>
        <v/>
      </c>
    </row>
    <row r="1263" spans="1:47">
      <c r="A1263" t="str">
        <f>IF($AS1263="","",INDEX('TMP Paste'!$B$2:$B$1601,$AS1263))</f>
        <v/>
      </c>
      <c r="B1263" t="str">
        <f>IF($AS1263="","",Config!$B$14)</f>
        <v/>
      </c>
      <c r="C1263" t="str">
        <f>IF($AS1263="","",Config!$B$15)</f>
        <v/>
      </c>
      <c r="D1263" t="str">
        <f>IF($AS1263="","",INDEX('TMP Paste'!$B$2:$B$1601,$AS1263))</f>
        <v/>
      </c>
      <c r="E1263" t="str">
        <f>IF($AS1263="","",Config!$B$27)</f>
        <v/>
      </c>
      <c r="F1263" t="str">
        <f>IF($AS1263="","",Config!$B$9)</f>
        <v/>
      </c>
      <c r="G1263" t="str">
        <f>IF($AS1263="","",Config!$B$10)</f>
        <v/>
      </c>
      <c r="H1263" t="str">
        <f>IF($AS1263="","",Config!$B$11)</f>
        <v/>
      </c>
      <c r="I1263" t="str">
        <f>IF($AS1263="","",Config!$B$16)</f>
        <v/>
      </c>
      <c r="J1263" t="str">
        <f>IF($AS1263="","",INDEX('TMP Paste'!$A$2:$A$1601,$AS1263))</f>
        <v/>
      </c>
      <c r="K1263" t="str">
        <f>IF($AS1263="","",INDEX('TMP Paste'!$L$2:$L$1601,$AS1263))</f>
        <v/>
      </c>
      <c r="L1263" t="str">
        <f>IF($AS1263="","",INDEX('TMP Paste'!$I$2:$I$1601,$AS1263))</f>
        <v/>
      </c>
      <c r="M1263" t="str">
        <f>IF($AS1263="","",Config!$B$16)</f>
        <v/>
      </c>
      <c r="N1263" t="str">
        <f t="shared" si="114"/>
        <v/>
      </c>
      <c r="O1263" t="str">
        <f>IF($AS1263="","",INDEX('TMP Paste'!$K$2:$K$1601,$AS1263))</f>
        <v/>
      </c>
      <c r="P1263" t="str">
        <f t="shared" si="115"/>
        <v/>
      </c>
      <c r="Q1263" t="str">
        <f>IF($AS1263="","",INDEX('TMP Paste'!$J$2:$J$1601,$AS1263))</f>
        <v/>
      </c>
      <c r="R1263" t="str">
        <f>IF($AS1263="","",Config!$B$24)</f>
        <v/>
      </c>
      <c r="S1263" t="str">
        <f ca="1">IF($AS1263="","",TEXT(Config!$B$4,"yyyy-mm-dd"))</f>
        <v/>
      </c>
      <c r="T1263" t="str">
        <f>IF($AS1263="","",Config!$B$17)</f>
        <v/>
      </c>
      <c r="U1263" t="str">
        <f>IF($AS1263="","",Config!$B$18)</f>
        <v/>
      </c>
      <c r="V1263" t="str">
        <f>IF($AS1263="","",Config!$B$19)</f>
        <v/>
      </c>
      <c r="W1263" t="str">
        <f>IF($AS1263="","",INDEX('TMP Paste'!$C$2:$C$1601,$AS1263))</f>
        <v/>
      </c>
      <c r="X1263" t="str">
        <f>IF($AS1263="","",Config!$B$29)</f>
        <v/>
      </c>
      <c r="Y1263" t="str">
        <f>IF($AT1263="","",INDEX(Calc!$I$2:$I$1601,$AT1263)&amp;" - "&amp;INDEX(Calc!$D$2:$D$1601,$AT1263)&amp;" koli")</f>
        <v/>
      </c>
      <c r="Z1263" t="str">
        <f>IF($AS1263="","",Config!$B$21)</f>
        <v/>
      </c>
      <c r="AA1263" t="str">
        <f>IF($AS1263="","",Config!$B$22)</f>
        <v/>
      </c>
      <c r="AB1263" t="str">
        <f>IF($AT1263="","",INDEX(Calc!$D$2:$D$1601,$AT1263))</f>
        <v/>
      </c>
      <c r="AC1263" t="str">
        <f>IF($AT1263="","",INDEX(Calc!$G$2:$G$1601,$AT1263))</f>
        <v/>
      </c>
      <c r="AD1263" t="str">
        <f>IF($AS1263="","",Config!$B$23)</f>
        <v/>
      </c>
      <c r="AE1263" t="str">
        <f>IF($AS1263="","",Config!$B$28)</f>
        <v/>
      </c>
      <c r="AF1263" t="str">
        <f t="shared" si="116"/>
        <v/>
      </c>
      <c r="AG1263" t="str">
        <f t="shared" si="117"/>
        <v/>
      </c>
      <c r="AH1263" t="str">
        <f t="shared" si="118"/>
        <v/>
      </c>
      <c r="AI1263" t="str">
        <f>IF($AG1263="","",SUMIF($AG$2:$AG1263,$AG1263,$AH$2:$AH1263))</f>
        <v/>
      </c>
      <c r="AJ1263" t="str">
        <f>IF('TMP Paste'!$F1263="","",IF('TMP Paste'!$B1263="",$AJ1262,'TMP Paste'!$B1263))</f>
        <v/>
      </c>
      <c r="AK1263" t="str">
        <f>IF('TMP Paste'!$F1263="","",N('TMP Paste'!$G1263))</f>
        <v/>
      </c>
      <c r="AL1263" t="str">
        <f>IF('TMP Paste'!$F1263="","",IF('TMP Paste'!$M1263="",$AL1262,'TMP Paste'!$M1263))</f>
        <v/>
      </c>
      <c r="AM1263" t="str">
        <f>IF('TMP Paste'!$F1263="","",IF('TMP Paste'!$N1263="",$AM1262,'TMP Paste'!$N1263))</f>
        <v/>
      </c>
      <c r="AN1263" t="str">
        <f>IF('TMP Paste'!$F1263="","",IF('TMP Paste'!$O1263="",$AN1262,'TMP Paste'!$O1263))</f>
        <v/>
      </c>
      <c r="AO1263" t="str">
        <f>IF('TMP Paste'!$F1263="","",IF('TMP Paste'!$P1263="",$AO1262,'TMP Paste'!$P1263))</f>
        <v/>
      </c>
      <c r="AP1263" t="str">
        <f t="shared" si="119"/>
        <v/>
      </c>
      <c r="AQ1263" t="str">
        <f>IF($AS1263="","",TRIM(IF(COUNTIFS(Calc!$B$2:$B$1601,ROW()-1,Calc!$C$2:$C$1601,"&lt;1")&gt;0,"Ada PO tanpa Koli - cek TMP. ","")&amp;IF(OR($AU1263="",$AU1263&lt;=0),"Volume kosong/0 - dimensi dikosongkan. ","")&amp;IF(AND($AU1263&lt;&gt;"",$AU1263&gt;=1000000),"Volume &gt;= 1.000.000 cm3 (di luar aturan) - dimensi dikosongkan. ","")&amp;IF(LEN($R1263)&gt;500,"R &gt; 500 karakter.","")))</f>
        <v/>
      </c>
      <c r="AS1263" t="str">
        <f>IFERROR(MATCH(ROW()-1,Calc!$J$2:$J$1601,0),"")</f>
        <v/>
      </c>
      <c r="AT1263" t="str">
        <f>IFERROR(MATCH(ROW()-1,Calc!$K$2:$K$1601,0),"")</f>
        <v/>
      </c>
      <c r="AU1263" t="str">
        <f>IF($AS1263="","",IFERROR(INDEX('TMP Paste'!$D$2:$D$1601,$AS1263)*1000000/$AB1263,""))</f>
        <v/>
      </c>
    </row>
    <row r="1264" spans="1:47">
      <c r="A1264" t="str">
        <f>IF($AS1264="","",INDEX('TMP Paste'!$B$2:$B$1601,$AS1264))</f>
        <v/>
      </c>
      <c r="B1264" t="str">
        <f>IF($AS1264="","",Config!$B$14)</f>
        <v/>
      </c>
      <c r="C1264" t="str">
        <f>IF($AS1264="","",Config!$B$15)</f>
        <v/>
      </c>
      <c r="D1264" t="str">
        <f>IF($AS1264="","",INDEX('TMP Paste'!$B$2:$B$1601,$AS1264))</f>
        <v/>
      </c>
      <c r="E1264" t="str">
        <f>IF($AS1264="","",Config!$B$27)</f>
        <v/>
      </c>
      <c r="F1264" t="str">
        <f>IF($AS1264="","",Config!$B$9)</f>
        <v/>
      </c>
      <c r="G1264" t="str">
        <f>IF($AS1264="","",Config!$B$10)</f>
        <v/>
      </c>
      <c r="H1264" t="str">
        <f>IF($AS1264="","",Config!$B$11)</f>
        <v/>
      </c>
      <c r="I1264" t="str">
        <f>IF($AS1264="","",Config!$B$16)</f>
        <v/>
      </c>
      <c r="J1264" t="str">
        <f>IF($AS1264="","",INDEX('TMP Paste'!$A$2:$A$1601,$AS1264))</f>
        <v/>
      </c>
      <c r="K1264" t="str">
        <f>IF($AS1264="","",INDEX('TMP Paste'!$L$2:$L$1601,$AS1264))</f>
        <v/>
      </c>
      <c r="L1264" t="str">
        <f>IF($AS1264="","",INDEX('TMP Paste'!$I$2:$I$1601,$AS1264))</f>
        <v/>
      </c>
      <c r="M1264" t="str">
        <f>IF($AS1264="","",Config!$B$16)</f>
        <v/>
      </c>
      <c r="N1264" t="str">
        <f t="shared" si="114"/>
        <v/>
      </c>
      <c r="O1264" t="str">
        <f>IF($AS1264="","",INDEX('TMP Paste'!$K$2:$K$1601,$AS1264))</f>
        <v/>
      </c>
      <c r="P1264" t="str">
        <f t="shared" si="115"/>
        <v/>
      </c>
      <c r="Q1264" t="str">
        <f>IF($AS1264="","",INDEX('TMP Paste'!$J$2:$J$1601,$AS1264))</f>
        <v/>
      </c>
      <c r="R1264" t="str">
        <f>IF($AS1264="","",Config!$B$24)</f>
        <v/>
      </c>
      <c r="S1264" t="str">
        <f ca="1">IF($AS1264="","",TEXT(Config!$B$4,"yyyy-mm-dd"))</f>
        <v/>
      </c>
      <c r="T1264" t="str">
        <f>IF($AS1264="","",Config!$B$17)</f>
        <v/>
      </c>
      <c r="U1264" t="str">
        <f>IF($AS1264="","",Config!$B$18)</f>
        <v/>
      </c>
      <c r="V1264" t="str">
        <f>IF($AS1264="","",Config!$B$19)</f>
        <v/>
      </c>
      <c r="W1264" t="str">
        <f>IF($AS1264="","",INDEX('TMP Paste'!$C$2:$C$1601,$AS1264))</f>
        <v/>
      </c>
      <c r="X1264" t="str">
        <f>IF($AS1264="","",Config!$B$29)</f>
        <v/>
      </c>
      <c r="Y1264" t="str">
        <f>IF($AT1264="","",INDEX(Calc!$I$2:$I$1601,$AT1264)&amp;" - "&amp;INDEX(Calc!$D$2:$D$1601,$AT1264)&amp;" koli")</f>
        <v/>
      </c>
      <c r="Z1264" t="str">
        <f>IF($AS1264="","",Config!$B$21)</f>
        <v/>
      </c>
      <c r="AA1264" t="str">
        <f>IF($AS1264="","",Config!$B$22)</f>
        <v/>
      </c>
      <c r="AB1264" t="str">
        <f>IF($AT1264="","",INDEX(Calc!$D$2:$D$1601,$AT1264))</f>
        <v/>
      </c>
      <c r="AC1264" t="str">
        <f>IF($AT1264="","",INDEX(Calc!$G$2:$G$1601,$AT1264))</f>
        <v/>
      </c>
      <c r="AD1264" t="str">
        <f>IF($AS1264="","",Config!$B$23)</f>
        <v/>
      </c>
      <c r="AE1264" t="str">
        <f>IF($AS1264="","",Config!$B$28)</f>
        <v/>
      </c>
      <c r="AF1264" t="str">
        <f t="shared" si="116"/>
        <v/>
      </c>
      <c r="AG1264" t="str">
        <f t="shared" si="117"/>
        <v/>
      </c>
      <c r="AH1264" t="str">
        <f t="shared" si="118"/>
        <v/>
      </c>
      <c r="AI1264" t="str">
        <f>IF($AG1264="","",SUMIF($AG$2:$AG1264,$AG1264,$AH$2:$AH1264))</f>
        <v/>
      </c>
      <c r="AJ1264" t="str">
        <f>IF('TMP Paste'!$F1264="","",IF('TMP Paste'!$B1264="",$AJ1263,'TMP Paste'!$B1264))</f>
        <v/>
      </c>
      <c r="AK1264" t="str">
        <f>IF('TMP Paste'!$F1264="","",N('TMP Paste'!$G1264))</f>
        <v/>
      </c>
      <c r="AL1264" t="str">
        <f>IF('TMP Paste'!$F1264="","",IF('TMP Paste'!$M1264="",$AL1263,'TMP Paste'!$M1264))</f>
        <v/>
      </c>
      <c r="AM1264" t="str">
        <f>IF('TMP Paste'!$F1264="","",IF('TMP Paste'!$N1264="",$AM1263,'TMP Paste'!$N1264))</f>
        <v/>
      </c>
      <c r="AN1264" t="str">
        <f>IF('TMP Paste'!$F1264="","",IF('TMP Paste'!$O1264="",$AN1263,'TMP Paste'!$O1264))</f>
        <v/>
      </c>
      <c r="AO1264" t="str">
        <f>IF('TMP Paste'!$F1264="","",IF('TMP Paste'!$P1264="",$AO1263,'TMP Paste'!$P1264))</f>
        <v/>
      </c>
      <c r="AP1264" t="str">
        <f t="shared" si="119"/>
        <v/>
      </c>
      <c r="AQ1264" t="str">
        <f>IF($AS1264="","",TRIM(IF(COUNTIFS(Calc!$B$2:$B$1601,ROW()-1,Calc!$C$2:$C$1601,"&lt;1")&gt;0,"Ada PO tanpa Koli - cek TMP. ","")&amp;IF(OR($AU1264="",$AU1264&lt;=0),"Volume kosong/0 - dimensi dikosongkan. ","")&amp;IF(AND($AU1264&lt;&gt;"",$AU1264&gt;=1000000),"Volume &gt;= 1.000.000 cm3 (di luar aturan) - dimensi dikosongkan. ","")&amp;IF(LEN($R1264)&gt;500,"R &gt; 500 karakter.","")))</f>
        <v/>
      </c>
      <c r="AS1264" t="str">
        <f>IFERROR(MATCH(ROW()-1,Calc!$J$2:$J$1601,0),"")</f>
        <v/>
      </c>
      <c r="AT1264" t="str">
        <f>IFERROR(MATCH(ROW()-1,Calc!$K$2:$K$1601,0),"")</f>
        <v/>
      </c>
      <c r="AU1264" t="str">
        <f>IF($AS1264="","",IFERROR(INDEX('TMP Paste'!$D$2:$D$1601,$AS1264)*1000000/$AB1264,""))</f>
        <v/>
      </c>
    </row>
    <row r="1265" spans="1:47">
      <c r="A1265" t="str">
        <f>IF($AS1265="","",INDEX('TMP Paste'!$B$2:$B$1601,$AS1265))</f>
        <v/>
      </c>
      <c r="B1265" t="str">
        <f>IF($AS1265="","",Config!$B$14)</f>
        <v/>
      </c>
      <c r="C1265" t="str">
        <f>IF($AS1265="","",Config!$B$15)</f>
        <v/>
      </c>
      <c r="D1265" t="str">
        <f>IF($AS1265="","",INDEX('TMP Paste'!$B$2:$B$1601,$AS1265))</f>
        <v/>
      </c>
      <c r="E1265" t="str">
        <f>IF($AS1265="","",Config!$B$27)</f>
        <v/>
      </c>
      <c r="F1265" t="str">
        <f>IF($AS1265="","",Config!$B$9)</f>
        <v/>
      </c>
      <c r="G1265" t="str">
        <f>IF($AS1265="","",Config!$B$10)</f>
        <v/>
      </c>
      <c r="H1265" t="str">
        <f>IF($AS1265="","",Config!$B$11)</f>
        <v/>
      </c>
      <c r="I1265" t="str">
        <f>IF($AS1265="","",Config!$B$16)</f>
        <v/>
      </c>
      <c r="J1265" t="str">
        <f>IF($AS1265="","",INDEX('TMP Paste'!$A$2:$A$1601,$AS1265))</f>
        <v/>
      </c>
      <c r="K1265" t="str">
        <f>IF($AS1265="","",INDEX('TMP Paste'!$L$2:$L$1601,$AS1265))</f>
        <v/>
      </c>
      <c r="L1265" t="str">
        <f>IF($AS1265="","",INDEX('TMP Paste'!$I$2:$I$1601,$AS1265))</f>
        <v/>
      </c>
      <c r="M1265" t="str">
        <f>IF($AS1265="","",Config!$B$16)</f>
        <v/>
      </c>
      <c r="N1265" t="str">
        <f t="shared" si="114"/>
        <v/>
      </c>
      <c r="O1265" t="str">
        <f>IF($AS1265="","",INDEX('TMP Paste'!$K$2:$K$1601,$AS1265))</f>
        <v/>
      </c>
      <c r="P1265" t="str">
        <f t="shared" si="115"/>
        <v/>
      </c>
      <c r="Q1265" t="str">
        <f>IF($AS1265="","",INDEX('TMP Paste'!$J$2:$J$1601,$AS1265))</f>
        <v/>
      </c>
      <c r="R1265" t="str">
        <f>IF($AS1265="","",Config!$B$24)</f>
        <v/>
      </c>
      <c r="S1265" t="str">
        <f ca="1">IF($AS1265="","",TEXT(Config!$B$4,"yyyy-mm-dd"))</f>
        <v/>
      </c>
      <c r="T1265" t="str">
        <f>IF($AS1265="","",Config!$B$17)</f>
        <v/>
      </c>
      <c r="U1265" t="str">
        <f>IF($AS1265="","",Config!$B$18)</f>
        <v/>
      </c>
      <c r="V1265" t="str">
        <f>IF($AS1265="","",Config!$B$19)</f>
        <v/>
      </c>
      <c r="W1265" t="str">
        <f>IF($AS1265="","",INDEX('TMP Paste'!$C$2:$C$1601,$AS1265))</f>
        <v/>
      </c>
      <c r="X1265" t="str">
        <f>IF($AS1265="","",Config!$B$29)</f>
        <v/>
      </c>
      <c r="Y1265" t="str">
        <f>IF($AT1265="","",INDEX(Calc!$I$2:$I$1601,$AT1265)&amp;" - "&amp;INDEX(Calc!$D$2:$D$1601,$AT1265)&amp;" koli")</f>
        <v/>
      </c>
      <c r="Z1265" t="str">
        <f>IF($AS1265="","",Config!$B$21)</f>
        <v/>
      </c>
      <c r="AA1265" t="str">
        <f>IF($AS1265="","",Config!$B$22)</f>
        <v/>
      </c>
      <c r="AB1265" t="str">
        <f>IF($AT1265="","",INDEX(Calc!$D$2:$D$1601,$AT1265))</f>
        <v/>
      </c>
      <c r="AC1265" t="str">
        <f>IF($AT1265="","",INDEX(Calc!$G$2:$G$1601,$AT1265))</f>
        <v/>
      </c>
      <c r="AD1265" t="str">
        <f>IF($AS1265="","",Config!$B$23)</f>
        <v/>
      </c>
      <c r="AE1265" t="str">
        <f>IF($AS1265="","",Config!$B$28)</f>
        <v/>
      </c>
      <c r="AF1265" t="str">
        <f t="shared" si="116"/>
        <v/>
      </c>
      <c r="AG1265" t="str">
        <f t="shared" si="117"/>
        <v/>
      </c>
      <c r="AH1265" t="str">
        <f t="shared" si="118"/>
        <v/>
      </c>
      <c r="AI1265" t="str">
        <f>IF($AG1265="","",SUMIF($AG$2:$AG1265,$AG1265,$AH$2:$AH1265))</f>
        <v/>
      </c>
      <c r="AJ1265" t="str">
        <f>IF('TMP Paste'!$F1265="","",IF('TMP Paste'!$B1265="",$AJ1264,'TMP Paste'!$B1265))</f>
        <v/>
      </c>
      <c r="AK1265" t="str">
        <f>IF('TMP Paste'!$F1265="","",N('TMP Paste'!$G1265))</f>
        <v/>
      </c>
      <c r="AL1265" t="str">
        <f>IF('TMP Paste'!$F1265="","",IF('TMP Paste'!$M1265="",$AL1264,'TMP Paste'!$M1265))</f>
        <v/>
      </c>
      <c r="AM1265" t="str">
        <f>IF('TMP Paste'!$F1265="","",IF('TMP Paste'!$N1265="",$AM1264,'TMP Paste'!$N1265))</f>
        <v/>
      </c>
      <c r="AN1265" t="str">
        <f>IF('TMP Paste'!$F1265="","",IF('TMP Paste'!$O1265="",$AN1264,'TMP Paste'!$O1265))</f>
        <v/>
      </c>
      <c r="AO1265" t="str">
        <f>IF('TMP Paste'!$F1265="","",IF('TMP Paste'!$P1265="",$AO1264,'TMP Paste'!$P1265))</f>
        <v/>
      </c>
      <c r="AP1265" t="str">
        <f t="shared" si="119"/>
        <v/>
      </c>
      <c r="AQ1265" t="str">
        <f>IF($AS1265="","",TRIM(IF(COUNTIFS(Calc!$B$2:$B$1601,ROW()-1,Calc!$C$2:$C$1601,"&lt;1")&gt;0,"Ada PO tanpa Koli - cek TMP. ","")&amp;IF(OR($AU1265="",$AU1265&lt;=0),"Volume kosong/0 - dimensi dikosongkan. ","")&amp;IF(AND($AU1265&lt;&gt;"",$AU1265&gt;=1000000),"Volume &gt;= 1.000.000 cm3 (di luar aturan) - dimensi dikosongkan. ","")&amp;IF(LEN($R1265)&gt;500,"R &gt; 500 karakter.","")))</f>
        <v/>
      </c>
      <c r="AS1265" t="str">
        <f>IFERROR(MATCH(ROW()-1,Calc!$J$2:$J$1601,0),"")</f>
        <v/>
      </c>
      <c r="AT1265" t="str">
        <f>IFERROR(MATCH(ROW()-1,Calc!$K$2:$K$1601,0),"")</f>
        <v/>
      </c>
      <c r="AU1265" t="str">
        <f>IF($AS1265="","",IFERROR(INDEX('TMP Paste'!$D$2:$D$1601,$AS1265)*1000000/$AB1265,""))</f>
        <v/>
      </c>
    </row>
    <row r="1266" spans="1:47">
      <c r="A1266" t="str">
        <f>IF($AS1266="","",INDEX('TMP Paste'!$B$2:$B$1601,$AS1266))</f>
        <v/>
      </c>
      <c r="B1266" t="str">
        <f>IF($AS1266="","",Config!$B$14)</f>
        <v/>
      </c>
      <c r="C1266" t="str">
        <f>IF($AS1266="","",Config!$B$15)</f>
        <v/>
      </c>
      <c r="D1266" t="str">
        <f>IF($AS1266="","",INDEX('TMP Paste'!$B$2:$B$1601,$AS1266))</f>
        <v/>
      </c>
      <c r="E1266" t="str">
        <f>IF($AS1266="","",Config!$B$27)</f>
        <v/>
      </c>
      <c r="F1266" t="str">
        <f>IF($AS1266="","",Config!$B$9)</f>
        <v/>
      </c>
      <c r="G1266" t="str">
        <f>IF($AS1266="","",Config!$B$10)</f>
        <v/>
      </c>
      <c r="H1266" t="str">
        <f>IF($AS1266="","",Config!$B$11)</f>
        <v/>
      </c>
      <c r="I1266" t="str">
        <f>IF($AS1266="","",Config!$B$16)</f>
        <v/>
      </c>
      <c r="J1266" t="str">
        <f>IF($AS1266="","",INDEX('TMP Paste'!$A$2:$A$1601,$AS1266))</f>
        <v/>
      </c>
      <c r="K1266" t="str">
        <f>IF($AS1266="","",INDEX('TMP Paste'!$L$2:$L$1601,$AS1266))</f>
        <v/>
      </c>
      <c r="L1266" t="str">
        <f>IF($AS1266="","",INDEX('TMP Paste'!$I$2:$I$1601,$AS1266))</f>
        <v/>
      </c>
      <c r="M1266" t="str">
        <f>IF($AS1266="","",Config!$B$16)</f>
        <v/>
      </c>
      <c r="N1266" t="str">
        <f t="shared" si="114"/>
        <v/>
      </c>
      <c r="O1266" t="str">
        <f>IF($AS1266="","",INDEX('TMP Paste'!$K$2:$K$1601,$AS1266))</f>
        <v/>
      </c>
      <c r="P1266" t="str">
        <f t="shared" si="115"/>
        <v/>
      </c>
      <c r="Q1266" t="str">
        <f>IF($AS1266="","",INDEX('TMP Paste'!$J$2:$J$1601,$AS1266))</f>
        <v/>
      </c>
      <c r="R1266" t="str">
        <f>IF($AS1266="","",Config!$B$24)</f>
        <v/>
      </c>
      <c r="S1266" t="str">
        <f ca="1">IF($AS1266="","",TEXT(Config!$B$4,"yyyy-mm-dd"))</f>
        <v/>
      </c>
      <c r="T1266" t="str">
        <f>IF($AS1266="","",Config!$B$17)</f>
        <v/>
      </c>
      <c r="U1266" t="str">
        <f>IF($AS1266="","",Config!$B$18)</f>
        <v/>
      </c>
      <c r="V1266" t="str">
        <f>IF($AS1266="","",Config!$B$19)</f>
        <v/>
      </c>
      <c r="W1266" t="str">
        <f>IF($AS1266="","",INDEX('TMP Paste'!$C$2:$C$1601,$AS1266))</f>
        <v/>
      </c>
      <c r="X1266" t="str">
        <f>IF($AS1266="","",Config!$B$29)</f>
        <v/>
      </c>
      <c r="Y1266" t="str">
        <f>IF($AT1266="","",INDEX(Calc!$I$2:$I$1601,$AT1266)&amp;" - "&amp;INDEX(Calc!$D$2:$D$1601,$AT1266)&amp;" koli")</f>
        <v/>
      </c>
      <c r="Z1266" t="str">
        <f>IF($AS1266="","",Config!$B$21)</f>
        <v/>
      </c>
      <c r="AA1266" t="str">
        <f>IF($AS1266="","",Config!$B$22)</f>
        <v/>
      </c>
      <c r="AB1266" t="str">
        <f>IF($AT1266="","",INDEX(Calc!$D$2:$D$1601,$AT1266))</f>
        <v/>
      </c>
      <c r="AC1266" t="str">
        <f>IF($AT1266="","",INDEX(Calc!$G$2:$G$1601,$AT1266))</f>
        <v/>
      </c>
      <c r="AD1266" t="str">
        <f>IF($AS1266="","",Config!$B$23)</f>
        <v/>
      </c>
      <c r="AE1266" t="str">
        <f>IF($AS1266="","",Config!$B$28)</f>
        <v/>
      </c>
      <c r="AF1266" t="str">
        <f t="shared" si="116"/>
        <v/>
      </c>
      <c r="AG1266" t="str">
        <f t="shared" si="117"/>
        <v/>
      </c>
      <c r="AH1266" t="str">
        <f t="shared" si="118"/>
        <v/>
      </c>
      <c r="AI1266" t="str">
        <f>IF($AG1266="","",SUMIF($AG$2:$AG1266,$AG1266,$AH$2:$AH1266))</f>
        <v/>
      </c>
      <c r="AJ1266" t="str">
        <f>IF('TMP Paste'!$F1266="","",IF('TMP Paste'!$B1266="",$AJ1265,'TMP Paste'!$B1266))</f>
        <v/>
      </c>
      <c r="AK1266" t="str">
        <f>IF('TMP Paste'!$F1266="","",N('TMP Paste'!$G1266))</f>
        <v/>
      </c>
      <c r="AL1266" t="str">
        <f>IF('TMP Paste'!$F1266="","",IF('TMP Paste'!$M1266="",$AL1265,'TMP Paste'!$M1266))</f>
        <v/>
      </c>
      <c r="AM1266" t="str">
        <f>IF('TMP Paste'!$F1266="","",IF('TMP Paste'!$N1266="",$AM1265,'TMP Paste'!$N1266))</f>
        <v/>
      </c>
      <c r="AN1266" t="str">
        <f>IF('TMP Paste'!$F1266="","",IF('TMP Paste'!$O1266="",$AN1265,'TMP Paste'!$O1266))</f>
        <v/>
      </c>
      <c r="AO1266" t="str">
        <f>IF('TMP Paste'!$F1266="","",IF('TMP Paste'!$P1266="",$AO1265,'TMP Paste'!$P1266))</f>
        <v/>
      </c>
      <c r="AP1266" t="str">
        <f t="shared" si="119"/>
        <v/>
      </c>
      <c r="AQ1266" t="str">
        <f>IF($AS1266="","",TRIM(IF(COUNTIFS(Calc!$B$2:$B$1601,ROW()-1,Calc!$C$2:$C$1601,"&lt;1")&gt;0,"Ada PO tanpa Koli - cek TMP. ","")&amp;IF(OR($AU1266="",$AU1266&lt;=0),"Volume kosong/0 - dimensi dikosongkan. ","")&amp;IF(AND($AU1266&lt;&gt;"",$AU1266&gt;=1000000),"Volume &gt;= 1.000.000 cm3 (di luar aturan) - dimensi dikosongkan. ","")&amp;IF(LEN($R1266)&gt;500,"R &gt; 500 karakter.","")))</f>
        <v/>
      </c>
      <c r="AS1266" t="str">
        <f>IFERROR(MATCH(ROW()-1,Calc!$J$2:$J$1601,0),"")</f>
        <v/>
      </c>
      <c r="AT1266" t="str">
        <f>IFERROR(MATCH(ROW()-1,Calc!$K$2:$K$1601,0),"")</f>
        <v/>
      </c>
      <c r="AU1266" t="str">
        <f>IF($AS1266="","",IFERROR(INDEX('TMP Paste'!$D$2:$D$1601,$AS1266)*1000000/$AB1266,""))</f>
        <v/>
      </c>
    </row>
    <row r="1267" spans="1:47">
      <c r="A1267" t="str">
        <f>IF($AS1267="","",INDEX('TMP Paste'!$B$2:$B$1601,$AS1267))</f>
        <v/>
      </c>
      <c r="B1267" t="str">
        <f>IF($AS1267="","",Config!$B$14)</f>
        <v/>
      </c>
      <c r="C1267" t="str">
        <f>IF($AS1267="","",Config!$B$15)</f>
        <v/>
      </c>
      <c r="D1267" t="str">
        <f>IF($AS1267="","",INDEX('TMP Paste'!$B$2:$B$1601,$AS1267))</f>
        <v/>
      </c>
      <c r="E1267" t="str">
        <f>IF($AS1267="","",Config!$B$27)</f>
        <v/>
      </c>
      <c r="F1267" t="str">
        <f>IF($AS1267="","",Config!$B$9)</f>
        <v/>
      </c>
      <c r="G1267" t="str">
        <f>IF($AS1267="","",Config!$B$10)</f>
        <v/>
      </c>
      <c r="H1267" t="str">
        <f>IF($AS1267="","",Config!$B$11)</f>
        <v/>
      </c>
      <c r="I1267" t="str">
        <f>IF($AS1267="","",Config!$B$16)</f>
        <v/>
      </c>
      <c r="J1267" t="str">
        <f>IF($AS1267="","",INDEX('TMP Paste'!$A$2:$A$1601,$AS1267))</f>
        <v/>
      </c>
      <c r="K1267" t="str">
        <f>IF($AS1267="","",INDEX('TMP Paste'!$L$2:$L$1601,$AS1267))</f>
        <v/>
      </c>
      <c r="L1267" t="str">
        <f>IF($AS1267="","",INDEX('TMP Paste'!$I$2:$I$1601,$AS1267))</f>
        <v/>
      </c>
      <c r="M1267" t="str">
        <f>IF($AS1267="","",Config!$B$16)</f>
        <v/>
      </c>
      <c r="N1267" t="str">
        <f t="shared" si="114"/>
        <v/>
      </c>
      <c r="O1267" t="str">
        <f>IF($AS1267="","",INDEX('TMP Paste'!$K$2:$K$1601,$AS1267))</f>
        <v/>
      </c>
      <c r="P1267" t="str">
        <f t="shared" si="115"/>
        <v/>
      </c>
      <c r="Q1267" t="str">
        <f>IF($AS1267="","",INDEX('TMP Paste'!$J$2:$J$1601,$AS1267))</f>
        <v/>
      </c>
      <c r="R1267" t="str">
        <f>IF($AS1267="","",Config!$B$24)</f>
        <v/>
      </c>
      <c r="S1267" t="str">
        <f ca="1">IF($AS1267="","",TEXT(Config!$B$4,"yyyy-mm-dd"))</f>
        <v/>
      </c>
      <c r="T1267" t="str">
        <f>IF($AS1267="","",Config!$B$17)</f>
        <v/>
      </c>
      <c r="U1267" t="str">
        <f>IF($AS1267="","",Config!$B$18)</f>
        <v/>
      </c>
      <c r="V1267" t="str">
        <f>IF($AS1267="","",Config!$B$19)</f>
        <v/>
      </c>
      <c r="W1267" t="str">
        <f>IF($AS1267="","",INDEX('TMP Paste'!$C$2:$C$1601,$AS1267))</f>
        <v/>
      </c>
      <c r="X1267" t="str">
        <f>IF($AS1267="","",Config!$B$29)</f>
        <v/>
      </c>
      <c r="Y1267" t="str">
        <f>IF($AT1267="","",INDEX(Calc!$I$2:$I$1601,$AT1267)&amp;" - "&amp;INDEX(Calc!$D$2:$D$1601,$AT1267)&amp;" koli")</f>
        <v/>
      </c>
      <c r="Z1267" t="str">
        <f>IF($AS1267="","",Config!$B$21)</f>
        <v/>
      </c>
      <c r="AA1267" t="str">
        <f>IF($AS1267="","",Config!$B$22)</f>
        <v/>
      </c>
      <c r="AB1267" t="str">
        <f>IF($AT1267="","",INDEX(Calc!$D$2:$D$1601,$AT1267))</f>
        <v/>
      </c>
      <c r="AC1267" t="str">
        <f>IF($AT1267="","",INDEX(Calc!$G$2:$G$1601,$AT1267))</f>
        <v/>
      </c>
      <c r="AD1267" t="str">
        <f>IF($AS1267="","",Config!$B$23)</f>
        <v/>
      </c>
      <c r="AE1267" t="str">
        <f>IF($AS1267="","",Config!$B$28)</f>
        <v/>
      </c>
      <c r="AF1267" t="str">
        <f t="shared" si="116"/>
        <v/>
      </c>
      <c r="AG1267" t="str">
        <f t="shared" si="117"/>
        <v/>
      </c>
      <c r="AH1267" t="str">
        <f t="shared" si="118"/>
        <v/>
      </c>
      <c r="AI1267" t="str">
        <f>IF($AG1267="","",SUMIF($AG$2:$AG1267,$AG1267,$AH$2:$AH1267))</f>
        <v/>
      </c>
      <c r="AJ1267" t="str">
        <f>IF('TMP Paste'!$F1267="","",IF('TMP Paste'!$B1267="",$AJ1266,'TMP Paste'!$B1267))</f>
        <v/>
      </c>
      <c r="AK1267" t="str">
        <f>IF('TMP Paste'!$F1267="","",N('TMP Paste'!$G1267))</f>
        <v/>
      </c>
      <c r="AL1267" t="str">
        <f>IF('TMP Paste'!$F1267="","",IF('TMP Paste'!$M1267="",$AL1266,'TMP Paste'!$M1267))</f>
        <v/>
      </c>
      <c r="AM1267" t="str">
        <f>IF('TMP Paste'!$F1267="","",IF('TMP Paste'!$N1267="",$AM1266,'TMP Paste'!$N1267))</f>
        <v/>
      </c>
      <c r="AN1267" t="str">
        <f>IF('TMP Paste'!$F1267="","",IF('TMP Paste'!$O1267="",$AN1266,'TMP Paste'!$O1267))</f>
        <v/>
      </c>
      <c r="AO1267" t="str">
        <f>IF('TMP Paste'!$F1267="","",IF('TMP Paste'!$P1267="",$AO1266,'TMP Paste'!$P1267))</f>
        <v/>
      </c>
      <c r="AP1267" t="str">
        <f t="shared" si="119"/>
        <v/>
      </c>
      <c r="AQ1267" t="str">
        <f>IF($AS1267="","",TRIM(IF(COUNTIFS(Calc!$B$2:$B$1601,ROW()-1,Calc!$C$2:$C$1601,"&lt;1")&gt;0,"Ada PO tanpa Koli - cek TMP. ","")&amp;IF(OR($AU1267="",$AU1267&lt;=0),"Volume kosong/0 - dimensi dikosongkan. ","")&amp;IF(AND($AU1267&lt;&gt;"",$AU1267&gt;=1000000),"Volume &gt;= 1.000.000 cm3 (di luar aturan) - dimensi dikosongkan. ","")&amp;IF(LEN($R1267)&gt;500,"R &gt; 500 karakter.","")))</f>
        <v/>
      </c>
      <c r="AS1267" t="str">
        <f>IFERROR(MATCH(ROW()-1,Calc!$J$2:$J$1601,0),"")</f>
        <v/>
      </c>
      <c r="AT1267" t="str">
        <f>IFERROR(MATCH(ROW()-1,Calc!$K$2:$K$1601,0),"")</f>
        <v/>
      </c>
      <c r="AU1267" t="str">
        <f>IF($AS1267="","",IFERROR(INDEX('TMP Paste'!$D$2:$D$1601,$AS1267)*1000000/$AB1267,""))</f>
        <v/>
      </c>
    </row>
    <row r="1268" spans="1:47">
      <c r="A1268" t="str">
        <f>IF($AS1268="","",INDEX('TMP Paste'!$B$2:$B$1601,$AS1268))</f>
        <v/>
      </c>
      <c r="B1268" t="str">
        <f>IF($AS1268="","",Config!$B$14)</f>
        <v/>
      </c>
      <c r="C1268" t="str">
        <f>IF($AS1268="","",Config!$B$15)</f>
        <v/>
      </c>
      <c r="D1268" t="str">
        <f>IF($AS1268="","",INDEX('TMP Paste'!$B$2:$B$1601,$AS1268))</f>
        <v/>
      </c>
      <c r="E1268" t="str">
        <f>IF($AS1268="","",Config!$B$27)</f>
        <v/>
      </c>
      <c r="F1268" t="str">
        <f>IF($AS1268="","",Config!$B$9)</f>
        <v/>
      </c>
      <c r="G1268" t="str">
        <f>IF($AS1268="","",Config!$B$10)</f>
        <v/>
      </c>
      <c r="H1268" t="str">
        <f>IF($AS1268="","",Config!$B$11)</f>
        <v/>
      </c>
      <c r="I1268" t="str">
        <f>IF($AS1268="","",Config!$B$16)</f>
        <v/>
      </c>
      <c r="J1268" t="str">
        <f>IF($AS1268="","",INDEX('TMP Paste'!$A$2:$A$1601,$AS1268))</f>
        <v/>
      </c>
      <c r="K1268" t="str">
        <f>IF($AS1268="","",INDEX('TMP Paste'!$L$2:$L$1601,$AS1268))</f>
        <v/>
      </c>
      <c r="L1268" t="str">
        <f>IF($AS1268="","",INDEX('TMP Paste'!$I$2:$I$1601,$AS1268))</f>
        <v/>
      </c>
      <c r="M1268" t="str">
        <f>IF($AS1268="","",Config!$B$16)</f>
        <v/>
      </c>
      <c r="N1268" t="str">
        <f t="shared" si="114"/>
        <v/>
      </c>
      <c r="O1268" t="str">
        <f>IF($AS1268="","",INDEX('TMP Paste'!$K$2:$K$1601,$AS1268))</f>
        <v/>
      </c>
      <c r="P1268" t="str">
        <f t="shared" si="115"/>
        <v/>
      </c>
      <c r="Q1268" t="str">
        <f>IF($AS1268="","",INDEX('TMP Paste'!$J$2:$J$1601,$AS1268))</f>
        <v/>
      </c>
      <c r="R1268" t="str">
        <f>IF($AS1268="","",Config!$B$24)</f>
        <v/>
      </c>
      <c r="S1268" t="str">
        <f ca="1">IF($AS1268="","",TEXT(Config!$B$4,"yyyy-mm-dd"))</f>
        <v/>
      </c>
      <c r="T1268" t="str">
        <f>IF($AS1268="","",Config!$B$17)</f>
        <v/>
      </c>
      <c r="U1268" t="str">
        <f>IF($AS1268="","",Config!$B$18)</f>
        <v/>
      </c>
      <c r="V1268" t="str">
        <f>IF($AS1268="","",Config!$B$19)</f>
        <v/>
      </c>
      <c r="W1268" t="str">
        <f>IF($AS1268="","",INDEX('TMP Paste'!$C$2:$C$1601,$AS1268))</f>
        <v/>
      </c>
      <c r="X1268" t="str">
        <f>IF($AS1268="","",Config!$B$29)</f>
        <v/>
      </c>
      <c r="Y1268" t="str">
        <f>IF($AT1268="","",INDEX(Calc!$I$2:$I$1601,$AT1268)&amp;" - "&amp;INDEX(Calc!$D$2:$D$1601,$AT1268)&amp;" koli")</f>
        <v/>
      </c>
      <c r="Z1268" t="str">
        <f>IF($AS1268="","",Config!$B$21)</f>
        <v/>
      </c>
      <c r="AA1268" t="str">
        <f>IF($AS1268="","",Config!$B$22)</f>
        <v/>
      </c>
      <c r="AB1268" t="str">
        <f>IF($AT1268="","",INDEX(Calc!$D$2:$D$1601,$AT1268))</f>
        <v/>
      </c>
      <c r="AC1268" t="str">
        <f>IF($AT1268="","",INDEX(Calc!$G$2:$G$1601,$AT1268))</f>
        <v/>
      </c>
      <c r="AD1268" t="str">
        <f>IF($AS1268="","",Config!$B$23)</f>
        <v/>
      </c>
      <c r="AE1268" t="str">
        <f>IF($AS1268="","",Config!$B$28)</f>
        <v/>
      </c>
      <c r="AF1268" t="str">
        <f t="shared" si="116"/>
        <v/>
      </c>
      <c r="AG1268" t="str">
        <f t="shared" si="117"/>
        <v/>
      </c>
      <c r="AH1268" t="str">
        <f t="shared" si="118"/>
        <v/>
      </c>
      <c r="AI1268" t="str">
        <f>IF($AG1268="","",SUMIF($AG$2:$AG1268,$AG1268,$AH$2:$AH1268))</f>
        <v/>
      </c>
      <c r="AJ1268" t="str">
        <f>IF('TMP Paste'!$F1268="","",IF('TMP Paste'!$B1268="",$AJ1267,'TMP Paste'!$B1268))</f>
        <v/>
      </c>
      <c r="AK1268" t="str">
        <f>IF('TMP Paste'!$F1268="","",N('TMP Paste'!$G1268))</f>
        <v/>
      </c>
      <c r="AL1268" t="str">
        <f>IF('TMP Paste'!$F1268="","",IF('TMP Paste'!$M1268="",$AL1267,'TMP Paste'!$M1268))</f>
        <v/>
      </c>
      <c r="AM1268" t="str">
        <f>IF('TMP Paste'!$F1268="","",IF('TMP Paste'!$N1268="",$AM1267,'TMP Paste'!$N1268))</f>
        <v/>
      </c>
      <c r="AN1268" t="str">
        <f>IF('TMP Paste'!$F1268="","",IF('TMP Paste'!$O1268="",$AN1267,'TMP Paste'!$O1268))</f>
        <v/>
      </c>
      <c r="AO1268" t="str">
        <f>IF('TMP Paste'!$F1268="","",IF('TMP Paste'!$P1268="",$AO1267,'TMP Paste'!$P1268))</f>
        <v/>
      </c>
      <c r="AP1268" t="str">
        <f t="shared" si="119"/>
        <v/>
      </c>
      <c r="AQ1268" t="str">
        <f>IF($AS1268="","",TRIM(IF(COUNTIFS(Calc!$B$2:$B$1601,ROW()-1,Calc!$C$2:$C$1601,"&lt;1")&gt;0,"Ada PO tanpa Koli - cek TMP. ","")&amp;IF(OR($AU1268="",$AU1268&lt;=0),"Volume kosong/0 - dimensi dikosongkan. ","")&amp;IF(AND($AU1268&lt;&gt;"",$AU1268&gt;=1000000),"Volume &gt;= 1.000.000 cm3 (di luar aturan) - dimensi dikosongkan. ","")&amp;IF(LEN($R1268)&gt;500,"R &gt; 500 karakter.","")))</f>
        <v/>
      </c>
      <c r="AS1268" t="str">
        <f>IFERROR(MATCH(ROW()-1,Calc!$J$2:$J$1601,0),"")</f>
        <v/>
      </c>
      <c r="AT1268" t="str">
        <f>IFERROR(MATCH(ROW()-1,Calc!$K$2:$K$1601,0),"")</f>
        <v/>
      </c>
      <c r="AU1268" t="str">
        <f>IF($AS1268="","",IFERROR(INDEX('TMP Paste'!$D$2:$D$1601,$AS1268)*1000000/$AB1268,""))</f>
        <v/>
      </c>
    </row>
    <row r="1269" spans="1:47">
      <c r="A1269" t="str">
        <f>IF($AS1269="","",INDEX('TMP Paste'!$B$2:$B$1601,$AS1269))</f>
        <v/>
      </c>
      <c r="B1269" t="str">
        <f>IF($AS1269="","",Config!$B$14)</f>
        <v/>
      </c>
      <c r="C1269" t="str">
        <f>IF($AS1269="","",Config!$B$15)</f>
        <v/>
      </c>
      <c r="D1269" t="str">
        <f>IF($AS1269="","",INDEX('TMP Paste'!$B$2:$B$1601,$AS1269))</f>
        <v/>
      </c>
      <c r="E1269" t="str">
        <f>IF($AS1269="","",Config!$B$27)</f>
        <v/>
      </c>
      <c r="F1269" t="str">
        <f>IF($AS1269="","",Config!$B$9)</f>
        <v/>
      </c>
      <c r="G1269" t="str">
        <f>IF($AS1269="","",Config!$B$10)</f>
        <v/>
      </c>
      <c r="H1269" t="str">
        <f>IF($AS1269="","",Config!$B$11)</f>
        <v/>
      </c>
      <c r="I1269" t="str">
        <f>IF($AS1269="","",Config!$B$16)</f>
        <v/>
      </c>
      <c r="J1269" t="str">
        <f>IF($AS1269="","",INDEX('TMP Paste'!$A$2:$A$1601,$AS1269))</f>
        <v/>
      </c>
      <c r="K1269" t="str">
        <f>IF($AS1269="","",INDEX('TMP Paste'!$L$2:$L$1601,$AS1269))</f>
        <v/>
      </c>
      <c r="L1269" t="str">
        <f>IF($AS1269="","",INDEX('TMP Paste'!$I$2:$I$1601,$AS1269))</f>
        <v/>
      </c>
      <c r="M1269" t="str">
        <f>IF($AS1269="","",Config!$B$16)</f>
        <v/>
      </c>
      <c r="N1269" t="str">
        <f t="shared" si="114"/>
        <v/>
      </c>
      <c r="O1269" t="str">
        <f>IF($AS1269="","",INDEX('TMP Paste'!$K$2:$K$1601,$AS1269))</f>
        <v/>
      </c>
      <c r="P1269" t="str">
        <f t="shared" si="115"/>
        <v/>
      </c>
      <c r="Q1269" t="str">
        <f>IF($AS1269="","",INDEX('TMP Paste'!$J$2:$J$1601,$AS1269))</f>
        <v/>
      </c>
      <c r="R1269" t="str">
        <f>IF($AS1269="","",Config!$B$24)</f>
        <v/>
      </c>
      <c r="S1269" t="str">
        <f ca="1">IF($AS1269="","",TEXT(Config!$B$4,"yyyy-mm-dd"))</f>
        <v/>
      </c>
      <c r="T1269" t="str">
        <f>IF($AS1269="","",Config!$B$17)</f>
        <v/>
      </c>
      <c r="U1269" t="str">
        <f>IF($AS1269="","",Config!$B$18)</f>
        <v/>
      </c>
      <c r="V1269" t="str">
        <f>IF($AS1269="","",Config!$B$19)</f>
        <v/>
      </c>
      <c r="W1269" t="str">
        <f>IF($AS1269="","",INDEX('TMP Paste'!$C$2:$C$1601,$AS1269))</f>
        <v/>
      </c>
      <c r="X1269" t="str">
        <f>IF($AS1269="","",Config!$B$29)</f>
        <v/>
      </c>
      <c r="Y1269" t="str">
        <f>IF($AT1269="","",INDEX(Calc!$I$2:$I$1601,$AT1269)&amp;" - "&amp;INDEX(Calc!$D$2:$D$1601,$AT1269)&amp;" koli")</f>
        <v/>
      </c>
      <c r="Z1269" t="str">
        <f>IF($AS1269="","",Config!$B$21)</f>
        <v/>
      </c>
      <c r="AA1269" t="str">
        <f>IF($AS1269="","",Config!$B$22)</f>
        <v/>
      </c>
      <c r="AB1269" t="str">
        <f>IF($AT1269="","",INDEX(Calc!$D$2:$D$1601,$AT1269))</f>
        <v/>
      </c>
      <c r="AC1269" t="str">
        <f>IF($AT1269="","",INDEX(Calc!$G$2:$G$1601,$AT1269))</f>
        <v/>
      </c>
      <c r="AD1269" t="str">
        <f>IF($AS1269="","",Config!$B$23)</f>
        <v/>
      </c>
      <c r="AE1269" t="str">
        <f>IF($AS1269="","",Config!$B$28)</f>
        <v/>
      </c>
      <c r="AF1269" t="str">
        <f t="shared" si="116"/>
        <v/>
      </c>
      <c r="AG1269" t="str">
        <f t="shared" si="117"/>
        <v/>
      </c>
      <c r="AH1269" t="str">
        <f t="shared" si="118"/>
        <v/>
      </c>
      <c r="AI1269" t="str">
        <f>IF($AG1269="","",SUMIF($AG$2:$AG1269,$AG1269,$AH$2:$AH1269))</f>
        <v/>
      </c>
      <c r="AJ1269" t="str">
        <f>IF('TMP Paste'!$F1269="","",IF('TMP Paste'!$B1269="",$AJ1268,'TMP Paste'!$B1269))</f>
        <v/>
      </c>
      <c r="AK1269" t="str">
        <f>IF('TMP Paste'!$F1269="","",N('TMP Paste'!$G1269))</f>
        <v/>
      </c>
      <c r="AL1269" t="str">
        <f>IF('TMP Paste'!$F1269="","",IF('TMP Paste'!$M1269="",$AL1268,'TMP Paste'!$M1269))</f>
        <v/>
      </c>
      <c r="AM1269" t="str">
        <f>IF('TMP Paste'!$F1269="","",IF('TMP Paste'!$N1269="",$AM1268,'TMP Paste'!$N1269))</f>
        <v/>
      </c>
      <c r="AN1269" t="str">
        <f>IF('TMP Paste'!$F1269="","",IF('TMP Paste'!$O1269="",$AN1268,'TMP Paste'!$O1269))</f>
        <v/>
      </c>
      <c r="AO1269" t="str">
        <f>IF('TMP Paste'!$F1269="","",IF('TMP Paste'!$P1269="",$AO1268,'TMP Paste'!$P1269))</f>
        <v/>
      </c>
      <c r="AP1269" t="str">
        <f t="shared" si="119"/>
        <v/>
      </c>
      <c r="AQ1269" t="str">
        <f>IF($AS1269="","",TRIM(IF(COUNTIFS(Calc!$B$2:$B$1601,ROW()-1,Calc!$C$2:$C$1601,"&lt;1")&gt;0,"Ada PO tanpa Koli - cek TMP. ","")&amp;IF(OR($AU1269="",$AU1269&lt;=0),"Volume kosong/0 - dimensi dikosongkan. ","")&amp;IF(AND($AU1269&lt;&gt;"",$AU1269&gt;=1000000),"Volume &gt;= 1.000.000 cm3 (di luar aturan) - dimensi dikosongkan. ","")&amp;IF(LEN($R1269)&gt;500,"R &gt; 500 karakter.","")))</f>
        <v/>
      </c>
      <c r="AS1269" t="str">
        <f>IFERROR(MATCH(ROW()-1,Calc!$J$2:$J$1601,0),"")</f>
        <v/>
      </c>
      <c r="AT1269" t="str">
        <f>IFERROR(MATCH(ROW()-1,Calc!$K$2:$K$1601,0),"")</f>
        <v/>
      </c>
      <c r="AU1269" t="str">
        <f>IF($AS1269="","",IFERROR(INDEX('TMP Paste'!$D$2:$D$1601,$AS1269)*1000000/$AB1269,""))</f>
        <v/>
      </c>
    </row>
    <row r="1270" spans="1:47">
      <c r="A1270" t="str">
        <f>IF($AS1270="","",INDEX('TMP Paste'!$B$2:$B$1601,$AS1270))</f>
        <v/>
      </c>
      <c r="B1270" t="str">
        <f>IF($AS1270="","",Config!$B$14)</f>
        <v/>
      </c>
      <c r="C1270" t="str">
        <f>IF($AS1270="","",Config!$B$15)</f>
        <v/>
      </c>
      <c r="D1270" t="str">
        <f>IF($AS1270="","",INDEX('TMP Paste'!$B$2:$B$1601,$AS1270))</f>
        <v/>
      </c>
      <c r="E1270" t="str">
        <f>IF($AS1270="","",Config!$B$27)</f>
        <v/>
      </c>
      <c r="F1270" t="str">
        <f>IF($AS1270="","",Config!$B$9)</f>
        <v/>
      </c>
      <c r="G1270" t="str">
        <f>IF($AS1270="","",Config!$B$10)</f>
        <v/>
      </c>
      <c r="H1270" t="str">
        <f>IF($AS1270="","",Config!$B$11)</f>
        <v/>
      </c>
      <c r="I1270" t="str">
        <f>IF($AS1270="","",Config!$B$16)</f>
        <v/>
      </c>
      <c r="J1270" t="str">
        <f>IF($AS1270="","",INDEX('TMP Paste'!$A$2:$A$1601,$AS1270))</f>
        <v/>
      </c>
      <c r="K1270" t="str">
        <f>IF($AS1270="","",INDEX('TMP Paste'!$L$2:$L$1601,$AS1270))</f>
        <v/>
      </c>
      <c r="L1270" t="str">
        <f>IF($AS1270="","",INDEX('TMP Paste'!$I$2:$I$1601,$AS1270))</f>
        <v/>
      </c>
      <c r="M1270" t="str">
        <f>IF($AS1270="","",Config!$B$16)</f>
        <v/>
      </c>
      <c r="N1270" t="str">
        <f t="shared" si="114"/>
        <v/>
      </c>
      <c r="O1270" t="str">
        <f>IF($AS1270="","",INDEX('TMP Paste'!$K$2:$K$1601,$AS1270))</f>
        <v/>
      </c>
      <c r="P1270" t="str">
        <f t="shared" si="115"/>
        <v/>
      </c>
      <c r="Q1270" t="str">
        <f>IF($AS1270="","",INDEX('TMP Paste'!$J$2:$J$1601,$AS1270))</f>
        <v/>
      </c>
      <c r="R1270" t="str">
        <f>IF($AS1270="","",Config!$B$24)</f>
        <v/>
      </c>
      <c r="S1270" t="str">
        <f ca="1">IF($AS1270="","",TEXT(Config!$B$4,"yyyy-mm-dd"))</f>
        <v/>
      </c>
      <c r="T1270" t="str">
        <f>IF($AS1270="","",Config!$B$17)</f>
        <v/>
      </c>
      <c r="U1270" t="str">
        <f>IF($AS1270="","",Config!$B$18)</f>
        <v/>
      </c>
      <c r="V1270" t="str">
        <f>IF($AS1270="","",Config!$B$19)</f>
        <v/>
      </c>
      <c r="W1270" t="str">
        <f>IF($AS1270="","",INDEX('TMP Paste'!$C$2:$C$1601,$AS1270))</f>
        <v/>
      </c>
      <c r="X1270" t="str">
        <f>IF($AS1270="","",Config!$B$29)</f>
        <v/>
      </c>
      <c r="Y1270" t="str">
        <f>IF($AT1270="","",INDEX(Calc!$I$2:$I$1601,$AT1270)&amp;" - "&amp;INDEX(Calc!$D$2:$D$1601,$AT1270)&amp;" koli")</f>
        <v/>
      </c>
      <c r="Z1270" t="str">
        <f>IF($AS1270="","",Config!$B$21)</f>
        <v/>
      </c>
      <c r="AA1270" t="str">
        <f>IF($AS1270="","",Config!$B$22)</f>
        <v/>
      </c>
      <c r="AB1270" t="str">
        <f>IF($AT1270="","",INDEX(Calc!$D$2:$D$1601,$AT1270))</f>
        <v/>
      </c>
      <c r="AC1270" t="str">
        <f>IF($AT1270="","",INDEX(Calc!$G$2:$G$1601,$AT1270))</f>
        <v/>
      </c>
      <c r="AD1270" t="str">
        <f>IF($AS1270="","",Config!$B$23)</f>
        <v/>
      </c>
      <c r="AE1270" t="str">
        <f>IF($AS1270="","",Config!$B$28)</f>
        <v/>
      </c>
      <c r="AF1270" t="str">
        <f t="shared" si="116"/>
        <v/>
      </c>
      <c r="AG1270" t="str">
        <f t="shared" si="117"/>
        <v/>
      </c>
      <c r="AH1270" t="str">
        <f t="shared" si="118"/>
        <v/>
      </c>
      <c r="AI1270" t="str">
        <f>IF($AG1270="","",SUMIF($AG$2:$AG1270,$AG1270,$AH$2:$AH1270))</f>
        <v/>
      </c>
      <c r="AJ1270" t="str">
        <f>IF('TMP Paste'!$F1270="","",IF('TMP Paste'!$B1270="",$AJ1269,'TMP Paste'!$B1270))</f>
        <v/>
      </c>
      <c r="AK1270" t="str">
        <f>IF('TMP Paste'!$F1270="","",N('TMP Paste'!$G1270))</f>
        <v/>
      </c>
      <c r="AL1270" t="str">
        <f>IF('TMP Paste'!$F1270="","",IF('TMP Paste'!$M1270="",$AL1269,'TMP Paste'!$M1270))</f>
        <v/>
      </c>
      <c r="AM1270" t="str">
        <f>IF('TMP Paste'!$F1270="","",IF('TMP Paste'!$N1270="",$AM1269,'TMP Paste'!$N1270))</f>
        <v/>
      </c>
      <c r="AN1270" t="str">
        <f>IF('TMP Paste'!$F1270="","",IF('TMP Paste'!$O1270="",$AN1269,'TMP Paste'!$O1270))</f>
        <v/>
      </c>
      <c r="AO1270" t="str">
        <f>IF('TMP Paste'!$F1270="","",IF('TMP Paste'!$P1270="",$AO1269,'TMP Paste'!$P1270))</f>
        <v/>
      </c>
      <c r="AP1270" t="str">
        <f t="shared" si="119"/>
        <v/>
      </c>
      <c r="AQ1270" t="str">
        <f>IF($AS1270="","",TRIM(IF(COUNTIFS(Calc!$B$2:$B$1601,ROW()-1,Calc!$C$2:$C$1601,"&lt;1")&gt;0,"Ada PO tanpa Koli - cek TMP. ","")&amp;IF(OR($AU1270="",$AU1270&lt;=0),"Volume kosong/0 - dimensi dikosongkan. ","")&amp;IF(AND($AU1270&lt;&gt;"",$AU1270&gt;=1000000),"Volume &gt;= 1.000.000 cm3 (di luar aturan) - dimensi dikosongkan. ","")&amp;IF(LEN($R1270)&gt;500,"R &gt; 500 karakter.","")))</f>
        <v/>
      </c>
      <c r="AS1270" t="str">
        <f>IFERROR(MATCH(ROW()-1,Calc!$J$2:$J$1601,0),"")</f>
        <v/>
      </c>
      <c r="AT1270" t="str">
        <f>IFERROR(MATCH(ROW()-1,Calc!$K$2:$K$1601,0),"")</f>
        <v/>
      </c>
      <c r="AU1270" t="str">
        <f>IF($AS1270="","",IFERROR(INDEX('TMP Paste'!$D$2:$D$1601,$AS1270)*1000000/$AB1270,""))</f>
        <v/>
      </c>
    </row>
    <row r="1271" spans="1:47">
      <c r="A1271" t="str">
        <f>IF($AS1271="","",INDEX('TMP Paste'!$B$2:$B$1601,$AS1271))</f>
        <v/>
      </c>
      <c r="B1271" t="str">
        <f>IF($AS1271="","",Config!$B$14)</f>
        <v/>
      </c>
      <c r="C1271" t="str">
        <f>IF($AS1271="","",Config!$B$15)</f>
        <v/>
      </c>
      <c r="D1271" t="str">
        <f>IF($AS1271="","",INDEX('TMP Paste'!$B$2:$B$1601,$AS1271))</f>
        <v/>
      </c>
      <c r="E1271" t="str">
        <f>IF($AS1271="","",Config!$B$27)</f>
        <v/>
      </c>
      <c r="F1271" t="str">
        <f>IF($AS1271="","",Config!$B$9)</f>
        <v/>
      </c>
      <c r="G1271" t="str">
        <f>IF($AS1271="","",Config!$B$10)</f>
        <v/>
      </c>
      <c r="H1271" t="str">
        <f>IF($AS1271="","",Config!$B$11)</f>
        <v/>
      </c>
      <c r="I1271" t="str">
        <f>IF($AS1271="","",Config!$B$16)</f>
        <v/>
      </c>
      <c r="J1271" t="str">
        <f>IF($AS1271="","",INDEX('TMP Paste'!$A$2:$A$1601,$AS1271))</f>
        <v/>
      </c>
      <c r="K1271" t="str">
        <f>IF($AS1271="","",INDEX('TMP Paste'!$L$2:$L$1601,$AS1271))</f>
        <v/>
      </c>
      <c r="L1271" t="str">
        <f>IF($AS1271="","",INDEX('TMP Paste'!$I$2:$I$1601,$AS1271))</f>
        <v/>
      </c>
      <c r="M1271" t="str">
        <f>IF($AS1271="","",Config!$B$16)</f>
        <v/>
      </c>
      <c r="N1271" t="str">
        <f t="shared" si="114"/>
        <v/>
      </c>
      <c r="O1271" t="str">
        <f>IF($AS1271="","",INDEX('TMP Paste'!$K$2:$K$1601,$AS1271))</f>
        <v/>
      </c>
      <c r="P1271" t="str">
        <f t="shared" si="115"/>
        <v/>
      </c>
      <c r="Q1271" t="str">
        <f>IF($AS1271="","",INDEX('TMP Paste'!$J$2:$J$1601,$AS1271))</f>
        <v/>
      </c>
      <c r="R1271" t="str">
        <f>IF($AS1271="","",Config!$B$24)</f>
        <v/>
      </c>
      <c r="S1271" t="str">
        <f ca="1">IF($AS1271="","",TEXT(Config!$B$4,"yyyy-mm-dd"))</f>
        <v/>
      </c>
      <c r="T1271" t="str">
        <f>IF($AS1271="","",Config!$B$17)</f>
        <v/>
      </c>
      <c r="U1271" t="str">
        <f>IF($AS1271="","",Config!$B$18)</f>
        <v/>
      </c>
      <c r="V1271" t="str">
        <f>IF($AS1271="","",Config!$B$19)</f>
        <v/>
      </c>
      <c r="W1271" t="str">
        <f>IF($AS1271="","",INDEX('TMP Paste'!$C$2:$C$1601,$AS1271))</f>
        <v/>
      </c>
      <c r="X1271" t="str">
        <f>IF($AS1271="","",Config!$B$29)</f>
        <v/>
      </c>
      <c r="Y1271" t="str">
        <f>IF($AT1271="","",INDEX(Calc!$I$2:$I$1601,$AT1271)&amp;" - "&amp;INDEX(Calc!$D$2:$D$1601,$AT1271)&amp;" koli")</f>
        <v/>
      </c>
      <c r="Z1271" t="str">
        <f>IF($AS1271="","",Config!$B$21)</f>
        <v/>
      </c>
      <c r="AA1271" t="str">
        <f>IF($AS1271="","",Config!$B$22)</f>
        <v/>
      </c>
      <c r="AB1271" t="str">
        <f>IF($AT1271="","",INDEX(Calc!$D$2:$D$1601,$AT1271))</f>
        <v/>
      </c>
      <c r="AC1271" t="str">
        <f>IF($AT1271="","",INDEX(Calc!$G$2:$G$1601,$AT1271))</f>
        <v/>
      </c>
      <c r="AD1271" t="str">
        <f>IF($AS1271="","",Config!$B$23)</f>
        <v/>
      </c>
      <c r="AE1271" t="str">
        <f>IF($AS1271="","",Config!$B$28)</f>
        <v/>
      </c>
      <c r="AF1271" t="str">
        <f t="shared" si="116"/>
        <v/>
      </c>
      <c r="AG1271" t="str">
        <f t="shared" si="117"/>
        <v/>
      </c>
      <c r="AH1271" t="str">
        <f t="shared" si="118"/>
        <v/>
      </c>
      <c r="AI1271" t="str">
        <f>IF($AG1271="","",SUMIF($AG$2:$AG1271,$AG1271,$AH$2:$AH1271))</f>
        <v/>
      </c>
      <c r="AJ1271" t="str">
        <f>IF('TMP Paste'!$F1271="","",IF('TMP Paste'!$B1271="",$AJ1270,'TMP Paste'!$B1271))</f>
        <v/>
      </c>
      <c r="AK1271" t="str">
        <f>IF('TMP Paste'!$F1271="","",N('TMP Paste'!$G1271))</f>
        <v/>
      </c>
      <c r="AL1271" t="str">
        <f>IF('TMP Paste'!$F1271="","",IF('TMP Paste'!$M1271="",$AL1270,'TMP Paste'!$M1271))</f>
        <v/>
      </c>
      <c r="AM1271" t="str">
        <f>IF('TMP Paste'!$F1271="","",IF('TMP Paste'!$N1271="",$AM1270,'TMP Paste'!$N1271))</f>
        <v/>
      </c>
      <c r="AN1271" t="str">
        <f>IF('TMP Paste'!$F1271="","",IF('TMP Paste'!$O1271="",$AN1270,'TMP Paste'!$O1271))</f>
        <v/>
      </c>
      <c r="AO1271" t="str">
        <f>IF('TMP Paste'!$F1271="","",IF('TMP Paste'!$P1271="",$AO1270,'TMP Paste'!$P1271))</f>
        <v/>
      </c>
      <c r="AP1271" t="str">
        <f t="shared" si="119"/>
        <v/>
      </c>
      <c r="AQ1271" t="str">
        <f>IF($AS1271="","",TRIM(IF(COUNTIFS(Calc!$B$2:$B$1601,ROW()-1,Calc!$C$2:$C$1601,"&lt;1")&gt;0,"Ada PO tanpa Koli - cek TMP. ","")&amp;IF(OR($AU1271="",$AU1271&lt;=0),"Volume kosong/0 - dimensi dikosongkan. ","")&amp;IF(AND($AU1271&lt;&gt;"",$AU1271&gt;=1000000),"Volume &gt;= 1.000.000 cm3 (di luar aturan) - dimensi dikosongkan. ","")&amp;IF(LEN($R1271)&gt;500,"R &gt; 500 karakter.","")))</f>
        <v/>
      </c>
      <c r="AS1271" t="str">
        <f>IFERROR(MATCH(ROW()-1,Calc!$J$2:$J$1601,0),"")</f>
        <v/>
      </c>
      <c r="AT1271" t="str">
        <f>IFERROR(MATCH(ROW()-1,Calc!$K$2:$K$1601,0),"")</f>
        <v/>
      </c>
      <c r="AU1271" t="str">
        <f>IF($AS1271="","",IFERROR(INDEX('TMP Paste'!$D$2:$D$1601,$AS1271)*1000000/$AB1271,""))</f>
        <v/>
      </c>
    </row>
    <row r="1272" spans="1:47">
      <c r="A1272" t="str">
        <f>IF($AS1272="","",INDEX('TMP Paste'!$B$2:$B$1601,$AS1272))</f>
        <v/>
      </c>
      <c r="B1272" t="str">
        <f>IF($AS1272="","",Config!$B$14)</f>
        <v/>
      </c>
      <c r="C1272" t="str">
        <f>IF($AS1272="","",Config!$B$15)</f>
        <v/>
      </c>
      <c r="D1272" t="str">
        <f>IF($AS1272="","",INDEX('TMP Paste'!$B$2:$B$1601,$AS1272))</f>
        <v/>
      </c>
      <c r="E1272" t="str">
        <f>IF($AS1272="","",Config!$B$27)</f>
        <v/>
      </c>
      <c r="F1272" t="str">
        <f>IF($AS1272="","",Config!$B$9)</f>
        <v/>
      </c>
      <c r="G1272" t="str">
        <f>IF($AS1272="","",Config!$B$10)</f>
        <v/>
      </c>
      <c r="H1272" t="str">
        <f>IF($AS1272="","",Config!$B$11)</f>
        <v/>
      </c>
      <c r="I1272" t="str">
        <f>IF($AS1272="","",Config!$B$16)</f>
        <v/>
      </c>
      <c r="J1272" t="str">
        <f>IF($AS1272="","",INDEX('TMP Paste'!$A$2:$A$1601,$AS1272))</f>
        <v/>
      </c>
      <c r="K1272" t="str">
        <f>IF($AS1272="","",INDEX('TMP Paste'!$L$2:$L$1601,$AS1272))</f>
        <v/>
      </c>
      <c r="L1272" t="str">
        <f>IF($AS1272="","",INDEX('TMP Paste'!$I$2:$I$1601,$AS1272))</f>
        <v/>
      </c>
      <c r="M1272" t="str">
        <f>IF($AS1272="","",Config!$B$16)</f>
        <v/>
      </c>
      <c r="N1272" t="str">
        <f t="shared" si="114"/>
        <v/>
      </c>
      <c r="O1272" t="str">
        <f>IF($AS1272="","",INDEX('TMP Paste'!$K$2:$K$1601,$AS1272))</f>
        <v/>
      </c>
      <c r="P1272" t="str">
        <f t="shared" si="115"/>
        <v/>
      </c>
      <c r="Q1272" t="str">
        <f>IF($AS1272="","",INDEX('TMP Paste'!$J$2:$J$1601,$AS1272))</f>
        <v/>
      </c>
      <c r="R1272" t="str">
        <f>IF($AS1272="","",Config!$B$24)</f>
        <v/>
      </c>
      <c r="S1272" t="str">
        <f ca="1">IF($AS1272="","",TEXT(Config!$B$4,"yyyy-mm-dd"))</f>
        <v/>
      </c>
      <c r="T1272" t="str">
        <f>IF($AS1272="","",Config!$B$17)</f>
        <v/>
      </c>
      <c r="U1272" t="str">
        <f>IF($AS1272="","",Config!$B$18)</f>
        <v/>
      </c>
      <c r="V1272" t="str">
        <f>IF($AS1272="","",Config!$B$19)</f>
        <v/>
      </c>
      <c r="W1272" t="str">
        <f>IF($AS1272="","",INDEX('TMP Paste'!$C$2:$C$1601,$AS1272))</f>
        <v/>
      </c>
      <c r="X1272" t="str">
        <f>IF($AS1272="","",Config!$B$29)</f>
        <v/>
      </c>
      <c r="Y1272" t="str">
        <f>IF($AT1272="","",INDEX(Calc!$I$2:$I$1601,$AT1272)&amp;" - "&amp;INDEX(Calc!$D$2:$D$1601,$AT1272)&amp;" koli")</f>
        <v/>
      </c>
      <c r="Z1272" t="str">
        <f>IF($AS1272="","",Config!$B$21)</f>
        <v/>
      </c>
      <c r="AA1272" t="str">
        <f>IF($AS1272="","",Config!$B$22)</f>
        <v/>
      </c>
      <c r="AB1272" t="str">
        <f>IF($AT1272="","",INDEX(Calc!$D$2:$D$1601,$AT1272))</f>
        <v/>
      </c>
      <c r="AC1272" t="str">
        <f>IF($AT1272="","",INDEX(Calc!$G$2:$G$1601,$AT1272))</f>
        <v/>
      </c>
      <c r="AD1272" t="str">
        <f>IF($AS1272="","",Config!$B$23)</f>
        <v/>
      </c>
      <c r="AE1272" t="str">
        <f>IF($AS1272="","",Config!$B$28)</f>
        <v/>
      </c>
      <c r="AF1272" t="str">
        <f t="shared" si="116"/>
        <v/>
      </c>
      <c r="AG1272" t="str">
        <f t="shared" si="117"/>
        <v/>
      </c>
      <c r="AH1272" t="str">
        <f t="shared" si="118"/>
        <v/>
      </c>
      <c r="AI1272" t="str">
        <f>IF($AG1272="","",SUMIF($AG$2:$AG1272,$AG1272,$AH$2:$AH1272))</f>
        <v/>
      </c>
      <c r="AJ1272" t="str">
        <f>IF('TMP Paste'!$F1272="","",IF('TMP Paste'!$B1272="",$AJ1271,'TMP Paste'!$B1272))</f>
        <v/>
      </c>
      <c r="AK1272" t="str">
        <f>IF('TMP Paste'!$F1272="","",N('TMP Paste'!$G1272))</f>
        <v/>
      </c>
      <c r="AL1272" t="str">
        <f>IF('TMP Paste'!$F1272="","",IF('TMP Paste'!$M1272="",$AL1271,'TMP Paste'!$M1272))</f>
        <v/>
      </c>
      <c r="AM1272" t="str">
        <f>IF('TMP Paste'!$F1272="","",IF('TMP Paste'!$N1272="",$AM1271,'TMP Paste'!$N1272))</f>
        <v/>
      </c>
      <c r="AN1272" t="str">
        <f>IF('TMP Paste'!$F1272="","",IF('TMP Paste'!$O1272="",$AN1271,'TMP Paste'!$O1272))</f>
        <v/>
      </c>
      <c r="AO1272" t="str">
        <f>IF('TMP Paste'!$F1272="","",IF('TMP Paste'!$P1272="",$AO1271,'TMP Paste'!$P1272))</f>
        <v/>
      </c>
      <c r="AP1272" t="str">
        <f t="shared" si="119"/>
        <v/>
      </c>
      <c r="AQ1272" t="str">
        <f>IF($AS1272="","",TRIM(IF(COUNTIFS(Calc!$B$2:$B$1601,ROW()-1,Calc!$C$2:$C$1601,"&lt;1")&gt;0,"Ada PO tanpa Koli - cek TMP. ","")&amp;IF(OR($AU1272="",$AU1272&lt;=0),"Volume kosong/0 - dimensi dikosongkan. ","")&amp;IF(AND($AU1272&lt;&gt;"",$AU1272&gt;=1000000),"Volume &gt;= 1.000.000 cm3 (di luar aturan) - dimensi dikosongkan. ","")&amp;IF(LEN($R1272)&gt;500,"R &gt; 500 karakter.","")))</f>
        <v/>
      </c>
      <c r="AS1272" t="str">
        <f>IFERROR(MATCH(ROW()-1,Calc!$J$2:$J$1601,0),"")</f>
        <v/>
      </c>
      <c r="AT1272" t="str">
        <f>IFERROR(MATCH(ROW()-1,Calc!$K$2:$K$1601,0),"")</f>
        <v/>
      </c>
      <c r="AU1272" t="str">
        <f>IF($AS1272="","",IFERROR(INDEX('TMP Paste'!$D$2:$D$1601,$AS1272)*1000000/$AB1272,""))</f>
        <v/>
      </c>
    </row>
    <row r="1273" spans="1:47">
      <c r="A1273" t="str">
        <f>IF($AS1273="","",INDEX('TMP Paste'!$B$2:$B$1601,$AS1273))</f>
        <v/>
      </c>
      <c r="B1273" t="str">
        <f>IF($AS1273="","",Config!$B$14)</f>
        <v/>
      </c>
      <c r="C1273" t="str">
        <f>IF($AS1273="","",Config!$B$15)</f>
        <v/>
      </c>
      <c r="D1273" t="str">
        <f>IF($AS1273="","",INDEX('TMP Paste'!$B$2:$B$1601,$AS1273))</f>
        <v/>
      </c>
      <c r="E1273" t="str">
        <f>IF($AS1273="","",Config!$B$27)</f>
        <v/>
      </c>
      <c r="F1273" t="str">
        <f>IF($AS1273="","",Config!$B$9)</f>
        <v/>
      </c>
      <c r="G1273" t="str">
        <f>IF($AS1273="","",Config!$B$10)</f>
        <v/>
      </c>
      <c r="H1273" t="str">
        <f>IF($AS1273="","",Config!$B$11)</f>
        <v/>
      </c>
      <c r="I1273" t="str">
        <f>IF($AS1273="","",Config!$B$16)</f>
        <v/>
      </c>
      <c r="J1273" t="str">
        <f>IF($AS1273="","",INDEX('TMP Paste'!$A$2:$A$1601,$AS1273))</f>
        <v/>
      </c>
      <c r="K1273" t="str">
        <f>IF($AS1273="","",INDEX('TMP Paste'!$L$2:$L$1601,$AS1273))</f>
        <v/>
      </c>
      <c r="L1273" t="str">
        <f>IF($AS1273="","",INDEX('TMP Paste'!$I$2:$I$1601,$AS1273))</f>
        <v/>
      </c>
      <c r="M1273" t="str">
        <f>IF($AS1273="","",Config!$B$16)</f>
        <v/>
      </c>
      <c r="N1273" t="str">
        <f t="shared" si="114"/>
        <v/>
      </c>
      <c r="O1273" t="str">
        <f>IF($AS1273="","",INDEX('TMP Paste'!$K$2:$K$1601,$AS1273))</f>
        <v/>
      </c>
      <c r="P1273" t="str">
        <f t="shared" si="115"/>
        <v/>
      </c>
      <c r="Q1273" t="str">
        <f>IF($AS1273="","",INDEX('TMP Paste'!$J$2:$J$1601,$AS1273))</f>
        <v/>
      </c>
      <c r="R1273" t="str">
        <f>IF($AS1273="","",Config!$B$24)</f>
        <v/>
      </c>
      <c r="S1273" t="str">
        <f ca="1">IF($AS1273="","",TEXT(Config!$B$4,"yyyy-mm-dd"))</f>
        <v/>
      </c>
      <c r="T1273" t="str">
        <f>IF($AS1273="","",Config!$B$17)</f>
        <v/>
      </c>
      <c r="U1273" t="str">
        <f>IF($AS1273="","",Config!$B$18)</f>
        <v/>
      </c>
      <c r="V1273" t="str">
        <f>IF($AS1273="","",Config!$B$19)</f>
        <v/>
      </c>
      <c r="W1273" t="str">
        <f>IF($AS1273="","",INDEX('TMP Paste'!$C$2:$C$1601,$AS1273))</f>
        <v/>
      </c>
      <c r="X1273" t="str">
        <f>IF($AS1273="","",Config!$B$29)</f>
        <v/>
      </c>
      <c r="Y1273" t="str">
        <f>IF($AT1273="","",INDEX(Calc!$I$2:$I$1601,$AT1273)&amp;" - "&amp;INDEX(Calc!$D$2:$D$1601,$AT1273)&amp;" koli")</f>
        <v/>
      </c>
      <c r="Z1273" t="str">
        <f>IF($AS1273="","",Config!$B$21)</f>
        <v/>
      </c>
      <c r="AA1273" t="str">
        <f>IF($AS1273="","",Config!$B$22)</f>
        <v/>
      </c>
      <c r="AB1273" t="str">
        <f>IF($AT1273="","",INDEX(Calc!$D$2:$D$1601,$AT1273))</f>
        <v/>
      </c>
      <c r="AC1273" t="str">
        <f>IF($AT1273="","",INDEX(Calc!$G$2:$G$1601,$AT1273))</f>
        <v/>
      </c>
      <c r="AD1273" t="str">
        <f>IF($AS1273="","",Config!$B$23)</f>
        <v/>
      </c>
      <c r="AE1273" t="str">
        <f>IF($AS1273="","",Config!$B$28)</f>
        <v/>
      </c>
      <c r="AF1273" t="str">
        <f t="shared" si="116"/>
        <v/>
      </c>
      <c r="AG1273" t="str">
        <f t="shared" si="117"/>
        <v/>
      </c>
      <c r="AH1273" t="str">
        <f t="shared" si="118"/>
        <v/>
      </c>
      <c r="AI1273" t="str">
        <f>IF($AG1273="","",SUMIF($AG$2:$AG1273,$AG1273,$AH$2:$AH1273))</f>
        <v/>
      </c>
      <c r="AJ1273" t="str">
        <f>IF('TMP Paste'!$F1273="","",IF('TMP Paste'!$B1273="",$AJ1272,'TMP Paste'!$B1273))</f>
        <v/>
      </c>
      <c r="AK1273" t="str">
        <f>IF('TMP Paste'!$F1273="","",N('TMP Paste'!$G1273))</f>
        <v/>
      </c>
      <c r="AL1273" t="str">
        <f>IF('TMP Paste'!$F1273="","",IF('TMP Paste'!$M1273="",$AL1272,'TMP Paste'!$M1273))</f>
        <v/>
      </c>
      <c r="AM1273" t="str">
        <f>IF('TMP Paste'!$F1273="","",IF('TMP Paste'!$N1273="",$AM1272,'TMP Paste'!$N1273))</f>
        <v/>
      </c>
      <c r="AN1273" t="str">
        <f>IF('TMP Paste'!$F1273="","",IF('TMP Paste'!$O1273="",$AN1272,'TMP Paste'!$O1273))</f>
        <v/>
      </c>
      <c r="AO1273" t="str">
        <f>IF('TMP Paste'!$F1273="","",IF('TMP Paste'!$P1273="",$AO1272,'TMP Paste'!$P1273))</f>
        <v/>
      </c>
      <c r="AP1273" t="str">
        <f t="shared" si="119"/>
        <v/>
      </c>
      <c r="AQ1273" t="str">
        <f>IF($AS1273="","",TRIM(IF(COUNTIFS(Calc!$B$2:$B$1601,ROW()-1,Calc!$C$2:$C$1601,"&lt;1")&gt;0,"Ada PO tanpa Koli - cek TMP. ","")&amp;IF(OR($AU1273="",$AU1273&lt;=0),"Volume kosong/0 - dimensi dikosongkan. ","")&amp;IF(AND($AU1273&lt;&gt;"",$AU1273&gt;=1000000),"Volume &gt;= 1.000.000 cm3 (di luar aturan) - dimensi dikosongkan. ","")&amp;IF(LEN($R1273)&gt;500,"R &gt; 500 karakter.","")))</f>
        <v/>
      </c>
      <c r="AS1273" t="str">
        <f>IFERROR(MATCH(ROW()-1,Calc!$J$2:$J$1601,0),"")</f>
        <v/>
      </c>
      <c r="AT1273" t="str">
        <f>IFERROR(MATCH(ROW()-1,Calc!$K$2:$K$1601,0),"")</f>
        <v/>
      </c>
      <c r="AU1273" t="str">
        <f>IF($AS1273="","",IFERROR(INDEX('TMP Paste'!$D$2:$D$1601,$AS1273)*1000000/$AB1273,""))</f>
        <v/>
      </c>
    </row>
    <row r="1274" spans="1:47">
      <c r="A1274" t="str">
        <f>IF($AS1274="","",INDEX('TMP Paste'!$B$2:$B$1601,$AS1274))</f>
        <v/>
      </c>
      <c r="B1274" t="str">
        <f>IF($AS1274="","",Config!$B$14)</f>
        <v/>
      </c>
      <c r="C1274" t="str">
        <f>IF($AS1274="","",Config!$B$15)</f>
        <v/>
      </c>
      <c r="D1274" t="str">
        <f>IF($AS1274="","",INDEX('TMP Paste'!$B$2:$B$1601,$AS1274))</f>
        <v/>
      </c>
      <c r="E1274" t="str">
        <f>IF($AS1274="","",Config!$B$27)</f>
        <v/>
      </c>
      <c r="F1274" t="str">
        <f>IF($AS1274="","",Config!$B$9)</f>
        <v/>
      </c>
      <c r="G1274" t="str">
        <f>IF($AS1274="","",Config!$B$10)</f>
        <v/>
      </c>
      <c r="H1274" t="str">
        <f>IF($AS1274="","",Config!$B$11)</f>
        <v/>
      </c>
      <c r="I1274" t="str">
        <f>IF($AS1274="","",Config!$B$16)</f>
        <v/>
      </c>
      <c r="J1274" t="str">
        <f>IF($AS1274="","",INDEX('TMP Paste'!$A$2:$A$1601,$AS1274))</f>
        <v/>
      </c>
      <c r="K1274" t="str">
        <f>IF($AS1274="","",INDEX('TMP Paste'!$L$2:$L$1601,$AS1274))</f>
        <v/>
      </c>
      <c r="L1274" t="str">
        <f>IF($AS1274="","",INDEX('TMP Paste'!$I$2:$I$1601,$AS1274))</f>
        <v/>
      </c>
      <c r="M1274" t="str">
        <f>IF($AS1274="","",Config!$B$16)</f>
        <v/>
      </c>
      <c r="N1274" t="str">
        <f t="shared" si="114"/>
        <v/>
      </c>
      <c r="O1274" t="str">
        <f>IF($AS1274="","",INDEX('TMP Paste'!$K$2:$K$1601,$AS1274))</f>
        <v/>
      </c>
      <c r="P1274" t="str">
        <f t="shared" si="115"/>
        <v/>
      </c>
      <c r="Q1274" t="str">
        <f>IF($AS1274="","",INDEX('TMP Paste'!$J$2:$J$1601,$AS1274))</f>
        <v/>
      </c>
      <c r="R1274" t="str">
        <f>IF($AS1274="","",Config!$B$24)</f>
        <v/>
      </c>
      <c r="S1274" t="str">
        <f ca="1">IF($AS1274="","",TEXT(Config!$B$4,"yyyy-mm-dd"))</f>
        <v/>
      </c>
      <c r="T1274" t="str">
        <f>IF($AS1274="","",Config!$B$17)</f>
        <v/>
      </c>
      <c r="U1274" t="str">
        <f>IF($AS1274="","",Config!$B$18)</f>
        <v/>
      </c>
      <c r="V1274" t="str">
        <f>IF($AS1274="","",Config!$B$19)</f>
        <v/>
      </c>
      <c r="W1274" t="str">
        <f>IF($AS1274="","",INDEX('TMP Paste'!$C$2:$C$1601,$AS1274))</f>
        <v/>
      </c>
      <c r="X1274" t="str">
        <f>IF($AS1274="","",Config!$B$29)</f>
        <v/>
      </c>
      <c r="Y1274" t="str">
        <f>IF($AT1274="","",INDEX(Calc!$I$2:$I$1601,$AT1274)&amp;" - "&amp;INDEX(Calc!$D$2:$D$1601,$AT1274)&amp;" koli")</f>
        <v/>
      </c>
      <c r="Z1274" t="str">
        <f>IF($AS1274="","",Config!$B$21)</f>
        <v/>
      </c>
      <c r="AA1274" t="str">
        <f>IF($AS1274="","",Config!$B$22)</f>
        <v/>
      </c>
      <c r="AB1274" t="str">
        <f>IF($AT1274="","",INDEX(Calc!$D$2:$D$1601,$AT1274))</f>
        <v/>
      </c>
      <c r="AC1274" t="str">
        <f>IF($AT1274="","",INDEX(Calc!$G$2:$G$1601,$AT1274))</f>
        <v/>
      </c>
      <c r="AD1274" t="str">
        <f>IF($AS1274="","",Config!$B$23)</f>
        <v/>
      </c>
      <c r="AE1274" t="str">
        <f>IF($AS1274="","",Config!$B$28)</f>
        <v/>
      </c>
      <c r="AF1274" t="str">
        <f t="shared" si="116"/>
        <v/>
      </c>
      <c r="AG1274" t="str">
        <f t="shared" si="117"/>
        <v/>
      </c>
      <c r="AH1274" t="str">
        <f t="shared" si="118"/>
        <v/>
      </c>
      <c r="AI1274" t="str">
        <f>IF($AG1274="","",SUMIF($AG$2:$AG1274,$AG1274,$AH$2:$AH1274))</f>
        <v/>
      </c>
      <c r="AJ1274" t="str">
        <f>IF('TMP Paste'!$F1274="","",IF('TMP Paste'!$B1274="",$AJ1273,'TMP Paste'!$B1274))</f>
        <v/>
      </c>
      <c r="AK1274" t="str">
        <f>IF('TMP Paste'!$F1274="","",N('TMP Paste'!$G1274))</f>
        <v/>
      </c>
      <c r="AL1274" t="str">
        <f>IF('TMP Paste'!$F1274="","",IF('TMP Paste'!$M1274="",$AL1273,'TMP Paste'!$M1274))</f>
        <v/>
      </c>
      <c r="AM1274" t="str">
        <f>IF('TMP Paste'!$F1274="","",IF('TMP Paste'!$N1274="",$AM1273,'TMP Paste'!$N1274))</f>
        <v/>
      </c>
      <c r="AN1274" t="str">
        <f>IF('TMP Paste'!$F1274="","",IF('TMP Paste'!$O1274="",$AN1273,'TMP Paste'!$O1274))</f>
        <v/>
      </c>
      <c r="AO1274" t="str">
        <f>IF('TMP Paste'!$F1274="","",IF('TMP Paste'!$P1274="",$AO1273,'TMP Paste'!$P1274))</f>
        <v/>
      </c>
      <c r="AP1274" t="str">
        <f t="shared" si="119"/>
        <v/>
      </c>
      <c r="AQ1274" t="str">
        <f>IF($AS1274="","",TRIM(IF(COUNTIFS(Calc!$B$2:$B$1601,ROW()-1,Calc!$C$2:$C$1601,"&lt;1")&gt;0,"Ada PO tanpa Koli - cek TMP. ","")&amp;IF(OR($AU1274="",$AU1274&lt;=0),"Volume kosong/0 - dimensi dikosongkan. ","")&amp;IF(AND($AU1274&lt;&gt;"",$AU1274&gt;=1000000),"Volume &gt;= 1.000.000 cm3 (di luar aturan) - dimensi dikosongkan. ","")&amp;IF(LEN($R1274)&gt;500,"R &gt; 500 karakter.","")))</f>
        <v/>
      </c>
      <c r="AS1274" t="str">
        <f>IFERROR(MATCH(ROW()-1,Calc!$J$2:$J$1601,0),"")</f>
        <v/>
      </c>
      <c r="AT1274" t="str">
        <f>IFERROR(MATCH(ROW()-1,Calc!$K$2:$K$1601,0),"")</f>
        <v/>
      </c>
      <c r="AU1274" t="str">
        <f>IF($AS1274="","",IFERROR(INDEX('TMP Paste'!$D$2:$D$1601,$AS1274)*1000000/$AB1274,""))</f>
        <v/>
      </c>
    </row>
    <row r="1275" spans="1:47">
      <c r="A1275" t="str">
        <f>IF($AS1275="","",INDEX('TMP Paste'!$B$2:$B$1601,$AS1275))</f>
        <v/>
      </c>
      <c r="B1275" t="str">
        <f>IF($AS1275="","",Config!$B$14)</f>
        <v/>
      </c>
      <c r="C1275" t="str">
        <f>IF($AS1275="","",Config!$B$15)</f>
        <v/>
      </c>
      <c r="D1275" t="str">
        <f>IF($AS1275="","",INDEX('TMP Paste'!$B$2:$B$1601,$AS1275))</f>
        <v/>
      </c>
      <c r="E1275" t="str">
        <f>IF($AS1275="","",Config!$B$27)</f>
        <v/>
      </c>
      <c r="F1275" t="str">
        <f>IF($AS1275="","",Config!$B$9)</f>
        <v/>
      </c>
      <c r="G1275" t="str">
        <f>IF($AS1275="","",Config!$B$10)</f>
        <v/>
      </c>
      <c r="H1275" t="str">
        <f>IF($AS1275="","",Config!$B$11)</f>
        <v/>
      </c>
      <c r="I1275" t="str">
        <f>IF($AS1275="","",Config!$B$16)</f>
        <v/>
      </c>
      <c r="J1275" t="str">
        <f>IF($AS1275="","",INDEX('TMP Paste'!$A$2:$A$1601,$AS1275))</f>
        <v/>
      </c>
      <c r="K1275" t="str">
        <f>IF($AS1275="","",INDEX('TMP Paste'!$L$2:$L$1601,$AS1275))</f>
        <v/>
      </c>
      <c r="L1275" t="str">
        <f>IF($AS1275="","",INDEX('TMP Paste'!$I$2:$I$1601,$AS1275))</f>
        <v/>
      </c>
      <c r="M1275" t="str">
        <f>IF($AS1275="","",Config!$B$16)</f>
        <v/>
      </c>
      <c r="N1275" t="str">
        <f t="shared" si="114"/>
        <v/>
      </c>
      <c r="O1275" t="str">
        <f>IF($AS1275="","",INDEX('TMP Paste'!$K$2:$K$1601,$AS1275))</f>
        <v/>
      </c>
      <c r="P1275" t="str">
        <f t="shared" si="115"/>
        <v/>
      </c>
      <c r="Q1275" t="str">
        <f>IF($AS1275="","",INDEX('TMP Paste'!$J$2:$J$1601,$AS1275))</f>
        <v/>
      </c>
      <c r="R1275" t="str">
        <f>IF($AS1275="","",Config!$B$24)</f>
        <v/>
      </c>
      <c r="S1275" t="str">
        <f ca="1">IF($AS1275="","",TEXT(Config!$B$4,"yyyy-mm-dd"))</f>
        <v/>
      </c>
      <c r="T1275" t="str">
        <f>IF($AS1275="","",Config!$B$17)</f>
        <v/>
      </c>
      <c r="U1275" t="str">
        <f>IF($AS1275="","",Config!$B$18)</f>
        <v/>
      </c>
      <c r="V1275" t="str">
        <f>IF($AS1275="","",Config!$B$19)</f>
        <v/>
      </c>
      <c r="W1275" t="str">
        <f>IF($AS1275="","",INDEX('TMP Paste'!$C$2:$C$1601,$AS1275))</f>
        <v/>
      </c>
      <c r="X1275" t="str">
        <f>IF($AS1275="","",Config!$B$29)</f>
        <v/>
      </c>
      <c r="Y1275" t="str">
        <f>IF($AT1275="","",INDEX(Calc!$I$2:$I$1601,$AT1275)&amp;" - "&amp;INDEX(Calc!$D$2:$D$1601,$AT1275)&amp;" koli")</f>
        <v/>
      </c>
      <c r="Z1275" t="str">
        <f>IF($AS1275="","",Config!$B$21)</f>
        <v/>
      </c>
      <c r="AA1275" t="str">
        <f>IF($AS1275="","",Config!$B$22)</f>
        <v/>
      </c>
      <c r="AB1275" t="str">
        <f>IF($AT1275="","",INDEX(Calc!$D$2:$D$1601,$AT1275))</f>
        <v/>
      </c>
      <c r="AC1275" t="str">
        <f>IF($AT1275="","",INDEX(Calc!$G$2:$G$1601,$AT1275))</f>
        <v/>
      </c>
      <c r="AD1275" t="str">
        <f>IF($AS1275="","",Config!$B$23)</f>
        <v/>
      </c>
      <c r="AE1275" t="str">
        <f>IF($AS1275="","",Config!$B$28)</f>
        <v/>
      </c>
      <c r="AF1275" t="str">
        <f t="shared" si="116"/>
        <v/>
      </c>
      <c r="AG1275" t="str">
        <f t="shared" si="117"/>
        <v/>
      </c>
      <c r="AH1275" t="str">
        <f t="shared" si="118"/>
        <v/>
      </c>
      <c r="AI1275" t="str">
        <f>IF($AG1275="","",SUMIF($AG$2:$AG1275,$AG1275,$AH$2:$AH1275))</f>
        <v/>
      </c>
      <c r="AJ1275" t="str">
        <f>IF('TMP Paste'!$F1275="","",IF('TMP Paste'!$B1275="",$AJ1274,'TMP Paste'!$B1275))</f>
        <v/>
      </c>
      <c r="AK1275" t="str">
        <f>IF('TMP Paste'!$F1275="","",N('TMP Paste'!$G1275))</f>
        <v/>
      </c>
      <c r="AL1275" t="str">
        <f>IF('TMP Paste'!$F1275="","",IF('TMP Paste'!$M1275="",$AL1274,'TMP Paste'!$M1275))</f>
        <v/>
      </c>
      <c r="AM1275" t="str">
        <f>IF('TMP Paste'!$F1275="","",IF('TMP Paste'!$N1275="",$AM1274,'TMP Paste'!$N1275))</f>
        <v/>
      </c>
      <c r="AN1275" t="str">
        <f>IF('TMP Paste'!$F1275="","",IF('TMP Paste'!$O1275="",$AN1274,'TMP Paste'!$O1275))</f>
        <v/>
      </c>
      <c r="AO1275" t="str">
        <f>IF('TMP Paste'!$F1275="","",IF('TMP Paste'!$P1275="",$AO1274,'TMP Paste'!$P1275))</f>
        <v/>
      </c>
      <c r="AP1275" t="str">
        <f t="shared" si="119"/>
        <v/>
      </c>
      <c r="AQ1275" t="str">
        <f>IF($AS1275="","",TRIM(IF(COUNTIFS(Calc!$B$2:$B$1601,ROW()-1,Calc!$C$2:$C$1601,"&lt;1")&gt;0,"Ada PO tanpa Koli - cek TMP. ","")&amp;IF(OR($AU1275="",$AU1275&lt;=0),"Volume kosong/0 - dimensi dikosongkan. ","")&amp;IF(AND($AU1275&lt;&gt;"",$AU1275&gt;=1000000),"Volume &gt;= 1.000.000 cm3 (di luar aturan) - dimensi dikosongkan. ","")&amp;IF(LEN($R1275)&gt;500,"R &gt; 500 karakter.","")))</f>
        <v/>
      </c>
      <c r="AS1275" t="str">
        <f>IFERROR(MATCH(ROW()-1,Calc!$J$2:$J$1601,0),"")</f>
        <v/>
      </c>
      <c r="AT1275" t="str">
        <f>IFERROR(MATCH(ROW()-1,Calc!$K$2:$K$1601,0),"")</f>
        <v/>
      </c>
      <c r="AU1275" t="str">
        <f>IF($AS1275="","",IFERROR(INDEX('TMP Paste'!$D$2:$D$1601,$AS1275)*1000000/$AB1275,""))</f>
        <v/>
      </c>
    </row>
    <row r="1276" spans="1:47">
      <c r="A1276" t="str">
        <f>IF($AS1276="","",INDEX('TMP Paste'!$B$2:$B$1601,$AS1276))</f>
        <v/>
      </c>
      <c r="B1276" t="str">
        <f>IF($AS1276="","",Config!$B$14)</f>
        <v/>
      </c>
      <c r="C1276" t="str">
        <f>IF($AS1276="","",Config!$B$15)</f>
        <v/>
      </c>
      <c r="D1276" t="str">
        <f>IF($AS1276="","",INDEX('TMP Paste'!$B$2:$B$1601,$AS1276))</f>
        <v/>
      </c>
      <c r="E1276" t="str">
        <f>IF($AS1276="","",Config!$B$27)</f>
        <v/>
      </c>
      <c r="F1276" t="str">
        <f>IF($AS1276="","",Config!$B$9)</f>
        <v/>
      </c>
      <c r="G1276" t="str">
        <f>IF($AS1276="","",Config!$B$10)</f>
        <v/>
      </c>
      <c r="H1276" t="str">
        <f>IF($AS1276="","",Config!$B$11)</f>
        <v/>
      </c>
      <c r="I1276" t="str">
        <f>IF($AS1276="","",Config!$B$16)</f>
        <v/>
      </c>
      <c r="J1276" t="str">
        <f>IF($AS1276="","",INDEX('TMP Paste'!$A$2:$A$1601,$AS1276))</f>
        <v/>
      </c>
      <c r="K1276" t="str">
        <f>IF($AS1276="","",INDEX('TMP Paste'!$L$2:$L$1601,$AS1276))</f>
        <v/>
      </c>
      <c r="L1276" t="str">
        <f>IF($AS1276="","",INDEX('TMP Paste'!$I$2:$I$1601,$AS1276))</f>
        <v/>
      </c>
      <c r="M1276" t="str">
        <f>IF($AS1276="","",Config!$B$16)</f>
        <v/>
      </c>
      <c r="N1276" t="str">
        <f t="shared" si="114"/>
        <v/>
      </c>
      <c r="O1276" t="str">
        <f>IF($AS1276="","",INDEX('TMP Paste'!$K$2:$K$1601,$AS1276))</f>
        <v/>
      </c>
      <c r="P1276" t="str">
        <f t="shared" si="115"/>
        <v/>
      </c>
      <c r="Q1276" t="str">
        <f>IF($AS1276="","",INDEX('TMP Paste'!$J$2:$J$1601,$AS1276))</f>
        <v/>
      </c>
      <c r="R1276" t="str">
        <f>IF($AS1276="","",Config!$B$24)</f>
        <v/>
      </c>
      <c r="S1276" t="str">
        <f ca="1">IF($AS1276="","",TEXT(Config!$B$4,"yyyy-mm-dd"))</f>
        <v/>
      </c>
      <c r="T1276" t="str">
        <f>IF($AS1276="","",Config!$B$17)</f>
        <v/>
      </c>
      <c r="U1276" t="str">
        <f>IF($AS1276="","",Config!$B$18)</f>
        <v/>
      </c>
      <c r="V1276" t="str">
        <f>IF($AS1276="","",Config!$B$19)</f>
        <v/>
      </c>
      <c r="W1276" t="str">
        <f>IF($AS1276="","",INDEX('TMP Paste'!$C$2:$C$1601,$AS1276))</f>
        <v/>
      </c>
      <c r="X1276" t="str">
        <f>IF($AS1276="","",Config!$B$29)</f>
        <v/>
      </c>
      <c r="Y1276" t="str">
        <f>IF($AT1276="","",INDEX(Calc!$I$2:$I$1601,$AT1276)&amp;" - "&amp;INDEX(Calc!$D$2:$D$1601,$AT1276)&amp;" koli")</f>
        <v/>
      </c>
      <c r="Z1276" t="str">
        <f>IF($AS1276="","",Config!$B$21)</f>
        <v/>
      </c>
      <c r="AA1276" t="str">
        <f>IF($AS1276="","",Config!$B$22)</f>
        <v/>
      </c>
      <c r="AB1276" t="str">
        <f>IF($AT1276="","",INDEX(Calc!$D$2:$D$1601,$AT1276))</f>
        <v/>
      </c>
      <c r="AC1276" t="str">
        <f>IF($AT1276="","",INDEX(Calc!$G$2:$G$1601,$AT1276))</f>
        <v/>
      </c>
      <c r="AD1276" t="str">
        <f>IF($AS1276="","",Config!$B$23)</f>
        <v/>
      </c>
      <c r="AE1276" t="str">
        <f>IF($AS1276="","",Config!$B$28)</f>
        <v/>
      </c>
      <c r="AF1276" t="str">
        <f t="shared" si="116"/>
        <v/>
      </c>
      <c r="AG1276" t="str">
        <f t="shared" si="117"/>
        <v/>
      </c>
      <c r="AH1276" t="str">
        <f t="shared" si="118"/>
        <v/>
      </c>
      <c r="AI1276" t="str">
        <f>IF($AG1276="","",SUMIF($AG$2:$AG1276,$AG1276,$AH$2:$AH1276))</f>
        <v/>
      </c>
      <c r="AJ1276" t="str">
        <f>IF('TMP Paste'!$F1276="","",IF('TMP Paste'!$B1276="",$AJ1275,'TMP Paste'!$B1276))</f>
        <v/>
      </c>
      <c r="AK1276" t="str">
        <f>IF('TMP Paste'!$F1276="","",N('TMP Paste'!$G1276))</f>
        <v/>
      </c>
      <c r="AL1276" t="str">
        <f>IF('TMP Paste'!$F1276="","",IF('TMP Paste'!$M1276="",$AL1275,'TMP Paste'!$M1276))</f>
        <v/>
      </c>
      <c r="AM1276" t="str">
        <f>IF('TMP Paste'!$F1276="","",IF('TMP Paste'!$N1276="",$AM1275,'TMP Paste'!$N1276))</f>
        <v/>
      </c>
      <c r="AN1276" t="str">
        <f>IF('TMP Paste'!$F1276="","",IF('TMP Paste'!$O1276="",$AN1275,'TMP Paste'!$O1276))</f>
        <v/>
      </c>
      <c r="AO1276" t="str">
        <f>IF('TMP Paste'!$F1276="","",IF('TMP Paste'!$P1276="",$AO1275,'TMP Paste'!$P1276))</f>
        <v/>
      </c>
      <c r="AP1276" t="str">
        <f t="shared" si="119"/>
        <v/>
      </c>
      <c r="AQ1276" t="str">
        <f>IF($AS1276="","",TRIM(IF(COUNTIFS(Calc!$B$2:$B$1601,ROW()-1,Calc!$C$2:$C$1601,"&lt;1")&gt;0,"Ada PO tanpa Koli - cek TMP. ","")&amp;IF(OR($AU1276="",$AU1276&lt;=0),"Volume kosong/0 - dimensi dikosongkan. ","")&amp;IF(AND($AU1276&lt;&gt;"",$AU1276&gt;=1000000),"Volume &gt;= 1.000.000 cm3 (di luar aturan) - dimensi dikosongkan. ","")&amp;IF(LEN($R1276)&gt;500,"R &gt; 500 karakter.","")))</f>
        <v/>
      </c>
      <c r="AS1276" t="str">
        <f>IFERROR(MATCH(ROW()-1,Calc!$J$2:$J$1601,0),"")</f>
        <v/>
      </c>
      <c r="AT1276" t="str">
        <f>IFERROR(MATCH(ROW()-1,Calc!$K$2:$K$1601,0),"")</f>
        <v/>
      </c>
      <c r="AU1276" t="str">
        <f>IF($AS1276="","",IFERROR(INDEX('TMP Paste'!$D$2:$D$1601,$AS1276)*1000000/$AB1276,""))</f>
        <v/>
      </c>
    </row>
    <row r="1277" spans="1:47">
      <c r="A1277" t="str">
        <f>IF($AS1277="","",INDEX('TMP Paste'!$B$2:$B$1601,$AS1277))</f>
        <v/>
      </c>
      <c r="B1277" t="str">
        <f>IF($AS1277="","",Config!$B$14)</f>
        <v/>
      </c>
      <c r="C1277" t="str">
        <f>IF($AS1277="","",Config!$B$15)</f>
        <v/>
      </c>
      <c r="D1277" t="str">
        <f>IF($AS1277="","",INDEX('TMP Paste'!$B$2:$B$1601,$AS1277))</f>
        <v/>
      </c>
      <c r="E1277" t="str">
        <f>IF($AS1277="","",Config!$B$27)</f>
        <v/>
      </c>
      <c r="F1277" t="str">
        <f>IF($AS1277="","",Config!$B$9)</f>
        <v/>
      </c>
      <c r="G1277" t="str">
        <f>IF($AS1277="","",Config!$B$10)</f>
        <v/>
      </c>
      <c r="H1277" t="str">
        <f>IF($AS1277="","",Config!$B$11)</f>
        <v/>
      </c>
      <c r="I1277" t="str">
        <f>IF($AS1277="","",Config!$B$16)</f>
        <v/>
      </c>
      <c r="J1277" t="str">
        <f>IF($AS1277="","",INDEX('TMP Paste'!$A$2:$A$1601,$AS1277))</f>
        <v/>
      </c>
      <c r="K1277" t="str">
        <f>IF($AS1277="","",INDEX('TMP Paste'!$L$2:$L$1601,$AS1277))</f>
        <v/>
      </c>
      <c r="L1277" t="str">
        <f>IF($AS1277="","",INDEX('TMP Paste'!$I$2:$I$1601,$AS1277))</f>
        <v/>
      </c>
      <c r="M1277" t="str">
        <f>IF($AS1277="","",Config!$B$16)</f>
        <v/>
      </c>
      <c r="N1277" t="str">
        <f t="shared" si="114"/>
        <v/>
      </c>
      <c r="O1277" t="str">
        <f>IF($AS1277="","",INDEX('TMP Paste'!$K$2:$K$1601,$AS1277))</f>
        <v/>
      </c>
      <c r="P1277" t="str">
        <f t="shared" si="115"/>
        <v/>
      </c>
      <c r="Q1277" t="str">
        <f>IF($AS1277="","",INDEX('TMP Paste'!$J$2:$J$1601,$AS1277))</f>
        <v/>
      </c>
      <c r="R1277" t="str">
        <f>IF($AS1277="","",Config!$B$24)</f>
        <v/>
      </c>
      <c r="S1277" t="str">
        <f ca="1">IF($AS1277="","",TEXT(Config!$B$4,"yyyy-mm-dd"))</f>
        <v/>
      </c>
      <c r="T1277" t="str">
        <f>IF($AS1277="","",Config!$B$17)</f>
        <v/>
      </c>
      <c r="U1277" t="str">
        <f>IF($AS1277="","",Config!$B$18)</f>
        <v/>
      </c>
      <c r="V1277" t="str">
        <f>IF($AS1277="","",Config!$B$19)</f>
        <v/>
      </c>
      <c r="W1277" t="str">
        <f>IF($AS1277="","",INDEX('TMP Paste'!$C$2:$C$1601,$AS1277))</f>
        <v/>
      </c>
      <c r="X1277" t="str">
        <f>IF($AS1277="","",Config!$B$29)</f>
        <v/>
      </c>
      <c r="Y1277" t="str">
        <f>IF($AT1277="","",INDEX(Calc!$I$2:$I$1601,$AT1277)&amp;" - "&amp;INDEX(Calc!$D$2:$D$1601,$AT1277)&amp;" koli")</f>
        <v/>
      </c>
      <c r="Z1277" t="str">
        <f>IF($AS1277="","",Config!$B$21)</f>
        <v/>
      </c>
      <c r="AA1277" t="str">
        <f>IF($AS1277="","",Config!$B$22)</f>
        <v/>
      </c>
      <c r="AB1277" t="str">
        <f>IF($AT1277="","",INDEX(Calc!$D$2:$D$1601,$AT1277))</f>
        <v/>
      </c>
      <c r="AC1277" t="str">
        <f>IF($AT1277="","",INDEX(Calc!$G$2:$G$1601,$AT1277))</f>
        <v/>
      </c>
      <c r="AD1277" t="str">
        <f>IF($AS1277="","",Config!$B$23)</f>
        <v/>
      </c>
      <c r="AE1277" t="str">
        <f>IF($AS1277="","",Config!$B$28)</f>
        <v/>
      </c>
      <c r="AF1277" t="str">
        <f t="shared" si="116"/>
        <v/>
      </c>
      <c r="AG1277" t="str">
        <f t="shared" si="117"/>
        <v/>
      </c>
      <c r="AH1277" t="str">
        <f t="shared" si="118"/>
        <v/>
      </c>
      <c r="AI1277" t="str">
        <f>IF($AG1277="","",SUMIF($AG$2:$AG1277,$AG1277,$AH$2:$AH1277))</f>
        <v/>
      </c>
      <c r="AJ1277" t="str">
        <f>IF('TMP Paste'!$F1277="","",IF('TMP Paste'!$B1277="",$AJ1276,'TMP Paste'!$B1277))</f>
        <v/>
      </c>
      <c r="AK1277" t="str">
        <f>IF('TMP Paste'!$F1277="","",N('TMP Paste'!$G1277))</f>
        <v/>
      </c>
      <c r="AL1277" t="str">
        <f>IF('TMP Paste'!$F1277="","",IF('TMP Paste'!$M1277="",$AL1276,'TMP Paste'!$M1277))</f>
        <v/>
      </c>
      <c r="AM1277" t="str">
        <f>IF('TMP Paste'!$F1277="","",IF('TMP Paste'!$N1277="",$AM1276,'TMP Paste'!$N1277))</f>
        <v/>
      </c>
      <c r="AN1277" t="str">
        <f>IF('TMP Paste'!$F1277="","",IF('TMP Paste'!$O1277="",$AN1276,'TMP Paste'!$O1277))</f>
        <v/>
      </c>
      <c r="AO1277" t="str">
        <f>IF('TMP Paste'!$F1277="","",IF('TMP Paste'!$P1277="",$AO1276,'TMP Paste'!$P1277))</f>
        <v/>
      </c>
      <c r="AP1277" t="str">
        <f t="shared" si="119"/>
        <v/>
      </c>
      <c r="AQ1277" t="str">
        <f>IF($AS1277="","",TRIM(IF(COUNTIFS(Calc!$B$2:$B$1601,ROW()-1,Calc!$C$2:$C$1601,"&lt;1")&gt;0,"Ada PO tanpa Koli - cek TMP. ","")&amp;IF(OR($AU1277="",$AU1277&lt;=0),"Volume kosong/0 - dimensi dikosongkan. ","")&amp;IF(AND($AU1277&lt;&gt;"",$AU1277&gt;=1000000),"Volume &gt;= 1.000.000 cm3 (di luar aturan) - dimensi dikosongkan. ","")&amp;IF(LEN($R1277)&gt;500,"R &gt; 500 karakter.","")))</f>
        <v/>
      </c>
      <c r="AS1277" t="str">
        <f>IFERROR(MATCH(ROW()-1,Calc!$J$2:$J$1601,0),"")</f>
        <v/>
      </c>
      <c r="AT1277" t="str">
        <f>IFERROR(MATCH(ROW()-1,Calc!$K$2:$K$1601,0),"")</f>
        <v/>
      </c>
      <c r="AU1277" t="str">
        <f>IF($AS1277="","",IFERROR(INDEX('TMP Paste'!$D$2:$D$1601,$AS1277)*1000000/$AB1277,""))</f>
        <v/>
      </c>
    </row>
    <row r="1278" spans="1:47">
      <c r="A1278" t="str">
        <f>IF($AS1278="","",INDEX('TMP Paste'!$B$2:$B$1601,$AS1278))</f>
        <v/>
      </c>
      <c r="B1278" t="str">
        <f>IF($AS1278="","",Config!$B$14)</f>
        <v/>
      </c>
      <c r="C1278" t="str">
        <f>IF($AS1278="","",Config!$B$15)</f>
        <v/>
      </c>
      <c r="D1278" t="str">
        <f>IF($AS1278="","",INDEX('TMP Paste'!$B$2:$B$1601,$AS1278))</f>
        <v/>
      </c>
      <c r="E1278" t="str">
        <f>IF($AS1278="","",Config!$B$27)</f>
        <v/>
      </c>
      <c r="F1278" t="str">
        <f>IF($AS1278="","",Config!$B$9)</f>
        <v/>
      </c>
      <c r="G1278" t="str">
        <f>IF($AS1278="","",Config!$B$10)</f>
        <v/>
      </c>
      <c r="H1278" t="str">
        <f>IF($AS1278="","",Config!$B$11)</f>
        <v/>
      </c>
      <c r="I1278" t="str">
        <f>IF($AS1278="","",Config!$B$16)</f>
        <v/>
      </c>
      <c r="J1278" t="str">
        <f>IF($AS1278="","",INDEX('TMP Paste'!$A$2:$A$1601,$AS1278))</f>
        <v/>
      </c>
      <c r="K1278" t="str">
        <f>IF($AS1278="","",INDEX('TMP Paste'!$L$2:$L$1601,$AS1278))</f>
        <v/>
      </c>
      <c r="L1278" t="str">
        <f>IF($AS1278="","",INDEX('TMP Paste'!$I$2:$I$1601,$AS1278))</f>
        <v/>
      </c>
      <c r="M1278" t="str">
        <f>IF($AS1278="","",Config!$B$16)</f>
        <v/>
      </c>
      <c r="N1278" t="str">
        <f t="shared" si="114"/>
        <v/>
      </c>
      <c r="O1278" t="str">
        <f>IF($AS1278="","",INDEX('TMP Paste'!$K$2:$K$1601,$AS1278))</f>
        <v/>
      </c>
      <c r="P1278" t="str">
        <f t="shared" si="115"/>
        <v/>
      </c>
      <c r="Q1278" t="str">
        <f>IF($AS1278="","",INDEX('TMP Paste'!$J$2:$J$1601,$AS1278))</f>
        <v/>
      </c>
      <c r="R1278" t="str">
        <f>IF($AS1278="","",Config!$B$24)</f>
        <v/>
      </c>
      <c r="S1278" t="str">
        <f ca="1">IF($AS1278="","",TEXT(Config!$B$4,"yyyy-mm-dd"))</f>
        <v/>
      </c>
      <c r="T1278" t="str">
        <f>IF($AS1278="","",Config!$B$17)</f>
        <v/>
      </c>
      <c r="U1278" t="str">
        <f>IF($AS1278="","",Config!$B$18)</f>
        <v/>
      </c>
      <c r="V1278" t="str">
        <f>IF($AS1278="","",Config!$B$19)</f>
        <v/>
      </c>
      <c r="W1278" t="str">
        <f>IF($AS1278="","",INDEX('TMP Paste'!$C$2:$C$1601,$AS1278))</f>
        <v/>
      </c>
      <c r="X1278" t="str">
        <f>IF($AS1278="","",Config!$B$29)</f>
        <v/>
      </c>
      <c r="Y1278" t="str">
        <f>IF($AT1278="","",INDEX(Calc!$I$2:$I$1601,$AT1278)&amp;" - "&amp;INDEX(Calc!$D$2:$D$1601,$AT1278)&amp;" koli")</f>
        <v/>
      </c>
      <c r="Z1278" t="str">
        <f>IF($AS1278="","",Config!$B$21)</f>
        <v/>
      </c>
      <c r="AA1278" t="str">
        <f>IF($AS1278="","",Config!$B$22)</f>
        <v/>
      </c>
      <c r="AB1278" t="str">
        <f>IF($AT1278="","",INDEX(Calc!$D$2:$D$1601,$AT1278))</f>
        <v/>
      </c>
      <c r="AC1278" t="str">
        <f>IF($AT1278="","",INDEX(Calc!$G$2:$G$1601,$AT1278))</f>
        <v/>
      </c>
      <c r="AD1278" t="str">
        <f>IF($AS1278="","",Config!$B$23)</f>
        <v/>
      </c>
      <c r="AE1278" t="str">
        <f>IF($AS1278="","",Config!$B$28)</f>
        <v/>
      </c>
      <c r="AF1278" t="str">
        <f t="shared" si="116"/>
        <v/>
      </c>
      <c r="AG1278" t="str">
        <f t="shared" si="117"/>
        <v/>
      </c>
      <c r="AH1278" t="str">
        <f t="shared" si="118"/>
        <v/>
      </c>
      <c r="AI1278" t="str">
        <f>IF($AG1278="","",SUMIF($AG$2:$AG1278,$AG1278,$AH$2:$AH1278))</f>
        <v/>
      </c>
      <c r="AJ1278" t="str">
        <f>IF('TMP Paste'!$F1278="","",IF('TMP Paste'!$B1278="",$AJ1277,'TMP Paste'!$B1278))</f>
        <v/>
      </c>
      <c r="AK1278" t="str">
        <f>IF('TMP Paste'!$F1278="","",N('TMP Paste'!$G1278))</f>
        <v/>
      </c>
      <c r="AL1278" t="str">
        <f>IF('TMP Paste'!$F1278="","",IF('TMP Paste'!$M1278="",$AL1277,'TMP Paste'!$M1278))</f>
        <v/>
      </c>
      <c r="AM1278" t="str">
        <f>IF('TMP Paste'!$F1278="","",IF('TMP Paste'!$N1278="",$AM1277,'TMP Paste'!$N1278))</f>
        <v/>
      </c>
      <c r="AN1278" t="str">
        <f>IF('TMP Paste'!$F1278="","",IF('TMP Paste'!$O1278="",$AN1277,'TMP Paste'!$O1278))</f>
        <v/>
      </c>
      <c r="AO1278" t="str">
        <f>IF('TMP Paste'!$F1278="","",IF('TMP Paste'!$P1278="",$AO1277,'TMP Paste'!$P1278))</f>
        <v/>
      </c>
      <c r="AP1278" t="str">
        <f t="shared" si="119"/>
        <v/>
      </c>
      <c r="AQ1278" t="str">
        <f>IF($AS1278="","",TRIM(IF(COUNTIFS(Calc!$B$2:$B$1601,ROW()-1,Calc!$C$2:$C$1601,"&lt;1")&gt;0,"Ada PO tanpa Koli - cek TMP. ","")&amp;IF(OR($AU1278="",$AU1278&lt;=0),"Volume kosong/0 - dimensi dikosongkan. ","")&amp;IF(AND($AU1278&lt;&gt;"",$AU1278&gt;=1000000),"Volume &gt;= 1.000.000 cm3 (di luar aturan) - dimensi dikosongkan. ","")&amp;IF(LEN($R1278)&gt;500,"R &gt; 500 karakter.","")))</f>
        <v/>
      </c>
      <c r="AS1278" t="str">
        <f>IFERROR(MATCH(ROW()-1,Calc!$J$2:$J$1601,0),"")</f>
        <v/>
      </c>
      <c r="AT1278" t="str">
        <f>IFERROR(MATCH(ROW()-1,Calc!$K$2:$K$1601,0),"")</f>
        <v/>
      </c>
      <c r="AU1278" t="str">
        <f>IF($AS1278="","",IFERROR(INDEX('TMP Paste'!$D$2:$D$1601,$AS1278)*1000000/$AB1278,""))</f>
        <v/>
      </c>
    </row>
    <row r="1279" spans="1:47">
      <c r="A1279" t="str">
        <f>IF($AS1279="","",INDEX('TMP Paste'!$B$2:$B$1601,$AS1279))</f>
        <v/>
      </c>
      <c r="B1279" t="str">
        <f>IF($AS1279="","",Config!$B$14)</f>
        <v/>
      </c>
      <c r="C1279" t="str">
        <f>IF($AS1279="","",Config!$B$15)</f>
        <v/>
      </c>
      <c r="D1279" t="str">
        <f>IF($AS1279="","",INDEX('TMP Paste'!$B$2:$B$1601,$AS1279))</f>
        <v/>
      </c>
      <c r="E1279" t="str">
        <f>IF($AS1279="","",Config!$B$27)</f>
        <v/>
      </c>
      <c r="F1279" t="str">
        <f>IF($AS1279="","",Config!$B$9)</f>
        <v/>
      </c>
      <c r="G1279" t="str">
        <f>IF($AS1279="","",Config!$B$10)</f>
        <v/>
      </c>
      <c r="H1279" t="str">
        <f>IF($AS1279="","",Config!$B$11)</f>
        <v/>
      </c>
      <c r="I1279" t="str">
        <f>IF($AS1279="","",Config!$B$16)</f>
        <v/>
      </c>
      <c r="J1279" t="str">
        <f>IF($AS1279="","",INDEX('TMP Paste'!$A$2:$A$1601,$AS1279))</f>
        <v/>
      </c>
      <c r="K1279" t="str">
        <f>IF($AS1279="","",INDEX('TMP Paste'!$L$2:$L$1601,$AS1279))</f>
        <v/>
      </c>
      <c r="L1279" t="str">
        <f>IF($AS1279="","",INDEX('TMP Paste'!$I$2:$I$1601,$AS1279))</f>
        <v/>
      </c>
      <c r="M1279" t="str">
        <f>IF($AS1279="","",Config!$B$16)</f>
        <v/>
      </c>
      <c r="N1279" t="str">
        <f t="shared" si="114"/>
        <v/>
      </c>
      <c r="O1279" t="str">
        <f>IF($AS1279="","",INDEX('TMP Paste'!$K$2:$K$1601,$AS1279))</f>
        <v/>
      </c>
      <c r="P1279" t="str">
        <f t="shared" si="115"/>
        <v/>
      </c>
      <c r="Q1279" t="str">
        <f>IF($AS1279="","",INDEX('TMP Paste'!$J$2:$J$1601,$AS1279))</f>
        <v/>
      </c>
      <c r="R1279" t="str">
        <f>IF($AS1279="","",Config!$B$24)</f>
        <v/>
      </c>
      <c r="S1279" t="str">
        <f ca="1">IF($AS1279="","",TEXT(Config!$B$4,"yyyy-mm-dd"))</f>
        <v/>
      </c>
      <c r="T1279" t="str">
        <f>IF($AS1279="","",Config!$B$17)</f>
        <v/>
      </c>
      <c r="U1279" t="str">
        <f>IF($AS1279="","",Config!$B$18)</f>
        <v/>
      </c>
      <c r="V1279" t="str">
        <f>IF($AS1279="","",Config!$B$19)</f>
        <v/>
      </c>
      <c r="W1279" t="str">
        <f>IF($AS1279="","",INDEX('TMP Paste'!$C$2:$C$1601,$AS1279))</f>
        <v/>
      </c>
      <c r="X1279" t="str">
        <f>IF($AS1279="","",Config!$B$29)</f>
        <v/>
      </c>
      <c r="Y1279" t="str">
        <f>IF($AT1279="","",INDEX(Calc!$I$2:$I$1601,$AT1279)&amp;" - "&amp;INDEX(Calc!$D$2:$D$1601,$AT1279)&amp;" koli")</f>
        <v/>
      </c>
      <c r="Z1279" t="str">
        <f>IF($AS1279="","",Config!$B$21)</f>
        <v/>
      </c>
      <c r="AA1279" t="str">
        <f>IF($AS1279="","",Config!$B$22)</f>
        <v/>
      </c>
      <c r="AB1279" t="str">
        <f>IF($AT1279="","",INDEX(Calc!$D$2:$D$1601,$AT1279))</f>
        <v/>
      </c>
      <c r="AC1279" t="str">
        <f>IF($AT1279="","",INDEX(Calc!$G$2:$G$1601,$AT1279))</f>
        <v/>
      </c>
      <c r="AD1279" t="str">
        <f>IF($AS1279="","",Config!$B$23)</f>
        <v/>
      </c>
      <c r="AE1279" t="str">
        <f>IF($AS1279="","",Config!$B$28)</f>
        <v/>
      </c>
      <c r="AF1279" t="str">
        <f t="shared" si="116"/>
        <v/>
      </c>
      <c r="AG1279" t="str">
        <f t="shared" si="117"/>
        <v/>
      </c>
      <c r="AH1279" t="str">
        <f t="shared" si="118"/>
        <v/>
      </c>
      <c r="AI1279" t="str">
        <f>IF($AG1279="","",SUMIF($AG$2:$AG1279,$AG1279,$AH$2:$AH1279))</f>
        <v/>
      </c>
      <c r="AJ1279" t="str">
        <f>IF('TMP Paste'!$F1279="","",IF('TMP Paste'!$B1279="",$AJ1278,'TMP Paste'!$B1279))</f>
        <v/>
      </c>
      <c r="AK1279" t="str">
        <f>IF('TMP Paste'!$F1279="","",N('TMP Paste'!$G1279))</f>
        <v/>
      </c>
      <c r="AL1279" t="str">
        <f>IF('TMP Paste'!$F1279="","",IF('TMP Paste'!$M1279="",$AL1278,'TMP Paste'!$M1279))</f>
        <v/>
      </c>
      <c r="AM1279" t="str">
        <f>IF('TMP Paste'!$F1279="","",IF('TMP Paste'!$N1279="",$AM1278,'TMP Paste'!$N1279))</f>
        <v/>
      </c>
      <c r="AN1279" t="str">
        <f>IF('TMP Paste'!$F1279="","",IF('TMP Paste'!$O1279="",$AN1278,'TMP Paste'!$O1279))</f>
        <v/>
      </c>
      <c r="AO1279" t="str">
        <f>IF('TMP Paste'!$F1279="","",IF('TMP Paste'!$P1279="",$AO1278,'TMP Paste'!$P1279))</f>
        <v/>
      </c>
      <c r="AP1279" t="str">
        <f t="shared" si="119"/>
        <v/>
      </c>
      <c r="AQ1279" t="str">
        <f>IF($AS1279="","",TRIM(IF(COUNTIFS(Calc!$B$2:$B$1601,ROW()-1,Calc!$C$2:$C$1601,"&lt;1")&gt;0,"Ada PO tanpa Koli - cek TMP. ","")&amp;IF(OR($AU1279="",$AU1279&lt;=0),"Volume kosong/0 - dimensi dikosongkan. ","")&amp;IF(AND($AU1279&lt;&gt;"",$AU1279&gt;=1000000),"Volume &gt;= 1.000.000 cm3 (di luar aturan) - dimensi dikosongkan. ","")&amp;IF(LEN($R1279)&gt;500,"R &gt; 500 karakter.","")))</f>
        <v/>
      </c>
      <c r="AS1279" t="str">
        <f>IFERROR(MATCH(ROW()-1,Calc!$J$2:$J$1601,0),"")</f>
        <v/>
      </c>
      <c r="AT1279" t="str">
        <f>IFERROR(MATCH(ROW()-1,Calc!$K$2:$K$1601,0),"")</f>
        <v/>
      </c>
      <c r="AU1279" t="str">
        <f>IF($AS1279="","",IFERROR(INDEX('TMP Paste'!$D$2:$D$1601,$AS1279)*1000000/$AB1279,""))</f>
        <v/>
      </c>
    </row>
    <row r="1280" spans="1:47">
      <c r="A1280" t="str">
        <f>IF($AS1280="","",INDEX('TMP Paste'!$B$2:$B$1601,$AS1280))</f>
        <v/>
      </c>
      <c r="B1280" t="str">
        <f>IF($AS1280="","",Config!$B$14)</f>
        <v/>
      </c>
      <c r="C1280" t="str">
        <f>IF($AS1280="","",Config!$B$15)</f>
        <v/>
      </c>
      <c r="D1280" t="str">
        <f>IF($AS1280="","",INDEX('TMP Paste'!$B$2:$B$1601,$AS1280))</f>
        <v/>
      </c>
      <c r="E1280" t="str">
        <f>IF($AS1280="","",Config!$B$27)</f>
        <v/>
      </c>
      <c r="F1280" t="str">
        <f>IF($AS1280="","",Config!$B$9)</f>
        <v/>
      </c>
      <c r="G1280" t="str">
        <f>IF($AS1280="","",Config!$B$10)</f>
        <v/>
      </c>
      <c r="H1280" t="str">
        <f>IF($AS1280="","",Config!$B$11)</f>
        <v/>
      </c>
      <c r="I1280" t="str">
        <f>IF($AS1280="","",Config!$B$16)</f>
        <v/>
      </c>
      <c r="J1280" t="str">
        <f>IF($AS1280="","",INDEX('TMP Paste'!$A$2:$A$1601,$AS1280))</f>
        <v/>
      </c>
      <c r="K1280" t="str">
        <f>IF($AS1280="","",INDEX('TMP Paste'!$L$2:$L$1601,$AS1280))</f>
        <v/>
      </c>
      <c r="L1280" t="str">
        <f>IF($AS1280="","",INDEX('TMP Paste'!$I$2:$I$1601,$AS1280))</f>
        <v/>
      </c>
      <c r="M1280" t="str">
        <f>IF($AS1280="","",Config!$B$16)</f>
        <v/>
      </c>
      <c r="N1280" t="str">
        <f t="shared" si="114"/>
        <v/>
      </c>
      <c r="O1280" t="str">
        <f>IF($AS1280="","",INDEX('TMP Paste'!$K$2:$K$1601,$AS1280))</f>
        <v/>
      </c>
      <c r="P1280" t="str">
        <f t="shared" si="115"/>
        <v/>
      </c>
      <c r="Q1280" t="str">
        <f>IF($AS1280="","",INDEX('TMP Paste'!$J$2:$J$1601,$AS1280))</f>
        <v/>
      </c>
      <c r="R1280" t="str">
        <f>IF($AS1280="","",Config!$B$24)</f>
        <v/>
      </c>
      <c r="S1280" t="str">
        <f ca="1">IF($AS1280="","",TEXT(Config!$B$4,"yyyy-mm-dd"))</f>
        <v/>
      </c>
      <c r="T1280" t="str">
        <f>IF($AS1280="","",Config!$B$17)</f>
        <v/>
      </c>
      <c r="U1280" t="str">
        <f>IF($AS1280="","",Config!$B$18)</f>
        <v/>
      </c>
      <c r="V1280" t="str">
        <f>IF($AS1280="","",Config!$B$19)</f>
        <v/>
      </c>
      <c r="W1280" t="str">
        <f>IF($AS1280="","",INDEX('TMP Paste'!$C$2:$C$1601,$AS1280))</f>
        <v/>
      </c>
      <c r="X1280" t="str">
        <f>IF($AS1280="","",Config!$B$29)</f>
        <v/>
      </c>
      <c r="Y1280" t="str">
        <f>IF($AT1280="","",INDEX(Calc!$I$2:$I$1601,$AT1280)&amp;" - "&amp;INDEX(Calc!$D$2:$D$1601,$AT1280)&amp;" koli")</f>
        <v/>
      </c>
      <c r="Z1280" t="str">
        <f>IF($AS1280="","",Config!$B$21)</f>
        <v/>
      </c>
      <c r="AA1280" t="str">
        <f>IF($AS1280="","",Config!$B$22)</f>
        <v/>
      </c>
      <c r="AB1280" t="str">
        <f>IF($AT1280="","",INDEX(Calc!$D$2:$D$1601,$AT1280))</f>
        <v/>
      </c>
      <c r="AC1280" t="str">
        <f>IF($AT1280="","",INDEX(Calc!$G$2:$G$1601,$AT1280))</f>
        <v/>
      </c>
      <c r="AD1280" t="str">
        <f>IF($AS1280="","",Config!$B$23)</f>
        <v/>
      </c>
      <c r="AE1280" t="str">
        <f>IF($AS1280="","",Config!$B$28)</f>
        <v/>
      </c>
      <c r="AF1280" t="str">
        <f t="shared" si="116"/>
        <v/>
      </c>
      <c r="AG1280" t="str">
        <f t="shared" si="117"/>
        <v/>
      </c>
      <c r="AH1280" t="str">
        <f t="shared" si="118"/>
        <v/>
      </c>
      <c r="AI1280" t="str">
        <f>IF($AG1280="","",SUMIF($AG$2:$AG1280,$AG1280,$AH$2:$AH1280))</f>
        <v/>
      </c>
      <c r="AJ1280" t="str">
        <f>IF('TMP Paste'!$F1280="","",IF('TMP Paste'!$B1280="",$AJ1279,'TMP Paste'!$B1280))</f>
        <v/>
      </c>
      <c r="AK1280" t="str">
        <f>IF('TMP Paste'!$F1280="","",N('TMP Paste'!$G1280))</f>
        <v/>
      </c>
      <c r="AL1280" t="str">
        <f>IF('TMP Paste'!$F1280="","",IF('TMP Paste'!$M1280="",$AL1279,'TMP Paste'!$M1280))</f>
        <v/>
      </c>
      <c r="AM1280" t="str">
        <f>IF('TMP Paste'!$F1280="","",IF('TMP Paste'!$N1280="",$AM1279,'TMP Paste'!$N1280))</f>
        <v/>
      </c>
      <c r="AN1280" t="str">
        <f>IF('TMP Paste'!$F1280="","",IF('TMP Paste'!$O1280="",$AN1279,'TMP Paste'!$O1280))</f>
        <v/>
      </c>
      <c r="AO1280" t="str">
        <f>IF('TMP Paste'!$F1280="","",IF('TMP Paste'!$P1280="",$AO1279,'TMP Paste'!$P1280))</f>
        <v/>
      </c>
      <c r="AP1280" t="str">
        <f t="shared" si="119"/>
        <v/>
      </c>
      <c r="AQ1280" t="str">
        <f>IF($AS1280="","",TRIM(IF(COUNTIFS(Calc!$B$2:$B$1601,ROW()-1,Calc!$C$2:$C$1601,"&lt;1")&gt;0,"Ada PO tanpa Koli - cek TMP. ","")&amp;IF(OR($AU1280="",$AU1280&lt;=0),"Volume kosong/0 - dimensi dikosongkan. ","")&amp;IF(AND($AU1280&lt;&gt;"",$AU1280&gt;=1000000),"Volume &gt;= 1.000.000 cm3 (di luar aturan) - dimensi dikosongkan. ","")&amp;IF(LEN($R1280)&gt;500,"R &gt; 500 karakter.","")))</f>
        <v/>
      </c>
      <c r="AS1280" t="str">
        <f>IFERROR(MATCH(ROW()-1,Calc!$J$2:$J$1601,0),"")</f>
        <v/>
      </c>
      <c r="AT1280" t="str">
        <f>IFERROR(MATCH(ROW()-1,Calc!$K$2:$K$1601,0),"")</f>
        <v/>
      </c>
      <c r="AU1280" t="str">
        <f>IF($AS1280="","",IFERROR(INDEX('TMP Paste'!$D$2:$D$1601,$AS1280)*1000000/$AB1280,""))</f>
        <v/>
      </c>
    </row>
    <row r="1281" spans="1:47">
      <c r="A1281" t="str">
        <f>IF($AS1281="","",INDEX('TMP Paste'!$B$2:$B$1601,$AS1281))</f>
        <v/>
      </c>
      <c r="B1281" t="str">
        <f>IF($AS1281="","",Config!$B$14)</f>
        <v/>
      </c>
      <c r="C1281" t="str">
        <f>IF($AS1281="","",Config!$B$15)</f>
        <v/>
      </c>
      <c r="D1281" t="str">
        <f>IF($AS1281="","",INDEX('TMP Paste'!$B$2:$B$1601,$AS1281))</f>
        <v/>
      </c>
      <c r="E1281" t="str">
        <f>IF($AS1281="","",Config!$B$27)</f>
        <v/>
      </c>
      <c r="F1281" t="str">
        <f>IF($AS1281="","",Config!$B$9)</f>
        <v/>
      </c>
      <c r="G1281" t="str">
        <f>IF($AS1281="","",Config!$B$10)</f>
        <v/>
      </c>
      <c r="H1281" t="str">
        <f>IF($AS1281="","",Config!$B$11)</f>
        <v/>
      </c>
      <c r="I1281" t="str">
        <f>IF($AS1281="","",Config!$B$16)</f>
        <v/>
      </c>
      <c r="J1281" t="str">
        <f>IF($AS1281="","",INDEX('TMP Paste'!$A$2:$A$1601,$AS1281))</f>
        <v/>
      </c>
      <c r="K1281" t="str">
        <f>IF($AS1281="","",INDEX('TMP Paste'!$L$2:$L$1601,$AS1281))</f>
        <v/>
      </c>
      <c r="L1281" t="str">
        <f>IF($AS1281="","",INDEX('TMP Paste'!$I$2:$I$1601,$AS1281))</f>
        <v/>
      </c>
      <c r="M1281" t="str">
        <f>IF($AS1281="","",Config!$B$16)</f>
        <v/>
      </c>
      <c r="N1281" t="str">
        <f t="shared" si="114"/>
        <v/>
      </c>
      <c r="O1281" t="str">
        <f>IF($AS1281="","",INDEX('TMP Paste'!$K$2:$K$1601,$AS1281))</f>
        <v/>
      </c>
      <c r="P1281" t="str">
        <f t="shared" si="115"/>
        <v/>
      </c>
      <c r="Q1281" t="str">
        <f>IF($AS1281="","",INDEX('TMP Paste'!$J$2:$J$1601,$AS1281))</f>
        <v/>
      </c>
      <c r="R1281" t="str">
        <f>IF($AS1281="","",Config!$B$24)</f>
        <v/>
      </c>
      <c r="S1281" t="str">
        <f ca="1">IF($AS1281="","",TEXT(Config!$B$4,"yyyy-mm-dd"))</f>
        <v/>
      </c>
      <c r="T1281" t="str">
        <f>IF($AS1281="","",Config!$B$17)</f>
        <v/>
      </c>
      <c r="U1281" t="str">
        <f>IF($AS1281="","",Config!$B$18)</f>
        <v/>
      </c>
      <c r="V1281" t="str">
        <f>IF($AS1281="","",Config!$B$19)</f>
        <v/>
      </c>
      <c r="W1281" t="str">
        <f>IF($AS1281="","",INDEX('TMP Paste'!$C$2:$C$1601,$AS1281))</f>
        <v/>
      </c>
      <c r="X1281" t="str">
        <f>IF($AS1281="","",Config!$B$29)</f>
        <v/>
      </c>
      <c r="Y1281" t="str">
        <f>IF($AT1281="","",INDEX(Calc!$I$2:$I$1601,$AT1281)&amp;" - "&amp;INDEX(Calc!$D$2:$D$1601,$AT1281)&amp;" koli")</f>
        <v/>
      </c>
      <c r="Z1281" t="str">
        <f>IF($AS1281="","",Config!$B$21)</f>
        <v/>
      </c>
      <c r="AA1281" t="str">
        <f>IF($AS1281="","",Config!$B$22)</f>
        <v/>
      </c>
      <c r="AB1281" t="str">
        <f>IF($AT1281="","",INDEX(Calc!$D$2:$D$1601,$AT1281))</f>
        <v/>
      </c>
      <c r="AC1281" t="str">
        <f>IF($AT1281="","",INDEX(Calc!$G$2:$G$1601,$AT1281))</f>
        <v/>
      </c>
      <c r="AD1281" t="str">
        <f>IF($AS1281="","",Config!$B$23)</f>
        <v/>
      </c>
      <c r="AE1281" t="str">
        <f>IF($AS1281="","",Config!$B$28)</f>
        <v/>
      </c>
      <c r="AF1281" t="str">
        <f t="shared" si="116"/>
        <v/>
      </c>
      <c r="AG1281" t="str">
        <f t="shared" si="117"/>
        <v/>
      </c>
      <c r="AH1281" t="str">
        <f t="shared" si="118"/>
        <v/>
      </c>
      <c r="AI1281" t="str">
        <f>IF($AG1281="","",SUMIF($AG$2:$AG1281,$AG1281,$AH$2:$AH1281))</f>
        <v/>
      </c>
      <c r="AJ1281" t="str">
        <f>IF('TMP Paste'!$F1281="","",IF('TMP Paste'!$B1281="",$AJ1280,'TMP Paste'!$B1281))</f>
        <v/>
      </c>
      <c r="AK1281" t="str">
        <f>IF('TMP Paste'!$F1281="","",N('TMP Paste'!$G1281))</f>
        <v/>
      </c>
      <c r="AL1281" t="str">
        <f>IF('TMP Paste'!$F1281="","",IF('TMP Paste'!$M1281="",$AL1280,'TMP Paste'!$M1281))</f>
        <v/>
      </c>
      <c r="AM1281" t="str">
        <f>IF('TMP Paste'!$F1281="","",IF('TMP Paste'!$N1281="",$AM1280,'TMP Paste'!$N1281))</f>
        <v/>
      </c>
      <c r="AN1281" t="str">
        <f>IF('TMP Paste'!$F1281="","",IF('TMP Paste'!$O1281="",$AN1280,'TMP Paste'!$O1281))</f>
        <v/>
      </c>
      <c r="AO1281" t="str">
        <f>IF('TMP Paste'!$F1281="","",IF('TMP Paste'!$P1281="",$AO1280,'TMP Paste'!$P1281))</f>
        <v/>
      </c>
      <c r="AP1281" t="str">
        <f t="shared" si="119"/>
        <v/>
      </c>
      <c r="AQ1281" t="str">
        <f>IF($AS1281="","",TRIM(IF(COUNTIFS(Calc!$B$2:$B$1601,ROW()-1,Calc!$C$2:$C$1601,"&lt;1")&gt;0,"Ada PO tanpa Koli - cek TMP. ","")&amp;IF(OR($AU1281="",$AU1281&lt;=0),"Volume kosong/0 - dimensi dikosongkan. ","")&amp;IF(AND($AU1281&lt;&gt;"",$AU1281&gt;=1000000),"Volume &gt;= 1.000.000 cm3 (di luar aturan) - dimensi dikosongkan. ","")&amp;IF(LEN($R1281)&gt;500,"R &gt; 500 karakter.","")))</f>
        <v/>
      </c>
      <c r="AS1281" t="str">
        <f>IFERROR(MATCH(ROW()-1,Calc!$J$2:$J$1601,0),"")</f>
        <v/>
      </c>
      <c r="AT1281" t="str">
        <f>IFERROR(MATCH(ROW()-1,Calc!$K$2:$K$1601,0),"")</f>
        <v/>
      </c>
      <c r="AU1281" t="str">
        <f>IF($AS1281="","",IFERROR(INDEX('TMP Paste'!$D$2:$D$1601,$AS1281)*1000000/$AB1281,""))</f>
        <v/>
      </c>
    </row>
    <row r="1282" spans="1:47">
      <c r="A1282" t="str">
        <f>IF($AS1282="","",INDEX('TMP Paste'!$B$2:$B$1601,$AS1282))</f>
        <v/>
      </c>
      <c r="B1282" t="str">
        <f>IF($AS1282="","",Config!$B$14)</f>
        <v/>
      </c>
      <c r="C1282" t="str">
        <f>IF($AS1282="","",Config!$B$15)</f>
        <v/>
      </c>
      <c r="D1282" t="str">
        <f>IF($AS1282="","",INDEX('TMP Paste'!$B$2:$B$1601,$AS1282))</f>
        <v/>
      </c>
      <c r="E1282" t="str">
        <f>IF($AS1282="","",Config!$B$27)</f>
        <v/>
      </c>
      <c r="F1282" t="str">
        <f>IF($AS1282="","",Config!$B$9)</f>
        <v/>
      </c>
      <c r="G1282" t="str">
        <f>IF($AS1282="","",Config!$B$10)</f>
        <v/>
      </c>
      <c r="H1282" t="str">
        <f>IF($AS1282="","",Config!$B$11)</f>
        <v/>
      </c>
      <c r="I1282" t="str">
        <f>IF($AS1282="","",Config!$B$16)</f>
        <v/>
      </c>
      <c r="J1282" t="str">
        <f>IF($AS1282="","",INDEX('TMP Paste'!$A$2:$A$1601,$AS1282))</f>
        <v/>
      </c>
      <c r="K1282" t="str">
        <f>IF($AS1282="","",INDEX('TMP Paste'!$L$2:$L$1601,$AS1282))</f>
        <v/>
      </c>
      <c r="L1282" t="str">
        <f>IF($AS1282="","",INDEX('TMP Paste'!$I$2:$I$1601,$AS1282))</f>
        <v/>
      </c>
      <c r="M1282" t="str">
        <f>IF($AS1282="","",Config!$B$16)</f>
        <v/>
      </c>
      <c r="N1282" t="str">
        <f t="shared" ref="N1282:N1345" si="120">IF($AS1282="","","")</f>
        <v/>
      </c>
      <c r="O1282" t="str">
        <f>IF($AS1282="","",INDEX('TMP Paste'!$K$2:$K$1601,$AS1282))</f>
        <v/>
      </c>
      <c r="P1282" t="str">
        <f t="shared" ref="P1282:P1345" si="121">IF($AS1282="","","")</f>
        <v/>
      </c>
      <c r="Q1282" t="str">
        <f>IF($AS1282="","",INDEX('TMP Paste'!$J$2:$J$1601,$AS1282))</f>
        <v/>
      </c>
      <c r="R1282" t="str">
        <f>IF($AS1282="","",Config!$B$24)</f>
        <v/>
      </c>
      <c r="S1282" t="str">
        <f ca="1">IF($AS1282="","",TEXT(Config!$B$4,"yyyy-mm-dd"))</f>
        <v/>
      </c>
      <c r="T1282" t="str">
        <f>IF($AS1282="","",Config!$B$17)</f>
        <v/>
      </c>
      <c r="U1282" t="str">
        <f>IF($AS1282="","",Config!$B$18)</f>
        <v/>
      </c>
      <c r="V1282" t="str">
        <f>IF($AS1282="","",Config!$B$19)</f>
        <v/>
      </c>
      <c r="W1282" t="str">
        <f>IF($AS1282="","",INDEX('TMP Paste'!$C$2:$C$1601,$AS1282))</f>
        <v/>
      </c>
      <c r="X1282" t="str">
        <f>IF($AS1282="","",Config!$B$29)</f>
        <v/>
      </c>
      <c r="Y1282" t="str">
        <f>IF($AT1282="","",INDEX(Calc!$I$2:$I$1601,$AT1282)&amp;" - "&amp;INDEX(Calc!$D$2:$D$1601,$AT1282)&amp;" koli")</f>
        <v/>
      </c>
      <c r="Z1282" t="str">
        <f>IF($AS1282="","",Config!$B$21)</f>
        <v/>
      </c>
      <c r="AA1282" t="str">
        <f>IF($AS1282="","",Config!$B$22)</f>
        <v/>
      </c>
      <c r="AB1282" t="str">
        <f>IF($AT1282="","",INDEX(Calc!$D$2:$D$1601,$AT1282))</f>
        <v/>
      </c>
      <c r="AC1282" t="str">
        <f>IF($AT1282="","",INDEX(Calc!$G$2:$G$1601,$AT1282))</f>
        <v/>
      </c>
      <c r="AD1282" t="str">
        <f>IF($AS1282="","",Config!$B$23)</f>
        <v/>
      </c>
      <c r="AE1282" t="str">
        <f>IF($AS1282="","",Config!$B$28)</f>
        <v/>
      </c>
      <c r="AF1282" t="str">
        <f t="shared" ref="AF1282:AF1345" si="122">IF($AS1282="","",IF(OR($AU1282="",$AU1282&lt;=0,$AU1282&gt;=1000000),"",IF($AU1282&lt;10000,10,100)))</f>
        <v/>
      </c>
      <c r="AG1282" t="str">
        <f t="shared" ref="AG1282:AG1345" si="123">IF($AS1282="","",IF(OR($AU1282="",$AU1282&lt;=0,$AU1282&gt;=1000000),"",IF($AU1282&lt;10000,$AU1282/100,IF($AU1282&lt;100000,$AU1282/1000,$AU1282/10000))))</f>
        <v/>
      </c>
      <c r="AH1282" t="str">
        <f t="shared" ref="AH1282:AH1345" si="124">IF($AS1282="","",IF(OR($AU1282="",$AU1282&lt;=0,$AU1282&gt;=1000000),"",IF($AU1282&lt;100000,10,100)))</f>
        <v/>
      </c>
      <c r="AI1282" t="str">
        <f>IF($AG1282="","",SUMIF($AG$2:$AG1282,$AG1282,$AH$2:$AH1282))</f>
        <v/>
      </c>
      <c r="AJ1282" t="str">
        <f>IF('TMP Paste'!$F1282="","",IF('TMP Paste'!$B1282="",$AJ1281,'TMP Paste'!$B1282))</f>
        <v/>
      </c>
      <c r="AK1282" t="str">
        <f>IF('TMP Paste'!$F1282="","",N('TMP Paste'!$G1282))</f>
        <v/>
      </c>
      <c r="AL1282" t="str">
        <f>IF('TMP Paste'!$F1282="","",IF('TMP Paste'!$M1282="",$AL1281,'TMP Paste'!$M1282))</f>
        <v/>
      </c>
      <c r="AM1282" t="str">
        <f>IF('TMP Paste'!$F1282="","",IF('TMP Paste'!$N1282="",$AM1281,'TMP Paste'!$N1282))</f>
        <v/>
      </c>
      <c r="AN1282" t="str">
        <f>IF('TMP Paste'!$F1282="","",IF('TMP Paste'!$O1282="",$AN1281,'TMP Paste'!$O1282))</f>
        <v/>
      </c>
      <c r="AO1282" t="str">
        <f>IF('TMP Paste'!$F1282="","",IF('TMP Paste'!$P1282="",$AO1281,'TMP Paste'!$P1282))</f>
        <v/>
      </c>
      <c r="AP1282" t="str">
        <f t="shared" ref="AP1282:AP1345" si="125">IF($AG1282="","",LEN($R1282))</f>
        <v/>
      </c>
      <c r="AQ1282" t="str">
        <f>IF($AS1282="","",TRIM(IF(COUNTIFS(Calc!$B$2:$B$1601,ROW()-1,Calc!$C$2:$C$1601,"&lt;1")&gt;0,"Ada PO tanpa Koli - cek TMP. ","")&amp;IF(OR($AU1282="",$AU1282&lt;=0),"Volume kosong/0 - dimensi dikosongkan. ","")&amp;IF(AND($AU1282&lt;&gt;"",$AU1282&gt;=1000000),"Volume &gt;= 1.000.000 cm3 (di luar aturan) - dimensi dikosongkan. ","")&amp;IF(LEN($R1282)&gt;500,"R &gt; 500 karakter.","")))</f>
        <v/>
      </c>
      <c r="AS1282" t="str">
        <f>IFERROR(MATCH(ROW()-1,Calc!$J$2:$J$1601,0),"")</f>
        <v/>
      </c>
      <c r="AT1282" t="str">
        <f>IFERROR(MATCH(ROW()-1,Calc!$K$2:$K$1601,0),"")</f>
        <v/>
      </c>
      <c r="AU1282" t="str">
        <f>IF($AS1282="","",IFERROR(INDEX('TMP Paste'!$D$2:$D$1601,$AS1282)*1000000/$AB1282,""))</f>
        <v/>
      </c>
    </row>
    <row r="1283" spans="1:47">
      <c r="A1283" t="str">
        <f>IF($AS1283="","",INDEX('TMP Paste'!$B$2:$B$1601,$AS1283))</f>
        <v/>
      </c>
      <c r="B1283" t="str">
        <f>IF($AS1283="","",Config!$B$14)</f>
        <v/>
      </c>
      <c r="C1283" t="str">
        <f>IF($AS1283="","",Config!$B$15)</f>
        <v/>
      </c>
      <c r="D1283" t="str">
        <f>IF($AS1283="","",INDEX('TMP Paste'!$B$2:$B$1601,$AS1283))</f>
        <v/>
      </c>
      <c r="E1283" t="str">
        <f>IF($AS1283="","",Config!$B$27)</f>
        <v/>
      </c>
      <c r="F1283" t="str">
        <f>IF($AS1283="","",Config!$B$9)</f>
        <v/>
      </c>
      <c r="G1283" t="str">
        <f>IF($AS1283="","",Config!$B$10)</f>
        <v/>
      </c>
      <c r="H1283" t="str">
        <f>IF($AS1283="","",Config!$B$11)</f>
        <v/>
      </c>
      <c r="I1283" t="str">
        <f>IF($AS1283="","",Config!$B$16)</f>
        <v/>
      </c>
      <c r="J1283" t="str">
        <f>IF($AS1283="","",INDEX('TMP Paste'!$A$2:$A$1601,$AS1283))</f>
        <v/>
      </c>
      <c r="K1283" t="str">
        <f>IF($AS1283="","",INDEX('TMP Paste'!$L$2:$L$1601,$AS1283))</f>
        <v/>
      </c>
      <c r="L1283" t="str">
        <f>IF($AS1283="","",INDEX('TMP Paste'!$I$2:$I$1601,$AS1283))</f>
        <v/>
      </c>
      <c r="M1283" t="str">
        <f>IF($AS1283="","",Config!$B$16)</f>
        <v/>
      </c>
      <c r="N1283" t="str">
        <f t="shared" si="120"/>
        <v/>
      </c>
      <c r="O1283" t="str">
        <f>IF($AS1283="","",INDEX('TMP Paste'!$K$2:$K$1601,$AS1283))</f>
        <v/>
      </c>
      <c r="P1283" t="str">
        <f t="shared" si="121"/>
        <v/>
      </c>
      <c r="Q1283" t="str">
        <f>IF($AS1283="","",INDEX('TMP Paste'!$J$2:$J$1601,$AS1283))</f>
        <v/>
      </c>
      <c r="R1283" t="str">
        <f>IF($AS1283="","",Config!$B$24)</f>
        <v/>
      </c>
      <c r="S1283" t="str">
        <f ca="1">IF($AS1283="","",TEXT(Config!$B$4,"yyyy-mm-dd"))</f>
        <v/>
      </c>
      <c r="T1283" t="str">
        <f>IF($AS1283="","",Config!$B$17)</f>
        <v/>
      </c>
      <c r="U1283" t="str">
        <f>IF($AS1283="","",Config!$B$18)</f>
        <v/>
      </c>
      <c r="V1283" t="str">
        <f>IF($AS1283="","",Config!$B$19)</f>
        <v/>
      </c>
      <c r="W1283" t="str">
        <f>IF($AS1283="","",INDEX('TMP Paste'!$C$2:$C$1601,$AS1283))</f>
        <v/>
      </c>
      <c r="X1283" t="str">
        <f>IF($AS1283="","",Config!$B$29)</f>
        <v/>
      </c>
      <c r="Y1283" t="str">
        <f>IF($AT1283="","",INDEX(Calc!$I$2:$I$1601,$AT1283)&amp;" - "&amp;INDEX(Calc!$D$2:$D$1601,$AT1283)&amp;" koli")</f>
        <v/>
      </c>
      <c r="Z1283" t="str">
        <f>IF($AS1283="","",Config!$B$21)</f>
        <v/>
      </c>
      <c r="AA1283" t="str">
        <f>IF($AS1283="","",Config!$B$22)</f>
        <v/>
      </c>
      <c r="AB1283" t="str">
        <f>IF($AT1283="","",INDEX(Calc!$D$2:$D$1601,$AT1283))</f>
        <v/>
      </c>
      <c r="AC1283" t="str">
        <f>IF($AT1283="","",INDEX(Calc!$G$2:$G$1601,$AT1283))</f>
        <v/>
      </c>
      <c r="AD1283" t="str">
        <f>IF($AS1283="","",Config!$B$23)</f>
        <v/>
      </c>
      <c r="AE1283" t="str">
        <f>IF($AS1283="","",Config!$B$28)</f>
        <v/>
      </c>
      <c r="AF1283" t="str">
        <f t="shared" si="122"/>
        <v/>
      </c>
      <c r="AG1283" t="str">
        <f t="shared" si="123"/>
        <v/>
      </c>
      <c r="AH1283" t="str">
        <f t="shared" si="124"/>
        <v/>
      </c>
      <c r="AI1283" t="str">
        <f>IF($AG1283="","",SUMIF($AG$2:$AG1283,$AG1283,$AH$2:$AH1283))</f>
        <v/>
      </c>
      <c r="AJ1283" t="str">
        <f>IF('TMP Paste'!$F1283="","",IF('TMP Paste'!$B1283="",$AJ1282,'TMP Paste'!$B1283))</f>
        <v/>
      </c>
      <c r="AK1283" t="str">
        <f>IF('TMP Paste'!$F1283="","",N('TMP Paste'!$G1283))</f>
        <v/>
      </c>
      <c r="AL1283" t="str">
        <f>IF('TMP Paste'!$F1283="","",IF('TMP Paste'!$M1283="",$AL1282,'TMP Paste'!$M1283))</f>
        <v/>
      </c>
      <c r="AM1283" t="str">
        <f>IF('TMP Paste'!$F1283="","",IF('TMP Paste'!$N1283="",$AM1282,'TMP Paste'!$N1283))</f>
        <v/>
      </c>
      <c r="AN1283" t="str">
        <f>IF('TMP Paste'!$F1283="","",IF('TMP Paste'!$O1283="",$AN1282,'TMP Paste'!$O1283))</f>
        <v/>
      </c>
      <c r="AO1283" t="str">
        <f>IF('TMP Paste'!$F1283="","",IF('TMP Paste'!$P1283="",$AO1282,'TMP Paste'!$P1283))</f>
        <v/>
      </c>
      <c r="AP1283" t="str">
        <f t="shared" si="125"/>
        <v/>
      </c>
      <c r="AQ1283" t="str">
        <f>IF($AS1283="","",TRIM(IF(COUNTIFS(Calc!$B$2:$B$1601,ROW()-1,Calc!$C$2:$C$1601,"&lt;1")&gt;0,"Ada PO tanpa Koli - cek TMP. ","")&amp;IF(OR($AU1283="",$AU1283&lt;=0),"Volume kosong/0 - dimensi dikosongkan. ","")&amp;IF(AND($AU1283&lt;&gt;"",$AU1283&gt;=1000000),"Volume &gt;= 1.000.000 cm3 (di luar aturan) - dimensi dikosongkan. ","")&amp;IF(LEN($R1283)&gt;500,"R &gt; 500 karakter.","")))</f>
        <v/>
      </c>
      <c r="AS1283" t="str">
        <f>IFERROR(MATCH(ROW()-1,Calc!$J$2:$J$1601,0),"")</f>
        <v/>
      </c>
      <c r="AT1283" t="str">
        <f>IFERROR(MATCH(ROW()-1,Calc!$K$2:$K$1601,0),"")</f>
        <v/>
      </c>
      <c r="AU1283" t="str">
        <f>IF($AS1283="","",IFERROR(INDEX('TMP Paste'!$D$2:$D$1601,$AS1283)*1000000/$AB1283,""))</f>
        <v/>
      </c>
    </row>
    <row r="1284" spans="1:47">
      <c r="A1284" t="str">
        <f>IF($AS1284="","",INDEX('TMP Paste'!$B$2:$B$1601,$AS1284))</f>
        <v/>
      </c>
      <c r="B1284" t="str">
        <f>IF($AS1284="","",Config!$B$14)</f>
        <v/>
      </c>
      <c r="C1284" t="str">
        <f>IF($AS1284="","",Config!$B$15)</f>
        <v/>
      </c>
      <c r="D1284" t="str">
        <f>IF($AS1284="","",INDEX('TMP Paste'!$B$2:$B$1601,$AS1284))</f>
        <v/>
      </c>
      <c r="E1284" t="str">
        <f>IF($AS1284="","",Config!$B$27)</f>
        <v/>
      </c>
      <c r="F1284" t="str">
        <f>IF($AS1284="","",Config!$B$9)</f>
        <v/>
      </c>
      <c r="G1284" t="str">
        <f>IF($AS1284="","",Config!$B$10)</f>
        <v/>
      </c>
      <c r="H1284" t="str">
        <f>IF($AS1284="","",Config!$B$11)</f>
        <v/>
      </c>
      <c r="I1284" t="str">
        <f>IF($AS1284="","",Config!$B$16)</f>
        <v/>
      </c>
      <c r="J1284" t="str">
        <f>IF($AS1284="","",INDEX('TMP Paste'!$A$2:$A$1601,$AS1284))</f>
        <v/>
      </c>
      <c r="K1284" t="str">
        <f>IF($AS1284="","",INDEX('TMP Paste'!$L$2:$L$1601,$AS1284))</f>
        <v/>
      </c>
      <c r="L1284" t="str">
        <f>IF($AS1284="","",INDEX('TMP Paste'!$I$2:$I$1601,$AS1284))</f>
        <v/>
      </c>
      <c r="M1284" t="str">
        <f>IF($AS1284="","",Config!$B$16)</f>
        <v/>
      </c>
      <c r="N1284" t="str">
        <f t="shared" si="120"/>
        <v/>
      </c>
      <c r="O1284" t="str">
        <f>IF($AS1284="","",INDEX('TMP Paste'!$K$2:$K$1601,$AS1284))</f>
        <v/>
      </c>
      <c r="P1284" t="str">
        <f t="shared" si="121"/>
        <v/>
      </c>
      <c r="Q1284" t="str">
        <f>IF($AS1284="","",INDEX('TMP Paste'!$J$2:$J$1601,$AS1284))</f>
        <v/>
      </c>
      <c r="R1284" t="str">
        <f>IF($AS1284="","",Config!$B$24)</f>
        <v/>
      </c>
      <c r="S1284" t="str">
        <f ca="1">IF($AS1284="","",TEXT(Config!$B$4,"yyyy-mm-dd"))</f>
        <v/>
      </c>
      <c r="T1284" t="str">
        <f>IF($AS1284="","",Config!$B$17)</f>
        <v/>
      </c>
      <c r="U1284" t="str">
        <f>IF($AS1284="","",Config!$B$18)</f>
        <v/>
      </c>
      <c r="V1284" t="str">
        <f>IF($AS1284="","",Config!$B$19)</f>
        <v/>
      </c>
      <c r="W1284" t="str">
        <f>IF($AS1284="","",INDEX('TMP Paste'!$C$2:$C$1601,$AS1284))</f>
        <v/>
      </c>
      <c r="X1284" t="str">
        <f>IF($AS1284="","",Config!$B$29)</f>
        <v/>
      </c>
      <c r="Y1284" t="str">
        <f>IF($AT1284="","",INDEX(Calc!$I$2:$I$1601,$AT1284)&amp;" - "&amp;INDEX(Calc!$D$2:$D$1601,$AT1284)&amp;" koli")</f>
        <v/>
      </c>
      <c r="Z1284" t="str">
        <f>IF($AS1284="","",Config!$B$21)</f>
        <v/>
      </c>
      <c r="AA1284" t="str">
        <f>IF($AS1284="","",Config!$B$22)</f>
        <v/>
      </c>
      <c r="AB1284" t="str">
        <f>IF($AT1284="","",INDEX(Calc!$D$2:$D$1601,$AT1284))</f>
        <v/>
      </c>
      <c r="AC1284" t="str">
        <f>IF($AT1284="","",INDEX(Calc!$G$2:$G$1601,$AT1284))</f>
        <v/>
      </c>
      <c r="AD1284" t="str">
        <f>IF($AS1284="","",Config!$B$23)</f>
        <v/>
      </c>
      <c r="AE1284" t="str">
        <f>IF($AS1284="","",Config!$B$28)</f>
        <v/>
      </c>
      <c r="AF1284" t="str">
        <f t="shared" si="122"/>
        <v/>
      </c>
      <c r="AG1284" t="str">
        <f t="shared" si="123"/>
        <v/>
      </c>
      <c r="AH1284" t="str">
        <f t="shared" si="124"/>
        <v/>
      </c>
      <c r="AI1284" t="str">
        <f>IF($AG1284="","",SUMIF($AG$2:$AG1284,$AG1284,$AH$2:$AH1284))</f>
        <v/>
      </c>
      <c r="AJ1284" t="str">
        <f>IF('TMP Paste'!$F1284="","",IF('TMP Paste'!$B1284="",$AJ1283,'TMP Paste'!$B1284))</f>
        <v/>
      </c>
      <c r="AK1284" t="str">
        <f>IF('TMP Paste'!$F1284="","",N('TMP Paste'!$G1284))</f>
        <v/>
      </c>
      <c r="AL1284" t="str">
        <f>IF('TMP Paste'!$F1284="","",IF('TMP Paste'!$M1284="",$AL1283,'TMP Paste'!$M1284))</f>
        <v/>
      </c>
      <c r="AM1284" t="str">
        <f>IF('TMP Paste'!$F1284="","",IF('TMP Paste'!$N1284="",$AM1283,'TMP Paste'!$N1284))</f>
        <v/>
      </c>
      <c r="AN1284" t="str">
        <f>IF('TMP Paste'!$F1284="","",IF('TMP Paste'!$O1284="",$AN1283,'TMP Paste'!$O1284))</f>
        <v/>
      </c>
      <c r="AO1284" t="str">
        <f>IF('TMP Paste'!$F1284="","",IF('TMP Paste'!$P1284="",$AO1283,'TMP Paste'!$P1284))</f>
        <v/>
      </c>
      <c r="AP1284" t="str">
        <f t="shared" si="125"/>
        <v/>
      </c>
      <c r="AQ1284" t="str">
        <f>IF($AS1284="","",TRIM(IF(COUNTIFS(Calc!$B$2:$B$1601,ROW()-1,Calc!$C$2:$C$1601,"&lt;1")&gt;0,"Ada PO tanpa Koli - cek TMP. ","")&amp;IF(OR($AU1284="",$AU1284&lt;=0),"Volume kosong/0 - dimensi dikosongkan. ","")&amp;IF(AND($AU1284&lt;&gt;"",$AU1284&gt;=1000000),"Volume &gt;= 1.000.000 cm3 (di luar aturan) - dimensi dikosongkan. ","")&amp;IF(LEN($R1284)&gt;500,"R &gt; 500 karakter.","")))</f>
        <v/>
      </c>
      <c r="AS1284" t="str">
        <f>IFERROR(MATCH(ROW()-1,Calc!$J$2:$J$1601,0),"")</f>
        <v/>
      </c>
      <c r="AT1284" t="str">
        <f>IFERROR(MATCH(ROW()-1,Calc!$K$2:$K$1601,0),"")</f>
        <v/>
      </c>
      <c r="AU1284" t="str">
        <f>IF($AS1284="","",IFERROR(INDEX('TMP Paste'!$D$2:$D$1601,$AS1284)*1000000/$AB1284,""))</f>
        <v/>
      </c>
    </row>
    <row r="1285" spans="1:47">
      <c r="A1285" t="str">
        <f>IF($AS1285="","",INDEX('TMP Paste'!$B$2:$B$1601,$AS1285))</f>
        <v/>
      </c>
      <c r="B1285" t="str">
        <f>IF($AS1285="","",Config!$B$14)</f>
        <v/>
      </c>
      <c r="C1285" t="str">
        <f>IF($AS1285="","",Config!$B$15)</f>
        <v/>
      </c>
      <c r="D1285" t="str">
        <f>IF($AS1285="","",INDEX('TMP Paste'!$B$2:$B$1601,$AS1285))</f>
        <v/>
      </c>
      <c r="E1285" t="str">
        <f>IF($AS1285="","",Config!$B$27)</f>
        <v/>
      </c>
      <c r="F1285" t="str">
        <f>IF($AS1285="","",Config!$B$9)</f>
        <v/>
      </c>
      <c r="G1285" t="str">
        <f>IF($AS1285="","",Config!$B$10)</f>
        <v/>
      </c>
      <c r="H1285" t="str">
        <f>IF($AS1285="","",Config!$B$11)</f>
        <v/>
      </c>
      <c r="I1285" t="str">
        <f>IF($AS1285="","",Config!$B$16)</f>
        <v/>
      </c>
      <c r="J1285" t="str">
        <f>IF($AS1285="","",INDEX('TMP Paste'!$A$2:$A$1601,$AS1285))</f>
        <v/>
      </c>
      <c r="K1285" t="str">
        <f>IF($AS1285="","",INDEX('TMP Paste'!$L$2:$L$1601,$AS1285))</f>
        <v/>
      </c>
      <c r="L1285" t="str">
        <f>IF($AS1285="","",INDEX('TMP Paste'!$I$2:$I$1601,$AS1285))</f>
        <v/>
      </c>
      <c r="M1285" t="str">
        <f>IF($AS1285="","",Config!$B$16)</f>
        <v/>
      </c>
      <c r="N1285" t="str">
        <f t="shared" si="120"/>
        <v/>
      </c>
      <c r="O1285" t="str">
        <f>IF($AS1285="","",INDEX('TMP Paste'!$K$2:$K$1601,$AS1285))</f>
        <v/>
      </c>
      <c r="P1285" t="str">
        <f t="shared" si="121"/>
        <v/>
      </c>
      <c r="Q1285" t="str">
        <f>IF($AS1285="","",INDEX('TMP Paste'!$J$2:$J$1601,$AS1285))</f>
        <v/>
      </c>
      <c r="R1285" t="str">
        <f>IF($AS1285="","",Config!$B$24)</f>
        <v/>
      </c>
      <c r="S1285" t="str">
        <f ca="1">IF($AS1285="","",TEXT(Config!$B$4,"yyyy-mm-dd"))</f>
        <v/>
      </c>
      <c r="T1285" t="str">
        <f>IF($AS1285="","",Config!$B$17)</f>
        <v/>
      </c>
      <c r="U1285" t="str">
        <f>IF($AS1285="","",Config!$B$18)</f>
        <v/>
      </c>
      <c r="V1285" t="str">
        <f>IF($AS1285="","",Config!$B$19)</f>
        <v/>
      </c>
      <c r="W1285" t="str">
        <f>IF($AS1285="","",INDEX('TMP Paste'!$C$2:$C$1601,$AS1285))</f>
        <v/>
      </c>
      <c r="X1285" t="str">
        <f>IF($AS1285="","",Config!$B$29)</f>
        <v/>
      </c>
      <c r="Y1285" t="str">
        <f>IF($AT1285="","",INDEX(Calc!$I$2:$I$1601,$AT1285)&amp;" - "&amp;INDEX(Calc!$D$2:$D$1601,$AT1285)&amp;" koli")</f>
        <v/>
      </c>
      <c r="Z1285" t="str">
        <f>IF($AS1285="","",Config!$B$21)</f>
        <v/>
      </c>
      <c r="AA1285" t="str">
        <f>IF($AS1285="","",Config!$B$22)</f>
        <v/>
      </c>
      <c r="AB1285" t="str">
        <f>IF($AT1285="","",INDEX(Calc!$D$2:$D$1601,$AT1285))</f>
        <v/>
      </c>
      <c r="AC1285" t="str">
        <f>IF($AT1285="","",INDEX(Calc!$G$2:$G$1601,$AT1285))</f>
        <v/>
      </c>
      <c r="AD1285" t="str">
        <f>IF($AS1285="","",Config!$B$23)</f>
        <v/>
      </c>
      <c r="AE1285" t="str">
        <f>IF($AS1285="","",Config!$B$28)</f>
        <v/>
      </c>
      <c r="AF1285" t="str">
        <f t="shared" si="122"/>
        <v/>
      </c>
      <c r="AG1285" t="str">
        <f t="shared" si="123"/>
        <v/>
      </c>
      <c r="AH1285" t="str">
        <f t="shared" si="124"/>
        <v/>
      </c>
      <c r="AI1285" t="str">
        <f>IF($AG1285="","",SUMIF($AG$2:$AG1285,$AG1285,$AH$2:$AH1285))</f>
        <v/>
      </c>
      <c r="AJ1285" t="str">
        <f>IF('TMP Paste'!$F1285="","",IF('TMP Paste'!$B1285="",$AJ1284,'TMP Paste'!$B1285))</f>
        <v/>
      </c>
      <c r="AK1285" t="str">
        <f>IF('TMP Paste'!$F1285="","",N('TMP Paste'!$G1285))</f>
        <v/>
      </c>
      <c r="AL1285" t="str">
        <f>IF('TMP Paste'!$F1285="","",IF('TMP Paste'!$M1285="",$AL1284,'TMP Paste'!$M1285))</f>
        <v/>
      </c>
      <c r="AM1285" t="str">
        <f>IF('TMP Paste'!$F1285="","",IF('TMP Paste'!$N1285="",$AM1284,'TMP Paste'!$N1285))</f>
        <v/>
      </c>
      <c r="AN1285" t="str">
        <f>IF('TMP Paste'!$F1285="","",IF('TMP Paste'!$O1285="",$AN1284,'TMP Paste'!$O1285))</f>
        <v/>
      </c>
      <c r="AO1285" t="str">
        <f>IF('TMP Paste'!$F1285="","",IF('TMP Paste'!$P1285="",$AO1284,'TMP Paste'!$P1285))</f>
        <v/>
      </c>
      <c r="AP1285" t="str">
        <f t="shared" si="125"/>
        <v/>
      </c>
      <c r="AQ1285" t="str">
        <f>IF($AS1285="","",TRIM(IF(COUNTIFS(Calc!$B$2:$B$1601,ROW()-1,Calc!$C$2:$C$1601,"&lt;1")&gt;0,"Ada PO tanpa Koli - cek TMP. ","")&amp;IF(OR($AU1285="",$AU1285&lt;=0),"Volume kosong/0 - dimensi dikosongkan. ","")&amp;IF(AND($AU1285&lt;&gt;"",$AU1285&gt;=1000000),"Volume &gt;= 1.000.000 cm3 (di luar aturan) - dimensi dikosongkan. ","")&amp;IF(LEN($R1285)&gt;500,"R &gt; 500 karakter.","")))</f>
        <v/>
      </c>
      <c r="AS1285" t="str">
        <f>IFERROR(MATCH(ROW()-1,Calc!$J$2:$J$1601,0),"")</f>
        <v/>
      </c>
      <c r="AT1285" t="str">
        <f>IFERROR(MATCH(ROW()-1,Calc!$K$2:$K$1601,0),"")</f>
        <v/>
      </c>
      <c r="AU1285" t="str">
        <f>IF($AS1285="","",IFERROR(INDEX('TMP Paste'!$D$2:$D$1601,$AS1285)*1000000/$AB1285,""))</f>
        <v/>
      </c>
    </row>
    <row r="1286" spans="1:47">
      <c r="A1286" t="str">
        <f>IF($AS1286="","",INDEX('TMP Paste'!$B$2:$B$1601,$AS1286))</f>
        <v/>
      </c>
      <c r="B1286" t="str">
        <f>IF($AS1286="","",Config!$B$14)</f>
        <v/>
      </c>
      <c r="C1286" t="str">
        <f>IF($AS1286="","",Config!$B$15)</f>
        <v/>
      </c>
      <c r="D1286" t="str">
        <f>IF($AS1286="","",INDEX('TMP Paste'!$B$2:$B$1601,$AS1286))</f>
        <v/>
      </c>
      <c r="E1286" t="str">
        <f>IF($AS1286="","",Config!$B$27)</f>
        <v/>
      </c>
      <c r="F1286" t="str">
        <f>IF($AS1286="","",Config!$B$9)</f>
        <v/>
      </c>
      <c r="G1286" t="str">
        <f>IF($AS1286="","",Config!$B$10)</f>
        <v/>
      </c>
      <c r="H1286" t="str">
        <f>IF($AS1286="","",Config!$B$11)</f>
        <v/>
      </c>
      <c r="I1286" t="str">
        <f>IF($AS1286="","",Config!$B$16)</f>
        <v/>
      </c>
      <c r="J1286" t="str">
        <f>IF($AS1286="","",INDEX('TMP Paste'!$A$2:$A$1601,$AS1286))</f>
        <v/>
      </c>
      <c r="K1286" t="str">
        <f>IF($AS1286="","",INDEX('TMP Paste'!$L$2:$L$1601,$AS1286))</f>
        <v/>
      </c>
      <c r="L1286" t="str">
        <f>IF($AS1286="","",INDEX('TMP Paste'!$I$2:$I$1601,$AS1286))</f>
        <v/>
      </c>
      <c r="M1286" t="str">
        <f>IF($AS1286="","",Config!$B$16)</f>
        <v/>
      </c>
      <c r="N1286" t="str">
        <f t="shared" si="120"/>
        <v/>
      </c>
      <c r="O1286" t="str">
        <f>IF($AS1286="","",INDEX('TMP Paste'!$K$2:$K$1601,$AS1286))</f>
        <v/>
      </c>
      <c r="P1286" t="str">
        <f t="shared" si="121"/>
        <v/>
      </c>
      <c r="Q1286" t="str">
        <f>IF($AS1286="","",INDEX('TMP Paste'!$J$2:$J$1601,$AS1286))</f>
        <v/>
      </c>
      <c r="R1286" t="str">
        <f>IF($AS1286="","",Config!$B$24)</f>
        <v/>
      </c>
      <c r="S1286" t="str">
        <f ca="1">IF($AS1286="","",TEXT(Config!$B$4,"yyyy-mm-dd"))</f>
        <v/>
      </c>
      <c r="T1286" t="str">
        <f>IF($AS1286="","",Config!$B$17)</f>
        <v/>
      </c>
      <c r="U1286" t="str">
        <f>IF($AS1286="","",Config!$B$18)</f>
        <v/>
      </c>
      <c r="V1286" t="str">
        <f>IF($AS1286="","",Config!$B$19)</f>
        <v/>
      </c>
      <c r="W1286" t="str">
        <f>IF($AS1286="","",INDEX('TMP Paste'!$C$2:$C$1601,$AS1286))</f>
        <v/>
      </c>
      <c r="X1286" t="str">
        <f>IF($AS1286="","",Config!$B$29)</f>
        <v/>
      </c>
      <c r="Y1286" t="str">
        <f>IF($AT1286="","",INDEX(Calc!$I$2:$I$1601,$AT1286)&amp;" - "&amp;INDEX(Calc!$D$2:$D$1601,$AT1286)&amp;" koli")</f>
        <v/>
      </c>
      <c r="Z1286" t="str">
        <f>IF($AS1286="","",Config!$B$21)</f>
        <v/>
      </c>
      <c r="AA1286" t="str">
        <f>IF($AS1286="","",Config!$B$22)</f>
        <v/>
      </c>
      <c r="AB1286" t="str">
        <f>IF($AT1286="","",INDEX(Calc!$D$2:$D$1601,$AT1286))</f>
        <v/>
      </c>
      <c r="AC1286" t="str">
        <f>IF($AT1286="","",INDEX(Calc!$G$2:$G$1601,$AT1286))</f>
        <v/>
      </c>
      <c r="AD1286" t="str">
        <f>IF($AS1286="","",Config!$B$23)</f>
        <v/>
      </c>
      <c r="AE1286" t="str">
        <f>IF($AS1286="","",Config!$B$28)</f>
        <v/>
      </c>
      <c r="AF1286" t="str">
        <f t="shared" si="122"/>
        <v/>
      </c>
      <c r="AG1286" t="str">
        <f t="shared" si="123"/>
        <v/>
      </c>
      <c r="AH1286" t="str">
        <f t="shared" si="124"/>
        <v/>
      </c>
      <c r="AI1286" t="str">
        <f>IF($AG1286="","",SUMIF($AG$2:$AG1286,$AG1286,$AH$2:$AH1286))</f>
        <v/>
      </c>
      <c r="AJ1286" t="str">
        <f>IF('TMP Paste'!$F1286="","",IF('TMP Paste'!$B1286="",$AJ1285,'TMP Paste'!$B1286))</f>
        <v/>
      </c>
      <c r="AK1286" t="str">
        <f>IF('TMP Paste'!$F1286="","",N('TMP Paste'!$G1286))</f>
        <v/>
      </c>
      <c r="AL1286" t="str">
        <f>IF('TMP Paste'!$F1286="","",IF('TMP Paste'!$M1286="",$AL1285,'TMP Paste'!$M1286))</f>
        <v/>
      </c>
      <c r="AM1286" t="str">
        <f>IF('TMP Paste'!$F1286="","",IF('TMP Paste'!$N1286="",$AM1285,'TMP Paste'!$N1286))</f>
        <v/>
      </c>
      <c r="AN1286" t="str">
        <f>IF('TMP Paste'!$F1286="","",IF('TMP Paste'!$O1286="",$AN1285,'TMP Paste'!$O1286))</f>
        <v/>
      </c>
      <c r="AO1286" t="str">
        <f>IF('TMP Paste'!$F1286="","",IF('TMP Paste'!$P1286="",$AO1285,'TMP Paste'!$P1286))</f>
        <v/>
      </c>
      <c r="AP1286" t="str">
        <f t="shared" si="125"/>
        <v/>
      </c>
      <c r="AQ1286" t="str">
        <f>IF($AS1286="","",TRIM(IF(COUNTIFS(Calc!$B$2:$B$1601,ROW()-1,Calc!$C$2:$C$1601,"&lt;1")&gt;0,"Ada PO tanpa Koli - cek TMP. ","")&amp;IF(OR($AU1286="",$AU1286&lt;=0),"Volume kosong/0 - dimensi dikosongkan. ","")&amp;IF(AND($AU1286&lt;&gt;"",$AU1286&gt;=1000000),"Volume &gt;= 1.000.000 cm3 (di luar aturan) - dimensi dikosongkan. ","")&amp;IF(LEN($R1286)&gt;500,"R &gt; 500 karakter.","")))</f>
        <v/>
      </c>
      <c r="AS1286" t="str">
        <f>IFERROR(MATCH(ROW()-1,Calc!$J$2:$J$1601,0),"")</f>
        <v/>
      </c>
      <c r="AT1286" t="str">
        <f>IFERROR(MATCH(ROW()-1,Calc!$K$2:$K$1601,0),"")</f>
        <v/>
      </c>
      <c r="AU1286" t="str">
        <f>IF($AS1286="","",IFERROR(INDEX('TMP Paste'!$D$2:$D$1601,$AS1286)*1000000/$AB1286,""))</f>
        <v/>
      </c>
    </row>
    <row r="1287" spans="1:47">
      <c r="A1287" t="str">
        <f>IF($AS1287="","",INDEX('TMP Paste'!$B$2:$B$1601,$AS1287))</f>
        <v/>
      </c>
      <c r="B1287" t="str">
        <f>IF($AS1287="","",Config!$B$14)</f>
        <v/>
      </c>
      <c r="C1287" t="str">
        <f>IF($AS1287="","",Config!$B$15)</f>
        <v/>
      </c>
      <c r="D1287" t="str">
        <f>IF($AS1287="","",INDEX('TMP Paste'!$B$2:$B$1601,$AS1287))</f>
        <v/>
      </c>
      <c r="E1287" t="str">
        <f>IF($AS1287="","",Config!$B$27)</f>
        <v/>
      </c>
      <c r="F1287" t="str">
        <f>IF($AS1287="","",Config!$B$9)</f>
        <v/>
      </c>
      <c r="G1287" t="str">
        <f>IF($AS1287="","",Config!$B$10)</f>
        <v/>
      </c>
      <c r="H1287" t="str">
        <f>IF($AS1287="","",Config!$B$11)</f>
        <v/>
      </c>
      <c r="I1287" t="str">
        <f>IF($AS1287="","",Config!$B$16)</f>
        <v/>
      </c>
      <c r="J1287" t="str">
        <f>IF($AS1287="","",INDEX('TMP Paste'!$A$2:$A$1601,$AS1287))</f>
        <v/>
      </c>
      <c r="K1287" t="str">
        <f>IF($AS1287="","",INDEX('TMP Paste'!$L$2:$L$1601,$AS1287))</f>
        <v/>
      </c>
      <c r="L1287" t="str">
        <f>IF($AS1287="","",INDEX('TMP Paste'!$I$2:$I$1601,$AS1287))</f>
        <v/>
      </c>
      <c r="M1287" t="str">
        <f>IF($AS1287="","",Config!$B$16)</f>
        <v/>
      </c>
      <c r="N1287" t="str">
        <f t="shared" si="120"/>
        <v/>
      </c>
      <c r="O1287" t="str">
        <f>IF($AS1287="","",INDEX('TMP Paste'!$K$2:$K$1601,$AS1287))</f>
        <v/>
      </c>
      <c r="P1287" t="str">
        <f t="shared" si="121"/>
        <v/>
      </c>
      <c r="Q1287" t="str">
        <f>IF($AS1287="","",INDEX('TMP Paste'!$J$2:$J$1601,$AS1287))</f>
        <v/>
      </c>
      <c r="R1287" t="str">
        <f>IF($AS1287="","",Config!$B$24)</f>
        <v/>
      </c>
      <c r="S1287" t="str">
        <f ca="1">IF($AS1287="","",TEXT(Config!$B$4,"yyyy-mm-dd"))</f>
        <v/>
      </c>
      <c r="T1287" t="str">
        <f>IF($AS1287="","",Config!$B$17)</f>
        <v/>
      </c>
      <c r="U1287" t="str">
        <f>IF($AS1287="","",Config!$B$18)</f>
        <v/>
      </c>
      <c r="V1287" t="str">
        <f>IF($AS1287="","",Config!$B$19)</f>
        <v/>
      </c>
      <c r="W1287" t="str">
        <f>IF($AS1287="","",INDEX('TMP Paste'!$C$2:$C$1601,$AS1287))</f>
        <v/>
      </c>
      <c r="X1287" t="str">
        <f>IF($AS1287="","",Config!$B$29)</f>
        <v/>
      </c>
      <c r="Y1287" t="str">
        <f>IF($AT1287="","",INDEX(Calc!$I$2:$I$1601,$AT1287)&amp;" - "&amp;INDEX(Calc!$D$2:$D$1601,$AT1287)&amp;" koli")</f>
        <v/>
      </c>
      <c r="Z1287" t="str">
        <f>IF($AS1287="","",Config!$B$21)</f>
        <v/>
      </c>
      <c r="AA1287" t="str">
        <f>IF($AS1287="","",Config!$B$22)</f>
        <v/>
      </c>
      <c r="AB1287" t="str">
        <f>IF($AT1287="","",INDEX(Calc!$D$2:$D$1601,$AT1287))</f>
        <v/>
      </c>
      <c r="AC1287" t="str">
        <f>IF($AT1287="","",INDEX(Calc!$G$2:$G$1601,$AT1287))</f>
        <v/>
      </c>
      <c r="AD1287" t="str">
        <f>IF($AS1287="","",Config!$B$23)</f>
        <v/>
      </c>
      <c r="AE1287" t="str">
        <f>IF($AS1287="","",Config!$B$28)</f>
        <v/>
      </c>
      <c r="AF1287" t="str">
        <f t="shared" si="122"/>
        <v/>
      </c>
      <c r="AG1287" t="str">
        <f t="shared" si="123"/>
        <v/>
      </c>
      <c r="AH1287" t="str">
        <f t="shared" si="124"/>
        <v/>
      </c>
      <c r="AI1287" t="str">
        <f>IF($AG1287="","",SUMIF($AG$2:$AG1287,$AG1287,$AH$2:$AH1287))</f>
        <v/>
      </c>
      <c r="AJ1287" t="str">
        <f>IF('TMP Paste'!$F1287="","",IF('TMP Paste'!$B1287="",$AJ1286,'TMP Paste'!$B1287))</f>
        <v/>
      </c>
      <c r="AK1287" t="str">
        <f>IF('TMP Paste'!$F1287="","",N('TMP Paste'!$G1287))</f>
        <v/>
      </c>
      <c r="AL1287" t="str">
        <f>IF('TMP Paste'!$F1287="","",IF('TMP Paste'!$M1287="",$AL1286,'TMP Paste'!$M1287))</f>
        <v/>
      </c>
      <c r="AM1287" t="str">
        <f>IF('TMP Paste'!$F1287="","",IF('TMP Paste'!$N1287="",$AM1286,'TMP Paste'!$N1287))</f>
        <v/>
      </c>
      <c r="AN1287" t="str">
        <f>IF('TMP Paste'!$F1287="","",IF('TMP Paste'!$O1287="",$AN1286,'TMP Paste'!$O1287))</f>
        <v/>
      </c>
      <c r="AO1287" t="str">
        <f>IF('TMP Paste'!$F1287="","",IF('TMP Paste'!$P1287="",$AO1286,'TMP Paste'!$P1287))</f>
        <v/>
      </c>
      <c r="AP1287" t="str">
        <f t="shared" si="125"/>
        <v/>
      </c>
      <c r="AQ1287" t="str">
        <f>IF($AS1287="","",TRIM(IF(COUNTIFS(Calc!$B$2:$B$1601,ROW()-1,Calc!$C$2:$C$1601,"&lt;1")&gt;0,"Ada PO tanpa Koli - cek TMP. ","")&amp;IF(OR($AU1287="",$AU1287&lt;=0),"Volume kosong/0 - dimensi dikosongkan. ","")&amp;IF(AND($AU1287&lt;&gt;"",$AU1287&gt;=1000000),"Volume &gt;= 1.000.000 cm3 (di luar aturan) - dimensi dikosongkan. ","")&amp;IF(LEN($R1287)&gt;500,"R &gt; 500 karakter.","")))</f>
        <v/>
      </c>
      <c r="AS1287" t="str">
        <f>IFERROR(MATCH(ROW()-1,Calc!$J$2:$J$1601,0),"")</f>
        <v/>
      </c>
      <c r="AT1287" t="str">
        <f>IFERROR(MATCH(ROW()-1,Calc!$K$2:$K$1601,0),"")</f>
        <v/>
      </c>
      <c r="AU1287" t="str">
        <f>IF($AS1287="","",IFERROR(INDEX('TMP Paste'!$D$2:$D$1601,$AS1287)*1000000/$AB1287,""))</f>
        <v/>
      </c>
    </row>
    <row r="1288" spans="1:47">
      <c r="A1288" t="str">
        <f>IF($AS1288="","",INDEX('TMP Paste'!$B$2:$B$1601,$AS1288))</f>
        <v/>
      </c>
      <c r="B1288" t="str">
        <f>IF($AS1288="","",Config!$B$14)</f>
        <v/>
      </c>
      <c r="C1288" t="str">
        <f>IF($AS1288="","",Config!$B$15)</f>
        <v/>
      </c>
      <c r="D1288" t="str">
        <f>IF($AS1288="","",INDEX('TMP Paste'!$B$2:$B$1601,$AS1288))</f>
        <v/>
      </c>
      <c r="E1288" t="str">
        <f>IF($AS1288="","",Config!$B$27)</f>
        <v/>
      </c>
      <c r="F1288" t="str">
        <f>IF($AS1288="","",Config!$B$9)</f>
        <v/>
      </c>
      <c r="G1288" t="str">
        <f>IF($AS1288="","",Config!$B$10)</f>
        <v/>
      </c>
      <c r="H1288" t="str">
        <f>IF($AS1288="","",Config!$B$11)</f>
        <v/>
      </c>
      <c r="I1288" t="str">
        <f>IF($AS1288="","",Config!$B$16)</f>
        <v/>
      </c>
      <c r="J1288" t="str">
        <f>IF($AS1288="","",INDEX('TMP Paste'!$A$2:$A$1601,$AS1288))</f>
        <v/>
      </c>
      <c r="K1288" t="str">
        <f>IF($AS1288="","",INDEX('TMP Paste'!$L$2:$L$1601,$AS1288))</f>
        <v/>
      </c>
      <c r="L1288" t="str">
        <f>IF($AS1288="","",INDEX('TMP Paste'!$I$2:$I$1601,$AS1288))</f>
        <v/>
      </c>
      <c r="M1288" t="str">
        <f>IF($AS1288="","",Config!$B$16)</f>
        <v/>
      </c>
      <c r="N1288" t="str">
        <f t="shared" si="120"/>
        <v/>
      </c>
      <c r="O1288" t="str">
        <f>IF($AS1288="","",INDEX('TMP Paste'!$K$2:$K$1601,$AS1288))</f>
        <v/>
      </c>
      <c r="P1288" t="str">
        <f t="shared" si="121"/>
        <v/>
      </c>
      <c r="Q1288" t="str">
        <f>IF($AS1288="","",INDEX('TMP Paste'!$J$2:$J$1601,$AS1288))</f>
        <v/>
      </c>
      <c r="R1288" t="str">
        <f>IF($AS1288="","",Config!$B$24)</f>
        <v/>
      </c>
      <c r="S1288" t="str">
        <f ca="1">IF($AS1288="","",TEXT(Config!$B$4,"yyyy-mm-dd"))</f>
        <v/>
      </c>
      <c r="T1288" t="str">
        <f>IF($AS1288="","",Config!$B$17)</f>
        <v/>
      </c>
      <c r="U1288" t="str">
        <f>IF($AS1288="","",Config!$B$18)</f>
        <v/>
      </c>
      <c r="V1288" t="str">
        <f>IF($AS1288="","",Config!$B$19)</f>
        <v/>
      </c>
      <c r="W1288" t="str">
        <f>IF($AS1288="","",INDEX('TMP Paste'!$C$2:$C$1601,$AS1288))</f>
        <v/>
      </c>
      <c r="X1288" t="str">
        <f>IF($AS1288="","",Config!$B$29)</f>
        <v/>
      </c>
      <c r="Y1288" t="str">
        <f>IF($AT1288="","",INDEX(Calc!$I$2:$I$1601,$AT1288)&amp;" - "&amp;INDEX(Calc!$D$2:$D$1601,$AT1288)&amp;" koli")</f>
        <v/>
      </c>
      <c r="Z1288" t="str">
        <f>IF($AS1288="","",Config!$B$21)</f>
        <v/>
      </c>
      <c r="AA1288" t="str">
        <f>IF($AS1288="","",Config!$B$22)</f>
        <v/>
      </c>
      <c r="AB1288" t="str">
        <f>IF($AT1288="","",INDEX(Calc!$D$2:$D$1601,$AT1288))</f>
        <v/>
      </c>
      <c r="AC1288" t="str">
        <f>IF($AT1288="","",INDEX(Calc!$G$2:$G$1601,$AT1288))</f>
        <v/>
      </c>
      <c r="AD1288" t="str">
        <f>IF($AS1288="","",Config!$B$23)</f>
        <v/>
      </c>
      <c r="AE1288" t="str">
        <f>IF($AS1288="","",Config!$B$28)</f>
        <v/>
      </c>
      <c r="AF1288" t="str">
        <f t="shared" si="122"/>
        <v/>
      </c>
      <c r="AG1288" t="str">
        <f t="shared" si="123"/>
        <v/>
      </c>
      <c r="AH1288" t="str">
        <f t="shared" si="124"/>
        <v/>
      </c>
      <c r="AI1288" t="str">
        <f>IF($AG1288="","",SUMIF($AG$2:$AG1288,$AG1288,$AH$2:$AH1288))</f>
        <v/>
      </c>
      <c r="AJ1288" t="str">
        <f>IF('TMP Paste'!$F1288="","",IF('TMP Paste'!$B1288="",$AJ1287,'TMP Paste'!$B1288))</f>
        <v/>
      </c>
      <c r="AK1288" t="str">
        <f>IF('TMP Paste'!$F1288="","",N('TMP Paste'!$G1288))</f>
        <v/>
      </c>
      <c r="AL1288" t="str">
        <f>IF('TMP Paste'!$F1288="","",IF('TMP Paste'!$M1288="",$AL1287,'TMP Paste'!$M1288))</f>
        <v/>
      </c>
      <c r="AM1288" t="str">
        <f>IF('TMP Paste'!$F1288="","",IF('TMP Paste'!$N1288="",$AM1287,'TMP Paste'!$N1288))</f>
        <v/>
      </c>
      <c r="AN1288" t="str">
        <f>IF('TMP Paste'!$F1288="","",IF('TMP Paste'!$O1288="",$AN1287,'TMP Paste'!$O1288))</f>
        <v/>
      </c>
      <c r="AO1288" t="str">
        <f>IF('TMP Paste'!$F1288="","",IF('TMP Paste'!$P1288="",$AO1287,'TMP Paste'!$P1288))</f>
        <v/>
      </c>
      <c r="AP1288" t="str">
        <f t="shared" si="125"/>
        <v/>
      </c>
      <c r="AQ1288" t="str">
        <f>IF($AS1288="","",TRIM(IF(COUNTIFS(Calc!$B$2:$B$1601,ROW()-1,Calc!$C$2:$C$1601,"&lt;1")&gt;0,"Ada PO tanpa Koli - cek TMP. ","")&amp;IF(OR($AU1288="",$AU1288&lt;=0),"Volume kosong/0 - dimensi dikosongkan. ","")&amp;IF(AND($AU1288&lt;&gt;"",$AU1288&gt;=1000000),"Volume &gt;= 1.000.000 cm3 (di luar aturan) - dimensi dikosongkan. ","")&amp;IF(LEN($R1288)&gt;500,"R &gt; 500 karakter.","")))</f>
        <v/>
      </c>
      <c r="AS1288" t="str">
        <f>IFERROR(MATCH(ROW()-1,Calc!$J$2:$J$1601,0),"")</f>
        <v/>
      </c>
      <c r="AT1288" t="str">
        <f>IFERROR(MATCH(ROW()-1,Calc!$K$2:$K$1601,0),"")</f>
        <v/>
      </c>
      <c r="AU1288" t="str">
        <f>IF($AS1288="","",IFERROR(INDEX('TMP Paste'!$D$2:$D$1601,$AS1288)*1000000/$AB1288,""))</f>
        <v/>
      </c>
    </row>
    <row r="1289" spans="1:47">
      <c r="A1289" t="str">
        <f>IF($AS1289="","",INDEX('TMP Paste'!$B$2:$B$1601,$AS1289))</f>
        <v/>
      </c>
      <c r="B1289" t="str">
        <f>IF($AS1289="","",Config!$B$14)</f>
        <v/>
      </c>
      <c r="C1289" t="str">
        <f>IF($AS1289="","",Config!$B$15)</f>
        <v/>
      </c>
      <c r="D1289" t="str">
        <f>IF($AS1289="","",INDEX('TMP Paste'!$B$2:$B$1601,$AS1289))</f>
        <v/>
      </c>
      <c r="E1289" t="str">
        <f>IF($AS1289="","",Config!$B$27)</f>
        <v/>
      </c>
      <c r="F1289" t="str">
        <f>IF($AS1289="","",Config!$B$9)</f>
        <v/>
      </c>
      <c r="G1289" t="str">
        <f>IF($AS1289="","",Config!$B$10)</f>
        <v/>
      </c>
      <c r="H1289" t="str">
        <f>IF($AS1289="","",Config!$B$11)</f>
        <v/>
      </c>
      <c r="I1289" t="str">
        <f>IF($AS1289="","",Config!$B$16)</f>
        <v/>
      </c>
      <c r="J1289" t="str">
        <f>IF($AS1289="","",INDEX('TMP Paste'!$A$2:$A$1601,$AS1289))</f>
        <v/>
      </c>
      <c r="K1289" t="str">
        <f>IF($AS1289="","",INDEX('TMP Paste'!$L$2:$L$1601,$AS1289))</f>
        <v/>
      </c>
      <c r="L1289" t="str">
        <f>IF($AS1289="","",INDEX('TMP Paste'!$I$2:$I$1601,$AS1289))</f>
        <v/>
      </c>
      <c r="M1289" t="str">
        <f>IF($AS1289="","",Config!$B$16)</f>
        <v/>
      </c>
      <c r="N1289" t="str">
        <f t="shared" si="120"/>
        <v/>
      </c>
      <c r="O1289" t="str">
        <f>IF($AS1289="","",INDEX('TMP Paste'!$K$2:$K$1601,$AS1289))</f>
        <v/>
      </c>
      <c r="P1289" t="str">
        <f t="shared" si="121"/>
        <v/>
      </c>
      <c r="Q1289" t="str">
        <f>IF($AS1289="","",INDEX('TMP Paste'!$J$2:$J$1601,$AS1289))</f>
        <v/>
      </c>
      <c r="R1289" t="str">
        <f>IF($AS1289="","",Config!$B$24)</f>
        <v/>
      </c>
      <c r="S1289" t="str">
        <f ca="1">IF($AS1289="","",TEXT(Config!$B$4,"yyyy-mm-dd"))</f>
        <v/>
      </c>
      <c r="T1289" t="str">
        <f>IF($AS1289="","",Config!$B$17)</f>
        <v/>
      </c>
      <c r="U1289" t="str">
        <f>IF($AS1289="","",Config!$B$18)</f>
        <v/>
      </c>
      <c r="V1289" t="str">
        <f>IF($AS1289="","",Config!$B$19)</f>
        <v/>
      </c>
      <c r="W1289" t="str">
        <f>IF($AS1289="","",INDEX('TMP Paste'!$C$2:$C$1601,$AS1289))</f>
        <v/>
      </c>
      <c r="X1289" t="str">
        <f>IF($AS1289="","",Config!$B$29)</f>
        <v/>
      </c>
      <c r="Y1289" t="str">
        <f>IF($AT1289="","",INDEX(Calc!$I$2:$I$1601,$AT1289)&amp;" - "&amp;INDEX(Calc!$D$2:$D$1601,$AT1289)&amp;" koli")</f>
        <v/>
      </c>
      <c r="Z1289" t="str">
        <f>IF($AS1289="","",Config!$B$21)</f>
        <v/>
      </c>
      <c r="AA1289" t="str">
        <f>IF($AS1289="","",Config!$B$22)</f>
        <v/>
      </c>
      <c r="AB1289" t="str">
        <f>IF($AT1289="","",INDEX(Calc!$D$2:$D$1601,$AT1289))</f>
        <v/>
      </c>
      <c r="AC1289" t="str">
        <f>IF($AT1289="","",INDEX(Calc!$G$2:$G$1601,$AT1289))</f>
        <v/>
      </c>
      <c r="AD1289" t="str">
        <f>IF($AS1289="","",Config!$B$23)</f>
        <v/>
      </c>
      <c r="AE1289" t="str">
        <f>IF($AS1289="","",Config!$B$28)</f>
        <v/>
      </c>
      <c r="AF1289" t="str">
        <f t="shared" si="122"/>
        <v/>
      </c>
      <c r="AG1289" t="str">
        <f t="shared" si="123"/>
        <v/>
      </c>
      <c r="AH1289" t="str">
        <f t="shared" si="124"/>
        <v/>
      </c>
      <c r="AI1289" t="str">
        <f>IF($AG1289="","",SUMIF($AG$2:$AG1289,$AG1289,$AH$2:$AH1289))</f>
        <v/>
      </c>
      <c r="AJ1289" t="str">
        <f>IF('TMP Paste'!$F1289="","",IF('TMP Paste'!$B1289="",$AJ1288,'TMP Paste'!$B1289))</f>
        <v/>
      </c>
      <c r="AK1289" t="str">
        <f>IF('TMP Paste'!$F1289="","",N('TMP Paste'!$G1289))</f>
        <v/>
      </c>
      <c r="AL1289" t="str">
        <f>IF('TMP Paste'!$F1289="","",IF('TMP Paste'!$M1289="",$AL1288,'TMP Paste'!$M1289))</f>
        <v/>
      </c>
      <c r="AM1289" t="str">
        <f>IF('TMP Paste'!$F1289="","",IF('TMP Paste'!$N1289="",$AM1288,'TMP Paste'!$N1289))</f>
        <v/>
      </c>
      <c r="AN1289" t="str">
        <f>IF('TMP Paste'!$F1289="","",IF('TMP Paste'!$O1289="",$AN1288,'TMP Paste'!$O1289))</f>
        <v/>
      </c>
      <c r="AO1289" t="str">
        <f>IF('TMP Paste'!$F1289="","",IF('TMP Paste'!$P1289="",$AO1288,'TMP Paste'!$P1289))</f>
        <v/>
      </c>
      <c r="AP1289" t="str">
        <f t="shared" si="125"/>
        <v/>
      </c>
      <c r="AQ1289" t="str">
        <f>IF($AS1289="","",TRIM(IF(COUNTIFS(Calc!$B$2:$B$1601,ROW()-1,Calc!$C$2:$C$1601,"&lt;1")&gt;0,"Ada PO tanpa Koli - cek TMP. ","")&amp;IF(OR($AU1289="",$AU1289&lt;=0),"Volume kosong/0 - dimensi dikosongkan. ","")&amp;IF(AND($AU1289&lt;&gt;"",$AU1289&gt;=1000000),"Volume &gt;= 1.000.000 cm3 (di luar aturan) - dimensi dikosongkan. ","")&amp;IF(LEN($R1289)&gt;500,"R &gt; 500 karakter.","")))</f>
        <v/>
      </c>
      <c r="AS1289" t="str">
        <f>IFERROR(MATCH(ROW()-1,Calc!$J$2:$J$1601,0),"")</f>
        <v/>
      </c>
      <c r="AT1289" t="str">
        <f>IFERROR(MATCH(ROW()-1,Calc!$K$2:$K$1601,0),"")</f>
        <v/>
      </c>
      <c r="AU1289" t="str">
        <f>IF($AS1289="","",IFERROR(INDEX('TMP Paste'!$D$2:$D$1601,$AS1289)*1000000/$AB1289,""))</f>
        <v/>
      </c>
    </row>
    <row r="1290" spans="1:47">
      <c r="A1290" t="str">
        <f>IF($AS1290="","",INDEX('TMP Paste'!$B$2:$B$1601,$AS1290))</f>
        <v/>
      </c>
      <c r="B1290" t="str">
        <f>IF($AS1290="","",Config!$B$14)</f>
        <v/>
      </c>
      <c r="C1290" t="str">
        <f>IF($AS1290="","",Config!$B$15)</f>
        <v/>
      </c>
      <c r="D1290" t="str">
        <f>IF($AS1290="","",INDEX('TMP Paste'!$B$2:$B$1601,$AS1290))</f>
        <v/>
      </c>
      <c r="E1290" t="str">
        <f>IF($AS1290="","",Config!$B$27)</f>
        <v/>
      </c>
      <c r="F1290" t="str">
        <f>IF($AS1290="","",Config!$B$9)</f>
        <v/>
      </c>
      <c r="G1290" t="str">
        <f>IF($AS1290="","",Config!$B$10)</f>
        <v/>
      </c>
      <c r="H1290" t="str">
        <f>IF($AS1290="","",Config!$B$11)</f>
        <v/>
      </c>
      <c r="I1290" t="str">
        <f>IF($AS1290="","",Config!$B$16)</f>
        <v/>
      </c>
      <c r="J1290" t="str">
        <f>IF($AS1290="","",INDEX('TMP Paste'!$A$2:$A$1601,$AS1290))</f>
        <v/>
      </c>
      <c r="K1290" t="str">
        <f>IF($AS1290="","",INDEX('TMP Paste'!$L$2:$L$1601,$AS1290))</f>
        <v/>
      </c>
      <c r="L1290" t="str">
        <f>IF($AS1290="","",INDEX('TMP Paste'!$I$2:$I$1601,$AS1290))</f>
        <v/>
      </c>
      <c r="M1290" t="str">
        <f>IF($AS1290="","",Config!$B$16)</f>
        <v/>
      </c>
      <c r="N1290" t="str">
        <f t="shared" si="120"/>
        <v/>
      </c>
      <c r="O1290" t="str">
        <f>IF($AS1290="","",INDEX('TMP Paste'!$K$2:$K$1601,$AS1290))</f>
        <v/>
      </c>
      <c r="P1290" t="str">
        <f t="shared" si="121"/>
        <v/>
      </c>
      <c r="Q1290" t="str">
        <f>IF($AS1290="","",INDEX('TMP Paste'!$J$2:$J$1601,$AS1290))</f>
        <v/>
      </c>
      <c r="R1290" t="str">
        <f>IF($AS1290="","",Config!$B$24)</f>
        <v/>
      </c>
      <c r="S1290" t="str">
        <f ca="1">IF($AS1290="","",TEXT(Config!$B$4,"yyyy-mm-dd"))</f>
        <v/>
      </c>
      <c r="T1290" t="str">
        <f>IF($AS1290="","",Config!$B$17)</f>
        <v/>
      </c>
      <c r="U1290" t="str">
        <f>IF($AS1290="","",Config!$B$18)</f>
        <v/>
      </c>
      <c r="V1290" t="str">
        <f>IF($AS1290="","",Config!$B$19)</f>
        <v/>
      </c>
      <c r="W1290" t="str">
        <f>IF($AS1290="","",INDEX('TMP Paste'!$C$2:$C$1601,$AS1290))</f>
        <v/>
      </c>
      <c r="X1290" t="str">
        <f>IF($AS1290="","",Config!$B$29)</f>
        <v/>
      </c>
      <c r="Y1290" t="str">
        <f>IF($AT1290="","",INDEX(Calc!$I$2:$I$1601,$AT1290)&amp;" - "&amp;INDEX(Calc!$D$2:$D$1601,$AT1290)&amp;" koli")</f>
        <v/>
      </c>
      <c r="Z1290" t="str">
        <f>IF($AS1290="","",Config!$B$21)</f>
        <v/>
      </c>
      <c r="AA1290" t="str">
        <f>IF($AS1290="","",Config!$B$22)</f>
        <v/>
      </c>
      <c r="AB1290" t="str">
        <f>IF($AT1290="","",INDEX(Calc!$D$2:$D$1601,$AT1290))</f>
        <v/>
      </c>
      <c r="AC1290" t="str">
        <f>IF($AT1290="","",INDEX(Calc!$G$2:$G$1601,$AT1290))</f>
        <v/>
      </c>
      <c r="AD1290" t="str">
        <f>IF($AS1290="","",Config!$B$23)</f>
        <v/>
      </c>
      <c r="AE1290" t="str">
        <f>IF($AS1290="","",Config!$B$28)</f>
        <v/>
      </c>
      <c r="AF1290" t="str">
        <f t="shared" si="122"/>
        <v/>
      </c>
      <c r="AG1290" t="str">
        <f t="shared" si="123"/>
        <v/>
      </c>
      <c r="AH1290" t="str">
        <f t="shared" si="124"/>
        <v/>
      </c>
      <c r="AI1290" t="str">
        <f>IF($AG1290="","",SUMIF($AG$2:$AG1290,$AG1290,$AH$2:$AH1290))</f>
        <v/>
      </c>
      <c r="AJ1290" t="str">
        <f>IF('TMP Paste'!$F1290="","",IF('TMP Paste'!$B1290="",$AJ1289,'TMP Paste'!$B1290))</f>
        <v/>
      </c>
      <c r="AK1290" t="str">
        <f>IF('TMP Paste'!$F1290="","",N('TMP Paste'!$G1290))</f>
        <v/>
      </c>
      <c r="AL1290" t="str">
        <f>IF('TMP Paste'!$F1290="","",IF('TMP Paste'!$M1290="",$AL1289,'TMP Paste'!$M1290))</f>
        <v/>
      </c>
      <c r="AM1290" t="str">
        <f>IF('TMP Paste'!$F1290="","",IF('TMP Paste'!$N1290="",$AM1289,'TMP Paste'!$N1290))</f>
        <v/>
      </c>
      <c r="AN1290" t="str">
        <f>IF('TMP Paste'!$F1290="","",IF('TMP Paste'!$O1290="",$AN1289,'TMP Paste'!$O1290))</f>
        <v/>
      </c>
      <c r="AO1290" t="str">
        <f>IF('TMP Paste'!$F1290="","",IF('TMP Paste'!$P1290="",$AO1289,'TMP Paste'!$P1290))</f>
        <v/>
      </c>
      <c r="AP1290" t="str">
        <f t="shared" si="125"/>
        <v/>
      </c>
      <c r="AQ1290" t="str">
        <f>IF($AS1290="","",TRIM(IF(COUNTIFS(Calc!$B$2:$B$1601,ROW()-1,Calc!$C$2:$C$1601,"&lt;1")&gt;0,"Ada PO tanpa Koli - cek TMP. ","")&amp;IF(OR($AU1290="",$AU1290&lt;=0),"Volume kosong/0 - dimensi dikosongkan. ","")&amp;IF(AND($AU1290&lt;&gt;"",$AU1290&gt;=1000000),"Volume &gt;= 1.000.000 cm3 (di luar aturan) - dimensi dikosongkan. ","")&amp;IF(LEN($R1290)&gt;500,"R &gt; 500 karakter.","")))</f>
        <v/>
      </c>
      <c r="AS1290" t="str">
        <f>IFERROR(MATCH(ROW()-1,Calc!$J$2:$J$1601,0),"")</f>
        <v/>
      </c>
      <c r="AT1290" t="str">
        <f>IFERROR(MATCH(ROW()-1,Calc!$K$2:$K$1601,0),"")</f>
        <v/>
      </c>
      <c r="AU1290" t="str">
        <f>IF($AS1290="","",IFERROR(INDEX('TMP Paste'!$D$2:$D$1601,$AS1290)*1000000/$AB1290,""))</f>
        <v/>
      </c>
    </row>
    <row r="1291" spans="1:47">
      <c r="A1291" t="str">
        <f>IF($AS1291="","",INDEX('TMP Paste'!$B$2:$B$1601,$AS1291))</f>
        <v/>
      </c>
      <c r="B1291" t="str">
        <f>IF($AS1291="","",Config!$B$14)</f>
        <v/>
      </c>
      <c r="C1291" t="str">
        <f>IF($AS1291="","",Config!$B$15)</f>
        <v/>
      </c>
      <c r="D1291" t="str">
        <f>IF($AS1291="","",INDEX('TMP Paste'!$B$2:$B$1601,$AS1291))</f>
        <v/>
      </c>
      <c r="E1291" t="str">
        <f>IF($AS1291="","",Config!$B$27)</f>
        <v/>
      </c>
      <c r="F1291" t="str">
        <f>IF($AS1291="","",Config!$B$9)</f>
        <v/>
      </c>
      <c r="G1291" t="str">
        <f>IF($AS1291="","",Config!$B$10)</f>
        <v/>
      </c>
      <c r="H1291" t="str">
        <f>IF($AS1291="","",Config!$B$11)</f>
        <v/>
      </c>
      <c r="I1291" t="str">
        <f>IF($AS1291="","",Config!$B$16)</f>
        <v/>
      </c>
      <c r="J1291" t="str">
        <f>IF($AS1291="","",INDEX('TMP Paste'!$A$2:$A$1601,$AS1291))</f>
        <v/>
      </c>
      <c r="K1291" t="str">
        <f>IF($AS1291="","",INDEX('TMP Paste'!$L$2:$L$1601,$AS1291))</f>
        <v/>
      </c>
      <c r="L1291" t="str">
        <f>IF($AS1291="","",INDEX('TMP Paste'!$I$2:$I$1601,$AS1291))</f>
        <v/>
      </c>
      <c r="M1291" t="str">
        <f>IF($AS1291="","",Config!$B$16)</f>
        <v/>
      </c>
      <c r="N1291" t="str">
        <f t="shared" si="120"/>
        <v/>
      </c>
      <c r="O1291" t="str">
        <f>IF($AS1291="","",INDEX('TMP Paste'!$K$2:$K$1601,$AS1291))</f>
        <v/>
      </c>
      <c r="P1291" t="str">
        <f t="shared" si="121"/>
        <v/>
      </c>
      <c r="Q1291" t="str">
        <f>IF($AS1291="","",INDEX('TMP Paste'!$J$2:$J$1601,$AS1291))</f>
        <v/>
      </c>
      <c r="R1291" t="str">
        <f>IF($AS1291="","",Config!$B$24)</f>
        <v/>
      </c>
      <c r="S1291" t="str">
        <f ca="1">IF($AS1291="","",TEXT(Config!$B$4,"yyyy-mm-dd"))</f>
        <v/>
      </c>
      <c r="T1291" t="str">
        <f>IF($AS1291="","",Config!$B$17)</f>
        <v/>
      </c>
      <c r="U1291" t="str">
        <f>IF($AS1291="","",Config!$B$18)</f>
        <v/>
      </c>
      <c r="V1291" t="str">
        <f>IF($AS1291="","",Config!$B$19)</f>
        <v/>
      </c>
      <c r="W1291" t="str">
        <f>IF($AS1291="","",INDEX('TMP Paste'!$C$2:$C$1601,$AS1291))</f>
        <v/>
      </c>
      <c r="X1291" t="str">
        <f>IF($AS1291="","",Config!$B$29)</f>
        <v/>
      </c>
      <c r="Y1291" t="str">
        <f>IF($AT1291="","",INDEX(Calc!$I$2:$I$1601,$AT1291)&amp;" - "&amp;INDEX(Calc!$D$2:$D$1601,$AT1291)&amp;" koli")</f>
        <v/>
      </c>
      <c r="Z1291" t="str">
        <f>IF($AS1291="","",Config!$B$21)</f>
        <v/>
      </c>
      <c r="AA1291" t="str">
        <f>IF($AS1291="","",Config!$B$22)</f>
        <v/>
      </c>
      <c r="AB1291" t="str">
        <f>IF($AT1291="","",INDEX(Calc!$D$2:$D$1601,$AT1291))</f>
        <v/>
      </c>
      <c r="AC1291" t="str">
        <f>IF($AT1291="","",INDEX(Calc!$G$2:$G$1601,$AT1291))</f>
        <v/>
      </c>
      <c r="AD1291" t="str">
        <f>IF($AS1291="","",Config!$B$23)</f>
        <v/>
      </c>
      <c r="AE1291" t="str">
        <f>IF($AS1291="","",Config!$B$28)</f>
        <v/>
      </c>
      <c r="AF1291" t="str">
        <f t="shared" si="122"/>
        <v/>
      </c>
      <c r="AG1291" t="str">
        <f t="shared" si="123"/>
        <v/>
      </c>
      <c r="AH1291" t="str">
        <f t="shared" si="124"/>
        <v/>
      </c>
      <c r="AI1291" t="str">
        <f>IF($AG1291="","",SUMIF($AG$2:$AG1291,$AG1291,$AH$2:$AH1291))</f>
        <v/>
      </c>
      <c r="AJ1291" t="str">
        <f>IF('TMP Paste'!$F1291="","",IF('TMP Paste'!$B1291="",$AJ1290,'TMP Paste'!$B1291))</f>
        <v/>
      </c>
      <c r="AK1291" t="str">
        <f>IF('TMP Paste'!$F1291="","",N('TMP Paste'!$G1291))</f>
        <v/>
      </c>
      <c r="AL1291" t="str">
        <f>IF('TMP Paste'!$F1291="","",IF('TMP Paste'!$M1291="",$AL1290,'TMP Paste'!$M1291))</f>
        <v/>
      </c>
      <c r="AM1291" t="str">
        <f>IF('TMP Paste'!$F1291="","",IF('TMP Paste'!$N1291="",$AM1290,'TMP Paste'!$N1291))</f>
        <v/>
      </c>
      <c r="AN1291" t="str">
        <f>IF('TMP Paste'!$F1291="","",IF('TMP Paste'!$O1291="",$AN1290,'TMP Paste'!$O1291))</f>
        <v/>
      </c>
      <c r="AO1291" t="str">
        <f>IF('TMP Paste'!$F1291="","",IF('TMP Paste'!$P1291="",$AO1290,'TMP Paste'!$P1291))</f>
        <v/>
      </c>
      <c r="AP1291" t="str">
        <f t="shared" si="125"/>
        <v/>
      </c>
      <c r="AQ1291" t="str">
        <f>IF($AS1291="","",TRIM(IF(COUNTIFS(Calc!$B$2:$B$1601,ROW()-1,Calc!$C$2:$C$1601,"&lt;1")&gt;0,"Ada PO tanpa Koli - cek TMP. ","")&amp;IF(OR($AU1291="",$AU1291&lt;=0),"Volume kosong/0 - dimensi dikosongkan. ","")&amp;IF(AND($AU1291&lt;&gt;"",$AU1291&gt;=1000000),"Volume &gt;= 1.000.000 cm3 (di luar aturan) - dimensi dikosongkan. ","")&amp;IF(LEN($R1291)&gt;500,"R &gt; 500 karakter.","")))</f>
        <v/>
      </c>
      <c r="AS1291" t="str">
        <f>IFERROR(MATCH(ROW()-1,Calc!$J$2:$J$1601,0),"")</f>
        <v/>
      </c>
      <c r="AT1291" t="str">
        <f>IFERROR(MATCH(ROW()-1,Calc!$K$2:$K$1601,0),"")</f>
        <v/>
      </c>
      <c r="AU1291" t="str">
        <f>IF($AS1291="","",IFERROR(INDEX('TMP Paste'!$D$2:$D$1601,$AS1291)*1000000/$AB1291,""))</f>
        <v/>
      </c>
    </row>
    <row r="1292" spans="1:47">
      <c r="A1292" t="str">
        <f>IF($AS1292="","",INDEX('TMP Paste'!$B$2:$B$1601,$AS1292))</f>
        <v/>
      </c>
      <c r="B1292" t="str">
        <f>IF($AS1292="","",Config!$B$14)</f>
        <v/>
      </c>
      <c r="C1292" t="str">
        <f>IF($AS1292="","",Config!$B$15)</f>
        <v/>
      </c>
      <c r="D1292" t="str">
        <f>IF($AS1292="","",INDEX('TMP Paste'!$B$2:$B$1601,$AS1292))</f>
        <v/>
      </c>
      <c r="E1292" t="str">
        <f>IF($AS1292="","",Config!$B$27)</f>
        <v/>
      </c>
      <c r="F1292" t="str">
        <f>IF($AS1292="","",Config!$B$9)</f>
        <v/>
      </c>
      <c r="G1292" t="str">
        <f>IF($AS1292="","",Config!$B$10)</f>
        <v/>
      </c>
      <c r="H1292" t="str">
        <f>IF($AS1292="","",Config!$B$11)</f>
        <v/>
      </c>
      <c r="I1292" t="str">
        <f>IF($AS1292="","",Config!$B$16)</f>
        <v/>
      </c>
      <c r="J1292" t="str">
        <f>IF($AS1292="","",INDEX('TMP Paste'!$A$2:$A$1601,$AS1292))</f>
        <v/>
      </c>
      <c r="K1292" t="str">
        <f>IF($AS1292="","",INDEX('TMP Paste'!$L$2:$L$1601,$AS1292))</f>
        <v/>
      </c>
      <c r="L1292" t="str">
        <f>IF($AS1292="","",INDEX('TMP Paste'!$I$2:$I$1601,$AS1292))</f>
        <v/>
      </c>
      <c r="M1292" t="str">
        <f>IF($AS1292="","",Config!$B$16)</f>
        <v/>
      </c>
      <c r="N1292" t="str">
        <f t="shared" si="120"/>
        <v/>
      </c>
      <c r="O1292" t="str">
        <f>IF($AS1292="","",INDEX('TMP Paste'!$K$2:$K$1601,$AS1292))</f>
        <v/>
      </c>
      <c r="P1292" t="str">
        <f t="shared" si="121"/>
        <v/>
      </c>
      <c r="Q1292" t="str">
        <f>IF($AS1292="","",INDEX('TMP Paste'!$J$2:$J$1601,$AS1292))</f>
        <v/>
      </c>
      <c r="R1292" t="str">
        <f>IF($AS1292="","",Config!$B$24)</f>
        <v/>
      </c>
      <c r="S1292" t="str">
        <f ca="1">IF($AS1292="","",TEXT(Config!$B$4,"yyyy-mm-dd"))</f>
        <v/>
      </c>
      <c r="T1292" t="str">
        <f>IF($AS1292="","",Config!$B$17)</f>
        <v/>
      </c>
      <c r="U1292" t="str">
        <f>IF($AS1292="","",Config!$B$18)</f>
        <v/>
      </c>
      <c r="V1292" t="str">
        <f>IF($AS1292="","",Config!$B$19)</f>
        <v/>
      </c>
      <c r="W1292" t="str">
        <f>IF($AS1292="","",INDEX('TMP Paste'!$C$2:$C$1601,$AS1292))</f>
        <v/>
      </c>
      <c r="X1292" t="str">
        <f>IF($AS1292="","",Config!$B$29)</f>
        <v/>
      </c>
      <c r="Y1292" t="str">
        <f>IF($AT1292="","",INDEX(Calc!$I$2:$I$1601,$AT1292)&amp;" - "&amp;INDEX(Calc!$D$2:$D$1601,$AT1292)&amp;" koli")</f>
        <v/>
      </c>
      <c r="Z1292" t="str">
        <f>IF($AS1292="","",Config!$B$21)</f>
        <v/>
      </c>
      <c r="AA1292" t="str">
        <f>IF($AS1292="","",Config!$B$22)</f>
        <v/>
      </c>
      <c r="AB1292" t="str">
        <f>IF($AT1292="","",INDEX(Calc!$D$2:$D$1601,$AT1292))</f>
        <v/>
      </c>
      <c r="AC1292" t="str">
        <f>IF($AT1292="","",INDEX(Calc!$G$2:$G$1601,$AT1292))</f>
        <v/>
      </c>
      <c r="AD1292" t="str">
        <f>IF($AS1292="","",Config!$B$23)</f>
        <v/>
      </c>
      <c r="AE1292" t="str">
        <f>IF($AS1292="","",Config!$B$28)</f>
        <v/>
      </c>
      <c r="AF1292" t="str">
        <f t="shared" si="122"/>
        <v/>
      </c>
      <c r="AG1292" t="str">
        <f t="shared" si="123"/>
        <v/>
      </c>
      <c r="AH1292" t="str">
        <f t="shared" si="124"/>
        <v/>
      </c>
      <c r="AI1292" t="str">
        <f>IF($AG1292="","",SUMIF($AG$2:$AG1292,$AG1292,$AH$2:$AH1292))</f>
        <v/>
      </c>
      <c r="AJ1292" t="str">
        <f>IF('TMP Paste'!$F1292="","",IF('TMP Paste'!$B1292="",$AJ1291,'TMP Paste'!$B1292))</f>
        <v/>
      </c>
      <c r="AK1292" t="str">
        <f>IF('TMP Paste'!$F1292="","",N('TMP Paste'!$G1292))</f>
        <v/>
      </c>
      <c r="AL1292" t="str">
        <f>IF('TMP Paste'!$F1292="","",IF('TMP Paste'!$M1292="",$AL1291,'TMP Paste'!$M1292))</f>
        <v/>
      </c>
      <c r="AM1292" t="str">
        <f>IF('TMP Paste'!$F1292="","",IF('TMP Paste'!$N1292="",$AM1291,'TMP Paste'!$N1292))</f>
        <v/>
      </c>
      <c r="AN1292" t="str">
        <f>IF('TMP Paste'!$F1292="","",IF('TMP Paste'!$O1292="",$AN1291,'TMP Paste'!$O1292))</f>
        <v/>
      </c>
      <c r="AO1292" t="str">
        <f>IF('TMP Paste'!$F1292="","",IF('TMP Paste'!$P1292="",$AO1291,'TMP Paste'!$P1292))</f>
        <v/>
      </c>
      <c r="AP1292" t="str">
        <f t="shared" si="125"/>
        <v/>
      </c>
      <c r="AQ1292" t="str">
        <f>IF($AS1292="","",TRIM(IF(COUNTIFS(Calc!$B$2:$B$1601,ROW()-1,Calc!$C$2:$C$1601,"&lt;1")&gt;0,"Ada PO tanpa Koli - cek TMP. ","")&amp;IF(OR($AU1292="",$AU1292&lt;=0),"Volume kosong/0 - dimensi dikosongkan. ","")&amp;IF(AND($AU1292&lt;&gt;"",$AU1292&gt;=1000000),"Volume &gt;= 1.000.000 cm3 (di luar aturan) - dimensi dikosongkan. ","")&amp;IF(LEN($R1292)&gt;500,"R &gt; 500 karakter.","")))</f>
        <v/>
      </c>
      <c r="AS1292" t="str">
        <f>IFERROR(MATCH(ROW()-1,Calc!$J$2:$J$1601,0),"")</f>
        <v/>
      </c>
      <c r="AT1292" t="str">
        <f>IFERROR(MATCH(ROW()-1,Calc!$K$2:$K$1601,0),"")</f>
        <v/>
      </c>
      <c r="AU1292" t="str">
        <f>IF($AS1292="","",IFERROR(INDEX('TMP Paste'!$D$2:$D$1601,$AS1292)*1000000/$AB1292,""))</f>
        <v/>
      </c>
    </row>
    <row r="1293" spans="1:47">
      <c r="A1293" t="str">
        <f>IF($AS1293="","",INDEX('TMP Paste'!$B$2:$B$1601,$AS1293))</f>
        <v/>
      </c>
      <c r="B1293" t="str">
        <f>IF($AS1293="","",Config!$B$14)</f>
        <v/>
      </c>
      <c r="C1293" t="str">
        <f>IF($AS1293="","",Config!$B$15)</f>
        <v/>
      </c>
      <c r="D1293" t="str">
        <f>IF($AS1293="","",INDEX('TMP Paste'!$B$2:$B$1601,$AS1293))</f>
        <v/>
      </c>
      <c r="E1293" t="str">
        <f>IF($AS1293="","",Config!$B$27)</f>
        <v/>
      </c>
      <c r="F1293" t="str">
        <f>IF($AS1293="","",Config!$B$9)</f>
        <v/>
      </c>
      <c r="G1293" t="str">
        <f>IF($AS1293="","",Config!$B$10)</f>
        <v/>
      </c>
      <c r="H1293" t="str">
        <f>IF($AS1293="","",Config!$B$11)</f>
        <v/>
      </c>
      <c r="I1293" t="str">
        <f>IF($AS1293="","",Config!$B$16)</f>
        <v/>
      </c>
      <c r="J1293" t="str">
        <f>IF($AS1293="","",INDEX('TMP Paste'!$A$2:$A$1601,$AS1293))</f>
        <v/>
      </c>
      <c r="K1293" t="str">
        <f>IF($AS1293="","",INDEX('TMP Paste'!$L$2:$L$1601,$AS1293))</f>
        <v/>
      </c>
      <c r="L1293" t="str">
        <f>IF($AS1293="","",INDEX('TMP Paste'!$I$2:$I$1601,$AS1293))</f>
        <v/>
      </c>
      <c r="M1293" t="str">
        <f>IF($AS1293="","",Config!$B$16)</f>
        <v/>
      </c>
      <c r="N1293" t="str">
        <f t="shared" si="120"/>
        <v/>
      </c>
      <c r="O1293" t="str">
        <f>IF($AS1293="","",INDEX('TMP Paste'!$K$2:$K$1601,$AS1293))</f>
        <v/>
      </c>
      <c r="P1293" t="str">
        <f t="shared" si="121"/>
        <v/>
      </c>
      <c r="Q1293" t="str">
        <f>IF($AS1293="","",INDEX('TMP Paste'!$J$2:$J$1601,$AS1293))</f>
        <v/>
      </c>
      <c r="R1293" t="str">
        <f>IF($AS1293="","",Config!$B$24)</f>
        <v/>
      </c>
      <c r="S1293" t="str">
        <f ca="1">IF($AS1293="","",TEXT(Config!$B$4,"yyyy-mm-dd"))</f>
        <v/>
      </c>
      <c r="T1293" t="str">
        <f>IF($AS1293="","",Config!$B$17)</f>
        <v/>
      </c>
      <c r="U1293" t="str">
        <f>IF($AS1293="","",Config!$B$18)</f>
        <v/>
      </c>
      <c r="V1293" t="str">
        <f>IF($AS1293="","",Config!$B$19)</f>
        <v/>
      </c>
      <c r="W1293" t="str">
        <f>IF($AS1293="","",INDEX('TMP Paste'!$C$2:$C$1601,$AS1293))</f>
        <v/>
      </c>
      <c r="X1293" t="str">
        <f>IF($AS1293="","",Config!$B$29)</f>
        <v/>
      </c>
      <c r="Y1293" t="str">
        <f>IF($AT1293="","",INDEX(Calc!$I$2:$I$1601,$AT1293)&amp;" - "&amp;INDEX(Calc!$D$2:$D$1601,$AT1293)&amp;" koli")</f>
        <v/>
      </c>
      <c r="Z1293" t="str">
        <f>IF($AS1293="","",Config!$B$21)</f>
        <v/>
      </c>
      <c r="AA1293" t="str">
        <f>IF($AS1293="","",Config!$B$22)</f>
        <v/>
      </c>
      <c r="AB1293" t="str">
        <f>IF($AT1293="","",INDEX(Calc!$D$2:$D$1601,$AT1293))</f>
        <v/>
      </c>
      <c r="AC1293" t="str">
        <f>IF($AT1293="","",INDEX(Calc!$G$2:$G$1601,$AT1293))</f>
        <v/>
      </c>
      <c r="AD1293" t="str">
        <f>IF($AS1293="","",Config!$B$23)</f>
        <v/>
      </c>
      <c r="AE1293" t="str">
        <f>IF($AS1293="","",Config!$B$28)</f>
        <v/>
      </c>
      <c r="AF1293" t="str">
        <f t="shared" si="122"/>
        <v/>
      </c>
      <c r="AG1293" t="str">
        <f t="shared" si="123"/>
        <v/>
      </c>
      <c r="AH1293" t="str">
        <f t="shared" si="124"/>
        <v/>
      </c>
      <c r="AI1293" t="str">
        <f>IF($AG1293="","",SUMIF($AG$2:$AG1293,$AG1293,$AH$2:$AH1293))</f>
        <v/>
      </c>
      <c r="AJ1293" t="str">
        <f>IF('TMP Paste'!$F1293="","",IF('TMP Paste'!$B1293="",$AJ1292,'TMP Paste'!$B1293))</f>
        <v/>
      </c>
      <c r="AK1293" t="str">
        <f>IF('TMP Paste'!$F1293="","",N('TMP Paste'!$G1293))</f>
        <v/>
      </c>
      <c r="AL1293" t="str">
        <f>IF('TMP Paste'!$F1293="","",IF('TMP Paste'!$M1293="",$AL1292,'TMP Paste'!$M1293))</f>
        <v/>
      </c>
      <c r="AM1293" t="str">
        <f>IF('TMP Paste'!$F1293="","",IF('TMP Paste'!$N1293="",$AM1292,'TMP Paste'!$N1293))</f>
        <v/>
      </c>
      <c r="AN1293" t="str">
        <f>IF('TMP Paste'!$F1293="","",IF('TMP Paste'!$O1293="",$AN1292,'TMP Paste'!$O1293))</f>
        <v/>
      </c>
      <c r="AO1293" t="str">
        <f>IF('TMP Paste'!$F1293="","",IF('TMP Paste'!$P1293="",$AO1292,'TMP Paste'!$P1293))</f>
        <v/>
      </c>
      <c r="AP1293" t="str">
        <f t="shared" si="125"/>
        <v/>
      </c>
      <c r="AQ1293" t="str">
        <f>IF($AS1293="","",TRIM(IF(COUNTIFS(Calc!$B$2:$B$1601,ROW()-1,Calc!$C$2:$C$1601,"&lt;1")&gt;0,"Ada PO tanpa Koli - cek TMP. ","")&amp;IF(OR($AU1293="",$AU1293&lt;=0),"Volume kosong/0 - dimensi dikosongkan. ","")&amp;IF(AND($AU1293&lt;&gt;"",$AU1293&gt;=1000000),"Volume &gt;= 1.000.000 cm3 (di luar aturan) - dimensi dikosongkan. ","")&amp;IF(LEN($R1293)&gt;500,"R &gt; 500 karakter.","")))</f>
        <v/>
      </c>
      <c r="AS1293" t="str">
        <f>IFERROR(MATCH(ROW()-1,Calc!$J$2:$J$1601,0),"")</f>
        <v/>
      </c>
      <c r="AT1293" t="str">
        <f>IFERROR(MATCH(ROW()-1,Calc!$K$2:$K$1601,0),"")</f>
        <v/>
      </c>
      <c r="AU1293" t="str">
        <f>IF($AS1293="","",IFERROR(INDEX('TMP Paste'!$D$2:$D$1601,$AS1293)*1000000/$AB1293,""))</f>
        <v/>
      </c>
    </row>
    <row r="1294" spans="1:47">
      <c r="A1294" t="str">
        <f>IF($AS1294="","",INDEX('TMP Paste'!$B$2:$B$1601,$AS1294))</f>
        <v/>
      </c>
      <c r="B1294" t="str">
        <f>IF($AS1294="","",Config!$B$14)</f>
        <v/>
      </c>
      <c r="C1294" t="str">
        <f>IF($AS1294="","",Config!$B$15)</f>
        <v/>
      </c>
      <c r="D1294" t="str">
        <f>IF($AS1294="","",INDEX('TMP Paste'!$B$2:$B$1601,$AS1294))</f>
        <v/>
      </c>
      <c r="E1294" t="str">
        <f>IF($AS1294="","",Config!$B$27)</f>
        <v/>
      </c>
      <c r="F1294" t="str">
        <f>IF($AS1294="","",Config!$B$9)</f>
        <v/>
      </c>
      <c r="G1294" t="str">
        <f>IF($AS1294="","",Config!$B$10)</f>
        <v/>
      </c>
      <c r="H1294" t="str">
        <f>IF($AS1294="","",Config!$B$11)</f>
        <v/>
      </c>
      <c r="I1294" t="str">
        <f>IF($AS1294="","",Config!$B$16)</f>
        <v/>
      </c>
      <c r="J1294" t="str">
        <f>IF($AS1294="","",INDEX('TMP Paste'!$A$2:$A$1601,$AS1294))</f>
        <v/>
      </c>
      <c r="K1294" t="str">
        <f>IF($AS1294="","",INDEX('TMP Paste'!$L$2:$L$1601,$AS1294))</f>
        <v/>
      </c>
      <c r="L1294" t="str">
        <f>IF($AS1294="","",INDEX('TMP Paste'!$I$2:$I$1601,$AS1294))</f>
        <v/>
      </c>
      <c r="M1294" t="str">
        <f>IF($AS1294="","",Config!$B$16)</f>
        <v/>
      </c>
      <c r="N1294" t="str">
        <f t="shared" si="120"/>
        <v/>
      </c>
      <c r="O1294" t="str">
        <f>IF($AS1294="","",INDEX('TMP Paste'!$K$2:$K$1601,$AS1294))</f>
        <v/>
      </c>
      <c r="P1294" t="str">
        <f t="shared" si="121"/>
        <v/>
      </c>
      <c r="Q1294" t="str">
        <f>IF($AS1294="","",INDEX('TMP Paste'!$J$2:$J$1601,$AS1294))</f>
        <v/>
      </c>
      <c r="R1294" t="str">
        <f>IF($AS1294="","",Config!$B$24)</f>
        <v/>
      </c>
      <c r="S1294" t="str">
        <f ca="1">IF($AS1294="","",TEXT(Config!$B$4,"yyyy-mm-dd"))</f>
        <v/>
      </c>
      <c r="T1294" t="str">
        <f>IF($AS1294="","",Config!$B$17)</f>
        <v/>
      </c>
      <c r="U1294" t="str">
        <f>IF($AS1294="","",Config!$B$18)</f>
        <v/>
      </c>
      <c r="V1294" t="str">
        <f>IF($AS1294="","",Config!$B$19)</f>
        <v/>
      </c>
      <c r="W1294" t="str">
        <f>IF($AS1294="","",INDEX('TMP Paste'!$C$2:$C$1601,$AS1294))</f>
        <v/>
      </c>
      <c r="X1294" t="str">
        <f>IF($AS1294="","",Config!$B$29)</f>
        <v/>
      </c>
      <c r="Y1294" t="str">
        <f>IF($AT1294="","",INDEX(Calc!$I$2:$I$1601,$AT1294)&amp;" - "&amp;INDEX(Calc!$D$2:$D$1601,$AT1294)&amp;" koli")</f>
        <v/>
      </c>
      <c r="Z1294" t="str">
        <f>IF($AS1294="","",Config!$B$21)</f>
        <v/>
      </c>
      <c r="AA1294" t="str">
        <f>IF($AS1294="","",Config!$B$22)</f>
        <v/>
      </c>
      <c r="AB1294" t="str">
        <f>IF($AT1294="","",INDEX(Calc!$D$2:$D$1601,$AT1294))</f>
        <v/>
      </c>
      <c r="AC1294" t="str">
        <f>IF($AT1294="","",INDEX(Calc!$G$2:$G$1601,$AT1294))</f>
        <v/>
      </c>
      <c r="AD1294" t="str">
        <f>IF($AS1294="","",Config!$B$23)</f>
        <v/>
      </c>
      <c r="AE1294" t="str">
        <f>IF($AS1294="","",Config!$B$28)</f>
        <v/>
      </c>
      <c r="AF1294" t="str">
        <f t="shared" si="122"/>
        <v/>
      </c>
      <c r="AG1294" t="str">
        <f t="shared" si="123"/>
        <v/>
      </c>
      <c r="AH1294" t="str">
        <f t="shared" si="124"/>
        <v/>
      </c>
      <c r="AI1294" t="str">
        <f>IF($AG1294="","",SUMIF($AG$2:$AG1294,$AG1294,$AH$2:$AH1294))</f>
        <v/>
      </c>
      <c r="AJ1294" t="str">
        <f>IF('TMP Paste'!$F1294="","",IF('TMP Paste'!$B1294="",$AJ1293,'TMP Paste'!$B1294))</f>
        <v/>
      </c>
      <c r="AK1294" t="str">
        <f>IF('TMP Paste'!$F1294="","",N('TMP Paste'!$G1294))</f>
        <v/>
      </c>
      <c r="AL1294" t="str">
        <f>IF('TMP Paste'!$F1294="","",IF('TMP Paste'!$M1294="",$AL1293,'TMP Paste'!$M1294))</f>
        <v/>
      </c>
      <c r="AM1294" t="str">
        <f>IF('TMP Paste'!$F1294="","",IF('TMP Paste'!$N1294="",$AM1293,'TMP Paste'!$N1294))</f>
        <v/>
      </c>
      <c r="AN1294" t="str">
        <f>IF('TMP Paste'!$F1294="","",IF('TMP Paste'!$O1294="",$AN1293,'TMP Paste'!$O1294))</f>
        <v/>
      </c>
      <c r="AO1294" t="str">
        <f>IF('TMP Paste'!$F1294="","",IF('TMP Paste'!$P1294="",$AO1293,'TMP Paste'!$P1294))</f>
        <v/>
      </c>
      <c r="AP1294" t="str">
        <f t="shared" si="125"/>
        <v/>
      </c>
      <c r="AQ1294" t="str">
        <f>IF($AS1294="","",TRIM(IF(COUNTIFS(Calc!$B$2:$B$1601,ROW()-1,Calc!$C$2:$C$1601,"&lt;1")&gt;0,"Ada PO tanpa Koli - cek TMP. ","")&amp;IF(OR($AU1294="",$AU1294&lt;=0),"Volume kosong/0 - dimensi dikosongkan. ","")&amp;IF(AND($AU1294&lt;&gt;"",$AU1294&gt;=1000000),"Volume &gt;= 1.000.000 cm3 (di luar aturan) - dimensi dikosongkan. ","")&amp;IF(LEN($R1294)&gt;500,"R &gt; 500 karakter.","")))</f>
        <v/>
      </c>
      <c r="AS1294" t="str">
        <f>IFERROR(MATCH(ROW()-1,Calc!$J$2:$J$1601,0),"")</f>
        <v/>
      </c>
      <c r="AT1294" t="str">
        <f>IFERROR(MATCH(ROW()-1,Calc!$K$2:$K$1601,0),"")</f>
        <v/>
      </c>
      <c r="AU1294" t="str">
        <f>IF($AS1294="","",IFERROR(INDEX('TMP Paste'!$D$2:$D$1601,$AS1294)*1000000/$AB1294,""))</f>
        <v/>
      </c>
    </row>
    <row r="1295" spans="1:47">
      <c r="A1295" t="str">
        <f>IF($AS1295="","",INDEX('TMP Paste'!$B$2:$B$1601,$AS1295))</f>
        <v/>
      </c>
      <c r="B1295" t="str">
        <f>IF($AS1295="","",Config!$B$14)</f>
        <v/>
      </c>
      <c r="C1295" t="str">
        <f>IF($AS1295="","",Config!$B$15)</f>
        <v/>
      </c>
      <c r="D1295" t="str">
        <f>IF($AS1295="","",INDEX('TMP Paste'!$B$2:$B$1601,$AS1295))</f>
        <v/>
      </c>
      <c r="E1295" t="str">
        <f>IF($AS1295="","",Config!$B$27)</f>
        <v/>
      </c>
      <c r="F1295" t="str">
        <f>IF($AS1295="","",Config!$B$9)</f>
        <v/>
      </c>
      <c r="G1295" t="str">
        <f>IF($AS1295="","",Config!$B$10)</f>
        <v/>
      </c>
      <c r="H1295" t="str">
        <f>IF($AS1295="","",Config!$B$11)</f>
        <v/>
      </c>
      <c r="I1295" t="str">
        <f>IF($AS1295="","",Config!$B$16)</f>
        <v/>
      </c>
      <c r="J1295" t="str">
        <f>IF($AS1295="","",INDEX('TMP Paste'!$A$2:$A$1601,$AS1295))</f>
        <v/>
      </c>
      <c r="K1295" t="str">
        <f>IF($AS1295="","",INDEX('TMP Paste'!$L$2:$L$1601,$AS1295))</f>
        <v/>
      </c>
      <c r="L1295" t="str">
        <f>IF($AS1295="","",INDEX('TMP Paste'!$I$2:$I$1601,$AS1295))</f>
        <v/>
      </c>
      <c r="M1295" t="str">
        <f>IF($AS1295="","",Config!$B$16)</f>
        <v/>
      </c>
      <c r="N1295" t="str">
        <f t="shared" si="120"/>
        <v/>
      </c>
      <c r="O1295" t="str">
        <f>IF($AS1295="","",INDEX('TMP Paste'!$K$2:$K$1601,$AS1295))</f>
        <v/>
      </c>
      <c r="P1295" t="str">
        <f t="shared" si="121"/>
        <v/>
      </c>
      <c r="Q1295" t="str">
        <f>IF($AS1295="","",INDEX('TMP Paste'!$J$2:$J$1601,$AS1295))</f>
        <v/>
      </c>
      <c r="R1295" t="str">
        <f>IF($AS1295="","",Config!$B$24)</f>
        <v/>
      </c>
      <c r="S1295" t="str">
        <f ca="1">IF($AS1295="","",TEXT(Config!$B$4,"yyyy-mm-dd"))</f>
        <v/>
      </c>
      <c r="T1295" t="str">
        <f>IF($AS1295="","",Config!$B$17)</f>
        <v/>
      </c>
      <c r="U1295" t="str">
        <f>IF($AS1295="","",Config!$B$18)</f>
        <v/>
      </c>
      <c r="V1295" t="str">
        <f>IF($AS1295="","",Config!$B$19)</f>
        <v/>
      </c>
      <c r="W1295" t="str">
        <f>IF($AS1295="","",INDEX('TMP Paste'!$C$2:$C$1601,$AS1295))</f>
        <v/>
      </c>
      <c r="X1295" t="str">
        <f>IF($AS1295="","",Config!$B$29)</f>
        <v/>
      </c>
      <c r="Y1295" t="str">
        <f>IF($AT1295="","",INDEX(Calc!$I$2:$I$1601,$AT1295)&amp;" - "&amp;INDEX(Calc!$D$2:$D$1601,$AT1295)&amp;" koli")</f>
        <v/>
      </c>
      <c r="Z1295" t="str">
        <f>IF($AS1295="","",Config!$B$21)</f>
        <v/>
      </c>
      <c r="AA1295" t="str">
        <f>IF($AS1295="","",Config!$B$22)</f>
        <v/>
      </c>
      <c r="AB1295" t="str">
        <f>IF($AT1295="","",INDEX(Calc!$D$2:$D$1601,$AT1295))</f>
        <v/>
      </c>
      <c r="AC1295" t="str">
        <f>IF($AT1295="","",INDEX(Calc!$G$2:$G$1601,$AT1295))</f>
        <v/>
      </c>
      <c r="AD1295" t="str">
        <f>IF($AS1295="","",Config!$B$23)</f>
        <v/>
      </c>
      <c r="AE1295" t="str">
        <f>IF($AS1295="","",Config!$B$28)</f>
        <v/>
      </c>
      <c r="AF1295" t="str">
        <f t="shared" si="122"/>
        <v/>
      </c>
      <c r="AG1295" t="str">
        <f t="shared" si="123"/>
        <v/>
      </c>
      <c r="AH1295" t="str">
        <f t="shared" si="124"/>
        <v/>
      </c>
      <c r="AI1295" t="str">
        <f>IF($AG1295="","",SUMIF($AG$2:$AG1295,$AG1295,$AH$2:$AH1295))</f>
        <v/>
      </c>
      <c r="AJ1295" t="str">
        <f>IF('TMP Paste'!$F1295="","",IF('TMP Paste'!$B1295="",$AJ1294,'TMP Paste'!$B1295))</f>
        <v/>
      </c>
      <c r="AK1295" t="str">
        <f>IF('TMP Paste'!$F1295="","",N('TMP Paste'!$G1295))</f>
        <v/>
      </c>
      <c r="AL1295" t="str">
        <f>IF('TMP Paste'!$F1295="","",IF('TMP Paste'!$M1295="",$AL1294,'TMP Paste'!$M1295))</f>
        <v/>
      </c>
      <c r="AM1295" t="str">
        <f>IF('TMP Paste'!$F1295="","",IF('TMP Paste'!$N1295="",$AM1294,'TMP Paste'!$N1295))</f>
        <v/>
      </c>
      <c r="AN1295" t="str">
        <f>IF('TMP Paste'!$F1295="","",IF('TMP Paste'!$O1295="",$AN1294,'TMP Paste'!$O1295))</f>
        <v/>
      </c>
      <c r="AO1295" t="str">
        <f>IF('TMP Paste'!$F1295="","",IF('TMP Paste'!$P1295="",$AO1294,'TMP Paste'!$P1295))</f>
        <v/>
      </c>
      <c r="AP1295" t="str">
        <f t="shared" si="125"/>
        <v/>
      </c>
      <c r="AQ1295" t="str">
        <f>IF($AS1295="","",TRIM(IF(COUNTIFS(Calc!$B$2:$B$1601,ROW()-1,Calc!$C$2:$C$1601,"&lt;1")&gt;0,"Ada PO tanpa Koli - cek TMP. ","")&amp;IF(OR($AU1295="",$AU1295&lt;=0),"Volume kosong/0 - dimensi dikosongkan. ","")&amp;IF(AND($AU1295&lt;&gt;"",$AU1295&gt;=1000000),"Volume &gt;= 1.000.000 cm3 (di luar aturan) - dimensi dikosongkan. ","")&amp;IF(LEN($R1295)&gt;500,"R &gt; 500 karakter.","")))</f>
        <v/>
      </c>
      <c r="AS1295" t="str">
        <f>IFERROR(MATCH(ROW()-1,Calc!$J$2:$J$1601,0),"")</f>
        <v/>
      </c>
      <c r="AT1295" t="str">
        <f>IFERROR(MATCH(ROW()-1,Calc!$K$2:$K$1601,0),"")</f>
        <v/>
      </c>
      <c r="AU1295" t="str">
        <f>IF($AS1295="","",IFERROR(INDEX('TMP Paste'!$D$2:$D$1601,$AS1295)*1000000/$AB1295,""))</f>
        <v/>
      </c>
    </row>
    <row r="1296" spans="1:47">
      <c r="A1296" t="str">
        <f>IF($AS1296="","",INDEX('TMP Paste'!$B$2:$B$1601,$AS1296))</f>
        <v/>
      </c>
      <c r="B1296" t="str">
        <f>IF($AS1296="","",Config!$B$14)</f>
        <v/>
      </c>
      <c r="C1296" t="str">
        <f>IF($AS1296="","",Config!$B$15)</f>
        <v/>
      </c>
      <c r="D1296" t="str">
        <f>IF($AS1296="","",INDEX('TMP Paste'!$B$2:$B$1601,$AS1296))</f>
        <v/>
      </c>
      <c r="E1296" t="str">
        <f>IF($AS1296="","",Config!$B$27)</f>
        <v/>
      </c>
      <c r="F1296" t="str">
        <f>IF($AS1296="","",Config!$B$9)</f>
        <v/>
      </c>
      <c r="G1296" t="str">
        <f>IF($AS1296="","",Config!$B$10)</f>
        <v/>
      </c>
      <c r="H1296" t="str">
        <f>IF($AS1296="","",Config!$B$11)</f>
        <v/>
      </c>
      <c r="I1296" t="str">
        <f>IF($AS1296="","",Config!$B$16)</f>
        <v/>
      </c>
      <c r="J1296" t="str">
        <f>IF($AS1296="","",INDEX('TMP Paste'!$A$2:$A$1601,$AS1296))</f>
        <v/>
      </c>
      <c r="K1296" t="str">
        <f>IF($AS1296="","",INDEX('TMP Paste'!$L$2:$L$1601,$AS1296))</f>
        <v/>
      </c>
      <c r="L1296" t="str">
        <f>IF($AS1296="","",INDEX('TMP Paste'!$I$2:$I$1601,$AS1296))</f>
        <v/>
      </c>
      <c r="M1296" t="str">
        <f>IF($AS1296="","",Config!$B$16)</f>
        <v/>
      </c>
      <c r="N1296" t="str">
        <f t="shared" si="120"/>
        <v/>
      </c>
      <c r="O1296" t="str">
        <f>IF($AS1296="","",INDEX('TMP Paste'!$K$2:$K$1601,$AS1296))</f>
        <v/>
      </c>
      <c r="P1296" t="str">
        <f t="shared" si="121"/>
        <v/>
      </c>
      <c r="Q1296" t="str">
        <f>IF($AS1296="","",INDEX('TMP Paste'!$J$2:$J$1601,$AS1296))</f>
        <v/>
      </c>
      <c r="R1296" t="str">
        <f>IF($AS1296="","",Config!$B$24)</f>
        <v/>
      </c>
      <c r="S1296" t="str">
        <f ca="1">IF($AS1296="","",TEXT(Config!$B$4,"yyyy-mm-dd"))</f>
        <v/>
      </c>
      <c r="T1296" t="str">
        <f>IF($AS1296="","",Config!$B$17)</f>
        <v/>
      </c>
      <c r="U1296" t="str">
        <f>IF($AS1296="","",Config!$B$18)</f>
        <v/>
      </c>
      <c r="V1296" t="str">
        <f>IF($AS1296="","",Config!$B$19)</f>
        <v/>
      </c>
      <c r="W1296" t="str">
        <f>IF($AS1296="","",INDEX('TMP Paste'!$C$2:$C$1601,$AS1296))</f>
        <v/>
      </c>
      <c r="X1296" t="str">
        <f>IF($AS1296="","",Config!$B$29)</f>
        <v/>
      </c>
      <c r="Y1296" t="str">
        <f>IF($AT1296="","",INDEX(Calc!$I$2:$I$1601,$AT1296)&amp;" - "&amp;INDEX(Calc!$D$2:$D$1601,$AT1296)&amp;" koli")</f>
        <v/>
      </c>
      <c r="Z1296" t="str">
        <f>IF($AS1296="","",Config!$B$21)</f>
        <v/>
      </c>
      <c r="AA1296" t="str">
        <f>IF($AS1296="","",Config!$B$22)</f>
        <v/>
      </c>
      <c r="AB1296" t="str">
        <f>IF($AT1296="","",INDEX(Calc!$D$2:$D$1601,$AT1296))</f>
        <v/>
      </c>
      <c r="AC1296" t="str">
        <f>IF($AT1296="","",INDEX(Calc!$G$2:$G$1601,$AT1296))</f>
        <v/>
      </c>
      <c r="AD1296" t="str">
        <f>IF($AS1296="","",Config!$B$23)</f>
        <v/>
      </c>
      <c r="AE1296" t="str">
        <f>IF($AS1296="","",Config!$B$28)</f>
        <v/>
      </c>
      <c r="AF1296" t="str">
        <f t="shared" si="122"/>
        <v/>
      </c>
      <c r="AG1296" t="str">
        <f t="shared" si="123"/>
        <v/>
      </c>
      <c r="AH1296" t="str">
        <f t="shared" si="124"/>
        <v/>
      </c>
      <c r="AI1296" t="str">
        <f>IF($AG1296="","",SUMIF($AG$2:$AG1296,$AG1296,$AH$2:$AH1296))</f>
        <v/>
      </c>
      <c r="AJ1296" t="str">
        <f>IF('TMP Paste'!$F1296="","",IF('TMP Paste'!$B1296="",$AJ1295,'TMP Paste'!$B1296))</f>
        <v/>
      </c>
      <c r="AK1296" t="str">
        <f>IF('TMP Paste'!$F1296="","",N('TMP Paste'!$G1296))</f>
        <v/>
      </c>
      <c r="AL1296" t="str">
        <f>IF('TMP Paste'!$F1296="","",IF('TMP Paste'!$M1296="",$AL1295,'TMP Paste'!$M1296))</f>
        <v/>
      </c>
      <c r="AM1296" t="str">
        <f>IF('TMP Paste'!$F1296="","",IF('TMP Paste'!$N1296="",$AM1295,'TMP Paste'!$N1296))</f>
        <v/>
      </c>
      <c r="AN1296" t="str">
        <f>IF('TMP Paste'!$F1296="","",IF('TMP Paste'!$O1296="",$AN1295,'TMP Paste'!$O1296))</f>
        <v/>
      </c>
      <c r="AO1296" t="str">
        <f>IF('TMP Paste'!$F1296="","",IF('TMP Paste'!$P1296="",$AO1295,'TMP Paste'!$P1296))</f>
        <v/>
      </c>
      <c r="AP1296" t="str">
        <f t="shared" si="125"/>
        <v/>
      </c>
      <c r="AQ1296" t="str">
        <f>IF($AS1296="","",TRIM(IF(COUNTIFS(Calc!$B$2:$B$1601,ROW()-1,Calc!$C$2:$C$1601,"&lt;1")&gt;0,"Ada PO tanpa Koli - cek TMP. ","")&amp;IF(OR($AU1296="",$AU1296&lt;=0),"Volume kosong/0 - dimensi dikosongkan. ","")&amp;IF(AND($AU1296&lt;&gt;"",$AU1296&gt;=1000000),"Volume &gt;= 1.000.000 cm3 (di luar aturan) - dimensi dikosongkan. ","")&amp;IF(LEN($R1296)&gt;500,"R &gt; 500 karakter.","")))</f>
        <v/>
      </c>
      <c r="AS1296" t="str">
        <f>IFERROR(MATCH(ROW()-1,Calc!$J$2:$J$1601,0),"")</f>
        <v/>
      </c>
      <c r="AT1296" t="str">
        <f>IFERROR(MATCH(ROW()-1,Calc!$K$2:$K$1601,0),"")</f>
        <v/>
      </c>
      <c r="AU1296" t="str">
        <f>IF($AS1296="","",IFERROR(INDEX('TMP Paste'!$D$2:$D$1601,$AS1296)*1000000/$AB1296,""))</f>
        <v/>
      </c>
    </row>
    <row r="1297" spans="1:47">
      <c r="A1297" t="str">
        <f>IF($AS1297="","",INDEX('TMP Paste'!$B$2:$B$1601,$AS1297))</f>
        <v/>
      </c>
      <c r="B1297" t="str">
        <f>IF($AS1297="","",Config!$B$14)</f>
        <v/>
      </c>
      <c r="C1297" t="str">
        <f>IF($AS1297="","",Config!$B$15)</f>
        <v/>
      </c>
      <c r="D1297" t="str">
        <f>IF($AS1297="","",INDEX('TMP Paste'!$B$2:$B$1601,$AS1297))</f>
        <v/>
      </c>
      <c r="E1297" t="str">
        <f>IF($AS1297="","",Config!$B$27)</f>
        <v/>
      </c>
      <c r="F1297" t="str">
        <f>IF($AS1297="","",Config!$B$9)</f>
        <v/>
      </c>
      <c r="G1297" t="str">
        <f>IF($AS1297="","",Config!$B$10)</f>
        <v/>
      </c>
      <c r="H1297" t="str">
        <f>IF($AS1297="","",Config!$B$11)</f>
        <v/>
      </c>
      <c r="I1297" t="str">
        <f>IF($AS1297="","",Config!$B$16)</f>
        <v/>
      </c>
      <c r="J1297" t="str">
        <f>IF($AS1297="","",INDEX('TMP Paste'!$A$2:$A$1601,$AS1297))</f>
        <v/>
      </c>
      <c r="K1297" t="str">
        <f>IF($AS1297="","",INDEX('TMP Paste'!$L$2:$L$1601,$AS1297))</f>
        <v/>
      </c>
      <c r="L1297" t="str">
        <f>IF($AS1297="","",INDEX('TMP Paste'!$I$2:$I$1601,$AS1297))</f>
        <v/>
      </c>
      <c r="M1297" t="str">
        <f>IF($AS1297="","",Config!$B$16)</f>
        <v/>
      </c>
      <c r="N1297" t="str">
        <f t="shared" si="120"/>
        <v/>
      </c>
      <c r="O1297" t="str">
        <f>IF($AS1297="","",INDEX('TMP Paste'!$K$2:$K$1601,$AS1297))</f>
        <v/>
      </c>
      <c r="P1297" t="str">
        <f t="shared" si="121"/>
        <v/>
      </c>
      <c r="Q1297" t="str">
        <f>IF($AS1297="","",INDEX('TMP Paste'!$J$2:$J$1601,$AS1297))</f>
        <v/>
      </c>
      <c r="R1297" t="str">
        <f>IF($AS1297="","",Config!$B$24)</f>
        <v/>
      </c>
      <c r="S1297" t="str">
        <f ca="1">IF($AS1297="","",TEXT(Config!$B$4,"yyyy-mm-dd"))</f>
        <v/>
      </c>
      <c r="T1297" t="str">
        <f>IF($AS1297="","",Config!$B$17)</f>
        <v/>
      </c>
      <c r="U1297" t="str">
        <f>IF($AS1297="","",Config!$B$18)</f>
        <v/>
      </c>
      <c r="V1297" t="str">
        <f>IF($AS1297="","",Config!$B$19)</f>
        <v/>
      </c>
      <c r="W1297" t="str">
        <f>IF($AS1297="","",INDEX('TMP Paste'!$C$2:$C$1601,$AS1297))</f>
        <v/>
      </c>
      <c r="X1297" t="str">
        <f>IF($AS1297="","",Config!$B$29)</f>
        <v/>
      </c>
      <c r="Y1297" t="str">
        <f>IF($AT1297="","",INDEX(Calc!$I$2:$I$1601,$AT1297)&amp;" - "&amp;INDEX(Calc!$D$2:$D$1601,$AT1297)&amp;" koli")</f>
        <v/>
      </c>
      <c r="Z1297" t="str">
        <f>IF($AS1297="","",Config!$B$21)</f>
        <v/>
      </c>
      <c r="AA1297" t="str">
        <f>IF($AS1297="","",Config!$B$22)</f>
        <v/>
      </c>
      <c r="AB1297" t="str">
        <f>IF($AT1297="","",INDEX(Calc!$D$2:$D$1601,$AT1297))</f>
        <v/>
      </c>
      <c r="AC1297" t="str">
        <f>IF($AT1297="","",INDEX(Calc!$G$2:$G$1601,$AT1297))</f>
        <v/>
      </c>
      <c r="AD1297" t="str">
        <f>IF($AS1297="","",Config!$B$23)</f>
        <v/>
      </c>
      <c r="AE1297" t="str">
        <f>IF($AS1297="","",Config!$B$28)</f>
        <v/>
      </c>
      <c r="AF1297" t="str">
        <f t="shared" si="122"/>
        <v/>
      </c>
      <c r="AG1297" t="str">
        <f t="shared" si="123"/>
        <v/>
      </c>
      <c r="AH1297" t="str">
        <f t="shared" si="124"/>
        <v/>
      </c>
      <c r="AI1297" t="str">
        <f>IF($AG1297="","",SUMIF($AG$2:$AG1297,$AG1297,$AH$2:$AH1297))</f>
        <v/>
      </c>
      <c r="AJ1297" t="str">
        <f>IF('TMP Paste'!$F1297="","",IF('TMP Paste'!$B1297="",$AJ1296,'TMP Paste'!$B1297))</f>
        <v/>
      </c>
      <c r="AK1297" t="str">
        <f>IF('TMP Paste'!$F1297="","",N('TMP Paste'!$G1297))</f>
        <v/>
      </c>
      <c r="AL1297" t="str">
        <f>IF('TMP Paste'!$F1297="","",IF('TMP Paste'!$M1297="",$AL1296,'TMP Paste'!$M1297))</f>
        <v/>
      </c>
      <c r="AM1297" t="str">
        <f>IF('TMP Paste'!$F1297="","",IF('TMP Paste'!$N1297="",$AM1296,'TMP Paste'!$N1297))</f>
        <v/>
      </c>
      <c r="AN1297" t="str">
        <f>IF('TMP Paste'!$F1297="","",IF('TMP Paste'!$O1297="",$AN1296,'TMP Paste'!$O1297))</f>
        <v/>
      </c>
      <c r="AO1297" t="str">
        <f>IF('TMP Paste'!$F1297="","",IF('TMP Paste'!$P1297="",$AO1296,'TMP Paste'!$P1297))</f>
        <v/>
      </c>
      <c r="AP1297" t="str">
        <f t="shared" si="125"/>
        <v/>
      </c>
      <c r="AQ1297" t="str">
        <f>IF($AS1297="","",TRIM(IF(COUNTIFS(Calc!$B$2:$B$1601,ROW()-1,Calc!$C$2:$C$1601,"&lt;1")&gt;0,"Ada PO tanpa Koli - cek TMP. ","")&amp;IF(OR($AU1297="",$AU1297&lt;=0),"Volume kosong/0 - dimensi dikosongkan. ","")&amp;IF(AND($AU1297&lt;&gt;"",$AU1297&gt;=1000000),"Volume &gt;= 1.000.000 cm3 (di luar aturan) - dimensi dikosongkan. ","")&amp;IF(LEN($R1297)&gt;500,"R &gt; 500 karakter.","")))</f>
        <v/>
      </c>
      <c r="AS1297" t="str">
        <f>IFERROR(MATCH(ROW()-1,Calc!$J$2:$J$1601,0),"")</f>
        <v/>
      </c>
      <c r="AT1297" t="str">
        <f>IFERROR(MATCH(ROW()-1,Calc!$K$2:$K$1601,0),"")</f>
        <v/>
      </c>
      <c r="AU1297" t="str">
        <f>IF($AS1297="","",IFERROR(INDEX('TMP Paste'!$D$2:$D$1601,$AS1297)*1000000/$AB1297,""))</f>
        <v/>
      </c>
    </row>
    <row r="1298" spans="1:47">
      <c r="A1298" t="str">
        <f>IF($AS1298="","",INDEX('TMP Paste'!$B$2:$B$1601,$AS1298))</f>
        <v/>
      </c>
      <c r="B1298" t="str">
        <f>IF($AS1298="","",Config!$B$14)</f>
        <v/>
      </c>
      <c r="C1298" t="str">
        <f>IF($AS1298="","",Config!$B$15)</f>
        <v/>
      </c>
      <c r="D1298" t="str">
        <f>IF($AS1298="","",INDEX('TMP Paste'!$B$2:$B$1601,$AS1298))</f>
        <v/>
      </c>
      <c r="E1298" t="str">
        <f>IF($AS1298="","",Config!$B$27)</f>
        <v/>
      </c>
      <c r="F1298" t="str">
        <f>IF($AS1298="","",Config!$B$9)</f>
        <v/>
      </c>
      <c r="G1298" t="str">
        <f>IF($AS1298="","",Config!$B$10)</f>
        <v/>
      </c>
      <c r="H1298" t="str">
        <f>IF($AS1298="","",Config!$B$11)</f>
        <v/>
      </c>
      <c r="I1298" t="str">
        <f>IF($AS1298="","",Config!$B$16)</f>
        <v/>
      </c>
      <c r="J1298" t="str">
        <f>IF($AS1298="","",INDEX('TMP Paste'!$A$2:$A$1601,$AS1298))</f>
        <v/>
      </c>
      <c r="K1298" t="str">
        <f>IF($AS1298="","",INDEX('TMP Paste'!$L$2:$L$1601,$AS1298))</f>
        <v/>
      </c>
      <c r="L1298" t="str">
        <f>IF($AS1298="","",INDEX('TMP Paste'!$I$2:$I$1601,$AS1298))</f>
        <v/>
      </c>
      <c r="M1298" t="str">
        <f>IF($AS1298="","",Config!$B$16)</f>
        <v/>
      </c>
      <c r="N1298" t="str">
        <f t="shared" si="120"/>
        <v/>
      </c>
      <c r="O1298" t="str">
        <f>IF($AS1298="","",INDEX('TMP Paste'!$K$2:$K$1601,$AS1298))</f>
        <v/>
      </c>
      <c r="P1298" t="str">
        <f t="shared" si="121"/>
        <v/>
      </c>
      <c r="Q1298" t="str">
        <f>IF($AS1298="","",INDEX('TMP Paste'!$J$2:$J$1601,$AS1298))</f>
        <v/>
      </c>
      <c r="R1298" t="str">
        <f>IF($AS1298="","",Config!$B$24)</f>
        <v/>
      </c>
      <c r="S1298" t="str">
        <f ca="1">IF($AS1298="","",TEXT(Config!$B$4,"yyyy-mm-dd"))</f>
        <v/>
      </c>
      <c r="T1298" t="str">
        <f>IF($AS1298="","",Config!$B$17)</f>
        <v/>
      </c>
      <c r="U1298" t="str">
        <f>IF($AS1298="","",Config!$B$18)</f>
        <v/>
      </c>
      <c r="V1298" t="str">
        <f>IF($AS1298="","",Config!$B$19)</f>
        <v/>
      </c>
      <c r="W1298" t="str">
        <f>IF($AS1298="","",INDEX('TMP Paste'!$C$2:$C$1601,$AS1298))</f>
        <v/>
      </c>
      <c r="X1298" t="str">
        <f>IF($AS1298="","",Config!$B$29)</f>
        <v/>
      </c>
      <c r="Y1298" t="str">
        <f>IF($AT1298="","",INDEX(Calc!$I$2:$I$1601,$AT1298)&amp;" - "&amp;INDEX(Calc!$D$2:$D$1601,$AT1298)&amp;" koli")</f>
        <v/>
      </c>
      <c r="Z1298" t="str">
        <f>IF($AS1298="","",Config!$B$21)</f>
        <v/>
      </c>
      <c r="AA1298" t="str">
        <f>IF($AS1298="","",Config!$B$22)</f>
        <v/>
      </c>
      <c r="AB1298" t="str">
        <f>IF($AT1298="","",INDEX(Calc!$D$2:$D$1601,$AT1298))</f>
        <v/>
      </c>
      <c r="AC1298" t="str">
        <f>IF($AT1298="","",INDEX(Calc!$G$2:$G$1601,$AT1298))</f>
        <v/>
      </c>
      <c r="AD1298" t="str">
        <f>IF($AS1298="","",Config!$B$23)</f>
        <v/>
      </c>
      <c r="AE1298" t="str">
        <f>IF($AS1298="","",Config!$B$28)</f>
        <v/>
      </c>
      <c r="AF1298" t="str">
        <f t="shared" si="122"/>
        <v/>
      </c>
      <c r="AG1298" t="str">
        <f t="shared" si="123"/>
        <v/>
      </c>
      <c r="AH1298" t="str">
        <f t="shared" si="124"/>
        <v/>
      </c>
      <c r="AI1298" t="str">
        <f>IF($AG1298="","",SUMIF($AG$2:$AG1298,$AG1298,$AH$2:$AH1298))</f>
        <v/>
      </c>
      <c r="AJ1298" t="str">
        <f>IF('TMP Paste'!$F1298="","",IF('TMP Paste'!$B1298="",$AJ1297,'TMP Paste'!$B1298))</f>
        <v/>
      </c>
      <c r="AK1298" t="str">
        <f>IF('TMP Paste'!$F1298="","",N('TMP Paste'!$G1298))</f>
        <v/>
      </c>
      <c r="AL1298" t="str">
        <f>IF('TMP Paste'!$F1298="","",IF('TMP Paste'!$M1298="",$AL1297,'TMP Paste'!$M1298))</f>
        <v/>
      </c>
      <c r="AM1298" t="str">
        <f>IF('TMP Paste'!$F1298="","",IF('TMP Paste'!$N1298="",$AM1297,'TMP Paste'!$N1298))</f>
        <v/>
      </c>
      <c r="AN1298" t="str">
        <f>IF('TMP Paste'!$F1298="","",IF('TMP Paste'!$O1298="",$AN1297,'TMP Paste'!$O1298))</f>
        <v/>
      </c>
      <c r="AO1298" t="str">
        <f>IF('TMP Paste'!$F1298="","",IF('TMP Paste'!$P1298="",$AO1297,'TMP Paste'!$P1298))</f>
        <v/>
      </c>
      <c r="AP1298" t="str">
        <f t="shared" si="125"/>
        <v/>
      </c>
      <c r="AQ1298" t="str">
        <f>IF($AS1298="","",TRIM(IF(COUNTIFS(Calc!$B$2:$B$1601,ROW()-1,Calc!$C$2:$C$1601,"&lt;1")&gt;0,"Ada PO tanpa Koli - cek TMP. ","")&amp;IF(OR($AU1298="",$AU1298&lt;=0),"Volume kosong/0 - dimensi dikosongkan. ","")&amp;IF(AND($AU1298&lt;&gt;"",$AU1298&gt;=1000000),"Volume &gt;= 1.000.000 cm3 (di luar aturan) - dimensi dikosongkan. ","")&amp;IF(LEN($R1298)&gt;500,"R &gt; 500 karakter.","")))</f>
        <v/>
      </c>
      <c r="AS1298" t="str">
        <f>IFERROR(MATCH(ROW()-1,Calc!$J$2:$J$1601,0),"")</f>
        <v/>
      </c>
      <c r="AT1298" t="str">
        <f>IFERROR(MATCH(ROW()-1,Calc!$K$2:$K$1601,0),"")</f>
        <v/>
      </c>
      <c r="AU1298" t="str">
        <f>IF($AS1298="","",IFERROR(INDEX('TMP Paste'!$D$2:$D$1601,$AS1298)*1000000/$AB1298,""))</f>
        <v/>
      </c>
    </row>
    <row r="1299" spans="1:47">
      <c r="A1299" t="str">
        <f>IF($AS1299="","",INDEX('TMP Paste'!$B$2:$B$1601,$AS1299))</f>
        <v/>
      </c>
      <c r="B1299" t="str">
        <f>IF($AS1299="","",Config!$B$14)</f>
        <v/>
      </c>
      <c r="C1299" t="str">
        <f>IF($AS1299="","",Config!$B$15)</f>
        <v/>
      </c>
      <c r="D1299" t="str">
        <f>IF($AS1299="","",INDEX('TMP Paste'!$B$2:$B$1601,$AS1299))</f>
        <v/>
      </c>
      <c r="E1299" t="str">
        <f>IF($AS1299="","",Config!$B$27)</f>
        <v/>
      </c>
      <c r="F1299" t="str">
        <f>IF($AS1299="","",Config!$B$9)</f>
        <v/>
      </c>
      <c r="G1299" t="str">
        <f>IF($AS1299="","",Config!$B$10)</f>
        <v/>
      </c>
      <c r="H1299" t="str">
        <f>IF($AS1299="","",Config!$B$11)</f>
        <v/>
      </c>
      <c r="I1299" t="str">
        <f>IF($AS1299="","",Config!$B$16)</f>
        <v/>
      </c>
      <c r="J1299" t="str">
        <f>IF($AS1299="","",INDEX('TMP Paste'!$A$2:$A$1601,$AS1299))</f>
        <v/>
      </c>
      <c r="K1299" t="str">
        <f>IF($AS1299="","",INDEX('TMP Paste'!$L$2:$L$1601,$AS1299))</f>
        <v/>
      </c>
      <c r="L1299" t="str">
        <f>IF($AS1299="","",INDEX('TMP Paste'!$I$2:$I$1601,$AS1299))</f>
        <v/>
      </c>
      <c r="M1299" t="str">
        <f>IF($AS1299="","",Config!$B$16)</f>
        <v/>
      </c>
      <c r="N1299" t="str">
        <f t="shared" si="120"/>
        <v/>
      </c>
      <c r="O1299" t="str">
        <f>IF($AS1299="","",INDEX('TMP Paste'!$K$2:$K$1601,$AS1299))</f>
        <v/>
      </c>
      <c r="P1299" t="str">
        <f t="shared" si="121"/>
        <v/>
      </c>
      <c r="Q1299" t="str">
        <f>IF($AS1299="","",INDEX('TMP Paste'!$J$2:$J$1601,$AS1299))</f>
        <v/>
      </c>
      <c r="R1299" t="str">
        <f>IF($AS1299="","",Config!$B$24)</f>
        <v/>
      </c>
      <c r="S1299" t="str">
        <f ca="1">IF($AS1299="","",TEXT(Config!$B$4,"yyyy-mm-dd"))</f>
        <v/>
      </c>
      <c r="T1299" t="str">
        <f>IF($AS1299="","",Config!$B$17)</f>
        <v/>
      </c>
      <c r="U1299" t="str">
        <f>IF($AS1299="","",Config!$B$18)</f>
        <v/>
      </c>
      <c r="V1299" t="str">
        <f>IF($AS1299="","",Config!$B$19)</f>
        <v/>
      </c>
      <c r="W1299" t="str">
        <f>IF($AS1299="","",INDEX('TMP Paste'!$C$2:$C$1601,$AS1299))</f>
        <v/>
      </c>
      <c r="X1299" t="str">
        <f>IF($AS1299="","",Config!$B$29)</f>
        <v/>
      </c>
      <c r="Y1299" t="str">
        <f>IF($AT1299="","",INDEX(Calc!$I$2:$I$1601,$AT1299)&amp;" - "&amp;INDEX(Calc!$D$2:$D$1601,$AT1299)&amp;" koli")</f>
        <v/>
      </c>
      <c r="Z1299" t="str">
        <f>IF($AS1299="","",Config!$B$21)</f>
        <v/>
      </c>
      <c r="AA1299" t="str">
        <f>IF($AS1299="","",Config!$B$22)</f>
        <v/>
      </c>
      <c r="AB1299" t="str">
        <f>IF($AT1299="","",INDEX(Calc!$D$2:$D$1601,$AT1299))</f>
        <v/>
      </c>
      <c r="AC1299" t="str">
        <f>IF($AT1299="","",INDEX(Calc!$G$2:$G$1601,$AT1299))</f>
        <v/>
      </c>
      <c r="AD1299" t="str">
        <f>IF($AS1299="","",Config!$B$23)</f>
        <v/>
      </c>
      <c r="AE1299" t="str">
        <f>IF($AS1299="","",Config!$B$28)</f>
        <v/>
      </c>
      <c r="AF1299" t="str">
        <f t="shared" si="122"/>
        <v/>
      </c>
      <c r="AG1299" t="str">
        <f t="shared" si="123"/>
        <v/>
      </c>
      <c r="AH1299" t="str">
        <f t="shared" si="124"/>
        <v/>
      </c>
      <c r="AI1299" t="str">
        <f>IF($AG1299="","",SUMIF($AG$2:$AG1299,$AG1299,$AH$2:$AH1299))</f>
        <v/>
      </c>
      <c r="AJ1299" t="str">
        <f>IF('TMP Paste'!$F1299="","",IF('TMP Paste'!$B1299="",$AJ1298,'TMP Paste'!$B1299))</f>
        <v/>
      </c>
      <c r="AK1299" t="str">
        <f>IF('TMP Paste'!$F1299="","",N('TMP Paste'!$G1299))</f>
        <v/>
      </c>
      <c r="AL1299" t="str">
        <f>IF('TMP Paste'!$F1299="","",IF('TMP Paste'!$M1299="",$AL1298,'TMP Paste'!$M1299))</f>
        <v/>
      </c>
      <c r="AM1299" t="str">
        <f>IF('TMP Paste'!$F1299="","",IF('TMP Paste'!$N1299="",$AM1298,'TMP Paste'!$N1299))</f>
        <v/>
      </c>
      <c r="AN1299" t="str">
        <f>IF('TMP Paste'!$F1299="","",IF('TMP Paste'!$O1299="",$AN1298,'TMP Paste'!$O1299))</f>
        <v/>
      </c>
      <c r="AO1299" t="str">
        <f>IF('TMP Paste'!$F1299="","",IF('TMP Paste'!$P1299="",$AO1298,'TMP Paste'!$P1299))</f>
        <v/>
      </c>
      <c r="AP1299" t="str">
        <f t="shared" si="125"/>
        <v/>
      </c>
      <c r="AQ1299" t="str">
        <f>IF($AS1299="","",TRIM(IF(COUNTIFS(Calc!$B$2:$B$1601,ROW()-1,Calc!$C$2:$C$1601,"&lt;1")&gt;0,"Ada PO tanpa Koli - cek TMP. ","")&amp;IF(OR($AU1299="",$AU1299&lt;=0),"Volume kosong/0 - dimensi dikosongkan. ","")&amp;IF(AND($AU1299&lt;&gt;"",$AU1299&gt;=1000000),"Volume &gt;= 1.000.000 cm3 (di luar aturan) - dimensi dikosongkan. ","")&amp;IF(LEN($R1299)&gt;500,"R &gt; 500 karakter.","")))</f>
        <v/>
      </c>
      <c r="AS1299" t="str">
        <f>IFERROR(MATCH(ROW()-1,Calc!$J$2:$J$1601,0),"")</f>
        <v/>
      </c>
      <c r="AT1299" t="str">
        <f>IFERROR(MATCH(ROW()-1,Calc!$K$2:$K$1601,0),"")</f>
        <v/>
      </c>
      <c r="AU1299" t="str">
        <f>IF($AS1299="","",IFERROR(INDEX('TMP Paste'!$D$2:$D$1601,$AS1299)*1000000/$AB1299,""))</f>
        <v/>
      </c>
    </row>
    <row r="1300" spans="1:47">
      <c r="A1300" t="str">
        <f>IF($AS1300="","",INDEX('TMP Paste'!$B$2:$B$1601,$AS1300))</f>
        <v/>
      </c>
      <c r="B1300" t="str">
        <f>IF($AS1300="","",Config!$B$14)</f>
        <v/>
      </c>
      <c r="C1300" t="str">
        <f>IF($AS1300="","",Config!$B$15)</f>
        <v/>
      </c>
      <c r="D1300" t="str">
        <f>IF($AS1300="","",INDEX('TMP Paste'!$B$2:$B$1601,$AS1300))</f>
        <v/>
      </c>
      <c r="E1300" t="str">
        <f>IF($AS1300="","",Config!$B$27)</f>
        <v/>
      </c>
      <c r="F1300" t="str">
        <f>IF($AS1300="","",Config!$B$9)</f>
        <v/>
      </c>
      <c r="G1300" t="str">
        <f>IF($AS1300="","",Config!$B$10)</f>
        <v/>
      </c>
      <c r="H1300" t="str">
        <f>IF($AS1300="","",Config!$B$11)</f>
        <v/>
      </c>
      <c r="I1300" t="str">
        <f>IF($AS1300="","",Config!$B$16)</f>
        <v/>
      </c>
      <c r="J1300" t="str">
        <f>IF($AS1300="","",INDEX('TMP Paste'!$A$2:$A$1601,$AS1300))</f>
        <v/>
      </c>
      <c r="K1300" t="str">
        <f>IF($AS1300="","",INDEX('TMP Paste'!$L$2:$L$1601,$AS1300))</f>
        <v/>
      </c>
      <c r="L1300" t="str">
        <f>IF($AS1300="","",INDEX('TMP Paste'!$I$2:$I$1601,$AS1300))</f>
        <v/>
      </c>
      <c r="M1300" t="str">
        <f>IF($AS1300="","",Config!$B$16)</f>
        <v/>
      </c>
      <c r="N1300" t="str">
        <f t="shared" si="120"/>
        <v/>
      </c>
      <c r="O1300" t="str">
        <f>IF($AS1300="","",INDEX('TMP Paste'!$K$2:$K$1601,$AS1300))</f>
        <v/>
      </c>
      <c r="P1300" t="str">
        <f t="shared" si="121"/>
        <v/>
      </c>
      <c r="Q1300" t="str">
        <f>IF($AS1300="","",INDEX('TMP Paste'!$J$2:$J$1601,$AS1300))</f>
        <v/>
      </c>
      <c r="R1300" t="str">
        <f>IF($AS1300="","",Config!$B$24)</f>
        <v/>
      </c>
      <c r="S1300" t="str">
        <f ca="1">IF($AS1300="","",TEXT(Config!$B$4,"yyyy-mm-dd"))</f>
        <v/>
      </c>
      <c r="T1300" t="str">
        <f>IF($AS1300="","",Config!$B$17)</f>
        <v/>
      </c>
      <c r="U1300" t="str">
        <f>IF($AS1300="","",Config!$B$18)</f>
        <v/>
      </c>
      <c r="V1300" t="str">
        <f>IF($AS1300="","",Config!$B$19)</f>
        <v/>
      </c>
      <c r="W1300" t="str">
        <f>IF($AS1300="","",INDEX('TMP Paste'!$C$2:$C$1601,$AS1300))</f>
        <v/>
      </c>
      <c r="X1300" t="str">
        <f>IF($AS1300="","",Config!$B$29)</f>
        <v/>
      </c>
      <c r="Y1300" t="str">
        <f>IF($AT1300="","",INDEX(Calc!$I$2:$I$1601,$AT1300)&amp;" - "&amp;INDEX(Calc!$D$2:$D$1601,$AT1300)&amp;" koli")</f>
        <v/>
      </c>
      <c r="Z1300" t="str">
        <f>IF($AS1300="","",Config!$B$21)</f>
        <v/>
      </c>
      <c r="AA1300" t="str">
        <f>IF($AS1300="","",Config!$B$22)</f>
        <v/>
      </c>
      <c r="AB1300" t="str">
        <f>IF($AT1300="","",INDEX(Calc!$D$2:$D$1601,$AT1300))</f>
        <v/>
      </c>
      <c r="AC1300" t="str">
        <f>IF($AT1300="","",INDEX(Calc!$G$2:$G$1601,$AT1300))</f>
        <v/>
      </c>
      <c r="AD1300" t="str">
        <f>IF($AS1300="","",Config!$B$23)</f>
        <v/>
      </c>
      <c r="AE1300" t="str">
        <f>IF($AS1300="","",Config!$B$28)</f>
        <v/>
      </c>
      <c r="AF1300" t="str">
        <f t="shared" si="122"/>
        <v/>
      </c>
      <c r="AG1300" t="str">
        <f t="shared" si="123"/>
        <v/>
      </c>
      <c r="AH1300" t="str">
        <f t="shared" si="124"/>
        <v/>
      </c>
      <c r="AI1300" t="str">
        <f>IF($AG1300="","",SUMIF($AG$2:$AG1300,$AG1300,$AH$2:$AH1300))</f>
        <v/>
      </c>
      <c r="AJ1300" t="str">
        <f>IF('TMP Paste'!$F1300="","",IF('TMP Paste'!$B1300="",$AJ1299,'TMP Paste'!$B1300))</f>
        <v/>
      </c>
      <c r="AK1300" t="str">
        <f>IF('TMP Paste'!$F1300="","",N('TMP Paste'!$G1300))</f>
        <v/>
      </c>
      <c r="AL1300" t="str">
        <f>IF('TMP Paste'!$F1300="","",IF('TMP Paste'!$M1300="",$AL1299,'TMP Paste'!$M1300))</f>
        <v/>
      </c>
      <c r="AM1300" t="str">
        <f>IF('TMP Paste'!$F1300="","",IF('TMP Paste'!$N1300="",$AM1299,'TMP Paste'!$N1300))</f>
        <v/>
      </c>
      <c r="AN1300" t="str">
        <f>IF('TMP Paste'!$F1300="","",IF('TMP Paste'!$O1300="",$AN1299,'TMP Paste'!$O1300))</f>
        <v/>
      </c>
      <c r="AO1300" t="str">
        <f>IF('TMP Paste'!$F1300="","",IF('TMP Paste'!$P1300="",$AO1299,'TMP Paste'!$P1300))</f>
        <v/>
      </c>
      <c r="AP1300" t="str">
        <f t="shared" si="125"/>
        <v/>
      </c>
      <c r="AQ1300" t="str">
        <f>IF($AS1300="","",TRIM(IF(COUNTIFS(Calc!$B$2:$B$1601,ROW()-1,Calc!$C$2:$C$1601,"&lt;1")&gt;0,"Ada PO tanpa Koli - cek TMP. ","")&amp;IF(OR($AU1300="",$AU1300&lt;=0),"Volume kosong/0 - dimensi dikosongkan. ","")&amp;IF(AND($AU1300&lt;&gt;"",$AU1300&gt;=1000000),"Volume &gt;= 1.000.000 cm3 (di luar aturan) - dimensi dikosongkan. ","")&amp;IF(LEN($R1300)&gt;500,"R &gt; 500 karakter.","")))</f>
        <v/>
      </c>
      <c r="AS1300" t="str">
        <f>IFERROR(MATCH(ROW()-1,Calc!$J$2:$J$1601,0),"")</f>
        <v/>
      </c>
      <c r="AT1300" t="str">
        <f>IFERROR(MATCH(ROW()-1,Calc!$K$2:$K$1601,0),"")</f>
        <v/>
      </c>
      <c r="AU1300" t="str">
        <f>IF($AS1300="","",IFERROR(INDEX('TMP Paste'!$D$2:$D$1601,$AS1300)*1000000/$AB1300,""))</f>
        <v/>
      </c>
    </row>
    <row r="1301" spans="1:47">
      <c r="A1301" t="str">
        <f>IF($AS1301="","",INDEX('TMP Paste'!$B$2:$B$1601,$AS1301))</f>
        <v/>
      </c>
      <c r="B1301" t="str">
        <f>IF($AS1301="","",Config!$B$14)</f>
        <v/>
      </c>
      <c r="C1301" t="str">
        <f>IF($AS1301="","",Config!$B$15)</f>
        <v/>
      </c>
      <c r="D1301" t="str">
        <f>IF($AS1301="","",INDEX('TMP Paste'!$B$2:$B$1601,$AS1301))</f>
        <v/>
      </c>
      <c r="E1301" t="str">
        <f>IF($AS1301="","",Config!$B$27)</f>
        <v/>
      </c>
      <c r="F1301" t="str">
        <f>IF($AS1301="","",Config!$B$9)</f>
        <v/>
      </c>
      <c r="G1301" t="str">
        <f>IF($AS1301="","",Config!$B$10)</f>
        <v/>
      </c>
      <c r="H1301" t="str">
        <f>IF($AS1301="","",Config!$B$11)</f>
        <v/>
      </c>
      <c r="I1301" t="str">
        <f>IF($AS1301="","",Config!$B$16)</f>
        <v/>
      </c>
      <c r="J1301" t="str">
        <f>IF($AS1301="","",INDEX('TMP Paste'!$A$2:$A$1601,$AS1301))</f>
        <v/>
      </c>
      <c r="K1301" t="str">
        <f>IF($AS1301="","",INDEX('TMP Paste'!$L$2:$L$1601,$AS1301))</f>
        <v/>
      </c>
      <c r="L1301" t="str">
        <f>IF($AS1301="","",INDEX('TMP Paste'!$I$2:$I$1601,$AS1301))</f>
        <v/>
      </c>
      <c r="M1301" t="str">
        <f>IF($AS1301="","",Config!$B$16)</f>
        <v/>
      </c>
      <c r="N1301" t="str">
        <f t="shared" si="120"/>
        <v/>
      </c>
      <c r="O1301" t="str">
        <f>IF($AS1301="","",INDEX('TMP Paste'!$K$2:$K$1601,$AS1301))</f>
        <v/>
      </c>
      <c r="P1301" t="str">
        <f t="shared" si="121"/>
        <v/>
      </c>
      <c r="Q1301" t="str">
        <f>IF($AS1301="","",INDEX('TMP Paste'!$J$2:$J$1601,$AS1301))</f>
        <v/>
      </c>
      <c r="R1301" t="str">
        <f>IF($AS1301="","",Config!$B$24)</f>
        <v/>
      </c>
      <c r="S1301" t="str">
        <f ca="1">IF($AS1301="","",TEXT(Config!$B$4,"yyyy-mm-dd"))</f>
        <v/>
      </c>
      <c r="T1301" t="str">
        <f>IF($AS1301="","",Config!$B$17)</f>
        <v/>
      </c>
      <c r="U1301" t="str">
        <f>IF($AS1301="","",Config!$B$18)</f>
        <v/>
      </c>
      <c r="V1301" t="str">
        <f>IF($AS1301="","",Config!$B$19)</f>
        <v/>
      </c>
      <c r="W1301" t="str">
        <f>IF($AS1301="","",INDEX('TMP Paste'!$C$2:$C$1601,$AS1301))</f>
        <v/>
      </c>
      <c r="X1301" t="str">
        <f>IF($AS1301="","",Config!$B$29)</f>
        <v/>
      </c>
      <c r="Y1301" t="str">
        <f>IF($AT1301="","",INDEX(Calc!$I$2:$I$1601,$AT1301)&amp;" - "&amp;INDEX(Calc!$D$2:$D$1601,$AT1301)&amp;" koli")</f>
        <v/>
      </c>
      <c r="Z1301" t="str">
        <f>IF($AS1301="","",Config!$B$21)</f>
        <v/>
      </c>
      <c r="AA1301" t="str">
        <f>IF($AS1301="","",Config!$B$22)</f>
        <v/>
      </c>
      <c r="AB1301" t="str">
        <f>IF($AT1301="","",INDEX(Calc!$D$2:$D$1601,$AT1301))</f>
        <v/>
      </c>
      <c r="AC1301" t="str">
        <f>IF($AT1301="","",INDEX(Calc!$G$2:$G$1601,$AT1301))</f>
        <v/>
      </c>
      <c r="AD1301" t="str">
        <f>IF($AS1301="","",Config!$B$23)</f>
        <v/>
      </c>
      <c r="AE1301" t="str">
        <f>IF($AS1301="","",Config!$B$28)</f>
        <v/>
      </c>
      <c r="AF1301" t="str">
        <f t="shared" si="122"/>
        <v/>
      </c>
      <c r="AG1301" t="str">
        <f t="shared" si="123"/>
        <v/>
      </c>
      <c r="AH1301" t="str">
        <f t="shared" si="124"/>
        <v/>
      </c>
      <c r="AI1301" t="str">
        <f>IF($AG1301="","",SUMIF($AG$2:$AG1301,$AG1301,$AH$2:$AH1301))</f>
        <v/>
      </c>
      <c r="AJ1301" t="str">
        <f>IF('TMP Paste'!$F1301="","",IF('TMP Paste'!$B1301="",$AJ1300,'TMP Paste'!$B1301))</f>
        <v/>
      </c>
      <c r="AK1301" t="str">
        <f>IF('TMP Paste'!$F1301="","",N('TMP Paste'!$G1301))</f>
        <v/>
      </c>
      <c r="AL1301" t="str">
        <f>IF('TMP Paste'!$F1301="","",IF('TMP Paste'!$M1301="",$AL1300,'TMP Paste'!$M1301))</f>
        <v/>
      </c>
      <c r="AM1301" t="str">
        <f>IF('TMP Paste'!$F1301="","",IF('TMP Paste'!$N1301="",$AM1300,'TMP Paste'!$N1301))</f>
        <v/>
      </c>
      <c r="AN1301" t="str">
        <f>IF('TMP Paste'!$F1301="","",IF('TMP Paste'!$O1301="",$AN1300,'TMP Paste'!$O1301))</f>
        <v/>
      </c>
      <c r="AO1301" t="str">
        <f>IF('TMP Paste'!$F1301="","",IF('TMP Paste'!$P1301="",$AO1300,'TMP Paste'!$P1301))</f>
        <v/>
      </c>
      <c r="AP1301" t="str">
        <f t="shared" si="125"/>
        <v/>
      </c>
      <c r="AQ1301" t="str">
        <f>IF($AS1301="","",TRIM(IF(COUNTIFS(Calc!$B$2:$B$1601,ROW()-1,Calc!$C$2:$C$1601,"&lt;1")&gt;0,"Ada PO tanpa Koli - cek TMP. ","")&amp;IF(OR($AU1301="",$AU1301&lt;=0),"Volume kosong/0 - dimensi dikosongkan. ","")&amp;IF(AND($AU1301&lt;&gt;"",$AU1301&gt;=1000000),"Volume &gt;= 1.000.000 cm3 (di luar aturan) - dimensi dikosongkan. ","")&amp;IF(LEN($R1301)&gt;500,"R &gt; 500 karakter.","")))</f>
        <v/>
      </c>
      <c r="AS1301" t="str">
        <f>IFERROR(MATCH(ROW()-1,Calc!$J$2:$J$1601,0),"")</f>
        <v/>
      </c>
      <c r="AT1301" t="str">
        <f>IFERROR(MATCH(ROW()-1,Calc!$K$2:$K$1601,0),"")</f>
        <v/>
      </c>
      <c r="AU1301" t="str">
        <f>IF($AS1301="","",IFERROR(INDEX('TMP Paste'!$D$2:$D$1601,$AS1301)*1000000/$AB1301,""))</f>
        <v/>
      </c>
    </row>
    <row r="1302" spans="1:47">
      <c r="A1302" t="str">
        <f>IF($AS1302="","",INDEX('TMP Paste'!$B$2:$B$1601,$AS1302))</f>
        <v/>
      </c>
      <c r="B1302" t="str">
        <f>IF($AS1302="","",Config!$B$14)</f>
        <v/>
      </c>
      <c r="C1302" t="str">
        <f>IF($AS1302="","",Config!$B$15)</f>
        <v/>
      </c>
      <c r="D1302" t="str">
        <f>IF($AS1302="","",INDEX('TMP Paste'!$B$2:$B$1601,$AS1302))</f>
        <v/>
      </c>
      <c r="E1302" t="str">
        <f>IF($AS1302="","",Config!$B$27)</f>
        <v/>
      </c>
      <c r="F1302" t="str">
        <f>IF($AS1302="","",Config!$B$9)</f>
        <v/>
      </c>
      <c r="G1302" t="str">
        <f>IF($AS1302="","",Config!$B$10)</f>
        <v/>
      </c>
      <c r="H1302" t="str">
        <f>IF($AS1302="","",Config!$B$11)</f>
        <v/>
      </c>
      <c r="I1302" t="str">
        <f>IF($AS1302="","",Config!$B$16)</f>
        <v/>
      </c>
      <c r="J1302" t="str">
        <f>IF($AS1302="","",INDEX('TMP Paste'!$A$2:$A$1601,$AS1302))</f>
        <v/>
      </c>
      <c r="K1302" t="str">
        <f>IF($AS1302="","",INDEX('TMP Paste'!$L$2:$L$1601,$AS1302))</f>
        <v/>
      </c>
      <c r="L1302" t="str">
        <f>IF($AS1302="","",INDEX('TMP Paste'!$I$2:$I$1601,$AS1302))</f>
        <v/>
      </c>
      <c r="M1302" t="str">
        <f>IF($AS1302="","",Config!$B$16)</f>
        <v/>
      </c>
      <c r="N1302" t="str">
        <f t="shared" si="120"/>
        <v/>
      </c>
      <c r="O1302" t="str">
        <f>IF($AS1302="","",INDEX('TMP Paste'!$K$2:$K$1601,$AS1302))</f>
        <v/>
      </c>
      <c r="P1302" t="str">
        <f t="shared" si="121"/>
        <v/>
      </c>
      <c r="Q1302" t="str">
        <f>IF($AS1302="","",INDEX('TMP Paste'!$J$2:$J$1601,$AS1302))</f>
        <v/>
      </c>
      <c r="R1302" t="str">
        <f>IF($AS1302="","",Config!$B$24)</f>
        <v/>
      </c>
      <c r="S1302" t="str">
        <f ca="1">IF($AS1302="","",TEXT(Config!$B$4,"yyyy-mm-dd"))</f>
        <v/>
      </c>
      <c r="T1302" t="str">
        <f>IF($AS1302="","",Config!$B$17)</f>
        <v/>
      </c>
      <c r="U1302" t="str">
        <f>IF($AS1302="","",Config!$B$18)</f>
        <v/>
      </c>
      <c r="V1302" t="str">
        <f>IF($AS1302="","",Config!$B$19)</f>
        <v/>
      </c>
      <c r="W1302" t="str">
        <f>IF($AS1302="","",INDEX('TMP Paste'!$C$2:$C$1601,$AS1302))</f>
        <v/>
      </c>
      <c r="X1302" t="str">
        <f>IF($AS1302="","",Config!$B$29)</f>
        <v/>
      </c>
      <c r="Y1302" t="str">
        <f>IF($AT1302="","",INDEX(Calc!$I$2:$I$1601,$AT1302)&amp;" - "&amp;INDEX(Calc!$D$2:$D$1601,$AT1302)&amp;" koli")</f>
        <v/>
      </c>
      <c r="Z1302" t="str">
        <f>IF($AS1302="","",Config!$B$21)</f>
        <v/>
      </c>
      <c r="AA1302" t="str">
        <f>IF($AS1302="","",Config!$B$22)</f>
        <v/>
      </c>
      <c r="AB1302" t="str">
        <f>IF($AT1302="","",INDEX(Calc!$D$2:$D$1601,$AT1302))</f>
        <v/>
      </c>
      <c r="AC1302" t="str">
        <f>IF($AT1302="","",INDEX(Calc!$G$2:$G$1601,$AT1302))</f>
        <v/>
      </c>
      <c r="AD1302" t="str">
        <f>IF($AS1302="","",Config!$B$23)</f>
        <v/>
      </c>
      <c r="AE1302" t="str">
        <f>IF($AS1302="","",Config!$B$28)</f>
        <v/>
      </c>
      <c r="AF1302" t="str">
        <f t="shared" si="122"/>
        <v/>
      </c>
      <c r="AG1302" t="str">
        <f t="shared" si="123"/>
        <v/>
      </c>
      <c r="AH1302" t="str">
        <f t="shared" si="124"/>
        <v/>
      </c>
      <c r="AI1302" t="str">
        <f>IF($AG1302="","",SUMIF($AG$2:$AG1302,$AG1302,$AH$2:$AH1302))</f>
        <v/>
      </c>
      <c r="AJ1302" t="str">
        <f>IF('TMP Paste'!$F1302="","",IF('TMP Paste'!$B1302="",$AJ1301,'TMP Paste'!$B1302))</f>
        <v/>
      </c>
      <c r="AK1302" t="str">
        <f>IF('TMP Paste'!$F1302="","",N('TMP Paste'!$G1302))</f>
        <v/>
      </c>
      <c r="AL1302" t="str">
        <f>IF('TMP Paste'!$F1302="","",IF('TMP Paste'!$M1302="",$AL1301,'TMP Paste'!$M1302))</f>
        <v/>
      </c>
      <c r="AM1302" t="str">
        <f>IF('TMP Paste'!$F1302="","",IF('TMP Paste'!$N1302="",$AM1301,'TMP Paste'!$N1302))</f>
        <v/>
      </c>
      <c r="AN1302" t="str">
        <f>IF('TMP Paste'!$F1302="","",IF('TMP Paste'!$O1302="",$AN1301,'TMP Paste'!$O1302))</f>
        <v/>
      </c>
      <c r="AO1302" t="str">
        <f>IF('TMP Paste'!$F1302="","",IF('TMP Paste'!$P1302="",$AO1301,'TMP Paste'!$P1302))</f>
        <v/>
      </c>
      <c r="AP1302" t="str">
        <f t="shared" si="125"/>
        <v/>
      </c>
      <c r="AQ1302" t="str">
        <f>IF($AS1302="","",TRIM(IF(COUNTIFS(Calc!$B$2:$B$1601,ROW()-1,Calc!$C$2:$C$1601,"&lt;1")&gt;0,"Ada PO tanpa Koli - cek TMP. ","")&amp;IF(OR($AU1302="",$AU1302&lt;=0),"Volume kosong/0 - dimensi dikosongkan. ","")&amp;IF(AND($AU1302&lt;&gt;"",$AU1302&gt;=1000000),"Volume &gt;= 1.000.000 cm3 (di luar aturan) - dimensi dikosongkan. ","")&amp;IF(LEN($R1302)&gt;500,"R &gt; 500 karakter.","")))</f>
        <v/>
      </c>
      <c r="AS1302" t="str">
        <f>IFERROR(MATCH(ROW()-1,Calc!$J$2:$J$1601,0),"")</f>
        <v/>
      </c>
      <c r="AT1302" t="str">
        <f>IFERROR(MATCH(ROW()-1,Calc!$K$2:$K$1601,0),"")</f>
        <v/>
      </c>
      <c r="AU1302" t="str">
        <f>IF($AS1302="","",IFERROR(INDEX('TMP Paste'!$D$2:$D$1601,$AS1302)*1000000/$AB1302,""))</f>
        <v/>
      </c>
    </row>
    <row r="1303" spans="1:47">
      <c r="A1303" t="str">
        <f>IF($AS1303="","",INDEX('TMP Paste'!$B$2:$B$1601,$AS1303))</f>
        <v/>
      </c>
      <c r="B1303" t="str">
        <f>IF($AS1303="","",Config!$B$14)</f>
        <v/>
      </c>
      <c r="C1303" t="str">
        <f>IF($AS1303="","",Config!$B$15)</f>
        <v/>
      </c>
      <c r="D1303" t="str">
        <f>IF($AS1303="","",INDEX('TMP Paste'!$B$2:$B$1601,$AS1303))</f>
        <v/>
      </c>
      <c r="E1303" t="str">
        <f>IF($AS1303="","",Config!$B$27)</f>
        <v/>
      </c>
      <c r="F1303" t="str">
        <f>IF($AS1303="","",Config!$B$9)</f>
        <v/>
      </c>
      <c r="G1303" t="str">
        <f>IF($AS1303="","",Config!$B$10)</f>
        <v/>
      </c>
      <c r="H1303" t="str">
        <f>IF($AS1303="","",Config!$B$11)</f>
        <v/>
      </c>
      <c r="I1303" t="str">
        <f>IF($AS1303="","",Config!$B$16)</f>
        <v/>
      </c>
      <c r="J1303" t="str">
        <f>IF($AS1303="","",INDEX('TMP Paste'!$A$2:$A$1601,$AS1303))</f>
        <v/>
      </c>
      <c r="K1303" t="str">
        <f>IF($AS1303="","",INDEX('TMP Paste'!$L$2:$L$1601,$AS1303))</f>
        <v/>
      </c>
      <c r="L1303" t="str">
        <f>IF($AS1303="","",INDEX('TMP Paste'!$I$2:$I$1601,$AS1303))</f>
        <v/>
      </c>
      <c r="M1303" t="str">
        <f>IF($AS1303="","",Config!$B$16)</f>
        <v/>
      </c>
      <c r="N1303" t="str">
        <f t="shared" si="120"/>
        <v/>
      </c>
      <c r="O1303" t="str">
        <f>IF($AS1303="","",INDEX('TMP Paste'!$K$2:$K$1601,$AS1303))</f>
        <v/>
      </c>
      <c r="P1303" t="str">
        <f t="shared" si="121"/>
        <v/>
      </c>
      <c r="Q1303" t="str">
        <f>IF($AS1303="","",INDEX('TMP Paste'!$J$2:$J$1601,$AS1303))</f>
        <v/>
      </c>
      <c r="R1303" t="str">
        <f>IF($AS1303="","",Config!$B$24)</f>
        <v/>
      </c>
      <c r="S1303" t="str">
        <f ca="1">IF($AS1303="","",TEXT(Config!$B$4,"yyyy-mm-dd"))</f>
        <v/>
      </c>
      <c r="T1303" t="str">
        <f>IF($AS1303="","",Config!$B$17)</f>
        <v/>
      </c>
      <c r="U1303" t="str">
        <f>IF($AS1303="","",Config!$B$18)</f>
        <v/>
      </c>
      <c r="V1303" t="str">
        <f>IF($AS1303="","",Config!$B$19)</f>
        <v/>
      </c>
      <c r="W1303" t="str">
        <f>IF($AS1303="","",INDEX('TMP Paste'!$C$2:$C$1601,$AS1303))</f>
        <v/>
      </c>
      <c r="X1303" t="str">
        <f>IF($AS1303="","",Config!$B$29)</f>
        <v/>
      </c>
      <c r="Y1303" t="str">
        <f>IF($AT1303="","",INDEX(Calc!$I$2:$I$1601,$AT1303)&amp;" - "&amp;INDEX(Calc!$D$2:$D$1601,$AT1303)&amp;" koli")</f>
        <v/>
      </c>
      <c r="Z1303" t="str">
        <f>IF($AS1303="","",Config!$B$21)</f>
        <v/>
      </c>
      <c r="AA1303" t="str">
        <f>IF($AS1303="","",Config!$B$22)</f>
        <v/>
      </c>
      <c r="AB1303" t="str">
        <f>IF($AT1303="","",INDEX(Calc!$D$2:$D$1601,$AT1303))</f>
        <v/>
      </c>
      <c r="AC1303" t="str">
        <f>IF($AT1303="","",INDEX(Calc!$G$2:$G$1601,$AT1303))</f>
        <v/>
      </c>
      <c r="AD1303" t="str">
        <f>IF($AS1303="","",Config!$B$23)</f>
        <v/>
      </c>
      <c r="AE1303" t="str">
        <f>IF($AS1303="","",Config!$B$28)</f>
        <v/>
      </c>
      <c r="AF1303" t="str">
        <f t="shared" si="122"/>
        <v/>
      </c>
      <c r="AG1303" t="str">
        <f t="shared" si="123"/>
        <v/>
      </c>
      <c r="AH1303" t="str">
        <f t="shared" si="124"/>
        <v/>
      </c>
      <c r="AI1303" t="str">
        <f>IF($AG1303="","",SUMIF($AG$2:$AG1303,$AG1303,$AH$2:$AH1303))</f>
        <v/>
      </c>
      <c r="AJ1303" t="str">
        <f>IF('TMP Paste'!$F1303="","",IF('TMP Paste'!$B1303="",$AJ1302,'TMP Paste'!$B1303))</f>
        <v/>
      </c>
      <c r="AK1303" t="str">
        <f>IF('TMP Paste'!$F1303="","",N('TMP Paste'!$G1303))</f>
        <v/>
      </c>
      <c r="AL1303" t="str">
        <f>IF('TMP Paste'!$F1303="","",IF('TMP Paste'!$M1303="",$AL1302,'TMP Paste'!$M1303))</f>
        <v/>
      </c>
      <c r="AM1303" t="str">
        <f>IF('TMP Paste'!$F1303="","",IF('TMP Paste'!$N1303="",$AM1302,'TMP Paste'!$N1303))</f>
        <v/>
      </c>
      <c r="AN1303" t="str">
        <f>IF('TMP Paste'!$F1303="","",IF('TMP Paste'!$O1303="",$AN1302,'TMP Paste'!$O1303))</f>
        <v/>
      </c>
      <c r="AO1303" t="str">
        <f>IF('TMP Paste'!$F1303="","",IF('TMP Paste'!$P1303="",$AO1302,'TMP Paste'!$P1303))</f>
        <v/>
      </c>
      <c r="AP1303" t="str">
        <f t="shared" si="125"/>
        <v/>
      </c>
      <c r="AQ1303" t="str">
        <f>IF($AS1303="","",TRIM(IF(COUNTIFS(Calc!$B$2:$B$1601,ROW()-1,Calc!$C$2:$C$1601,"&lt;1")&gt;0,"Ada PO tanpa Koli - cek TMP. ","")&amp;IF(OR($AU1303="",$AU1303&lt;=0),"Volume kosong/0 - dimensi dikosongkan. ","")&amp;IF(AND($AU1303&lt;&gt;"",$AU1303&gt;=1000000),"Volume &gt;= 1.000.000 cm3 (di luar aturan) - dimensi dikosongkan. ","")&amp;IF(LEN($R1303)&gt;500,"R &gt; 500 karakter.","")))</f>
        <v/>
      </c>
      <c r="AS1303" t="str">
        <f>IFERROR(MATCH(ROW()-1,Calc!$J$2:$J$1601,0),"")</f>
        <v/>
      </c>
      <c r="AT1303" t="str">
        <f>IFERROR(MATCH(ROW()-1,Calc!$K$2:$K$1601,0),"")</f>
        <v/>
      </c>
      <c r="AU1303" t="str">
        <f>IF($AS1303="","",IFERROR(INDEX('TMP Paste'!$D$2:$D$1601,$AS1303)*1000000/$AB1303,""))</f>
        <v/>
      </c>
    </row>
    <row r="1304" spans="1:47">
      <c r="A1304" t="str">
        <f>IF($AS1304="","",INDEX('TMP Paste'!$B$2:$B$1601,$AS1304))</f>
        <v/>
      </c>
      <c r="B1304" t="str">
        <f>IF($AS1304="","",Config!$B$14)</f>
        <v/>
      </c>
      <c r="C1304" t="str">
        <f>IF($AS1304="","",Config!$B$15)</f>
        <v/>
      </c>
      <c r="D1304" t="str">
        <f>IF($AS1304="","",INDEX('TMP Paste'!$B$2:$B$1601,$AS1304))</f>
        <v/>
      </c>
      <c r="E1304" t="str">
        <f>IF($AS1304="","",Config!$B$27)</f>
        <v/>
      </c>
      <c r="F1304" t="str">
        <f>IF($AS1304="","",Config!$B$9)</f>
        <v/>
      </c>
      <c r="G1304" t="str">
        <f>IF($AS1304="","",Config!$B$10)</f>
        <v/>
      </c>
      <c r="H1304" t="str">
        <f>IF($AS1304="","",Config!$B$11)</f>
        <v/>
      </c>
      <c r="I1304" t="str">
        <f>IF($AS1304="","",Config!$B$16)</f>
        <v/>
      </c>
      <c r="J1304" t="str">
        <f>IF($AS1304="","",INDEX('TMP Paste'!$A$2:$A$1601,$AS1304))</f>
        <v/>
      </c>
      <c r="K1304" t="str">
        <f>IF($AS1304="","",INDEX('TMP Paste'!$L$2:$L$1601,$AS1304))</f>
        <v/>
      </c>
      <c r="L1304" t="str">
        <f>IF($AS1304="","",INDEX('TMP Paste'!$I$2:$I$1601,$AS1304))</f>
        <v/>
      </c>
      <c r="M1304" t="str">
        <f>IF($AS1304="","",Config!$B$16)</f>
        <v/>
      </c>
      <c r="N1304" t="str">
        <f t="shared" si="120"/>
        <v/>
      </c>
      <c r="O1304" t="str">
        <f>IF($AS1304="","",INDEX('TMP Paste'!$K$2:$K$1601,$AS1304))</f>
        <v/>
      </c>
      <c r="P1304" t="str">
        <f t="shared" si="121"/>
        <v/>
      </c>
      <c r="Q1304" t="str">
        <f>IF($AS1304="","",INDEX('TMP Paste'!$J$2:$J$1601,$AS1304))</f>
        <v/>
      </c>
      <c r="R1304" t="str">
        <f>IF($AS1304="","",Config!$B$24)</f>
        <v/>
      </c>
      <c r="S1304" t="str">
        <f ca="1">IF($AS1304="","",TEXT(Config!$B$4,"yyyy-mm-dd"))</f>
        <v/>
      </c>
      <c r="T1304" t="str">
        <f>IF($AS1304="","",Config!$B$17)</f>
        <v/>
      </c>
      <c r="U1304" t="str">
        <f>IF($AS1304="","",Config!$B$18)</f>
        <v/>
      </c>
      <c r="V1304" t="str">
        <f>IF($AS1304="","",Config!$B$19)</f>
        <v/>
      </c>
      <c r="W1304" t="str">
        <f>IF($AS1304="","",INDEX('TMP Paste'!$C$2:$C$1601,$AS1304))</f>
        <v/>
      </c>
      <c r="X1304" t="str">
        <f>IF($AS1304="","",Config!$B$29)</f>
        <v/>
      </c>
      <c r="Y1304" t="str">
        <f>IF($AT1304="","",INDEX(Calc!$I$2:$I$1601,$AT1304)&amp;" - "&amp;INDEX(Calc!$D$2:$D$1601,$AT1304)&amp;" koli")</f>
        <v/>
      </c>
      <c r="Z1304" t="str">
        <f>IF($AS1304="","",Config!$B$21)</f>
        <v/>
      </c>
      <c r="AA1304" t="str">
        <f>IF($AS1304="","",Config!$B$22)</f>
        <v/>
      </c>
      <c r="AB1304" t="str">
        <f>IF($AT1304="","",INDEX(Calc!$D$2:$D$1601,$AT1304))</f>
        <v/>
      </c>
      <c r="AC1304" t="str">
        <f>IF($AT1304="","",INDEX(Calc!$G$2:$G$1601,$AT1304))</f>
        <v/>
      </c>
      <c r="AD1304" t="str">
        <f>IF($AS1304="","",Config!$B$23)</f>
        <v/>
      </c>
      <c r="AE1304" t="str">
        <f>IF($AS1304="","",Config!$B$28)</f>
        <v/>
      </c>
      <c r="AF1304" t="str">
        <f t="shared" si="122"/>
        <v/>
      </c>
      <c r="AG1304" t="str">
        <f t="shared" si="123"/>
        <v/>
      </c>
      <c r="AH1304" t="str">
        <f t="shared" si="124"/>
        <v/>
      </c>
      <c r="AI1304" t="str">
        <f>IF($AG1304="","",SUMIF($AG$2:$AG1304,$AG1304,$AH$2:$AH1304))</f>
        <v/>
      </c>
      <c r="AJ1304" t="str">
        <f>IF('TMP Paste'!$F1304="","",IF('TMP Paste'!$B1304="",$AJ1303,'TMP Paste'!$B1304))</f>
        <v/>
      </c>
      <c r="AK1304" t="str">
        <f>IF('TMP Paste'!$F1304="","",N('TMP Paste'!$G1304))</f>
        <v/>
      </c>
      <c r="AL1304" t="str">
        <f>IF('TMP Paste'!$F1304="","",IF('TMP Paste'!$M1304="",$AL1303,'TMP Paste'!$M1304))</f>
        <v/>
      </c>
      <c r="AM1304" t="str">
        <f>IF('TMP Paste'!$F1304="","",IF('TMP Paste'!$N1304="",$AM1303,'TMP Paste'!$N1304))</f>
        <v/>
      </c>
      <c r="AN1304" t="str">
        <f>IF('TMP Paste'!$F1304="","",IF('TMP Paste'!$O1304="",$AN1303,'TMP Paste'!$O1304))</f>
        <v/>
      </c>
      <c r="AO1304" t="str">
        <f>IF('TMP Paste'!$F1304="","",IF('TMP Paste'!$P1304="",$AO1303,'TMP Paste'!$P1304))</f>
        <v/>
      </c>
      <c r="AP1304" t="str">
        <f t="shared" si="125"/>
        <v/>
      </c>
      <c r="AQ1304" t="str">
        <f>IF($AS1304="","",TRIM(IF(COUNTIFS(Calc!$B$2:$B$1601,ROW()-1,Calc!$C$2:$C$1601,"&lt;1")&gt;0,"Ada PO tanpa Koli - cek TMP. ","")&amp;IF(OR($AU1304="",$AU1304&lt;=0),"Volume kosong/0 - dimensi dikosongkan. ","")&amp;IF(AND($AU1304&lt;&gt;"",$AU1304&gt;=1000000),"Volume &gt;= 1.000.000 cm3 (di luar aturan) - dimensi dikosongkan. ","")&amp;IF(LEN($R1304)&gt;500,"R &gt; 500 karakter.","")))</f>
        <v/>
      </c>
      <c r="AS1304" t="str">
        <f>IFERROR(MATCH(ROW()-1,Calc!$J$2:$J$1601,0),"")</f>
        <v/>
      </c>
      <c r="AT1304" t="str">
        <f>IFERROR(MATCH(ROW()-1,Calc!$K$2:$K$1601,0),"")</f>
        <v/>
      </c>
      <c r="AU1304" t="str">
        <f>IF($AS1304="","",IFERROR(INDEX('TMP Paste'!$D$2:$D$1601,$AS1304)*1000000/$AB1304,""))</f>
        <v/>
      </c>
    </row>
    <row r="1305" spans="1:47">
      <c r="A1305" t="str">
        <f>IF($AS1305="","",INDEX('TMP Paste'!$B$2:$B$1601,$AS1305))</f>
        <v/>
      </c>
      <c r="B1305" t="str">
        <f>IF($AS1305="","",Config!$B$14)</f>
        <v/>
      </c>
      <c r="C1305" t="str">
        <f>IF($AS1305="","",Config!$B$15)</f>
        <v/>
      </c>
      <c r="D1305" t="str">
        <f>IF($AS1305="","",INDEX('TMP Paste'!$B$2:$B$1601,$AS1305))</f>
        <v/>
      </c>
      <c r="E1305" t="str">
        <f>IF($AS1305="","",Config!$B$27)</f>
        <v/>
      </c>
      <c r="F1305" t="str">
        <f>IF($AS1305="","",Config!$B$9)</f>
        <v/>
      </c>
      <c r="G1305" t="str">
        <f>IF($AS1305="","",Config!$B$10)</f>
        <v/>
      </c>
      <c r="H1305" t="str">
        <f>IF($AS1305="","",Config!$B$11)</f>
        <v/>
      </c>
      <c r="I1305" t="str">
        <f>IF($AS1305="","",Config!$B$16)</f>
        <v/>
      </c>
      <c r="J1305" t="str">
        <f>IF($AS1305="","",INDEX('TMP Paste'!$A$2:$A$1601,$AS1305))</f>
        <v/>
      </c>
      <c r="K1305" t="str">
        <f>IF($AS1305="","",INDEX('TMP Paste'!$L$2:$L$1601,$AS1305))</f>
        <v/>
      </c>
      <c r="L1305" t="str">
        <f>IF($AS1305="","",INDEX('TMP Paste'!$I$2:$I$1601,$AS1305))</f>
        <v/>
      </c>
      <c r="M1305" t="str">
        <f>IF($AS1305="","",Config!$B$16)</f>
        <v/>
      </c>
      <c r="N1305" t="str">
        <f t="shared" si="120"/>
        <v/>
      </c>
      <c r="O1305" t="str">
        <f>IF($AS1305="","",INDEX('TMP Paste'!$K$2:$K$1601,$AS1305))</f>
        <v/>
      </c>
      <c r="P1305" t="str">
        <f t="shared" si="121"/>
        <v/>
      </c>
      <c r="Q1305" t="str">
        <f>IF($AS1305="","",INDEX('TMP Paste'!$J$2:$J$1601,$AS1305))</f>
        <v/>
      </c>
      <c r="R1305" t="str">
        <f>IF($AS1305="","",Config!$B$24)</f>
        <v/>
      </c>
      <c r="S1305" t="str">
        <f ca="1">IF($AS1305="","",TEXT(Config!$B$4,"yyyy-mm-dd"))</f>
        <v/>
      </c>
      <c r="T1305" t="str">
        <f>IF($AS1305="","",Config!$B$17)</f>
        <v/>
      </c>
      <c r="U1305" t="str">
        <f>IF($AS1305="","",Config!$B$18)</f>
        <v/>
      </c>
      <c r="V1305" t="str">
        <f>IF($AS1305="","",Config!$B$19)</f>
        <v/>
      </c>
      <c r="W1305" t="str">
        <f>IF($AS1305="","",INDEX('TMP Paste'!$C$2:$C$1601,$AS1305))</f>
        <v/>
      </c>
      <c r="X1305" t="str">
        <f>IF($AS1305="","",Config!$B$29)</f>
        <v/>
      </c>
      <c r="Y1305" t="str">
        <f>IF($AT1305="","",INDEX(Calc!$I$2:$I$1601,$AT1305)&amp;" - "&amp;INDEX(Calc!$D$2:$D$1601,$AT1305)&amp;" koli")</f>
        <v/>
      </c>
      <c r="Z1305" t="str">
        <f>IF($AS1305="","",Config!$B$21)</f>
        <v/>
      </c>
      <c r="AA1305" t="str">
        <f>IF($AS1305="","",Config!$B$22)</f>
        <v/>
      </c>
      <c r="AB1305" t="str">
        <f>IF($AT1305="","",INDEX(Calc!$D$2:$D$1601,$AT1305))</f>
        <v/>
      </c>
      <c r="AC1305" t="str">
        <f>IF($AT1305="","",INDEX(Calc!$G$2:$G$1601,$AT1305))</f>
        <v/>
      </c>
      <c r="AD1305" t="str">
        <f>IF($AS1305="","",Config!$B$23)</f>
        <v/>
      </c>
      <c r="AE1305" t="str">
        <f>IF($AS1305="","",Config!$B$28)</f>
        <v/>
      </c>
      <c r="AF1305" t="str">
        <f t="shared" si="122"/>
        <v/>
      </c>
      <c r="AG1305" t="str">
        <f t="shared" si="123"/>
        <v/>
      </c>
      <c r="AH1305" t="str">
        <f t="shared" si="124"/>
        <v/>
      </c>
      <c r="AI1305" t="str">
        <f>IF($AG1305="","",SUMIF($AG$2:$AG1305,$AG1305,$AH$2:$AH1305))</f>
        <v/>
      </c>
      <c r="AJ1305" t="str">
        <f>IF('TMP Paste'!$F1305="","",IF('TMP Paste'!$B1305="",$AJ1304,'TMP Paste'!$B1305))</f>
        <v/>
      </c>
      <c r="AK1305" t="str">
        <f>IF('TMP Paste'!$F1305="","",N('TMP Paste'!$G1305))</f>
        <v/>
      </c>
      <c r="AL1305" t="str">
        <f>IF('TMP Paste'!$F1305="","",IF('TMP Paste'!$M1305="",$AL1304,'TMP Paste'!$M1305))</f>
        <v/>
      </c>
      <c r="AM1305" t="str">
        <f>IF('TMP Paste'!$F1305="","",IF('TMP Paste'!$N1305="",$AM1304,'TMP Paste'!$N1305))</f>
        <v/>
      </c>
      <c r="AN1305" t="str">
        <f>IF('TMP Paste'!$F1305="","",IF('TMP Paste'!$O1305="",$AN1304,'TMP Paste'!$O1305))</f>
        <v/>
      </c>
      <c r="AO1305" t="str">
        <f>IF('TMP Paste'!$F1305="","",IF('TMP Paste'!$P1305="",$AO1304,'TMP Paste'!$P1305))</f>
        <v/>
      </c>
      <c r="AP1305" t="str">
        <f t="shared" si="125"/>
        <v/>
      </c>
      <c r="AQ1305" t="str">
        <f>IF($AS1305="","",TRIM(IF(COUNTIFS(Calc!$B$2:$B$1601,ROW()-1,Calc!$C$2:$C$1601,"&lt;1")&gt;0,"Ada PO tanpa Koli - cek TMP. ","")&amp;IF(OR($AU1305="",$AU1305&lt;=0),"Volume kosong/0 - dimensi dikosongkan. ","")&amp;IF(AND($AU1305&lt;&gt;"",$AU1305&gt;=1000000),"Volume &gt;= 1.000.000 cm3 (di luar aturan) - dimensi dikosongkan. ","")&amp;IF(LEN($R1305)&gt;500,"R &gt; 500 karakter.","")))</f>
        <v/>
      </c>
      <c r="AS1305" t="str">
        <f>IFERROR(MATCH(ROW()-1,Calc!$J$2:$J$1601,0),"")</f>
        <v/>
      </c>
      <c r="AT1305" t="str">
        <f>IFERROR(MATCH(ROW()-1,Calc!$K$2:$K$1601,0),"")</f>
        <v/>
      </c>
      <c r="AU1305" t="str">
        <f>IF($AS1305="","",IFERROR(INDEX('TMP Paste'!$D$2:$D$1601,$AS1305)*1000000/$AB1305,""))</f>
        <v/>
      </c>
    </row>
    <row r="1306" spans="1:47">
      <c r="A1306" t="str">
        <f>IF($AS1306="","",INDEX('TMP Paste'!$B$2:$B$1601,$AS1306))</f>
        <v/>
      </c>
      <c r="B1306" t="str">
        <f>IF($AS1306="","",Config!$B$14)</f>
        <v/>
      </c>
      <c r="C1306" t="str">
        <f>IF($AS1306="","",Config!$B$15)</f>
        <v/>
      </c>
      <c r="D1306" t="str">
        <f>IF($AS1306="","",INDEX('TMP Paste'!$B$2:$B$1601,$AS1306))</f>
        <v/>
      </c>
      <c r="E1306" t="str">
        <f>IF($AS1306="","",Config!$B$27)</f>
        <v/>
      </c>
      <c r="F1306" t="str">
        <f>IF($AS1306="","",Config!$B$9)</f>
        <v/>
      </c>
      <c r="G1306" t="str">
        <f>IF($AS1306="","",Config!$B$10)</f>
        <v/>
      </c>
      <c r="H1306" t="str">
        <f>IF($AS1306="","",Config!$B$11)</f>
        <v/>
      </c>
      <c r="I1306" t="str">
        <f>IF($AS1306="","",Config!$B$16)</f>
        <v/>
      </c>
      <c r="J1306" t="str">
        <f>IF($AS1306="","",INDEX('TMP Paste'!$A$2:$A$1601,$AS1306))</f>
        <v/>
      </c>
      <c r="K1306" t="str">
        <f>IF($AS1306="","",INDEX('TMP Paste'!$L$2:$L$1601,$AS1306))</f>
        <v/>
      </c>
      <c r="L1306" t="str">
        <f>IF($AS1306="","",INDEX('TMP Paste'!$I$2:$I$1601,$AS1306))</f>
        <v/>
      </c>
      <c r="M1306" t="str">
        <f>IF($AS1306="","",Config!$B$16)</f>
        <v/>
      </c>
      <c r="N1306" t="str">
        <f t="shared" si="120"/>
        <v/>
      </c>
      <c r="O1306" t="str">
        <f>IF($AS1306="","",INDEX('TMP Paste'!$K$2:$K$1601,$AS1306))</f>
        <v/>
      </c>
      <c r="P1306" t="str">
        <f t="shared" si="121"/>
        <v/>
      </c>
      <c r="Q1306" t="str">
        <f>IF($AS1306="","",INDEX('TMP Paste'!$J$2:$J$1601,$AS1306))</f>
        <v/>
      </c>
      <c r="R1306" t="str">
        <f>IF($AS1306="","",Config!$B$24)</f>
        <v/>
      </c>
      <c r="S1306" t="str">
        <f ca="1">IF($AS1306="","",TEXT(Config!$B$4,"yyyy-mm-dd"))</f>
        <v/>
      </c>
      <c r="T1306" t="str">
        <f>IF($AS1306="","",Config!$B$17)</f>
        <v/>
      </c>
      <c r="U1306" t="str">
        <f>IF($AS1306="","",Config!$B$18)</f>
        <v/>
      </c>
      <c r="V1306" t="str">
        <f>IF($AS1306="","",Config!$B$19)</f>
        <v/>
      </c>
      <c r="W1306" t="str">
        <f>IF($AS1306="","",INDEX('TMP Paste'!$C$2:$C$1601,$AS1306))</f>
        <v/>
      </c>
      <c r="X1306" t="str">
        <f>IF($AS1306="","",Config!$B$29)</f>
        <v/>
      </c>
      <c r="Y1306" t="str">
        <f>IF($AT1306="","",INDEX(Calc!$I$2:$I$1601,$AT1306)&amp;" - "&amp;INDEX(Calc!$D$2:$D$1601,$AT1306)&amp;" koli")</f>
        <v/>
      </c>
      <c r="Z1306" t="str">
        <f>IF($AS1306="","",Config!$B$21)</f>
        <v/>
      </c>
      <c r="AA1306" t="str">
        <f>IF($AS1306="","",Config!$B$22)</f>
        <v/>
      </c>
      <c r="AB1306" t="str">
        <f>IF($AT1306="","",INDEX(Calc!$D$2:$D$1601,$AT1306))</f>
        <v/>
      </c>
      <c r="AC1306" t="str">
        <f>IF($AT1306="","",INDEX(Calc!$G$2:$G$1601,$AT1306))</f>
        <v/>
      </c>
      <c r="AD1306" t="str">
        <f>IF($AS1306="","",Config!$B$23)</f>
        <v/>
      </c>
      <c r="AE1306" t="str">
        <f>IF($AS1306="","",Config!$B$28)</f>
        <v/>
      </c>
      <c r="AF1306" t="str">
        <f t="shared" si="122"/>
        <v/>
      </c>
      <c r="AG1306" t="str">
        <f t="shared" si="123"/>
        <v/>
      </c>
      <c r="AH1306" t="str">
        <f t="shared" si="124"/>
        <v/>
      </c>
      <c r="AI1306" t="str">
        <f>IF($AG1306="","",SUMIF($AG$2:$AG1306,$AG1306,$AH$2:$AH1306))</f>
        <v/>
      </c>
      <c r="AJ1306" t="str">
        <f>IF('TMP Paste'!$F1306="","",IF('TMP Paste'!$B1306="",$AJ1305,'TMP Paste'!$B1306))</f>
        <v/>
      </c>
      <c r="AK1306" t="str">
        <f>IF('TMP Paste'!$F1306="","",N('TMP Paste'!$G1306))</f>
        <v/>
      </c>
      <c r="AL1306" t="str">
        <f>IF('TMP Paste'!$F1306="","",IF('TMP Paste'!$M1306="",$AL1305,'TMP Paste'!$M1306))</f>
        <v/>
      </c>
      <c r="AM1306" t="str">
        <f>IF('TMP Paste'!$F1306="","",IF('TMP Paste'!$N1306="",$AM1305,'TMP Paste'!$N1306))</f>
        <v/>
      </c>
      <c r="AN1306" t="str">
        <f>IF('TMP Paste'!$F1306="","",IF('TMP Paste'!$O1306="",$AN1305,'TMP Paste'!$O1306))</f>
        <v/>
      </c>
      <c r="AO1306" t="str">
        <f>IF('TMP Paste'!$F1306="","",IF('TMP Paste'!$P1306="",$AO1305,'TMP Paste'!$P1306))</f>
        <v/>
      </c>
      <c r="AP1306" t="str">
        <f t="shared" si="125"/>
        <v/>
      </c>
      <c r="AQ1306" t="str">
        <f>IF($AS1306="","",TRIM(IF(COUNTIFS(Calc!$B$2:$B$1601,ROW()-1,Calc!$C$2:$C$1601,"&lt;1")&gt;0,"Ada PO tanpa Koli - cek TMP. ","")&amp;IF(OR($AU1306="",$AU1306&lt;=0),"Volume kosong/0 - dimensi dikosongkan. ","")&amp;IF(AND($AU1306&lt;&gt;"",$AU1306&gt;=1000000),"Volume &gt;= 1.000.000 cm3 (di luar aturan) - dimensi dikosongkan. ","")&amp;IF(LEN($R1306)&gt;500,"R &gt; 500 karakter.","")))</f>
        <v/>
      </c>
      <c r="AS1306" t="str">
        <f>IFERROR(MATCH(ROW()-1,Calc!$J$2:$J$1601,0),"")</f>
        <v/>
      </c>
      <c r="AT1306" t="str">
        <f>IFERROR(MATCH(ROW()-1,Calc!$K$2:$K$1601,0),"")</f>
        <v/>
      </c>
      <c r="AU1306" t="str">
        <f>IF($AS1306="","",IFERROR(INDEX('TMP Paste'!$D$2:$D$1601,$AS1306)*1000000/$AB1306,""))</f>
        <v/>
      </c>
    </row>
    <row r="1307" spans="1:47">
      <c r="A1307" t="str">
        <f>IF($AS1307="","",INDEX('TMP Paste'!$B$2:$B$1601,$AS1307))</f>
        <v/>
      </c>
      <c r="B1307" t="str">
        <f>IF($AS1307="","",Config!$B$14)</f>
        <v/>
      </c>
      <c r="C1307" t="str">
        <f>IF($AS1307="","",Config!$B$15)</f>
        <v/>
      </c>
      <c r="D1307" t="str">
        <f>IF($AS1307="","",INDEX('TMP Paste'!$B$2:$B$1601,$AS1307))</f>
        <v/>
      </c>
      <c r="E1307" t="str">
        <f>IF($AS1307="","",Config!$B$27)</f>
        <v/>
      </c>
      <c r="F1307" t="str">
        <f>IF($AS1307="","",Config!$B$9)</f>
        <v/>
      </c>
      <c r="G1307" t="str">
        <f>IF($AS1307="","",Config!$B$10)</f>
        <v/>
      </c>
      <c r="H1307" t="str">
        <f>IF($AS1307="","",Config!$B$11)</f>
        <v/>
      </c>
      <c r="I1307" t="str">
        <f>IF($AS1307="","",Config!$B$16)</f>
        <v/>
      </c>
      <c r="J1307" t="str">
        <f>IF($AS1307="","",INDEX('TMP Paste'!$A$2:$A$1601,$AS1307))</f>
        <v/>
      </c>
      <c r="K1307" t="str">
        <f>IF($AS1307="","",INDEX('TMP Paste'!$L$2:$L$1601,$AS1307))</f>
        <v/>
      </c>
      <c r="L1307" t="str">
        <f>IF($AS1307="","",INDEX('TMP Paste'!$I$2:$I$1601,$AS1307))</f>
        <v/>
      </c>
      <c r="M1307" t="str">
        <f>IF($AS1307="","",Config!$B$16)</f>
        <v/>
      </c>
      <c r="N1307" t="str">
        <f t="shared" si="120"/>
        <v/>
      </c>
      <c r="O1307" t="str">
        <f>IF($AS1307="","",INDEX('TMP Paste'!$K$2:$K$1601,$AS1307))</f>
        <v/>
      </c>
      <c r="P1307" t="str">
        <f t="shared" si="121"/>
        <v/>
      </c>
      <c r="Q1307" t="str">
        <f>IF($AS1307="","",INDEX('TMP Paste'!$J$2:$J$1601,$AS1307))</f>
        <v/>
      </c>
      <c r="R1307" t="str">
        <f>IF($AS1307="","",Config!$B$24)</f>
        <v/>
      </c>
      <c r="S1307" t="str">
        <f ca="1">IF($AS1307="","",TEXT(Config!$B$4,"yyyy-mm-dd"))</f>
        <v/>
      </c>
      <c r="T1307" t="str">
        <f>IF($AS1307="","",Config!$B$17)</f>
        <v/>
      </c>
      <c r="U1307" t="str">
        <f>IF($AS1307="","",Config!$B$18)</f>
        <v/>
      </c>
      <c r="V1307" t="str">
        <f>IF($AS1307="","",Config!$B$19)</f>
        <v/>
      </c>
      <c r="W1307" t="str">
        <f>IF($AS1307="","",INDEX('TMP Paste'!$C$2:$C$1601,$AS1307))</f>
        <v/>
      </c>
      <c r="X1307" t="str">
        <f>IF($AS1307="","",Config!$B$29)</f>
        <v/>
      </c>
      <c r="Y1307" t="str">
        <f>IF($AT1307="","",INDEX(Calc!$I$2:$I$1601,$AT1307)&amp;" - "&amp;INDEX(Calc!$D$2:$D$1601,$AT1307)&amp;" koli")</f>
        <v/>
      </c>
      <c r="Z1307" t="str">
        <f>IF($AS1307="","",Config!$B$21)</f>
        <v/>
      </c>
      <c r="AA1307" t="str">
        <f>IF($AS1307="","",Config!$B$22)</f>
        <v/>
      </c>
      <c r="AB1307" t="str">
        <f>IF($AT1307="","",INDEX(Calc!$D$2:$D$1601,$AT1307))</f>
        <v/>
      </c>
      <c r="AC1307" t="str">
        <f>IF($AT1307="","",INDEX(Calc!$G$2:$G$1601,$AT1307))</f>
        <v/>
      </c>
      <c r="AD1307" t="str">
        <f>IF($AS1307="","",Config!$B$23)</f>
        <v/>
      </c>
      <c r="AE1307" t="str">
        <f>IF($AS1307="","",Config!$B$28)</f>
        <v/>
      </c>
      <c r="AF1307" t="str">
        <f t="shared" si="122"/>
        <v/>
      </c>
      <c r="AG1307" t="str">
        <f t="shared" si="123"/>
        <v/>
      </c>
      <c r="AH1307" t="str">
        <f t="shared" si="124"/>
        <v/>
      </c>
      <c r="AI1307" t="str">
        <f>IF($AG1307="","",SUMIF($AG$2:$AG1307,$AG1307,$AH$2:$AH1307))</f>
        <v/>
      </c>
      <c r="AJ1307" t="str">
        <f>IF('TMP Paste'!$F1307="","",IF('TMP Paste'!$B1307="",$AJ1306,'TMP Paste'!$B1307))</f>
        <v/>
      </c>
      <c r="AK1307" t="str">
        <f>IF('TMP Paste'!$F1307="","",N('TMP Paste'!$G1307))</f>
        <v/>
      </c>
      <c r="AL1307" t="str">
        <f>IF('TMP Paste'!$F1307="","",IF('TMP Paste'!$M1307="",$AL1306,'TMP Paste'!$M1307))</f>
        <v/>
      </c>
      <c r="AM1307" t="str">
        <f>IF('TMP Paste'!$F1307="","",IF('TMP Paste'!$N1307="",$AM1306,'TMP Paste'!$N1307))</f>
        <v/>
      </c>
      <c r="AN1307" t="str">
        <f>IF('TMP Paste'!$F1307="","",IF('TMP Paste'!$O1307="",$AN1306,'TMP Paste'!$O1307))</f>
        <v/>
      </c>
      <c r="AO1307" t="str">
        <f>IF('TMP Paste'!$F1307="","",IF('TMP Paste'!$P1307="",$AO1306,'TMP Paste'!$P1307))</f>
        <v/>
      </c>
      <c r="AP1307" t="str">
        <f t="shared" si="125"/>
        <v/>
      </c>
      <c r="AQ1307" t="str">
        <f>IF($AS1307="","",TRIM(IF(COUNTIFS(Calc!$B$2:$B$1601,ROW()-1,Calc!$C$2:$C$1601,"&lt;1")&gt;0,"Ada PO tanpa Koli - cek TMP. ","")&amp;IF(OR($AU1307="",$AU1307&lt;=0),"Volume kosong/0 - dimensi dikosongkan. ","")&amp;IF(AND($AU1307&lt;&gt;"",$AU1307&gt;=1000000),"Volume &gt;= 1.000.000 cm3 (di luar aturan) - dimensi dikosongkan. ","")&amp;IF(LEN($R1307)&gt;500,"R &gt; 500 karakter.","")))</f>
        <v/>
      </c>
      <c r="AS1307" t="str">
        <f>IFERROR(MATCH(ROW()-1,Calc!$J$2:$J$1601,0),"")</f>
        <v/>
      </c>
      <c r="AT1307" t="str">
        <f>IFERROR(MATCH(ROW()-1,Calc!$K$2:$K$1601,0),"")</f>
        <v/>
      </c>
      <c r="AU1307" t="str">
        <f>IF($AS1307="","",IFERROR(INDEX('TMP Paste'!$D$2:$D$1601,$AS1307)*1000000/$AB1307,""))</f>
        <v/>
      </c>
    </row>
    <row r="1308" spans="1:47">
      <c r="A1308" t="str">
        <f>IF($AS1308="","",INDEX('TMP Paste'!$B$2:$B$1601,$AS1308))</f>
        <v/>
      </c>
      <c r="B1308" t="str">
        <f>IF($AS1308="","",Config!$B$14)</f>
        <v/>
      </c>
      <c r="C1308" t="str">
        <f>IF($AS1308="","",Config!$B$15)</f>
        <v/>
      </c>
      <c r="D1308" t="str">
        <f>IF($AS1308="","",INDEX('TMP Paste'!$B$2:$B$1601,$AS1308))</f>
        <v/>
      </c>
      <c r="E1308" t="str">
        <f>IF($AS1308="","",Config!$B$27)</f>
        <v/>
      </c>
      <c r="F1308" t="str">
        <f>IF($AS1308="","",Config!$B$9)</f>
        <v/>
      </c>
      <c r="G1308" t="str">
        <f>IF($AS1308="","",Config!$B$10)</f>
        <v/>
      </c>
      <c r="H1308" t="str">
        <f>IF($AS1308="","",Config!$B$11)</f>
        <v/>
      </c>
      <c r="I1308" t="str">
        <f>IF($AS1308="","",Config!$B$16)</f>
        <v/>
      </c>
      <c r="J1308" t="str">
        <f>IF($AS1308="","",INDEX('TMP Paste'!$A$2:$A$1601,$AS1308))</f>
        <v/>
      </c>
      <c r="K1308" t="str">
        <f>IF($AS1308="","",INDEX('TMP Paste'!$L$2:$L$1601,$AS1308))</f>
        <v/>
      </c>
      <c r="L1308" t="str">
        <f>IF($AS1308="","",INDEX('TMP Paste'!$I$2:$I$1601,$AS1308))</f>
        <v/>
      </c>
      <c r="M1308" t="str">
        <f>IF($AS1308="","",Config!$B$16)</f>
        <v/>
      </c>
      <c r="N1308" t="str">
        <f t="shared" si="120"/>
        <v/>
      </c>
      <c r="O1308" t="str">
        <f>IF($AS1308="","",INDEX('TMP Paste'!$K$2:$K$1601,$AS1308))</f>
        <v/>
      </c>
      <c r="P1308" t="str">
        <f t="shared" si="121"/>
        <v/>
      </c>
      <c r="Q1308" t="str">
        <f>IF($AS1308="","",INDEX('TMP Paste'!$J$2:$J$1601,$AS1308))</f>
        <v/>
      </c>
      <c r="R1308" t="str">
        <f>IF($AS1308="","",Config!$B$24)</f>
        <v/>
      </c>
      <c r="S1308" t="str">
        <f ca="1">IF($AS1308="","",TEXT(Config!$B$4,"yyyy-mm-dd"))</f>
        <v/>
      </c>
      <c r="T1308" t="str">
        <f>IF($AS1308="","",Config!$B$17)</f>
        <v/>
      </c>
      <c r="U1308" t="str">
        <f>IF($AS1308="","",Config!$B$18)</f>
        <v/>
      </c>
      <c r="V1308" t="str">
        <f>IF($AS1308="","",Config!$B$19)</f>
        <v/>
      </c>
      <c r="W1308" t="str">
        <f>IF($AS1308="","",INDEX('TMP Paste'!$C$2:$C$1601,$AS1308))</f>
        <v/>
      </c>
      <c r="X1308" t="str">
        <f>IF($AS1308="","",Config!$B$29)</f>
        <v/>
      </c>
      <c r="Y1308" t="str">
        <f>IF($AT1308="","",INDEX(Calc!$I$2:$I$1601,$AT1308)&amp;" - "&amp;INDEX(Calc!$D$2:$D$1601,$AT1308)&amp;" koli")</f>
        <v/>
      </c>
      <c r="Z1308" t="str">
        <f>IF($AS1308="","",Config!$B$21)</f>
        <v/>
      </c>
      <c r="AA1308" t="str">
        <f>IF($AS1308="","",Config!$B$22)</f>
        <v/>
      </c>
      <c r="AB1308" t="str">
        <f>IF($AT1308="","",INDEX(Calc!$D$2:$D$1601,$AT1308))</f>
        <v/>
      </c>
      <c r="AC1308" t="str">
        <f>IF($AT1308="","",INDEX(Calc!$G$2:$G$1601,$AT1308))</f>
        <v/>
      </c>
      <c r="AD1308" t="str">
        <f>IF($AS1308="","",Config!$B$23)</f>
        <v/>
      </c>
      <c r="AE1308" t="str">
        <f>IF($AS1308="","",Config!$B$28)</f>
        <v/>
      </c>
      <c r="AF1308" t="str">
        <f t="shared" si="122"/>
        <v/>
      </c>
      <c r="AG1308" t="str">
        <f t="shared" si="123"/>
        <v/>
      </c>
      <c r="AH1308" t="str">
        <f t="shared" si="124"/>
        <v/>
      </c>
      <c r="AI1308" t="str">
        <f>IF($AG1308="","",SUMIF($AG$2:$AG1308,$AG1308,$AH$2:$AH1308))</f>
        <v/>
      </c>
      <c r="AJ1308" t="str">
        <f>IF('TMP Paste'!$F1308="","",IF('TMP Paste'!$B1308="",$AJ1307,'TMP Paste'!$B1308))</f>
        <v/>
      </c>
      <c r="AK1308" t="str">
        <f>IF('TMP Paste'!$F1308="","",N('TMP Paste'!$G1308))</f>
        <v/>
      </c>
      <c r="AL1308" t="str">
        <f>IF('TMP Paste'!$F1308="","",IF('TMP Paste'!$M1308="",$AL1307,'TMP Paste'!$M1308))</f>
        <v/>
      </c>
      <c r="AM1308" t="str">
        <f>IF('TMP Paste'!$F1308="","",IF('TMP Paste'!$N1308="",$AM1307,'TMP Paste'!$N1308))</f>
        <v/>
      </c>
      <c r="AN1308" t="str">
        <f>IF('TMP Paste'!$F1308="","",IF('TMP Paste'!$O1308="",$AN1307,'TMP Paste'!$O1308))</f>
        <v/>
      </c>
      <c r="AO1308" t="str">
        <f>IF('TMP Paste'!$F1308="","",IF('TMP Paste'!$P1308="",$AO1307,'TMP Paste'!$P1308))</f>
        <v/>
      </c>
      <c r="AP1308" t="str">
        <f t="shared" si="125"/>
        <v/>
      </c>
      <c r="AQ1308" t="str">
        <f>IF($AS1308="","",TRIM(IF(COUNTIFS(Calc!$B$2:$B$1601,ROW()-1,Calc!$C$2:$C$1601,"&lt;1")&gt;0,"Ada PO tanpa Koli - cek TMP. ","")&amp;IF(OR($AU1308="",$AU1308&lt;=0),"Volume kosong/0 - dimensi dikosongkan. ","")&amp;IF(AND($AU1308&lt;&gt;"",$AU1308&gt;=1000000),"Volume &gt;= 1.000.000 cm3 (di luar aturan) - dimensi dikosongkan. ","")&amp;IF(LEN($R1308)&gt;500,"R &gt; 500 karakter.","")))</f>
        <v/>
      </c>
      <c r="AS1308" t="str">
        <f>IFERROR(MATCH(ROW()-1,Calc!$J$2:$J$1601,0),"")</f>
        <v/>
      </c>
      <c r="AT1308" t="str">
        <f>IFERROR(MATCH(ROW()-1,Calc!$K$2:$K$1601,0),"")</f>
        <v/>
      </c>
      <c r="AU1308" t="str">
        <f>IF($AS1308="","",IFERROR(INDEX('TMP Paste'!$D$2:$D$1601,$AS1308)*1000000/$AB1308,""))</f>
        <v/>
      </c>
    </row>
    <row r="1309" spans="1:47">
      <c r="A1309" t="str">
        <f>IF($AS1309="","",INDEX('TMP Paste'!$B$2:$B$1601,$AS1309))</f>
        <v/>
      </c>
      <c r="B1309" t="str">
        <f>IF($AS1309="","",Config!$B$14)</f>
        <v/>
      </c>
      <c r="C1309" t="str">
        <f>IF($AS1309="","",Config!$B$15)</f>
        <v/>
      </c>
      <c r="D1309" t="str">
        <f>IF($AS1309="","",INDEX('TMP Paste'!$B$2:$B$1601,$AS1309))</f>
        <v/>
      </c>
      <c r="E1309" t="str">
        <f>IF($AS1309="","",Config!$B$27)</f>
        <v/>
      </c>
      <c r="F1309" t="str">
        <f>IF($AS1309="","",Config!$B$9)</f>
        <v/>
      </c>
      <c r="G1309" t="str">
        <f>IF($AS1309="","",Config!$B$10)</f>
        <v/>
      </c>
      <c r="H1309" t="str">
        <f>IF($AS1309="","",Config!$B$11)</f>
        <v/>
      </c>
      <c r="I1309" t="str">
        <f>IF($AS1309="","",Config!$B$16)</f>
        <v/>
      </c>
      <c r="J1309" t="str">
        <f>IF($AS1309="","",INDEX('TMP Paste'!$A$2:$A$1601,$AS1309))</f>
        <v/>
      </c>
      <c r="K1309" t="str">
        <f>IF($AS1309="","",INDEX('TMP Paste'!$L$2:$L$1601,$AS1309))</f>
        <v/>
      </c>
      <c r="L1309" t="str">
        <f>IF($AS1309="","",INDEX('TMP Paste'!$I$2:$I$1601,$AS1309))</f>
        <v/>
      </c>
      <c r="M1309" t="str">
        <f>IF($AS1309="","",Config!$B$16)</f>
        <v/>
      </c>
      <c r="N1309" t="str">
        <f t="shared" si="120"/>
        <v/>
      </c>
      <c r="O1309" t="str">
        <f>IF($AS1309="","",INDEX('TMP Paste'!$K$2:$K$1601,$AS1309))</f>
        <v/>
      </c>
      <c r="P1309" t="str">
        <f t="shared" si="121"/>
        <v/>
      </c>
      <c r="Q1309" t="str">
        <f>IF($AS1309="","",INDEX('TMP Paste'!$J$2:$J$1601,$AS1309))</f>
        <v/>
      </c>
      <c r="R1309" t="str">
        <f>IF($AS1309="","",Config!$B$24)</f>
        <v/>
      </c>
      <c r="S1309" t="str">
        <f ca="1">IF($AS1309="","",TEXT(Config!$B$4,"yyyy-mm-dd"))</f>
        <v/>
      </c>
      <c r="T1309" t="str">
        <f>IF($AS1309="","",Config!$B$17)</f>
        <v/>
      </c>
      <c r="U1309" t="str">
        <f>IF($AS1309="","",Config!$B$18)</f>
        <v/>
      </c>
      <c r="V1309" t="str">
        <f>IF($AS1309="","",Config!$B$19)</f>
        <v/>
      </c>
      <c r="W1309" t="str">
        <f>IF($AS1309="","",INDEX('TMP Paste'!$C$2:$C$1601,$AS1309))</f>
        <v/>
      </c>
      <c r="X1309" t="str">
        <f>IF($AS1309="","",Config!$B$29)</f>
        <v/>
      </c>
      <c r="Y1309" t="str">
        <f>IF($AT1309="","",INDEX(Calc!$I$2:$I$1601,$AT1309)&amp;" - "&amp;INDEX(Calc!$D$2:$D$1601,$AT1309)&amp;" koli")</f>
        <v/>
      </c>
      <c r="Z1309" t="str">
        <f>IF($AS1309="","",Config!$B$21)</f>
        <v/>
      </c>
      <c r="AA1309" t="str">
        <f>IF($AS1309="","",Config!$B$22)</f>
        <v/>
      </c>
      <c r="AB1309" t="str">
        <f>IF($AT1309="","",INDEX(Calc!$D$2:$D$1601,$AT1309))</f>
        <v/>
      </c>
      <c r="AC1309" t="str">
        <f>IF($AT1309="","",INDEX(Calc!$G$2:$G$1601,$AT1309))</f>
        <v/>
      </c>
      <c r="AD1309" t="str">
        <f>IF($AS1309="","",Config!$B$23)</f>
        <v/>
      </c>
      <c r="AE1309" t="str">
        <f>IF($AS1309="","",Config!$B$28)</f>
        <v/>
      </c>
      <c r="AF1309" t="str">
        <f t="shared" si="122"/>
        <v/>
      </c>
      <c r="AG1309" t="str">
        <f t="shared" si="123"/>
        <v/>
      </c>
      <c r="AH1309" t="str">
        <f t="shared" si="124"/>
        <v/>
      </c>
      <c r="AI1309" t="str">
        <f>IF($AG1309="","",SUMIF($AG$2:$AG1309,$AG1309,$AH$2:$AH1309))</f>
        <v/>
      </c>
      <c r="AJ1309" t="str">
        <f>IF('TMP Paste'!$F1309="","",IF('TMP Paste'!$B1309="",$AJ1308,'TMP Paste'!$B1309))</f>
        <v/>
      </c>
      <c r="AK1309" t="str">
        <f>IF('TMP Paste'!$F1309="","",N('TMP Paste'!$G1309))</f>
        <v/>
      </c>
      <c r="AL1309" t="str">
        <f>IF('TMP Paste'!$F1309="","",IF('TMP Paste'!$M1309="",$AL1308,'TMP Paste'!$M1309))</f>
        <v/>
      </c>
      <c r="AM1309" t="str">
        <f>IF('TMP Paste'!$F1309="","",IF('TMP Paste'!$N1309="",$AM1308,'TMP Paste'!$N1309))</f>
        <v/>
      </c>
      <c r="AN1309" t="str">
        <f>IF('TMP Paste'!$F1309="","",IF('TMP Paste'!$O1309="",$AN1308,'TMP Paste'!$O1309))</f>
        <v/>
      </c>
      <c r="AO1309" t="str">
        <f>IF('TMP Paste'!$F1309="","",IF('TMP Paste'!$P1309="",$AO1308,'TMP Paste'!$P1309))</f>
        <v/>
      </c>
      <c r="AP1309" t="str">
        <f t="shared" si="125"/>
        <v/>
      </c>
      <c r="AQ1309" t="str">
        <f>IF($AS1309="","",TRIM(IF(COUNTIFS(Calc!$B$2:$B$1601,ROW()-1,Calc!$C$2:$C$1601,"&lt;1")&gt;0,"Ada PO tanpa Koli - cek TMP. ","")&amp;IF(OR($AU1309="",$AU1309&lt;=0),"Volume kosong/0 - dimensi dikosongkan. ","")&amp;IF(AND($AU1309&lt;&gt;"",$AU1309&gt;=1000000),"Volume &gt;= 1.000.000 cm3 (di luar aturan) - dimensi dikosongkan. ","")&amp;IF(LEN($R1309)&gt;500,"R &gt; 500 karakter.","")))</f>
        <v/>
      </c>
      <c r="AS1309" t="str">
        <f>IFERROR(MATCH(ROW()-1,Calc!$J$2:$J$1601,0),"")</f>
        <v/>
      </c>
      <c r="AT1309" t="str">
        <f>IFERROR(MATCH(ROW()-1,Calc!$K$2:$K$1601,0),"")</f>
        <v/>
      </c>
      <c r="AU1309" t="str">
        <f>IF($AS1309="","",IFERROR(INDEX('TMP Paste'!$D$2:$D$1601,$AS1309)*1000000/$AB1309,""))</f>
        <v/>
      </c>
    </row>
    <row r="1310" spans="1:47">
      <c r="A1310" t="str">
        <f>IF($AS1310="","",INDEX('TMP Paste'!$B$2:$B$1601,$AS1310))</f>
        <v/>
      </c>
      <c r="B1310" t="str">
        <f>IF($AS1310="","",Config!$B$14)</f>
        <v/>
      </c>
      <c r="C1310" t="str">
        <f>IF($AS1310="","",Config!$B$15)</f>
        <v/>
      </c>
      <c r="D1310" t="str">
        <f>IF($AS1310="","",INDEX('TMP Paste'!$B$2:$B$1601,$AS1310))</f>
        <v/>
      </c>
      <c r="E1310" t="str">
        <f>IF($AS1310="","",Config!$B$27)</f>
        <v/>
      </c>
      <c r="F1310" t="str">
        <f>IF($AS1310="","",Config!$B$9)</f>
        <v/>
      </c>
      <c r="G1310" t="str">
        <f>IF($AS1310="","",Config!$B$10)</f>
        <v/>
      </c>
      <c r="H1310" t="str">
        <f>IF($AS1310="","",Config!$B$11)</f>
        <v/>
      </c>
      <c r="I1310" t="str">
        <f>IF($AS1310="","",Config!$B$16)</f>
        <v/>
      </c>
      <c r="J1310" t="str">
        <f>IF($AS1310="","",INDEX('TMP Paste'!$A$2:$A$1601,$AS1310))</f>
        <v/>
      </c>
      <c r="K1310" t="str">
        <f>IF($AS1310="","",INDEX('TMP Paste'!$L$2:$L$1601,$AS1310))</f>
        <v/>
      </c>
      <c r="L1310" t="str">
        <f>IF($AS1310="","",INDEX('TMP Paste'!$I$2:$I$1601,$AS1310))</f>
        <v/>
      </c>
      <c r="M1310" t="str">
        <f>IF($AS1310="","",Config!$B$16)</f>
        <v/>
      </c>
      <c r="N1310" t="str">
        <f t="shared" si="120"/>
        <v/>
      </c>
      <c r="O1310" t="str">
        <f>IF($AS1310="","",INDEX('TMP Paste'!$K$2:$K$1601,$AS1310))</f>
        <v/>
      </c>
      <c r="P1310" t="str">
        <f t="shared" si="121"/>
        <v/>
      </c>
      <c r="Q1310" t="str">
        <f>IF($AS1310="","",INDEX('TMP Paste'!$J$2:$J$1601,$AS1310))</f>
        <v/>
      </c>
      <c r="R1310" t="str">
        <f>IF($AS1310="","",Config!$B$24)</f>
        <v/>
      </c>
      <c r="S1310" t="str">
        <f ca="1">IF($AS1310="","",TEXT(Config!$B$4,"yyyy-mm-dd"))</f>
        <v/>
      </c>
      <c r="T1310" t="str">
        <f>IF($AS1310="","",Config!$B$17)</f>
        <v/>
      </c>
      <c r="U1310" t="str">
        <f>IF($AS1310="","",Config!$B$18)</f>
        <v/>
      </c>
      <c r="V1310" t="str">
        <f>IF($AS1310="","",Config!$B$19)</f>
        <v/>
      </c>
      <c r="W1310" t="str">
        <f>IF($AS1310="","",INDEX('TMP Paste'!$C$2:$C$1601,$AS1310))</f>
        <v/>
      </c>
      <c r="X1310" t="str">
        <f>IF($AS1310="","",Config!$B$29)</f>
        <v/>
      </c>
      <c r="Y1310" t="str">
        <f>IF($AT1310="","",INDEX(Calc!$I$2:$I$1601,$AT1310)&amp;" - "&amp;INDEX(Calc!$D$2:$D$1601,$AT1310)&amp;" koli")</f>
        <v/>
      </c>
      <c r="Z1310" t="str">
        <f>IF($AS1310="","",Config!$B$21)</f>
        <v/>
      </c>
      <c r="AA1310" t="str">
        <f>IF($AS1310="","",Config!$B$22)</f>
        <v/>
      </c>
      <c r="AB1310" t="str">
        <f>IF($AT1310="","",INDEX(Calc!$D$2:$D$1601,$AT1310))</f>
        <v/>
      </c>
      <c r="AC1310" t="str">
        <f>IF($AT1310="","",INDEX(Calc!$G$2:$G$1601,$AT1310))</f>
        <v/>
      </c>
      <c r="AD1310" t="str">
        <f>IF($AS1310="","",Config!$B$23)</f>
        <v/>
      </c>
      <c r="AE1310" t="str">
        <f>IF($AS1310="","",Config!$B$28)</f>
        <v/>
      </c>
      <c r="AF1310" t="str">
        <f t="shared" si="122"/>
        <v/>
      </c>
      <c r="AG1310" t="str">
        <f t="shared" si="123"/>
        <v/>
      </c>
      <c r="AH1310" t="str">
        <f t="shared" si="124"/>
        <v/>
      </c>
      <c r="AI1310" t="str">
        <f>IF($AG1310="","",SUMIF($AG$2:$AG1310,$AG1310,$AH$2:$AH1310))</f>
        <v/>
      </c>
      <c r="AJ1310" t="str">
        <f>IF('TMP Paste'!$F1310="","",IF('TMP Paste'!$B1310="",$AJ1309,'TMP Paste'!$B1310))</f>
        <v/>
      </c>
      <c r="AK1310" t="str">
        <f>IF('TMP Paste'!$F1310="","",N('TMP Paste'!$G1310))</f>
        <v/>
      </c>
      <c r="AL1310" t="str">
        <f>IF('TMP Paste'!$F1310="","",IF('TMP Paste'!$M1310="",$AL1309,'TMP Paste'!$M1310))</f>
        <v/>
      </c>
      <c r="AM1310" t="str">
        <f>IF('TMP Paste'!$F1310="","",IF('TMP Paste'!$N1310="",$AM1309,'TMP Paste'!$N1310))</f>
        <v/>
      </c>
      <c r="AN1310" t="str">
        <f>IF('TMP Paste'!$F1310="","",IF('TMP Paste'!$O1310="",$AN1309,'TMP Paste'!$O1310))</f>
        <v/>
      </c>
      <c r="AO1310" t="str">
        <f>IF('TMP Paste'!$F1310="","",IF('TMP Paste'!$P1310="",$AO1309,'TMP Paste'!$P1310))</f>
        <v/>
      </c>
      <c r="AP1310" t="str">
        <f t="shared" si="125"/>
        <v/>
      </c>
      <c r="AQ1310" t="str">
        <f>IF($AS1310="","",TRIM(IF(COUNTIFS(Calc!$B$2:$B$1601,ROW()-1,Calc!$C$2:$C$1601,"&lt;1")&gt;0,"Ada PO tanpa Koli - cek TMP. ","")&amp;IF(OR($AU1310="",$AU1310&lt;=0),"Volume kosong/0 - dimensi dikosongkan. ","")&amp;IF(AND($AU1310&lt;&gt;"",$AU1310&gt;=1000000),"Volume &gt;= 1.000.000 cm3 (di luar aturan) - dimensi dikosongkan. ","")&amp;IF(LEN($R1310)&gt;500,"R &gt; 500 karakter.","")))</f>
        <v/>
      </c>
      <c r="AS1310" t="str">
        <f>IFERROR(MATCH(ROW()-1,Calc!$J$2:$J$1601,0),"")</f>
        <v/>
      </c>
      <c r="AT1310" t="str">
        <f>IFERROR(MATCH(ROW()-1,Calc!$K$2:$K$1601,0),"")</f>
        <v/>
      </c>
      <c r="AU1310" t="str">
        <f>IF($AS1310="","",IFERROR(INDEX('TMP Paste'!$D$2:$D$1601,$AS1310)*1000000/$AB1310,""))</f>
        <v/>
      </c>
    </row>
    <row r="1311" spans="1:47">
      <c r="A1311" t="str">
        <f>IF($AS1311="","",INDEX('TMP Paste'!$B$2:$B$1601,$AS1311))</f>
        <v/>
      </c>
      <c r="B1311" t="str">
        <f>IF($AS1311="","",Config!$B$14)</f>
        <v/>
      </c>
      <c r="C1311" t="str">
        <f>IF($AS1311="","",Config!$B$15)</f>
        <v/>
      </c>
      <c r="D1311" t="str">
        <f>IF($AS1311="","",INDEX('TMP Paste'!$B$2:$B$1601,$AS1311))</f>
        <v/>
      </c>
      <c r="E1311" t="str">
        <f>IF($AS1311="","",Config!$B$27)</f>
        <v/>
      </c>
      <c r="F1311" t="str">
        <f>IF($AS1311="","",Config!$B$9)</f>
        <v/>
      </c>
      <c r="G1311" t="str">
        <f>IF($AS1311="","",Config!$B$10)</f>
        <v/>
      </c>
      <c r="H1311" t="str">
        <f>IF($AS1311="","",Config!$B$11)</f>
        <v/>
      </c>
      <c r="I1311" t="str">
        <f>IF($AS1311="","",Config!$B$16)</f>
        <v/>
      </c>
      <c r="J1311" t="str">
        <f>IF($AS1311="","",INDEX('TMP Paste'!$A$2:$A$1601,$AS1311))</f>
        <v/>
      </c>
      <c r="K1311" t="str">
        <f>IF($AS1311="","",INDEX('TMP Paste'!$L$2:$L$1601,$AS1311))</f>
        <v/>
      </c>
      <c r="L1311" t="str">
        <f>IF($AS1311="","",INDEX('TMP Paste'!$I$2:$I$1601,$AS1311))</f>
        <v/>
      </c>
      <c r="M1311" t="str">
        <f>IF($AS1311="","",Config!$B$16)</f>
        <v/>
      </c>
      <c r="N1311" t="str">
        <f t="shared" si="120"/>
        <v/>
      </c>
      <c r="O1311" t="str">
        <f>IF($AS1311="","",INDEX('TMP Paste'!$K$2:$K$1601,$AS1311))</f>
        <v/>
      </c>
      <c r="P1311" t="str">
        <f t="shared" si="121"/>
        <v/>
      </c>
      <c r="Q1311" t="str">
        <f>IF($AS1311="","",INDEX('TMP Paste'!$J$2:$J$1601,$AS1311))</f>
        <v/>
      </c>
      <c r="R1311" t="str">
        <f>IF($AS1311="","",Config!$B$24)</f>
        <v/>
      </c>
      <c r="S1311" t="str">
        <f ca="1">IF($AS1311="","",TEXT(Config!$B$4,"yyyy-mm-dd"))</f>
        <v/>
      </c>
      <c r="T1311" t="str">
        <f>IF($AS1311="","",Config!$B$17)</f>
        <v/>
      </c>
      <c r="U1311" t="str">
        <f>IF($AS1311="","",Config!$B$18)</f>
        <v/>
      </c>
      <c r="V1311" t="str">
        <f>IF($AS1311="","",Config!$B$19)</f>
        <v/>
      </c>
      <c r="W1311" t="str">
        <f>IF($AS1311="","",INDEX('TMP Paste'!$C$2:$C$1601,$AS1311))</f>
        <v/>
      </c>
      <c r="X1311" t="str">
        <f>IF($AS1311="","",Config!$B$29)</f>
        <v/>
      </c>
      <c r="Y1311" t="str">
        <f>IF($AT1311="","",INDEX(Calc!$I$2:$I$1601,$AT1311)&amp;" - "&amp;INDEX(Calc!$D$2:$D$1601,$AT1311)&amp;" koli")</f>
        <v/>
      </c>
      <c r="Z1311" t="str">
        <f>IF($AS1311="","",Config!$B$21)</f>
        <v/>
      </c>
      <c r="AA1311" t="str">
        <f>IF($AS1311="","",Config!$B$22)</f>
        <v/>
      </c>
      <c r="AB1311" t="str">
        <f>IF($AT1311="","",INDEX(Calc!$D$2:$D$1601,$AT1311))</f>
        <v/>
      </c>
      <c r="AC1311" t="str">
        <f>IF($AT1311="","",INDEX(Calc!$G$2:$G$1601,$AT1311))</f>
        <v/>
      </c>
      <c r="AD1311" t="str">
        <f>IF($AS1311="","",Config!$B$23)</f>
        <v/>
      </c>
      <c r="AE1311" t="str">
        <f>IF($AS1311="","",Config!$B$28)</f>
        <v/>
      </c>
      <c r="AF1311" t="str">
        <f t="shared" si="122"/>
        <v/>
      </c>
      <c r="AG1311" t="str">
        <f t="shared" si="123"/>
        <v/>
      </c>
      <c r="AH1311" t="str">
        <f t="shared" si="124"/>
        <v/>
      </c>
      <c r="AI1311" t="str">
        <f>IF($AG1311="","",SUMIF($AG$2:$AG1311,$AG1311,$AH$2:$AH1311))</f>
        <v/>
      </c>
      <c r="AJ1311" t="str">
        <f>IF('TMP Paste'!$F1311="","",IF('TMP Paste'!$B1311="",$AJ1310,'TMP Paste'!$B1311))</f>
        <v/>
      </c>
      <c r="AK1311" t="str">
        <f>IF('TMP Paste'!$F1311="","",N('TMP Paste'!$G1311))</f>
        <v/>
      </c>
      <c r="AL1311" t="str">
        <f>IF('TMP Paste'!$F1311="","",IF('TMP Paste'!$M1311="",$AL1310,'TMP Paste'!$M1311))</f>
        <v/>
      </c>
      <c r="AM1311" t="str">
        <f>IF('TMP Paste'!$F1311="","",IF('TMP Paste'!$N1311="",$AM1310,'TMP Paste'!$N1311))</f>
        <v/>
      </c>
      <c r="AN1311" t="str">
        <f>IF('TMP Paste'!$F1311="","",IF('TMP Paste'!$O1311="",$AN1310,'TMP Paste'!$O1311))</f>
        <v/>
      </c>
      <c r="AO1311" t="str">
        <f>IF('TMP Paste'!$F1311="","",IF('TMP Paste'!$P1311="",$AO1310,'TMP Paste'!$P1311))</f>
        <v/>
      </c>
      <c r="AP1311" t="str">
        <f t="shared" si="125"/>
        <v/>
      </c>
      <c r="AQ1311" t="str">
        <f>IF($AS1311="","",TRIM(IF(COUNTIFS(Calc!$B$2:$B$1601,ROW()-1,Calc!$C$2:$C$1601,"&lt;1")&gt;0,"Ada PO tanpa Koli - cek TMP. ","")&amp;IF(OR($AU1311="",$AU1311&lt;=0),"Volume kosong/0 - dimensi dikosongkan. ","")&amp;IF(AND($AU1311&lt;&gt;"",$AU1311&gt;=1000000),"Volume &gt;= 1.000.000 cm3 (di luar aturan) - dimensi dikosongkan. ","")&amp;IF(LEN($R1311)&gt;500,"R &gt; 500 karakter.","")))</f>
        <v/>
      </c>
      <c r="AS1311" t="str">
        <f>IFERROR(MATCH(ROW()-1,Calc!$J$2:$J$1601,0),"")</f>
        <v/>
      </c>
      <c r="AT1311" t="str">
        <f>IFERROR(MATCH(ROW()-1,Calc!$K$2:$K$1601,0),"")</f>
        <v/>
      </c>
      <c r="AU1311" t="str">
        <f>IF($AS1311="","",IFERROR(INDEX('TMP Paste'!$D$2:$D$1601,$AS1311)*1000000/$AB1311,""))</f>
        <v/>
      </c>
    </row>
    <row r="1312" spans="1:47">
      <c r="A1312" t="str">
        <f>IF($AS1312="","",INDEX('TMP Paste'!$B$2:$B$1601,$AS1312))</f>
        <v/>
      </c>
      <c r="B1312" t="str">
        <f>IF($AS1312="","",Config!$B$14)</f>
        <v/>
      </c>
      <c r="C1312" t="str">
        <f>IF($AS1312="","",Config!$B$15)</f>
        <v/>
      </c>
      <c r="D1312" t="str">
        <f>IF($AS1312="","",INDEX('TMP Paste'!$B$2:$B$1601,$AS1312))</f>
        <v/>
      </c>
      <c r="E1312" t="str">
        <f>IF($AS1312="","",Config!$B$27)</f>
        <v/>
      </c>
      <c r="F1312" t="str">
        <f>IF($AS1312="","",Config!$B$9)</f>
        <v/>
      </c>
      <c r="G1312" t="str">
        <f>IF($AS1312="","",Config!$B$10)</f>
        <v/>
      </c>
      <c r="H1312" t="str">
        <f>IF($AS1312="","",Config!$B$11)</f>
        <v/>
      </c>
      <c r="I1312" t="str">
        <f>IF($AS1312="","",Config!$B$16)</f>
        <v/>
      </c>
      <c r="J1312" t="str">
        <f>IF($AS1312="","",INDEX('TMP Paste'!$A$2:$A$1601,$AS1312))</f>
        <v/>
      </c>
      <c r="K1312" t="str">
        <f>IF($AS1312="","",INDEX('TMP Paste'!$L$2:$L$1601,$AS1312))</f>
        <v/>
      </c>
      <c r="L1312" t="str">
        <f>IF($AS1312="","",INDEX('TMP Paste'!$I$2:$I$1601,$AS1312))</f>
        <v/>
      </c>
      <c r="M1312" t="str">
        <f>IF($AS1312="","",Config!$B$16)</f>
        <v/>
      </c>
      <c r="N1312" t="str">
        <f t="shared" si="120"/>
        <v/>
      </c>
      <c r="O1312" t="str">
        <f>IF($AS1312="","",INDEX('TMP Paste'!$K$2:$K$1601,$AS1312))</f>
        <v/>
      </c>
      <c r="P1312" t="str">
        <f t="shared" si="121"/>
        <v/>
      </c>
      <c r="Q1312" t="str">
        <f>IF($AS1312="","",INDEX('TMP Paste'!$J$2:$J$1601,$AS1312))</f>
        <v/>
      </c>
      <c r="R1312" t="str">
        <f>IF($AS1312="","",Config!$B$24)</f>
        <v/>
      </c>
      <c r="S1312" t="str">
        <f ca="1">IF($AS1312="","",TEXT(Config!$B$4,"yyyy-mm-dd"))</f>
        <v/>
      </c>
      <c r="T1312" t="str">
        <f>IF($AS1312="","",Config!$B$17)</f>
        <v/>
      </c>
      <c r="U1312" t="str">
        <f>IF($AS1312="","",Config!$B$18)</f>
        <v/>
      </c>
      <c r="V1312" t="str">
        <f>IF($AS1312="","",Config!$B$19)</f>
        <v/>
      </c>
      <c r="W1312" t="str">
        <f>IF($AS1312="","",INDEX('TMP Paste'!$C$2:$C$1601,$AS1312))</f>
        <v/>
      </c>
      <c r="X1312" t="str">
        <f>IF($AS1312="","",Config!$B$29)</f>
        <v/>
      </c>
      <c r="Y1312" t="str">
        <f>IF($AT1312="","",INDEX(Calc!$I$2:$I$1601,$AT1312)&amp;" - "&amp;INDEX(Calc!$D$2:$D$1601,$AT1312)&amp;" koli")</f>
        <v/>
      </c>
      <c r="Z1312" t="str">
        <f>IF($AS1312="","",Config!$B$21)</f>
        <v/>
      </c>
      <c r="AA1312" t="str">
        <f>IF($AS1312="","",Config!$B$22)</f>
        <v/>
      </c>
      <c r="AB1312" t="str">
        <f>IF($AT1312="","",INDEX(Calc!$D$2:$D$1601,$AT1312))</f>
        <v/>
      </c>
      <c r="AC1312" t="str">
        <f>IF($AT1312="","",INDEX(Calc!$G$2:$G$1601,$AT1312))</f>
        <v/>
      </c>
      <c r="AD1312" t="str">
        <f>IF($AS1312="","",Config!$B$23)</f>
        <v/>
      </c>
      <c r="AE1312" t="str">
        <f>IF($AS1312="","",Config!$B$28)</f>
        <v/>
      </c>
      <c r="AF1312" t="str">
        <f t="shared" si="122"/>
        <v/>
      </c>
      <c r="AG1312" t="str">
        <f t="shared" si="123"/>
        <v/>
      </c>
      <c r="AH1312" t="str">
        <f t="shared" si="124"/>
        <v/>
      </c>
      <c r="AI1312" t="str">
        <f>IF($AG1312="","",SUMIF($AG$2:$AG1312,$AG1312,$AH$2:$AH1312))</f>
        <v/>
      </c>
      <c r="AJ1312" t="str">
        <f>IF('TMP Paste'!$F1312="","",IF('TMP Paste'!$B1312="",$AJ1311,'TMP Paste'!$B1312))</f>
        <v/>
      </c>
      <c r="AK1312" t="str">
        <f>IF('TMP Paste'!$F1312="","",N('TMP Paste'!$G1312))</f>
        <v/>
      </c>
      <c r="AL1312" t="str">
        <f>IF('TMP Paste'!$F1312="","",IF('TMP Paste'!$M1312="",$AL1311,'TMP Paste'!$M1312))</f>
        <v/>
      </c>
      <c r="AM1312" t="str">
        <f>IF('TMP Paste'!$F1312="","",IF('TMP Paste'!$N1312="",$AM1311,'TMP Paste'!$N1312))</f>
        <v/>
      </c>
      <c r="AN1312" t="str">
        <f>IF('TMP Paste'!$F1312="","",IF('TMP Paste'!$O1312="",$AN1311,'TMP Paste'!$O1312))</f>
        <v/>
      </c>
      <c r="AO1312" t="str">
        <f>IF('TMP Paste'!$F1312="","",IF('TMP Paste'!$P1312="",$AO1311,'TMP Paste'!$P1312))</f>
        <v/>
      </c>
      <c r="AP1312" t="str">
        <f t="shared" si="125"/>
        <v/>
      </c>
      <c r="AQ1312" t="str">
        <f>IF($AS1312="","",TRIM(IF(COUNTIFS(Calc!$B$2:$B$1601,ROW()-1,Calc!$C$2:$C$1601,"&lt;1")&gt;0,"Ada PO tanpa Koli - cek TMP. ","")&amp;IF(OR($AU1312="",$AU1312&lt;=0),"Volume kosong/0 - dimensi dikosongkan. ","")&amp;IF(AND($AU1312&lt;&gt;"",$AU1312&gt;=1000000),"Volume &gt;= 1.000.000 cm3 (di luar aturan) - dimensi dikosongkan. ","")&amp;IF(LEN($R1312)&gt;500,"R &gt; 500 karakter.","")))</f>
        <v/>
      </c>
      <c r="AS1312" t="str">
        <f>IFERROR(MATCH(ROW()-1,Calc!$J$2:$J$1601,0),"")</f>
        <v/>
      </c>
      <c r="AT1312" t="str">
        <f>IFERROR(MATCH(ROW()-1,Calc!$K$2:$K$1601,0),"")</f>
        <v/>
      </c>
      <c r="AU1312" t="str">
        <f>IF($AS1312="","",IFERROR(INDEX('TMP Paste'!$D$2:$D$1601,$AS1312)*1000000/$AB1312,""))</f>
        <v/>
      </c>
    </row>
    <row r="1313" spans="1:47">
      <c r="A1313" t="str">
        <f>IF($AS1313="","",INDEX('TMP Paste'!$B$2:$B$1601,$AS1313))</f>
        <v/>
      </c>
      <c r="B1313" t="str">
        <f>IF($AS1313="","",Config!$B$14)</f>
        <v/>
      </c>
      <c r="C1313" t="str">
        <f>IF($AS1313="","",Config!$B$15)</f>
        <v/>
      </c>
      <c r="D1313" t="str">
        <f>IF($AS1313="","",INDEX('TMP Paste'!$B$2:$B$1601,$AS1313))</f>
        <v/>
      </c>
      <c r="E1313" t="str">
        <f>IF($AS1313="","",Config!$B$27)</f>
        <v/>
      </c>
      <c r="F1313" t="str">
        <f>IF($AS1313="","",Config!$B$9)</f>
        <v/>
      </c>
      <c r="G1313" t="str">
        <f>IF($AS1313="","",Config!$B$10)</f>
        <v/>
      </c>
      <c r="H1313" t="str">
        <f>IF($AS1313="","",Config!$B$11)</f>
        <v/>
      </c>
      <c r="I1313" t="str">
        <f>IF($AS1313="","",Config!$B$16)</f>
        <v/>
      </c>
      <c r="J1313" t="str">
        <f>IF($AS1313="","",INDEX('TMP Paste'!$A$2:$A$1601,$AS1313))</f>
        <v/>
      </c>
      <c r="K1313" t="str">
        <f>IF($AS1313="","",INDEX('TMP Paste'!$L$2:$L$1601,$AS1313))</f>
        <v/>
      </c>
      <c r="L1313" t="str">
        <f>IF($AS1313="","",INDEX('TMP Paste'!$I$2:$I$1601,$AS1313))</f>
        <v/>
      </c>
      <c r="M1313" t="str">
        <f>IF($AS1313="","",Config!$B$16)</f>
        <v/>
      </c>
      <c r="N1313" t="str">
        <f t="shared" si="120"/>
        <v/>
      </c>
      <c r="O1313" t="str">
        <f>IF($AS1313="","",INDEX('TMP Paste'!$K$2:$K$1601,$AS1313))</f>
        <v/>
      </c>
      <c r="P1313" t="str">
        <f t="shared" si="121"/>
        <v/>
      </c>
      <c r="Q1313" t="str">
        <f>IF($AS1313="","",INDEX('TMP Paste'!$J$2:$J$1601,$AS1313))</f>
        <v/>
      </c>
      <c r="R1313" t="str">
        <f>IF($AS1313="","",Config!$B$24)</f>
        <v/>
      </c>
      <c r="S1313" t="str">
        <f ca="1">IF($AS1313="","",TEXT(Config!$B$4,"yyyy-mm-dd"))</f>
        <v/>
      </c>
      <c r="T1313" t="str">
        <f>IF($AS1313="","",Config!$B$17)</f>
        <v/>
      </c>
      <c r="U1313" t="str">
        <f>IF($AS1313="","",Config!$B$18)</f>
        <v/>
      </c>
      <c r="V1313" t="str">
        <f>IF($AS1313="","",Config!$B$19)</f>
        <v/>
      </c>
      <c r="W1313" t="str">
        <f>IF($AS1313="","",INDEX('TMP Paste'!$C$2:$C$1601,$AS1313))</f>
        <v/>
      </c>
      <c r="X1313" t="str">
        <f>IF($AS1313="","",Config!$B$29)</f>
        <v/>
      </c>
      <c r="Y1313" t="str">
        <f>IF($AT1313="","",INDEX(Calc!$I$2:$I$1601,$AT1313)&amp;" - "&amp;INDEX(Calc!$D$2:$D$1601,$AT1313)&amp;" koli")</f>
        <v/>
      </c>
      <c r="Z1313" t="str">
        <f>IF($AS1313="","",Config!$B$21)</f>
        <v/>
      </c>
      <c r="AA1313" t="str">
        <f>IF($AS1313="","",Config!$B$22)</f>
        <v/>
      </c>
      <c r="AB1313" t="str">
        <f>IF($AT1313="","",INDEX(Calc!$D$2:$D$1601,$AT1313))</f>
        <v/>
      </c>
      <c r="AC1313" t="str">
        <f>IF($AT1313="","",INDEX(Calc!$G$2:$G$1601,$AT1313))</f>
        <v/>
      </c>
      <c r="AD1313" t="str">
        <f>IF($AS1313="","",Config!$B$23)</f>
        <v/>
      </c>
      <c r="AE1313" t="str">
        <f>IF($AS1313="","",Config!$B$28)</f>
        <v/>
      </c>
      <c r="AF1313" t="str">
        <f t="shared" si="122"/>
        <v/>
      </c>
      <c r="AG1313" t="str">
        <f t="shared" si="123"/>
        <v/>
      </c>
      <c r="AH1313" t="str">
        <f t="shared" si="124"/>
        <v/>
      </c>
      <c r="AI1313" t="str">
        <f>IF($AG1313="","",SUMIF($AG$2:$AG1313,$AG1313,$AH$2:$AH1313))</f>
        <v/>
      </c>
      <c r="AJ1313" t="str">
        <f>IF('TMP Paste'!$F1313="","",IF('TMP Paste'!$B1313="",$AJ1312,'TMP Paste'!$B1313))</f>
        <v/>
      </c>
      <c r="AK1313" t="str">
        <f>IF('TMP Paste'!$F1313="","",N('TMP Paste'!$G1313))</f>
        <v/>
      </c>
      <c r="AL1313" t="str">
        <f>IF('TMP Paste'!$F1313="","",IF('TMP Paste'!$M1313="",$AL1312,'TMP Paste'!$M1313))</f>
        <v/>
      </c>
      <c r="AM1313" t="str">
        <f>IF('TMP Paste'!$F1313="","",IF('TMP Paste'!$N1313="",$AM1312,'TMP Paste'!$N1313))</f>
        <v/>
      </c>
      <c r="AN1313" t="str">
        <f>IF('TMP Paste'!$F1313="","",IF('TMP Paste'!$O1313="",$AN1312,'TMP Paste'!$O1313))</f>
        <v/>
      </c>
      <c r="AO1313" t="str">
        <f>IF('TMP Paste'!$F1313="","",IF('TMP Paste'!$P1313="",$AO1312,'TMP Paste'!$P1313))</f>
        <v/>
      </c>
      <c r="AP1313" t="str">
        <f t="shared" si="125"/>
        <v/>
      </c>
      <c r="AQ1313" t="str">
        <f>IF($AS1313="","",TRIM(IF(COUNTIFS(Calc!$B$2:$B$1601,ROW()-1,Calc!$C$2:$C$1601,"&lt;1")&gt;0,"Ada PO tanpa Koli - cek TMP. ","")&amp;IF(OR($AU1313="",$AU1313&lt;=0),"Volume kosong/0 - dimensi dikosongkan. ","")&amp;IF(AND($AU1313&lt;&gt;"",$AU1313&gt;=1000000),"Volume &gt;= 1.000.000 cm3 (di luar aturan) - dimensi dikosongkan. ","")&amp;IF(LEN($R1313)&gt;500,"R &gt; 500 karakter.","")))</f>
        <v/>
      </c>
      <c r="AS1313" t="str">
        <f>IFERROR(MATCH(ROW()-1,Calc!$J$2:$J$1601,0),"")</f>
        <v/>
      </c>
      <c r="AT1313" t="str">
        <f>IFERROR(MATCH(ROW()-1,Calc!$K$2:$K$1601,0),"")</f>
        <v/>
      </c>
      <c r="AU1313" t="str">
        <f>IF($AS1313="","",IFERROR(INDEX('TMP Paste'!$D$2:$D$1601,$AS1313)*1000000/$AB1313,""))</f>
        <v/>
      </c>
    </row>
    <row r="1314" spans="1:47">
      <c r="A1314" t="str">
        <f>IF($AS1314="","",INDEX('TMP Paste'!$B$2:$B$1601,$AS1314))</f>
        <v/>
      </c>
      <c r="B1314" t="str">
        <f>IF($AS1314="","",Config!$B$14)</f>
        <v/>
      </c>
      <c r="C1314" t="str">
        <f>IF($AS1314="","",Config!$B$15)</f>
        <v/>
      </c>
      <c r="D1314" t="str">
        <f>IF($AS1314="","",INDEX('TMP Paste'!$B$2:$B$1601,$AS1314))</f>
        <v/>
      </c>
      <c r="E1314" t="str">
        <f>IF($AS1314="","",Config!$B$27)</f>
        <v/>
      </c>
      <c r="F1314" t="str">
        <f>IF($AS1314="","",Config!$B$9)</f>
        <v/>
      </c>
      <c r="G1314" t="str">
        <f>IF($AS1314="","",Config!$B$10)</f>
        <v/>
      </c>
      <c r="H1314" t="str">
        <f>IF($AS1314="","",Config!$B$11)</f>
        <v/>
      </c>
      <c r="I1314" t="str">
        <f>IF($AS1314="","",Config!$B$16)</f>
        <v/>
      </c>
      <c r="J1314" t="str">
        <f>IF($AS1314="","",INDEX('TMP Paste'!$A$2:$A$1601,$AS1314))</f>
        <v/>
      </c>
      <c r="K1314" t="str">
        <f>IF($AS1314="","",INDEX('TMP Paste'!$L$2:$L$1601,$AS1314))</f>
        <v/>
      </c>
      <c r="L1314" t="str">
        <f>IF($AS1314="","",INDEX('TMP Paste'!$I$2:$I$1601,$AS1314))</f>
        <v/>
      </c>
      <c r="M1314" t="str">
        <f>IF($AS1314="","",Config!$B$16)</f>
        <v/>
      </c>
      <c r="N1314" t="str">
        <f t="shared" si="120"/>
        <v/>
      </c>
      <c r="O1314" t="str">
        <f>IF($AS1314="","",INDEX('TMP Paste'!$K$2:$K$1601,$AS1314))</f>
        <v/>
      </c>
      <c r="P1314" t="str">
        <f t="shared" si="121"/>
        <v/>
      </c>
      <c r="Q1314" t="str">
        <f>IF($AS1314="","",INDEX('TMP Paste'!$J$2:$J$1601,$AS1314))</f>
        <v/>
      </c>
      <c r="R1314" t="str">
        <f>IF($AS1314="","",Config!$B$24)</f>
        <v/>
      </c>
      <c r="S1314" t="str">
        <f ca="1">IF($AS1314="","",TEXT(Config!$B$4,"yyyy-mm-dd"))</f>
        <v/>
      </c>
      <c r="T1314" t="str">
        <f>IF($AS1314="","",Config!$B$17)</f>
        <v/>
      </c>
      <c r="U1314" t="str">
        <f>IF($AS1314="","",Config!$B$18)</f>
        <v/>
      </c>
      <c r="V1314" t="str">
        <f>IF($AS1314="","",Config!$B$19)</f>
        <v/>
      </c>
      <c r="W1314" t="str">
        <f>IF($AS1314="","",INDEX('TMP Paste'!$C$2:$C$1601,$AS1314))</f>
        <v/>
      </c>
      <c r="X1314" t="str">
        <f>IF($AS1314="","",Config!$B$29)</f>
        <v/>
      </c>
      <c r="Y1314" t="str">
        <f>IF($AT1314="","",INDEX(Calc!$I$2:$I$1601,$AT1314)&amp;" - "&amp;INDEX(Calc!$D$2:$D$1601,$AT1314)&amp;" koli")</f>
        <v/>
      </c>
      <c r="Z1314" t="str">
        <f>IF($AS1314="","",Config!$B$21)</f>
        <v/>
      </c>
      <c r="AA1314" t="str">
        <f>IF($AS1314="","",Config!$B$22)</f>
        <v/>
      </c>
      <c r="AB1314" t="str">
        <f>IF($AT1314="","",INDEX(Calc!$D$2:$D$1601,$AT1314))</f>
        <v/>
      </c>
      <c r="AC1314" t="str">
        <f>IF($AT1314="","",INDEX(Calc!$G$2:$G$1601,$AT1314))</f>
        <v/>
      </c>
      <c r="AD1314" t="str">
        <f>IF($AS1314="","",Config!$B$23)</f>
        <v/>
      </c>
      <c r="AE1314" t="str">
        <f>IF($AS1314="","",Config!$B$28)</f>
        <v/>
      </c>
      <c r="AF1314" t="str">
        <f t="shared" si="122"/>
        <v/>
      </c>
      <c r="AG1314" t="str">
        <f t="shared" si="123"/>
        <v/>
      </c>
      <c r="AH1314" t="str">
        <f t="shared" si="124"/>
        <v/>
      </c>
      <c r="AI1314" t="str">
        <f>IF($AG1314="","",SUMIF($AG$2:$AG1314,$AG1314,$AH$2:$AH1314))</f>
        <v/>
      </c>
      <c r="AJ1314" t="str">
        <f>IF('TMP Paste'!$F1314="","",IF('TMP Paste'!$B1314="",$AJ1313,'TMP Paste'!$B1314))</f>
        <v/>
      </c>
      <c r="AK1314" t="str">
        <f>IF('TMP Paste'!$F1314="","",N('TMP Paste'!$G1314))</f>
        <v/>
      </c>
      <c r="AL1314" t="str">
        <f>IF('TMP Paste'!$F1314="","",IF('TMP Paste'!$M1314="",$AL1313,'TMP Paste'!$M1314))</f>
        <v/>
      </c>
      <c r="AM1314" t="str">
        <f>IF('TMP Paste'!$F1314="","",IF('TMP Paste'!$N1314="",$AM1313,'TMP Paste'!$N1314))</f>
        <v/>
      </c>
      <c r="AN1314" t="str">
        <f>IF('TMP Paste'!$F1314="","",IF('TMP Paste'!$O1314="",$AN1313,'TMP Paste'!$O1314))</f>
        <v/>
      </c>
      <c r="AO1314" t="str">
        <f>IF('TMP Paste'!$F1314="","",IF('TMP Paste'!$P1314="",$AO1313,'TMP Paste'!$P1314))</f>
        <v/>
      </c>
      <c r="AP1314" t="str">
        <f t="shared" si="125"/>
        <v/>
      </c>
      <c r="AQ1314" t="str">
        <f>IF($AS1314="","",TRIM(IF(COUNTIFS(Calc!$B$2:$B$1601,ROW()-1,Calc!$C$2:$C$1601,"&lt;1")&gt;0,"Ada PO tanpa Koli - cek TMP. ","")&amp;IF(OR($AU1314="",$AU1314&lt;=0),"Volume kosong/0 - dimensi dikosongkan. ","")&amp;IF(AND($AU1314&lt;&gt;"",$AU1314&gt;=1000000),"Volume &gt;= 1.000.000 cm3 (di luar aturan) - dimensi dikosongkan. ","")&amp;IF(LEN($R1314)&gt;500,"R &gt; 500 karakter.","")))</f>
        <v/>
      </c>
      <c r="AS1314" t="str">
        <f>IFERROR(MATCH(ROW()-1,Calc!$J$2:$J$1601,0),"")</f>
        <v/>
      </c>
      <c r="AT1314" t="str">
        <f>IFERROR(MATCH(ROW()-1,Calc!$K$2:$K$1601,0),"")</f>
        <v/>
      </c>
      <c r="AU1314" t="str">
        <f>IF($AS1314="","",IFERROR(INDEX('TMP Paste'!$D$2:$D$1601,$AS1314)*1000000/$AB1314,""))</f>
        <v/>
      </c>
    </row>
    <row r="1315" spans="1:47">
      <c r="A1315" t="str">
        <f>IF($AS1315="","",INDEX('TMP Paste'!$B$2:$B$1601,$AS1315))</f>
        <v/>
      </c>
      <c r="B1315" t="str">
        <f>IF($AS1315="","",Config!$B$14)</f>
        <v/>
      </c>
      <c r="C1315" t="str">
        <f>IF($AS1315="","",Config!$B$15)</f>
        <v/>
      </c>
      <c r="D1315" t="str">
        <f>IF($AS1315="","",INDEX('TMP Paste'!$B$2:$B$1601,$AS1315))</f>
        <v/>
      </c>
      <c r="E1315" t="str">
        <f>IF($AS1315="","",Config!$B$27)</f>
        <v/>
      </c>
      <c r="F1315" t="str">
        <f>IF($AS1315="","",Config!$B$9)</f>
        <v/>
      </c>
      <c r="G1315" t="str">
        <f>IF($AS1315="","",Config!$B$10)</f>
        <v/>
      </c>
      <c r="H1315" t="str">
        <f>IF($AS1315="","",Config!$B$11)</f>
        <v/>
      </c>
      <c r="I1315" t="str">
        <f>IF($AS1315="","",Config!$B$16)</f>
        <v/>
      </c>
      <c r="J1315" t="str">
        <f>IF($AS1315="","",INDEX('TMP Paste'!$A$2:$A$1601,$AS1315))</f>
        <v/>
      </c>
      <c r="K1315" t="str">
        <f>IF($AS1315="","",INDEX('TMP Paste'!$L$2:$L$1601,$AS1315))</f>
        <v/>
      </c>
      <c r="L1315" t="str">
        <f>IF($AS1315="","",INDEX('TMP Paste'!$I$2:$I$1601,$AS1315))</f>
        <v/>
      </c>
      <c r="M1315" t="str">
        <f>IF($AS1315="","",Config!$B$16)</f>
        <v/>
      </c>
      <c r="N1315" t="str">
        <f t="shared" si="120"/>
        <v/>
      </c>
      <c r="O1315" t="str">
        <f>IF($AS1315="","",INDEX('TMP Paste'!$K$2:$K$1601,$AS1315))</f>
        <v/>
      </c>
      <c r="P1315" t="str">
        <f t="shared" si="121"/>
        <v/>
      </c>
      <c r="Q1315" t="str">
        <f>IF($AS1315="","",INDEX('TMP Paste'!$J$2:$J$1601,$AS1315))</f>
        <v/>
      </c>
      <c r="R1315" t="str">
        <f>IF($AS1315="","",Config!$B$24)</f>
        <v/>
      </c>
      <c r="S1315" t="str">
        <f ca="1">IF($AS1315="","",TEXT(Config!$B$4,"yyyy-mm-dd"))</f>
        <v/>
      </c>
      <c r="T1315" t="str">
        <f>IF($AS1315="","",Config!$B$17)</f>
        <v/>
      </c>
      <c r="U1315" t="str">
        <f>IF($AS1315="","",Config!$B$18)</f>
        <v/>
      </c>
      <c r="V1315" t="str">
        <f>IF($AS1315="","",Config!$B$19)</f>
        <v/>
      </c>
      <c r="W1315" t="str">
        <f>IF($AS1315="","",INDEX('TMP Paste'!$C$2:$C$1601,$AS1315))</f>
        <v/>
      </c>
      <c r="X1315" t="str">
        <f>IF($AS1315="","",Config!$B$29)</f>
        <v/>
      </c>
      <c r="Y1315" t="str">
        <f>IF($AT1315="","",INDEX(Calc!$I$2:$I$1601,$AT1315)&amp;" - "&amp;INDEX(Calc!$D$2:$D$1601,$AT1315)&amp;" koli")</f>
        <v/>
      </c>
      <c r="Z1315" t="str">
        <f>IF($AS1315="","",Config!$B$21)</f>
        <v/>
      </c>
      <c r="AA1315" t="str">
        <f>IF($AS1315="","",Config!$B$22)</f>
        <v/>
      </c>
      <c r="AB1315" t="str">
        <f>IF($AT1315="","",INDEX(Calc!$D$2:$D$1601,$AT1315))</f>
        <v/>
      </c>
      <c r="AC1315" t="str">
        <f>IF($AT1315="","",INDEX(Calc!$G$2:$G$1601,$AT1315))</f>
        <v/>
      </c>
      <c r="AD1315" t="str">
        <f>IF($AS1315="","",Config!$B$23)</f>
        <v/>
      </c>
      <c r="AE1315" t="str">
        <f>IF($AS1315="","",Config!$B$28)</f>
        <v/>
      </c>
      <c r="AF1315" t="str">
        <f t="shared" si="122"/>
        <v/>
      </c>
      <c r="AG1315" t="str">
        <f t="shared" si="123"/>
        <v/>
      </c>
      <c r="AH1315" t="str">
        <f t="shared" si="124"/>
        <v/>
      </c>
      <c r="AI1315" t="str">
        <f>IF($AG1315="","",SUMIF($AG$2:$AG1315,$AG1315,$AH$2:$AH1315))</f>
        <v/>
      </c>
      <c r="AJ1315" t="str">
        <f>IF('TMP Paste'!$F1315="","",IF('TMP Paste'!$B1315="",$AJ1314,'TMP Paste'!$B1315))</f>
        <v/>
      </c>
      <c r="AK1315" t="str">
        <f>IF('TMP Paste'!$F1315="","",N('TMP Paste'!$G1315))</f>
        <v/>
      </c>
      <c r="AL1315" t="str">
        <f>IF('TMP Paste'!$F1315="","",IF('TMP Paste'!$M1315="",$AL1314,'TMP Paste'!$M1315))</f>
        <v/>
      </c>
      <c r="AM1315" t="str">
        <f>IF('TMP Paste'!$F1315="","",IF('TMP Paste'!$N1315="",$AM1314,'TMP Paste'!$N1315))</f>
        <v/>
      </c>
      <c r="AN1315" t="str">
        <f>IF('TMP Paste'!$F1315="","",IF('TMP Paste'!$O1315="",$AN1314,'TMP Paste'!$O1315))</f>
        <v/>
      </c>
      <c r="AO1315" t="str">
        <f>IF('TMP Paste'!$F1315="","",IF('TMP Paste'!$P1315="",$AO1314,'TMP Paste'!$P1315))</f>
        <v/>
      </c>
      <c r="AP1315" t="str">
        <f t="shared" si="125"/>
        <v/>
      </c>
      <c r="AQ1315" t="str">
        <f>IF($AS1315="","",TRIM(IF(COUNTIFS(Calc!$B$2:$B$1601,ROW()-1,Calc!$C$2:$C$1601,"&lt;1")&gt;0,"Ada PO tanpa Koli - cek TMP. ","")&amp;IF(OR($AU1315="",$AU1315&lt;=0),"Volume kosong/0 - dimensi dikosongkan. ","")&amp;IF(AND($AU1315&lt;&gt;"",$AU1315&gt;=1000000),"Volume &gt;= 1.000.000 cm3 (di luar aturan) - dimensi dikosongkan. ","")&amp;IF(LEN($R1315)&gt;500,"R &gt; 500 karakter.","")))</f>
        <v/>
      </c>
      <c r="AS1315" t="str">
        <f>IFERROR(MATCH(ROW()-1,Calc!$J$2:$J$1601,0),"")</f>
        <v/>
      </c>
      <c r="AT1315" t="str">
        <f>IFERROR(MATCH(ROW()-1,Calc!$K$2:$K$1601,0),"")</f>
        <v/>
      </c>
      <c r="AU1315" t="str">
        <f>IF($AS1315="","",IFERROR(INDEX('TMP Paste'!$D$2:$D$1601,$AS1315)*1000000/$AB1315,""))</f>
        <v/>
      </c>
    </row>
    <row r="1316" spans="1:47">
      <c r="A1316" t="str">
        <f>IF($AS1316="","",INDEX('TMP Paste'!$B$2:$B$1601,$AS1316))</f>
        <v/>
      </c>
      <c r="B1316" t="str">
        <f>IF($AS1316="","",Config!$B$14)</f>
        <v/>
      </c>
      <c r="C1316" t="str">
        <f>IF($AS1316="","",Config!$B$15)</f>
        <v/>
      </c>
      <c r="D1316" t="str">
        <f>IF($AS1316="","",INDEX('TMP Paste'!$B$2:$B$1601,$AS1316))</f>
        <v/>
      </c>
      <c r="E1316" t="str">
        <f>IF($AS1316="","",Config!$B$27)</f>
        <v/>
      </c>
      <c r="F1316" t="str">
        <f>IF($AS1316="","",Config!$B$9)</f>
        <v/>
      </c>
      <c r="G1316" t="str">
        <f>IF($AS1316="","",Config!$B$10)</f>
        <v/>
      </c>
      <c r="H1316" t="str">
        <f>IF($AS1316="","",Config!$B$11)</f>
        <v/>
      </c>
      <c r="I1316" t="str">
        <f>IF($AS1316="","",Config!$B$16)</f>
        <v/>
      </c>
      <c r="J1316" t="str">
        <f>IF($AS1316="","",INDEX('TMP Paste'!$A$2:$A$1601,$AS1316))</f>
        <v/>
      </c>
      <c r="K1316" t="str">
        <f>IF($AS1316="","",INDEX('TMP Paste'!$L$2:$L$1601,$AS1316))</f>
        <v/>
      </c>
      <c r="L1316" t="str">
        <f>IF($AS1316="","",INDEX('TMP Paste'!$I$2:$I$1601,$AS1316))</f>
        <v/>
      </c>
      <c r="M1316" t="str">
        <f>IF($AS1316="","",Config!$B$16)</f>
        <v/>
      </c>
      <c r="N1316" t="str">
        <f t="shared" si="120"/>
        <v/>
      </c>
      <c r="O1316" t="str">
        <f>IF($AS1316="","",INDEX('TMP Paste'!$K$2:$K$1601,$AS1316))</f>
        <v/>
      </c>
      <c r="P1316" t="str">
        <f t="shared" si="121"/>
        <v/>
      </c>
      <c r="Q1316" t="str">
        <f>IF($AS1316="","",INDEX('TMP Paste'!$J$2:$J$1601,$AS1316))</f>
        <v/>
      </c>
      <c r="R1316" t="str">
        <f>IF($AS1316="","",Config!$B$24)</f>
        <v/>
      </c>
      <c r="S1316" t="str">
        <f ca="1">IF($AS1316="","",TEXT(Config!$B$4,"yyyy-mm-dd"))</f>
        <v/>
      </c>
      <c r="T1316" t="str">
        <f>IF($AS1316="","",Config!$B$17)</f>
        <v/>
      </c>
      <c r="U1316" t="str">
        <f>IF($AS1316="","",Config!$B$18)</f>
        <v/>
      </c>
      <c r="V1316" t="str">
        <f>IF($AS1316="","",Config!$B$19)</f>
        <v/>
      </c>
      <c r="W1316" t="str">
        <f>IF($AS1316="","",INDEX('TMP Paste'!$C$2:$C$1601,$AS1316))</f>
        <v/>
      </c>
      <c r="X1316" t="str">
        <f>IF($AS1316="","",Config!$B$29)</f>
        <v/>
      </c>
      <c r="Y1316" t="str">
        <f>IF($AT1316="","",INDEX(Calc!$I$2:$I$1601,$AT1316)&amp;" - "&amp;INDEX(Calc!$D$2:$D$1601,$AT1316)&amp;" koli")</f>
        <v/>
      </c>
      <c r="Z1316" t="str">
        <f>IF($AS1316="","",Config!$B$21)</f>
        <v/>
      </c>
      <c r="AA1316" t="str">
        <f>IF($AS1316="","",Config!$B$22)</f>
        <v/>
      </c>
      <c r="AB1316" t="str">
        <f>IF($AT1316="","",INDEX(Calc!$D$2:$D$1601,$AT1316))</f>
        <v/>
      </c>
      <c r="AC1316" t="str">
        <f>IF($AT1316="","",INDEX(Calc!$G$2:$G$1601,$AT1316))</f>
        <v/>
      </c>
      <c r="AD1316" t="str">
        <f>IF($AS1316="","",Config!$B$23)</f>
        <v/>
      </c>
      <c r="AE1316" t="str">
        <f>IF($AS1316="","",Config!$B$28)</f>
        <v/>
      </c>
      <c r="AF1316" t="str">
        <f t="shared" si="122"/>
        <v/>
      </c>
      <c r="AG1316" t="str">
        <f t="shared" si="123"/>
        <v/>
      </c>
      <c r="AH1316" t="str">
        <f t="shared" si="124"/>
        <v/>
      </c>
      <c r="AI1316" t="str">
        <f>IF($AG1316="","",SUMIF($AG$2:$AG1316,$AG1316,$AH$2:$AH1316))</f>
        <v/>
      </c>
      <c r="AJ1316" t="str">
        <f>IF('TMP Paste'!$F1316="","",IF('TMP Paste'!$B1316="",$AJ1315,'TMP Paste'!$B1316))</f>
        <v/>
      </c>
      <c r="AK1316" t="str">
        <f>IF('TMP Paste'!$F1316="","",N('TMP Paste'!$G1316))</f>
        <v/>
      </c>
      <c r="AL1316" t="str">
        <f>IF('TMP Paste'!$F1316="","",IF('TMP Paste'!$M1316="",$AL1315,'TMP Paste'!$M1316))</f>
        <v/>
      </c>
      <c r="AM1316" t="str">
        <f>IF('TMP Paste'!$F1316="","",IF('TMP Paste'!$N1316="",$AM1315,'TMP Paste'!$N1316))</f>
        <v/>
      </c>
      <c r="AN1316" t="str">
        <f>IF('TMP Paste'!$F1316="","",IF('TMP Paste'!$O1316="",$AN1315,'TMP Paste'!$O1316))</f>
        <v/>
      </c>
      <c r="AO1316" t="str">
        <f>IF('TMP Paste'!$F1316="","",IF('TMP Paste'!$P1316="",$AO1315,'TMP Paste'!$P1316))</f>
        <v/>
      </c>
      <c r="AP1316" t="str">
        <f t="shared" si="125"/>
        <v/>
      </c>
      <c r="AQ1316" t="str">
        <f>IF($AS1316="","",TRIM(IF(COUNTIFS(Calc!$B$2:$B$1601,ROW()-1,Calc!$C$2:$C$1601,"&lt;1")&gt;0,"Ada PO tanpa Koli - cek TMP. ","")&amp;IF(OR($AU1316="",$AU1316&lt;=0),"Volume kosong/0 - dimensi dikosongkan. ","")&amp;IF(AND($AU1316&lt;&gt;"",$AU1316&gt;=1000000),"Volume &gt;= 1.000.000 cm3 (di luar aturan) - dimensi dikosongkan. ","")&amp;IF(LEN($R1316)&gt;500,"R &gt; 500 karakter.","")))</f>
        <v/>
      </c>
      <c r="AS1316" t="str">
        <f>IFERROR(MATCH(ROW()-1,Calc!$J$2:$J$1601,0),"")</f>
        <v/>
      </c>
      <c r="AT1316" t="str">
        <f>IFERROR(MATCH(ROW()-1,Calc!$K$2:$K$1601,0),"")</f>
        <v/>
      </c>
      <c r="AU1316" t="str">
        <f>IF($AS1316="","",IFERROR(INDEX('TMP Paste'!$D$2:$D$1601,$AS1316)*1000000/$AB1316,""))</f>
        <v/>
      </c>
    </row>
    <row r="1317" spans="1:47">
      <c r="A1317" t="str">
        <f>IF($AS1317="","",INDEX('TMP Paste'!$B$2:$B$1601,$AS1317))</f>
        <v/>
      </c>
      <c r="B1317" t="str">
        <f>IF($AS1317="","",Config!$B$14)</f>
        <v/>
      </c>
      <c r="C1317" t="str">
        <f>IF($AS1317="","",Config!$B$15)</f>
        <v/>
      </c>
      <c r="D1317" t="str">
        <f>IF($AS1317="","",INDEX('TMP Paste'!$B$2:$B$1601,$AS1317))</f>
        <v/>
      </c>
      <c r="E1317" t="str">
        <f>IF($AS1317="","",Config!$B$27)</f>
        <v/>
      </c>
      <c r="F1317" t="str">
        <f>IF($AS1317="","",Config!$B$9)</f>
        <v/>
      </c>
      <c r="G1317" t="str">
        <f>IF($AS1317="","",Config!$B$10)</f>
        <v/>
      </c>
      <c r="H1317" t="str">
        <f>IF($AS1317="","",Config!$B$11)</f>
        <v/>
      </c>
      <c r="I1317" t="str">
        <f>IF($AS1317="","",Config!$B$16)</f>
        <v/>
      </c>
      <c r="J1317" t="str">
        <f>IF($AS1317="","",INDEX('TMP Paste'!$A$2:$A$1601,$AS1317))</f>
        <v/>
      </c>
      <c r="K1317" t="str">
        <f>IF($AS1317="","",INDEX('TMP Paste'!$L$2:$L$1601,$AS1317))</f>
        <v/>
      </c>
      <c r="L1317" t="str">
        <f>IF($AS1317="","",INDEX('TMP Paste'!$I$2:$I$1601,$AS1317))</f>
        <v/>
      </c>
      <c r="M1317" t="str">
        <f>IF($AS1317="","",Config!$B$16)</f>
        <v/>
      </c>
      <c r="N1317" t="str">
        <f t="shared" si="120"/>
        <v/>
      </c>
      <c r="O1317" t="str">
        <f>IF($AS1317="","",INDEX('TMP Paste'!$K$2:$K$1601,$AS1317))</f>
        <v/>
      </c>
      <c r="P1317" t="str">
        <f t="shared" si="121"/>
        <v/>
      </c>
      <c r="Q1317" t="str">
        <f>IF($AS1317="","",INDEX('TMP Paste'!$J$2:$J$1601,$AS1317))</f>
        <v/>
      </c>
      <c r="R1317" t="str">
        <f>IF($AS1317="","",Config!$B$24)</f>
        <v/>
      </c>
      <c r="S1317" t="str">
        <f ca="1">IF($AS1317="","",TEXT(Config!$B$4,"yyyy-mm-dd"))</f>
        <v/>
      </c>
      <c r="T1317" t="str">
        <f>IF($AS1317="","",Config!$B$17)</f>
        <v/>
      </c>
      <c r="U1317" t="str">
        <f>IF($AS1317="","",Config!$B$18)</f>
        <v/>
      </c>
      <c r="V1317" t="str">
        <f>IF($AS1317="","",Config!$B$19)</f>
        <v/>
      </c>
      <c r="W1317" t="str">
        <f>IF($AS1317="","",INDEX('TMP Paste'!$C$2:$C$1601,$AS1317))</f>
        <v/>
      </c>
      <c r="X1317" t="str">
        <f>IF($AS1317="","",Config!$B$29)</f>
        <v/>
      </c>
      <c r="Y1317" t="str">
        <f>IF($AT1317="","",INDEX(Calc!$I$2:$I$1601,$AT1317)&amp;" - "&amp;INDEX(Calc!$D$2:$D$1601,$AT1317)&amp;" koli")</f>
        <v/>
      </c>
      <c r="Z1317" t="str">
        <f>IF($AS1317="","",Config!$B$21)</f>
        <v/>
      </c>
      <c r="AA1317" t="str">
        <f>IF($AS1317="","",Config!$B$22)</f>
        <v/>
      </c>
      <c r="AB1317" t="str">
        <f>IF($AT1317="","",INDEX(Calc!$D$2:$D$1601,$AT1317))</f>
        <v/>
      </c>
      <c r="AC1317" t="str">
        <f>IF($AT1317="","",INDEX(Calc!$G$2:$G$1601,$AT1317))</f>
        <v/>
      </c>
      <c r="AD1317" t="str">
        <f>IF($AS1317="","",Config!$B$23)</f>
        <v/>
      </c>
      <c r="AE1317" t="str">
        <f>IF($AS1317="","",Config!$B$28)</f>
        <v/>
      </c>
      <c r="AF1317" t="str">
        <f t="shared" si="122"/>
        <v/>
      </c>
      <c r="AG1317" t="str">
        <f t="shared" si="123"/>
        <v/>
      </c>
      <c r="AH1317" t="str">
        <f t="shared" si="124"/>
        <v/>
      </c>
      <c r="AI1317" t="str">
        <f>IF($AG1317="","",SUMIF($AG$2:$AG1317,$AG1317,$AH$2:$AH1317))</f>
        <v/>
      </c>
      <c r="AJ1317" t="str">
        <f>IF('TMP Paste'!$F1317="","",IF('TMP Paste'!$B1317="",$AJ1316,'TMP Paste'!$B1317))</f>
        <v/>
      </c>
      <c r="AK1317" t="str">
        <f>IF('TMP Paste'!$F1317="","",N('TMP Paste'!$G1317))</f>
        <v/>
      </c>
      <c r="AL1317" t="str">
        <f>IF('TMP Paste'!$F1317="","",IF('TMP Paste'!$M1317="",$AL1316,'TMP Paste'!$M1317))</f>
        <v/>
      </c>
      <c r="AM1317" t="str">
        <f>IF('TMP Paste'!$F1317="","",IF('TMP Paste'!$N1317="",$AM1316,'TMP Paste'!$N1317))</f>
        <v/>
      </c>
      <c r="AN1317" t="str">
        <f>IF('TMP Paste'!$F1317="","",IF('TMP Paste'!$O1317="",$AN1316,'TMP Paste'!$O1317))</f>
        <v/>
      </c>
      <c r="AO1317" t="str">
        <f>IF('TMP Paste'!$F1317="","",IF('TMP Paste'!$P1317="",$AO1316,'TMP Paste'!$P1317))</f>
        <v/>
      </c>
      <c r="AP1317" t="str">
        <f t="shared" si="125"/>
        <v/>
      </c>
      <c r="AQ1317" t="str">
        <f>IF($AS1317="","",TRIM(IF(COUNTIFS(Calc!$B$2:$B$1601,ROW()-1,Calc!$C$2:$C$1601,"&lt;1")&gt;0,"Ada PO tanpa Koli - cek TMP. ","")&amp;IF(OR($AU1317="",$AU1317&lt;=0),"Volume kosong/0 - dimensi dikosongkan. ","")&amp;IF(AND($AU1317&lt;&gt;"",$AU1317&gt;=1000000),"Volume &gt;= 1.000.000 cm3 (di luar aturan) - dimensi dikosongkan. ","")&amp;IF(LEN($R1317)&gt;500,"R &gt; 500 karakter.","")))</f>
        <v/>
      </c>
      <c r="AS1317" t="str">
        <f>IFERROR(MATCH(ROW()-1,Calc!$J$2:$J$1601,0),"")</f>
        <v/>
      </c>
      <c r="AT1317" t="str">
        <f>IFERROR(MATCH(ROW()-1,Calc!$K$2:$K$1601,0),"")</f>
        <v/>
      </c>
      <c r="AU1317" t="str">
        <f>IF($AS1317="","",IFERROR(INDEX('TMP Paste'!$D$2:$D$1601,$AS1317)*1000000/$AB1317,""))</f>
        <v/>
      </c>
    </row>
    <row r="1318" spans="1:47">
      <c r="A1318" t="str">
        <f>IF($AS1318="","",INDEX('TMP Paste'!$B$2:$B$1601,$AS1318))</f>
        <v/>
      </c>
      <c r="B1318" t="str">
        <f>IF($AS1318="","",Config!$B$14)</f>
        <v/>
      </c>
      <c r="C1318" t="str">
        <f>IF($AS1318="","",Config!$B$15)</f>
        <v/>
      </c>
      <c r="D1318" t="str">
        <f>IF($AS1318="","",INDEX('TMP Paste'!$B$2:$B$1601,$AS1318))</f>
        <v/>
      </c>
      <c r="E1318" t="str">
        <f>IF($AS1318="","",Config!$B$27)</f>
        <v/>
      </c>
      <c r="F1318" t="str">
        <f>IF($AS1318="","",Config!$B$9)</f>
        <v/>
      </c>
      <c r="G1318" t="str">
        <f>IF($AS1318="","",Config!$B$10)</f>
        <v/>
      </c>
      <c r="H1318" t="str">
        <f>IF($AS1318="","",Config!$B$11)</f>
        <v/>
      </c>
      <c r="I1318" t="str">
        <f>IF($AS1318="","",Config!$B$16)</f>
        <v/>
      </c>
      <c r="J1318" t="str">
        <f>IF($AS1318="","",INDEX('TMP Paste'!$A$2:$A$1601,$AS1318))</f>
        <v/>
      </c>
      <c r="K1318" t="str">
        <f>IF($AS1318="","",INDEX('TMP Paste'!$L$2:$L$1601,$AS1318))</f>
        <v/>
      </c>
      <c r="L1318" t="str">
        <f>IF($AS1318="","",INDEX('TMP Paste'!$I$2:$I$1601,$AS1318))</f>
        <v/>
      </c>
      <c r="M1318" t="str">
        <f>IF($AS1318="","",Config!$B$16)</f>
        <v/>
      </c>
      <c r="N1318" t="str">
        <f t="shared" si="120"/>
        <v/>
      </c>
      <c r="O1318" t="str">
        <f>IF($AS1318="","",INDEX('TMP Paste'!$K$2:$K$1601,$AS1318))</f>
        <v/>
      </c>
      <c r="P1318" t="str">
        <f t="shared" si="121"/>
        <v/>
      </c>
      <c r="Q1318" t="str">
        <f>IF($AS1318="","",INDEX('TMP Paste'!$J$2:$J$1601,$AS1318))</f>
        <v/>
      </c>
      <c r="R1318" t="str">
        <f>IF($AS1318="","",Config!$B$24)</f>
        <v/>
      </c>
      <c r="S1318" t="str">
        <f ca="1">IF($AS1318="","",TEXT(Config!$B$4,"yyyy-mm-dd"))</f>
        <v/>
      </c>
      <c r="T1318" t="str">
        <f>IF($AS1318="","",Config!$B$17)</f>
        <v/>
      </c>
      <c r="U1318" t="str">
        <f>IF($AS1318="","",Config!$B$18)</f>
        <v/>
      </c>
      <c r="V1318" t="str">
        <f>IF($AS1318="","",Config!$B$19)</f>
        <v/>
      </c>
      <c r="W1318" t="str">
        <f>IF($AS1318="","",INDEX('TMP Paste'!$C$2:$C$1601,$AS1318))</f>
        <v/>
      </c>
      <c r="X1318" t="str">
        <f>IF($AS1318="","",Config!$B$29)</f>
        <v/>
      </c>
      <c r="Y1318" t="str">
        <f>IF($AT1318="","",INDEX(Calc!$I$2:$I$1601,$AT1318)&amp;" - "&amp;INDEX(Calc!$D$2:$D$1601,$AT1318)&amp;" koli")</f>
        <v/>
      </c>
      <c r="Z1318" t="str">
        <f>IF($AS1318="","",Config!$B$21)</f>
        <v/>
      </c>
      <c r="AA1318" t="str">
        <f>IF($AS1318="","",Config!$B$22)</f>
        <v/>
      </c>
      <c r="AB1318" t="str">
        <f>IF($AT1318="","",INDEX(Calc!$D$2:$D$1601,$AT1318))</f>
        <v/>
      </c>
      <c r="AC1318" t="str">
        <f>IF($AT1318="","",INDEX(Calc!$G$2:$G$1601,$AT1318))</f>
        <v/>
      </c>
      <c r="AD1318" t="str">
        <f>IF($AS1318="","",Config!$B$23)</f>
        <v/>
      </c>
      <c r="AE1318" t="str">
        <f>IF($AS1318="","",Config!$B$28)</f>
        <v/>
      </c>
      <c r="AF1318" t="str">
        <f t="shared" si="122"/>
        <v/>
      </c>
      <c r="AG1318" t="str">
        <f t="shared" si="123"/>
        <v/>
      </c>
      <c r="AH1318" t="str">
        <f t="shared" si="124"/>
        <v/>
      </c>
      <c r="AI1318" t="str">
        <f>IF($AG1318="","",SUMIF($AG$2:$AG1318,$AG1318,$AH$2:$AH1318))</f>
        <v/>
      </c>
      <c r="AJ1318" t="str">
        <f>IF('TMP Paste'!$F1318="","",IF('TMP Paste'!$B1318="",$AJ1317,'TMP Paste'!$B1318))</f>
        <v/>
      </c>
      <c r="AK1318" t="str">
        <f>IF('TMP Paste'!$F1318="","",N('TMP Paste'!$G1318))</f>
        <v/>
      </c>
      <c r="AL1318" t="str">
        <f>IF('TMP Paste'!$F1318="","",IF('TMP Paste'!$M1318="",$AL1317,'TMP Paste'!$M1318))</f>
        <v/>
      </c>
      <c r="AM1318" t="str">
        <f>IF('TMP Paste'!$F1318="","",IF('TMP Paste'!$N1318="",$AM1317,'TMP Paste'!$N1318))</f>
        <v/>
      </c>
      <c r="AN1318" t="str">
        <f>IF('TMP Paste'!$F1318="","",IF('TMP Paste'!$O1318="",$AN1317,'TMP Paste'!$O1318))</f>
        <v/>
      </c>
      <c r="AO1318" t="str">
        <f>IF('TMP Paste'!$F1318="","",IF('TMP Paste'!$P1318="",$AO1317,'TMP Paste'!$P1318))</f>
        <v/>
      </c>
      <c r="AP1318" t="str">
        <f t="shared" si="125"/>
        <v/>
      </c>
      <c r="AQ1318" t="str">
        <f>IF($AS1318="","",TRIM(IF(COUNTIFS(Calc!$B$2:$B$1601,ROW()-1,Calc!$C$2:$C$1601,"&lt;1")&gt;0,"Ada PO tanpa Koli - cek TMP. ","")&amp;IF(OR($AU1318="",$AU1318&lt;=0),"Volume kosong/0 - dimensi dikosongkan. ","")&amp;IF(AND($AU1318&lt;&gt;"",$AU1318&gt;=1000000),"Volume &gt;= 1.000.000 cm3 (di luar aturan) - dimensi dikosongkan. ","")&amp;IF(LEN($R1318)&gt;500,"R &gt; 500 karakter.","")))</f>
        <v/>
      </c>
      <c r="AS1318" t="str">
        <f>IFERROR(MATCH(ROW()-1,Calc!$J$2:$J$1601,0),"")</f>
        <v/>
      </c>
      <c r="AT1318" t="str">
        <f>IFERROR(MATCH(ROW()-1,Calc!$K$2:$K$1601,0),"")</f>
        <v/>
      </c>
      <c r="AU1318" t="str">
        <f>IF($AS1318="","",IFERROR(INDEX('TMP Paste'!$D$2:$D$1601,$AS1318)*1000000/$AB1318,""))</f>
        <v/>
      </c>
    </row>
    <row r="1319" spans="1:47">
      <c r="A1319" t="str">
        <f>IF($AS1319="","",INDEX('TMP Paste'!$B$2:$B$1601,$AS1319))</f>
        <v/>
      </c>
      <c r="B1319" t="str">
        <f>IF($AS1319="","",Config!$B$14)</f>
        <v/>
      </c>
      <c r="C1319" t="str">
        <f>IF($AS1319="","",Config!$B$15)</f>
        <v/>
      </c>
      <c r="D1319" t="str">
        <f>IF($AS1319="","",INDEX('TMP Paste'!$B$2:$B$1601,$AS1319))</f>
        <v/>
      </c>
      <c r="E1319" t="str">
        <f>IF($AS1319="","",Config!$B$27)</f>
        <v/>
      </c>
      <c r="F1319" t="str">
        <f>IF($AS1319="","",Config!$B$9)</f>
        <v/>
      </c>
      <c r="G1319" t="str">
        <f>IF($AS1319="","",Config!$B$10)</f>
        <v/>
      </c>
      <c r="H1319" t="str">
        <f>IF($AS1319="","",Config!$B$11)</f>
        <v/>
      </c>
      <c r="I1319" t="str">
        <f>IF($AS1319="","",Config!$B$16)</f>
        <v/>
      </c>
      <c r="J1319" t="str">
        <f>IF($AS1319="","",INDEX('TMP Paste'!$A$2:$A$1601,$AS1319))</f>
        <v/>
      </c>
      <c r="K1319" t="str">
        <f>IF($AS1319="","",INDEX('TMP Paste'!$L$2:$L$1601,$AS1319))</f>
        <v/>
      </c>
      <c r="L1319" t="str">
        <f>IF($AS1319="","",INDEX('TMP Paste'!$I$2:$I$1601,$AS1319))</f>
        <v/>
      </c>
      <c r="M1319" t="str">
        <f>IF($AS1319="","",Config!$B$16)</f>
        <v/>
      </c>
      <c r="N1319" t="str">
        <f t="shared" si="120"/>
        <v/>
      </c>
      <c r="O1319" t="str">
        <f>IF($AS1319="","",INDEX('TMP Paste'!$K$2:$K$1601,$AS1319))</f>
        <v/>
      </c>
      <c r="P1319" t="str">
        <f t="shared" si="121"/>
        <v/>
      </c>
      <c r="Q1319" t="str">
        <f>IF($AS1319="","",INDEX('TMP Paste'!$J$2:$J$1601,$AS1319))</f>
        <v/>
      </c>
      <c r="R1319" t="str">
        <f>IF($AS1319="","",Config!$B$24)</f>
        <v/>
      </c>
      <c r="S1319" t="str">
        <f ca="1">IF($AS1319="","",TEXT(Config!$B$4,"yyyy-mm-dd"))</f>
        <v/>
      </c>
      <c r="T1319" t="str">
        <f>IF($AS1319="","",Config!$B$17)</f>
        <v/>
      </c>
      <c r="U1319" t="str">
        <f>IF($AS1319="","",Config!$B$18)</f>
        <v/>
      </c>
      <c r="V1319" t="str">
        <f>IF($AS1319="","",Config!$B$19)</f>
        <v/>
      </c>
      <c r="W1319" t="str">
        <f>IF($AS1319="","",INDEX('TMP Paste'!$C$2:$C$1601,$AS1319))</f>
        <v/>
      </c>
      <c r="X1319" t="str">
        <f>IF($AS1319="","",Config!$B$29)</f>
        <v/>
      </c>
      <c r="Y1319" t="str">
        <f>IF($AT1319="","",INDEX(Calc!$I$2:$I$1601,$AT1319)&amp;" - "&amp;INDEX(Calc!$D$2:$D$1601,$AT1319)&amp;" koli")</f>
        <v/>
      </c>
      <c r="Z1319" t="str">
        <f>IF($AS1319="","",Config!$B$21)</f>
        <v/>
      </c>
      <c r="AA1319" t="str">
        <f>IF($AS1319="","",Config!$B$22)</f>
        <v/>
      </c>
      <c r="AB1319" t="str">
        <f>IF($AT1319="","",INDEX(Calc!$D$2:$D$1601,$AT1319))</f>
        <v/>
      </c>
      <c r="AC1319" t="str">
        <f>IF($AT1319="","",INDEX(Calc!$G$2:$G$1601,$AT1319))</f>
        <v/>
      </c>
      <c r="AD1319" t="str">
        <f>IF($AS1319="","",Config!$B$23)</f>
        <v/>
      </c>
      <c r="AE1319" t="str">
        <f>IF($AS1319="","",Config!$B$28)</f>
        <v/>
      </c>
      <c r="AF1319" t="str">
        <f t="shared" si="122"/>
        <v/>
      </c>
      <c r="AG1319" t="str">
        <f t="shared" si="123"/>
        <v/>
      </c>
      <c r="AH1319" t="str">
        <f t="shared" si="124"/>
        <v/>
      </c>
      <c r="AI1319" t="str">
        <f>IF($AG1319="","",SUMIF($AG$2:$AG1319,$AG1319,$AH$2:$AH1319))</f>
        <v/>
      </c>
      <c r="AJ1319" t="str">
        <f>IF('TMP Paste'!$F1319="","",IF('TMP Paste'!$B1319="",$AJ1318,'TMP Paste'!$B1319))</f>
        <v/>
      </c>
      <c r="AK1319" t="str">
        <f>IF('TMP Paste'!$F1319="","",N('TMP Paste'!$G1319))</f>
        <v/>
      </c>
      <c r="AL1319" t="str">
        <f>IF('TMP Paste'!$F1319="","",IF('TMP Paste'!$M1319="",$AL1318,'TMP Paste'!$M1319))</f>
        <v/>
      </c>
      <c r="AM1319" t="str">
        <f>IF('TMP Paste'!$F1319="","",IF('TMP Paste'!$N1319="",$AM1318,'TMP Paste'!$N1319))</f>
        <v/>
      </c>
      <c r="AN1319" t="str">
        <f>IF('TMP Paste'!$F1319="","",IF('TMP Paste'!$O1319="",$AN1318,'TMP Paste'!$O1319))</f>
        <v/>
      </c>
      <c r="AO1319" t="str">
        <f>IF('TMP Paste'!$F1319="","",IF('TMP Paste'!$P1319="",$AO1318,'TMP Paste'!$P1319))</f>
        <v/>
      </c>
      <c r="AP1319" t="str">
        <f t="shared" si="125"/>
        <v/>
      </c>
      <c r="AQ1319" t="str">
        <f>IF($AS1319="","",TRIM(IF(COUNTIFS(Calc!$B$2:$B$1601,ROW()-1,Calc!$C$2:$C$1601,"&lt;1")&gt;0,"Ada PO tanpa Koli - cek TMP. ","")&amp;IF(OR($AU1319="",$AU1319&lt;=0),"Volume kosong/0 - dimensi dikosongkan. ","")&amp;IF(AND($AU1319&lt;&gt;"",$AU1319&gt;=1000000),"Volume &gt;= 1.000.000 cm3 (di luar aturan) - dimensi dikosongkan. ","")&amp;IF(LEN($R1319)&gt;500,"R &gt; 500 karakter.","")))</f>
        <v/>
      </c>
      <c r="AS1319" t="str">
        <f>IFERROR(MATCH(ROW()-1,Calc!$J$2:$J$1601,0),"")</f>
        <v/>
      </c>
      <c r="AT1319" t="str">
        <f>IFERROR(MATCH(ROW()-1,Calc!$K$2:$K$1601,0),"")</f>
        <v/>
      </c>
      <c r="AU1319" t="str">
        <f>IF($AS1319="","",IFERROR(INDEX('TMP Paste'!$D$2:$D$1601,$AS1319)*1000000/$AB1319,""))</f>
        <v/>
      </c>
    </row>
    <row r="1320" spans="1:47">
      <c r="A1320" t="str">
        <f>IF($AS1320="","",INDEX('TMP Paste'!$B$2:$B$1601,$AS1320))</f>
        <v/>
      </c>
      <c r="B1320" t="str">
        <f>IF($AS1320="","",Config!$B$14)</f>
        <v/>
      </c>
      <c r="C1320" t="str">
        <f>IF($AS1320="","",Config!$B$15)</f>
        <v/>
      </c>
      <c r="D1320" t="str">
        <f>IF($AS1320="","",INDEX('TMP Paste'!$B$2:$B$1601,$AS1320))</f>
        <v/>
      </c>
      <c r="E1320" t="str">
        <f>IF($AS1320="","",Config!$B$27)</f>
        <v/>
      </c>
      <c r="F1320" t="str">
        <f>IF($AS1320="","",Config!$B$9)</f>
        <v/>
      </c>
      <c r="G1320" t="str">
        <f>IF($AS1320="","",Config!$B$10)</f>
        <v/>
      </c>
      <c r="H1320" t="str">
        <f>IF($AS1320="","",Config!$B$11)</f>
        <v/>
      </c>
      <c r="I1320" t="str">
        <f>IF($AS1320="","",Config!$B$16)</f>
        <v/>
      </c>
      <c r="J1320" t="str">
        <f>IF($AS1320="","",INDEX('TMP Paste'!$A$2:$A$1601,$AS1320))</f>
        <v/>
      </c>
      <c r="K1320" t="str">
        <f>IF($AS1320="","",INDEX('TMP Paste'!$L$2:$L$1601,$AS1320))</f>
        <v/>
      </c>
      <c r="L1320" t="str">
        <f>IF($AS1320="","",INDEX('TMP Paste'!$I$2:$I$1601,$AS1320))</f>
        <v/>
      </c>
      <c r="M1320" t="str">
        <f>IF($AS1320="","",Config!$B$16)</f>
        <v/>
      </c>
      <c r="N1320" t="str">
        <f t="shared" si="120"/>
        <v/>
      </c>
      <c r="O1320" t="str">
        <f>IF($AS1320="","",INDEX('TMP Paste'!$K$2:$K$1601,$AS1320))</f>
        <v/>
      </c>
      <c r="P1320" t="str">
        <f t="shared" si="121"/>
        <v/>
      </c>
      <c r="Q1320" t="str">
        <f>IF($AS1320="","",INDEX('TMP Paste'!$J$2:$J$1601,$AS1320))</f>
        <v/>
      </c>
      <c r="R1320" t="str">
        <f>IF($AS1320="","",Config!$B$24)</f>
        <v/>
      </c>
      <c r="S1320" t="str">
        <f ca="1">IF($AS1320="","",TEXT(Config!$B$4,"yyyy-mm-dd"))</f>
        <v/>
      </c>
      <c r="T1320" t="str">
        <f>IF($AS1320="","",Config!$B$17)</f>
        <v/>
      </c>
      <c r="U1320" t="str">
        <f>IF($AS1320="","",Config!$B$18)</f>
        <v/>
      </c>
      <c r="V1320" t="str">
        <f>IF($AS1320="","",Config!$B$19)</f>
        <v/>
      </c>
      <c r="W1320" t="str">
        <f>IF($AS1320="","",INDEX('TMP Paste'!$C$2:$C$1601,$AS1320))</f>
        <v/>
      </c>
      <c r="X1320" t="str">
        <f>IF($AS1320="","",Config!$B$29)</f>
        <v/>
      </c>
      <c r="Y1320" t="str">
        <f>IF($AT1320="","",INDEX(Calc!$I$2:$I$1601,$AT1320)&amp;" - "&amp;INDEX(Calc!$D$2:$D$1601,$AT1320)&amp;" koli")</f>
        <v/>
      </c>
      <c r="Z1320" t="str">
        <f>IF($AS1320="","",Config!$B$21)</f>
        <v/>
      </c>
      <c r="AA1320" t="str">
        <f>IF($AS1320="","",Config!$B$22)</f>
        <v/>
      </c>
      <c r="AB1320" t="str">
        <f>IF($AT1320="","",INDEX(Calc!$D$2:$D$1601,$AT1320))</f>
        <v/>
      </c>
      <c r="AC1320" t="str">
        <f>IF($AT1320="","",INDEX(Calc!$G$2:$G$1601,$AT1320))</f>
        <v/>
      </c>
      <c r="AD1320" t="str">
        <f>IF($AS1320="","",Config!$B$23)</f>
        <v/>
      </c>
      <c r="AE1320" t="str">
        <f>IF($AS1320="","",Config!$B$28)</f>
        <v/>
      </c>
      <c r="AF1320" t="str">
        <f t="shared" si="122"/>
        <v/>
      </c>
      <c r="AG1320" t="str">
        <f t="shared" si="123"/>
        <v/>
      </c>
      <c r="AH1320" t="str">
        <f t="shared" si="124"/>
        <v/>
      </c>
      <c r="AI1320" t="str">
        <f>IF($AG1320="","",SUMIF($AG$2:$AG1320,$AG1320,$AH$2:$AH1320))</f>
        <v/>
      </c>
      <c r="AJ1320" t="str">
        <f>IF('TMP Paste'!$F1320="","",IF('TMP Paste'!$B1320="",$AJ1319,'TMP Paste'!$B1320))</f>
        <v/>
      </c>
      <c r="AK1320" t="str">
        <f>IF('TMP Paste'!$F1320="","",N('TMP Paste'!$G1320))</f>
        <v/>
      </c>
      <c r="AL1320" t="str">
        <f>IF('TMP Paste'!$F1320="","",IF('TMP Paste'!$M1320="",$AL1319,'TMP Paste'!$M1320))</f>
        <v/>
      </c>
      <c r="AM1320" t="str">
        <f>IF('TMP Paste'!$F1320="","",IF('TMP Paste'!$N1320="",$AM1319,'TMP Paste'!$N1320))</f>
        <v/>
      </c>
      <c r="AN1320" t="str">
        <f>IF('TMP Paste'!$F1320="","",IF('TMP Paste'!$O1320="",$AN1319,'TMP Paste'!$O1320))</f>
        <v/>
      </c>
      <c r="AO1320" t="str">
        <f>IF('TMP Paste'!$F1320="","",IF('TMP Paste'!$P1320="",$AO1319,'TMP Paste'!$P1320))</f>
        <v/>
      </c>
      <c r="AP1320" t="str">
        <f t="shared" si="125"/>
        <v/>
      </c>
      <c r="AQ1320" t="str">
        <f>IF($AS1320="","",TRIM(IF(COUNTIFS(Calc!$B$2:$B$1601,ROW()-1,Calc!$C$2:$C$1601,"&lt;1")&gt;0,"Ada PO tanpa Koli - cek TMP. ","")&amp;IF(OR($AU1320="",$AU1320&lt;=0),"Volume kosong/0 - dimensi dikosongkan. ","")&amp;IF(AND($AU1320&lt;&gt;"",$AU1320&gt;=1000000),"Volume &gt;= 1.000.000 cm3 (di luar aturan) - dimensi dikosongkan. ","")&amp;IF(LEN($R1320)&gt;500,"R &gt; 500 karakter.","")))</f>
        <v/>
      </c>
      <c r="AS1320" t="str">
        <f>IFERROR(MATCH(ROW()-1,Calc!$J$2:$J$1601,0),"")</f>
        <v/>
      </c>
      <c r="AT1320" t="str">
        <f>IFERROR(MATCH(ROW()-1,Calc!$K$2:$K$1601,0),"")</f>
        <v/>
      </c>
      <c r="AU1320" t="str">
        <f>IF($AS1320="","",IFERROR(INDEX('TMP Paste'!$D$2:$D$1601,$AS1320)*1000000/$AB1320,""))</f>
        <v/>
      </c>
    </row>
    <row r="1321" spans="1:47">
      <c r="A1321" t="str">
        <f>IF($AS1321="","",INDEX('TMP Paste'!$B$2:$B$1601,$AS1321))</f>
        <v/>
      </c>
      <c r="B1321" t="str">
        <f>IF($AS1321="","",Config!$B$14)</f>
        <v/>
      </c>
      <c r="C1321" t="str">
        <f>IF($AS1321="","",Config!$B$15)</f>
        <v/>
      </c>
      <c r="D1321" t="str">
        <f>IF($AS1321="","",INDEX('TMP Paste'!$B$2:$B$1601,$AS1321))</f>
        <v/>
      </c>
      <c r="E1321" t="str">
        <f>IF($AS1321="","",Config!$B$27)</f>
        <v/>
      </c>
      <c r="F1321" t="str">
        <f>IF($AS1321="","",Config!$B$9)</f>
        <v/>
      </c>
      <c r="G1321" t="str">
        <f>IF($AS1321="","",Config!$B$10)</f>
        <v/>
      </c>
      <c r="H1321" t="str">
        <f>IF($AS1321="","",Config!$B$11)</f>
        <v/>
      </c>
      <c r="I1321" t="str">
        <f>IF($AS1321="","",Config!$B$16)</f>
        <v/>
      </c>
      <c r="J1321" t="str">
        <f>IF($AS1321="","",INDEX('TMP Paste'!$A$2:$A$1601,$AS1321))</f>
        <v/>
      </c>
      <c r="K1321" t="str">
        <f>IF($AS1321="","",INDEX('TMP Paste'!$L$2:$L$1601,$AS1321))</f>
        <v/>
      </c>
      <c r="L1321" t="str">
        <f>IF($AS1321="","",INDEX('TMP Paste'!$I$2:$I$1601,$AS1321))</f>
        <v/>
      </c>
      <c r="M1321" t="str">
        <f>IF($AS1321="","",Config!$B$16)</f>
        <v/>
      </c>
      <c r="N1321" t="str">
        <f t="shared" si="120"/>
        <v/>
      </c>
      <c r="O1321" t="str">
        <f>IF($AS1321="","",INDEX('TMP Paste'!$K$2:$K$1601,$AS1321))</f>
        <v/>
      </c>
      <c r="P1321" t="str">
        <f t="shared" si="121"/>
        <v/>
      </c>
      <c r="Q1321" t="str">
        <f>IF($AS1321="","",INDEX('TMP Paste'!$J$2:$J$1601,$AS1321))</f>
        <v/>
      </c>
      <c r="R1321" t="str">
        <f>IF($AS1321="","",Config!$B$24)</f>
        <v/>
      </c>
      <c r="S1321" t="str">
        <f ca="1">IF($AS1321="","",TEXT(Config!$B$4,"yyyy-mm-dd"))</f>
        <v/>
      </c>
      <c r="T1321" t="str">
        <f>IF($AS1321="","",Config!$B$17)</f>
        <v/>
      </c>
      <c r="U1321" t="str">
        <f>IF($AS1321="","",Config!$B$18)</f>
        <v/>
      </c>
      <c r="V1321" t="str">
        <f>IF($AS1321="","",Config!$B$19)</f>
        <v/>
      </c>
      <c r="W1321" t="str">
        <f>IF($AS1321="","",INDEX('TMP Paste'!$C$2:$C$1601,$AS1321))</f>
        <v/>
      </c>
      <c r="X1321" t="str">
        <f>IF($AS1321="","",Config!$B$29)</f>
        <v/>
      </c>
      <c r="Y1321" t="str">
        <f>IF($AT1321="","",INDEX(Calc!$I$2:$I$1601,$AT1321)&amp;" - "&amp;INDEX(Calc!$D$2:$D$1601,$AT1321)&amp;" koli")</f>
        <v/>
      </c>
      <c r="Z1321" t="str">
        <f>IF($AS1321="","",Config!$B$21)</f>
        <v/>
      </c>
      <c r="AA1321" t="str">
        <f>IF($AS1321="","",Config!$B$22)</f>
        <v/>
      </c>
      <c r="AB1321" t="str">
        <f>IF($AT1321="","",INDEX(Calc!$D$2:$D$1601,$AT1321))</f>
        <v/>
      </c>
      <c r="AC1321" t="str">
        <f>IF($AT1321="","",INDEX(Calc!$G$2:$G$1601,$AT1321))</f>
        <v/>
      </c>
      <c r="AD1321" t="str">
        <f>IF($AS1321="","",Config!$B$23)</f>
        <v/>
      </c>
      <c r="AE1321" t="str">
        <f>IF($AS1321="","",Config!$B$28)</f>
        <v/>
      </c>
      <c r="AF1321" t="str">
        <f t="shared" si="122"/>
        <v/>
      </c>
      <c r="AG1321" t="str">
        <f t="shared" si="123"/>
        <v/>
      </c>
      <c r="AH1321" t="str">
        <f t="shared" si="124"/>
        <v/>
      </c>
      <c r="AI1321" t="str">
        <f>IF($AG1321="","",SUMIF($AG$2:$AG1321,$AG1321,$AH$2:$AH1321))</f>
        <v/>
      </c>
      <c r="AJ1321" t="str">
        <f>IF('TMP Paste'!$F1321="","",IF('TMP Paste'!$B1321="",$AJ1320,'TMP Paste'!$B1321))</f>
        <v/>
      </c>
      <c r="AK1321" t="str">
        <f>IF('TMP Paste'!$F1321="","",N('TMP Paste'!$G1321))</f>
        <v/>
      </c>
      <c r="AL1321" t="str">
        <f>IF('TMP Paste'!$F1321="","",IF('TMP Paste'!$M1321="",$AL1320,'TMP Paste'!$M1321))</f>
        <v/>
      </c>
      <c r="AM1321" t="str">
        <f>IF('TMP Paste'!$F1321="","",IF('TMP Paste'!$N1321="",$AM1320,'TMP Paste'!$N1321))</f>
        <v/>
      </c>
      <c r="AN1321" t="str">
        <f>IF('TMP Paste'!$F1321="","",IF('TMP Paste'!$O1321="",$AN1320,'TMP Paste'!$O1321))</f>
        <v/>
      </c>
      <c r="AO1321" t="str">
        <f>IF('TMP Paste'!$F1321="","",IF('TMP Paste'!$P1321="",$AO1320,'TMP Paste'!$P1321))</f>
        <v/>
      </c>
      <c r="AP1321" t="str">
        <f t="shared" si="125"/>
        <v/>
      </c>
      <c r="AQ1321" t="str">
        <f>IF($AS1321="","",TRIM(IF(COUNTIFS(Calc!$B$2:$B$1601,ROW()-1,Calc!$C$2:$C$1601,"&lt;1")&gt;0,"Ada PO tanpa Koli - cek TMP. ","")&amp;IF(OR($AU1321="",$AU1321&lt;=0),"Volume kosong/0 - dimensi dikosongkan. ","")&amp;IF(AND($AU1321&lt;&gt;"",$AU1321&gt;=1000000),"Volume &gt;= 1.000.000 cm3 (di luar aturan) - dimensi dikosongkan. ","")&amp;IF(LEN($R1321)&gt;500,"R &gt; 500 karakter.","")))</f>
        <v/>
      </c>
      <c r="AS1321" t="str">
        <f>IFERROR(MATCH(ROW()-1,Calc!$J$2:$J$1601,0),"")</f>
        <v/>
      </c>
      <c r="AT1321" t="str">
        <f>IFERROR(MATCH(ROW()-1,Calc!$K$2:$K$1601,0),"")</f>
        <v/>
      </c>
      <c r="AU1321" t="str">
        <f>IF($AS1321="","",IFERROR(INDEX('TMP Paste'!$D$2:$D$1601,$AS1321)*1000000/$AB1321,""))</f>
        <v/>
      </c>
    </row>
    <row r="1322" spans="1:47">
      <c r="A1322" t="str">
        <f>IF($AS1322="","",INDEX('TMP Paste'!$B$2:$B$1601,$AS1322))</f>
        <v/>
      </c>
      <c r="B1322" t="str">
        <f>IF($AS1322="","",Config!$B$14)</f>
        <v/>
      </c>
      <c r="C1322" t="str">
        <f>IF($AS1322="","",Config!$B$15)</f>
        <v/>
      </c>
      <c r="D1322" t="str">
        <f>IF($AS1322="","",INDEX('TMP Paste'!$B$2:$B$1601,$AS1322))</f>
        <v/>
      </c>
      <c r="E1322" t="str">
        <f>IF($AS1322="","",Config!$B$27)</f>
        <v/>
      </c>
      <c r="F1322" t="str">
        <f>IF($AS1322="","",Config!$B$9)</f>
        <v/>
      </c>
      <c r="G1322" t="str">
        <f>IF($AS1322="","",Config!$B$10)</f>
        <v/>
      </c>
      <c r="H1322" t="str">
        <f>IF($AS1322="","",Config!$B$11)</f>
        <v/>
      </c>
      <c r="I1322" t="str">
        <f>IF($AS1322="","",Config!$B$16)</f>
        <v/>
      </c>
      <c r="J1322" t="str">
        <f>IF($AS1322="","",INDEX('TMP Paste'!$A$2:$A$1601,$AS1322))</f>
        <v/>
      </c>
      <c r="K1322" t="str">
        <f>IF($AS1322="","",INDEX('TMP Paste'!$L$2:$L$1601,$AS1322))</f>
        <v/>
      </c>
      <c r="L1322" t="str">
        <f>IF($AS1322="","",INDEX('TMP Paste'!$I$2:$I$1601,$AS1322))</f>
        <v/>
      </c>
      <c r="M1322" t="str">
        <f>IF($AS1322="","",Config!$B$16)</f>
        <v/>
      </c>
      <c r="N1322" t="str">
        <f t="shared" si="120"/>
        <v/>
      </c>
      <c r="O1322" t="str">
        <f>IF($AS1322="","",INDEX('TMP Paste'!$K$2:$K$1601,$AS1322))</f>
        <v/>
      </c>
      <c r="P1322" t="str">
        <f t="shared" si="121"/>
        <v/>
      </c>
      <c r="Q1322" t="str">
        <f>IF($AS1322="","",INDEX('TMP Paste'!$J$2:$J$1601,$AS1322))</f>
        <v/>
      </c>
      <c r="R1322" t="str">
        <f>IF($AS1322="","",Config!$B$24)</f>
        <v/>
      </c>
      <c r="S1322" t="str">
        <f ca="1">IF($AS1322="","",TEXT(Config!$B$4,"yyyy-mm-dd"))</f>
        <v/>
      </c>
      <c r="T1322" t="str">
        <f>IF($AS1322="","",Config!$B$17)</f>
        <v/>
      </c>
      <c r="U1322" t="str">
        <f>IF($AS1322="","",Config!$B$18)</f>
        <v/>
      </c>
      <c r="V1322" t="str">
        <f>IF($AS1322="","",Config!$B$19)</f>
        <v/>
      </c>
      <c r="W1322" t="str">
        <f>IF($AS1322="","",INDEX('TMP Paste'!$C$2:$C$1601,$AS1322))</f>
        <v/>
      </c>
      <c r="X1322" t="str">
        <f>IF($AS1322="","",Config!$B$29)</f>
        <v/>
      </c>
      <c r="Y1322" t="str">
        <f>IF($AT1322="","",INDEX(Calc!$I$2:$I$1601,$AT1322)&amp;" - "&amp;INDEX(Calc!$D$2:$D$1601,$AT1322)&amp;" koli")</f>
        <v/>
      </c>
      <c r="Z1322" t="str">
        <f>IF($AS1322="","",Config!$B$21)</f>
        <v/>
      </c>
      <c r="AA1322" t="str">
        <f>IF($AS1322="","",Config!$B$22)</f>
        <v/>
      </c>
      <c r="AB1322" t="str">
        <f>IF($AT1322="","",INDEX(Calc!$D$2:$D$1601,$AT1322))</f>
        <v/>
      </c>
      <c r="AC1322" t="str">
        <f>IF($AT1322="","",INDEX(Calc!$G$2:$G$1601,$AT1322))</f>
        <v/>
      </c>
      <c r="AD1322" t="str">
        <f>IF($AS1322="","",Config!$B$23)</f>
        <v/>
      </c>
      <c r="AE1322" t="str">
        <f>IF($AS1322="","",Config!$B$28)</f>
        <v/>
      </c>
      <c r="AF1322" t="str">
        <f t="shared" si="122"/>
        <v/>
      </c>
      <c r="AG1322" t="str">
        <f t="shared" si="123"/>
        <v/>
      </c>
      <c r="AH1322" t="str">
        <f t="shared" si="124"/>
        <v/>
      </c>
      <c r="AI1322" t="str">
        <f>IF($AG1322="","",SUMIF($AG$2:$AG1322,$AG1322,$AH$2:$AH1322))</f>
        <v/>
      </c>
      <c r="AJ1322" t="str">
        <f>IF('TMP Paste'!$F1322="","",IF('TMP Paste'!$B1322="",$AJ1321,'TMP Paste'!$B1322))</f>
        <v/>
      </c>
      <c r="AK1322" t="str">
        <f>IF('TMP Paste'!$F1322="","",N('TMP Paste'!$G1322))</f>
        <v/>
      </c>
      <c r="AL1322" t="str">
        <f>IF('TMP Paste'!$F1322="","",IF('TMP Paste'!$M1322="",$AL1321,'TMP Paste'!$M1322))</f>
        <v/>
      </c>
      <c r="AM1322" t="str">
        <f>IF('TMP Paste'!$F1322="","",IF('TMP Paste'!$N1322="",$AM1321,'TMP Paste'!$N1322))</f>
        <v/>
      </c>
      <c r="AN1322" t="str">
        <f>IF('TMP Paste'!$F1322="","",IF('TMP Paste'!$O1322="",$AN1321,'TMP Paste'!$O1322))</f>
        <v/>
      </c>
      <c r="AO1322" t="str">
        <f>IF('TMP Paste'!$F1322="","",IF('TMP Paste'!$P1322="",$AO1321,'TMP Paste'!$P1322))</f>
        <v/>
      </c>
      <c r="AP1322" t="str">
        <f t="shared" si="125"/>
        <v/>
      </c>
      <c r="AQ1322" t="str">
        <f>IF($AS1322="","",TRIM(IF(COUNTIFS(Calc!$B$2:$B$1601,ROW()-1,Calc!$C$2:$C$1601,"&lt;1")&gt;0,"Ada PO tanpa Koli - cek TMP. ","")&amp;IF(OR($AU1322="",$AU1322&lt;=0),"Volume kosong/0 - dimensi dikosongkan. ","")&amp;IF(AND($AU1322&lt;&gt;"",$AU1322&gt;=1000000),"Volume &gt;= 1.000.000 cm3 (di luar aturan) - dimensi dikosongkan. ","")&amp;IF(LEN($R1322)&gt;500,"R &gt; 500 karakter.","")))</f>
        <v/>
      </c>
      <c r="AS1322" t="str">
        <f>IFERROR(MATCH(ROW()-1,Calc!$J$2:$J$1601,0),"")</f>
        <v/>
      </c>
      <c r="AT1322" t="str">
        <f>IFERROR(MATCH(ROW()-1,Calc!$K$2:$K$1601,0),"")</f>
        <v/>
      </c>
      <c r="AU1322" t="str">
        <f>IF($AS1322="","",IFERROR(INDEX('TMP Paste'!$D$2:$D$1601,$AS1322)*1000000/$AB1322,""))</f>
        <v/>
      </c>
    </row>
    <row r="1323" spans="1:47">
      <c r="A1323" t="str">
        <f>IF($AS1323="","",INDEX('TMP Paste'!$B$2:$B$1601,$AS1323))</f>
        <v/>
      </c>
      <c r="B1323" t="str">
        <f>IF($AS1323="","",Config!$B$14)</f>
        <v/>
      </c>
      <c r="C1323" t="str">
        <f>IF($AS1323="","",Config!$B$15)</f>
        <v/>
      </c>
      <c r="D1323" t="str">
        <f>IF($AS1323="","",INDEX('TMP Paste'!$B$2:$B$1601,$AS1323))</f>
        <v/>
      </c>
      <c r="E1323" t="str">
        <f>IF($AS1323="","",Config!$B$27)</f>
        <v/>
      </c>
      <c r="F1323" t="str">
        <f>IF($AS1323="","",Config!$B$9)</f>
        <v/>
      </c>
      <c r="G1323" t="str">
        <f>IF($AS1323="","",Config!$B$10)</f>
        <v/>
      </c>
      <c r="H1323" t="str">
        <f>IF($AS1323="","",Config!$B$11)</f>
        <v/>
      </c>
      <c r="I1323" t="str">
        <f>IF($AS1323="","",Config!$B$16)</f>
        <v/>
      </c>
      <c r="J1323" t="str">
        <f>IF($AS1323="","",INDEX('TMP Paste'!$A$2:$A$1601,$AS1323))</f>
        <v/>
      </c>
      <c r="K1323" t="str">
        <f>IF($AS1323="","",INDEX('TMP Paste'!$L$2:$L$1601,$AS1323))</f>
        <v/>
      </c>
      <c r="L1323" t="str">
        <f>IF($AS1323="","",INDEX('TMP Paste'!$I$2:$I$1601,$AS1323))</f>
        <v/>
      </c>
      <c r="M1323" t="str">
        <f>IF($AS1323="","",Config!$B$16)</f>
        <v/>
      </c>
      <c r="N1323" t="str">
        <f t="shared" si="120"/>
        <v/>
      </c>
      <c r="O1323" t="str">
        <f>IF($AS1323="","",INDEX('TMP Paste'!$K$2:$K$1601,$AS1323))</f>
        <v/>
      </c>
      <c r="P1323" t="str">
        <f t="shared" si="121"/>
        <v/>
      </c>
      <c r="Q1323" t="str">
        <f>IF($AS1323="","",INDEX('TMP Paste'!$J$2:$J$1601,$AS1323))</f>
        <v/>
      </c>
      <c r="R1323" t="str">
        <f>IF($AS1323="","",Config!$B$24)</f>
        <v/>
      </c>
      <c r="S1323" t="str">
        <f ca="1">IF($AS1323="","",TEXT(Config!$B$4,"yyyy-mm-dd"))</f>
        <v/>
      </c>
      <c r="T1323" t="str">
        <f>IF($AS1323="","",Config!$B$17)</f>
        <v/>
      </c>
      <c r="U1323" t="str">
        <f>IF($AS1323="","",Config!$B$18)</f>
        <v/>
      </c>
      <c r="V1323" t="str">
        <f>IF($AS1323="","",Config!$B$19)</f>
        <v/>
      </c>
      <c r="W1323" t="str">
        <f>IF($AS1323="","",INDEX('TMP Paste'!$C$2:$C$1601,$AS1323))</f>
        <v/>
      </c>
      <c r="X1323" t="str">
        <f>IF($AS1323="","",Config!$B$29)</f>
        <v/>
      </c>
      <c r="Y1323" t="str">
        <f>IF($AT1323="","",INDEX(Calc!$I$2:$I$1601,$AT1323)&amp;" - "&amp;INDEX(Calc!$D$2:$D$1601,$AT1323)&amp;" koli")</f>
        <v/>
      </c>
      <c r="Z1323" t="str">
        <f>IF($AS1323="","",Config!$B$21)</f>
        <v/>
      </c>
      <c r="AA1323" t="str">
        <f>IF($AS1323="","",Config!$B$22)</f>
        <v/>
      </c>
      <c r="AB1323" t="str">
        <f>IF($AT1323="","",INDEX(Calc!$D$2:$D$1601,$AT1323))</f>
        <v/>
      </c>
      <c r="AC1323" t="str">
        <f>IF($AT1323="","",INDEX(Calc!$G$2:$G$1601,$AT1323))</f>
        <v/>
      </c>
      <c r="AD1323" t="str">
        <f>IF($AS1323="","",Config!$B$23)</f>
        <v/>
      </c>
      <c r="AE1323" t="str">
        <f>IF($AS1323="","",Config!$B$28)</f>
        <v/>
      </c>
      <c r="AF1323" t="str">
        <f t="shared" si="122"/>
        <v/>
      </c>
      <c r="AG1323" t="str">
        <f t="shared" si="123"/>
        <v/>
      </c>
      <c r="AH1323" t="str">
        <f t="shared" si="124"/>
        <v/>
      </c>
      <c r="AI1323" t="str">
        <f>IF($AG1323="","",SUMIF($AG$2:$AG1323,$AG1323,$AH$2:$AH1323))</f>
        <v/>
      </c>
      <c r="AJ1323" t="str">
        <f>IF('TMP Paste'!$F1323="","",IF('TMP Paste'!$B1323="",$AJ1322,'TMP Paste'!$B1323))</f>
        <v/>
      </c>
      <c r="AK1323" t="str">
        <f>IF('TMP Paste'!$F1323="","",N('TMP Paste'!$G1323))</f>
        <v/>
      </c>
      <c r="AL1323" t="str">
        <f>IF('TMP Paste'!$F1323="","",IF('TMP Paste'!$M1323="",$AL1322,'TMP Paste'!$M1323))</f>
        <v/>
      </c>
      <c r="AM1323" t="str">
        <f>IF('TMP Paste'!$F1323="","",IF('TMP Paste'!$N1323="",$AM1322,'TMP Paste'!$N1323))</f>
        <v/>
      </c>
      <c r="AN1323" t="str">
        <f>IF('TMP Paste'!$F1323="","",IF('TMP Paste'!$O1323="",$AN1322,'TMP Paste'!$O1323))</f>
        <v/>
      </c>
      <c r="AO1323" t="str">
        <f>IF('TMP Paste'!$F1323="","",IF('TMP Paste'!$P1323="",$AO1322,'TMP Paste'!$P1323))</f>
        <v/>
      </c>
      <c r="AP1323" t="str">
        <f t="shared" si="125"/>
        <v/>
      </c>
      <c r="AQ1323" t="str">
        <f>IF($AS1323="","",TRIM(IF(COUNTIFS(Calc!$B$2:$B$1601,ROW()-1,Calc!$C$2:$C$1601,"&lt;1")&gt;0,"Ada PO tanpa Koli - cek TMP. ","")&amp;IF(OR($AU1323="",$AU1323&lt;=0),"Volume kosong/0 - dimensi dikosongkan. ","")&amp;IF(AND($AU1323&lt;&gt;"",$AU1323&gt;=1000000),"Volume &gt;= 1.000.000 cm3 (di luar aturan) - dimensi dikosongkan. ","")&amp;IF(LEN($R1323)&gt;500,"R &gt; 500 karakter.","")))</f>
        <v/>
      </c>
      <c r="AS1323" t="str">
        <f>IFERROR(MATCH(ROW()-1,Calc!$J$2:$J$1601,0),"")</f>
        <v/>
      </c>
      <c r="AT1323" t="str">
        <f>IFERROR(MATCH(ROW()-1,Calc!$K$2:$K$1601,0),"")</f>
        <v/>
      </c>
      <c r="AU1323" t="str">
        <f>IF($AS1323="","",IFERROR(INDEX('TMP Paste'!$D$2:$D$1601,$AS1323)*1000000/$AB1323,""))</f>
        <v/>
      </c>
    </row>
    <row r="1324" spans="1:47">
      <c r="A1324" t="str">
        <f>IF($AS1324="","",INDEX('TMP Paste'!$B$2:$B$1601,$AS1324))</f>
        <v/>
      </c>
      <c r="B1324" t="str">
        <f>IF($AS1324="","",Config!$B$14)</f>
        <v/>
      </c>
      <c r="C1324" t="str">
        <f>IF($AS1324="","",Config!$B$15)</f>
        <v/>
      </c>
      <c r="D1324" t="str">
        <f>IF($AS1324="","",INDEX('TMP Paste'!$B$2:$B$1601,$AS1324))</f>
        <v/>
      </c>
      <c r="E1324" t="str">
        <f>IF($AS1324="","",Config!$B$27)</f>
        <v/>
      </c>
      <c r="F1324" t="str">
        <f>IF($AS1324="","",Config!$B$9)</f>
        <v/>
      </c>
      <c r="G1324" t="str">
        <f>IF($AS1324="","",Config!$B$10)</f>
        <v/>
      </c>
      <c r="H1324" t="str">
        <f>IF($AS1324="","",Config!$B$11)</f>
        <v/>
      </c>
      <c r="I1324" t="str">
        <f>IF($AS1324="","",Config!$B$16)</f>
        <v/>
      </c>
      <c r="J1324" t="str">
        <f>IF($AS1324="","",INDEX('TMP Paste'!$A$2:$A$1601,$AS1324))</f>
        <v/>
      </c>
      <c r="K1324" t="str">
        <f>IF($AS1324="","",INDEX('TMP Paste'!$L$2:$L$1601,$AS1324))</f>
        <v/>
      </c>
      <c r="L1324" t="str">
        <f>IF($AS1324="","",INDEX('TMP Paste'!$I$2:$I$1601,$AS1324))</f>
        <v/>
      </c>
      <c r="M1324" t="str">
        <f>IF($AS1324="","",Config!$B$16)</f>
        <v/>
      </c>
      <c r="N1324" t="str">
        <f t="shared" si="120"/>
        <v/>
      </c>
      <c r="O1324" t="str">
        <f>IF($AS1324="","",INDEX('TMP Paste'!$K$2:$K$1601,$AS1324))</f>
        <v/>
      </c>
      <c r="P1324" t="str">
        <f t="shared" si="121"/>
        <v/>
      </c>
      <c r="Q1324" t="str">
        <f>IF($AS1324="","",INDEX('TMP Paste'!$J$2:$J$1601,$AS1324))</f>
        <v/>
      </c>
      <c r="R1324" t="str">
        <f>IF($AS1324="","",Config!$B$24)</f>
        <v/>
      </c>
      <c r="S1324" t="str">
        <f ca="1">IF($AS1324="","",TEXT(Config!$B$4,"yyyy-mm-dd"))</f>
        <v/>
      </c>
      <c r="T1324" t="str">
        <f>IF($AS1324="","",Config!$B$17)</f>
        <v/>
      </c>
      <c r="U1324" t="str">
        <f>IF($AS1324="","",Config!$B$18)</f>
        <v/>
      </c>
      <c r="V1324" t="str">
        <f>IF($AS1324="","",Config!$B$19)</f>
        <v/>
      </c>
      <c r="W1324" t="str">
        <f>IF($AS1324="","",INDEX('TMP Paste'!$C$2:$C$1601,$AS1324))</f>
        <v/>
      </c>
      <c r="X1324" t="str">
        <f>IF($AS1324="","",Config!$B$29)</f>
        <v/>
      </c>
      <c r="Y1324" t="str">
        <f>IF($AT1324="","",INDEX(Calc!$I$2:$I$1601,$AT1324)&amp;" - "&amp;INDEX(Calc!$D$2:$D$1601,$AT1324)&amp;" koli")</f>
        <v/>
      </c>
      <c r="Z1324" t="str">
        <f>IF($AS1324="","",Config!$B$21)</f>
        <v/>
      </c>
      <c r="AA1324" t="str">
        <f>IF($AS1324="","",Config!$B$22)</f>
        <v/>
      </c>
      <c r="AB1324" t="str">
        <f>IF($AT1324="","",INDEX(Calc!$D$2:$D$1601,$AT1324))</f>
        <v/>
      </c>
      <c r="AC1324" t="str">
        <f>IF($AT1324="","",INDEX(Calc!$G$2:$G$1601,$AT1324))</f>
        <v/>
      </c>
      <c r="AD1324" t="str">
        <f>IF($AS1324="","",Config!$B$23)</f>
        <v/>
      </c>
      <c r="AE1324" t="str">
        <f>IF($AS1324="","",Config!$B$28)</f>
        <v/>
      </c>
      <c r="AF1324" t="str">
        <f t="shared" si="122"/>
        <v/>
      </c>
      <c r="AG1324" t="str">
        <f t="shared" si="123"/>
        <v/>
      </c>
      <c r="AH1324" t="str">
        <f t="shared" si="124"/>
        <v/>
      </c>
      <c r="AI1324" t="str">
        <f>IF($AG1324="","",SUMIF($AG$2:$AG1324,$AG1324,$AH$2:$AH1324))</f>
        <v/>
      </c>
      <c r="AJ1324" t="str">
        <f>IF('TMP Paste'!$F1324="","",IF('TMP Paste'!$B1324="",$AJ1323,'TMP Paste'!$B1324))</f>
        <v/>
      </c>
      <c r="AK1324" t="str">
        <f>IF('TMP Paste'!$F1324="","",N('TMP Paste'!$G1324))</f>
        <v/>
      </c>
      <c r="AL1324" t="str">
        <f>IF('TMP Paste'!$F1324="","",IF('TMP Paste'!$M1324="",$AL1323,'TMP Paste'!$M1324))</f>
        <v/>
      </c>
      <c r="AM1324" t="str">
        <f>IF('TMP Paste'!$F1324="","",IF('TMP Paste'!$N1324="",$AM1323,'TMP Paste'!$N1324))</f>
        <v/>
      </c>
      <c r="AN1324" t="str">
        <f>IF('TMP Paste'!$F1324="","",IF('TMP Paste'!$O1324="",$AN1323,'TMP Paste'!$O1324))</f>
        <v/>
      </c>
      <c r="AO1324" t="str">
        <f>IF('TMP Paste'!$F1324="","",IF('TMP Paste'!$P1324="",$AO1323,'TMP Paste'!$P1324))</f>
        <v/>
      </c>
      <c r="AP1324" t="str">
        <f t="shared" si="125"/>
        <v/>
      </c>
      <c r="AQ1324" t="str">
        <f>IF($AS1324="","",TRIM(IF(COUNTIFS(Calc!$B$2:$B$1601,ROW()-1,Calc!$C$2:$C$1601,"&lt;1")&gt;0,"Ada PO tanpa Koli - cek TMP. ","")&amp;IF(OR($AU1324="",$AU1324&lt;=0),"Volume kosong/0 - dimensi dikosongkan. ","")&amp;IF(AND($AU1324&lt;&gt;"",$AU1324&gt;=1000000),"Volume &gt;= 1.000.000 cm3 (di luar aturan) - dimensi dikosongkan. ","")&amp;IF(LEN($R1324)&gt;500,"R &gt; 500 karakter.","")))</f>
        <v/>
      </c>
      <c r="AS1324" t="str">
        <f>IFERROR(MATCH(ROW()-1,Calc!$J$2:$J$1601,0),"")</f>
        <v/>
      </c>
      <c r="AT1324" t="str">
        <f>IFERROR(MATCH(ROW()-1,Calc!$K$2:$K$1601,0),"")</f>
        <v/>
      </c>
      <c r="AU1324" t="str">
        <f>IF($AS1324="","",IFERROR(INDEX('TMP Paste'!$D$2:$D$1601,$AS1324)*1000000/$AB1324,""))</f>
        <v/>
      </c>
    </row>
    <row r="1325" spans="1:47">
      <c r="A1325" t="str">
        <f>IF($AS1325="","",INDEX('TMP Paste'!$B$2:$B$1601,$AS1325))</f>
        <v/>
      </c>
      <c r="B1325" t="str">
        <f>IF($AS1325="","",Config!$B$14)</f>
        <v/>
      </c>
      <c r="C1325" t="str">
        <f>IF($AS1325="","",Config!$B$15)</f>
        <v/>
      </c>
      <c r="D1325" t="str">
        <f>IF($AS1325="","",INDEX('TMP Paste'!$B$2:$B$1601,$AS1325))</f>
        <v/>
      </c>
      <c r="E1325" t="str">
        <f>IF($AS1325="","",Config!$B$27)</f>
        <v/>
      </c>
      <c r="F1325" t="str">
        <f>IF($AS1325="","",Config!$B$9)</f>
        <v/>
      </c>
      <c r="G1325" t="str">
        <f>IF($AS1325="","",Config!$B$10)</f>
        <v/>
      </c>
      <c r="H1325" t="str">
        <f>IF($AS1325="","",Config!$B$11)</f>
        <v/>
      </c>
      <c r="I1325" t="str">
        <f>IF($AS1325="","",Config!$B$16)</f>
        <v/>
      </c>
      <c r="J1325" t="str">
        <f>IF($AS1325="","",INDEX('TMP Paste'!$A$2:$A$1601,$AS1325))</f>
        <v/>
      </c>
      <c r="K1325" t="str">
        <f>IF($AS1325="","",INDEX('TMP Paste'!$L$2:$L$1601,$AS1325))</f>
        <v/>
      </c>
      <c r="L1325" t="str">
        <f>IF($AS1325="","",INDEX('TMP Paste'!$I$2:$I$1601,$AS1325))</f>
        <v/>
      </c>
      <c r="M1325" t="str">
        <f>IF($AS1325="","",Config!$B$16)</f>
        <v/>
      </c>
      <c r="N1325" t="str">
        <f t="shared" si="120"/>
        <v/>
      </c>
      <c r="O1325" t="str">
        <f>IF($AS1325="","",INDEX('TMP Paste'!$K$2:$K$1601,$AS1325))</f>
        <v/>
      </c>
      <c r="P1325" t="str">
        <f t="shared" si="121"/>
        <v/>
      </c>
      <c r="Q1325" t="str">
        <f>IF($AS1325="","",INDEX('TMP Paste'!$J$2:$J$1601,$AS1325))</f>
        <v/>
      </c>
      <c r="R1325" t="str">
        <f>IF($AS1325="","",Config!$B$24)</f>
        <v/>
      </c>
      <c r="S1325" t="str">
        <f ca="1">IF($AS1325="","",TEXT(Config!$B$4,"yyyy-mm-dd"))</f>
        <v/>
      </c>
      <c r="T1325" t="str">
        <f>IF($AS1325="","",Config!$B$17)</f>
        <v/>
      </c>
      <c r="U1325" t="str">
        <f>IF($AS1325="","",Config!$B$18)</f>
        <v/>
      </c>
      <c r="V1325" t="str">
        <f>IF($AS1325="","",Config!$B$19)</f>
        <v/>
      </c>
      <c r="W1325" t="str">
        <f>IF($AS1325="","",INDEX('TMP Paste'!$C$2:$C$1601,$AS1325))</f>
        <v/>
      </c>
      <c r="X1325" t="str">
        <f>IF($AS1325="","",Config!$B$29)</f>
        <v/>
      </c>
      <c r="Y1325" t="str">
        <f>IF($AT1325="","",INDEX(Calc!$I$2:$I$1601,$AT1325)&amp;" - "&amp;INDEX(Calc!$D$2:$D$1601,$AT1325)&amp;" koli")</f>
        <v/>
      </c>
      <c r="Z1325" t="str">
        <f>IF($AS1325="","",Config!$B$21)</f>
        <v/>
      </c>
      <c r="AA1325" t="str">
        <f>IF($AS1325="","",Config!$B$22)</f>
        <v/>
      </c>
      <c r="AB1325" t="str">
        <f>IF($AT1325="","",INDEX(Calc!$D$2:$D$1601,$AT1325))</f>
        <v/>
      </c>
      <c r="AC1325" t="str">
        <f>IF($AT1325="","",INDEX(Calc!$G$2:$G$1601,$AT1325))</f>
        <v/>
      </c>
      <c r="AD1325" t="str">
        <f>IF($AS1325="","",Config!$B$23)</f>
        <v/>
      </c>
      <c r="AE1325" t="str">
        <f>IF($AS1325="","",Config!$B$28)</f>
        <v/>
      </c>
      <c r="AF1325" t="str">
        <f t="shared" si="122"/>
        <v/>
      </c>
      <c r="AG1325" t="str">
        <f t="shared" si="123"/>
        <v/>
      </c>
      <c r="AH1325" t="str">
        <f t="shared" si="124"/>
        <v/>
      </c>
      <c r="AI1325" t="str">
        <f>IF($AG1325="","",SUMIF($AG$2:$AG1325,$AG1325,$AH$2:$AH1325))</f>
        <v/>
      </c>
      <c r="AJ1325" t="str">
        <f>IF('TMP Paste'!$F1325="","",IF('TMP Paste'!$B1325="",$AJ1324,'TMP Paste'!$B1325))</f>
        <v/>
      </c>
      <c r="AK1325" t="str">
        <f>IF('TMP Paste'!$F1325="","",N('TMP Paste'!$G1325))</f>
        <v/>
      </c>
      <c r="AL1325" t="str">
        <f>IF('TMP Paste'!$F1325="","",IF('TMP Paste'!$M1325="",$AL1324,'TMP Paste'!$M1325))</f>
        <v/>
      </c>
      <c r="AM1325" t="str">
        <f>IF('TMP Paste'!$F1325="","",IF('TMP Paste'!$N1325="",$AM1324,'TMP Paste'!$N1325))</f>
        <v/>
      </c>
      <c r="AN1325" t="str">
        <f>IF('TMP Paste'!$F1325="","",IF('TMP Paste'!$O1325="",$AN1324,'TMP Paste'!$O1325))</f>
        <v/>
      </c>
      <c r="AO1325" t="str">
        <f>IF('TMP Paste'!$F1325="","",IF('TMP Paste'!$P1325="",$AO1324,'TMP Paste'!$P1325))</f>
        <v/>
      </c>
      <c r="AP1325" t="str">
        <f t="shared" si="125"/>
        <v/>
      </c>
      <c r="AQ1325" t="str">
        <f>IF($AS1325="","",TRIM(IF(COUNTIFS(Calc!$B$2:$B$1601,ROW()-1,Calc!$C$2:$C$1601,"&lt;1")&gt;0,"Ada PO tanpa Koli - cek TMP. ","")&amp;IF(OR($AU1325="",$AU1325&lt;=0),"Volume kosong/0 - dimensi dikosongkan. ","")&amp;IF(AND($AU1325&lt;&gt;"",$AU1325&gt;=1000000),"Volume &gt;= 1.000.000 cm3 (di luar aturan) - dimensi dikosongkan. ","")&amp;IF(LEN($R1325)&gt;500,"R &gt; 500 karakter.","")))</f>
        <v/>
      </c>
      <c r="AS1325" t="str">
        <f>IFERROR(MATCH(ROW()-1,Calc!$J$2:$J$1601,0),"")</f>
        <v/>
      </c>
      <c r="AT1325" t="str">
        <f>IFERROR(MATCH(ROW()-1,Calc!$K$2:$K$1601,0),"")</f>
        <v/>
      </c>
      <c r="AU1325" t="str">
        <f>IF($AS1325="","",IFERROR(INDEX('TMP Paste'!$D$2:$D$1601,$AS1325)*1000000/$AB1325,""))</f>
        <v/>
      </c>
    </row>
    <row r="1326" spans="1:47">
      <c r="A1326" t="str">
        <f>IF($AS1326="","",INDEX('TMP Paste'!$B$2:$B$1601,$AS1326))</f>
        <v/>
      </c>
      <c r="B1326" t="str">
        <f>IF($AS1326="","",Config!$B$14)</f>
        <v/>
      </c>
      <c r="C1326" t="str">
        <f>IF($AS1326="","",Config!$B$15)</f>
        <v/>
      </c>
      <c r="D1326" t="str">
        <f>IF($AS1326="","",INDEX('TMP Paste'!$B$2:$B$1601,$AS1326))</f>
        <v/>
      </c>
      <c r="E1326" t="str">
        <f>IF($AS1326="","",Config!$B$27)</f>
        <v/>
      </c>
      <c r="F1326" t="str">
        <f>IF($AS1326="","",Config!$B$9)</f>
        <v/>
      </c>
      <c r="G1326" t="str">
        <f>IF($AS1326="","",Config!$B$10)</f>
        <v/>
      </c>
      <c r="H1326" t="str">
        <f>IF($AS1326="","",Config!$B$11)</f>
        <v/>
      </c>
      <c r="I1326" t="str">
        <f>IF($AS1326="","",Config!$B$16)</f>
        <v/>
      </c>
      <c r="J1326" t="str">
        <f>IF($AS1326="","",INDEX('TMP Paste'!$A$2:$A$1601,$AS1326))</f>
        <v/>
      </c>
      <c r="K1326" t="str">
        <f>IF($AS1326="","",INDEX('TMP Paste'!$L$2:$L$1601,$AS1326))</f>
        <v/>
      </c>
      <c r="L1326" t="str">
        <f>IF($AS1326="","",INDEX('TMP Paste'!$I$2:$I$1601,$AS1326))</f>
        <v/>
      </c>
      <c r="M1326" t="str">
        <f>IF($AS1326="","",Config!$B$16)</f>
        <v/>
      </c>
      <c r="N1326" t="str">
        <f t="shared" si="120"/>
        <v/>
      </c>
      <c r="O1326" t="str">
        <f>IF($AS1326="","",INDEX('TMP Paste'!$K$2:$K$1601,$AS1326))</f>
        <v/>
      </c>
      <c r="P1326" t="str">
        <f t="shared" si="121"/>
        <v/>
      </c>
      <c r="Q1326" t="str">
        <f>IF($AS1326="","",INDEX('TMP Paste'!$J$2:$J$1601,$AS1326))</f>
        <v/>
      </c>
      <c r="R1326" t="str">
        <f>IF($AS1326="","",Config!$B$24)</f>
        <v/>
      </c>
      <c r="S1326" t="str">
        <f ca="1">IF($AS1326="","",TEXT(Config!$B$4,"yyyy-mm-dd"))</f>
        <v/>
      </c>
      <c r="T1326" t="str">
        <f>IF($AS1326="","",Config!$B$17)</f>
        <v/>
      </c>
      <c r="U1326" t="str">
        <f>IF($AS1326="","",Config!$B$18)</f>
        <v/>
      </c>
      <c r="V1326" t="str">
        <f>IF($AS1326="","",Config!$B$19)</f>
        <v/>
      </c>
      <c r="W1326" t="str">
        <f>IF($AS1326="","",INDEX('TMP Paste'!$C$2:$C$1601,$AS1326))</f>
        <v/>
      </c>
      <c r="X1326" t="str">
        <f>IF($AS1326="","",Config!$B$29)</f>
        <v/>
      </c>
      <c r="Y1326" t="str">
        <f>IF($AT1326="","",INDEX(Calc!$I$2:$I$1601,$AT1326)&amp;" - "&amp;INDEX(Calc!$D$2:$D$1601,$AT1326)&amp;" koli")</f>
        <v/>
      </c>
      <c r="Z1326" t="str">
        <f>IF($AS1326="","",Config!$B$21)</f>
        <v/>
      </c>
      <c r="AA1326" t="str">
        <f>IF($AS1326="","",Config!$B$22)</f>
        <v/>
      </c>
      <c r="AB1326" t="str">
        <f>IF($AT1326="","",INDEX(Calc!$D$2:$D$1601,$AT1326))</f>
        <v/>
      </c>
      <c r="AC1326" t="str">
        <f>IF($AT1326="","",INDEX(Calc!$G$2:$G$1601,$AT1326))</f>
        <v/>
      </c>
      <c r="AD1326" t="str">
        <f>IF($AS1326="","",Config!$B$23)</f>
        <v/>
      </c>
      <c r="AE1326" t="str">
        <f>IF($AS1326="","",Config!$B$28)</f>
        <v/>
      </c>
      <c r="AF1326" t="str">
        <f t="shared" si="122"/>
        <v/>
      </c>
      <c r="AG1326" t="str">
        <f t="shared" si="123"/>
        <v/>
      </c>
      <c r="AH1326" t="str">
        <f t="shared" si="124"/>
        <v/>
      </c>
      <c r="AI1326" t="str">
        <f>IF($AG1326="","",SUMIF($AG$2:$AG1326,$AG1326,$AH$2:$AH1326))</f>
        <v/>
      </c>
      <c r="AJ1326" t="str">
        <f>IF('TMP Paste'!$F1326="","",IF('TMP Paste'!$B1326="",$AJ1325,'TMP Paste'!$B1326))</f>
        <v/>
      </c>
      <c r="AK1326" t="str">
        <f>IF('TMP Paste'!$F1326="","",N('TMP Paste'!$G1326))</f>
        <v/>
      </c>
      <c r="AL1326" t="str">
        <f>IF('TMP Paste'!$F1326="","",IF('TMP Paste'!$M1326="",$AL1325,'TMP Paste'!$M1326))</f>
        <v/>
      </c>
      <c r="AM1326" t="str">
        <f>IF('TMP Paste'!$F1326="","",IF('TMP Paste'!$N1326="",$AM1325,'TMP Paste'!$N1326))</f>
        <v/>
      </c>
      <c r="AN1326" t="str">
        <f>IF('TMP Paste'!$F1326="","",IF('TMP Paste'!$O1326="",$AN1325,'TMP Paste'!$O1326))</f>
        <v/>
      </c>
      <c r="AO1326" t="str">
        <f>IF('TMP Paste'!$F1326="","",IF('TMP Paste'!$P1326="",$AO1325,'TMP Paste'!$P1326))</f>
        <v/>
      </c>
      <c r="AP1326" t="str">
        <f t="shared" si="125"/>
        <v/>
      </c>
      <c r="AQ1326" t="str">
        <f>IF($AS1326="","",TRIM(IF(COUNTIFS(Calc!$B$2:$B$1601,ROW()-1,Calc!$C$2:$C$1601,"&lt;1")&gt;0,"Ada PO tanpa Koli - cek TMP. ","")&amp;IF(OR($AU1326="",$AU1326&lt;=0),"Volume kosong/0 - dimensi dikosongkan. ","")&amp;IF(AND($AU1326&lt;&gt;"",$AU1326&gt;=1000000),"Volume &gt;= 1.000.000 cm3 (di luar aturan) - dimensi dikosongkan. ","")&amp;IF(LEN($R1326)&gt;500,"R &gt; 500 karakter.","")))</f>
        <v/>
      </c>
      <c r="AS1326" t="str">
        <f>IFERROR(MATCH(ROW()-1,Calc!$J$2:$J$1601,0),"")</f>
        <v/>
      </c>
      <c r="AT1326" t="str">
        <f>IFERROR(MATCH(ROW()-1,Calc!$K$2:$K$1601,0),"")</f>
        <v/>
      </c>
      <c r="AU1326" t="str">
        <f>IF($AS1326="","",IFERROR(INDEX('TMP Paste'!$D$2:$D$1601,$AS1326)*1000000/$AB1326,""))</f>
        <v/>
      </c>
    </row>
    <row r="1327" spans="1:47">
      <c r="A1327" t="str">
        <f>IF($AS1327="","",INDEX('TMP Paste'!$B$2:$B$1601,$AS1327))</f>
        <v/>
      </c>
      <c r="B1327" t="str">
        <f>IF($AS1327="","",Config!$B$14)</f>
        <v/>
      </c>
      <c r="C1327" t="str">
        <f>IF($AS1327="","",Config!$B$15)</f>
        <v/>
      </c>
      <c r="D1327" t="str">
        <f>IF($AS1327="","",INDEX('TMP Paste'!$B$2:$B$1601,$AS1327))</f>
        <v/>
      </c>
      <c r="E1327" t="str">
        <f>IF($AS1327="","",Config!$B$27)</f>
        <v/>
      </c>
      <c r="F1327" t="str">
        <f>IF($AS1327="","",Config!$B$9)</f>
        <v/>
      </c>
      <c r="G1327" t="str">
        <f>IF($AS1327="","",Config!$B$10)</f>
        <v/>
      </c>
      <c r="H1327" t="str">
        <f>IF($AS1327="","",Config!$B$11)</f>
        <v/>
      </c>
      <c r="I1327" t="str">
        <f>IF($AS1327="","",Config!$B$16)</f>
        <v/>
      </c>
      <c r="J1327" t="str">
        <f>IF($AS1327="","",INDEX('TMP Paste'!$A$2:$A$1601,$AS1327))</f>
        <v/>
      </c>
      <c r="K1327" t="str">
        <f>IF($AS1327="","",INDEX('TMP Paste'!$L$2:$L$1601,$AS1327))</f>
        <v/>
      </c>
      <c r="L1327" t="str">
        <f>IF($AS1327="","",INDEX('TMP Paste'!$I$2:$I$1601,$AS1327))</f>
        <v/>
      </c>
      <c r="M1327" t="str">
        <f>IF($AS1327="","",Config!$B$16)</f>
        <v/>
      </c>
      <c r="N1327" t="str">
        <f t="shared" si="120"/>
        <v/>
      </c>
      <c r="O1327" t="str">
        <f>IF($AS1327="","",INDEX('TMP Paste'!$K$2:$K$1601,$AS1327))</f>
        <v/>
      </c>
      <c r="P1327" t="str">
        <f t="shared" si="121"/>
        <v/>
      </c>
      <c r="Q1327" t="str">
        <f>IF($AS1327="","",INDEX('TMP Paste'!$J$2:$J$1601,$AS1327))</f>
        <v/>
      </c>
      <c r="R1327" t="str">
        <f>IF($AS1327="","",Config!$B$24)</f>
        <v/>
      </c>
      <c r="S1327" t="str">
        <f ca="1">IF($AS1327="","",TEXT(Config!$B$4,"yyyy-mm-dd"))</f>
        <v/>
      </c>
      <c r="T1327" t="str">
        <f>IF($AS1327="","",Config!$B$17)</f>
        <v/>
      </c>
      <c r="U1327" t="str">
        <f>IF($AS1327="","",Config!$B$18)</f>
        <v/>
      </c>
      <c r="V1327" t="str">
        <f>IF($AS1327="","",Config!$B$19)</f>
        <v/>
      </c>
      <c r="W1327" t="str">
        <f>IF($AS1327="","",INDEX('TMP Paste'!$C$2:$C$1601,$AS1327))</f>
        <v/>
      </c>
      <c r="X1327" t="str">
        <f>IF($AS1327="","",Config!$B$29)</f>
        <v/>
      </c>
      <c r="Y1327" t="str">
        <f>IF($AT1327="","",INDEX(Calc!$I$2:$I$1601,$AT1327)&amp;" - "&amp;INDEX(Calc!$D$2:$D$1601,$AT1327)&amp;" koli")</f>
        <v/>
      </c>
      <c r="Z1327" t="str">
        <f>IF($AS1327="","",Config!$B$21)</f>
        <v/>
      </c>
      <c r="AA1327" t="str">
        <f>IF($AS1327="","",Config!$B$22)</f>
        <v/>
      </c>
      <c r="AB1327" t="str">
        <f>IF($AT1327="","",INDEX(Calc!$D$2:$D$1601,$AT1327))</f>
        <v/>
      </c>
      <c r="AC1327" t="str">
        <f>IF($AT1327="","",INDEX(Calc!$G$2:$G$1601,$AT1327))</f>
        <v/>
      </c>
      <c r="AD1327" t="str">
        <f>IF($AS1327="","",Config!$B$23)</f>
        <v/>
      </c>
      <c r="AE1327" t="str">
        <f>IF($AS1327="","",Config!$B$28)</f>
        <v/>
      </c>
      <c r="AF1327" t="str">
        <f t="shared" si="122"/>
        <v/>
      </c>
      <c r="AG1327" t="str">
        <f t="shared" si="123"/>
        <v/>
      </c>
      <c r="AH1327" t="str">
        <f t="shared" si="124"/>
        <v/>
      </c>
      <c r="AI1327" t="str">
        <f>IF($AG1327="","",SUMIF($AG$2:$AG1327,$AG1327,$AH$2:$AH1327))</f>
        <v/>
      </c>
      <c r="AJ1327" t="str">
        <f>IF('TMP Paste'!$F1327="","",IF('TMP Paste'!$B1327="",$AJ1326,'TMP Paste'!$B1327))</f>
        <v/>
      </c>
      <c r="AK1327" t="str">
        <f>IF('TMP Paste'!$F1327="","",N('TMP Paste'!$G1327))</f>
        <v/>
      </c>
      <c r="AL1327" t="str">
        <f>IF('TMP Paste'!$F1327="","",IF('TMP Paste'!$M1327="",$AL1326,'TMP Paste'!$M1327))</f>
        <v/>
      </c>
      <c r="AM1327" t="str">
        <f>IF('TMP Paste'!$F1327="","",IF('TMP Paste'!$N1327="",$AM1326,'TMP Paste'!$N1327))</f>
        <v/>
      </c>
      <c r="AN1327" t="str">
        <f>IF('TMP Paste'!$F1327="","",IF('TMP Paste'!$O1327="",$AN1326,'TMP Paste'!$O1327))</f>
        <v/>
      </c>
      <c r="AO1327" t="str">
        <f>IF('TMP Paste'!$F1327="","",IF('TMP Paste'!$P1327="",$AO1326,'TMP Paste'!$P1327))</f>
        <v/>
      </c>
      <c r="AP1327" t="str">
        <f t="shared" si="125"/>
        <v/>
      </c>
      <c r="AQ1327" t="str">
        <f>IF($AS1327="","",TRIM(IF(COUNTIFS(Calc!$B$2:$B$1601,ROW()-1,Calc!$C$2:$C$1601,"&lt;1")&gt;0,"Ada PO tanpa Koli - cek TMP. ","")&amp;IF(OR($AU1327="",$AU1327&lt;=0),"Volume kosong/0 - dimensi dikosongkan. ","")&amp;IF(AND($AU1327&lt;&gt;"",$AU1327&gt;=1000000),"Volume &gt;= 1.000.000 cm3 (di luar aturan) - dimensi dikosongkan. ","")&amp;IF(LEN($R1327)&gt;500,"R &gt; 500 karakter.","")))</f>
        <v/>
      </c>
      <c r="AS1327" t="str">
        <f>IFERROR(MATCH(ROW()-1,Calc!$J$2:$J$1601,0),"")</f>
        <v/>
      </c>
      <c r="AT1327" t="str">
        <f>IFERROR(MATCH(ROW()-1,Calc!$K$2:$K$1601,0),"")</f>
        <v/>
      </c>
      <c r="AU1327" t="str">
        <f>IF($AS1327="","",IFERROR(INDEX('TMP Paste'!$D$2:$D$1601,$AS1327)*1000000/$AB1327,""))</f>
        <v/>
      </c>
    </row>
    <row r="1328" spans="1:47">
      <c r="A1328" t="str">
        <f>IF($AS1328="","",INDEX('TMP Paste'!$B$2:$B$1601,$AS1328))</f>
        <v/>
      </c>
      <c r="B1328" t="str">
        <f>IF($AS1328="","",Config!$B$14)</f>
        <v/>
      </c>
      <c r="C1328" t="str">
        <f>IF($AS1328="","",Config!$B$15)</f>
        <v/>
      </c>
      <c r="D1328" t="str">
        <f>IF($AS1328="","",INDEX('TMP Paste'!$B$2:$B$1601,$AS1328))</f>
        <v/>
      </c>
      <c r="E1328" t="str">
        <f>IF($AS1328="","",Config!$B$27)</f>
        <v/>
      </c>
      <c r="F1328" t="str">
        <f>IF($AS1328="","",Config!$B$9)</f>
        <v/>
      </c>
      <c r="G1328" t="str">
        <f>IF($AS1328="","",Config!$B$10)</f>
        <v/>
      </c>
      <c r="H1328" t="str">
        <f>IF($AS1328="","",Config!$B$11)</f>
        <v/>
      </c>
      <c r="I1328" t="str">
        <f>IF($AS1328="","",Config!$B$16)</f>
        <v/>
      </c>
      <c r="J1328" t="str">
        <f>IF($AS1328="","",INDEX('TMP Paste'!$A$2:$A$1601,$AS1328))</f>
        <v/>
      </c>
      <c r="K1328" t="str">
        <f>IF($AS1328="","",INDEX('TMP Paste'!$L$2:$L$1601,$AS1328))</f>
        <v/>
      </c>
      <c r="L1328" t="str">
        <f>IF($AS1328="","",INDEX('TMP Paste'!$I$2:$I$1601,$AS1328))</f>
        <v/>
      </c>
      <c r="M1328" t="str">
        <f>IF($AS1328="","",Config!$B$16)</f>
        <v/>
      </c>
      <c r="N1328" t="str">
        <f t="shared" si="120"/>
        <v/>
      </c>
      <c r="O1328" t="str">
        <f>IF($AS1328="","",INDEX('TMP Paste'!$K$2:$K$1601,$AS1328))</f>
        <v/>
      </c>
      <c r="P1328" t="str">
        <f t="shared" si="121"/>
        <v/>
      </c>
      <c r="Q1328" t="str">
        <f>IF($AS1328="","",INDEX('TMP Paste'!$J$2:$J$1601,$AS1328))</f>
        <v/>
      </c>
      <c r="R1328" t="str">
        <f>IF($AS1328="","",Config!$B$24)</f>
        <v/>
      </c>
      <c r="S1328" t="str">
        <f ca="1">IF($AS1328="","",TEXT(Config!$B$4,"yyyy-mm-dd"))</f>
        <v/>
      </c>
      <c r="T1328" t="str">
        <f>IF($AS1328="","",Config!$B$17)</f>
        <v/>
      </c>
      <c r="U1328" t="str">
        <f>IF($AS1328="","",Config!$B$18)</f>
        <v/>
      </c>
      <c r="V1328" t="str">
        <f>IF($AS1328="","",Config!$B$19)</f>
        <v/>
      </c>
      <c r="W1328" t="str">
        <f>IF($AS1328="","",INDEX('TMP Paste'!$C$2:$C$1601,$AS1328))</f>
        <v/>
      </c>
      <c r="X1328" t="str">
        <f>IF($AS1328="","",Config!$B$29)</f>
        <v/>
      </c>
      <c r="Y1328" t="str">
        <f>IF($AT1328="","",INDEX(Calc!$I$2:$I$1601,$AT1328)&amp;" - "&amp;INDEX(Calc!$D$2:$D$1601,$AT1328)&amp;" koli")</f>
        <v/>
      </c>
      <c r="Z1328" t="str">
        <f>IF($AS1328="","",Config!$B$21)</f>
        <v/>
      </c>
      <c r="AA1328" t="str">
        <f>IF($AS1328="","",Config!$B$22)</f>
        <v/>
      </c>
      <c r="AB1328" t="str">
        <f>IF($AT1328="","",INDEX(Calc!$D$2:$D$1601,$AT1328))</f>
        <v/>
      </c>
      <c r="AC1328" t="str">
        <f>IF($AT1328="","",INDEX(Calc!$G$2:$G$1601,$AT1328))</f>
        <v/>
      </c>
      <c r="AD1328" t="str">
        <f>IF($AS1328="","",Config!$B$23)</f>
        <v/>
      </c>
      <c r="AE1328" t="str">
        <f>IF($AS1328="","",Config!$B$28)</f>
        <v/>
      </c>
      <c r="AF1328" t="str">
        <f t="shared" si="122"/>
        <v/>
      </c>
      <c r="AG1328" t="str">
        <f t="shared" si="123"/>
        <v/>
      </c>
      <c r="AH1328" t="str">
        <f t="shared" si="124"/>
        <v/>
      </c>
      <c r="AI1328" t="str">
        <f>IF($AG1328="","",SUMIF($AG$2:$AG1328,$AG1328,$AH$2:$AH1328))</f>
        <v/>
      </c>
      <c r="AJ1328" t="str">
        <f>IF('TMP Paste'!$F1328="","",IF('TMP Paste'!$B1328="",$AJ1327,'TMP Paste'!$B1328))</f>
        <v/>
      </c>
      <c r="AK1328" t="str">
        <f>IF('TMP Paste'!$F1328="","",N('TMP Paste'!$G1328))</f>
        <v/>
      </c>
      <c r="AL1328" t="str">
        <f>IF('TMP Paste'!$F1328="","",IF('TMP Paste'!$M1328="",$AL1327,'TMP Paste'!$M1328))</f>
        <v/>
      </c>
      <c r="AM1328" t="str">
        <f>IF('TMP Paste'!$F1328="","",IF('TMP Paste'!$N1328="",$AM1327,'TMP Paste'!$N1328))</f>
        <v/>
      </c>
      <c r="AN1328" t="str">
        <f>IF('TMP Paste'!$F1328="","",IF('TMP Paste'!$O1328="",$AN1327,'TMP Paste'!$O1328))</f>
        <v/>
      </c>
      <c r="AO1328" t="str">
        <f>IF('TMP Paste'!$F1328="","",IF('TMP Paste'!$P1328="",$AO1327,'TMP Paste'!$P1328))</f>
        <v/>
      </c>
      <c r="AP1328" t="str">
        <f t="shared" si="125"/>
        <v/>
      </c>
      <c r="AQ1328" t="str">
        <f>IF($AS1328="","",TRIM(IF(COUNTIFS(Calc!$B$2:$B$1601,ROW()-1,Calc!$C$2:$C$1601,"&lt;1")&gt;0,"Ada PO tanpa Koli - cek TMP. ","")&amp;IF(OR($AU1328="",$AU1328&lt;=0),"Volume kosong/0 - dimensi dikosongkan. ","")&amp;IF(AND($AU1328&lt;&gt;"",$AU1328&gt;=1000000),"Volume &gt;= 1.000.000 cm3 (di luar aturan) - dimensi dikosongkan. ","")&amp;IF(LEN($R1328)&gt;500,"R &gt; 500 karakter.","")))</f>
        <v/>
      </c>
      <c r="AS1328" t="str">
        <f>IFERROR(MATCH(ROW()-1,Calc!$J$2:$J$1601,0),"")</f>
        <v/>
      </c>
      <c r="AT1328" t="str">
        <f>IFERROR(MATCH(ROW()-1,Calc!$K$2:$K$1601,0),"")</f>
        <v/>
      </c>
      <c r="AU1328" t="str">
        <f>IF($AS1328="","",IFERROR(INDEX('TMP Paste'!$D$2:$D$1601,$AS1328)*1000000/$AB1328,""))</f>
        <v/>
      </c>
    </row>
    <row r="1329" spans="1:47">
      <c r="A1329" t="str">
        <f>IF($AS1329="","",INDEX('TMP Paste'!$B$2:$B$1601,$AS1329))</f>
        <v/>
      </c>
      <c r="B1329" t="str">
        <f>IF($AS1329="","",Config!$B$14)</f>
        <v/>
      </c>
      <c r="C1329" t="str">
        <f>IF($AS1329="","",Config!$B$15)</f>
        <v/>
      </c>
      <c r="D1329" t="str">
        <f>IF($AS1329="","",INDEX('TMP Paste'!$B$2:$B$1601,$AS1329))</f>
        <v/>
      </c>
      <c r="E1329" t="str">
        <f>IF($AS1329="","",Config!$B$27)</f>
        <v/>
      </c>
      <c r="F1329" t="str">
        <f>IF($AS1329="","",Config!$B$9)</f>
        <v/>
      </c>
      <c r="G1329" t="str">
        <f>IF($AS1329="","",Config!$B$10)</f>
        <v/>
      </c>
      <c r="H1329" t="str">
        <f>IF($AS1329="","",Config!$B$11)</f>
        <v/>
      </c>
      <c r="I1329" t="str">
        <f>IF($AS1329="","",Config!$B$16)</f>
        <v/>
      </c>
      <c r="J1329" t="str">
        <f>IF($AS1329="","",INDEX('TMP Paste'!$A$2:$A$1601,$AS1329))</f>
        <v/>
      </c>
      <c r="K1329" t="str">
        <f>IF($AS1329="","",INDEX('TMP Paste'!$L$2:$L$1601,$AS1329))</f>
        <v/>
      </c>
      <c r="L1329" t="str">
        <f>IF($AS1329="","",INDEX('TMP Paste'!$I$2:$I$1601,$AS1329))</f>
        <v/>
      </c>
      <c r="M1329" t="str">
        <f>IF($AS1329="","",Config!$B$16)</f>
        <v/>
      </c>
      <c r="N1329" t="str">
        <f t="shared" si="120"/>
        <v/>
      </c>
      <c r="O1329" t="str">
        <f>IF($AS1329="","",INDEX('TMP Paste'!$K$2:$K$1601,$AS1329))</f>
        <v/>
      </c>
      <c r="P1329" t="str">
        <f t="shared" si="121"/>
        <v/>
      </c>
      <c r="Q1329" t="str">
        <f>IF($AS1329="","",INDEX('TMP Paste'!$J$2:$J$1601,$AS1329))</f>
        <v/>
      </c>
      <c r="R1329" t="str">
        <f>IF($AS1329="","",Config!$B$24)</f>
        <v/>
      </c>
      <c r="S1329" t="str">
        <f ca="1">IF($AS1329="","",TEXT(Config!$B$4,"yyyy-mm-dd"))</f>
        <v/>
      </c>
      <c r="T1329" t="str">
        <f>IF($AS1329="","",Config!$B$17)</f>
        <v/>
      </c>
      <c r="U1329" t="str">
        <f>IF($AS1329="","",Config!$B$18)</f>
        <v/>
      </c>
      <c r="V1329" t="str">
        <f>IF($AS1329="","",Config!$B$19)</f>
        <v/>
      </c>
      <c r="W1329" t="str">
        <f>IF($AS1329="","",INDEX('TMP Paste'!$C$2:$C$1601,$AS1329))</f>
        <v/>
      </c>
      <c r="X1329" t="str">
        <f>IF($AS1329="","",Config!$B$29)</f>
        <v/>
      </c>
      <c r="Y1329" t="str">
        <f>IF($AT1329="","",INDEX(Calc!$I$2:$I$1601,$AT1329)&amp;" - "&amp;INDEX(Calc!$D$2:$D$1601,$AT1329)&amp;" koli")</f>
        <v/>
      </c>
      <c r="Z1329" t="str">
        <f>IF($AS1329="","",Config!$B$21)</f>
        <v/>
      </c>
      <c r="AA1329" t="str">
        <f>IF($AS1329="","",Config!$B$22)</f>
        <v/>
      </c>
      <c r="AB1329" t="str">
        <f>IF($AT1329="","",INDEX(Calc!$D$2:$D$1601,$AT1329))</f>
        <v/>
      </c>
      <c r="AC1329" t="str">
        <f>IF($AT1329="","",INDEX(Calc!$G$2:$G$1601,$AT1329))</f>
        <v/>
      </c>
      <c r="AD1329" t="str">
        <f>IF($AS1329="","",Config!$B$23)</f>
        <v/>
      </c>
      <c r="AE1329" t="str">
        <f>IF($AS1329="","",Config!$B$28)</f>
        <v/>
      </c>
      <c r="AF1329" t="str">
        <f t="shared" si="122"/>
        <v/>
      </c>
      <c r="AG1329" t="str">
        <f t="shared" si="123"/>
        <v/>
      </c>
      <c r="AH1329" t="str">
        <f t="shared" si="124"/>
        <v/>
      </c>
      <c r="AI1329" t="str">
        <f>IF($AG1329="","",SUMIF($AG$2:$AG1329,$AG1329,$AH$2:$AH1329))</f>
        <v/>
      </c>
      <c r="AJ1329" t="str">
        <f>IF('TMP Paste'!$F1329="","",IF('TMP Paste'!$B1329="",$AJ1328,'TMP Paste'!$B1329))</f>
        <v/>
      </c>
      <c r="AK1329" t="str">
        <f>IF('TMP Paste'!$F1329="","",N('TMP Paste'!$G1329))</f>
        <v/>
      </c>
      <c r="AL1329" t="str">
        <f>IF('TMP Paste'!$F1329="","",IF('TMP Paste'!$M1329="",$AL1328,'TMP Paste'!$M1329))</f>
        <v/>
      </c>
      <c r="AM1329" t="str">
        <f>IF('TMP Paste'!$F1329="","",IF('TMP Paste'!$N1329="",$AM1328,'TMP Paste'!$N1329))</f>
        <v/>
      </c>
      <c r="AN1329" t="str">
        <f>IF('TMP Paste'!$F1329="","",IF('TMP Paste'!$O1329="",$AN1328,'TMP Paste'!$O1329))</f>
        <v/>
      </c>
      <c r="AO1329" t="str">
        <f>IF('TMP Paste'!$F1329="","",IF('TMP Paste'!$P1329="",$AO1328,'TMP Paste'!$P1329))</f>
        <v/>
      </c>
      <c r="AP1329" t="str">
        <f t="shared" si="125"/>
        <v/>
      </c>
      <c r="AQ1329" t="str">
        <f>IF($AS1329="","",TRIM(IF(COUNTIFS(Calc!$B$2:$B$1601,ROW()-1,Calc!$C$2:$C$1601,"&lt;1")&gt;0,"Ada PO tanpa Koli - cek TMP. ","")&amp;IF(OR($AU1329="",$AU1329&lt;=0),"Volume kosong/0 - dimensi dikosongkan. ","")&amp;IF(AND($AU1329&lt;&gt;"",$AU1329&gt;=1000000),"Volume &gt;= 1.000.000 cm3 (di luar aturan) - dimensi dikosongkan. ","")&amp;IF(LEN($R1329)&gt;500,"R &gt; 500 karakter.","")))</f>
        <v/>
      </c>
      <c r="AS1329" t="str">
        <f>IFERROR(MATCH(ROW()-1,Calc!$J$2:$J$1601,0),"")</f>
        <v/>
      </c>
      <c r="AT1329" t="str">
        <f>IFERROR(MATCH(ROW()-1,Calc!$K$2:$K$1601,0),"")</f>
        <v/>
      </c>
      <c r="AU1329" t="str">
        <f>IF($AS1329="","",IFERROR(INDEX('TMP Paste'!$D$2:$D$1601,$AS1329)*1000000/$AB1329,""))</f>
        <v/>
      </c>
    </row>
    <row r="1330" spans="1:47">
      <c r="A1330" t="str">
        <f>IF($AS1330="","",INDEX('TMP Paste'!$B$2:$B$1601,$AS1330))</f>
        <v/>
      </c>
      <c r="B1330" t="str">
        <f>IF($AS1330="","",Config!$B$14)</f>
        <v/>
      </c>
      <c r="C1330" t="str">
        <f>IF($AS1330="","",Config!$B$15)</f>
        <v/>
      </c>
      <c r="D1330" t="str">
        <f>IF($AS1330="","",INDEX('TMP Paste'!$B$2:$B$1601,$AS1330))</f>
        <v/>
      </c>
      <c r="E1330" t="str">
        <f>IF($AS1330="","",Config!$B$27)</f>
        <v/>
      </c>
      <c r="F1330" t="str">
        <f>IF($AS1330="","",Config!$B$9)</f>
        <v/>
      </c>
      <c r="G1330" t="str">
        <f>IF($AS1330="","",Config!$B$10)</f>
        <v/>
      </c>
      <c r="H1330" t="str">
        <f>IF($AS1330="","",Config!$B$11)</f>
        <v/>
      </c>
      <c r="I1330" t="str">
        <f>IF($AS1330="","",Config!$B$16)</f>
        <v/>
      </c>
      <c r="J1330" t="str">
        <f>IF($AS1330="","",INDEX('TMP Paste'!$A$2:$A$1601,$AS1330))</f>
        <v/>
      </c>
      <c r="K1330" t="str">
        <f>IF($AS1330="","",INDEX('TMP Paste'!$L$2:$L$1601,$AS1330))</f>
        <v/>
      </c>
      <c r="L1330" t="str">
        <f>IF($AS1330="","",INDEX('TMP Paste'!$I$2:$I$1601,$AS1330))</f>
        <v/>
      </c>
      <c r="M1330" t="str">
        <f>IF($AS1330="","",Config!$B$16)</f>
        <v/>
      </c>
      <c r="N1330" t="str">
        <f t="shared" si="120"/>
        <v/>
      </c>
      <c r="O1330" t="str">
        <f>IF($AS1330="","",INDEX('TMP Paste'!$K$2:$K$1601,$AS1330))</f>
        <v/>
      </c>
      <c r="P1330" t="str">
        <f t="shared" si="121"/>
        <v/>
      </c>
      <c r="Q1330" t="str">
        <f>IF($AS1330="","",INDEX('TMP Paste'!$J$2:$J$1601,$AS1330))</f>
        <v/>
      </c>
      <c r="R1330" t="str">
        <f>IF($AS1330="","",Config!$B$24)</f>
        <v/>
      </c>
      <c r="S1330" t="str">
        <f ca="1">IF($AS1330="","",TEXT(Config!$B$4,"yyyy-mm-dd"))</f>
        <v/>
      </c>
      <c r="T1330" t="str">
        <f>IF($AS1330="","",Config!$B$17)</f>
        <v/>
      </c>
      <c r="U1330" t="str">
        <f>IF($AS1330="","",Config!$B$18)</f>
        <v/>
      </c>
      <c r="V1330" t="str">
        <f>IF($AS1330="","",Config!$B$19)</f>
        <v/>
      </c>
      <c r="W1330" t="str">
        <f>IF($AS1330="","",INDEX('TMP Paste'!$C$2:$C$1601,$AS1330))</f>
        <v/>
      </c>
      <c r="X1330" t="str">
        <f>IF($AS1330="","",Config!$B$29)</f>
        <v/>
      </c>
      <c r="Y1330" t="str">
        <f>IF($AT1330="","",INDEX(Calc!$I$2:$I$1601,$AT1330)&amp;" - "&amp;INDEX(Calc!$D$2:$D$1601,$AT1330)&amp;" koli")</f>
        <v/>
      </c>
      <c r="Z1330" t="str">
        <f>IF($AS1330="","",Config!$B$21)</f>
        <v/>
      </c>
      <c r="AA1330" t="str">
        <f>IF($AS1330="","",Config!$B$22)</f>
        <v/>
      </c>
      <c r="AB1330" t="str">
        <f>IF($AT1330="","",INDEX(Calc!$D$2:$D$1601,$AT1330))</f>
        <v/>
      </c>
      <c r="AC1330" t="str">
        <f>IF($AT1330="","",INDEX(Calc!$G$2:$G$1601,$AT1330))</f>
        <v/>
      </c>
      <c r="AD1330" t="str">
        <f>IF($AS1330="","",Config!$B$23)</f>
        <v/>
      </c>
      <c r="AE1330" t="str">
        <f>IF($AS1330="","",Config!$B$28)</f>
        <v/>
      </c>
      <c r="AF1330" t="str">
        <f t="shared" si="122"/>
        <v/>
      </c>
      <c r="AG1330" t="str">
        <f t="shared" si="123"/>
        <v/>
      </c>
      <c r="AH1330" t="str">
        <f t="shared" si="124"/>
        <v/>
      </c>
      <c r="AI1330" t="str">
        <f>IF($AG1330="","",SUMIF($AG$2:$AG1330,$AG1330,$AH$2:$AH1330))</f>
        <v/>
      </c>
      <c r="AJ1330" t="str">
        <f>IF('TMP Paste'!$F1330="","",IF('TMP Paste'!$B1330="",$AJ1329,'TMP Paste'!$B1330))</f>
        <v/>
      </c>
      <c r="AK1330" t="str">
        <f>IF('TMP Paste'!$F1330="","",N('TMP Paste'!$G1330))</f>
        <v/>
      </c>
      <c r="AL1330" t="str">
        <f>IF('TMP Paste'!$F1330="","",IF('TMP Paste'!$M1330="",$AL1329,'TMP Paste'!$M1330))</f>
        <v/>
      </c>
      <c r="AM1330" t="str">
        <f>IF('TMP Paste'!$F1330="","",IF('TMP Paste'!$N1330="",$AM1329,'TMP Paste'!$N1330))</f>
        <v/>
      </c>
      <c r="AN1330" t="str">
        <f>IF('TMP Paste'!$F1330="","",IF('TMP Paste'!$O1330="",$AN1329,'TMP Paste'!$O1330))</f>
        <v/>
      </c>
      <c r="AO1330" t="str">
        <f>IF('TMP Paste'!$F1330="","",IF('TMP Paste'!$P1330="",$AO1329,'TMP Paste'!$P1330))</f>
        <v/>
      </c>
      <c r="AP1330" t="str">
        <f t="shared" si="125"/>
        <v/>
      </c>
      <c r="AQ1330" t="str">
        <f>IF($AS1330="","",TRIM(IF(COUNTIFS(Calc!$B$2:$B$1601,ROW()-1,Calc!$C$2:$C$1601,"&lt;1")&gt;0,"Ada PO tanpa Koli - cek TMP. ","")&amp;IF(OR($AU1330="",$AU1330&lt;=0),"Volume kosong/0 - dimensi dikosongkan. ","")&amp;IF(AND($AU1330&lt;&gt;"",$AU1330&gt;=1000000),"Volume &gt;= 1.000.000 cm3 (di luar aturan) - dimensi dikosongkan. ","")&amp;IF(LEN($R1330)&gt;500,"R &gt; 500 karakter.","")))</f>
        <v/>
      </c>
      <c r="AS1330" t="str">
        <f>IFERROR(MATCH(ROW()-1,Calc!$J$2:$J$1601,0),"")</f>
        <v/>
      </c>
      <c r="AT1330" t="str">
        <f>IFERROR(MATCH(ROW()-1,Calc!$K$2:$K$1601,0),"")</f>
        <v/>
      </c>
      <c r="AU1330" t="str">
        <f>IF($AS1330="","",IFERROR(INDEX('TMP Paste'!$D$2:$D$1601,$AS1330)*1000000/$AB1330,""))</f>
        <v/>
      </c>
    </row>
    <row r="1331" spans="1:47">
      <c r="A1331" t="str">
        <f>IF($AS1331="","",INDEX('TMP Paste'!$B$2:$B$1601,$AS1331))</f>
        <v/>
      </c>
      <c r="B1331" t="str">
        <f>IF($AS1331="","",Config!$B$14)</f>
        <v/>
      </c>
      <c r="C1331" t="str">
        <f>IF($AS1331="","",Config!$B$15)</f>
        <v/>
      </c>
      <c r="D1331" t="str">
        <f>IF($AS1331="","",INDEX('TMP Paste'!$B$2:$B$1601,$AS1331))</f>
        <v/>
      </c>
      <c r="E1331" t="str">
        <f>IF($AS1331="","",Config!$B$27)</f>
        <v/>
      </c>
      <c r="F1331" t="str">
        <f>IF($AS1331="","",Config!$B$9)</f>
        <v/>
      </c>
      <c r="G1331" t="str">
        <f>IF($AS1331="","",Config!$B$10)</f>
        <v/>
      </c>
      <c r="H1331" t="str">
        <f>IF($AS1331="","",Config!$B$11)</f>
        <v/>
      </c>
      <c r="I1331" t="str">
        <f>IF($AS1331="","",Config!$B$16)</f>
        <v/>
      </c>
      <c r="J1331" t="str">
        <f>IF($AS1331="","",INDEX('TMP Paste'!$A$2:$A$1601,$AS1331))</f>
        <v/>
      </c>
      <c r="K1331" t="str">
        <f>IF($AS1331="","",INDEX('TMP Paste'!$L$2:$L$1601,$AS1331))</f>
        <v/>
      </c>
      <c r="L1331" t="str">
        <f>IF($AS1331="","",INDEX('TMP Paste'!$I$2:$I$1601,$AS1331))</f>
        <v/>
      </c>
      <c r="M1331" t="str">
        <f>IF($AS1331="","",Config!$B$16)</f>
        <v/>
      </c>
      <c r="N1331" t="str">
        <f t="shared" si="120"/>
        <v/>
      </c>
      <c r="O1331" t="str">
        <f>IF($AS1331="","",INDEX('TMP Paste'!$K$2:$K$1601,$AS1331))</f>
        <v/>
      </c>
      <c r="P1331" t="str">
        <f t="shared" si="121"/>
        <v/>
      </c>
      <c r="Q1331" t="str">
        <f>IF($AS1331="","",INDEX('TMP Paste'!$J$2:$J$1601,$AS1331))</f>
        <v/>
      </c>
      <c r="R1331" t="str">
        <f>IF($AS1331="","",Config!$B$24)</f>
        <v/>
      </c>
      <c r="S1331" t="str">
        <f ca="1">IF($AS1331="","",TEXT(Config!$B$4,"yyyy-mm-dd"))</f>
        <v/>
      </c>
      <c r="T1331" t="str">
        <f>IF($AS1331="","",Config!$B$17)</f>
        <v/>
      </c>
      <c r="U1331" t="str">
        <f>IF($AS1331="","",Config!$B$18)</f>
        <v/>
      </c>
      <c r="V1331" t="str">
        <f>IF($AS1331="","",Config!$B$19)</f>
        <v/>
      </c>
      <c r="W1331" t="str">
        <f>IF($AS1331="","",INDEX('TMP Paste'!$C$2:$C$1601,$AS1331))</f>
        <v/>
      </c>
      <c r="X1331" t="str">
        <f>IF($AS1331="","",Config!$B$29)</f>
        <v/>
      </c>
      <c r="Y1331" t="str">
        <f>IF($AT1331="","",INDEX(Calc!$I$2:$I$1601,$AT1331)&amp;" - "&amp;INDEX(Calc!$D$2:$D$1601,$AT1331)&amp;" koli")</f>
        <v/>
      </c>
      <c r="Z1331" t="str">
        <f>IF($AS1331="","",Config!$B$21)</f>
        <v/>
      </c>
      <c r="AA1331" t="str">
        <f>IF($AS1331="","",Config!$B$22)</f>
        <v/>
      </c>
      <c r="AB1331" t="str">
        <f>IF($AT1331="","",INDEX(Calc!$D$2:$D$1601,$AT1331))</f>
        <v/>
      </c>
      <c r="AC1331" t="str">
        <f>IF($AT1331="","",INDEX(Calc!$G$2:$G$1601,$AT1331))</f>
        <v/>
      </c>
      <c r="AD1331" t="str">
        <f>IF($AS1331="","",Config!$B$23)</f>
        <v/>
      </c>
      <c r="AE1331" t="str">
        <f>IF($AS1331="","",Config!$B$28)</f>
        <v/>
      </c>
      <c r="AF1331" t="str">
        <f t="shared" si="122"/>
        <v/>
      </c>
      <c r="AG1331" t="str">
        <f t="shared" si="123"/>
        <v/>
      </c>
      <c r="AH1331" t="str">
        <f t="shared" si="124"/>
        <v/>
      </c>
      <c r="AI1331" t="str">
        <f>IF($AG1331="","",SUMIF($AG$2:$AG1331,$AG1331,$AH$2:$AH1331))</f>
        <v/>
      </c>
      <c r="AJ1331" t="str">
        <f>IF('TMP Paste'!$F1331="","",IF('TMP Paste'!$B1331="",$AJ1330,'TMP Paste'!$B1331))</f>
        <v/>
      </c>
      <c r="AK1331" t="str">
        <f>IF('TMP Paste'!$F1331="","",N('TMP Paste'!$G1331))</f>
        <v/>
      </c>
      <c r="AL1331" t="str">
        <f>IF('TMP Paste'!$F1331="","",IF('TMP Paste'!$M1331="",$AL1330,'TMP Paste'!$M1331))</f>
        <v/>
      </c>
      <c r="AM1331" t="str">
        <f>IF('TMP Paste'!$F1331="","",IF('TMP Paste'!$N1331="",$AM1330,'TMP Paste'!$N1331))</f>
        <v/>
      </c>
      <c r="AN1331" t="str">
        <f>IF('TMP Paste'!$F1331="","",IF('TMP Paste'!$O1331="",$AN1330,'TMP Paste'!$O1331))</f>
        <v/>
      </c>
      <c r="AO1331" t="str">
        <f>IF('TMP Paste'!$F1331="","",IF('TMP Paste'!$P1331="",$AO1330,'TMP Paste'!$P1331))</f>
        <v/>
      </c>
      <c r="AP1331" t="str">
        <f t="shared" si="125"/>
        <v/>
      </c>
      <c r="AQ1331" t="str">
        <f>IF($AS1331="","",TRIM(IF(COUNTIFS(Calc!$B$2:$B$1601,ROW()-1,Calc!$C$2:$C$1601,"&lt;1")&gt;0,"Ada PO tanpa Koli - cek TMP. ","")&amp;IF(OR($AU1331="",$AU1331&lt;=0),"Volume kosong/0 - dimensi dikosongkan. ","")&amp;IF(AND($AU1331&lt;&gt;"",$AU1331&gt;=1000000),"Volume &gt;= 1.000.000 cm3 (di luar aturan) - dimensi dikosongkan. ","")&amp;IF(LEN($R1331)&gt;500,"R &gt; 500 karakter.","")))</f>
        <v/>
      </c>
      <c r="AS1331" t="str">
        <f>IFERROR(MATCH(ROW()-1,Calc!$J$2:$J$1601,0),"")</f>
        <v/>
      </c>
      <c r="AT1331" t="str">
        <f>IFERROR(MATCH(ROW()-1,Calc!$K$2:$K$1601,0),"")</f>
        <v/>
      </c>
      <c r="AU1331" t="str">
        <f>IF($AS1331="","",IFERROR(INDEX('TMP Paste'!$D$2:$D$1601,$AS1331)*1000000/$AB1331,""))</f>
        <v/>
      </c>
    </row>
    <row r="1332" spans="1:47">
      <c r="A1332" t="str">
        <f>IF($AS1332="","",INDEX('TMP Paste'!$B$2:$B$1601,$AS1332))</f>
        <v/>
      </c>
      <c r="B1332" t="str">
        <f>IF($AS1332="","",Config!$B$14)</f>
        <v/>
      </c>
      <c r="C1332" t="str">
        <f>IF($AS1332="","",Config!$B$15)</f>
        <v/>
      </c>
      <c r="D1332" t="str">
        <f>IF($AS1332="","",INDEX('TMP Paste'!$B$2:$B$1601,$AS1332))</f>
        <v/>
      </c>
      <c r="E1332" t="str">
        <f>IF($AS1332="","",Config!$B$27)</f>
        <v/>
      </c>
      <c r="F1332" t="str">
        <f>IF($AS1332="","",Config!$B$9)</f>
        <v/>
      </c>
      <c r="G1332" t="str">
        <f>IF($AS1332="","",Config!$B$10)</f>
        <v/>
      </c>
      <c r="H1332" t="str">
        <f>IF($AS1332="","",Config!$B$11)</f>
        <v/>
      </c>
      <c r="I1332" t="str">
        <f>IF($AS1332="","",Config!$B$16)</f>
        <v/>
      </c>
      <c r="J1332" t="str">
        <f>IF($AS1332="","",INDEX('TMP Paste'!$A$2:$A$1601,$AS1332))</f>
        <v/>
      </c>
      <c r="K1332" t="str">
        <f>IF($AS1332="","",INDEX('TMP Paste'!$L$2:$L$1601,$AS1332))</f>
        <v/>
      </c>
      <c r="L1332" t="str">
        <f>IF($AS1332="","",INDEX('TMP Paste'!$I$2:$I$1601,$AS1332))</f>
        <v/>
      </c>
      <c r="M1332" t="str">
        <f>IF($AS1332="","",Config!$B$16)</f>
        <v/>
      </c>
      <c r="N1332" t="str">
        <f t="shared" si="120"/>
        <v/>
      </c>
      <c r="O1332" t="str">
        <f>IF($AS1332="","",INDEX('TMP Paste'!$K$2:$K$1601,$AS1332))</f>
        <v/>
      </c>
      <c r="P1332" t="str">
        <f t="shared" si="121"/>
        <v/>
      </c>
      <c r="Q1332" t="str">
        <f>IF($AS1332="","",INDEX('TMP Paste'!$J$2:$J$1601,$AS1332))</f>
        <v/>
      </c>
      <c r="R1332" t="str">
        <f>IF($AS1332="","",Config!$B$24)</f>
        <v/>
      </c>
      <c r="S1332" t="str">
        <f ca="1">IF($AS1332="","",TEXT(Config!$B$4,"yyyy-mm-dd"))</f>
        <v/>
      </c>
      <c r="T1332" t="str">
        <f>IF($AS1332="","",Config!$B$17)</f>
        <v/>
      </c>
      <c r="U1332" t="str">
        <f>IF($AS1332="","",Config!$B$18)</f>
        <v/>
      </c>
      <c r="V1332" t="str">
        <f>IF($AS1332="","",Config!$B$19)</f>
        <v/>
      </c>
      <c r="W1332" t="str">
        <f>IF($AS1332="","",INDEX('TMP Paste'!$C$2:$C$1601,$AS1332))</f>
        <v/>
      </c>
      <c r="X1332" t="str">
        <f>IF($AS1332="","",Config!$B$29)</f>
        <v/>
      </c>
      <c r="Y1332" t="str">
        <f>IF($AT1332="","",INDEX(Calc!$I$2:$I$1601,$AT1332)&amp;" - "&amp;INDEX(Calc!$D$2:$D$1601,$AT1332)&amp;" koli")</f>
        <v/>
      </c>
      <c r="Z1332" t="str">
        <f>IF($AS1332="","",Config!$B$21)</f>
        <v/>
      </c>
      <c r="AA1332" t="str">
        <f>IF($AS1332="","",Config!$B$22)</f>
        <v/>
      </c>
      <c r="AB1332" t="str">
        <f>IF($AT1332="","",INDEX(Calc!$D$2:$D$1601,$AT1332))</f>
        <v/>
      </c>
      <c r="AC1332" t="str">
        <f>IF($AT1332="","",INDEX(Calc!$G$2:$G$1601,$AT1332))</f>
        <v/>
      </c>
      <c r="AD1332" t="str">
        <f>IF($AS1332="","",Config!$B$23)</f>
        <v/>
      </c>
      <c r="AE1332" t="str">
        <f>IF($AS1332="","",Config!$B$28)</f>
        <v/>
      </c>
      <c r="AF1332" t="str">
        <f t="shared" si="122"/>
        <v/>
      </c>
      <c r="AG1332" t="str">
        <f t="shared" si="123"/>
        <v/>
      </c>
      <c r="AH1332" t="str">
        <f t="shared" si="124"/>
        <v/>
      </c>
      <c r="AI1332" t="str">
        <f>IF($AG1332="","",SUMIF($AG$2:$AG1332,$AG1332,$AH$2:$AH1332))</f>
        <v/>
      </c>
      <c r="AJ1332" t="str">
        <f>IF('TMP Paste'!$F1332="","",IF('TMP Paste'!$B1332="",$AJ1331,'TMP Paste'!$B1332))</f>
        <v/>
      </c>
      <c r="AK1332" t="str">
        <f>IF('TMP Paste'!$F1332="","",N('TMP Paste'!$G1332))</f>
        <v/>
      </c>
      <c r="AL1332" t="str">
        <f>IF('TMP Paste'!$F1332="","",IF('TMP Paste'!$M1332="",$AL1331,'TMP Paste'!$M1332))</f>
        <v/>
      </c>
      <c r="AM1332" t="str">
        <f>IF('TMP Paste'!$F1332="","",IF('TMP Paste'!$N1332="",$AM1331,'TMP Paste'!$N1332))</f>
        <v/>
      </c>
      <c r="AN1332" t="str">
        <f>IF('TMP Paste'!$F1332="","",IF('TMP Paste'!$O1332="",$AN1331,'TMP Paste'!$O1332))</f>
        <v/>
      </c>
      <c r="AO1332" t="str">
        <f>IF('TMP Paste'!$F1332="","",IF('TMP Paste'!$P1332="",$AO1331,'TMP Paste'!$P1332))</f>
        <v/>
      </c>
      <c r="AP1332" t="str">
        <f t="shared" si="125"/>
        <v/>
      </c>
      <c r="AQ1332" t="str">
        <f>IF($AS1332="","",TRIM(IF(COUNTIFS(Calc!$B$2:$B$1601,ROW()-1,Calc!$C$2:$C$1601,"&lt;1")&gt;0,"Ada PO tanpa Koli - cek TMP. ","")&amp;IF(OR($AU1332="",$AU1332&lt;=0),"Volume kosong/0 - dimensi dikosongkan. ","")&amp;IF(AND($AU1332&lt;&gt;"",$AU1332&gt;=1000000),"Volume &gt;= 1.000.000 cm3 (di luar aturan) - dimensi dikosongkan. ","")&amp;IF(LEN($R1332)&gt;500,"R &gt; 500 karakter.","")))</f>
        <v/>
      </c>
      <c r="AS1332" t="str">
        <f>IFERROR(MATCH(ROW()-1,Calc!$J$2:$J$1601,0),"")</f>
        <v/>
      </c>
      <c r="AT1332" t="str">
        <f>IFERROR(MATCH(ROW()-1,Calc!$K$2:$K$1601,0),"")</f>
        <v/>
      </c>
      <c r="AU1332" t="str">
        <f>IF($AS1332="","",IFERROR(INDEX('TMP Paste'!$D$2:$D$1601,$AS1332)*1000000/$AB1332,""))</f>
        <v/>
      </c>
    </row>
    <row r="1333" spans="1:47">
      <c r="A1333" t="str">
        <f>IF($AS1333="","",INDEX('TMP Paste'!$B$2:$B$1601,$AS1333))</f>
        <v/>
      </c>
      <c r="B1333" t="str">
        <f>IF($AS1333="","",Config!$B$14)</f>
        <v/>
      </c>
      <c r="C1333" t="str">
        <f>IF($AS1333="","",Config!$B$15)</f>
        <v/>
      </c>
      <c r="D1333" t="str">
        <f>IF($AS1333="","",INDEX('TMP Paste'!$B$2:$B$1601,$AS1333))</f>
        <v/>
      </c>
      <c r="E1333" t="str">
        <f>IF($AS1333="","",Config!$B$27)</f>
        <v/>
      </c>
      <c r="F1333" t="str">
        <f>IF($AS1333="","",Config!$B$9)</f>
        <v/>
      </c>
      <c r="G1333" t="str">
        <f>IF($AS1333="","",Config!$B$10)</f>
        <v/>
      </c>
      <c r="H1333" t="str">
        <f>IF($AS1333="","",Config!$B$11)</f>
        <v/>
      </c>
      <c r="I1333" t="str">
        <f>IF($AS1333="","",Config!$B$16)</f>
        <v/>
      </c>
      <c r="J1333" t="str">
        <f>IF($AS1333="","",INDEX('TMP Paste'!$A$2:$A$1601,$AS1333))</f>
        <v/>
      </c>
      <c r="K1333" t="str">
        <f>IF($AS1333="","",INDEX('TMP Paste'!$L$2:$L$1601,$AS1333))</f>
        <v/>
      </c>
      <c r="L1333" t="str">
        <f>IF($AS1333="","",INDEX('TMP Paste'!$I$2:$I$1601,$AS1333))</f>
        <v/>
      </c>
      <c r="M1333" t="str">
        <f>IF($AS1333="","",Config!$B$16)</f>
        <v/>
      </c>
      <c r="N1333" t="str">
        <f t="shared" si="120"/>
        <v/>
      </c>
      <c r="O1333" t="str">
        <f>IF($AS1333="","",INDEX('TMP Paste'!$K$2:$K$1601,$AS1333))</f>
        <v/>
      </c>
      <c r="P1333" t="str">
        <f t="shared" si="121"/>
        <v/>
      </c>
      <c r="Q1333" t="str">
        <f>IF($AS1333="","",INDEX('TMP Paste'!$J$2:$J$1601,$AS1333))</f>
        <v/>
      </c>
      <c r="R1333" t="str">
        <f>IF($AS1333="","",Config!$B$24)</f>
        <v/>
      </c>
      <c r="S1333" t="str">
        <f ca="1">IF($AS1333="","",TEXT(Config!$B$4,"yyyy-mm-dd"))</f>
        <v/>
      </c>
      <c r="T1333" t="str">
        <f>IF($AS1333="","",Config!$B$17)</f>
        <v/>
      </c>
      <c r="U1333" t="str">
        <f>IF($AS1333="","",Config!$B$18)</f>
        <v/>
      </c>
      <c r="V1333" t="str">
        <f>IF($AS1333="","",Config!$B$19)</f>
        <v/>
      </c>
      <c r="W1333" t="str">
        <f>IF($AS1333="","",INDEX('TMP Paste'!$C$2:$C$1601,$AS1333))</f>
        <v/>
      </c>
      <c r="X1333" t="str">
        <f>IF($AS1333="","",Config!$B$29)</f>
        <v/>
      </c>
      <c r="Y1333" t="str">
        <f>IF($AT1333="","",INDEX(Calc!$I$2:$I$1601,$AT1333)&amp;" - "&amp;INDEX(Calc!$D$2:$D$1601,$AT1333)&amp;" koli")</f>
        <v/>
      </c>
      <c r="Z1333" t="str">
        <f>IF($AS1333="","",Config!$B$21)</f>
        <v/>
      </c>
      <c r="AA1333" t="str">
        <f>IF($AS1333="","",Config!$B$22)</f>
        <v/>
      </c>
      <c r="AB1333" t="str">
        <f>IF($AT1333="","",INDEX(Calc!$D$2:$D$1601,$AT1333))</f>
        <v/>
      </c>
      <c r="AC1333" t="str">
        <f>IF($AT1333="","",INDEX(Calc!$G$2:$G$1601,$AT1333))</f>
        <v/>
      </c>
      <c r="AD1333" t="str">
        <f>IF($AS1333="","",Config!$B$23)</f>
        <v/>
      </c>
      <c r="AE1333" t="str">
        <f>IF($AS1333="","",Config!$B$28)</f>
        <v/>
      </c>
      <c r="AF1333" t="str">
        <f t="shared" si="122"/>
        <v/>
      </c>
      <c r="AG1333" t="str">
        <f t="shared" si="123"/>
        <v/>
      </c>
      <c r="AH1333" t="str">
        <f t="shared" si="124"/>
        <v/>
      </c>
      <c r="AI1333" t="str">
        <f>IF($AG1333="","",SUMIF($AG$2:$AG1333,$AG1333,$AH$2:$AH1333))</f>
        <v/>
      </c>
      <c r="AJ1333" t="str">
        <f>IF('TMP Paste'!$F1333="","",IF('TMP Paste'!$B1333="",$AJ1332,'TMP Paste'!$B1333))</f>
        <v/>
      </c>
      <c r="AK1333" t="str">
        <f>IF('TMP Paste'!$F1333="","",N('TMP Paste'!$G1333))</f>
        <v/>
      </c>
      <c r="AL1333" t="str">
        <f>IF('TMP Paste'!$F1333="","",IF('TMP Paste'!$M1333="",$AL1332,'TMP Paste'!$M1333))</f>
        <v/>
      </c>
      <c r="AM1333" t="str">
        <f>IF('TMP Paste'!$F1333="","",IF('TMP Paste'!$N1333="",$AM1332,'TMP Paste'!$N1333))</f>
        <v/>
      </c>
      <c r="AN1333" t="str">
        <f>IF('TMP Paste'!$F1333="","",IF('TMP Paste'!$O1333="",$AN1332,'TMP Paste'!$O1333))</f>
        <v/>
      </c>
      <c r="AO1333" t="str">
        <f>IF('TMP Paste'!$F1333="","",IF('TMP Paste'!$P1333="",$AO1332,'TMP Paste'!$P1333))</f>
        <v/>
      </c>
      <c r="AP1333" t="str">
        <f t="shared" si="125"/>
        <v/>
      </c>
      <c r="AQ1333" t="str">
        <f>IF($AS1333="","",TRIM(IF(COUNTIFS(Calc!$B$2:$B$1601,ROW()-1,Calc!$C$2:$C$1601,"&lt;1")&gt;0,"Ada PO tanpa Koli - cek TMP. ","")&amp;IF(OR($AU1333="",$AU1333&lt;=0),"Volume kosong/0 - dimensi dikosongkan. ","")&amp;IF(AND($AU1333&lt;&gt;"",$AU1333&gt;=1000000),"Volume &gt;= 1.000.000 cm3 (di luar aturan) - dimensi dikosongkan. ","")&amp;IF(LEN($R1333)&gt;500,"R &gt; 500 karakter.","")))</f>
        <v/>
      </c>
      <c r="AS1333" t="str">
        <f>IFERROR(MATCH(ROW()-1,Calc!$J$2:$J$1601,0),"")</f>
        <v/>
      </c>
      <c r="AT1333" t="str">
        <f>IFERROR(MATCH(ROW()-1,Calc!$K$2:$K$1601,0),"")</f>
        <v/>
      </c>
      <c r="AU1333" t="str">
        <f>IF($AS1333="","",IFERROR(INDEX('TMP Paste'!$D$2:$D$1601,$AS1333)*1000000/$AB1333,""))</f>
        <v/>
      </c>
    </row>
    <row r="1334" spans="1:47">
      <c r="A1334" t="str">
        <f>IF($AS1334="","",INDEX('TMP Paste'!$B$2:$B$1601,$AS1334))</f>
        <v/>
      </c>
      <c r="B1334" t="str">
        <f>IF($AS1334="","",Config!$B$14)</f>
        <v/>
      </c>
      <c r="C1334" t="str">
        <f>IF($AS1334="","",Config!$B$15)</f>
        <v/>
      </c>
      <c r="D1334" t="str">
        <f>IF($AS1334="","",INDEX('TMP Paste'!$B$2:$B$1601,$AS1334))</f>
        <v/>
      </c>
      <c r="E1334" t="str">
        <f>IF($AS1334="","",Config!$B$27)</f>
        <v/>
      </c>
      <c r="F1334" t="str">
        <f>IF($AS1334="","",Config!$B$9)</f>
        <v/>
      </c>
      <c r="G1334" t="str">
        <f>IF($AS1334="","",Config!$B$10)</f>
        <v/>
      </c>
      <c r="H1334" t="str">
        <f>IF($AS1334="","",Config!$B$11)</f>
        <v/>
      </c>
      <c r="I1334" t="str">
        <f>IF($AS1334="","",Config!$B$16)</f>
        <v/>
      </c>
      <c r="J1334" t="str">
        <f>IF($AS1334="","",INDEX('TMP Paste'!$A$2:$A$1601,$AS1334))</f>
        <v/>
      </c>
      <c r="K1334" t="str">
        <f>IF($AS1334="","",INDEX('TMP Paste'!$L$2:$L$1601,$AS1334))</f>
        <v/>
      </c>
      <c r="L1334" t="str">
        <f>IF($AS1334="","",INDEX('TMP Paste'!$I$2:$I$1601,$AS1334))</f>
        <v/>
      </c>
      <c r="M1334" t="str">
        <f>IF($AS1334="","",Config!$B$16)</f>
        <v/>
      </c>
      <c r="N1334" t="str">
        <f t="shared" si="120"/>
        <v/>
      </c>
      <c r="O1334" t="str">
        <f>IF($AS1334="","",INDEX('TMP Paste'!$K$2:$K$1601,$AS1334))</f>
        <v/>
      </c>
      <c r="P1334" t="str">
        <f t="shared" si="121"/>
        <v/>
      </c>
      <c r="Q1334" t="str">
        <f>IF($AS1334="","",INDEX('TMP Paste'!$J$2:$J$1601,$AS1334))</f>
        <v/>
      </c>
      <c r="R1334" t="str">
        <f>IF($AS1334="","",Config!$B$24)</f>
        <v/>
      </c>
      <c r="S1334" t="str">
        <f ca="1">IF($AS1334="","",TEXT(Config!$B$4,"yyyy-mm-dd"))</f>
        <v/>
      </c>
      <c r="T1334" t="str">
        <f>IF($AS1334="","",Config!$B$17)</f>
        <v/>
      </c>
      <c r="U1334" t="str">
        <f>IF($AS1334="","",Config!$B$18)</f>
        <v/>
      </c>
      <c r="V1334" t="str">
        <f>IF($AS1334="","",Config!$B$19)</f>
        <v/>
      </c>
      <c r="W1334" t="str">
        <f>IF($AS1334="","",INDEX('TMP Paste'!$C$2:$C$1601,$AS1334))</f>
        <v/>
      </c>
      <c r="X1334" t="str">
        <f>IF($AS1334="","",Config!$B$29)</f>
        <v/>
      </c>
      <c r="Y1334" t="str">
        <f>IF($AT1334="","",INDEX(Calc!$I$2:$I$1601,$AT1334)&amp;" - "&amp;INDEX(Calc!$D$2:$D$1601,$AT1334)&amp;" koli")</f>
        <v/>
      </c>
      <c r="Z1334" t="str">
        <f>IF($AS1334="","",Config!$B$21)</f>
        <v/>
      </c>
      <c r="AA1334" t="str">
        <f>IF($AS1334="","",Config!$B$22)</f>
        <v/>
      </c>
      <c r="AB1334" t="str">
        <f>IF($AT1334="","",INDEX(Calc!$D$2:$D$1601,$AT1334))</f>
        <v/>
      </c>
      <c r="AC1334" t="str">
        <f>IF($AT1334="","",INDEX(Calc!$G$2:$G$1601,$AT1334))</f>
        <v/>
      </c>
      <c r="AD1334" t="str">
        <f>IF($AS1334="","",Config!$B$23)</f>
        <v/>
      </c>
      <c r="AE1334" t="str">
        <f>IF($AS1334="","",Config!$B$28)</f>
        <v/>
      </c>
      <c r="AF1334" t="str">
        <f t="shared" si="122"/>
        <v/>
      </c>
      <c r="AG1334" t="str">
        <f t="shared" si="123"/>
        <v/>
      </c>
      <c r="AH1334" t="str">
        <f t="shared" si="124"/>
        <v/>
      </c>
      <c r="AI1334" t="str">
        <f>IF($AG1334="","",SUMIF($AG$2:$AG1334,$AG1334,$AH$2:$AH1334))</f>
        <v/>
      </c>
      <c r="AJ1334" t="str">
        <f>IF('TMP Paste'!$F1334="","",IF('TMP Paste'!$B1334="",$AJ1333,'TMP Paste'!$B1334))</f>
        <v/>
      </c>
      <c r="AK1334" t="str">
        <f>IF('TMP Paste'!$F1334="","",N('TMP Paste'!$G1334))</f>
        <v/>
      </c>
      <c r="AL1334" t="str">
        <f>IF('TMP Paste'!$F1334="","",IF('TMP Paste'!$M1334="",$AL1333,'TMP Paste'!$M1334))</f>
        <v/>
      </c>
      <c r="AM1334" t="str">
        <f>IF('TMP Paste'!$F1334="","",IF('TMP Paste'!$N1334="",$AM1333,'TMP Paste'!$N1334))</f>
        <v/>
      </c>
      <c r="AN1334" t="str">
        <f>IF('TMP Paste'!$F1334="","",IF('TMP Paste'!$O1334="",$AN1333,'TMP Paste'!$O1334))</f>
        <v/>
      </c>
      <c r="AO1334" t="str">
        <f>IF('TMP Paste'!$F1334="","",IF('TMP Paste'!$P1334="",$AO1333,'TMP Paste'!$P1334))</f>
        <v/>
      </c>
      <c r="AP1334" t="str">
        <f t="shared" si="125"/>
        <v/>
      </c>
      <c r="AQ1334" t="str">
        <f>IF($AS1334="","",TRIM(IF(COUNTIFS(Calc!$B$2:$B$1601,ROW()-1,Calc!$C$2:$C$1601,"&lt;1")&gt;0,"Ada PO tanpa Koli - cek TMP. ","")&amp;IF(OR($AU1334="",$AU1334&lt;=0),"Volume kosong/0 - dimensi dikosongkan. ","")&amp;IF(AND($AU1334&lt;&gt;"",$AU1334&gt;=1000000),"Volume &gt;= 1.000.000 cm3 (di luar aturan) - dimensi dikosongkan. ","")&amp;IF(LEN($R1334)&gt;500,"R &gt; 500 karakter.","")))</f>
        <v/>
      </c>
      <c r="AS1334" t="str">
        <f>IFERROR(MATCH(ROW()-1,Calc!$J$2:$J$1601,0),"")</f>
        <v/>
      </c>
      <c r="AT1334" t="str">
        <f>IFERROR(MATCH(ROW()-1,Calc!$K$2:$K$1601,0),"")</f>
        <v/>
      </c>
      <c r="AU1334" t="str">
        <f>IF($AS1334="","",IFERROR(INDEX('TMP Paste'!$D$2:$D$1601,$AS1334)*1000000/$AB1334,""))</f>
        <v/>
      </c>
    </row>
    <row r="1335" spans="1:47">
      <c r="A1335" t="str">
        <f>IF($AS1335="","",INDEX('TMP Paste'!$B$2:$B$1601,$AS1335))</f>
        <v/>
      </c>
      <c r="B1335" t="str">
        <f>IF($AS1335="","",Config!$B$14)</f>
        <v/>
      </c>
      <c r="C1335" t="str">
        <f>IF($AS1335="","",Config!$B$15)</f>
        <v/>
      </c>
      <c r="D1335" t="str">
        <f>IF($AS1335="","",INDEX('TMP Paste'!$B$2:$B$1601,$AS1335))</f>
        <v/>
      </c>
      <c r="E1335" t="str">
        <f>IF($AS1335="","",Config!$B$27)</f>
        <v/>
      </c>
      <c r="F1335" t="str">
        <f>IF($AS1335="","",Config!$B$9)</f>
        <v/>
      </c>
      <c r="G1335" t="str">
        <f>IF($AS1335="","",Config!$B$10)</f>
        <v/>
      </c>
      <c r="H1335" t="str">
        <f>IF($AS1335="","",Config!$B$11)</f>
        <v/>
      </c>
      <c r="I1335" t="str">
        <f>IF($AS1335="","",Config!$B$16)</f>
        <v/>
      </c>
      <c r="J1335" t="str">
        <f>IF($AS1335="","",INDEX('TMP Paste'!$A$2:$A$1601,$AS1335))</f>
        <v/>
      </c>
      <c r="K1335" t="str">
        <f>IF($AS1335="","",INDEX('TMP Paste'!$L$2:$L$1601,$AS1335))</f>
        <v/>
      </c>
      <c r="L1335" t="str">
        <f>IF($AS1335="","",INDEX('TMP Paste'!$I$2:$I$1601,$AS1335))</f>
        <v/>
      </c>
      <c r="M1335" t="str">
        <f>IF($AS1335="","",Config!$B$16)</f>
        <v/>
      </c>
      <c r="N1335" t="str">
        <f t="shared" si="120"/>
        <v/>
      </c>
      <c r="O1335" t="str">
        <f>IF($AS1335="","",INDEX('TMP Paste'!$K$2:$K$1601,$AS1335))</f>
        <v/>
      </c>
      <c r="P1335" t="str">
        <f t="shared" si="121"/>
        <v/>
      </c>
      <c r="Q1335" t="str">
        <f>IF($AS1335="","",INDEX('TMP Paste'!$J$2:$J$1601,$AS1335))</f>
        <v/>
      </c>
      <c r="R1335" t="str">
        <f>IF($AS1335="","",Config!$B$24)</f>
        <v/>
      </c>
      <c r="S1335" t="str">
        <f ca="1">IF($AS1335="","",TEXT(Config!$B$4,"yyyy-mm-dd"))</f>
        <v/>
      </c>
      <c r="T1335" t="str">
        <f>IF($AS1335="","",Config!$B$17)</f>
        <v/>
      </c>
      <c r="U1335" t="str">
        <f>IF($AS1335="","",Config!$B$18)</f>
        <v/>
      </c>
      <c r="V1335" t="str">
        <f>IF($AS1335="","",Config!$B$19)</f>
        <v/>
      </c>
      <c r="W1335" t="str">
        <f>IF($AS1335="","",INDEX('TMP Paste'!$C$2:$C$1601,$AS1335))</f>
        <v/>
      </c>
      <c r="X1335" t="str">
        <f>IF($AS1335="","",Config!$B$29)</f>
        <v/>
      </c>
      <c r="Y1335" t="str">
        <f>IF($AT1335="","",INDEX(Calc!$I$2:$I$1601,$AT1335)&amp;" - "&amp;INDEX(Calc!$D$2:$D$1601,$AT1335)&amp;" koli")</f>
        <v/>
      </c>
      <c r="Z1335" t="str">
        <f>IF($AS1335="","",Config!$B$21)</f>
        <v/>
      </c>
      <c r="AA1335" t="str">
        <f>IF($AS1335="","",Config!$B$22)</f>
        <v/>
      </c>
      <c r="AB1335" t="str">
        <f>IF($AT1335="","",INDEX(Calc!$D$2:$D$1601,$AT1335))</f>
        <v/>
      </c>
      <c r="AC1335" t="str">
        <f>IF($AT1335="","",INDEX(Calc!$G$2:$G$1601,$AT1335))</f>
        <v/>
      </c>
      <c r="AD1335" t="str">
        <f>IF($AS1335="","",Config!$B$23)</f>
        <v/>
      </c>
      <c r="AE1335" t="str">
        <f>IF($AS1335="","",Config!$B$28)</f>
        <v/>
      </c>
      <c r="AF1335" t="str">
        <f t="shared" si="122"/>
        <v/>
      </c>
      <c r="AG1335" t="str">
        <f t="shared" si="123"/>
        <v/>
      </c>
      <c r="AH1335" t="str">
        <f t="shared" si="124"/>
        <v/>
      </c>
      <c r="AI1335" t="str">
        <f>IF($AG1335="","",SUMIF($AG$2:$AG1335,$AG1335,$AH$2:$AH1335))</f>
        <v/>
      </c>
      <c r="AJ1335" t="str">
        <f>IF('TMP Paste'!$F1335="","",IF('TMP Paste'!$B1335="",$AJ1334,'TMP Paste'!$B1335))</f>
        <v/>
      </c>
      <c r="AK1335" t="str">
        <f>IF('TMP Paste'!$F1335="","",N('TMP Paste'!$G1335))</f>
        <v/>
      </c>
      <c r="AL1335" t="str">
        <f>IF('TMP Paste'!$F1335="","",IF('TMP Paste'!$M1335="",$AL1334,'TMP Paste'!$M1335))</f>
        <v/>
      </c>
      <c r="AM1335" t="str">
        <f>IF('TMP Paste'!$F1335="","",IF('TMP Paste'!$N1335="",$AM1334,'TMP Paste'!$N1335))</f>
        <v/>
      </c>
      <c r="AN1335" t="str">
        <f>IF('TMP Paste'!$F1335="","",IF('TMP Paste'!$O1335="",$AN1334,'TMP Paste'!$O1335))</f>
        <v/>
      </c>
      <c r="AO1335" t="str">
        <f>IF('TMP Paste'!$F1335="","",IF('TMP Paste'!$P1335="",$AO1334,'TMP Paste'!$P1335))</f>
        <v/>
      </c>
      <c r="AP1335" t="str">
        <f t="shared" si="125"/>
        <v/>
      </c>
      <c r="AQ1335" t="str">
        <f>IF($AS1335="","",TRIM(IF(COUNTIFS(Calc!$B$2:$B$1601,ROW()-1,Calc!$C$2:$C$1601,"&lt;1")&gt;0,"Ada PO tanpa Koli - cek TMP. ","")&amp;IF(OR($AU1335="",$AU1335&lt;=0),"Volume kosong/0 - dimensi dikosongkan. ","")&amp;IF(AND($AU1335&lt;&gt;"",$AU1335&gt;=1000000),"Volume &gt;= 1.000.000 cm3 (di luar aturan) - dimensi dikosongkan. ","")&amp;IF(LEN($R1335)&gt;500,"R &gt; 500 karakter.","")))</f>
        <v/>
      </c>
      <c r="AS1335" t="str">
        <f>IFERROR(MATCH(ROW()-1,Calc!$J$2:$J$1601,0),"")</f>
        <v/>
      </c>
      <c r="AT1335" t="str">
        <f>IFERROR(MATCH(ROW()-1,Calc!$K$2:$K$1601,0),"")</f>
        <v/>
      </c>
      <c r="AU1335" t="str">
        <f>IF($AS1335="","",IFERROR(INDEX('TMP Paste'!$D$2:$D$1601,$AS1335)*1000000/$AB1335,""))</f>
        <v/>
      </c>
    </row>
    <row r="1336" spans="1:47">
      <c r="A1336" t="str">
        <f>IF($AS1336="","",INDEX('TMP Paste'!$B$2:$B$1601,$AS1336))</f>
        <v/>
      </c>
      <c r="B1336" t="str">
        <f>IF($AS1336="","",Config!$B$14)</f>
        <v/>
      </c>
      <c r="C1336" t="str">
        <f>IF($AS1336="","",Config!$B$15)</f>
        <v/>
      </c>
      <c r="D1336" t="str">
        <f>IF($AS1336="","",INDEX('TMP Paste'!$B$2:$B$1601,$AS1336))</f>
        <v/>
      </c>
      <c r="E1336" t="str">
        <f>IF($AS1336="","",Config!$B$27)</f>
        <v/>
      </c>
      <c r="F1336" t="str">
        <f>IF($AS1336="","",Config!$B$9)</f>
        <v/>
      </c>
      <c r="G1336" t="str">
        <f>IF($AS1336="","",Config!$B$10)</f>
        <v/>
      </c>
      <c r="H1336" t="str">
        <f>IF($AS1336="","",Config!$B$11)</f>
        <v/>
      </c>
      <c r="I1336" t="str">
        <f>IF($AS1336="","",Config!$B$16)</f>
        <v/>
      </c>
      <c r="J1336" t="str">
        <f>IF($AS1336="","",INDEX('TMP Paste'!$A$2:$A$1601,$AS1336))</f>
        <v/>
      </c>
      <c r="K1336" t="str">
        <f>IF($AS1336="","",INDEX('TMP Paste'!$L$2:$L$1601,$AS1336))</f>
        <v/>
      </c>
      <c r="L1336" t="str">
        <f>IF($AS1336="","",INDEX('TMP Paste'!$I$2:$I$1601,$AS1336))</f>
        <v/>
      </c>
      <c r="M1336" t="str">
        <f>IF($AS1336="","",Config!$B$16)</f>
        <v/>
      </c>
      <c r="N1336" t="str">
        <f t="shared" si="120"/>
        <v/>
      </c>
      <c r="O1336" t="str">
        <f>IF($AS1336="","",INDEX('TMP Paste'!$K$2:$K$1601,$AS1336))</f>
        <v/>
      </c>
      <c r="P1336" t="str">
        <f t="shared" si="121"/>
        <v/>
      </c>
      <c r="Q1336" t="str">
        <f>IF($AS1336="","",INDEX('TMP Paste'!$J$2:$J$1601,$AS1336))</f>
        <v/>
      </c>
      <c r="R1336" t="str">
        <f>IF($AS1336="","",Config!$B$24)</f>
        <v/>
      </c>
      <c r="S1336" t="str">
        <f ca="1">IF($AS1336="","",TEXT(Config!$B$4,"yyyy-mm-dd"))</f>
        <v/>
      </c>
      <c r="T1336" t="str">
        <f>IF($AS1336="","",Config!$B$17)</f>
        <v/>
      </c>
      <c r="U1336" t="str">
        <f>IF($AS1336="","",Config!$B$18)</f>
        <v/>
      </c>
      <c r="V1336" t="str">
        <f>IF($AS1336="","",Config!$B$19)</f>
        <v/>
      </c>
      <c r="W1336" t="str">
        <f>IF($AS1336="","",INDEX('TMP Paste'!$C$2:$C$1601,$AS1336))</f>
        <v/>
      </c>
      <c r="X1336" t="str">
        <f>IF($AS1336="","",Config!$B$29)</f>
        <v/>
      </c>
      <c r="Y1336" t="str">
        <f>IF($AT1336="","",INDEX(Calc!$I$2:$I$1601,$AT1336)&amp;" - "&amp;INDEX(Calc!$D$2:$D$1601,$AT1336)&amp;" koli")</f>
        <v/>
      </c>
      <c r="Z1336" t="str">
        <f>IF($AS1336="","",Config!$B$21)</f>
        <v/>
      </c>
      <c r="AA1336" t="str">
        <f>IF($AS1336="","",Config!$B$22)</f>
        <v/>
      </c>
      <c r="AB1336" t="str">
        <f>IF($AT1336="","",INDEX(Calc!$D$2:$D$1601,$AT1336))</f>
        <v/>
      </c>
      <c r="AC1336" t="str">
        <f>IF($AT1336="","",INDEX(Calc!$G$2:$G$1601,$AT1336))</f>
        <v/>
      </c>
      <c r="AD1336" t="str">
        <f>IF($AS1336="","",Config!$B$23)</f>
        <v/>
      </c>
      <c r="AE1336" t="str">
        <f>IF($AS1336="","",Config!$B$28)</f>
        <v/>
      </c>
      <c r="AF1336" t="str">
        <f t="shared" si="122"/>
        <v/>
      </c>
      <c r="AG1336" t="str">
        <f t="shared" si="123"/>
        <v/>
      </c>
      <c r="AH1336" t="str">
        <f t="shared" si="124"/>
        <v/>
      </c>
      <c r="AI1336" t="str">
        <f>IF($AG1336="","",SUMIF($AG$2:$AG1336,$AG1336,$AH$2:$AH1336))</f>
        <v/>
      </c>
      <c r="AJ1336" t="str">
        <f>IF('TMP Paste'!$F1336="","",IF('TMP Paste'!$B1336="",$AJ1335,'TMP Paste'!$B1336))</f>
        <v/>
      </c>
      <c r="AK1336" t="str">
        <f>IF('TMP Paste'!$F1336="","",N('TMP Paste'!$G1336))</f>
        <v/>
      </c>
      <c r="AL1336" t="str">
        <f>IF('TMP Paste'!$F1336="","",IF('TMP Paste'!$M1336="",$AL1335,'TMP Paste'!$M1336))</f>
        <v/>
      </c>
      <c r="AM1336" t="str">
        <f>IF('TMP Paste'!$F1336="","",IF('TMP Paste'!$N1336="",$AM1335,'TMP Paste'!$N1336))</f>
        <v/>
      </c>
      <c r="AN1336" t="str">
        <f>IF('TMP Paste'!$F1336="","",IF('TMP Paste'!$O1336="",$AN1335,'TMP Paste'!$O1336))</f>
        <v/>
      </c>
      <c r="AO1336" t="str">
        <f>IF('TMP Paste'!$F1336="","",IF('TMP Paste'!$P1336="",$AO1335,'TMP Paste'!$P1336))</f>
        <v/>
      </c>
      <c r="AP1336" t="str">
        <f t="shared" si="125"/>
        <v/>
      </c>
      <c r="AQ1336" t="str">
        <f>IF($AS1336="","",TRIM(IF(COUNTIFS(Calc!$B$2:$B$1601,ROW()-1,Calc!$C$2:$C$1601,"&lt;1")&gt;0,"Ada PO tanpa Koli - cek TMP. ","")&amp;IF(OR($AU1336="",$AU1336&lt;=0),"Volume kosong/0 - dimensi dikosongkan. ","")&amp;IF(AND($AU1336&lt;&gt;"",$AU1336&gt;=1000000),"Volume &gt;= 1.000.000 cm3 (di luar aturan) - dimensi dikosongkan. ","")&amp;IF(LEN($R1336)&gt;500,"R &gt; 500 karakter.","")))</f>
        <v/>
      </c>
      <c r="AS1336" t="str">
        <f>IFERROR(MATCH(ROW()-1,Calc!$J$2:$J$1601,0),"")</f>
        <v/>
      </c>
      <c r="AT1336" t="str">
        <f>IFERROR(MATCH(ROW()-1,Calc!$K$2:$K$1601,0),"")</f>
        <v/>
      </c>
      <c r="AU1336" t="str">
        <f>IF($AS1336="","",IFERROR(INDEX('TMP Paste'!$D$2:$D$1601,$AS1336)*1000000/$AB1336,""))</f>
        <v/>
      </c>
    </row>
    <row r="1337" spans="1:47">
      <c r="A1337" t="str">
        <f>IF($AS1337="","",INDEX('TMP Paste'!$B$2:$B$1601,$AS1337))</f>
        <v/>
      </c>
      <c r="B1337" t="str">
        <f>IF($AS1337="","",Config!$B$14)</f>
        <v/>
      </c>
      <c r="C1337" t="str">
        <f>IF($AS1337="","",Config!$B$15)</f>
        <v/>
      </c>
      <c r="D1337" t="str">
        <f>IF($AS1337="","",INDEX('TMP Paste'!$B$2:$B$1601,$AS1337))</f>
        <v/>
      </c>
      <c r="E1337" t="str">
        <f>IF($AS1337="","",Config!$B$27)</f>
        <v/>
      </c>
      <c r="F1337" t="str">
        <f>IF($AS1337="","",Config!$B$9)</f>
        <v/>
      </c>
      <c r="G1337" t="str">
        <f>IF($AS1337="","",Config!$B$10)</f>
        <v/>
      </c>
      <c r="H1337" t="str">
        <f>IF($AS1337="","",Config!$B$11)</f>
        <v/>
      </c>
      <c r="I1337" t="str">
        <f>IF($AS1337="","",Config!$B$16)</f>
        <v/>
      </c>
      <c r="J1337" t="str">
        <f>IF($AS1337="","",INDEX('TMP Paste'!$A$2:$A$1601,$AS1337))</f>
        <v/>
      </c>
      <c r="K1337" t="str">
        <f>IF($AS1337="","",INDEX('TMP Paste'!$L$2:$L$1601,$AS1337))</f>
        <v/>
      </c>
      <c r="L1337" t="str">
        <f>IF($AS1337="","",INDEX('TMP Paste'!$I$2:$I$1601,$AS1337))</f>
        <v/>
      </c>
      <c r="M1337" t="str">
        <f>IF($AS1337="","",Config!$B$16)</f>
        <v/>
      </c>
      <c r="N1337" t="str">
        <f t="shared" si="120"/>
        <v/>
      </c>
      <c r="O1337" t="str">
        <f>IF($AS1337="","",INDEX('TMP Paste'!$K$2:$K$1601,$AS1337))</f>
        <v/>
      </c>
      <c r="P1337" t="str">
        <f t="shared" si="121"/>
        <v/>
      </c>
      <c r="Q1337" t="str">
        <f>IF($AS1337="","",INDEX('TMP Paste'!$J$2:$J$1601,$AS1337))</f>
        <v/>
      </c>
      <c r="R1337" t="str">
        <f>IF($AS1337="","",Config!$B$24)</f>
        <v/>
      </c>
      <c r="S1337" t="str">
        <f ca="1">IF($AS1337="","",TEXT(Config!$B$4,"yyyy-mm-dd"))</f>
        <v/>
      </c>
      <c r="T1337" t="str">
        <f>IF($AS1337="","",Config!$B$17)</f>
        <v/>
      </c>
      <c r="U1337" t="str">
        <f>IF($AS1337="","",Config!$B$18)</f>
        <v/>
      </c>
      <c r="V1337" t="str">
        <f>IF($AS1337="","",Config!$B$19)</f>
        <v/>
      </c>
      <c r="W1337" t="str">
        <f>IF($AS1337="","",INDEX('TMP Paste'!$C$2:$C$1601,$AS1337))</f>
        <v/>
      </c>
      <c r="X1337" t="str">
        <f>IF($AS1337="","",Config!$B$29)</f>
        <v/>
      </c>
      <c r="Y1337" t="str">
        <f>IF($AT1337="","",INDEX(Calc!$I$2:$I$1601,$AT1337)&amp;" - "&amp;INDEX(Calc!$D$2:$D$1601,$AT1337)&amp;" koli")</f>
        <v/>
      </c>
      <c r="Z1337" t="str">
        <f>IF($AS1337="","",Config!$B$21)</f>
        <v/>
      </c>
      <c r="AA1337" t="str">
        <f>IF($AS1337="","",Config!$B$22)</f>
        <v/>
      </c>
      <c r="AB1337" t="str">
        <f>IF($AT1337="","",INDEX(Calc!$D$2:$D$1601,$AT1337))</f>
        <v/>
      </c>
      <c r="AC1337" t="str">
        <f>IF($AT1337="","",INDEX(Calc!$G$2:$G$1601,$AT1337))</f>
        <v/>
      </c>
      <c r="AD1337" t="str">
        <f>IF($AS1337="","",Config!$B$23)</f>
        <v/>
      </c>
      <c r="AE1337" t="str">
        <f>IF($AS1337="","",Config!$B$28)</f>
        <v/>
      </c>
      <c r="AF1337" t="str">
        <f t="shared" si="122"/>
        <v/>
      </c>
      <c r="AG1337" t="str">
        <f t="shared" si="123"/>
        <v/>
      </c>
      <c r="AH1337" t="str">
        <f t="shared" si="124"/>
        <v/>
      </c>
      <c r="AI1337" t="str">
        <f>IF($AG1337="","",SUMIF($AG$2:$AG1337,$AG1337,$AH$2:$AH1337))</f>
        <v/>
      </c>
      <c r="AJ1337" t="str">
        <f>IF('TMP Paste'!$F1337="","",IF('TMP Paste'!$B1337="",$AJ1336,'TMP Paste'!$B1337))</f>
        <v/>
      </c>
      <c r="AK1337" t="str">
        <f>IF('TMP Paste'!$F1337="","",N('TMP Paste'!$G1337))</f>
        <v/>
      </c>
      <c r="AL1337" t="str">
        <f>IF('TMP Paste'!$F1337="","",IF('TMP Paste'!$M1337="",$AL1336,'TMP Paste'!$M1337))</f>
        <v/>
      </c>
      <c r="AM1337" t="str">
        <f>IF('TMP Paste'!$F1337="","",IF('TMP Paste'!$N1337="",$AM1336,'TMP Paste'!$N1337))</f>
        <v/>
      </c>
      <c r="AN1337" t="str">
        <f>IF('TMP Paste'!$F1337="","",IF('TMP Paste'!$O1337="",$AN1336,'TMP Paste'!$O1337))</f>
        <v/>
      </c>
      <c r="AO1337" t="str">
        <f>IF('TMP Paste'!$F1337="","",IF('TMP Paste'!$P1337="",$AO1336,'TMP Paste'!$P1337))</f>
        <v/>
      </c>
      <c r="AP1337" t="str">
        <f t="shared" si="125"/>
        <v/>
      </c>
      <c r="AQ1337" t="str">
        <f>IF($AS1337="","",TRIM(IF(COUNTIFS(Calc!$B$2:$B$1601,ROW()-1,Calc!$C$2:$C$1601,"&lt;1")&gt;0,"Ada PO tanpa Koli - cek TMP. ","")&amp;IF(OR($AU1337="",$AU1337&lt;=0),"Volume kosong/0 - dimensi dikosongkan. ","")&amp;IF(AND($AU1337&lt;&gt;"",$AU1337&gt;=1000000),"Volume &gt;= 1.000.000 cm3 (di luar aturan) - dimensi dikosongkan. ","")&amp;IF(LEN($R1337)&gt;500,"R &gt; 500 karakter.","")))</f>
        <v/>
      </c>
      <c r="AS1337" t="str">
        <f>IFERROR(MATCH(ROW()-1,Calc!$J$2:$J$1601,0),"")</f>
        <v/>
      </c>
      <c r="AT1337" t="str">
        <f>IFERROR(MATCH(ROW()-1,Calc!$K$2:$K$1601,0),"")</f>
        <v/>
      </c>
      <c r="AU1337" t="str">
        <f>IF($AS1337="","",IFERROR(INDEX('TMP Paste'!$D$2:$D$1601,$AS1337)*1000000/$AB1337,""))</f>
        <v/>
      </c>
    </row>
    <row r="1338" spans="1:47">
      <c r="A1338" t="str">
        <f>IF($AS1338="","",INDEX('TMP Paste'!$B$2:$B$1601,$AS1338))</f>
        <v/>
      </c>
      <c r="B1338" t="str">
        <f>IF($AS1338="","",Config!$B$14)</f>
        <v/>
      </c>
      <c r="C1338" t="str">
        <f>IF($AS1338="","",Config!$B$15)</f>
        <v/>
      </c>
      <c r="D1338" t="str">
        <f>IF($AS1338="","",INDEX('TMP Paste'!$B$2:$B$1601,$AS1338))</f>
        <v/>
      </c>
      <c r="E1338" t="str">
        <f>IF($AS1338="","",Config!$B$27)</f>
        <v/>
      </c>
      <c r="F1338" t="str">
        <f>IF($AS1338="","",Config!$B$9)</f>
        <v/>
      </c>
      <c r="G1338" t="str">
        <f>IF($AS1338="","",Config!$B$10)</f>
        <v/>
      </c>
      <c r="H1338" t="str">
        <f>IF($AS1338="","",Config!$B$11)</f>
        <v/>
      </c>
      <c r="I1338" t="str">
        <f>IF($AS1338="","",Config!$B$16)</f>
        <v/>
      </c>
      <c r="J1338" t="str">
        <f>IF($AS1338="","",INDEX('TMP Paste'!$A$2:$A$1601,$AS1338))</f>
        <v/>
      </c>
      <c r="K1338" t="str">
        <f>IF($AS1338="","",INDEX('TMP Paste'!$L$2:$L$1601,$AS1338))</f>
        <v/>
      </c>
      <c r="L1338" t="str">
        <f>IF($AS1338="","",INDEX('TMP Paste'!$I$2:$I$1601,$AS1338))</f>
        <v/>
      </c>
      <c r="M1338" t="str">
        <f>IF($AS1338="","",Config!$B$16)</f>
        <v/>
      </c>
      <c r="N1338" t="str">
        <f t="shared" si="120"/>
        <v/>
      </c>
      <c r="O1338" t="str">
        <f>IF($AS1338="","",INDEX('TMP Paste'!$K$2:$K$1601,$AS1338))</f>
        <v/>
      </c>
      <c r="P1338" t="str">
        <f t="shared" si="121"/>
        <v/>
      </c>
      <c r="Q1338" t="str">
        <f>IF($AS1338="","",INDEX('TMP Paste'!$J$2:$J$1601,$AS1338))</f>
        <v/>
      </c>
      <c r="R1338" t="str">
        <f>IF($AS1338="","",Config!$B$24)</f>
        <v/>
      </c>
      <c r="S1338" t="str">
        <f ca="1">IF($AS1338="","",TEXT(Config!$B$4,"yyyy-mm-dd"))</f>
        <v/>
      </c>
      <c r="T1338" t="str">
        <f>IF($AS1338="","",Config!$B$17)</f>
        <v/>
      </c>
      <c r="U1338" t="str">
        <f>IF($AS1338="","",Config!$B$18)</f>
        <v/>
      </c>
      <c r="V1338" t="str">
        <f>IF($AS1338="","",Config!$B$19)</f>
        <v/>
      </c>
      <c r="W1338" t="str">
        <f>IF($AS1338="","",INDEX('TMP Paste'!$C$2:$C$1601,$AS1338))</f>
        <v/>
      </c>
      <c r="X1338" t="str">
        <f>IF($AS1338="","",Config!$B$29)</f>
        <v/>
      </c>
      <c r="Y1338" t="str">
        <f>IF($AT1338="","",INDEX(Calc!$I$2:$I$1601,$AT1338)&amp;" - "&amp;INDEX(Calc!$D$2:$D$1601,$AT1338)&amp;" koli")</f>
        <v/>
      </c>
      <c r="Z1338" t="str">
        <f>IF($AS1338="","",Config!$B$21)</f>
        <v/>
      </c>
      <c r="AA1338" t="str">
        <f>IF($AS1338="","",Config!$B$22)</f>
        <v/>
      </c>
      <c r="AB1338" t="str">
        <f>IF($AT1338="","",INDEX(Calc!$D$2:$D$1601,$AT1338))</f>
        <v/>
      </c>
      <c r="AC1338" t="str">
        <f>IF($AT1338="","",INDEX(Calc!$G$2:$G$1601,$AT1338))</f>
        <v/>
      </c>
      <c r="AD1338" t="str">
        <f>IF($AS1338="","",Config!$B$23)</f>
        <v/>
      </c>
      <c r="AE1338" t="str">
        <f>IF($AS1338="","",Config!$B$28)</f>
        <v/>
      </c>
      <c r="AF1338" t="str">
        <f t="shared" si="122"/>
        <v/>
      </c>
      <c r="AG1338" t="str">
        <f t="shared" si="123"/>
        <v/>
      </c>
      <c r="AH1338" t="str">
        <f t="shared" si="124"/>
        <v/>
      </c>
      <c r="AI1338" t="str">
        <f>IF($AG1338="","",SUMIF($AG$2:$AG1338,$AG1338,$AH$2:$AH1338))</f>
        <v/>
      </c>
      <c r="AJ1338" t="str">
        <f>IF('TMP Paste'!$F1338="","",IF('TMP Paste'!$B1338="",$AJ1337,'TMP Paste'!$B1338))</f>
        <v/>
      </c>
      <c r="AK1338" t="str">
        <f>IF('TMP Paste'!$F1338="","",N('TMP Paste'!$G1338))</f>
        <v/>
      </c>
      <c r="AL1338" t="str">
        <f>IF('TMP Paste'!$F1338="","",IF('TMP Paste'!$M1338="",$AL1337,'TMP Paste'!$M1338))</f>
        <v/>
      </c>
      <c r="AM1338" t="str">
        <f>IF('TMP Paste'!$F1338="","",IF('TMP Paste'!$N1338="",$AM1337,'TMP Paste'!$N1338))</f>
        <v/>
      </c>
      <c r="AN1338" t="str">
        <f>IF('TMP Paste'!$F1338="","",IF('TMP Paste'!$O1338="",$AN1337,'TMP Paste'!$O1338))</f>
        <v/>
      </c>
      <c r="AO1338" t="str">
        <f>IF('TMP Paste'!$F1338="","",IF('TMP Paste'!$P1338="",$AO1337,'TMP Paste'!$P1338))</f>
        <v/>
      </c>
      <c r="AP1338" t="str">
        <f t="shared" si="125"/>
        <v/>
      </c>
      <c r="AQ1338" t="str">
        <f>IF($AS1338="","",TRIM(IF(COUNTIFS(Calc!$B$2:$B$1601,ROW()-1,Calc!$C$2:$C$1601,"&lt;1")&gt;0,"Ada PO tanpa Koli - cek TMP. ","")&amp;IF(OR($AU1338="",$AU1338&lt;=0),"Volume kosong/0 - dimensi dikosongkan. ","")&amp;IF(AND($AU1338&lt;&gt;"",$AU1338&gt;=1000000),"Volume &gt;= 1.000.000 cm3 (di luar aturan) - dimensi dikosongkan. ","")&amp;IF(LEN($R1338)&gt;500,"R &gt; 500 karakter.","")))</f>
        <v/>
      </c>
      <c r="AS1338" t="str">
        <f>IFERROR(MATCH(ROW()-1,Calc!$J$2:$J$1601,0),"")</f>
        <v/>
      </c>
      <c r="AT1338" t="str">
        <f>IFERROR(MATCH(ROW()-1,Calc!$K$2:$K$1601,0),"")</f>
        <v/>
      </c>
      <c r="AU1338" t="str">
        <f>IF($AS1338="","",IFERROR(INDEX('TMP Paste'!$D$2:$D$1601,$AS1338)*1000000/$AB1338,""))</f>
        <v/>
      </c>
    </row>
    <row r="1339" spans="1:47">
      <c r="A1339" t="str">
        <f>IF($AS1339="","",INDEX('TMP Paste'!$B$2:$B$1601,$AS1339))</f>
        <v/>
      </c>
      <c r="B1339" t="str">
        <f>IF($AS1339="","",Config!$B$14)</f>
        <v/>
      </c>
      <c r="C1339" t="str">
        <f>IF($AS1339="","",Config!$B$15)</f>
        <v/>
      </c>
      <c r="D1339" t="str">
        <f>IF($AS1339="","",INDEX('TMP Paste'!$B$2:$B$1601,$AS1339))</f>
        <v/>
      </c>
      <c r="E1339" t="str">
        <f>IF($AS1339="","",Config!$B$27)</f>
        <v/>
      </c>
      <c r="F1339" t="str">
        <f>IF($AS1339="","",Config!$B$9)</f>
        <v/>
      </c>
      <c r="G1339" t="str">
        <f>IF($AS1339="","",Config!$B$10)</f>
        <v/>
      </c>
      <c r="H1339" t="str">
        <f>IF($AS1339="","",Config!$B$11)</f>
        <v/>
      </c>
      <c r="I1339" t="str">
        <f>IF($AS1339="","",Config!$B$16)</f>
        <v/>
      </c>
      <c r="J1339" t="str">
        <f>IF($AS1339="","",INDEX('TMP Paste'!$A$2:$A$1601,$AS1339))</f>
        <v/>
      </c>
      <c r="K1339" t="str">
        <f>IF($AS1339="","",INDEX('TMP Paste'!$L$2:$L$1601,$AS1339))</f>
        <v/>
      </c>
      <c r="L1339" t="str">
        <f>IF($AS1339="","",INDEX('TMP Paste'!$I$2:$I$1601,$AS1339))</f>
        <v/>
      </c>
      <c r="M1339" t="str">
        <f>IF($AS1339="","",Config!$B$16)</f>
        <v/>
      </c>
      <c r="N1339" t="str">
        <f t="shared" si="120"/>
        <v/>
      </c>
      <c r="O1339" t="str">
        <f>IF($AS1339="","",INDEX('TMP Paste'!$K$2:$K$1601,$AS1339))</f>
        <v/>
      </c>
      <c r="P1339" t="str">
        <f t="shared" si="121"/>
        <v/>
      </c>
      <c r="Q1339" t="str">
        <f>IF($AS1339="","",INDEX('TMP Paste'!$J$2:$J$1601,$AS1339))</f>
        <v/>
      </c>
      <c r="R1339" t="str">
        <f>IF($AS1339="","",Config!$B$24)</f>
        <v/>
      </c>
      <c r="S1339" t="str">
        <f ca="1">IF($AS1339="","",TEXT(Config!$B$4,"yyyy-mm-dd"))</f>
        <v/>
      </c>
      <c r="T1339" t="str">
        <f>IF($AS1339="","",Config!$B$17)</f>
        <v/>
      </c>
      <c r="U1339" t="str">
        <f>IF($AS1339="","",Config!$B$18)</f>
        <v/>
      </c>
      <c r="V1339" t="str">
        <f>IF($AS1339="","",Config!$B$19)</f>
        <v/>
      </c>
      <c r="W1339" t="str">
        <f>IF($AS1339="","",INDEX('TMP Paste'!$C$2:$C$1601,$AS1339))</f>
        <v/>
      </c>
      <c r="X1339" t="str">
        <f>IF($AS1339="","",Config!$B$29)</f>
        <v/>
      </c>
      <c r="Y1339" t="str">
        <f>IF($AT1339="","",INDEX(Calc!$I$2:$I$1601,$AT1339)&amp;" - "&amp;INDEX(Calc!$D$2:$D$1601,$AT1339)&amp;" koli")</f>
        <v/>
      </c>
      <c r="Z1339" t="str">
        <f>IF($AS1339="","",Config!$B$21)</f>
        <v/>
      </c>
      <c r="AA1339" t="str">
        <f>IF($AS1339="","",Config!$B$22)</f>
        <v/>
      </c>
      <c r="AB1339" t="str">
        <f>IF($AT1339="","",INDEX(Calc!$D$2:$D$1601,$AT1339))</f>
        <v/>
      </c>
      <c r="AC1339" t="str">
        <f>IF($AT1339="","",INDEX(Calc!$G$2:$G$1601,$AT1339))</f>
        <v/>
      </c>
      <c r="AD1339" t="str">
        <f>IF($AS1339="","",Config!$B$23)</f>
        <v/>
      </c>
      <c r="AE1339" t="str">
        <f>IF($AS1339="","",Config!$B$28)</f>
        <v/>
      </c>
      <c r="AF1339" t="str">
        <f t="shared" si="122"/>
        <v/>
      </c>
      <c r="AG1339" t="str">
        <f t="shared" si="123"/>
        <v/>
      </c>
      <c r="AH1339" t="str">
        <f t="shared" si="124"/>
        <v/>
      </c>
      <c r="AI1339" t="str">
        <f>IF($AG1339="","",SUMIF($AG$2:$AG1339,$AG1339,$AH$2:$AH1339))</f>
        <v/>
      </c>
      <c r="AJ1339" t="str">
        <f>IF('TMP Paste'!$F1339="","",IF('TMP Paste'!$B1339="",$AJ1338,'TMP Paste'!$B1339))</f>
        <v/>
      </c>
      <c r="AK1339" t="str">
        <f>IF('TMP Paste'!$F1339="","",N('TMP Paste'!$G1339))</f>
        <v/>
      </c>
      <c r="AL1339" t="str">
        <f>IF('TMP Paste'!$F1339="","",IF('TMP Paste'!$M1339="",$AL1338,'TMP Paste'!$M1339))</f>
        <v/>
      </c>
      <c r="AM1339" t="str">
        <f>IF('TMP Paste'!$F1339="","",IF('TMP Paste'!$N1339="",$AM1338,'TMP Paste'!$N1339))</f>
        <v/>
      </c>
      <c r="AN1339" t="str">
        <f>IF('TMP Paste'!$F1339="","",IF('TMP Paste'!$O1339="",$AN1338,'TMP Paste'!$O1339))</f>
        <v/>
      </c>
      <c r="AO1339" t="str">
        <f>IF('TMP Paste'!$F1339="","",IF('TMP Paste'!$P1339="",$AO1338,'TMP Paste'!$P1339))</f>
        <v/>
      </c>
      <c r="AP1339" t="str">
        <f t="shared" si="125"/>
        <v/>
      </c>
      <c r="AQ1339" t="str">
        <f>IF($AS1339="","",TRIM(IF(COUNTIFS(Calc!$B$2:$B$1601,ROW()-1,Calc!$C$2:$C$1601,"&lt;1")&gt;0,"Ada PO tanpa Koli - cek TMP. ","")&amp;IF(OR($AU1339="",$AU1339&lt;=0),"Volume kosong/0 - dimensi dikosongkan. ","")&amp;IF(AND($AU1339&lt;&gt;"",$AU1339&gt;=1000000),"Volume &gt;= 1.000.000 cm3 (di luar aturan) - dimensi dikosongkan. ","")&amp;IF(LEN($R1339)&gt;500,"R &gt; 500 karakter.","")))</f>
        <v/>
      </c>
      <c r="AS1339" t="str">
        <f>IFERROR(MATCH(ROW()-1,Calc!$J$2:$J$1601,0),"")</f>
        <v/>
      </c>
      <c r="AT1339" t="str">
        <f>IFERROR(MATCH(ROW()-1,Calc!$K$2:$K$1601,0),"")</f>
        <v/>
      </c>
      <c r="AU1339" t="str">
        <f>IF($AS1339="","",IFERROR(INDEX('TMP Paste'!$D$2:$D$1601,$AS1339)*1000000/$AB1339,""))</f>
        <v/>
      </c>
    </row>
    <row r="1340" spans="1:47">
      <c r="A1340" t="str">
        <f>IF($AS1340="","",INDEX('TMP Paste'!$B$2:$B$1601,$AS1340))</f>
        <v/>
      </c>
      <c r="B1340" t="str">
        <f>IF($AS1340="","",Config!$B$14)</f>
        <v/>
      </c>
      <c r="C1340" t="str">
        <f>IF($AS1340="","",Config!$B$15)</f>
        <v/>
      </c>
      <c r="D1340" t="str">
        <f>IF($AS1340="","",INDEX('TMP Paste'!$B$2:$B$1601,$AS1340))</f>
        <v/>
      </c>
      <c r="E1340" t="str">
        <f>IF($AS1340="","",Config!$B$27)</f>
        <v/>
      </c>
      <c r="F1340" t="str">
        <f>IF($AS1340="","",Config!$B$9)</f>
        <v/>
      </c>
      <c r="G1340" t="str">
        <f>IF($AS1340="","",Config!$B$10)</f>
        <v/>
      </c>
      <c r="H1340" t="str">
        <f>IF($AS1340="","",Config!$B$11)</f>
        <v/>
      </c>
      <c r="I1340" t="str">
        <f>IF($AS1340="","",Config!$B$16)</f>
        <v/>
      </c>
      <c r="J1340" t="str">
        <f>IF($AS1340="","",INDEX('TMP Paste'!$A$2:$A$1601,$AS1340))</f>
        <v/>
      </c>
      <c r="K1340" t="str">
        <f>IF($AS1340="","",INDEX('TMP Paste'!$L$2:$L$1601,$AS1340))</f>
        <v/>
      </c>
      <c r="L1340" t="str">
        <f>IF($AS1340="","",INDEX('TMP Paste'!$I$2:$I$1601,$AS1340))</f>
        <v/>
      </c>
      <c r="M1340" t="str">
        <f>IF($AS1340="","",Config!$B$16)</f>
        <v/>
      </c>
      <c r="N1340" t="str">
        <f t="shared" si="120"/>
        <v/>
      </c>
      <c r="O1340" t="str">
        <f>IF($AS1340="","",INDEX('TMP Paste'!$K$2:$K$1601,$AS1340))</f>
        <v/>
      </c>
      <c r="P1340" t="str">
        <f t="shared" si="121"/>
        <v/>
      </c>
      <c r="Q1340" t="str">
        <f>IF($AS1340="","",INDEX('TMP Paste'!$J$2:$J$1601,$AS1340))</f>
        <v/>
      </c>
      <c r="R1340" t="str">
        <f>IF($AS1340="","",Config!$B$24)</f>
        <v/>
      </c>
      <c r="S1340" t="str">
        <f ca="1">IF($AS1340="","",TEXT(Config!$B$4,"yyyy-mm-dd"))</f>
        <v/>
      </c>
      <c r="T1340" t="str">
        <f>IF($AS1340="","",Config!$B$17)</f>
        <v/>
      </c>
      <c r="U1340" t="str">
        <f>IF($AS1340="","",Config!$B$18)</f>
        <v/>
      </c>
      <c r="V1340" t="str">
        <f>IF($AS1340="","",Config!$B$19)</f>
        <v/>
      </c>
      <c r="W1340" t="str">
        <f>IF($AS1340="","",INDEX('TMP Paste'!$C$2:$C$1601,$AS1340))</f>
        <v/>
      </c>
      <c r="X1340" t="str">
        <f>IF($AS1340="","",Config!$B$29)</f>
        <v/>
      </c>
      <c r="Y1340" t="str">
        <f>IF($AT1340="","",INDEX(Calc!$I$2:$I$1601,$AT1340)&amp;" - "&amp;INDEX(Calc!$D$2:$D$1601,$AT1340)&amp;" koli")</f>
        <v/>
      </c>
      <c r="Z1340" t="str">
        <f>IF($AS1340="","",Config!$B$21)</f>
        <v/>
      </c>
      <c r="AA1340" t="str">
        <f>IF($AS1340="","",Config!$B$22)</f>
        <v/>
      </c>
      <c r="AB1340" t="str">
        <f>IF($AT1340="","",INDEX(Calc!$D$2:$D$1601,$AT1340))</f>
        <v/>
      </c>
      <c r="AC1340" t="str">
        <f>IF($AT1340="","",INDEX(Calc!$G$2:$G$1601,$AT1340))</f>
        <v/>
      </c>
      <c r="AD1340" t="str">
        <f>IF($AS1340="","",Config!$B$23)</f>
        <v/>
      </c>
      <c r="AE1340" t="str">
        <f>IF($AS1340="","",Config!$B$28)</f>
        <v/>
      </c>
      <c r="AF1340" t="str">
        <f t="shared" si="122"/>
        <v/>
      </c>
      <c r="AG1340" t="str">
        <f t="shared" si="123"/>
        <v/>
      </c>
      <c r="AH1340" t="str">
        <f t="shared" si="124"/>
        <v/>
      </c>
      <c r="AI1340" t="str">
        <f>IF($AG1340="","",SUMIF($AG$2:$AG1340,$AG1340,$AH$2:$AH1340))</f>
        <v/>
      </c>
      <c r="AJ1340" t="str">
        <f>IF('TMP Paste'!$F1340="","",IF('TMP Paste'!$B1340="",$AJ1339,'TMP Paste'!$B1340))</f>
        <v/>
      </c>
      <c r="AK1340" t="str">
        <f>IF('TMP Paste'!$F1340="","",N('TMP Paste'!$G1340))</f>
        <v/>
      </c>
      <c r="AL1340" t="str">
        <f>IF('TMP Paste'!$F1340="","",IF('TMP Paste'!$M1340="",$AL1339,'TMP Paste'!$M1340))</f>
        <v/>
      </c>
      <c r="AM1340" t="str">
        <f>IF('TMP Paste'!$F1340="","",IF('TMP Paste'!$N1340="",$AM1339,'TMP Paste'!$N1340))</f>
        <v/>
      </c>
      <c r="AN1340" t="str">
        <f>IF('TMP Paste'!$F1340="","",IF('TMP Paste'!$O1340="",$AN1339,'TMP Paste'!$O1340))</f>
        <v/>
      </c>
      <c r="AO1340" t="str">
        <f>IF('TMP Paste'!$F1340="","",IF('TMP Paste'!$P1340="",$AO1339,'TMP Paste'!$P1340))</f>
        <v/>
      </c>
      <c r="AP1340" t="str">
        <f t="shared" si="125"/>
        <v/>
      </c>
      <c r="AQ1340" t="str">
        <f>IF($AS1340="","",TRIM(IF(COUNTIFS(Calc!$B$2:$B$1601,ROW()-1,Calc!$C$2:$C$1601,"&lt;1")&gt;0,"Ada PO tanpa Koli - cek TMP. ","")&amp;IF(OR($AU1340="",$AU1340&lt;=0),"Volume kosong/0 - dimensi dikosongkan. ","")&amp;IF(AND($AU1340&lt;&gt;"",$AU1340&gt;=1000000),"Volume &gt;= 1.000.000 cm3 (di luar aturan) - dimensi dikosongkan. ","")&amp;IF(LEN($R1340)&gt;500,"R &gt; 500 karakter.","")))</f>
        <v/>
      </c>
      <c r="AS1340" t="str">
        <f>IFERROR(MATCH(ROW()-1,Calc!$J$2:$J$1601,0),"")</f>
        <v/>
      </c>
      <c r="AT1340" t="str">
        <f>IFERROR(MATCH(ROW()-1,Calc!$K$2:$K$1601,0),"")</f>
        <v/>
      </c>
      <c r="AU1340" t="str">
        <f>IF($AS1340="","",IFERROR(INDEX('TMP Paste'!$D$2:$D$1601,$AS1340)*1000000/$AB1340,""))</f>
        <v/>
      </c>
    </row>
    <row r="1341" spans="1:47">
      <c r="A1341" t="str">
        <f>IF($AS1341="","",INDEX('TMP Paste'!$B$2:$B$1601,$AS1341))</f>
        <v/>
      </c>
      <c r="B1341" t="str">
        <f>IF($AS1341="","",Config!$B$14)</f>
        <v/>
      </c>
      <c r="C1341" t="str">
        <f>IF($AS1341="","",Config!$B$15)</f>
        <v/>
      </c>
      <c r="D1341" t="str">
        <f>IF($AS1341="","",INDEX('TMP Paste'!$B$2:$B$1601,$AS1341))</f>
        <v/>
      </c>
      <c r="E1341" t="str">
        <f>IF($AS1341="","",Config!$B$27)</f>
        <v/>
      </c>
      <c r="F1341" t="str">
        <f>IF($AS1341="","",Config!$B$9)</f>
        <v/>
      </c>
      <c r="G1341" t="str">
        <f>IF($AS1341="","",Config!$B$10)</f>
        <v/>
      </c>
      <c r="H1341" t="str">
        <f>IF($AS1341="","",Config!$B$11)</f>
        <v/>
      </c>
      <c r="I1341" t="str">
        <f>IF($AS1341="","",Config!$B$16)</f>
        <v/>
      </c>
      <c r="J1341" t="str">
        <f>IF($AS1341="","",INDEX('TMP Paste'!$A$2:$A$1601,$AS1341))</f>
        <v/>
      </c>
      <c r="K1341" t="str">
        <f>IF($AS1341="","",INDEX('TMP Paste'!$L$2:$L$1601,$AS1341))</f>
        <v/>
      </c>
      <c r="L1341" t="str">
        <f>IF($AS1341="","",INDEX('TMP Paste'!$I$2:$I$1601,$AS1341))</f>
        <v/>
      </c>
      <c r="M1341" t="str">
        <f>IF($AS1341="","",Config!$B$16)</f>
        <v/>
      </c>
      <c r="N1341" t="str">
        <f t="shared" si="120"/>
        <v/>
      </c>
      <c r="O1341" t="str">
        <f>IF($AS1341="","",INDEX('TMP Paste'!$K$2:$K$1601,$AS1341))</f>
        <v/>
      </c>
      <c r="P1341" t="str">
        <f t="shared" si="121"/>
        <v/>
      </c>
      <c r="Q1341" t="str">
        <f>IF($AS1341="","",INDEX('TMP Paste'!$J$2:$J$1601,$AS1341))</f>
        <v/>
      </c>
      <c r="R1341" t="str">
        <f>IF($AS1341="","",Config!$B$24)</f>
        <v/>
      </c>
      <c r="S1341" t="str">
        <f ca="1">IF($AS1341="","",TEXT(Config!$B$4,"yyyy-mm-dd"))</f>
        <v/>
      </c>
      <c r="T1341" t="str">
        <f>IF($AS1341="","",Config!$B$17)</f>
        <v/>
      </c>
      <c r="U1341" t="str">
        <f>IF($AS1341="","",Config!$B$18)</f>
        <v/>
      </c>
      <c r="V1341" t="str">
        <f>IF($AS1341="","",Config!$B$19)</f>
        <v/>
      </c>
      <c r="W1341" t="str">
        <f>IF($AS1341="","",INDEX('TMP Paste'!$C$2:$C$1601,$AS1341))</f>
        <v/>
      </c>
      <c r="X1341" t="str">
        <f>IF($AS1341="","",Config!$B$29)</f>
        <v/>
      </c>
      <c r="Y1341" t="str">
        <f>IF($AT1341="","",INDEX(Calc!$I$2:$I$1601,$AT1341)&amp;" - "&amp;INDEX(Calc!$D$2:$D$1601,$AT1341)&amp;" koli")</f>
        <v/>
      </c>
      <c r="Z1341" t="str">
        <f>IF($AS1341="","",Config!$B$21)</f>
        <v/>
      </c>
      <c r="AA1341" t="str">
        <f>IF($AS1341="","",Config!$B$22)</f>
        <v/>
      </c>
      <c r="AB1341" t="str">
        <f>IF($AT1341="","",INDEX(Calc!$D$2:$D$1601,$AT1341))</f>
        <v/>
      </c>
      <c r="AC1341" t="str">
        <f>IF($AT1341="","",INDEX(Calc!$G$2:$G$1601,$AT1341))</f>
        <v/>
      </c>
      <c r="AD1341" t="str">
        <f>IF($AS1341="","",Config!$B$23)</f>
        <v/>
      </c>
      <c r="AE1341" t="str">
        <f>IF($AS1341="","",Config!$B$28)</f>
        <v/>
      </c>
      <c r="AF1341" t="str">
        <f t="shared" si="122"/>
        <v/>
      </c>
      <c r="AG1341" t="str">
        <f t="shared" si="123"/>
        <v/>
      </c>
      <c r="AH1341" t="str">
        <f t="shared" si="124"/>
        <v/>
      </c>
      <c r="AI1341" t="str">
        <f>IF($AG1341="","",SUMIF($AG$2:$AG1341,$AG1341,$AH$2:$AH1341))</f>
        <v/>
      </c>
      <c r="AJ1341" t="str">
        <f>IF('TMP Paste'!$F1341="","",IF('TMP Paste'!$B1341="",$AJ1340,'TMP Paste'!$B1341))</f>
        <v/>
      </c>
      <c r="AK1341" t="str">
        <f>IF('TMP Paste'!$F1341="","",N('TMP Paste'!$G1341))</f>
        <v/>
      </c>
      <c r="AL1341" t="str">
        <f>IF('TMP Paste'!$F1341="","",IF('TMP Paste'!$M1341="",$AL1340,'TMP Paste'!$M1341))</f>
        <v/>
      </c>
      <c r="AM1341" t="str">
        <f>IF('TMP Paste'!$F1341="","",IF('TMP Paste'!$N1341="",$AM1340,'TMP Paste'!$N1341))</f>
        <v/>
      </c>
      <c r="AN1341" t="str">
        <f>IF('TMP Paste'!$F1341="","",IF('TMP Paste'!$O1341="",$AN1340,'TMP Paste'!$O1341))</f>
        <v/>
      </c>
      <c r="AO1341" t="str">
        <f>IF('TMP Paste'!$F1341="","",IF('TMP Paste'!$P1341="",$AO1340,'TMP Paste'!$P1341))</f>
        <v/>
      </c>
      <c r="AP1341" t="str">
        <f t="shared" si="125"/>
        <v/>
      </c>
      <c r="AQ1341" t="str">
        <f>IF($AS1341="","",TRIM(IF(COUNTIFS(Calc!$B$2:$B$1601,ROW()-1,Calc!$C$2:$C$1601,"&lt;1")&gt;0,"Ada PO tanpa Koli - cek TMP. ","")&amp;IF(OR($AU1341="",$AU1341&lt;=0),"Volume kosong/0 - dimensi dikosongkan. ","")&amp;IF(AND($AU1341&lt;&gt;"",$AU1341&gt;=1000000),"Volume &gt;= 1.000.000 cm3 (di luar aturan) - dimensi dikosongkan. ","")&amp;IF(LEN($R1341)&gt;500,"R &gt; 500 karakter.","")))</f>
        <v/>
      </c>
      <c r="AS1341" t="str">
        <f>IFERROR(MATCH(ROW()-1,Calc!$J$2:$J$1601,0),"")</f>
        <v/>
      </c>
      <c r="AT1341" t="str">
        <f>IFERROR(MATCH(ROW()-1,Calc!$K$2:$K$1601,0),"")</f>
        <v/>
      </c>
      <c r="AU1341" t="str">
        <f>IF($AS1341="","",IFERROR(INDEX('TMP Paste'!$D$2:$D$1601,$AS1341)*1000000/$AB1341,""))</f>
        <v/>
      </c>
    </row>
    <row r="1342" spans="1:47">
      <c r="A1342" t="str">
        <f>IF($AS1342="","",INDEX('TMP Paste'!$B$2:$B$1601,$AS1342))</f>
        <v/>
      </c>
      <c r="B1342" t="str">
        <f>IF($AS1342="","",Config!$B$14)</f>
        <v/>
      </c>
      <c r="C1342" t="str">
        <f>IF($AS1342="","",Config!$B$15)</f>
        <v/>
      </c>
      <c r="D1342" t="str">
        <f>IF($AS1342="","",INDEX('TMP Paste'!$B$2:$B$1601,$AS1342))</f>
        <v/>
      </c>
      <c r="E1342" t="str">
        <f>IF($AS1342="","",Config!$B$27)</f>
        <v/>
      </c>
      <c r="F1342" t="str">
        <f>IF($AS1342="","",Config!$B$9)</f>
        <v/>
      </c>
      <c r="G1342" t="str">
        <f>IF($AS1342="","",Config!$B$10)</f>
        <v/>
      </c>
      <c r="H1342" t="str">
        <f>IF($AS1342="","",Config!$B$11)</f>
        <v/>
      </c>
      <c r="I1342" t="str">
        <f>IF($AS1342="","",Config!$B$16)</f>
        <v/>
      </c>
      <c r="J1342" t="str">
        <f>IF($AS1342="","",INDEX('TMP Paste'!$A$2:$A$1601,$AS1342))</f>
        <v/>
      </c>
      <c r="K1342" t="str">
        <f>IF($AS1342="","",INDEX('TMP Paste'!$L$2:$L$1601,$AS1342))</f>
        <v/>
      </c>
      <c r="L1342" t="str">
        <f>IF($AS1342="","",INDEX('TMP Paste'!$I$2:$I$1601,$AS1342))</f>
        <v/>
      </c>
      <c r="M1342" t="str">
        <f>IF($AS1342="","",Config!$B$16)</f>
        <v/>
      </c>
      <c r="N1342" t="str">
        <f t="shared" si="120"/>
        <v/>
      </c>
      <c r="O1342" t="str">
        <f>IF($AS1342="","",INDEX('TMP Paste'!$K$2:$K$1601,$AS1342))</f>
        <v/>
      </c>
      <c r="P1342" t="str">
        <f t="shared" si="121"/>
        <v/>
      </c>
      <c r="Q1342" t="str">
        <f>IF($AS1342="","",INDEX('TMP Paste'!$J$2:$J$1601,$AS1342))</f>
        <v/>
      </c>
      <c r="R1342" t="str">
        <f>IF($AS1342="","",Config!$B$24)</f>
        <v/>
      </c>
      <c r="S1342" t="str">
        <f ca="1">IF($AS1342="","",TEXT(Config!$B$4,"yyyy-mm-dd"))</f>
        <v/>
      </c>
      <c r="T1342" t="str">
        <f>IF($AS1342="","",Config!$B$17)</f>
        <v/>
      </c>
      <c r="U1342" t="str">
        <f>IF($AS1342="","",Config!$B$18)</f>
        <v/>
      </c>
      <c r="V1342" t="str">
        <f>IF($AS1342="","",Config!$B$19)</f>
        <v/>
      </c>
      <c r="W1342" t="str">
        <f>IF($AS1342="","",INDEX('TMP Paste'!$C$2:$C$1601,$AS1342))</f>
        <v/>
      </c>
      <c r="X1342" t="str">
        <f>IF($AS1342="","",Config!$B$29)</f>
        <v/>
      </c>
      <c r="Y1342" t="str">
        <f>IF($AT1342="","",INDEX(Calc!$I$2:$I$1601,$AT1342)&amp;" - "&amp;INDEX(Calc!$D$2:$D$1601,$AT1342)&amp;" koli")</f>
        <v/>
      </c>
      <c r="Z1342" t="str">
        <f>IF($AS1342="","",Config!$B$21)</f>
        <v/>
      </c>
      <c r="AA1342" t="str">
        <f>IF($AS1342="","",Config!$B$22)</f>
        <v/>
      </c>
      <c r="AB1342" t="str">
        <f>IF($AT1342="","",INDEX(Calc!$D$2:$D$1601,$AT1342))</f>
        <v/>
      </c>
      <c r="AC1342" t="str">
        <f>IF($AT1342="","",INDEX(Calc!$G$2:$G$1601,$AT1342))</f>
        <v/>
      </c>
      <c r="AD1342" t="str">
        <f>IF($AS1342="","",Config!$B$23)</f>
        <v/>
      </c>
      <c r="AE1342" t="str">
        <f>IF($AS1342="","",Config!$B$28)</f>
        <v/>
      </c>
      <c r="AF1342" t="str">
        <f t="shared" si="122"/>
        <v/>
      </c>
      <c r="AG1342" t="str">
        <f t="shared" si="123"/>
        <v/>
      </c>
      <c r="AH1342" t="str">
        <f t="shared" si="124"/>
        <v/>
      </c>
      <c r="AI1342" t="str">
        <f>IF($AG1342="","",SUMIF($AG$2:$AG1342,$AG1342,$AH$2:$AH1342))</f>
        <v/>
      </c>
      <c r="AJ1342" t="str">
        <f>IF('TMP Paste'!$F1342="","",IF('TMP Paste'!$B1342="",$AJ1341,'TMP Paste'!$B1342))</f>
        <v/>
      </c>
      <c r="AK1342" t="str">
        <f>IF('TMP Paste'!$F1342="","",N('TMP Paste'!$G1342))</f>
        <v/>
      </c>
      <c r="AL1342" t="str">
        <f>IF('TMP Paste'!$F1342="","",IF('TMP Paste'!$M1342="",$AL1341,'TMP Paste'!$M1342))</f>
        <v/>
      </c>
      <c r="AM1342" t="str">
        <f>IF('TMP Paste'!$F1342="","",IF('TMP Paste'!$N1342="",$AM1341,'TMP Paste'!$N1342))</f>
        <v/>
      </c>
      <c r="AN1342" t="str">
        <f>IF('TMP Paste'!$F1342="","",IF('TMP Paste'!$O1342="",$AN1341,'TMP Paste'!$O1342))</f>
        <v/>
      </c>
      <c r="AO1342" t="str">
        <f>IF('TMP Paste'!$F1342="","",IF('TMP Paste'!$P1342="",$AO1341,'TMP Paste'!$P1342))</f>
        <v/>
      </c>
      <c r="AP1342" t="str">
        <f t="shared" si="125"/>
        <v/>
      </c>
      <c r="AQ1342" t="str">
        <f>IF($AS1342="","",TRIM(IF(COUNTIFS(Calc!$B$2:$B$1601,ROW()-1,Calc!$C$2:$C$1601,"&lt;1")&gt;0,"Ada PO tanpa Koli - cek TMP. ","")&amp;IF(OR($AU1342="",$AU1342&lt;=0),"Volume kosong/0 - dimensi dikosongkan. ","")&amp;IF(AND($AU1342&lt;&gt;"",$AU1342&gt;=1000000),"Volume &gt;= 1.000.000 cm3 (di luar aturan) - dimensi dikosongkan. ","")&amp;IF(LEN($R1342)&gt;500,"R &gt; 500 karakter.","")))</f>
        <v/>
      </c>
      <c r="AS1342" t="str">
        <f>IFERROR(MATCH(ROW()-1,Calc!$J$2:$J$1601,0),"")</f>
        <v/>
      </c>
      <c r="AT1342" t="str">
        <f>IFERROR(MATCH(ROW()-1,Calc!$K$2:$K$1601,0),"")</f>
        <v/>
      </c>
      <c r="AU1342" t="str">
        <f>IF($AS1342="","",IFERROR(INDEX('TMP Paste'!$D$2:$D$1601,$AS1342)*1000000/$AB1342,""))</f>
        <v/>
      </c>
    </row>
    <row r="1343" spans="1:47">
      <c r="A1343" t="str">
        <f>IF($AS1343="","",INDEX('TMP Paste'!$B$2:$B$1601,$AS1343))</f>
        <v/>
      </c>
      <c r="B1343" t="str">
        <f>IF($AS1343="","",Config!$B$14)</f>
        <v/>
      </c>
      <c r="C1343" t="str">
        <f>IF($AS1343="","",Config!$B$15)</f>
        <v/>
      </c>
      <c r="D1343" t="str">
        <f>IF($AS1343="","",INDEX('TMP Paste'!$B$2:$B$1601,$AS1343))</f>
        <v/>
      </c>
      <c r="E1343" t="str">
        <f>IF($AS1343="","",Config!$B$27)</f>
        <v/>
      </c>
      <c r="F1343" t="str">
        <f>IF($AS1343="","",Config!$B$9)</f>
        <v/>
      </c>
      <c r="G1343" t="str">
        <f>IF($AS1343="","",Config!$B$10)</f>
        <v/>
      </c>
      <c r="H1343" t="str">
        <f>IF($AS1343="","",Config!$B$11)</f>
        <v/>
      </c>
      <c r="I1343" t="str">
        <f>IF($AS1343="","",Config!$B$16)</f>
        <v/>
      </c>
      <c r="J1343" t="str">
        <f>IF($AS1343="","",INDEX('TMP Paste'!$A$2:$A$1601,$AS1343))</f>
        <v/>
      </c>
      <c r="K1343" t="str">
        <f>IF($AS1343="","",INDEX('TMP Paste'!$L$2:$L$1601,$AS1343))</f>
        <v/>
      </c>
      <c r="L1343" t="str">
        <f>IF($AS1343="","",INDEX('TMP Paste'!$I$2:$I$1601,$AS1343))</f>
        <v/>
      </c>
      <c r="M1343" t="str">
        <f>IF($AS1343="","",Config!$B$16)</f>
        <v/>
      </c>
      <c r="N1343" t="str">
        <f t="shared" si="120"/>
        <v/>
      </c>
      <c r="O1343" t="str">
        <f>IF($AS1343="","",INDEX('TMP Paste'!$K$2:$K$1601,$AS1343))</f>
        <v/>
      </c>
      <c r="P1343" t="str">
        <f t="shared" si="121"/>
        <v/>
      </c>
      <c r="Q1343" t="str">
        <f>IF($AS1343="","",INDEX('TMP Paste'!$J$2:$J$1601,$AS1343))</f>
        <v/>
      </c>
      <c r="R1343" t="str">
        <f>IF($AS1343="","",Config!$B$24)</f>
        <v/>
      </c>
      <c r="S1343" t="str">
        <f ca="1">IF($AS1343="","",TEXT(Config!$B$4,"yyyy-mm-dd"))</f>
        <v/>
      </c>
      <c r="T1343" t="str">
        <f>IF($AS1343="","",Config!$B$17)</f>
        <v/>
      </c>
      <c r="U1343" t="str">
        <f>IF($AS1343="","",Config!$B$18)</f>
        <v/>
      </c>
      <c r="V1343" t="str">
        <f>IF($AS1343="","",Config!$B$19)</f>
        <v/>
      </c>
      <c r="W1343" t="str">
        <f>IF($AS1343="","",INDEX('TMP Paste'!$C$2:$C$1601,$AS1343))</f>
        <v/>
      </c>
      <c r="X1343" t="str">
        <f>IF($AS1343="","",Config!$B$29)</f>
        <v/>
      </c>
      <c r="Y1343" t="str">
        <f>IF($AT1343="","",INDEX(Calc!$I$2:$I$1601,$AT1343)&amp;" - "&amp;INDEX(Calc!$D$2:$D$1601,$AT1343)&amp;" koli")</f>
        <v/>
      </c>
      <c r="Z1343" t="str">
        <f>IF($AS1343="","",Config!$B$21)</f>
        <v/>
      </c>
      <c r="AA1343" t="str">
        <f>IF($AS1343="","",Config!$B$22)</f>
        <v/>
      </c>
      <c r="AB1343" t="str">
        <f>IF($AT1343="","",INDEX(Calc!$D$2:$D$1601,$AT1343))</f>
        <v/>
      </c>
      <c r="AC1343" t="str">
        <f>IF($AT1343="","",INDEX(Calc!$G$2:$G$1601,$AT1343))</f>
        <v/>
      </c>
      <c r="AD1343" t="str">
        <f>IF($AS1343="","",Config!$B$23)</f>
        <v/>
      </c>
      <c r="AE1343" t="str">
        <f>IF($AS1343="","",Config!$B$28)</f>
        <v/>
      </c>
      <c r="AF1343" t="str">
        <f t="shared" si="122"/>
        <v/>
      </c>
      <c r="AG1343" t="str">
        <f t="shared" si="123"/>
        <v/>
      </c>
      <c r="AH1343" t="str">
        <f t="shared" si="124"/>
        <v/>
      </c>
      <c r="AI1343" t="str">
        <f>IF($AG1343="","",SUMIF($AG$2:$AG1343,$AG1343,$AH$2:$AH1343))</f>
        <v/>
      </c>
      <c r="AJ1343" t="str">
        <f>IF('TMP Paste'!$F1343="","",IF('TMP Paste'!$B1343="",$AJ1342,'TMP Paste'!$B1343))</f>
        <v/>
      </c>
      <c r="AK1343" t="str">
        <f>IF('TMP Paste'!$F1343="","",N('TMP Paste'!$G1343))</f>
        <v/>
      </c>
      <c r="AL1343" t="str">
        <f>IF('TMP Paste'!$F1343="","",IF('TMP Paste'!$M1343="",$AL1342,'TMP Paste'!$M1343))</f>
        <v/>
      </c>
      <c r="AM1343" t="str">
        <f>IF('TMP Paste'!$F1343="","",IF('TMP Paste'!$N1343="",$AM1342,'TMP Paste'!$N1343))</f>
        <v/>
      </c>
      <c r="AN1343" t="str">
        <f>IF('TMP Paste'!$F1343="","",IF('TMP Paste'!$O1343="",$AN1342,'TMP Paste'!$O1343))</f>
        <v/>
      </c>
      <c r="AO1343" t="str">
        <f>IF('TMP Paste'!$F1343="","",IF('TMP Paste'!$P1343="",$AO1342,'TMP Paste'!$P1343))</f>
        <v/>
      </c>
      <c r="AP1343" t="str">
        <f t="shared" si="125"/>
        <v/>
      </c>
      <c r="AQ1343" t="str">
        <f>IF($AS1343="","",TRIM(IF(COUNTIFS(Calc!$B$2:$B$1601,ROW()-1,Calc!$C$2:$C$1601,"&lt;1")&gt;0,"Ada PO tanpa Koli - cek TMP. ","")&amp;IF(OR($AU1343="",$AU1343&lt;=0),"Volume kosong/0 - dimensi dikosongkan. ","")&amp;IF(AND($AU1343&lt;&gt;"",$AU1343&gt;=1000000),"Volume &gt;= 1.000.000 cm3 (di luar aturan) - dimensi dikosongkan. ","")&amp;IF(LEN($R1343)&gt;500,"R &gt; 500 karakter.","")))</f>
        <v/>
      </c>
      <c r="AS1343" t="str">
        <f>IFERROR(MATCH(ROW()-1,Calc!$J$2:$J$1601,0),"")</f>
        <v/>
      </c>
      <c r="AT1343" t="str">
        <f>IFERROR(MATCH(ROW()-1,Calc!$K$2:$K$1601,0),"")</f>
        <v/>
      </c>
      <c r="AU1343" t="str">
        <f>IF($AS1343="","",IFERROR(INDEX('TMP Paste'!$D$2:$D$1601,$AS1343)*1000000/$AB1343,""))</f>
        <v/>
      </c>
    </row>
    <row r="1344" spans="1:47">
      <c r="A1344" t="str">
        <f>IF($AS1344="","",INDEX('TMP Paste'!$B$2:$B$1601,$AS1344))</f>
        <v/>
      </c>
      <c r="B1344" t="str">
        <f>IF($AS1344="","",Config!$B$14)</f>
        <v/>
      </c>
      <c r="C1344" t="str">
        <f>IF($AS1344="","",Config!$B$15)</f>
        <v/>
      </c>
      <c r="D1344" t="str">
        <f>IF($AS1344="","",INDEX('TMP Paste'!$B$2:$B$1601,$AS1344))</f>
        <v/>
      </c>
      <c r="E1344" t="str">
        <f>IF($AS1344="","",Config!$B$27)</f>
        <v/>
      </c>
      <c r="F1344" t="str">
        <f>IF($AS1344="","",Config!$B$9)</f>
        <v/>
      </c>
      <c r="G1344" t="str">
        <f>IF($AS1344="","",Config!$B$10)</f>
        <v/>
      </c>
      <c r="H1344" t="str">
        <f>IF($AS1344="","",Config!$B$11)</f>
        <v/>
      </c>
      <c r="I1344" t="str">
        <f>IF($AS1344="","",Config!$B$16)</f>
        <v/>
      </c>
      <c r="J1344" t="str">
        <f>IF($AS1344="","",INDEX('TMP Paste'!$A$2:$A$1601,$AS1344))</f>
        <v/>
      </c>
      <c r="K1344" t="str">
        <f>IF($AS1344="","",INDEX('TMP Paste'!$L$2:$L$1601,$AS1344))</f>
        <v/>
      </c>
      <c r="L1344" t="str">
        <f>IF($AS1344="","",INDEX('TMP Paste'!$I$2:$I$1601,$AS1344))</f>
        <v/>
      </c>
      <c r="M1344" t="str">
        <f>IF($AS1344="","",Config!$B$16)</f>
        <v/>
      </c>
      <c r="N1344" t="str">
        <f t="shared" si="120"/>
        <v/>
      </c>
      <c r="O1344" t="str">
        <f>IF($AS1344="","",INDEX('TMP Paste'!$K$2:$K$1601,$AS1344))</f>
        <v/>
      </c>
      <c r="P1344" t="str">
        <f t="shared" si="121"/>
        <v/>
      </c>
      <c r="Q1344" t="str">
        <f>IF($AS1344="","",INDEX('TMP Paste'!$J$2:$J$1601,$AS1344))</f>
        <v/>
      </c>
      <c r="R1344" t="str">
        <f>IF($AS1344="","",Config!$B$24)</f>
        <v/>
      </c>
      <c r="S1344" t="str">
        <f ca="1">IF($AS1344="","",TEXT(Config!$B$4,"yyyy-mm-dd"))</f>
        <v/>
      </c>
      <c r="T1344" t="str">
        <f>IF($AS1344="","",Config!$B$17)</f>
        <v/>
      </c>
      <c r="U1344" t="str">
        <f>IF($AS1344="","",Config!$B$18)</f>
        <v/>
      </c>
      <c r="V1344" t="str">
        <f>IF($AS1344="","",Config!$B$19)</f>
        <v/>
      </c>
      <c r="W1344" t="str">
        <f>IF($AS1344="","",INDEX('TMP Paste'!$C$2:$C$1601,$AS1344))</f>
        <v/>
      </c>
      <c r="X1344" t="str">
        <f>IF($AS1344="","",Config!$B$29)</f>
        <v/>
      </c>
      <c r="Y1344" t="str">
        <f>IF($AT1344="","",INDEX(Calc!$I$2:$I$1601,$AT1344)&amp;" - "&amp;INDEX(Calc!$D$2:$D$1601,$AT1344)&amp;" koli")</f>
        <v/>
      </c>
      <c r="Z1344" t="str">
        <f>IF($AS1344="","",Config!$B$21)</f>
        <v/>
      </c>
      <c r="AA1344" t="str">
        <f>IF($AS1344="","",Config!$B$22)</f>
        <v/>
      </c>
      <c r="AB1344" t="str">
        <f>IF($AT1344="","",INDEX(Calc!$D$2:$D$1601,$AT1344))</f>
        <v/>
      </c>
      <c r="AC1344" t="str">
        <f>IF($AT1344="","",INDEX(Calc!$G$2:$G$1601,$AT1344))</f>
        <v/>
      </c>
      <c r="AD1344" t="str">
        <f>IF($AS1344="","",Config!$B$23)</f>
        <v/>
      </c>
      <c r="AE1344" t="str">
        <f>IF($AS1344="","",Config!$B$28)</f>
        <v/>
      </c>
      <c r="AF1344" t="str">
        <f t="shared" si="122"/>
        <v/>
      </c>
      <c r="AG1344" t="str">
        <f t="shared" si="123"/>
        <v/>
      </c>
      <c r="AH1344" t="str">
        <f t="shared" si="124"/>
        <v/>
      </c>
      <c r="AI1344" t="str">
        <f>IF($AG1344="","",SUMIF($AG$2:$AG1344,$AG1344,$AH$2:$AH1344))</f>
        <v/>
      </c>
      <c r="AJ1344" t="str">
        <f>IF('TMP Paste'!$F1344="","",IF('TMP Paste'!$B1344="",$AJ1343,'TMP Paste'!$B1344))</f>
        <v/>
      </c>
      <c r="AK1344" t="str">
        <f>IF('TMP Paste'!$F1344="","",N('TMP Paste'!$G1344))</f>
        <v/>
      </c>
      <c r="AL1344" t="str">
        <f>IF('TMP Paste'!$F1344="","",IF('TMP Paste'!$M1344="",$AL1343,'TMP Paste'!$M1344))</f>
        <v/>
      </c>
      <c r="AM1344" t="str">
        <f>IF('TMP Paste'!$F1344="","",IF('TMP Paste'!$N1344="",$AM1343,'TMP Paste'!$N1344))</f>
        <v/>
      </c>
      <c r="AN1344" t="str">
        <f>IF('TMP Paste'!$F1344="","",IF('TMP Paste'!$O1344="",$AN1343,'TMP Paste'!$O1344))</f>
        <v/>
      </c>
      <c r="AO1344" t="str">
        <f>IF('TMP Paste'!$F1344="","",IF('TMP Paste'!$P1344="",$AO1343,'TMP Paste'!$P1344))</f>
        <v/>
      </c>
      <c r="AP1344" t="str">
        <f t="shared" si="125"/>
        <v/>
      </c>
      <c r="AQ1344" t="str">
        <f>IF($AS1344="","",TRIM(IF(COUNTIFS(Calc!$B$2:$B$1601,ROW()-1,Calc!$C$2:$C$1601,"&lt;1")&gt;0,"Ada PO tanpa Koli - cek TMP. ","")&amp;IF(OR($AU1344="",$AU1344&lt;=0),"Volume kosong/0 - dimensi dikosongkan. ","")&amp;IF(AND($AU1344&lt;&gt;"",$AU1344&gt;=1000000),"Volume &gt;= 1.000.000 cm3 (di luar aturan) - dimensi dikosongkan. ","")&amp;IF(LEN($R1344)&gt;500,"R &gt; 500 karakter.","")))</f>
        <v/>
      </c>
      <c r="AS1344" t="str">
        <f>IFERROR(MATCH(ROW()-1,Calc!$J$2:$J$1601,0),"")</f>
        <v/>
      </c>
      <c r="AT1344" t="str">
        <f>IFERROR(MATCH(ROW()-1,Calc!$K$2:$K$1601,0),"")</f>
        <v/>
      </c>
      <c r="AU1344" t="str">
        <f>IF($AS1344="","",IFERROR(INDEX('TMP Paste'!$D$2:$D$1601,$AS1344)*1000000/$AB1344,""))</f>
        <v/>
      </c>
    </row>
    <row r="1345" spans="1:47">
      <c r="A1345" t="str">
        <f>IF($AS1345="","",INDEX('TMP Paste'!$B$2:$B$1601,$AS1345))</f>
        <v/>
      </c>
      <c r="B1345" t="str">
        <f>IF($AS1345="","",Config!$B$14)</f>
        <v/>
      </c>
      <c r="C1345" t="str">
        <f>IF($AS1345="","",Config!$B$15)</f>
        <v/>
      </c>
      <c r="D1345" t="str">
        <f>IF($AS1345="","",INDEX('TMP Paste'!$B$2:$B$1601,$AS1345))</f>
        <v/>
      </c>
      <c r="E1345" t="str">
        <f>IF($AS1345="","",Config!$B$27)</f>
        <v/>
      </c>
      <c r="F1345" t="str">
        <f>IF($AS1345="","",Config!$B$9)</f>
        <v/>
      </c>
      <c r="G1345" t="str">
        <f>IF($AS1345="","",Config!$B$10)</f>
        <v/>
      </c>
      <c r="H1345" t="str">
        <f>IF($AS1345="","",Config!$B$11)</f>
        <v/>
      </c>
      <c r="I1345" t="str">
        <f>IF($AS1345="","",Config!$B$16)</f>
        <v/>
      </c>
      <c r="J1345" t="str">
        <f>IF($AS1345="","",INDEX('TMP Paste'!$A$2:$A$1601,$AS1345))</f>
        <v/>
      </c>
      <c r="K1345" t="str">
        <f>IF($AS1345="","",INDEX('TMP Paste'!$L$2:$L$1601,$AS1345))</f>
        <v/>
      </c>
      <c r="L1345" t="str">
        <f>IF($AS1345="","",INDEX('TMP Paste'!$I$2:$I$1601,$AS1345))</f>
        <v/>
      </c>
      <c r="M1345" t="str">
        <f>IF($AS1345="","",Config!$B$16)</f>
        <v/>
      </c>
      <c r="N1345" t="str">
        <f t="shared" si="120"/>
        <v/>
      </c>
      <c r="O1345" t="str">
        <f>IF($AS1345="","",INDEX('TMP Paste'!$K$2:$K$1601,$AS1345))</f>
        <v/>
      </c>
      <c r="P1345" t="str">
        <f t="shared" si="121"/>
        <v/>
      </c>
      <c r="Q1345" t="str">
        <f>IF($AS1345="","",INDEX('TMP Paste'!$J$2:$J$1601,$AS1345))</f>
        <v/>
      </c>
      <c r="R1345" t="str">
        <f>IF($AS1345="","",Config!$B$24)</f>
        <v/>
      </c>
      <c r="S1345" t="str">
        <f ca="1">IF($AS1345="","",TEXT(Config!$B$4,"yyyy-mm-dd"))</f>
        <v/>
      </c>
      <c r="T1345" t="str">
        <f>IF($AS1345="","",Config!$B$17)</f>
        <v/>
      </c>
      <c r="U1345" t="str">
        <f>IF($AS1345="","",Config!$B$18)</f>
        <v/>
      </c>
      <c r="V1345" t="str">
        <f>IF($AS1345="","",Config!$B$19)</f>
        <v/>
      </c>
      <c r="W1345" t="str">
        <f>IF($AS1345="","",INDEX('TMP Paste'!$C$2:$C$1601,$AS1345))</f>
        <v/>
      </c>
      <c r="X1345" t="str">
        <f>IF($AS1345="","",Config!$B$29)</f>
        <v/>
      </c>
      <c r="Y1345" t="str">
        <f>IF($AT1345="","",INDEX(Calc!$I$2:$I$1601,$AT1345)&amp;" - "&amp;INDEX(Calc!$D$2:$D$1601,$AT1345)&amp;" koli")</f>
        <v/>
      </c>
      <c r="Z1345" t="str">
        <f>IF($AS1345="","",Config!$B$21)</f>
        <v/>
      </c>
      <c r="AA1345" t="str">
        <f>IF($AS1345="","",Config!$B$22)</f>
        <v/>
      </c>
      <c r="AB1345" t="str">
        <f>IF($AT1345="","",INDEX(Calc!$D$2:$D$1601,$AT1345))</f>
        <v/>
      </c>
      <c r="AC1345" t="str">
        <f>IF($AT1345="","",INDEX(Calc!$G$2:$G$1601,$AT1345))</f>
        <v/>
      </c>
      <c r="AD1345" t="str">
        <f>IF($AS1345="","",Config!$B$23)</f>
        <v/>
      </c>
      <c r="AE1345" t="str">
        <f>IF($AS1345="","",Config!$B$28)</f>
        <v/>
      </c>
      <c r="AF1345" t="str">
        <f t="shared" si="122"/>
        <v/>
      </c>
      <c r="AG1345" t="str">
        <f t="shared" si="123"/>
        <v/>
      </c>
      <c r="AH1345" t="str">
        <f t="shared" si="124"/>
        <v/>
      </c>
      <c r="AI1345" t="str">
        <f>IF($AG1345="","",SUMIF($AG$2:$AG1345,$AG1345,$AH$2:$AH1345))</f>
        <v/>
      </c>
      <c r="AJ1345" t="str">
        <f>IF('TMP Paste'!$F1345="","",IF('TMP Paste'!$B1345="",$AJ1344,'TMP Paste'!$B1345))</f>
        <v/>
      </c>
      <c r="AK1345" t="str">
        <f>IF('TMP Paste'!$F1345="","",N('TMP Paste'!$G1345))</f>
        <v/>
      </c>
      <c r="AL1345" t="str">
        <f>IF('TMP Paste'!$F1345="","",IF('TMP Paste'!$M1345="",$AL1344,'TMP Paste'!$M1345))</f>
        <v/>
      </c>
      <c r="AM1345" t="str">
        <f>IF('TMP Paste'!$F1345="","",IF('TMP Paste'!$N1345="",$AM1344,'TMP Paste'!$N1345))</f>
        <v/>
      </c>
      <c r="AN1345" t="str">
        <f>IF('TMP Paste'!$F1345="","",IF('TMP Paste'!$O1345="",$AN1344,'TMP Paste'!$O1345))</f>
        <v/>
      </c>
      <c r="AO1345" t="str">
        <f>IF('TMP Paste'!$F1345="","",IF('TMP Paste'!$P1345="",$AO1344,'TMP Paste'!$P1345))</f>
        <v/>
      </c>
      <c r="AP1345" t="str">
        <f t="shared" si="125"/>
        <v/>
      </c>
      <c r="AQ1345" t="str">
        <f>IF($AS1345="","",TRIM(IF(COUNTIFS(Calc!$B$2:$B$1601,ROW()-1,Calc!$C$2:$C$1601,"&lt;1")&gt;0,"Ada PO tanpa Koli - cek TMP. ","")&amp;IF(OR($AU1345="",$AU1345&lt;=0),"Volume kosong/0 - dimensi dikosongkan. ","")&amp;IF(AND($AU1345&lt;&gt;"",$AU1345&gt;=1000000),"Volume &gt;= 1.000.000 cm3 (di luar aturan) - dimensi dikosongkan. ","")&amp;IF(LEN($R1345)&gt;500,"R &gt; 500 karakter.","")))</f>
        <v/>
      </c>
      <c r="AS1345" t="str">
        <f>IFERROR(MATCH(ROW()-1,Calc!$J$2:$J$1601,0),"")</f>
        <v/>
      </c>
      <c r="AT1345" t="str">
        <f>IFERROR(MATCH(ROW()-1,Calc!$K$2:$K$1601,0),"")</f>
        <v/>
      </c>
      <c r="AU1345" t="str">
        <f>IF($AS1345="","",IFERROR(INDEX('TMP Paste'!$D$2:$D$1601,$AS1345)*1000000/$AB1345,""))</f>
        <v/>
      </c>
    </row>
    <row r="1346" spans="1:47">
      <c r="A1346" t="str">
        <f>IF($AS1346="","",INDEX('TMP Paste'!$B$2:$B$1601,$AS1346))</f>
        <v/>
      </c>
      <c r="B1346" t="str">
        <f>IF($AS1346="","",Config!$B$14)</f>
        <v/>
      </c>
      <c r="C1346" t="str">
        <f>IF($AS1346="","",Config!$B$15)</f>
        <v/>
      </c>
      <c r="D1346" t="str">
        <f>IF($AS1346="","",INDEX('TMP Paste'!$B$2:$B$1601,$AS1346))</f>
        <v/>
      </c>
      <c r="E1346" t="str">
        <f>IF($AS1346="","",Config!$B$27)</f>
        <v/>
      </c>
      <c r="F1346" t="str">
        <f>IF($AS1346="","",Config!$B$9)</f>
        <v/>
      </c>
      <c r="G1346" t="str">
        <f>IF($AS1346="","",Config!$B$10)</f>
        <v/>
      </c>
      <c r="H1346" t="str">
        <f>IF($AS1346="","",Config!$B$11)</f>
        <v/>
      </c>
      <c r="I1346" t="str">
        <f>IF($AS1346="","",Config!$B$16)</f>
        <v/>
      </c>
      <c r="J1346" t="str">
        <f>IF($AS1346="","",INDEX('TMP Paste'!$A$2:$A$1601,$AS1346))</f>
        <v/>
      </c>
      <c r="K1346" t="str">
        <f>IF($AS1346="","",INDEX('TMP Paste'!$L$2:$L$1601,$AS1346))</f>
        <v/>
      </c>
      <c r="L1346" t="str">
        <f>IF($AS1346="","",INDEX('TMP Paste'!$I$2:$I$1601,$AS1346))</f>
        <v/>
      </c>
      <c r="M1346" t="str">
        <f>IF($AS1346="","",Config!$B$16)</f>
        <v/>
      </c>
      <c r="N1346" t="str">
        <f t="shared" ref="N1346:N1409" si="126">IF($AS1346="","","")</f>
        <v/>
      </c>
      <c r="O1346" t="str">
        <f>IF($AS1346="","",INDEX('TMP Paste'!$K$2:$K$1601,$AS1346))</f>
        <v/>
      </c>
      <c r="P1346" t="str">
        <f t="shared" ref="P1346:P1409" si="127">IF($AS1346="","","")</f>
        <v/>
      </c>
      <c r="Q1346" t="str">
        <f>IF($AS1346="","",INDEX('TMP Paste'!$J$2:$J$1601,$AS1346))</f>
        <v/>
      </c>
      <c r="R1346" t="str">
        <f>IF($AS1346="","",Config!$B$24)</f>
        <v/>
      </c>
      <c r="S1346" t="str">
        <f ca="1">IF($AS1346="","",TEXT(Config!$B$4,"yyyy-mm-dd"))</f>
        <v/>
      </c>
      <c r="T1346" t="str">
        <f>IF($AS1346="","",Config!$B$17)</f>
        <v/>
      </c>
      <c r="U1346" t="str">
        <f>IF($AS1346="","",Config!$B$18)</f>
        <v/>
      </c>
      <c r="V1346" t="str">
        <f>IF($AS1346="","",Config!$B$19)</f>
        <v/>
      </c>
      <c r="W1346" t="str">
        <f>IF($AS1346="","",INDEX('TMP Paste'!$C$2:$C$1601,$AS1346))</f>
        <v/>
      </c>
      <c r="X1346" t="str">
        <f>IF($AS1346="","",Config!$B$29)</f>
        <v/>
      </c>
      <c r="Y1346" t="str">
        <f>IF($AT1346="","",INDEX(Calc!$I$2:$I$1601,$AT1346)&amp;" - "&amp;INDEX(Calc!$D$2:$D$1601,$AT1346)&amp;" koli")</f>
        <v/>
      </c>
      <c r="Z1346" t="str">
        <f>IF($AS1346="","",Config!$B$21)</f>
        <v/>
      </c>
      <c r="AA1346" t="str">
        <f>IF($AS1346="","",Config!$B$22)</f>
        <v/>
      </c>
      <c r="AB1346" t="str">
        <f>IF($AT1346="","",INDEX(Calc!$D$2:$D$1601,$AT1346))</f>
        <v/>
      </c>
      <c r="AC1346" t="str">
        <f>IF($AT1346="","",INDEX(Calc!$G$2:$G$1601,$AT1346))</f>
        <v/>
      </c>
      <c r="AD1346" t="str">
        <f>IF($AS1346="","",Config!$B$23)</f>
        <v/>
      </c>
      <c r="AE1346" t="str">
        <f>IF($AS1346="","",Config!$B$28)</f>
        <v/>
      </c>
      <c r="AF1346" t="str">
        <f t="shared" ref="AF1346:AF1409" si="128">IF($AS1346="","",IF(OR($AU1346="",$AU1346&lt;=0,$AU1346&gt;=1000000),"",IF($AU1346&lt;10000,10,100)))</f>
        <v/>
      </c>
      <c r="AG1346" t="str">
        <f t="shared" ref="AG1346:AG1409" si="129">IF($AS1346="","",IF(OR($AU1346="",$AU1346&lt;=0,$AU1346&gt;=1000000),"",IF($AU1346&lt;10000,$AU1346/100,IF($AU1346&lt;100000,$AU1346/1000,$AU1346/10000))))</f>
        <v/>
      </c>
      <c r="AH1346" t="str">
        <f t="shared" ref="AH1346:AH1409" si="130">IF($AS1346="","",IF(OR($AU1346="",$AU1346&lt;=0,$AU1346&gt;=1000000),"",IF($AU1346&lt;100000,10,100)))</f>
        <v/>
      </c>
      <c r="AI1346" t="str">
        <f>IF($AG1346="","",SUMIF($AG$2:$AG1346,$AG1346,$AH$2:$AH1346))</f>
        <v/>
      </c>
      <c r="AJ1346" t="str">
        <f>IF('TMP Paste'!$F1346="","",IF('TMP Paste'!$B1346="",$AJ1345,'TMP Paste'!$B1346))</f>
        <v/>
      </c>
      <c r="AK1346" t="str">
        <f>IF('TMP Paste'!$F1346="","",N('TMP Paste'!$G1346))</f>
        <v/>
      </c>
      <c r="AL1346" t="str">
        <f>IF('TMP Paste'!$F1346="","",IF('TMP Paste'!$M1346="",$AL1345,'TMP Paste'!$M1346))</f>
        <v/>
      </c>
      <c r="AM1346" t="str">
        <f>IF('TMP Paste'!$F1346="","",IF('TMP Paste'!$N1346="",$AM1345,'TMP Paste'!$N1346))</f>
        <v/>
      </c>
      <c r="AN1346" t="str">
        <f>IF('TMP Paste'!$F1346="","",IF('TMP Paste'!$O1346="",$AN1345,'TMP Paste'!$O1346))</f>
        <v/>
      </c>
      <c r="AO1346" t="str">
        <f>IF('TMP Paste'!$F1346="","",IF('TMP Paste'!$P1346="",$AO1345,'TMP Paste'!$P1346))</f>
        <v/>
      </c>
      <c r="AP1346" t="str">
        <f t="shared" ref="AP1346:AP1409" si="131">IF($AG1346="","",LEN($R1346))</f>
        <v/>
      </c>
      <c r="AQ1346" t="str">
        <f>IF($AS1346="","",TRIM(IF(COUNTIFS(Calc!$B$2:$B$1601,ROW()-1,Calc!$C$2:$C$1601,"&lt;1")&gt;0,"Ada PO tanpa Koli - cek TMP. ","")&amp;IF(OR($AU1346="",$AU1346&lt;=0),"Volume kosong/0 - dimensi dikosongkan. ","")&amp;IF(AND($AU1346&lt;&gt;"",$AU1346&gt;=1000000),"Volume &gt;= 1.000.000 cm3 (di luar aturan) - dimensi dikosongkan. ","")&amp;IF(LEN($R1346)&gt;500,"R &gt; 500 karakter.","")))</f>
        <v/>
      </c>
      <c r="AS1346" t="str">
        <f>IFERROR(MATCH(ROW()-1,Calc!$J$2:$J$1601,0),"")</f>
        <v/>
      </c>
      <c r="AT1346" t="str">
        <f>IFERROR(MATCH(ROW()-1,Calc!$K$2:$K$1601,0),"")</f>
        <v/>
      </c>
      <c r="AU1346" t="str">
        <f>IF($AS1346="","",IFERROR(INDEX('TMP Paste'!$D$2:$D$1601,$AS1346)*1000000/$AB1346,""))</f>
        <v/>
      </c>
    </row>
    <row r="1347" spans="1:47">
      <c r="A1347" t="str">
        <f>IF($AS1347="","",INDEX('TMP Paste'!$B$2:$B$1601,$AS1347))</f>
        <v/>
      </c>
      <c r="B1347" t="str">
        <f>IF($AS1347="","",Config!$B$14)</f>
        <v/>
      </c>
      <c r="C1347" t="str">
        <f>IF($AS1347="","",Config!$B$15)</f>
        <v/>
      </c>
      <c r="D1347" t="str">
        <f>IF($AS1347="","",INDEX('TMP Paste'!$B$2:$B$1601,$AS1347))</f>
        <v/>
      </c>
      <c r="E1347" t="str">
        <f>IF($AS1347="","",Config!$B$27)</f>
        <v/>
      </c>
      <c r="F1347" t="str">
        <f>IF($AS1347="","",Config!$B$9)</f>
        <v/>
      </c>
      <c r="G1347" t="str">
        <f>IF($AS1347="","",Config!$B$10)</f>
        <v/>
      </c>
      <c r="H1347" t="str">
        <f>IF($AS1347="","",Config!$B$11)</f>
        <v/>
      </c>
      <c r="I1347" t="str">
        <f>IF($AS1347="","",Config!$B$16)</f>
        <v/>
      </c>
      <c r="J1347" t="str">
        <f>IF($AS1347="","",INDEX('TMP Paste'!$A$2:$A$1601,$AS1347))</f>
        <v/>
      </c>
      <c r="K1347" t="str">
        <f>IF($AS1347="","",INDEX('TMP Paste'!$L$2:$L$1601,$AS1347))</f>
        <v/>
      </c>
      <c r="L1347" t="str">
        <f>IF($AS1347="","",INDEX('TMP Paste'!$I$2:$I$1601,$AS1347))</f>
        <v/>
      </c>
      <c r="M1347" t="str">
        <f>IF($AS1347="","",Config!$B$16)</f>
        <v/>
      </c>
      <c r="N1347" t="str">
        <f t="shared" si="126"/>
        <v/>
      </c>
      <c r="O1347" t="str">
        <f>IF($AS1347="","",INDEX('TMP Paste'!$K$2:$K$1601,$AS1347))</f>
        <v/>
      </c>
      <c r="P1347" t="str">
        <f t="shared" si="127"/>
        <v/>
      </c>
      <c r="Q1347" t="str">
        <f>IF($AS1347="","",INDEX('TMP Paste'!$J$2:$J$1601,$AS1347))</f>
        <v/>
      </c>
      <c r="R1347" t="str">
        <f>IF($AS1347="","",Config!$B$24)</f>
        <v/>
      </c>
      <c r="S1347" t="str">
        <f ca="1">IF($AS1347="","",TEXT(Config!$B$4,"yyyy-mm-dd"))</f>
        <v/>
      </c>
      <c r="T1347" t="str">
        <f>IF($AS1347="","",Config!$B$17)</f>
        <v/>
      </c>
      <c r="U1347" t="str">
        <f>IF($AS1347="","",Config!$B$18)</f>
        <v/>
      </c>
      <c r="V1347" t="str">
        <f>IF($AS1347="","",Config!$B$19)</f>
        <v/>
      </c>
      <c r="W1347" t="str">
        <f>IF($AS1347="","",INDEX('TMP Paste'!$C$2:$C$1601,$AS1347))</f>
        <v/>
      </c>
      <c r="X1347" t="str">
        <f>IF($AS1347="","",Config!$B$29)</f>
        <v/>
      </c>
      <c r="Y1347" t="str">
        <f>IF($AT1347="","",INDEX(Calc!$I$2:$I$1601,$AT1347)&amp;" - "&amp;INDEX(Calc!$D$2:$D$1601,$AT1347)&amp;" koli")</f>
        <v/>
      </c>
      <c r="Z1347" t="str">
        <f>IF($AS1347="","",Config!$B$21)</f>
        <v/>
      </c>
      <c r="AA1347" t="str">
        <f>IF($AS1347="","",Config!$B$22)</f>
        <v/>
      </c>
      <c r="AB1347" t="str">
        <f>IF($AT1347="","",INDEX(Calc!$D$2:$D$1601,$AT1347))</f>
        <v/>
      </c>
      <c r="AC1347" t="str">
        <f>IF($AT1347="","",INDEX(Calc!$G$2:$G$1601,$AT1347))</f>
        <v/>
      </c>
      <c r="AD1347" t="str">
        <f>IF($AS1347="","",Config!$B$23)</f>
        <v/>
      </c>
      <c r="AE1347" t="str">
        <f>IF($AS1347="","",Config!$B$28)</f>
        <v/>
      </c>
      <c r="AF1347" t="str">
        <f t="shared" si="128"/>
        <v/>
      </c>
      <c r="AG1347" t="str">
        <f t="shared" si="129"/>
        <v/>
      </c>
      <c r="AH1347" t="str">
        <f t="shared" si="130"/>
        <v/>
      </c>
      <c r="AI1347" t="str">
        <f>IF($AG1347="","",SUMIF($AG$2:$AG1347,$AG1347,$AH$2:$AH1347))</f>
        <v/>
      </c>
      <c r="AJ1347" t="str">
        <f>IF('TMP Paste'!$F1347="","",IF('TMP Paste'!$B1347="",$AJ1346,'TMP Paste'!$B1347))</f>
        <v/>
      </c>
      <c r="AK1347" t="str">
        <f>IF('TMP Paste'!$F1347="","",N('TMP Paste'!$G1347))</f>
        <v/>
      </c>
      <c r="AL1347" t="str">
        <f>IF('TMP Paste'!$F1347="","",IF('TMP Paste'!$M1347="",$AL1346,'TMP Paste'!$M1347))</f>
        <v/>
      </c>
      <c r="AM1347" t="str">
        <f>IF('TMP Paste'!$F1347="","",IF('TMP Paste'!$N1347="",$AM1346,'TMP Paste'!$N1347))</f>
        <v/>
      </c>
      <c r="AN1347" t="str">
        <f>IF('TMP Paste'!$F1347="","",IF('TMP Paste'!$O1347="",$AN1346,'TMP Paste'!$O1347))</f>
        <v/>
      </c>
      <c r="AO1347" t="str">
        <f>IF('TMP Paste'!$F1347="","",IF('TMP Paste'!$P1347="",$AO1346,'TMP Paste'!$P1347))</f>
        <v/>
      </c>
      <c r="AP1347" t="str">
        <f t="shared" si="131"/>
        <v/>
      </c>
      <c r="AQ1347" t="str">
        <f>IF($AS1347="","",TRIM(IF(COUNTIFS(Calc!$B$2:$B$1601,ROW()-1,Calc!$C$2:$C$1601,"&lt;1")&gt;0,"Ada PO tanpa Koli - cek TMP. ","")&amp;IF(OR($AU1347="",$AU1347&lt;=0),"Volume kosong/0 - dimensi dikosongkan. ","")&amp;IF(AND($AU1347&lt;&gt;"",$AU1347&gt;=1000000),"Volume &gt;= 1.000.000 cm3 (di luar aturan) - dimensi dikosongkan. ","")&amp;IF(LEN($R1347)&gt;500,"R &gt; 500 karakter.","")))</f>
        <v/>
      </c>
      <c r="AS1347" t="str">
        <f>IFERROR(MATCH(ROW()-1,Calc!$J$2:$J$1601,0),"")</f>
        <v/>
      </c>
      <c r="AT1347" t="str">
        <f>IFERROR(MATCH(ROW()-1,Calc!$K$2:$K$1601,0),"")</f>
        <v/>
      </c>
      <c r="AU1347" t="str">
        <f>IF($AS1347="","",IFERROR(INDEX('TMP Paste'!$D$2:$D$1601,$AS1347)*1000000/$AB1347,""))</f>
        <v/>
      </c>
    </row>
    <row r="1348" spans="1:47">
      <c r="A1348" t="str">
        <f>IF($AS1348="","",INDEX('TMP Paste'!$B$2:$B$1601,$AS1348))</f>
        <v/>
      </c>
      <c r="B1348" t="str">
        <f>IF($AS1348="","",Config!$B$14)</f>
        <v/>
      </c>
      <c r="C1348" t="str">
        <f>IF($AS1348="","",Config!$B$15)</f>
        <v/>
      </c>
      <c r="D1348" t="str">
        <f>IF($AS1348="","",INDEX('TMP Paste'!$B$2:$B$1601,$AS1348))</f>
        <v/>
      </c>
      <c r="E1348" t="str">
        <f>IF($AS1348="","",Config!$B$27)</f>
        <v/>
      </c>
      <c r="F1348" t="str">
        <f>IF($AS1348="","",Config!$B$9)</f>
        <v/>
      </c>
      <c r="G1348" t="str">
        <f>IF($AS1348="","",Config!$B$10)</f>
        <v/>
      </c>
      <c r="H1348" t="str">
        <f>IF($AS1348="","",Config!$B$11)</f>
        <v/>
      </c>
      <c r="I1348" t="str">
        <f>IF($AS1348="","",Config!$B$16)</f>
        <v/>
      </c>
      <c r="J1348" t="str">
        <f>IF($AS1348="","",INDEX('TMP Paste'!$A$2:$A$1601,$AS1348))</f>
        <v/>
      </c>
      <c r="K1348" t="str">
        <f>IF($AS1348="","",INDEX('TMP Paste'!$L$2:$L$1601,$AS1348))</f>
        <v/>
      </c>
      <c r="L1348" t="str">
        <f>IF($AS1348="","",INDEX('TMP Paste'!$I$2:$I$1601,$AS1348))</f>
        <v/>
      </c>
      <c r="M1348" t="str">
        <f>IF($AS1348="","",Config!$B$16)</f>
        <v/>
      </c>
      <c r="N1348" t="str">
        <f t="shared" si="126"/>
        <v/>
      </c>
      <c r="O1348" t="str">
        <f>IF($AS1348="","",INDEX('TMP Paste'!$K$2:$K$1601,$AS1348))</f>
        <v/>
      </c>
      <c r="P1348" t="str">
        <f t="shared" si="127"/>
        <v/>
      </c>
      <c r="Q1348" t="str">
        <f>IF($AS1348="","",INDEX('TMP Paste'!$J$2:$J$1601,$AS1348))</f>
        <v/>
      </c>
      <c r="R1348" t="str">
        <f>IF($AS1348="","",Config!$B$24)</f>
        <v/>
      </c>
      <c r="S1348" t="str">
        <f ca="1">IF($AS1348="","",TEXT(Config!$B$4,"yyyy-mm-dd"))</f>
        <v/>
      </c>
      <c r="T1348" t="str">
        <f>IF($AS1348="","",Config!$B$17)</f>
        <v/>
      </c>
      <c r="U1348" t="str">
        <f>IF($AS1348="","",Config!$B$18)</f>
        <v/>
      </c>
      <c r="V1348" t="str">
        <f>IF($AS1348="","",Config!$B$19)</f>
        <v/>
      </c>
      <c r="W1348" t="str">
        <f>IF($AS1348="","",INDEX('TMP Paste'!$C$2:$C$1601,$AS1348))</f>
        <v/>
      </c>
      <c r="X1348" t="str">
        <f>IF($AS1348="","",Config!$B$29)</f>
        <v/>
      </c>
      <c r="Y1348" t="str">
        <f>IF($AT1348="","",INDEX(Calc!$I$2:$I$1601,$AT1348)&amp;" - "&amp;INDEX(Calc!$D$2:$D$1601,$AT1348)&amp;" koli")</f>
        <v/>
      </c>
      <c r="Z1348" t="str">
        <f>IF($AS1348="","",Config!$B$21)</f>
        <v/>
      </c>
      <c r="AA1348" t="str">
        <f>IF($AS1348="","",Config!$B$22)</f>
        <v/>
      </c>
      <c r="AB1348" t="str">
        <f>IF($AT1348="","",INDEX(Calc!$D$2:$D$1601,$AT1348))</f>
        <v/>
      </c>
      <c r="AC1348" t="str">
        <f>IF($AT1348="","",INDEX(Calc!$G$2:$G$1601,$AT1348))</f>
        <v/>
      </c>
      <c r="AD1348" t="str">
        <f>IF($AS1348="","",Config!$B$23)</f>
        <v/>
      </c>
      <c r="AE1348" t="str">
        <f>IF($AS1348="","",Config!$B$28)</f>
        <v/>
      </c>
      <c r="AF1348" t="str">
        <f t="shared" si="128"/>
        <v/>
      </c>
      <c r="AG1348" t="str">
        <f t="shared" si="129"/>
        <v/>
      </c>
      <c r="AH1348" t="str">
        <f t="shared" si="130"/>
        <v/>
      </c>
      <c r="AI1348" t="str">
        <f>IF($AG1348="","",SUMIF($AG$2:$AG1348,$AG1348,$AH$2:$AH1348))</f>
        <v/>
      </c>
      <c r="AJ1348" t="str">
        <f>IF('TMP Paste'!$F1348="","",IF('TMP Paste'!$B1348="",$AJ1347,'TMP Paste'!$B1348))</f>
        <v/>
      </c>
      <c r="AK1348" t="str">
        <f>IF('TMP Paste'!$F1348="","",N('TMP Paste'!$G1348))</f>
        <v/>
      </c>
      <c r="AL1348" t="str">
        <f>IF('TMP Paste'!$F1348="","",IF('TMP Paste'!$M1348="",$AL1347,'TMP Paste'!$M1348))</f>
        <v/>
      </c>
      <c r="AM1348" t="str">
        <f>IF('TMP Paste'!$F1348="","",IF('TMP Paste'!$N1348="",$AM1347,'TMP Paste'!$N1348))</f>
        <v/>
      </c>
      <c r="AN1348" t="str">
        <f>IF('TMP Paste'!$F1348="","",IF('TMP Paste'!$O1348="",$AN1347,'TMP Paste'!$O1348))</f>
        <v/>
      </c>
      <c r="AO1348" t="str">
        <f>IF('TMP Paste'!$F1348="","",IF('TMP Paste'!$P1348="",$AO1347,'TMP Paste'!$P1348))</f>
        <v/>
      </c>
      <c r="AP1348" t="str">
        <f t="shared" si="131"/>
        <v/>
      </c>
      <c r="AQ1348" t="str">
        <f>IF($AS1348="","",TRIM(IF(COUNTIFS(Calc!$B$2:$B$1601,ROW()-1,Calc!$C$2:$C$1601,"&lt;1")&gt;0,"Ada PO tanpa Koli - cek TMP. ","")&amp;IF(OR($AU1348="",$AU1348&lt;=0),"Volume kosong/0 - dimensi dikosongkan. ","")&amp;IF(AND($AU1348&lt;&gt;"",$AU1348&gt;=1000000),"Volume &gt;= 1.000.000 cm3 (di luar aturan) - dimensi dikosongkan. ","")&amp;IF(LEN($R1348)&gt;500,"R &gt; 500 karakter.","")))</f>
        <v/>
      </c>
      <c r="AS1348" t="str">
        <f>IFERROR(MATCH(ROW()-1,Calc!$J$2:$J$1601,0),"")</f>
        <v/>
      </c>
      <c r="AT1348" t="str">
        <f>IFERROR(MATCH(ROW()-1,Calc!$K$2:$K$1601,0),"")</f>
        <v/>
      </c>
      <c r="AU1348" t="str">
        <f>IF($AS1348="","",IFERROR(INDEX('TMP Paste'!$D$2:$D$1601,$AS1348)*1000000/$AB1348,""))</f>
        <v/>
      </c>
    </row>
    <row r="1349" spans="1:47">
      <c r="A1349" t="str">
        <f>IF($AS1349="","",INDEX('TMP Paste'!$B$2:$B$1601,$AS1349))</f>
        <v/>
      </c>
      <c r="B1349" t="str">
        <f>IF($AS1349="","",Config!$B$14)</f>
        <v/>
      </c>
      <c r="C1349" t="str">
        <f>IF($AS1349="","",Config!$B$15)</f>
        <v/>
      </c>
      <c r="D1349" t="str">
        <f>IF($AS1349="","",INDEX('TMP Paste'!$B$2:$B$1601,$AS1349))</f>
        <v/>
      </c>
      <c r="E1349" t="str">
        <f>IF($AS1349="","",Config!$B$27)</f>
        <v/>
      </c>
      <c r="F1349" t="str">
        <f>IF($AS1349="","",Config!$B$9)</f>
        <v/>
      </c>
      <c r="G1349" t="str">
        <f>IF($AS1349="","",Config!$B$10)</f>
        <v/>
      </c>
      <c r="H1349" t="str">
        <f>IF($AS1349="","",Config!$B$11)</f>
        <v/>
      </c>
      <c r="I1349" t="str">
        <f>IF($AS1349="","",Config!$B$16)</f>
        <v/>
      </c>
      <c r="J1349" t="str">
        <f>IF($AS1349="","",INDEX('TMP Paste'!$A$2:$A$1601,$AS1349))</f>
        <v/>
      </c>
      <c r="K1349" t="str">
        <f>IF($AS1349="","",INDEX('TMP Paste'!$L$2:$L$1601,$AS1349))</f>
        <v/>
      </c>
      <c r="L1349" t="str">
        <f>IF($AS1349="","",INDEX('TMP Paste'!$I$2:$I$1601,$AS1349))</f>
        <v/>
      </c>
      <c r="M1349" t="str">
        <f>IF($AS1349="","",Config!$B$16)</f>
        <v/>
      </c>
      <c r="N1349" t="str">
        <f t="shared" si="126"/>
        <v/>
      </c>
      <c r="O1349" t="str">
        <f>IF($AS1349="","",INDEX('TMP Paste'!$K$2:$K$1601,$AS1349))</f>
        <v/>
      </c>
      <c r="P1349" t="str">
        <f t="shared" si="127"/>
        <v/>
      </c>
      <c r="Q1349" t="str">
        <f>IF($AS1349="","",INDEX('TMP Paste'!$J$2:$J$1601,$AS1349))</f>
        <v/>
      </c>
      <c r="R1349" t="str">
        <f>IF($AS1349="","",Config!$B$24)</f>
        <v/>
      </c>
      <c r="S1349" t="str">
        <f ca="1">IF($AS1349="","",TEXT(Config!$B$4,"yyyy-mm-dd"))</f>
        <v/>
      </c>
      <c r="T1349" t="str">
        <f>IF($AS1349="","",Config!$B$17)</f>
        <v/>
      </c>
      <c r="U1349" t="str">
        <f>IF($AS1349="","",Config!$B$18)</f>
        <v/>
      </c>
      <c r="V1349" t="str">
        <f>IF($AS1349="","",Config!$B$19)</f>
        <v/>
      </c>
      <c r="W1349" t="str">
        <f>IF($AS1349="","",INDEX('TMP Paste'!$C$2:$C$1601,$AS1349))</f>
        <v/>
      </c>
      <c r="X1349" t="str">
        <f>IF($AS1349="","",Config!$B$29)</f>
        <v/>
      </c>
      <c r="Y1349" t="str">
        <f>IF($AT1349="","",INDEX(Calc!$I$2:$I$1601,$AT1349)&amp;" - "&amp;INDEX(Calc!$D$2:$D$1601,$AT1349)&amp;" koli")</f>
        <v/>
      </c>
      <c r="Z1349" t="str">
        <f>IF($AS1349="","",Config!$B$21)</f>
        <v/>
      </c>
      <c r="AA1349" t="str">
        <f>IF($AS1349="","",Config!$B$22)</f>
        <v/>
      </c>
      <c r="AB1349" t="str">
        <f>IF($AT1349="","",INDEX(Calc!$D$2:$D$1601,$AT1349))</f>
        <v/>
      </c>
      <c r="AC1349" t="str">
        <f>IF($AT1349="","",INDEX(Calc!$G$2:$G$1601,$AT1349))</f>
        <v/>
      </c>
      <c r="AD1349" t="str">
        <f>IF($AS1349="","",Config!$B$23)</f>
        <v/>
      </c>
      <c r="AE1349" t="str">
        <f>IF($AS1349="","",Config!$B$28)</f>
        <v/>
      </c>
      <c r="AF1349" t="str">
        <f t="shared" si="128"/>
        <v/>
      </c>
      <c r="AG1349" t="str">
        <f t="shared" si="129"/>
        <v/>
      </c>
      <c r="AH1349" t="str">
        <f t="shared" si="130"/>
        <v/>
      </c>
      <c r="AI1349" t="str">
        <f>IF($AG1349="","",SUMIF($AG$2:$AG1349,$AG1349,$AH$2:$AH1349))</f>
        <v/>
      </c>
      <c r="AJ1349" t="str">
        <f>IF('TMP Paste'!$F1349="","",IF('TMP Paste'!$B1349="",$AJ1348,'TMP Paste'!$B1349))</f>
        <v/>
      </c>
      <c r="AK1349" t="str">
        <f>IF('TMP Paste'!$F1349="","",N('TMP Paste'!$G1349))</f>
        <v/>
      </c>
      <c r="AL1349" t="str">
        <f>IF('TMP Paste'!$F1349="","",IF('TMP Paste'!$M1349="",$AL1348,'TMP Paste'!$M1349))</f>
        <v/>
      </c>
      <c r="AM1349" t="str">
        <f>IF('TMP Paste'!$F1349="","",IF('TMP Paste'!$N1349="",$AM1348,'TMP Paste'!$N1349))</f>
        <v/>
      </c>
      <c r="AN1349" t="str">
        <f>IF('TMP Paste'!$F1349="","",IF('TMP Paste'!$O1349="",$AN1348,'TMP Paste'!$O1349))</f>
        <v/>
      </c>
      <c r="AO1349" t="str">
        <f>IF('TMP Paste'!$F1349="","",IF('TMP Paste'!$P1349="",$AO1348,'TMP Paste'!$P1349))</f>
        <v/>
      </c>
      <c r="AP1349" t="str">
        <f t="shared" si="131"/>
        <v/>
      </c>
      <c r="AQ1349" t="str">
        <f>IF($AS1349="","",TRIM(IF(COUNTIFS(Calc!$B$2:$B$1601,ROW()-1,Calc!$C$2:$C$1601,"&lt;1")&gt;0,"Ada PO tanpa Koli - cek TMP. ","")&amp;IF(OR($AU1349="",$AU1349&lt;=0),"Volume kosong/0 - dimensi dikosongkan. ","")&amp;IF(AND($AU1349&lt;&gt;"",$AU1349&gt;=1000000),"Volume &gt;= 1.000.000 cm3 (di luar aturan) - dimensi dikosongkan. ","")&amp;IF(LEN($R1349)&gt;500,"R &gt; 500 karakter.","")))</f>
        <v/>
      </c>
      <c r="AS1349" t="str">
        <f>IFERROR(MATCH(ROW()-1,Calc!$J$2:$J$1601,0),"")</f>
        <v/>
      </c>
      <c r="AT1349" t="str">
        <f>IFERROR(MATCH(ROW()-1,Calc!$K$2:$K$1601,0),"")</f>
        <v/>
      </c>
      <c r="AU1349" t="str">
        <f>IF($AS1349="","",IFERROR(INDEX('TMP Paste'!$D$2:$D$1601,$AS1349)*1000000/$AB1349,""))</f>
        <v/>
      </c>
    </row>
    <row r="1350" spans="1:47">
      <c r="A1350" t="str">
        <f>IF($AS1350="","",INDEX('TMP Paste'!$B$2:$B$1601,$AS1350))</f>
        <v/>
      </c>
      <c r="B1350" t="str">
        <f>IF($AS1350="","",Config!$B$14)</f>
        <v/>
      </c>
      <c r="C1350" t="str">
        <f>IF($AS1350="","",Config!$B$15)</f>
        <v/>
      </c>
      <c r="D1350" t="str">
        <f>IF($AS1350="","",INDEX('TMP Paste'!$B$2:$B$1601,$AS1350))</f>
        <v/>
      </c>
      <c r="E1350" t="str">
        <f>IF($AS1350="","",Config!$B$27)</f>
        <v/>
      </c>
      <c r="F1350" t="str">
        <f>IF($AS1350="","",Config!$B$9)</f>
        <v/>
      </c>
      <c r="G1350" t="str">
        <f>IF($AS1350="","",Config!$B$10)</f>
        <v/>
      </c>
      <c r="H1350" t="str">
        <f>IF($AS1350="","",Config!$B$11)</f>
        <v/>
      </c>
      <c r="I1350" t="str">
        <f>IF($AS1350="","",Config!$B$16)</f>
        <v/>
      </c>
      <c r="J1350" t="str">
        <f>IF($AS1350="","",INDEX('TMP Paste'!$A$2:$A$1601,$AS1350))</f>
        <v/>
      </c>
      <c r="K1350" t="str">
        <f>IF($AS1350="","",INDEX('TMP Paste'!$L$2:$L$1601,$AS1350))</f>
        <v/>
      </c>
      <c r="L1350" t="str">
        <f>IF($AS1350="","",INDEX('TMP Paste'!$I$2:$I$1601,$AS1350))</f>
        <v/>
      </c>
      <c r="M1350" t="str">
        <f>IF($AS1350="","",Config!$B$16)</f>
        <v/>
      </c>
      <c r="N1350" t="str">
        <f t="shared" si="126"/>
        <v/>
      </c>
      <c r="O1350" t="str">
        <f>IF($AS1350="","",INDEX('TMP Paste'!$K$2:$K$1601,$AS1350))</f>
        <v/>
      </c>
      <c r="P1350" t="str">
        <f t="shared" si="127"/>
        <v/>
      </c>
      <c r="Q1350" t="str">
        <f>IF($AS1350="","",INDEX('TMP Paste'!$J$2:$J$1601,$AS1350))</f>
        <v/>
      </c>
      <c r="R1350" t="str">
        <f>IF($AS1350="","",Config!$B$24)</f>
        <v/>
      </c>
      <c r="S1350" t="str">
        <f ca="1">IF($AS1350="","",TEXT(Config!$B$4,"yyyy-mm-dd"))</f>
        <v/>
      </c>
      <c r="T1350" t="str">
        <f>IF($AS1350="","",Config!$B$17)</f>
        <v/>
      </c>
      <c r="U1350" t="str">
        <f>IF($AS1350="","",Config!$B$18)</f>
        <v/>
      </c>
      <c r="V1350" t="str">
        <f>IF($AS1350="","",Config!$B$19)</f>
        <v/>
      </c>
      <c r="W1350" t="str">
        <f>IF($AS1350="","",INDEX('TMP Paste'!$C$2:$C$1601,$AS1350))</f>
        <v/>
      </c>
      <c r="X1350" t="str">
        <f>IF($AS1350="","",Config!$B$29)</f>
        <v/>
      </c>
      <c r="Y1350" t="str">
        <f>IF($AT1350="","",INDEX(Calc!$I$2:$I$1601,$AT1350)&amp;" - "&amp;INDEX(Calc!$D$2:$D$1601,$AT1350)&amp;" koli")</f>
        <v/>
      </c>
      <c r="Z1350" t="str">
        <f>IF($AS1350="","",Config!$B$21)</f>
        <v/>
      </c>
      <c r="AA1350" t="str">
        <f>IF($AS1350="","",Config!$B$22)</f>
        <v/>
      </c>
      <c r="AB1350" t="str">
        <f>IF($AT1350="","",INDEX(Calc!$D$2:$D$1601,$AT1350))</f>
        <v/>
      </c>
      <c r="AC1350" t="str">
        <f>IF($AT1350="","",INDEX(Calc!$G$2:$G$1601,$AT1350))</f>
        <v/>
      </c>
      <c r="AD1350" t="str">
        <f>IF($AS1350="","",Config!$B$23)</f>
        <v/>
      </c>
      <c r="AE1350" t="str">
        <f>IF($AS1350="","",Config!$B$28)</f>
        <v/>
      </c>
      <c r="AF1350" t="str">
        <f t="shared" si="128"/>
        <v/>
      </c>
      <c r="AG1350" t="str">
        <f t="shared" si="129"/>
        <v/>
      </c>
      <c r="AH1350" t="str">
        <f t="shared" si="130"/>
        <v/>
      </c>
      <c r="AI1350" t="str">
        <f>IF($AG1350="","",SUMIF($AG$2:$AG1350,$AG1350,$AH$2:$AH1350))</f>
        <v/>
      </c>
      <c r="AJ1350" t="str">
        <f>IF('TMP Paste'!$F1350="","",IF('TMP Paste'!$B1350="",$AJ1349,'TMP Paste'!$B1350))</f>
        <v/>
      </c>
      <c r="AK1350" t="str">
        <f>IF('TMP Paste'!$F1350="","",N('TMP Paste'!$G1350))</f>
        <v/>
      </c>
      <c r="AL1350" t="str">
        <f>IF('TMP Paste'!$F1350="","",IF('TMP Paste'!$M1350="",$AL1349,'TMP Paste'!$M1350))</f>
        <v/>
      </c>
      <c r="AM1350" t="str">
        <f>IF('TMP Paste'!$F1350="","",IF('TMP Paste'!$N1350="",$AM1349,'TMP Paste'!$N1350))</f>
        <v/>
      </c>
      <c r="AN1350" t="str">
        <f>IF('TMP Paste'!$F1350="","",IF('TMP Paste'!$O1350="",$AN1349,'TMP Paste'!$O1350))</f>
        <v/>
      </c>
      <c r="AO1350" t="str">
        <f>IF('TMP Paste'!$F1350="","",IF('TMP Paste'!$P1350="",$AO1349,'TMP Paste'!$P1350))</f>
        <v/>
      </c>
      <c r="AP1350" t="str">
        <f t="shared" si="131"/>
        <v/>
      </c>
      <c r="AQ1350" t="str">
        <f>IF($AS1350="","",TRIM(IF(COUNTIFS(Calc!$B$2:$B$1601,ROW()-1,Calc!$C$2:$C$1601,"&lt;1")&gt;0,"Ada PO tanpa Koli - cek TMP. ","")&amp;IF(OR($AU1350="",$AU1350&lt;=0),"Volume kosong/0 - dimensi dikosongkan. ","")&amp;IF(AND($AU1350&lt;&gt;"",$AU1350&gt;=1000000),"Volume &gt;= 1.000.000 cm3 (di luar aturan) - dimensi dikosongkan. ","")&amp;IF(LEN($R1350)&gt;500,"R &gt; 500 karakter.","")))</f>
        <v/>
      </c>
      <c r="AS1350" t="str">
        <f>IFERROR(MATCH(ROW()-1,Calc!$J$2:$J$1601,0),"")</f>
        <v/>
      </c>
      <c r="AT1350" t="str">
        <f>IFERROR(MATCH(ROW()-1,Calc!$K$2:$K$1601,0),"")</f>
        <v/>
      </c>
      <c r="AU1350" t="str">
        <f>IF($AS1350="","",IFERROR(INDEX('TMP Paste'!$D$2:$D$1601,$AS1350)*1000000/$AB1350,""))</f>
        <v/>
      </c>
    </row>
    <row r="1351" spans="1:47">
      <c r="A1351" t="str">
        <f>IF($AS1351="","",INDEX('TMP Paste'!$B$2:$B$1601,$AS1351))</f>
        <v/>
      </c>
      <c r="B1351" t="str">
        <f>IF($AS1351="","",Config!$B$14)</f>
        <v/>
      </c>
      <c r="C1351" t="str">
        <f>IF($AS1351="","",Config!$B$15)</f>
        <v/>
      </c>
      <c r="D1351" t="str">
        <f>IF($AS1351="","",INDEX('TMP Paste'!$B$2:$B$1601,$AS1351))</f>
        <v/>
      </c>
      <c r="E1351" t="str">
        <f>IF($AS1351="","",Config!$B$27)</f>
        <v/>
      </c>
      <c r="F1351" t="str">
        <f>IF($AS1351="","",Config!$B$9)</f>
        <v/>
      </c>
      <c r="G1351" t="str">
        <f>IF($AS1351="","",Config!$B$10)</f>
        <v/>
      </c>
      <c r="H1351" t="str">
        <f>IF($AS1351="","",Config!$B$11)</f>
        <v/>
      </c>
      <c r="I1351" t="str">
        <f>IF($AS1351="","",Config!$B$16)</f>
        <v/>
      </c>
      <c r="J1351" t="str">
        <f>IF($AS1351="","",INDEX('TMP Paste'!$A$2:$A$1601,$AS1351))</f>
        <v/>
      </c>
      <c r="K1351" t="str">
        <f>IF($AS1351="","",INDEX('TMP Paste'!$L$2:$L$1601,$AS1351))</f>
        <v/>
      </c>
      <c r="L1351" t="str">
        <f>IF($AS1351="","",INDEX('TMP Paste'!$I$2:$I$1601,$AS1351))</f>
        <v/>
      </c>
      <c r="M1351" t="str">
        <f>IF($AS1351="","",Config!$B$16)</f>
        <v/>
      </c>
      <c r="N1351" t="str">
        <f t="shared" si="126"/>
        <v/>
      </c>
      <c r="O1351" t="str">
        <f>IF($AS1351="","",INDEX('TMP Paste'!$K$2:$K$1601,$AS1351))</f>
        <v/>
      </c>
      <c r="P1351" t="str">
        <f t="shared" si="127"/>
        <v/>
      </c>
      <c r="Q1351" t="str">
        <f>IF($AS1351="","",INDEX('TMP Paste'!$J$2:$J$1601,$AS1351))</f>
        <v/>
      </c>
      <c r="R1351" t="str">
        <f>IF($AS1351="","",Config!$B$24)</f>
        <v/>
      </c>
      <c r="S1351" t="str">
        <f ca="1">IF($AS1351="","",TEXT(Config!$B$4,"yyyy-mm-dd"))</f>
        <v/>
      </c>
      <c r="T1351" t="str">
        <f>IF($AS1351="","",Config!$B$17)</f>
        <v/>
      </c>
      <c r="U1351" t="str">
        <f>IF($AS1351="","",Config!$B$18)</f>
        <v/>
      </c>
      <c r="V1351" t="str">
        <f>IF($AS1351="","",Config!$B$19)</f>
        <v/>
      </c>
      <c r="W1351" t="str">
        <f>IF($AS1351="","",INDEX('TMP Paste'!$C$2:$C$1601,$AS1351))</f>
        <v/>
      </c>
      <c r="X1351" t="str">
        <f>IF($AS1351="","",Config!$B$29)</f>
        <v/>
      </c>
      <c r="Y1351" t="str">
        <f>IF($AT1351="","",INDEX(Calc!$I$2:$I$1601,$AT1351)&amp;" - "&amp;INDEX(Calc!$D$2:$D$1601,$AT1351)&amp;" koli")</f>
        <v/>
      </c>
      <c r="Z1351" t="str">
        <f>IF($AS1351="","",Config!$B$21)</f>
        <v/>
      </c>
      <c r="AA1351" t="str">
        <f>IF($AS1351="","",Config!$B$22)</f>
        <v/>
      </c>
      <c r="AB1351" t="str">
        <f>IF($AT1351="","",INDEX(Calc!$D$2:$D$1601,$AT1351))</f>
        <v/>
      </c>
      <c r="AC1351" t="str">
        <f>IF($AT1351="","",INDEX(Calc!$G$2:$G$1601,$AT1351))</f>
        <v/>
      </c>
      <c r="AD1351" t="str">
        <f>IF($AS1351="","",Config!$B$23)</f>
        <v/>
      </c>
      <c r="AE1351" t="str">
        <f>IF($AS1351="","",Config!$B$28)</f>
        <v/>
      </c>
      <c r="AF1351" t="str">
        <f t="shared" si="128"/>
        <v/>
      </c>
      <c r="AG1351" t="str">
        <f t="shared" si="129"/>
        <v/>
      </c>
      <c r="AH1351" t="str">
        <f t="shared" si="130"/>
        <v/>
      </c>
      <c r="AI1351" t="str">
        <f>IF($AG1351="","",SUMIF($AG$2:$AG1351,$AG1351,$AH$2:$AH1351))</f>
        <v/>
      </c>
      <c r="AJ1351" t="str">
        <f>IF('TMP Paste'!$F1351="","",IF('TMP Paste'!$B1351="",$AJ1350,'TMP Paste'!$B1351))</f>
        <v/>
      </c>
      <c r="AK1351" t="str">
        <f>IF('TMP Paste'!$F1351="","",N('TMP Paste'!$G1351))</f>
        <v/>
      </c>
      <c r="AL1351" t="str">
        <f>IF('TMP Paste'!$F1351="","",IF('TMP Paste'!$M1351="",$AL1350,'TMP Paste'!$M1351))</f>
        <v/>
      </c>
      <c r="AM1351" t="str">
        <f>IF('TMP Paste'!$F1351="","",IF('TMP Paste'!$N1351="",$AM1350,'TMP Paste'!$N1351))</f>
        <v/>
      </c>
      <c r="AN1351" t="str">
        <f>IF('TMP Paste'!$F1351="","",IF('TMP Paste'!$O1351="",$AN1350,'TMP Paste'!$O1351))</f>
        <v/>
      </c>
      <c r="AO1351" t="str">
        <f>IF('TMP Paste'!$F1351="","",IF('TMP Paste'!$P1351="",$AO1350,'TMP Paste'!$P1351))</f>
        <v/>
      </c>
      <c r="AP1351" t="str">
        <f t="shared" si="131"/>
        <v/>
      </c>
      <c r="AQ1351" t="str">
        <f>IF($AS1351="","",TRIM(IF(COUNTIFS(Calc!$B$2:$B$1601,ROW()-1,Calc!$C$2:$C$1601,"&lt;1")&gt;0,"Ada PO tanpa Koli - cek TMP. ","")&amp;IF(OR($AU1351="",$AU1351&lt;=0),"Volume kosong/0 - dimensi dikosongkan. ","")&amp;IF(AND($AU1351&lt;&gt;"",$AU1351&gt;=1000000),"Volume &gt;= 1.000.000 cm3 (di luar aturan) - dimensi dikosongkan. ","")&amp;IF(LEN($R1351)&gt;500,"R &gt; 500 karakter.","")))</f>
        <v/>
      </c>
      <c r="AS1351" t="str">
        <f>IFERROR(MATCH(ROW()-1,Calc!$J$2:$J$1601,0),"")</f>
        <v/>
      </c>
      <c r="AT1351" t="str">
        <f>IFERROR(MATCH(ROW()-1,Calc!$K$2:$K$1601,0),"")</f>
        <v/>
      </c>
      <c r="AU1351" t="str">
        <f>IF($AS1351="","",IFERROR(INDEX('TMP Paste'!$D$2:$D$1601,$AS1351)*1000000/$AB1351,""))</f>
        <v/>
      </c>
    </row>
    <row r="1352" spans="1:47">
      <c r="A1352" t="str">
        <f>IF($AS1352="","",INDEX('TMP Paste'!$B$2:$B$1601,$AS1352))</f>
        <v/>
      </c>
      <c r="B1352" t="str">
        <f>IF($AS1352="","",Config!$B$14)</f>
        <v/>
      </c>
      <c r="C1352" t="str">
        <f>IF($AS1352="","",Config!$B$15)</f>
        <v/>
      </c>
      <c r="D1352" t="str">
        <f>IF($AS1352="","",INDEX('TMP Paste'!$B$2:$B$1601,$AS1352))</f>
        <v/>
      </c>
      <c r="E1352" t="str">
        <f>IF($AS1352="","",Config!$B$27)</f>
        <v/>
      </c>
      <c r="F1352" t="str">
        <f>IF($AS1352="","",Config!$B$9)</f>
        <v/>
      </c>
      <c r="G1352" t="str">
        <f>IF($AS1352="","",Config!$B$10)</f>
        <v/>
      </c>
      <c r="H1352" t="str">
        <f>IF($AS1352="","",Config!$B$11)</f>
        <v/>
      </c>
      <c r="I1352" t="str">
        <f>IF($AS1352="","",Config!$B$16)</f>
        <v/>
      </c>
      <c r="J1352" t="str">
        <f>IF($AS1352="","",INDEX('TMP Paste'!$A$2:$A$1601,$AS1352))</f>
        <v/>
      </c>
      <c r="K1352" t="str">
        <f>IF($AS1352="","",INDEX('TMP Paste'!$L$2:$L$1601,$AS1352))</f>
        <v/>
      </c>
      <c r="L1352" t="str">
        <f>IF($AS1352="","",INDEX('TMP Paste'!$I$2:$I$1601,$AS1352))</f>
        <v/>
      </c>
      <c r="M1352" t="str">
        <f>IF($AS1352="","",Config!$B$16)</f>
        <v/>
      </c>
      <c r="N1352" t="str">
        <f t="shared" si="126"/>
        <v/>
      </c>
      <c r="O1352" t="str">
        <f>IF($AS1352="","",INDEX('TMP Paste'!$K$2:$K$1601,$AS1352))</f>
        <v/>
      </c>
      <c r="P1352" t="str">
        <f t="shared" si="127"/>
        <v/>
      </c>
      <c r="Q1352" t="str">
        <f>IF($AS1352="","",INDEX('TMP Paste'!$J$2:$J$1601,$AS1352))</f>
        <v/>
      </c>
      <c r="R1352" t="str">
        <f>IF($AS1352="","",Config!$B$24)</f>
        <v/>
      </c>
      <c r="S1352" t="str">
        <f ca="1">IF($AS1352="","",TEXT(Config!$B$4,"yyyy-mm-dd"))</f>
        <v/>
      </c>
      <c r="T1352" t="str">
        <f>IF($AS1352="","",Config!$B$17)</f>
        <v/>
      </c>
      <c r="U1352" t="str">
        <f>IF($AS1352="","",Config!$B$18)</f>
        <v/>
      </c>
      <c r="V1352" t="str">
        <f>IF($AS1352="","",Config!$B$19)</f>
        <v/>
      </c>
      <c r="W1352" t="str">
        <f>IF($AS1352="","",INDEX('TMP Paste'!$C$2:$C$1601,$AS1352))</f>
        <v/>
      </c>
      <c r="X1352" t="str">
        <f>IF($AS1352="","",Config!$B$29)</f>
        <v/>
      </c>
      <c r="Y1352" t="str">
        <f>IF($AT1352="","",INDEX(Calc!$I$2:$I$1601,$AT1352)&amp;" - "&amp;INDEX(Calc!$D$2:$D$1601,$AT1352)&amp;" koli")</f>
        <v/>
      </c>
      <c r="Z1352" t="str">
        <f>IF($AS1352="","",Config!$B$21)</f>
        <v/>
      </c>
      <c r="AA1352" t="str">
        <f>IF($AS1352="","",Config!$B$22)</f>
        <v/>
      </c>
      <c r="AB1352" t="str">
        <f>IF($AT1352="","",INDEX(Calc!$D$2:$D$1601,$AT1352))</f>
        <v/>
      </c>
      <c r="AC1352" t="str">
        <f>IF($AT1352="","",INDEX(Calc!$G$2:$G$1601,$AT1352))</f>
        <v/>
      </c>
      <c r="AD1352" t="str">
        <f>IF($AS1352="","",Config!$B$23)</f>
        <v/>
      </c>
      <c r="AE1352" t="str">
        <f>IF($AS1352="","",Config!$B$28)</f>
        <v/>
      </c>
      <c r="AF1352" t="str">
        <f t="shared" si="128"/>
        <v/>
      </c>
      <c r="AG1352" t="str">
        <f t="shared" si="129"/>
        <v/>
      </c>
      <c r="AH1352" t="str">
        <f t="shared" si="130"/>
        <v/>
      </c>
      <c r="AI1352" t="str">
        <f>IF($AG1352="","",SUMIF($AG$2:$AG1352,$AG1352,$AH$2:$AH1352))</f>
        <v/>
      </c>
      <c r="AJ1352" t="str">
        <f>IF('TMP Paste'!$F1352="","",IF('TMP Paste'!$B1352="",$AJ1351,'TMP Paste'!$B1352))</f>
        <v/>
      </c>
      <c r="AK1352" t="str">
        <f>IF('TMP Paste'!$F1352="","",N('TMP Paste'!$G1352))</f>
        <v/>
      </c>
      <c r="AL1352" t="str">
        <f>IF('TMP Paste'!$F1352="","",IF('TMP Paste'!$M1352="",$AL1351,'TMP Paste'!$M1352))</f>
        <v/>
      </c>
      <c r="AM1352" t="str">
        <f>IF('TMP Paste'!$F1352="","",IF('TMP Paste'!$N1352="",$AM1351,'TMP Paste'!$N1352))</f>
        <v/>
      </c>
      <c r="AN1352" t="str">
        <f>IF('TMP Paste'!$F1352="","",IF('TMP Paste'!$O1352="",$AN1351,'TMP Paste'!$O1352))</f>
        <v/>
      </c>
      <c r="AO1352" t="str">
        <f>IF('TMP Paste'!$F1352="","",IF('TMP Paste'!$P1352="",$AO1351,'TMP Paste'!$P1352))</f>
        <v/>
      </c>
      <c r="AP1352" t="str">
        <f t="shared" si="131"/>
        <v/>
      </c>
      <c r="AQ1352" t="str">
        <f>IF($AS1352="","",TRIM(IF(COUNTIFS(Calc!$B$2:$B$1601,ROW()-1,Calc!$C$2:$C$1601,"&lt;1")&gt;0,"Ada PO tanpa Koli - cek TMP. ","")&amp;IF(OR($AU1352="",$AU1352&lt;=0),"Volume kosong/0 - dimensi dikosongkan. ","")&amp;IF(AND($AU1352&lt;&gt;"",$AU1352&gt;=1000000),"Volume &gt;= 1.000.000 cm3 (di luar aturan) - dimensi dikosongkan. ","")&amp;IF(LEN($R1352)&gt;500,"R &gt; 500 karakter.","")))</f>
        <v/>
      </c>
      <c r="AS1352" t="str">
        <f>IFERROR(MATCH(ROW()-1,Calc!$J$2:$J$1601,0),"")</f>
        <v/>
      </c>
      <c r="AT1352" t="str">
        <f>IFERROR(MATCH(ROW()-1,Calc!$K$2:$K$1601,0),"")</f>
        <v/>
      </c>
      <c r="AU1352" t="str">
        <f>IF($AS1352="","",IFERROR(INDEX('TMP Paste'!$D$2:$D$1601,$AS1352)*1000000/$AB1352,""))</f>
        <v/>
      </c>
    </row>
    <row r="1353" spans="1:47">
      <c r="A1353" t="str">
        <f>IF($AS1353="","",INDEX('TMP Paste'!$B$2:$B$1601,$AS1353))</f>
        <v/>
      </c>
      <c r="B1353" t="str">
        <f>IF($AS1353="","",Config!$B$14)</f>
        <v/>
      </c>
      <c r="C1353" t="str">
        <f>IF($AS1353="","",Config!$B$15)</f>
        <v/>
      </c>
      <c r="D1353" t="str">
        <f>IF($AS1353="","",INDEX('TMP Paste'!$B$2:$B$1601,$AS1353))</f>
        <v/>
      </c>
      <c r="E1353" t="str">
        <f>IF($AS1353="","",Config!$B$27)</f>
        <v/>
      </c>
      <c r="F1353" t="str">
        <f>IF($AS1353="","",Config!$B$9)</f>
        <v/>
      </c>
      <c r="G1353" t="str">
        <f>IF($AS1353="","",Config!$B$10)</f>
        <v/>
      </c>
      <c r="H1353" t="str">
        <f>IF($AS1353="","",Config!$B$11)</f>
        <v/>
      </c>
      <c r="I1353" t="str">
        <f>IF($AS1353="","",Config!$B$16)</f>
        <v/>
      </c>
      <c r="J1353" t="str">
        <f>IF($AS1353="","",INDEX('TMP Paste'!$A$2:$A$1601,$AS1353))</f>
        <v/>
      </c>
      <c r="K1353" t="str">
        <f>IF($AS1353="","",INDEX('TMP Paste'!$L$2:$L$1601,$AS1353))</f>
        <v/>
      </c>
      <c r="L1353" t="str">
        <f>IF($AS1353="","",INDEX('TMP Paste'!$I$2:$I$1601,$AS1353))</f>
        <v/>
      </c>
      <c r="M1353" t="str">
        <f>IF($AS1353="","",Config!$B$16)</f>
        <v/>
      </c>
      <c r="N1353" t="str">
        <f t="shared" si="126"/>
        <v/>
      </c>
      <c r="O1353" t="str">
        <f>IF($AS1353="","",INDEX('TMP Paste'!$K$2:$K$1601,$AS1353))</f>
        <v/>
      </c>
      <c r="P1353" t="str">
        <f t="shared" si="127"/>
        <v/>
      </c>
      <c r="Q1353" t="str">
        <f>IF($AS1353="","",INDEX('TMP Paste'!$J$2:$J$1601,$AS1353))</f>
        <v/>
      </c>
      <c r="R1353" t="str">
        <f>IF($AS1353="","",Config!$B$24)</f>
        <v/>
      </c>
      <c r="S1353" t="str">
        <f ca="1">IF($AS1353="","",TEXT(Config!$B$4,"yyyy-mm-dd"))</f>
        <v/>
      </c>
      <c r="T1353" t="str">
        <f>IF($AS1353="","",Config!$B$17)</f>
        <v/>
      </c>
      <c r="U1353" t="str">
        <f>IF($AS1353="","",Config!$B$18)</f>
        <v/>
      </c>
      <c r="V1353" t="str">
        <f>IF($AS1353="","",Config!$B$19)</f>
        <v/>
      </c>
      <c r="W1353" t="str">
        <f>IF($AS1353="","",INDEX('TMP Paste'!$C$2:$C$1601,$AS1353))</f>
        <v/>
      </c>
      <c r="X1353" t="str">
        <f>IF($AS1353="","",Config!$B$29)</f>
        <v/>
      </c>
      <c r="Y1353" t="str">
        <f>IF($AT1353="","",INDEX(Calc!$I$2:$I$1601,$AT1353)&amp;" - "&amp;INDEX(Calc!$D$2:$D$1601,$AT1353)&amp;" koli")</f>
        <v/>
      </c>
      <c r="Z1353" t="str">
        <f>IF($AS1353="","",Config!$B$21)</f>
        <v/>
      </c>
      <c r="AA1353" t="str">
        <f>IF($AS1353="","",Config!$B$22)</f>
        <v/>
      </c>
      <c r="AB1353" t="str">
        <f>IF($AT1353="","",INDEX(Calc!$D$2:$D$1601,$AT1353))</f>
        <v/>
      </c>
      <c r="AC1353" t="str">
        <f>IF($AT1353="","",INDEX(Calc!$G$2:$G$1601,$AT1353))</f>
        <v/>
      </c>
      <c r="AD1353" t="str">
        <f>IF($AS1353="","",Config!$B$23)</f>
        <v/>
      </c>
      <c r="AE1353" t="str">
        <f>IF($AS1353="","",Config!$B$28)</f>
        <v/>
      </c>
      <c r="AF1353" t="str">
        <f t="shared" si="128"/>
        <v/>
      </c>
      <c r="AG1353" t="str">
        <f t="shared" si="129"/>
        <v/>
      </c>
      <c r="AH1353" t="str">
        <f t="shared" si="130"/>
        <v/>
      </c>
      <c r="AI1353" t="str">
        <f>IF($AG1353="","",SUMIF($AG$2:$AG1353,$AG1353,$AH$2:$AH1353))</f>
        <v/>
      </c>
      <c r="AJ1353" t="str">
        <f>IF('TMP Paste'!$F1353="","",IF('TMP Paste'!$B1353="",$AJ1352,'TMP Paste'!$B1353))</f>
        <v/>
      </c>
      <c r="AK1353" t="str">
        <f>IF('TMP Paste'!$F1353="","",N('TMP Paste'!$G1353))</f>
        <v/>
      </c>
      <c r="AL1353" t="str">
        <f>IF('TMP Paste'!$F1353="","",IF('TMP Paste'!$M1353="",$AL1352,'TMP Paste'!$M1353))</f>
        <v/>
      </c>
      <c r="AM1353" t="str">
        <f>IF('TMP Paste'!$F1353="","",IF('TMP Paste'!$N1353="",$AM1352,'TMP Paste'!$N1353))</f>
        <v/>
      </c>
      <c r="AN1353" t="str">
        <f>IF('TMP Paste'!$F1353="","",IF('TMP Paste'!$O1353="",$AN1352,'TMP Paste'!$O1353))</f>
        <v/>
      </c>
      <c r="AO1353" t="str">
        <f>IF('TMP Paste'!$F1353="","",IF('TMP Paste'!$P1353="",$AO1352,'TMP Paste'!$P1353))</f>
        <v/>
      </c>
      <c r="AP1353" t="str">
        <f t="shared" si="131"/>
        <v/>
      </c>
      <c r="AQ1353" t="str">
        <f>IF($AS1353="","",TRIM(IF(COUNTIFS(Calc!$B$2:$B$1601,ROW()-1,Calc!$C$2:$C$1601,"&lt;1")&gt;0,"Ada PO tanpa Koli - cek TMP. ","")&amp;IF(OR($AU1353="",$AU1353&lt;=0),"Volume kosong/0 - dimensi dikosongkan. ","")&amp;IF(AND($AU1353&lt;&gt;"",$AU1353&gt;=1000000),"Volume &gt;= 1.000.000 cm3 (di luar aturan) - dimensi dikosongkan. ","")&amp;IF(LEN($R1353)&gt;500,"R &gt; 500 karakter.","")))</f>
        <v/>
      </c>
      <c r="AS1353" t="str">
        <f>IFERROR(MATCH(ROW()-1,Calc!$J$2:$J$1601,0),"")</f>
        <v/>
      </c>
      <c r="AT1353" t="str">
        <f>IFERROR(MATCH(ROW()-1,Calc!$K$2:$K$1601,0),"")</f>
        <v/>
      </c>
      <c r="AU1353" t="str">
        <f>IF($AS1353="","",IFERROR(INDEX('TMP Paste'!$D$2:$D$1601,$AS1353)*1000000/$AB1353,""))</f>
        <v/>
      </c>
    </row>
    <row r="1354" spans="1:47">
      <c r="A1354" t="str">
        <f>IF($AS1354="","",INDEX('TMP Paste'!$B$2:$B$1601,$AS1354))</f>
        <v/>
      </c>
      <c r="B1354" t="str">
        <f>IF($AS1354="","",Config!$B$14)</f>
        <v/>
      </c>
      <c r="C1354" t="str">
        <f>IF($AS1354="","",Config!$B$15)</f>
        <v/>
      </c>
      <c r="D1354" t="str">
        <f>IF($AS1354="","",INDEX('TMP Paste'!$B$2:$B$1601,$AS1354))</f>
        <v/>
      </c>
      <c r="E1354" t="str">
        <f>IF($AS1354="","",Config!$B$27)</f>
        <v/>
      </c>
      <c r="F1354" t="str">
        <f>IF($AS1354="","",Config!$B$9)</f>
        <v/>
      </c>
      <c r="G1354" t="str">
        <f>IF($AS1354="","",Config!$B$10)</f>
        <v/>
      </c>
      <c r="H1354" t="str">
        <f>IF($AS1354="","",Config!$B$11)</f>
        <v/>
      </c>
      <c r="I1354" t="str">
        <f>IF($AS1354="","",Config!$B$16)</f>
        <v/>
      </c>
      <c r="J1354" t="str">
        <f>IF($AS1354="","",INDEX('TMP Paste'!$A$2:$A$1601,$AS1354))</f>
        <v/>
      </c>
      <c r="K1354" t="str">
        <f>IF($AS1354="","",INDEX('TMP Paste'!$L$2:$L$1601,$AS1354))</f>
        <v/>
      </c>
      <c r="L1354" t="str">
        <f>IF($AS1354="","",INDEX('TMP Paste'!$I$2:$I$1601,$AS1354))</f>
        <v/>
      </c>
      <c r="M1354" t="str">
        <f>IF($AS1354="","",Config!$B$16)</f>
        <v/>
      </c>
      <c r="N1354" t="str">
        <f t="shared" si="126"/>
        <v/>
      </c>
      <c r="O1354" t="str">
        <f>IF($AS1354="","",INDEX('TMP Paste'!$K$2:$K$1601,$AS1354))</f>
        <v/>
      </c>
      <c r="P1354" t="str">
        <f t="shared" si="127"/>
        <v/>
      </c>
      <c r="Q1354" t="str">
        <f>IF($AS1354="","",INDEX('TMP Paste'!$J$2:$J$1601,$AS1354))</f>
        <v/>
      </c>
      <c r="R1354" t="str">
        <f>IF($AS1354="","",Config!$B$24)</f>
        <v/>
      </c>
      <c r="S1354" t="str">
        <f ca="1">IF($AS1354="","",TEXT(Config!$B$4,"yyyy-mm-dd"))</f>
        <v/>
      </c>
      <c r="T1354" t="str">
        <f>IF($AS1354="","",Config!$B$17)</f>
        <v/>
      </c>
      <c r="U1354" t="str">
        <f>IF($AS1354="","",Config!$B$18)</f>
        <v/>
      </c>
      <c r="V1354" t="str">
        <f>IF($AS1354="","",Config!$B$19)</f>
        <v/>
      </c>
      <c r="W1354" t="str">
        <f>IF($AS1354="","",INDEX('TMP Paste'!$C$2:$C$1601,$AS1354))</f>
        <v/>
      </c>
      <c r="X1354" t="str">
        <f>IF($AS1354="","",Config!$B$29)</f>
        <v/>
      </c>
      <c r="Y1354" t="str">
        <f>IF($AT1354="","",INDEX(Calc!$I$2:$I$1601,$AT1354)&amp;" - "&amp;INDEX(Calc!$D$2:$D$1601,$AT1354)&amp;" koli")</f>
        <v/>
      </c>
      <c r="Z1354" t="str">
        <f>IF($AS1354="","",Config!$B$21)</f>
        <v/>
      </c>
      <c r="AA1354" t="str">
        <f>IF($AS1354="","",Config!$B$22)</f>
        <v/>
      </c>
      <c r="AB1354" t="str">
        <f>IF($AT1354="","",INDEX(Calc!$D$2:$D$1601,$AT1354))</f>
        <v/>
      </c>
      <c r="AC1354" t="str">
        <f>IF($AT1354="","",INDEX(Calc!$G$2:$G$1601,$AT1354))</f>
        <v/>
      </c>
      <c r="AD1354" t="str">
        <f>IF($AS1354="","",Config!$B$23)</f>
        <v/>
      </c>
      <c r="AE1354" t="str">
        <f>IF($AS1354="","",Config!$B$28)</f>
        <v/>
      </c>
      <c r="AF1354" t="str">
        <f t="shared" si="128"/>
        <v/>
      </c>
      <c r="AG1354" t="str">
        <f t="shared" si="129"/>
        <v/>
      </c>
      <c r="AH1354" t="str">
        <f t="shared" si="130"/>
        <v/>
      </c>
      <c r="AI1354" t="str">
        <f>IF($AG1354="","",SUMIF($AG$2:$AG1354,$AG1354,$AH$2:$AH1354))</f>
        <v/>
      </c>
      <c r="AJ1354" t="str">
        <f>IF('TMP Paste'!$F1354="","",IF('TMP Paste'!$B1354="",$AJ1353,'TMP Paste'!$B1354))</f>
        <v/>
      </c>
      <c r="AK1354" t="str">
        <f>IF('TMP Paste'!$F1354="","",N('TMP Paste'!$G1354))</f>
        <v/>
      </c>
      <c r="AL1354" t="str">
        <f>IF('TMP Paste'!$F1354="","",IF('TMP Paste'!$M1354="",$AL1353,'TMP Paste'!$M1354))</f>
        <v/>
      </c>
      <c r="AM1354" t="str">
        <f>IF('TMP Paste'!$F1354="","",IF('TMP Paste'!$N1354="",$AM1353,'TMP Paste'!$N1354))</f>
        <v/>
      </c>
      <c r="AN1354" t="str">
        <f>IF('TMP Paste'!$F1354="","",IF('TMP Paste'!$O1354="",$AN1353,'TMP Paste'!$O1354))</f>
        <v/>
      </c>
      <c r="AO1354" t="str">
        <f>IF('TMP Paste'!$F1354="","",IF('TMP Paste'!$P1354="",$AO1353,'TMP Paste'!$P1354))</f>
        <v/>
      </c>
      <c r="AP1354" t="str">
        <f t="shared" si="131"/>
        <v/>
      </c>
      <c r="AQ1354" t="str">
        <f>IF($AS1354="","",TRIM(IF(COUNTIFS(Calc!$B$2:$B$1601,ROW()-1,Calc!$C$2:$C$1601,"&lt;1")&gt;0,"Ada PO tanpa Koli - cek TMP. ","")&amp;IF(OR($AU1354="",$AU1354&lt;=0),"Volume kosong/0 - dimensi dikosongkan. ","")&amp;IF(AND($AU1354&lt;&gt;"",$AU1354&gt;=1000000),"Volume &gt;= 1.000.000 cm3 (di luar aturan) - dimensi dikosongkan. ","")&amp;IF(LEN($R1354)&gt;500,"R &gt; 500 karakter.","")))</f>
        <v/>
      </c>
      <c r="AS1354" t="str">
        <f>IFERROR(MATCH(ROW()-1,Calc!$J$2:$J$1601,0),"")</f>
        <v/>
      </c>
      <c r="AT1354" t="str">
        <f>IFERROR(MATCH(ROW()-1,Calc!$K$2:$K$1601,0),"")</f>
        <v/>
      </c>
      <c r="AU1354" t="str">
        <f>IF($AS1354="","",IFERROR(INDEX('TMP Paste'!$D$2:$D$1601,$AS1354)*1000000/$AB1354,""))</f>
        <v/>
      </c>
    </row>
    <row r="1355" spans="1:47">
      <c r="A1355" t="str">
        <f>IF($AS1355="","",INDEX('TMP Paste'!$B$2:$B$1601,$AS1355))</f>
        <v/>
      </c>
      <c r="B1355" t="str">
        <f>IF($AS1355="","",Config!$B$14)</f>
        <v/>
      </c>
      <c r="C1355" t="str">
        <f>IF($AS1355="","",Config!$B$15)</f>
        <v/>
      </c>
      <c r="D1355" t="str">
        <f>IF($AS1355="","",INDEX('TMP Paste'!$B$2:$B$1601,$AS1355))</f>
        <v/>
      </c>
      <c r="E1355" t="str">
        <f>IF($AS1355="","",Config!$B$27)</f>
        <v/>
      </c>
      <c r="F1355" t="str">
        <f>IF($AS1355="","",Config!$B$9)</f>
        <v/>
      </c>
      <c r="G1355" t="str">
        <f>IF($AS1355="","",Config!$B$10)</f>
        <v/>
      </c>
      <c r="H1355" t="str">
        <f>IF($AS1355="","",Config!$B$11)</f>
        <v/>
      </c>
      <c r="I1355" t="str">
        <f>IF($AS1355="","",Config!$B$16)</f>
        <v/>
      </c>
      <c r="J1355" t="str">
        <f>IF($AS1355="","",INDEX('TMP Paste'!$A$2:$A$1601,$AS1355))</f>
        <v/>
      </c>
      <c r="K1355" t="str">
        <f>IF($AS1355="","",INDEX('TMP Paste'!$L$2:$L$1601,$AS1355))</f>
        <v/>
      </c>
      <c r="L1355" t="str">
        <f>IF($AS1355="","",INDEX('TMP Paste'!$I$2:$I$1601,$AS1355))</f>
        <v/>
      </c>
      <c r="M1355" t="str">
        <f>IF($AS1355="","",Config!$B$16)</f>
        <v/>
      </c>
      <c r="N1355" t="str">
        <f t="shared" si="126"/>
        <v/>
      </c>
      <c r="O1355" t="str">
        <f>IF($AS1355="","",INDEX('TMP Paste'!$K$2:$K$1601,$AS1355))</f>
        <v/>
      </c>
      <c r="P1355" t="str">
        <f t="shared" si="127"/>
        <v/>
      </c>
      <c r="Q1355" t="str">
        <f>IF($AS1355="","",INDEX('TMP Paste'!$J$2:$J$1601,$AS1355))</f>
        <v/>
      </c>
      <c r="R1355" t="str">
        <f>IF($AS1355="","",Config!$B$24)</f>
        <v/>
      </c>
      <c r="S1355" t="str">
        <f ca="1">IF($AS1355="","",TEXT(Config!$B$4,"yyyy-mm-dd"))</f>
        <v/>
      </c>
      <c r="T1355" t="str">
        <f>IF($AS1355="","",Config!$B$17)</f>
        <v/>
      </c>
      <c r="U1355" t="str">
        <f>IF($AS1355="","",Config!$B$18)</f>
        <v/>
      </c>
      <c r="V1355" t="str">
        <f>IF($AS1355="","",Config!$B$19)</f>
        <v/>
      </c>
      <c r="W1355" t="str">
        <f>IF($AS1355="","",INDEX('TMP Paste'!$C$2:$C$1601,$AS1355))</f>
        <v/>
      </c>
      <c r="X1355" t="str">
        <f>IF($AS1355="","",Config!$B$29)</f>
        <v/>
      </c>
      <c r="Y1355" t="str">
        <f>IF($AT1355="","",INDEX(Calc!$I$2:$I$1601,$AT1355)&amp;" - "&amp;INDEX(Calc!$D$2:$D$1601,$AT1355)&amp;" koli")</f>
        <v/>
      </c>
      <c r="Z1355" t="str">
        <f>IF($AS1355="","",Config!$B$21)</f>
        <v/>
      </c>
      <c r="AA1355" t="str">
        <f>IF($AS1355="","",Config!$B$22)</f>
        <v/>
      </c>
      <c r="AB1355" t="str">
        <f>IF($AT1355="","",INDEX(Calc!$D$2:$D$1601,$AT1355))</f>
        <v/>
      </c>
      <c r="AC1355" t="str">
        <f>IF($AT1355="","",INDEX(Calc!$G$2:$G$1601,$AT1355))</f>
        <v/>
      </c>
      <c r="AD1355" t="str">
        <f>IF($AS1355="","",Config!$B$23)</f>
        <v/>
      </c>
      <c r="AE1355" t="str">
        <f>IF($AS1355="","",Config!$B$28)</f>
        <v/>
      </c>
      <c r="AF1355" t="str">
        <f t="shared" si="128"/>
        <v/>
      </c>
      <c r="AG1355" t="str">
        <f t="shared" si="129"/>
        <v/>
      </c>
      <c r="AH1355" t="str">
        <f t="shared" si="130"/>
        <v/>
      </c>
      <c r="AI1355" t="str">
        <f>IF($AG1355="","",SUMIF($AG$2:$AG1355,$AG1355,$AH$2:$AH1355))</f>
        <v/>
      </c>
      <c r="AJ1355" t="str">
        <f>IF('TMP Paste'!$F1355="","",IF('TMP Paste'!$B1355="",$AJ1354,'TMP Paste'!$B1355))</f>
        <v/>
      </c>
      <c r="AK1355" t="str">
        <f>IF('TMP Paste'!$F1355="","",N('TMP Paste'!$G1355))</f>
        <v/>
      </c>
      <c r="AL1355" t="str">
        <f>IF('TMP Paste'!$F1355="","",IF('TMP Paste'!$M1355="",$AL1354,'TMP Paste'!$M1355))</f>
        <v/>
      </c>
      <c r="AM1355" t="str">
        <f>IF('TMP Paste'!$F1355="","",IF('TMP Paste'!$N1355="",$AM1354,'TMP Paste'!$N1355))</f>
        <v/>
      </c>
      <c r="AN1355" t="str">
        <f>IF('TMP Paste'!$F1355="","",IF('TMP Paste'!$O1355="",$AN1354,'TMP Paste'!$O1355))</f>
        <v/>
      </c>
      <c r="AO1355" t="str">
        <f>IF('TMP Paste'!$F1355="","",IF('TMP Paste'!$P1355="",$AO1354,'TMP Paste'!$P1355))</f>
        <v/>
      </c>
      <c r="AP1355" t="str">
        <f t="shared" si="131"/>
        <v/>
      </c>
      <c r="AQ1355" t="str">
        <f>IF($AS1355="","",TRIM(IF(COUNTIFS(Calc!$B$2:$B$1601,ROW()-1,Calc!$C$2:$C$1601,"&lt;1")&gt;0,"Ada PO tanpa Koli - cek TMP. ","")&amp;IF(OR($AU1355="",$AU1355&lt;=0),"Volume kosong/0 - dimensi dikosongkan. ","")&amp;IF(AND($AU1355&lt;&gt;"",$AU1355&gt;=1000000),"Volume &gt;= 1.000.000 cm3 (di luar aturan) - dimensi dikosongkan. ","")&amp;IF(LEN($R1355)&gt;500,"R &gt; 500 karakter.","")))</f>
        <v/>
      </c>
      <c r="AS1355" t="str">
        <f>IFERROR(MATCH(ROW()-1,Calc!$J$2:$J$1601,0),"")</f>
        <v/>
      </c>
      <c r="AT1355" t="str">
        <f>IFERROR(MATCH(ROW()-1,Calc!$K$2:$K$1601,0),"")</f>
        <v/>
      </c>
      <c r="AU1355" t="str">
        <f>IF($AS1355="","",IFERROR(INDEX('TMP Paste'!$D$2:$D$1601,$AS1355)*1000000/$AB1355,""))</f>
        <v/>
      </c>
    </row>
    <row r="1356" spans="1:47">
      <c r="A1356" t="str">
        <f>IF($AS1356="","",INDEX('TMP Paste'!$B$2:$B$1601,$AS1356))</f>
        <v/>
      </c>
      <c r="B1356" t="str">
        <f>IF($AS1356="","",Config!$B$14)</f>
        <v/>
      </c>
      <c r="C1356" t="str">
        <f>IF($AS1356="","",Config!$B$15)</f>
        <v/>
      </c>
      <c r="D1356" t="str">
        <f>IF($AS1356="","",INDEX('TMP Paste'!$B$2:$B$1601,$AS1356))</f>
        <v/>
      </c>
      <c r="E1356" t="str">
        <f>IF($AS1356="","",Config!$B$27)</f>
        <v/>
      </c>
      <c r="F1356" t="str">
        <f>IF($AS1356="","",Config!$B$9)</f>
        <v/>
      </c>
      <c r="G1356" t="str">
        <f>IF($AS1356="","",Config!$B$10)</f>
        <v/>
      </c>
      <c r="H1356" t="str">
        <f>IF($AS1356="","",Config!$B$11)</f>
        <v/>
      </c>
      <c r="I1356" t="str">
        <f>IF($AS1356="","",Config!$B$16)</f>
        <v/>
      </c>
      <c r="J1356" t="str">
        <f>IF($AS1356="","",INDEX('TMP Paste'!$A$2:$A$1601,$AS1356))</f>
        <v/>
      </c>
      <c r="K1356" t="str">
        <f>IF($AS1356="","",INDEX('TMP Paste'!$L$2:$L$1601,$AS1356))</f>
        <v/>
      </c>
      <c r="L1356" t="str">
        <f>IF($AS1356="","",INDEX('TMP Paste'!$I$2:$I$1601,$AS1356))</f>
        <v/>
      </c>
      <c r="M1356" t="str">
        <f>IF($AS1356="","",Config!$B$16)</f>
        <v/>
      </c>
      <c r="N1356" t="str">
        <f t="shared" si="126"/>
        <v/>
      </c>
      <c r="O1356" t="str">
        <f>IF($AS1356="","",INDEX('TMP Paste'!$K$2:$K$1601,$AS1356))</f>
        <v/>
      </c>
      <c r="P1356" t="str">
        <f t="shared" si="127"/>
        <v/>
      </c>
      <c r="Q1356" t="str">
        <f>IF($AS1356="","",INDEX('TMP Paste'!$J$2:$J$1601,$AS1356))</f>
        <v/>
      </c>
      <c r="R1356" t="str">
        <f>IF($AS1356="","",Config!$B$24)</f>
        <v/>
      </c>
      <c r="S1356" t="str">
        <f ca="1">IF($AS1356="","",TEXT(Config!$B$4,"yyyy-mm-dd"))</f>
        <v/>
      </c>
      <c r="T1356" t="str">
        <f>IF($AS1356="","",Config!$B$17)</f>
        <v/>
      </c>
      <c r="U1356" t="str">
        <f>IF($AS1356="","",Config!$B$18)</f>
        <v/>
      </c>
      <c r="V1356" t="str">
        <f>IF($AS1356="","",Config!$B$19)</f>
        <v/>
      </c>
      <c r="W1356" t="str">
        <f>IF($AS1356="","",INDEX('TMP Paste'!$C$2:$C$1601,$AS1356))</f>
        <v/>
      </c>
      <c r="X1356" t="str">
        <f>IF($AS1356="","",Config!$B$29)</f>
        <v/>
      </c>
      <c r="Y1356" t="str">
        <f>IF($AT1356="","",INDEX(Calc!$I$2:$I$1601,$AT1356)&amp;" - "&amp;INDEX(Calc!$D$2:$D$1601,$AT1356)&amp;" koli")</f>
        <v/>
      </c>
      <c r="Z1356" t="str">
        <f>IF($AS1356="","",Config!$B$21)</f>
        <v/>
      </c>
      <c r="AA1356" t="str">
        <f>IF($AS1356="","",Config!$B$22)</f>
        <v/>
      </c>
      <c r="AB1356" t="str">
        <f>IF($AT1356="","",INDEX(Calc!$D$2:$D$1601,$AT1356))</f>
        <v/>
      </c>
      <c r="AC1356" t="str">
        <f>IF($AT1356="","",INDEX(Calc!$G$2:$G$1601,$AT1356))</f>
        <v/>
      </c>
      <c r="AD1356" t="str">
        <f>IF($AS1356="","",Config!$B$23)</f>
        <v/>
      </c>
      <c r="AE1356" t="str">
        <f>IF($AS1356="","",Config!$B$28)</f>
        <v/>
      </c>
      <c r="AF1356" t="str">
        <f t="shared" si="128"/>
        <v/>
      </c>
      <c r="AG1356" t="str">
        <f t="shared" si="129"/>
        <v/>
      </c>
      <c r="AH1356" t="str">
        <f t="shared" si="130"/>
        <v/>
      </c>
      <c r="AI1356" t="str">
        <f>IF($AG1356="","",SUMIF($AG$2:$AG1356,$AG1356,$AH$2:$AH1356))</f>
        <v/>
      </c>
      <c r="AJ1356" t="str">
        <f>IF('TMP Paste'!$F1356="","",IF('TMP Paste'!$B1356="",$AJ1355,'TMP Paste'!$B1356))</f>
        <v/>
      </c>
      <c r="AK1356" t="str">
        <f>IF('TMP Paste'!$F1356="","",N('TMP Paste'!$G1356))</f>
        <v/>
      </c>
      <c r="AL1356" t="str">
        <f>IF('TMP Paste'!$F1356="","",IF('TMP Paste'!$M1356="",$AL1355,'TMP Paste'!$M1356))</f>
        <v/>
      </c>
      <c r="AM1356" t="str">
        <f>IF('TMP Paste'!$F1356="","",IF('TMP Paste'!$N1356="",$AM1355,'TMP Paste'!$N1356))</f>
        <v/>
      </c>
      <c r="AN1356" t="str">
        <f>IF('TMP Paste'!$F1356="","",IF('TMP Paste'!$O1356="",$AN1355,'TMP Paste'!$O1356))</f>
        <v/>
      </c>
      <c r="AO1356" t="str">
        <f>IF('TMP Paste'!$F1356="","",IF('TMP Paste'!$P1356="",$AO1355,'TMP Paste'!$P1356))</f>
        <v/>
      </c>
      <c r="AP1356" t="str">
        <f t="shared" si="131"/>
        <v/>
      </c>
      <c r="AQ1356" t="str">
        <f>IF($AS1356="","",TRIM(IF(COUNTIFS(Calc!$B$2:$B$1601,ROW()-1,Calc!$C$2:$C$1601,"&lt;1")&gt;0,"Ada PO tanpa Koli - cek TMP. ","")&amp;IF(OR($AU1356="",$AU1356&lt;=0),"Volume kosong/0 - dimensi dikosongkan. ","")&amp;IF(AND($AU1356&lt;&gt;"",$AU1356&gt;=1000000),"Volume &gt;= 1.000.000 cm3 (di luar aturan) - dimensi dikosongkan. ","")&amp;IF(LEN($R1356)&gt;500,"R &gt; 500 karakter.","")))</f>
        <v/>
      </c>
      <c r="AS1356" t="str">
        <f>IFERROR(MATCH(ROW()-1,Calc!$J$2:$J$1601,0),"")</f>
        <v/>
      </c>
      <c r="AT1356" t="str">
        <f>IFERROR(MATCH(ROW()-1,Calc!$K$2:$K$1601,0),"")</f>
        <v/>
      </c>
      <c r="AU1356" t="str">
        <f>IF($AS1356="","",IFERROR(INDEX('TMP Paste'!$D$2:$D$1601,$AS1356)*1000000/$AB1356,""))</f>
        <v/>
      </c>
    </row>
    <row r="1357" spans="1:47">
      <c r="A1357" t="str">
        <f>IF($AS1357="","",INDEX('TMP Paste'!$B$2:$B$1601,$AS1357))</f>
        <v/>
      </c>
      <c r="B1357" t="str">
        <f>IF($AS1357="","",Config!$B$14)</f>
        <v/>
      </c>
      <c r="C1357" t="str">
        <f>IF($AS1357="","",Config!$B$15)</f>
        <v/>
      </c>
      <c r="D1357" t="str">
        <f>IF($AS1357="","",INDEX('TMP Paste'!$B$2:$B$1601,$AS1357))</f>
        <v/>
      </c>
      <c r="E1357" t="str">
        <f>IF($AS1357="","",Config!$B$27)</f>
        <v/>
      </c>
      <c r="F1357" t="str">
        <f>IF($AS1357="","",Config!$B$9)</f>
        <v/>
      </c>
      <c r="G1357" t="str">
        <f>IF($AS1357="","",Config!$B$10)</f>
        <v/>
      </c>
      <c r="H1357" t="str">
        <f>IF($AS1357="","",Config!$B$11)</f>
        <v/>
      </c>
      <c r="I1357" t="str">
        <f>IF($AS1357="","",Config!$B$16)</f>
        <v/>
      </c>
      <c r="J1357" t="str">
        <f>IF($AS1357="","",INDEX('TMP Paste'!$A$2:$A$1601,$AS1357))</f>
        <v/>
      </c>
      <c r="K1357" t="str">
        <f>IF($AS1357="","",INDEX('TMP Paste'!$L$2:$L$1601,$AS1357))</f>
        <v/>
      </c>
      <c r="L1357" t="str">
        <f>IF($AS1357="","",INDEX('TMP Paste'!$I$2:$I$1601,$AS1357))</f>
        <v/>
      </c>
      <c r="M1357" t="str">
        <f>IF($AS1357="","",Config!$B$16)</f>
        <v/>
      </c>
      <c r="N1357" t="str">
        <f t="shared" si="126"/>
        <v/>
      </c>
      <c r="O1357" t="str">
        <f>IF($AS1357="","",INDEX('TMP Paste'!$K$2:$K$1601,$AS1357))</f>
        <v/>
      </c>
      <c r="P1357" t="str">
        <f t="shared" si="127"/>
        <v/>
      </c>
      <c r="Q1357" t="str">
        <f>IF($AS1357="","",INDEX('TMP Paste'!$J$2:$J$1601,$AS1357))</f>
        <v/>
      </c>
      <c r="R1357" t="str">
        <f>IF($AS1357="","",Config!$B$24)</f>
        <v/>
      </c>
      <c r="S1357" t="str">
        <f ca="1">IF($AS1357="","",TEXT(Config!$B$4,"yyyy-mm-dd"))</f>
        <v/>
      </c>
      <c r="T1357" t="str">
        <f>IF($AS1357="","",Config!$B$17)</f>
        <v/>
      </c>
      <c r="U1357" t="str">
        <f>IF($AS1357="","",Config!$B$18)</f>
        <v/>
      </c>
      <c r="V1357" t="str">
        <f>IF($AS1357="","",Config!$B$19)</f>
        <v/>
      </c>
      <c r="W1357" t="str">
        <f>IF($AS1357="","",INDEX('TMP Paste'!$C$2:$C$1601,$AS1357))</f>
        <v/>
      </c>
      <c r="X1357" t="str">
        <f>IF($AS1357="","",Config!$B$29)</f>
        <v/>
      </c>
      <c r="Y1357" t="str">
        <f>IF($AT1357="","",INDEX(Calc!$I$2:$I$1601,$AT1357)&amp;" - "&amp;INDEX(Calc!$D$2:$D$1601,$AT1357)&amp;" koli")</f>
        <v/>
      </c>
      <c r="Z1357" t="str">
        <f>IF($AS1357="","",Config!$B$21)</f>
        <v/>
      </c>
      <c r="AA1357" t="str">
        <f>IF($AS1357="","",Config!$B$22)</f>
        <v/>
      </c>
      <c r="AB1357" t="str">
        <f>IF($AT1357="","",INDEX(Calc!$D$2:$D$1601,$AT1357))</f>
        <v/>
      </c>
      <c r="AC1357" t="str">
        <f>IF($AT1357="","",INDEX(Calc!$G$2:$G$1601,$AT1357))</f>
        <v/>
      </c>
      <c r="AD1357" t="str">
        <f>IF($AS1357="","",Config!$B$23)</f>
        <v/>
      </c>
      <c r="AE1357" t="str">
        <f>IF($AS1357="","",Config!$B$28)</f>
        <v/>
      </c>
      <c r="AF1357" t="str">
        <f t="shared" si="128"/>
        <v/>
      </c>
      <c r="AG1357" t="str">
        <f t="shared" si="129"/>
        <v/>
      </c>
      <c r="AH1357" t="str">
        <f t="shared" si="130"/>
        <v/>
      </c>
      <c r="AI1357" t="str">
        <f>IF($AG1357="","",SUMIF($AG$2:$AG1357,$AG1357,$AH$2:$AH1357))</f>
        <v/>
      </c>
      <c r="AJ1357" t="str">
        <f>IF('TMP Paste'!$F1357="","",IF('TMP Paste'!$B1357="",$AJ1356,'TMP Paste'!$B1357))</f>
        <v/>
      </c>
      <c r="AK1357" t="str">
        <f>IF('TMP Paste'!$F1357="","",N('TMP Paste'!$G1357))</f>
        <v/>
      </c>
      <c r="AL1357" t="str">
        <f>IF('TMP Paste'!$F1357="","",IF('TMP Paste'!$M1357="",$AL1356,'TMP Paste'!$M1357))</f>
        <v/>
      </c>
      <c r="AM1357" t="str">
        <f>IF('TMP Paste'!$F1357="","",IF('TMP Paste'!$N1357="",$AM1356,'TMP Paste'!$N1357))</f>
        <v/>
      </c>
      <c r="AN1357" t="str">
        <f>IF('TMP Paste'!$F1357="","",IF('TMP Paste'!$O1357="",$AN1356,'TMP Paste'!$O1357))</f>
        <v/>
      </c>
      <c r="AO1357" t="str">
        <f>IF('TMP Paste'!$F1357="","",IF('TMP Paste'!$P1357="",$AO1356,'TMP Paste'!$P1357))</f>
        <v/>
      </c>
      <c r="AP1357" t="str">
        <f t="shared" si="131"/>
        <v/>
      </c>
      <c r="AQ1357" t="str">
        <f>IF($AS1357="","",TRIM(IF(COUNTIFS(Calc!$B$2:$B$1601,ROW()-1,Calc!$C$2:$C$1601,"&lt;1")&gt;0,"Ada PO tanpa Koli - cek TMP. ","")&amp;IF(OR($AU1357="",$AU1357&lt;=0),"Volume kosong/0 - dimensi dikosongkan. ","")&amp;IF(AND($AU1357&lt;&gt;"",$AU1357&gt;=1000000),"Volume &gt;= 1.000.000 cm3 (di luar aturan) - dimensi dikosongkan. ","")&amp;IF(LEN($R1357)&gt;500,"R &gt; 500 karakter.","")))</f>
        <v/>
      </c>
      <c r="AS1357" t="str">
        <f>IFERROR(MATCH(ROW()-1,Calc!$J$2:$J$1601,0),"")</f>
        <v/>
      </c>
      <c r="AT1357" t="str">
        <f>IFERROR(MATCH(ROW()-1,Calc!$K$2:$K$1601,0),"")</f>
        <v/>
      </c>
      <c r="AU1357" t="str">
        <f>IF($AS1357="","",IFERROR(INDEX('TMP Paste'!$D$2:$D$1601,$AS1357)*1000000/$AB1357,""))</f>
        <v/>
      </c>
    </row>
    <row r="1358" spans="1:47">
      <c r="A1358" t="str">
        <f>IF($AS1358="","",INDEX('TMP Paste'!$B$2:$B$1601,$AS1358))</f>
        <v/>
      </c>
      <c r="B1358" t="str">
        <f>IF($AS1358="","",Config!$B$14)</f>
        <v/>
      </c>
      <c r="C1358" t="str">
        <f>IF($AS1358="","",Config!$B$15)</f>
        <v/>
      </c>
      <c r="D1358" t="str">
        <f>IF($AS1358="","",INDEX('TMP Paste'!$B$2:$B$1601,$AS1358))</f>
        <v/>
      </c>
      <c r="E1358" t="str">
        <f>IF($AS1358="","",Config!$B$27)</f>
        <v/>
      </c>
      <c r="F1358" t="str">
        <f>IF($AS1358="","",Config!$B$9)</f>
        <v/>
      </c>
      <c r="G1358" t="str">
        <f>IF($AS1358="","",Config!$B$10)</f>
        <v/>
      </c>
      <c r="H1358" t="str">
        <f>IF($AS1358="","",Config!$B$11)</f>
        <v/>
      </c>
      <c r="I1358" t="str">
        <f>IF($AS1358="","",Config!$B$16)</f>
        <v/>
      </c>
      <c r="J1358" t="str">
        <f>IF($AS1358="","",INDEX('TMP Paste'!$A$2:$A$1601,$AS1358))</f>
        <v/>
      </c>
      <c r="K1358" t="str">
        <f>IF($AS1358="","",INDEX('TMP Paste'!$L$2:$L$1601,$AS1358))</f>
        <v/>
      </c>
      <c r="L1358" t="str">
        <f>IF($AS1358="","",INDEX('TMP Paste'!$I$2:$I$1601,$AS1358))</f>
        <v/>
      </c>
      <c r="M1358" t="str">
        <f>IF($AS1358="","",Config!$B$16)</f>
        <v/>
      </c>
      <c r="N1358" t="str">
        <f t="shared" si="126"/>
        <v/>
      </c>
      <c r="O1358" t="str">
        <f>IF($AS1358="","",INDEX('TMP Paste'!$K$2:$K$1601,$AS1358))</f>
        <v/>
      </c>
      <c r="P1358" t="str">
        <f t="shared" si="127"/>
        <v/>
      </c>
      <c r="Q1358" t="str">
        <f>IF($AS1358="","",INDEX('TMP Paste'!$J$2:$J$1601,$AS1358))</f>
        <v/>
      </c>
      <c r="R1358" t="str">
        <f>IF($AS1358="","",Config!$B$24)</f>
        <v/>
      </c>
      <c r="S1358" t="str">
        <f ca="1">IF($AS1358="","",TEXT(Config!$B$4,"yyyy-mm-dd"))</f>
        <v/>
      </c>
      <c r="T1358" t="str">
        <f>IF($AS1358="","",Config!$B$17)</f>
        <v/>
      </c>
      <c r="U1358" t="str">
        <f>IF($AS1358="","",Config!$B$18)</f>
        <v/>
      </c>
      <c r="V1358" t="str">
        <f>IF($AS1358="","",Config!$B$19)</f>
        <v/>
      </c>
      <c r="W1358" t="str">
        <f>IF($AS1358="","",INDEX('TMP Paste'!$C$2:$C$1601,$AS1358))</f>
        <v/>
      </c>
      <c r="X1358" t="str">
        <f>IF($AS1358="","",Config!$B$29)</f>
        <v/>
      </c>
      <c r="Y1358" t="str">
        <f>IF($AT1358="","",INDEX(Calc!$I$2:$I$1601,$AT1358)&amp;" - "&amp;INDEX(Calc!$D$2:$D$1601,$AT1358)&amp;" koli")</f>
        <v/>
      </c>
      <c r="Z1358" t="str">
        <f>IF($AS1358="","",Config!$B$21)</f>
        <v/>
      </c>
      <c r="AA1358" t="str">
        <f>IF($AS1358="","",Config!$B$22)</f>
        <v/>
      </c>
      <c r="AB1358" t="str">
        <f>IF($AT1358="","",INDEX(Calc!$D$2:$D$1601,$AT1358))</f>
        <v/>
      </c>
      <c r="AC1358" t="str">
        <f>IF($AT1358="","",INDEX(Calc!$G$2:$G$1601,$AT1358))</f>
        <v/>
      </c>
      <c r="AD1358" t="str">
        <f>IF($AS1358="","",Config!$B$23)</f>
        <v/>
      </c>
      <c r="AE1358" t="str">
        <f>IF($AS1358="","",Config!$B$28)</f>
        <v/>
      </c>
      <c r="AF1358" t="str">
        <f t="shared" si="128"/>
        <v/>
      </c>
      <c r="AG1358" t="str">
        <f t="shared" si="129"/>
        <v/>
      </c>
      <c r="AH1358" t="str">
        <f t="shared" si="130"/>
        <v/>
      </c>
      <c r="AI1358" t="str">
        <f>IF($AG1358="","",SUMIF($AG$2:$AG1358,$AG1358,$AH$2:$AH1358))</f>
        <v/>
      </c>
      <c r="AJ1358" t="str">
        <f>IF('TMP Paste'!$F1358="","",IF('TMP Paste'!$B1358="",$AJ1357,'TMP Paste'!$B1358))</f>
        <v/>
      </c>
      <c r="AK1358" t="str">
        <f>IF('TMP Paste'!$F1358="","",N('TMP Paste'!$G1358))</f>
        <v/>
      </c>
      <c r="AL1358" t="str">
        <f>IF('TMP Paste'!$F1358="","",IF('TMP Paste'!$M1358="",$AL1357,'TMP Paste'!$M1358))</f>
        <v/>
      </c>
      <c r="AM1358" t="str">
        <f>IF('TMP Paste'!$F1358="","",IF('TMP Paste'!$N1358="",$AM1357,'TMP Paste'!$N1358))</f>
        <v/>
      </c>
      <c r="AN1358" t="str">
        <f>IF('TMP Paste'!$F1358="","",IF('TMP Paste'!$O1358="",$AN1357,'TMP Paste'!$O1358))</f>
        <v/>
      </c>
      <c r="AO1358" t="str">
        <f>IF('TMP Paste'!$F1358="","",IF('TMP Paste'!$P1358="",$AO1357,'TMP Paste'!$P1358))</f>
        <v/>
      </c>
      <c r="AP1358" t="str">
        <f t="shared" si="131"/>
        <v/>
      </c>
      <c r="AQ1358" t="str">
        <f>IF($AS1358="","",TRIM(IF(COUNTIFS(Calc!$B$2:$B$1601,ROW()-1,Calc!$C$2:$C$1601,"&lt;1")&gt;0,"Ada PO tanpa Koli - cek TMP. ","")&amp;IF(OR($AU1358="",$AU1358&lt;=0),"Volume kosong/0 - dimensi dikosongkan. ","")&amp;IF(AND($AU1358&lt;&gt;"",$AU1358&gt;=1000000),"Volume &gt;= 1.000.000 cm3 (di luar aturan) - dimensi dikosongkan. ","")&amp;IF(LEN($R1358)&gt;500,"R &gt; 500 karakter.","")))</f>
        <v/>
      </c>
      <c r="AS1358" t="str">
        <f>IFERROR(MATCH(ROW()-1,Calc!$J$2:$J$1601,0),"")</f>
        <v/>
      </c>
      <c r="AT1358" t="str">
        <f>IFERROR(MATCH(ROW()-1,Calc!$K$2:$K$1601,0),"")</f>
        <v/>
      </c>
      <c r="AU1358" t="str">
        <f>IF($AS1358="","",IFERROR(INDEX('TMP Paste'!$D$2:$D$1601,$AS1358)*1000000/$AB1358,""))</f>
        <v/>
      </c>
    </row>
    <row r="1359" spans="1:47">
      <c r="A1359" t="str">
        <f>IF($AS1359="","",INDEX('TMP Paste'!$B$2:$B$1601,$AS1359))</f>
        <v/>
      </c>
      <c r="B1359" t="str">
        <f>IF($AS1359="","",Config!$B$14)</f>
        <v/>
      </c>
      <c r="C1359" t="str">
        <f>IF($AS1359="","",Config!$B$15)</f>
        <v/>
      </c>
      <c r="D1359" t="str">
        <f>IF($AS1359="","",INDEX('TMP Paste'!$B$2:$B$1601,$AS1359))</f>
        <v/>
      </c>
      <c r="E1359" t="str">
        <f>IF($AS1359="","",Config!$B$27)</f>
        <v/>
      </c>
      <c r="F1359" t="str">
        <f>IF($AS1359="","",Config!$B$9)</f>
        <v/>
      </c>
      <c r="G1359" t="str">
        <f>IF($AS1359="","",Config!$B$10)</f>
        <v/>
      </c>
      <c r="H1359" t="str">
        <f>IF($AS1359="","",Config!$B$11)</f>
        <v/>
      </c>
      <c r="I1359" t="str">
        <f>IF($AS1359="","",Config!$B$16)</f>
        <v/>
      </c>
      <c r="J1359" t="str">
        <f>IF($AS1359="","",INDEX('TMP Paste'!$A$2:$A$1601,$AS1359))</f>
        <v/>
      </c>
      <c r="K1359" t="str">
        <f>IF($AS1359="","",INDEX('TMP Paste'!$L$2:$L$1601,$AS1359))</f>
        <v/>
      </c>
      <c r="L1359" t="str">
        <f>IF($AS1359="","",INDEX('TMP Paste'!$I$2:$I$1601,$AS1359))</f>
        <v/>
      </c>
      <c r="M1359" t="str">
        <f>IF($AS1359="","",Config!$B$16)</f>
        <v/>
      </c>
      <c r="N1359" t="str">
        <f t="shared" si="126"/>
        <v/>
      </c>
      <c r="O1359" t="str">
        <f>IF($AS1359="","",INDEX('TMP Paste'!$K$2:$K$1601,$AS1359))</f>
        <v/>
      </c>
      <c r="P1359" t="str">
        <f t="shared" si="127"/>
        <v/>
      </c>
      <c r="Q1359" t="str">
        <f>IF($AS1359="","",INDEX('TMP Paste'!$J$2:$J$1601,$AS1359))</f>
        <v/>
      </c>
      <c r="R1359" t="str">
        <f>IF($AS1359="","",Config!$B$24)</f>
        <v/>
      </c>
      <c r="S1359" t="str">
        <f ca="1">IF($AS1359="","",TEXT(Config!$B$4,"yyyy-mm-dd"))</f>
        <v/>
      </c>
      <c r="T1359" t="str">
        <f>IF($AS1359="","",Config!$B$17)</f>
        <v/>
      </c>
      <c r="U1359" t="str">
        <f>IF($AS1359="","",Config!$B$18)</f>
        <v/>
      </c>
      <c r="V1359" t="str">
        <f>IF($AS1359="","",Config!$B$19)</f>
        <v/>
      </c>
      <c r="W1359" t="str">
        <f>IF($AS1359="","",INDEX('TMP Paste'!$C$2:$C$1601,$AS1359))</f>
        <v/>
      </c>
      <c r="X1359" t="str">
        <f>IF($AS1359="","",Config!$B$29)</f>
        <v/>
      </c>
      <c r="Y1359" t="str">
        <f>IF($AT1359="","",INDEX(Calc!$I$2:$I$1601,$AT1359)&amp;" - "&amp;INDEX(Calc!$D$2:$D$1601,$AT1359)&amp;" koli")</f>
        <v/>
      </c>
      <c r="Z1359" t="str">
        <f>IF($AS1359="","",Config!$B$21)</f>
        <v/>
      </c>
      <c r="AA1359" t="str">
        <f>IF($AS1359="","",Config!$B$22)</f>
        <v/>
      </c>
      <c r="AB1359" t="str">
        <f>IF($AT1359="","",INDEX(Calc!$D$2:$D$1601,$AT1359))</f>
        <v/>
      </c>
      <c r="AC1359" t="str">
        <f>IF($AT1359="","",INDEX(Calc!$G$2:$G$1601,$AT1359))</f>
        <v/>
      </c>
      <c r="AD1359" t="str">
        <f>IF($AS1359="","",Config!$B$23)</f>
        <v/>
      </c>
      <c r="AE1359" t="str">
        <f>IF($AS1359="","",Config!$B$28)</f>
        <v/>
      </c>
      <c r="AF1359" t="str">
        <f t="shared" si="128"/>
        <v/>
      </c>
      <c r="AG1359" t="str">
        <f t="shared" si="129"/>
        <v/>
      </c>
      <c r="AH1359" t="str">
        <f t="shared" si="130"/>
        <v/>
      </c>
      <c r="AI1359" t="str">
        <f>IF($AG1359="","",SUMIF($AG$2:$AG1359,$AG1359,$AH$2:$AH1359))</f>
        <v/>
      </c>
      <c r="AJ1359" t="str">
        <f>IF('TMP Paste'!$F1359="","",IF('TMP Paste'!$B1359="",$AJ1358,'TMP Paste'!$B1359))</f>
        <v/>
      </c>
      <c r="AK1359" t="str">
        <f>IF('TMP Paste'!$F1359="","",N('TMP Paste'!$G1359))</f>
        <v/>
      </c>
      <c r="AL1359" t="str">
        <f>IF('TMP Paste'!$F1359="","",IF('TMP Paste'!$M1359="",$AL1358,'TMP Paste'!$M1359))</f>
        <v/>
      </c>
      <c r="AM1359" t="str">
        <f>IF('TMP Paste'!$F1359="","",IF('TMP Paste'!$N1359="",$AM1358,'TMP Paste'!$N1359))</f>
        <v/>
      </c>
      <c r="AN1359" t="str">
        <f>IF('TMP Paste'!$F1359="","",IF('TMP Paste'!$O1359="",$AN1358,'TMP Paste'!$O1359))</f>
        <v/>
      </c>
      <c r="AO1359" t="str">
        <f>IF('TMP Paste'!$F1359="","",IF('TMP Paste'!$P1359="",$AO1358,'TMP Paste'!$P1359))</f>
        <v/>
      </c>
      <c r="AP1359" t="str">
        <f t="shared" si="131"/>
        <v/>
      </c>
      <c r="AQ1359" t="str">
        <f>IF($AS1359="","",TRIM(IF(COUNTIFS(Calc!$B$2:$B$1601,ROW()-1,Calc!$C$2:$C$1601,"&lt;1")&gt;0,"Ada PO tanpa Koli - cek TMP. ","")&amp;IF(OR($AU1359="",$AU1359&lt;=0),"Volume kosong/0 - dimensi dikosongkan. ","")&amp;IF(AND($AU1359&lt;&gt;"",$AU1359&gt;=1000000),"Volume &gt;= 1.000.000 cm3 (di luar aturan) - dimensi dikosongkan. ","")&amp;IF(LEN($R1359)&gt;500,"R &gt; 500 karakter.","")))</f>
        <v/>
      </c>
      <c r="AS1359" t="str">
        <f>IFERROR(MATCH(ROW()-1,Calc!$J$2:$J$1601,0),"")</f>
        <v/>
      </c>
      <c r="AT1359" t="str">
        <f>IFERROR(MATCH(ROW()-1,Calc!$K$2:$K$1601,0),"")</f>
        <v/>
      </c>
      <c r="AU1359" t="str">
        <f>IF($AS1359="","",IFERROR(INDEX('TMP Paste'!$D$2:$D$1601,$AS1359)*1000000/$AB1359,""))</f>
        <v/>
      </c>
    </row>
    <row r="1360" spans="1:47">
      <c r="A1360" t="str">
        <f>IF($AS1360="","",INDEX('TMP Paste'!$B$2:$B$1601,$AS1360))</f>
        <v/>
      </c>
      <c r="B1360" t="str">
        <f>IF($AS1360="","",Config!$B$14)</f>
        <v/>
      </c>
      <c r="C1360" t="str">
        <f>IF($AS1360="","",Config!$B$15)</f>
        <v/>
      </c>
      <c r="D1360" t="str">
        <f>IF($AS1360="","",INDEX('TMP Paste'!$B$2:$B$1601,$AS1360))</f>
        <v/>
      </c>
      <c r="E1360" t="str">
        <f>IF($AS1360="","",Config!$B$27)</f>
        <v/>
      </c>
      <c r="F1360" t="str">
        <f>IF($AS1360="","",Config!$B$9)</f>
        <v/>
      </c>
      <c r="G1360" t="str">
        <f>IF($AS1360="","",Config!$B$10)</f>
        <v/>
      </c>
      <c r="H1360" t="str">
        <f>IF($AS1360="","",Config!$B$11)</f>
        <v/>
      </c>
      <c r="I1360" t="str">
        <f>IF($AS1360="","",Config!$B$16)</f>
        <v/>
      </c>
      <c r="J1360" t="str">
        <f>IF($AS1360="","",INDEX('TMP Paste'!$A$2:$A$1601,$AS1360))</f>
        <v/>
      </c>
      <c r="K1360" t="str">
        <f>IF($AS1360="","",INDEX('TMP Paste'!$L$2:$L$1601,$AS1360))</f>
        <v/>
      </c>
      <c r="L1360" t="str">
        <f>IF($AS1360="","",INDEX('TMP Paste'!$I$2:$I$1601,$AS1360))</f>
        <v/>
      </c>
      <c r="M1360" t="str">
        <f>IF($AS1360="","",Config!$B$16)</f>
        <v/>
      </c>
      <c r="N1360" t="str">
        <f t="shared" si="126"/>
        <v/>
      </c>
      <c r="O1360" t="str">
        <f>IF($AS1360="","",INDEX('TMP Paste'!$K$2:$K$1601,$AS1360))</f>
        <v/>
      </c>
      <c r="P1360" t="str">
        <f t="shared" si="127"/>
        <v/>
      </c>
      <c r="Q1360" t="str">
        <f>IF($AS1360="","",INDEX('TMP Paste'!$J$2:$J$1601,$AS1360))</f>
        <v/>
      </c>
      <c r="R1360" t="str">
        <f>IF($AS1360="","",Config!$B$24)</f>
        <v/>
      </c>
      <c r="S1360" t="str">
        <f ca="1">IF($AS1360="","",TEXT(Config!$B$4,"yyyy-mm-dd"))</f>
        <v/>
      </c>
      <c r="T1360" t="str">
        <f>IF($AS1360="","",Config!$B$17)</f>
        <v/>
      </c>
      <c r="U1360" t="str">
        <f>IF($AS1360="","",Config!$B$18)</f>
        <v/>
      </c>
      <c r="V1360" t="str">
        <f>IF($AS1360="","",Config!$B$19)</f>
        <v/>
      </c>
      <c r="W1360" t="str">
        <f>IF($AS1360="","",INDEX('TMP Paste'!$C$2:$C$1601,$AS1360))</f>
        <v/>
      </c>
      <c r="X1360" t="str">
        <f>IF($AS1360="","",Config!$B$29)</f>
        <v/>
      </c>
      <c r="Y1360" t="str">
        <f>IF($AT1360="","",INDEX(Calc!$I$2:$I$1601,$AT1360)&amp;" - "&amp;INDEX(Calc!$D$2:$D$1601,$AT1360)&amp;" koli")</f>
        <v/>
      </c>
      <c r="Z1360" t="str">
        <f>IF($AS1360="","",Config!$B$21)</f>
        <v/>
      </c>
      <c r="AA1360" t="str">
        <f>IF($AS1360="","",Config!$B$22)</f>
        <v/>
      </c>
      <c r="AB1360" t="str">
        <f>IF($AT1360="","",INDEX(Calc!$D$2:$D$1601,$AT1360))</f>
        <v/>
      </c>
      <c r="AC1360" t="str">
        <f>IF($AT1360="","",INDEX(Calc!$G$2:$G$1601,$AT1360))</f>
        <v/>
      </c>
      <c r="AD1360" t="str">
        <f>IF($AS1360="","",Config!$B$23)</f>
        <v/>
      </c>
      <c r="AE1360" t="str">
        <f>IF($AS1360="","",Config!$B$28)</f>
        <v/>
      </c>
      <c r="AF1360" t="str">
        <f t="shared" si="128"/>
        <v/>
      </c>
      <c r="AG1360" t="str">
        <f t="shared" si="129"/>
        <v/>
      </c>
      <c r="AH1360" t="str">
        <f t="shared" si="130"/>
        <v/>
      </c>
      <c r="AI1360" t="str">
        <f>IF($AG1360="","",SUMIF($AG$2:$AG1360,$AG1360,$AH$2:$AH1360))</f>
        <v/>
      </c>
      <c r="AJ1360" t="str">
        <f>IF('TMP Paste'!$F1360="","",IF('TMP Paste'!$B1360="",$AJ1359,'TMP Paste'!$B1360))</f>
        <v/>
      </c>
      <c r="AK1360" t="str">
        <f>IF('TMP Paste'!$F1360="","",N('TMP Paste'!$G1360))</f>
        <v/>
      </c>
      <c r="AL1360" t="str">
        <f>IF('TMP Paste'!$F1360="","",IF('TMP Paste'!$M1360="",$AL1359,'TMP Paste'!$M1360))</f>
        <v/>
      </c>
      <c r="AM1360" t="str">
        <f>IF('TMP Paste'!$F1360="","",IF('TMP Paste'!$N1360="",$AM1359,'TMP Paste'!$N1360))</f>
        <v/>
      </c>
      <c r="AN1360" t="str">
        <f>IF('TMP Paste'!$F1360="","",IF('TMP Paste'!$O1360="",$AN1359,'TMP Paste'!$O1360))</f>
        <v/>
      </c>
      <c r="AO1360" t="str">
        <f>IF('TMP Paste'!$F1360="","",IF('TMP Paste'!$P1360="",$AO1359,'TMP Paste'!$P1360))</f>
        <v/>
      </c>
      <c r="AP1360" t="str">
        <f t="shared" si="131"/>
        <v/>
      </c>
      <c r="AQ1360" t="str">
        <f>IF($AS1360="","",TRIM(IF(COUNTIFS(Calc!$B$2:$B$1601,ROW()-1,Calc!$C$2:$C$1601,"&lt;1")&gt;0,"Ada PO tanpa Koli - cek TMP. ","")&amp;IF(OR($AU1360="",$AU1360&lt;=0),"Volume kosong/0 - dimensi dikosongkan. ","")&amp;IF(AND($AU1360&lt;&gt;"",$AU1360&gt;=1000000),"Volume &gt;= 1.000.000 cm3 (di luar aturan) - dimensi dikosongkan. ","")&amp;IF(LEN($R1360)&gt;500,"R &gt; 500 karakter.","")))</f>
        <v/>
      </c>
      <c r="AS1360" t="str">
        <f>IFERROR(MATCH(ROW()-1,Calc!$J$2:$J$1601,0),"")</f>
        <v/>
      </c>
      <c r="AT1360" t="str">
        <f>IFERROR(MATCH(ROW()-1,Calc!$K$2:$K$1601,0),"")</f>
        <v/>
      </c>
      <c r="AU1360" t="str">
        <f>IF($AS1360="","",IFERROR(INDEX('TMP Paste'!$D$2:$D$1601,$AS1360)*1000000/$AB1360,""))</f>
        <v/>
      </c>
    </row>
    <row r="1361" spans="1:47">
      <c r="A1361" t="str">
        <f>IF($AS1361="","",INDEX('TMP Paste'!$B$2:$B$1601,$AS1361))</f>
        <v/>
      </c>
      <c r="B1361" t="str">
        <f>IF($AS1361="","",Config!$B$14)</f>
        <v/>
      </c>
      <c r="C1361" t="str">
        <f>IF($AS1361="","",Config!$B$15)</f>
        <v/>
      </c>
      <c r="D1361" t="str">
        <f>IF($AS1361="","",INDEX('TMP Paste'!$B$2:$B$1601,$AS1361))</f>
        <v/>
      </c>
      <c r="E1361" t="str">
        <f>IF($AS1361="","",Config!$B$27)</f>
        <v/>
      </c>
      <c r="F1361" t="str">
        <f>IF($AS1361="","",Config!$B$9)</f>
        <v/>
      </c>
      <c r="G1361" t="str">
        <f>IF($AS1361="","",Config!$B$10)</f>
        <v/>
      </c>
      <c r="H1361" t="str">
        <f>IF($AS1361="","",Config!$B$11)</f>
        <v/>
      </c>
      <c r="I1361" t="str">
        <f>IF($AS1361="","",Config!$B$16)</f>
        <v/>
      </c>
      <c r="J1361" t="str">
        <f>IF($AS1361="","",INDEX('TMP Paste'!$A$2:$A$1601,$AS1361))</f>
        <v/>
      </c>
      <c r="K1361" t="str">
        <f>IF($AS1361="","",INDEX('TMP Paste'!$L$2:$L$1601,$AS1361))</f>
        <v/>
      </c>
      <c r="L1361" t="str">
        <f>IF($AS1361="","",INDEX('TMP Paste'!$I$2:$I$1601,$AS1361))</f>
        <v/>
      </c>
      <c r="M1361" t="str">
        <f>IF($AS1361="","",Config!$B$16)</f>
        <v/>
      </c>
      <c r="N1361" t="str">
        <f t="shared" si="126"/>
        <v/>
      </c>
      <c r="O1361" t="str">
        <f>IF($AS1361="","",INDEX('TMP Paste'!$K$2:$K$1601,$AS1361))</f>
        <v/>
      </c>
      <c r="P1361" t="str">
        <f t="shared" si="127"/>
        <v/>
      </c>
      <c r="Q1361" t="str">
        <f>IF($AS1361="","",INDEX('TMP Paste'!$J$2:$J$1601,$AS1361))</f>
        <v/>
      </c>
      <c r="R1361" t="str">
        <f>IF($AS1361="","",Config!$B$24)</f>
        <v/>
      </c>
      <c r="S1361" t="str">
        <f ca="1">IF($AS1361="","",TEXT(Config!$B$4,"yyyy-mm-dd"))</f>
        <v/>
      </c>
      <c r="T1361" t="str">
        <f>IF($AS1361="","",Config!$B$17)</f>
        <v/>
      </c>
      <c r="U1361" t="str">
        <f>IF($AS1361="","",Config!$B$18)</f>
        <v/>
      </c>
      <c r="V1361" t="str">
        <f>IF($AS1361="","",Config!$B$19)</f>
        <v/>
      </c>
      <c r="W1361" t="str">
        <f>IF($AS1361="","",INDEX('TMP Paste'!$C$2:$C$1601,$AS1361))</f>
        <v/>
      </c>
      <c r="X1361" t="str">
        <f>IF($AS1361="","",Config!$B$29)</f>
        <v/>
      </c>
      <c r="Y1361" t="str">
        <f>IF($AT1361="","",INDEX(Calc!$I$2:$I$1601,$AT1361)&amp;" - "&amp;INDEX(Calc!$D$2:$D$1601,$AT1361)&amp;" koli")</f>
        <v/>
      </c>
      <c r="Z1361" t="str">
        <f>IF($AS1361="","",Config!$B$21)</f>
        <v/>
      </c>
      <c r="AA1361" t="str">
        <f>IF($AS1361="","",Config!$B$22)</f>
        <v/>
      </c>
      <c r="AB1361" t="str">
        <f>IF($AT1361="","",INDEX(Calc!$D$2:$D$1601,$AT1361))</f>
        <v/>
      </c>
      <c r="AC1361" t="str">
        <f>IF($AT1361="","",INDEX(Calc!$G$2:$G$1601,$AT1361))</f>
        <v/>
      </c>
      <c r="AD1361" t="str">
        <f>IF($AS1361="","",Config!$B$23)</f>
        <v/>
      </c>
      <c r="AE1361" t="str">
        <f>IF($AS1361="","",Config!$B$28)</f>
        <v/>
      </c>
      <c r="AF1361" t="str">
        <f t="shared" si="128"/>
        <v/>
      </c>
      <c r="AG1361" t="str">
        <f t="shared" si="129"/>
        <v/>
      </c>
      <c r="AH1361" t="str">
        <f t="shared" si="130"/>
        <v/>
      </c>
      <c r="AI1361" t="str">
        <f>IF($AG1361="","",SUMIF($AG$2:$AG1361,$AG1361,$AH$2:$AH1361))</f>
        <v/>
      </c>
      <c r="AJ1361" t="str">
        <f>IF('TMP Paste'!$F1361="","",IF('TMP Paste'!$B1361="",$AJ1360,'TMP Paste'!$B1361))</f>
        <v/>
      </c>
      <c r="AK1361" t="str">
        <f>IF('TMP Paste'!$F1361="","",N('TMP Paste'!$G1361))</f>
        <v/>
      </c>
      <c r="AL1361" t="str">
        <f>IF('TMP Paste'!$F1361="","",IF('TMP Paste'!$M1361="",$AL1360,'TMP Paste'!$M1361))</f>
        <v/>
      </c>
      <c r="AM1361" t="str">
        <f>IF('TMP Paste'!$F1361="","",IF('TMP Paste'!$N1361="",$AM1360,'TMP Paste'!$N1361))</f>
        <v/>
      </c>
      <c r="AN1361" t="str">
        <f>IF('TMP Paste'!$F1361="","",IF('TMP Paste'!$O1361="",$AN1360,'TMP Paste'!$O1361))</f>
        <v/>
      </c>
      <c r="AO1361" t="str">
        <f>IF('TMP Paste'!$F1361="","",IF('TMP Paste'!$P1361="",$AO1360,'TMP Paste'!$P1361))</f>
        <v/>
      </c>
      <c r="AP1361" t="str">
        <f t="shared" si="131"/>
        <v/>
      </c>
      <c r="AQ1361" t="str">
        <f>IF($AS1361="","",TRIM(IF(COUNTIFS(Calc!$B$2:$B$1601,ROW()-1,Calc!$C$2:$C$1601,"&lt;1")&gt;0,"Ada PO tanpa Koli - cek TMP. ","")&amp;IF(OR($AU1361="",$AU1361&lt;=0),"Volume kosong/0 - dimensi dikosongkan. ","")&amp;IF(AND($AU1361&lt;&gt;"",$AU1361&gt;=1000000),"Volume &gt;= 1.000.000 cm3 (di luar aturan) - dimensi dikosongkan. ","")&amp;IF(LEN($R1361)&gt;500,"R &gt; 500 karakter.","")))</f>
        <v/>
      </c>
      <c r="AS1361" t="str">
        <f>IFERROR(MATCH(ROW()-1,Calc!$J$2:$J$1601,0),"")</f>
        <v/>
      </c>
      <c r="AT1361" t="str">
        <f>IFERROR(MATCH(ROW()-1,Calc!$K$2:$K$1601,0),"")</f>
        <v/>
      </c>
      <c r="AU1361" t="str">
        <f>IF($AS1361="","",IFERROR(INDEX('TMP Paste'!$D$2:$D$1601,$AS1361)*1000000/$AB1361,""))</f>
        <v/>
      </c>
    </row>
    <row r="1362" spans="1:47">
      <c r="A1362" t="str">
        <f>IF($AS1362="","",INDEX('TMP Paste'!$B$2:$B$1601,$AS1362))</f>
        <v/>
      </c>
      <c r="B1362" t="str">
        <f>IF($AS1362="","",Config!$B$14)</f>
        <v/>
      </c>
      <c r="C1362" t="str">
        <f>IF($AS1362="","",Config!$B$15)</f>
        <v/>
      </c>
      <c r="D1362" t="str">
        <f>IF($AS1362="","",INDEX('TMP Paste'!$B$2:$B$1601,$AS1362))</f>
        <v/>
      </c>
      <c r="E1362" t="str">
        <f>IF($AS1362="","",Config!$B$27)</f>
        <v/>
      </c>
      <c r="F1362" t="str">
        <f>IF($AS1362="","",Config!$B$9)</f>
        <v/>
      </c>
      <c r="G1362" t="str">
        <f>IF($AS1362="","",Config!$B$10)</f>
        <v/>
      </c>
      <c r="H1362" t="str">
        <f>IF($AS1362="","",Config!$B$11)</f>
        <v/>
      </c>
      <c r="I1362" t="str">
        <f>IF($AS1362="","",Config!$B$16)</f>
        <v/>
      </c>
      <c r="J1362" t="str">
        <f>IF($AS1362="","",INDEX('TMP Paste'!$A$2:$A$1601,$AS1362))</f>
        <v/>
      </c>
      <c r="K1362" t="str">
        <f>IF($AS1362="","",INDEX('TMP Paste'!$L$2:$L$1601,$AS1362))</f>
        <v/>
      </c>
      <c r="L1362" t="str">
        <f>IF($AS1362="","",INDEX('TMP Paste'!$I$2:$I$1601,$AS1362))</f>
        <v/>
      </c>
      <c r="M1362" t="str">
        <f>IF($AS1362="","",Config!$B$16)</f>
        <v/>
      </c>
      <c r="N1362" t="str">
        <f t="shared" si="126"/>
        <v/>
      </c>
      <c r="O1362" t="str">
        <f>IF($AS1362="","",INDEX('TMP Paste'!$K$2:$K$1601,$AS1362))</f>
        <v/>
      </c>
      <c r="P1362" t="str">
        <f t="shared" si="127"/>
        <v/>
      </c>
      <c r="Q1362" t="str">
        <f>IF($AS1362="","",INDEX('TMP Paste'!$J$2:$J$1601,$AS1362))</f>
        <v/>
      </c>
      <c r="R1362" t="str">
        <f>IF($AS1362="","",Config!$B$24)</f>
        <v/>
      </c>
      <c r="S1362" t="str">
        <f ca="1">IF($AS1362="","",TEXT(Config!$B$4,"yyyy-mm-dd"))</f>
        <v/>
      </c>
      <c r="T1362" t="str">
        <f>IF($AS1362="","",Config!$B$17)</f>
        <v/>
      </c>
      <c r="U1362" t="str">
        <f>IF($AS1362="","",Config!$B$18)</f>
        <v/>
      </c>
      <c r="V1362" t="str">
        <f>IF($AS1362="","",Config!$B$19)</f>
        <v/>
      </c>
      <c r="W1362" t="str">
        <f>IF($AS1362="","",INDEX('TMP Paste'!$C$2:$C$1601,$AS1362))</f>
        <v/>
      </c>
      <c r="X1362" t="str">
        <f>IF($AS1362="","",Config!$B$29)</f>
        <v/>
      </c>
      <c r="Y1362" t="str">
        <f>IF($AT1362="","",INDEX(Calc!$I$2:$I$1601,$AT1362)&amp;" - "&amp;INDEX(Calc!$D$2:$D$1601,$AT1362)&amp;" koli")</f>
        <v/>
      </c>
      <c r="Z1362" t="str">
        <f>IF($AS1362="","",Config!$B$21)</f>
        <v/>
      </c>
      <c r="AA1362" t="str">
        <f>IF($AS1362="","",Config!$B$22)</f>
        <v/>
      </c>
      <c r="AB1362" t="str">
        <f>IF($AT1362="","",INDEX(Calc!$D$2:$D$1601,$AT1362))</f>
        <v/>
      </c>
      <c r="AC1362" t="str">
        <f>IF($AT1362="","",INDEX(Calc!$G$2:$G$1601,$AT1362))</f>
        <v/>
      </c>
      <c r="AD1362" t="str">
        <f>IF($AS1362="","",Config!$B$23)</f>
        <v/>
      </c>
      <c r="AE1362" t="str">
        <f>IF($AS1362="","",Config!$B$28)</f>
        <v/>
      </c>
      <c r="AF1362" t="str">
        <f t="shared" si="128"/>
        <v/>
      </c>
      <c r="AG1362" t="str">
        <f t="shared" si="129"/>
        <v/>
      </c>
      <c r="AH1362" t="str">
        <f t="shared" si="130"/>
        <v/>
      </c>
      <c r="AI1362" t="str">
        <f>IF($AG1362="","",SUMIF($AG$2:$AG1362,$AG1362,$AH$2:$AH1362))</f>
        <v/>
      </c>
      <c r="AJ1362" t="str">
        <f>IF('TMP Paste'!$F1362="","",IF('TMP Paste'!$B1362="",$AJ1361,'TMP Paste'!$B1362))</f>
        <v/>
      </c>
      <c r="AK1362" t="str">
        <f>IF('TMP Paste'!$F1362="","",N('TMP Paste'!$G1362))</f>
        <v/>
      </c>
      <c r="AL1362" t="str">
        <f>IF('TMP Paste'!$F1362="","",IF('TMP Paste'!$M1362="",$AL1361,'TMP Paste'!$M1362))</f>
        <v/>
      </c>
      <c r="AM1362" t="str">
        <f>IF('TMP Paste'!$F1362="","",IF('TMP Paste'!$N1362="",$AM1361,'TMP Paste'!$N1362))</f>
        <v/>
      </c>
      <c r="AN1362" t="str">
        <f>IF('TMP Paste'!$F1362="","",IF('TMP Paste'!$O1362="",$AN1361,'TMP Paste'!$O1362))</f>
        <v/>
      </c>
      <c r="AO1362" t="str">
        <f>IF('TMP Paste'!$F1362="","",IF('TMP Paste'!$P1362="",$AO1361,'TMP Paste'!$P1362))</f>
        <v/>
      </c>
      <c r="AP1362" t="str">
        <f t="shared" si="131"/>
        <v/>
      </c>
      <c r="AQ1362" t="str">
        <f>IF($AS1362="","",TRIM(IF(COUNTIFS(Calc!$B$2:$B$1601,ROW()-1,Calc!$C$2:$C$1601,"&lt;1")&gt;0,"Ada PO tanpa Koli - cek TMP. ","")&amp;IF(OR($AU1362="",$AU1362&lt;=0),"Volume kosong/0 - dimensi dikosongkan. ","")&amp;IF(AND($AU1362&lt;&gt;"",$AU1362&gt;=1000000),"Volume &gt;= 1.000.000 cm3 (di luar aturan) - dimensi dikosongkan. ","")&amp;IF(LEN($R1362)&gt;500,"R &gt; 500 karakter.","")))</f>
        <v/>
      </c>
      <c r="AS1362" t="str">
        <f>IFERROR(MATCH(ROW()-1,Calc!$J$2:$J$1601,0),"")</f>
        <v/>
      </c>
      <c r="AT1362" t="str">
        <f>IFERROR(MATCH(ROW()-1,Calc!$K$2:$K$1601,0),"")</f>
        <v/>
      </c>
      <c r="AU1362" t="str">
        <f>IF($AS1362="","",IFERROR(INDEX('TMP Paste'!$D$2:$D$1601,$AS1362)*1000000/$AB1362,""))</f>
        <v/>
      </c>
    </row>
    <row r="1363" spans="1:47">
      <c r="A1363" t="str">
        <f>IF($AS1363="","",INDEX('TMP Paste'!$B$2:$B$1601,$AS1363))</f>
        <v/>
      </c>
      <c r="B1363" t="str">
        <f>IF($AS1363="","",Config!$B$14)</f>
        <v/>
      </c>
      <c r="C1363" t="str">
        <f>IF($AS1363="","",Config!$B$15)</f>
        <v/>
      </c>
      <c r="D1363" t="str">
        <f>IF($AS1363="","",INDEX('TMP Paste'!$B$2:$B$1601,$AS1363))</f>
        <v/>
      </c>
      <c r="E1363" t="str">
        <f>IF($AS1363="","",Config!$B$27)</f>
        <v/>
      </c>
      <c r="F1363" t="str">
        <f>IF($AS1363="","",Config!$B$9)</f>
        <v/>
      </c>
      <c r="G1363" t="str">
        <f>IF($AS1363="","",Config!$B$10)</f>
        <v/>
      </c>
      <c r="H1363" t="str">
        <f>IF($AS1363="","",Config!$B$11)</f>
        <v/>
      </c>
      <c r="I1363" t="str">
        <f>IF($AS1363="","",Config!$B$16)</f>
        <v/>
      </c>
      <c r="J1363" t="str">
        <f>IF($AS1363="","",INDEX('TMP Paste'!$A$2:$A$1601,$AS1363))</f>
        <v/>
      </c>
      <c r="K1363" t="str">
        <f>IF($AS1363="","",INDEX('TMP Paste'!$L$2:$L$1601,$AS1363))</f>
        <v/>
      </c>
      <c r="L1363" t="str">
        <f>IF($AS1363="","",INDEX('TMP Paste'!$I$2:$I$1601,$AS1363))</f>
        <v/>
      </c>
      <c r="M1363" t="str">
        <f>IF($AS1363="","",Config!$B$16)</f>
        <v/>
      </c>
      <c r="N1363" t="str">
        <f t="shared" si="126"/>
        <v/>
      </c>
      <c r="O1363" t="str">
        <f>IF($AS1363="","",INDEX('TMP Paste'!$K$2:$K$1601,$AS1363))</f>
        <v/>
      </c>
      <c r="P1363" t="str">
        <f t="shared" si="127"/>
        <v/>
      </c>
      <c r="Q1363" t="str">
        <f>IF($AS1363="","",INDEX('TMP Paste'!$J$2:$J$1601,$AS1363))</f>
        <v/>
      </c>
      <c r="R1363" t="str">
        <f>IF($AS1363="","",Config!$B$24)</f>
        <v/>
      </c>
      <c r="S1363" t="str">
        <f ca="1">IF($AS1363="","",TEXT(Config!$B$4,"yyyy-mm-dd"))</f>
        <v/>
      </c>
      <c r="T1363" t="str">
        <f>IF($AS1363="","",Config!$B$17)</f>
        <v/>
      </c>
      <c r="U1363" t="str">
        <f>IF($AS1363="","",Config!$B$18)</f>
        <v/>
      </c>
      <c r="V1363" t="str">
        <f>IF($AS1363="","",Config!$B$19)</f>
        <v/>
      </c>
      <c r="W1363" t="str">
        <f>IF($AS1363="","",INDEX('TMP Paste'!$C$2:$C$1601,$AS1363))</f>
        <v/>
      </c>
      <c r="X1363" t="str">
        <f>IF($AS1363="","",Config!$B$29)</f>
        <v/>
      </c>
      <c r="Y1363" t="str">
        <f>IF($AT1363="","",INDEX(Calc!$I$2:$I$1601,$AT1363)&amp;" - "&amp;INDEX(Calc!$D$2:$D$1601,$AT1363)&amp;" koli")</f>
        <v/>
      </c>
      <c r="Z1363" t="str">
        <f>IF($AS1363="","",Config!$B$21)</f>
        <v/>
      </c>
      <c r="AA1363" t="str">
        <f>IF($AS1363="","",Config!$B$22)</f>
        <v/>
      </c>
      <c r="AB1363" t="str">
        <f>IF($AT1363="","",INDEX(Calc!$D$2:$D$1601,$AT1363))</f>
        <v/>
      </c>
      <c r="AC1363" t="str">
        <f>IF($AT1363="","",INDEX(Calc!$G$2:$G$1601,$AT1363))</f>
        <v/>
      </c>
      <c r="AD1363" t="str">
        <f>IF($AS1363="","",Config!$B$23)</f>
        <v/>
      </c>
      <c r="AE1363" t="str">
        <f>IF($AS1363="","",Config!$B$28)</f>
        <v/>
      </c>
      <c r="AF1363" t="str">
        <f t="shared" si="128"/>
        <v/>
      </c>
      <c r="AG1363" t="str">
        <f t="shared" si="129"/>
        <v/>
      </c>
      <c r="AH1363" t="str">
        <f t="shared" si="130"/>
        <v/>
      </c>
      <c r="AI1363" t="str">
        <f>IF($AG1363="","",SUMIF($AG$2:$AG1363,$AG1363,$AH$2:$AH1363))</f>
        <v/>
      </c>
      <c r="AJ1363" t="str">
        <f>IF('TMP Paste'!$F1363="","",IF('TMP Paste'!$B1363="",$AJ1362,'TMP Paste'!$B1363))</f>
        <v/>
      </c>
      <c r="AK1363" t="str">
        <f>IF('TMP Paste'!$F1363="","",N('TMP Paste'!$G1363))</f>
        <v/>
      </c>
      <c r="AL1363" t="str">
        <f>IF('TMP Paste'!$F1363="","",IF('TMP Paste'!$M1363="",$AL1362,'TMP Paste'!$M1363))</f>
        <v/>
      </c>
      <c r="AM1363" t="str">
        <f>IF('TMP Paste'!$F1363="","",IF('TMP Paste'!$N1363="",$AM1362,'TMP Paste'!$N1363))</f>
        <v/>
      </c>
      <c r="AN1363" t="str">
        <f>IF('TMP Paste'!$F1363="","",IF('TMP Paste'!$O1363="",$AN1362,'TMP Paste'!$O1363))</f>
        <v/>
      </c>
      <c r="AO1363" t="str">
        <f>IF('TMP Paste'!$F1363="","",IF('TMP Paste'!$P1363="",$AO1362,'TMP Paste'!$P1363))</f>
        <v/>
      </c>
      <c r="AP1363" t="str">
        <f t="shared" si="131"/>
        <v/>
      </c>
      <c r="AQ1363" t="str">
        <f>IF($AS1363="","",TRIM(IF(COUNTIFS(Calc!$B$2:$B$1601,ROW()-1,Calc!$C$2:$C$1601,"&lt;1")&gt;0,"Ada PO tanpa Koli - cek TMP. ","")&amp;IF(OR($AU1363="",$AU1363&lt;=0),"Volume kosong/0 - dimensi dikosongkan. ","")&amp;IF(AND($AU1363&lt;&gt;"",$AU1363&gt;=1000000),"Volume &gt;= 1.000.000 cm3 (di luar aturan) - dimensi dikosongkan. ","")&amp;IF(LEN($R1363)&gt;500,"R &gt; 500 karakter.","")))</f>
        <v/>
      </c>
      <c r="AS1363" t="str">
        <f>IFERROR(MATCH(ROW()-1,Calc!$J$2:$J$1601,0),"")</f>
        <v/>
      </c>
      <c r="AT1363" t="str">
        <f>IFERROR(MATCH(ROW()-1,Calc!$K$2:$K$1601,0),"")</f>
        <v/>
      </c>
      <c r="AU1363" t="str">
        <f>IF($AS1363="","",IFERROR(INDEX('TMP Paste'!$D$2:$D$1601,$AS1363)*1000000/$AB1363,""))</f>
        <v/>
      </c>
    </row>
    <row r="1364" spans="1:47">
      <c r="A1364" t="str">
        <f>IF($AS1364="","",INDEX('TMP Paste'!$B$2:$B$1601,$AS1364))</f>
        <v/>
      </c>
      <c r="B1364" t="str">
        <f>IF($AS1364="","",Config!$B$14)</f>
        <v/>
      </c>
      <c r="C1364" t="str">
        <f>IF($AS1364="","",Config!$B$15)</f>
        <v/>
      </c>
      <c r="D1364" t="str">
        <f>IF($AS1364="","",INDEX('TMP Paste'!$B$2:$B$1601,$AS1364))</f>
        <v/>
      </c>
      <c r="E1364" t="str">
        <f>IF($AS1364="","",Config!$B$27)</f>
        <v/>
      </c>
      <c r="F1364" t="str">
        <f>IF($AS1364="","",Config!$B$9)</f>
        <v/>
      </c>
      <c r="G1364" t="str">
        <f>IF($AS1364="","",Config!$B$10)</f>
        <v/>
      </c>
      <c r="H1364" t="str">
        <f>IF($AS1364="","",Config!$B$11)</f>
        <v/>
      </c>
      <c r="I1364" t="str">
        <f>IF($AS1364="","",Config!$B$16)</f>
        <v/>
      </c>
      <c r="J1364" t="str">
        <f>IF($AS1364="","",INDEX('TMP Paste'!$A$2:$A$1601,$AS1364))</f>
        <v/>
      </c>
      <c r="K1364" t="str">
        <f>IF($AS1364="","",INDEX('TMP Paste'!$L$2:$L$1601,$AS1364))</f>
        <v/>
      </c>
      <c r="L1364" t="str">
        <f>IF($AS1364="","",INDEX('TMP Paste'!$I$2:$I$1601,$AS1364))</f>
        <v/>
      </c>
      <c r="M1364" t="str">
        <f>IF($AS1364="","",Config!$B$16)</f>
        <v/>
      </c>
      <c r="N1364" t="str">
        <f t="shared" si="126"/>
        <v/>
      </c>
      <c r="O1364" t="str">
        <f>IF($AS1364="","",INDEX('TMP Paste'!$K$2:$K$1601,$AS1364))</f>
        <v/>
      </c>
      <c r="P1364" t="str">
        <f t="shared" si="127"/>
        <v/>
      </c>
      <c r="Q1364" t="str">
        <f>IF($AS1364="","",INDEX('TMP Paste'!$J$2:$J$1601,$AS1364))</f>
        <v/>
      </c>
      <c r="R1364" t="str">
        <f>IF($AS1364="","",Config!$B$24)</f>
        <v/>
      </c>
      <c r="S1364" t="str">
        <f ca="1">IF($AS1364="","",TEXT(Config!$B$4,"yyyy-mm-dd"))</f>
        <v/>
      </c>
      <c r="T1364" t="str">
        <f>IF($AS1364="","",Config!$B$17)</f>
        <v/>
      </c>
      <c r="U1364" t="str">
        <f>IF($AS1364="","",Config!$B$18)</f>
        <v/>
      </c>
      <c r="V1364" t="str">
        <f>IF($AS1364="","",Config!$B$19)</f>
        <v/>
      </c>
      <c r="W1364" t="str">
        <f>IF($AS1364="","",INDEX('TMP Paste'!$C$2:$C$1601,$AS1364))</f>
        <v/>
      </c>
      <c r="X1364" t="str">
        <f>IF($AS1364="","",Config!$B$29)</f>
        <v/>
      </c>
      <c r="Y1364" t="str">
        <f>IF($AT1364="","",INDEX(Calc!$I$2:$I$1601,$AT1364)&amp;" - "&amp;INDEX(Calc!$D$2:$D$1601,$AT1364)&amp;" koli")</f>
        <v/>
      </c>
      <c r="Z1364" t="str">
        <f>IF($AS1364="","",Config!$B$21)</f>
        <v/>
      </c>
      <c r="AA1364" t="str">
        <f>IF($AS1364="","",Config!$B$22)</f>
        <v/>
      </c>
      <c r="AB1364" t="str">
        <f>IF($AT1364="","",INDEX(Calc!$D$2:$D$1601,$AT1364))</f>
        <v/>
      </c>
      <c r="AC1364" t="str">
        <f>IF($AT1364="","",INDEX(Calc!$G$2:$G$1601,$AT1364))</f>
        <v/>
      </c>
      <c r="AD1364" t="str">
        <f>IF($AS1364="","",Config!$B$23)</f>
        <v/>
      </c>
      <c r="AE1364" t="str">
        <f>IF($AS1364="","",Config!$B$28)</f>
        <v/>
      </c>
      <c r="AF1364" t="str">
        <f t="shared" si="128"/>
        <v/>
      </c>
      <c r="AG1364" t="str">
        <f t="shared" si="129"/>
        <v/>
      </c>
      <c r="AH1364" t="str">
        <f t="shared" si="130"/>
        <v/>
      </c>
      <c r="AI1364" t="str">
        <f>IF($AG1364="","",SUMIF($AG$2:$AG1364,$AG1364,$AH$2:$AH1364))</f>
        <v/>
      </c>
      <c r="AJ1364" t="str">
        <f>IF('TMP Paste'!$F1364="","",IF('TMP Paste'!$B1364="",$AJ1363,'TMP Paste'!$B1364))</f>
        <v/>
      </c>
      <c r="AK1364" t="str">
        <f>IF('TMP Paste'!$F1364="","",N('TMP Paste'!$G1364))</f>
        <v/>
      </c>
      <c r="AL1364" t="str">
        <f>IF('TMP Paste'!$F1364="","",IF('TMP Paste'!$M1364="",$AL1363,'TMP Paste'!$M1364))</f>
        <v/>
      </c>
      <c r="AM1364" t="str">
        <f>IF('TMP Paste'!$F1364="","",IF('TMP Paste'!$N1364="",$AM1363,'TMP Paste'!$N1364))</f>
        <v/>
      </c>
      <c r="AN1364" t="str">
        <f>IF('TMP Paste'!$F1364="","",IF('TMP Paste'!$O1364="",$AN1363,'TMP Paste'!$O1364))</f>
        <v/>
      </c>
      <c r="AO1364" t="str">
        <f>IF('TMP Paste'!$F1364="","",IF('TMP Paste'!$P1364="",$AO1363,'TMP Paste'!$P1364))</f>
        <v/>
      </c>
      <c r="AP1364" t="str">
        <f t="shared" si="131"/>
        <v/>
      </c>
      <c r="AQ1364" t="str">
        <f>IF($AS1364="","",TRIM(IF(COUNTIFS(Calc!$B$2:$B$1601,ROW()-1,Calc!$C$2:$C$1601,"&lt;1")&gt;0,"Ada PO tanpa Koli - cek TMP. ","")&amp;IF(OR($AU1364="",$AU1364&lt;=0),"Volume kosong/0 - dimensi dikosongkan. ","")&amp;IF(AND($AU1364&lt;&gt;"",$AU1364&gt;=1000000),"Volume &gt;= 1.000.000 cm3 (di luar aturan) - dimensi dikosongkan. ","")&amp;IF(LEN($R1364)&gt;500,"R &gt; 500 karakter.","")))</f>
        <v/>
      </c>
      <c r="AS1364" t="str">
        <f>IFERROR(MATCH(ROW()-1,Calc!$J$2:$J$1601,0),"")</f>
        <v/>
      </c>
      <c r="AT1364" t="str">
        <f>IFERROR(MATCH(ROW()-1,Calc!$K$2:$K$1601,0),"")</f>
        <v/>
      </c>
      <c r="AU1364" t="str">
        <f>IF($AS1364="","",IFERROR(INDEX('TMP Paste'!$D$2:$D$1601,$AS1364)*1000000/$AB1364,""))</f>
        <v/>
      </c>
    </row>
    <row r="1365" spans="1:47">
      <c r="A1365" t="str">
        <f>IF($AS1365="","",INDEX('TMP Paste'!$B$2:$B$1601,$AS1365))</f>
        <v/>
      </c>
      <c r="B1365" t="str">
        <f>IF($AS1365="","",Config!$B$14)</f>
        <v/>
      </c>
      <c r="C1365" t="str">
        <f>IF($AS1365="","",Config!$B$15)</f>
        <v/>
      </c>
      <c r="D1365" t="str">
        <f>IF($AS1365="","",INDEX('TMP Paste'!$B$2:$B$1601,$AS1365))</f>
        <v/>
      </c>
      <c r="E1365" t="str">
        <f>IF($AS1365="","",Config!$B$27)</f>
        <v/>
      </c>
      <c r="F1365" t="str">
        <f>IF($AS1365="","",Config!$B$9)</f>
        <v/>
      </c>
      <c r="G1365" t="str">
        <f>IF($AS1365="","",Config!$B$10)</f>
        <v/>
      </c>
      <c r="H1365" t="str">
        <f>IF($AS1365="","",Config!$B$11)</f>
        <v/>
      </c>
      <c r="I1365" t="str">
        <f>IF($AS1365="","",Config!$B$16)</f>
        <v/>
      </c>
      <c r="J1365" t="str">
        <f>IF($AS1365="","",INDEX('TMP Paste'!$A$2:$A$1601,$AS1365))</f>
        <v/>
      </c>
      <c r="K1365" t="str">
        <f>IF($AS1365="","",INDEX('TMP Paste'!$L$2:$L$1601,$AS1365))</f>
        <v/>
      </c>
      <c r="L1365" t="str">
        <f>IF($AS1365="","",INDEX('TMP Paste'!$I$2:$I$1601,$AS1365))</f>
        <v/>
      </c>
      <c r="M1365" t="str">
        <f>IF($AS1365="","",Config!$B$16)</f>
        <v/>
      </c>
      <c r="N1365" t="str">
        <f t="shared" si="126"/>
        <v/>
      </c>
      <c r="O1365" t="str">
        <f>IF($AS1365="","",INDEX('TMP Paste'!$K$2:$K$1601,$AS1365))</f>
        <v/>
      </c>
      <c r="P1365" t="str">
        <f t="shared" si="127"/>
        <v/>
      </c>
      <c r="Q1365" t="str">
        <f>IF($AS1365="","",INDEX('TMP Paste'!$J$2:$J$1601,$AS1365))</f>
        <v/>
      </c>
      <c r="R1365" t="str">
        <f>IF($AS1365="","",Config!$B$24)</f>
        <v/>
      </c>
      <c r="S1365" t="str">
        <f ca="1">IF($AS1365="","",TEXT(Config!$B$4,"yyyy-mm-dd"))</f>
        <v/>
      </c>
      <c r="T1365" t="str">
        <f>IF($AS1365="","",Config!$B$17)</f>
        <v/>
      </c>
      <c r="U1365" t="str">
        <f>IF($AS1365="","",Config!$B$18)</f>
        <v/>
      </c>
      <c r="V1365" t="str">
        <f>IF($AS1365="","",Config!$B$19)</f>
        <v/>
      </c>
      <c r="W1365" t="str">
        <f>IF($AS1365="","",INDEX('TMP Paste'!$C$2:$C$1601,$AS1365))</f>
        <v/>
      </c>
      <c r="X1365" t="str">
        <f>IF($AS1365="","",Config!$B$29)</f>
        <v/>
      </c>
      <c r="Y1365" t="str">
        <f>IF($AT1365="","",INDEX(Calc!$I$2:$I$1601,$AT1365)&amp;" - "&amp;INDEX(Calc!$D$2:$D$1601,$AT1365)&amp;" koli")</f>
        <v/>
      </c>
      <c r="Z1365" t="str">
        <f>IF($AS1365="","",Config!$B$21)</f>
        <v/>
      </c>
      <c r="AA1365" t="str">
        <f>IF($AS1365="","",Config!$B$22)</f>
        <v/>
      </c>
      <c r="AB1365" t="str">
        <f>IF($AT1365="","",INDEX(Calc!$D$2:$D$1601,$AT1365))</f>
        <v/>
      </c>
      <c r="AC1365" t="str">
        <f>IF($AT1365="","",INDEX(Calc!$G$2:$G$1601,$AT1365))</f>
        <v/>
      </c>
      <c r="AD1365" t="str">
        <f>IF($AS1365="","",Config!$B$23)</f>
        <v/>
      </c>
      <c r="AE1365" t="str">
        <f>IF($AS1365="","",Config!$B$28)</f>
        <v/>
      </c>
      <c r="AF1365" t="str">
        <f t="shared" si="128"/>
        <v/>
      </c>
      <c r="AG1365" t="str">
        <f t="shared" si="129"/>
        <v/>
      </c>
      <c r="AH1365" t="str">
        <f t="shared" si="130"/>
        <v/>
      </c>
      <c r="AI1365" t="str">
        <f>IF($AG1365="","",SUMIF($AG$2:$AG1365,$AG1365,$AH$2:$AH1365))</f>
        <v/>
      </c>
      <c r="AJ1365" t="str">
        <f>IF('TMP Paste'!$F1365="","",IF('TMP Paste'!$B1365="",$AJ1364,'TMP Paste'!$B1365))</f>
        <v/>
      </c>
      <c r="AK1365" t="str">
        <f>IF('TMP Paste'!$F1365="","",N('TMP Paste'!$G1365))</f>
        <v/>
      </c>
      <c r="AL1365" t="str">
        <f>IF('TMP Paste'!$F1365="","",IF('TMP Paste'!$M1365="",$AL1364,'TMP Paste'!$M1365))</f>
        <v/>
      </c>
      <c r="AM1365" t="str">
        <f>IF('TMP Paste'!$F1365="","",IF('TMP Paste'!$N1365="",$AM1364,'TMP Paste'!$N1365))</f>
        <v/>
      </c>
      <c r="AN1365" t="str">
        <f>IF('TMP Paste'!$F1365="","",IF('TMP Paste'!$O1365="",$AN1364,'TMP Paste'!$O1365))</f>
        <v/>
      </c>
      <c r="AO1365" t="str">
        <f>IF('TMP Paste'!$F1365="","",IF('TMP Paste'!$P1365="",$AO1364,'TMP Paste'!$P1365))</f>
        <v/>
      </c>
      <c r="AP1365" t="str">
        <f t="shared" si="131"/>
        <v/>
      </c>
      <c r="AQ1365" t="str">
        <f>IF($AS1365="","",TRIM(IF(COUNTIFS(Calc!$B$2:$B$1601,ROW()-1,Calc!$C$2:$C$1601,"&lt;1")&gt;0,"Ada PO tanpa Koli - cek TMP. ","")&amp;IF(OR($AU1365="",$AU1365&lt;=0),"Volume kosong/0 - dimensi dikosongkan. ","")&amp;IF(AND($AU1365&lt;&gt;"",$AU1365&gt;=1000000),"Volume &gt;= 1.000.000 cm3 (di luar aturan) - dimensi dikosongkan. ","")&amp;IF(LEN($R1365)&gt;500,"R &gt; 500 karakter.","")))</f>
        <v/>
      </c>
      <c r="AS1365" t="str">
        <f>IFERROR(MATCH(ROW()-1,Calc!$J$2:$J$1601,0),"")</f>
        <v/>
      </c>
      <c r="AT1365" t="str">
        <f>IFERROR(MATCH(ROW()-1,Calc!$K$2:$K$1601,0),"")</f>
        <v/>
      </c>
      <c r="AU1365" t="str">
        <f>IF($AS1365="","",IFERROR(INDEX('TMP Paste'!$D$2:$D$1601,$AS1365)*1000000/$AB1365,""))</f>
        <v/>
      </c>
    </row>
    <row r="1366" spans="1:47">
      <c r="A1366" t="str">
        <f>IF($AS1366="","",INDEX('TMP Paste'!$B$2:$B$1601,$AS1366))</f>
        <v/>
      </c>
      <c r="B1366" t="str">
        <f>IF($AS1366="","",Config!$B$14)</f>
        <v/>
      </c>
      <c r="C1366" t="str">
        <f>IF($AS1366="","",Config!$B$15)</f>
        <v/>
      </c>
      <c r="D1366" t="str">
        <f>IF($AS1366="","",INDEX('TMP Paste'!$B$2:$B$1601,$AS1366))</f>
        <v/>
      </c>
      <c r="E1366" t="str">
        <f>IF($AS1366="","",Config!$B$27)</f>
        <v/>
      </c>
      <c r="F1366" t="str">
        <f>IF($AS1366="","",Config!$B$9)</f>
        <v/>
      </c>
      <c r="G1366" t="str">
        <f>IF($AS1366="","",Config!$B$10)</f>
        <v/>
      </c>
      <c r="H1366" t="str">
        <f>IF($AS1366="","",Config!$B$11)</f>
        <v/>
      </c>
      <c r="I1366" t="str">
        <f>IF($AS1366="","",Config!$B$16)</f>
        <v/>
      </c>
      <c r="J1366" t="str">
        <f>IF($AS1366="","",INDEX('TMP Paste'!$A$2:$A$1601,$AS1366))</f>
        <v/>
      </c>
      <c r="K1366" t="str">
        <f>IF($AS1366="","",INDEX('TMP Paste'!$L$2:$L$1601,$AS1366))</f>
        <v/>
      </c>
      <c r="L1366" t="str">
        <f>IF($AS1366="","",INDEX('TMP Paste'!$I$2:$I$1601,$AS1366))</f>
        <v/>
      </c>
      <c r="M1366" t="str">
        <f>IF($AS1366="","",Config!$B$16)</f>
        <v/>
      </c>
      <c r="N1366" t="str">
        <f t="shared" si="126"/>
        <v/>
      </c>
      <c r="O1366" t="str">
        <f>IF($AS1366="","",INDEX('TMP Paste'!$K$2:$K$1601,$AS1366))</f>
        <v/>
      </c>
      <c r="P1366" t="str">
        <f t="shared" si="127"/>
        <v/>
      </c>
      <c r="Q1366" t="str">
        <f>IF($AS1366="","",INDEX('TMP Paste'!$J$2:$J$1601,$AS1366))</f>
        <v/>
      </c>
      <c r="R1366" t="str">
        <f>IF($AS1366="","",Config!$B$24)</f>
        <v/>
      </c>
      <c r="S1366" t="str">
        <f ca="1">IF($AS1366="","",TEXT(Config!$B$4,"yyyy-mm-dd"))</f>
        <v/>
      </c>
      <c r="T1366" t="str">
        <f>IF($AS1366="","",Config!$B$17)</f>
        <v/>
      </c>
      <c r="U1366" t="str">
        <f>IF($AS1366="","",Config!$B$18)</f>
        <v/>
      </c>
      <c r="V1366" t="str">
        <f>IF($AS1366="","",Config!$B$19)</f>
        <v/>
      </c>
      <c r="W1366" t="str">
        <f>IF($AS1366="","",INDEX('TMP Paste'!$C$2:$C$1601,$AS1366))</f>
        <v/>
      </c>
      <c r="X1366" t="str">
        <f>IF($AS1366="","",Config!$B$29)</f>
        <v/>
      </c>
      <c r="Y1366" t="str">
        <f>IF($AT1366="","",INDEX(Calc!$I$2:$I$1601,$AT1366)&amp;" - "&amp;INDEX(Calc!$D$2:$D$1601,$AT1366)&amp;" koli")</f>
        <v/>
      </c>
      <c r="Z1366" t="str">
        <f>IF($AS1366="","",Config!$B$21)</f>
        <v/>
      </c>
      <c r="AA1366" t="str">
        <f>IF($AS1366="","",Config!$B$22)</f>
        <v/>
      </c>
      <c r="AB1366" t="str">
        <f>IF($AT1366="","",INDEX(Calc!$D$2:$D$1601,$AT1366))</f>
        <v/>
      </c>
      <c r="AC1366" t="str">
        <f>IF($AT1366="","",INDEX(Calc!$G$2:$G$1601,$AT1366))</f>
        <v/>
      </c>
      <c r="AD1366" t="str">
        <f>IF($AS1366="","",Config!$B$23)</f>
        <v/>
      </c>
      <c r="AE1366" t="str">
        <f>IF($AS1366="","",Config!$B$28)</f>
        <v/>
      </c>
      <c r="AF1366" t="str">
        <f t="shared" si="128"/>
        <v/>
      </c>
      <c r="AG1366" t="str">
        <f t="shared" si="129"/>
        <v/>
      </c>
      <c r="AH1366" t="str">
        <f t="shared" si="130"/>
        <v/>
      </c>
      <c r="AI1366" t="str">
        <f>IF($AG1366="","",SUMIF($AG$2:$AG1366,$AG1366,$AH$2:$AH1366))</f>
        <v/>
      </c>
      <c r="AJ1366" t="str">
        <f>IF('TMP Paste'!$F1366="","",IF('TMP Paste'!$B1366="",$AJ1365,'TMP Paste'!$B1366))</f>
        <v/>
      </c>
      <c r="AK1366" t="str">
        <f>IF('TMP Paste'!$F1366="","",N('TMP Paste'!$G1366))</f>
        <v/>
      </c>
      <c r="AL1366" t="str">
        <f>IF('TMP Paste'!$F1366="","",IF('TMP Paste'!$M1366="",$AL1365,'TMP Paste'!$M1366))</f>
        <v/>
      </c>
      <c r="AM1366" t="str">
        <f>IF('TMP Paste'!$F1366="","",IF('TMP Paste'!$N1366="",$AM1365,'TMP Paste'!$N1366))</f>
        <v/>
      </c>
      <c r="AN1366" t="str">
        <f>IF('TMP Paste'!$F1366="","",IF('TMP Paste'!$O1366="",$AN1365,'TMP Paste'!$O1366))</f>
        <v/>
      </c>
      <c r="AO1366" t="str">
        <f>IF('TMP Paste'!$F1366="","",IF('TMP Paste'!$P1366="",$AO1365,'TMP Paste'!$P1366))</f>
        <v/>
      </c>
      <c r="AP1366" t="str">
        <f t="shared" si="131"/>
        <v/>
      </c>
      <c r="AQ1366" t="str">
        <f>IF($AS1366="","",TRIM(IF(COUNTIFS(Calc!$B$2:$B$1601,ROW()-1,Calc!$C$2:$C$1601,"&lt;1")&gt;0,"Ada PO tanpa Koli - cek TMP. ","")&amp;IF(OR($AU1366="",$AU1366&lt;=0),"Volume kosong/0 - dimensi dikosongkan. ","")&amp;IF(AND($AU1366&lt;&gt;"",$AU1366&gt;=1000000),"Volume &gt;= 1.000.000 cm3 (di luar aturan) - dimensi dikosongkan. ","")&amp;IF(LEN($R1366)&gt;500,"R &gt; 500 karakter.","")))</f>
        <v/>
      </c>
      <c r="AS1366" t="str">
        <f>IFERROR(MATCH(ROW()-1,Calc!$J$2:$J$1601,0),"")</f>
        <v/>
      </c>
      <c r="AT1366" t="str">
        <f>IFERROR(MATCH(ROW()-1,Calc!$K$2:$K$1601,0),"")</f>
        <v/>
      </c>
      <c r="AU1366" t="str">
        <f>IF($AS1366="","",IFERROR(INDEX('TMP Paste'!$D$2:$D$1601,$AS1366)*1000000/$AB1366,""))</f>
        <v/>
      </c>
    </row>
    <row r="1367" spans="1:47">
      <c r="A1367" t="str">
        <f>IF($AS1367="","",INDEX('TMP Paste'!$B$2:$B$1601,$AS1367))</f>
        <v/>
      </c>
      <c r="B1367" t="str">
        <f>IF($AS1367="","",Config!$B$14)</f>
        <v/>
      </c>
      <c r="C1367" t="str">
        <f>IF($AS1367="","",Config!$B$15)</f>
        <v/>
      </c>
      <c r="D1367" t="str">
        <f>IF($AS1367="","",INDEX('TMP Paste'!$B$2:$B$1601,$AS1367))</f>
        <v/>
      </c>
      <c r="E1367" t="str">
        <f>IF($AS1367="","",Config!$B$27)</f>
        <v/>
      </c>
      <c r="F1367" t="str">
        <f>IF($AS1367="","",Config!$B$9)</f>
        <v/>
      </c>
      <c r="G1367" t="str">
        <f>IF($AS1367="","",Config!$B$10)</f>
        <v/>
      </c>
      <c r="H1367" t="str">
        <f>IF($AS1367="","",Config!$B$11)</f>
        <v/>
      </c>
      <c r="I1367" t="str">
        <f>IF($AS1367="","",Config!$B$16)</f>
        <v/>
      </c>
      <c r="J1367" t="str">
        <f>IF($AS1367="","",INDEX('TMP Paste'!$A$2:$A$1601,$AS1367))</f>
        <v/>
      </c>
      <c r="K1367" t="str">
        <f>IF($AS1367="","",INDEX('TMP Paste'!$L$2:$L$1601,$AS1367))</f>
        <v/>
      </c>
      <c r="L1367" t="str">
        <f>IF($AS1367="","",INDEX('TMP Paste'!$I$2:$I$1601,$AS1367))</f>
        <v/>
      </c>
      <c r="M1367" t="str">
        <f>IF($AS1367="","",Config!$B$16)</f>
        <v/>
      </c>
      <c r="N1367" t="str">
        <f t="shared" si="126"/>
        <v/>
      </c>
      <c r="O1367" t="str">
        <f>IF($AS1367="","",INDEX('TMP Paste'!$K$2:$K$1601,$AS1367))</f>
        <v/>
      </c>
      <c r="P1367" t="str">
        <f t="shared" si="127"/>
        <v/>
      </c>
      <c r="Q1367" t="str">
        <f>IF($AS1367="","",INDEX('TMP Paste'!$J$2:$J$1601,$AS1367))</f>
        <v/>
      </c>
      <c r="R1367" t="str">
        <f>IF($AS1367="","",Config!$B$24)</f>
        <v/>
      </c>
      <c r="S1367" t="str">
        <f ca="1">IF($AS1367="","",TEXT(Config!$B$4,"yyyy-mm-dd"))</f>
        <v/>
      </c>
      <c r="T1367" t="str">
        <f>IF($AS1367="","",Config!$B$17)</f>
        <v/>
      </c>
      <c r="U1367" t="str">
        <f>IF($AS1367="","",Config!$B$18)</f>
        <v/>
      </c>
      <c r="V1367" t="str">
        <f>IF($AS1367="","",Config!$B$19)</f>
        <v/>
      </c>
      <c r="W1367" t="str">
        <f>IF($AS1367="","",INDEX('TMP Paste'!$C$2:$C$1601,$AS1367))</f>
        <v/>
      </c>
      <c r="X1367" t="str">
        <f>IF($AS1367="","",Config!$B$29)</f>
        <v/>
      </c>
      <c r="Y1367" t="str">
        <f>IF($AT1367="","",INDEX(Calc!$I$2:$I$1601,$AT1367)&amp;" - "&amp;INDEX(Calc!$D$2:$D$1601,$AT1367)&amp;" koli")</f>
        <v/>
      </c>
      <c r="Z1367" t="str">
        <f>IF($AS1367="","",Config!$B$21)</f>
        <v/>
      </c>
      <c r="AA1367" t="str">
        <f>IF($AS1367="","",Config!$B$22)</f>
        <v/>
      </c>
      <c r="AB1367" t="str">
        <f>IF($AT1367="","",INDEX(Calc!$D$2:$D$1601,$AT1367))</f>
        <v/>
      </c>
      <c r="AC1367" t="str">
        <f>IF($AT1367="","",INDEX(Calc!$G$2:$G$1601,$AT1367))</f>
        <v/>
      </c>
      <c r="AD1367" t="str">
        <f>IF($AS1367="","",Config!$B$23)</f>
        <v/>
      </c>
      <c r="AE1367" t="str">
        <f>IF($AS1367="","",Config!$B$28)</f>
        <v/>
      </c>
      <c r="AF1367" t="str">
        <f t="shared" si="128"/>
        <v/>
      </c>
      <c r="AG1367" t="str">
        <f t="shared" si="129"/>
        <v/>
      </c>
      <c r="AH1367" t="str">
        <f t="shared" si="130"/>
        <v/>
      </c>
      <c r="AI1367" t="str">
        <f>IF($AG1367="","",SUMIF($AG$2:$AG1367,$AG1367,$AH$2:$AH1367))</f>
        <v/>
      </c>
      <c r="AJ1367" t="str">
        <f>IF('TMP Paste'!$F1367="","",IF('TMP Paste'!$B1367="",$AJ1366,'TMP Paste'!$B1367))</f>
        <v/>
      </c>
      <c r="AK1367" t="str">
        <f>IF('TMP Paste'!$F1367="","",N('TMP Paste'!$G1367))</f>
        <v/>
      </c>
      <c r="AL1367" t="str">
        <f>IF('TMP Paste'!$F1367="","",IF('TMP Paste'!$M1367="",$AL1366,'TMP Paste'!$M1367))</f>
        <v/>
      </c>
      <c r="AM1367" t="str">
        <f>IF('TMP Paste'!$F1367="","",IF('TMP Paste'!$N1367="",$AM1366,'TMP Paste'!$N1367))</f>
        <v/>
      </c>
      <c r="AN1367" t="str">
        <f>IF('TMP Paste'!$F1367="","",IF('TMP Paste'!$O1367="",$AN1366,'TMP Paste'!$O1367))</f>
        <v/>
      </c>
      <c r="AO1367" t="str">
        <f>IF('TMP Paste'!$F1367="","",IF('TMP Paste'!$P1367="",$AO1366,'TMP Paste'!$P1367))</f>
        <v/>
      </c>
      <c r="AP1367" t="str">
        <f t="shared" si="131"/>
        <v/>
      </c>
      <c r="AQ1367" t="str">
        <f>IF($AS1367="","",TRIM(IF(COUNTIFS(Calc!$B$2:$B$1601,ROW()-1,Calc!$C$2:$C$1601,"&lt;1")&gt;0,"Ada PO tanpa Koli - cek TMP. ","")&amp;IF(OR($AU1367="",$AU1367&lt;=0),"Volume kosong/0 - dimensi dikosongkan. ","")&amp;IF(AND($AU1367&lt;&gt;"",$AU1367&gt;=1000000),"Volume &gt;= 1.000.000 cm3 (di luar aturan) - dimensi dikosongkan. ","")&amp;IF(LEN($R1367)&gt;500,"R &gt; 500 karakter.","")))</f>
        <v/>
      </c>
      <c r="AS1367" t="str">
        <f>IFERROR(MATCH(ROW()-1,Calc!$J$2:$J$1601,0),"")</f>
        <v/>
      </c>
      <c r="AT1367" t="str">
        <f>IFERROR(MATCH(ROW()-1,Calc!$K$2:$K$1601,0),"")</f>
        <v/>
      </c>
      <c r="AU1367" t="str">
        <f>IF($AS1367="","",IFERROR(INDEX('TMP Paste'!$D$2:$D$1601,$AS1367)*1000000/$AB1367,""))</f>
        <v/>
      </c>
    </row>
    <row r="1368" spans="1:47">
      <c r="A1368" t="str">
        <f>IF($AS1368="","",INDEX('TMP Paste'!$B$2:$B$1601,$AS1368))</f>
        <v/>
      </c>
      <c r="B1368" t="str">
        <f>IF($AS1368="","",Config!$B$14)</f>
        <v/>
      </c>
      <c r="C1368" t="str">
        <f>IF($AS1368="","",Config!$B$15)</f>
        <v/>
      </c>
      <c r="D1368" t="str">
        <f>IF($AS1368="","",INDEX('TMP Paste'!$B$2:$B$1601,$AS1368))</f>
        <v/>
      </c>
      <c r="E1368" t="str">
        <f>IF($AS1368="","",Config!$B$27)</f>
        <v/>
      </c>
      <c r="F1368" t="str">
        <f>IF($AS1368="","",Config!$B$9)</f>
        <v/>
      </c>
      <c r="G1368" t="str">
        <f>IF($AS1368="","",Config!$B$10)</f>
        <v/>
      </c>
      <c r="H1368" t="str">
        <f>IF($AS1368="","",Config!$B$11)</f>
        <v/>
      </c>
      <c r="I1368" t="str">
        <f>IF($AS1368="","",Config!$B$16)</f>
        <v/>
      </c>
      <c r="J1368" t="str">
        <f>IF($AS1368="","",INDEX('TMP Paste'!$A$2:$A$1601,$AS1368))</f>
        <v/>
      </c>
      <c r="K1368" t="str">
        <f>IF($AS1368="","",INDEX('TMP Paste'!$L$2:$L$1601,$AS1368))</f>
        <v/>
      </c>
      <c r="L1368" t="str">
        <f>IF($AS1368="","",INDEX('TMP Paste'!$I$2:$I$1601,$AS1368))</f>
        <v/>
      </c>
      <c r="M1368" t="str">
        <f>IF($AS1368="","",Config!$B$16)</f>
        <v/>
      </c>
      <c r="N1368" t="str">
        <f t="shared" si="126"/>
        <v/>
      </c>
      <c r="O1368" t="str">
        <f>IF($AS1368="","",INDEX('TMP Paste'!$K$2:$K$1601,$AS1368))</f>
        <v/>
      </c>
      <c r="P1368" t="str">
        <f t="shared" si="127"/>
        <v/>
      </c>
      <c r="Q1368" t="str">
        <f>IF($AS1368="","",INDEX('TMP Paste'!$J$2:$J$1601,$AS1368))</f>
        <v/>
      </c>
      <c r="R1368" t="str">
        <f>IF($AS1368="","",Config!$B$24)</f>
        <v/>
      </c>
      <c r="S1368" t="str">
        <f ca="1">IF($AS1368="","",TEXT(Config!$B$4,"yyyy-mm-dd"))</f>
        <v/>
      </c>
      <c r="T1368" t="str">
        <f>IF($AS1368="","",Config!$B$17)</f>
        <v/>
      </c>
      <c r="U1368" t="str">
        <f>IF($AS1368="","",Config!$B$18)</f>
        <v/>
      </c>
      <c r="V1368" t="str">
        <f>IF($AS1368="","",Config!$B$19)</f>
        <v/>
      </c>
      <c r="W1368" t="str">
        <f>IF($AS1368="","",INDEX('TMP Paste'!$C$2:$C$1601,$AS1368))</f>
        <v/>
      </c>
      <c r="X1368" t="str">
        <f>IF($AS1368="","",Config!$B$29)</f>
        <v/>
      </c>
      <c r="Y1368" t="str">
        <f>IF($AT1368="","",INDEX(Calc!$I$2:$I$1601,$AT1368)&amp;" - "&amp;INDEX(Calc!$D$2:$D$1601,$AT1368)&amp;" koli")</f>
        <v/>
      </c>
      <c r="Z1368" t="str">
        <f>IF($AS1368="","",Config!$B$21)</f>
        <v/>
      </c>
      <c r="AA1368" t="str">
        <f>IF($AS1368="","",Config!$B$22)</f>
        <v/>
      </c>
      <c r="AB1368" t="str">
        <f>IF($AT1368="","",INDEX(Calc!$D$2:$D$1601,$AT1368))</f>
        <v/>
      </c>
      <c r="AC1368" t="str">
        <f>IF($AT1368="","",INDEX(Calc!$G$2:$G$1601,$AT1368))</f>
        <v/>
      </c>
      <c r="AD1368" t="str">
        <f>IF($AS1368="","",Config!$B$23)</f>
        <v/>
      </c>
      <c r="AE1368" t="str">
        <f>IF($AS1368="","",Config!$B$28)</f>
        <v/>
      </c>
      <c r="AF1368" t="str">
        <f t="shared" si="128"/>
        <v/>
      </c>
      <c r="AG1368" t="str">
        <f t="shared" si="129"/>
        <v/>
      </c>
      <c r="AH1368" t="str">
        <f t="shared" si="130"/>
        <v/>
      </c>
      <c r="AI1368" t="str">
        <f>IF($AG1368="","",SUMIF($AG$2:$AG1368,$AG1368,$AH$2:$AH1368))</f>
        <v/>
      </c>
      <c r="AJ1368" t="str">
        <f>IF('TMP Paste'!$F1368="","",IF('TMP Paste'!$B1368="",$AJ1367,'TMP Paste'!$B1368))</f>
        <v/>
      </c>
      <c r="AK1368" t="str">
        <f>IF('TMP Paste'!$F1368="","",N('TMP Paste'!$G1368))</f>
        <v/>
      </c>
      <c r="AL1368" t="str">
        <f>IF('TMP Paste'!$F1368="","",IF('TMP Paste'!$M1368="",$AL1367,'TMP Paste'!$M1368))</f>
        <v/>
      </c>
      <c r="AM1368" t="str">
        <f>IF('TMP Paste'!$F1368="","",IF('TMP Paste'!$N1368="",$AM1367,'TMP Paste'!$N1368))</f>
        <v/>
      </c>
      <c r="AN1368" t="str">
        <f>IF('TMP Paste'!$F1368="","",IF('TMP Paste'!$O1368="",$AN1367,'TMP Paste'!$O1368))</f>
        <v/>
      </c>
      <c r="AO1368" t="str">
        <f>IF('TMP Paste'!$F1368="","",IF('TMP Paste'!$P1368="",$AO1367,'TMP Paste'!$P1368))</f>
        <v/>
      </c>
      <c r="AP1368" t="str">
        <f t="shared" si="131"/>
        <v/>
      </c>
      <c r="AQ1368" t="str">
        <f>IF($AS1368="","",TRIM(IF(COUNTIFS(Calc!$B$2:$B$1601,ROW()-1,Calc!$C$2:$C$1601,"&lt;1")&gt;0,"Ada PO tanpa Koli - cek TMP. ","")&amp;IF(OR($AU1368="",$AU1368&lt;=0),"Volume kosong/0 - dimensi dikosongkan. ","")&amp;IF(AND($AU1368&lt;&gt;"",$AU1368&gt;=1000000),"Volume &gt;= 1.000.000 cm3 (di luar aturan) - dimensi dikosongkan. ","")&amp;IF(LEN($R1368)&gt;500,"R &gt; 500 karakter.","")))</f>
        <v/>
      </c>
      <c r="AS1368" t="str">
        <f>IFERROR(MATCH(ROW()-1,Calc!$J$2:$J$1601,0),"")</f>
        <v/>
      </c>
      <c r="AT1368" t="str">
        <f>IFERROR(MATCH(ROW()-1,Calc!$K$2:$K$1601,0),"")</f>
        <v/>
      </c>
      <c r="AU1368" t="str">
        <f>IF($AS1368="","",IFERROR(INDEX('TMP Paste'!$D$2:$D$1601,$AS1368)*1000000/$AB1368,""))</f>
        <v/>
      </c>
    </row>
    <row r="1369" spans="1:47">
      <c r="A1369" t="str">
        <f>IF($AS1369="","",INDEX('TMP Paste'!$B$2:$B$1601,$AS1369))</f>
        <v/>
      </c>
      <c r="B1369" t="str">
        <f>IF($AS1369="","",Config!$B$14)</f>
        <v/>
      </c>
      <c r="C1369" t="str">
        <f>IF($AS1369="","",Config!$B$15)</f>
        <v/>
      </c>
      <c r="D1369" t="str">
        <f>IF($AS1369="","",INDEX('TMP Paste'!$B$2:$B$1601,$AS1369))</f>
        <v/>
      </c>
      <c r="E1369" t="str">
        <f>IF($AS1369="","",Config!$B$27)</f>
        <v/>
      </c>
      <c r="F1369" t="str">
        <f>IF($AS1369="","",Config!$B$9)</f>
        <v/>
      </c>
      <c r="G1369" t="str">
        <f>IF($AS1369="","",Config!$B$10)</f>
        <v/>
      </c>
      <c r="H1369" t="str">
        <f>IF($AS1369="","",Config!$B$11)</f>
        <v/>
      </c>
      <c r="I1369" t="str">
        <f>IF($AS1369="","",Config!$B$16)</f>
        <v/>
      </c>
      <c r="J1369" t="str">
        <f>IF($AS1369="","",INDEX('TMP Paste'!$A$2:$A$1601,$AS1369))</f>
        <v/>
      </c>
      <c r="K1369" t="str">
        <f>IF($AS1369="","",INDEX('TMP Paste'!$L$2:$L$1601,$AS1369))</f>
        <v/>
      </c>
      <c r="L1369" t="str">
        <f>IF($AS1369="","",INDEX('TMP Paste'!$I$2:$I$1601,$AS1369))</f>
        <v/>
      </c>
      <c r="M1369" t="str">
        <f>IF($AS1369="","",Config!$B$16)</f>
        <v/>
      </c>
      <c r="N1369" t="str">
        <f t="shared" si="126"/>
        <v/>
      </c>
      <c r="O1369" t="str">
        <f>IF($AS1369="","",INDEX('TMP Paste'!$K$2:$K$1601,$AS1369))</f>
        <v/>
      </c>
      <c r="P1369" t="str">
        <f t="shared" si="127"/>
        <v/>
      </c>
      <c r="Q1369" t="str">
        <f>IF($AS1369="","",INDEX('TMP Paste'!$J$2:$J$1601,$AS1369))</f>
        <v/>
      </c>
      <c r="R1369" t="str">
        <f>IF($AS1369="","",Config!$B$24)</f>
        <v/>
      </c>
      <c r="S1369" t="str">
        <f ca="1">IF($AS1369="","",TEXT(Config!$B$4,"yyyy-mm-dd"))</f>
        <v/>
      </c>
      <c r="T1369" t="str">
        <f>IF($AS1369="","",Config!$B$17)</f>
        <v/>
      </c>
      <c r="U1369" t="str">
        <f>IF($AS1369="","",Config!$B$18)</f>
        <v/>
      </c>
      <c r="V1369" t="str">
        <f>IF($AS1369="","",Config!$B$19)</f>
        <v/>
      </c>
      <c r="W1369" t="str">
        <f>IF($AS1369="","",INDEX('TMP Paste'!$C$2:$C$1601,$AS1369))</f>
        <v/>
      </c>
      <c r="X1369" t="str">
        <f>IF($AS1369="","",Config!$B$29)</f>
        <v/>
      </c>
      <c r="Y1369" t="str">
        <f>IF($AT1369="","",INDEX(Calc!$I$2:$I$1601,$AT1369)&amp;" - "&amp;INDEX(Calc!$D$2:$D$1601,$AT1369)&amp;" koli")</f>
        <v/>
      </c>
      <c r="Z1369" t="str">
        <f>IF($AS1369="","",Config!$B$21)</f>
        <v/>
      </c>
      <c r="AA1369" t="str">
        <f>IF($AS1369="","",Config!$B$22)</f>
        <v/>
      </c>
      <c r="AB1369" t="str">
        <f>IF($AT1369="","",INDEX(Calc!$D$2:$D$1601,$AT1369))</f>
        <v/>
      </c>
      <c r="AC1369" t="str">
        <f>IF($AT1369="","",INDEX(Calc!$G$2:$G$1601,$AT1369))</f>
        <v/>
      </c>
      <c r="AD1369" t="str">
        <f>IF($AS1369="","",Config!$B$23)</f>
        <v/>
      </c>
      <c r="AE1369" t="str">
        <f>IF($AS1369="","",Config!$B$28)</f>
        <v/>
      </c>
      <c r="AF1369" t="str">
        <f t="shared" si="128"/>
        <v/>
      </c>
      <c r="AG1369" t="str">
        <f t="shared" si="129"/>
        <v/>
      </c>
      <c r="AH1369" t="str">
        <f t="shared" si="130"/>
        <v/>
      </c>
      <c r="AI1369" t="str">
        <f>IF($AG1369="","",SUMIF($AG$2:$AG1369,$AG1369,$AH$2:$AH1369))</f>
        <v/>
      </c>
      <c r="AJ1369" t="str">
        <f>IF('TMP Paste'!$F1369="","",IF('TMP Paste'!$B1369="",$AJ1368,'TMP Paste'!$B1369))</f>
        <v/>
      </c>
      <c r="AK1369" t="str">
        <f>IF('TMP Paste'!$F1369="","",N('TMP Paste'!$G1369))</f>
        <v/>
      </c>
      <c r="AL1369" t="str">
        <f>IF('TMP Paste'!$F1369="","",IF('TMP Paste'!$M1369="",$AL1368,'TMP Paste'!$M1369))</f>
        <v/>
      </c>
      <c r="AM1369" t="str">
        <f>IF('TMP Paste'!$F1369="","",IF('TMP Paste'!$N1369="",$AM1368,'TMP Paste'!$N1369))</f>
        <v/>
      </c>
      <c r="AN1369" t="str">
        <f>IF('TMP Paste'!$F1369="","",IF('TMP Paste'!$O1369="",$AN1368,'TMP Paste'!$O1369))</f>
        <v/>
      </c>
      <c r="AO1369" t="str">
        <f>IF('TMP Paste'!$F1369="","",IF('TMP Paste'!$P1369="",$AO1368,'TMP Paste'!$P1369))</f>
        <v/>
      </c>
      <c r="AP1369" t="str">
        <f t="shared" si="131"/>
        <v/>
      </c>
      <c r="AQ1369" t="str">
        <f>IF($AS1369="","",TRIM(IF(COUNTIFS(Calc!$B$2:$B$1601,ROW()-1,Calc!$C$2:$C$1601,"&lt;1")&gt;0,"Ada PO tanpa Koli - cek TMP. ","")&amp;IF(OR($AU1369="",$AU1369&lt;=0),"Volume kosong/0 - dimensi dikosongkan. ","")&amp;IF(AND($AU1369&lt;&gt;"",$AU1369&gt;=1000000),"Volume &gt;= 1.000.000 cm3 (di luar aturan) - dimensi dikosongkan. ","")&amp;IF(LEN($R1369)&gt;500,"R &gt; 500 karakter.","")))</f>
        <v/>
      </c>
      <c r="AS1369" t="str">
        <f>IFERROR(MATCH(ROW()-1,Calc!$J$2:$J$1601,0),"")</f>
        <v/>
      </c>
      <c r="AT1369" t="str">
        <f>IFERROR(MATCH(ROW()-1,Calc!$K$2:$K$1601,0),"")</f>
        <v/>
      </c>
      <c r="AU1369" t="str">
        <f>IF($AS1369="","",IFERROR(INDEX('TMP Paste'!$D$2:$D$1601,$AS1369)*1000000/$AB1369,""))</f>
        <v/>
      </c>
    </row>
    <row r="1370" spans="1:47">
      <c r="A1370" t="str">
        <f>IF($AS1370="","",INDEX('TMP Paste'!$B$2:$B$1601,$AS1370))</f>
        <v/>
      </c>
      <c r="B1370" t="str">
        <f>IF($AS1370="","",Config!$B$14)</f>
        <v/>
      </c>
      <c r="C1370" t="str">
        <f>IF($AS1370="","",Config!$B$15)</f>
        <v/>
      </c>
      <c r="D1370" t="str">
        <f>IF($AS1370="","",INDEX('TMP Paste'!$B$2:$B$1601,$AS1370))</f>
        <v/>
      </c>
      <c r="E1370" t="str">
        <f>IF($AS1370="","",Config!$B$27)</f>
        <v/>
      </c>
      <c r="F1370" t="str">
        <f>IF($AS1370="","",Config!$B$9)</f>
        <v/>
      </c>
      <c r="G1370" t="str">
        <f>IF($AS1370="","",Config!$B$10)</f>
        <v/>
      </c>
      <c r="H1370" t="str">
        <f>IF($AS1370="","",Config!$B$11)</f>
        <v/>
      </c>
      <c r="I1370" t="str">
        <f>IF($AS1370="","",Config!$B$16)</f>
        <v/>
      </c>
      <c r="J1370" t="str">
        <f>IF($AS1370="","",INDEX('TMP Paste'!$A$2:$A$1601,$AS1370))</f>
        <v/>
      </c>
      <c r="K1370" t="str">
        <f>IF($AS1370="","",INDEX('TMP Paste'!$L$2:$L$1601,$AS1370))</f>
        <v/>
      </c>
      <c r="L1370" t="str">
        <f>IF($AS1370="","",INDEX('TMP Paste'!$I$2:$I$1601,$AS1370))</f>
        <v/>
      </c>
      <c r="M1370" t="str">
        <f>IF($AS1370="","",Config!$B$16)</f>
        <v/>
      </c>
      <c r="N1370" t="str">
        <f t="shared" si="126"/>
        <v/>
      </c>
      <c r="O1370" t="str">
        <f>IF($AS1370="","",INDEX('TMP Paste'!$K$2:$K$1601,$AS1370))</f>
        <v/>
      </c>
      <c r="P1370" t="str">
        <f t="shared" si="127"/>
        <v/>
      </c>
      <c r="Q1370" t="str">
        <f>IF($AS1370="","",INDEX('TMP Paste'!$J$2:$J$1601,$AS1370))</f>
        <v/>
      </c>
      <c r="R1370" t="str">
        <f>IF($AS1370="","",Config!$B$24)</f>
        <v/>
      </c>
      <c r="S1370" t="str">
        <f ca="1">IF($AS1370="","",TEXT(Config!$B$4,"yyyy-mm-dd"))</f>
        <v/>
      </c>
      <c r="T1370" t="str">
        <f>IF($AS1370="","",Config!$B$17)</f>
        <v/>
      </c>
      <c r="U1370" t="str">
        <f>IF($AS1370="","",Config!$B$18)</f>
        <v/>
      </c>
      <c r="V1370" t="str">
        <f>IF($AS1370="","",Config!$B$19)</f>
        <v/>
      </c>
      <c r="W1370" t="str">
        <f>IF($AS1370="","",INDEX('TMP Paste'!$C$2:$C$1601,$AS1370))</f>
        <v/>
      </c>
      <c r="X1370" t="str">
        <f>IF($AS1370="","",Config!$B$29)</f>
        <v/>
      </c>
      <c r="Y1370" t="str">
        <f>IF($AT1370="","",INDEX(Calc!$I$2:$I$1601,$AT1370)&amp;" - "&amp;INDEX(Calc!$D$2:$D$1601,$AT1370)&amp;" koli")</f>
        <v/>
      </c>
      <c r="Z1370" t="str">
        <f>IF($AS1370="","",Config!$B$21)</f>
        <v/>
      </c>
      <c r="AA1370" t="str">
        <f>IF($AS1370="","",Config!$B$22)</f>
        <v/>
      </c>
      <c r="AB1370" t="str">
        <f>IF($AT1370="","",INDEX(Calc!$D$2:$D$1601,$AT1370))</f>
        <v/>
      </c>
      <c r="AC1370" t="str">
        <f>IF($AT1370="","",INDEX(Calc!$G$2:$G$1601,$AT1370))</f>
        <v/>
      </c>
      <c r="AD1370" t="str">
        <f>IF($AS1370="","",Config!$B$23)</f>
        <v/>
      </c>
      <c r="AE1370" t="str">
        <f>IF($AS1370="","",Config!$B$28)</f>
        <v/>
      </c>
      <c r="AF1370" t="str">
        <f t="shared" si="128"/>
        <v/>
      </c>
      <c r="AG1370" t="str">
        <f t="shared" si="129"/>
        <v/>
      </c>
      <c r="AH1370" t="str">
        <f t="shared" si="130"/>
        <v/>
      </c>
      <c r="AI1370" t="str">
        <f>IF($AG1370="","",SUMIF($AG$2:$AG1370,$AG1370,$AH$2:$AH1370))</f>
        <v/>
      </c>
      <c r="AJ1370" t="str">
        <f>IF('TMP Paste'!$F1370="","",IF('TMP Paste'!$B1370="",$AJ1369,'TMP Paste'!$B1370))</f>
        <v/>
      </c>
      <c r="AK1370" t="str">
        <f>IF('TMP Paste'!$F1370="","",N('TMP Paste'!$G1370))</f>
        <v/>
      </c>
      <c r="AL1370" t="str">
        <f>IF('TMP Paste'!$F1370="","",IF('TMP Paste'!$M1370="",$AL1369,'TMP Paste'!$M1370))</f>
        <v/>
      </c>
      <c r="AM1370" t="str">
        <f>IF('TMP Paste'!$F1370="","",IF('TMP Paste'!$N1370="",$AM1369,'TMP Paste'!$N1370))</f>
        <v/>
      </c>
      <c r="AN1370" t="str">
        <f>IF('TMP Paste'!$F1370="","",IF('TMP Paste'!$O1370="",$AN1369,'TMP Paste'!$O1370))</f>
        <v/>
      </c>
      <c r="AO1370" t="str">
        <f>IF('TMP Paste'!$F1370="","",IF('TMP Paste'!$P1370="",$AO1369,'TMP Paste'!$P1370))</f>
        <v/>
      </c>
      <c r="AP1370" t="str">
        <f t="shared" si="131"/>
        <v/>
      </c>
      <c r="AQ1370" t="str">
        <f>IF($AS1370="","",TRIM(IF(COUNTIFS(Calc!$B$2:$B$1601,ROW()-1,Calc!$C$2:$C$1601,"&lt;1")&gt;0,"Ada PO tanpa Koli - cek TMP. ","")&amp;IF(OR($AU1370="",$AU1370&lt;=0),"Volume kosong/0 - dimensi dikosongkan. ","")&amp;IF(AND($AU1370&lt;&gt;"",$AU1370&gt;=1000000),"Volume &gt;= 1.000.000 cm3 (di luar aturan) - dimensi dikosongkan. ","")&amp;IF(LEN($R1370)&gt;500,"R &gt; 500 karakter.","")))</f>
        <v/>
      </c>
      <c r="AS1370" t="str">
        <f>IFERROR(MATCH(ROW()-1,Calc!$J$2:$J$1601,0),"")</f>
        <v/>
      </c>
      <c r="AT1370" t="str">
        <f>IFERROR(MATCH(ROW()-1,Calc!$K$2:$K$1601,0),"")</f>
        <v/>
      </c>
      <c r="AU1370" t="str">
        <f>IF($AS1370="","",IFERROR(INDEX('TMP Paste'!$D$2:$D$1601,$AS1370)*1000000/$AB1370,""))</f>
        <v/>
      </c>
    </row>
    <row r="1371" spans="1:47">
      <c r="A1371" t="str">
        <f>IF($AS1371="","",INDEX('TMP Paste'!$B$2:$B$1601,$AS1371))</f>
        <v/>
      </c>
      <c r="B1371" t="str">
        <f>IF($AS1371="","",Config!$B$14)</f>
        <v/>
      </c>
      <c r="C1371" t="str">
        <f>IF($AS1371="","",Config!$B$15)</f>
        <v/>
      </c>
      <c r="D1371" t="str">
        <f>IF($AS1371="","",INDEX('TMP Paste'!$B$2:$B$1601,$AS1371))</f>
        <v/>
      </c>
      <c r="E1371" t="str">
        <f>IF($AS1371="","",Config!$B$27)</f>
        <v/>
      </c>
      <c r="F1371" t="str">
        <f>IF($AS1371="","",Config!$B$9)</f>
        <v/>
      </c>
      <c r="G1371" t="str">
        <f>IF($AS1371="","",Config!$B$10)</f>
        <v/>
      </c>
      <c r="H1371" t="str">
        <f>IF($AS1371="","",Config!$B$11)</f>
        <v/>
      </c>
      <c r="I1371" t="str">
        <f>IF($AS1371="","",Config!$B$16)</f>
        <v/>
      </c>
      <c r="J1371" t="str">
        <f>IF($AS1371="","",INDEX('TMP Paste'!$A$2:$A$1601,$AS1371))</f>
        <v/>
      </c>
      <c r="K1371" t="str">
        <f>IF($AS1371="","",INDEX('TMP Paste'!$L$2:$L$1601,$AS1371))</f>
        <v/>
      </c>
      <c r="L1371" t="str">
        <f>IF($AS1371="","",INDEX('TMP Paste'!$I$2:$I$1601,$AS1371))</f>
        <v/>
      </c>
      <c r="M1371" t="str">
        <f>IF($AS1371="","",Config!$B$16)</f>
        <v/>
      </c>
      <c r="N1371" t="str">
        <f t="shared" si="126"/>
        <v/>
      </c>
      <c r="O1371" t="str">
        <f>IF($AS1371="","",INDEX('TMP Paste'!$K$2:$K$1601,$AS1371))</f>
        <v/>
      </c>
      <c r="P1371" t="str">
        <f t="shared" si="127"/>
        <v/>
      </c>
      <c r="Q1371" t="str">
        <f>IF($AS1371="","",INDEX('TMP Paste'!$J$2:$J$1601,$AS1371))</f>
        <v/>
      </c>
      <c r="R1371" t="str">
        <f>IF($AS1371="","",Config!$B$24)</f>
        <v/>
      </c>
      <c r="S1371" t="str">
        <f ca="1">IF($AS1371="","",TEXT(Config!$B$4,"yyyy-mm-dd"))</f>
        <v/>
      </c>
      <c r="T1371" t="str">
        <f>IF($AS1371="","",Config!$B$17)</f>
        <v/>
      </c>
      <c r="U1371" t="str">
        <f>IF($AS1371="","",Config!$B$18)</f>
        <v/>
      </c>
      <c r="V1371" t="str">
        <f>IF($AS1371="","",Config!$B$19)</f>
        <v/>
      </c>
      <c r="W1371" t="str">
        <f>IF($AS1371="","",INDEX('TMP Paste'!$C$2:$C$1601,$AS1371))</f>
        <v/>
      </c>
      <c r="X1371" t="str">
        <f>IF($AS1371="","",Config!$B$29)</f>
        <v/>
      </c>
      <c r="Y1371" t="str">
        <f>IF($AT1371="","",INDEX(Calc!$I$2:$I$1601,$AT1371)&amp;" - "&amp;INDEX(Calc!$D$2:$D$1601,$AT1371)&amp;" koli")</f>
        <v/>
      </c>
      <c r="Z1371" t="str">
        <f>IF($AS1371="","",Config!$B$21)</f>
        <v/>
      </c>
      <c r="AA1371" t="str">
        <f>IF($AS1371="","",Config!$B$22)</f>
        <v/>
      </c>
      <c r="AB1371" t="str">
        <f>IF($AT1371="","",INDEX(Calc!$D$2:$D$1601,$AT1371))</f>
        <v/>
      </c>
      <c r="AC1371" t="str">
        <f>IF($AT1371="","",INDEX(Calc!$G$2:$G$1601,$AT1371))</f>
        <v/>
      </c>
      <c r="AD1371" t="str">
        <f>IF($AS1371="","",Config!$B$23)</f>
        <v/>
      </c>
      <c r="AE1371" t="str">
        <f>IF($AS1371="","",Config!$B$28)</f>
        <v/>
      </c>
      <c r="AF1371" t="str">
        <f t="shared" si="128"/>
        <v/>
      </c>
      <c r="AG1371" t="str">
        <f t="shared" si="129"/>
        <v/>
      </c>
      <c r="AH1371" t="str">
        <f t="shared" si="130"/>
        <v/>
      </c>
      <c r="AI1371" t="str">
        <f>IF($AG1371="","",SUMIF($AG$2:$AG1371,$AG1371,$AH$2:$AH1371))</f>
        <v/>
      </c>
      <c r="AJ1371" t="str">
        <f>IF('TMP Paste'!$F1371="","",IF('TMP Paste'!$B1371="",$AJ1370,'TMP Paste'!$B1371))</f>
        <v/>
      </c>
      <c r="AK1371" t="str">
        <f>IF('TMP Paste'!$F1371="","",N('TMP Paste'!$G1371))</f>
        <v/>
      </c>
      <c r="AL1371" t="str">
        <f>IF('TMP Paste'!$F1371="","",IF('TMP Paste'!$M1371="",$AL1370,'TMP Paste'!$M1371))</f>
        <v/>
      </c>
      <c r="AM1371" t="str">
        <f>IF('TMP Paste'!$F1371="","",IF('TMP Paste'!$N1371="",$AM1370,'TMP Paste'!$N1371))</f>
        <v/>
      </c>
      <c r="AN1371" t="str">
        <f>IF('TMP Paste'!$F1371="","",IF('TMP Paste'!$O1371="",$AN1370,'TMP Paste'!$O1371))</f>
        <v/>
      </c>
      <c r="AO1371" t="str">
        <f>IF('TMP Paste'!$F1371="","",IF('TMP Paste'!$P1371="",$AO1370,'TMP Paste'!$P1371))</f>
        <v/>
      </c>
      <c r="AP1371" t="str">
        <f t="shared" si="131"/>
        <v/>
      </c>
      <c r="AQ1371" t="str">
        <f>IF($AS1371="","",TRIM(IF(COUNTIFS(Calc!$B$2:$B$1601,ROW()-1,Calc!$C$2:$C$1601,"&lt;1")&gt;0,"Ada PO tanpa Koli - cek TMP. ","")&amp;IF(OR($AU1371="",$AU1371&lt;=0),"Volume kosong/0 - dimensi dikosongkan. ","")&amp;IF(AND($AU1371&lt;&gt;"",$AU1371&gt;=1000000),"Volume &gt;= 1.000.000 cm3 (di luar aturan) - dimensi dikosongkan. ","")&amp;IF(LEN($R1371)&gt;500,"R &gt; 500 karakter.","")))</f>
        <v/>
      </c>
      <c r="AS1371" t="str">
        <f>IFERROR(MATCH(ROW()-1,Calc!$J$2:$J$1601,0),"")</f>
        <v/>
      </c>
      <c r="AT1371" t="str">
        <f>IFERROR(MATCH(ROW()-1,Calc!$K$2:$K$1601,0),"")</f>
        <v/>
      </c>
      <c r="AU1371" t="str">
        <f>IF($AS1371="","",IFERROR(INDEX('TMP Paste'!$D$2:$D$1601,$AS1371)*1000000/$AB1371,""))</f>
        <v/>
      </c>
    </row>
    <row r="1372" spans="1:47">
      <c r="A1372" t="str">
        <f>IF($AS1372="","",INDEX('TMP Paste'!$B$2:$B$1601,$AS1372))</f>
        <v/>
      </c>
      <c r="B1372" t="str">
        <f>IF($AS1372="","",Config!$B$14)</f>
        <v/>
      </c>
      <c r="C1372" t="str">
        <f>IF($AS1372="","",Config!$B$15)</f>
        <v/>
      </c>
      <c r="D1372" t="str">
        <f>IF($AS1372="","",INDEX('TMP Paste'!$B$2:$B$1601,$AS1372))</f>
        <v/>
      </c>
      <c r="E1372" t="str">
        <f>IF($AS1372="","",Config!$B$27)</f>
        <v/>
      </c>
      <c r="F1372" t="str">
        <f>IF($AS1372="","",Config!$B$9)</f>
        <v/>
      </c>
      <c r="G1372" t="str">
        <f>IF($AS1372="","",Config!$B$10)</f>
        <v/>
      </c>
      <c r="H1372" t="str">
        <f>IF($AS1372="","",Config!$B$11)</f>
        <v/>
      </c>
      <c r="I1372" t="str">
        <f>IF($AS1372="","",Config!$B$16)</f>
        <v/>
      </c>
      <c r="J1372" t="str">
        <f>IF($AS1372="","",INDEX('TMP Paste'!$A$2:$A$1601,$AS1372))</f>
        <v/>
      </c>
      <c r="K1372" t="str">
        <f>IF($AS1372="","",INDEX('TMP Paste'!$L$2:$L$1601,$AS1372))</f>
        <v/>
      </c>
      <c r="L1372" t="str">
        <f>IF($AS1372="","",INDEX('TMP Paste'!$I$2:$I$1601,$AS1372))</f>
        <v/>
      </c>
      <c r="M1372" t="str">
        <f>IF($AS1372="","",Config!$B$16)</f>
        <v/>
      </c>
      <c r="N1372" t="str">
        <f t="shared" si="126"/>
        <v/>
      </c>
      <c r="O1372" t="str">
        <f>IF($AS1372="","",INDEX('TMP Paste'!$K$2:$K$1601,$AS1372))</f>
        <v/>
      </c>
      <c r="P1372" t="str">
        <f t="shared" si="127"/>
        <v/>
      </c>
      <c r="Q1372" t="str">
        <f>IF($AS1372="","",INDEX('TMP Paste'!$J$2:$J$1601,$AS1372))</f>
        <v/>
      </c>
      <c r="R1372" t="str">
        <f>IF($AS1372="","",Config!$B$24)</f>
        <v/>
      </c>
      <c r="S1372" t="str">
        <f ca="1">IF($AS1372="","",TEXT(Config!$B$4,"yyyy-mm-dd"))</f>
        <v/>
      </c>
      <c r="T1372" t="str">
        <f>IF($AS1372="","",Config!$B$17)</f>
        <v/>
      </c>
      <c r="U1372" t="str">
        <f>IF($AS1372="","",Config!$B$18)</f>
        <v/>
      </c>
      <c r="V1372" t="str">
        <f>IF($AS1372="","",Config!$B$19)</f>
        <v/>
      </c>
      <c r="W1372" t="str">
        <f>IF($AS1372="","",INDEX('TMP Paste'!$C$2:$C$1601,$AS1372))</f>
        <v/>
      </c>
      <c r="X1372" t="str">
        <f>IF($AS1372="","",Config!$B$29)</f>
        <v/>
      </c>
      <c r="Y1372" t="str">
        <f>IF($AT1372="","",INDEX(Calc!$I$2:$I$1601,$AT1372)&amp;" - "&amp;INDEX(Calc!$D$2:$D$1601,$AT1372)&amp;" koli")</f>
        <v/>
      </c>
      <c r="Z1372" t="str">
        <f>IF($AS1372="","",Config!$B$21)</f>
        <v/>
      </c>
      <c r="AA1372" t="str">
        <f>IF($AS1372="","",Config!$B$22)</f>
        <v/>
      </c>
      <c r="AB1372" t="str">
        <f>IF($AT1372="","",INDEX(Calc!$D$2:$D$1601,$AT1372))</f>
        <v/>
      </c>
      <c r="AC1372" t="str">
        <f>IF($AT1372="","",INDEX(Calc!$G$2:$G$1601,$AT1372))</f>
        <v/>
      </c>
      <c r="AD1372" t="str">
        <f>IF($AS1372="","",Config!$B$23)</f>
        <v/>
      </c>
      <c r="AE1372" t="str">
        <f>IF($AS1372="","",Config!$B$28)</f>
        <v/>
      </c>
      <c r="AF1372" t="str">
        <f t="shared" si="128"/>
        <v/>
      </c>
      <c r="AG1372" t="str">
        <f t="shared" si="129"/>
        <v/>
      </c>
      <c r="AH1372" t="str">
        <f t="shared" si="130"/>
        <v/>
      </c>
      <c r="AI1372" t="str">
        <f>IF($AG1372="","",SUMIF($AG$2:$AG1372,$AG1372,$AH$2:$AH1372))</f>
        <v/>
      </c>
      <c r="AJ1372" t="str">
        <f>IF('TMP Paste'!$F1372="","",IF('TMP Paste'!$B1372="",$AJ1371,'TMP Paste'!$B1372))</f>
        <v/>
      </c>
      <c r="AK1372" t="str">
        <f>IF('TMP Paste'!$F1372="","",N('TMP Paste'!$G1372))</f>
        <v/>
      </c>
      <c r="AL1372" t="str">
        <f>IF('TMP Paste'!$F1372="","",IF('TMP Paste'!$M1372="",$AL1371,'TMP Paste'!$M1372))</f>
        <v/>
      </c>
      <c r="AM1372" t="str">
        <f>IF('TMP Paste'!$F1372="","",IF('TMP Paste'!$N1372="",$AM1371,'TMP Paste'!$N1372))</f>
        <v/>
      </c>
      <c r="AN1372" t="str">
        <f>IF('TMP Paste'!$F1372="","",IF('TMP Paste'!$O1372="",$AN1371,'TMP Paste'!$O1372))</f>
        <v/>
      </c>
      <c r="AO1372" t="str">
        <f>IF('TMP Paste'!$F1372="","",IF('TMP Paste'!$P1372="",$AO1371,'TMP Paste'!$P1372))</f>
        <v/>
      </c>
      <c r="AP1372" t="str">
        <f t="shared" si="131"/>
        <v/>
      </c>
      <c r="AQ1372" t="str">
        <f>IF($AS1372="","",TRIM(IF(COUNTIFS(Calc!$B$2:$B$1601,ROW()-1,Calc!$C$2:$C$1601,"&lt;1")&gt;0,"Ada PO tanpa Koli - cek TMP. ","")&amp;IF(OR($AU1372="",$AU1372&lt;=0),"Volume kosong/0 - dimensi dikosongkan. ","")&amp;IF(AND($AU1372&lt;&gt;"",$AU1372&gt;=1000000),"Volume &gt;= 1.000.000 cm3 (di luar aturan) - dimensi dikosongkan. ","")&amp;IF(LEN($R1372)&gt;500,"R &gt; 500 karakter.","")))</f>
        <v/>
      </c>
      <c r="AS1372" t="str">
        <f>IFERROR(MATCH(ROW()-1,Calc!$J$2:$J$1601,0),"")</f>
        <v/>
      </c>
      <c r="AT1372" t="str">
        <f>IFERROR(MATCH(ROW()-1,Calc!$K$2:$K$1601,0),"")</f>
        <v/>
      </c>
      <c r="AU1372" t="str">
        <f>IF($AS1372="","",IFERROR(INDEX('TMP Paste'!$D$2:$D$1601,$AS1372)*1000000/$AB1372,""))</f>
        <v/>
      </c>
    </row>
    <row r="1373" spans="1:47">
      <c r="A1373" t="str">
        <f>IF($AS1373="","",INDEX('TMP Paste'!$B$2:$B$1601,$AS1373))</f>
        <v/>
      </c>
      <c r="B1373" t="str">
        <f>IF($AS1373="","",Config!$B$14)</f>
        <v/>
      </c>
      <c r="C1373" t="str">
        <f>IF($AS1373="","",Config!$B$15)</f>
        <v/>
      </c>
      <c r="D1373" t="str">
        <f>IF($AS1373="","",INDEX('TMP Paste'!$B$2:$B$1601,$AS1373))</f>
        <v/>
      </c>
      <c r="E1373" t="str">
        <f>IF($AS1373="","",Config!$B$27)</f>
        <v/>
      </c>
      <c r="F1373" t="str">
        <f>IF($AS1373="","",Config!$B$9)</f>
        <v/>
      </c>
      <c r="G1373" t="str">
        <f>IF($AS1373="","",Config!$B$10)</f>
        <v/>
      </c>
      <c r="H1373" t="str">
        <f>IF($AS1373="","",Config!$B$11)</f>
        <v/>
      </c>
      <c r="I1373" t="str">
        <f>IF($AS1373="","",Config!$B$16)</f>
        <v/>
      </c>
      <c r="J1373" t="str">
        <f>IF($AS1373="","",INDEX('TMP Paste'!$A$2:$A$1601,$AS1373))</f>
        <v/>
      </c>
      <c r="K1373" t="str">
        <f>IF($AS1373="","",INDEX('TMP Paste'!$L$2:$L$1601,$AS1373))</f>
        <v/>
      </c>
      <c r="L1373" t="str">
        <f>IF($AS1373="","",INDEX('TMP Paste'!$I$2:$I$1601,$AS1373))</f>
        <v/>
      </c>
      <c r="M1373" t="str">
        <f>IF($AS1373="","",Config!$B$16)</f>
        <v/>
      </c>
      <c r="N1373" t="str">
        <f t="shared" si="126"/>
        <v/>
      </c>
      <c r="O1373" t="str">
        <f>IF($AS1373="","",INDEX('TMP Paste'!$K$2:$K$1601,$AS1373))</f>
        <v/>
      </c>
      <c r="P1373" t="str">
        <f t="shared" si="127"/>
        <v/>
      </c>
      <c r="Q1373" t="str">
        <f>IF($AS1373="","",INDEX('TMP Paste'!$J$2:$J$1601,$AS1373))</f>
        <v/>
      </c>
      <c r="R1373" t="str">
        <f>IF($AS1373="","",Config!$B$24)</f>
        <v/>
      </c>
      <c r="S1373" t="str">
        <f ca="1">IF($AS1373="","",TEXT(Config!$B$4,"yyyy-mm-dd"))</f>
        <v/>
      </c>
      <c r="T1373" t="str">
        <f>IF($AS1373="","",Config!$B$17)</f>
        <v/>
      </c>
      <c r="U1373" t="str">
        <f>IF($AS1373="","",Config!$B$18)</f>
        <v/>
      </c>
      <c r="V1373" t="str">
        <f>IF($AS1373="","",Config!$B$19)</f>
        <v/>
      </c>
      <c r="W1373" t="str">
        <f>IF($AS1373="","",INDEX('TMP Paste'!$C$2:$C$1601,$AS1373))</f>
        <v/>
      </c>
      <c r="X1373" t="str">
        <f>IF($AS1373="","",Config!$B$29)</f>
        <v/>
      </c>
      <c r="Y1373" t="str">
        <f>IF($AT1373="","",INDEX(Calc!$I$2:$I$1601,$AT1373)&amp;" - "&amp;INDEX(Calc!$D$2:$D$1601,$AT1373)&amp;" koli")</f>
        <v/>
      </c>
      <c r="Z1373" t="str">
        <f>IF($AS1373="","",Config!$B$21)</f>
        <v/>
      </c>
      <c r="AA1373" t="str">
        <f>IF($AS1373="","",Config!$B$22)</f>
        <v/>
      </c>
      <c r="AB1373" t="str">
        <f>IF($AT1373="","",INDEX(Calc!$D$2:$D$1601,$AT1373))</f>
        <v/>
      </c>
      <c r="AC1373" t="str">
        <f>IF($AT1373="","",INDEX(Calc!$G$2:$G$1601,$AT1373))</f>
        <v/>
      </c>
      <c r="AD1373" t="str">
        <f>IF($AS1373="","",Config!$B$23)</f>
        <v/>
      </c>
      <c r="AE1373" t="str">
        <f>IF($AS1373="","",Config!$B$28)</f>
        <v/>
      </c>
      <c r="AF1373" t="str">
        <f t="shared" si="128"/>
        <v/>
      </c>
      <c r="AG1373" t="str">
        <f t="shared" si="129"/>
        <v/>
      </c>
      <c r="AH1373" t="str">
        <f t="shared" si="130"/>
        <v/>
      </c>
      <c r="AI1373" t="str">
        <f>IF($AG1373="","",SUMIF($AG$2:$AG1373,$AG1373,$AH$2:$AH1373))</f>
        <v/>
      </c>
      <c r="AJ1373" t="str">
        <f>IF('TMP Paste'!$F1373="","",IF('TMP Paste'!$B1373="",$AJ1372,'TMP Paste'!$B1373))</f>
        <v/>
      </c>
      <c r="AK1373" t="str">
        <f>IF('TMP Paste'!$F1373="","",N('TMP Paste'!$G1373))</f>
        <v/>
      </c>
      <c r="AL1373" t="str">
        <f>IF('TMP Paste'!$F1373="","",IF('TMP Paste'!$M1373="",$AL1372,'TMP Paste'!$M1373))</f>
        <v/>
      </c>
      <c r="AM1373" t="str">
        <f>IF('TMP Paste'!$F1373="","",IF('TMP Paste'!$N1373="",$AM1372,'TMP Paste'!$N1373))</f>
        <v/>
      </c>
      <c r="AN1373" t="str">
        <f>IF('TMP Paste'!$F1373="","",IF('TMP Paste'!$O1373="",$AN1372,'TMP Paste'!$O1373))</f>
        <v/>
      </c>
      <c r="AO1373" t="str">
        <f>IF('TMP Paste'!$F1373="","",IF('TMP Paste'!$P1373="",$AO1372,'TMP Paste'!$P1373))</f>
        <v/>
      </c>
      <c r="AP1373" t="str">
        <f t="shared" si="131"/>
        <v/>
      </c>
      <c r="AQ1373" t="str">
        <f>IF($AS1373="","",TRIM(IF(COUNTIFS(Calc!$B$2:$B$1601,ROW()-1,Calc!$C$2:$C$1601,"&lt;1")&gt;0,"Ada PO tanpa Koli - cek TMP. ","")&amp;IF(OR($AU1373="",$AU1373&lt;=0),"Volume kosong/0 - dimensi dikosongkan. ","")&amp;IF(AND($AU1373&lt;&gt;"",$AU1373&gt;=1000000),"Volume &gt;= 1.000.000 cm3 (di luar aturan) - dimensi dikosongkan. ","")&amp;IF(LEN($R1373)&gt;500,"R &gt; 500 karakter.","")))</f>
        <v/>
      </c>
      <c r="AS1373" t="str">
        <f>IFERROR(MATCH(ROW()-1,Calc!$J$2:$J$1601,0),"")</f>
        <v/>
      </c>
      <c r="AT1373" t="str">
        <f>IFERROR(MATCH(ROW()-1,Calc!$K$2:$K$1601,0),"")</f>
        <v/>
      </c>
      <c r="AU1373" t="str">
        <f>IF($AS1373="","",IFERROR(INDEX('TMP Paste'!$D$2:$D$1601,$AS1373)*1000000/$AB1373,""))</f>
        <v/>
      </c>
    </row>
    <row r="1374" spans="1:47">
      <c r="A1374" t="str">
        <f>IF($AS1374="","",INDEX('TMP Paste'!$B$2:$B$1601,$AS1374))</f>
        <v/>
      </c>
      <c r="B1374" t="str">
        <f>IF($AS1374="","",Config!$B$14)</f>
        <v/>
      </c>
      <c r="C1374" t="str">
        <f>IF($AS1374="","",Config!$B$15)</f>
        <v/>
      </c>
      <c r="D1374" t="str">
        <f>IF($AS1374="","",INDEX('TMP Paste'!$B$2:$B$1601,$AS1374))</f>
        <v/>
      </c>
      <c r="E1374" t="str">
        <f>IF($AS1374="","",Config!$B$27)</f>
        <v/>
      </c>
      <c r="F1374" t="str">
        <f>IF($AS1374="","",Config!$B$9)</f>
        <v/>
      </c>
      <c r="G1374" t="str">
        <f>IF($AS1374="","",Config!$B$10)</f>
        <v/>
      </c>
      <c r="H1374" t="str">
        <f>IF($AS1374="","",Config!$B$11)</f>
        <v/>
      </c>
      <c r="I1374" t="str">
        <f>IF($AS1374="","",Config!$B$16)</f>
        <v/>
      </c>
      <c r="J1374" t="str">
        <f>IF($AS1374="","",INDEX('TMP Paste'!$A$2:$A$1601,$AS1374))</f>
        <v/>
      </c>
      <c r="K1374" t="str">
        <f>IF($AS1374="","",INDEX('TMP Paste'!$L$2:$L$1601,$AS1374))</f>
        <v/>
      </c>
      <c r="L1374" t="str">
        <f>IF($AS1374="","",INDEX('TMP Paste'!$I$2:$I$1601,$AS1374))</f>
        <v/>
      </c>
      <c r="M1374" t="str">
        <f>IF($AS1374="","",Config!$B$16)</f>
        <v/>
      </c>
      <c r="N1374" t="str">
        <f t="shared" si="126"/>
        <v/>
      </c>
      <c r="O1374" t="str">
        <f>IF($AS1374="","",INDEX('TMP Paste'!$K$2:$K$1601,$AS1374))</f>
        <v/>
      </c>
      <c r="P1374" t="str">
        <f t="shared" si="127"/>
        <v/>
      </c>
      <c r="Q1374" t="str">
        <f>IF($AS1374="","",INDEX('TMP Paste'!$J$2:$J$1601,$AS1374))</f>
        <v/>
      </c>
      <c r="R1374" t="str">
        <f>IF($AS1374="","",Config!$B$24)</f>
        <v/>
      </c>
      <c r="S1374" t="str">
        <f ca="1">IF($AS1374="","",TEXT(Config!$B$4,"yyyy-mm-dd"))</f>
        <v/>
      </c>
      <c r="T1374" t="str">
        <f>IF($AS1374="","",Config!$B$17)</f>
        <v/>
      </c>
      <c r="U1374" t="str">
        <f>IF($AS1374="","",Config!$B$18)</f>
        <v/>
      </c>
      <c r="V1374" t="str">
        <f>IF($AS1374="","",Config!$B$19)</f>
        <v/>
      </c>
      <c r="W1374" t="str">
        <f>IF($AS1374="","",INDEX('TMP Paste'!$C$2:$C$1601,$AS1374))</f>
        <v/>
      </c>
      <c r="X1374" t="str">
        <f>IF($AS1374="","",Config!$B$29)</f>
        <v/>
      </c>
      <c r="Y1374" t="str">
        <f>IF($AT1374="","",INDEX(Calc!$I$2:$I$1601,$AT1374)&amp;" - "&amp;INDEX(Calc!$D$2:$D$1601,$AT1374)&amp;" koli")</f>
        <v/>
      </c>
      <c r="Z1374" t="str">
        <f>IF($AS1374="","",Config!$B$21)</f>
        <v/>
      </c>
      <c r="AA1374" t="str">
        <f>IF($AS1374="","",Config!$B$22)</f>
        <v/>
      </c>
      <c r="AB1374" t="str">
        <f>IF($AT1374="","",INDEX(Calc!$D$2:$D$1601,$AT1374))</f>
        <v/>
      </c>
      <c r="AC1374" t="str">
        <f>IF($AT1374="","",INDEX(Calc!$G$2:$G$1601,$AT1374))</f>
        <v/>
      </c>
      <c r="AD1374" t="str">
        <f>IF($AS1374="","",Config!$B$23)</f>
        <v/>
      </c>
      <c r="AE1374" t="str">
        <f>IF($AS1374="","",Config!$B$28)</f>
        <v/>
      </c>
      <c r="AF1374" t="str">
        <f t="shared" si="128"/>
        <v/>
      </c>
      <c r="AG1374" t="str">
        <f t="shared" si="129"/>
        <v/>
      </c>
      <c r="AH1374" t="str">
        <f t="shared" si="130"/>
        <v/>
      </c>
      <c r="AI1374" t="str">
        <f>IF($AG1374="","",SUMIF($AG$2:$AG1374,$AG1374,$AH$2:$AH1374))</f>
        <v/>
      </c>
      <c r="AJ1374" t="str">
        <f>IF('TMP Paste'!$F1374="","",IF('TMP Paste'!$B1374="",$AJ1373,'TMP Paste'!$B1374))</f>
        <v/>
      </c>
      <c r="AK1374" t="str">
        <f>IF('TMP Paste'!$F1374="","",N('TMP Paste'!$G1374))</f>
        <v/>
      </c>
      <c r="AL1374" t="str">
        <f>IF('TMP Paste'!$F1374="","",IF('TMP Paste'!$M1374="",$AL1373,'TMP Paste'!$M1374))</f>
        <v/>
      </c>
      <c r="AM1374" t="str">
        <f>IF('TMP Paste'!$F1374="","",IF('TMP Paste'!$N1374="",$AM1373,'TMP Paste'!$N1374))</f>
        <v/>
      </c>
      <c r="AN1374" t="str">
        <f>IF('TMP Paste'!$F1374="","",IF('TMP Paste'!$O1374="",$AN1373,'TMP Paste'!$O1374))</f>
        <v/>
      </c>
      <c r="AO1374" t="str">
        <f>IF('TMP Paste'!$F1374="","",IF('TMP Paste'!$P1374="",$AO1373,'TMP Paste'!$P1374))</f>
        <v/>
      </c>
      <c r="AP1374" t="str">
        <f t="shared" si="131"/>
        <v/>
      </c>
      <c r="AQ1374" t="str">
        <f>IF($AS1374="","",TRIM(IF(COUNTIFS(Calc!$B$2:$B$1601,ROW()-1,Calc!$C$2:$C$1601,"&lt;1")&gt;0,"Ada PO tanpa Koli - cek TMP. ","")&amp;IF(OR($AU1374="",$AU1374&lt;=0),"Volume kosong/0 - dimensi dikosongkan. ","")&amp;IF(AND($AU1374&lt;&gt;"",$AU1374&gt;=1000000),"Volume &gt;= 1.000.000 cm3 (di luar aturan) - dimensi dikosongkan. ","")&amp;IF(LEN($R1374)&gt;500,"R &gt; 500 karakter.","")))</f>
        <v/>
      </c>
      <c r="AS1374" t="str">
        <f>IFERROR(MATCH(ROW()-1,Calc!$J$2:$J$1601,0),"")</f>
        <v/>
      </c>
      <c r="AT1374" t="str">
        <f>IFERROR(MATCH(ROW()-1,Calc!$K$2:$K$1601,0),"")</f>
        <v/>
      </c>
      <c r="AU1374" t="str">
        <f>IF($AS1374="","",IFERROR(INDEX('TMP Paste'!$D$2:$D$1601,$AS1374)*1000000/$AB1374,""))</f>
        <v/>
      </c>
    </row>
    <row r="1375" spans="1:47">
      <c r="A1375" t="str">
        <f>IF($AS1375="","",INDEX('TMP Paste'!$B$2:$B$1601,$AS1375))</f>
        <v/>
      </c>
      <c r="B1375" t="str">
        <f>IF($AS1375="","",Config!$B$14)</f>
        <v/>
      </c>
      <c r="C1375" t="str">
        <f>IF($AS1375="","",Config!$B$15)</f>
        <v/>
      </c>
      <c r="D1375" t="str">
        <f>IF($AS1375="","",INDEX('TMP Paste'!$B$2:$B$1601,$AS1375))</f>
        <v/>
      </c>
      <c r="E1375" t="str">
        <f>IF($AS1375="","",Config!$B$27)</f>
        <v/>
      </c>
      <c r="F1375" t="str">
        <f>IF($AS1375="","",Config!$B$9)</f>
        <v/>
      </c>
      <c r="G1375" t="str">
        <f>IF($AS1375="","",Config!$B$10)</f>
        <v/>
      </c>
      <c r="H1375" t="str">
        <f>IF($AS1375="","",Config!$B$11)</f>
        <v/>
      </c>
      <c r="I1375" t="str">
        <f>IF($AS1375="","",Config!$B$16)</f>
        <v/>
      </c>
      <c r="J1375" t="str">
        <f>IF($AS1375="","",INDEX('TMP Paste'!$A$2:$A$1601,$AS1375))</f>
        <v/>
      </c>
      <c r="K1375" t="str">
        <f>IF($AS1375="","",INDEX('TMP Paste'!$L$2:$L$1601,$AS1375))</f>
        <v/>
      </c>
      <c r="L1375" t="str">
        <f>IF($AS1375="","",INDEX('TMP Paste'!$I$2:$I$1601,$AS1375))</f>
        <v/>
      </c>
      <c r="M1375" t="str">
        <f>IF($AS1375="","",Config!$B$16)</f>
        <v/>
      </c>
      <c r="N1375" t="str">
        <f t="shared" si="126"/>
        <v/>
      </c>
      <c r="O1375" t="str">
        <f>IF($AS1375="","",INDEX('TMP Paste'!$K$2:$K$1601,$AS1375))</f>
        <v/>
      </c>
      <c r="P1375" t="str">
        <f t="shared" si="127"/>
        <v/>
      </c>
      <c r="Q1375" t="str">
        <f>IF($AS1375="","",INDEX('TMP Paste'!$J$2:$J$1601,$AS1375))</f>
        <v/>
      </c>
      <c r="R1375" t="str">
        <f>IF($AS1375="","",Config!$B$24)</f>
        <v/>
      </c>
      <c r="S1375" t="str">
        <f ca="1">IF($AS1375="","",TEXT(Config!$B$4,"yyyy-mm-dd"))</f>
        <v/>
      </c>
      <c r="T1375" t="str">
        <f>IF($AS1375="","",Config!$B$17)</f>
        <v/>
      </c>
      <c r="U1375" t="str">
        <f>IF($AS1375="","",Config!$B$18)</f>
        <v/>
      </c>
      <c r="V1375" t="str">
        <f>IF($AS1375="","",Config!$B$19)</f>
        <v/>
      </c>
      <c r="W1375" t="str">
        <f>IF($AS1375="","",INDEX('TMP Paste'!$C$2:$C$1601,$AS1375))</f>
        <v/>
      </c>
      <c r="X1375" t="str">
        <f>IF($AS1375="","",Config!$B$29)</f>
        <v/>
      </c>
      <c r="Y1375" t="str">
        <f>IF($AT1375="","",INDEX(Calc!$I$2:$I$1601,$AT1375)&amp;" - "&amp;INDEX(Calc!$D$2:$D$1601,$AT1375)&amp;" koli")</f>
        <v/>
      </c>
      <c r="Z1375" t="str">
        <f>IF($AS1375="","",Config!$B$21)</f>
        <v/>
      </c>
      <c r="AA1375" t="str">
        <f>IF($AS1375="","",Config!$B$22)</f>
        <v/>
      </c>
      <c r="AB1375" t="str">
        <f>IF($AT1375="","",INDEX(Calc!$D$2:$D$1601,$AT1375))</f>
        <v/>
      </c>
      <c r="AC1375" t="str">
        <f>IF($AT1375="","",INDEX(Calc!$G$2:$G$1601,$AT1375))</f>
        <v/>
      </c>
      <c r="AD1375" t="str">
        <f>IF($AS1375="","",Config!$B$23)</f>
        <v/>
      </c>
      <c r="AE1375" t="str">
        <f>IF($AS1375="","",Config!$B$28)</f>
        <v/>
      </c>
      <c r="AF1375" t="str">
        <f t="shared" si="128"/>
        <v/>
      </c>
      <c r="AG1375" t="str">
        <f t="shared" si="129"/>
        <v/>
      </c>
      <c r="AH1375" t="str">
        <f t="shared" si="130"/>
        <v/>
      </c>
      <c r="AI1375" t="str">
        <f>IF($AG1375="","",SUMIF($AG$2:$AG1375,$AG1375,$AH$2:$AH1375))</f>
        <v/>
      </c>
      <c r="AJ1375" t="str">
        <f>IF('TMP Paste'!$F1375="","",IF('TMP Paste'!$B1375="",$AJ1374,'TMP Paste'!$B1375))</f>
        <v/>
      </c>
      <c r="AK1375" t="str">
        <f>IF('TMP Paste'!$F1375="","",N('TMP Paste'!$G1375))</f>
        <v/>
      </c>
      <c r="AL1375" t="str">
        <f>IF('TMP Paste'!$F1375="","",IF('TMP Paste'!$M1375="",$AL1374,'TMP Paste'!$M1375))</f>
        <v/>
      </c>
      <c r="AM1375" t="str">
        <f>IF('TMP Paste'!$F1375="","",IF('TMP Paste'!$N1375="",$AM1374,'TMP Paste'!$N1375))</f>
        <v/>
      </c>
      <c r="AN1375" t="str">
        <f>IF('TMP Paste'!$F1375="","",IF('TMP Paste'!$O1375="",$AN1374,'TMP Paste'!$O1375))</f>
        <v/>
      </c>
      <c r="AO1375" t="str">
        <f>IF('TMP Paste'!$F1375="","",IF('TMP Paste'!$P1375="",$AO1374,'TMP Paste'!$P1375))</f>
        <v/>
      </c>
      <c r="AP1375" t="str">
        <f t="shared" si="131"/>
        <v/>
      </c>
      <c r="AQ1375" t="str">
        <f>IF($AS1375="","",TRIM(IF(COUNTIFS(Calc!$B$2:$B$1601,ROW()-1,Calc!$C$2:$C$1601,"&lt;1")&gt;0,"Ada PO tanpa Koli - cek TMP. ","")&amp;IF(OR($AU1375="",$AU1375&lt;=0),"Volume kosong/0 - dimensi dikosongkan. ","")&amp;IF(AND($AU1375&lt;&gt;"",$AU1375&gt;=1000000),"Volume &gt;= 1.000.000 cm3 (di luar aturan) - dimensi dikosongkan. ","")&amp;IF(LEN($R1375)&gt;500,"R &gt; 500 karakter.","")))</f>
        <v/>
      </c>
      <c r="AS1375" t="str">
        <f>IFERROR(MATCH(ROW()-1,Calc!$J$2:$J$1601,0),"")</f>
        <v/>
      </c>
      <c r="AT1375" t="str">
        <f>IFERROR(MATCH(ROW()-1,Calc!$K$2:$K$1601,0),"")</f>
        <v/>
      </c>
      <c r="AU1375" t="str">
        <f>IF($AS1375="","",IFERROR(INDEX('TMP Paste'!$D$2:$D$1601,$AS1375)*1000000/$AB1375,""))</f>
        <v/>
      </c>
    </row>
    <row r="1376" spans="1:47">
      <c r="A1376" t="str">
        <f>IF($AS1376="","",INDEX('TMP Paste'!$B$2:$B$1601,$AS1376))</f>
        <v/>
      </c>
      <c r="B1376" t="str">
        <f>IF($AS1376="","",Config!$B$14)</f>
        <v/>
      </c>
      <c r="C1376" t="str">
        <f>IF($AS1376="","",Config!$B$15)</f>
        <v/>
      </c>
      <c r="D1376" t="str">
        <f>IF($AS1376="","",INDEX('TMP Paste'!$B$2:$B$1601,$AS1376))</f>
        <v/>
      </c>
      <c r="E1376" t="str">
        <f>IF($AS1376="","",Config!$B$27)</f>
        <v/>
      </c>
      <c r="F1376" t="str">
        <f>IF($AS1376="","",Config!$B$9)</f>
        <v/>
      </c>
      <c r="G1376" t="str">
        <f>IF($AS1376="","",Config!$B$10)</f>
        <v/>
      </c>
      <c r="H1376" t="str">
        <f>IF($AS1376="","",Config!$B$11)</f>
        <v/>
      </c>
      <c r="I1376" t="str">
        <f>IF($AS1376="","",Config!$B$16)</f>
        <v/>
      </c>
      <c r="J1376" t="str">
        <f>IF($AS1376="","",INDEX('TMP Paste'!$A$2:$A$1601,$AS1376))</f>
        <v/>
      </c>
      <c r="K1376" t="str">
        <f>IF($AS1376="","",INDEX('TMP Paste'!$L$2:$L$1601,$AS1376))</f>
        <v/>
      </c>
      <c r="L1376" t="str">
        <f>IF($AS1376="","",INDEX('TMP Paste'!$I$2:$I$1601,$AS1376))</f>
        <v/>
      </c>
      <c r="M1376" t="str">
        <f>IF($AS1376="","",Config!$B$16)</f>
        <v/>
      </c>
      <c r="N1376" t="str">
        <f t="shared" si="126"/>
        <v/>
      </c>
      <c r="O1376" t="str">
        <f>IF($AS1376="","",INDEX('TMP Paste'!$K$2:$K$1601,$AS1376))</f>
        <v/>
      </c>
      <c r="P1376" t="str">
        <f t="shared" si="127"/>
        <v/>
      </c>
      <c r="Q1376" t="str">
        <f>IF($AS1376="","",INDEX('TMP Paste'!$J$2:$J$1601,$AS1376))</f>
        <v/>
      </c>
      <c r="R1376" t="str">
        <f>IF($AS1376="","",Config!$B$24)</f>
        <v/>
      </c>
      <c r="S1376" t="str">
        <f ca="1">IF($AS1376="","",TEXT(Config!$B$4,"yyyy-mm-dd"))</f>
        <v/>
      </c>
      <c r="T1376" t="str">
        <f>IF($AS1376="","",Config!$B$17)</f>
        <v/>
      </c>
      <c r="U1376" t="str">
        <f>IF($AS1376="","",Config!$B$18)</f>
        <v/>
      </c>
      <c r="V1376" t="str">
        <f>IF($AS1376="","",Config!$B$19)</f>
        <v/>
      </c>
      <c r="W1376" t="str">
        <f>IF($AS1376="","",INDEX('TMP Paste'!$C$2:$C$1601,$AS1376))</f>
        <v/>
      </c>
      <c r="X1376" t="str">
        <f>IF($AS1376="","",Config!$B$29)</f>
        <v/>
      </c>
      <c r="Y1376" t="str">
        <f>IF($AT1376="","",INDEX(Calc!$I$2:$I$1601,$AT1376)&amp;" - "&amp;INDEX(Calc!$D$2:$D$1601,$AT1376)&amp;" koli")</f>
        <v/>
      </c>
      <c r="Z1376" t="str">
        <f>IF($AS1376="","",Config!$B$21)</f>
        <v/>
      </c>
      <c r="AA1376" t="str">
        <f>IF($AS1376="","",Config!$B$22)</f>
        <v/>
      </c>
      <c r="AB1376" t="str">
        <f>IF($AT1376="","",INDEX(Calc!$D$2:$D$1601,$AT1376))</f>
        <v/>
      </c>
      <c r="AC1376" t="str">
        <f>IF($AT1376="","",INDEX(Calc!$G$2:$G$1601,$AT1376))</f>
        <v/>
      </c>
      <c r="AD1376" t="str">
        <f>IF($AS1376="","",Config!$B$23)</f>
        <v/>
      </c>
      <c r="AE1376" t="str">
        <f>IF($AS1376="","",Config!$B$28)</f>
        <v/>
      </c>
      <c r="AF1376" t="str">
        <f t="shared" si="128"/>
        <v/>
      </c>
      <c r="AG1376" t="str">
        <f t="shared" si="129"/>
        <v/>
      </c>
      <c r="AH1376" t="str">
        <f t="shared" si="130"/>
        <v/>
      </c>
      <c r="AI1376" t="str">
        <f>IF($AG1376="","",SUMIF($AG$2:$AG1376,$AG1376,$AH$2:$AH1376))</f>
        <v/>
      </c>
      <c r="AJ1376" t="str">
        <f>IF('TMP Paste'!$F1376="","",IF('TMP Paste'!$B1376="",$AJ1375,'TMP Paste'!$B1376))</f>
        <v/>
      </c>
      <c r="AK1376" t="str">
        <f>IF('TMP Paste'!$F1376="","",N('TMP Paste'!$G1376))</f>
        <v/>
      </c>
      <c r="AL1376" t="str">
        <f>IF('TMP Paste'!$F1376="","",IF('TMP Paste'!$M1376="",$AL1375,'TMP Paste'!$M1376))</f>
        <v/>
      </c>
      <c r="AM1376" t="str">
        <f>IF('TMP Paste'!$F1376="","",IF('TMP Paste'!$N1376="",$AM1375,'TMP Paste'!$N1376))</f>
        <v/>
      </c>
      <c r="AN1376" t="str">
        <f>IF('TMP Paste'!$F1376="","",IF('TMP Paste'!$O1376="",$AN1375,'TMP Paste'!$O1376))</f>
        <v/>
      </c>
      <c r="AO1376" t="str">
        <f>IF('TMP Paste'!$F1376="","",IF('TMP Paste'!$P1376="",$AO1375,'TMP Paste'!$P1376))</f>
        <v/>
      </c>
      <c r="AP1376" t="str">
        <f t="shared" si="131"/>
        <v/>
      </c>
      <c r="AQ1376" t="str">
        <f>IF($AS1376="","",TRIM(IF(COUNTIFS(Calc!$B$2:$B$1601,ROW()-1,Calc!$C$2:$C$1601,"&lt;1")&gt;0,"Ada PO tanpa Koli - cek TMP. ","")&amp;IF(OR($AU1376="",$AU1376&lt;=0),"Volume kosong/0 - dimensi dikosongkan. ","")&amp;IF(AND($AU1376&lt;&gt;"",$AU1376&gt;=1000000),"Volume &gt;= 1.000.000 cm3 (di luar aturan) - dimensi dikosongkan. ","")&amp;IF(LEN($R1376)&gt;500,"R &gt; 500 karakter.","")))</f>
        <v/>
      </c>
      <c r="AS1376" t="str">
        <f>IFERROR(MATCH(ROW()-1,Calc!$J$2:$J$1601,0),"")</f>
        <v/>
      </c>
      <c r="AT1376" t="str">
        <f>IFERROR(MATCH(ROW()-1,Calc!$K$2:$K$1601,0),"")</f>
        <v/>
      </c>
      <c r="AU1376" t="str">
        <f>IF($AS1376="","",IFERROR(INDEX('TMP Paste'!$D$2:$D$1601,$AS1376)*1000000/$AB1376,""))</f>
        <v/>
      </c>
    </row>
    <row r="1377" spans="1:47">
      <c r="A1377" t="str">
        <f>IF($AS1377="","",INDEX('TMP Paste'!$B$2:$B$1601,$AS1377))</f>
        <v/>
      </c>
      <c r="B1377" t="str">
        <f>IF($AS1377="","",Config!$B$14)</f>
        <v/>
      </c>
      <c r="C1377" t="str">
        <f>IF($AS1377="","",Config!$B$15)</f>
        <v/>
      </c>
      <c r="D1377" t="str">
        <f>IF($AS1377="","",INDEX('TMP Paste'!$B$2:$B$1601,$AS1377))</f>
        <v/>
      </c>
      <c r="E1377" t="str">
        <f>IF($AS1377="","",Config!$B$27)</f>
        <v/>
      </c>
      <c r="F1377" t="str">
        <f>IF($AS1377="","",Config!$B$9)</f>
        <v/>
      </c>
      <c r="G1377" t="str">
        <f>IF($AS1377="","",Config!$B$10)</f>
        <v/>
      </c>
      <c r="H1377" t="str">
        <f>IF($AS1377="","",Config!$B$11)</f>
        <v/>
      </c>
      <c r="I1377" t="str">
        <f>IF($AS1377="","",Config!$B$16)</f>
        <v/>
      </c>
      <c r="J1377" t="str">
        <f>IF($AS1377="","",INDEX('TMP Paste'!$A$2:$A$1601,$AS1377))</f>
        <v/>
      </c>
      <c r="K1377" t="str">
        <f>IF($AS1377="","",INDEX('TMP Paste'!$L$2:$L$1601,$AS1377))</f>
        <v/>
      </c>
      <c r="L1377" t="str">
        <f>IF($AS1377="","",INDEX('TMP Paste'!$I$2:$I$1601,$AS1377))</f>
        <v/>
      </c>
      <c r="M1377" t="str">
        <f>IF($AS1377="","",Config!$B$16)</f>
        <v/>
      </c>
      <c r="N1377" t="str">
        <f t="shared" si="126"/>
        <v/>
      </c>
      <c r="O1377" t="str">
        <f>IF($AS1377="","",INDEX('TMP Paste'!$K$2:$K$1601,$AS1377))</f>
        <v/>
      </c>
      <c r="P1377" t="str">
        <f t="shared" si="127"/>
        <v/>
      </c>
      <c r="Q1377" t="str">
        <f>IF($AS1377="","",INDEX('TMP Paste'!$J$2:$J$1601,$AS1377))</f>
        <v/>
      </c>
      <c r="R1377" t="str">
        <f>IF($AS1377="","",Config!$B$24)</f>
        <v/>
      </c>
      <c r="S1377" t="str">
        <f ca="1">IF($AS1377="","",TEXT(Config!$B$4,"yyyy-mm-dd"))</f>
        <v/>
      </c>
      <c r="T1377" t="str">
        <f>IF($AS1377="","",Config!$B$17)</f>
        <v/>
      </c>
      <c r="U1377" t="str">
        <f>IF($AS1377="","",Config!$B$18)</f>
        <v/>
      </c>
      <c r="V1377" t="str">
        <f>IF($AS1377="","",Config!$B$19)</f>
        <v/>
      </c>
      <c r="W1377" t="str">
        <f>IF($AS1377="","",INDEX('TMP Paste'!$C$2:$C$1601,$AS1377))</f>
        <v/>
      </c>
      <c r="X1377" t="str">
        <f>IF($AS1377="","",Config!$B$29)</f>
        <v/>
      </c>
      <c r="Y1377" t="str">
        <f>IF($AT1377="","",INDEX(Calc!$I$2:$I$1601,$AT1377)&amp;" - "&amp;INDEX(Calc!$D$2:$D$1601,$AT1377)&amp;" koli")</f>
        <v/>
      </c>
      <c r="Z1377" t="str">
        <f>IF($AS1377="","",Config!$B$21)</f>
        <v/>
      </c>
      <c r="AA1377" t="str">
        <f>IF($AS1377="","",Config!$B$22)</f>
        <v/>
      </c>
      <c r="AB1377" t="str">
        <f>IF($AT1377="","",INDEX(Calc!$D$2:$D$1601,$AT1377))</f>
        <v/>
      </c>
      <c r="AC1377" t="str">
        <f>IF($AT1377="","",INDEX(Calc!$G$2:$G$1601,$AT1377))</f>
        <v/>
      </c>
      <c r="AD1377" t="str">
        <f>IF($AS1377="","",Config!$B$23)</f>
        <v/>
      </c>
      <c r="AE1377" t="str">
        <f>IF($AS1377="","",Config!$B$28)</f>
        <v/>
      </c>
      <c r="AF1377" t="str">
        <f t="shared" si="128"/>
        <v/>
      </c>
      <c r="AG1377" t="str">
        <f t="shared" si="129"/>
        <v/>
      </c>
      <c r="AH1377" t="str">
        <f t="shared" si="130"/>
        <v/>
      </c>
      <c r="AI1377" t="str">
        <f>IF($AG1377="","",SUMIF($AG$2:$AG1377,$AG1377,$AH$2:$AH1377))</f>
        <v/>
      </c>
      <c r="AJ1377" t="str">
        <f>IF('TMP Paste'!$F1377="","",IF('TMP Paste'!$B1377="",$AJ1376,'TMP Paste'!$B1377))</f>
        <v/>
      </c>
      <c r="AK1377" t="str">
        <f>IF('TMP Paste'!$F1377="","",N('TMP Paste'!$G1377))</f>
        <v/>
      </c>
      <c r="AL1377" t="str">
        <f>IF('TMP Paste'!$F1377="","",IF('TMP Paste'!$M1377="",$AL1376,'TMP Paste'!$M1377))</f>
        <v/>
      </c>
      <c r="AM1377" t="str">
        <f>IF('TMP Paste'!$F1377="","",IF('TMP Paste'!$N1377="",$AM1376,'TMP Paste'!$N1377))</f>
        <v/>
      </c>
      <c r="AN1377" t="str">
        <f>IF('TMP Paste'!$F1377="","",IF('TMP Paste'!$O1377="",$AN1376,'TMP Paste'!$O1377))</f>
        <v/>
      </c>
      <c r="AO1377" t="str">
        <f>IF('TMP Paste'!$F1377="","",IF('TMP Paste'!$P1377="",$AO1376,'TMP Paste'!$P1377))</f>
        <v/>
      </c>
      <c r="AP1377" t="str">
        <f t="shared" si="131"/>
        <v/>
      </c>
      <c r="AQ1377" t="str">
        <f>IF($AS1377="","",TRIM(IF(COUNTIFS(Calc!$B$2:$B$1601,ROW()-1,Calc!$C$2:$C$1601,"&lt;1")&gt;0,"Ada PO tanpa Koli - cek TMP. ","")&amp;IF(OR($AU1377="",$AU1377&lt;=0),"Volume kosong/0 - dimensi dikosongkan. ","")&amp;IF(AND($AU1377&lt;&gt;"",$AU1377&gt;=1000000),"Volume &gt;= 1.000.000 cm3 (di luar aturan) - dimensi dikosongkan. ","")&amp;IF(LEN($R1377)&gt;500,"R &gt; 500 karakter.","")))</f>
        <v/>
      </c>
      <c r="AS1377" t="str">
        <f>IFERROR(MATCH(ROW()-1,Calc!$J$2:$J$1601,0),"")</f>
        <v/>
      </c>
      <c r="AT1377" t="str">
        <f>IFERROR(MATCH(ROW()-1,Calc!$K$2:$K$1601,0),"")</f>
        <v/>
      </c>
      <c r="AU1377" t="str">
        <f>IF($AS1377="","",IFERROR(INDEX('TMP Paste'!$D$2:$D$1601,$AS1377)*1000000/$AB1377,""))</f>
        <v/>
      </c>
    </row>
    <row r="1378" spans="1:47">
      <c r="A1378" t="str">
        <f>IF($AS1378="","",INDEX('TMP Paste'!$B$2:$B$1601,$AS1378))</f>
        <v/>
      </c>
      <c r="B1378" t="str">
        <f>IF($AS1378="","",Config!$B$14)</f>
        <v/>
      </c>
      <c r="C1378" t="str">
        <f>IF($AS1378="","",Config!$B$15)</f>
        <v/>
      </c>
      <c r="D1378" t="str">
        <f>IF($AS1378="","",INDEX('TMP Paste'!$B$2:$B$1601,$AS1378))</f>
        <v/>
      </c>
      <c r="E1378" t="str">
        <f>IF($AS1378="","",Config!$B$27)</f>
        <v/>
      </c>
      <c r="F1378" t="str">
        <f>IF($AS1378="","",Config!$B$9)</f>
        <v/>
      </c>
      <c r="G1378" t="str">
        <f>IF($AS1378="","",Config!$B$10)</f>
        <v/>
      </c>
      <c r="H1378" t="str">
        <f>IF($AS1378="","",Config!$B$11)</f>
        <v/>
      </c>
      <c r="I1378" t="str">
        <f>IF($AS1378="","",Config!$B$16)</f>
        <v/>
      </c>
      <c r="J1378" t="str">
        <f>IF($AS1378="","",INDEX('TMP Paste'!$A$2:$A$1601,$AS1378))</f>
        <v/>
      </c>
      <c r="K1378" t="str">
        <f>IF($AS1378="","",INDEX('TMP Paste'!$L$2:$L$1601,$AS1378))</f>
        <v/>
      </c>
      <c r="L1378" t="str">
        <f>IF($AS1378="","",INDEX('TMP Paste'!$I$2:$I$1601,$AS1378))</f>
        <v/>
      </c>
      <c r="M1378" t="str">
        <f>IF($AS1378="","",Config!$B$16)</f>
        <v/>
      </c>
      <c r="N1378" t="str">
        <f t="shared" si="126"/>
        <v/>
      </c>
      <c r="O1378" t="str">
        <f>IF($AS1378="","",INDEX('TMP Paste'!$K$2:$K$1601,$AS1378))</f>
        <v/>
      </c>
      <c r="P1378" t="str">
        <f t="shared" si="127"/>
        <v/>
      </c>
      <c r="Q1378" t="str">
        <f>IF($AS1378="","",INDEX('TMP Paste'!$J$2:$J$1601,$AS1378))</f>
        <v/>
      </c>
      <c r="R1378" t="str">
        <f>IF($AS1378="","",Config!$B$24)</f>
        <v/>
      </c>
      <c r="S1378" t="str">
        <f ca="1">IF($AS1378="","",TEXT(Config!$B$4,"yyyy-mm-dd"))</f>
        <v/>
      </c>
      <c r="T1378" t="str">
        <f>IF($AS1378="","",Config!$B$17)</f>
        <v/>
      </c>
      <c r="U1378" t="str">
        <f>IF($AS1378="","",Config!$B$18)</f>
        <v/>
      </c>
      <c r="V1378" t="str">
        <f>IF($AS1378="","",Config!$B$19)</f>
        <v/>
      </c>
      <c r="W1378" t="str">
        <f>IF($AS1378="","",INDEX('TMP Paste'!$C$2:$C$1601,$AS1378))</f>
        <v/>
      </c>
      <c r="X1378" t="str">
        <f>IF($AS1378="","",Config!$B$29)</f>
        <v/>
      </c>
      <c r="Y1378" t="str">
        <f>IF($AT1378="","",INDEX(Calc!$I$2:$I$1601,$AT1378)&amp;" - "&amp;INDEX(Calc!$D$2:$D$1601,$AT1378)&amp;" koli")</f>
        <v/>
      </c>
      <c r="Z1378" t="str">
        <f>IF($AS1378="","",Config!$B$21)</f>
        <v/>
      </c>
      <c r="AA1378" t="str">
        <f>IF($AS1378="","",Config!$B$22)</f>
        <v/>
      </c>
      <c r="AB1378" t="str">
        <f>IF($AT1378="","",INDEX(Calc!$D$2:$D$1601,$AT1378))</f>
        <v/>
      </c>
      <c r="AC1378" t="str">
        <f>IF($AT1378="","",INDEX(Calc!$G$2:$G$1601,$AT1378))</f>
        <v/>
      </c>
      <c r="AD1378" t="str">
        <f>IF($AS1378="","",Config!$B$23)</f>
        <v/>
      </c>
      <c r="AE1378" t="str">
        <f>IF($AS1378="","",Config!$B$28)</f>
        <v/>
      </c>
      <c r="AF1378" t="str">
        <f t="shared" si="128"/>
        <v/>
      </c>
      <c r="AG1378" t="str">
        <f t="shared" si="129"/>
        <v/>
      </c>
      <c r="AH1378" t="str">
        <f t="shared" si="130"/>
        <v/>
      </c>
      <c r="AI1378" t="str">
        <f>IF($AG1378="","",SUMIF($AG$2:$AG1378,$AG1378,$AH$2:$AH1378))</f>
        <v/>
      </c>
      <c r="AJ1378" t="str">
        <f>IF('TMP Paste'!$F1378="","",IF('TMP Paste'!$B1378="",$AJ1377,'TMP Paste'!$B1378))</f>
        <v/>
      </c>
      <c r="AK1378" t="str">
        <f>IF('TMP Paste'!$F1378="","",N('TMP Paste'!$G1378))</f>
        <v/>
      </c>
      <c r="AL1378" t="str">
        <f>IF('TMP Paste'!$F1378="","",IF('TMP Paste'!$M1378="",$AL1377,'TMP Paste'!$M1378))</f>
        <v/>
      </c>
      <c r="AM1378" t="str">
        <f>IF('TMP Paste'!$F1378="","",IF('TMP Paste'!$N1378="",$AM1377,'TMP Paste'!$N1378))</f>
        <v/>
      </c>
      <c r="AN1378" t="str">
        <f>IF('TMP Paste'!$F1378="","",IF('TMP Paste'!$O1378="",$AN1377,'TMP Paste'!$O1378))</f>
        <v/>
      </c>
      <c r="AO1378" t="str">
        <f>IF('TMP Paste'!$F1378="","",IF('TMP Paste'!$P1378="",$AO1377,'TMP Paste'!$P1378))</f>
        <v/>
      </c>
      <c r="AP1378" t="str">
        <f t="shared" si="131"/>
        <v/>
      </c>
      <c r="AQ1378" t="str">
        <f>IF($AS1378="","",TRIM(IF(COUNTIFS(Calc!$B$2:$B$1601,ROW()-1,Calc!$C$2:$C$1601,"&lt;1")&gt;0,"Ada PO tanpa Koli - cek TMP. ","")&amp;IF(OR($AU1378="",$AU1378&lt;=0),"Volume kosong/0 - dimensi dikosongkan. ","")&amp;IF(AND($AU1378&lt;&gt;"",$AU1378&gt;=1000000),"Volume &gt;= 1.000.000 cm3 (di luar aturan) - dimensi dikosongkan. ","")&amp;IF(LEN($R1378)&gt;500,"R &gt; 500 karakter.","")))</f>
        <v/>
      </c>
      <c r="AS1378" t="str">
        <f>IFERROR(MATCH(ROW()-1,Calc!$J$2:$J$1601,0),"")</f>
        <v/>
      </c>
      <c r="AT1378" t="str">
        <f>IFERROR(MATCH(ROW()-1,Calc!$K$2:$K$1601,0),"")</f>
        <v/>
      </c>
      <c r="AU1378" t="str">
        <f>IF($AS1378="","",IFERROR(INDEX('TMP Paste'!$D$2:$D$1601,$AS1378)*1000000/$AB1378,""))</f>
        <v/>
      </c>
    </row>
    <row r="1379" spans="1:47">
      <c r="A1379" t="str">
        <f>IF($AS1379="","",INDEX('TMP Paste'!$B$2:$B$1601,$AS1379))</f>
        <v/>
      </c>
      <c r="B1379" t="str">
        <f>IF($AS1379="","",Config!$B$14)</f>
        <v/>
      </c>
      <c r="C1379" t="str">
        <f>IF($AS1379="","",Config!$B$15)</f>
        <v/>
      </c>
      <c r="D1379" t="str">
        <f>IF($AS1379="","",INDEX('TMP Paste'!$B$2:$B$1601,$AS1379))</f>
        <v/>
      </c>
      <c r="E1379" t="str">
        <f>IF($AS1379="","",Config!$B$27)</f>
        <v/>
      </c>
      <c r="F1379" t="str">
        <f>IF($AS1379="","",Config!$B$9)</f>
        <v/>
      </c>
      <c r="G1379" t="str">
        <f>IF($AS1379="","",Config!$B$10)</f>
        <v/>
      </c>
      <c r="H1379" t="str">
        <f>IF($AS1379="","",Config!$B$11)</f>
        <v/>
      </c>
      <c r="I1379" t="str">
        <f>IF($AS1379="","",Config!$B$16)</f>
        <v/>
      </c>
      <c r="J1379" t="str">
        <f>IF($AS1379="","",INDEX('TMP Paste'!$A$2:$A$1601,$AS1379))</f>
        <v/>
      </c>
      <c r="K1379" t="str">
        <f>IF($AS1379="","",INDEX('TMP Paste'!$L$2:$L$1601,$AS1379))</f>
        <v/>
      </c>
      <c r="L1379" t="str">
        <f>IF($AS1379="","",INDEX('TMP Paste'!$I$2:$I$1601,$AS1379))</f>
        <v/>
      </c>
      <c r="M1379" t="str">
        <f>IF($AS1379="","",Config!$B$16)</f>
        <v/>
      </c>
      <c r="N1379" t="str">
        <f t="shared" si="126"/>
        <v/>
      </c>
      <c r="O1379" t="str">
        <f>IF($AS1379="","",INDEX('TMP Paste'!$K$2:$K$1601,$AS1379))</f>
        <v/>
      </c>
      <c r="P1379" t="str">
        <f t="shared" si="127"/>
        <v/>
      </c>
      <c r="Q1379" t="str">
        <f>IF($AS1379="","",INDEX('TMP Paste'!$J$2:$J$1601,$AS1379))</f>
        <v/>
      </c>
      <c r="R1379" t="str">
        <f>IF($AS1379="","",Config!$B$24)</f>
        <v/>
      </c>
      <c r="S1379" t="str">
        <f ca="1">IF($AS1379="","",TEXT(Config!$B$4,"yyyy-mm-dd"))</f>
        <v/>
      </c>
      <c r="T1379" t="str">
        <f>IF($AS1379="","",Config!$B$17)</f>
        <v/>
      </c>
      <c r="U1379" t="str">
        <f>IF($AS1379="","",Config!$B$18)</f>
        <v/>
      </c>
      <c r="V1379" t="str">
        <f>IF($AS1379="","",Config!$B$19)</f>
        <v/>
      </c>
      <c r="W1379" t="str">
        <f>IF($AS1379="","",INDEX('TMP Paste'!$C$2:$C$1601,$AS1379))</f>
        <v/>
      </c>
      <c r="X1379" t="str">
        <f>IF($AS1379="","",Config!$B$29)</f>
        <v/>
      </c>
      <c r="Y1379" t="str">
        <f>IF($AT1379="","",INDEX(Calc!$I$2:$I$1601,$AT1379)&amp;" - "&amp;INDEX(Calc!$D$2:$D$1601,$AT1379)&amp;" koli")</f>
        <v/>
      </c>
      <c r="Z1379" t="str">
        <f>IF($AS1379="","",Config!$B$21)</f>
        <v/>
      </c>
      <c r="AA1379" t="str">
        <f>IF($AS1379="","",Config!$B$22)</f>
        <v/>
      </c>
      <c r="AB1379" t="str">
        <f>IF($AT1379="","",INDEX(Calc!$D$2:$D$1601,$AT1379))</f>
        <v/>
      </c>
      <c r="AC1379" t="str">
        <f>IF($AT1379="","",INDEX(Calc!$G$2:$G$1601,$AT1379))</f>
        <v/>
      </c>
      <c r="AD1379" t="str">
        <f>IF($AS1379="","",Config!$B$23)</f>
        <v/>
      </c>
      <c r="AE1379" t="str">
        <f>IF($AS1379="","",Config!$B$28)</f>
        <v/>
      </c>
      <c r="AF1379" t="str">
        <f t="shared" si="128"/>
        <v/>
      </c>
      <c r="AG1379" t="str">
        <f t="shared" si="129"/>
        <v/>
      </c>
      <c r="AH1379" t="str">
        <f t="shared" si="130"/>
        <v/>
      </c>
      <c r="AI1379" t="str">
        <f>IF($AG1379="","",SUMIF($AG$2:$AG1379,$AG1379,$AH$2:$AH1379))</f>
        <v/>
      </c>
      <c r="AJ1379" t="str">
        <f>IF('TMP Paste'!$F1379="","",IF('TMP Paste'!$B1379="",$AJ1378,'TMP Paste'!$B1379))</f>
        <v/>
      </c>
      <c r="AK1379" t="str">
        <f>IF('TMP Paste'!$F1379="","",N('TMP Paste'!$G1379))</f>
        <v/>
      </c>
      <c r="AL1379" t="str">
        <f>IF('TMP Paste'!$F1379="","",IF('TMP Paste'!$M1379="",$AL1378,'TMP Paste'!$M1379))</f>
        <v/>
      </c>
      <c r="AM1379" t="str">
        <f>IF('TMP Paste'!$F1379="","",IF('TMP Paste'!$N1379="",$AM1378,'TMP Paste'!$N1379))</f>
        <v/>
      </c>
      <c r="AN1379" t="str">
        <f>IF('TMP Paste'!$F1379="","",IF('TMP Paste'!$O1379="",$AN1378,'TMP Paste'!$O1379))</f>
        <v/>
      </c>
      <c r="AO1379" t="str">
        <f>IF('TMP Paste'!$F1379="","",IF('TMP Paste'!$P1379="",$AO1378,'TMP Paste'!$P1379))</f>
        <v/>
      </c>
      <c r="AP1379" t="str">
        <f t="shared" si="131"/>
        <v/>
      </c>
      <c r="AQ1379" t="str">
        <f>IF($AS1379="","",TRIM(IF(COUNTIFS(Calc!$B$2:$B$1601,ROW()-1,Calc!$C$2:$C$1601,"&lt;1")&gt;0,"Ada PO tanpa Koli - cek TMP. ","")&amp;IF(OR($AU1379="",$AU1379&lt;=0),"Volume kosong/0 - dimensi dikosongkan. ","")&amp;IF(AND($AU1379&lt;&gt;"",$AU1379&gt;=1000000),"Volume &gt;= 1.000.000 cm3 (di luar aturan) - dimensi dikosongkan. ","")&amp;IF(LEN($R1379)&gt;500,"R &gt; 500 karakter.","")))</f>
        <v/>
      </c>
      <c r="AS1379" t="str">
        <f>IFERROR(MATCH(ROW()-1,Calc!$J$2:$J$1601,0),"")</f>
        <v/>
      </c>
      <c r="AT1379" t="str">
        <f>IFERROR(MATCH(ROW()-1,Calc!$K$2:$K$1601,0),"")</f>
        <v/>
      </c>
      <c r="AU1379" t="str">
        <f>IF($AS1379="","",IFERROR(INDEX('TMP Paste'!$D$2:$D$1601,$AS1379)*1000000/$AB1379,""))</f>
        <v/>
      </c>
    </row>
    <row r="1380" spans="1:47">
      <c r="A1380" t="str">
        <f>IF($AS1380="","",INDEX('TMP Paste'!$B$2:$B$1601,$AS1380))</f>
        <v/>
      </c>
      <c r="B1380" t="str">
        <f>IF($AS1380="","",Config!$B$14)</f>
        <v/>
      </c>
      <c r="C1380" t="str">
        <f>IF($AS1380="","",Config!$B$15)</f>
        <v/>
      </c>
      <c r="D1380" t="str">
        <f>IF($AS1380="","",INDEX('TMP Paste'!$B$2:$B$1601,$AS1380))</f>
        <v/>
      </c>
      <c r="E1380" t="str">
        <f>IF($AS1380="","",Config!$B$27)</f>
        <v/>
      </c>
      <c r="F1380" t="str">
        <f>IF($AS1380="","",Config!$B$9)</f>
        <v/>
      </c>
      <c r="G1380" t="str">
        <f>IF($AS1380="","",Config!$B$10)</f>
        <v/>
      </c>
      <c r="H1380" t="str">
        <f>IF($AS1380="","",Config!$B$11)</f>
        <v/>
      </c>
      <c r="I1380" t="str">
        <f>IF($AS1380="","",Config!$B$16)</f>
        <v/>
      </c>
      <c r="J1380" t="str">
        <f>IF($AS1380="","",INDEX('TMP Paste'!$A$2:$A$1601,$AS1380))</f>
        <v/>
      </c>
      <c r="K1380" t="str">
        <f>IF($AS1380="","",INDEX('TMP Paste'!$L$2:$L$1601,$AS1380))</f>
        <v/>
      </c>
      <c r="L1380" t="str">
        <f>IF($AS1380="","",INDEX('TMP Paste'!$I$2:$I$1601,$AS1380))</f>
        <v/>
      </c>
      <c r="M1380" t="str">
        <f>IF($AS1380="","",Config!$B$16)</f>
        <v/>
      </c>
      <c r="N1380" t="str">
        <f t="shared" si="126"/>
        <v/>
      </c>
      <c r="O1380" t="str">
        <f>IF($AS1380="","",INDEX('TMP Paste'!$K$2:$K$1601,$AS1380))</f>
        <v/>
      </c>
      <c r="P1380" t="str">
        <f t="shared" si="127"/>
        <v/>
      </c>
      <c r="Q1380" t="str">
        <f>IF($AS1380="","",INDEX('TMP Paste'!$J$2:$J$1601,$AS1380))</f>
        <v/>
      </c>
      <c r="R1380" t="str">
        <f>IF($AS1380="","",Config!$B$24)</f>
        <v/>
      </c>
      <c r="S1380" t="str">
        <f ca="1">IF($AS1380="","",TEXT(Config!$B$4,"yyyy-mm-dd"))</f>
        <v/>
      </c>
      <c r="T1380" t="str">
        <f>IF($AS1380="","",Config!$B$17)</f>
        <v/>
      </c>
      <c r="U1380" t="str">
        <f>IF($AS1380="","",Config!$B$18)</f>
        <v/>
      </c>
      <c r="V1380" t="str">
        <f>IF($AS1380="","",Config!$B$19)</f>
        <v/>
      </c>
      <c r="W1380" t="str">
        <f>IF($AS1380="","",INDEX('TMP Paste'!$C$2:$C$1601,$AS1380))</f>
        <v/>
      </c>
      <c r="X1380" t="str">
        <f>IF($AS1380="","",Config!$B$29)</f>
        <v/>
      </c>
      <c r="Y1380" t="str">
        <f>IF($AT1380="","",INDEX(Calc!$I$2:$I$1601,$AT1380)&amp;" - "&amp;INDEX(Calc!$D$2:$D$1601,$AT1380)&amp;" koli")</f>
        <v/>
      </c>
      <c r="Z1380" t="str">
        <f>IF($AS1380="","",Config!$B$21)</f>
        <v/>
      </c>
      <c r="AA1380" t="str">
        <f>IF($AS1380="","",Config!$B$22)</f>
        <v/>
      </c>
      <c r="AB1380" t="str">
        <f>IF($AT1380="","",INDEX(Calc!$D$2:$D$1601,$AT1380))</f>
        <v/>
      </c>
      <c r="AC1380" t="str">
        <f>IF($AT1380="","",INDEX(Calc!$G$2:$G$1601,$AT1380))</f>
        <v/>
      </c>
      <c r="AD1380" t="str">
        <f>IF($AS1380="","",Config!$B$23)</f>
        <v/>
      </c>
      <c r="AE1380" t="str">
        <f>IF($AS1380="","",Config!$B$28)</f>
        <v/>
      </c>
      <c r="AF1380" t="str">
        <f t="shared" si="128"/>
        <v/>
      </c>
      <c r="AG1380" t="str">
        <f t="shared" si="129"/>
        <v/>
      </c>
      <c r="AH1380" t="str">
        <f t="shared" si="130"/>
        <v/>
      </c>
      <c r="AI1380" t="str">
        <f>IF($AG1380="","",SUMIF($AG$2:$AG1380,$AG1380,$AH$2:$AH1380))</f>
        <v/>
      </c>
      <c r="AJ1380" t="str">
        <f>IF('TMP Paste'!$F1380="","",IF('TMP Paste'!$B1380="",$AJ1379,'TMP Paste'!$B1380))</f>
        <v/>
      </c>
      <c r="AK1380" t="str">
        <f>IF('TMP Paste'!$F1380="","",N('TMP Paste'!$G1380))</f>
        <v/>
      </c>
      <c r="AL1380" t="str">
        <f>IF('TMP Paste'!$F1380="","",IF('TMP Paste'!$M1380="",$AL1379,'TMP Paste'!$M1380))</f>
        <v/>
      </c>
      <c r="AM1380" t="str">
        <f>IF('TMP Paste'!$F1380="","",IF('TMP Paste'!$N1380="",$AM1379,'TMP Paste'!$N1380))</f>
        <v/>
      </c>
      <c r="AN1380" t="str">
        <f>IF('TMP Paste'!$F1380="","",IF('TMP Paste'!$O1380="",$AN1379,'TMP Paste'!$O1380))</f>
        <v/>
      </c>
      <c r="AO1380" t="str">
        <f>IF('TMP Paste'!$F1380="","",IF('TMP Paste'!$P1380="",$AO1379,'TMP Paste'!$P1380))</f>
        <v/>
      </c>
      <c r="AP1380" t="str">
        <f t="shared" si="131"/>
        <v/>
      </c>
      <c r="AQ1380" t="str">
        <f>IF($AS1380="","",TRIM(IF(COUNTIFS(Calc!$B$2:$B$1601,ROW()-1,Calc!$C$2:$C$1601,"&lt;1")&gt;0,"Ada PO tanpa Koli - cek TMP. ","")&amp;IF(OR($AU1380="",$AU1380&lt;=0),"Volume kosong/0 - dimensi dikosongkan. ","")&amp;IF(AND($AU1380&lt;&gt;"",$AU1380&gt;=1000000),"Volume &gt;= 1.000.000 cm3 (di luar aturan) - dimensi dikosongkan. ","")&amp;IF(LEN($R1380)&gt;500,"R &gt; 500 karakter.","")))</f>
        <v/>
      </c>
      <c r="AS1380" t="str">
        <f>IFERROR(MATCH(ROW()-1,Calc!$J$2:$J$1601,0),"")</f>
        <v/>
      </c>
      <c r="AT1380" t="str">
        <f>IFERROR(MATCH(ROW()-1,Calc!$K$2:$K$1601,0),"")</f>
        <v/>
      </c>
      <c r="AU1380" t="str">
        <f>IF($AS1380="","",IFERROR(INDEX('TMP Paste'!$D$2:$D$1601,$AS1380)*1000000/$AB1380,""))</f>
        <v/>
      </c>
    </row>
    <row r="1381" spans="1:47">
      <c r="A1381" t="str">
        <f>IF($AS1381="","",INDEX('TMP Paste'!$B$2:$B$1601,$AS1381))</f>
        <v/>
      </c>
      <c r="B1381" t="str">
        <f>IF($AS1381="","",Config!$B$14)</f>
        <v/>
      </c>
      <c r="C1381" t="str">
        <f>IF($AS1381="","",Config!$B$15)</f>
        <v/>
      </c>
      <c r="D1381" t="str">
        <f>IF($AS1381="","",INDEX('TMP Paste'!$B$2:$B$1601,$AS1381))</f>
        <v/>
      </c>
      <c r="E1381" t="str">
        <f>IF($AS1381="","",Config!$B$27)</f>
        <v/>
      </c>
      <c r="F1381" t="str">
        <f>IF($AS1381="","",Config!$B$9)</f>
        <v/>
      </c>
      <c r="G1381" t="str">
        <f>IF($AS1381="","",Config!$B$10)</f>
        <v/>
      </c>
      <c r="H1381" t="str">
        <f>IF($AS1381="","",Config!$B$11)</f>
        <v/>
      </c>
      <c r="I1381" t="str">
        <f>IF($AS1381="","",Config!$B$16)</f>
        <v/>
      </c>
      <c r="J1381" t="str">
        <f>IF($AS1381="","",INDEX('TMP Paste'!$A$2:$A$1601,$AS1381))</f>
        <v/>
      </c>
      <c r="K1381" t="str">
        <f>IF($AS1381="","",INDEX('TMP Paste'!$L$2:$L$1601,$AS1381))</f>
        <v/>
      </c>
      <c r="L1381" t="str">
        <f>IF($AS1381="","",INDEX('TMP Paste'!$I$2:$I$1601,$AS1381))</f>
        <v/>
      </c>
      <c r="M1381" t="str">
        <f>IF($AS1381="","",Config!$B$16)</f>
        <v/>
      </c>
      <c r="N1381" t="str">
        <f t="shared" si="126"/>
        <v/>
      </c>
      <c r="O1381" t="str">
        <f>IF($AS1381="","",INDEX('TMP Paste'!$K$2:$K$1601,$AS1381))</f>
        <v/>
      </c>
      <c r="P1381" t="str">
        <f t="shared" si="127"/>
        <v/>
      </c>
      <c r="Q1381" t="str">
        <f>IF($AS1381="","",INDEX('TMP Paste'!$J$2:$J$1601,$AS1381))</f>
        <v/>
      </c>
      <c r="R1381" t="str">
        <f>IF($AS1381="","",Config!$B$24)</f>
        <v/>
      </c>
      <c r="S1381" t="str">
        <f ca="1">IF($AS1381="","",TEXT(Config!$B$4,"yyyy-mm-dd"))</f>
        <v/>
      </c>
      <c r="T1381" t="str">
        <f>IF($AS1381="","",Config!$B$17)</f>
        <v/>
      </c>
      <c r="U1381" t="str">
        <f>IF($AS1381="","",Config!$B$18)</f>
        <v/>
      </c>
      <c r="V1381" t="str">
        <f>IF($AS1381="","",Config!$B$19)</f>
        <v/>
      </c>
      <c r="W1381" t="str">
        <f>IF($AS1381="","",INDEX('TMP Paste'!$C$2:$C$1601,$AS1381))</f>
        <v/>
      </c>
      <c r="X1381" t="str">
        <f>IF($AS1381="","",Config!$B$29)</f>
        <v/>
      </c>
      <c r="Y1381" t="str">
        <f>IF($AT1381="","",INDEX(Calc!$I$2:$I$1601,$AT1381)&amp;" - "&amp;INDEX(Calc!$D$2:$D$1601,$AT1381)&amp;" koli")</f>
        <v/>
      </c>
      <c r="Z1381" t="str">
        <f>IF($AS1381="","",Config!$B$21)</f>
        <v/>
      </c>
      <c r="AA1381" t="str">
        <f>IF($AS1381="","",Config!$B$22)</f>
        <v/>
      </c>
      <c r="AB1381" t="str">
        <f>IF($AT1381="","",INDEX(Calc!$D$2:$D$1601,$AT1381))</f>
        <v/>
      </c>
      <c r="AC1381" t="str">
        <f>IF($AT1381="","",INDEX(Calc!$G$2:$G$1601,$AT1381))</f>
        <v/>
      </c>
      <c r="AD1381" t="str">
        <f>IF($AS1381="","",Config!$B$23)</f>
        <v/>
      </c>
      <c r="AE1381" t="str">
        <f>IF($AS1381="","",Config!$B$28)</f>
        <v/>
      </c>
      <c r="AF1381" t="str">
        <f t="shared" si="128"/>
        <v/>
      </c>
      <c r="AG1381" t="str">
        <f t="shared" si="129"/>
        <v/>
      </c>
      <c r="AH1381" t="str">
        <f t="shared" si="130"/>
        <v/>
      </c>
      <c r="AI1381" t="str">
        <f>IF($AG1381="","",SUMIF($AG$2:$AG1381,$AG1381,$AH$2:$AH1381))</f>
        <v/>
      </c>
      <c r="AJ1381" t="str">
        <f>IF('TMP Paste'!$F1381="","",IF('TMP Paste'!$B1381="",$AJ1380,'TMP Paste'!$B1381))</f>
        <v/>
      </c>
      <c r="AK1381" t="str">
        <f>IF('TMP Paste'!$F1381="","",N('TMP Paste'!$G1381))</f>
        <v/>
      </c>
      <c r="AL1381" t="str">
        <f>IF('TMP Paste'!$F1381="","",IF('TMP Paste'!$M1381="",$AL1380,'TMP Paste'!$M1381))</f>
        <v/>
      </c>
      <c r="AM1381" t="str">
        <f>IF('TMP Paste'!$F1381="","",IF('TMP Paste'!$N1381="",$AM1380,'TMP Paste'!$N1381))</f>
        <v/>
      </c>
      <c r="AN1381" t="str">
        <f>IF('TMP Paste'!$F1381="","",IF('TMP Paste'!$O1381="",$AN1380,'TMP Paste'!$O1381))</f>
        <v/>
      </c>
      <c r="AO1381" t="str">
        <f>IF('TMP Paste'!$F1381="","",IF('TMP Paste'!$P1381="",$AO1380,'TMP Paste'!$P1381))</f>
        <v/>
      </c>
      <c r="AP1381" t="str">
        <f t="shared" si="131"/>
        <v/>
      </c>
      <c r="AQ1381" t="str">
        <f>IF($AS1381="","",TRIM(IF(COUNTIFS(Calc!$B$2:$B$1601,ROW()-1,Calc!$C$2:$C$1601,"&lt;1")&gt;0,"Ada PO tanpa Koli - cek TMP. ","")&amp;IF(OR($AU1381="",$AU1381&lt;=0),"Volume kosong/0 - dimensi dikosongkan. ","")&amp;IF(AND($AU1381&lt;&gt;"",$AU1381&gt;=1000000),"Volume &gt;= 1.000.000 cm3 (di luar aturan) - dimensi dikosongkan. ","")&amp;IF(LEN($R1381)&gt;500,"R &gt; 500 karakter.","")))</f>
        <v/>
      </c>
      <c r="AS1381" t="str">
        <f>IFERROR(MATCH(ROW()-1,Calc!$J$2:$J$1601,0),"")</f>
        <v/>
      </c>
      <c r="AT1381" t="str">
        <f>IFERROR(MATCH(ROW()-1,Calc!$K$2:$K$1601,0),"")</f>
        <v/>
      </c>
      <c r="AU1381" t="str">
        <f>IF($AS1381="","",IFERROR(INDEX('TMP Paste'!$D$2:$D$1601,$AS1381)*1000000/$AB1381,""))</f>
        <v/>
      </c>
    </row>
    <row r="1382" spans="1:47">
      <c r="A1382" t="str">
        <f>IF($AS1382="","",INDEX('TMP Paste'!$B$2:$B$1601,$AS1382))</f>
        <v/>
      </c>
      <c r="B1382" t="str">
        <f>IF($AS1382="","",Config!$B$14)</f>
        <v/>
      </c>
      <c r="C1382" t="str">
        <f>IF($AS1382="","",Config!$B$15)</f>
        <v/>
      </c>
      <c r="D1382" t="str">
        <f>IF($AS1382="","",INDEX('TMP Paste'!$B$2:$B$1601,$AS1382))</f>
        <v/>
      </c>
      <c r="E1382" t="str">
        <f>IF($AS1382="","",Config!$B$27)</f>
        <v/>
      </c>
      <c r="F1382" t="str">
        <f>IF($AS1382="","",Config!$B$9)</f>
        <v/>
      </c>
      <c r="G1382" t="str">
        <f>IF($AS1382="","",Config!$B$10)</f>
        <v/>
      </c>
      <c r="H1382" t="str">
        <f>IF($AS1382="","",Config!$B$11)</f>
        <v/>
      </c>
      <c r="I1382" t="str">
        <f>IF($AS1382="","",Config!$B$16)</f>
        <v/>
      </c>
      <c r="J1382" t="str">
        <f>IF($AS1382="","",INDEX('TMP Paste'!$A$2:$A$1601,$AS1382))</f>
        <v/>
      </c>
      <c r="K1382" t="str">
        <f>IF($AS1382="","",INDEX('TMP Paste'!$L$2:$L$1601,$AS1382))</f>
        <v/>
      </c>
      <c r="L1382" t="str">
        <f>IF($AS1382="","",INDEX('TMP Paste'!$I$2:$I$1601,$AS1382))</f>
        <v/>
      </c>
      <c r="M1382" t="str">
        <f>IF($AS1382="","",Config!$B$16)</f>
        <v/>
      </c>
      <c r="N1382" t="str">
        <f t="shared" si="126"/>
        <v/>
      </c>
      <c r="O1382" t="str">
        <f>IF($AS1382="","",INDEX('TMP Paste'!$K$2:$K$1601,$AS1382))</f>
        <v/>
      </c>
      <c r="P1382" t="str">
        <f t="shared" si="127"/>
        <v/>
      </c>
      <c r="Q1382" t="str">
        <f>IF($AS1382="","",INDEX('TMP Paste'!$J$2:$J$1601,$AS1382))</f>
        <v/>
      </c>
      <c r="R1382" t="str">
        <f>IF($AS1382="","",Config!$B$24)</f>
        <v/>
      </c>
      <c r="S1382" t="str">
        <f ca="1">IF($AS1382="","",TEXT(Config!$B$4,"yyyy-mm-dd"))</f>
        <v/>
      </c>
      <c r="T1382" t="str">
        <f>IF($AS1382="","",Config!$B$17)</f>
        <v/>
      </c>
      <c r="U1382" t="str">
        <f>IF($AS1382="","",Config!$B$18)</f>
        <v/>
      </c>
      <c r="V1382" t="str">
        <f>IF($AS1382="","",Config!$B$19)</f>
        <v/>
      </c>
      <c r="W1382" t="str">
        <f>IF($AS1382="","",INDEX('TMP Paste'!$C$2:$C$1601,$AS1382))</f>
        <v/>
      </c>
      <c r="X1382" t="str">
        <f>IF($AS1382="","",Config!$B$29)</f>
        <v/>
      </c>
      <c r="Y1382" t="str">
        <f>IF($AT1382="","",INDEX(Calc!$I$2:$I$1601,$AT1382)&amp;" - "&amp;INDEX(Calc!$D$2:$D$1601,$AT1382)&amp;" koli")</f>
        <v/>
      </c>
      <c r="Z1382" t="str">
        <f>IF($AS1382="","",Config!$B$21)</f>
        <v/>
      </c>
      <c r="AA1382" t="str">
        <f>IF($AS1382="","",Config!$B$22)</f>
        <v/>
      </c>
      <c r="AB1382" t="str">
        <f>IF($AT1382="","",INDEX(Calc!$D$2:$D$1601,$AT1382))</f>
        <v/>
      </c>
      <c r="AC1382" t="str">
        <f>IF($AT1382="","",INDEX(Calc!$G$2:$G$1601,$AT1382))</f>
        <v/>
      </c>
      <c r="AD1382" t="str">
        <f>IF($AS1382="","",Config!$B$23)</f>
        <v/>
      </c>
      <c r="AE1382" t="str">
        <f>IF($AS1382="","",Config!$B$28)</f>
        <v/>
      </c>
      <c r="AF1382" t="str">
        <f t="shared" si="128"/>
        <v/>
      </c>
      <c r="AG1382" t="str">
        <f t="shared" si="129"/>
        <v/>
      </c>
      <c r="AH1382" t="str">
        <f t="shared" si="130"/>
        <v/>
      </c>
      <c r="AI1382" t="str">
        <f>IF($AG1382="","",SUMIF($AG$2:$AG1382,$AG1382,$AH$2:$AH1382))</f>
        <v/>
      </c>
      <c r="AJ1382" t="str">
        <f>IF('TMP Paste'!$F1382="","",IF('TMP Paste'!$B1382="",$AJ1381,'TMP Paste'!$B1382))</f>
        <v/>
      </c>
      <c r="AK1382" t="str">
        <f>IF('TMP Paste'!$F1382="","",N('TMP Paste'!$G1382))</f>
        <v/>
      </c>
      <c r="AL1382" t="str">
        <f>IF('TMP Paste'!$F1382="","",IF('TMP Paste'!$M1382="",$AL1381,'TMP Paste'!$M1382))</f>
        <v/>
      </c>
      <c r="AM1382" t="str">
        <f>IF('TMP Paste'!$F1382="","",IF('TMP Paste'!$N1382="",$AM1381,'TMP Paste'!$N1382))</f>
        <v/>
      </c>
      <c r="AN1382" t="str">
        <f>IF('TMP Paste'!$F1382="","",IF('TMP Paste'!$O1382="",$AN1381,'TMP Paste'!$O1382))</f>
        <v/>
      </c>
      <c r="AO1382" t="str">
        <f>IF('TMP Paste'!$F1382="","",IF('TMP Paste'!$P1382="",$AO1381,'TMP Paste'!$P1382))</f>
        <v/>
      </c>
      <c r="AP1382" t="str">
        <f t="shared" si="131"/>
        <v/>
      </c>
      <c r="AQ1382" t="str">
        <f>IF($AS1382="","",TRIM(IF(COUNTIFS(Calc!$B$2:$B$1601,ROW()-1,Calc!$C$2:$C$1601,"&lt;1")&gt;0,"Ada PO tanpa Koli - cek TMP. ","")&amp;IF(OR($AU1382="",$AU1382&lt;=0),"Volume kosong/0 - dimensi dikosongkan. ","")&amp;IF(AND($AU1382&lt;&gt;"",$AU1382&gt;=1000000),"Volume &gt;= 1.000.000 cm3 (di luar aturan) - dimensi dikosongkan. ","")&amp;IF(LEN($R1382)&gt;500,"R &gt; 500 karakter.","")))</f>
        <v/>
      </c>
      <c r="AS1382" t="str">
        <f>IFERROR(MATCH(ROW()-1,Calc!$J$2:$J$1601,0),"")</f>
        <v/>
      </c>
      <c r="AT1382" t="str">
        <f>IFERROR(MATCH(ROW()-1,Calc!$K$2:$K$1601,0),"")</f>
        <v/>
      </c>
      <c r="AU1382" t="str">
        <f>IF($AS1382="","",IFERROR(INDEX('TMP Paste'!$D$2:$D$1601,$AS1382)*1000000/$AB1382,""))</f>
        <v/>
      </c>
    </row>
    <row r="1383" spans="1:47">
      <c r="A1383" t="str">
        <f>IF($AS1383="","",INDEX('TMP Paste'!$B$2:$B$1601,$AS1383))</f>
        <v/>
      </c>
      <c r="B1383" t="str">
        <f>IF($AS1383="","",Config!$B$14)</f>
        <v/>
      </c>
      <c r="C1383" t="str">
        <f>IF($AS1383="","",Config!$B$15)</f>
        <v/>
      </c>
      <c r="D1383" t="str">
        <f>IF($AS1383="","",INDEX('TMP Paste'!$B$2:$B$1601,$AS1383))</f>
        <v/>
      </c>
      <c r="E1383" t="str">
        <f>IF($AS1383="","",Config!$B$27)</f>
        <v/>
      </c>
      <c r="F1383" t="str">
        <f>IF($AS1383="","",Config!$B$9)</f>
        <v/>
      </c>
      <c r="G1383" t="str">
        <f>IF($AS1383="","",Config!$B$10)</f>
        <v/>
      </c>
      <c r="H1383" t="str">
        <f>IF($AS1383="","",Config!$B$11)</f>
        <v/>
      </c>
      <c r="I1383" t="str">
        <f>IF($AS1383="","",Config!$B$16)</f>
        <v/>
      </c>
      <c r="J1383" t="str">
        <f>IF($AS1383="","",INDEX('TMP Paste'!$A$2:$A$1601,$AS1383))</f>
        <v/>
      </c>
      <c r="K1383" t="str">
        <f>IF($AS1383="","",INDEX('TMP Paste'!$L$2:$L$1601,$AS1383))</f>
        <v/>
      </c>
      <c r="L1383" t="str">
        <f>IF($AS1383="","",INDEX('TMP Paste'!$I$2:$I$1601,$AS1383))</f>
        <v/>
      </c>
      <c r="M1383" t="str">
        <f>IF($AS1383="","",Config!$B$16)</f>
        <v/>
      </c>
      <c r="N1383" t="str">
        <f t="shared" si="126"/>
        <v/>
      </c>
      <c r="O1383" t="str">
        <f>IF($AS1383="","",INDEX('TMP Paste'!$K$2:$K$1601,$AS1383))</f>
        <v/>
      </c>
      <c r="P1383" t="str">
        <f t="shared" si="127"/>
        <v/>
      </c>
      <c r="Q1383" t="str">
        <f>IF($AS1383="","",INDEX('TMP Paste'!$J$2:$J$1601,$AS1383))</f>
        <v/>
      </c>
      <c r="R1383" t="str">
        <f>IF($AS1383="","",Config!$B$24)</f>
        <v/>
      </c>
      <c r="S1383" t="str">
        <f ca="1">IF($AS1383="","",TEXT(Config!$B$4,"yyyy-mm-dd"))</f>
        <v/>
      </c>
      <c r="T1383" t="str">
        <f>IF($AS1383="","",Config!$B$17)</f>
        <v/>
      </c>
      <c r="U1383" t="str">
        <f>IF($AS1383="","",Config!$B$18)</f>
        <v/>
      </c>
      <c r="V1383" t="str">
        <f>IF($AS1383="","",Config!$B$19)</f>
        <v/>
      </c>
      <c r="W1383" t="str">
        <f>IF($AS1383="","",INDEX('TMP Paste'!$C$2:$C$1601,$AS1383))</f>
        <v/>
      </c>
      <c r="X1383" t="str">
        <f>IF($AS1383="","",Config!$B$29)</f>
        <v/>
      </c>
      <c r="Y1383" t="str">
        <f>IF($AT1383="","",INDEX(Calc!$I$2:$I$1601,$AT1383)&amp;" - "&amp;INDEX(Calc!$D$2:$D$1601,$AT1383)&amp;" koli")</f>
        <v/>
      </c>
      <c r="Z1383" t="str">
        <f>IF($AS1383="","",Config!$B$21)</f>
        <v/>
      </c>
      <c r="AA1383" t="str">
        <f>IF($AS1383="","",Config!$B$22)</f>
        <v/>
      </c>
      <c r="AB1383" t="str">
        <f>IF($AT1383="","",INDEX(Calc!$D$2:$D$1601,$AT1383))</f>
        <v/>
      </c>
      <c r="AC1383" t="str">
        <f>IF($AT1383="","",INDEX(Calc!$G$2:$G$1601,$AT1383))</f>
        <v/>
      </c>
      <c r="AD1383" t="str">
        <f>IF($AS1383="","",Config!$B$23)</f>
        <v/>
      </c>
      <c r="AE1383" t="str">
        <f>IF($AS1383="","",Config!$B$28)</f>
        <v/>
      </c>
      <c r="AF1383" t="str">
        <f t="shared" si="128"/>
        <v/>
      </c>
      <c r="AG1383" t="str">
        <f t="shared" si="129"/>
        <v/>
      </c>
      <c r="AH1383" t="str">
        <f t="shared" si="130"/>
        <v/>
      </c>
      <c r="AI1383" t="str">
        <f>IF($AG1383="","",SUMIF($AG$2:$AG1383,$AG1383,$AH$2:$AH1383))</f>
        <v/>
      </c>
      <c r="AJ1383" t="str">
        <f>IF('TMP Paste'!$F1383="","",IF('TMP Paste'!$B1383="",$AJ1382,'TMP Paste'!$B1383))</f>
        <v/>
      </c>
      <c r="AK1383" t="str">
        <f>IF('TMP Paste'!$F1383="","",N('TMP Paste'!$G1383))</f>
        <v/>
      </c>
      <c r="AL1383" t="str">
        <f>IF('TMP Paste'!$F1383="","",IF('TMP Paste'!$M1383="",$AL1382,'TMP Paste'!$M1383))</f>
        <v/>
      </c>
      <c r="AM1383" t="str">
        <f>IF('TMP Paste'!$F1383="","",IF('TMP Paste'!$N1383="",$AM1382,'TMP Paste'!$N1383))</f>
        <v/>
      </c>
      <c r="AN1383" t="str">
        <f>IF('TMP Paste'!$F1383="","",IF('TMP Paste'!$O1383="",$AN1382,'TMP Paste'!$O1383))</f>
        <v/>
      </c>
      <c r="AO1383" t="str">
        <f>IF('TMP Paste'!$F1383="","",IF('TMP Paste'!$P1383="",$AO1382,'TMP Paste'!$P1383))</f>
        <v/>
      </c>
      <c r="AP1383" t="str">
        <f t="shared" si="131"/>
        <v/>
      </c>
      <c r="AQ1383" t="str">
        <f>IF($AS1383="","",TRIM(IF(COUNTIFS(Calc!$B$2:$B$1601,ROW()-1,Calc!$C$2:$C$1601,"&lt;1")&gt;0,"Ada PO tanpa Koli - cek TMP. ","")&amp;IF(OR($AU1383="",$AU1383&lt;=0),"Volume kosong/0 - dimensi dikosongkan. ","")&amp;IF(AND($AU1383&lt;&gt;"",$AU1383&gt;=1000000),"Volume &gt;= 1.000.000 cm3 (di luar aturan) - dimensi dikosongkan. ","")&amp;IF(LEN($R1383)&gt;500,"R &gt; 500 karakter.","")))</f>
        <v/>
      </c>
      <c r="AS1383" t="str">
        <f>IFERROR(MATCH(ROW()-1,Calc!$J$2:$J$1601,0),"")</f>
        <v/>
      </c>
      <c r="AT1383" t="str">
        <f>IFERROR(MATCH(ROW()-1,Calc!$K$2:$K$1601,0),"")</f>
        <v/>
      </c>
      <c r="AU1383" t="str">
        <f>IF($AS1383="","",IFERROR(INDEX('TMP Paste'!$D$2:$D$1601,$AS1383)*1000000/$AB1383,""))</f>
        <v/>
      </c>
    </row>
    <row r="1384" spans="1:47">
      <c r="A1384" t="str">
        <f>IF($AS1384="","",INDEX('TMP Paste'!$B$2:$B$1601,$AS1384))</f>
        <v/>
      </c>
      <c r="B1384" t="str">
        <f>IF($AS1384="","",Config!$B$14)</f>
        <v/>
      </c>
      <c r="C1384" t="str">
        <f>IF($AS1384="","",Config!$B$15)</f>
        <v/>
      </c>
      <c r="D1384" t="str">
        <f>IF($AS1384="","",INDEX('TMP Paste'!$B$2:$B$1601,$AS1384))</f>
        <v/>
      </c>
      <c r="E1384" t="str">
        <f>IF($AS1384="","",Config!$B$27)</f>
        <v/>
      </c>
      <c r="F1384" t="str">
        <f>IF($AS1384="","",Config!$B$9)</f>
        <v/>
      </c>
      <c r="G1384" t="str">
        <f>IF($AS1384="","",Config!$B$10)</f>
        <v/>
      </c>
      <c r="H1384" t="str">
        <f>IF($AS1384="","",Config!$B$11)</f>
        <v/>
      </c>
      <c r="I1384" t="str">
        <f>IF($AS1384="","",Config!$B$16)</f>
        <v/>
      </c>
      <c r="J1384" t="str">
        <f>IF($AS1384="","",INDEX('TMP Paste'!$A$2:$A$1601,$AS1384))</f>
        <v/>
      </c>
      <c r="K1384" t="str">
        <f>IF($AS1384="","",INDEX('TMP Paste'!$L$2:$L$1601,$AS1384))</f>
        <v/>
      </c>
      <c r="L1384" t="str">
        <f>IF($AS1384="","",INDEX('TMP Paste'!$I$2:$I$1601,$AS1384))</f>
        <v/>
      </c>
      <c r="M1384" t="str">
        <f>IF($AS1384="","",Config!$B$16)</f>
        <v/>
      </c>
      <c r="N1384" t="str">
        <f t="shared" si="126"/>
        <v/>
      </c>
      <c r="O1384" t="str">
        <f>IF($AS1384="","",INDEX('TMP Paste'!$K$2:$K$1601,$AS1384))</f>
        <v/>
      </c>
      <c r="P1384" t="str">
        <f t="shared" si="127"/>
        <v/>
      </c>
      <c r="Q1384" t="str">
        <f>IF($AS1384="","",INDEX('TMP Paste'!$J$2:$J$1601,$AS1384))</f>
        <v/>
      </c>
      <c r="R1384" t="str">
        <f>IF($AS1384="","",Config!$B$24)</f>
        <v/>
      </c>
      <c r="S1384" t="str">
        <f ca="1">IF($AS1384="","",TEXT(Config!$B$4,"yyyy-mm-dd"))</f>
        <v/>
      </c>
      <c r="T1384" t="str">
        <f>IF($AS1384="","",Config!$B$17)</f>
        <v/>
      </c>
      <c r="U1384" t="str">
        <f>IF($AS1384="","",Config!$B$18)</f>
        <v/>
      </c>
      <c r="V1384" t="str">
        <f>IF($AS1384="","",Config!$B$19)</f>
        <v/>
      </c>
      <c r="W1384" t="str">
        <f>IF($AS1384="","",INDEX('TMP Paste'!$C$2:$C$1601,$AS1384))</f>
        <v/>
      </c>
      <c r="X1384" t="str">
        <f>IF($AS1384="","",Config!$B$29)</f>
        <v/>
      </c>
      <c r="Y1384" t="str">
        <f>IF($AT1384="","",INDEX(Calc!$I$2:$I$1601,$AT1384)&amp;" - "&amp;INDEX(Calc!$D$2:$D$1601,$AT1384)&amp;" koli")</f>
        <v/>
      </c>
      <c r="Z1384" t="str">
        <f>IF($AS1384="","",Config!$B$21)</f>
        <v/>
      </c>
      <c r="AA1384" t="str">
        <f>IF($AS1384="","",Config!$B$22)</f>
        <v/>
      </c>
      <c r="AB1384" t="str">
        <f>IF($AT1384="","",INDEX(Calc!$D$2:$D$1601,$AT1384))</f>
        <v/>
      </c>
      <c r="AC1384" t="str">
        <f>IF($AT1384="","",INDEX(Calc!$G$2:$G$1601,$AT1384))</f>
        <v/>
      </c>
      <c r="AD1384" t="str">
        <f>IF($AS1384="","",Config!$B$23)</f>
        <v/>
      </c>
      <c r="AE1384" t="str">
        <f>IF($AS1384="","",Config!$B$28)</f>
        <v/>
      </c>
      <c r="AF1384" t="str">
        <f t="shared" si="128"/>
        <v/>
      </c>
      <c r="AG1384" t="str">
        <f t="shared" si="129"/>
        <v/>
      </c>
      <c r="AH1384" t="str">
        <f t="shared" si="130"/>
        <v/>
      </c>
      <c r="AI1384" t="str">
        <f>IF($AG1384="","",SUMIF($AG$2:$AG1384,$AG1384,$AH$2:$AH1384))</f>
        <v/>
      </c>
      <c r="AJ1384" t="str">
        <f>IF('TMP Paste'!$F1384="","",IF('TMP Paste'!$B1384="",$AJ1383,'TMP Paste'!$B1384))</f>
        <v/>
      </c>
      <c r="AK1384" t="str">
        <f>IF('TMP Paste'!$F1384="","",N('TMP Paste'!$G1384))</f>
        <v/>
      </c>
      <c r="AL1384" t="str">
        <f>IF('TMP Paste'!$F1384="","",IF('TMP Paste'!$M1384="",$AL1383,'TMP Paste'!$M1384))</f>
        <v/>
      </c>
      <c r="AM1384" t="str">
        <f>IF('TMP Paste'!$F1384="","",IF('TMP Paste'!$N1384="",$AM1383,'TMP Paste'!$N1384))</f>
        <v/>
      </c>
      <c r="AN1384" t="str">
        <f>IF('TMP Paste'!$F1384="","",IF('TMP Paste'!$O1384="",$AN1383,'TMP Paste'!$O1384))</f>
        <v/>
      </c>
      <c r="AO1384" t="str">
        <f>IF('TMP Paste'!$F1384="","",IF('TMP Paste'!$P1384="",$AO1383,'TMP Paste'!$P1384))</f>
        <v/>
      </c>
      <c r="AP1384" t="str">
        <f t="shared" si="131"/>
        <v/>
      </c>
      <c r="AQ1384" t="str">
        <f>IF($AS1384="","",TRIM(IF(COUNTIFS(Calc!$B$2:$B$1601,ROW()-1,Calc!$C$2:$C$1601,"&lt;1")&gt;0,"Ada PO tanpa Koli - cek TMP. ","")&amp;IF(OR($AU1384="",$AU1384&lt;=0),"Volume kosong/0 - dimensi dikosongkan. ","")&amp;IF(AND($AU1384&lt;&gt;"",$AU1384&gt;=1000000),"Volume &gt;= 1.000.000 cm3 (di luar aturan) - dimensi dikosongkan. ","")&amp;IF(LEN($R1384)&gt;500,"R &gt; 500 karakter.","")))</f>
        <v/>
      </c>
      <c r="AS1384" t="str">
        <f>IFERROR(MATCH(ROW()-1,Calc!$J$2:$J$1601,0),"")</f>
        <v/>
      </c>
      <c r="AT1384" t="str">
        <f>IFERROR(MATCH(ROW()-1,Calc!$K$2:$K$1601,0),"")</f>
        <v/>
      </c>
      <c r="AU1384" t="str">
        <f>IF($AS1384="","",IFERROR(INDEX('TMP Paste'!$D$2:$D$1601,$AS1384)*1000000/$AB1384,""))</f>
        <v/>
      </c>
    </row>
    <row r="1385" spans="1:47">
      <c r="A1385" t="str">
        <f>IF($AS1385="","",INDEX('TMP Paste'!$B$2:$B$1601,$AS1385))</f>
        <v/>
      </c>
      <c r="B1385" t="str">
        <f>IF($AS1385="","",Config!$B$14)</f>
        <v/>
      </c>
      <c r="C1385" t="str">
        <f>IF($AS1385="","",Config!$B$15)</f>
        <v/>
      </c>
      <c r="D1385" t="str">
        <f>IF($AS1385="","",INDEX('TMP Paste'!$B$2:$B$1601,$AS1385))</f>
        <v/>
      </c>
      <c r="E1385" t="str">
        <f>IF($AS1385="","",Config!$B$27)</f>
        <v/>
      </c>
      <c r="F1385" t="str">
        <f>IF($AS1385="","",Config!$B$9)</f>
        <v/>
      </c>
      <c r="G1385" t="str">
        <f>IF($AS1385="","",Config!$B$10)</f>
        <v/>
      </c>
      <c r="H1385" t="str">
        <f>IF($AS1385="","",Config!$B$11)</f>
        <v/>
      </c>
      <c r="I1385" t="str">
        <f>IF($AS1385="","",Config!$B$16)</f>
        <v/>
      </c>
      <c r="J1385" t="str">
        <f>IF($AS1385="","",INDEX('TMP Paste'!$A$2:$A$1601,$AS1385))</f>
        <v/>
      </c>
      <c r="K1385" t="str">
        <f>IF($AS1385="","",INDEX('TMP Paste'!$L$2:$L$1601,$AS1385))</f>
        <v/>
      </c>
      <c r="L1385" t="str">
        <f>IF($AS1385="","",INDEX('TMP Paste'!$I$2:$I$1601,$AS1385))</f>
        <v/>
      </c>
      <c r="M1385" t="str">
        <f>IF($AS1385="","",Config!$B$16)</f>
        <v/>
      </c>
      <c r="N1385" t="str">
        <f t="shared" si="126"/>
        <v/>
      </c>
      <c r="O1385" t="str">
        <f>IF($AS1385="","",INDEX('TMP Paste'!$K$2:$K$1601,$AS1385))</f>
        <v/>
      </c>
      <c r="P1385" t="str">
        <f t="shared" si="127"/>
        <v/>
      </c>
      <c r="Q1385" t="str">
        <f>IF($AS1385="","",INDEX('TMP Paste'!$J$2:$J$1601,$AS1385))</f>
        <v/>
      </c>
      <c r="R1385" t="str">
        <f>IF($AS1385="","",Config!$B$24)</f>
        <v/>
      </c>
      <c r="S1385" t="str">
        <f ca="1">IF($AS1385="","",TEXT(Config!$B$4,"yyyy-mm-dd"))</f>
        <v/>
      </c>
      <c r="T1385" t="str">
        <f>IF($AS1385="","",Config!$B$17)</f>
        <v/>
      </c>
      <c r="U1385" t="str">
        <f>IF($AS1385="","",Config!$B$18)</f>
        <v/>
      </c>
      <c r="V1385" t="str">
        <f>IF($AS1385="","",Config!$B$19)</f>
        <v/>
      </c>
      <c r="W1385" t="str">
        <f>IF($AS1385="","",INDEX('TMP Paste'!$C$2:$C$1601,$AS1385))</f>
        <v/>
      </c>
      <c r="X1385" t="str">
        <f>IF($AS1385="","",Config!$B$29)</f>
        <v/>
      </c>
      <c r="Y1385" t="str">
        <f>IF($AT1385="","",INDEX(Calc!$I$2:$I$1601,$AT1385)&amp;" - "&amp;INDEX(Calc!$D$2:$D$1601,$AT1385)&amp;" koli")</f>
        <v/>
      </c>
      <c r="Z1385" t="str">
        <f>IF($AS1385="","",Config!$B$21)</f>
        <v/>
      </c>
      <c r="AA1385" t="str">
        <f>IF($AS1385="","",Config!$B$22)</f>
        <v/>
      </c>
      <c r="AB1385" t="str">
        <f>IF($AT1385="","",INDEX(Calc!$D$2:$D$1601,$AT1385))</f>
        <v/>
      </c>
      <c r="AC1385" t="str">
        <f>IF($AT1385="","",INDEX(Calc!$G$2:$G$1601,$AT1385))</f>
        <v/>
      </c>
      <c r="AD1385" t="str">
        <f>IF($AS1385="","",Config!$B$23)</f>
        <v/>
      </c>
      <c r="AE1385" t="str">
        <f>IF($AS1385="","",Config!$B$28)</f>
        <v/>
      </c>
      <c r="AF1385" t="str">
        <f t="shared" si="128"/>
        <v/>
      </c>
      <c r="AG1385" t="str">
        <f t="shared" si="129"/>
        <v/>
      </c>
      <c r="AH1385" t="str">
        <f t="shared" si="130"/>
        <v/>
      </c>
      <c r="AI1385" t="str">
        <f>IF($AG1385="","",SUMIF($AG$2:$AG1385,$AG1385,$AH$2:$AH1385))</f>
        <v/>
      </c>
      <c r="AJ1385" t="str">
        <f>IF('TMP Paste'!$F1385="","",IF('TMP Paste'!$B1385="",$AJ1384,'TMP Paste'!$B1385))</f>
        <v/>
      </c>
      <c r="AK1385" t="str">
        <f>IF('TMP Paste'!$F1385="","",N('TMP Paste'!$G1385))</f>
        <v/>
      </c>
      <c r="AL1385" t="str">
        <f>IF('TMP Paste'!$F1385="","",IF('TMP Paste'!$M1385="",$AL1384,'TMP Paste'!$M1385))</f>
        <v/>
      </c>
      <c r="AM1385" t="str">
        <f>IF('TMP Paste'!$F1385="","",IF('TMP Paste'!$N1385="",$AM1384,'TMP Paste'!$N1385))</f>
        <v/>
      </c>
      <c r="AN1385" t="str">
        <f>IF('TMP Paste'!$F1385="","",IF('TMP Paste'!$O1385="",$AN1384,'TMP Paste'!$O1385))</f>
        <v/>
      </c>
      <c r="AO1385" t="str">
        <f>IF('TMP Paste'!$F1385="","",IF('TMP Paste'!$P1385="",$AO1384,'TMP Paste'!$P1385))</f>
        <v/>
      </c>
      <c r="AP1385" t="str">
        <f t="shared" si="131"/>
        <v/>
      </c>
      <c r="AQ1385" t="str">
        <f>IF($AS1385="","",TRIM(IF(COUNTIFS(Calc!$B$2:$B$1601,ROW()-1,Calc!$C$2:$C$1601,"&lt;1")&gt;0,"Ada PO tanpa Koli - cek TMP. ","")&amp;IF(OR($AU1385="",$AU1385&lt;=0),"Volume kosong/0 - dimensi dikosongkan. ","")&amp;IF(AND($AU1385&lt;&gt;"",$AU1385&gt;=1000000),"Volume &gt;= 1.000.000 cm3 (di luar aturan) - dimensi dikosongkan. ","")&amp;IF(LEN($R1385)&gt;500,"R &gt; 500 karakter.","")))</f>
        <v/>
      </c>
      <c r="AS1385" t="str">
        <f>IFERROR(MATCH(ROW()-1,Calc!$J$2:$J$1601,0),"")</f>
        <v/>
      </c>
      <c r="AT1385" t="str">
        <f>IFERROR(MATCH(ROW()-1,Calc!$K$2:$K$1601,0),"")</f>
        <v/>
      </c>
      <c r="AU1385" t="str">
        <f>IF($AS1385="","",IFERROR(INDEX('TMP Paste'!$D$2:$D$1601,$AS1385)*1000000/$AB1385,""))</f>
        <v/>
      </c>
    </row>
    <row r="1386" spans="1:47">
      <c r="A1386" t="str">
        <f>IF($AS1386="","",INDEX('TMP Paste'!$B$2:$B$1601,$AS1386))</f>
        <v/>
      </c>
      <c r="B1386" t="str">
        <f>IF($AS1386="","",Config!$B$14)</f>
        <v/>
      </c>
      <c r="C1386" t="str">
        <f>IF($AS1386="","",Config!$B$15)</f>
        <v/>
      </c>
      <c r="D1386" t="str">
        <f>IF($AS1386="","",INDEX('TMP Paste'!$B$2:$B$1601,$AS1386))</f>
        <v/>
      </c>
      <c r="E1386" t="str">
        <f>IF($AS1386="","",Config!$B$27)</f>
        <v/>
      </c>
      <c r="F1386" t="str">
        <f>IF($AS1386="","",Config!$B$9)</f>
        <v/>
      </c>
      <c r="G1386" t="str">
        <f>IF($AS1386="","",Config!$B$10)</f>
        <v/>
      </c>
      <c r="H1386" t="str">
        <f>IF($AS1386="","",Config!$B$11)</f>
        <v/>
      </c>
      <c r="I1386" t="str">
        <f>IF($AS1386="","",Config!$B$16)</f>
        <v/>
      </c>
      <c r="J1386" t="str">
        <f>IF($AS1386="","",INDEX('TMP Paste'!$A$2:$A$1601,$AS1386))</f>
        <v/>
      </c>
      <c r="K1386" t="str">
        <f>IF($AS1386="","",INDEX('TMP Paste'!$L$2:$L$1601,$AS1386))</f>
        <v/>
      </c>
      <c r="L1386" t="str">
        <f>IF($AS1386="","",INDEX('TMP Paste'!$I$2:$I$1601,$AS1386))</f>
        <v/>
      </c>
      <c r="M1386" t="str">
        <f>IF($AS1386="","",Config!$B$16)</f>
        <v/>
      </c>
      <c r="N1386" t="str">
        <f t="shared" si="126"/>
        <v/>
      </c>
      <c r="O1386" t="str">
        <f>IF($AS1386="","",INDEX('TMP Paste'!$K$2:$K$1601,$AS1386))</f>
        <v/>
      </c>
      <c r="P1386" t="str">
        <f t="shared" si="127"/>
        <v/>
      </c>
      <c r="Q1386" t="str">
        <f>IF($AS1386="","",INDEX('TMP Paste'!$J$2:$J$1601,$AS1386))</f>
        <v/>
      </c>
      <c r="R1386" t="str">
        <f>IF($AS1386="","",Config!$B$24)</f>
        <v/>
      </c>
      <c r="S1386" t="str">
        <f ca="1">IF($AS1386="","",TEXT(Config!$B$4,"yyyy-mm-dd"))</f>
        <v/>
      </c>
      <c r="T1386" t="str">
        <f>IF($AS1386="","",Config!$B$17)</f>
        <v/>
      </c>
      <c r="U1386" t="str">
        <f>IF($AS1386="","",Config!$B$18)</f>
        <v/>
      </c>
      <c r="V1386" t="str">
        <f>IF($AS1386="","",Config!$B$19)</f>
        <v/>
      </c>
      <c r="W1386" t="str">
        <f>IF($AS1386="","",INDEX('TMP Paste'!$C$2:$C$1601,$AS1386))</f>
        <v/>
      </c>
      <c r="X1386" t="str">
        <f>IF($AS1386="","",Config!$B$29)</f>
        <v/>
      </c>
      <c r="Y1386" t="str">
        <f>IF($AT1386="","",INDEX(Calc!$I$2:$I$1601,$AT1386)&amp;" - "&amp;INDEX(Calc!$D$2:$D$1601,$AT1386)&amp;" koli")</f>
        <v/>
      </c>
      <c r="Z1386" t="str">
        <f>IF($AS1386="","",Config!$B$21)</f>
        <v/>
      </c>
      <c r="AA1386" t="str">
        <f>IF($AS1386="","",Config!$B$22)</f>
        <v/>
      </c>
      <c r="AB1386" t="str">
        <f>IF($AT1386="","",INDEX(Calc!$D$2:$D$1601,$AT1386))</f>
        <v/>
      </c>
      <c r="AC1386" t="str">
        <f>IF($AT1386="","",INDEX(Calc!$G$2:$G$1601,$AT1386))</f>
        <v/>
      </c>
      <c r="AD1386" t="str">
        <f>IF($AS1386="","",Config!$B$23)</f>
        <v/>
      </c>
      <c r="AE1386" t="str">
        <f>IF($AS1386="","",Config!$B$28)</f>
        <v/>
      </c>
      <c r="AF1386" t="str">
        <f t="shared" si="128"/>
        <v/>
      </c>
      <c r="AG1386" t="str">
        <f t="shared" si="129"/>
        <v/>
      </c>
      <c r="AH1386" t="str">
        <f t="shared" si="130"/>
        <v/>
      </c>
      <c r="AI1386" t="str">
        <f>IF($AG1386="","",SUMIF($AG$2:$AG1386,$AG1386,$AH$2:$AH1386))</f>
        <v/>
      </c>
      <c r="AJ1386" t="str">
        <f>IF('TMP Paste'!$F1386="","",IF('TMP Paste'!$B1386="",$AJ1385,'TMP Paste'!$B1386))</f>
        <v/>
      </c>
      <c r="AK1386" t="str">
        <f>IF('TMP Paste'!$F1386="","",N('TMP Paste'!$G1386))</f>
        <v/>
      </c>
      <c r="AL1386" t="str">
        <f>IF('TMP Paste'!$F1386="","",IF('TMP Paste'!$M1386="",$AL1385,'TMP Paste'!$M1386))</f>
        <v/>
      </c>
      <c r="AM1386" t="str">
        <f>IF('TMP Paste'!$F1386="","",IF('TMP Paste'!$N1386="",$AM1385,'TMP Paste'!$N1386))</f>
        <v/>
      </c>
      <c r="AN1386" t="str">
        <f>IF('TMP Paste'!$F1386="","",IF('TMP Paste'!$O1386="",$AN1385,'TMP Paste'!$O1386))</f>
        <v/>
      </c>
      <c r="AO1386" t="str">
        <f>IF('TMP Paste'!$F1386="","",IF('TMP Paste'!$P1386="",$AO1385,'TMP Paste'!$P1386))</f>
        <v/>
      </c>
      <c r="AP1386" t="str">
        <f t="shared" si="131"/>
        <v/>
      </c>
      <c r="AQ1386" t="str">
        <f>IF($AS1386="","",TRIM(IF(COUNTIFS(Calc!$B$2:$B$1601,ROW()-1,Calc!$C$2:$C$1601,"&lt;1")&gt;0,"Ada PO tanpa Koli - cek TMP. ","")&amp;IF(OR($AU1386="",$AU1386&lt;=0),"Volume kosong/0 - dimensi dikosongkan. ","")&amp;IF(AND($AU1386&lt;&gt;"",$AU1386&gt;=1000000),"Volume &gt;= 1.000.000 cm3 (di luar aturan) - dimensi dikosongkan. ","")&amp;IF(LEN($R1386)&gt;500,"R &gt; 500 karakter.","")))</f>
        <v/>
      </c>
      <c r="AS1386" t="str">
        <f>IFERROR(MATCH(ROW()-1,Calc!$J$2:$J$1601,0),"")</f>
        <v/>
      </c>
      <c r="AT1386" t="str">
        <f>IFERROR(MATCH(ROW()-1,Calc!$K$2:$K$1601,0),"")</f>
        <v/>
      </c>
      <c r="AU1386" t="str">
        <f>IF($AS1386="","",IFERROR(INDEX('TMP Paste'!$D$2:$D$1601,$AS1386)*1000000/$AB1386,""))</f>
        <v/>
      </c>
    </row>
    <row r="1387" spans="1:47">
      <c r="A1387" t="str">
        <f>IF($AS1387="","",INDEX('TMP Paste'!$B$2:$B$1601,$AS1387))</f>
        <v/>
      </c>
      <c r="B1387" t="str">
        <f>IF($AS1387="","",Config!$B$14)</f>
        <v/>
      </c>
      <c r="C1387" t="str">
        <f>IF($AS1387="","",Config!$B$15)</f>
        <v/>
      </c>
      <c r="D1387" t="str">
        <f>IF($AS1387="","",INDEX('TMP Paste'!$B$2:$B$1601,$AS1387))</f>
        <v/>
      </c>
      <c r="E1387" t="str">
        <f>IF($AS1387="","",Config!$B$27)</f>
        <v/>
      </c>
      <c r="F1387" t="str">
        <f>IF($AS1387="","",Config!$B$9)</f>
        <v/>
      </c>
      <c r="G1387" t="str">
        <f>IF($AS1387="","",Config!$B$10)</f>
        <v/>
      </c>
      <c r="H1387" t="str">
        <f>IF($AS1387="","",Config!$B$11)</f>
        <v/>
      </c>
      <c r="I1387" t="str">
        <f>IF($AS1387="","",Config!$B$16)</f>
        <v/>
      </c>
      <c r="J1387" t="str">
        <f>IF($AS1387="","",INDEX('TMP Paste'!$A$2:$A$1601,$AS1387))</f>
        <v/>
      </c>
      <c r="K1387" t="str">
        <f>IF($AS1387="","",INDEX('TMP Paste'!$L$2:$L$1601,$AS1387))</f>
        <v/>
      </c>
      <c r="L1387" t="str">
        <f>IF($AS1387="","",INDEX('TMP Paste'!$I$2:$I$1601,$AS1387))</f>
        <v/>
      </c>
      <c r="M1387" t="str">
        <f>IF($AS1387="","",Config!$B$16)</f>
        <v/>
      </c>
      <c r="N1387" t="str">
        <f t="shared" si="126"/>
        <v/>
      </c>
      <c r="O1387" t="str">
        <f>IF($AS1387="","",INDEX('TMP Paste'!$K$2:$K$1601,$AS1387))</f>
        <v/>
      </c>
      <c r="P1387" t="str">
        <f t="shared" si="127"/>
        <v/>
      </c>
      <c r="Q1387" t="str">
        <f>IF($AS1387="","",INDEX('TMP Paste'!$J$2:$J$1601,$AS1387))</f>
        <v/>
      </c>
      <c r="R1387" t="str">
        <f>IF($AS1387="","",Config!$B$24)</f>
        <v/>
      </c>
      <c r="S1387" t="str">
        <f ca="1">IF($AS1387="","",TEXT(Config!$B$4,"yyyy-mm-dd"))</f>
        <v/>
      </c>
      <c r="T1387" t="str">
        <f>IF($AS1387="","",Config!$B$17)</f>
        <v/>
      </c>
      <c r="U1387" t="str">
        <f>IF($AS1387="","",Config!$B$18)</f>
        <v/>
      </c>
      <c r="V1387" t="str">
        <f>IF($AS1387="","",Config!$B$19)</f>
        <v/>
      </c>
      <c r="W1387" t="str">
        <f>IF($AS1387="","",INDEX('TMP Paste'!$C$2:$C$1601,$AS1387))</f>
        <v/>
      </c>
      <c r="X1387" t="str">
        <f>IF($AS1387="","",Config!$B$29)</f>
        <v/>
      </c>
      <c r="Y1387" t="str">
        <f>IF($AT1387="","",INDEX(Calc!$I$2:$I$1601,$AT1387)&amp;" - "&amp;INDEX(Calc!$D$2:$D$1601,$AT1387)&amp;" koli")</f>
        <v/>
      </c>
      <c r="Z1387" t="str">
        <f>IF($AS1387="","",Config!$B$21)</f>
        <v/>
      </c>
      <c r="AA1387" t="str">
        <f>IF($AS1387="","",Config!$B$22)</f>
        <v/>
      </c>
      <c r="AB1387" t="str">
        <f>IF($AT1387="","",INDEX(Calc!$D$2:$D$1601,$AT1387))</f>
        <v/>
      </c>
      <c r="AC1387" t="str">
        <f>IF($AT1387="","",INDEX(Calc!$G$2:$G$1601,$AT1387))</f>
        <v/>
      </c>
      <c r="AD1387" t="str">
        <f>IF($AS1387="","",Config!$B$23)</f>
        <v/>
      </c>
      <c r="AE1387" t="str">
        <f>IF($AS1387="","",Config!$B$28)</f>
        <v/>
      </c>
      <c r="AF1387" t="str">
        <f t="shared" si="128"/>
        <v/>
      </c>
      <c r="AG1387" t="str">
        <f t="shared" si="129"/>
        <v/>
      </c>
      <c r="AH1387" t="str">
        <f t="shared" si="130"/>
        <v/>
      </c>
      <c r="AI1387" t="str">
        <f>IF($AG1387="","",SUMIF($AG$2:$AG1387,$AG1387,$AH$2:$AH1387))</f>
        <v/>
      </c>
      <c r="AJ1387" t="str">
        <f>IF('TMP Paste'!$F1387="","",IF('TMP Paste'!$B1387="",$AJ1386,'TMP Paste'!$B1387))</f>
        <v/>
      </c>
      <c r="AK1387" t="str">
        <f>IF('TMP Paste'!$F1387="","",N('TMP Paste'!$G1387))</f>
        <v/>
      </c>
      <c r="AL1387" t="str">
        <f>IF('TMP Paste'!$F1387="","",IF('TMP Paste'!$M1387="",$AL1386,'TMP Paste'!$M1387))</f>
        <v/>
      </c>
      <c r="AM1387" t="str">
        <f>IF('TMP Paste'!$F1387="","",IF('TMP Paste'!$N1387="",$AM1386,'TMP Paste'!$N1387))</f>
        <v/>
      </c>
      <c r="AN1387" t="str">
        <f>IF('TMP Paste'!$F1387="","",IF('TMP Paste'!$O1387="",$AN1386,'TMP Paste'!$O1387))</f>
        <v/>
      </c>
      <c r="AO1387" t="str">
        <f>IF('TMP Paste'!$F1387="","",IF('TMP Paste'!$P1387="",$AO1386,'TMP Paste'!$P1387))</f>
        <v/>
      </c>
      <c r="AP1387" t="str">
        <f t="shared" si="131"/>
        <v/>
      </c>
      <c r="AQ1387" t="str">
        <f>IF($AS1387="","",TRIM(IF(COUNTIFS(Calc!$B$2:$B$1601,ROW()-1,Calc!$C$2:$C$1601,"&lt;1")&gt;0,"Ada PO tanpa Koli - cek TMP. ","")&amp;IF(OR($AU1387="",$AU1387&lt;=0),"Volume kosong/0 - dimensi dikosongkan. ","")&amp;IF(AND($AU1387&lt;&gt;"",$AU1387&gt;=1000000),"Volume &gt;= 1.000.000 cm3 (di luar aturan) - dimensi dikosongkan. ","")&amp;IF(LEN($R1387)&gt;500,"R &gt; 500 karakter.","")))</f>
        <v/>
      </c>
      <c r="AS1387" t="str">
        <f>IFERROR(MATCH(ROW()-1,Calc!$J$2:$J$1601,0),"")</f>
        <v/>
      </c>
      <c r="AT1387" t="str">
        <f>IFERROR(MATCH(ROW()-1,Calc!$K$2:$K$1601,0),"")</f>
        <v/>
      </c>
      <c r="AU1387" t="str">
        <f>IF($AS1387="","",IFERROR(INDEX('TMP Paste'!$D$2:$D$1601,$AS1387)*1000000/$AB1387,""))</f>
        <v/>
      </c>
    </row>
    <row r="1388" spans="1:47">
      <c r="A1388" t="str">
        <f>IF($AS1388="","",INDEX('TMP Paste'!$B$2:$B$1601,$AS1388))</f>
        <v/>
      </c>
      <c r="B1388" t="str">
        <f>IF($AS1388="","",Config!$B$14)</f>
        <v/>
      </c>
      <c r="C1388" t="str">
        <f>IF($AS1388="","",Config!$B$15)</f>
        <v/>
      </c>
      <c r="D1388" t="str">
        <f>IF($AS1388="","",INDEX('TMP Paste'!$B$2:$B$1601,$AS1388))</f>
        <v/>
      </c>
      <c r="E1388" t="str">
        <f>IF($AS1388="","",Config!$B$27)</f>
        <v/>
      </c>
      <c r="F1388" t="str">
        <f>IF($AS1388="","",Config!$B$9)</f>
        <v/>
      </c>
      <c r="G1388" t="str">
        <f>IF($AS1388="","",Config!$B$10)</f>
        <v/>
      </c>
      <c r="H1388" t="str">
        <f>IF($AS1388="","",Config!$B$11)</f>
        <v/>
      </c>
      <c r="I1388" t="str">
        <f>IF($AS1388="","",Config!$B$16)</f>
        <v/>
      </c>
      <c r="J1388" t="str">
        <f>IF($AS1388="","",INDEX('TMP Paste'!$A$2:$A$1601,$AS1388))</f>
        <v/>
      </c>
      <c r="K1388" t="str">
        <f>IF($AS1388="","",INDEX('TMP Paste'!$L$2:$L$1601,$AS1388))</f>
        <v/>
      </c>
      <c r="L1388" t="str">
        <f>IF($AS1388="","",INDEX('TMP Paste'!$I$2:$I$1601,$AS1388))</f>
        <v/>
      </c>
      <c r="M1388" t="str">
        <f>IF($AS1388="","",Config!$B$16)</f>
        <v/>
      </c>
      <c r="N1388" t="str">
        <f t="shared" si="126"/>
        <v/>
      </c>
      <c r="O1388" t="str">
        <f>IF($AS1388="","",INDEX('TMP Paste'!$K$2:$K$1601,$AS1388))</f>
        <v/>
      </c>
      <c r="P1388" t="str">
        <f t="shared" si="127"/>
        <v/>
      </c>
      <c r="Q1388" t="str">
        <f>IF($AS1388="","",INDEX('TMP Paste'!$J$2:$J$1601,$AS1388))</f>
        <v/>
      </c>
      <c r="R1388" t="str">
        <f>IF($AS1388="","",Config!$B$24)</f>
        <v/>
      </c>
      <c r="S1388" t="str">
        <f ca="1">IF($AS1388="","",TEXT(Config!$B$4,"yyyy-mm-dd"))</f>
        <v/>
      </c>
      <c r="T1388" t="str">
        <f>IF($AS1388="","",Config!$B$17)</f>
        <v/>
      </c>
      <c r="U1388" t="str">
        <f>IF($AS1388="","",Config!$B$18)</f>
        <v/>
      </c>
      <c r="V1388" t="str">
        <f>IF($AS1388="","",Config!$B$19)</f>
        <v/>
      </c>
      <c r="W1388" t="str">
        <f>IF($AS1388="","",INDEX('TMP Paste'!$C$2:$C$1601,$AS1388))</f>
        <v/>
      </c>
      <c r="X1388" t="str">
        <f>IF($AS1388="","",Config!$B$29)</f>
        <v/>
      </c>
      <c r="Y1388" t="str">
        <f>IF($AT1388="","",INDEX(Calc!$I$2:$I$1601,$AT1388)&amp;" - "&amp;INDEX(Calc!$D$2:$D$1601,$AT1388)&amp;" koli")</f>
        <v/>
      </c>
      <c r="Z1388" t="str">
        <f>IF($AS1388="","",Config!$B$21)</f>
        <v/>
      </c>
      <c r="AA1388" t="str">
        <f>IF($AS1388="","",Config!$B$22)</f>
        <v/>
      </c>
      <c r="AB1388" t="str">
        <f>IF($AT1388="","",INDEX(Calc!$D$2:$D$1601,$AT1388))</f>
        <v/>
      </c>
      <c r="AC1388" t="str">
        <f>IF($AT1388="","",INDEX(Calc!$G$2:$G$1601,$AT1388))</f>
        <v/>
      </c>
      <c r="AD1388" t="str">
        <f>IF($AS1388="","",Config!$B$23)</f>
        <v/>
      </c>
      <c r="AE1388" t="str">
        <f>IF($AS1388="","",Config!$B$28)</f>
        <v/>
      </c>
      <c r="AF1388" t="str">
        <f t="shared" si="128"/>
        <v/>
      </c>
      <c r="AG1388" t="str">
        <f t="shared" si="129"/>
        <v/>
      </c>
      <c r="AH1388" t="str">
        <f t="shared" si="130"/>
        <v/>
      </c>
      <c r="AI1388" t="str">
        <f>IF($AG1388="","",SUMIF($AG$2:$AG1388,$AG1388,$AH$2:$AH1388))</f>
        <v/>
      </c>
      <c r="AJ1388" t="str">
        <f>IF('TMP Paste'!$F1388="","",IF('TMP Paste'!$B1388="",$AJ1387,'TMP Paste'!$B1388))</f>
        <v/>
      </c>
      <c r="AK1388" t="str">
        <f>IF('TMP Paste'!$F1388="","",N('TMP Paste'!$G1388))</f>
        <v/>
      </c>
      <c r="AL1388" t="str">
        <f>IF('TMP Paste'!$F1388="","",IF('TMP Paste'!$M1388="",$AL1387,'TMP Paste'!$M1388))</f>
        <v/>
      </c>
      <c r="AM1388" t="str">
        <f>IF('TMP Paste'!$F1388="","",IF('TMP Paste'!$N1388="",$AM1387,'TMP Paste'!$N1388))</f>
        <v/>
      </c>
      <c r="AN1388" t="str">
        <f>IF('TMP Paste'!$F1388="","",IF('TMP Paste'!$O1388="",$AN1387,'TMP Paste'!$O1388))</f>
        <v/>
      </c>
      <c r="AO1388" t="str">
        <f>IF('TMP Paste'!$F1388="","",IF('TMP Paste'!$P1388="",$AO1387,'TMP Paste'!$P1388))</f>
        <v/>
      </c>
      <c r="AP1388" t="str">
        <f t="shared" si="131"/>
        <v/>
      </c>
      <c r="AQ1388" t="str">
        <f>IF($AS1388="","",TRIM(IF(COUNTIFS(Calc!$B$2:$B$1601,ROW()-1,Calc!$C$2:$C$1601,"&lt;1")&gt;0,"Ada PO tanpa Koli - cek TMP. ","")&amp;IF(OR($AU1388="",$AU1388&lt;=0),"Volume kosong/0 - dimensi dikosongkan. ","")&amp;IF(AND($AU1388&lt;&gt;"",$AU1388&gt;=1000000),"Volume &gt;= 1.000.000 cm3 (di luar aturan) - dimensi dikosongkan. ","")&amp;IF(LEN($R1388)&gt;500,"R &gt; 500 karakter.","")))</f>
        <v/>
      </c>
      <c r="AS1388" t="str">
        <f>IFERROR(MATCH(ROW()-1,Calc!$J$2:$J$1601,0),"")</f>
        <v/>
      </c>
      <c r="AT1388" t="str">
        <f>IFERROR(MATCH(ROW()-1,Calc!$K$2:$K$1601,0),"")</f>
        <v/>
      </c>
      <c r="AU1388" t="str">
        <f>IF($AS1388="","",IFERROR(INDEX('TMP Paste'!$D$2:$D$1601,$AS1388)*1000000/$AB1388,""))</f>
        <v/>
      </c>
    </row>
    <row r="1389" spans="1:47">
      <c r="A1389" t="str">
        <f>IF($AS1389="","",INDEX('TMP Paste'!$B$2:$B$1601,$AS1389))</f>
        <v/>
      </c>
      <c r="B1389" t="str">
        <f>IF($AS1389="","",Config!$B$14)</f>
        <v/>
      </c>
      <c r="C1389" t="str">
        <f>IF($AS1389="","",Config!$B$15)</f>
        <v/>
      </c>
      <c r="D1389" t="str">
        <f>IF($AS1389="","",INDEX('TMP Paste'!$B$2:$B$1601,$AS1389))</f>
        <v/>
      </c>
      <c r="E1389" t="str">
        <f>IF($AS1389="","",Config!$B$27)</f>
        <v/>
      </c>
      <c r="F1389" t="str">
        <f>IF($AS1389="","",Config!$B$9)</f>
        <v/>
      </c>
      <c r="G1389" t="str">
        <f>IF($AS1389="","",Config!$B$10)</f>
        <v/>
      </c>
      <c r="H1389" t="str">
        <f>IF($AS1389="","",Config!$B$11)</f>
        <v/>
      </c>
      <c r="I1389" t="str">
        <f>IF($AS1389="","",Config!$B$16)</f>
        <v/>
      </c>
      <c r="J1389" t="str">
        <f>IF($AS1389="","",INDEX('TMP Paste'!$A$2:$A$1601,$AS1389))</f>
        <v/>
      </c>
      <c r="K1389" t="str">
        <f>IF($AS1389="","",INDEX('TMP Paste'!$L$2:$L$1601,$AS1389))</f>
        <v/>
      </c>
      <c r="L1389" t="str">
        <f>IF($AS1389="","",INDEX('TMP Paste'!$I$2:$I$1601,$AS1389))</f>
        <v/>
      </c>
      <c r="M1389" t="str">
        <f>IF($AS1389="","",Config!$B$16)</f>
        <v/>
      </c>
      <c r="N1389" t="str">
        <f t="shared" si="126"/>
        <v/>
      </c>
      <c r="O1389" t="str">
        <f>IF($AS1389="","",INDEX('TMP Paste'!$K$2:$K$1601,$AS1389))</f>
        <v/>
      </c>
      <c r="P1389" t="str">
        <f t="shared" si="127"/>
        <v/>
      </c>
      <c r="Q1389" t="str">
        <f>IF($AS1389="","",INDEX('TMP Paste'!$J$2:$J$1601,$AS1389))</f>
        <v/>
      </c>
      <c r="R1389" t="str">
        <f>IF($AS1389="","",Config!$B$24)</f>
        <v/>
      </c>
      <c r="S1389" t="str">
        <f ca="1">IF($AS1389="","",TEXT(Config!$B$4,"yyyy-mm-dd"))</f>
        <v/>
      </c>
      <c r="T1389" t="str">
        <f>IF($AS1389="","",Config!$B$17)</f>
        <v/>
      </c>
      <c r="U1389" t="str">
        <f>IF($AS1389="","",Config!$B$18)</f>
        <v/>
      </c>
      <c r="V1389" t="str">
        <f>IF($AS1389="","",Config!$B$19)</f>
        <v/>
      </c>
      <c r="W1389" t="str">
        <f>IF($AS1389="","",INDEX('TMP Paste'!$C$2:$C$1601,$AS1389))</f>
        <v/>
      </c>
      <c r="X1389" t="str">
        <f>IF($AS1389="","",Config!$B$29)</f>
        <v/>
      </c>
      <c r="Y1389" t="str">
        <f>IF($AT1389="","",INDEX(Calc!$I$2:$I$1601,$AT1389)&amp;" - "&amp;INDEX(Calc!$D$2:$D$1601,$AT1389)&amp;" koli")</f>
        <v/>
      </c>
      <c r="Z1389" t="str">
        <f>IF($AS1389="","",Config!$B$21)</f>
        <v/>
      </c>
      <c r="AA1389" t="str">
        <f>IF($AS1389="","",Config!$B$22)</f>
        <v/>
      </c>
      <c r="AB1389" t="str">
        <f>IF($AT1389="","",INDEX(Calc!$D$2:$D$1601,$AT1389))</f>
        <v/>
      </c>
      <c r="AC1389" t="str">
        <f>IF($AT1389="","",INDEX(Calc!$G$2:$G$1601,$AT1389))</f>
        <v/>
      </c>
      <c r="AD1389" t="str">
        <f>IF($AS1389="","",Config!$B$23)</f>
        <v/>
      </c>
      <c r="AE1389" t="str">
        <f>IF($AS1389="","",Config!$B$28)</f>
        <v/>
      </c>
      <c r="AF1389" t="str">
        <f t="shared" si="128"/>
        <v/>
      </c>
      <c r="AG1389" t="str">
        <f t="shared" si="129"/>
        <v/>
      </c>
      <c r="AH1389" t="str">
        <f t="shared" si="130"/>
        <v/>
      </c>
      <c r="AI1389" t="str">
        <f>IF($AG1389="","",SUMIF($AG$2:$AG1389,$AG1389,$AH$2:$AH1389))</f>
        <v/>
      </c>
      <c r="AJ1389" t="str">
        <f>IF('TMP Paste'!$F1389="","",IF('TMP Paste'!$B1389="",$AJ1388,'TMP Paste'!$B1389))</f>
        <v/>
      </c>
      <c r="AK1389" t="str">
        <f>IF('TMP Paste'!$F1389="","",N('TMP Paste'!$G1389))</f>
        <v/>
      </c>
      <c r="AL1389" t="str">
        <f>IF('TMP Paste'!$F1389="","",IF('TMP Paste'!$M1389="",$AL1388,'TMP Paste'!$M1389))</f>
        <v/>
      </c>
      <c r="AM1389" t="str">
        <f>IF('TMP Paste'!$F1389="","",IF('TMP Paste'!$N1389="",$AM1388,'TMP Paste'!$N1389))</f>
        <v/>
      </c>
      <c r="AN1389" t="str">
        <f>IF('TMP Paste'!$F1389="","",IF('TMP Paste'!$O1389="",$AN1388,'TMP Paste'!$O1389))</f>
        <v/>
      </c>
      <c r="AO1389" t="str">
        <f>IF('TMP Paste'!$F1389="","",IF('TMP Paste'!$P1389="",$AO1388,'TMP Paste'!$P1389))</f>
        <v/>
      </c>
      <c r="AP1389" t="str">
        <f t="shared" si="131"/>
        <v/>
      </c>
      <c r="AQ1389" t="str">
        <f>IF($AS1389="","",TRIM(IF(COUNTIFS(Calc!$B$2:$B$1601,ROW()-1,Calc!$C$2:$C$1601,"&lt;1")&gt;0,"Ada PO tanpa Koli - cek TMP. ","")&amp;IF(OR($AU1389="",$AU1389&lt;=0),"Volume kosong/0 - dimensi dikosongkan. ","")&amp;IF(AND($AU1389&lt;&gt;"",$AU1389&gt;=1000000),"Volume &gt;= 1.000.000 cm3 (di luar aturan) - dimensi dikosongkan. ","")&amp;IF(LEN($R1389)&gt;500,"R &gt; 500 karakter.","")))</f>
        <v/>
      </c>
      <c r="AS1389" t="str">
        <f>IFERROR(MATCH(ROW()-1,Calc!$J$2:$J$1601,0),"")</f>
        <v/>
      </c>
      <c r="AT1389" t="str">
        <f>IFERROR(MATCH(ROW()-1,Calc!$K$2:$K$1601,0),"")</f>
        <v/>
      </c>
      <c r="AU1389" t="str">
        <f>IF($AS1389="","",IFERROR(INDEX('TMP Paste'!$D$2:$D$1601,$AS1389)*1000000/$AB1389,""))</f>
        <v/>
      </c>
    </row>
    <row r="1390" spans="1:47">
      <c r="A1390" t="str">
        <f>IF($AS1390="","",INDEX('TMP Paste'!$B$2:$B$1601,$AS1390))</f>
        <v/>
      </c>
      <c r="B1390" t="str">
        <f>IF($AS1390="","",Config!$B$14)</f>
        <v/>
      </c>
      <c r="C1390" t="str">
        <f>IF($AS1390="","",Config!$B$15)</f>
        <v/>
      </c>
      <c r="D1390" t="str">
        <f>IF($AS1390="","",INDEX('TMP Paste'!$B$2:$B$1601,$AS1390))</f>
        <v/>
      </c>
      <c r="E1390" t="str">
        <f>IF($AS1390="","",Config!$B$27)</f>
        <v/>
      </c>
      <c r="F1390" t="str">
        <f>IF($AS1390="","",Config!$B$9)</f>
        <v/>
      </c>
      <c r="G1390" t="str">
        <f>IF($AS1390="","",Config!$B$10)</f>
        <v/>
      </c>
      <c r="H1390" t="str">
        <f>IF($AS1390="","",Config!$B$11)</f>
        <v/>
      </c>
      <c r="I1390" t="str">
        <f>IF($AS1390="","",Config!$B$16)</f>
        <v/>
      </c>
      <c r="J1390" t="str">
        <f>IF($AS1390="","",INDEX('TMP Paste'!$A$2:$A$1601,$AS1390))</f>
        <v/>
      </c>
      <c r="K1390" t="str">
        <f>IF($AS1390="","",INDEX('TMP Paste'!$L$2:$L$1601,$AS1390))</f>
        <v/>
      </c>
      <c r="L1390" t="str">
        <f>IF($AS1390="","",INDEX('TMP Paste'!$I$2:$I$1601,$AS1390))</f>
        <v/>
      </c>
      <c r="M1390" t="str">
        <f>IF($AS1390="","",Config!$B$16)</f>
        <v/>
      </c>
      <c r="N1390" t="str">
        <f t="shared" si="126"/>
        <v/>
      </c>
      <c r="O1390" t="str">
        <f>IF($AS1390="","",INDEX('TMP Paste'!$K$2:$K$1601,$AS1390))</f>
        <v/>
      </c>
      <c r="P1390" t="str">
        <f t="shared" si="127"/>
        <v/>
      </c>
      <c r="Q1390" t="str">
        <f>IF($AS1390="","",INDEX('TMP Paste'!$J$2:$J$1601,$AS1390))</f>
        <v/>
      </c>
      <c r="R1390" t="str">
        <f>IF($AS1390="","",Config!$B$24)</f>
        <v/>
      </c>
      <c r="S1390" t="str">
        <f ca="1">IF($AS1390="","",TEXT(Config!$B$4,"yyyy-mm-dd"))</f>
        <v/>
      </c>
      <c r="T1390" t="str">
        <f>IF($AS1390="","",Config!$B$17)</f>
        <v/>
      </c>
      <c r="U1390" t="str">
        <f>IF($AS1390="","",Config!$B$18)</f>
        <v/>
      </c>
      <c r="V1390" t="str">
        <f>IF($AS1390="","",Config!$B$19)</f>
        <v/>
      </c>
      <c r="W1390" t="str">
        <f>IF($AS1390="","",INDEX('TMP Paste'!$C$2:$C$1601,$AS1390))</f>
        <v/>
      </c>
      <c r="X1390" t="str">
        <f>IF($AS1390="","",Config!$B$29)</f>
        <v/>
      </c>
      <c r="Y1390" t="str">
        <f>IF($AT1390="","",INDEX(Calc!$I$2:$I$1601,$AT1390)&amp;" - "&amp;INDEX(Calc!$D$2:$D$1601,$AT1390)&amp;" koli")</f>
        <v/>
      </c>
      <c r="Z1390" t="str">
        <f>IF($AS1390="","",Config!$B$21)</f>
        <v/>
      </c>
      <c r="AA1390" t="str">
        <f>IF($AS1390="","",Config!$B$22)</f>
        <v/>
      </c>
      <c r="AB1390" t="str">
        <f>IF($AT1390="","",INDEX(Calc!$D$2:$D$1601,$AT1390))</f>
        <v/>
      </c>
      <c r="AC1390" t="str">
        <f>IF($AT1390="","",INDEX(Calc!$G$2:$G$1601,$AT1390))</f>
        <v/>
      </c>
      <c r="AD1390" t="str">
        <f>IF($AS1390="","",Config!$B$23)</f>
        <v/>
      </c>
      <c r="AE1390" t="str">
        <f>IF($AS1390="","",Config!$B$28)</f>
        <v/>
      </c>
      <c r="AF1390" t="str">
        <f t="shared" si="128"/>
        <v/>
      </c>
      <c r="AG1390" t="str">
        <f t="shared" si="129"/>
        <v/>
      </c>
      <c r="AH1390" t="str">
        <f t="shared" si="130"/>
        <v/>
      </c>
      <c r="AI1390" t="str">
        <f>IF($AG1390="","",SUMIF($AG$2:$AG1390,$AG1390,$AH$2:$AH1390))</f>
        <v/>
      </c>
      <c r="AJ1390" t="str">
        <f>IF('TMP Paste'!$F1390="","",IF('TMP Paste'!$B1390="",$AJ1389,'TMP Paste'!$B1390))</f>
        <v/>
      </c>
      <c r="AK1390" t="str">
        <f>IF('TMP Paste'!$F1390="","",N('TMP Paste'!$G1390))</f>
        <v/>
      </c>
      <c r="AL1390" t="str">
        <f>IF('TMP Paste'!$F1390="","",IF('TMP Paste'!$M1390="",$AL1389,'TMP Paste'!$M1390))</f>
        <v/>
      </c>
      <c r="AM1390" t="str">
        <f>IF('TMP Paste'!$F1390="","",IF('TMP Paste'!$N1390="",$AM1389,'TMP Paste'!$N1390))</f>
        <v/>
      </c>
      <c r="AN1390" t="str">
        <f>IF('TMP Paste'!$F1390="","",IF('TMP Paste'!$O1390="",$AN1389,'TMP Paste'!$O1390))</f>
        <v/>
      </c>
      <c r="AO1390" t="str">
        <f>IF('TMP Paste'!$F1390="","",IF('TMP Paste'!$P1390="",$AO1389,'TMP Paste'!$P1390))</f>
        <v/>
      </c>
      <c r="AP1390" t="str">
        <f t="shared" si="131"/>
        <v/>
      </c>
      <c r="AQ1390" t="str">
        <f>IF($AS1390="","",TRIM(IF(COUNTIFS(Calc!$B$2:$B$1601,ROW()-1,Calc!$C$2:$C$1601,"&lt;1")&gt;0,"Ada PO tanpa Koli - cek TMP. ","")&amp;IF(OR($AU1390="",$AU1390&lt;=0),"Volume kosong/0 - dimensi dikosongkan. ","")&amp;IF(AND($AU1390&lt;&gt;"",$AU1390&gt;=1000000),"Volume &gt;= 1.000.000 cm3 (di luar aturan) - dimensi dikosongkan. ","")&amp;IF(LEN($R1390)&gt;500,"R &gt; 500 karakter.","")))</f>
        <v/>
      </c>
      <c r="AS1390" t="str">
        <f>IFERROR(MATCH(ROW()-1,Calc!$J$2:$J$1601,0),"")</f>
        <v/>
      </c>
      <c r="AT1390" t="str">
        <f>IFERROR(MATCH(ROW()-1,Calc!$K$2:$K$1601,0),"")</f>
        <v/>
      </c>
      <c r="AU1390" t="str">
        <f>IF($AS1390="","",IFERROR(INDEX('TMP Paste'!$D$2:$D$1601,$AS1390)*1000000/$AB1390,""))</f>
        <v/>
      </c>
    </row>
    <row r="1391" spans="1:47">
      <c r="A1391" t="str">
        <f>IF($AS1391="","",INDEX('TMP Paste'!$B$2:$B$1601,$AS1391))</f>
        <v/>
      </c>
      <c r="B1391" t="str">
        <f>IF($AS1391="","",Config!$B$14)</f>
        <v/>
      </c>
      <c r="C1391" t="str">
        <f>IF($AS1391="","",Config!$B$15)</f>
        <v/>
      </c>
      <c r="D1391" t="str">
        <f>IF($AS1391="","",INDEX('TMP Paste'!$B$2:$B$1601,$AS1391))</f>
        <v/>
      </c>
      <c r="E1391" t="str">
        <f>IF($AS1391="","",Config!$B$27)</f>
        <v/>
      </c>
      <c r="F1391" t="str">
        <f>IF($AS1391="","",Config!$B$9)</f>
        <v/>
      </c>
      <c r="G1391" t="str">
        <f>IF($AS1391="","",Config!$B$10)</f>
        <v/>
      </c>
      <c r="H1391" t="str">
        <f>IF($AS1391="","",Config!$B$11)</f>
        <v/>
      </c>
      <c r="I1391" t="str">
        <f>IF($AS1391="","",Config!$B$16)</f>
        <v/>
      </c>
      <c r="J1391" t="str">
        <f>IF($AS1391="","",INDEX('TMP Paste'!$A$2:$A$1601,$AS1391))</f>
        <v/>
      </c>
      <c r="K1391" t="str">
        <f>IF($AS1391="","",INDEX('TMP Paste'!$L$2:$L$1601,$AS1391))</f>
        <v/>
      </c>
      <c r="L1391" t="str">
        <f>IF($AS1391="","",INDEX('TMP Paste'!$I$2:$I$1601,$AS1391))</f>
        <v/>
      </c>
      <c r="M1391" t="str">
        <f>IF($AS1391="","",Config!$B$16)</f>
        <v/>
      </c>
      <c r="N1391" t="str">
        <f t="shared" si="126"/>
        <v/>
      </c>
      <c r="O1391" t="str">
        <f>IF($AS1391="","",INDEX('TMP Paste'!$K$2:$K$1601,$AS1391))</f>
        <v/>
      </c>
      <c r="P1391" t="str">
        <f t="shared" si="127"/>
        <v/>
      </c>
      <c r="Q1391" t="str">
        <f>IF($AS1391="","",INDEX('TMP Paste'!$J$2:$J$1601,$AS1391))</f>
        <v/>
      </c>
      <c r="R1391" t="str">
        <f>IF($AS1391="","",Config!$B$24)</f>
        <v/>
      </c>
      <c r="S1391" t="str">
        <f ca="1">IF($AS1391="","",TEXT(Config!$B$4,"yyyy-mm-dd"))</f>
        <v/>
      </c>
      <c r="T1391" t="str">
        <f>IF($AS1391="","",Config!$B$17)</f>
        <v/>
      </c>
      <c r="U1391" t="str">
        <f>IF($AS1391="","",Config!$B$18)</f>
        <v/>
      </c>
      <c r="V1391" t="str">
        <f>IF($AS1391="","",Config!$B$19)</f>
        <v/>
      </c>
      <c r="W1391" t="str">
        <f>IF($AS1391="","",INDEX('TMP Paste'!$C$2:$C$1601,$AS1391))</f>
        <v/>
      </c>
      <c r="X1391" t="str">
        <f>IF($AS1391="","",Config!$B$29)</f>
        <v/>
      </c>
      <c r="Y1391" t="str">
        <f>IF($AT1391="","",INDEX(Calc!$I$2:$I$1601,$AT1391)&amp;" - "&amp;INDEX(Calc!$D$2:$D$1601,$AT1391)&amp;" koli")</f>
        <v/>
      </c>
      <c r="Z1391" t="str">
        <f>IF($AS1391="","",Config!$B$21)</f>
        <v/>
      </c>
      <c r="AA1391" t="str">
        <f>IF($AS1391="","",Config!$B$22)</f>
        <v/>
      </c>
      <c r="AB1391" t="str">
        <f>IF($AT1391="","",INDEX(Calc!$D$2:$D$1601,$AT1391))</f>
        <v/>
      </c>
      <c r="AC1391" t="str">
        <f>IF($AT1391="","",INDEX(Calc!$G$2:$G$1601,$AT1391))</f>
        <v/>
      </c>
      <c r="AD1391" t="str">
        <f>IF($AS1391="","",Config!$B$23)</f>
        <v/>
      </c>
      <c r="AE1391" t="str">
        <f>IF($AS1391="","",Config!$B$28)</f>
        <v/>
      </c>
      <c r="AF1391" t="str">
        <f t="shared" si="128"/>
        <v/>
      </c>
      <c r="AG1391" t="str">
        <f t="shared" si="129"/>
        <v/>
      </c>
      <c r="AH1391" t="str">
        <f t="shared" si="130"/>
        <v/>
      </c>
      <c r="AI1391" t="str">
        <f>IF($AG1391="","",SUMIF($AG$2:$AG1391,$AG1391,$AH$2:$AH1391))</f>
        <v/>
      </c>
      <c r="AJ1391" t="str">
        <f>IF('TMP Paste'!$F1391="","",IF('TMP Paste'!$B1391="",$AJ1390,'TMP Paste'!$B1391))</f>
        <v/>
      </c>
      <c r="AK1391" t="str">
        <f>IF('TMP Paste'!$F1391="","",N('TMP Paste'!$G1391))</f>
        <v/>
      </c>
      <c r="AL1391" t="str">
        <f>IF('TMP Paste'!$F1391="","",IF('TMP Paste'!$M1391="",$AL1390,'TMP Paste'!$M1391))</f>
        <v/>
      </c>
      <c r="AM1391" t="str">
        <f>IF('TMP Paste'!$F1391="","",IF('TMP Paste'!$N1391="",$AM1390,'TMP Paste'!$N1391))</f>
        <v/>
      </c>
      <c r="AN1391" t="str">
        <f>IF('TMP Paste'!$F1391="","",IF('TMP Paste'!$O1391="",$AN1390,'TMP Paste'!$O1391))</f>
        <v/>
      </c>
      <c r="AO1391" t="str">
        <f>IF('TMP Paste'!$F1391="","",IF('TMP Paste'!$P1391="",$AO1390,'TMP Paste'!$P1391))</f>
        <v/>
      </c>
      <c r="AP1391" t="str">
        <f t="shared" si="131"/>
        <v/>
      </c>
      <c r="AQ1391" t="str">
        <f>IF($AS1391="","",TRIM(IF(COUNTIFS(Calc!$B$2:$B$1601,ROW()-1,Calc!$C$2:$C$1601,"&lt;1")&gt;0,"Ada PO tanpa Koli - cek TMP. ","")&amp;IF(OR($AU1391="",$AU1391&lt;=0),"Volume kosong/0 - dimensi dikosongkan. ","")&amp;IF(AND($AU1391&lt;&gt;"",$AU1391&gt;=1000000),"Volume &gt;= 1.000.000 cm3 (di luar aturan) - dimensi dikosongkan. ","")&amp;IF(LEN($R1391)&gt;500,"R &gt; 500 karakter.","")))</f>
        <v/>
      </c>
      <c r="AS1391" t="str">
        <f>IFERROR(MATCH(ROW()-1,Calc!$J$2:$J$1601,0),"")</f>
        <v/>
      </c>
      <c r="AT1391" t="str">
        <f>IFERROR(MATCH(ROW()-1,Calc!$K$2:$K$1601,0),"")</f>
        <v/>
      </c>
      <c r="AU1391" t="str">
        <f>IF($AS1391="","",IFERROR(INDEX('TMP Paste'!$D$2:$D$1601,$AS1391)*1000000/$AB1391,""))</f>
        <v/>
      </c>
    </row>
    <row r="1392" spans="1:47">
      <c r="A1392" t="str">
        <f>IF($AS1392="","",INDEX('TMP Paste'!$B$2:$B$1601,$AS1392))</f>
        <v/>
      </c>
      <c r="B1392" t="str">
        <f>IF($AS1392="","",Config!$B$14)</f>
        <v/>
      </c>
      <c r="C1392" t="str">
        <f>IF($AS1392="","",Config!$B$15)</f>
        <v/>
      </c>
      <c r="D1392" t="str">
        <f>IF($AS1392="","",INDEX('TMP Paste'!$B$2:$B$1601,$AS1392))</f>
        <v/>
      </c>
      <c r="E1392" t="str">
        <f>IF($AS1392="","",Config!$B$27)</f>
        <v/>
      </c>
      <c r="F1392" t="str">
        <f>IF($AS1392="","",Config!$B$9)</f>
        <v/>
      </c>
      <c r="G1392" t="str">
        <f>IF($AS1392="","",Config!$B$10)</f>
        <v/>
      </c>
      <c r="H1392" t="str">
        <f>IF($AS1392="","",Config!$B$11)</f>
        <v/>
      </c>
      <c r="I1392" t="str">
        <f>IF($AS1392="","",Config!$B$16)</f>
        <v/>
      </c>
      <c r="J1392" t="str">
        <f>IF($AS1392="","",INDEX('TMP Paste'!$A$2:$A$1601,$AS1392))</f>
        <v/>
      </c>
      <c r="K1392" t="str">
        <f>IF($AS1392="","",INDEX('TMP Paste'!$L$2:$L$1601,$AS1392))</f>
        <v/>
      </c>
      <c r="L1392" t="str">
        <f>IF($AS1392="","",INDEX('TMP Paste'!$I$2:$I$1601,$AS1392))</f>
        <v/>
      </c>
      <c r="M1392" t="str">
        <f>IF($AS1392="","",Config!$B$16)</f>
        <v/>
      </c>
      <c r="N1392" t="str">
        <f t="shared" si="126"/>
        <v/>
      </c>
      <c r="O1392" t="str">
        <f>IF($AS1392="","",INDEX('TMP Paste'!$K$2:$K$1601,$AS1392))</f>
        <v/>
      </c>
      <c r="P1392" t="str">
        <f t="shared" si="127"/>
        <v/>
      </c>
      <c r="Q1392" t="str">
        <f>IF($AS1392="","",INDEX('TMP Paste'!$J$2:$J$1601,$AS1392))</f>
        <v/>
      </c>
      <c r="R1392" t="str">
        <f>IF($AS1392="","",Config!$B$24)</f>
        <v/>
      </c>
      <c r="S1392" t="str">
        <f ca="1">IF($AS1392="","",TEXT(Config!$B$4,"yyyy-mm-dd"))</f>
        <v/>
      </c>
      <c r="T1392" t="str">
        <f>IF($AS1392="","",Config!$B$17)</f>
        <v/>
      </c>
      <c r="U1392" t="str">
        <f>IF($AS1392="","",Config!$B$18)</f>
        <v/>
      </c>
      <c r="V1392" t="str">
        <f>IF($AS1392="","",Config!$B$19)</f>
        <v/>
      </c>
      <c r="W1392" t="str">
        <f>IF($AS1392="","",INDEX('TMP Paste'!$C$2:$C$1601,$AS1392))</f>
        <v/>
      </c>
      <c r="X1392" t="str">
        <f>IF($AS1392="","",Config!$B$29)</f>
        <v/>
      </c>
      <c r="Y1392" t="str">
        <f>IF($AT1392="","",INDEX(Calc!$I$2:$I$1601,$AT1392)&amp;" - "&amp;INDEX(Calc!$D$2:$D$1601,$AT1392)&amp;" koli")</f>
        <v/>
      </c>
      <c r="Z1392" t="str">
        <f>IF($AS1392="","",Config!$B$21)</f>
        <v/>
      </c>
      <c r="AA1392" t="str">
        <f>IF($AS1392="","",Config!$B$22)</f>
        <v/>
      </c>
      <c r="AB1392" t="str">
        <f>IF($AT1392="","",INDEX(Calc!$D$2:$D$1601,$AT1392))</f>
        <v/>
      </c>
      <c r="AC1392" t="str">
        <f>IF($AT1392="","",INDEX(Calc!$G$2:$G$1601,$AT1392))</f>
        <v/>
      </c>
      <c r="AD1392" t="str">
        <f>IF($AS1392="","",Config!$B$23)</f>
        <v/>
      </c>
      <c r="AE1392" t="str">
        <f>IF($AS1392="","",Config!$B$28)</f>
        <v/>
      </c>
      <c r="AF1392" t="str">
        <f t="shared" si="128"/>
        <v/>
      </c>
      <c r="AG1392" t="str">
        <f t="shared" si="129"/>
        <v/>
      </c>
      <c r="AH1392" t="str">
        <f t="shared" si="130"/>
        <v/>
      </c>
      <c r="AI1392" t="str">
        <f>IF($AG1392="","",SUMIF($AG$2:$AG1392,$AG1392,$AH$2:$AH1392))</f>
        <v/>
      </c>
      <c r="AJ1392" t="str">
        <f>IF('TMP Paste'!$F1392="","",IF('TMP Paste'!$B1392="",$AJ1391,'TMP Paste'!$B1392))</f>
        <v/>
      </c>
      <c r="AK1392" t="str">
        <f>IF('TMP Paste'!$F1392="","",N('TMP Paste'!$G1392))</f>
        <v/>
      </c>
      <c r="AL1392" t="str">
        <f>IF('TMP Paste'!$F1392="","",IF('TMP Paste'!$M1392="",$AL1391,'TMP Paste'!$M1392))</f>
        <v/>
      </c>
      <c r="AM1392" t="str">
        <f>IF('TMP Paste'!$F1392="","",IF('TMP Paste'!$N1392="",$AM1391,'TMP Paste'!$N1392))</f>
        <v/>
      </c>
      <c r="AN1392" t="str">
        <f>IF('TMP Paste'!$F1392="","",IF('TMP Paste'!$O1392="",$AN1391,'TMP Paste'!$O1392))</f>
        <v/>
      </c>
      <c r="AO1392" t="str">
        <f>IF('TMP Paste'!$F1392="","",IF('TMP Paste'!$P1392="",$AO1391,'TMP Paste'!$P1392))</f>
        <v/>
      </c>
      <c r="AP1392" t="str">
        <f t="shared" si="131"/>
        <v/>
      </c>
      <c r="AQ1392" t="str">
        <f>IF($AS1392="","",TRIM(IF(COUNTIFS(Calc!$B$2:$B$1601,ROW()-1,Calc!$C$2:$C$1601,"&lt;1")&gt;0,"Ada PO tanpa Koli - cek TMP. ","")&amp;IF(OR($AU1392="",$AU1392&lt;=0),"Volume kosong/0 - dimensi dikosongkan. ","")&amp;IF(AND($AU1392&lt;&gt;"",$AU1392&gt;=1000000),"Volume &gt;= 1.000.000 cm3 (di luar aturan) - dimensi dikosongkan. ","")&amp;IF(LEN($R1392)&gt;500,"R &gt; 500 karakter.","")))</f>
        <v/>
      </c>
      <c r="AS1392" t="str">
        <f>IFERROR(MATCH(ROW()-1,Calc!$J$2:$J$1601,0),"")</f>
        <v/>
      </c>
      <c r="AT1392" t="str">
        <f>IFERROR(MATCH(ROW()-1,Calc!$K$2:$K$1601,0),"")</f>
        <v/>
      </c>
      <c r="AU1392" t="str">
        <f>IF($AS1392="","",IFERROR(INDEX('TMP Paste'!$D$2:$D$1601,$AS1392)*1000000/$AB1392,""))</f>
        <v/>
      </c>
    </row>
    <row r="1393" spans="1:47">
      <c r="A1393" t="str">
        <f>IF($AS1393="","",INDEX('TMP Paste'!$B$2:$B$1601,$AS1393))</f>
        <v/>
      </c>
      <c r="B1393" t="str">
        <f>IF($AS1393="","",Config!$B$14)</f>
        <v/>
      </c>
      <c r="C1393" t="str">
        <f>IF($AS1393="","",Config!$B$15)</f>
        <v/>
      </c>
      <c r="D1393" t="str">
        <f>IF($AS1393="","",INDEX('TMP Paste'!$B$2:$B$1601,$AS1393))</f>
        <v/>
      </c>
      <c r="E1393" t="str">
        <f>IF($AS1393="","",Config!$B$27)</f>
        <v/>
      </c>
      <c r="F1393" t="str">
        <f>IF($AS1393="","",Config!$B$9)</f>
        <v/>
      </c>
      <c r="G1393" t="str">
        <f>IF($AS1393="","",Config!$B$10)</f>
        <v/>
      </c>
      <c r="H1393" t="str">
        <f>IF($AS1393="","",Config!$B$11)</f>
        <v/>
      </c>
      <c r="I1393" t="str">
        <f>IF($AS1393="","",Config!$B$16)</f>
        <v/>
      </c>
      <c r="J1393" t="str">
        <f>IF($AS1393="","",INDEX('TMP Paste'!$A$2:$A$1601,$AS1393))</f>
        <v/>
      </c>
      <c r="K1393" t="str">
        <f>IF($AS1393="","",INDEX('TMP Paste'!$L$2:$L$1601,$AS1393))</f>
        <v/>
      </c>
      <c r="L1393" t="str">
        <f>IF($AS1393="","",INDEX('TMP Paste'!$I$2:$I$1601,$AS1393))</f>
        <v/>
      </c>
      <c r="M1393" t="str">
        <f>IF($AS1393="","",Config!$B$16)</f>
        <v/>
      </c>
      <c r="N1393" t="str">
        <f t="shared" si="126"/>
        <v/>
      </c>
      <c r="O1393" t="str">
        <f>IF($AS1393="","",INDEX('TMP Paste'!$K$2:$K$1601,$AS1393))</f>
        <v/>
      </c>
      <c r="P1393" t="str">
        <f t="shared" si="127"/>
        <v/>
      </c>
      <c r="Q1393" t="str">
        <f>IF($AS1393="","",INDEX('TMP Paste'!$J$2:$J$1601,$AS1393))</f>
        <v/>
      </c>
      <c r="R1393" t="str">
        <f>IF($AS1393="","",Config!$B$24)</f>
        <v/>
      </c>
      <c r="S1393" t="str">
        <f ca="1">IF($AS1393="","",TEXT(Config!$B$4,"yyyy-mm-dd"))</f>
        <v/>
      </c>
      <c r="T1393" t="str">
        <f>IF($AS1393="","",Config!$B$17)</f>
        <v/>
      </c>
      <c r="U1393" t="str">
        <f>IF($AS1393="","",Config!$B$18)</f>
        <v/>
      </c>
      <c r="V1393" t="str">
        <f>IF($AS1393="","",Config!$B$19)</f>
        <v/>
      </c>
      <c r="W1393" t="str">
        <f>IF($AS1393="","",INDEX('TMP Paste'!$C$2:$C$1601,$AS1393))</f>
        <v/>
      </c>
      <c r="X1393" t="str">
        <f>IF($AS1393="","",Config!$B$29)</f>
        <v/>
      </c>
      <c r="Y1393" t="str">
        <f>IF($AT1393="","",INDEX(Calc!$I$2:$I$1601,$AT1393)&amp;" - "&amp;INDEX(Calc!$D$2:$D$1601,$AT1393)&amp;" koli")</f>
        <v/>
      </c>
      <c r="Z1393" t="str">
        <f>IF($AS1393="","",Config!$B$21)</f>
        <v/>
      </c>
      <c r="AA1393" t="str">
        <f>IF($AS1393="","",Config!$B$22)</f>
        <v/>
      </c>
      <c r="AB1393" t="str">
        <f>IF($AT1393="","",INDEX(Calc!$D$2:$D$1601,$AT1393))</f>
        <v/>
      </c>
      <c r="AC1393" t="str">
        <f>IF($AT1393="","",INDEX(Calc!$G$2:$G$1601,$AT1393))</f>
        <v/>
      </c>
      <c r="AD1393" t="str">
        <f>IF($AS1393="","",Config!$B$23)</f>
        <v/>
      </c>
      <c r="AE1393" t="str">
        <f>IF($AS1393="","",Config!$B$28)</f>
        <v/>
      </c>
      <c r="AF1393" t="str">
        <f t="shared" si="128"/>
        <v/>
      </c>
      <c r="AG1393" t="str">
        <f t="shared" si="129"/>
        <v/>
      </c>
      <c r="AH1393" t="str">
        <f t="shared" si="130"/>
        <v/>
      </c>
      <c r="AI1393" t="str">
        <f>IF($AG1393="","",SUMIF($AG$2:$AG1393,$AG1393,$AH$2:$AH1393))</f>
        <v/>
      </c>
      <c r="AJ1393" t="str">
        <f>IF('TMP Paste'!$F1393="","",IF('TMP Paste'!$B1393="",$AJ1392,'TMP Paste'!$B1393))</f>
        <v/>
      </c>
      <c r="AK1393" t="str">
        <f>IF('TMP Paste'!$F1393="","",N('TMP Paste'!$G1393))</f>
        <v/>
      </c>
      <c r="AL1393" t="str">
        <f>IF('TMP Paste'!$F1393="","",IF('TMP Paste'!$M1393="",$AL1392,'TMP Paste'!$M1393))</f>
        <v/>
      </c>
      <c r="AM1393" t="str">
        <f>IF('TMP Paste'!$F1393="","",IF('TMP Paste'!$N1393="",$AM1392,'TMP Paste'!$N1393))</f>
        <v/>
      </c>
      <c r="AN1393" t="str">
        <f>IF('TMP Paste'!$F1393="","",IF('TMP Paste'!$O1393="",$AN1392,'TMP Paste'!$O1393))</f>
        <v/>
      </c>
      <c r="AO1393" t="str">
        <f>IF('TMP Paste'!$F1393="","",IF('TMP Paste'!$P1393="",$AO1392,'TMP Paste'!$P1393))</f>
        <v/>
      </c>
      <c r="AP1393" t="str">
        <f t="shared" si="131"/>
        <v/>
      </c>
      <c r="AQ1393" t="str">
        <f>IF($AS1393="","",TRIM(IF(COUNTIFS(Calc!$B$2:$B$1601,ROW()-1,Calc!$C$2:$C$1601,"&lt;1")&gt;0,"Ada PO tanpa Koli - cek TMP. ","")&amp;IF(OR($AU1393="",$AU1393&lt;=0),"Volume kosong/0 - dimensi dikosongkan. ","")&amp;IF(AND($AU1393&lt;&gt;"",$AU1393&gt;=1000000),"Volume &gt;= 1.000.000 cm3 (di luar aturan) - dimensi dikosongkan. ","")&amp;IF(LEN($R1393)&gt;500,"R &gt; 500 karakter.","")))</f>
        <v/>
      </c>
      <c r="AS1393" t="str">
        <f>IFERROR(MATCH(ROW()-1,Calc!$J$2:$J$1601,0),"")</f>
        <v/>
      </c>
      <c r="AT1393" t="str">
        <f>IFERROR(MATCH(ROW()-1,Calc!$K$2:$K$1601,0),"")</f>
        <v/>
      </c>
      <c r="AU1393" t="str">
        <f>IF($AS1393="","",IFERROR(INDEX('TMP Paste'!$D$2:$D$1601,$AS1393)*1000000/$AB1393,""))</f>
        <v/>
      </c>
    </row>
    <row r="1394" spans="1:47">
      <c r="A1394" t="str">
        <f>IF($AS1394="","",INDEX('TMP Paste'!$B$2:$B$1601,$AS1394))</f>
        <v/>
      </c>
      <c r="B1394" t="str">
        <f>IF($AS1394="","",Config!$B$14)</f>
        <v/>
      </c>
      <c r="C1394" t="str">
        <f>IF($AS1394="","",Config!$B$15)</f>
        <v/>
      </c>
      <c r="D1394" t="str">
        <f>IF($AS1394="","",INDEX('TMP Paste'!$B$2:$B$1601,$AS1394))</f>
        <v/>
      </c>
      <c r="E1394" t="str">
        <f>IF($AS1394="","",Config!$B$27)</f>
        <v/>
      </c>
      <c r="F1394" t="str">
        <f>IF($AS1394="","",Config!$B$9)</f>
        <v/>
      </c>
      <c r="G1394" t="str">
        <f>IF($AS1394="","",Config!$B$10)</f>
        <v/>
      </c>
      <c r="H1394" t="str">
        <f>IF($AS1394="","",Config!$B$11)</f>
        <v/>
      </c>
      <c r="I1394" t="str">
        <f>IF($AS1394="","",Config!$B$16)</f>
        <v/>
      </c>
      <c r="J1394" t="str">
        <f>IF($AS1394="","",INDEX('TMP Paste'!$A$2:$A$1601,$AS1394))</f>
        <v/>
      </c>
      <c r="K1394" t="str">
        <f>IF($AS1394="","",INDEX('TMP Paste'!$L$2:$L$1601,$AS1394))</f>
        <v/>
      </c>
      <c r="L1394" t="str">
        <f>IF($AS1394="","",INDEX('TMP Paste'!$I$2:$I$1601,$AS1394))</f>
        <v/>
      </c>
      <c r="M1394" t="str">
        <f>IF($AS1394="","",Config!$B$16)</f>
        <v/>
      </c>
      <c r="N1394" t="str">
        <f t="shared" si="126"/>
        <v/>
      </c>
      <c r="O1394" t="str">
        <f>IF($AS1394="","",INDEX('TMP Paste'!$K$2:$K$1601,$AS1394))</f>
        <v/>
      </c>
      <c r="P1394" t="str">
        <f t="shared" si="127"/>
        <v/>
      </c>
      <c r="Q1394" t="str">
        <f>IF($AS1394="","",INDEX('TMP Paste'!$J$2:$J$1601,$AS1394))</f>
        <v/>
      </c>
      <c r="R1394" t="str">
        <f>IF($AS1394="","",Config!$B$24)</f>
        <v/>
      </c>
      <c r="S1394" t="str">
        <f ca="1">IF($AS1394="","",TEXT(Config!$B$4,"yyyy-mm-dd"))</f>
        <v/>
      </c>
      <c r="T1394" t="str">
        <f>IF($AS1394="","",Config!$B$17)</f>
        <v/>
      </c>
      <c r="U1394" t="str">
        <f>IF($AS1394="","",Config!$B$18)</f>
        <v/>
      </c>
      <c r="V1394" t="str">
        <f>IF($AS1394="","",Config!$B$19)</f>
        <v/>
      </c>
      <c r="W1394" t="str">
        <f>IF($AS1394="","",INDEX('TMP Paste'!$C$2:$C$1601,$AS1394))</f>
        <v/>
      </c>
      <c r="X1394" t="str">
        <f>IF($AS1394="","",Config!$B$29)</f>
        <v/>
      </c>
      <c r="Y1394" t="str">
        <f>IF($AT1394="","",INDEX(Calc!$I$2:$I$1601,$AT1394)&amp;" - "&amp;INDEX(Calc!$D$2:$D$1601,$AT1394)&amp;" koli")</f>
        <v/>
      </c>
      <c r="Z1394" t="str">
        <f>IF($AS1394="","",Config!$B$21)</f>
        <v/>
      </c>
      <c r="AA1394" t="str">
        <f>IF($AS1394="","",Config!$B$22)</f>
        <v/>
      </c>
      <c r="AB1394" t="str">
        <f>IF($AT1394="","",INDEX(Calc!$D$2:$D$1601,$AT1394))</f>
        <v/>
      </c>
      <c r="AC1394" t="str">
        <f>IF($AT1394="","",INDEX(Calc!$G$2:$G$1601,$AT1394))</f>
        <v/>
      </c>
      <c r="AD1394" t="str">
        <f>IF($AS1394="","",Config!$B$23)</f>
        <v/>
      </c>
      <c r="AE1394" t="str">
        <f>IF($AS1394="","",Config!$B$28)</f>
        <v/>
      </c>
      <c r="AF1394" t="str">
        <f t="shared" si="128"/>
        <v/>
      </c>
      <c r="AG1394" t="str">
        <f t="shared" si="129"/>
        <v/>
      </c>
      <c r="AH1394" t="str">
        <f t="shared" si="130"/>
        <v/>
      </c>
      <c r="AI1394" t="str">
        <f>IF($AG1394="","",SUMIF($AG$2:$AG1394,$AG1394,$AH$2:$AH1394))</f>
        <v/>
      </c>
      <c r="AJ1394" t="str">
        <f>IF('TMP Paste'!$F1394="","",IF('TMP Paste'!$B1394="",$AJ1393,'TMP Paste'!$B1394))</f>
        <v/>
      </c>
      <c r="AK1394" t="str">
        <f>IF('TMP Paste'!$F1394="","",N('TMP Paste'!$G1394))</f>
        <v/>
      </c>
      <c r="AL1394" t="str">
        <f>IF('TMP Paste'!$F1394="","",IF('TMP Paste'!$M1394="",$AL1393,'TMP Paste'!$M1394))</f>
        <v/>
      </c>
      <c r="AM1394" t="str">
        <f>IF('TMP Paste'!$F1394="","",IF('TMP Paste'!$N1394="",$AM1393,'TMP Paste'!$N1394))</f>
        <v/>
      </c>
      <c r="AN1394" t="str">
        <f>IF('TMP Paste'!$F1394="","",IF('TMP Paste'!$O1394="",$AN1393,'TMP Paste'!$O1394))</f>
        <v/>
      </c>
      <c r="AO1394" t="str">
        <f>IF('TMP Paste'!$F1394="","",IF('TMP Paste'!$P1394="",$AO1393,'TMP Paste'!$P1394))</f>
        <v/>
      </c>
      <c r="AP1394" t="str">
        <f t="shared" si="131"/>
        <v/>
      </c>
      <c r="AQ1394" t="str">
        <f>IF($AS1394="","",TRIM(IF(COUNTIFS(Calc!$B$2:$B$1601,ROW()-1,Calc!$C$2:$C$1601,"&lt;1")&gt;0,"Ada PO tanpa Koli - cek TMP. ","")&amp;IF(OR($AU1394="",$AU1394&lt;=0),"Volume kosong/0 - dimensi dikosongkan. ","")&amp;IF(AND($AU1394&lt;&gt;"",$AU1394&gt;=1000000),"Volume &gt;= 1.000.000 cm3 (di luar aturan) - dimensi dikosongkan. ","")&amp;IF(LEN($R1394)&gt;500,"R &gt; 500 karakter.","")))</f>
        <v/>
      </c>
      <c r="AS1394" t="str">
        <f>IFERROR(MATCH(ROW()-1,Calc!$J$2:$J$1601,0),"")</f>
        <v/>
      </c>
      <c r="AT1394" t="str">
        <f>IFERROR(MATCH(ROW()-1,Calc!$K$2:$K$1601,0),"")</f>
        <v/>
      </c>
      <c r="AU1394" t="str">
        <f>IF($AS1394="","",IFERROR(INDEX('TMP Paste'!$D$2:$D$1601,$AS1394)*1000000/$AB1394,""))</f>
        <v/>
      </c>
    </row>
    <row r="1395" spans="1:47">
      <c r="A1395" t="str">
        <f>IF($AS1395="","",INDEX('TMP Paste'!$B$2:$B$1601,$AS1395))</f>
        <v/>
      </c>
      <c r="B1395" t="str">
        <f>IF($AS1395="","",Config!$B$14)</f>
        <v/>
      </c>
      <c r="C1395" t="str">
        <f>IF($AS1395="","",Config!$B$15)</f>
        <v/>
      </c>
      <c r="D1395" t="str">
        <f>IF($AS1395="","",INDEX('TMP Paste'!$B$2:$B$1601,$AS1395))</f>
        <v/>
      </c>
      <c r="E1395" t="str">
        <f>IF($AS1395="","",Config!$B$27)</f>
        <v/>
      </c>
      <c r="F1395" t="str">
        <f>IF($AS1395="","",Config!$B$9)</f>
        <v/>
      </c>
      <c r="G1395" t="str">
        <f>IF($AS1395="","",Config!$B$10)</f>
        <v/>
      </c>
      <c r="H1395" t="str">
        <f>IF($AS1395="","",Config!$B$11)</f>
        <v/>
      </c>
      <c r="I1395" t="str">
        <f>IF($AS1395="","",Config!$B$16)</f>
        <v/>
      </c>
      <c r="J1395" t="str">
        <f>IF($AS1395="","",INDEX('TMP Paste'!$A$2:$A$1601,$AS1395))</f>
        <v/>
      </c>
      <c r="K1395" t="str">
        <f>IF($AS1395="","",INDEX('TMP Paste'!$L$2:$L$1601,$AS1395))</f>
        <v/>
      </c>
      <c r="L1395" t="str">
        <f>IF($AS1395="","",INDEX('TMP Paste'!$I$2:$I$1601,$AS1395))</f>
        <v/>
      </c>
      <c r="M1395" t="str">
        <f>IF($AS1395="","",Config!$B$16)</f>
        <v/>
      </c>
      <c r="N1395" t="str">
        <f t="shared" si="126"/>
        <v/>
      </c>
      <c r="O1395" t="str">
        <f>IF($AS1395="","",INDEX('TMP Paste'!$K$2:$K$1601,$AS1395))</f>
        <v/>
      </c>
      <c r="P1395" t="str">
        <f t="shared" si="127"/>
        <v/>
      </c>
      <c r="Q1395" t="str">
        <f>IF($AS1395="","",INDEX('TMP Paste'!$J$2:$J$1601,$AS1395))</f>
        <v/>
      </c>
      <c r="R1395" t="str">
        <f>IF($AS1395="","",Config!$B$24)</f>
        <v/>
      </c>
      <c r="S1395" t="str">
        <f ca="1">IF($AS1395="","",TEXT(Config!$B$4,"yyyy-mm-dd"))</f>
        <v/>
      </c>
      <c r="T1395" t="str">
        <f>IF($AS1395="","",Config!$B$17)</f>
        <v/>
      </c>
      <c r="U1395" t="str">
        <f>IF($AS1395="","",Config!$B$18)</f>
        <v/>
      </c>
      <c r="V1395" t="str">
        <f>IF($AS1395="","",Config!$B$19)</f>
        <v/>
      </c>
      <c r="W1395" t="str">
        <f>IF($AS1395="","",INDEX('TMP Paste'!$C$2:$C$1601,$AS1395))</f>
        <v/>
      </c>
      <c r="X1395" t="str">
        <f>IF($AS1395="","",Config!$B$29)</f>
        <v/>
      </c>
      <c r="Y1395" t="str">
        <f>IF($AT1395="","",INDEX(Calc!$I$2:$I$1601,$AT1395)&amp;" - "&amp;INDEX(Calc!$D$2:$D$1601,$AT1395)&amp;" koli")</f>
        <v/>
      </c>
      <c r="Z1395" t="str">
        <f>IF($AS1395="","",Config!$B$21)</f>
        <v/>
      </c>
      <c r="AA1395" t="str">
        <f>IF($AS1395="","",Config!$B$22)</f>
        <v/>
      </c>
      <c r="AB1395" t="str">
        <f>IF($AT1395="","",INDEX(Calc!$D$2:$D$1601,$AT1395))</f>
        <v/>
      </c>
      <c r="AC1395" t="str">
        <f>IF($AT1395="","",INDEX(Calc!$G$2:$G$1601,$AT1395))</f>
        <v/>
      </c>
      <c r="AD1395" t="str">
        <f>IF($AS1395="","",Config!$B$23)</f>
        <v/>
      </c>
      <c r="AE1395" t="str">
        <f>IF($AS1395="","",Config!$B$28)</f>
        <v/>
      </c>
      <c r="AF1395" t="str">
        <f t="shared" si="128"/>
        <v/>
      </c>
      <c r="AG1395" t="str">
        <f t="shared" si="129"/>
        <v/>
      </c>
      <c r="AH1395" t="str">
        <f t="shared" si="130"/>
        <v/>
      </c>
      <c r="AI1395" t="str">
        <f>IF($AG1395="","",SUMIF($AG$2:$AG1395,$AG1395,$AH$2:$AH1395))</f>
        <v/>
      </c>
      <c r="AJ1395" t="str">
        <f>IF('TMP Paste'!$F1395="","",IF('TMP Paste'!$B1395="",$AJ1394,'TMP Paste'!$B1395))</f>
        <v/>
      </c>
      <c r="AK1395" t="str">
        <f>IF('TMP Paste'!$F1395="","",N('TMP Paste'!$G1395))</f>
        <v/>
      </c>
      <c r="AL1395" t="str">
        <f>IF('TMP Paste'!$F1395="","",IF('TMP Paste'!$M1395="",$AL1394,'TMP Paste'!$M1395))</f>
        <v/>
      </c>
      <c r="AM1395" t="str">
        <f>IF('TMP Paste'!$F1395="","",IF('TMP Paste'!$N1395="",$AM1394,'TMP Paste'!$N1395))</f>
        <v/>
      </c>
      <c r="AN1395" t="str">
        <f>IF('TMP Paste'!$F1395="","",IF('TMP Paste'!$O1395="",$AN1394,'TMP Paste'!$O1395))</f>
        <v/>
      </c>
      <c r="AO1395" t="str">
        <f>IF('TMP Paste'!$F1395="","",IF('TMP Paste'!$P1395="",$AO1394,'TMP Paste'!$P1395))</f>
        <v/>
      </c>
      <c r="AP1395" t="str">
        <f t="shared" si="131"/>
        <v/>
      </c>
      <c r="AQ1395" t="str">
        <f>IF($AS1395="","",TRIM(IF(COUNTIFS(Calc!$B$2:$B$1601,ROW()-1,Calc!$C$2:$C$1601,"&lt;1")&gt;0,"Ada PO tanpa Koli - cek TMP. ","")&amp;IF(OR($AU1395="",$AU1395&lt;=0),"Volume kosong/0 - dimensi dikosongkan. ","")&amp;IF(AND($AU1395&lt;&gt;"",$AU1395&gt;=1000000),"Volume &gt;= 1.000.000 cm3 (di luar aturan) - dimensi dikosongkan. ","")&amp;IF(LEN($R1395)&gt;500,"R &gt; 500 karakter.","")))</f>
        <v/>
      </c>
      <c r="AS1395" t="str">
        <f>IFERROR(MATCH(ROW()-1,Calc!$J$2:$J$1601,0),"")</f>
        <v/>
      </c>
      <c r="AT1395" t="str">
        <f>IFERROR(MATCH(ROW()-1,Calc!$K$2:$K$1601,0),"")</f>
        <v/>
      </c>
      <c r="AU1395" t="str">
        <f>IF($AS1395="","",IFERROR(INDEX('TMP Paste'!$D$2:$D$1601,$AS1395)*1000000/$AB1395,""))</f>
        <v/>
      </c>
    </row>
    <row r="1396" spans="1:47">
      <c r="A1396" t="str">
        <f>IF($AS1396="","",INDEX('TMP Paste'!$B$2:$B$1601,$AS1396))</f>
        <v/>
      </c>
      <c r="B1396" t="str">
        <f>IF($AS1396="","",Config!$B$14)</f>
        <v/>
      </c>
      <c r="C1396" t="str">
        <f>IF($AS1396="","",Config!$B$15)</f>
        <v/>
      </c>
      <c r="D1396" t="str">
        <f>IF($AS1396="","",INDEX('TMP Paste'!$B$2:$B$1601,$AS1396))</f>
        <v/>
      </c>
      <c r="E1396" t="str">
        <f>IF($AS1396="","",Config!$B$27)</f>
        <v/>
      </c>
      <c r="F1396" t="str">
        <f>IF($AS1396="","",Config!$B$9)</f>
        <v/>
      </c>
      <c r="G1396" t="str">
        <f>IF($AS1396="","",Config!$B$10)</f>
        <v/>
      </c>
      <c r="H1396" t="str">
        <f>IF($AS1396="","",Config!$B$11)</f>
        <v/>
      </c>
      <c r="I1396" t="str">
        <f>IF($AS1396="","",Config!$B$16)</f>
        <v/>
      </c>
      <c r="J1396" t="str">
        <f>IF($AS1396="","",INDEX('TMP Paste'!$A$2:$A$1601,$AS1396))</f>
        <v/>
      </c>
      <c r="K1396" t="str">
        <f>IF($AS1396="","",INDEX('TMP Paste'!$L$2:$L$1601,$AS1396))</f>
        <v/>
      </c>
      <c r="L1396" t="str">
        <f>IF($AS1396="","",INDEX('TMP Paste'!$I$2:$I$1601,$AS1396))</f>
        <v/>
      </c>
      <c r="M1396" t="str">
        <f>IF($AS1396="","",Config!$B$16)</f>
        <v/>
      </c>
      <c r="N1396" t="str">
        <f t="shared" si="126"/>
        <v/>
      </c>
      <c r="O1396" t="str">
        <f>IF($AS1396="","",INDEX('TMP Paste'!$K$2:$K$1601,$AS1396))</f>
        <v/>
      </c>
      <c r="P1396" t="str">
        <f t="shared" si="127"/>
        <v/>
      </c>
      <c r="Q1396" t="str">
        <f>IF($AS1396="","",INDEX('TMP Paste'!$J$2:$J$1601,$AS1396))</f>
        <v/>
      </c>
      <c r="R1396" t="str">
        <f>IF($AS1396="","",Config!$B$24)</f>
        <v/>
      </c>
      <c r="S1396" t="str">
        <f ca="1">IF($AS1396="","",TEXT(Config!$B$4,"yyyy-mm-dd"))</f>
        <v/>
      </c>
      <c r="T1396" t="str">
        <f>IF($AS1396="","",Config!$B$17)</f>
        <v/>
      </c>
      <c r="U1396" t="str">
        <f>IF($AS1396="","",Config!$B$18)</f>
        <v/>
      </c>
      <c r="V1396" t="str">
        <f>IF($AS1396="","",Config!$B$19)</f>
        <v/>
      </c>
      <c r="W1396" t="str">
        <f>IF($AS1396="","",INDEX('TMP Paste'!$C$2:$C$1601,$AS1396))</f>
        <v/>
      </c>
      <c r="X1396" t="str">
        <f>IF($AS1396="","",Config!$B$29)</f>
        <v/>
      </c>
      <c r="Y1396" t="str">
        <f>IF($AT1396="","",INDEX(Calc!$I$2:$I$1601,$AT1396)&amp;" - "&amp;INDEX(Calc!$D$2:$D$1601,$AT1396)&amp;" koli")</f>
        <v/>
      </c>
      <c r="Z1396" t="str">
        <f>IF($AS1396="","",Config!$B$21)</f>
        <v/>
      </c>
      <c r="AA1396" t="str">
        <f>IF($AS1396="","",Config!$B$22)</f>
        <v/>
      </c>
      <c r="AB1396" t="str">
        <f>IF($AT1396="","",INDEX(Calc!$D$2:$D$1601,$AT1396))</f>
        <v/>
      </c>
      <c r="AC1396" t="str">
        <f>IF($AT1396="","",INDEX(Calc!$G$2:$G$1601,$AT1396))</f>
        <v/>
      </c>
      <c r="AD1396" t="str">
        <f>IF($AS1396="","",Config!$B$23)</f>
        <v/>
      </c>
      <c r="AE1396" t="str">
        <f>IF($AS1396="","",Config!$B$28)</f>
        <v/>
      </c>
      <c r="AF1396" t="str">
        <f t="shared" si="128"/>
        <v/>
      </c>
      <c r="AG1396" t="str">
        <f t="shared" si="129"/>
        <v/>
      </c>
      <c r="AH1396" t="str">
        <f t="shared" si="130"/>
        <v/>
      </c>
      <c r="AI1396" t="str">
        <f>IF($AG1396="","",SUMIF($AG$2:$AG1396,$AG1396,$AH$2:$AH1396))</f>
        <v/>
      </c>
      <c r="AJ1396" t="str">
        <f>IF('TMP Paste'!$F1396="","",IF('TMP Paste'!$B1396="",$AJ1395,'TMP Paste'!$B1396))</f>
        <v/>
      </c>
      <c r="AK1396" t="str">
        <f>IF('TMP Paste'!$F1396="","",N('TMP Paste'!$G1396))</f>
        <v/>
      </c>
      <c r="AL1396" t="str">
        <f>IF('TMP Paste'!$F1396="","",IF('TMP Paste'!$M1396="",$AL1395,'TMP Paste'!$M1396))</f>
        <v/>
      </c>
      <c r="AM1396" t="str">
        <f>IF('TMP Paste'!$F1396="","",IF('TMP Paste'!$N1396="",$AM1395,'TMP Paste'!$N1396))</f>
        <v/>
      </c>
      <c r="AN1396" t="str">
        <f>IF('TMP Paste'!$F1396="","",IF('TMP Paste'!$O1396="",$AN1395,'TMP Paste'!$O1396))</f>
        <v/>
      </c>
      <c r="AO1396" t="str">
        <f>IF('TMP Paste'!$F1396="","",IF('TMP Paste'!$P1396="",$AO1395,'TMP Paste'!$P1396))</f>
        <v/>
      </c>
      <c r="AP1396" t="str">
        <f t="shared" si="131"/>
        <v/>
      </c>
      <c r="AQ1396" t="str">
        <f>IF($AS1396="","",TRIM(IF(COUNTIFS(Calc!$B$2:$B$1601,ROW()-1,Calc!$C$2:$C$1601,"&lt;1")&gt;0,"Ada PO tanpa Koli - cek TMP. ","")&amp;IF(OR($AU1396="",$AU1396&lt;=0),"Volume kosong/0 - dimensi dikosongkan. ","")&amp;IF(AND($AU1396&lt;&gt;"",$AU1396&gt;=1000000),"Volume &gt;= 1.000.000 cm3 (di luar aturan) - dimensi dikosongkan. ","")&amp;IF(LEN($R1396)&gt;500,"R &gt; 500 karakter.","")))</f>
        <v/>
      </c>
      <c r="AS1396" t="str">
        <f>IFERROR(MATCH(ROW()-1,Calc!$J$2:$J$1601,0),"")</f>
        <v/>
      </c>
      <c r="AT1396" t="str">
        <f>IFERROR(MATCH(ROW()-1,Calc!$K$2:$K$1601,0),"")</f>
        <v/>
      </c>
      <c r="AU1396" t="str">
        <f>IF($AS1396="","",IFERROR(INDEX('TMP Paste'!$D$2:$D$1601,$AS1396)*1000000/$AB1396,""))</f>
        <v/>
      </c>
    </row>
    <row r="1397" spans="1:47">
      <c r="A1397" t="str">
        <f>IF($AS1397="","",INDEX('TMP Paste'!$B$2:$B$1601,$AS1397))</f>
        <v/>
      </c>
      <c r="B1397" t="str">
        <f>IF($AS1397="","",Config!$B$14)</f>
        <v/>
      </c>
      <c r="C1397" t="str">
        <f>IF($AS1397="","",Config!$B$15)</f>
        <v/>
      </c>
      <c r="D1397" t="str">
        <f>IF($AS1397="","",INDEX('TMP Paste'!$B$2:$B$1601,$AS1397))</f>
        <v/>
      </c>
      <c r="E1397" t="str">
        <f>IF($AS1397="","",Config!$B$27)</f>
        <v/>
      </c>
      <c r="F1397" t="str">
        <f>IF($AS1397="","",Config!$B$9)</f>
        <v/>
      </c>
      <c r="G1397" t="str">
        <f>IF($AS1397="","",Config!$B$10)</f>
        <v/>
      </c>
      <c r="H1397" t="str">
        <f>IF($AS1397="","",Config!$B$11)</f>
        <v/>
      </c>
      <c r="I1397" t="str">
        <f>IF($AS1397="","",Config!$B$16)</f>
        <v/>
      </c>
      <c r="J1397" t="str">
        <f>IF($AS1397="","",INDEX('TMP Paste'!$A$2:$A$1601,$AS1397))</f>
        <v/>
      </c>
      <c r="K1397" t="str">
        <f>IF($AS1397="","",INDEX('TMP Paste'!$L$2:$L$1601,$AS1397))</f>
        <v/>
      </c>
      <c r="L1397" t="str">
        <f>IF($AS1397="","",INDEX('TMP Paste'!$I$2:$I$1601,$AS1397))</f>
        <v/>
      </c>
      <c r="M1397" t="str">
        <f>IF($AS1397="","",Config!$B$16)</f>
        <v/>
      </c>
      <c r="N1397" t="str">
        <f t="shared" si="126"/>
        <v/>
      </c>
      <c r="O1397" t="str">
        <f>IF($AS1397="","",INDEX('TMP Paste'!$K$2:$K$1601,$AS1397))</f>
        <v/>
      </c>
      <c r="P1397" t="str">
        <f t="shared" si="127"/>
        <v/>
      </c>
      <c r="Q1397" t="str">
        <f>IF($AS1397="","",INDEX('TMP Paste'!$J$2:$J$1601,$AS1397))</f>
        <v/>
      </c>
      <c r="R1397" t="str">
        <f>IF($AS1397="","",Config!$B$24)</f>
        <v/>
      </c>
      <c r="S1397" t="str">
        <f ca="1">IF($AS1397="","",TEXT(Config!$B$4,"yyyy-mm-dd"))</f>
        <v/>
      </c>
      <c r="T1397" t="str">
        <f>IF($AS1397="","",Config!$B$17)</f>
        <v/>
      </c>
      <c r="U1397" t="str">
        <f>IF($AS1397="","",Config!$B$18)</f>
        <v/>
      </c>
      <c r="V1397" t="str">
        <f>IF($AS1397="","",Config!$B$19)</f>
        <v/>
      </c>
      <c r="W1397" t="str">
        <f>IF($AS1397="","",INDEX('TMP Paste'!$C$2:$C$1601,$AS1397))</f>
        <v/>
      </c>
      <c r="X1397" t="str">
        <f>IF($AS1397="","",Config!$B$29)</f>
        <v/>
      </c>
      <c r="Y1397" t="str">
        <f>IF($AT1397="","",INDEX(Calc!$I$2:$I$1601,$AT1397)&amp;" - "&amp;INDEX(Calc!$D$2:$D$1601,$AT1397)&amp;" koli")</f>
        <v/>
      </c>
      <c r="Z1397" t="str">
        <f>IF($AS1397="","",Config!$B$21)</f>
        <v/>
      </c>
      <c r="AA1397" t="str">
        <f>IF($AS1397="","",Config!$B$22)</f>
        <v/>
      </c>
      <c r="AB1397" t="str">
        <f>IF($AT1397="","",INDEX(Calc!$D$2:$D$1601,$AT1397))</f>
        <v/>
      </c>
      <c r="AC1397" t="str">
        <f>IF($AT1397="","",INDEX(Calc!$G$2:$G$1601,$AT1397))</f>
        <v/>
      </c>
      <c r="AD1397" t="str">
        <f>IF($AS1397="","",Config!$B$23)</f>
        <v/>
      </c>
      <c r="AE1397" t="str">
        <f>IF($AS1397="","",Config!$B$28)</f>
        <v/>
      </c>
      <c r="AF1397" t="str">
        <f t="shared" si="128"/>
        <v/>
      </c>
      <c r="AG1397" t="str">
        <f t="shared" si="129"/>
        <v/>
      </c>
      <c r="AH1397" t="str">
        <f t="shared" si="130"/>
        <v/>
      </c>
      <c r="AI1397" t="str">
        <f>IF($AG1397="","",SUMIF($AG$2:$AG1397,$AG1397,$AH$2:$AH1397))</f>
        <v/>
      </c>
      <c r="AJ1397" t="str">
        <f>IF('TMP Paste'!$F1397="","",IF('TMP Paste'!$B1397="",$AJ1396,'TMP Paste'!$B1397))</f>
        <v/>
      </c>
      <c r="AK1397" t="str">
        <f>IF('TMP Paste'!$F1397="","",N('TMP Paste'!$G1397))</f>
        <v/>
      </c>
      <c r="AL1397" t="str">
        <f>IF('TMP Paste'!$F1397="","",IF('TMP Paste'!$M1397="",$AL1396,'TMP Paste'!$M1397))</f>
        <v/>
      </c>
      <c r="AM1397" t="str">
        <f>IF('TMP Paste'!$F1397="","",IF('TMP Paste'!$N1397="",$AM1396,'TMP Paste'!$N1397))</f>
        <v/>
      </c>
      <c r="AN1397" t="str">
        <f>IF('TMP Paste'!$F1397="","",IF('TMP Paste'!$O1397="",$AN1396,'TMP Paste'!$O1397))</f>
        <v/>
      </c>
      <c r="AO1397" t="str">
        <f>IF('TMP Paste'!$F1397="","",IF('TMP Paste'!$P1397="",$AO1396,'TMP Paste'!$P1397))</f>
        <v/>
      </c>
      <c r="AP1397" t="str">
        <f t="shared" si="131"/>
        <v/>
      </c>
      <c r="AQ1397" t="str">
        <f>IF($AS1397="","",TRIM(IF(COUNTIFS(Calc!$B$2:$B$1601,ROW()-1,Calc!$C$2:$C$1601,"&lt;1")&gt;0,"Ada PO tanpa Koli - cek TMP. ","")&amp;IF(OR($AU1397="",$AU1397&lt;=0),"Volume kosong/0 - dimensi dikosongkan. ","")&amp;IF(AND($AU1397&lt;&gt;"",$AU1397&gt;=1000000),"Volume &gt;= 1.000.000 cm3 (di luar aturan) - dimensi dikosongkan. ","")&amp;IF(LEN($R1397)&gt;500,"R &gt; 500 karakter.","")))</f>
        <v/>
      </c>
      <c r="AS1397" t="str">
        <f>IFERROR(MATCH(ROW()-1,Calc!$J$2:$J$1601,0),"")</f>
        <v/>
      </c>
      <c r="AT1397" t="str">
        <f>IFERROR(MATCH(ROW()-1,Calc!$K$2:$K$1601,0),"")</f>
        <v/>
      </c>
      <c r="AU1397" t="str">
        <f>IF($AS1397="","",IFERROR(INDEX('TMP Paste'!$D$2:$D$1601,$AS1397)*1000000/$AB1397,""))</f>
        <v/>
      </c>
    </row>
    <row r="1398" spans="1:47">
      <c r="A1398" t="str">
        <f>IF($AS1398="","",INDEX('TMP Paste'!$B$2:$B$1601,$AS1398))</f>
        <v/>
      </c>
      <c r="B1398" t="str">
        <f>IF($AS1398="","",Config!$B$14)</f>
        <v/>
      </c>
      <c r="C1398" t="str">
        <f>IF($AS1398="","",Config!$B$15)</f>
        <v/>
      </c>
      <c r="D1398" t="str">
        <f>IF($AS1398="","",INDEX('TMP Paste'!$B$2:$B$1601,$AS1398))</f>
        <v/>
      </c>
      <c r="E1398" t="str">
        <f>IF($AS1398="","",Config!$B$27)</f>
        <v/>
      </c>
      <c r="F1398" t="str">
        <f>IF($AS1398="","",Config!$B$9)</f>
        <v/>
      </c>
      <c r="G1398" t="str">
        <f>IF($AS1398="","",Config!$B$10)</f>
        <v/>
      </c>
      <c r="H1398" t="str">
        <f>IF($AS1398="","",Config!$B$11)</f>
        <v/>
      </c>
      <c r="I1398" t="str">
        <f>IF($AS1398="","",Config!$B$16)</f>
        <v/>
      </c>
      <c r="J1398" t="str">
        <f>IF($AS1398="","",INDEX('TMP Paste'!$A$2:$A$1601,$AS1398))</f>
        <v/>
      </c>
      <c r="K1398" t="str">
        <f>IF($AS1398="","",INDEX('TMP Paste'!$L$2:$L$1601,$AS1398))</f>
        <v/>
      </c>
      <c r="L1398" t="str">
        <f>IF($AS1398="","",INDEX('TMP Paste'!$I$2:$I$1601,$AS1398))</f>
        <v/>
      </c>
      <c r="M1398" t="str">
        <f>IF($AS1398="","",Config!$B$16)</f>
        <v/>
      </c>
      <c r="N1398" t="str">
        <f t="shared" si="126"/>
        <v/>
      </c>
      <c r="O1398" t="str">
        <f>IF($AS1398="","",INDEX('TMP Paste'!$K$2:$K$1601,$AS1398))</f>
        <v/>
      </c>
      <c r="P1398" t="str">
        <f t="shared" si="127"/>
        <v/>
      </c>
      <c r="Q1398" t="str">
        <f>IF($AS1398="","",INDEX('TMP Paste'!$J$2:$J$1601,$AS1398))</f>
        <v/>
      </c>
      <c r="R1398" t="str">
        <f>IF($AS1398="","",Config!$B$24)</f>
        <v/>
      </c>
      <c r="S1398" t="str">
        <f ca="1">IF($AS1398="","",TEXT(Config!$B$4,"yyyy-mm-dd"))</f>
        <v/>
      </c>
      <c r="T1398" t="str">
        <f>IF($AS1398="","",Config!$B$17)</f>
        <v/>
      </c>
      <c r="U1398" t="str">
        <f>IF($AS1398="","",Config!$B$18)</f>
        <v/>
      </c>
      <c r="V1398" t="str">
        <f>IF($AS1398="","",Config!$B$19)</f>
        <v/>
      </c>
      <c r="W1398" t="str">
        <f>IF($AS1398="","",INDEX('TMP Paste'!$C$2:$C$1601,$AS1398))</f>
        <v/>
      </c>
      <c r="X1398" t="str">
        <f>IF($AS1398="","",Config!$B$29)</f>
        <v/>
      </c>
      <c r="Y1398" t="str">
        <f>IF($AT1398="","",INDEX(Calc!$I$2:$I$1601,$AT1398)&amp;" - "&amp;INDEX(Calc!$D$2:$D$1601,$AT1398)&amp;" koli")</f>
        <v/>
      </c>
      <c r="Z1398" t="str">
        <f>IF($AS1398="","",Config!$B$21)</f>
        <v/>
      </c>
      <c r="AA1398" t="str">
        <f>IF($AS1398="","",Config!$B$22)</f>
        <v/>
      </c>
      <c r="AB1398" t="str">
        <f>IF($AT1398="","",INDEX(Calc!$D$2:$D$1601,$AT1398))</f>
        <v/>
      </c>
      <c r="AC1398" t="str">
        <f>IF($AT1398="","",INDEX(Calc!$G$2:$G$1601,$AT1398))</f>
        <v/>
      </c>
      <c r="AD1398" t="str">
        <f>IF($AS1398="","",Config!$B$23)</f>
        <v/>
      </c>
      <c r="AE1398" t="str">
        <f>IF($AS1398="","",Config!$B$28)</f>
        <v/>
      </c>
      <c r="AF1398" t="str">
        <f t="shared" si="128"/>
        <v/>
      </c>
      <c r="AG1398" t="str">
        <f t="shared" si="129"/>
        <v/>
      </c>
      <c r="AH1398" t="str">
        <f t="shared" si="130"/>
        <v/>
      </c>
      <c r="AI1398" t="str">
        <f>IF($AG1398="","",SUMIF($AG$2:$AG1398,$AG1398,$AH$2:$AH1398))</f>
        <v/>
      </c>
      <c r="AJ1398" t="str">
        <f>IF('TMP Paste'!$F1398="","",IF('TMP Paste'!$B1398="",$AJ1397,'TMP Paste'!$B1398))</f>
        <v/>
      </c>
      <c r="AK1398" t="str">
        <f>IF('TMP Paste'!$F1398="","",N('TMP Paste'!$G1398))</f>
        <v/>
      </c>
      <c r="AL1398" t="str">
        <f>IF('TMP Paste'!$F1398="","",IF('TMP Paste'!$M1398="",$AL1397,'TMP Paste'!$M1398))</f>
        <v/>
      </c>
      <c r="AM1398" t="str">
        <f>IF('TMP Paste'!$F1398="","",IF('TMP Paste'!$N1398="",$AM1397,'TMP Paste'!$N1398))</f>
        <v/>
      </c>
      <c r="AN1398" t="str">
        <f>IF('TMP Paste'!$F1398="","",IF('TMP Paste'!$O1398="",$AN1397,'TMP Paste'!$O1398))</f>
        <v/>
      </c>
      <c r="AO1398" t="str">
        <f>IF('TMP Paste'!$F1398="","",IF('TMP Paste'!$P1398="",$AO1397,'TMP Paste'!$P1398))</f>
        <v/>
      </c>
      <c r="AP1398" t="str">
        <f t="shared" si="131"/>
        <v/>
      </c>
      <c r="AQ1398" t="str">
        <f>IF($AS1398="","",TRIM(IF(COUNTIFS(Calc!$B$2:$B$1601,ROW()-1,Calc!$C$2:$C$1601,"&lt;1")&gt;0,"Ada PO tanpa Koli - cek TMP. ","")&amp;IF(OR($AU1398="",$AU1398&lt;=0),"Volume kosong/0 - dimensi dikosongkan. ","")&amp;IF(AND($AU1398&lt;&gt;"",$AU1398&gt;=1000000),"Volume &gt;= 1.000.000 cm3 (di luar aturan) - dimensi dikosongkan. ","")&amp;IF(LEN($R1398)&gt;500,"R &gt; 500 karakter.","")))</f>
        <v/>
      </c>
      <c r="AS1398" t="str">
        <f>IFERROR(MATCH(ROW()-1,Calc!$J$2:$J$1601,0),"")</f>
        <v/>
      </c>
      <c r="AT1398" t="str">
        <f>IFERROR(MATCH(ROW()-1,Calc!$K$2:$K$1601,0),"")</f>
        <v/>
      </c>
      <c r="AU1398" t="str">
        <f>IF($AS1398="","",IFERROR(INDEX('TMP Paste'!$D$2:$D$1601,$AS1398)*1000000/$AB1398,""))</f>
        <v/>
      </c>
    </row>
    <row r="1399" spans="1:47">
      <c r="A1399" t="str">
        <f>IF($AS1399="","",INDEX('TMP Paste'!$B$2:$B$1601,$AS1399))</f>
        <v/>
      </c>
      <c r="B1399" t="str">
        <f>IF($AS1399="","",Config!$B$14)</f>
        <v/>
      </c>
      <c r="C1399" t="str">
        <f>IF($AS1399="","",Config!$B$15)</f>
        <v/>
      </c>
      <c r="D1399" t="str">
        <f>IF($AS1399="","",INDEX('TMP Paste'!$B$2:$B$1601,$AS1399))</f>
        <v/>
      </c>
      <c r="E1399" t="str">
        <f>IF($AS1399="","",Config!$B$27)</f>
        <v/>
      </c>
      <c r="F1399" t="str">
        <f>IF($AS1399="","",Config!$B$9)</f>
        <v/>
      </c>
      <c r="G1399" t="str">
        <f>IF($AS1399="","",Config!$B$10)</f>
        <v/>
      </c>
      <c r="H1399" t="str">
        <f>IF($AS1399="","",Config!$B$11)</f>
        <v/>
      </c>
      <c r="I1399" t="str">
        <f>IF($AS1399="","",Config!$B$16)</f>
        <v/>
      </c>
      <c r="J1399" t="str">
        <f>IF($AS1399="","",INDEX('TMP Paste'!$A$2:$A$1601,$AS1399))</f>
        <v/>
      </c>
      <c r="K1399" t="str">
        <f>IF($AS1399="","",INDEX('TMP Paste'!$L$2:$L$1601,$AS1399))</f>
        <v/>
      </c>
      <c r="L1399" t="str">
        <f>IF($AS1399="","",INDEX('TMP Paste'!$I$2:$I$1601,$AS1399))</f>
        <v/>
      </c>
      <c r="M1399" t="str">
        <f>IF($AS1399="","",Config!$B$16)</f>
        <v/>
      </c>
      <c r="N1399" t="str">
        <f t="shared" si="126"/>
        <v/>
      </c>
      <c r="O1399" t="str">
        <f>IF($AS1399="","",INDEX('TMP Paste'!$K$2:$K$1601,$AS1399))</f>
        <v/>
      </c>
      <c r="P1399" t="str">
        <f t="shared" si="127"/>
        <v/>
      </c>
      <c r="Q1399" t="str">
        <f>IF($AS1399="","",INDEX('TMP Paste'!$J$2:$J$1601,$AS1399))</f>
        <v/>
      </c>
      <c r="R1399" t="str">
        <f>IF($AS1399="","",Config!$B$24)</f>
        <v/>
      </c>
      <c r="S1399" t="str">
        <f ca="1">IF($AS1399="","",TEXT(Config!$B$4,"yyyy-mm-dd"))</f>
        <v/>
      </c>
      <c r="T1399" t="str">
        <f>IF($AS1399="","",Config!$B$17)</f>
        <v/>
      </c>
      <c r="U1399" t="str">
        <f>IF($AS1399="","",Config!$B$18)</f>
        <v/>
      </c>
      <c r="V1399" t="str">
        <f>IF($AS1399="","",Config!$B$19)</f>
        <v/>
      </c>
      <c r="W1399" t="str">
        <f>IF($AS1399="","",INDEX('TMP Paste'!$C$2:$C$1601,$AS1399))</f>
        <v/>
      </c>
      <c r="X1399" t="str">
        <f>IF($AS1399="","",Config!$B$29)</f>
        <v/>
      </c>
      <c r="Y1399" t="str">
        <f>IF($AT1399="","",INDEX(Calc!$I$2:$I$1601,$AT1399)&amp;" - "&amp;INDEX(Calc!$D$2:$D$1601,$AT1399)&amp;" koli")</f>
        <v/>
      </c>
      <c r="Z1399" t="str">
        <f>IF($AS1399="","",Config!$B$21)</f>
        <v/>
      </c>
      <c r="AA1399" t="str">
        <f>IF($AS1399="","",Config!$B$22)</f>
        <v/>
      </c>
      <c r="AB1399" t="str">
        <f>IF($AT1399="","",INDEX(Calc!$D$2:$D$1601,$AT1399))</f>
        <v/>
      </c>
      <c r="AC1399" t="str">
        <f>IF($AT1399="","",INDEX(Calc!$G$2:$G$1601,$AT1399))</f>
        <v/>
      </c>
      <c r="AD1399" t="str">
        <f>IF($AS1399="","",Config!$B$23)</f>
        <v/>
      </c>
      <c r="AE1399" t="str">
        <f>IF($AS1399="","",Config!$B$28)</f>
        <v/>
      </c>
      <c r="AF1399" t="str">
        <f t="shared" si="128"/>
        <v/>
      </c>
      <c r="AG1399" t="str">
        <f t="shared" si="129"/>
        <v/>
      </c>
      <c r="AH1399" t="str">
        <f t="shared" si="130"/>
        <v/>
      </c>
      <c r="AI1399" t="str">
        <f>IF($AG1399="","",SUMIF($AG$2:$AG1399,$AG1399,$AH$2:$AH1399))</f>
        <v/>
      </c>
      <c r="AJ1399" t="str">
        <f>IF('TMP Paste'!$F1399="","",IF('TMP Paste'!$B1399="",$AJ1398,'TMP Paste'!$B1399))</f>
        <v/>
      </c>
      <c r="AK1399" t="str">
        <f>IF('TMP Paste'!$F1399="","",N('TMP Paste'!$G1399))</f>
        <v/>
      </c>
      <c r="AL1399" t="str">
        <f>IF('TMP Paste'!$F1399="","",IF('TMP Paste'!$M1399="",$AL1398,'TMP Paste'!$M1399))</f>
        <v/>
      </c>
      <c r="AM1399" t="str">
        <f>IF('TMP Paste'!$F1399="","",IF('TMP Paste'!$N1399="",$AM1398,'TMP Paste'!$N1399))</f>
        <v/>
      </c>
      <c r="AN1399" t="str">
        <f>IF('TMP Paste'!$F1399="","",IF('TMP Paste'!$O1399="",$AN1398,'TMP Paste'!$O1399))</f>
        <v/>
      </c>
      <c r="AO1399" t="str">
        <f>IF('TMP Paste'!$F1399="","",IF('TMP Paste'!$P1399="",$AO1398,'TMP Paste'!$P1399))</f>
        <v/>
      </c>
      <c r="AP1399" t="str">
        <f t="shared" si="131"/>
        <v/>
      </c>
      <c r="AQ1399" t="str">
        <f>IF($AS1399="","",TRIM(IF(COUNTIFS(Calc!$B$2:$B$1601,ROW()-1,Calc!$C$2:$C$1601,"&lt;1")&gt;0,"Ada PO tanpa Koli - cek TMP. ","")&amp;IF(OR($AU1399="",$AU1399&lt;=0),"Volume kosong/0 - dimensi dikosongkan. ","")&amp;IF(AND($AU1399&lt;&gt;"",$AU1399&gt;=1000000),"Volume &gt;= 1.000.000 cm3 (di luar aturan) - dimensi dikosongkan. ","")&amp;IF(LEN($R1399)&gt;500,"R &gt; 500 karakter.","")))</f>
        <v/>
      </c>
      <c r="AS1399" t="str">
        <f>IFERROR(MATCH(ROW()-1,Calc!$J$2:$J$1601,0),"")</f>
        <v/>
      </c>
      <c r="AT1399" t="str">
        <f>IFERROR(MATCH(ROW()-1,Calc!$K$2:$K$1601,0),"")</f>
        <v/>
      </c>
      <c r="AU1399" t="str">
        <f>IF($AS1399="","",IFERROR(INDEX('TMP Paste'!$D$2:$D$1601,$AS1399)*1000000/$AB1399,""))</f>
        <v/>
      </c>
    </row>
    <row r="1400" spans="1:47">
      <c r="A1400" t="str">
        <f>IF($AS1400="","",INDEX('TMP Paste'!$B$2:$B$1601,$AS1400))</f>
        <v/>
      </c>
      <c r="B1400" t="str">
        <f>IF($AS1400="","",Config!$B$14)</f>
        <v/>
      </c>
      <c r="C1400" t="str">
        <f>IF($AS1400="","",Config!$B$15)</f>
        <v/>
      </c>
      <c r="D1400" t="str">
        <f>IF($AS1400="","",INDEX('TMP Paste'!$B$2:$B$1601,$AS1400))</f>
        <v/>
      </c>
      <c r="E1400" t="str">
        <f>IF($AS1400="","",Config!$B$27)</f>
        <v/>
      </c>
      <c r="F1400" t="str">
        <f>IF($AS1400="","",Config!$B$9)</f>
        <v/>
      </c>
      <c r="G1400" t="str">
        <f>IF($AS1400="","",Config!$B$10)</f>
        <v/>
      </c>
      <c r="H1400" t="str">
        <f>IF($AS1400="","",Config!$B$11)</f>
        <v/>
      </c>
      <c r="I1400" t="str">
        <f>IF($AS1400="","",Config!$B$16)</f>
        <v/>
      </c>
      <c r="J1400" t="str">
        <f>IF($AS1400="","",INDEX('TMP Paste'!$A$2:$A$1601,$AS1400))</f>
        <v/>
      </c>
      <c r="K1400" t="str">
        <f>IF($AS1400="","",INDEX('TMP Paste'!$L$2:$L$1601,$AS1400))</f>
        <v/>
      </c>
      <c r="L1400" t="str">
        <f>IF($AS1400="","",INDEX('TMP Paste'!$I$2:$I$1601,$AS1400))</f>
        <v/>
      </c>
      <c r="M1400" t="str">
        <f>IF($AS1400="","",Config!$B$16)</f>
        <v/>
      </c>
      <c r="N1400" t="str">
        <f t="shared" si="126"/>
        <v/>
      </c>
      <c r="O1400" t="str">
        <f>IF($AS1400="","",INDEX('TMP Paste'!$K$2:$K$1601,$AS1400))</f>
        <v/>
      </c>
      <c r="P1400" t="str">
        <f t="shared" si="127"/>
        <v/>
      </c>
      <c r="Q1400" t="str">
        <f>IF($AS1400="","",INDEX('TMP Paste'!$J$2:$J$1601,$AS1400))</f>
        <v/>
      </c>
      <c r="R1400" t="str">
        <f>IF($AS1400="","",Config!$B$24)</f>
        <v/>
      </c>
      <c r="S1400" t="str">
        <f ca="1">IF($AS1400="","",TEXT(Config!$B$4,"yyyy-mm-dd"))</f>
        <v/>
      </c>
      <c r="T1400" t="str">
        <f>IF($AS1400="","",Config!$B$17)</f>
        <v/>
      </c>
      <c r="U1400" t="str">
        <f>IF($AS1400="","",Config!$B$18)</f>
        <v/>
      </c>
      <c r="V1400" t="str">
        <f>IF($AS1400="","",Config!$B$19)</f>
        <v/>
      </c>
      <c r="W1400" t="str">
        <f>IF($AS1400="","",INDEX('TMP Paste'!$C$2:$C$1601,$AS1400))</f>
        <v/>
      </c>
      <c r="X1400" t="str">
        <f>IF($AS1400="","",Config!$B$29)</f>
        <v/>
      </c>
      <c r="Y1400" t="str">
        <f>IF($AT1400="","",INDEX(Calc!$I$2:$I$1601,$AT1400)&amp;" - "&amp;INDEX(Calc!$D$2:$D$1601,$AT1400)&amp;" koli")</f>
        <v/>
      </c>
      <c r="Z1400" t="str">
        <f>IF($AS1400="","",Config!$B$21)</f>
        <v/>
      </c>
      <c r="AA1400" t="str">
        <f>IF($AS1400="","",Config!$B$22)</f>
        <v/>
      </c>
      <c r="AB1400" t="str">
        <f>IF($AT1400="","",INDEX(Calc!$D$2:$D$1601,$AT1400))</f>
        <v/>
      </c>
      <c r="AC1400" t="str">
        <f>IF($AT1400="","",INDEX(Calc!$G$2:$G$1601,$AT1400))</f>
        <v/>
      </c>
      <c r="AD1400" t="str">
        <f>IF($AS1400="","",Config!$B$23)</f>
        <v/>
      </c>
      <c r="AE1400" t="str">
        <f>IF($AS1400="","",Config!$B$28)</f>
        <v/>
      </c>
      <c r="AF1400" t="str">
        <f t="shared" si="128"/>
        <v/>
      </c>
      <c r="AG1400" t="str">
        <f t="shared" si="129"/>
        <v/>
      </c>
      <c r="AH1400" t="str">
        <f t="shared" si="130"/>
        <v/>
      </c>
      <c r="AI1400" t="str">
        <f>IF($AG1400="","",SUMIF($AG$2:$AG1400,$AG1400,$AH$2:$AH1400))</f>
        <v/>
      </c>
      <c r="AJ1400" t="str">
        <f>IF('TMP Paste'!$F1400="","",IF('TMP Paste'!$B1400="",$AJ1399,'TMP Paste'!$B1400))</f>
        <v/>
      </c>
      <c r="AK1400" t="str">
        <f>IF('TMP Paste'!$F1400="","",N('TMP Paste'!$G1400))</f>
        <v/>
      </c>
      <c r="AL1400" t="str">
        <f>IF('TMP Paste'!$F1400="","",IF('TMP Paste'!$M1400="",$AL1399,'TMP Paste'!$M1400))</f>
        <v/>
      </c>
      <c r="AM1400" t="str">
        <f>IF('TMP Paste'!$F1400="","",IF('TMP Paste'!$N1400="",$AM1399,'TMP Paste'!$N1400))</f>
        <v/>
      </c>
      <c r="AN1400" t="str">
        <f>IF('TMP Paste'!$F1400="","",IF('TMP Paste'!$O1400="",$AN1399,'TMP Paste'!$O1400))</f>
        <v/>
      </c>
      <c r="AO1400" t="str">
        <f>IF('TMP Paste'!$F1400="","",IF('TMP Paste'!$P1400="",$AO1399,'TMP Paste'!$P1400))</f>
        <v/>
      </c>
      <c r="AP1400" t="str">
        <f t="shared" si="131"/>
        <v/>
      </c>
      <c r="AQ1400" t="str">
        <f>IF($AS1400="","",TRIM(IF(COUNTIFS(Calc!$B$2:$B$1601,ROW()-1,Calc!$C$2:$C$1601,"&lt;1")&gt;0,"Ada PO tanpa Koli - cek TMP. ","")&amp;IF(OR($AU1400="",$AU1400&lt;=0),"Volume kosong/0 - dimensi dikosongkan. ","")&amp;IF(AND($AU1400&lt;&gt;"",$AU1400&gt;=1000000),"Volume &gt;= 1.000.000 cm3 (di luar aturan) - dimensi dikosongkan. ","")&amp;IF(LEN($R1400)&gt;500,"R &gt; 500 karakter.","")))</f>
        <v/>
      </c>
      <c r="AS1400" t="str">
        <f>IFERROR(MATCH(ROW()-1,Calc!$J$2:$J$1601,0),"")</f>
        <v/>
      </c>
      <c r="AT1400" t="str">
        <f>IFERROR(MATCH(ROW()-1,Calc!$K$2:$K$1601,0),"")</f>
        <v/>
      </c>
      <c r="AU1400" t="str">
        <f>IF($AS1400="","",IFERROR(INDEX('TMP Paste'!$D$2:$D$1601,$AS1400)*1000000/$AB1400,""))</f>
        <v/>
      </c>
    </row>
    <row r="1401" spans="1:47">
      <c r="A1401" t="str">
        <f>IF($AS1401="","",INDEX('TMP Paste'!$B$2:$B$1601,$AS1401))</f>
        <v/>
      </c>
      <c r="B1401" t="str">
        <f>IF($AS1401="","",Config!$B$14)</f>
        <v/>
      </c>
      <c r="C1401" t="str">
        <f>IF($AS1401="","",Config!$B$15)</f>
        <v/>
      </c>
      <c r="D1401" t="str">
        <f>IF($AS1401="","",INDEX('TMP Paste'!$B$2:$B$1601,$AS1401))</f>
        <v/>
      </c>
      <c r="E1401" t="str">
        <f>IF($AS1401="","",Config!$B$27)</f>
        <v/>
      </c>
      <c r="F1401" t="str">
        <f>IF($AS1401="","",Config!$B$9)</f>
        <v/>
      </c>
      <c r="G1401" t="str">
        <f>IF($AS1401="","",Config!$B$10)</f>
        <v/>
      </c>
      <c r="H1401" t="str">
        <f>IF($AS1401="","",Config!$B$11)</f>
        <v/>
      </c>
      <c r="I1401" t="str">
        <f>IF($AS1401="","",Config!$B$16)</f>
        <v/>
      </c>
      <c r="J1401" t="str">
        <f>IF($AS1401="","",INDEX('TMP Paste'!$A$2:$A$1601,$AS1401))</f>
        <v/>
      </c>
      <c r="K1401" t="str">
        <f>IF($AS1401="","",INDEX('TMP Paste'!$L$2:$L$1601,$AS1401))</f>
        <v/>
      </c>
      <c r="L1401" t="str">
        <f>IF($AS1401="","",INDEX('TMP Paste'!$I$2:$I$1601,$AS1401))</f>
        <v/>
      </c>
      <c r="M1401" t="str">
        <f>IF($AS1401="","",Config!$B$16)</f>
        <v/>
      </c>
      <c r="N1401" t="str">
        <f t="shared" si="126"/>
        <v/>
      </c>
      <c r="O1401" t="str">
        <f>IF($AS1401="","",INDEX('TMP Paste'!$K$2:$K$1601,$AS1401))</f>
        <v/>
      </c>
      <c r="P1401" t="str">
        <f t="shared" si="127"/>
        <v/>
      </c>
      <c r="Q1401" t="str">
        <f>IF($AS1401="","",INDEX('TMP Paste'!$J$2:$J$1601,$AS1401))</f>
        <v/>
      </c>
      <c r="R1401" t="str">
        <f>IF($AS1401="","",Config!$B$24)</f>
        <v/>
      </c>
      <c r="S1401" t="str">
        <f ca="1">IF($AS1401="","",TEXT(Config!$B$4,"yyyy-mm-dd"))</f>
        <v/>
      </c>
      <c r="T1401" t="str">
        <f>IF($AS1401="","",Config!$B$17)</f>
        <v/>
      </c>
      <c r="U1401" t="str">
        <f>IF($AS1401="","",Config!$B$18)</f>
        <v/>
      </c>
      <c r="V1401" t="str">
        <f>IF($AS1401="","",Config!$B$19)</f>
        <v/>
      </c>
      <c r="W1401" t="str">
        <f>IF($AS1401="","",INDEX('TMP Paste'!$C$2:$C$1601,$AS1401))</f>
        <v/>
      </c>
      <c r="X1401" t="str">
        <f>IF($AS1401="","",Config!$B$29)</f>
        <v/>
      </c>
      <c r="Y1401" t="str">
        <f>IF($AT1401="","",INDEX(Calc!$I$2:$I$1601,$AT1401)&amp;" - "&amp;INDEX(Calc!$D$2:$D$1601,$AT1401)&amp;" koli")</f>
        <v/>
      </c>
      <c r="Z1401" t="str">
        <f>IF($AS1401="","",Config!$B$21)</f>
        <v/>
      </c>
      <c r="AA1401" t="str">
        <f>IF($AS1401="","",Config!$B$22)</f>
        <v/>
      </c>
      <c r="AB1401" t="str">
        <f>IF($AT1401="","",INDEX(Calc!$D$2:$D$1601,$AT1401))</f>
        <v/>
      </c>
      <c r="AC1401" t="str">
        <f>IF($AT1401="","",INDEX(Calc!$G$2:$G$1601,$AT1401))</f>
        <v/>
      </c>
      <c r="AD1401" t="str">
        <f>IF($AS1401="","",Config!$B$23)</f>
        <v/>
      </c>
      <c r="AE1401" t="str">
        <f>IF($AS1401="","",Config!$B$28)</f>
        <v/>
      </c>
      <c r="AF1401" t="str">
        <f t="shared" si="128"/>
        <v/>
      </c>
      <c r="AG1401" t="str">
        <f t="shared" si="129"/>
        <v/>
      </c>
      <c r="AH1401" t="str">
        <f t="shared" si="130"/>
        <v/>
      </c>
      <c r="AI1401" t="str">
        <f>IF($AG1401="","",SUMIF($AG$2:$AG1401,$AG1401,$AH$2:$AH1401))</f>
        <v/>
      </c>
      <c r="AJ1401" t="str">
        <f>IF('TMP Paste'!$F1401="","",IF('TMP Paste'!$B1401="",$AJ1400,'TMP Paste'!$B1401))</f>
        <v/>
      </c>
      <c r="AK1401" t="str">
        <f>IF('TMP Paste'!$F1401="","",N('TMP Paste'!$G1401))</f>
        <v/>
      </c>
      <c r="AL1401" t="str">
        <f>IF('TMP Paste'!$F1401="","",IF('TMP Paste'!$M1401="",$AL1400,'TMP Paste'!$M1401))</f>
        <v/>
      </c>
      <c r="AM1401" t="str">
        <f>IF('TMP Paste'!$F1401="","",IF('TMP Paste'!$N1401="",$AM1400,'TMP Paste'!$N1401))</f>
        <v/>
      </c>
      <c r="AN1401" t="str">
        <f>IF('TMP Paste'!$F1401="","",IF('TMP Paste'!$O1401="",$AN1400,'TMP Paste'!$O1401))</f>
        <v/>
      </c>
      <c r="AO1401" t="str">
        <f>IF('TMP Paste'!$F1401="","",IF('TMP Paste'!$P1401="",$AO1400,'TMP Paste'!$P1401))</f>
        <v/>
      </c>
      <c r="AP1401" t="str">
        <f t="shared" si="131"/>
        <v/>
      </c>
      <c r="AQ1401" t="str">
        <f>IF($AS1401="","",TRIM(IF(COUNTIFS(Calc!$B$2:$B$1601,ROW()-1,Calc!$C$2:$C$1601,"&lt;1")&gt;0,"Ada PO tanpa Koli - cek TMP. ","")&amp;IF(OR($AU1401="",$AU1401&lt;=0),"Volume kosong/0 - dimensi dikosongkan. ","")&amp;IF(AND($AU1401&lt;&gt;"",$AU1401&gt;=1000000),"Volume &gt;= 1.000.000 cm3 (di luar aturan) - dimensi dikosongkan. ","")&amp;IF(LEN($R1401)&gt;500,"R &gt; 500 karakter.","")))</f>
        <v/>
      </c>
      <c r="AS1401" t="str">
        <f>IFERROR(MATCH(ROW()-1,Calc!$J$2:$J$1601,0),"")</f>
        <v/>
      </c>
      <c r="AT1401" t="str">
        <f>IFERROR(MATCH(ROW()-1,Calc!$K$2:$K$1601,0),"")</f>
        <v/>
      </c>
      <c r="AU1401" t="str">
        <f>IF($AS1401="","",IFERROR(INDEX('TMP Paste'!$D$2:$D$1601,$AS1401)*1000000/$AB1401,""))</f>
        <v/>
      </c>
    </row>
    <row r="1402" spans="1:47">
      <c r="A1402" t="str">
        <f>IF($AS1402="","",INDEX('TMP Paste'!$B$2:$B$1601,$AS1402))</f>
        <v/>
      </c>
      <c r="B1402" t="str">
        <f>IF($AS1402="","",Config!$B$14)</f>
        <v/>
      </c>
      <c r="C1402" t="str">
        <f>IF($AS1402="","",Config!$B$15)</f>
        <v/>
      </c>
      <c r="D1402" t="str">
        <f>IF($AS1402="","",INDEX('TMP Paste'!$B$2:$B$1601,$AS1402))</f>
        <v/>
      </c>
      <c r="E1402" t="str">
        <f>IF($AS1402="","",Config!$B$27)</f>
        <v/>
      </c>
      <c r="F1402" t="str">
        <f>IF($AS1402="","",Config!$B$9)</f>
        <v/>
      </c>
      <c r="G1402" t="str">
        <f>IF($AS1402="","",Config!$B$10)</f>
        <v/>
      </c>
      <c r="H1402" t="str">
        <f>IF($AS1402="","",Config!$B$11)</f>
        <v/>
      </c>
      <c r="I1402" t="str">
        <f>IF($AS1402="","",Config!$B$16)</f>
        <v/>
      </c>
      <c r="J1402" t="str">
        <f>IF($AS1402="","",INDEX('TMP Paste'!$A$2:$A$1601,$AS1402))</f>
        <v/>
      </c>
      <c r="K1402" t="str">
        <f>IF($AS1402="","",INDEX('TMP Paste'!$L$2:$L$1601,$AS1402))</f>
        <v/>
      </c>
      <c r="L1402" t="str">
        <f>IF($AS1402="","",INDEX('TMP Paste'!$I$2:$I$1601,$AS1402))</f>
        <v/>
      </c>
      <c r="M1402" t="str">
        <f>IF($AS1402="","",Config!$B$16)</f>
        <v/>
      </c>
      <c r="N1402" t="str">
        <f t="shared" si="126"/>
        <v/>
      </c>
      <c r="O1402" t="str">
        <f>IF($AS1402="","",INDEX('TMP Paste'!$K$2:$K$1601,$AS1402))</f>
        <v/>
      </c>
      <c r="P1402" t="str">
        <f t="shared" si="127"/>
        <v/>
      </c>
      <c r="Q1402" t="str">
        <f>IF($AS1402="","",INDEX('TMP Paste'!$J$2:$J$1601,$AS1402))</f>
        <v/>
      </c>
      <c r="R1402" t="str">
        <f>IF($AS1402="","",Config!$B$24)</f>
        <v/>
      </c>
      <c r="S1402" t="str">
        <f ca="1">IF($AS1402="","",TEXT(Config!$B$4,"yyyy-mm-dd"))</f>
        <v/>
      </c>
      <c r="T1402" t="str">
        <f>IF($AS1402="","",Config!$B$17)</f>
        <v/>
      </c>
      <c r="U1402" t="str">
        <f>IF($AS1402="","",Config!$B$18)</f>
        <v/>
      </c>
      <c r="V1402" t="str">
        <f>IF($AS1402="","",Config!$B$19)</f>
        <v/>
      </c>
      <c r="W1402" t="str">
        <f>IF($AS1402="","",INDEX('TMP Paste'!$C$2:$C$1601,$AS1402))</f>
        <v/>
      </c>
      <c r="X1402" t="str">
        <f>IF($AS1402="","",Config!$B$29)</f>
        <v/>
      </c>
      <c r="Y1402" t="str">
        <f>IF($AT1402="","",INDEX(Calc!$I$2:$I$1601,$AT1402)&amp;" - "&amp;INDEX(Calc!$D$2:$D$1601,$AT1402)&amp;" koli")</f>
        <v/>
      </c>
      <c r="Z1402" t="str">
        <f>IF($AS1402="","",Config!$B$21)</f>
        <v/>
      </c>
      <c r="AA1402" t="str">
        <f>IF($AS1402="","",Config!$B$22)</f>
        <v/>
      </c>
      <c r="AB1402" t="str">
        <f>IF($AT1402="","",INDEX(Calc!$D$2:$D$1601,$AT1402))</f>
        <v/>
      </c>
      <c r="AC1402" t="str">
        <f>IF($AT1402="","",INDEX(Calc!$G$2:$G$1601,$AT1402))</f>
        <v/>
      </c>
      <c r="AD1402" t="str">
        <f>IF($AS1402="","",Config!$B$23)</f>
        <v/>
      </c>
      <c r="AE1402" t="str">
        <f>IF($AS1402="","",Config!$B$28)</f>
        <v/>
      </c>
      <c r="AF1402" t="str">
        <f t="shared" si="128"/>
        <v/>
      </c>
      <c r="AG1402" t="str">
        <f t="shared" si="129"/>
        <v/>
      </c>
      <c r="AH1402" t="str">
        <f t="shared" si="130"/>
        <v/>
      </c>
      <c r="AI1402" t="str">
        <f>IF($AG1402="","",SUMIF($AG$2:$AG1402,$AG1402,$AH$2:$AH1402))</f>
        <v/>
      </c>
      <c r="AJ1402" t="str">
        <f>IF('TMP Paste'!$F1402="","",IF('TMP Paste'!$B1402="",$AJ1401,'TMP Paste'!$B1402))</f>
        <v/>
      </c>
      <c r="AK1402" t="str">
        <f>IF('TMP Paste'!$F1402="","",N('TMP Paste'!$G1402))</f>
        <v/>
      </c>
      <c r="AL1402" t="str">
        <f>IF('TMP Paste'!$F1402="","",IF('TMP Paste'!$M1402="",$AL1401,'TMP Paste'!$M1402))</f>
        <v/>
      </c>
      <c r="AM1402" t="str">
        <f>IF('TMP Paste'!$F1402="","",IF('TMP Paste'!$N1402="",$AM1401,'TMP Paste'!$N1402))</f>
        <v/>
      </c>
      <c r="AN1402" t="str">
        <f>IF('TMP Paste'!$F1402="","",IF('TMP Paste'!$O1402="",$AN1401,'TMP Paste'!$O1402))</f>
        <v/>
      </c>
      <c r="AO1402" t="str">
        <f>IF('TMP Paste'!$F1402="","",IF('TMP Paste'!$P1402="",$AO1401,'TMP Paste'!$P1402))</f>
        <v/>
      </c>
      <c r="AP1402" t="str">
        <f t="shared" si="131"/>
        <v/>
      </c>
      <c r="AQ1402" t="str">
        <f>IF($AS1402="","",TRIM(IF(COUNTIFS(Calc!$B$2:$B$1601,ROW()-1,Calc!$C$2:$C$1601,"&lt;1")&gt;0,"Ada PO tanpa Koli - cek TMP. ","")&amp;IF(OR($AU1402="",$AU1402&lt;=0),"Volume kosong/0 - dimensi dikosongkan. ","")&amp;IF(AND($AU1402&lt;&gt;"",$AU1402&gt;=1000000),"Volume &gt;= 1.000.000 cm3 (di luar aturan) - dimensi dikosongkan. ","")&amp;IF(LEN($R1402)&gt;500,"R &gt; 500 karakter.","")))</f>
        <v/>
      </c>
      <c r="AS1402" t="str">
        <f>IFERROR(MATCH(ROW()-1,Calc!$J$2:$J$1601,0),"")</f>
        <v/>
      </c>
      <c r="AT1402" t="str">
        <f>IFERROR(MATCH(ROW()-1,Calc!$K$2:$K$1601,0),"")</f>
        <v/>
      </c>
      <c r="AU1402" t="str">
        <f>IF($AS1402="","",IFERROR(INDEX('TMP Paste'!$D$2:$D$1601,$AS1402)*1000000/$AB1402,""))</f>
        <v/>
      </c>
    </row>
    <row r="1403" spans="1:47">
      <c r="A1403" t="str">
        <f>IF($AS1403="","",INDEX('TMP Paste'!$B$2:$B$1601,$AS1403))</f>
        <v/>
      </c>
      <c r="B1403" t="str">
        <f>IF($AS1403="","",Config!$B$14)</f>
        <v/>
      </c>
      <c r="C1403" t="str">
        <f>IF($AS1403="","",Config!$B$15)</f>
        <v/>
      </c>
      <c r="D1403" t="str">
        <f>IF($AS1403="","",INDEX('TMP Paste'!$B$2:$B$1601,$AS1403))</f>
        <v/>
      </c>
      <c r="E1403" t="str">
        <f>IF($AS1403="","",Config!$B$27)</f>
        <v/>
      </c>
      <c r="F1403" t="str">
        <f>IF($AS1403="","",Config!$B$9)</f>
        <v/>
      </c>
      <c r="G1403" t="str">
        <f>IF($AS1403="","",Config!$B$10)</f>
        <v/>
      </c>
      <c r="H1403" t="str">
        <f>IF($AS1403="","",Config!$B$11)</f>
        <v/>
      </c>
      <c r="I1403" t="str">
        <f>IF($AS1403="","",Config!$B$16)</f>
        <v/>
      </c>
      <c r="J1403" t="str">
        <f>IF($AS1403="","",INDEX('TMP Paste'!$A$2:$A$1601,$AS1403))</f>
        <v/>
      </c>
      <c r="K1403" t="str">
        <f>IF($AS1403="","",INDEX('TMP Paste'!$L$2:$L$1601,$AS1403))</f>
        <v/>
      </c>
      <c r="L1403" t="str">
        <f>IF($AS1403="","",INDEX('TMP Paste'!$I$2:$I$1601,$AS1403))</f>
        <v/>
      </c>
      <c r="M1403" t="str">
        <f>IF($AS1403="","",Config!$B$16)</f>
        <v/>
      </c>
      <c r="N1403" t="str">
        <f t="shared" si="126"/>
        <v/>
      </c>
      <c r="O1403" t="str">
        <f>IF($AS1403="","",INDEX('TMP Paste'!$K$2:$K$1601,$AS1403))</f>
        <v/>
      </c>
      <c r="P1403" t="str">
        <f t="shared" si="127"/>
        <v/>
      </c>
      <c r="Q1403" t="str">
        <f>IF($AS1403="","",INDEX('TMP Paste'!$J$2:$J$1601,$AS1403))</f>
        <v/>
      </c>
      <c r="R1403" t="str">
        <f>IF($AS1403="","",Config!$B$24)</f>
        <v/>
      </c>
      <c r="S1403" t="str">
        <f ca="1">IF($AS1403="","",TEXT(Config!$B$4,"yyyy-mm-dd"))</f>
        <v/>
      </c>
      <c r="T1403" t="str">
        <f>IF($AS1403="","",Config!$B$17)</f>
        <v/>
      </c>
      <c r="U1403" t="str">
        <f>IF($AS1403="","",Config!$B$18)</f>
        <v/>
      </c>
      <c r="V1403" t="str">
        <f>IF($AS1403="","",Config!$B$19)</f>
        <v/>
      </c>
      <c r="W1403" t="str">
        <f>IF($AS1403="","",INDEX('TMP Paste'!$C$2:$C$1601,$AS1403))</f>
        <v/>
      </c>
      <c r="X1403" t="str">
        <f>IF($AS1403="","",Config!$B$29)</f>
        <v/>
      </c>
      <c r="Y1403" t="str">
        <f>IF($AT1403="","",INDEX(Calc!$I$2:$I$1601,$AT1403)&amp;" - "&amp;INDEX(Calc!$D$2:$D$1601,$AT1403)&amp;" koli")</f>
        <v/>
      </c>
      <c r="Z1403" t="str">
        <f>IF($AS1403="","",Config!$B$21)</f>
        <v/>
      </c>
      <c r="AA1403" t="str">
        <f>IF($AS1403="","",Config!$B$22)</f>
        <v/>
      </c>
      <c r="AB1403" t="str">
        <f>IF($AT1403="","",INDEX(Calc!$D$2:$D$1601,$AT1403))</f>
        <v/>
      </c>
      <c r="AC1403" t="str">
        <f>IF($AT1403="","",INDEX(Calc!$G$2:$G$1601,$AT1403))</f>
        <v/>
      </c>
      <c r="AD1403" t="str">
        <f>IF($AS1403="","",Config!$B$23)</f>
        <v/>
      </c>
      <c r="AE1403" t="str">
        <f>IF($AS1403="","",Config!$B$28)</f>
        <v/>
      </c>
      <c r="AF1403" t="str">
        <f t="shared" si="128"/>
        <v/>
      </c>
      <c r="AG1403" t="str">
        <f t="shared" si="129"/>
        <v/>
      </c>
      <c r="AH1403" t="str">
        <f t="shared" si="130"/>
        <v/>
      </c>
      <c r="AI1403" t="str">
        <f>IF($AG1403="","",SUMIF($AG$2:$AG1403,$AG1403,$AH$2:$AH1403))</f>
        <v/>
      </c>
      <c r="AJ1403" t="str">
        <f>IF('TMP Paste'!$F1403="","",IF('TMP Paste'!$B1403="",$AJ1402,'TMP Paste'!$B1403))</f>
        <v/>
      </c>
      <c r="AK1403" t="str">
        <f>IF('TMP Paste'!$F1403="","",N('TMP Paste'!$G1403))</f>
        <v/>
      </c>
      <c r="AL1403" t="str">
        <f>IF('TMP Paste'!$F1403="","",IF('TMP Paste'!$M1403="",$AL1402,'TMP Paste'!$M1403))</f>
        <v/>
      </c>
      <c r="AM1403" t="str">
        <f>IF('TMP Paste'!$F1403="","",IF('TMP Paste'!$N1403="",$AM1402,'TMP Paste'!$N1403))</f>
        <v/>
      </c>
      <c r="AN1403" t="str">
        <f>IF('TMP Paste'!$F1403="","",IF('TMP Paste'!$O1403="",$AN1402,'TMP Paste'!$O1403))</f>
        <v/>
      </c>
      <c r="AO1403" t="str">
        <f>IF('TMP Paste'!$F1403="","",IF('TMP Paste'!$P1403="",$AO1402,'TMP Paste'!$P1403))</f>
        <v/>
      </c>
      <c r="AP1403" t="str">
        <f t="shared" si="131"/>
        <v/>
      </c>
      <c r="AQ1403" t="str">
        <f>IF($AS1403="","",TRIM(IF(COUNTIFS(Calc!$B$2:$B$1601,ROW()-1,Calc!$C$2:$C$1601,"&lt;1")&gt;0,"Ada PO tanpa Koli - cek TMP. ","")&amp;IF(OR($AU1403="",$AU1403&lt;=0),"Volume kosong/0 - dimensi dikosongkan. ","")&amp;IF(AND($AU1403&lt;&gt;"",$AU1403&gt;=1000000),"Volume &gt;= 1.000.000 cm3 (di luar aturan) - dimensi dikosongkan. ","")&amp;IF(LEN($R1403)&gt;500,"R &gt; 500 karakter.","")))</f>
        <v/>
      </c>
      <c r="AS1403" t="str">
        <f>IFERROR(MATCH(ROW()-1,Calc!$J$2:$J$1601,0),"")</f>
        <v/>
      </c>
      <c r="AT1403" t="str">
        <f>IFERROR(MATCH(ROW()-1,Calc!$K$2:$K$1601,0),"")</f>
        <v/>
      </c>
      <c r="AU1403" t="str">
        <f>IF($AS1403="","",IFERROR(INDEX('TMP Paste'!$D$2:$D$1601,$AS1403)*1000000/$AB1403,""))</f>
        <v/>
      </c>
    </row>
    <row r="1404" spans="1:47">
      <c r="A1404" t="str">
        <f>IF($AS1404="","",INDEX('TMP Paste'!$B$2:$B$1601,$AS1404))</f>
        <v/>
      </c>
      <c r="B1404" t="str">
        <f>IF($AS1404="","",Config!$B$14)</f>
        <v/>
      </c>
      <c r="C1404" t="str">
        <f>IF($AS1404="","",Config!$B$15)</f>
        <v/>
      </c>
      <c r="D1404" t="str">
        <f>IF($AS1404="","",INDEX('TMP Paste'!$B$2:$B$1601,$AS1404))</f>
        <v/>
      </c>
      <c r="E1404" t="str">
        <f>IF($AS1404="","",Config!$B$27)</f>
        <v/>
      </c>
      <c r="F1404" t="str">
        <f>IF($AS1404="","",Config!$B$9)</f>
        <v/>
      </c>
      <c r="G1404" t="str">
        <f>IF($AS1404="","",Config!$B$10)</f>
        <v/>
      </c>
      <c r="H1404" t="str">
        <f>IF($AS1404="","",Config!$B$11)</f>
        <v/>
      </c>
      <c r="I1404" t="str">
        <f>IF($AS1404="","",Config!$B$16)</f>
        <v/>
      </c>
      <c r="J1404" t="str">
        <f>IF($AS1404="","",INDEX('TMP Paste'!$A$2:$A$1601,$AS1404))</f>
        <v/>
      </c>
      <c r="K1404" t="str">
        <f>IF($AS1404="","",INDEX('TMP Paste'!$L$2:$L$1601,$AS1404))</f>
        <v/>
      </c>
      <c r="L1404" t="str">
        <f>IF($AS1404="","",INDEX('TMP Paste'!$I$2:$I$1601,$AS1404))</f>
        <v/>
      </c>
      <c r="M1404" t="str">
        <f>IF($AS1404="","",Config!$B$16)</f>
        <v/>
      </c>
      <c r="N1404" t="str">
        <f t="shared" si="126"/>
        <v/>
      </c>
      <c r="O1404" t="str">
        <f>IF($AS1404="","",INDEX('TMP Paste'!$K$2:$K$1601,$AS1404))</f>
        <v/>
      </c>
      <c r="P1404" t="str">
        <f t="shared" si="127"/>
        <v/>
      </c>
      <c r="Q1404" t="str">
        <f>IF($AS1404="","",INDEX('TMP Paste'!$J$2:$J$1601,$AS1404))</f>
        <v/>
      </c>
      <c r="R1404" t="str">
        <f>IF($AS1404="","",Config!$B$24)</f>
        <v/>
      </c>
      <c r="S1404" t="str">
        <f ca="1">IF($AS1404="","",TEXT(Config!$B$4,"yyyy-mm-dd"))</f>
        <v/>
      </c>
      <c r="T1404" t="str">
        <f>IF($AS1404="","",Config!$B$17)</f>
        <v/>
      </c>
      <c r="U1404" t="str">
        <f>IF($AS1404="","",Config!$B$18)</f>
        <v/>
      </c>
      <c r="V1404" t="str">
        <f>IF($AS1404="","",Config!$B$19)</f>
        <v/>
      </c>
      <c r="W1404" t="str">
        <f>IF($AS1404="","",INDEX('TMP Paste'!$C$2:$C$1601,$AS1404))</f>
        <v/>
      </c>
      <c r="X1404" t="str">
        <f>IF($AS1404="","",Config!$B$29)</f>
        <v/>
      </c>
      <c r="Y1404" t="str">
        <f>IF($AT1404="","",INDEX(Calc!$I$2:$I$1601,$AT1404)&amp;" - "&amp;INDEX(Calc!$D$2:$D$1601,$AT1404)&amp;" koli")</f>
        <v/>
      </c>
      <c r="Z1404" t="str">
        <f>IF($AS1404="","",Config!$B$21)</f>
        <v/>
      </c>
      <c r="AA1404" t="str">
        <f>IF($AS1404="","",Config!$B$22)</f>
        <v/>
      </c>
      <c r="AB1404" t="str">
        <f>IF($AT1404="","",INDEX(Calc!$D$2:$D$1601,$AT1404))</f>
        <v/>
      </c>
      <c r="AC1404" t="str">
        <f>IF($AT1404="","",INDEX(Calc!$G$2:$G$1601,$AT1404))</f>
        <v/>
      </c>
      <c r="AD1404" t="str">
        <f>IF($AS1404="","",Config!$B$23)</f>
        <v/>
      </c>
      <c r="AE1404" t="str">
        <f>IF($AS1404="","",Config!$B$28)</f>
        <v/>
      </c>
      <c r="AF1404" t="str">
        <f t="shared" si="128"/>
        <v/>
      </c>
      <c r="AG1404" t="str">
        <f t="shared" si="129"/>
        <v/>
      </c>
      <c r="AH1404" t="str">
        <f t="shared" si="130"/>
        <v/>
      </c>
      <c r="AI1404" t="str">
        <f>IF($AG1404="","",SUMIF($AG$2:$AG1404,$AG1404,$AH$2:$AH1404))</f>
        <v/>
      </c>
      <c r="AJ1404" t="str">
        <f>IF('TMP Paste'!$F1404="","",IF('TMP Paste'!$B1404="",$AJ1403,'TMP Paste'!$B1404))</f>
        <v/>
      </c>
      <c r="AK1404" t="str">
        <f>IF('TMP Paste'!$F1404="","",N('TMP Paste'!$G1404))</f>
        <v/>
      </c>
      <c r="AL1404" t="str">
        <f>IF('TMP Paste'!$F1404="","",IF('TMP Paste'!$M1404="",$AL1403,'TMP Paste'!$M1404))</f>
        <v/>
      </c>
      <c r="AM1404" t="str">
        <f>IF('TMP Paste'!$F1404="","",IF('TMP Paste'!$N1404="",$AM1403,'TMP Paste'!$N1404))</f>
        <v/>
      </c>
      <c r="AN1404" t="str">
        <f>IF('TMP Paste'!$F1404="","",IF('TMP Paste'!$O1404="",$AN1403,'TMP Paste'!$O1404))</f>
        <v/>
      </c>
      <c r="AO1404" t="str">
        <f>IF('TMP Paste'!$F1404="","",IF('TMP Paste'!$P1404="",$AO1403,'TMP Paste'!$P1404))</f>
        <v/>
      </c>
      <c r="AP1404" t="str">
        <f t="shared" si="131"/>
        <v/>
      </c>
      <c r="AQ1404" t="str">
        <f>IF($AS1404="","",TRIM(IF(COUNTIFS(Calc!$B$2:$B$1601,ROW()-1,Calc!$C$2:$C$1601,"&lt;1")&gt;0,"Ada PO tanpa Koli - cek TMP. ","")&amp;IF(OR($AU1404="",$AU1404&lt;=0),"Volume kosong/0 - dimensi dikosongkan. ","")&amp;IF(AND($AU1404&lt;&gt;"",$AU1404&gt;=1000000),"Volume &gt;= 1.000.000 cm3 (di luar aturan) - dimensi dikosongkan. ","")&amp;IF(LEN($R1404)&gt;500,"R &gt; 500 karakter.","")))</f>
        <v/>
      </c>
      <c r="AS1404" t="str">
        <f>IFERROR(MATCH(ROW()-1,Calc!$J$2:$J$1601,0),"")</f>
        <v/>
      </c>
      <c r="AT1404" t="str">
        <f>IFERROR(MATCH(ROW()-1,Calc!$K$2:$K$1601,0),"")</f>
        <v/>
      </c>
      <c r="AU1404" t="str">
        <f>IF($AS1404="","",IFERROR(INDEX('TMP Paste'!$D$2:$D$1601,$AS1404)*1000000/$AB1404,""))</f>
        <v/>
      </c>
    </row>
    <row r="1405" spans="1:47">
      <c r="A1405" t="str">
        <f>IF($AS1405="","",INDEX('TMP Paste'!$B$2:$B$1601,$AS1405))</f>
        <v/>
      </c>
      <c r="B1405" t="str">
        <f>IF($AS1405="","",Config!$B$14)</f>
        <v/>
      </c>
      <c r="C1405" t="str">
        <f>IF($AS1405="","",Config!$B$15)</f>
        <v/>
      </c>
      <c r="D1405" t="str">
        <f>IF($AS1405="","",INDEX('TMP Paste'!$B$2:$B$1601,$AS1405))</f>
        <v/>
      </c>
      <c r="E1405" t="str">
        <f>IF($AS1405="","",Config!$B$27)</f>
        <v/>
      </c>
      <c r="F1405" t="str">
        <f>IF($AS1405="","",Config!$B$9)</f>
        <v/>
      </c>
      <c r="G1405" t="str">
        <f>IF($AS1405="","",Config!$B$10)</f>
        <v/>
      </c>
      <c r="H1405" t="str">
        <f>IF($AS1405="","",Config!$B$11)</f>
        <v/>
      </c>
      <c r="I1405" t="str">
        <f>IF($AS1405="","",Config!$B$16)</f>
        <v/>
      </c>
      <c r="J1405" t="str">
        <f>IF($AS1405="","",INDEX('TMP Paste'!$A$2:$A$1601,$AS1405))</f>
        <v/>
      </c>
      <c r="K1405" t="str">
        <f>IF($AS1405="","",INDEX('TMP Paste'!$L$2:$L$1601,$AS1405))</f>
        <v/>
      </c>
      <c r="L1405" t="str">
        <f>IF($AS1405="","",INDEX('TMP Paste'!$I$2:$I$1601,$AS1405))</f>
        <v/>
      </c>
      <c r="M1405" t="str">
        <f>IF($AS1405="","",Config!$B$16)</f>
        <v/>
      </c>
      <c r="N1405" t="str">
        <f t="shared" si="126"/>
        <v/>
      </c>
      <c r="O1405" t="str">
        <f>IF($AS1405="","",INDEX('TMP Paste'!$K$2:$K$1601,$AS1405))</f>
        <v/>
      </c>
      <c r="P1405" t="str">
        <f t="shared" si="127"/>
        <v/>
      </c>
      <c r="Q1405" t="str">
        <f>IF($AS1405="","",INDEX('TMP Paste'!$J$2:$J$1601,$AS1405))</f>
        <v/>
      </c>
      <c r="R1405" t="str">
        <f>IF($AS1405="","",Config!$B$24)</f>
        <v/>
      </c>
      <c r="S1405" t="str">
        <f ca="1">IF($AS1405="","",TEXT(Config!$B$4,"yyyy-mm-dd"))</f>
        <v/>
      </c>
      <c r="T1405" t="str">
        <f>IF($AS1405="","",Config!$B$17)</f>
        <v/>
      </c>
      <c r="U1405" t="str">
        <f>IF($AS1405="","",Config!$B$18)</f>
        <v/>
      </c>
      <c r="V1405" t="str">
        <f>IF($AS1405="","",Config!$B$19)</f>
        <v/>
      </c>
      <c r="W1405" t="str">
        <f>IF($AS1405="","",INDEX('TMP Paste'!$C$2:$C$1601,$AS1405))</f>
        <v/>
      </c>
      <c r="X1405" t="str">
        <f>IF($AS1405="","",Config!$B$29)</f>
        <v/>
      </c>
      <c r="Y1405" t="str">
        <f>IF($AT1405="","",INDEX(Calc!$I$2:$I$1601,$AT1405)&amp;" - "&amp;INDEX(Calc!$D$2:$D$1601,$AT1405)&amp;" koli")</f>
        <v/>
      </c>
      <c r="Z1405" t="str">
        <f>IF($AS1405="","",Config!$B$21)</f>
        <v/>
      </c>
      <c r="AA1405" t="str">
        <f>IF($AS1405="","",Config!$B$22)</f>
        <v/>
      </c>
      <c r="AB1405" t="str">
        <f>IF($AT1405="","",INDEX(Calc!$D$2:$D$1601,$AT1405))</f>
        <v/>
      </c>
      <c r="AC1405" t="str">
        <f>IF($AT1405="","",INDEX(Calc!$G$2:$G$1601,$AT1405))</f>
        <v/>
      </c>
      <c r="AD1405" t="str">
        <f>IF($AS1405="","",Config!$B$23)</f>
        <v/>
      </c>
      <c r="AE1405" t="str">
        <f>IF($AS1405="","",Config!$B$28)</f>
        <v/>
      </c>
      <c r="AF1405" t="str">
        <f t="shared" si="128"/>
        <v/>
      </c>
      <c r="AG1405" t="str">
        <f t="shared" si="129"/>
        <v/>
      </c>
      <c r="AH1405" t="str">
        <f t="shared" si="130"/>
        <v/>
      </c>
      <c r="AI1405" t="str">
        <f>IF($AG1405="","",SUMIF($AG$2:$AG1405,$AG1405,$AH$2:$AH1405))</f>
        <v/>
      </c>
      <c r="AJ1405" t="str">
        <f>IF('TMP Paste'!$F1405="","",IF('TMP Paste'!$B1405="",$AJ1404,'TMP Paste'!$B1405))</f>
        <v/>
      </c>
      <c r="AK1405" t="str">
        <f>IF('TMP Paste'!$F1405="","",N('TMP Paste'!$G1405))</f>
        <v/>
      </c>
      <c r="AL1405" t="str">
        <f>IF('TMP Paste'!$F1405="","",IF('TMP Paste'!$M1405="",$AL1404,'TMP Paste'!$M1405))</f>
        <v/>
      </c>
      <c r="AM1405" t="str">
        <f>IF('TMP Paste'!$F1405="","",IF('TMP Paste'!$N1405="",$AM1404,'TMP Paste'!$N1405))</f>
        <v/>
      </c>
      <c r="AN1405" t="str">
        <f>IF('TMP Paste'!$F1405="","",IF('TMP Paste'!$O1405="",$AN1404,'TMP Paste'!$O1405))</f>
        <v/>
      </c>
      <c r="AO1405" t="str">
        <f>IF('TMP Paste'!$F1405="","",IF('TMP Paste'!$P1405="",$AO1404,'TMP Paste'!$P1405))</f>
        <v/>
      </c>
      <c r="AP1405" t="str">
        <f t="shared" si="131"/>
        <v/>
      </c>
      <c r="AQ1405" t="str">
        <f>IF($AS1405="","",TRIM(IF(COUNTIFS(Calc!$B$2:$B$1601,ROW()-1,Calc!$C$2:$C$1601,"&lt;1")&gt;0,"Ada PO tanpa Koli - cek TMP. ","")&amp;IF(OR($AU1405="",$AU1405&lt;=0),"Volume kosong/0 - dimensi dikosongkan. ","")&amp;IF(AND($AU1405&lt;&gt;"",$AU1405&gt;=1000000),"Volume &gt;= 1.000.000 cm3 (di luar aturan) - dimensi dikosongkan. ","")&amp;IF(LEN($R1405)&gt;500,"R &gt; 500 karakter.","")))</f>
        <v/>
      </c>
      <c r="AS1405" t="str">
        <f>IFERROR(MATCH(ROW()-1,Calc!$J$2:$J$1601,0),"")</f>
        <v/>
      </c>
      <c r="AT1405" t="str">
        <f>IFERROR(MATCH(ROW()-1,Calc!$K$2:$K$1601,0),"")</f>
        <v/>
      </c>
      <c r="AU1405" t="str">
        <f>IF($AS1405="","",IFERROR(INDEX('TMP Paste'!$D$2:$D$1601,$AS1405)*1000000/$AB1405,""))</f>
        <v/>
      </c>
    </row>
    <row r="1406" spans="1:47">
      <c r="A1406" t="str">
        <f>IF($AS1406="","",INDEX('TMP Paste'!$B$2:$B$1601,$AS1406))</f>
        <v/>
      </c>
      <c r="B1406" t="str">
        <f>IF($AS1406="","",Config!$B$14)</f>
        <v/>
      </c>
      <c r="C1406" t="str">
        <f>IF($AS1406="","",Config!$B$15)</f>
        <v/>
      </c>
      <c r="D1406" t="str">
        <f>IF($AS1406="","",INDEX('TMP Paste'!$B$2:$B$1601,$AS1406))</f>
        <v/>
      </c>
      <c r="E1406" t="str">
        <f>IF($AS1406="","",Config!$B$27)</f>
        <v/>
      </c>
      <c r="F1406" t="str">
        <f>IF($AS1406="","",Config!$B$9)</f>
        <v/>
      </c>
      <c r="G1406" t="str">
        <f>IF($AS1406="","",Config!$B$10)</f>
        <v/>
      </c>
      <c r="H1406" t="str">
        <f>IF($AS1406="","",Config!$B$11)</f>
        <v/>
      </c>
      <c r="I1406" t="str">
        <f>IF($AS1406="","",Config!$B$16)</f>
        <v/>
      </c>
      <c r="J1406" t="str">
        <f>IF($AS1406="","",INDEX('TMP Paste'!$A$2:$A$1601,$AS1406))</f>
        <v/>
      </c>
      <c r="K1406" t="str">
        <f>IF($AS1406="","",INDEX('TMP Paste'!$L$2:$L$1601,$AS1406))</f>
        <v/>
      </c>
      <c r="L1406" t="str">
        <f>IF($AS1406="","",INDEX('TMP Paste'!$I$2:$I$1601,$AS1406))</f>
        <v/>
      </c>
      <c r="M1406" t="str">
        <f>IF($AS1406="","",Config!$B$16)</f>
        <v/>
      </c>
      <c r="N1406" t="str">
        <f t="shared" si="126"/>
        <v/>
      </c>
      <c r="O1406" t="str">
        <f>IF($AS1406="","",INDEX('TMP Paste'!$K$2:$K$1601,$AS1406))</f>
        <v/>
      </c>
      <c r="P1406" t="str">
        <f t="shared" si="127"/>
        <v/>
      </c>
      <c r="Q1406" t="str">
        <f>IF($AS1406="","",INDEX('TMP Paste'!$J$2:$J$1601,$AS1406))</f>
        <v/>
      </c>
      <c r="R1406" t="str">
        <f>IF($AS1406="","",Config!$B$24)</f>
        <v/>
      </c>
      <c r="S1406" t="str">
        <f ca="1">IF($AS1406="","",TEXT(Config!$B$4,"yyyy-mm-dd"))</f>
        <v/>
      </c>
      <c r="T1406" t="str">
        <f>IF($AS1406="","",Config!$B$17)</f>
        <v/>
      </c>
      <c r="U1406" t="str">
        <f>IF($AS1406="","",Config!$B$18)</f>
        <v/>
      </c>
      <c r="V1406" t="str">
        <f>IF($AS1406="","",Config!$B$19)</f>
        <v/>
      </c>
      <c r="W1406" t="str">
        <f>IF($AS1406="","",INDEX('TMP Paste'!$C$2:$C$1601,$AS1406))</f>
        <v/>
      </c>
      <c r="X1406" t="str">
        <f>IF($AS1406="","",Config!$B$29)</f>
        <v/>
      </c>
      <c r="Y1406" t="str">
        <f>IF($AT1406="","",INDEX(Calc!$I$2:$I$1601,$AT1406)&amp;" - "&amp;INDEX(Calc!$D$2:$D$1601,$AT1406)&amp;" koli")</f>
        <v/>
      </c>
      <c r="Z1406" t="str">
        <f>IF($AS1406="","",Config!$B$21)</f>
        <v/>
      </c>
      <c r="AA1406" t="str">
        <f>IF($AS1406="","",Config!$B$22)</f>
        <v/>
      </c>
      <c r="AB1406" t="str">
        <f>IF($AT1406="","",INDEX(Calc!$D$2:$D$1601,$AT1406))</f>
        <v/>
      </c>
      <c r="AC1406" t="str">
        <f>IF($AT1406="","",INDEX(Calc!$G$2:$G$1601,$AT1406))</f>
        <v/>
      </c>
      <c r="AD1406" t="str">
        <f>IF($AS1406="","",Config!$B$23)</f>
        <v/>
      </c>
      <c r="AE1406" t="str">
        <f>IF($AS1406="","",Config!$B$28)</f>
        <v/>
      </c>
      <c r="AF1406" t="str">
        <f t="shared" si="128"/>
        <v/>
      </c>
      <c r="AG1406" t="str">
        <f t="shared" si="129"/>
        <v/>
      </c>
      <c r="AH1406" t="str">
        <f t="shared" si="130"/>
        <v/>
      </c>
      <c r="AI1406" t="str">
        <f>IF($AG1406="","",SUMIF($AG$2:$AG1406,$AG1406,$AH$2:$AH1406))</f>
        <v/>
      </c>
      <c r="AJ1406" t="str">
        <f>IF('TMP Paste'!$F1406="","",IF('TMP Paste'!$B1406="",$AJ1405,'TMP Paste'!$B1406))</f>
        <v/>
      </c>
      <c r="AK1406" t="str">
        <f>IF('TMP Paste'!$F1406="","",N('TMP Paste'!$G1406))</f>
        <v/>
      </c>
      <c r="AL1406" t="str">
        <f>IF('TMP Paste'!$F1406="","",IF('TMP Paste'!$M1406="",$AL1405,'TMP Paste'!$M1406))</f>
        <v/>
      </c>
      <c r="AM1406" t="str">
        <f>IF('TMP Paste'!$F1406="","",IF('TMP Paste'!$N1406="",$AM1405,'TMP Paste'!$N1406))</f>
        <v/>
      </c>
      <c r="AN1406" t="str">
        <f>IF('TMP Paste'!$F1406="","",IF('TMP Paste'!$O1406="",$AN1405,'TMP Paste'!$O1406))</f>
        <v/>
      </c>
      <c r="AO1406" t="str">
        <f>IF('TMP Paste'!$F1406="","",IF('TMP Paste'!$P1406="",$AO1405,'TMP Paste'!$P1406))</f>
        <v/>
      </c>
      <c r="AP1406" t="str">
        <f t="shared" si="131"/>
        <v/>
      </c>
      <c r="AQ1406" t="str">
        <f>IF($AS1406="","",TRIM(IF(COUNTIFS(Calc!$B$2:$B$1601,ROW()-1,Calc!$C$2:$C$1601,"&lt;1")&gt;0,"Ada PO tanpa Koli - cek TMP. ","")&amp;IF(OR($AU1406="",$AU1406&lt;=0),"Volume kosong/0 - dimensi dikosongkan. ","")&amp;IF(AND($AU1406&lt;&gt;"",$AU1406&gt;=1000000),"Volume &gt;= 1.000.000 cm3 (di luar aturan) - dimensi dikosongkan. ","")&amp;IF(LEN($R1406)&gt;500,"R &gt; 500 karakter.","")))</f>
        <v/>
      </c>
      <c r="AS1406" t="str">
        <f>IFERROR(MATCH(ROW()-1,Calc!$J$2:$J$1601,0),"")</f>
        <v/>
      </c>
      <c r="AT1406" t="str">
        <f>IFERROR(MATCH(ROW()-1,Calc!$K$2:$K$1601,0),"")</f>
        <v/>
      </c>
      <c r="AU1406" t="str">
        <f>IF($AS1406="","",IFERROR(INDEX('TMP Paste'!$D$2:$D$1601,$AS1406)*1000000/$AB1406,""))</f>
        <v/>
      </c>
    </row>
    <row r="1407" spans="1:47">
      <c r="A1407" t="str">
        <f>IF($AS1407="","",INDEX('TMP Paste'!$B$2:$B$1601,$AS1407))</f>
        <v/>
      </c>
      <c r="B1407" t="str">
        <f>IF($AS1407="","",Config!$B$14)</f>
        <v/>
      </c>
      <c r="C1407" t="str">
        <f>IF($AS1407="","",Config!$B$15)</f>
        <v/>
      </c>
      <c r="D1407" t="str">
        <f>IF($AS1407="","",INDEX('TMP Paste'!$B$2:$B$1601,$AS1407))</f>
        <v/>
      </c>
      <c r="E1407" t="str">
        <f>IF($AS1407="","",Config!$B$27)</f>
        <v/>
      </c>
      <c r="F1407" t="str">
        <f>IF($AS1407="","",Config!$B$9)</f>
        <v/>
      </c>
      <c r="G1407" t="str">
        <f>IF($AS1407="","",Config!$B$10)</f>
        <v/>
      </c>
      <c r="H1407" t="str">
        <f>IF($AS1407="","",Config!$B$11)</f>
        <v/>
      </c>
      <c r="I1407" t="str">
        <f>IF($AS1407="","",Config!$B$16)</f>
        <v/>
      </c>
      <c r="J1407" t="str">
        <f>IF($AS1407="","",INDEX('TMP Paste'!$A$2:$A$1601,$AS1407))</f>
        <v/>
      </c>
      <c r="K1407" t="str">
        <f>IF($AS1407="","",INDEX('TMP Paste'!$L$2:$L$1601,$AS1407))</f>
        <v/>
      </c>
      <c r="L1407" t="str">
        <f>IF($AS1407="","",INDEX('TMP Paste'!$I$2:$I$1601,$AS1407))</f>
        <v/>
      </c>
      <c r="M1407" t="str">
        <f>IF($AS1407="","",Config!$B$16)</f>
        <v/>
      </c>
      <c r="N1407" t="str">
        <f t="shared" si="126"/>
        <v/>
      </c>
      <c r="O1407" t="str">
        <f>IF($AS1407="","",INDEX('TMP Paste'!$K$2:$K$1601,$AS1407))</f>
        <v/>
      </c>
      <c r="P1407" t="str">
        <f t="shared" si="127"/>
        <v/>
      </c>
      <c r="Q1407" t="str">
        <f>IF($AS1407="","",INDEX('TMP Paste'!$J$2:$J$1601,$AS1407))</f>
        <v/>
      </c>
      <c r="R1407" t="str">
        <f>IF($AS1407="","",Config!$B$24)</f>
        <v/>
      </c>
      <c r="S1407" t="str">
        <f ca="1">IF($AS1407="","",TEXT(Config!$B$4,"yyyy-mm-dd"))</f>
        <v/>
      </c>
      <c r="T1407" t="str">
        <f>IF($AS1407="","",Config!$B$17)</f>
        <v/>
      </c>
      <c r="U1407" t="str">
        <f>IF($AS1407="","",Config!$B$18)</f>
        <v/>
      </c>
      <c r="V1407" t="str">
        <f>IF($AS1407="","",Config!$B$19)</f>
        <v/>
      </c>
      <c r="W1407" t="str">
        <f>IF($AS1407="","",INDEX('TMP Paste'!$C$2:$C$1601,$AS1407))</f>
        <v/>
      </c>
      <c r="X1407" t="str">
        <f>IF($AS1407="","",Config!$B$29)</f>
        <v/>
      </c>
      <c r="Y1407" t="str">
        <f>IF($AT1407="","",INDEX(Calc!$I$2:$I$1601,$AT1407)&amp;" - "&amp;INDEX(Calc!$D$2:$D$1601,$AT1407)&amp;" koli")</f>
        <v/>
      </c>
      <c r="Z1407" t="str">
        <f>IF($AS1407="","",Config!$B$21)</f>
        <v/>
      </c>
      <c r="AA1407" t="str">
        <f>IF($AS1407="","",Config!$B$22)</f>
        <v/>
      </c>
      <c r="AB1407" t="str">
        <f>IF($AT1407="","",INDEX(Calc!$D$2:$D$1601,$AT1407))</f>
        <v/>
      </c>
      <c r="AC1407" t="str">
        <f>IF($AT1407="","",INDEX(Calc!$G$2:$G$1601,$AT1407))</f>
        <v/>
      </c>
      <c r="AD1407" t="str">
        <f>IF($AS1407="","",Config!$B$23)</f>
        <v/>
      </c>
      <c r="AE1407" t="str">
        <f>IF($AS1407="","",Config!$B$28)</f>
        <v/>
      </c>
      <c r="AF1407" t="str">
        <f t="shared" si="128"/>
        <v/>
      </c>
      <c r="AG1407" t="str">
        <f t="shared" si="129"/>
        <v/>
      </c>
      <c r="AH1407" t="str">
        <f t="shared" si="130"/>
        <v/>
      </c>
      <c r="AI1407" t="str">
        <f>IF($AG1407="","",SUMIF($AG$2:$AG1407,$AG1407,$AH$2:$AH1407))</f>
        <v/>
      </c>
      <c r="AJ1407" t="str">
        <f>IF('TMP Paste'!$F1407="","",IF('TMP Paste'!$B1407="",$AJ1406,'TMP Paste'!$B1407))</f>
        <v/>
      </c>
      <c r="AK1407" t="str">
        <f>IF('TMP Paste'!$F1407="","",N('TMP Paste'!$G1407))</f>
        <v/>
      </c>
      <c r="AL1407" t="str">
        <f>IF('TMP Paste'!$F1407="","",IF('TMP Paste'!$M1407="",$AL1406,'TMP Paste'!$M1407))</f>
        <v/>
      </c>
      <c r="AM1407" t="str">
        <f>IF('TMP Paste'!$F1407="","",IF('TMP Paste'!$N1407="",$AM1406,'TMP Paste'!$N1407))</f>
        <v/>
      </c>
      <c r="AN1407" t="str">
        <f>IF('TMP Paste'!$F1407="","",IF('TMP Paste'!$O1407="",$AN1406,'TMP Paste'!$O1407))</f>
        <v/>
      </c>
      <c r="AO1407" t="str">
        <f>IF('TMP Paste'!$F1407="","",IF('TMP Paste'!$P1407="",$AO1406,'TMP Paste'!$P1407))</f>
        <v/>
      </c>
      <c r="AP1407" t="str">
        <f t="shared" si="131"/>
        <v/>
      </c>
      <c r="AQ1407" t="str">
        <f>IF($AS1407="","",TRIM(IF(COUNTIFS(Calc!$B$2:$B$1601,ROW()-1,Calc!$C$2:$C$1601,"&lt;1")&gt;0,"Ada PO tanpa Koli - cek TMP. ","")&amp;IF(OR($AU1407="",$AU1407&lt;=0),"Volume kosong/0 - dimensi dikosongkan. ","")&amp;IF(AND($AU1407&lt;&gt;"",$AU1407&gt;=1000000),"Volume &gt;= 1.000.000 cm3 (di luar aturan) - dimensi dikosongkan. ","")&amp;IF(LEN($R1407)&gt;500,"R &gt; 500 karakter.","")))</f>
        <v/>
      </c>
      <c r="AS1407" t="str">
        <f>IFERROR(MATCH(ROW()-1,Calc!$J$2:$J$1601,0),"")</f>
        <v/>
      </c>
      <c r="AT1407" t="str">
        <f>IFERROR(MATCH(ROW()-1,Calc!$K$2:$K$1601,0),"")</f>
        <v/>
      </c>
      <c r="AU1407" t="str">
        <f>IF($AS1407="","",IFERROR(INDEX('TMP Paste'!$D$2:$D$1601,$AS1407)*1000000/$AB1407,""))</f>
        <v/>
      </c>
    </row>
    <row r="1408" spans="1:47">
      <c r="A1408" t="str">
        <f>IF($AS1408="","",INDEX('TMP Paste'!$B$2:$B$1601,$AS1408))</f>
        <v/>
      </c>
      <c r="B1408" t="str">
        <f>IF($AS1408="","",Config!$B$14)</f>
        <v/>
      </c>
      <c r="C1408" t="str">
        <f>IF($AS1408="","",Config!$B$15)</f>
        <v/>
      </c>
      <c r="D1408" t="str">
        <f>IF($AS1408="","",INDEX('TMP Paste'!$B$2:$B$1601,$AS1408))</f>
        <v/>
      </c>
      <c r="E1408" t="str">
        <f>IF($AS1408="","",Config!$B$27)</f>
        <v/>
      </c>
      <c r="F1408" t="str">
        <f>IF($AS1408="","",Config!$B$9)</f>
        <v/>
      </c>
      <c r="G1408" t="str">
        <f>IF($AS1408="","",Config!$B$10)</f>
        <v/>
      </c>
      <c r="H1408" t="str">
        <f>IF($AS1408="","",Config!$B$11)</f>
        <v/>
      </c>
      <c r="I1408" t="str">
        <f>IF($AS1408="","",Config!$B$16)</f>
        <v/>
      </c>
      <c r="J1408" t="str">
        <f>IF($AS1408="","",INDEX('TMP Paste'!$A$2:$A$1601,$AS1408))</f>
        <v/>
      </c>
      <c r="K1408" t="str">
        <f>IF($AS1408="","",INDEX('TMP Paste'!$L$2:$L$1601,$AS1408))</f>
        <v/>
      </c>
      <c r="L1408" t="str">
        <f>IF($AS1408="","",INDEX('TMP Paste'!$I$2:$I$1601,$AS1408))</f>
        <v/>
      </c>
      <c r="M1408" t="str">
        <f>IF($AS1408="","",Config!$B$16)</f>
        <v/>
      </c>
      <c r="N1408" t="str">
        <f t="shared" si="126"/>
        <v/>
      </c>
      <c r="O1408" t="str">
        <f>IF($AS1408="","",INDEX('TMP Paste'!$K$2:$K$1601,$AS1408))</f>
        <v/>
      </c>
      <c r="P1408" t="str">
        <f t="shared" si="127"/>
        <v/>
      </c>
      <c r="Q1408" t="str">
        <f>IF($AS1408="","",INDEX('TMP Paste'!$J$2:$J$1601,$AS1408))</f>
        <v/>
      </c>
      <c r="R1408" t="str">
        <f>IF($AS1408="","",Config!$B$24)</f>
        <v/>
      </c>
      <c r="S1408" t="str">
        <f ca="1">IF($AS1408="","",TEXT(Config!$B$4,"yyyy-mm-dd"))</f>
        <v/>
      </c>
      <c r="T1408" t="str">
        <f>IF($AS1408="","",Config!$B$17)</f>
        <v/>
      </c>
      <c r="U1408" t="str">
        <f>IF($AS1408="","",Config!$B$18)</f>
        <v/>
      </c>
      <c r="V1408" t="str">
        <f>IF($AS1408="","",Config!$B$19)</f>
        <v/>
      </c>
      <c r="W1408" t="str">
        <f>IF($AS1408="","",INDEX('TMP Paste'!$C$2:$C$1601,$AS1408))</f>
        <v/>
      </c>
      <c r="X1408" t="str">
        <f>IF($AS1408="","",Config!$B$29)</f>
        <v/>
      </c>
      <c r="Y1408" t="str">
        <f>IF($AT1408="","",INDEX(Calc!$I$2:$I$1601,$AT1408)&amp;" - "&amp;INDEX(Calc!$D$2:$D$1601,$AT1408)&amp;" koli")</f>
        <v/>
      </c>
      <c r="Z1408" t="str">
        <f>IF($AS1408="","",Config!$B$21)</f>
        <v/>
      </c>
      <c r="AA1408" t="str">
        <f>IF($AS1408="","",Config!$B$22)</f>
        <v/>
      </c>
      <c r="AB1408" t="str">
        <f>IF($AT1408="","",INDEX(Calc!$D$2:$D$1601,$AT1408))</f>
        <v/>
      </c>
      <c r="AC1408" t="str">
        <f>IF($AT1408="","",INDEX(Calc!$G$2:$G$1601,$AT1408))</f>
        <v/>
      </c>
      <c r="AD1408" t="str">
        <f>IF($AS1408="","",Config!$B$23)</f>
        <v/>
      </c>
      <c r="AE1408" t="str">
        <f>IF($AS1408="","",Config!$B$28)</f>
        <v/>
      </c>
      <c r="AF1408" t="str">
        <f t="shared" si="128"/>
        <v/>
      </c>
      <c r="AG1408" t="str">
        <f t="shared" si="129"/>
        <v/>
      </c>
      <c r="AH1408" t="str">
        <f t="shared" si="130"/>
        <v/>
      </c>
      <c r="AI1408" t="str">
        <f>IF($AG1408="","",SUMIF($AG$2:$AG1408,$AG1408,$AH$2:$AH1408))</f>
        <v/>
      </c>
      <c r="AJ1408" t="str">
        <f>IF('TMP Paste'!$F1408="","",IF('TMP Paste'!$B1408="",$AJ1407,'TMP Paste'!$B1408))</f>
        <v/>
      </c>
      <c r="AK1408" t="str">
        <f>IF('TMP Paste'!$F1408="","",N('TMP Paste'!$G1408))</f>
        <v/>
      </c>
      <c r="AL1408" t="str">
        <f>IF('TMP Paste'!$F1408="","",IF('TMP Paste'!$M1408="",$AL1407,'TMP Paste'!$M1408))</f>
        <v/>
      </c>
      <c r="AM1408" t="str">
        <f>IF('TMP Paste'!$F1408="","",IF('TMP Paste'!$N1408="",$AM1407,'TMP Paste'!$N1408))</f>
        <v/>
      </c>
      <c r="AN1408" t="str">
        <f>IF('TMP Paste'!$F1408="","",IF('TMP Paste'!$O1408="",$AN1407,'TMP Paste'!$O1408))</f>
        <v/>
      </c>
      <c r="AO1408" t="str">
        <f>IF('TMP Paste'!$F1408="","",IF('TMP Paste'!$P1408="",$AO1407,'TMP Paste'!$P1408))</f>
        <v/>
      </c>
      <c r="AP1408" t="str">
        <f t="shared" si="131"/>
        <v/>
      </c>
      <c r="AQ1408" t="str">
        <f>IF($AS1408="","",TRIM(IF(COUNTIFS(Calc!$B$2:$B$1601,ROW()-1,Calc!$C$2:$C$1601,"&lt;1")&gt;0,"Ada PO tanpa Koli - cek TMP. ","")&amp;IF(OR($AU1408="",$AU1408&lt;=0),"Volume kosong/0 - dimensi dikosongkan. ","")&amp;IF(AND($AU1408&lt;&gt;"",$AU1408&gt;=1000000),"Volume &gt;= 1.000.000 cm3 (di luar aturan) - dimensi dikosongkan. ","")&amp;IF(LEN($R1408)&gt;500,"R &gt; 500 karakter.","")))</f>
        <v/>
      </c>
      <c r="AS1408" t="str">
        <f>IFERROR(MATCH(ROW()-1,Calc!$J$2:$J$1601,0),"")</f>
        <v/>
      </c>
      <c r="AT1408" t="str">
        <f>IFERROR(MATCH(ROW()-1,Calc!$K$2:$K$1601,0),"")</f>
        <v/>
      </c>
      <c r="AU1408" t="str">
        <f>IF($AS1408="","",IFERROR(INDEX('TMP Paste'!$D$2:$D$1601,$AS1408)*1000000/$AB1408,""))</f>
        <v/>
      </c>
    </row>
    <row r="1409" spans="1:47">
      <c r="A1409" t="str">
        <f>IF($AS1409="","",INDEX('TMP Paste'!$B$2:$B$1601,$AS1409))</f>
        <v/>
      </c>
      <c r="B1409" t="str">
        <f>IF($AS1409="","",Config!$B$14)</f>
        <v/>
      </c>
      <c r="C1409" t="str">
        <f>IF($AS1409="","",Config!$B$15)</f>
        <v/>
      </c>
      <c r="D1409" t="str">
        <f>IF($AS1409="","",INDEX('TMP Paste'!$B$2:$B$1601,$AS1409))</f>
        <v/>
      </c>
      <c r="E1409" t="str">
        <f>IF($AS1409="","",Config!$B$27)</f>
        <v/>
      </c>
      <c r="F1409" t="str">
        <f>IF($AS1409="","",Config!$B$9)</f>
        <v/>
      </c>
      <c r="G1409" t="str">
        <f>IF($AS1409="","",Config!$B$10)</f>
        <v/>
      </c>
      <c r="H1409" t="str">
        <f>IF($AS1409="","",Config!$B$11)</f>
        <v/>
      </c>
      <c r="I1409" t="str">
        <f>IF($AS1409="","",Config!$B$16)</f>
        <v/>
      </c>
      <c r="J1409" t="str">
        <f>IF($AS1409="","",INDEX('TMP Paste'!$A$2:$A$1601,$AS1409))</f>
        <v/>
      </c>
      <c r="K1409" t="str">
        <f>IF($AS1409="","",INDEX('TMP Paste'!$L$2:$L$1601,$AS1409))</f>
        <v/>
      </c>
      <c r="L1409" t="str">
        <f>IF($AS1409="","",INDEX('TMP Paste'!$I$2:$I$1601,$AS1409))</f>
        <v/>
      </c>
      <c r="M1409" t="str">
        <f>IF($AS1409="","",Config!$B$16)</f>
        <v/>
      </c>
      <c r="N1409" t="str">
        <f t="shared" si="126"/>
        <v/>
      </c>
      <c r="O1409" t="str">
        <f>IF($AS1409="","",INDEX('TMP Paste'!$K$2:$K$1601,$AS1409))</f>
        <v/>
      </c>
      <c r="P1409" t="str">
        <f t="shared" si="127"/>
        <v/>
      </c>
      <c r="Q1409" t="str">
        <f>IF($AS1409="","",INDEX('TMP Paste'!$J$2:$J$1601,$AS1409))</f>
        <v/>
      </c>
      <c r="R1409" t="str">
        <f>IF($AS1409="","",Config!$B$24)</f>
        <v/>
      </c>
      <c r="S1409" t="str">
        <f ca="1">IF($AS1409="","",TEXT(Config!$B$4,"yyyy-mm-dd"))</f>
        <v/>
      </c>
      <c r="T1409" t="str">
        <f>IF($AS1409="","",Config!$B$17)</f>
        <v/>
      </c>
      <c r="U1409" t="str">
        <f>IF($AS1409="","",Config!$B$18)</f>
        <v/>
      </c>
      <c r="V1409" t="str">
        <f>IF($AS1409="","",Config!$B$19)</f>
        <v/>
      </c>
      <c r="W1409" t="str">
        <f>IF($AS1409="","",INDEX('TMP Paste'!$C$2:$C$1601,$AS1409))</f>
        <v/>
      </c>
      <c r="X1409" t="str">
        <f>IF($AS1409="","",Config!$B$29)</f>
        <v/>
      </c>
      <c r="Y1409" t="str">
        <f>IF($AT1409="","",INDEX(Calc!$I$2:$I$1601,$AT1409)&amp;" - "&amp;INDEX(Calc!$D$2:$D$1601,$AT1409)&amp;" koli")</f>
        <v/>
      </c>
      <c r="Z1409" t="str">
        <f>IF($AS1409="","",Config!$B$21)</f>
        <v/>
      </c>
      <c r="AA1409" t="str">
        <f>IF($AS1409="","",Config!$B$22)</f>
        <v/>
      </c>
      <c r="AB1409" t="str">
        <f>IF($AT1409="","",INDEX(Calc!$D$2:$D$1601,$AT1409))</f>
        <v/>
      </c>
      <c r="AC1409" t="str">
        <f>IF($AT1409="","",INDEX(Calc!$G$2:$G$1601,$AT1409))</f>
        <v/>
      </c>
      <c r="AD1409" t="str">
        <f>IF($AS1409="","",Config!$B$23)</f>
        <v/>
      </c>
      <c r="AE1409" t="str">
        <f>IF($AS1409="","",Config!$B$28)</f>
        <v/>
      </c>
      <c r="AF1409" t="str">
        <f t="shared" si="128"/>
        <v/>
      </c>
      <c r="AG1409" t="str">
        <f t="shared" si="129"/>
        <v/>
      </c>
      <c r="AH1409" t="str">
        <f t="shared" si="130"/>
        <v/>
      </c>
      <c r="AI1409" t="str">
        <f>IF($AG1409="","",SUMIF($AG$2:$AG1409,$AG1409,$AH$2:$AH1409))</f>
        <v/>
      </c>
      <c r="AJ1409" t="str">
        <f>IF('TMP Paste'!$F1409="","",IF('TMP Paste'!$B1409="",$AJ1408,'TMP Paste'!$B1409))</f>
        <v/>
      </c>
      <c r="AK1409" t="str">
        <f>IF('TMP Paste'!$F1409="","",N('TMP Paste'!$G1409))</f>
        <v/>
      </c>
      <c r="AL1409" t="str">
        <f>IF('TMP Paste'!$F1409="","",IF('TMP Paste'!$M1409="",$AL1408,'TMP Paste'!$M1409))</f>
        <v/>
      </c>
      <c r="AM1409" t="str">
        <f>IF('TMP Paste'!$F1409="","",IF('TMP Paste'!$N1409="",$AM1408,'TMP Paste'!$N1409))</f>
        <v/>
      </c>
      <c r="AN1409" t="str">
        <f>IF('TMP Paste'!$F1409="","",IF('TMP Paste'!$O1409="",$AN1408,'TMP Paste'!$O1409))</f>
        <v/>
      </c>
      <c r="AO1409" t="str">
        <f>IF('TMP Paste'!$F1409="","",IF('TMP Paste'!$P1409="",$AO1408,'TMP Paste'!$P1409))</f>
        <v/>
      </c>
      <c r="AP1409" t="str">
        <f t="shared" si="131"/>
        <v/>
      </c>
      <c r="AQ1409" t="str">
        <f>IF($AS1409="","",TRIM(IF(COUNTIFS(Calc!$B$2:$B$1601,ROW()-1,Calc!$C$2:$C$1601,"&lt;1")&gt;0,"Ada PO tanpa Koli - cek TMP. ","")&amp;IF(OR($AU1409="",$AU1409&lt;=0),"Volume kosong/0 - dimensi dikosongkan. ","")&amp;IF(AND($AU1409&lt;&gt;"",$AU1409&gt;=1000000),"Volume &gt;= 1.000.000 cm3 (di luar aturan) - dimensi dikosongkan. ","")&amp;IF(LEN($R1409)&gt;500,"R &gt; 500 karakter.","")))</f>
        <v/>
      </c>
      <c r="AS1409" t="str">
        <f>IFERROR(MATCH(ROW()-1,Calc!$J$2:$J$1601,0),"")</f>
        <v/>
      </c>
      <c r="AT1409" t="str">
        <f>IFERROR(MATCH(ROW()-1,Calc!$K$2:$K$1601,0),"")</f>
        <v/>
      </c>
      <c r="AU1409" t="str">
        <f>IF($AS1409="","",IFERROR(INDEX('TMP Paste'!$D$2:$D$1601,$AS1409)*1000000/$AB1409,""))</f>
        <v/>
      </c>
    </row>
    <row r="1410" spans="1:47">
      <c r="A1410" t="str">
        <f>IF($AS1410="","",INDEX('TMP Paste'!$B$2:$B$1601,$AS1410))</f>
        <v/>
      </c>
      <c r="B1410" t="str">
        <f>IF($AS1410="","",Config!$B$14)</f>
        <v/>
      </c>
      <c r="C1410" t="str">
        <f>IF($AS1410="","",Config!$B$15)</f>
        <v/>
      </c>
      <c r="D1410" t="str">
        <f>IF($AS1410="","",INDEX('TMP Paste'!$B$2:$B$1601,$AS1410))</f>
        <v/>
      </c>
      <c r="E1410" t="str">
        <f>IF($AS1410="","",Config!$B$27)</f>
        <v/>
      </c>
      <c r="F1410" t="str">
        <f>IF($AS1410="","",Config!$B$9)</f>
        <v/>
      </c>
      <c r="G1410" t="str">
        <f>IF($AS1410="","",Config!$B$10)</f>
        <v/>
      </c>
      <c r="H1410" t="str">
        <f>IF($AS1410="","",Config!$B$11)</f>
        <v/>
      </c>
      <c r="I1410" t="str">
        <f>IF($AS1410="","",Config!$B$16)</f>
        <v/>
      </c>
      <c r="J1410" t="str">
        <f>IF($AS1410="","",INDEX('TMP Paste'!$A$2:$A$1601,$AS1410))</f>
        <v/>
      </c>
      <c r="K1410" t="str">
        <f>IF($AS1410="","",INDEX('TMP Paste'!$L$2:$L$1601,$AS1410))</f>
        <v/>
      </c>
      <c r="L1410" t="str">
        <f>IF($AS1410="","",INDEX('TMP Paste'!$I$2:$I$1601,$AS1410))</f>
        <v/>
      </c>
      <c r="M1410" t="str">
        <f>IF($AS1410="","",Config!$B$16)</f>
        <v/>
      </c>
      <c r="N1410" t="str">
        <f t="shared" ref="N1410:N1473" si="132">IF($AS1410="","","")</f>
        <v/>
      </c>
      <c r="O1410" t="str">
        <f>IF($AS1410="","",INDEX('TMP Paste'!$K$2:$K$1601,$AS1410))</f>
        <v/>
      </c>
      <c r="P1410" t="str">
        <f t="shared" ref="P1410:P1473" si="133">IF($AS1410="","","")</f>
        <v/>
      </c>
      <c r="Q1410" t="str">
        <f>IF($AS1410="","",INDEX('TMP Paste'!$J$2:$J$1601,$AS1410))</f>
        <v/>
      </c>
      <c r="R1410" t="str">
        <f>IF($AS1410="","",Config!$B$24)</f>
        <v/>
      </c>
      <c r="S1410" t="str">
        <f ca="1">IF($AS1410="","",TEXT(Config!$B$4,"yyyy-mm-dd"))</f>
        <v/>
      </c>
      <c r="T1410" t="str">
        <f>IF($AS1410="","",Config!$B$17)</f>
        <v/>
      </c>
      <c r="U1410" t="str">
        <f>IF($AS1410="","",Config!$B$18)</f>
        <v/>
      </c>
      <c r="V1410" t="str">
        <f>IF($AS1410="","",Config!$B$19)</f>
        <v/>
      </c>
      <c r="W1410" t="str">
        <f>IF($AS1410="","",INDEX('TMP Paste'!$C$2:$C$1601,$AS1410))</f>
        <v/>
      </c>
      <c r="X1410" t="str">
        <f>IF($AS1410="","",Config!$B$29)</f>
        <v/>
      </c>
      <c r="Y1410" t="str">
        <f>IF($AT1410="","",INDEX(Calc!$I$2:$I$1601,$AT1410)&amp;" - "&amp;INDEX(Calc!$D$2:$D$1601,$AT1410)&amp;" koli")</f>
        <v/>
      </c>
      <c r="Z1410" t="str">
        <f>IF($AS1410="","",Config!$B$21)</f>
        <v/>
      </c>
      <c r="AA1410" t="str">
        <f>IF($AS1410="","",Config!$B$22)</f>
        <v/>
      </c>
      <c r="AB1410" t="str">
        <f>IF($AT1410="","",INDEX(Calc!$D$2:$D$1601,$AT1410))</f>
        <v/>
      </c>
      <c r="AC1410" t="str">
        <f>IF($AT1410="","",INDEX(Calc!$G$2:$G$1601,$AT1410))</f>
        <v/>
      </c>
      <c r="AD1410" t="str">
        <f>IF($AS1410="","",Config!$B$23)</f>
        <v/>
      </c>
      <c r="AE1410" t="str">
        <f>IF($AS1410="","",Config!$B$28)</f>
        <v/>
      </c>
      <c r="AF1410" t="str">
        <f t="shared" ref="AF1410:AF1473" si="134">IF($AS1410="","",IF(OR($AU1410="",$AU1410&lt;=0,$AU1410&gt;=1000000),"",IF($AU1410&lt;10000,10,100)))</f>
        <v/>
      </c>
      <c r="AG1410" t="str">
        <f t="shared" ref="AG1410:AG1473" si="135">IF($AS1410="","",IF(OR($AU1410="",$AU1410&lt;=0,$AU1410&gt;=1000000),"",IF($AU1410&lt;10000,$AU1410/100,IF($AU1410&lt;100000,$AU1410/1000,$AU1410/10000))))</f>
        <v/>
      </c>
      <c r="AH1410" t="str">
        <f t="shared" ref="AH1410:AH1473" si="136">IF($AS1410="","",IF(OR($AU1410="",$AU1410&lt;=0,$AU1410&gt;=1000000),"",IF($AU1410&lt;100000,10,100)))</f>
        <v/>
      </c>
      <c r="AI1410" t="str">
        <f>IF($AG1410="","",SUMIF($AG$2:$AG1410,$AG1410,$AH$2:$AH1410))</f>
        <v/>
      </c>
      <c r="AJ1410" t="str">
        <f>IF('TMP Paste'!$F1410="","",IF('TMP Paste'!$B1410="",$AJ1409,'TMP Paste'!$B1410))</f>
        <v/>
      </c>
      <c r="AK1410" t="str">
        <f>IF('TMP Paste'!$F1410="","",N('TMP Paste'!$G1410))</f>
        <v/>
      </c>
      <c r="AL1410" t="str">
        <f>IF('TMP Paste'!$F1410="","",IF('TMP Paste'!$M1410="",$AL1409,'TMP Paste'!$M1410))</f>
        <v/>
      </c>
      <c r="AM1410" t="str">
        <f>IF('TMP Paste'!$F1410="","",IF('TMP Paste'!$N1410="",$AM1409,'TMP Paste'!$N1410))</f>
        <v/>
      </c>
      <c r="AN1410" t="str">
        <f>IF('TMP Paste'!$F1410="","",IF('TMP Paste'!$O1410="",$AN1409,'TMP Paste'!$O1410))</f>
        <v/>
      </c>
      <c r="AO1410" t="str">
        <f>IF('TMP Paste'!$F1410="","",IF('TMP Paste'!$P1410="",$AO1409,'TMP Paste'!$P1410))</f>
        <v/>
      </c>
      <c r="AP1410" t="str">
        <f t="shared" ref="AP1410:AP1473" si="137">IF($AG1410="","",LEN($R1410))</f>
        <v/>
      </c>
      <c r="AQ1410" t="str">
        <f>IF($AS1410="","",TRIM(IF(COUNTIFS(Calc!$B$2:$B$1601,ROW()-1,Calc!$C$2:$C$1601,"&lt;1")&gt;0,"Ada PO tanpa Koli - cek TMP. ","")&amp;IF(OR($AU1410="",$AU1410&lt;=0),"Volume kosong/0 - dimensi dikosongkan. ","")&amp;IF(AND($AU1410&lt;&gt;"",$AU1410&gt;=1000000),"Volume &gt;= 1.000.000 cm3 (di luar aturan) - dimensi dikosongkan. ","")&amp;IF(LEN($R1410)&gt;500,"R &gt; 500 karakter.","")))</f>
        <v/>
      </c>
      <c r="AS1410" t="str">
        <f>IFERROR(MATCH(ROW()-1,Calc!$J$2:$J$1601,0),"")</f>
        <v/>
      </c>
      <c r="AT1410" t="str">
        <f>IFERROR(MATCH(ROW()-1,Calc!$K$2:$K$1601,0),"")</f>
        <v/>
      </c>
      <c r="AU1410" t="str">
        <f>IF($AS1410="","",IFERROR(INDEX('TMP Paste'!$D$2:$D$1601,$AS1410)*1000000/$AB1410,""))</f>
        <v/>
      </c>
    </row>
    <row r="1411" spans="1:47">
      <c r="A1411" t="str">
        <f>IF($AS1411="","",INDEX('TMP Paste'!$B$2:$B$1601,$AS1411))</f>
        <v/>
      </c>
      <c r="B1411" t="str">
        <f>IF($AS1411="","",Config!$B$14)</f>
        <v/>
      </c>
      <c r="C1411" t="str">
        <f>IF($AS1411="","",Config!$B$15)</f>
        <v/>
      </c>
      <c r="D1411" t="str">
        <f>IF($AS1411="","",INDEX('TMP Paste'!$B$2:$B$1601,$AS1411))</f>
        <v/>
      </c>
      <c r="E1411" t="str">
        <f>IF($AS1411="","",Config!$B$27)</f>
        <v/>
      </c>
      <c r="F1411" t="str">
        <f>IF($AS1411="","",Config!$B$9)</f>
        <v/>
      </c>
      <c r="G1411" t="str">
        <f>IF($AS1411="","",Config!$B$10)</f>
        <v/>
      </c>
      <c r="H1411" t="str">
        <f>IF($AS1411="","",Config!$B$11)</f>
        <v/>
      </c>
      <c r="I1411" t="str">
        <f>IF($AS1411="","",Config!$B$16)</f>
        <v/>
      </c>
      <c r="J1411" t="str">
        <f>IF($AS1411="","",INDEX('TMP Paste'!$A$2:$A$1601,$AS1411))</f>
        <v/>
      </c>
      <c r="K1411" t="str">
        <f>IF($AS1411="","",INDEX('TMP Paste'!$L$2:$L$1601,$AS1411))</f>
        <v/>
      </c>
      <c r="L1411" t="str">
        <f>IF($AS1411="","",INDEX('TMP Paste'!$I$2:$I$1601,$AS1411))</f>
        <v/>
      </c>
      <c r="M1411" t="str">
        <f>IF($AS1411="","",Config!$B$16)</f>
        <v/>
      </c>
      <c r="N1411" t="str">
        <f t="shared" si="132"/>
        <v/>
      </c>
      <c r="O1411" t="str">
        <f>IF($AS1411="","",INDEX('TMP Paste'!$K$2:$K$1601,$AS1411))</f>
        <v/>
      </c>
      <c r="P1411" t="str">
        <f t="shared" si="133"/>
        <v/>
      </c>
      <c r="Q1411" t="str">
        <f>IF($AS1411="","",INDEX('TMP Paste'!$J$2:$J$1601,$AS1411))</f>
        <v/>
      </c>
      <c r="R1411" t="str">
        <f>IF($AS1411="","",Config!$B$24)</f>
        <v/>
      </c>
      <c r="S1411" t="str">
        <f ca="1">IF($AS1411="","",TEXT(Config!$B$4,"yyyy-mm-dd"))</f>
        <v/>
      </c>
      <c r="T1411" t="str">
        <f>IF($AS1411="","",Config!$B$17)</f>
        <v/>
      </c>
      <c r="U1411" t="str">
        <f>IF($AS1411="","",Config!$B$18)</f>
        <v/>
      </c>
      <c r="V1411" t="str">
        <f>IF($AS1411="","",Config!$B$19)</f>
        <v/>
      </c>
      <c r="W1411" t="str">
        <f>IF($AS1411="","",INDEX('TMP Paste'!$C$2:$C$1601,$AS1411))</f>
        <v/>
      </c>
      <c r="X1411" t="str">
        <f>IF($AS1411="","",Config!$B$29)</f>
        <v/>
      </c>
      <c r="Y1411" t="str">
        <f>IF($AT1411="","",INDEX(Calc!$I$2:$I$1601,$AT1411)&amp;" - "&amp;INDEX(Calc!$D$2:$D$1601,$AT1411)&amp;" koli")</f>
        <v/>
      </c>
      <c r="Z1411" t="str">
        <f>IF($AS1411="","",Config!$B$21)</f>
        <v/>
      </c>
      <c r="AA1411" t="str">
        <f>IF($AS1411="","",Config!$B$22)</f>
        <v/>
      </c>
      <c r="AB1411" t="str">
        <f>IF($AT1411="","",INDEX(Calc!$D$2:$D$1601,$AT1411))</f>
        <v/>
      </c>
      <c r="AC1411" t="str">
        <f>IF($AT1411="","",INDEX(Calc!$G$2:$G$1601,$AT1411))</f>
        <v/>
      </c>
      <c r="AD1411" t="str">
        <f>IF($AS1411="","",Config!$B$23)</f>
        <v/>
      </c>
      <c r="AE1411" t="str">
        <f>IF($AS1411="","",Config!$B$28)</f>
        <v/>
      </c>
      <c r="AF1411" t="str">
        <f t="shared" si="134"/>
        <v/>
      </c>
      <c r="AG1411" t="str">
        <f t="shared" si="135"/>
        <v/>
      </c>
      <c r="AH1411" t="str">
        <f t="shared" si="136"/>
        <v/>
      </c>
      <c r="AI1411" t="str">
        <f>IF($AG1411="","",SUMIF($AG$2:$AG1411,$AG1411,$AH$2:$AH1411))</f>
        <v/>
      </c>
      <c r="AJ1411" t="str">
        <f>IF('TMP Paste'!$F1411="","",IF('TMP Paste'!$B1411="",$AJ1410,'TMP Paste'!$B1411))</f>
        <v/>
      </c>
      <c r="AK1411" t="str">
        <f>IF('TMP Paste'!$F1411="","",N('TMP Paste'!$G1411))</f>
        <v/>
      </c>
      <c r="AL1411" t="str">
        <f>IF('TMP Paste'!$F1411="","",IF('TMP Paste'!$M1411="",$AL1410,'TMP Paste'!$M1411))</f>
        <v/>
      </c>
      <c r="AM1411" t="str">
        <f>IF('TMP Paste'!$F1411="","",IF('TMP Paste'!$N1411="",$AM1410,'TMP Paste'!$N1411))</f>
        <v/>
      </c>
      <c r="AN1411" t="str">
        <f>IF('TMP Paste'!$F1411="","",IF('TMP Paste'!$O1411="",$AN1410,'TMP Paste'!$O1411))</f>
        <v/>
      </c>
      <c r="AO1411" t="str">
        <f>IF('TMP Paste'!$F1411="","",IF('TMP Paste'!$P1411="",$AO1410,'TMP Paste'!$P1411))</f>
        <v/>
      </c>
      <c r="AP1411" t="str">
        <f t="shared" si="137"/>
        <v/>
      </c>
      <c r="AQ1411" t="str">
        <f>IF($AS1411="","",TRIM(IF(COUNTIFS(Calc!$B$2:$B$1601,ROW()-1,Calc!$C$2:$C$1601,"&lt;1")&gt;0,"Ada PO tanpa Koli - cek TMP. ","")&amp;IF(OR($AU1411="",$AU1411&lt;=0),"Volume kosong/0 - dimensi dikosongkan. ","")&amp;IF(AND($AU1411&lt;&gt;"",$AU1411&gt;=1000000),"Volume &gt;= 1.000.000 cm3 (di luar aturan) - dimensi dikosongkan. ","")&amp;IF(LEN($R1411)&gt;500,"R &gt; 500 karakter.","")))</f>
        <v/>
      </c>
      <c r="AS1411" t="str">
        <f>IFERROR(MATCH(ROW()-1,Calc!$J$2:$J$1601,0),"")</f>
        <v/>
      </c>
      <c r="AT1411" t="str">
        <f>IFERROR(MATCH(ROW()-1,Calc!$K$2:$K$1601,0),"")</f>
        <v/>
      </c>
      <c r="AU1411" t="str">
        <f>IF($AS1411="","",IFERROR(INDEX('TMP Paste'!$D$2:$D$1601,$AS1411)*1000000/$AB1411,""))</f>
        <v/>
      </c>
    </row>
    <row r="1412" spans="1:47">
      <c r="A1412" t="str">
        <f>IF($AS1412="","",INDEX('TMP Paste'!$B$2:$B$1601,$AS1412))</f>
        <v/>
      </c>
      <c r="B1412" t="str">
        <f>IF($AS1412="","",Config!$B$14)</f>
        <v/>
      </c>
      <c r="C1412" t="str">
        <f>IF($AS1412="","",Config!$B$15)</f>
        <v/>
      </c>
      <c r="D1412" t="str">
        <f>IF($AS1412="","",INDEX('TMP Paste'!$B$2:$B$1601,$AS1412))</f>
        <v/>
      </c>
      <c r="E1412" t="str">
        <f>IF($AS1412="","",Config!$B$27)</f>
        <v/>
      </c>
      <c r="F1412" t="str">
        <f>IF($AS1412="","",Config!$B$9)</f>
        <v/>
      </c>
      <c r="G1412" t="str">
        <f>IF($AS1412="","",Config!$B$10)</f>
        <v/>
      </c>
      <c r="H1412" t="str">
        <f>IF($AS1412="","",Config!$B$11)</f>
        <v/>
      </c>
      <c r="I1412" t="str">
        <f>IF($AS1412="","",Config!$B$16)</f>
        <v/>
      </c>
      <c r="J1412" t="str">
        <f>IF($AS1412="","",INDEX('TMP Paste'!$A$2:$A$1601,$AS1412))</f>
        <v/>
      </c>
      <c r="K1412" t="str">
        <f>IF($AS1412="","",INDEX('TMP Paste'!$L$2:$L$1601,$AS1412))</f>
        <v/>
      </c>
      <c r="L1412" t="str">
        <f>IF($AS1412="","",INDEX('TMP Paste'!$I$2:$I$1601,$AS1412))</f>
        <v/>
      </c>
      <c r="M1412" t="str">
        <f>IF($AS1412="","",Config!$B$16)</f>
        <v/>
      </c>
      <c r="N1412" t="str">
        <f t="shared" si="132"/>
        <v/>
      </c>
      <c r="O1412" t="str">
        <f>IF($AS1412="","",INDEX('TMP Paste'!$K$2:$K$1601,$AS1412))</f>
        <v/>
      </c>
      <c r="P1412" t="str">
        <f t="shared" si="133"/>
        <v/>
      </c>
      <c r="Q1412" t="str">
        <f>IF($AS1412="","",INDEX('TMP Paste'!$J$2:$J$1601,$AS1412))</f>
        <v/>
      </c>
      <c r="R1412" t="str">
        <f>IF($AS1412="","",Config!$B$24)</f>
        <v/>
      </c>
      <c r="S1412" t="str">
        <f ca="1">IF($AS1412="","",TEXT(Config!$B$4,"yyyy-mm-dd"))</f>
        <v/>
      </c>
      <c r="T1412" t="str">
        <f>IF($AS1412="","",Config!$B$17)</f>
        <v/>
      </c>
      <c r="U1412" t="str">
        <f>IF($AS1412="","",Config!$B$18)</f>
        <v/>
      </c>
      <c r="V1412" t="str">
        <f>IF($AS1412="","",Config!$B$19)</f>
        <v/>
      </c>
      <c r="W1412" t="str">
        <f>IF($AS1412="","",INDEX('TMP Paste'!$C$2:$C$1601,$AS1412))</f>
        <v/>
      </c>
      <c r="X1412" t="str">
        <f>IF($AS1412="","",Config!$B$29)</f>
        <v/>
      </c>
      <c r="Y1412" t="str">
        <f>IF($AT1412="","",INDEX(Calc!$I$2:$I$1601,$AT1412)&amp;" - "&amp;INDEX(Calc!$D$2:$D$1601,$AT1412)&amp;" koli")</f>
        <v/>
      </c>
      <c r="Z1412" t="str">
        <f>IF($AS1412="","",Config!$B$21)</f>
        <v/>
      </c>
      <c r="AA1412" t="str">
        <f>IF($AS1412="","",Config!$B$22)</f>
        <v/>
      </c>
      <c r="AB1412" t="str">
        <f>IF($AT1412="","",INDEX(Calc!$D$2:$D$1601,$AT1412))</f>
        <v/>
      </c>
      <c r="AC1412" t="str">
        <f>IF($AT1412="","",INDEX(Calc!$G$2:$G$1601,$AT1412))</f>
        <v/>
      </c>
      <c r="AD1412" t="str">
        <f>IF($AS1412="","",Config!$B$23)</f>
        <v/>
      </c>
      <c r="AE1412" t="str">
        <f>IF($AS1412="","",Config!$B$28)</f>
        <v/>
      </c>
      <c r="AF1412" t="str">
        <f t="shared" si="134"/>
        <v/>
      </c>
      <c r="AG1412" t="str">
        <f t="shared" si="135"/>
        <v/>
      </c>
      <c r="AH1412" t="str">
        <f t="shared" si="136"/>
        <v/>
      </c>
      <c r="AI1412" t="str">
        <f>IF($AG1412="","",SUMIF($AG$2:$AG1412,$AG1412,$AH$2:$AH1412))</f>
        <v/>
      </c>
      <c r="AJ1412" t="str">
        <f>IF('TMP Paste'!$F1412="","",IF('TMP Paste'!$B1412="",$AJ1411,'TMP Paste'!$B1412))</f>
        <v/>
      </c>
      <c r="AK1412" t="str">
        <f>IF('TMP Paste'!$F1412="","",N('TMP Paste'!$G1412))</f>
        <v/>
      </c>
      <c r="AL1412" t="str">
        <f>IF('TMP Paste'!$F1412="","",IF('TMP Paste'!$M1412="",$AL1411,'TMP Paste'!$M1412))</f>
        <v/>
      </c>
      <c r="AM1412" t="str">
        <f>IF('TMP Paste'!$F1412="","",IF('TMP Paste'!$N1412="",$AM1411,'TMP Paste'!$N1412))</f>
        <v/>
      </c>
      <c r="AN1412" t="str">
        <f>IF('TMP Paste'!$F1412="","",IF('TMP Paste'!$O1412="",$AN1411,'TMP Paste'!$O1412))</f>
        <v/>
      </c>
      <c r="AO1412" t="str">
        <f>IF('TMP Paste'!$F1412="","",IF('TMP Paste'!$P1412="",$AO1411,'TMP Paste'!$P1412))</f>
        <v/>
      </c>
      <c r="AP1412" t="str">
        <f t="shared" si="137"/>
        <v/>
      </c>
      <c r="AQ1412" t="str">
        <f>IF($AS1412="","",TRIM(IF(COUNTIFS(Calc!$B$2:$B$1601,ROW()-1,Calc!$C$2:$C$1601,"&lt;1")&gt;0,"Ada PO tanpa Koli - cek TMP. ","")&amp;IF(OR($AU1412="",$AU1412&lt;=0),"Volume kosong/0 - dimensi dikosongkan. ","")&amp;IF(AND($AU1412&lt;&gt;"",$AU1412&gt;=1000000),"Volume &gt;= 1.000.000 cm3 (di luar aturan) - dimensi dikosongkan. ","")&amp;IF(LEN($R1412)&gt;500,"R &gt; 500 karakter.","")))</f>
        <v/>
      </c>
      <c r="AS1412" t="str">
        <f>IFERROR(MATCH(ROW()-1,Calc!$J$2:$J$1601,0),"")</f>
        <v/>
      </c>
      <c r="AT1412" t="str">
        <f>IFERROR(MATCH(ROW()-1,Calc!$K$2:$K$1601,0),"")</f>
        <v/>
      </c>
      <c r="AU1412" t="str">
        <f>IF($AS1412="","",IFERROR(INDEX('TMP Paste'!$D$2:$D$1601,$AS1412)*1000000/$AB1412,""))</f>
        <v/>
      </c>
    </row>
    <row r="1413" spans="1:47">
      <c r="A1413" t="str">
        <f>IF($AS1413="","",INDEX('TMP Paste'!$B$2:$B$1601,$AS1413))</f>
        <v/>
      </c>
      <c r="B1413" t="str">
        <f>IF($AS1413="","",Config!$B$14)</f>
        <v/>
      </c>
      <c r="C1413" t="str">
        <f>IF($AS1413="","",Config!$B$15)</f>
        <v/>
      </c>
      <c r="D1413" t="str">
        <f>IF($AS1413="","",INDEX('TMP Paste'!$B$2:$B$1601,$AS1413))</f>
        <v/>
      </c>
      <c r="E1413" t="str">
        <f>IF($AS1413="","",Config!$B$27)</f>
        <v/>
      </c>
      <c r="F1413" t="str">
        <f>IF($AS1413="","",Config!$B$9)</f>
        <v/>
      </c>
      <c r="G1413" t="str">
        <f>IF($AS1413="","",Config!$B$10)</f>
        <v/>
      </c>
      <c r="H1413" t="str">
        <f>IF($AS1413="","",Config!$B$11)</f>
        <v/>
      </c>
      <c r="I1413" t="str">
        <f>IF($AS1413="","",Config!$B$16)</f>
        <v/>
      </c>
      <c r="J1413" t="str">
        <f>IF($AS1413="","",INDEX('TMP Paste'!$A$2:$A$1601,$AS1413))</f>
        <v/>
      </c>
      <c r="K1413" t="str">
        <f>IF($AS1413="","",INDEX('TMP Paste'!$L$2:$L$1601,$AS1413))</f>
        <v/>
      </c>
      <c r="L1413" t="str">
        <f>IF($AS1413="","",INDEX('TMP Paste'!$I$2:$I$1601,$AS1413))</f>
        <v/>
      </c>
      <c r="M1413" t="str">
        <f>IF($AS1413="","",Config!$B$16)</f>
        <v/>
      </c>
      <c r="N1413" t="str">
        <f t="shared" si="132"/>
        <v/>
      </c>
      <c r="O1413" t="str">
        <f>IF($AS1413="","",INDEX('TMP Paste'!$K$2:$K$1601,$AS1413))</f>
        <v/>
      </c>
      <c r="P1413" t="str">
        <f t="shared" si="133"/>
        <v/>
      </c>
      <c r="Q1413" t="str">
        <f>IF($AS1413="","",INDEX('TMP Paste'!$J$2:$J$1601,$AS1413))</f>
        <v/>
      </c>
      <c r="R1413" t="str">
        <f>IF($AS1413="","",Config!$B$24)</f>
        <v/>
      </c>
      <c r="S1413" t="str">
        <f ca="1">IF($AS1413="","",TEXT(Config!$B$4,"yyyy-mm-dd"))</f>
        <v/>
      </c>
      <c r="T1413" t="str">
        <f>IF($AS1413="","",Config!$B$17)</f>
        <v/>
      </c>
      <c r="U1413" t="str">
        <f>IF($AS1413="","",Config!$B$18)</f>
        <v/>
      </c>
      <c r="V1413" t="str">
        <f>IF($AS1413="","",Config!$B$19)</f>
        <v/>
      </c>
      <c r="W1413" t="str">
        <f>IF($AS1413="","",INDEX('TMP Paste'!$C$2:$C$1601,$AS1413))</f>
        <v/>
      </c>
      <c r="X1413" t="str">
        <f>IF($AS1413="","",Config!$B$29)</f>
        <v/>
      </c>
      <c r="Y1413" t="str">
        <f>IF($AT1413="","",INDEX(Calc!$I$2:$I$1601,$AT1413)&amp;" - "&amp;INDEX(Calc!$D$2:$D$1601,$AT1413)&amp;" koli")</f>
        <v/>
      </c>
      <c r="Z1413" t="str">
        <f>IF($AS1413="","",Config!$B$21)</f>
        <v/>
      </c>
      <c r="AA1413" t="str">
        <f>IF($AS1413="","",Config!$B$22)</f>
        <v/>
      </c>
      <c r="AB1413" t="str">
        <f>IF($AT1413="","",INDEX(Calc!$D$2:$D$1601,$AT1413))</f>
        <v/>
      </c>
      <c r="AC1413" t="str">
        <f>IF($AT1413="","",INDEX(Calc!$G$2:$G$1601,$AT1413))</f>
        <v/>
      </c>
      <c r="AD1413" t="str">
        <f>IF($AS1413="","",Config!$B$23)</f>
        <v/>
      </c>
      <c r="AE1413" t="str">
        <f>IF($AS1413="","",Config!$B$28)</f>
        <v/>
      </c>
      <c r="AF1413" t="str">
        <f t="shared" si="134"/>
        <v/>
      </c>
      <c r="AG1413" t="str">
        <f t="shared" si="135"/>
        <v/>
      </c>
      <c r="AH1413" t="str">
        <f t="shared" si="136"/>
        <v/>
      </c>
      <c r="AI1413" t="str">
        <f>IF($AG1413="","",SUMIF($AG$2:$AG1413,$AG1413,$AH$2:$AH1413))</f>
        <v/>
      </c>
      <c r="AJ1413" t="str">
        <f>IF('TMP Paste'!$F1413="","",IF('TMP Paste'!$B1413="",$AJ1412,'TMP Paste'!$B1413))</f>
        <v/>
      </c>
      <c r="AK1413" t="str">
        <f>IF('TMP Paste'!$F1413="","",N('TMP Paste'!$G1413))</f>
        <v/>
      </c>
      <c r="AL1413" t="str">
        <f>IF('TMP Paste'!$F1413="","",IF('TMP Paste'!$M1413="",$AL1412,'TMP Paste'!$M1413))</f>
        <v/>
      </c>
      <c r="AM1413" t="str">
        <f>IF('TMP Paste'!$F1413="","",IF('TMP Paste'!$N1413="",$AM1412,'TMP Paste'!$N1413))</f>
        <v/>
      </c>
      <c r="AN1413" t="str">
        <f>IF('TMP Paste'!$F1413="","",IF('TMP Paste'!$O1413="",$AN1412,'TMP Paste'!$O1413))</f>
        <v/>
      </c>
      <c r="AO1413" t="str">
        <f>IF('TMP Paste'!$F1413="","",IF('TMP Paste'!$P1413="",$AO1412,'TMP Paste'!$P1413))</f>
        <v/>
      </c>
      <c r="AP1413" t="str">
        <f t="shared" si="137"/>
        <v/>
      </c>
      <c r="AQ1413" t="str">
        <f>IF($AS1413="","",TRIM(IF(COUNTIFS(Calc!$B$2:$B$1601,ROW()-1,Calc!$C$2:$C$1601,"&lt;1")&gt;0,"Ada PO tanpa Koli - cek TMP. ","")&amp;IF(OR($AU1413="",$AU1413&lt;=0),"Volume kosong/0 - dimensi dikosongkan. ","")&amp;IF(AND($AU1413&lt;&gt;"",$AU1413&gt;=1000000),"Volume &gt;= 1.000.000 cm3 (di luar aturan) - dimensi dikosongkan. ","")&amp;IF(LEN($R1413)&gt;500,"R &gt; 500 karakter.","")))</f>
        <v/>
      </c>
      <c r="AS1413" t="str">
        <f>IFERROR(MATCH(ROW()-1,Calc!$J$2:$J$1601,0),"")</f>
        <v/>
      </c>
      <c r="AT1413" t="str">
        <f>IFERROR(MATCH(ROW()-1,Calc!$K$2:$K$1601,0),"")</f>
        <v/>
      </c>
      <c r="AU1413" t="str">
        <f>IF($AS1413="","",IFERROR(INDEX('TMP Paste'!$D$2:$D$1601,$AS1413)*1000000/$AB1413,""))</f>
        <v/>
      </c>
    </row>
    <row r="1414" spans="1:47">
      <c r="A1414" t="str">
        <f>IF($AS1414="","",INDEX('TMP Paste'!$B$2:$B$1601,$AS1414))</f>
        <v/>
      </c>
      <c r="B1414" t="str">
        <f>IF($AS1414="","",Config!$B$14)</f>
        <v/>
      </c>
      <c r="C1414" t="str">
        <f>IF($AS1414="","",Config!$B$15)</f>
        <v/>
      </c>
      <c r="D1414" t="str">
        <f>IF($AS1414="","",INDEX('TMP Paste'!$B$2:$B$1601,$AS1414))</f>
        <v/>
      </c>
      <c r="E1414" t="str">
        <f>IF($AS1414="","",Config!$B$27)</f>
        <v/>
      </c>
      <c r="F1414" t="str">
        <f>IF($AS1414="","",Config!$B$9)</f>
        <v/>
      </c>
      <c r="G1414" t="str">
        <f>IF($AS1414="","",Config!$B$10)</f>
        <v/>
      </c>
      <c r="H1414" t="str">
        <f>IF($AS1414="","",Config!$B$11)</f>
        <v/>
      </c>
      <c r="I1414" t="str">
        <f>IF($AS1414="","",Config!$B$16)</f>
        <v/>
      </c>
      <c r="J1414" t="str">
        <f>IF($AS1414="","",INDEX('TMP Paste'!$A$2:$A$1601,$AS1414))</f>
        <v/>
      </c>
      <c r="K1414" t="str">
        <f>IF($AS1414="","",INDEX('TMP Paste'!$L$2:$L$1601,$AS1414))</f>
        <v/>
      </c>
      <c r="L1414" t="str">
        <f>IF($AS1414="","",INDEX('TMP Paste'!$I$2:$I$1601,$AS1414))</f>
        <v/>
      </c>
      <c r="M1414" t="str">
        <f>IF($AS1414="","",Config!$B$16)</f>
        <v/>
      </c>
      <c r="N1414" t="str">
        <f t="shared" si="132"/>
        <v/>
      </c>
      <c r="O1414" t="str">
        <f>IF($AS1414="","",INDEX('TMP Paste'!$K$2:$K$1601,$AS1414))</f>
        <v/>
      </c>
      <c r="P1414" t="str">
        <f t="shared" si="133"/>
        <v/>
      </c>
      <c r="Q1414" t="str">
        <f>IF($AS1414="","",INDEX('TMP Paste'!$J$2:$J$1601,$AS1414))</f>
        <v/>
      </c>
      <c r="R1414" t="str">
        <f>IF($AS1414="","",Config!$B$24)</f>
        <v/>
      </c>
      <c r="S1414" t="str">
        <f ca="1">IF($AS1414="","",TEXT(Config!$B$4,"yyyy-mm-dd"))</f>
        <v/>
      </c>
      <c r="T1414" t="str">
        <f>IF($AS1414="","",Config!$B$17)</f>
        <v/>
      </c>
      <c r="U1414" t="str">
        <f>IF($AS1414="","",Config!$B$18)</f>
        <v/>
      </c>
      <c r="V1414" t="str">
        <f>IF($AS1414="","",Config!$B$19)</f>
        <v/>
      </c>
      <c r="W1414" t="str">
        <f>IF($AS1414="","",INDEX('TMP Paste'!$C$2:$C$1601,$AS1414))</f>
        <v/>
      </c>
      <c r="X1414" t="str">
        <f>IF($AS1414="","",Config!$B$29)</f>
        <v/>
      </c>
      <c r="Y1414" t="str">
        <f>IF($AT1414="","",INDEX(Calc!$I$2:$I$1601,$AT1414)&amp;" - "&amp;INDEX(Calc!$D$2:$D$1601,$AT1414)&amp;" koli")</f>
        <v/>
      </c>
      <c r="Z1414" t="str">
        <f>IF($AS1414="","",Config!$B$21)</f>
        <v/>
      </c>
      <c r="AA1414" t="str">
        <f>IF($AS1414="","",Config!$B$22)</f>
        <v/>
      </c>
      <c r="AB1414" t="str">
        <f>IF($AT1414="","",INDEX(Calc!$D$2:$D$1601,$AT1414))</f>
        <v/>
      </c>
      <c r="AC1414" t="str">
        <f>IF($AT1414="","",INDEX(Calc!$G$2:$G$1601,$AT1414))</f>
        <v/>
      </c>
      <c r="AD1414" t="str">
        <f>IF($AS1414="","",Config!$B$23)</f>
        <v/>
      </c>
      <c r="AE1414" t="str">
        <f>IF($AS1414="","",Config!$B$28)</f>
        <v/>
      </c>
      <c r="AF1414" t="str">
        <f t="shared" si="134"/>
        <v/>
      </c>
      <c r="AG1414" t="str">
        <f t="shared" si="135"/>
        <v/>
      </c>
      <c r="AH1414" t="str">
        <f t="shared" si="136"/>
        <v/>
      </c>
      <c r="AI1414" t="str">
        <f>IF($AG1414="","",SUMIF($AG$2:$AG1414,$AG1414,$AH$2:$AH1414))</f>
        <v/>
      </c>
      <c r="AJ1414" t="str">
        <f>IF('TMP Paste'!$F1414="","",IF('TMP Paste'!$B1414="",$AJ1413,'TMP Paste'!$B1414))</f>
        <v/>
      </c>
      <c r="AK1414" t="str">
        <f>IF('TMP Paste'!$F1414="","",N('TMP Paste'!$G1414))</f>
        <v/>
      </c>
      <c r="AL1414" t="str">
        <f>IF('TMP Paste'!$F1414="","",IF('TMP Paste'!$M1414="",$AL1413,'TMP Paste'!$M1414))</f>
        <v/>
      </c>
      <c r="AM1414" t="str">
        <f>IF('TMP Paste'!$F1414="","",IF('TMP Paste'!$N1414="",$AM1413,'TMP Paste'!$N1414))</f>
        <v/>
      </c>
      <c r="AN1414" t="str">
        <f>IF('TMP Paste'!$F1414="","",IF('TMP Paste'!$O1414="",$AN1413,'TMP Paste'!$O1414))</f>
        <v/>
      </c>
      <c r="AO1414" t="str">
        <f>IF('TMP Paste'!$F1414="","",IF('TMP Paste'!$P1414="",$AO1413,'TMP Paste'!$P1414))</f>
        <v/>
      </c>
      <c r="AP1414" t="str">
        <f t="shared" si="137"/>
        <v/>
      </c>
      <c r="AQ1414" t="str">
        <f>IF($AS1414="","",TRIM(IF(COUNTIFS(Calc!$B$2:$B$1601,ROW()-1,Calc!$C$2:$C$1601,"&lt;1")&gt;0,"Ada PO tanpa Koli - cek TMP. ","")&amp;IF(OR($AU1414="",$AU1414&lt;=0),"Volume kosong/0 - dimensi dikosongkan. ","")&amp;IF(AND($AU1414&lt;&gt;"",$AU1414&gt;=1000000),"Volume &gt;= 1.000.000 cm3 (di luar aturan) - dimensi dikosongkan. ","")&amp;IF(LEN($R1414)&gt;500,"R &gt; 500 karakter.","")))</f>
        <v/>
      </c>
      <c r="AS1414" t="str">
        <f>IFERROR(MATCH(ROW()-1,Calc!$J$2:$J$1601,0),"")</f>
        <v/>
      </c>
      <c r="AT1414" t="str">
        <f>IFERROR(MATCH(ROW()-1,Calc!$K$2:$K$1601,0),"")</f>
        <v/>
      </c>
      <c r="AU1414" t="str">
        <f>IF($AS1414="","",IFERROR(INDEX('TMP Paste'!$D$2:$D$1601,$AS1414)*1000000/$AB1414,""))</f>
        <v/>
      </c>
    </row>
    <row r="1415" spans="1:47">
      <c r="A1415" t="str">
        <f>IF($AS1415="","",INDEX('TMP Paste'!$B$2:$B$1601,$AS1415))</f>
        <v/>
      </c>
      <c r="B1415" t="str">
        <f>IF($AS1415="","",Config!$B$14)</f>
        <v/>
      </c>
      <c r="C1415" t="str">
        <f>IF($AS1415="","",Config!$B$15)</f>
        <v/>
      </c>
      <c r="D1415" t="str">
        <f>IF($AS1415="","",INDEX('TMP Paste'!$B$2:$B$1601,$AS1415))</f>
        <v/>
      </c>
      <c r="E1415" t="str">
        <f>IF($AS1415="","",Config!$B$27)</f>
        <v/>
      </c>
      <c r="F1415" t="str">
        <f>IF($AS1415="","",Config!$B$9)</f>
        <v/>
      </c>
      <c r="G1415" t="str">
        <f>IF($AS1415="","",Config!$B$10)</f>
        <v/>
      </c>
      <c r="H1415" t="str">
        <f>IF($AS1415="","",Config!$B$11)</f>
        <v/>
      </c>
      <c r="I1415" t="str">
        <f>IF($AS1415="","",Config!$B$16)</f>
        <v/>
      </c>
      <c r="J1415" t="str">
        <f>IF($AS1415="","",INDEX('TMP Paste'!$A$2:$A$1601,$AS1415))</f>
        <v/>
      </c>
      <c r="K1415" t="str">
        <f>IF($AS1415="","",INDEX('TMP Paste'!$L$2:$L$1601,$AS1415))</f>
        <v/>
      </c>
      <c r="L1415" t="str">
        <f>IF($AS1415="","",INDEX('TMP Paste'!$I$2:$I$1601,$AS1415))</f>
        <v/>
      </c>
      <c r="M1415" t="str">
        <f>IF($AS1415="","",Config!$B$16)</f>
        <v/>
      </c>
      <c r="N1415" t="str">
        <f t="shared" si="132"/>
        <v/>
      </c>
      <c r="O1415" t="str">
        <f>IF($AS1415="","",INDEX('TMP Paste'!$K$2:$K$1601,$AS1415))</f>
        <v/>
      </c>
      <c r="P1415" t="str">
        <f t="shared" si="133"/>
        <v/>
      </c>
      <c r="Q1415" t="str">
        <f>IF($AS1415="","",INDEX('TMP Paste'!$J$2:$J$1601,$AS1415))</f>
        <v/>
      </c>
      <c r="R1415" t="str">
        <f>IF($AS1415="","",Config!$B$24)</f>
        <v/>
      </c>
      <c r="S1415" t="str">
        <f ca="1">IF($AS1415="","",TEXT(Config!$B$4,"yyyy-mm-dd"))</f>
        <v/>
      </c>
      <c r="T1415" t="str">
        <f>IF($AS1415="","",Config!$B$17)</f>
        <v/>
      </c>
      <c r="U1415" t="str">
        <f>IF($AS1415="","",Config!$B$18)</f>
        <v/>
      </c>
      <c r="V1415" t="str">
        <f>IF($AS1415="","",Config!$B$19)</f>
        <v/>
      </c>
      <c r="W1415" t="str">
        <f>IF($AS1415="","",INDEX('TMP Paste'!$C$2:$C$1601,$AS1415))</f>
        <v/>
      </c>
      <c r="X1415" t="str">
        <f>IF($AS1415="","",Config!$B$29)</f>
        <v/>
      </c>
      <c r="Y1415" t="str">
        <f>IF($AT1415="","",INDEX(Calc!$I$2:$I$1601,$AT1415)&amp;" - "&amp;INDEX(Calc!$D$2:$D$1601,$AT1415)&amp;" koli")</f>
        <v/>
      </c>
      <c r="Z1415" t="str">
        <f>IF($AS1415="","",Config!$B$21)</f>
        <v/>
      </c>
      <c r="AA1415" t="str">
        <f>IF($AS1415="","",Config!$B$22)</f>
        <v/>
      </c>
      <c r="AB1415" t="str">
        <f>IF($AT1415="","",INDEX(Calc!$D$2:$D$1601,$AT1415))</f>
        <v/>
      </c>
      <c r="AC1415" t="str">
        <f>IF($AT1415="","",INDEX(Calc!$G$2:$G$1601,$AT1415))</f>
        <v/>
      </c>
      <c r="AD1415" t="str">
        <f>IF($AS1415="","",Config!$B$23)</f>
        <v/>
      </c>
      <c r="AE1415" t="str">
        <f>IF($AS1415="","",Config!$B$28)</f>
        <v/>
      </c>
      <c r="AF1415" t="str">
        <f t="shared" si="134"/>
        <v/>
      </c>
      <c r="AG1415" t="str">
        <f t="shared" si="135"/>
        <v/>
      </c>
      <c r="AH1415" t="str">
        <f t="shared" si="136"/>
        <v/>
      </c>
      <c r="AI1415" t="str">
        <f>IF($AG1415="","",SUMIF($AG$2:$AG1415,$AG1415,$AH$2:$AH1415))</f>
        <v/>
      </c>
      <c r="AJ1415" t="str">
        <f>IF('TMP Paste'!$F1415="","",IF('TMP Paste'!$B1415="",$AJ1414,'TMP Paste'!$B1415))</f>
        <v/>
      </c>
      <c r="AK1415" t="str">
        <f>IF('TMP Paste'!$F1415="","",N('TMP Paste'!$G1415))</f>
        <v/>
      </c>
      <c r="AL1415" t="str">
        <f>IF('TMP Paste'!$F1415="","",IF('TMP Paste'!$M1415="",$AL1414,'TMP Paste'!$M1415))</f>
        <v/>
      </c>
      <c r="AM1415" t="str">
        <f>IF('TMP Paste'!$F1415="","",IF('TMP Paste'!$N1415="",$AM1414,'TMP Paste'!$N1415))</f>
        <v/>
      </c>
      <c r="AN1415" t="str">
        <f>IF('TMP Paste'!$F1415="","",IF('TMP Paste'!$O1415="",$AN1414,'TMP Paste'!$O1415))</f>
        <v/>
      </c>
      <c r="AO1415" t="str">
        <f>IF('TMP Paste'!$F1415="","",IF('TMP Paste'!$P1415="",$AO1414,'TMP Paste'!$P1415))</f>
        <v/>
      </c>
      <c r="AP1415" t="str">
        <f t="shared" si="137"/>
        <v/>
      </c>
      <c r="AQ1415" t="str">
        <f>IF($AS1415="","",TRIM(IF(COUNTIFS(Calc!$B$2:$B$1601,ROW()-1,Calc!$C$2:$C$1601,"&lt;1")&gt;0,"Ada PO tanpa Koli - cek TMP. ","")&amp;IF(OR($AU1415="",$AU1415&lt;=0),"Volume kosong/0 - dimensi dikosongkan. ","")&amp;IF(AND($AU1415&lt;&gt;"",$AU1415&gt;=1000000),"Volume &gt;= 1.000.000 cm3 (di luar aturan) - dimensi dikosongkan. ","")&amp;IF(LEN($R1415)&gt;500,"R &gt; 500 karakter.","")))</f>
        <v/>
      </c>
      <c r="AS1415" t="str">
        <f>IFERROR(MATCH(ROW()-1,Calc!$J$2:$J$1601,0),"")</f>
        <v/>
      </c>
      <c r="AT1415" t="str">
        <f>IFERROR(MATCH(ROW()-1,Calc!$K$2:$K$1601,0),"")</f>
        <v/>
      </c>
      <c r="AU1415" t="str">
        <f>IF($AS1415="","",IFERROR(INDEX('TMP Paste'!$D$2:$D$1601,$AS1415)*1000000/$AB1415,""))</f>
        <v/>
      </c>
    </row>
    <row r="1416" spans="1:47">
      <c r="A1416" t="str">
        <f>IF($AS1416="","",INDEX('TMP Paste'!$B$2:$B$1601,$AS1416))</f>
        <v/>
      </c>
      <c r="B1416" t="str">
        <f>IF($AS1416="","",Config!$B$14)</f>
        <v/>
      </c>
      <c r="C1416" t="str">
        <f>IF($AS1416="","",Config!$B$15)</f>
        <v/>
      </c>
      <c r="D1416" t="str">
        <f>IF($AS1416="","",INDEX('TMP Paste'!$B$2:$B$1601,$AS1416))</f>
        <v/>
      </c>
      <c r="E1416" t="str">
        <f>IF($AS1416="","",Config!$B$27)</f>
        <v/>
      </c>
      <c r="F1416" t="str">
        <f>IF($AS1416="","",Config!$B$9)</f>
        <v/>
      </c>
      <c r="G1416" t="str">
        <f>IF($AS1416="","",Config!$B$10)</f>
        <v/>
      </c>
      <c r="H1416" t="str">
        <f>IF($AS1416="","",Config!$B$11)</f>
        <v/>
      </c>
      <c r="I1416" t="str">
        <f>IF($AS1416="","",Config!$B$16)</f>
        <v/>
      </c>
      <c r="J1416" t="str">
        <f>IF($AS1416="","",INDEX('TMP Paste'!$A$2:$A$1601,$AS1416))</f>
        <v/>
      </c>
      <c r="K1416" t="str">
        <f>IF($AS1416="","",INDEX('TMP Paste'!$L$2:$L$1601,$AS1416))</f>
        <v/>
      </c>
      <c r="L1416" t="str">
        <f>IF($AS1416="","",INDEX('TMP Paste'!$I$2:$I$1601,$AS1416))</f>
        <v/>
      </c>
      <c r="M1416" t="str">
        <f>IF($AS1416="","",Config!$B$16)</f>
        <v/>
      </c>
      <c r="N1416" t="str">
        <f t="shared" si="132"/>
        <v/>
      </c>
      <c r="O1416" t="str">
        <f>IF($AS1416="","",INDEX('TMP Paste'!$K$2:$K$1601,$AS1416))</f>
        <v/>
      </c>
      <c r="P1416" t="str">
        <f t="shared" si="133"/>
        <v/>
      </c>
      <c r="Q1416" t="str">
        <f>IF($AS1416="","",INDEX('TMP Paste'!$J$2:$J$1601,$AS1416))</f>
        <v/>
      </c>
      <c r="R1416" t="str">
        <f>IF($AS1416="","",Config!$B$24)</f>
        <v/>
      </c>
      <c r="S1416" t="str">
        <f ca="1">IF($AS1416="","",TEXT(Config!$B$4,"yyyy-mm-dd"))</f>
        <v/>
      </c>
      <c r="T1416" t="str">
        <f>IF($AS1416="","",Config!$B$17)</f>
        <v/>
      </c>
      <c r="U1416" t="str">
        <f>IF($AS1416="","",Config!$B$18)</f>
        <v/>
      </c>
      <c r="V1416" t="str">
        <f>IF($AS1416="","",Config!$B$19)</f>
        <v/>
      </c>
      <c r="W1416" t="str">
        <f>IF($AS1416="","",INDEX('TMP Paste'!$C$2:$C$1601,$AS1416))</f>
        <v/>
      </c>
      <c r="X1416" t="str">
        <f>IF($AS1416="","",Config!$B$29)</f>
        <v/>
      </c>
      <c r="Y1416" t="str">
        <f>IF($AT1416="","",INDEX(Calc!$I$2:$I$1601,$AT1416)&amp;" - "&amp;INDEX(Calc!$D$2:$D$1601,$AT1416)&amp;" koli")</f>
        <v/>
      </c>
      <c r="Z1416" t="str">
        <f>IF($AS1416="","",Config!$B$21)</f>
        <v/>
      </c>
      <c r="AA1416" t="str">
        <f>IF($AS1416="","",Config!$B$22)</f>
        <v/>
      </c>
      <c r="AB1416" t="str">
        <f>IF($AT1416="","",INDEX(Calc!$D$2:$D$1601,$AT1416))</f>
        <v/>
      </c>
      <c r="AC1416" t="str">
        <f>IF($AT1416="","",INDEX(Calc!$G$2:$G$1601,$AT1416))</f>
        <v/>
      </c>
      <c r="AD1416" t="str">
        <f>IF($AS1416="","",Config!$B$23)</f>
        <v/>
      </c>
      <c r="AE1416" t="str">
        <f>IF($AS1416="","",Config!$B$28)</f>
        <v/>
      </c>
      <c r="AF1416" t="str">
        <f t="shared" si="134"/>
        <v/>
      </c>
      <c r="AG1416" t="str">
        <f t="shared" si="135"/>
        <v/>
      </c>
      <c r="AH1416" t="str">
        <f t="shared" si="136"/>
        <v/>
      </c>
      <c r="AI1416" t="str">
        <f>IF($AG1416="","",SUMIF($AG$2:$AG1416,$AG1416,$AH$2:$AH1416))</f>
        <v/>
      </c>
      <c r="AJ1416" t="str">
        <f>IF('TMP Paste'!$F1416="","",IF('TMP Paste'!$B1416="",$AJ1415,'TMP Paste'!$B1416))</f>
        <v/>
      </c>
      <c r="AK1416" t="str">
        <f>IF('TMP Paste'!$F1416="","",N('TMP Paste'!$G1416))</f>
        <v/>
      </c>
      <c r="AL1416" t="str">
        <f>IF('TMP Paste'!$F1416="","",IF('TMP Paste'!$M1416="",$AL1415,'TMP Paste'!$M1416))</f>
        <v/>
      </c>
      <c r="AM1416" t="str">
        <f>IF('TMP Paste'!$F1416="","",IF('TMP Paste'!$N1416="",$AM1415,'TMP Paste'!$N1416))</f>
        <v/>
      </c>
      <c r="AN1416" t="str">
        <f>IF('TMP Paste'!$F1416="","",IF('TMP Paste'!$O1416="",$AN1415,'TMP Paste'!$O1416))</f>
        <v/>
      </c>
      <c r="AO1416" t="str">
        <f>IF('TMP Paste'!$F1416="","",IF('TMP Paste'!$P1416="",$AO1415,'TMP Paste'!$P1416))</f>
        <v/>
      </c>
      <c r="AP1416" t="str">
        <f t="shared" si="137"/>
        <v/>
      </c>
      <c r="AQ1416" t="str">
        <f>IF($AS1416="","",TRIM(IF(COUNTIFS(Calc!$B$2:$B$1601,ROW()-1,Calc!$C$2:$C$1601,"&lt;1")&gt;0,"Ada PO tanpa Koli - cek TMP. ","")&amp;IF(OR($AU1416="",$AU1416&lt;=0),"Volume kosong/0 - dimensi dikosongkan. ","")&amp;IF(AND($AU1416&lt;&gt;"",$AU1416&gt;=1000000),"Volume &gt;= 1.000.000 cm3 (di luar aturan) - dimensi dikosongkan. ","")&amp;IF(LEN($R1416)&gt;500,"R &gt; 500 karakter.","")))</f>
        <v/>
      </c>
      <c r="AS1416" t="str">
        <f>IFERROR(MATCH(ROW()-1,Calc!$J$2:$J$1601,0),"")</f>
        <v/>
      </c>
      <c r="AT1416" t="str">
        <f>IFERROR(MATCH(ROW()-1,Calc!$K$2:$K$1601,0),"")</f>
        <v/>
      </c>
      <c r="AU1416" t="str">
        <f>IF($AS1416="","",IFERROR(INDEX('TMP Paste'!$D$2:$D$1601,$AS1416)*1000000/$AB1416,""))</f>
        <v/>
      </c>
    </row>
    <row r="1417" spans="1:47">
      <c r="A1417" t="str">
        <f>IF($AS1417="","",INDEX('TMP Paste'!$B$2:$B$1601,$AS1417))</f>
        <v/>
      </c>
      <c r="B1417" t="str">
        <f>IF($AS1417="","",Config!$B$14)</f>
        <v/>
      </c>
      <c r="C1417" t="str">
        <f>IF($AS1417="","",Config!$B$15)</f>
        <v/>
      </c>
      <c r="D1417" t="str">
        <f>IF($AS1417="","",INDEX('TMP Paste'!$B$2:$B$1601,$AS1417))</f>
        <v/>
      </c>
      <c r="E1417" t="str">
        <f>IF($AS1417="","",Config!$B$27)</f>
        <v/>
      </c>
      <c r="F1417" t="str">
        <f>IF($AS1417="","",Config!$B$9)</f>
        <v/>
      </c>
      <c r="G1417" t="str">
        <f>IF($AS1417="","",Config!$B$10)</f>
        <v/>
      </c>
      <c r="H1417" t="str">
        <f>IF($AS1417="","",Config!$B$11)</f>
        <v/>
      </c>
      <c r="I1417" t="str">
        <f>IF($AS1417="","",Config!$B$16)</f>
        <v/>
      </c>
      <c r="J1417" t="str">
        <f>IF($AS1417="","",INDEX('TMP Paste'!$A$2:$A$1601,$AS1417))</f>
        <v/>
      </c>
      <c r="K1417" t="str">
        <f>IF($AS1417="","",INDEX('TMP Paste'!$L$2:$L$1601,$AS1417))</f>
        <v/>
      </c>
      <c r="L1417" t="str">
        <f>IF($AS1417="","",INDEX('TMP Paste'!$I$2:$I$1601,$AS1417))</f>
        <v/>
      </c>
      <c r="M1417" t="str">
        <f>IF($AS1417="","",Config!$B$16)</f>
        <v/>
      </c>
      <c r="N1417" t="str">
        <f t="shared" si="132"/>
        <v/>
      </c>
      <c r="O1417" t="str">
        <f>IF($AS1417="","",INDEX('TMP Paste'!$K$2:$K$1601,$AS1417))</f>
        <v/>
      </c>
      <c r="P1417" t="str">
        <f t="shared" si="133"/>
        <v/>
      </c>
      <c r="Q1417" t="str">
        <f>IF($AS1417="","",INDEX('TMP Paste'!$J$2:$J$1601,$AS1417))</f>
        <v/>
      </c>
      <c r="R1417" t="str">
        <f>IF($AS1417="","",Config!$B$24)</f>
        <v/>
      </c>
      <c r="S1417" t="str">
        <f ca="1">IF($AS1417="","",TEXT(Config!$B$4,"yyyy-mm-dd"))</f>
        <v/>
      </c>
      <c r="T1417" t="str">
        <f>IF($AS1417="","",Config!$B$17)</f>
        <v/>
      </c>
      <c r="U1417" t="str">
        <f>IF($AS1417="","",Config!$B$18)</f>
        <v/>
      </c>
      <c r="V1417" t="str">
        <f>IF($AS1417="","",Config!$B$19)</f>
        <v/>
      </c>
      <c r="W1417" t="str">
        <f>IF($AS1417="","",INDEX('TMP Paste'!$C$2:$C$1601,$AS1417))</f>
        <v/>
      </c>
      <c r="X1417" t="str">
        <f>IF($AS1417="","",Config!$B$29)</f>
        <v/>
      </c>
      <c r="Y1417" t="str">
        <f>IF($AT1417="","",INDEX(Calc!$I$2:$I$1601,$AT1417)&amp;" - "&amp;INDEX(Calc!$D$2:$D$1601,$AT1417)&amp;" koli")</f>
        <v/>
      </c>
      <c r="Z1417" t="str">
        <f>IF($AS1417="","",Config!$B$21)</f>
        <v/>
      </c>
      <c r="AA1417" t="str">
        <f>IF($AS1417="","",Config!$B$22)</f>
        <v/>
      </c>
      <c r="AB1417" t="str">
        <f>IF($AT1417="","",INDEX(Calc!$D$2:$D$1601,$AT1417))</f>
        <v/>
      </c>
      <c r="AC1417" t="str">
        <f>IF($AT1417="","",INDEX(Calc!$G$2:$G$1601,$AT1417))</f>
        <v/>
      </c>
      <c r="AD1417" t="str">
        <f>IF($AS1417="","",Config!$B$23)</f>
        <v/>
      </c>
      <c r="AE1417" t="str">
        <f>IF($AS1417="","",Config!$B$28)</f>
        <v/>
      </c>
      <c r="AF1417" t="str">
        <f t="shared" si="134"/>
        <v/>
      </c>
      <c r="AG1417" t="str">
        <f t="shared" si="135"/>
        <v/>
      </c>
      <c r="AH1417" t="str">
        <f t="shared" si="136"/>
        <v/>
      </c>
      <c r="AI1417" t="str">
        <f>IF($AG1417="","",SUMIF($AG$2:$AG1417,$AG1417,$AH$2:$AH1417))</f>
        <v/>
      </c>
      <c r="AJ1417" t="str">
        <f>IF('TMP Paste'!$F1417="","",IF('TMP Paste'!$B1417="",$AJ1416,'TMP Paste'!$B1417))</f>
        <v/>
      </c>
      <c r="AK1417" t="str">
        <f>IF('TMP Paste'!$F1417="","",N('TMP Paste'!$G1417))</f>
        <v/>
      </c>
      <c r="AL1417" t="str">
        <f>IF('TMP Paste'!$F1417="","",IF('TMP Paste'!$M1417="",$AL1416,'TMP Paste'!$M1417))</f>
        <v/>
      </c>
      <c r="AM1417" t="str">
        <f>IF('TMP Paste'!$F1417="","",IF('TMP Paste'!$N1417="",$AM1416,'TMP Paste'!$N1417))</f>
        <v/>
      </c>
      <c r="AN1417" t="str">
        <f>IF('TMP Paste'!$F1417="","",IF('TMP Paste'!$O1417="",$AN1416,'TMP Paste'!$O1417))</f>
        <v/>
      </c>
      <c r="AO1417" t="str">
        <f>IF('TMP Paste'!$F1417="","",IF('TMP Paste'!$P1417="",$AO1416,'TMP Paste'!$P1417))</f>
        <v/>
      </c>
      <c r="AP1417" t="str">
        <f t="shared" si="137"/>
        <v/>
      </c>
      <c r="AQ1417" t="str">
        <f>IF($AS1417="","",TRIM(IF(COUNTIFS(Calc!$B$2:$B$1601,ROW()-1,Calc!$C$2:$C$1601,"&lt;1")&gt;0,"Ada PO tanpa Koli - cek TMP. ","")&amp;IF(OR($AU1417="",$AU1417&lt;=0),"Volume kosong/0 - dimensi dikosongkan. ","")&amp;IF(AND($AU1417&lt;&gt;"",$AU1417&gt;=1000000),"Volume &gt;= 1.000.000 cm3 (di luar aturan) - dimensi dikosongkan. ","")&amp;IF(LEN($R1417)&gt;500,"R &gt; 500 karakter.","")))</f>
        <v/>
      </c>
      <c r="AS1417" t="str">
        <f>IFERROR(MATCH(ROW()-1,Calc!$J$2:$J$1601,0),"")</f>
        <v/>
      </c>
      <c r="AT1417" t="str">
        <f>IFERROR(MATCH(ROW()-1,Calc!$K$2:$K$1601,0),"")</f>
        <v/>
      </c>
      <c r="AU1417" t="str">
        <f>IF($AS1417="","",IFERROR(INDEX('TMP Paste'!$D$2:$D$1601,$AS1417)*1000000/$AB1417,""))</f>
        <v/>
      </c>
    </row>
    <row r="1418" spans="1:47">
      <c r="A1418" t="str">
        <f>IF($AS1418="","",INDEX('TMP Paste'!$B$2:$B$1601,$AS1418))</f>
        <v/>
      </c>
      <c r="B1418" t="str">
        <f>IF($AS1418="","",Config!$B$14)</f>
        <v/>
      </c>
      <c r="C1418" t="str">
        <f>IF($AS1418="","",Config!$B$15)</f>
        <v/>
      </c>
      <c r="D1418" t="str">
        <f>IF($AS1418="","",INDEX('TMP Paste'!$B$2:$B$1601,$AS1418))</f>
        <v/>
      </c>
      <c r="E1418" t="str">
        <f>IF($AS1418="","",Config!$B$27)</f>
        <v/>
      </c>
      <c r="F1418" t="str">
        <f>IF($AS1418="","",Config!$B$9)</f>
        <v/>
      </c>
      <c r="G1418" t="str">
        <f>IF($AS1418="","",Config!$B$10)</f>
        <v/>
      </c>
      <c r="H1418" t="str">
        <f>IF($AS1418="","",Config!$B$11)</f>
        <v/>
      </c>
      <c r="I1418" t="str">
        <f>IF($AS1418="","",Config!$B$16)</f>
        <v/>
      </c>
      <c r="J1418" t="str">
        <f>IF($AS1418="","",INDEX('TMP Paste'!$A$2:$A$1601,$AS1418))</f>
        <v/>
      </c>
      <c r="K1418" t="str">
        <f>IF($AS1418="","",INDEX('TMP Paste'!$L$2:$L$1601,$AS1418))</f>
        <v/>
      </c>
      <c r="L1418" t="str">
        <f>IF($AS1418="","",INDEX('TMP Paste'!$I$2:$I$1601,$AS1418))</f>
        <v/>
      </c>
      <c r="M1418" t="str">
        <f>IF($AS1418="","",Config!$B$16)</f>
        <v/>
      </c>
      <c r="N1418" t="str">
        <f t="shared" si="132"/>
        <v/>
      </c>
      <c r="O1418" t="str">
        <f>IF($AS1418="","",INDEX('TMP Paste'!$K$2:$K$1601,$AS1418))</f>
        <v/>
      </c>
      <c r="P1418" t="str">
        <f t="shared" si="133"/>
        <v/>
      </c>
      <c r="Q1418" t="str">
        <f>IF($AS1418="","",INDEX('TMP Paste'!$J$2:$J$1601,$AS1418))</f>
        <v/>
      </c>
      <c r="R1418" t="str">
        <f>IF($AS1418="","",Config!$B$24)</f>
        <v/>
      </c>
      <c r="S1418" t="str">
        <f ca="1">IF($AS1418="","",TEXT(Config!$B$4,"yyyy-mm-dd"))</f>
        <v/>
      </c>
      <c r="T1418" t="str">
        <f>IF($AS1418="","",Config!$B$17)</f>
        <v/>
      </c>
      <c r="U1418" t="str">
        <f>IF($AS1418="","",Config!$B$18)</f>
        <v/>
      </c>
      <c r="V1418" t="str">
        <f>IF($AS1418="","",Config!$B$19)</f>
        <v/>
      </c>
      <c r="W1418" t="str">
        <f>IF($AS1418="","",INDEX('TMP Paste'!$C$2:$C$1601,$AS1418))</f>
        <v/>
      </c>
      <c r="X1418" t="str">
        <f>IF($AS1418="","",Config!$B$29)</f>
        <v/>
      </c>
      <c r="Y1418" t="str">
        <f>IF($AT1418="","",INDEX(Calc!$I$2:$I$1601,$AT1418)&amp;" - "&amp;INDEX(Calc!$D$2:$D$1601,$AT1418)&amp;" koli")</f>
        <v/>
      </c>
      <c r="Z1418" t="str">
        <f>IF($AS1418="","",Config!$B$21)</f>
        <v/>
      </c>
      <c r="AA1418" t="str">
        <f>IF($AS1418="","",Config!$B$22)</f>
        <v/>
      </c>
      <c r="AB1418" t="str">
        <f>IF($AT1418="","",INDEX(Calc!$D$2:$D$1601,$AT1418))</f>
        <v/>
      </c>
      <c r="AC1418" t="str">
        <f>IF($AT1418="","",INDEX(Calc!$G$2:$G$1601,$AT1418))</f>
        <v/>
      </c>
      <c r="AD1418" t="str">
        <f>IF($AS1418="","",Config!$B$23)</f>
        <v/>
      </c>
      <c r="AE1418" t="str">
        <f>IF($AS1418="","",Config!$B$28)</f>
        <v/>
      </c>
      <c r="AF1418" t="str">
        <f t="shared" si="134"/>
        <v/>
      </c>
      <c r="AG1418" t="str">
        <f t="shared" si="135"/>
        <v/>
      </c>
      <c r="AH1418" t="str">
        <f t="shared" si="136"/>
        <v/>
      </c>
      <c r="AI1418" t="str">
        <f>IF($AG1418="","",SUMIF($AG$2:$AG1418,$AG1418,$AH$2:$AH1418))</f>
        <v/>
      </c>
      <c r="AJ1418" t="str">
        <f>IF('TMP Paste'!$F1418="","",IF('TMP Paste'!$B1418="",$AJ1417,'TMP Paste'!$B1418))</f>
        <v/>
      </c>
      <c r="AK1418" t="str">
        <f>IF('TMP Paste'!$F1418="","",N('TMP Paste'!$G1418))</f>
        <v/>
      </c>
      <c r="AL1418" t="str">
        <f>IF('TMP Paste'!$F1418="","",IF('TMP Paste'!$M1418="",$AL1417,'TMP Paste'!$M1418))</f>
        <v/>
      </c>
      <c r="AM1418" t="str">
        <f>IF('TMP Paste'!$F1418="","",IF('TMP Paste'!$N1418="",$AM1417,'TMP Paste'!$N1418))</f>
        <v/>
      </c>
      <c r="AN1418" t="str">
        <f>IF('TMP Paste'!$F1418="","",IF('TMP Paste'!$O1418="",$AN1417,'TMP Paste'!$O1418))</f>
        <v/>
      </c>
      <c r="AO1418" t="str">
        <f>IF('TMP Paste'!$F1418="","",IF('TMP Paste'!$P1418="",$AO1417,'TMP Paste'!$P1418))</f>
        <v/>
      </c>
      <c r="AP1418" t="str">
        <f t="shared" si="137"/>
        <v/>
      </c>
      <c r="AQ1418" t="str">
        <f>IF($AS1418="","",TRIM(IF(COUNTIFS(Calc!$B$2:$B$1601,ROW()-1,Calc!$C$2:$C$1601,"&lt;1")&gt;0,"Ada PO tanpa Koli - cek TMP. ","")&amp;IF(OR($AU1418="",$AU1418&lt;=0),"Volume kosong/0 - dimensi dikosongkan. ","")&amp;IF(AND($AU1418&lt;&gt;"",$AU1418&gt;=1000000),"Volume &gt;= 1.000.000 cm3 (di luar aturan) - dimensi dikosongkan. ","")&amp;IF(LEN($R1418)&gt;500,"R &gt; 500 karakter.","")))</f>
        <v/>
      </c>
      <c r="AS1418" t="str">
        <f>IFERROR(MATCH(ROW()-1,Calc!$J$2:$J$1601,0),"")</f>
        <v/>
      </c>
      <c r="AT1418" t="str">
        <f>IFERROR(MATCH(ROW()-1,Calc!$K$2:$K$1601,0),"")</f>
        <v/>
      </c>
      <c r="AU1418" t="str">
        <f>IF($AS1418="","",IFERROR(INDEX('TMP Paste'!$D$2:$D$1601,$AS1418)*1000000/$AB1418,""))</f>
        <v/>
      </c>
    </row>
    <row r="1419" spans="1:47">
      <c r="A1419" t="str">
        <f>IF($AS1419="","",INDEX('TMP Paste'!$B$2:$B$1601,$AS1419))</f>
        <v/>
      </c>
      <c r="B1419" t="str">
        <f>IF($AS1419="","",Config!$B$14)</f>
        <v/>
      </c>
      <c r="C1419" t="str">
        <f>IF($AS1419="","",Config!$B$15)</f>
        <v/>
      </c>
      <c r="D1419" t="str">
        <f>IF($AS1419="","",INDEX('TMP Paste'!$B$2:$B$1601,$AS1419))</f>
        <v/>
      </c>
      <c r="E1419" t="str">
        <f>IF($AS1419="","",Config!$B$27)</f>
        <v/>
      </c>
      <c r="F1419" t="str">
        <f>IF($AS1419="","",Config!$B$9)</f>
        <v/>
      </c>
      <c r="G1419" t="str">
        <f>IF($AS1419="","",Config!$B$10)</f>
        <v/>
      </c>
      <c r="H1419" t="str">
        <f>IF($AS1419="","",Config!$B$11)</f>
        <v/>
      </c>
      <c r="I1419" t="str">
        <f>IF($AS1419="","",Config!$B$16)</f>
        <v/>
      </c>
      <c r="J1419" t="str">
        <f>IF($AS1419="","",INDEX('TMP Paste'!$A$2:$A$1601,$AS1419))</f>
        <v/>
      </c>
      <c r="K1419" t="str">
        <f>IF($AS1419="","",INDEX('TMP Paste'!$L$2:$L$1601,$AS1419))</f>
        <v/>
      </c>
      <c r="L1419" t="str">
        <f>IF($AS1419="","",INDEX('TMP Paste'!$I$2:$I$1601,$AS1419))</f>
        <v/>
      </c>
      <c r="M1419" t="str">
        <f>IF($AS1419="","",Config!$B$16)</f>
        <v/>
      </c>
      <c r="N1419" t="str">
        <f t="shared" si="132"/>
        <v/>
      </c>
      <c r="O1419" t="str">
        <f>IF($AS1419="","",INDEX('TMP Paste'!$K$2:$K$1601,$AS1419))</f>
        <v/>
      </c>
      <c r="P1419" t="str">
        <f t="shared" si="133"/>
        <v/>
      </c>
      <c r="Q1419" t="str">
        <f>IF($AS1419="","",INDEX('TMP Paste'!$J$2:$J$1601,$AS1419))</f>
        <v/>
      </c>
      <c r="R1419" t="str">
        <f>IF($AS1419="","",Config!$B$24)</f>
        <v/>
      </c>
      <c r="S1419" t="str">
        <f ca="1">IF($AS1419="","",TEXT(Config!$B$4,"yyyy-mm-dd"))</f>
        <v/>
      </c>
      <c r="T1419" t="str">
        <f>IF($AS1419="","",Config!$B$17)</f>
        <v/>
      </c>
      <c r="U1419" t="str">
        <f>IF($AS1419="","",Config!$B$18)</f>
        <v/>
      </c>
      <c r="V1419" t="str">
        <f>IF($AS1419="","",Config!$B$19)</f>
        <v/>
      </c>
      <c r="W1419" t="str">
        <f>IF($AS1419="","",INDEX('TMP Paste'!$C$2:$C$1601,$AS1419))</f>
        <v/>
      </c>
      <c r="X1419" t="str">
        <f>IF($AS1419="","",Config!$B$29)</f>
        <v/>
      </c>
      <c r="Y1419" t="str">
        <f>IF($AT1419="","",INDEX(Calc!$I$2:$I$1601,$AT1419)&amp;" - "&amp;INDEX(Calc!$D$2:$D$1601,$AT1419)&amp;" koli")</f>
        <v/>
      </c>
      <c r="Z1419" t="str">
        <f>IF($AS1419="","",Config!$B$21)</f>
        <v/>
      </c>
      <c r="AA1419" t="str">
        <f>IF($AS1419="","",Config!$B$22)</f>
        <v/>
      </c>
      <c r="AB1419" t="str">
        <f>IF($AT1419="","",INDEX(Calc!$D$2:$D$1601,$AT1419))</f>
        <v/>
      </c>
      <c r="AC1419" t="str">
        <f>IF($AT1419="","",INDEX(Calc!$G$2:$G$1601,$AT1419))</f>
        <v/>
      </c>
      <c r="AD1419" t="str">
        <f>IF($AS1419="","",Config!$B$23)</f>
        <v/>
      </c>
      <c r="AE1419" t="str">
        <f>IF($AS1419="","",Config!$B$28)</f>
        <v/>
      </c>
      <c r="AF1419" t="str">
        <f t="shared" si="134"/>
        <v/>
      </c>
      <c r="AG1419" t="str">
        <f t="shared" si="135"/>
        <v/>
      </c>
      <c r="AH1419" t="str">
        <f t="shared" si="136"/>
        <v/>
      </c>
      <c r="AI1419" t="str">
        <f>IF($AG1419="","",SUMIF($AG$2:$AG1419,$AG1419,$AH$2:$AH1419))</f>
        <v/>
      </c>
      <c r="AJ1419" t="str">
        <f>IF('TMP Paste'!$F1419="","",IF('TMP Paste'!$B1419="",$AJ1418,'TMP Paste'!$B1419))</f>
        <v/>
      </c>
      <c r="AK1419" t="str">
        <f>IF('TMP Paste'!$F1419="","",N('TMP Paste'!$G1419))</f>
        <v/>
      </c>
      <c r="AL1419" t="str">
        <f>IF('TMP Paste'!$F1419="","",IF('TMP Paste'!$M1419="",$AL1418,'TMP Paste'!$M1419))</f>
        <v/>
      </c>
      <c r="AM1419" t="str">
        <f>IF('TMP Paste'!$F1419="","",IF('TMP Paste'!$N1419="",$AM1418,'TMP Paste'!$N1419))</f>
        <v/>
      </c>
      <c r="AN1419" t="str">
        <f>IF('TMP Paste'!$F1419="","",IF('TMP Paste'!$O1419="",$AN1418,'TMP Paste'!$O1419))</f>
        <v/>
      </c>
      <c r="AO1419" t="str">
        <f>IF('TMP Paste'!$F1419="","",IF('TMP Paste'!$P1419="",$AO1418,'TMP Paste'!$P1419))</f>
        <v/>
      </c>
      <c r="AP1419" t="str">
        <f t="shared" si="137"/>
        <v/>
      </c>
      <c r="AQ1419" t="str">
        <f>IF($AS1419="","",TRIM(IF(COUNTIFS(Calc!$B$2:$B$1601,ROW()-1,Calc!$C$2:$C$1601,"&lt;1")&gt;0,"Ada PO tanpa Koli - cek TMP. ","")&amp;IF(OR($AU1419="",$AU1419&lt;=0),"Volume kosong/0 - dimensi dikosongkan. ","")&amp;IF(AND($AU1419&lt;&gt;"",$AU1419&gt;=1000000),"Volume &gt;= 1.000.000 cm3 (di luar aturan) - dimensi dikosongkan. ","")&amp;IF(LEN($R1419)&gt;500,"R &gt; 500 karakter.","")))</f>
        <v/>
      </c>
      <c r="AS1419" t="str">
        <f>IFERROR(MATCH(ROW()-1,Calc!$J$2:$J$1601,0),"")</f>
        <v/>
      </c>
      <c r="AT1419" t="str">
        <f>IFERROR(MATCH(ROW()-1,Calc!$K$2:$K$1601,0),"")</f>
        <v/>
      </c>
      <c r="AU1419" t="str">
        <f>IF($AS1419="","",IFERROR(INDEX('TMP Paste'!$D$2:$D$1601,$AS1419)*1000000/$AB1419,""))</f>
        <v/>
      </c>
    </row>
    <row r="1420" spans="1:47">
      <c r="A1420" t="str">
        <f>IF($AS1420="","",INDEX('TMP Paste'!$B$2:$B$1601,$AS1420))</f>
        <v/>
      </c>
      <c r="B1420" t="str">
        <f>IF($AS1420="","",Config!$B$14)</f>
        <v/>
      </c>
      <c r="C1420" t="str">
        <f>IF($AS1420="","",Config!$B$15)</f>
        <v/>
      </c>
      <c r="D1420" t="str">
        <f>IF($AS1420="","",INDEX('TMP Paste'!$B$2:$B$1601,$AS1420))</f>
        <v/>
      </c>
      <c r="E1420" t="str">
        <f>IF($AS1420="","",Config!$B$27)</f>
        <v/>
      </c>
      <c r="F1420" t="str">
        <f>IF($AS1420="","",Config!$B$9)</f>
        <v/>
      </c>
      <c r="G1420" t="str">
        <f>IF($AS1420="","",Config!$B$10)</f>
        <v/>
      </c>
      <c r="H1420" t="str">
        <f>IF($AS1420="","",Config!$B$11)</f>
        <v/>
      </c>
      <c r="I1420" t="str">
        <f>IF($AS1420="","",Config!$B$16)</f>
        <v/>
      </c>
      <c r="J1420" t="str">
        <f>IF($AS1420="","",INDEX('TMP Paste'!$A$2:$A$1601,$AS1420))</f>
        <v/>
      </c>
      <c r="K1420" t="str">
        <f>IF($AS1420="","",INDEX('TMP Paste'!$L$2:$L$1601,$AS1420))</f>
        <v/>
      </c>
      <c r="L1420" t="str">
        <f>IF($AS1420="","",INDEX('TMP Paste'!$I$2:$I$1601,$AS1420))</f>
        <v/>
      </c>
      <c r="M1420" t="str">
        <f>IF($AS1420="","",Config!$B$16)</f>
        <v/>
      </c>
      <c r="N1420" t="str">
        <f t="shared" si="132"/>
        <v/>
      </c>
      <c r="O1420" t="str">
        <f>IF($AS1420="","",INDEX('TMP Paste'!$K$2:$K$1601,$AS1420))</f>
        <v/>
      </c>
      <c r="P1420" t="str">
        <f t="shared" si="133"/>
        <v/>
      </c>
      <c r="Q1420" t="str">
        <f>IF($AS1420="","",INDEX('TMP Paste'!$J$2:$J$1601,$AS1420))</f>
        <v/>
      </c>
      <c r="R1420" t="str">
        <f>IF($AS1420="","",Config!$B$24)</f>
        <v/>
      </c>
      <c r="S1420" t="str">
        <f ca="1">IF($AS1420="","",TEXT(Config!$B$4,"yyyy-mm-dd"))</f>
        <v/>
      </c>
      <c r="T1420" t="str">
        <f>IF($AS1420="","",Config!$B$17)</f>
        <v/>
      </c>
      <c r="U1420" t="str">
        <f>IF($AS1420="","",Config!$B$18)</f>
        <v/>
      </c>
      <c r="V1420" t="str">
        <f>IF($AS1420="","",Config!$B$19)</f>
        <v/>
      </c>
      <c r="W1420" t="str">
        <f>IF($AS1420="","",INDEX('TMP Paste'!$C$2:$C$1601,$AS1420))</f>
        <v/>
      </c>
      <c r="X1420" t="str">
        <f>IF($AS1420="","",Config!$B$29)</f>
        <v/>
      </c>
      <c r="Y1420" t="str">
        <f>IF($AT1420="","",INDEX(Calc!$I$2:$I$1601,$AT1420)&amp;" - "&amp;INDEX(Calc!$D$2:$D$1601,$AT1420)&amp;" koli")</f>
        <v/>
      </c>
      <c r="Z1420" t="str">
        <f>IF($AS1420="","",Config!$B$21)</f>
        <v/>
      </c>
      <c r="AA1420" t="str">
        <f>IF($AS1420="","",Config!$B$22)</f>
        <v/>
      </c>
      <c r="AB1420" t="str">
        <f>IF($AT1420="","",INDEX(Calc!$D$2:$D$1601,$AT1420))</f>
        <v/>
      </c>
      <c r="AC1420" t="str">
        <f>IF($AT1420="","",INDEX(Calc!$G$2:$G$1601,$AT1420))</f>
        <v/>
      </c>
      <c r="AD1420" t="str">
        <f>IF($AS1420="","",Config!$B$23)</f>
        <v/>
      </c>
      <c r="AE1420" t="str">
        <f>IF($AS1420="","",Config!$B$28)</f>
        <v/>
      </c>
      <c r="AF1420" t="str">
        <f t="shared" si="134"/>
        <v/>
      </c>
      <c r="AG1420" t="str">
        <f t="shared" si="135"/>
        <v/>
      </c>
      <c r="AH1420" t="str">
        <f t="shared" si="136"/>
        <v/>
      </c>
      <c r="AI1420" t="str">
        <f>IF($AG1420="","",SUMIF($AG$2:$AG1420,$AG1420,$AH$2:$AH1420))</f>
        <v/>
      </c>
      <c r="AJ1420" t="str">
        <f>IF('TMP Paste'!$F1420="","",IF('TMP Paste'!$B1420="",$AJ1419,'TMP Paste'!$B1420))</f>
        <v/>
      </c>
      <c r="AK1420" t="str">
        <f>IF('TMP Paste'!$F1420="","",N('TMP Paste'!$G1420))</f>
        <v/>
      </c>
      <c r="AL1420" t="str">
        <f>IF('TMP Paste'!$F1420="","",IF('TMP Paste'!$M1420="",$AL1419,'TMP Paste'!$M1420))</f>
        <v/>
      </c>
      <c r="AM1420" t="str">
        <f>IF('TMP Paste'!$F1420="","",IF('TMP Paste'!$N1420="",$AM1419,'TMP Paste'!$N1420))</f>
        <v/>
      </c>
      <c r="AN1420" t="str">
        <f>IF('TMP Paste'!$F1420="","",IF('TMP Paste'!$O1420="",$AN1419,'TMP Paste'!$O1420))</f>
        <v/>
      </c>
      <c r="AO1420" t="str">
        <f>IF('TMP Paste'!$F1420="","",IF('TMP Paste'!$P1420="",$AO1419,'TMP Paste'!$P1420))</f>
        <v/>
      </c>
      <c r="AP1420" t="str">
        <f t="shared" si="137"/>
        <v/>
      </c>
      <c r="AQ1420" t="str">
        <f>IF($AS1420="","",TRIM(IF(COUNTIFS(Calc!$B$2:$B$1601,ROW()-1,Calc!$C$2:$C$1601,"&lt;1")&gt;0,"Ada PO tanpa Koli - cek TMP. ","")&amp;IF(OR($AU1420="",$AU1420&lt;=0),"Volume kosong/0 - dimensi dikosongkan. ","")&amp;IF(AND($AU1420&lt;&gt;"",$AU1420&gt;=1000000),"Volume &gt;= 1.000.000 cm3 (di luar aturan) - dimensi dikosongkan. ","")&amp;IF(LEN($R1420)&gt;500,"R &gt; 500 karakter.","")))</f>
        <v/>
      </c>
      <c r="AS1420" t="str">
        <f>IFERROR(MATCH(ROW()-1,Calc!$J$2:$J$1601,0),"")</f>
        <v/>
      </c>
      <c r="AT1420" t="str">
        <f>IFERROR(MATCH(ROW()-1,Calc!$K$2:$K$1601,0),"")</f>
        <v/>
      </c>
      <c r="AU1420" t="str">
        <f>IF($AS1420="","",IFERROR(INDEX('TMP Paste'!$D$2:$D$1601,$AS1420)*1000000/$AB1420,""))</f>
        <v/>
      </c>
    </row>
    <row r="1421" spans="1:47">
      <c r="A1421" t="str">
        <f>IF($AS1421="","",INDEX('TMP Paste'!$B$2:$B$1601,$AS1421))</f>
        <v/>
      </c>
      <c r="B1421" t="str">
        <f>IF($AS1421="","",Config!$B$14)</f>
        <v/>
      </c>
      <c r="C1421" t="str">
        <f>IF($AS1421="","",Config!$B$15)</f>
        <v/>
      </c>
      <c r="D1421" t="str">
        <f>IF($AS1421="","",INDEX('TMP Paste'!$B$2:$B$1601,$AS1421))</f>
        <v/>
      </c>
      <c r="E1421" t="str">
        <f>IF($AS1421="","",Config!$B$27)</f>
        <v/>
      </c>
      <c r="F1421" t="str">
        <f>IF($AS1421="","",Config!$B$9)</f>
        <v/>
      </c>
      <c r="G1421" t="str">
        <f>IF($AS1421="","",Config!$B$10)</f>
        <v/>
      </c>
      <c r="H1421" t="str">
        <f>IF($AS1421="","",Config!$B$11)</f>
        <v/>
      </c>
      <c r="I1421" t="str">
        <f>IF($AS1421="","",Config!$B$16)</f>
        <v/>
      </c>
      <c r="J1421" t="str">
        <f>IF($AS1421="","",INDEX('TMP Paste'!$A$2:$A$1601,$AS1421))</f>
        <v/>
      </c>
      <c r="K1421" t="str">
        <f>IF($AS1421="","",INDEX('TMP Paste'!$L$2:$L$1601,$AS1421))</f>
        <v/>
      </c>
      <c r="L1421" t="str">
        <f>IF($AS1421="","",INDEX('TMP Paste'!$I$2:$I$1601,$AS1421))</f>
        <v/>
      </c>
      <c r="M1421" t="str">
        <f>IF($AS1421="","",Config!$B$16)</f>
        <v/>
      </c>
      <c r="N1421" t="str">
        <f t="shared" si="132"/>
        <v/>
      </c>
      <c r="O1421" t="str">
        <f>IF($AS1421="","",INDEX('TMP Paste'!$K$2:$K$1601,$AS1421))</f>
        <v/>
      </c>
      <c r="P1421" t="str">
        <f t="shared" si="133"/>
        <v/>
      </c>
      <c r="Q1421" t="str">
        <f>IF($AS1421="","",INDEX('TMP Paste'!$J$2:$J$1601,$AS1421))</f>
        <v/>
      </c>
      <c r="R1421" t="str">
        <f>IF($AS1421="","",Config!$B$24)</f>
        <v/>
      </c>
      <c r="S1421" t="str">
        <f ca="1">IF($AS1421="","",TEXT(Config!$B$4,"yyyy-mm-dd"))</f>
        <v/>
      </c>
      <c r="T1421" t="str">
        <f>IF($AS1421="","",Config!$B$17)</f>
        <v/>
      </c>
      <c r="U1421" t="str">
        <f>IF($AS1421="","",Config!$B$18)</f>
        <v/>
      </c>
      <c r="V1421" t="str">
        <f>IF($AS1421="","",Config!$B$19)</f>
        <v/>
      </c>
      <c r="W1421" t="str">
        <f>IF($AS1421="","",INDEX('TMP Paste'!$C$2:$C$1601,$AS1421))</f>
        <v/>
      </c>
      <c r="X1421" t="str">
        <f>IF($AS1421="","",Config!$B$29)</f>
        <v/>
      </c>
      <c r="Y1421" t="str">
        <f>IF($AT1421="","",INDEX(Calc!$I$2:$I$1601,$AT1421)&amp;" - "&amp;INDEX(Calc!$D$2:$D$1601,$AT1421)&amp;" koli")</f>
        <v/>
      </c>
      <c r="Z1421" t="str">
        <f>IF($AS1421="","",Config!$B$21)</f>
        <v/>
      </c>
      <c r="AA1421" t="str">
        <f>IF($AS1421="","",Config!$B$22)</f>
        <v/>
      </c>
      <c r="AB1421" t="str">
        <f>IF($AT1421="","",INDEX(Calc!$D$2:$D$1601,$AT1421))</f>
        <v/>
      </c>
      <c r="AC1421" t="str">
        <f>IF($AT1421="","",INDEX(Calc!$G$2:$G$1601,$AT1421))</f>
        <v/>
      </c>
      <c r="AD1421" t="str">
        <f>IF($AS1421="","",Config!$B$23)</f>
        <v/>
      </c>
      <c r="AE1421" t="str">
        <f>IF($AS1421="","",Config!$B$28)</f>
        <v/>
      </c>
      <c r="AF1421" t="str">
        <f t="shared" si="134"/>
        <v/>
      </c>
      <c r="AG1421" t="str">
        <f t="shared" si="135"/>
        <v/>
      </c>
      <c r="AH1421" t="str">
        <f t="shared" si="136"/>
        <v/>
      </c>
      <c r="AI1421" t="str">
        <f>IF($AG1421="","",SUMIF($AG$2:$AG1421,$AG1421,$AH$2:$AH1421))</f>
        <v/>
      </c>
      <c r="AJ1421" t="str">
        <f>IF('TMP Paste'!$F1421="","",IF('TMP Paste'!$B1421="",$AJ1420,'TMP Paste'!$B1421))</f>
        <v/>
      </c>
      <c r="AK1421" t="str">
        <f>IF('TMP Paste'!$F1421="","",N('TMP Paste'!$G1421))</f>
        <v/>
      </c>
      <c r="AL1421" t="str">
        <f>IF('TMP Paste'!$F1421="","",IF('TMP Paste'!$M1421="",$AL1420,'TMP Paste'!$M1421))</f>
        <v/>
      </c>
      <c r="AM1421" t="str">
        <f>IF('TMP Paste'!$F1421="","",IF('TMP Paste'!$N1421="",$AM1420,'TMP Paste'!$N1421))</f>
        <v/>
      </c>
      <c r="AN1421" t="str">
        <f>IF('TMP Paste'!$F1421="","",IF('TMP Paste'!$O1421="",$AN1420,'TMP Paste'!$O1421))</f>
        <v/>
      </c>
      <c r="AO1421" t="str">
        <f>IF('TMP Paste'!$F1421="","",IF('TMP Paste'!$P1421="",$AO1420,'TMP Paste'!$P1421))</f>
        <v/>
      </c>
      <c r="AP1421" t="str">
        <f t="shared" si="137"/>
        <v/>
      </c>
      <c r="AQ1421" t="str">
        <f>IF($AS1421="","",TRIM(IF(COUNTIFS(Calc!$B$2:$B$1601,ROW()-1,Calc!$C$2:$C$1601,"&lt;1")&gt;0,"Ada PO tanpa Koli - cek TMP. ","")&amp;IF(OR($AU1421="",$AU1421&lt;=0),"Volume kosong/0 - dimensi dikosongkan. ","")&amp;IF(AND($AU1421&lt;&gt;"",$AU1421&gt;=1000000),"Volume &gt;= 1.000.000 cm3 (di luar aturan) - dimensi dikosongkan. ","")&amp;IF(LEN($R1421)&gt;500,"R &gt; 500 karakter.","")))</f>
        <v/>
      </c>
      <c r="AS1421" t="str">
        <f>IFERROR(MATCH(ROW()-1,Calc!$J$2:$J$1601,0),"")</f>
        <v/>
      </c>
      <c r="AT1421" t="str">
        <f>IFERROR(MATCH(ROW()-1,Calc!$K$2:$K$1601,0),"")</f>
        <v/>
      </c>
      <c r="AU1421" t="str">
        <f>IF($AS1421="","",IFERROR(INDEX('TMP Paste'!$D$2:$D$1601,$AS1421)*1000000/$AB1421,""))</f>
        <v/>
      </c>
    </row>
    <row r="1422" spans="1:47">
      <c r="A1422" t="str">
        <f>IF($AS1422="","",INDEX('TMP Paste'!$B$2:$B$1601,$AS1422))</f>
        <v/>
      </c>
      <c r="B1422" t="str">
        <f>IF($AS1422="","",Config!$B$14)</f>
        <v/>
      </c>
      <c r="C1422" t="str">
        <f>IF($AS1422="","",Config!$B$15)</f>
        <v/>
      </c>
      <c r="D1422" t="str">
        <f>IF($AS1422="","",INDEX('TMP Paste'!$B$2:$B$1601,$AS1422))</f>
        <v/>
      </c>
      <c r="E1422" t="str">
        <f>IF($AS1422="","",Config!$B$27)</f>
        <v/>
      </c>
      <c r="F1422" t="str">
        <f>IF($AS1422="","",Config!$B$9)</f>
        <v/>
      </c>
      <c r="G1422" t="str">
        <f>IF($AS1422="","",Config!$B$10)</f>
        <v/>
      </c>
      <c r="H1422" t="str">
        <f>IF($AS1422="","",Config!$B$11)</f>
        <v/>
      </c>
      <c r="I1422" t="str">
        <f>IF($AS1422="","",Config!$B$16)</f>
        <v/>
      </c>
      <c r="J1422" t="str">
        <f>IF($AS1422="","",INDEX('TMP Paste'!$A$2:$A$1601,$AS1422))</f>
        <v/>
      </c>
      <c r="K1422" t="str">
        <f>IF($AS1422="","",INDEX('TMP Paste'!$L$2:$L$1601,$AS1422))</f>
        <v/>
      </c>
      <c r="L1422" t="str">
        <f>IF($AS1422="","",INDEX('TMP Paste'!$I$2:$I$1601,$AS1422))</f>
        <v/>
      </c>
      <c r="M1422" t="str">
        <f>IF($AS1422="","",Config!$B$16)</f>
        <v/>
      </c>
      <c r="N1422" t="str">
        <f t="shared" si="132"/>
        <v/>
      </c>
      <c r="O1422" t="str">
        <f>IF($AS1422="","",INDEX('TMP Paste'!$K$2:$K$1601,$AS1422))</f>
        <v/>
      </c>
      <c r="P1422" t="str">
        <f t="shared" si="133"/>
        <v/>
      </c>
      <c r="Q1422" t="str">
        <f>IF($AS1422="","",INDEX('TMP Paste'!$J$2:$J$1601,$AS1422))</f>
        <v/>
      </c>
      <c r="R1422" t="str">
        <f>IF($AS1422="","",Config!$B$24)</f>
        <v/>
      </c>
      <c r="S1422" t="str">
        <f ca="1">IF($AS1422="","",TEXT(Config!$B$4,"yyyy-mm-dd"))</f>
        <v/>
      </c>
      <c r="T1422" t="str">
        <f>IF($AS1422="","",Config!$B$17)</f>
        <v/>
      </c>
      <c r="U1422" t="str">
        <f>IF($AS1422="","",Config!$B$18)</f>
        <v/>
      </c>
      <c r="V1422" t="str">
        <f>IF($AS1422="","",Config!$B$19)</f>
        <v/>
      </c>
      <c r="W1422" t="str">
        <f>IF($AS1422="","",INDEX('TMP Paste'!$C$2:$C$1601,$AS1422))</f>
        <v/>
      </c>
      <c r="X1422" t="str">
        <f>IF($AS1422="","",Config!$B$29)</f>
        <v/>
      </c>
      <c r="Y1422" t="str">
        <f>IF($AT1422="","",INDEX(Calc!$I$2:$I$1601,$AT1422)&amp;" - "&amp;INDEX(Calc!$D$2:$D$1601,$AT1422)&amp;" koli")</f>
        <v/>
      </c>
      <c r="Z1422" t="str">
        <f>IF($AS1422="","",Config!$B$21)</f>
        <v/>
      </c>
      <c r="AA1422" t="str">
        <f>IF($AS1422="","",Config!$B$22)</f>
        <v/>
      </c>
      <c r="AB1422" t="str">
        <f>IF($AT1422="","",INDEX(Calc!$D$2:$D$1601,$AT1422))</f>
        <v/>
      </c>
      <c r="AC1422" t="str">
        <f>IF($AT1422="","",INDEX(Calc!$G$2:$G$1601,$AT1422))</f>
        <v/>
      </c>
      <c r="AD1422" t="str">
        <f>IF($AS1422="","",Config!$B$23)</f>
        <v/>
      </c>
      <c r="AE1422" t="str">
        <f>IF($AS1422="","",Config!$B$28)</f>
        <v/>
      </c>
      <c r="AF1422" t="str">
        <f t="shared" si="134"/>
        <v/>
      </c>
      <c r="AG1422" t="str">
        <f t="shared" si="135"/>
        <v/>
      </c>
      <c r="AH1422" t="str">
        <f t="shared" si="136"/>
        <v/>
      </c>
      <c r="AI1422" t="str">
        <f>IF($AG1422="","",SUMIF($AG$2:$AG1422,$AG1422,$AH$2:$AH1422))</f>
        <v/>
      </c>
      <c r="AJ1422" t="str">
        <f>IF('TMP Paste'!$F1422="","",IF('TMP Paste'!$B1422="",$AJ1421,'TMP Paste'!$B1422))</f>
        <v/>
      </c>
      <c r="AK1422" t="str">
        <f>IF('TMP Paste'!$F1422="","",N('TMP Paste'!$G1422))</f>
        <v/>
      </c>
      <c r="AL1422" t="str">
        <f>IF('TMP Paste'!$F1422="","",IF('TMP Paste'!$M1422="",$AL1421,'TMP Paste'!$M1422))</f>
        <v/>
      </c>
      <c r="AM1422" t="str">
        <f>IF('TMP Paste'!$F1422="","",IF('TMP Paste'!$N1422="",$AM1421,'TMP Paste'!$N1422))</f>
        <v/>
      </c>
      <c r="AN1422" t="str">
        <f>IF('TMP Paste'!$F1422="","",IF('TMP Paste'!$O1422="",$AN1421,'TMP Paste'!$O1422))</f>
        <v/>
      </c>
      <c r="AO1422" t="str">
        <f>IF('TMP Paste'!$F1422="","",IF('TMP Paste'!$P1422="",$AO1421,'TMP Paste'!$P1422))</f>
        <v/>
      </c>
      <c r="AP1422" t="str">
        <f t="shared" si="137"/>
        <v/>
      </c>
      <c r="AQ1422" t="str">
        <f>IF($AS1422="","",TRIM(IF(COUNTIFS(Calc!$B$2:$B$1601,ROW()-1,Calc!$C$2:$C$1601,"&lt;1")&gt;0,"Ada PO tanpa Koli - cek TMP. ","")&amp;IF(OR($AU1422="",$AU1422&lt;=0),"Volume kosong/0 - dimensi dikosongkan. ","")&amp;IF(AND($AU1422&lt;&gt;"",$AU1422&gt;=1000000),"Volume &gt;= 1.000.000 cm3 (di luar aturan) - dimensi dikosongkan. ","")&amp;IF(LEN($R1422)&gt;500,"R &gt; 500 karakter.","")))</f>
        <v/>
      </c>
      <c r="AS1422" t="str">
        <f>IFERROR(MATCH(ROW()-1,Calc!$J$2:$J$1601,0),"")</f>
        <v/>
      </c>
      <c r="AT1422" t="str">
        <f>IFERROR(MATCH(ROW()-1,Calc!$K$2:$K$1601,0),"")</f>
        <v/>
      </c>
      <c r="AU1422" t="str">
        <f>IF($AS1422="","",IFERROR(INDEX('TMP Paste'!$D$2:$D$1601,$AS1422)*1000000/$AB1422,""))</f>
        <v/>
      </c>
    </row>
    <row r="1423" spans="1:47">
      <c r="A1423" t="str">
        <f>IF($AS1423="","",INDEX('TMP Paste'!$B$2:$B$1601,$AS1423))</f>
        <v/>
      </c>
      <c r="B1423" t="str">
        <f>IF($AS1423="","",Config!$B$14)</f>
        <v/>
      </c>
      <c r="C1423" t="str">
        <f>IF($AS1423="","",Config!$B$15)</f>
        <v/>
      </c>
      <c r="D1423" t="str">
        <f>IF($AS1423="","",INDEX('TMP Paste'!$B$2:$B$1601,$AS1423))</f>
        <v/>
      </c>
      <c r="E1423" t="str">
        <f>IF($AS1423="","",Config!$B$27)</f>
        <v/>
      </c>
      <c r="F1423" t="str">
        <f>IF($AS1423="","",Config!$B$9)</f>
        <v/>
      </c>
      <c r="G1423" t="str">
        <f>IF($AS1423="","",Config!$B$10)</f>
        <v/>
      </c>
      <c r="H1423" t="str">
        <f>IF($AS1423="","",Config!$B$11)</f>
        <v/>
      </c>
      <c r="I1423" t="str">
        <f>IF($AS1423="","",Config!$B$16)</f>
        <v/>
      </c>
      <c r="J1423" t="str">
        <f>IF($AS1423="","",INDEX('TMP Paste'!$A$2:$A$1601,$AS1423))</f>
        <v/>
      </c>
      <c r="K1423" t="str">
        <f>IF($AS1423="","",INDEX('TMP Paste'!$L$2:$L$1601,$AS1423))</f>
        <v/>
      </c>
      <c r="L1423" t="str">
        <f>IF($AS1423="","",INDEX('TMP Paste'!$I$2:$I$1601,$AS1423))</f>
        <v/>
      </c>
      <c r="M1423" t="str">
        <f>IF($AS1423="","",Config!$B$16)</f>
        <v/>
      </c>
      <c r="N1423" t="str">
        <f t="shared" si="132"/>
        <v/>
      </c>
      <c r="O1423" t="str">
        <f>IF($AS1423="","",INDEX('TMP Paste'!$K$2:$K$1601,$AS1423))</f>
        <v/>
      </c>
      <c r="P1423" t="str">
        <f t="shared" si="133"/>
        <v/>
      </c>
      <c r="Q1423" t="str">
        <f>IF($AS1423="","",INDEX('TMP Paste'!$J$2:$J$1601,$AS1423))</f>
        <v/>
      </c>
      <c r="R1423" t="str">
        <f>IF($AS1423="","",Config!$B$24)</f>
        <v/>
      </c>
      <c r="S1423" t="str">
        <f ca="1">IF($AS1423="","",TEXT(Config!$B$4,"yyyy-mm-dd"))</f>
        <v/>
      </c>
      <c r="T1423" t="str">
        <f>IF($AS1423="","",Config!$B$17)</f>
        <v/>
      </c>
      <c r="U1423" t="str">
        <f>IF($AS1423="","",Config!$B$18)</f>
        <v/>
      </c>
      <c r="V1423" t="str">
        <f>IF($AS1423="","",Config!$B$19)</f>
        <v/>
      </c>
      <c r="W1423" t="str">
        <f>IF($AS1423="","",INDEX('TMP Paste'!$C$2:$C$1601,$AS1423))</f>
        <v/>
      </c>
      <c r="X1423" t="str">
        <f>IF($AS1423="","",Config!$B$29)</f>
        <v/>
      </c>
      <c r="Y1423" t="str">
        <f>IF($AT1423="","",INDEX(Calc!$I$2:$I$1601,$AT1423)&amp;" - "&amp;INDEX(Calc!$D$2:$D$1601,$AT1423)&amp;" koli")</f>
        <v/>
      </c>
      <c r="Z1423" t="str">
        <f>IF($AS1423="","",Config!$B$21)</f>
        <v/>
      </c>
      <c r="AA1423" t="str">
        <f>IF($AS1423="","",Config!$B$22)</f>
        <v/>
      </c>
      <c r="AB1423" t="str">
        <f>IF($AT1423="","",INDEX(Calc!$D$2:$D$1601,$AT1423))</f>
        <v/>
      </c>
      <c r="AC1423" t="str">
        <f>IF($AT1423="","",INDEX(Calc!$G$2:$G$1601,$AT1423))</f>
        <v/>
      </c>
      <c r="AD1423" t="str">
        <f>IF($AS1423="","",Config!$B$23)</f>
        <v/>
      </c>
      <c r="AE1423" t="str">
        <f>IF($AS1423="","",Config!$B$28)</f>
        <v/>
      </c>
      <c r="AF1423" t="str">
        <f t="shared" si="134"/>
        <v/>
      </c>
      <c r="AG1423" t="str">
        <f t="shared" si="135"/>
        <v/>
      </c>
      <c r="AH1423" t="str">
        <f t="shared" si="136"/>
        <v/>
      </c>
      <c r="AI1423" t="str">
        <f>IF($AG1423="","",SUMIF($AG$2:$AG1423,$AG1423,$AH$2:$AH1423))</f>
        <v/>
      </c>
      <c r="AJ1423" t="str">
        <f>IF('TMP Paste'!$F1423="","",IF('TMP Paste'!$B1423="",$AJ1422,'TMP Paste'!$B1423))</f>
        <v/>
      </c>
      <c r="AK1423" t="str">
        <f>IF('TMP Paste'!$F1423="","",N('TMP Paste'!$G1423))</f>
        <v/>
      </c>
      <c r="AL1423" t="str">
        <f>IF('TMP Paste'!$F1423="","",IF('TMP Paste'!$M1423="",$AL1422,'TMP Paste'!$M1423))</f>
        <v/>
      </c>
      <c r="AM1423" t="str">
        <f>IF('TMP Paste'!$F1423="","",IF('TMP Paste'!$N1423="",$AM1422,'TMP Paste'!$N1423))</f>
        <v/>
      </c>
      <c r="AN1423" t="str">
        <f>IF('TMP Paste'!$F1423="","",IF('TMP Paste'!$O1423="",$AN1422,'TMP Paste'!$O1423))</f>
        <v/>
      </c>
      <c r="AO1423" t="str">
        <f>IF('TMP Paste'!$F1423="","",IF('TMP Paste'!$P1423="",$AO1422,'TMP Paste'!$P1423))</f>
        <v/>
      </c>
      <c r="AP1423" t="str">
        <f t="shared" si="137"/>
        <v/>
      </c>
      <c r="AQ1423" t="str">
        <f>IF($AS1423="","",TRIM(IF(COUNTIFS(Calc!$B$2:$B$1601,ROW()-1,Calc!$C$2:$C$1601,"&lt;1")&gt;0,"Ada PO tanpa Koli - cek TMP. ","")&amp;IF(OR($AU1423="",$AU1423&lt;=0),"Volume kosong/0 - dimensi dikosongkan. ","")&amp;IF(AND($AU1423&lt;&gt;"",$AU1423&gt;=1000000),"Volume &gt;= 1.000.000 cm3 (di luar aturan) - dimensi dikosongkan. ","")&amp;IF(LEN($R1423)&gt;500,"R &gt; 500 karakter.","")))</f>
        <v/>
      </c>
      <c r="AS1423" t="str">
        <f>IFERROR(MATCH(ROW()-1,Calc!$J$2:$J$1601,0),"")</f>
        <v/>
      </c>
      <c r="AT1423" t="str">
        <f>IFERROR(MATCH(ROW()-1,Calc!$K$2:$K$1601,0),"")</f>
        <v/>
      </c>
      <c r="AU1423" t="str">
        <f>IF($AS1423="","",IFERROR(INDEX('TMP Paste'!$D$2:$D$1601,$AS1423)*1000000/$AB1423,""))</f>
        <v/>
      </c>
    </row>
    <row r="1424" spans="1:47">
      <c r="A1424" t="str">
        <f>IF($AS1424="","",INDEX('TMP Paste'!$B$2:$B$1601,$AS1424))</f>
        <v/>
      </c>
      <c r="B1424" t="str">
        <f>IF($AS1424="","",Config!$B$14)</f>
        <v/>
      </c>
      <c r="C1424" t="str">
        <f>IF($AS1424="","",Config!$B$15)</f>
        <v/>
      </c>
      <c r="D1424" t="str">
        <f>IF($AS1424="","",INDEX('TMP Paste'!$B$2:$B$1601,$AS1424))</f>
        <v/>
      </c>
      <c r="E1424" t="str">
        <f>IF($AS1424="","",Config!$B$27)</f>
        <v/>
      </c>
      <c r="F1424" t="str">
        <f>IF($AS1424="","",Config!$B$9)</f>
        <v/>
      </c>
      <c r="G1424" t="str">
        <f>IF($AS1424="","",Config!$B$10)</f>
        <v/>
      </c>
      <c r="H1424" t="str">
        <f>IF($AS1424="","",Config!$B$11)</f>
        <v/>
      </c>
      <c r="I1424" t="str">
        <f>IF($AS1424="","",Config!$B$16)</f>
        <v/>
      </c>
      <c r="J1424" t="str">
        <f>IF($AS1424="","",INDEX('TMP Paste'!$A$2:$A$1601,$AS1424))</f>
        <v/>
      </c>
      <c r="K1424" t="str">
        <f>IF($AS1424="","",INDEX('TMP Paste'!$L$2:$L$1601,$AS1424))</f>
        <v/>
      </c>
      <c r="L1424" t="str">
        <f>IF($AS1424="","",INDEX('TMP Paste'!$I$2:$I$1601,$AS1424))</f>
        <v/>
      </c>
      <c r="M1424" t="str">
        <f>IF($AS1424="","",Config!$B$16)</f>
        <v/>
      </c>
      <c r="N1424" t="str">
        <f t="shared" si="132"/>
        <v/>
      </c>
      <c r="O1424" t="str">
        <f>IF($AS1424="","",INDEX('TMP Paste'!$K$2:$K$1601,$AS1424))</f>
        <v/>
      </c>
      <c r="P1424" t="str">
        <f t="shared" si="133"/>
        <v/>
      </c>
      <c r="Q1424" t="str">
        <f>IF($AS1424="","",INDEX('TMP Paste'!$J$2:$J$1601,$AS1424))</f>
        <v/>
      </c>
      <c r="R1424" t="str">
        <f>IF($AS1424="","",Config!$B$24)</f>
        <v/>
      </c>
      <c r="S1424" t="str">
        <f ca="1">IF($AS1424="","",TEXT(Config!$B$4,"yyyy-mm-dd"))</f>
        <v/>
      </c>
      <c r="T1424" t="str">
        <f>IF($AS1424="","",Config!$B$17)</f>
        <v/>
      </c>
      <c r="U1424" t="str">
        <f>IF($AS1424="","",Config!$B$18)</f>
        <v/>
      </c>
      <c r="V1424" t="str">
        <f>IF($AS1424="","",Config!$B$19)</f>
        <v/>
      </c>
      <c r="W1424" t="str">
        <f>IF($AS1424="","",INDEX('TMP Paste'!$C$2:$C$1601,$AS1424))</f>
        <v/>
      </c>
      <c r="X1424" t="str">
        <f>IF($AS1424="","",Config!$B$29)</f>
        <v/>
      </c>
      <c r="Y1424" t="str">
        <f>IF($AT1424="","",INDEX(Calc!$I$2:$I$1601,$AT1424)&amp;" - "&amp;INDEX(Calc!$D$2:$D$1601,$AT1424)&amp;" koli")</f>
        <v/>
      </c>
      <c r="Z1424" t="str">
        <f>IF($AS1424="","",Config!$B$21)</f>
        <v/>
      </c>
      <c r="AA1424" t="str">
        <f>IF($AS1424="","",Config!$B$22)</f>
        <v/>
      </c>
      <c r="AB1424" t="str">
        <f>IF($AT1424="","",INDEX(Calc!$D$2:$D$1601,$AT1424))</f>
        <v/>
      </c>
      <c r="AC1424" t="str">
        <f>IF($AT1424="","",INDEX(Calc!$G$2:$G$1601,$AT1424))</f>
        <v/>
      </c>
      <c r="AD1424" t="str">
        <f>IF($AS1424="","",Config!$B$23)</f>
        <v/>
      </c>
      <c r="AE1424" t="str">
        <f>IF($AS1424="","",Config!$B$28)</f>
        <v/>
      </c>
      <c r="AF1424" t="str">
        <f t="shared" si="134"/>
        <v/>
      </c>
      <c r="AG1424" t="str">
        <f t="shared" si="135"/>
        <v/>
      </c>
      <c r="AH1424" t="str">
        <f t="shared" si="136"/>
        <v/>
      </c>
      <c r="AI1424" t="str">
        <f>IF($AG1424="","",SUMIF($AG$2:$AG1424,$AG1424,$AH$2:$AH1424))</f>
        <v/>
      </c>
      <c r="AJ1424" t="str">
        <f>IF('TMP Paste'!$F1424="","",IF('TMP Paste'!$B1424="",$AJ1423,'TMP Paste'!$B1424))</f>
        <v/>
      </c>
      <c r="AK1424" t="str">
        <f>IF('TMP Paste'!$F1424="","",N('TMP Paste'!$G1424))</f>
        <v/>
      </c>
      <c r="AL1424" t="str">
        <f>IF('TMP Paste'!$F1424="","",IF('TMP Paste'!$M1424="",$AL1423,'TMP Paste'!$M1424))</f>
        <v/>
      </c>
      <c r="AM1424" t="str">
        <f>IF('TMP Paste'!$F1424="","",IF('TMP Paste'!$N1424="",$AM1423,'TMP Paste'!$N1424))</f>
        <v/>
      </c>
      <c r="AN1424" t="str">
        <f>IF('TMP Paste'!$F1424="","",IF('TMP Paste'!$O1424="",$AN1423,'TMP Paste'!$O1424))</f>
        <v/>
      </c>
      <c r="AO1424" t="str">
        <f>IF('TMP Paste'!$F1424="","",IF('TMP Paste'!$P1424="",$AO1423,'TMP Paste'!$P1424))</f>
        <v/>
      </c>
      <c r="AP1424" t="str">
        <f t="shared" si="137"/>
        <v/>
      </c>
      <c r="AQ1424" t="str">
        <f>IF($AS1424="","",TRIM(IF(COUNTIFS(Calc!$B$2:$B$1601,ROW()-1,Calc!$C$2:$C$1601,"&lt;1")&gt;0,"Ada PO tanpa Koli - cek TMP. ","")&amp;IF(OR($AU1424="",$AU1424&lt;=0),"Volume kosong/0 - dimensi dikosongkan. ","")&amp;IF(AND($AU1424&lt;&gt;"",$AU1424&gt;=1000000),"Volume &gt;= 1.000.000 cm3 (di luar aturan) - dimensi dikosongkan. ","")&amp;IF(LEN($R1424)&gt;500,"R &gt; 500 karakter.","")))</f>
        <v/>
      </c>
      <c r="AS1424" t="str">
        <f>IFERROR(MATCH(ROW()-1,Calc!$J$2:$J$1601,0),"")</f>
        <v/>
      </c>
      <c r="AT1424" t="str">
        <f>IFERROR(MATCH(ROW()-1,Calc!$K$2:$K$1601,0),"")</f>
        <v/>
      </c>
      <c r="AU1424" t="str">
        <f>IF($AS1424="","",IFERROR(INDEX('TMP Paste'!$D$2:$D$1601,$AS1424)*1000000/$AB1424,""))</f>
        <v/>
      </c>
    </row>
    <row r="1425" spans="1:47">
      <c r="A1425" t="str">
        <f>IF($AS1425="","",INDEX('TMP Paste'!$B$2:$B$1601,$AS1425))</f>
        <v/>
      </c>
      <c r="B1425" t="str">
        <f>IF($AS1425="","",Config!$B$14)</f>
        <v/>
      </c>
      <c r="C1425" t="str">
        <f>IF($AS1425="","",Config!$B$15)</f>
        <v/>
      </c>
      <c r="D1425" t="str">
        <f>IF($AS1425="","",INDEX('TMP Paste'!$B$2:$B$1601,$AS1425))</f>
        <v/>
      </c>
      <c r="E1425" t="str">
        <f>IF($AS1425="","",Config!$B$27)</f>
        <v/>
      </c>
      <c r="F1425" t="str">
        <f>IF($AS1425="","",Config!$B$9)</f>
        <v/>
      </c>
      <c r="G1425" t="str">
        <f>IF($AS1425="","",Config!$B$10)</f>
        <v/>
      </c>
      <c r="H1425" t="str">
        <f>IF($AS1425="","",Config!$B$11)</f>
        <v/>
      </c>
      <c r="I1425" t="str">
        <f>IF($AS1425="","",Config!$B$16)</f>
        <v/>
      </c>
      <c r="J1425" t="str">
        <f>IF($AS1425="","",INDEX('TMP Paste'!$A$2:$A$1601,$AS1425))</f>
        <v/>
      </c>
      <c r="K1425" t="str">
        <f>IF($AS1425="","",INDEX('TMP Paste'!$L$2:$L$1601,$AS1425))</f>
        <v/>
      </c>
      <c r="L1425" t="str">
        <f>IF($AS1425="","",INDEX('TMP Paste'!$I$2:$I$1601,$AS1425))</f>
        <v/>
      </c>
      <c r="M1425" t="str">
        <f>IF($AS1425="","",Config!$B$16)</f>
        <v/>
      </c>
      <c r="N1425" t="str">
        <f t="shared" si="132"/>
        <v/>
      </c>
      <c r="O1425" t="str">
        <f>IF($AS1425="","",INDEX('TMP Paste'!$K$2:$K$1601,$AS1425))</f>
        <v/>
      </c>
      <c r="P1425" t="str">
        <f t="shared" si="133"/>
        <v/>
      </c>
      <c r="Q1425" t="str">
        <f>IF($AS1425="","",INDEX('TMP Paste'!$J$2:$J$1601,$AS1425))</f>
        <v/>
      </c>
      <c r="R1425" t="str">
        <f>IF($AS1425="","",Config!$B$24)</f>
        <v/>
      </c>
      <c r="S1425" t="str">
        <f ca="1">IF($AS1425="","",TEXT(Config!$B$4,"yyyy-mm-dd"))</f>
        <v/>
      </c>
      <c r="T1425" t="str">
        <f>IF($AS1425="","",Config!$B$17)</f>
        <v/>
      </c>
      <c r="U1425" t="str">
        <f>IF($AS1425="","",Config!$B$18)</f>
        <v/>
      </c>
      <c r="V1425" t="str">
        <f>IF($AS1425="","",Config!$B$19)</f>
        <v/>
      </c>
      <c r="W1425" t="str">
        <f>IF($AS1425="","",INDEX('TMP Paste'!$C$2:$C$1601,$AS1425))</f>
        <v/>
      </c>
      <c r="X1425" t="str">
        <f>IF($AS1425="","",Config!$B$29)</f>
        <v/>
      </c>
      <c r="Y1425" t="str">
        <f>IF($AT1425="","",INDEX(Calc!$I$2:$I$1601,$AT1425)&amp;" - "&amp;INDEX(Calc!$D$2:$D$1601,$AT1425)&amp;" koli")</f>
        <v/>
      </c>
      <c r="Z1425" t="str">
        <f>IF($AS1425="","",Config!$B$21)</f>
        <v/>
      </c>
      <c r="AA1425" t="str">
        <f>IF($AS1425="","",Config!$B$22)</f>
        <v/>
      </c>
      <c r="AB1425" t="str">
        <f>IF($AT1425="","",INDEX(Calc!$D$2:$D$1601,$AT1425))</f>
        <v/>
      </c>
      <c r="AC1425" t="str">
        <f>IF($AT1425="","",INDEX(Calc!$G$2:$G$1601,$AT1425))</f>
        <v/>
      </c>
      <c r="AD1425" t="str">
        <f>IF($AS1425="","",Config!$B$23)</f>
        <v/>
      </c>
      <c r="AE1425" t="str">
        <f>IF($AS1425="","",Config!$B$28)</f>
        <v/>
      </c>
      <c r="AF1425" t="str">
        <f t="shared" si="134"/>
        <v/>
      </c>
      <c r="AG1425" t="str">
        <f t="shared" si="135"/>
        <v/>
      </c>
      <c r="AH1425" t="str">
        <f t="shared" si="136"/>
        <v/>
      </c>
      <c r="AI1425" t="str">
        <f>IF($AG1425="","",SUMIF($AG$2:$AG1425,$AG1425,$AH$2:$AH1425))</f>
        <v/>
      </c>
      <c r="AJ1425" t="str">
        <f>IF('TMP Paste'!$F1425="","",IF('TMP Paste'!$B1425="",$AJ1424,'TMP Paste'!$B1425))</f>
        <v/>
      </c>
      <c r="AK1425" t="str">
        <f>IF('TMP Paste'!$F1425="","",N('TMP Paste'!$G1425))</f>
        <v/>
      </c>
      <c r="AL1425" t="str">
        <f>IF('TMP Paste'!$F1425="","",IF('TMP Paste'!$M1425="",$AL1424,'TMP Paste'!$M1425))</f>
        <v/>
      </c>
      <c r="AM1425" t="str">
        <f>IF('TMP Paste'!$F1425="","",IF('TMP Paste'!$N1425="",$AM1424,'TMP Paste'!$N1425))</f>
        <v/>
      </c>
      <c r="AN1425" t="str">
        <f>IF('TMP Paste'!$F1425="","",IF('TMP Paste'!$O1425="",$AN1424,'TMP Paste'!$O1425))</f>
        <v/>
      </c>
      <c r="AO1425" t="str">
        <f>IF('TMP Paste'!$F1425="","",IF('TMP Paste'!$P1425="",$AO1424,'TMP Paste'!$P1425))</f>
        <v/>
      </c>
      <c r="AP1425" t="str">
        <f t="shared" si="137"/>
        <v/>
      </c>
      <c r="AQ1425" t="str">
        <f>IF($AS1425="","",TRIM(IF(COUNTIFS(Calc!$B$2:$B$1601,ROW()-1,Calc!$C$2:$C$1601,"&lt;1")&gt;0,"Ada PO tanpa Koli - cek TMP. ","")&amp;IF(OR($AU1425="",$AU1425&lt;=0),"Volume kosong/0 - dimensi dikosongkan. ","")&amp;IF(AND($AU1425&lt;&gt;"",$AU1425&gt;=1000000),"Volume &gt;= 1.000.000 cm3 (di luar aturan) - dimensi dikosongkan. ","")&amp;IF(LEN($R1425)&gt;500,"R &gt; 500 karakter.","")))</f>
        <v/>
      </c>
      <c r="AS1425" t="str">
        <f>IFERROR(MATCH(ROW()-1,Calc!$J$2:$J$1601,0),"")</f>
        <v/>
      </c>
      <c r="AT1425" t="str">
        <f>IFERROR(MATCH(ROW()-1,Calc!$K$2:$K$1601,0),"")</f>
        <v/>
      </c>
      <c r="AU1425" t="str">
        <f>IF($AS1425="","",IFERROR(INDEX('TMP Paste'!$D$2:$D$1601,$AS1425)*1000000/$AB1425,""))</f>
        <v/>
      </c>
    </row>
    <row r="1426" spans="1:47">
      <c r="A1426" t="str">
        <f>IF($AS1426="","",INDEX('TMP Paste'!$B$2:$B$1601,$AS1426))</f>
        <v/>
      </c>
      <c r="B1426" t="str">
        <f>IF($AS1426="","",Config!$B$14)</f>
        <v/>
      </c>
      <c r="C1426" t="str">
        <f>IF($AS1426="","",Config!$B$15)</f>
        <v/>
      </c>
      <c r="D1426" t="str">
        <f>IF($AS1426="","",INDEX('TMP Paste'!$B$2:$B$1601,$AS1426))</f>
        <v/>
      </c>
      <c r="E1426" t="str">
        <f>IF($AS1426="","",Config!$B$27)</f>
        <v/>
      </c>
      <c r="F1426" t="str">
        <f>IF($AS1426="","",Config!$B$9)</f>
        <v/>
      </c>
      <c r="G1426" t="str">
        <f>IF($AS1426="","",Config!$B$10)</f>
        <v/>
      </c>
      <c r="H1426" t="str">
        <f>IF($AS1426="","",Config!$B$11)</f>
        <v/>
      </c>
      <c r="I1426" t="str">
        <f>IF($AS1426="","",Config!$B$16)</f>
        <v/>
      </c>
      <c r="J1426" t="str">
        <f>IF($AS1426="","",INDEX('TMP Paste'!$A$2:$A$1601,$AS1426))</f>
        <v/>
      </c>
      <c r="K1426" t="str">
        <f>IF($AS1426="","",INDEX('TMP Paste'!$L$2:$L$1601,$AS1426))</f>
        <v/>
      </c>
      <c r="L1426" t="str">
        <f>IF($AS1426="","",INDEX('TMP Paste'!$I$2:$I$1601,$AS1426))</f>
        <v/>
      </c>
      <c r="M1426" t="str">
        <f>IF($AS1426="","",Config!$B$16)</f>
        <v/>
      </c>
      <c r="N1426" t="str">
        <f t="shared" si="132"/>
        <v/>
      </c>
      <c r="O1426" t="str">
        <f>IF($AS1426="","",INDEX('TMP Paste'!$K$2:$K$1601,$AS1426))</f>
        <v/>
      </c>
      <c r="P1426" t="str">
        <f t="shared" si="133"/>
        <v/>
      </c>
      <c r="Q1426" t="str">
        <f>IF($AS1426="","",INDEX('TMP Paste'!$J$2:$J$1601,$AS1426))</f>
        <v/>
      </c>
      <c r="R1426" t="str">
        <f>IF($AS1426="","",Config!$B$24)</f>
        <v/>
      </c>
      <c r="S1426" t="str">
        <f ca="1">IF($AS1426="","",TEXT(Config!$B$4,"yyyy-mm-dd"))</f>
        <v/>
      </c>
      <c r="T1426" t="str">
        <f>IF($AS1426="","",Config!$B$17)</f>
        <v/>
      </c>
      <c r="U1426" t="str">
        <f>IF($AS1426="","",Config!$B$18)</f>
        <v/>
      </c>
      <c r="V1426" t="str">
        <f>IF($AS1426="","",Config!$B$19)</f>
        <v/>
      </c>
      <c r="W1426" t="str">
        <f>IF($AS1426="","",INDEX('TMP Paste'!$C$2:$C$1601,$AS1426))</f>
        <v/>
      </c>
      <c r="X1426" t="str">
        <f>IF($AS1426="","",Config!$B$29)</f>
        <v/>
      </c>
      <c r="Y1426" t="str">
        <f>IF($AT1426="","",INDEX(Calc!$I$2:$I$1601,$AT1426)&amp;" - "&amp;INDEX(Calc!$D$2:$D$1601,$AT1426)&amp;" koli")</f>
        <v/>
      </c>
      <c r="Z1426" t="str">
        <f>IF($AS1426="","",Config!$B$21)</f>
        <v/>
      </c>
      <c r="AA1426" t="str">
        <f>IF($AS1426="","",Config!$B$22)</f>
        <v/>
      </c>
      <c r="AB1426" t="str">
        <f>IF($AT1426="","",INDEX(Calc!$D$2:$D$1601,$AT1426))</f>
        <v/>
      </c>
      <c r="AC1426" t="str">
        <f>IF($AT1426="","",INDEX(Calc!$G$2:$G$1601,$AT1426))</f>
        <v/>
      </c>
      <c r="AD1426" t="str">
        <f>IF($AS1426="","",Config!$B$23)</f>
        <v/>
      </c>
      <c r="AE1426" t="str">
        <f>IF($AS1426="","",Config!$B$28)</f>
        <v/>
      </c>
      <c r="AF1426" t="str">
        <f t="shared" si="134"/>
        <v/>
      </c>
      <c r="AG1426" t="str">
        <f t="shared" si="135"/>
        <v/>
      </c>
      <c r="AH1426" t="str">
        <f t="shared" si="136"/>
        <v/>
      </c>
      <c r="AI1426" t="str">
        <f>IF($AG1426="","",SUMIF($AG$2:$AG1426,$AG1426,$AH$2:$AH1426))</f>
        <v/>
      </c>
      <c r="AJ1426" t="str">
        <f>IF('TMP Paste'!$F1426="","",IF('TMP Paste'!$B1426="",$AJ1425,'TMP Paste'!$B1426))</f>
        <v/>
      </c>
      <c r="AK1426" t="str">
        <f>IF('TMP Paste'!$F1426="","",N('TMP Paste'!$G1426))</f>
        <v/>
      </c>
      <c r="AL1426" t="str">
        <f>IF('TMP Paste'!$F1426="","",IF('TMP Paste'!$M1426="",$AL1425,'TMP Paste'!$M1426))</f>
        <v/>
      </c>
      <c r="AM1426" t="str">
        <f>IF('TMP Paste'!$F1426="","",IF('TMP Paste'!$N1426="",$AM1425,'TMP Paste'!$N1426))</f>
        <v/>
      </c>
      <c r="AN1426" t="str">
        <f>IF('TMP Paste'!$F1426="","",IF('TMP Paste'!$O1426="",$AN1425,'TMP Paste'!$O1426))</f>
        <v/>
      </c>
      <c r="AO1426" t="str">
        <f>IF('TMP Paste'!$F1426="","",IF('TMP Paste'!$P1426="",$AO1425,'TMP Paste'!$P1426))</f>
        <v/>
      </c>
      <c r="AP1426" t="str">
        <f t="shared" si="137"/>
        <v/>
      </c>
      <c r="AQ1426" t="str">
        <f>IF($AS1426="","",TRIM(IF(COUNTIFS(Calc!$B$2:$B$1601,ROW()-1,Calc!$C$2:$C$1601,"&lt;1")&gt;0,"Ada PO tanpa Koli - cek TMP. ","")&amp;IF(OR($AU1426="",$AU1426&lt;=0),"Volume kosong/0 - dimensi dikosongkan. ","")&amp;IF(AND($AU1426&lt;&gt;"",$AU1426&gt;=1000000),"Volume &gt;= 1.000.000 cm3 (di luar aturan) - dimensi dikosongkan. ","")&amp;IF(LEN($R1426)&gt;500,"R &gt; 500 karakter.","")))</f>
        <v/>
      </c>
      <c r="AS1426" t="str">
        <f>IFERROR(MATCH(ROW()-1,Calc!$J$2:$J$1601,0),"")</f>
        <v/>
      </c>
      <c r="AT1426" t="str">
        <f>IFERROR(MATCH(ROW()-1,Calc!$K$2:$K$1601,0),"")</f>
        <v/>
      </c>
      <c r="AU1426" t="str">
        <f>IF($AS1426="","",IFERROR(INDEX('TMP Paste'!$D$2:$D$1601,$AS1426)*1000000/$AB1426,""))</f>
        <v/>
      </c>
    </row>
    <row r="1427" spans="1:47">
      <c r="A1427" t="str">
        <f>IF($AS1427="","",INDEX('TMP Paste'!$B$2:$B$1601,$AS1427))</f>
        <v/>
      </c>
      <c r="B1427" t="str">
        <f>IF($AS1427="","",Config!$B$14)</f>
        <v/>
      </c>
      <c r="C1427" t="str">
        <f>IF($AS1427="","",Config!$B$15)</f>
        <v/>
      </c>
      <c r="D1427" t="str">
        <f>IF($AS1427="","",INDEX('TMP Paste'!$B$2:$B$1601,$AS1427))</f>
        <v/>
      </c>
      <c r="E1427" t="str">
        <f>IF($AS1427="","",Config!$B$27)</f>
        <v/>
      </c>
      <c r="F1427" t="str">
        <f>IF($AS1427="","",Config!$B$9)</f>
        <v/>
      </c>
      <c r="G1427" t="str">
        <f>IF($AS1427="","",Config!$B$10)</f>
        <v/>
      </c>
      <c r="H1427" t="str">
        <f>IF($AS1427="","",Config!$B$11)</f>
        <v/>
      </c>
      <c r="I1427" t="str">
        <f>IF($AS1427="","",Config!$B$16)</f>
        <v/>
      </c>
      <c r="J1427" t="str">
        <f>IF($AS1427="","",INDEX('TMP Paste'!$A$2:$A$1601,$AS1427))</f>
        <v/>
      </c>
      <c r="K1427" t="str">
        <f>IF($AS1427="","",INDEX('TMP Paste'!$L$2:$L$1601,$AS1427))</f>
        <v/>
      </c>
      <c r="L1427" t="str">
        <f>IF($AS1427="","",INDEX('TMP Paste'!$I$2:$I$1601,$AS1427))</f>
        <v/>
      </c>
      <c r="M1427" t="str">
        <f>IF($AS1427="","",Config!$B$16)</f>
        <v/>
      </c>
      <c r="N1427" t="str">
        <f t="shared" si="132"/>
        <v/>
      </c>
      <c r="O1427" t="str">
        <f>IF($AS1427="","",INDEX('TMP Paste'!$K$2:$K$1601,$AS1427))</f>
        <v/>
      </c>
      <c r="P1427" t="str">
        <f t="shared" si="133"/>
        <v/>
      </c>
      <c r="Q1427" t="str">
        <f>IF($AS1427="","",INDEX('TMP Paste'!$J$2:$J$1601,$AS1427))</f>
        <v/>
      </c>
      <c r="R1427" t="str">
        <f>IF($AS1427="","",Config!$B$24)</f>
        <v/>
      </c>
      <c r="S1427" t="str">
        <f ca="1">IF($AS1427="","",TEXT(Config!$B$4,"yyyy-mm-dd"))</f>
        <v/>
      </c>
      <c r="T1427" t="str">
        <f>IF($AS1427="","",Config!$B$17)</f>
        <v/>
      </c>
      <c r="U1427" t="str">
        <f>IF($AS1427="","",Config!$B$18)</f>
        <v/>
      </c>
      <c r="V1427" t="str">
        <f>IF($AS1427="","",Config!$B$19)</f>
        <v/>
      </c>
      <c r="W1427" t="str">
        <f>IF($AS1427="","",INDEX('TMP Paste'!$C$2:$C$1601,$AS1427))</f>
        <v/>
      </c>
      <c r="X1427" t="str">
        <f>IF($AS1427="","",Config!$B$29)</f>
        <v/>
      </c>
      <c r="Y1427" t="str">
        <f>IF($AT1427="","",INDEX(Calc!$I$2:$I$1601,$AT1427)&amp;" - "&amp;INDEX(Calc!$D$2:$D$1601,$AT1427)&amp;" koli")</f>
        <v/>
      </c>
      <c r="Z1427" t="str">
        <f>IF($AS1427="","",Config!$B$21)</f>
        <v/>
      </c>
      <c r="AA1427" t="str">
        <f>IF($AS1427="","",Config!$B$22)</f>
        <v/>
      </c>
      <c r="AB1427" t="str">
        <f>IF($AT1427="","",INDEX(Calc!$D$2:$D$1601,$AT1427))</f>
        <v/>
      </c>
      <c r="AC1427" t="str">
        <f>IF($AT1427="","",INDEX(Calc!$G$2:$G$1601,$AT1427))</f>
        <v/>
      </c>
      <c r="AD1427" t="str">
        <f>IF($AS1427="","",Config!$B$23)</f>
        <v/>
      </c>
      <c r="AE1427" t="str">
        <f>IF($AS1427="","",Config!$B$28)</f>
        <v/>
      </c>
      <c r="AF1427" t="str">
        <f t="shared" si="134"/>
        <v/>
      </c>
      <c r="AG1427" t="str">
        <f t="shared" si="135"/>
        <v/>
      </c>
      <c r="AH1427" t="str">
        <f t="shared" si="136"/>
        <v/>
      </c>
      <c r="AI1427" t="str">
        <f>IF($AG1427="","",SUMIF($AG$2:$AG1427,$AG1427,$AH$2:$AH1427))</f>
        <v/>
      </c>
      <c r="AJ1427" t="str">
        <f>IF('TMP Paste'!$F1427="","",IF('TMP Paste'!$B1427="",$AJ1426,'TMP Paste'!$B1427))</f>
        <v/>
      </c>
      <c r="AK1427" t="str">
        <f>IF('TMP Paste'!$F1427="","",N('TMP Paste'!$G1427))</f>
        <v/>
      </c>
      <c r="AL1427" t="str">
        <f>IF('TMP Paste'!$F1427="","",IF('TMP Paste'!$M1427="",$AL1426,'TMP Paste'!$M1427))</f>
        <v/>
      </c>
      <c r="AM1427" t="str">
        <f>IF('TMP Paste'!$F1427="","",IF('TMP Paste'!$N1427="",$AM1426,'TMP Paste'!$N1427))</f>
        <v/>
      </c>
      <c r="AN1427" t="str">
        <f>IF('TMP Paste'!$F1427="","",IF('TMP Paste'!$O1427="",$AN1426,'TMP Paste'!$O1427))</f>
        <v/>
      </c>
      <c r="AO1427" t="str">
        <f>IF('TMP Paste'!$F1427="","",IF('TMP Paste'!$P1427="",$AO1426,'TMP Paste'!$P1427))</f>
        <v/>
      </c>
      <c r="AP1427" t="str">
        <f t="shared" si="137"/>
        <v/>
      </c>
      <c r="AQ1427" t="str">
        <f>IF($AS1427="","",TRIM(IF(COUNTIFS(Calc!$B$2:$B$1601,ROW()-1,Calc!$C$2:$C$1601,"&lt;1")&gt;0,"Ada PO tanpa Koli - cek TMP. ","")&amp;IF(OR($AU1427="",$AU1427&lt;=0),"Volume kosong/0 - dimensi dikosongkan. ","")&amp;IF(AND($AU1427&lt;&gt;"",$AU1427&gt;=1000000),"Volume &gt;= 1.000.000 cm3 (di luar aturan) - dimensi dikosongkan. ","")&amp;IF(LEN($R1427)&gt;500,"R &gt; 500 karakter.","")))</f>
        <v/>
      </c>
      <c r="AS1427" t="str">
        <f>IFERROR(MATCH(ROW()-1,Calc!$J$2:$J$1601,0),"")</f>
        <v/>
      </c>
      <c r="AT1427" t="str">
        <f>IFERROR(MATCH(ROW()-1,Calc!$K$2:$K$1601,0),"")</f>
        <v/>
      </c>
      <c r="AU1427" t="str">
        <f>IF($AS1427="","",IFERROR(INDEX('TMP Paste'!$D$2:$D$1601,$AS1427)*1000000/$AB1427,""))</f>
        <v/>
      </c>
    </row>
    <row r="1428" spans="1:47">
      <c r="A1428" t="str">
        <f>IF($AS1428="","",INDEX('TMP Paste'!$B$2:$B$1601,$AS1428))</f>
        <v/>
      </c>
      <c r="B1428" t="str">
        <f>IF($AS1428="","",Config!$B$14)</f>
        <v/>
      </c>
      <c r="C1428" t="str">
        <f>IF($AS1428="","",Config!$B$15)</f>
        <v/>
      </c>
      <c r="D1428" t="str">
        <f>IF($AS1428="","",INDEX('TMP Paste'!$B$2:$B$1601,$AS1428))</f>
        <v/>
      </c>
      <c r="E1428" t="str">
        <f>IF($AS1428="","",Config!$B$27)</f>
        <v/>
      </c>
      <c r="F1428" t="str">
        <f>IF($AS1428="","",Config!$B$9)</f>
        <v/>
      </c>
      <c r="G1428" t="str">
        <f>IF($AS1428="","",Config!$B$10)</f>
        <v/>
      </c>
      <c r="H1428" t="str">
        <f>IF($AS1428="","",Config!$B$11)</f>
        <v/>
      </c>
      <c r="I1428" t="str">
        <f>IF($AS1428="","",Config!$B$16)</f>
        <v/>
      </c>
      <c r="J1428" t="str">
        <f>IF($AS1428="","",INDEX('TMP Paste'!$A$2:$A$1601,$AS1428))</f>
        <v/>
      </c>
      <c r="K1428" t="str">
        <f>IF($AS1428="","",INDEX('TMP Paste'!$L$2:$L$1601,$AS1428))</f>
        <v/>
      </c>
      <c r="L1428" t="str">
        <f>IF($AS1428="","",INDEX('TMP Paste'!$I$2:$I$1601,$AS1428))</f>
        <v/>
      </c>
      <c r="M1428" t="str">
        <f>IF($AS1428="","",Config!$B$16)</f>
        <v/>
      </c>
      <c r="N1428" t="str">
        <f t="shared" si="132"/>
        <v/>
      </c>
      <c r="O1428" t="str">
        <f>IF($AS1428="","",INDEX('TMP Paste'!$K$2:$K$1601,$AS1428))</f>
        <v/>
      </c>
      <c r="P1428" t="str">
        <f t="shared" si="133"/>
        <v/>
      </c>
      <c r="Q1428" t="str">
        <f>IF($AS1428="","",INDEX('TMP Paste'!$J$2:$J$1601,$AS1428))</f>
        <v/>
      </c>
      <c r="R1428" t="str">
        <f>IF($AS1428="","",Config!$B$24)</f>
        <v/>
      </c>
      <c r="S1428" t="str">
        <f ca="1">IF($AS1428="","",TEXT(Config!$B$4,"yyyy-mm-dd"))</f>
        <v/>
      </c>
      <c r="T1428" t="str">
        <f>IF($AS1428="","",Config!$B$17)</f>
        <v/>
      </c>
      <c r="U1428" t="str">
        <f>IF($AS1428="","",Config!$B$18)</f>
        <v/>
      </c>
      <c r="V1428" t="str">
        <f>IF($AS1428="","",Config!$B$19)</f>
        <v/>
      </c>
      <c r="W1428" t="str">
        <f>IF($AS1428="","",INDEX('TMP Paste'!$C$2:$C$1601,$AS1428))</f>
        <v/>
      </c>
      <c r="X1428" t="str">
        <f>IF($AS1428="","",Config!$B$29)</f>
        <v/>
      </c>
      <c r="Y1428" t="str">
        <f>IF($AT1428="","",INDEX(Calc!$I$2:$I$1601,$AT1428)&amp;" - "&amp;INDEX(Calc!$D$2:$D$1601,$AT1428)&amp;" koli")</f>
        <v/>
      </c>
      <c r="Z1428" t="str">
        <f>IF($AS1428="","",Config!$B$21)</f>
        <v/>
      </c>
      <c r="AA1428" t="str">
        <f>IF($AS1428="","",Config!$B$22)</f>
        <v/>
      </c>
      <c r="AB1428" t="str">
        <f>IF($AT1428="","",INDEX(Calc!$D$2:$D$1601,$AT1428))</f>
        <v/>
      </c>
      <c r="AC1428" t="str">
        <f>IF($AT1428="","",INDEX(Calc!$G$2:$G$1601,$AT1428))</f>
        <v/>
      </c>
      <c r="AD1428" t="str">
        <f>IF($AS1428="","",Config!$B$23)</f>
        <v/>
      </c>
      <c r="AE1428" t="str">
        <f>IF($AS1428="","",Config!$B$28)</f>
        <v/>
      </c>
      <c r="AF1428" t="str">
        <f t="shared" si="134"/>
        <v/>
      </c>
      <c r="AG1428" t="str">
        <f t="shared" si="135"/>
        <v/>
      </c>
      <c r="AH1428" t="str">
        <f t="shared" si="136"/>
        <v/>
      </c>
      <c r="AI1428" t="str">
        <f>IF($AG1428="","",SUMIF($AG$2:$AG1428,$AG1428,$AH$2:$AH1428))</f>
        <v/>
      </c>
      <c r="AJ1428" t="str">
        <f>IF('TMP Paste'!$F1428="","",IF('TMP Paste'!$B1428="",$AJ1427,'TMP Paste'!$B1428))</f>
        <v/>
      </c>
      <c r="AK1428" t="str">
        <f>IF('TMP Paste'!$F1428="","",N('TMP Paste'!$G1428))</f>
        <v/>
      </c>
      <c r="AL1428" t="str">
        <f>IF('TMP Paste'!$F1428="","",IF('TMP Paste'!$M1428="",$AL1427,'TMP Paste'!$M1428))</f>
        <v/>
      </c>
      <c r="AM1428" t="str">
        <f>IF('TMP Paste'!$F1428="","",IF('TMP Paste'!$N1428="",$AM1427,'TMP Paste'!$N1428))</f>
        <v/>
      </c>
      <c r="AN1428" t="str">
        <f>IF('TMP Paste'!$F1428="","",IF('TMP Paste'!$O1428="",$AN1427,'TMP Paste'!$O1428))</f>
        <v/>
      </c>
      <c r="AO1428" t="str">
        <f>IF('TMP Paste'!$F1428="","",IF('TMP Paste'!$P1428="",$AO1427,'TMP Paste'!$P1428))</f>
        <v/>
      </c>
      <c r="AP1428" t="str">
        <f t="shared" si="137"/>
        <v/>
      </c>
      <c r="AQ1428" t="str">
        <f>IF($AS1428="","",TRIM(IF(COUNTIFS(Calc!$B$2:$B$1601,ROW()-1,Calc!$C$2:$C$1601,"&lt;1")&gt;0,"Ada PO tanpa Koli - cek TMP. ","")&amp;IF(OR($AU1428="",$AU1428&lt;=0),"Volume kosong/0 - dimensi dikosongkan. ","")&amp;IF(AND($AU1428&lt;&gt;"",$AU1428&gt;=1000000),"Volume &gt;= 1.000.000 cm3 (di luar aturan) - dimensi dikosongkan. ","")&amp;IF(LEN($R1428)&gt;500,"R &gt; 500 karakter.","")))</f>
        <v/>
      </c>
      <c r="AS1428" t="str">
        <f>IFERROR(MATCH(ROW()-1,Calc!$J$2:$J$1601,0),"")</f>
        <v/>
      </c>
      <c r="AT1428" t="str">
        <f>IFERROR(MATCH(ROW()-1,Calc!$K$2:$K$1601,0),"")</f>
        <v/>
      </c>
      <c r="AU1428" t="str">
        <f>IF($AS1428="","",IFERROR(INDEX('TMP Paste'!$D$2:$D$1601,$AS1428)*1000000/$AB1428,""))</f>
        <v/>
      </c>
    </row>
    <row r="1429" spans="1:47">
      <c r="A1429" t="str">
        <f>IF($AS1429="","",INDEX('TMP Paste'!$B$2:$B$1601,$AS1429))</f>
        <v/>
      </c>
      <c r="B1429" t="str">
        <f>IF($AS1429="","",Config!$B$14)</f>
        <v/>
      </c>
      <c r="C1429" t="str">
        <f>IF($AS1429="","",Config!$B$15)</f>
        <v/>
      </c>
      <c r="D1429" t="str">
        <f>IF($AS1429="","",INDEX('TMP Paste'!$B$2:$B$1601,$AS1429))</f>
        <v/>
      </c>
      <c r="E1429" t="str">
        <f>IF($AS1429="","",Config!$B$27)</f>
        <v/>
      </c>
      <c r="F1429" t="str">
        <f>IF($AS1429="","",Config!$B$9)</f>
        <v/>
      </c>
      <c r="G1429" t="str">
        <f>IF($AS1429="","",Config!$B$10)</f>
        <v/>
      </c>
      <c r="H1429" t="str">
        <f>IF($AS1429="","",Config!$B$11)</f>
        <v/>
      </c>
      <c r="I1429" t="str">
        <f>IF($AS1429="","",Config!$B$16)</f>
        <v/>
      </c>
      <c r="J1429" t="str">
        <f>IF($AS1429="","",INDEX('TMP Paste'!$A$2:$A$1601,$AS1429))</f>
        <v/>
      </c>
      <c r="K1429" t="str">
        <f>IF($AS1429="","",INDEX('TMP Paste'!$L$2:$L$1601,$AS1429))</f>
        <v/>
      </c>
      <c r="L1429" t="str">
        <f>IF($AS1429="","",INDEX('TMP Paste'!$I$2:$I$1601,$AS1429))</f>
        <v/>
      </c>
      <c r="M1429" t="str">
        <f>IF($AS1429="","",Config!$B$16)</f>
        <v/>
      </c>
      <c r="N1429" t="str">
        <f t="shared" si="132"/>
        <v/>
      </c>
      <c r="O1429" t="str">
        <f>IF($AS1429="","",INDEX('TMP Paste'!$K$2:$K$1601,$AS1429))</f>
        <v/>
      </c>
      <c r="P1429" t="str">
        <f t="shared" si="133"/>
        <v/>
      </c>
      <c r="Q1429" t="str">
        <f>IF($AS1429="","",INDEX('TMP Paste'!$J$2:$J$1601,$AS1429))</f>
        <v/>
      </c>
      <c r="R1429" t="str">
        <f>IF($AS1429="","",Config!$B$24)</f>
        <v/>
      </c>
      <c r="S1429" t="str">
        <f ca="1">IF($AS1429="","",TEXT(Config!$B$4,"yyyy-mm-dd"))</f>
        <v/>
      </c>
      <c r="T1429" t="str">
        <f>IF($AS1429="","",Config!$B$17)</f>
        <v/>
      </c>
      <c r="U1429" t="str">
        <f>IF($AS1429="","",Config!$B$18)</f>
        <v/>
      </c>
      <c r="V1429" t="str">
        <f>IF($AS1429="","",Config!$B$19)</f>
        <v/>
      </c>
      <c r="W1429" t="str">
        <f>IF($AS1429="","",INDEX('TMP Paste'!$C$2:$C$1601,$AS1429))</f>
        <v/>
      </c>
      <c r="X1429" t="str">
        <f>IF($AS1429="","",Config!$B$29)</f>
        <v/>
      </c>
      <c r="Y1429" t="str">
        <f>IF($AT1429="","",INDEX(Calc!$I$2:$I$1601,$AT1429)&amp;" - "&amp;INDEX(Calc!$D$2:$D$1601,$AT1429)&amp;" koli")</f>
        <v/>
      </c>
      <c r="Z1429" t="str">
        <f>IF($AS1429="","",Config!$B$21)</f>
        <v/>
      </c>
      <c r="AA1429" t="str">
        <f>IF($AS1429="","",Config!$B$22)</f>
        <v/>
      </c>
      <c r="AB1429" t="str">
        <f>IF($AT1429="","",INDEX(Calc!$D$2:$D$1601,$AT1429))</f>
        <v/>
      </c>
      <c r="AC1429" t="str">
        <f>IF($AT1429="","",INDEX(Calc!$G$2:$G$1601,$AT1429))</f>
        <v/>
      </c>
      <c r="AD1429" t="str">
        <f>IF($AS1429="","",Config!$B$23)</f>
        <v/>
      </c>
      <c r="AE1429" t="str">
        <f>IF($AS1429="","",Config!$B$28)</f>
        <v/>
      </c>
      <c r="AF1429" t="str">
        <f t="shared" si="134"/>
        <v/>
      </c>
      <c r="AG1429" t="str">
        <f t="shared" si="135"/>
        <v/>
      </c>
      <c r="AH1429" t="str">
        <f t="shared" si="136"/>
        <v/>
      </c>
      <c r="AI1429" t="str">
        <f>IF($AG1429="","",SUMIF($AG$2:$AG1429,$AG1429,$AH$2:$AH1429))</f>
        <v/>
      </c>
      <c r="AJ1429" t="str">
        <f>IF('TMP Paste'!$F1429="","",IF('TMP Paste'!$B1429="",$AJ1428,'TMP Paste'!$B1429))</f>
        <v/>
      </c>
      <c r="AK1429" t="str">
        <f>IF('TMP Paste'!$F1429="","",N('TMP Paste'!$G1429))</f>
        <v/>
      </c>
      <c r="AL1429" t="str">
        <f>IF('TMP Paste'!$F1429="","",IF('TMP Paste'!$M1429="",$AL1428,'TMP Paste'!$M1429))</f>
        <v/>
      </c>
      <c r="AM1429" t="str">
        <f>IF('TMP Paste'!$F1429="","",IF('TMP Paste'!$N1429="",$AM1428,'TMP Paste'!$N1429))</f>
        <v/>
      </c>
      <c r="AN1429" t="str">
        <f>IF('TMP Paste'!$F1429="","",IF('TMP Paste'!$O1429="",$AN1428,'TMP Paste'!$O1429))</f>
        <v/>
      </c>
      <c r="AO1429" t="str">
        <f>IF('TMP Paste'!$F1429="","",IF('TMP Paste'!$P1429="",$AO1428,'TMP Paste'!$P1429))</f>
        <v/>
      </c>
      <c r="AP1429" t="str">
        <f t="shared" si="137"/>
        <v/>
      </c>
      <c r="AQ1429" t="str">
        <f>IF($AS1429="","",TRIM(IF(COUNTIFS(Calc!$B$2:$B$1601,ROW()-1,Calc!$C$2:$C$1601,"&lt;1")&gt;0,"Ada PO tanpa Koli - cek TMP. ","")&amp;IF(OR($AU1429="",$AU1429&lt;=0),"Volume kosong/0 - dimensi dikosongkan. ","")&amp;IF(AND($AU1429&lt;&gt;"",$AU1429&gt;=1000000),"Volume &gt;= 1.000.000 cm3 (di luar aturan) - dimensi dikosongkan. ","")&amp;IF(LEN($R1429)&gt;500,"R &gt; 500 karakter.","")))</f>
        <v/>
      </c>
      <c r="AS1429" t="str">
        <f>IFERROR(MATCH(ROW()-1,Calc!$J$2:$J$1601,0),"")</f>
        <v/>
      </c>
      <c r="AT1429" t="str">
        <f>IFERROR(MATCH(ROW()-1,Calc!$K$2:$K$1601,0),"")</f>
        <v/>
      </c>
      <c r="AU1429" t="str">
        <f>IF($AS1429="","",IFERROR(INDEX('TMP Paste'!$D$2:$D$1601,$AS1429)*1000000/$AB1429,""))</f>
        <v/>
      </c>
    </row>
    <row r="1430" spans="1:47">
      <c r="A1430" t="str">
        <f>IF($AS1430="","",INDEX('TMP Paste'!$B$2:$B$1601,$AS1430))</f>
        <v/>
      </c>
      <c r="B1430" t="str">
        <f>IF($AS1430="","",Config!$B$14)</f>
        <v/>
      </c>
      <c r="C1430" t="str">
        <f>IF($AS1430="","",Config!$B$15)</f>
        <v/>
      </c>
      <c r="D1430" t="str">
        <f>IF($AS1430="","",INDEX('TMP Paste'!$B$2:$B$1601,$AS1430))</f>
        <v/>
      </c>
      <c r="E1430" t="str">
        <f>IF($AS1430="","",Config!$B$27)</f>
        <v/>
      </c>
      <c r="F1430" t="str">
        <f>IF($AS1430="","",Config!$B$9)</f>
        <v/>
      </c>
      <c r="G1430" t="str">
        <f>IF($AS1430="","",Config!$B$10)</f>
        <v/>
      </c>
      <c r="H1430" t="str">
        <f>IF($AS1430="","",Config!$B$11)</f>
        <v/>
      </c>
      <c r="I1430" t="str">
        <f>IF($AS1430="","",Config!$B$16)</f>
        <v/>
      </c>
      <c r="J1430" t="str">
        <f>IF($AS1430="","",INDEX('TMP Paste'!$A$2:$A$1601,$AS1430))</f>
        <v/>
      </c>
      <c r="K1430" t="str">
        <f>IF($AS1430="","",INDEX('TMP Paste'!$L$2:$L$1601,$AS1430))</f>
        <v/>
      </c>
      <c r="L1430" t="str">
        <f>IF($AS1430="","",INDEX('TMP Paste'!$I$2:$I$1601,$AS1430))</f>
        <v/>
      </c>
      <c r="M1430" t="str">
        <f>IF($AS1430="","",Config!$B$16)</f>
        <v/>
      </c>
      <c r="N1430" t="str">
        <f t="shared" si="132"/>
        <v/>
      </c>
      <c r="O1430" t="str">
        <f>IF($AS1430="","",INDEX('TMP Paste'!$K$2:$K$1601,$AS1430))</f>
        <v/>
      </c>
      <c r="P1430" t="str">
        <f t="shared" si="133"/>
        <v/>
      </c>
      <c r="Q1430" t="str">
        <f>IF($AS1430="","",INDEX('TMP Paste'!$J$2:$J$1601,$AS1430))</f>
        <v/>
      </c>
      <c r="R1430" t="str">
        <f>IF($AS1430="","",Config!$B$24)</f>
        <v/>
      </c>
      <c r="S1430" t="str">
        <f ca="1">IF($AS1430="","",TEXT(Config!$B$4,"yyyy-mm-dd"))</f>
        <v/>
      </c>
      <c r="T1430" t="str">
        <f>IF($AS1430="","",Config!$B$17)</f>
        <v/>
      </c>
      <c r="U1430" t="str">
        <f>IF($AS1430="","",Config!$B$18)</f>
        <v/>
      </c>
      <c r="V1430" t="str">
        <f>IF($AS1430="","",Config!$B$19)</f>
        <v/>
      </c>
      <c r="W1430" t="str">
        <f>IF($AS1430="","",INDEX('TMP Paste'!$C$2:$C$1601,$AS1430))</f>
        <v/>
      </c>
      <c r="X1430" t="str">
        <f>IF($AS1430="","",Config!$B$29)</f>
        <v/>
      </c>
      <c r="Y1430" t="str">
        <f>IF($AT1430="","",INDEX(Calc!$I$2:$I$1601,$AT1430)&amp;" - "&amp;INDEX(Calc!$D$2:$D$1601,$AT1430)&amp;" koli")</f>
        <v/>
      </c>
      <c r="Z1430" t="str">
        <f>IF($AS1430="","",Config!$B$21)</f>
        <v/>
      </c>
      <c r="AA1430" t="str">
        <f>IF($AS1430="","",Config!$B$22)</f>
        <v/>
      </c>
      <c r="AB1430" t="str">
        <f>IF($AT1430="","",INDEX(Calc!$D$2:$D$1601,$AT1430))</f>
        <v/>
      </c>
      <c r="AC1430" t="str">
        <f>IF($AT1430="","",INDEX(Calc!$G$2:$G$1601,$AT1430))</f>
        <v/>
      </c>
      <c r="AD1430" t="str">
        <f>IF($AS1430="","",Config!$B$23)</f>
        <v/>
      </c>
      <c r="AE1430" t="str">
        <f>IF($AS1430="","",Config!$B$28)</f>
        <v/>
      </c>
      <c r="AF1430" t="str">
        <f t="shared" si="134"/>
        <v/>
      </c>
      <c r="AG1430" t="str">
        <f t="shared" si="135"/>
        <v/>
      </c>
      <c r="AH1430" t="str">
        <f t="shared" si="136"/>
        <v/>
      </c>
      <c r="AI1430" t="str">
        <f>IF($AG1430="","",SUMIF($AG$2:$AG1430,$AG1430,$AH$2:$AH1430))</f>
        <v/>
      </c>
      <c r="AJ1430" t="str">
        <f>IF('TMP Paste'!$F1430="","",IF('TMP Paste'!$B1430="",$AJ1429,'TMP Paste'!$B1430))</f>
        <v/>
      </c>
      <c r="AK1430" t="str">
        <f>IF('TMP Paste'!$F1430="","",N('TMP Paste'!$G1430))</f>
        <v/>
      </c>
      <c r="AL1430" t="str">
        <f>IF('TMP Paste'!$F1430="","",IF('TMP Paste'!$M1430="",$AL1429,'TMP Paste'!$M1430))</f>
        <v/>
      </c>
      <c r="AM1430" t="str">
        <f>IF('TMP Paste'!$F1430="","",IF('TMP Paste'!$N1430="",$AM1429,'TMP Paste'!$N1430))</f>
        <v/>
      </c>
      <c r="AN1430" t="str">
        <f>IF('TMP Paste'!$F1430="","",IF('TMP Paste'!$O1430="",$AN1429,'TMP Paste'!$O1430))</f>
        <v/>
      </c>
      <c r="AO1430" t="str">
        <f>IF('TMP Paste'!$F1430="","",IF('TMP Paste'!$P1430="",$AO1429,'TMP Paste'!$P1430))</f>
        <v/>
      </c>
      <c r="AP1430" t="str">
        <f t="shared" si="137"/>
        <v/>
      </c>
      <c r="AQ1430" t="str">
        <f>IF($AS1430="","",TRIM(IF(COUNTIFS(Calc!$B$2:$B$1601,ROW()-1,Calc!$C$2:$C$1601,"&lt;1")&gt;0,"Ada PO tanpa Koli - cek TMP. ","")&amp;IF(OR($AU1430="",$AU1430&lt;=0),"Volume kosong/0 - dimensi dikosongkan. ","")&amp;IF(AND($AU1430&lt;&gt;"",$AU1430&gt;=1000000),"Volume &gt;= 1.000.000 cm3 (di luar aturan) - dimensi dikosongkan. ","")&amp;IF(LEN($R1430)&gt;500,"R &gt; 500 karakter.","")))</f>
        <v/>
      </c>
      <c r="AS1430" t="str">
        <f>IFERROR(MATCH(ROW()-1,Calc!$J$2:$J$1601,0),"")</f>
        <v/>
      </c>
      <c r="AT1430" t="str">
        <f>IFERROR(MATCH(ROW()-1,Calc!$K$2:$K$1601,0),"")</f>
        <v/>
      </c>
      <c r="AU1430" t="str">
        <f>IF($AS1430="","",IFERROR(INDEX('TMP Paste'!$D$2:$D$1601,$AS1430)*1000000/$AB1430,""))</f>
        <v/>
      </c>
    </row>
    <row r="1431" spans="1:47">
      <c r="A1431" t="str">
        <f>IF($AS1431="","",INDEX('TMP Paste'!$B$2:$B$1601,$AS1431))</f>
        <v/>
      </c>
      <c r="B1431" t="str">
        <f>IF($AS1431="","",Config!$B$14)</f>
        <v/>
      </c>
      <c r="C1431" t="str">
        <f>IF($AS1431="","",Config!$B$15)</f>
        <v/>
      </c>
      <c r="D1431" t="str">
        <f>IF($AS1431="","",INDEX('TMP Paste'!$B$2:$B$1601,$AS1431))</f>
        <v/>
      </c>
      <c r="E1431" t="str">
        <f>IF($AS1431="","",Config!$B$27)</f>
        <v/>
      </c>
      <c r="F1431" t="str">
        <f>IF($AS1431="","",Config!$B$9)</f>
        <v/>
      </c>
      <c r="G1431" t="str">
        <f>IF($AS1431="","",Config!$B$10)</f>
        <v/>
      </c>
      <c r="H1431" t="str">
        <f>IF($AS1431="","",Config!$B$11)</f>
        <v/>
      </c>
      <c r="I1431" t="str">
        <f>IF($AS1431="","",Config!$B$16)</f>
        <v/>
      </c>
      <c r="J1431" t="str">
        <f>IF($AS1431="","",INDEX('TMP Paste'!$A$2:$A$1601,$AS1431))</f>
        <v/>
      </c>
      <c r="K1431" t="str">
        <f>IF($AS1431="","",INDEX('TMP Paste'!$L$2:$L$1601,$AS1431))</f>
        <v/>
      </c>
      <c r="L1431" t="str">
        <f>IF($AS1431="","",INDEX('TMP Paste'!$I$2:$I$1601,$AS1431))</f>
        <v/>
      </c>
      <c r="M1431" t="str">
        <f>IF($AS1431="","",Config!$B$16)</f>
        <v/>
      </c>
      <c r="N1431" t="str">
        <f t="shared" si="132"/>
        <v/>
      </c>
      <c r="O1431" t="str">
        <f>IF($AS1431="","",INDEX('TMP Paste'!$K$2:$K$1601,$AS1431))</f>
        <v/>
      </c>
      <c r="P1431" t="str">
        <f t="shared" si="133"/>
        <v/>
      </c>
      <c r="Q1431" t="str">
        <f>IF($AS1431="","",INDEX('TMP Paste'!$J$2:$J$1601,$AS1431))</f>
        <v/>
      </c>
      <c r="R1431" t="str">
        <f>IF($AS1431="","",Config!$B$24)</f>
        <v/>
      </c>
      <c r="S1431" t="str">
        <f ca="1">IF($AS1431="","",TEXT(Config!$B$4,"yyyy-mm-dd"))</f>
        <v/>
      </c>
      <c r="T1431" t="str">
        <f>IF($AS1431="","",Config!$B$17)</f>
        <v/>
      </c>
      <c r="U1431" t="str">
        <f>IF($AS1431="","",Config!$B$18)</f>
        <v/>
      </c>
      <c r="V1431" t="str">
        <f>IF($AS1431="","",Config!$B$19)</f>
        <v/>
      </c>
      <c r="W1431" t="str">
        <f>IF($AS1431="","",INDEX('TMP Paste'!$C$2:$C$1601,$AS1431))</f>
        <v/>
      </c>
      <c r="X1431" t="str">
        <f>IF($AS1431="","",Config!$B$29)</f>
        <v/>
      </c>
      <c r="Y1431" t="str">
        <f>IF($AT1431="","",INDEX(Calc!$I$2:$I$1601,$AT1431)&amp;" - "&amp;INDEX(Calc!$D$2:$D$1601,$AT1431)&amp;" koli")</f>
        <v/>
      </c>
      <c r="Z1431" t="str">
        <f>IF($AS1431="","",Config!$B$21)</f>
        <v/>
      </c>
      <c r="AA1431" t="str">
        <f>IF($AS1431="","",Config!$B$22)</f>
        <v/>
      </c>
      <c r="AB1431" t="str">
        <f>IF($AT1431="","",INDEX(Calc!$D$2:$D$1601,$AT1431))</f>
        <v/>
      </c>
      <c r="AC1431" t="str">
        <f>IF($AT1431="","",INDEX(Calc!$G$2:$G$1601,$AT1431))</f>
        <v/>
      </c>
      <c r="AD1431" t="str">
        <f>IF($AS1431="","",Config!$B$23)</f>
        <v/>
      </c>
      <c r="AE1431" t="str">
        <f>IF($AS1431="","",Config!$B$28)</f>
        <v/>
      </c>
      <c r="AF1431" t="str">
        <f t="shared" si="134"/>
        <v/>
      </c>
      <c r="AG1431" t="str">
        <f t="shared" si="135"/>
        <v/>
      </c>
      <c r="AH1431" t="str">
        <f t="shared" si="136"/>
        <v/>
      </c>
      <c r="AI1431" t="str">
        <f>IF($AG1431="","",SUMIF($AG$2:$AG1431,$AG1431,$AH$2:$AH1431))</f>
        <v/>
      </c>
      <c r="AJ1431" t="str">
        <f>IF('TMP Paste'!$F1431="","",IF('TMP Paste'!$B1431="",$AJ1430,'TMP Paste'!$B1431))</f>
        <v/>
      </c>
      <c r="AK1431" t="str">
        <f>IF('TMP Paste'!$F1431="","",N('TMP Paste'!$G1431))</f>
        <v/>
      </c>
      <c r="AL1431" t="str">
        <f>IF('TMP Paste'!$F1431="","",IF('TMP Paste'!$M1431="",$AL1430,'TMP Paste'!$M1431))</f>
        <v/>
      </c>
      <c r="AM1431" t="str">
        <f>IF('TMP Paste'!$F1431="","",IF('TMP Paste'!$N1431="",$AM1430,'TMP Paste'!$N1431))</f>
        <v/>
      </c>
      <c r="AN1431" t="str">
        <f>IF('TMP Paste'!$F1431="","",IF('TMP Paste'!$O1431="",$AN1430,'TMP Paste'!$O1431))</f>
        <v/>
      </c>
      <c r="AO1431" t="str">
        <f>IF('TMP Paste'!$F1431="","",IF('TMP Paste'!$P1431="",$AO1430,'TMP Paste'!$P1431))</f>
        <v/>
      </c>
      <c r="AP1431" t="str">
        <f t="shared" si="137"/>
        <v/>
      </c>
      <c r="AQ1431" t="str">
        <f>IF($AS1431="","",TRIM(IF(COUNTIFS(Calc!$B$2:$B$1601,ROW()-1,Calc!$C$2:$C$1601,"&lt;1")&gt;0,"Ada PO tanpa Koli - cek TMP. ","")&amp;IF(OR($AU1431="",$AU1431&lt;=0),"Volume kosong/0 - dimensi dikosongkan. ","")&amp;IF(AND($AU1431&lt;&gt;"",$AU1431&gt;=1000000),"Volume &gt;= 1.000.000 cm3 (di luar aturan) - dimensi dikosongkan. ","")&amp;IF(LEN($R1431)&gt;500,"R &gt; 500 karakter.","")))</f>
        <v/>
      </c>
      <c r="AS1431" t="str">
        <f>IFERROR(MATCH(ROW()-1,Calc!$J$2:$J$1601,0),"")</f>
        <v/>
      </c>
      <c r="AT1431" t="str">
        <f>IFERROR(MATCH(ROW()-1,Calc!$K$2:$K$1601,0),"")</f>
        <v/>
      </c>
      <c r="AU1431" t="str">
        <f>IF($AS1431="","",IFERROR(INDEX('TMP Paste'!$D$2:$D$1601,$AS1431)*1000000/$AB1431,""))</f>
        <v/>
      </c>
    </row>
    <row r="1432" spans="1:47">
      <c r="A1432" t="str">
        <f>IF($AS1432="","",INDEX('TMP Paste'!$B$2:$B$1601,$AS1432))</f>
        <v/>
      </c>
      <c r="B1432" t="str">
        <f>IF($AS1432="","",Config!$B$14)</f>
        <v/>
      </c>
      <c r="C1432" t="str">
        <f>IF($AS1432="","",Config!$B$15)</f>
        <v/>
      </c>
      <c r="D1432" t="str">
        <f>IF($AS1432="","",INDEX('TMP Paste'!$B$2:$B$1601,$AS1432))</f>
        <v/>
      </c>
      <c r="E1432" t="str">
        <f>IF($AS1432="","",Config!$B$27)</f>
        <v/>
      </c>
      <c r="F1432" t="str">
        <f>IF($AS1432="","",Config!$B$9)</f>
        <v/>
      </c>
      <c r="G1432" t="str">
        <f>IF($AS1432="","",Config!$B$10)</f>
        <v/>
      </c>
      <c r="H1432" t="str">
        <f>IF($AS1432="","",Config!$B$11)</f>
        <v/>
      </c>
      <c r="I1432" t="str">
        <f>IF($AS1432="","",Config!$B$16)</f>
        <v/>
      </c>
      <c r="J1432" t="str">
        <f>IF($AS1432="","",INDEX('TMP Paste'!$A$2:$A$1601,$AS1432))</f>
        <v/>
      </c>
      <c r="K1432" t="str">
        <f>IF($AS1432="","",INDEX('TMP Paste'!$L$2:$L$1601,$AS1432))</f>
        <v/>
      </c>
      <c r="L1432" t="str">
        <f>IF($AS1432="","",INDEX('TMP Paste'!$I$2:$I$1601,$AS1432))</f>
        <v/>
      </c>
      <c r="M1432" t="str">
        <f>IF($AS1432="","",Config!$B$16)</f>
        <v/>
      </c>
      <c r="N1432" t="str">
        <f t="shared" si="132"/>
        <v/>
      </c>
      <c r="O1432" t="str">
        <f>IF($AS1432="","",INDEX('TMP Paste'!$K$2:$K$1601,$AS1432))</f>
        <v/>
      </c>
      <c r="P1432" t="str">
        <f t="shared" si="133"/>
        <v/>
      </c>
      <c r="Q1432" t="str">
        <f>IF($AS1432="","",INDEX('TMP Paste'!$J$2:$J$1601,$AS1432))</f>
        <v/>
      </c>
      <c r="R1432" t="str">
        <f>IF($AS1432="","",Config!$B$24)</f>
        <v/>
      </c>
      <c r="S1432" t="str">
        <f ca="1">IF($AS1432="","",TEXT(Config!$B$4,"yyyy-mm-dd"))</f>
        <v/>
      </c>
      <c r="T1432" t="str">
        <f>IF($AS1432="","",Config!$B$17)</f>
        <v/>
      </c>
      <c r="U1432" t="str">
        <f>IF($AS1432="","",Config!$B$18)</f>
        <v/>
      </c>
      <c r="V1432" t="str">
        <f>IF($AS1432="","",Config!$B$19)</f>
        <v/>
      </c>
      <c r="W1432" t="str">
        <f>IF($AS1432="","",INDEX('TMP Paste'!$C$2:$C$1601,$AS1432))</f>
        <v/>
      </c>
      <c r="X1432" t="str">
        <f>IF($AS1432="","",Config!$B$29)</f>
        <v/>
      </c>
      <c r="Y1432" t="str">
        <f>IF($AT1432="","",INDEX(Calc!$I$2:$I$1601,$AT1432)&amp;" - "&amp;INDEX(Calc!$D$2:$D$1601,$AT1432)&amp;" koli")</f>
        <v/>
      </c>
      <c r="Z1432" t="str">
        <f>IF($AS1432="","",Config!$B$21)</f>
        <v/>
      </c>
      <c r="AA1432" t="str">
        <f>IF($AS1432="","",Config!$B$22)</f>
        <v/>
      </c>
      <c r="AB1432" t="str">
        <f>IF($AT1432="","",INDEX(Calc!$D$2:$D$1601,$AT1432))</f>
        <v/>
      </c>
      <c r="AC1432" t="str">
        <f>IF($AT1432="","",INDEX(Calc!$G$2:$G$1601,$AT1432))</f>
        <v/>
      </c>
      <c r="AD1432" t="str">
        <f>IF($AS1432="","",Config!$B$23)</f>
        <v/>
      </c>
      <c r="AE1432" t="str">
        <f>IF($AS1432="","",Config!$B$28)</f>
        <v/>
      </c>
      <c r="AF1432" t="str">
        <f t="shared" si="134"/>
        <v/>
      </c>
      <c r="AG1432" t="str">
        <f t="shared" si="135"/>
        <v/>
      </c>
      <c r="AH1432" t="str">
        <f t="shared" si="136"/>
        <v/>
      </c>
      <c r="AI1432" t="str">
        <f>IF($AG1432="","",SUMIF($AG$2:$AG1432,$AG1432,$AH$2:$AH1432))</f>
        <v/>
      </c>
      <c r="AJ1432" t="str">
        <f>IF('TMP Paste'!$F1432="","",IF('TMP Paste'!$B1432="",$AJ1431,'TMP Paste'!$B1432))</f>
        <v/>
      </c>
      <c r="AK1432" t="str">
        <f>IF('TMP Paste'!$F1432="","",N('TMP Paste'!$G1432))</f>
        <v/>
      </c>
      <c r="AL1432" t="str">
        <f>IF('TMP Paste'!$F1432="","",IF('TMP Paste'!$M1432="",$AL1431,'TMP Paste'!$M1432))</f>
        <v/>
      </c>
      <c r="AM1432" t="str">
        <f>IF('TMP Paste'!$F1432="","",IF('TMP Paste'!$N1432="",$AM1431,'TMP Paste'!$N1432))</f>
        <v/>
      </c>
      <c r="AN1432" t="str">
        <f>IF('TMP Paste'!$F1432="","",IF('TMP Paste'!$O1432="",$AN1431,'TMP Paste'!$O1432))</f>
        <v/>
      </c>
      <c r="AO1432" t="str">
        <f>IF('TMP Paste'!$F1432="","",IF('TMP Paste'!$P1432="",$AO1431,'TMP Paste'!$P1432))</f>
        <v/>
      </c>
      <c r="AP1432" t="str">
        <f t="shared" si="137"/>
        <v/>
      </c>
      <c r="AQ1432" t="str">
        <f>IF($AS1432="","",TRIM(IF(COUNTIFS(Calc!$B$2:$B$1601,ROW()-1,Calc!$C$2:$C$1601,"&lt;1")&gt;0,"Ada PO tanpa Koli - cek TMP. ","")&amp;IF(OR($AU1432="",$AU1432&lt;=0),"Volume kosong/0 - dimensi dikosongkan. ","")&amp;IF(AND($AU1432&lt;&gt;"",$AU1432&gt;=1000000),"Volume &gt;= 1.000.000 cm3 (di luar aturan) - dimensi dikosongkan. ","")&amp;IF(LEN($R1432)&gt;500,"R &gt; 500 karakter.","")))</f>
        <v/>
      </c>
      <c r="AS1432" t="str">
        <f>IFERROR(MATCH(ROW()-1,Calc!$J$2:$J$1601,0),"")</f>
        <v/>
      </c>
      <c r="AT1432" t="str">
        <f>IFERROR(MATCH(ROW()-1,Calc!$K$2:$K$1601,0),"")</f>
        <v/>
      </c>
      <c r="AU1432" t="str">
        <f>IF($AS1432="","",IFERROR(INDEX('TMP Paste'!$D$2:$D$1601,$AS1432)*1000000/$AB1432,""))</f>
        <v/>
      </c>
    </row>
    <row r="1433" spans="1:47">
      <c r="A1433" t="str">
        <f>IF($AS1433="","",INDEX('TMP Paste'!$B$2:$B$1601,$AS1433))</f>
        <v/>
      </c>
      <c r="B1433" t="str">
        <f>IF($AS1433="","",Config!$B$14)</f>
        <v/>
      </c>
      <c r="C1433" t="str">
        <f>IF($AS1433="","",Config!$B$15)</f>
        <v/>
      </c>
      <c r="D1433" t="str">
        <f>IF($AS1433="","",INDEX('TMP Paste'!$B$2:$B$1601,$AS1433))</f>
        <v/>
      </c>
      <c r="E1433" t="str">
        <f>IF($AS1433="","",Config!$B$27)</f>
        <v/>
      </c>
      <c r="F1433" t="str">
        <f>IF($AS1433="","",Config!$B$9)</f>
        <v/>
      </c>
      <c r="G1433" t="str">
        <f>IF($AS1433="","",Config!$B$10)</f>
        <v/>
      </c>
      <c r="H1433" t="str">
        <f>IF($AS1433="","",Config!$B$11)</f>
        <v/>
      </c>
      <c r="I1433" t="str">
        <f>IF($AS1433="","",Config!$B$16)</f>
        <v/>
      </c>
      <c r="J1433" t="str">
        <f>IF($AS1433="","",INDEX('TMP Paste'!$A$2:$A$1601,$AS1433))</f>
        <v/>
      </c>
      <c r="K1433" t="str">
        <f>IF($AS1433="","",INDEX('TMP Paste'!$L$2:$L$1601,$AS1433))</f>
        <v/>
      </c>
      <c r="L1433" t="str">
        <f>IF($AS1433="","",INDEX('TMP Paste'!$I$2:$I$1601,$AS1433))</f>
        <v/>
      </c>
      <c r="M1433" t="str">
        <f>IF($AS1433="","",Config!$B$16)</f>
        <v/>
      </c>
      <c r="N1433" t="str">
        <f t="shared" si="132"/>
        <v/>
      </c>
      <c r="O1433" t="str">
        <f>IF($AS1433="","",INDEX('TMP Paste'!$K$2:$K$1601,$AS1433))</f>
        <v/>
      </c>
      <c r="P1433" t="str">
        <f t="shared" si="133"/>
        <v/>
      </c>
      <c r="Q1433" t="str">
        <f>IF($AS1433="","",INDEX('TMP Paste'!$J$2:$J$1601,$AS1433))</f>
        <v/>
      </c>
      <c r="R1433" t="str">
        <f>IF($AS1433="","",Config!$B$24)</f>
        <v/>
      </c>
      <c r="S1433" t="str">
        <f ca="1">IF($AS1433="","",TEXT(Config!$B$4,"yyyy-mm-dd"))</f>
        <v/>
      </c>
      <c r="T1433" t="str">
        <f>IF($AS1433="","",Config!$B$17)</f>
        <v/>
      </c>
      <c r="U1433" t="str">
        <f>IF($AS1433="","",Config!$B$18)</f>
        <v/>
      </c>
      <c r="V1433" t="str">
        <f>IF($AS1433="","",Config!$B$19)</f>
        <v/>
      </c>
      <c r="W1433" t="str">
        <f>IF($AS1433="","",INDEX('TMP Paste'!$C$2:$C$1601,$AS1433))</f>
        <v/>
      </c>
      <c r="X1433" t="str">
        <f>IF($AS1433="","",Config!$B$29)</f>
        <v/>
      </c>
      <c r="Y1433" t="str">
        <f>IF($AT1433="","",INDEX(Calc!$I$2:$I$1601,$AT1433)&amp;" - "&amp;INDEX(Calc!$D$2:$D$1601,$AT1433)&amp;" koli")</f>
        <v/>
      </c>
      <c r="Z1433" t="str">
        <f>IF($AS1433="","",Config!$B$21)</f>
        <v/>
      </c>
      <c r="AA1433" t="str">
        <f>IF($AS1433="","",Config!$B$22)</f>
        <v/>
      </c>
      <c r="AB1433" t="str">
        <f>IF($AT1433="","",INDEX(Calc!$D$2:$D$1601,$AT1433))</f>
        <v/>
      </c>
      <c r="AC1433" t="str">
        <f>IF($AT1433="","",INDEX(Calc!$G$2:$G$1601,$AT1433))</f>
        <v/>
      </c>
      <c r="AD1433" t="str">
        <f>IF($AS1433="","",Config!$B$23)</f>
        <v/>
      </c>
      <c r="AE1433" t="str">
        <f>IF($AS1433="","",Config!$B$28)</f>
        <v/>
      </c>
      <c r="AF1433" t="str">
        <f t="shared" si="134"/>
        <v/>
      </c>
      <c r="AG1433" t="str">
        <f t="shared" si="135"/>
        <v/>
      </c>
      <c r="AH1433" t="str">
        <f t="shared" si="136"/>
        <v/>
      </c>
      <c r="AI1433" t="str">
        <f>IF($AG1433="","",SUMIF($AG$2:$AG1433,$AG1433,$AH$2:$AH1433))</f>
        <v/>
      </c>
      <c r="AJ1433" t="str">
        <f>IF('TMP Paste'!$F1433="","",IF('TMP Paste'!$B1433="",$AJ1432,'TMP Paste'!$B1433))</f>
        <v/>
      </c>
      <c r="AK1433" t="str">
        <f>IF('TMP Paste'!$F1433="","",N('TMP Paste'!$G1433))</f>
        <v/>
      </c>
      <c r="AL1433" t="str">
        <f>IF('TMP Paste'!$F1433="","",IF('TMP Paste'!$M1433="",$AL1432,'TMP Paste'!$M1433))</f>
        <v/>
      </c>
      <c r="AM1433" t="str">
        <f>IF('TMP Paste'!$F1433="","",IF('TMP Paste'!$N1433="",$AM1432,'TMP Paste'!$N1433))</f>
        <v/>
      </c>
      <c r="AN1433" t="str">
        <f>IF('TMP Paste'!$F1433="","",IF('TMP Paste'!$O1433="",$AN1432,'TMP Paste'!$O1433))</f>
        <v/>
      </c>
      <c r="AO1433" t="str">
        <f>IF('TMP Paste'!$F1433="","",IF('TMP Paste'!$P1433="",$AO1432,'TMP Paste'!$P1433))</f>
        <v/>
      </c>
      <c r="AP1433" t="str">
        <f t="shared" si="137"/>
        <v/>
      </c>
      <c r="AQ1433" t="str">
        <f>IF($AS1433="","",TRIM(IF(COUNTIFS(Calc!$B$2:$B$1601,ROW()-1,Calc!$C$2:$C$1601,"&lt;1")&gt;0,"Ada PO tanpa Koli - cek TMP. ","")&amp;IF(OR($AU1433="",$AU1433&lt;=0),"Volume kosong/0 - dimensi dikosongkan. ","")&amp;IF(AND($AU1433&lt;&gt;"",$AU1433&gt;=1000000),"Volume &gt;= 1.000.000 cm3 (di luar aturan) - dimensi dikosongkan. ","")&amp;IF(LEN($R1433)&gt;500,"R &gt; 500 karakter.","")))</f>
        <v/>
      </c>
      <c r="AS1433" t="str">
        <f>IFERROR(MATCH(ROW()-1,Calc!$J$2:$J$1601,0),"")</f>
        <v/>
      </c>
      <c r="AT1433" t="str">
        <f>IFERROR(MATCH(ROW()-1,Calc!$K$2:$K$1601,0),"")</f>
        <v/>
      </c>
      <c r="AU1433" t="str">
        <f>IF($AS1433="","",IFERROR(INDEX('TMP Paste'!$D$2:$D$1601,$AS1433)*1000000/$AB1433,""))</f>
        <v/>
      </c>
    </row>
    <row r="1434" spans="1:47">
      <c r="A1434" t="str">
        <f>IF($AS1434="","",INDEX('TMP Paste'!$B$2:$B$1601,$AS1434))</f>
        <v/>
      </c>
      <c r="B1434" t="str">
        <f>IF($AS1434="","",Config!$B$14)</f>
        <v/>
      </c>
      <c r="C1434" t="str">
        <f>IF($AS1434="","",Config!$B$15)</f>
        <v/>
      </c>
      <c r="D1434" t="str">
        <f>IF($AS1434="","",INDEX('TMP Paste'!$B$2:$B$1601,$AS1434))</f>
        <v/>
      </c>
      <c r="E1434" t="str">
        <f>IF($AS1434="","",Config!$B$27)</f>
        <v/>
      </c>
      <c r="F1434" t="str">
        <f>IF($AS1434="","",Config!$B$9)</f>
        <v/>
      </c>
      <c r="G1434" t="str">
        <f>IF($AS1434="","",Config!$B$10)</f>
        <v/>
      </c>
      <c r="H1434" t="str">
        <f>IF($AS1434="","",Config!$B$11)</f>
        <v/>
      </c>
      <c r="I1434" t="str">
        <f>IF($AS1434="","",Config!$B$16)</f>
        <v/>
      </c>
      <c r="J1434" t="str">
        <f>IF($AS1434="","",INDEX('TMP Paste'!$A$2:$A$1601,$AS1434))</f>
        <v/>
      </c>
      <c r="K1434" t="str">
        <f>IF($AS1434="","",INDEX('TMP Paste'!$L$2:$L$1601,$AS1434))</f>
        <v/>
      </c>
      <c r="L1434" t="str">
        <f>IF($AS1434="","",INDEX('TMP Paste'!$I$2:$I$1601,$AS1434))</f>
        <v/>
      </c>
      <c r="M1434" t="str">
        <f>IF($AS1434="","",Config!$B$16)</f>
        <v/>
      </c>
      <c r="N1434" t="str">
        <f t="shared" si="132"/>
        <v/>
      </c>
      <c r="O1434" t="str">
        <f>IF($AS1434="","",INDEX('TMP Paste'!$K$2:$K$1601,$AS1434))</f>
        <v/>
      </c>
      <c r="P1434" t="str">
        <f t="shared" si="133"/>
        <v/>
      </c>
      <c r="Q1434" t="str">
        <f>IF($AS1434="","",INDEX('TMP Paste'!$J$2:$J$1601,$AS1434))</f>
        <v/>
      </c>
      <c r="R1434" t="str">
        <f>IF($AS1434="","",Config!$B$24)</f>
        <v/>
      </c>
      <c r="S1434" t="str">
        <f ca="1">IF($AS1434="","",TEXT(Config!$B$4,"yyyy-mm-dd"))</f>
        <v/>
      </c>
      <c r="T1434" t="str">
        <f>IF($AS1434="","",Config!$B$17)</f>
        <v/>
      </c>
      <c r="U1434" t="str">
        <f>IF($AS1434="","",Config!$B$18)</f>
        <v/>
      </c>
      <c r="V1434" t="str">
        <f>IF($AS1434="","",Config!$B$19)</f>
        <v/>
      </c>
      <c r="W1434" t="str">
        <f>IF($AS1434="","",INDEX('TMP Paste'!$C$2:$C$1601,$AS1434))</f>
        <v/>
      </c>
      <c r="X1434" t="str">
        <f>IF($AS1434="","",Config!$B$29)</f>
        <v/>
      </c>
      <c r="Y1434" t="str">
        <f>IF($AT1434="","",INDEX(Calc!$I$2:$I$1601,$AT1434)&amp;" - "&amp;INDEX(Calc!$D$2:$D$1601,$AT1434)&amp;" koli")</f>
        <v/>
      </c>
      <c r="Z1434" t="str">
        <f>IF($AS1434="","",Config!$B$21)</f>
        <v/>
      </c>
      <c r="AA1434" t="str">
        <f>IF($AS1434="","",Config!$B$22)</f>
        <v/>
      </c>
      <c r="AB1434" t="str">
        <f>IF($AT1434="","",INDEX(Calc!$D$2:$D$1601,$AT1434))</f>
        <v/>
      </c>
      <c r="AC1434" t="str">
        <f>IF($AT1434="","",INDEX(Calc!$G$2:$G$1601,$AT1434))</f>
        <v/>
      </c>
      <c r="AD1434" t="str">
        <f>IF($AS1434="","",Config!$B$23)</f>
        <v/>
      </c>
      <c r="AE1434" t="str">
        <f>IF($AS1434="","",Config!$B$28)</f>
        <v/>
      </c>
      <c r="AF1434" t="str">
        <f t="shared" si="134"/>
        <v/>
      </c>
      <c r="AG1434" t="str">
        <f t="shared" si="135"/>
        <v/>
      </c>
      <c r="AH1434" t="str">
        <f t="shared" si="136"/>
        <v/>
      </c>
      <c r="AI1434" t="str">
        <f>IF($AG1434="","",SUMIF($AG$2:$AG1434,$AG1434,$AH$2:$AH1434))</f>
        <v/>
      </c>
      <c r="AJ1434" t="str">
        <f>IF('TMP Paste'!$F1434="","",IF('TMP Paste'!$B1434="",$AJ1433,'TMP Paste'!$B1434))</f>
        <v/>
      </c>
      <c r="AK1434" t="str">
        <f>IF('TMP Paste'!$F1434="","",N('TMP Paste'!$G1434))</f>
        <v/>
      </c>
      <c r="AL1434" t="str">
        <f>IF('TMP Paste'!$F1434="","",IF('TMP Paste'!$M1434="",$AL1433,'TMP Paste'!$M1434))</f>
        <v/>
      </c>
      <c r="AM1434" t="str">
        <f>IF('TMP Paste'!$F1434="","",IF('TMP Paste'!$N1434="",$AM1433,'TMP Paste'!$N1434))</f>
        <v/>
      </c>
      <c r="AN1434" t="str">
        <f>IF('TMP Paste'!$F1434="","",IF('TMP Paste'!$O1434="",$AN1433,'TMP Paste'!$O1434))</f>
        <v/>
      </c>
      <c r="AO1434" t="str">
        <f>IF('TMP Paste'!$F1434="","",IF('TMP Paste'!$P1434="",$AO1433,'TMP Paste'!$P1434))</f>
        <v/>
      </c>
      <c r="AP1434" t="str">
        <f t="shared" si="137"/>
        <v/>
      </c>
      <c r="AQ1434" t="str">
        <f>IF($AS1434="","",TRIM(IF(COUNTIFS(Calc!$B$2:$B$1601,ROW()-1,Calc!$C$2:$C$1601,"&lt;1")&gt;0,"Ada PO tanpa Koli - cek TMP. ","")&amp;IF(OR($AU1434="",$AU1434&lt;=0),"Volume kosong/0 - dimensi dikosongkan. ","")&amp;IF(AND($AU1434&lt;&gt;"",$AU1434&gt;=1000000),"Volume &gt;= 1.000.000 cm3 (di luar aturan) - dimensi dikosongkan. ","")&amp;IF(LEN($R1434)&gt;500,"R &gt; 500 karakter.","")))</f>
        <v/>
      </c>
      <c r="AS1434" t="str">
        <f>IFERROR(MATCH(ROW()-1,Calc!$J$2:$J$1601,0),"")</f>
        <v/>
      </c>
      <c r="AT1434" t="str">
        <f>IFERROR(MATCH(ROW()-1,Calc!$K$2:$K$1601,0),"")</f>
        <v/>
      </c>
      <c r="AU1434" t="str">
        <f>IF($AS1434="","",IFERROR(INDEX('TMP Paste'!$D$2:$D$1601,$AS1434)*1000000/$AB1434,""))</f>
        <v/>
      </c>
    </row>
    <row r="1435" spans="1:47">
      <c r="A1435" t="str">
        <f>IF($AS1435="","",INDEX('TMP Paste'!$B$2:$B$1601,$AS1435))</f>
        <v/>
      </c>
      <c r="B1435" t="str">
        <f>IF($AS1435="","",Config!$B$14)</f>
        <v/>
      </c>
      <c r="C1435" t="str">
        <f>IF($AS1435="","",Config!$B$15)</f>
        <v/>
      </c>
      <c r="D1435" t="str">
        <f>IF($AS1435="","",INDEX('TMP Paste'!$B$2:$B$1601,$AS1435))</f>
        <v/>
      </c>
      <c r="E1435" t="str">
        <f>IF($AS1435="","",Config!$B$27)</f>
        <v/>
      </c>
      <c r="F1435" t="str">
        <f>IF($AS1435="","",Config!$B$9)</f>
        <v/>
      </c>
      <c r="G1435" t="str">
        <f>IF($AS1435="","",Config!$B$10)</f>
        <v/>
      </c>
      <c r="H1435" t="str">
        <f>IF($AS1435="","",Config!$B$11)</f>
        <v/>
      </c>
      <c r="I1435" t="str">
        <f>IF($AS1435="","",Config!$B$16)</f>
        <v/>
      </c>
      <c r="J1435" t="str">
        <f>IF($AS1435="","",INDEX('TMP Paste'!$A$2:$A$1601,$AS1435))</f>
        <v/>
      </c>
      <c r="K1435" t="str">
        <f>IF($AS1435="","",INDEX('TMP Paste'!$L$2:$L$1601,$AS1435))</f>
        <v/>
      </c>
      <c r="L1435" t="str">
        <f>IF($AS1435="","",INDEX('TMP Paste'!$I$2:$I$1601,$AS1435))</f>
        <v/>
      </c>
      <c r="M1435" t="str">
        <f>IF($AS1435="","",Config!$B$16)</f>
        <v/>
      </c>
      <c r="N1435" t="str">
        <f t="shared" si="132"/>
        <v/>
      </c>
      <c r="O1435" t="str">
        <f>IF($AS1435="","",INDEX('TMP Paste'!$K$2:$K$1601,$AS1435))</f>
        <v/>
      </c>
      <c r="P1435" t="str">
        <f t="shared" si="133"/>
        <v/>
      </c>
      <c r="Q1435" t="str">
        <f>IF($AS1435="","",INDEX('TMP Paste'!$J$2:$J$1601,$AS1435))</f>
        <v/>
      </c>
      <c r="R1435" t="str">
        <f>IF($AS1435="","",Config!$B$24)</f>
        <v/>
      </c>
      <c r="S1435" t="str">
        <f ca="1">IF($AS1435="","",TEXT(Config!$B$4,"yyyy-mm-dd"))</f>
        <v/>
      </c>
      <c r="T1435" t="str">
        <f>IF($AS1435="","",Config!$B$17)</f>
        <v/>
      </c>
      <c r="U1435" t="str">
        <f>IF($AS1435="","",Config!$B$18)</f>
        <v/>
      </c>
      <c r="V1435" t="str">
        <f>IF($AS1435="","",Config!$B$19)</f>
        <v/>
      </c>
      <c r="W1435" t="str">
        <f>IF($AS1435="","",INDEX('TMP Paste'!$C$2:$C$1601,$AS1435))</f>
        <v/>
      </c>
      <c r="X1435" t="str">
        <f>IF($AS1435="","",Config!$B$29)</f>
        <v/>
      </c>
      <c r="Y1435" t="str">
        <f>IF($AT1435="","",INDEX(Calc!$I$2:$I$1601,$AT1435)&amp;" - "&amp;INDEX(Calc!$D$2:$D$1601,$AT1435)&amp;" koli")</f>
        <v/>
      </c>
      <c r="Z1435" t="str">
        <f>IF($AS1435="","",Config!$B$21)</f>
        <v/>
      </c>
      <c r="AA1435" t="str">
        <f>IF($AS1435="","",Config!$B$22)</f>
        <v/>
      </c>
      <c r="AB1435" t="str">
        <f>IF($AT1435="","",INDEX(Calc!$D$2:$D$1601,$AT1435))</f>
        <v/>
      </c>
      <c r="AC1435" t="str">
        <f>IF($AT1435="","",INDEX(Calc!$G$2:$G$1601,$AT1435))</f>
        <v/>
      </c>
      <c r="AD1435" t="str">
        <f>IF($AS1435="","",Config!$B$23)</f>
        <v/>
      </c>
      <c r="AE1435" t="str">
        <f>IF($AS1435="","",Config!$B$28)</f>
        <v/>
      </c>
      <c r="AF1435" t="str">
        <f t="shared" si="134"/>
        <v/>
      </c>
      <c r="AG1435" t="str">
        <f t="shared" si="135"/>
        <v/>
      </c>
      <c r="AH1435" t="str">
        <f t="shared" si="136"/>
        <v/>
      </c>
      <c r="AI1435" t="str">
        <f>IF($AG1435="","",SUMIF($AG$2:$AG1435,$AG1435,$AH$2:$AH1435))</f>
        <v/>
      </c>
      <c r="AJ1435" t="str">
        <f>IF('TMP Paste'!$F1435="","",IF('TMP Paste'!$B1435="",$AJ1434,'TMP Paste'!$B1435))</f>
        <v/>
      </c>
      <c r="AK1435" t="str">
        <f>IF('TMP Paste'!$F1435="","",N('TMP Paste'!$G1435))</f>
        <v/>
      </c>
      <c r="AL1435" t="str">
        <f>IF('TMP Paste'!$F1435="","",IF('TMP Paste'!$M1435="",$AL1434,'TMP Paste'!$M1435))</f>
        <v/>
      </c>
      <c r="AM1435" t="str">
        <f>IF('TMP Paste'!$F1435="","",IF('TMP Paste'!$N1435="",$AM1434,'TMP Paste'!$N1435))</f>
        <v/>
      </c>
      <c r="AN1435" t="str">
        <f>IF('TMP Paste'!$F1435="","",IF('TMP Paste'!$O1435="",$AN1434,'TMP Paste'!$O1435))</f>
        <v/>
      </c>
      <c r="AO1435" t="str">
        <f>IF('TMP Paste'!$F1435="","",IF('TMP Paste'!$P1435="",$AO1434,'TMP Paste'!$P1435))</f>
        <v/>
      </c>
      <c r="AP1435" t="str">
        <f t="shared" si="137"/>
        <v/>
      </c>
      <c r="AQ1435" t="str">
        <f>IF($AS1435="","",TRIM(IF(COUNTIFS(Calc!$B$2:$B$1601,ROW()-1,Calc!$C$2:$C$1601,"&lt;1")&gt;0,"Ada PO tanpa Koli - cek TMP. ","")&amp;IF(OR($AU1435="",$AU1435&lt;=0),"Volume kosong/0 - dimensi dikosongkan. ","")&amp;IF(AND($AU1435&lt;&gt;"",$AU1435&gt;=1000000),"Volume &gt;= 1.000.000 cm3 (di luar aturan) - dimensi dikosongkan. ","")&amp;IF(LEN($R1435)&gt;500,"R &gt; 500 karakter.","")))</f>
        <v/>
      </c>
      <c r="AS1435" t="str">
        <f>IFERROR(MATCH(ROW()-1,Calc!$J$2:$J$1601,0),"")</f>
        <v/>
      </c>
      <c r="AT1435" t="str">
        <f>IFERROR(MATCH(ROW()-1,Calc!$K$2:$K$1601,0),"")</f>
        <v/>
      </c>
      <c r="AU1435" t="str">
        <f>IF($AS1435="","",IFERROR(INDEX('TMP Paste'!$D$2:$D$1601,$AS1435)*1000000/$AB1435,""))</f>
        <v/>
      </c>
    </row>
    <row r="1436" spans="1:47">
      <c r="A1436" t="str">
        <f>IF($AS1436="","",INDEX('TMP Paste'!$B$2:$B$1601,$AS1436))</f>
        <v/>
      </c>
      <c r="B1436" t="str">
        <f>IF($AS1436="","",Config!$B$14)</f>
        <v/>
      </c>
      <c r="C1436" t="str">
        <f>IF($AS1436="","",Config!$B$15)</f>
        <v/>
      </c>
      <c r="D1436" t="str">
        <f>IF($AS1436="","",INDEX('TMP Paste'!$B$2:$B$1601,$AS1436))</f>
        <v/>
      </c>
      <c r="E1436" t="str">
        <f>IF($AS1436="","",Config!$B$27)</f>
        <v/>
      </c>
      <c r="F1436" t="str">
        <f>IF($AS1436="","",Config!$B$9)</f>
        <v/>
      </c>
      <c r="G1436" t="str">
        <f>IF($AS1436="","",Config!$B$10)</f>
        <v/>
      </c>
      <c r="H1436" t="str">
        <f>IF($AS1436="","",Config!$B$11)</f>
        <v/>
      </c>
      <c r="I1436" t="str">
        <f>IF($AS1436="","",Config!$B$16)</f>
        <v/>
      </c>
      <c r="J1436" t="str">
        <f>IF($AS1436="","",INDEX('TMP Paste'!$A$2:$A$1601,$AS1436))</f>
        <v/>
      </c>
      <c r="K1436" t="str">
        <f>IF($AS1436="","",INDEX('TMP Paste'!$L$2:$L$1601,$AS1436))</f>
        <v/>
      </c>
      <c r="L1436" t="str">
        <f>IF($AS1436="","",INDEX('TMP Paste'!$I$2:$I$1601,$AS1436))</f>
        <v/>
      </c>
      <c r="M1436" t="str">
        <f>IF($AS1436="","",Config!$B$16)</f>
        <v/>
      </c>
      <c r="N1436" t="str">
        <f t="shared" si="132"/>
        <v/>
      </c>
      <c r="O1436" t="str">
        <f>IF($AS1436="","",INDEX('TMP Paste'!$K$2:$K$1601,$AS1436))</f>
        <v/>
      </c>
      <c r="P1436" t="str">
        <f t="shared" si="133"/>
        <v/>
      </c>
      <c r="Q1436" t="str">
        <f>IF($AS1436="","",INDEX('TMP Paste'!$J$2:$J$1601,$AS1436))</f>
        <v/>
      </c>
      <c r="R1436" t="str">
        <f>IF($AS1436="","",Config!$B$24)</f>
        <v/>
      </c>
      <c r="S1436" t="str">
        <f ca="1">IF($AS1436="","",TEXT(Config!$B$4,"yyyy-mm-dd"))</f>
        <v/>
      </c>
      <c r="T1436" t="str">
        <f>IF($AS1436="","",Config!$B$17)</f>
        <v/>
      </c>
      <c r="U1436" t="str">
        <f>IF($AS1436="","",Config!$B$18)</f>
        <v/>
      </c>
      <c r="V1436" t="str">
        <f>IF($AS1436="","",Config!$B$19)</f>
        <v/>
      </c>
      <c r="W1436" t="str">
        <f>IF($AS1436="","",INDEX('TMP Paste'!$C$2:$C$1601,$AS1436))</f>
        <v/>
      </c>
      <c r="X1436" t="str">
        <f>IF($AS1436="","",Config!$B$29)</f>
        <v/>
      </c>
      <c r="Y1436" t="str">
        <f>IF($AT1436="","",INDEX(Calc!$I$2:$I$1601,$AT1436)&amp;" - "&amp;INDEX(Calc!$D$2:$D$1601,$AT1436)&amp;" koli")</f>
        <v/>
      </c>
      <c r="Z1436" t="str">
        <f>IF($AS1436="","",Config!$B$21)</f>
        <v/>
      </c>
      <c r="AA1436" t="str">
        <f>IF($AS1436="","",Config!$B$22)</f>
        <v/>
      </c>
      <c r="AB1436" t="str">
        <f>IF($AT1436="","",INDEX(Calc!$D$2:$D$1601,$AT1436))</f>
        <v/>
      </c>
      <c r="AC1436" t="str">
        <f>IF($AT1436="","",INDEX(Calc!$G$2:$G$1601,$AT1436))</f>
        <v/>
      </c>
      <c r="AD1436" t="str">
        <f>IF($AS1436="","",Config!$B$23)</f>
        <v/>
      </c>
      <c r="AE1436" t="str">
        <f>IF($AS1436="","",Config!$B$28)</f>
        <v/>
      </c>
      <c r="AF1436" t="str">
        <f t="shared" si="134"/>
        <v/>
      </c>
      <c r="AG1436" t="str">
        <f t="shared" si="135"/>
        <v/>
      </c>
      <c r="AH1436" t="str">
        <f t="shared" si="136"/>
        <v/>
      </c>
      <c r="AI1436" t="str">
        <f>IF($AG1436="","",SUMIF($AG$2:$AG1436,$AG1436,$AH$2:$AH1436))</f>
        <v/>
      </c>
      <c r="AJ1436" t="str">
        <f>IF('TMP Paste'!$F1436="","",IF('TMP Paste'!$B1436="",$AJ1435,'TMP Paste'!$B1436))</f>
        <v/>
      </c>
      <c r="AK1436" t="str">
        <f>IF('TMP Paste'!$F1436="","",N('TMP Paste'!$G1436))</f>
        <v/>
      </c>
      <c r="AL1436" t="str">
        <f>IF('TMP Paste'!$F1436="","",IF('TMP Paste'!$M1436="",$AL1435,'TMP Paste'!$M1436))</f>
        <v/>
      </c>
      <c r="AM1436" t="str">
        <f>IF('TMP Paste'!$F1436="","",IF('TMP Paste'!$N1436="",$AM1435,'TMP Paste'!$N1436))</f>
        <v/>
      </c>
      <c r="AN1436" t="str">
        <f>IF('TMP Paste'!$F1436="","",IF('TMP Paste'!$O1436="",$AN1435,'TMP Paste'!$O1436))</f>
        <v/>
      </c>
      <c r="AO1436" t="str">
        <f>IF('TMP Paste'!$F1436="","",IF('TMP Paste'!$P1436="",$AO1435,'TMP Paste'!$P1436))</f>
        <v/>
      </c>
      <c r="AP1436" t="str">
        <f t="shared" si="137"/>
        <v/>
      </c>
      <c r="AQ1436" t="str">
        <f>IF($AS1436="","",TRIM(IF(COUNTIFS(Calc!$B$2:$B$1601,ROW()-1,Calc!$C$2:$C$1601,"&lt;1")&gt;0,"Ada PO tanpa Koli - cek TMP. ","")&amp;IF(OR($AU1436="",$AU1436&lt;=0),"Volume kosong/0 - dimensi dikosongkan. ","")&amp;IF(AND($AU1436&lt;&gt;"",$AU1436&gt;=1000000),"Volume &gt;= 1.000.000 cm3 (di luar aturan) - dimensi dikosongkan. ","")&amp;IF(LEN($R1436)&gt;500,"R &gt; 500 karakter.","")))</f>
        <v/>
      </c>
      <c r="AS1436" t="str">
        <f>IFERROR(MATCH(ROW()-1,Calc!$J$2:$J$1601,0),"")</f>
        <v/>
      </c>
      <c r="AT1436" t="str">
        <f>IFERROR(MATCH(ROW()-1,Calc!$K$2:$K$1601,0),"")</f>
        <v/>
      </c>
      <c r="AU1436" t="str">
        <f>IF($AS1436="","",IFERROR(INDEX('TMP Paste'!$D$2:$D$1601,$AS1436)*1000000/$AB1436,""))</f>
        <v/>
      </c>
    </row>
    <row r="1437" spans="1:47">
      <c r="A1437" t="str">
        <f>IF($AS1437="","",INDEX('TMP Paste'!$B$2:$B$1601,$AS1437))</f>
        <v/>
      </c>
      <c r="B1437" t="str">
        <f>IF($AS1437="","",Config!$B$14)</f>
        <v/>
      </c>
      <c r="C1437" t="str">
        <f>IF($AS1437="","",Config!$B$15)</f>
        <v/>
      </c>
      <c r="D1437" t="str">
        <f>IF($AS1437="","",INDEX('TMP Paste'!$B$2:$B$1601,$AS1437))</f>
        <v/>
      </c>
      <c r="E1437" t="str">
        <f>IF($AS1437="","",Config!$B$27)</f>
        <v/>
      </c>
      <c r="F1437" t="str">
        <f>IF($AS1437="","",Config!$B$9)</f>
        <v/>
      </c>
      <c r="G1437" t="str">
        <f>IF($AS1437="","",Config!$B$10)</f>
        <v/>
      </c>
      <c r="H1437" t="str">
        <f>IF($AS1437="","",Config!$B$11)</f>
        <v/>
      </c>
      <c r="I1437" t="str">
        <f>IF($AS1437="","",Config!$B$16)</f>
        <v/>
      </c>
      <c r="J1437" t="str">
        <f>IF($AS1437="","",INDEX('TMP Paste'!$A$2:$A$1601,$AS1437))</f>
        <v/>
      </c>
      <c r="K1437" t="str">
        <f>IF($AS1437="","",INDEX('TMP Paste'!$L$2:$L$1601,$AS1437))</f>
        <v/>
      </c>
      <c r="L1437" t="str">
        <f>IF($AS1437="","",INDEX('TMP Paste'!$I$2:$I$1601,$AS1437))</f>
        <v/>
      </c>
      <c r="M1437" t="str">
        <f>IF($AS1437="","",Config!$B$16)</f>
        <v/>
      </c>
      <c r="N1437" t="str">
        <f t="shared" si="132"/>
        <v/>
      </c>
      <c r="O1437" t="str">
        <f>IF($AS1437="","",INDEX('TMP Paste'!$K$2:$K$1601,$AS1437))</f>
        <v/>
      </c>
      <c r="P1437" t="str">
        <f t="shared" si="133"/>
        <v/>
      </c>
      <c r="Q1437" t="str">
        <f>IF($AS1437="","",INDEX('TMP Paste'!$J$2:$J$1601,$AS1437))</f>
        <v/>
      </c>
      <c r="R1437" t="str">
        <f>IF($AS1437="","",Config!$B$24)</f>
        <v/>
      </c>
      <c r="S1437" t="str">
        <f ca="1">IF($AS1437="","",TEXT(Config!$B$4,"yyyy-mm-dd"))</f>
        <v/>
      </c>
      <c r="T1437" t="str">
        <f>IF($AS1437="","",Config!$B$17)</f>
        <v/>
      </c>
      <c r="U1437" t="str">
        <f>IF($AS1437="","",Config!$B$18)</f>
        <v/>
      </c>
      <c r="V1437" t="str">
        <f>IF($AS1437="","",Config!$B$19)</f>
        <v/>
      </c>
      <c r="W1437" t="str">
        <f>IF($AS1437="","",INDEX('TMP Paste'!$C$2:$C$1601,$AS1437))</f>
        <v/>
      </c>
      <c r="X1437" t="str">
        <f>IF($AS1437="","",Config!$B$29)</f>
        <v/>
      </c>
      <c r="Y1437" t="str">
        <f>IF($AT1437="","",INDEX(Calc!$I$2:$I$1601,$AT1437)&amp;" - "&amp;INDEX(Calc!$D$2:$D$1601,$AT1437)&amp;" koli")</f>
        <v/>
      </c>
      <c r="Z1437" t="str">
        <f>IF($AS1437="","",Config!$B$21)</f>
        <v/>
      </c>
      <c r="AA1437" t="str">
        <f>IF($AS1437="","",Config!$B$22)</f>
        <v/>
      </c>
      <c r="AB1437" t="str">
        <f>IF($AT1437="","",INDEX(Calc!$D$2:$D$1601,$AT1437))</f>
        <v/>
      </c>
      <c r="AC1437" t="str">
        <f>IF($AT1437="","",INDEX(Calc!$G$2:$G$1601,$AT1437))</f>
        <v/>
      </c>
      <c r="AD1437" t="str">
        <f>IF($AS1437="","",Config!$B$23)</f>
        <v/>
      </c>
      <c r="AE1437" t="str">
        <f>IF($AS1437="","",Config!$B$28)</f>
        <v/>
      </c>
      <c r="AF1437" t="str">
        <f t="shared" si="134"/>
        <v/>
      </c>
      <c r="AG1437" t="str">
        <f t="shared" si="135"/>
        <v/>
      </c>
      <c r="AH1437" t="str">
        <f t="shared" si="136"/>
        <v/>
      </c>
      <c r="AI1437" t="str">
        <f>IF($AG1437="","",SUMIF($AG$2:$AG1437,$AG1437,$AH$2:$AH1437))</f>
        <v/>
      </c>
      <c r="AJ1437" t="str">
        <f>IF('TMP Paste'!$F1437="","",IF('TMP Paste'!$B1437="",$AJ1436,'TMP Paste'!$B1437))</f>
        <v/>
      </c>
      <c r="AK1437" t="str">
        <f>IF('TMP Paste'!$F1437="","",N('TMP Paste'!$G1437))</f>
        <v/>
      </c>
      <c r="AL1437" t="str">
        <f>IF('TMP Paste'!$F1437="","",IF('TMP Paste'!$M1437="",$AL1436,'TMP Paste'!$M1437))</f>
        <v/>
      </c>
      <c r="AM1437" t="str">
        <f>IF('TMP Paste'!$F1437="","",IF('TMP Paste'!$N1437="",$AM1436,'TMP Paste'!$N1437))</f>
        <v/>
      </c>
      <c r="AN1437" t="str">
        <f>IF('TMP Paste'!$F1437="","",IF('TMP Paste'!$O1437="",$AN1436,'TMP Paste'!$O1437))</f>
        <v/>
      </c>
      <c r="AO1437" t="str">
        <f>IF('TMP Paste'!$F1437="","",IF('TMP Paste'!$P1437="",$AO1436,'TMP Paste'!$P1437))</f>
        <v/>
      </c>
      <c r="AP1437" t="str">
        <f t="shared" si="137"/>
        <v/>
      </c>
      <c r="AQ1437" t="str">
        <f>IF($AS1437="","",TRIM(IF(COUNTIFS(Calc!$B$2:$B$1601,ROW()-1,Calc!$C$2:$C$1601,"&lt;1")&gt;0,"Ada PO tanpa Koli - cek TMP. ","")&amp;IF(OR($AU1437="",$AU1437&lt;=0),"Volume kosong/0 - dimensi dikosongkan. ","")&amp;IF(AND($AU1437&lt;&gt;"",$AU1437&gt;=1000000),"Volume &gt;= 1.000.000 cm3 (di luar aturan) - dimensi dikosongkan. ","")&amp;IF(LEN($R1437)&gt;500,"R &gt; 500 karakter.","")))</f>
        <v/>
      </c>
      <c r="AS1437" t="str">
        <f>IFERROR(MATCH(ROW()-1,Calc!$J$2:$J$1601,0),"")</f>
        <v/>
      </c>
      <c r="AT1437" t="str">
        <f>IFERROR(MATCH(ROW()-1,Calc!$K$2:$K$1601,0),"")</f>
        <v/>
      </c>
      <c r="AU1437" t="str">
        <f>IF($AS1437="","",IFERROR(INDEX('TMP Paste'!$D$2:$D$1601,$AS1437)*1000000/$AB1437,""))</f>
        <v/>
      </c>
    </row>
    <row r="1438" spans="1:47">
      <c r="A1438" t="str">
        <f>IF($AS1438="","",INDEX('TMP Paste'!$B$2:$B$1601,$AS1438))</f>
        <v/>
      </c>
      <c r="B1438" t="str">
        <f>IF($AS1438="","",Config!$B$14)</f>
        <v/>
      </c>
      <c r="C1438" t="str">
        <f>IF($AS1438="","",Config!$B$15)</f>
        <v/>
      </c>
      <c r="D1438" t="str">
        <f>IF($AS1438="","",INDEX('TMP Paste'!$B$2:$B$1601,$AS1438))</f>
        <v/>
      </c>
      <c r="E1438" t="str">
        <f>IF($AS1438="","",Config!$B$27)</f>
        <v/>
      </c>
      <c r="F1438" t="str">
        <f>IF($AS1438="","",Config!$B$9)</f>
        <v/>
      </c>
      <c r="G1438" t="str">
        <f>IF($AS1438="","",Config!$B$10)</f>
        <v/>
      </c>
      <c r="H1438" t="str">
        <f>IF($AS1438="","",Config!$B$11)</f>
        <v/>
      </c>
      <c r="I1438" t="str">
        <f>IF($AS1438="","",Config!$B$16)</f>
        <v/>
      </c>
      <c r="J1438" t="str">
        <f>IF($AS1438="","",INDEX('TMP Paste'!$A$2:$A$1601,$AS1438))</f>
        <v/>
      </c>
      <c r="K1438" t="str">
        <f>IF($AS1438="","",INDEX('TMP Paste'!$L$2:$L$1601,$AS1438))</f>
        <v/>
      </c>
      <c r="L1438" t="str">
        <f>IF($AS1438="","",INDEX('TMP Paste'!$I$2:$I$1601,$AS1438))</f>
        <v/>
      </c>
      <c r="M1438" t="str">
        <f>IF($AS1438="","",Config!$B$16)</f>
        <v/>
      </c>
      <c r="N1438" t="str">
        <f t="shared" si="132"/>
        <v/>
      </c>
      <c r="O1438" t="str">
        <f>IF($AS1438="","",INDEX('TMP Paste'!$K$2:$K$1601,$AS1438))</f>
        <v/>
      </c>
      <c r="P1438" t="str">
        <f t="shared" si="133"/>
        <v/>
      </c>
      <c r="Q1438" t="str">
        <f>IF($AS1438="","",INDEX('TMP Paste'!$J$2:$J$1601,$AS1438))</f>
        <v/>
      </c>
      <c r="R1438" t="str">
        <f>IF($AS1438="","",Config!$B$24)</f>
        <v/>
      </c>
      <c r="S1438" t="str">
        <f ca="1">IF($AS1438="","",TEXT(Config!$B$4,"yyyy-mm-dd"))</f>
        <v/>
      </c>
      <c r="T1438" t="str">
        <f>IF($AS1438="","",Config!$B$17)</f>
        <v/>
      </c>
      <c r="U1438" t="str">
        <f>IF($AS1438="","",Config!$B$18)</f>
        <v/>
      </c>
      <c r="V1438" t="str">
        <f>IF($AS1438="","",Config!$B$19)</f>
        <v/>
      </c>
      <c r="W1438" t="str">
        <f>IF($AS1438="","",INDEX('TMP Paste'!$C$2:$C$1601,$AS1438))</f>
        <v/>
      </c>
      <c r="X1438" t="str">
        <f>IF($AS1438="","",Config!$B$29)</f>
        <v/>
      </c>
      <c r="Y1438" t="str">
        <f>IF($AT1438="","",INDEX(Calc!$I$2:$I$1601,$AT1438)&amp;" - "&amp;INDEX(Calc!$D$2:$D$1601,$AT1438)&amp;" koli")</f>
        <v/>
      </c>
      <c r="Z1438" t="str">
        <f>IF($AS1438="","",Config!$B$21)</f>
        <v/>
      </c>
      <c r="AA1438" t="str">
        <f>IF($AS1438="","",Config!$B$22)</f>
        <v/>
      </c>
      <c r="AB1438" t="str">
        <f>IF($AT1438="","",INDEX(Calc!$D$2:$D$1601,$AT1438))</f>
        <v/>
      </c>
      <c r="AC1438" t="str">
        <f>IF($AT1438="","",INDEX(Calc!$G$2:$G$1601,$AT1438))</f>
        <v/>
      </c>
      <c r="AD1438" t="str">
        <f>IF($AS1438="","",Config!$B$23)</f>
        <v/>
      </c>
      <c r="AE1438" t="str">
        <f>IF($AS1438="","",Config!$B$28)</f>
        <v/>
      </c>
      <c r="AF1438" t="str">
        <f t="shared" si="134"/>
        <v/>
      </c>
      <c r="AG1438" t="str">
        <f t="shared" si="135"/>
        <v/>
      </c>
      <c r="AH1438" t="str">
        <f t="shared" si="136"/>
        <v/>
      </c>
      <c r="AI1438" t="str">
        <f>IF($AG1438="","",SUMIF($AG$2:$AG1438,$AG1438,$AH$2:$AH1438))</f>
        <v/>
      </c>
      <c r="AJ1438" t="str">
        <f>IF('TMP Paste'!$F1438="","",IF('TMP Paste'!$B1438="",$AJ1437,'TMP Paste'!$B1438))</f>
        <v/>
      </c>
      <c r="AK1438" t="str">
        <f>IF('TMP Paste'!$F1438="","",N('TMP Paste'!$G1438))</f>
        <v/>
      </c>
      <c r="AL1438" t="str">
        <f>IF('TMP Paste'!$F1438="","",IF('TMP Paste'!$M1438="",$AL1437,'TMP Paste'!$M1438))</f>
        <v/>
      </c>
      <c r="AM1438" t="str">
        <f>IF('TMP Paste'!$F1438="","",IF('TMP Paste'!$N1438="",$AM1437,'TMP Paste'!$N1438))</f>
        <v/>
      </c>
      <c r="AN1438" t="str">
        <f>IF('TMP Paste'!$F1438="","",IF('TMP Paste'!$O1438="",$AN1437,'TMP Paste'!$O1438))</f>
        <v/>
      </c>
      <c r="AO1438" t="str">
        <f>IF('TMP Paste'!$F1438="","",IF('TMP Paste'!$P1438="",$AO1437,'TMP Paste'!$P1438))</f>
        <v/>
      </c>
      <c r="AP1438" t="str">
        <f t="shared" si="137"/>
        <v/>
      </c>
      <c r="AQ1438" t="str">
        <f>IF($AS1438="","",TRIM(IF(COUNTIFS(Calc!$B$2:$B$1601,ROW()-1,Calc!$C$2:$C$1601,"&lt;1")&gt;0,"Ada PO tanpa Koli - cek TMP. ","")&amp;IF(OR($AU1438="",$AU1438&lt;=0),"Volume kosong/0 - dimensi dikosongkan. ","")&amp;IF(AND($AU1438&lt;&gt;"",$AU1438&gt;=1000000),"Volume &gt;= 1.000.000 cm3 (di luar aturan) - dimensi dikosongkan. ","")&amp;IF(LEN($R1438)&gt;500,"R &gt; 500 karakter.","")))</f>
        <v/>
      </c>
      <c r="AS1438" t="str">
        <f>IFERROR(MATCH(ROW()-1,Calc!$J$2:$J$1601,0),"")</f>
        <v/>
      </c>
      <c r="AT1438" t="str">
        <f>IFERROR(MATCH(ROW()-1,Calc!$K$2:$K$1601,0),"")</f>
        <v/>
      </c>
      <c r="AU1438" t="str">
        <f>IF($AS1438="","",IFERROR(INDEX('TMP Paste'!$D$2:$D$1601,$AS1438)*1000000/$AB1438,""))</f>
        <v/>
      </c>
    </row>
    <row r="1439" spans="1:47">
      <c r="A1439" t="str">
        <f>IF($AS1439="","",INDEX('TMP Paste'!$B$2:$B$1601,$AS1439))</f>
        <v/>
      </c>
      <c r="B1439" t="str">
        <f>IF($AS1439="","",Config!$B$14)</f>
        <v/>
      </c>
      <c r="C1439" t="str">
        <f>IF($AS1439="","",Config!$B$15)</f>
        <v/>
      </c>
      <c r="D1439" t="str">
        <f>IF($AS1439="","",INDEX('TMP Paste'!$B$2:$B$1601,$AS1439))</f>
        <v/>
      </c>
      <c r="E1439" t="str">
        <f>IF($AS1439="","",Config!$B$27)</f>
        <v/>
      </c>
      <c r="F1439" t="str">
        <f>IF($AS1439="","",Config!$B$9)</f>
        <v/>
      </c>
      <c r="G1439" t="str">
        <f>IF($AS1439="","",Config!$B$10)</f>
        <v/>
      </c>
      <c r="H1439" t="str">
        <f>IF($AS1439="","",Config!$B$11)</f>
        <v/>
      </c>
      <c r="I1439" t="str">
        <f>IF($AS1439="","",Config!$B$16)</f>
        <v/>
      </c>
      <c r="J1439" t="str">
        <f>IF($AS1439="","",INDEX('TMP Paste'!$A$2:$A$1601,$AS1439))</f>
        <v/>
      </c>
      <c r="K1439" t="str">
        <f>IF($AS1439="","",INDEX('TMP Paste'!$L$2:$L$1601,$AS1439))</f>
        <v/>
      </c>
      <c r="L1439" t="str">
        <f>IF($AS1439="","",INDEX('TMP Paste'!$I$2:$I$1601,$AS1439))</f>
        <v/>
      </c>
      <c r="M1439" t="str">
        <f>IF($AS1439="","",Config!$B$16)</f>
        <v/>
      </c>
      <c r="N1439" t="str">
        <f t="shared" si="132"/>
        <v/>
      </c>
      <c r="O1439" t="str">
        <f>IF($AS1439="","",INDEX('TMP Paste'!$K$2:$K$1601,$AS1439))</f>
        <v/>
      </c>
      <c r="P1439" t="str">
        <f t="shared" si="133"/>
        <v/>
      </c>
      <c r="Q1439" t="str">
        <f>IF($AS1439="","",INDEX('TMP Paste'!$J$2:$J$1601,$AS1439))</f>
        <v/>
      </c>
      <c r="R1439" t="str">
        <f>IF($AS1439="","",Config!$B$24)</f>
        <v/>
      </c>
      <c r="S1439" t="str">
        <f ca="1">IF($AS1439="","",TEXT(Config!$B$4,"yyyy-mm-dd"))</f>
        <v/>
      </c>
      <c r="T1439" t="str">
        <f>IF($AS1439="","",Config!$B$17)</f>
        <v/>
      </c>
      <c r="U1439" t="str">
        <f>IF($AS1439="","",Config!$B$18)</f>
        <v/>
      </c>
      <c r="V1439" t="str">
        <f>IF($AS1439="","",Config!$B$19)</f>
        <v/>
      </c>
      <c r="W1439" t="str">
        <f>IF($AS1439="","",INDEX('TMP Paste'!$C$2:$C$1601,$AS1439))</f>
        <v/>
      </c>
      <c r="X1439" t="str">
        <f>IF($AS1439="","",Config!$B$29)</f>
        <v/>
      </c>
      <c r="Y1439" t="str">
        <f>IF($AT1439="","",INDEX(Calc!$I$2:$I$1601,$AT1439)&amp;" - "&amp;INDEX(Calc!$D$2:$D$1601,$AT1439)&amp;" koli")</f>
        <v/>
      </c>
      <c r="Z1439" t="str">
        <f>IF($AS1439="","",Config!$B$21)</f>
        <v/>
      </c>
      <c r="AA1439" t="str">
        <f>IF($AS1439="","",Config!$B$22)</f>
        <v/>
      </c>
      <c r="AB1439" t="str">
        <f>IF($AT1439="","",INDEX(Calc!$D$2:$D$1601,$AT1439))</f>
        <v/>
      </c>
      <c r="AC1439" t="str">
        <f>IF($AT1439="","",INDEX(Calc!$G$2:$G$1601,$AT1439))</f>
        <v/>
      </c>
      <c r="AD1439" t="str">
        <f>IF($AS1439="","",Config!$B$23)</f>
        <v/>
      </c>
      <c r="AE1439" t="str">
        <f>IF($AS1439="","",Config!$B$28)</f>
        <v/>
      </c>
      <c r="AF1439" t="str">
        <f t="shared" si="134"/>
        <v/>
      </c>
      <c r="AG1439" t="str">
        <f t="shared" si="135"/>
        <v/>
      </c>
      <c r="AH1439" t="str">
        <f t="shared" si="136"/>
        <v/>
      </c>
      <c r="AI1439" t="str">
        <f>IF($AG1439="","",SUMIF($AG$2:$AG1439,$AG1439,$AH$2:$AH1439))</f>
        <v/>
      </c>
      <c r="AJ1439" t="str">
        <f>IF('TMP Paste'!$F1439="","",IF('TMP Paste'!$B1439="",$AJ1438,'TMP Paste'!$B1439))</f>
        <v/>
      </c>
      <c r="AK1439" t="str">
        <f>IF('TMP Paste'!$F1439="","",N('TMP Paste'!$G1439))</f>
        <v/>
      </c>
      <c r="AL1439" t="str">
        <f>IF('TMP Paste'!$F1439="","",IF('TMP Paste'!$M1439="",$AL1438,'TMP Paste'!$M1439))</f>
        <v/>
      </c>
      <c r="AM1439" t="str">
        <f>IF('TMP Paste'!$F1439="","",IF('TMP Paste'!$N1439="",$AM1438,'TMP Paste'!$N1439))</f>
        <v/>
      </c>
      <c r="AN1439" t="str">
        <f>IF('TMP Paste'!$F1439="","",IF('TMP Paste'!$O1439="",$AN1438,'TMP Paste'!$O1439))</f>
        <v/>
      </c>
      <c r="AO1439" t="str">
        <f>IF('TMP Paste'!$F1439="","",IF('TMP Paste'!$P1439="",$AO1438,'TMP Paste'!$P1439))</f>
        <v/>
      </c>
      <c r="AP1439" t="str">
        <f t="shared" si="137"/>
        <v/>
      </c>
      <c r="AQ1439" t="str">
        <f>IF($AS1439="","",TRIM(IF(COUNTIFS(Calc!$B$2:$B$1601,ROW()-1,Calc!$C$2:$C$1601,"&lt;1")&gt;0,"Ada PO tanpa Koli - cek TMP. ","")&amp;IF(OR($AU1439="",$AU1439&lt;=0),"Volume kosong/0 - dimensi dikosongkan. ","")&amp;IF(AND($AU1439&lt;&gt;"",$AU1439&gt;=1000000),"Volume &gt;= 1.000.000 cm3 (di luar aturan) - dimensi dikosongkan. ","")&amp;IF(LEN($R1439)&gt;500,"R &gt; 500 karakter.","")))</f>
        <v/>
      </c>
      <c r="AS1439" t="str">
        <f>IFERROR(MATCH(ROW()-1,Calc!$J$2:$J$1601,0),"")</f>
        <v/>
      </c>
      <c r="AT1439" t="str">
        <f>IFERROR(MATCH(ROW()-1,Calc!$K$2:$K$1601,0),"")</f>
        <v/>
      </c>
      <c r="AU1439" t="str">
        <f>IF($AS1439="","",IFERROR(INDEX('TMP Paste'!$D$2:$D$1601,$AS1439)*1000000/$AB1439,""))</f>
        <v/>
      </c>
    </row>
    <row r="1440" spans="1:47">
      <c r="A1440" t="str">
        <f>IF($AS1440="","",INDEX('TMP Paste'!$B$2:$B$1601,$AS1440))</f>
        <v/>
      </c>
      <c r="B1440" t="str">
        <f>IF($AS1440="","",Config!$B$14)</f>
        <v/>
      </c>
      <c r="C1440" t="str">
        <f>IF($AS1440="","",Config!$B$15)</f>
        <v/>
      </c>
      <c r="D1440" t="str">
        <f>IF($AS1440="","",INDEX('TMP Paste'!$B$2:$B$1601,$AS1440))</f>
        <v/>
      </c>
      <c r="E1440" t="str">
        <f>IF($AS1440="","",Config!$B$27)</f>
        <v/>
      </c>
      <c r="F1440" t="str">
        <f>IF($AS1440="","",Config!$B$9)</f>
        <v/>
      </c>
      <c r="G1440" t="str">
        <f>IF($AS1440="","",Config!$B$10)</f>
        <v/>
      </c>
      <c r="H1440" t="str">
        <f>IF($AS1440="","",Config!$B$11)</f>
        <v/>
      </c>
      <c r="I1440" t="str">
        <f>IF($AS1440="","",Config!$B$16)</f>
        <v/>
      </c>
      <c r="J1440" t="str">
        <f>IF($AS1440="","",INDEX('TMP Paste'!$A$2:$A$1601,$AS1440))</f>
        <v/>
      </c>
      <c r="K1440" t="str">
        <f>IF($AS1440="","",INDEX('TMP Paste'!$L$2:$L$1601,$AS1440))</f>
        <v/>
      </c>
      <c r="L1440" t="str">
        <f>IF($AS1440="","",INDEX('TMP Paste'!$I$2:$I$1601,$AS1440))</f>
        <v/>
      </c>
      <c r="M1440" t="str">
        <f>IF($AS1440="","",Config!$B$16)</f>
        <v/>
      </c>
      <c r="N1440" t="str">
        <f t="shared" si="132"/>
        <v/>
      </c>
      <c r="O1440" t="str">
        <f>IF($AS1440="","",INDEX('TMP Paste'!$K$2:$K$1601,$AS1440))</f>
        <v/>
      </c>
      <c r="P1440" t="str">
        <f t="shared" si="133"/>
        <v/>
      </c>
      <c r="Q1440" t="str">
        <f>IF($AS1440="","",INDEX('TMP Paste'!$J$2:$J$1601,$AS1440))</f>
        <v/>
      </c>
      <c r="R1440" t="str">
        <f>IF($AS1440="","",Config!$B$24)</f>
        <v/>
      </c>
      <c r="S1440" t="str">
        <f ca="1">IF($AS1440="","",TEXT(Config!$B$4,"yyyy-mm-dd"))</f>
        <v/>
      </c>
      <c r="T1440" t="str">
        <f>IF($AS1440="","",Config!$B$17)</f>
        <v/>
      </c>
      <c r="U1440" t="str">
        <f>IF($AS1440="","",Config!$B$18)</f>
        <v/>
      </c>
      <c r="V1440" t="str">
        <f>IF($AS1440="","",Config!$B$19)</f>
        <v/>
      </c>
      <c r="W1440" t="str">
        <f>IF($AS1440="","",INDEX('TMP Paste'!$C$2:$C$1601,$AS1440))</f>
        <v/>
      </c>
      <c r="X1440" t="str">
        <f>IF($AS1440="","",Config!$B$29)</f>
        <v/>
      </c>
      <c r="Y1440" t="str">
        <f>IF($AT1440="","",INDEX(Calc!$I$2:$I$1601,$AT1440)&amp;" - "&amp;INDEX(Calc!$D$2:$D$1601,$AT1440)&amp;" koli")</f>
        <v/>
      </c>
      <c r="Z1440" t="str">
        <f>IF($AS1440="","",Config!$B$21)</f>
        <v/>
      </c>
      <c r="AA1440" t="str">
        <f>IF($AS1440="","",Config!$B$22)</f>
        <v/>
      </c>
      <c r="AB1440" t="str">
        <f>IF($AT1440="","",INDEX(Calc!$D$2:$D$1601,$AT1440))</f>
        <v/>
      </c>
      <c r="AC1440" t="str">
        <f>IF($AT1440="","",INDEX(Calc!$G$2:$G$1601,$AT1440))</f>
        <v/>
      </c>
      <c r="AD1440" t="str">
        <f>IF($AS1440="","",Config!$B$23)</f>
        <v/>
      </c>
      <c r="AE1440" t="str">
        <f>IF($AS1440="","",Config!$B$28)</f>
        <v/>
      </c>
      <c r="AF1440" t="str">
        <f t="shared" si="134"/>
        <v/>
      </c>
      <c r="AG1440" t="str">
        <f t="shared" si="135"/>
        <v/>
      </c>
      <c r="AH1440" t="str">
        <f t="shared" si="136"/>
        <v/>
      </c>
      <c r="AI1440" t="str">
        <f>IF($AG1440="","",SUMIF($AG$2:$AG1440,$AG1440,$AH$2:$AH1440))</f>
        <v/>
      </c>
      <c r="AJ1440" t="str">
        <f>IF('TMP Paste'!$F1440="","",IF('TMP Paste'!$B1440="",$AJ1439,'TMP Paste'!$B1440))</f>
        <v/>
      </c>
      <c r="AK1440" t="str">
        <f>IF('TMP Paste'!$F1440="","",N('TMP Paste'!$G1440))</f>
        <v/>
      </c>
      <c r="AL1440" t="str">
        <f>IF('TMP Paste'!$F1440="","",IF('TMP Paste'!$M1440="",$AL1439,'TMP Paste'!$M1440))</f>
        <v/>
      </c>
      <c r="AM1440" t="str">
        <f>IF('TMP Paste'!$F1440="","",IF('TMP Paste'!$N1440="",$AM1439,'TMP Paste'!$N1440))</f>
        <v/>
      </c>
      <c r="AN1440" t="str">
        <f>IF('TMP Paste'!$F1440="","",IF('TMP Paste'!$O1440="",$AN1439,'TMP Paste'!$O1440))</f>
        <v/>
      </c>
      <c r="AO1440" t="str">
        <f>IF('TMP Paste'!$F1440="","",IF('TMP Paste'!$P1440="",$AO1439,'TMP Paste'!$P1440))</f>
        <v/>
      </c>
      <c r="AP1440" t="str">
        <f t="shared" si="137"/>
        <v/>
      </c>
      <c r="AQ1440" t="str">
        <f>IF($AS1440="","",TRIM(IF(COUNTIFS(Calc!$B$2:$B$1601,ROW()-1,Calc!$C$2:$C$1601,"&lt;1")&gt;0,"Ada PO tanpa Koli - cek TMP. ","")&amp;IF(OR($AU1440="",$AU1440&lt;=0),"Volume kosong/0 - dimensi dikosongkan. ","")&amp;IF(AND($AU1440&lt;&gt;"",$AU1440&gt;=1000000),"Volume &gt;= 1.000.000 cm3 (di luar aturan) - dimensi dikosongkan. ","")&amp;IF(LEN($R1440)&gt;500,"R &gt; 500 karakter.","")))</f>
        <v/>
      </c>
      <c r="AS1440" t="str">
        <f>IFERROR(MATCH(ROW()-1,Calc!$J$2:$J$1601,0),"")</f>
        <v/>
      </c>
      <c r="AT1440" t="str">
        <f>IFERROR(MATCH(ROW()-1,Calc!$K$2:$K$1601,0),"")</f>
        <v/>
      </c>
      <c r="AU1440" t="str">
        <f>IF($AS1440="","",IFERROR(INDEX('TMP Paste'!$D$2:$D$1601,$AS1440)*1000000/$AB1440,""))</f>
        <v/>
      </c>
    </row>
    <row r="1441" spans="1:47">
      <c r="A1441" t="str">
        <f>IF($AS1441="","",INDEX('TMP Paste'!$B$2:$B$1601,$AS1441))</f>
        <v/>
      </c>
      <c r="B1441" t="str">
        <f>IF($AS1441="","",Config!$B$14)</f>
        <v/>
      </c>
      <c r="C1441" t="str">
        <f>IF($AS1441="","",Config!$B$15)</f>
        <v/>
      </c>
      <c r="D1441" t="str">
        <f>IF($AS1441="","",INDEX('TMP Paste'!$B$2:$B$1601,$AS1441))</f>
        <v/>
      </c>
      <c r="E1441" t="str">
        <f>IF($AS1441="","",Config!$B$27)</f>
        <v/>
      </c>
      <c r="F1441" t="str">
        <f>IF($AS1441="","",Config!$B$9)</f>
        <v/>
      </c>
      <c r="G1441" t="str">
        <f>IF($AS1441="","",Config!$B$10)</f>
        <v/>
      </c>
      <c r="H1441" t="str">
        <f>IF($AS1441="","",Config!$B$11)</f>
        <v/>
      </c>
      <c r="I1441" t="str">
        <f>IF($AS1441="","",Config!$B$16)</f>
        <v/>
      </c>
      <c r="J1441" t="str">
        <f>IF($AS1441="","",INDEX('TMP Paste'!$A$2:$A$1601,$AS1441))</f>
        <v/>
      </c>
      <c r="K1441" t="str">
        <f>IF($AS1441="","",INDEX('TMP Paste'!$L$2:$L$1601,$AS1441))</f>
        <v/>
      </c>
      <c r="L1441" t="str">
        <f>IF($AS1441="","",INDEX('TMP Paste'!$I$2:$I$1601,$AS1441))</f>
        <v/>
      </c>
      <c r="M1441" t="str">
        <f>IF($AS1441="","",Config!$B$16)</f>
        <v/>
      </c>
      <c r="N1441" t="str">
        <f t="shared" si="132"/>
        <v/>
      </c>
      <c r="O1441" t="str">
        <f>IF($AS1441="","",INDEX('TMP Paste'!$K$2:$K$1601,$AS1441))</f>
        <v/>
      </c>
      <c r="P1441" t="str">
        <f t="shared" si="133"/>
        <v/>
      </c>
      <c r="Q1441" t="str">
        <f>IF($AS1441="","",INDEX('TMP Paste'!$J$2:$J$1601,$AS1441))</f>
        <v/>
      </c>
      <c r="R1441" t="str">
        <f>IF($AS1441="","",Config!$B$24)</f>
        <v/>
      </c>
      <c r="S1441" t="str">
        <f ca="1">IF($AS1441="","",TEXT(Config!$B$4,"yyyy-mm-dd"))</f>
        <v/>
      </c>
      <c r="T1441" t="str">
        <f>IF($AS1441="","",Config!$B$17)</f>
        <v/>
      </c>
      <c r="U1441" t="str">
        <f>IF($AS1441="","",Config!$B$18)</f>
        <v/>
      </c>
      <c r="V1441" t="str">
        <f>IF($AS1441="","",Config!$B$19)</f>
        <v/>
      </c>
      <c r="W1441" t="str">
        <f>IF($AS1441="","",INDEX('TMP Paste'!$C$2:$C$1601,$AS1441))</f>
        <v/>
      </c>
      <c r="X1441" t="str">
        <f>IF($AS1441="","",Config!$B$29)</f>
        <v/>
      </c>
      <c r="Y1441" t="str">
        <f>IF($AT1441="","",INDEX(Calc!$I$2:$I$1601,$AT1441)&amp;" - "&amp;INDEX(Calc!$D$2:$D$1601,$AT1441)&amp;" koli")</f>
        <v/>
      </c>
      <c r="Z1441" t="str">
        <f>IF($AS1441="","",Config!$B$21)</f>
        <v/>
      </c>
      <c r="AA1441" t="str">
        <f>IF($AS1441="","",Config!$B$22)</f>
        <v/>
      </c>
      <c r="AB1441" t="str">
        <f>IF($AT1441="","",INDEX(Calc!$D$2:$D$1601,$AT1441))</f>
        <v/>
      </c>
      <c r="AC1441" t="str">
        <f>IF($AT1441="","",INDEX(Calc!$G$2:$G$1601,$AT1441))</f>
        <v/>
      </c>
      <c r="AD1441" t="str">
        <f>IF($AS1441="","",Config!$B$23)</f>
        <v/>
      </c>
      <c r="AE1441" t="str">
        <f>IF($AS1441="","",Config!$B$28)</f>
        <v/>
      </c>
      <c r="AF1441" t="str">
        <f t="shared" si="134"/>
        <v/>
      </c>
      <c r="AG1441" t="str">
        <f t="shared" si="135"/>
        <v/>
      </c>
      <c r="AH1441" t="str">
        <f t="shared" si="136"/>
        <v/>
      </c>
      <c r="AI1441" t="str">
        <f>IF($AG1441="","",SUMIF($AG$2:$AG1441,$AG1441,$AH$2:$AH1441))</f>
        <v/>
      </c>
      <c r="AJ1441" t="str">
        <f>IF('TMP Paste'!$F1441="","",IF('TMP Paste'!$B1441="",$AJ1440,'TMP Paste'!$B1441))</f>
        <v/>
      </c>
      <c r="AK1441" t="str">
        <f>IF('TMP Paste'!$F1441="","",N('TMP Paste'!$G1441))</f>
        <v/>
      </c>
      <c r="AL1441" t="str">
        <f>IF('TMP Paste'!$F1441="","",IF('TMP Paste'!$M1441="",$AL1440,'TMP Paste'!$M1441))</f>
        <v/>
      </c>
      <c r="AM1441" t="str">
        <f>IF('TMP Paste'!$F1441="","",IF('TMP Paste'!$N1441="",$AM1440,'TMP Paste'!$N1441))</f>
        <v/>
      </c>
      <c r="AN1441" t="str">
        <f>IF('TMP Paste'!$F1441="","",IF('TMP Paste'!$O1441="",$AN1440,'TMP Paste'!$O1441))</f>
        <v/>
      </c>
      <c r="AO1441" t="str">
        <f>IF('TMP Paste'!$F1441="","",IF('TMP Paste'!$P1441="",$AO1440,'TMP Paste'!$P1441))</f>
        <v/>
      </c>
      <c r="AP1441" t="str">
        <f t="shared" si="137"/>
        <v/>
      </c>
      <c r="AQ1441" t="str">
        <f>IF($AS1441="","",TRIM(IF(COUNTIFS(Calc!$B$2:$B$1601,ROW()-1,Calc!$C$2:$C$1601,"&lt;1")&gt;0,"Ada PO tanpa Koli - cek TMP. ","")&amp;IF(OR($AU1441="",$AU1441&lt;=0),"Volume kosong/0 - dimensi dikosongkan. ","")&amp;IF(AND($AU1441&lt;&gt;"",$AU1441&gt;=1000000),"Volume &gt;= 1.000.000 cm3 (di luar aturan) - dimensi dikosongkan. ","")&amp;IF(LEN($R1441)&gt;500,"R &gt; 500 karakter.","")))</f>
        <v/>
      </c>
      <c r="AS1441" t="str">
        <f>IFERROR(MATCH(ROW()-1,Calc!$J$2:$J$1601,0),"")</f>
        <v/>
      </c>
      <c r="AT1441" t="str">
        <f>IFERROR(MATCH(ROW()-1,Calc!$K$2:$K$1601,0),"")</f>
        <v/>
      </c>
      <c r="AU1441" t="str">
        <f>IF($AS1441="","",IFERROR(INDEX('TMP Paste'!$D$2:$D$1601,$AS1441)*1000000/$AB1441,""))</f>
        <v/>
      </c>
    </row>
    <row r="1442" spans="1:47">
      <c r="A1442" t="str">
        <f>IF($AS1442="","",INDEX('TMP Paste'!$B$2:$B$1601,$AS1442))</f>
        <v/>
      </c>
      <c r="B1442" t="str">
        <f>IF($AS1442="","",Config!$B$14)</f>
        <v/>
      </c>
      <c r="C1442" t="str">
        <f>IF($AS1442="","",Config!$B$15)</f>
        <v/>
      </c>
      <c r="D1442" t="str">
        <f>IF($AS1442="","",INDEX('TMP Paste'!$B$2:$B$1601,$AS1442))</f>
        <v/>
      </c>
      <c r="E1442" t="str">
        <f>IF($AS1442="","",Config!$B$27)</f>
        <v/>
      </c>
      <c r="F1442" t="str">
        <f>IF($AS1442="","",Config!$B$9)</f>
        <v/>
      </c>
      <c r="G1442" t="str">
        <f>IF($AS1442="","",Config!$B$10)</f>
        <v/>
      </c>
      <c r="H1442" t="str">
        <f>IF($AS1442="","",Config!$B$11)</f>
        <v/>
      </c>
      <c r="I1442" t="str">
        <f>IF($AS1442="","",Config!$B$16)</f>
        <v/>
      </c>
      <c r="J1442" t="str">
        <f>IF($AS1442="","",INDEX('TMP Paste'!$A$2:$A$1601,$AS1442))</f>
        <v/>
      </c>
      <c r="K1442" t="str">
        <f>IF($AS1442="","",INDEX('TMP Paste'!$L$2:$L$1601,$AS1442))</f>
        <v/>
      </c>
      <c r="L1442" t="str">
        <f>IF($AS1442="","",INDEX('TMP Paste'!$I$2:$I$1601,$AS1442))</f>
        <v/>
      </c>
      <c r="M1442" t="str">
        <f>IF($AS1442="","",Config!$B$16)</f>
        <v/>
      </c>
      <c r="N1442" t="str">
        <f t="shared" si="132"/>
        <v/>
      </c>
      <c r="O1442" t="str">
        <f>IF($AS1442="","",INDEX('TMP Paste'!$K$2:$K$1601,$AS1442))</f>
        <v/>
      </c>
      <c r="P1442" t="str">
        <f t="shared" si="133"/>
        <v/>
      </c>
      <c r="Q1442" t="str">
        <f>IF($AS1442="","",INDEX('TMP Paste'!$J$2:$J$1601,$AS1442))</f>
        <v/>
      </c>
      <c r="R1442" t="str">
        <f>IF($AS1442="","",Config!$B$24)</f>
        <v/>
      </c>
      <c r="S1442" t="str">
        <f ca="1">IF($AS1442="","",TEXT(Config!$B$4,"yyyy-mm-dd"))</f>
        <v/>
      </c>
      <c r="T1442" t="str">
        <f>IF($AS1442="","",Config!$B$17)</f>
        <v/>
      </c>
      <c r="U1442" t="str">
        <f>IF($AS1442="","",Config!$B$18)</f>
        <v/>
      </c>
      <c r="V1442" t="str">
        <f>IF($AS1442="","",Config!$B$19)</f>
        <v/>
      </c>
      <c r="W1442" t="str">
        <f>IF($AS1442="","",INDEX('TMP Paste'!$C$2:$C$1601,$AS1442))</f>
        <v/>
      </c>
      <c r="X1442" t="str">
        <f>IF($AS1442="","",Config!$B$29)</f>
        <v/>
      </c>
      <c r="Y1442" t="str">
        <f>IF($AT1442="","",INDEX(Calc!$I$2:$I$1601,$AT1442)&amp;" - "&amp;INDEX(Calc!$D$2:$D$1601,$AT1442)&amp;" koli")</f>
        <v/>
      </c>
      <c r="Z1442" t="str">
        <f>IF($AS1442="","",Config!$B$21)</f>
        <v/>
      </c>
      <c r="AA1442" t="str">
        <f>IF($AS1442="","",Config!$B$22)</f>
        <v/>
      </c>
      <c r="AB1442" t="str">
        <f>IF($AT1442="","",INDEX(Calc!$D$2:$D$1601,$AT1442))</f>
        <v/>
      </c>
      <c r="AC1442" t="str">
        <f>IF($AT1442="","",INDEX(Calc!$G$2:$G$1601,$AT1442))</f>
        <v/>
      </c>
      <c r="AD1442" t="str">
        <f>IF($AS1442="","",Config!$B$23)</f>
        <v/>
      </c>
      <c r="AE1442" t="str">
        <f>IF($AS1442="","",Config!$B$28)</f>
        <v/>
      </c>
      <c r="AF1442" t="str">
        <f t="shared" si="134"/>
        <v/>
      </c>
      <c r="AG1442" t="str">
        <f t="shared" si="135"/>
        <v/>
      </c>
      <c r="AH1442" t="str">
        <f t="shared" si="136"/>
        <v/>
      </c>
      <c r="AI1442" t="str">
        <f>IF($AG1442="","",SUMIF($AG$2:$AG1442,$AG1442,$AH$2:$AH1442))</f>
        <v/>
      </c>
      <c r="AJ1442" t="str">
        <f>IF('TMP Paste'!$F1442="","",IF('TMP Paste'!$B1442="",$AJ1441,'TMP Paste'!$B1442))</f>
        <v/>
      </c>
      <c r="AK1442" t="str">
        <f>IF('TMP Paste'!$F1442="","",N('TMP Paste'!$G1442))</f>
        <v/>
      </c>
      <c r="AL1442" t="str">
        <f>IF('TMP Paste'!$F1442="","",IF('TMP Paste'!$M1442="",$AL1441,'TMP Paste'!$M1442))</f>
        <v/>
      </c>
      <c r="AM1442" t="str">
        <f>IF('TMP Paste'!$F1442="","",IF('TMP Paste'!$N1442="",$AM1441,'TMP Paste'!$N1442))</f>
        <v/>
      </c>
      <c r="AN1442" t="str">
        <f>IF('TMP Paste'!$F1442="","",IF('TMP Paste'!$O1442="",$AN1441,'TMP Paste'!$O1442))</f>
        <v/>
      </c>
      <c r="AO1442" t="str">
        <f>IF('TMP Paste'!$F1442="","",IF('TMP Paste'!$P1442="",$AO1441,'TMP Paste'!$P1442))</f>
        <v/>
      </c>
      <c r="AP1442" t="str">
        <f t="shared" si="137"/>
        <v/>
      </c>
      <c r="AQ1442" t="str">
        <f>IF($AS1442="","",TRIM(IF(COUNTIFS(Calc!$B$2:$B$1601,ROW()-1,Calc!$C$2:$C$1601,"&lt;1")&gt;0,"Ada PO tanpa Koli - cek TMP. ","")&amp;IF(OR($AU1442="",$AU1442&lt;=0),"Volume kosong/0 - dimensi dikosongkan. ","")&amp;IF(AND($AU1442&lt;&gt;"",$AU1442&gt;=1000000),"Volume &gt;= 1.000.000 cm3 (di luar aturan) - dimensi dikosongkan. ","")&amp;IF(LEN($R1442)&gt;500,"R &gt; 500 karakter.","")))</f>
        <v/>
      </c>
      <c r="AS1442" t="str">
        <f>IFERROR(MATCH(ROW()-1,Calc!$J$2:$J$1601,0),"")</f>
        <v/>
      </c>
      <c r="AT1442" t="str">
        <f>IFERROR(MATCH(ROW()-1,Calc!$K$2:$K$1601,0),"")</f>
        <v/>
      </c>
      <c r="AU1442" t="str">
        <f>IF($AS1442="","",IFERROR(INDEX('TMP Paste'!$D$2:$D$1601,$AS1442)*1000000/$AB1442,""))</f>
        <v/>
      </c>
    </row>
    <row r="1443" spans="1:47">
      <c r="A1443" t="str">
        <f>IF($AS1443="","",INDEX('TMP Paste'!$B$2:$B$1601,$AS1443))</f>
        <v/>
      </c>
      <c r="B1443" t="str">
        <f>IF($AS1443="","",Config!$B$14)</f>
        <v/>
      </c>
      <c r="C1443" t="str">
        <f>IF($AS1443="","",Config!$B$15)</f>
        <v/>
      </c>
      <c r="D1443" t="str">
        <f>IF($AS1443="","",INDEX('TMP Paste'!$B$2:$B$1601,$AS1443))</f>
        <v/>
      </c>
      <c r="E1443" t="str">
        <f>IF($AS1443="","",Config!$B$27)</f>
        <v/>
      </c>
      <c r="F1443" t="str">
        <f>IF($AS1443="","",Config!$B$9)</f>
        <v/>
      </c>
      <c r="G1443" t="str">
        <f>IF($AS1443="","",Config!$B$10)</f>
        <v/>
      </c>
      <c r="H1443" t="str">
        <f>IF($AS1443="","",Config!$B$11)</f>
        <v/>
      </c>
      <c r="I1443" t="str">
        <f>IF($AS1443="","",Config!$B$16)</f>
        <v/>
      </c>
      <c r="J1443" t="str">
        <f>IF($AS1443="","",INDEX('TMP Paste'!$A$2:$A$1601,$AS1443))</f>
        <v/>
      </c>
      <c r="K1443" t="str">
        <f>IF($AS1443="","",INDEX('TMP Paste'!$L$2:$L$1601,$AS1443))</f>
        <v/>
      </c>
      <c r="L1443" t="str">
        <f>IF($AS1443="","",INDEX('TMP Paste'!$I$2:$I$1601,$AS1443))</f>
        <v/>
      </c>
      <c r="M1443" t="str">
        <f>IF($AS1443="","",Config!$B$16)</f>
        <v/>
      </c>
      <c r="N1443" t="str">
        <f t="shared" si="132"/>
        <v/>
      </c>
      <c r="O1443" t="str">
        <f>IF($AS1443="","",INDEX('TMP Paste'!$K$2:$K$1601,$AS1443))</f>
        <v/>
      </c>
      <c r="P1443" t="str">
        <f t="shared" si="133"/>
        <v/>
      </c>
      <c r="Q1443" t="str">
        <f>IF($AS1443="","",INDEX('TMP Paste'!$J$2:$J$1601,$AS1443))</f>
        <v/>
      </c>
      <c r="R1443" t="str">
        <f>IF($AS1443="","",Config!$B$24)</f>
        <v/>
      </c>
      <c r="S1443" t="str">
        <f ca="1">IF($AS1443="","",TEXT(Config!$B$4,"yyyy-mm-dd"))</f>
        <v/>
      </c>
      <c r="T1443" t="str">
        <f>IF($AS1443="","",Config!$B$17)</f>
        <v/>
      </c>
      <c r="U1443" t="str">
        <f>IF($AS1443="","",Config!$B$18)</f>
        <v/>
      </c>
      <c r="V1443" t="str">
        <f>IF($AS1443="","",Config!$B$19)</f>
        <v/>
      </c>
      <c r="W1443" t="str">
        <f>IF($AS1443="","",INDEX('TMP Paste'!$C$2:$C$1601,$AS1443))</f>
        <v/>
      </c>
      <c r="X1443" t="str">
        <f>IF($AS1443="","",Config!$B$29)</f>
        <v/>
      </c>
      <c r="Y1443" t="str">
        <f>IF($AT1443="","",INDEX(Calc!$I$2:$I$1601,$AT1443)&amp;" - "&amp;INDEX(Calc!$D$2:$D$1601,$AT1443)&amp;" koli")</f>
        <v/>
      </c>
      <c r="Z1443" t="str">
        <f>IF($AS1443="","",Config!$B$21)</f>
        <v/>
      </c>
      <c r="AA1443" t="str">
        <f>IF($AS1443="","",Config!$B$22)</f>
        <v/>
      </c>
      <c r="AB1443" t="str">
        <f>IF($AT1443="","",INDEX(Calc!$D$2:$D$1601,$AT1443))</f>
        <v/>
      </c>
      <c r="AC1443" t="str">
        <f>IF($AT1443="","",INDEX(Calc!$G$2:$G$1601,$AT1443))</f>
        <v/>
      </c>
      <c r="AD1443" t="str">
        <f>IF($AS1443="","",Config!$B$23)</f>
        <v/>
      </c>
      <c r="AE1443" t="str">
        <f>IF($AS1443="","",Config!$B$28)</f>
        <v/>
      </c>
      <c r="AF1443" t="str">
        <f t="shared" si="134"/>
        <v/>
      </c>
      <c r="AG1443" t="str">
        <f t="shared" si="135"/>
        <v/>
      </c>
      <c r="AH1443" t="str">
        <f t="shared" si="136"/>
        <v/>
      </c>
      <c r="AI1443" t="str">
        <f>IF($AG1443="","",SUMIF($AG$2:$AG1443,$AG1443,$AH$2:$AH1443))</f>
        <v/>
      </c>
      <c r="AJ1443" t="str">
        <f>IF('TMP Paste'!$F1443="","",IF('TMP Paste'!$B1443="",$AJ1442,'TMP Paste'!$B1443))</f>
        <v/>
      </c>
      <c r="AK1443" t="str">
        <f>IF('TMP Paste'!$F1443="","",N('TMP Paste'!$G1443))</f>
        <v/>
      </c>
      <c r="AL1443" t="str">
        <f>IF('TMP Paste'!$F1443="","",IF('TMP Paste'!$M1443="",$AL1442,'TMP Paste'!$M1443))</f>
        <v/>
      </c>
      <c r="AM1443" t="str">
        <f>IF('TMP Paste'!$F1443="","",IF('TMP Paste'!$N1443="",$AM1442,'TMP Paste'!$N1443))</f>
        <v/>
      </c>
      <c r="AN1443" t="str">
        <f>IF('TMP Paste'!$F1443="","",IF('TMP Paste'!$O1443="",$AN1442,'TMP Paste'!$O1443))</f>
        <v/>
      </c>
      <c r="AO1443" t="str">
        <f>IF('TMP Paste'!$F1443="","",IF('TMP Paste'!$P1443="",$AO1442,'TMP Paste'!$P1443))</f>
        <v/>
      </c>
      <c r="AP1443" t="str">
        <f t="shared" si="137"/>
        <v/>
      </c>
      <c r="AQ1443" t="str">
        <f>IF($AS1443="","",TRIM(IF(COUNTIFS(Calc!$B$2:$B$1601,ROW()-1,Calc!$C$2:$C$1601,"&lt;1")&gt;0,"Ada PO tanpa Koli - cek TMP. ","")&amp;IF(OR($AU1443="",$AU1443&lt;=0),"Volume kosong/0 - dimensi dikosongkan. ","")&amp;IF(AND($AU1443&lt;&gt;"",$AU1443&gt;=1000000),"Volume &gt;= 1.000.000 cm3 (di luar aturan) - dimensi dikosongkan. ","")&amp;IF(LEN($R1443)&gt;500,"R &gt; 500 karakter.","")))</f>
        <v/>
      </c>
      <c r="AS1443" t="str">
        <f>IFERROR(MATCH(ROW()-1,Calc!$J$2:$J$1601,0),"")</f>
        <v/>
      </c>
      <c r="AT1443" t="str">
        <f>IFERROR(MATCH(ROW()-1,Calc!$K$2:$K$1601,0),"")</f>
        <v/>
      </c>
      <c r="AU1443" t="str">
        <f>IF($AS1443="","",IFERROR(INDEX('TMP Paste'!$D$2:$D$1601,$AS1443)*1000000/$AB1443,""))</f>
        <v/>
      </c>
    </row>
    <row r="1444" spans="1:47">
      <c r="A1444" t="str">
        <f>IF($AS1444="","",INDEX('TMP Paste'!$B$2:$B$1601,$AS1444))</f>
        <v/>
      </c>
      <c r="B1444" t="str">
        <f>IF($AS1444="","",Config!$B$14)</f>
        <v/>
      </c>
      <c r="C1444" t="str">
        <f>IF($AS1444="","",Config!$B$15)</f>
        <v/>
      </c>
      <c r="D1444" t="str">
        <f>IF($AS1444="","",INDEX('TMP Paste'!$B$2:$B$1601,$AS1444))</f>
        <v/>
      </c>
      <c r="E1444" t="str">
        <f>IF($AS1444="","",Config!$B$27)</f>
        <v/>
      </c>
      <c r="F1444" t="str">
        <f>IF($AS1444="","",Config!$B$9)</f>
        <v/>
      </c>
      <c r="G1444" t="str">
        <f>IF($AS1444="","",Config!$B$10)</f>
        <v/>
      </c>
      <c r="H1444" t="str">
        <f>IF($AS1444="","",Config!$B$11)</f>
        <v/>
      </c>
      <c r="I1444" t="str">
        <f>IF($AS1444="","",Config!$B$16)</f>
        <v/>
      </c>
      <c r="J1444" t="str">
        <f>IF($AS1444="","",INDEX('TMP Paste'!$A$2:$A$1601,$AS1444))</f>
        <v/>
      </c>
      <c r="K1444" t="str">
        <f>IF($AS1444="","",INDEX('TMP Paste'!$L$2:$L$1601,$AS1444))</f>
        <v/>
      </c>
      <c r="L1444" t="str">
        <f>IF($AS1444="","",INDEX('TMP Paste'!$I$2:$I$1601,$AS1444))</f>
        <v/>
      </c>
      <c r="M1444" t="str">
        <f>IF($AS1444="","",Config!$B$16)</f>
        <v/>
      </c>
      <c r="N1444" t="str">
        <f t="shared" si="132"/>
        <v/>
      </c>
      <c r="O1444" t="str">
        <f>IF($AS1444="","",INDEX('TMP Paste'!$K$2:$K$1601,$AS1444))</f>
        <v/>
      </c>
      <c r="P1444" t="str">
        <f t="shared" si="133"/>
        <v/>
      </c>
      <c r="Q1444" t="str">
        <f>IF($AS1444="","",INDEX('TMP Paste'!$J$2:$J$1601,$AS1444))</f>
        <v/>
      </c>
      <c r="R1444" t="str">
        <f>IF($AS1444="","",Config!$B$24)</f>
        <v/>
      </c>
      <c r="S1444" t="str">
        <f ca="1">IF($AS1444="","",TEXT(Config!$B$4,"yyyy-mm-dd"))</f>
        <v/>
      </c>
      <c r="T1444" t="str">
        <f>IF($AS1444="","",Config!$B$17)</f>
        <v/>
      </c>
      <c r="U1444" t="str">
        <f>IF($AS1444="","",Config!$B$18)</f>
        <v/>
      </c>
      <c r="V1444" t="str">
        <f>IF($AS1444="","",Config!$B$19)</f>
        <v/>
      </c>
      <c r="W1444" t="str">
        <f>IF($AS1444="","",INDEX('TMP Paste'!$C$2:$C$1601,$AS1444))</f>
        <v/>
      </c>
      <c r="X1444" t="str">
        <f>IF($AS1444="","",Config!$B$29)</f>
        <v/>
      </c>
      <c r="Y1444" t="str">
        <f>IF($AT1444="","",INDEX(Calc!$I$2:$I$1601,$AT1444)&amp;" - "&amp;INDEX(Calc!$D$2:$D$1601,$AT1444)&amp;" koli")</f>
        <v/>
      </c>
      <c r="Z1444" t="str">
        <f>IF($AS1444="","",Config!$B$21)</f>
        <v/>
      </c>
      <c r="AA1444" t="str">
        <f>IF($AS1444="","",Config!$B$22)</f>
        <v/>
      </c>
      <c r="AB1444" t="str">
        <f>IF($AT1444="","",INDEX(Calc!$D$2:$D$1601,$AT1444))</f>
        <v/>
      </c>
      <c r="AC1444" t="str">
        <f>IF($AT1444="","",INDEX(Calc!$G$2:$G$1601,$AT1444))</f>
        <v/>
      </c>
      <c r="AD1444" t="str">
        <f>IF($AS1444="","",Config!$B$23)</f>
        <v/>
      </c>
      <c r="AE1444" t="str">
        <f>IF($AS1444="","",Config!$B$28)</f>
        <v/>
      </c>
      <c r="AF1444" t="str">
        <f t="shared" si="134"/>
        <v/>
      </c>
      <c r="AG1444" t="str">
        <f t="shared" si="135"/>
        <v/>
      </c>
      <c r="AH1444" t="str">
        <f t="shared" si="136"/>
        <v/>
      </c>
      <c r="AI1444" t="str">
        <f>IF($AG1444="","",SUMIF($AG$2:$AG1444,$AG1444,$AH$2:$AH1444))</f>
        <v/>
      </c>
      <c r="AJ1444" t="str">
        <f>IF('TMP Paste'!$F1444="","",IF('TMP Paste'!$B1444="",$AJ1443,'TMP Paste'!$B1444))</f>
        <v/>
      </c>
      <c r="AK1444" t="str">
        <f>IF('TMP Paste'!$F1444="","",N('TMP Paste'!$G1444))</f>
        <v/>
      </c>
      <c r="AL1444" t="str">
        <f>IF('TMP Paste'!$F1444="","",IF('TMP Paste'!$M1444="",$AL1443,'TMP Paste'!$M1444))</f>
        <v/>
      </c>
      <c r="AM1444" t="str">
        <f>IF('TMP Paste'!$F1444="","",IF('TMP Paste'!$N1444="",$AM1443,'TMP Paste'!$N1444))</f>
        <v/>
      </c>
      <c r="AN1444" t="str">
        <f>IF('TMP Paste'!$F1444="","",IF('TMP Paste'!$O1444="",$AN1443,'TMP Paste'!$O1444))</f>
        <v/>
      </c>
      <c r="AO1444" t="str">
        <f>IF('TMP Paste'!$F1444="","",IF('TMP Paste'!$P1444="",$AO1443,'TMP Paste'!$P1444))</f>
        <v/>
      </c>
      <c r="AP1444" t="str">
        <f t="shared" si="137"/>
        <v/>
      </c>
      <c r="AQ1444" t="str">
        <f>IF($AS1444="","",TRIM(IF(COUNTIFS(Calc!$B$2:$B$1601,ROW()-1,Calc!$C$2:$C$1601,"&lt;1")&gt;0,"Ada PO tanpa Koli - cek TMP. ","")&amp;IF(OR($AU1444="",$AU1444&lt;=0),"Volume kosong/0 - dimensi dikosongkan. ","")&amp;IF(AND($AU1444&lt;&gt;"",$AU1444&gt;=1000000),"Volume &gt;= 1.000.000 cm3 (di luar aturan) - dimensi dikosongkan. ","")&amp;IF(LEN($R1444)&gt;500,"R &gt; 500 karakter.","")))</f>
        <v/>
      </c>
      <c r="AS1444" t="str">
        <f>IFERROR(MATCH(ROW()-1,Calc!$J$2:$J$1601,0),"")</f>
        <v/>
      </c>
      <c r="AT1444" t="str">
        <f>IFERROR(MATCH(ROW()-1,Calc!$K$2:$K$1601,0),"")</f>
        <v/>
      </c>
      <c r="AU1444" t="str">
        <f>IF($AS1444="","",IFERROR(INDEX('TMP Paste'!$D$2:$D$1601,$AS1444)*1000000/$AB1444,""))</f>
        <v/>
      </c>
    </row>
    <row r="1445" spans="1:47">
      <c r="A1445" t="str">
        <f>IF($AS1445="","",INDEX('TMP Paste'!$B$2:$B$1601,$AS1445))</f>
        <v/>
      </c>
      <c r="B1445" t="str">
        <f>IF($AS1445="","",Config!$B$14)</f>
        <v/>
      </c>
      <c r="C1445" t="str">
        <f>IF($AS1445="","",Config!$B$15)</f>
        <v/>
      </c>
      <c r="D1445" t="str">
        <f>IF($AS1445="","",INDEX('TMP Paste'!$B$2:$B$1601,$AS1445))</f>
        <v/>
      </c>
      <c r="E1445" t="str">
        <f>IF($AS1445="","",Config!$B$27)</f>
        <v/>
      </c>
      <c r="F1445" t="str">
        <f>IF($AS1445="","",Config!$B$9)</f>
        <v/>
      </c>
      <c r="G1445" t="str">
        <f>IF($AS1445="","",Config!$B$10)</f>
        <v/>
      </c>
      <c r="H1445" t="str">
        <f>IF($AS1445="","",Config!$B$11)</f>
        <v/>
      </c>
      <c r="I1445" t="str">
        <f>IF($AS1445="","",Config!$B$16)</f>
        <v/>
      </c>
      <c r="J1445" t="str">
        <f>IF($AS1445="","",INDEX('TMP Paste'!$A$2:$A$1601,$AS1445))</f>
        <v/>
      </c>
      <c r="K1445" t="str">
        <f>IF($AS1445="","",INDEX('TMP Paste'!$L$2:$L$1601,$AS1445))</f>
        <v/>
      </c>
      <c r="L1445" t="str">
        <f>IF($AS1445="","",INDEX('TMP Paste'!$I$2:$I$1601,$AS1445))</f>
        <v/>
      </c>
      <c r="M1445" t="str">
        <f>IF($AS1445="","",Config!$B$16)</f>
        <v/>
      </c>
      <c r="N1445" t="str">
        <f t="shared" si="132"/>
        <v/>
      </c>
      <c r="O1445" t="str">
        <f>IF($AS1445="","",INDEX('TMP Paste'!$K$2:$K$1601,$AS1445))</f>
        <v/>
      </c>
      <c r="P1445" t="str">
        <f t="shared" si="133"/>
        <v/>
      </c>
      <c r="Q1445" t="str">
        <f>IF($AS1445="","",INDEX('TMP Paste'!$J$2:$J$1601,$AS1445))</f>
        <v/>
      </c>
      <c r="R1445" t="str">
        <f>IF($AS1445="","",Config!$B$24)</f>
        <v/>
      </c>
      <c r="S1445" t="str">
        <f ca="1">IF($AS1445="","",TEXT(Config!$B$4,"yyyy-mm-dd"))</f>
        <v/>
      </c>
      <c r="T1445" t="str">
        <f>IF($AS1445="","",Config!$B$17)</f>
        <v/>
      </c>
      <c r="U1445" t="str">
        <f>IF($AS1445="","",Config!$B$18)</f>
        <v/>
      </c>
      <c r="V1445" t="str">
        <f>IF($AS1445="","",Config!$B$19)</f>
        <v/>
      </c>
      <c r="W1445" t="str">
        <f>IF($AS1445="","",INDEX('TMP Paste'!$C$2:$C$1601,$AS1445))</f>
        <v/>
      </c>
      <c r="X1445" t="str">
        <f>IF($AS1445="","",Config!$B$29)</f>
        <v/>
      </c>
      <c r="Y1445" t="str">
        <f>IF($AT1445="","",INDEX(Calc!$I$2:$I$1601,$AT1445)&amp;" - "&amp;INDEX(Calc!$D$2:$D$1601,$AT1445)&amp;" koli")</f>
        <v/>
      </c>
      <c r="Z1445" t="str">
        <f>IF($AS1445="","",Config!$B$21)</f>
        <v/>
      </c>
      <c r="AA1445" t="str">
        <f>IF($AS1445="","",Config!$B$22)</f>
        <v/>
      </c>
      <c r="AB1445" t="str">
        <f>IF($AT1445="","",INDEX(Calc!$D$2:$D$1601,$AT1445))</f>
        <v/>
      </c>
      <c r="AC1445" t="str">
        <f>IF($AT1445="","",INDEX(Calc!$G$2:$G$1601,$AT1445))</f>
        <v/>
      </c>
      <c r="AD1445" t="str">
        <f>IF($AS1445="","",Config!$B$23)</f>
        <v/>
      </c>
      <c r="AE1445" t="str">
        <f>IF($AS1445="","",Config!$B$28)</f>
        <v/>
      </c>
      <c r="AF1445" t="str">
        <f t="shared" si="134"/>
        <v/>
      </c>
      <c r="AG1445" t="str">
        <f t="shared" si="135"/>
        <v/>
      </c>
      <c r="AH1445" t="str">
        <f t="shared" si="136"/>
        <v/>
      </c>
      <c r="AI1445" t="str">
        <f>IF($AG1445="","",SUMIF($AG$2:$AG1445,$AG1445,$AH$2:$AH1445))</f>
        <v/>
      </c>
      <c r="AJ1445" t="str">
        <f>IF('TMP Paste'!$F1445="","",IF('TMP Paste'!$B1445="",$AJ1444,'TMP Paste'!$B1445))</f>
        <v/>
      </c>
      <c r="AK1445" t="str">
        <f>IF('TMP Paste'!$F1445="","",N('TMP Paste'!$G1445))</f>
        <v/>
      </c>
      <c r="AL1445" t="str">
        <f>IF('TMP Paste'!$F1445="","",IF('TMP Paste'!$M1445="",$AL1444,'TMP Paste'!$M1445))</f>
        <v/>
      </c>
      <c r="AM1445" t="str">
        <f>IF('TMP Paste'!$F1445="","",IF('TMP Paste'!$N1445="",$AM1444,'TMP Paste'!$N1445))</f>
        <v/>
      </c>
      <c r="AN1445" t="str">
        <f>IF('TMP Paste'!$F1445="","",IF('TMP Paste'!$O1445="",$AN1444,'TMP Paste'!$O1445))</f>
        <v/>
      </c>
      <c r="AO1445" t="str">
        <f>IF('TMP Paste'!$F1445="","",IF('TMP Paste'!$P1445="",$AO1444,'TMP Paste'!$P1445))</f>
        <v/>
      </c>
      <c r="AP1445" t="str">
        <f t="shared" si="137"/>
        <v/>
      </c>
      <c r="AQ1445" t="str">
        <f>IF($AS1445="","",TRIM(IF(COUNTIFS(Calc!$B$2:$B$1601,ROW()-1,Calc!$C$2:$C$1601,"&lt;1")&gt;0,"Ada PO tanpa Koli - cek TMP. ","")&amp;IF(OR($AU1445="",$AU1445&lt;=0),"Volume kosong/0 - dimensi dikosongkan. ","")&amp;IF(AND($AU1445&lt;&gt;"",$AU1445&gt;=1000000),"Volume &gt;= 1.000.000 cm3 (di luar aturan) - dimensi dikosongkan. ","")&amp;IF(LEN($R1445)&gt;500,"R &gt; 500 karakter.","")))</f>
        <v/>
      </c>
      <c r="AS1445" t="str">
        <f>IFERROR(MATCH(ROW()-1,Calc!$J$2:$J$1601,0),"")</f>
        <v/>
      </c>
      <c r="AT1445" t="str">
        <f>IFERROR(MATCH(ROW()-1,Calc!$K$2:$K$1601,0),"")</f>
        <v/>
      </c>
      <c r="AU1445" t="str">
        <f>IF($AS1445="","",IFERROR(INDEX('TMP Paste'!$D$2:$D$1601,$AS1445)*1000000/$AB1445,""))</f>
        <v/>
      </c>
    </row>
    <row r="1446" spans="1:47">
      <c r="A1446" t="str">
        <f>IF($AS1446="","",INDEX('TMP Paste'!$B$2:$B$1601,$AS1446))</f>
        <v/>
      </c>
      <c r="B1446" t="str">
        <f>IF($AS1446="","",Config!$B$14)</f>
        <v/>
      </c>
      <c r="C1446" t="str">
        <f>IF($AS1446="","",Config!$B$15)</f>
        <v/>
      </c>
      <c r="D1446" t="str">
        <f>IF($AS1446="","",INDEX('TMP Paste'!$B$2:$B$1601,$AS1446))</f>
        <v/>
      </c>
      <c r="E1446" t="str">
        <f>IF($AS1446="","",Config!$B$27)</f>
        <v/>
      </c>
      <c r="F1446" t="str">
        <f>IF($AS1446="","",Config!$B$9)</f>
        <v/>
      </c>
      <c r="G1446" t="str">
        <f>IF($AS1446="","",Config!$B$10)</f>
        <v/>
      </c>
      <c r="H1446" t="str">
        <f>IF($AS1446="","",Config!$B$11)</f>
        <v/>
      </c>
      <c r="I1446" t="str">
        <f>IF($AS1446="","",Config!$B$16)</f>
        <v/>
      </c>
      <c r="J1446" t="str">
        <f>IF($AS1446="","",INDEX('TMP Paste'!$A$2:$A$1601,$AS1446))</f>
        <v/>
      </c>
      <c r="K1446" t="str">
        <f>IF($AS1446="","",INDEX('TMP Paste'!$L$2:$L$1601,$AS1446))</f>
        <v/>
      </c>
      <c r="L1446" t="str">
        <f>IF($AS1446="","",INDEX('TMP Paste'!$I$2:$I$1601,$AS1446))</f>
        <v/>
      </c>
      <c r="M1446" t="str">
        <f>IF($AS1446="","",Config!$B$16)</f>
        <v/>
      </c>
      <c r="N1446" t="str">
        <f t="shared" si="132"/>
        <v/>
      </c>
      <c r="O1446" t="str">
        <f>IF($AS1446="","",INDEX('TMP Paste'!$K$2:$K$1601,$AS1446))</f>
        <v/>
      </c>
      <c r="P1446" t="str">
        <f t="shared" si="133"/>
        <v/>
      </c>
      <c r="Q1446" t="str">
        <f>IF($AS1446="","",INDEX('TMP Paste'!$J$2:$J$1601,$AS1446))</f>
        <v/>
      </c>
      <c r="R1446" t="str">
        <f>IF($AS1446="","",Config!$B$24)</f>
        <v/>
      </c>
      <c r="S1446" t="str">
        <f ca="1">IF($AS1446="","",TEXT(Config!$B$4,"yyyy-mm-dd"))</f>
        <v/>
      </c>
      <c r="T1446" t="str">
        <f>IF($AS1446="","",Config!$B$17)</f>
        <v/>
      </c>
      <c r="U1446" t="str">
        <f>IF($AS1446="","",Config!$B$18)</f>
        <v/>
      </c>
      <c r="V1446" t="str">
        <f>IF($AS1446="","",Config!$B$19)</f>
        <v/>
      </c>
      <c r="W1446" t="str">
        <f>IF($AS1446="","",INDEX('TMP Paste'!$C$2:$C$1601,$AS1446))</f>
        <v/>
      </c>
      <c r="X1446" t="str">
        <f>IF($AS1446="","",Config!$B$29)</f>
        <v/>
      </c>
      <c r="Y1446" t="str">
        <f>IF($AT1446="","",INDEX(Calc!$I$2:$I$1601,$AT1446)&amp;" - "&amp;INDEX(Calc!$D$2:$D$1601,$AT1446)&amp;" koli")</f>
        <v/>
      </c>
      <c r="Z1446" t="str">
        <f>IF($AS1446="","",Config!$B$21)</f>
        <v/>
      </c>
      <c r="AA1446" t="str">
        <f>IF($AS1446="","",Config!$B$22)</f>
        <v/>
      </c>
      <c r="AB1446" t="str">
        <f>IF($AT1446="","",INDEX(Calc!$D$2:$D$1601,$AT1446))</f>
        <v/>
      </c>
      <c r="AC1446" t="str">
        <f>IF($AT1446="","",INDEX(Calc!$G$2:$G$1601,$AT1446))</f>
        <v/>
      </c>
      <c r="AD1446" t="str">
        <f>IF($AS1446="","",Config!$B$23)</f>
        <v/>
      </c>
      <c r="AE1446" t="str">
        <f>IF($AS1446="","",Config!$B$28)</f>
        <v/>
      </c>
      <c r="AF1446" t="str">
        <f t="shared" si="134"/>
        <v/>
      </c>
      <c r="AG1446" t="str">
        <f t="shared" si="135"/>
        <v/>
      </c>
      <c r="AH1446" t="str">
        <f t="shared" si="136"/>
        <v/>
      </c>
      <c r="AI1446" t="str">
        <f>IF($AG1446="","",SUMIF($AG$2:$AG1446,$AG1446,$AH$2:$AH1446))</f>
        <v/>
      </c>
      <c r="AJ1446" t="str">
        <f>IF('TMP Paste'!$F1446="","",IF('TMP Paste'!$B1446="",$AJ1445,'TMP Paste'!$B1446))</f>
        <v/>
      </c>
      <c r="AK1446" t="str">
        <f>IF('TMP Paste'!$F1446="","",N('TMP Paste'!$G1446))</f>
        <v/>
      </c>
      <c r="AL1446" t="str">
        <f>IF('TMP Paste'!$F1446="","",IF('TMP Paste'!$M1446="",$AL1445,'TMP Paste'!$M1446))</f>
        <v/>
      </c>
      <c r="AM1446" t="str">
        <f>IF('TMP Paste'!$F1446="","",IF('TMP Paste'!$N1446="",$AM1445,'TMP Paste'!$N1446))</f>
        <v/>
      </c>
      <c r="AN1446" t="str">
        <f>IF('TMP Paste'!$F1446="","",IF('TMP Paste'!$O1446="",$AN1445,'TMP Paste'!$O1446))</f>
        <v/>
      </c>
      <c r="AO1446" t="str">
        <f>IF('TMP Paste'!$F1446="","",IF('TMP Paste'!$P1446="",$AO1445,'TMP Paste'!$P1446))</f>
        <v/>
      </c>
      <c r="AP1446" t="str">
        <f t="shared" si="137"/>
        <v/>
      </c>
      <c r="AQ1446" t="str">
        <f>IF($AS1446="","",TRIM(IF(COUNTIFS(Calc!$B$2:$B$1601,ROW()-1,Calc!$C$2:$C$1601,"&lt;1")&gt;0,"Ada PO tanpa Koli - cek TMP. ","")&amp;IF(OR($AU1446="",$AU1446&lt;=0),"Volume kosong/0 - dimensi dikosongkan. ","")&amp;IF(AND($AU1446&lt;&gt;"",$AU1446&gt;=1000000),"Volume &gt;= 1.000.000 cm3 (di luar aturan) - dimensi dikosongkan. ","")&amp;IF(LEN($R1446)&gt;500,"R &gt; 500 karakter.","")))</f>
        <v/>
      </c>
      <c r="AS1446" t="str">
        <f>IFERROR(MATCH(ROW()-1,Calc!$J$2:$J$1601,0),"")</f>
        <v/>
      </c>
      <c r="AT1446" t="str">
        <f>IFERROR(MATCH(ROW()-1,Calc!$K$2:$K$1601,0),"")</f>
        <v/>
      </c>
      <c r="AU1446" t="str">
        <f>IF($AS1446="","",IFERROR(INDEX('TMP Paste'!$D$2:$D$1601,$AS1446)*1000000/$AB1446,""))</f>
        <v/>
      </c>
    </row>
    <row r="1447" spans="1:47">
      <c r="A1447" t="str">
        <f>IF($AS1447="","",INDEX('TMP Paste'!$B$2:$B$1601,$AS1447))</f>
        <v/>
      </c>
      <c r="B1447" t="str">
        <f>IF($AS1447="","",Config!$B$14)</f>
        <v/>
      </c>
      <c r="C1447" t="str">
        <f>IF($AS1447="","",Config!$B$15)</f>
        <v/>
      </c>
      <c r="D1447" t="str">
        <f>IF($AS1447="","",INDEX('TMP Paste'!$B$2:$B$1601,$AS1447))</f>
        <v/>
      </c>
      <c r="E1447" t="str">
        <f>IF($AS1447="","",Config!$B$27)</f>
        <v/>
      </c>
      <c r="F1447" t="str">
        <f>IF($AS1447="","",Config!$B$9)</f>
        <v/>
      </c>
      <c r="G1447" t="str">
        <f>IF($AS1447="","",Config!$B$10)</f>
        <v/>
      </c>
      <c r="H1447" t="str">
        <f>IF($AS1447="","",Config!$B$11)</f>
        <v/>
      </c>
      <c r="I1447" t="str">
        <f>IF($AS1447="","",Config!$B$16)</f>
        <v/>
      </c>
      <c r="J1447" t="str">
        <f>IF($AS1447="","",INDEX('TMP Paste'!$A$2:$A$1601,$AS1447))</f>
        <v/>
      </c>
      <c r="K1447" t="str">
        <f>IF($AS1447="","",INDEX('TMP Paste'!$L$2:$L$1601,$AS1447))</f>
        <v/>
      </c>
      <c r="L1447" t="str">
        <f>IF($AS1447="","",INDEX('TMP Paste'!$I$2:$I$1601,$AS1447))</f>
        <v/>
      </c>
      <c r="M1447" t="str">
        <f>IF($AS1447="","",Config!$B$16)</f>
        <v/>
      </c>
      <c r="N1447" t="str">
        <f t="shared" si="132"/>
        <v/>
      </c>
      <c r="O1447" t="str">
        <f>IF($AS1447="","",INDEX('TMP Paste'!$K$2:$K$1601,$AS1447))</f>
        <v/>
      </c>
      <c r="P1447" t="str">
        <f t="shared" si="133"/>
        <v/>
      </c>
      <c r="Q1447" t="str">
        <f>IF($AS1447="","",INDEX('TMP Paste'!$J$2:$J$1601,$AS1447))</f>
        <v/>
      </c>
      <c r="R1447" t="str">
        <f>IF($AS1447="","",Config!$B$24)</f>
        <v/>
      </c>
      <c r="S1447" t="str">
        <f ca="1">IF($AS1447="","",TEXT(Config!$B$4,"yyyy-mm-dd"))</f>
        <v/>
      </c>
      <c r="T1447" t="str">
        <f>IF($AS1447="","",Config!$B$17)</f>
        <v/>
      </c>
      <c r="U1447" t="str">
        <f>IF($AS1447="","",Config!$B$18)</f>
        <v/>
      </c>
      <c r="V1447" t="str">
        <f>IF($AS1447="","",Config!$B$19)</f>
        <v/>
      </c>
      <c r="W1447" t="str">
        <f>IF($AS1447="","",INDEX('TMP Paste'!$C$2:$C$1601,$AS1447))</f>
        <v/>
      </c>
      <c r="X1447" t="str">
        <f>IF($AS1447="","",Config!$B$29)</f>
        <v/>
      </c>
      <c r="Y1447" t="str">
        <f>IF($AT1447="","",INDEX(Calc!$I$2:$I$1601,$AT1447)&amp;" - "&amp;INDEX(Calc!$D$2:$D$1601,$AT1447)&amp;" koli")</f>
        <v/>
      </c>
      <c r="Z1447" t="str">
        <f>IF($AS1447="","",Config!$B$21)</f>
        <v/>
      </c>
      <c r="AA1447" t="str">
        <f>IF($AS1447="","",Config!$B$22)</f>
        <v/>
      </c>
      <c r="AB1447" t="str">
        <f>IF($AT1447="","",INDEX(Calc!$D$2:$D$1601,$AT1447))</f>
        <v/>
      </c>
      <c r="AC1447" t="str">
        <f>IF($AT1447="","",INDEX(Calc!$G$2:$G$1601,$AT1447))</f>
        <v/>
      </c>
      <c r="AD1447" t="str">
        <f>IF($AS1447="","",Config!$B$23)</f>
        <v/>
      </c>
      <c r="AE1447" t="str">
        <f>IF($AS1447="","",Config!$B$28)</f>
        <v/>
      </c>
      <c r="AF1447" t="str">
        <f t="shared" si="134"/>
        <v/>
      </c>
      <c r="AG1447" t="str">
        <f t="shared" si="135"/>
        <v/>
      </c>
      <c r="AH1447" t="str">
        <f t="shared" si="136"/>
        <v/>
      </c>
      <c r="AI1447" t="str">
        <f>IF($AG1447="","",SUMIF($AG$2:$AG1447,$AG1447,$AH$2:$AH1447))</f>
        <v/>
      </c>
      <c r="AJ1447" t="str">
        <f>IF('TMP Paste'!$F1447="","",IF('TMP Paste'!$B1447="",$AJ1446,'TMP Paste'!$B1447))</f>
        <v/>
      </c>
      <c r="AK1447" t="str">
        <f>IF('TMP Paste'!$F1447="","",N('TMP Paste'!$G1447))</f>
        <v/>
      </c>
      <c r="AL1447" t="str">
        <f>IF('TMP Paste'!$F1447="","",IF('TMP Paste'!$M1447="",$AL1446,'TMP Paste'!$M1447))</f>
        <v/>
      </c>
      <c r="AM1447" t="str">
        <f>IF('TMP Paste'!$F1447="","",IF('TMP Paste'!$N1447="",$AM1446,'TMP Paste'!$N1447))</f>
        <v/>
      </c>
      <c r="AN1447" t="str">
        <f>IF('TMP Paste'!$F1447="","",IF('TMP Paste'!$O1447="",$AN1446,'TMP Paste'!$O1447))</f>
        <v/>
      </c>
      <c r="AO1447" t="str">
        <f>IF('TMP Paste'!$F1447="","",IF('TMP Paste'!$P1447="",$AO1446,'TMP Paste'!$P1447))</f>
        <v/>
      </c>
      <c r="AP1447" t="str">
        <f t="shared" si="137"/>
        <v/>
      </c>
      <c r="AQ1447" t="str">
        <f>IF($AS1447="","",TRIM(IF(COUNTIFS(Calc!$B$2:$B$1601,ROW()-1,Calc!$C$2:$C$1601,"&lt;1")&gt;0,"Ada PO tanpa Koli - cek TMP. ","")&amp;IF(OR($AU1447="",$AU1447&lt;=0),"Volume kosong/0 - dimensi dikosongkan. ","")&amp;IF(AND($AU1447&lt;&gt;"",$AU1447&gt;=1000000),"Volume &gt;= 1.000.000 cm3 (di luar aturan) - dimensi dikosongkan. ","")&amp;IF(LEN($R1447)&gt;500,"R &gt; 500 karakter.","")))</f>
        <v/>
      </c>
      <c r="AS1447" t="str">
        <f>IFERROR(MATCH(ROW()-1,Calc!$J$2:$J$1601,0),"")</f>
        <v/>
      </c>
      <c r="AT1447" t="str">
        <f>IFERROR(MATCH(ROW()-1,Calc!$K$2:$K$1601,0),"")</f>
        <v/>
      </c>
      <c r="AU1447" t="str">
        <f>IF($AS1447="","",IFERROR(INDEX('TMP Paste'!$D$2:$D$1601,$AS1447)*1000000/$AB1447,""))</f>
        <v/>
      </c>
    </row>
    <row r="1448" spans="1:47">
      <c r="A1448" t="str">
        <f>IF($AS1448="","",INDEX('TMP Paste'!$B$2:$B$1601,$AS1448))</f>
        <v/>
      </c>
      <c r="B1448" t="str">
        <f>IF($AS1448="","",Config!$B$14)</f>
        <v/>
      </c>
      <c r="C1448" t="str">
        <f>IF($AS1448="","",Config!$B$15)</f>
        <v/>
      </c>
      <c r="D1448" t="str">
        <f>IF($AS1448="","",INDEX('TMP Paste'!$B$2:$B$1601,$AS1448))</f>
        <v/>
      </c>
      <c r="E1448" t="str">
        <f>IF($AS1448="","",Config!$B$27)</f>
        <v/>
      </c>
      <c r="F1448" t="str">
        <f>IF($AS1448="","",Config!$B$9)</f>
        <v/>
      </c>
      <c r="G1448" t="str">
        <f>IF($AS1448="","",Config!$B$10)</f>
        <v/>
      </c>
      <c r="H1448" t="str">
        <f>IF($AS1448="","",Config!$B$11)</f>
        <v/>
      </c>
      <c r="I1448" t="str">
        <f>IF($AS1448="","",Config!$B$16)</f>
        <v/>
      </c>
      <c r="J1448" t="str">
        <f>IF($AS1448="","",INDEX('TMP Paste'!$A$2:$A$1601,$AS1448))</f>
        <v/>
      </c>
      <c r="K1448" t="str">
        <f>IF($AS1448="","",INDEX('TMP Paste'!$L$2:$L$1601,$AS1448))</f>
        <v/>
      </c>
      <c r="L1448" t="str">
        <f>IF($AS1448="","",INDEX('TMP Paste'!$I$2:$I$1601,$AS1448))</f>
        <v/>
      </c>
      <c r="M1448" t="str">
        <f>IF($AS1448="","",Config!$B$16)</f>
        <v/>
      </c>
      <c r="N1448" t="str">
        <f t="shared" si="132"/>
        <v/>
      </c>
      <c r="O1448" t="str">
        <f>IF($AS1448="","",INDEX('TMP Paste'!$K$2:$K$1601,$AS1448))</f>
        <v/>
      </c>
      <c r="P1448" t="str">
        <f t="shared" si="133"/>
        <v/>
      </c>
      <c r="Q1448" t="str">
        <f>IF($AS1448="","",INDEX('TMP Paste'!$J$2:$J$1601,$AS1448))</f>
        <v/>
      </c>
      <c r="R1448" t="str">
        <f>IF($AS1448="","",Config!$B$24)</f>
        <v/>
      </c>
      <c r="S1448" t="str">
        <f ca="1">IF($AS1448="","",TEXT(Config!$B$4,"yyyy-mm-dd"))</f>
        <v/>
      </c>
      <c r="T1448" t="str">
        <f>IF($AS1448="","",Config!$B$17)</f>
        <v/>
      </c>
      <c r="U1448" t="str">
        <f>IF($AS1448="","",Config!$B$18)</f>
        <v/>
      </c>
      <c r="V1448" t="str">
        <f>IF($AS1448="","",Config!$B$19)</f>
        <v/>
      </c>
      <c r="W1448" t="str">
        <f>IF($AS1448="","",INDEX('TMP Paste'!$C$2:$C$1601,$AS1448))</f>
        <v/>
      </c>
      <c r="X1448" t="str">
        <f>IF($AS1448="","",Config!$B$29)</f>
        <v/>
      </c>
      <c r="Y1448" t="str">
        <f>IF($AT1448="","",INDEX(Calc!$I$2:$I$1601,$AT1448)&amp;" - "&amp;INDEX(Calc!$D$2:$D$1601,$AT1448)&amp;" koli")</f>
        <v/>
      </c>
      <c r="Z1448" t="str">
        <f>IF($AS1448="","",Config!$B$21)</f>
        <v/>
      </c>
      <c r="AA1448" t="str">
        <f>IF($AS1448="","",Config!$B$22)</f>
        <v/>
      </c>
      <c r="AB1448" t="str">
        <f>IF($AT1448="","",INDEX(Calc!$D$2:$D$1601,$AT1448))</f>
        <v/>
      </c>
      <c r="AC1448" t="str">
        <f>IF($AT1448="","",INDEX(Calc!$G$2:$G$1601,$AT1448))</f>
        <v/>
      </c>
      <c r="AD1448" t="str">
        <f>IF($AS1448="","",Config!$B$23)</f>
        <v/>
      </c>
      <c r="AE1448" t="str">
        <f>IF($AS1448="","",Config!$B$28)</f>
        <v/>
      </c>
      <c r="AF1448" t="str">
        <f t="shared" si="134"/>
        <v/>
      </c>
      <c r="AG1448" t="str">
        <f t="shared" si="135"/>
        <v/>
      </c>
      <c r="AH1448" t="str">
        <f t="shared" si="136"/>
        <v/>
      </c>
      <c r="AI1448" t="str">
        <f>IF($AG1448="","",SUMIF($AG$2:$AG1448,$AG1448,$AH$2:$AH1448))</f>
        <v/>
      </c>
      <c r="AJ1448" t="str">
        <f>IF('TMP Paste'!$F1448="","",IF('TMP Paste'!$B1448="",$AJ1447,'TMP Paste'!$B1448))</f>
        <v/>
      </c>
      <c r="AK1448" t="str">
        <f>IF('TMP Paste'!$F1448="","",N('TMP Paste'!$G1448))</f>
        <v/>
      </c>
      <c r="AL1448" t="str">
        <f>IF('TMP Paste'!$F1448="","",IF('TMP Paste'!$M1448="",$AL1447,'TMP Paste'!$M1448))</f>
        <v/>
      </c>
      <c r="AM1448" t="str">
        <f>IF('TMP Paste'!$F1448="","",IF('TMP Paste'!$N1448="",$AM1447,'TMP Paste'!$N1448))</f>
        <v/>
      </c>
      <c r="AN1448" t="str">
        <f>IF('TMP Paste'!$F1448="","",IF('TMP Paste'!$O1448="",$AN1447,'TMP Paste'!$O1448))</f>
        <v/>
      </c>
      <c r="AO1448" t="str">
        <f>IF('TMP Paste'!$F1448="","",IF('TMP Paste'!$P1448="",$AO1447,'TMP Paste'!$P1448))</f>
        <v/>
      </c>
      <c r="AP1448" t="str">
        <f t="shared" si="137"/>
        <v/>
      </c>
      <c r="AQ1448" t="str">
        <f>IF($AS1448="","",TRIM(IF(COUNTIFS(Calc!$B$2:$B$1601,ROW()-1,Calc!$C$2:$C$1601,"&lt;1")&gt;0,"Ada PO tanpa Koli - cek TMP. ","")&amp;IF(OR($AU1448="",$AU1448&lt;=0),"Volume kosong/0 - dimensi dikosongkan. ","")&amp;IF(AND($AU1448&lt;&gt;"",$AU1448&gt;=1000000),"Volume &gt;= 1.000.000 cm3 (di luar aturan) - dimensi dikosongkan. ","")&amp;IF(LEN($R1448)&gt;500,"R &gt; 500 karakter.","")))</f>
        <v/>
      </c>
      <c r="AS1448" t="str">
        <f>IFERROR(MATCH(ROW()-1,Calc!$J$2:$J$1601,0),"")</f>
        <v/>
      </c>
      <c r="AT1448" t="str">
        <f>IFERROR(MATCH(ROW()-1,Calc!$K$2:$K$1601,0),"")</f>
        <v/>
      </c>
      <c r="AU1448" t="str">
        <f>IF($AS1448="","",IFERROR(INDEX('TMP Paste'!$D$2:$D$1601,$AS1448)*1000000/$AB1448,""))</f>
        <v/>
      </c>
    </row>
    <row r="1449" spans="1:47">
      <c r="A1449" t="str">
        <f>IF($AS1449="","",INDEX('TMP Paste'!$B$2:$B$1601,$AS1449))</f>
        <v/>
      </c>
      <c r="B1449" t="str">
        <f>IF($AS1449="","",Config!$B$14)</f>
        <v/>
      </c>
      <c r="C1449" t="str">
        <f>IF($AS1449="","",Config!$B$15)</f>
        <v/>
      </c>
      <c r="D1449" t="str">
        <f>IF($AS1449="","",INDEX('TMP Paste'!$B$2:$B$1601,$AS1449))</f>
        <v/>
      </c>
      <c r="E1449" t="str">
        <f>IF($AS1449="","",Config!$B$27)</f>
        <v/>
      </c>
      <c r="F1449" t="str">
        <f>IF($AS1449="","",Config!$B$9)</f>
        <v/>
      </c>
      <c r="G1449" t="str">
        <f>IF($AS1449="","",Config!$B$10)</f>
        <v/>
      </c>
      <c r="H1449" t="str">
        <f>IF($AS1449="","",Config!$B$11)</f>
        <v/>
      </c>
      <c r="I1449" t="str">
        <f>IF($AS1449="","",Config!$B$16)</f>
        <v/>
      </c>
      <c r="J1449" t="str">
        <f>IF($AS1449="","",INDEX('TMP Paste'!$A$2:$A$1601,$AS1449))</f>
        <v/>
      </c>
      <c r="K1449" t="str">
        <f>IF($AS1449="","",INDEX('TMP Paste'!$L$2:$L$1601,$AS1449))</f>
        <v/>
      </c>
      <c r="L1449" t="str">
        <f>IF($AS1449="","",INDEX('TMP Paste'!$I$2:$I$1601,$AS1449))</f>
        <v/>
      </c>
      <c r="M1449" t="str">
        <f>IF($AS1449="","",Config!$B$16)</f>
        <v/>
      </c>
      <c r="N1449" t="str">
        <f t="shared" si="132"/>
        <v/>
      </c>
      <c r="O1449" t="str">
        <f>IF($AS1449="","",INDEX('TMP Paste'!$K$2:$K$1601,$AS1449))</f>
        <v/>
      </c>
      <c r="P1449" t="str">
        <f t="shared" si="133"/>
        <v/>
      </c>
      <c r="Q1449" t="str">
        <f>IF($AS1449="","",INDEX('TMP Paste'!$J$2:$J$1601,$AS1449))</f>
        <v/>
      </c>
      <c r="R1449" t="str">
        <f>IF($AS1449="","",Config!$B$24)</f>
        <v/>
      </c>
      <c r="S1449" t="str">
        <f ca="1">IF($AS1449="","",TEXT(Config!$B$4,"yyyy-mm-dd"))</f>
        <v/>
      </c>
      <c r="T1449" t="str">
        <f>IF($AS1449="","",Config!$B$17)</f>
        <v/>
      </c>
      <c r="U1449" t="str">
        <f>IF($AS1449="","",Config!$B$18)</f>
        <v/>
      </c>
      <c r="V1449" t="str">
        <f>IF($AS1449="","",Config!$B$19)</f>
        <v/>
      </c>
      <c r="W1449" t="str">
        <f>IF($AS1449="","",INDEX('TMP Paste'!$C$2:$C$1601,$AS1449))</f>
        <v/>
      </c>
      <c r="X1449" t="str">
        <f>IF($AS1449="","",Config!$B$29)</f>
        <v/>
      </c>
      <c r="Y1449" t="str">
        <f>IF($AT1449="","",INDEX(Calc!$I$2:$I$1601,$AT1449)&amp;" - "&amp;INDEX(Calc!$D$2:$D$1601,$AT1449)&amp;" koli")</f>
        <v/>
      </c>
      <c r="Z1449" t="str">
        <f>IF($AS1449="","",Config!$B$21)</f>
        <v/>
      </c>
      <c r="AA1449" t="str">
        <f>IF($AS1449="","",Config!$B$22)</f>
        <v/>
      </c>
      <c r="AB1449" t="str">
        <f>IF($AT1449="","",INDEX(Calc!$D$2:$D$1601,$AT1449))</f>
        <v/>
      </c>
      <c r="AC1449" t="str">
        <f>IF($AT1449="","",INDEX(Calc!$G$2:$G$1601,$AT1449))</f>
        <v/>
      </c>
      <c r="AD1449" t="str">
        <f>IF($AS1449="","",Config!$B$23)</f>
        <v/>
      </c>
      <c r="AE1449" t="str">
        <f>IF($AS1449="","",Config!$B$28)</f>
        <v/>
      </c>
      <c r="AF1449" t="str">
        <f t="shared" si="134"/>
        <v/>
      </c>
      <c r="AG1449" t="str">
        <f t="shared" si="135"/>
        <v/>
      </c>
      <c r="AH1449" t="str">
        <f t="shared" si="136"/>
        <v/>
      </c>
      <c r="AI1449" t="str">
        <f>IF($AG1449="","",SUMIF($AG$2:$AG1449,$AG1449,$AH$2:$AH1449))</f>
        <v/>
      </c>
      <c r="AJ1449" t="str">
        <f>IF('TMP Paste'!$F1449="","",IF('TMP Paste'!$B1449="",$AJ1448,'TMP Paste'!$B1449))</f>
        <v/>
      </c>
      <c r="AK1449" t="str">
        <f>IF('TMP Paste'!$F1449="","",N('TMP Paste'!$G1449))</f>
        <v/>
      </c>
      <c r="AL1449" t="str">
        <f>IF('TMP Paste'!$F1449="","",IF('TMP Paste'!$M1449="",$AL1448,'TMP Paste'!$M1449))</f>
        <v/>
      </c>
      <c r="AM1449" t="str">
        <f>IF('TMP Paste'!$F1449="","",IF('TMP Paste'!$N1449="",$AM1448,'TMP Paste'!$N1449))</f>
        <v/>
      </c>
      <c r="AN1449" t="str">
        <f>IF('TMP Paste'!$F1449="","",IF('TMP Paste'!$O1449="",$AN1448,'TMP Paste'!$O1449))</f>
        <v/>
      </c>
      <c r="AO1449" t="str">
        <f>IF('TMP Paste'!$F1449="","",IF('TMP Paste'!$P1449="",$AO1448,'TMP Paste'!$P1449))</f>
        <v/>
      </c>
      <c r="AP1449" t="str">
        <f t="shared" si="137"/>
        <v/>
      </c>
      <c r="AQ1449" t="str">
        <f>IF($AS1449="","",TRIM(IF(COUNTIFS(Calc!$B$2:$B$1601,ROW()-1,Calc!$C$2:$C$1601,"&lt;1")&gt;0,"Ada PO tanpa Koli - cek TMP. ","")&amp;IF(OR($AU1449="",$AU1449&lt;=0),"Volume kosong/0 - dimensi dikosongkan. ","")&amp;IF(AND($AU1449&lt;&gt;"",$AU1449&gt;=1000000),"Volume &gt;= 1.000.000 cm3 (di luar aturan) - dimensi dikosongkan. ","")&amp;IF(LEN($R1449)&gt;500,"R &gt; 500 karakter.","")))</f>
        <v/>
      </c>
      <c r="AS1449" t="str">
        <f>IFERROR(MATCH(ROW()-1,Calc!$J$2:$J$1601,0),"")</f>
        <v/>
      </c>
      <c r="AT1449" t="str">
        <f>IFERROR(MATCH(ROW()-1,Calc!$K$2:$K$1601,0),"")</f>
        <v/>
      </c>
      <c r="AU1449" t="str">
        <f>IF($AS1449="","",IFERROR(INDEX('TMP Paste'!$D$2:$D$1601,$AS1449)*1000000/$AB1449,""))</f>
        <v/>
      </c>
    </row>
    <row r="1450" spans="1:47">
      <c r="A1450" t="str">
        <f>IF($AS1450="","",INDEX('TMP Paste'!$B$2:$B$1601,$AS1450))</f>
        <v/>
      </c>
      <c r="B1450" t="str">
        <f>IF($AS1450="","",Config!$B$14)</f>
        <v/>
      </c>
      <c r="C1450" t="str">
        <f>IF($AS1450="","",Config!$B$15)</f>
        <v/>
      </c>
      <c r="D1450" t="str">
        <f>IF($AS1450="","",INDEX('TMP Paste'!$B$2:$B$1601,$AS1450))</f>
        <v/>
      </c>
      <c r="E1450" t="str">
        <f>IF($AS1450="","",Config!$B$27)</f>
        <v/>
      </c>
      <c r="F1450" t="str">
        <f>IF($AS1450="","",Config!$B$9)</f>
        <v/>
      </c>
      <c r="G1450" t="str">
        <f>IF($AS1450="","",Config!$B$10)</f>
        <v/>
      </c>
      <c r="H1450" t="str">
        <f>IF($AS1450="","",Config!$B$11)</f>
        <v/>
      </c>
      <c r="I1450" t="str">
        <f>IF($AS1450="","",Config!$B$16)</f>
        <v/>
      </c>
      <c r="J1450" t="str">
        <f>IF($AS1450="","",INDEX('TMP Paste'!$A$2:$A$1601,$AS1450))</f>
        <v/>
      </c>
      <c r="K1450" t="str">
        <f>IF($AS1450="","",INDEX('TMP Paste'!$L$2:$L$1601,$AS1450))</f>
        <v/>
      </c>
      <c r="L1450" t="str">
        <f>IF($AS1450="","",INDEX('TMP Paste'!$I$2:$I$1601,$AS1450))</f>
        <v/>
      </c>
      <c r="M1450" t="str">
        <f>IF($AS1450="","",Config!$B$16)</f>
        <v/>
      </c>
      <c r="N1450" t="str">
        <f t="shared" si="132"/>
        <v/>
      </c>
      <c r="O1450" t="str">
        <f>IF($AS1450="","",INDEX('TMP Paste'!$K$2:$K$1601,$AS1450))</f>
        <v/>
      </c>
      <c r="P1450" t="str">
        <f t="shared" si="133"/>
        <v/>
      </c>
      <c r="Q1450" t="str">
        <f>IF($AS1450="","",INDEX('TMP Paste'!$J$2:$J$1601,$AS1450))</f>
        <v/>
      </c>
      <c r="R1450" t="str">
        <f>IF($AS1450="","",Config!$B$24)</f>
        <v/>
      </c>
      <c r="S1450" t="str">
        <f ca="1">IF($AS1450="","",TEXT(Config!$B$4,"yyyy-mm-dd"))</f>
        <v/>
      </c>
      <c r="T1450" t="str">
        <f>IF($AS1450="","",Config!$B$17)</f>
        <v/>
      </c>
      <c r="U1450" t="str">
        <f>IF($AS1450="","",Config!$B$18)</f>
        <v/>
      </c>
      <c r="V1450" t="str">
        <f>IF($AS1450="","",Config!$B$19)</f>
        <v/>
      </c>
      <c r="W1450" t="str">
        <f>IF($AS1450="","",INDEX('TMP Paste'!$C$2:$C$1601,$AS1450))</f>
        <v/>
      </c>
      <c r="X1450" t="str">
        <f>IF($AS1450="","",Config!$B$29)</f>
        <v/>
      </c>
      <c r="Y1450" t="str">
        <f>IF($AT1450="","",INDEX(Calc!$I$2:$I$1601,$AT1450)&amp;" - "&amp;INDEX(Calc!$D$2:$D$1601,$AT1450)&amp;" koli")</f>
        <v/>
      </c>
      <c r="Z1450" t="str">
        <f>IF($AS1450="","",Config!$B$21)</f>
        <v/>
      </c>
      <c r="AA1450" t="str">
        <f>IF($AS1450="","",Config!$B$22)</f>
        <v/>
      </c>
      <c r="AB1450" t="str">
        <f>IF($AT1450="","",INDEX(Calc!$D$2:$D$1601,$AT1450))</f>
        <v/>
      </c>
      <c r="AC1450" t="str">
        <f>IF($AT1450="","",INDEX(Calc!$G$2:$G$1601,$AT1450))</f>
        <v/>
      </c>
      <c r="AD1450" t="str">
        <f>IF($AS1450="","",Config!$B$23)</f>
        <v/>
      </c>
      <c r="AE1450" t="str">
        <f>IF($AS1450="","",Config!$B$28)</f>
        <v/>
      </c>
      <c r="AF1450" t="str">
        <f t="shared" si="134"/>
        <v/>
      </c>
      <c r="AG1450" t="str">
        <f t="shared" si="135"/>
        <v/>
      </c>
      <c r="AH1450" t="str">
        <f t="shared" si="136"/>
        <v/>
      </c>
      <c r="AI1450" t="str">
        <f>IF($AG1450="","",SUMIF($AG$2:$AG1450,$AG1450,$AH$2:$AH1450))</f>
        <v/>
      </c>
      <c r="AJ1450" t="str">
        <f>IF('TMP Paste'!$F1450="","",IF('TMP Paste'!$B1450="",$AJ1449,'TMP Paste'!$B1450))</f>
        <v/>
      </c>
      <c r="AK1450" t="str">
        <f>IF('TMP Paste'!$F1450="","",N('TMP Paste'!$G1450))</f>
        <v/>
      </c>
      <c r="AL1450" t="str">
        <f>IF('TMP Paste'!$F1450="","",IF('TMP Paste'!$M1450="",$AL1449,'TMP Paste'!$M1450))</f>
        <v/>
      </c>
      <c r="AM1450" t="str">
        <f>IF('TMP Paste'!$F1450="","",IF('TMP Paste'!$N1450="",$AM1449,'TMP Paste'!$N1450))</f>
        <v/>
      </c>
      <c r="AN1450" t="str">
        <f>IF('TMP Paste'!$F1450="","",IF('TMP Paste'!$O1450="",$AN1449,'TMP Paste'!$O1450))</f>
        <v/>
      </c>
      <c r="AO1450" t="str">
        <f>IF('TMP Paste'!$F1450="","",IF('TMP Paste'!$P1450="",$AO1449,'TMP Paste'!$P1450))</f>
        <v/>
      </c>
      <c r="AP1450" t="str">
        <f t="shared" si="137"/>
        <v/>
      </c>
      <c r="AQ1450" t="str">
        <f>IF($AS1450="","",TRIM(IF(COUNTIFS(Calc!$B$2:$B$1601,ROW()-1,Calc!$C$2:$C$1601,"&lt;1")&gt;0,"Ada PO tanpa Koli - cek TMP. ","")&amp;IF(OR($AU1450="",$AU1450&lt;=0),"Volume kosong/0 - dimensi dikosongkan. ","")&amp;IF(AND($AU1450&lt;&gt;"",$AU1450&gt;=1000000),"Volume &gt;= 1.000.000 cm3 (di luar aturan) - dimensi dikosongkan. ","")&amp;IF(LEN($R1450)&gt;500,"R &gt; 500 karakter.","")))</f>
        <v/>
      </c>
      <c r="AS1450" t="str">
        <f>IFERROR(MATCH(ROW()-1,Calc!$J$2:$J$1601,0),"")</f>
        <v/>
      </c>
      <c r="AT1450" t="str">
        <f>IFERROR(MATCH(ROW()-1,Calc!$K$2:$K$1601,0),"")</f>
        <v/>
      </c>
      <c r="AU1450" t="str">
        <f>IF($AS1450="","",IFERROR(INDEX('TMP Paste'!$D$2:$D$1601,$AS1450)*1000000/$AB1450,""))</f>
        <v/>
      </c>
    </row>
    <row r="1451" spans="1:47">
      <c r="A1451" t="str">
        <f>IF($AS1451="","",INDEX('TMP Paste'!$B$2:$B$1601,$AS1451))</f>
        <v/>
      </c>
      <c r="B1451" t="str">
        <f>IF($AS1451="","",Config!$B$14)</f>
        <v/>
      </c>
      <c r="C1451" t="str">
        <f>IF($AS1451="","",Config!$B$15)</f>
        <v/>
      </c>
      <c r="D1451" t="str">
        <f>IF($AS1451="","",INDEX('TMP Paste'!$B$2:$B$1601,$AS1451))</f>
        <v/>
      </c>
      <c r="E1451" t="str">
        <f>IF($AS1451="","",Config!$B$27)</f>
        <v/>
      </c>
      <c r="F1451" t="str">
        <f>IF($AS1451="","",Config!$B$9)</f>
        <v/>
      </c>
      <c r="G1451" t="str">
        <f>IF($AS1451="","",Config!$B$10)</f>
        <v/>
      </c>
      <c r="H1451" t="str">
        <f>IF($AS1451="","",Config!$B$11)</f>
        <v/>
      </c>
      <c r="I1451" t="str">
        <f>IF($AS1451="","",Config!$B$16)</f>
        <v/>
      </c>
      <c r="J1451" t="str">
        <f>IF($AS1451="","",INDEX('TMP Paste'!$A$2:$A$1601,$AS1451))</f>
        <v/>
      </c>
      <c r="K1451" t="str">
        <f>IF($AS1451="","",INDEX('TMP Paste'!$L$2:$L$1601,$AS1451))</f>
        <v/>
      </c>
      <c r="L1451" t="str">
        <f>IF($AS1451="","",INDEX('TMP Paste'!$I$2:$I$1601,$AS1451))</f>
        <v/>
      </c>
      <c r="M1451" t="str">
        <f>IF($AS1451="","",Config!$B$16)</f>
        <v/>
      </c>
      <c r="N1451" t="str">
        <f t="shared" si="132"/>
        <v/>
      </c>
      <c r="O1451" t="str">
        <f>IF($AS1451="","",INDEX('TMP Paste'!$K$2:$K$1601,$AS1451))</f>
        <v/>
      </c>
      <c r="P1451" t="str">
        <f t="shared" si="133"/>
        <v/>
      </c>
      <c r="Q1451" t="str">
        <f>IF($AS1451="","",INDEX('TMP Paste'!$J$2:$J$1601,$AS1451))</f>
        <v/>
      </c>
      <c r="R1451" t="str">
        <f>IF($AS1451="","",Config!$B$24)</f>
        <v/>
      </c>
      <c r="S1451" t="str">
        <f ca="1">IF($AS1451="","",TEXT(Config!$B$4,"yyyy-mm-dd"))</f>
        <v/>
      </c>
      <c r="T1451" t="str">
        <f>IF($AS1451="","",Config!$B$17)</f>
        <v/>
      </c>
      <c r="U1451" t="str">
        <f>IF($AS1451="","",Config!$B$18)</f>
        <v/>
      </c>
      <c r="V1451" t="str">
        <f>IF($AS1451="","",Config!$B$19)</f>
        <v/>
      </c>
      <c r="W1451" t="str">
        <f>IF($AS1451="","",INDEX('TMP Paste'!$C$2:$C$1601,$AS1451))</f>
        <v/>
      </c>
      <c r="X1451" t="str">
        <f>IF($AS1451="","",Config!$B$29)</f>
        <v/>
      </c>
      <c r="Y1451" t="str">
        <f>IF($AT1451="","",INDEX(Calc!$I$2:$I$1601,$AT1451)&amp;" - "&amp;INDEX(Calc!$D$2:$D$1601,$AT1451)&amp;" koli")</f>
        <v/>
      </c>
      <c r="Z1451" t="str">
        <f>IF($AS1451="","",Config!$B$21)</f>
        <v/>
      </c>
      <c r="AA1451" t="str">
        <f>IF($AS1451="","",Config!$B$22)</f>
        <v/>
      </c>
      <c r="AB1451" t="str">
        <f>IF($AT1451="","",INDEX(Calc!$D$2:$D$1601,$AT1451))</f>
        <v/>
      </c>
      <c r="AC1451" t="str">
        <f>IF($AT1451="","",INDEX(Calc!$G$2:$G$1601,$AT1451))</f>
        <v/>
      </c>
      <c r="AD1451" t="str">
        <f>IF($AS1451="","",Config!$B$23)</f>
        <v/>
      </c>
      <c r="AE1451" t="str">
        <f>IF($AS1451="","",Config!$B$28)</f>
        <v/>
      </c>
      <c r="AF1451" t="str">
        <f t="shared" si="134"/>
        <v/>
      </c>
      <c r="AG1451" t="str">
        <f t="shared" si="135"/>
        <v/>
      </c>
      <c r="AH1451" t="str">
        <f t="shared" si="136"/>
        <v/>
      </c>
      <c r="AI1451" t="str">
        <f>IF($AG1451="","",SUMIF($AG$2:$AG1451,$AG1451,$AH$2:$AH1451))</f>
        <v/>
      </c>
      <c r="AJ1451" t="str">
        <f>IF('TMP Paste'!$F1451="","",IF('TMP Paste'!$B1451="",$AJ1450,'TMP Paste'!$B1451))</f>
        <v/>
      </c>
      <c r="AK1451" t="str">
        <f>IF('TMP Paste'!$F1451="","",N('TMP Paste'!$G1451))</f>
        <v/>
      </c>
      <c r="AL1451" t="str">
        <f>IF('TMP Paste'!$F1451="","",IF('TMP Paste'!$M1451="",$AL1450,'TMP Paste'!$M1451))</f>
        <v/>
      </c>
      <c r="AM1451" t="str">
        <f>IF('TMP Paste'!$F1451="","",IF('TMP Paste'!$N1451="",$AM1450,'TMP Paste'!$N1451))</f>
        <v/>
      </c>
      <c r="AN1451" t="str">
        <f>IF('TMP Paste'!$F1451="","",IF('TMP Paste'!$O1451="",$AN1450,'TMP Paste'!$O1451))</f>
        <v/>
      </c>
      <c r="AO1451" t="str">
        <f>IF('TMP Paste'!$F1451="","",IF('TMP Paste'!$P1451="",$AO1450,'TMP Paste'!$P1451))</f>
        <v/>
      </c>
      <c r="AP1451" t="str">
        <f t="shared" si="137"/>
        <v/>
      </c>
      <c r="AQ1451" t="str">
        <f>IF($AS1451="","",TRIM(IF(COUNTIFS(Calc!$B$2:$B$1601,ROW()-1,Calc!$C$2:$C$1601,"&lt;1")&gt;0,"Ada PO tanpa Koli - cek TMP. ","")&amp;IF(OR($AU1451="",$AU1451&lt;=0),"Volume kosong/0 - dimensi dikosongkan. ","")&amp;IF(AND($AU1451&lt;&gt;"",$AU1451&gt;=1000000),"Volume &gt;= 1.000.000 cm3 (di luar aturan) - dimensi dikosongkan. ","")&amp;IF(LEN($R1451)&gt;500,"R &gt; 500 karakter.","")))</f>
        <v/>
      </c>
      <c r="AS1451" t="str">
        <f>IFERROR(MATCH(ROW()-1,Calc!$J$2:$J$1601,0),"")</f>
        <v/>
      </c>
      <c r="AT1451" t="str">
        <f>IFERROR(MATCH(ROW()-1,Calc!$K$2:$K$1601,0),"")</f>
        <v/>
      </c>
      <c r="AU1451" t="str">
        <f>IF($AS1451="","",IFERROR(INDEX('TMP Paste'!$D$2:$D$1601,$AS1451)*1000000/$AB1451,""))</f>
        <v/>
      </c>
    </row>
    <row r="1452" spans="1:47">
      <c r="A1452" t="str">
        <f>IF($AS1452="","",INDEX('TMP Paste'!$B$2:$B$1601,$AS1452))</f>
        <v/>
      </c>
      <c r="B1452" t="str">
        <f>IF($AS1452="","",Config!$B$14)</f>
        <v/>
      </c>
      <c r="C1452" t="str">
        <f>IF($AS1452="","",Config!$B$15)</f>
        <v/>
      </c>
      <c r="D1452" t="str">
        <f>IF($AS1452="","",INDEX('TMP Paste'!$B$2:$B$1601,$AS1452))</f>
        <v/>
      </c>
      <c r="E1452" t="str">
        <f>IF($AS1452="","",Config!$B$27)</f>
        <v/>
      </c>
      <c r="F1452" t="str">
        <f>IF($AS1452="","",Config!$B$9)</f>
        <v/>
      </c>
      <c r="G1452" t="str">
        <f>IF($AS1452="","",Config!$B$10)</f>
        <v/>
      </c>
      <c r="H1452" t="str">
        <f>IF($AS1452="","",Config!$B$11)</f>
        <v/>
      </c>
      <c r="I1452" t="str">
        <f>IF($AS1452="","",Config!$B$16)</f>
        <v/>
      </c>
      <c r="J1452" t="str">
        <f>IF($AS1452="","",INDEX('TMP Paste'!$A$2:$A$1601,$AS1452))</f>
        <v/>
      </c>
      <c r="K1452" t="str">
        <f>IF($AS1452="","",INDEX('TMP Paste'!$L$2:$L$1601,$AS1452))</f>
        <v/>
      </c>
      <c r="L1452" t="str">
        <f>IF($AS1452="","",INDEX('TMP Paste'!$I$2:$I$1601,$AS1452))</f>
        <v/>
      </c>
      <c r="M1452" t="str">
        <f>IF($AS1452="","",Config!$B$16)</f>
        <v/>
      </c>
      <c r="N1452" t="str">
        <f t="shared" si="132"/>
        <v/>
      </c>
      <c r="O1452" t="str">
        <f>IF($AS1452="","",INDEX('TMP Paste'!$K$2:$K$1601,$AS1452))</f>
        <v/>
      </c>
      <c r="P1452" t="str">
        <f t="shared" si="133"/>
        <v/>
      </c>
      <c r="Q1452" t="str">
        <f>IF($AS1452="","",INDEX('TMP Paste'!$J$2:$J$1601,$AS1452))</f>
        <v/>
      </c>
      <c r="R1452" t="str">
        <f>IF($AS1452="","",Config!$B$24)</f>
        <v/>
      </c>
      <c r="S1452" t="str">
        <f ca="1">IF($AS1452="","",TEXT(Config!$B$4,"yyyy-mm-dd"))</f>
        <v/>
      </c>
      <c r="T1452" t="str">
        <f>IF($AS1452="","",Config!$B$17)</f>
        <v/>
      </c>
      <c r="U1452" t="str">
        <f>IF($AS1452="","",Config!$B$18)</f>
        <v/>
      </c>
      <c r="V1452" t="str">
        <f>IF($AS1452="","",Config!$B$19)</f>
        <v/>
      </c>
      <c r="W1452" t="str">
        <f>IF($AS1452="","",INDEX('TMP Paste'!$C$2:$C$1601,$AS1452))</f>
        <v/>
      </c>
      <c r="X1452" t="str">
        <f>IF($AS1452="","",Config!$B$29)</f>
        <v/>
      </c>
      <c r="Y1452" t="str">
        <f>IF($AT1452="","",INDEX(Calc!$I$2:$I$1601,$AT1452)&amp;" - "&amp;INDEX(Calc!$D$2:$D$1601,$AT1452)&amp;" koli")</f>
        <v/>
      </c>
      <c r="Z1452" t="str">
        <f>IF($AS1452="","",Config!$B$21)</f>
        <v/>
      </c>
      <c r="AA1452" t="str">
        <f>IF($AS1452="","",Config!$B$22)</f>
        <v/>
      </c>
      <c r="AB1452" t="str">
        <f>IF($AT1452="","",INDEX(Calc!$D$2:$D$1601,$AT1452))</f>
        <v/>
      </c>
      <c r="AC1452" t="str">
        <f>IF($AT1452="","",INDEX(Calc!$G$2:$G$1601,$AT1452))</f>
        <v/>
      </c>
      <c r="AD1452" t="str">
        <f>IF($AS1452="","",Config!$B$23)</f>
        <v/>
      </c>
      <c r="AE1452" t="str">
        <f>IF($AS1452="","",Config!$B$28)</f>
        <v/>
      </c>
      <c r="AF1452" t="str">
        <f t="shared" si="134"/>
        <v/>
      </c>
      <c r="AG1452" t="str">
        <f t="shared" si="135"/>
        <v/>
      </c>
      <c r="AH1452" t="str">
        <f t="shared" si="136"/>
        <v/>
      </c>
      <c r="AI1452" t="str">
        <f>IF($AG1452="","",SUMIF($AG$2:$AG1452,$AG1452,$AH$2:$AH1452))</f>
        <v/>
      </c>
      <c r="AJ1452" t="str">
        <f>IF('TMP Paste'!$F1452="","",IF('TMP Paste'!$B1452="",$AJ1451,'TMP Paste'!$B1452))</f>
        <v/>
      </c>
      <c r="AK1452" t="str">
        <f>IF('TMP Paste'!$F1452="","",N('TMP Paste'!$G1452))</f>
        <v/>
      </c>
      <c r="AL1452" t="str">
        <f>IF('TMP Paste'!$F1452="","",IF('TMP Paste'!$M1452="",$AL1451,'TMP Paste'!$M1452))</f>
        <v/>
      </c>
      <c r="AM1452" t="str">
        <f>IF('TMP Paste'!$F1452="","",IF('TMP Paste'!$N1452="",$AM1451,'TMP Paste'!$N1452))</f>
        <v/>
      </c>
      <c r="AN1452" t="str">
        <f>IF('TMP Paste'!$F1452="","",IF('TMP Paste'!$O1452="",$AN1451,'TMP Paste'!$O1452))</f>
        <v/>
      </c>
      <c r="AO1452" t="str">
        <f>IF('TMP Paste'!$F1452="","",IF('TMP Paste'!$P1452="",$AO1451,'TMP Paste'!$P1452))</f>
        <v/>
      </c>
      <c r="AP1452" t="str">
        <f t="shared" si="137"/>
        <v/>
      </c>
      <c r="AQ1452" t="str">
        <f>IF($AS1452="","",TRIM(IF(COUNTIFS(Calc!$B$2:$B$1601,ROW()-1,Calc!$C$2:$C$1601,"&lt;1")&gt;0,"Ada PO tanpa Koli - cek TMP. ","")&amp;IF(OR($AU1452="",$AU1452&lt;=0),"Volume kosong/0 - dimensi dikosongkan. ","")&amp;IF(AND($AU1452&lt;&gt;"",$AU1452&gt;=1000000),"Volume &gt;= 1.000.000 cm3 (di luar aturan) - dimensi dikosongkan. ","")&amp;IF(LEN($R1452)&gt;500,"R &gt; 500 karakter.","")))</f>
        <v/>
      </c>
      <c r="AS1452" t="str">
        <f>IFERROR(MATCH(ROW()-1,Calc!$J$2:$J$1601,0),"")</f>
        <v/>
      </c>
      <c r="AT1452" t="str">
        <f>IFERROR(MATCH(ROW()-1,Calc!$K$2:$K$1601,0),"")</f>
        <v/>
      </c>
      <c r="AU1452" t="str">
        <f>IF($AS1452="","",IFERROR(INDEX('TMP Paste'!$D$2:$D$1601,$AS1452)*1000000/$AB1452,""))</f>
        <v/>
      </c>
    </row>
    <row r="1453" spans="1:47">
      <c r="A1453" t="str">
        <f>IF($AS1453="","",INDEX('TMP Paste'!$B$2:$B$1601,$AS1453))</f>
        <v/>
      </c>
      <c r="B1453" t="str">
        <f>IF($AS1453="","",Config!$B$14)</f>
        <v/>
      </c>
      <c r="C1453" t="str">
        <f>IF($AS1453="","",Config!$B$15)</f>
        <v/>
      </c>
      <c r="D1453" t="str">
        <f>IF($AS1453="","",INDEX('TMP Paste'!$B$2:$B$1601,$AS1453))</f>
        <v/>
      </c>
      <c r="E1453" t="str">
        <f>IF($AS1453="","",Config!$B$27)</f>
        <v/>
      </c>
      <c r="F1453" t="str">
        <f>IF($AS1453="","",Config!$B$9)</f>
        <v/>
      </c>
      <c r="G1453" t="str">
        <f>IF($AS1453="","",Config!$B$10)</f>
        <v/>
      </c>
      <c r="H1453" t="str">
        <f>IF($AS1453="","",Config!$B$11)</f>
        <v/>
      </c>
      <c r="I1453" t="str">
        <f>IF($AS1453="","",Config!$B$16)</f>
        <v/>
      </c>
      <c r="J1453" t="str">
        <f>IF($AS1453="","",INDEX('TMP Paste'!$A$2:$A$1601,$AS1453))</f>
        <v/>
      </c>
      <c r="K1453" t="str">
        <f>IF($AS1453="","",INDEX('TMP Paste'!$L$2:$L$1601,$AS1453))</f>
        <v/>
      </c>
      <c r="L1453" t="str">
        <f>IF($AS1453="","",INDEX('TMP Paste'!$I$2:$I$1601,$AS1453))</f>
        <v/>
      </c>
      <c r="M1453" t="str">
        <f>IF($AS1453="","",Config!$B$16)</f>
        <v/>
      </c>
      <c r="N1453" t="str">
        <f t="shared" si="132"/>
        <v/>
      </c>
      <c r="O1453" t="str">
        <f>IF($AS1453="","",INDEX('TMP Paste'!$K$2:$K$1601,$AS1453))</f>
        <v/>
      </c>
      <c r="P1453" t="str">
        <f t="shared" si="133"/>
        <v/>
      </c>
      <c r="Q1453" t="str">
        <f>IF($AS1453="","",INDEX('TMP Paste'!$J$2:$J$1601,$AS1453))</f>
        <v/>
      </c>
      <c r="R1453" t="str">
        <f>IF($AS1453="","",Config!$B$24)</f>
        <v/>
      </c>
      <c r="S1453" t="str">
        <f ca="1">IF($AS1453="","",TEXT(Config!$B$4,"yyyy-mm-dd"))</f>
        <v/>
      </c>
      <c r="T1453" t="str">
        <f>IF($AS1453="","",Config!$B$17)</f>
        <v/>
      </c>
      <c r="U1453" t="str">
        <f>IF($AS1453="","",Config!$B$18)</f>
        <v/>
      </c>
      <c r="V1453" t="str">
        <f>IF($AS1453="","",Config!$B$19)</f>
        <v/>
      </c>
      <c r="W1453" t="str">
        <f>IF($AS1453="","",INDEX('TMP Paste'!$C$2:$C$1601,$AS1453))</f>
        <v/>
      </c>
      <c r="X1453" t="str">
        <f>IF($AS1453="","",Config!$B$29)</f>
        <v/>
      </c>
      <c r="Y1453" t="str">
        <f>IF($AT1453="","",INDEX(Calc!$I$2:$I$1601,$AT1453)&amp;" - "&amp;INDEX(Calc!$D$2:$D$1601,$AT1453)&amp;" koli")</f>
        <v/>
      </c>
      <c r="Z1453" t="str">
        <f>IF($AS1453="","",Config!$B$21)</f>
        <v/>
      </c>
      <c r="AA1453" t="str">
        <f>IF($AS1453="","",Config!$B$22)</f>
        <v/>
      </c>
      <c r="AB1453" t="str">
        <f>IF($AT1453="","",INDEX(Calc!$D$2:$D$1601,$AT1453))</f>
        <v/>
      </c>
      <c r="AC1453" t="str">
        <f>IF($AT1453="","",INDEX(Calc!$G$2:$G$1601,$AT1453))</f>
        <v/>
      </c>
      <c r="AD1453" t="str">
        <f>IF($AS1453="","",Config!$B$23)</f>
        <v/>
      </c>
      <c r="AE1453" t="str">
        <f>IF($AS1453="","",Config!$B$28)</f>
        <v/>
      </c>
      <c r="AF1453" t="str">
        <f t="shared" si="134"/>
        <v/>
      </c>
      <c r="AG1453" t="str">
        <f t="shared" si="135"/>
        <v/>
      </c>
      <c r="AH1453" t="str">
        <f t="shared" si="136"/>
        <v/>
      </c>
      <c r="AI1453" t="str">
        <f>IF($AG1453="","",SUMIF($AG$2:$AG1453,$AG1453,$AH$2:$AH1453))</f>
        <v/>
      </c>
      <c r="AJ1453" t="str">
        <f>IF('TMP Paste'!$F1453="","",IF('TMP Paste'!$B1453="",$AJ1452,'TMP Paste'!$B1453))</f>
        <v/>
      </c>
      <c r="AK1453" t="str">
        <f>IF('TMP Paste'!$F1453="","",N('TMP Paste'!$G1453))</f>
        <v/>
      </c>
      <c r="AL1453" t="str">
        <f>IF('TMP Paste'!$F1453="","",IF('TMP Paste'!$M1453="",$AL1452,'TMP Paste'!$M1453))</f>
        <v/>
      </c>
      <c r="AM1453" t="str">
        <f>IF('TMP Paste'!$F1453="","",IF('TMP Paste'!$N1453="",$AM1452,'TMP Paste'!$N1453))</f>
        <v/>
      </c>
      <c r="AN1453" t="str">
        <f>IF('TMP Paste'!$F1453="","",IF('TMP Paste'!$O1453="",$AN1452,'TMP Paste'!$O1453))</f>
        <v/>
      </c>
      <c r="AO1453" t="str">
        <f>IF('TMP Paste'!$F1453="","",IF('TMP Paste'!$P1453="",$AO1452,'TMP Paste'!$P1453))</f>
        <v/>
      </c>
      <c r="AP1453" t="str">
        <f t="shared" si="137"/>
        <v/>
      </c>
      <c r="AQ1453" t="str">
        <f>IF($AS1453="","",TRIM(IF(COUNTIFS(Calc!$B$2:$B$1601,ROW()-1,Calc!$C$2:$C$1601,"&lt;1")&gt;0,"Ada PO tanpa Koli - cek TMP. ","")&amp;IF(OR($AU1453="",$AU1453&lt;=0),"Volume kosong/0 - dimensi dikosongkan. ","")&amp;IF(AND($AU1453&lt;&gt;"",$AU1453&gt;=1000000),"Volume &gt;= 1.000.000 cm3 (di luar aturan) - dimensi dikosongkan. ","")&amp;IF(LEN($R1453)&gt;500,"R &gt; 500 karakter.","")))</f>
        <v/>
      </c>
      <c r="AS1453" t="str">
        <f>IFERROR(MATCH(ROW()-1,Calc!$J$2:$J$1601,0),"")</f>
        <v/>
      </c>
      <c r="AT1453" t="str">
        <f>IFERROR(MATCH(ROW()-1,Calc!$K$2:$K$1601,0),"")</f>
        <v/>
      </c>
      <c r="AU1453" t="str">
        <f>IF($AS1453="","",IFERROR(INDEX('TMP Paste'!$D$2:$D$1601,$AS1453)*1000000/$AB1453,""))</f>
        <v/>
      </c>
    </row>
    <row r="1454" spans="1:47">
      <c r="A1454" t="str">
        <f>IF($AS1454="","",INDEX('TMP Paste'!$B$2:$B$1601,$AS1454))</f>
        <v/>
      </c>
      <c r="B1454" t="str">
        <f>IF($AS1454="","",Config!$B$14)</f>
        <v/>
      </c>
      <c r="C1454" t="str">
        <f>IF($AS1454="","",Config!$B$15)</f>
        <v/>
      </c>
      <c r="D1454" t="str">
        <f>IF($AS1454="","",INDEX('TMP Paste'!$B$2:$B$1601,$AS1454))</f>
        <v/>
      </c>
      <c r="E1454" t="str">
        <f>IF($AS1454="","",Config!$B$27)</f>
        <v/>
      </c>
      <c r="F1454" t="str">
        <f>IF($AS1454="","",Config!$B$9)</f>
        <v/>
      </c>
      <c r="G1454" t="str">
        <f>IF($AS1454="","",Config!$B$10)</f>
        <v/>
      </c>
      <c r="H1454" t="str">
        <f>IF($AS1454="","",Config!$B$11)</f>
        <v/>
      </c>
      <c r="I1454" t="str">
        <f>IF($AS1454="","",Config!$B$16)</f>
        <v/>
      </c>
      <c r="J1454" t="str">
        <f>IF($AS1454="","",INDEX('TMP Paste'!$A$2:$A$1601,$AS1454))</f>
        <v/>
      </c>
      <c r="K1454" t="str">
        <f>IF($AS1454="","",INDEX('TMP Paste'!$L$2:$L$1601,$AS1454))</f>
        <v/>
      </c>
      <c r="L1454" t="str">
        <f>IF($AS1454="","",INDEX('TMP Paste'!$I$2:$I$1601,$AS1454))</f>
        <v/>
      </c>
      <c r="M1454" t="str">
        <f>IF($AS1454="","",Config!$B$16)</f>
        <v/>
      </c>
      <c r="N1454" t="str">
        <f t="shared" si="132"/>
        <v/>
      </c>
      <c r="O1454" t="str">
        <f>IF($AS1454="","",INDEX('TMP Paste'!$K$2:$K$1601,$AS1454))</f>
        <v/>
      </c>
      <c r="P1454" t="str">
        <f t="shared" si="133"/>
        <v/>
      </c>
      <c r="Q1454" t="str">
        <f>IF($AS1454="","",INDEX('TMP Paste'!$J$2:$J$1601,$AS1454))</f>
        <v/>
      </c>
      <c r="R1454" t="str">
        <f>IF($AS1454="","",Config!$B$24)</f>
        <v/>
      </c>
      <c r="S1454" t="str">
        <f ca="1">IF($AS1454="","",TEXT(Config!$B$4,"yyyy-mm-dd"))</f>
        <v/>
      </c>
      <c r="T1454" t="str">
        <f>IF($AS1454="","",Config!$B$17)</f>
        <v/>
      </c>
      <c r="U1454" t="str">
        <f>IF($AS1454="","",Config!$B$18)</f>
        <v/>
      </c>
      <c r="V1454" t="str">
        <f>IF($AS1454="","",Config!$B$19)</f>
        <v/>
      </c>
      <c r="W1454" t="str">
        <f>IF($AS1454="","",INDEX('TMP Paste'!$C$2:$C$1601,$AS1454))</f>
        <v/>
      </c>
      <c r="X1454" t="str">
        <f>IF($AS1454="","",Config!$B$29)</f>
        <v/>
      </c>
      <c r="Y1454" t="str">
        <f>IF($AT1454="","",INDEX(Calc!$I$2:$I$1601,$AT1454)&amp;" - "&amp;INDEX(Calc!$D$2:$D$1601,$AT1454)&amp;" koli")</f>
        <v/>
      </c>
      <c r="Z1454" t="str">
        <f>IF($AS1454="","",Config!$B$21)</f>
        <v/>
      </c>
      <c r="AA1454" t="str">
        <f>IF($AS1454="","",Config!$B$22)</f>
        <v/>
      </c>
      <c r="AB1454" t="str">
        <f>IF($AT1454="","",INDEX(Calc!$D$2:$D$1601,$AT1454))</f>
        <v/>
      </c>
      <c r="AC1454" t="str">
        <f>IF($AT1454="","",INDEX(Calc!$G$2:$G$1601,$AT1454))</f>
        <v/>
      </c>
      <c r="AD1454" t="str">
        <f>IF($AS1454="","",Config!$B$23)</f>
        <v/>
      </c>
      <c r="AE1454" t="str">
        <f>IF($AS1454="","",Config!$B$28)</f>
        <v/>
      </c>
      <c r="AF1454" t="str">
        <f t="shared" si="134"/>
        <v/>
      </c>
      <c r="AG1454" t="str">
        <f t="shared" si="135"/>
        <v/>
      </c>
      <c r="AH1454" t="str">
        <f t="shared" si="136"/>
        <v/>
      </c>
      <c r="AI1454" t="str">
        <f>IF($AG1454="","",SUMIF($AG$2:$AG1454,$AG1454,$AH$2:$AH1454))</f>
        <v/>
      </c>
      <c r="AJ1454" t="str">
        <f>IF('TMP Paste'!$F1454="","",IF('TMP Paste'!$B1454="",$AJ1453,'TMP Paste'!$B1454))</f>
        <v/>
      </c>
      <c r="AK1454" t="str">
        <f>IF('TMP Paste'!$F1454="","",N('TMP Paste'!$G1454))</f>
        <v/>
      </c>
      <c r="AL1454" t="str">
        <f>IF('TMP Paste'!$F1454="","",IF('TMP Paste'!$M1454="",$AL1453,'TMP Paste'!$M1454))</f>
        <v/>
      </c>
      <c r="AM1454" t="str">
        <f>IF('TMP Paste'!$F1454="","",IF('TMP Paste'!$N1454="",$AM1453,'TMP Paste'!$N1454))</f>
        <v/>
      </c>
      <c r="AN1454" t="str">
        <f>IF('TMP Paste'!$F1454="","",IF('TMP Paste'!$O1454="",$AN1453,'TMP Paste'!$O1454))</f>
        <v/>
      </c>
      <c r="AO1454" t="str">
        <f>IF('TMP Paste'!$F1454="","",IF('TMP Paste'!$P1454="",$AO1453,'TMP Paste'!$P1454))</f>
        <v/>
      </c>
      <c r="AP1454" t="str">
        <f t="shared" si="137"/>
        <v/>
      </c>
      <c r="AQ1454" t="str">
        <f>IF($AS1454="","",TRIM(IF(COUNTIFS(Calc!$B$2:$B$1601,ROW()-1,Calc!$C$2:$C$1601,"&lt;1")&gt;0,"Ada PO tanpa Koli - cek TMP. ","")&amp;IF(OR($AU1454="",$AU1454&lt;=0),"Volume kosong/0 - dimensi dikosongkan. ","")&amp;IF(AND($AU1454&lt;&gt;"",$AU1454&gt;=1000000),"Volume &gt;= 1.000.000 cm3 (di luar aturan) - dimensi dikosongkan. ","")&amp;IF(LEN($R1454)&gt;500,"R &gt; 500 karakter.","")))</f>
        <v/>
      </c>
      <c r="AS1454" t="str">
        <f>IFERROR(MATCH(ROW()-1,Calc!$J$2:$J$1601,0),"")</f>
        <v/>
      </c>
      <c r="AT1454" t="str">
        <f>IFERROR(MATCH(ROW()-1,Calc!$K$2:$K$1601,0),"")</f>
        <v/>
      </c>
      <c r="AU1454" t="str">
        <f>IF($AS1454="","",IFERROR(INDEX('TMP Paste'!$D$2:$D$1601,$AS1454)*1000000/$AB1454,""))</f>
        <v/>
      </c>
    </row>
    <row r="1455" spans="1:47">
      <c r="A1455" t="str">
        <f>IF($AS1455="","",INDEX('TMP Paste'!$B$2:$B$1601,$AS1455))</f>
        <v/>
      </c>
      <c r="B1455" t="str">
        <f>IF($AS1455="","",Config!$B$14)</f>
        <v/>
      </c>
      <c r="C1455" t="str">
        <f>IF($AS1455="","",Config!$B$15)</f>
        <v/>
      </c>
      <c r="D1455" t="str">
        <f>IF($AS1455="","",INDEX('TMP Paste'!$B$2:$B$1601,$AS1455))</f>
        <v/>
      </c>
      <c r="E1455" t="str">
        <f>IF($AS1455="","",Config!$B$27)</f>
        <v/>
      </c>
      <c r="F1455" t="str">
        <f>IF($AS1455="","",Config!$B$9)</f>
        <v/>
      </c>
      <c r="G1455" t="str">
        <f>IF($AS1455="","",Config!$B$10)</f>
        <v/>
      </c>
      <c r="H1455" t="str">
        <f>IF($AS1455="","",Config!$B$11)</f>
        <v/>
      </c>
      <c r="I1455" t="str">
        <f>IF($AS1455="","",Config!$B$16)</f>
        <v/>
      </c>
      <c r="J1455" t="str">
        <f>IF($AS1455="","",INDEX('TMP Paste'!$A$2:$A$1601,$AS1455))</f>
        <v/>
      </c>
      <c r="K1455" t="str">
        <f>IF($AS1455="","",INDEX('TMP Paste'!$L$2:$L$1601,$AS1455))</f>
        <v/>
      </c>
      <c r="L1455" t="str">
        <f>IF($AS1455="","",INDEX('TMP Paste'!$I$2:$I$1601,$AS1455))</f>
        <v/>
      </c>
      <c r="M1455" t="str">
        <f>IF($AS1455="","",Config!$B$16)</f>
        <v/>
      </c>
      <c r="N1455" t="str">
        <f t="shared" si="132"/>
        <v/>
      </c>
      <c r="O1455" t="str">
        <f>IF($AS1455="","",INDEX('TMP Paste'!$K$2:$K$1601,$AS1455))</f>
        <v/>
      </c>
      <c r="P1455" t="str">
        <f t="shared" si="133"/>
        <v/>
      </c>
      <c r="Q1455" t="str">
        <f>IF($AS1455="","",INDEX('TMP Paste'!$J$2:$J$1601,$AS1455))</f>
        <v/>
      </c>
      <c r="R1455" t="str">
        <f>IF($AS1455="","",Config!$B$24)</f>
        <v/>
      </c>
      <c r="S1455" t="str">
        <f ca="1">IF($AS1455="","",TEXT(Config!$B$4,"yyyy-mm-dd"))</f>
        <v/>
      </c>
      <c r="T1455" t="str">
        <f>IF($AS1455="","",Config!$B$17)</f>
        <v/>
      </c>
      <c r="U1455" t="str">
        <f>IF($AS1455="","",Config!$B$18)</f>
        <v/>
      </c>
      <c r="V1455" t="str">
        <f>IF($AS1455="","",Config!$B$19)</f>
        <v/>
      </c>
      <c r="W1455" t="str">
        <f>IF($AS1455="","",INDEX('TMP Paste'!$C$2:$C$1601,$AS1455))</f>
        <v/>
      </c>
      <c r="X1455" t="str">
        <f>IF($AS1455="","",Config!$B$29)</f>
        <v/>
      </c>
      <c r="Y1455" t="str">
        <f>IF($AT1455="","",INDEX(Calc!$I$2:$I$1601,$AT1455)&amp;" - "&amp;INDEX(Calc!$D$2:$D$1601,$AT1455)&amp;" koli")</f>
        <v/>
      </c>
      <c r="Z1455" t="str">
        <f>IF($AS1455="","",Config!$B$21)</f>
        <v/>
      </c>
      <c r="AA1455" t="str">
        <f>IF($AS1455="","",Config!$B$22)</f>
        <v/>
      </c>
      <c r="AB1455" t="str">
        <f>IF($AT1455="","",INDEX(Calc!$D$2:$D$1601,$AT1455))</f>
        <v/>
      </c>
      <c r="AC1455" t="str">
        <f>IF($AT1455="","",INDEX(Calc!$G$2:$G$1601,$AT1455))</f>
        <v/>
      </c>
      <c r="AD1455" t="str">
        <f>IF($AS1455="","",Config!$B$23)</f>
        <v/>
      </c>
      <c r="AE1455" t="str">
        <f>IF($AS1455="","",Config!$B$28)</f>
        <v/>
      </c>
      <c r="AF1455" t="str">
        <f t="shared" si="134"/>
        <v/>
      </c>
      <c r="AG1455" t="str">
        <f t="shared" si="135"/>
        <v/>
      </c>
      <c r="AH1455" t="str">
        <f t="shared" si="136"/>
        <v/>
      </c>
      <c r="AI1455" t="str">
        <f>IF($AG1455="","",SUMIF($AG$2:$AG1455,$AG1455,$AH$2:$AH1455))</f>
        <v/>
      </c>
      <c r="AJ1455" t="str">
        <f>IF('TMP Paste'!$F1455="","",IF('TMP Paste'!$B1455="",$AJ1454,'TMP Paste'!$B1455))</f>
        <v/>
      </c>
      <c r="AK1455" t="str">
        <f>IF('TMP Paste'!$F1455="","",N('TMP Paste'!$G1455))</f>
        <v/>
      </c>
      <c r="AL1455" t="str">
        <f>IF('TMP Paste'!$F1455="","",IF('TMP Paste'!$M1455="",$AL1454,'TMP Paste'!$M1455))</f>
        <v/>
      </c>
      <c r="AM1455" t="str">
        <f>IF('TMP Paste'!$F1455="","",IF('TMP Paste'!$N1455="",$AM1454,'TMP Paste'!$N1455))</f>
        <v/>
      </c>
      <c r="AN1455" t="str">
        <f>IF('TMP Paste'!$F1455="","",IF('TMP Paste'!$O1455="",$AN1454,'TMP Paste'!$O1455))</f>
        <v/>
      </c>
      <c r="AO1455" t="str">
        <f>IF('TMP Paste'!$F1455="","",IF('TMP Paste'!$P1455="",$AO1454,'TMP Paste'!$P1455))</f>
        <v/>
      </c>
      <c r="AP1455" t="str">
        <f t="shared" si="137"/>
        <v/>
      </c>
      <c r="AQ1455" t="str">
        <f>IF($AS1455="","",TRIM(IF(COUNTIFS(Calc!$B$2:$B$1601,ROW()-1,Calc!$C$2:$C$1601,"&lt;1")&gt;0,"Ada PO tanpa Koli - cek TMP. ","")&amp;IF(OR($AU1455="",$AU1455&lt;=0),"Volume kosong/0 - dimensi dikosongkan. ","")&amp;IF(AND($AU1455&lt;&gt;"",$AU1455&gt;=1000000),"Volume &gt;= 1.000.000 cm3 (di luar aturan) - dimensi dikosongkan. ","")&amp;IF(LEN($R1455)&gt;500,"R &gt; 500 karakter.","")))</f>
        <v/>
      </c>
      <c r="AS1455" t="str">
        <f>IFERROR(MATCH(ROW()-1,Calc!$J$2:$J$1601,0),"")</f>
        <v/>
      </c>
      <c r="AT1455" t="str">
        <f>IFERROR(MATCH(ROW()-1,Calc!$K$2:$K$1601,0),"")</f>
        <v/>
      </c>
      <c r="AU1455" t="str">
        <f>IF($AS1455="","",IFERROR(INDEX('TMP Paste'!$D$2:$D$1601,$AS1455)*1000000/$AB1455,""))</f>
        <v/>
      </c>
    </row>
    <row r="1456" spans="1:47">
      <c r="A1456" t="str">
        <f>IF($AS1456="","",INDEX('TMP Paste'!$B$2:$B$1601,$AS1456))</f>
        <v/>
      </c>
      <c r="B1456" t="str">
        <f>IF($AS1456="","",Config!$B$14)</f>
        <v/>
      </c>
      <c r="C1456" t="str">
        <f>IF($AS1456="","",Config!$B$15)</f>
        <v/>
      </c>
      <c r="D1456" t="str">
        <f>IF($AS1456="","",INDEX('TMP Paste'!$B$2:$B$1601,$AS1456))</f>
        <v/>
      </c>
      <c r="E1456" t="str">
        <f>IF($AS1456="","",Config!$B$27)</f>
        <v/>
      </c>
      <c r="F1456" t="str">
        <f>IF($AS1456="","",Config!$B$9)</f>
        <v/>
      </c>
      <c r="G1456" t="str">
        <f>IF($AS1456="","",Config!$B$10)</f>
        <v/>
      </c>
      <c r="H1456" t="str">
        <f>IF($AS1456="","",Config!$B$11)</f>
        <v/>
      </c>
      <c r="I1456" t="str">
        <f>IF($AS1456="","",Config!$B$16)</f>
        <v/>
      </c>
      <c r="J1456" t="str">
        <f>IF($AS1456="","",INDEX('TMP Paste'!$A$2:$A$1601,$AS1456))</f>
        <v/>
      </c>
      <c r="K1456" t="str">
        <f>IF($AS1456="","",INDEX('TMP Paste'!$L$2:$L$1601,$AS1456))</f>
        <v/>
      </c>
      <c r="L1456" t="str">
        <f>IF($AS1456="","",INDEX('TMP Paste'!$I$2:$I$1601,$AS1456))</f>
        <v/>
      </c>
      <c r="M1456" t="str">
        <f>IF($AS1456="","",Config!$B$16)</f>
        <v/>
      </c>
      <c r="N1456" t="str">
        <f t="shared" si="132"/>
        <v/>
      </c>
      <c r="O1456" t="str">
        <f>IF($AS1456="","",INDEX('TMP Paste'!$K$2:$K$1601,$AS1456))</f>
        <v/>
      </c>
      <c r="P1456" t="str">
        <f t="shared" si="133"/>
        <v/>
      </c>
      <c r="Q1456" t="str">
        <f>IF($AS1456="","",INDEX('TMP Paste'!$J$2:$J$1601,$AS1456))</f>
        <v/>
      </c>
      <c r="R1456" t="str">
        <f>IF($AS1456="","",Config!$B$24)</f>
        <v/>
      </c>
      <c r="S1456" t="str">
        <f ca="1">IF($AS1456="","",TEXT(Config!$B$4,"yyyy-mm-dd"))</f>
        <v/>
      </c>
      <c r="T1456" t="str">
        <f>IF($AS1456="","",Config!$B$17)</f>
        <v/>
      </c>
      <c r="U1456" t="str">
        <f>IF($AS1456="","",Config!$B$18)</f>
        <v/>
      </c>
      <c r="V1456" t="str">
        <f>IF($AS1456="","",Config!$B$19)</f>
        <v/>
      </c>
      <c r="W1456" t="str">
        <f>IF($AS1456="","",INDEX('TMP Paste'!$C$2:$C$1601,$AS1456))</f>
        <v/>
      </c>
      <c r="X1456" t="str">
        <f>IF($AS1456="","",Config!$B$29)</f>
        <v/>
      </c>
      <c r="Y1456" t="str">
        <f>IF($AT1456="","",INDEX(Calc!$I$2:$I$1601,$AT1456)&amp;" - "&amp;INDEX(Calc!$D$2:$D$1601,$AT1456)&amp;" koli")</f>
        <v/>
      </c>
      <c r="Z1456" t="str">
        <f>IF($AS1456="","",Config!$B$21)</f>
        <v/>
      </c>
      <c r="AA1456" t="str">
        <f>IF($AS1456="","",Config!$B$22)</f>
        <v/>
      </c>
      <c r="AB1456" t="str">
        <f>IF($AT1456="","",INDEX(Calc!$D$2:$D$1601,$AT1456))</f>
        <v/>
      </c>
      <c r="AC1456" t="str">
        <f>IF($AT1456="","",INDEX(Calc!$G$2:$G$1601,$AT1456))</f>
        <v/>
      </c>
      <c r="AD1456" t="str">
        <f>IF($AS1456="","",Config!$B$23)</f>
        <v/>
      </c>
      <c r="AE1456" t="str">
        <f>IF($AS1456="","",Config!$B$28)</f>
        <v/>
      </c>
      <c r="AF1456" t="str">
        <f t="shared" si="134"/>
        <v/>
      </c>
      <c r="AG1456" t="str">
        <f t="shared" si="135"/>
        <v/>
      </c>
      <c r="AH1456" t="str">
        <f t="shared" si="136"/>
        <v/>
      </c>
      <c r="AI1456" t="str">
        <f>IF($AG1456="","",SUMIF($AG$2:$AG1456,$AG1456,$AH$2:$AH1456))</f>
        <v/>
      </c>
      <c r="AJ1456" t="str">
        <f>IF('TMP Paste'!$F1456="","",IF('TMP Paste'!$B1456="",$AJ1455,'TMP Paste'!$B1456))</f>
        <v/>
      </c>
      <c r="AK1456" t="str">
        <f>IF('TMP Paste'!$F1456="","",N('TMP Paste'!$G1456))</f>
        <v/>
      </c>
      <c r="AL1456" t="str">
        <f>IF('TMP Paste'!$F1456="","",IF('TMP Paste'!$M1456="",$AL1455,'TMP Paste'!$M1456))</f>
        <v/>
      </c>
      <c r="AM1456" t="str">
        <f>IF('TMP Paste'!$F1456="","",IF('TMP Paste'!$N1456="",$AM1455,'TMP Paste'!$N1456))</f>
        <v/>
      </c>
      <c r="AN1456" t="str">
        <f>IF('TMP Paste'!$F1456="","",IF('TMP Paste'!$O1456="",$AN1455,'TMP Paste'!$O1456))</f>
        <v/>
      </c>
      <c r="AO1456" t="str">
        <f>IF('TMP Paste'!$F1456="","",IF('TMP Paste'!$P1456="",$AO1455,'TMP Paste'!$P1456))</f>
        <v/>
      </c>
      <c r="AP1456" t="str">
        <f t="shared" si="137"/>
        <v/>
      </c>
      <c r="AQ1456" t="str">
        <f>IF($AS1456="","",TRIM(IF(COUNTIFS(Calc!$B$2:$B$1601,ROW()-1,Calc!$C$2:$C$1601,"&lt;1")&gt;0,"Ada PO tanpa Koli - cek TMP. ","")&amp;IF(OR($AU1456="",$AU1456&lt;=0),"Volume kosong/0 - dimensi dikosongkan. ","")&amp;IF(AND($AU1456&lt;&gt;"",$AU1456&gt;=1000000),"Volume &gt;= 1.000.000 cm3 (di luar aturan) - dimensi dikosongkan. ","")&amp;IF(LEN($R1456)&gt;500,"R &gt; 500 karakter.","")))</f>
        <v/>
      </c>
      <c r="AS1456" t="str">
        <f>IFERROR(MATCH(ROW()-1,Calc!$J$2:$J$1601,0),"")</f>
        <v/>
      </c>
      <c r="AT1456" t="str">
        <f>IFERROR(MATCH(ROW()-1,Calc!$K$2:$K$1601,0),"")</f>
        <v/>
      </c>
      <c r="AU1456" t="str">
        <f>IF($AS1456="","",IFERROR(INDEX('TMP Paste'!$D$2:$D$1601,$AS1456)*1000000/$AB1456,""))</f>
        <v/>
      </c>
    </row>
    <row r="1457" spans="1:47">
      <c r="A1457" t="str">
        <f>IF($AS1457="","",INDEX('TMP Paste'!$B$2:$B$1601,$AS1457))</f>
        <v/>
      </c>
      <c r="B1457" t="str">
        <f>IF($AS1457="","",Config!$B$14)</f>
        <v/>
      </c>
      <c r="C1457" t="str">
        <f>IF($AS1457="","",Config!$B$15)</f>
        <v/>
      </c>
      <c r="D1457" t="str">
        <f>IF($AS1457="","",INDEX('TMP Paste'!$B$2:$B$1601,$AS1457))</f>
        <v/>
      </c>
      <c r="E1457" t="str">
        <f>IF($AS1457="","",Config!$B$27)</f>
        <v/>
      </c>
      <c r="F1457" t="str">
        <f>IF($AS1457="","",Config!$B$9)</f>
        <v/>
      </c>
      <c r="G1457" t="str">
        <f>IF($AS1457="","",Config!$B$10)</f>
        <v/>
      </c>
      <c r="H1457" t="str">
        <f>IF($AS1457="","",Config!$B$11)</f>
        <v/>
      </c>
      <c r="I1457" t="str">
        <f>IF($AS1457="","",Config!$B$16)</f>
        <v/>
      </c>
      <c r="J1457" t="str">
        <f>IF($AS1457="","",INDEX('TMP Paste'!$A$2:$A$1601,$AS1457))</f>
        <v/>
      </c>
      <c r="K1457" t="str">
        <f>IF($AS1457="","",INDEX('TMP Paste'!$L$2:$L$1601,$AS1457))</f>
        <v/>
      </c>
      <c r="L1457" t="str">
        <f>IF($AS1457="","",INDEX('TMP Paste'!$I$2:$I$1601,$AS1457))</f>
        <v/>
      </c>
      <c r="M1457" t="str">
        <f>IF($AS1457="","",Config!$B$16)</f>
        <v/>
      </c>
      <c r="N1457" t="str">
        <f t="shared" si="132"/>
        <v/>
      </c>
      <c r="O1457" t="str">
        <f>IF($AS1457="","",INDEX('TMP Paste'!$K$2:$K$1601,$AS1457))</f>
        <v/>
      </c>
      <c r="P1457" t="str">
        <f t="shared" si="133"/>
        <v/>
      </c>
      <c r="Q1457" t="str">
        <f>IF($AS1457="","",INDEX('TMP Paste'!$J$2:$J$1601,$AS1457))</f>
        <v/>
      </c>
      <c r="R1457" t="str">
        <f>IF($AS1457="","",Config!$B$24)</f>
        <v/>
      </c>
      <c r="S1457" t="str">
        <f ca="1">IF($AS1457="","",TEXT(Config!$B$4,"yyyy-mm-dd"))</f>
        <v/>
      </c>
      <c r="T1457" t="str">
        <f>IF($AS1457="","",Config!$B$17)</f>
        <v/>
      </c>
      <c r="U1457" t="str">
        <f>IF($AS1457="","",Config!$B$18)</f>
        <v/>
      </c>
      <c r="V1457" t="str">
        <f>IF($AS1457="","",Config!$B$19)</f>
        <v/>
      </c>
      <c r="W1457" t="str">
        <f>IF($AS1457="","",INDEX('TMP Paste'!$C$2:$C$1601,$AS1457))</f>
        <v/>
      </c>
      <c r="X1457" t="str">
        <f>IF($AS1457="","",Config!$B$29)</f>
        <v/>
      </c>
      <c r="Y1457" t="str">
        <f>IF($AT1457="","",INDEX(Calc!$I$2:$I$1601,$AT1457)&amp;" - "&amp;INDEX(Calc!$D$2:$D$1601,$AT1457)&amp;" koli")</f>
        <v/>
      </c>
      <c r="Z1457" t="str">
        <f>IF($AS1457="","",Config!$B$21)</f>
        <v/>
      </c>
      <c r="AA1457" t="str">
        <f>IF($AS1457="","",Config!$B$22)</f>
        <v/>
      </c>
      <c r="AB1457" t="str">
        <f>IF($AT1457="","",INDEX(Calc!$D$2:$D$1601,$AT1457))</f>
        <v/>
      </c>
      <c r="AC1457" t="str">
        <f>IF($AT1457="","",INDEX(Calc!$G$2:$G$1601,$AT1457))</f>
        <v/>
      </c>
      <c r="AD1457" t="str">
        <f>IF($AS1457="","",Config!$B$23)</f>
        <v/>
      </c>
      <c r="AE1457" t="str">
        <f>IF($AS1457="","",Config!$B$28)</f>
        <v/>
      </c>
      <c r="AF1457" t="str">
        <f t="shared" si="134"/>
        <v/>
      </c>
      <c r="AG1457" t="str">
        <f t="shared" si="135"/>
        <v/>
      </c>
      <c r="AH1457" t="str">
        <f t="shared" si="136"/>
        <v/>
      </c>
      <c r="AI1457" t="str">
        <f>IF($AG1457="","",SUMIF($AG$2:$AG1457,$AG1457,$AH$2:$AH1457))</f>
        <v/>
      </c>
      <c r="AJ1457" t="str">
        <f>IF('TMP Paste'!$F1457="","",IF('TMP Paste'!$B1457="",$AJ1456,'TMP Paste'!$B1457))</f>
        <v/>
      </c>
      <c r="AK1457" t="str">
        <f>IF('TMP Paste'!$F1457="","",N('TMP Paste'!$G1457))</f>
        <v/>
      </c>
      <c r="AL1457" t="str">
        <f>IF('TMP Paste'!$F1457="","",IF('TMP Paste'!$M1457="",$AL1456,'TMP Paste'!$M1457))</f>
        <v/>
      </c>
      <c r="AM1457" t="str">
        <f>IF('TMP Paste'!$F1457="","",IF('TMP Paste'!$N1457="",$AM1456,'TMP Paste'!$N1457))</f>
        <v/>
      </c>
      <c r="AN1457" t="str">
        <f>IF('TMP Paste'!$F1457="","",IF('TMP Paste'!$O1457="",$AN1456,'TMP Paste'!$O1457))</f>
        <v/>
      </c>
      <c r="AO1457" t="str">
        <f>IF('TMP Paste'!$F1457="","",IF('TMP Paste'!$P1457="",$AO1456,'TMP Paste'!$P1457))</f>
        <v/>
      </c>
      <c r="AP1457" t="str">
        <f t="shared" si="137"/>
        <v/>
      </c>
      <c r="AQ1457" t="str">
        <f>IF($AS1457="","",TRIM(IF(COUNTIFS(Calc!$B$2:$B$1601,ROW()-1,Calc!$C$2:$C$1601,"&lt;1")&gt;0,"Ada PO tanpa Koli - cek TMP. ","")&amp;IF(OR($AU1457="",$AU1457&lt;=0),"Volume kosong/0 - dimensi dikosongkan. ","")&amp;IF(AND($AU1457&lt;&gt;"",$AU1457&gt;=1000000),"Volume &gt;= 1.000.000 cm3 (di luar aturan) - dimensi dikosongkan. ","")&amp;IF(LEN($R1457)&gt;500,"R &gt; 500 karakter.","")))</f>
        <v/>
      </c>
      <c r="AS1457" t="str">
        <f>IFERROR(MATCH(ROW()-1,Calc!$J$2:$J$1601,0),"")</f>
        <v/>
      </c>
      <c r="AT1457" t="str">
        <f>IFERROR(MATCH(ROW()-1,Calc!$K$2:$K$1601,0),"")</f>
        <v/>
      </c>
      <c r="AU1457" t="str">
        <f>IF($AS1457="","",IFERROR(INDEX('TMP Paste'!$D$2:$D$1601,$AS1457)*1000000/$AB1457,""))</f>
        <v/>
      </c>
    </row>
    <row r="1458" spans="1:47">
      <c r="A1458" t="str">
        <f>IF($AS1458="","",INDEX('TMP Paste'!$B$2:$B$1601,$AS1458))</f>
        <v/>
      </c>
      <c r="B1458" t="str">
        <f>IF($AS1458="","",Config!$B$14)</f>
        <v/>
      </c>
      <c r="C1458" t="str">
        <f>IF($AS1458="","",Config!$B$15)</f>
        <v/>
      </c>
      <c r="D1458" t="str">
        <f>IF($AS1458="","",INDEX('TMP Paste'!$B$2:$B$1601,$AS1458))</f>
        <v/>
      </c>
      <c r="E1458" t="str">
        <f>IF($AS1458="","",Config!$B$27)</f>
        <v/>
      </c>
      <c r="F1458" t="str">
        <f>IF($AS1458="","",Config!$B$9)</f>
        <v/>
      </c>
      <c r="G1458" t="str">
        <f>IF($AS1458="","",Config!$B$10)</f>
        <v/>
      </c>
      <c r="H1458" t="str">
        <f>IF($AS1458="","",Config!$B$11)</f>
        <v/>
      </c>
      <c r="I1458" t="str">
        <f>IF($AS1458="","",Config!$B$16)</f>
        <v/>
      </c>
      <c r="J1458" t="str">
        <f>IF($AS1458="","",INDEX('TMP Paste'!$A$2:$A$1601,$AS1458))</f>
        <v/>
      </c>
      <c r="K1458" t="str">
        <f>IF($AS1458="","",INDEX('TMP Paste'!$L$2:$L$1601,$AS1458))</f>
        <v/>
      </c>
      <c r="L1458" t="str">
        <f>IF($AS1458="","",INDEX('TMP Paste'!$I$2:$I$1601,$AS1458))</f>
        <v/>
      </c>
      <c r="M1458" t="str">
        <f>IF($AS1458="","",Config!$B$16)</f>
        <v/>
      </c>
      <c r="N1458" t="str">
        <f t="shared" si="132"/>
        <v/>
      </c>
      <c r="O1458" t="str">
        <f>IF($AS1458="","",INDEX('TMP Paste'!$K$2:$K$1601,$AS1458))</f>
        <v/>
      </c>
      <c r="P1458" t="str">
        <f t="shared" si="133"/>
        <v/>
      </c>
      <c r="Q1458" t="str">
        <f>IF($AS1458="","",INDEX('TMP Paste'!$J$2:$J$1601,$AS1458))</f>
        <v/>
      </c>
      <c r="R1458" t="str">
        <f>IF($AS1458="","",Config!$B$24)</f>
        <v/>
      </c>
      <c r="S1458" t="str">
        <f ca="1">IF($AS1458="","",TEXT(Config!$B$4,"yyyy-mm-dd"))</f>
        <v/>
      </c>
      <c r="T1458" t="str">
        <f>IF($AS1458="","",Config!$B$17)</f>
        <v/>
      </c>
      <c r="U1458" t="str">
        <f>IF($AS1458="","",Config!$B$18)</f>
        <v/>
      </c>
      <c r="V1458" t="str">
        <f>IF($AS1458="","",Config!$B$19)</f>
        <v/>
      </c>
      <c r="W1458" t="str">
        <f>IF($AS1458="","",INDEX('TMP Paste'!$C$2:$C$1601,$AS1458))</f>
        <v/>
      </c>
      <c r="X1458" t="str">
        <f>IF($AS1458="","",Config!$B$29)</f>
        <v/>
      </c>
      <c r="Y1458" t="str">
        <f>IF($AT1458="","",INDEX(Calc!$I$2:$I$1601,$AT1458)&amp;" - "&amp;INDEX(Calc!$D$2:$D$1601,$AT1458)&amp;" koli")</f>
        <v/>
      </c>
      <c r="Z1458" t="str">
        <f>IF($AS1458="","",Config!$B$21)</f>
        <v/>
      </c>
      <c r="AA1458" t="str">
        <f>IF($AS1458="","",Config!$B$22)</f>
        <v/>
      </c>
      <c r="AB1458" t="str">
        <f>IF($AT1458="","",INDEX(Calc!$D$2:$D$1601,$AT1458))</f>
        <v/>
      </c>
      <c r="AC1458" t="str">
        <f>IF($AT1458="","",INDEX(Calc!$G$2:$G$1601,$AT1458))</f>
        <v/>
      </c>
      <c r="AD1458" t="str">
        <f>IF($AS1458="","",Config!$B$23)</f>
        <v/>
      </c>
      <c r="AE1458" t="str">
        <f>IF($AS1458="","",Config!$B$28)</f>
        <v/>
      </c>
      <c r="AF1458" t="str">
        <f t="shared" si="134"/>
        <v/>
      </c>
      <c r="AG1458" t="str">
        <f t="shared" si="135"/>
        <v/>
      </c>
      <c r="AH1458" t="str">
        <f t="shared" si="136"/>
        <v/>
      </c>
      <c r="AI1458" t="str">
        <f>IF($AG1458="","",SUMIF($AG$2:$AG1458,$AG1458,$AH$2:$AH1458))</f>
        <v/>
      </c>
      <c r="AJ1458" t="str">
        <f>IF('TMP Paste'!$F1458="","",IF('TMP Paste'!$B1458="",$AJ1457,'TMP Paste'!$B1458))</f>
        <v/>
      </c>
      <c r="AK1458" t="str">
        <f>IF('TMP Paste'!$F1458="","",N('TMP Paste'!$G1458))</f>
        <v/>
      </c>
      <c r="AL1458" t="str">
        <f>IF('TMP Paste'!$F1458="","",IF('TMP Paste'!$M1458="",$AL1457,'TMP Paste'!$M1458))</f>
        <v/>
      </c>
      <c r="AM1458" t="str">
        <f>IF('TMP Paste'!$F1458="","",IF('TMP Paste'!$N1458="",$AM1457,'TMP Paste'!$N1458))</f>
        <v/>
      </c>
      <c r="AN1458" t="str">
        <f>IF('TMP Paste'!$F1458="","",IF('TMP Paste'!$O1458="",$AN1457,'TMP Paste'!$O1458))</f>
        <v/>
      </c>
      <c r="AO1458" t="str">
        <f>IF('TMP Paste'!$F1458="","",IF('TMP Paste'!$P1458="",$AO1457,'TMP Paste'!$P1458))</f>
        <v/>
      </c>
      <c r="AP1458" t="str">
        <f t="shared" si="137"/>
        <v/>
      </c>
      <c r="AQ1458" t="str">
        <f>IF($AS1458="","",TRIM(IF(COUNTIFS(Calc!$B$2:$B$1601,ROW()-1,Calc!$C$2:$C$1601,"&lt;1")&gt;0,"Ada PO tanpa Koli - cek TMP. ","")&amp;IF(OR($AU1458="",$AU1458&lt;=0),"Volume kosong/0 - dimensi dikosongkan. ","")&amp;IF(AND($AU1458&lt;&gt;"",$AU1458&gt;=1000000),"Volume &gt;= 1.000.000 cm3 (di luar aturan) - dimensi dikosongkan. ","")&amp;IF(LEN($R1458)&gt;500,"R &gt; 500 karakter.","")))</f>
        <v/>
      </c>
      <c r="AS1458" t="str">
        <f>IFERROR(MATCH(ROW()-1,Calc!$J$2:$J$1601,0),"")</f>
        <v/>
      </c>
      <c r="AT1458" t="str">
        <f>IFERROR(MATCH(ROW()-1,Calc!$K$2:$K$1601,0),"")</f>
        <v/>
      </c>
      <c r="AU1458" t="str">
        <f>IF($AS1458="","",IFERROR(INDEX('TMP Paste'!$D$2:$D$1601,$AS1458)*1000000/$AB1458,""))</f>
        <v/>
      </c>
    </row>
    <row r="1459" spans="1:47">
      <c r="A1459" t="str">
        <f>IF($AS1459="","",INDEX('TMP Paste'!$B$2:$B$1601,$AS1459))</f>
        <v/>
      </c>
      <c r="B1459" t="str">
        <f>IF($AS1459="","",Config!$B$14)</f>
        <v/>
      </c>
      <c r="C1459" t="str">
        <f>IF($AS1459="","",Config!$B$15)</f>
        <v/>
      </c>
      <c r="D1459" t="str">
        <f>IF($AS1459="","",INDEX('TMP Paste'!$B$2:$B$1601,$AS1459))</f>
        <v/>
      </c>
      <c r="E1459" t="str">
        <f>IF($AS1459="","",Config!$B$27)</f>
        <v/>
      </c>
      <c r="F1459" t="str">
        <f>IF($AS1459="","",Config!$B$9)</f>
        <v/>
      </c>
      <c r="G1459" t="str">
        <f>IF($AS1459="","",Config!$B$10)</f>
        <v/>
      </c>
      <c r="H1459" t="str">
        <f>IF($AS1459="","",Config!$B$11)</f>
        <v/>
      </c>
      <c r="I1459" t="str">
        <f>IF($AS1459="","",Config!$B$16)</f>
        <v/>
      </c>
      <c r="J1459" t="str">
        <f>IF($AS1459="","",INDEX('TMP Paste'!$A$2:$A$1601,$AS1459))</f>
        <v/>
      </c>
      <c r="K1459" t="str">
        <f>IF($AS1459="","",INDEX('TMP Paste'!$L$2:$L$1601,$AS1459))</f>
        <v/>
      </c>
      <c r="L1459" t="str">
        <f>IF($AS1459="","",INDEX('TMP Paste'!$I$2:$I$1601,$AS1459))</f>
        <v/>
      </c>
      <c r="M1459" t="str">
        <f>IF($AS1459="","",Config!$B$16)</f>
        <v/>
      </c>
      <c r="N1459" t="str">
        <f t="shared" si="132"/>
        <v/>
      </c>
      <c r="O1459" t="str">
        <f>IF($AS1459="","",INDEX('TMP Paste'!$K$2:$K$1601,$AS1459))</f>
        <v/>
      </c>
      <c r="P1459" t="str">
        <f t="shared" si="133"/>
        <v/>
      </c>
      <c r="Q1459" t="str">
        <f>IF($AS1459="","",INDEX('TMP Paste'!$J$2:$J$1601,$AS1459))</f>
        <v/>
      </c>
      <c r="R1459" t="str">
        <f>IF($AS1459="","",Config!$B$24)</f>
        <v/>
      </c>
      <c r="S1459" t="str">
        <f ca="1">IF($AS1459="","",TEXT(Config!$B$4,"yyyy-mm-dd"))</f>
        <v/>
      </c>
      <c r="T1459" t="str">
        <f>IF($AS1459="","",Config!$B$17)</f>
        <v/>
      </c>
      <c r="U1459" t="str">
        <f>IF($AS1459="","",Config!$B$18)</f>
        <v/>
      </c>
      <c r="V1459" t="str">
        <f>IF($AS1459="","",Config!$B$19)</f>
        <v/>
      </c>
      <c r="W1459" t="str">
        <f>IF($AS1459="","",INDEX('TMP Paste'!$C$2:$C$1601,$AS1459))</f>
        <v/>
      </c>
      <c r="X1459" t="str">
        <f>IF($AS1459="","",Config!$B$29)</f>
        <v/>
      </c>
      <c r="Y1459" t="str">
        <f>IF($AT1459="","",INDEX(Calc!$I$2:$I$1601,$AT1459)&amp;" - "&amp;INDEX(Calc!$D$2:$D$1601,$AT1459)&amp;" koli")</f>
        <v/>
      </c>
      <c r="Z1459" t="str">
        <f>IF($AS1459="","",Config!$B$21)</f>
        <v/>
      </c>
      <c r="AA1459" t="str">
        <f>IF($AS1459="","",Config!$B$22)</f>
        <v/>
      </c>
      <c r="AB1459" t="str">
        <f>IF($AT1459="","",INDEX(Calc!$D$2:$D$1601,$AT1459))</f>
        <v/>
      </c>
      <c r="AC1459" t="str">
        <f>IF($AT1459="","",INDEX(Calc!$G$2:$G$1601,$AT1459))</f>
        <v/>
      </c>
      <c r="AD1459" t="str">
        <f>IF($AS1459="","",Config!$B$23)</f>
        <v/>
      </c>
      <c r="AE1459" t="str">
        <f>IF($AS1459="","",Config!$B$28)</f>
        <v/>
      </c>
      <c r="AF1459" t="str">
        <f t="shared" si="134"/>
        <v/>
      </c>
      <c r="AG1459" t="str">
        <f t="shared" si="135"/>
        <v/>
      </c>
      <c r="AH1459" t="str">
        <f t="shared" si="136"/>
        <v/>
      </c>
      <c r="AI1459" t="str">
        <f>IF($AG1459="","",SUMIF($AG$2:$AG1459,$AG1459,$AH$2:$AH1459))</f>
        <v/>
      </c>
      <c r="AJ1459" t="str">
        <f>IF('TMP Paste'!$F1459="","",IF('TMP Paste'!$B1459="",$AJ1458,'TMP Paste'!$B1459))</f>
        <v/>
      </c>
      <c r="AK1459" t="str">
        <f>IF('TMP Paste'!$F1459="","",N('TMP Paste'!$G1459))</f>
        <v/>
      </c>
      <c r="AL1459" t="str">
        <f>IF('TMP Paste'!$F1459="","",IF('TMP Paste'!$M1459="",$AL1458,'TMP Paste'!$M1459))</f>
        <v/>
      </c>
      <c r="AM1459" t="str">
        <f>IF('TMP Paste'!$F1459="","",IF('TMP Paste'!$N1459="",$AM1458,'TMP Paste'!$N1459))</f>
        <v/>
      </c>
      <c r="AN1459" t="str">
        <f>IF('TMP Paste'!$F1459="","",IF('TMP Paste'!$O1459="",$AN1458,'TMP Paste'!$O1459))</f>
        <v/>
      </c>
      <c r="AO1459" t="str">
        <f>IF('TMP Paste'!$F1459="","",IF('TMP Paste'!$P1459="",$AO1458,'TMP Paste'!$P1459))</f>
        <v/>
      </c>
      <c r="AP1459" t="str">
        <f t="shared" si="137"/>
        <v/>
      </c>
      <c r="AQ1459" t="str">
        <f>IF($AS1459="","",TRIM(IF(COUNTIFS(Calc!$B$2:$B$1601,ROW()-1,Calc!$C$2:$C$1601,"&lt;1")&gt;0,"Ada PO tanpa Koli - cek TMP. ","")&amp;IF(OR($AU1459="",$AU1459&lt;=0),"Volume kosong/0 - dimensi dikosongkan. ","")&amp;IF(AND($AU1459&lt;&gt;"",$AU1459&gt;=1000000),"Volume &gt;= 1.000.000 cm3 (di luar aturan) - dimensi dikosongkan. ","")&amp;IF(LEN($R1459)&gt;500,"R &gt; 500 karakter.","")))</f>
        <v/>
      </c>
      <c r="AS1459" t="str">
        <f>IFERROR(MATCH(ROW()-1,Calc!$J$2:$J$1601,0),"")</f>
        <v/>
      </c>
      <c r="AT1459" t="str">
        <f>IFERROR(MATCH(ROW()-1,Calc!$K$2:$K$1601,0),"")</f>
        <v/>
      </c>
      <c r="AU1459" t="str">
        <f>IF($AS1459="","",IFERROR(INDEX('TMP Paste'!$D$2:$D$1601,$AS1459)*1000000/$AB1459,""))</f>
        <v/>
      </c>
    </row>
    <row r="1460" spans="1:47">
      <c r="A1460" t="str">
        <f>IF($AS1460="","",INDEX('TMP Paste'!$B$2:$B$1601,$AS1460))</f>
        <v/>
      </c>
      <c r="B1460" t="str">
        <f>IF($AS1460="","",Config!$B$14)</f>
        <v/>
      </c>
      <c r="C1460" t="str">
        <f>IF($AS1460="","",Config!$B$15)</f>
        <v/>
      </c>
      <c r="D1460" t="str">
        <f>IF($AS1460="","",INDEX('TMP Paste'!$B$2:$B$1601,$AS1460))</f>
        <v/>
      </c>
      <c r="E1460" t="str">
        <f>IF($AS1460="","",Config!$B$27)</f>
        <v/>
      </c>
      <c r="F1460" t="str">
        <f>IF($AS1460="","",Config!$B$9)</f>
        <v/>
      </c>
      <c r="G1460" t="str">
        <f>IF($AS1460="","",Config!$B$10)</f>
        <v/>
      </c>
      <c r="H1460" t="str">
        <f>IF($AS1460="","",Config!$B$11)</f>
        <v/>
      </c>
      <c r="I1460" t="str">
        <f>IF($AS1460="","",Config!$B$16)</f>
        <v/>
      </c>
      <c r="J1460" t="str">
        <f>IF($AS1460="","",INDEX('TMP Paste'!$A$2:$A$1601,$AS1460))</f>
        <v/>
      </c>
      <c r="K1460" t="str">
        <f>IF($AS1460="","",INDEX('TMP Paste'!$L$2:$L$1601,$AS1460))</f>
        <v/>
      </c>
      <c r="L1460" t="str">
        <f>IF($AS1460="","",INDEX('TMP Paste'!$I$2:$I$1601,$AS1460))</f>
        <v/>
      </c>
      <c r="M1460" t="str">
        <f>IF($AS1460="","",Config!$B$16)</f>
        <v/>
      </c>
      <c r="N1460" t="str">
        <f t="shared" si="132"/>
        <v/>
      </c>
      <c r="O1460" t="str">
        <f>IF($AS1460="","",INDEX('TMP Paste'!$K$2:$K$1601,$AS1460))</f>
        <v/>
      </c>
      <c r="P1460" t="str">
        <f t="shared" si="133"/>
        <v/>
      </c>
      <c r="Q1460" t="str">
        <f>IF($AS1460="","",INDEX('TMP Paste'!$J$2:$J$1601,$AS1460))</f>
        <v/>
      </c>
      <c r="R1460" t="str">
        <f>IF($AS1460="","",Config!$B$24)</f>
        <v/>
      </c>
      <c r="S1460" t="str">
        <f ca="1">IF($AS1460="","",TEXT(Config!$B$4,"yyyy-mm-dd"))</f>
        <v/>
      </c>
      <c r="T1460" t="str">
        <f>IF($AS1460="","",Config!$B$17)</f>
        <v/>
      </c>
      <c r="U1460" t="str">
        <f>IF($AS1460="","",Config!$B$18)</f>
        <v/>
      </c>
      <c r="V1460" t="str">
        <f>IF($AS1460="","",Config!$B$19)</f>
        <v/>
      </c>
      <c r="W1460" t="str">
        <f>IF($AS1460="","",INDEX('TMP Paste'!$C$2:$C$1601,$AS1460))</f>
        <v/>
      </c>
      <c r="X1460" t="str">
        <f>IF($AS1460="","",Config!$B$29)</f>
        <v/>
      </c>
      <c r="Y1460" t="str">
        <f>IF($AT1460="","",INDEX(Calc!$I$2:$I$1601,$AT1460)&amp;" - "&amp;INDEX(Calc!$D$2:$D$1601,$AT1460)&amp;" koli")</f>
        <v/>
      </c>
      <c r="Z1460" t="str">
        <f>IF($AS1460="","",Config!$B$21)</f>
        <v/>
      </c>
      <c r="AA1460" t="str">
        <f>IF($AS1460="","",Config!$B$22)</f>
        <v/>
      </c>
      <c r="AB1460" t="str">
        <f>IF($AT1460="","",INDEX(Calc!$D$2:$D$1601,$AT1460))</f>
        <v/>
      </c>
      <c r="AC1460" t="str">
        <f>IF($AT1460="","",INDEX(Calc!$G$2:$G$1601,$AT1460))</f>
        <v/>
      </c>
      <c r="AD1460" t="str">
        <f>IF($AS1460="","",Config!$B$23)</f>
        <v/>
      </c>
      <c r="AE1460" t="str">
        <f>IF($AS1460="","",Config!$B$28)</f>
        <v/>
      </c>
      <c r="AF1460" t="str">
        <f t="shared" si="134"/>
        <v/>
      </c>
      <c r="AG1460" t="str">
        <f t="shared" si="135"/>
        <v/>
      </c>
      <c r="AH1460" t="str">
        <f t="shared" si="136"/>
        <v/>
      </c>
      <c r="AI1460" t="str">
        <f>IF($AG1460="","",SUMIF($AG$2:$AG1460,$AG1460,$AH$2:$AH1460))</f>
        <v/>
      </c>
      <c r="AJ1460" t="str">
        <f>IF('TMP Paste'!$F1460="","",IF('TMP Paste'!$B1460="",$AJ1459,'TMP Paste'!$B1460))</f>
        <v/>
      </c>
      <c r="AK1460" t="str">
        <f>IF('TMP Paste'!$F1460="","",N('TMP Paste'!$G1460))</f>
        <v/>
      </c>
      <c r="AL1460" t="str">
        <f>IF('TMP Paste'!$F1460="","",IF('TMP Paste'!$M1460="",$AL1459,'TMP Paste'!$M1460))</f>
        <v/>
      </c>
      <c r="AM1460" t="str">
        <f>IF('TMP Paste'!$F1460="","",IF('TMP Paste'!$N1460="",$AM1459,'TMP Paste'!$N1460))</f>
        <v/>
      </c>
      <c r="AN1460" t="str">
        <f>IF('TMP Paste'!$F1460="","",IF('TMP Paste'!$O1460="",$AN1459,'TMP Paste'!$O1460))</f>
        <v/>
      </c>
      <c r="AO1460" t="str">
        <f>IF('TMP Paste'!$F1460="","",IF('TMP Paste'!$P1460="",$AO1459,'TMP Paste'!$P1460))</f>
        <v/>
      </c>
      <c r="AP1460" t="str">
        <f t="shared" si="137"/>
        <v/>
      </c>
      <c r="AQ1460" t="str">
        <f>IF($AS1460="","",TRIM(IF(COUNTIFS(Calc!$B$2:$B$1601,ROW()-1,Calc!$C$2:$C$1601,"&lt;1")&gt;0,"Ada PO tanpa Koli - cek TMP. ","")&amp;IF(OR($AU1460="",$AU1460&lt;=0),"Volume kosong/0 - dimensi dikosongkan. ","")&amp;IF(AND($AU1460&lt;&gt;"",$AU1460&gt;=1000000),"Volume &gt;= 1.000.000 cm3 (di luar aturan) - dimensi dikosongkan. ","")&amp;IF(LEN($R1460)&gt;500,"R &gt; 500 karakter.","")))</f>
        <v/>
      </c>
      <c r="AS1460" t="str">
        <f>IFERROR(MATCH(ROW()-1,Calc!$J$2:$J$1601,0),"")</f>
        <v/>
      </c>
      <c r="AT1460" t="str">
        <f>IFERROR(MATCH(ROW()-1,Calc!$K$2:$K$1601,0),"")</f>
        <v/>
      </c>
      <c r="AU1460" t="str">
        <f>IF($AS1460="","",IFERROR(INDEX('TMP Paste'!$D$2:$D$1601,$AS1460)*1000000/$AB1460,""))</f>
        <v/>
      </c>
    </row>
    <row r="1461" spans="1:47">
      <c r="A1461" t="str">
        <f>IF($AS1461="","",INDEX('TMP Paste'!$B$2:$B$1601,$AS1461))</f>
        <v/>
      </c>
      <c r="B1461" t="str">
        <f>IF($AS1461="","",Config!$B$14)</f>
        <v/>
      </c>
      <c r="C1461" t="str">
        <f>IF($AS1461="","",Config!$B$15)</f>
        <v/>
      </c>
      <c r="D1461" t="str">
        <f>IF($AS1461="","",INDEX('TMP Paste'!$B$2:$B$1601,$AS1461))</f>
        <v/>
      </c>
      <c r="E1461" t="str">
        <f>IF($AS1461="","",Config!$B$27)</f>
        <v/>
      </c>
      <c r="F1461" t="str">
        <f>IF($AS1461="","",Config!$B$9)</f>
        <v/>
      </c>
      <c r="G1461" t="str">
        <f>IF($AS1461="","",Config!$B$10)</f>
        <v/>
      </c>
      <c r="H1461" t="str">
        <f>IF($AS1461="","",Config!$B$11)</f>
        <v/>
      </c>
      <c r="I1461" t="str">
        <f>IF($AS1461="","",Config!$B$16)</f>
        <v/>
      </c>
      <c r="J1461" t="str">
        <f>IF($AS1461="","",INDEX('TMP Paste'!$A$2:$A$1601,$AS1461))</f>
        <v/>
      </c>
      <c r="K1461" t="str">
        <f>IF($AS1461="","",INDEX('TMP Paste'!$L$2:$L$1601,$AS1461))</f>
        <v/>
      </c>
      <c r="L1461" t="str">
        <f>IF($AS1461="","",INDEX('TMP Paste'!$I$2:$I$1601,$AS1461))</f>
        <v/>
      </c>
      <c r="M1461" t="str">
        <f>IF($AS1461="","",Config!$B$16)</f>
        <v/>
      </c>
      <c r="N1461" t="str">
        <f t="shared" si="132"/>
        <v/>
      </c>
      <c r="O1461" t="str">
        <f>IF($AS1461="","",INDEX('TMP Paste'!$K$2:$K$1601,$AS1461))</f>
        <v/>
      </c>
      <c r="P1461" t="str">
        <f t="shared" si="133"/>
        <v/>
      </c>
      <c r="Q1461" t="str">
        <f>IF($AS1461="","",INDEX('TMP Paste'!$J$2:$J$1601,$AS1461))</f>
        <v/>
      </c>
      <c r="R1461" t="str">
        <f>IF($AS1461="","",Config!$B$24)</f>
        <v/>
      </c>
      <c r="S1461" t="str">
        <f ca="1">IF($AS1461="","",TEXT(Config!$B$4,"yyyy-mm-dd"))</f>
        <v/>
      </c>
      <c r="T1461" t="str">
        <f>IF($AS1461="","",Config!$B$17)</f>
        <v/>
      </c>
      <c r="U1461" t="str">
        <f>IF($AS1461="","",Config!$B$18)</f>
        <v/>
      </c>
      <c r="V1461" t="str">
        <f>IF($AS1461="","",Config!$B$19)</f>
        <v/>
      </c>
      <c r="W1461" t="str">
        <f>IF($AS1461="","",INDEX('TMP Paste'!$C$2:$C$1601,$AS1461))</f>
        <v/>
      </c>
      <c r="X1461" t="str">
        <f>IF($AS1461="","",Config!$B$29)</f>
        <v/>
      </c>
      <c r="Y1461" t="str">
        <f>IF($AT1461="","",INDEX(Calc!$I$2:$I$1601,$AT1461)&amp;" - "&amp;INDEX(Calc!$D$2:$D$1601,$AT1461)&amp;" koli")</f>
        <v/>
      </c>
      <c r="Z1461" t="str">
        <f>IF($AS1461="","",Config!$B$21)</f>
        <v/>
      </c>
      <c r="AA1461" t="str">
        <f>IF($AS1461="","",Config!$B$22)</f>
        <v/>
      </c>
      <c r="AB1461" t="str">
        <f>IF($AT1461="","",INDEX(Calc!$D$2:$D$1601,$AT1461))</f>
        <v/>
      </c>
      <c r="AC1461" t="str">
        <f>IF($AT1461="","",INDEX(Calc!$G$2:$G$1601,$AT1461))</f>
        <v/>
      </c>
      <c r="AD1461" t="str">
        <f>IF($AS1461="","",Config!$B$23)</f>
        <v/>
      </c>
      <c r="AE1461" t="str">
        <f>IF($AS1461="","",Config!$B$28)</f>
        <v/>
      </c>
      <c r="AF1461" t="str">
        <f t="shared" si="134"/>
        <v/>
      </c>
      <c r="AG1461" t="str">
        <f t="shared" si="135"/>
        <v/>
      </c>
      <c r="AH1461" t="str">
        <f t="shared" si="136"/>
        <v/>
      </c>
      <c r="AI1461" t="str">
        <f>IF($AG1461="","",SUMIF($AG$2:$AG1461,$AG1461,$AH$2:$AH1461))</f>
        <v/>
      </c>
      <c r="AJ1461" t="str">
        <f>IF('TMP Paste'!$F1461="","",IF('TMP Paste'!$B1461="",$AJ1460,'TMP Paste'!$B1461))</f>
        <v/>
      </c>
      <c r="AK1461" t="str">
        <f>IF('TMP Paste'!$F1461="","",N('TMP Paste'!$G1461))</f>
        <v/>
      </c>
      <c r="AL1461" t="str">
        <f>IF('TMP Paste'!$F1461="","",IF('TMP Paste'!$M1461="",$AL1460,'TMP Paste'!$M1461))</f>
        <v/>
      </c>
      <c r="AM1461" t="str">
        <f>IF('TMP Paste'!$F1461="","",IF('TMP Paste'!$N1461="",$AM1460,'TMP Paste'!$N1461))</f>
        <v/>
      </c>
      <c r="AN1461" t="str">
        <f>IF('TMP Paste'!$F1461="","",IF('TMP Paste'!$O1461="",$AN1460,'TMP Paste'!$O1461))</f>
        <v/>
      </c>
      <c r="AO1461" t="str">
        <f>IF('TMP Paste'!$F1461="","",IF('TMP Paste'!$P1461="",$AO1460,'TMP Paste'!$P1461))</f>
        <v/>
      </c>
      <c r="AP1461" t="str">
        <f t="shared" si="137"/>
        <v/>
      </c>
      <c r="AQ1461" t="str">
        <f>IF($AS1461="","",TRIM(IF(COUNTIFS(Calc!$B$2:$B$1601,ROW()-1,Calc!$C$2:$C$1601,"&lt;1")&gt;0,"Ada PO tanpa Koli - cek TMP. ","")&amp;IF(OR($AU1461="",$AU1461&lt;=0),"Volume kosong/0 - dimensi dikosongkan. ","")&amp;IF(AND($AU1461&lt;&gt;"",$AU1461&gt;=1000000),"Volume &gt;= 1.000.000 cm3 (di luar aturan) - dimensi dikosongkan. ","")&amp;IF(LEN($R1461)&gt;500,"R &gt; 500 karakter.","")))</f>
        <v/>
      </c>
      <c r="AS1461" t="str">
        <f>IFERROR(MATCH(ROW()-1,Calc!$J$2:$J$1601,0),"")</f>
        <v/>
      </c>
      <c r="AT1461" t="str">
        <f>IFERROR(MATCH(ROW()-1,Calc!$K$2:$K$1601,0),"")</f>
        <v/>
      </c>
      <c r="AU1461" t="str">
        <f>IF($AS1461="","",IFERROR(INDEX('TMP Paste'!$D$2:$D$1601,$AS1461)*1000000/$AB1461,""))</f>
        <v/>
      </c>
    </row>
    <row r="1462" spans="1:47">
      <c r="A1462" t="str">
        <f>IF($AS1462="","",INDEX('TMP Paste'!$B$2:$B$1601,$AS1462))</f>
        <v/>
      </c>
      <c r="B1462" t="str">
        <f>IF($AS1462="","",Config!$B$14)</f>
        <v/>
      </c>
      <c r="C1462" t="str">
        <f>IF($AS1462="","",Config!$B$15)</f>
        <v/>
      </c>
      <c r="D1462" t="str">
        <f>IF($AS1462="","",INDEX('TMP Paste'!$B$2:$B$1601,$AS1462))</f>
        <v/>
      </c>
      <c r="E1462" t="str">
        <f>IF($AS1462="","",Config!$B$27)</f>
        <v/>
      </c>
      <c r="F1462" t="str">
        <f>IF($AS1462="","",Config!$B$9)</f>
        <v/>
      </c>
      <c r="G1462" t="str">
        <f>IF($AS1462="","",Config!$B$10)</f>
        <v/>
      </c>
      <c r="H1462" t="str">
        <f>IF($AS1462="","",Config!$B$11)</f>
        <v/>
      </c>
      <c r="I1462" t="str">
        <f>IF($AS1462="","",Config!$B$16)</f>
        <v/>
      </c>
      <c r="J1462" t="str">
        <f>IF($AS1462="","",INDEX('TMP Paste'!$A$2:$A$1601,$AS1462))</f>
        <v/>
      </c>
      <c r="K1462" t="str">
        <f>IF($AS1462="","",INDEX('TMP Paste'!$L$2:$L$1601,$AS1462))</f>
        <v/>
      </c>
      <c r="L1462" t="str">
        <f>IF($AS1462="","",INDEX('TMP Paste'!$I$2:$I$1601,$AS1462))</f>
        <v/>
      </c>
      <c r="M1462" t="str">
        <f>IF($AS1462="","",Config!$B$16)</f>
        <v/>
      </c>
      <c r="N1462" t="str">
        <f t="shared" si="132"/>
        <v/>
      </c>
      <c r="O1462" t="str">
        <f>IF($AS1462="","",INDEX('TMP Paste'!$K$2:$K$1601,$AS1462))</f>
        <v/>
      </c>
      <c r="P1462" t="str">
        <f t="shared" si="133"/>
        <v/>
      </c>
      <c r="Q1462" t="str">
        <f>IF($AS1462="","",INDEX('TMP Paste'!$J$2:$J$1601,$AS1462))</f>
        <v/>
      </c>
      <c r="R1462" t="str">
        <f>IF($AS1462="","",Config!$B$24)</f>
        <v/>
      </c>
      <c r="S1462" t="str">
        <f ca="1">IF($AS1462="","",TEXT(Config!$B$4,"yyyy-mm-dd"))</f>
        <v/>
      </c>
      <c r="T1462" t="str">
        <f>IF($AS1462="","",Config!$B$17)</f>
        <v/>
      </c>
      <c r="U1462" t="str">
        <f>IF($AS1462="","",Config!$B$18)</f>
        <v/>
      </c>
      <c r="V1462" t="str">
        <f>IF($AS1462="","",Config!$B$19)</f>
        <v/>
      </c>
      <c r="W1462" t="str">
        <f>IF($AS1462="","",INDEX('TMP Paste'!$C$2:$C$1601,$AS1462))</f>
        <v/>
      </c>
      <c r="X1462" t="str">
        <f>IF($AS1462="","",Config!$B$29)</f>
        <v/>
      </c>
      <c r="Y1462" t="str">
        <f>IF($AT1462="","",INDEX(Calc!$I$2:$I$1601,$AT1462)&amp;" - "&amp;INDEX(Calc!$D$2:$D$1601,$AT1462)&amp;" koli")</f>
        <v/>
      </c>
      <c r="Z1462" t="str">
        <f>IF($AS1462="","",Config!$B$21)</f>
        <v/>
      </c>
      <c r="AA1462" t="str">
        <f>IF($AS1462="","",Config!$B$22)</f>
        <v/>
      </c>
      <c r="AB1462" t="str">
        <f>IF($AT1462="","",INDEX(Calc!$D$2:$D$1601,$AT1462))</f>
        <v/>
      </c>
      <c r="AC1462" t="str">
        <f>IF($AT1462="","",INDEX(Calc!$G$2:$G$1601,$AT1462))</f>
        <v/>
      </c>
      <c r="AD1462" t="str">
        <f>IF($AS1462="","",Config!$B$23)</f>
        <v/>
      </c>
      <c r="AE1462" t="str">
        <f>IF($AS1462="","",Config!$B$28)</f>
        <v/>
      </c>
      <c r="AF1462" t="str">
        <f t="shared" si="134"/>
        <v/>
      </c>
      <c r="AG1462" t="str">
        <f t="shared" si="135"/>
        <v/>
      </c>
      <c r="AH1462" t="str">
        <f t="shared" si="136"/>
        <v/>
      </c>
      <c r="AI1462" t="str">
        <f>IF($AG1462="","",SUMIF($AG$2:$AG1462,$AG1462,$AH$2:$AH1462))</f>
        <v/>
      </c>
      <c r="AJ1462" t="str">
        <f>IF('TMP Paste'!$F1462="","",IF('TMP Paste'!$B1462="",$AJ1461,'TMP Paste'!$B1462))</f>
        <v/>
      </c>
      <c r="AK1462" t="str">
        <f>IF('TMP Paste'!$F1462="","",N('TMP Paste'!$G1462))</f>
        <v/>
      </c>
      <c r="AL1462" t="str">
        <f>IF('TMP Paste'!$F1462="","",IF('TMP Paste'!$M1462="",$AL1461,'TMP Paste'!$M1462))</f>
        <v/>
      </c>
      <c r="AM1462" t="str">
        <f>IF('TMP Paste'!$F1462="","",IF('TMP Paste'!$N1462="",$AM1461,'TMP Paste'!$N1462))</f>
        <v/>
      </c>
      <c r="AN1462" t="str">
        <f>IF('TMP Paste'!$F1462="","",IF('TMP Paste'!$O1462="",$AN1461,'TMP Paste'!$O1462))</f>
        <v/>
      </c>
      <c r="AO1462" t="str">
        <f>IF('TMP Paste'!$F1462="","",IF('TMP Paste'!$P1462="",$AO1461,'TMP Paste'!$P1462))</f>
        <v/>
      </c>
      <c r="AP1462" t="str">
        <f t="shared" si="137"/>
        <v/>
      </c>
      <c r="AQ1462" t="str">
        <f>IF($AS1462="","",TRIM(IF(COUNTIFS(Calc!$B$2:$B$1601,ROW()-1,Calc!$C$2:$C$1601,"&lt;1")&gt;0,"Ada PO tanpa Koli - cek TMP. ","")&amp;IF(OR($AU1462="",$AU1462&lt;=0),"Volume kosong/0 - dimensi dikosongkan. ","")&amp;IF(AND($AU1462&lt;&gt;"",$AU1462&gt;=1000000),"Volume &gt;= 1.000.000 cm3 (di luar aturan) - dimensi dikosongkan. ","")&amp;IF(LEN($R1462)&gt;500,"R &gt; 500 karakter.","")))</f>
        <v/>
      </c>
      <c r="AS1462" t="str">
        <f>IFERROR(MATCH(ROW()-1,Calc!$J$2:$J$1601,0),"")</f>
        <v/>
      </c>
      <c r="AT1462" t="str">
        <f>IFERROR(MATCH(ROW()-1,Calc!$K$2:$K$1601,0),"")</f>
        <v/>
      </c>
      <c r="AU1462" t="str">
        <f>IF($AS1462="","",IFERROR(INDEX('TMP Paste'!$D$2:$D$1601,$AS1462)*1000000/$AB1462,""))</f>
        <v/>
      </c>
    </row>
    <row r="1463" spans="1:47">
      <c r="A1463" t="str">
        <f>IF($AS1463="","",INDEX('TMP Paste'!$B$2:$B$1601,$AS1463))</f>
        <v/>
      </c>
      <c r="B1463" t="str">
        <f>IF($AS1463="","",Config!$B$14)</f>
        <v/>
      </c>
      <c r="C1463" t="str">
        <f>IF($AS1463="","",Config!$B$15)</f>
        <v/>
      </c>
      <c r="D1463" t="str">
        <f>IF($AS1463="","",INDEX('TMP Paste'!$B$2:$B$1601,$AS1463))</f>
        <v/>
      </c>
      <c r="E1463" t="str">
        <f>IF($AS1463="","",Config!$B$27)</f>
        <v/>
      </c>
      <c r="F1463" t="str">
        <f>IF($AS1463="","",Config!$B$9)</f>
        <v/>
      </c>
      <c r="G1463" t="str">
        <f>IF($AS1463="","",Config!$B$10)</f>
        <v/>
      </c>
      <c r="H1463" t="str">
        <f>IF($AS1463="","",Config!$B$11)</f>
        <v/>
      </c>
      <c r="I1463" t="str">
        <f>IF($AS1463="","",Config!$B$16)</f>
        <v/>
      </c>
      <c r="J1463" t="str">
        <f>IF($AS1463="","",INDEX('TMP Paste'!$A$2:$A$1601,$AS1463))</f>
        <v/>
      </c>
      <c r="K1463" t="str">
        <f>IF($AS1463="","",INDEX('TMP Paste'!$L$2:$L$1601,$AS1463))</f>
        <v/>
      </c>
      <c r="L1463" t="str">
        <f>IF($AS1463="","",INDEX('TMP Paste'!$I$2:$I$1601,$AS1463))</f>
        <v/>
      </c>
      <c r="M1463" t="str">
        <f>IF($AS1463="","",Config!$B$16)</f>
        <v/>
      </c>
      <c r="N1463" t="str">
        <f t="shared" si="132"/>
        <v/>
      </c>
      <c r="O1463" t="str">
        <f>IF($AS1463="","",INDEX('TMP Paste'!$K$2:$K$1601,$AS1463))</f>
        <v/>
      </c>
      <c r="P1463" t="str">
        <f t="shared" si="133"/>
        <v/>
      </c>
      <c r="Q1463" t="str">
        <f>IF($AS1463="","",INDEX('TMP Paste'!$J$2:$J$1601,$AS1463))</f>
        <v/>
      </c>
      <c r="R1463" t="str">
        <f>IF($AS1463="","",Config!$B$24)</f>
        <v/>
      </c>
      <c r="S1463" t="str">
        <f ca="1">IF($AS1463="","",TEXT(Config!$B$4,"yyyy-mm-dd"))</f>
        <v/>
      </c>
      <c r="T1463" t="str">
        <f>IF($AS1463="","",Config!$B$17)</f>
        <v/>
      </c>
      <c r="U1463" t="str">
        <f>IF($AS1463="","",Config!$B$18)</f>
        <v/>
      </c>
      <c r="V1463" t="str">
        <f>IF($AS1463="","",Config!$B$19)</f>
        <v/>
      </c>
      <c r="W1463" t="str">
        <f>IF($AS1463="","",INDEX('TMP Paste'!$C$2:$C$1601,$AS1463))</f>
        <v/>
      </c>
      <c r="X1463" t="str">
        <f>IF($AS1463="","",Config!$B$29)</f>
        <v/>
      </c>
      <c r="Y1463" t="str">
        <f>IF($AT1463="","",INDEX(Calc!$I$2:$I$1601,$AT1463)&amp;" - "&amp;INDEX(Calc!$D$2:$D$1601,$AT1463)&amp;" koli")</f>
        <v/>
      </c>
      <c r="Z1463" t="str">
        <f>IF($AS1463="","",Config!$B$21)</f>
        <v/>
      </c>
      <c r="AA1463" t="str">
        <f>IF($AS1463="","",Config!$B$22)</f>
        <v/>
      </c>
      <c r="AB1463" t="str">
        <f>IF($AT1463="","",INDEX(Calc!$D$2:$D$1601,$AT1463))</f>
        <v/>
      </c>
      <c r="AC1463" t="str">
        <f>IF($AT1463="","",INDEX(Calc!$G$2:$G$1601,$AT1463))</f>
        <v/>
      </c>
      <c r="AD1463" t="str">
        <f>IF($AS1463="","",Config!$B$23)</f>
        <v/>
      </c>
      <c r="AE1463" t="str">
        <f>IF($AS1463="","",Config!$B$28)</f>
        <v/>
      </c>
      <c r="AF1463" t="str">
        <f t="shared" si="134"/>
        <v/>
      </c>
      <c r="AG1463" t="str">
        <f t="shared" si="135"/>
        <v/>
      </c>
      <c r="AH1463" t="str">
        <f t="shared" si="136"/>
        <v/>
      </c>
      <c r="AI1463" t="str">
        <f>IF($AG1463="","",SUMIF($AG$2:$AG1463,$AG1463,$AH$2:$AH1463))</f>
        <v/>
      </c>
      <c r="AJ1463" t="str">
        <f>IF('TMP Paste'!$F1463="","",IF('TMP Paste'!$B1463="",$AJ1462,'TMP Paste'!$B1463))</f>
        <v/>
      </c>
      <c r="AK1463" t="str">
        <f>IF('TMP Paste'!$F1463="","",N('TMP Paste'!$G1463))</f>
        <v/>
      </c>
      <c r="AL1463" t="str">
        <f>IF('TMP Paste'!$F1463="","",IF('TMP Paste'!$M1463="",$AL1462,'TMP Paste'!$M1463))</f>
        <v/>
      </c>
      <c r="AM1463" t="str">
        <f>IF('TMP Paste'!$F1463="","",IF('TMP Paste'!$N1463="",$AM1462,'TMP Paste'!$N1463))</f>
        <v/>
      </c>
      <c r="AN1463" t="str">
        <f>IF('TMP Paste'!$F1463="","",IF('TMP Paste'!$O1463="",$AN1462,'TMP Paste'!$O1463))</f>
        <v/>
      </c>
      <c r="AO1463" t="str">
        <f>IF('TMP Paste'!$F1463="","",IF('TMP Paste'!$P1463="",$AO1462,'TMP Paste'!$P1463))</f>
        <v/>
      </c>
      <c r="AP1463" t="str">
        <f t="shared" si="137"/>
        <v/>
      </c>
      <c r="AQ1463" t="str">
        <f>IF($AS1463="","",TRIM(IF(COUNTIFS(Calc!$B$2:$B$1601,ROW()-1,Calc!$C$2:$C$1601,"&lt;1")&gt;0,"Ada PO tanpa Koli - cek TMP. ","")&amp;IF(OR($AU1463="",$AU1463&lt;=0),"Volume kosong/0 - dimensi dikosongkan. ","")&amp;IF(AND($AU1463&lt;&gt;"",$AU1463&gt;=1000000),"Volume &gt;= 1.000.000 cm3 (di luar aturan) - dimensi dikosongkan. ","")&amp;IF(LEN($R1463)&gt;500,"R &gt; 500 karakter.","")))</f>
        <v/>
      </c>
      <c r="AS1463" t="str">
        <f>IFERROR(MATCH(ROW()-1,Calc!$J$2:$J$1601,0),"")</f>
        <v/>
      </c>
      <c r="AT1463" t="str">
        <f>IFERROR(MATCH(ROW()-1,Calc!$K$2:$K$1601,0),"")</f>
        <v/>
      </c>
      <c r="AU1463" t="str">
        <f>IF($AS1463="","",IFERROR(INDEX('TMP Paste'!$D$2:$D$1601,$AS1463)*1000000/$AB1463,""))</f>
        <v/>
      </c>
    </row>
    <row r="1464" spans="1:47">
      <c r="A1464" t="str">
        <f>IF($AS1464="","",INDEX('TMP Paste'!$B$2:$B$1601,$AS1464))</f>
        <v/>
      </c>
      <c r="B1464" t="str">
        <f>IF($AS1464="","",Config!$B$14)</f>
        <v/>
      </c>
      <c r="C1464" t="str">
        <f>IF($AS1464="","",Config!$B$15)</f>
        <v/>
      </c>
      <c r="D1464" t="str">
        <f>IF($AS1464="","",INDEX('TMP Paste'!$B$2:$B$1601,$AS1464))</f>
        <v/>
      </c>
      <c r="E1464" t="str">
        <f>IF($AS1464="","",Config!$B$27)</f>
        <v/>
      </c>
      <c r="F1464" t="str">
        <f>IF($AS1464="","",Config!$B$9)</f>
        <v/>
      </c>
      <c r="G1464" t="str">
        <f>IF($AS1464="","",Config!$B$10)</f>
        <v/>
      </c>
      <c r="H1464" t="str">
        <f>IF($AS1464="","",Config!$B$11)</f>
        <v/>
      </c>
      <c r="I1464" t="str">
        <f>IF($AS1464="","",Config!$B$16)</f>
        <v/>
      </c>
      <c r="J1464" t="str">
        <f>IF($AS1464="","",INDEX('TMP Paste'!$A$2:$A$1601,$AS1464))</f>
        <v/>
      </c>
      <c r="K1464" t="str">
        <f>IF($AS1464="","",INDEX('TMP Paste'!$L$2:$L$1601,$AS1464))</f>
        <v/>
      </c>
      <c r="L1464" t="str">
        <f>IF($AS1464="","",INDEX('TMP Paste'!$I$2:$I$1601,$AS1464))</f>
        <v/>
      </c>
      <c r="M1464" t="str">
        <f>IF($AS1464="","",Config!$B$16)</f>
        <v/>
      </c>
      <c r="N1464" t="str">
        <f t="shared" si="132"/>
        <v/>
      </c>
      <c r="O1464" t="str">
        <f>IF($AS1464="","",INDEX('TMP Paste'!$K$2:$K$1601,$AS1464))</f>
        <v/>
      </c>
      <c r="P1464" t="str">
        <f t="shared" si="133"/>
        <v/>
      </c>
      <c r="Q1464" t="str">
        <f>IF($AS1464="","",INDEX('TMP Paste'!$J$2:$J$1601,$AS1464))</f>
        <v/>
      </c>
      <c r="R1464" t="str">
        <f>IF($AS1464="","",Config!$B$24)</f>
        <v/>
      </c>
      <c r="S1464" t="str">
        <f ca="1">IF($AS1464="","",TEXT(Config!$B$4,"yyyy-mm-dd"))</f>
        <v/>
      </c>
      <c r="T1464" t="str">
        <f>IF($AS1464="","",Config!$B$17)</f>
        <v/>
      </c>
      <c r="U1464" t="str">
        <f>IF($AS1464="","",Config!$B$18)</f>
        <v/>
      </c>
      <c r="V1464" t="str">
        <f>IF($AS1464="","",Config!$B$19)</f>
        <v/>
      </c>
      <c r="W1464" t="str">
        <f>IF($AS1464="","",INDEX('TMP Paste'!$C$2:$C$1601,$AS1464))</f>
        <v/>
      </c>
      <c r="X1464" t="str">
        <f>IF($AS1464="","",Config!$B$29)</f>
        <v/>
      </c>
      <c r="Y1464" t="str">
        <f>IF($AT1464="","",INDEX(Calc!$I$2:$I$1601,$AT1464)&amp;" - "&amp;INDEX(Calc!$D$2:$D$1601,$AT1464)&amp;" koli")</f>
        <v/>
      </c>
      <c r="Z1464" t="str">
        <f>IF($AS1464="","",Config!$B$21)</f>
        <v/>
      </c>
      <c r="AA1464" t="str">
        <f>IF($AS1464="","",Config!$B$22)</f>
        <v/>
      </c>
      <c r="AB1464" t="str">
        <f>IF($AT1464="","",INDEX(Calc!$D$2:$D$1601,$AT1464))</f>
        <v/>
      </c>
      <c r="AC1464" t="str">
        <f>IF($AT1464="","",INDEX(Calc!$G$2:$G$1601,$AT1464))</f>
        <v/>
      </c>
      <c r="AD1464" t="str">
        <f>IF($AS1464="","",Config!$B$23)</f>
        <v/>
      </c>
      <c r="AE1464" t="str">
        <f>IF($AS1464="","",Config!$B$28)</f>
        <v/>
      </c>
      <c r="AF1464" t="str">
        <f t="shared" si="134"/>
        <v/>
      </c>
      <c r="AG1464" t="str">
        <f t="shared" si="135"/>
        <v/>
      </c>
      <c r="AH1464" t="str">
        <f t="shared" si="136"/>
        <v/>
      </c>
      <c r="AI1464" t="str">
        <f>IF($AG1464="","",SUMIF($AG$2:$AG1464,$AG1464,$AH$2:$AH1464))</f>
        <v/>
      </c>
      <c r="AJ1464" t="str">
        <f>IF('TMP Paste'!$F1464="","",IF('TMP Paste'!$B1464="",$AJ1463,'TMP Paste'!$B1464))</f>
        <v/>
      </c>
      <c r="AK1464" t="str">
        <f>IF('TMP Paste'!$F1464="","",N('TMP Paste'!$G1464))</f>
        <v/>
      </c>
      <c r="AL1464" t="str">
        <f>IF('TMP Paste'!$F1464="","",IF('TMP Paste'!$M1464="",$AL1463,'TMP Paste'!$M1464))</f>
        <v/>
      </c>
      <c r="AM1464" t="str">
        <f>IF('TMP Paste'!$F1464="","",IF('TMP Paste'!$N1464="",$AM1463,'TMP Paste'!$N1464))</f>
        <v/>
      </c>
      <c r="AN1464" t="str">
        <f>IF('TMP Paste'!$F1464="","",IF('TMP Paste'!$O1464="",$AN1463,'TMP Paste'!$O1464))</f>
        <v/>
      </c>
      <c r="AO1464" t="str">
        <f>IF('TMP Paste'!$F1464="","",IF('TMP Paste'!$P1464="",$AO1463,'TMP Paste'!$P1464))</f>
        <v/>
      </c>
      <c r="AP1464" t="str">
        <f t="shared" si="137"/>
        <v/>
      </c>
      <c r="AQ1464" t="str">
        <f>IF($AS1464="","",TRIM(IF(COUNTIFS(Calc!$B$2:$B$1601,ROW()-1,Calc!$C$2:$C$1601,"&lt;1")&gt;0,"Ada PO tanpa Koli - cek TMP. ","")&amp;IF(OR($AU1464="",$AU1464&lt;=0),"Volume kosong/0 - dimensi dikosongkan. ","")&amp;IF(AND($AU1464&lt;&gt;"",$AU1464&gt;=1000000),"Volume &gt;= 1.000.000 cm3 (di luar aturan) - dimensi dikosongkan. ","")&amp;IF(LEN($R1464)&gt;500,"R &gt; 500 karakter.","")))</f>
        <v/>
      </c>
      <c r="AS1464" t="str">
        <f>IFERROR(MATCH(ROW()-1,Calc!$J$2:$J$1601,0),"")</f>
        <v/>
      </c>
      <c r="AT1464" t="str">
        <f>IFERROR(MATCH(ROW()-1,Calc!$K$2:$K$1601,0),"")</f>
        <v/>
      </c>
      <c r="AU1464" t="str">
        <f>IF($AS1464="","",IFERROR(INDEX('TMP Paste'!$D$2:$D$1601,$AS1464)*1000000/$AB1464,""))</f>
        <v/>
      </c>
    </row>
    <row r="1465" spans="1:47">
      <c r="A1465" t="str">
        <f>IF($AS1465="","",INDEX('TMP Paste'!$B$2:$B$1601,$AS1465))</f>
        <v/>
      </c>
      <c r="B1465" t="str">
        <f>IF($AS1465="","",Config!$B$14)</f>
        <v/>
      </c>
      <c r="C1465" t="str">
        <f>IF($AS1465="","",Config!$B$15)</f>
        <v/>
      </c>
      <c r="D1465" t="str">
        <f>IF($AS1465="","",INDEX('TMP Paste'!$B$2:$B$1601,$AS1465))</f>
        <v/>
      </c>
      <c r="E1465" t="str">
        <f>IF($AS1465="","",Config!$B$27)</f>
        <v/>
      </c>
      <c r="F1465" t="str">
        <f>IF($AS1465="","",Config!$B$9)</f>
        <v/>
      </c>
      <c r="G1465" t="str">
        <f>IF($AS1465="","",Config!$B$10)</f>
        <v/>
      </c>
      <c r="H1465" t="str">
        <f>IF($AS1465="","",Config!$B$11)</f>
        <v/>
      </c>
      <c r="I1465" t="str">
        <f>IF($AS1465="","",Config!$B$16)</f>
        <v/>
      </c>
      <c r="J1465" t="str">
        <f>IF($AS1465="","",INDEX('TMP Paste'!$A$2:$A$1601,$AS1465))</f>
        <v/>
      </c>
      <c r="K1465" t="str">
        <f>IF($AS1465="","",INDEX('TMP Paste'!$L$2:$L$1601,$AS1465))</f>
        <v/>
      </c>
      <c r="L1465" t="str">
        <f>IF($AS1465="","",INDEX('TMP Paste'!$I$2:$I$1601,$AS1465))</f>
        <v/>
      </c>
      <c r="M1465" t="str">
        <f>IF($AS1465="","",Config!$B$16)</f>
        <v/>
      </c>
      <c r="N1465" t="str">
        <f t="shared" si="132"/>
        <v/>
      </c>
      <c r="O1465" t="str">
        <f>IF($AS1465="","",INDEX('TMP Paste'!$K$2:$K$1601,$AS1465))</f>
        <v/>
      </c>
      <c r="P1465" t="str">
        <f t="shared" si="133"/>
        <v/>
      </c>
      <c r="Q1465" t="str">
        <f>IF($AS1465="","",INDEX('TMP Paste'!$J$2:$J$1601,$AS1465))</f>
        <v/>
      </c>
      <c r="R1465" t="str">
        <f>IF($AS1465="","",Config!$B$24)</f>
        <v/>
      </c>
      <c r="S1465" t="str">
        <f ca="1">IF($AS1465="","",TEXT(Config!$B$4,"yyyy-mm-dd"))</f>
        <v/>
      </c>
      <c r="T1465" t="str">
        <f>IF($AS1465="","",Config!$B$17)</f>
        <v/>
      </c>
      <c r="U1465" t="str">
        <f>IF($AS1465="","",Config!$B$18)</f>
        <v/>
      </c>
      <c r="V1465" t="str">
        <f>IF($AS1465="","",Config!$B$19)</f>
        <v/>
      </c>
      <c r="W1465" t="str">
        <f>IF($AS1465="","",INDEX('TMP Paste'!$C$2:$C$1601,$AS1465))</f>
        <v/>
      </c>
      <c r="X1465" t="str">
        <f>IF($AS1465="","",Config!$B$29)</f>
        <v/>
      </c>
      <c r="Y1465" t="str">
        <f>IF($AT1465="","",INDEX(Calc!$I$2:$I$1601,$AT1465)&amp;" - "&amp;INDEX(Calc!$D$2:$D$1601,$AT1465)&amp;" koli")</f>
        <v/>
      </c>
      <c r="Z1465" t="str">
        <f>IF($AS1465="","",Config!$B$21)</f>
        <v/>
      </c>
      <c r="AA1465" t="str">
        <f>IF($AS1465="","",Config!$B$22)</f>
        <v/>
      </c>
      <c r="AB1465" t="str">
        <f>IF($AT1465="","",INDEX(Calc!$D$2:$D$1601,$AT1465))</f>
        <v/>
      </c>
      <c r="AC1465" t="str">
        <f>IF($AT1465="","",INDEX(Calc!$G$2:$G$1601,$AT1465))</f>
        <v/>
      </c>
      <c r="AD1465" t="str">
        <f>IF($AS1465="","",Config!$B$23)</f>
        <v/>
      </c>
      <c r="AE1465" t="str">
        <f>IF($AS1465="","",Config!$B$28)</f>
        <v/>
      </c>
      <c r="AF1465" t="str">
        <f t="shared" si="134"/>
        <v/>
      </c>
      <c r="AG1465" t="str">
        <f t="shared" si="135"/>
        <v/>
      </c>
      <c r="AH1465" t="str">
        <f t="shared" si="136"/>
        <v/>
      </c>
      <c r="AI1465" t="str">
        <f>IF($AG1465="","",SUMIF($AG$2:$AG1465,$AG1465,$AH$2:$AH1465))</f>
        <v/>
      </c>
      <c r="AJ1465" t="str">
        <f>IF('TMP Paste'!$F1465="","",IF('TMP Paste'!$B1465="",$AJ1464,'TMP Paste'!$B1465))</f>
        <v/>
      </c>
      <c r="AK1465" t="str">
        <f>IF('TMP Paste'!$F1465="","",N('TMP Paste'!$G1465))</f>
        <v/>
      </c>
      <c r="AL1465" t="str">
        <f>IF('TMP Paste'!$F1465="","",IF('TMP Paste'!$M1465="",$AL1464,'TMP Paste'!$M1465))</f>
        <v/>
      </c>
      <c r="AM1465" t="str">
        <f>IF('TMP Paste'!$F1465="","",IF('TMP Paste'!$N1465="",$AM1464,'TMP Paste'!$N1465))</f>
        <v/>
      </c>
      <c r="AN1465" t="str">
        <f>IF('TMP Paste'!$F1465="","",IF('TMP Paste'!$O1465="",$AN1464,'TMP Paste'!$O1465))</f>
        <v/>
      </c>
      <c r="AO1465" t="str">
        <f>IF('TMP Paste'!$F1465="","",IF('TMP Paste'!$P1465="",$AO1464,'TMP Paste'!$P1465))</f>
        <v/>
      </c>
      <c r="AP1465" t="str">
        <f t="shared" si="137"/>
        <v/>
      </c>
      <c r="AQ1465" t="str">
        <f>IF($AS1465="","",TRIM(IF(COUNTIFS(Calc!$B$2:$B$1601,ROW()-1,Calc!$C$2:$C$1601,"&lt;1")&gt;0,"Ada PO tanpa Koli - cek TMP. ","")&amp;IF(OR($AU1465="",$AU1465&lt;=0),"Volume kosong/0 - dimensi dikosongkan. ","")&amp;IF(AND($AU1465&lt;&gt;"",$AU1465&gt;=1000000),"Volume &gt;= 1.000.000 cm3 (di luar aturan) - dimensi dikosongkan. ","")&amp;IF(LEN($R1465)&gt;500,"R &gt; 500 karakter.","")))</f>
        <v/>
      </c>
      <c r="AS1465" t="str">
        <f>IFERROR(MATCH(ROW()-1,Calc!$J$2:$J$1601,0),"")</f>
        <v/>
      </c>
      <c r="AT1465" t="str">
        <f>IFERROR(MATCH(ROW()-1,Calc!$K$2:$K$1601,0),"")</f>
        <v/>
      </c>
      <c r="AU1465" t="str">
        <f>IF($AS1465="","",IFERROR(INDEX('TMP Paste'!$D$2:$D$1601,$AS1465)*1000000/$AB1465,""))</f>
        <v/>
      </c>
    </row>
    <row r="1466" spans="1:47">
      <c r="A1466" t="str">
        <f>IF($AS1466="","",INDEX('TMP Paste'!$B$2:$B$1601,$AS1466))</f>
        <v/>
      </c>
      <c r="B1466" t="str">
        <f>IF($AS1466="","",Config!$B$14)</f>
        <v/>
      </c>
      <c r="C1466" t="str">
        <f>IF($AS1466="","",Config!$B$15)</f>
        <v/>
      </c>
      <c r="D1466" t="str">
        <f>IF($AS1466="","",INDEX('TMP Paste'!$B$2:$B$1601,$AS1466))</f>
        <v/>
      </c>
      <c r="E1466" t="str">
        <f>IF($AS1466="","",Config!$B$27)</f>
        <v/>
      </c>
      <c r="F1466" t="str">
        <f>IF($AS1466="","",Config!$B$9)</f>
        <v/>
      </c>
      <c r="G1466" t="str">
        <f>IF($AS1466="","",Config!$B$10)</f>
        <v/>
      </c>
      <c r="H1466" t="str">
        <f>IF($AS1466="","",Config!$B$11)</f>
        <v/>
      </c>
      <c r="I1466" t="str">
        <f>IF($AS1466="","",Config!$B$16)</f>
        <v/>
      </c>
      <c r="J1466" t="str">
        <f>IF($AS1466="","",INDEX('TMP Paste'!$A$2:$A$1601,$AS1466))</f>
        <v/>
      </c>
      <c r="K1466" t="str">
        <f>IF($AS1466="","",INDEX('TMP Paste'!$L$2:$L$1601,$AS1466))</f>
        <v/>
      </c>
      <c r="L1466" t="str">
        <f>IF($AS1466="","",INDEX('TMP Paste'!$I$2:$I$1601,$AS1466))</f>
        <v/>
      </c>
      <c r="M1466" t="str">
        <f>IF($AS1466="","",Config!$B$16)</f>
        <v/>
      </c>
      <c r="N1466" t="str">
        <f t="shared" si="132"/>
        <v/>
      </c>
      <c r="O1466" t="str">
        <f>IF($AS1466="","",INDEX('TMP Paste'!$K$2:$K$1601,$AS1466))</f>
        <v/>
      </c>
      <c r="P1466" t="str">
        <f t="shared" si="133"/>
        <v/>
      </c>
      <c r="Q1466" t="str">
        <f>IF($AS1466="","",INDEX('TMP Paste'!$J$2:$J$1601,$AS1466))</f>
        <v/>
      </c>
      <c r="R1466" t="str">
        <f>IF($AS1466="","",Config!$B$24)</f>
        <v/>
      </c>
      <c r="S1466" t="str">
        <f ca="1">IF($AS1466="","",TEXT(Config!$B$4,"yyyy-mm-dd"))</f>
        <v/>
      </c>
      <c r="T1466" t="str">
        <f>IF($AS1466="","",Config!$B$17)</f>
        <v/>
      </c>
      <c r="U1466" t="str">
        <f>IF($AS1466="","",Config!$B$18)</f>
        <v/>
      </c>
      <c r="V1466" t="str">
        <f>IF($AS1466="","",Config!$B$19)</f>
        <v/>
      </c>
      <c r="W1466" t="str">
        <f>IF($AS1466="","",INDEX('TMP Paste'!$C$2:$C$1601,$AS1466))</f>
        <v/>
      </c>
      <c r="X1466" t="str">
        <f>IF($AS1466="","",Config!$B$29)</f>
        <v/>
      </c>
      <c r="Y1466" t="str">
        <f>IF($AT1466="","",INDEX(Calc!$I$2:$I$1601,$AT1466)&amp;" - "&amp;INDEX(Calc!$D$2:$D$1601,$AT1466)&amp;" koli")</f>
        <v/>
      </c>
      <c r="Z1466" t="str">
        <f>IF($AS1466="","",Config!$B$21)</f>
        <v/>
      </c>
      <c r="AA1466" t="str">
        <f>IF($AS1466="","",Config!$B$22)</f>
        <v/>
      </c>
      <c r="AB1466" t="str">
        <f>IF($AT1466="","",INDEX(Calc!$D$2:$D$1601,$AT1466))</f>
        <v/>
      </c>
      <c r="AC1466" t="str">
        <f>IF($AT1466="","",INDEX(Calc!$G$2:$G$1601,$AT1466))</f>
        <v/>
      </c>
      <c r="AD1466" t="str">
        <f>IF($AS1466="","",Config!$B$23)</f>
        <v/>
      </c>
      <c r="AE1466" t="str">
        <f>IF($AS1466="","",Config!$B$28)</f>
        <v/>
      </c>
      <c r="AF1466" t="str">
        <f t="shared" si="134"/>
        <v/>
      </c>
      <c r="AG1466" t="str">
        <f t="shared" si="135"/>
        <v/>
      </c>
      <c r="AH1466" t="str">
        <f t="shared" si="136"/>
        <v/>
      </c>
      <c r="AI1466" t="str">
        <f>IF($AG1466="","",SUMIF($AG$2:$AG1466,$AG1466,$AH$2:$AH1466))</f>
        <v/>
      </c>
      <c r="AJ1466" t="str">
        <f>IF('TMP Paste'!$F1466="","",IF('TMP Paste'!$B1466="",$AJ1465,'TMP Paste'!$B1466))</f>
        <v/>
      </c>
      <c r="AK1466" t="str">
        <f>IF('TMP Paste'!$F1466="","",N('TMP Paste'!$G1466))</f>
        <v/>
      </c>
      <c r="AL1466" t="str">
        <f>IF('TMP Paste'!$F1466="","",IF('TMP Paste'!$M1466="",$AL1465,'TMP Paste'!$M1466))</f>
        <v/>
      </c>
      <c r="AM1466" t="str">
        <f>IF('TMP Paste'!$F1466="","",IF('TMP Paste'!$N1466="",$AM1465,'TMP Paste'!$N1466))</f>
        <v/>
      </c>
      <c r="AN1466" t="str">
        <f>IF('TMP Paste'!$F1466="","",IF('TMP Paste'!$O1466="",$AN1465,'TMP Paste'!$O1466))</f>
        <v/>
      </c>
      <c r="AO1466" t="str">
        <f>IF('TMP Paste'!$F1466="","",IF('TMP Paste'!$P1466="",$AO1465,'TMP Paste'!$P1466))</f>
        <v/>
      </c>
      <c r="AP1466" t="str">
        <f t="shared" si="137"/>
        <v/>
      </c>
      <c r="AQ1466" t="str">
        <f>IF($AS1466="","",TRIM(IF(COUNTIFS(Calc!$B$2:$B$1601,ROW()-1,Calc!$C$2:$C$1601,"&lt;1")&gt;0,"Ada PO tanpa Koli - cek TMP. ","")&amp;IF(OR($AU1466="",$AU1466&lt;=0),"Volume kosong/0 - dimensi dikosongkan. ","")&amp;IF(AND($AU1466&lt;&gt;"",$AU1466&gt;=1000000),"Volume &gt;= 1.000.000 cm3 (di luar aturan) - dimensi dikosongkan. ","")&amp;IF(LEN($R1466)&gt;500,"R &gt; 500 karakter.","")))</f>
        <v/>
      </c>
      <c r="AS1466" t="str">
        <f>IFERROR(MATCH(ROW()-1,Calc!$J$2:$J$1601,0),"")</f>
        <v/>
      </c>
      <c r="AT1466" t="str">
        <f>IFERROR(MATCH(ROW()-1,Calc!$K$2:$K$1601,0),"")</f>
        <v/>
      </c>
      <c r="AU1466" t="str">
        <f>IF($AS1466="","",IFERROR(INDEX('TMP Paste'!$D$2:$D$1601,$AS1466)*1000000/$AB1466,""))</f>
        <v/>
      </c>
    </row>
    <row r="1467" spans="1:47">
      <c r="A1467" t="str">
        <f>IF($AS1467="","",INDEX('TMP Paste'!$B$2:$B$1601,$AS1467))</f>
        <v/>
      </c>
      <c r="B1467" t="str">
        <f>IF($AS1467="","",Config!$B$14)</f>
        <v/>
      </c>
      <c r="C1467" t="str">
        <f>IF($AS1467="","",Config!$B$15)</f>
        <v/>
      </c>
      <c r="D1467" t="str">
        <f>IF($AS1467="","",INDEX('TMP Paste'!$B$2:$B$1601,$AS1467))</f>
        <v/>
      </c>
      <c r="E1467" t="str">
        <f>IF($AS1467="","",Config!$B$27)</f>
        <v/>
      </c>
      <c r="F1467" t="str">
        <f>IF($AS1467="","",Config!$B$9)</f>
        <v/>
      </c>
      <c r="G1467" t="str">
        <f>IF($AS1467="","",Config!$B$10)</f>
        <v/>
      </c>
      <c r="H1467" t="str">
        <f>IF($AS1467="","",Config!$B$11)</f>
        <v/>
      </c>
      <c r="I1467" t="str">
        <f>IF($AS1467="","",Config!$B$16)</f>
        <v/>
      </c>
      <c r="J1467" t="str">
        <f>IF($AS1467="","",INDEX('TMP Paste'!$A$2:$A$1601,$AS1467))</f>
        <v/>
      </c>
      <c r="K1467" t="str">
        <f>IF($AS1467="","",INDEX('TMP Paste'!$L$2:$L$1601,$AS1467))</f>
        <v/>
      </c>
      <c r="L1467" t="str">
        <f>IF($AS1467="","",INDEX('TMP Paste'!$I$2:$I$1601,$AS1467))</f>
        <v/>
      </c>
      <c r="M1467" t="str">
        <f>IF($AS1467="","",Config!$B$16)</f>
        <v/>
      </c>
      <c r="N1467" t="str">
        <f t="shared" si="132"/>
        <v/>
      </c>
      <c r="O1467" t="str">
        <f>IF($AS1467="","",INDEX('TMP Paste'!$K$2:$K$1601,$AS1467))</f>
        <v/>
      </c>
      <c r="P1467" t="str">
        <f t="shared" si="133"/>
        <v/>
      </c>
      <c r="Q1467" t="str">
        <f>IF($AS1467="","",INDEX('TMP Paste'!$J$2:$J$1601,$AS1467))</f>
        <v/>
      </c>
      <c r="R1467" t="str">
        <f>IF($AS1467="","",Config!$B$24)</f>
        <v/>
      </c>
      <c r="S1467" t="str">
        <f ca="1">IF($AS1467="","",TEXT(Config!$B$4,"yyyy-mm-dd"))</f>
        <v/>
      </c>
      <c r="T1467" t="str">
        <f>IF($AS1467="","",Config!$B$17)</f>
        <v/>
      </c>
      <c r="U1467" t="str">
        <f>IF($AS1467="","",Config!$B$18)</f>
        <v/>
      </c>
      <c r="V1467" t="str">
        <f>IF($AS1467="","",Config!$B$19)</f>
        <v/>
      </c>
      <c r="W1467" t="str">
        <f>IF($AS1467="","",INDEX('TMP Paste'!$C$2:$C$1601,$AS1467))</f>
        <v/>
      </c>
      <c r="X1467" t="str">
        <f>IF($AS1467="","",Config!$B$29)</f>
        <v/>
      </c>
      <c r="Y1467" t="str">
        <f>IF($AT1467="","",INDEX(Calc!$I$2:$I$1601,$AT1467)&amp;" - "&amp;INDEX(Calc!$D$2:$D$1601,$AT1467)&amp;" koli")</f>
        <v/>
      </c>
      <c r="Z1467" t="str">
        <f>IF($AS1467="","",Config!$B$21)</f>
        <v/>
      </c>
      <c r="AA1467" t="str">
        <f>IF($AS1467="","",Config!$B$22)</f>
        <v/>
      </c>
      <c r="AB1467" t="str">
        <f>IF($AT1467="","",INDEX(Calc!$D$2:$D$1601,$AT1467))</f>
        <v/>
      </c>
      <c r="AC1467" t="str">
        <f>IF($AT1467="","",INDEX(Calc!$G$2:$G$1601,$AT1467))</f>
        <v/>
      </c>
      <c r="AD1467" t="str">
        <f>IF($AS1467="","",Config!$B$23)</f>
        <v/>
      </c>
      <c r="AE1467" t="str">
        <f>IF($AS1467="","",Config!$B$28)</f>
        <v/>
      </c>
      <c r="AF1467" t="str">
        <f t="shared" si="134"/>
        <v/>
      </c>
      <c r="AG1467" t="str">
        <f t="shared" si="135"/>
        <v/>
      </c>
      <c r="AH1467" t="str">
        <f t="shared" si="136"/>
        <v/>
      </c>
      <c r="AI1467" t="str">
        <f>IF($AG1467="","",SUMIF($AG$2:$AG1467,$AG1467,$AH$2:$AH1467))</f>
        <v/>
      </c>
      <c r="AJ1467" t="str">
        <f>IF('TMP Paste'!$F1467="","",IF('TMP Paste'!$B1467="",$AJ1466,'TMP Paste'!$B1467))</f>
        <v/>
      </c>
      <c r="AK1467" t="str">
        <f>IF('TMP Paste'!$F1467="","",N('TMP Paste'!$G1467))</f>
        <v/>
      </c>
      <c r="AL1467" t="str">
        <f>IF('TMP Paste'!$F1467="","",IF('TMP Paste'!$M1467="",$AL1466,'TMP Paste'!$M1467))</f>
        <v/>
      </c>
      <c r="AM1467" t="str">
        <f>IF('TMP Paste'!$F1467="","",IF('TMP Paste'!$N1467="",$AM1466,'TMP Paste'!$N1467))</f>
        <v/>
      </c>
      <c r="AN1467" t="str">
        <f>IF('TMP Paste'!$F1467="","",IF('TMP Paste'!$O1467="",$AN1466,'TMP Paste'!$O1467))</f>
        <v/>
      </c>
      <c r="AO1467" t="str">
        <f>IF('TMP Paste'!$F1467="","",IF('TMP Paste'!$P1467="",$AO1466,'TMP Paste'!$P1467))</f>
        <v/>
      </c>
      <c r="AP1467" t="str">
        <f t="shared" si="137"/>
        <v/>
      </c>
      <c r="AQ1467" t="str">
        <f>IF($AS1467="","",TRIM(IF(COUNTIFS(Calc!$B$2:$B$1601,ROW()-1,Calc!$C$2:$C$1601,"&lt;1")&gt;0,"Ada PO tanpa Koli - cek TMP. ","")&amp;IF(OR($AU1467="",$AU1467&lt;=0),"Volume kosong/0 - dimensi dikosongkan. ","")&amp;IF(AND($AU1467&lt;&gt;"",$AU1467&gt;=1000000),"Volume &gt;= 1.000.000 cm3 (di luar aturan) - dimensi dikosongkan. ","")&amp;IF(LEN($R1467)&gt;500,"R &gt; 500 karakter.","")))</f>
        <v/>
      </c>
      <c r="AS1467" t="str">
        <f>IFERROR(MATCH(ROW()-1,Calc!$J$2:$J$1601,0),"")</f>
        <v/>
      </c>
      <c r="AT1467" t="str">
        <f>IFERROR(MATCH(ROW()-1,Calc!$K$2:$K$1601,0),"")</f>
        <v/>
      </c>
      <c r="AU1467" t="str">
        <f>IF($AS1467="","",IFERROR(INDEX('TMP Paste'!$D$2:$D$1601,$AS1467)*1000000/$AB1467,""))</f>
        <v/>
      </c>
    </row>
    <row r="1468" spans="1:47">
      <c r="A1468" t="str">
        <f>IF($AS1468="","",INDEX('TMP Paste'!$B$2:$B$1601,$AS1468))</f>
        <v/>
      </c>
      <c r="B1468" t="str">
        <f>IF($AS1468="","",Config!$B$14)</f>
        <v/>
      </c>
      <c r="C1468" t="str">
        <f>IF($AS1468="","",Config!$B$15)</f>
        <v/>
      </c>
      <c r="D1468" t="str">
        <f>IF($AS1468="","",INDEX('TMP Paste'!$B$2:$B$1601,$AS1468))</f>
        <v/>
      </c>
      <c r="E1468" t="str">
        <f>IF($AS1468="","",Config!$B$27)</f>
        <v/>
      </c>
      <c r="F1468" t="str">
        <f>IF($AS1468="","",Config!$B$9)</f>
        <v/>
      </c>
      <c r="G1468" t="str">
        <f>IF($AS1468="","",Config!$B$10)</f>
        <v/>
      </c>
      <c r="H1468" t="str">
        <f>IF($AS1468="","",Config!$B$11)</f>
        <v/>
      </c>
      <c r="I1468" t="str">
        <f>IF($AS1468="","",Config!$B$16)</f>
        <v/>
      </c>
      <c r="J1468" t="str">
        <f>IF($AS1468="","",INDEX('TMP Paste'!$A$2:$A$1601,$AS1468))</f>
        <v/>
      </c>
      <c r="K1468" t="str">
        <f>IF($AS1468="","",INDEX('TMP Paste'!$L$2:$L$1601,$AS1468))</f>
        <v/>
      </c>
      <c r="L1468" t="str">
        <f>IF($AS1468="","",INDEX('TMP Paste'!$I$2:$I$1601,$AS1468))</f>
        <v/>
      </c>
      <c r="M1468" t="str">
        <f>IF($AS1468="","",Config!$B$16)</f>
        <v/>
      </c>
      <c r="N1468" t="str">
        <f t="shared" si="132"/>
        <v/>
      </c>
      <c r="O1468" t="str">
        <f>IF($AS1468="","",INDEX('TMP Paste'!$K$2:$K$1601,$AS1468))</f>
        <v/>
      </c>
      <c r="P1468" t="str">
        <f t="shared" si="133"/>
        <v/>
      </c>
      <c r="Q1468" t="str">
        <f>IF($AS1468="","",INDEX('TMP Paste'!$J$2:$J$1601,$AS1468))</f>
        <v/>
      </c>
      <c r="R1468" t="str">
        <f>IF($AS1468="","",Config!$B$24)</f>
        <v/>
      </c>
      <c r="S1468" t="str">
        <f ca="1">IF($AS1468="","",TEXT(Config!$B$4,"yyyy-mm-dd"))</f>
        <v/>
      </c>
      <c r="T1468" t="str">
        <f>IF($AS1468="","",Config!$B$17)</f>
        <v/>
      </c>
      <c r="U1468" t="str">
        <f>IF($AS1468="","",Config!$B$18)</f>
        <v/>
      </c>
      <c r="V1468" t="str">
        <f>IF($AS1468="","",Config!$B$19)</f>
        <v/>
      </c>
      <c r="W1468" t="str">
        <f>IF($AS1468="","",INDEX('TMP Paste'!$C$2:$C$1601,$AS1468))</f>
        <v/>
      </c>
      <c r="X1468" t="str">
        <f>IF($AS1468="","",Config!$B$29)</f>
        <v/>
      </c>
      <c r="Y1468" t="str">
        <f>IF($AT1468="","",INDEX(Calc!$I$2:$I$1601,$AT1468)&amp;" - "&amp;INDEX(Calc!$D$2:$D$1601,$AT1468)&amp;" koli")</f>
        <v/>
      </c>
      <c r="Z1468" t="str">
        <f>IF($AS1468="","",Config!$B$21)</f>
        <v/>
      </c>
      <c r="AA1468" t="str">
        <f>IF($AS1468="","",Config!$B$22)</f>
        <v/>
      </c>
      <c r="AB1468" t="str">
        <f>IF($AT1468="","",INDEX(Calc!$D$2:$D$1601,$AT1468))</f>
        <v/>
      </c>
      <c r="AC1468" t="str">
        <f>IF($AT1468="","",INDEX(Calc!$G$2:$G$1601,$AT1468))</f>
        <v/>
      </c>
      <c r="AD1468" t="str">
        <f>IF($AS1468="","",Config!$B$23)</f>
        <v/>
      </c>
      <c r="AE1468" t="str">
        <f>IF($AS1468="","",Config!$B$28)</f>
        <v/>
      </c>
      <c r="AF1468" t="str">
        <f t="shared" si="134"/>
        <v/>
      </c>
      <c r="AG1468" t="str">
        <f t="shared" si="135"/>
        <v/>
      </c>
      <c r="AH1468" t="str">
        <f t="shared" si="136"/>
        <v/>
      </c>
      <c r="AI1468" t="str">
        <f>IF($AG1468="","",SUMIF($AG$2:$AG1468,$AG1468,$AH$2:$AH1468))</f>
        <v/>
      </c>
      <c r="AJ1468" t="str">
        <f>IF('TMP Paste'!$F1468="","",IF('TMP Paste'!$B1468="",$AJ1467,'TMP Paste'!$B1468))</f>
        <v/>
      </c>
      <c r="AK1468" t="str">
        <f>IF('TMP Paste'!$F1468="","",N('TMP Paste'!$G1468))</f>
        <v/>
      </c>
      <c r="AL1468" t="str">
        <f>IF('TMP Paste'!$F1468="","",IF('TMP Paste'!$M1468="",$AL1467,'TMP Paste'!$M1468))</f>
        <v/>
      </c>
      <c r="AM1468" t="str">
        <f>IF('TMP Paste'!$F1468="","",IF('TMP Paste'!$N1468="",$AM1467,'TMP Paste'!$N1468))</f>
        <v/>
      </c>
      <c r="AN1468" t="str">
        <f>IF('TMP Paste'!$F1468="","",IF('TMP Paste'!$O1468="",$AN1467,'TMP Paste'!$O1468))</f>
        <v/>
      </c>
      <c r="AO1468" t="str">
        <f>IF('TMP Paste'!$F1468="","",IF('TMP Paste'!$P1468="",$AO1467,'TMP Paste'!$P1468))</f>
        <v/>
      </c>
      <c r="AP1468" t="str">
        <f t="shared" si="137"/>
        <v/>
      </c>
      <c r="AQ1468" t="str">
        <f>IF($AS1468="","",TRIM(IF(COUNTIFS(Calc!$B$2:$B$1601,ROW()-1,Calc!$C$2:$C$1601,"&lt;1")&gt;0,"Ada PO tanpa Koli - cek TMP. ","")&amp;IF(OR($AU1468="",$AU1468&lt;=0),"Volume kosong/0 - dimensi dikosongkan. ","")&amp;IF(AND($AU1468&lt;&gt;"",$AU1468&gt;=1000000),"Volume &gt;= 1.000.000 cm3 (di luar aturan) - dimensi dikosongkan. ","")&amp;IF(LEN($R1468)&gt;500,"R &gt; 500 karakter.","")))</f>
        <v/>
      </c>
      <c r="AS1468" t="str">
        <f>IFERROR(MATCH(ROW()-1,Calc!$J$2:$J$1601,0),"")</f>
        <v/>
      </c>
      <c r="AT1468" t="str">
        <f>IFERROR(MATCH(ROW()-1,Calc!$K$2:$K$1601,0),"")</f>
        <v/>
      </c>
      <c r="AU1468" t="str">
        <f>IF($AS1468="","",IFERROR(INDEX('TMP Paste'!$D$2:$D$1601,$AS1468)*1000000/$AB1468,""))</f>
        <v/>
      </c>
    </row>
    <row r="1469" spans="1:47">
      <c r="A1469" t="str">
        <f>IF($AS1469="","",INDEX('TMP Paste'!$B$2:$B$1601,$AS1469))</f>
        <v/>
      </c>
      <c r="B1469" t="str">
        <f>IF($AS1469="","",Config!$B$14)</f>
        <v/>
      </c>
      <c r="C1469" t="str">
        <f>IF($AS1469="","",Config!$B$15)</f>
        <v/>
      </c>
      <c r="D1469" t="str">
        <f>IF($AS1469="","",INDEX('TMP Paste'!$B$2:$B$1601,$AS1469))</f>
        <v/>
      </c>
      <c r="E1469" t="str">
        <f>IF($AS1469="","",Config!$B$27)</f>
        <v/>
      </c>
      <c r="F1469" t="str">
        <f>IF($AS1469="","",Config!$B$9)</f>
        <v/>
      </c>
      <c r="G1469" t="str">
        <f>IF($AS1469="","",Config!$B$10)</f>
        <v/>
      </c>
      <c r="H1469" t="str">
        <f>IF($AS1469="","",Config!$B$11)</f>
        <v/>
      </c>
      <c r="I1469" t="str">
        <f>IF($AS1469="","",Config!$B$16)</f>
        <v/>
      </c>
      <c r="J1469" t="str">
        <f>IF($AS1469="","",INDEX('TMP Paste'!$A$2:$A$1601,$AS1469))</f>
        <v/>
      </c>
      <c r="K1469" t="str">
        <f>IF($AS1469="","",INDEX('TMP Paste'!$L$2:$L$1601,$AS1469))</f>
        <v/>
      </c>
      <c r="L1469" t="str">
        <f>IF($AS1469="","",INDEX('TMP Paste'!$I$2:$I$1601,$AS1469))</f>
        <v/>
      </c>
      <c r="M1469" t="str">
        <f>IF($AS1469="","",Config!$B$16)</f>
        <v/>
      </c>
      <c r="N1469" t="str">
        <f t="shared" si="132"/>
        <v/>
      </c>
      <c r="O1469" t="str">
        <f>IF($AS1469="","",INDEX('TMP Paste'!$K$2:$K$1601,$AS1469))</f>
        <v/>
      </c>
      <c r="P1469" t="str">
        <f t="shared" si="133"/>
        <v/>
      </c>
      <c r="Q1469" t="str">
        <f>IF($AS1469="","",INDEX('TMP Paste'!$J$2:$J$1601,$AS1469))</f>
        <v/>
      </c>
      <c r="R1469" t="str">
        <f>IF($AS1469="","",Config!$B$24)</f>
        <v/>
      </c>
      <c r="S1469" t="str">
        <f ca="1">IF($AS1469="","",TEXT(Config!$B$4,"yyyy-mm-dd"))</f>
        <v/>
      </c>
      <c r="T1469" t="str">
        <f>IF($AS1469="","",Config!$B$17)</f>
        <v/>
      </c>
      <c r="U1469" t="str">
        <f>IF($AS1469="","",Config!$B$18)</f>
        <v/>
      </c>
      <c r="V1469" t="str">
        <f>IF($AS1469="","",Config!$B$19)</f>
        <v/>
      </c>
      <c r="W1469" t="str">
        <f>IF($AS1469="","",INDEX('TMP Paste'!$C$2:$C$1601,$AS1469))</f>
        <v/>
      </c>
      <c r="X1469" t="str">
        <f>IF($AS1469="","",Config!$B$29)</f>
        <v/>
      </c>
      <c r="Y1469" t="str">
        <f>IF($AT1469="","",INDEX(Calc!$I$2:$I$1601,$AT1469)&amp;" - "&amp;INDEX(Calc!$D$2:$D$1601,$AT1469)&amp;" koli")</f>
        <v/>
      </c>
      <c r="Z1469" t="str">
        <f>IF($AS1469="","",Config!$B$21)</f>
        <v/>
      </c>
      <c r="AA1469" t="str">
        <f>IF($AS1469="","",Config!$B$22)</f>
        <v/>
      </c>
      <c r="AB1469" t="str">
        <f>IF($AT1469="","",INDEX(Calc!$D$2:$D$1601,$AT1469))</f>
        <v/>
      </c>
      <c r="AC1469" t="str">
        <f>IF($AT1469="","",INDEX(Calc!$G$2:$G$1601,$AT1469))</f>
        <v/>
      </c>
      <c r="AD1469" t="str">
        <f>IF($AS1469="","",Config!$B$23)</f>
        <v/>
      </c>
      <c r="AE1469" t="str">
        <f>IF($AS1469="","",Config!$B$28)</f>
        <v/>
      </c>
      <c r="AF1469" t="str">
        <f t="shared" si="134"/>
        <v/>
      </c>
      <c r="AG1469" t="str">
        <f t="shared" si="135"/>
        <v/>
      </c>
      <c r="AH1469" t="str">
        <f t="shared" si="136"/>
        <v/>
      </c>
      <c r="AI1469" t="str">
        <f>IF($AG1469="","",SUMIF($AG$2:$AG1469,$AG1469,$AH$2:$AH1469))</f>
        <v/>
      </c>
      <c r="AJ1469" t="str">
        <f>IF('TMP Paste'!$F1469="","",IF('TMP Paste'!$B1469="",$AJ1468,'TMP Paste'!$B1469))</f>
        <v/>
      </c>
      <c r="AK1469" t="str">
        <f>IF('TMP Paste'!$F1469="","",N('TMP Paste'!$G1469))</f>
        <v/>
      </c>
      <c r="AL1469" t="str">
        <f>IF('TMP Paste'!$F1469="","",IF('TMP Paste'!$M1469="",$AL1468,'TMP Paste'!$M1469))</f>
        <v/>
      </c>
      <c r="AM1469" t="str">
        <f>IF('TMP Paste'!$F1469="","",IF('TMP Paste'!$N1469="",$AM1468,'TMP Paste'!$N1469))</f>
        <v/>
      </c>
      <c r="AN1469" t="str">
        <f>IF('TMP Paste'!$F1469="","",IF('TMP Paste'!$O1469="",$AN1468,'TMP Paste'!$O1469))</f>
        <v/>
      </c>
      <c r="AO1469" t="str">
        <f>IF('TMP Paste'!$F1469="","",IF('TMP Paste'!$P1469="",$AO1468,'TMP Paste'!$P1469))</f>
        <v/>
      </c>
      <c r="AP1469" t="str">
        <f t="shared" si="137"/>
        <v/>
      </c>
      <c r="AQ1469" t="str">
        <f>IF($AS1469="","",TRIM(IF(COUNTIFS(Calc!$B$2:$B$1601,ROW()-1,Calc!$C$2:$C$1601,"&lt;1")&gt;0,"Ada PO tanpa Koli - cek TMP. ","")&amp;IF(OR($AU1469="",$AU1469&lt;=0),"Volume kosong/0 - dimensi dikosongkan. ","")&amp;IF(AND($AU1469&lt;&gt;"",$AU1469&gt;=1000000),"Volume &gt;= 1.000.000 cm3 (di luar aturan) - dimensi dikosongkan. ","")&amp;IF(LEN($R1469)&gt;500,"R &gt; 500 karakter.","")))</f>
        <v/>
      </c>
      <c r="AS1469" t="str">
        <f>IFERROR(MATCH(ROW()-1,Calc!$J$2:$J$1601,0),"")</f>
        <v/>
      </c>
      <c r="AT1469" t="str">
        <f>IFERROR(MATCH(ROW()-1,Calc!$K$2:$K$1601,0),"")</f>
        <v/>
      </c>
      <c r="AU1469" t="str">
        <f>IF($AS1469="","",IFERROR(INDEX('TMP Paste'!$D$2:$D$1601,$AS1469)*1000000/$AB1469,""))</f>
        <v/>
      </c>
    </row>
    <row r="1470" spans="1:47">
      <c r="A1470" t="str">
        <f>IF($AS1470="","",INDEX('TMP Paste'!$B$2:$B$1601,$AS1470))</f>
        <v/>
      </c>
      <c r="B1470" t="str">
        <f>IF($AS1470="","",Config!$B$14)</f>
        <v/>
      </c>
      <c r="C1470" t="str">
        <f>IF($AS1470="","",Config!$B$15)</f>
        <v/>
      </c>
      <c r="D1470" t="str">
        <f>IF($AS1470="","",INDEX('TMP Paste'!$B$2:$B$1601,$AS1470))</f>
        <v/>
      </c>
      <c r="E1470" t="str">
        <f>IF($AS1470="","",Config!$B$27)</f>
        <v/>
      </c>
      <c r="F1470" t="str">
        <f>IF($AS1470="","",Config!$B$9)</f>
        <v/>
      </c>
      <c r="G1470" t="str">
        <f>IF($AS1470="","",Config!$B$10)</f>
        <v/>
      </c>
      <c r="H1470" t="str">
        <f>IF($AS1470="","",Config!$B$11)</f>
        <v/>
      </c>
      <c r="I1470" t="str">
        <f>IF($AS1470="","",Config!$B$16)</f>
        <v/>
      </c>
      <c r="J1470" t="str">
        <f>IF($AS1470="","",INDEX('TMP Paste'!$A$2:$A$1601,$AS1470))</f>
        <v/>
      </c>
      <c r="K1470" t="str">
        <f>IF($AS1470="","",INDEX('TMP Paste'!$L$2:$L$1601,$AS1470))</f>
        <v/>
      </c>
      <c r="L1470" t="str">
        <f>IF($AS1470="","",INDEX('TMP Paste'!$I$2:$I$1601,$AS1470))</f>
        <v/>
      </c>
      <c r="M1470" t="str">
        <f>IF($AS1470="","",Config!$B$16)</f>
        <v/>
      </c>
      <c r="N1470" t="str">
        <f t="shared" si="132"/>
        <v/>
      </c>
      <c r="O1470" t="str">
        <f>IF($AS1470="","",INDEX('TMP Paste'!$K$2:$K$1601,$AS1470))</f>
        <v/>
      </c>
      <c r="P1470" t="str">
        <f t="shared" si="133"/>
        <v/>
      </c>
      <c r="Q1470" t="str">
        <f>IF($AS1470="","",INDEX('TMP Paste'!$J$2:$J$1601,$AS1470))</f>
        <v/>
      </c>
      <c r="R1470" t="str">
        <f>IF($AS1470="","",Config!$B$24)</f>
        <v/>
      </c>
      <c r="S1470" t="str">
        <f ca="1">IF($AS1470="","",TEXT(Config!$B$4,"yyyy-mm-dd"))</f>
        <v/>
      </c>
      <c r="T1470" t="str">
        <f>IF($AS1470="","",Config!$B$17)</f>
        <v/>
      </c>
      <c r="U1470" t="str">
        <f>IF($AS1470="","",Config!$B$18)</f>
        <v/>
      </c>
      <c r="V1470" t="str">
        <f>IF($AS1470="","",Config!$B$19)</f>
        <v/>
      </c>
      <c r="W1470" t="str">
        <f>IF($AS1470="","",INDEX('TMP Paste'!$C$2:$C$1601,$AS1470))</f>
        <v/>
      </c>
      <c r="X1470" t="str">
        <f>IF($AS1470="","",Config!$B$29)</f>
        <v/>
      </c>
      <c r="Y1470" t="str">
        <f>IF($AT1470="","",INDEX(Calc!$I$2:$I$1601,$AT1470)&amp;" - "&amp;INDEX(Calc!$D$2:$D$1601,$AT1470)&amp;" koli")</f>
        <v/>
      </c>
      <c r="Z1470" t="str">
        <f>IF($AS1470="","",Config!$B$21)</f>
        <v/>
      </c>
      <c r="AA1470" t="str">
        <f>IF($AS1470="","",Config!$B$22)</f>
        <v/>
      </c>
      <c r="AB1470" t="str">
        <f>IF($AT1470="","",INDEX(Calc!$D$2:$D$1601,$AT1470))</f>
        <v/>
      </c>
      <c r="AC1470" t="str">
        <f>IF($AT1470="","",INDEX(Calc!$G$2:$G$1601,$AT1470))</f>
        <v/>
      </c>
      <c r="AD1470" t="str">
        <f>IF($AS1470="","",Config!$B$23)</f>
        <v/>
      </c>
      <c r="AE1470" t="str">
        <f>IF($AS1470="","",Config!$B$28)</f>
        <v/>
      </c>
      <c r="AF1470" t="str">
        <f t="shared" si="134"/>
        <v/>
      </c>
      <c r="AG1470" t="str">
        <f t="shared" si="135"/>
        <v/>
      </c>
      <c r="AH1470" t="str">
        <f t="shared" si="136"/>
        <v/>
      </c>
      <c r="AI1470" t="str">
        <f>IF($AG1470="","",SUMIF($AG$2:$AG1470,$AG1470,$AH$2:$AH1470))</f>
        <v/>
      </c>
      <c r="AJ1470" t="str">
        <f>IF('TMP Paste'!$F1470="","",IF('TMP Paste'!$B1470="",$AJ1469,'TMP Paste'!$B1470))</f>
        <v/>
      </c>
      <c r="AK1470" t="str">
        <f>IF('TMP Paste'!$F1470="","",N('TMP Paste'!$G1470))</f>
        <v/>
      </c>
      <c r="AL1470" t="str">
        <f>IF('TMP Paste'!$F1470="","",IF('TMP Paste'!$M1470="",$AL1469,'TMP Paste'!$M1470))</f>
        <v/>
      </c>
      <c r="AM1470" t="str">
        <f>IF('TMP Paste'!$F1470="","",IF('TMP Paste'!$N1470="",$AM1469,'TMP Paste'!$N1470))</f>
        <v/>
      </c>
      <c r="AN1470" t="str">
        <f>IF('TMP Paste'!$F1470="","",IF('TMP Paste'!$O1470="",$AN1469,'TMP Paste'!$O1470))</f>
        <v/>
      </c>
      <c r="AO1470" t="str">
        <f>IF('TMP Paste'!$F1470="","",IF('TMP Paste'!$P1470="",$AO1469,'TMP Paste'!$P1470))</f>
        <v/>
      </c>
      <c r="AP1470" t="str">
        <f t="shared" si="137"/>
        <v/>
      </c>
      <c r="AQ1470" t="str">
        <f>IF($AS1470="","",TRIM(IF(COUNTIFS(Calc!$B$2:$B$1601,ROW()-1,Calc!$C$2:$C$1601,"&lt;1")&gt;0,"Ada PO tanpa Koli - cek TMP. ","")&amp;IF(OR($AU1470="",$AU1470&lt;=0),"Volume kosong/0 - dimensi dikosongkan. ","")&amp;IF(AND($AU1470&lt;&gt;"",$AU1470&gt;=1000000),"Volume &gt;= 1.000.000 cm3 (di luar aturan) - dimensi dikosongkan. ","")&amp;IF(LEN($R1470)&gt;500,"R &gt; 500 karakter.","")))</f>
        <v/>
      </c>
      <c r="AS1470" t="str">
        <f>IFERROR(MATCH(ROW()-1,Calc!$J$2:$J$1601,0),"")</f>
        <v/>
      </c>
      <c r="AT1470" t="str">
        <f>IFERROR(MATCH(ROW()-1,Calc!$K$2:$K$1601,0),"")</f>
        <v/>
      </c>
      <c r="AU1470" t="str">
        <f>IF($AS1470="","",IFERROR(INDEX('TMP Paste'!$D$2:$D$1601,$AS1470)*1000000/$AB1470,""))</f>
        <v/>
      </c>
    </row>
    <row r="1471" spans="1:47">
      <c r="A1471" t="str">
        <f>IF($AS1471="","",INDEX('TMP Paste'!$B$2:$B$1601,$AS1471))</f>
        <v/>
      </c>
      <c r="B1471" t="str">
        <f>IF($AS1471="","",Config!$B$14)</f>
        <v/>
      </c>
      <c r="C1471" t="str">
        <f>IF($AS1471="","",Config!$B$15)</f>
        <v/>
      </c>
      <c r="D1471" t="str">
        <f>IF($AS1471="","",INDEX('TMP Paste'!$B$2:$B$1601,$AS1471))</f>
        <v/>
      </c>
      <c r="E1471" t="str">
        <f>IF($AS1471="","",Config!$B$27)</f>
        <v/>
      </c>
      <c r="F1471" t="str">
        <f>IF($AS1471="","",Config!$B$9)</f>
        <v/>
      </c>
      <c r="G1471" t="str">
        <f>IF($AS1471="","",Config!$B$10)</f>
        <v/>
      </c>
      <c r="H1471" t="str">
        <f>IF($AS1471="","",Config!$B$11)</f>
        <v/>
      </c>
      <c r="I1471" t="str">
        <f>IF($AS1471="","",Config!$B$16)</f>
        <v/>
      </c>
      <c r="J1471" t="str">
        <f>IF($AS1471="","",INDEX('TMP Paste'!$A$2:$A$1601,$AS1471))</f>
        <v/>
      </c>
      <c r="K1471" t="str">
        <f>IF($AS1471="","",INDEX('TMP Paste'!$L$2:$L$1601,$AS1471))</f>
        <v/>
      </c>
      <c r="L1471" t="str">
        <f>IF($AS1471="","",INDEX('TMP Paste'!$I$2:$I$1601,$AS1471))</f>
        <v/>
      </c>
      <c r="M1471" t="str">
        <f>IF($AS1471="","",Config!$B$16)</f>
        <v/>
      </c>
      <c r="N1471" t="str">
        <f t="shared" si="132"/>
        <v/>
      </c>
      <c r="O1471" t="str">
        <f>IF($AS1471="","",INDEX('TMP Paste'!$K$2:$K$1601,$AS1471))</f>
        <v/>
      </c>
      <c r="P1471" t="str">
        <f t="shared" si="133"/>
        <v/>
      </c>
      <c r="Q1471" t="str">
        <f>IF($AS1471="","",INDEX('TMP Paste'!$J$2:$J$1601,$AS1471))</f>
        <v/>
      </c>
      <c r="R1471" t="str">
        <f>IF($AS1471="","",Config!$B$24)</f>
        <v/>
      </c>
      <c r="S1471" t="str">
        <f ca="1">IF($AS1471="","",TEXT(Config!$B$4,"yyyy-mm-dd"))</f>
        <v/>
      </c>
      <c r="T1471" t="str">
        <f>IF($AS1471="","",Config!$B$17)</f>
        <v/>
      </c>
      <c r="U1471" t="str">
        <f>IF($AS1471="","",Config!$B$18)</f>
        <v/>
      </c>
      <c r="V1471" t="str">
        <f>IF($AS1471="","",Config!$B$19)</f>
        <v/>
      </c>
      <c r="W1471" t="str">
        <f>IF($AS1471="","",INDEX('TMP Paste'!$C$2:$C$1601,$AS1471))</f>
        <v/>
      </c>
      <c r="X1471" t="str">
        <f>IF($AS1471="","",Config!$B$29)</f>
        <v/>
      </c>
      <c r="Y1471" t="str">
        <f>IF($AT1471="","",INDEX(Calc!$I$2:$I$1601,$AT1471)&amp;" - "&amp;INDEX(Calc!$D$2:$D$1601,$AT1471)&amp;" koli")</f>
        <v/>
      </c>
      <c r="Z1471" t="str">
        <f>IF($AS1471="","",Config!$B$21)</f>
        <v/>
      </c>
      <c r="AA1471" t="str">
        <f>IF($AS1471="","",Config!$B$22)</f>
        <v/>
      </c>
      <c r="AB1471" t="str">
        <f>IF($AT1471="","",INDEX(Calc!$D$2:$D$1601,$AT1471))</f>
        <v/>
      </c>
      <c r="AC1471" t="str">
        <f>IF($AT1471="","",INDEX(Calc!$G$2:$G$1601,$AT1471))</f>
        <v/>
      </c>
      <c r="AD1471" t="str">
        <f>IF($AS1471="","",Config!$B$23)</f>
        <v/>
      </c>
      <c r="AE1471" t="str">
        <f>IF($AS1471="","",Config!$B$28)</f>
        <v/>
      </c>
      <c r="AF1471" t="str">
        <f t="shared" si="134"/>
        <v/>
      </c>
      <c r="AG1471" t="str">
        <f t="shared" si="135"/>
        <v/>
      </c>
      <c r="AH1471" t="str">
        <f t="shared" si="136"/>
        <v/>
      </c>
      <c r="AI1471" t="str">
        <f>IF($AG1471="","",SUMIF($AG$2:$AG1471,$AG1471,$AH$2:$AH1471))</f>
        <v/>
      </c>
      <c r="AJ1471" t="str">
        <f>IF('TMP Paste'!$F1471="","",IF('TMP Paste'!$B1471="",$AJ1470,'TMP Paste'!$B1471))</f>
        <v/>
      </c>
      <c r="AK1471" t="str">
        <f>IF('TMP Paste'!$F1471="","",N('TMP Paste'!$G1471))</f>
        <v/>
      </c>
      <c r="AL1471" t="str">
        <f>IF('TMP Paste'!$F1471="","",IF('TMP Paste'!$M1471="",$AL1470,'TMP Paste'!$M1471))</f>
        <v/>
      </c>
      <c r="AM1471" t="str">
        <f>IF('TMP Paste'!$F1471="","",IF('TMP Paste'!$N1471="",$AM1470,'TMP Paste'!$N1471))</f>
        <v/>
      </c>
      <c r="AN1471" t="str">
        <f>IF('TMP Paste'!$F1471="","",IF('TMP Paste'!$O1471="",$AN1470,'TMP Paste'!$O1471))</f>
        <v/>
      </c>
      <c r="AO1471" t="str">
        <f>IF('TMP Paste'!$F1471="","",IF('TMP Paste'!$P1471="",$AO1470,'TMP Paste'!$P1471))</f>
        <v/>
      </c>
      <c r="AP1471" t="str">
        <f t="shared" si="137"/>
        <v/>
      </c>
      <c r="AQ1471" t="str">
        <f>IF($AS1471="","",TRIM(IF(COUNTIFS(Calc!$B$2:$B$1601,ROW()-1,Calc!$C$2:$C$1601,"&lt;1")&gt;0,"Ada PO tanpa Koli - cek TMP. ","")&amp;IF(OR($AU1471="",$AU1471&lt;=0),"Volume kosong/0 - dimensi dikosongkan. ","")&amp;IF(AND($AU1471&lt;&gt;"",$AU1471&gt;=1000000),"Volume &gt;= 1.000.000 cm3 (di luar aturan) - dimensi dikosongkan. ","")&amp;IF(LEN($R1471)&gt;500,"R &gt; 500 karakter.","")))</f>
        <v/>
      </c>
      <c r="AS1471" t="str">
        <f>IFERROR(MATCH(ROW()-1,Calc!$J$2:$J$1601,0),"")</f>
        <v/>
      </c>
      <c r="AT1471" t="str">
        <f>IFERROR(MATCH(ROW()-1,Calc!$K$2:$K$1601,0),"")</f>
        <v/>
      </c>
      <c r="AU1471" t="str">
        <f>IF($AS1471="","",IFERROR(INDEX('TMP Paste'!$D$2:$D$1601,$AS1471)*1000000/$AB1471,""))</f>
        <v/>
      </c>
    </row>
    <row r="1472" spans="1:47">
      <c r="A1472" t="str">
        <f>IF($AS1472="","",INDEX('TMP Paste'!$B$2:$B$1601,$AS1472))</f>
        <v/>
      </c>
      <c r="B1472" t="str">
        <f>IF($AS1472="","",Config!$B$14)</f>
        <v/>
      </c>
      <c r="C1472" t="str">
        <f>IF($AS1472="","",Config!$B$15)</f>
        <v/>
      </c>
      <c r="D1472" t="str">
        <f>IF($AS1472="","",INDEX('TMP Paste'!$B$2:$B$1601,$AS1472))</f>
        <v/>
      </c>
      <c r="E1472" t="str">
        <f>IF($AS1472="","",Config!$B$27)</f>
        <v/>
      </c>
      <c r="F1472" t="str">
        <f>IF($AS1472="","",Config!$B$9)</f>
        <v/>
      </c>
      <c r="G1472" t="str">
        <f>IF($AS1472="","",Config!$B$10)</f>
        <v/>
      </c>
      <c r="H1472" t="str">
        <f>IF($AS1472="","",Config!$B$11)</f>
        <v/>
      </c>
      <c r="I1472" t="str">
        <f>IF($AS1472="","",Config!$B$16)</f>
        <v/>
      </c>
      <c r="J1472" t="str">
        <f>IF($AS1472="","",INDEX('TMP Paste'!$A$2:$A$1601,$AS1472))</f>
        <v/>
      </c>
      <c r="K1472" t="str">
        <f>IF($AS1472="","",INDEX('TMP Paste'!$L$2:$L$1601,$AS1472))</f>
        <v/>
      </c>
      <c r="L1472" t="str">
        <f>IF($AS1472="","",INDEX('TMP Paste'!$I$2:$I$1601,$AS1472))</f>
        <v/>
      </c>
      <c r="M1472" t="str">
        <f>IF($AS1472="","",Config!$B$16)</f>
        <v/>
      </c>
      <c r="N1472" t="str">
        <f t="shared" si="132"/>
        <v/>
      </c>
      <c r="O1472" t="str">
        <f>IF($AS1472="","",INDEX('TMP Paste'!$K$2:$K$1601,$AS1472))</f>
        <v/>
      </c>
      <c r="P1472" t="str">
        <f t="shared" si="133"/>
        <v/>
      </c>
      <c r="Q1472" t="str">
        <f>IF($AS1472="","",INDEX('TMP Paste'!$J$2:$J$1601,$AS1472))</f>
        <v/>
      </c>
      <c r="R1472" t="str">
        <f>IF($AS1472="","",Config!$B$24)</f>
        <v/>
      </c>
      <c r="S1472" t="str">
        <f ca="1">IF($AS1472="","",TEXT(Config!$B$4,"yyyy-mm-dd"))</f>
        <v/>
      </c>
      <c r="T1472" t="str">
        <f>IF($AS1472="","",Config!$B$17)</f>
        <v/>
      </c>
      <c r="U1472" t="str">
        <f>IF($AS1472="","",Config!$B$18)</f>
        <v/>
      </c>
      <c r="V1472" t="str">
        <f>IF($AS1472="","",Config!$B$19)</f>
        <v/>
      </c>
      <c r="W1472" t="str">
        <f>IF($AS1472="","",INDEX('TMP Paste'!$C$2:$C$1601,$AS1472))</f>
        <v/>
      </c>
      <c r="X1472" t="str">
        <f>IF($AS1472="","",Config!$B$29)</f>
        <v/>
      </c>
      <c r="Y1472" t="str">
        <f>IF($AT1472="","",INDEX(Calc!$I$2:$I$1601,$AT1472)&amp;" - "&amp;INDEX(Calc!$D$2:$D$1601,$AT1472)&amp;" koli")</f>
        <v/>
      </c>
      <c r="Z1472" t="str">
        <f>IF($AS1472="","",Config!$B$21)</f>
        <v/>
      </c>
      <c r="AA1472" t="str">
        <f>IF($AS1472="","",Config!$B$22)</f>
        <v/>
      </c>
      <c r="AB1472" t="str">
        <f>IF($AT1472="","",INDEX(Calc!$D$2:$D$1601,$AT1472))</f>
        <v/>
      </c>
      <c r="AC1472" t="str">
        <f>IF($AT1472="","",INDEX(Calc!$G$2:$G$1601,$AT1472))</f>
        <v/>
      </c>
      <c r="AD1472" t="str">
        <f>IF($AS1472="","",Config!$B$23)</f>
        <v/>
      </c>
      <c r="AE1472" t="str">
        <f>IF($AS1472="","",Config!$B$28)</f>
        <v/>
      </c>
      <c r="AF1472" t="str">
        <f t="shared" si="134"/>
        <v/>
      </c>
      <c r="AG1472" t="str">
        <f t="shared" si="135"/>
        <v/>
      </c>
      <c r="AH1472" t="str">
        <f t="shared" si="136"/>
        <v/>
      </c>
      <c r="AI1472" t="str">
        <f>IF($AG1472="","",SUMIF($AG$2:$AG1472,$AG1472,$AH$2:$AH1472))</f>
        <v/>
      </c>
      <c r="AJ1472" t="str">
        <f>IF('TMP Paste'!$F1472="","",IF('TMP Paste'!$B1472="",$AJ1471,'TMP Paste'!$B1472))</f>
        <v/>
      </c>
      <c r="AK1472" t="str">
        <f>IF('TMP Paste'!$F1472="","",N('TMP Paste'!$G1472))</f>
        <v/>
      </c>
      <c r="AL1472" t="str">
        <f>IF('TMP Paste'!$F1472="","",IF('TMP Paste'!$M1472="",$AL1471,'TMP Paste'!$M1472))</f>
        <v/>
      </c>
      <c r="AM1472" t="str">
        <f>IF('TMP Paste'!$F1472="","",IF('TMP Paste'!$N1472="",$AM1471,'TMP Paste'!$N1472))</f>
        <v/>
      </c>
      <c r="AN1472" t="str">
        <f>IF('TMP Paste'!$F1472="","",IF('TMP Paste'!$O1472="",$AN1471,'TMP Paste'!$O1472))</f>
        <v/>
      </c>
      <c r="AO1472" t="str">
        <f>IF('TMP Paste'!$F1472="","",IF('TMP Paste'!$P1472="",$AO1471,'TMP Paste'!$P1472))</f>
        <v/>
      </c>
      <c r="AP1472" t="str">
        <f t="shared" si="137"/>
        <v/>
      </c>
      <c r="AQ1472" t="str">
        <f>IF($AS1472="","",TRIM(IF(COUNTIFS(Calc!$B$2:$B$1601,ROW()-1,Calc!$C$2:$C$1601,"&lt;1")&gt;0,"Ada PO tanpa Koli - cek TMP. ","")&amp;IF(OR($AU1472="",$AU1472&lt;=0),"Volume kosong/0 - dimensi dikosongkan. ","")&amp;IF(AND($AU1472&lt;&gt;"",$AU1472&gt;=1000000),"Volume &gt;= 1.000.000 cm3 (di luar aturan) - dimensi dikosongkan. ","")&amp;IF(LEN($R1472)&gt;500,"R &gt; 500 karakter.","")))</f>
        <v/>
      </c>
      <c r="AS1472" t="str">
        <f>IFERROR(MATCH(ROW()-1,Calc!$J$2:$J$1601,0),"")</f>
        <v/>
      </c>
      <c r="AT1472" t="str">
        <f>IFERROR(MATCH(ROW()-1,Calc!$K$2:$K$1601,0),"")</f>
        <v/>
      </c>
      <c r="AU1472" t="str">
        <f>IF($AS1472="","",IFERROR(INDEX('TMP Paste'!$D$2:$D$1601,$AS1472)*1000000/$AB1472,""))</f>
        <v/>
      </c>
    </row>
    <row r="1473" spans="1:47">
      <c r="A1473" t="str">
        <f>IF($AS1473="","",INDEX('TMP Paste'!$B$2:$B$1601,$AS1473))</f>
        <v/>
      </c>
      <c r="B1473" t="str">
        <f>IF($AS1473="","",Config!$B$14)</f>
        <v/>
      </c>
      <c r="C1473" t="str">
        <f>IF($AS1473="","",Config!$B$15)</f>
        <v/>
      </c>
      <c r="D1473" t="str">
        <f>IF($AS1473="","",INDEX('TMP Paste'!$B$2:$B$1601,$AS1473))</f>
        <v/>
      </c>
      <c r="E1473" t="str">
        <f>IF($AS1473="","",Config!$B$27)</f>
        <v/>
      </c>
      <c r="F1473" t="str">
        <f>IF($AS1473="","",Config!$B$9)</f>
        <v/>
      </c>
      <c r="G1473" t="str">
        <f>IF($AS1473="","",Config!$B$10)</f>
        <v/>
      </c>
      <c r="H1473" t="str">
        <f>IF($AS1473="","",Config!$B$11)</f>
        <v/>
      </c>
      <c r="I1473" t="str">
        <f>IF($AS1473="","",Config!$B$16)</f>
        <v/>
      </c>
      <c r="J1473" t="str">
        <f>IF($AS1473="","",INDEX('TMP Paste'!$A$2:$A$1601,$AS1473))</f>
        <v/>
      </c>
      <c r="K1473" t="str">
        <f>IF($AS1473="","",INDEX('TMP Paste'!$L$2:$L$1601,$AS1473))</f>
        <v/>
      </c>
      <c r="L1473" t="str">
        <f>IF($AS1473="","",INDEX('TMP Paste'!$I$2:$I$1601,$AS1473))</f>
        <v/>
      </c>
      <c r="M1473" t="str">
        <f>IF($AS1473="","",Config!$B$16)</f>
        <v/>
      </c>
      <c r="N1473" t="str">
        <f t="shared" si="132"/>
        <v/>
      </c>
      <c r="O1473" t="str">
        <f>IF($AS1473="","",INDEX('TMP Paste'!$K$2:$K$1601,$AS1473))</f>
        <v/>
      </c>
      <c r="P1473" t="str">
        <f t="shared" si="133"/>
        <v/>
      </c>
      <c r="Q1473" t="str">
        <f>IF($AS1473="","",INDEX('TMP Paste'!$J$2:$J$1601,$AS1473))</f>
        <v/>
      </c>
      <c r="R1473" t="str">
        <f>IF($AS1473="","",Config!$B$24)</f>
        <v/>
      </c>
      <c r="S1473" t="str">
        <f ca="1">IF($AS1473="","",TEXT(Config!$B$4,"yyyy-mm-dd"))</f>
        <v/>
      </c>
      <c r="T1473" t="str">
        <f>IF($AS1473="","",Config!$B$17)</f>
        <v/>
      </c>
      <c r="U1473" t="str">
        <f>IF($AS1473="","",Config!$B$18)</f>
        <v/>
      </c>
      <c r="V1473" t="str">
        <f>IF($AS1473="","",Config!$B$19)</f>
        <v/>
      </c>
      <c r="W1473" t="str">
        <f>IF($AS1473="","",INDEX('TMP Paste'!$C$2:$C$1601,$AS1473))</f>
        <v/>
      </c>
      <c r="X1473" t="str">
        <f>IF($AS1473="","",Config!$B$29)</f>
        <v/>
      </c>
      <c r="Y1473" t="str">
        <f>IF($AT1473="","",INDEX(Calc!$I$2:$I$1601,$AT1473)&amp;" - "&amp;INDEX(Calc!$D$2:$D$1601,$AT1473)&amp;" koli")</f>
        <v/>
      </c>
      <c r="Z1473" t="str">
        <f>IF($AS1473="","",Config!$B$21)</f>
        <v/>
      </c>
      <c r="AA1473" t="str">
        <f>IF($AS1473="","",Config!$B$22)</f>
        <v/>
      </c>
      <c r="AB1473" t="str">
        <f>IF($AT1473="","",INDEX(Calc!$D$2:$D$1601,$AT1473))</f>
        <v/>
      </c>
      <c r="AC1473" t="str">
        <f>IF($AT1473="","",INDEX(Calc!$G$2:$G$1601,$AT1473))</f>
        <v/>
      </c>
      <c r="AD1473" t="str">
        <f>IF($AS1473="","",Config!$B$23)</f>
        <v/>
      </c>
      <c r="AE1473" t="str">
        <f>IF($AS1473="","",Config!$B$28)</f>
        <v/>
      </c>
      <c r="AF1473" t="str">
        <f t="shared" si="134"/>
        <v/>
      </c>
      <c r="AG1473" t="str">
        <f t="shared" si="135"/>
        <v/>
      </c>
      <c r="AH1473" t="str">
        <f t="shared" si="136"/>
        <v/>
      </c>
      <c r="AI1473" t="str">
        <f>IF($AG1473="","",SUMIF($AG$2:$AG1473,$AG1473,$AH$2:$AH1473))</f>
        <v/>
      </c>
      <c r="AJ1473" t="str">
        <f>IF('TMP Paste'!$F1473="","",IF('TMP Paste'!$B1473="",$AJ1472,'TMP Paste'!$B1473))</f>
        <v/>
      </c>
      <c r="AK1473" t="str">
        <f>IF('TMP Paste'!$F1473="","",N('TMP Paste'!$G1473))</f>
        <v/>
      </c>
      <c r="AL1473" t="str">
        <f>IF('TMP Paste'!$F1473="","",IF('TMP Paste'!$M1473="",$AL1472,'TMP Paste'!$M1473))</f>
        <v/>
      </c>
      <c r="AM1473" t="str">
        <f>IF('TMP Paste'!$F1473="","",IF('TMP Paste'!$N1473="",$AM1472,'TMP Paste'!$N1473))</f>
        <v/>
      </c>
      <c r="AN1473" t="str">
        <f>IF('TMP Paste'!$F1473="","",IF('TMP Paste'!$O1473="",$AN1472,'TMP Paste'!$O1473))</f>
        <v/>
      </c>
      <c r="AO1473" t="str">
        <f>IF('TMP Paste'!$F1473="","",IF('TMP Paste'!$P1473="",$AO1472,'TMP Paste'!$P1473))</f>
        <v/>
      </c>
      <c r="AP1473" t="str">
        <f t="shared" si="137"/>
        <v/>
      </c>
      <c r="AQ1473" t="str">
        <f>IF($AS1473="","",TRIM(IF(COUNTIFS(Calc!$B$2:$B$1601,ROW()-1,Calc!$C$2:$C$1601,"&lt;1")&gt;0,"Ada PO tanpa Koli - cek TMP. ","")&amp;IF(OR($AU1473="",$AU1473&lt;=0),"Volume kosong/0 - dimensi dikosongkan. ","")&amp;IF(AND($AU1473&lt;&gt;"",$AU1473&gt;=1000000),"Volume &gt;= 1.000.000 cm3 (di luar aturan) - dimensi dikosongkan. ","")&amp;IF(LEN($R1473)&gt;500,"R &gt; 500 karakter.","")))</f>
        <v/>
      </c>
      <c r="AS1473" t="str">
        <f>IFERROR(MATCH(ROW()-1,Calc!$J$2:$J$1601,0),"")</f>
        <v/>
      </c>
      <c r="AT1473" t="str">
        <f>IFERROR(MATCH(ROW()-1,Calc!$K$2:$K$1601,0),"")</f>
        <v/>
      </c>
      <c r="AU1473" t="str">
        <f>IF($AS1473="","",IFERROR(INDEX('TMP Paste'!$D$2:$D$1601,$AS1473)*1000000/$AB1473,""))</f>
        <v/>
      </c>
    </row>
    <row r="1474" spans="1:47">
      <c r="A1474" t="str">
        <f>IF($AS1474="","",INDEX('TMP Paste'!$B$2:$B$1601,$AS1474))</f>
        <v/>
      </c>
      <c r="B1474" t="str">
        <f>IF($AS1474="","",Config!$B$14)</f>
        <v/>
      </c>
      <c r="C1474" t="str">
        <f>IF($AS1474="","",Config!$B$15)</f>
        <v/>
      </c>
      <c r="D1474" t="str">
        <f>IF($AS1474="","",INDEX('TMP Paste'!$B$2:$B$1601,$AS1474))</f>
        <v/>
      </c>
      <c r="E1474" t="str">
        <f>IF($AS1474="","",Config!$B$27)</f>
        <v/>
      </c>
      <c r="F1474" t="str">
        <f>IF($AS1474="","",Config!$B$9)</f>
        <v/>
      </c>
      <c r="G1474" t="str">
        <f>IF($AS1474="","",Config!$B$10)</f>
        <v/>
      </c>
      <c r="H1474" t="str">
        <f>IF($AS1474="","",Config!$B$11)</f>
        <v/>
      </c>
      <c r="I1474" t="str">
        <f>IF($AS1474="","",Config!$B$16)</f>
        <v/>
      </c>
      <c r="J1474" t="str">
        <f>IF($AS1474="","",INDEX('TMP Paste'!$A$2:$A$1601,$AS1474))</f>
        <v/>
      </c>
      <c r="K1474" t="str">
        <f>IF($AS1474="","",INDEX('TMP Paste'!$L$2:$L$1601,$AS1474))</f>
        <v/>
      </c>
      <c r="L1474" t="str">
        <f>IF($AS1474="","",INDEX('TMP Paste'!$I$2:$I$1601,$AS1474))</f>
        <v/>
      </c>
      <c r="M1474" t="str">
        <f>IF($AS1474="","",Config!$B$16)</f>
        <v/>
      </c>
      <c r="N1474" t="str">
        <f t="shared" ref="N1474:N1537" si="138">IF($AS1474="","","")</f>
        <v/>
      </c>
      <c r="O1474" t="str">
        <f>IF($AS1474="","",INDEX('TMP Paste'!$K$2:$K$1601,$AS1474))</f>
        <v/>
      </c>
      <c r="P1474" t="str">
        <f t="shared" ref="P1474:P1537" si="139">IF($AS1474="","","")</f>
        <v/>
      </c>
      <c r="Q1474" t="str">
        <f>IF($AS1474="","",INDEX('TMP Paste'!$J$2:$J$1601,$AS1474))</f>
        <v/>
      </c>
      <c r="R1474" t="str">
        <f>IF($AS1474="","",Config!$B$24)</f>
        <v/>
      </c>
      <c r="S1474" t="str">
        <f ca="1">IF($AS1474="","",TEXT(Config!$B$4,"yyyy-mm-dd"))</f>
        <v/>
      </c>
      <c r="T1474" t="str">
        <f>IF($AS1474="","",Config!$B$17)</f>
        <v/>
      </c>
      <c r="U1474" t="str">
        <f>IF($AS1474="","",Config!$B$18)</f>
        <v/>
      </c>
      <c r="V1474" t="str">
        <f>IF($AS1474="","",Config!$B$19)</f>
        <v/>
      </c>
      <c r="W1474" t="str">
        <f>IF($AS1474="","",INDEX('TMP Paste'!$C$2:$C$1601,$AS1474))</f>
        <v/>
      </c>
      <c r="X1474" t="str">
        <f>IF($AS1474="","",Config!$B$29)</f>
        <v/>
      </c>
      <c r="Y1474" t="str">
        <f>IF($AT1474="","",INDEX(Calc!$I$2:$I$1601,$AT1474)&amp;" - "&amp;INDEX(Calc!$D$2:$D$1601,$AT1474)&amp;" koli")</f>
        <v/>
      </c>
      <c r="Z1474" t="str">
        <f>IF($AS1474="","",Config!$B$21)</f>
        <v/>
      </c>
      <c r="AA1474" t="str">
        <f>IF($AS1474="","",Config!$B$22)</f>
        <v/>
      </c>
      <c r="AB1474" t="str">
        <f>IF($AT1474="","",INDEX(Calc!$D$2:$D$1601,$AT1474))</f>
        <v/>
      </c>
      <c r="AC1474" t="str">
        <f>IF($AT1474="","",INDEX(Calc!$G$2:$G$1601,$AT1474))</f>
        <v/>
      </c>
      <c r="AD1474" t="str">
        <f>IF($AS1474="","",Config!$B$23)</f>
        <v/>
      </c>
      <c r="AE1474" t="str">
        <f>IF($AS1474="","",Config!$B$28)</f>
        <v/>
      </c>
      <c r="AF1474" t="str">
        <f t="shared" ref="AF1474:AF1537" si="140">IF($AS1474="","",IF(OR($AU1474="",$AU1474&lt;=0,$AU1474&gt;=1000000),"",IF($AU1474&lt;10000,10,100)))</f>
        <v/>
      </c>
      <c r="AG1474" t="str">
        <f t="shared" ref="AG1474:AG1537" si="141">IF($AS1474="","",IF(OR($AU1474="",$AU1474&lt;=0,$AU1474&gt;=1000000),"",IF($AU1474&lt;10000,$AU1474/100,IF($AU1474&lt;100000,$AU1474/1000,$AU1474/10000))))</f>
        <v/>
      </c>
      <c r="AH1474" t="str">
        <f t="shared" ref="AH1474:AH1537" si="142">IF($AS1474="","",IF(OR($AU1474="",$AU1474&lt;=0,$AU1474&gt;=1000000),"",IF($AU1474&lt;100000,10,100)))</f>
        <v/>
      </c>
      <c r="AI1474" t="str">
        <f>IF($AG1474="","",SUMIF($AG$2:$AG1474,$AG1474,$AH$2:$AH1474))</f>
        <v/>
      </c>
      <c r="AJ1474" t="str">
        <f>IF('TMP Paste'!$F1474="","",IF('TMP Paste'!$B1474="",$AJ1473,'TMP Paste'!$B1474))</f>
        <v/>
      </c>
      <c r="AK1474" t="str">
        <f>IF('TMP Paste'!$F1474="","",N('TMP Paste'!$G1474))</f>
        <v/>
      </c>
      <c r="AL1474" t="str">
        <f>IF('TMP Paste'!$F1474="","",IF('TMP Paste'!$M1474="",$AL1473,'TMP Paste'!$M1474))</f>
        <v/>
      </c>
      <c r="AM1474" t="str">
        <f>IF('TMP Paste'!$F1474="","",IF('TMP Paste'!$N1474="",$AM1473,'TMP Paste'!$N1474))</f>
        <v/>
      </c>
      <c r="AN1474" t="str">
        <f>IF('TMP Paste'!$F1474="","",IF('TMP Paste'!$O1474="",$AN1473,'TMP Paste'!$O1474))</f>
        <v/>
      </c>
      <c r="AO1474" t="str">
        <f>IF('TMP Paste'!$F1474="","",IF('TMP Paste'!$P1474="",$AO1473,'TMP Paste'!$P1474))</f>
        <v/>
      </c>
      <c r="AP1474" t="str">
        <f t="shared" ref="AP1474:AP1501" si="143">IF($AG1474="","",LEN($R1474))</f>
        <v/>
      </c>
      <c r="AQ1474" t="str">
        <f>IF($AS1474="","",TRIM(IF(COUNTIFS(Calc!$B$2:$B$1601,ROW()-1,Calc!$C$2:$C$1601,"&lt;1")&gt;0,"Ada PO tanpa Koli - cek TMP. ","")&amp;IF(OR($AU1474="",$AU1474&lt;=0),"Volume kosong/0 - dimensi dikosongkan. ","")&amp;IF(AND($AU1474&lt;&gt;"",$AU1474&gt;=1000000),"Volume &gt;= 1.000.000 cm3 (di luar aturan) - dimensi dikosongkan. ","")&amp;IF(LEN($R1474)&gt;500,"R &gt; 500 karakter.","")))</f>
        <v/>
      </c>
      <c r="AS1474" t="str">
        <f>IFERROR(MATCH(ROW()-1,Calc!$J$2:$J$1601,0),"")</f>
        <v/>
      </c>
      <c r="AT1474" t="str">
        <f>IFERROR(MATCH(ROW()-1,Calc!$K$2:$K$1601,0),"")</f>
        <v/>
      </c>
      <c r="AU1474" t="str">
        <f>IF($AS1474="","",IFERROR(INDEX('TMP Paste'!$D$2:$D$1601,$AS1474)*1000000/$AB1474,""))</f>
        <v/>
      </c>
    </row>
    <row r="1475" spans="1:47">
      <c r="A1475" t="str">
        <f>IF($AS1475="","",INDEX('TMP Paste'!$B$2:$B$1601,$AS1475))</f>
        <v/>
      </c>
      <c r="B1475" t="str">
        <f>IF($AS1475="","",Config!$B$14)</f>
        <v/>
      </c>
      <c r="C1475" t="str">
        <f>IF($AS1475="","",Config!$B$15)</f>
        <v/>
      </c>
      <c r="D1475" t="str">
        <f>IF($AS1475="","",INDEX('TMP Paste'!$B$2:$B$1601,$AS1475))</f>
        <v/>
      </c>
      <c r="E1475" t="str">
        <f>IF($AS1475="","",Config!$B$27)</f>
        <v/>
      </c>
      <c r="F1475" t="str">
        <f>IF($AS1475="","",Config!$B$9)</f>
        <v/>
      </c>
      <c r="G1475" t="str">
        <f>IF($AS1475="","",Config!$B$10)</f>
        <v/>
      </c>
      <c r="H1475" t="str">
        <f>IF($AS1475="","",Config!$B$11)</f>
        <v/>
      </c>
      <c r="I1475" t="str">
        <f>IF($AS1475="","",Config!$B$16)</f>
        <v/>
      </c>
      <c r="J1475" t="str">
        <f>IF($AS1475="","",INDEX('TMP Paste'!$A$2:$A$1601,$AS1475))</f>
        <v/>
      </c>
      <c r="K1475" t="str">
        <f>IF($AS1475="","",INDEX('TMP Paste'!$L$2:$L$1601,$AS1475))</f>
        <v/>
      </c>
      <c r="L1475" t="str">
        <f>IF($AS1475="","",INDEX('TMP Paste'!$I$2:$I$1601,$AS1475))</f>
        <v/>
      </c>
      <c r="M1475" t="str">
        <f>IF($AS1475="","",Config!$B$16)</f>
        <v/>
      </c>
      <c r="N1475" t="str">
        <f t="shared" si="138"/>
        <v/>
      </c>
      <c r="O1475" t="str">
        <f>IF($AS1475="","",INDEX('TMP Paste'!$K$2:$K$1601,$AS1475))</f>
        <v/>
      </c>
      <c r="P1475" t="str">
        <f t="shared" si="139"/>
        <v/>
      </c>
      <c r="Q1475" t="str">
        <f>IF($AS1475="","",INDEX('TMP Paste'!$J$2:$J$1601,$AS1475))</f>
        <v/>
      </c>
      <c r="R1475" t="str">
        <f>IF($AS1475="","",Config!$B$24)</f>
        <v/>
      </c>
      <c r="S1475" t="str">
        <f ca="1">IF($AS1475="","",TEXT(Config!$B$4,"yyyy-mm-dd"))</f>
        <v/>
      </c>
      <c r="T1475" t="str">
        <f>IF($AS1475="","",Config!$B$17)</f>
        <v/>
      </c>
      <c r="U1475" t="str">
        <f>IF($AS1475="","",Config!$B$18)</f>
        <v/>
      </c>
      <c r="V1475" t="str">
        <f>IF($AS1475="","",Config!$B$19)</f>
        <v/>
      </c>
      <c r="W1475" t="str">
        <f>IF($AS1475="","",INDEX('TMP Paste'!$C$2:$C$1601,$AS1475))</f>
        <v/>
      </c>
      <c r="X1475" t="str">
        <f>IF($AS1475="","",Config!$B$29)</f>
        <v/>
      </c>
      <c r="Y1475" t="str">
        <f>IF($AT1475="","",INDEX(Calc!$I$2:$I$1601,$AT1475)&amp;" - "&amp;INDEX(Calc!$D$2:$D$1601,$AT1475)&amp;" koli")</f>
        <v/>
      </c>
      <c r="Z1475" t="str">
        <f>IF($AS1475="","",Config!$B$21)</f>
        <v/>
      </c>
      <c r="AA1475" t="str">
        <f>IF($AS1475="","",Config!$B$22)</f>
        <v/>
      </c>
      <c r="AB1475" t="str">
        <f>IF($AT1475="","",INDEX(Calc!$D$2:$D$1601,$AT1475))</f>
        <v/>
      </c>
      <c r="AC1475" t="str">
        <f>IF($AT1475="","",INDEX(Calc!$G$2:$G$1601,$AT1475))</f>
        <v/>
      </c>
      <c r="AD1475" t="str">
        <f>IF($AS1475="","",Config!$B$23)</f>
        <v/>
      </c>
      <c r="AE1475" t="str">
        <f>IF($AS1475="","",Config!$B$28)</f>
        <v/>
      </c>
      <c r="AF1475" t="str">
        <f t="shared" si="140"/>
        <v/>
      </c>
      <c r="AG1475" t="str">
        <f t="shared" si="141"/>
        <v/>
      </c>
      <c r="AH1475" t="str">
        <f t="shared" si="142"/>
        <v/>
      </c>
      <c r="AI1475" t="str">
        <f>IF($AG1475="","",SUMIF($AG$2:$AG1475,$AG1475,$AH$2:$AH1475))</f>
        <v/>
      </c>
      <c r="AJ1475" t="str">
        <f>IF('TMP Paste'!$F1475="","",IF('TMP Paste'!$B1475="",$AJ1474,'TMP Paste'!$B1475))</f>
        <v/>
      </c>
      <c r="AK1475" t="str">
        <f>IF('TMP Paste'!$F1475="","",N('TMP Paste'!$G1475))</f>
        <v/>
      </c>
      <c r="AL1475" t="str">
        <f>IF('TMP Paste'!$F1475="","",IF('TMP Paste'!$M1475="",$AL1474,'TMP Paste'!$M1475))</f>
        <v/>
      </c>
      <c r="AM1475" t="str">
        <f>IF('TMP Paste'!$F1475="","",IF('TMP Paste'!$N1475="",$AM1474,'TMP Paste'!$N1475))</f>
        <v/>
      </c>
      <c r="AN1475" t="str">
        <f>IF('TMP Paste'!$F1475="","",IF('TMP Paste'!$O1475="",$AN1474,'TMP Paste'!$O1475))</f>
        <v/>
      </c>
      <c r="AO1475" t="str">
        <f>IF('TMP Paste'!$F1475="","",IF('TMP Paste'!$P1475="",$AO1474,'TMP Paste'!$P1475))</f>
        <v/>
      </c>
      <c r="AP1475" t="str">
        <f t="shared" si="143"/>
        <v/>
      </c>
      <c r="AQ1475" t="str">
        <f>IF($AS1475="","",TRIM(IF(COUNTIFS(Calc!$B$2:$B$1601,ROW()-1,Calc!$C$2:$C$1601,"&lt;1")&gt;0,"Ada PO tanpa Koli - cek TMP. ","")&amp;IF(OR($AU1475="",$AU1475&lt;=0),"Volume kosong/0 - dimensi dikosongkan. ","")&amp;IF(AND($AU1475&lt;&gt;"",$AU1475&gt;=1000000),"Volume &gt;= 1.000.000 cm3 (di luar aturan) - dimensi dikosongkan. ","")&amp;IF(LEN($R1475)&gt;500,"R &gt; 500 karakter.","")))</f>
        <v/>
      </c>
      <c r="AS1475" t="str">
        <f>IFERROR(MATCH(ROW()-1,Calc!$J$2:$J$1601,0),"")</f>
        <v/>
      </c>
      <c r="AT1475" t="str">
        <f>IFERROR(MATCH(ROW()-1,Calc!$K$2:$K$1601,0),"")</f>
        <v/>
      </c>
      <c r="AU1475" t="str">
        <f>IF($AS1475="","",IFERROR(INDEX('TMP Paste'!$D$2:$D$1601,$AS1475)*1000000/$AB1475,""))</f>
        <v/>
      </c>
    </row>
    <row r="1476" spans="1:47">
      <c r="A1476" t="str">
        <f>IF($AS1476="","",INDEX('TMP Paste'!$B$2:$B$1601,$AS1476))</f>
        <v/>
      </c>
      <c r="B1476" t="str">
        <f>IF($AS1476="","",Config!$B$14)</f>
        <v/>
      </c>
      <c r="C1476" t="str">
        <f>IF($AS1476="","",Config!$B$15)</f>
        <v/>
      </c>
      <c r="D1476" t="str">
        <f>IF($AS1476="","",INDEX('TMP Paste'!$B$2:$B$1601,$AS1476))</f>
        <v/>
      </c>
      <c r="E1476" t="str">
        <f>IF($AS1476="","",Config!$B$27)</f>
        <v/>
      </c>
      <c r="F1476" t="str">
        <f>IF($AS1476="","",Config!$B$9)</f>
        <v/>
      </c>
      <c r="G1476" t="str">
        <f>IF($AS1476="","",Config!$B$10)</f>
        <v/>
      </c>
      <c r="H1476" t="str">
        <f>IF($AS1476="","",Config!$B$11)</f>
        <v/>
      </c>
      <c r="I1476" t="str">
        <f>IF($AS1476="","",Config!$B$16)</f>
        <v/>
      </c>
      <c r="J1476" t="str">
        <f>IF($AS1476="","",INDEX('TMP Paste'!$A$2:$A$1601,$AS1476))</f>
        <v/>
      </c>
      <c r="K1476" t="str">
        <f>IF($AS1476="","",INDEX('TMP Paste'!$L$2:$L$1601,$AS1476))</f>
        <v/>
      </c>
      <c r="L1476" t="str">
        <f>IF($AS1476="","",INDEX('TMP Paste'!$I$2:$I$1601,$AS1476))</f>
        <v/>
      </c>
      <c r="M1476" t="str">
        <f>IF($AS1476="","",Config!$B$16)</f>
        <v/>
      </c>
      <c r="N1476" t="str">
        <f t="shared" si="138"/>
        <v/>
      </c>
      <c r="O1476" t="str">
        <f>IF($AS1476="","",INDEX('TMP Paste'!$K$2:$K$1601,$AS1476))</f>
        <v/>
      </c>
      <c r="P1476" t="str">
        <f t="shared" si="139"/>
        <v/>
      </c>
      <c r="Q1476" t="str">
        <f>IF($AS1476="","",INDEX('TMP Paste'!$J$2:$J$1601,$AS1476))</f>
        <v/>
      </c>
      <c r="R1476" t="str">
        <f>IF($AS1476="","",Config!$B$24)</f>
        <v/>
      </c>
      <c r="S1476" t="str">
        <f ca="1">IF($AS1476="","",TEXT(Config!$B$4,"yyyy-mm-dd"))</f>
        <v/>
      </c>
      <c r="T1476" t="str">
        <f>IF($AS1476="","",Config!$B$17)</f>
        <v/>
      </c>
      <c r="U1476" t="str">
        <f>IF($AS1476="","",Config!$B$18)</f>
        <v/>
      </c>
      <c r="V1476" t="str">
        <f>IF($AS1476="","",Config!$B$19)</f>
        <v/>
      </c>
      <c r="W1476" t="str">
        <f>IF($AS1476="","",INDEX('TMP Paste'!$C$2:$C$1601,$AS1476))</f>
        <v/>
      </c>
      <c r="X1476" t="str">
        <f>IF($AS1476="","",Config!$B$29)</f>
        <v/>
      </c>
      <c r="Y1476" t="str">
        <f>IF($AT1476="","",INDEX(Calc!$I$2:$I$1601,$AT1476)&amp;" - "&amp;INDEX(Calc!$D$2:$D$1601,$AT1476)&amp;" koli")</f>
        <v/>
      </c>
      <c r="Z1476" t="str">
        <f>IF($AS1476="","",Config!$B$21)</f>
        <v/>
      </c>
      <c r="AA1476" t="str">
        <f>IF($AS1476="","",Config!$B$22)</f>
        <v/>
      </c>
      <c r="AB1476" t="str">
        <f>IF($AT1476="","",INDEX(Calc!$D$2:$D$1601,$AT1476))</f>
        <v/>
      </c>
      <c r="AC1476" t="str">
        <f>IF($AT1476="","",INDEX(Calc!$G$2:$G$1601,$AT1476))</f>
        <v/>
      </c>
      <c r="AD1476" t="str">
        <f>IF($AS1476="","",Config!$B$23)</f>
        <v/>
      </c>
      <c r="AE1476" t="str">
        <f>IF($AS1476="","",Config!$B$28)</f>
        <v/>
      </c>
      <c r="AF1476" t="str">
        <f t="shared" si="140"/>
        <v/>
      </c>
      <c r="AG1476" t="str">
        <f t="shared" si="141"/>
        <v/>
      </c>
      <c r="AH1476" t="str">
        <f t="shared" si="142"/>
        <v/>
      </c>
      <c r="AI1476" t="str">
        <f>IF($AG1476="","",SUMIF($AG$2:$AG1476,$AG1476,$AH$2:$AH1476))</f>
        <v/>
      </c>
      <c r="AJ1476" t="str">
        <f>IF('TMP Paste'!$F1476="","",IF('TMP Paste'!$B1476="",$AJ1475,'TMP Paste'!$B1476))</f>
        <v/>
      </c>
      <c r="AK1476" t="str">
        <f>IF('TMP Paste'!$F1476="","",N('TMP Paste'!$G1476))</f>
        <v/>
      </c>
      <c r="AL1476" t="str">
        <f>IF('TMP Paste'!$F1476="","",IF('TMP Paste'!$M1476="",$AL1475,'TMP Paste'!$M1476))</f>
        <v/>
      </c>
      <c r="AM1476" t="str">
        <f>IF('TMP Paste'!$F1476="","",IF('TMP Paste'!$N1476="",$AM1475,'TMP Paste'!$N1476))</f>
        <v/>
      </c>
      <c r="AN1476" t="str">
        <f>IF('TMP Paste'!$F1476="","",IF('TMP Paste'!$O1476="",$AN1475,'TMP Paste'!$O1476))</f>
        <v/>
      </c>
      <c r="AO1476" t="str">
        <f>IF('TMP Paste'!$F1476="","",IF('TMP Paste'!$P1476="",$AO1475,'TMP Paste'!$P1476))</f>
        <v/>
      </c>
      <c r="AP1476" t="str">
        <f t="shared" si="143"/>
        <v/>
      </c>
      <c r="AQ1476" t="str">
        <f>IF($AS1476="","",TRIM(IF(COUNTIFS(Calc!$B$2:$B$1601,ROW()-1,Calc!$C$2:$C$1601,"&lt;1")&gt;0,"Ada PO tanpa Koli - cek TMP. ","")&amp;IF(OR($AU1476="",$AU1476&lt;=0),"Volume kosong/0 - dimensi dikosongkan. ","")&amp;IF(AND($AU1476&lt;&gt;"",$AU1476&gt;=1000000),"Volume &gt;= 1.000.000 cm3 (di luar aturan) - dimensi dikosongkan. ","")&amp;IF(LEN($R1476)&gt;500,"R &gt; 500 karakter.","")))</f>
        <v/>
      </c>
      <c r="AS1476" t="str">
        <f>IFERROR(MATCH(ROW()-1,Calc!$J$2:$J$1601,0),"")</f>
        <v/>
      </c>
      <c r="AT1476" t="str">
        <f>IFERROR(MATCH(ROW()-1,Calc!$K$2:$K$1601,0),"")</f>
        <v/>
      </c>
      <c r="AU1476" t="str">
        <f>IF($AS1476="","",IFERROR(INDEX('TMP Paste'!$D$2:$D$1601,$AS1476)*1000000/$AB1476,""))</f>
        <v/>
      </c>
    </row>
    <row r="1477" spans="1:47">
      <c r="A1477" t="str">
        <f>IF($AS1477="","",INDEX('TMP Paste'!$B$2:$B$1601,$AS1477))</f>
        <v/>
      </c>
      <c r="B1477" t="str">
        <f>IF($AS1477="","",Config!$B$14)</f>
        <v/>
      </c>
      <c r="C1477" t="str">
        <f>IF($AS1477="","",Config!$B$15)</f>
        <v/>
      </c>
      <c r="D1477" t="str">
        <f>IF($AS1477="","",INDEX('TMP Paste'!$B$2:$B$1601,$AS1477))</f>
        <v/>
      </c>
      <c r="E1477" t="str">
        <f>IF($AS1477="","",Config!$B$27)</f>
        <v/>
      </c>
      <c r="F1477" t="str">
        <f>IF($AS1477="","",Config!$B$9)</f>
        <v/>
      </c>
      <c r="G1477" t="str">
        <f>IF($AS1477="","",Config!$B$10)</f>
        <v/>
      </c>
      <c r="H1477" t="str">
        <f>IF($AS1477="","",Config!$B$11)</f>
        <v/>
      </c>
      <c r="I1477" t="str">
        <f>IF($AS1477="","",Config!$B$16)</f>
        <v/>
      </c>
      <c r="J1477" t="str">
        <f>IF($AS1477="","",INDEX('TMP Paste'!$A$2:$A$1601,$AS1477))</f>
        <v/>
      </c>
      <c r="K1477" t="str">
        <f>IF($AS1477="","",INDEX('TMP Paste'!$L$2:$L$1601,$AS1477))</f>
        <v/>
      </c>
      <c r="L1477" t="str">
        <f>IF($AS1477="","",INDEX('TMP Paste'!$I$2:$I$1601,$AS1477))</f>
        <v/>
      </c>
      <c r="M1477" t="str">
        <f>IF($AS1477="","",Config!$B$16)</f>
        <v/>
      </c>
      <c r="N1477" t="str">
        <f t="shared" si="138"/>
        <v/>
      </c>
      <c r="O1477" t="str">
        <f>IF($AS1477="","",INDEX('TMP Paste'!$K$2:$K$1601,$AS1477))</f>
        <v/>
      </c>
      <c r="P1477" t="str">
        <f t="shared" si="139"/>
        <v/>
      </c>
      <c r="Q1477" t="str">
        <f>IF($AS1477="","",INDEX('TMP Paste'!$J$2:$J$1601,$AS1477))</f>
        <v/>
      </c>
      <c r="R1477" t="str">
        <f>IF($AS1477="","",Config!$B$24)</f>
        <v/>
      </c>
      <c r="S1477" t="str">
        <f ca="1">IF($AS1477="","",TEXT(Config!$B$4,"yyyy-mm-dd"))</f>
        <v/>
      </c>
      <c r="T1477" t="str">
        <f>IF($AS1477="","",Config!$B$17)</f>
        <v/>
      </c>
      <c r="U1477" t="str">
        <f>IF($AS1477="","",Config!$B$18)</f>
        <v/>
      </c>
      <c r="V1477" t="str">
        <f>IF($AS1477="","",Config!$B$19)</f>
        <v/>
      </c>
      <c r="W1477" t="str">
        <f>IF($AS1477="","",INDEX('TMP Paste'!$C$2:$C$1601,$AS1477))</f>
        <v/>
      </c>
      <c r="X1477" t="str">
        <f>IF($AS1477="","",Config!$B$29)</f>
        <v/>
      </c>
      <c r="Y1477" t="str">
        <f>IF($AT1477="","",INDEX(Calc!$I$2:$I$1601,$AT1477)&amp;" - "&amp;INDEX(Calc!$D$2:$D$1601,$AT1477)&amp;" koli")</f>
        <v/>
      </c>
      <c r="Z1477" t="str">
        <f>IF($AS1477="","",Config!$B$21)</f>
        <v/>
      </c>
      <c r="AA1477" t="str">
        <f>IF($AS1477="","",Config!$B$22)</f>
        <v/>
      </c>
      <c r="AB1477" t="str">
        <f>IF($AT1477="","",INDEX(Calc!$D$2:$D$1601,$AT1477))</f>
        <v/>
      </c>
      <c r="AC1477" t="str">
        <f>IF($AT1477="","",INDEX(Calc!$G$2:$G$1601,$AT1477))</f>
        <v/>
      </c>
      <c r="AD1477" t="str">
        <f>IF($AS1477="","",Config!$B$23)</f>
        <v/>
      </c>
      <c r="AE1477" t="str">
        <f>IF($AS1477="","",Config!$B$28)</f>
        <v/>
      </c>
      <c r="AF1477" t="str">
        <f t="shared" si="140"/>
        <v/>
      </c>
      <c r="AG1477" t="str">
        <f t="shared" si="141"/>
        <v/>
      </c>
      <c r="AH1477" t="str">
        <f t="shared" si="142"/>
        <v/>
      </c>
      <c r="AI1477" t="str">
        <f>IF($AG1477="","",SUMIF($AG$2:$AG1477,$AG1477,$AH$2:$AH1477))</f>
        <v/>
      </c>
      <c r="AJ1477" t="str">
        <f>IF('TMP Paste'!$F1477="","",IF('TMP Paste'!$B1477="",$AJ1476,'TMP Paste'!$B1477))</f>
        <v/>
      </c>
      <c r="AK1477" t="str">
        <f>IF('TMP Paste'!$F1477="","",N('TMP Paste'!$G1477))</f>
        <v/>
      </c>
      <c r="AL1477" t="str">
        <f>IF('TMP Paste'!$F1477="","",IF('TMP Paste'!$M1477="",$AL1476,'TMP Paste'!$M1477))</f>
        <v/>
      </c>
      <c r="AM1477" t="str">
        <f>IF('TMP Paste'!$F1477="","",IF('TMP Paste'!$N1477="",$AM1476,'TMP Paste'!$N1477))</f>
        <v/>
      </c>
      <c r="AN1477" t="str">
        <f>IF('TMP Paste'!$F1477="","",IF('TMP Paste'!$O1477="",$AN1476,'TMP Paste'!$O1477))</f>
        <v/>
      </c>
      <c r="AO1477" t="str">
        <f>IF('TMP Paste'!$F1477="","",IF('TMP Paste'!$P1477="",$AO1476,'TMP Paste'!$P1477))</f>
        <v/>
      </c>
      <c r="AP1477" t="str">
        <f t="shared" si="143"/>
        <v/>
      </c>
      <c r="AQ1477" t="str">
        <f>IF($AS1477="","",TRIM(IF(COUNTIFS(Calc!$B$2:$B$1601,ROW()-1,Calc!$C$2:$C$1601,"&lt;1")&gt;0,"Ada PO tanpa Koli - cek TMP. ","")&amp;IF(OR($AU1477="",$AU1477&lt;=0),"Volume kosong/0 - dimensi dikosongkan. ","")&amp;IF(AND($AU1477&lt;&gt;"",$AU1477&gt;=1000000),"Volume &gt;= 1.000.000 cm3 (di luar aturan) - dimensi dikosongkan. ","")&amp;IF(LEN($R1477)&gt;500,"R &gt; 500 karakter.","")))</f>
        <v/>
      </c>
      <c r="AS1477" t="str">
        <f>IFERROR(MATCH(ROW()-1,Calc!$J$2:$J$1601,0),"")</f>
        <v/>
      </c>
      <c r="AT1477" t="str">
        <f>IFERROR(MATCH(ROW()-1,Calc!$K$2:$K$1601,0),"")</f>
        <v/>
      </c>
      <c r="AU1477" t="str">
        <f>IF($AS1477="","",IFERROR(INDEX('TMP Paste'!$D$2:$D$1601,$AS1477)*1000000/$AB1477,""))</f>
        <v/>
      </c>
    </row>
    <row r="1478" spans="1:47">
      <c r="A1478" t="str">
        <f>IF($AS1478="","",INDEX('TMP Paste'!$B$2:$B$1601,$AS1478))</f>
        <v/>
      </c>
      <c r="B1478" t="str">
        <f>IF($AS1478="","",Config!$B$14)</f>
        <v/>
      </c>
      <c r="C1478" t="str">
        <f>IF($AS1478="","",Config!$B$15)</f>
        <v/>
      </c>
      <c r="D1478" t="str">
        <f>IF($AS1478="","",INDEX('TMP Paste'!$B$2:$B$1601,$AS1478))</f>
        <v/>
      </c>
      <c r="E1478" t="str">
        <f>IF($AS1478="","",Config!$B$27)</f>
        <v/>
      </c>
      <c r="F1478" t="str">
        <f>IF($AS1478="","",Config!$B$9)</f>
        <v/>
      </c>
      <c r="G1478" t="str">
        <f>IF($AS1478="","",Config!$B$10)</f>
        <v/>
      </c>
      <c r="H1478" t="str">
        <f>IF($AS1478="","",Config!$B$11)</f>
        <v/>
      </c>
      <c r="I1478" t="str">
        <f>IF($AS1478="","",Config!$B$16)</f>
        <v/>
      </c>
      <c r="J1478" t="str">
        <f>IF($AS1478="","",INDEX('TMP Paste'!$A$2:$A$1601,$AS1478))</f>
        <v/>
      </c>
      <c r="K1478" t="str">
        <f>IF($AS1478="","",INDEX('TMP Paste'!$L$2:$L$1601,$AS1478))</f>
        <v/>
      </c>
      <c r="L1478" t="str">
        <f>IF($AS1478="","",INDEX('TMP Paste'!$I$2:$I$1601,$AS1478))</f>
        <v/>
      </c>
      <c r="M1478" t="str">
        <f>IF($AS1478="","",Config!$B$16)</f>
        <v/>
      </c>
      <c r="N1478" t="str">
        <f t="shared" si="138"/>
        <v/>
      </c>
      <c r="O1478" t="str">
        <f>IF($AS1478="","",INDEX('TMP Paste'!$K$2:$K$1601,$AS1478))</f>
        <v/>
      </c>
      <c r="P1478" t="str">
        <f t="shared" si="139"/>
        <v/>
      </c>
      <c r="Q1478" t="str">
        <f>IF($AS1478="","",INDEX('TMP Paste'!$J$2:$J$1601,$AS1478))</f>
        <v/>
      </c>
      <c r="R1478" t="str">
        <f>IF($AS1478="","",Config!$B$24)</f>
        <v/>
      </c>
      <c r="S1478" t="str">
        <f ca="1">IF($AS1478="","",TEXT(Config!$B$4,"yyyy-mm-dd"))</f>
        <v/>
      </c>
      <c r="T1478" t="str">
        <f>IF($AS1478="","",Config!$B$17)</f>
        <v/>
      </c>
      <c r="U1478" t="str">
        <f>IF($AS1478="","",Config!$B$18)</f>
        <v/>
      </c>
      <c r="V1478" t="str">
        <f>IF($AS1478="","",Config!$B$19)</f>
        <v/>
      </c>
      <c r="W1478" t="str">
        <f>IF($AS1478="","",INDEX('TMP Paste'!$C$2:$C$1601,$AS1478))</f>
        <v/>
      </c>
      <c r="X1478" t="str">
        <f>IF($AS1478="","",Config!$B$29)</f>
        <v/>
      </c>
      <c r="Y1478" t="str">
        <f>IF($AT1478="","",INDEX(Calc!$I$2:$I$1601,$AT1478)&amp;" - "&amp;INDEX(Calc!$D$2:$D$1601,$AT1478)&amp;" koli")</f>
        <v/>
      </c>
      <c r="Z1478" t="str">
        <f>IF($AS1478="","",Config!$B$21)</f>
        <v/>
      </c>
      <c r="AA1478" t="str">
        <f>IF($AS1478="","",Config!$B$22)</f>
        <v/>
      </c>
      <c r="AB1478" t="str">
        <f>IF($AT1478="","",INDEX(Calc!$D$2:$D$1601,$AT1478))</f>
        <v/>
      </c>
      <c r="AC1478" t="str">
        <f>IF($AT1478="","",INDEX(Calc!$G$2:$G$1601,$AT1478))</f>
        <v/>
      </c>
      <c r="AD1478" t="str">
        <f>IF($AS1478="","",Config!$B$23)</f>
        <v/>
      </c>
      <c r="AE1478" t="str">
        <f>IF($AS1478="","",Config!$B$28)</f>
        <v/>
      </c>
      <c r="AF1478" t="str">
        <f t="shared" si="140"/>
        <v/>
      </c>
      <c r="AG1478" t="str">
        <f t="shared" si="141"/>
        <v/>
      </c>
      <c r="AH1478" t="str">
        <f t="shared" si="142"/>
        <v/>
      </c>
      <c r="AI1478" t="str">
        <f>IF($AG1478="","",SUMIF($AG$2:$AG1478,$AG1478,$AH$2:$AH1478))</f>
        <v/>
      </c>
      <c r="AJ1478" t="str">
        <f>IF('TMP Paste'!$F1478="","",IF('TMP Paste'!$B1478="",$AJ1477,'TMP Paste'!$B1478))</f>
        <v/>
      </c>
      <c r="AK1478" t="str">
        <f>IF('TMP Paste'!$F1478="","",N('TMP Paste'!$G1478))</f>
        <v/>
      </c>
      <c r="AL1478" t="str">
        <f>IF('TMP Paste'!$F1478="","",IF('TMP Paste'!$M1478="",$AL1477,'TMP Paste'!$M1478))</f>
        <v/>
      </c>
      <c r="AM1478" t="str">
        <f>IF('TMP Paste'!$F1478="","",IF('TMP Paste'!$N1478="",$AM1477,'TMP Paste'!$N1478))</f>
        <v/>
      </c>
      <c r="AN1478" t="str">
        <f>IF('TMP Paste'!$F1478="","",IF('TMP Paste'!$O1478="",$AN1477,'TMP Paste'!$O1478))</f>
        <v/>
      </c>
      <c r="AO1478" t="str">
        <f>IF('TMP Paste'!$F1478="","",IF('TMP Paste'!$P1478="",$AO1477,'TMP Paste'!$P1478))</f>
        <v/>
      </c>
      <c r="AP1478" t="str">
        <f t="shared" si="143"/>
        <v/>
      </c>
      <c r="AQ1478" t="str">
        <f>IF($AS1478="","",TRIM(IF(COUNTIFS(Calc!$B$2:$B$1601,ROW()-1,Calc!$C$2:$C$1601,"&lt;1")&gt;0,"Ada PO tanpa Koli - cek TMP. ","")&amp;IF(OR($AU1478="",$AU1478&lt;=0),"Volume kosong/0 - dimensi dikosongkan. ","")&amp;IF(AND($AU1478&lt;&gt;"",$AU1478&gt;=1000000),"Volume &gt;= 1.000.000 cm3 (di luar aturan) - dimensi dikosongkan. ","")&amp;IF(LEN($R1478)&gt;500,"R &gt; 500 karakter.","")))</f>
        <v/>
      </c>
      <c r="AS1478" t="str">
        <f>IFERROR(MATCH(ROW()-1,Calc!$J$2:$J$1601,0),"")</f>
        <v/>
      </c>
      <c r="AT1478" t="str">
        <f>IFERROR(MATCH(ROW()-1,Calc!$K$2:$K$1601,0),"")</f>
        <v/>
      </c>
      <c r="AU1478" t="str">
        <f>IF($AS1478="","",IFERROR(INDEX('TMP Paste'!$D$2:$D$1601,$AS1478)*1000000/$AB1478,""))</f>
        <v/>
      </c>
    </row>
    <row r="1479" spans="1:47">
      <c r="A1479" t="str">
        <f>IF($AS1479="","",INDEX('TMP Paste'!$B$2:$B$1601,$AS1479))</f>
        <v/>
      </c>
      <c r="B1479" t="str">
        <f>IF($AS1479="","",Config!$B$14)</f>
        <v/>
      </c>
      <c r="C1479" t="str">
        <f>IF($AS1479="","",Config!$B$15)</f>
        <v/>
      </c>
      <c r="D1479" t="str">
        <f>IF($AS1479="","",INDEX('TMP Paste'!$B$2:$B$1601,$AS1479))</f>
        <v/>
      </c>
      <c r="E1479" t="str">
        <f>IF($AS1479="","",Config!$B$27)</f>
        <v/>
      </c>
      <c r="F1479" t="str">
        <f>IF($AS1479="","",Config!$B$9)</f>
        <v/>
      </c>
      <c r="G1479" t="str">
        <f>IF($AS1479="","",Config!$B$10)</f>
        <v/>
      </c>
      <c r="H1479" t="str">
        <f>IF($AS1479="","",Config!$B$11)</f>
        <v/>
      </c>
      <c r="I1479" t="str">
        <f>IF($AS1479="","",Config!$B$16)</f>
        <v/>
      </c>
      <c r="J1479" t="str">
        <f>IF($AS1479="","",INDEX('TMP Paste'!$A$2:$A$1601,$AS1479))</f>
        <v/>
      </c>
      <c r="K1479" t="str">
        <f>IF($AS1479="","",INDEX('TMP Paste'!$L$2:$L$1601,$AS1479))</f>
        <v/>
      </c>
      <c r="L1479" t="str">
        <f>IF($AS1479="","",INDEX('TMP Paste'!$I$2:$I$1601,$AS1479))</f>
        <v/>
      </c>
      <c r="M1479" t="str">
        <f>IF($AS1479="","",Config!$B$16)</f>
        <v/>
      </c>
      <c r="N1479" t="str">
        <f t="shared" si="138"/>
        <v/>
      </c>
      <c r="O1479" t="str">
        <f>IF($AS1479="","",INDEX('TMP Paste'!$K$2:$K$1601,$AS1479))</f>
        <v/>
      </c>
      <c r="P1479" t="str">
        <f t="shared" si="139"/>
        <v/>
      </c>
      <c r="Q1479" t="str">
        <f>IF($AS1479="","",INDEX('TMP Paste'!$J$2:$J$1601,$AS1479))</f>
        <v/>
      </c>
      <c r="R1479" t="str">
        <f>IF($AS1479="","",Config!$B$24)</f>
        <v/>
      </c>
      <c r="S1479" t="str">
        <f ca="1">IF($AS1479="","",TEXT(Config!$B$4,"yyyy-mm-dd"))</f>
        <v/>
      </c>
      <c r="T1479" t="str">
        <f>IF($AS1479="","",Config!$B$17)</f>
        <v/>
      </c>
      <c r="U1479" t="str">
        <f>IF($AS1479="","",Config!$B$18)</f>
        <v/>
      </c>
      <c r="V1479" t="str">
        <f>IF($AS1479="","",Config!$B$19)</f>
        <v/>
      </c>
      <c r="W1479" t="str">
        <f>IF($AS1479="","",INDEX('TMP Paste'!$C$2:$C$1601,$AS1479))</f>
        <v/>
      </c>
      <c r="X1479" t="str">
        <f>IF($AS1479="","",Config!$B$29)</f>
        <v/>
      </c>
      <c r="Y1479" t="str">
        <f>IF($AT1479="","",INDEX(Calc!$I$2:$I$1601,$AT1479)&amp;" - "&amp;INDEX(Calc!$D$2:$D$1601,$AT1479)&amp;" koli")</f>
        <v/>
      </c>
      <c r="Z1479" t="str">
        <f>IF($AS1479="","",Config!$B$21)</f>
        <v/>
      </c>
      <c r="AA1479" t="str">
        <f>IF($AS1479="","",Config!$B$22)</f>
        <v/>
      </c>
      <c r="AB1479" t="str">
        <f>IF($AT1479="","",INDEX(Calc!$D$2:$D$1601,$AT1479))</f>
        <v/>
      </c>
      <c r="AC1479" t="str">
        <f>IF($AT1479="","",INDEX(Calc!$G$2:$G$1601,$AT1479))</f>
        <v/>
      </c>
      <c r="AD1479" t="str">
        <f>IF($AS1479="","",Config!$B$23)</f>
        <v/>
      </c>
      <c r="AE1479" t="str">
        <f>IF($AS1479="","",Config!$B$28)</f>
        <v/>
      </c>
      <c r="AF1479" t="str">
        <f t="shared" si="140"/>
        <v/>
      </c>
      <c r="AG1479" t="str">
        <f t="shared" si="141"/>
        <v/>
      </c>
      <c r="AH1479" t="str">
        <f t="shared" si="142"/>
        <v/>
      </c>
      <c r="AI1479" t="str">
        <f>IF($AG1479="","",SUMIF($AG$2:$AG1479,$AG1479,$AH$2:$AH1479))</f>
        <v/>
      </c>
      <c r="AJ1479" t="str">
        <f>IF('TMP Paste'!$F1479="","",IF('TMP Paste'!$B1479="",$AJ1478,'TMP Paste'!$B1479))</f>
        <v/>
      </c>
      <c r="AK1479" t="str">
        <f>IF('TMP Paste'!$F1479="","",N('TMP Paste'!$G1479))</f>
        <v/>
      </c>
      <c r="AL1479" t="str">
        <f>IF('TMP Paste'!$F1479="","",IF('TMP Paste'!$M1479="",$AL1478,'TMP Paste'!$M1479))</f>
        <v/>
      </c>
      <c r="AM1479" t="str">
        <f>IF('TMP Paste'!$F1479="","",IF('TMP Paste'!$N1479="",$AM1478,'TMP Paste'!$N1479))</f>
        <v/>
      </c>
      <c r="AN1479" t="str">
        <f>IF('TMP Paste'!$F1479="","",IF('TMP Paste'!$O1479="",$AN1478,'TMP Paste'!$O1479))</f>
        <v/>
      </c>
      <c r="AO1479" t="str">
        <f>IF('TMP Paste'!$F1479="","",IF('TMP Paste'!$P1479="",$AO1478,'TMP Paste'!$P1479))</f>
        <v/>
      </c>
      <c r="AP1479" t="str">
        <f t="shared" si="143"/>
        <v/>
      </c>
      <c r="AQ1479" t="str">
        <f>IF($AS1479="","",TRIM(IF(COUNTIFS(Calc!$B$2:$B$1601,ROW()-1,Calc!$C$2:$C$1601,"&lt;1")&gt;0,"Ada PO tanpa Koli - cek TMP. ","")&amp;IF(OR($AU1479="",$AU1479&lt;=0),"Volume kosong/0 - dimensi dikosongkan. ","")&amp;IF(AND($AU1479&lt;&gt;"",$AU1479&gt;=1000000),"Volume &gt;= 1.000.000 cm3 (di luar aturan) - dimensi dikosongkan. ","")&amp;IF(LEN($R1479)&gt;500,"R &gt; 500 karakter.","")))</f>
        <v/>
      </c>
      <c r="AS1479" t="str">
        <f>IFERROR(MATCH(ROW()-1,Calc!$J$2:$J$1601,0),"")</f>
        <v/>
      </c>
      <c r="AT1479" t="str">
        <f>IFERROR(MATCH(ROW()-1,Calc!$K$2:$K$1601,0),"")</f>
        <v/>
      </c>
      <c r="AU1479" t="str">
        <f>IF($AS1479="","",IFERROR(INDEX('TMP Paste'!$D$2:$D$1601,$AS1479)*1000000/$AB1479,""))</f>
        <v/>
      </c>
    </row>
    <row r="1480" spans="1:47">
      <c r="A1480" t="str">
        <f>IF($AS1480="","",INDEX('TMP Paste'!$B$2:$B$1601,$AS1480))</f>
        <v/>
      </c>
      <c r="B1480" t="str">
        <f>IF($AS1480="","",Config!$B$14)</f>
        <v/>
      </c>
      <c r="C1480" t="str">
        <f>IF($AS1480="","",Config!$B$15)</f>
        <v/>
      </c>
      <c r="D1480" t="str">
        <f>IF($AS1480="","",INDEX('TMP Paste'!$B$2:$B$1601,$AS1480))</f>
        <v/>
      </c>
      <c r="E1480" t="str">
        <f>IF($AS1480="","",Config!$B$27)</f>
        <v/>
      </c>
      <c r="F1480" t="str">
        <f>IF($AS1480="","",Config!$B$9)</f>
        <v/>
      </c>
      <c r="G1480" t="str">
        <f>IF($AS1480="","",Config!$B$10)</f>
        <v/>
      </c>
      <c r="H1480" t="str">
        <f>IF($AS1480="","",Config!$B$11)</f>
        <v/>
      </c>
      <c r="I1480" t="str">
        <f>IF($AS1480="","",Config!$B$16)</f>
        <v/>
      </c>
      <c r="J1480" t="str">
        <f>IF($AS1480="","",INDEX('TMP Paste'!$A$2:$A$1601,$AS1480))</f>
        <v/>
      </c>
      <c r="K1480" t="str">
        <f>IF($AS1480="","",INDEX('TMP Paste'!$L$2:$L$1601,$AS1480))</f>
        <v/>
      </c>
      <c r="L1480" t="str">
        <f>IF($AS1480="","",INDEX('TMP Paste'!$I$2:$I$1601,$AS1480))</f>
        <v/>
      </c>
      <c r="M1480" t="str">
        <f>IF($AS1480="","",Config!$B$16)</f>
        <v/>
      </c>
      <c r="N1480" t="str">
        <f t="shared" si="138"/>
        <v/>
      </c>
      <c r="O1480" t="str">
        <f>IF($AS1480="","",INDEX('TMP Paste'!$K$2:$K$1601,$AS1480))</f>
        <v/>
      </c>
      <c r="P1480" t="str">
        <f t="shared" si="139"/>
        <v/>
      </c>
      <c r="Q1480" t="str">
        <f>IF($AS1480="","",INDEX('TMP Paste'!$J$2:$J$1601,$AS1480))</f>
        <v/>
      </c>
      <c r="R1480" t="str">
        <f>IF($AS1480="","",Config!$B$24)</f>
        <v/>
      </c>
      <c r="S1480" t="str">
        <f ca="1">IF($AS1480="","",TEXT(Config!$B$4,"yyyy-mm-dd"))</f>
        <v/>
      </c>
      <c r="T1480" t="str">
        <f>IF($AS1480="","",Config!$B$17)</f>
        <v/>
      </c>
      <c r="U1480" t="str">
        <f>IF($AS1480="","",Config!$B$18)</f>
        <v/>
      </c>
      <c r="V1480" t="str">
        <f>IF($AS1480="","",Config!$B$19)</f>
        <v/>
      </c>
      <c r="W1480" t="str">
        <f>IF($AS1480="","",INDEX('TMP Paste'!$C$2:$C$1601,$AS1480))</f>
        <v/>
      </c>
      <c r="X1480" t="str">
        <f>IF($AS1480="","",Config!$B$29)</f>
        <v/>
      </c>
      <c r="Y1480" t="str">
        <f>IF($AT1480="","",INDEX(Calc!$I$2:$I$1601,$AT1480)&amp;" - "&amp;INDEX(Calc!$D$2:$D$1601,$AT1480)&amp;" koli")</f>
        <v/>
      </c>
      <c r="Z1480" t="str">
        <f>IF($AS1480="","",Config!$B$21)</f>
        <v/>
      </c>
      <c r="AA1480" t="str">
        <f>IF($AS1480="","",Config!$B$22)</f>
        <v/>
      </c>
      <c r="AB1480" t="str">
        <f>IF($AT1480="","",INDEX(Calc!$D$2:$D$1601,$AT1480))</f>
        <v/>
      </c>
      <c r="AC1480" t="str">
        <f>IF($AT1480="","",INDEX(Calc!$G$2:$G$1601,$AT1480))</f>
        <v/>
      </c>
      <c r="AD1480" t="str">
        <f>IF($AS1480="","",Config!$B$23)</f>
        <v/>
      </c>
      <c r="AE1480" t="str">
        <f>IF($AS1480="","",Config!$B$28)</f>
        <v/>
      </c>
      <c r="AF1480" t="str">
        <f t="shared" si="140"/>
        <v/>
      </c>
      <c r="AG1480" t="str">
        <f t="shared" si="141"/>
        <v/>
      </c>
      <c r="AH1480" t="str">
        <f t="shared" si="142"/>
        <v/>
      </c>
      <c r="AI1480" t="str">
        <f>IF($AG1480="","",SUMIF($AG$2:$AG1480,$AG1480,$AH$2:$AH1480))</f>
        <v/>
      </c>
      <c r="AJ1480" t="str">
        <f>IF('TMP Paste'!$F1480="","",IF('TMP Paste'!$B1480="",$AJ1479,'TMP Paste'!$B1480))</f>
        <v/>
      </c>
      <c r="AK1480" t="str">
        <f>IF('TMP Paste'!$F1480="","",N('TMP Paste'!$G1480))</f>
        <v/>
      </c>
      <c r="AL1480" t="str">
        <f>IF('TMP Paste'!$F1480="","",IF('TMP Paste'!$M1480="",$AL1479,'TMP Paste'!$M1480))</f>
        <v/>
      </c>
      <c r="AM1480" t="str">
        <f>IF('TMP Paste'!$F1480="","",IF('TMP Paste'!$N1480="",$AM1479,'TMP Paste'!$N1480))</f>
        <v/>
      </c>
      <c r="AN1480" t="str">
        <f>IF('TMP Paste'!$F1480="","",IF('TMP Paste'!$O1480="",$AN1479,'TMP Paste'!$O1480))</f>
        <v/>
      </c>
      <c r="AO1480" t="str">
        <f>IF('TMP Paste'!$F1480="","",IF('TMP Paste'!$P1480="",$AO1479,'TMP Paste'!$P1480))</f>
        <v/>
      </c>
      <c r="AP1480" t="str">
        <f t="shared" si="143"/>
        <v/>
      </c>
      <c r="AQ1480" t="str">
        <f>IF($AS1480="","",TRIM(IF(COUNTIFS(Calc!$B$2:$B$1601,ROW()-1,Calc!$C$2:$C$1601,"&lt;1")&gt;0,"Ada PO tanpa Koli - cek TMP. ","")&amp;IF(OR($AU1480="",$AU1480&lt;=0),"Volume kosong/0 - dimensi dikosongkan. ","")&amp;IF(AND($AU1480&lt;&gt;"",$AU1480&gt;=1000000),"Volume &gt;= 1.000.000 cm3 (di luar aturan) - dimensi dikosongkan. ","")&amp;IF(LEN($R1480)&gt;500,"R &gt; 500 karakter.","")))</f>
        <v/>
      </c>
      <c r="AS1480" t="str">
        <f>IFERROR(MATCH(ROW()-1,Calc!$J$2:$J$1601,0),"")</f>
        <v/>
      </c>
      <c r="AT1480" t="str">
        <f>IFERROR(MATCH(ROW()-1,Calc!$K$2:$K$1601,0),"")</f>
        <v/>
      </c>
      <c r="AU1480" t="str">
        <f>IF($AS1480="","",IFERROR(INDEX('TMP Paste'!$D$2:$D$1601,$AS1480)*1000000/$AB1480,""))</f>
        <v/>
      </c>
    </row>
    <row r="1481" spans="1:47">
      <c r="A1481" t="str">
        <f>IF($AS1481="","",INDEX('TMP Paste'!$B$2:$B$1601,$AS1481))</f>
        <v/>
      </c>
      <c r="B1481" t="str">
        <f>IF($AS1481="","",Config!$B$14)</f>
        <v/>
      </c>
      <c r="C1481" t="str">
        <f>IF($AS1481="","",Config!$B$15)</f>
        <v/>
      </c>
      <c r="D1481" t="str">
        <f>IF($AS1481="","",INDEX('TMP Paste'!$B$2:$B$1601,$AS1481))</f>
        <v/>
      </c>
      <c r="E1481" t="str">
        <f>IF($AS1481="","",Config!$B$27)</f>
        <v/>
      </c>
      <c r="F1481" t="str">
        <f>IF($AS1481="","",Config!$B$9)</f>
        <v/>
      </c>
      <c r="G1481" t="str">
        <f>IF($AS1481="","",Config!$B$10)</f>
        <v/>
      </c>
      <c r="H1481" t="str">
        <f>IF($AS1481="","",Config!$B$11)</f>
        <v/>
      </c>
      <c r="I1481" t="str">
        <f>IF($AS1481="","",Config!$B$16)</f>
        <v/>
      </c>
      <c r="J1481" t="str">
        <f>IF($AS1481="","",INDEX('TMP Paste'!$A$2:$A$1601,$AS1481))</f>
        <v/>
      </c>
      <c r="K1481" t="str">
        <f>IF($AS1481="","",INDEX('TMP Paste'!$L$2:$L$1601,$AS1481))</f>
        <v/>
      </c>
      <c r="L1481" t="str">
        <f>IF($AS1481="","",INDEX('TMP Paste'!$I$2:$I$1601,$AS1481))</f>
        <v/>
      </c>
      <c r="M1481" t="str">
        <f>IF($AS1481="","",Config!$B$16)</f>
        <v/>
      </c>
      <c r="N1481" t="str">
        <f t="shared" si="138"/>
        <v/>
      </c>
      <c r="O1481" t="str">
        <f>IF($AS1481="","",INDEX('TMP Paste'!$K$2:$K$1601,$AS1481))</f>
        <v/>
      </c>
      <c r="P1481" t="str">
        <f t="shared" si="139"/>
        <v/>
      </c>
      <c r="Q1481" t="str">
        <f>IF($AS1481="","",INDEX('TMP Paste'!$J$2:$J$1601,$AS1481))</f>
        <v/>
      </c>
      <c r="R1481" t="str">
        <f>IF($AS1481="","",Config!$B$24)</f>
        <v/>
      </c>
      <c r="S1481" t="str">
        <f ca="1">IF($AS1481="","",TEXT(Config!$B$4,"yyyy-mm-dd"))</f>
        <v/>
      </c>
      <c r="T1481" t="str">
        <f>IF($AS1481="","",Config!$B$17)</f>
        <v/>
      </c>
      <c r="U1481" t="str">
        <f>IF($AS1481="","",Config!$B$18)</f>
        <v/>
      </c>
      <c r="V1481" t="str">
        <f>IF($AS1481="","",Config!$B$19)</f>
        <v/>
      </c>
      <c r="W1481" t="str">
        <f>IF($AS1481="","",INDEX('TMP Paste'!$C$2:$C$1601,$AS1481))</f>
        <v/>
      </c>
      <c r="X1481" t="str">
        <f>IF($AS1481="","",Config!$B$29)</f>
        <v/>
      </c>
      <c r="Y1481" t="str">
        <f>IF($AT1481="","",INDEX(Calc!$I$2:$I$1601,$AT1481)&amp;" - "&amp;INDEX(Calc!$D$2:$D$1601,$AT1481)&amp;" koli")</f>
        <v/>
      </c>
      <c r="Z1481" t="str">
        <f>IF($AS1481="","",Config!$B$21)</f>
        <v/>
      </c>
      <c r="AA1481" t="str">
        <f>IF($AS1481="","",Config!$B$22)</f>
        <v/>
      </c>
      <c r="AB1481" t="str">
        <f>IF($AT1481="","",INDEX(Calc!$D$2:$D$1601,$AT1481))</f>
        <v/>
      </c>
      <c r="AC1481" t="str">
        <f>IF($AT1481="","",INDEX(Calc!$G$2:$G$1601,$AT1481))</f>
        <v/>
      </c>
      <c r="AD1481" t="str">
        <f>IF($AS1481="","",Config!$B$23)</f>
        <v/>
      </c>
      <c r="AE1481" t="str">
        <f>IF($AS1481="","",Config!$B$28)</f>
        <v/>
      </c>
      <c r="AF1481" t="str">
        <f t="shared" si="140"/>
        <v/>
      </c>
      <c r="AG1481" t="str">
        <f t="shared" si="141"/>
        <v/>
      </c>
      <c r="AH1481" t="str">
        <f t="shared" si="142"/>
        <v/>
      </c>
      <c r="AI1481" t="str">
        <f>IF($AG1481="","",SUMIF($AG$2:$AG1481,$AG1481,$AH$2:$AH1481))</f>
        <v/>
      </c>
      <c r="AJ1481" t="str">
        <f>IF('TMP Paste'!$F1481="","",IF('TMP Paste'!$B1481="",$AJ1480,'TMP Paste'!$B1481))</f>
        <v/>
      </c>
      <c r="AK1481" t="str">
        <f>IF('TMP Paste'!$F1481="","",N('TMP Paste'!$G1481))</f>
        <v/>
      </c>
      <c r="AL1481" t="str">
        <f>IF('TMP Paste'!$F1481="","",IF('TMP Paste'!$M1481="",$AL1480,'TMP Paste'!$M1481))</f>
        <v/>
      </c>
      <c r="AM1481" t="str">
        <f>IF('TMP Paste'!$F1481="","",IF('TMP Paste'!$N1481="",$AM1480,'TMP Paste'!$N1481))</f>
        <v/>
      </c>
      <c r="AN1481" t="str">
        <f>IF('TMP Paste'!$F1481="","",IF('TMP Paste'!$O1481="",$AN1480,'TMP Paste'!$O1481))</f>
        <v/>
      </c>
      <c r="AO1481" t="str">
        <f>IF('TMP Paste'!$F1481="","",IF('TMP Paste'!$P1481="",$AO1480,'TMP Paste'!$P1481))</f>
        <v/>
      </c>
      <c r="AP1481" t="str">
        <f t="shared" si="143"/>
        <v/>
      </c>
      <c r="AQ1481" t="str">
        <f>IF($AS1481="","",TRIM(IF(COUNTIFS(Calc!$B$2:$B$1601,ROW()-1,Calc!$C$2:$C$1601,"&lt;1")&gt;0,"Ada PO tanpa Koli - cek TMP. ","")&amp;IF(OR($AU1481="",$AU1481&lt;=0),"Volume kosong/0 - dimensi dikosongkan. ","")&amp;IF(AND($AU1481&lt;&gt;"",$AU1481&gt;=1000000),"Volume &gt;= 1.000.000 cm3 (di luar aturan) - dimensi dikosongkan. ","")&amp;IF(LEN($R1481)&gt;500,"R &gt; 500 karakter.","")))</f>
        <v/>
      </c>
      <c r="AS1481" t="str">
        <f>IFERROR(MATCH(ROW()-1,Calc!$J$2:$J$1601,0),"")</f>
        <v/>
      </c>
      <c r="AT1481" t="str">
        <f>IFERROR(MATCH(ROW()-1,Calc!$K$2:$K$1601,0),"")</f>
        <v/>
      </c>
      <c r="AU1481" t="str">
        <f>IF($AS1481="","",IFERROR(INDEX('TMP Paste'!$D$2:$D$1601,$AS1481)*1000000/$AB1481,""))</f>
        <v/>
      </c>
    </row>
    <row r="1482" spans="1:47">
      <c r="A1482" t="str">
        <f>IF($AS1482="","",INDEX('TMP Paste'!$B$2:$B$1601,$AS1482))</f>
        <v/>
      </c>
      <c r="B1482" t="str">
        <f>IF($AS1482="","",Config!$B$14)</f>
        <v/>
      </c>
      <c r="C1482" t="str">
        <f>IF($AS1482="","",Config!$B$15)</f>
        <v/>
      </c>
      <c r="D1482" t="str">
        <f>IF($AS1482="","",INDEX('TMP Paste'!$B$2:$B$1601,$AS1482))</f>
        <v/>
      </c>
      <c r="E1482" t="str">
        <f>IF($AS1482="","",Config!$B$27)</f>
        <v/>
      </c>
      <c r="F1482" t="str">
        <f>IF($AS1482="","",Config!$B$9)</f>
        <v/>
      </c>
      <c r="G1482" t="str">
        <f>IF($AS1482="","",Config!$B$10)</f>
        <v/>
      </c>
      <c r="H1482" t="str">
        <f>IF($AS1482="","",Config!$B$11)</f>
        <v/>
      </c>
      <c r="I1482" t="str">
        <f>IF($AS1482="","",Config!$B$16)</f>
        <v/>
      </c>
      <c r="J1482" t="str">
        <f>IF($AS1482="","",INDEX('TMP Paste'!$A$2:$A$1601,$AS1482))</f>
        <v/>
      </c>
      <c r="K1482" t="str">
        <f>IF($AS1482="","",INDEX('TMP Paste'!$L$2:$L$1601,$AS1482))</f>
        <v/>
      </c>
      <c r="L1482" t="str">
        <f>IF($AS1482="","",INDEX('TMP Paste'!$I$2:$I$1601,$AS1482))</f>
        <v/>
      </c>
      <c r="M1482" t="str">
        <f>IF($AS1482="","",Config!$B$16)</f>
        <v/>
      </c>
      <c r="N1482" t="str">
        <f t="shared" si="138"/>
        <v/>
      </c>
      <c r="O1482" t="str">
        <f>IF($AS1482="","",INDEX('TMP Paste'!$K$2:$K$1601,$AS1482))</f>
        <v/>
      </c>
      <c r="P1482" t="str">
        <f t="shared" si="139"/>
        <v/>
      </c>
      <c r="Q1482" t="str">
        <f>IF($AS1482="","",INDEX('TMP Paste'!$J$2:$J$1601,$AS1482))</f>
        <v/>
      </c>
      <c r="R1482" t="str">
        <f>IF($AS1482="","",Config!$B$24)</f>
        <v/>
      </c>
      <c r="S1482" t="str">
        <f ca="1">IF($AS1482="","",TEXT(Config!$B$4,"yyyy-mm-dd"))</f>
        <v/>
      </c>
      <c r="T1482" t="str">
        <f>IF($AS1482="","",Config!$B$17)</f>
        <v/>
      </c>
      <c r="U1482" t="str">
        <f>IF($AS1482="","",Config!$B$18)</f>
        <v/>
      </c>
      <c r="V1482" t="str">
        <f>IF($AS1482="","",Config!$B$19)</f>
        <v/>
      </c>
      <c r="W1482" t="str">
        <f>IF($AS1482="","",INDEX('TMP Paste'!$C$2:$C$1601,$AS1482))</f>
        <v/>
      </c>
      <c r="X1482" t="str">
        <f>IF($AS1482="","",Config!$B$29)</f>
        <v/>
      </c>
      <c r="Y1482" t="str">
        <f>IF($AT1482="","",INDEX(Calc!$I$2:$I$1601,$AT1482)&amp;" - "&amp;INDEX(Calc!$D$2:$D$1601,$AT1482)&amp;" koli")</f>
        <v/>
      </c>
      <c r="Z1482" t="str">
        <f>IF($AS1482="","",Config!$B$21)</f>
        <v/>
      </c>
      <c r="AA1482" t="str">
        <f>IF($AS1482="","",Config!$B$22)</f>
        <v/>
      </c>
      <c r="AB1482" t="str">
        <f>IF($AT1482="","",INDEX(Calc!$D$2:$D$1601,$AT1482))</f>
        <v/>
      </c>
      <c r="AC1482" t="str">
        <f>IF($AT1482="","",INDEX(Calc!$G$2:$G$1601,$AT1482))</f>
        <v/>
      </c>
      <c r="AD1482" t="str">
        <f>IF($AS1482="","",Config!$B$23)</f>
        <v/>
      </c>
      <c r="AE1482" t="str">
        <f>IF($AS1482="","",Config!$B$28)</f>
        <v/>
      </c>
      <c r="AF1482" t="str">
        <f t="shared" si="140"/>
        <v/>
      </c>
      <c r="AG1482" t="str">
        <f t="shared" si="141"/>
        <v/>
      </c>
      <c r="AH1482" t="str">
        <f t="shared" si="142"/>
        <v/>
      </c>
      <c r="AI1482" t="str">
        <f>IF($AG1482="","",SUMIF($AG$2:$AG1482,$AG1482,$AH$2:$AH1482))</f>
        <v/>
      </c>
      <c r="AJ1482" t="str">
        <f>IF('TMP Paste'!$F1482="","",IF('TMP Paste'!$B1482="",$AJ1481,'TMP Paste'!$B1482))</f>
        <v/>
      </c>
      <c r="AK1482" t="str">
        <f>IF('TMP Paste'!$F1482="","",N('TMP Paste'!$G1482))</f>
        <v/>
      </c>
      <c r="AL1482" t="str">
        <f>IF('TMP Paste'!$F1482="","",IF('TMP Paste'!$M1482="",$AL1481,'TMP Paste'!$M1482))</f>
        <v/>
      </c>
      <c r="AM1482" t="str">
        <f>IF('TMP Paste'!$F1482="","",IF('TMP Paste'!$N1482="",$AM1481,'TMP Paste'!$N1482))</f>
        <v/>
      </c>
      <c r="AN1482" t="str">
        <f>IF('TMP Paste'!$F1482="","",IF('TMP Paste'!$O1482="",$AN1481,'TMP Paste'!$O1482))</f>
        <v/>
      </c>
      <c r="AO1482" t="str">
        <f>IF('TMP Paste'!$F1482="","",IF('TMP Paste'!$P1482="",$AO1481,'TMP Paste'!$P1482))</f>
        <v/>
      </c>
      <c r="AP1482" t="str">
        <f t="shared" si="143"/>
        <v/>
      </c>
      <c r="AQ1482" t="str">
        <f>IF($AS1482="","",TRIM(IF(COUNTIFS(Calc!$B$2:$B$1601,ROW()-1,Calc!$C$2:$C$1601,"&lt;1")&gt;0,"Ada PO tanpa Koli - cek TMP. ","")&amp;IF(OR($AU1482="",$AU1482&lt;=0),"Volume kosong/0 - dimensi dikosongkan. ","")&amp;IF(AND($AU1482&lt;&gt;"",$AU1482&gt;=1000000),"Volume &gt;= 1.000.000 cm3 (di luar aturan) - dimensi dikosongkan. ","")&amp;IF(LEN($R1482)&gt;500,"R &gt; 500 karakter.","")))</f>
        <v/>
      </c>
      <c r="AS1482" t="str">
        <f>IFERROR(MATCH(ROW()-1,Calc!$J$2:$J$1601,0),"")</f>
        <v/>
      </c>
      <c r="AT1482" t="str">
        <f>IFERROR(MATCH(ROW()-1,Calc!$K$2:$K$1601,0),"")</f>
        <v/>
      </c>
      <c r="AU1482" t="str">
        <f>IF($AS1482="","",IFERROR(INDEX('TMP Paste'!$D$2:$D$1601,$AS1482)*1000000/$AB1482,""))</f>
        <v/>
      </c>
    </row>
    <row r="1483" spans="1:47">
      <c r="A1483" t="str">
        <f>IF($AS1483="","",INDEX('TMP Paste'!$B$2:$B$1601,$AS1483))</f>
        <v/>
      </c>
      <c r="B1483" t="str">
        <f>IF($AS1483="","",Config!$B$14)</f>
        <v/>
      </c>
      <c r="C1483" t="str">
        <f>IF($AS1483="","",Config!$B$15)</f>
        <v/>
      </c>
      <c r="D1483" t="str">
        <f>IF($AS1483="","",INDEX('TMP Paste'!$B$2:$B$1601,$AS1483))</f>
        <v/>
      </c>
      <c r="E1483" t="str">
        <f>IF($AS1483="","",Config!$B$27)</f>
        <v/>
      </c>
      <c r="F1483" t="str">
        <f>IF($AS1483="","",Config!$B$9)</f>
        <v/>
      </c>
      <c r="G1483" t="str">
        <f>IF($AS1483="","",Config!$B$10)</f>
        <v/>
      </c>
      <c r="H1483" t="str">
        <f>IF($AS1483="","",Config!$B$11)</f>
        <v/>
      </c>
      <c r="I1483" t="str">
        <f>IF($AS1483="","",Config!$B$16)</f>
        <v/>
      </c>
      <c r="J1483" t="str">
        <f>IF($AS1483="","",INDEX('TMP Paste'!$A$2:$A$1601,$AS1483))</f>
        <v/>
      </c>
      <c r="K1483" t="str">
        <f>IF($AS1483="","",INDEX('TMP Paste'!$L$2:$L$1601,$AS1483))</f>
        <v/>
      </c>
      <c r="L1483" t="str">
        <f>IF($AS1483="","",INDEX('TMP Paste'!$I$2:$I$1601,$AS1483))</f>
        <v/>
      </c>
      <c r="M1483" t="str">
        <f>IF($AS1483="","",Config!$B$16)</f>
        <v/>
      </c>
      <c r="N1483" t="str">
        <f t="shared" si="138"/>
        <v/>
      </c>
      <c r="O1483" t="str">
        <f>IF($AS1483="","",INDEX('TMP Paste'!$K$2:$K$1601,$AS1483))</f>
        <v/>
      </c>
      <c r="P1483" t="str">
        <f t="shared" si="139"/>
        <v/>
      </c>
      <c r="Q1483" t="str">
        <f>IF($AS1483="","",INDEX('TMP Paste'!$J$2:$J$1601,$AS1483))</f>
        <v/>
      </c>
      <c r="R1483" t="str">
        <f>IF($AS1483="","",Config!$B$24)</f>
        <v/>
      </c>
      <c r="S1483" t="str">
        <f ca="1">IF($AS1483="","",TEXT(Config!$B$4,"yyyy-mm-dd"))</f>
        <v/>
      </c>
      <c r="T1483" t="str">
        <f>IF($AS1483="","",Config!$B$17)</f>
        <v/>
      </c>
      <c r="U1483" t="str">
        <f>IF($AS1483="","",Config!$B$18)</f>
        <v/>
      </c>
      <c r="V1483" t="str">
        <f>IF($AS1483="","",Config!$B$19)</f>
        <v/>
      </c>
      <c r="W1483" t="str">
        <f>IF($AS1483="","",INDEX('TMP Paste'!$C$2:$C$1601,$AS1483))</f>
        <v/>
      </c>
      <c r="X1483" t="str">
        <f>IF($AS1483="","",Config!$B$29)</f>
        <v/>
      </c>
      <c r="Y1483" t="str">
        <f>IF($AT1483="","",INDEX(Calc!$I$2:$I$1601,$AT1483)&amp;" - "&amp;INDEX(Calc!$D$2:$D$1601,$AT1483)&amp;" koli")</f>
        <v/>
      </c>
      <c r="Z1483" t="str">
        <f>IF($AS1483="","",Config!$B$21)</f>
        <v/>
      </c>
      <c r="AA1483" t="str">
        <f>IF($AS1483="","",Config!$B$22)</f>
        <v/>
      </c>
      <c r="AB1483" t="str">
        <f>IF($AT1483="","",INDEX(Calc!$D$2:$D$1601,$AT1483))</f>
        <v/>
      </c>
      <c r="AC1483" t="str">
        <f>IF($AT1483="","",INDEX(Calc!$G$2:$G$1601,$AT1483))</f>
        <v/>
      </c>
      <c r="AD1483" t="str">
        <f>IF($AS1483="","",Config!$B$23)</f>
        <v/>
      </c>
      <c r="AE1483" t="str">
        <f>IF($AS1483="","",Config!$B$28)</f>
        <v/>
      </c>
      <c r="AF1483" t="str">
        <f t="shared" si="140"/>
        <v/>
      </c>
      <c r="AG1483" t="str">
        <f t="shared" si="141"/>
        <v/>
      </c>
      <c r="AH1483" t="str">
        <f t="shared" si="142"/>
        <v/>
      </c>
      <c r="AI1483" t="str">
        <f>IF($AG1483="","",SUMIF($AG$2:$AG1483,$AG1483,$AH$2:$AH1483))</f>
        <v/>
      </c>
      <c r="AJ1483" t="str">
        <f>IF('TMP Paste'!$F1483="","",IF('TMP Paste'!$B1483="",$AJ1482,'TMP Paste'!$B1483))</f>
        <v/>
      </c>
      <c r="AK1483" t="str">
        <f>IF('TMP Paste'!$F1483="","",N('TMP Paste'!$G1483))</f>
        <v/>
      </c>
      <c r="AL1483" t="str">
        <f>IF('TMP Paste'!$F1483="","",IF('TMP Paste'!$M1483="",$AL1482,'TMP Paste'!$M1483))</f>
        <v/>
      </c>
      <c r="AM1483" t="str">
        <f>IF('TMP Paste'!$F1483="","",IF('TMP Paste'!$N1483="",$AM1482,'TMP Paste'!$N1483))</f>
        <v/>
      </c>
      <c r="AN1483" t="str">
        <f>IF('TMP Paste'!$F1483="","",IF('TMP Paste'!$O1483="",$AN1482,'TMP Paste'!$O1483))</f>
        <v/>
      </c>
      <c r="AO1483" t="str">
        <f>IF('TMP Paste'!$F1483="","",IF('TMP Paste'!$P1483="",$AO1482,'TMP Paste'!$P1483))</f>
        <v/>
      </c>
      <c r="AP1483" t="str">
        <f t="shared" si="143"/>
        <v/>
      </c>
      <c r="AQ1483" t="str">
        <f>IF($AS1483="","",TRIM(IF(COUNTIFS(Calc!$B$2:$B$1601,ROW()-1,Calc!$C$2:$C$1601,"&lt;1")&gt;0,"Ada PO tanpa Koli - cek TMP. ","")&amp;IF(OR($AU1483="",$AU1483&lt;=0),"Volume kosong/0 - dimensi dikosongkan. ","")&amp;IF(AND($AU1483&lt;&gt;"",$AU1483&gt;=1000000),"Volume &gt;= 1.000.000 cm3 (di luar aturan) - dimensi dikosongkan. ","")&amp;IF(LEN($R1483)&gt;500,"R &gt; 500 karakter.","")))</f>
        <v/>
      </c>
      <c r="AS1483" t="str">
        <f>IFERROR(MATCH(ROW()-1,Calc!$J$2:$J$1601,0),"")</f>
        <v/>
      </c>
      <c r="AT1483" t="str">
        <f>IFERROR(MATCH(ROW()-1,Calc!$K$2:$K$1601,0),"")</f>
        <v/>
      </c>
      <c r="AU1483" t="str">
        <f>IF($AS1483="","",IFERROR(INDEX('TMP Paste'!$D$2:$D$1601,$AS1483)*1000000/$AB1483,""))</f>
        <v/>
      </c>
    </row>
    <row r="1484" spans="1:47">
      <c r="A1484" t="str">
        <f>IF($AS1484="","",INDEX('TMP Paste'!$B$2:$B$1601,$AS1484))</f>
        <v/>
      </c>
      <c r="B1484" t="str">
        <f>IF($AS1484="","",Config!$B$14)</f>
        <v/>
      </c>
      <c r="C1484" t="str">
        <f>IF($AS1484="","",Config!$B$15)</f>
        <v/>
      </c>
      <c r="D1484" t="str">
        <f>IF($AS1484="","",INDEX('TMP Paste'!$B$2:$B$1601,$AS1484))</f>
        <v/>
      </c>
      <c r="E1484" t="str">
        <f>IF($AS1484="","",Config!$B$27)</f>
        <v/>
      </c>
      <c r="F1484" t="str">
        <f>IF($AS1484="","",Config!$B$9)</f>
        <v/>
      </c>
      <c r="G1484" t="str">
        <f>IF($AS1484="","",Config!$B$10)</f>
        <v/>
      </c>
      <c r="H1484" t="str">
        <f>IF($AS1484="","",Config!$B$11)</f>
        <v/>
      </c>
      <c r="I1484" t="str">
        <f>IF($AS1484="","",Config!$B$16)</f>
        <v/>
      </c>
      <c r="J1484" t="str">
        <f>IF($AS1484="","",INDEX('TMP Paste'!$A$2:$A$1601,$AS1484))</f>
        <v/>
      </c>
      <c r="K1484" t="str">
        <f>IF($AS1484="","",INDEX('TMP Paste'!$L$2:$L$1601,$AS1484))</f>
        <v/>
      </c>
      <c r="L1484" t="str">
        <f>IF($AS1484="","",INDEX('TMP Paste'!$I$2:$I$1601,$AS1484))</f>
        <v/>
      </c>
      <c r="M1484" t="str">
        <f>IF($AS1484="","",Config!$B$16)</f>
        <v/>
      </c>
      <c r="N1484" t="str">
        <f t="shared" si="138"/>
        <v/>
      </c>
      <c r="O1484" t="str">
        <f>IF($AS1484="","",INDEX('TMP Paste'!$K$2:$K$1601,$AS1484))</f>
        <v/>
      </c>
      <c r="P1484" t="str">
        <f t="shared" si="139"/>
        <v/>
      </c>
      <c r="Q1484" t="str">
        <f>IF($AS1484="","",INDEX('TMP Paste'!$J$2:$J$1601,$AS1484))</f>
        <v/>
      </c>
      <c r="R1484" t="str">
        <f>IF($AS1484="","",Config!$B$24)</f>
        <v/>
      </c>
      <c r="S1484" t="str">
        <f ca="1">IF($AS1484="","",TEXT(Config!$B$4,"yyyy-mm-dd"))</f>
        <v/>
      </c>
      <c r="T1484" t="str">
        <f>IF($AS1484="","",Config!$B$17)</f>
        <v/>
      </c>
      <c r="U1484" t="str">
        <f>IF($AS1484="","",Config!$B$18)</f>
        <v/>
      </c>
      <c r="V1484" t="str">
        <f>IF($AS1484="","",Config!$B$19)</f>
        <v/>
      </c>
      <c r="W1484" t="str">
        <f>IF($AS1484="","",INDEX('TMP Paste'!$C$2:$C$1601,$AS1484))</f>
        <v/>
      </c>
      <c r="X1484" t="str">
        <f>IF($AS1484="","",Config!$B$29)</f>
        <v/>
      </c>
      <c r="Y1484" t="str">
        <f>IF($AT1484="","",INDEX(Calc!$I$2:$I$1601,$AT1484)&amp;" - "&amp;INDEX(Calc!$D$2:$D$1601,$AT1484)&amp;" koli")</f>
        <v/>
      </c>
      <c r="Z1484" t="str">
        <f>IF($AS1484="","",Config!$B$21)</f>
        <v/>
      </c>
      <c r="AA1484" t="str">
        <f>IF($AS1484="","",Config!$B$22)</f>
        <v/>
      </c>
      <c r="AB1484" t="str">
        <f>IF($AT1484="","",INDEX(Calc!$D$2:$D$1601,$AT1484))</f>
        <v/>
      </c>
      <c r="AC1484" t="str">
        <f>IF($AT1484="","",INDEX(Calc!$G$2:$G$1601,$AT1484))</f>
        <v/>
      </c>
      <c r="AD1484" t="str">
        <f>IF($AS1484="","",Config!$B$23)</f>
        <v/>
      </c>
      <c r="AE1484" t="str">
        <f>IF($AS1484="","",Config!$B$28)</f>
        <v/>
      </c>
      <c r="AF1484" t="str">
        <f t="shared" si="140"/>
        <v/>
      </c>
      <c r="AG1484" t="str">
        <f t="shared" si="141"/>
        <v/>
      </c>
      <c r="AH1484" t="str">
        <f t="shared" si="142"/>
        <v/>
      </c>
      <c r="AI1484" t="str">
        <f>IF($AG1484="","",SUMIF($AG$2:$AG1484,$AG1484,$AH$2:$AH1484))</f>
        <v/>
      </c>
      <c r="AJ1484" t="str">
        <f>IF('TMP Paste'!$F1484="","",IF('TMP Paste'!$B1484="",$AJ1483,'TMP Paste'!$B1484))</f>
        <v/>
      </c>
      <c r="AK1484" t="str">
        <f>IF('TMP Paste'!$F1484="","",N('TMP Paste'!$G1484))</f>
        <v/>
      </c>
      <c r="AL1484" t="str">
        <f>IF('TMP Paste'!$F1484="","",IF('TMP Paste'!$M1484="",$AL1483,'TMP Paste'!$M1484))</f>
        <v/>
      </c>
      <c r="AM1484" t="str">
        <f>IF('TMP Paste'!$F1484="","",IF('TMP Paste'!$N1484="",$AM1483,'TMP Paste'!$N1484))</f>
        <v/>
      </c>
      <c r="AN1484" t="str">
        <f>IF('TMP Paste'!$F1484="","",IF('TMP Paste'!$O1484="",$AN1483,'TMP Paste'!$O1484))</f>
        <v/>
      </c>
      <c r="AO1484" t="str">
        <f>IF('TMP Paste'!$F1484="","",IF('TMP Paste'!$P1484="",$AO1483,'TMP Paste'!$P1484))</f>
        <v/>
      </c>
      <c r="AP1484" t="str">
        <f t="shared" si="143"/>
        <v/>
      </c>
      <c r="AQ1484" t="str">
        <f>IF($AS1484="","",TRIM(IF(COUNTIFS(Calc!$B$2:$B$1601,ROW()-1,Calc!$C$2:$C$1601,"&lt;1")&gt;0,"Ada PO tanpa Koli - cek TMP. ","")&amp;IF(OR($AU1484="",$AU1484&lt;=0),"Volume kosong/0 - dimensi dikosongkan. ","")&amp;IF(AND($AU1484&lt;&gt;"",$AU1484&gt;=1000000),"Volume &gt;= 1.000.000 cm3 (di luar aturan) - dimensi dikosongkan. ","")&amp;IF(LEN($R1484)&gt;500,"R &gt; 500 karakter.","")))</f>
        <v/>
      </c>
      <c r="AS1484" t="str">
        <f>IFERROR(MATCH(ROW()-1,Calc!$J$2:$J$1601,0),"")</f>
        <v/>
      </c>
      <c r="AT1484" t="str">
        <f>IFERROR(MATCH(ROW()-1,Calc!$K$2:$K$1601,0),"")</f>
        <v/>
      </c>
      <c r="AU1484" t="str">
        <f>IF($AS1484="","",IFERROR(INDEX('TMP Paste'!$D$2:$D$1601,$AS1484)*1000000/$AB1484,""))</f>
        <v/>
      </c>
    </row>
    <row r="1485" spans="1:47">
      <c r="A1485" t="str">
        <f>IF($AS1485="","",INDEX('TMP Paste'!$B$2:$B$1601,$AS1485))</f>
        <v/>
      </c>
      <c r="B1485" t="str">
        <f>IF($AS1485="","",Config!$B$14)</f>
        <v/>
      </c>
      <c r="C1485" t="str">
        <f>IF($AS1485="","",Config!$B$15)</f>
        <v/>
      </c>
      <c r="D1485" t="str">
        <f>IF($AS1485="","",INDEX('TMP Paste'!$B$2:$B$1601,$AS1485))</f>
        <v/>
      </c>
      <c r="E1485" t="str">
        <f>IF($AS1485="","",Config!$B$27)</f>
        <v/>
      </c>
      <c r="F1485" t="str">
        <f>IF($AS1485="","",Config!$B$9)</f>
        <v/>
      </c>
      <c r="G1485" t="str">
        <f>IF($AS1485="","",Config!$B$10)</f>
        <v/>
      </c>
      <c r="H1485" t="str">
        <f>IF($AS1485="","",Config!$B$11)</f>
        <v/>
      </c>
      <c r="I1485" t="str">
        <f>IF($AS1485="","",Config!$B$16)</f>
        <v/>
      </c>
      <c r="J1485" t="str">
        <f>IF($AS1485="","",INDEX('TMP Paste'!$A$2:$A$1601,$AS1485))</f>
        <v/>
      </c>
      <c r="K1485" t="str">
        <f>IF($AS1485="","",INDEX('TMP Paste'!$L$2:$L$1601,$AS1485))</f>
        <v/>
      </c>
      <c r="L1485" t="str">
        <f>IF($AS1485="","",INDEX('TMP Paste'!$I$2:$I$1601,$AS1485))</f>
        <v/>
      </c>
      <c r="M1485" t="str">
        <f>IF($AS1485="","",Config!$B$16)</f>
        <v/>
      </c>
      <c r="N1485" t="str">
        <f t="shared" si="138"/>
        <v/>
      </c>
      <c r="O1485" t="str">
        <f>IF($AS1485="","",INDEX('TMP Paste'!$K$2:$K$1601,$AS1485))</f>
        <v/>
      </c>
      <c r="P1485" t="str">
        <f t="shared" si="139"/>
        <v/>
      </c>
      <c r="Q1485" t="str">
        <f>IF($AS1485="","",INDEX('TMP Paste'!$J$2:$J$1601,$AS1485))</f>
        <v/>
      </c>
      <c r="R1485" t="str">
        <f>IF($AS1485="","",Config!$B$24)</f>
        <v/>
      </c>
      <c r="S1485" t="str">
        <f ca="1">IF($AS1485="","",TEXT(Config!$B$4,"yyyy-mm-dd"))</f>
        <v/>
      </c>
      <c r="T1485" t="str">
        <f>IF($AS1485="","",Config!$B$17)</f>
        <v/>
      </c>
      <c r="U1485" t="str">
        <f>IF($AS1485="","",Config!$B$18)</f>
        <v/>
      </c>
      <c r="V1485" t="str">
        <f>IF($AS1485="","",Config!$B$19)</f>
        <v/>
      </c>
      <c r="W1485" t="str">
        <f>IF($AS1485="","",INDEX('TMP Paste'!$C$2:$C$1601,$AS1485))</f>
        <v/>
      </c>
      <c r="X1485" t="str">
        <f>IF($AS1485="","",Config!$B$29)</f>
        <v/>
      </c>
      <c r="Y1485" t="str">
        <f>IF($AT1485="","",INDEX(Calc!$I$2:$I$1601,$AT1485)&amp;" - "&amp;INDEX(Calc!$D$2:$D$1601,$AT1485)&amp;" koli")</f>
        <v/>
      </c>
      <c r="Z1485" t="str">
        <f>IF($AS1485="","",Config!$B$21)</f>
        <v/>
      </c>
      <c r="AA1485" t="str">
        <f>IF($AS1485="","",Config!$B$22)</f>
        <v/>
      </c>
      <c r="AB1485" t="str">
        <f>IF($AT1485="","",INDEX(Calc!$D$2:$D$1601,$AT1485))</f>
        <v/>
      </c>
      <c r="AC1485" t="str">
        <f>IF($AT1485="","",INDEX(Calc!$G$2:$G$1601,$AT1485))</f>
        <v/>
      </c>
      <c r="AD1485" t="str">
        <f>IF($AS1485="","",Config!$B$23)</f>
        <v/>
      </c>
      <c r="AE1485" t="str">
        <f>IF($AS1485="","",Config!$B$28)</f>
        <v/>
      </c>
      <c r="AF1485" t="str">
        <f t="shared" si="140"/>
        <v/>
      </c>
      <c r="AG1485" t="str">
        <f t="shared" si="141"/>
        <v/>
      </c>
      <c r="AH1485" t="str">
        <f t="shared" si="142"/>
        <v/>
      </c>
      <c r="AI1485" t="str">
        <f>IF($AG1485="","",SUMIF($AG$2:$AG1485,$AG1485,$AH$2:$AH1485))</f>
        <v/>
      </c>
      <c r="AJ1485" t="str">
        <f>IF('TMP Paste'!$F1485="","",IF('TMP Paste'!$B1485="",$AJ1484,'TMP Paste'!$B1485))</f>
        <v/>
      </c>
      <c r="AK1485" t="str">
        <f>IF('TMP Paste'!$F1485="","",N('TMP Paste'!$G1485))</f>
        <v/>
      </c>
      <c r="AL1485" t="str">
        <f>IF('TMP Paste'!$F1485="","",IF('TMP Paste'!$M1485="",$AL1484,'TMP Paste'!$M1485))</f>
        <v/>
      </c>
      <c r="AM1485" t="str">
        <f>IF('TMP Paste'!$F1485="","",IF('TMP Paste'!$N1485="",$AM1484,'TMP Paste'!$N1485))</f>
        <v/>
      </c>
      <c r="AN1485" t="str">
        <f>IF('TMP Paste'!$F1485="","",IF('TMP Paste'!$O1485="",$AN1484,'TMP Paste'!$O1485))</f>
        <v/>
      </c>
      <c r="AO1485" t="str">
        <f>IF('TMP Paste'!$F1485="","",IF('TMP Paste'!$P1485="",$AO1484,'TMP Paste'!$P1485))</f>
        <v/>
      </c>
      <c r="AP1485" t="str">
        <f t="shared" si="143"/>
        <v/>
      </c>
      <c r="AQ1485" t="str">
        <f>IF($AS1485="","",TRIM(IF(COUNTIFS(Calc!$B$2:$B$1601,ROW()-1,Calc!$C$2:$C$1601,"&lt;1")&gt;0,"Ada PO tanpa Koli - cek TMP. ","")&amp;IF(OR($AU1485="",$AU1485&lt;=0),"Volume kosong/0 - dimensi dikosongkan. ","")&amp;IF(AND($AU1485&lt;&gt;"",$AU1485&gt;=1000000),"Volume &gt;= 1.000.000 cm3 (di luar aturan) - dimensi dikosongkan. ","")&amp;IF(LEN($R1485)&gt;500,"R &gt; 500 karakter.","")))</f>
        <v/>
      </c>
      <c r="AS1485" t="str">
        <f>IFERROR(MATCH(ROW()-1,Calc!$J$2:$J$1601,0),"")</f>
        <v/>
      </c>
      <c r="AT1485" t="str">
        <f>IFERROR(MATCH(ROW()-1,Calc!$K$2:$K$1601,0),"")</f>
        <v/>
      </c>
      <c r="AU1485" t="str">
        <f>IF($AS1485="","",IFERROR(INDEX('TMP Paste'!$D$2:$D$1601,$AS1485)*1000000/$AB1485,""))</f>
        <v/>
      </c>
    </row>
    <row r="1486" spans="1:47">
      <c r="A1486" t="str">
        <f>IF($AS1486="","",INDEX('TMP Paste'!$B$2:$B$1601,$AS1486))</f>
        <v/>
      </c>
      <c r="B1486" t="str">
        <f>IF($AS1486="","",Config!$B$14)</f>
        <v/>
      </c>
      <c r="C1486" t="str">
        <f>IF($AS1486="","",Config!$B$15)</f>
        <v/>
      </c>
      <c r="D1486" t="str">
        <f>IF($AS1486="","",INDEX('TMP Paste'!$B$2:$B$1601,$AS1486))</f>
        <v/>
      </c>
      <c r="E1486" t="str">
        <f>IF($AS1486="","",Config!$B$27)</f>
        <v/>
      </c>
      <c r="F1486" t="str">
        <f>IF($AS1486="","",Config!$B$9)</f>
        <v/>
      </c>
      <c r="G1486" t="str">
        <f>IF($AS1486="","",Config!$B$10)</f>
        <v/>
      </c>
      <c r="H1486" t="str">
        <f>IF($AS1486="","",Config!$B$11)</f>
        <v/>
      </c>
      <c r="I1486" t="str">
        <f>IF($AS1486="","",Config!$B$16)</f>
        <v/>
      </c>
      <c r="J1486" t="str">
        <f>IF($AS1486="","",INDEX('TMP Paste'!$A$2:$A$1601,$AS1486))</f>
        <v/>
      </c>
      <c r="K1486" t="str">
        <f>IF($AS1486="","",INDEX('TMP Paste'!$L$2:$L$1601,$AS1486))</f>
        <v/>
      </c>
      <c r="L1486" t="str">
        <f>IF($AS1486="","",INDEX('TMP Paste'!$I$2:$I$1601,$AS1486))</f>
        <v/>
      </c>
      <c r="M1486" t="str">
        <f>IF($AS1486="","",Config!$B$16)</f>
        <v/>
      </c>
      <c r="N1486" t="str">
        <f t="shared" si="138"/>
        <v/>
      </c>
      <c r="O1486" t="str">
        <f>IF($AS1486="","",INDEX('TMP Paste'!$K$2:$K$1601,$AS1486))</f>
        <v/>
      </c>
      <c r="P1486" t="str">
        <f t="shared" si="139"/>
        <v/>
      </c>
      <c r="Q1486" t="str">
        <f>IF($AS1486="","",INDEX('TMP Paste'!$J$2:$J$1601,$AS1486))</f>
        <v/>
      </c>
      <c r="R1486" t="str">
        <f>IF($AS1486="","",Config!$B$24)</f>
        <v/>
      </c>
      <c r="S1486" t="str">
        <f ca="1">IF($AS1486="","",TEXT(Config!$B$4,"yyyy-mm-dd"))</f>
        <v/>
      </c>
      <c r="T1486" t="str">
        <f>IF($AS1486="","",Config!$B$17)</f>
        <v/>
      </c>
      <c r="U1486" t="str">
        <f>IF($AS1486="","",Config!$B$18)</f>
        <v/>
      </c>
      <c r="V1486" t="str">
        <f>IF($AS1486="","",Config!$B$19)</f>
        <v/>
      </c>
      <c r="W1486" t="str">
        <f>IF($AS1486="","",INDEX('TMP Paste'!$C$2:$C$1601,$AS1486))</f>
        <v/>
      </c>
      <c r="X1486" t="str">
        <f>IF($AS1486="","",Config!$B$29)</f>
        <v/>
      </c>
      <c r="Y1486" t="str">
        <f>IF($AT1486="","",INDEX(Calc!$I$2:$I$1601,$AT1486)&amp;" - "&amp;INDEX(Calc!$D$2:$D$1601,$AT1486)&amp;" koli")</f>
        <v/>
      </c>
      <c r="Z1486" t="str">
        <f>IF($AS1486="","",Config!$B$21)</f>
        <v/>
      </c>
      <c r="AA1486" t="str">
        <f>IF($AS1486="","",Config!$B$22)</f>
        <v/>
      </c>
      <c r="AB1486" t="str">
        <f>IF($AT1486="","",INDEX(Calc!$D$2:$D$1601,$AT1486))</f>
        <v/>
      </c>
      <c r="AC1486" t="str">
        <f>IF($AT1486="","",INDEX(Calc!$G$2:$G$1601,$AT1486))</f>
        <v/>
      </c>
      <c r="AD1486" t="str">
        <f>IF($AS1486="","",Config!$B$23)</f>
        <v/>
      </c>
      <c r="AE1486" t="str">
        <f>IF($AS1486="","",Config!$B$28)</f>
        <v/>
      </c>
      <c r="AF1486" t="str">
        <f t="shared" si="140"/>
        <v/>
      </c>
      <c r="AG1486" t="str">
        <f t="shared" si="141"/>
        <v/>
      </c>
      <c r="AH1486" t="str">
        <f t="shared" si="142"/>
        <v/>
      </c>
      <c r="AI1486" t="str">
        <f>IF($AG1486="","",SUMIF($AG$2:$AG1486,$AG1486,$AH$2:$AH1486))</f>
        <v/>
      </c>
      <c r="AJ1486" t="str">
        <f>IF('TMP Paste'!$F1486="","",IF('TMP Paste'!$B1486="",$AJ1485,'TMP Paste'!$B1486))</f>
        <v/>
      </c>
      <c r="AK1486" t="str">
        <f>IF('TMP Paste'!$F1486="","",N('TMP Paste'!$G1486))</f>
        <v/>
      </c>
      <c r="AL1486" t="str">
        <f>IF('TMP Paste'!$F1486="","",IF('TMP Paste'!$M1486="",$AL1485,'TMP Paste'!$M1486))</f>
        <v/>
      </c>
      <c r="AM1486" t="str">
        <f>IF('TMP Paste'!$F1486="","",IF('TMP Paste'!$N1486="",$AM1485,'TMP Paste'!$N1486))</f>
        <v/>
      </c>
      <c r="AN1486" t="str">
        <f>IF('TMP Paste'!$F1486="","",IF('TMP Paste'!$O1486="",$AN1485,'TMP Paste'!$O1486))</f>
        <v/>
      </c>
      <c r="AO1486" t="str">
        <f>IF('TMP Paste'!$F1486="","",IF('TMP Paste'!$P1486="",$AO1485,'TMP Paste'!$P1486))</f>
        <v/>
      </c>
      <c r="AP1486" t="str">
        <f t="shared" si="143"/>
        <v/>
      </c>
      <c r="AQ1486" t="str">
        <f>IF($AS1486="","",TRIM(IF(COUNTIFS(Calc!$B$2:$B$1601,ROW()-1,Calc!$C$2:$C$1601,"&lt;1")&gt;0,"Ada PO tanpa Koli - cek TMP. ","")&amp;IF(OR($AU1486="",$AU1486&lt;=0),"Volume kosong/0 - dimensi dikosongkan. ","")&amp;IF(AND($AU1486&lt;&gt;"",$AU1486&gt;=1000000),"Volume &gt;= 1.000.000 cm3 (di luar aturan) - dimensi dikosongkan. ","")&amp;IF(LEN($R1486)&gt;500,"R &gt; 500 karakter.","")))</f>
        <v/>
      </c>
      <c r="AS1486" t="str">
        <f>IFERROR(MATCH(ROW()-1,Calc!$J$2:$J$1601,0),"")</f>
        <v/>
      </c>
      <c r="AT1486" t="str">
        <f>IFERROR(MATCH(ROW()-1,Calc!$K$2:$K$1601,0),"")</f>
        <v/>
      </c>
      <c r="AU1486" t="str">
        <f>IF($AS1486="","",IFERROR(INDEX('TMP Paste'!$D$2:$D$1601,$AS1486)*1000000/$AB1486,""))</f>
        <v/>
      </c>
    </row>
    <row r="1487" spans="1:47">
      <c r="A1487" t="str">
        <f>IF($AS1487="","",INDEX('TMP Paste'!$B$2:$B$1601,$AS1487))</f>
        <v/>
      </c>
      <c r="B1487" t="str">
        <f>IF($AS1487="","",Config!$B$14)</f>
        <v/>
      </c>
      <c r="C1487" t="str">
        <f>IF($AS1487="","",Config!$B$15)</f>
        <v/>
      </c>
      <c r="D1487" t="str">
        <f>IF($AS1487="","",INDEX('TMP Paste'!$B$2:$B$1601,$AS1487))</f>
        <v/>
      </c>
      <c r="E1487" t="str">
        <f>IF($AS1487="","",Config!$B$27)</f>
        <v/>
      </c>
      <c r="F1487" t="str">
        <f>IF($AS1487="","",Config!$B$9)</f>
        <v/>
      </c>
      <c r="G1487" t="str">
        <f>IF($AS1487="","",Config!$B$10)</f>
        <v/>
      </c>
      <c r="H1487" t="str">
        <f>IF($AS1487="","",Config!$B$11)</f>
        <v/>
      </c>
      <c r="I1487" t="str">
        <f>IF($AS1487="","",Config!$B$16)</f>
        <v/>
      </c>
      <c r="J1487" t="str">
        <f>IF($AS1487="","",INDEX('TMP Paste'!$A$2:$A$1601,$AS1487))</f>
        <v/>
      </c>
      <c r="K1487" t="str">
        <f>IF($AS1487="","",INDEX('TMP Paste'!$L$2:$L$1601,$AS1487))</f>
        <v/>
      </c>
      <c r="L1487" t="str">
        <f>IF($AS1487="","",INDEX('TMP Paste'!$I$2:$I$1601,$AS1487))</f>
        <v/>
      </c>
      <c r="M1487" t="str">
        <f>IF($AS1487="","",Config!$B$16)</f>
        <v/>
      </c>
      <c r="N1487" t="str">
        <f t="shared" si="138"/>
        <v/>
      </c>
      <c r="O1487" t="str">
        <f>IF($AS1487="","",INDEX('TMP Paste'!$K$2:$K$1601,$AS1487))</f>
        <v/>
      </c>
      <c r="P1487" t="str">
        <f t="shared" si="139"/>
        <v/>
      </c>
      <c r="Q1487" t="str">
        <f>IF($AS1487="","",INDEX('TMP Paste'!$J$2:$J$1601,$AS1487))</f>
        <v/>
      </c>
      <c r="R1487" t="str">
        <f>IF($AS1487="","",Config!$B$24)</f>
        <v/>
      </c>
      <c r="S1487" t="str">
        <f ca="1">IF($AS1487="","",TEXT(Config!$B$4,"yyyy-mm-dd"))</f>
        <v/>
      </c>
      <c r="T1487" t="str">
        <f>IF($AS1487="","",Config!$B$17)</f>
        <v/>
      </c>
      <c r="U1487" t="str">
        <f>IF($AS1487="","",Config!$B$18)</f>
        <v/>
      </c>
      <c r="V1487" t="str">
        <f>IF($AS1487="","",Config!$B$19)</f>
        <v/>
      </c>
      <c r="W1487" t="str">
        <f>IF($AS1487="","",INDEX('TMP Paste'!$C$2:$C$1601,$AS1487))</f>
        <v/>
      </c>
      <c r="X1487" t="str">
        <f>IF($AS1487="","",Config!$B$29)</f>
        <v/>
      </c>
      <c r="Y1487" t="str">
        <f>IF($AT1487="","",INDEX(Calc!$I$2:$I$1601,$AT1487)&amp;" - "&amp;INDEX(Calc!$D$2:$D$1601,$AT1487)&amp;" koli")</f>
        <v/>
      </c>
      <c r="Z1487" t="str">
        <f>IF($AS1487="","",Config!$B$21)</f>
        <v/>
      </c>
      <c r="AA1487" t="str">
        <f>IF($AS1487="","",Config!$B$22)</f>
        <v/>
      </c>
      <c r="AB1487" t="str">
        <f>IF($AT1487="","",INDEX(Calc!$D$2:$D$1601,$AT1487))</f>
        <v/>
      </c>
      <c r="AC1487" t="str">
        <f>IF($AT1487="","",INDEX(Calc!$G$2:$G$1601,$AT1487))</f>
        <v/>
      </c>
      <c r="AD1487" t="str">
        <f>IF($AS1487="","",Config!$B$23)</f>
        <v/>
      </c>
      <c r="AE1487" t="str">
        <f>IF($AS1487="","",Config!$B$28)</f>
        <v/>
      </c>
      <c r="AF1487" t="str">
        <f t="shared" si="140"/>
        <v/>
      </c>
      <c r="AG1487" t="str">
        <f t="shared" si="141"/>
        <v/>
      </c>
      <c r="AH1487" t="str">
        <f t="shared" si="142"/>
        <v/>
      </c>
      <c r="AI1487" t="str">
        <f>IF($AG1487="","",SUMIF($AG$2:$AG1487,$AG1487,$AH$2:$AH1487))</f>
        <v/>
      </c>
      <c r="AJ1487" t="str">
        <f>IF('TMP Paste'!$F1487="","",IF('TMP Paste'!$B1487="",$AJ1486,'TMP Paste'!$B1487))</f>
        <v/>
      </c>
      <c r="AK1487" t="str">
        <f>IF('TMP Paste'!$F1487="","",N('TMP Paste'!$G1487))</f>
        <v/>
      </c>
      <c r="AL1487" t="str">
        <f>IF('TMP Paste'!$F1487="","",IF('TMP Paste'!$M1487="",$AL1486,'TMP Paste'!$M1487))</f>
        <v/>
      </c>
      <c r="AM1487" t="str">
        <f>IF('TMP Paste'!$F1487="","",IF('TMP Paste'!$N1487="",$AM1486,'TMP Paste'!$N1487))</f>
        <v/>
      </c>
      <c r="AN1487" t="str">
        <f>IF('TMP Paste'!$F1487="","",IF('TMP Paste'!$O1487="",$AN1486,'TMP Paste'!$O1487))</f>
        <v/>
      </c>
      <c r="AO1487" t="str">
        <f>IF('TMP Paste'!$F1487="","",IF('TMP Paste'!$P1487="",$AO1486,'TMP Paste'!$P1487))</f>
        <v/>
      </c>
      <c r="AP1487" t="str">
        <f t="shared" si="143"/>
        <v/>
      </c>
      <c r="AQ1487" t="str">
        <f>IF($AS1487="","",TRIM(IF(COUNTIFS(Calc!$B$2:$B$1601,ROW()-1,Calc!$C$2:$C$1601,"&lt;1")&gt;0,"Ada PO tanpa Koli - cek TMP. ","")&amp;IF(OR($AU1487="",$AU1487&lt;=0),"Volume kosong/0 - dimensi dikosongkan. ","")&amp;IF(AND($AU1487&lt;&gt;"",$AU1487&gt;=1000000),"Volume &gt;= 1.000.000 cm3 (di luar aturan) - dimensi dikosongkan. ","")&amp;IF(LEN($R1487)&gt;500,"R &gt; 500 karakter.","")))</f>
        <v/>
      </c>
      <c r="AS1487" t="str">
        <f>IFERROR(MATCH(ROW()-1,Calc!$J$2:$J$1601,0),"")</f>
        <v/>
      </c>
      <c r="AT1487" t="str">
        <f>IFERROR(MATCH(ROW()-1,Calc!$K$2:$K$1601,0),"")</f>
        <v/>
      </c>
      <c r="AU1487" t="str">
        <f>IF($AS1487="","",IFERROR(INDEX('TMP Paste'!$D$2:$D$1601,$AS1487)*1000000/$AB1487,""))</f>
        <v/>
      </c>
    </row>
    <row r="1488" spans="1:47">
      <c r="A1488" t="str">
        <f>IF($AS1488="","",INDEX('TMP Paste'!$B$2:$B$1601,$AS1488))</f>
        <v/>
      </c>
      <c r="B1488" t="str">
        <f>IF($AS1488="","",Config!$B$14)</f>
        <v/>
      </c>
      <c r="C1488" t="str">
        <f>IF($AS1488="","",Config!$B$15)</f>
        <v/>
      </c>
      <c r="D1488" t="str">
        <f>IF($AS1488="","",INDEX('TMP Paste'!$B$2:$B$1601,$AS1488))</f>
        <v/>
      </c>
      <c r="E1488" t="str">
        <f>IF($AS1488="","",Config!$B$27)</f>
        <v/>
      </c>
      <c r="F1488" t="str">
        <f>IF($AS1488="","",Config!$B$9)</f>
        <v/>
      </c>
      <c r="G1488" t="str">
        <f>IF($AS1488="","",Config!$B$10)</f>
        <v/>
      </c>
      <c r="H1488" t="str">
        <f>IF($AS1488="","",Config!$B$11)</f>
        <v/>
      </c>
      <c r="I1488" t="str">
        <f>IF($AS1488="","",Config!$B$16)</f>
        <v/>
      </c>
      <c r="J1488" t="str">
        <f>IF($AS1488="","",INDEX('TMP Paste'!$A$2:$A$1601,$AS1488))</f>
        <v/>
      </c>
      <c r="K1488" t="str">
        <f>IF($AS1488="","",INDEX('TMP Paste'!$L$2:$L$1601,$AS1488))</f>
        <v/>
      </c>
      <c r="L1488" t="str">
        <f>IF($AS1488="","",INDEX('TMP Paste'!$I$2:$I$1601,$AS1488))</f>
        <v/>
      </c>
      <c r="M1488" t="str">
        <f>IF($AS1488="","",Config!$B$16)</f>
        <v/>
      </c>
      <c r="N1488" t="str">
        <f t="shared" si="138"/>
        <v/>
      </c>
      <c r="O1488" t="str">
        <f>IF($AS1488="","",INDEX('TMP Paste'!$K$2:$K$1601,$AS1488))</f>
        <v/>
      </c>
      <c r="P1488" t="str">
        <f t="shared" si="139"/>
        <v/>
      </c>
      <c r="Q1488" t="str">
        <f>IF($AS1488="","",INDEX('TMP Paste'!$J$2:$J$1601,$AS1488))</f>
        <v/>
      </c>
      <c r="R1488" t="str">
        <f>IF($AS1488="","",Config!$B$24)</f>
        <v/>
      </c>
      <c r="S1488" t="str">
        <f ca="1">IF($AS1488="","",TEXT(Config!$B$4,"yyyy-mm-dd"))</f>
        <v/>
      </c>
      <c r="T1488" t="str">
        <f>IF($AS1488="","",Config!$B$17)</f>
        <v/>
      </c>
      <c r="U1488" t="str">
        <f>IF($AS1488="","",Config!$B$18)</f>
        <v/>
      </c>
      <c r="V1488" t="str">
        <f>IF($AS1488="","",Config!$B$19)</f>
        <v/>
      </c>
      <c r="W1488" t="str">
        <f>IF($AS1488="","",INDEX('TMP Paste'!$C$2:$C$1601,$AS1488))</f>
        <v/>
      </c>
      <c r="X1488" t="str">
        <f>IF($AS1488="","",Config!$B$29)</f>
        <v/>
      </c>
      <c r="Y1488" t="str">
        <f>IF($AT1488="","",INDEX(Calc!$I$2:$I$1601,$AT1488)&amp;" - "&amp;INDEX(Calc!$D$2:$D$1601,$AT1488)&amp;" koli")</f>
        <v/>
      </c>
      <c r="Z1488" t="str">
        <f>IF($AS1488="","",Config!$B$21)</f>
        <v/>
      </c>
      <c r="AA1488" t="str">
        <f>IF($AS1488="","",Config!$B$22)</f>
        <v/>
      </c>
      <c r="AB1488" t="str">
        <f>IF($AT1488="","",INDEX(Calc!$D$2:$D$1601,$AT1488))</f>
        <v/>
      </c>
      <c r="AC1488" t="str">
        <f>IF($AT1488="","",INDEX(Calc!$G$2:$G$1601,$AT1488))</f>
        <v/>
      </c>
      <c r="AD1488" t="str">
        <f>IF($AS1488="","",Config!$B$23)</f>
        <v/>
      </c>
      <c r="AE1488" t="str">
        <f>IF($AS1488="","",Config!$B$28)</f>
        <v/>
      </c>
      <c r="AF1488" t="str">
        <f t="shared" si="140"/>
        <v/>
      </c>
      <c r="AG1488" t="str">
        <f t="shared" si="141"/>
        <v/>
      </c>
      <c r="AH1488" t="str">
        <f t="shared" si="142"/>
        <v/>
      </c>
      <c r="AI1488" t="str">
        <f>IF($AG1488="","",SUMIF($AG$2:$AG1488,$AG1488,$AH$2:$AH1488))</f>
        <v/>
      </c>
      <c r="AJ1488" t="str">
        <f>IF('TMP Paste'!$F1488="","",IF('TMP Paste'!$B1488="",$AJ1487,'TMP Paste'!$B1488))</f>
        <v/>
      </c>
      <c r="AK1488" t="str">
        <f>IF('TMP Paste'!$F1488="","",N('TMP Paste'!$G1488))</f>
        <v/>
      </c>
      <c r="AL1488" t="str">
        <f>IF('TMP Paste'!$F1488="","",IF('TMP Paste'!$M1488="",$AL1487,'TMP Paste'!$M1488))</f>
        <v/>
      </c>
      <c r="AM1488" t="str">
        <f>IF('TMP Paste'!$F1488="","",IF('TMP Paste'!$N1488="",$AM1487,'TMP Paste'!$N1488))</f>
        <v/>
      </c>
      <c r="AN1488" t="str">
        <f>IF('TMP Paste'!$F1488="","",IF('TMP Paste'!$O1488="",$AN1487,'TMP Paste'!$O1488))</f>
        <v/>
      </c>
      <c r="AO1488" t="str">
        <f>IF('TMP Paste'!$F1488="","",IF('TMP Paste'!$P1488="",$AO1487,'TMP Paste'!$P1488))</f>
        <v/>
      </c>
      <c r="AP1488" t="str">
        <f t="shared" si="143"/>
        <v/>
      </c>
      <c r="AQ1488" t="str">
        <f>IF($AS1488="","",TRIM(IF(COUNTIFS(Calc!$B$2:$B$1601,ROW()-1,Calc!$C$2:$C$1601,"&lt;1")&gt;0,"Ada PO tanpa Koli - cek TMP. ","")&amp;IF(OR($AU1488="",$AU1488&lt;=0),"Volume kosong/0 - dimensi dikosongkan. ","")&amp;IF(AND($AU1488&lt;&gt;"",$AU1488&gt;=1000000),"Volume &gt;= 1.000.000 cm3 (di luar aturan) - dimensi dikosongkan. ","")&amp;IF(LEN($R1488)&gt;500,"R &gt; 500 karakter.","")))</f>
        <v/>
      </c>
      <c r="AS1488" t="str">
        <f>IFERROR(MATCH(ROW()-1,Calc!$J$2:$J$1601,0),"")</f>
        <v/>
      </c>
      <c r="AT1488" t="str">
        <f>IFERROR(MATCH(ROW()-1,Calc!$K$2:$K$1601,0),"")</f>
        <v/>
      </c>
      <c r="AU1488" t="str">
        <f>IF($AS1488="","",IFERROR(INDEX('TMP Paste'!$D$2:$D$1601,$AS1488)*1000000/$AB1488,""))</f>
        <v/>
      </c>
    </row>
    <row r="1489" spans="1:47">
      <c r="A1489" t="str">
        <f>IF($AS1489="","",INDEX('TMP Paste'!$B$2:$B$1601,$AS1489))</f>
        <v/>
      </c>
      <c r="B1489" t="str">
        <f>IF($AS1489="","",Config!$B$14)</f>
        <v/>
      </c>
      <c r="C1489" t="str">
        <f>IF($AS1489="","",Config!$B$15)</f>
        <v/>
      </c>
      <c r="D1489" t="str">
        <f>IF($AS1489="","",INDEX('TMP Paste'!$B$2:$B$1601,$AS1489))</f>
        <v/>
      </c>
      <c r="E1489" t="str">
        <f>IF($AS1489="","",Config!$B$27)</f>
        <v/>
      </c>
      <c r="F1489" t="str">
        <f>IF($AS1489="","",Config!$B$9)</f>
        <v/>
      </c>
      <c r="G1489" t="str">
        <f>IF($AS1489="","",Config!$B$10)</f>
        <v/>
      </c>
      <c r="H1489" t="str">
        <f>IF($AS1489="","",Config!$B$11)</f>
        <v/>
      </c>
      <c r="I1489" t="str">
        <f>IF($AS1489="","",Config!$B$16)</f>
        <v/>
      </c>
      <c r="J1489" t="str">
        <f>IF($AS1489="","",INDEX('TMP Paste'!$A$2:$A$1601,$AS1489))</f>
        <v/>
      </c>
      <c r="K1489" t="str">
        <f>IF($AS1489="","",INDEX('TMP Paste'!$L$2:$L$1601,$AS1489))</f>
        <v/>
      </c>
      <c r="L1489" t="str">
        <f>IF($AS1489="","",INDEX('TMP Paste'!$I$2:$I$1601,$AS1489))</f>
        <v/>
      </c>
      <c r="M1489" t="str">
        <f>IF($AS1489="","",Config!$B$16)</f>
        <v/>
      </c>
      <c r="N1489" t="str">
        <f t="shared" si="138"/>
        <v/>
      </c>
      <c r="O1489" t="str">
        <f>IF($AS1489="","",INDEX('TMP Paste'!$K$2:$K$1601,$AS1489))</f>
        <v/>
      </c>
      <c r="P1489" t="str">
        <f t="shared" si="139"/>
        <v/>
      </c>
      <c r="Q1489" t="str">
        <f>IF($AS1489="","",INDEX('TMP Paste'!$J$2:$J$1601,$AS1489))</f>
        <v/>
      </c>
      <c r="R1489" t="str">
        <f>IF($AS1489="","",Config!$B$24)</f>
        <v/>
      </c>
      <c r="S1489" t="str">
        <f ca="1">IF($AS1489="","",TEXT(Config!$B$4,"yyyy-mm-dd"))</f>
        <v/>
      </c>
      <c r="T1489" t="str">
        <f>IF($AS1489="","",Config!$B$17)</f>
        <v/>
      </c>
      <c r="U1489" t="str">
        <f>IF($AS1489="","",Config!$B$18)</f>
        <v/>
      </c>
      <c r="V1489" t="str">
        <f>IF($AS1489="","",Config!$B$19)</f>
        <v/>
      </c>
      <c r="W1489" t="str">
        <f>IF($AS1489="","",INDEX('TMP Paste'!$C$2:$C$1601,$AS1489))</f>
        <v/>
      </c>
      <c r="X1489" t="str">
        <f>IF($AS1489="","",Config!$B$29)</f>
        <v/>
      </c>
      <c r="Y1489" t="str">
        <f>IF($AT1489="","",INDEX(Calc!$I$2:$I$1601,$AT1489)&amp;" - "&amp;INDEX(Calc!$D$2:$D$1601,$AT1489)&amp;" koli")</f>
        <v/>
      </c>
      <c r="Z1489" t="str">
        <f>IF($AS1489="","",Config!$B$21)</f>
        <v/>
      </c>
      <c r="AA1489" t="str">
        <f>IF($AS1489="","",Config!$B$22)</f>
        <v/>
      </c>
      <c r="AB1489" t="str">
        <f>IF($AT1489="","",INDEX(Calc!$D$2:$D$1601,$AT1489))</f>
        <v/>
      </c>
      <c r="AC1489" t="str">
        <f>IF($AT1489="","",INDEX(Calc!$G$2:$G$1601,$AT1489))</f>
        <v/>
      </c>
      <c r="AD1489" t="str">
        <f>IF($AS1489="","",Config!$B$23)</f>
        <v/>
      </c>
      <c r="AE1489" t="str">
        <f>IF($AS1489="","",Config!$B$28)</f>
        <v/>
      </c>
      <c r="AF1489" t="str">
        <f t="shared" si="140"/>
        <v/>
      </c>
      <c r="AG1489" t="str">
        <f t="shared" si="141"/>
        <v/>
      </c>
      <c r="AH1489" t="str">
        <f t="shared" si="142"/>
        <v/>
      </c>
      <c r="AI1489" t="str">
        <f>IF($AG1489="","",SUMIF($AG$2:$AG1489,$AG1489,$AH$2:$AH1489))</f>
        <v/>
      </c>
      <c r="AJ1489" t="str">
        <f>IF('TMP Paste'!$F1489="","",IF('TMP Paste'!$B1489="",$AJ1488,'TMP Paste'!$B1489))</f>
        <v/>
      </c>
      <c r="AK1489" t="str">
        <f>IF('TMP Paste'!$F1489="","",N('TMP Paste'!$G1489))</f>
        <v/>
      </c>
      <c r="AL1489" t="str">
        <f>IF('TMP Paste'!$F1489="","",IF('TMP Paste'!$M1489="",$AL1488,'TMP Paste'!$M1489))</f>
        <v/>
      </c>
      <c r="AM1489" t="str">
        <f>IF('TMP Paste'!$F1489="","",IF('TMP Paste'!$N1489="",$AM1488,'TMP Paste'!$N1489))</f>
        <v/>
      </c>
      <c r="AN1489" t="str">
        <f>IF('TMP Paste'!$F1489="","",IF('TMP Paste'!$O1489="",$AN1488,'TMP Paste'!$O1489))</f>
        <v/>
      </c>
      <c r="AO1489" t="str">
        <f>IF('TMP Paste'!$F1489="","",IF('TMP Paste'!$P1489="",$AO1488,'TMP Paste'!$P1489))</f>
        <v/>
      </c>
      <c r="AP1489" t="str">
        <f t="shared" si="143"/>
        <v/>
      </c>
      <c r="AQ1489" t="str">
        <f>IF($AS1489="","",TRIM(IF(COUNTIFS(Calc!$B$2:$B$1601,ROW()-1,Calc!$C$2:$C$1601,"&lt;1")&gt;0,"Ada PO tanpa Koli - cek TMP. ","")&amp;IF(OR($AU1489="",$AU1489&lt;=0),"Volume kosong/0 - dimensi dikosongkan. ","")&amp;IF(AND($AU1489&lt;&gt;"",$AU1489&gt;=1000000),"Volume &gt;= 1.000.000 cm3 (di luar aturan) - dimensi dikosongkan. ","")&amp;IF(LEN($R1489)&gt;500,"R &gt; 500 karakter.","")))</f>
        <v/>
      </c>
      <c r="AS1489" t="str">
        <f>IFERROR(MATCH(ROW()-1,Calc!$J$2:$J$1601,0),"")</f>
        <v/>
      </c>
      <c r="AT1489" t="str">
        <f>IFERROR(MATCH(ROW()-1,Calc!$K$2:$K$1601,0),"")</f>
        <v/>
      </c>
      <c r="AU1489" t="str">
        <f>IF($AS1489="","",IFERROR(INDEX('TMP Paste'!$D$2:$D$1601,$AS1489)*1000000/$AB1489,""))</f>
        <v/>
      </c>
    </row>
    <row r="1490" spans="1:47">
      <c r="A1490" t="str">
        <f>IF($AS1490="","",INDEX('TMP Paste'!$B$2:$B$1601,$AS1490))</f>
        <v/>
      </c>
      <c r="B1490" t="str">
        <f>IF($AS1490="","",Config!$B$14)</f>
        <v/>
      </c>
      <c r="C1490" t="str">
        <f>IF($AS1490="","",Config!$B$15)</f>
        <v/>
      </c>
      <c r="D1490" t="str">
        <f>IF($AS1490="","",INDEX('TMP Paste'!$B$2:$B$1601,$AS1490))</f>
        <v/>
      </c>
      <c r="E1490" t="str">
        <f>IF($AS1490="","",Config!$B$27)</f>
        <v/>
      </c>
      <c r="F1490" t="str">
        <f>IF($AS1490="","",Config!$B$9)</f>
        <v/>
      </c>
      <c r="G1490" t="str">
        <f>IF($AS1490="","",Config!$B$10)</f>
        <v/>
      </c>
      <c r="H1490" t="str">
        <f>IF($AS1490="","",Config!$B$11)</f>
        <v/>
      </c>
      <c r="I1490" t="str">
        <f>IF($AS1490="","",Config!$B$16)</f>
        <v/>
      </c>
      <c r="J1490" t="str">
        <f>IF($AS1490="","",INDEX('TMP Paste'!$A$2:$A$1601,$AS1490))</f>
        <v/>
      </c>
      <c r="K1490" t="str">
        <f>IF($AS1490="","",INDEX('TMP Paste'!$L$2:$L$1601,$AS1490))</f>
        <v/>
      </c>
      <c r="L1490" t="str">
        <f>IF($AS1490="","",INDEX('TMP Paste'!$I$2:$I$1601,$AS1490))</f>
        <v/>
      </c>
      <c r="M1490" t="str">
        <f>IF($AS1490="","",Config!$B$16)</f>
        <v/>
      </c>
      <c r="N1490" t="str">
        <f t="shared" si="138"/>
        <v/>
      </c>
      <c r="O1490" t="str">
        <f>IF($AS1490="","",INDEX('TMP Paste'!$K$2:$K$1601,$AS1490))</f>
        <v/>
      </c>
      <c r="P1490" t="str">
        <f t="shared" si="139"/>
        <v/>
      </c>
      <c r="Q1490" t="str">
        <f>IF($AS1490="","",INDEX('TMP Paste'!$J$2:$J$1601,$AS1490))</f>
        <v/>
      </c>
      <c r="R1490" t="str">
        <f>IF($AS1490="","",Config!$B$24)</f>
        <v/>
      </c>
      <c r="S1490" t="str">
        <f ca="1">IF($AS1490="","",TEXT(Config!$B$4,"yyyy-mm-dd"))</f>
        <v/>
      </c>
      <c r="T1490" t="str">
        <f>IF($AS1490="","",Config!$B$17)</f>
        <v/>
      </c>
      <c r="U1490" t="str">
        <f>IF($AS1490="","",Config!$B$18)</f>
        <v/>
      </c>
      <c r="V1490" t="str">
        <f>IF($AS1490="","",Config!$B$19)</f>
        <v/>
      </c>
      <c r="W1490" t="str">
        <f>IF($AS1490="","",INDEX('TMP Paste'!$C$2:$C$1601,$AS1490))</f>
        <v/>
      </c>
      <c r="X1490" t="str">
        <f>IF($AS1490="","",Config!$B$29)</f>
        <v/>
      </c>
      <c r="Y1490" t="str">
        <f>IF($AT1490="","",INDEX(Calc!$I$2:$I$1601,$AT1490)&amp;" - "&amp;INDEX(Calc!$D$2:$D$1601,$AT1490)&amp;" koli")</f>
        <v/>
      </c>
      <c r="Z1490" t="str">
        <f>IF($AS1490="","",Config!$B$21)</f>
        <v/>
      </c>
      <c r="AA1490" t="str">
        <f>IF($AS1490="","",Config!$B$22)</f>
        <v/>
      </c>
      <c r="AB1490" t="str">
        <f>IF($AT1490="","",INDEX(Calc!$D$2:$D$1601,$AT1490))</f>
        <v/>
      </c>
      <c r="AC1490" t="str">
        <f>IF($AT1490="","",INDEX(Calc!$G$2:$G$1601,$AT1490))</f>
        <v/>
      </c>
      <c r="AD1490" t="str">
        <f>IF($AS1490="","",Config!$B$23)</f>
        <v/>
      </c>
      <c r="AE1490" t="str">
        <f>IF($AS1490="","",Config!$B$28)</f>
        <v/>
      </c>
      <c r="AF1490" t="str">
        <f t="shared" si="140"/>
        <v/>
      </c>
      <c r="AG1490" t="str">
        <f t="shared" si="141"/>
        <v/>
      </c>
      <c r="AH1490" t="str">
        <f t="shared" si="142"/>
        <v/>
      </c>
      <c r="AI1490" t="str">
        <f>IF($AG1490="","",SUMIF($AG$2:$AG1490,$AG1490,$AH$2:$AH1490))</f>
        <v/>
      </c>
      <c r="AJ1490" t="str">
        <f>IF('TMP Paste'!$F1490="","",IF('TMP Paste'!$B1490="",$AJ1489,'TMP Paste'!$B1490))</f>
        <v/>
      </c>
      <c r="AK1490" t="str">
        <f>IF('TMP Paste'!$F1490="","",N('TMP Paste'!$G1490))</f>
        <v/>
      </c>
      <c r="AL1490" t="str">
        <f>IF('TMP Paste'!$F1490="","",IF('TMP Paste'!$M1490="",$AL1489,'TMP Paste'!$M1490))</f>
        <v/>
      </c>
      <c r="AM1490" t="str">
        <f>IF('TMP Paste'!$F1490="","",IF('TMP Paste'!$N1490="",$AM1489,'TMP Paste'!$N1490))</f>
        <v/>
      </c>
      <c r="AN1490" t="str">
        <f>IF('TMP Paste'!$F1490="","",IF('TMP Paste'!$O1490="",$AN1489,'TMP Paste'!$O1490))</f>
        <v/>
      </c>
      <c r="AO1490" t="str">
        <f>IF('TMP Paste'!$F1490="","",IF('TMP Paste'!$P1490="",$AO1489,'TMP Paste'!$P1490))</f>
        <v/>
      </c>
      <c r="AP1490" t="str">
        <f t="shared" si="143"/>
        <v/>
      </c>
      <c r="AQ1490" t="str">
        <f>IF($AS1490="","",TRIM(IF(COUNTIFS(Calc!$B$2:$B$1601,ROW()-1,Calc!$C$2:$C$1601,"&lt;1")&gt;0,"Ada PO tanpa Koli - cek TMP. ","")&amp;IF(OR($AU1490="",$AU1490&lt;=0),"Volume kosong/0 - dimensi dikosongkan. ","")&amp;IF(AND($AU1490&lt;&gt;"",$AU1490&gt;=1000000),"Volume &gt;= 1.000.000 cm3 (di luar aturan) - dimensi dikosongkan. ","")&amp;IF(LEN($R1490)&gt;500,"R &gt; 500 karakter.","")))</f>
        <v/>
      </c>
      <c r="AS1490" t="str">
        <f>IFERROR(MATCH(ROW()-1,Calc!$J$2:$J$1601,0),"")</f>
        <v/>
      </c>
      <c r="AT1490" t="str">
        <f>IFERROR(MATCH(ROW()-1,Calc!$K$2:$K$1601,0),"")</f>
        <v/>
      </c>
      <c r="AU1490" t="str">
        <f>IF($AS1490="","",IFERROR(INDEX('TMP Paste'!$D$2:$D$1601,$AS1490)*1000000/$AB1490,""))</f>
        <v/>
      </c>
    </row>
    <row r="1491" spans="1:47">
      <c r="A1491" t="str">
        <f>IF($AS1491="","",INDEX('TMP Paste'!$B$2:$B$1601,$AS1491))</f>
        <v/>
      </c>
      <c r="B1491" t="str">
        <f>IF($AS1491="","",Config!$B$14)</f>
        <v/>
      </c>
      <c r="C1491" t="str">
        <f>IF($AS1491="","",Config!$B$15)</f>
        <v/>
      </c>
      <c r="D1491" t="str">
        <f>IF($AS1491="","",INDEX('TMP Paste'!$B$2:$B$1601,$AS1491))</f>
        <v/>
      </c>
      <c r="E1491" t="str">
        <f>IF($AS1491="","",Config!$B$27)</f>
        <v/>
      </c>
      <c r="F1491" t="str">
        <f>IF($AS1491="","",Config!$B$9)</f>
        <v/>
      </c>
      <c r="G1491" t="str">
        <f>IF($AS1491="","",Config!$B$10)</f>
        <v/>
      </c>
      <c r="H1491" t="str">
        <f>IF($AS1491="","",Config!$B$11)</f>
        <v/>
      </c>
      <c r="I1491" t="str">
        <f>IF($AS1491="","",Config!$B$16)</f>
        <v/>
      </c>
      <c r="J1491" t="str">
        <f>IF($AS1491="","",INDEX('TMP Paste'!$A$2:$A$1601,$AS1491))</f>
        <v/>
      </c>
      <c r="K1491" t="str">
        <f>IF($AS1491="","",INDEX('TMP Paste'!$L$2:$L$1601,$AS1491))</f>
        <v/>
      </c>
      <c r="L1491" t="str">
        <f>IF($AS1491="","",INDEX('TMP Paste'!$I$2:$I$1601,$AS1491))</f>
        <v/>
      </c>
      <c r="M1491" t="str">
        <f>IF($AS1491="","",Config!$B$16)</f>
        <v/>
      </c>
      <c r="N1491" t="str">
        <f t="shared" si="138"/>
        <v/>
      </c>
      <c r="O1491" t="str">
        <f>IF($AS1491="","",INDEX('TMP Paste'!$K$2:$K$1601,$AS1491))</f>
        <v/>
      </c>
      <c r="P1491" t="str">
        <f t="shared" si="139"/>
        <v/>
      </c>
      <c r="Q1491" t="str">
        <f>IF($AS1491="","",INDEX('TMP Paste'!$J$2:$J$1601,$AS1491))</f>
        <v/>
      </c>
      <c r="R1491" t="str">
        <f>IF($AS1491="","",Config!$B$24)</f>
        <v/>
      </c>
      <c r="S1491" t="str">
        <f ca="1">IF($AS1491="","",TEXT(Config!$B$4,"yyyy-mm-dd"))</f>
        <v/>
      </c>
      <c r="T1491" t="str">
        <f>IF($AS1491="","",Config!$B$17)</f>
        <v/>
      </c>
      <c r="U1491" t="str">
        <f>IF($AS1491="","",Config!$B$18)</f>
        <v/>
      </c>
      <c r="V1491" t="str">
        <f>IF($AS1491="","",Config!$B$19)</f>
        <v/>
      </c>
      <c r="W1491" t="str">
        <f>IF($AS1491="","",INDEX('TMP Paste'!$C$2:$C$1601,$AS1491))</f>
        <v/>
      </c>
      <c r="X1491" t="str">
        <f>IF($AS1491="","",Config!$B$29)</f>
        <v/>
      </c>
      <c r="Y1491" t="str">
        <f>IF($AT1491="","",INDEX(Calc!$I$2:$I$1601,$AT1491)&amp;" - "&amp;INDEX(Calc!$D$2:$D$1601,$AT1491)&amp;" koli")</f>
        <v/>
      </c>
      <c r="Z1491" t="str">
        <f>IF($AS1491="","",Config!$B$21)</f>
        <v/>
      </c>
      <c r="AA1491" t="str">
        <f>IF($AS1491="","",Config!$B$22)</f>
        <v/>
      </c>
      <c r="AB1491" t="str">
        <f>IF($AT1491="","",INDEX(Calc!$D$2:$D$1601,$AT1491))</f>
        <v/>
      </c>
      <c r="AC1491" t="str">
        <f>IF($AT1491="","",INDEX(Calc!$G$2:$G$1601,$AT1491))</f>
        <v/>
      </c>
      <c r="AD1491" t="str">
        <f>IF($AS1491="","",Config!$B$23)</f>
        <v/>
      </c>
      <c r="AE1491" t="str">
        <f>IF($AS1491="","",Config!$B$28)</f>
        <v/>
      </c>
      <c r="AF1491" t="str">
        <f t="shared" si="140"/>
        <v/>
      </c>
      <c r="AG1491" t="str">
        <f t="shared" si="141"/>
        <v/>
      </c>
      <c r="AH1491" t="str">
        <f t="shared" si="142"/>
        <v/>
      </c>
      <c r="AI1491" t="str">
        <f>IF($AG1491="","",SUMIF($AG$2:$AG1491,$AG1491,$AH$2:$AH1491))</f>
        <v/>
      </c>
      <c r="AJ1491" t="str">
        <f>IF('TMP Paste'!$F1491="","",IF('TMP Paste'!$B1491="",$AJ1490,'TMP Paste'!$B1491))</f>
        <v/>
      </c>
      <c r="AK1491" t="str">
        <f>IF('TMP Paste'!$F1491="","",N('TMP Paste'!$G1491))</f>
        <v/>
      </c>
      <c r="AL1491" t="str">
        <f>IF('TMP Paste'!$F1491="","",IF('TMP Paste'!$M1491="",$AL1490,'TMP Paste'!$M1491))</f>
        <v/>
      </c>
      <c r="AM1491" t="str">
        <f>IF('TMP Paste'!$F1491="","",IF('TMP Paste'!$N1491="",$AM1490,'TMP Paste'!$N1491))</f>
        <v/>
      </c>
      <c r="AN1491" t="str">
        <f>IF('TMP Paste'!$F1491="","",IF('TMP Paste'!$O1491="",$AN1490,'TMP Paste'!$O1491))</f>
        <v/>
      </c>
      <c r="AO1491" t="str">
        <f>IF('TMP Paste'!$F1491="","",IF('TMP Paste'!$P1491="",$AO1490,'TMP Paste'!$P1491))</f>
        <v/>
      </c>
      <c r="AP1491" t="str">
        <f t="shared" si="143"/>
        <v/>
      </c>
      <c r="AQ1491" t="str">
        <f>IF($AS1491="","",TRIM(IF(COUNTIFS(Calc!$B$2:$B$1601,ROW()-1,Calc!$C$2:$C$1601,"&lt;1")&gt;0,"Ada PO tanpa Koli - cek TMP. ","")&amp;IF(OR($AU1491="",$AU1491&lt;=0),"Volume kosong/0 - dimensi dikosongkan. ","")&amp;IF(AND($AU1491&lt;&gt;"",$AU1491&gt;=1000000),"Volume &gt;= 1.000.000 cm3 (di luar aturan) - dimensi dikosongkan. ","")&amp;IF(LEN($R1491)&gt;500,"R &gt; 500 karakter.","")))</f>
        <v/>
      </c>
      <c r="AS1491" t="str">
        <f>IFERROR(MATCH(ROW()-1,Calc!$J$2:$J$1601,0),"")</f>
        <v/>
      </c>
      <c r="AT1491" t="str">
        <f>IFERROR(MATCH(ROW()-1,Calc!$K$2:$K$1601,0),"")</f>
        <v/>
      </c>
      <c r="AU1491" t="str">
        <f>IF($AS1491="","",IFERROR(INDEX('TMP Paste'!$D$2:$D$1601,$AS1491)*1000000/$AB1491,""))</f>
        <v/>
      </c>
    </row>
    <row r="1492" spans="1:47">
      <c r="A1492" t="str">
        <f>IF($AS1492="","",INDEX('TMP Paste'!$B$2:$B$1601,$AS1492))</f>
        <v/>
      </c>
      <c r="B1492" t="str">
        <f>IF($AS1492="","",Config!$B$14)</f>
        <v/>
      </c>
      <c r="C1492" t="str">
        <f>IF($AS1492="","",Config!$B$15)</f>
        <v/>
      </c>
      <c r="D1492" t="str">
        <f>IF($AS1492="","",INDEX('TMP Paste'!$B$2:$B$1601,$AS1492))</f>
        <v/>
      </c>
      <c r="E1492" t="str">
        <f>IF($AS1492="","",Config!$B$27)</f>
        <v/>
      </c>
      <c r="F1492" t="str">
        <f>IF($AS1492="","",Config!$B$9)</f>
        <v/>
      </c>
      <c r="G1492" t="str">
        <f>IF($AS1492="","",Config!$B$10)</f>
        <v/>
      </c>
      <c r="H1492" t="str">
        <f>IF($AS1492="","",Config!$B$11)</f>
        <v/>
      </c>
      <c r="I1492" t="str">
        <f>IF($AS1492="","",Config!$B$16)</f>
        <v/>
      </c>
      <c r="J1492" t="str">
        <f>IF($AS1492="","",INDEX('TMP Paste'!$A$2:$A$1601,$AS1492))</f>
        <v/>
      </c>
      <c r="K1492" t="str">
        <f>IF($AS1492="","",INDEX('TMP Paste'!$L$2:$L$1601,$AS1492))</f>
        <v/>
      </c>
      <c r="L1492" t="str">
        <f>IF($AS1492="","",INDEX('TMP Paste'!$I$2:$I$1601,$AS1492))</f>
        <v/>
      </c>
      <c r="M1492" t="str">
        <f>IF($AS1492="","",Config!$B$16)</f>
        <v/>
      </c>
      <c r="N1492" t="str">
        <f t="shared" si="138"/>
        <v/>
      </c>
      <c r="O1492" t="str">
        <f>IF($AS1492="","",INDEX('TMP Paste'!$K$2:$K$1601,$AS1492))</f>
        <v/>
      </c>
      <c r="P1492" t="str">
        <f t="shared" si="139"/>
        <v/>
      </c>
      <c r="Q1492" t="str">
        <f>IF($AS1492="","",INDEX('TMP Paste'!$J$2:$J$1601,$AS1492))</f>
        <v/>
      </c>
      <c r="R1492" t="str">
        <f>IF($AS1492="","",Config!$B$24)</f>
        <v/>
      </c>
      <c r="S1492" t="str">
        <f ca="1">IF($AS1492="","",TEXT(Config!$B$4,"yyyy-mm-dd"))</f>
        <v/>
      </c>
      <c r="T1492" t="str">
        <f>IF($AS1492="","",Config!$B$17)</f>
        <v/>
      </c>
      <c r="U1492" t="str">
        <f>IF($AS1492="","",Config!$B$18)</f>
        <v/>
      </c>
      <c r="V1492" t="str">
        <f>IF($AS1492="","",Config!$B$19)</f>
        <v/>
      </c>
      <c r="W1492" t="str">
        <f>IF($AS1492="","",INDEX('TMP Paste'!$C$2:$C$1601,$AS1492))</f>
        <v/>
      </c>
      <c r="X1492" t="str">
        <f>IF($AS1492="","",Config!$B$29)</f>
        <v/>
      </c>
      <c r="Y1492" t="str">
        <f>IF($AT1492="","",INDEX(Calc!$I$2:$I$1601,$AT1492)&amp;" - "&amp;INDEX(Calc!$D$2:$D$1601,$AT1492)&amp;" koli")</f>
        <v/>
      </c>
      <c r="Z1492" t="str">
        <f>IF($AS1492="","",Config!$B$21)</f>
        <v/>
      </c>
      <c r="AA1492" t="str">
        <f>IF($AS1492="","",Config!$B$22)</f>
        <v/>
      </c>
      <c r="AB1492" t="str">
        <f>IF($AT1492="","",INDEX(Calc!$D$2:$D$1601,$AT1492))</f>
        <v/>
      </c>
      <c r="AC1492" t="str">
        <f>IF($AT1492="","",INDEX(Calc!$G$2:$G$1601,$AT1492))</f>
        <v/>
      </c>
      <c r="AD1492" t="str">
        <f>IF($AS1492="","",Config!$B$23)</f>
        <v/>
      </c>
      <c r="AE1492" t="str">
        <f>IF($AS1492="","",Config!$B$28)</f>
        <v/>
      </c>
      <c r="AF1492" t="str">
        <f t="shared" si="140"/>
        <v/>
      </c>
      <c r="AG1492" t="str">
        <f t="shared" si="141"/>
        <v/>
      </c>
      <c r="AH1492" t="str">
        <f t="shared" si="142"/>
        <v/>
      </c>
      <c r="AI1492" t="str">
        <f>IF($AG1492="","",SUMIF($AG$2:$AG1492,$AG1492,$AH$2:$AH1492))</f>
        <v/>
      </c>
      <c r="AJ1492" t="str">
        <f>IF('TMP Paste'!$F1492="","",IF('TMP Paste'!$B1492="",$AJ1491,'TMP Paste'!$B1492))</f>
        <v/>
      </c>
      <c r="AK1492" t="str">
        <f>IF('TMP Paste'!$F1492="","",N('TMP Paste'!$G1492))</f>
        <v/>
      </c>
      <c r="AL1492" t="str">
        <f>IF('TMP Paste'!$F1492="","",IF('TMP Paste'!$M1492="",$AL1491,'TMP Paste'!$M1492))</f>
        <v/>
      </c>
      <c r="AM1492" t="str">
        <f>IF('TMP Paste'!$F1492="","",IF('TMP Paste'!$N1492="",$AM1491,'TMP Paste'!$N1492))</f>
        <v/>
      </c>
      <c r="AN1492" t="str">
        <f>IF('TMP Paste'!$F1492="","",IF('TMP Paste'!$O1492="",$AN1491,'TMP Paste'!$O1492))</f>
        <v/>
      </c>
      <c r="AO1492" t="str">
        <f>IF('TMP Paste'!$F1492="","",IF('TMP Paste'!$P1492="",$AO1491,'TMP Paste'!$P1492))</f>
        <v/>
      </c>
      <c r="AP1492" t="str">
        <f t="shared" si="143"/>
        <v/>
      </c>
      <c r="AQ1492" t="str">
        <f>IF($AS1492="","",TRIM(IF(COUNTIFS(Calc!$B$2:$B$1601,ROW()-1,Calc!$C$2:$C$1601,"&lt;1")&gt;0,"Ada PO tanpa Koli - cek TMP. ","")&amp;IF(OR($AU1492="",$AU1492&lt;=0),"Volume kosong/0 - dimensi dikosongkan. ","")&amp;IF(AND($AU1492&lt;&gt;"",$AU1492&gt;=1000000),"Volume &gt;= 1.000.000 cm3 (di luar aturan) - dimensi dikosongkan. ","")&amp;IF(LEN($R1492)&gt;500,"R &gt; 500 karakter.","")))</f>
        <v/>
      </c>
      <c r="AS1492" t="str">
        <f>IFERROR(MATCH(ROW()-1,Calc!$J$2:$J$1601,0),"")</f>
        <v/>
      </c>
      <c r="AT1492" t="str">
        <f>IFERROR(MATCH(ROW()-1,Calc!$K$2:$K$1601,0),"")</f>
        <v/>
      </c>
      <c r="AU1492" t="str">
        <f>IF($AS1492="","",IFERROR(INDEX('TMP Paste'!$D$2:$D$1601,$AS1492)*1000000/$AB1492,""))</f>
        <v/>
      </c>
    </row>
    <row r="1493" spans="1:47">
      <c r="A1493" t="str">
        <f>IF($AS1493="","",INDEX('TMP Paste'!$B$2:$B$1601,$AS1493))</f>
        <v/>
      </c>
      <c r="B1493" t="str">
        <f>IF($AS1493="","",Config!$B$14)</f>
        <v/>
      </c>
      <c r="C1493" t="str">
        <f>IF($AS1493="","",Config!$B$15)</f>
        <v/>
      </c>
      <c r="D1493" t="str">
        <f>IF($AS1493="","",INDEX('TMP Paste'!$B$2:$B$1601,$AS1493))</f>
        <v/>
      </c>
      <c r="E1493" t="str">
        <f>IF($AS1493="","",Config!$B$27)</f>
        <v/>
      </c>
      <c r="F1493" t="str">
        <f>IF($AS1493="","",Config!$B$9)</f>
        <v/>
      </c>
      <c r="G1493" t="str">
        <f>IF($AS1493="","",Config!$B$10)</f>
        <v/>
      </c>
      <c r="H1493" t="str">
        <f>IF($AS1493="","",Config!$B$11)</f>
        <v/>
      </c>
      <c r="I1493" t="str">
        <f>IF($AS1493="","",Config!$B$16)</f>
        <v/>
      </c>
      <c r="J1493" t="str">
        <f>IF($AS1493="","",INDEX('TMP Paste'!$A$2:$A$1601,$AS1493))</f>
        <v/>
      </c>
      <c r="K1493" t="str">
        <f>IF($AS1493="","",INDEX('TMP Paste'!$L$2:$L$1601,$AS1493))</f>
        <v/>
      </c>
      <c r="L1493" t="str">
        <f>IF($AS1493="","",INDEX('TMP Paste'!$I$2:$I$1601,$AS1493))</f>
        <v/>
      </c>
      <c r="M1493" t="str">
        <f>IF($AS1493="","",Config!$B$16)</f>
        <v/>
      </c>
      <c r="N1493" t="str">
        <f t="shared" si="138"/>
        <v/>
      </c>
      <c r="O1493" t="str">
        <f>IF($AS1493="","",INDEX('TMP Paste'!$K$2:$K$1601,$AS1493))</f>
        <v/>
      </c>
      <c r="P1493" t="str">
        <f t="shared" si="139"/>
        <v/>
      </c>
      <c r="Q1493" t="str">
        <f>IF($AS1493="","",INDEX('TMP Paste'!$J$2:$J$1601,$AS1493))</f>
        <v/>
      </c>
      <c r="R1493" t="str">
        <f>IF($AS1493="","",Config!$B$24)</f>
        <v/>
      </c>
      <c r="S1493" t="str">
        <f ca="1">IF($AS1493="","",TEXT(Config!$B$4,"yyyy-mm-dd"))</f>
        <v/>
      </c>
      <c r="T1493" t="str">
        <f>IF($AS1493="","",Config!$B$17)</f>
        <v/>
      </c>
      <c r="U1493" t="str">
        <f>IF($AS1493="","",Config!$B$18)</f>
        <v/>
      </c>
      <c r="V1493" t="str">
        <f>IF($AS1493="","",Config!$B$19)</f>
        <v/>
      </c>
      <c r="W1493" t="str">
        <f>IF($AS1493="","",INDEX('TMP Paste'!$C$2:$C$1601,$AS1493))</f>
        <v/>
      </c>
      <c r="X1493" t="str">
        <f>IF($AS1493="","",Config!$B$29)</f>
        <v/>
      </c>
      <c r="Y1493" t="str">
        <f>IF($AT1493="","",INDEX(Calc!$I$2:$I$1601,$AT1493)&amp;" - "&amp;INDEX(Calc!$D$2:$D$1601,$AT1493)&amp;" koli")</f>
        <v/>
      </c>
      <c r="Z1493" t="str">
        <f>IF($AS1493="","",Config!$B$21)</f>
        <v/>
      </c>
      <c r="AA1493" t="str">
        <f>IF($AS1493="","",Config!$B$22)</f>
        <v/>
      </c>
      <c r="AB1493" t="str">
        <f>IF($AT1493="","",INDEX(Calc!$D$2:$D$1601,$AT1493))</f>
        <v/>
      </c>
      <c r="AC1493" t="str">
        <f>IF($AT1493="","",INDEX(Calc!$G$2:$G$1601,$AT1493))</f>
        <v/>
      </c>
      <c r="AD1493" t="str">
        <f>IF($AS1493="","",Config!$B$23)</f>
        <v/>
      </c>
      <c r="AE1493" t="str">
        <f>IF($AS1493="","",Config!$B$28)</f>
        <v/>
      </c>
      <c r="AF1493" t="str">
        <f t="shared" si="140"/>
        <v/>
      </c>
      <c r="AG1493" t="str">
        <f t="shared" si="141"/>
        <v/>
      </c>
      <c r="AH1493" t="str">
        <f t="shared" si="142"/>
        <v/>
      </c>
      <c r="AI1493" t="str">
        <f>IF($AG1493="","",SUMIF($AG$2:$AG1493,$AG1493,$AH$2:$AH1493))</f>
        <v/>
      </c>
      <c r="AJ1493" t="str">
        <f>IF('TMP Paste'!$F1493="","",IF('TMP Paste'!$B1493="",$AJ1492,'TMP Paste'!$B1493))</f>
        <v/>
      </c>
      <c r="AK1493" t="str">
        <f>IF('TMP Paste'!$F1493="","",N('TMP Paste'!$G1493))</f>
        <v/>
      </c>
      <c r="AL1493" t="str">
        <f>IF('TMP Paste'!$F1493="","",IF('TMP Paste'!$M1493="",$AL1492,'TMP Paste'!$M1493))</f>
        <v/>
      </c>
      <c r="AM1493" t="str">
        <f>IF('TMP Paste'!$F1493="","",IF('TMP Paste'!$N1493="",$AM1492,'TMP Paste'!$N1493))</f>
        <v/>
      </c>
      <c r="AN1493" t="str">
        <f>IF('TMP Paste'!$F1493="","",IF('TMP Paste'!$O1493="",$AN1492,'TMP Paste'!$O1493))</f>
        <v/>
      </c>
      <c r="AO1493" t="str">
        <f>IF('TMP Paste'!$F1493="","",IF('TMP Paste'!$P1493="",$AO1492,'TMP Paste'!$P1493))</f>
        <v/>
      </c>
      <c r="AP1493" t="str">
        <f t="shared" si="143"/>
        <v/>
      </c>
      <c r="AQ1493" t="str">
        <f>IF($AS1493="","",TRIM(IF(COUNTIFS(Calc!$B$2:$B$1601,ROW()-1,Calc!$C$2:$C$1601,"&lt;1")&gt;0,"Ada PO tanpa Koli - cek TMP. ","")&amp;IF(OR($AU1493="",$AU1493&lt;=0),"Volume kosong/0 - dimensi dikosongkan. ","")&amp;IF(AND($AU1493&lt;&gt;"",$AU1493&gt;=1000000),"Volume &gt;= 1.000.000 cm3 (di luar aturan) - dimensi dikosongkan. ","")&amp;IF(LEN($R1493)&gt;500,"R &gt; 500 karakter.","")))</f>
        <v/>
      </c>
      <c r="AS1493" t="str">
        <f>IFERROR(MATCH(ROW()-1,Calc!$J$2:$J$1601,0),"")</f>
        <v/>
      </c>
      <c r="AT1493" t="str">
        <f>IFERROR(MATCH(ROW()-1,Calc!$K$2:$K$1601,0),"")</f>
        <v/>
      </c>
      <c r="AU1493" t="str">
        <f>IF($AS1493="","",IFERROR(INDEX('TMP Paste'!$D$2:$D$1601,$AS1493)*1000000/$AB1493,""))</f>
        <v/>
      </c>
    </row>
    <row r="1494" spans="1:47">
      <c r="A1494" t="str">
        <f>IF($AS1494="","",INDEX('TMP Paste'!$B$2:$B$1601,$AS1494))</f>
        <v/>
      </c>
      <c r="B1494" t="str">
        <f>IF($AS1494="","",Config!$B$14)</f>
        <v/>
      </c>
      <c r="C1494" t="str">
        <f>IF($AS1494="","",Config!$B$15)</f>
        <v/>
      </c>
      <c r="D1494" t="str">
        <f>IF($AS1494="","",INDEX('TMP Paste'!$B$2:$B$1601,$AS1494))</f>
        <v/>
      </c>
      <c r="E1494" t="str">
        <f>IF($AS1494="","",Config!$B$27)</f>
        <v/>
      </c>
      <c r="F1494" t="str">
        <f>IF($AS1494="","",Config!$B$9)</f>
        <v/>
      </c>
      <c r="G1494" t="str">
        <f>IF($AS1494="","",Config!$B$10)</f>
        <v/>
      </c>
      <c r="H1494" t="str">
        <f>IF($AS1494="","",Config!$B$11)</f>
        <v/>
      </c>
      <c r="I1494" t="str">
        <f>IF($AS1494="","",Config!$B$16)</f>
        <v/>
      </c>
      <c r="J1494" t="str">
        <f>IF($AS1494="","",INDEX('TMP Paste'!$A$2:$A$1601,$AS1494))</f>
        <v/>
      </c>
      <c r="K1494" t="str">
        <f>IF($AS1494="","",INDEX('TMP Paste'!$L$2:$L$1601,$AS1494))</f>
        <v/>
      </c>
      <c r="L1494" t="str">
        <f>IF($AS1494="","",INDEX('TMP Paste'!$I$2:$I$1601,$AS1494))</f>
        <v/>
      </c>
      <c r="M1494" t="str">
        <f>IF($AS1494="","",Config!$B$16)</f>
        <v/>
      </c>
      <c r="N1494" t="str">
        <f t="shared" si="138"/>
        <v/>
      </c>
      <c r="O1494" t="str">
        <f>IF($AS1494="","",INDEX('TMP Paste'!$K$2:$K$1601,$AS1494))</f>
        <v/>
      </c>
      <c r="P1494" t="str">
        <f t="shared" si="139"/>
        <v/>
      </c>
      <c r="Q1494" t="str">
        <f>IF($AS1494="","",INDEX('TMP Paste'!$J$2:$J$1601,$AS1494))</f>
        <v/>
      </c>
      <c r="R1494" t="str">
        <f>IF($AS1494="","",Config!$B$24)</f>
        <v/>
      </c>
      <c r="S1494" t="str">
        <f ca="1">IF($AS1494="","",TEXT(Config!$B$4,"yyyy-mm-dd"))</f>
        <v/>
      </c>
      <c r="T1494" t="str">
        <f>IF($AS1494="","",Config!$B$17)</f>
        <v/>
      </c>
      <c r="U1494" t="str">
        <f>IF($AS1494="","",Config!$B$18)</f>
        <v/>
      </c>
      <c r="V1494" t="str">
        <f>IF($AS1494="","",Config!$B$19)</f>
        <v/>
      </c>
      <c r="W1494" t="str">
        <f>IF($AS1494="","",INDEX('TMP Paste'!$C$2:$C$1601,$AS1494))</f>
        <v/>
      </c>
      <c r="X1494" t="str">
        <f>IF($AS1494="","",Config!$B$29)</f>
        <v/>
      </c>
      <c r="Y1494" t="str">
        <f>IF($AT1494="","",INDEX(Calc!$I$2:$I$1601,$AT1494)&amp;" - "&amp;INDEX(Calc!$D$2:$D$1601,$AT1494)&amp;" koli")</f>
        <v/>
      </c>
      <c r="Z1494" t="str">
        <f>IF($AS1494="","",Config!$B$21)</f>
        <v/>
      </c>
      <c r="AA1494" t="str">
        <f>IF($AS1494="","",Config!$B$22)</f>
        <v/>
      </c>
      <c r="AB1494" t="str">
        <f>IF($AT1494="","",INDEX(Calc!$D$2:$D$1601,$AT1494))</f>
        <v/>
      </c>
      <c r="AC1494" t="str">
        <f>IF($AT1494="","",INDEX(Calc!$G$2:$G$1601,$AT1494))</f>
        <v/>
      </c>
      <c r="AD1494" t="str">
        <f>IF($AS1494="","",Config!$B$23)</f>
        <v/>
      </c>
      <c r="AE1494" t="str">
        <f>IF($AS1494="","",Config!$B$28)</f>
        <v/>
      </c>
      <c r="AF1494" t="str">
        <f t="shared" si="140"/>
        <v/>
      </c>
      <c r="AG1494" t="str">
        <f t="shared" si="141"/>
        <v/>
      </c>
      <c r="AH1494" t="str">
        <f t="shared" si="142"/>
        <v/>
      </c>
      <c r="AI1494" t="str">
        <f>IF($AG1494="","",SUMIF($AG$2:$AG1494,$AG1494,$AH$2:$AH1494))</f>
        <v/>
      </c>
      <c r="AJ1494" t="str">
        <f>IF('TMP Paste'!$F1494="","",IF('TMP Paste'!$B1494="",$AJ1493,'TMP Paste'!$B1494))</f>
        <v/>
      </c>
      <c r="AK1494" t="str">
        <f>IF('TMP Paste'!$F1494="","",N('TMP Paste'!$G1494))</f>
        <v/>
      </c>
      <c r="AL1494" t="str">
        <f>IF('TMP Paste'!$F1494="","",IF('TMP Paste'!$M1494="",$AL1493,'TMP Paste'!$M1494))</f>
        <v/>
      </c>
      <c r="AM1494" t="str">
        <f>IF('TMP Paste'!$F1494="","",IF('TMP Paste'!$N1494="",$AM1493,'TMP Paste'!$N1494))</f>
        <v/>
      </c>
      <c r="AN1494" t="str">
        <f>IF('TMP Paste'!$F1494="","",IF('TMP Paste'!$O1494="",$AN1493,'TMP Paste'!$O1494))</f>
        <v/>
      </c>
      <c r="AO1494" t="str">
        <f>IF('TMP Paste'!$F1494="","",IF('TMP Paste'!$P1494="",$AO1493,'TMP Paste'!$P1494))</f>
        <v/>
      </c>
      <c r="AP1494" t="str">
        <f t="shared" si="143"/>
        <v/>
      </c>
      <c r="AQ1494" t="str">
        <f>IF($AS1494="","",TRIM(IF(COUNTIFS(Calc!$B$2:$B$1601,ROW()-1,Calc!$C$2:$C$1601,"&lt;1")&gt;0,"Ada PO tanpa Koli - cek TMP. ","")&amp;IF(OR($AU1494="",$AU1494&lt;=0),"Volume kosong/0 - dimensi dikosongkan. ","")&amp;IF(AND($AU1494&lt;&gt;"",$AU1494&gt;=1000000),"Volume &gt;= 1.000.000 cm3 (di luar aturan) - dimensi dikosongkan. ","")&amp;IF(LEN($R1494)&gt;500,"R &gt; 500 karakter.","")))</f>
        <v/>
      </c>
      <c r="AS1494" t="str">
        <f>IFERROR(MATCH(ROW()-1,Calc!$J$2:$J$1601,0),"")</f>
        <v/>
      </c>
      <c r="AT1494" t="str">
        <f>IFERROR(MATCH(ROW()-1,Calc!$K$2:$K$1601,0),"")</f>
        <v/>
      </c>
      <c r="AU1494" t="str">
        <f>IF($AS1494="","",IFERROR(INDEX('TMP Paste'!$D$2:$D$1601,$AS1494)*1000000/$AB1494,""))</f>
        <v/>
      </c>
    </row>
    <row r="1495" spans="1:47">
      <c r="A1495" t="str">
        <f>IF($AS1495="","",INDEX('TMP Paste'!$B$2:$B$1601,$AS1495))</f>
        <v/>
      </c>
      <c r="B1495" t="str">
        <f>IF($AS1495="","",Config!$B$14)</f>
        <v/>
      </c>
      <c r="C1495" t="str">
        <f>IF($AS1495="","",Config!$B$15)</f>
        <v/>
      </c>
      <c r="D1495" t="str">
        <f>IF($AS1495="","",INDEX('TMP Paste'!$B$2:$B$1601,$AS1495))</f>
        <v/>
      </c>
      <c r="E1495" t="str">
        <f>IF($AS1495="","",Config!$B$27)</f>
        <v/>
      </c>
      <c r="F1495" t="str">
        <f>IF($AS1495="","",Config!$B$9)</f>
        <v/>
      </c>
      <c r="G1495" t="str">
        <f>IF($AS1495="","",Config!$B$10)</f>
        <v/>
      </c>
      <c r="H1495" t="str">
        <f>IF($AS1495="","",Config!$B$11)</f>
        <v/>
      </c>
      <c r="I1495" t="str">
        <f>IF($AS1495="","",Config!$B$16)</f>
        <v/>
      </c>
      <c r="J1495" t="str">
        <f>IF($AS1495="","",INDEX('TMP Paste'!$A$2:$A$1601,$AS1495))</f>
        <v/>
      </c>
      <c r="K1495" t="str">
        <f>IF($AS1495="","",INDEX('TMP Paste'!$L$2:$L$1601,$AS1495))</f>
        <v/>
      </c>
      <c r="L1495" t="str">
        <f>IF($AS1495="","",INDEX('TMP Paste'!$I$2:$I$1601,$AS1495))</f>
        <v/>
      </c>
      <c r="M1495" t="str">
        <f>IF($AS1495="","",Config!$B$16)</f>
        <v/>
      </c>
      <c r="N1495" t="str">
        <f t="shared" si="138"/>
        <v/>
      </c>
      <c r="O1495" t="str">
        <f>IF($AS1495="","",INDEX('TMP Paste'!$K$2:$K$1601,$AS1495))</f>
        <v/>
      </c>
      <c r="P1495" t="str">
        <f t="shared" si="139"/>
        <v/>
      </c>
      <c r="Q1495" t="str">
        <f>IF($AS1495="","",INDEX('TMP Paste'!$J$2:$J$1601,$AS1495))</f>
        <v/>
      </c>
      <c r="R1495" t="str">
        <f>IF($AS1495="","",Config!$B$24)</f>
        <v/>
      </c>
      <c r="S1495" t="str">
        <f ca="1">IF($AS1495="","",TEXT(Config!$B$4,"yyyy-mm-dd"))</f>
        <v/>
      </c>
      <c r="T1495" t="str">
        <f>IF($AS1495="","",Config!$B$17)</f>
        <v/>
      </c>
      <c r="U1495" t="str">
        <f>IF($AS1495="","",Config!$B$18)</f>
        <v/>
      </c>
      <c r="V1495" t="str">
        <f>IF($AS1495="","",Config!$B$19)</f>
        <v/>
      </c>
      <c r="W1495" t="str">
        <f>IF($AS1495="","",INDEX('TMP Paste'!$C$2:$C$1601,$AS1495))</f>
        <v/>
      </c>
      <c r="X1495" t="str">
        <f>IF($AS1495="","",Config!$B$29)</f>
        <v/>
      </c>
      <c r="Y1495" t="str">
        <f>IF($AT1495="","",INDEX(Calc!$I$2:$I$1601,$AT1495)&amp;" - "&amp;INDEX(Calc!$D$2:$D$1601,$AT1495)&amp;" koli")</f>
        <v/>
      </c>
      <c r="Z1495" t="str">
        <f>IF($AS1495="","",Config!$B$21)</f>
        <v/>
      </c>
      <c r="AA1495" t="str">
        <f>IF($AS1495="","",Config!$B$22)</f>
        <v/>
      </c>
      <c r="AB1495" t="str">
        <f>IF($AT1495="","",INDEX(Calc!$D$2:$D$1601,$AT1495))</f>
        <v/>
      </c>
      <c r="AC1495" t="str">
        <f>IF($AT1495="","",INDEX(Calc!$G$2:$G$1601,$AT1495))</f>
        <v/>
      </c>
      <c r="AD1495" t="str">
        <f>IF($AS1495="","",Config!$B$23)</f>
        <v/>
      </c>
      <c r="AE1495" t="str">
        <f>IF($AS1495="","",Config!$B$28)</f>
        <v/>
      </c>
      <c r="AF1495" t="str">
        <f t="shared" si="140"/>
        <v/>
      </c>
      <c r="AG1495" t="str">
        <f t="shared" si="141"/>
        <v/>
      </c>
      <c r="AH1495" t="str">
        <f t="shared" si="142"/>
        <v/>
      </c>
      <c r="AI1495" t="str">
        <f>IF($AG1495="","",SUMIF($AG$2:$AG1495,$AG1495,$AH$2:$AH1495))</f>
        <v/>
      </c>
      <c r="AJ1495" t="str">
        <f>IF('TMP Paste'!$F1495="","",IF('TMP Paste'!$B1495="",$AJ1494,'TMP Paste'!$B1495))</f>
        <v/>
      </c>
      <c r="AK1495" t="str">
        <f>IF('TMP Paste'!$F1495="","",N('TMP Paste'!$G1495))</f>
        <v/>
      </c>
      <c r="AL1495" t="str">
        <f>IF('TMP Paste'!$F1495="","",IF('TMP Paste'!$M1495="",$AL1494,'TMP Paste'!$M1495))</f>
        <v/>
      </c>
      <c r="AM1495" t="str">
        <f>IF('TMP Paste'!$F1495="","",IF('TMP Paste'!$N1495="",$AM1494,'TMP Paste'!$N1495))</f>
        <v/>
      </c>
      <c r="AN1495" t="str">
        <f>IF('TMP Paste'!$F1495="","",IF('TMP Paste'!$O1495="",$AN1494,'TMP Paste'!$O1495))</f>
        <v/>
      </c>
      <c r="AO1495" t="str">
        <f>IF('TMP Paste'!$F1495="","",IF('TMP Paste'!$P1495="",$AO1494,'TMP Paste'!$P1495))</f>
        <v/>
      </c>
      <c r="AP1495" t="str">
        <f t="shared" si="143"/>
        <v/>
      </c>
      <c r="AQ1495" t="str">
        <f>IF($AS1495="","",TRIM(IF(COUNTIFS(Calc!$B$2:$B$1601,ROW()-1,Calc!$C$2:$C$1601,"&lt;1")&gt;0,"Ada PO tanpa Koli - cek TMP. ","")&amp;IF(OR($AU1495="",$AU1495&lt;=0),"Volume kosong/0 - dimensi dikosongkan. ","")&amp;IF(AND($AU1495&lt;&gt;"",$AU1495&gt;=1000000),"Volume &gt;= 1.000.000 cm3 (di luar aturan) - dimensi dikosongkan. ","")&amp;IF(LEN($R1495)&gt;500,"R &gt; 500 karakter.","")))</f>
        <v/>
      </c>
      <c r="AS1495" t="str">
        <f>IFERROR(MATCH(ROW()-1,Calc!$J$2:$J$1601,0),"")</f>
        <v/>
      </c>
      <c r="AT1495" t="str">
        <f>IFERROR(MATCH(ROW()-1,Calc!$K$2:$K$1601,0),"")</f>
        <v/>
      </c>
      <c r="AU1495" t="str">
        <f>IF($AS1495="","",IFERROR(INDEX('TMP Paste'!$D$2:$D$1601,$AS1495)*1000000/$AB1495,""))</f>
        <v/>
      </c>
    </row>
    <row r="1496" spans="1:47">
      <c r="A1496" t="str">
        <f>IF($AS1496="","",INDEX('TMP Paste'!$B$2:$B$1601,$AS1496))</f>
        <v/>
      </c>
      <c r="B1496" t="str">
        <f>IF($AS1496="","",Config!$B$14)</f>
        <v/>
      </c>
      <c r="C1496" t="str">
        <f>IF($AS1496="","",Config!$B$15)</f>
        <v/>
      </c>
      <c r="D1496" t="str">
        <f>IF($AS1496="","",INDEX('TMP Paste'!$B$2:$B$1601,$AS1496))</f>
        <v/>
      </c>
      <c r="E1496" t="str">
        <f>IF($AS1496="","",Config!$B$27)</f>
        <v/>
      </c>
      <c r="F1496" t="str">
        <f>IF($AS1496="","",Config!$B$9)</f>
        <v/>
      </c>
      <c r="G1496" t="str">
        <f>IF($AS1496="","",Config!$B$10)</f>
        <v/>
      </c>
      <c r="H1496" t="str">
        <f>IF($AS1496="","",Config!$B$11)</f>
        <v/>
      </c>
      <c r="I1496" t="str">
        <f>IF($AS1496="","",Config!$B$16)</f>
        <v/>
      </c>
      <c r="J1496" t="str">
        <f>IF($AS1496="","",INDEX('TMP Paste'!$A$2:$A$1601,$AS1496))</f>
        <v/>
      </c>
      <c r="K1496" t="str">
        <f>IF($AS1496="","",INDEX('TMP Paste'!$L$2:$L$1601,$AS1496))</f>
        <v/>
      </c>
      <c r="L1496" t="str">
        <f>IF($AS1496="","",INDEX('TMP Paste'!$I$2:$I$1601,$AS1496))</f>
        <v/>
      </c>
      <c r="M1496" t="str">
        <f>IF($AS1496="","",Config!$B$16)</f>
        <v/>
      </c>
      <c r="N1496" t="str">
        <f t="shared" si="138"/>
        <v/>
      </c>
      <c r="O1496" t="str">
        <f>IF($AS1496="","",INDEX('TMP Paste'!$K$2:$K$1601,$AS1496))</f>
        <v/>
      </c>
      <c r="P1496" t="str">
        <f t="shared" si="139"/>
        <v/>
      </c>
      <c r="Q1496" t="str">
        <f>IF($AS1496="","",INDEX('TMP Paste'!$J$2:$J$1601,$AS1496))</f>
        <v/>
      </c>
      <c r="R1496" t="str">
        <f>IF($AS1496="","",Config!$B$24)</f>
        <v/>
      </c>
      <c r="S1496" t="str">
        <f ca="1">IF($AS1496="","",TEXT(Config!$B$4,"yyyy-mm-dd"))</f>
        <v/>
      </c>
      <c r="T1496" t="str">
        <f>IF($AS1496="","",Config!$B$17)</f>
        <v/>
      </c>
      <c r="U1496" t="str">
        <f>IF($AS1496="","",Config!$B$18)</f>
        <v/>
      </c>
      <c r="V1496" t="str">
        <f>IF($AS1496="","",Config!$B$19)</f>
        <v/>
      </c>
      <c r="W1496" t="str">
        <f>IF($AS1496="","",INDEX('TMP Paste'!$C$2:$C$1601,$AS1496))</f>
        <v/>
      </c>
      <c r="X1496" t="str">
        <f>IF($AS1496="","",Config!$B$29)</f>
        <v/>
      </c>
      <c r="Y1496" t="str">
        <f>IF($AT1496="","",INDEX(Calc!$I$2:$I$1601,$AT1496)&amp;" - "&amp;INDEX(Calc!$D$2:$D$1601,$AT1496)&amp;" koli")</f>
        <v/>
      </c>
      <c r="Z1496" t="str">
        <f>IF($AS1496="","",Config!$B$21)</f>
        <v/>
      </c>
      <c r="AA1496" t="str">
        <f>IF($AS1496="","",Config!$B$22)</f>
        <v/>
      </c>
      <c r="AB1496" t="str">
        <f>IF($AT1496="","",INDEX(Calc!$D$2:$D$1601,$AT1496))</f>
        <v/>
      </c>
      <c r="AC1496" t="str">
        <f>IF($AT1496="","",INDEX(Calc!$G$2:$G$1601,$AT1496))</f>
        <v/>
      </c>
      <c r="AD1496" t="str">
        <f>IF($AS1496="","",Config!$B$23)</f>
        <v/>
      </c>
      <c r="AE1496" t="str">
        <f>IF($AS1496="","",Config!$B$28)</f>
        <v/>
      </c>
      <c r="AF1496" t="str">
        <f t="shared" si="140"/>
        <v/>
      </c>
      <c r="AG1496" t="str">
        <f t="shared" si="141"/>
        <v/>
      </c>
      <c r="AH1496" t="str">
        <f t="shared" si="142"/>
        <v/>
      </c>
      <c r="AI1496" t="str">
        <f>IF($AG1496="","",SUMIF($AG$2:$AG1496,$AG1496,$AH$2:$AH1496))</f>
        <v/>
      </c>
      <c r="AJ1496" t="str">
        <f>IF('TMP Paste'!$F1496="","",IF('TMP Paste'!$B1496="",$AJ1495,'TMP Paste'!$B1496))</f>
        <v/>
      </c>
      <c r="AK1496" t="str">
        <f>IF('TMP Paste'!$F1496="","",N('TMP Paste'!$G1496))</f>
        <v/>
      </c>
      <c r="AL1496" t="str">
        <f>IF('TMP Paste'!$F1496="","",IF('TMP Paste'!$M1496="",$AL1495,'TMP Paste'!$M1496))</f>
        <v/>
      </c>
      <c r="AM1496" t="str">
        <f>IF('TMP Paste'!$F1496="","",IF('TMP Paste'!$N1496="",$AM1495,'TMP Paste'!$N1496))</f>
        <v/>
      </c>
      <c r="AN1496" t="str">
        <f>IF('TMP Paste'!$F1496="","",IF('TMP Paste'!$O1496="",$AN1495,'TMP Paste'!$O1496))</f>
        <v/>
      </c>
      <c r="AO1496" t="str">
        <f>IF('TMP Paste'!$F1496="","",IF('TMP Paste'!$P1496="",$AO1495,'TMP Paste'!$P1496))</f>
        <v/>
      </c>
      <c r="AP1496" t="str">
        <f t="shared" si="143"/>
        <v/>
      </c>
      <c r="AQ1496" t="str">
        <f>IF($AS1496="","",TRIM(IF(COUNTIFS(Calc!$B$2:$B$1601,ROW()-1,Calc!$C$2:$C$1601,"&lt;1")&gt;0,"Ada PO tanpa Koli - cek TMP. ","")&amp;IF(OR($AU1496="",$AU1496&lt;=0),"Volume kosong/0 - dimensi dikosongkan. ","")&amp;IF(AND($AU1496&lt;&gt;"",$AU1496&gt;=1000000),"Volume &gt;= 1.000.000 cm3 (di luar aturan) - dimensi dikosongkan. ","")&amp;IF(LEN($R1496)&gt;500,"R &gt; 500 karakter.","")))</f>
        <v/>
      </c>
      <c r="AS1496" t="str">
        <f>IFERROR(MATCH(ROW()-1,Calc!$J$2:$J$1601,0),"")</f>
        <v/>
      </c>
      <c r="AT1496" t="str">
        <f>IFERROR(MATCH(ROW()-1,Calc!$K$2:$K$1601,0),"")</f>
        <v/>
      </c>
      <c r="AU1496" t="str">
        <f>IF($AS1496="","",IFERROR(INDEX('TMP Paste'!$D$2:$D$1601,$AS1496)*1000000/$AB1496,""))</f>
        <v/>
      </c>
    </row>
    <row r="1497" spans="1:47">
      <c r="A1497" t="str">
        <f>IF($AS1497="","",INDEX('TMP Paste'!$B$2:$B$1601,$AS1497))</f>
        <v/>
      </c>
      <c r="B1497" t="str">
        <f>IF($AS1497="","",Config!$B$14)</f>
        <v/>
      </c>
      <c r="C1497" t="str">
        <f>IF($AS1497="","",Config!$B$15)</f>
        <v/>
      </c>
      <c r="D1497" t="str">
        <f>IF($AS1497="","",INDEX('TMP Paste'!$B$2:$B$1601,$AS1497))</f>
        <v/>
      </c>
      <c r="E1497" t="str">
        <f>IF($AS1497="","",Config!$B$27)</f>
        <v/>
      </c>
      <c r="F1497" t="str">
        <f>IF($AS1497="","",Config!$B$9)</f>
        <v/>
      </c>
      <c r="G1497" t="str">
        <f>IF($AS1497="","",Config!$B$10)</f>
        <v/>
      </c>
      <c r="H1497" t="str">
        <f>IF($AS1497="","",Config!$B$11)</f>
        <v/>
      </c>
      <c r="I1497" t="str">
        <f>IF($AS1497="","",Config!$B$16)</f>
        <v/>
      </c>
      <c r="J1497" t="str">
        <f>IF($AS1497="","",INDEX('TMP Paste'!$A$2:$A$1601,$AS1497))</f>
        <v/>
      </c>
      <c r="K1497" t="str">
        <f>IF($AS1497="","",INDEX('TMP Paste'!$L$2:$L$1601,$AS1497))</f>
        <v/>
      </c>
      <c r="L1497" t="str">
        <f>IF($AS1497="","",INDEX('TMP Paste'!$I$2:$I$1601,$AS1497))</f>
        <v/>
      </c>
      <c r="M1497" t="str">
        <f>IF($AS1497="","",Config!$B$16)</f>
        <v/>
      </c>
      <c r="N1497" t="str">
        <f t="shared" si="138"/>
        <v/>
      </c>
      <c r="O1497" t="str">
        <f>IF($AS1497="","",INDEX('TMP Paste'!$K$2:$K$1601,$AS1497))</f>
        <v/>
      </c>
      <c r="P1497" t="str">
        <f t="shared" si="139"/>
        <v/>
      </c>
      <c r="Q1497" t="str">
        <f>IF($AS1497="","",INDEX('TMP Paste'!$J$2:$J$1601,$AS1497))</f>
        <v/>
      </c>
      <c r="R1497" t="str">
        <f>IF($AS1497="","",Config!$B$24)</f>
        <v/>
      </c>
      <c r="S1497" t="str">
        <f ca="1">IF($AS1497="","",TEXT(Config!$B$4,"yyyy-mm-dd"))</f>
        <v/>
      </c>
      <c r="T1497" t="str">
        <f>IF($AS1497="","",Config!$B$17)</f>
        <v/>
      </c>
      <c r="U1497" t="str">
        <f>IF($AS1497="","",Config!$B$18)</f>
        <v/>
      </c>
      <c r="V1497" t="str">
        <f>IF($AS1497="","",Config!$B$19)</f>
        <v/>
      </c>
      <c r="W1497" t="str">
        <f>IF($AS1497="","",INDEX('TMP Paste'!$C$2:$C$1601,$AS1497))</f>
        <v/>
      </c>
      <c r="X1497" t="str">
        <f>IF($AS1497="","",Config!$B$29)</f>
        <v/>
      </c>
      <c r="Y1497" t="str">
        <f>IF($AT1497="","",INDEX(Calc!$I$2:$I$1601,$AT1497)&amp;" - "&amp;INDEX(Calc!$D$2:$D$1601,$AT1497)&amp;" koli")</f>
        <v/>
      </c>
      <c r="Z1497" t="str">
        <f>IF($AS1497="","",Config!$B$21)</f>
        <v/>
      </c>
      <c r="AA1497" t="str">
        <f>IF($AS1497="","",Config!$B$22)</f>
        <v/>
      </c>
      <c r="AB1497" t="str">
        <f>IF($AT1497="","",INDEX(Calc!$D$2:$D$1601,$AT1497))</f>
        <v/>
      </c>
      <c r="AC1497" t="str">
        <f>IF($AT1497="","",INDEX(Calc!$G$2:$G$1601,$AT1497))</f>
        <v/>
      </c>
      <c r="AD1497" t="str">
        <f>IF($AS1497="","",Config!$B$23)</f>
        <v/>
      </c>
      <c r="AE1497" t="str">
        <f>IF($AS1497="","",Config!$B$28)</f>
        <v/>
      </c>
      <c r="AF1497" t="str">
        <f t="shared" si="140"/>
        <v/>
      </c>
      <c r="AG1497" t="str">
        <f t="shared" si="141"/>
        <v/>
      </c>
      <c r="AH1497" t="str">
        <f t="shared" si="142"/>
        <v/>
      </c>
      <c r="AI1497" t="str">
        <f>IF($AG1497="","",SUMIF($AG$2:$AG1497,$AG1497,$AH$2:$AH1497))</f>
        <v/>
      </c>
      <c r="AJ1497" t="str">
        <f>IF('TMP Paste'!$F1497="","",IF('TMP Paste'!$B1497="",$AJ1496,'TMP Paste'!$B1497))</f>
        <v/>
      </c>
      <c r="AK1497" t="str">
        <f>IF('TMP Paste'!$F1497="","",N('TMP Paste'!$G1497))</f>
        <v/>
      </c>
      <c r="AL1497" t="str">
        <f>IF('TMP Paste'!$F1497="","",IF('TMP Paste'!$M1497="",$AL1496,'TMP Paste'!$M1497))</f>
        <v/>
      </c>
      <c r="AM1497" t="str">
        <f>IF('TMP Paste'!$F1497="","",IF('TMP Paste'!$N1497="",$AM1496,'TMP Paste'!$N1497))</f>
        <v/>
      </c>
      <c r="AN1497" t="str">
        <f>IF('TMP Paste'!$F1497="","",IF('TMP Paste'!$O1497="",$AN1496,'TMP Paste'!$O1497))</f>
        <v/>
      </c>
      <c r="AO1497" t="str">
        <f>IF('TMP Paste'!$F1497="","",IF('TMP Paste'!$P1497="",$AO1496,'TMP Paste'!$P1497))</f>
        <v/>
      </c>
      <c r="AP1497" t="str">
        <f t="shared" si="143"/>
        <v/>
      </c>
      <c r="AQ1497" t="str">
        <f>IF($AS1497="","",TRIM(IF(COUNTIFS(Calc!$B$2:$B$1601,ROW()-1,Calc!$C$2:$C$1601,"&lt;1")&gt;0,"Ada PO tanpa Koli - cek TMP. ","")&amp;IF(OR($AU1497="",$AU1497&lt;=0),"Volume kosong/0 - dimensi dikosongkan. ","")&amp;IF(AND($AU1497&lt;&gt;"",$AU1497&gt;=1000000),"Volume &gt;= 1.000.000 cm3 (di luar aturan) - dimensi dikosongkan. ","")&amp;IF(LEN($R1497)&gt;500,"R &gt; 500 karakter.","")))</f>
        <v/>
      </c>
      <c r="AS1497" t="str">
        <f>IFERROR(MATCH(ROW()-1,Calc!$J$2:$J$1601,0),"")</f>
        <v/>
      </c>
      <c r="AT1497" t="str">
        <f>IFERROR(MATCH(ROW()-1,Calc!$K$2:$K$1601,0),"")</f>
        <v/>
      </c>
      <c r="AU1497" t="str">
        <f>IF($AS1497="","",IFERROR(INDEX('TMP Paste'!$D$2:$D$1601,$AS1497)*1000000/$AB1497,""))</f>
        <v/>
      </c>
    </row>
    <row r="1498" spans="1:47">
      <c r="A1498" t="str">
        <f>IF($AS1498="","",INDEX('TMP Paste'!$B$2:$B$1601,$AS1498))</f>
        <v/>
      </c>
      <c r="B1498" t="str">
        <f>IF($AS1498="","",Config!$B$14)</f>
        <v/>
      </c>
      <c r="C1498" t="str">
        <f>IF($AS1498="","",Config!$B$15)</f>
        <v/>
      </c>
      <c r="D1498" t="str">
        <f>IF($AS1498="","",INDEX('TMP Paste'!$B$2:$B$1601,$AS1498))</f>
        <v/>
      </c>
      <c r="E1498" t="str">
        <f>IF($AS1498="","",Config!$B$27)</f>
        <v/>
      </c>
      <c r="F1498" t="str">
        <f>IF($AS1498="","",Config!$B$9)</f>
        <v/>
      </c>
      <c r="G1498" t="str">
        <f>IF($AS1498="","",Config!$B$10)</f>
        <v/>
      </c>
      <c r="H1498" t="str">
        <f>IF($AS1498="","",Config!$B$11)</f>
        <v/>
      </c>
      <c r="I1498" t="str">
        <f>IF($AS1498="","",Config!$B$16)</f>
        <v/>
      </c>
      <c r="J1498" t="str">
        <f>IF($AS1498="","",INDEX('TMP Paste'!$A$2:$A$1601,$AS1498))</f>
        <v/>
      </c>
      <c r="K1498" t="str">
        <f>IF($AS1498="","",INDEX('TMP Paste'!$L$2:$L$1601,$AS1498))</f>
        <v/>
      </c>
      <c r="L1498" t="str">
        <f>IF($AS1498="","",INDEX('TMP Paste'!$I$2:$I$1601,$AS1498))</f>
        <v/>
      </c>
      <c r="M1498" t="str">
        <f>IF($AS1498="","",Config!$B$16)</f>
        <v/>
      </c>
      <c r="N1498" t="str">
        <f t="shared" si="138"/>
        <v/>
      </c>
      <c r="O1498" t="str">
        <f>IF($AS1498="","",INDEX('TMP Paste'!$K$2:$K$1601,$AS1498))</f>
        <v/>
      </c>
      <c r="P1498" t="str">
        <f t="shared" si="139"/>
        <v/>
      </c>
      <c r="Q1498" t="str">
        <f>IF($AS1498="","",INDEX('TMP Paste'!$J$2:$J$1601,$AS1498))</f>
        <v/>
      </c>
      <c r="R1498" t="str">
        <f>IF($AS1498="","",Config!$B$24)</f>
        <v/>
      </c>
      <c r="S1498" t="str">
        <f ca="1">IF($AS1498="","",TEXT(Config!$B$4,"yyyy-mm-dd"))</f>
        <v/>
      </c>
      <c r="T1498" t="str">
        <f>IF($AS1498="","",Config!$B$17)</f>
        <v/>
      </c>
      <c r="U1498" t="str">
        <f>IF($AS1498="","",Config!$B$18)</f>
        <v/>
      </c>
      <c r="V1498" t="str">
        <f>IF($AS1498="","",Config!$B$19)</f>
        <v/>
      </c>
      <c r="W1498" t="str">
        <f>IF($AS1498="","",INDEX('TMP Paste'!$C$2:$C$1601,$AS1498))</f>
        <v/>
      </c>
      <c r="X1498" t="str">
        <f>IF($AS1498="","",Config!$B$29)</f>
        <v/>
      </c>
      <c r="Y1498" t="str">
        <f>IF($AT1498="","",INDEX(Calc!$I$2:$I$1601,$AT1498)&amp;" - "&amp;INDEX(Calc!$D$2:$D$1601,$AT1498)&amp;" koli")</f>
        <v/>
      </c>
      <c r="Z1498" t="str">
        <f>IF($AS1498="","",Config!$B$21)</f>
        <v/>
      </c>
      <c r="AA1498" t="str">
        <f>IF($AS1498="","",Config!$B$22)</f>
        <v/>
      </c>
      <c r="AB1498" t="str">
        <f>IF($AT1498="","",INDEX(Calc!$D$2:$D$1601,$AT1498))</f>
        <v/>
      </c>
      <c r="AC1498" t="str">
        <f>IF($AT1498="","",INDEX(Calc!$G$2:$G$1601,$AT1498))</f>
        <v/>
      </c>
      <c r="AD1498" t="str">
        <f>IF($AS1498="","",Config!$B$23)</f>
        <v/>
      </c>
      <c r="AE1498" t="str">
        <f>IF($AS1498="","",Config!$B$28)</f>
        <v/>
      </c>
      <c r="AF1498" t="str">
        <f t="shared" si="140"/>
        <v/>
      </c>
      <c r="AG1498" t="str">
        <f t="shared" si="141"/>
        <v/>
      </c>
      <c r="AH1498" t="str">
        <f t="shared" si="142"/>
        <v/>
      </c>
      <c r="AI1498" t="str">
        <f>IF($AG1498="","",SUMIF($AG$2:$AG1498,$AG1498,$AH$2:$AH1498))</f>
        <v/>
      </c>
      <c r="AJ1498" t="str">
        <f>IF('TMP Paste'!$F1498="","",IF('TMP Paste'!$B1498="",$AJ1497,'TMP Paste'!$B1498))</f>
        <v/>
      </c>
      <c r="AK1498" t="str">
        <f>IF('TMP Paste'!$F1498="","",N('TMP Paste'!$G1498))</f>
        <v/>
      </c>
      <c r="AL1498" t="str">
        <f>IF('TMP Paste'!$F1498="","",IF('TMP Paste'!$M1498="",$AL1497,'TMP Paste'!$M1498))</f>
        <v/>
      </c>
      <c r="AM1498" t="str">
        <f>IF('TMP Paste'!$F1498="","",IF('TMP Paste'!$N1498="",$AM1497,'TMP Paste'!$N1498))</f>
        <v/>
      </c>
      <c r="AN1498" t="str">
        <f>IF('TMP Paste'!$F1498="","",IF('TMP Paste'!$O1498="",$AN1497,'TMP Paste'!$O1498))</f>
        <v/>
      </c>
      <c r="AO1498" t="str">
        <f>IF('TMP Paste'!$F1498="","",IF('TMP Paste'!$P1498="",$AO1497,'TMP Paste'!$P1498))</f>
        <v/>
      </c>
      <c r="AP1498" t="str">
        <f t="shared" si="143"/>
        <v/>
      </c>
      <c r="AQ1498" t="str">
        <f>IF($AS1498="","",TRIM(IF(COUNTIFS(Calc!$B$2:$B$1601,ROW()-1,Calc!$C$2:$C$1601,"&lt;1")&gt;0,"Ada PO tanpa Koli - cek TMP. ","")&amp;IF(OR($AU1498="",$AU1498&lt;=0),"Volume kosong/0 - dimensi dikosongkan. ","")&amp;IF(AND($AU1498&lt;&gt;"",$AU1498&gt;=1000000),"Volume &gt;= 1.000.000 cm3 (di luar aturan) - dimensi dikosongkan. ","")&amp;IF(LEN($R1498)&gt;500,"R &gt; 500 karakter.","")))</f>
        <v/>
      </c>
      <c r="AS1498" t="str">
        <f>IFERROR(MATCH(ROW()-1,Calc!$J$2:$J$1601,0),"")</f>
        <v/>
      </c>
      <c r="AT1498" t="str">
        <f>IFERROR(MATCH(ROW()-1,Calc!$K$2:$K$1601,0),"")</f>
        <v/>
      </c>
      <c r="AU1498" t="str">
        <f>IF($AS1498="","",IFERROR(INDEX('TMP Paste'!$D$2:$D$1601,$AS1498)*1000000/$AB1498,""))</f>
        <v/>
      </c>
    </row>
    <row r="1499" spans="1:47">
      <c r="A1499" t="str">
        <f>IF($AS1499="","",INDEX('TMP Paste'!$B$2:$B$1601,$AS1499))</f>
        <v/>
      </c>
      <c r="B1499" t="str">
        <f>IF($AS1499="","",Config!$B$14)</f>
        <v/>
      </c>
      <c r="C1499" t="str">
        <f>IF($AS1499="","",Config!$B$15)</f>
        <v/>
      </c>
      <c r="D1499" t="str">
        <f>IF($AS1499="","",INDEX('TMP Paste'!$B$2:$B$1601,$AS1499))</f>
        <v/>
      </c>
      <c r="E1499" t="str">
        <f>IF($AS1499="","",Config!$B$27)</f>
        <v/>
      </c>
      <c r="F1499" t="str">
        <f>IF($AS1499="","",Config!$B$9)</f>
        <v/>
      </c>
      <c r="G1499" t="str">
        <f>IF($AS1499="","",Config!$B$10)</f>
        <v/>
      </c>
      <c r="H1499" t="str">
        <f>IF($AS1499="","",Config!$B$11)</f>
        <v/>
      </c>
      <c r="I1499" t="str">
        <f>IF($AS1499="","",Config!$B$16)</f>
        <v/>
      </c>
      <c r="J1499" t="str">
        <f>IF($AS1499="","",INDEX('TMP Paste'!$A$2:$A$1601,$AS1499))</f>
        <v/>
      </c>
      <c r="K1499" t="str">
        <f>IF($AS1499="","",INDEX('TMP Paste'!$L$2:$L$1601,$AS1499))</f>
        <v/>
      </c>
      <c r="L1499" t="str">
        <f>IF($AS1499="","",INDEX('TMP Paste'!$I$2:$I$1601,$AS1499))</f>
        <v/>
      </c>
      <c r="M1499" t="str">
        <f>IF($AS1499="","",Config!$B$16)</f>
        <v/>
      </c>
      <c r="N1499" t="str">
        <f t="shared" si="138"/>
        <v/>
      </c>
      <c r="O1499" t="str">
        <f>IF($AS1499="","",INDEX('TMP Paste'!$K$2:$K$1601,$AS1499))</f>
        <v/>
      </c>
      <c r="P1499" t="str">
        <f t="shared" si="139"/>
        <v/>
      </c>
      <c r="Q1499" t="str">
        <f>IF($AS1499="","",INDEX('TMP Paste'!$J$2:$J$1601,$AS1499))</f>
        <v/>
      </c>
      <c r="R1499" t="str">
        <f>IF($AS1499="","",Config!$B$24)</f>
        <v/>
      </c>
      <c r="S1499" t="str">
        <f ca="1">IF($AS1499="","",TEXT(Config!$B$4,"yyyy-mm-dd"))</f>
        <v/>
      </c>
      <c r="T1499" t="str">
        <f>IF($AS1499="","",Config!$B$17)</f>
        <v/>
      </c>
      <c r="U1499" t="str">
        <f>IF($AS1499="","",Config!$B$18)</f>
        <v/>
      </c>
      <c r="V1499" t="str">
        <f>IF($AS1499="","",Config!$B$19)</f>
        <v/>
      </c>
      <c r="W1499" t="str">
        <f>IF($AS1499="","",INDEX('TMP Paste'!$C$2:$C$1601,$AS1499))</f>
        <v/>
      </c>
      <c r="X1499" t="str">
        <f>IF($AS1499="","",Config!$B$29)</f>
        <v/>
      </c>
      <c r="Y1499" t="str">
        <f>IF($AT1499="","",INDEX(Calc!$I$2:$I$1601,$AT1499)&amp;" - "&amp;INDEX(Calc!$D$2:$D$1601,$AT1499)&amp;" koli")</f>
        <v/>
      </c>
      <c r="Z1499" t="str">
        <f>IF($AS1499="","",Config!$B$21)</f>
        <v/>
      </c>
      <c r="AA1499" t="str">
        <f>IF($AS1499="","",Config!$B$22)</f>
        <v/>
      </c>
      <c r="AB1499" t="str">
        <f>IF($AT1499="","",INDEX(Calc!$D$2:$D$1601,$AT1499))</f>
        <v/>
      </c>
      <c r="AC1499" t="str">
        <f>IF($AT1499="","",INDEX(Calc!$G$2:$G$1601,$AT1499))</f>
        <v/>
      </c>
      <c r="AD1499" t="str">
        <f>IF($AS1499="","",Config!$B$23)</f>
        <v/>
      </c>
      <c r="AE1499" t="str">
        <f>IF($AS1499="","",Config!$B$28)</f>
        <v/>
      </c>
      <c r="AF1499" t="str">
        <f t="shared" si="140"/>
        <v/>
      </c>
      <c r="AG1499" t="str">
        <f t="shared" si="141"/>
        <v/>
      </c>
      <c r="AH1499" t="str">
        <f t="shared" si="142"/>
        <v/>
      </c>
      <c r="AI1499" t="str">
        <f>IF($AG1499="","",SUMIF($AG$2:$AG1499,$AG1499,$AH$2:$AH1499))</f>
        <v/>
      </c>
      <c r="AJ1499" t="str">
        <f>IF('TMP Paste'!$F1499="","",IF('TMP Paste'!$B1499="",$AJ1498,'TMP Paste'!$B1499))</f>
        <v/>
      </c>
      <c r="AK1499" t="str">
        <f>IF('TMP Paste'!$F1499="","",N('TMP Paste'!$G1499))</f>
        <v/>
      </c>
      <c r="AL1499" t="str">
        <f>IF('TMP Paste'!$F1499="","",IF('TMP Paste'!$M1499="",$AL1498,'TMP Paste'!$M1499))</f>
        <v/>
      </c>
      <c r="AM1499" t="str">
        <f>IF('TMP Paste'!$F1499="","",IF('TMP Paste'!$N1499="",$AM1498,'TMP Paste'!$N1499))</f>
        <v/>
      </c>
      <c r="AN1499" t="str">
        <f>IF('TMP Paste'!$F1499="","",IF('TMP Paste'!$O1499="",$AN1498,'TMP Paste'!$O1499))</f>
        <v/>
      </c>
      <c r="AO1499" t="str">
        <f>IF('TMP Paste'!$F1499="","",IF('TMP Paste'!$P1499="",$AO1498,'TMP Paste'!$P1499))</f>
        <v/>
      </c>
      <c r="AP1499" t="str">
        <f t="shared" si="143"/>
        <v/>
      </c>
      <c r="AQ1499" t="str">
        <f>IF($AS1499="","",TRIM(IF(COUNTIFS(Calc!$B$2:$B$1601,ROW()-1,Calc!$C$2:$C$1601,"&lt;1")&gt;0,"Ada PO tanpa Koli - cek TMP. ","")&amp;IF(OR($AU1499="",$AU1499&lt;=0),"Volume kosong/0 - dimensi dikosongkan. ","")&amp;IF(AND($AU1499&lt;&gt;"",$AU1499&gt;=1000000),"Volume &gt;= 1.000.000 cm3 (di luar aturan) - dimensi dikosongkan. ","")&amp;IF(LEN($R1499)&gt;500,"R &gt; 500 karakter.","")))</f>
        <v/>
      </c>
      <c r="AS1499" t="str">
        <f>IFERROR(MATCH(ROW()-1,Calc!$J$2:$J$1601,0),"")</f>
        <v/>
      </c>
      <c r="AT1499" t="str">
        <f>IFERROR(MATCH(ROW()-1,Calc!$K$2:$K$1601,0),"")</f>
        <v/>
      </c>
      <c r="AU1499" t="str">
        <f>IF($AS1499="","",IFERROR(INDEX('TMP Paste'!$D$2:$D$1601,$AS1499)*1000000/$AB1499,""))</f>
        <v/>
      </c>
    </row>
    <row r="1500" spans="1:47">
      <c r="A1500" t="str">
        <f>IF($AS1500="","",INDEX('TMP Paste'!$B$2:$B$1601,$AS1500))</f>
        <v/>
      </c>
      <c r="B1500" t="str">
        <f>IF($AS1500="","",Config!$B$14)</f>
        <v/>
      </c>
      <c r="C1500" t="str">
        <f>IF($AS1500="","",Config!$B$15)</f>
        <v/>
      </c>
      <c r="D1500" t="str">
        <f>IF($AS1500="","",INDEX('TMP Paste'!$B$2:$B$1601,$AS1500))</f>
        <v/>
      </c>
      <c r="E1500" t="str">
        <f>IF($AS1500="","",Config!$B$27)</f>
        <v/>
      </c>
      <c r="F1500" t="str">
        <f>IF($AS1500="","",Config!$B$9)</f>
        <v/>
      </c>
      <c r="G1500" t="str">
        <f>IF($AS1500="","",Config!$B$10)</f>
        <v/>
      </c>
      <c r="H1500" t="str">
        <f>IF($AS1500="","",Config!$B$11)</f>
        <v/>
      </c>
      <c r="I1500" t="str">
        <f>IF($AS1500="","",Config!$B$16)</f>
        <v/>
      </c>
      <c r="J1500" t="str">
        <f>IF($AS1500="","",INDEX('TMP Paste'!$A$2:$A$1601,$AS1500))</f>
        <v/>
      </c>
      <c r="K1500" t="str">
        <f>IF($AS1500="","",INDEX('TMP Paste'!$L$2:$L$1601,$AS1500))</f>
        <v/>
      </c>
      <c r="L1500" t="str">
        <f>IF($AS1500="","",INDEX('TMP Paste'!$I$2:$I$1601,$AS1500))</f>
        <v/>
      </c>
      <c r="M1500" t="str">
        <f>IF($AS1500="","",Config!$B$16)</f>
        <v/>
      </c>
      <c r="N1500" t="str">
        <f t="shared" si="138"/>
        <v/>
      </c>
      <c r="O1500" t="str">
        <f>IF($AS1500="","",INDEX('TMP Paste'!$K$2:$K$1601,$AS1500))</f>
        <v/>
      </c>
      <c r="P1500" t="str">
        <f t="shared" si="139"/>
        <v/>
      </c>
      <c r="Q1500" t="str">
        <f>IF($AS1500="","",INDEX('TMP Paste'!$J$2:$J$1601,$AS1500))</f>
        <v/>
      </c>
      <c r="R1500" t="str">
        <f>IF($AS1500="","",Config!$B$24)</f>
        <v/>
      </c>
      <c r="S1500" t="str">
        <f ca="1">IF($AS1500="","",TEXT(Config!$B$4,"yyyy-mm-dd"))</f>
        <v/>
      </c>
      <c r="T1500" t="str">
        <f>IF($AS1500="","",Config!$B$17)</f>
        <v/>
      </c>
      <c r="U1500" t="str">
        <f>IF($AS1500="","",Config!$B$18)</f>
        <v/>
      </c>
      <c r="V1500" t="str">
        <f>IF($AS1500="","",Config!$B$19)</f>
        <v/>
      </c>
      <c r="W1500" t="str">
        <f>IF($AS1500="","",INDEX('TMP Paste'!$C$2:$C$1601,$AS1500))</f>
        <v/>
      </c>
      <c r="X1500" t="str">
        <f>IF($AS1500="","",Config!$B$29)</f>
        <v/>
      </c>
      <c r="Y1500" t="str">
        <f>IF($AT1500="","",INDEX(Calc!$I$2:$I$1601,$AT1500)&amp;" - "&amp;INDEX(Calc!$D$2:$D$1601,$AT1500)&amp;" koli")</f>
        <v/>
      </c>
      <c r="Z1500" t="str">
        <f>IF($AS1500="","",Config!$B$21)</f>
        <v/>
      </c>
      <c r="AA1500" t="str">
        <f>IF($AS1500="","",Config!$B$22)</f>
        <v/>
      </c>
      <c r="AB1500" t="str">
        <f>IF($AT1500="","",INDEX(Calc!$D$2:$D$1601,$AT1500))</f>
        <v/>
      </c>
      <c r="AC1500" t="str">
        <f>IF($AT1500="","",INDEX(Calc!$G$2:$G$1601,$AT1500))</f>
        <v/>
      </c>
      <c r="AD1500" t="str">
        <f>IF($AS1500="","",Config!$B$23)</f>
        <v/>
      </c>
      <c r="AE1500" t="str">
        <f>IF($AS1500="","",Config!$B$28)</f>
        <v/>
      </c>
      <c r="AF1500" t="str">
        <f t="shared" si="140"/>
        <v/>
      </c>
      <c r="AG1500" t="str">
        <f t="shared" si="141"/>
        <v/>
      </c>
      <c r="AH1500" t="str">
        <f t="shared" si="142"/>
        <v/>
      </c>
      <c r="AI1500" t="str">
        <f>IF($AG1500="","",SUMIF($AG$2:$AG1500,$AG1500,$AH$2:$AH1500))</f>
        <v/>
      </c>
      <c r="AJ1500" t="str">
        <f>IF('TMP Paste'!$F1500="","",IF('TMP Paste'!$B1500="",$AJ1499,'TMP Paste'!$B1500))</f>
        <v/>
      </c>
      <c r="AK1500" t="str">
        <f>IF('TMP Paste'!$F1500="","",N('TMP Paste'!$G1500))</f>
        <v/>
      </c>
      <c r="AL1500" t="str">
        <f>IF('TMP Paste'!$F1500="","",IF('TMP Paste'!$M1500="",$AL1499,'TMP Paste'!$M1500))</f>
        <v/>
      </c>
      <c r="AM1500" t="str">
        <f>IF('TMP Paste'!$F1500="","",IF('TMP Paste'!$N1500="",$AM1499,'TMP Paste'!$N1500))</f>
        <v/>
      </c>
      <c r="AN1500" t="str">
        <f>IF('TMP Paste'!$F1500="","",IF('TMP Paste'!$O1500="",$AN1499,'TMP Paste'!$O1500))</f>
        <v/>
      </c>
      <c r="AO1500" t="str">
        <f>IF('TMP Paste'!$F1500="","",IF('TMP Paste'!$P1500="",$AO1499,'TMP Paste'!$P1500))</f>
        <v/>
      </c>
      <c r="AP1500" t="str">
        <f t="shared" si="143"/>
        <v/>
      </c>
      <c r="AQ1500" t="str">
        <f>IF($AS1500="","",TRIM(IF(COUNTIFS(Calc!$B$2:$B$1601,ROW()-1,Calc!$C$2:$C$1601,"&lt;1")&gt;0,"Ada PO tanpa Koli - cek TMP. ","")&amp;IF(OR($AU1500="",$AU1500&lt;=0),"Volume kosong/0 - dimensi dikosongkan. ","")&amp;IF(AND($AU1500&lt;&gt;"",$AU1500&gt;=1000000),"Volume &gt;= 1.000.000 cm3 (di luar aturan) - dimensi dikosongkan. ","")&amp;IF(LEN($R1500)&gt;500,"R &gt; 500 karakter.","")))</f>
        <v/>
      </c>
      <c r="AS1500" t="str">
        <f>IFERROR(MATCH(ROW()-1,Calc!$J$2:$J$1601,0),"")</f>
        <v/>
      </c>
      <c r="AT1500" t="str">
        <f>IFERROR(MATCH(ROW()-1,Calc!$K$2:$K$1601,0),"")</f>
        <v/>
      </c>
      <c r="AU1500" t="str">
        <f>IF($AS1500="","",IFERROR(INDEX('TMP Paste'!$D$2:$D$1601,$AS1500)*1000000/$AB1500,""))</f>
        <v/>
      </c>
    </row>
    <row r="1501" spans="1:47">
      <c r="A1501" t="str">
        <f>IF($AS1501="","",INDEX('TMP Paste'!$B$2:$B$1601,$AS1501))</f>
        <v/>
      </c>
      <c r="B1501" t="str">
        <f>IF($AS1501="","",Config!$B$14)</f>
        <v/>
      </c>
      <c r="C1501" t="str">
        <f>IF($AS1501="","",Config!$B$15)</f>
        <v/>
      </c>
      <c r="D1501" t="str">
        <f>IF($AS1501="","",INDEX('TMP Paste'!$B$2:$B$1601,$AS1501))</f>
        <v/>
      </c>
      <c r="E1501" t="str">
        <f>IF($AS1501="","",Config!$B$27)</f>
        <v/>
      </c>
      <c r="F1501" t="str">
        <f>IF($AS1501="","",Config!$B$9)</f>
        <v/>
      </c>
      <c r="G1501" t="str">
        <f>IF($AS1501="","",Config!$B$10)</f>
        <v/>
      </c>
      <c r="H1501" t="str">
        <f>IF($AS1501="","",Config!$B$11)</f>
        <v/>
      </c>
      <c r="I1501" t="str">
        <f>IF($AS1501="","",Config!$B$16)</f>
        <v/>
      </c>
      <c r="J1501" t="str">
        <f>IF($AS1501="","",INDEX('TMP Paste'!$A$2:$A$1601,$AS1501))</f>
        <v/>
      </c>
      <c r="K1501" t="str">
        <f>IF($AS1501="","",INDEX('TMP Paste'!$L$2:$L$1601,$AS1501))</f>
        <v/>
      </c>
      <c r="L1501" t="str">
        <f>IF($AS1501="","",INDEX('TMP Paste'!$I$2:$I$1601,$AS1501))</f>
        <v/>
      </c>
      <c r="M1501" t="str">
        <f>IF($AS1501="","",Config!$B$16)</f>
        <v/>
      </c>
      <c r="N1501" t="str">
        <f t="shared" si="138"/>
        <v/>
      </c>
      <c r="O1501" t="str">
        <f>IF($AS1501="","",INDEX('TMP Paste'!$K$2:$K$1601,$AS1501))</f>
        <v/>
      </c>
      <c r="P1501" t="str">
        <f t="shared" si="139"/>
        <v/>
      </c>
      <c r="Q1501" t="str">
        <f>IF($AS1501="","",INDEX('TMP Paste'!$J$2:$J$1601,$AS1501))</f>
        <v/>
      </c>
      <c r="R1501" t="str">
        <f>IF($AS1501="","",Config!$B$24)</f>
        <v/>
      </c>
      <c r="S1501" t="str">
        <f ca="1">IF($AS1501="","",TEXT(Config!$B$4,"yyyy-mm-dd"))</f>
        <v/>
      </c>
      <c r="T1501" t="str">
        <f>IF($AS1501="","",Config!$B$17)</f>
        <v/>
      </c>
      <c r="U1501" t="str">
        <f>IF($AS1501="","",Config!$B$18)</f>
        <v/>
      </c>
      <c r="V1501" t="str">
        <f>IF($AS1501="","",Config!$B$19)</f>
        <v/>
      </c>
      <c r="W1501" t="str">
        <f>IF($AS1501="","",INDEX('TMP Paste'!$C$2:$C$1601,$AS1501))</f>
        <v/>
      </c>
      <c r="X1501" t="str">
        <f>IF($AS1501="","",Config!$B$29)</f>
        <v/>
      </c>
      <c r="Y1501" t="str">
        <f>IF($AT1501="","",INDEX(Calc!$I$2:$I$1601,$AT1501)&amp;" - "&amp;INDEX(Calc!$D$2:$D$1601,$AT1501)&amp;" koli")</f>
        <v/>
      </c>
      <c r="Z1501" t="str">
        <f>IF($AS1501="","",Config!$B$21)</f>
        <v/>
      </c>
      <c r="AA1501" t="str">
        <f>IF($AS1501="","",Config!$B$22)</f>
        <v/>
      </c>
      <c r="AB1501" t="str">
        <f>IF($AT1501="","",INDEX(Calc!$D$2:$D$1601,$AT1501))</f>
        <v/>
      </c>
      <c r="AC1501" t="str">
        <f>IF($AT1501="","",INDEX(Calc!$G$2:$G$1601,$AT1501))</f>
        <v/>
      </c>
      <c r="AD1501" t="str">
        <f>IF($AS1501="","",Config!$B$23)</f>
        <v/>
      </c>
      <c r="AE1501" t="str">
        <f>IF($AS1501="","",Config!$B$28)</f>
        <v/>
      </c>
      <c r="AF1501" t="str">
        <f t="shared" si="140"/>
        <v/>
      </c>
      <c r="AG1501" t="str">
        <f t="shared" si="141"/>
        <v/>
      </c>
      <c r="AH1501" t="str">
        <f t="shared" si="142"/>
        <v/>
      </c>
      <c r="AI1501" t="str">
        <f>IF($AG1501="","",SUMIF($AG$2:$AG1501,$AG1501,$AH$2:$AH1501))</f>
        <v/>
      </c>
      <c r="AJ1501" t="str">
        <f>IF('TMP Paste'!$F1501="","",IF('TMP Paste'!$B1501="",$AJ1500,'TMP Paste'!$B1501))</f>
        <v/>
      </c>
      <c r="AK1501" t="str">
        <f>IF('TMP Paste'!$F1501="","",N('TMP Paste'!$G1501))</f>
        <v/>
      </c>
      <c r="AL1501" t="str">
        <f>IF('TMP Paste'!$F1501="","",IF('TMP Paste'!$M1501="",$AL1500,'TMP Paste'!$M1501))</f>
        <v/>
      </c>
      <c r="AM1501" t="str">
        <f>IF('TMP Paste'!$F1501="","",IF('TMP Paste'!$N1501="",$AM1500,'TMP Paste'!$N1501))</f>
        <v/>
      </c>
      <c r="AN1501" t="str">
        <f>IF('TMP Paste'!$F1501="","",IF('TMP Paste'!$O1501="",$AN1500,'TMP Paste'!$O1501))</f>
        <v/>
      </c>
      <c r="AO1501" t="str">
        <f>IF('TMP Paste'!$F1501="","",IF('TMP Paste'!$P1501="",$AO1500,'TMP Paste'!$P1501))</f>
        <v/>
      </c>
      <c r="AP1501" t="str">
        <f t="shared" si="143"/>
        <v/>
      </c>
      <c r="AQ1501" t="str">
        <f>IF($AS1501="","",TRIM(IF(COUNTIFS(Calc!$B$2:$B$1601,ROW()-1,Calc!$C$2:$C$1601,"&lt;1")&gt;0,"Ada PO tanpa Koli - cek TMP. ","")&amp;IF(OR($AU1501="",$AU1501&lt;=0),"Volume kosong/0 - dimensi dikosongkan. ","")&amp;IF(AND($AU1501&lt;&gt;"",$AU1501&gt;=1000000),"Volume &gt;= 1.000.000 cm3 (di luar aturan) - dimensi dikosongkan. ","")&amp;IF(LEN($R1501)&gt;500,"R &gt; 500 karakter.","")))</f>
        <v/>
      </c>
      <c r="AS1501" t="str">
        <f>IFERROR(MATCH(ROW()-1,Calc!$J$2:$J$1601,0),"")</f>
        <v/>
      </c>
      <c r="AT1501" t="str">
        <f>IFERROR(MATCH(ROW()-1,Calc!$K$2:$K$1601,0),"")</f>
        <v/>
      </c>
      <c r="AU1501" t="str">
        <f>IF($AS1501="","",IFERROR(INDEX('TMP Paste'!$D$2:$D$1601,$AS1501)*1000000/$AB1501,""))</f>
        <v/>
      </c>
    </row>
    <row r="1502" spans="1:47">
      <c r="A1502" t="str">
        <f>IF($AS1502="","",INDEX('TMP Paste'!$B$2:$B$1601,$AS1502))</f>
        <v/>
      </c>
      <c r="B1502" t="str">
        <f>IF($AS1502="","",Config!$B$14)</f>
        <v/>
      </c>
      <c r="C1502" t="str">
        <f>IF($AS1502="","",Config!$B$15)</f>
        <v/>
      </c>
      <c r="D1502" t="str">
        <f>IF($AS1502="","",INDEX('TMP Paste'!$B$2:$B$1601,$AS1502))</f>
        <v/>
      </c>
      <c r="E1502" t="str">
        <f>IF($AS1502="","",Config!$B$27)</f>
        <v/>
      </c>
      <c r="F1502" t="str">
        <f>IF($AS1502="","",Config!$B$9)</f>
        <v/>
      </c>
      <c r="G1502" t="str">
        <f>IF($AS1502="","",Config!$B$10)</f>
        <v/>
      </c>
      <c r="H1502" t="str">
        <f>IF($AS1502="","",Config!$B$11)</f>
        <v/>
      </c>
      <c r="I1502" t="str">
        <f>IF($AS1502="","",Config!$B$16)</f>
        <v/>
      </c>
      <c r="J1502" t="str">
        <f>IF($AS1502="","",INDEX('TMP Paste'!$A$2:$A$1601,$AS1502))</f>
        <v/>
      </c>
      <c r="K1502" t="str">
        <f>IF($AS1502="","",INDEX('TMP Paste'!$L$2:$L$1601,$AS1502))</f>
        <v/>
      </c>
      <c r="L1502" t="str">
        <f>IF($AS1502="","",INDEX('TMP Paste'!$I$2:$I$1601,$AS1502))</f>
        <v/>
      </c>
      <c r="M1502" t="str">
        <f>IF($AS1502="","",Config!$B$16)</f>
        <v/>
      </c>
      <c r="N1502" t="str">
        <f t="shared" si="138"/>
        <v/>
      </c>
      <c r="O1502" t="str">
        <f>IF($AS1502="","",INDEX('TMP Paste'!$K$2:$K$1601,$AS1502))</f>
        <v/>
      </c>
      <c r="P1502" t="str">
        <f t="shared" si="139"/>
        <v/>
      </c>
      <c r="Q1502" t="str">
        <f>IF($AS1502="","",INDEX('TMP Paste'!$J$2:$J$1601,$AS1502))</f>
        <v/>
      </c>
      <c r="R1502" t="str">
        <f>IF($AS1502="","",Config!$B$24)</f>
        <v/>
      </c>
      <c r="S1502" t="str">
        <f ca="1">IF($AS1502="","",TEXT(Config!$B$4,"yyyy-mm-dd"))</f>
        <v/>
      </c>
      <c r="T1502" t="str">
        <f>IF($AS1502="","",Config!$B$17)</f>
        <v/>
      </c>
      <c r="U1502" t="str">
        <f>IF($AS1502="","",Config!$B$18)</f>
        <v/>
      </c>
      <c r="V1502" t="str">
        <f>IF($AS1502="","",Config!$B$19)</f>
        <v/>
      </c>
      <c r="W1502" t="str">
        <f>IF($AS1502="","",INDEX('TMP Paste'!$C$2:$C$1601,$AS1502))</f>
        <v/>
      </c>
      <c r="X1502" t="str">
        <f>IF($AS1502="","",Config!$B$29)</f>
        <v/>
      </c>
      <c r="Y1502" t="str">
        <f>IF($AT1502="","",INDEX(Calc!$I$2:$I$1601,$AT1502)&amp;" - "&amp;INDEX(Calc!$D$2:$D$1601,$AT1502)&amp;" koli")</f>
        <v/>
      </c>
      <c r="Z1502" t="str">
        <f>IF($AS1502="","",Config!$B$21)</f>
        <v/>
      </c>
      <c r="AA1502" t="str">
        <f>IF($AS1502="","",Config!$B$22)</f>
        <v/>
      </c>
      <c r="AB1502" t="str">
        <f>IF($AT1502="","",INDEX(Calc!$D$2:$D$1601,$AT1502))</f>
        <v/>
      </c>
      <c r="AC1502" t="str">
        <f>IF($AT1502="","",INDEX(Calc!$G$2:$G$1601,$AT1502))</f>
        <v/>
      </c>
      <c r="AD1502" t="str">
        <f>IF($AS1502="","",Config!$B$23)</f>
        <v/>
      </c>
      <c r="AE1502" t="str">
        <f>IF($AS1502="","",Config!$B$28)</f>
        <v/>
      </c>
      <c r="AF1502" t="str">
        <f t="shared" si="140"/>
        <v/>
      </c>
      <c r="AG1502" t="str">
        <f t="shared" si="141"/>
        <v/>
      </c>
      <c r="AH1502" t="str">
        <f t="shared" si="142"/>
        <v/>
      </c>
      <c r="AQ1502" t="str">
        <f>IF($AS1502="","",TRIM(IF(COUNTIFS(Calc!$B$2:$B$1601,ROW()-1,Calc!$C$2:$C$1601,"&lt;1")&gt;0,"Ada PO tanpa Koli - cek TMP. ","")&amp;IF(OR($AU1502="",$AU1502&lt;=0),"Volume kosong/0 - dimensi dikosongkan. ","")&amp;IF(AND($AU1502&lt;&gt;"",$AU1502&gt;=1000000),"Volume &gt;= 1.000.000 cm3 (di luar aturan) - dimensi dikosongkan. ","")&amp;IF(LEN($R1502)&gt;500,"R &gt; 500 karakter.","")))</f>
        <v/>
      </c>
      <c r="AS1502" t="str">
        <f>IFERROR(MATCH(ROW()-1,Calc!$J$2:$J$1601,0),"")</f>
        <v/>
      </c>
      <c r="AT1502" t="str">
        <f>IFERROR(MATCH(ROW()-1,Calc!$K$2:$K$1601,0),"")</f>
        <v/>
      </c>
      <c r="AU1502" t="str">
        <f>IF($AS1502="","",IFERROR(INDEX('TMP Paste'!$D$2:$D$1601,$AS1502)*1000000/$AB1502,""))</f>
        <v/>
      </c>
    </row>
    <row r="1503" spans="1:47">
      <c r="A1503" t="str">
        <f>IF($AS1503="","",INDEX('TMP Paste'!$B$2:$B$1601,$AS1503))</f>
        <v/>
      </c>
      <c r="B1503" t="str">
        <f>IF($AS1503="","",Config!$B$14)</f>
        <v/>
      </c>
      <c r="C1503" t="str">
        <f>IF($AS1503="","",Config!$B$15)</f>
        <v/>
      </c>
      <c r="D1503" t="str">
        <f>IF($AS1503="","",INDEX('TMP Paste'!$B$2:$B$1601,$AS1503))</f>
        <v/>
      </c>
      <c r="E1503" t="str">
        <f>IF($AS1503="","",Config!$B$27)</f>
        <v/>
      </c>
      <c r="F1503" t="str">
        <f>IF($AS1503="","",Config!$B$9)</f>
        <v/>
      </c>
      <c r="G1503" t="str">
        <f>IF($AS1503="","",Config!$B$10)</f>
        <v/>
      </c>
      <c r="H1503" t="str">
        <f>IF($AS1503="","",Config!$B$11)</f>
        <v/>
      </c>
      <c r="I1503" t="str">
        <f>IF($AS1503="","",Config!$B$16)</f>
        <v/>
      </c>
      <c r="J1503" t="str">
        <f>IF($AS1503="","",INDEX('TMP Paste'!$A$2:$A$1601,$AS1503))</f>
        <v/>
      </c>
      <c r="K1503" t="str">
        <f>IF($AS1503="","",INDEX('TMP Paste'!$L$2:$L$1601,$AS1503))</f>
        <v/>
      </c>
      <c r="L1503" t="str">
        <f>IF($AS1503="","",INDEX('TMP Paste'!$I$2:$I$1601,$AS1503))</f>
        <v/>
      </c>
      <c r="M1503" t="str">
        <f>IF($AS1503="","",Config!$B$16)</f>
        <v/>
      </c>
      <c r="N1503" t="str">
        <f t="shared" si="138"/>
        <v/>
      </c>
      <c r="O1503" t="str">
        <f>IF($AS1503="","",INDEX('TMP Paste'!$K$2:$K$1601,$AS1503))</f>
        <v/>
      </c>
      <c r="P1503" t="str">
        <f t="shared" si="139"/>
        <v/>
      </c>
      <c r="Q1503" t="str">
        <f>IF($AS1503="","",INDEX('TMP Paste'!$J$2:$J$1601,$AS1503))</f>
        <v/>
      </c>
      <c r="R1503" t="str">
        <f>IF($AS1503="","",Config!$B$24)</f>
        <v/>
      </c>
      <c r="S1503" t="str">
        <f ca="1">IF($AS1503="","",TEXT(Config!$B$4,"yyyy-mm-dd"))</f>
        <v/>
      </c>
      <c r="T1503" t="str">
        <f>IF($AS1503="","",Config!$B$17)</f>
        <v/>
      </c>
      <c r="U1503" t="str">
        <f>IF($AS1503="","",Config!$B$18)</f>
        <v/>
      </c>
      <c r="V1503" t="str">
        <f>IF($AS1503="","",Config!$B$19)</f>
        <v/>
      </c>
      <c r="W1503" t="str">
        <f>IF($AS1503="","",INDEX('TMP Paste'!$C$2:$C$1601,$AS1503))</f>
        <v/>
      </c>
      <c r="X1503" t="str">
        <f>IF($AS1503="","",Config!$B$29)</f>
        <v/>
      </c>
      <c r="Y1503" t="str">
        <f>IF($AT1503="","",INDEX(Calc!$I$2:$I$1601,$AT1503)&amp;" - "&amp;INDEX(Calc!$D$2:$D$1601,$AT1503)&amp;" koli")</f>
        <v/>
      </c>
      <c r="Z1503" t="str">
        <f>IF($AS1503="","",Config!$B$21)</f>
        <v/>
      </c>
      <c r="AA1503" t="str">
        <f>IF($AS1503="","",Config!$B$22)</f>
        <v/>
      </c>
      <c r="AB1503" t="str">
        <f>IF($AT1503="","",INDEX(Calc!$D$2:$D$1601,$AT1503))</f>
        <v/>
      </c>
      <c r="AC1503" t="str">
        <f>IF($AT1503="","",INDEX(Calc!$G$2:$G$1601,$AT1503))</f>
        <v/>
      </c>
      <c r="AD1503" t="str">
        <f>IF($AS1503="","",Config!$B$23)</f>
        <v/>
      </c>
      <c r="AE1503" t="str">
        <f>IF($AS1503="","",Config!$B$28)</f>
        <v/>
      </c>
      <c r="AF1503" t="str">
        <f t="shared" si="140"/>
        <v/>
      </c>
      <c r="AG1503" t="str">
        <f t="shared" si="141"/>
        <v/>
      </c>
      <c r="AH1503" t="str">
        <f t="shared" si="142"/>
        <v/>
      </c>
      <c r="AQ1503" t="str">
        <f>IF($AS1503="","",TRIM(IF(COUNTIFS(Calc!$B$2:$B$1601,ROW()-1,Calc!$C$2:$C$1601,"&lt;1")&gt;0,"Ada PO tanpa Koli - cek TMP. ","")&amp;IF(OR($AU1503="",$AU1503&lt;=0),"Volume kosong/0 - dimensi dikosongkan. ","")&amp;IF(AND($AU1503&lt;&gt;"",$AU1503&gt;=1000000),"Volume &gt;= 1.000.000 cm3 (di luar aturan) - dimensi dikosongkan. ","")&amp;IF(LEN($R1503)&gt;500,"R &gt; 500 karakter.","")))</f>
        <v/>
      </c>
      <c r="AS1503" t="str">
        <f>IFERROR(MATCH(ROW()-1,Calc!$J$2:$J$1601,0),"")</f>
        <v/>
      </c>
      <c r="AT1503" t="str">
        <f>IFERROR(MATCH(ROW()-1,Calc!$K$2:$K$1601,0),"")</f>
        <v/>
      </c>
      <c r="AU1503" t="str">
        <f>IF($AS1503="","",IFERROR(INDEX('TMP Paste'!$D$2:$D$1601,$AS1503)*1000000/$AB1503,""))</f>
        <v/>
      </c>
    </row>
    <row r="1504" spans="1:47">
      <c r="A1504" t="str">
        <f>IF($AS1504="","",INDEX('TMP Paste'!$B$2:$B$1601,$AS1504))</f>
        <v/>
      </c>
      <c r="B1504" t="str">
        <f>IF($AS1504="","",Config!$B$14)</f>
        <v/>
      </c>
      <c r="C1504" t="str">
        <f>IF($AS1504="","",Config!$B$15)</f>
        <v/>
      </c>
      <c r="D1504" t="str">
        <f>IF($AS1504="","",INDEX('TMP Paste'!$B$2:$B$1601,$AS1504))</f>
        <v/>
      </c>
      <c r="E1504" t="str">
        <f>IF($AS1504="","",Config!$B$27)</f>
        <v/>
      </c>
      <c r="F1504" t="str">
        <f>IF($AS1504="","",Config!$B$9)</f>
        <v/>
      </c>
      <c r="G1504" t="str">
        <f>IF($AS1504="","",Config!$B$10)</f>
        <v/>
      </c>
      <c r="H1504" t="str">
        <f>IF($AS1504="","",Config!$B$11)</f>
        <v/>
      </c>
      <c r="I1504" t="str">
        <f>IF($AS1504="","",Config!$B$16)</f>
        <v/>
      </c>
      <c r="J1504" t="str">
        <f>IF($AS1504="","",INDEX('TMP Paste'!$A$2:$A$1601,$AS1504))</f>
        <v/>
      </c>
      <c r="K1504" t="str">
        <f>IF($AS1504="","",INDEX('TMP Paste'!$L$2:$L$1601,$AS1504))</f>
        <v/>
      </c>
      <c r="L1504" t="str">
        <f>IF($AS1504="","",INDEX('TMP Paste'!$I$2:$I$1601,$AS1504))</f>
        <v/>
      </c>
      <c r="M1504" t="str">
        <f>IF($AS1504="","",Config!$B$16)</f>
        <v/>
      </c>
      <c r="N1504" t="str">
        <f t="shared" si="138"/>
        <v/>
      </c>
      <c r="O1504" t="str">
        <f>IF($AS1504="","",INDEX('TMP Paste'!$K$2:$K$1601,$AS1504))</f>
        <v/>
      </c>
      <c r="P1504" t="str">
        <f t="shared" si="139"/>
        <v/>
      </c>
      <c r="Q1504" t="str">
        <f>IF($AS1504="","",INDEX('TMP Paste'!$J$2:$J$1601,$AS1504))</f>
        <v/>
      </c>
      <c r="R1504" t="str">
        <f>IF($AS1504="","",Config!$B$24)</f>
        <v/>
      </c>
      <c r="S1504" t="str">
        <f ca="1">IF($AS1504="","",TEXT(Config!$B$4,"yyyy-mm-dd"))</f>
        <v/>
      </c>
      <c r="T1504" t="str">
        <f>IF($AS1504="","",Config!$B$17)</f>
        <v/>
      </c>
      <c r="U1504" t="str">
        <f>IF($AS1504="","",Config!$B$18)</f>
        <v/>
      </c>
      <c r="V1504" t="str">
        <f>IF($AS1504="","",Config!$B$19)</f>
        <v/>
      </c>
      <c r="W1504" t="str">
        <f>IF($AS1504="","",INDEX('TMP Paste'!$C$2:$C$1601,$AS1504))</f>
        <v/>
      </c>
      <c r="X1504" t="str">
        <f>IF($AS1504="","",Config!$B$29)</f>
        <v/>
      </c>
      <c r="Y1504" t="str">
        <f>IF($AT1504="","",INDEX(Calc!$I$2:$I$1601,$AT1504)&amp;" - "&amp;INDEX(Calc!$D$2:$D$1601,$AT1504)&amp;" koli")</f>
        <v/>
      </c>
      <c r="Z1504" t="str">
        <f>IF($AS1504="","",Config!$B$21)</f>
        <v/>
      </c>
      <c r="AA1504" t="str">
        <f>IF($AS1504="","",Config!$B$22)</f>
        <v/>
      </c>
      <c r="AB1504" t="str">
        <f>IF($AT1504="","",INDEX(Calc!$D$2:$D$1601,$AT1504))</f>
        <v/>
      </c>
      <c r="AC1504" t="str">
        <f>IF($AT1504="","",INDEX(Calc!$G$2:$G$1601,$AT1504))</f>
        <v/>
      </c>
      <c r="AD1504" t="str">
        <f>IF($AS1504="","",Config!$B$23)</f>
        <v/>
      </c>
      <c r="AE1504" t="str">
        <f>IF($AS1504="","",Config!$B$28)</f>
        <v/>
      </c>
      <c r="AF1504" t="str">
        <f t="shared" si="140"/>
        <v/>
      </c>
      <c r="AG1504" t="str">
        <f t="shared" si="141"/>
        <v/>
      </c>
      <c r="AH1504" t="str">
        <f t="shared" si="142"/>
        <v/>
      </c>
      <c r="AQ1504" t="str">
        <f>IF($AS1504="","",TRIM(IF(COUNTIFS(Calc!$B$2:$B$1601,ROW()-1,Calc!$C$2:$C$1601,"&lt;1")&gt;0,"Ada PO tanpa Koli - cek TMP. ","")&amp;IF(OR($AU1504="",$AU1504&lt;=0),"Volume kosong/0 - dimensi dikosongkan. ","")&amp;IF(AND($AU1504&lt;&gt;"",$AU1504&gt;=1000000),"Volume &gt;= 1.000.000 cm3 (di luar aturan) - dimensi dikosongkan. ","")&amp;IF(LEN($R1504)&gt;500,"R &gt; 500 karakter.","")))</f>
        <v/>
      </c>
      <c r="AS1504" t="str">
        <f>IFERROR(MATCH(ROW()-1,Calc!$J$2:$J$1601,0),"")</f>
        <v/>
      </c>
      <c r="AT1504" t="str">
        <f>IFERROR(MATCH(ROW()-1,Calc!$K$2:$K$1601,0),"")</f>
        <v/>
      </c>
      <c r="AU1504" t="str">
        <f>IF($AS1504="","",IFERROR(INDEX('TMP Paste'!$D$2:$D$1601,$AS1504)*1000000/$AB1504,""))</f>
        <v/>
      </c>
    </row>
    <row r="1505" spans="1:47">
      <c r="A1505" t="str">
        <f>IF($AS1505="","",INDEX('TMP Paste'!$B$2:$B$1601,$AS1505))</f>
        <v/>
      </c>
      <c r="B1505" t="str">
        <f>IF($AS1505="","",Config!$B$14)</f>
        <v/>
      </c>
      <c r="C1505" t="str">
        <f>IF($AS1505="","",Config!$B$15)</f>
        <v/>
      </c>
      <c r="D1505" t="str">
        <f>IF($AS1505="","",INDEX('TMP Paste'!$B$2:$B$1601,$AS1505))</f>
        <v/>
      </c>
      <c r="E1505" t="str">
        <f>IF($AS1505="","",Config!$B$27)</f>
        <v/>
      </c>
      <c r="F1505" t="str">
        <f>IF($AS1505="","",Config!$B$9)</f>
        <v/>
      </c>
      <c r="G1505" t="str">
        <f>IF($AS1505="","",Config!$B$10)</f>
        <v/>
      </c>
      <c r="H1505" t="str">
        <f>IF($AS1505="","",Config!$B$11)</f>
        <v/>
      </c>
      <c r="I1505" t="str">
        <f>IF($AS1505="","",Config!$B$16)</f>
        <v/>
      </c>
      <c r="J1505" t="str">
        <f>IF($AS1505="","",INDEX('TMP Paste'!$A$2:$A$1601,$AS1505))</f>
        <v/>
      </c>
      <c r="K1505" t="str">
        <f>IF($AS1505="","",INDEX('TMP Paste'!$L$2:$L$1601,$AS1505))</f>
        <v/>
      </c>
      <c r="L1505" t="str">
        <f>IF($AS1505="","",INDEX('TMP Paste'!$I$2:$I$1601,$AS1505))</f>
        <v/>
      </c>
      <c r="M1505" t="str">
        <f>IF($AS1505="","",Config!$B$16)</f>
        <v/>
      </c>
      <c r="N1505" t="str">
        <f t="shared" si="138"/>
        <v/>
      </c>
      <c r="O1505" t="str">
        <f>IF($AS1505="","",INDEX('TMP Paste'!$K$2:$K$1601,$AS1505))</f>
        <v/>
      </c>
      <c r="P1505" t="str">
        <f t="shared" si="139"/>
        <v/>
      </c>
      <c r="Q1505" t="str">
        <f>IF($AS1505="","",INDEX('TMP Paste'!$J$2:$J$1601,$AS1505))</f>
        <v/>
      </c>
      <c r="R1505" t="str">
        <f>IF($AS1505="","",Config!$B$24)</f>
        <v/>
      </c>
      <c r="S1505" t="str">
        <f ca="1">IF($AS1505="","",TEXT(Config!$B$4,"yyyy-mm-dd"))</f>
        <v/>
      </c>
      <c r="T1505" t="str">
        <f>IF($AS1505="","",Config!$B$17)</f>
        <v/>
      </c>
      <c r="U1505" t="str">
        <f>IF($AS1505="","",Config!$B$18)</f>
        <v/>
      </c>
      <c r="V1505" t="str">
        <f>IF($AS1505="","",Config!$B$19)</f>
        <v/>
      </c>
      <c r="W1505" t="str">
        <f>IF($AS1505="","",INDEX('TMP Paste'!$C$2:$C$1601,$AS1505))</f>
        <v/>
      </c>
      <c r="X1505" t="str">
        <f>IF($AS1505="","",Config!$B$29)</f>
        <v/>
      </c>
      <c r="Y1505" t="str">
        <f>IF($AT1505="","",INDEX(Calc!$I$2:$I$1601,$AT1505)&amp;" - "&amp;INDEX(Calc!$D$2:$D$1601,$AT1505)&amp;" koli")</f>
        <v/>
      </c>
      <c r="Z1505" t="str">
        <f>IF($AS1505="","",Config!$B$21)</f>
        <v/>
      </c>
      <c r="AA1505" t="str">
        <f>IF($AS1505="","",Config!$B$22)</f>
        <v/>
      </c>
      <c r="AB1505" t="str">
        <f>IF($AT1505="","",INDEX(Calc!$D$2:$D$1601,$AT1505))</f>
        <v/>
      </c>
      <c r="AC1505" t="str">
        <f>IF($AT1505="","",INDEX(Calc!$G$2:$G$1601,$AT1505))</f>
        <v/>
      </c>
      <c r="AD1505" t="str">
        <f>IF($AS1505="","",Config!$B$23)</f>
        <v/>
      </c>
      <c r="AE1505" t="str">
        <f>IF($AS1505="","",Config!$B$28)</f>
        <v/>
      </c>
      <c r="AF1505" t="str">
        <f t="shared" si="140"/>
        <v/>
      </c>
      <c r="AG1505" t="str">
        <f t="shared" si="141"/>
        <v/>
      </c>
      <c r="AH1505" t="str">
        <f t="shared" si="142"/>
        <v/>
      </c>
      <c r="AQ1505" t="str">
        <f>IF($AS1505="","",TRIM(IF(COUNTIFS(Calc!$B$2:$B$1601,ROW()-1,Calc!$C$2:$C$1601,"&lt;1")&gt;0,"Ada PO tanpa Koli - cek TMP. ","")&amp;IF(OR($AU1505="",$AU1505&lt;=0),"Volume kosong/0 - dimensi dikosongkan. ","")&amp;IF(AND($AU1505&lt;&gt;"",$AU1505&gt;=1000000),"Volume &gt;= 1.000.000 cm3 (di luar aturan) - dimensi dikosongkan. ","")&amp;IF(LEN($R1505)&gt;500,"R &gt; 500 karakter.","")))</f>
        <v/>
      </c>
      <c r="AS1505" t="str">
        <f>IFERROR(MATCH(ROW()-1,Calc!$J$2:$J$1601,0),"")</f>
        <v/>
      </c>
      <c r="AT1505" t="str">
        <f>IFERROR(MATCH(ROW()-1,Calc!$K$2:$K$1601,0),"")</f>
        <v/>
      </c>
      <c r="AU1505" t="str">
        <f>IF($AS1505="","",IFERROR(INDEX('TMP Paste'!$D$2:$D$1601,$AS1505)*1000000/$AB1505,""))</f>
        <v/>
      </c>
    </row>
    <row r="1506" spans="1:47">
      <c r="A1506" t="str">
        <f>IF($AS1506="","",INDEX('TMP Paste'!$B$2:$B$1601,$AS1506))</f>
        <v/>
      </c>
      <c r="B1506" t="str">
        <f>IF($AS1506="","",Config!$B$14)</f>
        <v/>
      </c>
      <c r="C1506" t="str">
        <f>IF($AS1506="","",Config!$B$15)</f>
        <v/>
      </c>
      <c r="D1506" t="str">
        <f>IF($AS1506="","",INDEX('TMP Paste'!$B$2:$B$1601,$AS1506))</f>
        <v/>
      </c>
      <c r="E1506" t="str">
        <f>IF($AS1506="","",Config!$B$27)</f>
        <v/>
      </c>
      <c r="F1506" t="str">
        <f>IF($AS1506="","",Config!$B$9)</f>
        <v/>
      </c>
      <c r="G1506" t="str">
        <f>IF($AS1506="","",Config!$B$10)</f>
        <v/>
      </c>
      <c r="H1506" t="str">
        <f>IF($AS1506="","",Config!$B$11)</f>
        <v/>
      </c>
      <c r="I1506" t="str">
        <f>IF($AS1506="","",Config!$B$16)</f>
        <v/>
      </c>
      <c r="J1506" t="str">
        <f>IF($AS1506="","",INDEX('TMP Paste'!$A$2:$A$1601,$AS1506))</f>
        <v/>
      </c>
      <c r="K1506" t="str">
        <f>IF($AS1506="","",INDEX('TMP Paste'!$L$2:$L$1601,$AS1506))</f>
        <v/>
      </c>
      <c r="L1506" t="str">
        <f>IF($AS1506="","",INDEX('TMP Paste'!$I$2:$I$1601,$AS1506))</f>
        <v/>
      </c>
      <c r="M1506" t="str">
        <f>IF($AS1506="","",Config!$B$16)</f>
        <v/>
      </c>
      <c r="N1506" t="str">
        <f t="shared" si="138"/>
        <v/>
      </c>
      <c r="O1506" t="str">
        <f>IF($AS1506="","",INDEX('TMP Paste'!$K$2:$K$1601,$AS1506))</f>
        <v/>
      </c>
      <c r="P1506" t="str">
        <f t="shared" si="139"/>
        <v/>
      </c>
      <c r="Q1506" t="str">
        <f>IF($AS1506="","",INDEX('TMP Paste'!$J$2:$J$1601,$AS1506))</f>
        <v/>
      </c>
      <c r="R1506" t="str">
        <f>IF($AS1506="","",Config!$B$24)</f>
        <v/>
      </c>
      <c r="S1506" t="str">
        <f ca="1">IF($AS1506="","",TEXT(Config!$B$4,"yyyy-mm-dd"))</f>
        <v/>
      </c>
      <c r="T1506" t="str">
        <f>IF($AS1506="","",Config!$B$17)</f>
        <v/>
      </c>
      <c r="U1506" t="str">
        <f>IF($AS1506="","",Config!$B$18)</f>
        <v/>
      </c>
      <c r="V1506" t="str">
        <f>IF($AS1506="","",Config!$B$19)</f>
        <v/>
      </c>
      <c r="W1506" t="str">
        <f>IF($AS1506="","",INDEX('TMP Paste'!$C$2:$C$1601,$AS1506))</f>
        <v/>
      </c>
      <c r="X1506" t="str">
        <f>IF($AS1506="","",Config!$B$29)</f>
        <v/>
      </c>
      <c r="Y1506" t="str">
        <f>IF($AT1506="","",INDEX(Calc!$I$2:$I$1601,$AT1506)&amp;" - "&amp;INDEX(Calc!$D$2:$D$1601,$AT1506)&amp;" koli")</f>
        <v/>
      </c>
      <c r="Z1506" t="str">
        <f>IF($AS1506="","",Config!$B$21)</f>
        <v/>
      </c>
      <c r="AA1506" t="str">
        <f>IF($AS1506="","",Config!$B$22)</f>
        <v/>
      </c>
      <c r="AB1506" t="str">
        <f>IF($AT1506="","",INDEX(Calc!$D$2:$D$1601,$AT1506))</f>
        <v/>
      </c>
      <c r="AC1506" t="str">
        <f>IF($AT1506="","",INDEX(Calc!$G$2:$G$1601,$AT1506))</f>
        <v/>
      </c>
      <c r="AD1506" t="str">
        <f>IF($AS1506="","",Config!$B$23)</f>
        <v/>
      </c>
      <c r="AE1506" t="str">
        <f>IF($AS1506="","",Config!$B$28)</f>
        <v/>
      </c>
      <c r="AF1506" t="str">
        <f t="shared" si="140"/>
        <v/>
      </c>
      <c r="AG1506" t="str">
        <f t="shared" si="141"/>
        <v/>
      </c>
      <c r="AH1506" t="str">
        <f t="shared" si="142"/>
        <v/>
      </c>
      <c r="AQ1506" t="str">
        <f>IF($AS1506="","",TRIM(IF(COUNTIFS(Calc!$B$2:$B$1601,ROW()-1,Calc!$C$2:$C$1601,"&lt;1")&gt;0,"Ada PO tanpa Koli - cek TMP. ","")&amp;IF(OR($AU1506="",$AU1506&lt;=0),"Volume kosong/0 - dimensi dikosongkan. ","")&amp;IF(AND($AU1506&lt;&gt;"",$AU1506&gt;=1000000),"Volume &gt;= 1.000.000 cm3 (di luar aturan) - dimensi dikosongkan. ","")&amp;IF(LEN($R1506)&gt;500,"R &gt; 500 karakter.","")))</f>
        <v/>
      </c>
      <c r="AS1506" t="str">
        <f>IFERROR(MATCH(ROW()-1,Calc!$J$2:$J$1601,0),"")</f>
        <v/>
      </c>
      <c r="AT1506" t="str">
        <f>IFERROR(MATCH(ROW()-1,Calc!$K$2:$K$1601,0),"")</f>
        <v/>
      </c>
      <c r="AU1506" t="str">
        <f>IF($AS1506="","",IFERROR(INDEX('TMP Paste'!$D$2:$D$1601,$AS1506)*1000000/$AB1506,""))</f>
        <v/>
      </c>
    </row>
    <row r="1507" spans="1:47">
      <c r="A1507" t="str">
        <f>IF($AS1507="","",INDEX('TMP Paste'!$B$2:$B$1601,$AS1507))</f>
        <v/>
      </c>
      <c r="B1507" t="str">
        <f>IF($AS1507="","",Config!$B$14)</f>
        <v/>
      </c>
      <c r="C1507" t="str">
        <f>IF($AS1507="","",Config!$B$15)</f>
        <v/>
      </c>
      <c r="D1507" t="str">
        <f>IF($AS1507="","",INDEX('TMP Paste'!$B$2:$B$1601,$AS1507))</f>
        <v/>
      </c>
      <c r="E1507" t="str">
        <f>IF($AS1507="","",Config!$B$27)</f>
        <v/>
      </c>
      <c r="F1507" t="str">
        <f>IF($AS1507="","",Config!$B$9)</f>
        <v/>
      </c>
      <c r="G1507" t="str">
        <f>IF($AS1507="","",Config!$B$10)</f>
        <v/>
      </c>
      <c r="H1507" t="str">
        <f>IF($AS1507="","",Config!$B$11)</f>
        <v/>
      </c>
      <c r="I1507" t="str">
        <f>IF($AS1507="","",Config!$B$16)</f>
        <v/>
      </c>
      <c r="J1507" t="str">
        <f>IF($AS1507="","",INDEX('TMP Paste'!$A$2:$A$1601,$AS1507))</f>
        <v/>
      </c>
      <c r="K1507" t="str">
        <f>IF($AS1507="","",INDEX('TMP Paste'!$L$2:$L$1601,$AS1507))</f>
        <v/>
      </c>
      <c r="L1507" t="str">
        <f>IF($AS1507="","",INDEX('TMP Paste'!$I$2:$I$1601,$AS1507))</f>
        <v/>
      </c>
      <c r="M1507" t="str">
        <f>IF($AS1507="","",Config!$B$16)</f>
        <v/>
      </c>
      <c r="N1507" t="str">
        <f t="shared" si="138"/>
        <v/>
      </c>
      <c r="O1507" t="str">
        <f>IF($AS1507="","",INDEX('TMP Paste'!$K$2:$K$1601,$AS1507))</f>
        <v/>
      </c>
      <c r="P1507" t="str">
        <f t="shared" si="139"/>
        <v/>
      </c>
      <c r="Q1507" t="str">
        <f>IF($AS1507="","",INDEX('TMP Paste'!$J$2:$J$1601,$AS1507))</f>
        <v/>
      </c>
      <c r="R1507" t="str">
        <f>IF($AS1507="","",Config!$B$24)</f>
        <v/>
      </c>
      <c r="S1507" t="str">
        <f ca="1">IF($AS1507="","",TEXT(Config!$B$4,"yyyy-mm-dd"))</f>
        <v/>
      </c>
      <c r="T1507" t="str">
        <f>IF($AS1507="","",Config!$B$17)</f>
        <v/>
      </c>
      <c r="U1507" t="str">
        <f>IF($AS1507="","",Config!$B$18)</f>
        <v/>
      </c>
      <c r="V1507" t="str">
        <f>IF($AS1507="","",Config!$B$19)</f>
        <v/>
      </c>
      <c r="W1507" t="str">
        <f>IF($AS1507="","",INDEX('TMP Paste'!$C$2:$C$1601,$AS1507))</f>
        <v/>
      </c>
      <c r="X1507" t="str">
        <f>IF($AS1507="","",Config!$B$29)</f>
        <v/>
      </c>
      <c r="Y1507" t="str">
        <f>IF($AT1507="","",INDEX(Calc!$I$2:$I$1601,$AT1507)&amp;" - "&amp;INDEX(Calc!$D$2:$D$1601,$AT1507)&amp;" koli")</f>
        <v/>
      </c>
      <c r="Z1507" t="str">
        <f>IF($AS1507="","",Config!$B$21)</f>
        <v/>
      </c>
      <c r="AA1507" t="str">
        <f>IF($AS1507="","",Config!$B$22)</f>
        <v/>
      </c>
      <c r="AB1507" t="str">
        <f>IF($AT1507="","",INDEX(Calc!$D$2:$D$1601,$AT1507))</f>
        <v/>
      </c>
      <c r="AC1507" t="str">
        <f>IF($AT1507="","",INDEX(Calc!$G$2:$G$1601,$AT1507))</f>
        <v/>
      </c>
      <c r="AD1507" t="str">
        <f>IF($AS1507="","",Config!$B$23)</f>
        <v/>
      </c>
      <c r="AE1507" t="str">
        <f>IF($AS1507="","",Config!$B$28)</f>
        <v/>
      </c>
      <c r="AF1507" t="str">
        <f t="shared" si="140"/>
        <v/>
      </c>
      <c r="AG1507" t="str">
        <f t="shared" si="141"/>
        <v/>
      </c>
      <c r="AH1507" t="str">
        <f t="shared" si="142"/>
        <v/>
      </c>
      <c r="AQ1507" t="str">
        <f>IF($AS1507="","",TRIM(IF(COUNTIFS(Calc!$B$2:$B$1601,ROW()-1,Calc!$C$2:$C$1601,"&lt;1")&gt;0,"Ada PO tanpa Koli - cek TMP. ","")&amp;IF(OR($AU1507="",$AU1507&lt;=0),"Volume kosong/0 - dimensi dikosongkan. ","")&amp;IF(AND($AU1507&lt;&gt;"",$AU1507&gt;=1000000),"Volume &gt;= 1.000.000 cm3 (di luar aturan) - dimensi dikosongkan. ","")&amp;IF(LEN($R1507)&gt;500,"R &gt; 500 karakter.","")))</f>
        <v/>
      </c>
      <c r="AS1507" t="str">
        <f>IFERROR(MATCH(ROW()-1,Calc!$J$2:$J$1601,0),"")</f>
        <v/>
      </c>
      <c r="AT1507" t="str">
        <f>IFERROR(MATCH(ROW()-1,Calc!$K$2:$K$1601,0),"")</f>
        <v/>
      </c>
      <c r="AU1507" t="str">
        <f>IF($AS1507="","",IFERROR(INDEX('TMP Paste'!$D$2:$D$1601,$AS1507)*1000000/$AB1507,""))</f>
        <v/>
      </c>
    </row>
    <row r="1508" spans="1:47">
      <c r="A1508" t="str">
        <f>IF($AS1508="","",INDEX('TMP Paste'!$B$2:$B$1601,$AS1508))</f>
        <v/>
      </c>
      <c r="B1508" t="str">
        <f>IF($AS1508="","",Config!$B$14)</f>
        <v/>
      </c>
      <c r="C1508" t="str">
        <f>IF($AS1508="","",Config!$B$15)</f>
        <v/>
      </c>
      <c r="D1508" t="str">
        <f>IF($AS1508="","",INDEX('TMP Paste'!$B$2:$B$1601,$AS1508))</f>
        <v/>
      </c>
      <c r="E1508" t="str">
        <f>IF($AS1508="","",Config!$B$27)</f>
        <v/>
      </c>
      <c r="F1508" t="str">
        <f>IF($AS1508="","",Config!$B$9)</f>
        <v/>
      </c>
      <c r="G1508" t="str">
        <f>IF($AS1508="","",Config!$B$10)</f>
        <v/>
      </c>
      <c r="H1508" t="str">
        <f>IF($AS1508="","",Config!$B$11)</f>
        <v/>
      </c>
      <c r="I1508" t="str">
        <f>IF($AS1508="","",Config!$B$16)</f>
        <v/>
      </c>
      <c r="J1508" t="str">
        <f>IF($AS1508="","",INDEX('TMP Paste'!$A$2:$A$1601,$AS1508))</f>
        <v/>
      </c>
      <c r="K1508" t="str">
        <f>IF($AS1508="","",INDEX('TMP Paste'!$L$2:$L$1601,$AS1508))</f>
        <v/>
      </c>
      <c r="L1508" t="str">
        <f>IF($AS1508="","",INDEX('TMP Paste'!$I$2:$I$1601,$AS1508))</f>
        <v/>
      </c>
      <c r="M1508" t="str">
        <f>IF($AS1508="","",Config!$B$16)</f>
        <v/>
      </c>
      <c r="N1508" t="str">
        <f t="shared" si="138"/>
        <v/>
      </c>
      <c r="O1508" t="str">
        <f>IF($AS1508="","",INDEX('TMP Paste'!$K$2:$K$1601,$AS1508))</f>
        <v/>
      </c>
      <c r="P1508" t="str">
        <f t="shared" si="139"/>
        <v/>
      </c>
      <c r="Q1508" t="str">
        <f>IF($AS1508="","",INDEX('TMP Paste'!$J$2:$J$1601,$AS1508))</f>
        <v/>
      </c>
      <c r="R1508" t="str">
        <f>IF($AS1508="","",Config!$B$24)</f>
        <v/>
      </c>
      <c r="S1508" t="str">
        <f ca="1">IF($AS1508="","",TEXT(Config!$B$4,"yyyy-mm-dd"))</f>
        <v/>
      </c>
      <c r="T1508" t="str">
        <f>IF($AS1508="","",Config!$B$17)</f>
        <v/>
      </c>
      <c r="U1508" t="str">
        <f>IF($AS1508="","",Config!$B$18)</f>
        <v/>
      </c>
      <c r="V1508" t="str">
        <f>IF($AS1508="","",Config!$B$19)</f>
        <v/>
      </c>
      <c r="W1508" t="str">
        <f>IF($AS1508="","",INDEX('TMP Paste'!$C$2:$C$1601,$AS1508))</f>
        <v/>
      </c>
      <c r="X1508" t="str">
        <f>IF($AS1508="","",Config!$B$29)</f>
        <v/>
      </c>
      <c r="Y1508" t="str">
        <f>IF($AT1508="","",INDEX(Calc!$I$2:$I$1601,$AT1508)&amp;" - "&amp;INDEX(Calc!$D$2:$D$1601,$AT1508)&amp;" koli")</f>
        <v/>
      </c>
      <c r="Z1508" t="str">
        <f>IF($AS1508="","",Config!$B$21)</f>
        <v/>
      </c>
      <c r="AA1508" t="str">
        <f>IF($AS1508="","",Config!$B$22)</f>
        <v/>
      </c>
      <c r="AB1508" t="str">
        <f>IF($AT1508="","",INDEX(Calc!$D$2:$D$1601,$AT1508))</f>
        <v/>
      </c>
      <c r="AC1508" t="str">
        <f>IF($AT1508="","",INDEX(Calc!$G$2:$G$1601,$AT1508))</f>
        <v/>
      </c>
      <c r="AD1508" t="str">
        <f>IF($AS1508="","",Config!$B$23)</f>
        <v/>
      </c>
      <c r="AE1508" t="str">
        <f>IF($AS1508="","",Config!$B$28)</f>
        <v/>
      </c>
      <c r="AF1508" t="str">
        <f t="shared" si="140"/>
        <v/>
      </c>
      <c r="AG1508" t="str">
        <f t="shared" si="141"/>
        <v/>
      </c>
      <c r="AH1508" t="str">
        <f t="shared" si="142"/>
        <v/>
      </c>
      <c r="AQ1508" t="str">
        <f>IF($AS1508="","",TRIM(IF(COUNTIFS(Calc!$B$2:$B$1601,ROW()-1,Calc!$C$2:$C$1601,"&lt;1")&gt;0,"Ada PO tanpa Koli - cek TMP. ","")&amp;IF(OR($AU1508="",$AU1508&lt;=0),"Volume kosong/0 - dimensi dikosongkan. ","")&amp;IF(AND($AU1508&lt;&gt;"",$AU1508&gt;=1000000),"Volume &gt;= 1.000.000 cm3 (di luar aturan) - dimensi dikosongkan. ","")&amp;IF(LEN($R1508)&gt;500,"R &gt; 500 karakter.","")))</f>
        <v/>
      </c>
      <c r="AS1508" t="str">
        <f>IFERROR(MATCH(ROW()-1,Calc!$J$2:$J$1601,0),"")</f>
        <v/>
      </c>
      <c r="AT1508" t="str">
        <f>IFERROR(MATCH(ROW()-1,Calc!$K$2:$K$1601,0),"")</f>
        <v/>
      </c>
      <c r="AU1508" t="str">
        <f>IF($AS1508="","",IFERROR(INDEX('TMP Paste'!$D$2:$D$1601,$AS1508)*1000000/$AB1508,""))</f>
        <v/>
      </c>
    </row>
    <row r="1509" spans="1:47">
      <c r="A1509" t="str">
        <f>IF($AS1509="","",INDEX('TMP Paste'!$B$2:$B$1601,$AS1509))</f>
        <v/>
      </c>
      <c r="B1509" t="str">
        <f>IF($AS1509="","",Config!$B$14)</f>
        <v/>
      </c>
      <c r="C1509" t="str">
        <f>IF($AS1509="","",Config!$B$15)</f>
        <v/>
      </c>
      <c r="D1509" t="str">
        <f>IF($AS1509="","",INDEX('TMP Paste'!$B$2:$B$1601,$AS1509))</f>
        <v/>
      </c>
      <c r="E1509" t="str">
        <f>IF($AS1509="","",Config!$B$27)</f>
        <v/>
      </c>
      <c r="F1509" t="str">
        <f>IF($AS1509="","",Config!$B$9)</f>
        <v/>
      </c>
      <c r="G1509" t="str">
        <f>IF($AS1509="","",Config!$B$10)</f>
        <v/>
      </c>
      <c r="H1509" t="str">
        <f>IF($AS1509="","",Config!$B$11)</f>
        <v/>
      </c>
      <c r="I1509" t="str">
        <f>IF($AS1509="","",Config!$B$16)</f>
        <v/>
      </c>
      <c r="J1509" t="str">
        <f>IF($AS1509="","",INDEX('TMP Paste'!$A$2:$A$1601,$AS1509))</f>
        <v/>
      </c>
      <c r="K1509" t="str">
        <f>IF($AS1509="","",INDEX('TMP Paste'!$L$2:$L$1601,$AS1509))</f>
        <v/>
      </c>
      <c r="L1509" t="str">
        <f>IF($AS1509="","",INDEX('TMP Paste'!$I$2:$I$1601,$AS1509))</f>
        <v/>
      </c>
      <c r="M1509" t="str">
        <f>IF($AS1509="","",Config!$B$16)</f>
        <v/>
      </c>
      <c r="N1509" t="str">
        <f t="shared" si="138"/>
        <v/>
      </c>
      <c r="O1509" t="str">
        <f>IF($AS1509="","",INDEX('TMP Paste'!$K$2:$K$1601,$AS1509))</f>
        <v/>
      </c>
      <c r="P1509" t="str">
        <f t="shared" si="139"/>
        <v/>
      </c>
      <c r="Q1509" t="str">
        <f>IF($AS1509="","",INDEX('TMP Paste'!$J$2:$J$1601,$AS1509))</f>
        <v/>
      </c>
      <c r="R1509" t="str">
        <f>IF($AS1509="","",Config!$B$24)</f>
        <v/>
      </c>
      <c r="S1509" t="str">
        <f ca="1">IF($AS1509="","",TEXT(Config!$B$4,"yyyy-mm-dd"))</f>
        <v/>
      </c>
      <c r="T1509" t="str">
        <f>IF($AS1509="","",Config!$B$17)</f>
        <v/>
      </c>
      <c r="U1509" t="str">
        <f>IF($AS1509="","",Config!$B$18)</f>
        <v/>
      </c>
      <c r="V1509" t="str">
        <f>IF($AS1509="","",Config!$B$19)</f>
        <v/>
      </c>
      <c r="W1509" t="str">
        <f>IF($AS1509="","",INDEX('TMP Paste'!$C$2:$C$1601,$AS1509))</f>
        <v/>
      </c>
      <c r="X1509" t="str">
        <f>IF($AS1509="","",Config!$B$29)</f>
        <v/>
      </c>
      <c r="Y1509" t="str">
        <f>IF($AT1509="","",INDEX(Calc!$I$2:$I$1601,$AT1509)&amp;" - "&amp;INDEX(Calc!$D$2:$D$1601,$AT1509)&amp;" koli")</f>
        <v/>
      </c>
      <c r="Z1509" t="str">
        <f>IF($AS1509="","",Config!$B$21)</f>
        <v/>
      </c>
      <c r="AA1509" t="str">
        <f>IF($AS1509="","",Config!$B$22)</f>
        <v/>
      </c>
      <c r="AB1509" t="str">
        <f>IF($AT1509="","",INDEX(Calc!$D$2:$D$1601,$AT1509))</f>
        <v/>
      </c>
      <c r="AC1509" t="str">
        <f>IF($AT1509="","",INDEX(Calc!$G$2:$G$1601,$AT1509))</f>
        <v/>
      </c>
      <c r="AD1509" t="str">
        <f>IF($AS1509="","",Config!$B$23)</f>
        <v/>
      </c>
      <c r="AE1509" t="str">
        <f>IF($AS1509="","",Config!$B$28)</f>
        <v/>
      </c>
      <c r="AF1509" t="str">
        <f t="shared" si="140"/>
        <v/>
      </c>
      <c r="AG1509" t="str">
        <f t="shared" si="141"/>
        <v/>
      </c>
      <c r="AH1509" t="str">
        <f t="shared" si="142"/>
        <v/>
      </c>
      <c r="AQ1509" t="str">
        <f>IF($AS1509="","",TRIM(IF(COUNTIFS(Calc!$B$2:$B$1601,ROW()-1,Calc!$C$2:$C$1601,"&lt;1")&gt;0,"Ada PO tanpa Koli - cek TMP. ","")&amp;IF(OR($AU1509="",$AU1509&lt;=0),"Volume kosong/0 - dimensi dikosongkan. ","")&amp;IF(AND($AU1509&lt;&gt;"",$AU1509&gt;=1000000),"Volume &gt;= 1.000.000 cm3 (di luar aturan) - dimensi dikosongkan. ","")&amp;IF(LEN($R1509)&gt;500,"R &gt; 500 karakter.","")))</f>
        <v/>
      </c>
      <c r="AS1509" t="str">
        <f>IFERROR(MATCH(ROW()-1,Calc!$J$2:$J$1601,0),"")</f>
        <v/>
      </c>
      <c r="AT1509" t="str">
        <f>IFERROR(MATCH(ROW()-1,Calc!$K$2:$K$1601,0),"")</f>
        <v/>
      </c>
      <c r="AU1509" t="str">
        <f>IF($AS1509="","",IFERROR(INDEX('TMP Paste'!$D$2:$D$1601,$AS1509)*1000000/$AB1509,""))</f>
        <v/>
      </c>
    </row>
    <row r="1510" spans="1:47">
      <c r="A1510" t="str">
        <f>IF($AS1510="","",INDEX('TMP Paste'!$B$2:$B$1601,$AS1510))</f>
        <v/>
      </c>
      <c r="B1510" t="str">
        <f>IF($AS1510="","",Config!$B$14)</f>
        <v/>
      </c>
      <c r="C1510" t="str">
        <f>IF($AS1510="","",Config!$B$15)</f>
        <v/>
      </c>
      <c r="D1510" t="str">
        <f>IF($AS1510="","",INDEX('TMP Paste'!$B$2:$B$1601,$AS1510))</f>
        <v/>
      </c>
      <c r="E1510" t="str">
        <f>IF($AS1510="","",Config!$B$27)</f>
        <v/>
      </c>
      <c r="F1510" t="str">
        <f>IF($AS1510="","",Config!$B$9)</f>
        <v/>
      </c>
      <c r="G1510" t="str">
        <f>IF($AS1510="","",Config!$B$10)</f>
        <v/>
      </c>
      <c r="H1510" t="str">
        <f>IF($AS1510="","",Config!$B$11)</f>
        <v/>
      </c>
      <c r="I1510" t="str">
        <f>IF($AS1510="","",Config!$B$16)</f>
        <v/>
      </c>
      <c r="J1510" t="str">
        <f>IF($AS1510="","",INDEX('TMP Paste'!$A$2:$A$1601,$AS1510))</f>
        <v/>
      </c>
      <c r="K1510" t="str">
        <f>IF($AS1510="","",INDEX('TMP Paste'!$L$2:$L$1601,$AS1510))</f>
        <v/>
      </c>
      <c r="L1510" t="str">
        <f>IF($AS1510="","",INDEX('TMP Paste'!$I$2:$I$1601,$AS1510))</f>
        <v/>
      </c>
      <c r="M1510" t="str">
        <f>IF($AS1510="","",Config!$B$16)</f>
        <v/>
      </c>
      <c r="N1510" t="str">
        <f t="shared" si="138"/>
        <v/>
      </c>
      <c r="O1510" t="str">
        <f>IF($AS1510="","",INDEX('TMP Paste'!$K$2:$K$1601,$AS1510))</f>
        <v/>
      </c>
      <c r="P1510" t="str">
        <f t="shared" si="139"/>
        <v/>
      </c>
      <c r="Q1510" t="str">
        <f>IF($AS1510="","",INDEX('TMP Paste'!$J$2:$J$1601,$AS1510))</f>
        <v/>
      </c>
      <c r="R1510" t="str">
        <f>IF($AS1510="","",Config!$B$24)</f>
        <v/>
      </c>
      <c r="S1510" t="str">
        <f ca="1">IF($AS1510="","",TEXT(Config!$B$4,"yyyy-mm-dd"))</f>
        <v/>
      </c>
      <c r="T1510" t="str">
        <f>IF($AS1510="","",Config!$B$17)</f>
        <v/>
      </c>
      <c r="U1510" t="str">
        <f>IF($AS1510="","",Config!$B$18)</f>
        <v/>
      </c>
      <c r="V1510" t="str">
        <f>IF($AS1510="","",Config!$B$19)</f>
        <v/>
      </c>
      <c r="W1510" t="str">
        <f>IF($AS1510="","",INDEX('TMP Paste'!$C$2:$C$1601,$AS1510))</f>
        <v/>
      </c>
      <c r="X1510" t="str">
        <f>IF($AS1510="","",Config!$B$29)</f>
        <v/>
      </c>
      <c r="Y1510" t="str">
        <f>IF($AT1510="","",INDEX(Calc!$I$2:$I$1601,$AT1510)&amp;" - "&amp;INDEX(Calc!$D$2:$D$1601,$AT1510)&amp;" koli")</f>
        <v/>
      </c>
      <c r="Z1510" t="str">
        <f>IF($AS1510="","",Config!$B$21)</f>
        <v/>
      </c>
      <c r="AA1510" t="str">
        <f>IF($AS1510="","",Config!$B$22)</f>
        <v/>
      </c>
      <c r="AB1510" t="str">
        <f>IF($AT1510="","",INDEX(Calc!$D$2:$D$1601,$AT1510))</f>
        <v/>
      </c>
      <c r="AC1510" t="str">
        <f>IF($AT1510="","",INDEX(Calc!$G$2:$G$1601,$AT1510))</f>
        <v/>
      </c>
      <c r="AD1510" t="str">
        <f>IF($AS1510="","",Config!$B$23)</f>
        <v/>
      </c>
      <c r="AE1510" t="str">
        <f>IF($AS1510="","",Config!$B$28)</f>
        <v/>
      </c>
      <c r="AF1510" t="str">
        <f t="shared" si="140"/>
        <v/>
      </c>
      <c r="AG1510" t="str">
        <f t="shared" si="141"/>
        <v/>
      </c>
      <c r="AH1510" t="str">
        <f t="shared" si="142"/>
        <v/>
      </c>
      <c r="AQ1510" t="str">
        <f>IF($AS1510="","",TRIM(IF(COUNTIFS(Calc!$B$2:$B$1601,ROW()-1,Calc!$C$2:$C$1601,"&lt;1")&gt;0,"Ada PO tanpa Koli - cek TMP. ","")&amp;IF(OR($AU1510="",$AU1510&lt;=0),"Volume kosong/0 - dimensi dikosongkan. ","")&amp;IF(AND($AU1510&lt;&gt;"",$AU1510&gt;=1000000),"Volume &gt;= 1.000.000 cm3 (di luar aturan) - dimensi dikosongkan. ","")&amp;IF(LEN($R1510)&gt;500,"R &gt; 500 karakter.","")))</f>
        <v/>
      </c>
      <c r="AS1510" t="str">
        <f>IFERROR(MATCH(ROW()-1,Calc!$J$2:$J$1601,0),"")</f>
        <v/>
      </c>
      <c r="AT1510" t="str">
        <f>IFERROR(MATCH(ROW()-1,Calc!$K$2:$K$1601,0),"")</f>
        <v/>
      </c>
      <c r="AU1510" t="str">
        <f>IF($AS1510="","",IFERROR(INDEX('TMP Paste'!$D$2:$D$1601,$AS1510)*1000000/$AB1510,""))</f>
        <v/>
      </c>
    </row>
    <row r="1511" spans="1:47">
      <c r="A1511" t="str">
        <f>IF($AS1511="","",INDEX('TMP Paste'!$B$2:$B$1601,$AS1511))</f>
        <v/>
      </c>
      <c r="B1511" t="str">
        <f>IF($AS1511="","",Config!$B$14)</f>
        <v/>
      </c>
      <c r="C1511" t="str">
        <f>IF($AS1511="","",Config!$B$15)</f>
        <v/>
      </c>
      <c r="D1511" t="str">
        <f>IF($AS1511="","",INDEX('TMP Paste'!$B$2:$B$1601,$AS1511))</f>
        <v/>
      </c>
      <c r="E1511" t="str">
        <f>IF($AS1511="","",Config!$B$27)</f>
        <v/>
      </c>
      <c r="F1511" t="str">
        <f>IF($AS1511="","",Config!$B$9)</f>
        <v/>
      </c>
      <c r="G1511" t="str">
        <f>IF($AS1511="","",Config!$B$10)</f>
        <v/>
      </c>
      <c r="H1511" t="str">
        <f>IF($AS1511="","",Config!$B$11)</f>
        <v/>
      </c>
      <c r="I1511" t="str">
        <f>IF($AS1511="","",Config!$B$16)</f>
        <v/>
      </c>
      <c r="J1511" t="str">
        <f>IF($AS1511="","",INDEX('TMP Paste'!$A$2:$A$1601,$AS1511))</f>
        <v/>
      </c>
      <c r="K1511" t="str">
        <f>IF($AS1511="","",INDEX('TMP Paste'!$L$2:$L$1601,$AS1511))</f>
        <v/>
      </c>
      <c r="L1511" t="str">
        <f>IF($AS1511="","",INDEX('TMP Paste'!$I$2:$I$1601,$AS1511))</f>
        <v/>
      </c>
      <c r="M1511" t="str">
        <f>IF($AS1511="","",Config!$B$16)</f>
        <v/>
      </c>
      <c r="N1511" t="str">
        <f t="shared" si="138"/>
        <v/>
      </c>
      <c r="O1511" t="str">
        <f>IF($AS1511="","",INDEX('TMP Paste'!$K$2:$K$1601,$AS1511))</f>
        <v/>
      </c>
      <c r="P1511" t="str">
        <f t="shared" si="139"/>
        <v/>
      </c>
      <c r="Q1511" t="str">
        <f>IF($AS1511="","",INDEX('TMP Paste'!$J$2:$J$1601,$AS1511))</f>
        <v/>
      </c>
      <c r="R1511" t="str">
        <f>IF($AS1511="","",Config!$B$24)</f>
        <v/>
      </c>
      <c r="S1511" t="str">
        <f ca="1">IF($AS1511="","",TEXT(Config!$B$4,"yyyy-mm-dd"))</f>
        <v/>
      </c>
      <c r="T1511" t="str">
        <f>IF($AS1511="","",Config!$B$17)</f>
        <v/>
      </c>
      <c r="U1511" t="str">
        <f>IF($AS1511="","",Config!$B$18)</f>
        <v/>
      </c>
      <c r="V1511" t="str">
        <f>IF($AS1511="","",Config!$B$19)</f>
        <v/>
      </c>
      <c r="W1511" t="str">
        <f>IF($AS1511="","",INDEX('TMP Paste'!$C$2:$C$1601,$AS1511))</f>
        <v/>
      </c>
      <c r="X1511" t="str">
        <f>IF($AS1511="","",Config!$B$29)</f>
        <v/>
      </c>
      <c r="Y1511" t="str">
        <f>IF($AT1511="","",INDEX(Calc!$I$2:$I$1601,$AT1511)&amp;" - "&amp;INDEX(Calc!$D$2:$D$1601,$AT1511)&amp;" koli")</f>
        <v/>
      </c>
      <c r="Z1511" t="str">
        <f>IF($AS1511="","",Config!$B$21)</f>
        <v/>
      </c>
      <c r="AA1511" t="str">
        <f>IF($AS1511="","",Config!$B$22)</f>
        <v/>
      </c>
      <c r="AB1511" t="str">
        <f>IF($AT1511="","",INDEX(Calc!$D$2:$D$1601,$AT1511))</f>
        <v/>
      </c>
      <c r="AC1511" t="str">
        <f>IF($AT1511="","",INDEX(Calc!$G$2:$G$1601,$AT1511))</f>
        <v/>
      </c>
      <c r="AD1511" t="str">
        <f>IF($AS1511="","",Config!$B$23)</f>
        <v/>
      </c>
      <c r="AE1511" t="str">
        <f>IF($AS1511="","",Config!$B$28)</f>
        <v/>
      </c>
      <c r="AF1511" t="str">
        <f t="shared" si="140"/>
        <v/>
      </c>
      <c r="AG1511" t="str">
        <f t="shared" si="141"/>
        <v/>
      </c>
      <c r="AH1511" t="str">
        <f t="shared" si="142"/>
        <v/>
      </c>
      <c r="AQ1511" t="str">
        <f>IF($AS1511="","",TRIM(IF(COUNTIFS(Calc!$B$2:$B$1601,ROW()-1,Calc!$C$2:$C$1601,"&lt;1")&gt;0,"Ada PO tanpa Koli - cek TMP. ","")&amp;IF(OR($AU1511="",$AU1511&lt;=0),"Volume kosong/0 - dimensi dikosongkan. ","")&amp;IF(AND($AU1511&lt;&gt;"",$AU1511&gt;=1000000),"Volume &gt;= 1.000.000 cm3 (di luar aturan) - dimensi dikosongkan. ","")&amp;IF(LEN($R1511)&gt;500,"R &gt; 500 karakter.","")))</f>
        <v/>
      </c>
      <c r="AS1511" t="str">
        <f>IFERROR(MATCH(ROW()-1,Calc!$J$2:$J$1601,0),"")</f>
        <v/>
      </c>
      <c r="AT1511" t="str">
        <f>IFERROR(MATCH(ROW()-1,Calc!$K$2:$K$1601,0),"")</f>
        <v/>
      </c>
      <c r="AU1511" t="str">
        <f>IF($AS1511="","",IFERROR(INDEX('TMP Paste'!$D$2:$D$1601,$AS1511)*1000000/$AB1511,""))</f>
        <v/>
      </c>
    </row>
    <row r="1512" spans="1:47">
      <c r="A1512" t="str">
        <f>IF($AS1512="","",INDEX('TMP Paste'!$B$2:$B$1601,$AS1512))</f>
        <v/>
      </c>
      <c r="B1512" t="str">
        <f>IF($AS1512="","",Config!$B$14)</f>
        <v/>
      </c>
      <c r="C1512" t="str">
        <f>IF($AS1512="","",Config!$B$15)</f>
        <v/>
      </c>
      <c r="D1512" t="str">
        <f>IF($AS1512="","",INDEX('TMP Paste'!$B$2:$B$1601,$AS1512))</f>
        <v/>
      </c>
      <c r="E1512" t="str">
        <f>IF($AS1512="","",Config!$B$27)</f>
        <v/>
      </c>
      <c r="F1512" t="str">
        <f>IF($AS1512="","",Config!$B$9)</f>
        <v/>
      </c>
      <c r="G1512" t="str">
        <f>IF($AS1512="","",Config!$B$10)</f>
        <v/>
      </c>
      <c r="H1512" t="str">
        <f>IF($AS1512="","",Config!$B$11)</f>
        <v/>
      </c>
      <c r="I1512" t="str">
        <f>IF($AS1512="","",Config!$B$16)</f>
        <v/>
      </c>
      <c r="J1512" t="str">
        <f>IF($AS1512="","",INDEX('TMP Paste'!$A$2:$A$1601,$AS1512))</f>
        <v/>
      </c>
      <c r="K1512" t="str">
        <f>IF($AS1512="","",INDEX('TMP Paste'!$L$2:$L$1601,$AS1512))</f>
        <v/>
      </c>
      <c r="L1512" t="str">
        <f>IF($AS1512="","",INDEX('TMP Paste'!$I$2:$I$1601,$AS1512))</f>
        <v/>
      </c>
      <c r="M1512" t="str">
        <f>IF($AS1512="","",Config!$B$16)</f>
        <v/>
      </c>
      <c r="N1512" t="str">
        <f t="shared" si="138"/>
        <v/>
      </c>
      <c r="O1512" t="str">
        <f>IF($AS1512="","",INDEX('TMP Paste'!$K$2:$K$1601,$AS1512))</f>
        <v/>
      </c>
      <c r="P1512" t="str">
        <f t="shared" si="139"/>
        <v/>
      </c>
      <c r="Q1512" t="str">
        <f>IF($AS1512="","",INDEX('TMP Paste'!$J$2:$J$1601,$AS1512))</f>
        <v/>
      </c>
      <c r="R1512" t="str">
        <f>IF($AS1512="","",Config!$B$24)</f>
        <v/>
      </c>
      <c r="S1512" t="str">
        <f ca="1">IF($AS1512="","",TEXT(Config!$B$4,"yyyy-mm-dd"))</f>
        <v/>
      </c>
      <c r="T1512" t="str">
        <f>IF($AS1512="","",Config!$B$17)</f>
        <v/>
      </c>
      <c r="U1512" t="str">
        <f>IF($AS1512="","",Config!$B$18)</f>
        <v/>
      </c>
      <c r="V1512" t="str">
        <f>IF($AS1512="","",Config!$B$19)</f>
        <v/>
      </c>
      <c r="W1512" t="str">
        <f>IF($AS1512="","",INDEX('TMP Paste'!$C$2:$C$1601,$AS1512))</f>
        <v/>
      </c>
      <c r="X1512" t="str">
        <f>IF($AS1512="","",Config!$B$29)</f>
        <v/>
      </c>
      <c r="Y1512" t="str">
        <f>IF($AT1512="","",INDEX(Calc!$I$2:$I$1601,$AT1512)&amp;" - "&amp;INDEX(Calc!$D$2:$D$1601,$AT1512)&amp;" koli")</f>
        <v/>
      </c>
      <c r="Z1512" t="str">
        <f>IF($AS1512="","",Config!$B$21)</f>
        <v/>
      </c>
      <c r="AA1512" t="str">
        <f>IF($AS1512="","",Config!$B$22)</f>
        <v/>
      </c>
      <c r="AB1512" t="str">
        <f>IF($AT1512="","",INDEX(Calc!$D$2:$D$1601,$AT1512))</f>
        <v/>
      </c>
      <c r="AC1512" t="str">
        <f>IF($AT1512="","",INDEX(Calc!$G$2:$G$1601,$AT1512))</f>
        <v/>
      </c>
      <c r="AD1512" t="str">
        <f>IF($AS1512="","",Config!$B$23)</f>
        <v/>
      </c>
      <c r="AE1512" t="str">
        <f>IF($AS1512="","",Config!$B$28)</f>
        <v/>
      </c>
      <c r="AF1512" t="str">
        <f t="shared" si="140"/>
        <v/>
      </c>
      <c r="AG1512" t="str">
        <f t="shared" si="141"/>
        <v/>
      </c>
      <c r="AH1512" t="str">
        <f t="shared" si="142"/>
        <v/>
      </c>
      <c r="AQ1512" t="str">
        <f>IF($AS1512="","",TRIM(IF(COUNTIFS(Calc!$B$2:$B$1601,ROW()-1,Calc!$C$2:$C$1601,"&lt;1")&gt;0,"Ada PO tanpa Koli - cek TMP. ","")&amp;IF(OR($AU1512="",$AU1512&lt;=0),"Volume kosong/0 - dimensi dikosongkan. ","")&amp;IF(AND($AU1512&lt;&gt;"",$AU1512&gt;=1000000),"Volume &gt;= 1.000.000 cm3 (di luar aturan) - dimensi dikosongkan. ","")&amp;IF(LEN($R1512)&gt;500,"R &gt; 500 karakter.","")))</f>
        <v/>
      </c>
      <c r="AS1512" t="str">
        <f>IFERROR(MATCH(ROW()-1,Calc!$J$2:$J$1601,0),"")</f>
        <v/>
      </c>
      <c r="AT1512" t="str">
        <f>IFERROR(MATCH(ROW()-1,Calc!$K$2:$K$1601,0),"")</f>
        <v/>
      </c>
      <c r="AU1512" t="str">
        <f>IF($AS1512="","",IFERROR(INDEX('TMP Paste'!$D$2:$D$1601,$AS1512)*1000000/$AB1512,""))</f>
        <v/>
      </c>
    </row>
    <row r="1513" spans="1:47">
      <c r="A1513" t="str">
        <f>IF($AS1513="","",INDEX('TMP Paste'!$B$2:$B$1601,$AS1513))</f>
        <v/>
      </c>
      <c r="B1513" t="str">
        <f>IF($AS1513="","",Config!$B$14)</f>
        <v/>
      </c>
      <c r="C1513" t="str">
        <f>IF($AS1513="","",Config!$B$15)</f>
        <v/>
      </c>
      <c r="D1513" t="str">
        <f>IF($AS1513="","",INDEX('TMP Paste'!$B$2:$B$1601,$AS1513))</f>
        <v/>
      </c>
      <c r="E1513" t="str">
        <f>IF($AS1513="","",Config!$B$27)</f>
        <v/>
      </c>
      <c r="F1513" t="str">
        <f>IF($AS1513="","",Config!$B$9)</f>
        <v/>
      </c>
      <c r="G1513" t="str">
        <f>IF($AS1513="","",Config!$B$10)</f>
        <v/>
      </c>
      <c r="H1513" t="str">
        <f>IF($AS1513="","",Config!$B$11)</f>
        <v/>
      </c>
      <c r="I1513" t="str">
        <f>IF($AS1513="","",Config!$B$16)</f>
        <v/>
      </c>
      <c r="J1513" t="str">
        <f>IF($AS1513="","",INDEX('TMP Paste'!$A$2:$A$1601,$AS1513))</f>
        <v/>
      </c>
      <c r="K1513" t="str">
        <f>IF($AS1513="","",INDEX('TMP Paste'!$L$2:$L$1601,$AS1513))</f>
        <v/>
      </c>
      <c r="L1513" t="str">
        <f>IF($AS1513="","",INDEX('TMP Paste'!$I$2:$I$1601,$AS1513))</f>
        <v/>
      </c>
      <c r="M1513" t="str">
        <f>IF($AS1513="","",Config!$B$16)</f>
        <v/>
      </c>
      <c r="N1513" t="str">
        <f t="shared" si="138"/>
        <v/>
      </c>
      <c r="O1513" t="str">
        <f>IF($AS1513="","",INDEX('TMP Paste'!$K$2:$K$1601,$AS1513))</f>
        <v/>
      </c>
      <c r="P1513" t="str">
        <f t="shared" si="139"/>
        <v/>
      </c>
      <c r="Q1513" t="str">
        <f>IF($AS1513="","",INDEX('TMP Paste'!$J$2:$J$1601,$AS1513))</f>
        <v/>
      </c>
      <c r="R1513" t="str">
        <f>IF($AS1513="","",Config!$B$24)</f>
        <v/>
      </c>
      <c r="S1513" t="str">
        <f ca="1">IF($AS1513="","",TEXT(Config!$B$4,"yyyy-mm-dd"))</f>
        <v/>
      </c>
      <c r="T1513" t="str">
        <f>IF($AS1513="","",Config!$B$17)</f>
        <v/>
      </c>
      <c r="U1513" t="str">
        <f>IF($AS1513="","",Config!$B$18)</f>
        <v/>
      </c>
      <c r="V1513" t="str">
        <f>IF($AS1513="","",Config!$B$19)</f>
        <v/>
      </c>
      <c r="W1513" t="str">
        <f>IF($AS1513="","",INDEX('TMP Paste'!$C$2:$C$1601,$AS1513))</f>
        <v/>
      </c>
      <c r="X1513" t="str">
        <f>IF($AS1513="","",Config!$B$29)</f>
        <v/>
      </c>
      <c r="Y1513" t="str">
        <f>IF($AT1513="","",INDEX(Calc!$I$2:$I$1601,$AT1513)&amp;" - "&amp;INDEX(Calc!$D$2:$D$1601,$AT1513)&amp;" koli")</f>
        <v/>
      </c>
      <c r="Z1513" t="str">
        <f>IF($AS1513="","",Config!$B$21)</f>
        <v/>
      </c>
      <c r="AA1513" t="str">
        <f>IF($AS1513="","",Config!$B$22)</f>
        <v/>
      </c>
      <c r="AB1513" t="str">
        <f>IF($AT1513="","",INDEX(Calc!$D$2:$D$1601,$AT1513))</f>
        <v/>
      </c>
      <c r="AC1513" t="str">
        <f>IF($AT1513="","",INDEX(Calc!$G$2:$G$1601,$AT1513))</f>
        <v/>
      </c>
      <c r="AD1513" t="str">
        <f>IF($AS1513="","",Config!$B$23)</f>
        <v/>
      </c>
      <c r="AE1513" t="str">
        <f>IF($AS1513="","",Config!$B$28)</f>
        <v/>
      </c>
      <c r="AF1513" t="str">
        <f t="shared" si="140"/>
        <v/>
      </c>
      <c r="AG1513" t="str">
        <f t="shared" si="141"/>
        <v/>
      </c>
      <c r="AH1513" t="str">
        <f t="shared" si="142"/>
        <v/>
      </c>
      <c r="AQ1513" t="str">
        <f>IF($AS1513="","",TRIM(IF(COUNTIFS(Calc!$B$2:$B$1601,ROW()-1,Calc!$C$2:$C$1601,"&lt;1")&gt;0,"Ada PO tanpa Koli - cek TMP. ","")&amp;IF(OR($AU1513="",$AU1513&lt;=0),"Volume kosong/0 - dimensi dikosongkan. ","")&amp;IF(AND($AU1513&lt;&gt;"",$AU1513&gt;=1000000),"Volume &gt;= 1.000.000 cm3 (di luar aturan) - dimensi dikosongkan. ","")&amp;IF(LEN($R1513)&gt;500,"R &gt; 500 karakter.","")))</f>
        <v/>
      </c>
      <c r="AS1513" t="str">
        <f>IFERROR(MATCH(ROW()-1,Calc!$J$2:$J$1601,0),"")</f>
        <v/>
      </c>
      <c r="AT1513" t="str">
        <f>IFERROR(MATCH(ROW()-1,Calc!$K$2:$K$1601,0),"")</f>
        <v/>
      </c>
      <c r="AU1513" t="str">
        <f>IF($AS1513="","",IFERROR(INDEX('TMP Paste'!$D$2:$D$1601,$AS1513)*1000000/$AB1513,""))</f>
        <v/>
      </c>
    </row>
    <row r="1514" spans="1:47">
      <c r="A1514" t="str">
        <f>IF($AS1514="","",INDEX('TMP Paste'!$B$2:$B$1601,$AS1514))</f>
        <v/>
      </c>
      <c r="B1514" t="str">
        <f>IF($AS1514="","",Config!$B$14)</f>
        <v/>
      </c>
      <c r="C1514" t="str">
        <f>IF($AS1514="","",Config!$B$15)</f>
        <v/>
      </c>
      <c r="D1514" t="str">
        <f>IF($AS1514="","",INDEX('TMP Paste'!$B$2:$B$1601,$AS1514))</f>
        <v/>
      </c>
      <c r="E1514" t="str">
        <f>IF($AS1514="","",Config!$B$27)</f>
        <v/>
      </c>
      <c r="F1514" t="str">
        <f>IF($AS1514="","",Config!$B$9)</f>
        <v/>
      </c>
      <c r="G1514" t="str">
        <f>IF($AS1514="","",Config!$B$10)</f>
        <v/>
      </c>
      <c r="H1514" t="str">
        <f>IF($AS1514="","",Config!$B$11)</f>
        <v/>
      </c>
      <c r="I1514" t="str">
        <f>IF($AS1514="","",Config!$B$16)</f>
        <v/>
      </c>
      <c r="J1514" t="str">
        <f>IF($AS1514="","",INDEX('TMP Paste'!$A$2:$A$1601,$AS1514))</f>
        <v/>
      </c>
      <c r="K1514" t="str">
        <f>IF($AS1514="","",INDEX('TMP Paste'!$L$2:$L$1601,$AS1514))</f>
        <v/>
      </c>
      <c r="L1514" t="str">
        <f>IF($AS1514="","",INDEX('TMP Paste'!$I$2:$I$1601,$AS1514))</f>
        <v/>
      </c>
      <c r="M1514" t="str">
        <f>IF($AS1514="","",Config!$B$16)</f>
        <v/>
      </c>
      <c r="N1514" t="str">
        <f t="shared" si="138"/>
        <v/>
      </c>
      <c r="O1514" t="str">
        <f>IF($AS1514="","",INDEX('TMP Paste'!$K$2:$K$1601,$AS1514))</f>
        <v/>
      </c>
      <c r="P1514" t="str">
        <f t="shared" si="139"/>
        <v/>
      </c>
      <c r="Q1514" t="str">
        <f>IF($AS1514="","",INDEX('TMP Paste'!$J$2:$J$1601,$AS1514))</f>
        <v/>
      </c>
      <c r="R1514" t="str">
        <f>IF($AS1514="","",Config!$B$24)</f>
        <v/>
      </c>
      <c r="S1514" t="str">
        <f ca="1">IF($AS1514="","",TEXT(Config!$B$4,"yyyy-mm-dd"))</f>
        <v/>
      </c>
      <c r="T1514" t="str">
        <f>IF($AS1514="","",Config!$B$17)</f>
        <v/>
      </c>
      <c r="U1514" t="str">
        <f>IF($AS1514="","",Config!$B$18)</f>
        <v/>
      </c>
      <c r="V1514" t="str">
        <f>IF($AS1514="","",Config!$B$19)</f>
        <v/>
      </c>
      <c r="W1514" t="str">
        <f>IF($AS1514="","",INDEX('TMP Paste'!$C$2:$C$1601,$AS1514))</f>
        <v/>
      </c>
      <c r="X1514" t="str">
        <f>IF($AS1514="","",Config!$B$29)</f>
        <v/>
      </c>
      <c r="Y1514" t="str">
        <f>IF($AT1514="","",INDEX(Calc!$I$2:$I$1601,$AT1514)&amp;" - "&amp;INDEX(Calc!$D$2:$D$1601,$AT1514)&amp;" koli")</f>
        <v/>
      </c>
      <c r="Z1514" t="str">
        <f>IF($AS1514="","",Config!$B$21)</f>
        <v/>
      </c>
      <c r="AA1514" t="str">
        <f>IF($AS1514="","",Config!$B$22)</f>
        <v/>
      </c>
      <c r="AB1514" t="str">
        <f>IF($AT1514="","",INDEX(Calc!$D$2:$D$1601,$AT1514))</f>
        <v/>
      </c>
      <c r="AC1514" t="str">
        <f>IF($AT1514="","",INDEX(Calc!$G$2:$G$1601,$AT1514))</f>
        <v/>
      </c>
      <c r="AD1514" t="str">
        <f>IF($AS1514="","",Config!$B$23)</f>
        <v/>
      </c>
      <c r="AE1514" t="str">
        <f>IF($AS1514="","",Config!$B$28)</f>
        <v/>
      </c>
      <c r="AF1514" t="str">
        <f t="shared" si="140"/>
        <v/>
      </c>
      <c r="AG1514" t="str">
        <f t="shared" si="141"/>
        <v/>
      </c>
      <c r="AH1514" t="str">
        <f t="shared" si="142"/>
        <v/>
      </c>
      <c r="AQ1514" t="str">
        <f>IF($AS1514="","",TRIM(IF(COUNTIFS(Calc!$B$2:$B$1601,ROW()-1,Calc!$C$2:$C$1601,"&lt;1")&gt;0,"Ada PO tanpa Koli - cek TMP. ","")&amp;IF(OR($AU1514="",$AU1514&lt;=0),"Volume kosong/0 - dimensi dikosongkan. ","")&amp;IF(AND($AU1514&lt;&gt;"",$AU1514&gt;=1000000),"Volume &gt;= 1.000.000 cm3 (di luar aturan) - dimensi dikosongkan. ","")&amp;IF(LEN($R1514)&gt;500,"R &gt; 500 karakter.","")))</f>
        <v/>
      </c>
      <c r="AS1514" t="str">
        <f>IFERROR(MATCH(ROW()-1,Calc!$J$2:$J$1601,0),"")</f>
        <v/>
      </c>
      <c r="AT1514" t="str">
        <f>IFERROR(MATCH(ROW()-1,Calc!$K$2:$K$1601,0),"")</f>
        <v/>
      </c>
      <c r="AU1514" t="str">
        <f>IF($AS1514="","",IFERROR(INDEX('TMP Paste'!$D$2:$D$1601,$AS1514)*1000000/$AB1514,""))</f>
        <v/>
      </c>
    </row>
    <row r="1515" spans="1:47">
      <c r="A1515" t="str">
        <f>IF($AS1515="","",INDEX('TMP Paste'!$B$2:$B$1601,$AS1515))</f>
        <v/>
      </c>
      <c r="B1515" t="str">
        <f>IF($AS1515="","",Config!$B$14)</f>
        <v/>
      </c>
      <c r="C1515" t="str">
        <f>IF($AS1515="","",Config!$B$15)</f>
        <v/>
      </c>
      <c r="D1515" t="str">
        <f>IF($AS1515="","",INDEX('TMP Paste'!$B$2:$B$1601,$AS1515))</f>
        <v/>
      </c>
      <c r="E1515" t="str">
        <f>IF($AS1515="","",Config!$B$27)</f>
        <v/>
      </c>
      <c r="F1515" t="str">
        <f>IF($AS1515="","",Config!$B$9)</f>
        <v/>
      </c>
      <c r="G1515" t="str">
        <f>IF($AS1515="","",Config!$B$10)</f>
        <v/>
      </c>
      <c r="H1515" t="str">
        <f>IF($AS1515="","",Config!$B$11)</f>
        <v/>
      </c>
      <c r="I1515" t="str">
        <f>IF($AS1515="","",Config!$B$16)</f>
        <v/>
      </c>
      <c r="J1515" t="str">
        <f>IF($AS1515="","",INDEX('TMP Paste'!$A$2:$A$1601,$AS1515))</f>
        <v/>
      </c>
      <c r="K1515" t="str">
        <f>IF($AS1515="","",INDEX('TMP Paste'!$L$2:$L$1601,$AS1515))</f>
        <v/>
      </c>
      <c r="L1515" t="str">
        <f>IF($AS1515="","",INDEX('TMP Paste'!$I$2:$I$1601,$AS1515))</f>
        <v/>
      </c>
      <c r="M1515" t="str">
        <f>IF($AS1515="","",Config!$B$16)</f>
        <v/>
      </c>
      <c r="N1515" t="str">
        <f t="shared" si="138"/>
        <v/>
      </c>
      <c r="O1515" t="str">
        <f>IF($AS1515="","",INDEX('TMP Paste'!$K$2:$K$1601,$AS1515))</f>
        <v/>
      </c>
      <c r="P1515" t="str">
        <f t="shared" si="139"/>
        <v/>
      </c>
      <c r="Q1515" t="str">
        <f>IF($AS1515="","",INDEX('TMP Paste'!$J$2:$J$1601,$AS1515))</f>
        <v/>
      </c>
      <c r="R1515" t="str">
        <f>IF($AS1515="","",Config!$B$24)</f>
        <v/>
      </c>
      <c r="S1515" t="str">
        <f ca="1">IF($AS1515="","",TEXT(Config!$B$4,"yyyy-mm-dd"))</f>
        <v/>
      </c>
      <c r="T1515" t="str">
        <f>IF($AS1515="","",Config!$B$17)</f>
        <v/>
      </c>
      <c r="U1515" t="str">
        <f>IF($AS1515="","",Config!$B$18)</f>
        <v/>
      </c>
      <c r="V1515" t="str">
        <f>IF($AS1515="","",Config!$B$19)</f>
        <v/>
      </c>
      <c r="W1515" t="str">
        <f>IF($AS1515="","",INDEX('TMP Paste'!$C$2:$C$1601,$AS1515))</f>
        <v/>
      </c>
      <c r="X1515" t="str">
        <f>IF($AS1515="","",Config!$B$29)</f>
        <v/>
      </c>
      <c r="Y1515" t="str">
        <f>IF($AT1515="","",INDEX(Calc!$I$2:$I$1601,$AT1515)&amp;" - "&amp;INDEX(Calc!$D$2:$D$1601,$AT1515)&amp;" koli")</f>
        <v/>
      </c>
      <c r="Z1515" t="str">
        <f>IF($AS1515="","",Config!$B$21)</f>
        <v/>
      </c>
      <c r="AA1515" t="str">
        <f>IF($AS1515="","",Config!$B$22)</f>
        <v/>
      </c>
      <c r="AB1515" t="str">
        <f>IF($AT1515="","",INDEX(Calc!$D$2:$D$1601,$AT1515))</f>
        <v/>
      </c>
      <c r="AC1515" t="str">
        <f>IF($AT1515="","",INDEX(Calc!$G$2:$G$1601,$AT1515))</f>
        <v/>
      </c>
      <c r="AD1515" t="str">
        <f>IF($AS1515="","",Config!$B$23)</f>
        <v/>
      </c>
      <c r="AE1515" t="str">
        <f>IF($AS1515="","",Config!$B$28)</f>
        <v/>
      </c>
      <c r="AF1515" t="str">
        <f t="shared" si="140"/>
        <v/>
      </c>
      <c r="AG1515" t="str">
        <f t="shared" si="141"/>
        <v/>
      </c>
      <c r="AH1515" t="str">
        <f t="shared" si="142"/>
        <v/>
      </c>
      <c r="AQ1515" t="str">
        <f>IF($AS1515="","",TRIM(IF(COUNTIFS(Calc!$B$2:$B$1601,ROW()-1,Calc!$C$2:$C$1601,"&lt;1")&gt;0,"Ada PO tanpa Koli - cek TMP. ","")&amp;IF(OR($AU1515="",$AU1515&lt;=0),"Volume kosong/0 - dimensi dikosongkan. ","")&amp;IF(AND($AU1515&lt;&gt;"",$AU1515&gt;=1000000),"Volume &gt;= 1.000.000 cm3 (di luar aturan) - dimensi dikosongkan. ","")&amp;IF(LEN($R1515)&gt;500,"R &gt; 500 karakter.","")))</f>
        <v/>
      </c>
      <c r="AS1515" t="str">
        <f>IFERROR(MATCH(ROW()-1,Calc!$J$2:$J$1601,0),"")</f>
        <v/>
      </c>
      <c r="AT1515" t="str">
        <f>IFERROR(MATCH(ROW()-1,Calc!$K$2:$K$1601,0),"")</f>
        <v/>
      </c>
      <c r="AU1515" t="str">
        <f>IF($AS1515="","",IFERROR(INDEX('TMP Paste'!$D$2:$D$1601,$AS1515)*1000000/$AB1515,""))</f>
        <v/>
      </c>
    </row>
    <row r="1516" spans="1:47">
      <c r="A1516" t="str">
        <f>IF($AS1516="","",INDEX('TMP Paste'!$B$2:$B$1601,$AS1516))</f>
        <v/>
      </c>
      <c r="B1516" t="str">
        <f>IF($AS1516="","",Config!$B$14)</f>
        <v/>
      </c>
      <c r="C1516" t="str">
        <f>IF($AS1516="","",Config!$B$15)</f>
        <v/>
      </c>
      <c r="D1516" t="str">
        <f>IF($AS1516="","",INDEX('TMP Paste'!$B$2:$B$1601,$AS1516))</f>
        <v/>
      </c>
      <c r="E1516" t="str">
        <f>IF($AS1516="","",Config!$B$27)</f>
        <v/>
      </c>
      <c r="F1516" t="str">
        <f>IF($AS1516="","",Config!$B$9)</f>
        <v/>
      </c>
      <c r="G1516" t="str">
        <f>IF($AS1516="","",Config!$B$10)</f>
        <v/>
      </c>
      <c r="H1516" t="str">
        <f>IF($AS1516="","",Config!$B$11)</f>
        <v/>
      </c>
      <c r="I1516" t="str">
        <f>IF($AS1516="","",Config!$B$16)</f>
        <v/>
      </c>
      <c r="J1516" t="str">
        <f>IF($AS1516="","",INDEX('TMP Paste'!$A$2:$A$1601,$AS1516))</f>
        <v/>
      </c>
      <c r="K1516" t="str">
        <f>IF($AS1516="","",INDEX('TMP Paste'!$L$2:$L$1601,$AS1516))</f>
        <v/>
      </c>
      <c r="L1516" t="str">
        <f>IF($AS1516="","",INDEX('TMP Paste'!$I$2:$I$1601,$AS1516))</f>
        <v/>
      </c>
      <c r="M1516" t="str">
        <f>IF($AS1516="","",Config!$B$16)</f>
        <v/>
      </c>
      <c r="N1516" t="str">
        <f t="shared" si="138"/>
        <v/>
      </c>
      <c r="O1516" t="str">
        <f>IF($AS1516="","",INDEX('TMP Paste'!$K$2:$K$1601,$AS1516))</f>
        <v/>
      </c>
      <c r="P1516" t="str">
        <f t="shared" si="139"/>
        <v/>
      </c>
      <c r="Q1516" t="str">
        <f>IF($AS1516="","",INDEX('TMP Paste'!$J$2:$J$1601,$AS1516))</f>
        <v/>
      </c>
      <c r="R1516" t="str">
        <f>IF($AS1516="","",Config!$B$24)</f>
        <v/>
      </c>
      <c r="S1516" t="str">
        <f ca="1">IF($AS1516="","",TEXT(Config!$B$4,"yyyy-mm-dd"))</f>
        <v/>
      </c>
      <c r="T1516" t="str">
        <f>IF($AS1516="","",Config!$B$17)</f>
        <v/>
      </c>
      <c r="U1516" t="str">
        <f>IF($AS1516="","",Config!$B$18)</f>
        <v/>
      </c>
      <c r="V1516" t="str">
        <f>IF($AS1516="","",Config!$B$19)</f>
        <v/>
      </c>
      <c r="W1516" t="str">
        <f>IF($AS1516="","",INDEX('TMP Paste'!$C$2:$C$1601,$AS1516))</f>
        <v/>
      </c>
      <c r="X1516" t="str">
        <f>IF($AS1516="","",Config!$B$29)</f>
        <v/>
      </c>
      <c r="Y1516" t="str">
        <f>IF($AT1516="","",INDEX(Calc!$I$2:$I$1601,$AT1516)&amp;" - "&amp;INDEX(Calc!$D$2:$D$1601,$AT1516)&amp;" koli")</f>
        <v/>
      </c>
      <c r="Z1516" t="str">
        <f>IF($AS1516="","",Config!$B$21)</f>
        <v/>
      </c>
      <c r="AA1516" t="str">
        <f>IF($AS1516="","",Config!$B$22)</f>
        <v/>
      </c>
      <c r="AB1516" t="str">
        <f>IF($AT1516="","",INDEX(Calc!$D$2:$D$1601,$AT1516))</f>
        <v/>
      </c>
      <c r="AC1516" t="str">
        <f>IF($AT1516="","",INDEX(Calc!$G$2:$G$1601,$AT1516))</f>
        <v/>
      </c>
      <c r="AD1516" t="str">
        <f>IF($AS1516="","",Config!$B$23)</f>
        <v/>
      </c>
      <c r="AE1516" t="str">
        <f>IF($AS1516="","",Config!$B$28)</f>
        <v/>
      </c>
      <c r="AF1516" t="str">
        <f t="shared" si="140"/>
        <v/>
      </c>
      <c r="AG1516" t="str">
        <f t="shared" si="141"/>
        <v/>
      </c>
      <c r="AH1516" t="str">
        <f t="shared" si="142"/>
        <v/>
      </c>
      <c r="AQ1516" t="str">
        <f>IF($AS1516="","",TRIM(IF(COUNTIFS(Calc!$B$2:$B$1601,ROW()-1,Calc!$C$2:$C$1601,"&lt;1")&gt;0,"Ada PO tanpa Koli - cek TMP. ","")&amp;IF(OR($AU1516="",$AU1516&lt;=0),"Volume kosong/0 - dimensi dikosongkan. ","")&amp;IF(AND($AU1516&lt;&gt;"",$AU1516&gt;=1000000),"Volume &gt;= 1.000.000 cm3 (di luar aturan) - dimensi dikosongkan. ","")&amp;IF(LEN($R1516)&gt;500,"R &gt; 500 karakter.","")))</f>
        <v/>
      </c>
      <c r="AS1516" t="str">
        <f>IFERROR(MATCH(ROW()-1,Calc!$J$2:$J$1601,0),"")</f>
        <v/>
      </c>
      <c r="AT1516" t="str">
        <f>IFERROR(MATCH(ROW()-1,Calc!$K$2:$K$1601,0),"")</f>
        <v/>
      </c>
      <c r="AU1516" t="str">
        <f>IF($AS1516="","",IFERROR(INDEX('TMP Paste'!$D$2:$D$1601,$AS1516)*1000000/$AB1516,""))</f>
        <v/>
      </c>
    </row>
    <row r="1517" spans="1:47">
      <c r="A1517" t="str">
        <f>IF($AS1517="","",INDEX('TMP Paste'!$B$2:$B$1601,$AS1517))</f>
        <v/>
      </c>
      <c r="B1517" t="str">
        <f>IF($AS1517="","",Config!$B$14)</f>
        <v/>
      </c>
      <c r="C1517" t="str">
        <f>IF($AS1517="","",Config!$B$15)</f>
        <v/>
      </c>
      <c r="D1517" t="str">
        <f>IF($AS1517="","",INDEX('TMP Paste'!$B$2:$B$1601,$AS1517))</f>
        <v/>
      </c>
      <c r="E1517" t="str">
        <f>IF($AS1517="","",Config!$B$27)</f>
        <v/>
      </c>
      <c r="F1517" t="str">
        <f>IF($AS1517="","",Config!$B$9)</f>
        <v/>
      </c>
      <c r="G1517" t="str">
        <f>IF($AS1517="","",Config!$B$10)</f>
        <v/>
      </c>
      <c r="H1517" t="str">
        <f>IF($AS1517="","",Config!$B$11)</f>
        <v/>
      </c>
      <c r="I1517" t="str">
        <f>IF($AS1517="","",Config!$B$16)</f>
        <v/>
      </c>
      <c r="J1517" t="str">
        <f>IF($AS1517="","",INDEX('TMP Paste'!$A$2:$A$1601,$AS1517))</f>
        <v/>
      </c>
      <c r="K1517" t="str">
        <f>IF($AS1517="","",INDEX('TMP Paste'!$L$2:$L$1601,$AS1517))</f>
        <v/>
      </c>
      <c r="L1517" t="str">
        <f>IF($AS1517="","",INDEX('TMP Paste'!$I$2:$I$1601,$AS1517))</f>
        <v/>
      </c>
      <c r="M1517" t="str">
        <f>IF($AS1517="","",Config!$B$16)</f>
        <v/>
      </c>
      <c r="N1517" t="str">
        <f t="shared" si="138"/>
        <v/>
      </c>
      <c r="O1517" t="str">
        <f>IF($AS1517="","",INDEX('TMP Paste'!$K$2:$K$1601,$AS1517))</f>
        <v/>
      </c>
      <c r="P1517" t="str">
        <f t="shared" si="139"/>
        <v/>
      </c>
      <c r="Q1517" t="str">
        <f>IF($AS1517="","",INDEX('TMP Paste'!$J$2:$J$1601,$AS1517))</f>
        <v/>
      </c>
      <c r="R1517" t="str">
        <f>IF($AS1517="","",Config!$B$24)</f>
        <v/>
      </c>
      <c r="S1517" t="str">
        <f ca="1">IF($AS1517="","",TEXT(Config!$B$4,"yyyy-mm-dd"))</f>
        <v/>
      </c>
      <c r="T1517" t="str">
        <f>IF($AS1517="","",Config!$B$17)</f>
        <v/>
      </c>
      <c r="U1517" t="str">
        <f>IF($AS1517="","",Config!$B$18)</f>
        <v/>
      </c>
      <c r="V1517" t="str">
        <f>IF($AS1517="","",Config!$B$19)</f>
        <v/>
      </c>
      <c r="W1517" t="str">
        <f>IF($AS1517="","",INDEX('TMP Paste'!$C$2:$C$1601,$AS1517))</f>
        <v/>
      </c>
      <c r="X1517" t="str">
        <f>IF($AS1517="","",Config!$B$29)</f>
        <v/>
      </c>
      <c r="Y1517" t="str">
        <f>IF($AT1517="","",INDEX(Calc!$I$2:$I$1601,$AT1517)&amp;" - "&amp;INDEX(Calc!$D$2:$D$1601,$AT1517)&amp;" koli")</f>
        <v/>
      </c>
      <c r="Z1517" t="str">
        <f>IF($AS1517="","",Config!$B$21)</f>
        <v/>
      </c>
      <c r="AA1517" t="str">
        <f>IF($AS1517="","",Config!$B$22)</f>
        <v/>
      </c>
      <c r="AB1517" t="str">
        <f>IF($AT1517="","",INDEX(Calc!$D$2:$D$1601,$AT1517))</f>
        <v/>
      </c>
      <c r="AC1517" t="str">
        <f>IF($AT1517="","",INDEX(Calc!$G$2:$G$1601,$AT1517))</f>
        <v/>
      </c>
      <c r="AD1517" t="str">
        <f>IF($AS1517="","",Config!$B$23)</f>
        <v/>
      </c>
      <c r="AE1517" t="str">
        <f>IF($AS1517="","",Config!$B$28)</f>
        <v/>
      </c>
      <c r="AF1517" t="str">
        <f t="shared" si="140"/>
        <v/>
      </c>
      <c r="AG1517" t="str">
        <f t="shared" si="141"/>
        <v/>
      </c>
      <c r="AH1517" t="str">
        <f t="shared" si="142"/>
        <v/>
      </c>
      <c r="AQ1517" t="str">
        <f>IF($AS1517="","",TRIM(IF(COUNTIFS(Calc!$B$2:$B$1601,ROW()-1,Calc!$C$2:$C$1601,"&lt;1")&gt;0,"Ada PO tanpa Koli - cek TMP. ","")&amp;IF(OR($AU1517="",$AU1517&lt;=0),"Volume kosong/0 - dimensi dikosongkan. ","")&amp;IF(AND($AU1517&lt;&gt;"",$AU1517&gt;=1000000),"Volume &gt;= 1.000.000 cm3 (di luar aturan) - dimensi dikosongkan. ","")&amp;IF(LEN($R1517)&gt;500,"R &gt; 500 karakter.","")))</f>
        <v/>
      </c>
      <c r="AS1517" t="str">
        <f>IFERROR(MATCH(ROW()-1,Calc!$J$2:$J$1601,0),"")</f>
        <v/>
      </c>
      <c r="AT1517" t="str">
        <f>IFERROR(MATCH(ROW()-1,Calc!$K$2:$K$1601,0),"")</f>
        <v/>
      </c>
      <c r="AU1517" t="str">
        <f>IF($AS1517="","",IFERROR(INDEX('TMP Paste'!$D$2:$D$1601,$AS1517)*1000000/$AB1517,""))</f>
        <v/>
      </c>
    </row>
    <row r="1518" spans="1:47">
      <c r="A1518" t="str">
        <f>IF($AS1518="","",INDEX('TMP Paste'!$B$2:$B$1601,$AS1518))</f>
        <v/>
      </c>
      <c r="B1518" t="str">
        <f>IF($AS1518="","",Config!$B$14)</f>
        <v/>
      </c>
      <c r="C1518" t="str">
        <f>IF($AS1518="","",Config!$B$15)</f>
        <v/>
      </c>
      <c r="D1518" t="str">
        <f>IF($AS1518="","",INDEX('TMP Paste'!$B$2:$B$1601,$AS1518))</f>
        <v/>
      </c>
      <c r="E1518" t="str">
        <f>IF($AS1518="","",Config!$B$27)</f>
        <v/>
      </c>
      <c r="F1518" t="str">
        <f>IF($AS1518="","",Config!$B$9)</f>
        <v/>
      </c>
      <c r="G1518" t="str">
        <f>IF($AS1518="","",Config!$B$10)</f>
        <v/>
      </c>
      <c r="H1518" t="str">
        <f>IF($AS1518="","",Config!$B$11)</f>
        <v/>
      </c>
      <c r="I1518" t="str">
        <f>IF($AS1518="","",Config!$B$16)</f>
        <v/>
      </c>
      <c r="J1518" t="str">
        <f>IF($AS1518="","",INDEX('TMP Paste'!$A$2:$A$1601,$AS1518))</f>
        <v/>
      </c>
      <c r="K1518" t="str">
        <f>IF($AS1518="","",INDEX('TMP Paste'!$L$2:$L$1601,$AS1518))</f>
        <v/>
      </c>
      <c r="L1518" t="str">
        <f>IF($AS1518="","",INDEX('TMP Paste'!$I$2:$I$1601,$AS1518))</f>
        <v/>
      </c>
      <c r="M1518" t="str">
        <f>IF($AS1518="","",Config!$B$16)</f>
        <v/>
      </c>
      <c r="N1518" t="str">
        <f t="shared" si="138"/>
        <v/>
      </c>
      <c r="O1518" t="str">
        <f>IF($AS1518="","",INDEX('TMP Paste'!$K$2:$K$1601,$AS1518))</f>
        <v/>
      </c>
      <c r="P1518" t="str">
        <f t="shared" si="139"/>
        <v/>
      </c>
      <c r="Q1518" t="str">
        <f>IF($AS1518="","",INDEX('TMP Paste'!$J$2:$J$1601,$AS1518))</f>
        <v/>
      </c>
      <c r="R1518" t="str">
        <f>IF($AS1518="","",Config!$B$24)</f>
        <v/>
      </c>
      <c r="S1518" t="str">
        <f ca="1">IF($AS1518="","",TEXT(Config!$B$4,"yyyy-mm-dd"))</f>
        <v/>
      </c>
      <c r="T1518" t="str">
        <f>IF($AS1518="","",Config!$B$17)</f>
        <v/>
      </c>
      <c r="U1518" t="str">
        <f>IF($AS1518="","",Config!$B$18)</f>
        <v/>
      </c>
      <c r="V1518" t="str">
        <f>IF($AS1518="","",Config!$B$19)</f>
        <v/>
      </c>
      <c r="W1518" t="str">
        <f>IF($AS1518="","",INDEX('TMP Paste'!$C$2:$C$1601,$AS1518))</f>
        <v/>
      </c>
      <c r="X1518" t="str">
        <f>IF($AS1518="","",Config!$B$29)</f>
        <v/>
      </c>
      <c r="Y1518" t="str">
        <f>IF($AT1518="","",INDEX(Calc!$I$2:$I$1601,$AT1518)&amp;" - "&amp;INDEX(Calc!$D$2:$D$1601,$AT1518)&amp;" koli")</f>
        <v/>
      </c>
      <c r="Z1518" t="str">
        <f>IF($AS1518="","",Config!$B$21)</f>
        <v/>
      </c>
      <c r="AA1518" t="str">
        <f>IF($AS1518="","",Config!$B$22)</f>
        <v/>
      </c>
      <c r="AB1518" t="str">
        <f>IF($AT1518="","",INDEX(Calc!$D$2:$D$1601,$AT1518))</f>
        <v/>
      </c>
      <c r="AC1518" t="str">
        <f>IF($AT1518="","",INDEX(Calc!$G$2:$G$1601,$AT1518))</f>
        <v/>
      </c>
      <c r="AD1518" t="str">
        <f>IF($AS1518="","",Config!$B$23)</f>
        <v/>
      </c>
      <c r="AE1518" t="str">
        <f>IF($AS1518="","",Config!$B$28)</f>
        <v/>
      </c>
      <c r="AF1518" t="str">
        <f t="shared" si="140"/>
        <v/>
      </c>
      <c r="AG1518" t="str">
        <f t="shared" si="141"/>
        <v/>
      </c>
      <c r="AH1518" t="str">
        <f t="shared" si="142"/>
        <v/>
      </c>
      <c r="AQ1518" t="str">
        <f>IF($AS1518="","",TRIM(IF(COUNTIFS(Calc!$B$2:$B$1601,ROW()-1,Calc!$C$2:$C$1601,"&lt;1")&gt;0,"Ada PO tanpa Koli - cek TMP. ","")&amp;IF(OR($AU1518="",$AU1518&lt;=0),"Volume kosong/0 - dimensi dikosongkan. ","")&amp;IF(AND($AU1518&lt;&gt;"",$AU1518&gt;=1000000),"Volume &gt;= 1.000.000 cm3 (di luar aturan) - dimensi dikosongkan. ","")&amp;IF(LEN($R1518)&gt;500,"R &gt; 500 karakter.","")))</f>
        <v/>
      </c>
      <c r="AS1518" t="str">
        <f>IFERROR(MATCH(ROW()-1,Calc!$J$2:$J$1601,0),"")</f>
        <v/>
      </c>
      <c r="AT1518" t="str">
        <f>IFERROR(MATCH(ROW()-1,Calc!$K$2:$K$1601,0),"")</f>
        <v/>
      </c>
      <c r="AU1518" t="str">
        <f>IF($AS1518="","",IFERROR(INDEX('TMP Paste'!$D$2:$D$1601,$AS1518)*1000000/$AB1518,""))</f>
        <v/>
      </c>
    </row>
    <row r="1519" spans="1:47">
      <c r="A1519" t="str">
        <f>IF($AS1519="","",INDEX('TMP Paste'!$B$2:$B$1601,$AS1519))</f>
        <v/>
      </c>
      <c r="B1519" t="str">
        <f>IF($AS1519="","",Config!$B$14)</f>
        <v/>
      </c>
      <c r="C1519" t="str">
        <f>IF($AS1519="","",Config!$B$15)</f>
        <v/>
      </c>
      <c r="D1519" t="str">
        <f>IF($AS1519="","",INDEX('TMP Paste'!$B$2:$B$1601,$AS1519))</f>
        <v/>
      </c>
      <c r="E1519" t="str">
        <f>IF($AS1519="","",Config!$B$27)</f>
        <v/>
      </c>
      <c r="F1519" t="str">
        <f>IF($AS1519="","",Config!$B$9)</f>
        <v/>
      </c>
      <c r="G1519" t="str">
        <f>IF($AS1519="","",Config!$B$10)</f>
        <v/>
      </c>
      <c r="H1519" t="str">
        <f>IF($AS1519="","",Config!$B$11)</f>
        <v/>
      </c>
      <c r="I1519" t="str">
        <f>IF($AS1519="","",Config!$B$16)</f>
        <v/>
      </c>
      <c r="J1519" t="str">
        <f>IF($AS1519="","",INDEX('TMP Paste'!$A$2:$A$1601,$AS1519))</f>
        <v/>
      </c>
      <c r="K1519" t="str">
        <f>IF($AS1519="","",INDEX('TMP Paste'!$L$2:$L$1601,$AS1519))</f>
        <v/>
      </c>
      <c r="L1519" t="str">
        <f>IF($AS1519="","",INDEX('TMP Paste'!$I$2:$I$1601,$AS1519))</f>
        <v/>
      </c>
      <c r="M1519" t="str">
        <f>IF($AS1519="","",Config!$B$16)</f>
        <v/>
      </c>
      <c r="N1519" t="str">
        <f t="shared" si="138"/>
        <v/>
      </c>
      <c r="O1519" t="str">
        <f>IF($AS1519="","",INDEX('TMP Paste'!$K$2:$K$1601,$AS1519))</f>
        <v/>
      </c>
      <c r="P1519" t="str">
        <f t="shared" si="139"/>
        <v/>
      </c>
      <c r="Q1519" t="str">
        <f>IF($AS1519="","",INDEX('TMP Paste'!$J$2:$J$1601,$AS1519))</f>
        <v/>
      </c>
      <c r="R1519" t="str">
        <f>IF($AS1519="","",Config!$B$24)</f>
        <v/>
      </c>
      <c r="S1519" t="str">
        <f ca="1">IF($AS1519="","",TEXT(Config!$B$4,"yyyy-mm-dd"))</f>
        <v/>
      </c>
      <c r="T1519" t="str">
        <f>IF($AS1519="","",Config!$B$17)</f>
        <v/>
      </c>
      <c r="U1519" t="str">
        <f>IF($AS1519="","",Config!$B$18)</f>
        <v/>
      </c>
      <c r="V1519" t="str">
        <f>IF($AS1519="","",Config!$B$19)</f>
        <v/>
      </c>
      <c r="W1519" t="str">
        <f>IF($AS1519="","",INDEX('TMP Paste'!$C$2:$C$1601,$AS1519))</f>
        <v/>
      </c>
      <c r="X1519" t="str">
        <f>IF($AS1519="","",Config!$B$29)</f>
        <v/>
      </c>
      <c r="Y1519" t="str">
        <f>IF($AT1519="","",INDEX(Calc!$I$2:$I$1601,$AT1519)&amp;" - "&amp;INDEX(Calc!$D$2:$D$1601,$AT1519)&amp;" koli")</f>
        <v/>
      </c>
      <c r="Z1519" t="str">
        <f>IF($AS1519="","",Config!$B$21)</f>
        <v/>
      </c>
      <c r="AA1519" t="str">
        <f>IF($AS1519="","",Config!$B$22)</f>
        <v/>
      </c>
      <c r="AB1519" t="str">
        <f>IF($AT1519="","",INDEX(Calc!$D$2:$D$1601,$AT1519))</f>
        <v/>
      </c>
      <c r="AC1519" t="str">
        <f>IF($AT1519="","",INDEX(Calc!$G$2:$G$1601,$AT1519))</f>
        <v/>
      </c>
      <c r="AD1519" t="str">
        <f>IF($AS1519="","",Config!$B$23)</f>
        <v/>
      </c>
      <c r="AE1519" t="str">
        <f>IF($AS1519="","",Config!$B$28)</f>
        <v/>
      </c>
      <c r="AF1519" t="str">
        <f t="shared" si="140"/>
        <v/>
      </c>
      <c r="AG1519" t="str">
        <f t="shared" si="141"/>
        <v/>
      </c>
      <c r="AH1519" t="str">
        <f t="shared" si="142"/>
        <v/>
      </c>
      <c r="AQ1519" t="str">
        <f>IF($AS1519="","",TRIM(IF(COUNTIFS(Calc!$B$2:$B$1601,ROW()-1,Calc!$C$2:$C$1601,"&lt;1")&gt;0,"Ada PO tanpa Koli - cek TMP. ","")&amp;IF(OR($AU1519="",$AU1519&lt;=0),"Volume kosong/0 - dimensi dikosongkan. ","")&amp;IF(AND($AU1519&lt;&gt;"",$AU1519&gt;=1000000),"Volume &gt;= 1.000.000 cm3 (di luar aturan) - dimensi dikosongkan. ","")&amp;IF(LEN($R1519)&gt;500,"R &gt; 500 karakter.","")))</f>
        <v/>
      </c>
      <c r="AS1519" t="str">
        <f>IFERROR(MATCH(ROW()-1,Calc!$J$2:$J$1601,0),"")</f>
        <v/>
      </c>
      <c r="AT1519" t="str">
        <f>IFERROR(MATCH(ROW()-1,Calc!$K$2:$K$1601,0),"")</f>
        <v/>
      </c>
      <c r="AU1519" t="str">
        <f>IF($AS1519="","",IFERROR(INDEX('TMP Paste'!$D$2:$D$1601,$AS1519)*1000000/$AB1519,""))</f>
        <v/>
      </c>
    </row>
    <row r="1520" spans="1:47">
      <c r="A1520" t="str">
        <f>IF($AS1520="","",INDEX('TMP Paste'!$B$2:$B$1601,$AS1520))</f>
        <v/>
      </c>
      <c r="B1520" t="str">
        <f>IF($AS1520="","",Config!$B$14)</f>
        <v/>
      </c>
      <c r="C1520" t="str">
        <f>IF($AS1520="","",Config!$B$15)</f>
        <v/>
      </c>
      <c r="D1520" t="str">
        <f>IF($AS1520="","",INDEX('TMP Paste'!$B$2:$B$1601,$AS1520))</f>
        <v/>
      </c>
      <c r="E1520" t="str">
        <f>IF($AS1520="","",Config!$B$27)</f>
        <v/>
      </c>
      <c r="F1520" t="str">
        <f>IF($AS1520="","",Config!$B$9)</f>
        <v/>
      </c>
      <c r="G1520" t="str">
        <f>IF($AS1520="","",Config!$B$10)</f>
        <v/>
      </c>
      <c r="H1520" t="str">
        <f>IF($AS1520="","",Config!$B$11)</f>
        <v/>
      </c>
      <c r="I1520" t="str">
        <f>IF($AS1520="","",Config!$B$16)</f>
        <v/>
      </c>
      <c r="J1520" t="str">
        <f>IF($AS1520="","",INDEX('TMP Paste'!$A$2:$A$1601,$AS1520))</f>
        <v/>
      </c>
      <c r="K1520" t="str">
        <f>IF($AS1520="","",INDEX('TMP Paste'!$L$2:$L$1601,$AS1520))</f>
        <v/>
      </c>
      <c r="L1520" t="str">
        <f>IF($AS1520="","",INDEX('TMP Paste'!$I$2:$I$1601,$AS1520))</f>
        <v/>
      </c>
      <c r="M1520" t="str">
        <f>IF($AS1520="","",Config!$B$16)</f>
        <v/>
      </c>
      <c r="N1520" t="str">
        <f t="shared" si="138"/>
        <v/>
      </c>
      <c r="O1520" t="str">
        <f>IF($AS1520="","",INDEX('TMP Paste'!$K$2:$K$1601,$AS1520))</f>
        <v/>
      </c>
      <c r="P1520" t="str">
        <f t="shared" si="139"/>
        <v/>
      </c>
      <c r="Q1520" t="str">
        <f>IF($AS1520="","",INDEX('TMP Paste'!$J$2:$J$1601,$AS1520))</f>
        <v/>
      </c>
      <c r="R1520" t="str">
        <f>IF($AS1520="","",Config!$B$24)</f>
        <v/>
      </c>
      <c r="S1520" t="str">
        <f ca="1">IF($AS1520="","",TEXT(Config!$B$4,"yyyy-mm-dd"))</f>
        <v/>
      </c>
      <c r="T1520" t="str">
        <f>IF($AS1520="","",Config!$B$17)</f>
        <v/>
      </c>
      <c r="U1520" t="str">
        <f>IF($AS1520="","",Config!$B$18)</f>
        <v/>
      </c>
      <c r="V1520" t="str">
        <f>IF($AS1520="","",Config!$B$19)</f>
        <v/>
      </c>
      <c r="W1520" t="str">
        <f>IF($AS1520="","",INDEX('TMP Paste'!$C$2:$C$1601,$AS1520))</f>
        <v/>
      </c>
      <c r="X1520" t="str">
        <f>IF($AS1520="","",Config!$B$29)</f>
        <v/>
      </c>
      <c r="Y1520" t="str">
        <f>IF($AT1520="","",INDEX(Calc!$I$2:$I$1601,$AT1520)&amp;" - "&amp;INDEX(Calc!$D$2:$D$1601,$AT1520)&amp;" koli")</f>
        <v/>
      </c>
      <c r="Z1520" t="str">
        <f>IF($AS1520="","",Config!$B$21)</f>
        <v/>
      </c>
      <c r="AA1520" t="str">
        <f>IF($AS1520="","",Config!$B$22)</f>
        <v/>
      </c>
      <c r="AB1520" t="str">
        <f>IF($AT1520="","",INDEX(Calc!$D$2:$D$1601,$AT1520))</f>
        <v/>
      </c>
      <c r="AC1520" t="str">
        <f>IF($AT1520="","",INDEX(Calc!$G$2:$G$1601,$AT1520))</f>
        <v/>
      </c>
      <c r="AD1520" t="str">
        <f>IF($AS1520="","",Config!$B$23)</f>
        <v/>
      </c>
      <c r="AE1520" t="str">
        <f>IF($AS1520="","",Config!$B$28)</f>
        <v/>
      </c>
      <c r="AF1520" t="str">
        <f t="shared" si="140"/>
        <v/>
      </c>
      <c r="AG1520" t="str">
        <f t="shared" si="141"/>
        <v/>
      </c>
      <c r="AH1520" t="str">
        <f t="shared" si="142"/>
        <v/>
      </c>
      <c r="AQ1520" t="str">
        <f>IF($AS1520="","",TRIM(IF(COUNTIFS(Calc!$B$2:$B$1601,ROW()-1,Calc!$C$2:$C$1601,"&lt;1")&gt;0,"Ada PO tanpa Koli - cek TMP. ","")&amp;IF(OR($AU1520="",$AU1520&lt;=0),"Volume kosong/0 - dimensi dikosongkan. ","")&amp;IF(AND($AU1520&lt;&gt;"",$AU1520&gt;=1000000),"Volume &gt;= 1.000.000 cm3 (di luar aturan) - dimensi dikosongkan. ","")&amp;IF(LEN($R1520)&gt;500,"R &gt; 500 karakter.","")))</f>
        <v/>
      </c>
      <c r="AS1520" t="str">
        <f>IFERROR(MATCH(ROW()-1,Calc!$J$2:$J$1601,0),"")</f>
        <v/>
      </c>
      <c r="AT1520" t="str">
        <f>IFERROR(MATCH(ROW()-1,Calc!$K$2:$K$1601,0),"")</f>
        <v/>
      </c>
      <c r="AU1520" t="str">
        <f>IF($AS1520="","",IFERROR(INDEX('TMP Paste'!$D$2:$D$1601,$AS1520)*1000000/$AB1520,""))</f>
        <v/>
      </c>
    </row>
    <row r="1521" spans="1:47">
      <c r="A1521" t="str">
        <f>IF($AS1521="","",INDEX('TMP Paste'!$B$2:$B$1601,$AS1521))</f>
        <v/>
      </c>
      <c r="B1521" t="str">
        <f>IF($AS1521="","",Config!$B$14)</f>
        <v/>
      </c>
      <c r="C1521" t="str">
        <f>IF($AS1521="","",Config!$B$15)</f>
        <v/>
      </c>
      <c r="D1521" t="str">
        <f>IF($AS1521="","",INDEX('TMP Paste'!$B$2:$B$1601,$AS1521))</f>
        <v/>
      </c>
      <c r="E1521" t="str">
        <f>IF($AS1521="","",Config!$B$27)</f>
        <v/>
      </c>
      <c r="F1521" t="str">
        <f>IF($AS1521="","",Config!$B$9)</f>
        <v/>
      </c>
      <c r="G1521" t="str">
        <f>IF($AS1521="","",Config!$B$10)</f>
        <v/>
      </c>
      <c r="H1521" t="str">
        <f>IF($AS1521="","",Config!$B$11)</f>
        <v/>
      </c>
      <c r="I1521" t="str">
        <f>IF($AS1521="","",Config!$B$16)</f>
        <v/>
      </c>
      <c r="J1521" t="str">
        <f>IF($AS1521="","",INDEX('TMP Paste'!$A$2:$A$1601,$AS1521))</f>
        <v/>
      </c>
      <c r="K1521" t="str">
        <f>IF($AS1521="","",INDEX('TMP Paste'!$L$2:$L$1601,$AS1521))</f>
        <v/>
      </c>
      <c r="L1521" t="str">
        <f>IF($AS1521="","",INDEX('TMP Paste'!$I$2:$I$1601,$AS1521))</f>
        <v/>
      </c>
      <c r="M1521" t="str">
        <f>IF($AS1521="","",Config!$B$16)</f>
        <v/>
      </c>
      <c r="N1521" t="str">
        <f t="shared" si="138"/>
        <v/>
      </c>
      <c r="O1521" t="str">
        <f>IF($AS1521="","",INDEX('TMP Paste'!$K$2:$K$1601,$AS1521))</f>
        <v/>
      </c>
      <c r="P1521" t="str">
        <f t="shared" si="139"/>
        <v/>
      </c>
      <c r="Q1521" t="str">
        <f>IF($AS1521="","",INDEX('TMP Paste'!$J$2:$J$1601,$AS1521))</f>
        <v/>
      </c>
      <c r="R1521" t="str">
        <f>IF($AS1521="","",Config!$B$24)</f>
        <v/>
      </c>
      <c r="S1521" t="str">
        <f ca="1">IF($AS1521="","",TEXT(Config!$B$4,"yyyy-mm-dd"))</f>
        <v/>
      </c>
      <c r="T1521" t="str">
        <f>IF($AS1521="","",Config!$B$17)</f>
        <v/>
      </c>
      <c r="U1521" t="str">
        <f>IF($AS1521="","",Config!$B$18)</f>
        <v/>
      </c>
      <c r="V1521" t="str">
        <f>IF($AS1521="","",Config!$B$19)</f>
        <v/>
      </c>
      <c r="W1521" t="str">
        <f>IF($AS1521="","",INDEX('TMP Paste'!$C$2:$C$1601,$AS1521))</f>
        <v/>
      </c>
      <c r="X1521" t="str">
        <f>IF($AS1521="","",Config!$B$29)</f>
        <v/>
      </c>
      <c r="Y1521" t="str">
        <f>IF($AT1521="","",INDEX(Calc!$I$2:$I$1601,$AT1521)&amp;" - "&amp;INDEX(Calc!$D$2:$D$1601,$AT1521)&amp;" koli")</f>
        <v/>
      </c>
      <c r="Z1521" t="str">
        <f>IF($AS1521="","",Config!$B$21)</f>
        <v/>
      </c>
      <c r="AA1521" t="str">
        <f>IF($AS1521="","",Config!$B$22)</f>
        <v/>
      </c>
      <c r="AB1521" t="str">
        <f>IF($AT1521="","",INDEX(Calc!$D$2:$D$1601,$AT1521))</f>
        <v/>
      </c>
      <c r="AC1521" t="str">
        <f>IF($AT1521="","",INDEX(Calc!$G$2:$G$1601,$AT1521))</f>
        <v/>
      </c>
      <c r="AD1521" t="str">
        <f>IF($AS1521="","",Config!$B$23)</f>
        <v/>
      </c>
      <c r="AE1521" t="str">
        <f>IF($AS1521="","",Config!$B$28)</f>
        <v/>
      </c>
      <c r="AF1521" t="str">
        <f t="shared" si="140"/>
        <v/>
      </c>
      <c r="AG1521" t="str">
        <f t="shared" si="141"/>
        <v/>
      </c>
      <c r="AH1521" t="str">
        <f t="shared" si="142"/>
        <v/>
      </c>
      <c r="AQ1521" t="str">
        <f>IF($AS1521="","",TRIM(IF(COUNTIFS(Calc!$B$2:$B$1601,ROW()-1,Calc!$C$2:$C$1601,"&lt;1")&gt;0,"Ada PO tanpa Koli - cek TMP. ","")&amp;IF(OR($AU1521="",$AU1521&lt;=0),"Volume kosong/0 - dimensi dikosongkan. ","")&amp;IF(AND($AU1521&lt;&gt;"",$AU1521&gt;=1000000),"Volume &gt;= 1.000.000 cm3 (di luar aturan) - dimensi dikosongkan. ","")&amp;IF(LEN($R1521)&gt;500,"R &gt; 500 karakter.","")))</f>
        <v/>
      </c>
      <c r="AS1521" t="str">
        <f>IFERROR(MATCH(ROW()-1,Calc!$J$2:$J$1601,0),"")</f>
        <v/>
      </c>
      <c r="AT1521" t="str">
        <f>IFERROR(MATCH(ROW()-1,Calc!$K$2:$K$1601,0),"")</f>
        <v/>
      </c>
      <c r="AU1521" t="str">
        <f>IF($AS1521="","",IFERROR(INDEX('TMP Paste'!$D$2:$D$1601,$AS1521)*1000000/$AB1521,""))</f>
        <v/>
      </c>
    </row>
    <row r="1522" spans="1:47">
      <c r="A1522" t="str">
        <f>IF($AS1522="","",INDEX('TMP Paste'!$B$2:$B$1601,$AS1522))</f>
        <v/>
      </c>
      <c r="B1522" t="str">
        <f>IF($AS1522="","",Config!$B$14)</f>
        <v/>
      </c>
      <c r="C1522" t="str">
        <f>IF($AS1522="","",Config!$B$15)</f>
        <v/>
      </c>
      <c r="D1522" t="str">
        <f>IF($AS1522="","",INDEX('TMP Paste'!$B$2:$B$1601,$AS1522))</f>
        <v/>
      </c>
      <c r="E1522" t="str">
        <f>IF($AS1522="","",Config!$B$27)</f>
        <v/>
      </c>
      <c r="F1522" t="str">
        <f>IF($AS1522="","",Config!$B$9)</f>
        <v/>
      </c>
      <c r="G1522" t="str">
        <f>IF($AS1522="","",Config!$B$10)</f>
        <v/>
      </c>
      <c r="H1522" t="str">
        <f>IF($AS1522="","",Config!$B$11)</f>
        <v/>
      </c>
      <c r="I1522" t="str">
        <f>IF($AS1522="","",Config!$B$16)</f>
        <v/>
      </c>
      <c r="J1522" t="str">
        <f>IF($AS1522="","",INDEX('TMP Paste'!$A$2:$A$1601,$AS1522))</f>
        <v/>
      </c>
      <c r="K1522" t="str">
        <f>IF($AS1522="","",INDEX('TMP Paste'!$L$2:$L$1601,$AS1522))</f>
        <v/>
      </c>
      <c r="L1522" t="str">
        <f>IF($AS1522="","",INDEX('TMP Paste'!$I$2:$I$1601,$AS1522))</f>
        <v/>
      </c>
      <c r="M1522" t="str">
        <f>IF($AS1522="","",Config!$B$16)</f>
        <v/>
      </c>
      <c r="N1522" t="str">
        <f t="shared" si="138"/>
        <v/>
      </c>
      <c r="O1522" t="str">
        <f>IF($AS1522="","",INDEX('TMP Paste'!$K$2:$K$1601,$AS1522))</f>
        <v/>
      </c>
      <c r="P1522" t="str">
        <f t="shared" si="139"/>
        <v/>
      </c>
      <c r="Q1522" t="str">
        <f>IF($AS1522="","",INDEX('TMP Paste'!$J$2:$J$1601,$AS1522))</f>
        <v/>
      </c>
      <c r="R1522" t="str">
        <f>IF($AS1522="","",Config!$B$24)</f>
        <v/>
      </c>
      <c r="S1522" t="str">
        <f ca="1">IF($AS1522="","",TEXT(Config!$B$4,"yyyy-mm-dd"))</f>
        <v/>
      </c>
      <c r="T1522" t="str">
        <f>IF($AS1522="","",Config!$B$17)</f>
        <v/>
      </c>
      <c r="U1522" t="str">
        <f>IF($AS1522="","",Config!$B$18)</f>
        <v/>
      </c>
      <c r="V1522" t="str">
        <f>IF($AS1522="","",Config!$B$19)</f>
        <v/>
      </c>
      <c r="W1522" t="str">
        <f>IF($AS1522="","",INDEX('TMP Paste'!$C$2:$C$1601,$AS1522))</f>
        <v/>
      </c>
      <c r="X1522" t="str">
        <f>IF($AS1522="","",Config!$B$29)</f>
        <v/>
      </c>
      <c r="Y1522" t="str">
        <f>IF($AT1522="","",INDEX(Calc!$I$2:$I$1601,$AT1522)&amp;" - "&amp;INDEX(Calc!$D$2:$D$1601,$AT1522)&amp;" koli")</f>
        <v/>
      </c>
      <c r="Z1522" t="str">
        <f>IF($AS1522="","",Config!$B$21)</f>
        <v/>
      </c>
      <c r="AA1522" t="str">
        <f>IF($AS1522="","",Config!$B$22)</f>
        <v/>
      </c>
      <c r="AB1522" t="str">
        <f>IF($AT1522="","",INDEX(Calc!$D$2:$D$1601,$AT1522))</f>
        <v/>
      </c>
      <c r="AC1522" t="str">
        <f>IF($AT1522="","",INDEX(Calc!$G$2:$G$1601,$AT1522))</f>
        <v/>
      </c>
      <c r="AD1522" t="str">
        <f>IF($AS1522="","",Config!$B$23)</f>
        <v/>
      </c>
      <c r="AE1522" t="str">
        <f>IF($AS1522="","",Config!$B$28)</f>
        <v/>
      </c>
      <c r="AF1522" t="str">
        <f t="shared" si="140"/>
        <v/>
      </c>
      <c r="AG1522" t="str">
        <f t="shared" si="141"/>
        <v/>
      </c>
      <c r="AH1522" t="str">
        <f t="shared" si="142"/>
        <v/>
      </c>
      <c r="AQ1522" t="str">
        <f>IF($AS1522="","",TRIM(IF(COUNTIFS(Calc!$B$2:$B$1601,ROW()-1,Calc!$C$2:$C$1601,"&lt;1")&gt;0,"Ada PO tanpa Koli - cek TMP. ","")&amp;IF(OR($AU1522="",$AU1522&lt;=0),"Volume kosong/0 - dimensi dikosongkan. ","")&amp;IF(AND($AU1522&lt;&gt;"",$AU1522&gt;=1000000),"Volume &gt;= 1.000.000 cm3 (di luar aturan) - dimensi dikosongkan. ","")&amp;IF(LEN($R1522)&gt;500,"R &gt; 500 karakter.","")))</f>
        <v/>
      </c>
      <c r="AS1522" t="str">
        <f>IFERROR(MATCH(ROW()-1,Calc!$J$2:$J$1601,0),"")</f>
        <v/>
      </c>
      <c r="AT1522" t="str">
        <f>IFERROR(MATCH(ROW()-1,Calc!$K$2:$K$1601,0),"")</f>
        <v/>
      </c>
      <c r="AU1522" t="str">
        <f>IF($AS1522="","",IFERROR(INDEX('TMP Paste'!$D$2:$D$1601,$AS1522)*1000000/$AB1522,""))</f>
        <v/>
      </c>
    </row>
    <row r="1523" spans="1:47">
      <c r="A1523" t="str">
        <f>IF($AS1523="","",INDEX('TMP Paste'!$B$2:$B$1601,$AS1523))</f>
        <v/>
      </c>
      <c r="B1523" t="str">
        <f>IF($AS1523="","",Config!$B$14)</f>
        <v/>
      </c>
      <c r="C1523" t="str">
        <f>IF($AS1523="","",Config!$B$15)</f>
        <v/>
      </c>
      <c r="D1523" t="str">
        <f>IF($AS1523="","",INDEX('TMP Paste'!$B$2:$B$1601,$AS1523))</f>
        <v/>
      </c>
      <c r="E1523" t="str">
        <f>IF($AS1523="","",Config!$B$27)</f>
        <v/>
      </c>
      <c r="F1523" t="str">
        <f>IF($AS1523="","",Config!$B$9)</f>
        <v/>
      </c>
      <c r="G1523" t="str">
        <f>IF($AS1523="","",Config!$B$10)</f>
        <v/>
      </c>
      <c r="H1523" t="str">
        <f>IF($AS1523="","",Config!$B$11)</f>
        <v/>
      </c>
      <c r="I1523" t="str">
        <f>IF($AS1523="","",Config!$B$16)</f>
        <v/>
      </c>
      <c r="J1523" t="str">
        <f>IF($AS1523="","",INDEX('TMP Paste'!$A$2:$A$1601,$AS1523))</f>
        <v/>
      </c>
      <c r="K1523" t="str">
        <f>IF($AS1523="","",INDEX('TMP Paste'!$L$2:$L$1601,$AS1523))</f>
        <v/>
      </c>
      <c r="L1523" t="str">
        <f>IF($AS1523="","",INDEX('TMP Paste'!$I$2:$I$1601,$AS1523))</f>
        <v/>
      </c>
      <c r="M1523" t="str">
        <f>IF($AS1523="","",Config!$B$16)</f>
        <v/>
      </c>
      <c r="N1523" t="str">
        <f t="shared" si="138"/>
        <v/>
      </c>
      <c r="O1523" t="str">
        <f>IF($AS1523="","",INDEX('TMP Paste'!$K$2:$K$1601,$AS1523))</f>
        <v/>
      </c>
      <c r="P1523" t="str">
        <f t="shared" si="139"/>
        <v/>
      </c>
      <c r="Q1523" t="str">
        <f>IF($AS1523="","",INDEX('TMP Paste'!$J$2:$J$1601,$AS1523))</f>
        <v/>
      </c>
      <c r="R1523" t="str">
        <f>IF($AS1523="","",Config!$B$24)</f>
        <v/>
      </c>
      <c r="S1523" t="str">
        <f ca="1">IF($AS1523="","",TEXT(Config!$B$4,"yyyy-mm-dd"))</f>
        <v/>
      </c>
      <c r="T1523" t="str">
        <f>IF($AS1523="","",Config!$B$17)</f>
        <v/>
      </c>
      <c r="U1523" t="str">
        <f>IF($AS1523="","",Config!$B$18)</f>
        <v/>
      </c>
      <c r="V1523" t="str">
        <f>IF($AS1523="","",Config!$B$19)</f>
        <v/>
      </c>
      <c r="W1523" t="str">
        <f>IF($AS1523="","",INDEX('TMP Paste'!$C$2:$C$1601,$AS1523))</f>
        <v/>
      </c>
      <c r="X1523" t="str">
        <f>IF($AS1523="","",Config!$B$29)</f>
        <v/>
      </c>
      <c r="Y1523" t="str">
        <f>IF($AT1523="","",INDEX(Calc!$I$2:$I$1601,$AT1523)&amp;" - "&amp;INDEX(Calc!$D$2:$D$1601,$AT1523)&amp;" koli")</f>
        <v/>
      </c>
      <c r="Z1523" t="str">
        <f>IF($AS1523="","",Config!$B$21)</f>
        <v/>
      </c>
      <c r="AA1523" t="str">
        <f>IF($AS1523="","",Config!$B$22)</f>
        <v/>
      </c>
      <c r="AB1523" t="str">
        <f>IF($AT1523="","",INDEX(Calc!$D$2:$D$1601,$AT1523))</f>
        <v/>
      </c>
      <c r="AC1523" t="str">
        <f>IF($AT1523="","",INDEX(Calc!$G$2:$G$1601,$AT1523))</f>
        <v/>
      </c>
      <c r="AD1523" t="str">
        <f>IF($AS1523="","",Config!$B$23)</f>
        <v/>
      </c>
      <c r="AE1523" t="str">
        <f>IF($AS1523="","",Config!$B$28)</f>
        <v/>
      </c>
      <c r="AF1523" t="str">
        <f t="shared" si="140"/>
        <v/>
      </c>
      <c r="AG1523" t="str">
        <f t="shared" si="141"/>
        <v/>
      </c>
      <c r="AH1523" t="str">
        <f t="shared" si="142"/>
        <v/>
      </c>
      <c r="AQ1523" t="str">
        <f>IF($AS1523="","",TRIM(IF(COUNTIFS(Calc!$B$2:$B$1601,ROW()-1,Calc!$C$2:$C$1601,"&lt;1")&gt;0,"Ada PO tanpa Koli - cek TMP. ","")&amp;IF(OR($AU1523="",$AU1523&lt;=0),"Volume kosong/0 - dimensi dikosongkan. ","")&amp;IF(AND($AU1523&lt;&gt;"",$AU1523&gt;=1000000),"Volume &gt;= 1.000.000 cm3 (di luar aturan) - dimensi dikosongkan. ","")&amp;IF(LEN($R1523)&gt;500,"R &gt; 500 karakter.","")))</f>
        <v/>
      </c>
      <c r="AS1523" t="str">
        <f>IFERROR(MATCH(ROW()-1,Calc!$J$2:$J$1601,0),"")</f>
        <v/>
      </c>
      <c r="AT1523" t="str">
        <f>IFERROR(MATCH(ROW()-1,Calc!$K$2:$K$1601,0),"")</f>
        <v/>
      </c>
      <c r="AU1523" t="str">
        <f>IF($AS1523="","",IFERROR(INDEX('TMP Paste'!$D$2:$D$1601,$AS1523)*1000000/$AB1523,""))</f>
        <v/>
      </c>
    </row>
    <row r="1524" spans="1:47">
      <c r="A1524" t="str">
        <f>IF($AS1524="","",INDEX('TMP Paste'!$B$2:$B$1601,$AS1524))</f>
        <v/>
      </c>
      <c r="B1524" t="str">
        <f>IF($AS1524="","",Config!$B$14)</f>
        <v/>
      </c>
      <c r="C1524" t="str">
        <f>IF($AS1524="","",Config!$B$15)</f>
        <v/>
      </c>
      <c r="D1524" t="str">
        <f>IF($AS1524="","",INDEX('TMP Paste'!$B$2:$B$1601,$AS1524))</f>
        <v/>
      </c>
      <c r="E1524" t="str">
        <f>IF($AS1524="","",Config!$B$27)</f>
        <v/>
      </c>
      <c r="F1524" t="str">
        <f>IF($AS1524="","",Config!$B$9)</f>
        <v/>
      </c>
      <c r="G1524" t="str">
        <f>IF($AS1524="","",Config!$B$10)</f>
        <v/>
      </c>
      <c r="H1524" t="str">
        <f>IF($AS1524="","",Config!$B$11)</f>
        <v/>
      </c>
      <c r="I1524" t="str">
        <f>IF($AS1524="","",Config!$B$16)</f>
        <v/>
      </c>
      <c r="J1524" t="str">
        <f>IF($AS1524="","",INDEX('TMP Paste'!$A$2:$A$1601,$AS1524))</f>
        <v/>
      </c>
      <c r="K1524" t="str">
        <f>IF($AS1524="","",INDEX('TMP Paste'!$L$2:$L$1601,$AS1524))</f>
        <v/>
      </c>
      <c r="L1524" t="str">
        <f>IF($AS1524="","",INDEX('TMP Paste'!$I$2:$I$1601,$AS1524))</f>
        <v/>
      </c>
      <c r="M1524" t="str">
        <f>IF($AS1524="","",Config!$B$16)</f>
        <v/>
      </c>
      <c r="N1524" t="str">
        <f t="shared" si="138"/>
        <v/>
      </c>
      <c r="O1524" t="str">
        <f>IF($AS1524="","",INDEX('TMP Paste'!$K$2:$K$1601,$AS1524))</f>
        <v/>
      </c>
      <c r="P1524" t="str">
        <f t="shared" si="139"/>
        <v/>
      </c>
      <c r="Q1524" t="str">
        <f>IF($AS1524="","",INDEX('TMP Paste'!$J$2:$J$1601,$AS1524))</f>
        <v/>
      </c>
      <c r="R1524" t="str">
        <f>IF($AS1524="","",Config!$B$24)</f>
        <v/>
      </c>
      <c r="S1524" t="str">
        <f ca="1">IF($AS1524="","",TEXT(Config!$B$4,"yyyy-mm-dd"))</f>
        <v/>
      </c>
      <c r="T1524" t="str">
        <f>IF($AS1524="","",Config!$B$17)</f>
        <v/>
      </c>
      <c r="U1524" t="str">
        <f>IF($AS1524="","",Config!$B$18)</f>
        <v/>
      </c>
      <c r="V1524" t="str">
        <f>IF($AS1524="","",Config!$B$19)</f>
        <v/>
      </c>
      <c r="W1524" t="str">
        <f>IF($AS1524="","",INDEX('TMP Paste'!$C$2:$C$1601,$AS1524))</f>
        <v/>
      </c>
      <c r="X1524" t="str">
        <f>IF($AS1524="","",Config!$B$29)</f>
        <v/>
      </c>
      <c r="Y1524" t="str">
        <f>IF($AT1524="","",INDEX(Calc!$I$2:$I$1601,$AT1524)&amp;" - "&amp;INDEX(Calc!$D$2:$D$1601,$AT1524)&amp;" koli")</f>
        <v/>
      </c>
      <c r="Z1524" t="str">
        <f>IF($AS1524="","",Config!$B$21)</f>
        <v/>
      </c>
      <c r="AA1524" t="str">
        <f>IF($AS1524="","",Config!$B$22)</f>
        <v/>
      </c>
      <c r="AB1524" t="str">
        <f>IF($AT1524="","",INDEX(Calc!$D$2:$D$1601,$AT1524))</f>
        <v/>
      </c>
      <c r="AC1524" t="str">
        <f>IF($AT1524="","",INDEX(Calc!$G$2:$G$1601,$AT1524))</f>
        <v/>
      </c>
      <c r="AD1524" t="str">
        <f>IF($AS1524="","",Config!$B$23)</f>
        <v/>
      </c>
      <c r="AE1524" t="str">
        <f>IF($AS1524="","",Config!$B$28)</f>
        <v/>
      </c>
      <c r="AF1524" t="str">
        <f t="shared" si="140"/>
        <v/>
      </c>
      <c r="AG1524" t="str">
        <f t="shared" si="141"/>
        <v/>
      </c>
      <c r="AH1524" t="str">
        <f t="shared" si="142"/>
        <v/>
      </c>
      <c r="AQ1524" t="str">
        <f>IF($AS1524="","",TRIM(IF(COUNTIFS(Calc!$B$2:$B$1601,ROW()-1,Calc!$C$2:$C$1601,"&lt;1")&gt;0,"Ada PO tanpa Koli - cek TMP. ","")&amp;IF(OR($AU1524="",$AU1524&lt;=0),"Volume kosong/0 - dimensi dikosongkan. ","")&amp;IF(AND($AU1524&lt;&gt;"",$AU1524&gt;=1000000),"Volume &gt;= 1.000.000 cm3 (di luar aturan) - dimensi dikosongkan. ","")&amp;IF(LEN($R1524)&gt;500,"R &gt; 500 karakter.","")))</f>
        <v/>
      </c>
      <c r="AS1524" t="str">
        <f>IFERROR(MATCH(ROW()-1,Calc!$J$2:$J$1601,0),"")</f>
        <v/>
      </c>
      <c r="AT1524" t="str">
        <f>IFERROR(MATCH(ROW()-1,Calc!$K$2:$K$1601,0),"")</f>
        <v/>
      </c>
      <c r="AU1524" t="str">
        <f>IF($AS1524="","",IFERROR(INDEX('TMP Paste'!$D$2:$D$1601,$AS1524)*1000000/$AB1524,""))</f>
        <v/>
      </c>
    </row>
    <row r="1525" spans="1:47">
      <c r="A1525" t="str">
        <f>IF($AS1525="","",INDEX('TMP Paste'!$B$2:$B$1601,$AS1525))</f>
        <v/>
      </c>
      <c r="B1525" t="str">
        <f>IF($AS1525="","",Config!$B$14)</f>
        <v/>
      </c>
      <c r="C1525" t="str">
        <f>IF($AS1525="","",Config!$B$15)</f>
        <v/>
      </c>
      <c r="D1525" t="str">
        <f>IF($AS1525="","",INDEX('TMP Paste'!$B$2:$B$1601,$AS1525))</f>
        <v/>
      </c>
      <c r="E1525" t="str">
        <f>IF($AS1525="","",Config!$B$27)</f>
        <v/>
      </c>
      <c r="F1525" t="str">
        <f>IF($AS1525="","",Config!$B$9)</f>
        <v/>
      </c>
      <c r="G1525" t="str">
        <f>IF($AS1525="","",Config!$B$10)</f>
        <v/>
      </c>
      <c r="H1525" t="str">
        <f>IF($AS1525="","",Config!$B$11)</f>
        <v/>
      </c>
      <c r="I1525" t="str">
        <f>IF($AS1525="","",Config!$B$16)</f>
        <v/>
      </c>
      <c r="J1525" t="str">
        <f>IF($AS1525="","",INDEX('TMP Paste'!$A$2:$A$1601,$AS1525))</f>
        <v/>
      </c>
      <c r="K1525" t="str">
        <f>IF($AS1525="","",INDEX('TMP Paste'!$L$2:$L$1601,$AS1525))</f>
        <v/>
      </c>
      <c r="L1525" t="str">
        <f>IF($AS1525="","",INDEX('TMP Paste'!$I$2:$I$1601,$AS1525))</f>
        <v/>
      </c>
      <c r="M1525" t="str">
        <f>IF($AS1525="","",Config!$B$16)</f>
        <v/>
      </c>
      <c r="N1525" t="str">
        <f t="shared" si="138"/>
        <v/>
      </c>
      <c r="O1525" t="str">
        <f>IF($AS1525="","",INDEX('TMP Paste'!$K$2:$K$1601,$AS1525))</f>
        <v/>
      </c>
      <c r="P1525" t="str">
        <f t="shared" si="139"/>
        <v/>
      </c>
      <c r="Q1525" t="str">
        <f>IF($AS1525="","",INDEX('TMP Paste'!$J$2:$J$1601,$AS1525))</f>
        <v/>
      </c>
      <c r="R1525" t="str">
        <f>IF($AS1525="","",Config!$B$24)</f>
        <v/>
      </c>
      <c r="S1525" t="str">
        <f ca="1">IF($AS1525="","",TEXT(Config!$B$4,"yyyy-mm-dd"))</f>
        <v/>
      </c>
      <c r="T1525" t="str">
        <f>IF($AS1525="","",Config!$B$17)</f>
        <v/>
      </c>
      <c r="U1525" t="str">
        <f>IF($AS1525="","",Config!$B$18)</f>
        <v/>
      </c>
      <c r="V1525" t="str">
        <f>IF($AS1525="","",Config!$B$19)</f>
        <v/>
      </c>
      <c r="W1525" t="str">
        <f>IF($AS1525="","",INDEX('TMP Paste'!$C$2:$C$1601,$AS1525))</f>
        <v/>
      </c>
      <c r="X1525" t="str">
        <f>IF($AS1525="","",Config!$B$29)</f>
        <v/>
      </c>
      <c r="Y1525" t="str">
        <f>IF($AT1525="","",INDEX(Calc!$I$2:$I$1601,$AT1525)&amp;" - "&amp;INDEX(Calc!$D$2:$D$1601,$AT1525)&amp;" koli")</f>
        <v/>
      </c>
      <c r="Z1525" t="str">
        <f>IF($AS1525="","",Config!$B$21)</f>
        <v/>
      </c>
      <c r="AA1525" t="str">
        <f>IF($AS1525="","",Config!$B$22)</f>
        <v/>
      </c>
      <c r="AB1525" t="str">
        <f>IF($AT1525="","",INDEX(Calc!$D$2:$D$1601,$AT1525))</f>
        <v/>
      </c>
      <c r="AC1525" t="str">
        <f>IF($AT1525="","",INDEX(Calc!$G$2:$G$1601,$AT1525))</f>
        <v/>
      </c>
      <c r="AD1525" t="str">
        <f>IF($AS1525="","",Config!$B$23)</f>
        <v/>
      </c>
      <c r="AE1525" t="str">
        <f>IF($AS1525="","",Config!$B$28)</f>
        <v/>
      </c>
      <c r="AF1525" t="str">
        <f t="shared" si="140"/>
        <v/>
      </c>
      <c r="AG1525" t="str">
        <f t="shared" si="141"/>
        <v/>
      </c>
      <c r="AH1525" t="str">
        <f t="shared" si="142"/>
        <v/>
      </c>
      <c r="AQ1525" t="str">
        <f>IF($AS1525="","",TRIM(IF(COUNTIFS(Calc!$B$2:$B$1601,ROW()-1,Calc!$C$2:$C$1601,"&lt;1")&gt;0,"Ada PO tanpa Koli - cek TMP. ","")&amp;IF(OR($AU1525="",$AU1525&lt;=0),"Volume kosong/0 - dimensi dikosongkan. ","")&amp;IF(AND($AU1525&lt;&gt;"",$AU1525&gt;=1000000),"Volume &gt;= 1.000.000 cm3 (di luar aturan) - dimensi dikosongkan. ","")&amp;IF(LEN($R1525)&gt;500,"R &gt; 500 karakter.","")))</f>
        <v/>
      </c>
      <c r="AS1525" t="str">
        <f>IFERROR(MATCH(ROW()-1,Calc!$J$2:$J$1601,0),"")</f>
        <v/>
      </c>
      <c r="AT1525" t="str">
        <f>IFERROR(MATCH(ROW()-1,Calc!$K$2:$K$1601,0),"")</f>
        <v/>
      </c>
      <c r="AU1525" t="str">
        <f>IF($AS1525="","",IFERROR(INDEX('TMP Paste'!$D$2:$D$1601,$AS1525)*1000000/$AB1525,""))</f>
        <v/>
      </c>
    </row>
    <row r="1526" spans="1:47">
      <c r="A1526" t="str">
        <f>IF($AS1526="","",INDEX('TMP Paste'!$B$2:$B$1601,$AS1526))</f>
        <v/>
      </c>
      <c r="B1526" t="str">
        <f>IF($AS1526="","",Config!$B$14)</f>
        <v/>
      </c>
      <c r="C1526" t="str">
        <f>IF($AS1526="","",Config!$B$15)</f>
        <v/>
      </c>
      <c r="D1526" t="str">
        <f>IF($AS1526="","",INDEX('TMP Paste'!$B$2:$B$1601,$AS1526))</f>
        <v/>
      </c>
      <c r="E1526" t="str">
        <f>IF($AS1526="","",Config!$B$27)</f>
        <v/>
      </c>
      <c r="F1526" t="str">
        <f>IF($AS1526="","",Config!$B$9)</f>
        <v/>
      </c>
      <c r="G1526" t="str">
        <f>IF($AS1526="","",Config!$B$10)</f>
        <v/>
      </c>
      <c r="H1526" t="str">
        <f>IF($AS1526="","",Config!$B$11)</f>
        <v/>
      </c>
      <c r="I1526" t="str">
        <f>IF($AS1526="","",Config!$B$16)</f>
        <v/>
      </c>
      <c r="J1526" t="str">
        <f>IF($AS1526="","",INDEX('TMP Paste'!$A$2:$A$1601,$AS1526))</f>
        <v/>
      </c>
      <c r="K1526" t="str">
        <f>IF($AS1526="","",INDEX('TMP Paste'!$L$2:$L$1601,$AS1526))</f>
        <v/>
      </c>
      <c r="L1526" t="str">
        <f>IF($AS1526="","",INDEX('TMP Paste'!$I$2:$I$1601,$AS1526))</f>
        <v/>
      </c>
      <c r="M1526" t="str">
        <f>IF($AS1526="","",Config!$B$16)</f>
        <v/>
      </c>
      <c r="N1526" t="str">
        <f t="shared" si="138"/>
        <v/>
      </c>
      <c r="O1526" t="str">
        <f>IF($AS1526="","",INDEX('TMP Paste'!$K$2:$K$1601,$AS1526))</f>
        <v/>
      </c>
      <c r="P1526" t="str">
        <f t="shared" si="139"/>
        <v/>
      </c>
      <c r="Q1526" t="str">
        <f>IF($AS1526="","",INDEX('TMP Paste'!$J$2:$J$1601,$AS1526))</f>
        <v/>
      </c>
      <c r="R1526" t="str">
        <f>IF($AS1526="","",Config!$B$24)</f>
        <v/>
      </c>
      <c r="S1526" t="str">
        <f ca="1">IF($AS1526="","",TEXT(Config!$B$4,"yyyy-mm-dd"))</f>
        <v/>
      </c>
      <c r="T1526" t="str">
        <f>IF($AS1526="","",Config!$B$17)</f>
        <v/>
      </c>
      <c r="U1526" t="str">
        <f>IF($AS1526="","",Config!$B$18)</f>
        <v/>
      </c>
      <c r="V1526" t="str">
        <f>IF($AS1526="","",Config!$B$19)</f>
        <v/>
      </c>
      <c r="W1526" t="str">
        <f>IF($AS1526="","",INDEX('TMP Paste'!$C$2:$C$1601,$AS1526))</f>
        <v/>
      </c>
      <c r="X1526" t="str">
        <f>IF($AS1526="","",Config!$B$29)</f>
        <v/>
      </c>
      <c r="Y1526" t="str">
        <f>IF($AT1526="","",INDEX(Calc!$I$2:$I$1601,$AT1526)&amp;" - "&amp;INDEX(Calc!$D$2:$D$1601,$AT1526)&amp;" koli")</f>
        <v/>
      </c>
      <c r="Z1526" t="str">
        <f>IF($AS1526="","",Config!$B$21)</f>
        <v/>
      </c>
      <c r="AA1526" t="str">
        <f>IF($AS1526="","",Config!$B$22)</f>
        <v/>
      </c>
      <c r="AB1526" t="str">
        <f>IF($AT1526="","",INDEX(Calc!$D$2:$D$1601,$AT1526))</f>
        <v/>
      </c>
      <c r="AC1526" t="str">
        <f>IF($AT1526="","",INDEX(Calc!$G$2:$G$1601,$AT1526))</f>
        <v/>
      </c>
      <c r="AD1526" t="str">
        <f>IF($AS1526="","",Config!$B$23)</f>
        <v/>
      </c>
      <c r="AE1526" t="str">
        <f>IF($AS1526="","",Config!$B$28)</f>
        <v/>
      </c>
      <c r="AF1526" t="str">
        <f t="shared" si="140"/>
        <v/>
      </c>
      <c r="AG1526" t="str">
        <f t="shared" si="141"/>
        <v/>
      </c>
      <c r="AH1526" t="str">
        <f t="shared" si="142"/>
        <v/>
      </c>
      <c r="AQ1526" t="str">
        <f>IF($AS1526="","",TRIM(IF(COUNTIFS(Calc!$B$2:$B$1601,ROW()-1,Calc!$C$2:$C$1601,"&lt;1")&gt;0,"Ada PO tanpa Koli - cek TMP. ","")&amp;IF(OR($AU1526="",$AU1526&lt;=0),"Volume kosong/0 - dimensi dikosongkan. ","")&amp;IF(AND($AU1526&lt;&gt;"",$AU1526&gt;=1000000),"Volume &gt;= 1.000.000 cm3 (di luar aturan) - dimensi dikosongkan. ","")&amp;IF(LEN($R1526)&gt;500,"R &gt; 500 karakter.","")))</f>
        <v/>
      </c>
      <c r="AS1526" t="str">
        <f>IFERROR(MATCH(ROW()-1,Calc!$J$2:$J$1601,0),"")</f>
        <v/>
      </c>
      <c r="AT1526" t="str">
        <f>IFERROR(MATCH(ROW()-1,Calc!$K$2:$K$1601,0),"")</f>
        <v/>
      </c>
      <c r="AU1526" t="str">
        <f>IF($AS1526="","",IFERROR(INDEX('TMP Paste'!$D$2:$D$1601,$AS1526)*1000000/$AB1526,""))</f>
        <v/>
      </c>
    </row>
    <row r="1527" spans="1:47">
      <c r="A1527" t="str">
        <f>IF($AS1527="","",INDEX('TMP Paste'!$B$2:$B$1601,$AS1527))</f>
        <v/>
      </c>
      <c r="B1527" t="str">
        <f>IF($AS1527="","",Config!$B$14)</f>
        <v/>
      </c>
      <c r="C1527" t="str">
        <f>IF($AS1527="","",Config!$B$15)</f>
        <v/>
      </c>
      <c r="D1527" t="str">
        <f>IF($AS1527="","",INDEX('TMP Paste'!$B$2:$B$1601,$AS1527))</f>
        <v/>
      </c>
      <c r="E1527" t="str">
        <f>IF($AS1527="","",Config!$B$27)</f>
        <v/>
      </c>
      <c r="F1527" t="str">
        <f>IF($AS1527="","",Config!$B$9)</f>
        <v/>
      </c>
      <c r="G1527" t="str">
        <f>IF($AS1527="","",Config!$B$10)</f>
        <v/>
      </c>
      <c r="H1527" t="str">
        <f>IF($AS1527="","",Config!$B$11)</f>
        <v/>
      </c>
      <c r="I1527" t="str">
        <f>IF($AS1527="","",Config!$B$16)</f>
        <v/>
      </c>
      <c r="J1527" t="str">
        <f>IF($AS1527="","",INDEX('TMP Paste'!$A$2:$A$1601,$AS1527))</f>
        <v/>
      </c>
      <c r="K1527" t="str">
        <f>IF($AS1527="","",INDEX('TMP Paste'!$L$2:$L$1601,$AS1527))</f>
        <v/>
      </c>
      <c r="L1527" t="str">
        <f>IF($AS1527="","",INDEX('TMP Paste'!$I$2:$I$1601,$AS1527))</f>
        <v/>
      </c>
      <c r="M1527" t="str">
        <f>IF($AS1527="","",Config!$B$16)</f>
        <v/>
      </c>
      <c r="N1527" t="str">
        <f t="shared" si="138"/>
        <v/>
      </c>
      <c r="O1527" t="str">
        <f>IF($AS1527="","",INDEX('TMP Paste'!$K$2:$K$1601,$AS1527))</f>
        <v/>
      </c>
      <c r="P1527" t="str">
        <f t="shared" si="139"/>
        <v/>
      </c>
      <c r="Q1527" t="str">
        <f>IF($AS1527="","",INDEX('TMP Paste'!$J$2:$J$1601,$AS1527))</f>
        <v/>
      </c>
      <c r="R1527" t="str">
        <f>IF($AS1527="","",Config!$B$24)</f>
        <v/>
      </c>
      <c r="S1527" t="str">
        <f ca="1">IF($AS1527="","",TEXT(Config!$B$4,"yyyy-mm-dd"))</f>
        <v/>
      </c>
      <c r="T1527" t="str">
        <f>IF($AS1527="","",Config!$B$17)</f>
        <v/>
      </c>
      <c r="U1527" t="str">
        <f>IF($AS1527="","",Config!$B$18)</f>
        <v/>
      </c>
      <c r="V1527" t="str">
        <f>IF($AS1527="","",Config!$B$19)</f>
        <v/>
      </c>
      <c r="W1527" t="str">
        <f>IF($AS1527="","",INDEX('TMP Paste'!$C$2:$C$1601,$AS1527))</f>
        <v/>
      </c>
      <c r="X1527" t="str">
        <f>IF($AS1527="","",Config!$B$29)</f>
        <v/>
      </c>
      <c r="Y1527" t="str">
        <f>IF($AT1527="","",INDEX(Calc!$I$2:$I$1601,$AT1527)&amp;" - "&amp;INDEX(Calc!$D$2:$D$1601,$AT1527)&amp;" koli")</f>
        <v/>
      </c>
      <c r="Z1527" t="str">
        <f>IF($AS1527="","",Config!$B$21)</f>
        <v/>
      </c>
      <c r="AA1527" t="str">
        <f>IF($AS1527="","",Config!$B$22)</f>
        <v/>
      </c>
      <c r="AB1527" t="str">
        <f>IF($AT1527="","",INDEX(Calc!$D$2:$D$1601,$AT1527))</f>
        <v/>
      </c>
      <c r="AC1527" t="str">
        <f>IF($AT1527="","",INDEX(Calc!$G$2:$G$1601,$AT1527))</f>
        <v/>
      </c>
      <c r="AD1527" t="str">
        <f>IF($AS1527="","",Config!$B$23)</f>
        <v/>
      </c>
      <c r="AE1527" t="str">
        <f>IF($AS1527="","",Config!$B$28)</f>
        <v/>
      </c>
      <c r="AF1527" t="str">
        <f t="shared" si="140"/>
        <v/>
      </c>
      <c r="AG1527" t="str">
        <f t="shared" si="141"/>
        <v/>
      </c>
      <c r="AH1527" t="str">
        <f t="shared" si="142"/>
        <v/>
      </c>
      <c r="AQ1527" t="str">
        <f>IF($AS1527="","",TRIM(IF(COUNTIFS(Calc!$B$2:$B$1601,ROW()-1,Calc!$C$2:$C$1601,"&lt;1")&gt;0,"Ada PO tanpa Koli - cek TMP. ","")&amp;IF(OR($AU1527="",$AU1527&lt;=0),"Volume kosong/0 - dimensi dikosongkan. ","")&amp;IF(AND($AU1527&lt;&gt;"",$AU1527&gt;=1000000),"Volume &gt;= 1.000.000 cm3 (di luar aturan) - dimensi dikosongkan. ","")&amp;IF(LEN($R1527)&gt;500,"R &gt; 500 karakter.","")))</f>
        <v/>
      </c>
      <c r="AS1527" t="str">
        <f>IFERROR(MATCH(ROW()-1,Calc!$J$2:$J$1601,0),"")</f>
        <v/>
      </c>
      <c r="AT1527" t="str">
        <f>IFERROR(MATCH(ROW()-1,Calc!$K$2:$K$1601,0),"")</f>
        <v/>
      </c>
      <c r="AU1527" t="str">
        <f>IF($AS1527="","",IFERROR(INDEX('TMP Paste'!$D$2:$D$1601,$AS1527)*1000000/$AB1527,""))</f>
        <v/>
      </c>
    </row>
    <row r="1528" spans="1:47">
      <c r="A1528" t="str">
        <f>IF($AS1528="","",INDEX('TMP Paste'!$B$2:$B$1601,$AS1528))</f>
        <v/>
      </c>
      <c r="B1528" t="str">
        <f>IF($AS1528="","",Config!$B$14)</f>
        <v/>
      </c>
      <c r="C1528" t="str">
        <f>IF($AS1528="","",Config!$B$15)</f>
        <v/>
      </c>
      <c r="D1528" t="str">
        <f>IF($AS1528="","",INDEX('TMP Paste'!$B$2:$B$1601,$AS1528))</f>
        <v/>
      </c>
      <c r="E1528" t="str">
        <f>IF($AS1528="","",Config!$B$27)</f>
        <v/>
      </c>
      <c r="F1528" t="str">
        <f>IF($AS1528="","",Config!$B$9)</f>
        <v/>
      </c>
      <c r="G1528" t="str">
        <f>IF($AS1528="","",Config!$B$10)</f>
        <v/>
      </c>
      <c r="H1528" t="str">
        <f>IF($AS1528="","",Config!$B$11)</f>
        <v/>
      </c>
      <c r="I1528" t="str">
        <f>IF($AS1528="","",Config!$B$16)</f>
        <v/>
      </c>
      <c r="J1528" t="str">
        <f>IF($AS1528="","",INDEX('TMP Paste'!$A$2:$A$1601,$AS1528))</f>
        <v/>
      </c>
      <c r="K1528" t="str">
        <f>IF($AS1528="","",INDEX('TMP Paste'!$L$2:$L$1601,$AS1528))</f>
        <v/>
      </c>
      <c r="L1528" t="str">
        <f>IF($AS1528="","",INDEX('TMP Paste'!$I$2:$I$1601,$AS1528))</f>
        <v/>
      </c>
      <c r="M1528" t="str">
        <f>IF($AS1528="","",Config!$B$16)</f>
        <v/>
      </c>
      <c r="N1528" t="str">
        <f t="shared" si="138"/>
        <v/>
      </c>
      <c r="O1528" t="str">
        <f>IF($AS1528="","",INDEX('TMP Paste'!$K$2:$K$1601,$AS1528))</f>
        <v/>
      </c>
      <c r="P1528" t="str">
        <f t="shared" si="139"/>
        <v/>
      </c>
      <c r="Q1528" t="str">
        <f>IF($AS1528="","",INDEX('TMP Paste'!$J$2:$J$1601,$AS1528))</f>
        <v/>
      </c>
      <c r="R1528" t="str">
        <f>IF($AS1528="","",Config!$B$24)</f>
        <v/>
      </c>
      <c r="S1528" t="str">
        <f ca="1">IF($AS1528="","",TEXT(Config!$B$4,"yyyy-mm-dd"))</f>
        <v/>
      </c>
      <c r="T1528" t="str">
        <f>IF($AS1528="","",Config!$B$17)</f>
        <v/>
      </c>
      <c r="U1528" t="str">
        <f>IF($AS1528="","",Config!$B$18)</f>
        <v/>
      </c>
      <c r="V1528" t="str">
        <f>IF($AS1528="","",Config!$B$19)</f>
        <v/>
      </c>
      <c r="W1528" t="str">
        <f>IF($AS1528="","",INDEX('TMP Paste'!$C$2:$C$1601,$AS1528))</f>
        <v/>
      </c>
      <c r="X1528" t="str">
        <f>IF($AS1528="","",Config!$B$29)</f>
        <v/>
      </c>
      <c r="Y1528" t="str">
        <f>IF($AT1528="","",INDEX(Calc!$I$2:$I$1601,$AT1528)&amp;" - "&amp;INDEX(Calc!$D$2:$D$1601,$AT1528)&amp;" koli")</f>
        <v/>
      </c>
      <c r="Z1528" t="str">
        <f>IF($AS1528="","",Config!$B$21)</f>
        <v/>
      </c>
      <c r="AA1528" t="str">
        <f>IF($AS1528="","",Config!$B$22)</f>
        <v/>
      </c>
      <c r="AB1528" t="str">
        <f>IF($AT1528="","",INDEX(Calc!$D$2:$D$1601,$AT1528))</f>
        <v/>
      </c>
      <c r="AC1528" t="str">
        <f>IF($AT1528="","",INDEX(Calc!$G$2:$G$1601,$AT1528))</f>
        <v/>
      </c>
      <c r="AD1528" t="str">
        <f>IF($AS1528="","",Config!$B$23)</f>
        <v/>
      </c>
      <c r="AE1528" t="str">
        <f>IF($AS1528="","",Config!$B$28)</f>
        <v/>
      </c>
      <c r="AF1528" t="str">
        <f t="shared" si="140"/>
        <v/>
      </c>
      <c r="AG1528" t="str">
        <f t="shared" si="141"/>
        <v/>
      </c>
      <c r="AH1528" t="str">
        <f t="shared" si="142"/>
        <v/>
      </c>
      <c r="AQ1528" t="str">
        <f>IF($AS1528="","",TRIM(IF(COUNTIFS(Calc!$B$2:$B$1601,ROW()-1,Calc!$C$2:$C$1601,"&lt;1")&gt;0,"Ada PO tanpa Koli - cek TMP. ","")&amp;IF(OR($AU1528="",$AU1528&lt;=0),"Volume kosong/0 - dimensi dikosongkan. ","")&amp;IF(AND($AU1528&lt;&gt;"",$AU1528&gt;=1000000),"Volume &gt;= 1.000.000 cm3 (di luar aturan) - dimensi dikosongkan. ","")&amp;IF(LEN($R1528)&gt;500,"R &gt; 500 karakter.","")))</f>
        <v/>
      </c>
      <c r="AS1528" t="str">
        <f>IFERROR(MATCH(ROW()-1,Calc!$J$2:$J$1601,0),"")</f>
        <v/>
      </c>
      <c r="AT1528" t="str">
        <f>IFERROR(MATCH(ROW()-1,Calc!$K$2:$K$1601,0),"")</f>
        <v/>
      </c>
      <c r="AU1528" t="str">
        <f>IF($AS1528="","",IFERROR(INDEX('TMP Paste'!$D$2:$D$1601,$AS1528)*1000000/$AB1528,""))</f>
        <v/>
      </c>
    </row>
    <row r="1529" spans="1:47">
      <c r="A1529" t="str">
        <f>IF($AS1529="","",INDEX('TMP Paste'!$B$2:$B$1601,$AS1529))</f>
        <v/>
      </c>
      <c r="B1529" t="str">
        <f>IF($AS1529="","",Config!$B$14)</f>
        <v/>
      </c>
      <c r="C1529" t="str">
        <f>IF($AS1529="","",Config!$B$15)</f>
        <v/>
      </c>
      <c r="D1529" t="str">
        <f>IF($AS1529="","",INDEX('TMP Paste'!$B$2:$B$1601,$AS1529))</f>
        <v/>
      </c>
      <c r="E1529" t="str">
        <f>IF($AS1529="","",Config!$B$27)</f>
        <v/>
      </c>
      <c r="F1529" t="str">
        <f>IF($AS1529="","",Config!$B$9)</f>
        <v/>
      </c>
      <c r="G1529" t="str">
        <f>IF($AS1529="","",Config!$B$10)</f>
        <v/>
      </c>
      <c r="H1529" t="str">
        <f>IF($AS1529="","",Config!$B$11)</f>
        <v/>
      </c>
      <c r="I1529" t="str">
        <f>IF($AS1529="","",Config!$B$16)</f>
        <v/>
      </c>
      <c r="J1529" t="str">
        <f>IF($AS1529="","",INDEX('TMP Paste'!$A$2:$A$1601,$AS1529))</f>
        <v/>
      </c>
      <c r="K1529" t="str">
        <f>IF($AS1529="","",INDEX('TMP Paste'!$L$2:$L$1601,$AS1529))</f>
        <v/>
      </c>
      <c r="L1529" t="str">
        <f>IF($AS1529="","",INDEX('TMP Paste'!$I$2:$I$1601,$AS1529))</f>
        <v/>
      </c>
      <c r="M1529" t="str">
        <f>IF($AS1529="","",Config!$B$16)</f>
        <v/>
      </c>
      <c r="N1529" t="str">
        <f t="shared" si="138"/>
        <v/>
      </c>
      <c r="O1529" t="str">
        <f>IF($AS1529="","",INDEX('TMP Paste'!$K$2:$K$1601,$AS1529))</f>
        <v/>
      </c>
      <c r="P1529" t="str">
        <f t="shared" si="139"/>
        <v/>
      </c>
      <c r="Q1529" t="str">
        <f>IF($AS1529="","",INDEX('TMP Paste'!$J$2:$J$1601,$AS1529))</f>
        <v/>
      </c>
      <c r="R1529" t="str">
        <f>IF($AS1529="","",Config!$B$24)</f>
        <v/>
      </c>
      <c r="S1529" t="str">
        <f ca="1">IF($AS1529="","",TEXT(Config!$B$4,"yyyy-mm-dd"))</f>
        <v/>
      </c>
      <c r="T1529" t="str">
        <f>IF($AS1529="","",Config!$B$17)</f>
        <v/>
      </c>
      <c r="U1529" t="str">
        <f>IF($AS1529="","",Config!$B$18)</f>
        <v/>
      </c>
      <c r="V1529" t="str">
        <f>IF($AS1529="","",Config!$B$19)</f>
        <v/>
      </c>
      <c r="W1529" t="str">
        <f>IF($AS1529="","",INDEX('TMP Paste'!$C$2:$C$1601,$AS1529))</f>
        <v/>
      </c>
      <c r="X1529" t="str">
        <f>IF($AS1529="","",Config!$B$29)</f>
        <v/>
      </c>
      <c r="Y1529" t="str">
        <f>IF($AT1529="","",INDEX(Calc!$I$2:$I$1601,$AT1529)&amp;" - "&amp;INDEX(Calc!$D$2:$D$1601,$AT1529)&amp;" koli")</f>
        <v/>
      </c>
      <c r="Z1529" t="str">
        <f>IF($AS1529="","",Config!$B$21)</f>
        <v/>
      </c>
      <c r="AA1529" t="str">
        <f>IF($AS1529="","",Config!$B$22)</f>
        <v/>
      </c>
      <c r="AB1529" t="str">
        <f>IF($AT1529="","",INDEX(Calc!$D$2:$D$1601,$AT1529))</f>
        <v/>
      </c>
      <c r="AC1529" t="str">
        <f>IF($AT1529="","",INDEX(Calc!$G$2:$G$1601,$AT1529))</f>
        <v/>
      </c>
      <c r="AD1529" t="str">
        <f>IF($AS1529="","",Config!$B$23)</f>
        <v/>
      </c>
      <c r="AE1529" t="str">
        <f>IF($AS1529="","",Config!$B$28)</f>
        <v/>
      </c>
      <c r="AF1529" t="str">
        <f t="shared" si="140"/>
        <v/>
      </c>
      <c r="AG1529" t="str">
        <f t="shared" si="141"/>
        <v/>
      </c>
      <c r="AH1529" t="str">
        <f t="shared" si="142"/>
        <v/>
      </c>
      <c r="AQ1529" t="str">
        <f>IF($AS1529="","",TRIM(IF(COUNTIFS(Calc!$B$2:$B$1601,ROW()-1,Calc!$C$2:$C$1601,"&lt;1")&gt;0,"Ada PO tanpa Koli - cek TMP. ","")&amp;IF(OR($AU1529="",$AU1529&lt;=0),"Volume kosong/0 - dimensi dikosongkan. ","")&amp;IF(AND($AU1529&lt;&gt;"",$AU1529&gt;=1000000),"Volume &gt;= 1.000.000 cm3 (di luar aturan) - dimensi dikosongkan. ","")&amp;IF(LEN($R1529)&gt;500,"R &gt; 500 karakter.","")))</f>
        <v/>
      </c>
      <c r="AS1529" t="str">
        <f>IFERROR(MATCH(ROW()-1,Calc!$J$2:$J$1601,0),"")</f>
        <v/>
      </c>
      <c r="AT1529" t="str">
        <f>IFERROR(MATCH(ROW()-1,Calc!$K$2:$K$1601,0),"")</f>
        <v/>
      </c>
      <c r="AU1529" t="str">
        <f>IF($AS1529="","",IFERROR(INDEX('TMP Paste'!$D$2:$D$1601,$AS1529)*1000000/$AB1529,""))</f>
        <v/>
      </c>
    </row>
    <row r="1530" spans="1:47">
      <c r="A1530" t="str">
        <f>IF($AS1530="","",INDEX('TMP Paste'!$B$2:$B$1601,$AS1530))</f>
        <v/>
      </c>
      <c r="B1530" t="str">
        <f>IF($AS1530="","",Config!$B$14)</f>
        <v/>
      </c>
      <c r="C1530" t="str">
        <f>IF($AS1530="","",Config!$B$15)</f>
        <v/>
      </c>
      <c r="D1530" t="str">
        <f>IF($AS1530="","",INDEX('TMP Paste'!$B$2:$B$1601,$AS1530))</f>
        <v/>
      </c>
      <c r="E1530" t="str">
        <f>IF($AS1530="","",Config!$B$27)</f>
        <v/>
      </c>
      <c r="F1530" t="str">
        <f>IF($AS1530="","",Config!$B$9)</f>
        <v/>
      </c>
      <c r="G1530" t="str">
        <f>IF($AS1530="","",Config!$B$10)</f>
        <v/>
      </c>
      <c r="H1530" t="str">
        <f>IF($AS1530="","",Config!$B$11)</f>
        <v/>
      </c>
      <c r="I1530" t="str">
        <f>IF($AS1530="","",Config!$B$16)</f>
        <v/>
      </c>
      <c r="J1530" t="str">
        <f>IF($AS1530="","",INDEX('TMP Paste'!$A$2:$A$1601,$AS1530))</f>
        <v/>
      </c>
      <c r="K1530" t="str">
        <f>IF($AS1530="","",INDEX('TMP Paste'!$L$2:$L$1601,$AS1530))</f>
        <v/>
      </c>
      <c r="L1530" t="str">
        <f>IF($AS1530="","",INDEX('TMP Paste'!$I$2:$I$1601,$AS1530))</f>
        <v/>
      </c>
      <c r="M1530" t="str">
        <f>IF($AS1530="","",Config!$B$16)</f>
        <v/>
      </c>
      <c r="N1530" t="str">
        <f t="shared" si="138"/>
        <v/>
      </c>
      <c r="O1530" t="str">
        <f>IF($AS1530="","",INDEX('TMP Paste'!$K$2:$K$1601,$AS1530))</f>
        <v/>
      </c>
      <c r="P1530" t="str">
        <f t="shared" si="139"/>
        <v/>
      </c>
      <c r="Q1530" t="str">
        <f>IF($AS1530="","",INDEX('TMP Paste'!$J$2:$J$1601,$AS1530))</f>
        <v/>
      </c>
      <c r="R1530" t="str">
        <f>IF($AS1530="","",Config!$B$24)</f>
        <v/>
      </c>
      <c r="S1530" t="str">
        <f ca="1">IF($AS1530="","",TEXT(Config!$B$4,"yyyy-mm-dd"))</f>
        <v/>
      </c>
      <c r="T1530" t="str">
        <f>IF($AS1530="","",Config!$B$17)</f>
        <v/>
      </c>
      <c r="U1530" t="str">
        <f>IF($AS1530="","",Config!$B$18)</f>
        <v/>
      </c>
      <c r="V1530" t="str">
        <f>IF($AS1530="","",Config!$B$19)</f>
        <v/>
      </c>
      <c r="W1530" t="str">
        <f>IF($AS1530="","",INDEX('TMP Paste'!$C$2:$C$1601,$AS1530))</f>
        <v/>
      </c>
      <c r="X1530" t="str">
        <f>IF($AS1530="","",Config!$B$29)</f>
        <v/>
      </c>
      <c r="Y1530" t="str">
        <f>IF($AT1530="","",INDEX(Calc!$I$2:$I$1601,$AT1530)&amp;" - "&amp;INDEX(Calc!$D$2:$D$1601,$AT1530)&amp;" koli")</f>
        <v/>
      </c>
      <c r="Z1530" t="str">
        <f>IF($AS1530="","",Config!$B$21)</f>
        <v/>
      </c>
      <c r="AA1530" t="str">
        <f>IF($AS1530="","",Config!$B$22)</f>
        <v/>
      </c>
      <c r="AB1530" t="str">
        <f>IF($AT1530="","",INDEX(Calc!$D$2:$D$1601,$AT1530))</f>
        <v/>
      </c>
      <c r="AC1530" t="str">
        <f>IF($AT1530="","",INDEX(Calc!$G$2:$G$1601,$AT1530))</f>
        <v/>
      </c>
      <c r="AD1530" t="str">
        <f>IF($AS1530="","",Config!$B$23)</f>
        <v/>
      </c>
      <c r="AE1530" t="str">
        <f>IF($AS1530="","",Config!$B$28)</f>
        <v/>
      </c>
      <c r="AF1530" t="str">
        <f t="shared" si="140"/>
        <v/>
      </c>
      <c r="AG1530" t="str">
        <f t="shared" si="141"/>
        <v/>
      </c>
      <c r="AH1530" t="str">
        <f t="shared" si="142"/>
        <v/>
      </c>
      <c r="AQ1530" t="str">
        <f>IF($AS1530="","",TRIM(IF(COUNTIFS(Calc!$B$2:$B$1601,ROW()-1,Calc!$C$2:$C$1601,"&lt;1")&gt;0,"Ada PO tanpa Koli - cek TMP. ","")&amp;IF(OR($AU1530="",$AU1530&lt;=0),"Volume kosong/0 - dimensi dikosongkan. ","")&amp;IF(AND($AU1530&lt;&gt;"",$AU1530&gt;=1000000),"Volume &gt;= 1.000.000 cm3 (di luar aturan) - dimensi dikosongkan. ","")&amp;IF(LEN($R1530)&gt;500,"R &gt; 500 karakter.","")))</f>
        <v/>
      </c>
      <c r="AS1530" t="str">
        <f>IFERROR(MATCH(ROW()-1,Calc!$J$2:$J$1601,0),"")</f>
        <v/>
      </c>
      <c r="AT1530" t="str">
        <f>IFERROR(MATCH(ROW()-1,Calc!$K$2:$K$1601,0),"")</f>
        <v/>
      </c>
      <c r="AU1530" t="str">
        <f>IF($AS1530="","",IFERROR(INDEX('TMP Paste'!$D$2:$D$1601,$AS1530)*1000000/$AB1530,""))</f>
        <v/>
      </c>
    </row>
    <row r="1531" spans="1:47">
      <c r="A1531" t="str">
        <f>IF($AS1531="","",INDEX('TMP Paste'!$B$2:$B$1601,$AS1531))</f>
        <v/>
      </c>
      <c r="B1531" t="str">
        <f>IF($AS1531="","",Config!$B$14)</f>
        <v/>
      </c>
      <c r="C1531" t="str">
        <f>IF($AS1531="","",Config!$B$15)</f>
        <v/>
      </c>
      <c r="D1531" t="str">
        <f>IF($AS1531="","",INDEX('TMP Paste'!$B$2:$B$1601,$AS1531))</f>
        <v/>
      </c>
      <c r="E1531" t="str">
        <f>IF($AS1531="","",Config!$B$27)</f>
        <v/>
      </c>
      <c r="F1531" t="str">
        <f>IF($AS1531="","",Config!$B$9)</f>
        <v/>
      </c>
      <c r="G1531" t="str">
        <f>IF($AS1531="","",Config!$B$10)</f>
        <v/>
      </c>
      <c r="H1531" t="str">
        <f>IF($AS1531="","",Config!$B$11)</f>
        <v/>
      </c>
      <c r="I1531" t="str">
        <f>IF($AS1531="","",Config!$B$16)</f>
        <v/>
      </c>
      <c r="J1531" t="str">
        <f>IF($AS1531="","",INDEX('TMP Paste'!$A$2:$A$1601,$AS1531))</f>
        <v/>
      </c>
      <c r="K1531" t="str">
        <f>IF($AS1531="","",INDEX('TMP Paste'!$L$2:$L$1601,$AS1531))</f>
        <v/>
      </c>
      <c r="L1531" t="str">
        <f>IF($AS1531="","",INDEX('TMP Paste'!$I$2:$I$1601,$AS1531))</f>
        <v/>
      </c>
      <c r="M1531" t="str">
        <f>IF($AS1531="","",Config!$B$16)</f>
        <v/>
      </c>
      <c r="N1531" t="str">
        <f t="shared" si="138"/>
        <v/>
      </c>
      <c r="O1531" t="str">
        <f>IF($AS1531="","",INDEX('TMP Paste'!$K$2:$K$1601,$AS1531))</f>
        <v/>
      </c>
      <c r="P1531" t="str">
        <f t="shared" si="139"/>
        <v/>
      </c>
      <c r="Q1531" t="str">
        <f>IF($AS1531="","",INDEX('TMP Paste'!$J$2:$J$1601,$AS1531))</f>
        <v/>
      </c>
      <c r="R1531" t="str">
        <f>IF($AS1531="","",Config!$B$24)</f>
        <v/>
      </c>
      <c r="S1531" t="str">
        <f ca="1">IF($AS1531="","",TEXT(Config!$B$4,"yyyy-mm-dd"))</f>
        <v/>
      </c>
      <c r="T1531" t="str">
        <f>IF($AS1531="","",Config!$B$17)</f>
        <v/>
      </c>
      <c r="U1531" t="str">
        <f>IF($AS1531="","",Config!$B$18)</f>
        <v/>
      </c>
      <c r="V1531" t="str">
        <f>IF($AS1531="","",Config!$B$19)</f>
        <v/>
      </c>
      <c r="W1531" t="str">
        <f>IF($AS1531="","",INDEX('TMP Paste'!$C$2:$C$1601,$AS1531))</f>
        <v/>
      </c>
      <c r="X1531" t="str">
        <f>IF($AS1531="","",Config!$B$29)</f>
        <v/>
      </c>
      <c r="Y1531" t="str">
        <f>IF($AT1531="","",INDEX(Calc!$I$2:$I$1601,$AT1531)&amp;" - "&amp;INDEX(Calc!$D$2:$D$1601,$AT1531)&amp;" koli")</f>
        <v/>
      </c>
      <c r="Z1531" t="str">
        <f>IF($AS1531="","",Config!$B$21)</f>
        <v/>
      </c>
      <c r="AA1531" t="str">
        <f>IF($AS1531="","",Config!$B$22)</f>
        <v/>
      </c>
      <c r="AB1531" t="str">
        <f>IF($AT1531="","",INDEX(Calc!$D$2:$D$1601,$AT1531))</f>
        <v/>
      </c>
      <c r="AC1531" t="str">
        <f>IF($AT1531="","",INDEX(Calc!$G$2:$G$1601,$AT1531))</f>
        <v/>
      </c>
      <c r="AD1531" t="str">
        <f>IF($AS1531="","",Config!$B$23)</f>
        <v/>
      </c>
      <c r="AE1531" t="str">
        <f>IF($AS1531="","",Config!$B$28)</f>
        <v/>
      </c>
      <c r="AF1531" t="str">
        <f t="shared" si="140"/>
        <v/>
      </c>
      <c r="AG1531" t="str">
        <f t="shared" si="141"/>
        <v/>
      </c>
      <c r="AH1531" t="str">
        <f t="shared" si="142"/>
        <v/>
      </c>
      <c r="AQ1531" t="str">
        <f>IF($AS1531="","",TRIM(IF(COUNTIFS(Calc!$B$2:$B$1601,ROW()-1,Calc!$C$2:$C$1601,"&lt;1")&gt;0,"Ada PO tanpa Koli - cek TMP. ","")&amp;IF(OR($AU1531="",$AU1531&lt;=0),"Volume kosong/0 - dimensi dikosongkan. ","")&amp;IF(AND($AU1531&lt;&gt;"",$AU1531&gt;=1000000),"Volume &gt;= 1.000.000 cm3 (di luar aturan) - dimensi dikosongkan. ","")&amp;IF(LEN($R1531)&gt;500,"R &gt; 500 karakter.","")))</f>
        <v/>
      </c>
      <c r="AS1531" t="str">
        <f>IFERROR(MATCH(ROW()-1,Calc!$J$2:$J$1601,0),"")</f>
        <v/>
      </c>
      <c r="AT1531" t="str">
        <f>IFERROR(MATCH(ROW()-1,Calc!$K$2:$K$1601,0),"")</f>
        <v/>
      </c>
      <c r="AU1531" t="str">
        <f>IF($AS1531="","",IFERROR(INDEX('TMP Paste'!$D$2:$D$1601,$AS1531)*1000000/$AB1531,""))</f>
        <v/>
      </c>
    </row>
    <row r="1532" spans="1:47">
      <c r="A1532" t="str">
        <f>IF($AS1532="","",INDEX('TMP Paste'!$B$2:$B$1601,$AS1532))</f>
        <v/>
      </c>
      <c r="B1532" t="str">
        <f>IF($AS1532="","",Config!$B$14)</f>
        <v/>
      </c>
      <c r="C1532" t="str">
        <f>IF($AS1532="","",Config!$B$15)</f>
        <v/>
      </c>
      <c r="D1532" t="str">
        <f>IF($AS1532="","",INDEX('TMP Paste'!$B$2:$B$1601,$AS1532))</f>
        <v/>
      </c>
      <c r="E1532" t="str">
        <f>IF($AS1532="","",Config!$B$27)</f>
        <v/>
      </c>
      <c r="F1532" t="str">
        <f>IF($AS1532="","",Config!$B$9)</f>
        <v/>
      </c>
      <c r="G1532" t="str">
        <f>IF($AS1532="","",Config!$B$10)</f>
        <v/>
      </c>
      <c r="H1532" t="str">
        <f>IF($AS1532="","",Config!$B$11)</f>
        <v/>
      </c>
      <c r="I1532" t="str">
        <f>IF($AS1532="","",Config!$B$16)</f>
        <v/>
      </c>
      <c r="J1532" t="str">
        <f>IF($AS1532="","",INDEX('TMP Paste'!$A$2:$A$1601,$AS1532))</f>
        <v/>
      </c>
      <c r="K1532" t="str">
        <f>IF($AS1532="","",INDEX('TMP Paste'!$L$2:$L$1601,$AS1532))</f>
        <v/>
      </c>
      <c r="L1532" t="str">
        <f>IF($AS1532="","",INDEX('TMP Paste'!$I$2:$I$1601,$AS1532))</f>
        <v/>
      </c>
      <c r="M1532" t="str">
        <f>IF($AS1532="","",Config!$B$16)</f>
        <v/>
      </c>
      <c r="N1532" t="str">
        <f t="shared" si="138"/>
        <v/>
      </c>
      <c r="O1532" t="str">
        <f>IF($AS1532="","",INDEX('TMP Paste'!$K$2:$K$1601,$AS1532))</f>
        <v/>
      </c>
      <c r="P1532" t="str">
        <f t="shared" si="139"/>
        <v/>
      </c>
      <c r="Q1532" t="str">
        <f>IF($AS1532="","",INDEX('TMP Paste'!$J$2:$J$1601,$AS1532))</f>
        <v/>
      </c>
      <c r="R1532" t="str">
        <f>IF($AS1532="","",Config!$B$24)</f>
        <v/>
      </c>
      <c r="S1532" t="str">
        <f ca="1">IF($AS1532="","",TEXT(Config!$B$4,"yyyy-mm-dd"))</f>
        <v/>
      </c>
      <c r="T1532" t="str">
        <f>IF($AS1532="","",Config!$B$17)</f>
        <v/>
      </c>
      <c r="U1532" t="str">
        <f>IF($AS1532="","",Config!$B$18)</f>
        <v/>
      </c>
      <c r="V1532" t="str">
        <f>IF($AS1532="","",Config!$B$19)</f>
        <v/>
      </c>
      <c r="W1532" t="str">
        <f>IF($AS1532="","",INDEX('TMP Paste'!$C$2:$C$1601,$AS1532))</f>
        <v/>
      </c>
      <c r="X1532" t="str">
        <f>IF($AS1532="","",Config!$B$29)</f>
        <v/>
      </c>
      <c r="Y1532" t="str">
        <f>IF($AT1532="","",INDEX(Calc!$I$2:$I$1601,$AT1532)&amp;" - "&amp;INDEX(Calc!$D$2:$D$1601,$AT1532)&amp;" koli")</f>
        <v/>
      </c>
      <c r="Z1532" t="str">
        <f>IF($AS1532="","",Config!$B$21)</f>
        <v/>
      </c>
      <c r="AA1532" t="str">
        <f>IF($AS1532="","",Config!$B$22)</f>
        <v/>
      </c>
      <c r="AB1532" t="str">
        <f>IF($AT1532="","",INDEX(Calc!$D$2:$D$1601,$AT1532))</f>
        <v/>
      </c>
      <c r="AC1532" t="str">
        <f>IF($AT1532="","",INDEX(Calc!$G$2:$G$1601,$AT1532))</f>
        <v/>
      </c>
      <c r="AD1532" t="str">
        <f>IF($AS1532="","",Config!$B$23)</f>
        <v/>
      </c>
      <c r="AE1532" t="str">
        <f>IF($AS1532="","",Config!$B$28)</f>
        <v/>
      </c>
      <c r="AF1532" t="str">
        <f t="shared" si="140"/>
        <v/>
      </c>
      <c r="AG1532" t="str">
        <f t="shared" si="141"/>
        <v/>
      </c>
      <c r="AH1532" t="str">
        <f t="shared" si="142"/>
        <v/>
      </c>
      <c r="AQ1532" t="str">
        <f>IF($AS1532="","",TRIM(IF(COUNTIFS(Calc!$B$2:$B$1601,ROW()-1,Calc!$C$2:$C$1601,"&lt;1")&gt;0,"Ada PO tanpa Koli - cek TMP. ","")&amp;IF(OR($AU1532="",$AU1532&lt;=0),"Volume kosong/0 - dimensi dikosongkan. ","")&amp;IF(AND($AU1532&lt;&gt;"",$AU1532&gt;=1000000),"Volume &gt;= 1.000.000 cm3 (di luar aturan) - dimensi dikosongkan. ","")&amp;IF(LEN($R1532)&gt;500,"R &gt; 500 karakter.","")))</f>
        <v/>
      </c>
      <c r="AS1532" t="str">
        <f>IFERROR(MATCH(ROW()-1,Calc!$J$2:$J$1601,0),"")</f>
        <v/>
      </c>
      <c r="AT1532" t="str">
        <f>IFERROR(MATCH(ROW()-1,Calc!$K$2:$K$1601,0),"")</f>
        <v/>
      </c>
      <c r="AU1532" t="str">
        <f>IF($AS1532="","",IFERROR(INDEX('TMP Paste'!$D$2:$D$1601,$AS1532)*1000000/$AB1532,""))</f>
        <v/>
      </c>
    </row>
    <row r="1533" spans="1:47">
      <c r="A1533" t="str">
        <f>IF($AS1533="","",INDEX('TMP Paste'!$B$2:$B$1601,$AS1533))</f>
        <v/>
      </c>
      <c r="B1533" t="str">
        <f>IF($AS1533="","",Config!$B$14)</f>
        <v/>
      </c>
      <c r="C1533" t="str">
        <f>IF($AS1533="","",Config!$B$15)</f>
        <v/>
      </c>
      <c r="D1533" t="str">
        <f>IF($AS1533="","",INDEX('TMP Paste'!$B$2:$B$1601,$AS1533))</f>
        <v/>
      </c>
      <c r="E1533" t="str">
        <f>IF($AS1533="","",Config!$B$27)</f>
        <v/>
      </c>
      <c r="F1533" t="str">
        <f>IF($AS1533="","",Config!$B$9)</f>
        <v/>
      </c>
      <c r="G1533" t="str">
        <f>IF($AS1533="","",Config!$B$10)</f>
        <v/>
      </c>
      <c r="H1533" t="str">
        <f>IF($AS1533="","",Config!$B$11)</f>
        <v/>
      </c>
      <c r="I1533" t="str">
        <f>IF($AS1533="","",Config!$B$16)</f>
        <v/>
      </c>
      <c r="J1533" t="str">
        <f>IF($AS1533="","",INDEX('TMP Paste'!$A$2:$A$1601,$AS1533))</f>
        <v/>
      </c>
      <c r="K1533" t="str">
        <f>IF($AS1533="","",INDEX('TMP Paste'!$L$2:$L$1601,$AS1533))</f>
        <v/>
      </c>
      <c r="L1533" t="str">
        <f>IF($AS1533="","",INDEX('TMP Paste'!$I$2:$I$1601,$AS1533))</f>
        <v/>
      </c>
      <c r="M1533" t="str">
        <f>IF($AS1533="","",Config!$B$16)</f>
        <v/>
      </c>
      <c r="N1533" t="str">
        <f t="shared" si="138"/>
        <v/>
      </c>
      <c r="O1533" t="str">
        <f>IF($AS1533="","",INDEX('TMP Paste'!$K$2:$K$1601,$AS1533))</f>
        <v/>
      </c>
      <c r="P1533" t="str">
        <f t="shared" si="139"/>
        <v/>
      </c>
      <c r="Q1533" t="str">
        <f>IF($AS1533="","",INDEX('TMP Paste'!$J$2:$J$1601,$AS1533))</f>
        <v/>
      </c>
      <c r="R1533" t="str">
        <f>IF($AS1533="","",Config!$B$24)</f>
        <v/>
      </c>
      <c r="S1533" t="str">
        <f ca="1">IF($AS1533="","",TEXT(Config!$B$4,"yyyy-mm-dd"))</f>
        <v/>
      </c>
      <c r="T1533" t="str">
        <f>IF($AS1533="","",Config!$B$17)</f>
        <v/>
      </c>
      <c r="U1533" t="str">
        <f>IF($AS1533="","",Config!$B$18)</f>
        <v/>
      </c>
      <c r="V1533" t="str">
        <f>IF($AS1533="","",Config!$B$19)</f>
        <v/>
      </c>
      <c r="W1533" t="str">
        <f>IF($AS1533="","",INDEX('TMP Paste'!$C$2:$C$1601,$AS1533))</f>
        <v/>
      </c>
      <c r="X1533" t="str">
        <f>IF($AS1533="","",Config!$B$29)</f>
        <v/>
      </c>
      <c r="Y1533" t="str">
        <f>IF($AT1533="","",INDEX(Calc!$I$2:$I$1601,$AT1533)&amp;" - "&amp;INDEX(Calc!$D$2:$D$1601,$AT1533)&amp;" koli")</f>
        <v/>
      </c>
      <c r="Z1533" t="str">
        <f>IF($AS1533="","",Config!$B$21)</f>
        <v/>
      </c>
      <c r="AA1533" t="str">
        <f>IF($AS1533="","",Config!$B$22)</f>
        <v/>
      </c>
      <c r="AB1533" t="str">
        <f>IF($AT1533="","",INDEX(Calc!$D$2:$D$1601,$AT1533))</f>
        <v/>
      </c>
      <c r="AC1533" t="str">
        <f>IF($AT1533="","",INDEX(Calc!$G$2:$G$1601,$AT1533))</f>
        <v/>
      </c>
      <c r="AD1533" t="str">
        <f>IF($AS1533="","",Config!$B$23)</f>
        <v/>
      </c>
      <c r="AE1533" t="str">
        <f>IF($AS1533="","",Config!$B$28)</f>
        <v/>
      </c>
      <c r="AF1533" t="str">
        <f t="shared" si="140"/>
        <v/>
      </c>
      <c r="AG1533" t="str">
        <f t="shared" si="141"/>
        <v/>
      </c>
      <c r="AH1533" t="str">
        <f t="shared" si="142"/>
        <v/>
      </c>
      <c r="AQ1533" t="str">
        <f>IF($AS1533="","",TRIM(IF(COUNTIFS(Calc!$B$2:$B$1601,ROW()-1,Calc!$C$2:$C$1601,"&lt;1")&gt;0,"Ada PO tanpa Koli - cek TMP. ","")&amp;IF(OR($AU1533="",$AU1533&lt;=0),"Volume kosong/0 - dimensi dikosongkan. ","")&amp;IF(AND($AU1533&lt;&gt;"",$AU1533&gt;=1000000),"Volume &gt;= 1.000.000 cm3 (di luar aturan) - dimensi dikosongkan. ","")&amp;IF(LEN($R1533)&gt;500,"R &gt; 500 karakter.","")))</f>
        <v/>
      </c>
      <c r="AS1533" t="str">
        <f>IFERROR(MATCH(ROW()-1,Calc!$J$2:$J$1601,0),"")</f>
        <v/>
      </c>
      <c r="AT1533" t="str">
        <f>IFERROR(MATCH(ROW()-1,Calc!$K$2:$K$1601,0),"")</f>
        <v/>
      </c>
      <c r="AU1533" t="str">
        <f>IF($AS1533="","",IFERROR(INDEX('TMP Paste'!$D$2:$D$1601,$AS1533)*1000000/$AB1533,""))</f>
        <v/>
      </c>
    </row>
    <row r="1534" spans="1:47">
      <c r="A1534" t="str">
        <f>IF($AS1534="","",INDEX('TMP Paste'!$B$2:$B$1601,$AS1534))</f>
        <v/>
      </c>
      <c r="B1534" t="str">
        <f>IF($AS1534="","",Config!$B$14)</f>
        <v/>
      </c>
      <c r="C1534" t="str">
        <f>IF($AS1534="","",Config!$B$15)</f>
        <v/>
      </c>
      <c r="D1534" t="str">
        <f>IF($AS1534="","",INDEX('TMP Paste'!$B$2:$B$1601,$AS1534))</f>
        <v/>
      </c>
      <c r="E1534" t="str">
        <f>IF($AS1534="","",Config!$B$27)</f>
        <v/>
      </c>
      <c r="F1534" t="str">
        <f>IF($AS1534="","",Config!$B$9)</f>
        <v/>
      </c>
      <c r="G1534" t="str">
        <f>IF($AS1534="","",Config!$B$10)</f>
        <v/>
      </c>
      <c r="H1534" t="str">
        <f>IF($AS1534="","",Config!$B$11)</f>
        <v/>
      </c>
      <c r="I1534" t="str">
        <f>IF($AS1534="","",Config!$B$16)</f>
        <v/>
      </c>
      <c r="J1534" t="str">
        <f>IF($AS1534="","",INDEX('TMP Paste'!$A$2:$A$1601,$AS1534))</f>
        <v/>
      </c>
      <c r="K1534" t="str">
        <f>IF($AS1534="","",INDEX('TMP Paste'!$L$2:$L$1601,$AS1534))</f>
        <v/>
      </c>
      <c r="L1534" t="str">
        <f>IF($AS1534="","",INDEX('TMP Paste'!$I$2:$I$1601,$AS1534))</f>
        <v/>
      </c>
      <c r="M1534" t="str">
        <f>IF($AS1534="","",Config!$B$16)</f>
        <v/>
      </c>
      <c r="N1534" t="str">
        <f t="shared" si="138"/>
        <v/>
      </c>
      <c r="O1534" t="str">
        <f>IF($AS1534="","",INDEX('TMP Paste'!$K$2:$K$1601,$AS1534))</f>
        <v/>
      </c>
      <c r="P1534" t="str">
        <f t="shared" si="139"/>
        <v/>
      </c>
      <c r="Q1534" t="str">
        <f>IF($AS1534="","",INDEX('TMP Paste'!$J$2:$J$1601,$AS1534))</f>
        <v/>
      </c>
      <c r="R1534" t="str">
        <f>IF($AS1534="","",Config!$B$24)</f>
        <v/>
      </c>
      <c r="S1534" t="str">
        <f ca="1">IF($AS1534="","",TEXT(Config!$B$4,"yyyy-mm-dd"))</f>
        <v/>
      </c>
      <c r="T1534" t="str">
        <f>IF($AS1534="","",Config!$B$17)</f>
        <v/>
      </c>
      <c r="U1534" t="str">
        <f>IF($AS1534="","",Config!$B$18)</f>
        <v/>
      </c>
      <c r="V1534" t="str">
        <f>IF($AS1534="","",Config!$B$19)</f>
        <v/>
      </c>
      <c r="W1534" t="str">
        <f>IF($AS1534="","",INDEX('TMP Paste'!$C$2:$C$1601,$AS1534))</f>
        <v/>
      </c>
      <c r="X1534" t="str">
        <f>IF($AS1534="","",Config!$B$29)</f>
        <v/>
      </c>
      <c r="Y1534" t="str">
        <f>IF($AT1534="","",INDEX(Calc!$I$2:$I$1601,$AT1534)&amp;" - "&amp;INDEX(Calc!$D$2:$D$1601,$AT1534)&amp;" koli")</f>
        <v/>
      </c>
      <c r="Z1534" t="str">
        <f>IF($AS1534="","",Config!$B$21)</f>
        <v/>
      </c>
      <c r="AA1534" t="str">
        <f>IF($AS1534="","",Config!$B$22)</f>
        <v/>
      </c>
      <c r="AB1534" t="str">
        <f>IF($AT1534="","",INDEX(Calc!$D$2:$D$1601,$AT1534))</f>
        <v/>
      </c>
      <c r="AC1534" t="str">
        <f>IF($AT1534="","",INDEX(Calc!$G$2:$G$1601,$AT1534))</f>
        <v/>
      </c>
      <c r="AD1534" t="str">
        <f>IF($AS1534="","",Config!$B$23)</f>
        <v/>
      </c>
      <c r="AE1534" t="str">
        <f>IF($AS1534="","",Config!$B$28)</f>
        <v/>
      </c>
      <c r="AF1534" t="str">
        <f t="shared" si="140"/>
        <v/>
      </c>
      <c r="AG1534" t="str">
        <f t="shared" si="141"/>
        <v/>
      </c>
      <c r="AH1534" t="str">
        <f t="shared" si="142"/>
        <v/>
      </c>
      <c r="AQ1534" t="str">
        <f>IF($AS1534="","",TRIM(IF(COUNTIFS(Calc!$B$2:$B$1601,ROW()-1,Calc!$C$2:$C$1601,"&lt;1")&gt;0,"Ada PO tanpa Koli - cek TMP. ","")&amp;IF(OR($AU1534="",$AU1534&lt;=0),"Volume kosong/0 - dimensi dikosongkan. ","")&amp;IF(AND($AU1534&lt;&gt;"",$AU1534&gt;=1000000),"Volume &gt;= 1.000.000 cm3 (di luar aturan) - dimensi dikosongkan. ","")&amp;IF(LEN($R1534)&gt;500,"R &gt; 500 karakter.","")))</f>
        <v/>
      </c>
      <c r="AS1534" t="str">
        <f>IFERROR(MATCH(ROW()-1,Calc!$J$2:$J$1601,0),"")</f>
        <v/>
      </c>
      <c r="AT1534" t="str">
        <f>IFERROR(MATCH(ROW()-1,Calc!$K$2:$K$1601,0),"")</f>
        <v/>
      </c>
      <c r="AU1534" t="str">
        <f>IF($AS1534="","",IFERROR(INDEX('TMP Paste'!$D$2:$D$1601,$AS1534)*1000000/$AB1534,""))</f>
        <v/>
      </c>
    </row>
    <row r="1535" spans="1:47">
      <c r="A1535" t="str">
        <f>IF($AS1535="","",INDEX('TMP Paste'!$B$2:$B$1601,$AS1535))</f>
        <v/>
      </c>
      <c r="B1535" t="str">
        <f>IF($AS1535="","",Config!$B$14)</f>
        <v/>
      </c>
      <c r="C1535" t="str">
        <f>IF($AS1535="","",Config!$B$15)</f>
        <v/>
      </c>
      <c r="D1535" t="str">
        <f>IF($AS1535="","",INDEX('TMP Paste'!$B$2:$B$1601,$AS1535))</f>
        <v/>
      </c>
      <c r="E1535" t="str">
        <f>IF($AS1535="","",Config!$B$27)</f>
        <v/>
      </c>
      <c r="F1535" t="str">
        <f>IF($AS1535="","",Config!$B$9)</f>
        <v/>
      </c>
      <c r="G1535" t="str">
        <f>IF($AS1535="","",Config!$B$10)</f>
        <v/>
      </c>
      <c r="H1535" t="str">
        <f>IF($AS1535="","",Config!$B$11)</f>
        <v/>
      </c>
      <c r="I1535" t="str">
        <f>IF($AS1535="","",Config!$B$16)</f>
        <v/>
      </c>
      <c r="J1535" t="str">
        <f>IF($AS1535="","",INDEX('TMP Paste'!$A$2:$A$1601,$AS1535))</f>
        <v/>
      </c>
      <c r="K1535" t="str">
        <f>IF($AS1535="","",INDEX('TMP Paste'!$L$2:$L$1601,$AS1535))</f>
        <v/>
      </c>
      <c r="L1535" t="str">
        <f>IF($AS1535="","",INDEX('TMP Paste'!$I$2:$I$1601,$AS1535))</f>
        <v/>
      </c>
      <c r="M1535" t="str">
        <f>IF($AS1535="","",Config!$B$16)</f>
        <v/>
      </c>
      <c r="N1535" t="str">
        <f t="shared" si="138"/>
        <v/>
      </c>
      <c r="O1535" t="str">
        <f>IF($AS1535="","",INDEX('TMP Paste'!$K$2:$K$1601,$AS1535))</f>
        <v/>
      </c>
      <c r="P1535" t="str">
        <f t="shared" si="139"/>
        <v/>
      </c>
      <c r="Q1535" t="str">
        <f>IF($AS1535="","",INDEX('TMP Paste'!$J$2:$J$1601,$AS1535))</f>
        <v/>
      </c>
      <c r="R1535" t="str">
        <f>IF($AS1535="","",Config!$B$24)</f>
        <v/>
      </c>
      <c r="S1535" t="str">
        <f ca="1">IF($AS1535="","",TEXT(Config!$B$4,"yyyy-mm-dd"))</f>
        <v/>
      </c>
      <c r="T1535" t="str">
        <f>IF($AS1535="","",Config!$B$17)</f>
        <v/>
      </c>
      <c r="U1535" t="str">
        <f>IF($AS1535="","",Config!$B$18)</f>
        <v/>
      </c>
      <c r="V1535" t="str">
        <f>IF($AS1535="","",Config!$B$19)</f>
        <v/>
      </c>
      <c r="W1535" t="str">
        <f>IF($AS1535="","",INDEX('TMP Paste'!$C$2:$C$1601,$AS1535))</f>
        <v/>
      </c>
      <c r="X1535" t="str">
        <f>IF($AS1535="","",Config!$B$29)</f>
        <v/>
      </c>
      <c r="Y1535" t="str">
        <f>IF($AT1535="","",INDEX(Calc!$I$2:$I$1601,$AT1535)&amp;" - "&amp;INDEX(Calc!$D$2:$D$1601,$AT1535)&amp;" koli")</f>
        <v/>
      </c>
      <c r="Z1535" t="str">
        <f>IF($AS1535="","",Config!$B$21)</f>
        <v/>
      </c>
      <c r="AA1535" t="str">
        <f>IF($AS1535="","",Config!$B$22)</f>
        <v/>
      </c>
      <c r="AB1535" t="str">
        <f>IF($AT1535="","",INDEX(Calc!$D$2:$D$1601,$AT1535))</f>
        <v/>
      </c>
      <c r="AC1535" t="str">
        <f>IF($AT1535="","",INDEX(Calc!$G$2:$G$1601,$AT1535))</f>
        <v/>
      </c>
      <c r="AD1535" t="str">
        <f>IF($AS1535="","",Config!$B$23)</f>
        <v/>
      </c>
      <c r="AE1535" t="str">
        <f>IF($AS1535="","",Config!$B$28)</f>
        <v/>
      </c>
      <c r="AF1535" t="str">
        <f t="shared" si="140"/>
        <v/>
      </c>
      <c r="AG1535" t="str">
        <f t="shared" si="141"/>
        <v/>
      </c>
      <c r="AH1535" t="str">
        <f t="shared" si="142"/>
        <v/>
      </c>
      <c r="AQ1535" t="str">
        <f>IF($AS1535="","",TRIM(IF(COUNTIFS(Calc!$B$2:$B$1601,ROW()-1,Calc!$C$2:$C$1601,"&lt;1")&gt;0,"Ada PO tanpa Koli - cek TMP. ","")&amp;IF(OR($AU1535="",$AU1535&lt;=0),"Volume kosong/0 - dimensi dikosongkan. ","")&amp;IF(AND($AU1535&lt;&gt;"",$AU1535&gt;=1000000),"Volume &gt;= 1.000.000 cm3 (di luar aturan) - dimensi dikosongkan. ","")&amp;IF(LEN($R1535)&gt;500,"R &gt; 500 karakter.","")))</f>
        <v/>
      </c>
      <c r="AS1535" t="str">
        <f>IFERROR(MATCH(ROW()-1,Calc!$J$2:$J$1601,0),"")</f>
        <v/>
      </c>
      <c r="AT1535" t="str">
        <f>IFERROR(MATCH(ROW()-1,Calc!$K$2:$K$1601,0),"")</f>
        <v/>
      </c>
      <c r="AU1535" t="str">
        <f>IF($AS1535="","",IFERROR(INDEX('TMP Paste'!$D$2:$D$1601,$AS1535)*1000000/$AB1535,""))</f>
        <v/>
      </c>
    </row>
    <row r="1536" spans="1:47">
      <c r="A1536" t="str">
        <f>IF($AS1536="","",INDEX('TMP Paste'!$B$2:$B$1601,$AS1536))</f>
        <v/>
      </c>
      <c r="B1536" t="str">
        <f>IF($AS1536="","",Config!$B$14)</f>
        <v/>
      </c>
      <c r="C1536" t="str">
        <f>IF($AS1536="","",Config!$B$15)</f>
        <v/>
      </c>
      <c r="D1536" t="str">
        <f>IF($AS1536="","",INDEX('TMP Paste'!$B$2:$B$1601,$AS1536))</f>
        <v/>
      </c>
      <c r="E1536" t="str">
        <f>IF($AS1536="","",Config!$B$27)</f>
        <v/>
      </c>
      <c r="F1536" t="str">
        <f>IF($AS1536="","",Config!$B$9)</f>
        <v/>
      </c>
      <c r="G1536" t="str">
        <f>IF($AS1536="","",Config!$B$10)</f>
        <v/>
      </c>
      <c r="H1536" t="str">
        <f>IF($AS1536="","",Config!$B$11)</f>
        <v/>
      </c>
      <c r="I1536" t="str">
        <f>IF($AS1536="","",Config!$B$16)</f>
        <v/>
      </c>
      <c r="J1536" t="str">
        <f>IF($AS1536="","",INDEX('TMP Paste'!$A$2:$A$1601,$AS1536))</f>
        <v/>
      </c>
      <c r="K1536" t="str">
        <f>IF($AS1536="","",INDEX('TMP Paste'!$L$2:$L$1601,$AS1536))</f>
        <v/>
      </c>
      <c r="L1536" t="str">
        <f>IF($AS1536="","",INDEX('TMP Paste'!$I$2:$I$1601,$AS1536))</f>
        <v/>
      </c>
      <c r="M1536" t="str">
        <f>IF($AS1536="","",Config!$B$16)</f>
        <v/>
      </c>
      <c r="N1536" t="str">
        <f t="shared" si="138"/>
        <v/>
      </c>
      <c r="O1536" t="str">
        <f>IF($AS1536="","",INDEX('TMP Paste'!$K$2:$K$1601,$AS1536))</f>
        <v/>
      </c>
      <c r="P1536" t="str">
        <f t="shared" si="139"/>
        <v/>
      </c>
      <c r="Q1536" t="str">
        <f>IF($AS1536="","",INDEX('TMP Paste'!$J$2:$J$1601,$AS1536))</f>
        <v/>
      </c>
      <c r="R1536" t="str">
        <f>IF($AS1536="","",Config!$B$24)</f>
        <v/>
      </c>
      <c r="S1536" t="str">
        <f ca="1">IF($AS1536="","",TEXT(Config!$B$4,"yyyy-mm-dd"))</f>
        <v/>
      </c>
      <c r="T1536" t="str">
        <f>IF($AS1536="","",Config!$B$17)</f>
        <v/>
      </c>
      <c r="U1536" t="str">
        <f>IF($AS1536="","",Config!$B$18)</f>
        <v/>
      </c>
      <c r="V1536" t="str">
        <f>IF($AS1536="","",Config!$B$19)</f>
        <v/>
      </c>
      <c r="W1536" t="str">
        <f>IF($AS1536="","",INDEX('TMP Paste'!$C$2:$C$1601,$AS1536))</f>
        <v/>
      </c>
      <c r="X1536" t="str">
        <f>IF($AS1536="","",Config!$B$29)</f>
        <v/>
      </c>
      <c r="Y1536" t="str">
        <f>IF($AT1536="","",INDEX(Calc!$I$2:$I$1601,$AT1536)&amp;" - "&amp;INDEX(Calc!$D$2:$D$1601,$AT1536)&amp;" koli")</f>
        <v/>
      </c>
      <c r="Z1536" t="str">
        <f>IF($AS1536="","",Config!$B$21)</f>
        <v/>
      </c>
      <c r="AA1536" t="str">
        <f>IF($AS1536="","",Config!$B$22)</f>
        <v/>
      </c>
      <c r="AB1536" t="str">
        <f>IF($AT1536="","",INDEX(Calc!$D$2:$D$1601,$AT1536))</f>
        <v/>
      </c>
      <c r="AC1536" t="str">
        <f>IF($AT1536="","",INDEX(Calc!$G$2:$G$1601,$AT1536))</f>
        <v/>
      </c>
      <c r="AD1536" t="str">
        <f>IF($AS1536="","",Config!$B$23)</f>
        <v/>
      </c>
      <c r="AE1536" t="str">
        <f>IF($AS1536="","",Config!$B$28)</f>
        <v/>
      </c>
      <c r="AF1536" t="str">
        <f t="shared" si="140"/>
        <v/>
      </c>
      <c r="AG1536" t="str">
        <f t="shared" si="141"/>
        <v/>
      </c>
      <c r="AH1536" t="str">
        <f t="shared" si="142"/>
        <v/>
      </c>
      <c r="AQ1536" t="str">
        <f>IF($AS1536="","",TRIM(IF(COUNTIFS(Calc!$B$2:$B$1601,ROW()-1,Calc!$C$2:$C$1601,"&lt;1")&gt;0,"Ada PO tanpa Koli - cek TMP. ","")&amp;IF(OR($AU1536="",$AU1536&lt;=0),"Volume kosong/0 - dimensi dikosongkan. ","")&amp;IF(AND($AU1536&lt;&gt;"",$AU1536&gt;=1000000),"Volume &gt;= 1.000.000 cm3 (di luar aturan) - dimensi dikosongkan. ","")&amp;IF(LEN($R1536)&gt;500,"R &gt; 500 karakter.","")))</f>
        <v/>
      </c>
      <c r="AS1536" t="str">
        <f>IFERROR(MATCH(ROW()-1,Calc!$J$2:$J$1601,0),"")</f>
        <v/>
      </c>
      <c r="AT1536" t="str">
        <f>IFERROR(MATCH(ROW()-1,Calc!$K$2:$K$1601,0),"")</f>
        <v/>
      </c>
      <c r="AU1536" t="str">
        <f>IF($AS1536="","",IFERROR(INDEX('TMP Paste'!$D$2:$D$1601,$AS1536)*1000000/$AB1536,""))</f>
        <v/>
      </c>
    </row>
    <row r="1537" spans="1:47">
      <c r="A1537" t="str">
        <f>IF($AS1537="","",INDEX('TMP Paste'!$B$2:$B$1601,$AS1537))</f>
        <v/>
      </c>
      <c r="B1537" t="str">
        <f>IF($AS1537="","",Config!$B$14)</f>
        <v/>
      </c>
      <c r="C1537" t="str">
        <f>IF($AS1537="","",Config!$B$15)</f>
        <v/>
      </c>
      <c r="D1537" t="str">
        <f>IF($AS1537="","",INDEX('TMP Paste'!$B$2:$B$1601,$AS1537))</f>
        <v/>
      </c>
      <c r="E1537" t="str">
        <f>IF($AS1537="","",Config!$B$27)</f>
        <v/>
      </c>
      <c r="F1537" t="str">
        <f>IF($AS1537="","",Config!$B$9)</f>
        <v/>
      </c>
      <c r="G1537" t="str">
        <f>IF($AS1537="","",Config!$B$10)</f>
        <v/>
      </c>
      <c r="H1537" t="str">
        <f>IF($AS1537="","",Config!$B$11)</f>
        <v/>
      </c>
      <c r="I1537" t="str">
        <f>IF($AS1537="","",Config!$B$16)</f>
        <v/>
      </c>
      <c r="J1537" t="str">
        <f>IF($AS1537="","",INDEX('TMP Paste'!$A$2:$A$1601,$AS1537))</f>
        <v/>
      </c>
      <c r="K1537" t="str">
        <f>IF($AS1537="","",INDEX('TMP Paste'!$L$2:$L$1601,$AS1537))</f>
        <v/>
      </c>
      <c r="L1537" t="str">
        <f>IF($AS1537="","",INDEX('TMP Paste'!$I$2:$I$1601,$AS1537))</f>
        <v/>
      </c>
      <c r="M1537" t="str">
        <f>IF($AS1537="","",Config!$B$16)</f>
        <v/>
      </c>
      <c r="N1537" t="str">
        <f t="shared" si="138"/>
        <v/>
      </c>
      <c r="O1537" t="str">
        <f>IF($AS1537="","",INDEX('TMP Paste'!$K$2:$K$1601,$AS1537))</f>
        <v/>
      </c>
      <c r="P1537" t="str">
        <f t="shared" si="139"/>
        <v/>
      </c>
      <c r="Q1537" t="str">
        <f>IF($AS1537="","",INDEX('TMP Paste'!$J$2:$J$1601,$AS1537))</f>
        <v/>
      </c>
      <c r="R1537" t="str">
        <f>IF($AS1537="","",Config!$B$24)</f>
        <v/>
      </c>
      <c r="S1537" t="str">
        <f ca="1">IF($AS1537="","",TEXT(Config!$B$4,"yyyy-mm-dd"))</f>
        <v/>
      </c>
      <c r="T1537" t="str">
        <f>IF($AS1537="","",Config!$B$17)</f>
        <v/>
      </c>
      <c r="U1537" t="str">
        <f>IF($AS1537="","",Config!$B$18)</f>
        <v/>
      </c>
      <c r="V1537" t="str">
        <f>IF($AS1537="","",Config!$B$19)</f>
        <v/>
      </c>
      <c r="W1537" t="str">
        <f>IF($AS1537="","",INDEX('TMP Paste'!$C$2:$C$1601,$AS1537))</f>
        <v/>
      </c>
      <c r="X1537" t="str">
        <f>IF($AS1537="","",Config!$B$29)</f>
        <v/>
      </c>
      <c r="Y1537" t="str">
        <f>IF($AT1537="","",INDEX(Calc!$I$2:$I$1601,$AT1537)&amp;" - "&amp;INDEX(Calc!$D$2:$D$1601,$AT1537)&amp;" koli")</f>
        <v/>
      </c>
      <c r="Z1537" t="str">
        <f>IF($AS1537="","",Config!$B$21)</f>
        <v/>
      </c>
      <c r="AA1537" t="str">
        <f>IF($AS1537="","",Config!$B$22)</f>
        <v/>
      </c>
      <c r="AB1537" t="str">
        <f>IF($AT1537="","",INDEX(Calc!$D$2:$D$1601,$AT1537))</f>
        <v/>
      </c>
      <c r="AC1537" t="str">
        <f>IF($AT1537="","",INDEX(Calc!$G$2:$G$1601,$AT1537))</f>
        <v/>
      </c>
      <c r="AD1537" t="str">
        <f>IF($AS1537="","",Config!$B$23)</f>
        <v/>
      </c>
      <c r="AE1537" t="str">
        <f>IF($AS1537="","",Config!$B$28)</f>
        <v/>
      </c>
      <c r="AF1537" t="str">
        <f t="shared" si="140"/>
        <v/>
      </c>
      <c r="AG1537" t="str">
        <f t="shared" si="141"/>
        <v/>
      </c>
      <c r="AH1537" t="str">
        <f t="shared" si="142"/>
        <v/>
      </c>
      <c r="AQ1537" t="str">
        <f>IF($AS1537="","",TRIM(IF(COUNTIFS(Calc!$B$2:$B$1601,ROW()-1,Calc!$C$2:$C$1601,"&lt;1")&gt;0,"Ada PO tanpa Koli - cek TMP. ","")&amp;IF(OR($AU1537="",$AU1537&lt;=0),"Volume kosong/0 - dimensi dikosongkan. ","")&amp;IF(AND($AU1537&lt;&gt;"",$AU1537&gt;=1000000),"Volume &gt;= 1.000.000 cm3 (di luar aturan) - dimensi dikosongkan. ","")&amp;IF(LEN($R1537)&gt;500,"R &gt; 500 karakter.","")))</f>
        <v/>
      </c>
      <c r="AS1537" t="str">
        <f>IFERROR(MATCH(ROW()-1,Calc!$J$2:$J$1601,0),"")</f>
        <v/>
      </c>
      <c r="AT1537" t="str">
        <f>IFERROR(MATCH(ROW()-1,Calc!$K$2:$K$1601,0),"")</f>
        <v/>
      </c>
      <c r="AU1537" t="str">
        <f>IF($AS1537="","",IFERROR(INDEX('TMP Paste'!$D$2:$D$1601,$AS1537)*1000000/$AB1537,""))</f>
        <v/>
      </c>
    </row>
    <row r="1538" spans="1:47">
      <c r="A1538" t="str">
        <f>IF($AS1538="","",INDEX('TMP Paste'!$B$2:$B$1601,$AS1538))</f>
        <v/>
      </c>
      <c r="B1538" t="str">
        <f>IF($AS1538="","",Config!$B$14)</f>
        <v/>
      </c>
      <c r="C1538" t="str">
        <f>IF($AS1538="","",Config!$B$15)</f>
        <v/>
      </c>
      <c r="D1538" t="str">
        <f>IF($AS1538="","",INDEX('TMP Paste'!$B$2:$B$1601,$AS1538))</f>
        <v/>
      </c>
      <c r="E1538" t="str">
        <f>IF($AS1538="","",Config!$B$27)</f>
        <v/>
      </c>
      <c r="F1538" t="str">
        <f>IF($AS1538="","",Config!$B$9)</f>
        <v/>
      </c>
      <c r="G1538" t="str">
        <f>IF($AS1538="","",Config!$B$10)</f>
        <v/>
      </c>
      <c r="H1538" t="str">
        <f>IF($AS1538="","",Config!$B$11)</f>
        <v/>
      </c>
      <c r="I1538" t="str">
        <f>IF($AS1538="","",Config!$B$16)</f>
        <v/>
      </c>
      <c r="J1538" t="str">
        <f>IF($AS1538="","",INDEX('TMP Paste'!$A$2:$A$1601,$AS1538))</f>
        <v/>
      </c>
      <c r="K1538" t="str">
        <f>IF($AS1538="","",INDEX('TMP Paste'!$L$2:$L$1601,$AS1538))</f>
        <v/>
      </c>
      <c r="L1538" t="str">
        <f>IF($AS1538="","",INDEX('TMP Paste'!$I$2:$I$1601,$AS1538))</f>
        <v/>
      </c>
      <c r="M1538" t="str">
        <f>IF($AS1538="","",Config!$B$16)</f>
        <v/>
      </c>
      <c r="N1538" t="str">
        <f t="shared" ref="N1538:N1601" si="144">IF($AS1538="","","")</f>
        <v/>
      </c>
      <c r="O1538" t="str">
        <f>IF($AS1538="","",INDEX('TMP Paste'!$K$2:$K$1601,$AS1538))</f>
        <v/>
      </c>
      <c r="P1538" t="str">
        <f t="shared" ref="P1538:P1601" si="145">IF($AS1538="","","")</f>
        <v/>
      </c>
      <c r="Q1538" t="str">
        <f>IF($AS1538="","",INDEX('TMP Paste'!$J$2:$J$1601,$AS1538))</f>
        <v/>
      </c>
      <c r="R1538" t="str">
        <f>IF($AS1538="","",Config!$B$24)</f>
        <v/>
      </c>
      <c r="S1538" t="str">
        <f ca="1">IF($AS1538="","",TEXT(Config!$B$4,"yyyy-mm-dd"))</f>
        <v/>
      </c>
      <c r="T1538" t="str">
        <f>IF($AS1538="","",Config!$B$17)</f>
        <v/>
      </c>
      <c r="U1538" t="str">
        <f>IF($AS1538="","",Config!$B$18)</f>
        <v/>
      </c>
      <c r="V1538" t="str">
        <f>IF($AS1538="","",Config!$B$19)</f>
        <v/>
      </c>
      <c r="W1538" t="str">
        <f>IF($AS1538="","",INDEX('TMP Paste'!$C$2:$C$1601,$AS1538))</f>
        <v/>
      </c>
      <c r="X1538" t="str">
        <f>IF($AS1538="","",Config!$B$29)</f>
        <v/>
      </c>
      <c r="Y1538" t="str">
        <f>IF($AT1538="","",INDEX(Calc!$I$2:$I$1601,$AT1538)&amp;" - "&amp;INDEX(Calc!$D$2:$D$1601,$AT1538)&amp;" koli")</f>
        <v/>
      </c>
      <c r="Z1538" t="str">
        <f>IF($AS1538="","",Config!$B$21)</f>
        <v/>
      </c>
      <c r="AA1538" t="str">
        <f>IF($AS1538="","",Config!$B$22)</f>
        <v/>
      </c>
      <c r="AB1538" t="str">
        <f>IF($AT1538="","",INDEX(Calc!$D$2:$D$1601,$AT1538))</f>
        <v/>
      </c>
      <c r="AC1538" t="str">
        <f>IF($AT1538="","",INDEX(Calc!$G$2:$G$1601,$AT1538))</f>
        <v/>
      </c>
      <c r="AD1538" t="str">
        <f>IF($AS1538="","",Config!$B$23)</f>
        <v/>
      </c>
      <c r="AE1538" t="str">
        <f>IF($AS1538="","",Config!$B$28)</f>
        <v/>
      </c>
      <c r="AF1538" t="str">
        <f t="shared" ref="AF1538:AF1601" si="146">IF($AS1538="","",IF(OR($AU1538="",$AU1538&lt;=0,$AU1538&gt;=1000000),"",IF($AU1538&lt;10000,10,100)))</f>
        <v/>
      </c>
      <c r="AG1538" t="str">
        <f t="shared" ref="AG1538:AG1601" si="147">IF($AS1538="","",IF(OR($AU1538="",$AU1538&lt;=0,$AU1538&gt;=1000000),"",IF($AU1538&lt;10000,$AU1538/100,IF($AU1538&lt;100000,$AU1538/1000,$AU1538/10000))))</f>
        <v/>
      </c>
      <c r="AH1538" t="str">
        <f t="shared" ref="AH1538:AH1601" si="148">IF($AS1538="","",IF(OR($AU1538="",$AU1538&lt;=0,$AU1538&gt;=1000000),"",IF($AU1538&lt;100000,10,100)))</f>
        <v/>
      </c>
      <c r="AQ1538" t="str">
        <f>IF($AS1538="","",TRIM(IF(COUNTIFS(Calc!$B$2:$B$1601,ROW()-1,Calc!$C$2:$C$1601,"&lt;1")&gt;0,"Ada PO tanpa Koli - cek TMP. ","")&amp;IF(OR($AU1538="",$AU1538&lt;=0),"Volume kosong/0 - dimensi dikosongkan. ","")&amp;IF(AND($AU1538&lt;&gt;"",$AU1538&gt;=1000000),"Volume &gt;= 1.000.000 cm3 (di luar aturan) - dimensi dikosongkan. ","")&amp;IF(LEN($R1538)&gt;500,"R &gt; 500 karakter.","")))</f>
        <v/>
      </c>
      <c r="AS1538" t="str">
        <f>IFERROR(MATCH(ROW()-1,Calc!$J$2:$J$1601,0),"")</f>
        <v/>
      </c>
      <c r="AT1538" t="str">
        <f>IFERROR(MATCH(ROW()-1,Calc!$K$2:$K$1601,0),"")</f>
        <v/>
      </c>
      <c r="AU1538" t="str">
        <f>IF($AS1538="","",IFERROR(INDEX('TMP Paste'!$D$2:$D$1601,$AS1538)*1000000/$AB1538,""))</f>
        <v/>
      </c>
    </row>
    <row r="1539" spans="1:47">
      <c r="A1539" t="str">
        <f>IF($AS1539="","",INDEX('TMP Paste'!$B$2:$B$1601,$AS1539))</f>
        <v/>
      </c>
      <c r="B1539" t="str">
        <f>IF($AS1539="","",Config!$B$14)</f>
        <v/>
      </c>
      <c r="C1539" t="str">
        <f>IF($AS1539="","",Config!$B$15)</f>
        <v/>
      </c>
      <c r="D1539" t="str">
        <f>IF($AS1539="","",INDEX('TMP Paste'!$B$2:$B$1601,$AS1539))</f>
        <v/>
      </c>
      <c r="E1539" t="str">
        <f>IF($AS1539="","",Config!$B$27)</f>
        <v/>
      </c>
      <c r="F1539" t="str">
        <f>IF($AS1539="","",Config!$B$9)</f>
        <v/>
      </c>
      <c r="G1539" t="str">
        <f>IF($AS1539="","",Config!$B$10)</f>
        <v/>
      </c>
      <c r="H1539" t="str">
        <f>IF($AS1539="","",Config!$B$11)</f>
        <v/>
      </c>
      <c r="I1539" t="str">
        <f>IF($AS1539="","",Config!$B$16)</f>
        <v/>
      </c>
      <c r="J1539" t="str">
        <f>IF($AS1539="","",INDEX('TMP Paste'!$A$2:$A$1601,$AS1539))</f>
        <v/>
      </c>
      <c r="K1539" t="str">
        <f>IF($AS1539="","",INDEX('TMP Paste'!$L$2:$L$1601,$AS1539))</f>
        <v/>
      </c>
      <c r="L1539" t="str">
        <f>IF($AS1539="","",INDEX('TMP Paste'!$I$2:$I$1601,$AS1539))</f>
        <v/>
      </c>
      <c r="M1539" t="str">
        <f>IF($AS1539="","",Config!$B$16)</f>
        <v/>
      </c>
      <c r="N1539" t="str">
        <f t="shared" si="144"/>
        <v/>
      </c>
      <c r="O1539" t="str">
        <f>IF($AS1539="","",INDEX('TMP Paste'!$K$2:$K$1601,$AS1539))</f>
        <v/>
      </c>
      <c r="P1539" t="str">
        <f t="shared" si="145"/>
        <v/>
      </c>
      <c r="Q1539" t="str">
        <f>IF($AS1539="","",INDEX('TMP Paste'!$J$2:$J$1601,$AS1539))</f>
        <v/>
      </c>
      <c r="R1539" t="str">
        <f>IF($AS1539="","",Config!$B$24)</f>
        <v/>
      </c>
      <c r="S1539" t="str">
        <f ca="1">IF($AS1539="","",TEXT(Config!$B$4,"yyyy-mm-dd"))</f>
        <v/>
      </c>
      <c r="T1539" t="str">
        <f>IF($AS1539="","",Config!$B$17)</f>
        <v/>
      </c>
      <c r="U1539" t="str">
        <f>IF($AS1539="","",Config!$B$18)</f>
        <v/>
      </c>
      <c r="V1539" t="str">
        <f>IF($AS1539="","",Config!$B$19)</f>
        <v/>
      </c>
      <c r="W1539" t="str">
        <f>IF($AS1539="","",INDEX('TMP Paste'!$C$2:$C$1601,$AS1539))</f>
        <v/>
      </c>
      <c r="X1539" t="str">
        <f>IF($AS1539="","",Config!$B$29)</f>
        <v/>
      </c>
      <c r="Y1539" t="str">
        <f>IF($AT1539="","",INDEX(Calc!$I$2:$I$1601,$AT1539)&amp;" - "&amp;INDEX(Calc!$D$2:$D$1601,$AT1539)&amp;" koli")</f>
        <v/>
      </c>
      <c r="Z1539" t="str">
        <f>IF($AS1539="","",Config!$B$21)</f>
        <v/>
      </c>
      <c r="AA1539" t="str">
        <f>IF($AS1539="","",Config!$B$22)</f>
        <v/>
      </c>
      <c r="AB1539" t="str">
        <f>IF($AT1539="","",INDEX(Calc!$D$2:$D$1601,$AT1539))</f>
        <v/>
      </c>
      <c r="AC1539" t="str">
        <f>IF($AT1539="","",INDEX(Calc!$G$2:$G$1601,$AT1539))</f>
        <v/>
      </c>
      <c r="AD1539" t="str">
        <f>IF($AS1539="","",Config!$B$23)</f>
        <v/>
      </c>
      <c r="AE1539" t="str">
        <f>IF($AS1539="","",Config!$B$28)</f>
        <v/>
      </c>
      <c r="AF1539" t="str">
        <f t="shared" si="146"/>
        <v/>
      </c>
      <c r="AG1539" t="str">
        <f t="shared" si="147"/>
        <v/>
      </c>
      <c r="AH1539" t="str">
        <f t="shared" si="148"/>
        <v/>
      </c>
      <c r="AQ1539" t="str">
        <f>IF($AS1539="","",TRIM(IF(COUNTIFS(Calc!$B$2:$B$1601,ROW()-1,Calc!$C$2:$C$1601,"&lt;1")&gt;0,"Ada PO tanpa Koli - cek TMP. ","")&amp;IF(OR($AU1539="",$AU1539&lt;=0),"Volume kosong/0 - dimensi dikosongkan. ","")&amp;IF(AND($AU1539&lt;&gt;"",$AU1539&gt;=1000000),"Volume &gt;= 1.000.000 cm3 (di luar aturan) - dimensi dikosongkan. ","")&amp;IF(LEN($R1539)&gt;500,"R &gt; 500 karakter.","")))</f>
        <v/>
      </c>
      <c r="AS1539" t="str">
        <f>IFERROR(MATCH(ROW()-1,Calc!$J$2:$J$1601,0),"")</f>
        <v/>
      </c>
      <c r="AT1539" t="str">
        <f>IFERROR(MATCH(ROW()-1,Calc!$K$2:$K$1601,0),"")</f>
        <v/>
      </c>
      <c r="AU1539" t="str">
        <f>IF($AS1539="","",IFERROR(INDEX('TMP Paste'!$D$2:$D$1601,$AS1539)*1000000/$AB1539,""))</f>
        <v/>
      </c>
    </row>
    <row r="1540" spans="1:47">
      <c r="A1540" t="str">
        <f>IF($AS1540="","",INDEX('TMP Paste'!$B$2:$B$1601,$AS1540))</f>
        <v/>
      </c>
      <c r="B1540" t="str">
        <f>IF($AS1540="","",Config!$B$14)</f>
        <v/>
      </c>
      <c r="C1540" t="str">
        <f>IF($AS1540="","",Config!$B$15)</f>
        <v/>
      </c>
      <c r="D1540" t="str">
        <f>IF($AS1540="","",INDEX('TMP Paste'!$B$2:$B$1601,$AS1540))</f>
        <v/>
      </c>
      <c r="E1540" t="str">
        <f>IF($AS1540="","",Config!$B$27)</f>
        <v/>
      </c>
      <c r="F1540" t="str">
        <f>IF($AS1540="","",Config!$B$9)</f>
        <v/>
      </c>
      <c r="G1540" t="str">
        <f>IF($AS1540="","",Config!$B$10)</f>
        <v/>
      </c>
      <c r="H1540" t="str">
        <f>IF($AS1540="","",Config!$B$11)</f>
        <v/>
      </c>
      <c r="I1540" t="str">
        <f>IF($AS1540="","",Config!$B$16)</f>
        <v/>
      </c>
      <c r="J1540" t="str">
        <f>IF($AS1540="","",INDEX('TMP Paste'!$A$2:$A$1601,$AS1540))</f>
        <v/>
      </c>
      <c r="K1540" t="str">
        <f>IF($AS1540="","",INDEX('TMP Paste'!$L$2:$L$1601,$AS1540))</f>
        <v/>
      </c>
      <c r="L1540" t="str">
        <f>IF($AS1540="","",INDEX('TMP Paste'!$I$2:$I$1601,$AS1540))</f>
        <v/>
      </c>
      <c r="M1540" t="str">
        <f>IF($AS1540="","",Config!$B$16)</f>
        <v/>
      </c>
      <c r="N1540" t="str">
        <f t="shared" si="144"/>
        <v/>
      </c>
      <c r="O1540" t="str">
        <f>IF($AS1540="","",INDEX('TMP Paste'!$K$2:$K$1601,$AS1540))</f>
        <v/>
      </c>
      <c r="P1540" t="str">
        <f t="shared" si="145"/>
        <v/>
      </c>
      <c r="Q1540" t="str">
        <f>IF($AS1540="","",INDEX('TMP Paste'!$J$2:$J$1601,$AS1540))</f>
        <v/>
      </c>
      <c r="R1540" t="str">
        <f>IF($AS1540="","",Config!$B$24)</f>
        <v/>
      </c>
      <c r="S1540" t="str">
        <f ca="1">IF($AS1540="","",TEXT(Config!$B$4,"yyyy-mm-dd"))</f>
        <v/>
      </c>
      <c r="T1540" t="str">
        <f>IF($AS1540="","",Config!$B$17)</f>
        <v/>
      </c>
      <c r="U1540" t="str">
        <f>IF($AS1540="","",Config!$B$18)</f>
        <v/>
      </c>
      <c r="V1540" t="str">
        <f>IF($AS1540="","",Config!$B$19)</f>
        <v/>
      </c>
      <c r="W1540" t="str">
        <f>IF($AS1540="","",INDEX('TMP Paste'!$C$2:$C$1601,$AS1540))</f>
        <v/>
      </c>
      <c r="X1540" t="str">
        <f>IF($AS1540="","",Config!$B$29)</f>
        <v/>
      </c>
      <c r="Y1540" t="str">
        <f>IF($AT1540="","",INDEX(Calc!$I$2:$I$1601,$AT1540)&amp;" - "&amp;INDEX(Calc!$D$2:$D$1601,$AT1540)&amp;" koli")</f>
        <v/>
      </c>
      <c r="Z1540" t="str">
        <f>IF($AS1540="","",Config!$B$21)</f>
        <v/>
      </c>
      <c r="AA1540" t="str">
        <f>IF($AS1540="","",Config!$B$22)</f>
        <v/>
      </c>
      <c r="AB1540" t="str">
        <f>IF($AT1540="","",INDEX(Calc!$D$2:$D$1601,$AT1540))</f>
        <v/>
      </c>
      <c r="AC1540" t="str">
        <f>IF($AT1540="","",INDEX(Calc!$G$2:$G$1601,$AT1540))</f>
        <v/>
      </c>
      <c r="AD1540" t="str">
        <f>IF($AS1540="","",Config!$B$23)</f>
        <v/>
      </c>
      <c r="AE1540" t="str">
        <f>IF($AS1540="","",Config!$B$28)</f>
        <v/>
      </c>
      <c r="AF1540" t="str">
        <f t="shared" si="146"/>
        <v/>
      </c>
      <c r="AG1540" t="str">
        <f t="shared" si="147"/>
        <v/>
      </c>
      <c r="AH1540" t="str">
        <f t="shared" si="148"/>
        <v/>
      </c>
      <c r="AQ1540" t="str">
        <f>IF($AS1540="","",TRIM(IF(COUNTIFS(Calc!$B$2:$B$1601,ROW()-1,Calc!$C$2:$C$1601,"&lt;1")&gt;0,"Ada PO tanpa Koli - cek TMP. ","")&amp;IF(OR($AU1540="",$AU1540&lt;=0),"Volume kosong/0 - dimensi dikosongkan. ","")&amp;IF(AND($AU1540&lt;&gt;"",$AU1540&gt;=1000000),"Volume &gt;= 1.000.000 cm3 (di luar aturan) - dimensi dikosongkan. ","")&amp;IF(LEN($R1540)&gt;500,"R &gt; 500 karakter.","")))</f>
        <v/>
      </c>
      <c r="AS1540" t="str">
        <f>IFERROR(MATCH(ROW()-1,Calc!$J$2:$J$1601,0),"")</f>
        <v/>
      </c>
      <c r="AT1540" t="str">
        <f>IFERROR(MATCH(ROW()-1,Calc!$K$2:$K$1601,0),"")</f>
        <v/>
      </c>
      <c r="AU1540" t="str">
        <f>IF($AS1540="","",IFERROR(INDEX('TMP Paste'!$D$2:$D$1601,$AS1540)*1000000/$AB1540,""))</f>
        <v/>
      </c>
    </row>
    <row r="1541" spans="1:47">
      <c r="A1541" t="str">
        <f>IF($AS1541="","",INDEX('TMP Paste'!$B$2:$B$1601,$AS1541))</f>
        <v/>
      </c>
      <c r="B1541" t="str">
        <f>IF($AS1541="","",Config!$B$14)</f>
        <v/>
      </c>
      <c r="C1541" t="str">
        <f>IF($AS1541="","",Config!$B$15)</f>
        <v/>
      </c>
      <c r="D1541" t="str">
        <f>IF($AS1541="","",INDEX('TMP Paste'!$B$2:$B$1601,$AS1541))</f>
        <v/>
      </c>
      <c r="E1541" t="str">
        <f>IF($AS1541="","",Config!$B$27)</f>
        <v/>
      </c>
      <c r="F1541" t="str">
        <f>IF($AS1541="","",Config!$B$9)</f>
        <v/>
      </c>
      <c r="G1541" t="str">
        <f>IF($AS1541="","",Config!$B$10)</f>
        <v/>
      </c>
      <c r="H1541" t="str">
        <f>IF($AS1541="","",Config!$B$11)</f>
        <v/>
      </c>
      <c r="I1541" t="str">
        <f>IF($AS1541="","",Config!$B$16)</f>
        <v/>
      </c>
      <c r="J1541" t="str">
        <f>IF($AS1541="","",INDEX('TMP Paste'!$A$2:$A$1601,$AS1541))</f>
        <v/>
      </c>
      <c r="K1541" t="str">
        <f>IF($AS1541="","",INDEX('TMP Paste'!$L$2:$L$1601,$AS1541))</f>
        <v/>
      </c>
      <c r="L1541" t="str">
        <f>IF($AS1541="","",INDEX('TMP Paste'!$I$2:$I$1601,$AS1541))</f>
        <v/>
      </c>
      <c r="M1541" t="str">
        <f>IF($AS1541="","",Config!$B$16)</f>
        <v/>
      </c>
      <c r="N1541" t="str">
        <f t="shared" si="144"/>
        <v/>
      </c>
      <c r="O1541" t="str">
        <f>IF($AS1541="","",INDEX('TMP Paste'!$K$2:$K$1601,$AS1541))</f>
        <v/>
      </c>
      <c r="P1541" t="str">
        <f t="shared" si="145"/>
        <v/>
      </c>
      <c r="Q1541" t="str">
        <f>IF($AS1541="","",INDEX('TMP Paste'!$J$2:$J$1601,$AS1541))</f>
        <v/>
      </c>
      <c r="R1541" t="str">
        <f>IF($AS1541="","",Config!$B$24)</f>
        <v/>
      </c>
      <c r="S1541" t="str">
        <f ca="1">IF($AS1541="","",TEXT(Config!$B$4,"yyyy-mm-dd"))</f>
        <v/>
      </c>
      <c r="T1541" t="str">
        <f>IF($AS1541="","",Config!$B$17)</f>
        <v/>
      </c>
      <c r="U1541" t="str">
        <f>IF($AS1541="","",Config!$B$18)</f>
        <v/>
      </c>
      <c r="V1541" t="str">
        <f>IF($AS1541="","",Config!$B$19)</f>
        <v/>
      </c>
      <c r="W1541" t="str">
        <f>IF($AS1541="","",INDEX('TMP Paste'!$C$2:$C$1601,$AS1541))</f>
        <v/>
      </c>
      <c r="X1541" t="str">
        <f>IF($AS1541="","",Config!$B$29)</f>
        <v/>
      </c>
      <c r="Y1541" t="str">
        <f>IF($AT1541="","",INDEX(Calc!$I$2:$I$1601,$AT1541)&amp;" - "&amp;INDEX(Calc!$D$2:$D$1601,$AT1541)&amp;" koli")</f>
        <v/>
      </c>
      <c r="Z1541" t="str">
        <f>IF($AS1541="","",Config!$B$21)</f>
        <v/>
      </c>
      <c r="AA1541" t="str">
        <f>IF($AS1541="","",Config!$B$22)</f>
        <v/>
      </c>
      <c r="AB1541" t="str">
        <f>IF($AT1541="","",INDEX(Calc!$D$2:$D$1601,$AT1541))</f>
        <v/>
      </c>
      <c r="AC1541" t="str">
        <f>IF($AT1541="","",INDEX(Calc!$G$2:$G$1601,$AT1541))</f>
        <v/>
      </c>
      <c r="AD1541" t="str">
        <f>IF($AS1541="","",Config!$B$23)</f>
        <v/>
      </c>
      <c r="AE1541" t="str">
        <f>IF($AS1541="","",Config!$B$28)</f>
        <v/>
      </c>
      <c r="AF1541" t="str">
        <f t="shared" si="146"/>
        <v/>
      </c>
      <c r="AG1541" t="str">
        <f t="shared" si="147"/>
        <v/>
      </c>
      <c r="AH1541" t="str">
        <f t="shared" si="148"/>
        <v/>
      </c>
      <c r="AQ1541" t="str">
        <f>IF($AS1541="","",TRIM(IF(COUNTIFS(Calc!$B$2:$B$1601,ROW()-1,Calc!$C$2:$C$1601,"&lt;1")&gt;0,"Ada PO tanpa Koli - cek TMP. ","")&amp;IF(OR($AU1541="",$AU1541&lt;=0),"Volume kosong/0 - dimensi dikosongkan. ","")&amp;IF(AND($AU1541&lt;&gt;"",$AU1541&gt;=1000000),"Volume &gt;= 1.000.000 cm3 (di luar aturan) - dimensi dikosongkan. ","")&amp;IF(LEN($R1541)&gt;500,"R &gt; 500 karakter.","")))</f>
        <v/>
      </c>
      <c r="AS1541" t="str">
        <f>IFERROR(MATCH(ROW()-1,Calc!$J$2:$J$1601,0),"")</f>
        <v/>
      </c>
      <c r="AT1541" t="str">
        <f>IFERROR(MATCH(ROW()-1,Calc!$K$2:$K$1601,0),"")</f>
        <v/>
      </c>
      <c r="AU1541" t="str">
        <f>IF($AS1541="","",IFERROR(INDEX('TMP Paste'!$D$2:$D$1601,$AS1541)*1000000/$AB1541,""))</f>
        <v/>
      </c>
    </row>
    <row r="1542" spans="1:47">
      <c r="A1542" t="str">
        <f>IF($AS1542="","",INDEX('TMP Paste'!$B$2:$B$1601,$AS1542))</f>
        <v/>
      </c>
      <c r="B1542" t="str">
        <f>IF($AS1542="","",Config!$B$14)</f>
        <v/>
      </c>
      <c r="C1542" t="str">
        <f>IF($AS1542="","",Config!$B$15)</f>
        <v/>
      </c>
      <c r="D1542" t="str">
        <f>IF($AS1542="","",INDEX('TMP Paste'!$B$2:$B$1601,$AS1542))</f>
        <v/>
      </c>
      <c r="E1542" t="str">
        <f>IF($AS1542="","",Config!$B$27)</f>
        <v/>
      </c>
      <c r="F1542" t="str">
        <f>IF($AS1542="","",Config!$B$9)</f>
        <v/>
      </c>
      <c r="G1542" t="str">
        <f>IF($AS1542="","",Config!$B$10)</f>
        <v/>
      </c>
      <c r="H1542" t="str">
        <f>IF($AS1542="","",Config!$B$11)</f>
        <v/>
      </c>
      <c r="I1542" t="str">
        <f>IF($AS1542="","",Config!$B$16)</f>
        <v/>
      </c>
      <c r="J1542" t="str">
        <f>IF($AS1542="","",INDEX('TMP Paste'!$A$2:$A$1601,$AS1542))</f>
        <v/>
      </c>
      <c r="K1542" t="str">
        <f>IF($AS1542="","",INDEX('TMP Paste'!$L$2:$L$1601,$AS1542))</f>
        <v/>
      </c>
      <c r="L1542" t="str">
        <f>IF($AS1542="","",INDEX('TMP Paste'!$I$2:$I$1601,$AS1542))</f>
        <v/>
      </c>
      <c r="M1542" t="str">
        <f>IF($AS1542="","",Config!$B$16)</f>
        <v/>
      </c>
      <c r="N1542" t="str">
        <f t="shared" si="144"/>
        <v/>
      </c>
      <c r="O1542" t="str">
        <f>IF($AS1542="","",INDEX('TMP Paste'!$K$2:$K$1601,$AS1542))</f>
        <v/>
      </c>
      <c r="P1542" t="str">
        <f t="shared" si="145"/>
        <v/>
      </c>
      <c r="Q1542" t="str">
        <f>IF($AS1542="","",INDEX('TMP Paste'!$J$2:$J$1601,$AS1542))</f>
        <v/>
      </c>
      <c r="R1542" t="str">
        <f>IF($AS1542="","",Config!$B$24)</f>
        <v/>
      </c>
      <c r="S1542" t="str">
        <f ca="1">IF($AS1542="","",TEXT(Config!$B$4,"yyyy-mm-dd"))</f>
        <v/>
      </c>
      <c r="T1542" t="str">
        <f>IF($AS1542="","",Config!$B$17)</f>
        <v/>
      </c>
      <c r="U1542" t="str">
        <f>IF($AS1542="","",Config!$B$18)</f>
        <v/>
      </c>
      <c r="V1542" t="str">
        <f>IF($AS1542="","",Config!$B$19)</f>
        <v/>
      </c>
      <c r="W1542" t="str">
        <f>IF($AS1542="","",INDEX('TMP Paste'!$C$2:$C$1601,$AS1542))</f>
        <v/>
      </c>
      <c r="X1542" t="str">
        <f>IF($AS1542="","",Config!$B$29)</f>
        <v/>
      </c>
      <c r="Y1542" t="str">
        <f>IF($AT1542="","",INDEX(Calc!$I$2:$I$1601,$AT1542)&amp;" - "&amp;INDEX(Calc!$D$2:$D$1601,$AT1542)&amp;" koli")</f>
        <v/>
      </c>
      <c r="Z1542" t="str">
        <f>IF($AS1542="","",Config!$B$21)</f>
        <v/>
      </c>
      <c r="AA1542" t="str">
        <f>IF($AS1542="","",Config!$B$22)</f>
        <v/>
      </c>
      <c r="AB1542" t="str">
        <f>IF($AT1542="","",INDEX(Calc!$D$2:$D$1601,$AT1542))</f>
        <v/>
      </c>
      <c r="AC1542" t="str">
        <f>IF($AT1542="","",INDEX(Calc!$G$2:$G$1601,$AT1542))</f>
        <v/>
      </c>
      <c r="AD1542" t="str">
        <f>IF($AS1542="","",Config!$B$23)</f>
        <v/>
      </c>
      <c r="AE1542" t="str">
        <f>IF($AS1542="","",Config!$B$28)</f>
        <v/>
      </c>
      <c r="AF1542" t="str">
        <f t="shared" si="146"/>
        <v/>
      </c>
      <c r="AG1542" t="str">
        <f t="shared" si="147"/>
        <v/>
      </c>
      <c r="AH1542" t="str">
        <f t="shared" si="148"/>
        <v/>
      </c>
      <c r="AQ1542" t="str">
        <f>IF($AS1542="","",TRIM(IF(COUNTIFS(Calc!$B$2:$B$1601,ROW()-1,Calc!$C$2:$C$1601,"&lt;1")&gt;0,"Ada PO tanpa Koli - cek TMP. ","")&amp;IF(OR($AU1542="",$AU1542&lt;=0),"Volume kosong/0 - dimensi dikosongkan. ","")&amp;IF(AND($AU1542&lt;&gt;"",$AU1542&gt;=1000000),"Volume &gt;= 1.000.000 cm3 (di luar aturan) - dimensi dikosongkan. ","")&amp;IF(LEN($R1542)&gt;500,"R &gt; 500 karakter.","")))</f>
        <v/>
      </c>
      <c r="AS1542" t="str">
        <f>IFERROR(MATCH(ROW()-1,Calc!$J$2:$J$1601,0),"")</f>
        <v/>
      </c>
      <c r="AT1542" t="str">
        <f>IFERROR(MATCH(ROW()-1,Calc!$K$2:$K$1601,0),"")</f>
        <v/>
      </c>
      <c r="AU1542" t="str">
        <f>IF($AS1542="","",IFERROR(INDEX('TMP Paste'!$D$2:$D$1601,$AS1542)*1000000/$AB1542,""))</f>
        <v/>
      </c>
    </row>
    <row r="1543" spans="1:47">
      <c r="A1543" t="str">
        <f>IF($AS1543="","",INDEX('TMP Paste'!$B$2:$B$1601,$AS1543))</f>
        <v/>
      </c>
      <c r="B1543" t="str">
        <f>IF($AS1543="","",Config!$B$14)</f>
        <v/>
      </c>
      <c r="C1543" t="str">
        <f>IF($AS1543="","",Config!$B$15)</f>
        <v/>
      </c>
      <c r="D1543" t="str">
        <f>IF($AS1543="","",INDEX('TMP Paste'!$B$2:$B$1601,$AS1543))</f>
        <v/>
      </c>
      <c r="E1543" t="str">
        <f>IF($AS1543="","",Config!$B$27)</f>
        <v/>
      </c>
      <c r="F1543" t="str">
        <f>IF($AS1543="","",Config!$B$9)</f>
        <v/>
      </c>
      <c r="G1543" t="str">
        <f>IF($AS1543="","",Config!$B$10)</f>
        <v/>
      </c>
      <c r="H1543" t="str">
        <f>IF($AS1543="","",Config!$B$11)</f>
        <v/>
      </c>
      <c r="I1543" t="str">
        <f>IF($AS1543="","",Config!$B$16)</f>
        <v/>
      </c>
      <c r="J1543" t="str">
        <f>IF($AS1543="","",INDEX('TMP Paste'!$A$2:$A$1601,$AS1543))</f>
        <v/>
      </c>
      <c r="K1543" t="str">
        <f>IF($AS1543="","",INDEX('TMP Paste'!$L$2:$L$1601,$AS1543))</f>
        <v/>
      </c>
      <c r="L1543" t="str">
        <f>IF($AS1543="","",INDEX('TMP Paste'!$I$2:$I$1601,$AS1543))</f>
        <v/>
      </c>
      <c r="M1543" t="str">
        <f>IF($AS1543="","",Config!$B$16)</f>
        <v/>
      </c>
      <c r="N1543" t="str">
        <f t="shared" si="144"/>
        <v/>
      </c>
      <c r="O1543" t="str">
        <f>IF($AS1543="","",INDEX('TMP Paste'!$K$2:$K$1601,$AS1543))</f>
        <v/>
      </c>
      <c r="P1543" t="str">
        <f t="shared" si="145"/>
        <v/>
      </c>
      <c r="Q1543" t="str">
        <f>IF($AS1543="","",INDEX('TMP Paste'!$J$2:$J$1601,$AS1543))</f>
        <v/>
      </c>
      <c r="R1543" t="str">
        <f>IF($AS1543="","",Config!$B$24)</f>
        <v/>
      </c>
      <c r="S1543" t="str">
        <f ca="1">IF($AS1543="","",TEXT(Config!$B$4,"yyyy-mm-dd"))</f>
        <v/>
      </c>
      <c r="T1543" t="str">
        <f>IF($AS1543="","",Config!$B$17)</f>
        <v/>
      </c>
      <c r="U1543" t="str">
        <f>IF($AS1543="","",Config!$B$18)</f>
        <v/>
      </c>
      <c r="V1543" t="str">
        <f>IF($AS1543="","",Config!$B$19)</f>
        <v/>
      </c>
      <c r="W1543" t="str">
        <f>IF($AS1543="","",INDEX('TMP Paste'!$C$2:$C$1601,$AS1543))</f>
        <v/>
      </c>
      <c r="X1543" t="str">
        <f>IF($AS1543="","",Config!$B$29)</f>
        <v/>
      </c>
      <c r="Y1543" t="str">
        <f>IF($AT1543="","",INDEX(Calc!$I$2:$I$1601,$AT1543)&amp;" - "&amp;INDEX(Calc!$D$2:$D$1601,$AT1543)&amp;" koli")</f>
        <v/>
      </c>
      <c r="Z1543" t="str">
        <f>IF($AS1543="","",Config!$B$21)</f>
        <v/>
      </c>
      <c r="AA1543" t="str">
        <f>IF($AS1543="","",Config!$B$22)</f>
        <v/>
      </c>
      <c r="AB1543" t="str">
        <f>IF($AT1543="","",INDEX(Calc!$D$2:$D$1601,$AT1543))</f>
        <v/>
      </c>
      <c r="AC1543" t="str">
        <f>IF($AT1543="","",INDEX(Calc!$G$2:$G$1601,$AT1543))</f>
        <v/>
      </c>
      <c r="AD1543" t="str">
        <f>IF($AS1543="","",Config!$B$23)</f>
        <v/>
      </c>
      <c r="AE1543" t="str">
        <f>IF($AS1543="","",Config!$B$28)</f>
        <v/>
      </c>
      <c r="AF1543" t="str">
        <f t="shared" si="146"/>
        <v/>
      </c>
      <c r="AG1543" t="str">
        <f t="shared" si="147"/>
        <v/>
      </c>
      <c r="AH1543" t="str">
        <f t="shared" si="148"/>
        <v/>
      </c>
      <c r="AQ1543" t="str">
        <f>IF($AS1543="","",TRIM(IF(COUNTIFS(Calc!$B$2:$B$1601,ROW()-1,Calc!$C$2:$C$1601,"&lt;1")&gt;0,"Ada PO tanpa Koli - cek TMP. ","")&amp;IF(OR($AU1543="",$AU1543&lt;=0),"Volume kosong/0 - dimensi dikosongkan. ","")&amp;IF(AND($AU1543&lt;&gt;"",$AU1543&gt;=1000000),"Volume &gt;= 1.000.000 cm3 (di luar aturan) - dimensi dikosongkan. ","")&amp;IF(LEN($R1543)&gt;500,"R &gt; 500 karakter.","")))</f>
        <v/>
      </c>
      <c r="AS1543" t="str">
        <f>IFERROR(MATCH(ROW()-1,Calc!$J$2:$J$1601,0),"")</f>
        <v/>
      </c>
      <c r="AT1543" t="str">
        <f>IFERROR(MATCH(ROW()-1,Calc!$K$2:$K$1601,0),"")</f>
        <v/>
      </c>
      <c r="AU1543" t="str">
        <f>IF($AS1543="","",IFERROR(INDEX('TMP Paste'!$D$2:$D$1601,$AS1543)*1000000/$AB1543,""))</f>
        <v/>
      </c>
    </row>
    <row r="1544" spans="1:47">
      <c r="A1544" t="str">
        <f>IF($AS1544="","",INDEX('TMP Paste'!$B$2:$B$1601,$AS1544))</f>
        <v/>
      </c>
      <c r="B1544" t="str">
        <f>IF($AS1544="","",Config!$B$14)</f>
        <v/>
      </c>
      <c r="C1544" t="str">
        <f>IF($AS1544="","",Config!$B$15)</f>
        <v/>
      </c>
      <c r="D1544" t="str">
        <f>IF($AS1544="","",INDEX('TMP Paste'!$B$2:$B$1601,$AS1544))</f>
        <v/>
      </c>
      <c r="E1544" t="str">
        <f>IF($AS1544="","",Config!$B$27)</f>
        <v/>
      </c>
      <c r="F1544" t="str">
        <f>IF($AS1544="","",Config!$B$9)</f>
        <v/>
      </c>
      <c r="G1544" t="str">
        <f>IF($AS1544="","",Config!$B$10)</f>
        <v/>
      </c>
      <c r="H1544" t="str">
        <f>IF($AS1544="","",Config!$B$11)</f>
        <v/>
      </c>
      <c r="I1544" t="str">
        <f>IF($AS1544="","",Config!$B$16)</f>
        <v/>
      </c>
      <c r="J1544" t="str">
        <f>IF($AS1544="","",INDEX('TMP Paste'!$A$2:$A$1601,$AS1544))</f>
        <v/>
      </c>
      <c r="K1544" t="str">
        <f>IF($AS1544="","",INDEX('TMP Paste'!$L$2:$L$1601,$AS1544))</f>
        <v/>
      </c>
      <c r="L1544" t="str">
        <f>IF($AS1544="","",INDEX('TMP Paste'!$I$2:$I$1601,$AS1544))</f>
        <v/>
      </c>
      <c r="M1544" t="str">
        <f>IF($AS1544="","",Config!$B$16)</f>
        <v/>
      </c>
      <c r="N1544" t="str">
        <f t="shared" si="144"/>
        <v/>
      </c>
      <c r="O1544" t="str">
        <f>IF($AS1544="","",INDEX('TMP Paste'!$K$2:$K$1601,$AS1544))</f>
        <v/>
      </c>
      <c r="P1544" t="str">
        <f t="shared" si="145"/>
        <v/>
      </c>
      <c r="Q1544" t="str">
        <f>IF($AS1544="","",INDEX('TMP Paste'!$J$2:$J$1601,$AS1544))</f>
        <v/>
      </c>
      <c r="R1544" t="str">
        <f>IF($AS1544="","",Config!$B$24)</f>
        <v/>
      </c>
      <c r="S1544" t="str">
        <f ca="1">IF($AS1544="","",TEXT(Config!$B$4,"yyyy-mm-dd"))</f>
        <v/>
      </c>
      <c r="T1544" t="str">
        <f>IF($AS1544="","",Config!$B$17)</f>
        <v/>
      </c>
      <c r="U1544" t="str">
        <f>IF($AS1544="","",Config!$B$18)</f>
        <v/>
      </c>
      <c r="V1544" t="str">
        <f>IF($AS1544="","",Config!$B$19)</f>
        <v/>
      </c>
      <c r="W1544" t="str">
        <f>IF($AS1544="","",INDEX('TMP Paste'!$C$2:$C$1601,$AS1544))</f>
        <v/>
      </c>
      <c r="X1544" t="str">
        <f>IF($AS1544="","",Config!$B$29)</f>
        <v/>
      </c>
      <c r="Y1544" t="str">
        <f>IF($AT1544="","",INDEX(Calc!$I$2:$I$1601,$AT1544)&amp;" - "&amp;INDEX(Calc!$D$2:$D$1601,$AT1544)&amp;" koli")</f>
        <v/>
      </c>
      <c r="Z1544" t="str">
        <f>IF($AS1544="","",Config!$B$21)</f>
        <v/>
      </c>
      <c r="AA1544" t="str">
        <f>IF($AS1544="","",Config!$B$22)</f>
        <v/>
      </c>
      <c r="AB1544" t="str">
        <f>IF($AT1544="","",INDEX(Calc!$D$2:$D$1601,$AT1544))</f>
        <v/>
      </c>
      <c r="AC1544" t="str">
        <f>IF($AT1544="","",INDEX(Calc!$G$2:$G$1601,$AT1544))</f>
        <v/>
      </c>
      <c r="AD1544" t="str">
        <f>IF($AS1544="","",Config!$B$23)</f>
        <v/>
      </c>
      <c r="AE1544" t="str">
        <f>IF($AS1544="","",Config!$B$28)</f>
        <v/>
      </c>
      <c r="AF1544" t="str">
        <f t="shared" si="146"/>
        <v/>
      </c>
      <c r="AG1544" t="str">
        <f t="shared" si="147"/>
        <v/>
      </c>
      <c r="AH1544" t="str">
        <f t="shared" si="148"/>
        <v/>
      </c>
      <c r="AQ1544" t="str">
        <f>IF($AS1544="","",TRIM(IF(COUNTIFS(Calc!$B$2:$B$1601,ROW()-1,Calc!$C$2:$C$1601,"&lt;1")&gt;0,"Ada PO tanpa Koli - cek TMP. ","")&amp;IF(OR($AU1544="",$AU1544&lt;=0),"Volume kosong/0 - dimensi dikosongkan. ","")&amp;IF(AND($AU1544&lt;&gt;"",$AU1544&gt;=1000000),"Volume &gt;= 1.000.000 cm3 (di luar aturan) - dimensi dikosongkan. ","")&amp;IF(LEN($R1544)&gt;500,"R &gt; 500 karakter.","")))</f>
        <v/>
      </c>
      <c r="AS1544" t="str">
        <f>IFERROR(MATCH(ROW()-1,Calc!$J$2:$J$1601,0),"")</f>
        <v/>
      </c>
      <c r="AT1544" t="str">
        <f>IFERROR(MATCH(ROW()-1,Calc!$K$2:$K$1601,0),"")</f>
        <v/>
      </c>
      <c r="AU1544" t="str">
        <f>IF($AS1544="","",IFERROR(INDEX('TMP Paste'!$D$2:$D$1601,$AS1544)*1000000/$AB1544,""))</f>
        <v/>
      </c>
    </row>
    <row r="1545" spans="1:47">
      <c r="A1545" t="str">
        <f>IF($AS1545="","",INDEX('TMP Paste'!$B$2:$B$1601,$AS1545))</f>
        <v/>
      </c>
      <c r="B1545" t="str">
        <f>IF($AS1545="","",Config!$B$14)</f>
        <v/>
      </c>
      <c r="C1545" t="str">
        <f>IF($AS1545="","",Config!$B$15)</f>
        <v/>
      </c>
      <c r="D1545" t="str">
        <f>IF($AS1545="","",INDEX('TMP Paste'!$B$2:$B$1601,$AS1545))</f>
        <v/>
      </c>
      <c r="E1545" t="str">
        <f>IF($AS1545="","",Config!$B$27)</f>
        <v/>
      </c>
      <c r="F1545" t="str">
        <f>IF($AS1545="","",Config!$B$9)</f>
        <v/>
      </c>
      <c r="G1545" t="str">
        <f>IF($AS1545="","",Config!$B$10)</f>
        <v/>
      </c>
      <c r="H1545" t="str">
        <f>IF($AS1545="","",Config!$B$11)</f>
        <v/>
      </c>
      <c r="I1545" t="str">
        <f>IF($AS1545="","",Config!$B$16)</f>
        <v/>
      </c>
      <c r="J1545" t="str">
        <f>IF($AS1545="","",INDEX('TMP Paste'!$A$2:$A$1601,$AS1545))</f>
        <v/>
      </c>
      <c r="K1545" t="str">
        <f>IF($AS1545="","",INDEX('TMP Paste'!$L$2:$L$1601,$AS1545))</f>
        <v/>
      </c>
      <c r="L1545" t="str">
        <f>IF($AS1545="","",INDEX('TMP Paste'!$I$2:$I$1601,$AS1545))</f>
        <v/>
      </c>
      <c r="M1545" t="str">
        <f>IF($AS1545="","",Config!$B$16)</f>
        <v/>
      </c>
      <c r="N1545" t="str">
        <f t="shared" si="144"/>
        <v/>
      </c>
      <c r="O1545" t="str">
        <f>IF($AS1545="","",INDEX('TMP Paste'!$K$2:$K$1601,$AS1545))</f>
        <v/>
      </c>
      <c r="P1545" t="str">
        <f t="shared" si="145"/>
        <v/>
      </c>
      <c r="Q1545" t="str">
        <f>IF($AS1545="","",INDEX('TMP Paste'!$J$2:$J$1601,$AS1545))</f>
        <v/>
      </c>
      <c r="R1545" t="str">
        <f>IF($AS1545="","",Config!$B$24)</f>
        <v/>
      </c>
      <c r="S1545" t="str">
        <f ca="1">IF($AS1545="","",TEXT(Config!$B$4,"yyyy-mm-dd"))</f>
        <v/>
      </c>
      <c r="T1545" t="str">
        <f>IF($AS1545="","",Config!$B$17)</f>
        <v/>
      </c>
      <c r="U1545" t="str">
        <f>IF($AS1545="","",Config!$B$18)</f>
        <v/>
      </c>
      <c r="V1545" t="str">
        <f>IF($AS1545="","",Config!$B$19)</f>
        <v/>
      </c>
      <c r="W1545" t="str">
        <f>IF($AS1545="","",INDEX('TMP Paste'!$C$2:$C$1601,$AS1545))</f>
        <v/>
      </c>
      <c r="X1545" t="str">
        <f>IF($AS1545="","",Config!$B$29)</f>
        <v/>
      </c>
      <c r="Y1545" t="str">
        <f>IF($AT1545="","",INDEX(Calc!$I$2:$I$1601,$AT1545)&amp;" - "&amp;INDEX(Calc!$D$2:$D$1601,$AT1545)&amp;" koli")</f>
        <v/>
      </c>
      <c r="Z1545" t="str">
        <f>IF($AS1545="","",Config!$B$21)</f>
        <v/>
      </c>
      <c r="AA1545" t="str">
        <f>IF($AS1545="","",Config!$B$22)</f>
        <v/>
      </c>
      <c r="AB1545" t="str">
        <f>IF($AT1545="","",INDEX(Calc!$D$2:$D$1601,$AT1545))</f>
        <v/>
      </c>
      <c r="AC1545" t="str">
        <f>IF($AT1545="","",INDEX(Calc!$G$2:$G$1601,$AT1545))</f>
        <v/>
      </c>
      <c r="AD1545" t="str">
        <f>IF($AS1545="","",Config!$B$23)</f>
        <v/>
      </c>
      <c r="AE1545" t="str">
        <f>IF($AS1545="","",Config!$B$28)</f>
        <v/>
      </c>
      <c r="AF1545" t="str">
        <f t="shared" si="146"/>
        <v/>
      </c>
      <c r="AG1545" t="str">
        <f t="shared" si="147"/>
        <v/>
      </c>
      <c r="AH1545" t="str">
        <f t="shared" si="148"/>
        <v/>
      </c>
      <c r="AQ1545" t="str">
        <f>IF($AS1545="","",TRIM(IF(COUNTIFS(Calc!$B$2:$B$1601,ROW()-1,Calc!$C$2:$C$1601,"&lt;1")&gt;0,"Ada PO tanpa Koli - cek TMP. ","")&amp;IF(OR($AU1545="",$AU1545&lt;=0),"Volume kosong/0 - dimensi dikosongkan. ","")&amp;IF(AND($AU1545&lt;&gt;"",$AU1545&gt;=1000000),"Volume &gt;= 1.000.000 cm3 (di luar aturan) - dimensi dikosongkan. ","")&amp;IF(LEN($R1545)&gt;500,"R &gt; 500 karakter.","")))</f>
        <v/>
      </c>
      <c r="AS1545" t="str">
        <f>IFERROR(MATCH(ROW()-1,Calc!$J$2:$J$1601,0),"")</f>
        <v/>
      </c>
      <c r="AT1545" t="str">
        <f>IFERROR(MATCH(ROW()-1,Calc!$K$2:$K$1601,0),"")</f>
        <v/>
      </c>
      <c r="AU1545" t="str">
        <f>IF($AS1545="","",IFERROR(INDEX('TMP Paste'!$D$2:$D$1601,$AS1545)*1000000/$AB1545,""))</f>
        <v/>
      </c>
    </row>
    <row r="1546" spans="1:47">
      <c r="A1546" t="str">
        <f>IF($AS1546="","",INDEX('TMP Paste'!$B$2:$B$1601,$AS1546))</f>
        <v/>
      </c>
      <c r="B1546" t="str">
        <f>IF($AS1546="","",Config!$B$14)</f>
        <v/>
      </c>
      <c r="C1546" t="str">
        <f>IF($AS1546="","",Config!$B$15)</f>
        <v/>
      </c>
      <c r="D1546" t="str">
        <f>IF($AS1546="","",INDEX('TMP Paste'!$B$2:$B$1601,$AS1546))</f>
        <v/>
      </c>
      <c r="E1546" t="str">
        <f>IF($AS1546="","",Config!$B$27)</f>
        <v/>
      </c>
      <c r="F1546" t="str">
        <f>IF($AS1546="","",Config!$B$9)</f>
        <v/>
      </c>
      <c r="G1546" t="str">
        <f>IF($AS1546="","",Config!$B$10)</f>
        <v/>
      </c>
      <c r="H1546" t="str">
        <f>IF($AS1546="","",Config!$B$11)</f>
        <v/>
      </c>
      <c r="I1546" t="str">
        <f>IF($AS1546="","",Config!$B$16)</f>
        <v/>
      </c>
      <c r="J1546" t="str">
        <f>IF($AS1546="","",INDEX('TMP Paste'!$A$2:$A$1601,$AS1546))</f>
        <v/>
      </c>
      <c r="K1546" t="str">
        <f>IF($AS1546="","",INDEX('TMP Paste'!$L$2:$L$1601,$AS1546))</f>
        <v/>
      </c>
      <c r="L1546" t="str">
        <f>IF($AS1546="","",INDEX('TMP Paste'!$I$2:$I$1601,$AS1546))</f>
        <v/>
      </c>
      <c r="M1546" t="str">
        <f>IF($AS1546="","",Config!$B$16)</f>
        <v/>
      </c>
      <c r="N1546" t="str">
        <f t="shared" si="144"/>
        <v/>
      </c>
      <c r="O1546" t="str">
        <f>IF($AS1546="","",INDEX('TMP Paste'!$K$2:$K$1601,$AS1546))</f>
        <v/>
      </c>
      <c r="P1546" t="str">
        <f t="shared" si="145"/>
        <v/>
      </c>
      <c r="Q1546" t="str">
        <f>IF($AS1546="","",INDEX('TMP Paste'!$J$2:$J$1601,$AS1546))</f>
        <v/>
      </c>
      <c r="R1546" t="str">
        <f>IF($AS1546="","",Config!$B$24)</f>
        <v/>
      </c>
      <c r="S1546" t="str">
        <f ca="1">IF($AS1546="","",TEXT(Config!$B$4,"yyyy-mm-dd"))</f>
        <v/>
      </c>
      <c r="T1546" t="str">
        <f>IF($AS1546="","",Config!$B$17)</f>
        <v/>
      </c>
      <c r="U1546" t="str">
        <f>IF($AS1546="","",Config!$B$18)</f>
        <v/>
      </c>
      <c r="V1546" t="str">
        <f>IF($AS1546="","",Config!$B$19)</f>
        <v/>
      </c>
      <c r="W1546" t="str">
        <f>IF($AS1546="","",INDEX('TMP Paste'!$C$2:$C$1601,$AS1546))</f>
        <v/>
      </c>
      <c r="X1546" t="str">
        <f>IF($AS1546="","",Config!$B$29)</f>
        <v/>
      </c>
      <c r="Y1546" t="str">
        <f>IF($AT1546="","",INDEX(Calc!$I$2:$I$1601,$AT1546)&amp;" - "&amp;INDEX(Calc!$D$2:$D$1601,$AT1546)&amp;" koli")</f>
        <v/>
      </c>
      <c r="Z1546" t="str">
        <f>IF($AS1546="","",Config!$B$21)</f>
        <v/>
      </c>
      <c r="AA1546" t="str">
        <f>IF($AS1546="","",Config!$B$22)</f>
        <v/>
      </c>
      <c r="AB1546" t="str">
        <f>IF($AT1546="","",INDEX(Calc!$D$2:$D$1601,$AT1546))</f>
        <v/>
      </c>
      <c r="AC1546" t="str">
        <f>IF($AT1546="","",INDEX(Calc!$G$2:$G$1601,$AT1546))</f>
        <v/>
      </c>
      <c r="AD1546" t="str">
        <f>IF($AS1546="","",Config!$B$23)</f>
        <v/>
      </c>
      <c r="AE1546" t="str">
        <f>IF($AS1546="","",Config!$B$28)</f>
        <v/>
      </c>
      <c r="AF1546" t="str">
        <f t="shared" si="146"/>
        <v/>
      </c>
      <c r="AG1546" t="str">
        <f t="shared" si="147"/>
        <v/>
      </c>
      <c r="AH1546" t="str">
        <f t="shared" si="148"/>
        <v/>
      </c>
      <c r="AQ1546" t="str">
        <f>IF($AS1546="","",TRIM(IF(COUNTIFS(Calc!$B$2:$B$1601,ROW()-1,Calc!$C$2:$C$1601,"&lt;1")&gt;0,"Ada PO tanpa Koli - cek TMP. ","")&amp;IF(OR($AU1546="",$AU1546&lt;=0),"Volume kosong/0 - dimensi dikosongkan. ","")&amp;IF(AND($AU1546&lt;&gt;"",$AU1546&gt;=1000000),"Volume &gt;= 1.000.000 cm3 (di luar aturan) - dimensi dikosongkan. ","")&amp;IF(LEN($R1546)&gt;500,"R &gt; 500 karakter.","")))</f>
        <v/>
      </c>
      <c r="AS1546" t="str">
        <f>IFERROR(MATCH(ROW()-1,Calc!$J$2:$J$1601,0),"")</f>
        <v/>
      </c>
      <c r="AT1546" t="str">
        <f>IFERROR(MATCH(ROW()-1,Calc!$K$2:$K$1601,0),"")</f>
        <v/>
      </c>
      <c r="AU1546" t="str">
        <f>IF($AS1546="","",IFERROR(INDEX('TMP Paste'!$D$2:$D$1601,$AS1546)*1000000/$AB1546,""))</f>
        <v/>
      </c>
    </row>
    <row r="1547" spans="1:47">
      <c r="A1547" t="str">
        <f>IF($AS1547="","",INDEX('TMP Paste'!$B$2:$B$1601,$AS1547))</f>
        <v/>
      </c>
      <c r="B1547" t="str">
        <f>IF($AS1547="","",Config!$B$14)</f>
        <v/>
      </c>
      <c r="C1547" t="str">
        <f>IF($AS1547="","",Config!$B$15)</f>
        <v/>
      </c>
      <c r="D1547" t="str">
        <f>IF($AS1547="","",INDEX('TMP Paste'!$B$2:$B$1601,$AS1547))</f>
        <v/>
      </c>
      <c r="E1547" t="str">
        <f>IF($AS1547="","",Config!$B$27)</f>
        <v/>
      </c>
      <c r="F1547" t="str">
        <f>IF($AS1547="","",Config!$B$9)</f>
        <v/>
      </c>
      <c r="G1547" t="str">
        <f>IF($AS1547="","",Config!$B$10)</f>
        <v/>
      </c>
      <c r="H1547" t="str">
        <f>IF($AS1547="","",Config!$B$11)</f>
        <v/>
      </c>
      <c r="I1547" t="str">
        <f>IF($AS1547="","",Config!$B$16)</f>
        <v/>
      </c>
      <c r="J1547" t="str">
        <f>IF($AS1547="","",INDEX('TMP Paste'!$A$2:$A$1601,$AS1547))</f>
        <v/>
      </c>
      <c r="K1547" t="str">
        <f>IF($AS1547="","",INDEX('TMP Paste'!$L$2:$L$1601,$AS1547))</f>
        <v/>
      </c>
      <c r="L1547" t="str">
        <f>IF($AS1547="","",INDEX('TMP Paste'!$I$2:$I$1601,$AS1547))</f>
        <v/>
      </c>
      <c r="M1547" t="str">
        <f>IF($AS1547="","",Config!$B$16)</f>
        <v/>
      </c>
      <c r="N1547" t="str">
        <f t="shared" si="144"/>
        <v/>
      </c>
      <c r="O1547" t="str">
        <f>IF($AS1547="","",INDEX('TMP Paste'!$K$2:$K$1601,$AS1547))</f>
        <v/>
      </c>
      <c r="P1547" t="str">
        <f t="shared" si="145"/>
        <v/>
      </c>
      <c r="Q1547" t="str">
        <f>IF($AS1547="","",INDEX('TMP Paste'!$J$2:$J$1601,$AS1547))</f>
        <v/>
      </c>
      <c r="R1547" t="str">
        <f>IF($AS1547="","",Config!$B$24)</f>
        <v/>
      </c>
      <c r="S1547" t="str">
        <f ca="1">IF($AS1547="","",TEXT(Config!$B$4,"yyyy-mm-dd"))</f>
        <v/>
      </c>
      <c r="T1547" t="str">
        <f>IF($AS1547="","",Config!$B$17)</f>
        <v/>
      </c>
      <c r="U1547" t="str">
        <f>IF($AS1547="","",Config!$B$18)</f>
        <v/>
      </c>
      <c r="V1547" t="str">
        <f>IF($AS1547="","",Config!$B$19)</f>
        <v/>
      </c>
      <c r="W1547" t="str">
        <f>IF($AS1547="","",INDEX('TMP Paste'!$C$2:$C$1601,$AS1547))</f>
        <v/>
      </c>
      <c r="X1547" t="str">
        <f>IF($AS1547="","",Config!$B$29)</f>
        <v/>
      </c>
      <c r="Y1547" t="str">
        <f>IF($AT1547="","",INDEX(Calc!$I$2:$I$1601,$AT1547)&amp;" - "&amp;INDEX(Calc!$D$2:$D$1601,$AT1547)&amp;" koli")</f>
        <v/>
      </c>
      <c r="Z1547" t="str">
        <f>IF($AS1547="","",Config!$B$21)</f>
        <v/>
      </c>
      <c r="AA1547" t="str">
        <f>IF($AS1547="","",Config!$B$22)</f>
        <v/>
      </c>
      <c r="AB1547" t="str">
        <f>IF($AT1547="","",INDEX(Calc!$D$2:$D$1601,$AT1547))</f>
        <v/>
      </c>
      <c r="AC1547" t="str">
        <f>IF($AT1547="","",INDEX(Calc!$G$2:$G$1601,$AT1547))</f>
        <v/>
      </c>
      <c r="AD1547" t="str">
        <f>IF($AS1547="","",Config!$B$23)</f>
        <v/>
      </c>
      <c r="AE1547" t="str">
        <f>IF($AS1547="","",Config!$B$28)</f>
        <v/>
      </c>
      <c r="AF1547" t="str">
        <f t="shared" si="146"/>
        <v/>
      </c>
      <c r="AG1547" t="str">
        <f t="shared" si="147"/>
        <v/>
      </c>
      <c r="AH1547" t="str">
        <f t="shared" si="148"/>
        <v/>
      </c>
      <c r="AQ1547" t="str">
        <f>IF($AS1547="","",TRIM(IF(COUNTIFS(Calc!$B$2:$B$1601,ROW()-1,Calc!$C$2:$C$1601,"&lt;1")&gt;0,"Ada PO tanpa Koli - cek TMP. ","")&amp;IF(OR($AU1547="",$AU1547&lt;=0),"Volume kosong/0 - dimensi dikosongkan. ","")&amp;IF(AND($AU1547&lt;&gt;"",$AU1547&gt;=1000000),"Volume &gt;= 1.000.000 cm3 (di luar aturan) - dimensi dikosongkan. ","")&amp;IF(LEN($R1547)&gt;500,"R &gt; 500 karakter.","")))</f>
        <v/>
      </c>
      <c r="AS1547" t="str">
        <f>IFERROR(MATCH(ROW()-1,Calc!$J$2:$J$1601,0),"")</f>
        <v/>
      </c>
      <c r="AT1547" t="str">
        <f>IFERROR(MATCH(ROW()-1,Calc!$K$2:$K$1601,0),"")</f>
        <v/>
      </c>
      <c r="AU1547" t="str">
        <f>IF($AS1547="","",IFERROR(INDEX('TMP Paste'!$D$2:$D$1601,$AS1547)*1000000/$AB1547,""))</f>
        <v/>
      </c>
    </row>
    <row r="1548" spans="1:47">
      <c r="A1548" t="str">
        <f>IF($AS1548="","",INDEX('TMP Paste'!$B$2:$B$1601,$AS1548))</f>
        <v/>
      </c>
      <c r="B1548" t="str">
        <f>IF($AS1548="","",Config!$B$14)</f>
        <v/>
      </c>
      <c r="C1548" t="str">
        <f>IF($AS1548="","",Config!$B$15)</f>
        <v/>
      </c>
      <c r="D1548" t="str">
        <f>IF($AS1548="","",INDEX('TMP Paste'!$B$2:$B$1601,$AS1548))</f>
        <v/>
      </c>
      <c r="E1548" t="str">
        <f>IF($AS1548="","",Config!$B$27)</f>
        <v/>
      </c>
      <c r="F1548" t="str">
        <f>IF($AS1548="","",Config!$B$9)</f>
        <v/>
      </c>
      <c r="G1548" t="str">
        <f>IF($AS1548="","",Config!$B$10)</f>
        <v/>
      </c>
      <c r="H1548" t="str">
        <f>IF($AS1548="","",Config!$B$11)</f>
        <v/>
      </c>
      <c r="I1548" t="str">
        <f>IF($AS1548="","",Config!$B$16)</f>
        <v/>
      </c>
      <c r="J1548" t="str">
        <f>IF($AS1548="","",INDEX('TMP Paste'!$A$2:$A$1601,$AS1548))</f>
        <v/>
      </c>
      <c r="K1548" t="str">
        <f>IF($AS1548="","",INDEX('TMP Paste'!$L$2:$L$1601,$AS1548))</f>
        <v/>
      </c>
      <c r="L1548" t="str">
        <f>IF($AS1548="","",INDEX('TMP Paste'!$I$2:$I$1601,$AS1548))</f>
        <v/>
      </c>
      <c r="M1548" t="str">
        <f>IF($AS1548="","",Config!$B$16)</f>
        <v/>
      </c>
      <c r="N1548" t="str">
        <f t="shared" si="144"/>
        <v/>
      </c>
      <c r="O1548" t="str">
        <f>IF($AS1548="","",INDEX('TMP Paste'!$K$2:$K$1601,$AS1548))</f>
        <v/>
      </c>
      <c r="P1548" t="str">
        <f t="shared" si="145"/>
        <v/>
      </c>
      <c r="Q1548" t="str">
        <f>IF($AS1548="","",INDEX('TMP Paste'!$J$2:$J$1601,$AS1548))</f>
        <v/>
      </c>
      <c r="R1548" t="str">
        <f>IF($AS1548="","",Config!$B$24)</f>
        <v/>
      </c>
      <c r="S1548" t="str">
        <f ca="1">IF($AS1548="","",TEXT(Config!$B$4,"yyyy-mm-dd"))</f>
        <v/>
      </c>
      <c r="T1548" t="str">
        <f>IF($AS1548="","",Config!$B$17)</f>
        <v/>
      </c>
      <c r="U1548" t="str">
        <f>IF($AS1548="","",Config!$B$18)</f>
        <v/>
      </c>
      <c r="V1548" t="str">
        <f>IF($AS1548="","",Config!$B$19)</f>
        <v/>
      </c>
      <c r="W1548" t="str">
        <f>IF($AS1548="","",INDEX('TMP Paste'!$C$2:$C$1601,$AS1548))</f>
        <v/>
      </c>
      <c r="X1548" t="str">
        <f>IF($AS1548="","",Config!$B$29)</f>
        <v/>
      </c>
      <c r="Y1548" t="str">
        <f>IF($AT1548="","",INDEX(Calc!$I$2:$I$1601,$AT1548)&amp;" - "&amp;INDEX(Calc!$D$2:$D$1601,$AT1548)&amp;" koli")</f>
        <v/>
      </c>
      <c r="Z1548" t="str">
        <f>IF($AS1548="","",Config!$B$21)</f>
        <v/>
      </c>
      <c r="AA1548" t="str">
        <f>IF($AS1548="","",Config!$B$22)</f>
        <v/>
      </c>
      <c r="AB1548" t="str">
        <f>IF($AT1548="","",INDEX(Calc!$D$2:$D$1601,$AT1548))</f>
        <v/>
      </c>
      <c r="AC1548" t="str">
        <f>IF($AT1548="","",INDEX(Calc!$G$2:$G$1601,$AT1548))</f>
        <v/>
      </c>
      <c r="AD1548" t="str">
        <f>IF($AS1548="","",Config!$B$23)</f>
        <v/>
      </c>
      <c r="AE1548" t="str">
        <f>IF($AS1548="","",Config!$B$28)</f>
        <v/>
      </c>
      <c r="AF1548" t="str">
        <f t="shared" si="146"/>
        <v/>
      </c>
      <c r="AG1548" t="str">
        <f t="shared" si="147"/>
        <v/>
      </c>
      <c r="AH1548" t="str">
        <f t="shared" si="148"/>
        <v/>
      </c>
      <c r="AQ1548" t="str">
        <f>IF($AS1548="","",TRIM(IF(COUNTIFS(Calc!$B$2:$B$1601,ROW()-1,Calc!$C$2:$C$1601,"&lt;1")&gt;0,"Ada PO tanpa Koli - cek TMP. ","")&amp;IF(OR($AU1548="",$AU1548&lt;=0),"Volume kosong/0 - dimensi dikosongkan. ","")&amp;IF(AND($AU1548&lt;&gt;"",$AU1548&gt;=1000000),"Volume &gt;= 1.000.000 cm3 (di luar aturan) - dimensi dikosongkan. ","")&amp;IF(LEN($R1548)&gt;500,"R &gt; 500 karakter.","")))</f>
        <v/>
      </c>
      <c r="AS1548" t="str">
        <f>IFERROR(MATCH(ROW()-1,Calc!$J$2:$J$1601,0),"")</f>
        <v/>
      </c>
      <c r="AT1548" t="str">
        <f>IFERROR(MATCH(ROW()-1,Calc!$K$2:$K$1601,0),"")</f>
        <v/>
      </c>
      <c r="AU1548" t="str">
        <f>IF($AS1548="","",IFERROR(INDEX('TMP Paste'!$D$2:$D$1601,$AS1548)*1000000/$AB1548,""))</f>
        <v/>
      </c>
    </row>
    <row r="1549" spans="1:47">
      <c r="A1549" t="str">
        <f>IF($AS1549="","",INDEX('TMP Paste'!$B$2:$B$1601,$AS1549))</f>
        <v/>
      </c>
      <c r="B1549" t="str">
        <f>IF($AS1549="","",Config!$B$14)</f>
        <v/>
      </c>
      <c r="C1549" t="str">
        <f>IF($AS1549="","",Config!$B$15)</f>
        <v/>
      </c>
      <c r="D1549" t="str">
        <f>IF($AS1549="","",INDEX('TMP Paste'!$B$2:$B$1601,$AS1549))</f>
        <v/>
      </c>
      <c r="E1549" t="str">
        <f>IF($AS1549="","",Config!$B$27)</f>
        <v/>
      </c>
      <c r="F1549" t="str">
        <f>IF($AS1549="","",Config!$B$9)</f>
        <v/>
      </c>
      <c r="G1549" t="str">
        <f>IF($AS1549="","",Config!$B$10)</f>
        <v/>
      </c>
      <c r="H1549" t="str">
        <f>IF($AS1549="","",Config!$B$11)</f>
        <v/>
      </c>
      <c r="I1549" t="str">
        <f>IF($AS1549="","",Config!$B$16)</f>
        <v/>
      </c>
      <c r="J1549" t="str">
        <f>IF($AS1549="","",INDEX('TMP Paste'!$A$2:$A$1601,$AS1549))</f>
        <v/>
      </c>
      <c r="K1549" t="str">
        <f>IF($AS1549="","",INDEX('TMP Paste'!$L$2:$L$1601,$AS1549))</f>
        <v/>
      </c>
      <c r="L1549" t="str">
        <f>IF($AS1549="","",INDEX('TMP Paste'!$I$2:$I$1601,$AS1549))</f>
        <v/>
      </c>
      <c r="M1549" t="str">
        <f>IF($AS1549="","",Config!$B$16)</f>
        <v/>
      </c>
      <c r="N1549" t="str">
        <f t="shared" si="144"/>
        <v/>
      </c>
      <c r="O1549" t="str">
        <f>IF($AS1549="","",INDEX('TMP Paste'!$K$2:$K$1601,$AS1549))</f>
        <v/>
      </c>
      <c r="P1549" t="str">
        <f t="shared" si="145"/>
        <v/>
      </c>
      <c r="Q1549" t="str">
        <f>IF($AS1549="","",INDEX('TMP Paste'!$J$2:$J$1601,$AS1549))</f>
        <v/>
      </c>
      <c r="R1549" t="str">
        <f>IF($AS1549="","",Config!$B$24)</f>
        <v/>
      </c>
      <c r="S1549" t="str">
        <f ca="1">IF($AS1549="","",TEXT(Config!$B$4,"yyyy-mm-dd"))</f>
        <v/>
      </c>
      <c r="T1549" t="str">
        <f>IF($AS1549="","",Config!$B$17)</f>
        <v/>
      </c>
      <c r="U1549" t="str">
        <f>IF($AS1549="","",Config!$B$18)</f>
        <v/>
      </c>
      <c r="V1549" t="str">
        <f>IF($AS1549="","",Config!$B$19)</f>
        <v/>
      </c>
      <c r="W1549" t="str">
        <f>IF($AS1549="","",INDEX('TMP Paste'!$C$2:$C$1601,$AS1549))</f>
        <v/>
      </c>
      <c r="X1549" t="str">
        <f>IF($AS1549="","",Config!$B$29)</f>
        <v/>
      </c>
      <c r="Y1549" t="str">
        <f>IF($AT1549="","",INDEX(Calc!$I$2:$I$1601,$AT1549)&amp;" - "&amp;INDEX(Calc!$D$2:$D$1601,$AT1549)&amp;" koli")</f>
        <v/>
      </c>
      <c r="Z1549" t="str">
        <f>IF($AS1549="","",Config!$B$21)</f>
        <v/>
      </c>
      <c r="AA1549" t="str">
        <f>IF($AS1549="","",Config!$B$22)</f>
        <v/>
      </c>
      <c r="AB1549" t="str">
        <f>IF($AT1549="","",INDEX(Calc!$D$2:$D$1601,$AT1549))</f>
        <v/>
      </c>
      <c r="AC1549" t="str">
        <f>IF($AT1549="","",INDEX(Calc!$G$2:$G$1601,$AT1549))</f>
        <v/>
      </c>
      <c r="AD1549" t="str">
        <f>IF($AS1549="","",Config!$B$23)</f>
        <v/>
      </c>
      <c r="AE1549" t="str">
        <f>IF($AS1549="","",Config!$B$28)</f>
        <v/>
      </c>
      <c r="AF1549" t="str">
        <f t="shared" si="146"/>
        <v/>
      </c>
      <c r="AG1549" t="str">
        <f t="shared" si="147"/>
        <v/>
      </c>
      <c r="AH1549" t="str">
        <f t="shared" si="148"/>
        <v/>
      </c>
      <c r="AQ1549" t="str">
        <f>IF($AS1549="","",TRIM(IF(COUNTIFS(Calc!$B$2:$B$1601,ROW()-1,Calc!$C$2:$C$1601,"&lt;1")&gt;0,"Ada PO tanpa Koli - cek TMP. ","")&amp;IF(OR($AU1549="",$AU1549&lt;=0),"Volume kosong/0 - dimensi dikosongkan. ","")&amp;IF(AND($AU1549&lt;&gt;"",$AU1549&gt;=1000000),"Volume &gt;= 1.000.000 cm3 (di luar aturan) - dimensi dikosongkan. ","")&amp;IF(LEN($R1549)&gt;500,"R &gt; 500 karakter.","")))</f>
        <v/>
      </c>
      <c r="AS1549" t="str">
        <f>IFERROR(MATCH(ROW()-1,Calc!$J$2:$J$1601,0),"")</f>
        <v/>
      </c>
      <c r="AT1549" t="str">
        <f>IFERROR(MATCH(ROW()-1,Calc!$K$2:$K$1601,0),"")</f>
        <v/>
      </c>
      <c r="AU1549" t="str">
        <f>IF($AS1549="","",IFERROR(INDEX('TMP Paste'!$D$2:$D$1601,$AS1549)*1000000/$AB1549,""))</f>
        <v/>
      </c>
    </row>
    <row r="1550" spans="1:47">
      <c r="A1550" t="str">
        <f>IF($AS1550="","",INDEX('TMP Paste'!$B$2:$B$1601,$AS1550))</f>
        <v/>
      </c>
      <c r="B1550" t="str">
        <f>IF($AS1550="","",Config!$B$14)</f>
        <v/>
      </c>
      <c r="C1550" t="str">
        <f>IF($AS1550="","",Config!$B$15)</f>
        <v/>
      </c>
      <c r="D1550" t="str">
        <f>IF($AS1550="","",INDEX('TMP Paste'!$B$2:$B$1601,$AS1550))</f>
        <v/>
      </c>
      <c r="E1550" t="str">
        <f>IF($AS1550="","",Config!$B$27)</f>
        <v/>
      </c>
      <c r="F1550" t="str">
        <f>IF($AS1550="","",Config!$B$9)</f>
        <v/>
      </c>
      <c r="G1550" t="str">
        <f>IF($AS1550="","",Config!$B$10)</f>
        <v/>
      </c>
      <c r="H1550" t="str">
        <f>IF($AS1550="","",Config!$B$11)</f>
        <v/>
      </c>
      <c r="I1550" t="str">
        <f>IF($AS1550="","",Config!$B$16)</f>
        <v/>
      </c>
      <c r="J1550" t="str">
        <f>IF($AS1550="","",INDEX('TMP Paste'!$A$2:$A$1601,$AS1550))</f>
        <v/>
      </c>
      <c r="K1550" t="str">
        <f>IF($AS1550="","",INDEX('TMP Paste'!$L$2:$L$1601,$AS1550))</f>
        <v/>
      </c>
      <c r="L1550" t="str">
        <f>IF($AS1550="","",INDEX('TMP Paste'!$I$2:$I$1601,$AS1550))</f>
        <v/>
      </c>
      <c r="M1550" t="str">
        <f>IF($AS1550="","",Config!$B$16)</f>
        <v/>
      </c>
      <c r="N1550" t="str">
        <f t="shared" si="144"/>
        <v/>
      </c>
      <c r="O1550" t="str">
        <f>IF($AS1550="","",INDEX('TMP Paste'!$K$2:$K$1601,$AS1550))</f>
        <v/>
      </c>
      <c r="P1550" t="str">
        <f t="shared" si="145"/>
        <v/>
      </c>
      <c r="Q1550" t="str">
        <f>IF($AS1550="","",INDEX('TMP Paste'!$J$2:$J$1601,$AS1550))</f>
        <v/>
      </c>
      <c r="R1550" t="str">
        <f>IF($AS1550="","",Config!$B$24)</f>
        <v/>
      </c>
      <c r="S1550" t="str">
        <f ca="1">IF($AS1550="","",TEXT(Config!$B$4,"yyyy-mm-dd"))</f>
        <v/>
      </c>
      <c r="T1550" t="str">
        <f>IF($AS1550="","",Config!$B$17)</f>
        <v/>
      </c>
      <c r="U1550" t="str">
        <f>IF($AS1550="","",Config!$B$18)</f>
        <v/>
      </c>
      <c r="V1550" t="str">
        <f>IF($AS1550="","",Config!$B$19)</f>
        <v/>
      </c>
      <c r="W1550" t="str">
        <f>IF($AS1550="","",INDEX('TMP Paste'!$C$2:$C$1601,$AS1550))</f>
        <v/>
      </c>
      <c r="X1550" t="str">
        <f>IF($AS1550="","",Config!$B$29)</f>
        <v/>
      </c>
      <c r="Y1550" t="str">
        <f>IF($AT1550="","",INDEX(Calc!$I$2:$I$1601,$AT1550)&amp;" - "&amp;INDEX(Calc!$D$2:$D$1601,$AT1550)&amp;" koli")</f>
        <v/>
      </c>
      <c r="Z1550" t="str">
        <f>IF($AS1550="","",Config!$B$21)</f>
        <v/>
      </c>
      <c r="AA1550" t="str">
        <f>IF($AS1550="","",Config!$B$22)</f>
        <v/>
      </c>
      <c r="AB1550" t="str">
        <f>IF($AT1550="","",INDEX(Calc!$D$2:$D$1601,$AT1550))</f>
        <v/>
      </c>
      <c r="AC1550" t="str">
        <f>IF($AT1550="","",INDEX(Calc!$G$2:$G$1601,$AT1550))</f>
        <v/>
      </c>
      <c r="AD1550" t="str">
        <f>IF($AS1550="","",Config!$B$23)</f>
        <v/>
      </c>
      <c r="AE1550" t="str">
        <f>IF($AS1550="","",Config!$B$28)</f>
        <v/>
      </c>
      <c r="AF1550" t="str">
        <f t="shared" si="146"/>
        <v/>
      </c>
      <c r="AG1550" t="str">
        <f t="shared" si="147"/>
        <v/>
      </c>
      <c r="AH1550" t="str">
        <f t="shared" si="148"/>
        <v/>
      </c>
      <c r="AQ1550" t="str">
        <f>IF($AS1550="","",TRIM(IF(COUNTIFS(Calc!$B$2:$B$1601,ROW()-1,Calc!$C$2:$C$1601,"&lt;1")&gt;0,"Ada PO tanpa Koli - cek TMP. ","")&amp;IF(OR($AU1550="",$AU1550&lt;=0),"Volume kosong/0 - dimensi dikosongkan. ","")&amp;IF(AND($AU1550&lt;&gt;"",$AU1550&gt;=1000000),"Volume &gt;= 1.000.000 cm3 (di luar aturan) - dimensi dikosongkan. ","")&amp;IF(LEN($R1550)&gt;500,"R &gt; 500 karakter.","")))</f>
        <v/>
      </c>
      <c r="AS1550" t="str">
        <f>IFERROR(MATCH(ROW()-1,Calc!$J$2:$J$1601,0),"")</f>
        <v/>
      </c>
      <c r="AT1550" t="str">
        <f>IFERROR(MATCH(ROW()-1,Calc!$K$2:$K$1601,0),"")</f>
        <v/>
      </c>
      <c r="AU1550" t="str">
        <f>IF($AS1550="","",IFERROR(INDEX('TMP Paste'!$D$2:$D$1601,$AS1550)*1000000/$AB1550,""))</f>
        <v/>
      </c>
    </row>
    <row r="1551" spans="1:47">
      <c r="A1551" t="str">
        <f>IF($AS1551="","",INDEX('TMP Paste'!$B$2:$B$1601,$AS1551))</f>
        <v/>
      </c>
      <c r="B1551" t="str">
        <f>IF($AS1551="","",Config!$B$14)</f>
        <v/>
      </c>
      <c r="C1551" t="str">
        <f>IF($AS1551="","",Config!$B$15)</f>
        <v/>
      </c>
      <c r="D1551" t="str">
        <f>IF($AS1551="","",INDEX('TMP Paste'!$B$2:$B$1601,$AS1551))</f>
        <v/>
      </c>
      <c r="E1551" t="str">
        <f>IF($AS1551="","",Config!$B$27)</f>
        <v/>
      </c>
      <c r="F1551" t="str">
        <f>IF($AS1551="","",Config!$B$9)</f>
        <v/>
      </c>
      <c r="G1551" t="str">
        <f>IF($AS1551="","",Config!$B$10)</f>
        <v/>
      </c>
      <c r="H1551" t="str">
        <f>IF($AS1551="","",Config!$B$11)</f>
        <v/>
      </c>
      <c r="I1551" t="str">
        <f>IF($AS1551="","",Config!$B$16)</f>
        <v/>
      </c>
      <c r="J1551" t="str">
        <f>IF($AS1551="","",INDEX('TMP Paste'!$A$2:$A$1601,$AS1551))</f>
        <v/>
      </c>
      <c r="K1551" t="str">
        <f>IF($AS1551="","",INDEX('TMP Paste'!$L$2:$L$1601,$AS1551))</f>
        <v/>
      </c>
      <c r="L1551" t="str">
        <f>IF($AS1551="","",INDEX('TMP Paste'!$I$2:$I$1601,$AS1551))</f>
        <v/>
      </c>
      <c r="M1551" t="str">
        <f>IF($AS1551="","",Config!$B$16)</f>
        <v/>
      </c>
      <c r="N1551" t="str">
        <f t="shared" si="144"/>
        <v/>
      </c>
      <c r="O1551" t="str">
        <f>IF($AS1551="","",INDEX('TMP Paste'!$K$2:$K$1601,$AS1551))</f>
        <v/>
      </c>
      <c r="P1551" t="str">
        <f t="shared" si="145"/>
        <v/>
      </c>
      <c r="Q1551" t="str">
        <f>IF($AS1551="","",INDEX('TMP Paste'!$J$2:$J$1601,$AS1551))</f>
        <v/>
      </c>
      <c r="R1551" t="str">
        <f>IF($AS1551="","",Config!$B$24)</f>
        <v/>
      </c>
      <c r="S1551" t="str">
        <f ca="1">IF($AS1551="","",TEXT(Config!$B$4,"yyyy-mm-dd"))</f>
        <v/>
      </c>
      <c r="T1551" t="str">
        <f>IF($AS1551="","",Config!$B$17)</f>
        <v/>
      </c>
      <c r="U1551" t="str">
        <f>IF($AS1551="","",Config!$B$18)</f>
        <v/>
      </c>
      <c r="V1551" t="str">
        <f>IF($AS1551="","",Config!$B$19)</f>
        <v/>
      </c>
      <c r="W1551" t="str">
        <f>IF($AS1551="","",INDEX('TMP Paste'!$C$2:$C$1601,$AS1551))</f>
        <v/>
      </c>
      <c r="X1551" t="str">
        <f>IF($AS1551="","",Config!$B$29)</f>
        <v/>
      </c>
      <c r="Y1551" t="str">
        <f>IF($AT1551="","",INDEX(Calc!$I$2:$I$1601,$AT1551)&amp;" - "&amp;INDEX(Calc!$D$2:$D$1601,$AT1551)&amp;" koli")</f>
        <v/>
      </c>
      <c r="Z1551" t="str">
        <f>IF($AS1551="","",Config!$B$21)</f>
        <v/>
      </c>
      <c r="AA1551" t="str">
        <f>IF($AS1551="","",Config!$B$22)</f>
        <v/>
      </c>
      <c r="AB1551" t="str">
        <f>IF($AT1551="","",INDEX(Calc!$D$2:$D$1601,$AT1551))</f>
        <v/>
      </c>
      <c r="AC1551" t="str">
        <f>IF($AT1551="","",INDEX(Calc!$G$2:$G$1601,$AT1551))</f>
        <v/>
      </c>
      <c r="AD1551" t="str">
        <f>IF($AS1551="","",Config!$B$23)</f>
        <v/>
      </c>
      <c r="AE1551" t="str">
        <f>IF($AS1551="","",Config!$B$28)</f>
        <v/>
      </c>
      <c r="AF1551" t="str">
        <f t="shared" si="146"/>
        <v/>
      </c>
      <c r="AG1551" t="str">
        <f t="shared" si="147"/>
        <v/>
      </c>
      <c r="AH1551" t="str">
        <f t="shared" si="148"/>
        <v/>
      </c>
      <c r="AQ1551" t="str">
        <f>IF($AS1551="","",TRIM(IF(COUNTIFS(Calc!$B$2:$B$1601,ROW()-1,Calc!$C$2:$C$1601,"&lt;1")&gt;0,"Ada PO tanpa Koli - cek TMP. ","")&amp;IF(OR($AU1551="",$AU1551&lt;=0),"Volume kosong/0 - dimensi dikosongkan. ","")&amp;IF(AND($AU1551&lt;&gt;"",$AU1551&gt;=1000000),"Volume &gt;= 1.000.000 cm3 (di luar aturan) - dimensi dikosongkan. ","")&amp;IF(LEN($R1551)&gt;500,"R &gt; 500 karakter.","")))</f>
        <v/>
      </c>
      <c r="AS1551" t="str">
        <f>IFERROR(MATCH(ROW()-1,Calc!$J$2:$J$1601,0),"")</f>
        <v/>
      </c>
      <c r="AT1551" t="str">
        <f>IFERROR(MATCH(ROW()-1,Calc!$K$2:$K$1601,0),"")</f>
        <v/>
      </c>
      <c r="AU1551" t="str">
        <f>IF($AS1551="","",IFERROR(INDEX('TMP Paste'!$D$2:$D$1601,$AS1551)*1000000/$AB1551,""))</f>
        <v/>
      </c>
    </row>
    <row r="1552" spans="1:47">
      <c r="A1552" t="str">
        <f>IF($AS1552="","",INDEX('TMP Paste'!$B$2:$B$1601,$AS1552))</f>
        <v/>
      </c>
      <c r="B1552" t="str">
        <f>IF($AS1552="","",Config!$B$14)</f>
        <v/>
      </c>
      <c r="C1552" t="str">
        <f>IF($AS1552="","",Config!$B$15)</f>
        <v/>
      </c>
      <c r="D1552" t="str">
        <f>IF($AS1552="","",INDEX('TMP Paste'!$B$2:$B$1601,$AS1552))</f>
        <v/>
      </c>
      <c r="E1552" t="str">
        <f>IF($AS1552="","",Config!$B$27)</f>
        <v/>
      </c>
      <c r="F1552" t="str">
        <f>IF($AS1552="","",Config!$B$9)</f>
        <v/>
      </c>
      <c r="G1552" t="str">
        <f>IF($AS1552="","",Config!$B$10)</f>
        <v/>
      </c>
      <c r="H1552" t="str">
        <f>IF($AS1552="","",Config!$B$11)</f>
        <v/>
      </c>
      <c r="I1552" t="str">
        <f>IF($AS1552="","",Config!$B$16)</f>
        <v/>
      </c>
      <c r="J1552" t="str">
        <f>IF($AS1552="","",INDEX('TMP Paste'!$A$2:$A$1601,$AS1552))</f>
        <v/>
      </c>
      <c r="K1552" t="str">
        <f>IF($AS1552="","",INDEX('TMP Paste'!$L$2:$L$1601,$AS1552))</f>
        <v/>
      </c>
      <c r="L1552" t="str">
        <f>IF($AS1552="","",INDEX('TMP Paste'!$I$2:$I$1601,$AS1552))</f>
        <v/>
      </c>
      <c r="M1552" t="str">
        <f>IF($AS1552="","",Config!$B$16)</f>
        <v/>
      </c>
      <c r="N1552" t="str">
        <f t="shared" si="144"/>
        <v/>
      </c>
      <c r="O1552" t="str">
        <f>IF($AS1552="","",INDEX('TMP Paste'!$K$2:$K$1601,$AS1552))</f>
        <v/>
      </c>
      <c r="P1552" t="str">
        <f t="shared" si="145"/>
        <v/>
      </c>
      <c r="Q1552" t="str">
        <f>IF($AS1552="","",INDEX('TMP Paste'!$J$2:$J$1601,$AS1552))</f>
        <v/>
      </c>
      <c r="R1552" t="str">
        <f>IF($AS1552="","",Config!$B$24)</f>
        <v/>
      </c>
      <c r="S1552" t="str">
        <f ca="1">IF($AS1552="","",TEXT(Config!$B$4,"yyyy-mm-dd"))</f>
        <v/>
      </c>
      <c r="T1552" t="str">
        <f>IF($AS1552="","",Config!$B$17)</f>
        <v/>
      </c>
      <c r="U1552" t="str">
        <f>IF($AS1552="","",Config!$B$18)</f>
        <v/>
      </c>
      <c r="V1552" t="str">
        <f>IF($AS1552="","",Config!$B$19)</f>
        <v/>
      </c>
      <c r="W1552" t="str">
        <f>IF($AS1552="","",INDEX('TMP Paste'!$C$2:$C$1601,$AS1552))</f>
        <v/>
      </c>
      <c r="X1552" t="str">
        <f>IF($AS1552="","",Config!$B$29)</f>
        <v/>
      </c>
      <c r="Y1552" t="str">
        <f>IF($AT1552="","",INDEX(Calc!$I$2:$I$1601,$AT1552)&amp;" - "&amp;INDEX(Calc!$D$2:$D$1601,$AT1552)&amp;" koli")</f>
        <v/>
      </c>
      <c r="Z1552" t="str">
        <f>IF($AS1552="","",Config!$B$21)</f>
        <v/>
      </c>
      <c r="AA1552" t="str">
        <f>IF($AS1552="","",Config!$B$22)</f>
        <v/>
      </c>
      <c r="AB1552" t="str">
        <f>IF($AT1552="","",INDEX(Calc!$D$2:$D$1601,$AT1552))</f>
        <v/>
      </c>
      <c r="AC1552" t="str">
        <f>IF($AT1552="","",INDEX(Calc!$G$2:$G$1601,$AT1552))</f>
        <v/>
      </c>
      <c r="AD1552" t="str">
        <f>IF($AS1552="","",Config!$B$23)</f>
        <v/>
      </c>
      <c r="AE1552" t="str">
        <f>IF($AS1552="","",Config!$B$28)</f>
        <v/>
      </c>
      <c r="AF1552" t="str">
        <f t="shared" si="146"/>
        <v/>
      </c>
      <c r="AG1552" t="str">
        <f t="shared" si="147"/>
        <v/>
      </c>
      <c r="AH1552" t="str">
        <f t="shared" si="148"/>
        <v/>
      </c>
      <c r="AQ1552" t="str">
        <f>IF($AS1552="","",TRIM(IF(COUNTIFS(Calc!$B$2:$B$1601,ROW()-1,Calc!$C$2:$C$1601,"&lt;1")&gt;0,"Ada PO tanpa Koli - cek TMP. ","")&amp;IF(OR($AU1552="",$AU1552&lt;=0),"Volume kosong/0 - dimensi dikosongkan. ","")&amp;IF(AND($AU1552&lt;&gt;"",$AU1552&gt;=1000000),"Volume &gt;= 1.000.000 cm3 (di luar aturan) - dimensi dikosongkan. ","")&amp;IF(LEN($R1552)&gt;500,"R &gt; 500 karakter.","")))</f>
        <v/>
      </c>
      <c r="AS1552" t="str">
        <f>IFERROR(MATCH(ROW()-1,Calc!$J$2:$J$1601,0),"")</f>
        <v/>
      </c>
      <c r="AT1552" t="str">
        <f>IFERROR(MATCH(ROW()-1,Calc!$K$2:$K$1601,0),"")</f>
        <v/>
      </c>
      <c r="AU1552" t="str">
        <f>IF($AS1552="","",IFERROR(INDEX('TMP Paste'!$D$2:$D$1601,$AS1552)*1000000/$AB1552,""))</f>
        <v/>
      </c>
    </row>
    <row r="1553" spans="1:47">
      <c r="A1553" t="str">
        <f>IF($AS1553="","",INDEX('TMP Paste'!$B$2:$B$1601,$AS1553))</f>
        <v/>
      </c>
      <c r="B1553" t="str">
        <f>IF($AS1553="","",Config!$B$14)</f>
        <v/>
      </c>
      <c r="C1553" t="str">
        <f>IF($AS1553="","",Config!$B$15)</f>
        <v/>
      </c>
      <c r="D1553" t="str">
        <f>IF($AS1553="","",INDEX('TMP Paste'!$B$2:$B$1601,$AS1553))</f>
        <v/>
      </c>
      <c r="E1553" t="str">
        <f>IF($AS1553="","",Config!$B$27)</f>
        <v/>
      </c>
      <c r="F1553" t="str">
        <f>IF($AS1553="","",Config!$B$9)</f>
        <v/>
      </c>
      <c r="G1553" t="str">
        <f>IF($AS1553="","",Config!$B$10)</f>
        <v/>
      </c>
      <c r="H1553" t="str">
        <f>IF($AS1553="","",Config!$B$11)</f>
        <v/>
      </c>
      <c r="I1553" t="str">
        <f>IF($AS1553="","",Config!$B$16)</f>
        <v/>
      </c>
      <c r="J1553" t="str">
        <f>IF($AS1553="","",INDEX('TMP Paste'!$A$2:$A$1601,$AS1553))</f>
        <v/>
      </c>
      <c r="K1553" t="str">
        <f>IF($AS1553="","",INDEX('TMP Paste'!$L$2:$L$1601,$AS1553))</f>
        <v/>
      </c>
      <c r="L1553" t="str">
        <f>IF($AS1553="","",INDEX('TMP Paste'!$I$2:$I$1601,$AS1553))</f>
        <v/>
      </c>
      <c r="M1553" t="str">
        <f>IF($AS1553="","",Config!$B$16)</f>
        <v/>
      </c>
      <c r="N1553" t="str">
        <f t="shared" si="144"/>
        <v/>
      </c>
      <c r="O1553" t="str">
        <f>IF($AS1553="","",INDEX('TMP Paste'!$K$2:$K$1601,$AS1553))</f>
        <v/>
      </c>
      <c r="P1553" t="str">
        <f t="shared" si="145"/>
        <v/>
      </c>
      <c r="Q1553" t="str">
        <f>IF($AS1553="","",INDEX('TMP Paste'!$J$2:$J$1601,$AS1553))</f>
        <v/>
      </c>
      <c r="R1553" t="str">
        <f>IF($AS1553="","",Config!$B$24)</f>
        <v/>
      </c>
      <c r="S1553" t="str">
        <f ca="1">IF($AS1553="","",TEXT(Config!$B$4,"yyyy-mm-dd"))</f>
        <v/>
      </c>
      <c r="T1553" t="str">
        <f>IF($AS1553="","",Config!$B$17)</f>
        <v/>
      </c>
      <c r="U1553" t="str">
        <f>IF($AS1553="","",Config!$B$18)</f>
        <v/>
      </c>
      <c r="V1553" t="str">
        <f>IF($AS1553="","",Config!$B$19)</f>
        <v/>
      </c>
      <c r="W1553" t="str">
        <f>IF($AS1553="","",INDEX('TMP Paste'!$C$2:$C$1601,$AS1553))</f>
        <v/>
      </c>
      <c r="X1553" t="str">
        <f>IF($AS1553="","",Config!$B$29)</f>
        <v/>
      </c>
      <c r="Y1553" t="str">
        <f>IF($AT1553="","",INDEX(Calc!$I$2:$I$1601,$AT1553)&amp;" - "&amp;INDEX(Calc!$D$2:$D$1601,$AT1553)&amp;" koli")</f>
        <v/>
      </c>
      <c r="Z1553" t="str">
        <f>IF($AS1553="","",Config!$B$21)</f>
        <v/>
      </c>
      <c r="AA1553" t="str">
        <f>IF($AS1553="","",Config!$B$22)</f>
        <v/>
      </c>
      <c r="AB1553" t="str">
        <f>IF($AT1553="","",INDEX(Calc!$D$2:$D$1601,$AT1553))</f>
        <v/>
      </c>
      <c r="AC1553" t="str">
        <f>IF($AT1553="","",INDEX(Calc!$G$2:$G$1601,$AT1553))</f>
        <v/>
      </c>
      <c r="AD1553" t="str">
        <f>IF($AS1553="","",Config!$B$23)</f>
        <v/>
      </c>
      <c r="AE1553" t="str">
        <f>IF($AS1553="","",Config!$B$28)</f>
        <v/>
      </c>
      <c r="AF1553" t="str">
        <f t="shared" si="146"/>
        <v/>
      </c>
      <c r="AG1553" t="str">
        <f t="shared" si="147"/>
        <v/>
      </c>
      <c r="AH1553" t="str">
        <f t="shared" si="148"/>
        <v/>
      </c>
      <c r="AQ1553" t="str">
        <f>IF($AS1553="","",TRIM(IF(COUNTIFS(Calc!$B$2:$B$1601,ROW()-1,Calc!$C$2:$C$1601,"&lt;1")&gt;0,"Ada PO tanpa Koli - cek TMP. ","")&amp;IF(OR($AU1553="",$AU1553&lt;=0),"Volume kosong/0 - dimensi dikosongkan. ","")&amp;IF(AND($AU1553&lt;&gt;"",$AU1553&gt;=1000000),"Volume &gt;= 1.000.000 cm3 (di luar aturan) - dimensi dikosongkan. ","")&amp;IF(LEN($R1553)&gt;500,"R &gt; 500 karakter.","")))</f>
        <v/>
      </c>
      <c r="AS1553" t="str">
        <f>IFERROR(MATCH(ROW()-1,Calc!$J$2:$J$1601,0),"")</f>
        <v/>
      </c>
      <c r="AT1553" t="str">
        <f>IFERROR(MATCH(ROW()-1,Calc!$K$2:$K$1601,0),"")</f>
        <v/>
      </c>
      <c r="AU1553" t="str">
        <f>IF($AS1553="","",IFERROR(INDEX('TMP Paste'!$D$2:$D$1601,$AS1553)*1000000/$AB1553,""))</f>
        <v/>
      </c>
    </row>
    <row r="1554" spans="1:47">
      <c r="A1554" t="str">
        <f>IF($AS1554="","",INDEX('TMP Paste'!$B$2:$B$1601,$AS1554))</f>
        <v/>
      </c>
      <c r="B1554" t="str">
        <f>IF($AS1554="","",Config!$B$14)</f>
        <v/>
      </c>
      <c r="C1554" t="str">
        <f>IF($AS1554="","",Config!$B$15)</f>
        <v/>
      </c>
      <c r="D1554" t="str">
        <f>IF($AS1554="","",INDEX('TMP Paste'!$B$2:$B$1601,$AS1554))</f>
        <v/>
      </c>
      <c r="E1554" t="str">
        <f>IF($AS1554="","",Config!$B$27)</f>
        <v/>
      </c>
      <c r="F1554" t="str">
        <f>IF($AS1554="","",Config!$B$9)</f>
        <v/>
      </c>
      <c r="G1554" t="str">
        <f>IF($AS1554="","",Config!$B$10)</f>
        <v/>
      </c>
      <c r="H1554" t="str">
        <f>IF($AS1554="","",Config!$B$11)</f>
        <v/>
      </c>
      <c r="I1554" t="str">
        <f>IF($AS1554="","",Config!$B$16)</f>
        <v/>
      </c>
      <c r="J1554" t="str">
        <f>IF($AS1554="","",INDEX('TMP Paste'!$A$2:$A$1601,$AS1554))</f>
        <v/>
      </c>
      <c r="K1554" t="str">
        <f>IF($AS1554="","",INDEX('TMP Paste'!$L$2:$L$1601,$AS1554))</f>
        <v/>
      </c>
      <c r="L1554" t="str">
        <f>IF($AS1554="","",INDEX('TMP Paste'!$I$2:$I$1601,$AS1554))</f>
        <v/>
      </c>
      <c r="M1554" t="str">
        <f>IF($AS1554="","",Config!$B$16)</f>
        <v/>
      </c>
      <c r="N1554" t="str">
        <f t="shared" si="144"/>
        <v/>
      </c>
      <c r="O1554" t="str">
        <f>IF($AS1554="","",INDEX('TMP Paste'!$K$2:$K$1601,$AS1554))</f>
        <v/>
      </c>
      <c r="P1554" t="str">
        <f t="shared" si="145"/>
        <v/>
      </c>
      <c r="Q1554" t="str">
        <f>IF($AS1554="","",INDEX('TMP Paste'!$J$2:$J$1601,$AS1554))</f>
        <v/>
      </c>
      <c r="R1554" t="str">
        <f>IF($AS1554="","",Config!$B$24)</f>
        <v/>
      </c>
      <c r="S1554" t="str">
        <f ca="1">IF($AS1554="","",TEXT(Config!$B$4,"yyyy-mm-dd"))</f>
        <v/>
      </c>
      <c r="T1554" t="str">
        <f>IF($AS1554="","",Config!$B$17)</f>
        <v/>
      </c>
      <c r="U1554" t="str">
        <f>IF($AS1554="","",Config!$B$18)</f>
        <v/>
      </c>
      <c r="V1554" t="str">
        <f>IF($AS1554="","",Config!$B$19)</f>
        <v/>
      </c>
      <c r="W1554" t="str">
        <f>IF($AS1554="","",INDEX('TMP Paste'!$C$2:$C$1601,$AS1554))</f>
        <v/>
      </c>
      <c r="X1554" t="str">
        <f>IF($AS1554="","",Config!$B$29)</f>
        <v/>
      </c>
      <c r="Y1554" t="str">
        <f>IF($AT1554="","",INDEX(Calc!$I$2:$I$1601,$AT1554)&amp;" - "&amp;INDEX(Calc!$D$2:$D$1601,$AT1554)&amp;" koli")</f>
        <v/>
      </c>
      <c r="Z1554" t="str">
        <f>IF($AS1554="","",Config!$B$21)</f>
        <v/>
      </c>
      <c r="AA1554" t="str">
        <f>IF($AS1554="","",Config!$B$22)</f>
        <v/>
      </c>
      <c r="AB1554" t="str">
        <f>IF($AT1554="","",INDEX(Calc!$D$2:$D$1601,$AT1554))</f>
        <v/>
      </c>
      <c r="AC1554" t="str">
        <f>IF($AT1554="","",INDEX(Calc!$G$2:$G$1601,$AT1554))</f>
        <v/>
      </c>
      <c r="AD1554" t="str">
        <f>IF($AS1554="","",Config!$B$23)</f>
        <v/>
      </c>
      <c r="AE1554" t="str">
        <f>IF($AS1554="","",Config!$B$28)</f>
        <v/>
      </c>
      <c r="AF1554" t="str">
        <f t="shared" si="146"/>
        <v/>
      </c>
      <c r="AG1554" t="str">
        <f t="shared" si="147"/>
        <v/>
      </c>
      <c r="AH1554" t="str">
        <f t="shared" si="148"/>
        <v/>
      </c>
      <c r="AQ1554" t="str">
        <f>IF($AS1554="","",TRIM(IF(COUNTIFS(Calc!$B$2:$B$1601,ROW()-1,Calc!$C$2:$C$1601,"&lt;1")&gt;0,"Ada PO tanpa Koli - cek TMP. ","")&amp;IF(OR($AU1554="",$AU1554&lt;=0),"Volume kosong/0 - dimensi dikosongkan. ","")&amp;IF(AND($AU1554&lt;&gt;"",$AU1554&gt;=1000000),"Volume &gt;= 1.000.000 cm3 (di luar aturan) - dimensi dikosongkan. ","")&amp;IF(LEN($R1554)&gt;500,"R &gt; 500 karakter.","")))</f>
        <v/>
      </c>
      <c r="AS1554" t="str">
        <f>IFERROR(MATCH(ROW()-1,Calc!$J$2:$J$1601,0),"")</f>
        <v/>
      </c>
      <c r="AT1554" t="str">
        <f>IFERROR(MATCH(ROW()-1,Calc!$K$2:$K$1601,0),"")</f>
        <v/>
      </c>
      <c r="AU1554" t="str">
        <f>IF($AS1554="","",IFERROR(INDEX('TMP Paste'!$D$2:$D$1601,$AS1554)*1000000/$AB1554,""))</f>
        <v/>
      </c>
    </row>
    <row r="1555" spans="1:47">
      <c r="A1555" t="str">
        <f>IF($AS1555="","",INDEX('TMP Paste'!$B$2:$B$1601,$AS1555))</f>
        <v/>
      </c>
      <c r="B1555" t="str">
        <f>IF($AS1555="","",Config!$B$14)</f>
        <v/>
      </c>
      <c r="C1555" t="str">
        <f>IF($AS1555="","",Config!$B$15)</f>
        <v/>
      </c>
      <c r="D1555" t="str">
        <f>IF($AS1555="","",INDEX('TMP Paste'!$B$2:$B$1601,$AS1555))</f>
        <v/>
      </c>
      <c r="E1555" t="str">
        <f>IF($AS1555="","",Config!$B$27)</f>
        <v/>
      </c>
      <c r="F1555" t="str">
        <f>IF($AS1555="","",Config!$B$9)</f>
        <v/>
      </c>
      <c r="G1555" t="str">
        <f>IF($AS1555="","",Config!$B$10)</f>
        <v/>
      </c>
      <c r="H1555" t="str">
        <f>IF($AS1555="","",Config!$B$11)</f>
        <v/>
      </c>
      <c r="I1555" t="str">
        <f>IF($AS1555="","",Config!$B$16)</f>
        <v/>
      </c>
      <c r="J1555" t="str">
        <f>IF($AS1555="","",INDEX('TMP Paste'!$A$2:$A$1601,$AS1555))</f>
        <v/>
      </c>
      <c r="K1555" t="str">
        <f>IF($AS1555="","",INDEX('TMP Paste'!$L$2:$L$1601,$AS1555))</f>
        <v/>
      </c>
      <c r="L1555" t="str">
        <f>IF($AS1555="","",INDEX('TMP Paste'!$I$2:$I$1601,$AS1555))</f>
        <v/>
      </c>
      <c r="M1555" t="str">
        <f>IF($AS1555="","",Config!$B$16)</f>
        <v/>
      </c>
      <c r="N1555" t="str">
        <f t="shared" si="144"/>
        <v/>
      </c>
      <c r="O1555" t="str">
        <f>IF($AS1555="","",INDEX('TMP Paste'!$K$2:$K$1601,$AS1555))</f>
        <v/>
      </c>
      <c r="P1555" t="str">
        <f t="shared" si="145"/>
        <v/>
      </c>
      <c r="Q1555" t="str">
        <f>IF($AS1555="","",INDEX('TMP Paste'!$J$2:$J$1601,$AS1555))</f>
        <v/>
      </c>
      <c r="R1555" t="str">
        <f>IF($AS1555="","",Config!$B$24)</f>
        <v/>
      </c>
      <c r="S1555" t="str">
        <f ca="1">IF($AS1555="","",TEXT(Config!$B$4,"yyyy-mm-dd"))</f>
        <v/>
      </c>
      <c r="T1555" t="str">
        <f>IF($AS1555="","",Config!$B$17)</f>
        <v/>
      </c>
      <c r="U1555" t="str">
        <f>IF($AS1555="","",Config!$B$18)</f>
        <v/>
      </c>
      <c r="V1555" t="str">
        <f>IF($AS1555="","",Config!$B$19)</f>
        <v/>
      </c>
      <c r="W1555" t="str">
        <f>IF($AS1555="","",INDEX('TMP Paste'!$C$2:$C$1601,$AS1555))</f>
        <v/>
      </c>
      <c r="X1555" t="str">
        <f>IF($AS1555="","",Config!$B$29)</f>
        <v/>
      </c>
      <c r="Y1555" t="str">
        <f>IF($AT1555="","",INDEX(Calc!$I$2:$I$1601,$AT1555)&amp;" - "&amp;INDEX(Calc!$D$2:$D$1601,$AT1555)&amp;" koli")</f>
        <v/>
      </c>
      <c r="Z1555" t="str">
        <f>IF($AS1555="","",Config!$B$21)</f>
        <v/>
      </c>
      <c r="AA1555" t="str">
        <f>IF($AS1555="","",Config!$B$22)</f>
        <v/>
      </c>
      <c r="AB1555" t="str">
        <f>IF($AT1555="","",INDEX(Calc!$D$2:$D$1601,$AT1555))</f>
        <v/>
      </c>
      <c r="AC1555" t="str">
        <f>IF($AT1555="","",INDEX(Calc!$G$2:$G$1601,$AT1555))</f>
        <v/>
      </c>
      <c r="AD1555" t="str">
        <f>IF($AS1555="","",Config!$B$23)</f>
        <v/>
      </c>
      <c r="AE1555" t="str">
        <f>IF($AS1555="","",Config!$B$28)</f>
        <v/>
      </c>
      <c r="AF1555" t="str">
        <f t="shared" si="146"/>
        <v/>
      </c>
      <c r="AG1555" t="str">
        <f t="shared" si="147"/>
        <v/>
      </c>
      <c r="AH1555" t="str">
        <f t="shared" si="148"/>
        <v/>
      </c>
      <c r="AQ1555" t="str">
        <f>IF($AS1555="","",TRIM(IF(COUNTIFS(Calc!$B$2:$B$1601,ROW()-1,Calc!$C$2:$C$1601,"&lt;1")&gt;0,"Ada PO tanpa Koli - cek TMP. ","")&amp;IF(OR($AU1555="",$AU1555&lt;=0),"Volume kosong/0 - dimensi dikosongkan. ","")&amp;IF(AND($AU1555&lt;&gt;"",$AU1555&gt;=1000000),"Volume &gt;= 1.000.000 cm3 (di luar aturan) - dimensi dikosongkan. ","")&amp;IF(LEN($R1555)&gt;500,"R &gt; 500 karakter.","")))</f>
        <v/>
      </c>
      <c r="AS1555" t="str">
        <f>IFERROR(MATCH(ROW()-1,Calc!$J$2:$J$1601,0),"")</f>
        <v/>
      </c>
      <c r="AT1555" t="str">
        <f>IFERROR(MATCH(ROW()-1,Calc!$K$2:$K$1601,0),"")</f>
        <v/>
      </c>
      <c r="AU1555" t="str">
        <f>IF($AS1555="","",IFERROR(INDEX('TMP Paste'!$D$2:$D$1601,$AS1555)*1000000/$AB1555,""))</f>
        <v/>
      </c>
    </row>
    <row r="1556" spans="1:47">
      <c r="A1556" t="str">
        <f>IF($AS1556="","",INDEX('TMP Paste'!$B$2:$B$1601,$AS1556))</f>
        <v/>
      </c>
      <c r="B1556" t="str">
        <f>IF($AS1556="","",Config!$B$14)</f>
        <v/>
      </c>
      <c r="C1556" t="str">
        <f>IF($AS1556="","",Config!$B$15)</f>
        <v/>
      </c>
      <c r="D1556" t="str">
        <f>IF($AS1556="","",INDEX('TMP Paste'!$B$2:$B$1601,$AS1556))</f>
        <v/>
      </c>
      <c r="E1556" t="str">
        <f>IF($AS1556="","",Config!$B$27)</f>
        <v/>
      </c>
      <c r="F1556" t="str">
        <f>IF($AS1556="","",Config!$B$9)</f>
        <v/>
      </c>
      <c r="G1556" t="str">
        <f>IF($AS1556="","",Config!$B$10)</f>
        <v/>
      </c>
      <c r="H1556" t="str">
        <f>IF($AS1556="","",Config!$B$11)</f>
        <v/>
      </c>
      <c r="I1556" t="str">
        <f>IF($AS1556="","",Config!$B$16)</f>
        <v/>
      </c>
      <c r="J1556" t="str">
        <f>IF($AS1556="","",INDEX('TMP Paste'!$A$2:$A$1601,$AS1556))</f>
        <v/>
      </c>
      <c r="K1556" t="str">
        <f>IF($AS1556="","",INDEX('TMP Paste'!$L$2:$L$1601,$AS1556))</f>
        <v/>
      </c>
      <c r="L1556" t="str">
        <f>IF($AS1556="","",INDEX('TMP Paste'!$I$2:$I$1601,$AS1556))</f>
        <v/>
      </c>
      <c r="M1556" t="str">
        <f>IF($AS1556="","",Config!$B$16)</f>
        <v/>
      </c>
      <c r="N1556" t="str">
        <f t="shared" si="144"/>
        <v/>
      </c>
      <c r="O1556" t="str">
        <f>IF($AS1556="","",INDEX('TMP Paste'!$K$2:$K$1601,$AS1556))</f>
        <v/>
      </c>
      <c r="P1556" t="str">
        <f t="shared" si="145"/>
        <v/>
      </c>
      <c r="Q1556" t="str">
        <f>IF($AS1556="","",INDEX('TMP Paste'!$J$2:$J$1601,$AS1556))</f>
        <v/>
      </c>
      <c r="R1556" t="str">
        <f>IF($AS1556="","",Config!$B$24)</f>
        <v/>
      </c>
      <c r="S1556" t="str">
        <f ca="1">IF($AS1556="","",TEXT(Config!$B$4,"yyyy-mm-dd"))</f>
        <v/>
      </c>
      <c r="T1556" t="str">
        <f>IF($AS1556="","",Config!$B$17)</f>
        <v/>
      </c>
      <c r="U1556" t="str">
        <f>IF($AS1556="","",Config!$B$18)</f>
        <v/>
      </c>
      <c r="V1556" t="str">
        <f>IF($AS1556="","",Config!$B$19)</f>
        <v/>
      </c>
      <c r="W1556" t="str">
        <f>IF($AS1556="","",INDEX('TMP Paste'!$C$2:$C$1601,$AS1556))</f>
        <v/>
      </c>
      <c r="X1556" t="str">
        <f>IF($AS1556="","",Config!$B$29)</f>
        <v/>
      </c>
      <c r="Y1556" t="str">
        <f>IF($AT1556="","",INDEX(Calc!$I$2:$I$1601,$AT1556)&amp;" - "&amp;INDEX(Calc!$D$2:$D$1601,$AT1556)&amp;" koli")</f>
        <v/>
      </c>
      <c r="Z1556" t="str">
        <f>IF($AS1556="","",Config!$B$21)</f>
        <v/>
      </c>
      <c r="AA1556" t="str">
        <f>IF($AS1556="","",Config!$B$22)</f>
        <v/>
      </c>
      <c r="AB1556" t="str">
        <f>IF($AT1556="","",INDEX(Calc!$D$2:$D$1601,$AT1556))</f>
        <v/>
      </c>
      <c r="AC1556" t="str">
        <f>IF($AT1556="","",INDEX(Calc!$G$2:$G$1601,$AT1556))</f>
        <v/>
      </c>
      <c r="AD1556" t="str">
        <f>IF($AS1556="","",Config!$B$23)</f>
        <v/>
      </c>
      <c r="AE1556" t="str">
        <f>IF($AS1556="","",Config!$B$28)</f>
        <v/>
      </c>
      <c r="AF1556" t="str">
        <f t="shared" si="146"/>
        <v/>
      </c>
      <c r="AG1556" t="str">
        <f t="shared" si="147"/>
        <v/>
      </c>
      <c r="AH1556" t="str">
        <f t="shared" si="148"/>
        <v/>
      </c>
      <c r="AQ1556" t="str">
        <f>IF($AS1556="","",TRIM(IF(COUNTIFS(Calc!$B$2:$B$1601,ROW()-1,Calc!$C$2:$C$1601,"&lt;1")&gt;0,"Ada PO tanpa Koli - cek TMP. ","")&amp;IF(OR($AU1556="",$AU1556&lt;=0),"Volume kosong/0 - dimensi dikosongkan. ","")&amp;IF(AND($AU1556&lt;&gt;"",$AU1556&gt;=1000000),"Volume &gt;= 1.000.000 cm3 (di luar aturan) - dimensi dikosongkan. ","")&amp;IF(LEN($R1556)&gt;500,"R &gt; 500 karakter.","")))</f>
        <v/>
      </c>
      <c r="AS1556" t="str">
        <f>IFERROR(MATCH(ROW()-1,Calc!$J$2:$J$1601,0),"")</f>
        <v/>
      </c>
      <c r="AT1556" t="str">
        <f>IFERROR(MATCH(ROW()-1,Calc!$K$2:$K$1601,0),"")</f>
        <v/>
      </c>
      <c r="AU1556" t="str">
        <f>IF($AS1556="","",IFERROR(INDEX('TMP Paste'!$D$2:$D$1601,$AS1556)*1000000/$AB1556,""))</f>
        <v/>
      </c>
    </row>
    <row r="1557" spans="1:47">
      <c r="A1557" t="str">
        <f>IF($AS1557="","",INDEX('TMP Paste'!$B$2:$B$1601,$AS1557))</f>
        <v/>
      </c>
      <c r="B1557" t="str">
        <f>IF($AS1557="","",Config!$B$14)</f>
        <v/>
      </c>
      <c r="C1557" t="str">
        <f>IF($AS1557="","",Config!$B$15)</f>
        <v/>
      </c>
      <c r="D1557" t="str">
        <f>IF($AS1557="","",INDEX('TMP Paste'!$B$2:$B$1601,$AS1557))</f>
        <v/>
      </c>
      <c r="E1557" t="str">
        <f>IF($AS1557="","",Config!$B$27)</f>
        <v/>
      </c>
      <c r="F1557" t="str">
        <f>IF($AS1557="","",Config!$B$9)</f>
        <v/>
      </c>
      <c r="G1557" t="str">
        <f>IF($AS1557="","",Config!$B$10)</f>
        <v/>
      </c>
      <c r="H1557" t="str">
        <f>IF($AS1557="","",Config!$B$11)</f>
        <v/>
      </c>
      <c r="I1557" t="str">
        <f>IF($AS1557="","",Config!$B$16)</f>
        <v/>
      </c>
      <c r="J1557" t="str">
        <f>IF($AS1557="","",INDEX('TMP Paste'!$A$2:$A$1601,$AS1557))</f>
        <v/>
      </c>
      <c r="K1557" t="str">
        <f>IF($AS1557="","",INDEX('TMP Paste'!$L$2:$L$1601,$AS1557))</f>
        <v/>
      </c>
      <c r="L1557" t="str">
        <f>IF($AS1557="","",INDEX('TMP Paste'!$I$2:$I$1601,$AS1557))</f>
        <v/>
      </c>
      <c r="M1557" t="str">
        <f>IF($AS1557="","",Config!$B$16)</f>
        <v/>
      </c>
      <c r="N1557" t="str">
        <f t="shared" si="144"/>
        <v/>
      </c>
      <c r="O1557" t="str">
        <f>IF($AS1557="","",INDEX('TMP Paste'!$K$2:$K$1601,$AS1557))</f>
        <v/>
      </c>
      <c r="P1557" t="str">
        <f t="shared" si="145"/>
        <v/>
      </c>
      <c r="Q1557" t="str">
        <f>IF($AS1557="","",INDEX('TMP Paste'!$J$2:$J$1601,$AS1557))</f>
        <v/>
      </c>
      <c r="R1557" t="str">
        <f>IF($AS1557="","",Config!$B$24)</f>
        <v/>
      </c>
      <c r="S1557" t="str">
        <f ca="1">IF($AS1557="","",TEXT(Config!$B$4,"yyyy-mm-dd"))</f>
        <v/>
      </c>
      <c r="T1557" t="str">
        <f>IF($AS1557="","",Config!$B$17)</f>
        <v/>
      </c>
      <c r="U1557" t="str">
        <f>IF($AS1557="","",Config!$B$18)</f>
        <v/>
      </c>
      <c r="V1557" t="str">
        <f>IF($AS1557="","",Config!$B$19)</f>
        <v/>
      </c>
      <c r="W1557" t="str">
        <f>IF($AS1557="","",INDEX('TMP Paste'!$C$2:$C$1601,$AS1557))</f>
        <v/>
      </c>
      <c r="X1557" t="str">
        <f>IF($AS1557="","",Config!$B$29)</f>
        <v/>
      </c>
      <c r="Y1557" t="str">
        <f>IF($AT1557="","",INDEX(Calc!$I$2:$I$1601,$AT1557)&amp;" - "&amp;INDEX(Calc!$D$2:$D$1601,$AT1557)&amp;" koli")</f>
        <v/>
      </c>
      <c r="Z1557" t="str">
        <f>IF($AS1557="","",Config!$B$21)</f>
        <v/>
      </c>
      <c r="AA1557" t="str">
        <f>IF($AS1557="","",Config!$B$22)</f>
        <v/>
      </c>
      <c r="AB1557" t="str">
        <f>IF($AT1557="","",INDEX(Calc!$D$2:$D$1601,$AT1557))</f>
        <v/>
      </c>
      <c r="AC1557" t="str">
        <f>IF($AT1557="","",INDEX(Calc!$G$2:$G$1601,$AT1557))</f>
        <v/>
      </c>
      <c r="AD1557" t="str">
        <f>IF($AS1557="","",Config!$B$23)</f>
        <v/>
      </c>
      <c r="AE1557" t="str">
        <f>IF($AS1557="","",Config!$B$28)</f>
        <v/>
      </c>
      <c r="AF1557" t="str">
        <f t="shared" si="146"/>
        <v/>
      </c>
      <c r="AG1557" t="str">
        <f t="shared" si="147"/>
        <v/>
      </c>
      <c r="AH1557" t="str">
        <f t="shared" si="148"/>
        <v/>
      </c>
      <c r="AQ1557" t="str">
        <f>IF($AS1557="","",TRIM(IF(COUNTIFS(Calc!$B$2:$B$1601,ROW()-1,Calc!$C$2:$C$1601,"&lt;1")&gt;0,"Ada PO tanpa Koli - cek TMP. ","")&amp;IF(OR($AU1557="",$AU1557&lt;=0),"Volume kosong/0 - dimensi dikosongkan. ","")&amp;IF(AND($AU1557&lt;&gt;"",$AU1557&gt;=1000000),"Volume &gt;= 1.000.000 cm3 (di luar aturan) - dimensi dikosongkan. ","")&amp;IF(LEN($R1557)&gt;500,"R &gt; 500 karakter.","")))</f>
        <v/>
      </c>
      <c r="AS1557" t="str">
        <f>IFERROR(MATCH(ROW()-1,Calc!$J$2:$J$1601,0),"")</f>
        <v/>
      </c>
      <c r="AT1557" t="str">
        <f>IFERROR(MATCH(ROW()-1,Calc!$K$2:$K$1601,0),"")</f>
        <v/>
      </c>
      <c r="AU1557" t="str">
        <f>IF($AS1557="","",IFERROR(INDEX('TMP Paste'!$D$2:$D$1601,$AS1557)*1000000/$AB1557,""))</f>
        <v/>
      </c>
    </row>
    <row r="1558" spans="1:47">
      <c r="A1558" t="str">
        <f>IF($AS1558="","",INDEX('TMP Paste'!$B$2:$B$1601,$AS1558))</f>
        <v/>
      </c>
      <c r="B1558" t="str">
        <f>IF($AS1558="","",Config!$B$14)</f>
        <v/>
      </c>
      <c r="C1558" t="str">
        <f>IF($AS1558="","",Config!$B$15)</f>
        <v/>
      </c>
      <c r="D1558" t="str">
        <f>IF($AS1558="","",INDEX('TMP Paste'!$B$2:$B$1601,$AS1558))</f>
        <v/>
      </c>
      <c r="E1558" t="str">
        <f>IF($AS1558="","",Config!$B$27)</f>
        <v/>
      </c>
      <c r="F1558" t="str">
        <f>IF($AS1558="","",Config!$B$9)</f>
        <v/>
      </c>
      <c r="G1558" t="str">
        <f>IF($AS1558="","",Config!$B$10)</f>
        <v/>
      </c>
      <c r="H1558" t="str">
        <f>IF($AS1558="","",Config!$B$11)</f>
        <v/>
      </c>
      <c r="I1558" t="str">
        <f>IF($AS1558="","",Config!$B$16)</f>
        <v/>
      </c>
      <c r="J1558" t="str">
        <f>IF($AS1558="","",INDEX('TMP Paste'!$A$2:$A$1601,$AS1558))</f>
        <v/>
      </c>
      <c r="K1558" t="str">
        <f>IF($AS1558="","",INDEX('TMP Paste'!$L$2:$L$1601,$AS1558))</f>
        <v/>
      </c>
      <c r="L1558" t="str">
        <f>IF($AS1558="","",INDEX('TMP Paste'!$I$2:$I$1601,$AS1558))</f>
        <v/>
      </c>
      <c r="M1558" t="str">
        <f>IF($AS1558="","",Config!$B$16)</f>
        <v/>
      </c>
      <c r="N1558" t="str">
        <f t="shared" si="144"/>
        <v/>
      </c>
      <c r="O1558" t="str">
        <f>IF($AS1558="","",INDEX('TMP Paste'!$K$2:$K$1601,$AS1558))</f>
        <v/>
      </c>
      <c r="P1558" t="str">
        <f t="shared" si="145"/>
        <v/>
      </c>
      <c r="Q1558" t="str">
        <f>IF($AS1558="","",INDEX('TMP Paste'!$J$2:$J$1601,$AS1558))</f>
        <v/>
      </c>
      <c r="R1558" t="str">
        <f>IF($AS1558="","",Config!$B$24)</f>
        <v/>
      </c>
      <c r="S1558" t="str">
        <f ca="1">IF($AS1558="","",TEXT(Config!$B$4,"yyyy-mm-dd"))</f>
        <v/>
      </c>
      <c r="T1558" t="str">
        <f>IF($AS1558="","",Config!$B$17)</f>
        <v/>
      </c>
      <c r="U1558" t="str">
        <f>IF($AS1558="","",Config!$B$18)</f>
        <v/>
      </c>
      <c r="V1558" t="str">
        <f>IF($AS1558="","",Config!$B$19)</f>
        <v/>
      </c>
      <c r="W1558" t="str">
        <f>IF($AS1558="","",INDEX('TMP Paste'!$C$2:$C$1601,$AS1558))</f>
        <v/>
      </c>
      <c r="X1558" t="str">
        <f>IF($AS1558="","",Config!$B$29)</f>
        <v/>
      </c>
      <c r="Y1558" t="str">
        <f>IF($AT1558="","",INDEX(Calc!$I$2:$I$1601,$AT1558)&amp;" - "&amp;INDEX(Calc!$D$2:$D$1601,$AT1558)&amp;" koli")</f>
        <v/>
      </c>
      <c r="Z1558" t="str">
        <f>IF($AS1558="","",Config!$B$21)</f>
        <v/>
      </c>
      <c r="AA1558" t="str">
        <f>IF($AS1558="","",Config!$B$22)</f>
        <v/>
      </c>
      <c r="AB1558" t="str">
        <f>IF($AT1558="","",INDEX(Calc!$D$2:$D$1601,$AT1558))</f>
        <v/>
      </c>
      <c r="AC1558" t="str">
        <f>IF($AT1558="","",INDEX(Calc!$G$2:$G$1601,$AT1558))</f>
        <v/>
      </c>
      <c r="AD1558" t="str">
        <f>IF($AS1558="","",Config!$B$23)</f>
        <v/>
      </c>
      <c r="AE1558" t="str">
        <f>IF($AS1558="","",Config!$B$28)</f>
        <v/>
      </c>
      <c r="AF1558" t="str">
        <f t="shared" si="146"/>
        <v/>
      </c>
      <c r="AG1558" t="str">
        <f t="shared" si="147"/>
        <v/>
      </c>
      <c r="AH1558" t="str">
        <f t="shared" si="148"/>
        <v/>
      </c>
      <c r="AQ1558" t="str">
        <f>IF($AS1558="","",TRIM(IF(COUNTIFS(Calc!$B$2:$B$1601,ROW()-1,Calc!$C$2:$C$1601,"&lt;1")&gt;0,"Ada PO tanpa Koli - cek TMP. ","")&amp;IF(OR($AU1558="",$AU1558&lt;=0),"Volume kosong/0 - dimensi dikosongkan. ","")&amp;IF(AND($AU1558&lt;&gt;"",$AU1558&gt;=1000000),"Volume &gt;= 1.000.000 cm3 (di luar aturan) - dimensi dikosongkan. ","")&amp;IF(LEN($R1558)&gt;500,"R &gt; 500 karakter.","")))</f>
        <v/>
      </c>
      <c r="AS1558" t="str">
        <f>IFERROR(MATCH(ROW()-1,Calc!$J$2:$J$1601,0),"")</f>
        <v/>
      </c>
      <c r="AT1558" t="str">
        <f>IFERROR(MATCH(ROW()-1,Calc!$K$2:$K$1601,0),"")</f>
        <v/>
      </c>
      <c r="AU1558" t="str">
        <f>IF($AS1558="","",IFERROR(INDEX('TMP Paste'!$D$2:$D$1601,$AS1558)*1000000/$AB1558,""))</f>
        <v/>
      </c>
    </row>
    <row r="1559" spans="1:47">
      <c r="A1559" t="str">
        <f>IF($AS1559="","",INDEX('TMP Paste'!$B$2:$B$1601,$AS1559))</f>
        <v/>
      </c>
      <c r="B1559" t="str">
        <f>IF($AS1559="","",Config!$B$14)</f>
        <v/>
      </c>
      <c r="C1559" t="str">
        <f>IF($AS1559="","",Config!$B$15)</f>
        <v/>
      </c>
      <c r="D1559" t="str">
        <f>IF($AS1559="","",INDEX('TMP Paste'!$B$2:$B$1601,$AS1559))</f>
        <v/>
      </c>
      <c r="E1559" t="str">
        <f>IF($AS1559="","",Config!$B$27)</f>
        <v/>
      </c>
      <c r="F1559" t="str">
        <f>IF($AS1559="","",Config!$B$9)</f>
        <v/>
      </c>
      <c r="G1559" t="str">
        <f>IF($AS1559="","",Config!$B$10)</f>
        <v/>
      </c>
      <c r="H1559" t="str">
        <f>IF($AS1559="","",Config!$B$11)</f>
        <v/>
      </c>
      <c r="I1559" t="str">
        <f>IF($AS1559="","",Config!$B$16)</f>
        <v/>
      </c>
      <c r="J1559" t="str">
        <f>IF($AS1559="","",INDEX('TMP Paste'!$A$2:$A$1601,$AS1559))</f>
        <v/>
      </c>
      <c r="K1559" t="str">
        <f>IF($AS1559="","",INDEX('TMP Paste'!$L$2:$L$1601,$AS1559))</f>
        <v/>
      </c>
      <c r="L1559" t="str">
        <f>IF($AS1559="","",INDEX('TMP Paste'!$I$2:$I$1601,$AS1559))</f>
        <v/>
      </c>
      <c r="M1559" t="str">
        <f>IF($AS1559="","",Config!$B$16)</f>
        <v/>
      </c>
      <c r="N1559" t="str">
        <f t="shared" si="144"/>
        <v/>
      </c>
      <c r="O1559" t="str">
        <f>IF($AS1559="","",INDEX('TMP Paste'!$K$2:$K$1601,$AS1559))</f>
        <v/>
      </c>
      <c r="P1559" t="str">
        <f t="shared" si="145"/>
        <v/>
      </c>
      <c r="Q1559" t="str">
        <f>IF($AS1559="","",INDEX('TMP Paste'!$J$2:$J$1601,$AS1559))</f>
        <v/>
      </c>
      <c r="R1559" t="str">
        <f>IF($AS1559="","",Config!$B$24)</f>
        <v/>
      </c>
      <c r="S1559" t="str">
        <f ca="1">IF($AS1559="","",TEXT(Config!$B$4,"yyyy-mm-dd"))</f>
        <v/>
      </c>
      <c r="T1559" t="str">
        <f>IF($AS1559="","",Config!$B$17)</f>
        <v/>
      </c>
      <c r="U1559" t="str">
        <f>IF($AS1559="","",Config!$B$18)</f>
        <v/>
      </c>
      <c r="V1559" t="str">
        <f>IF($AS1559="","",Config!$B$19)</f>
        <v/>
      </c>
      <c r="W1559" t="str">
        <f>IF($AS1559="","",INDEX('TMP Paste'!$C$2:$C$1601,$AS1559))</f>
        <v/>
      </c>
      <c r="X1559" t="str">
        <f>IF($AS1559="","",Config!$B$29)</f>
        <v/>
      </c>
      <c r="Y1559" t="str">
        <f>IF($AT1559="","",INDEX(Calc!$I$2:$I$1601,$AT1559)&amp;" - "&amp;INDEX(Calc!$D$2:$D$1601,$AT1559)&amp;" koli")</f>
        <v/>
      </c>
      <c r="Z1559" t="str">
        <f>IF($AS1559="","",Config!$B$21)</f>
        <v/>
      </c>
      <c r="AA1559" t="str">
        <f>IF($AS1559="","",Config!$B$22)</f>
        <v/>
      </c>
      <c r="AB1559" t="str">
        <f>IF($AT1559="","",INDEX(Calc!$D$2:$D$1601,$AT1559))</f>
        <v/>
      </c>
      <c r="AC1559" t="str">
        <f>IF($AT1559="","",INDEX(Calc!$G$2:$G$1601,$AT1559))</f>
        <v/>
      </c>
      <c r="AD1559" t="str">
        <f>IF($AS1559="","",Config!$B$23)</f>
        <v/>
      </c>
      <c r="AE1559" t="str">
        <f>IF($AS1559="","",Config!$B$28)</f>
        <v/>
      </c>
      <c r="AF1559" t="str">
        <f t="shared" si="146"/>
        <v/>
      </c>
      <c r="AG1559" t="str">
        <f t="shared" si="147"/>
        <v/>
      </c>
      <c r="AH1559" t="str">
        <f t="shared" si="148"/>
        <v/>
      </c>
      <c r="AQ1559" t="str">
        <f>IF($AS1559="","",TRIM(IF(COUNTIFS(Calc!$B$2:$B$1601,ROW()-1,Calc!$C$2:$C$1601,"&lt;1")&gt;0,"Ada PO tanpa Koli - cek TMP. ","")&amp;IF(OR($AU1559="",$AU1559&lt;=0),"Volume kosong/0 - dimensi dikosongkan. ","")&amp;IF(AND($AU1559&lt;&gt;"",$AU1559&gt;=1000000),"Volume &gt;= 1.000.000 cm3 (di luar aturan) - dimensi dikosongkan. ","")&amp;IF(LEN($R1559)&gt;500,"R &gt; 500 karakter.","")))</f>
        <v/>
      </c>
      <c r="AS1559" t="str">
        <f>IFERROR(MATCH(ROW()-1,Calc!$J$2:$J$1601,0),"")</f>
        <v/>
      </c>
      <c r="AT1559" t="str">
        <f>IFERROR(MATCH(ROW()-1,Calc!$K$2:$K$1601,0),"")</f>
        <v/>
      </c>
      <c r="AU1559" t="str">
        <f>IF($AS1559="","",IFERROR(INDEX('TMP Paste'!$D$2:$D$1601,$AS1559)*1000000/$AB1559,""))</f>
        <v/>
      </c>
    </row>
    <row r="1560" spans="1:47">
      <c r="A1560" t="str">
        <f>IF($AS1560="","",INDEX('TMP Paste'!$B$2:$B$1601,$AS1560))</f>
        <v/>
      </c>
      <c r="B1560" t="str">
        <f>IF($AS1560="","",Config!$B$14)</f>
        <v/>
      </c>
      <c r="C1560" t="str">
        <f>IF($AS1560="","",Config!$B$15)</f>
        <v/>
      </c>
      <c r="D1560" t="str">
        <f>IF($AS1560="","",INDEX('TMP Paste'!$B$2:$B$1601,$AS1560))</f>
        <v/>
      </c>
      <c r="E1560" t="str">
        <f>IF($AS1560="","",Config!$B$27)</f>
        <v/>
      </c>
      <c r="F1560" t="str">
        <f>IF($AS1560="","",Config!$B$9)</f>
        <v/>
      </c>
      <c r="G1560" t="str">
        <f>IF($AS1560="","",Config!$B$10)</f>
        <v/>
      </c>
      <c r="H1560" t="str">
        <f>IF($AS1560="","",Config!$B$11)</f>
        <v/>
      </c>
      <c r="I1560" t="str">
        <f>IF($AS1560="","",Config!$B$16)</f>
        <v/>
      </c>
      <c r="J1560" t="str">
        <f>IF($AS1560="","",INDEX('TMP Paste'!$A$2:$A$1601,$AS1560))</f>
        <v/>
      </c>
      <c r="K1560" t="str">
        <f>IF($AS1560="","",INDEX('TMP Paste'!$L$2:$L$1601,$AS1560))</f>
        <v/>
      </c>
      <c r="L1560" t="str">
        <f>IF($AS1560="","",INDEX('TMP Paste'!$I$2:$I$1601,$AS1560))</f>
        <v/>
      </c>
      <c r="M1560" t="str">
        <f>IF($AS1560="","",Config!$B$16)</f>
        <v/>
      </c>
      <c r="N1560" t="str">
        <f t="shared" si="144"/>
        <v/>
      </c>
      <c r="O1560" t="str">
        <f>IF($AS1560="","",INDEX('TMP Paste'!$K$2:$K$1601,$AS1560))</f>
        <v/>
      </c>
      <c r="P1560" t="str">
        <f t="shared" si="145"/>
        <v/>
      </c>
      <c r="Q1560" t="str">
        <f>IF($AS1560="","",INDEX('TMP Paste'!$J$2:$J$1601,$AS1560))</f>
        <v/>
      </c>
      <c r="R1560" t="str">
        <f>IF($AS1560="","",Config!$B$24)</f>
        <v/>
      </c>
      <c r="S1560" t="str">
        <f ca="1">IF($AS1560="","",TEXT(Config!$B$4,"yyyy-mm-dd"))</f>
        <v/>
      </c>
      <c r="T1560" t="str">
        <f>IF($AS1560="","",Config!$B$17)</f>
        <v/>
      </c>
      <c r="U1560" t="str">
        <f>IF($AS1560="","",Config!$B$18)</f>
        <v/>
      </c>
      <c r="V1560" t="str">
        <f>IF($AS1560="","",Config!$B$19)</f>
        <v/>
      </c>
      <c r="W1560" t="str">
        <f>IF($AS1560="","",INDEX('TMP Paste'!$C$2:$C$1601,$AS1560))</f>
        <v/>
      </c>
      <c r="X1560" t="str">
        <f>IF($AS1560="","",Config!$B$29)</f>
        <v/>
      </c>
      <c r="Y1560" t="str">
        <f>IF($AT1560="","",INDEX(Calc!$I$2:$I$1601,$AT1560)&amp;" - "&amp;INDEX(Calc!$D$2:$D$1601,$AT1560)&amp;" koli")</f>
        <v/>
      </c>
      <c r="Z1560" t="str">
        <f>IF($AS1560="","",Config!$B$21)</f>
        <v/>
      </c>
      <c r="AA1560" t="str">
        <f>IF($AS1560="","",Config!$B$22)</f>
        <v/>
      </c>
      <c r="AB1560" t="str">
        <f>IF($AT1560="","",INDEX(Calc!$D$2:$D$1601,$AT1560))</f>
        <v/>
      </c>
      <c r="AC1560" t="str">
        <f>IF($AT1560="","",INDEX(Calc!$G$2:$G$1601,$AT1560))</f>
        <v/>
      </c>
      <c r="AD1560" t="str">
        <f>IF($AS1560="","",Config!$B$23)</f>
        <v/>
      </c>
      <c r="AE1560" t="str">
        <f>IF($AS1560="","",Config!$B$28)</f>
        <v/>
      </c>
      <c r="AF1560" t="str">
        <f t="shared" si="146"/>
        <v/>
      </c>
      <c r="AG1560" t="str">
        <f t="shared" si="147"/>
        <v/>
      </c>
      <c r="AH1560" t="str">
        <f t="shared" si="148"/>
        <v/>
      </c>
      <c r="AQ1560" t="str">
        <f>IF($AS1560="","",TRIM(IF(COUNTIFS(Calc!$B$2:$B$1601,ROW()-1,Calc!$C$2:$C$1601,"&lt;1")&gt;0,"Ada PO tanpa Koli - cek TMP. ","")&amp;IF(OR($AU1560="",$AU1560&lt;=0),"Volume kosong/0 - dimensi dikosongkan. ","")&amp;IF(AND($AU1560&lt;&gt;"",$AU1560&gt;=1000000),"Volume &gt;= 1.000.000 cm3 (di luar aturan) - dimensi dikosongkan. ","")&amp;IF(LEN($R1560)&gt;500,"R &gt; 500 karakter.","")))</f>
        <v/>
      </c>
      <c r="AS1560" t="str">
        <f>IFERROR(MATCH(ROW()-1,Calc!$J$2:$J$1601,0),"")</f>
        <v/>
      </c>
      <c r="AT1560" t="str">
        <f>IFERROR(MATCH(ROW()-1,Calc!$K$2:$K$1601,0),"")</f>
        <v/>
      </c>
      <c r="AU1560" t="str">
        <f>IF($AS1560="","",IFERROR(INDEX('TMP Paste'!$D$2:$D$1601,$AS1560)*1000000/$AB1560,""))</f>
        <v/>
      </c>
    </row>
    <row r="1561" spans="1:47">
      <c r="A1561" t="str">
        <f>IF($AS1561="","",INDEX('TMP Paste'!$B$2:$B$1601,$AS1561))</f>
        <v/>
      </c>
      <c r="B1561" t="str">
        <f>IF($AS1561="","",Config!$B$14)</f>
        <v/>
      </c>
      <c r="C1561" t="str">
        <f>IF($AS1561="","",Config!$B$15)</f>
        <v/>
      </c>
      <c r="D1561" t="str">
        <f>IF($AS1561="","",INDEX('TMP Paste'!$B$2:$B$1601,$AS1561))</f>
        <v/>
      </c>
      <c r="E1561" t="str">
        <f>IF($AS1561="","",Config!$B$27)</f>
        <v/>
      </c>
      <c r="F1561" t="str">
        <f>IF($AS1561="","",Config!$B$9)</f>
        <v/>
      </c>
      <c r="G1561" t="str">
        <f>IF($AS1561="","",Config!$B$10)</f>
        <v/>
      </c>
      <c r="H1561" t="str">
        <f>IF($AS1561="","",Config!$B$11)</f>
        <v/>
      </c>
      <c r="I1561" t="str">
        <f>IF($AS1561="","",Config!$B$16)</f>
        <v/>
      </c>
      <c r="J1561" t="str">
        <f>IF($AS1561="","",INDEX('TMP Paste'!$A$2:$A$1601,$AS1561))</f>
        <v/>
      </c>
      <c r="K1561" t="str">
        <f>IF($AS1561="","",INDEX('TMP Paste'!$L$2:$L$1601,$AS1561))</f>
        <v/>
      </c>
      <c r="L1561" t="str">
        <f>IF($AS1561="","",INDEX('TMP Paste'!$I$2:$I$1601,$AS1561))</f>
        <v/>
      </c>
      <c r="M1561" t="str">
        <f>IF($AS1561="","",Config!$B$16)</f>
        <v/>
      </c>
      <c r="N1561" t="str">
        <f t="shared" si="144"/>
        <v/>
      </c>
      <c r="O1561" t="str">
        <f>IF($AS1561="","",INDEX('TMP Paste'!$K$2:$K$1601,$AS1561))</f>
        <v/>
      </c>
      <c r="P1561" t="str">
        <f t="shared" si="145"/>
        <v/>
      </c>
      <c r="Q1561" t="str">
        <f>IF($AS1561="","",INDEX('TMP Paste'!$J$2:$J$1601,$AS1561))</f>
        <v/>
      </c>
      <c r="R1561" t="str">
        <f>IF($AS1561="","",Config!$B$24)</f>
        <v/>
      </c>
      <c r="S1561" t="str">
        <f ca="1">IF($AS1561="","",TEXT(Config!$B$4,"yyyy-mm-dd"))</f>
        <v/>
      </c>
      <c r="T1561" t="str">
        <f>IF($AS1561="","",Config!$B$17)</f>
        <v/>
      </c>
      <c r="U1561" t="str">
        <f>IF($AS1561="","",Config!$B$18)</f>
        <v/>
      </c>
      <c r="V1561" t="str">
        <f>IF($AS1561="","",Config!$B$19)</f>
        <v/>
      </c>
      <c r="W1561" t="str">
        <f>IF($AS1561="","",INDEX('TMP Paste'!$C$2:$C$1601,$AS1561))</f>
        <v/>
      </c>
      <c r="X1561" t="str">
        <f>IF($AS1561="","",Config!$B$29)</f>
        <v/>
      </c>
      <c r="Y1561" t="str">
        <f>IF($AT1561="","",INDEX(Calc!$I$2:$I$1601,$AT1561)&amp;" - "&amp;INDEX(Calc!$D$2:$D$1601,$AT1561)&amp;" koli")</f>
        <v/>
      </c>
      <c r="Z1561" t="str">
        <f>IF($AS1561="","",Config!$B$21)</f>
        <v/>
      </c>
      <c r="AA1561" t="str">
        <f>IF($AS1561="","",Config!$B$22)</f>
        <v/>
      </c>
      <c r="AB1561" t="str">
        <f>IF($AT1561="","",INDEX(Calc!$D$2:$D$1601,$AT1561))</f>
        <v/>
      </c>
      <c r="AC1561" t="str">
        <f>IF($AT1561="","",INDEX(Calc!$G$2:$G$1601,$AT1561))</f>
        <v/>
      </c>
      <c r="AD1561" t="str">
        <f>IF($AS1561="","",Config!$B$23)</f>
        <v/>
      </c>
      <c r="AE1561" t="str">
        <f>IF($AS1561="","",Config!$B$28)</f>
        <v/>
      </c>
      <c r="AF1561" t="str">
        <f t="shared" si="146"/>
        <v/>
      </c>
      <c r="AG1561" t="str">
        <f t="shared" si="147"/>
        <v/>
      </c>
      <c r="AH1561" t="str">
        <f t="shared" si="148"/>
        <v/>
      </c>
      <c r="AQ1561" t="str">
        <f>IF($AS1561="","",TRIM(IF(COUNTIFS(Calc!$B$2:$B$1601,ROW()-1,Calc!$C$2:$C$1601,"&lt;1")&gt;0,"Ada PO tanpa Koli - cek TMP. ","")&amp;IF(OR($AU1561="",$AU1561&lt;=0),"Volume kosong/0 - dimensi dikosongkan. ","")&amp;IF(AND($AU1561&lt;&gt;"",$AU1561&gt;=1000000),"Volume &gt;= 1.000.000 cm3 (di luar aturan) - dimensi dikosongkan. ","")&amp;IF(LEN($R1561)&gt;500,"R &gt; 500 karakter.","")))</f>
        <v/>
      </c>
      <c r="AS1561" t="str">
        <f>IFERROR(MATCH(ROW()-1,Calc!$J$2:$J$1601,0),"")</f>
        <v/>
      </c>
      <c r="AT1561" t="str">
        <f>IFERROR(MATCH(ROW()-1,Calc!$K$2:$K$1601,0),"")</f>
        <v/>
      </c>
      <c r="AU1561" t="str">
        <f>IF($AS1561="","",IFERROR(INDEX('TMP Paste'!$D$2:$D$1601,$AS1561)*1000000/$AB1561,""))</f>
        <v/>
      </c>
    </row>
    <row r="1562" spans="1:47">
      <c r="A1562" t="str">
        <f>IF($AS1562="","",INDEX('TMP Paste'!$B$2:$B$1601,$AS1562))</f>
        <v/>
      </c>
      <c r="B1562" t="str">
        <f>IF($AS1562="","",Config!$B$14)</f>
        <v/>
      </c>
      <c r="C1562" t="str">
        <f>IF($AS1562="","",Config!$B$15)</f>
        <v/>
      </c>
      <c r="D1562" t="str">
        <f>IF($AS1562="","",INDEX('TMP Paste'!$B$2:$B$1601,$AS1562))</f>
        <v/>
      </c>
      <c r="E1562" t="str">
        <f>IF($AS1562="","",Config!$B$27)</f>
        <v/>
      </c>
      <c r="F1562" t="str">
        <f>IF($AS1562="","",Config!$B$9)</f>
        <v/>
      </c>
      <c r="G1562" t="str">
        <f>IF($AS1562="","",Config!$B$10)</f>
        <v/>
      </c>
      <c r="H1562" t="str">
        <f>IF($AS1562="","",Config!$B$11)</f>
        <v/>
      </c>
      <c r="I1562" t="str">
        <f>IF($AS1562="","",Config!$B$16)</f>
        <v/>
      </c>
      <c r="J1562" t="str">
        <f>IF($AS1562="","",INDEX('TMP Paste'!$A$2:$A$1601,$AS1562))</f>
        <v/>
      </c>
      <c r="K1562" t="str">
        <f>IF($AS1562="","",INDEX('TMP Paste'!$L$2:$L$1601,$AS1562))</f>
        <v/>
      </c>
      <c r="L1562" t="str">
        <f>IF($AS1562="","",INDEX('TMP Paste'!$I$2:$I$1601,$AS1562))</f>
        <v/>
      </c>
      <c r="M1562" t="str">
        <f>IF($AS1562="","",Config!$B$16)</f>
        <v/>
      </c>
      <c r="N1562" t="str">
        <f t="shared" si="144"/>
        <v/>
      </c>
      <c r="O1562" t="str">
        <f>IF($AS1562="","",INDEX('TMP Paste'!$K$2:$K$1601,$AS1562))</f>
        <v/>
      </c>
      <c r="P1562" t="str">
        <f t="shared" si="145"/>
        <v/>
      </c>
      <c r="Q1562" t="str">
        <f>IF($AS1562="","",INDEX('TMP Paste'!$J$2:$J$1601,$AS1562))</f>
        <v/>
      </c>
      <c r="R1562" t="str">
        <f>IF($AS1562="","",Config!$B$24)</f>
        <v/>
      </c>
      <c r="S1562" t="str">
        <f ca="1">IF($AS1562="","",TEXT(Config!$B$4,"yyyy-mm-dd"))</f>
        <v/>
      </c>
      <c r="T1562" t="str">
        <f>IF($AS1562="","",Config!$B$17)</f>
        <v/>
      </c>
      <c r="U1562" t="str">
        <f>IF($AS1562="","",Config!$B$18)</f>
        <v/>
      </c>
      <c r="V1562" t="str">
        <f>IF($AS1562="","",Config!$B$19)</f>
        <v/>
      </c>
      <c r="W1562" t="str">
        <f>IF($AS1562="","",INDEX('TMP Paste'!$C$2:$C$1601,$AS1562))</f>
        <v/>
      </c>
      <c r="X1562" t="str">
        <f>IF($AS1562="","",Config!$B$29)</f>
        <v/>
      </c>
      <c r="Y1562" t="str">
        <f>IF($AT1562="","",INDEX(Calc!$I$2:$I$1601,$AT1562)&amp;" - "&amp;INDEX(Calc!$D$2:$D$1601,$AT1562)&amp;" koli")</f>
        <v/>
      </c>
      <c r="Z1562" t="str">
        <f>IF($AS1562="","",Config!$B$21)</f>
        <v/>
      </c>
      <c r="AA1562" t="str">
        <f>IF($AS1562="","",Config!$B$22)</f>
        <v/>
      </c>
      <c r="AB1562" t="str">
        <f>IF($AT1562="","",INDEX(Calc!$D$2:$D$1601,$AT1562))</f>
        <v/>
      </c>
      <c r="AC1562" t="str">
        <f>IF($AT1562="","",INDEX(Calc!$G$2:$G$1601,$AT1562))</f>
        <v/>
      </c>
      <c r="AD1562" t="str">
        <f>IF($AS1562="","",Config!$B$23)</f>
        <v/>
      </c>
      <c r="AE1562" t="str">
        <f>IF($AS1562="","",Config!$B$28)</f>
        <v/>
      </c>
      <c r="AF1562" t="str">
        <f t="shared" si="146"/>
        <v/>
      </c>
      <c r="AG1562" t="str">
        <f t="shared" si="147"/>
        <v/>
      </c>
      <c r="AH1562" t="str">
        <f t="shared" si="148"/>
        <v/>
      </c>
      <c r="AQ1562" t="str">
        <f>IF($AS1562="","",TRIM(IF(COUNTIFS(Calc!$B$2:$B$1601,ROW()-1,Calc!$C$2:$C$1601,"&lt;1")&gt;0,"Ada PO tanpa Koli - cek TMP. ","")&amp;IF(OR($AU1562="",$AU1562&lt;=0),"Volume kosong/0 - dimensi dikosongkan. ","")&amp;IF(AND($AU1562&lt;&gt;"",$AU1562&gt;=1000000),"Volume &gt;= 1.000.000 cm3 (di luar aturan) - dimensi dikosongkan. ","")&amp;IF(LEN($R1562)&gt;500,"R &gt; 500 karakter.","")))</f>
        <v/>
      </c>
      <c r="AS1562" t="str">
        <f>IFERROR(MATCH(ROW()-1,Calc!$J$2:$J$1601,0),"")</f>
        <v/>
      </c>
      <c r="AT1562" t="str">
        <f>IFERROR(MATCH(ROW()-1,Calc!$K$2:$K$1601,0),"")</f>
        <v/>
      </c>
      <c r="AU1562" t="str">
        <f>IF($AS1562="","",IFERROR(INDEX('TMP Paste'!$D$2:$D$1601,$AS1562)*1000000/$AB1562,""))</f>
        <v/>
      </c>
    </row>
    <row r="1563" spans="1:47">
      <c r="A1563" t="str">
        <f>IF($AS1563="","",INDEX('TMP Paste'!$B$2:$B$1601,$AS1563))</f>
        <v/>
      </c>
      <c r="B1563" t="str">
        <f>IF($AS1563="","",Config!$B$14)</f>
        <v/>
      </c>
      <c r="C1563" t="str">
        <f>IF($AS1563="","",Config!$B$15)</f>
        <v/>
      </c>
      <c r="D1563" t="str">
        <f>IF($AS1563="","",INDEX('TMP Paste'!$B$2:$B$1601,$AS1563))</f>
        <v/>
      </c>
      <c r="E1563" t="str">
        <f>IF($AS1563="","",Config!$B$27)</f>
        <v/>
      </c>
      <c r="F1563" t="str">
        <f>IF($AS1563="","",Config!$B$9)</f>
        <v/>
      </c>
      <c r="G1563" t="str">
        <f>IF($AS1563="","",Config!$B$10)</f>
        <v/>
      </c>
      <c r="H1563" t="str">
        <f>IF($AS1563="","",Config!$B$11)</f>
        <v/>
      </c>
      <c r="I1563" t="str">
        <f>IF($AS1563="","",Config!$B$16)</f>
        <v/>
      </c>
      <c r="J1563" t="str">
        <f>IF($AS1563="","",INDEX('TMP Paste'!$A$2:$A$1601,$AS1563))</f>
        <v/>
      </c>
      <c r="K1563" t="str">
        <f>IF($AS1563="","",INDEX('TMP Paste'!$L$2:$L$1601,$AS1563))</f>
        <v/>
      </c>
      <c r="L1563" t="str">
        <f>IF($AS1563="","",INDEX('TMP Paste'!$I$2:$I$1601,$AS1563))</f>
        <v/>
      </c>
      <c r="M1563" t="str">
        <f>IF($AS1563="","",Config!$B$16)</f>
        <v/>
      </c>
      <c r="N1563" t="str">
        <f t="shared" si="144"/>
        <v/>
      </c>
      <c r="O1563" t="str">
        <f>IF($AS1563="","",INDEX('TMP Paste'!$K$2:$K$1601,$AS1563))</f>
        <v/>
      </c>
      <c r="P1563" t="str">
        <f t="shared" si="145"/>
        <v/>
      </c>
      <c r="Q1563" t="str">
        <f>IF($AS1563="","",INDEX('TMP Paste'!$J$2:$J$1601,$AS1563))</f>
        <v/>
      </c>
      <c r="R1563" t="str">
        <f>IF($AS1563="","",Config!$B$24)</f>
        <v/>
      </c>
      <c r="S1563" t="str">
        <f ca="1">IF($AS1563="","",TEXT(Config!$B$4,"yyyy-mm-dd"))</f>
        <v/>
      </c>
      <c r="T1563" t="str">
        <f>IF($AS1563="","",Config!$B$17)</f>
        <v/>
      </c>
      <c r="U1563" t="str">
        <f>IF($AS1563="","",Config!$B$18)</f>
        <v/>
      </c>
      <c r="V1563" t="str">
        <f>IF($AS1563="","",Config!$B$19)</f>
        <v/>
      </c>
      <c r="W1563" t="str">
        <f>IF($AS1563="","",INDEX('TMP Paste'!$C$2:$C$1601,$AS1563))</f>
        <v/>
      </c>
      <c r="X1563" t="str">
        <f>IF($AS1563="","",Config!$B$29)</f>
        <v/>
      </c>
      <c r="Y1563" t="str">
        <f>IF($AT1563="","",INDEX(Calc!$I$2:$I$1601,$AT1563)&amp;" - "&amp;INDEX(Calc!$D$2:$D$1601,$AT1563)&amp;" koli")</f>
        <v/>
      </c>
      <c r="Z1563" t="str">
        <f>IF($AS1563="","",Config!$B$21)</f>
        <v/>
      </c>
      <c r="AA1563" t="str">
        <f>IF($AS1563="","",Config!$B$22)</f>
        <v/>
      </c>
      <c r="AB1563" t="str">
        <f>IF($AT1563="","",INDEX(Calc!$D$2:$D$1601,$AT1563))</f>
        <v/>
      </c>
      <c r="AC1563" t="str">
        <f>IF($AT1563="","",INDEX(Calc!$G$2:$G$1601,$AT1563))</f>
        <v/>
      </c>
      <c r="AD1563" t="str">
        <f>IF($AS1563="","",Config!$B$23)</f>
        <v/>
      </c>
      <c r="AE1563" t="str">
        <f>IF($AS1563="","",Config!$B$28)</f>
        <v/>
      </c>
      <c r="AF1563" t="str">
        <f t="shared" si="146"/>
        <v/>
      </c>
      <c r="AG1563" t="str">
        <f t="shared" si="147"/>
        <v/>
      </c>
      <c r="AH1563" t="str">
        <f t="shared" si="148"/>
        <v/>
      </c>
      <c r="AQ1563" t="str">
        <f>IF($AS1563="","",TRIM(IF(COUNTIFS(Calc!$B$2:$B$1601,ROW()-1,Calc!$C$2:$C$1601,"&lt;1")&gt;0,"Ada PO tanpa Koli - cek TMP. ","")&amp;IF(OR($AU1563="",$AU1563&lt;=0),"Volume kosong/0 - dimensi dikosongkan. ","")&amp;IF(AND($AU1563&lt;&gt;"",$AU1563&gt;=1000000),"Volume &gt;= 1.000.000 cm3 (di luar aturan) - dimensi dikosongkan. ","")&amp;IF(LEN($R1563)&gt;500,"R &gt; 500 karakter.","")))</f>
        <v/>
      </c>
      <c r="AS1563" t="str">
        <f>IFERROR(MATCH(ROW()-1,Calc!$J$2:$J$1601,0),"")</f>
        <v/>
      </c>
      <c r="AT1563" t="str">
        <f>IFERROR(MATCH(ROW()-1,Calc!$K$2:$K$1601,0),"")</f>
        <v/>
      </c>
      <c r="AU1563" t="str">
        <f>IF($AS1563="","",IFERROR(INDEX('TMP Paste'!$D$2:$D$1601,$AS1563)*1000000/$AB1563,""))</f>
        <v/>
      </c>
    </row>
    <row r="1564" spans="1:47">
      <c r="A1564" t="str">
        <f>IF($AS1564="","",INDEX('TMP Paste'!$B$2:$B$1601,$AS1564))</f>
        <v/>
      </c>
      <c r="B1564" t="str">
        <f>IF($AS1564="","",Config!$B$14)</f>
        <v/>
      </c>
      <c r="C1564" t="str">
        <f>IF($AS1564="","",Config!$B$15)</f>
        <v/>
      </c>
      <c r="D1564" t="str">
        <f>IF($AS1564="","",INDEX('TMP Paste'!$B$2:$B$1601,$AS1564))</f>
        <v/>
      </c>
      <c r="E1564" t="str">
        <f>IF($AS1564="","",Config!$B$27)</f>
        <v/>
      </c>
      <c r="F1564" t="str">
        <f>IF($AS1564="","",Config!$B$9)</f>
        <v/>
      </c>
      <c r="G1564" t="str">
        <f>IF($AS1564="","",Config!$B$10)</f>
        <v/>
      </c>
      <c r="H1564" t="str">
        <f>IF($AS1564="","",Config!$B$11)</f>
        <v/>
      </c>
      <c r="I1564" t="str">
        <f>IF($AS1564="","",Config!$B$16)</f>
        <v/>
      </c>
      <c r="J1564" t="str">
        <f>IF($AS1564="","",INDEX('TMP Paste'!$A$2:$A$1601,$AS1564))</f>
        <v/>
      </c>
      <c r="K1564" t="str">
        <f>IF($AS1564="","",INDEX('TMP Paste'!$L$2:$L$1601,$AS1564))</f>
        <v/>
      </c>
      <c r="L1564" t="str">
        <f>IF($AS1564="","",INDEX('TMP Paste'!$I$2:$I$1601,$AS1564))</f>
        <v/>
      </c>
      <c r="M1564" t="str">
        <f>IF($AS1564="","",Config!$B$16)</f>
        <v/>
      </c>
      <c r="N1564" t="str">
        <f t="shared" si="144"/>
        <v/>
      </c>
      <c r="O1564" t="str">
        <f>IF($AS1564="","",INDEX('TMP Paste'!$K$2:$K$1601,$AS1564))</f>
        <v/>
      </c>
      <c r="P1564" t="str">
        <f t="shared" si="145"/>
        <v/>
      </c>
      <c r="Q1564" t="str">
        <f>IF($AS1564="","",INDEX('TMP Paste'!$J$2:$J$1601,$AS1564))</f>
        <v/>
      </c>
      <c r="R1564" t="str">
        <f>IF($AS1564="","",Config!$B$24)</f>
        <v/>
      </c>
      <c r="S1564" t="str">
        <f ca="1">IF($AS1564="","",TEXT(Config!$B$4,"yyyy-mm-dd"))</f>
        <v/>
      </c>
      <c r="T1564" t="str">
        <f>IF($AS1564="","",Config!$B$17)</f>
        <v/>
      </c>
      <c r="U1564" t="str">
        <f>IF($AS1564="","",Config!$B$18)</f>
        <v/>
      </c>
      <c r="V1564" t="str">
        <f>IF($AS1564="","",Config!$B$19)</f>
        <v/>
      </c>
      <c r="W1564" t="str">
        <f>IF($AS1564="","",INDEX('TMP Paste'!$C$2:$C$1601,$AS1564))</f>
        <v/>
      </c>
      <c r="X1564" t="str">
        <f>IF($AS1564="","",Config!$B$29)</f>
        <v/>
      </c>
      <c r="Y1564" t="str">
        <f>IF($AT1564="","",INDEX(Calc!$I$2:$I$1601,$AT1564)&amp;" - "&amp;INDEX(Calc!$D$2:$D$1601,$AT1564)&amp;" koli")</f>
        <v/>
      </c>
      <c r="Z1564" t="str">
        <f>IF($AS1564="","",Config!$B$21)</f>
        <v/>
      </c>
      <c r="AA1564" t="str">
        <f>IF($AS1564="","",Config!$B$22)</f>
        <v/>
      </c>
      <c r="AB1564" t="str">
        <f>IF($AT1564="","",INDEX(Calc!$D$2:$D$1601,$AT1564))</f>
        <v/>
      </c>
      <c r="AC1564" t="str">
        <f>IF($AT1564="","",INDEX(Calc!$G$2:$G$1601,$AT1564))</f>
        <v/>
      </c>
      <c r="AD1564" t="str">
        <f>IF($AS1564="","",Config!$B$23)</f>
        <v/>
      </c>
      <c r="AE1564" t="str">
        <f>IF($AS1564="","",Config!$B$28)</f>
        <v/>
      </c>
      <c r="AF1564" t="str">
        <f t="shared" si="146"/>
        <v/>
      </c>
      <c r="AG1564" t="str">
        <f t="shared" si="147"/>
        <v/>
      </c>
      <c r="AH1564" t="str">
        <f t="shared" si="148"/>
        <v/>
      </c>
      <c r="AQ1564" t="str">
        <f>IF($AS1564="","",TRIM(IF(COUNTIFS(Calc!$B$2:$B$1601,ROW()-1,Calc!$C$2:$C$1601,"&lt;1")&gt;0,"Ada PO tanpa Koli - cek TMP. ","")&amp;IF(OR($AU1564="",$AU1564&lt;=0),"Volume kosong/0 - dimensi dikosongkan. ","")&amp;IF(AND($AU1564&lt;&gt;"",$AU1564&gt;=1000000),"Volume &gt;= 1.000.000 cm3 (di luar aturan) - dimensi dikosongkan. ","")&amp;IF(LEN($R1564)&gt;500,"R &gt; 500 karakter.","")))</f>
        <v/>
      </c>
      <c r="AS1564" t="str">
        <f>IFERROR(MATCH(ROW()-1,Calc!$J$2:$J$1601,0),"")</f>
        <v/>
      </c>
      <c r="AT1564" t="str">
        <f>IFERROR(MATCH(ROW()-1,Calc!$K$2:$K$1601,0),"")</f>
        <v/>
      </c>
      <c r="AU1564" t="str">
        <f>IF($AS1564="","",IFERROR(INDEX('TMP Paste'!$D$2:$D$1601,$AS1564)*1000000/$AB1564,""))</f>
        <v/>
      </c>
    </row>
    <row r="1565" spans="1:47">
      <c r="A1565" t="str">
        <f>IF($AS1565="","",INDEX('TMP Paste'!$B$2:$B$1601,$AS1565))</f>
        <v/>
      </c>
      <c r="B1565" t="str">
        <f>IF($AS1565="","",Config!$B$14)</f>
        <v/>
      </c>
      <c r="C1565" t="str">
        <f>IF($AS1565="","",Config!$B$15)</f>
        <v/>
      </c>
      <c r="D1565" t="str">
        <f>IF($AS1565="","",INDEX('TMP Paste'!$B$2:$B$1601,$AS1565))</f>
        <v/>
      </c>
      <c r="E1565" t="str">
        <f>IF($AS1565="","",Config!$B$27)</f>
        <v/>
      </c>
      <c r="F1565" t="str">
        <f>IF($AS1565="","",Config!$B$9)</f>
        <v/>
      </c>
      <c r="G1565" t="str">
        <f>IF($AS1565="","",Config!$B$10)</f>
        <v/>
      </c>
      <c r="H1565" t="str">
        <f>IF($AS1565="","",Config!$B$11)</f>
        <v/>
      </c>
      <c r="I1565" t="str">
        <f>IF($AS1565="","",Config!$B$16)</f>
        <v/>
      </c>
      <c r="J1565" t="str">
        <f>IF($AS1565="","",INDEX('TMP Paste'!$A$2:$A$1601,$AS1565))</f>
        <v/>
      </c>
      <c r="K1565" t="str">
        <f>IF($AS1565="","",INDEX('TMP Paste'!$L$2:$L$1601,$AS1565))</f>
        <v/>
      </c>
      <c r="L1565" t="str">
        <f>IF($AS1565="","",INDEX('TMP Paste'!$I$2:$I$1601,$AS1565))</f>
        <v/>
      </c>
      <c r="M1565" t="str">
        <f>IF($AS1565="","",Config!$B$16)</f>
        <v/>
      </c>
      <c r="N1565" t="str">
        <f t="shared" si="144"/>
        <v/>
      </c>
      <c r="O1565" t="str">
        <f>IF($AS1565="","",INDEX('TMP Paste'!$K$2:$K$1601,$AS1565))</f>
        <v/>
      </c>
      <c r="P1565" t="str">
        <f t="shared" si="145"/>
        <v/>
      </c>
      <c r="Q1565" t="str">
        <f>IF($AS1565="","",INDEX('TMP Paste'!$J$2:$J$1601,$AS1565))</f>
        <v/>
      </c>
      <c r="R1565" t="str">
        <f>IF($AS1565="","",Config!$B$24)</f>
        <v/>
      </c>
      <c r="S1565" t="str">
        <f ca="1">IF($AS1565="","",TEXT(Config!$B$4,"yyyy-mm-dd"))</f>
        <v/>
      </c>
      <c r="T1565" t="str">
        <f>IF($AS1565="","",Config!$B$17)</f>
        <v/>
      </c>
      <c r="U1565" t="str">
        <f>IF($AS1565="","",Config!$B$18)</f>
        <v/>
      </c>
      <c r="V1565" t="str">
        <f>IF($AS1565="","",Config!$B$19)</f>
        <v/>
      </c>
      <c r="W1565" t="str">
        <f>IF($AS1565="","",INDEX('TMP Paste'!$C$2:$C$1601,$AS1565))</f>
        <v/>
      </c>
      <c r="X1565" t="str">
        <f>IF($AS1565="","",Config!$B$29)</f>
        <v/>
      </c>
      <c r="Y1565" t="str">
        <f>IF($AT1565="","",INDEX(Calc!$I$2:$I$1601,$AT1565)&amp;" - "&amp;INDEX(Calc!$D$2:$D$1601,$AT1565)&amp;" koli")</f>
        <v/>
      </c>
      <c r="Z1565" t="str">
        <f>IF($AS1565="","",Config!$B$21)</f>
        <v/>
      </c>
      <c r="AA1565" t="str">
        <f>IF($AS1565="","",Config!$B$22)</f>
        <v/>
      </c>
      <c r="AB1565" t="str">
        <f>IF($AT1565="","",INDEX(Calc!$D$2:$D$1601,$AT1565))</f>
        <v/>
      </c>
      <c r="AC1565" t="str">
        <f>IF($AT1565="","",INDEX(Calc!$G$2:$G$1601,$AT1565))</f>
        <v/>
      </c>
      <c r="AD1565" t="str">
        <f>IF($AS1565="","",Config!$B$23)</f>
        <v/>
      </c>
      <c r="AE1565" t="str">
        <f>IF($AS1565="","",Config!$B$28)</f>
        <v/>
      </c>
      <c r="AF1565" t="str">
        <f t="shared" si="146"/>
        <v/>
      </c>
      <c r="AG1565" t="str">
        <f t="shared" si="147"/>
        <v/>
      </c>
      <c r="AH1565" t="str">
        <f t="shared" si="148"/>
        <v/>
      </c>
      <c r="AQ1565" t="str">
        <f>IF($AS1565="","",TRIM(IF(COUNTIFS(Calc!$B$2:$B$1601,ROW()-1,Calc!$C$2:$C$1601,"&lt;1")&gt;0,"Ada PO tanpa Koli - cek TMP. ","")&amp;IF(OR($AU1565="",$AU1565&lt;=0),"Volume kosong/0 - dimensi dikosongkan. ","")&amp;IF(AND($AU1565&lt;&gt;"",$AU1565&gt;=1000000),"Volume &gt;= 1.000.000 cm3 (di luar aturan) - dimensi dikosongkan. ","")&amp;IF(LEN($R1565)&gt;500,"R &gt; 500 karakter.","")))</f>
        <v/>
      </c>
      <c r="AS1565" t="str">
        <f>IFERROR(MATCH(ROW()-1,Calc!$J$2:$J$1601,0),"")</f>
        <v/>
      </c>
      <c r="AT1565" t="str">
        <f>IFERROR(MATCH(ROW()-1,Calc!$K$2:$K$1601,0),"")</f>
        <v/>
      </c>
      <c r="AU1565" t="str">
        <f>IF($AS1565="","",IFERROR(INDEX('TMP Paste'!$D$2:$D$1601,$AS1565)*1000000/$AB1565,""))</f>
        <v/>
      </c>
    </row>
    <row r="1566" spans="1:47">
      <c r="A1566" t="str">
        <f>IF($AS1566="","",INDEX('TMP Paste'!$B$2:$B$1601,$AS1566))</f>
        <v/>
      </c>
      <c r="B1566" t="str">
        <f>IF($AS1566="","",Config!$B$14)</f>
        <v/>
      </c>
      <c r="C1566" t="str">
        <f>IF($AS1566="","",Config!$B$15)</f>
        <v/>
      </c>
      <c r="D1566" t="str">
        <f>IF($AS1566="","",INDEX('TMP Paste'!$B$2:$B$1601,$AS1566))</f>
        <v/>
      </c>
      <c r="E1566" t="str">
        <f>IF($AS1566="","",Config!$B$27)</f>
        <v/>
      </c>
      <c r="F1566" t="str">
        <f>IF($AS1566="","",Config!$B$9)</f>
        <v/>
      </c>
      <c r="G1566" t="str">
        <f>IF($AS1566="","",Config!$B$10)</f>
        <v/>
      </c>
      <c r="H1566" t="str">
        <f>IF($AS1566="","",Config!$B$11)</f>
        <v/>
      </c>
      <c r="I1566" t="str">
        <f>IF($AS1566="","",Config!$B$16)</f>
        <v/>
      </c>
      <c r="J1566" t="str">
        <f>IF($AS1566="","",INDEX('TMP Paste'!$A$2:$A$1601,$AS1566))</f>
        <v/>
      </c>
      <c r="K1566" t="str">
        <f>IF($AS1566="","",INDEX('TMP Paste'!$L$2:$L$1601,$AS1566))</f>
        <v/>
      </c>
      <c r="L1566" t="str">
        <f>IF($AS1566="","",INDEX('TMP Paste'!$I$2:$I$1601,$AS1566))</f>
        <v/>
      </c>
      <c r="M1566" t="str">
        <f>IF($AS1566="","",Config!$B$16)</f>
        <v/>
      </c>
      <c r="N1566" t="str">
        <f t="shared" si="144"/>
        <v/>
      </c>
      <c r="O1566" t="str">
        <f>IF($AS1566="","",INDEX('TMP Paste'!$K$2:$K$1601,$AS1566))</f>
        <v/>
      </c>
      <c r="P1566" t="str">
        <f t="shared" si="145"/>
        <v/>
      </c>
      <c r="Q1566" t="str">
        <f>IF($AS1566="","",INDEX('TMP Paste'!$J$2:$J$1601,$AS1566))</f>
        <v/>
      </c>
      <c r="R1566" t="str">
        <f>IF($AS1566="","",Config!$B$24)</f>
        <v/>
      </c>
      <c r="S1566" t="str">
        <f ca="1">IF($AS1566="","",TEXT(Config!$B$4,"yyyy-mm-dd"))</f>
        <v/>
      </c>
      <c r="T1566" t="str">
        <f>IF($AS1566="","",Config!$B$17)</f>
        <v/>
      </c>
      <c r="U1566" t="str">
        <f>IF($AS1566="","",Config!$B$18)</f>
        <v/>
      </c>
      <c r="V1566" t="str">
        <f>IF($AS1566="","",Config!$B$19)</f>
        <v/>
      </c>
      <c r="W1566" t="str">
        <f>IF($AS1566="","",INDEX('TMP Paste'!$C$2:$C$1601,$AS1566))</f>
        <v/>
      </c>
      <c r="X1566" t="str">
        <f>IF($AS1566="","",Config!$B$29)</f>
        <v/>
      </c>
      <c r="Y1566" t="str">
        <f>IF($AT1566="","",INDEX(Calc!$I$2:$I$1601,$AT1566)&amp;" - "&amp;INDEX(Calc!$D$2:$D$1601,$AT1566)&amp;" koli")</f>
        <v/>
      </c>
      <c r="Z1566" t="str">
        <f>IF($AS1566="","",Config!$B$21)</f>
        <v/>
      </c>
      <c r="AA1566" t="str">
        <f>IF($AS1566="","",Config!$B$22)</f>
        <v/>
      </c>
      <c r="AB1566" t="str">
        <f>IF($AT1566="","",INDEX(Calc!$D$2:$D$1601,$AT1566))</f>
        <v/>
      </c>
      <c r="AC1566" t="str">
        <f>IF($AT1566="","",INDEX(Calc!$G$2:$G$1601,$AT1566))</f>
        <v/>
      </c>
      <c r="AD1566" t="str">
        <f>IF($AS1566="","",Config!$B$23)</f>
        <v/>
      </c>
      <c r="AE1566" t="str">
        <f>IF($AS1566="","",Config!$B$28)</f>
        <v/>
      </c>
      <c r="AF1566" t="str">
        <f t="shared" si="146"/>
        <v/>
      </c>
      <c r="AG1566" t="str">
        <f t="shared" si="147"/>
        <v/>
      </c>
      <c r="AH1566" t="str">
        <f t="shared" si="148"/>
        <v/>
      </c>
      <c r="AQ1566" t="str">
        <f>IF($AS1566="","",TRIM(IF(COUNTIFS(Calc!$B$2:$B$1601,ROW()-1,Calc!$C$2:$C$1601,"&lt;1")&gt;0,"Ada PO tanpa Koli - cek TMP. ","")&amp;IF(OR($AU1566="",$AU1566&lt;=0),"Volume kosong/0 - dimensi dikosongkan. ","")&amp;IF(AND($AU1566&lt;&gt;"",$AU1566&gt;=1000000),"Volume &gt;= 1.000.000 cm3 (di luar aturan) - dimensi dikosongkan. ","")&amp;IF(LEN($R1566)&gt;500,"R &gt; 500 karakter.","")))</f>
        <v/>
      </c>
      <c r="AS1566" t="str">
        <f>IFERROR(MATCH(ROW()-1,Calc!$J$2:$J$1601,0),"")</f>
        <v/>
      </c>
      <c r="AT1566" t="str">
        <f>IFERROR(MATCH(ROW()-1,Calc!$K$2:$K$1601,0),"")</f>
        <v/>
      </c>
      <c r="AU1566" t="str">
        <f>IF($AS1566="","",IFERROR(INDEX('TMP Paste'!$D$2:$D$1601,$AS1566)*1000000/$AB1566,""))</f>
        <v/>
      </c>
    </row>
    <row r="1567" spans="1:47">
      <c r="A1567" t="str">
        <f>IF($AS1567="","",INDEX('TMP Paste'!$B$2:$B$1601,$AS1567))</f>
        <v/>
      </c>
      <c r="B1567" t="str">
        <f>IF($AS1567="","",Config!$B$14)</f>
        <v/>
      </c>
      <c r="C1567" t="str">
        <f>IF($AS1567="","",Config!$B$15)</f>
        <v/>
      </c>
      <c r="D1567" t="str">
        <f>IF($AS1567="","",INDEX('TMP Paste'!$B$2:$B$1601,$AS1567))</f>
        <v/>
      </c>
      <c r="E1567" t="str">
        <f>IF($AS1567="","",Config!$B$27)</f>
        <v/>
      </c>
      <c r="F1567" t="str">
        <f>IF($AS1567="","",Config!$B$9)</f>
        <v/>
      </c>
      <c r="G1567" t="str">
        <f>IF($AS1567="","",Config!$B$10)</f>
        <v/>
      </c>
      <c r="H1567" t="str">
        <f>IF($AS1567="","",Config!$B$11)</f>
        <v/>
      </c>
      <c r="I1567" t="str">
        <f>IF($AS1567="","",Config!$B$16)</f>
        <v/>
      </c>
      <c r="J1567" t="str">
        <f>IF($AS1567="","",INDEX('TMP Paste'!$A$2:$A$1601,$AS1567))</f>
        <v/>
      </c>
      <c r="K1567" t="str">
        <f>IF($AS1567="","",INDEX('TMP Paste'!$L$2:$L$1601,$AS1567))</f>
        <v/>
      </c>
      <c r="L1567" t="str">
        <f>IF($AS1567="","",INDEX('TMP Paste'!$I$2:$I$1601,$AS1567))</f>
        <v/>
      </c>
      <c r="M1567" t="str">
        <f>IF($AS1567="","",Config!$B$16)</f>
        <v/>
      </c>
      <c r="N1567" t="str">
        <f t="shared" si="144"/>
        <v/>
      </c>
      <c r="O1567" t="str">
        <f>IF($AS1567="","",INDEX('TMP Paste'!$K$2:$K$1601,$AS1567))</f>
        <v/>
      </c>
      <c r="P1567" t="str">
        <f t="shared" si="145"/>
        <v/>
      </c>
      <c r="Q1567" t="str">
        <f>IF($AS1567="","",INDEX('TMP Paste'!$J$2:$J$1601,$AS1567))</f>
        <v/>
      </c>
      <c r="R1567" t="str">
        <f>IF($AS1567="","",Config!$B$24)</f>
        <v/>
      </c>
      <c r="S1567" t="str">
        <f ca="1">IF($AS1567="","",TEXT(Config!$B$4,"yyyy-mm-dd"))</f>
        <v/>
      </c>
      <c r="T1567" t="str">
        <f>IF($AS1567="","",Config!$B$17)</f>
        <v/>
      </c>
      <c r="U1567" t="str">
        <f>IF($AS1567="","",Config!$B$18)</f>
        <v/>
      </c>
      <c r="V1567" t="str">
        <f>IF($AS1567="","",Config!$B$19)</f>
        <v/>
      </c>
      <c r="W1567" t="str">
        <f>IF($AS1567="","",INDEX('TMP Paste'!$C$2:$C$1601,$AS1567))</f>
        <v/>
      </c>
      <c r="X1567" t="str">
        <f>IF($AS1567="","",Config!$B$29)</f>
        <v/>
      </c>
      <c r="Y1567" t="str">
        <f>IF($AT1567="","",INDEX(Calc!$I$2:$I$1601,$AT1567)&amp;" - "&amp;INDEX(Calc!$D$2:$D$1601,$AT1567)&amp;" koli")</f>
        <v/>
      </c>
      <c r="Z1567" t="str">
        <f>IF($AS1567="","",Config!$B$21)</f>
        <v/>
      </c>
      <c r="AA1567" t="str">
        <f>IF($AS1567="","",Config!$B$22)</f>
        <v/>
      </c>
      <c r="AB1567" t="str">
        <f>IF($AT1567="","",INDEX(Calc!$D$2:$D$1601,$AT1567))</f>
        <v/>
      </c>
      <c r="AC1567" t="str">
        <f>IF($AT1567="","",INDEX(Calc!$G$2:$G$1601,$AT1567))</f>
        <v/>
      </c>
      <c r="AD1567" t="str">
        <f>IF($AS1567="","",Config!$B$23)</f>
        <v/>
      </c>
      <c r="AE1567" t="str">
        <f>IF($AS1567="","",Config!$B$28)</f>
        <v/>
      </c>
      <c r="AF1567" t="str">
        <f t="shared" si="146"/>
        <v/>
      </c>
      <c r="AG1567" t="str">
        <f t="shared" si="147"/>
        <v/>
      </c>
      <c r="AH1567" t="str">
        <f t="shared" si="148"/>
        <v/>
      </c>
      <c r="AQ1567" t="str">
        <f>IF($AS1567="","",TRIM(IF(COUNTIFS(Calc!$B$2:$B$1601,ROW()-1,Calc!$C$2:$C$1601,"&lt;1")&gt;0,"Ada PO tanpa Koli - cek TMP. ","")&amp;IF(OR($AU1567="",$AU1567&lt;=0),"Volume kosong/0 - dimensi dikosongkan. ","")&amp;IF(AND($AU1567&lt;&gt;"",$AU1567&gt;=1000000),"Volume &gt;= 1.000.000 cm3 (di luar aturan) - dimensi dikosongkan. ","")&amp;IF(LEN($R1567)&gt;500,"R &gt; 500 karakter.","")))</f>
        <v/>
      </c>
      <c r="AS1567" t="str">
        <f>IFERROR(MATCH(ROW()-1,Calc!$J$2:$J$1601,0),"")</f>
        <v/>
      </c>
      <c r="AT1567" t="str">
        <f>IFERROR(MATCH(ROW()-1,Calc!$K$2:$K$1601,0),"")</f>
        <v/>
      </c>
      <c r="AU1567" t="str">
        <f>IF($AS1567="","",IFERROR(INDEX('TMP Paste'!$D$2:$D$1601,$AS1567)*1000000/$AB1567,""))</f>
        <v/>
      </c>
    </row>
    <row r="1568" spans="1:47">
      <c r="A1568" t="str">
        <f>IF($AS1568="","",INDEX('TMP Paste'!$B$2:$B$1601,$AS1568))</f>
        <v/>
      </c>
      <c r="B1568" t="str">
        <f>IF($AS1568="","",Config!$B$14)</f>
        <v/>
      </c>
      <c r="C1568" t="str">
        <f>IF($AS1568="","",Config!$B$15)</f>
        <v/>
      </c>
      <c r="D1568" t="str">
        <f>IF($AS1568="","",INDEX('TMP Paste'!$B$2:$B$1601,$AS1568))</f>
        <v/>
      </c>
      <c r="E1568" t="str">
        <f>IF($AS1568="","",Config!$B$27)</f>
        <v/>
      </c>
      <c r="F1568" t="str">
        <f>IF($AS1568="","",Config!$B$9)</f>
        <v/>
      </c>
      <c r="G1568" t="str">
        <f>IF($AS1568="","",Config!$B$10)</f>
        <v/>
      </c>
      <c r="H1568" t="str">
        <f>IF($AS1568="","",Config!$B$11)</f>
        <v/>
      </c>
      <c r="I1568" t="str">
        <f>IF($AS1568="","",Config!$B$16)</f>
        <v/>
      </c>
      <c r="J1568" t="str">
        <f>IF($AS1568="","",INDEX('TMP Paste'!$A$2:$A$1601,$AS1568))</f>
        <v/>
      </c>
      <c r="K1568" t="str">
        <f>IF($AS1568="","",INDEX('TMP Paste'!$L$2:$L$1601,$AS1568))</f>
        <v/>
      </c>
      <c r="L1568" t="str">
        <f>IF($AS1568="","",INDEX('TMP Paste'!$I$2:$I$1601,$AS1568))</f>
        <v/>
      </c>
      <c r="M1568" t="str">
        <f>IF($AS1568="","",Config!$B$16)</f>
        <v/>
      </c>
      <c r="N1568" t="str">
        <f t="shared" si="144"/>
        <v/>
      </c>
      <c r="O1568" t="str">
        <f>IF($AS1568="","",INDEX('TMP Paste'!$K$2:$K$1601,$AS1568))</f>
        <v/>
      </c>
      <c r="P1568" t="str">
        <f t="shared" si="145"/>
        <v/>
      </c>
      <c r="Q1568" t="str">
        <f>IF($AS1568="","",INDEX('TMP Paste'!$J$2:$J$1601,$AS1568))</f>
        <v/>
      </c>
      <c r="R1568" t="str">
        <f>IF($AS1568="","",Config!$B$24)</f>
        <v/>
      </c>
      <c r="S1568" t="str">
        <f ca="1">IF($AS1568="","",TEXT(Config!$B$4,"yyyy-mm-dd"))</f>
        <v/>
      </c>
      <c r="T1568" t="str">
        <f>IF($AS1568="","",Config!$B$17)</f>
        <v/>
      </c>
      <c r="U1568" t="str">
        <f>IF($AS1568="","",Config!$B$18)</f>
        <v/>
      </c>
      <c r="V1568" t="str">
        <f>IF($AS1568="","",Config!$B$19)</f>
        <v/>
      </c>
      <c r="W1568" t="str">
        <f>IF($AS1568="","",INDEX('TMP Paste'!$C$2:$C$1601,$AS1568))</f>
        <v/>
      </c>
      <c r="X1568" t="str">
        <f>IF($AS1568="","",Config!$B$29)</f>
        <v/>
      </c>
      <c r="Y1568" t="str">
        <f>IF($AT1568="","",INDEX(Calc!$I$2:$I$1601,$AT1568)&amp;" - "&amp;INDEX(Calc!$D$2:$D$1601,$AT1568)&amp;" koli")</f>
        <v/>
      </c>
      <c r="Z1568" t="str">
        <f>IF($AS1568="","",Config!$B$21)</f>
        <v/>
      </c>
      <c r="AA1568" t="str">
        <f>IF($AS1568="","",Config!$B$22)</f>
        <v/>
      </c>
      <c r="AB1568" t="str">
        <f>IF($AT1568="","",INDEX(Calc!$D$2:$D$1601,$AT1568))</f>
        <v/>
      </c>
      <c r="AC1568" t="str">
        <f>IF($AT1568="","",INDEX(Calc!$G$2:$G$1601,$AT1568))</f>
        <v/>
      </c>
      <c r="AD1568" t="str">
        <f>IF($AS1568="","",Config!$B$23)</f>
        <v/>
      </c>
      <c r="AE1568" t="str">
        <f>IF($AS1568="","",Config!$B$28)</f>
        <v/>
      </c>
      <c r="AF1568" t="str">
        <f t="shared" si="146"/>
        <v/>
      </c>
      <c r="AG1568" t="str">
        <f t="shared" si="147"/>
        <v/>
      </c>
      <c r="AH1568" t="str">
        <f t="shared" si="148"/>
        <v/>
      </c>
      <c r="AQ1568" t="str">
        <f>IF($AS1568="","",TRIM(IF(COUNTIFS(Calc!$B$2:$B$1601,ROW()-1,Calc!$C$2:$C$1601,"&lt;1")&gt;0,"Ada PO tanpa Koli - cek TMP. ","")&amp;IF(OR($AU1568="",$AU1568&lt;=0),"Volume kosong/0 - dimensi dikosongkan. ","")&amp;IF(AND($AU1568&lt;&gt;"",$AU1568&gt;=1000000),"Volume &gt;= 1.000.000 cm3 (di luar aturan) - dimensi dikosongkan. ","")&amp;IF(LEN($R1568)&gt;500,"R &gt; 500 karakter.","")))</f>
        <v/>
      </c>
      <c r="AS1568" t="str">
        <f>IFERROR(MATCH(ROW()-1,Calc!$J$2:$J$1601,0),"")</f>
        <v/>
      </c>
      <c r="AT1568" t="str">
        <f>IFERROR(MATCH(ROW()-1,Calc!$K$2:$K$1601,0),"")</f>
        <v/>
      </c>
      <c r="AU1568" t="str">
        <f>IF($AS1568="","",IFERROR(INDEX('TMP Paste'!$D$2:$D$1601,$AS1568)*1000000/$AB1568,""))</f>
        <v/>
      </c>
    </row>
    <row r="1569" spans="1:47">
      <c r="A1569" t="str">
        <f>IF($AS1569="","",INDEX('TMP Paste'!$B$2:$B$1601,$AS1569))</f>
        <v/>
      </c>
      <c r="B1569" t="str">
        <f>IF($AS1569="","",Config!$B$14)</f>
        <v/>
      </c>
      <c r="C1569" t="str">
        <f>IF($AS1569="","",Config!$B$15)</f>
        <v/>
      </c>
      <c r="D1569" t="str">
        <f>IF($AS1569="","",INDEX('TMP Paste'!$B$2:$B$1601,$AS1569))</f>
        <v/>
      </c>
      <c r="E1569" t="str">
        <f>IF($AS1569="","",Config!$B$27)</f>
        <v/>
      </c>
      <c r="F1569" t="str">
        <f>IF($AS1569="","",Config!$B$9)</f>
        <v/>
      </c>
      <c r="G1569" t="str">
        <f>IF($AS1569="","",Config!$B$10)</f>
        <v/>
      </c>
      <c r="H1569" t="str">
        <f>IF($AS1569="","",Config!$B$11)</f>
        <v/>
      </c>
      <c r="I1569" t="str">
        <f>IF($AS1569="","",Config!$B$16)</f>
        <v/>
      </c>
      <c r="J1569" t="str">
        <f>IF($AS1569="","",INDEX('TMP Paste'!$A$2:$A$1601,$AS1569))</f>
        <v/>
      </c>
      <c r="K1569" t="str">
        <f>IF($AS1569="","",INDEX('TMP Paste'!$L$2:$L$1601,$AS1569))</f>
        <v/>
      </c>
      <c r="L1569" t="str">
        <f>IF($AS1569="","",INDEX('TMP Paste'!$I$2:$I$1601,$AS1569))</f>
        <v/>
      </c>
      <c r="M1569" t="str">
        <f>IF($AS1569="","",Config!$B$16)</f>
        <v/>
      </c>
      <c r="N1569" t="str">
        <f t="shared" si="144"/>
        <v/>
      </c>
      <c r="O1569" t="str">
        <f>IF($AS1569="","",INDEX('TMP Paste'!$K$2:$K$1601,$AS1569))</f>
        <v/>
      </c>
      <c r="P1569" t="str">
        <f t="shared" si="145"/>
        <v/>
      </c>
      <c r="Q1569" t="str">
        <f>IF($AS1569="","",INDEX('TMP Paste'!$J$2:$J$1601,$AS1569))</f>
        <v/>
      </c>
      <c r="R1569" t="str">
        <f>IF($AS1569="","",Config!$B$24)</f>
        <v/>
      </c>
      <c r="S1569" t="str">
        <f ca="1">IF($AS1569="","",TEXT(Config!$B$4,"yyyy-mm-dd"))</f>
        <v/>
      </c>
      <c r="T1569" t="str">
        <f>IF($AS1569="","",Config!$B$17)</f>
        <v/>
      </c>
      <c r="U1569" t="str">
        <f>IF($AS1569="","",Config!$B$18)</f>
        <v/>
      </c>
      <c r="V1569" t="str">
        <f>IF($AS1569="","",Config!$B$19)</f>
        <v/>
      </c>
      <c r="W1569" t="str">
        <f>IF($AS1569="","",INDEX('TMP Paste'!$C$2:$C$1601,$AS1569))</f>
        <v/>
      </c>
      <c r="X1569" t="str">
        <f>IF($AS1569="","",Config!$B$29)</f>
        <v/>
      </c>
      <c r="Y1569" t="str">
        <f>IF($AT1569="","",INDEX(Calc!$I$2:$I$1601,$AT1569)&amp;" - "&amp;INDEX(Calc!$D$2:$D$1601,$AT1569)&amp;" koli")</f>
        <v/>
      </c>
      <c r="Z1569" t="str">
        <f>IF($AS1569="","",Config!$B$21)</f>
        <v/>
      </c>
      <c r="AA1569" t="str">
        <f>IF($AS1569="","",Config!$B$22)</f>
        <v/>
      </c>
      <c r="AB1569" t="str">
        <f>IF($AT1569="","",INDEX(Calc!$D$2:$D$1601,$AT1569))</f>
        <v/>
      </c>
      <c r="AC1569" t="str">
        <f>IF($AT1569="","",INDEX(Calc!$G$2:$G$1601,$AT1569))</f>
        <v/>
      </c>
      <c r="AD1569" t="str">
        <f>IF($AS1569="","",Config!$B$23)</f>
        <v/>
      </c>
      <c r="AE1569" t="str">
        <f>IF($AS1569="","",Config!$B$28)</f>
        <v/>
      </c>
      <c r="AF1569" t="str">
        <f t="shared" si="146"/>
        <v/>
      </c>
      <c r="AG1569" t="str">
        <f t="shared" si="147"/>
        <v/>
      </c>
      <c r="AH1569" t="str">
        <f t="shared" si="148"/>
        <v/>
      </c>
      <c r="AQ1569" t="str">
        <f>IF($AS1569="","",TRIM(IF(COUNTIFS(Calc!$B$2:$B$1601,ROW()-1,Calc!$C$2:$C$1601,"&lt;1")&gt;0,"Ada PO tanpa Koli - cek TMP. ","")&amp;IF(OR($AU1569="",$AU1569&lt;=0),"Volume kosong/0 - dimensi dikosongkan. ","")&amp;IF(AND($AU1569&lt;&gt;"",$AU1569&gt;=1000000),"Volume &gt;= 1.000.000 cm3 (di luar aturan) - dimensi dikosongkan. ","")&amp;IF(LEN($R1569)&gt;500,"R &gt; 500 karakter.","")))</f>
        <v/>
      </c>
      <c r="AS1569" t="str">
        <f>IFERROR(MATCH(ROW()-1,Calc!$J$2:$J$1601,0),"")</f>
        <v/>
      </c>
      <c r="AT1569" t="str">
        <f>IFERROR(MATCH(ROW()-1,Calc!$K$2:$K$1601,0),"")</f>
        <v/>
      </c>
      <c r="AU1569" t="str">
        <f>IF($AS1569="","",IFERROR(INDEX('TMP Paste'!$D$2:$D$1601,$AS1569)*1000000/$AB1569,""))</f>
        <v/>
      </c>
    </row>
    <row r="1570" spans="1:47">
      <c r="A1570" t="str">
        <f>IF($AS1570="","",INDEX('TMP Paste'!$B$2:$B$1601,$AS1570))</f>
        <v/>
      </c>
      <c r="B1570" t="str">
        <f>IF($AS1570="","",Config!$B$14)</f>
        <v/>
      </c>
      <c r="C1570" t="str">
        <f>IF($AS1570="","",Config!$B$15)</f>
        <v/>
      </c>
      <c r="D1570" t="str">
        <f>IF($AS1570="","",INDEX('TMP Paste'!$B$2:$B$1601,$AS1570))</f>
        <v/>
      </c>
      <c r="E1570" t="str">
        <f>IF($AS1570="","",Config!$B$27)</f>
        <v/>
      </c>
      <c r="F1570" t="str">
        <f>IF($AS1570="","",Config!$B$9)</f>
        <v/>
      </c>
      <c r="G1570" t="str">
        <f>IF($AS1570="","",Config!$B$10)</f>
        <v/>
      </c>
      <c r="H1570" t="str">
        <f>IF($AS1570="","",Config!$B$11)</f>
        <v/>
      </c>
      <c r="I1570" t="str">
        <f>IF($AS1570="","",Config!$B$16)</f>
        <v/>
      </c>
      <c r="J1570" t="str">
        <f>IF($AS1570="","",INDEX('TMP Paste'!$A$2:$A$1601,$AS1570))</f>
        <v/>
      </c>
      <c r="K1570" t="str">
        <f>IF($AS1570="","",INDEX('TMP Paste'!$L$2:$L$1601,$AS1570))</f>
        <v/>
      </c>
      <c r="L1570" t="str">
        <f>IF($AS1570="","",INDEX('TMP Paste'!$I$2:$I$1601,$AS1570))</f>
        <v/>
      </c>
      <c r="M1570" t="str">
        <f>IF($AS1570="","",Config!$B$16)</f>
        <v/>
      </c>
      <c r="N1570" t="str">
        <f t="shared" si="144"/>
        <v/>
      </c>
      <c r="O1570" t="str">
        <f>IF($AS1570="","",INDEX('TMP Paste'!$K$2:$K$1601,$AS1570))</f>
        <v/>
      </c>
      <c r="P1570" t="str">
        <f t="shared" si="145"/>
        <v/>
      </c>
      <c r="Q1570" t="str">
        <f>IF($AS1570="","",INDEX('TMP Paste'!$J$2:$J$1601,$AS1570))</f>
        <v/>
      </c>
      <c r="R1570" t="str">
        <f>IF($AS1570="","",Config!$B$24)</f>
        <v/>
      </c>
      <c r="S1570" t="str">
        <f ca="1">IF($AS1570="","",TEXT(Config!$B$4,"yyyy-mm-dd"))</f>
        <v/>
      </c>
      <c r="T1570" t="str">
        <f>IF($AS1570="","",Config!$B$17)</f>
        <v/>
      </c>
      <c r="U1570" t="str">
        <f>IF($AS1570="","",Config!$B$18)</f>
        <v/>
      </c>
      <c r="V1570" t="str">
        <f>IF($AS1570="","",Config!$B$19)</f>
        <v/>
      </c>
      <c r="W1570" t="str">
        <f>IF($AS1570="","",INDEX('TMP Paste'!$C$2:$C$1601,$AS1570))</f>
        <v/>
      </c>
      <c r="X1570" t="str">
        <f>IF($AS1570="","",Config!$B$29)</f>
        <v/>
      </c>
      <c r="Y1570" t="str">
        <f>IF($AT1570="","",INDEX(Calc!$I$2:$I$1601,$AT1570)&amp;" - "&amp;INDEX(Calc!$D$2:$D$1601,$AT1570)&amp;" koli")</f>
        <v/>
      </c>
      <c r="Z1570" t="str">
        <f>IF($AS1570="","",Config!$B$21)</f>
        <v/>
      </c>
      <c r="AA1570" t="str">
        <f>IF($AS1570="","",Config!$B$22)</f>
        <v/>
      </c>
      <c r="AB1570" t="str">
        <f>IF($AT1570="","",INDEX(Calc!$D$2:$D$1601,$AT1570))</f>
        <v/>
      </c>
      <c r="AC1570" t="str">
        <f>IF($AT1570="","",INDEX(Calc!$G$2:$G$1601,$AT1570))</f>
        <v/>
      </c>
      <c r="AD1570" t="str">
        <f>IF($AS1570="","",Config!$B$23)</f>
        <v/>
      </c>
      <c r="AE1570" t="str">
        <f>IF($AS1570="","",Config!$B$28)</f>
        <v/>
      </c>
      <c r="AF1570" t="str">
        <f t="shared" si="146"/>
        <v/>
      </c>
      <c r="AG1570" t="str">
        <f t="shared" si="147"/>
        <v/>
      </c>
      <c r="AH1570" t="str">
        <f t="shared" si="148"/>
        <v/>
      </c>
      <c r="AQ1570" t="str">
        <f>IF($AS1570="","",TRIM(IF(COUNTIFS(Calc!$B$2:$B$1601,ROW()-1,Calc!$C$2:$C$1601,"&lt;1")&gt;0,"Ada PO tanpa Koli - cek TMP. ","")&amp;IF(OR($AU1570="",$AU1570&lt;=0),"Volume kosong/0 - dimensi dikosongkan. ","")&amp;IF(AND($AU1570&lt;&gt;"",$AU1570&gt;=1000000),"Volume &gt;= 1.000.000 cm3 (di luar aturan) - dimensi dikosongkan. ","")&amp;IF(LEN($R1570)&gt;500,"R &gt; 500 karakter.","")))</f>
        <v/>
      </c>
      <c r="AS1570" t="str">
        <f>IFERROR(MATCH(ROW()-1,Calc!$J$2:$J$1601,0),"")</f>
        <v/>
      </c>
      <c r="AT1570" t="str">
        <f>IFERROR(MATCH(ROW()-1,Calc!$K$2:$K$1601,0),"")</f>
        <v/>
      </c>
      <c r="AU1570" t="str">
        <f>IF($AS1570="","",IFERROR(INDEX('TMP Paste'!$D$2:$D$1601,$AS1570)*1000000/$AB1570,""))</f>
        <v/>
      </c>
    </row>
    <row r="1571" spans="1:47">
      <c r="A1571" t="str">
        <f>IF($AS1571="","",INDEX('TMP Paste'!$B$2:$B$1601,$AS1571))</f>
        <v/>
      </c>
      <c r="B1571" t="str">
        <f>IF($AS1571="","",Config!$B$14)</f>
        <v/>
      </c>
      <c r="C1571" t="str">
        <f>IF($AS1571="","",Config!$B$15)</f>
        <v/>
      </c>
      <c r="D1571" t="str">
        <f>IF($AS1571="","",INDEX('TMP Paste'!$B$2:$B$1601,$AS1571))</f>
        <v/>
      </c>
      <c r="E1571" t="str">
        <f>IF($AS1571="","",Config!$B$27)</f>
        <v/>
      </c>
      <c r="F1571" t="str">
        <f>IF($AS1571="","",Config!$B$9)</f>
        <v/>
      </c>
      <c r="G1571" t="str">
        <f>IF($AS1571="","",Config!$B$10)</f>
        <v/>
      </c>
      <c r="H1571" t="str">
        <f>IF($AS1571="","",Config!$B$11)</f>
        <v/>
      </c>
      <c r="I1571" t="str">
        <f>IF($AS1571="","",Config!$B$16)</f>
        <v/>
      </c>
      <c r="J1571" t="str">
        <f>IF($AS1571="","",INDEX('TMP Paste'!$A$2:$A$1601,$AS1571))</f>
        <v/>
      </c>
      <c r="K1571" t="str">
        <f>IF($AS1571="","",INDEX('TMP Paste'!$L$2:$L$1601,$AS1571))</f>
        <v/>
      </c>
      <c r="L1571" t="str">
        <f>IF($AS1571="","",INDEX('TMP Paste'!$I$2:$I$1601,$AS1571))</f>
        <v/>
      </c>
      <c r="M1571" t="str">
        <f>IF($AS1571="","",Config!$B$16)</f>
        <v/>
      </c>
      <c r="N1571" t="str">
        <f t="shared" si="144"/>
        <v/>
      </c>
      <c r="O1571" t="str">
        <f>IF($AS1571="","",INDEX('TMP Paste'!$K$2:$K$1601,$AS1571))</f>
        <v/>
      </c>
      <c r="P1571" t="str">
        <f t="shared" si="145"/>
        <v/>
      </c>
      <c r="Q1571" t="str">
        <f>IF($AS1571="","",INDEX('TMP Paste'!$J$2:$J$1601,$AS1571))</f>
        <v/>
      </c>
      <c r="R1571" t="str">
        <f>IF($AS1571="","",Config!$B$24)</f>
        <v/>
      </c>
      <c r="S1571" t="str">
        <f ca="1">IF($AS1571="","",TEXT(Config!$B$4,"yyyy-mm-dd"))</f>
        <v/>
      </c>
      <c r="T1571" t="str">
        <f>IF($AS1571="","",Config!$B$17)</f>
        <v/>
      </c>
      <c r="U1571" t="str">
        <f>IF($AS1571="","",Config!$B$18)</f>
        <v/>
      </c>
      <c r="V1571" t="str">
        <f>IF($AS1571="","",Config!$B$19)</f>
        <v/>
      </c>
      <c r="W1571" t="str">
        <f>IF($AS1571="","",INDEX('TMP Paste'!$C$2:$C$1601,$AS1571))</f>
        <v/>
      </c>
      <c r="X1571" t="str">
        <f>IF($AS1571="","",Config!$B$29)</f>
        <v/>
      </c>
      <c r="Y1571" t="str">
        <f>IF($AT1571="","",INDEX(Calc!$I$2:$I$1601,$AT1571)&amp;" - "&amp;INDEX(Calc!$D$2:$D$1601,$AT1571)&amp;" koli")</f>
        <v/>
      </c>
      <c r="Z1571" t="str">
        <f>IF($AS1571="","",Config!$B$21)</f>
        <v/>
      </c>
      <c r="AA1571" t="str">
        <f>IF($AS1571="","",Config!$B$22)</f>
        <v/>
      </c>
      <c r="AB1571" t="str">
        <f>IF($AT1571="","",INDEX(Calc!$D$2:$D$1601,$AT1571))</f>
        <v/>
      </c>
      <c r="AC1571" t="str">
        <f>IF($AT1571="","",INDEX(Calc!$G$2:$G$1601,$AT1571))</f>
        <v/>
      </c>
      <c r="AD1571" t="str">
        <f>IF($AS1571="","",Config!$B$23)</f>
        <v/>
      </c>
      <c r="AE1571" t="str">
        <f>IF($AS1571="","",Config!$B$28)</f>
        <v/>
      </c>
      <c r="AF1571" t="str">
        <f t="shared" si="146"/>
        <v/>
      </c>
      <c r="AG1571" t="str">
        <f t="shared" si="147"/>
        <v/>
      </c>
      <c r="AH1571" t="str">
        <f t="shared" si="148"/>
        <v/>
      </c>
      <c r="AQ1571" t="str">
        <f>IF($AS1571="","",TRIM(IF(COUNTIFS(Calc!$B$2:$B$1601,ROW()-1,Calc!$C$2:$C$1601,"&lt;1")&gt;0,"Ada PO tanpa Koli - cek TMP. ","")&amp;IF(OR($AU1571="",$AU1571&lt;=0),"Volume kosong/0 - dimensi dikosongkan. ","")&amp;IF(AND($AU1571&lt;&gt;"",$AU1571&gt;=1000000),"Volume &gt;= 1.000.000 cm3 (di luar aturan) - dimensi dikosongkan. ","")&amp;IF(LEN($R1571)&gt;500,"R &gt; 500 karakter.","")))</f>
        <v/>
      </c>
      <c r="AS1571" t="str">
        <f>IFERROR(MATCH(ROW()-1,Calc!$J$2:$J$1601,0),"")</f>
        <v/>
      </c>
      <c r="AT1571" t="str">
        <f>IFERROR(MATCH(ROW()-1,Calc!$K$2:$K$1601,0),"")</f>
        <v/>
      </c>
      <c r="AU1571" t="str">
        <f>IF($AS1571="","",IFERROR(INDEX('TMP Paste'!$D$2:$D$1601,$AS1571)*1000000/$AB1571,""))</f>
        <v/>
      </c>
    </row>
    <row r="1572" spans="1:47">
      <c r="A1572" t="str">
        <f>IF($AS1572="","",INDEX('TMP Paste'!$B$2:$B$1601,$AS1572))</f>
        <v/>
      </c>
      <c r="B1572" t="str">
        <f>IF($AS1572="","",Config!$B$14)</f>
        <v/>
      </c>
      <c r="C1572" t="str">
        <f>IF($AS1572="","",Config!$B$15)</f>
        <v/>
      </c>
      <c r="D1572" t="str">
        <f>IF($AS1572="","",INDEX('TMP Paste'!$B$2:$B$1601,$AS1572))</f>
        <v/>
      </c>
      <c r="E1572" t="str">
        <f>IF($AS1572="","",Config!$B$27)</f>
        <v/>
      </c>
      <c r="F1572" t="str">
        <f>IF($AS1572="","",Config!$B$9)</f>
        <v/>
      </c>
      <c r="G1572" t="str">
        <f>IF($AS1572="","",Config!$B$10)</f>
        <v/>
      </c>
      <c r="H1572" t="str">
        <f>IF($AS1572="","",Config!$B$11)</f>
        <v/>
      </c>
      <c r="I1572" t="str">
        <f>IF($AS1572="","",Config!$B$16)</f>
        <v/>
      </c>
      <c r="J1572" t="str">
        <f>IF($AS1572="","",INDEX('TMP Paste'!$A$2:$A$1601,$AS1572))</f>
        <v/>
      </c>
      <c r="K1572" t="str">
        <f>IF($AS1572="","",INDEX('TMP Paste'!$L$2:$L$1601,$AS1572))</f>
        <v/>
      </c>
      <c r="L1572" t="str">
        <f>IF($AS1572="","",INDEX('TMP Paste'!$I$2:$I$1601,$AS1572))</f>
        <v/>
      </c>
      <c r="M1572" t="str">
        <f>IF($AS1572="","",Config!$B$16)</f>
        <v/>
      </c>
      <c r="N1572" t="str">
        <f t="shared" si="144"/>
        <v/>
      </c>
      <c r="O1572" t="str">
        <f>IF($AS1572="","",INDEX('TMP Paste'!$K$2:$K$1601,$AS1572))</f>
        <v/>
      </c>
      <c r="P1572" t="str">
        <f t="shared" si="145"/>
        <v/>
      </c>
      <c r="Q1572" t="str">
        <f>IF($AS1572="","",INDEX('TMP Paste'!$J$2:$J$1601,$AS1572))</f>
        <v/>
      </c>
      <c r="R1572" t="str">
        <f>IF($AS1572="","",Config!$B$24)</f>
        <v/>
      </c>
      <c r="S1572" t="str">
        <f ca="1">IF($AS1572="","",TEXT(Config!$B$4,"yyyy-mm-dd"))</f>
        <v/>
      </c>
      <c r="T1572" t="str">
        <f>IF($AS1572="","",Config!$B$17)</f>
        <v/>
      </c>
      <c r="U1572" t="str">
        <f>IF($AS1572="","",Config!$B$18)</f>
        <v/>
      </c>
      <c r="V1572" t="str">
        <f>IF($AS1572="","",Config!$B$19)</f>
        <v/>
      </c>
      <c r="W1572" t="str">
        <f>IF($AS1572="","",INDEX('TMP Paste'!$C$2:$C$1601,$AS1572))</f>
        <v/>
      </c>
      <c r="X1572" t="str">
        <f>IF($AS1572="","",Config!$B$29)</f>
        <v/>
      </c>
      <c r="Y1572" t="str">
        <f>IF($AT1572="","",INDEX(Calc!$I$2:$I$1601,$AT1572)&amp;" - "&amp;INDEX(Calc!$D$2:$D$1601,$AT1572)&amp;" koli")</f>
        <v/>
      </c>
      <c r="Z1572" t="str">
        <f>IF($AS1572="","",Config!$B$21)</f>
        <v/>
      </c>
      <c r="AA1572" t="str">
        <f>IF($AS1572="","",Config!$B$22)</f>
        <v/>
      </c>
      <c r="AB1572" t="str">
        <f>IF($AT1572="","",INDEX(Calc!$D$2:$D$1601,$AT1572))</f>
        <v/>
      </c>
      <c r="AC1572" t="str">
        <f>IF($AT1572="","",INDEX(Calc!$G$2:$G$1601,$AT1572))</f>
        <v/>
      </c>
      <c r="AD1572" t="str">
        <f>IF($AS1572="","",Config!$B$23)</f>
        <v/>
      </c>
      <c r="AE1572" t="str">
        <f>IF($AS1572="","",Config!$B$28)</f>
        <v/>
      </c>
      <c r="AF1572" t="str">
        <f t="shared" si="146"/>
        <v/>
      </c>
      <c r="AG1572" t="str">
        <f t="shared" si="147"/>
        <v/>
      </c>
      <c r="AH1572" t="str">
        <f t="shared" si="148"/>
        <v/>
      </c>
      <c r="AQ1572" t="str">
        <f>IF($AS1572="","",TRIM(IF(COUNTIFS(Calc!$B$2:$B$1601,ROW()-1,Calc!$C$2:$C$1601,"&lt;1")&gt;0,"Ada PO tanpa Koli - cek TMP. ","")&amp;IF(OR($AU1572="",$AU1572&lt;=0),"Volume kosong/0 - dimensi dikosongkan. ","")&amp;IF(AND($AU1572&lt;&gt;"",$AU1572&gt;=1000000),"Volume &gt;= 1.000.000 cm3 (di luar aturan) - dimensi dikosongkan. ","")&amp;IF(LEN($R1572)&gt;500,"R &gt; 500 karakter.","")))</f>
        <v/>
      </c>
      <c r="AS1572" t="str">
        <f>IFERROR(MATCH(ROW()-1,Calc!$J$2:$J$1601,0),"")</f>
        <v/>
      </c>
      <c r="AT1572" t="str">
        <f>IFERROR(MATCH(ROW()-1,Calc!$K$2:$K$1601,0),"")</f>
        <v/>
      </c>
      <c r="AU1572" t="str">
        <f>IF($AS1572="","",IFERROR(INDEX('TMP Paste'!$D$2:$D$1601,$AS1572)*1000000/$AB1572,""))</f>
        <v/>
      </c>
    </row>
    <row r="1573" spans="1:47">
      <c r="A1573" t="str">
        <f>IF($AS1573="","",INDEX('TMP Paste'!$B$2:$B$1601,$AS1573))</f>
        <v/>
      </c>
      <c r="B1573" t="str">
        <f>IF($AS1573="","",Config!$B$14)</f>
        <v/>
      </c>
      <c r="C1573" t="str">
        <f>IF($AS1573="","",Config!$B$15)</f>
        <v/>
      </c>
      <c r="D1573" t="str">
        <f>IF($AS1573="","",INDEX('TMP Paste'!$B$2:$B$1601,$AS1573))</f>
        <v/>
      </c>
      <c r="E1573" t="str">
        <f>IF($AS1573="","",Config!$B$27)</f>
        <v/>
      </c>
      <c r="F1573" t="str">
        <f>IF($AS1573="","",Config!$B$9)</f>
        <v/>
      </c>
      <c r="G1573" t="str">
        <f>IF($AS1573="","",Config!$B$10)</f>
        <v/>
      </c>
      <c r="H1573" t="str">
        <f>IF($AS1573="","",Config!$B$11)</f>
        <v/>
      </c>
      <c r="I1573" t="str">
        <f>IF($AS1573="","",Config!$B$16)</f>
        <v/>
      </c>
      <c r="J1573" t="str">
        <f>IF($AS1573="","",INDEX('TMP Paste'!$A$2:$A$1601,$AS1573))</f>
        <v/>
      </c>
      <c r="K1573" t="str">
        <f>IF($AS1573="","",INDEX('TMP Paste'!$L$2:$L$1601,$AS1573))</f>
        <v/>
      </c>
      <c r="L1573" t="str">
        <f>IF($AS1573="","",INDEX('TMP Paste'!$I$2:$I$1601,$AS1573))</f>
        <v/>
      </c>
      <c r="M1573" t="str">
        <f>IF($AS1573="","",Config!$B$16)</f>
        <v/>
      </c>
      <c r="N1573" t="str">
        <f t="shared" si="144"/>
        <v/>
      </c>
      <c r="O1573" t="str">
        <f>IF($AS1573="","",INDEX('TMP Paste'!$K$2:$K$1601,$AS1573))</f>
        <v/>
      </c>
      <c r="P1573" t="str">
        <f t="shared" si="145"/>
        <v/>
      </c>
      <c r="Q1573" t="str">
        <f>IF($AS1573="","",INDEX('TMP Paste'!$J$2:$J$1601,$AS1573))</f>
        <v/>
      </c>
      <c r="R1573" t="str">
        <f>IF($AS1573="","",Config!$B$24)</f>
        <v/>
      </c>
      <c r="S1573" t="str">
        <f ca="1">IF($AS1573="","",TEXT(Config!$B$4,"yyyy-mm-dd"))</f>
        <v/>
      </c>
      <c r="T1573" t="str">
        <f>IF($AS1573="","",Config!$B$17)</f>
        <v/>
      </c>
      <c r="U1573" t="str">
        <f>IF($AS1573="","",Config!$B$18)</f>
        <v/>
      </c>
      <c r="V1573" t="str">
        <f>IF($AS1573="","",Config!$B$19)</f>
        <v/>
      </c>
      <c r="W1573" t="str">
        <f>IF($AS1573="","",INDEX('TMP Paste'!$C$2:$C$1601,$AS1573))</f>
        <v/>
      </c>
      <c r="X1573" t="str">
        <f>IF($AS1573="","",Config!$B$29)</f>
        <v/>
      </c>
      <c r="Y1573" t="str">
        <f>IF($AT1573="","",INDEX(Calc!$I$2:$I$1601,$AT1573)&amp;" - "&amp;INDEX(Calc!$D$2:$D$1601,$AT1573)&amp;" koli")</f>
        <v/>
      </c>
      <c r="Z1573" t="str">
        <f>IF($AS1573="","",Config!$B$21)</f>
        <v/>
      </c>
      <c r="AA1573" t="str">
        <f>IF($AS1573="","",Config!$B$22)</f>
        <v/>
      </c>
      <c r="AB1573" t="str">
        <f>IF($AT1573="","",INDEX(Calc!$D$2:$D$1601,$AT1573))</f>
        <v/>
      </c>
      <c r="AC1573" t="str">
        <f>IF($AT1573="","",INDEX(Calc!$G$2:$G$1601,$AT1573))</f>
        <v/>
      </c>
      <c r="AD1573" t="str">
        <f>IF($AS1573="","",Config!$B$23)</f>
        <v/>
      </c>
      <c r="AE1573" t="str">
        <f>IF($AS1573="","",Config!$B$28)</f>
        <v/>
      </c>
      <c r="AF1573" t="str">
        <f t="shared" si="146"/>
        <v/>
      </c>
      <c r="AG1573" t="str">
        <f t="shared" si="147"/>
        <v/>
      </c>
      <c r="AH1573" t="str">
        <f t="shared" si="148"/>
        <v/>
      </c>
      <c r="AQ1573" t="str">
        <f>IF($AS1573="","",TRIM(IF(COUNTIFS(Calc!$B$2:$B$1601,ROW()-1,Calc!$C$2:$C$1601,"&lt;1")&gt;0,"Ada PO tanpa Koli - cek TMP. ","")&amp;IF(OR($AU1573="",$AU1573&lt;=0),"Volume kosong/0 - dimensi dikosongkan. ","")&amp;IF(AND($AU1573&lt;&gt;"",$AU1573&gt;=1000000),"Volume &gt;= 1.000.000 cm3 (di luar aturan) - dimensi dikosongkan. ","")&amp;IF(LEN($R1573)&gt;500,"R &gt; 500 karakter.","")))</f>
        <v/>
      </c>
      <c r="AS1573" t="str">
        <f>IFERROR(MATCH(ROW()-1,Calc!$J$2:$J$1601,0),"")</f>
        <v/>
      </c>
      <c r="AT1573" t="str">
        <f>IFERROR(MATCH(ROW()-1,Calc!$K$2:$K$1601,0),"")</f>
        <v/>
      </c>
      <c r="AU1573" t="str">
        <f>IF($AS1573="","",IFERROR(INDEX('TMP Paste'!$D$2:$D$1601,$AS1573)*1000000/$AB1573,""))</f>
        <v/>
      </c>
    </row>
    <row r="1574" spans="1:47">
      <c r="A1574" t="str">
        <f>IF($AS1574="","",INDEX('TMP Paste'!$B$2:$B$1601,$AS1574))</f>
        <v/>
      </c>
      <c r="B1574" t="str">
        <f>IF($AS1574="","",Config!$B$14)</f>
        <v/>
      </c>
      <c r="C1574" t="str">
        <f>IF($AS1574="","",Config!$B$15)</f>
        <v/>
      </c>
      <c r="D1574" t="str">
        <f>IF($AS1574="","",INDEX('TMP Paste'!$B$2:$B$1601,$AS1574))</f>
        <v/>
      </c>
      <c r="E1574" t="str">
        <f>IF($AS1574="","",Config!$B$27)</f>
        <v/>
      </c>
      <c r="F1574" t="str">
        <f>IF($AS1574="","",Config!$B$9)</f>
        <v/>
      </c>
      <c r="G1574" t="str">
        <f>IF($AS1574="","",Config!$B$10)</f>
        <v/>
      </c>
      <c r="H1574" t="str">
        <f>IF($AS1574="","",Config!$B$11)</f>
        <v/>
      </c>
      <c r="I1574" t="str">
        <f>IF($AS1574="","",Config!$B$16)</f>
        <v/>
      </c>
      <c r="J1574" t="str">
        <f>IF($AS1574="","",INDEX('TMP Paste'!$A$2:$A$1601,$AS1574))</f>
        <v/>
      </c>
      <c r="K1574" t="str">
        <f>IF($AS1574="","",INDEX('TMP Paste'!$L$2:$L$1601,$AS1574))</f>
        <v/>
      </c>
      <c r="L1574" t="str">
        <f>IF($AS1574="","",INDEX('TMP Paste'!$I$2:$I$1601,$AS1574))</f>
        <v/>
      </c>
      <c r="M1574" t="str">
        <f>IF($AS1574="","",Config!$B$16)</f>
        <v/>
      </c>
      <c r="N1574" t="str">
        <f t="shared" si="144"/>
        <v/>
      </c>
      <c r="O1574" t="str">
        <f>IF($AS1574="","",INDEX('TMP Paste'!$K$2:$K$1601,$AS1574))</f>
        <v/>
      </c>
      <c r="P1574" t="str">
        <f t="shared" si="145"/>
        <v/>
      </c>
      <c r="Q1574" t="str">
        <f>IF($AS1574="","",INDEX('TMP Paste'!$J$2:$J$1601,$AS1574))</f>
        <v/>
      </c>
      <c r="R1574" t="str">
        <f>IF($AS1574="","",Config!$B$24)</f>
        <v/>
      </c>
      <c r="S1574" t="str">
        <f ca="1">IF($AS1574="","",TEXT(Config!$B$4,"yyyy-mm-dd"))</f>
        <v/>
      </c>
      <c r="T1574" t="str">
        <f>IF($AS1574="","",Config!$B$17)</f>
        <v/>
      </c>
      <c r="U1574" t="str">
        <f>IF($AS1574="","",Config!$B$18)</f>
        <v/>
      </c>
      <c r="V1574" t="str">
        <f>IF($AS1574="","",Config!$B$19)</f>
        <v/>
      </c>
      <c r="W1574" t="str">
        <f>IF($AS1574="","",INDEX('TMP Paste'!$C$2:$C$1601,$AS1574))</f>
        <v/>
      </c>
      <c r="X1574" t="str">
        <f>IF($AS1574="","",Config!$B$29)</f>
        <v/>
      </c>
      <c r="Y1574" t="str">
        <f>IF($AT1574="","",INDEX(Calc!$I$2:$I$1601,$AT1574)&amp;" - "&amp;INDEX(Calc!$D$2:$D$1601,$AT1574)&amp;" koli")</f>
        <v/>
      </c>
      <c r="Z1574" t="str">
        <f>IF($AS1574="","",Config!$B$21)</f>
        <v/>
      </c>
      <c r="AA1574" t="str">
        <f>IF($AS1574="","",Config!$B$22)</f>
        <v/>
      </c>
      <c r="AB1574" t="str">
        <f>IF($AT1574="","",INDEX(Calc!$D$2:$D$1601,$AT1574))</f>
        <v/>
      </c>
      <c r="AC1574" t="str">
        <f>IF($AT1574="","",INDEX(Calc!$G$2:$G$1601,$AT1574))</f>
        <v/>
      </c>
      <c r="AD1574" t="str">
        <f>IF($AS1574="","",Config!$B$23)</f>
        <v/>
      </c>
      <c r="AE1574" t="str">
        <f>IF($AS1574="","",Config!$B$28)</f>
        <v/>
      </c>
      <c r="AF1574" t="str">
        <f t="shared" si="146"/>
        <v/>
      </c>
      <c r="AG1574" t="str">
        <f t="shared" si="147"/>
        <v/>
      </c>
      <c r="AH1574" t="str">
        <f t="shared" si="148"/>
        <v/>
      </c>
      <c r="AQ1574" t="str">
        <f>IF($AS1574="","",TRIM(IF(COUNTIFS(Calc!$B$2:$B$1601,ROW()-1,Calc!$C$2:$C$1601,"&lt;1")&gt;0,"Ada PO tanpa Koli - cek TMP. ","")&amp;IF(OR($AU1574="",$AU1574&lt;=0),"Volume kosong/0 - dimensi dikosongkan. ","")&amp;IF(AND($AU1574&lt;&gt;"",$AU1574&gt;=1000000),"Volume &gt;= 1.000.000 cm3 (di luar aturan) - dimensi dikosongkan. ","")&amp;IF(LEN($R1574)&gt;500,"R &gt; 500 karakter.","")))</f>
        <v/>
      </c>
      <c r="AS1574" t="str">
        <f>IFERROR(MATCH(ROW()-1,Calc!$J$2:$J$1601,0),"")</f>
        <v/>
      </c>
      <c r="AT1574" t="str">
        <f>IFERROR(MATCH(ROW()-1,Calc!$K$2:$K$1601,0),"")</f>
        <v/>
      </c>
      <c r="AU1574" t="str">
        <f>IF($AS1574="","",IFERROR(INDEX('TMP Paste'!$D$2:$D$1601,$AS1574)*1000000/$AB1574,""))</f>
        <v/>
      </c>
    </row>
    <row r="1575" spans="1:47">
      <c r="A1575" t="str">
        <f>IF($AS1575="","",INDEX('TMP Paste'!$B$2:$B$1601,$AS1575))</f>
        <v/>
      </c>
      <c r="B1575" t="str">
        <f>IF($AS1575="","",Config!$B$14)</f>
        <v/>
      </c>
      <c r="C1575" t="str">
        <f>IF($AS1575="","",Config!$B$15)</f>
        <v/>
      </c>
      <c r="D1575" t="str">
        <f>IF($AS1575="","",INDEX('TMP Paste'!$B$2:$B$1601,$AS1575))</f>
        <v/>
      </c>
      <c r="E1575" t="str">
        <f>IF($AS1575="","",Config!$B$27)</f>
        <v/>
      </c>
      <c r="F1575" t="str">
        <f>IF($AS1575="","",Config!$B$9)</f>
        <v/>
      </c>
      <c r="G1575" t="str">
        <f>IF($AS1575="","",Config!$B$10)</f>
        <v/>
      </c>
      <c r="H1575" t="str">
        <f>IF($AS1575="","",Config!$B$11)</f>
        <v/>
      </c>
      <c r="I1575" t="str">
        <f>IF($AS1575="","",Config!$B$16)</f>
        <v/>
      </c>
      <c r="J1575" t="str">
        <f>IF($AS1575="","",INDEX('TMP Paste'!$A$2:$A$1601,$AS1575))</f>
        <v/>
      </c>
      <c r="K1575" t="str">
        <f>IF($AS1575="","",INDEX('TMP Paste'!$L$2:$L$1601,$AS1575))</f>
        <v/>
      </c>
      <c r="L1575" t="str">
        <f>IF($AS1575="","",INDEX('TMP Paste'!$I$2:$I$1601,$AS1575))</f>
        <v/>
      </c>
      <c r="M1575" t="str">
        <f>IF($AS1575="","",Config!$B$16)</f>
        <v/>
      </c>
      <c r="N1575" t="str">
        <f t="shared" si="144"/>
        <v/>
      </c>
      <c r="O1575" t="str">
        <f>IF($AS1575="","",INDEX('TMP Paste'!$K$2:$K$1601,$AS1575))</f>
        <v/>
      </c>
      <c r="P1575" t="str">
        <f t="shared" si="145"/>
        <v/>
      </c>
      <c r="Q1575" t="str">
        <f>IF($AS1575="","",INDEX('TMP Paste'!$J$2:$J$1601,$AS1575))</f>
        <v/>
      </c>
      <c r="R1575" t="str">
        <f>IF($AS1575="","",Config!$B$24)</f>
        <v/>
      </c>
      <c r="S1575" t="str">
        <f ca="1">IF($AS1575="","",TEXT(Config!$B$4,"yyyy-mm-dd"))</f>
        <v/>
      </c>
      <c r="T1575" t="str">
        <f>IF($AS1575="","",Config!$B$17)</f>
        <v/>
      </c>
      <c r="U1575" t="str">
        <f>IF($AS1575="","",Config!$B$18)</f>
        <v/>
      </c>
      <c r="V1575" t="str">
        <f>IF($AS1575="","",Config!$B$19)</f>
        <v/>
      </c>
      <c r="W1575" t="str">
        <f>IF($AS1575="","",INDEX('TMP Paste'!$C$2:$C$1601,$AS1575))</f>
        <v/>
      </c>
      <c r="X1575" t="str">
        <f>IF($AS1575="","",Config!$B$29)</f>
        <v/>
      </c>
      <c r="Y1575" t="str">
        <f>IF($AT1575="","",INDEX(Calc!$I$2:$I$1601,$AT1575)&amp;" - "&amp;INDEX(Calc!$D$2:$D$1601,$AT1575)&amp;" koli")</f>
        <v/>
      </c>
      <c r="Z1575" t="str">
        <f>IF($AS1575="","",Config!$B$21)</f>
        <v/>
      </c>
      <c r="AA1575" t="str">
        <f>IF($AS1575="","",Config!$B$22)</f>
        <v/>
      </c>
      <c r="AB1575" t="str">
        <f>IF($AT1575="","",INDEX(Calc!$D$2:$D$1601,$AT1575))</f>
        <v/>
      </c>
      <c r="AC1575" t="str">
        <f>IF($AT1575="","",INDEX(Calc!$G$2:$G$1601,$AT1575))</f>
        <v/>
      </c>
      <c r="AD1575" t="str">
        <f>IF($AS1575="","",Config!$B$23)</f>
        <v/>
      </c>
      <c r="AE1575" t="str">
        <f>IF($AS1575="","",Config!$B$28)</f>
        <v/>
      </c>
      <c r="AF1575" t="str">
        <f t="shared" si="146"/>
        <v/>
      </c>
      <c r="AG1575" t="str">
        <f t="shared" si="147"/>
        <v/>
      </c>
      <c r="AH1575" t="str">
        <f t="shared" si="148"/>
        <v/>
      </c>
      <c r="AQ1575" t="str">
        <f>IF($AS1575="","",TRIM(IF(COUNTIFS(Calc!$B$2:$B$1601,ROW()-1,Calc!$C$2:$C$1601,"&lt;1")&gt;0,"Ada PO tanpa Koli - cek TMP. ","")&amp;IF(OR($AU1575="",$AU1575&lt;=0),"Volume kosong/0 - dimensi dikosongkan. ","")&amp;IF(AND($AU1575&lt;&gt;"",$AU1575&gt;=1000000),"Volume &gt;= 1.000.000 cm3 (di luar aturan) - dimensi dikosongkan. ","")&amp;IF(LEN($R1575)&gt;500,"R &gt; 500 karakter.","")))</f>
        <v/>
      </c>
      <c r="AS1575" t="str">
        <f>IFERROR(MATCH(ROW()-1,Calc!$J$2:$J$1601,0),"")</f>
        <v/>
      </c>
      <c r="AT1575" t="str">
        <f>IFERROR(MATCH(ROW()-1,Calc!$K$2:$K$1601,0),"")</f>
        <v/>
      </c>
      <c r="AU1575" t="str">
        <f>IF($AS1575="","",IFERROR(INDEX('TMP Paste'!$D$2:$D$1601,$AS1575)*1000000/$AB1575,""))</f>
        <v/>
      </c>
    </row>
    <row r="1576" spans="1:47">
      <c r="A1576" t="str">
        <f>IF($AS1576="","",INDEX('TMP Paste'!$B$2:$B$1601,$AS1576))</f>
        <v/>
      </c>
      <c r="B1576" t="str">
        <f>IF($AS1576="","",Config!$B$14)</f>
        <v/>
      </c>
      <c r="C1576" t="str">
        <f>IF($AS1576="","",Config!$B$15)</f>
        <v/>
      </c>
      <c r="D1576" t="str">
        <f>IF($AS1576="","",INDEX('TMP Paste'!$B$2:$B$1601,$AS1576))</f>
        <v/>
      </c>
      <c r="E1576" t="str">
        <f>IF($AS1576="","",Config!$B$27)</f>
        <v/>
      </c>
      <c r="F1576" t="str">
        <f>IF($AS1576="","",Config!$B$9)</f>
        <v/>
      </c>
      <c r="G1576" t="str">
        <f>IF($AS1576="","",Config!$B$10)</f>
        <v/>
      </c>
      <c r="H1576" t="str">
        <f>IF($AS1576="","",Config!$B$11)</f>
        <v/>
      </c>
      <c r="I1576" t="str">
        <f>IF($AS1576="","",Config!$B$16)</f>
        <v/>
      </c>
      <c r="J1576" t="str">
        <f>IF($AS1576="","",INDEX('TMP Paste'!$A$2:$A$1601,$AS1576))</f>
        <v/>
      </c>
      <c r="K1576" t="str">
        <f>IF($AS1576="","",INDEX('TMP Paste'!$L$2:$L$1601,$AS1576))</f>
        <v/>
      </c>
      <c r="L1576" t="str">
        <f>IF($AS1576="","",INDEX('TMP Paste'!$I$2:$I$1601,$AS1576))</f>
        <v/>
      </c>
      <c r="M1576" t="str">
        <f>IF($AS1576="","",Config!$B$16)</f>
        <v/>
      </c>
      <c r="N1576" t="str">
        <f t="shared" si="144"/>
        <v/>
      </c>
      <c r="O1576" t="str">
        <f>IF($AS1576="","",INDEX('TMP Paste'!$K$2:$K$1601,$AS1576))</f>
        <v/>
      </c>
      <c r="P1576" t="str">
        <f t="shared" si="145"/>
        <v/>
      </c>
      <c r="Q1576" t="str">
        <f>IF($AS1576="","",INDEX('TMP Paste'!$J$2:$J$1601,$AS1576))</f>
        <v/>
      </c>
      <c r="R1576" t="str">
        <f>IF($AS1576="","",Config!$B$24)</f>
        <v/>
      </c>
      <c r="S1576" t="str">
        <f ca="1">IF($AS1576="","",TEXT(Config!$B$4,"yyyy-mm-dd"))</f>
        <v/>
      </c>
      <c r="T1576" t="str">
        <f>IF($AS1576="","",Config!$B$17)</f>
        <v/>
      </c>
      <c r="U1576" t="str">
        <f>IF($AS1576="","",Config!$B$18)</f>
        <v/>
      </c>
      <c r="V1576" t="str">
        <f>IF($AS1576="","",Config!$B$19)</f>
        <v/>
      </c>
      <c r="W1576" t="str">
        <f>IF($AS1576="","",INDEX('TMP Paste'!$C$2:$C$1601,$AS1576))</f>
        <v/>
      </c>
      <c r="X1576" t="str">
        <f>IF($AS1576="","",Config!$B$29)</f>
        <v/>
      </c>
      <c r="Y1576" t="str">
        <f>IF($AT1576="","",INDEX(Calc!$I$2:$I$1601,$AT1576)&amp;" - "&amp;INDEX(Calc!$D$2:$D$1601,$AT1576)&amp;" koli")</f>
        <v/>
      </c>
      <c r="Z1576" t="str">
        <f>IF($AS1576="","",Config!$B$21)</f>
        <v/>
      </c>
      <c r="AA1576" t="str">
        <f>IF($AS1576="","",Config!$B$22)</f>
        <v/>
      </c>
      <c r="AB1576" t="str">
        <f>IF($AT1576="","",INDEX(Calc!$D$2:$D$1601,$AT1576))</f>
        <v/>
      </c>
      <c r="AC1576" t="str">
        <f>IF($AT1576="","",INDEX(Calc!$G$2:$G$1601,$AT1576))</f>
        <v/>
      </c>
      <c r="AD1576" t="str">
        <f>IF($AS1576="","",Config!$B$23)</f>
        <v/>
      </c>
      <c r="AE1576" t="str">
        <f>IF($AS1576="","",Config!$B$28)</f>
        <v/>
      </c>
      <c r="AF1576" t="str">
        <f t="shared" si="146"/>
        <v/>
      </c>
      <c r="AG1576" t="str">
        <f t="shared" si="147"/>
        <v/>
      </c>
      <c r="AH1576" t="str">
        <f t="shared" si="148"/>
        <v/>
      </c>
      <c r="AQ1576" t="str">
        <f>IF($AS1576="","",TRIM(IF(COUNTIFS(Calc!$B$2:$B$1601,ROW()-1,Calc!$C$2:$C$1601,"&lt;1")&gt;0,"Ada PO tanpa Koli - cek TMP. ","")&amp;IF(OR($AU1576="",$AU1576&lt;=0),"Volume kosong/0 - dimensi dikosongkan. ","")&amp;IF(AND($AU1576&lt;&gt;"",$AU1576&gt;=1000000),"Volume &gt;= 1.000.000 cm3 (di luar aturan) - dimensi dikosongkan. ","")&amp;IF(LEN($R1576)&gt;500,"R &gt; 500 karakter.","")))</f>
        <v/>
      </c>
      <c r="AS1576" t="str">
        <f>IFERROR(MATCH(ROW()-1,Calc!$J$2:$J$1601,0),"")</f>
        <v/>
      </c>
      <c r="AT1576" t="str">
        <f>IFERROR(MATCH(ROW()-1,Calc!$K$2:$K$1601,0),"")</f>
        <v/>
      </c>
      <c r="AU1576" t="str">
        <f>IF($AS1576="","",IFERROR(INDEX('TMP Paste'!$D$2:$D$1601,$AS1576)*1000000/$AB1576,""))</f>
        <v/>
      </c>
    </row>
    <row r="1577" spans="1:47">
      <c r="A1577" t="str">
        <f>IF($AS1577="","",INDEX('TMP Paste'!$B$2:$B$1601,$AS1577))</f>
        <v/>
      </c>
      <c r="B1577" t="str">
        <f>IF($AS1577="","",Config!$B$14)</f>
        <v/>
      </c>
      <c r="C1577" t="str">
        <f>IF($AS1577="","",Config!$B$15)</f>
        <v/>
      </c>
      <c r="D1577" t="str">
        <f>IF($AS1577="","",INDEX('TMP Paste'!$B$2:$B$1601,$AS1577))</f>
        <v/>
      </c>
      <c r="E1577" t="str">
        <f>IF($AS1577="","",Config!$B$27)</f>
        <v/>
      </c>
      <c r="F1577" t="str">
        <f>IF($AS1577="","",Config!$B$9)</f>
        <v/>
      </c>
      <c r="G1577" t="str">
        <f>IF($AS1577="","",Config!$B$10)</f>
        <v/>
      </c>
      <c r="H1577" t="str">
        <f>IF($AS1577="","",Config!$B$11)</f>
        <v/>
      </c>
      <c r="I1577" t="str">
        <f>IF($AS1577="","",Config!$B$16)</f>
        <v/>
      </c>
      <c r="J1577" t="str">
        <f>IF($AS1577="","",INDEX('TMP Paste'!$A$2:$A$1601,$AS1577))</f>
        <v/>
      </c>
      <c r="K1577" t="str">
        <f>IF($AS1577="","",INDEX('TMP Paste'!$L$2:$L$1601,$AS1577))</f>
        <v/>
      </c>
      <c r="L1577" t="str">
        <f>IF($AS1577="","",INDEX('TMP Paste'!$I$2:$I$1601,$AS1577))</f>
        <v/>
      </c>
      <c r="M1577" t="str">
        <f>IF($AS1577="","",Config!$B$16)</f>
        <v/>
      </c>
      <c r="N1577" t="str">
        <f t="shared" si="144"/>
        <v/>
      </c>
      <c r="O1577" t="str">
        <f>IF($AS1577="","",INDEX('TMP Paste'!$K$2:$K$1601,$AS1577))</f>
        <v/>
      </c>
      <c r="P1577" t="str">
        <f t="shared" si="145"/>
        <v/>
      </c>
      <c r="Q1577" t="str">
        <f>IF($AS1577="","",INDEX('TMP Paste'!$J$2:$J$1601,$AS1577))</f>
        <v/>
      </c>
      <c r="R1577" t="str">
        <f>IF($AS1577="","",Config!$B$24)</f>
        <v/>
      </c>
      <c r="S1577" t="str">
        <f ca="1">IF($AS1577="","",TEXT(Config!$B$4,"yyyy-mm-dd"))</f>
        <v/>
      </c>
      <c r="T1577" t="str">
        <f>IF($AS1577="","",Config!$B$17)</f>
        <v/>
      </c>
      <c r="U1577" t="str">
        <f>IF($AS1577="","",Config!$B$18)</f>
        <v/>
      </c>
      <c r="V1577" t="str">
        <f>IF($AS1577="","",Config!$B$19)</f>
        <v/>
      </c>
      <c r="W1577" t="str">
        <f>IF($AS1577="","",INDEX('TMP Paste'!$C$2:$C$1601,$AS1577))</f>
        <v/>
      </c>
      <c r="X1577" t="str">
        <f>IF($AS1577="","",Config!$B$29)</f>
        <v/>
      </c>
      <c r="Y1577" t="str">
        <f>IF($AT1577="","",INDEX(Calc!$I$2:$I$1601,$AT1577)&amp;" - "&amp;INDEX(Calc!$D$2:$D$1601,$AT1577)&amp;" koli")</f>
        <v/>
      </c>
      <c r="Z1577" t="str">
        <f>IF($AS1577="","",Config!$B$21)</f>
        <v/>
      </c>
      <c r="AA1577" t="str">
        <f>IF($AS1577="","",Config!$B$22)</f>
        <v/>
      </c>
      <c r="AB1577" t="str">
        <f>IF($AT1577="","",INDEX(Calc!$D$2:$D$1601,$AT1577))</f>
        <v/>
      </c>
      <c r="AC1577" t="str">
        <f>IF($AT1577="","",INDEX(Calc!$G$2:$G$1601,$AT1577))</f>
        <v/>
      </c>
      <c r="AD1577" t="str">
        <f>IF($AS1577="","",Config!$B$23)</f>
        <v/>
      </c>
      <c r="AE1577" t="str">
        <f>IF($AS1577="","",Config!$B$28)</f>
        <v/>
      </c>
      <c r="AF1577" t="str">
        <f t="shared" si="146"/>
        <v/>
      </c>
      <c r="AG1577" t="str">
        <f t="shared" si="147"/>
        <v/>
      </c>
      <c r="AH1577" t="str">
        <f t="shared" si="148"/>
        <v/>
      </c>
      <c r="AQ1577" t="str">
        <f>IF($AS1577="","",TRIM(IF(COUNTIFS(Calc!$B$2:$B$1601,ROW()-1,Calc!$C$2:$C$1601,"&lt;1")&gt;0,"Ada PO tanpa Koli - cek TMP. ","")&amp;IF(OR($AU1577="",$AU1577&lt;=0),"Volume kosong/0 - dimensi dikosongkan. ","")&amp;IF(AND($AU1577&lt;&gt;"",$AU1577&gt;=1000000),"Volume &gt;= 1.000.000 cm3 (di luar aturan) - dimensi dikosongkan. ","")&amp;IF(LEN($R1577)&gt;500,"R &gt; 500 karakter.","")))</f>
        <v/>
      </c>
      <c r="AS1577" t="str">
        <f>IFERROR(MATCH(ROW()-1,Calc!$J$2:$J$1601,0),"")</f>
        <v/>
      </c>
      <c r="AT1577" t="str">
        <f>IFERROR(MATCH(ROW()-1,Calc!$K$2:$K$1601,0),"")</f>
        <v/>
      </c>
      <c r="AU1577" t="str">
        <f>IF($AS1577="","",IFERROR(INDEX('TMP Paste'!$D$2:$D$1601,$AS1577)*1000000/$AB1577,""))</f>
        <v/>
      </c>
    </row>
    <row r="1578" spans="1:47">
      <c r="A1578" t="str">
        <f>IF($AS1578="","",INDEX('TMP Paste'!$B$2:$B$1601,$AS1578))</f>
        <v/>
      </c>
      <c r="B1578" t="str">
        <f>IF($AS1578="","",Config!$B$14)</f>
        <v/>
      </c>
      <c r="C1578" t="str">
        <f>IF($AS1578="","",Config!$B$15)</f>
        <v/>
      </c>
      <c r="D1578" t="str">
        <f>IF($AS1578="","",INDEX('TMP Paste'!$B$2:$B$1601,$AS1578))</f>
        <v/>
      </c>
      <c r="E1578" t="str">
        <f>IF($AS1578="","",Config!$B$27)</f>
        <v/>
      </c>
      <c r="F1578" t="str">
        <f>IF($AS1578="","",Config!$B$9)</f>
        <v/>
      </c>
      <c r="G1578" t="str">
        <f>IF($AS1578="","",Config!$B$10)</f>
        <v/>
      </c>
      <c r="H1578" t="str">
        <f>IF($AS1578="","",Config!$B$11)</f>
        <v/>
      </c>
      <c r="I1578" t="str">
        <f>IF($AS1578="","",Config!$B$16)</f>
        <v/>
      </c>
      <c r="J1578" t="str">
        <f>IF($AS1578="","",INDEX('TMP Paste'!$A$2:$A$1601,$AS1578))</f>
        <v/>
      </c>
      <c r="K1578" t="str">
        <f>IF($AS1578="","",INDEX('TMP Paste'!$L$2:$L$1601,$AS1578))</f>
        <v/>
      </c>
      <c r="L1578" t="str">
        <f>IF($AS1578="","",INDEX('TMP Paste'!$I$2:$I$1601,$AS1578))</f>
        <v/>
      </c>
      <c r="M1578" t="str">
        <f>IF($AS1578="","",Config!$B$16)</f>
        <v/>
      </c>
      <c r="N1578" t="str">
        <f t="shared" si="144"/>
        <v/>
      </c>
      <c r="O1578" t="str">
        <f>IF($AS1578="","",INDEX('TMP Paste'!$K$2:$K$1601,$AS1578))</f>
        <v/>
      </c>
      <c r="P1578" t="str">
        <f t="shared" si="145"/>
        <v/>
      </c>
      <c r="Q1578" t="str">
        <f>IF($AS1578="","",INDEX('TMP Paste'!$J$2:$J$1601,$AS1578))</f>
        <v/>
      </c>
      <c r="R1578" t="str">
        <f>IF($AS1578="","",Config!$B$24)</f>
        <v/>
      </c>
      <c r="S1578" t="str">
        <f ca="1">IF($AS1578="","",TEXT(Config!$B$4,"yyyy-mm-dd"))</f>
        <v/>
      </c>
      <c r="T1578" t="str">
        <f>IF($AS1578="","",Config!$B$17)</f>
        <v/>
      </c>
      <c r="U1578" t="str">
        <f>IF($AS1578="","",Config!$B$18)</f>
        <v/>
      </c>
      <c r="V1578" t="str">
        <f>IF($AS1578="","",Config!$B$19)</f>
        <v/>
      </c>
      <c r="W1578" t="str">
        <f>IF($AS1578="","",INDEX('TMP Paste'!$C$2:$C$1601,$AS1578))</f>
        <v/>
      </c>
      <c r="X1578" t="str">
        <f>IF($AS1578="","",Config!$B$29)</f>
        <v/>
      </c>
      <c r="Y1578" t="str">
        <f>IF($AT1578="","",INDEX(Calc!$I$2:$I$1601,$AT1578)&amp;" - "&amp;INDEX(Calc!$D$2:$D$1601,$AT1578)&amp;" koli")</f>
        <v/>
      </c>
      <c r="Z1578" t="str">
        <f>IF($AS1578="","",Config!$B$21)</f>
        <v/>
      </c>
      <c r="AA1578" t="str">
        <f>IF($AS1578="","",Config!$B$22)</f>
        <v/>
      </c>
      <c r="AB1578" t="str">
        <f>IF($AT1578="","",INDEX(Calc!$D$2:$D$1601,$AT1578))</f>
        <v/>
      </c>
      <c r="AC1578" t="str">
        <f>IF($AT1578="","",INDEX(Calc!$G$2:$G$1601,$AT1578))</f>
        <v/>
      </c>
      <c r="AD1578" t="str">
        <f>IF($AS1578="","",Config!$B$23)</f>
        <v/>
      </c>
      <c r="AE1578" t="str">
        <f>IF($AS1578="","",Config!$B$28)</f>
        <v/>
      </c>
      <c r="AF1578" t="str">
        <f t="shared" si="146"/>
        <v/>
      </c>
      <c r="AG1578" t="str">
        <f t="shared" si="147"/>
        <v/>
      </c>
      <c r="AH1578" t="str">
        <f t="shared" si="148"/>
        <v/>
      </c>
      <c r="AQ1578" t="str">
        <f>IF($AS1578="","",TRIM(IF(COUNTIFS(Calc!$B$2:$B$1601,ROW()-1,Calc!$C$2:$C$1601,"&lt;1")&gt;0,"Ada PO tanpa Koli - cek TMP. ","")&amp;IF(OR($AU1578="",$AU1578&lt;=0),"Volume kosong/0 - dimensi dikosongkan. ","")&amp;IF(AND($AU1578&lt;&gt;"",$AU1578&gt;=1000000),"Volume &gt;= 1.000.000 cm3 (di luar aturan) - dimensi dikosongkan. ","")&amp;IF(LEN($R1578)&gt;500,"R &gt; 500 karakter.","")))</f>
        <v/>
      </c>
      <c r="AS1578" t="str">
        <f>IFERROR(MATCH(ROW()-1,Calc!$J$2:$J$1601,0),"")</f>
        <v/>
      </c>
      <c r="AT1578" t="str">
        <f>IFERROR(MATCH(ROW()-1,Calc!$K$2:$K$1601,0),"")</f>
        <v/>
      </c>
      <c r="AU1578" t="str">
        <f>IF($AS1578="","",IFERROR(INDEX('TMP Paste'!$D$2:$D$1601,$AS1578)*1000000/$AB1578,""))</f>
        <v/>
      </c>
    </row>
    <row r="1579" spans="1:47">
      <c r="A1579" t="str">
        <f>IF($AS1579="","",INDEX('TMP Paste'!$B$2:$B$1601,$AS1579))</f>
        <v/>
      </c>
      <c r="B1579" t="str">
        <f>IF($AS1579="","",Config!$B$14)</f>
        <v/>
      </c>
      <c r="C1579" t="str">
        <f>IF($AS1579="","",Config!$B$15)</f>
        <v/>
      </c>
      <c r="D1579" t="str">
        <f>IF($AS1579="","",INDEX('TMP Paste'!$B$2:$B$1601,$AS1579))</f>
        <v/>
      </c>
      <c r="E1579" t="str">
        <f>IF($AS1579="","",Config!$B$27)</f>
        <v/>
      </c>
      <c r="F1579" t="str">
        <f>IF($AS1579="","",Config!$B$9)</f>
        <v/>
      </c>
      <c r="G1579" t="str">
        <f>IF($AS1579="","",Config!$B$10)</f>
        <v/>
      </c>
      <c r="H1579" t="str">
        <f>IF($AS1579="","",Config!$B$11)</f>
        <v/>
      </c>
      <c r="I1579" t="str">
        <f>IF($AS1579="","",Config!$B$16)</f>
        <v/>
      </c>
      <c r="J1579" t="str">
        <f>IF($AS1579="","",INDEX('TMP Paste'!$A$2:$A$1601,$AS1579))</f>
        <v/>
      </c>
      <c r="K1579" t="str">
        <f>IF($AS1579="","",INDEX('TMP Paste'!$L$2:$L$1601,$AS1579))</f>
        <v/>
      </c>
      <c r="L1579" t="str">
        <f>IF($AS1579="","",INDEX('TMP Paste'!$I$2:$I$1601,$AS1579))</f>
        <v/>
      </c>
      <c r="M1579" t="str">
        <f>IF($AS1579="","",Config!$B$16)</f>
        <v/>
      </c>
      <c r="N1579" t="str">
        <f t="shared" si="144"/>
        <v/>
      </c>
      <c r="O1579" t="str">
        <f>IF($AS1579="","",INDEX('TMP Paste'!$K$2:$K$1601,$AS1579))</f>
        <v/>
      </c>
      <c r="P1579" t="str">
        <f t="shared" si="145"/>
        <v/>
      </c>
      <c r="Q1579" t="str">
        <f>IF($AS1579="","",INDEX('TMP Paste'!$J$2:$J$1601,$AS1579))</f>
        <v/>
      </c>
      <c r="R1579" t="str">
        <f>IF($AS1579="","",Config!$B$24)</f>
        <v/>
      </c>
      <c r="S1579" t="str">
        <f ca="1">IF($AS1579="","",TEXT(Config!$B$4,"yyyy-mm-dd"))</f>
        <v/>
      </c>
      <c r="T1579" t="str">
        <f>IF($AS1579="","",Config!$B$17)</f>
        <v/>
      </c>
      <c r="U1579" t="str">
        <f>IF($AS1579="","",Config!$B$18)</f>
        <v/>
      </c>
      <c r="V1579" t="str">
        <f>IF($AS1579="","",Config!$B$19)</f>
        <v/>
      </c>
      <c r="W1579" t="str">
        <f>IF($AS1579="","",INDEX('TMP Paste'!$C$2:$C$1601,$AS1579))</f>
        <v/>
      </c>
      <c r="X1579" t="str">
        <f>IF($AS1579="","",Config!$B$29)</f>
        <v/>
      </c>
      <c r="Y1579" t="str">
        <f>IF($AT1579="","",INDEX(Calc!$I$2:$I$1601,$AT1579)&amp;" - "&amp;INDEX(Calc!$D$2:$D$1601,$AT1579)&amp;" koli")</f>
        <v/>
      </c>
      <c r="Z1579" t="str">
        <f>IF($AS1579="","",Config!$B$21)</f>
        <v/>
      </c>
      <c r="AA1579" t="str">
        <f>IF($AS1579="","",Config!$B$22)</f>
        <v/>
      </c>
      <c r="AB1579" t="str">
        <f>IF($AT1579="","",INDEX(Calc!$D$2:$D$1601,$AT1579))</f>
        <v/>
      </c>
      <c r="AC1579" t="str">
        <f>IF($AT1579="","",INDEX(Calc!$G$2:$G$1601,$AT1579))</f>
        <v/>
      </c>
      <c r="AD1579" t="str">
        <f>IF($AS1579="","",Config!$B$23)</f>
        <v/>
      </c>
      <c r="AE1579" t="str">
        <f>IF($AS1579="","",Config!$B$28)</f>
        <v/>
      </c>
      <c r="AF1579" t="str">
        <f t="shared" si="146"/>
        <v/>
      </c>
      <c r="AG1579" t="str">
        <f t="shared" si="147"/>
        <v/>
      </c>
      <c r="AH1579" t="str">
        <f t="shared" si="148"/>
        <v/>
      </c>
      <c r="AQ1579" t="str">
        <f>IF($AS1579="","",TRIM(IF(COUNTIFS(Calc!$B$2:$B$1601,ROW()-1,Calc!$C$2:$C$1601,"&lt;1")&gt;0,"Ada PO tanpa Koli - cek TMP. ","")&amp;IF(OR($AU1579="",$AU1579&lt;=0),"Volume kosong/0 - dimensi dikosongkan. ","")&amp;IF(AND($AU1579&lt;&gt;"",$AU1579&gt;=1000000),"Volume &gt;= 1.000.000 cm3 (di luar aturan) - dimensi dikosongkan. ","")&amp;IF(LEN($R1579)&gt;500,"R &gt; 500 karakter.","")))</f>
        <v/>
      </c>
      <c r="AS1579" t="str">
        <f>IFERROR(MATCH(ROW()-1,Calc!$J$2:$J$1601,0),"")</f>
        <v/>
      </c>
      <c r="AT1579" t="str">
        <f>IFERROR(MATCH(ROW()-1,Calc!$K$2:$K$1601,0),"")</f>
        <v/>
      </c>
      <c r="AU1579" t="str">
        <f>IF($AS1579="","",IFERROR(INDEX('TMP Paste'!$D$2:$D$1601,$AS1579)*1000000/$AB1579,""))</f>
        <v/>
      </c>
    </row>
    <row r="1580" spans="1:47">
      <c r="A1580" t="str">
        <f>IF($AS1580="","",INDEX('TMP Paste'!$B$2:$B$1601,$AS1580))</f>
        <v/>
      </c>
      <c r="B1580" t="str">
        <f>IF($AS1580="","",Config!$B$14)</f>
        <v/>
      </c>
      <c r="C1580" t="str">
        <f>IF($AS1580="","",Config!$B$15)</f>
        <v/>
      </c>
      <c r="D1580" t="str">
        <f>IF($AS1580="","",INDEX('TMP Paste'!$B$2:$B$1601,$AS1580))</f>
        <v/>
      </c>
      <c r="E1580" t="str">
        <f>IF($AS1580="","",Config!$B$27)</f>
        <v/>
      </c>
      <c r="F1580" t="str">
        <f>IF($AS1580="","",Config!$B$9)</f>
        <v/>
      </c>
      <c r="G1580" t="str">
        <f>IF($AS1580="","",Config!$B$10)</f>
        <v/>
      </c>
      <c r="H1580" t="str">
        <f>IF($AS1580="","",Config!$B$11)</f>
        <v/>
      </c>
      <c r="I1580" t="str">
        <f>IF($AS1580="","",Config!$B$16)</f>
        <v/>
      </c>
      <c r="J1580" t="str">
        <f>IF($AS1580="","",INDEX('TMP Paste'!$A$2:$A$1601,$AS1580))</f>
        <v/>
      </c>
      <c r="K1580" t="str">
        <f>IF($AS1580="","",INDEX('TMP Paste'!$L$2:$L$1601,$AS1580))</f>
        <v/>
      </c>
      <c r="L1580" t="str">
        <f>IF($AS1580="","",INDEX('TMP Paste'!$I$2:$I$1601,$AS1580))</f>
        <v/>
      </c>
      <c r="M1580" t="str">
        <f>IF($AS1580="","",Config!$B$16)</f>
        <v/>
      </c>
      <c r="N1580" t="str">
        <f t="shared" si="144"/>
        <v/>
      </c>
      <c r="O1580" t="str">
        <f>IF($AS1580="","",INDEX('TMP Paste'!$K$2:$K$1601,$AS1580))</f>
        <v/>
      </c>
      <c r="P1580" t="str">
        <f t="shared" si="145"/>
        <v/>
      </c>
      <c r="Q1580" t="str">
        <f>IF($AS1580="","",INDEX('TMP Paste'!$J$2:$J$1601,$AS1580))</f>
        <v/>
      </c>
      <c r="R1580" t="str">
        <f>IF($AS1580="","",Config!$B$24)</f>
        <v/>
      </c>
      <c r="S1580" t="str">
        <f ca="1">IF($AS1580="","",TEXT(Config!$B$4,"yyyy-mm-dd"))</f>
        <v/>
      </c>
      <c r="T1580" t="str">
        <f>IF($AS1580="","",Config!$B$17)</f>
        <v/>
      </c>
      <c r="U1580" t="str">
        <f>IF($AS1580="","",Config!$B$18)</f>
        <v/>
      </c>
      <c r="V1580" t="str">
        <f>IF($AS1580="","",Config!$B$19)</f>
        <v/>
      </c>
      <c r="W1580" t="str">
        <f>IF($AS1580="","",INDEX('TMP Paste'!$C$2:$C$1601,$AS1580))</f>
        <v/>
      </c>
      <c r="X1580" t="str">
        <f>IF($AS1580="","",Config!$B$29)</f>
        <v/>
      </c>
      <c r="Y1580" t="str">
        <f>IF($AT1580="","",INDEX(Calc!$I$2:$I$1601,$AT1580)&amp;" - "&amp;INDEX(Calc!$D$2:$D$1601,$AT1580)&amp;" koli")</f>
        <v/>
      </c>
      <c r="Z1580" t="str">
        <f>IF($AS1580="","",Config!$B$21)</f>
        <v/>
      </c>
      <c r="AA1580" t="str">
        <f>IF($AS1580="","",Config!$B$22)</f>
        <v/>
      </c>
      <c r="AB1580" t="str">
        <f>IF($AT1580="","",INDEX(Calc!$D$2:$D$1601,$AT1580))</f>
        <v/>
      </c>
      <c r="AC1580" t="str">
        <f>IF($AT1580="","",INDEX(Calc!$G$2:$G$1601,$AT1580))</f>
        <v/>
      </c>
      <c r="AD1580" t="str">
        <f>IF($AS1580="","",Config!$B$23)</f>
        <v/>
      </c>
      <c r="AE1580" t="str">
        <f>IF($AS1580="","",Config!$B$28)</f>
        <v/>
      </c>
      <c r="AF1580" t="str">
        <f t="shared" si="146"/>
        <v/>
      </c>
      <c r="AG1580" t="str">
        <f t="shared" si="147"/>
        <v/>
      </c>
      <c r="AH1580" t="str">
        <f t="shared" si="148"/>
        <v/>
      </c>
      <c r="AQ1580" t="str">
        <f>IF($AS1580="","",TRIM(IF(COUNTIFS(Calc!$B$2:$B$1601,ROW()-1,Calc!$C$2:$C$1601,"&lt;1")&gt;0,"Ada PO tanpa Koli - cek TMP. ","")&amp;IF(OR($AU1580="",$AU1580&lt;=0),"Volume kosong/0 - dimensi dikosongkan. ","")&amp;IF(AND($AU1580&lt;&gt;"",$AU1580&gt;=1000000),"Volume &gt;= 1.000.000 cm3 (di luar aturan) - dimensi dikosongkan. ","")&amp;IF(LEN($R1580)&gt;500,"R &gt; 500 karakter.","")))</f>
        <v/>
      </c>
      <c r="AS1580" t="str">
        <f>IFERROR(MATCH(ROW()-1,Calc!$J$2:$J$1601,0),"")</f>
        <v/>
      </c>
      <c r="AT1580" t="str">
        <f>IFERROR(MATCH(ROW()-1,Calc!$K$2:$K$1601,0),"")</f>
        <v/>
      </c>
      <c r="AU1580" t="str">
        <f>IF($AS1580="","",IFERROR(INDEX('TMP Paste'!$D$2:$D$1601,$AS1580)*1000000/$AB1580,""))</f>
        <v/>
      </c>
    </row>
    <row r="1581" spans="1:47">
      <c r="A1581" t="str">
        <f>IF($AS1581="","",INDEX('TMP Paste'!$B$2:$B$1601,$AS1581))</f>
        <v/>
      </c>
      <c r="B1581" t="str">
        <f>IF($AS1581="","",Config!$B$14)</f>
        <v/>
      </c>
      <c r="C1581" t="str">
        <f>IF($AS1581="","",Config!$B$15)</f>
        <v/>
      </c>
      <c r="D1581" t="str">
        <f>IF($AS1581="","",INDEX('TMP Paste'!$B$2:$B$1601,$AS1581))</f>
        <v/>
      </c>
      <c r="E1581" t="str">
        <f>IF($AS1581="","",Config!$B$27)</f>
        <v/>
      </c>
      <c r="F1581" t="str">
        <f>IF($AS1581="","",Config!$B$9)</f>
        <v/>
      </c>
      <c r="G1581" t="str">
        <f>IF($AS1581="","",Config!$B$10)</f>
        <v/>
      </c>
      <c r="H1581" t="str">
        <f>IF($AS1581="","",Config!$B$11)</f>
        <v/>
      </c>
      <c r="I1581" t="str">
        <f>IF($AS1581="","",Config!$B$16)</f>
        <v/>
      </c>
      <c r="J1581" t="str">
        <f>IF($AS1581="","",INDEX('TMP Paste'!$A$2:$A$1601,$AS1581))</f>
        <v/>
      </c>
      <c r="K1581" t="str">
        <f>IF($AS1581="","",INDEX('TMP Paste'!$L$2:$L$1601,$AS1581))</f>
        <v/>
      </c>
      <c r="L1581" t="str">
        <f>IF($AS1581="","",INDEX('TMP Paste'!$I$2:$I$1601,$AS1581))</f>
        <v/>
      </c>
      <c r="M1581" t="str">
        <f>IF($AS1581="","",Config!$B$16)</f>
        <v/>
      </c>
      <c r="N1581" t="str">
        <f t="shared" si="144"/>
        <v/>
      </c>
      <c r="O1581" t="str">
        <f>IF($AS1581="","",INDEX('TMP Paste'!$K$2:$K$1601,$AS1581))</f>
        <v/>
      </c>
      <c r="P1581" t="str">
        <f t="shared" si="145"/>
        <v/>
      </c>
      <c r="Q1581" t="str">
        <f>IF($AS1581="","",INDEX('TMP Paste'!$J$2:$J$1601,$AS1581))</f>
        <v/>
      </c>
      <c r="R1581" t="str">
        <f>IF($AS1581="","",Config!$B$24)</f>
        <v/>
      </c>
      <c r="S1581" t="str">
        <f ca="1">IF($AS1581="","",TEXT(Config!$B$4,"yyyy-mm-dd"))</f>
        <v/>
      </c>
      <c r="T1581" t="str">
        <f>IF($AS1581="","",Config!$B$17)</f>
        <v/>
      </c>
      <c r="U1581" t="str">
        <f>IF($AS1581="","",Config!$B$18)</f>
        <v/>
      </c>
      <c r="V1581" t="str">
        <f>IF($AS1581="","",Config!$B$19)</f>
        <v/>
      </c>
      <c r="W1581" t="str">
        <f>IF($AS1581="","",INDEX('TMP Paste'!$C$2:$C$1601,$AS1581))</f>
        <v/>
      </c>
      <c r="X1581" t="str">
        <f>IF($AS1581="","",Config!$B$29)</f>
        <v/>
      </c>
      <c r="Y1581" t="str">
        <f>IF($AT1581="","",INDEX(Calc!$I$2:$I$1601,$AT1581)&amp;" - "&amp;INDEX(Calc!$D$2:$D$1601,$AT1581)&amp;" koli")</f>
        <v/>
      </c>
      <c r="Z1581" t="str">
        <f>IF($AS1581="","",Config!$B$21)</f>
        <v/>
      </c>
      <c r="AA1581" t="str">
        <f>IF($AS1581="","",Config!$B$22)</f>
        <v/>
      </c>
      <c r="AB1581" t="str">
        <f>IF($AT1581="","",INDEX(Calc!$D$2:$D$1601,$AT1581))</f>
        <v/>
      </c>
      <c r="AC1581" t="str">
        <f>IF($AT1581="","",INDEX(Calc!$G$2:$G$1601,$AT1581))</f>
        <v/>
      </c>
      <c r="AD1581" t="str">
        <f>IF($AS1581="","",Config!$B$23)</f>
        <v/>
      </c>
      <c r="AE1581" t="str">
        <f>IF($AS1581="","",Config!$B$28)</f>
        <v/>
      </c>
      <c r="AF1581" t="str">
        <f t="shared" si="146"/>
        <v/>
      </c>
      <c r="AG1581" t="str">
        <f t="shared" si="147"/>
        <v/>
      </c>
      <c r="AH1581" t="str">
        <f t="shared" si="148"/>
        <v/>
      </c>
      <c r="AQ1581" t="str">
        <f>IF($AS1581="","",TRIM(IF(COUNTIFS(Calc!$B$2:$B$1601,ROW()-1,Calc!$C$2:$C$1601,"&lt;1")&gt;0,"Ada PO tanpa Koli - cek TMP. ","")&amp;IF(OR($AU1581="",$AU1581&lt;=0),"Volume kosong/0 - dimensi dikosongkan. ","")&amp;IF(AND($AU1581&lt;&gt;"",$AU1581&gt;=1000000),"Volume &gt;= 1.000.000 cm3 (di luar aturan) - dimensi dikosongkan. ","")&amp;IF(LEN($R1581)&gt;500,"R &gt; 500 karakter.","")))</f>
        <v/>
      </c>
      <c r="AS1581" t="str">
        <f>IFERROR(MATCH(ROW()-1,Calc!$J$2:$J$1601,0),"")</f>
        <v/>
      </c>
      <c r="AT1581" t="str">
        <f>IFERROR(MATCH(ROW()-1,Calc!$K$2:$K$1601,0),"")</f>
        <v/>
      </c>
      <c r="AU1581" t="str">
        <f>IF($AS1581="","",IFERROR(INDEX('TMP Paste'!$D$2:$D$1601,$AS1581)*1000000/$AB1581,""))</f>
        <v/>
      </c>
    </row>
    <row r="1582" spans="1:47">
      <c r="A1582" t="str">
        <f>IF($AS1582="","",INDEX('TMP Paste'!$B$2:$B$1601,$AS1582))</f>
        <v/>
      </c>
      <c r="B1582" t="str">
        <f>IF($AS1582="","",Config!$B$14)</f>
        <v/>
      </c>
      <c r="C1582" t="str">
        <f>IF($AS1582="","",Config!$B$15)</f>
        <v/>
      </c>
      <c r="D1582" t="str">
        <f>IF($AS1582="","",INDEX('TMP Paste'!$B$2:$B$1601,$AS1582))</f>
        <v/>
      </c>
      <c r="E1582" t="str">
        <f>IF($AS1582="","",Config!$B$27)</f>
        <v/>
      </c>
      <c r="F1582" t="str">
        <f>IF($AS1582="","",Config!$B$9)</f>
        <v/>
      </c>
      <c r="G1582" t="str">
        <f>IF($AS1582="","",Config!$B$10)</f>
        <v/>
      </c>
      <c r="H1582" t="str">
        <f>IF($AS1582="","",Config!$B$11)</f>
        <v/>
      </c>
      <c r="I1582" t="str">
        <f>IF($AS1582="","",Config!$B$16)</f>
        <v/>
      </c>
      <c r="J1582" t="str">
        <f>IF($AS1582="","",INDEX('TMP Paste'!$A$2:$A$1601,$AS1582))</f>
        <v/>
      </c>
      <c r="K1582" t="str">
        <f>IF($AS1582="","",INDEX('TMP Paste'!$L$2:$L$1601,$AS1582))</f>
        <v/>
      </c>
      <c r="L1582" t="str">
        <f>IF($AS1582="","",INDEX('TMP Paste'!$I$2:$I$1601,$AS1582))</f>
        <v/>
      </c>
      <c r="M1582" t="str">
        <f>IF($AS1582="","",Config!$B$16)</f>
        <v/>
      </c>
      <c r="N1582" t="str">
        <f t="shared" si="144"/>
        <v/>
      </c>
      <c r="O1582" t="str">
        <f>IF($AS1582="","",INDEX('TMP Paste'!$K$2:$K$1601,$AS1582))</f>
        <v/>
      </c>
      <c r="P1582" t="str">
        <f t="shared" si="145"/>
        <v/>
      </c>
      <c r="Q1582" t="str">
        <f>IF($AS1582="","",INDEX('TMP Paste'!$J$2:$J$1601,$AS1582))</f>
        <v/>
      </c>
      <c r="R1582" t="str">
        <f>IF($AS1582="","",Config!$B$24)</f>
        <v/>
      </c>
      <c r="S1582" t="str">
        <f ca="1">IF($AS1582="","",TEXT(Config!$B$4,"yyyy-mm-dd"))</f>
        <v/>
      </c>
      <c r="T1582" t="str">
        <f>IF($AS1582="","",Config!$B$17)</f>
        <v/>
      </c>
      <c r="U1582" t="str">
        <f>IF($AS1582="","",Config!$B$18)</f>
        <v/>
      </c>
      <c r="V1582" t="str">
        <f>IF($AS1582="","",Config!$B$19)</f>
        <v/>
      </c>
      <c r="W1582" t="str">
        <f>IF($AS1582="","",INDEX('TMP Paste'!$C$2:$C$1601,$AS1582))</f>
        <v/>
      </c>
      <c r="X1582" t="str">
        <f>IF($AS1582="","",Config!$B$29)</f>
        <v/>
      </c>
      <c r="Y1582" t="str">
        <f>IF($AT1582="","",INDEX(Calc!$I$2:$I$1601,$AT1582)&amp;" - "&amp;INDEX(Calc!$D$2:$D$1601,$AT1582)&amp;" koli")</f>
        <v/>
      </c>
      <c r="Z1582" t="str">
        <f>IF($AS1582="","",Config!$B$21)</f>
        <v/>
      </c>
      <c r="AA1582" t="str">
        <f>IF($AS1582="","",Config!$B$22)</f>
        <v/>
      </c>
      <c r="AB1582" t="str">
        <f>IF($AT1582="","",INDEX(Calc!$D$2:$D$1601,$AT1582))</f>
        <v/>
      </c>
      <c r="AC1582" t="str">
        <f>IF($AT1582="","",INDEX(Calc!$G$2:$G$1601,$AT1582))</f>
        <v/>
      </c>
      <c r="AD1582" t="str">
        <f>IF($AS1582="","",Config!$B$23)</f>
        <v/>
      </c>
      <c r="AE1582" t="str">
        <f>IF($AS1582="","",Config!$B$28)</f>
        <v/>
      </c>
      <c r="AF1582" t="str">
        <f t="shared" si="146"/>
        <v/>
      </c>
      <c r="AG1582" t="str">
        <f t="shared" si="147"/>
        <v/>
      </c>
      <c r="AH1582" t="str">
        <f t="shared" si="148"/>
        <v/>
      </c>
      <c r="AQ1582" t="str">
        <f>IF($AS1582="","",TRIM(IF(COUNTIFS(Calc!$B$2:$B$1601,ROW()-1,Calc!$C$2:$C$1601,"&lt;1")&gt;0,"Ada PO tanpa Koli - cek TMP. ","")&amp;IF(OR($AU1582="",$AU1582&lt;=0),"Volume kosong/0 - dimensi dikosongkan. ","")&amp;IF(AND($AU1582&lt;&gt;"",$AU1582&gt;=1000000),"Volume &gt;= 1.000.000 cm3 (di luar aturan) - dimensi dikosongkan. ","")&amp;IF(LEN($R1582)&gt;500,"R &gt; 500 karakter.","")))</f>
        <v/>
      </c>
      <c r="AS1582" t="str">
        <f>IFERROR(MATCH(ROW()-1,Calc!$J$2:$J$1601,0),"")</f>
        <v/>
      </c>
      <c r="AT1582" t="str">
        <f>IFERROR(MATCH(ROW()-1,Calc!$K$2:$K$1601,0),"")</f>
        <v/>
      </c>
      <c r="AU1582" t="str">
        <f>IF($AS1582="","",IFERROR(INDEX('TMP Paste'!$D$2:$D$1601,$AS1582)*1000000/$AB1582,""))</f>
        <v/>
      </c>
    </row>
    <row r="1583" spans="1:47">
      <c r="A1583" t="str">
        <f>IF($AS1583="","",INDEX('TMP Paste'!$B$2:$B$1601,$AS1583))</f>
        <v/>
      </c>
      <c r="B1583" t="str">
        <f>IF($AS1583="","",Config!$B$14)</f>
        <v/>
      </c>
      <c r="C1583" t="str">
        <f>IF($AS1583="","",Config!$B$15)</f>
        <v/>
      </c>
      <c r="D1583" t="str">
        <f>IF($AS1583="","",INDEX('TMP Paste'!$B$2:$B$1601,$AS1583))</f>
        <v/>
      </c>
      <c r="E1583" t="str">
        <f>IF($AS1583="","",Config!$B$27)</f>
        <v/>
      </c>
      <c r="F1583" t="str">
        <f>IF($AS1583="","",Config!$B$9)</f>
        <v/>
      </c>
      <c r="G1583" t="str">
        <f>IF($AS1583="","",Config!$B$10)</f>
        <v/>
      </c>
      <c r="H1583" t="str">
        <f>IF($AS1583="","",Config!$B$11)</f>
        <v/>
      </c>
      <c r="I1583" t="str">
        <f>IF($AS1583="","",Config!$B$16)</f>
        <v/>
      </c>
      <c r="J1583" t="str">
        <f>IF($AS1583="","",INDEX('TMP Paste'!$A$2:$A$1601,$AS1583))</f>
        <v/>
      </c>
      <c r="K1583" t="str">
        <f>IF($AS1583="","",INDEX('TMP Paste'!$L$2:$L$1601,$AS1583))</f>
        <v/>
      </c>
      <c r="L1583" t="str">
        <f>IF($AS1583="","",INDEX('TMP Paste'!$I$2:$I$1601,$AS1583))</f>
        <v/>
      </c>
      <c r="M1583" t="str">
        <f>IF($AS1583="","",Config!$B$16)</f>
        <v/>
      </c>
      <c r="N1583" t="str">
        <f t="shared" si="144"/>
        <v/>
      </c>
      <c r="O1583" t="str">
        <f>IF($AS1583="","",INDEX('TMP Paste'!$K$2:$K$1601,$AS1583))</f>
        <v/>
      </c>
      <c r="P1583" t="str">
        <f t="shared" si="145"/>
        <v/>
      </c>
      <c r="Q1583" t="str">
        <f>IF($AS1583="","",INDEX('TMP Paste'!$J$2:$J$1601,$AS1583))</f>
        <v/>
      </c>
      <c r="R1583" t="str">
        <f>IF($AS1583="","",Config!$B$24)</f>
        <v/>
      </c>
      <c r="S1583" t="str">
        <f ca="1">IF($AS1583="","",TEXT(Config!$B$4,"yyyy-mm-dd"))</f>
        <v/>
      </c>
      <c r="T1583" t="str">
        <f>IF($AS1583="","",Config!$B$17)</f>
        <v/>
      </c>
      <c r="U1583" t="str">
        <f>IF($AS1583="","",Config!$B$18)</f>
        <v/>
      </c>
      <c r="V1583" t="str">
        <f>IF($AS1583="","",Config!$B$19)</f>
        <v/>
      </c>
      <c r="W1583" t="str">
        <f>IF($AS1583="","",INDEX('TMP Paste'!$C$2:$C$1601,$AS1583))</f>
        <v/>
      </c>
      <c r="X1583" t="str">
        <f>IF($AS1583="","",Config!$B$29)</f>
        <v/>
      </c>
      <c r="Y1583" t="str">
        <f>IF($AT1583="","",INDEX(Calc!$I$2:$I$1601,$AT1583)&amp;" - "&amp;INDEX(Calc!$D$2:$D$1601,$AT1583)&amp;" koli")</f>
        <v/>
      </c>
      <c r="Z1583" t="str">
        <f>IF($AS1583="","",Config!$B$21)</f>
        <v/>
      </c>
      <c r="AA1583" t="str">
        <f>IF($AS1583="","",Config!$B$22)</f>
        <v/>
      </c>
      <c r="AB1583" t="str">
        <f>IF($AT1583="","",INDEX(Calc!$D$2:$D$1601,$AT1583))</f>
        <v/>
      </c>
      <c r="AC1583" t="str">
        <f>IF($AT1583="","",INDEX(Calc!$G$2:$G$1601,$AT1583))</f>
        <v/>
      </c>
      <c r="AD1583" t="str">
        <f>IF($AS1583="","",Config!$B$23)</f>
        <v/>
      </c>
      <c r="AE1583" t="str">
        <f>IF($AS1583="","",Config!$B$28)</f>
        <v/>
      </c>
      <c r="AF1583" t="str">
        <f t="shared" si="146"/>
        <v/>
      </c>
      <c r="AG1583" t="str">
        <f t="shared" si="147"/>
        <v/>
      </c>
      <c r="AH1583" t="str">
        <f t="shared" si="148"/>
        <v/>
      </c>
      <c r="AQ1583" t="str">
        <f>IF($AS1583="","",TRIM(IF(COUNTIFS(Calc!$B$2:$B$1601,ROW()-1,Calc!$C$2:$C$1601,"&lt;1")&gt;0,"Ada PO tanpa Koli - cek TMP. ","")&amp;IF(OR($AU1583="",$AU1583&lt;=0),"Volume kosong/0 - dimensi dikosongkan. ","")&amp;IF(AND($AU1583&lt;&gt;"",$AU1583&gt;=1000000),"Volume &gt;= 1.000.000 cm3 (di luar aturan) - dimensi dikosongkan. ","")&amp;IF(LEN($R1583)&gt;500,"R &gt; 500 karakter.","")))</f>
        <v/>
      </c>
      <c r="AS1583" t="str">
        <f>IFERROR(MATCH(ROW()-1,Calc!$J$2:$J$1601,0),"")</f>
        <v/>
      </c>
      <c r="AT1583" t="str">
        <f>IFERROR(MATCH(ROW()-1,Calc!$K$2:$K$1601,0),"")</f>
        <v/>
      </c>
      <c r="AU1583" t="str">
        <f>IF($AS1583="","",IFERROR(INDEX('TMP Paste'!$D$2:$D$1601,$AS1583)*1000000/$AB1583,""))</f>
        <v/>
      </c>
    </row>
    <row r="1584" spans="1:47">
      <c r="A1584" t="str">
        <f>IF($AS1584="","",INDEX('TMP Paste'!$B$2:$B$1601,$AS1584))</f>
        <v/>
      </c>
      <c r="B1584" t="str">
        <f>IF($AS1584="","",Config!$B$14)</f>
        <v/>
      </c>
      <c r="C1584" t="str">
        <f>IF($AS1584="","",Config!$B$15)</f>
        <v/>
      </c>
      <c r="D1584" t="str">
        <f>IF($AS1584="","",INDEX('TMP Paste'!$B$2:$B$1601,$AS1584))</f>
        <v/>
      </c>
      <c r="E1584" t="str">
        <f>IF($AS1584="","",Config!$B$27)</f>
        <v/>
      </c>
      <c r="F1584" t="str">
        <f>IF($AS1584="","",Config!$B$9)</f>
        <v/>
      </c>
      <c r="G1584" t="str">
        <f>IF($AS1584="","",Config!$B$10)</f>
        <v/>
      </c>
      <c r="H1584" t="str">
        <f>IF($AS1584="","",Config!$B$11)</f>
        <v/>
      </c>
      <c r="I1584" t="str">
        <f>IF($AS1584="","",Config!$B$16)</f>
        <v/>
      </c>
      <c r="J1584" t="str">
        <f>IF($AS1584="","",INDEX('TMP Paste'!$A$2:$A$1601,$AS1584))</f>
        <v/>
      </c>
      <c r="K1584" t="str">
        <f>IF($AS1584="","",INDEX('TMP Paste'!$L$2:$L$1601,$AS1584))</f>
        <v/>
      </c>
      <c r="L1584" t="str">
        <f>IF($AS1584="","",INDEX('TMP Paste'!$I$2:$I$1601,$AS1584))</f>
        <v/>
      </c>
      <c r="M1584" t="str">
        <f>IF($AS1584="","",Config!$B$16)</f>
        <v/>
      </c>
      <c r="N1584" t="str">
        <f t="shared" si="144"/>
        <v/>
      </c>
      <c r="O1584" t="str">
        <f>IF($AS1584="","",INDEX('TMP Paste'!$K$2:$K$1601,$AS1584))</f>
        <v/>
      </c>
      <c r="P1584" t="str">
        <f t="shared" si="145"/>
        <v/>
      </c>
      <c r="Q1584" t="str">
        <f>IF($AS1584="","",INDEX('TMP Paste'!$J$2:$J$1601,$AS1584))</f>
        <v/>
      </c>
      <c r="R1584" t="str">
        <f>IF($AS1584="","",Config!$B$24)</f>
        <v/>
      </c>
      <c r="S1584" t="str">
        <f ca="1">IF($AS1584="","",TEXT(Config!$B$4,"yyyy-mm-dd"))</f>
        <v/>
      </c>
      <c r="T1584" t="str">
        <f>IF($AS1584="","",Config!$B$17)</f>
        <v/>
      </c>
      <c r="U1584" t="str">
        <f>IF($AS1584="","",Config!$B$18)</f>
        <v/>
      </c>
      <c r="V1584" t="str">
        <f>IF($AS1584="","",Config!$B$19)</f>
        <v/>
      </c>
      <c r="W1584" t="str">
        <f>IF($AS1584="","",INDEX('TMP Paste'!$C$2:$C$1601,$AS1584))</f>
        <v/>
      </c>
      <c r="X1584" t="str">
        <f>IF($AS1584="","",Config!$B$29)</f>
        <v/>
      </c>
      <c r="Y1584" t="str">
        <f>IF($AT1584="","",INDEX(Calc!$I$2:$I$1601,$AT1584)&amp;" - "&amp;INDEX(Calc!$D$2:$D$1601,$AT1584)&amp;" koli")</f>
        <v/>
      </c>
      <c r="Z1584" t="str">
        <f>IF($AS1584="","",Config!$B$21)</f>
        <v/>
      </c>
      <c r="AA1584" t="str">
        <f>IF($AS1584="","",Config!$B$22)</f>
        <v/>
      </c>
      <c r="AB1584" t="str">
        <f>IF($AT1584="","",INDEX(Calc!$D$2:$D$1601,$AT1584))</f>
        <v/>
      </c>
      <c r="AC1584" t="str">
        <f>IF($AT1584="","",INDEX(Calc!$G$2:$G$1601,$AT1584))</f>
        <v/>
      </c>
      <c r="AD1584" t="str">
        <f>IF($AS1584="","",Config!$B$23)</f>
        <v/>
      </c>
      <c r="AE1584" t="str">
        <f>IF($AS1584="","",Config!$B$28)</f>
        <v/>
      </c>
      <c r="AF1584" t="str">
        <f t="shared" si="146"/>
        <v/>
      </c>
      <c r="AG1584" t="str">
        <f t="shared" si="147"/>
        <v/>
      </c>
      <c r="AH1584" t="str">
        <f t="shared" si="148"/>
        <v/>
      </c>
      <c r="AQ1584" t="str">
        <f>IF($AS1584="","",TRIM(IF(COUNTIFS(Calc!$B$2:$B$1601,ROW()-1,Calc!$C$2:$C$1601,"&lt;1")&gt;0,"Ada PO tanpa Koli - cek TMP. ","")&amp;IF(OR($AU1584="",$AU1584&lt;=0),"Volume kosong/0 - dimensi dikosongkan. ","")&amp;IF(AND($AU1584&lt;&gt;"",$AU1584&gt;=1000000),"Volume &gt;= 1.000.000 cm3 (di luar aturan) - dimensi dikosongkan. ","")&amp;IF(LEN($R1584)&gt;500,"R &gt; 500 karakter.","")))</f>
        <v/>
      </c>
      <c r="AS1584" t="str">
        <f>IFERROR(MATCH(ROW()-1,Calc!$J$2:$J$1601,0),"")</f>
        <v/>
      </c>
      <c r="AT1584" t="str">
        <f>IFERROR(MATCH(ROW()-1,Calc!$K$2:$K$1601,0),"")</f>
        <v/>
      </c>
      <c r="AU1584" t="str">
        <f>IF($AS1584="","",IFERROR(INDEX('TMP Paste'!$D$2:$D$1601,$AS1584)*1000000/$AB1584,""))</f>
        <v/>
      </c>
    </row>
    <row r="1585" spans="1:47">
      <c r="A1585" t="str">
        <f>IF($AS1585="","",INDEX('TMP Paste'!$B$2:$B$1601,$AS1585))</f>
        <v/>
      </c>
      <c r="B1585" t="str">
        <f>IF($AS1585="","",Config!$B$14)</f>
        <v/>
      </c>
      <c r="C1585" t="str">
        <f>IF($AS1585="","",Config!$B$15)</f>
        <v/>
      </c>
      <c r="D1585" t="str">
        <f>IF($AS1585="","",INDEX('TMP Paste'!$B$2:$B$1601,$AS1585))</f>
        <v/>
      </c>
      <c r="E1585" t="str">
        <f>IF($AS1585="","",Config!$B$27)</f>
        <v/>
      </c>
      <c r="F1585" t="str">
        <f>IF($AS1585="","",Config!$B$9)</f>
        <v/>
      </c>
      <c r="G1585" t="str">
        <f>IF($AS1585="","",Config!$B$10)</f>
        <v/>
      </c>
      <c r="H1585" t="str">
        <f>IF($AS1585="","",Config!$B$11)</f>
        <v/>
      </c>
      <c r="I1585" t="str">
        <f>IF($AS1585="","",Config!$B$16)</f>
        <v/>
      </c>
      <c r="J1585" t="str">
        <f>IF($AS1585="","",INDEX('TMP Paste'!$A$2:$A$1601,$AS1585))</f>
        <v/>
      </c>
      <c r="K1585" t="str">
        <f>IF($AS1585="","",INDEX('TMP Paste'!$L$2:$L$1601,$AS1585))</f>
        <v/>
      </c>
      <c r="L1585" t="str">
        <f>IF($AS1585="","",INDEX('TMP Paste'!$I$2:$I$1601,$AS1585))</f>
        <v/>
      </c>
      <c r="M1585" t="str">
        <f>IF($AS1585="","",Config!$B$16)</f>
        <v/>
      </c>
      <c r="N1585" t="str">
        <f t="shared" si="144"/>
        <v/>
      </c>
      <c r="O1585" t="str">
        <f>IF($AS1585="","",INDEX('TMP Paste'!$K$2:$K$1601,$AS1585))</f>
        <v/>
      </c>
      <c r="P1585" t="str">
        <f t="shared" si="145"/>
        <v/>
      </c>
      <c r="Q1585" t="str">
        <f>IF($AS1585="","",INDEX('TMP Paste'!$J$2:$J$1601,$AS1585))</f>
        <v/>
      </c>
      <c r="R1585" t="str">
        <f>IF($AS1585="","",Config!$B$24)</f>
        <v/>
      </c>
      <c r="S1585" t="str">
        <f ca="1">IF($AS1585="","",TEXT(Config!$B$4,"yyyy-mm-dd"))</f>
        <v/>
      </c>
      <c r="T1585" t="str">
        <f>IF($AS1585="","",Config!$B$17)</f>
        <v/>
      </c>
      <c r="U1585" t="str">
        <f>IF($AS1585="","",Config!$B$18)</f>
        <v/>
      </c>
      <c r="V1585" t="str">
        <f>IF($AS1585="","",Config!$B$19)</f>
        <v/>
      </c>
      <c r="W1585" t="str">
        <f>IF($AS1585="","",INDEX('TMP Paste'!$C$2:$C$1601,$AS1585))</f>
        <v/>
      </c>
      <c r="X1585" t="str">
        <f>IF($AS1585="","",Config!$B$29)</f>
        <v/>
      </c>
      <c r="Y1585" t="str">
        <f>IF($AT1585="","",INDEX(Calc!$I$2:$I$1601,$AT1585)&amp;" - "&amp;INDEX(Calc!$D$2:$D$1601,$AT1585)&amp;" koli")</f>
        <v/>
      </c>
      <c r="Z1585" t="str">
        <f>IF($AS1585="","",Config!$B$21)</f>
        <v/>
      </c>
      <c r="AA1585" t="str">
        <f>IF($AS1585="","",Config!$B$22)</f>
        <v/>
      </c>
      <c r="AB1585" t="str">
        <f>IF($AT1585="","",INDEX(Calc!$D$2:$D$1601,$AT1585))</f>
        <v/>
      </c>
      <c r="AC1585" t="str">
        <f>IF($AT1585="","",INDEX(Calc!$G$2:$G$1601,$AT1585))</f>
        <v/>
      </c>
      <c r="AD1585" t="str">
        <f>IF($AS1585="","",Config!$B$23)</f>
        <v/>
      </c>
      <c r="AE1585" t="str">
        <f>IF($AS1585="","",Config!$B$28)</f>
        <v/>
      </c>
      <c r="AF1585" t="str">
        <f t="shared" si="146"/>
        <v/>
      </c>
      <c r="AG1585" t="str">
        <f t="shared" si="147"/>
        <v/>
      </c>
      <c r="AH1585" t="str">
        <f t="shared" si="148"/>
        <v/>
      </c>
      <c r="AQ1585" t="str">
        <f>IF($AS1585="","",TRIM(IF(COUNTIFS(Calc!$B$2:$B$1601,ROW()-1,Calc!$C$2:$C$1601,"&lt;1")&gt;0,"Ada PO tanpa Koli - cek TMP. ","")&amp;IF(OR($AU1585="",$AU1585&lt;=0),"Volume kosong/0 - dimensi dikosongkan. ","")&amp;IF(AND($AU1585&lt;&gt;"",$AU1585&gt;=1000000),"Volume &gt;= 1.000.000 cm3 (di luar aturan) - dimensi dikosongkan. ","")&amp;IF(LEN($R1585)&gt;500,"R &gt; 500 karakter.","")))</f>
        <v/>
      </c>
      <c r="AS1585" t="str">
        <f>IFERROR(MATCH(ROW()-1,Calc!$J$2:$J$1601,0),"")</f>
        <v/>
      </c>
      <c r="AT1585" t="str">
        <f>IFERROR(MATCH(ROW()-1,Calc!$K$2:$K$1601,0),"")</f>
        <v/>
      </c>
      <c r="AU1585" t="str">
        <f>IF($AS1585="","",IFERROR(INDEX('TMP Paste'!$D$2:$D$1601,$AS1585)*1000000/$AB1585,""))</f>
        <v/>
      </c>
    </row>
    <row r="1586" spans="1:47">
      <c r="A1586" t="str">
        <f>IF($AS1586="","",INDEX('TMP Paste'!$B$2:$B$1601,$AS1586))</f>
        <v/>
      </c>
      <c r="B1586" t="str">
        <f>IF($AS1586="","",Config!$B$14)</f>
        <v/>
      </c>
      <c r="C1586" t="str">
        <f>IF($AS1586="","",Config!$B$15)</f>
        <v/>
      </c>
      <c r="D1586" t="str">
        <f>IF($AS1586="","",INDEX('TMP Paste'!$B$2:$B$1601,$AS1586))</f>
        <v/>
      </c>
      <c r="E1586" t="str">
        <f>IF($AS1586="","",Config!$B$27)</f>
        <v/>
      </c>
      <c r="F1586" t="str">
        <f>IF($AS1586="","",Config!$B$9)</f>
        <v/>
      </c>
      <c r="G1586" t="str">
        <f>IF($AS1586="","",Config!$B$10)</f>
        <v/>
      </c>
      <c r="H1586" t="str">
        <f>IF($AS1586="","",Config!$B$11)</f>
        <v/>
      </c>
      <c r="I1586" t="str">
        <f>IF($AS1586="","",Config!$B$16)</f>
        <v/>
      </c>
      <c r="J1586" t="str">
        <f>IF($AS1586="","",INDEX('TMP Paste'!$A$2:$A$1601,$AS1586))</f>
        <v/>
      </c>
      <c r="K1586" t="str">
        <f>IF($AS1586="","",INDEX('TMP Paste'!$L$2:$L$1601,$AS1586))</f>
        <v/>
      </c>
      <c r="L1586" t="str">
        <f>IF($AS1586="","",INDEX('TMP Paste'!$I$2:$I$1601,$AS1586))</f>
        <v/>
      </c>
      <c r="M1586" t="str">
        <f>IF($AS1586="","",Config!$B$16)</f>
        <v/>
      </c>
      <c r="N1586" t="str">
        <f t="shared" si="144"/>
        <v/>
      </c>
      <c r="O1586" t="str">
        <f>IF($AS1586="","",INDEX('TMP Paste'!$K$2:$K$1601,$AS1586))</f>
        <v/>
      </c>
      <c r="P1586" t="str">
        <f t="shared" si="145"/>
        <v/>
      </c>
      <c r="Q1586" t="str">
        <f>IF($AS1586="","",INDEX('TMP Paste'!$J$2:$J$1601,$AS1586))</f>
        <v/>
      </c>
      <c r="R1586" t="str">
        <f>IF($AS1586="","",Config!$B$24)</f>
        <v/>
      </c>
      <c r="S1586" t="str">
        <f ca="1">IF($AS1586="","",TEXT(Config!$B$4,"yyyy-mm-dd"))</f>
        <v/>
      </c>
      <c r="T1586" t="str">
        <f>IF($AS1586="","",Config!$B$17)</f>
        <v/>
      </c>
      <c r="U1586" t="str">
        <f>IF($AS1586="","",Config!$B$18)</f>
        <v/>
      </c>
      <c r="V1586" t="str">
        <f>IF($AS1586="","",Config!$B$19)</f>
        <v/>
      </c>
      <c r="W1586" t="str">
        <f>IF($AS1586="","",INDEX('TMP Paste'!$C$2:$C$1601,$AS1586))</f>
        <v/>
      </c>
      <c r="X1586" t="str">
        <f>IF($AS1586="","",Config!$B$29)</f>
        <v/>
      </c>
      <c r="Y1586" t="str">
        <f>IF($AT1586="","",INDEX(Calc!$I$2:$I$1601,$AT1586)&amp;" - "&amp;INDEX(Calc!$D$2:$D$1601,$AT1586)&amp;" koli")</f>
        <v/>
      </c>
      <c r="Z1586" t="str">
        <f>IF($AS1586="","",Config!$B$21)</f>
        <v/>
      </c>
      <c r="AA1586" t="str">
        <f>IF($AS1586="","",Config!$B$22)</f>
        <v/>
      </c>
      <c r="AB1586" t="str">
        <f>IF($AT1586="","",INDEX(Calc!$D$2:$D$1601,$AT1586))</f>
        <v/>
      </c>
      <c r="AC1586" t="str">
        <f>IF($AT1586="","",INDEX(Calc!$G$2:$G$1601,$AT1586))</f>
        <v/>
      </c>
      <c r="AD1586" t="str">
        <f>IF($AS1586="","",Config!$B$23)</f>
        <v/>
      </c>
      <c r="AE1586" t="str">
        <f>IF($AS1586="","",Config!$B$28)</f>
        <v/>
      </c>
      <c r="AF1586" t="str">
        <f t="shared" si="146"/>
        <v/>
      </c>
      <c r="AG1586" t="str">
        <f t="shared" si="147"/>
        <v/>
      </c>
      <c r="AH1586" t="str">
        <f t="shared" si="148"/>
        <v/>
      </c>
      <c r="AQ1586" t="str">
        <f>IF($AS1586="","",TRIM(IF(COUNTIFS(Calc!$B$2:$B$1601,ROW()-1,Calc!$C$2:$C$1601,"&lt;1")&gt;0,"Ada PO tanpa Koli - cek TMP. ","")&amp;IF(OR($AU1586="",$AU1586&lt;=0),"Volume kosong/0 - dimensi dikosongkan. ","")&amp;IF(AND($AU1586&lt;&gt;"",$AU1586&gt;=1000000),"Volume &gt;= 1.000.000 cm3 (di luar aturan) - dimensi dikosongkan. ","")&amp;IF(LEN($R1586)&gt;500,"R &gt; 500 karakter.","")))</f>
        <v/>
      </c>
      <c r="AS1586" t="str">
        <f>IFERROR(MATCH(ROW()-1,Calc!$J$2:$J$1601,0),"")</f>
        <v/>
      </c>
      <c r="AT1586" t="str">
        <f>IFERROR(MATCH(ROW()-1,Calc!$K$2:$K$1601,0),"")</f>
        <v/>
      </c>
      <c r="AU1586" t="str">
        <f>IF($AS1586="","",IFERROR(INDEX('TMP Paste'!$D$2:$D$1601,$AS1586)*1000000/$AB1586,""))</f>
        <v/>
      </c>
    </row>
    <row r="1587" spans="1:47">
      <c r="A1587" t="str">
        <f>IF($AS1587="","",INDEX('TMP Paste'!$B$2:$B$1601,$AS1587))</f>
        <v/>
      </c>
      <c r="B1587" t="str">
        <f>IF($AS1587="","",Config!$B$14)</f>
        <v/>
      </c>
      <c r="C1587" t="str">
        <f>IF($AS1587="","",Config!$B$15)</f>
        <v/>
      </c>
      <c r="D1587" t="str">
        <f>IF($AS1587="","",INDEX('TMP Paste'!$B$2:$B$1601,$AS1587))</f>
        <v/>
      </c>
      <c r="E1587" t="str">
        <f>IF($AS1587="","",Config!$B$27)</f>
        <v/>
      </c>
      <c r="F1587" t="str">
        <f>IF($AS1587="","",Config!$B$9)</f>
        <v/>
      </c>
      <c r="G1587" t="str">
        <f>IF($AS1587="","",Config!$B$10)</f>
        <v/>
      </c>
      <c r="H1587" t="str">
        <f>IF($AS1587="","",Config!$B$11)</f>
        <v/>
      </c>
      <c r="I1587" t="str">
        <f>IF($AS1587="","",Config!$B$16)</f>
        <v/>
      </c>
      <c r="J1587" t="str">
        <f>IF($AS1587="","",INDEX('TMP Paste'!$A$2:$A$1601,$AS1587))</f>
        <v/>
      </c>
      <c r="K1587" t="str">
        <f>IF($AS1587="","",INDEX('TMP Paste'!$L$2:$L$1601,$AS1587))</f>
        <v/>
      </c>
      <c r="L1587" t="str">
        <f>IF($AS1587="","",INDEX('TMP Paste'!$I$2:$I$1601,$AS1587))</f>
        <v/>
      </c>
      <c r="M1587" t="str">
        <f>IF($AS1587="","",Config!$B$16)</f>
        <v/>
      </c>
      <c r="N1587" t="str">
        <f t="shared" si="144"/>
        <v/>
      </c>
      <c r="O1587" t="str">
        <f>IF($AS1587="","",INDEX('TMP Paste'!$K$2:$K$1601,$AS1587))</f>
        <v/>
      </c>
      <c r="P1587" t="str">
        <f t="shared" si="145"/>
        <v/>
      </c>
      <c r="Q1587" t="str">
        <f>IF($AS1587="","",INDEX('TMP Paste'!$J$2:$J$1601,$AS1587))</f>
        <v/>
      </c>
      <c r="R1587" t="str">
        <f>IF($AS1587="","",Config!$B$24)</f>
        <v/>
      </c>
      <c r="S1587" t="str">
        <f ca="1">IF($AS1587="","",TEXT(Config!$B$4,"yyyy-mm-dd"))</f>
        <v/>
      </c>
      <c r="T1587" t="str">
        <f>IF($AS1587="","",Config!$B$17)</f>
        <v/>
      </c>
      <c r="U1587" t="str">
        <f>IF($AS1587="","",Config!$B$18)</f>
        <v/>
      </c>
      <c r="V1587" t="str">
        <f>IF($AS1587="","",Config!$B$19)</f>
        <v/>
      </c>
      <c r="W1587" t="str">
        <f>IF($AS1587="","",INDEX('TMP Paste'!$C$2:$C$1601,$AS1587))</f>
        <v/>
      </c>
      <c r="X1587" t="str">
        <f>IF($AS1587="","",Config!$B$29)</f>
        <v/>
      </c>
      <c r="Y1587" t="str">
        <f>IF($AT1587="","",INDEX(Calc!$I$2:$I$1601,$AT1587)&amp;" - "&amp;INDEX(Calc!$D$2:$D$1601,$AT1587)&amp;" koli")</f>
        <v/>
      </c>
      <c r="Z1587" t="str">
        <f>IF($AS1587="","",Config!$B$21)</f>
        <v/>
      </c>
      <c r="AA1587" t="str">
        <f>IF($AS1587="","",Config!$B$22)</f>
        <v/>
      </c>
      <c r="AB1587" t="str">
        <f>IF($AT1587="","",INDEX(Calc!$D$2:$D$1601,$AT1587))</f>
        <v/>
      </c>
      <c r="AC1587" t="str">
        <f>IF($AT1587="","",INDEX(Calc!$G$2:$G$1601,$AT1587))</f>
        <v/>
      </c>
      <c r="AD1587" t="str">
        <f>IF($AS1587="","",Config!$B$23)</f>
        <v/>
      </c>
      <c r="AE1587" t="str">
        <f>IF($AS1587="","",Config!$B$28)</f>
        <v/>
      </c>
      <c r="AF1587" t="str">
        <f t="shared" si="146"/>
        <v/>
      </c>
      <c r="AG1587" t="str">
        <f t="shared" si="147"/>
        <v/>
      </c>
      <c r="AH1587" t="str">
        <f t="shared" si="148"/>
        <v/>
      </c>
      <c r="AQ1587" t="str">
        <f>IF($AS1587="","",TRIM(IF(COUNTIFS(Calc!$B$2:$B$1601,ROW()-1,Calc!$C$2:$C$1601,"&lt;1")&gt;0,"Ada PO tanpa Koli - cek TMP. ","")&amp;IF(OR($AU1587="",$AU1587&lt;=0),"Volume kosong/0 - dimensi dikosongkan. ","")&amp;IF(AND($AU1587&lt;&gt;"",$AU1587&gt;=1000000),"Volume &gt;= 1.000.000 cm3 (di luar aturan) - dimensi dikosongkan. ","")&amp;IF(LEN($R1587)&gt;500,"R &gt; 500 karakter.","")))</f>
        <v/>
      </c>
      <c r="AS1587" t="str">
        <f>IFERROR(MATCH(ROW()-1,Calc!$J$2:$J$1601,0),"")</f>
        <v/>
      </c>
      <c r="AT1587" t="str">
        <f>IFERROR(MATCH(ROW()-1,Calc!$K$2:$K$1601,0),"")</f>
        <v/>
      </c>
      <c r="AU1587" t="str">
        <f>IF($AS1587="","",IFERROR(INDEX('TMP Paste'!$D$2:$D$1601,$AS1587)*1000000/$AB1587,""))</f>
        <v/>
      </c>
    </row>
    <row r="1588" spans="1:47">
      <c r="A1588" t="str">
        <f>IF($AS1588="","",INDEX('TMP Paste'!$B$2:$B$1601,$AS1588))</f>
        <v/>
      </c>
      <c r="B1588" t="str">
        <f>IF($AS1588="","",Config!$B$14)</f>
        <v/>
      </c>
      <c r="C1588" t="str">
        <f>IF($AS1588="","",Config!$B$15)</f>
        <v/>
      </c>
      <c r="D1588" t="str">
        <f>IF($AS1588="","",INDEX('TMP Paste'!$B$2:$B$1601,$AS1588))</f>
        <v/>
      </c>
      <c r="E1588" t="str">
        <f>IF($AS1588="","",Config!$B$27)</f>
        <v/>
      </c>
      <c r="F1588" t="str">
        <f>IF($AS1588="","",Config!$B$9)</f>
        <v/>
      </c>
      <c r="G1588" t="str">
        <f>IF($AS1588="","",Config!$B$10)</f>
        <v/>
      </c>
      <c r="H1588" t="str">
        <f>IF($AS1588="","",Config!$B$11)</f>
        <v/>
      </c>
      <c r="I1588" t="str">
        <f>IF($AS1588="","",Config!$B$16)</f>
        <v/>
      </c>
      <c r="J1588" t="str">
        <f>IF($AS1588="","",INDEX('TMP Paste'!$A$2:$A$1601,$AS1588))</f>
        <v/>
      </c>
      <c r="K1588" t="str">
        <f>IF($AS1588="","",INDEX('TMP Paste'!$L$2:$L$1601,$AS1588))</f>
        <v/>
      </c>
      <c r="L1588" t="str">
        <f>IF($AS1588="","",INDEX('TMP Paste'!$I$2:$I$1601,$AS1588))</f>
        <v/>
      </c>
      <c r="M1588" t="str">
        <f>IF($AS1588="","",Config!$B$16)</f>
        <v/>
      </c>
      <c r="N1588" t="str">
        <f t="shared" si="144"/>
        <v/>
      </c>
      <c r="O1588" t="str">
        <f>IF($AS1588="","",INDEX('TMP Paste'!$K$2:$K$1601,$AS1588))</f>
        <v/>
      </c>
      <c r="P1588" t="str">
        <f t="shared" si="145"/>
        <v/>
      </c>
      <c r="Q1588" t="str">
        <f>IF($AS1588="","",INDEX('TMP Paste'!$J$2:$J$1601,$AS1588))</f>
        <v/>
      </c>
      <c r="R1588" t="str">
        <f>IF($AS1588="","",Config!$B$24)</f>
        <v/>
      </c>
      <c r="S1588" t="str">
        <f ca="1">IF($AS1588="","",TEXT(Config!$B$4,"yyyy-mm-dd"))</f>
        <v/>
      </c>
      <c r="T1588" t="str">
        <f>IF($AS1588="","",Config!$B$17)</f>
        <v/>
      </c>
      <c r="U1588" t="str">
        <f>IF($AS1588="","",Config!$B$18)</f>
        <v/>
      </c>
      <c r="V1588" t="str">
        <f>IF($AS1588="","",Config!$B$19)</f>
        <v/>
      </c>
      <c r="W1588" t="str">
        <f>IF($AS1588="","",INDEX('TMP Paste'!$C$2:$C$1601,$AS1588))</f>
        <v/>
      </c>
      <c r="X1588" t="str">
        <f>IF($AS1588="","",Config!$B$29)</f>
        <v/>
      </c>
      <c r="Y1588" t="str">
        <f>IF($AT1588="","",INDEX(Calc!$I$2:$I$1601,$AT1588)&amp;" - "&amp;INDEX(Calc!$D$2:$D$1601,$AT1588)&amp;" koli")</f>
        <v/>
      </c>
      <c r="Z1588" t="str">
        <f>IF($AS1588="","",Config!$B$21)</f>
        <v/>
      </c>
      <c r="AA1588" t="str">
        <f>IF($AS1588="","",Config!$B$22)</f>
        <v/>
      </c>
      <c r="AB1588" t="str">
        <f>IF($AT1588="","",INDEX(Calc!$D$2:$D$1601,$AT1588))</f>
        <v/>
      </c>
      <c r="AC1588" t="str">
        <f>IF($AT1588="","",INDEX(Calc!$G$2:$G$1601,$AT1588))</f>
        <v/>
      </c>
      <c r="AD1588" t="str">
        <f>IF($AS1588="","",Config!$B$23)</f>
        <v/>
      </c>
      <c r="AE1588" t="str">
        <f>IF($AS1588="","",Config!$B$28)</f>
        <v/>
      </c>
      <c r="AF1588" t="str">
        <f t="shared" si="146"/>
        <v/>
      </c>
      <c r="AG1588" t="str">
        <f t="shared" si="147"/>
        <v/>
      </c>
      <c r="AH1588" t="str">
        <f t="shared" si="148"/>
        <v/>
      </c>
      <c r="AQ1588" t="str">
        <f>IF($AS1588="","",TRIM(IF(COUNTIFS(Calc!$B$2:$B$1601,ROW()-1,Calc!$C$2:$C$1601,"&lt;1")&gt;0,"Ada PO tanpa Koli - cek TMP. ","")&amp;IF(OR($AU1588="",$AU1588&lt;=0),"Volume kosong/0 - dimensi dikosongkan. ","")&amp;IF(AND($AU1588&lt;&gt;"",$AU1588&gt;=1000000),"Volume &gt;= 1.000.000 cm3 (di luar aturan) - dimensi dikosongkan. ","")&amp;IF(LEN($R1588)&gt;500,"R &gt; 500 karakter.","")))</f>
        <v/>
      </c>
      <c r="AS1588" t="str">
        <f>IFERROR(MATCH(ROW()-1,Calc!$J$2:$J$1601,0),"")</f>
        <v/>
      </c>
      <c r="AT1588" t="str">
        <f>IFERROR(MATCH(ROW()-1,Calc!$K$2:$K$1601,0),"")</f>
        <v/>
      </c>
      <c r="AU1588" t="str">
        <f>IF($AS1588="","",IFERROR(INDEX('TMP Paste'!$D$2:$D$1601,$AS1588)*1000000/$AB1588,""))</f>
        <v/>
      </c>
    </row>
    <row r="1589" spans="1:47">
      <c r="A1589" t="str">
        <f>IF($AS1589="","",INDEX('TMP Paste'!$B$2:$B$1601,$AS1589))</f>
        <v/>
      </c>
      <c r="B1589" t="str">
        <f>IF($AS1589="","",Config!$B$14)</f>
        <v/>
      </c>
      <c r="C1589" t="str">
        <f>IF($AS1589="","",Config!$B$15)</f>
        <v/>
      </c>
      <c r="D1589" t="str">
        <f>IF($AS1589="","",INDEX('TMP Paste'!$B$2:$B$1601,$AS1589))</f>
        <v/>
      </c>
      <c r="E1589" t="str">
        <f>IF($AS1589="","",Config!$B$27)</f>
        <v/>
      </c>
      <c r="F1589" t="str">
        <f>IF($AS1589="","",Config!$B$9)</f>
        <v/>
      </c>
      <c r="G1589" t="str">
        <f>IF($AS1589="","",Config!$B$10)</f>
        <v/>
      </c>
      <c r="H1589" t="str">
        <f>IF($AS1589="","",Config!$B$11)</f>
        <v/>
      </c>
      <c r="I1589" t="str">
        <f>IF($AS1589="","",Config!$B$16)</f>
        <v/>
      </c>
      <c r="J1589" t="str">
        <f>IF($AS1589="","",INDEX('TMP Paste'!$A$2:$A$1601,$AS1589))</f>
        <v/>
      </c>
      <c r="K1589" t="str">
        <f>IF($AS1589="","",INDEX('TMP Paste'!$L$2:$L$1601,$AS1589))</f>
        <v/>
      </c>
      <c r="L1589" t="str">
        <f>IF($AS1589="","",INDEX('TMP Paste'!$I$2:$I$1601,$AS1589))</f>
        <v/>
      </c>
      <c r="M1589" t="str">
        <f>IF($AS1589="","",Config!$B$16)</f>
        <v/>
      </c>
      <c r="N1589" t="str">
        <f t="shared" si="144"/>
        <v/>
      </c>
      <c r="O1589" t="str">
        <f>IF($AS1589="","",INDEX('TMP Paste'!$K$2:$K$1601,$AS1589))</f>
        <v/>
      </c>
      <c r="P1589" t="str">
        <f t="shared" si="145"/>
        <v/>
      </c>
      <c r="Q1589" t="str">
        <f>IF($AS1589="","",INDEX('TMP Paste'!$J$2:$J$1601,$AS1589))</f>
        <v/>
      </c>
      <c r="R1589" t="str">
        <f>IF($AS1589="","",Config!$B$24)</f>
        <v/>
      </c>
      <c r="S1589" t="str">
        <f ca="1">IF($AS1589="","",TEXT(Config!$B$4,"yyyy-mm-dd"))</f>
        <v/>
      </c>
      <c r="T1589" t="str">
        <f>IF($AS1589="","",Config!$B$17)</f>
        <v/>
      </c>
      <c r="U1589" t="str">
        <f>IF($AS1589="","",Config!$B$18)</f>
        <v/>
      </c>
      <c r="V1589" t="str">
        <f>IF($AS1589="","",Config!$B$19)</f>
        <v/>
      </c>
      <c r="W1589" t="str">
        <f>IF($AS1589="","",INDEX('TMP Paste'!$C$2:$C$1601,$AS1589))</f>
        <v/>
      </c>
      <c r="X1589" t="str">
        <f>IF($AS1589="","",Config!$B$29)</f>
        <v/>
      </c>
      <c r="Y1589" t="str">
        <f>IF($AT1589="","",INDEX(Calc!$I$2:$I$1601,$AT1589)&amp;" - "&amp;INDEX(Calc!$D$2:$D$1601,$AT1589)&amp;" koli")</f>
        <v/>
      </c>
      <c r="Z1589" t="str">
        <f>IF($AS1589="","",Config!$B$21)</f>
        <v/>
      </c>
      <c r="AA1589" t="str">
        <f>IF($AS1589="","",Config!$B$22)</f>
        <v/>
      </c>
      <c r="AB1589" t="str">
        <f>IF($AT1589="","",INDEX(Calc!$D$2:$D$1601,$AT1589))</f>
        <v/>
      </c>
      <c r="AC1589" t="str">
        <f>IF($AT1589="","",INDEX(Calc!$G$2:$G$1601,$AT1589))</f>
        <v/>
      </c>
      <c r="AD1589" t="str">
        <f>IF($AS1589="","",Config!$B$23)</f>
        <v/>
      </c>
      <c r="AE1589" t="str">
        <f>IF($AS1589="","",Config!$B$28)</f>
        <v/>
      </c>
      <c r="AF1589" t="str">
        <f t="shared" si="146"/>
        <v/>
      </c>
      <c r="AG1589" t="str">
        <f t="shared" si="147"/>
        <v/>
      </c>
      <c r="AH1589" t="str">
        <f t="shared" si="148"/>
        <v/>
      </c>
      <c r="AQ1589" t="str">
        <f>IF($AS1589="","",TRIM(IF(COUNTIFS(Calc!$B$2:$B$1601,ROW()-1,Calc!$C$2:$C$1601,"&lt;1")&gt;0,"Ada PO tanpa Koli - cek TMP. ","")&amp;IF(OR($AU1589="",$AU1589&lt;=0),"Volume kosong/0 - dimensi dikosongkan. ","")&amp;IF(AND($AU1589&lt;&gt;"",$AU1589&gt;=1000000),"Volume &gt;= 1.000.000 cm3 (di luar aturan) - dimensi dikosongkan. ","")&amp;IF(LEN($R1589)&gt;500,"R &gt; 500 karakter.","")))</f>
        <v/>
      </c>
      <c r="AS1589" t="str">
        <f>IFERROR(MATCH(ROW()-1,Calc!$J$2:$J$1601,0),"")</f>
        <v/>
      </c>
      <c r="AT1589" t="str">
        <f>IFERROR(MATCH(ROW()-1,Calc!$K$2:$K$1601,0),"")</f>
        <v/>
      </c>
      <c r="AU1589" t="str">
        <f>IF($AS1589="","",IFERROR(INDEX('TMP Paste'!$D$2:$D$1601,$AS1589)*1000000/$AB1589,""))</f>
        <v/>
      </c>
    </row>
    <row r="1590" spans="1:47">
      <c r="A1590" t="str">
        <f>IF($AS1590="","",INDEX('TMP Paste'!$B$2:$B$1601,$AS1590))</f>
        <v/>
      </c>
      <c r="B1590" t="str">
        <f>IF($AS1590="","",Config!$B$14)</f>
        <v/>
      </c>
      <c r="C1590" t="str">
        <f>IF($AS1590="","",Config!$B$15)</f>
        <v/>
      </c>
      <c r="D1590" t="str">
        <f>IF($AS1590="","",INDEX('TMP Paste'!$B$2:$B$1601,$AS1590))</f>
        <v/>
      </c>
      <c r="E1590" t="str">
        <f>IF($AS1590="","",Config!$B$27)</f>
        <v/>
      </c>
      <c r="F1590" t="str">
        <f>IF($AS1590="","",Config!$B$9)</f>
        <v/>
      </c>
      <c r="G1590" t="str">
        <f>IF($AS1590="","",Config!$B$10)</f>
        <v/>
      </c>
      <c r="H1590" t="str">
        <f>IF($AS1590="","",Config!$B$11)</f>
        <v/>
      </c>
      <c r="I1590" t="str">
        <f>IF($AS1590="","",Config!$B$16)</f>
        <v/>
      </c>
      <c r="J1590" t="str">
        <f>IF($AS1590="","",INDEX('TMP Paste'!$A$2:$A$1601,$AS1590))</f>
        <v/>
      </c>
      <c r="K1590" t="str">
        <f>IF($AS1590="","",INDEX('TMP Paste'!$L$2:$L$1601,$AS1590))</f>
        <v/>
      </c>
      <c r="L1590" t="str">
        <f>IF($AS1590="","",INDEX('TMP Paste'!$I$2:$I$1601,$AS1590))</f>
        <v/>
      </c>
      <c r="M1590" t="str">
        <f>IF($AS1590="","",Config!$B$16)</f>
        <v/>
      </c>
      <c r="N1590" t="str">
        <f t="shared" si="144"/>
        <v/>
      </c>
      <c r="O1590" t="str">
        <f>IF($AS1590="","",INDEX('TMP Paste'!$K$2:$K$1601,$AS1590))</f>
        <v/>
      </c>
      <c r="P1590" t="str">
        <f t="shared" si="145"/>
        <v/>
      </c>
      <c r="Q1590" t="str">
        <f>IF($AS1590="","",INDEX('TMP Paste'!$J$2:$J$1601,$AS1590))</f>
        <v/>
      </c>
      <c r="R1590" t="str">
        <f>IF($AS1590="","",Config!$B$24)</f>
        <v/>
      </c>
      <c r="S1590" t="str">
        <f ca="1">IF($AS1590="","",TEXT(Config!$B$4,"yyyy-mm-dd"))</f>
        <v/>
      </c>
      <c r="T1590" t="str">
        <f>IF($AS1590="","",Config!$B$17)</f>
        <v/>
      </c>
      <c r="U1590" t="str">
        <f>IF($AS1590="","",Config!$B$18)</f>
        <v/>
      </c>
      <c r="V1590" t="str">
        <f>IF($AS1590="","",Config!$B$19)</f>
        <v/>
      </c>
      <c r="W1590" t="str">
        <f>IF($AS1590="","",INDEX('TMP Paste'!$C$2:$C$1601,$AS1590))</f>
        <v/>
      </c>
      <c r="X1590" t="str">
        <f>IF($AS1590="","",Config!$B$29)</f>
        <v/>
      </c>
      <c r="Y1590" t="str">
        <f>IF($AT1590="","",INDEX(Calc!$I$2:$I$1601,$AT1590)&amp;" - "&amp;INDEX(Calc!$D$2:$D$1601,$AT1590)&amp;" koli")</f>
        <v/>
      </c>
      <c r="Z1590" t="str">
        <f>IF($AS1590="","",Config!$B$21)</f>
        <v/>
      </c>
      <c r="AA1590" t="str">
        <f>IF($AS1590="","",Config!$B$22)</f>
        <v/>
      </c>
      <c r="AB1590" t="str">
        <f>IF($AT1590="","",INDEX(Calc!$D$2:$D$1601,$AT1590))</f>
        <v/>
      </c>
      <c r="AC1590" t="str">
        <f>IF($AT1590="","",INDEX(Calc!$G$2:$G$1601,$AT1590))</f>
        <v/>
      </c>
      <c r="AD1590" t="str">
        <f>IF($AS1590="","",Config!$B$23)</f>
        <v/>
      </c>
      <c r="AE1590" t="str">
        <f>IF($AS1590="","",Config!$B$28)</f>
        <v/>
      </c>
      <c r="AF1590" t="str">
        <f t="shared" si="146"/>
        <v/>
      </c>
      <c r="AG1590" t="str">
        <f t="shared" si="147"/>
        <v/>
      </c>
      <c r="AH1590" t="str">
        <f t="shared" si="148"/>
        <v/>
      </c>
      <c r="AQ1590" t="str">
        <f>IF($AS1590="","",TRIM(IF(COUNTIFS(Calc!$B$2:$B$1601,ROW()-1,Calc!$C$2:$C$1601,"&lt;1")&gt;0,"Ada PO tanpa Koli - cek TMP. ","")&amp;IF(OR($AU1590="",$AU1590&lt;=0),"Volume kosong/0 - dimensi dikosongkan. ","")&amp;IF(AND($AU1590&lt;&gt;"",$AU1590&gt;=1000000),"Volume &gt;= 1.000.000 cm3 (di luar aturan) - dimensi dikosongkan. ","")&amp;IF(LEN($R1590)&gt;500,"R &gt; 500 karakter.","")))</f>
        <v/>
      </c>
      <c r="AS1590" t="str">
        <f>IFERROR(MATCH(ROW()-1,Calc!$J$2:$J$1601,0),"")</f>
        <v/>
      </c>
      <c r="AT1590" t="str">
        <f>IFERROR(MATCH(ROW()-1,Calc!$K$2:$K$1601,0),"")</f>
        <v/>
      </c>
      <c r="AU1590" t="str">
        <f>IF($AS1590="","",IFERROR(INDEX('TMP Paste'!$D$2:$D$1601,$AS1590)*1000000/$AB1590,""))</f>
        <v/>
      </c>
    </row>
    <row r="1591" spans="1:47">
      <c r="A1591" t="str">
        <f>IF($AS1591="","",INDEX('TMP Paste'!$B$2:$B$1601,$AS1591))</f>
        <v/>
      </c>
      <c r="B1591" t="str">
        <f>IF($AS1591="","",Config!$B$14)</f>
        <v/>
      </c>
      <c r="C1591" t="str">
        <f>IF($AS1591="","",Config!$B$15)</f>
        <v/>
      </c>
      <c r="D1591" t="str">
        <f>IF($AS1591="","",INDEX('TMP Paste'!$B$2:$B$1601,$AS1591))</f>
        <v/>
      </c>
      <c r="E1591" t="str">
        <f>IF($AS1591="","",Config!$B$27)</f>
        <v/>
      </c>
      <c r="F1591" t="str">
        <f>IF($AS1591="","",Config!$B$9)</f>
        <v/>
      </c>
      <c r="G1591" t="str">
        <f>IF($AS1591="","",Config!$B$10)</f>
        <v/>
      </c>
      <c r="H1591" t="str">
        <f>IF($AS1591="","",Config!$B$11)</f>
        <v/>
      </c>
      <c r="I1591" t="str">
        <f>IF($AS1591="","",Config!$B$16)</f>
        <v/>
      </c>
      <c r="J1591" t="str">
        <f>IF($AS1591="","",INDEX('TMP Paste'!$A$2:$A$1601,$AS1591))</f>
        <v/>
      </c>
      <c r="K1591" t="str">
        <f>IF($AS1591="","",INDEX('TMP Paste'!$L$2:$L$1601,$AS1591))</f>
        <v/>
      </c>
      <c r="L1591" t="str">
        <f>IF($AS1591="","",INDEX('TMP Paste'!$I$2:$I$1601,$AS1591))</f>
        <v/>
      </c>
      <c r="M1591" t="str">
        <f>IF($AS1591="","",Config!$B$16)</f>
        <v/>
      </c>
      <c r="N1591" t="str">
        <f t="shared" si="144"/>
        <v/>
      </c>
      <c r="O1591" t="str">
        <f>IF($AS1591="","",INDEX('TMP Paste'!$K$2:$K$1601,$AS1591))</f>
        <v/>
      </c>
      <c r="P1591" t="str">
        <f t="shared" si="145"/>
        <v/>
      </c>
      <c r="Q1591" t="str">
        <f>IF($AS1591="","",INDEX('TMP Paste'!$J$2:$J$1601,$AS1591))</f>
        <v/>
      </c>
      <c r="R1591" t="str">
        <f>IF($AS1591="","",Config!$B$24)</f>
        <v/>
      </c>
      <c r="S1591" t="str">
        <f ca="1">IF($AS1591="","",TEXT(Config!$B$4,"yyyy-mm-dd"))</f>
        <v/>
      </c>
      <c r="T1591" t="str">
        <f>IF($AS1591="","",Config!$B$17)</f>
        <v/>
      </c>
      <c r="U1591" t="str">
        <f>IF($AS1591="","",Config!$B$18)</f>
        <v/>
      </c>
      <c r="V1591" t="str">
        <f>IF($AS1591="","",Config!$B$19)</f>
        <v/>
      </c>
      <c r="W1591" t="str">
        <f>IF($AS1591="","",INDEX('TMP Paste'!$C$2:$C$1601,$AS1591))</f>
        <v/>
      </c>
      <c r="X1591" t="str">
        <f>IF($AS1591="","",Config!$B$29)</f>
        <v/>
      </c>
      <c r="Y1591" t="str">
        <f>IF($AT1591="","",INDEX(Calc!$I$2:$I$1601,$AT1591)&amp;" - "&amp;INDEX(Calc!$D$2:$D$1601,$AT1591)&amp;" koli")</f>
        <v/>
      </c>
      <c r="Z1591" t="str">
        <f>IF($AS1591="","",Config!$B$21)</f>
        <v/>
      </c>
      <c r="AA1591" t="str">
        <f>IF($AS1591="","",Config!$B$22)</f>
        <v/>
      </c>
      <c r="AB1591" t="str">
        <f>IF($AT1591="","",INDEX(Calc!$D$2:$D$1601,$AT1591))</f>
        <v/>
      </c>
      <c r="AC1591" t="str">
        <f>IF($AT1591="","",INDEX(Calc!$G$2:$G$1601,$AT1591))</f>
        <v/>
      </c>
      <c r="AD1591" t="str">
        <f>IF($AS1591="","",Config!$B$23)</f>
        <v/>
      </c>
      <c r="AE1591" t="str">
        <f>IF($AS1591="","",Config!$B$28)</f>
        <v/>
      </c>
      <c r="AF1591" t="str">
        <f t="shared" si="146"/>
        <v/>
      </c>
      <c r="AG1591" t="str">
        <f t="shared" si="147"/>
        <v/>
      </c>
      <c r="AH1591" t="str">
        <f t="shared" si="148"/>
        <v/>
      </c>
      <c r="AQ1591" t="str">
        <f>IF($AS1591="","",TRIM(IF(COUNTIFS(Calc!$B$2:$B$1601,ROW()-1,Calc!$C$2:$C$1601,"&lt;1")&gt;0,"Ada PO tanpa Koli - cek TMP. ","")&amp;IF(OR($AU1591="",$AU1591&lt;=0),"Volume kosong/0 - dimensi dikosongkan. ","")&amp;IF(AND($AU1591&lt;&gt;"",$AU1591&gt;=1000000),"Volume &gt;= 1.000.000 cm3 (di luar aturan) - dimensi dikosongkan. ","")&amp;IF(LEN($R1591)&gt;500,"R &gt; 500 karakter.","")))</f>
        <v/>
      </c>
      <c r="AS1591" t="str">
        <f>IFERROR(MATCH(ROW()-1,Calc!$J$2:$J$1601,0),"")</f>
        <v/>
      </c>
      <c r="AT1591" t="str">
        <f>IFERROR(MATCH(ROW()-1,Calc!$K$2:$K$1601,0),"")</f>
        <v/>
      </c>
      <c r="AU1591" t="str">
        <f>IF($AS1591="","",IFERROR(INDEX('TMP Paste'!$D$2:$D$1601,$AS1591)*1000000/$AB1591,""))</f>
        <v/>
      </c>
    </row>
    <row r="1592" spans="1:47">
      <c r="A1592" t="str">
        <f>IF($AS1592="","",INDEX('TMP Paste'!$B$2:$B$1601,$AS1592))</f>
        <v/>
      </c>
      <c r="B1592" t="str">
        <f>IF($AS1592="","",Config!$B$14)</f>
        <v/>
      </c>
      <c r="C1592" t="str">
        <f>IF($AS1592="","",Config!$B$15)</f>
        <v/>
      </c>
      <c r="D1592" t="str">
        <f>IF($AS1592="","",INDEX('TMP Paste'!$B$2:$B$1601,$AS1592))</f>
        <v/>
      </c>
      <c r="E1592" t="str">
        <f>IF($AS1592="","",Config!$B$27)</f>
        <v/>
      </c>
      <c r="F1592" t="str">
        <f>IF($AS1592="","",Config!$B$9)</f>
        <v/>
      </c>
      <c r="G1592" t="str">
        <f>IF($AS1592="","",Config!$B$10)</f>
        <v/>
      </c>
      <c r="H1592" t="str">
        <f>IF($AS1592="","",Config!$B$11)</f>
        <v/>
      </c>
      <c r="I1592" t="str">
        <f>IF($AS1592="","",Config!$B$16)</f>
        <v/>
      </c>
      <c r="J1592" t="str">
        <f>IF($AS1592="","",INDEX('TMP Paste'!$A$2:$A$1601,$AS1592))</f>
        <v/>
      </c>
      <c r="K1592" t="str">
        <f>IF($AS1592="","",INDEX('TMP Paste'!$L$2:$L$1601,$AS1592))</f>
        <v/>
      </c>
      <c r="L1592" t="str">
        <f>IF($AS1592="","",INDEX('TMP Paste'!$I$2:$I$1601,$AS1592))</f>
        <v/>
      </c>
      <c r="M1592" t="str">
        <f>IF($AS1592="","",Config!$B$16)</f>
        <v/>
      </c>
      <c r="N1592" t="str">
        <f t="shared" si="144"/>
        <v/>
      </c>
      <c r="O1592" t="str">
        <f>IF($AS1592="","",INDEX('TMP Paste'!$K$2:$K$1601,$AS1592))</f>
        <v/>
      </c>
      <c r="P1592" t="str">
        <f t="shared" si="145"/>
        <v/>
      </c>
      <c r="Q1592" t="str">
        <f>IF($AS1592="","",INDEX('TMP Paste'!$J$2:$J$1601,$AS1592))</f>
        <v/>
      </c>
      <c r="R1592" t="str">
        <f>IF($AS1592="","",Config!$B$24)</f>
        <v/>
      </c>
      <c r="S1592" t="str">
        <f ca="1">IF($AS1592="","",TEXT(Config!$B$4,"yyyy-mm-dd"))</f>
        <v/>
      </c>
      <c r="T1592" t="str">
        <f>IF($AS1592="","",Config!$B$17)</f>
        <v/>
      </c>
      <c r="U1592" t="str">
        <f>IF($AS1592="","",Config!$B$18)</f>
        <v/>
      </c>
      <c r="V1592" t="str">
        <f>IF($AS1592="","",Config!$B$19)</f>
        <v/>
      </c>
      <c r="W1592" t="str">
        <f>IF($AS1592="","",INDEX('TMP Paste'!$C$2:$C$1601,$AS1592))</f>
        <v/>
      </c>
      <c r="X1592" t="str">
        <f>IF($AS1592="","",Config!$B$29)</f>
        <v/>
      </c>
      <c r="Y1592" t="str">
        <f>IF($AT1592="","",INDEX(Calc!$I$2:$I$1601,$AT1592)&amp;" - "&amp;INDEX(Calc!$D$2:$D$1601,$AT1592)&amp;" koli")</f>
        <v/>
      </c>
      <c r="Z1592" t="str">
        <f>IF($AS1592="","",Config!$B$21)</f>
        <v/>
      </c>
      <c r="AA1592" t="str">
        <f>IF($AS1592="","",Config!$B$22)</f>
        <v/>
      </c>
      <c r="AB1592" t="str">
        <f>IF($AT1592="","",INDEX(Calc!$D$2:$D$1601,$AT1592))</f>
        <v/>
      </c>
      <c r="AC1592" t="str">
        <f>IF($AT1592="","",INDEX(Calc!$G$2:$G$1601,$AT1592))</f>
        <v/>
      </c>
      <c r="AD1592" t="str">
        <f>IF($AS1592="","",Config!$B$23)</f>
        <v/>
      </c>
      <c r="AE1592" t="str">
        <f>IF($AS1592="","",Config!$B$28)</f>
        <v/>
      </c>
      <c r="AF1592" t="str">
        <f t="shared" si="146"/>
        <v/>
      </c>
      <c r="AG1592" t="str">
        <f t="shared" si="147"/>
        <v/>
      </c>
      <c r="AH1592" t="str">
        <f t="shared" si="148"/>
        <v/>
      </c>
      <c r="AQ1592" t="str">
        <f>IF($AS1592="","",TRIM(IF(COUNTIFS(Calc!$B$2:$B$1601,ROW()-1,Calc!$C$2:$C$1601,"&lt;1")&gt;0,"Ada PO tanpa Koli - cek TMP. ","")&amp;IF(OR($AU1592="",$AU1592&lt;=0),"Volume kosong/0 - dimensi dikosongkan. ","")&amp;IF(AND($AU1592&lt;&gt;"",$AU1592&gt;=1000000),"Volume &gt;= 1.000.000 cm3 (di luar aturan) - dimensi dikosongkan. ","")&amp;IF(LEN($R1592)&gt;500,"R &gt; 500 karakter.","")))</f>
        <v/>
      </c>
      <c r="AS1592" t="str">
        <f>IFERROR(MATCH(ROW()-1,Calc!$J$2:$J$1601,0),"")</f>
        <v/>
      </c>
      <c r="AT1592" t="str">
        <f>IFERROR(MATCH(ROW()-1,Calc!$K$2:$K$1601,0),"")</f>
        <v/>
      </c>
      <c r="AU1592" t="str">
        <f>IF($AS1592="","",IFERROR(INDEX('TMP Paste'!$D$2:$D$1601,$AS1592)*1000000/$AB1592,""))</f>
        <v/>
      </c>
    </row>
    <row r="1593" spans="1:47">
      <c r="A1593" t="str">
        <f>IF($AS1593="","",INDEX('TMP Paste'!$B$2:$B$1601,$AS1593))</f>
        <v/>
      </c>
      <c r="B1593" t="str">
        <f>IF($AS1593="","",Config!$B$14)</f>
        <v/>
      </c>
      <c r="C1593" t="str">
        <f>IF($AS1593="","",Config!$B$15)</f>
        <v/>
      </c>
      <c r="D1593" t="str">
        <f>IF($AS1593="","",INDEX('TMP Paste'!$B$2:$B$1601,$AS1593))</f>
        <v/>
      </c>
      <c r="E1593" t="str">
        <f>IF($AS1593="","",Config!$B$27)</f>
        <v/>
      </c>
      <c r="F1593" t="str">
        <f>IF($AS1593="","",Config!$B$9)</f>
        <v/>
      </c>
      <c r="G1593" t="str">
        <f>IF($AS1593="","",Config!$B$10)</f>
        <v/>
      </c>
      <c r="H1593" t="str">
        <f>IF($AS1593="","",Config!$B$11)</f>
        <v/>
      </c>
      <c r="I1593" t="str">
        <f>IF($AS1593="","",Config!$B$16)</f>
        <v/>
      </c>
      <c r="J1593" t="str">
        <f>IF($AS1593="","",INDEX('TMP Paste'!$A$2:$A$1601,$AS1593))</f>
        <v/>
      </c>
      <c r="K1593" t="str">
        <f>IF($AS1593="","",INDEX('TMP Paste'!$L$2:$L$1601,$AS1593))</f>
        <v/>
      </c>
      <c r="L1593" t="str">
        <f>IF($AS1593="","",INDEX('TMP Paste'!$I$2:$I$1601,$AS1593))</f>
        <v/>
      </c>
      <c r="M1593" t="str">
        <f>IF($AS1593="","",Config!$B$16)</f>
        <v/>
      </c>
      <c r="N1593" t="str">
        <f t="shared" si="144"/>
        <v/>
      </c>
      <c r="O1593" t="str">
        <f>IF($AS1593="","",INDEX('TMP Paste'!$K$2:$K$1601,$AS1593))</f>
        <v/>
      </c>
      <c r="P1593" t="str">
        <f t="shared" si="145"/>
        <v/>
      </c>
      <c r="Q1593" t="str">
        <f>IF($AS1593="","",INDEX('TMP Paste'!$J$2:$J$1601,$AS1593))</f>
        <v/>
      </c>
      <c r="R1593" t="str">
        <f>IF($AS1593="","",Config!$B$24)</f>
        <v/>
      </c>
      <c r="S1593" t="str">
        <f ca="1">IF($AS1593="","",TEXT(Config!$B$4,"yyyy-mm-dd"))</f>
        <v/>
      </c>
      <c r="T1593" t="str">
        <f>IF($AS1593="","",Config!$B$17)</f>
        <v/>
      </c>
      <c r="U1593" t="str">
        <f>IF($AS1593="","",Config!$B$18)</f>
        <v/>
      </c>
      <c r="V1593" t="str">
        <f>IF($AS1593="","",Config!$B$19)</f>
        <v/>
      </c>
      <c r="W1593" t="str">
        <f>IF($AS1593="","",INDEX('TMP Paste'!$C$2:$C$1601,$AS1593))</f>
        <v/>
      </c>
      <c r="X1593" t="str">
        <f>IF($AS1593="","",Config!$B$29)</f>
        <v/>
      </c>
      <c r="Y1593" t="str">
        <f>IF($AT1593="","",INDEX(Calc!$I$2:$I$1601,$AT1593)&amp;" - "&amp;INDEX(Calc!$D$2:$D$1601,$AT1593)&amp;" koli")</f>
        <v/>
      </c>
      <c r="Z1593" t="str">
        <f>IF($AS1593="","",Config!$B$21)</f>
        <v/>
      </c>
      <c r="AA1593" t="str">
        <f>IF($AS1593="","",Config!$B$22)</f>
        <v/>
      </c>
      <c r="AB1593" t="str">
        <f>IF($AT1593="","",INDEX(Calc!$D$2:$D$1601,$AT1593))</f>
        <v/>
      </c>
      <c r="AC1593" t="str">
        <f>IF($AT1593="","",INDEX(Calc!$G$2:$G$1601,$AT1593))</f>
        <v/>
      </c>
      <c r="AD1593" t="str">
        <f>IF($AS1593="","",Config!$B$23)</f>
        <v/>
      </c>
      <c r="AE1593" t="str">
        <f>IF($AS1593="","",Config!$B$28)</f>
        <v/>
      </c>
      <c r="AF1593" t="str">
        <f t="shared" si="146"/>
        <v/>
      </c>
      <c r="AG1593" t="str">
        <f t="shared" si="147"/>
        <v/>
      </c>
      <c r="AH1593" t="str">
        <f t="shared" si="148"/>
        <v/>
      </c>
      <c r="AQ1593" t="str">
        <f>IF($AS1593="","",TRIM(IF(COUNTIFS(Calc!$B$2:$B$1601,ROW()-1,Calc!$C$2:$C$1601,"&lt;1")&gt;0,"Ada PO tanpa Koli - cek TMP. ","")&amp;IF(OR($AU1593="",$AU1593&lt;=0),"Volume kosong/0 - dimensi dikosongkan. ","")&amp;IF(AND($AU1593&lt;&gt;"",$AU1593&gt;=1000000),"Volume &gt;= 1.000.000 cm3 (di luar aturan) - dimensi dikosongkan. ","")&amp;IF(LEN($R1593)&gt;500,"R &gt; 500 karakter.","")))</f>
        <v/>
      </c>
      <c r="AS1593" t="str">
        <f>IFERROR(MATCH(ROW()-1,Calc!$J$2:$J$1601,0),"")</f>
        <v/>
      </c>
      <c r="AT1593" t="str">
        <f>IFERROR(MATCH(ROW()-1,Calc!$K$2:$K$1601,0),"")</f>
        <v/>
      </c>
      <c r="AU1593" t="str">
        <f>IF($AS1593="","",IFERROR(INDEX('TMP Paste'!$D$2:$D$1601,$AS1593)*1000000/$AB1593,""))</f>
        <v/>
      </c>
    </row>
    <row r="1594" spans="1:47">
      <c r="A1594" t="str">
        <f>IF($AS1594="","",INDEX('TMP Paste'!$B$2:$B$1601,$AS1594))</f>
        <v/>
      </c>
      <c r="B1594" t="str">
        <f>IF($AS1594="","",Config!$B$14)</f>
        <v/>
      </c>
      <c r="C1594" t="str">
        <f>IF($AS1594="","",Config!$B$15)</f>
        <v/>
      </c>
      <c r="D1594" t="str">
        <f>IF($AS1594="","",INDEX('TMP Paste'!$B$2:$B$1601,$AS1594))</f>
        <v/>
      </c>
      <c r="E1594" t="str">
        <f>IF($AS1594="","",Config!$B$27)</f>
        <v/>
      </c>
      <c r="F1594" t="str">
        <f>IF($AS1594="","",Config!$B$9)</f>
        <v/>
      </c>
      <c r="G1594" t="str">
        <f>IF($AS1594="","",Config!$B$10)</f>
        <v/>
      </c>
      <c r="H1594" t="str">
        <f>IF($AS1594="","",Config!$B$11)</f>
        <v/>
      </c>
      <c r="I1594" t="str">
        <f>IF($AS1594="","",Config!$B$16)</f>
        <v/>
      </c>
      <c r="J1594" t="str">
        <f>IF($AS1594="","",INDEX('TMP Paste'!$A$2:$A$1601,$AS1594))</f>
        <v/>
      </c>
      <c r="K1594" t="str">
        <f>IF($AS1594="","",INDEX('TMP Paste'!$L$2:$L$1601,$AS1594))</f>
        <v/>
      </c>
      <c r="L1594" t="str">
        <f>IF($AS1594="","",INDEX('TMP Paste'!$I$2:$I$1601,$AS1594))</f>
        <v/>
      </c>
      <c r="M1594" t="str">
        <f>IF($AS1594="","",Config!$B$16)</f>
        <v/>
      </c>
      <c r="N1594" t="str">
        <f t="shared" si="144"/>
        <v/>
      </c>
      <c r="O1594" t="str">
        <f>IF($AS1594="","",INDEX('TMP Paste'!$K$2:$K$1601,$AS1594))</f>
        <v/>
      </c>
      <c r="P1594" t="str">
        <f t="shared" si="145"/>
        <v/>
      </c>
      <c r="Q1594" t="str">
        <f>IF($AS1594="","",INDEX('TMP Paste'!$J$2:$J$1601,$AS1594))</f>
        <v/>
      </c>
      <c r="R1594" t="str">
        <f>IF($AS1594="","",Config!$B$24)</f>
        <v/>
      </c>
      <c r="S1594" t="str">
        <f ca="1">IF($AS1594="","",TEXT(Config!$B$4,"yyyy-mm-dd"))</f>
        <v/>
      </c>
      <c r="T1594" t="str">
        <f>IF($AS1594="","",Config!$B$17)</f>
        <v/>
      </c>
      <c r="U1594" t="str">
        <f>IF($AS1594="","",Config!$B$18)</f>
        <v/>
      </c>
      <c r="V1594" t="str">
        <f>IF($AS1594="","",Config!$B$19)</f>
        <v/>
      </c>
      <c r="W1594" t="str">
        <f>IF($AS1594="","",INDEX('TMP Paste'!$C$2:$C$1601,$AS1594))</f>
        <v/>
      </c>
      <c r="X1594" t="str">
        <f>IF($AS1594="","",Config!$B$29)</f>
        <v/>
      </c>
      <c r="Y1594" t="str">
        <f>IF($AT1594="","",INDEX(Calc!$I$2:$I$1601,$AT1594)&amp;" - "&amp;INDEX(Calc!$D$2:$D$1601,$AT1594)&amp;" koli")</f>
        <v/>
      </c>
      <c r="Z1594" t="str">
        <f>IF($AS1594="","",Config!$B$21)</f>
        <v/>
      </c>
      <c r="AA1594" t="str">
        <f>IF($AS1594="","",Config!$B$22)</f>
        <v/>
      </c>
      <c r="AB1594" t="str">
        <f>IF($AT1594="","",INDEX(Calc!$D$2:$D$1601,$AT1594))</f>
        <v/>
      </c>
      <c r="AC1594" t="str">
        <f>IF($AT1594="","",INDEX(Calc!$G$2:$G$1601,$AT1594))</f>
        <v/>
      </c>
      <c r="AD1594" t="str">
        <f>IF($AS1594="","",Config!$B$23)</f>
        <v/>
      </c>
      <c r="AE1594" t="str">
        <f>IF($AS1594="","",Config!$B$28)</f>
        <v/>
      </c>
      <c r="AF1594" t="str">
        <f t="shared" si="146"/>
        <v/>
      </c>
      <c r="AG1594" t="str">
        <f t="shared" si="147"/>
        <v/>
      </c>
      <c r="AH1594" t="str">
        <f t="shared" si="148"/>
        <v/>
      </c>
      <c r="AQ1594" t="str">
        <f>IF($AS1594="","",TRIM(IF(COUNTIFS(Calc!$B$2:$B$1601,ROW()-1,Calc!$C$2:$C$1601,"&lt;1")&gt;0,"Ada PO tanpa Koli - cek TMP. ","")&amp;IF(OR($AU1594="",$AU1594&lt;=0),"Volume kosong/0 - dimensi dikosongkan. ","")&amp;IF(AND($AU1594&lt;&gt;"",$AU1594&gt;=1000000),"Volume &gt;= 1.000.000 cm3 (di luar aturan) - dimensi dikosongkan. ","")&amp;IF(LEN($R1594)&gt;500,"R &gt; 500 karakter.","")))</f>
        <v/>
      </c>
      <c r="AS1594" t="str">
        <f>IFERROR(MATCH(ROW()-1,Calc!$J$2:$J$1601,0),"")</f>
        <v/>
      </c>
      <c r="AT1594" t="str">
        <f>IFERROR(MATCH(ROW()-1,Calc!$K$2:$K$1601,0),"")</f>
        <v/>
      </c>
      <c r="AU1594" t="str">
        <f>IF($AS1594="","",IFERROR(INDEX('TMP Paste'!$D$2:$D$1601,$AS1594)*1000000/$AB1594,""))</f>
        <v/>
      </c>
    </row>
    <row r="1595" spans="1:47">
      <c r="A1595" t="str">
        <f>IF($AS1595="","",INDEX('TMP Paste'!$B$2:$B$1601,$AS1595))</f>
        <v/>
      </c>
      <c r="B1595" t="str">
        <f>IF($AS1595="","",Config!$B$14)</f>
        <v/>
      </c>
      <c r="C1595" t="str">
        <f>IF($AS1595="","",Config!$B$15)</f>
        <v/>
      </c>
      <c r="D1595" t="str">
        <f>IF($AS1595="","",INDEX('TMP Paste'!$B$2:$B$1601,$AS1595))</f>
        <v/>
      </c>
      <c r="E1595" t="str">
        <f>IF($AS1595="","",Config!$B$27)</f>
        <v/>
      </c>
      <c r="F1595" t="str">
        <f>IF($AS1595="","",Config!$B$9)</f>
        <v/>
      </c>
      <c r="G1595" t="str">
        <f>IF($AS1595="","",Config!$B$10)</f>
        <v/>
      </c>
      <c r="H1595" t="str">
        <f>IF($AS1595="","",Config!$B$11)</f>
        <v/>
      </c>
      <c r="I1595" t="str">
        <f>IF($AS1595="","",Config!$B$16)</f>
        <v/>
      </c>
      <c r="J1595" t="str">
        <f>IF($AS1595="","",INDEX('TMP Paste'!$A$2:$A$1601,$AS1595))</f>
        <v/>
      </c>
      <c r="K1595" t="str">
        <f>IF($AS1595="","",INDEX('TMP Paste'!$L$2:$L$1601,$AS1595))</f>
        <v/>
      </c>
      <c r="L1595" t="str">
        <f>IF($AS1595="","",INDEX('TMP Paste'!$I$2:$I$1601,$AS1595))</f>
        <v/>
      </c>
      <c r="M1595" t="str">
        <f>IF($AS1595="","",Config!$B$16)</f>
        <v/>
      </c>
      <c r="N1595" t="str">
        <f t="shared" si="144"/>
        <v/>
      </c>
      <c r="O1595" t="str">
        <f>IF($AS1595="","",INDEX('TMP Paste'!$K$2:$K$1601,$AS1595))</f>
        <v/>
      </c>
      <c r="P1595" t="str">
        <f t="shared" si="145"/>
        <v/>
      </c>
      <c r="Q1595" t="str">
        <f>IF($AS1595="","",INDEX('TMP Paste'!$J$2:$J$1601,$AS1595))</f>
        <v/>
      </c>
      <c r="R1595" t="str">
        <f>IF($AS1595="","",Config!$B$24)</f>
        <v/>
      </c>
      <c r="S1595" t="str">
        <f ca="1">IF($AS1595="","",TEXT(Config!$B$4,"yyyy-mm-dd"))</f>
        <v/>
      </c>
      <c r="T1595" t="str">
        <f>IF($AS1595="","",Config!$B$17)</f>
        <v/>
      </c>
      <c r="U1595" t="str">
        <f>IF($AS1595="","",Config!$B$18)</f>
        <v/>
      </c>
      <c r="V1595" t="str">
        <f>IF($AS1595="","",Config!$B$19)</f>
        <v/>
      </c>
      <c r="W1595" t="str">
        <f>IF($AS1595="","",INDEX('TMP Paste'!$C$2:$C$1601,$AS1595))</f>
        <v/>
      </c>
      <c r="X1595" t="str">
        <f>IF($AS1595="","",Config!$B$29)</f>
        <v/>
      </c>
      <c r="Y1595" t="str">
        <f>IF($AT1595="","",INDEX(Calc!$I$2:$I$1601,$AT1595)&amp;" - "&amp;INDEX(Calc!$D$2:$D$1601,$AT1595)&amp;" koli")</f>
        <v/>
      </c>
      <c r="Z1595" t="str">
        <f>IF($AS1595="","",Config!$B$21)</f>
        <v/>
      </c>
      <c r="AA1595" t="str">
        <f>IF($AS1595="","",Config!$B$22)</f>
        <v/>
      </c>
      <c r="AB1595" t="str">
        <f>IF($AT1595="","",INDEX(Calc!$D$2:$D$1601,$AT1595))</f>
        <v/>
      </c>
      <c r="AC1595" t="str">
        <f>IF($AT1595="","",INDEX(Calc!$G$2:$G$1601,$AT1595))</f>
        <v/>
      </c>
      <c r="AD1595" t="str">
        <f>IF($AS1595="","",Config!$B$23)</f>
        <v/>
      </c>
      <c r="AE1595" t="str">
        <f>IF($AS1595="","",Config!$B$28)</f>
        <v/>
      </c>
      <c r="AF1595" t="str">
        <f t="shared" si="146"/>
        <v/>
      </c>
      <c r="AG1595" t="str">
        <f t="shared" si="147"/>
        <v/>
      </c>
      <c r="AH1595" t="str">
        <f t="shared" si="148"/>
        <v/>
      </c>
      <c r="AQ1595" t="str">
        <f>IF($AS1595="","",TRIM(IF(COUNTIFS(Calc!$B$2:$B$1601,ROW()-1,Calc!$C$2:$C$1601,"&lt;1")&gt;0,"Ada PO tanpa Koli - cek TMP. ","")&amp;IF(OR($AU1595="",$AU1595&lt;=0),"Volume kosong/0 - dimensi dikosongkan. ","")&amp;IF(AND($AU1595&lt;&gt;"",$AU1595&gt;=1000000),"Volume &gt;= 1.000.000 cm3 (di luar aturan) - dimensi dikosongkan. ","")&amp;IF(LEN($R1595)&gt;500,"R &gt; 500 karakter.","")))</f>
        <v/>
      </c>
      <c r="AS1595" t="str">
        <f>IFERROR(MATCH(ROW()-1,Calc!$J$2:$J$1601,0),"")</f>
        <v/>
      </c>
      <c r="AT1595" t="str">
        <f>IFERROR(MATCH(ROW()-1,Calc!$K$2:$K$1601,0),"")</f>
        <v/>
      </c>
      <c r="AU1595" t="str">
        <f>IF($AS1595="","",IFERROR(INDEX('TMP Paste'!$D$2:$D$1601,$AS1595)*1000000/$AB1595,""))</f>
        <v/>
      </c>
    </row>
    <row r="1596" spans="1:47">
      <c r="A1596" t="str">
        <f>IF($AS1596="","",INDEX('TMP Paste'!$B$2:$B$1601,$AS1596))</f>
        <v/>
      </c>
      <c r="B1596" t="str">
        <f>IF($AS1596="","",Config!$B$14)</f>
        <v/>
      </c>
      <c r="C1596" t="str">
        <f>IF($AS1596="","",Config!$B$15)</f>
        <v/>
      </c>
      <c r="D1596" t="str">
        <f>IF($AS1596="","",INDEX('TMP Paste'!$B$2:$B$1601,$AS1596))</f>
        <v/>
      </c>
      <c r="E1596" t="str">
        <f>IF($AS1596="","",Config!$B$27)</f>
        <v/>
      </c>
      <c r="F1596" t="str">
        <f>IF($AS1596="","",Config!$B$9)</f>
        <v/>
      </c>
      <c r="G1596" t="str">
        <f>IF($AS1596="","",Config!$B$10)</f>
        <v/>
      </c>
      <c r="H1596" t="str">
        <f>IF($AS1596="","",Config!$B$11)</f>
        <v/>
      </c>
      <c r="I1596" t="str">
        <f>IF($AS1596="","",Config!$B$16)</f>
        <v/>
      </c>
      <c r="J1596" t="str">
        <f>IF($AS1596="","",INDEX('TMP Paste'!$A$2:$A$1601,$AS1596))</f>
        <v/>
      </c>
      <c r="K1596" t="str">
        <f>IF($AS1596="","",INDEX('TMP Paste'!$L$2:$L$1601,$AS1596))</f>
        <v/>
      </c>
      <c r="L1596" t="str">
        <f>IF($AS1596="","",INDEX('TMP Paste'!$I$2:$I$1601,$AS1596))</f>
        <v/>
      </c>
      <c r="M1596" t="str">
        <f>IF($AS1596="","",Config!$B$16)</f>
        <v/>
      </c>
      <c r="N1596" t="str">
        <f t="shared" si="144"/>
        <v/>
      </c>
      <c r="O1596" t="str">
        <f>IF($AS1596="","",INDEX('TMP Paste'!$K$2:$K$1601,$AS1596))</f>
        <v/>
      </c>
      <c r="P1596" t="str">
        <f t="shared" si="145"/>
        <v/>
      </c>
      <c r="Q1596" t="str">
        <f>IF($AS1596="","",INDEX('TMP Paste'!$J$2:$J$1601,$AS1596))</f>
        <v/>
      </c>
      <c r="R1596" t="str">
        <f>IF($AS1596="","",Config!$B$24)</f>
        <v/>
      </c>
      <c r="S1596" t="str">
        <f ca="1">IF($AS1596="","",TEXT(Config!$B$4,"yyyy-mm-dd"))</f>
        <v/>
      </c>
      <c r="T1596" t="str">
        <f>IF($AS1596="","",Config!$B$17)</f>
        <v/>
      </c>
      <c r="U1596" t="str">
        <f>IF($AS1596="","",Config!$B$18)</f>
        <v/>
      </c>
      <c r="V1596" t="str">
        <f>IF($AS1596="","",Config!$B$19)</f>
        <v/>
      </c>
      <c r="W1596" t="str">
        <f>IF($AS1596="","",INDEX('TMP Paste'!$C$2:$C$1601,$AS1596))</f>
        <v/>
      </c>
      <c r="X1596" t="str">
        <f>IF($AS1596="","",Config!$B$29)</f>
        <v/>
      </c>
      <c r="Y1596" t="str">
        <f>IF($AT1596="","",INDEX(Calc!$I$2:$I$1601,$AT1596)&amp;" - "&amp;INDEX(Calc!$D$2:$D$1601,$AT1596)&amp;" koli")</f>
        <v/>
      </c>
      <c r="Z1596" t="str">
        <f>IF($AS1596="","",Config!$B$21)</f>
        <v/>
      </c>
      <c r="AA1596" t="str">
        <f>IF($AS1596="","",Config!$B$22)</f>
        <v/>
      </c>
      <c r="AB1596" t="str">
        <f>IF($AT1596="","",INDEX(Calc!$D$2:$D$1601,$AT1596))</f>
        <v/>
      </c>
      <c r="AC1596" t="str">
        <f>IF($AT1596="","",INDEX(Calc!$G$2:$G$1601,$AT1596))</f>
        <v/>
      </c>
      <c r="AD1596" t="str">
        <f>IF($AS1596="","",Config!$B$23)</f>
        <v/>
      </c>
      <c r="AE1596" t="str">
        <f>IF($AS1596="","",Config!$B$28)</f>
        <v/>
      </c>
      <c r="AF1596" t="str">
        <f t="shared" si="146"/>
        <v/>
      </c>
      <c r="AG1596" t="str">
        <f t="shared" si="147"/>
        <v/>
      </c>
      <c r="AH1596" t="str">
        <f t="shared" si="148"/>
        <v/>
      </c>
      <c r="AQ1596" t="str">
        <f>IF($AS1596="","",TRIM(IF(COUNTIFS(Calc!$B$2:$B$1601,ROW()-1,Calc!$C$2:$C$1601,"&lt;1")&gt;0,"Ada PO tanpa Koli - cek TMP. ","")&amp;IF(OR($AU1596="",$AU1596&lt;=0),"Volume kosong/0 - dimensi dikosongkan. ","")&amp;IF(AND($AU1596&lt;&gt;"",$AU1596&gt;=1000000),"Volume &gt;= 1.000.000 cm3 (di luar aturan) - dimensi dikosongkan. ","")&amp;IF(LEN($R1596)&gt;500,"R &gt; 500 karakter.","")))</f>
        <v/>
      </c>
      <c r="AS1596" t="str">
        <f>IFERROR(MATCH(ROW()-1,Calc!$J$2:$J$1601,0),"")</f>
        <v/>
      </c>
      <c r="AT1596" t="str">
        <f>IFERROR(MATCH(ROW()-1,Calc!$K$2:$K$1601,0),"")</f>
        <v/>
      </c>
      <c r="AU1596" t="str">
        <f>IF($AS1596="","",IFERROR(INDEX('TMP Paste'!$D$2:$D$1601,$AS1596)*1000000/$AB1596,""))</f>
        <v/>
      </c>
    </row>
    <row r="1597" spans="1:47">
      <c r="A1597" t="str">
        <f>IF($AS1597="","",INDEX('TMP Paste'!$B$2:$B$1601,$AS1597))</f>
        <v/>
      </c>
      <c r="B1597" t="str">
        <f>IF($AS1597="","",Config!$B$14)</f>
        <v/>
      </c>
      <c r="C1597" t="str">
        <f>IF($AS1597="","",Config!$B$15)</f>
        <v/>
      </c>
      <c r="D1597" t="str">
        <f>IF($AS1597="","",INDEX('TMP Paste'!$B$2:$B$1601,$AS1597))</f>
        <v/>
      </c>
      <c r="E1597" t="str">
        <f>IF($AS1597="","",Config!$B$27)</f>
        <v/>
      </c>
      <c r="F1597" t="str">
        <f>IF($AS1597="","",Config!$B$9)</f>
        <v/>
      </c>
      <c r="G1597" t="str">
        <f>IF($AS1597="","",Config!$B$10)</f>
        <v/>
      </c>
      <c r="H1597" t="str">
        <f>IF($AS1597="","",Config!$B$11)</f>
        <v/>
      </c>
      <c r="I1597" t="str">
        <f>IF($AS1597="","",Config!$B$16)</f>
        <v/>
      </c>
      <c r="J1597" t="str">
        <f>IF($AS1597="","",INDEX('TMP Paste'!$A$2:$A$1601,$AS1597))</f>
        <v/>
      </c>
      <c r="K1597" t="str">
        <f>IF($AS1597="","",INDEX('TMP Paste'!$L$2:$L$1601,$AS1597))</f>
        <v/>
      </c>
      <c r="L1597" t="str">
        <f>IF($AS1597="","",INDEX('TMP Paste'!$I$2:$I$1601,$AS1597))</f>
        <v/>
      </c>
      <c r="M1597" t="str">
        <f>IF($AS1597="","",Config!$B$16)</f>
        <v/>
      </c>
      <c r="N1597" t="str">
        <f t="shared" si="144"/>
        <v/>
      </c>
      <c r="O1597" t="str">
        <f>IF($AS1597="","",INDEX('TMP Paste'!$K$2:$K$1601,$AS1597))</f>
        <v/>
      </c>
      <c r="P1597" t="str">
        <f t="shared" si="145"/>
        <v/>
      </c>
      <c r="Q1597" t="str">
        <f>IF($AS1597="","",INDEX('TMP Paste'!$J$2:$J$1601,$AS1597))</f>
        <v/>
      </c>
      <c r="R1597" t="str">
        <f>IF($AS1597="","",Config!$B$24)</f>
        <v/>
      </c>
      <c r="S1597" t="str">
        <f ca="1">IF($AS1597="","",TEXT(Config!$B$4,"yyyy-mm-dd"))</f>
        <v/>
      </c>
      <c r="T1597" t="str">
        <f>IF($AS1597="","",Config!$B$17)</f>
        <v/>
      </c>
      <c r="U1597" t="str">
        <f>IF($AS1597="","",Config!$B$18)</f>
        <v/>
      </c>
      <c r="V1597" t="str">
        <f>IF($AS1597="","",Config!$B$19)</f>
        <v/>
      </c>
      <c r="W1597" t="str">
        <f>IF($AS1597="","",INDEX('TMP Paste'!$C$2:$C$1601,$AS1597))</f>
        <v/>
      </c>
      <c r="X1597" t="str">
        <f>IF($AS1597="","",Config!$B$29)</f>
        <v/>
      </c>
      <c r="Y1597" t="str">
        <f>IF($AT1597="","",INDEX(Calc!$I$2:$I$1601,$AT1597)&amp;" - "&amp;INDEX(Calc!$D$2:$D$1601,$AT1597)&amp;" koli")</f>
        <v/>
      </c>
      <c r="Z1597" t="str">
        <f>IF($AS1597="","",Config!$B$21)</f>
        <v/>
      </c>
      <c r="AA1597" t="str">
        <f>IF($AS1597="","",Config!$B$22)</f>
        <v/>
      </c>
      <c r="AB1597" t="str">
        <f>IF($AT1597="","",INDEX(Calc!$D$2:$D$1601,$AT1597))</f>
        <v/>
      </c>
      <c r="AC1597" t="str">
        <f>IF($AT1597="","",INDEX(Calc!$G$2:$G$1601,$AT1597))</f>
        <v/>
      </c>
      <c r="AD1597" t="str">
        <f>IF($AS1597="","",Config!$B$23)</f>
        <v/>
      </c>
      <c r="AE1597" t="str">
        <f>IF($AS1597="","",Config!$B$28)</f>
        <v/>
      </c>
      <c r="AF1597" t="str">
        <f t="shared" si="146"/>
        <v/>
      </c>
      <c r="AG1597" t="str">
        <f t="shared" si="147"/>
        <v/>
      </c>
      <c r="AH1597" t="str">
        <f t="shared" si="148"/>
        <v/>
      </c>
      <c r="AQ1597" t="str">
        <f>IF($AS1597="","",TRIM(IF(COUNTIFS(Calc!$B$2:$B$1601,ROW()-1,Calc!$C$2:$C$1601,"&lt;1")&gt;0,"Ada PO tanpa Koli - cek TMP. ","")&amp;IF(OR($AU1597="",$AU1597&lt;=0),"Volume kosong/0 - dimensi dikosongkan. ","")&amp;IF(AND($AU1597&lt;&gt;"",$AU1597&gt;=1000000),"Volume &gt;= 1.000.000 cm3 (di luar aturan) - dimensi dikosongkan. ","")&amp;IF(LEN($R1597)&gt;500,"R &gt; 500 karakter.","")))</f>
        <v/>
      </c>
      <c r="AS1597" t="str">
        <f>IFERROR(MATCH(ROW()-1,Calc!$J$2:$J$1601,0),"")</f>
        <v/>
      </c>
      <c r="AT1597" t="str">
        <f>IFERROR(MATCH(ROW()-1,Calc!$K$2:$K$1601,0),"")</f>
        <v/>
      </c>
      <c r="AU1597" t="str">
        <f>IF($AS1597="","",IFERROR(INDEX('TMP Paste'!$D$2:$D$1601,$AS1597)*1000000/$AB1597,""))</f>
        <v/>
      </c>
    </row>
    <row r="1598" spans="1:47">
      <c r="A1598" t="str">
        <f>IF($AS1598="","",INDEX('TMP Paste'!$B$2:$B$1601,$AS1598))</f>
        <v/>
      </c>
      <c r="B1598" t="str">
        <f>IF($AS1598="","",Config!$B$14)</f>
        <v/>
      </c>
      <c r="C1598" t="str">
        <f>IF($AS1598="","",Config!$B$15)</f>
        <v/>
      </c>
      <c r="D1598" t="str">
        <f>IF($AS1598="","",INDEX('TMP Paste'!$B$2:$B$1601,$AS1598))</f>
        <v/>
      </c>
      <c r="E1598" t="str">
        <f>IF($AS1598="","",Config!$B$27)</f>
        <v/>
      </c>
      <c r="F1598" t="str">
        <f>IF($AS1598="","",Config!$B$9)</f>
        <v/>
      </c>
      <c r="G1598" t="str">
        <f>IF($AS1598="","",Config!$B$10)</f>
        <v/>
      </c>
      <c r="H1598" t="str">
        <f>IF($AS1598="","",Config!$B$11)</f>
        <v/>
      </c>
      <c r="I1598" t="str">
        <f>IF($AS1598="","",Config!$B$16)</f>
        <v/>
      </c>
      <c r="J1598" t="str">
        <f>IF($AS1598="","",INDEX('TMP Paste'!$A$2:$A$1601,$AS1598))</f>
        <v/>
      </c>
      <c r="K1598" t="str">
        <f>IF($AS1598="","",INDEX('TMP Paste'!$L$2:$L$1601,$AS1598))</f>
        <v/>
      </c>
      <c r="L1598" t="str">
        <f>IF($AS1598="","",INDEX('TMP Paste'!$I$2:$I$1601,$AS1598))</f>
        <v/>
      </c>
      <c r="M1598" t="str">
        <f>IF($AS1598="","",Config!$B$16)</f>
        <v/>
      </c>
      <c r="N1598" t="str">
        <f t="shared" si="144"/>
        <v/>
      </c>
      <c r="O1598" t="str">
        <f>IF($AS1598="","",INDEX('TMP Paste'!$K$2:$K$1601,$AS1598))</f>
        <v/>
      </c>
      <c r="P1598" t="str">
        <f t="shared" si="145"/>
        <v/>
      </c>
      <c r="Q1598" t="str">
        <f>IF($AS1598="","",INDEX('TMP Paste'!$J$2:$J$1601,$AS1598))</f>
        <v/>
      </c>
      <c r="R1598" t="str">
        <f>IF($AS1598="","",Config!$B$24)</f>
        <v/>
      </c>
      <c r="S1598" t="str">
        <f ca="1">IF($AS1598="","",TEXT(Config!$B$4,"yyyy-mm-dd"))</f>
        <v/>
      </c>
      <c r="T1598" t="str">
        <f>IF($AS1598="","",Config!$B$17)</f>
        <v/>
      </c>
      <c r="U1598" t="str">
        <f>IF($AS1598="","",Config!$B$18)</f>
        <v/>
      </c>
      <c r="V1598" t="str">
        <f>IF($AS1598="","",Config!$B$19)</f>
        <v/>
      </c>
      <c r="W1598" t="str">
        <f>IF($AS1598="","",INDEX('TMP Paste'!$C$2:$C$1601,$AS1598))</f>
        <v/>
      </c>
      <c r="X1598" t="str">
        <f>IF($AS1598="","",Config!$B$29)</f>
        <v/>
      </c>
      <c r="Y1598" t="str">
        <f>IF($AT1598="","",INDEX(Calc!$I$2:$I$1601,$AT1598)&amp;" - "&amp;INDEX(Calc!$D$2:$D$1601,$AT1598)&amp;" koli")</f>
        <v/>
      </c>
      <c r="Z1598" t="str">
        <f>IF($AS1598="","",Config!$B$21)</f>
        <v/>
      </c>
      <c r="AA1598" t="str">
        <f>IF($AS1598="","",Config!$B$22)</f>
        <v/>
      </c>
      <c r="AB1598" t="str">
        <f>IF($AT1598="","",INDEX(Calc!$D$2:$D$1601,$AT1598))</f>
        <v/>
      </c>
      <c r="AC1598" t="str">
        <f>IF($AT1598="","",INDEX(Calc!$G$2:$G$1601,$AT1598))</f>
        <v/>
      </c>
      <c r="AD1598" t="str">
        <f>IF($AS1598="","",Config!$B$23)</f>
        <v/>
      </c>
      <c r="AE1598" t="str">
        <f>IF($AS1598="","",Config!$B$28)</f>
        <v/>
      </c>
      <c r="AF1598" t="str">
        <f t="shared" si="146"/>
        <v/>
      </c>
      <c r="AG1598" t="str">
        <f t="shared" si="147"/>
        <v/>
      </c>
      <c r="AH1598" t="str">
        <f t="shared" si="148"/>
        <v/>
      </c>
      <c r="AQ1598" t="str">
        <f>IF($AS1598="","",TRIM(IF(COUNTIFS(Calc!$B$2:$B$1601,ROW()-1,Calc!$C$2:$C$1601,"&lt;1")&gt;0,"Ada PO tanpa Koli - cek TMP. ","")&amp;IF(OR($AU1598="",$AU1598&lt;=0),"Volume kosong/0 - dimensi dikosongkan. ","")&amp;IF(AND($AU1598&lt;&gt;"",$AU1598&gt;=1000000),"Volume &gt;= 1.000.000 cm3 (di luar aturan) - dimensi dikosongkan. ","")&amp;IF(LEN($R1598)&gt;500,"R &gt; 500 karakter.","")))</f>
        <v/>
      </c>
      <c r="AS1598" t="str">
        <f>IFERROR(MATCH(ROW()-1,Calc!$J$2:$J$1601,0),"")</f>
        <v/>
      </c>
      <c r="AT1598" t="str">
        <f>IFERROR(MATCH(ROW()-1,Calc!$K$2:$K$1601,0),"")</f>
        <v/>
      </c>
      <c r="AU1598" t="str">
        <f>IF($AS1598="","",IFERROR(INDEX('TMP Paste'!$D$2:$D$1601,$AS1598)*1000000/$AB1598,""))</f>
        <v/>
      </c>
    </row>
    <row r="1599" spans="1:47">
      <c r="A1599" t="str">
        <f>IF($AS1599="","",INDEX('TMP Paste'!$B$2:$B$1601,$AS1599))</f>
        <v/>
      </c>
      <c r="B1599" t="str">
        <f>IF($AS1599="","",Config!$B$14)</f>
        <v/>
      </c>
      <c r="C1599" t="str">
        <f>IF($AS1599="","",Config!$B$15)</f>
        <v/>
      </c>
      <c r="D1599" t="str">
        <f>IF($AS1599="","",INDEX('TMP Paste'!$B$2:$B$1601,$AS1599))</f>
        <v/>
      </c>
      <c r="E1599" t="str">
        <f>IF($AS1599="","",Config!$B$27)</f>
        <v/>
      </c>
      <c r="F1599" t="str">
        <f>IF($AS1599="","",Config!$B$9)</f>
        <v/>
      </c>
      <c r="G1599" t="str">
        <f>IF($AS1599="","",Config!$B$10)</f>
        <v/>
      </c>
      <c r="H1599" t="str">
        <f>IF($AS1599="","",Config!$B$11)</f>
        <v/>
      </c>
      <c r="I1599" t="str">
        <f>IF($AS1599="","",Config!$B$16)</f>
        <v/>
      </c>
      <c r="J1599" t="str">
        <f>IF($AS1599="","",INDEX('TMP Paste'!$A$2:$A$1601,$AS1599))</f>
        <v/>
      </c>
      <c r="K1599" t="str">
        <f>IF($AS1599="","",INDEX('TMP Paste'!$L$2:$L$1601,$AS1599))</f>
        <v/>
      </c>
      <c r="L1599" t="str">
        <f>IF($AS1599="","",INDEX('TMP Paste'!$I$2:$I$1601,$AS1599))</f>
        <v/>
      </c>
      <c r="M1599" t="str">
        <f>IF($AS1599="","",Config!$B$16)</f>
        <v/>
      </c>
      <c r="N1599" t="str">
        <f t="shared" si="144"/>
        <v/>
      </c>
      <c r="O1599" t="str">
        <f>IF($AS1599="","",INDEX('TMP Paste'!$K$2:$K$1601,$AS1599))</f>
        <v/>
      </c>
      <c r="P1599" t="str">
        <f t="shared" si="145"/>
        <v/>
      </c>
      <c r="Q1599" t="str">
        <f>IF($AS1599="","",INDEX('TMP Paste'!$J$2:$J$1601,$AS1599))</f>
        <v/>
      </c>
      <c r="R1599" t="str">
        <f>IF($AS1599="","",Config!$B$24)</f>
        <v/>
      </c>
      <c r="S1599" t="str">
        <f ca="1">IF($AS1599="","",TEXT(Config!$B$4,"yyyy-mm-dd"))</f>
        <v/>
      </c>
      <c r="T1599" t="str">
        <f>IF($AS1599="","",Config!$B$17)</f>
        <v/>
      </c>
      <c r="U1599" t="str">
        <f>IF($AS1599="","",Config!$B$18)</f>
        <v/>
      </c>
      <c r="V1599" t="str">
        <f>IF($AS1599="","",Config!$B$19)</f>
        <v/>
      </c>
      <c r="W1599" t="str">
        <f>IF($AS1599="","",INDEX('TMP Paste'!$C$2:$C$1601,$AS1599))</f>
        <v/>
      </c>
      <c r="X1599" t="str">
        <f>IF($AS1599="","",Config!$B$29)</f>
        <v/>
      </c>
      <c r="Y1599" t="str">
        <f>IF($AT1599="","",INDEX(Calc!$I$2:$I$1601,$AT1599)&amp;" - "&amp;INDEX(Calc!$D$2:$D$1601,$AT1599)&amp;" koli")</f>
        <v/>
      </c>
      <c r="Z1599" t="str">
        <f>IF($AS1599="","",Config!$B$21)</f>
        <v/>
      </c>
      <c r="AA1599" t="str">
        <f>IF($AS1599="","",Config!$B$22)</f>
        <v/>
      </c>
      <c r="AB1599" t="str">
        <f>IF($AT1599="","",INDEX(Calc!$D$2:$D$1601,$AT1599))</f>
        <v/>
      </c>
      <c r="AC1599" t="str">
        <f>IF($AT1599="","",INDEX(Calc!$G$2:$G$1601,$AT1599))</f>
        <v/>
      </c>
      <c r="AD1599" t="str">
        <f>IF($AS1599="","",Config!$B$23)</f>
        <v/>
      </c>
      <c r="AE1599" t="str">
        <f>IF($AS1599="","",Config!$B$28)</f>
        <v/>
      </c>
      <c r="AF1599" t="str">
        <f t="shared" si="146"/>
        <v/>
      </c>
      <c r="AG1599" t="str">
        <f t="shared" si="147"/>
        <v/>
      </c>
      <c r="AH1599" t="str">
        <f t="shared" si="148"/>
        <v/>
      </c>
      <c r="AQ1599" t="str">
        <f>IF($AS1599="","",TRIM(IF(COUNTIFS(Calc!$B$2:$B$1601,ROW()-1,Calc!$C$2:$C$1601,"&lt;1")&gt;0,"Ada PO tanpa Koli - cek TMP. ","")&amp;IF(OR($AU1599="",$AU1599&lt;=0),"Volume kosong/0 - dimensi dikosongkan. ","")&amp;IF(AND($AU1599&lt;&gt;"",$AU1599&gt;=1000000),"Volume &gt;= 1.000.000 cm3 (di luar aturan) - dimensi dikosongkan. ","")&amp;IF(LEN($R1599)&gt;500,"R &gt; 500 karakter.","")))</f>
        <v/>
      </c>
      <c r="AS1599" t="str">
        <f>IFERROR(MATCH(ROW()-1,Calc!$J$2:$J$1601,0),"")</f>
        <v/>
      </c>
      <c r="AT1599" t="str">
        <f>IFERROR(MATCH(ROW()-1,Calc!$K$2:$K$1601,0),"")</f>
        <v/>
      </c>
      <c r="AU1599" t="str">
        <f>IF($AS1599="","",IFERROR(INDEX('TMP Paste'!$D$2:$D$1601,$AS1599)*1000000/$AB1599,""))</f>
        <v/>
      </c>
    </row>
    <row r="1600" spans="1:47">
      <c r="A1600" t="str">
        <f>IF($AS1600="","",INDEX('TMP Paste'!$B$2:$B$1601,$AS1600))</f>
        <v/>
      </c>
      <c r="B1600" t="str">
        <f>IF($AS1600="","",Config!$B$14)</f>
        <v/>
      </c>
      <c r="C1600" t="str">
        <f>IF($AS1600="","",Config!$B$15)</f>
        <v/>
      </c>
      <c r="D1600" t="str">
        <f>IF($AS1600="","",INDEX('TMP Paste'!$B$2:$B$1601,$AS1600))</f>
        <v/>
      </c>
      <c r="E1600" t="str">
        <f>IF($AS1600="","",Config!$B$27)</f>
        <v/>
      </c>
      <c r="F1600" t="str">
        <f>IF($AS1600="","",Config!$B$9)</f>
        <v/>
      </c>
      <c r="G1600" t="str">
        <f>IF($AS1600="","",Config!$B$10)</f>
        <v/>
      </c>
      <c r="H1600" t="str">
        <f>IF($AS1600="","",Config!$B$11)</f>
        <v/>
      </c>
      <c r="I1600" t="str">
        <f>IF($AS1600="","",Config!$B$16)</f>
        <v/>
      </c>
      <c r="J1600" t="str">
        <f>IF($AS1600="","",INDEX('TMP Paste'!$A$2:$A$1601,$AS1600))</f>
        <v/>
      </c>
      <c r="K1600" t="str">
        <f>IF($AS1600="","",INDEX('TMP Paste'!$L$2:$L$1601,$AS1600))</f>
        <v/>
      </c>
      <c r="L1600" t="str">
        <f>IF($AS1600="","",INDEX('TMP Paste'!$I$2:$I$1601,$AS1600))</f>
        <v/>
      </c>
      <c r="M1600" t="str">
        <f>IF($AS1600="","",Config!$B$16)</f>
        <v/>
      </c>
      <c r="N1600" t="str">
        <f t="shared" si="144"/>
        <v/>
      </c>
      <c r="O1600" t="str">
        <f>IF($AS1600="","",INDEX('TMP Paste'!$K$2:$K$1601,$AS1600))</f>
        <v/>
      </c>
      <c r="P1600" t="str">
        <f t="shared" si="145"/>
        <v/>
      </c>
      <c r="Q1600" t="str">
        <f>IF($AS1600="","",INDEX('TMP Paste'!$J$2:$J$1601,$AS1600))</f>
        <v/>
      </c>
      <c r="R1600" t="str">
        <f>IF($AS1600="","",Config!$B$24)</f>
        <v/>
      </c>
      <c r="S1600" t="str">
        <f ca="1">IF($AS1600="","",TEXT(Config!$B$4,"yyyy-mm-dd"))</f>
        <v/>
      </c>
      <c r="T1600" t="str">
        <f>IF($AS1600="","",Config!$B$17)</f>
        <v/>
      </c>
      <c r="U1600" t="str">
        <f>IF($AS1600="","",Config!$B$18)</f>
        <v/>
      </c>
      <c r="V1600" t="str">
        <f>IF($AS1600="","",Config!$B$19)</f>
        <v/>
      </c>
      <c r="W1600" t="str">
        <f>IF($AS1600="","",INDEX('TMP Paste'!$C$2:$C$1601,$AS1600))</f>
        <v/>
      </c>
      <c r="X1600" t="str">
        <f>IF($AS1600="","",Config!$B$29)</f>
        <v/>
      </c>
      <c r="Y1600" t="str">
        <f>IF($AT1600="","",INDEX(Calc!$I$2:$I$1601,$AT1600)&amp;" - "&amp;INDEX(Calc!$D$2:$D$1601,$AT1600)&amp;" koli")</f>
        <v/>
      </c>
      <c r="Z1600" t="str">
        <f>IF($AS1600="","",Config!$B$21)</f>
        <v/>
      </c>
      <c r="AA1600" t="str">
        <f>IF($AS1600="","",Config!$B$22)</f>
        <v/>
      </c>
      <c r="AB1600" t="str">
        <f>IF($AT1600="","",INDEX(Calc!$D$2:$D$1601,$AT1600))</f>
        <v/>
      </c>
      <c r="AC1600" t="str">
        <f>IF($AT1600="","",INDEX(Calc!$G$2:$G$1601,$AT1600))</f>
        <v/>
      </c>
      <c r="AD1600" t="str">
        <f>IF($AS1600="","",Config!$B$23)</f>
        <v/>
      </c>
      <c r="AE1600" t="str">
        <f>IF($AS1600="","",Config!$B$28)</f>
        <v/>
      </c>
      <c r="AF1600" t="str">
        <f t="shared" si="146"/>
        <v/>
      </c>
      <c r="AG1600" t="str">
        <f t="shared" si="147"/>
        <v/>
      </c>
      <c r="AH1600" t="str">
        <f t="shared" si="148"/>
        <v/>
      </c>
      <c r="AQ1600" t="str">
        <f>IF($AS1600="","",TRIM(IF(COUNTIFS(Calc!$B$2:$B$1601,ROW()-1,Calc!$C$2:$C$1601,"&lt;1")&gt;0,"Ada PO tanpa Koli - cek TMP. ","")&amp;IF(OR($AU1600="",$AU1600&lt;=0),"Volume kosong/0 - dimensi dikosongkan. ","")&amp;IF(AND($AU1600&lt;&gt;"",$AU1600&gt;=1000000),"Volume &gt;= 1.000.000 cm3 (di luar aturan) - dimensi dikosongkan. ","")&amp;IF(LEN($R1600)&gt;500,"R &gt; 500 karakter.","")))</f>
        <v/>
      </c>
      <c r="AS1600" t="str">
        <f>IFERROR(MATCH(ROW()-1,Calc!$J$2:$J$1601,0),"")</f>
        <v/>
      </c>
      <c r="AT1600" t="str">
        <f>IFERROR(MATCH(ROW()-1,Calc!$K$2:$K$1601,0),"")</f>
        <v/>
      </c>
      <c r="AU1600" t="str">
        <f>IF($AS1600="","",IFERROR(INDEX('TMP Paste'!$D$2:$D$1601,$AS1600)*1000000/$AB1600,""))</f>
        <v/>
      </c>
    </row>
    <row r="1601" spans="1:47">
      <c r="A1601" t="str">
        <f>IF($AS1601="","",INDEX('TMP Paste'!$B$2:$B$1601,$AS1601))</f>
        <v/>
      </c>
      <c r="B1601" t="str">
        <f>IF($AS1601="","",Config!$B$14)</f>
        <v/>
      </c>
      <c r="C1601" t="str">
        <f>IF($AS1601="","",Config!$B$15)</f>
        <v/>
      </c>
      <c r="D1601" t="str">
        <f>IF($AS1601="","",INDEX('TMP Paste'!$B$2:$B$1601,$AS1601))</f>
        <v/>
      </c>
      <c r="E1601" t="str">
        <f>IF($AS1601="","",Config!$B$27)</f>
        <v/>
      </c>
      <c r="F1601" t="str">
        <f>IF($AS1601="","",Config!$B$9)</f>
        <v/>
      </c>
      <c r="G1601" t="str">
        <f>IF($AS1601="","",Config!$B$10)</f>
        <v/>
      </c>
      <c r="H1601" t="str">
        <f>IF($AS1601="","",Config!$B$11)</f>
        <v/>
      </c>
      <c r="I1601" t="str">
        <f>IF($AS1601="","",Config!$B$16)</f>
        <v/>
      </c>
      <c r="J1601" t="str">
        <f>IF($AS1601="","",INDEX('TMP Paste'!$A$2:$A$1601,$AS1601))</f>
        <v/>
      </c>
      <c r="K1601" t="str">
        <f>IF($AS1601="","",INDEX('TMP Paste'!$L$2:$L$1601,$AS1601))</f>
        <v/>
      </c>
      <c r="L1601" t="str">
        <f>IF($AS1601="","",INDEX('TMP Paste'!$I$2:$I$1601,$AS1601))</f>
        <v/>
      </c>
      <c r="M1601" t="str">
        <f>IF($AS1601="","",Config!$B$16)</f>
        <v/>
      </c>
      <c r="N1601" t="str">
        <f t="shared" si="144"/>
        <v/>
      </c>
      <c r="O1601" t="str">
        <f>IF($AS1601="","",INDEX('TMP Paste'!$K$2:$K$1601,$AS1601))</f>
        <v/>
      </c>
      <c r="P1601" t="str">
        <f t="shared" si="145"/>
        <v/>
      </c>
      <c r="Q1601" t="str">
        <f>IF($AS1601="","",INDEX('TMP Paste'!$J$2:$J$1601,$AS1601))</f>
        <v/>
      </c>
      <c r="R1601" t="str">
        <f>IF($AS1601="","",Config!$B$24)</f>
        <v/>
      </c>
      <c r="S1601" t="str">
        <f ca="1">IF($AS1601="","",TEXT(Config!$B$4,"yyyy-mm-dd"))</f>
        <v/>
      </c>
      <c r="T1601" t="str">
        <f>IF($AS1601="","",Config!$B$17)</f>
        <v/>
      </c>
      <c r="U1601" t="str">
        <f>IF($AS1601="","",Config!$B$18)</f>
        <v/>
      </c>
      <c r="V1601" t="str">
        <f>IF($AS1601="","",Config!$B$19)</f>
        <v/>
      </c>
      <c r="W1601" t="str">
        <f>IF($AS1601="","",INDEX('TMP Paste'!$C$2:$C$1601,$AS1601))</f>
        <v/>
      </c>
      <c r="X1601" t="str">
        <f>IF($AS1601="","",Config!$B$29)</f>
        <v/>
      </c>
      <c r="Y1601" t="str">
        <f>IF($AT1601="","",INDEX(Calc!$I$2:$I$1601,$AT1601)&amp;" - "&amp;INDEX(Calc!$D$2:$D$1601,$AT1601)&amp;" koli")</f>
        <v/>
      </c>
      <c r="Z1601" t="str">
        <f>IF($AS1601="","",Config!$B$21)</f>
        <v/>
      </c>
      <c r="AA1601" t="str">
        <f>IF($AS1601="","",Config!$B$22)</f>
        <v/>
      </c>
      <c r="AB1601" t="str">
        <f>IF($AT1601="","",INDEX(Calc!$D$2:$D$1601,$AT1601))</f>
        <v/>
      </c>
      <c r="AC1601" t="str">
        <f>IF($AT1601="","",INDEX(Calc!$G$2:$G$1601,$AT1601))</f>
        <v/>
      </c>
      <c r="AD1601" t="str">
        <f>IF($AS1601="","",Config!$B$23)</f>
        <v/>
      </c>
      <c r="AE1601" t="str">
        <f>IF($AS1601="","",Config!$B$28)</f>
        <v/>
      </c>
      <c r="AF1601" t="str">
        <f t="shared" si="146"/>
        <v/>
      </c>
      <c r="AG1601" t="str">
        <f t="shared" si="147"/>
        <v/>
      </c>
      <c r="AH1601" t="str">
        <f t="shared" si="148"/>
        <v/>
      </c>
      <c r="AQ1601" t="str">
        <f>IF($AS1601="","",TRIM(IF(COUNTIFS(Calc!$B$2:$B$1601,ROW()-1,Calc!$C$2:$C$1601,"&lt;1")&gt;0,"Ada PO tanpa Koli - cek TMP. ","")&amp;IF(OR($AU1601="",$AU1601&lt;=0),"Volume kosong/0 - dimensi dikosongkan. ","")&amp;IF(AND($AU1601&lt;&gt;"",$AU1601&gt;=1000000),"Volume &gt;= 1.000.000 cm3 (di luar aturan) - dimensi dikosongkan. ","")&amp;IF(LEN($R1601)&gt;500,"R &gt; 500 karakter.","")))</f>
        <v/>
      </c>
      <c r="AS1601" t="str">
        <f>IFERROR(MATCH(ROW()-1,Calc!$J$2:$J$1601,0),"")</f>
        <v/>
      </c>
      <c r="AT1601" t="str">
        <f>IFERROR(MATCH(ROW()-1,Calc!$K$2:$K$1601,0),"")</f>
        <v/>
      </c>
      <c r="AU1601" t="str">
        <f>IF($AS1601="","",IFERROR(INDEX('TMP Paste'!$D$2:$D$1601,$AS1601)*1000000/$AB1601,""))</f>
        <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601"/>
  <sheetViews>
    <sheetView workbookViewId="0">
      <selection activeCell="A1" sqref="A1"/>
    </sheetView>
  </sheetViews>
  <sheetFormatPr defaultColWidth="9" defaultRowHeight="15"/>
  <sheetData>
    <row r="1" spans="1:11">
      <c r="A1" s="1" t="s">
        <v>763</v>
      </c>
      <c r="B1" s="1" t="s">
        <v>764</v>
      </c>
      <c r="C1" s="1" t="s">
        <v>765</v>
      </c>
      <c r="D1" s="1" t="s">
        <v>766</v>
      </c>
      <c r="E1" s="1" t="s">
        <v>767</v>
      </c>
      <c r="F1" s="1" t="s">
        <v>768</v>
      </c>
      <c r="G1" s="1" t="s">
        <v>769</v>
      </c>
      <c r="H1" s="1" t="s">
        <v>770</v>
      </c>
      <c r="I1" s="1" t="s">
        <v>771</v>
      </c>
      <c r="J1" s="1" t="s">
        <v>772</v>
      </c>
      <c r="K1" s="1" t="s">
        <v>773</v>
      </c>
    </row>
    <row r="2" spans="1:11">
      <c r="A2" t="str">
        <f>IF('TMP Paste'!$E2="","",'TMP Paste'!$E2)</f>
        <v>26072713473538DTjozNXFa</v>
      </c>
      <c r="B2">
        <f>IF($A2="","",COUNTIF('TMP Paste'!$B$2:$B2,"?*"))</f>
        <v>1</v>
      </c>
      <c r="C2">
        <f>IF($A2="","",IFERROR('TMP Paste'!$M2*1,0))</f>
        <v>1</v>
      </c>
      <c r="D2">
        <f>IF($A2="","",SUMIF($B$2:$B2,$B2,$C$2:$C2))</f>
        <v>1</v>
      </c>
      <c r="E2">
        <f>IF($A2="",0,IF('TMP Paste'!$B2="",0,1))</f>
        <v>1</v>
      </c>
      <c r="F2" t="str">
        <f t="shared" ref="F2:F65" si="0">IF(OR($A2="",$C2&lt;1),"",$A2&amp;"-"&amp;TEXT(($D2-$C2+1),"00")&amp;IF($C2&gt;=2,", "&amp;$A2&amp;"-"&amp;TEXT(($D2-$C2+1)+1,"00"),"")&amp;IF($C2&gt;=3,", "&amp;$A2&amp;"-"&amp;TEXT(($D2-$C2+1)+2,"00"),"")&amp;IF($C2&gt;=4,", "&amp;$A2&amp;"-"&amp;TEXT(($D2-$C2+1)+3,"00"),"")&amp;IF($C2&gt;=5,", "&amp;$A2&amp;"-"&amp;TEXT(($D2-$C2+1)+4,"00"),"")&amp;IF($C2&gt;=6,", "&amp;$A2&amp;"-"&amp;TEXT(($D2-$C2+1)+5,"00"),"")&amp;IF($C2&gt;=7,", "&amp;$A2&amp;"-"&amp;TEXT(($D2-$C2+1)+6,"00"),"")&amp;IF($C2&gt;=8,", "&amp;$A2&amp;"-"&amp;TEXT(($D2-$C2+1)+7,"00"),"")&amp;IF($C2&gt;=9,", "&amp;$A2&amp;"-"&amp;TEXT(($D2-$C2+1)+8,"00"),"")&amp;IF($C2&gt;=10,", "&amp;$A2&amp;"-"&amp;TEXT(($D2-$C2+1)+9,"00"),"")&amp;IF($C2&gt;=11,", "&amp;$A2&amp;"-"&amp;TEXT(($D2-$C2+1)+10,"00"),"")&amp;IF($C2&gt;=12,", "&amp;$A2&amp;"-"&amp;TEXT(($D2-$C2+1)+11,"00"),"")&amp;IF($C2&gt;=13,", "&amp;$A2&amp;"-"&amp;TEXT(($D2-$C2+1)+12,"00"),"")&amp;IF($C2&gt;=14,", "&amp;$A2&amp;"-"&amp;TEXT(($D2-$C2+1)+13,"00"),"")&amp;IF($C2&gt;=15,", "&amp;$A2&amp;"-"&amp;TEXT(($D2-$C2+1)+14,"00"),"")&amp;IF($C2&gt;=16,", "&amp;$A2&amp;"-"&amp;TEXT(($D2-$C2+1)+15,"00"),"")&amp;IF($C2&gt;=17,", "&amp;$A2&amp;"-"&amp;TEXT(($D2-$C2+1)+16,"00"),"")&amp;IF($C2&gt;=18,", "&amp;$A2&amp;"-"&amp;TEXT(($D2-$C2+1)+17,"00"),"")&amp;IF($C2&gt;=19,", "&amp;$A2&amp;"-"&amp;TEXT(($D2-$C2+1)+18,"00"),"")&amp;IF($C2&gt;=20,", "&amp;$A2&amp;"-"&amp;TEXT(($D2-$C2+1)+19,"00"),"")&amp;IF($C2&gt;=21,", "&amp;$A2&amp;"-"&amp;TEXT(($D2-$C2+1)+20,"00"),"")&amp;IF($C2&gt;=22,", "&amp;$A2&amp;"-"&amp;TEXT(($D2-$C2+1)+21,"00"),"")&amp;IF($C2&gt;=23,", "&amp;$A2&amp;"-"&amp;TEXT(($D2-$C2+1)+22,"00"),"")&amp;IF($C2&gt;=24,", "&amp;$A2&amp;"-"&amp;TEXT(($D2-$C2+1)+23,"00"),"")&amp;IF($C2&gt;=25,", "&amp;$A2&amp;"-"&amp;TEXT(($D2-$C2+1)+24,"00"),""))</f>
        <v>26072713473538DTjozNXFa-01</v>
      </c>
      <c r="G2" t="str">
        <f t="shared" ref="G2:G65" si="1">IF($A2="","",IF($E2=1,$F2,IF($F2="",$G1,IF($G1="",$F2,$G1&amp;", "&amp;$F2))))</f>
        <v>26072713473538DTjozNXFa-01</v>
      </c>
      <c r="H2" t="str">
        <f t="shared" ref="H2:H65" si="2">IF($A2="","",$A2&amp;" ("&amp;$C2&amp;")")</f>
        <v>26072713473538DTjozNXFa (1)</v>
      </c>
      <c r="I2" t="str">
        <f t="shared" ref="I2:I65" si="3">IF($A2="","",IF($E2=1,$H2,$I1&amp;", "&amp;$H2))</f>
        <v>26072713473538DTjozNXFa (1)</v>
      </c>
      <c r="J2">
        <f t="shared" ref="J2:J65" si="4">IF($A2="","",IF($E2=1,$B2,""))</f>
        <v>1</v>
      </c>
      <c r="K2">
        <f>IF($A2="","",IF(COUNTIF($B$2:$B2,$B2)=COUNTIF($B$2:$B$1601,$B2),$B2,""))</f>
        <v>1</v>
      </c>
    </row>
    <row r="3" spans="1:11">
      <c r="A3" t="str">
        <f>IF('TMP Paste'!$E3="","",'TMP Paste'!$E3)</f>
        <v>26072707484936JExQscwbq</v>
      </c>
      <c r="B3">
        <f>IF($A3="","",COUNTIF('TMP Paste'!$B$2:$B3,"?*"))</f>
        <v>2</v>
      </c>
      <c r="C3">
        <f>IF($A3="","",IFERROR('TMP Paste'!$M3*1,0))</f>
        <v>1</v>
      </c>
      <c r="D3">
        <f>IF($A3="","",SUMIF($B$2:$B3,$B3,$C$2:$C3))</f>
        <v>1</v>
      </c>
      <c r="E3">
        <f>IF($A3="",0,IF('TMP Paste'!$B3="",0,1))</f>
        <v>1</v>
      </c>
      <c r="F3" t="str">
        <f t="shared" si="0"/>
        <v>26072707484936JExQscwbq-01</v>
      </c>
      <c r="G3" t="str">
        <f t="shared" si="1"/>
        <v>26072707484936JExQscwbq-01</v>
      </c>
      <c r="H3" t="str">
        <f t="shared" si="2"/>
        <v>26072707484936JExQscwbq (1)</v>
      </c>
      <c r="I3" t="str">
        <f t="shared" si="3"/>
        <v>26072707484936JExQscwbq (1)</v>
      </c>
      <c r="J3">
        <f t="shared" si="4"/>
        <v>2</v>
      </c>
      <c r="K3">
        <f>IF($A3="","",IF(COUNTIF($B$2:$B3,$B3)=COUNTIF($B$2:$B$1601,$B3),$B3,""))</f>
        <v>2</v>
      </c>
    </row>
    <row r="4" spans="1:11">
      <c r="A4" t="str">
        <f>IF('TMP Paste'!$E4="","",'TMP Paste'!$E4)</f>
        <v>26072802143715UaH54d1OD</v>
      </c>
      <c r="B4">
        <f>IF($A4="","",COUNTIF('TMP Paste'!$B$2:$B4,"?*"))</f>
        <v>3</v>
      </c>
      <c r="C4">
        <f>IF($A4="","",IFERROR('TMP Paste'!$M4*1,0))</f>
        <v>1</v>
      </c>
      <c r="D4">
        <f>IF($A4="","",SUMIF($B$2:$B4,$B4,$C$2:$C4))</f>
        <v>1</v>
      </c>
      <c r="E4">
        <f>IF($A4="",0,IF('TMP Paste'!$B4="",0,1))</f>
        <v>1</v>
      </c>
      <c r="F4" t="str">
        <f t="shared" si="0"/>
        <v>26072802143715UaH54d1OD-01</v>
      </c>
      <c r="G4" t="str">
        <f t="shared" si="1"/>
        <v>26072802143715UaH54d1OD-01</v>
      </c>
      <c r="H4" t="str">
        <f t="shared" si="2"/>
        <v>26072802143715UaH54d1OD (1)</v>
      </c>
      <c r="I4" t="str">
        <f t="shared" si="3"/>
        <v>26072802143715UaH54d1OD (1)</v>
      </c>
      <c r="J4">
        <f t="shared" si="4"/>
        <v>3</v>
      </c>
      <c r="K4">
        <f>IF($A4="","",IF(COUNTIF($B$2:$B4,$B4)=COUNTIF($B$2:$B$1601,$B4),$B4,""))</f>
        <v>3</v>
      </c>
    </row>
    <row r="5" spans="1:11">
      <c r="A5" t="str">
        <f>IF('TMP Paste'!$E5="","",'TMP Paste'!$E5)</f>
        <v>26072801412330Cygue4Ku6</v>
      </c>
      <c r="B5">
        <f>IF($A5="","",COUNTIF('TMP Paste'!$B$2:$B5,"?*"))</f>
        <v>4</v>
      </c>
      <c r="C5">
        <f>IF($A5="","",IFERROR('TMP Paste'!$M5*1,0))</f>
        <v>1</v>
      </c>
      <c r="D5">
        <f>IF($A5="","",SUMIF($B$2:$B5,$B5,$C$2:$C5))</f>
        <v>1</v>
      </c>
      <c r="E5">
        <f>IF($A5="",0,IF('TMP Paste'!$B5="",0,1))</f>
        <v>1</v>
      </c>
      <c r="F5" t="str">
        <f t="shared" si="0"/>
        <v>26072801412330Cygue4Ku6-01</v>
      </c>
      <c r="G5" t="str">
        <f t="shared" si="1"/>
        <v>26072801412330Cygue4Ku6-01</v>
      </c>
      <c r="H5" t="str">
        <f t="shared" si="2"/>
        <v>26072801412330Cygue4Ku6 (1)</v>
      </c>
      <c r="I5" t="str">
        <f t="shared" si="3"/>
        <v>26072801412330Cygue4Ku6 (1)</v>
      </c>
      <c r="J5">
        <f t="shared" si="4"/>
        <v>4</v>
      </c>
      <c r="K5" t="str">
        <f>IF($A5="","",IF(COUNTIF($B$2:$B5,$B5)=COUNTIF($B$2:$B$1601,$B5),$B5,""))</f>
        <v/>
      </c>
    </row>
    <row r="6" spans="1:11">
      <c r="A6" t="str">
        <f>IF('TMP Paste'!$E6="","",'TMP Paste'!$E6)</f>
        <v>26072802554064GKk0wdiYh</v>
      </c>
      <c r="B6">
        <f>IF($A6="","",COUNTIF('TMP Paste'!$B$2:$B6,"?*"))</f>
        <v>4</v>
      </c>
      <c r="C6">
        <f>IF($A6="","",IFERROR('TMP Paste'!$M6*1,0))</f>
        <v>1</v>
      </c>
      <c r="D6">
        <f>IF($A6="","",SUMIF($B$2:$B6,$B6,$C$2:$C6))</f>
        <v>2</v>
      </c>
      <c r="E6">
        <f>IF($A6="",0,IF('TMP Paste'!$B6="",0,1))</f>
        <v>0</v>
      </c>
      <c r="F6" t="str">
        <f t="shared" si="0"/>
        <v>26072802554064GKk0wdiYh-02</v>
      </c>
      <c r="G6" t="str">
        <f t="shared" si="1"/>
        <v>26072801412330Cygue4Ku6-01, 26072802554064GKk0wdiYh-02</v>
      </c>
      <c r="H6" t="str">
        <f t="shared" si="2"/>
        <v>26072802554064GKk0wdiYh (1)</v>
      </c>
      <c r="I6" t="str">
        <f t="shared" si="3"/>
        <v>26072801412330Cygue4Ku6 (1), 26072802554064GKk0wdiYh (1)</v>
      </c>
      <c r="J6" t="str">
        <f t="shared" si="4"/>
        <v/>
      </c>
      <c r="K6" t="str">
        <f>IF($A6="","",IF(COUNTIF($B$2:$B6,$B6)=COUNTIF($B$2:$B$1601,$B6),$B6,""))</f>
        <v/>
      </c>
    </row>
    <row r="7" spans="1:11">
      <c r="A7" t="str">
        <f>IF('TMP Paste'!$E7="","",'TMP Paste'!$E7)</f>
        <v>26072802554064ljldqS88pC</v>
      </c>
      <c r="B7">
        <f>IF($A7="","",COUNTIF('TMP Paste'!$B$2:$B7,"?*"))</f>
        <v>4</v>
      </c>
      <c r="C7">
        <f>IF($A7="","",IFERROR('TMP Paste'!$M7*1,0))</f>
        <v>1</v>
      </c>
      <c r="D7">
        <f>IF($A7="","",SUMIF($B$2:$B7,$B7,$C$2:$C7))</f>
        <v>3</v>
      </c>
      <c r="E7">
        <f>IF($A7="",0,IF('TMP Paste'!$B7="",0,1))</f>
        <v>0</v>
      </c>
      <c r="F7" t="str">
        <f t="shared" si="0"/>
        <v>26072802554064ljldqS88pC-03</v>
      </c>
      <c r="G7" t="str">
        <f t="shared" si="1"/>
        <v>26072801412330Cygue4Ku6-01, 26072802554064GKk0wdiYh-02, 26072802554064ljldqS88pC-03</v>
      </c>
      <c r="H7" t="str">
        <f t="shared" si="2"/>
        <v>26072802554064ljldqS88pC (1)</v>
      </c>
      <c r="I7" t="str">
        <f t="shared" si="3"/>
        <v>26072801412330Cygue4Ku6 (1), 26072802554064GKk0wdiYh (1), 26072802554064ljldqS88pC (1)</v>
      </c>
      <c r="J7" t="str">
        <f t="shared" si="4"/>
        <v/>
      </c>
      <c r="K7">
        <f>IF($A7="","",IF(COUNTIF($B$2:$B7,$B7)=COUNTIF($B$2:$B$1601,$B7),$B7,""))</f>
        <v>4</v>
      </c>
    </row>
    <row r="8" spans="1:11">
      <c r="A8" t="str">
        <f>IF('TMP Paste'!$E8="","",'TMP Paste'!$E8)</f>
        <v>26072800444949VmLEmOlB9</v>
      </c>
      <c r="B8">
        <f>IF($A8="","",COUNTIF('TMP Paste'!$B$2:$B8,"?*"))</f>
        <v>5</v>
      </c>
      <c r="C8">
        <f>IF($A8="","",IFERROR('TMP Paste'!$M8*1,0))</f>
        <v>1</v>
      </c>
      <c r="D8">
        <f>IF($A8="","",SUMIF($B$2:$B8,$B8,$C$2:$C8))</f>
        <v>1</v>
      </c>
      <c r="E8">
        <f>IF($A8="",0,IF('TMP Paste'!$B8="",0,1))</f>
        <v>1</v>
      </c>
      <c r="F8" t="str">
        <f t="shared" si="0"/>
        <v>26072800444949VmLEmOlB9-01</v>
      </c>
      <c r="G8" t="str">
        <f t="shared" si="1"/>
        <v>26072800444949VmLEmOlB9-01</v>
      </c>
      <c r="H8" t="str">
        <f t="shared" si="2"/>
        <v>26072800444949VmLEmOlB9 (1)</v>
      </c>
      <c r="I8" t="str">
        <f t="shared" si="3"/>
        <v>26072800444949VmLEmOlB9 (1)</v>
      </c>
      <c r="J8">
        <f t="shared" si="4"/>
        <v>5</v>
      </c>
      <c r="K8" t="str">
        <f>IF($A8="","",IF(COUNTIF($B$2:$B8,$B8)=COUNTIF($B$2:$B$1601,$B8),$B8,""))</f>
        <v/>
      </c>
    </row>
    <row r="9" spans="1:11">
      <c r="A9" t="str">
        <f>IF('TMP Paste'!$E9="","",'TMP Paste'!$E9)</f>
        <v>260728010345500SexiSn1Av</v>
      </c>
      <c r="B9">
        <f>IF($A9="","",COUNTIF('TMP Paste'!$B$2:$B9,"?*"))</f>
        <v>5</v>
      </c>
      <c r="C9">
        <f>IF($A9="","",IFERROR('TMP Paste'!$M9*1,0))</f>
        <v>1</v>
      </c>
      <c r="D9">
        <f>IF($A9="","",SUMIF($B$2:$B9,$B9,$C$2:$C9))</f>
        <v>2</v>
      </c>
      <c r="E9">
        <f>IF($A9="",0,IF('TMP Paste'!$B9="",0,1))</f>
        <v>0</v>
      </c>
      <c r="F9" t="str">
        <f t="shared" si="0"/>
        <v>260728010345500SexiSn1Av-02</v>
      </c>
      <c r="G9" t="str">
        <f t="shared" si="1"/>
        <v>26072800444949VmLEmOlB9-01, 260728010345500SexiSn1Av-02</v>
      </c>
      <c r="H9" t="str">
        <f t="shared" si="2"/>
        <v>260728010345500SexiSn1Av (1)</v>
      </c>
      <c r="I9" t="str">
        <f t="shared" si="3"/>
        <v>26072800444949VmLEmOlB9 (1), 260728010345500SexiSn1Av (1)</v>
      </c>
      <c r="J9" t="str">
        <f t="shared" si="4"/>
        <v/>
      </c>
      <c r="K9" t="str">
        <f>IF($A9="","",IF(COUNTIF($B$2:$B9,$B9)=COUNTIF($B$2:$B$1601,$B9),$B9,""))</f>
        <v/>
      </c>
    </row>
    <row r="10" spans="1:11">
      <c r="A10" t="str">
        <f>IF('TMP Paste'!$E10="","",'TMP Paste'!$E10)</f>
        <v>26072801034550trixNIPaR</v>
      </c>
      <c r="B10">
        <f>IF($A10="","",COUNTIF('TMP Paste'!$B$2:$B10,"?*"))</f>
        <v>5</v>
      </c>
      <c r="C10">
        <f>IF($A10="","",IFERROR('TMP Paste'!$M10*1,0))</f>
        <v>1</v>
      </c>
      <c r="D10">
        <f>IF($A10="","",SUMIF($B$2:$B10,$B10,$C$2:$C10))</f>
        <v>3</v>
      </c>
      <c r="E10">
        <f>IF($A10="",0,IF('TMP Paste'!$B10="",0,1))</f>
        <v>0</v>
      </c>
      <c r="F10" t="str">
        <f t="shared" si="0"/>
        <v>26072801034550trixNIPaR-03</v>
      </c>
      <c r="G10" t="str">
        <f t="shared" si="1"/>
        <v>26072800444949VmLEmOlB9-01, 260728010345500SexiSn1Av-02, 26072801034550trixNIPaR-03</v>
      </c>
      <c r="H10" t="str">
        <f t="shared" si="2"/>
        <v>26072801034550trixNIPaR (1)</v>
      </c>
      <c r="I10" t="str">
        <f t="shared" si="3"/>
        <v>26072800444949VmLEmOlB9 (1), 260728010345500SexiSn1Av (1), 26072801034550trixNIPaR (1)</v>
      </c>
      <c r="J10" t="str">
        <f t="shared" si="4"/>
        <v/>
      </c>
      <c r="K10" t="str">
        <f>IF($A10="","",IF(COUNTIF($B$2:$B10,$B10)=COUNTIF($B$2:$B$1601,$B10),$B10,""))</f>
        <v/>
      </c>
    </row>
    <row r="11" spans="1:11">
      <c r="A11" t="str">
        <f>IF('TMP Paste'!$E11="","",'TMP Paste'!$E11)</f>
        <v>26072801473602jTFSiKfF</v>
      </c>
      <c r="B11">
        <f>IF($A11="","",COUNTIF('TMP Paste'!$B$2:$B11,"?*"))</f>
        <v>5</v>
      </c>
      <c r="C11">
        <f>IF($A11="","",IFERROR('TMP Paste'!$M11*1,0))</f>
        <v>1</v>
      </c>
      <c r="D11">
        <f>IF($A11="","",SUMIF($B$2:$B11,$B11,$C$2:$C11))</f>
        <v>4</v>
      </c>
      <c r="E11">
        <f>IF($A11="",0,IF('TMP Paste'!$B11="",0,1))</f>
        <v>0</v>
      </c>
      <c r="F11" t="str">
        <f t="shared" si="0"/>
        <v>26072801473602jTFSiKfF-04</v>
      </c>
      <c r="G11" t="str">
        <f t="shared" si="1"/>
        <v>26072800444949VmLEmOlB9-01, 260728010345500SexiSn1Av-02, 26072801034550trixNIPaR-03, 26072801473602jTFSiKfF-04</v>
      </c>
      <c r="H11" t="str">
        <f t="shared" si="2"/>
        <v>26072801473602jTFSiKfF (1)</v>
      </c>
      <c r="I11" t="str">
        <f t="shared" si="3"/>
        <v>26072800444949VmLEmOlB9 (1), 260728010345500SexiSn1Av (1), 26072801034550trixNIPaR (1), 26072801473602jTFSiKfF (1)</v>
      </c>
      <c r="J11" t="str">
        <f t="shared" si="4"/>
        <v/>
      </c>
      <c r="K11">
        <f>IF($A11="","",IF(COUNTIF($B$2:$B11,$B11)=COUNTIF($B$2:$B$1601,$B11),$B11,""))</f>
        <v>5</v>
      </c>
    </row>
    <row r="12" spans="1:11">
      <c r="A12" t="str">
        <f>IF('TMP Paste'!$E12="","",'TMP Paste'!$E12)</f>
        <v>26072703245809wQimRVF1</v>
      </c>
      <c r="B12">
        <f>IF($A12="","",COUNTIF('TMP Paste'!$B$2:$B12,"?*"))</f>
        <v>6</v>
      </c>
      <c r="C12">
        <f>IF($A12="","",IFERROR('TMP Paste'!$M12*1,0))</f>
        <v>1</v>
      </c>
      <c r="D12">
        <f>IF($A12="","",SUMIF($B$2:$B12,$B12,$C$2:$C12))</f>
        <v>1</v>
      </c>
      <c r="E12">
        <f>IF($A12="",0,IF('TMP Paste'!$B12="",0,1))</f>
        <v>1</v>
      </c>
      <c r="F12" t="str">
        <f t="shared" si="0"/>
        <v>26072703245809wQimRVF1-01</v>
      </c>
      <c r="G12" t="str">
        <f t="shared" si="1"/>
        <v>26072703245809wQimRVF1-01</v>
      </c>
      <c r="H12" t="str">
        <f t="shared" si="2"/>
        <v>26072703245809wQimRVF1 (1)</v>
      </c>
      <c r="I12" t="str">
        <f t="shared" si="3"/>
        <v>26072703245809wQimRVF1 (1)</v>
      </c>
      <c r="J12">
        <f t="shared" si="4"/>
        <v>6</v>
      </c>
      <c r="K12" t="str">
        <f>IF($A12="","",IF(COUNTIF($B$2:$B12,$B12)=COUNTIF($B$2:$B$1601,$B12),$B12,""))</f>
        <v/>
      </c>
    </row>
    <row r="13" spans="1:11">
      <c r="A13" t="str">
        <f>IF('TMP Paste'!$E13="","",'TMP Paste'!$E13)</f>
        <v>26072802522246IUjxQvWbh</v>
      </c>
      <c r="B13">
        <f>IF($A13="","",COUNTIF('TMP Paste'!$B$2:$B13,"?*"))</f>
        <v>6</v>
      </c>
      <c r="C13">
        <f>IF($A13="","",IFERROR('TMP Paste'!$M13*1,0))</f>
        <v>1</v>
      </c>
      <c r="D13">
        <f>IF($A13="","",SUMIF($B$2:$B13,$B13,$C$2:$C13))</f>
        <v>2</v>
      </c>
      <c r="E13">
        <f>IF($A13="",0,IF('TMP Paste'!$B13="",0,1))</f>
        <v>0</v>
      </c>
      <c r="F13" t="str">
        <f t="shared" si="0"/>
        <v>26072802522246IUjxQvWbh-02</v>
      </c>
      <c r="G13" t="str">
        <f t="shared" si="1"/>
        <v>26072703245809wQimRVF1-01, 26072802522246IUjxQvWbh-02</v>
      </c>
      <c r="H13" t="str">
        <f t="shared" si="2"/>
        <v>26072802522246IUjxQvWbh (1)</v>
      </c>
      <c r="I13" t="str">
        <f t="shared" si="3"/>
        <v>26072703245809wQimRVF1 (1), 26072802522246IUjxQvWbh (1)</v>
      </c>
      <c r="J13" t="str">
        <f t="shared" si="4"/>
        <v/>
      </c>
      <c r="K13" t="str">
        <f>IF($A13="","",IF(COUNTIF($B$2:$B13,$B13)=COUNTIF($B$2:$B$1601,$B13),$B13,""))</f>
        <v/>
      </c>
    </row>
    <row r="14" spans="1:11">
      <c r="A14" t="str">
        <f>IF('TMP Paste'!$E14="","",'TMP Paste'!$E14)</f>
        <v>26072802592265RiGBF708N</v>
      </c>
      <c r="B14">
        <f>IF($A14="","",COUNTIF('TMP Paste'!$B$2:$B14,"?*"))</f>
        <v>6</v>
      </c>
      <c r="C14">
        <f>IF($A14="","",IFERROR('TMP Paste'!$M14*1,0))</f>
        <v>1</v>
      </c>
      <c r="D14">
        <f>IF($A14="","",SUMIF($B$2:$B14,$B14,$C$2:$C14))</f>
        <v>3</v>
      </c>
      <c r="E14">
        <f>IF($A14="",0,IF('TMP Paste'!$B14="",0,1))</f>
        <v>0</v>
      </c>
      <c r="F14" t="str">
        <f t="shared" si="0"/>
        <v>26072802592265RiGBF708N-03</v>
      </c>
      <c r="G14" t="str">
        <f t="shared" si="1"/>
        <v>26072703245809wQimRVF1-01, 26072802522246IUjxQvWbh-02, 26072802592265RiGBF708N-03</v>
      </c>
      <c r="H14" t="str">
        <f t="shared" si="2"/>
        <v>26072802592265RiGBF708N (1)</v>
      </c>
      <c r="I14" t="str">
        <f t="shared" si="3"/>
        <v>26072703245809wQimRVF1 (1), 26072802522246IUjxQvWbh (1), 26072802592265RiGBF708N (1)</v>
      </c>
      <c r="J14" t="str">
        <f t="shared" si="4"/>
        <v/>
      </c>
      <c r="K14" t="str">
        <f>IF($A14="","",IF(COUNTIF($B$2:$B14,$B14)=COUNTIF($B$2:$B$1601,$B14),$B14,""))</f>
        <v/>
      </c>
    </row>
    <row r="15" spans="1:11">
      <c r="A15" t="str">
        <f>IF('TMP Paste'!$E15="","",'TMP Paste'!$E15)</f>
        <v>26072802592265wqZCVet0V</v>
      </c>
      <c r="B15">
        <f>IF($A15="","",COUNTIF('TMP Paste'!$B$2:$B15,"?*"))</f>
        <v>6</v>
      </c>
      <c r="C15">
        <f>IF($A15="","",IFERROR('TMP Paste'!$M15*1,0))</f>
        <v>1</v>
      </c>
      <c r="D15">
        <f>IF($A15="","",SUMIF($B$2:$B15,$B15,$C$2:$C15))</f>
        <v>4</v>
      </c>
      <c r="E15">
        <f>IF($A15="",0,IF('TMP Paste'!$B15="",0,1))</f>
        <v>0</v>
      </c>
      <c r="F15" t="str">
        <f t="shared" si="0"/>
        <v>26072802592265wqZCVet0V-04</v>
      </c>
      <c r="G15" t="str">
        <f t="shared" si="1"/>
        <v>26072703245809wQimRVF1-01, 26072802522246IUjxQvWbh-02, 26072802592265RiGBF708N-03, 26072802592265wqZCVet0V-04</v>
      </c>
      <c r="H15" t="str">
        <f t="shared" si="2"/>
        <v>26072802592265wqZCVet0V (1)</v>
      </c>
      <c r="I15" t="str">
        <f t="shared" si="3"/>
        <v>26072703245809wQimRVF1 (1), 26072802522246IUjxQvWbh (1), 26072802592265RiGBF708N (1), 26072802592265wqZCVet0V (1)</v>
      </c>
      <c r="J15" t="str">
        <f t="shared" si="4"/>
        <v/>
      </c>
      <c r="K15">
        <f>IF($A15="","",IF(COUNTIF($B$2:$B15,$B15)=COUNTIF($B$2:$B$1601,$B15),$B15,""))</f>
        <v>6</v>
      </c>
    </row>
    <row r="16" spans="1:11">
      <c r="A16" t="str">
        <f>IF('TMP Paste'!$E16="","",'TMP Paste'!$E16)</f>
        <v>26072712475211w4O3Py9yv</v>
      </c>
      <c r="B16">
        <f>IF($A16="","",COUNTIF('TMP Paste'!$B$2:$B16,"?*"))</f>
        <v>7</v>
      </c>
      <c r="C16">
        <f>IF($A16="","",IFERROR('TMP Paste'!$M16*1,0))</f>
        <v>1</v>
      </c>
      <c r="D16">
        <f>IF($A16="","",SUMIF($B$2:$B16,$B16,$C$2:$C16))</f>
        <v>1</v>
      </c>
      <c r="E16">
        <f>IF($A16="",0,IF('TMP Paste'!$B16="",0,1))</f>
        <v>1</v>
      </c>
      <c r="F16" t="str">
        <f t="shared" si="0"/>
        <v>26072712475211w4O3Py9yv-01</v>
      </c>
      <c r="G16" t="str">
        <f t="shared" si="1"/>
        <v>26072712475211w4O3Py9yv-01</v>
      </c>
      <c r="H16" t="str">
        <f t="shared" si="2"/>
        <v>26072712475211w4O3Py9yv (1)</v>
      </c>
      <c r="I16" t="str">
        <f t="shared" si="3"/>
        <v>26072712475211w4O3Py9yv (1)</v>
      </c>
      <c r="J16">
        <f t="shared" si="4"/>
        <v>7</v>
      </c>
      <c r="K16" t="str">
        <f>IF($A16="","",IF(COUNTIF($B$2:$B16,$B16)=COUNTIF($B$2:$B$1601,$B16),$B16,""))</f>
        <v/>
      </c>
    </row>
    <row r="17" spans="1:11">
      <c r="A17" t="str">
        <f>IF('TMP Paste'!$E17="","",'TMP Paste'!$E17)</f>
        <v>260727124752122dYBQKGDe</v>
      </c>
      <c r="B17">
        <f>IF($A17="","",COUNTIF('TMP Paste'!$B$2:$B17,"?*"))</f>
        <v>7</v>
      </c>
      <c r="C17">
        <f>IF($A17="","",IFERROR('TMP Paste'!$M17*1,0))</f>
        <v>1</v>
      </c>
      <c r="D17">
        <f>IF($A17="","",SUMIF($B$2:$B17,$B17,$C$2:$C17))</f>
        <v>2</v>
      </c>
      <c r="E17">
        <f>IF($A17="",0,IF('TMP Paste'!$B17="",0,1))</f>
        <v>0</v>
      </c>
      <c r="F17" t="str">
        <f t="shared" si="0"/>
        <v>260727124752122dYBQKGDe-02</v>
      </c>
      <c r="G17" t="str">
        <f t="shared" si="1"/>
        <v>26072712475211w4O3Py9yv-01, 260727124752122dYBQKGDe-02</v>
      </c>
      <c r="H17" t="str">
        <f t="shared" si="2"/>
        <v>260727124752122dYBQKGDe (1)</v>
      </c>
      <c r="I17" t="str">
        <f t="shared" si="3"/>
        <v>26072712475211w4O3Py9yv (1), 260727124752122dYBQKGDe (1)</v>
      </c>
      <c r="J17" t="str">
        <f t="shared" si="4"/>
        <v/>
      </c>
      <c r="K17" t="str">
        <f>IF($A17="","",IF(COUNTIF($B$2:$B17,$B17)=COUNTIF($B$2:$B$1601,$B17),$B17,""))</f>
        <v/>
      </c>
    </row>
    <row r="18" spans="1:11">
      <c r="A18" t="str">
        <f>IF('TMP Paste'!$E18="","",'TMP Paste'!$E18)</f>
        <v>26072712475212Ec78WQpCrD</v>
      </c>
      <c r="B18">
        <f>IF($A18="","",COUNTIF('TMP Paste'!$B$2:$B18,"?*"))</f>
        <v>7</v>
      </c>
      <c r="C18">
        <f>IF($A18="","",IFERROR('TMP Paste'!$M18*1,0))</f>
        <v>1</v>
      </c>
      <c r="D18">
        <f>IF($A18="","",SUMIF($B$2:$B18,$B18,$C$2:$C18))</f>
        <v>3</v>
      </c>
      <c r="E18">
        <f>IF($A18="",0,IF('TMP Paste'!$B18="",0,1))</f>
        <v>0</v>
      </c>
      <c r="F18" t="str">
        <f t="shared" si="0"/>
        <v>26072712475212Ec78WQpCrD-03</v>
      </c>
      <c r="G18" t="str">
        <f t="shared" si="1"/>
        <v>26072712475211w4O3Py9yv-01, 260727124752122dYBQKGDe-02, 26072712475212Ec78WQpCrD-03</v>
      </c>
      <c r="H18" t="str">
        <f t="shared" si="2"/>
        <v>26072712475212Ec78WQpCrD (1)</v>
      </c>
      <c r="I18" t="str">
        <f t="shared" si="3"/>
        <v>26072712475211w4O3Py9yv (1), 260727124752122dYBQKGDe (1), 26072712475212Ec78WQpCrD (1)</v>
      </c>
      <c r="J18" t="str">
        <f t="shared" si="4"/>
        <v/>
      </c>
      <c r="K18" t="str">
        <f>IF($A18="","",IF(COUNTIF($B$2:$B18,$B18)=COUNTIF($B$2:$B$1601,$B18),$B18,""))</f>
        <v/>
      </c>
    </row>
    <row r="19" spans="1:11">
      <c r="A19" t="str">
        <f>IF('TMP Paste'!$E19="","",'TMP Paste'!$E19)</f>
        <v>26072712475212XTxGNiHixm</v>
      </c>
      <c r="B19">
        <f>IF($A19="","",COUNTIF('TMP Paste'!$B$2:$B19,"?*"))</f>
        <v>7</v>
      </c>
      <c r="C19">
        <f>IF($A19="","",IFERROR('TMP Paste'!$M19*1,0))</f>
        <v>1</v>
      </c>
      <c r="D19">
        <f>IF($A19="","",SUMIF($B$2:$B19,$B19,$C$2:$C19))</f>
        <v>4</v>
      </c>
      <c r="E19">
        <f>IF($A19="",0,IF('TMP Paste'!$B19="",0,1))</f>
        <v>0</v>
      </c>
      <c r="F19" t="str">
        <f t="shared" si="0"/>
        <v>26072712475212XTxGNiHixm-04</v>
      </c>
      <c r="G19" t="str">
        <f t="shared" si="1"/>
        <v>26072712475211w4O3Py9yv-01, 260727124752122dYBQKGDe-02, 26072712475212Ec78WQpCrD-03, 26072712475212XTxGNiHixm-04</v>
      </c>
      <c r="H19" t="str">
        <f t="shared" si="2"/>
        <v>26072712475212XTxGNiHixm (1)</v>
      </c>
      <c r="I19" t="str">
        <f t="shared" si="3"/>
        <v>26072712475211w4O3Py9yv (1), 260727124752122dYBQKGDe (1), 26072712475212Ec78WQpCrD (1), 26072712475212XTxGNiHixm (1)</v>
      </c>
      <c r="J19" t="str">
        <f t="shared" si="4"/>
        <v/>
      </c>
      <c r="K19">
        <f>IF($A19="","",IF(COUNTIF($B$2:$B19,$B19)=COUNTIF($B$2:$B$1601,$B19),$B19,""))</f>
        <v>7</v>
      </c>
    </row>
    <row r="20" spans="1:11">
      <c r="A20" t="str">
        <f>IF('TMP Paste'!$E20="","",'TMP Paste'!$E20)</f>
        <v>26072800513343zU8ph3SKJ</v>
      </c>
      <c r="B20">
        <f>IF($A20="","",COUNTIF('TMP Paste'!$B$2:$B20,"?*"))</f>
        <v>8</v>
      </c>
      <c r="C20">
        <f>IF($A20="","",IFERROR('TMP Paste'!$M20*1,0))</f>
        <v>1</v>
      </c>
      <c r="D20">
        <f>IF($A20="","",SUMIF($B$2:$B20,$B20,$C$2:$C20))</f>
        <v>1</v>
      </c>
      <c r="E20">
        <f>IF($A20="",0,IF('TMP Paste'!$B20="",0,1))</f>
        <v>1</v>
      </c>
      <c r="F20" t="str">
        <f t="shared" si="0"/>
        <v>26072800513343zU8ph3SKJ-01</v>
      </c>
      <c r="G20" t="str">
        <f t="shared" si="1"/>
        <v>26072800513343zU8ph3SKJ-01</v>
      </c>
      <c r="H20" t="str">
        <f t="shared" si="2"/>
        <v>26072800513343zU8ph3SKJ (1)</v>
      </c>
      <c r="I20" t="str">
        <f t="shared" si="3"/>
        <v>26072800513343zU8ph3SKJ (1)</v>
      </c>
      <c r="J20">
        <f t="shared" si="4"/>
        <v>8</v>
      </c>
      <c r="K20">
        <f>IF($A20="","",IF(COUNTIF($B$2:$B20,$B20)=COUNTIF($B$2:$B$1601,$B20),$B20,""))</f>
        <v>8</v>
      </c>
    </row>
    <row r="21" spans="1:11">
      <c r="A21" t="str">
        <f>IF('TMP Paste'!$E21="","",'TMP Paste'!$E21)</f>
        <v>26072707523848Dhpuftwa</v>
      </c>
      <c r="B21">
        <f>IF($A21="","",COUNTIF('TMP Paste'!$B$2:$B21,"?*"))</f>
        <v>9</v>
      </c>
      <c r="C21">
        <f>IF($A21="","",IFERROR('TMP Paste'!$M21*1,0))</f>
        <v>1</v>
      </c>
      <c r="D21">
        <f>IF($A21="","",SUMIF($B$2:$B21,$B21,$C$2:$C21))</f>
        <v>1</v>
      </c>
      <c r="E21">
        <f>IF($A21="",0,IF('TMP Paste'!$B21="",0,1))</f>
        <v>1</v>
      </c>
      <c r="F21" t="str">
        <f t="shared" si="0"/>
        <v>26072707523848Dhpuftwa-01</v>
      </c>
      <c r="G21" t="str">
        <f t="shared" si="1"/>
        <v>26072707523848Dhpuftwa-01</v>
      </c>
      <c r="H21" t="str">
        <f t="shared" si="2"/>
        <v>26072707523848Dhpuftwa (1)</v>
      </c>
      <c r="I21" t="str">
        <f t="shared" si="3"/>
        <v>26072707523848Dhpuftwa (1)</v>
      </c>
      <c r="J21">
        <f t="shared" si="4"/>
        <v>9</v>
      </c>
      <c r="K21">
        <f>IF($A21="","",IF(COUNTIF($B$2:$B21,$B21)=COUNTIF($B$2:$B$1601,$B21),$B21,""))</f>
        <v>9</v>
      </c>
    </row>
    <row r="22" spans="1:11">
      <c r="A22" t="str">
        <f>IF('TMP Paste'!$E22="","",'TMP Paste'!$E22)</f>
        <v>26072710184801AQgMPUJcI</v>
      </c>
      <c r="B22">
        <f>IF($A22="","",COUNTIF('TMP Paste'!$B$2:$B22,"?*"))</f>
        <v>10</v>
      </c>
      <c r="C22">
        <f>IF($A22="","",IFERROR('TMP Paste'!$M22*1,0))</f>
        <v>1</v>
      </c>
      <c r="D22">
        <f>IF($A22="","",SUMIF($B$2:$B22,$B22,$C$2:$C22))</f>
        <v>1</v>
      </c>
      <c r="E22">
        <f>IF($A22="",0,IF('TMP Paste'!$B22="",0,1))</f>
        <v>1</v>
      </c>
      <c r="F22" t="str">
        <f t="shared" si="0"/>
        <v>26072710184801AQgMPUJcI-01</v>
      </c>
      <c r="G22" t="str">
        <f t="shared" si="1"/>
        <v>26072710184801AQgMPUJcI-01</v>
      </c>
      <c r="H22" t="str">
        <f t="shared" si="2"/>
        <v>26072710184801AQgMPUJcI (1)</v>
      </c>
      <c r="I22" t="str">
        <f t="shared" si="3"/>
        <v>26072710184801AQgMPUJcI (1)</v>
      </c>
      <c r="J22">
        <f t="shared" si="4"/>
        <v>10</v>
      </c>
      <c r="K22">
        <f>IF($A22="","",IF(COUNTIF($B$2:$B22,$B22)=COUNTIF($B$2:$B$1601,$B22),$B22,""))</f>
        <v>10</v>
      </c>
    </row>
    <row r="23" spans="1:11">
      <c r="A23" t="str">
        <f>IF('TMP Paste'!$E23="","",'TMP Paste'!$E23)</f>
        <v>260728014140360ppVZvbV</v>
      </c>
      <c r="B23">
        <f>IF($A23="","",COUNTIF('TMP Paste'!$B$2:$B23,"?*"))</f>
        <v>11</v>
      </c>
      <c r="C23">
        <f>IF($A23="","",IFERROR('TMP Paste'!$M23*1,0))</f>
        <v>1</v>
      </c>
      <c r="D23">
        <f>IF($A23="","",SUMIF($B$2:$B23,$B23,$C$2:$C23))</f>
        <v>1</v>
      </c>
      <c r="E23">
        <f>IF($A23="",0,IF('TMP Paste'!$B23="",0,1))</f>
        <v>1</v>
      </c>
      <c r="F23" t="str">
        <f t="shared" si="0"/>
        <v>260728014140360ppVZvbV-01</v>
      </c>
      <c r="G23" t="str">
        <f t="shared" si="1"/>
        <v>260728014140360ppVZvbV-01</v>
      </c>
      <c r="H23" t="str">
        <f t="shared" si="2"/>
        <v>260728014140360ppVZvbV (1)</v>
      </c>
      <c r="I23" t="str">
        <f t="shared" si="3"/>
        <v>260728014140360ppVZvbV (1)</v>
      </c>
      <c r="J23">
        <f t="shared" si="4"/>
        <v>11</v>
      </c>
      <c r="K23" t="str">
        <f>IF($A23="","",IF(COUNTIF($B$2:$B23,$B23)=COUNTIF($B$2:$B$1601,$B23),$B23,""))</f>
        <v/>
      </c>
    </row>
    <row r="24" spans="1:11">
      <c r="A24" t="str">
        <f>IF('TMP Paste'!$E24="","",'TMP Paste'!$E24)</f>
        <v>26072801414037XH6dCj30sh</v>
      </c>
      <c r="B24">
        <f>IF($A24="","",COUNTIF('TMP Paste'!$B$2:$B24,"?*"))</f>
        <v>11</v>
      </c>
      <c r="C24">
        <f>IF($A24="","",IFERROR('TMP Paste'!$M24*1,0))</f>
        <v>1</v>
      </c>
      <c r="D24">
        <f>IF($A24="","",SUMIF($B$2:$B24,$B24,$C$2:$C24))</f>
        <v>2</v>
      </c>
      <c r="E24">
        <f>IF($A24="",0,IF('TMP Paste'!$B24="",0,1))</f>
        <v>0</v>
      </c>
      <c r="F24" t="str">
        <f t="shared" si="0"/>
        <v>26072801414037XH6dCj30sh-02</v>
      </c>
      <c r="G24" t="str">
        <f t="shared" si="1"/>
        <v>260728014140360ppVZvbV-01, 26072801414037XH6dCj30sh-02</v>
      </c>
      <c r="H24" t="str">
        <f t="shared" si="2"/>
        <v>26072801414037XH6dCj30sh (1)</v>
      </c>
      <c r="I24" t="str">
        <f t="shared" si="3"/>
        <v>260728014140360ppVZvbV (1), 26072801414037XH6dCj30sh (1)</v>
      </c>
      <c r="J24" t="str">
        <f t="shared" si="4"/>
        <v/>
      </c>
      <c r="K24" t="str">
        <f>IF($A24="","",IF(COUNTIF($B$2:$B24,$B24)=COUNTIF($B$2:$B$1601,$B24),$B24,""))</f>
        <v/>
      </c>
    </row>
    <row r="25" spans="1:11">
      <c r="A25" t="str">
        <f>IF('TMP Paste'!$E25="","",'TMP Paste'!$E25)</f>
        <v>260728015619662gr5Ce0Coa</v>
      </c>
      <c r="B25">
        <f>IF($A25="","",COUNTIF('TMP Paste'!$B$2:$B25,"?*"))</f>
        <v>11</v>
      </c>
      <c r="C25">
        <f>IF($A25="","",IFERROR('TMP Paste'!$M25*1,0))</f>
        <v>1</v>
      </c>
      <c r="D25">
        <f>IF($A25="","",SUMIF($B$2:$B25,$B25,$C$2:$C25))</f>
        <v>3</v>
      </c>
      <c r="E25">
        <f>IF($A25="",0,IF('TMP Paste'!$B25="",0,1))</f>
        <v>0</v>
      </c>
      <c r="F25" t="str">
        <f t="shared" si="0"/>
        <v>260728015619662gr5Ce0Coa-03</v>
      </c>
      <c r="G25" t="str">
        <f t="shared" si="1"/>
        <v>260728014140360ppVZvbV-01, 26072801414037XH6dCj30sh-02, 260728015619662gr5Ce0Coa-03</v>
      </c>
      <c r="H25" t="str">
        <f t="shared" si="2"/>
        <v>260728015619662gr5Ce0Coa (1)</v>
      </c>
      <c r="I25" t="str">
        <f t="shared" si="3"/>
        <v>260728014140360ppVZvbV (1), 26072801414037XH6dCj30sh (1), 260728015619662gr5Ce0Coa (1)</v>
      </c>
      <c r="J25" t="str">
        <f t="shared" si="4"/>
        <v/>
      </c>
      <c r="K25" t="str">
        <f>IF($A25="","",IF(COUNTIF($B$2:$B25,$B25)=COUNTIF($B$2:$B$1601,$B25),$B25,""))</f>
        <v/>
      </c>
    </row>
    <row r="26" spans="1:11">
      <c r="A26" t="str">
        <f>IF('TMP Paste'!$E26="","",'TMP Paste'!$E26)</f>
        <v>26072801561966LCCsOJtss</v>
      </c>
      <c r="B26">
        <f>IF($A26="","",COUNTIF('TMP Paste'!$B$2:$B26,"?*"))</f>
        <v>11</v>
      </c>
      <c r="C26">
        <f>IF($A26="","",IFERROR('TMP Paste'!$M26*1,0))</f>
        <v>1</v>
      </c>
      <c r="D26">
        <f>IF($A26="","",SUMIF($B$2:$B26,$B26,$C$2:$C26))</f>
        <v>4</v>
      </c>
      <c r="E26">
        <f>IF($A26="",0,IF('TMP Paste'!$B26="",0,1))</f>
        <v>0</v>
      </c>
      <c r="F26" t="str">
        <f t="shared" si="0"/>
        <v>26072801561966LCCsOJtss-04</v>
      </c>
      <c r="G26" t="str">
        <f t="shared" si="1"/>
        <v>260728014140360ppVZvbV-01, 26072801414037XH6dCj30sh-02, 260728015619662gr5Ce0Coa-03, 26072801561966LCCsOJtss-04</v>
      </c>
      <c r="H26" t="str">
        <f t="shared" si="2"/>
        <v>26072801561966LCCsOJtss (1)</v>
      </c>
      <c r="I26" t="str">
        <f t="shared" si="3"/>
        <v>260728014140360ppVZvbV (1), 26072801414037XH6dCj30sh (1), 260728015619662gr5Ce0Coa (1), 26072801561966LCCsOJtss (1)</v>
      </c>
      <c r="J26" t="str">
        <f t="shared" si="4"/>
        <v/>
      </c>
      <c r="K26">
        <f>IF($A26="","",IF(COUNTIF($B$2:$B26,$B26)=COUNTIF($B$2:$B$1601,$B26),$B26,""))</f>
        <v>11</v>
      </c>
    </row>
    <row r="27" spans="1:11">
      <c r="A27" t="str">
        <f>IF('TMP Paste'!$E27="","",'TMP Paste'!$E27)</f>
        <v>26072711371829bD90OfAG</v>
      </c>
      <c r="B27">
        <f>IF($A27="","",COUNTIF('TMP Paste'!$B$2:$B27,"?*"))</f>
        <v>12</v>
      </c>
      <c r="C27">
        <f>IF($A27="","",IFERROR('TMP Paste'!$M27*1,0))</f>
        <v>1</v>
      </c>
      <c r="D27">
        <f>IF($A27="","",SUMIF($B$2:$B27,$B27,$C$2:$C27))</f>
        <v>1</v>
      </c>
      <c r="E27">
        <f>IF($A27="",0,IF('TMP Paste'!$B27="",0,1))</f>
        <v>1</v>
      </c>
      <c r="F27" t="str">
        <f t="shared" si="0"/>
        <v>26072711371829bD90OfAG-01</v>
      </c>
      <c r="G27" t="str">
        <f t="shared" si="1"/>
        <v>26072711371829bD90OfAG-01</v>
      </c>
      <c r="H27" t="str">
        <f t="shared" si="2"/>
        <v>26072711371829bD90OfAG (1)</v>
      </c>
      <c r="I27" t="str">
        <f t="shared" si="3"/>
        <v>26072711371829bD90OfAG (1)</v>
      </c>
      <c r="J27">
        <f t="shared" si="4"/>
        <v>12</v>
      </c>
      <c r="K27" t="str">
        <f>IF($A27="","",IF(COUNTIF($B$2:$B27,$B27)=COUNTIF($B$2:$B$1601,$B27),$B27,""))</f>
        <v/>
      </c>
    </row>
    <row r="28" spans="1:11">
      <c r="A28" t="str">
        <f>IF('TMP Paste'!$E28="","",'TMP Paste'!$E28)</f>
        <v>26072711371829hZImrWHPpe</v>
      </c>
      <c r="B28">
        <f>IF($A28="","",COUNTIF('TMP Paste'!$B$2:$B28,"?*"))</f>
        <v>12</v>
      </c>
      <c r="C28">
        <f>IF($A28="","",IFERROR('TMP Paste'!$M28*1,0))</f>
        <v>1</v>
      </c>
      <c r="D28">
        <f>IF($A28="","",SUMIF($B$2:$B28,$B28,$C$2:$C28))</f>
        <v>2</v>
      </c>
      <c r="E28">
        <f>IF($A28="",0,IF('TMP Paste'!$B28="",0,1))</f>
        <v>0</v>
      </c>
      <c r="F28" t="str">
        <f t="shared" si="0"/>
        <v>26072711371829hZImrWHPpe-02</v>
      </c>
      <c r="G28" t="str">
        <f t="shared" si="1"/>
        <v>26072711371829bD90OfAG-01, 26072711371829hZImrWHPpe-02</v>
      </c>
      <c r="H28" t="str">
        <f t="shared" si="2"/>
        <v>26072711371829hZImrWHPpe (1)</v>
      </c>
      <c r="I28" t="str">
        <f t="shared" si="3"/>
        <v>26072711371829bD90OfAG (1), 26072711371829hZImrWHPpe (1)</v>
      </c>
      <c r="J28" t="str">
        <f t="shared" si="4"/>
        <v/>
      </c>
      <c r="K28" t="str">
        <f>IF($A28="","",IF(COUNTIF($B$2:$B28,$B28)=COUNTIF($B$2:$B$1601,$B28),$B28,""))</f>
        <v/>
      </c>
    </row>
    <row r="29" spans="1:11">
      <c r="A29" t="str">
        <f>IF('TMP Paste'!$E29="","",'TMP Paste'!$E29)</f>
        <v>26072711371829MedkSjEjj</v>
      </c>
      <c r="B29">
        <f>IF($A29="","",COUNTIF('TMP Paste'!$B$2:$B29,"?*"))</f>
        <v>12</v>
      </c>
      <c r="C29">
        <f>IF($A29="","",IFERROR('TMP Paste'!$M29*1,0))</f>
        <v>1</v>
      </c>
      <c r="D29">
        <f>IF($A29="","",SUMIF($B$2:$B29,$B29,$C$2:$C29))</f>
        <v>3</v>
      </c>
      <c r="E29">
        <f>IF($A29="",0,IF('TMP Paste'!$B29="",0,1))</f>
        <v>0</v>
      </c>
      <c r="F29" t="str">
        <f t="shared" si="0"/>
        <v>26072711371829MedkSjEjj-03</v>
      </c>
      <c r="G29" t="str">
        <f t="shared" si="1"/>
        <v>26072711371829bD90OfAG-01, 26072711371829hZImrWHPpe-02, 26072711371829MedkSjEjj-03</v>
      </c>
      <c r="H29" t="str">
        <f t="shared" si="2"/>
        <v>26072711371829MedkSjEjj (1)</v>
      </c>
      <c r="I29" t="str">
        <f t="shared" si="3"/>
        <v>26072711371829bD90OfAG (1), 26072711371829hZImrWHPpe (1), 26072711371829MedkSjEjj (1)</v>
      </c>
      <c r="J29" t="str">
        <f t="shared" si="4"/>
        <v/>
      </c>
      <c r="K29">
        <f>IF($A29="","",IF(COUNTIF($B$2:$B29,$B29)=COUNTIF($B$2:$B$1601,$B29),$B29,""))</f>
        <v>12</v>
      </c>
    </row>
    <row r="30" spans="1:11">
      <c r="A30" t="str">
        <f>IF('TMP Paste'!$E30="","",'TMP Paste'!$E30)</f>
        <v>260727060846087GrvfxYt</v>
      </c>
      <c r="B30">
        <f>IF($A30="","",COUNTIF('TMP Paste'!$B$2:$B30,"?*"))</f>
        <v>13</v>
      </c>
      <c r="C30">
        <f>IF($A30="","",IFERROR('TMP Paste'!$M30*1,0))</f>
        <v>1</v>
      </c>
      <c r="D30">
        <f>IF($A30="","",SUMIF($B$2:$B30,$B30,$C$2:$C30))</f>
        <v>1</v>
      </c>
      <c r="E30">
        <f>IF($A30="",0,IF('TMP Paste'!$B30="",0,1))</f>
        <v>1</v>
      </c>
      <c r="F30" t="str">
        <f t="shared" si="0"/>
        <v>260727060846087GrvfxYt-01</v>
      </c>
      <c r="G30" t="str">
        <f t="shared" si="1"/>
        <v>260727060846087GrvfxYt-01</v>
      </c>
      <c r="H30" t="str">
        <f t="shared" si="2"/>
        <v>260727060846087GrvfxYt (1)</v>
      </c>
      <c r="I30" t="str">
        <f t="shared" si="3"/>
        <v>260727060846087GrvfxYt (1)</v>
      </c>
      <c r="J30">
        <f t="shared" si="4"/>
        <v>13</v>
      </c>
      <c r="K30">
        <f>IF($A30="","",IF(COUNTIF($B$2:$B30,$B30)=COUNTIF($B$2:$B$1601,$B30),$B30,""))</f>
        <v>13</v>
      </c>
    </row>
    <row r="31" spans="1:11">
      <c r="A31" t="str">
        <f>IF('TMP Paste'!$E31="","",'TMP Paste'!$E31)</f>
        <v>26072707560190rhBnVpiLi</v>
      </c>
      <c r="B31">
        <f>IF($A31="","",COUNTIF('TMP Paste'!$B$2:$B31,"?*"))</f>
        <v>14</v>
      </c>
      <c r="C31">
        <f>IF($A31="","",IFERROR('TMP Paste'!$M31*1,0))</f>
        <v>2</v>
      </c>
      <c r="D31">
        <f>IF($A31="","",SUMIF($B$2:$B31,$B31,$C$2:$C31))</f>
        <v>2</v>
      </c>
      <c r="E31">
        <f>IF($A31="",0,IF('TMP Paste'!$B31="",0,1))</f>
        <v>1</v>
      </c>
      <c r="F31" t="str">
        <f t="shared" si="0"/>
        <v>26072707560190rhBnVpiLi-01, 26072707560190rhBnVpiLi-02</v>
      </c>
      <c r="G31" t="str">
        <f t="shared" si="1"/>
        <v>26072707560190rhBnVpiLi-01, 26072707560190rhBnVpiLi-02</v>
      </c>
      <c r="H31" t="str">
        <f t="shared" si="2"/>
        <v>26072707560190rhBnVpiLi (2)</v>
      </c>
      <c r="I31" t="str">
        <f t="shared" si="3"/>
        <v>26072707560190rhBnVpiLi (2)</v>
      </c>
      <c r="J31">
        <f t="shared" si="4"/>
        <v>14</v>
      </c>
      <c r="K31" t="str">
        <f>IF($A31="","",IF(COUNTIF($B$2:$B31,$B31)=COUNTIF($B$2:$B$1601,$B31),$B31,""))</f>
        <v/>
      </c>
    </row>
    <row r="32" spans="1:11">
      <c r="A32" t="str">
        <f>IF('TMP Paste'!$E32="","",'TMP Paste'!$E32)</f>
        <v>26072707560190ymqgVdWPi</v>
      </c>
      <c r="B32">
        <f>IF($A32="","",COUNTIF('TMP Paste'!$B$2:$B32,"?*"))</f>
        <v>14</v>
      </c>
      <c r="C32">
        <f>IF($A32="","",IFERROR('TMP Paste'!$M32*1,0))</f>
        <v>1</v>
      </c>
      <c r="D32">
        <f>IF($A32="","",SUMIF($B$2:$B32,$B32,$C$2:$C32))</f>
        <v>3</v>
      </c>
      <c r="E32">
        <f>IF($A32="",0,IF('TMP Paste'!$B32="",0,1))</f>
        <v>0</v>
      </c>
      <c r="F32" t="str">
        <f t="shared" si="0"/>
        <v>26072707560190ymqgVdWPi-03</v>
      </c>
      <c r="G32" t="str">
        <f t="shared" si="1"/>
        <v>26072707560190rhBnVpiLi-01, 26072707560190rhBnVpiLi-02, 26072707560190ymqgVdWPi-03</v>
      </c>
      <c r="H32" t="str">
        <f t="shared" si="2"/>
        <v>26072707560190ymqgVdWPi (1)</v>
      </c>
      <c r="I32" t="str">
        <f t="shared" si="3"/>
        <v>26072707560190rhBnVpiLi (2), 26072707560190ymqgVdWPi (1)</v>
      </c>
      <c r="J32" t="str">
        <f t="shared" si="4"/>
        <v/>
      </c>
      <c r="K32">
        <f>IF($A32="","",IF(COUNTIF($B$2:$B32,$B32)=COUNTIF($B$2:$B$1601,$B32),$B32,""))</f>
        <v>14</v>
      </c>
    </row>
    <row r="33" spans="1:11">
      <c r="A33" t="str">
        <f>IF('TMP Paste'!$E33="","",'TMP Paste'!$E33)</f>
        <v>26072708294775X2jgOh7r</v>
      </c>
      <c r="B33">
        <f>IF($A33="","",COUNTIF('TMP Paste'!$B$2:$B33,"?*"))</f>
        <v>15</v>
      </c>
      <c r="C33">
        <f>IF($A33="","",IFERROR('TMP Paste'!$M33*1,0))</f>
        <v>1</v>
      </c>
      <c r="D33">
        <f>IF($A33="","",SUMIF($B$2:$B33,$B33,$C$2:$C33))</f>
        <v>1</v>
      </c>
      <c r="E33">
        <f>IF($A33="",0,IF('TMP Paste'!$B33="",0,1))</f>
        <v>1</v>
      </c>
      <c r="F33" t="str">
        <f t="shared" si="0"/>
        <v>26072708294775X2jgOh7r-01</v>
      </c>
      <c r="G33" t="str">
        <f t="shared" si="1"/>
        <v>26072708294775X2jgOh7r-01</v>
      </c>
      <c r="H33" t="str">
        <f t="shared" si="2"/>
        <v>26072708294775X2jgOh7r (1)</v>
      </c>
      <c r="I33" t="str">
        <f t="shared" si="3"/>
        <v>26072708294775X2jgOh7r (1)</v>
      </c>
      <c r="J33">
        <f t="shared" si="4"/>
        <v>15</v>
      </c>
      <c r="K33">
        <f>IF($A33="","",IF(COUNTIF($B$2:$B33,$B33)=COUNTIF($B$2:$B$1601,$B33),$B33,""))</f>
        <v>15</v>
      </c>
    </row>
    <row r="34" spans="1:11">
      <c r="A34" t="str">
        <f>IF('TMP Paste'!$E34="","",'TMP Paste'!$E34)</f>
        <v>26072707241110QJcTk8YNC</v>
      </c>
      <c r="B34">
        <f>IF($A34="","",COUNTIF('TMP Paste'!$B$2:$B34,"?*"))</f>
        <v>16</v>
      </c>
      <c r="C34">
        <f>IF($A34="","",IFERROR('TMP Paste'!$M34*1,0))</f>
        <v>2</v>
      </c>
      <c r="D34">
        <f>IF($A34="","",SUMIF($B$2:$B34,$B34,$C$2:$C34))</f>
        <v>2</v>
      </c>
      <c r="E34">
        <f>IF($A34="",0,IF('TMP Paste'!$B34="",0,1))</f>
        <v>1</v>
      </c>
      <c r="F34" t="str">
        <f t="shared" si="0"/>
        <v>26072707241110QJcTk8YNC-01, 26072707241110QJcTk8YNC-02</v>
      </c>
      <c r="G34" t="str">
        <f t="shared" si="1"/>
        <v>26072707241110QJcTk8YNC-01, 26072707241110QJcTk8YNC-02</v>
      </c>
      <c r="H34" t="str">
        <f t="shared" si="2"/>
        <v>26072707241110QJcTk8YNC (2)</v>
      </c>
      <c r="I34" t="str">
        <f t="shared" si="3"/>
        <v>26072707241110QJcTk8YNC (2)</v>
      </c>
      <c r="J34">
        <f t="shared" si="4"/>
        <v>16</v>
      </c>
      <c r="K34">
        <f>IF($A34="","",IF(COUNTIF($B$2:$B34,$B34)=COUNTIF($B$2:$B$1601,$B34),$B34,""))</f>
        <v>16</v>
      </c>
    </row>
    <row r="35" spans="1:11">
      <c r="A35" t="str">
        <f>IF('TMP Paste'!$E35="","",'TMP Paste'!$E35)</f>
        <v>26072800322508vKhc2TWx9</v>
      </c>
      <c r="B35">
        <f>IF($A35="","",COUNTIF('TMP Paste'!$B$2:$B35,"?*"))</f>
        <v>17</v>
      </c>
      <c r="C35">
        <f>IF($A35="","",IFERROR('TMP Paste'!$M35*1,0))</f>
        <v>1</v>
      </c>
      <c r="D35">
        <f>IF($A35="","",SUMIF($B$2:$B35,$B35,$C$2:$C35))</f>
        <v>1</v>
      </c>
      <c r="E35">
        <f>IF($A35="",0,IF('TMP Paste'!$B35="",0,1))</f>
        <v>1</v>
      </c>
      <c r="F35" t="str">
        <f t="shared" si="0"/>
        <v>26072800322508vKhc2TWx9-01</v>
      </c>
      <c r="G35" t="str">
        <f t="shared" si="1"/>
        <v>26072800322508vKhc2TWx9-01</v>
      </c>
      <c r="H35" t="str">
        <f t="shared" si="2"/>
        <v>26072800322508vKhc2TWx9 (1)</v>
      </c>
      <c r="I35" t="str">
        <f t="shared" si="3"/>
        <v>26072800322508vKhc2TWx9 (1)</v>
      </c>
      <c r="J35">
        <f t="shared" si="4"/>
        <v>17</v>
      </c>
      <c r="K35">
        <f>IF($A35="","",IF(COUNTIF($B$2:$B35,$B35)=COUNTIF($B$2:$B$1601,$B35),$B35,""))</f>
        <v>17</v>
      </c>
    </row>
    <row r="36" spans="1:11">
      <c r="A36" t="str">
        <f>IF('TMP Paste'!$E36="","",'TMP Paste'!$E36)</f>
        <v>260727130541123P9fwqGX8k</v>
      </c>
      <c r="B36">
        <f>IF($A36="","",COUNTIF('TMP Paste'!$B$2:$B36,"?*"))</f>
        <v>18</v>
      </c>
      <c r="C36">
        <f>IF($A36="","",IFERROR('TMP Paste'!$M36*1,0))</f>
        <v>1</v>
      </c>
      <c r="D36">
        <f>IF($A36="","",SUMIF($B$2:$B36,$B36,$C$2:$C36))</f>
        <v>1</v>
      </c>
      <c r="E36">
        <f>IF($A36="",0,IF('TMP Paste'!$B36="",0,1))</f>
        <v>1</v>
      </c>
      <c r="F36" t="str">
        <f t="shared" si="0"/>
        <v>260727130541123P9fwqGX8k-01</v>
      </c>
      <c r="G36" t="str">
        <f t="shared" si="1"/>
        <v>260727130541123P9fwqGX8k-01</v>
      </c>
      <c r="H36" t="str">
        <f t="shared" si="2"/>
        <v>260727130541123P9fwqGX8k (1)</v>
      </c>
      <c r="I36" t="str">
        <f t="shared" si="3"/>
        <v>260727130541123P9fwqGX8k (1)</v>
      </c>
      <c r="J36">
        <f t="shared" si="4"/>
        <v>18</v>
      </c>
      <c r="K36" t="str">
        <f>IF($A36="","",IF(COUNTIF($B$2:$B36,$B36)=COUNTIF($B$2:$B$1601,$B36),$B36,""))</f>
        <v/>
      </c>
    </row>
    <row r="37" spans="1:11">
      <c r="A37" t="str">
        <f>IF('TMP Paste'!$E37="","",'TMP Paste'!$E37)</f>
        <v>26072713054112jKXG2Pgb2D</v>
      </c>
      <c r="B37">
        <f>IF($A37="","",COUNTIF('TMP Paste'!$B$2:$B37,"?*"))</f>
        <v>18</v>
      </c>
      <c r="C37">
        <f>IF($A37="","",IFERROR('TMP Paste'!$M37*1,0))</f>
        <v>2</v>
      </c>
      <c r="D37">
        <f>IF($A37="","",SUMIF($B$2:$B37,$B37,$C$2:$C37))</f>
        <v>3</v>
      </c>
      <c r="E37">
        <f>IF($A37="",0,IF('TMP Paste'!$B37="",0,1))</f>
        <v>0</v>
      </c>
      <c r="F37" t="str">
        <f t="shared" si="0"/>
        <v>26072713054112jKXG2Pgb2D-02, 26072713054112jKXG2Pgb2D-03</v>
      </c>
      <c r="G37" t="str">
        <f t="shared" si="1"/>
        <v>260727130541123P9fwqGX8k-01, 26072713054112jKXG2Pgb2D-02, 26072713054112jKXG2Pgb2D-03</v>
      </c>
      <c r="H37" t="str">
        <f t="shared" si="2"/>
        <v>26072713054112jKXG2Pgb2D (2)</v>
      </c>
      <c r="I37" t="str">
        <f t="shared" si="3"/>
        <v>260727130541123P9fwqGX8k (1), 26072713054112jKXG2Pgb2D (2)</v>
      </c>
      <c r="J37" t="str">
        <f t="shared" si="4"/>
        <v/>
      </c>
      <c r="K37" t="str">
        <f>IF($A37="","",IF(COUNTIF($B$2:$B37,$B37)=COUNTIF($B$2:$B$1601,$B37),$B37,""))</f>
        <v/>
      </c>
    </row>
    <row r="38" spans="1:11">
      <c r="A38" t="str">
        <f>IF('TMP Paste'!$E38="","",'TMP Paste'!$E38)</f>
        <v>26072713054112VQ5BgPLP</v>
      </c>
      <c r="B38">
        <f>IF($A38="","",COUNTIF('TMP Paste'!$B$2:$B38,"?*"))</f>
        <v>18</v>
      </c>
      <c r="C38">
        <f>IF($A38="","",IFERROR('TMP Paste'!$M38*1,0))</f>
        <v>1</v>
      </c>
      <c r="D38">
        <f>IF($A38="","",SUMIF($B$2:$B38,$B38,$C$2:$C38))</f>
        <v>4</v>
      </c>
      <c r="E38">
        <f>IF($A38="",0,IF('TMP Paste'!$B38="",0,1))</f>
        <v>0</v>
      </c>
      <c r="F38" t="str">
        <f t="shared" si="0"/>
        <v>26072713054112VQ5BgPLP-04</v>
      </c>
      <c r="G38" t="str">
        <f t="shared" si="1"/>
        <v>260727130541123P9fwqGX8k-01, 26072713054112jKXG2Pgb2D-02, 26072713054112jKXG2Pgb2D-03, 26072713054112VQ5BgPLP-04</v>
      </c>
      <c r="H38" t="str">
        <f t="shared" si="2"/>
        <v>26072713054112VQ5BgPLP (1)</v>
      </c>
      <c r="I38" t="str">
        <f t="shared" si="3"/>
        <v>260727130541123P9fwqGX8k (1), 26072713054112jKXG2Pgb2D (2), 26072713054112VQ5BgPLP (1)</v>
      </c>
      <c r="J38" t="str">
        <f t="shared" si="4"/>
        <v/>
      </c>
      <c r="K38">
        <f>IF($A38="","",IF(COUNTIF($B$2:$B38,$B38)=COUNTIF($B$2:$B$1601,$B38),$B38,""))</f>
        <v>18</v>
      </c>
    </row>
    <row r="39" spans="1:11">
      <c r="A39" t="str">
        <f>IF('TMP Paste'!$E39="","",'TMP Paste'!$E39)</f>
        <v>26072711350898koIZhWruw</v>
      </c>
      <c r="B39">
        <f>IF($A39="","",COUNTIF('TMP Paste'!$B$2:$B39,"?*"))</f>
        <v>19</v>
      </c>
      <c r="C39">
        <f>IF($A39="","",IFERROR('TMP Paste'!$M39*1,0))</f>
        <v>1</v>
      </c>
      <c r="D39">
        <f>IF($A39="","",SUMIF($B$2:$B39,$B39,$C$2:$C39))</f>
        <v>1</v>
      </c>
      <c r="E39">
        <f>IF($A39="",0,IF('TMP Paste'!$B39="",0,1))</f>
        <v>1</v>
      </c>
      <c r="F39" t="str">
        <f t="shared" si="0"/>
        <v>26072711350898koIZhWruw-01</v>
      </c>
      <c r="G39" t="str">
        <f t="shared" si="1"/>
        <v>26072711350898koIZhWruw-01</v>
      </c>
      <c r="H39" t="str">
        <f t="shared" si="2"/>
        <v>26072711350898koIZhWruw (1)</v>
      </c>
      <c r="I39" t="str">
        <f t="shared" si="3"/>
        <v>26072711350898koIZhWruw (1)</v>
      </c>
      <c r="J39">
        <f t="shared" si="4"/>
        <v>19</v>
      </c>
      <c r="K39" t="str">
        <f>IF($A39="","",IF(COUNTIF($B$2:$B39,$B39)=COUNTIF($B$2:$B$1601,$B39),$B39,""))</f>
        <v/>
      </c>
    </row>
    <row r="40" spans="1:11">
      <c r="A40" t="str">
        <f>IF('TMP Paste'!$E40="","",'TMP Paste'!$E40)</f>
        <v>26072711350899gtRmMQ5NSR</v>
      </c>
      <c r="B40">
        <f>IF($A40="","",COUNTIF('TMP Paste'!$B$2:$B40,"?*"))</f>
        <v>19</v>
      </c>
      <c r="C40">
        <f>IF($A40="","",IFERROR('TMP Paste'!$M40*1,0))</f>
        <v>1</v>
      </c>
      <c r="D40">
        <f>IF($A40="","",SUMIF($B$2:$B40,$B40,$C$2:$C40))</f>
        <v>2</v>
      </c>
      <c r="E40">
        <f>IF($A40="",0,IF('TMP Paste'!$B40="",0,1))</f>
        <v>0</v>
      </c>
      <c r="F40" t="str">
        <f t="shared" si="0"/>
        <v>26072711350899gtRmMQ5NSR-02</v>
      </c>
      <c r="G40" t="str">
        <f t="shared" si="1"/>
        <v>26072711350898koIZhWruw-01, 26072711350899gtRmMQ5NSR-02</v>
      </c>
      <c r="H40" t="str">
        <f t="shared" si="2"/>
        <v>26072711350899gtRmMQ5NSR (1)</v>
      </c>
      <c r="I40" t="str">
        <f t="shared" si="3"/>
        <v>26072711350898koIZhWruw (1), 26072711350899gtRmMQ5NSR (1)</v>
      </c>
      <c r="J40" t="str">
        <f t="shared" si="4"/>
        <v/>
      </c>
      <c r="K40" t="str">
        <f>IF($A40="","",IF(COUNTIF($B$2:$B40,$B40)=COUNTIF($B$2:$B$1601,$B40),$B40,""))</f>
        <v/>
      </c>
    </row>
    <row r="41" spans="1:11">
      <c r="A41" t="str">
        <f>IF('TMP Paste'!$E41="","",'TMP Paste'!$E41)</f>
        <v>26072711471783EBYJf2XQ8B</v>
      </c>
      <c r="B41">
        <f>IF($A41="","",COUNTIF('TMP Paste'!$B$2:$B41,"?*"))</f>
        <v>19</v>
      </c>
      <c r="C41">
        <f>IF($A41="","",IFERROR('TMP Paste'!$M41*1,0))</f>
        <v>1</v>
      </c>
      <c r="D41">
        <f>IF($A41="","",SUMIF($B$2:$B41,$B41,$C$2:$C41))</f>
        <v>3</v>
      </c>
      <c r="E41">
        <f>IF($A41="",0,IF('TMP Paste'!$B41="",0,1))</f>
        <v>0</v>
      </c>
      <c r="F41" t="str">
        <f t="shared" si="0"/>
        <v>26072711471783EBYJf2XQ8B-03</v>
      </c>
      <c r="G41" t="str">
        <f t="shared" si="1"/>
        <v>26072711350898koIZhWruw-01, 26072711350899gtRmMQ5NSR-02, 26072711471783EBYJf2XQ8B-03</v>
      </c>
      <c r="H41" t="str">
        <f t="shared" si="2"/>
        <v>26072711471783EBYJf2XQ8B (1)</v>
      </c>
      <c r="I41" t="str">
        <f t="shared" si="3"/>
        <v>26072711350898koIZhWruw (1), 26072711350899gtRmMQ5NSR (1), 26072711471783EBYJf2XQ8B (1)</v>
      </c>
      <c r="J41" t="str">
        <f t="shared" si="4"/>
        <v/>
      </c>
      <c r="K41" t="str">
        <f>IF($A41="","",IF(COUNTIF($B$2:$B41,$B41)=COUNTIF($B$2:$B$1601,$B41),$B41,""))</f>
        <v/>
      </c>
    </row>
    <row r="42" spans="1:11">
      <c r="A42" t="str">
        <f>IF('TMP Paste'!$E42="","",'TMP Paste'!$E42)</f>
        <v>26072711471783v1Ybwtvm</v>
      </c>
      <c r="B42">
        <f>IF($A42="","",COUNTIF('TMP Paste'!$B$2:$B42,"?*"))</f>
        <v>19</v>
      </c>
      <c r="C42">
        <f>IF($A42="","",IFERROR('TMP Paste'!$M42*1,0))</f>
        <v>1</v>
      </c>
      <c r="D42">
        <f>IF($A42="","",SUMIF($B$2:$B42,$B42,$C$2:$C42))</f>
        <v>4</v>
      </c>
      <c r="E42">
        <f>IF($A42="",0,IF('TMP Paste'!$B42="",0,1))</f>
        <v>0</v>
      </c>
      <c r="F42" t="str">
        <f t="shared" si="0"/>
        <v>26072711471783v1Ybwtvm-04</v>
      </c>
      <c r="G42" t="str">
        <f t="shared" si="1"/>
        <v>26072711350898koIZhWruw-01, 26072711350899gtRmMQ5NSR-02, 26072711471783EBYJf2XQ8B-03, 26072711471783v1Ybwtvm-04</v>
      </c>
      <c r="H42" t="str">
        <f t="shared" si="2"/>
        <v>26072711471783v1Ybwtvm (1)</v>
      </c>
      <c r="I42" t="str">
        <f t="shared" si="3"/>
        <v>26072711350898koIZhWruw (1), 26072711350899gtRmMQ5NSR (1), 26072711471783EBYJf2XQ8B (1), 26072711471783v1Ybwtvm (1)</v>
      </c>
      <c r="J42" t="str">
        <f t="shared" si="4"/>
        <v/>
      </c>
      <c r="K42">
        <f>IF($A42="","",IF(COUNTIF($B$2:$B42,$B42)=COUNTIF($B$2:$B$1601,$B42),$B42,""))</f>
        <v>19</v>
      </c>
    </row>
    <row r="43" spans="1:11">
      <c r="A43" t="str">
        <f>IF('TMP Paste'!$E43="","",'TMP Paste'!$E43)</f>
        <v>260728022212646PTExoyK</v>
      </c>
      <c r="B43">
        <f>IF($A43="","",COUNTIF('TMP Paste'!$B$2:$B43,"?*"))</f>
        <v>20</v>
      </c>
      <c r="C43">
        <f>IF($A43="","",IFERROR('TMP Paste'!$M43*1,0))</f>
        <v>1</v>
      </c>
      <c r="D43">
        <f>IF($A43="","",SUMIF($B$2:$B43,$B43,$C$2:$C43))</f>
        <v>1</v>
      </c>
      <c r="E43">
        <f>IF($A43="",0,IF('TMP Paste'!$B43="",0,1))</f>
        <v>1</v>
      </c>
      <c r="F43" t="str">
        <f t="shared" si="0"/>
        <v>260728022212646PTExoyK-01</v>
      </c>
      <c r="G43" t="str">
        <f t="shared" si="1"/>
        <v>260728022212646PTExoyK-01</v>
      </c>
      <c r="H43" t="str">
        <f t="shared" si="2"/>
        <v>260728022212646PTExoyK (1)</v>
      </c>
      <c r="I43" t="str">
        <f t="shared" si="3"/>
        <v>260728022212646PTExoyK (1)</v>
      </c>
      <c r="J43">
        <f t="shared" si="4"/>
        <v>20</v>
      </c>
      <c r="K43" t="str">
        <f>IF($A43="","",IF(COUNTIF($B$2:$B43,$B43)=COUNTIF($B$2:$B$1601,$B43),$B43,""))</f>
        <v/>
      </c>
    </row>
    <row r="44" spans="1:11">
      <c r="A44" t="str">
        <f>IF('TMP Paste'!$E44="","",'TMP Paste'!$E44)</f>
        <v>26072802221264cGexMLOGnr</v>
      </c>
      <c r="B44">
        <f>IF($A44="","",COUNTIF('TMP Paste'!$B$2:$B44,"?*"))</f>
        <v>20</v>
      </c>
      <c r="C44">
        <f>IF($A44="","",IFERROR('TMP Paste'!$M44*1,0))</f>
        <v>1</v>
      </c>
      <c r="D44">
        <f>IF($A44="","",SUMIF($B$2:$B44,$B44,$C$2:$C44))</f>
        <v>2</v>
      </c>
      <c r="E44">
        <f>IF($A44="",0,IF('TMP Paste'!$B44="",0,1))</f>
        <v>0</v>
      </c>
      <c r="F44" t="str">
        <f t="shared" si="0"/>
        <v>26072802221264cGexMLOGnr-02</v>
      </c>
      <c r="G44" t="str">
        <f t="shared" si="1"/>
        <v>260728022212646PTExoyK-01, 26072802221264cGexMLOGnr-02</v>
      </c>
      <c r="H44" t="str">
        <f t="shared" si="2"/>
        <v>26072802221264cGexMLOGnr (1)</v>
      </c>
      <c r="I44" t="str">
        <f t="shared" si="3"/>
        <v>260728022212646PTExoyK (1), 26072802221264cGexMLOGnr (1)</v>
      </c>
      <c r="J44" t="str">
        <f t="shared" si="4"/>
        <v/>
      </c>
      <c r="K44" t="str">
        <f>IF($A44="","",IF(COUNTIF($B$2:$B44,$B44)=COUNTIF($B$2:$B$1601,$B44),$B44,""))</f>
        <v/>
      </c>
    </row>
    <row r="45" spans="1:11">
      <c r="A45" t="str">
        <f>IF('TMP Paste'!$E45="","",'TMP Paste'!$E45)</f>
        <v>26072802221264tBcTbwVSiT</v>
      </c>
      <c r="B45">
        <f>IF($A45="","",COUNTIF('TMP Paste'!$B$2:$B45,"?*"))</f>
        <v>20</v>
      </c>
      <c r="C45">
        <f>IF($A45="","",IFERROR('TMP Paste'!$M45*1,0))</f>
        <v>1</v>
      </c>
      <c r="D45">
        <f>IF($A45="","",SUMIF($B$2:$B45,$B45,$C$2:$C45))</f>
        <v>3</v>
      </c>
      <c r="E45">
        <f>IF($A45="",0,IF('TMP Paste'!$B45="",0,1))</f>
        <v>0</v>
      </c>
      <c r="F45" t="str">
        <f t="shared" si="0"/>
        <v>26072802221264tBcTbwVSiT-03</v>
      </c>
      <c r="G45" t="str">
        <f t="shared" si="1"/>
        <v>260728022212646PTExoyK-01, 26072802221264cGexMLOGnr-02, 26072802221264tBcTbwVSiT-03</v>
      </c>
      <c r="H45" t="str">
        <f t="shared" si="2"/>
        <v>26072802221264tBcTbwVSiT (1)</v>
      </c>
      <c r="I45" t="str">
        <f t="shared" si="3"/>
        <v>260728022212646PTExoyK (1), 26072802221264cGexMLOGnr (1), 26072802221264tBcTbwVSiT (1)</v>
      </c>
      <c r="J45" t="str">
        <f t="shared" si="4"/>
        <v/>
      </c>
      <c r="K45">
        <f>IF($A45="","",IF(COUNTIF($B$2:$B45,$B45)=COUNTIF($B$2:$B$1601,$B45),$B45,""))</f>
        <v>20</v>
      </c>
    </row>
    <row r="46" spans="1:11">
      <c r="A46" t="str">
        <f>IF('TMP Paste'!$E46="","",'TMP Paste'!$E46)</f>
        <v>26072800590510bpZcrNFC5H</v>
      </c>
      <c r="B46">
        <f>IF($A46="","",COUNTIF('TMP Paste'!$B$2:$B46,"?*"))</f>
        <v>21</v>
      </c>
      <c r="C46">
        <f>IF($A46="","",IFERROR('TMP Paste'!$M46*1,0))</f>
        <v>1</v>
      </c>
      <c r="D46">
        <f>IF($A46="","",SUMIF($B$2:$B46,$B46,$C$2:$C46))</f>
        <v>1</v>
      </c>
      <c r="E46">
        <f>IF($A46="",0,IF('TMP Paste'!$B46="",0,1))</f>
        <v>1</v>
      </c>
      <c r="F46" t="str">
        <f t="shared" si="0"/>
        <v>26072800590510bpZcrNFC5H-01</v>
      </c>
      <c r="G46" t="str">
        <f t="shared" si="1"/>
        <v>26072800590510bpZcrNFC5H-01</v>
      </c>
      <c r="H46" t="str">
        <f t="shared" si="2"/>
        <v>26072800590510bpZcrNFC5H (1)</v>
      </c>
      <c r="I46" t="str">
        <f t="shared" si="3"/>
        <v>26072800590510bpZcrNFC5H (1)</v>
      </c>
      <c r="J46">
        <f t="shared" si="4"/>
        <v>21</v>
      </c>
      <c r="K46" t="str">
        <f>IF($A46="","",IF(COUNTIF($B$2:$B46,$B46)=COUNTIF($B$2:$B$1601,$B46),$B46,""))</f>
        <v/>
      </c>
    </row>
    <row r="47" spans="1:11">
      <c r="A47" t="str">
        <f>IF('TMP Paste'!$E47="","",'TMP Paste'!$E47)</f>
        <v>26072800590510PNkY214v7</v>
      </c>
      <c r="B47">
        <f>IF($A47="","",COUNTIF('TMP Paste'!$B$2:$B47,"?*"))</f>
        <v>21</v>
      </c>
      <c r="C47">
        <f>IF($A47="","",IFERROR('TMP Paste'!$M47*1,0))</f>
        <v>1</v>
      </c>
      <c r="D47">
        <f>IF($A47="","",SUMIF($B$2:$B47,$B47,$C$2:$C47))</f>
        <v>2</v>
      </c>
      <c r="E47">
        <f>IF($A47="",0,IF('TMP Paste'!$B47="",0,1))</f>
        <v>0</v>
      </c>
      <c r="F47" t="str">
        <f t="shared" si="0"/>
        <v>26072800590510PNkY214v7-02</v>
      </c>
      <c r="G47" t="str">
        <f t="shared" si="1"/>
        <v>26072800590510bpZcrNFC5H-01, 26072800590510PNkY214v7-02</v>
      </c>
      <c r="H47" t="str">
        <f t="shared" si="2"/>
        <v>26072800590510PNkY214v7 (1)</v>
      </c>
      <c r="I47" t="str">
        <f t="shared" si="3"/>
        <v>26072800590510bpZcrNFC5H (1), 26072800590510PNkY214v7 (1)</v>
      </c>
      <c r="J47" t="str">
        <f t="shared" si="4"/>
        <v/>
      </c>
      <c r="K47">
        <f>IF($A47="","",IF(COUNTIF($B$2:$B47,$B47)=COUNTIF($B$2:$B$1601,$B47),$B47,""))</f>
        <v>21</v>
      </c>
    </row>
    <row r="48" spans="1:11">
      <c r="A48" t="str">
        <f>IF('TMP Paste'!$E48="","",'TMP Paste'!$E48)</f>
        <v>26072800084322Zg0uQsbhY</v>
      </c>
      <c r="B48">
        <f>IF($A48="","",COUNTIF('TMP Paste'!$B$2:$B48,"?*"))</f>
        <v>22</v>
      </c>
      <c r="C48">
        <f>IF($A48="","",IFERROR('TMP Paste'!$M48*1,0))</f>
        <v>1</v>
      </c>
      <c r="D48">
        <f>IF($A48="","",SUMIF($B$2:$B48,$B48,$C$2:$C48))</f>
        <v>1</v>
      </c>
      <c r="E48">
        <f>IF($A48="",0,IF('TMP Paste'!$B48="",0,1))</f>
        <v>1</v>
      </c>
      <c r="F48" t="str">
        <f t="shared" si="0"/>
        <v>26072800084322Zg0uQsbhY-01</v>
      </c>
      <c r="G48" t="str">
        <f t="shared" si="1"/>
        <v>26072800084322Zg0uQsbhY-01</v>
      </c>
      <c r="H48" t="str">
        <f t="shared" si="2"/>
        <v>26072800084322Zg0uQsbhY (1)</v>
      </c>
      <c r="I48" t="str">
        <f t="shared" si="3"/>
        <v>26072800084322Zg0uQsbhY (1)</v>
      </c>
      <c r="J48">
        <f t="shared" si="4"/>
        <v>22</v>
      </c>
      <c r="K48">
        <f>IF($A48="","",IF(COUNTIF($B$2:$B48,$B48)=COUNTIF($B$2:$B$1601,$B48),$B48,""))</f>
        <v>22</v>
      </c>
    </row>
    <row r="49" spans="1:11">
      <c r="A49" t="str">
        <f>IF('TMP Paste'!$E49="","",'TMP Paste'!$E49)</f>
        <v>26072802471485AaAsvhvmkO</v>
      </c>
      <c r="B49">
        <f>IF($A49="","",COUNTIF('TMP Paste'!$B$2:$B49,"?*"))</f>
        <v>23</v>
      </c>
      <c r="C49">
        <f>IF($A49="","",IFERROR('TMP Paste'!$M49*1,0))</f>
        <v>1</v>
      </c>
      <c r="D49">
        <f>IF($A49="","",SUMIF($B$2:$B49,$B49,$C$2:$C49))</f>
        <v>1</v>
      </c>
      <c r="E49">
        <f>IF($A49="",0,IF('TMP Paste'!$B49="",0,1))</f>
        <v>1</v>
      </c>
      <c r="F49" t="str">
        <f t="shared" si="0"/>
        <v>26072802471485AaAsvhvmkO-01</v>
      </c>
      <c r="G49" t="str">
        <f t="shared" si="1"/>
        <v>26072802471485AaAsvhvmkO-01</v>
      </c>
      <c r="H49" t="str">
        <f t="shared" si="2"/>
        <v>26072802471485AaAsvhvmkO (1)</v>
      </c>
      <c r="I49" t="str">
        <f t="shared" si="3"/>
        <v>26072802471485AaAsvhvmkO (1)</v>
      </c>
      <c r="J49">
        <f t="shared" si="4"/>
        <v>23</v>
      </c>
      <c r="K49" t="str">
        <f>IF($A49="","",IF(COUNTIF($B$2:$B49,$B49)=COUNTIF($B$2:$B$1601,$B49),$B49,""))</f>
        <v/>
      </c>
    </row>
    <row r="50" spans="1:11">
      <c r="A50" t="str">
        <f>IF('TMP Paste'!$E50="","",'TMP Paste'!$E50)</f>
        <v>26072802471485DBoYI0b3e</v>
      </c>
      <c r="B50">
        <f>IF($A50="","",COUNTIF('TMP Paste'!$B$2:$B50,"?*"))</f>
        <v>23</v>
      </c>
      <c r="C50">
        <f>IF($A50="","",IFERROR('TMP Paste'!$M50*1,0))</f>
        <v>1</v>
      </c>
      <c r="D50">
        <f>IF($A50="","",SUMIF($B$2:$B50,$B50,$C$2:$C50))</f>
        <v>2</v>
      </c>
      <c r="E50">
        <f>IF($A50="",0,IF('TMP Paste'!$B50="",0,1))</f>
        <v>0</v>
      </c>
      <c r="F50" t="str">
        <f t="shared" si="0"/>
        <v>26072802471485DBoYI0b3e-02</v>
      </c>
      <c r="G50" t="str">
        <f t="shared" si="1"/>
        <v>26072802471485AaAsvhvmkO-01, 26072802471485DBoYI0b3e-02</v>
      </c>
      <c r="H50" t="str">
        <f t="shared" si="2"/>
        <v>26072802471485DBoYI0b3e (1)</v>
      </c>
      <c r="I50" t="str">
        <f t="shared" si="3"/>
        <v>26072802471485AaAsvhvmkO (1), 26072802471485DBoYI0b3e (1)</v>
      </c>
      <c r="J50" t="str">
        <f t="shared" si="4"/>
        <v/>
      </c>
      <c r="K50" t="str">
        <f>IF($A50="","",IF(COUNTIF($B$2:$B50,$B50)=COUNTIF($B$2:$B$1601,$B50),$B50,""))</f>
        <v/>
      </c>
    </row>
    <row r="51" spans="1:11">
      <c r="A51" t="str">
        <f>IF('TMP Paste'!$E51="","",'TMP Paste'!$E51)</f>
        <v>26072802471485G6fx5GyCjY</v>
      </c>
      <c r="B51">
        <f>IF($A51="","",COUNTIF('TMP Paste'!$B$2:$B51,"?*"))</f>
        <v>23</v>
      </c>
      <c r="C51">
        <f>IF($A51="","",IFERROR('TMP Paste'!$M51*1,0))</f>
        <v>1</v>
      </c>
      <c r="D51">
        <f>IF($A51="","",SUMIF($B$2:$B51,$B51,$C$2:$C51))</f>
        <v>3</v>
      </c>
      <c r="E51">
        <f>IF($A51="",0,IF('TMP Paste'!$B51="",0,1))</f>
        <v>0</v>
      </c>
      <c r="F51" t="str">
        <f t="shared" si="0"/>
        <v>26072802471485G6fx5GyCjY-03</v>
      </c>
      <c r="G51" t="str">
        <f t="shared" si="1"/>
        <v>26072802471485AaAsvhvmkO-01, 26072802471485DBoYI0b3e-02, 26072802471485G6fx5GyCjY-03</v>
      </c>
      <c r="H51" t="str">
        <f t="shared" si="2"/>
        <v>26072802471485G6fx5GyCjY (1)</v>
      </c>
      <c r="I51" t="str">
        <f t="shared" si="3"/>
        <v>26072802471485AaAsvhvmkO (1), 26072802471485DBoYI0b3e (1), 26072802471485G6fx5GyCjY (1)</v>
      </c>
      <c r="J51" t="str">
        <f t="shared" si="4"/>
        <v/>
      </c>
      <c r="K51">
        <f>IF($A51="","",IF(COUNTIF($B$2:$B51,$B51)=COUNTIF($B$2:$B$1601,$B51),$B51,""))</f>
        <v>23</v>
      </c>
    </row>
    <row r="52" spans="1:11">
      <c r="A52" t="str">
        <f>IF('TMP Paste'!$E52="","",'TMP Paste'!$E52)</f>
        <v>26072803313223Ps0Z2kIHf</v>
      </c>
      <c r="B52">
        <f>IF($A52="","",COUNTIF('TMP Paste'!$B$2:$B52,"?*"))</f>
        <v>24</v>
      </c>
      <c r="C52">
        <f>IF($A52="","",IFERROR('TMP Paste'!$M52*1,0))</f>
        <v>1</v>
      </c>
      <c r="D52">
        <f>IF($A52="","",SUMIF($B$2:$B52,$B52,$C$2:$C52))</f>
        <v>1</v>
      </c>
      <c r="E52">
        <f>IF($A52="",0,IF('TMP Paste'!$B52="",0,1))</f>
        <v>1</v>
      </c>
      <c r="F52" t="str">
        <f t="shared" si="0"/>
        <v>26072803313223Ps0Z2kIHf-01</v>
      </c>
      <c r="G52" t="str">
        <f t="shared" si="1"/>
        <v>26072803313223Ps0Z2kIHf-01</v>
      </c>
      <c r="H52" t="str">
        <f t="shared" si="2"/>
        <v>26072803313223Ps0Z2kIHf (1)</v>
      </c>
      <c r="I52" t="str">
        <f t="shared" si="3"/>
        <v>26072803313223Ps0Z2kIHf (1)</v>
      </c>
      <c r="J52">
        <f t="shared" si="4"/>
        <v>24</v>
      </c>
      <c r="K52" t="str">
        <f>IF($A52="","",IF(COUNTIF($B$2:$B52,$B52)=COUNTIF($B$2:$B$1601,$B52),$B52,""))</f>
        <v/>
      </c>
    </row>
    <row r="53" spans="1:11">
      <c r="A53" t="str">
        <f>IF('TMP Paste'!$E53="","",'TMP Paste'!$E53)</f>
        <v>26072803313223vSJNdDD6HK</v>
      </c>
      <c r="B53">
        <f>IF($A53="","",COUNTIF('TMP Paste'!$B$2:$B53,"?*"))</f>
        <v>24</v>
      </c>
      <c r="C53">
        <f>IF($A53="","",IFERROR('TMP Paste'!$M53*1,0))</f>
        <v>1</v>
      </c>
      <c r="D53">
        <f>IF($A53="","",SUMIF($B$2:$B53,$B53,$C$2:$C53))</f>
        <v>2</v>
      </c>
      <c r="E53">
        <f>IF($A53="",0,IF('TMP Paste'!$B53="",0,1))</f>
        <v>0</v>
      </c>
      <c r="F53" t="str">
        <f t="shared" si="0"/>
        <v>26072803313223vSJNdDD6HK-02</v>
      </c>
      <c r="G53" t="str">
        <f t="shared" si="1"/>
        <v>26072803313223Ps0Z2kIHf-01, 26072803313223vSJNdDD6HK-02</v>
      </c>
      <c r="H53" t="str">
        <f t="shared" si="2"/>
        <v>26072803313223vSJNdDD6HK (1)</v>
      </c>
      <c r="I53" t="str">
        <f t="shared" si="3"/>
        <v>26072803313223Ps0Z2kIHf (1), 26072803313223vSJNdDD6HK (1)</v>
      </c>
      <c r="J53" t="str">
        <f t="shared" si="4"/>
        <v/>
      </c>
      <c r="K53">
        <f>IF($A53="","",IF(COUNTIF($B$2:$B53,$B53)=COUNTIF($B$2:$B$1601,$B53),$B53,""))</f>
        <v>24</v>
      </c>
    </row>
    <row r="54" spans="1:11">
      <c r="A54" t="str">
        <f>IF('TMP Paste'!$E54="","",'TMP Paste'!$E54)</f>
        <v>26072803595231IFhVy7FfL</v>
      </c>
      <c r="B54">
        <f>IF($A54="","",COUNTIF('TMP Paste'!$B$2:$B54,"?*"))</f>
        <v>25</v>
      </c>
      <c r="C54">
        <f>IF($A54="","",IFERROR('TMP Paste'!$M54*1,0))</f>
        <v>1</v>
      </c>
      <c r="D54">
        <f>IF($A54="","",SUMIF($B$2:$B54,$B54,$C$2:$C54))</f>
        <v>1</v>
      </c>
      <c r="E54">
        <f>IF($A54="",0,IF('TMP Paste'!$B54="",0,1))</f>
        <v>1</v>
      </c>
      <c r="F54" t="str">
        <f t="shared" si="0"/>
        <v>26072803595231IFhVy7FfL-01</v>
      </c>
      <c r="G54" t="str">
        <f t="shared" si="1"/>
        <v>26072803595231IFhVy7FfL-01</v>
      </c>
      <c r="H54" t="str">
        <f t="shared" si="2"/>
        <v>26072803595231IFhVy7FfL (1)</v>
      </c>
      <c r="I54" t="str">
        <f t="shared" si="3"/>
        <v>26072803595231IFhVy7FfL (1)</v>
      </c>
      <c r="J54">
        <f t="shared" si="4"/>
        <v>25</v>
      </c>
      <c r="K54" t="str">
        <f>IF($A54="","",IF(COUNTIF($B$2:$B54,$B54)=COUNTIF($B$2:$B$1601,$B54),$B54,""))</f>
        <v/>
      </c>
    </row>
    <row r="55" spans="1:11">
      <c r="A55" t="str">
        <f>IF('TMP Paste'!$E55="","",'TMP Paste'!$E55)</f>
        <v>26072803595231KnRYgpyZ8</v>
      </c>
      <c r="B55">
        <f>IF($A55="","",COUNTIF('TMP Paste'!$B$2:$B55,"?*"))</f>
        <v>25</v>
      </c>
      <c r="C55">
        <f>IF($A55="","",IFERROR('TMP Paste'!$M55*1,0))</f>
        <v>2</v>
      </c>
      <c r="D55">
        <f>IF($A55="","",SUMIF($B$2:$B55,$B55,$C$2:$C55))</f>
        <v>3</v>
      </c>
      <c r="E55">
        <f>IF($A55="",0,IF('TMP Paste'!$B55="",0,1))</f>
        <v>0</v>
      </c>
      <c r="F55" t="str">
        <f t="shared" si="0"/>
        <v>26072803595231KnRYgpyZ8-02, 26072803595231KnRYgpyZ8-03</v>
      </c>
      <c r="G55" t="str">
        <f t="shared" si="1"/>
        <v>26072803595231IFhVy7FfL-01, 26072803595231KnRYgpyZ8-02, 26072803595231KnRYgpyZ8-03</v>
      </c>
      <c r="H55" t="str">
        <f t="shared" si="2"/>
        <v>26072803595231KnRYgpyZ8 (2)</v>
      </c>
      <c r="I55" t="str">
        <f t="shared" si="3"/>
        <v>26072803595231IFhVy7FfL (1), 26072803595231KnRYgpyZ8 (2)</v>
      </c>
      <c r="J55" t="str">
        <f t="shared" si="4"/>
        <v/>
      </c>
      <c r="K55" t="str">
        <f>IF($A55="","",IF(COUNTIF($B$2:$B55,$B55)=COUNTIF($B$2:$B$1601,$B55),$B55,""))</f>
        <v/>
      </c>
    </row>
    <row r="56" spans="1:11">
      <c r="A56" t="str">
        <f>IF('TMP Paste'!$E56="","",'TMP Paste'!$E56)</f>
        <v>26072803595231q7AHq7ty9T</v>
      </c>
      <c r="B56">
        <f>IF($A56="","",COUNTIF('TMP Paste'!$B$2:$B56,"?*"))</f>
        <v>25</v>
      </c>
      <c r="C56">
        <f>IF($A56="","",IFERROR('TMP Paste'!$M56*1,0))</f>
        <v>1</v>
      </c>
      <c r="D56">
        <f>IF($A56="","",SUMIF($B$2:$B56,$B56,$C$2:$C56))</f>
        <v>4</v>
      </c>
      <c r="E56">
        <f>IF($A56="",0,IF('TMP Paste'!$B56="",0,1))</f>
        <v>0</v>
      </c>
      <c r="F56" t="str">
        <f t="shared" si="0"/>
        <v>26072803595231q7AHq7ty9T-04</v>
      </c>
      <c r="G56" t="str">
        <f t="shared" si="1"/>
        <v>26072803595231IFhVy7FfL-01, 26072803595231KnRYgpyZ8-02, 26072803595231KnRYgpyZ8-03, 26072803595231q7AHq7ty9T-04</v>
      </c>
      <c r="H56" t="str">
        <f t="shared" si="2"/>
        <v>26072803595231q7AHq7ty9T (1)</v>
      </c>
      <c r="I56" t="str">
        <f t="shared" si="3"/>
        <v>26072803595231IFhVy7FfL (1), 26072803595231KnRYgpyZ8 (2), 26072803595231q7AHq7ty9T (1)</v>
      </c>
      <c r="J56" t="str">
        <f t="shared" si="4"/>
        <v/>
      </c>
      <c r="K56">
        <f>IF($A56="","",IF(COUNTIF($B$2:$B56,$B56)=COUNTIF($B$2:$B$1601,$B56),$B56,""))</f>
        <v>25</v>
      </c>
    </row>
    <row r="57" spans="1:11">
      <c r="A57" t="str">
        <f>IF('TMP Paste'!$E57="","",'TMP Paste'!$E57)</f>
        <v>260727083612480BwhS7OPy</v>
      </c>
      <c r="B57">
        <f>IF($A57="","",COUNTIF('TMP Paste'!$B$2:$B57,"?*"))</f>
        <v>26</v>
      </c>
      <c r="C57">
        <f>IF($A57="","",IFERROR('TMP Paste'!$M57*1,0))</f>
        <v>1</v>
      </c>
      <c r="D57">
        <f>IF($A57="","",SUMIF($B$2:$B57,$B57,$C$2:$C57))</f>
        <v>1</v>
      </c>
      <c r="E57">
        <f>IF($A57="",0,IF('TMP Paste'!$B57="",0,1))</f>
        <v>1</v>
      </c>
      <c r="F57" t="str">
        <f t="shared" si="0"/>
        <v>260727083612480BwhS7OPy-01</v>
      </c>
      <c r="G57" t="str">
        <f t="shared" si="1"/>
        <v>260727083612480BwhS7OPy-01</v>
      </c>
      <c r="H57" t="str">
        <f t="shared" si="2"/>
        <v>260727083612480BwhS7OPy (1)</v>
      </c>
      <c r="I57" t="str">
        <f t="shared" si="3"/>
        <v>260727083612480BwhS7OPy (1)</v>
      </c>
      <c r="J57">
        <f t="shared" si="4"/>
        <v>26</v>
      </c>
      <c r="K57" t="str">
        <f>IF($A57="","",IF(COUNTIF($B$2:$B57,$B57)=COUNTIF($B$2:$B$1601,$B57),$B57,""))</f>
        <v/>
      </c>
    </row>
    <row r="58" spans="1:11">
      <c r="A58" t="str">
        <f>IF('TMP Paste'!$E58="","",'TMP Paste'!$E58)</f>
        <v>26072708361248hJgpwuitfd</v>
      </c>
      <c r="B58">
        <f>IF($A58="","",COUNTIF('TMP Paste'!$B$2:$B58,"?*"))</f>
        <v>26</v>
      </c>
      <c r="C58">
        <f>IF($A58="","",IFERROR('TMP Paste'!$M58*1,0))</f>
        <v>1</v>
      </c>
      <c r="D58">
        <f>IF($A58="","",SUMIF($B$2:$B58,$B58,$C$2:$C58))</f>
        <v>2</v>
      </c>
      <c r="E58">
        <f>IF($A58="",0,IF('TMP Paste'!$B58="",0,1))</f>
        <v>0</v>
      </c>
      <c r="F58" t="str">
        <f t="shared" si="0"/>
        <v>26072708361248hJgpwuitfd-02</v>
      </c>
      <c r="G58" t="str">
        <f t="shared" si="1"/>
        <v>260727083612480BwhS7OPy-01, 26072708361248hJgpwuitfd-02</v>
      </c>
      <c r="H58" t="str">
        <f t="shared" si="2"/>
        <v>26072708361248hJgpwuitfd (1)</v>
      </c>
      <c r="I58" t="str">
        <f t="shared" si="3"/>
        <v>260727083612480BwhS7OPy (1), 26072708361248hJgpwuitfd (1)</v>
      </c>
      <c r="J58" t="str">
        <f t="shared" si="4"/>
        <v/>
      </c>
      <c r="K58" t="str">
        <f>IF($A58="","",IF(COUNTIF($B$2:$B58,$B58)=COUNTIF($B$2:$B$1601,$B58),$B58,""))</f>
        <v/>
      </c>
    </row>
    <row r="59" spans="1:11">
      <c r="A59" t="str">
        <f>IF('TMP Paste'!$E59="","",'TMP Paste'!$E59)</f>
        <v>26072708361248qXuEbCMerV</v>
      </c>
      <c r="B59">
        <f>IF($A59="","",COUNTIF('TMP Paste'!$B$2:$B59,"?*"))</f>
        <v>26</v>
      </c>
      <c r="C59">
        <f>IF($A59="","",IFERROR('TMP Paste'!$M59*1,0))</f>
        <v>1</v>
      </c>
      <c r="D59">
        <f>IF($A59="","",SUMIF($B$2:$B59,$B59,$C$2:$C59))</f>
        <v>3</v>
      </c>
      <c r="E59">
        <f>IF($A59="",0,IF('TMP Paste'!$B59="",0,1))</f>
        <v>0</v>
      </c>
      <c r="F59" t="str">
        <f t="shared" si="0"/>
        <v>26072708361248qXuEbCMerV-03</v>
      </c>
      <c r="G59" t="str">
        <f t="shared" si="1"/>
        <v>260727083612480BwhS7OPy-01, 26072708361248hJgpwuitfd-02, 26072708361248qXuEbCMerV-03</v>
      </c>
      <c r="H59" t="str">
        <f t="shared" si="2"/>
        <v>26072708361248qXuEbCMerV (1)</v>
      </c>
      <c r="I59" t="str">
        <f t="shared" si="3"/>
        <v>260727083612480BwhS7OPy (1), 26072708361248hJgpwuitfd (1), 26072708361248qXuEbCMerV (1)</v>
      </c>
      <c r="J59" t="str">
        <f t="shared" si="4"/>
        <v/>
      </c>
      <c r="K59">
        <f>IF($A59="","",IF(COUNTIF($B$2:$B59,$B59)=COUNTIF($B$2:$B$1601,$B59),$B59,""))</f>
        <v>26</v>
      </c>
    </row>
    <row r="60" spans="1:11">
      <c r="A60" t="str">
        <f>IF('TMP Paste'!$E60="","",'TMP Paste'!$E60)</f>
        <v>26072801031567Hp24HoWZF</v>
      </c>
      <c r="B60">
        <f>IF($A60="","",COUNTIF('TMP Paste'!$B$2:$B60,"?*"))</f>
        <v>27</v>
      </c>
      <c r="C60">
        <f>IF($A60="","",IFERROR('TMP Paste'!$M60*1,0))</f>
        <v>1</v>
      </c>
      <c r="D60">
        <f>IF($A60="","",SUMIF($B$2:$B60,$B60,$C$2:$C60))</f>
        <v>1</v>
      </c>
      <c r="E60">
        <f>IF($A60="",0,IF('TMP Paste'!$B60="",0,1))</f>
        <v>1</v>
      </c>
      <c r="F60" t="str">
        <f t="shared" si="0"/>
        <v>26072801031567Hp24HoWZF-01</v>
      </c>
      <c r="G60" t="str">
        <f t="shared" si="1"/>
        <v>26072801031567Hp24HoWZF-01</v>
      </c>
      <c r="H60" t="str">
        <f t="shared" si="2"/>
        <v>26072801031567Hp24HoWZF (1)</v>
      </c>
      <c r="I60" t="str">
        <f t="shared" si="3"/>
        <v>26072801031567Hp24HoWZF (1)</v>
      </c>
      <c r="J60">
        <f t="shared" si="4"/>
        <v>27</v>
      </c>
      <c r="K60">
        <f>IF($A60="","",IF(COUNTIF($B$2:$B60,$B60)=COUNTIF($B$2:$B$1601,$B60),$B60,""))</f>
        <v>27</v>
      </c>
    </row>
    <row r="61" spans="1:11">
      <c r="A61" t="str">
        <f>IF('TMP Paste'!$E61="","",'TMP Paste'!$E61)</f>
        <v>26072714525639O5nHEBIMW</v>
      </c>
      <c r="B61">
        <f>IF($A61="","",COUNTIF('TMP Paste'!$B$2:$B61,"?*"))</f>
        <v>28</v>
      </c>
      <c r="C61">
        <f>IF($A61="","",IFERROR('TMP Paste'!$M61*1,0))</f>
        <v>1</v>
      </c>
      <c r="D61">
        <f>IF($A61="","",SUMIF($B$2:$B61,$B61,$C$2:$C61))</f>
        <v>1</v>
      </c>
      <c r="E61">
        <f>IF($A61="",0,IF('TMP Paste'!$B61="",0,1))</f>
        <v>1</v>
      </c>
      <c r="F61" t="str">
        <f t="shared" si="0"/>
        <v>26072714525639O5nHEBIMW-01</v>
      </c>
      <c r="G61" t="str">
        <f t="shared" si="1"/>
        <v>26072714525639O5nHEBIMW-01</v>
      </c>
      <c r="H61" t="str">
        <f t="shared" si="2"/>
        <v>26072714525639O5nHEBIMW (1)</v>
      </c>
      <c r="I61" t="str">
        <f t="shared" si="3"/>
        <v>26072714525639O5nHEBIMW (1)</v>
      </c>
      <c r="J61">
        <f t="shared" si="4"/>
        <v>28</v>
      </c>
      <c r="K61" t="str">
        <f>IF($A61="","",IF(COUNTIF($B$2:$B61,$B61)=COUNTIF($B$2:$B$1601,$B61),$B61,""))</f>
        <v/>
      </c>
    </row>
    <row r="62" spans="1:11">
      <c r="A62" t="str">
        <f>IF('TMP Paste'!$E62="","",'TMP Paste'!$E62)</f>
        <v>26072714525639WMgyKzlcO2</v>
      </c>
      <c r="B62">
        <f>IF($A62="","",COUNTIF('TMP Paste'!$B$2:$B62,"?*"))</f>
        <v>28</v>
      </c>
      <c r="C62">
        <f>IF($A62="","",IFERROR('TMP Paste'!$M62*1,0))</f>
        <v>1</v>
      </c>
      <c r="D62">
        <f>IF($A62="","",SUMIF($B$2:$B62,$B62,$C$2:$C62))</f>
        <v>2</v>
      </c>
      <c r="E62">
        <f>IF($A62="",0,IF('TMP Paste'!$B62="",0,1))</f>
        <v>0</v>
      </c>
      <c r="F62" t="str">
        <f t="shared" si="0"/>
        <v>26072714525639WMgyKzlcO2-02</v>
      </c>
      <c r="G62" t="str">
        <f t="shared" si="1"/>
        <v>26072714525639O5nHEBIMW-01, 26072714525639WMgyKzlcO2-02</v>
      </c>
      <c r="H62" t="str">
        <f t="shared" si="2"/>
        <v>26072714525639WMgyKzlcO2 (1)</v>
      </c>
      <c r="I62" t="str">
        <f t="shared" si="3"/>
        <v>26072714525639O5nHEBIMW (1), 26072714525639WMgyKzlcO2 (1)</v>
      </c>
      <c r="J62" t="str">
        <f t="shared" si="4"/>
        <v/>
      </c>
      <c r="K62">
        <f>IF($A62="","",IF(COUNTIF($B$2:$B62,$B62)=COUNTIF($B$2:$B$1601,$B62),$B62,""))</f>
        <v>28</v>
      </c>
    </row>
    <row r="63" spans="1:11">
      <c r="A63" t="str">
        <f>IF('TMP Paste'!$E63="","",'TMP Paste'!$E63)</f>
        <v>26072704165254LSWd1kcn9</v>
      </c>
      <c r="B63">
        <f>IF($A63="","",COUNTIF('TMP Paste'!$B$2:$B63,"?*"))</f>
        <v>29</v>
      </c>
      <c r="C63">
        <f>IF($A63="","",IFERROR('TMP Paste'!$M63*1,0))</f>
        <v>1</v>
      </c>
      <c r="D63">
        <f>IF($A63="","",SUMIF($B$2:$B63,$B63,$C$2:$C63))</f>
        <v>1</v>
      </c>
      <c r="E63">
        <f>IF($A63="",0,IF('TMP Paste'!$B63="",0,1))</f>
        <v>1</v>
      </c>
      <c r="F63" t="str">
        <f t="shared" si="0"/>
        <v>26072704165254LSWd1kcn9-01</v>
      </c>
      <c r="G63" t="str">
        <f t="shared" si="1"/>
        <v>26072704165254LSWd1kcn9-01</v>
      </c>
      <c r="H63" t="str">
        <f t="shared" si="2"/>
        <v>26072704165254LSWd1kcn9 (1)</v>
      </c>
      <c r="I63" t="str">
        <f t="shared" si="3"/>
        <v>26072704165254LSWd1kcn9 (1)</v>
      </c>
      <c r="J63">
        <f t="shared" si="4"/>
        <v>29</v>
      </c>
      <c r="K63" t="str">
        <f>IF($A63="","",IF(COUNTIF($B$2:$B63,$B63)=COUNTIF($B$2:$B$1601,$B63),$B63,""))</f>
        <v/>
      </c>
    </row>
    <row r="64" spans="1:11">
      <c r="A64" t="str">
        <f>IF('TMP Paste'!$E64="","",'TMP Paste'!$E64)</f>
        <v>26072801104243uTFKVy5E</v>
      </c>
      <c r="B64">
        <f>IF($A64="","",COUNTIF('TMP Paste'!$B$2:$B64,"?*"))</f>
        <v>29</v>
      </c>
      <c r="C64">
        <f>IF($A64="","",IFERROR('TMP Paste'!$M64*1,0))</f>
        <v>1</v>
      </c>
      <c r="D64">
        <f>IF($A64="","",SUMIF($B$2:$B64,$B64,$C$2:$C64))</f>
        <v>2</v>
      </c>
      <c r="E64">
        <f>IF($A64="",0,IF('TMP Paste'!$B64="",0,1))</f>
        <v>0</v>
      </c>
      <c r="F64" t="str">
        <f t="shared" si="0"/>
        <v>26072801104243uTFKVy5E-02</v>
      </c>
      <c r="G64" t="str">
        <f t="shared" si="1"/>
        <v>26072704165254LSWd1kcn9-01, 26072801104243uTFKVy5E-02</v>
      </c>
      <c r="H64" t="str">
        <f t="shared" si="2"/>
        <v>26072801104243uTFKVy5E (1)</v>
      </c>
      <c r="I64" t="str">
        <f t="shared" si="3"/>
        <v>26072704165254LSWd1kcn9 (1), 26072801104243uTFKVy5E (1)</v>
      </c>
      <c r="J64" t="str">
        <f t="shared" si="4"/>
        <v/>
      </c>
      <c r="K64">
        <f>IF($A64="","",IF(COUNTIF($B$2:$B64,$B64)=COUNTIF($B$2:$B$1601,$B64),$B64,""))</f>
        <v>29</v>
      </c>
    </row>
    <row r="65" spans="1:11">
      <c r="A65" t="str">
        <f>IF('TMP Paste'!$E65="","",'TMP Paste'!$E65)</f>
        <v>26072803133514fSeInejt</v>
      </c>
      <c r="B65">
        <f>IF($A65="","",COUNTIF('TMP Paste'!$B$2:$B65,"?*"))</f>
        <v>30</v>
      </c>
      <c r="C65">
        <f>IF($A65="","",IFERROR('TMP Paste'!$M65*1,0))</f>
        <v>1</v>
      </c>
      <c r="D65">
        <f>IF($A65="","",SUMIF($B$2:$B65,$B65,$C$2:$C65))</f>
        <v>1</v>
      </c>
      <c r="E65">
        <f>IF($A65="",0,IF('TMP Paste'!$B65="",0,1))</f>
        <v>1</v>
      </c>
      <c r="F65" t="str">
        <f t="shared" si="0"/>
        <v>26072803133514fSeInejt-01</v>
      </c>
      <c r="G65" t="str">
        <f t="shared" si="1"/>
        <v>26072803133514fSeInejt-01</v>
      </c>
      <c r="H65" t="str">
        <f t="shared" si="2"/>
        <v>26072803133514fSeInejt (1)</v>
      </c>
      <c r="I65" t="str">
        <f t="shared" si="3"/>
        <v>26072803133514fSeInejt (1)</v>
      </c>
      <c r="J65">
        <f t="shared" si="4"/>
        <v>30</v>
      </c>
      <c r="K65" t="str">
        <f>IF($A65="","",IF(COUNTIF($B$2:$B65,$B65)=COUNTIF($B$2:$B$1601,$B65),$B65,""))</f>
        <v/>
      </c>
    </row>
    <row r="66" spans="1:11">
      <c r="A66" t="str">
        <f>IF('TMP Paste'!$E66="","",'TMP Paste'!$E66)</f>
        <v>26072803133514HsGJ4oecG9</v>
      </c>
      <c r="B66">
        <f>IF($A66="","",COUNTIF('TMP Paste'!$B$2:$B66,"?*"))</f>
        <v>30</v>
      </c>
      <c r="C66">
        <f>IF($A66="","",IFERROR('TMP Paste'!$M66*1,0))</f>
        <v>1</v>
      </c>
      <c r="D66">
        <f>IF($A66="","",SUMIF($B$2:$B66,$B66,$C$2:$C66))</f>
        <v>2</v>
      </c>
      <c r="E66">
        <f>IF($A66="",0,IF('TMP Paste'!$B66="",0,1))</f>
        <v>0</v>
      </c>
      <c r="F66" t="str">
        <f t="shared" ref="F66:F129" si="5">IF(OR($A66="",$C66&lt;1),"",$A66&amp;"-"&amp;TEXT(($D66-$C66+1),"00")&amp;IF($C66&gt;=2,", "&amp;$A66&amp;"-"&amp;TEXT(($D66-$C66+1)+1,"00"),"")&amp;IF($C66&gt;=3,", "&amp;$A66&amp;"-"&amp;TEXT(($D66-$C66+1)+2,"00"),"")&amp;IF($C66&gt;=4,", "&amp;$A66&amp;"-"&amp;TEXT(($D66-$C66+1)+3,"00"),"")&amp;IF($C66&gt;=5,", "&amp;$A66&amp;"-"&amp;TEXT(($D66-$C66+1)+4,"00"),"")&amp;IF($C66&gt;=6,", "&amp;$A66&amp;"-"&amp;TEXT(($D66-$C66+1)+5,"00"),"")&amp;IF($C66&gt;=7,", "&amp;$A66&amp;"-"&amp;TEXT(($D66-$C66+1)+6,"00"),"")&amp;IF($C66&gt;=8,", "&amp;$A66&amp;"-"&amp;TEXT(($D66-$C66+1)+7,"00"),"")&amp;IF($C66&gt;=9,", "&amp;$A66&amp;"-"&amp;TEXT(($D66-$C66+1)+8,"00"),"")&amp;IF($C66&gt;=10,", "&amp;$A66&amp;"-"&amp;TEXT(($D66-$C66+1)+9,"00"),"")&amp;IF($C66&gt;=11,", "&amp;$A66&amp;"-"&amp;TEXT(($D66-$C66+1)+10,"00"),"")&amp;IF($C66&gt;=12,", "&amp;$A66&amp;"-"&amp;TEXT(($D66-$C66+1)+11,"00"),"")&amp;IF($C66&gt;=13,", "&amp;$A66&amp;"-"&amp;TEXT(($D66-$C66+1)+12,"00"),"")&amp;IF($C66&gt;=14,", "&amp;$A66&amp;"-"&amp;TEXT(($D66-$C66+1)+13,"00"),"")&amp;IF($C66&gt;=15,", "&amp;$A66&amp;"-"&amp;TEXT(($D66-$C66+1)+14,"00"),"")&amp;IF($C66&gt;=16,", "&amp;$A66&amp;"-"&amp;TEXT(($D66-$C66+1)+15,"00"),"")&amp;IF($C66&gt;=17,", "&amp;$A66&amp;"-"&amp;TEXT(($D66-$C66+1)+16,"00"),"")&amp;IF($C66&gt;=18,", "&amp;$A66&amp;"-"&amp;TEXT(($D66-$C66+1)+17,"00"),"")&amp;IF($C66&gt;=19,", "&amp;$A66&amp;"-"&amp;TEXT(($D66-$C66+1)+18,"00"),"")&amp;IF($C66&gt;=20,", "&amp;$A66&amp;"-"&amp;TEXT(($D66-$C66+1)+19,"00"),"")&amp;IF($C66&gt;=21,", "&amp;$A66&amp;"-"&amp;TEXT(($D66-$C66+1)+20,"00"),"")&amp;IF($C66&gt;=22,", "&amp;$A66&amp;"-"&amp;TEXT(($D66-$C66+1)+21,"00"),"")&amp;IF($C66&gt;=23,", "&amp;$A66&amp;"-"&amp;TEXT(($D66-$C66+1)+22,"00"),"")&amp;IF($C66&gt;=24,", "&amp;$A66&amp;"-"&amp;TEXT(($D66-$C66+1)+23,"00"),"")&amp;IF($C66&gt;=25,", "&amp;$A66&amp;"-"&amp;TEXT(($D66-$C66+1)+24,"00"),""))</f>
        <v>26072803133514HsGJ4oecG9-02</v>
      </c>
      <c r="G66" t="str">
        <f t="shared" ref="G66:G129" si="6">IF($A66="","",IF($E66=1,$F66,IF($F66="",$G65,IF($G65="",$F66,$G65&amp;", "&amp;$F66))))</f>
        <v>26072803133514fSeInejt-01, 26072803133514HsGJ4oecG9-02</v>
      </c>
      <c r="H66" t="str">
        <f t="shared" ref="H66:H129" si="7">IF($A66="","",$A66&amp;" ("&amp;$C66&amp;")")</f>
        <v>26072803133514HsGJ4oecG9 (1)</v>
      </c>
      <c r="I66" t="str">
        <f t="shared" ref="I66:I129" si="8">IF($A66="","",IF($E66=1,$H66,$I65&amp;", "&amp;$H66))</f>
        <v>26072803133514fSeInejt (1), 26072803133514HsGJ4oecG9 (1)</v>
      </c>
      <c r="J66" t="str">
        <f t="shared" ref="J66:J129" si="9">IF($A66="","",IF($E66=1,$B66,""))</f>
        <v/>
      </c>
      <c r="K66" t="str">
        <f>IF($A66="","",IF(COUNTIF($B$2:$B66,$B66)=COUNTIF($B$2:$B$1601,$B66),$B66,""))</f>
        <v/>
      </c>
    </row>
    <row r="67" spans="1:11">
      <c r="A67" t="str">
        <f>IF('TMP Paste'!$E67="","",'TMP Paste'!$E67)</f>
        <v>26072803133514MJHAp1LhUM</v>
      </c>
      <c r="B67">
        <f>IF($A67="","",COUNTIF('TMP Paste'!$B$2:$B67,"?*"))</f>
        <v>30</v>
      </c>
      <c r="C67">
        <f>IF($A67="","",IFERROR('TMP Paste'!$M67*1,0))</f>
        <v>1</v>
      </c>
      <c r="D67">
        <f>IF($A67="","",SUMIF($B$2:$B67,$B67,$C$2:$C67))</f>
        <v>3</v>
      </c>
      <c r="E67">
        <f>IF($A67="",0,IF('TMP Paste'!$B67="",0,1))</f>
        <v>0</v>
      </c>
      <c r="F67" t="str">
        <f t="shared" si="5"/>
        <v>26072803133514MJHAp1LhUM-03</v>
      </c>
      <c r="G67" t="str">
        <f t="shared" si="6"/>
        <v>26072803133514fSeInejt-01, 26072803133514HsGJ4oecG9-02, 26072803133514MJHAp1LhUM-03</v>
      </c>
      <c r="H67" t="str">
        <f t="shared" si="7"/>
        <v>26072803133514MJHAp1LhUM (1)</v>
      </c>
      <c r="I67" t="str">
        <f t="shared" si="8"/>
        <v>26072803133514fSeInejt (1), 26072803133514HsGJ4oecG9 (1), 26072803133514MJHAp1LhUM (1)</v>
      </c>
      <c r="J67" t="str">
        <f t="shared" si="9"/>
        <v/>
      </c>
      <c r="K67">
        <f>IF($A67="","",IF(COUNTIF($B$2:$B67,$B67)=COUNTIF($B$2:$B$1601,$B67),$B67,""))</f>
        <v>30</v>
      </c>
    </row>
    <row r="68" spans="1:11">
      <c r="A68" t="str">
        <f>IF('TMP Paste'!$E68="","",'TMP Paste'!$E68)</f>
        <v>26072801103762I3EhQmAV9</v>
      </c>
      <c r="B68">
        <f>IF($A68="","",COUNTIF('TMP Paste'!$B$2:$B68,"?*"))</f>
        <v>31</v>
      </c>
      <c r="C68">
        <f>IF($A68="","",IFERROR('TMP Paste'!$M68*1,0))</f>
        <v>1</v>
      </c>
      <c r="D68">
        <f>IF($A68="","",SUMIF($B$2:$B68,$B68,$C$2:$C68))</f>
        <v>1</v>
      </c>
      <c r="E68">
        <f>IF($A68="",0,IF('TMP Paste'!$B68="",0,1))</f>
        <v>1</v>
      </c>
      <c r="F68" t="str">
        <f t="shared" si="5"/>
        <v>26072801103762I3EhQmAV9-01</v>
      </c>
      <c r="G68" t="str">
        <f t="shared" si="6"/>
        <v>26072801103762I3EhQmAV9-01</v>
      </c>
      <c r="H68" t="str">
        <f t="shared" si="7"/>
        <v>26072801103762I3EhQmAV9 (1)</v>
      </c>
      <c r="I68" t="str">
        <f t="shared" si="8"/>
        <v>26072801103762I3EhQmAV9 (1)</v>
      </c>
      <c r="J68">
        <f t="shared" si="9"/>
        <v>31</v>
      </c>
      <c r="K68">
        <f>IF($A68="","",IF(COUNTIF($B$2:$B68,$B68)=COUNTIF($B$2:$B$1601,$B68),$B68,""))</f>
        <v>31</v>
      </c>
    </row>
    <row r="69" spans="1:11">
      <c r="A69" t="str">
        <f>IF('TMP Paste'!$E69="","",'TMP Paste'!$E69)</f>
        <v>26072801220793TpsCocuVQ</v>
      </c>
      <c r="B69">
        <f>IF($A69="","",COUNTIF('TMP Paste'!$B$2:$B69,"?*"))</f>
        <v>32</v>
      </c>
      <c r="C69">
        <f>IF($A69="","",IFERROR('TMP Paste'!$M69*1,0))</f>
        <v>1</v>
      </c>
      <c r="D69">
        <f>IF($A69="","",SUMIF($B$2:$B69,$B69,$C$2:$C69))</f>
        <v>1</v>
      </c>
      <c r="E69">
        <f>IF($A69="",0,IF('TMP Paste'!$B69="",0,1))</f>
        <v>1</v>
      </c>
      <c r="F69" t="str">
        <f t="shared" si="5"/>
        <v>26072801220793TpsCocuVQ-01</v>
      </c>
      <c r="G69" t="str">
        <f t="shared" si="6"/>
        <v>26072801220793TpsCocuVQ-01</v>
      </c>
      <c r="H69" t="str">
        <f t="shared" si="7"/>
        <v>26072801220793TpsCocuVQ (1)</v>
      </c>
      <c r="I69" t="str">
        <f t="shared" si="8"/>
        <v>26072801220793TpsCocuVQ (1)</v>
      </c>
      <c r="J69">
        <f t="shared" si="9"/>
        <v>32</v>
      </c>
      <c r="K69">
        <f>IF($A69="","",IF(COUNTIF($B$2:$B69,$B69)=COUNTIF($B$2:$B$1601,$B69),$B69,""))</f>
        <v>32</v>
      </c>
    </row>
    <row r="70" spans="1:11">
      <c r="A70" t="str">
        <f>IF('TMP Paste'!$E70="","",'TMP Paste'!$E70)</f>
        <v>26072705014435OHwD9GRWrr</v>
      </c>
      <c r="B70">
        <f>IF($A70="","",COUNTIF('TMP Paste'!$B$2:$B70,"?*"))</f>
        <v>33</v>
      </c>
      <c r="C70">
        <f>IF($A70="","",IFERROR('TMP Paste'!$M70*1,0))</f>
        <v>2</v>
      </c>
      <c r="D70">
        <f>IF($A70="","",SUMIF($B$2:$B70,$B70,$C$2:$C70))</f>
        <v>2</v>
      </c>
      <c r="E70">
        <f>IF($A70="",0,IF('TMP Paste'!$B70="",0,1))</f>
        <v>1</v>
      </c>
      <c r="F70" t="str">
        <f t="shared" si="5"/>
        <v>26072705014435OHwD9GRWrr-01, 26072705014435OHwD9GRWrr-02</v>
      </c>
      <c r="G70" t="str">
        <f t="shared" si="6"/>
        <v>26072705014435OHwD9GRWrr-01, 26072705014435OHwD9GRWrr-02</v>
      </c>
      <c r="H70" t="str">
        <f t="shared" si="7"/>
        <v>26072705014435OHwD9GRWrr (2)</v>
      </c>
      <c r="I70" t="str">
        <f t="shared" si="8"/>
        <v>26072705014435OHwD9GRWrr (2)</v>
      </c>
      <c r="J70">
        <f t="shared" si="9"/>
        <v>33</v>
      </c>
      <c r="K70" t="str">
        <f>IF($A70="","",IF(COUNTIF($B$2:$B70,$B70)=COUNTIF($B$2:$B$1601,$B70),$B70,""))</f>
        <v/>
      </c>
    </row>
    <row r="71" spans="1:11">
      <c r="A71" t="str">
        <f>IF('TMP Paste'!$E71="","",'TMP Paste'!$E71)</f>
        <v>26072705014435U4wjCNpuHt</v>
      </c>
      <c r="B71">
        <f>IF($A71="","",COUNTIF('TMP Paste'!$B$2:$B71,"?*"))</f>
        <v>33</v>
      </c>
      <c r="C71">
        <f>IF($A71="","",IFERROR('TMP Paste'!$M71*1,0))</f>
        <v>1</v>
      </c>
      <c r="D71">
        <f>IF($A71="","",SUMIF($B$2:$B71,$B71,$C$2:$C71))</f>
        <v>3</v>
      </c>
      <c r="E71">
        <f>IF($A71="",0,IF('TMP Paste'!$B71="",0,1))</f>
        <v>0</v>
      </c>
      <c r="F71" t="str">
        <f t="shared" si="5"/>
        <v>26072705014435U4wjCNpuHt-03</v>
      </c>
      <c r="G71" t="str">
        <f t="shared" si="6"/>
        <v>26072705014435OHwD9GRWrr-01, 26072705014435OHwD9GRWrr-02, 26072705014435U4wjCNpuHt-03</v>
      </c>
      <c r="H71" t="str">
        <f t="shared" si="7"/>
        <v>26072705014435U4wjCNpuHt (1)</v>
      </c>
      <c r="I71" t="str">
        <f t="shared" si="8"/>
        <v>26072705014435OHwD9GRWrr (2), 26072705014435U4wjCNpuHt (1)</v>
      </c>
      <c r="J71" t="str">
        <f t="shared" si="9"/>
        <v/>
      </c>
      <c r="K71" t="str">
        <f>IF($A71="","",IF(COUNTIF($B$2:$B71,$B71)=COUNTIF($B$2:$B$1601,$B71),$B71,""))</f>
        <v/>
      </c>
    </row>
    <row r="72" spans="1:11">
      <c r="A72" t="str">
        <f>IF('TMP Paste'!$E72="","",'TMP Paste'!$E72)</f>
        <v>26072705014435VCRwd3dm</v>
      </c>
      <c r="B72">
        <f>IF($A72="","",COUNTIF('TMP Paste'!$B$2:$B72,"?*"))</f>
        <v>33</v>
      </c>
      <c r="C72">
        <f>IF($A72="","",IFERROR('TMP Paste'!$M72*1,0))</f>
        <v>1</v>
      </c>
      <c r="D72">
        <f>IF($A72="","",SUMIF($B$2:$B72,$B72,$C$2:$C72))</f>
        <v>4</v>
      </c>
      <c r="E72">
        <f>IF($A72="",0,IF('TMP Paste'!$B72="",0,1))</f>
        <v>0</v>
      </c>
      <c r="F72" t="str">
        <f t="shared" si="5"/>
        <v>26072705014435VCRwd3dm-04</v>
      </c>
      <c r="G72" t="str">
        <f t="shared" si="6"/>
        <v>26072705014435OHwD9GRWrr-01, 26072705014435OHwD9GRWrr-02, 26072705014435U4wjCNpuHt-03, 26072705014435VCRwd3dm-04</v>
      </c>
      <c r="H72" t="str">
        <f t="shared" si="7"/>
        <v>26072705014435VCRwd3dm (1)</v>
      </c>
      <c r="I72" t="str">
        <f t="shared" si="8"/>
        <v>26072705014435OHwD9GRWrr (2), 26072705014435U4wjCNpuHt (1), 26072705014435VCRwd3dm (1)</v>
      </c>
      <c r="J72" t="str">
        <f t="shared" si="9"/>
        <v/>
      </c>
      <c r="K72">
        <f>IF($A72="","",IF(COUNTIF($B$2:$B72,$B72)=COUNTIF($B$2:$B$1601,$B72),$B72,""))</f>
        <v>33</v>
      </c>
    </row>
    <row r="73" spans="1:11">
      <c r="A73" t="str">
        <f>IF('TMP Paste'!$E73="","",'TMP Paste'!$E73)</f>
        <v>260727043728560vNLRTQ</v>
      </c>
      <c r="B73">
        <f>IF($A73="","",COUNTIF('TMP Paste'!$B$2:$B73,"?*"))</f>
        <v>34</v>
      </c>
      <c r="C73">
        <f>IF($A73="","",IFERROR('TMP Paste'!$M73*1,0))</f>
        <v>1</v>
      </c>
      <c r="D73">
        <f>IF($A73="","",SUMIF($B$2:$B73,$B73,$C$2:$C73))</f>
        <v>1</v>
      </c>
      <c r="E73">
        <f>IF($A73="",0,IF('TMP Paste'!$B73="",0,1))</f>
        <v>1</v>
      </c>
      <c r="F73" t="str">
        <f t="shared" si="5"/>
        <v>260727043728560vNLRTQ-01</v>
      </c>
      <c r="G73" t="str">
        <f t="shared" si="6"/>
        <v>260727043728560vNLRTQ-01</v>
      </c>
      <c r="H73" t="str">
        <f t="shared" si="7"/>
        <v>260727043728560vNLRTQ (1)</v>
      </c>
      <c r="I73" t="str">
        <f t="shared" si="8"/>
        <v>260727043728560vNLRTQ (1)</v>
      </c>
      <c r="J73">
        <f t="shared" si="9"/>
        <v>34</v>
      </c>
      <c r="K73">
        <f>IF($A73="","",IF(COUNTIF($B$2:$B73,$B73)=COUNTIF($B$2:$B$1601,$B73),$B73,""))</f>
        <v>34</v>
      </c>
    </row>
    <row r="74" spans="1:11">
      <c r="A74" t="str">
        <f>IF('TMP Paste'!$E74="","",'TMP Paste'!$E74)</f>
        <v>260728030109194Fw15EUDO</v>
      </c>
      <c r="B74">
        <f>IF($A74="","",COUNTIF('TMP Paste'!$B$2:$B74,"?*"))</f>
        <v>35</v>
      </c>
      <c r="C74">
        <f>IF($A74="","",IFERROR('TMP Paste'!$M74*1,0))</f>
        <v>1</v>
      </c>
      <c r="D74">
        <f>IF($A74="","",SUMIF($B$2:$B74,$B74,$C$2:$C74))</f>
        <v>1</v>
      </c>
      <c r="E74">
        <f>IF($A74="",0,IF('TMP Paste'!$B74="",0,1))</f>
        <v>1</v>
      </c>
      <c r="F74" t="str">
        <f t="shared" si="5"/>
        <v>260728030109194Fw15EUDO-01</v>
      </c>
      <c r="G74" t="str">
        <f t="shared" si="6"/>
        <v>260728030109194Fw15EUDO-01</v>
      </c>
      <c r="H74" t="str">
        <f t="shared" si="7"/>
        <v>260728030109194Fw15EUDO (1)</v>
      </c>
      <c r="I74" t="str">
        <f t="shared" si="8"/>
        <v>260728030109194Fw15EUDO (1)</v>
      </c>
      <c r="J74">
        <f t="shared" si="9"/>
        <v>35</v>
      </c>
      <c r="K74" t="str">
        <f>IF($A74="","",IF(COUNTIF($B$2:$B74,$B74)=COUNTIF($B$2:$B$1601,$B74),$B74,""))</f>
        <v/>
      </c>
    </row>
    <row r="75" spans="1:11">
      <c r="A75" t="str">
        <f>IF('TMP Paste'!$E75="","",'TMP Paste'!$E75)</f>
        <v>26072803010919wmzmZTNRPG</v>
      </c>
      <c r="B75">
        <f>IF($A75="","",COUNTIF('TMP Paste'!$B$2:$B75,"?*"))</f>
        <v>35</v>
      </c>
      <c r="C75">
        <f>IF($A75="","",IFERROR('TMP Paste'!$M75*1,0))</f>
        <v>1</v>
      </c>
      <c r="D75">
        <f>IF($A75="","",SUMIF($B$2:$B75,$B75,$C$2:$C75))</f>
        <v>2</v>
      </c>
      <c r="E75">
        <f>IF($A75="",0,IF('TMP Paste'!$B75="",0,1))</f>
        <v>0</v>
      </c>
      <c r="F75" t="str">
        <f t="shared" si="5"/>
        <v>26072803010919wmzmZTNRPG-02</v>
      </c>
      <c r="G75" t="str">
        <f t="shared" si="6"/>
        <v>260728030109194Fw15EUDO-01, 26072803010919wmzmZTNRPG-02</v>
      </c>
      <c r="H75" t="str">
        <f t="shared" si="7"/>
        <v>26072803010919wmzmZTNRPG (1)</v>
      </c>
      <c r="I75" t="str">
        <f t="shared" si="8"/>
        <v>260728030109194Fw15EUDO (1), 26072803010919wmzmZTNRPG (1)</v>
      </c>
      <c r="J75" t="str">
        <f t="shared" si="9"/>
        <v/>
      </c>
      <c r="K75" t="str">
        <f>IF($A75="","",IF(COUNTIF($B$2:$B75,$B75)=COUNTIF($B$2:$B$1601,$B75),$B75,""))</f>
        <v/>
      </c>
    </row>
    <row r="76" spans="1:11">
      <c r="A76" t="str">
        <f>IF('TMP Paste'!$E76="","",'TMP Paste'!$E76)</f>
        <v>26072803010919Z6M7BwAYQ4</v>
      </c>
      <c r="B76">
        <f>IF($A76="","",COUNTIF('TMP Paste'!$B$2:$B76,"?*"))</f>
        <v>35</v>
      </c>
      <c r="C76">
        <f>IF($A76="","",IFERROR('TMP Paste'!$M76*1,0))</f>
        <v>1</v>
      </c>
      <c r="D76">
        <f>IF($A76="","",SUMIF($B$2:$B76,$B76,$C$2:$C76))</f>
        <v>3</v>
      </c>
      <c r="E76">
        <f>IF($A76="",0,IF('TMP Paste'!$B76="",0,1))</f>
        <v>0</v>
      </c>
      <c r="F76" t="str">
        <f t="shared" si="5"/>
        <v>26072803010919Z6M7BwAYQ4-03</v>
      </c>
      <c r="G76" t="str">
        <f t="shared" si="6"/>
        <v>260728030109194Fw15EUDO-01, 26072803010919wmzmZTNRPG-02, 26072803010919Z6M7BwAYQ4-03</v>
      </c>
      <c r="H76" t="str">
        <f t="shared" si="7"/>
        <v>26072803010919Z6M7BwAYQ4 (1)</v>
      </c>
      <c r="I76" t="str">
        <f t="shared" si="8"/>
        <v>260728030109194Fw15EUDO (1), 26072803010919wmzmZTNRPG (1), 26072803010919Z6M7BwAYQ4 (1)</v>
      </c>
      <c r="J76" t="str">
        <f t="shared" si="9"/>
        <v/>
      </c>
      <c r="K76">
        <f>IF($A76="","",IF(COUNTIF($B$2:$B76,$B76)=COUNTIF($B$2:$B$1601,$B76),$B76,""))</f>
        <v>35</v>
      </c>
    </row>
    <row r="77" spans="1:11">
      <c r="A77" t="str">
        <f>IF('TMP Paste'!$E77="","",'TMP Paste'!$E77)</f>
        <v>26072606505263XHL2DBii</v>
      </c>
      <c r="B77">
        <f>IF($A77="","",COUNTIF('TMP Paste'!$B$2:$B77,"?*"))</f>
        <v>36</v>
      </c>
      <c r="C77">
        <f>IF($A77="","",IFERROR('TMP Paste'!$M77*1,0))</f>
        <v>1</v>
      </c>
      <c r="D77">
        <f>IF($A77="","",SUMIF($B$2:$B77,$B77,$C$2:$C77))</f>
        <v>1</v>
      </c>
      <c r="E77">
        <f>IF($A77="",0,IF('TMP Paste'!$B77="",0,1))</f>
        <v>1</v>
      </c>
      <c r="F77" t="str">
        <f t="shared" si="5"/>
        <v>26072606505263XHL2DBii-01</v>
      </c>
      <c r="G77" t="str">
        <f t="shared" si="6"/>
        <v>26072606505263XHL2DBii-01</v>
      </c>
      <c r="H77" t="str">
        <f t="shared" si="7"/>
        <v>26072606505263XHL2DBii (1)</v>
      </c>
      <c r="I77" t="str">
        <f t="shared" si="8"/>
        <v>26072606505263XHL2DBii (1)</v>
      </c>
      <c r="J77">
        <f t="shared" si="9"/>
        <v>36</v>
      </c>
      <c r="K77">
        <f>IF($A77="","",IF(COUNTIF($B$2:$B77,$B77)=COUNTIF($B$2:$B$1601,$B77),$B77,""))</f>
        <v>36</v>
      </c>
    </row>
    <row r="78" spans="1:11">
      <c r="A78" t="str">
        <f>IF('TMP Paste'!$E78="","",'TMP Paste'!$E78)</f>
        <v>26072704305528ppN2RL5</v>
      </c>
      <c r="B78">
        <f>IF($A78="","",COUNTIF('TMP Paste'!$B$2:$B78,"?*"))</f>
        <v>37</v>
      </c>
      <c r="C78">
        <f>IF($A78="","",IFERROR('TMP Paste'!$M78*1,0))</f>
        <v>1</v>
      </c>
      <c r="D78">
        <f>IF($A78="","",SUMIF($B$2:$B78,$B78,$C$2:$C78))</f>
        <v>1</v>
      </c>
      <c r="E78">
        <f>IF($A78="",0,IF('TMP Paste'!$B78="",0,1))</f>
        <v>1</v>
      </c>
      <c r="F78" t="str">
        <f t="shared" si="5"/>
        <v>26072704305528ppN2RL5-01</v>
      </c>
      <c r="G78" t="str">
        <f t="shared" si="6"/>
        <v>26072704305528ppN2RL5-01</v>
      </c>
      <c r="H78" t="str">
        <f t="shared" si="7"/>
        <v>26072704305528ppN2RL5 (1)</v>
      </c>
      <c r="I78" t="str">
        <f t="shared" si="8"/>
        <v>26072704305528ppN2RL5 (1)</v>
      </c>
      <c r="J78">
        <f t="shared" si="9"/>
        <v>37</v>
      </c>
      <c r="K78">
        <f>IF($A78="","",IF(COUNTIF($B$2:$B78,$B78)=COUNTIF($B$2:$B$1601,$B78),$B78,""))</f>
        <v>37</v>
      </c>
    </row>
    <row r="79" spans="1:11">
      <c r="A79" t="str">
        <f>IF('TMP Paste'!$E79="","",'TMP Paste'!$E79)</f>
        <v>260728035150397r7WBD2c6</v>
      </c>
      <c r="B79">
        <f>IF($A79="","",COUNTIF('TMP Paste'!$B$2:$B79,"?*"))</f>
        <v>38</v>
      </c>
      <c r="C79">
        <f>IF($A79="","",IFERROR('TMP Paste'!$M79*1,0))</f>
        <v>1</v>
      </c>
      <c r="D79">
        <f>IF($A79="","",SUMIF($B$2:$B79,$B79,$C$2:$C79))</f>
        <v>1</v>
      </c>
      <c r="E79">
        <f>IF($A79="",0,IF('TMP Paste'!$B79="",0,1))</f>
        <v>1</v>
      </c>
      <c r="F79" t="str">
        <f t="shared" si="5"/>
        <v>260728035150397r7WBD2c6-01</v>
      </c>
      <c r="G79" t="str">
        <f t="shared" si="6"/>
        <v>260728035150397r7WBD2c6-01</v>
      </c>
      <c r="H79" t="str">
        <f t="shared" si="7"/>
        <v>260728035150397r7WBD2c6 (1)</v>
      </c>
      <c r="I79" t="str">
        <f t="shared" si="8"/>
        <v>260728035150397r7WBD2c6 (1)</v>
      </c>
      <c r="J79">
        <f t="shared" si="9"/>
        <v>38</v>
      </c>
      <c r="K79" t="str">
        <f>IF($A79="","",IF(COUNTIF($B$2:$B79,$B79)=COUNTIF($B$2:$B$1601,$B79),$B79,""))</f>
        <v/>
      </c>
    </row>
    <row r="80" spans="1:11">
      <c r="A80" t="str">
        <f>IF('TMP Paste'!$E80="","",'TMP Paste'!$E80)</f>
        <v>26072803515040WR8YD6H9a</v>
      </c>
      <c r="B80">
        <f>IF($A80="","",COUNTIF('TMP Paste'!$B$2:$B80,"?*"))</f>
        <v>38</v>
      </c>
      <c r="C80">
        <f>IF($A80="","",IFERROR('TMP Paste'!$M80*1,0))</f>
        <v>2</v>
      </c>
      <c r="D80">
        <f>IF($A80="","",SUMIF($B$2:$B80,$B80,$C$2:$C80))</f>
        <v>3</v>
      </c>
      <c r="E80">
        <f>IF($A80="",0,IF('TMP Paste'!$B80="",0,1))</f>
        <v>0</v>
      </c>
      <c r="F80" t="str">
        <f t="shared" si="5"/>
        <v>26072803515040WR8YD6H9a-02, 26072803515040WR8YD6H9a-03</v>
      </c>
      <c r="G80" t="str">
        <f t="shared" si="6"/>
        <v>260728035150397r7WBD2c6-01, 26072803515040WR8YD6H9a-02, 26072803515040WR8YD6H9a-03</v>
      </c>
      <c r="H80" t="str">
        <f t="shared" si="7"/>
        <v>26072803515040WR8YD6H9a (2)</v>
      </c>
      <c r="I80" t="str">
        <f t="shared" si="8"/>
        <v>260728035150397r7WBD2c6 (1), 26072803515040WR8YD6H9a (2)</v>
      </c>
      <c r="J80" t="str">
        <f t="shared" si="9"/>
        <v/>
      </c>
      <c r="K80">
        <f>IF($A80="","",IF(COUNTIF($B$2:$B80,$B80)=COUNTIF($B$2:$B$1601,$B80),$B80,""))</f>
        <v>38</v>
      </c>
    </row>
    <row r="81" spans="1:11">
      <c r="A81" t="str">
        <f>IF('TMP Paste'!$E81="","",'TMP Paste'!$E81)</f>
        <v>26072704341502qdbRVQ5P</v>
      </c>
      <c r="B81">
        <f>IF($A81="","",COUNTIF('TMP Paste'!$B$2:$B81,"?*"))</f>
        <v>39</v>
      </c>
      <c r="C81">
        <f>IF($A81="","",IFERROR('TMP Paste'!$M81*1,0))</f>
        <v>1</v>
      </c>
      <c r="D81">
        <f>IF($A81="","",SUMIF($B$2:$B81,$B81,$C$2:$C81))</f>
        <v>1</v>
      </c>
      <c r="E81">
        <f>IF($A81="",0,IF('TMP Paste'!$B81="",0,1))</f>
        <v>1</v>
      </c>
      <c r="F81" t="str">
        <f t="shared" si="5"/>
        <v>26072704341502qdbRVQ5P-01</v>
      </c>
      <c r="G81" t="str">
        <f t="shared" si="6"/>
        <v>26072704341502qdbRVQ5P-01</v>
      </c>
      <c r="H81" t="str">
        <f t="shared" si="7"/>
        <v>26072704341502qdbRVQ5P (1)</v>
      </c>
      <c r="I81" t="str">
        <f t="shared" si="8"/>
        <v>26072704341502qdbRVQ5P (1)</v>
      </c>
      <c r="J81">
        <f t="shared" si="9"/>
        <v>39</v>
      </c>
      <c r="K81" t="str">
        <f>IF($A81="","",IF(COUNTIF($B$2:$B81,$B81)=COUNTIF($B$2:$B$1601,$B81),$B81,""))</f>
        <v/>
      </c>
    </row>
    <row r="82" spans="1:11">
      <c r="A82" t="str">
        <f>IF('TMP Paste'!$E82="","",'TMP Paste'!$E82)</f>
        <v>26072712032924MjdyBhu</v>
      </c>
      <c r="B82">
        <f>IF($A82="","",COUNTIF('TMP Paste'!$B$2:$B82,"?*"))</f>
        <v>39</v>
      </c>
      <c r="C82">
        <f>IF($A82="","",IFERROR('TMP Paste'!$M82*1,0))</f>
        <v>1</v>
      </c>
      <c r="D82">
        <f>IF($A82="","",SUMIF($B$2:$B82,$B82,$C$2:$C82))</f>
        <v>2</v>
      </c>
      <c r="E82">
        <f>IF($A82="",0,IF('TMP Paste'!$B82="",0,1))</f>
        <v>0</v>
      </c>
      <c r="F82" t="str">
        <f t="shared" si="5"/>
        <v>26072712032924MjdyBhu-02</v>
      </c>
      <c r="G82" t="str">
        <f t="shared" si="6"/>
        <v>26072704341502qdbRVQ5P-01, 26072712032924MjdyBhu-02</v>
      </c>
      <c r="H82" t="str">
        <f t="shared" si="7"/>
        <v>26072712032924MjdyBhu (1)</v>
      </c>
      <c r="I82" t="str">
        <f t="shared" si="8"/>
        <v>26072704341502qdbRVQ5P (1), 26072712032924MjdyBhu (1)</v>
      </c>
      <c r="J82" t="str">
        <f t="shared" si="9"/>
        <v/>
      </c>
      <c r="K82" t="str">
        <f>IF($A82="","",IF(COUNTIF($B$2:$B82,$B82)=COUNTIF($B$2:$B$1601,$B82),$B82,""))</f>
        <v/>
      </c>
    </row>
    <row r="83" spans="1:11">
      <c r="A83" t="str">
        <f>IF('TMP Paste'!$E83="","",'TMP Paste'!$E83)</f>
        <v>260728033101816irAnKvBHn</v>
      </c>
      <c r="B83">
        <f>IF($A83="","",COUNTIF('TMP Paste'!$B$2:$B83,"?*"))</f>
        <v>39</v>
      </c>
      <c r="C83">
        <f>IF($A83="","",IFERROR('TMP Paste'!$M83*1,0))</f>
        <v>1</v>
      </c>
      <c r="D83">
        <f>IF($A83="","",SUMIF($B$2:$B83,$B83,$C$2:$C83))</f>
        <v>3</v>
      </c>
      <c r="E83">
        <f>IF($A83="",0,IF('TMP Paste'!$B83="",0,1))</f>
        <v>0</v>
      </c>
      <c r="F83" t="str">
        <f t="shared" si="5"/>
        <v>260728033101816irAnKvBHn-03</v>
      </c>
      <c r="G83" t="str">
        <f t="shared" si="6"/>
        <v>26072704341502qdbRVQ5P-01, 26072712032924MjdyBhu-02, 260728033101816irAnKvBHn-03</v>
      </c>
      <c r="H83" t="str">
        <f t="shared" si="7"/>
        <v>260728033101816irAnKvBHn (1)</v>
      </c>
      <c r="I83" t="str">
        <f t="shared" si="8"/>
        <v>26072704341502qdbRVQ5P (1), 26072712032924MjdyBhu (1), 260728033101816irAnKvBHn (1)</v>
      </c>
      <c r="J83" t="str">
        <f t="shared" si="9"/>
        <v/>
      </c>
      <c r="K83" t="str">
        <f>IF($A83="","",IF(COUNTIF($B$2:$B83,$B83)=COUNTIF($B$2:$B$1601,$B83),$B83,""))</f>
        <v/>
      </c>
    </row>
    <row r="84" spans="1:11">
      <c r="A84" t="str">
        <f>IF('TMP Paste'!$E84="","",'TMP Paste'!$E84)</f>
        <v>26072803310181m8tf9X6oL</v>
      </c>
      <c r="B84">
        <f>IF($A84="","",COUNTIF('TMP Paste'!$B$2:$B84,"?*"))</f>
        <v>39</v>
      </c>
      <c r="C84">
        <f>IF($A84="","",IFERROR('TMP Paste'!$M84*1,0))</f>
        <v>1</v>
      </c>
      <c r="D84">
        <f>IF($A84="","",SUMIF($B$2:$B84,$B84,$C$2:$C84))</f>
        <v>4</v>
      </c>
      <c r="E84">
        <f>IF($A84="",0,IF('TMP Paste'!$B84="",0,1))</f>
        <v>0</v>
      </c>
      <c r="F84" t="str">
        <f t="shared" si="5"/>
        <v>26072803310181m8tf9X6oL-04</v>
      </c>
      <c r="G84" t="str">
        <f t="shared" si="6"/>
        <v>26072704341502qdbRVQ5P-01, 26072712032924MjdyBhu-02, 260728033101816irAnKvBHn-03, 26072803310181m8tf9X6oL-04</v>
      </c>
      <c r="H84" t="str">
        <f t="shared" si="7"/>
        <v>26072803310181m8tf9X6oL (1)</v>
      </c>
      <c r="I84" t="str">
        <f t="shared" si="8"/>
        <v>26072704341502qdbRVQ5P (1), 26072712032924MjdyBhu (1), 260728033101816irAnKvBHn (1), 26072803310181m8tf9X6oL (1)</v>
      </c>
      <c r="J84" t="str">
        <f t="shared" si="9"/>
        <v/>
      </c>
      <c r="K84">
        <f>IF($A84="","",IF(COUNTIF($B$2:$B84,$B84)=COUNTIF($B$2:$B$1601,$B84),$B84,""))</f>
        <v>39</v>
      </c>
    </row>
    <row r="85" spans="1:11">
      <c r="A85" t="str">
        <f>IF('TMP Paste'!$E85="","",'TMP Paste'!$E85)</f>
        <v>260727042103423Z7gUddIeC</v>
      </c>
      <c r="B85">
        <f>IF($A85="","",COUNTIF('TMP Paste'!$B$2:$B85,"?*"))</f>
        <v>40</v>
      </c>
      <c r="C85">
        <f>IF($A85="","",IFERROR('TMP Paste'!$M85*1,0))</f>
        <v>1</v>
      </c>
      <c r="D85">
        <f>IF($A85="","",SUMIF($B$2:$B85,$B85,$C$2:$C85))</f>
        <v>1</v>
      </c>
      <c r="E85">
        <f>IF($A85="",0,IF('TMP Paste'!$B85="",0,1))</f>
        <v>1</v>
      </c>
      <c r="F85" t="str">
        <f t="shared" si="5"/>
        <v>260727042103423Z7gUddIeC-01</v>
      </c>
      <c r="G85" t="str">
        <f t="shared" si="6"/>
        <v>260727042103423Z7gUddIeC-01</v>
      </c>
      <c r="H85" t="str">
        <f t="shared" si="7"/>
        <v>260727042103423Z7gUddIeC (1)</v>
      </c>
      <c r="I85" t="str">
        <f t="shared" si="8"/>
        <v>260727042103423Z7gUddIeC (1)</v>
      </c>
      <c r="J85">
        <f t="shared" si="9"/>
        <v>40</v>
      </c>
      <c r="K85" t="str">
        <f>IF($A85="","",IF(COUNTIF($B$2:$B85,$B85)=COUNTIF($B$2:$B$1601,$B85),$B85,""))</f>
        <v/>
      </c>
    </row>
    <row r="86" spans="1:11">
      <c r="A86" t="str">
        <f>IF('TMP Paste'!$E86="","",'TMP Paste'!$E86)</f>
        <v>26072704210342Ptkz57fgS</v>
      </c>
      <c r="B86">
        <f>IF($A86="","",COUNTIF('TMP Paste'!$B$2:$B86,"?*"))</f>
        <v>40</v>
      </c>
      <c r="C86">
        <f>IF($A86="","",IFERROR('TMP Paste'!$M86*1,0))</f>
        <v>1</v>
      </c>
      <c r="D86">
        <f>IF($A86="","",SUMIF($B$2:$B86,$B86,$C$2:$C86))</f>
        <v>2</v>
      </c>
      <c r="E86">
        <f>IF($A86="",0,IF('TMP Paste'!$B86="",0,1))</f>
        <v>0</v>
      </c>
      <c r="F86" t="str">
        <f t="shared" si="5"/>
        <v>26072704210342Ptkz57fgS-02</v>
      </c>
      <c r="G86" t="str">
        <f t="shared" si="6"/>
        <v>260727042103423Z7gUddIeC-01, 26072704210342Ptkz57fgS-02</v>
      </c>
      <c r="H86" t="str">
        <f t="shared" si="7"/>
        <v>26072704210342Ptkz57fgS (1)</v>
      </c>
      <c r="I86" t="str">
        <f t="shared" si="8"/>
        <v>260727042103423Z7gUddIeC (1), 26072704210342Ptkz57fgS (1)</v>
      </c>
      <c r="J86" t="str">
        <f t="shared" si="9"/>
        <v/>
      </c>
      <c r="K86">
        <f>IF($A86="","",IF(COUNTIF($B$2:$B86,$B86)=COUNTIF($B$2:$B$1601,$B86),$B86,""))</f>
        <v>40</v>
      </c>
    </row>
    <row r="87" spans="1:11">
      <c r="A87" t="str">
        <f>IF('TMP Paste'!$E87="","",'TMP Paste'!$E87)</f>
        <v>26072723241347gQeGJZgTe</v>
      </c>
      <c r="B87">
        <f>IF($A87="","",COUNTIF('TMP Paste'!$B$2:$B87,"?*"))</f>
        <v>41</v>
      </c>
      <c r="C87">
        <f>IF($A87="","",IFERROR('TMP Paste'!$M87*1,0))</f>
        <v>1</v>
      </c>
      <c r="D87">
        <f>IF($A87="","",SUMIF($B$2:$B87,$B87,$C$2:$C87))</f>
        <v>1</v>
      </c>
      <c r="E87">
        <f>IF($A87="",0,IF('TMP Paste'!$B87="",0,1))</f>
        <v>1</v>
      </c>
      <c r="F87" t="str">
        <f t="shared" si="5"/>
        <v>26072723241347gQeGJZgTe-01</v>
      </c>
      <c r="G87" t="str">
        <f t="shared" si="6"/>
        <v>26072723241347gQeGJZgTe-01</v>
      </c>
      <c r="H87" t="str">
        <f t="shared" si="7"/>
        <v>26072723241347gQeGJZgTe (1)</v>
      </c>
      <c r="I87" t="str">
        <f t="shared" si="8"/>
        <v>26072723241347gQeGJZgTe (1)</v>
      </c>
      <c r="J87">
        <f t="shared" si="9"/>
        <v>41</v>
      </c>
      <c r="K87" t="str">
        <f>IF($A87="","",IF(COUNTIF($B$2:$B87,$B87)=COUNTIF($B$2:$B$1601,$B87),$B87,""))</f>
        <v/>
      </c>
    </row>
    <row r="88" spans="1:11">
      <c r="A88" t="str">
        <f>IF('TMP Paste'!$E88="","",'TMP Paste'!$E88)</f>
        <v>26072802112338LNmw0XGb6</v>
      </c>
      <c r="B88">
        <f>IF($A88="","",COUNTIF('TMP Paste'!$B$2:$B88,"?*"))</f>
        <v>41</v>
      </c>
      <c r="C88">
        <f>IF($A88="","",IFERROR('TMP Paste'!$M88*1,0))</f>
        <v>1</v>
      </c>
      <c r="D88">
        <f>IF($A88="","",SUMIF($B$2:$B88,$B88,$C$2:$C88))</f>
        <v>2</v>
      </c>
      <c r="E88">
        <f>IF($A88="",0,IF('TMP Paste'!$B88="",0,1))</f>
        <v>0</v>
      </c>
      <c r="F88" t="str">
        <f t="shared" si="5"/>
        <v>26072802112338LNmw0XGb6-02</v>
      </c>
      <c r="G88" t="str">
        <f t="shared" si="6"/>
        <v>26072723241347gQeGJZgTe-01, 26072802112338LNmw0XGb6-02</v>
      </c>
      <c r="H88" t="str">
        <f t="shared" si="7"/>
        <v>26072802112338LNmw0XGb6 (1)</v>
      </c>
      <c r="I88" t="str">
        <f t="shared" si="8"/>
        <v>26072723241347gQeGJZgTe (1), 26072802112338LNmw0XGb6 (1)</v>
      </c>
      <c r="J88" t="str">
        <f t="shared" si="9"/>
        <v/>
      </c>
      <c r="K88">
        <f>IF($A88="","",IF(COUNTIF($B$2:$B88,$B88)=COUNTIF($B$2:$B$1601,$B88),$B88,""))</f>
        <v>41</v>
      </c>
    </row>
    <row r="89" spans="1:11">
      <c r="A89" t="str">
        <f>IF('TMP Paste'!$E89="","",'TMP Paste'!$E89)</f>
        <v>26072803451506gUV8kMu</v>
      </c>
      <c r="B89">
        <f>IF($A89="","",COUNTIF('TMP Paste'!$B$2:$B89,"?*"))</f>
        <v>42</v>
      </c>
      <c r="C89">
        <f>IF($A89="","",IFERROR('TMP Paste'!$M89*1,0))</f>
        <v>1</v>
      </c>
      <c r="D89">
        <f>IF($A89="","",SUMIF($B$2:$B89,$B89,$C$2:$C89))</f>
        <v>1</v>
      </c>
      <c r="E89">
        <f>IF($A89="",0,IF('TMP Paste'!$B89="",0,1))</f>
        <v>1</v>
      </c>
      <c r="F89" t="str">
        <f t="shared" si="5"/>
        <v>26072803451506gUV8kMu-01</v>
      </c>
      <c r="G89" t="str">
        <f t="shared" si="6"/>
        <v>26072803451506gUV8kMu-01</v>
      </c>
      <c r="H89" t="str">
        <f t="shared" si="7"/>
        <v>26072803451506gUV8kMu (1)</v>
      </c>
      <c r="I89" t="str">
        <f t="shared" si="8"/>
        <v>26072803451506gUV8kMu (1)</v>
      </c>
      <c r="J89">
        <f t="shared" si="9"/>
        <v>42</v>
      </c>
      <c r="K89">
        <f>IF($A89="","",IF(COUNTIF($B$2:$B89,$B89)=COUNTIF($B$2:$B$1601,$B89),$B89,""))</f>
        <v>42</v>
      </c>
    </row>
    <row r="90" spans="1:11">
      <c r="A90" t="str">
        <f>IF('TMP Paste'!$E90="","",'TMP Paste'!$E90)</f>
        <v>26072715175632enev8dlT</v>
      </c>
      <c r="B90">
        <f>IF($A90="","",COUNTIF('TMP Paste'!$B$2:$B90,"?*"))</f>
        <v>43</v>
      </c>
      <c r="C90">
        <f>IF($A90="","",IFERROR('TMP Paste'!$M90*1,0))</f>
        <v>3</v>
      </c>
      <c r="D90">
        <f>IF($A90="","",SUMIF($B$2:$B90,$B90,$C$2:$C90))</f>
        <v>3</v>
      </c>
      <c r="E90">
        <f>IF($A90="",0,IF('TMP Paste'!$B90="",0,1))</f>
        <v>1</v>
      </c>
      <c r="F90" t="str">
        <f t="shared" si="5"/>
        <v>26072715175632enev8dlT-01, 26072715175632enev8dlT-02, 26072715175632enev8dlT-03</v>
      </c>
      <c r="G90" t="str">
        <f t="shared" si="6"/>
        <v>26072715175632enev8dlT-01, 26072715175632enev8dlT-02, 26072715175632enev8dlT-03</v>
      </c>
      <c r="H90" t="str">
        <f t="shared" si="7"/>
        <v>26072715175632enev8dlT (3)</v>
      </c>
      <c r="I90" t="str">
        <f t="shared" si="8"/>
        <v>26072715175632enev8dlT (3)</v>
      </c>
      <c r="J90">
        <f t="shared" si="9"/>
        <v>43</v>
      </c>
      <c r="K90" t="str">
        <f>IF($A90="","",IF(COUNTIF($B$2:$B90,$B90)=COUNTIF($B$2:$B$1601,$B90),$B90,""))</f>
        <v/>
      </c>
    </row>
    <row r="91" spans="1:11">
      <c r="A91" t="str">
        <f>IF('TMP Paste'!$E91="","",'TMP Paste'!$E91)</f>
        <v>26072715175632TXfu46KF1h</v>
      </c>
      <c r="B91">
        <f>IF($A91="","",COUNTIF('TMP Paste'!$B$2:$B91,"?*"))</f>
        <v>43</v>
      </c>
      <c r="C91">
        <f>IF($A91="","",IFERROR('TMP Paste'!$M91*1,0))</f>
        <v>3</v>
      </c>
      <c r="D91">
        <f>IF($A91="","",SUMIF($B$2:$B91,$B91,$C$2:$C91))</f>
        <v>6</v>
      </c>
      <c r="E91">
        <f>IF($A91="",0,IF('TMP Paste'!$B91="",0,1))</f>
        <v>0</v>
      </c>
      <c r="F91" t="str">
        <f t="shared" si="5"/>
        <v>26072715175632TXfu46KF1h-04, 26072715175632TXfu46KF1h-05, 26072715175632TXfu46KF1h-06</v>
      </c>
      <c r="G91" t="str">
        <f t="shared" si="6"/>
        <v>26072715175632enev8dlT-01, 26072715175632enev8dlT-02, 26072715175632enev8dlT-03, 26072715175632TXfu46KF1h-04, 26072715175632TXfu46KF1h-05, 26072715175632TXfu46KF1h-06</v>
      </c>
      <c r="H91" t="str">
        <f t="shared" si="7"/>
        <v>26072715175632TXfu46KF1h (3)</v>
      </c>
      <c r="I91" t="str">
        <f t="shared" si="8"/>
        <v>26072715175632enev8dlT (3), 26072715175632TXfu46KF1h (3)</v>
      </c>
      <c r="J91" t="str">
        <f t="shared" si="9"/>
        <v/>
      </c>
      <c r="K91" t="str">
        <f>IF($A91="","",IF(COUNTIF($B$2:$B91,$B91)=COUNTIF($B$2:$B$1601,$B91),$B91,""))</f>
        <v/>
      </c>
    </row>
    <row r="92" spans="1:11">
      <c r="A92" t="str">
        <f>IF('TMP Paste'!$E92="","",'TMP Paste'!$E92)</f>
        <v>26072715175632yj2F2HjwSr</v>
      </c>
      <c r="B92">
        <f>IF($A92="","",COUNTIF('TMP Paste'!$B$2:$B92,"?*"))</f>
        <v>43</v>
      </c>
      <c r="C92">
        <f>IF($A92="","",IFERROR('TMP Paste'!$M92*1,0))</f>
        <v>3</v>
      </c>
      <c r="D92">
        <f>IF($A92="","",SUMIF($B$2:$B92,$B92,$C$2:$C92))</f>
        <v>9</v>
      </c>
      <c r="E92">
        <f>IF($A92="",0,IF('TMP Paste'!$B92="",0,1))</f>
        <v>0</v>
      </c>
      <c r="F92" t="str">
        <f t="shared" si="5"/>
        <v>26072715175632yj2F2HjwSr-07, 26072715175632yj2F2HjwSr-08, 26072715175632yj2F2HjwSr-09</v>
      </c>
      <c r="G92" t="str">
        <f t="shared" si="6"/>
        <v>26072715175632enev8dlT-01, 26072715175632enev8dlT-02, 26072715175632enev8dlT-03, 26072715175632TXfu46KF1h-04, 26072715175632TXfu46KF1h-05, 26072715175632TXfu46KF1h-06, 26072715175632yj2F2HjwSr-07, 26072715175632yj2F2HjwSr-08, 26072715175632yj2F2HjwSr-09</v>
      </c>
      <c r="H92" t="str">
        <f t="shared" si="7"/>
        <v>26072715175632yj2F2HjwSr (3)</v>
      </c>
      <c r="I92" t="str">
        <f t="shared" si="8"/>
        <v>26072715175632enev8dlT (3), 26072715175632TXfu46KF1h (3), 26072715175632yj2F2HjwSr (3)</v>
      </c>
      <c r="J92" t="str">
        <f t="shared" si="9"/>
        <v/>
      </c>
      <c r="K92">
        <f>IF($A92="","",IF(COUNTIF($B$2:$B92,$B92)=COUNTIF($B$2:$B$1601,$B92),$B92,""))</f>
        <v>43</v>
      </c>
    </row>
    <row r="93" spans="1:11">
      <c r="A93" t="str">
        <f>IF('TMP Paste'!$E93="","",'TMP Paste'!$E93)</f>
        <v>26072707484123A88nijyae</v>
      </c>
      <c r="B93">
        <f>IF($A93="","",COUNTIF('TMP Paste'!$B$2:$B93,"?*"))</f>
        <v>44</v>
      </c>
      <c r="C93">
        <f>IF($A93="","",IFERROR('TMP Paste'!$M93*1,0))</f>
        <v>1</v>
      </c>
      <c r="D93">
        <f>IF($A93="","",SUMIF($B$2:$B93,$B93,$C$2:$C93))</f>
        <v>1</v>
      </c>
      <c r="E93">
        <f>IF($A93="",0,IF('TMP Paste'!$B93="",0,1))</f>
        <v>1</v>
      </c>
      <c r="F93" t="str">
        <f t="shared" si="5"/>
        <v>26072707484123A88nijyae-01</v>
      </c>
      <c r="G93" t="str">
        <f t="shared" si="6"/>
        <v>26072707484123A88nijyae-01</v>
      </c>
      <c r="H93" t="str">
        <f t="shared" si="7"/>
        <v>26072707484123A88nijyae (1)</v>
      </c>
      <c r="I93" t="str">
        <f t="shared" si="8"/>
        <v>26072707484123A88nijyae (1)</v>
      </c>
      <c r="J93">
        <f t="shared" si="9"/>
        <v>44</v>
      </c>
      <c r="K93" t="str">
        <f>IF($A93="","",IF(COUNTIF($B$2:$B93,$B93)=COUNTIF($B$2:$B$1601,$B93),$B93,""))</f>
        <v/>
      </c>
    </row>
    <row r="94" spans="1:11">
      <c r="A94" t="str">
        <f>IF('TMP Paste'!$E94="","",'TMP Paste'!$E94)</f>
        <v>260727074841243wfickmqt</v>
      </c>
      <c r="B94">
        <f>IF($A94="","",COUNTIF('TMP Paste'!$B$2:$B94,"?*"))</f>
        <v>44</v>
      </c>
      <c r="C94">
        <f>IF($A94="","",IFERROR('TMP Paste'!$M94*1,0))</f>
        <v>1</v>
      </c>
      <c r="D94">
        <f>IF($A94="","",SUMIF($B$2:$B94,$B94,$C$2:$C94))</f>
        <v>2</v>
      </c>
      <c r="E94">
        <f>IF($A94="",0,IF('TMP Paste'!$B94="",0,1))</f>
        <v>0</v>
      </c>
      <c r="F94" t="str">
        <f t="shared" si="5"/>
        <v>260727074841243wfickmqt-02</v>
      </c>
      <c r="G94" t="str">
        <f t="shared" si="6"/>
        <v>26072707484123A88nijyae-01, 260727074841243wfickmqt-02</v>
      </c>
      <c r="H94" t="str">
        <f t="shared" si="7"/>
        <v>260727074841243wfickmqt (1)</v>
      </c>
      <c r="I94" t="str">
        <f t="shared" si="8"/>
        <v>26072707484123A88nijyae (1), 260727074841243wfickmqt (1)</v>
      </c>
      <c r="J94" t="str">
        <f t="shared" si="9"/>
        <v/>
      </c>
      <c r="K94">
        <f>IF($A94="","",IF(COUNTIF($B$2:$B94,$B94)=COUNTIF($B$2:$B$1601,$B94),$B94,""))</f>
        <v>44</v>
      </c>
    </row>
    <row r="95" spans="1:11">
      <c r="A95" t="str">
        <f>IF('TMP Paste'!$E95="","",'TMP Paste'!$E95)</f>
        <v>26072705085896Tq3msdNjq</v>
      </c>
      <c r="B95">
        <f>IF($A95="","",COUNTIF('TMP Paste'!$B$2:$B95,"?*"))</f>
        <v>45</v>
      </c>
      <c r="C95">
        <f>IF($A95="","",IFERROR('TMP Paste'!$M95*1,0))</f>
        <v>1</v>
      </c>
      <c r="D95">
        <f>IF($A95="","",SUMIF($B$2:$B95,$B95,$C$2:$C95))</f>
        <v>1</v>
      </c>
      <c r="E95">
        <f>IF($A95="",0,IF('TMP Paste'!$B95="",0,1))</f>
        <v>1</v>
      </c>
      <c r="F95" t="str">
        <f t="shared" si="5"/>
        <v>26072705085896Tq3msdNjq-01</v>
      </c>
      <c r="G95" t="str">
        <f t="shared" si="6"/>
        <v>26072705085896Tq3msdNjq-01</v>
      </c>
      <c r="H95" t="str">
        <f t="shared" si="7"/>
        <v>26072705085896Tq3msdNjq (1)</v>
      </c>
      <c r="I95" t="str">
        <f t="shared" si="8"/>
        <v>26072705085896Tq3msdNjq (1)</v>
      </c>
      <c r="J95">
        <f t="shared" si="9"/>
        <v>45</v>
      </c>
      <c r="K95" t="str">
        <f>IF($A95="","",IF(COUNTIF($B$2:$B95,$B95)=COUNTIF($B$2:$B$1601,$B95),$B95,""))</f>
        <v/>
      </c>
    </row>
    <row r="96" spans="1:11">
      <c r="A96" t="str">
        <f>IF('TMP Paste'!$E96="","",'TMP Paste'!$E96)</f>
        <v>26072705085896TYVZCvOyBK</v>
      </c>
      <c r="B96">
        <f>IF($A96="","",COUNTIF('TMP Paste'!$B$2:$B96,"?*"))</f>
        <v>45</v>
      </c>
      <c r="C96">
        <f>IF($A96="","",IFERROR('TMP Paste'!$M96*1,0))</f>
        <v>1</v>
      </c>
      <c r="D96">
        <f>IF($A96="","",SUMIF($B$2:$B96,$B96,$C$2:$C96))</f>
        <v>2</v>
      </c>
      <c r="E96">
        <f>IF($A96="",0,IF('TMP Paste'!$B96="",0,1))</f>
        <v>0</v>
      </c>
      <c r="F96" t="str">
        <f t="shared" si="5"/>
        <v>26072705085896TYVZCvOyBK-02</v>
      </c>
      <c r="G96" t="str">
        <f t="shared" si="6"/>
        <v>26072705085896Tq3msdNjq-01, 26072705085896TYVZCvOyBK-02</v>
      </c>
      <c r="H96" t="str">
        <f t="shared" si="7"/>
        <v>26072705085896TYVZCvOyBK (1)</v>
      </c>
      <c r="I96" t="str">
        <f t="shared" si="8"/>
        <v>26072705085896Tq3msdNjq (1), 26072705085896TYVZCvOyBK (1)</v>
      </c>
      <c r="J96" t="str">
        <f t="shared" si="9"/>
        <v/>
      </c>
      <c r="K96">
        <f>IF($A96="","",IF(COUNTIF($B$2:$B96,$B96)=COUNTIF($B$2:$B$1601,$B96),$B96,""))</f>
        <v>45</v>
      </c>
    </row>
    <row r="97" spans="1:11">
      <c r="A97" t="str">
        <f>IF('TMP Paste'!$E97="","",'TMP Paste'!$E97)</f>
        <v>26072803175029kCTz1OwUR</v>
      </c>
      <c r="B97">
        <f>IF($A97="","",COUNTIF('TMP Paste'!$B$2:$B97,"?*"))</f>
        <v>46</v>
      </c>
      <c r="C97">
        <f>IF($A97="","",IFERROR('TMP Paste'!$M97*1,0))</f>
        <v>1</v>
      </c>
      <c r="D97">
        <f>IF($A97="","",SUMIF($B$2:$B97,$B97,$C$2:$C97))</f>
        <v>1</v>
      </c>
      <c r="E97">
        <f>IF($A97="",0,IF('TMP Paste'!$B97="",0,1))</f>
        <v>1</v>
      </c>
      <c r="F97" t="str">
        <f t="shared" si="5"/>
        <v>26072803175029kCTz1OwUR-01</v>
      </c>
      <c r="G97" t="str">
        <f t="shared" si="6"/>
        <v>26072803175029kCTz1OwUR-01</v>
      </c>
      <c r="H97" t="str">
        <f t="shared" si="7"/>
        <v>26072803175029kCTz1OwUR (1)</v>
      </c>
      <c r="I97" t="str">
        <f t="shared" si="8"/>
        <v>26072803175029kCTz1OwUR (1)</v>
      </c>
      <c r="J97">
        <f t="shared" si="9"/>
        <v>46</v>
      </c>
      <c r="K97" t="str">
        <f>IF($A97="","",IF(COUNTIF($B$2:$B97,$B97)=COUNTIF($B$2:$B$1601,$B97),$B97,""))</f>
        <v/>
      </c>
    </row>
    <row r="98" spans="1:11">
      <c r="A98" t="str">
        <f>IF('TMP Paste'!$E98="","",'TMP Paste'!$E98)</f>
        <v>26072803175030oT1RZhJws</v>
      </c>
      <c r="B98">
        <f>IF($A98="","",COUNTIF('TMP Paste'!$B$2:$B98,"?*"))</f>
        <v>46</v>
      </c>
      <c r="C98">
        <f>IF($A98="","",IFERROR('TMP Paste'!$M98*1,0))</f>
        <v>1</v>
      </c>
      <c r="D98">
        <f>IF($A98="","",SUMIF($B$2:$B98,$B98,$C$2:$C98))</f>
        <v>2</v>
      </c>
      <c r="E98">
        <f>IF($A98="",0,IF('TMP Paste'!$B98="",0,1))</f>
        <v>0</v>
      </c>
      <c r="F98" t="str">
        <f t="shared" si="5"/>
        <v>26072803175030oT1RZhJws-02</v>
      </c>
      <c r="G98" t="str">
        <f t="shared" si="6"/>
        <v>26072803175029kCTz1OwUR-01, 26072803175030oT1RZhJws-02</v>
      </c>
      <c r="H98" t="str">
        <f t="shared" si="7"/>
        <v>26072803175030oT1RZhJws (1)</v>
      </c>
      <c r="I98" t="str">
        <f t="shared" si="8"/>
        <v>26072803175029kCTz1OwUR (1), 26072803175030oT1RZhJws (1)</v>
      </c>
      <c r="J98" t="str">
        <f t="shared" si="9"/>
        <v/>
      </c>
      <c r="K98" t="str">
        <f>IF($A98="","",IF(COUNTIF($B$2:$B98,$B98)=COUNTIF($B$2:$B$1601,$B98),$B98,""))</f>
        <v/>
      </c>
    </row>
    <row r="99" spans="1:11">
      <c r="A99" t="str">
        <f>IF('TMP Paste'!$E99="","",'TMP Paste'!$E99)</f>
        <v>26072803175030rtBz9At5T</v>
      </c>
      <c r="B99">
        <f>IF($A99="","",COUNTIF('TMP Paste'!$B$2:$B99,"?*"))</f>
        <v>46</v>
      </c>
      <c r="C99">
        <f>IF($A99="","",IFERROR('TMP Paste'!$M99*1,0))</f>
        <v>1</v>
      </c>
      <c r="D99">
        <f>IF($A99="","",SUMIF($B$2:$B99,$B99,$C$2:$C99))</f>
        <v>3</v>
      </c>
      <c r="E99">
        <f>IF($A99="",0,IF('TMP Paste'!$B99="",0,1))</f>
        <v>0</v>
      </c>
      <c r="F99" t="str">
        <f t="shared" si="5"/>
        <v>26072803175030rtBz9At5T-03</v>
      </c>
      <c r="G99" t="str">
        <f t="shared" si="6"/>
        <v>26072803175029kCTz1OwUR-01, 26072803175030oT1RZhJws-02, 26072803175030rtBz9At5T-03</v>
      </c>
      <c r="H99" t="str">
        <f t="shared" si="7"/>
        <v>26072803175030rtBz9At5T (1)</v>
      </c>
      <c r="I99" t="str">
        <f t="shared" si="8"/>
        <v>26072803175029kCTz1OwUR (1), 26072803175030oT1RZhJws (1), 26072803175030rtBz9At5T (1)</v>
      </c>
      <c r="J99" t="str">
        <f t="shared" si="9"/>
        <v/>
      </c>
      <c r="K99">
        <f>IF($A99="","",IF(COUNTIF($B$2:$B99,$B99)=COUNTIF($B$2:$B$1601,$B99),$B99,""))</f>
        <v>46</v>
      </c>
    </row>
    <row r="100" spans="1:11">
      <c r="A100" t="str">
        <f>IF('TMP Paste'!$E100="","",'TMP Paste'!$E100)</f>
        <v>26072704304684v7RLStbbD</v>
      </c>
      <c r="B100">
        <f>IF($A100="","",COUNTIF('TMP Paste'!$B$2:$B100,"?*"))</f>
        <v>47</v>
      </c>
      <c r="C100">
        <f>IF($A100="","",IFERROR('TMP Paste'!$M100*1,0))</f>
        <v>2</v>
      </c>
      <c r="D100">
        <f>IF($A100="","",SUMIF($B$2:$B100,$B100,$C$2:$C100))</f>
        <v>2</v>
      </c>
      <c r="E100">
        <f>IF($A100="",0,IF('TMP Paste'!$B100="",0,1))</f>
        <v>1</v>
      </c>
      <c r="F100" t="str">
        <f t="shared" si="5"/>
        <v>26072704304684v7RLStbbD-01, 26072704304684v7RLStbbD-02</v>
      </c>
      <c r="G100" t="str">
        <f t="shared" si="6"/>
        <v>26072704304684v7RLStbbD-01, 26072704304684v7RLStbbD-02</v>
      </c>
      <c r="H100" t="str">
        <f t="shared" si="7"/>
        <v>26072704304684v7RLStbbD (2)</v>
      </c>
      <c r="I100" t="str">
        <f t="shared" si="8"/>
        <v>26072704304684v7RLStbbD (2)</v>
      </c>
      <c r="J100">
        <f t="shared" si="9"/>
        <v>47</v>
      </c>
      <c r="K100">
        <f>IF($A100="","",IF(COUNTIF($B$2:$B100,$B100)=COUNTIF($B$2:$B$1601,$B100),$B100,""))</f>
        <v>47</v>
      </c>
    </row>
    <row r="101" spans="1:11">
      <c r="A101" t="str">
        <f>IF('TMP Paste'!$E101="","",'TMP Paste'!$E101)</f>
        <v>26072704214871P5wacKs03</v>
      </c>
      <c r="B101">
        <f>IF($A101="","",COUNTIF('TMP Paste'!$B$2:$B101,"?*"))</f>
        <v>48</v>
      </c>
      <c r="C101">
        <f>IF($A101="","",IFERROR('TMP Paste'!$M101*1,0))</f>
        <v>1</v>
      </c>
      <c r="D101">
        <f>IF($A101="","",SUMIF($B$2:$B101,$B101,$C$2:$C101))</f>
        <v>1</v>
      </c>
      <c r="E101">
        <f>IF($A101="",0,IF('TMP Paste'!$B101="",0,1))</f>
        <v>1</v>
      </c>
      <c r="F101" t="str">
        <f t="shared" si="5"/>
        <v>26072704214871P5wacKs03-01</v>
      </c>
      <c r="G101" t="str">
        <f t="shared" si="6"/>
        <v>26072704214871P5wacKs03-01</v>
      </c>
      <c r="H101" t="str">
        <f t="shared" si="7"/>
        <v>26072704214871P5wacKs03 (1)</v>
      </c>
      <c r="I101" t="str">
        <f t="shared" si="8"/>
        <v>26072704214871P5wacKs03 (1)</v>
      </c>
      <c r="J101">
        <f t="shared" si="9"/>
        <v>48</v>
      </c>
      <c r="K101" t="str">
        <f>IF($A101="","",IF(COUNTIF($B$2:$B101,$B101)=COUNTIF($B$2:$B$1601,$B101),$B101,""))</f>
        <v/>
      </c>
    </row>
    <row r="102" spans="1:11">
      <c r="A102" t="str">
        <f>IF('TMP Paste'!$E102="","",'TMP Paste'!$E102)</f>
        <v>26072704375108dcNtw683l</v>
      </c>
      <c r="B102">
        <f>IF($A102="","",COUNTIF('TMP Paste'!$B$2:$B102,"?*"))</f>
        <v>48</v>
      </c>
      <c r="C102">
        <f>IF($A102="","",IFERROR('TMP Paste'!$M102*1,0))</f>
        <v>1</v>
      </c>
      <c r="D102">
        <f>IF($A102="","",SUMIF($B$2:$B102,$B102,$C$2:$C102))</f>
        <v>2</v>
      </c>
      <c r="E102">
        <f>IF($A102="",0,IF('TMP Paste'!$B102="",0,1))</f>
        <v>0</v>
      </c>
      <c r="F102" t="str">
        <f t="shared" si="5"/>
        <v>26072704375108dcNtw683l-02</v>
      </c>
      <c r="G102" t="str">
        <f t="shared" si="6"/>
        <v>26072704214871P5wacKs03-01, 26072704375108dcNtw683l-02</v>
      </c>
      <c r="H102" t="str">
        <f t="shared" si="7"/>
        <v>26072704375108dcNtw683l (1)</v>
      </c>
      <c r="I102" t="str">
        <f t="shared" si="8"/>
        <v>26072704214871P5wacKs03 (1), 26072704375108dcNtw683l (1)</v>
      </c>
      <c r="J102" t="str">
        <f t="shared" si="9"/>
        <v/>
      </c>
      <c r="K102">
        <f>IF($A102="","",IF(COUNTIF($B$2:$B102,$B102)=COUNTIF($B$2:$B$1601,$B102),$B102,""))</f>
        <v>48</v>
      </c>
    </row>
    <row r="103" spans="1:11">
      <c r="A103" t="str">
        <f>IF('TMP Paste'!$E103="","",'TMP Paste'!$E103)</f>
        <v>26072716393780FhBo299KV</v>
      </c>
      <c r="B103">
        <f>IF($A103="","",COUNTIF('TMP Paste'!$B$2:$B103,"?*"))</f>
        <v>49</v>
      </c>
      <c r="C103">
        <f>IF($A103="","",IFERROR('TMP Paste'!$M103*1,0))</f>
        <v>1</v>
      </c>
      <c r="D103">
        <f>IF($A103="","",SUMIF($B$2:$B103,$B103,$C$2:$C103))</f>
        <v>1</v>
      </c>
      <c r="E103">
        <f>IF($A103="",0,IF('TMP Paste'!$B103="",0,1))</f>
        <v>1</v>
      </c>
      <c r="F103" t="str">
        <f t="shared" si="5"/>
        <v>26072716393780FhBo299KV-01</v>
      </c>
      <c r="G103" t="str">
        <f t="shared" si="6"/>
        <v>26072716393780FhBo299KV-01</v>
      </c>
      <c r="H103" t="str">
        <f t="shared" si="7"/>
        <v>26072716393780FhBo299KV (1)</v>
      </c>
      <c r="I103" t="str">
        <f t="shared" si="8"/>
        <v>26072716393780FhBo299KV (1)</v>
      </c>
      <c r="J103">
        <f t="shared" si="9"/>
        <v>49</v>
      </c>
      <c r="K103" t="str">
        <f>IF($A103="","",IF(COUNTIF($B$2:$B103,$B103)=COUNTIF($B$2:$B$1601,$B103),$B103,""))</f>
        <v/>
      </c>
    </row>
    <row r="104" spans="1:11">
      <c r="A104" t="str">
        <f>IF('TMP Paste'!$E104="","",'TMP Paste'!$E104)</f>
        <v>2607271643250944xqmndnd</v>
      </c>
      <c r="B104">
        <f>IF($A104="","",COUNTIF('TMP Paste'!$B$2:$B104,"?*"))</f>
        <v>49</v>
      </c>
      <c r="C104">
        <f>IF($A104="","",IFERROR('TMP Paste'!$M104*1,0))</f>
        <v>1</v>
      </c>
      <c r="D104">
        <f>IF($A104="","",SUMIF($B$2:$B104,$B104,$C$2:$C104))</f>
        <v>2</v>
      </c>
      <c r="E104">
        <f>IF($A104="",0,IF('TMP Paste'!$B104="",0,1))</f>
        <v>0</v>
      </c>
      <c r="F104" t="str">
        <f t="shared" si="5"/>
        <v>2607271643250944xqmndnd-02</v>
      </c>
      <c r="G104" t="str">
        <f t="shared" si="6"/>
        <v>26072716393780FhBo299KV-01, 2607271643250944xqmndnd-02</v>
      </c>
      <c r="H104" t="str">
        <f t="shared" si="7"/>
        <v>2607271643250944xqmndnd (1)</v>
      </c>
      <c r="I104" t="str">
        <f t="shared" si="8"/>
        <v>26072716393780FhBo299KV (1), 2607271643250944xqmndnd (1)</v>
      </c>
      <c r="J104" t="str">
        <f t="shared" si="9"/>
        <v/>
      </c>
      <c r="K104" t="str">
        <f>IF($A104="","",IF(COUNTIF($B$2:$B104,$B104)=COUNTIF($B$2:$B$1601,$B104),$B104,""))</f>
        <v/>
      </c>
    </row>
    <row r="105" spans="1:11">
      <c r="A105" t="str">
        <f>IF('TMP Paste'!$E105="","",'TMP Paste'!$E105)</f>
        <v>260727164917489wsa6agyC</v>
      </c>
      <c r="B105">
        <f>IF($A105="","",COUNTIF('TMP Paste'!$B$2:$B105,"?*"))</f>
        <v>49</v>
      </c>
      <c r="C105">
        <f>IF($A105="","",IFERROR('TMP Paste'!$M105*1,0))</f>
        <v>1</v>
      </c>
      <c r="D105">
        <f>IF($A105="","",SUMIF($B$2:$B105,$B105,$C$2:$C105))</f>
        <v>3</v>
      </c>
      <c r="E105">
        <f>IF($A105="",0,IF('TMP Paste'!$B105="",0,1))</f>
        <v>0</v>
      </c>
      <c r="F105" t="str">
        <f t="shared" si="5"/>
        <v>260727164917489wsa6agyC-03</v>
      </c>
      <c r="G105" t="str">
        <f t="shared" si="6"/>
        <v>26072716393780FhBo299KV-01, 2607271643250944xqmndnd-02, 260727164917489wsa6agyC-03</v>
      </c>
      <c r="H105" t="str">
        <f t="shared" si="7"/>
        <v>260727164917489wsa6agyC (1)</v>
      </c>
      <c r="I105" t="str">
        <f t="shared" si="8"/>
        <v>26072716393780FhBo299KV (1), 2607271643250944xqmndnd (1), 260727164917489wsa6agyC (1)</v>
      </c>
      <c r="J105" t="str">
        <f t="shared" si="9"/>
        <v/>
      </c>
      <c r="K105">
        <f>IF($A105="","",IF(COUNTIF($B$2:$B105,$B105)=COUNTIF($B$2:$B$1601,$B105),$B105,""))</f>
        <v>49</v>
      </c>
    </row>
    <row r="106" spans="1:11">
      <c r="A106" t="str">
        <f>IF('TMP Paste'!$E106="","",'TMP Paste'!$E106)</f>
        <v>26072705363473JsgtZYExG</v>
      </c>
      <c r="B106">
        <f>IF($A106="","",COUNTIF('TMP Paste'!$B$2:$B106,"?*"))</f>
        <v>50</v>
      </c>
      <c r="C106">
        <f>IF($A106="","",IFERROR('TMP Paste'!$M106*1,0))</f>
        <v>1</v>
      </c>
      <c r="D106">
        <f>IF($A106="","",SUMIF($B$2:$B106,$B106,$C$2:$C106))</f>
        <v>1</v>
      </c>
      <c r="E106">
        <f>IF($A106="",0,IF('TMP Paste'!$B106="",0,1))</f>
        <v>1</v>
      </c>
      <c r="F106" t="str">
        <f t="shared" si="5"/>
        <v>26072705363473JsgtZYExG-01</v>
      </c>
      <c r="G106" t="str">
        <f t="shared" si="6"/>
        <v>26072705363473JsgtZYExG-01</v>
      </c>
      <c r="H106" t="str">
        <f t="shared" si="7"/>
        <v>26072705363473JsgtZYExG (1)</v>
      </c>
      <c r="I106" t="str">
        <f t="shared" si="8"/>
        <v>26072705363473JsgtZYExG (1)</v>
      </c>
      <c r="J106">
        <f t="shared" si="9"/>
        <v>50</v>
      </c>
      <c r="K106">
        <f>IF($A106="","",IF(COUNTIF($B$2:$B106,$B106)=COUNTIF($B$2:$B$1601,$B106),$B106,""))</f>
        <v>50</v>
      </c>
    </row>
    <row r="107" spans="1:11">
      <c r="A107" t="str">
        <f>IF('TMP Paste'!$E107="","",'TMP Paste'!$E107)</f>
        <v>26072801595190vSRVlibl4</v>
      </c>
      <c r="B107">
        <f>IF($A107="","",COUNTIF('TMP Paste'!$B$2:$B107,"?*"))</f>
        <v>51</v>
      </c>
      <c r="C107">
        <f>IF($A107="","",IFERROR('TMP Paste'!$M107*1,0))</f>
        <v>1</v>
      </c>
      <c r="D107">
        <f>IF($A107="","",SUMIF($B$2:$B107,$B107,$C$2:$C107))</f>
        <v>1</v>
      </c>
      <c r="E107">
        <f>IF($A107="",0,IF('TMP Paste'!$B107="",0,1))</f>
        <v>1</v>
      </c>
      <c r="F107" t="str">
        <f t="shared" si="5"/>
        <v>26072801595190vSRVlibl4-01</v>
      </c>
      <c r="G107" t="str">
        <f t="shared" si="6"/>
        <v>26072801595190vSRVlibl4-01</v>
      </c>
      <c r="H107" t="str">
        <f t="shared" si="7"/>
        <v>26072801595190vSRVlibl4 (1)</v>
      </c>
      <c r="I107" t="str">
        <f t="shared" si="8"/>
        <v>26072801595190vSRVlibl4 (1)</v>
      </c>
      <c r="J107">
        <f t="shared" si="9"/>
        <v>51</v>
      </c>
      <c r="K107" t="str">
        <f>IF($A107="","",IF(COUNTIF($B$2:$B107,$B107)=COUNTIF($B$2:$B$1601,$B107),$B107,""))</f>
        <v/>
      </c>
    </row>
    <row r="108" spans="1:11">
      <c r="A108" t="str">
        <f>IF('TMP Paste'!$E108="","",'TMP Paste'!$E108)</f>
        <v>26072801595190XLGrI4ikQy</v>
      </c>
      <c r="B108">
        <f>IF($A108="","",COUNTIF('TMP Paste'!$B$2:$B108,"?*"))</f>
        <v>51</v>
      </c>
      <c r="C108">
        <f>IF($A108="","",IFERROR('TMP Paste'!$M108*1,0))</f>
        <v>1</v>
      </c>
      <c r="D108">
        <f>IF($A108="","",SUMIF($B$2:$B108,$B108,$C$2:$C108))</f>
        <v>2</v>
      </c>
      <c r="E108">
        <f>IF($A108="",0,IF('TMP Paste'!$B108="",0,1))</f>
        <v>0</v>
      </c>
      <c r="F108" t="str">
        <f t="shared" si="5"/>
        <v>26072801595190XLGrI4ikQy-02</v>
      </c>
      <c r="G108" t="str">
        <f t="shared" si="6"/>
        <v>26072801595190vSRVlibl4-01, 26072801595190XLGrI4ikQy-02</v>
      </c>
      <c r="H108" t="str">
        <f t="shared" si="7"/>
        <v>26072801595190XLGrI4ikQy (1)</v>
      </c>
      <c r="I108" t="str">
        <f t="shared" si="8"/>
        <v>26072801595190vSRVlibl4 (1), 26072801595190XLGrI4ikQy (1)</v>
      </c>
      <c r="J108" t="str">
        <f t="shared" si="9"/>
        <v/>
      </c>
      <c r="K108" t="str">
        <f>IF($A108="","",IF(COUNTIF($B$2:$B108,$B108)=COUNTIF($B$2:$B$1601,$B108),$B108,""))</f>
        <v/>
      </c>
    </row>
    <row r="109" spans="1:11">
      <c r="A109" t="str">
        <f>IF('TMP Paste'!$E109="","",'TMP Paste'!$E109)</f>
        <v>26072801595190Z8oVqWEt</v>
      </c>
      <c r="B109">
        <f>IF($A109="","",COUNTIF('TMP Paste'!$B$2:$B109,"?*"))</f>
        <v>51</v>
      </c>
      <c r="C109">
        <f>IF($A109="","",IFERROR('TMP Paste'!$M109*1,0))</f>
        <v>1</v>
      </c>
      <c r="D109">
        <f>IF($A109="","",SUMIF($B$2:$B109,$B109,$C$2:$C109))</f>
        <v>3</v>
      </c>
      <c r="E109">
        <f>IF($A109="",0,IF('TMP Paste'!$B109="",0,1))</f>
        <v>0</v>
      </c>
      <c r="F109" t="str">
        <f t="shared" si="5"/>
        <v>26072801595190Z8oVqWEt-03</v>
      </c>
      <c r="G109" t="str">
        <f t="shared" si="6"/>
        <v>26072801595190vSRVlibl4-01, 26072801595190XLGrI4ikQy-02, 26072801595190Z8oVqWEt-03</v>
      </c>
      <c r="H109" t="str">
        <f t="shared" si="7"/>
        <v>26072801595190Z8oVqWEt (1)</v>
      </c>
      <c r="I109" t="str">
        <f t="shared" si="8"/>
        <v>26072801595190vSRVlibl4 (1), 26072801595190XLGrI4ikQy (1), 26072801595190Z8oVqWEt (1)</v>
      </c>
      <c r="J109" t="str">
        <f t="shared" si="9"/>
        <v/>
      </c>
      <c r="K109">
        <f>IF($A109="","",IF(COUNTIF($B$2:$B109,$B109)=COUNTIF($B$2:$B$1601,$B109),$B109,""))</f>
        <v>51</v>
      </c>
    </row>
    <row r="110" spans="1:11">
      <c r="A110" t="str">
        <f>IF('TMP Paste'!$E110="","",'TMP Paste'!$E110)</f>
        <v>26072710005569qoMepCZ1K</v>
      </c>
      <c r="B110">
        <f>IF($A110="","",COUNTIF('TMP Paste'!$B$2:$B110,"?*"))</f>
        <v>52</v>
      </c>
      <c r="C110">
        <f>IF($A110="","",IFERROR('TMP Paste'!$M110*1,0))</f>
        <v>1</v>
      </c>
      <c r="D110">
        <f>IF($A110="","",SUMIF($B$2:$B110,$B110,$C$2:$C110))</f>
        <v>1</v>
      </c>
      <c r="E110">
        <f>IF($A110="",0,IF('TMP Paste'!$B110="",0,1))</f>
        <v>1</v>
      </c>
      <c r="F110" t="str">
        <f t="shared" si="5"/>
        <v>26072710005569qoMepCZ1K-01</v>
      </c>
      <c r="G110" t="str">
        <f t="shared" si="6"/>
        <v>26072710005569qoMepCZ1K-01</v>
      </c>
      <c r="H110" t="str">
        <f t="shared" si="7"/>
        <v>26072710005569qoMepCZ1K (1)</v>
      </c>
      <c r="I110" t="str">
        <f t="shared" si="8"/>
        <v>26072710005569qoMepCZ1K (1)</v>
      </c>
      <c r="J110">
        <f t="shared" si="9"/>
        <v>52</v>
      </c>
      <c r="K110" t="str">
        <f>IF($A110="","",IF(COUNTIF($B$2:$B110,$B110)=COUNTIF($B$2:$B$1601,$B110),$B110,""))</f>
        <v/>
      </c>
    </row>
    <row r="111" spans="1:11">
      <c r="A111" t="str">
        <f>IF('TMP Paste'!$E111="","",'TMP Paste'!$E111)</f>
        <v>26072710415979BLVpGgsq3</v>
      </c>
      <c r="B111">
        <f>IF($A111="","",COUNTIF('TMP Paste'!$B$2:$B111,"?*"))</f>
        <v>52</v>
      </c>
      <c r="C111">
        <f>IF($A111="","",IFERROR('TMP Paste'!$M111*1,0))</f>
        <v>1</v>
      </c>
      <c r="D111">
        <f>IF($A111="","",SUMIF($B$2:$B111,$B111,$C$2:$C111))</f>
        <v>2</v>
      </c>
      <c r="E111">
        <f>IF($A111="",0,IF('TMP Paste'!$B111="",0,1))</f>
        <v>0</v>
      </c>
      <c r="F111" t="str">
        <f t="shared" si="5"/>
        <v>26072710415979BLVpGgsq3-02</v>
      </c>
      <c r="G111" t="str">
        <f t="shared" si="6"/>
        <v>26072710005569qoMepCZ1K-01, 26072710415979BLVpGgsq3-02</v>
      </c>
      <c r="H111" t="str">
        <f t="shared" si="7"/>
        <v>26072710415979BLVpGgsq3 (1)</v>
      </c>
      <c r="I111" t="str">
        <f t="shared" si="8"/>
        <v>26072710005569qoMepCZ1K (1), 26072710415979BLVpGgsq3 (1)</v>
      </c>
      <c r="J111" t="str">
        <f t="shared" si="9"/>
        <v/>
      </c>
      <c r="K111">
        <f>IF($A111="","",IF(COUNTIF($B$2:$B111,$B111)=COUNTIF($B$2:$B$1601,$B111),$B111,""))</f>
        <v>52</v>
      </c>
    </row>
    <row r="112" spans="1:11">
      <c r="A112" t="str">
        <f>IF('TMP Paste'!$E112="","",'TMP Paste'!$E112)</f>
        <v>26072803283505cI8I77fXXj</v>
      </c>
      <c r="B112">
        <f>IF($A112="","",COUNTIF('TMP Paste'!$B$2:$B112,"?*"))</f>
        <v>53</v>
      </c>
      <c r="C112">
        <f>IF($A112="","",IFERROR('TMP Paste'!$M112*1,0))</f>
        <v>1</v>
      </c>
      <c r="D112">
        <f>IF($A112="","",SUMIF($B$2:$B112,$B112,$C$2:$C112))</f>
        <v>1</v>
      </c>
      <c r="E112">
        <f>IF($A112="",0,IF('TMP Paste'!$B112="",0,1))</f>
        <v>1</v>
      </c>
      <c r="F112" t="str">
        <f t="shared" si="5"/>
        <v>26072803283505cI8I77fXXj-01</v>
      </c>
      <c r="G112" t="str">
        <f t="shared" si="6"/>
        <v>26072803283505cI8I77fXXj-01</v>
      </c>
      <c r="H112" t="str">
        <f t="shared" si="7"/>
        <v>26072803283505cI8I77fXXj (1)</v>
      </c>
      <c r="I112" t="str">
        <f t="shared" si="8"/>
        <v>26072803283505cI8I77fXXj (1)</v>
      </c>
      <c r="J112">
        <f t="shared" si="9"/>
        <v>53</v>
      </c>
      <c r="K112" t="str">
        <f>IF($A112="","",IF(COUNTIF($B$2:$B112,$B112)=COUNTIF($B$2:$B$1601,$B112),$B112,""))</f>
        <v/>
      </c>
    </row>
    <row r="113" spans="1:11">
      <c r="A113" t="str">
        <f>IF('TMP Paste'!$E113="","",'TMP Paste'!$E113)</f>
        <v>26072803283505IrS9O5GP4</v>
      </c>
      <c r="B113">
        <f>IF($A113="","",COUNTIF('TMP Paste'!$B$2:$B113,"?*"))</f>
        <v>53</v>
      </c>
      <c r="C113">
        <f>IF($A113="","",IFERROR('TMP Paste'!$M113*1,0))</f>
        <v>1</v>
      </c>
      <c r="D113">
        <f>IF($A113="","",SUMIF($B$2:$B113,$B113,$C$2:$C113))</f>
        <v>2</v>
      </c>
      <c r="E113">
        <f>IF($A113="",0,IF('TMP Paste'!$B113="",0,1))</f>
        <v>0</v>
      </c>
      <c r="F113" t="str">
        <f t="shared" si="5"/>
        <v>26072803283505IrS9O5GP4-02</v>
      </c>
      <c r="G113" t="str">
        <f t="shared" si="6"/>
        <v>26072803283505cI8I77fXXj-01, 26072803283505IrS9O5GP4-02</v>
      </c>
      <c r="H113" t="str">
        <f t="shared" si="7"/>
        <v>26072803283505IrS9O5GP4 (1)</v>
      </c>
      <c r="I113" t="str">
        <f t="shared" si="8"/>
        <v>26072803283505cI8I77fXXj (1), 26072803283505IrS9O5GP4 (1)</v>
      </c>
      <c r="J113" t="str">
        <f t="shared" si="9"/>
        <v/>
      </c>
      <c r="K113" t="str">
        <f>IF($A113="","",IF(COUNTIF($B$2:$B113,$B113)=COUNTIF($B$2:$B$1601,$B113),$B113,""))</f>
        <v/>
      </c>
    </row>
    <row r="114" spans="1:11">
      <c r="A114" t="str">
        <f>IF('TMP Paste'!$E114="","",'TMP Paste'!$E114)</f>
        <v>26072803283505rckWTaHni</v>
      </c>
      <c r="B114">
        <f>IF($A114="","",COUNTIF('TMP Paste'!$B$2:$B114,"?*"))</f>
        <v>53</v>
      </c>
      <c r="C114">
        <f>IF($A114="","",IFERROR('TMP Paste'!$M114*1,0))</f>
        <v>1</v>
      </c>
      <c r="D114">
        <f>IF($A114="","",SUMIF($B$2:$B114,$B114,$C$2:$C114))</f>
        <v>3</v>
      </c>
      <c r="E114">
        <f>IF($A114="",0,IF('TMP Paste'!$B114="",0,1))</f>
        <v>0</v>
      </c>
      <c r="F114" t="str">
        <f t="shared" si="5"/>
        <v>26072803283505rckWTaHni-03</v>
      </c>
      <c r="G114" t="str">
        <f t="shared" si="6"/>
        <v>26072803283505cI8I77fXXj-01, 26072803283505IrS9O5GP4-02, 26072803283505rckWTaHni-03</v>
      </c>
      <c r="H114" t="str">
        <f t="shared" si="7"/>
        <v>26072803283505rckWTaHni (1)</v>
      </c>
      <c r="I114" t="str">
        <f t="shared" si="8"/>
        <v>26072803283505cI8I77fXXj (1), 26072803283505IrS9O5GP4 (1), 26072803283505rckWTaHni (1)</v>
      </c>
      <c r="J114" t="str">
        <f t="shared" si="9"/>
        <v/>
      </c>
      <c r="K114" t="str">
        <f>IF($A114="","",IF(COUNTIF($B$2:$B114,$B114)=COUNTIF($B$2:$B$1601,$B114),$B114,""))</f>
        <v/>
      </c>
    </row>
    <row r="115" spans="1:11">
      <c r="A115" t="str">
        <f>IF('TMP Paste'!$E115="","",'TMP Paste'!$E115)</f>
        <v>26072803574432jW7lwvjk5</v>
      </c>
      <c r="B115">
        <f>IF($A115="","",COUNTIF('TMP Paste'!$B$2:$B115,"?*"))</f>
        <v>53</v>
      </c>
      <c r="C115">
        <f>IF($A115="","",IFERROR('TMP Paste'!$M115*1,0))</f>
        <v>1</v>
      </c>
      <c r="D115">
        <f>IF($A115="","",SUMIF($B$2:$B115,$B115,$C$2:$C115))</f>
        <v>4</v>
      </c>
      <c r="E115">
        <f>IF($A115="",0,IF('TMP Paste'!$B115="",0,1))</f>
        <v>0</v>
      </c>
      <c r="F115" t="str">
        <f t="shared" si="5"/>
        <v>26072803574432jW7lwvjk5-04</v>
      </c>
      <c r="G115" t="str">
        <f t="shared" si="6"/>
        <v>26072803283505cI8I77fXXj-01, 26072803283505IrS9O5GP4-02, 26072803283505rckWTaHni-03, 26072803574432jW7lwvjk5-04</v>
      </c>
      <c r="H115" t="str">
        <f t="shared" si="7"/>
        <v>26072803574432jW7lwvjk5 (1)</v>
      </c>
      <c r="I115" t="str">
        <f t="shared" si="8"/>
        <v>26072803283505cI8I77fXXj (1), 26072803283505IrS9O5GP4 (1), 26072803283505rckWTaHni (1), 26072803574432jW7lwvjk5 (1)</v>
      </c>
      <c r="J115" t="str">
        <f t="shared" si="9"/>
        <v/>
      </c>
      <c r="K115">
        <f>IF($A115="","",IF(COUNTIF($B$2:$B115,$B115)=COUNTIF($B$2:$B$1601,$B115),$B115,""))</f>
        <v>53</v>
      </c>
    </row>
    <row r="116" spans="1:11">
      <c r="A116" t="str">
        <f>IF('TMP Paste'!$E116="","",'TMP Paste'!$E116)</f>
        <v>26072710133904pNcuq6ld</v>
      </c>
      <c r="B116">
        <f>IF($A116="","",COUNTIF('TMP Paste'!$B$2:$B116,"?*"))</f>
        <v>54</v>
      </c>
      <c r="C116">
        <f>IF($A116="","",IFERROR('TMP Paste'!$M116*1,0))</f>
        <v>1</v>
      </c>
      <c r="D116">
        <f>IF($A116="","",SUMIF($B$2:$B116,$B116,$C$2:$C116))</f>
        <v>1</v>
      </c>
      <c r="E116">
        <f>IF($A116="",0,IF('TMP Paste'!$B116="",0,1))</f>
        <v>1</v>
      </c>
      <c r="F116" t="str">
        <f t="shared" si="5"/>
        <v>26072710133904pNcuq6ld-01</v>
      </c>
      <c r="G116" t="str">
        <f t="shared" si="6"/>
        <v>26072710133904pNcuq6ld-01</v>
      </c>
      <c r="H116" t="str">
        <f t="shared" si="7"/>
        <v>26072710133904pNcuq6ld (1)</v>
      </c>
      <c r="I116" t="str">
        <f t="shared" si="8"/>
        <v>26072710133904pNcuq6ld (1)</v>
      </c>
      <c r="J116">
        <f t="shared" si="9"/>
        <v>54</v>
      </c>
      <c r="K116" t="str">
        <f>IF($A116="","",IF(COUNTIF($B$2:$B116,$B116)=COUNTIF($B$2:$B$1601,$B116),$B116,""))</f>
        <v/>
      </c>
    </row>
    <row r="117" spans="1:11">
      <c r="A117" t="str">
        <f>IF('TMP Paste'!$E117="","",'TMP Paste'!$E117)</f>
        <v>2607271013390590AlcCl43l</v>
      </c>
      <c r="B117">
        <f>IF($A117="","",COUNTIF('TMP Paste'!$B$2:$B117,"?*"))</f>
        <v>54</v>
      </c>
      <c r="C117">
        <f>IF($A117="","",IFERROR('TMP Paste'!$M117*1,0))</f>
        <v>1</v>
      </c>
      <c r="D117">
        <f>IF($A117="","",SUMIF($B$2:$B117,$B117,$C$2:$C117))</f>
        <v>2</v>
      </c>
      <c r="E117">
        <f>IF($A117="",0,IF('TMP Paste'!$B117="",0,1))</f>
        <v>0</v>
      </c>
      <c r="F117" t="str">
        <f t="shared" si="5"/>
        <v>2607271013390590AlcCl43l-02</v>
      </c>
      <c r="G117" t="str">
        <f t="shared" si="6"/>
        <v>26072710133904pNcuq6ld-01, 2607271013390590AlcCl43l-02</v>
      </c>
      <c r="H117" t="str">
        <f t="shared" si="7"/>
        <v>2607271013390590AlcCl43l (1)</v>
      </c>
      <c r="I117" t="str">
        <f t="shared" si="8"/>
        <v>26072710133904pNcuq6ld (1), 2607271013390590AlcCl43l (1)</v>
      </c>
      <c r="J117" t="str">
        <f t="shared" si="9"/>
        <v/>
      </c>
      <c r="K117">
        <f>IF($A117="","",IF(COUNTIF($B$2:$B117,$B117)=COUNTIF($B$2:$B$1601,$B117),$B117,""))</f>
        <v>54</v>
      </c>
    </row>
    <row r="118" spans="1:11">
      <c r="A118" t="str">
        <f>IF('TMP Paste'!$E118="","",'TMP Paste'!$E118)</f>
        <v>26072702572626NtbbW1wOJ</v>
      </c>
      <c r="B118">
        <f>IF($A118="","",COUNTIF('TMP Paste'!$B$2:$B118,"?*"))</f>
        <v>55</v>
      </c>
      <c r="C118">
        <f>IF($A118="","",IFERROR('TMP Paste'!$M118*1,0))</f>
        <v>1</v>
      </c>
      <c r="D118">
        <f>IF($A118="","",SUMIF($B$2:$B118,$B118,$C$2:$C118))</f>
        <v>1</v>
      </c>
      <c r="E118">
        <f>IF($A118="",0,IF('TMP Paste'!$B118="",0,1))</f>
        <v>1</v>
      </c>
      <c r="F118" t="str">
        <f t="shared" si="5"/>
        <v>26072702572626NtbbW1wOJ-01</v>
      </c>
      <c r="G118" t="str">
        <f t="shared" si="6"/>
        <v>26072702572626NtbbW1wOJ-01</v>
      </c>
      <c r="H118" t="str">
        <f t="shared" si="7"/>
        <v>26072702572626NtbbW1wOJ (1)</v>
      </c>
      <c r="I118" t="str">
        <f t="shared" si="8"/>
        <v>26072702572626NtbbW1wOJ (1)</v>
      </c>
      <c r="J118">
        <f t="shared" si="9"/>
        <v>55</v>
      </c>
      <c r="K118" t="str">
        <f>IF($A118="","",IF(COUNTIF($B$2:$B118,$B118)=COUNTIF($B$2:$B$1601,$B118),$B118,""))</f>
        <v/>
      </c>
    </row>
    <row r="119" spans="1:11">
      <c r="A119" t="str">
        <f>IF('TMP Paste'!$E119="","",'TMP Paste'!$E119)</f>
        <v>26072705573895qVOjd2FOO</v>
      </c>
      <c r="B119">
        <f>IF($A119="","",COUNTIF('TMP Paste'!$B$2:$B119,"?*"))</f>
        <v>55</v>
      </c>
      <c r="C119">
        <f>IF($A119="","",IFERROR('TMP Paste'!$M119*1,0))</f>
        <v>1</v>
      </c>
      <c r="D119">
        <f>IF($A119="","",SUMIF($B$2:$B119,$B119,$C$2:$C119))</f>
        <v>2</v>
      </c>
      <c r="E119">
        <f>IF($A119="",0,IF('TMP Paste'!$B119="",0,1))</f>
        <v>0</v>
      </c>
      <c r="F119" t="str">
        <f t="shared" si="5"/>
        <v>26072705573895qVOjd2FOO-02</v>
      </c>
      <c r="G119" t="str">
        <f t="shared" si="6"/>
        <v>26072702572626NtbbW1wOJ-01, 26072705573895qVOjd2FOO-02</v>
      </c>
      <c r="H119" t="str">
        <f t="shared" si="7"/>
        <v>26072705573895qVOjd2FOO (1)</v>
      </c>
      <c r="I119" t="str">
        <f t="shared" si="8"/>
        <v>26072702572626NtbbW1wOJ (1), 26072705573895qVOjd2FOO (1)</v>
      </c>
      <c r="J119" t="str">
        <f t="shared" si="9"/>
        <v/>
      </c>
      <c r="K119" t="str">
        <f>IF($A119="","",IF(COUNTIF($B$2:$B119,$B119)=COUNTIF($B$2:$B$1601,$B119),$B119,""))</f>
        <v/>
      </c>
    </row>
    <row r="120" spans="1:11">
      <c r="A120" t="str">
        <f>IF('TMP Paste'!$E120="","",'TMP Paste'!$E120)</f>
        <v>26072803404163RnXrEhtGw</v>
      </c>
      <c r="B120">
        <f>IF($A120="","",COUNTIF('TMP Paste'!$B$2:$B120,"?*"))</f>
        <v>55</v>
      </c>
      <c r="C120">
        <f>IF($A120="","",IFERROR('TMP Paste'!$M120*1,0))</f>
        <v>1</v>
      </c>
      <c r="D120">
        <f>IF($A120="","",SUMIF($B$2:$B120,$B120,$C$2:$C120))</f>
        <v>3</v>
      </c>
      <c r="E120">
        <f>IF($A120="",0,IF('TMP Paste'!$B120="",0,1))</f>
        <v>0</v>
      </c>
      <c r="F120" t="str">
        <f t="shared" si="5"/>
        <v>26072803404163RnXrEhtGw-03</v>
      </c>
      <c r="G120" t="str">
        <f t="shared" si="6"/>
        <v>26072702572626NtbbW1wOJ-01, 26072705573895qVOjd2FOO-02, 26072803404163RnXrEhtGw-03</v>
      </c>
      <c r="H120" t="str">
        <f t="shared" si="7"/>
        <v>26072803404163RnXrEhtGw (1)</v>
      </c>
      <c r="I120" t="str">
        <f t="shared" si="8"/>
        <v>26072702572626NtbbW1wOJ (1), 26072705573895qVOjd2FOO (1), 26072803404163RnXrEhtGw (1)</v>
      </c>
      <c r="J120" t="str">
        <f t="shared" si="9"/>
        <v/>
      </c>
      <c r="K120">
        <f>IF($A120="","",IF(COUNTIF($B$2:$B120,$B120)=COUNTIF($B$2:$B$1601,$B120),$B120,""))</f>
        <v>55</v>
      </c>
    </row>
    <row r="121" spans="1:11">
      <c r="A121" t="str">
        <f>IF('TMP Paste'!$E121="","",'TMP Paste'!$E121)</f>
        <v>260727124440934EgupLab9c</v>
      </c>
      <c r="B121">
        <f>IF($A121="","",COUNTIF('TMP Paste'!$B$2:$B121,"?*"))</f>
        <v>56</v>
      </c>
      <c r="C121">
        <f>IF($A121="","",IFERROR('TMP Paste'!$M121*1,0))</f>
        <v>1</v>
      </c>
      <c r="D121">
        <f>IF($A121="","",SUMIF($B$2:$B121,$B121,$C$2:$C121))</f>
        <v>1</v>
      </c>
      <c r="E121">
        <f>IF($A121="",0,IF('TMP Paste'!$B121="",0,1))</f>
        <v>1</v>
      </c>
      <c r="F121" t="str">
        <f t="shared" si="5"/>
        <v>260727124440934EgupLab9c-01</v>
      </c>
      <c r="G121" t="str">
        <f t="shared" si="6"/>
        <v>260727124440934EgupLab9c-01</v>
      </c>
      <c r="H121" t="str">
        <f t="shared" si="7"/>
        <v>260727124440934EgupLab9c (1)</v>
      </c>
      <c r="I121" t="str">
        <f t="shared" si="8"/>
        <v>260727124440934EgupLab9c (1)</v>
      </c>
      <c r="J121">
        <f t="shared" si="9"/>
        <v>56</v>
      </c>
      <c r="K121" t="str">
        <f>IF($A121="","",IF(COUNTIF($B$2:$B121,$B121)=COUNTIF($B$2:$B$1601,$B121),$B121,""))</f>
        <v/>
      </c>
    </row>
    <row r="122" spans="1:11">
      <c r="A122" t="str">
        <f>IF('TMP Paste'!$E122="","",'TMP Paste'!$E122)</f>
        <v>26072712444093IXHKlo2Ay</v>
      </c>
      <c r="B122">
        <f>IF($A122="","",COUNTIF('TMP Paste'!$B$2:$B122,"?*"))</f>
        <v>56</v>
      </c>
      <c r="C122">
        <f>IF($A122="","",IFERROR('TMP Paste'!$M122*1,0))</f>
        <v>1</v>
      </c>
      <c r="D122">
        <f>IF($A122="","",SUMIF($B$2:$B122,$B122,$C$2:$C122))</f>
        <v>2</v>
      </c>
      <c r="E122">
        <f>IF($A122="",0,IF('TMP Paste'!$B122="",0,1))</f>
        <v>0</v>
      </c>
      <c r="F122" t="str">
        <f t="shared" si="5"/>
        <v>26072712444093IXHKlo2Ay-02</v>
      </c>
      <c r="G122" t="str">
        <f t="shared" si="6"/>
        <v>260727124440934EgupLab9c-01, 26072712444093IXHKlo2Ay-02</v>
      </c>
      <c r="H122" t="str">
        <f t="shared" si="7"/>
        <v>26072712444093IXHKlo2Ay (1)</v>
      </c>
      <c r="I122" t="str">
        <f t="shared" si="8"/>
        <v>260727124440934EgupLab9c (1), 26072712444093IXHKlo2Ay (1)</v>
      </c>
      <c r="J122" t="str">
        <f t="shared" si="9"/>
        <v/>
      </c>
      <c r="K122" t="str">
        <f>IF($A122="","",IF(COUNTIF($B$2:$B122,$B122)=COUNTIF($B$2:$B$1601,$B122),$B122,""))</f>
        <v/>
      </c>
    </row>
    <row r="123" spans="1:11">
      <c r="A123" t="str">
        <f>IF('TMP Paste'!$E123="","",'TMP Paste'!$E123)</f>
        <v>260727125219212MMDlZOLc</v>
      </c>
      <c r="B123">
        <f>IF($A123="","",COUNTIF('TMP Paste'!$B$2:$B123,"?*"))</f>
        <v>56</v>
      </c>
      <c r="C123">
        <f>IF($A123="","",IFERROR('TMP Paste'!$M123*1,0))</f>
        <v>1</v>
      </c>
      <c r="D123">
        <f>IF($A123="","",SUMIF($B$2:$B123,$B123,$C$2:$C123))</f>
        <v>3</v>
      </c>
      <c r="E123">
        <f>IF($A123="",0,IF('TMP Paste'!$B123="",0,1))</f>
        <v>0</v>
      </c>
      <c r="F123" t="str">
        <f t="shared" si="5"/>
        <v>260727125219212MMDlZOLc-03</v>
      </c>
      <c r="G123" t="str">
        <f t="shared" si="6"/>
        <v>260727124440934EgupLab9c-01, 26072712444093IXHKlo2Ay-02, 260727125219212MMDlZOLc-03</v>
      </c>
      <c r="H123" t="str">
        <f t="shared" si="7"/>
        <v>260727125219212MMDlZOLc (1)</v>
      </c>
      <c r="I123" t="str">
        <f t="shared" si="8"/>
        <v>260727124440934EgupLab9c (1), 26072712444093IXHKlo2Ay (1), 260727125219212MMDlZOLc (1)</v>
      </c>
      <c r="J123" t="str">
        <f t="shared" si="9"/>
        <v/>
      </c>
      <c r="K123" t="str">
        <f>IF($A123="","",IF(COUNTIF($B$2:$B123,$B123)=COUNTIF($B$2:$B$1601,$B123),$B123,""))</f>
        <v/>
      </c>
    </row>
    <row r="124" spans="1:11">
      <c r="A124" t="str">
        <f>IF('TMP Paste'!$E124="","",'TMP Paste'!$E124)</f>
        <v>260728023522615z7OLNzk1S</v>
      </c>
      <c r="B124">
        <f>IF($A124="","",COUNTIF('TMP Paste'!$B$2:$B124,"?*"))</f>
        <v>56</v>
      </c>
      <c r="C124">
        <f>IF($A124="","",IFERROR('TMP Paste'!$M124*1,0))</f>
        <v>1</v>
      </c>
      <c r="D124">
        <f>IF($A124="","",SUMIF($B$2:$B124,$B124,$C$2:$C124))</f>
        <v>4</v>
      </c>
      <c r="E124">
        <f>IF($A124="",0,IF('TMP Paste'!$B124="",0,1))</f>
        <v>0</v>
      </c>
      <c r="F124" t="str">
        <f t="shared" si="5"/>
        <v>260728023522615z7OLNzk1S-04</v>
      </c>
      <c r="G124" t="str">
        <f t="shared" si="6"/>
        <v>260727124440934EgupLab9c-01, 26072712444093IXHKlo2Ay-02, 260727125219212MMDlZOLc-03, 260728023522615z7OLNzk1S-04</v>
      </c>
      <c r="H124" t="str">
        <f t="shared" si="7"/>
        <v>260728023522615z7OLNzk1S (1)</v>
      </c>
      <c r="I124" t="str">
        <f t="shared" si="8"/>
        <v>260727124440934EgupLab9c (1), 26072712444093IXHKlo2Ay (1), 260727125219212MMDlZOLc (1), 260728023522615z7OLNzk1S (1)</v>
      </c>
      <c r="J124" t="str">
        <f t="shared" si="9"/>
        <v/>
      </c>
      <c r="K124" t="str">
        <f>IF($A124="","",IF(COUNTIF($B$2:$B124,$B124)=COUNTIF($B$2:$B$1601,$B124),$B124,""))</f>
        <v/>
      </c>
    </row>
    <row r="125" spans="1:11">
      <c r="A125" t="str">
        <f>IF('TMP Paste'!$E125="","",'TMP Paste'!$E125)</f>
        <v>26072802352261CPB3TVO4E</v>
      </c>
      <c r="B125">
        <f>IF($A125="","",COUNTIF('TMP Paste'!$B$2:$B125,"?*"))</f>
        <v>56</v>
      </c>
      <c r="C125">
        <f>IF($A125="","",IFERROR('TMP Paste'!$M125*1,0))</f>
        <v>1</v>
      </c>
      <c r="D125">
        <f>IF($A125="","",SUMIF($B$2:$B125,$B125,$C$2:$C125))</f>
        <v>5</v>
      </c>
      <c r="E125">
        <f>IF($A125="",0,IF('TMP Paste'!$B125="",0,1))</f>
        <v>0</v>
      </c>
      <c r="F125" t="str">
        <f t="shared" si="5"/>
        <v>26072802352261CPB3TVO4E-05</v>
      </c>
      <c r="G125" t="str">
        <f t="shared" si="6"/>
        <v>260727124440934EgupLab9c-01, 26072712444093IXHKlo2Ay-02, 260727125219212MMDlZOLc-03, 260728023522615z7OLNzk1S-04, 26072802352261CPB3TVO4E-05</v>
      </c>
      <c r="H125" t="str">
        <f t="shared" si="7"/>
        <v>26072802352261CPB3TVO4E (1)</v>
      </c>
      <c r="I125" t="str">
        <f t="shared" si="8"/>
        <v>260727124440934EgupLab9c (1), 26072712444093IXHKlo2Ay (1), 260727125219212MMDlZOLc (1), 260728023522615z7OLNzk1S (1), 26072802352261CPB3TVO4E (1)</v>
      </c>
      <c r="J125" t="str">
        <f t="shared" si="9"/>
        <v/>
      </c>
      <c r="K125" t="str">
        <f>IF($A125="","",IF(COUNTIF($B$2:$B125,$B125)=COUNTIF($B$2:$B$1601,$B125),$B125,""))</f>
        <v/>
      </c>
    </row>
    <row r="126" spans="1:11">
      <c r="A126" t="str">
        <f>IF('TMP Paste'!$E126="","",'TMP Paste'!$E126)</f>
        <v>26072802352261HUwl3S7E3E</v>
      </c>
      <c r="B126">
        <f>IF($A126="","",COUNTIF('TMP Paste'!$B$2:$B126,"?*"))</f>
        <v>56</v>
      </c>
      <c r="C126">
        <f>IF($A126="","",IFERROR('TMP Paste'!$M126*1,0))</f>
        <v>1</v>
      </c>
      <c r="D126">
        <f>IF($A126="","",SUMIF($B$2:$B126,$B126,$C$2:$C126))</f>
        <v>6</v>
      </c>
      <c r="E126">
        <f>IF($A126="",0,IF('TMP Paste'!$B126="",0,1))</f>
        <v>0</v>
      </c>
      <c r="F126" t="str">
        <f t="shared" si="5"/>
        <v>26072802352261HUwl3S7E3E-06</v>
      </c>
      <c r="G126" t="str">
        <f t="shared" si="6"/>
        <v>260727124440934EgupLab9c-01, 26072712444093IXHKlo2Ay-02, 260727125219212MMDlZOLc-03, 260728023522615z7OLNzk1S-04, 26072802352261CPB3TVO4E-05, 26072802352261HUwl3S7E3E-06</v>
      </c>
      <c r="H126" t="str">
        <f t="shared" si="7"/>
        <v>26072802352261HUwl3S7E3E (1)</v>
      </c>
      <c r="I126" t="str">
        <f t="shared" si="8"/>
        <v>260727124440934EgupLab9c (1), 26072712444093IXHKlo2Ay (1), 260727125219212MMDlZOLc (1), 260728023522615z7OLNzk1S (1), 26072802352261CPB3TVO4E (1), 26072802352261HUwl3S7E3E (1)</v>
      </c>
      <c r="J126" t="str">
        <f t="shared" si="9"/>
        <v/>
      </c>
      <c r="K126" t="str">
        <f>IF($A126="","",IF(COUNTIF($B$2:$B126,$B126)=COUNTIF($B$2:$B$1601,$B126),$B126,""))</f>
        <v/>
      </c>
    </row>
    <row r="127" spans="1:11">
      <c r="A127" t="str">
        <f>IF('TMP Paste'!$E127="","",'TMP Paste'!$E127)</f>
        <v>26072802523653PAwWASWwN</v>
      </c>
      <c r="B127">
        <f>IF($A127="","",COUNTIF('TMP Paste'!$B$2:$B127,"?*"))</f>
        <v>56</v>
      </c>
      <c r="C127">
        <f>IF($A127="","",IFERROR('TMP Paste'!$M127*1,0))</f>
        <v>1</v>
      </c>
      <c r="D127">
        <f>IF($A127="","",SUMIF($B$2:$B127,$B127,$C$2:$C127))</f>
        <v>7</v>
      </c>
      <c r="E127">
        <f>IF($A127="",0,IF('TMP Paste'!$B127="",0,1))</f>
        <v>0</v>
      </c>
      <c r="F127" t="str">
        <f t="shared" si="5"/>
        <v>26072802523653PAwWASWwN-07</v>
      </c>
      <c r="G127" t="str">
        <f t="shared" si="6"/>
        <v>260727124440934EgupLab9c-01, 26072712444093IXHKlo2Ay-02, 260727125219212MMDlZOLc-03, 260728023522615z7OLNzk1S-04, 26072802352261CPB3TVO4E-05, 26072802352261HUwl3S7E3E-06, 26072802523653PAwWASWwN-07</v>
      </c>
      <c r="H127" t="str">
        <f t="shared" si="7"/>
        <v>26072802523653PAwWASWwN (1)</v>
      </c>
      <c r="I127" t="str">
        <f t="shared" si="8"/>
        <v>260727124440934EgupLab9c (1), 26072712444093IXHKlo2Ay (1), 260727125219212MMDlZOLc (1), 260728023522615z7OLNzk1S (1), 26072802352261CPB3TVO4E (1), 26072802352261HUwl3S7E3E (1), 26072802523653PAwWASWwN (1)</v>
      </c>
      <c r="J127" t="str">
        <f t="shared" si="9"/>
        <v/>
      </c>
      <c r="K127">
        <f>IF($A127="","",IF(COUNTIF($B$2:$B127,$B127)=COUNTIF($B$2:$B$1601,$B127),$B127,""))</f>
        <v>56</v>
      </c>
    </row>
    <row r="128" spans="1:11">
      <c r="A128" t="str">
        <f>IF('TMP Paste'!$E128="","",'TMP Paste'!$E128)</f>
        <v>26072801495840egbfgBSpN</v>
      </c>
      <c r="B128">
        <f>IF($A128="","",COUNTIF('TMP Paste'!$B$2:$B128,"?*"))</f>
        <v>57</v>
      </c>
      <c r="C128">
        <f>IF($A128="","",IFERROR('TMP Paste'!$M128*1,0))</f>
        <v>1</v>
      </c>
      <c r="D128">
        <f>IF($A128="","",SUMIF($B$2:$B128,$B128,$C$2:$C128))</f>
        <v>1</v>
      </c>
      <c r="E128">
        <f>IF($A128="",0,IF('TMP Paste'!$B128="",0,1))</f>
        <v>1</v>
      </c>
      <c r="F128" t="str">
        <f t="shared" si="5"/>
        <v>26072801495840egbfgBSpN-01</v>
      </c>
      <c r="G128" t="str">
        <f t="shared" si="6"/>
        <v>26072801495840egbfgBSpN-01</v>
      </c>
      <c r="H128" t="str">
        <f t="shared" si="7"/>
        <v>26072801495840egbfgBSpN (1)</v>
      </c>
      <c r="I128" t="str">
        <f t="shared" si="8"/>
        <v>26072801495840egbfgBSpN (1)</v>
      </c>
      <c r="J128">
        <f t="shared" si="9"/>
        <v>57</v>
      </c>
      <c r="K128" t="str">
        <f>IF($A128="","",IF(COUNTIF($B$2:$B128,$B128)=COUNTIF($B$2:$B$1601,$B128),$B128,""))</f>
        <v/>
      </c>
    </row>
    <row r="129" spans="1:11">
      <c r="A129" t="str">
        <f>IF('TMP Paste'!$E129="","",'TMP Paste'!$E129)</f>
        <v>26072801495840hpcPzgh98a</v>
      </c>
      <c r="B129">
        <f>IF($A129="","",COUNTIF('TMP Paste'!$B$2:$B129,"?*"))</f>
        <v>57</v>
      </c>
      <c r="C129">
        <f>IF($A129="","",IFERROR('TMP Paste'!$M129*1,0))</f>
        <v>2</v>
      </c>
      <c r="D129">
        <f>IF($A129="","",SUMIF($B$2:$B129,$B129,$C$2:$C129))</f>
        <v>3</v>
      </c>
      <c r="E129">
        <f>IF($A129="",0,IF('TMP Paste'!$B129="",0,1))</f>
        <v>0</v>
      </c>
      <c r="F129" t="str">
        <f t="shared" si="5"/>
        <v>26072801495840hpcPzgh98a-02, 26072801495840hpcPzgh98a-03</v>
      </c>
      <c r="G129" t="str">
        <f t="shared" si="6"/>
        <v>26072801495840egbfgBSpN-01, 26072801495840hpcPzgh98a-02, 26072801495840hpcPzgh98a-03</v>
      </c>
      <c r="H129" t="str">
        <f t="shared" si="7"/>
        <v>26072801495840hpcPzgh98a (2)</v>
      </c>
      <c r="I129" t="str">
        <f t="shared" si="8"/>
        <v>26072801495840egbfgBSpN (1), 26072801495840hpcPzgh98a (2)</v>
      </c>
      <c r="J129" t="str">
        <f t="shared" si="9"/>
        <v/>
      </c>
      <c r="K129" t="str">
        <f>IF($A129="","",IF(COUNTIF($B$2:$B129,$B129)=COUNTIF($B$2:$B$1601,$B129),$B129,""))</f>
        <v/>
      </c>
    </row>
    <row r="130" spans="1:11">
      <c r="A130" t="str">
        <f>IF('TMP Paste'!$E130="","",'TMP Paste'!$E130)</f>
        <v>26072802320160NKV2NFv2Bd</v>
      </c>
      <c r="B130">
        <f>IF($A130="","",COUNTIF('TMP Paste'!$B$2:$B130,"?*"))</f>
        <v>57</v>
      </c>
      <c r="C130">
        <f>IF($A130="","",IFERROR('TMP Paste'!$M130*1,0))</f>
        <v>1</v>
      </c>
      <c r="D130">
        <f>IF($A130="","",SUMIF($B$2:$B130,$B130,$C$2:$C130))</f>
        <v>4</v>
      </c>
      <c r="E130">
        <f>IF($A130="",0,IF('TMP Paste'!$B130="",0,1))</f>
        <v>0</v>
      </c>
      <c r="F130" t="str">
        <f t="shared" ref="F130:F193" si="10">IF(OR($A130="",$C130&lt;1),"",$A130&amp;"-"&amp;TEXT(($D130-$C130+1),"00")&amp;IF($C130&gt;=2,", "&amp;$A130&amp;"-"&amp;TEXT(($D130-$C130+1)+1,"00"),"")&amp;IF($C130&gt;=3,", "&amp;$A130&amp;"-"&amp;TEXT(($D130-$C130+1)+2,"00"),"")&amp;IF($C130&gt;=4,", "&amp;$A130&amp;"-"&amp;TEXT(($D130-$C130+1)+3,"00"),"")&amp;IF($C130&gt;=5,", "&amp;$A130&amp;"-"&amp;TEXT(($D130-$C130+1)+4,"00"),"")&amp;IF($C130&gt;=6,", "&amp;$A130&amp;"-"&amp;TEXT(($D130-$C130+1)+5,"00"),"")&amp;IF($C130&gt;=7,", "&amp;$A130&amp;"-"&amp;TEXT(($D130-$C130+1)+6,"00"),"")&amp;IF($C130&gt;=8,", "&amp;$A130&amp;"-"&amp;TEXT(($D130-$C130+1)+7,"00"),"")&amp;IF($C130&gt;=9,", "&amp;$A130&amp;"-"&amp;TEXT(($D130-$C130+1)+8,"00"),"")&amp;IF($C130&gt;=10,", "&amp;$A130&amp;"-"&amp;TEXT(($D130-$C130+1)+9,"00"),"")&amp;IF($C130&gt;=11,", "&amp;$A130&amp;"-"&amp;TEXT(($D130-$C130+1)+10,"00"),"")&amp;IF($C130&gt;=12,", "&amp;$A130&amp;"-"&amp;TEXT(($D130-$C130+1)+11,"00"),"")&amp;IF($C130&gt;=13,", "&amp;$A130&amp;"-"&amp;TEXT(($D130-$C130+1)+12,"00"),"")&amp;IF($C130&gt;=14,", "&amp;$A130&amp;"-"&amp;TEXT(($D130-$C130+1)+13,"00"),"")&amp;IF($C130&gt;=15,", "&amp;$A130&amp;"-"&amp;TEXT(($D130-$C130+1)+14,"00"),"")&amp;IF($C130&gt;=16,", "&amp;$A130&amp;"-"&amp;TEXT(($D130-$C130+1)+15,"00"),"")&amp;IF($C130&gt;=17,", "&amp;$A130&amp;"-"&amp;TEXT(($D130-$C130+1)+16,"00"),"")&amp;IF($C130&gt;=18,", "&amp;$A130&amp;"-"&amp;TEXT(($D130-$C130+1)+17,"00"),"")&amp;IF($C130&gt;=19,", "&amp;$A130&amp;"-"&amp;TEXT(($D130-$C130+1)+18,"00"),"")&amp;IF($C130&gt;=20,", "&amp;$A130&amp;"-"&amp;TEXT(($D130-$C130+1)+19,"00"),"")&amp;IF($C130&gt;=21,", "&amp;$A130&amp;"-"&amp;TEXT(($D130-$C130+1)+20,"00"),"")&amp;IF($C130&gt;=22,", "&amp;$A130&amp;"-"&amp;TEXT(($D130-$C130+1)+21,"00"),"")&amp;IF($C130&gt;=23,", "&amp;$A130&amp;"-"&amp;TEXT(($D130-$C130+1)+22,"00"),"")&amp;IF($C130&gt;=24,", "&amp;$A130&amp;"-"&amp;TEXT(($D130-$C130+1)+23,"00"),"")&amp;IF($C130&gt;=25,", "&amp;$A130&amp;"-"&amp;TEXT(($D130-$C130+1)+24,"00"),""))</f>
        <v>26072802320160NKV2NFv2Bd-04</v>
      </c>
      <c r="G130" t="str">
        <f t="shared" ref="G130:G193" si="11">IF($A130="","",IF($E130=1,$F130,IF($F130="",$G129,IF($G129="",$F130,$G129&amp;", "&amp;$F130))))</f>
        <v>26072801495840egbfgBSpN-01, 26072801495840hpcPzgh98a-02, 26072801495840hpcPzgh98a-03, 26072802320160NKV2NFv2Bd-04</v>
      </c>
      <c r="H130" t="str">
        <f t="shared" ref="H130:H193" si="12">IF($A130="","",$A130&amp;" ("&amp;$C130&amp;")")</f>
        <v>26072802320160NKV2NFv2Bd (1)</v>
      </c>
      <c r="I130" t="str">
        <f t="shared" ref="I130:I193" si="13">IF($A130="","",IF($E130=1,$H130,$I129&amp;", "&amp;$H130))</f>
        <v>26072801495840egbfgBSpN (1), 26072801495840hpcPzgh98a (2), 26072802320160NKV2NFv2Bd (1)</v>
      </c>
      <c r="J130" t="str">
        <f t="shared" ref="J130:J193" si="14">IF($A130="","",IF($E130=1,$B130,""))</f>
        <v/>
      </c>
      <c r="K130" t="str">
        <f>IF($A130="","",IF(COUNTIF($B$2:$B130,$B130)=COUNTIF($B$2:$B$1601,$B130),$B130,""))</f>
        <v/>
      </c>
    </row>
    <row r="131" spans="1:11">
      <c r="A131" t="str">
        <f>IF('TMP Paste'!$E131="","",'TMP Paste'!$E131)</f>
        <v>26072802320160vLY5ZF5av</v>
      </c>
      <c r="B131">
        <f>IF($A131="","",COUNTIF('TMP Paste'!$B$2:$B131,"?*"))</f>
        <v>57</v>
      </c>
      <c r="C131">
        <f>IF($A131="","",IFERROR('TMP Paste'!$M131*1,0))</f>
        <v>1</v>
      </c>
      <c r="D131">
        <f>IF($A131="","",SUMIF($B$2:$B131,$B131,$C$2:$C131))</f>
        <v>5</v>
      </c>
      <c r="E131">
        <f>IF($A131="",0,IF('TMP Paste'!$B131="",0,1))</f>
        <v>0</v>
      </c>
      <c r="F131" t="str">
        <f t="shared" si="10"/>
        <v>26072802320160vLY5ZF5av-05</v>
      </c>
      <c r="G131" t="str">
        <f t="shared" si="11"/>
        <v>26072801495840egbfgBSpN-01, 26072801495840hpcPzgh98a-02, 26072801495840hpcPzgh98a-03, 26072802320160NKV2NFv2Bd-04, 26072802320160vLY5ZF5av-05</v>
      </c>
      <c r="H131" t="str">
        <f t="shared" si="12"/>
        <v>26072802320160vLY5ZF5av (1)</v>
      </c>
      <c r="I131" t="str">
        <f t="shared" si="13"/>
        <v>26072801495840egbfgBSpN (1), 26072801495840hpcPzgh98a (2), 26072802320160NKV2NFv2Bd (1), 26072802320160vLY5ZF5av (1)</v>
      </c>
      <c r="J131" t="str">
        <f t="shared" si="14"/>
        <v/>
      </c>
      <c r="K131">
        <f>IF($A131="","",IF(COUNTIF($B$2:$B131,$B131)=COUNTIF($B$2:$B$1601,$B131),$B131,""))</f>
        <v>57</v>
      </c>
    </row>
    <row r="132" spans="1:11">
      <c r="A132" t="str">
        <f>IF('TMP Paste'!$E132="","",'TMP Paste'!$E132)</f>
        <v>26072802550278N34N9hRl</v>
      </c>
      <c r="B132">
        <f>IF($A132="","",COUNTIF('TMP Paste'!$B$2:$B132,"?*"))</f>
        <v>58</v>
      </c>
      <c r="C132">
        <f>IF($A132="","",IFERROR('TMP Paste'!$M132*1,0))</f>
        <v>1</v>
      </c>
      <c r="D132">
        <f>IF($A132="","",SUMIF($B$2:$B132,$B132,$C$2:$C132))</f>
        <v>1</v>
      </c>
      <c r="E132">
        <f>IF($A132="",0,IF('TMP Paste'!$B132="",0,1))</f>
        <v>1</v>
      </c>
      <c r="F132" t="str">
        <f t="shared" si="10"/>
        <v>26072802550278N34N9hRl-01</v>
      </c>
      <c r="G132" t="str">
        <f t="shared" si="11"/>
        <v>26072802550278N34N9hRl-01</v>
      </c>
      <c r="H132" t="str">
        <f t="shared" si="12"/>
        <v>26072802550278N34N9hRl (1)</v>
      </c>
      <c r="I132" t="str">
        <f t="shared" si="13"/>
        <v>26072802550278N34N9hRl (1)</v>
      </c>
      <c r="J132">
        <f t="shared" si="14"/>
        <v>58</v>
      </c>
      <c r="K132" t="str">
        <f>IF($A132="","",IF(COUNTIF($B$2:$B132,$B132)=COUNTIF($B$2:$B$1601,$B132),$B132,""))</f>
        <v/>
      </c>
    </row>
    <row r="133" spans="1:11">
      <c r="A133" t="str">
        <f>IF('TMP Paste'!$E133="","",'TMP Paste'!$E133)</f>
        <v>26072803050134jyd0UwlxE</v>
      </c>
      <c r="B133">
        <f>IF($A133="","",COUNTIF('TMP Paste'!$B$2:$B133,"?*"))</f>
        <v>58</v>
      </c>
      <c r="C133">
        <f>IF($A133="","",IFERROR('TMP Paste'!$M133*1,0))</f>
        <v>1</v>
      </c>
      <c r="D133">
        <f>IF($A133="","",SUMIF($B$2:$B133,$B133,$C$2:$C133))</f>
        <v>2</v>
      </c>
      <c r="E133">
        <f>IF($A133="",0,IF('TMP Paste'!$B133="",0,1))</f>
        <v>0</v>
      </c>
      <c r="F133" t="str">
        <f t="shared" si="10"/>
        <v>26072803050134jyd0UwlxE-02</v>
      </c>
      <c r="G133" t="str">
        <f t="shared" si="11"/>
        <v>26072802550278N34N9hRl-01, 26072803050134jyd0UwlxE-02</v>
      </c>
      <c r="H133" t="str">
        <f t="shared" si="12"/>
        <v>26072803050134jyd0UwlxE (1)</v>
      </c>
      <c r="I133" t="str">
        <f t="shared" si="13"/>
        <v>26072802550278N34N9hRl (1), 26072803050134jyd0UwlxE (1)</v>
      </c>
      <c r="J133" t="str">
        <f t="shared" si="14"/>
        <v/>
      </c>
      <c r="K133" t="str">
        <f>IF($A133="","",IF(COUNTIF($B$2:$B133,$B133)=COUNTIF($B$2:$B$1601,$B133),$B133,""))</f>
        <v/>
      </c>
    </row>
    <row r="134" spans="1:11">
      <c r="A134" t="str">
        <f>IF('TMP Paste'!$E134="","",'TMP Paste'!$E134)</f>
        <v>26072803125570MWzB2f1X</v>
      </c>
      <c r="B134">
        <f>IF($A134="","",COUNTIF('TMP Paste'!$B$2:$B134,"?*"))</f>
        <v>58</v>
      </c>
      <c r="C134">
        <f>IF($A134="","",IFERROR('TMP Paste'!$M134*1,0))</f>
        <v>1</v>
      </c>
      <c r="D134">
        <f>IF($A134="","",SUMIF($B$2:$B134,$B134,$C$2:$C134))</f>
        <v>3</v>
      </c>
      <c r="E134">
        <f>IF($A134="",0,IF('TMP Paste'!$B134="",0,1))</f>
        <v>0</v>
      </c>
      <c r="F134" t="str">
        <f t="shared" si="10"/>
        <v>26072803125570MWzB2f1X-03</v>
      </c>
      <c r="G134" t="str">
        <f t="shared" si="11"/>
        <v>26072802550278N34N9hRl-01, 26072803050134jyd0UwlxE-02, 26072803125570MWzB2f1X-03</v>
      </c>
      <c r="H134" t="str">
        <f t="shared" si="12"/>
        <v>26072803125570MWzB2f1X (1)</v>
      </c>
      <c r="I134" t="str">
        <f t="shared" si="13"/>
        <v>26072802550278N34N9hRl (1), 26072803050134jyd0UwlxE (1), 26072803125570MWzB2f1X (1)</v>
      </c>
      <c r="J134" t="str">
        <f t="shared" si="14"/>
        <v/>
      </c>
      <c r="K134">
        <f>IF($A134="","",IF(COUNTIF($B$2:$B134,$B134)=COUNTIF($B$2:$B$1601,$B134),$B134,""))</f>
        <v>58</v>
      </c>
    </row>
    <row r="135" spans="1:11">
      <c r="A135" t="str">
        <f>IF('TMP Paste'!$E135="","",'TMP Paste'!$E135)</f>
        <v>260728021729684mcZToiip</v>
      </c>
      <c r="B135">
        <f>IF($A135="","",COUNTIF('TMP Paste'!$B$2:$B135,"?*"))</f>
        <v>59</v>
      </c>
      <c r="C135">
        <f>IF($A135="","",IFERROR('TMP Paste'!$M135*1,0))</f>
        <v>1</v>
      </c>
      <c r="D135">
        <f>IF($A135="","",SUMIF($B$2:$B135,$B135,$C$2:$C135))</f>
        <v>1</v>
      </c>
      <c r="E135">
        <f>IF($A135="",0,IF('TMP Paste'!$B135="",0,1))</f>
        <v>1</v>
      </c>
      <c r="F135" t="str">
        <f t="shared" si="10"/>
        <v>260728021729684mcZToiip-01</v>
      </c>
      <c r="G135" t="str">
        <f t="shared" si="11"/>
        <v>260728021729684mcZToiip-01</v>
      </c>
      <c r="H135" t="str">
        <f t="shared" si="12"/>
        <v>260728021729684mcZToiip (1)</v>
      </c>
      <c r="I135" t="str">
        <f t="shared" si="13"/>
        <v>260728021729684mcZToiip (1)</v>
      </c>
      <c r="J135">
        <f t="shared" si="14"/>
        <v>59</v>
      </c>
      <c r="K135">
        <f>IF($A135="","",IF(COUNTIF($B$2:$B135,$B135)=COUNTIF($B$2:$B$1601,$B135),$B135,""))</f>
        <v>59</v>
      </c>
    </row>
    <row r="136" spans="1:11">
      <c r="A136" t="str">
        <f>IF('TMP Paste'!$E136="","",'TMP Paste'!$E136)</f>
        <v>26072704182889lK6f5PbSp</v>
      </c>
      <c r="B136">
        <f>IF($A136="","",COUNTIF('TMP Paste'!$B$2:$B136,"?*"))</f>
        <v>60</v>
      </c>
      <c r="C136">
        <f>IF($A136="","",IFERROR('TMP Paste'!$M136*1,0))</f>
        <v>1</v>
      </c>
      <c r="D136">
        <f>IF($A136="","",SUMIF($B$2:$B136,$B136,$C$2:$C136))</f>
        <v>1</v>
      </c>
      <c r="E136">
        <f>IF($A136="",0,IF('TMP Paste'!$B136="",0,1))</f>
        <v>1</v>
      </c>
      <c r="F136" t="str">
        <f t="shared" si="10"/>
        <v>26072704182889lK6f5PbSp-01</v>
      </c>
      <c r="G136" t="str">
        <f t="shared" si="11"/>
        <v>26072704182889lK6f5PbSp-01</v>
      </c>
      <c r="H136" t="str">
        <f t="shared" si="12"/>
        <v>26072704182889lK6f5PbSp (1)</v>
      </c>
      <c r="I136" t="str">
        <f t="shared" si="13"/>
        <v>26072704182889lK6f5PbSp (1)</v>
      </c>
      <c r="J136">
        <f t="shared" si="14"/>
        <v>60</v>
      </c>
      <c r="K136">
        <f>IF($A136="","",IF(COUNTIF($B$2:$B136,$B136)=COUNTIF($B$2:$B$1601,$B136),$B136,""))</f>
        <v>60</v>
      </c>
    </row>
    <row r="137" spans="1:11">
      <c r="A137" t="str">
        <f>IF('TMP Paste'!$E137="","",'TMP Paste'!$E137)</f>
        <v>26072803303911AGf6Dz5QP</v>
      </c>
      <c r="B137">
        <f>IF($A137="","",COUNTIF('TMP Paste'!$B$2:$B137,"?*"))</f>
        <v>61</v>
      </c>
      <c r="C137">
        <f>IF($A137="","",IFERROR('TMP Paste'!$M137*1,0))</f>
        <v>1</v>
      </c>
      <c r="D137">
        <f>IF($A137="","",SUMIF($B$2:$B137,$B137,$C$2:$C137))</f>
        <v>1</v>
      </c>
      <c r="E137">
        <f>IF($A137="",0,IF('TMP Paste'!$B137="",0,1))</f>
        <v>1</v>
      </c>
      <c r="F137" t="str">
        <f t="shared" si="10"/>
        <v>26072803303911AGf6Dz5QP-01</v>
      </c>
      <c r="G137" t="str">
        <f t="shared" si="11"/>
        <v>26072803303911AGf6Dz5QP-01</v>
      </c>
      <c r="H137" t="str">
        <f t="shared" si="12"/>
        <v>26072803303911AGf6Dz5QP (1)</v>
      </c>
      <c r="I137" t="str">
        <f t="shared" si="13"/>
        <v>26072803303911AGf6Dz5QP (1)</v>
      </c>
      <c r="J137">
        <f t="shared" si="14"/>
        <v>61</v>
      </c>
      <c r="K137" t="str">
        <f>IF($A137="","",IF(COUNTIF($B$2:$B137,$B137)=COUNTIF($B$2:$B$1601,$B137),$B137,""))</f>
        <v/>
      </c>
    </row>
    <row r="138" spans="1:11">
      <c r="A138" t="str">
        <f>IF('TMP Paste'!$E138="","",'TMP Paste'!$E138)</f>
        <v>26072803303911AhreMfDPvn</v>
      </c>
      <c r="B138">
        <f>IF($A138="","",COUNTIF('TMP Paste'!$B$2:$B138,"?*"))</f>
        <v>61</v>
      </c>
      <c r="C138">
        <f>IF($A138="","",IFERROR('TMP Paste'!$M138*1,0))</f>
        <v>1</v>
      </c>
      <c r="D138">
        <f>IF($A138="","",SUMIF($B$2:$B138,$B138,$C$2:$C138))</f>
        <v>2</v>
      </c>
      <c r="E138">
        <f>IF($A138="",0,IF('TMP Paste'!$B138="",0,1))</f>
        <v>0</v>
      </c>
      <c r="F138" t="str">
        <f t="shared" si="10"/>
        <v>26072803303911AhreMfDPvn-02</v>
      </c>
      <c r="G138" t="str">
        <f t="shared" si="11"/>
        <v>26072803303911AGf6Dz5QP-01, 26072803303911AhreMfDPvn-02</v>
      </c>
      <c r="H138" t="str">
        <f t="shared" si="12"/>
        <v>26072803303911AhreMfDPvn (1)</v>
      </c>
      <c r="I138" t="str">
        <f t="shared" si="13"/>
        <v>26072803303911AGf6Dz5QP (1), 26072803303911AhreMfDPvn (1)</v>
      </c>
      <c r="J138" t="str">
        <f t="shared" si="14"/>
        <v/>
      </c>
      <c r="K138">
        <f>IF($A138="","",IF(COUNTIF($B$2:$B138,$B138)=COUNTIF($B$2:$B$1601,$B138),$B138,""))</f>
        <v>61</v>
      </c>
    </row>
    <row r="139" spans="1:11">
      <c r="A139" t="str">
        <f>IF('TMP Paste'!$E139="","",'TMP Paste'!$E139)</f>
        <v>260727132612940W4ifO0ju</v>
      </c>
      <c r="B139">
        <f>IF($A139="","",COUNTIF('TMP Paste'!$B$2:$B139,"?*"))</f>
        <v>62</v>
      </c>
      <c r="C139">
        <f>IF($A139="","",IFERROR('TMP Paste'!$M139*1,0))</f>
        <v>1</v>
      </c>
      <c r="D139">
        <f>IF($A139="","",SUMIF($B$2:$B139,$B139,$C$2:$C139))</f>
        <v>1</v>
      </c>
      <c r="E139">
        <f>IF($A139="",0,IF('TMP Paste'!$B139="",0,1))</f>
        <v>1</v>
      </c>
      <c r="F139" t="str">
        <f t="shared" si="10"/>
        <v>260727132612940W4ifO0ju-01</v>
      </c>
      <c r="G139" t="str">
        <f t="shared" si="11"/>
        <v>260727132612940W4ifO0ju-01</v>
      </c>
      <c r="H139" t="str">
        <f t="shared" si="12"/>
        <v>260727132612940W4ifO0ju (1)</v>
      </c>
      <c r="I139" t="str">
        <f t="shared" si="13"/>
        <v>260727132612940W4ifO0ju (1)</v>
      </c>
      <c r="J139">
        <f t="shared" si="14"/>
        <v>62</v>
      </c>
      <c r="K139">
        <f>IF($A139="","",IF(COUNTIF($B$2:$B139,$B139)=COUNTIF($B$2:$B$1601,$B139),$B139,""))</f>
        <v>62</v>
      </c>
    </row>
    <row r="140" spans="1:11">
      <c r="A140" t="str">
        <f>IF('TMP Paste'!$E140="","",'TMP Paste'!$E140)</f>
        <v>260727040240507I1EQSEt</v>
      </c>
      <c r="B140">
        <f>IF($A140="","",COUNTIF('TMP Paste'!$B$2:$B140,"?*"))</f>
        <v>63</v>
      </c>
      <c r="C140">
        <f>IF($A140="","",IFERROR('TMP Paste'!$M140*1,0))</f>
        <v>1</v>
      </c>
      <c r="D140">
        <f>IF($A140="","",SUMIF($B$2:$B140,$B140,$C$2:$C140))</f>
        <v>1</v>
      </c>
      <c r="E140">
        <f>IF($A140="",0,IF('TMP Paste'!$B140="",0,1))</f>
        <v>1</v>
      </c>
      <c r="F140" t="str">
        <f t="shared" si="10"/>
        <v>260727040240507I1EQSEt-01</v>
      </c>
      <c r="G140" t="str">
        <f t="shared" si="11"/>
        <v>260727040240507I1EQSEt-01</v>
      </c>
      <c r="H140" t="str">
        <f t="shared" si="12"/>
        <v>260727040240507I1EQSEt (1)</v>
      </c>
      <c r="I140" t="str">
        <f t="shared" si="13"/>
        <v>260727040240507I1EQSEt (1)</v>
      </c>
      <c r="J140">
        <f t="shared" si="14"/>
        <v>63</v>
      </c>
      <c r="K140" t="str">
        <f>IF($A140="","",IF(COUNTIF($B$2:$B140,$B140)=COUNTIF($B$2:$B$1601,$B140),$B140,""))</f>
        <v/>
      </c>
    </row>
    <row r="141" spans="1:11">
      <c r="A141" t="str">
        <f>IF('TMP Paste'!$E141="","",'TMP Paste'!$E141)</f>
        <v>26072704024050hpzTVyJR1J</v>
      </c>
      <c r="B141">
        <f>IF($A141="","",COUNTIF('TMP Paste'!$B$2:$B141,"?*"))</f>
        <v>63</v>
      </c>
      <c r="C141">
        <f>IF($A141="","",IFERROR('TMP Paste'!$M141*1,0))</f>
        <v>1</v>
      </c>
      <c r="D141">
        <f>IF($A141="","",SUMIF($B$2:$B141,$B141,$C$2:$C141))</f>
        <v>2</v>
      </c>
      <c r="E141">
        <f>IF($A141="",0,IF('TMP Paste'!$B141="",0,1))</f>
        <v>0</v>
      </c>
      <c r="F141" t="str">
        <f t="shared" si="10"/>
        <v>26072704024050hpzTVyJR1J-02</v>
      </c>
      <c r="G141" t="str">
        <f t="shared" si="11"/>
        <v>260727040240507I1EQSEt-01, 26072704024050hpzTVyJR1J-02</v>
      </c>
      <c r="H141" t="str">
        <f t="shared" si="12"/>
        <v>26072704024050hpzTVyJR1J (1)</v>
      </c>
      <c r="I141" t="str">
        <f t="shared" si="13"/>
        <v>260727040240507I1EQSEt (1), 26072704024050hpzTVyJR1J (1)</v>
      </c>
      <c r="J141" t="str">
        <f t="shared" si="14"/>
        <v/>
      </c>
      <c r="K141" t="str">
        <f>IF($A141="","",IF(COUNTIF($B$2:$B141,$B141)=COUNTIF($B$2:$B$1601,$B141),$B141,""))</f>
        <v/>
      </c>
    </row>
    <row r="142" spans="1:11">
      <c r="A142" t="str">
        <f>IF('TMP Paste'!$E142="","",'TMP Paste'!$E142)</f>
        <v>26072704024050OzkAxb3KZi</v>
      </c>
      <c r="B142">
        <f>IF($A142="","",COUNTIF('TMP Paste'!$B$2:$B142,"?*"))</f>
        <v>63</v>
      </c>
      <c r="C142">
        <f>IF($A142="","",IFERROR('TMP Paste'!$M142*1,0))</f>
        <v>1</v>
      </c>
      <c r="D142">
        <f>IF($A142="","",SUMIF($B$2:$B142,$B142,$C$2:$C142))</f>
        <v>3</v>
      </c>
      <c r="E142">
        <f>IF($A142="",0,IF('TMP Paste'!$B142="",0,1))</f>
        <v>0</v>
      </c>
      <c r="F142" t="str">
        <f t="shared" si="10"/>
        <v>26072704024050OzkAxb3KZi-03</v>
      </c>
      <c r="G142" t="str">
        <f t="shared" si="11"/>
        <v>260727040240507I1EQSEt-01, 26072704024050hpzTVyJR1J-02, 26072704024050OzkAxb3KZi-03</v>
      </c>
      <c r="H142" t="str">
        <f t="shared" si="12"/>
        <v>26072704024050OzkAxb3KZi (1)</v>
      </c>
      <c r="I142" t="str">
        <f t="shared" si="13"/>
        <v>260727040240507I1EQSEt (1), 26072704024050hpzTVyJR1J (1), 26072704024050OzkAxb3KZi (1)</v>
      </c>
      <c r="J142" t="str">
        <f t="shared" si="14"/>
        <v/>
      </c>
      <c r="K142">
        <f>IF($A142="","",IF(COUNTIF($B$2:$B142,$B142)=COUNTIF($B$2:$B$1601,$B142),$B142,""))</f>
        <v>63</v>
      </c>
    </row>
    <row r="143" spans="1:11">
      <c r="A143" t="str">
        <f>IF('TMP Paste'!$E143="","",'TMP Paste'!$E143)</f>
        <v>26072705340405JBvhQILbs</v>
      </c>
      <c r="B143">
        <f>IF($A143="","",COUNTIF('TMP Paste'!$B$2:$B143,"?*"))</f>
        <v>64</v>
      </c>
      <c r="C143">
        <f>IF($A143="","",IFERROR('TMP Paste'!$M143*1,0))</f>
        <v>1</v>
      </c>
      <c r="D143">
        <f>IF($A143="","",SUMIF($B$2:$B143,$B143,$C$2:$C143))</f>
        <v>1</v>
      </c>
      <c r="E143">
        <f>IF($A143="",0,IF('TMP Paste'!$B143="",0,1))</f>
        <v>1</v>
      </c>
      <c r="F143" t="str">
        <f t="shared" si="10"/>
        <v>26072705340405JBvhQILbs-01</v>
      </c>
      <c r="G143" t="str">
        <f t="shared" si="11"/>
        <v>26072705340405JBvhQILbs-01</v>
      </c>
      <c r="H143" t="str">
        <f t="shared" si="12"/>
        <v>26072705340405JBvhQILbs (1)</v>
      </c>
      <c r="I143" t="str">
        <f t="shared" si="13"/>
        <v>26072705340405JBvhQILbs (1)</v>
      </c>
      <c r="J143">
        <f t="shared" si="14"/>
        <v>64</v>
      </c>
      <c r="K143">
        <f>IF($A143="","",IF(COUNTIF($B$2:$B143,$B143)=COUNTIF($B$2:$B$1601,$B143),$B143,""))</f>
        <v>64</v>
      </c>
    </row>
    <row r="144" spans="1:11">
      <c r="A144" t="str">
        <f>IF('TMP Paste'!$E144="","",'TMP Paste'!$E144)</f>
        <v>26072714552972jh2qRqv9r</v>
      </c>
      <c r="B144">
        <f>IF($A144="","",COUNTIF('TMP Paste'!$B$2:$B144,"?*"))</f>
        <v>65</v>
      </c>
      <c r="C144">
        <f>IF($A144="","",IFERROR('TMP Paste'!$M144*1,0))</f>
        <v>1</v>
      </c>
      <c r="D144">
        <f>IF($A144="","",SUMIF($B$2:$B144,$B144,$C$2:$C144))</f>
        <v>1</v>
      </c>
      <c r="E144">
        <f>IF($A144="",0,IF('TMP Paste'!$B144="",0,1))</f>
        <v>1</v>
      </c>
      <c r="F144" t="str">
        <f t="shared" si="10"/>
        <v>26072714552972jh2qRqv9r-01</v>
      </c>
      <c r="G144" t="str">
        <f t="shared" si="11"/>
        <v>26072714552972jh2qRqv9r-01</v>
      </c>
      <c r="H144" t="str">
        <f t="shared" si="12"/>
        <v>26072714552972jh2qRqv9r (1)</v>
      </c>
      <c r="I144" t="str">
        <f t="shared" si="13"/>
        <v>26072714552972jh2qRqv9r (1)</v>
      </c>
      <c r="J144">
        <f t="shared" si="14"/>
        <v>65</v>
      </c>
      <c r="K144">
        <f>IF($A144="","",IF(COUNTIF($B$2:$B144,$B144)=COUNTIF($B$2:$B$1601,$B144),$B144,""))</f>
        <v>65</v>
      </c>
    </row>
    <row r="145" spans="1:11">
      <c r="A145" t="str">
        <f>IF('TMP Paste'!$E145="","",'TMP Paste'!$E145)</f>
        <v>260727060627070ag9ElKTY</v>
      </c>
      <c r="B145">
        <f>IF($A145="","",COUNTIF('TMP Paste'!$B$2:$B145,"?*"))</f>
        <v>66</v>
      </c>
      <c r="C145">
        <f>IF($A145="","",IFERROR('TMP Paste'!$M145*1,0))</f>
        <v>1</v>
      </c>
      <c r="D145">
        <f>IF($A145="","",SUMIF($B$2:$B145,$B145,$C$2:$C145))</f>
        <v>1</v>
      </c>
      <c r="E145">
        <f>IF($A145="",0,IF('TMP Paste'!$B145="",0,1))</f>
        <v>1</v>
      </c>
      <c r="F145" t="str">
        <f t="shared" si="10"/>
        <v>260727060627070ag9ElKTY-01</v>
      </c>
      <c r="G145" t="str">
        <f t="shared" si="11"/>
        <v>260727060627070ag9ElKTY-01</v>
      </c>
      <c r="H145" t="str">
        <f t="shared" si="12"/>
        <v>260727060627070ag9ElKTY (1)</v>
      </c>
      <c r="I145" t="str">
        <f t="shared" si="13"/>
        <v>260727060627070ag9ElKTY (1)</v>
      </c>
      <c r="J145">
        <f t="shared" si="14"/>
        <v>66</v>
      </c>
      <c r="K145" t="str">
        <f>IF($A145="","",IF(COUNTIF($B$2:$B145,$B145)=COUNTIF($B$2:$B$1601,$B145),$B145,""))</f>
        <v/>
      </c>
    </row>
    <row r="146" spans="1:11">
      <c r="A146" t="str">
        <f>IF('TMP Paste'!$E146="","",'TMP Paste'!$E146)</f>
        <v>26072706062707capyILlsg</v>
      </c>
      <c r="B146">
        <f>IF($A146="","",COUNTIF('TMP Paste'!$B$2:$B146,"?*"))</f>
        <v>66</v>
      </c>
      <c r="C146">
        <f>IF($A146="","",IFERROR('TMP Paste'!$M146*1,0))</f>
        <v>1</v>
      </c>
      <c r="D146">
        <f>IF($A146="","",SUMIF($B$2:$B146,$B146,$C$2:$C146))</f>
        <v>2</v>
      </c>
      <c r="E146">
        <f>IF($A146="",0,IF('TMP Paste'!$B146="",0,1))</f>
        <v>0</v>
      </c>
      <c r="F146" t="str">
        <f t="shared" si="10"/>
        <v>26072706062707capyILlsg-02</v>
      </c>
      <c r="G146" t="str">
        <f t="shared" si="11"/>
        <v>260727060627070ag9ElKTY-01, 26072706062707capyILlsg-02</v>
      </c>
      <c r="H146" t="str">
        <f t="shared" si="12"/>
        <v>26072706062707capyILlsg (1)</v>
      </c>
      <c r="I146" t="str">
        <f t="shared" si="13"/>
        <v>260727060627070ag9ElKTY (1), 26072706062707capyILlsg (1)</v>
      </c>
      <c r="J146" t="str">
        <f t="shared" si="14"/>
        <v/>
      </c>
      <c r="K146" t="str">
        <f>IF($A146="","",IF(COUNTIF($B$2:$B146,$B146)=COUNTIF($B$2:$B$1601,$B146),$B146,""))</f>
        <v/>
      </c>
    </row>
    <row r="147" spans="1:11">
      <c r="A147" t="str">
        <f>IF('TMP Paste'!$E147="","",'TMP Paste'!$E147)</f>
        <v>26072802532612MUrJaTVZ</v>
      </c>
      <c r="B147">
        <f>IF($A147="","",COUNTIF('TMP Paste'!$B$2:$B147,"?*"))</f>
        <v>66</v>
      </c>
      <c r="C147">
        <f>IF($A147="","",IFERROR('TMP Paste'!$M147*1,0))</f>
        <v>1</v>
      </c>
      <c r="D147">
        <f>IF($A147="","",SUMIF($B$2:$B147,$B147,$C$2:$C147))</f>
        <v>3</v>
      </c>
      <c r="E147">
        <f>IF($A147="",0,IF('TMP Paste'!$B147="",0,1))</f>
        <v>0</v>
      </c>
      <c r="F147" t="str">
        <f t="shared" si="10"/>
        <v>26072802532612MUrJaTVZ-03</v>
      </c>
      <c r="G147" t="str">
        <f t="shared" si="11"/>
        <v>260727060627070ag9ElKTY-01, 26072706062707capyILlsg-02, 26072802532612MUrJaTVZ-03</v>
      </c>
      <c r="H147" t="str">
        <f t="shared" si="12"/>
        <v>26072802532612MUrJaTVZ (1)</v>
      </c>
      <c r="I147" t="str">
        <f t="shared" si="13"/>
        <v>260727060627070ag9ElKTY (1), 26072706062707capyILlsg (1), 26072802532612MUrJaTVZ (1)</v>
      </c>
      <c r="J147" t="str">
        <f t="shared" si="14"/>
        <v/>
      </c>
      <c r="K147">
        <f>IF($A147="","",IF(COUNTIF($B$2:$B147,$B147)=COUNTIF($B$2:$B$1601,$B147),$B147,""))</f>
        <v>66</v>
      </c>
    </row>
    <row r="148" spans="1:11">
      <c r="A148" t="str">
        <f>IF('TMP Paste'!$E148="","",'TMP Paste'!$E148)</f>
        <v>26072803541276KOK1OoPAx</v>
      </c>
      <c r="B148">
        <f>IF($A148="","",COUNTIF('TMP Paste'!$B$2:$B148,"?*"))</f>
        <v>67</v>
      </c>
      <c r="C148">
        <f>IF($A148="","",IFERROR('TMP Paste'!$M148*1,0))</f>
        <v>1</v>
      </c>
      <c r="D148">
        <f>IF($A148="","",SUMIF($B$2:$B148,$B148,$C$2:$C148))</f>
        <v>1</v>
      </c>
      <c r="E148">
        <f>IF($A148="",0,IF('TMP Paste'!$B148="",0,1))</f>
        <v>1</v>
      </c>
      <c r="F148" t="str">
        <f t="shared" si="10"/>
        <v>26072803541276KOK1OoPAx-01</v>
      </c>
      <c r="G148" t="str">
        <f t="shared" si="11"/>
        <v>26072803541276KOK1OoPAx-01</v>
      </c>
      <c r="H148" t="str">
        <f t="shared" si="12"/>
        <v>26072803541276KOK1OoPAx (1)</v>
      </c>
      <c r="I148" t="str">
        <f t="shared" si="13"/>
        <v>26072803541276KOK1OoPAx (1)</v>
      </c>
      <c r="J148">
        <f t="shared" si="14"/>
        <v>67</v>
      </c>
      <c r="K148" t="str">
        <f>IF($A148="","",IF(COUNTIF($B$2:$B148,$B148)=COUNTIF($B$2:$B$1601,$B148),$B148,""))</f>
        <v/>
      </c>
    </row>
    <row r="149" spans="1:11">
      <c r="A149" t="str">
        <f>IF('TMP Paste'!$E149="","",'TMP Paste'!$E149)</f>
        <v>26072803541276yKDEPQ58g</v>
      </c>
      <c r="B149">
        <f>IF($A149="","",COUNTIF('TMP Paste'!$B$2:$B149,"?*"))</f>
        <v>67</v>
      </c>
      <c r="C149">
        <f>IF($A149="","",IFERROR('TMP Paste'!$M149*1,0))</f>
        <v>1</v>
      </c>
      <c r="D149">
        <f>IF($A149="","",SUMIF($B$2:$B149,$B149,$C$2:$C149))</f>
        <v>2</v>
      </c>
      <c r="E149">
        <f>IF($A149="",0,IF('TMP Paste'!$B149="",0,1))</f>
        <v>0</v>
      </c>
      <c r="F149" t="str">
        <f t="shared" si="10"/>
        <v>26072803541276yKDEPQ58g-02</v>
      </c>
      <c r="G149" t="str">
        <f t="shared" si="11"/>
        <v>26072803541276KOK1OoPAx-01, 26072803541276yKDEPQ58g-02</v>
      </c>
      <c r="H149" t="str">
        <f t="shared" si="12"/>
        <v>26072803541276yKDEPQ58g (1)</v>
      </c>
      <c r="I149" t="str">
        <f t="shared" si="13"/>
        <v>26072803541276KOK1OoPAx (1), 26072803541276yKDEPQ58g (1)</v>
      </c>
      <c r="J149" t="str">
        <f t="shared" si="14"/>
        <v/>
      </c>
      <c r="K149">
        <f>IF($A149="","",IF(COUNTIF($B$2:$B149,$B149)=COUNTIF($B$2:$B$1601,$B149),$B149,""))</f>
        <v>67</v>
      </c>
    </row>
    <row r="150" spans="1:11">
      <c r="A150" t="str">
        <f>IF('TMP Paste'!$E150="","",'TMP Paste'!$E150)</f>
        <v>260728015642841IWdYmhkTE</v>
      </c>
      <c r="B150">
        <f>IF($A150="","",COUNTIF('TMP Paste'!$B$2:$B150,"?*"))</f>
        <v>68</v>
      </c>
      <c r="C150">
        <f>IF($A150="","",IFERROR('TMP Paste'!$M150*1,0))</f>
        <v>1</v>
      </c>
      <c r="D150">
        <f>IF($A150="","",SUMIF($B$2:$B150,$B150,$C$2:$C150))</f>
        <v>1</v>
      </c>
      <c r="E150">
        <f>IF($A150="",0,IF('TMP Paste'!$B150="",0,1))</f>
        <v>1</v>
      </c>
      <c r="F150" t="str">
        <f t="shared" si="10"/>
        <v>260728015642841IWdYmhkTE-01</v>
      </c>
      <c r="G150" t="str">
        <f t="shared" si="11"/>
        <v>260728015642841IWdYmhkTE-01</v>
      </c>
      <c r="H150" t="str">
        <f t="shared" si="12"/>
        <v>260728015642841IWdYmhkTE (1)</v>
      </c>
      <c r="I150" t="str">
        <f t="shared" si="13"/>
        <v>260728015642841IWdYmhkTE (1)</v>
      </c>
      <c r="J150">
        <f t="shared" si="14"/>
        <v>68</v>
      </c>
      <c r="K150" t="str">
        <f>IF($A150="","",IF(COUNTIF($B$2:$B150,$B150)=COUNTIF($B$2:$B$1601,$B150),$B150,""))</f>
        <v/>
      </c>
    </row>
    <row r="151" spans="1:11">
      <c r="A151" t="str">
        <f>IF('TMP Paste'!$E151="","",'TMP Paste'!$E151)</f>
        <v>26072801564284JNse9GxzU</v>
      </c>
      <c r="B151">
        <f>IF($A151="","",COUNTIF('TMP Paste'!$B$2:$B151,"?*"))</f>
        <v>68</v>
      </c>
      <c r="C151">
        <f>IF($A151="","",IFERROR('TMP Paste'!$M151*1,0))</f>
        <v>1</v>
      </c>
      <c r="D151">
        <f>IF($A151="","",SUMIF($B$2:$B151,$B151,$C$2:$C151))</f>
        <v>2</v>
      </c>
      <c r="E151">
        <f>IF($A151="",0,IF('TMP Paste'!$B151="",0,1))</f>
        <v>0</v>
      </c>
      <c r="F151" t="str">
        <f t="shared" si="10"/>
        <v>26072801564284JNse9GxzU-02</v>
      </c>
      <c r="G151" t="str">
        <f t="shared" si="11"/>
        <v>260728015642841IWdYmhkTE-01, 26072801564284JNse9GxzU-02</v>
      </c>
      <c r="H151" t="str">
        <f t="shared" si="12"/>
        <v>26072801564284JNse9GxzU (1)</v>
      </c>
      <c r="I151" t="str">
        <f t="shared" si="13"/>
        <v>260728015642841IWdYmhkTE (1), 26072801564284JNse9GxzU (1)</v>
      </c>
      <c r="J151" t="str">
        <f t="shared" si="14"/>
        <v/>
      </c>
      <c r="K151" t="str">
        <f>IF($A151="","",IF(COUNTIF($B$2:$B151,$B151)=COUNTIF($B$2:$B$1601,$B151),$B151,""))</f>
        <v/>
      </c>
    </row>
    <row r="152" spans="1:11">
      <c r="A152" t="str">
        <f>IF('TMP Paste'!$E152="","",'TMP Paste'!$E152)</f>
        <v>26072801564284oCeymW6moF</v>
      </c>
      <c r="B152">
        <f>IF($A152="","",COUNTIF('TMP Paste'!$B$2:$B152,"?*"))</f>
        <v>68</v>
      </c>
      <c r="C152">
        <f>IF($A152="","",IFERROR('TMP Paste'!$M152*1,0))</f>
        <v>1</v>
      </c>
      <c r="D152">
        <f>IF($A152="","",SUMIF($B$2:$B152,$B152,$C$2:$C152))</f>
        <v>3</v>
      </c>
      <c r="E152">
        <f>IF($A152="",0,IF('TMP Paste'!$B152="",0,1))</f>
        <v>0</v>
      </c>
      <c r="F152" t="str">
        <f t="shared" si="10"/>
        <v>26072801564284oCeymW6moF-03</v>
      </c>
      <c r="G152" t="str">
        <f t="shared" si="11"/>
        <v>260728015642841IWdYmhkTE-01, 26072801564284JNse9GxzU-02, 26072801564284oCeymW6moF-03</v>
      </c>
      <c r="H152" t="str">
        <f t="shared" si="12"/>
        <v>26072801564284oCeymW6moF (1)</v>
      </c>
      <c r="I152" t="str">
        <f t="shared" si="13"/>
        <v>260728015642841IWdYmhkTE (1), 26072801564284JNse9GxzU (1), 26072801564284oCeymW6moF (1)</v>
      </c>
      <c r="J152" t="str">
        <f t="shared" si="14"/>
        <v/>
      </c>
      <c r="K152">
        <f>IF($A152="","",IF(COUNTIF($B$2:$B152,$B152)=COUNTIF($B$2:$B$1601,$B152),$B152,""))</f>
        <v>68</v>
      </c>
    </row>
    <row r="153" spans="1:11">
      <c r="A153" t="str">
        <f>IF('TMP Paste'!$E153="","",'TMP Paste'!$E153)</f>
        <v>260727060943666CtJN1HnS</v>
      </c>
      <c r="B153">
        <f>IF($A153="","",COUNTIF('TMP Paste'!$B$2:$B153,"?*"))</f>
        <v>69</v>
      </c>
      <c r="C153">
        <f>IF($A153="","",IFERROR('TMP Paste'!$M153*1,0))</f>
        <v>1</v>
      </c>
      <c r="D153">
        <f>IF($A153="","",SUMIF($B$2:$B153,$B153,$C$2:$C153))</f>
        <v>1</v>
      </c>
      <c r="E153">
        <f>IF($A153="",0,IF('TMP Paste'!$B153="",0,1))</f>
        <v>1</v>
      </c>
      <c r="F153" t="str">
        <f t="shared" si="10"/>
        <v>260727060943666CtJN1HnS-01</v>
      </c>
      <c r="G153" t="str">
        <f t="shared" si="11"/>
        <v>260727060943666CtJN1HnS-01</v>
      </c>
      <c r="H153" t="str">
        <f t="shared" si="12"/>
        <v>260727060943666CtJN1HnS (1)</v>
      </c>
      <c r="I153" t="str">
        <f t="shared" si="13"/>
        <v>260727060943666CtJN1HnS (1)</v>
      </c>
      <c r="J153">
        <f t="shared" si="14"/>
        <v>69</v>
      </c>
      <c r="K153" t="str">
        <f>IF($A153="","",IF(COUNTIF($B$2:$B153,$B153)=COUNTIF($B$2:$B$1601,$B153),$B153,""))</f>
        <v/>
      </c>
    </row>
    <row r="154" spans="1:11">
      <c r="A154" t="str">
        <f>IF('TMP Paste'!$E154="","",'TMP Paste'!$E154)</f>
        <v>26072706094366kjDALZWoaI</v>
      </c>
      <c r="B154">
        <f>IF($A154="","",COUNTIF('TMP Paste'!$B$2:$B154,"?*"))</f>
        <v>69</v>
      </c>
      <c r="C154">
        <f>IF($A154="","",IFERROR('TMP Paste'!$M154*1,0))</f>
        <v>1</v>
      </c>
      <c r="D154">
        <f>IF($A154="","",SUMIF($B$2:$B154,$B154,$C$2:$C154))</f>
        <v>2</v>
      </c>
      <c r="E154">
        <f>IF($A154="",0,IF('TMP Paste'!$B154="",0,1))</f>
        <v>0</v>
      </c>
      <c r="F154" t="str">
        <f t="shared" si="10"/>
        <v>26072706094366kjDALZWoaI-02</v>
      </c>
      <c r="G154" t="str">
        <f t="shared" si="11"/>
        <v>260727060943666CtJN1HnS-01, 26072706094366kjDALZWoaI-02</v>
      </c>
      <c r="H154" t="str">
        <f t="shared" si="12"/>
        <v>26072706094366kjDALZWoaI (1)</v>
      </c>
      <c r="I154" t="str">
        <f t="shared" si="13"/>
        <v>260727060943666CtJN1HnS (1), 26072706094366kjDALZWoaI (1)</v>
      </c>
      <c r="J154" t="str">
        <f t="shared" si="14"/>
        <v/>
      </c>
      <c r="K154">
        <f>IF($A154="","",IF(COUNTIF($B$2:$B154,$B154)=COUNTIF($B$2:$B$1601,$B154),$B154,""))</f>
        <v>69</v>
      </c>
    </row>
    <row r="155" spans="1:11">
      <c r="A155" t="str">
        <f>IF('TMP Paste'!$E155="","",'TMP Paste'!$E155)</f>
        <v>26072723480157PhUIAU3y</v>
      </c>
      <c r="B155">
        <f>IF($A155="","",COUNTIF('TMP Paste'!$B$2:$B155,"?*"))</f>
        <v>70</v>
      </c>
      <c r="C155">
        <f>IF($A155="","",IFERROR('TMP Paste'!$M155*1,0))</f>
        <v>1</v>
      </c>
      <c r="D155">
        <f>IF($A155="","",SUMIF($B$2:$B155,$B155,$C$2:$C155))</f>
        <v>1</v>
      </c>
      <c r="E155">
        <f>IF($A155="",0,IF('TMP Paste'!$B155="",0,1))</f>
        <v>1</v>
      </c>
      <c r="F155" t="str">
        <f t="shared" si="10"/>
        <v>26072723480157PhUIAU3y-01</v>
      </c>
      <c r="G155" t="str">
        <f t="shared" si="11"/>
        <v>26072723480157PhUIAU3y-01</v>
      </c>
      <c r="H155" t="str">
        <f t="shared" si="12"/>
        <v>26072723480157PhUIAU3y (1)</v>
      </c>
      <c r="I155" t="str">
        <f t="shared" si="13"/>
        <v>26072723480157PhUIAU3y (1)</v>
      </c>
      <c r="J155">
        <f t="shared" si="14"/>
        <v>70</v>
      </c>
      <c r="K155" t="str">
        <f>IF($A155="","",IF(COUNTIF($B$2:$B155,$B155)=COUNTIF($B$2:$B$1601,$B155),$B155,""))</f>
        <v/>
      </c>
    </row>
    <row r="156" spans="1:11">
      <c r="A156" t="str">
        <f>IF('TMP Paste'!$E156="","",'TMP Paste'!$E156)</f>
        <v>26072723480157RREEx7S9s6</v>
      </c>
      <c r="B156">
        <f>IF($A156="","",COUNTIF('TMP Paste'!$B$2:$B156,"?*"))</f>
        <v>70</v>
      </c>
      <c r="C156">
        <f>IF($A156="","",IFERROR('TMP Paste'!$M156*1,0))</f>
        <v>1</v>
      </c>
      <c r="D156">
        <f>IF($A156="","",SUMIF($B$2:$B156,$B156,$C$2:$C156))</f>
        <v>2</v>
      </c>
      <c r="E156">
        <f>IF($A156="",0,IF('TMP Paste'!$B156="",0,1))</f>
        <v>0</v>
      </c>
      <c r="F156" t="str">
        <f t="shared" si="10"/>
        <v>26072723480157RREEx7S9s6-02</v>
      </c>
      <c r="G156" t="str">
        <f t="shared" si="11"/>
        <v>26072723480157PhUIAU3y-01, 26072723480157RREEx7S9s6-02</v>
      </c>
      <c r="H156" t="str">
        <f t="shared" si="12"/>
        <v>26072723480157RREEx7S9s6 (1)</v>
      </c>
      <c r="I156" t="str">
        <f t="shared" si="13"/>
        <v>26072723480157PhUIAU3y (1), 26072723480157RREEx7S9s6 (1)</v>
      </c>
      <c r="J156" t="str">
        <f t="shared" si="14"/>
        <v/>
      </c>
      <c r="K156" t="str">
        <f>IF($A156="","",IF(COUNTIF($B$2:$B156,$B156)=COUNTIF($B$2:$B$1601,$B156),$B156,""))</f>
        <v/>
      </c>
    </row>
    <row r="157" spans="1:11">
      <c r="A157" t="str">
        <f>IF('TMP Paste'!$E157="","",'TMP Paste'!$E157)</f>
        <v>260728023140878ftOWfUr</v>
      </c>
      <c r="B157">
        <f>IF($A157="","",COUNTIF('TMP Paste'!$B$2:$B157,"?*"))</f>
        <v>70</v>
      </c>
      <c r="C157">
        <f>IF($A157="","",IFERROR('TMP Paste'!$M157*1,0))</f>
        <v>1</v>
      </c>
      <c r="D157">
        <f>IF($A157="","",SUMIF($B$2:$B157,$B157,$C$2:$C157))</f>
        <v>3</v>
      </c>
      <c r="E157">
        <f>IF($A157="",0,IF('TMP Paste'!$B157="",0,1))</f>
        <v>0</v>
      </c>
      <c r="F157" t="str">
        <f t="shared" si="10"/>
        <v>260728023140878ftOWfUr-03</v>
      </c>
      <c r="G157" t="str">
        <f t="shared" si="11"/>
        <v>26072723480157PhUIAU3y-01, 26072723480157RREEx7S9s6-02, 260728023140878ftOWfUr-03</v>
      </c>
      <c r="H157" t="str">
        <f t="shared" si="12"/>
        <v>260728023140878ftOWfUr (1)</v>
      </c>
      <c r="I157" t="str">
        <f t="shared" si="13"/>
        <v>26072723480157PhUIAU3y (1), 26072723480157RREEx7S9s6 (1), 260728023140878ftOWfUr (1)</v>
      </c>
      <c r="J157" t="str">
        <f t="shared" si="14"/>
        <v/>
      </c>
      <c r="K157" t="str">
        <f>IF($A157="","",IF(COUNTIF($B$2:$B157,$B157)=COUNTIF($B$2:$B$1601,$B157),$B157,""))</f>
        <v/>
      </c>
    </row>
    <row r="158" spans="1:11">
      <c r="A158" t="str">
        <f>IF('TMP Paste'!$E158="","",'TMP Paste'!$E158)</f>
        <v>26072802314087kwZkpxvszF</v>
      </c>
      <c r="B158">
        <f>IF($A158="","",COUNTIF('TMP Paste'!$B$2:$B158,"?*"))</f>
        <v>70</v>
      </c>
      <c r="C158">
        <f>IF($A158="","",IFERROR('TMP Paste'!$M158*1,0))</f>
        <v>1</v>
      </c>
      <c r="D158">
        <f>IF($A158="","",SUMIF($B$2:$B158,$B158,$C$2:$C158))</f>
        <v>4</v>
      </c>
      <c r="E158">
        <f>IF($A158="",0,IF('TMP Paste'!$B158="",0,1))</f>
        <v>0</v>
      </c>
      <c r="F158" t="str">
        <f t="shared" si="10"/>
        <v>26072802314087kwZkpxvszF-04</v>
      </c>
      <c r="G158" t="str">
        <f t="shared" si="11"/>
        <v>26072723480157PhUIAU3y-01, 26072723480157RREEx7S9s6-02, 260728023140878ftOWfUr-03, 26072802314087kwZkpxvszF-04</v>
      </c>
      <c r="H158" t="str">
        <f t="shared" si="12"/>
        <v>26072802314087kwZkpxvszF (1)</v>
      </c>
      <c r="I158" t="str">
        <f t="shared" si="13"/>
        <v>26072723480157PhUIAU3y (1), 26072723480157RREEx7S9s6 (1), 260728023140878ftOWfUr (1), 26072802314087kwZkpxvszF (1)</v>
      </c>
      <c r="J158" t="str">
        <f t="shared" si="14"/>
        <v/>
      </c>
      <c r="K158" t="str">
        <f>IF($A158="","",IF(COUNTIF($B$2:$B158,$B158)=COUNTIF($B$2:$B$1601,$B158),$B158,""))</f>
        <v/>
      </c>
    </row>
    <row r="159" spans="1:11">
      <c r="A159" t="str">
        <f>IF('TMP Paste'!$E159="","",'TMP Paste'!$E159)</f>
        <v>26072802314087zwbyFhPuk</v>
      </c>
      <c r="B159">
        <f>IF($A159="","",COUNTIF('TMP Paste'!$B$2:$B159,"?*"))</f>
        <v>70</v>
      </c>
      <c r="C159">
        <f>IF($A159="","",IFERROR('TMP Paste'!$M159*1,0))</f>
        <v>1</v>
      </c>
      <c r="D159">
        <f>IF($A159="","",SUMIF($B$2:$B159,$B159,$C$2:$C159))</f>
        <v>5</v>
      </c>
      <c r="E159">
        <f>IF($A159="",0,IF('TMP Paste'!$B159="",0,1))</f>
        <v>0</v>
      </c>
      <c r="F159" t="str">
        <f t="shared" si="10"/>
        <v>26072802314087zwbyFhPuk-05</v>
      </c>
      <c r="G159" t="str">
        <f t="shared" si="11"/>
        <v>26072723480157PhUIAU3y-01, 26072723480157RREEx7S9s6-02, 260728023140878ftOWfUr-03, 26072802314087kwZkpxvszF-04, 26072802314087zwbyFhPuk-05</v>
      </c>
      <c r="H159" t="str">
        <f t="shared" si="12"/>
        <v>26072802314087zwbyFhPuk (1)</v>
      </c>
      <c r="I159" t="str">
        <f t="shared" si="13"/>
        <v>26072723480157PhUIAU3y (1), 26072723480157RREEx7S9s6 (1), 260728023140878ftOWfUr (1), 26072802314087kwZkpxvszF (1), 26072802314087zwbyFhPuk (1)</v>
      </c>
      <c r="J159" t="str">
        <f t="shared" si="14"/>
        <v/>
      </c>
      <c r="K159">
        <f>IF($A159="","",IF(COUNTIF($B$2:$B159,$B159)=COUNTIF($B$2:$B$1601,$B159),$B159,""))</f>
        <v>70</v>
      </c>
    </row>
    <row r="160" spans="1:11">
      <c r="A160" t="str">
        <f>IF('TMP Paste'!$E160="","",'TMP Paste'!$E160)</f>
        <v>26072715054749hbqR01qPb</v>
      </c>
      <c r="B160">
        <f>IF($A160="","",COUNTIF('TMP Paste'!$B$2:$B160,"?*"))</f>
        <v>71</v>
      </c>
      <c r="C160">
        <f>IF($A160="","",IFERROR('TMP Paste'!$M160*1,0))</f>
        <v>1</v>
      </c>
      <c r="D160">
        <f>IF($A160="","",SUMIF($B$2:$B160,$B160,$C$2:$C160))</f>
        <v>1</v>
      </c>
      <c r="E160">
        <f>IF($A160="",0,IF('TMP Paste'!$B160="",0,1))</f>
        <v>1</v>
      </c>
      <c r="F160" t="str">
        <f t="shared" si="10"/>
        <v>26072715054749hbqR01qPb-01</v>
      </c>
      <c r="G160" t="str">
        <f t="shared" si="11"/>
        <v>26072715054749hbqR01qPb-01</v>
      </c>
      <c r="H160" t="str">
        <f t="shared" si="12"/>
        <v>26072715054749hbqR01qPb (1)</v>
      </c>
      <c r="I160" t="str">
        <f t="shared" si="13"/>
        <v>26072715054749hbqR01qPb (1)</v>
      </c>
      <c r="J160">
        <f t="shared" si="14"/>
        <v>71</v>
      </c>
      <c r="K160" t="str">
        <f>IF($A160="","",IF(COUNTIF($B$2:$B160,$B160)=COUNTIF($B$2:$B$1601,$B160),$B160,""))</f>
        <v/>
      </c>
    </row>
    <row r="161" spans="1:11">
      <c r="A161" t="str">
        <f>IF('TMP Paste'!$E161="","",'TMP Paste'!$E161)</f>
        <v>26072715054749ifvHhc4yGN</v>
      </c>
      <c r="B161">
        <f>IF($A161="","",COUNTIF('TMP Paste'!$B$2:$B161,"?*"))</f>
        <v>71</v>
      </c>
      <c r="C161">
        <f>IF($A161="","",IFERROR('TMP Paste'!$M161*1,0))</f>
        <v>1</v>
      </c>
      <c r="D161">
        <f>IF($A161="","",SUMIF($B$2:$B161,$B161,$C$2:$C161))</f>
        <v>2</v>
      </c>
      <c r="E161">
        <f>IF($A161="",0,IF('TMP Paste'!$B161="",0,1))</f>
        <v>0</v>
      </c>
      <c r="F161" t="str">
        <f t="shared" si="10"/>
        <v>26072715054749ifvHhc4yGN-02</v>
      </c>
      <c r="G161" t="str">
        <f t="shared" si="11"/>
        <v>26072715054749hbqR01qPb-01, 26072715054749ifvHhc4yGN-02</v>
      </c>
      <c r="H161" t="str">
        <f t="shared" si="12"/>
        <v>26072715054749ifvHhc4yGN (1)</v>
      </c>
      <c r="I161" t="str">
        <f t="shared" si="13"/>
        <v>26072715054749hbqR01qPb (1), 26072715054749ifvHhc4yGN (1)</v>
      </c>
      <c r="J161" t="str">
        <f t="shared" si="14"/>
        <v/>
      </c>
      <c r="K161" t="str">
        <f>IF($A161="","",IF(COUNTIF($B$2:$B161,$B161)=COUNTIF($B$2:$B$1601,$B161),$B161,""))</f>
        <v/>
      </c>
    </row>
    <row r="162" spans="1:11">
      <c r="A162" t="str">
        <f>IF('TMP Paste'!$E162="","",'TMP Paste'!$E162)</f>
        <v>26072715054749k6pyGONU8p</v>
      </c>
      <c r="B162">
        <f>IF($A162="","",COUNTIF('TMP Paste'!$B$2:$B162,"?*"))</f>
        <v>71</v>
      </c>
      <c r="C162">
        <f>IF($A162="","",IFERROR('TMP Paste'!$M162*1,0))</f>
        <v>1</v>
      </c>
      <c r="D162">
        <f>IF($A162="","",SUMIF($B$2:$B162,$B162,$C$2:$C162))</f>
        <v>3</v>
      </c>
      <c r="E162">
        <f>IF($A162="",0,IF('TMP Paste'!$B162="",0,1))</f>
        <v>0</v>
      </c>
      <c r="F162" t="str">
        <f t="shared" si="10"/>
        <v>26072715054749k6pyGONU8p-03</v>
      </c>
      <c r="G162" t="str">
        <f t="shared" si="11"/>
        <v>26072715054749hbqR01qPb-01, 26072715054749ifvHhc4yGN-02, 26072715054749k6pyGONU8p-03</v>
      </c>
      <c r="H162" t="str">
        <f t="shared" si="12"/>
        <v>26072715054749k6pyGONU8p (1)</v>
      </c>
      <c r="I162" t="str">
        <f t="shared" si="13"/>
        <v>26072715054749hbqR01qPb (1), 26072715054749ifvHhc4yGN (1), 26072715054749k6pyGONU8p (1)</v>
      </c>
      <c r="J162" t="str">
        <f t="shared" si="14"/>
        <v/>
      </c>
      <c r="K162">
        <f>IF($A162="","",IF(COUNTIF($B$2:$B162,$B162)=COUNTIF($B$2:$B$1601,$B162),$B162,""))</f>
        <v>71</v>
      </c>
    </row>
    <row r="163" spans="1:11">
      <c r="A163" t="str">
        <f>IF('TMP Paste'!$E163="","",'TMP Paste'!$E163)</f>
        <v>26072802244846fYDrmdJ5L</v>
      </c>
      <c r="B163">
        <f>IF($A163="","",COUNTIF('TMP Paste'!$B$2:$B163,"?*"))</f>
        <v>72</v>
      </c>
      <c r="C163">
        <f>IF($A163="","",IFERROR('TMP Paste'!$M163*1,0))</f>
        <v>1</v>
      </c>
      <c r="D163">
        <f>IF($A163="","",SUMIF($B$2:$B163,$B163,$C$2:$C163))</f>
        <v>1</v>
      </c>
      <c r="E163">
        <f>IF($A163="",0,IF('TMP Paste'!$B163="",0,1))</f>
        <v>1</v>
      </c>
      <c r="F163" t="str">
        <f t="shared" si="10"/>
        <v>26072802244846fYDrmdJ5L-01</v>
      </c>
      <c r="G163" t="str">
        <f t="shared" si="11"/>
        <v>26072802244846fYDrmdJ5L-01</v>
      </c>
      <c r="H163" t="str">
        <f t="shared" si="12"/>
        <v>26072802244846fYDrmdJ5L (1)</v>
      </c>
      <c r="I163" t="str">
        <f t="shared" si="13"/>
        <v>26072802244846fYDrmdJ5L (1)</v>
      </c>
      <c r="J163">
        <f t="shared" si="14"/>
        <v>72</v>
      </c>
      <c r="K163" t="str">
        <f>IF($A163="","",IF(COUNTIF($B$2:$B163,$B163)=COUNTIF($B$2:$B$1601,$B163),$B163,""))</f>
        <v/>
      </c>
    </row>
    <row r="164" spans="1:11">
      <c r="A164" t="str">
        <f>IF('TMP Paste'!$E164="","",'TMP Paste'!$E164)</f>
        <v>26072802244846ogMprKD4XM</v>
      </c>
      <c r="B164">
        <f>IF($A164="","",COUNTIF('TMP Paste'!$B$2:$B164,"?*"))</f>
        <v>72</v>
      </c>
      <c r="C164">
        <f>IF($A164="","",IFERROR('TMP Paste'!$M164*1,0))</f>
        <v>1</v>
      </c>
      <c r="D164">
        <f>IF($A164="","",SUMIF($B$2:$B164,$B164,$C$2:$C164))</f>
        <v>2</v>
      </c>
      <c r="E164">
        <f>IF($A164="",0,IF('TMP Paste'!$B164="",0,1))</f>
        <v>0</v>
      </c>
      <c r="F164" t="str">
        <f t="shared" si="10"/>
        <v>26072802244846ogMprKD4XM-02</v>
      </c>
      <c r="G164" t="str">
        <f t="shared" si="11"/>
        <v>26072802244846fYDrmdJ5L-01, 26072802244846ogMprKD4XM-02</v>
      </c>
      <c r="H164" t="str">
        <f t="shared" si="12"/>
        <v>26072802244846ogMprKD4XM (1)</v>
      </c>
      <c r="I164" t="str">
        <f t="shared" si="13"/>
        <v>26072802244846fYDrmdJ5L (1), 26072802244846ogMprKD4XM (1)</v>
      </c>
      <c r="J164" t="str">
        <f t="shared" si="14"/>
        <v/>
      </c>
      <c r="K164">
        <f>IF($A164="","",IF(COUNTIF($B$2:$B164,$B164)=COUNTIF($B$2:$B$1601,$B164),$B164,""))</f>
        <v>72</v>
      </c>
    </row>
    <row r="165" spans="1:11">
      <c r="A165" t="str">
        <f>IF('TMP Paste'!$E165="","",'TMP Paste'!$E165)</f>
        <v>26072803404718UjJPImcmp</v>
      </c>
      <c r="B165">
        <f>IF($A165="","",COUNTIF('TMP Paste'!$B$2:$B165,"?*"))</f>
        <v>73</v>
      </c>
      <c r="C165">
        <f>IF($A165="","",IFERROR('TMP Paste'!$M165*1,0))</f>
        <v>1</v>
      </c>
      <c r="D165">
        <f>IF($A165="","",SUMIF($B$2:$B165,$B165,$C$2:$C165))</f>
        <v>1</v>
      </c>
      <c r="E165">
        <f>IF($A165="",0,IF('TMP Paste'!$B165="",0,1))</f>
        <v>1</v>
      </c>
      <c r="F165" t="str">
        <f t="shared" si="10"/>
        <v>26072803404718UjJPImcmp-01</v>
      </c>
      <c r="G165" t="str">
        <f t="shared" si="11"/>
        <v>26072803404718UjJPImcmp-01</v>
      </c>
      <c r="H165" t="str">
        <f t="shared" si="12"/>
        <v>26072803404718UjJPImcmp (1)</v>
      </c>
      <c r="I165" t="str">
        <f t="shared" si="13"/>
        <v>26072803404718UjJPImcmp (1)</v>
      </c>
      <c r="J165">
        <f t="shared" si="14"/>
        <v>73</v>
      </c>
      <c r="K165">
        <f>IF($A165="","",IF(COUNTIF($B$2:$B165,$B165)=COUNTIF($B$2:$B$1601,$B165),$B165,""))</f>
        <v>73</v>
      </c>
    </row>
    <row r="166" spans="1:11">
      <c r="A166" t="str">
        <f>IF('TMP Paste'!$E166="","",'TMP Paste'!$E166)</f>
        <v>260727143936313co7MpEDE</v>
      </c>
      <c r="B166">
        <f>IF($A166="","",COUNTIF('TMP Paste'!$B$2:$B166,"?*"))</f>
        <v>74</v>
      </c>
      <c r="C166">
        <f>IF($A166="","",IFERROR('TMP Paste'!$M166*1,0))</f>
        <v>1</v>
      </c>
      <c r="D166">
        <f>IF($A166="","",SUMIF($B$2:$B166,$B166,$C$2:$C166))</f>
        <v>1</v>
      </c>
      <c r="E166">
        <f>IF($A166="",0,IF('TMP Paste'!$B166="",0,1))</f>
        <v>1</v>
      </c>
      <c r="F166" t="str">
        <f t="shared" si="10"/>
        <v>260727143936313co7MpEDE-01</v>
      </c>
      <c r="G166" t="str">
        <f t="shared" si="11"/>
        <v>260727143936313co7MpEDE-01</v>
      </c>
      <c r="H166" t="str">
        <f t="shared" si="12"/>
        <v>260727143936313co7MpEDE (1)</v>
      </c>
      <c r="I166" t="str">
        <f t="shared" si="13"/>
        <v>260727143936313co7MpEDE (1)</v>
      </c>
      <c r="J166">
        <f t="shared" si="14"/>
        <v>74</v>
      </c>
      <c r="K166">
        <f>IF($A166="","",IF(COUNTIF($B$2:$B166,$B166)=COUNTIF($B$2:$B$1601,$B166),$B166,""))</f>
        <v>74</v>
      </c>
    </row>
    <row r="167" spans="1:11">
      <c r="A167" t="str">
        <f>IF('TMP Paste'!$E167="","",'TMP Paste'!$E167)</f>
        <v>2607270439482393zNao8sB</v>
      </c>
      <c r="B167">
        <f>IF($A167="","",COUNTIF('TMP Paste'!$B$2:$B167,"?*"))</f>
        <v>75</v>
      </c>
      <c r="C167">
        <f>IF($A167="","",IFERROR('TMP Paste'!$M167*1,0))</f>
        <v>1</v>
      </c>
      <c r="D167">
        <f>IF($A167="","",SUMIF($B$2:$B167,$B167,$C$2:$C167))</f>
        <v>1</v>
      </c>
      <c r="E167">
        <f>IF($A167="",0,IF('TMP Paste'!$B167="",0,1))</f>
        <v>1</v>
      </c>
      <c r="F167" t="str">
        <f t="shared" si="10"/>
        <v>2607270439482393zNao8sB-01</v>
      </c>
      <c r="G167" t="str">
        <f t="shared" si="11"/>
        <v>2607270439482393zNao8sB-01</v>
      </c>
      <c r="H167" t="str">
        <f t="shared" si="12"/>
        <v>2607270439482393zNao8sB (1)</v>
      </c>
      <c r="I167" t="str">
        <f t="shared" si="13"/>
        <v>2607270439482393zNao8sB (1)</v>
      </c>
      <c r="J167">
        <f t="shared" si="14"/>
        <v>75</v>
      </c>
      <c r="K167" t="str">
        <f>IF($A167="","",IF(COUNTIF($B$2:$B167,$B167)=COUNTIF($B$2:$B$1601,$B167),$B167,""))</f>
        <v/>
      </c>
    </row>
    <row r="168" spans="1:11">
      <c r="A168" t="str">
        <f>IF('TMP Paste'!$E168="","",'TMP Paste'!$E168)</f>
        <v>26072704394823Gm6I9wq6hr</v>
      </c>
      <c r="B168">
        <f>IF($A168="","",COUNTIF('TMP Paste'!$B$2:$B168,"?*"))</f>
        <v>75</v>
      </c>
      <c r="C168">
        <f>IF($A168="","",IFERROR('TMP Paste'!$M168*1,0))</f>
        <v>1</v>
      </c>
      <c r="D168">
        <f>IF($A168="","",SUMIF($B$2:$B168,$B168,$C$2:$C168))</f>
        <v>2</v>
      </c>
      <c r="E168">
        <f>IF($A168="",0,IF('TMP Paste'!$B168="",0,1))</f>
        <v>0</v>
      </c>
      <c r="F168" t="str">
        <f t="shared" si="10"/>
        <v>26072704394823Gm6I9wq6hr-02</v>
      </c>
      <c r="G168" t="str">
        <f t="shared" si="11"/>
        <v>2607270439482393zNao8sB-01, 26072704394823Gm6I9wq6hr-02</v>
      </c>
      <c r="H168" t="str">
        <f t="shared" si="12"/>
        <v>26072704394823Gm6I9wq6hr (1)</v>
      </c>
      <c r="I168" t="str">
        <f t="shared" si="13"/>
        <v>2607270439482393zNao8sB (1), 26072704394823Gm6I9wq6hr (1)</v>
      </c>
      <c r="J168" t="str">
        <f t="shared" si="14"/>
        <v/>
      </c>
      <c r="K168" t="str">
        <f>IF($A168="","",IF(COUNTIF($B$2:$B168,$B168)=COUNTIF($B$2:$B$1601,$B168),$B168,""))</f>
        <v/>
      </c>
    </row>
    <row r="169" spans="1:11">
      <c r="A169" t="str">
        <f>IF('TMP Paste'!$E169="","",'TMP Paste'!$E169)</f>
        <v>26072704394824Ml6CU7knS</v>
      </c>
      <c r="B169">
        <f>IF($A169="","",COUNTIF('TMP Paste'!$B$2:$B169,"?*"))</f>
        <v>75</v>
      </c>
      <c r="C169">
        <f>IF($A169="","",IFERROR('TMP Paste'!$M169*1,0))</f>
        <v>1</v>
      </c>
      <c r="D169">
        <f>IF($A169="","",SUMIF($B$2:$B169,$B169,$C$2:$C169))</f>
        <v>3</v>
      </c>
      <c r="E169">
        <f>IF($A169="",0,IF('TMP Paste'!$B169="",0,1))</f>
        <v>0</v>
      </c>
      <c r="F169" t="str">
        <f t="shared" si="10"/>
        <v>26072704394824Ml6CU7knS-03</v>
      </c>
      <c r="G169" t="str">
        <f t="shared" si="11"/>
        <v>2607270439482393zNao8sB-01, 26072704394823Gm6I9wq6hr-02, 26072704394824Ml6CU7knS-03</v>
      </c>
      <c r="H169" t="str">
        <f t="shared" si="12"/>
        <v>26072704394824Ml6CU7knS (1)</v>
      </c>
      <c r="I169" t="str">
        <f t="shared" si="13"/>
        <v>2607270439482393zNao8sB (1), 26072704394823Gm6I9wq6hr (1), 26072704394824Ml6CU7knS (1)</v>
      </c>
      <c r="J169" t="str">
        <f t="shared" si="14"/>
        <v/>
      </c>
      <c r="K169" t="str">
        <f>IF($A169="","",IF(COUNTIF($B$2:$B169,$B169)=COUNTIF($B$2:$B$1601,$B169),$B169,""))</f>
        <v/>
      </c>
    </row>
    <row r="170" spans="1:11">
      <c r="A170" t="str">
        <f>IF('TMP Paste'!$E170="","",'TMP Paste'!$E170)</f>
        <v>260727235321734bAl7IjuPr</v>
      </c>
      <c r="B170">
        <f>IF($A170="","",COUNTIF('TMP Paste'!$B$2:$B170,"?*"))</f>
        <v>75</v>
      </c>
      <c r="C170">
        <f>IF($A170="","",IFERROR('TMP Paste'!$M170*1,0))</f>
        <v>1</v>
      </c>
      <c r="D170">
        <f>IF($A170="","",SUMIF($B$2:$B170,$B170,$C$2:$C170))</f>
        <v>4</v>
      </c>
      <c r="E170">
        <f>IF($A170="",0,IF('TMP Paste'!$B170="",0,1))</f>
        <v>0</v>
      </c>
      <c r="F170" t="str">
        <f t="shared" si="10"/>
        <v>260727235321734bAl7IjuPr-04</v>
      </c>
      <c r="G170" t="str">
        <f t="shared" si="11"/>
        <v>2607270439482393zNao8sB-01, 26072704394823Gm6I9wq6hr-02, 26072704394824Ml6CU7knS-03, 260727235321734bAl7IjuPr-04</v>
      </c>
      <c r="H170" t="str">
        <f t="shared" si="12"/>
        <v>260727235321734bAl7IjuPr (1)</v>
      </c>
      <c r="I170" t="str">
        <f t="shared" si="13"/>
        <v>2607270439482393zNao8sB (1), 26072704394823Gm6I9wq6hr (1), 26072704394824Ml6CU7knS (1), 260727235321734bAl7IjuPr (1)</v>
      </c>
      <c r="J170" t="str">
        <f t="shared" si="14"/>
        <v/>
      </c>
      <c r="K170" t="str">
        <f>IF($A170="","",IF(COUNTIF($B$2:$B170,$B170)=COUNTIF($B$2:$B$1601,$B170),$B170,""))</f>
        <v/>
      </c>
    </row>
    <row r="171" spans="1:11">
      <c r="A171" t="str">
        <f>IF('TMP Paste'!$E171="","",'TMP Paste'!$E171)</f>
        <v>26072723532173Xs4qp2z5Kd</v>
      </c>
      <c r="B171">
        <f>IF($A171="","",COUNTIF('TMP Paste'!$B$2:$B171,"?*"))</f>
        <v>75</v>
      </c>
      <c r="C171">
        <f>IF($A171="","",IFERROR('TMP Paste'!$M171*1,0))</f>
        <v>1</v>
      </c>
      <c r="D171">
        <f>IF($A171="","",SUMIF($B$2:$B171,$B171,$C$2:$C171))</f>
        <v>5</v>
      </c>
      <c r="E171">
        <f>IF($A171="",0,IF('TMP Paste'!$B171="",0,1))</f>
        <v>0</v>
      </c>
      <c r="F171" t="str">
        <f t="shared" si="10"/>
        <v>26072723532173Xs4qp2z5Kd-05</v>
      </c>
      <c r="G171" t="str">
        <f t="shared" si="11"/>
        <v>2607270439482393zNao8sB-01, 26072704394823Gm6I9wq6hr-02, 26072704394824Ml6CU7knS-03, 260727235321734bAl7IjuPr-04, 26072723532173Xs4qp2z5Kd-05</v>
      </c>
      <c r="H171" t="str">
        <f t="shared" si="12"/>
        <v>26072723532173Xs4qp2z5Kd (1)</v>
      </c>
      <c r="I171" t="str">
        <f t="shared" si="13"/>
        <v>2607270439482393zNao8sB (1), 26072704394823Gm6I9wq6hr (1), 26072704394824Ml6CU7knS (1), 260727235321734bAl7IjuPr (1), 26072723532173Xs4qp2z5Kd (1)</v>
      </c>
      <c r="J171" t="str">
        <f t="shared" si="14"/>
        <v/>
      </c>
      <c r="K171">
        <f>IF($A171="","",IF(COUNTIF($B$2:$B171,$B171)=COUNTIF($B$2:$B$1601,$B171),$B171,""))</f>
        <v>75</v>
      </c>
    </row>
    <row r="172" spans="1:11">
      <c r="A172" t="str">
        <f>IF('TMP Paste'!$E172="","",'TMP Paste'!$E172)</f>
        <v>26072801551625sxyIPgBq</v>
      </c>
      <c r="B172">
        <f>IF($A172="","",COUNTIF('TMP Paste'!$B$2:$B172,"?*"))</f>
        <v>76</v>
      </c>
      <c r="C172">
        <f>IF($A172="","",IFERROR('TMP Paste'!$M172*1,0))</f>
        <v>1</v>
      </c>
      <c r="D172">
        <f>IF($A172="","",SUMIF($B$2:$B172,$B172,$C$2:$C172))</f>
        <v>1</v>
      </c>
      <c r="E172">
        <f>IF($A172="",0,IF('TMP Paste'!$B172="",0,1))</f>
        <v>1</v>
      </c>
      <c r="F172" t="str">
        <f t="shared" si="10"/>
        <v>26072801551625sxyIPgBq-01</v>
      </c>
      <c r="G172" t="str">
        <f t="shared" si="11"/>
        <v>26072801551625sxyIPgBq-01</v>
      </c>
      <c r="H172" t="str">
        <f t="shared" si="12"/>
        <v>26072801551625sxyIPgBq (1)</v>
      </c>
      <c r="I172" t="str">
        <f t="shared" si="13"/>
        <v>26072801551625sxyIPgBq (1)</v>
      </c>
      <c r="J172">
        <f t="shared" si="14"/>
        <v>76</v>
      </c>
      <c r="K172" t="str">
        <f>IF($A172="","",IF(COUNTIF($B$2:$B172,$B172)=COUNTIF($B$2:$B$1601,$B172),$B172,""))</f>
        <v/>
      </c>
    </row>
    <row r="173" spans="1:11">
      <c r="A173" t="str">
        <f>IF('TMP Paste'!$E173="","",'TMP Paste'!$E173)</f>
        <v>26072801551625WGgqp9jEp3</v>
      </c>
      <c r="B173">
        <f>IF($A173="","",COUNTIF('TMP Paste'!$B$2:$B173,"?*"))</f>
        <v>76</v>
      </c>
      <c r="C173">
        <f>IF($A173="","",IFERROR('TMP Paste'!$M173*1,0))</f>
        <v>2</v>
      </c>
      <c r="D173">
        <f>IF($A173="","",SUMIF($B$2:$B173,$B173,$C$2:$C173))</f>
        <v>3</v>
      </c>
      <c r="E173">
        <f>IF($A173="",0,IF('TMP Paste'!$B173="",0,1))</f>
        <v>0</v>
      </c>
      <c r="F173" t="str">
        <f t="shared" si="10"/>
        <v>26072801551625WGgqp9jEp3-02, 26072801551625WGgqp9jEp3-03</v>
      </c>
      <c r="G173" t="str">
        <f t="shared" si="11"/>
        <v>26072801551625sxyIPgBq-01, 26072801551625WGgqp9jEp3-02, 26072801551625WGgqp9jEp3-03</v>
      </c>
      <c r="H173" t="str">
        <f t="shared" si="12"/>
        <v>26072801551625WGgqp9jEp3 (2)</v>
      </c>
      <c r="I173" t="str">
        <f t="shared" si="13"/>
        <v>26072801551625sxyIPgBq (1), 26072801551625WGgqp9jEp3 (2)</v>
      </c>
      <c r="J173" t="str">
        <f t="shared" si="14"/>
        <v/>
      </c>
      <c r="K173">
        <f>IF($A173="","",IF(COUNTIF($B$2:$B173,$B173)=COUNTIF($B$2:$B$1601,$B173),$B173,""))</f>
        <v>76</v>
      </c>
    </row>
    <row r="174" spans="1:11">
      <c r="A174" t="str">
        <f>IF('TMP Paste'!$E174="","",'TMP Paste'!$E174)</f>
        <v>260727044151853iD5rxzZZQ</v>
      </c>
      <c r="B174">
        <f>IF($A174="","",COUNTIF('TMP Paste'!$B$2:$B174,"?*"))</f>
        <v>77</v>
      </c>
      <c r="C174">
        <f>IF($A174="","",IFERROR('TMP Paste'!$M174*1,0))</f>
        <v>1</v>
      </c>
      <c r="D174">
        <f>IF($A174="","",SUMIF($B$2:$B174,$B174,$C$2:$C174))</f>
        <v>1</v>
      </c>
      <c r="E174">
        <f>IF($A174="",0,IF('TMP Paste'!$B174="",0,1))</f>
        <v>1</v>
      </c>
      <c r="F174" t="str">
        <f t="shared" si="10"/>
        <v>260727044151853iD5rxzZZQ-01</v>
      </c>
      <c r="G174" t="str">
        <f t="shared" si="11"/>
        <v>260727044151853iD5rxzZZQ-01</v>
      </c>
      <c r="H174" t="str">
        <f t="shared" si="12"/>
        <v>260727044151853iD5rxzZZQ (1)</v>
      </c>
      <c r="I174" t="str">
        <f t="shared" si="13"/>
        <v>260727044151853iD5rxzZZQ (1)</v>
      </c>
      <c r="J174">
        <f t="shared" si="14"/>
        <v>77</v>
      </c>
      <c r="K174" t="str">
        <f>IF($A174="","",IF(COUNTIF($B$2:$B174,$B174)=COUNTIF($B$2:$B$1601,$B174),$B174,""))</f>
        <v/>
      </c>
    </row>
    <row r="175" spans="1:11">
      <c r="A175" t="str">
        <f>IF('TMP Paste'!$E175="","",'TMP Paste'!$E175)</f>
        <v>260727044151856dvOp8PmR</v>
      </c>
      <c r="B175">
        <f>IF($A175="","",COUNTIF('TMP Paste'!$B$2:$B175,"?*"))</f>
        <v>77</v>
      </c>
      <c r="C175">
        <f>IF($A175="","",IFERROR('TMP Paste'!$M175*1,0))</f>
        <v>1</v>
      </c>
      <c r="D175">
        <f>IF($A175="","",SUMIF($B$2:$B175,$B175,$C$2:$C175))</f>
        <v>2</v>
      </c>
      <c r="E175">
        <f>IF($A175="",0,IF('TMP Paste'!$B175="",0,1))</f>
        <v>0</v>
      </c>
      <c r="F175" t="str">
        <f t="shared" si="10"/>
        <v>260727044151856dvOp8PmR-02</v>
      </c>
      <c r="G175" t="str">
        <f t="shared" si="11"/>
        <v>260727044151853iD5rxzZZQ-01, 260727044151856dvOp8PmR-02</v>
      </c>
      <c r="H175" t="str">
        <f t="shared" si="12"/>
        <v>260727044151856dvOp8PmR (1)</v>
      </c>
      <c r="I175" t="str">
        <f t="shared" si="13"/>
        <v>260727044151853iD5rxzZZQ (1), 260727044151856dvOp8PmR (1)</v>
      </c>
      <c r="J175" t="str">
        <f t="shared" si="14"/>
        <v/>
      </c>
      <c r="K175">
        <f>IF($A175="","",IF(COUNTIF($B$2:$B175,$B175)=COUNTIF($B$2:$B$1601,$B175),$B175,""))</f>
        <v>77</v>
      </c>
    </row>
    <row r="176" spans="1:11">
      <c r="A176" t="str">
        <f>IF('TMP Paste'!$E176="","",'TMP Paste'!$E176)</f>
        <v>26072803135291mG4ZXPwI1L</v>
      </c>
      <c r="B176">
        <f>IF($A176="","",COUNTIF('TMP Paste'!$B$2:$B176,"?*"))</f>
        <v>78</v>
      </c>
      <c r="C176">
        <f>IF($A176="","",IFERROR('TMP Paste'!$M176*1,0))</f>
        <v>1</v>
      </c>
      <c r="D176">
        <f>IF($A176="","",SUMIF($B$2:$B176,$B176,$C$2:$C176))</f>
        <v>1</v>
      </c>
      <c r="E176">
        <f>IF($A176="",0,IF('TMP Paste'!$B176="",0,1))</f>
        <v>1</v>
      </c>
      <c r="F176" t="str">
        <f t="shared" si="10"/>
        <v>26072803135291mG4ZXPwI1L-01</v>
      </c>
      <c r="G176" t="str">
        <f t="shared" si="11"/>
        <v>26072803135291mG4ZXPwI1L-01</v>
      </c>
      <c r="H176" t="str">
        <f t="shared" si="12"/>
        <v>26072803135291mG4ZXPwI1L (1)</v>
      </c>
      <c r="I176" t="str">
        <f t="shared" si="13"/>
        <v>26072803135291mG4ZXPwI1L (1)</v>
      </c>
      <c r="J176">
        <f t="shared" si="14"/>
        <v>78</v>
      </c>
      <c r="K176" t="str">
        <f>IF($A176="","",IF(COUNTIF($B$2:$B176,$B176)=COUNTIF($B$2:$B$1601,$B176),$B176,""))</f>
        <v/>
      </c>
    </row>
    <row r="177" spans="1:11">
      <c r="A177" t="str">
        <f>IF('TMP Paste'!$E177="","",'TMP Paste'!$E177)</f>
        <v>26072803135291nbcWvvqwh</v>
      </c>
      <c r="B177">
        <f>IF($A177="","",COUNTIF('TMP Paste'!$B$2:$B177,"?*"))</f>
        <v>78</v>
      </c>
      <c r="C177">
        <f>IF($A177="","",IFERROR('TMP Paste'!$M177*1,0))</f>
        <v>1</v>
      </c>
      <c r="D177">
        <f>IF($A177="","",SUMIF($B$2:$B177,$B177,$C$2:$C177))</f>
        <v>2</v>
      </c>
      <c r="E177">
        <f>IF($A177="",0,IF('TMP Paste'!$B177="",0,1))</f>
        <v>0</v>
      </c>
      <c r="F177" t="str">
        <f t="shared" si="10"/>
        <v>26072803135291nbcWvvqwh-02</v>
      </c>
      <c r="G177" t="str">
        <f t="shared" si="11"/>
        <v>26072803135291mG4ZXPwI1L-01, 26072803135291nbcWvvqwh-02</v>
      </c>
      <c r="H177" t="str">
        <f t="shared" si="12"/>
        <v>26072803135291nbcWvvqwh (1)</v>
      </c>
      <c r="I177" t="str">
        <f t="shared" si="13"/>
        <v>26072803135291mG4ZXPwI1L (1), 26072803135291nbcWvvqwh (1)</v>
      </c>
      <c r="J177" t="str">
        <f t="shared" si="14"/>
        <v/>
      </c>
      <c r="K177" t="str">
        <f>IF($A177="","",IF(COUNTIF($B$2:$B177,$B177)=COUNTIF($B$2:$B$1601,$B177),$B177,""))</f>
        <v/>
      </c>
    </row>
    <row r="178" spans="1:11">
      <c r="A178" t="str">
        <f>IF('TMP Paste'!$E178="","",'TMP Paste'!$E178)</f>
        <v>26072803135291Rk1rLwAi3Y</v>
      </c>
      <c r="B178">
        <f>IF($A178="","",COUNTIF('TMP Paste'!$B$2:$B178,"?*"))</f>
        <v>78</v>
      </c>
      <c r="C178">
        <f>IF($A178="","",IFERROR('TMP Paste'!$M178*1,0))</f>
        <v>1</v>
      </c>
      <c r="D178">
        <f>IF($A178="","",SUMIF($B$2:$B178,$B178,$C$2:$C178))</f>
        <v>3</v>
      </c>
      <c r="E178">
        <f>IF($A178="",0,IF('TMP Paste'!$B178="",0,1))</f>
        <v>0</v>
      </c>
      <c r="F178" t="str">
        <f t="shared" si="10"/>
        <v>26072803135291Rk1rLwAi3Y-03</v>
      </c>
      <c r="G178" t="str">
        <f t="shared" si="11"/>
        <v>26072803135291mG4ZXPwI1L-01, 26072803135291nbcWvvqwh-02, 26072803135291Rk1rLwAi3Y-03</v>
      </c>
      <c r="H178" t="str">
        <f t="shared" si="12"/>
        <v>26072803135291Rk1rLwAi3Y (1)</v>
      </c>
      <c r="I178" t="str">
        <f t="shared" si="13"/>
        <v>26072803135291mG4ZXPwI1L (1), 26072803135291nbcWvvqwh (1), 26072803135291Rk1rLwAi3Y (1)</v>
      </c>
      <c r="J178" t="str">
        <f t="shared" si="14"/>
        <v/>
      </c>
      <c r="K178">
        <f>IF($A178="","",IF(COUNTIF($B$2:$B178,$B178)=COUNTIF($B$2:$B$1601,$B178),$B178,""))</f>
        <v>78</v>
      </c>
    </row>
    <row r="179" spans="1:11">
      <c r="A179" t="str">
        <f>IF('TMP Paste'!$E179="","",'TMP Paste'!$E179)</f>
        <v>26072704525395I4KU23YdN</v>
      </c>
      <c r="B179">
        <f>IF($A179="","",COUNTIF('TMP Paste'!$B$2:$B179,"?*"))</f>
        <v>79</v>
      </c>
      <c r="C179">
        <f>IF($A179="","",IFERROR('TMP Paste'!$M179*1,0))</f>
        <v>1</v>
      </c>
      <c r="D179">
        <f>IF($A179="","",SUMIF($B$2:$B179,$B179,$C$2:$C179))</f>
        <v>1</v>
      </c>
      <c r="E179">
        <f>IF($A179="",0,IF('TMP Paste'!$B179="",0,1))</f>
        <v>1</v>
      </c>
      <c r="F179" t="str">
        <f t="shared" si="10"/>
        <v>26072704525395I4KU23YdN-01</v>
      </c>
      <c r="G179" t="str">
        <f t="shared" si="11"/>
        <v>26072704525395I4KU23YdN-01</v>
      </c>
      <c r="H179" t="str">
        <f t="shared" si="12"/>
        <v>26072704525395I4KU23YdN (1)</v>
      </c>
      <c r="I179" t="str">
        <f t="shared" si="13"/>
        <v>26072704525395I4KU23YdN (1)</v>
      </c>
      <c r="J179">
        <f t="shared" si="14"/>
        <v>79</v>
      </c>
      <c r="K179" t="str">
        <f>IF($A179="","",IF(COUNTIF($B$2:$B179,$B179)=COUNTIF($B$2:$B$1601,$B179),$B179,""))</f>
        <v/>
      </c>
    </row>
    <row r="180" spans="1:11">
      <c r="A180" t="str">
        <f>IF('TMP Paste'!$E180="","",'TMP Paste'!$E180)</f>
        <v>26072718234320aGdSAWb9d</v>
      </c>
      <c r="B180">
        <f>IF($A180="","",COUNTIF('TMP Paste'!$B$2:$B180,"?*"))</f>
        <v>79</v>
      </c>
      <c r="C180">
        <f>IF($A180="","",IFERROR('TMP Paste'!$M180*1,0))</f>
        <v>1</v>
      </c>
      <c r="D180">
        <f>IF($A180="","",SUMIF($B$2:$B180,$B180,$C$2:$C180))</f>
        <v>2</v>
      </c>
      <c r="E180">
        <f>IF($A180="",0,IF('TMP Paste'!$B180="",0,1))</f>
        <v>0</v>
      </c>
      <c r="F180" t="str">
        <f t="shared" si="10"/>
        <v>26072718234320aGdSAWb9d-02</v>
      </c>
      <c r="G180" t="str">
        <f t="shared" si="11"/>
        <v>26072704525395I4KU23YdN-01, 26072718234320aGdSAWb9d-02</v>
      </c>
      <c r="H180" t="str">
        <f t="shared" si="12"/>
        <v>26072718234320aGdSAWb9d (1)</v>
      </c>
      <c r="I180" t="str">
        <f t="shared" si="13"/>
        <v>26072704525395I4KU23YdN (1), 26072718234320aGdSAWb9d (1)</v>
      </c>
      <c r="J180" t="str">
        <f t="shared" si="14"/>
        <v/>
      </c>
      <c r="K180" t="str">
        <f>IF($A180="","",IF(COUNTIF($B$2:$B180,$B180)=COUNTIF($B$2:$B$1601,$B180),$B180,""))</f>
        <v/>
      </c>
    </row>
    <row r="181" spans="1:11">
      <c r="A181" t="str">
        <f>IF('TMP Paste'!$E181="","",'TMP Paste'!$E181)</f>
        <v>26072718234320Dzbd1ptYQl</v>
      </c>
      <c r="B181">
        <f>IF($A181="","",COUNTIF('TMP Paste'!$B$2:$B181,"?*"))</f>
        <v>79</v>
      </c>
      <c r="C181">
        <f>IF($A181="","",IFERROR('TMP Paste'!$M181*1,0))</f>
        <v>1</v>
      </c>
      <c r="D181">
        <f>IF($A181="","",SUMIF($B$2:$B181,$B181,$C$2:$C181))</f>
        <v>3</v>
      </c>
      <c r="E181">
        <f>IF($A181="",0,IF('TMP Paste'!$B181="",0,1))</f>
        <v>0</v>
      </c>
      <c r="F181" t="str">
        <f t="shared" si="10"/>
        <v>26072718234320Dzbd1ptYQl-03</v>
      </c>
      <c r="G181" t="str">
        <f t="shared" si="11"/>
        <v>26072704525395I4KU23YdN-01, 26072718234320aGdSAWb9d-02, 26072718234320Dzbd1ptYQl-03</v>
      </c>
      <c r="H181" t="str">
        <f t="shared" si="12"/>
        <v>26072718234320Dzbd1ptYQl (1)</v>
      </c>
      <c r="I181" t="str">
        <f t="shared" si="13"/>
        <v>26072704525395I4KU23YdN (1), 26072718234320aGdSAWb9d (1), 26072718234320Dzbd1ptYQl (1)</v>
      </c>
      <c r="J181" t="str">
        <f t="shared" si="14"/>
        <v/>
      </c>
      <c r="K181" t="str">
        <f>IF($A181="","",IF(COUNTIF($B$2:$B181,$B181)=COUNTIF($B$2:$B$1601,$B181),$B181,""))</f>
        <v/>
      </c>
    </row>
    <row r="182" spans="1:11">
      <c r="A182" t="str">
        <f>IF('TMP Paste'!$E182="","",'TMP Paste'!$E182)</f>
        <v>26072718234320hW25wTdVx</v>
      </c>
      <c r="B182">
        <f>IF($A182="","",COUNTIF('TMP Paste'!$B$2:$B182,"?*"))</f>
        <v>79</v>
      </c>
      <c r="C182">
        <f>IF($A182="","",IFERROR('TMP Paste'!$M182*1,0))</f>
        <v>0</v>
      </c>
      <c r="D182">
        <f>IF($A182="","",SUMIF($B$2:$B182,$B182,$C$2:$C182))</f>
        <v>3</v>
      </c>
      <c r="E182">
        <f>IF($A182="",0,IF('TMP Paste'!$B182="",0,1))</f>
        <v>0</v>
      </c>
      <c r="F182" t="str">
        <f t="shared" si="10"/>
        <v/>
      </c>
      <c r="G182" t="str">
        <f t="shared" si="11"/>
        <v>26072704525395I4KU23YdN-01, 26072718234320aGdSAWb9d-02, 26072718234320Dzbd1ptYQl-03</v>
      </c>
      <c r="H182" t="str">
        <f t="shared" si="12"/>
        <v>26072718234320hW25wTdVx (0)</v>
      </c>
      <c r="I182" t="str">
        <f t="shared" si="13"/>
        <v>26072704525395I4KU23YdN (1), 26072718234320aGdSAWb9d (1), 26072718234320Dzbd1ptYQl (1), 26072718234320hW25wTdVx (0)</v>
      </c>
      <c r="J182" t="str">
        <f t="shared" si="14"/>
        <v/>
      </c>
      <c r="K182">
        <f>IF($A182="","",IF(COUNTIF($B$2:$B182,$B182)=COUNTIF($B$2:$B$1601,$B182),$B182,""))</f>
        <v>79</v>
      </c>
    </row>
    <row r="183" spans="1:11">
      <c r="A183" t="str">
        <f>IF('TMP Paste'!$E183="","",'TMP Paste'!$E183)</f>
        <v>260728035413838c3In1BRD</v>
      </c>
      <c r="B183">
        <f>IF($A183="","",COUNTIF('TMP Paste'!$B$2:$B183,"?*"))</f>
        <v>80</v>
      </c>
      <c r="C183">
        <f>IF($A183="","",IFERROR('TMP Paste'!$M183*1,0))</f>
        <v>1</v>
      </c>
      <c r="D183">
        <f>IF($A183="","",SUMIF($B$2:$B183,$B183,$C$2:$C183))</f>
        <v>1</v>
      </c>
      <c r="E183">
        <f>IF($A183="",0,IF('TMP Paste'!$B183="",0,1))</f>
        <v>1</v>
      </c>
      <c r="F183" t="str">
        <f t="shared" si="10"/>
        <v>260728035413838c3In1BRD-01</v>
      </c>
      <c r="G183" t="str">
        <f t="shared" si="11"/>
        <v>260728035413838c3In1BRD-01</v>
      </c>
      <c r="H183" t="str">
        <f t="shared" si="12"/>
        <v>260728035413838c3In1BRD (1)</v>
      </c>
      <c r="I183" t="str">
        <f t="shared" si="13"/>
        <v>260728035413838c3In1BRD (1)</v>
      </c>
      <c r="J183">
        <f t="shared" si="14"/>
        <v>80</v>
      </c>
      <c r="K183">
        <f>IF($A183="","",IF(COUNTIF($B$2:$B183,$B183)=COUNTIF($B$2:$B$1601,$B183),$B183,""))</f>
        <v>80</v>
      </c>
    </row>
    <row r="184" spans="1:11">
      <c r="A184" t="str">
        <f>IF('TMP Paste'!$E184="","",'TMP Paste'!$E184)</f>
        <v>26072802325196gW8ys4jv7N</v>
      </c>
      <c r="B184">
        <f>IF($A184="","",COUNTIF('TMP Paste'!$B$2:$B184,"?*"))</f>
        <v>81</v>
      </c>
      <c r="C184">
        <f>IF($A184="","",IFERROR('TMP Paste'!$M184*1,0))</f>
        <v>1</v>
      </c>
      <c r="D184">
        <f>IF($A184="","",SUMIF($B$2:$B184,$B184,$C$2:$C184))</f>
        <v>1</v>
      </c>
      <c r="E184">
        <f>IF($A184="",0,IF('TMP Paste'!$B184="",0,1))</f>
        <v>1</v>
      </c>
      <c r="F184" t="str">
        <f t="shared" si="10"/>
        <v>26072802325196gW8ys4jv7N-01</v>
      </c>
      <c r="G184" t="str">
        <f t="shared" si="11"/>
        <v>26072802325196gW8ys4jv7N-01</v>
      </c>
      <c r="H184" t="str">
        <f t="shared" si="12"/>
        <v>26072802325196gW8ys4jv7N (1)</v>
      </c>
      <c r="I184" t="str">
        <f t="shared" si="13"/>
        <v>26072802325196gW8ys4jv7N (1)</v>
      </c>
      <c r="J184">
        <f t="shared" si="14"/>
        <v>81</v>
      </c>
      <c r="K184" t="str">
        <f>IF($A184="","",IF(COUNTIF($B$2:$B184,$B184)=COUNTIF($B$2:$B$1601,$B184),$B184,""))</f>
        <v/>
      </c>
    </row>
    <row r="185" spans="1:11">
      <c r="A185" t="str">
        <f>IF('TMP Paste'!$E185="","",'TMP Paste'!$E185)</f>
        <v>26072802325196jze2QN3u</v>
      </c>
      <c r="B185">
        <f>IF($A185="","",COUNTIF('TMP Paste'!$B$2:$B185,"?*"))</f>
        <v>81</v>
      </c>
      <c r="C185">
        <f>IF($A185="","",IFERROR('TMP Paste'!$M185*1,0))</f>
        <v>1</v>
      </c>
      <c r="D185">
        <f>IF($A185="","",SUMIF($B$2:$B185,$B185,$C$2:$C185))</f>
        <v>2</v>
      </c>
      <c r="E185">
        <f>IF($A185="",0,IF('TMP Paste'!$B185="",0,1))</f>
        <v>0</v>
      </c>
      <c r="F185" t="str">
        <f t="shared" si="10"/>
        <v>26072802325196jze2QN3u-02</v>
      </c>
      <c r="G185" t="str">
        <f t="shared" si="11"/>
        <v>26072802325196gW8ys4jv7N-01, 26072802325196jze2QN3u-02</v>
      </c>
      <c r="H185" t="str">
        <f t="shared" si="12"/>
        <v>26072802325196jze2QN3u (1)</v>
      </c>
      <c r="I185" t="str">
        <f t="shared" si="13"/>
        <v>26072802325196gW8ys4jv7N (1), 26072802325196jze2QN3u (1)</v>
      </c>
      <c r="J185" t="str">
        <f t="shared" si="14"/>
        <v/>
      </c>
      <c r="K185">
        <f>IF($A185="","",IF(COUNTIF($B$2:$B185,$B185)=COUNTIF($B$2:$B$1601,$B185),$B185,""))</f>
        <v>81</v>
      </c>
    </row>
    <row r="186" spans="1:11">
      <c r="A186" t="str">
        <f>IF('TMP Paste'!$E186="","",'TMP Paste'!$E186)</f>
        <v>260727103447597ygQw1Iek</v>
      </c>
      <c r="B186">
        <f>IF($A186="","",COUNTIF('TMP Paste'!$B$2:$B186,"?*"))</f>
        <v>82</v>
      </c>
      <c r="C186">
        <f>IF($A186="","",IFERROR('TMP Paste'!$M186*1,0))</f>
        <v>1</v>
      </c>
      <c r="D186">
        <f>IF($A186="","",SUMIF($B$2:$B186,$B186,$C$2:$C186))</f>
        <v>1</v>
      </c>
      <c r="E186">
        <f>IF($A186="",0,IF('TMP Paste'!$B186="",0,1))</f>
        <v>1</v>
      </c>
      <c r="F186" t="str">
        <f t="shared" si="10"/>
        <v>260727103447597ygQw1Iek-01</v>
      </c>
      <c r="G186" t="str">
        <f t="shared" si="11"/>
        <v>260727103447597ygQw1Iek-01</v>
      </c>
      <c r="H186" t="str">
        <f t="shared" si="12"/>
        <v>260727103447597ygQw1Iek (1)</v>
      </c>
      <c r="I186" t="str">
        <f t="shared" si="13"/>
        <v>260727103447597ygQw1Iek (1)</v>
      </c>
      <c r="J186">
        <f t="shared" si="14"/>
        <v>82</v>
      </c>
      <c r="K186">
        <f>IF($A186="","",IF(COUNTIF($B$2:$B186,$B186)=COUNTIF($B$2:$B$1601,$B186),$B186,""))</f>
        <v>82</v>
      </c>
    </row>
    <row r="187" spans="1:11">
      <c r="A187" t="str">
        <f>IF('TMP Paste'!$E187="","",'TMP Paste'!$E187)</f>
        <v>26072801351421YjqMztyUO</v>
      </c>
      <c r="B187">
        <f>IF($A187="","",COUNTIF('TMP Paste'!$B$2:$B187,"?*"))</f>
        <v>83</v>
      </c>
      <c r="C187">
        <f>IF($A187="","",IFERROR('TMP Paste'!$M187*1,0))</f>
        <v>1</v>
      </c>
      <c r="D187">
        <f>IF($A187="","",SUMIF($B$2:$B187,$B187,$C$2:$C187))</f>
        <v>1</v>
      </c>
      <c r="E187">
        <f>IF($A187="",0,IF('TMP Paste'!$B187="",0,1))</f>
        <v>1</v>
      </c>
      <c r="F187" t="str">
        <f t="shared" si="10"/>
        <v>26072801351421YjqMztyUO-01</v>
      </c>
      <c r="G187" t="str">
        <f t="shared" si="11"/>
        <v>26072801351421YjqMztyUO-01</v>
      </c>
      <c r="H187" t="str">
        <f t="shared" si="12"/>
        <v>26072801351421YjqMztyUO (1)</v>
      </c>
      <c r="I187" t="str">
        <f t="shared" si="13"/>
        <v>26072801351421YjqMztyUO (1)</v>
      </c>
      <c r="J187">
        <f t="shared" si="14"/>
        <v>83</v>
      </c>
      <c r="K187" t="str">
        <f>IF($A187="","",IF(COUNTIF($B$2:$B187,$B187)=COUNTIF($B$2:$B$1601,$B187),$B187,""))</f>
        <v/>
      </c>
    </row>
    <row r="188" spans="1:11">
      <c r="A188" t="str">
        <f>IF('TMP Paste'!$E188="","",'TMP Paste'!$E188)</f>
        <v>26072801381955q6rNfOrj1</v>
      </c>
      <c r="B188">
        <f>IF($A188="","",COUNTIF('TMP Paste'!$B$2:$B188,"?*"))</f>
        <v>83</v>
      </c>
      <c r="C188">
        <f>IF($A188="","",IFERROR('TMP Paste'!$M188*1,0))</f>
        <v>1</v>
      </c>
      <c r="D188">
        <f>IF($A188="","",SUMIF($B$2:$B188,$B188,$C$2:$C188))</f>
        <v>2</v>
      </c>
      <c r="E188">
        <f>IF($A188="",0,IF('TMP Paste'!$B188="",0,1))</f>
        <v>0</v>
      </c>
      <c r="F188" t="str">
        <f t="shared" si="10"/>
        <v>26072801381955q6rNfOrj1-02</v>
      </c>
      <c r="G188" t="str">
        <f t="shared" si="11"/>
        <v>26072801351421YjqMztyUO-01, 26072801381955q6rNfOrj1-02</v>
      </c>
      <c r="H188" t="str">
        <f t="shared" si="12"/>
        <v>26072801381955q6rNfOrj1 (1)</v>
      </c>
      <c r="I188" t="str">
        <f t="shared" si="13"/>
        <v>26072801351421YjqMztyUO (1), 26072801381955q6rNfOrj1 (1)</v>
      </c>
      <c r="J188" t="str">
        <f t="shared" si="14"/>
        <v/>
      </c>
      <c r="K188" t="str">
        <f>IF($A188="","",IF(COUNTIF($B$2:$B188,$B188)=COUNTIF($B$2:$B$1601,$B188),$B188,""))</f>
        <v/>
      </c>
    </row>
    <row r="189" spans="1:11">
      <c r="A189" t="str">
        <f>IF('TMP Paste'!$E189="","",'TMP Paste'!$E189)</f>
        <v>26072801393651dSYnaEYGG</v>
      </c>
      <c r="B189">
        <f>IF($A189="","",COUNTIF('TMP Paste'!$B$2:$B189,"?*"))</f>
        <v>83</v>
      </c>
      <c r="C189">
        <f>IF($A189="","",IFERROR('TMP Paste'!$M189*1,0))</f>
        <v>1</v>
      </c>
      <c r="D189">
        <f>IF($A189="","",SUMIF($B$2:$B189,$B189,$C$2:$C189))</f>
        <v>3</v>
      </c>
      <c r="E189">
        <f>IF($A189="",0,IF('TMP Paste'!$B189="",0,1))</f>
        <v>0</v>
      </c>
      <c r="F189" t="str">
        <f t="shared" si="10"/>
        <v>26072801393651dSYnaEYGG-03</v>
      </c>
      <c r="G189" t="str">
        <f t="shared" si="11"/>
        <v>26072801351421YjqMztyUO-01, 26072801381955q6rNfOrj1-02, 26072801393651dSYnaEYGG-03</v>
      </c>
      <c r="H189" t="str">
        <f t="shared" si="12"/>
        <v>26072801393651dSYnaEYGG (1)</v>
      </c>
      <c r="I189" t="str">
        <f t="shared" si="13"/>
        <v>26072801351421YjqMztyUO (1), 26072801381955q6rNfOrj1 (1), 26072801393651dSYnaEYGG (1)</v>
      </c>
      <c r="J189" t="str">
        <f t="shared" si="14"/>
        <v/>
      </c>
      <c r="K189">
        <f>IF($A189="","",IF(COUNTIF($B$2:$B189,$B189)=COUNTIF($B$2:$B$1601,$B189),$B189,""))</f>
        <v>83</v>
      </c>
    </row>
    <row r="190" spans="1:11">
      <c r="A190" t="str">
        <f>IF('TMP Paste'!$E190="","",'TMP Paste'!$E190)</f>
        <v>26072705432463mCmdfsUG</v>
      </c>
      <c r="B190">
        <f>IF($A190="","",COUNTIF('TMP Paste'!$B$2:$B190,"?*"))</f>
        <v>84</v>
      </c>
      <c r="C190">
        <f>IF($A190="","",IFERROR('TMP Paste'!$M190*1,0))</f>
        <v>1</v>
      </c>
      <c r="D190">
        <f>IF($A190="","",SUMIF($B$2:$B190,$B190,$C$2:$C190))</f>
        <v>1</v>
      </c>
      <c r="E190">
        <f>IF($A190="",0,IF('TMP Paste'!$B190="",0,1))</f>
        <v>1</v>
      </c>
      <c r="F190" t="str">
        <f t="shared" si="10"/>
        <v>26072705432463mCmdfsUG-01</v>
      </c>
      <c r="G190" t="str">
        <f t="shared" si="11"/>
        <v>26072705432463mCmdfsUG-01</v>
      </c>
      <c r="H190" t="str">
        <f t="shared" si="12"/>
        <v>26072705432463mCmdfsUG (1)</v>
      </c>
      <c r="I190" t="str">
        <f t="shared" si="13"/>
        <v>26072705432463mCmdfsUG (1)</v>
      </c>
      <c r="J190">
        <f t="shared" si="14"/>
        <v>84</v>
      </c>
      <c r="K190" t="str">
        <f>IF($A190="","",IF(COUNTIF($B$2:$B190,$B190)=COUNTIF($B$2:$B$1601,$B190),$B190,""))</f>
        <v/>
      </c>
    </row>
    <row r="191" spans="1:11">
      <c r="A191" t="str">
        <f>IF('TMP Paste'!$E191="","",'TMP Paste'!$E191)</f>
        <v>26072705432463mFMaJfopF2</v>
      </c>
      <c r="B191">
        <f>IF($A191="","",COUNTIF('TMP Paste'!$B$2:$B191,"?*"))</f>
        <v>84</v>
      </c>
      <c r="C191">
        <f>IF($A191="","",IFERROR('TMP Paste'!$M191*1,0))</f>
        <v>1</v>
      </c>
      <c r="D191">
        <f>IF($A191="","",SUMIF($B$2:$B191,$B191,$C$2:$C191))</f>
        <v>2</v>
      </c>
      <c r="E191">
        <f>IF($A191="",0,IF('TMP Paste'!$B191="",0,1))</f>
        <v>0</v>
      </c>
      <c r="F191" t="str">
        <f t="shared" si="10"/>
        <v>26072705432463mFMaJfopF2-02</v>
      </c>
      <c r="G191" t="str">
        <f t="shared" si="11"/>
        <v>26072705432463mCmdfsUG-01, 26072705432463mFMaJfopF2-02</v>
      </c>
      <c r="H191" t="str">
        <f t="shared" si="12"/>
        <v>26072705432463mFMaJfopF2 (1)</v>
      </c>
      <c r="I191" t="str">
        <f t="shared" si="13"/>
        <v>26072705432463mCmdfsUG (1), 26072705432463mFMaJfopF2 (1)</v>
      </c>
      <c r="J191" t="str">
        <f t="shared" si="14"/>
        <v/>
      </c>
      <c r="K191" t="str">
        <f>IF($A191="","",IF(COUNTIF($B$2:$B191,$B191)=COUNTIF($B$2:$B$1601,$B191),$B191,""))</f>
        <v/>
      </c>
    </row>
    <row r="192" spans="1:11">
      <c r="A192" t="str">
        <f>IF('TMP Paste'!$E192="","",'TMP Paste'!$E192)</f>
        <v>26072705480412Qsdw0vhHZ</v>
      </c>
      <c r="B192">
        <f>IF($A192="","",COUNTIF('TMP Paste'!$B$2:$B192,"?*"))</f>
        <v>84</v>
      </c>
      <c r="C192">
        <f>IF($A192="","",IFERROR('TMP Paste'!$M192*1,0))</f>
        <v>1</v>
      </c>
      <c r="D192">
        <f>IF($A192="","",SUMIF($B$2:$B192,$B192,$C$2:$C192))</f>
        <v>3</v>
      </c>
      <c r="E192">
        <f>IF($A192="",0,IF('TMP Paste'!$B192="",0,1))</f>
        <v>0</v>
      </c>
      <c r="F192" t="str">
        <f t="shared" si="10"/>
        <v>26072705480412Qsdw0vhHZ-03</v>
      </c>
      <c r="G192" t="str">
        <f t="shared" si="11"/>
        <v>26072705432463mCmdfsUG-01, 26072705432463mFMaJfopF2-02, 26072705480412Qsdw0vhHZ-03</v>
      </c>
      <c r="H192" t="str">
        <f t="shared" si="12"/>
        <v>26072705480412Qsdw0vhHZ (1)</v>
      </c>
      <c r="I192" t="str">
        <f t="shared" si="13"/>
        <v>26072705432463mCmdfsUG (1), 26072705432463mFMaJfopF2 (1), 26072705480412Qsdw0vhHZ (1)</v>
      </c>
      <c r="J192" t="str">
        <f t="shared" si="14"/>
        <v/>
      </c>
      <c r="K192">
        <f>IF($A192="","",IF(COUNTIF($B$2:$B192,$B192)=COUNTIF($B$2:$B$1601,$B192),$B192,""))</f>
        <v>84</v>
      </c>
    </row>
    <row r="193" spans="1:11">
      <c r="A193" t="str">
        <f>IF('TMP Paste'!$E193="","",'TMP Paste'!$E193)</f>
        <v>26072801113514LZIuux8B0</v>
      </c>
      <c r="B193">
        <f>IF($A193="","",COUNTIF('TMP Paste'!$B$2:$B193,"?*"))</f>
        <v>85</v>
      </c>
      <c r="C193">
        <f>IF($A193="","",IFERROR('TMP Paste'!$M193*1,0))</f>
        <v>1</v>
      </c>
      <c r="D193">
        <f>IF($A193="","",SUMIF($B$2:$B193,$B193,$C$2:$C193))</f>
        <v>1</v>
      </c>
      <c r="E193">
        <f>IF($A193="",0,IF('TMP Paste'!$B193="",0,1))</f>
        <v>1</v>
      </c>
      <c r="F193" t="str">
        <f t="shared" si="10"/>
        <v>26072801113514LZIuux8B0-01</v>
      </c>
      <c r="G193" t="str">
        <f t="shared" si="11"/>
        <v>26072801113514LZIuux8B0-01</v>
      </c>
      <c r="H193" t="str">
        <f t="shared" si="12"/>
        <v>26072801113514LZIuux8B0 (1)</v>
      </c>
      <c r="I193" t="str">
        <f t="shared" si="13"/>
        <v>26072801113514LZIuux8B0 (1)</v>
      </c>
      <c r="J193">
        <f t="shared" si="14"/>
        <v>85</v>
      </c>
      <c r="K193" t="str">
        <f>IF($A193="","",IF(COUNTIF($B$2:$B193,$B193)=COUNTIF($B$2:$B$1601,$B193),$B193,""))</f>
        <v/>
      </c>
    </row>
    <row r="194" spans="1:11">
      <c r="A194" t="str">
        <f>IF('TMP Paste'!$E194="","",'TMP Paste'!$E194)</f>
        <v>26072801321757afuJi4A5</v>
      </c>
      <c r="B194">
        <f>IF($A194="","",COUNTIF('TMP Paste'!$B$2:$B194,"?*"))</f>
        <v>85</v>
      </c>
      <c r="C194">
        <f>IF($A194="","",IFERROR('TMP Paste'!$M194*1,0))</f>
        <v>1</v>
      </c>
      <c r="D194">
        <f>IF($A194="","",SUMIF($B$2:$B194,$B194,$C$2:$C194))</f>
        <v>2</v>
      </c>
      <c r="E194">
        <f>IF($A194="",0,IF('TMP Paste'!$B194="",0,1))</f>
        <v>0</v>
      </c>
      <c r="F194" t="str">
        <f t="shared" ref="F194:F257" si="15">IF(OR($A194="",$C194&lt;1),"",$A194&amp;"-"&amp;TEXT(($D194-$C194+1),"00")&amp;IF($C194&gt;=2,", "&amp;$A194&amp;"-"&amp;TEXT(($D194-$C194+1)+1,"00"),"")&amp;IF($C194&gt;=3,", "&amp;$A194&amp;"-"&amp;TEXT(($D194-$C194+1)+2,"00"),"")&amp;IF($C194&gt;=4,", "&amp;$A194&amp;"-"&amp;TEXT(($D194-$C194+1)+3,"00"),"")&amp;IF($C194&gt;=5,", "&amp;$A194&amp;"-"&amp;TEXT(($D194-$C194+1)+4,"00"),"")&amp;IF($C194&gt;=6,", "&amp;$A194&amp;"-"&amp;TEXT(($D194-$C194+1)+5,"00"),"")&amp;IF($C194&gt;=7,", "&amp;$A194&amp;"-"&amp;TEXT(($D194-$C194+1)+6,"00"),"")&amp;IF($C194&gt;=8,", "&amp;$A194&amp;"-"&amp;TEXT(($D194-$C194+1)+7,"00"),"")&amp;IF($C194&gt;=9,", "&amp;$A194&amp;"-"&amp;TEXT(($D194-$C194+1)+8,"00"),"")&amp;IF($C194&gt;=10,", "&amp;$A194&amp;"-"&amp;TEXT(($D194-$C194+1)+9,"00"),"")&amp;IF($C194&gt;=11,", "&amp;$A194&amp;"-"&amp;TEXT(($D194-$C194+1)+10,"00"),"")&amp;IF($C194&gt;=12,", "&amp;$A194&amp;"-"&amp;TEXT(($D194-$C194+1)+11,"00"),"")&amp;IF($C194&gt;=13,", "&amp;$A194&amp;"-"&amp;TEXT(($D194-$C194+1)+12,"00"),"")&amp;IF($C194&gt;=14,", "&amp;$A194&amp;"-"&amp;TEXT(($D194-$C194+1)+13,"00"),"")&amp;IF($C194&gt;=15,", "&amp;$A194&amp;"-"&amp;TEXT(($D194-$C194+1)+14,"00"),"")&amp;IF($C194&gt;=16,", "&amp;$A194&amp;"-"&amp;TEXT(($D194-$C194+1)+15,"00"),"")&amp;IF($C194&gt;=17,", "&amp;$A194&amp;"-"&amp;TEXT(($D194-$C194+1)+16,"00"),"")&amp;IF($C194&gt;=18,", "&amp;$A194&amp;"-"&amp;TEXT(($D194-$C194+1)+17,"00"),"")&amp;IF($C194&gt;=19,", "&amp;$A194&amp;"-"&amp;TEXT(($D194-$C194+1)+18,"00"),"")&amp;IF($C194&gt;=20,", "&amp;$A194&amp;"-"&amp;TEXT(($D194-$C194+1)+19,"00"),"")&amp;IF($C194&gt;=21,", "&amp;$A194&amp;"-"&amp;TEXT(($D194-$C194+1)+20,"00"),"")&amp;IF($C194&gt;=22,", "&amp;$A194&amp;"-"&amp;TEXT(($D194-$C194+1)+21,"00"),"")&amp;IF($C194&gt;=23,", "&amp;$A194&amp;"-"&amp;TEXT(($D194-$C194+1)+22,"00"),"")&amp;IF($C194&gt;=24,", "&amp;$A194&amp;"-"&amp;TEXT(($D194-$C194+1)+23,"00"),"")&amp;IF($C194&gt;=25,", "&amp;$A194&amp;"-"&amp;TEXT(($D194-$C194+1)+24,"00"),""))</f>
        <v>26072801321757afuJi4A5-02</v>
      </c>
      <c r="G194" t="str">
        <f t="shared" ref="G194:G257" si="16">IF($A194="","",IF($E194=1,$F194,IF($F194="",$G193,IF($G193="",$F194,$G193&amp;", "&amp;$F194))))</f>
        <v>26072801113514LZIuux8B0-01, 26072801321757afuJi4A5-02</v>
      </c>
      <c r="H194" t="str">
        <f t="shared" ref="H194:H257" si="17">IF($A194="","",$A194&amp;" ("&amp;$C194&amp;")")</f>
        <v>26072801321757afuJi4A5 (1)</v>
      </c>
      <c r="I194" t="str">
        <f t="shared" ref="I194:I257" si="18">IF($A194="","",IF($E194=1,$H194,$I193&amp;", "&amp;$H194))</f>
        <v>26072801113514LZIuux8B0 (1), 26072801321757afuJi4A5 (1)</v>
      </c>
      <c r="J194" t="str">
        <f t="shared" ref="J194:J257" si="19">IF($A194="","",IF($E194=1,$B194,""))</f>
        <v/>
      </c>
      <c r="K194">
        <f>IF($A194="","",IF(COUNTIF($B$2:$B194,$B194)=COUNTIF($B$2:$B$1601,$B194),$B194,""))</f>
        <v>85</v>
      </c>
    </row>
    <row r="195" spans="1:11">
      <c r="A195" t="str">
        <f>IF('TMP Paste'!$E195="","",'TMP Paste'!$E195)</f>
        <v>26072804002186oZi2kDBx9</v>
      </c>
      <c r="B195">
        <f>IF($A195="","",COUNTIF('TMP Paste'!$B$2:$B195,"?*"))</f>
        <v>86</v>
      </c>
      <c r="C195">
        <f>IF($A195="","",IFERROR('TMP Paste'!$M195*1,0))</f>
        <v>6</v>
      </c>
      <c r="D195">
        <f>IF($A195="","",SUMIF($B$2:$B195,$B195,$C$2:$C195))</f>
        <v>6</v>
      </c>
      <c r="E195">
        <f>IF($A195="",0,IF('TMP Paste'!$B195="",0,1))</f>
        <v>1</v>
      </c>
      <c r="F195" t="str">
        <f t="shared" si="15"/>
        <v>26072804002186oZi2kDBx9-01, 26072804002186oZi2kDBx9-02, 26072804002186oZi2kDBx9-03, 26072804002186oZi2kDBx9-04, 26072804002186oZi2kDBx9-05, 26072804002186oZi2kDBx9-06</v>
      </c>
      <c r="G195" t="str">
        <f t="shared" si="16"/>
        <v>26072804002186oZi2kDBx9-01, 26072804002186oZi2kDBx9-02, 26072804002186oZi2kDBx9-03, 26072804002186oZi2kDBx9-04, 26072804002186oZi2kDBx9-05, 26072804002186oZi2kDBx9-06</v>
      </c>
      <c r="H195" t="str">
        <f t="shared" si="17"/>
        <v>26072804002186oZi2kDBx9 (6)</v>
      </c>
      <c r="I195" t="str">
        <f t="shared" si="18"/>
        <v>26072804002186oZi2kDBx9 (6)</v>
      </c>
      <c r="J195">
        <f t="shared" si="19"/>
        <v>86</v>
      </c>
      <c r="K195">
        <f>IF($A195="","",IF(COUNTIF($B$2:$B195,$B195)=COUNTIF($B$2:$B$1601,$B195),$B195,""))</f>
        <v>86</v>
      </c>
    </row>
    <row r="196" spans="1:11">
      <c r="A196" t="str">
        <f>IF('TMP Paste'!$E196="","",'TMP Paste'!$E196)</f>
        <v>26072803021338Zh4QmNI</v>
      </c>
      <c r="B196">
        <f>IF($A196="","",COUNTIF('TMP Paste'!$B$2:$B196,"?*"))</f>
        <v>87</v>
      </c>
      <c r="C196">
        <f>IF($A196="","",IFERROR('TMP Paste'!$M196*1,0))</f>
        <v>2</v>
      </c>
      <c r="D196">
        <f>IF($A196="","",SUMIF($B$2:$B196,$B196,$C$2:$C196))</f>
        <v>2</v>
      </c>
      <c r="E196">
        <f>IF($A196="",0,IF('TMP Paste'!$B196="",0,1))</f>
        <v>1</v>
      </c>
      <c r="F196" t="str">
        <f t="shared" si="15"/>
        <v>26072803021338Zh4QmNI-01, 26072803021338Zh4QmNI-02</v>
      </c>
      <c r="G196" t="str">
        <f t="shared" si="16"/>
        <v>26072803021338Zh4QmNI-01, 26072803021338Zh4QmNI-02</v>
      </c>
      <c r="H196" t="str">
        <f t="shared" si="17"/>
        <v>26072803021338Zh4QmNI (2)</v>
      </c>
      <c r="I196" t="str">
        <f t="shared" si="18"/>
        <v>26072803021338Zh4QmNI (2)</v>
      </c>
      <c r="J196">
        <f t="shared" si="19"/>
        <v>87</v>
      </c>
      <c r="K196">
        <f>IF($A196="","",IF(COUNTIF($B$2:$B196,$B196)=COUNTIF($B$2:$B$1601,$B196),$B196,""))</f>
        <v>87</v>
      </c>
    </row>
    <row r="197" spans="1:11">
      <c r="A197" t="str">
        <f>IF('TMP Paste'!$E197="","",'TMP Paste'!$E197)</f>
        <v>26072802471526O8iugwjMu</v>
      </c>
      <c r="B197">
        <f>IF($A197="","",COUNTIF('TMP Paste'!$B$2:$B197,"?*"))</f>
        <v>88</v>
      </c>
      <c r="C197">
        <f>IF($A197="","",IFERROR('TMP Paste'!$M197*1,0))</f>
        <v>1</v>
      </c>
      <c r="D197">
        <f>IF($A197="","",SUMIF($B$2:$B197,$B197,$C$2:$C197))</f>
        <v>1</v>
      </c>
      <c r="E197">
        <f>IF($A197="",0,IF('TMP Paste'!$B197="",0,1))</f>
        <v>1</v>
      </c>
      <c r="F197" t="str">
        <f t="shared" si="15"/>
        <v>26072802471526O8iugwjMu-01</v>
      </c>
      <c r="G197" t="str">
        <f t="shared" si="16"/>
        <v>26072802471526O8iugwjMu-01</v>
      </c>
      <c r="H197" t="str">
        <f t="shared" si="17"/>
        <v>26072802471526O8iugwjMu (1)</v>
      </c>
      <c r="I197" t="str">
        <f t="shared" si="18"/>
        <v>26072802471526O8iugwjMu (1)</v>
      </c>
      <c r="J197">
        <f t="shared" si="19"/>
        <v>88</v>
      </c>
      <c r="K197" t="str">
        <f>IF($A197="","",IF(COUNTIF($B$2:$B197,$B197)=COUNTIF($B$2:$B$1601,$B197),$B197,""))</f>
        <v/>
      </c>
    </row>
    <row r="198" spans="1:11">
      <c r="A198" t="str">
        <f>IF('TMP Paste'!$E198="","",'TMP Paste'!$E198)</f>
        <v>26072802471526z9hsjnLTJ</v>
      </c>
      <c r="B198">
        <f>IF($A198="","",COUNTIF('TMP Paste'!$B$2:$B198,"?*"))</f>
        <v>88</v>
      </c>
      <c r="C198">
        <f>IF($A198="","",IFERROR('TMP Paste'!$M198*1,0))</f>
        <v>1</v>
      </c>
      <c r="D198">
        <f>IF($A198="","",SUMIF($B$2:$B198,$B198,$C$2:$C198))</f>
        <v>2</v>
      </c>
      <c r="E198">
        <f>IF($A198="",0,IF('TMP Paste'!$B198="",0,1))</f>
        <v>0</v>
      </c>
      <c r="F198" t="str">
        <f t="shared" si="15"/>
        <v>26072802471526z9hsjnLTJ-02</v>
      </c>
      <c r="G198" t="str">
        <f t="shared" si="16"/>
        <v>26072802471526O8iugwjMu-01, 26072802471526z9hsjnLTJ-02</v>
      </c>
      <c r="H198" t="str">
        <f t="shared" si="17"/>
        <v>26072802471526z9hsjnLTJ (1)</v>
      </c>
      <c r="I198" t="str">
        <f t="shared" si="18"/>
        <v>26072802471526O8iugwjMu (1), 26072802471526z9hsjnLTJ (1)</v>
      </c>
      <c r="J198" t="str">
        <f t="shared" si="19"/>
        <v/>
      </c>
      <c r="K198">
        <f>IF($A198="","",IF(COUNTIF($B$2:$B198,$B198)=COUNTIF($B$2:$B$1601,$B198),$B198,""))</f>
        <v>88</v>
      </c>
    </row>
    <row r="199" spans="1:11">
      <c r="A199" t="str">
        <f>IF('TMP Paste'!$E199="","",'TMP Paste'!$E199)</f>
        <v>26072708201425aYVxmwwjQ</v>
      </c>
      <c r="B199">
        <f>IF($A199="","",COUNTIF('TMP Paste'!$B$2:$B199,"?*"))</f>
        <v>89</v>
      </c>
      <c r="C199">
        <f>IF($A199="","",IFERROR('TMP Paste'!$M199*1,0))</f>
        <v>2</v>
      </c>
      <c r="D199">
        <f>IF($A199="","",SUMIF($B$2:$B199,$B199,$C$2:$C199))</f>
        <v>2</v>
      </c>
      <c r="E199">
        <f>IF($A199="",0,IF('TMP Paste'!$B199="",0,1))</f>
        <v>1</v>
      </c>
      <c r="F199" t="str">
        <f t="shared" si="15"/>
        <v>26072708201425aYVxmwwjQ-01, 26072708201425aYVxmwwjQ-02</v>
      </c>
      <c r="G199" t="str">
        <f t="shared" si="16"/>
        <v>26072708201425aYVxmwwjQ-01, 26072708201425aYVxmwwjQ-02</v>
      </c>
      <c r="H199" t="str">
        <f t="shared" si="17"/>
        <v>26072708201425aYVxmwwjQ (2)</v>
      </c>
      <c r="I199" t="str">
        <f t="shared" si="18"/>
        <v>26072708201425aYVxmwwjQ (2)</v>
      </c>
      <c r="J199">
        <f t="shared" si="19"/>
        <v>89</v>
      </c>
      <c r="K199">
        <f>IF($A199="","",IF(COUNTIF($B$2:$B199,$B199)=COUNTIF($B$2:$B$1601,$B199),$B199,""))</f>
        <v>89</v>
      </c>
    </row>
    <row r="200" spans="1:11">
      <c r="A200" t="str">
        <f>IF('TMP Paste'!$E200="","",'TMP Paste'!$E200)</f>
        <v>26072803115903LmjXVdOL3</v>
      </c>
      <c r="B200">
        <f>IF($A200="","",COUNTIF('TMP Paste'!$B$2:$B200,"?*"))</f>
        <v>90</v>
      </c>
      <c r="C200">
        <f>IF($A200="","",IFERROR('TMP Paste'!$M200*1,0))</f>
        <v>1</v>
      </c>
      <c r="D200">
        <f>IF($A200="","",SUMIF($B$2:$B200,$B200,$C$2:$C200))</f>
        <v>1</v>
      </c>
      <c r="E200">
        <f>IF($A200="",0,IF('TMP Paste'!$B200="",0,1))</f>
        <v>1</v>
      </c>
      <c r="F200" t="str">
        <f t="shared" si="15"/>
        <v>26072803115903LmjXVdOL3-01</v>
      </c>
      <c r="G200" t="str">
        <f t="shared" si="16"/>
        <v>26072803115903LmjXVdOL3-01</v>
      </c>
      <c r="H200" t="str">
        <f t="shared" si="17"/>
        <v>26072803115903LmjXVdOL3 (1)</v>
      </c>
      <c r="I200" t="str">
        <f t="shared" si="18"/>
        <v>26072803115903LmjXVdOL3 (1)</v>
      </c>
      <c r="J200">
        <f t="shared" si="19"/>
        <v>90</v>
      </c>
      <c r="K200">
        <f>IF($A200="","",IF(COUNTIF($B$2:$B200,$B200)=COUNTIF($B$2:$B$1601,$B200),$B200,""))</f>
        <v>90</v>
      </c>
    </row>
    <row r="201" spans="1:11">
      <c r="A201" t="str">
        <f>IF('TMP Paste'!$E201="","",'TMP Paste'!$E201)</f>
        <v>26072710001492JtIouWR</v>
      </c>
      <c r="B201">
        <f>IF($A201="","",COUNTIF('TMP Paste'!$B$2:$B201,"?*"))</f>
        <v>91</v>
      </c>
      <c r="C201">
        <f>IF($A201="","",IFERROR('TMP Paste'!$M201*1,0))</f>
        <v>1</v>
      </c>
      <c r="D201">
        <f>IF($A201="","",SUMIF($B$2:$B201,$B201,$C$2:$C201))</f>
        <v>1</v>
      </c>
      <c r="E201">
        <f>IF($A201="",0,IF('TMP Paste'!$B201="",0,1))</f>
        <v>1</v>
      </c>
      <c r="F201" t="str">
        <f t="shared" si="15"/>
        <v>26072710001492JtIouWR-01</v>
      </c>
      <c r="G201" t="str">
        <f t="shared" si="16"/>
        <v>26072710001492JtIouWR-01</v>
      </c>
      <c r="H201" t="str">
        <f t="shared" si="17"/>
        <v>26072710001492JtIouWR (1)</v>
      </c>
      <c r="I201" t="str">
        <f t="shared" si="18"/>
        <v>26072710001492JtIouWR (1)</v>
      </c>
      <c r="J201">
        <f t="shared" si="19"/>
        <v>91</v>
      </c>
      <c r="K201">
        <f>IF($A201="","",IF(COUNTIF($B$2:$B201,$B201)=COUNTIF($B$2:$B$1601,$B201),$B201,""))</f>
        <v>91</v>
      </c>
    </row>
    <row r="202" spans="1:11">
      <c r="A202" t="str">
        <f>IF('TMP Paste'!$E202="","",'TMP Paste'!$E202)</f>
        <v>26072706094093claGJrOPv</v>
      </c>
      <c r="B202">
        <f>IF($A202="","",COUNTIF('TMP Paste'!$B$2:$B202,"?*"))</f>
        <v>92</v>
      </c>
      <c r="C202">
        <f>IF($A202="","",IFERROR('TMP Paste'!$M202*1,0))</f>
        <v>1</v>
      </c>
      <c r="D202">
        <f>IF($A202="","",SUMIF($B$2:$B202,$B202,$C$2:$C202))</f>
        <v>1</v>
      </c>
      <c r="E202">
        <f>IF($A202="",0,IF('TMP Paste'!$B202="",0,1))</f>
        <v>1</v>
      </c>
      <c r="F202" t="str">
        <f t="shared" si="15"/>
        <v>26072706094093claGJrOPv-01</v>
      </c>
      <c r="G202" t="str">
        <f t="shared" si="16"/>
        <v>26072706094093claGJrOPv-01</v>
      </c>
      <c r="H202" t="str">
        <f t="shared" si="17"/>
        <v>26072706094093claGJrOPv (1)</v>
      </c>
      <c r="I202" t="str">
        <f t="shared" si="18"/>
        <v>26072706094093claGJrOPv (1)</v>
      </c>
      <c r="J202">
        <f t="shared" si="19"/>
        <v>92</v>
      </c>
      <c r="K202">
        <f>IF($A202="","",IF(COUNTIF($B$2:$B202,$B202)=COUNTIF($B$2:$B$1601,$B202),$B202,""))</f>
        <v>92</v>
      </c>
    </row>
    <row r="203" spans="1:11">
      <c r="A203" t="str">
        <f>IF('TMP Paste'!$E203="","",'TMP Paste'!$E203)</f>
        <v>26072803323613WkEOM8tgI</v>
      </c>
      <c r="B203">
        <f>IF($A203="","",COUNTIF('TMP Paste'!$B$2:$B203,"?*"))</f>
        <v>93</v>
      </c>
      <c r="C203">
        <f>IF($A203="","",IFERROR('TMP Paste'!$M203*1,0))</f>
        <v>1</v>
      </c>
      <c r="D203">
        <f>IF($A203="","",SUMIF($B$2:$B203,$B203,$C$2:$C203))</f>
        <v>1</v>
      </c>
      <c r="E203">
        <f>IF($A203="",0,IF('TMP Paste'!$B203="",0,1))</f>
        <v>1</v>
      </c>
      <c r="F203" t="str">
        <f t="shared" si="15"/>
        <v>26072803323613WkEOM8tgI-01</v>
      </c>
      <c r="G203" t="str">
        <f t="shared" si="16"/>
        <v>26072803323613WkEOM8tgI-01</v>
      </c>
      <c r="H203" t="str">
        <f t="shared" si="17"/>
        <v>26072803323613WkEOM8tgI (1)</v>
      </c>
      <c r="I203" t="str">
        <f t="shared" si="18"/>
        <v>26072803323613WkEOM8tgI (1)</v>
      </c>
      <c r="J203">
        <f t="shared" si="19"/>
        <v>93</v>
      </c>
      <c r="K203">
        <f>IF($A203="","",IF(COUNTIF($B$2:$B203,$B203)=COUNTIF($B$2:$B$1601,$B203),$B203,""))</f>
        <v>93</v>
      </c>
    </row>
    <row r="204" spans="1:11">
      <c r="A204" t="str">
        <f>IF('TMP Paste'!$E204="","",'TMP Paste'!$E204)</f>
        <v>26072402204805FMqFOqqif</v>
      </c>
      <c r="B204">
        <f>IF($A204="","",COUNTIF('TMP Paste'!$B$2:$B204,"?*"))</f>
        <v>94</v>
      </c>
      <c r="C204">
        <f>IF($A204="","",IFERROR('TMP Paste'!$M204*1,0))</f>
        <v>1</v>
      </c>
      <c r="D204">
        <f>IF($A204="","",SUMIF($B$2:$B204,$B204,$C$2:$C204))</f>
        <v>1</v>
      </c>
      <c r="E204">
        <f>IF($A204="",0,IF('TMP Paste'!$B204="",0,1))</f>
        <v>1</v>
      </c>
      <c r="F204" t="str">
        <f t="shared" si="15"/>
        <v>26072402204805FMqFOqqif-01</v>
      </c>
      <c r="G204" t="str">
        <f t="shared" si="16"/>
        <v>26072402204805FMqFOqqif-01</v>
      </c>
      <c r="H204" t="str">
        <f t="shared" si="17"/>
        <v>26072402204805FMqFOqqif (1)</v>
      </c>
      <c r="I204" t="str">
        <f t="shared" si="18"/>
        <v>26072402204805FMqFOqqif (1)</v>
      </c>
      <c r="J204">
        <f t="shared" si="19"/>
        <v>94</v>
      </c>
      <c r="K204">
        <f>IF($A204="","",IF(COUNTIF($B$2:$B204,$B204)=COUNTIF($B$2:$B$1601,$B204),$B204,""))</f>
        <v>94</v>
      </c>
    </row>
    <row r="205" spans="1:11">
      <c r="A205" t="str">
        <f>IF('TMP Paste'!$E205="","",'TMP Paste'!$E205)</f>
        <v/>
      </c>
      <c r="B205" t="str">
        <f>IF($A205="","",COUNTIF('TMP Paste'!$B$2:$B205,"?*"))</f>
        <v/>
      </c>
      <c r="C205" t="str">
        <f>IF($A205="","",IFERROR('TMP Paste'!$M205*1,0))</f>
        <v/>
      </c>
      <c r="D205" t="str">
        <f>IF($A205="","",SUMIF($B$2:$B205,$B205,$C$2:$C205))</f>
        <v/>
      </c>
      <c r="E205">
        <f>IF($A205="",0,IF('TMP Paste'!$B205="",0,1))</f>
        <v>0</v>
      </c>
      <c r="F205" t="str">
        <f t="shared" si="15"/>
        <v/>
      </c>
      <c r="G205" t="str">
        <f t="shared" si="16"/>
        <v/>
      </c>
      <c r="H205" t="str">
        <f t="shared" si="17"/>
        <v/>
      </c>
      <c r="I205" t="str">
        <f t="shared" si="18"/>
        <v/>
      </c>
      <c r="J205" t="str">
        <f t="shared" si="19"/>
        <v/>
      </c>
      <c r="K205" t="str">
        <f>IF($A205="","",IF(COUNTIF($B$2:$B205,$B205)=COUNTIF($B$2:$B$1601,$B205),$B205,""))</f>
        <v/>
      </c>
    </row>
    <row r="206" spans="1:11">
      <c r="A206" t="str">
        <f>IF('TMP Paste'!$E206="","",'TMP Paste'!$E206)</f>
        <v/>
      </c>
      <c r="B206" t="str">
        <f>IF($A206="","",COUNTIF('TMP Paste'!$B$2:$B206,"?*"))</f>
        <v/>
      </c>
      <c r="C206" t="str">
        <f>IF($A206="","",IFERROR('TMP Paste'!$M206*1,0))</f>
        <v/>
      </c>
      <c r="D206" t="str">
        <f>IF($A206="","",SUMIF($B$2:$B206,$B206,$C$2:$C206))</f>
        <v/>
      </c>
      <c r="E206">
        <f>IF($A206="",0,IF('TMP Paste'!$B206="",0,1))</f>
        <v>0</v>
      </c>
      <c r="F206" t="str">
        <f t="shared" si="15"/>
        <v/>
      </c>
      <c r="G206" t="str">
        <f t="shared" si="16"/>
        <v/>
      </c>
      <c r="H206" t="str">
        <f t="shared" si="17"/>
        <v/>
      </c>
      <c r="I206" t="str">
        <f t="shared" si="18"/>
        <v/>
      </c>
      <c r="J206" t="str">
        <f t="shared" si="19"/>
        <v/>
      </c>
      <c r="K206" t="str">
        <f>IF($A206="","",IF(COUNTIF($B$2:$B206,$B206)=COUNTIF($B$2:$B$1601,$B206),$B206,""))</f>
        <v/>
      </c>
    </row>
    <row r="207" spans="1:11">
      <c r="A207" t="str">
        <f>IF('TMP Paste'!$E207="","",'TMP Paste'!$E207)</f>
        <v/>
      </c>
      <c r="B207" t="str">
        <f>IF($A207="","",COUNTIF('TMP Paste'!$B$2:$B207,"?*"))</f>
        <v/>
      </c>
      <c r="C207" t="str">
        <f>IF($A207="","",IFERROR('TMP Paste'!$M207*1,0))</f>
        <v/>
      </c>
      <c r="D207" t="str">
        <f>IF($A207="","",SUMIF($B$2:$B207,$B207,$C$2:$C207))</f>
        <v/>
      </c>
      <c r="E207">
        <f>IF($A207="",0,IF('TMP Paste'!$B207="",0,1))</f>
        <v>0</v>
      </c>
      <c r="F207" t="str">
        <f t="shared" si="15"/>
        <v/>
      </c>
      <c r="G207" t="str">
        <f t="shared" si="16"/>
        <v/>
      </c>
      <c r="H207" t="str">
        <f t="shared" si="17"/>
        <v/>
      </c>
      <c r="I207" t="str">
        <f t="shared" si="18"/>
        <v/>
      </c>
      <c r="J207" t="str">
        <f t="shared" si="19"/>
        <v/>
      </c>
      <c r="K207" t="str">
        <f>IF($A207="","",IF(COUNTIF($B$2:$B207,$B207)=COUNTIF($B$2:$B$1601,$B207),$B207,""))</f>
        <v/>
      </c>
    </row>
    <row r="208" spans="1:11">
      <c r="A208" t="str">
        <f>IF('TMP Paste'!$E208="","",'TMP Paste'!$E208)</f>
        <v/>
      </c>
      <c r="B208" t="str">
        <f>IF($A208="","",COUNTIF('TMP Paste'!$B$2:$B208,"?*"))</f>
        <v/>
      </c>
      <c r="C208" t="str">
        <f>IF($A208="","",IFERROR('TMP Paste'!$M208*1,0))</f>
        <v/>
      </c>
      <c r="D208" t="str">
        <f>IF($A208="","",SUMIF($B$2:$B208,$B208,$C$2:$C208))</f>
        <v/>
      </c>
      <c r="E208">
        <f>IF($A208="",0,IF('TMP Paste'!$B208="",0,1))</f>
        <v>0</v>
      </c>
      <c r="F208" t="str">
        <f t="shared" si="15"/>
        <v/>
      </c>
      <c r="G208" t="str">
        <f t="shared" si="16"/>
        <v/>
      </c>
      <c r="H208" t="str">
        <f t="shared" si="17"/>
        <v/>
      </c>
      <c r="I208" t="str">
        <f t="shared" si="18"/>
        <v/>
      </c>
      <c r="J208" t="str">
        <f t="shared" si="19"/>
        <v/>
      </c>
      <c r="K208" t="str">
        <f>IF($A208="","",IF(COUNTIF($B$2:$B208,$B208)=COUNTIF($B$2:$B$1601,$B208),$B208,""))</f>
        <v/>
      </c>
    </row>
    <row r="209" spans="1:11">
      <c r="A209" t="str">
        <f>IF('TMP Paste'!$E209="","",'TMP Paste'!$E209)</f>
        <v/>
      </c>
      <c r="B209" t="str">
        <f>IF($A209="","",COUNTIF('TMP Paste'!$B$2:$B209,"?*"))</f>
        <v/>
      </c>
      <c r="C209" t="str">
        <f>IF($A209="","",IFERROR('TMP Paste'!$M209*1,0))</f>
        <v/>
      </c>
      <c r="D209" t="str">
        <f>IF($A209="","",SUMIF($B$2:$B209,$B209,$C$2:$C209))</f>
        <v/>
      </c>
      <c r="E209">
        <f>IF($A209="",0,IF('TMP Paste'!$B209="",0,1))</f>
        <v>0</v>
      </c>
      <c r="F209" t="str">
        <f t="shared" si="15"/>
        <v/>
      </c>
      <c r="G209" t="str">
        <f t="shared" si="16"/>
        <v/>
      </c>
      <c r="H209" t="str">
        <f t="shared" si="17"/>
        <v/>
      </c>
      <c r="I209" t="str">
        <f t="shared" si="18"/>
        <v/>
      </c>
      <c r="J209" t="str">
        <f t="shared" si="19"/>
        <v/>
      </c>
      <c r="K209" t="str">
        <f>IF($A209="","",IF(COUNTIF($B$2:$B209,$B209)=COUNTIF($B$2:$B$1601,$B209),$B209,""))</f>
        <v/>
      </c>
    </row>
    <row r="210" spans="1:11">
      <c r="A210" t="str">
        <f>IF('TMP Paste'!$E210="","",'TMP Paste'!$E210)</f>
        <v/>
      </c>
      <c r="B210" t="str">
        <f>IF($A210="","",COUNTIF('TMP Paste'!$B$2:$B210,"?*"))</f>
        <v/>
      </c>
      <c r="C210" t="str">
        <f>IF($A210="","",IFERROR('TMP Paste'!$M210*1,0))</f>
        <v/>
      </c>
      <c r="D210" t="str">
        <f>IF($A210="","",SUMIF($B$2:$B210,$B210,$C$2:$C210))</f>
        <v/>
      </c>
      <c r="E210">
        <f>IF($A210="",0,IF('TMP Paste'!$B210="",0,1))</f>
        <v>0</v>
      </c>
      <c r="F210" t="str">
        <f t="shared" si="15"/>
        <v/>
      </c>
      <c r="G210" t="str">
        <f t="shared" si="16"/>
        <v/>
      </c>
      <c r="H210" t="str">
        <f t="shared" si="17"/>
        <v/>
      </c>
      <c r="I210" t="str">
        <f t="shared" si="18"/>
        <v/>
      </c>
      <c r="J210" t="str">
        <f t="shared" si="19"/>
        <v/>
      </c>
      <c r="K210" t="str">
        <f>IF($A210="","",IF(COUNTIF($B$2:$B210,$B210)=COUNTIF($B$2:$B$1601,$B210),$B210,""))</f>
        <v/>
      </c>
    </row>
    <row r="211" spans="1:11">
      <c r="A211" t="str">
        <f>IF('TMP Paste'!$E211="","",'TMP Paste'!$E211)</f>
        <v/>
      </c>
      <c r="B211" t="str">
        <f>IF($A211="","",COUNTIF('TMP Paste'!$B$2:$B211,"?*"))</f>
        <v/>
      </c>
      <c r="C211" t="str">
        <f>IF($A211="","",IFERROR('TMP Paste'!$M211*1,0))</f>
        <v/>
      </c>
      <c r="D211" t="str">
        <f>IF($A211="","",SUMIF($B$2:$B211,$B211,$C$2:$C211))</f>
        <v/>
      </c>
      <c r="E211">
        <f>IF($A211="",0,IF('TMP Paste'!$B211="",0,1))</f>
        <v>0</v>
      </c>
      <c r="F211" t="str">
        <f t="shared" si="15"/>
        <v/>
      </c>
      <c r="G211" t="str">
        <f t="shared" si="16"/>
        <v/>
      </c>
      <c r="H211" t="str">
        <f t="shared" si="17"/>
        <v/>
      </c>
      <c r="I211" t="str">
        <f t="shared" si="18"/>
        <v/>
      </c>
      <c r="J211" t="str">
        <f t="shared" si="19"/>
        <v/>
      </c>
      <c r="K211" t="str">
        <f>IF($A211="","",IF(COUNTIF($B$2:$B211,$B211)=COUNTIF($B$2:$B$1601,$B211),$B211,""))</f>
        <v/>
      </c>
    </row>
    <row r="212" spans="1:11">
      <c r="A212" t="str">
        <f>IF('TMP Paste'!$E212="","",'TMP Paste'!$E212)</f>
        <v/>
      </c>
      <c r="B212" t="str">
        <f>IF($A212="","",COUNTIF('TMP Paste'!$B$2:$B212,"?*"))</f>
        <v/>
      </c>
      <c r="C212" t="str">
        <f>IF($A212="","",IFERROR('TMP Paste'!$M212*1,0))</f>
        <v/>
      </c>
      <c r="D212" t="str">
        <f>IF($A212="","",SUMIF($B$2:$B212,$B212,$C$2:$C212))</f>
        <v/>
      </c>
      <c r="E212">
        <f>IF($A212="",0,IF('TMP Paste'!$B212="",0,1))</f>
        <v>0</v>
      </c>
      <c r="F212" t="str">
        <f t="shared" si="15"/>
        <v/>
      </c>
      <c r="G212" t="str">
        <f t="shared" si="16"/>
        <v/>
      </c>
      <c r="H212" t="str">
        <f t="shared" si="17"/>
        <v/>
      </c>
      <c r="I212" t="str">
        <f t="shared" si="18"/>
        <v/>
      </c>
      <c r="J212" t="str">
        <f t="shared" si="19"/>
        <v/>
      </c>
      <c r="K212" t="str">
        <f>IF($A212="","",IF(COUNTIF($B$2:$B212,$B212)=COUNTIF($B$2:$B$1601,$B212),$B212,""))</f>
        <v/>
      </c>
    </row>
    <row r="213" spans="1:11">
      <c r="A213" t="str">
        <f>IF('TMP Paste'!$E213="","",'TMP Paste'!$E213)</f>
        <v/>
      </c>
      <c r="B213" t="str">
        <f>IF($A213="","",COUNTIF('TMP Paste'!$B$2:$B213,"?*"))</f>
        <v/>
      </c>
      <c r="C213" t="str">
        <f>IF($A213="","",IFERROR('TMP Paste'!$M213*1,0))</f>
        <v/>
      </c>
      <c r="D213" t="str">
        <f>IF($A213="","",SUMIF($B$2:$B213,$B213,$C$2:$C213))</f>
        <v/>
      </c>
      <c r="E213">
        <f>IF($A213="",0,IF('TMP Paste'!$B213="",0,1))</f>
        <v>0</v>
      </c>
      <c r="F213" t="str">
        <f t="shared" si="15"/>
        <v/>
      </c>
      <c r="G213" t="str">
        <f t="shared" si="16"/>
        <v/>
      </c>
      <c r="H213" t="str">
        <f t="shared" si="17"/>
        <v/>
      </c>
      <c r="I213" t="str">
        <f t="shared" si="18"/>
        <v/>
      </c>
      <c r="J213" t="str">
        <f t="shared" si="19"/>
        <v/>
      </c>
      <c r="K213" t="str">
        <f>IF($A213="","",IF(COUNTIF($B$2:$B213,$B213)=COUNTIF($B$2:$B$1601,$B213),$B213,""))</f>
        <v/>
      </c>
    </row>
    <row r="214" spans="1:11">
      <c r="A214" t="str">
        <f>IF('TMP Paste'!$E214="","",'TMP Paste'!$E214)</f>
        <v/>
      </c>
      <c r="B214" t="str">
        <f>IF($A214="","",COUNTIF('TMP Paste'!$B$2:$B214,"?*"))</f>
        <v/>
      </c>
      <c r="C214" t="str">
        <f>IF($A214="","",IFERROR('TMP Paste'!$M214*1,0))</f>
        <v/>
      </c>
      <c r="D214" t="str">
        <f>IF($A214="","",SUMIF($B$2:$B214,$B214,$C$2:$C214))</f>
        <v/>
      </c>
      <c r="E214">
        <f>IF($A214="",0,IF('TMP Paste'!$B214="",0,1))</f>
        <v>0</v>
      </c>
      <c r="F214" t="str">
        <f t="shared" si="15"/>
        <v/>
      </c>
      <c r="G214" t="str">
        <f t="shared" si="16"/>
        <v/>
      </c>
      <c r="H214" t="str">
        <f t="shared" si="17"/>
        <v/>
      </c>
      <c r="I214" t="str">
        <f t="shared" si="18"/>
        <v/>
      </c>
      <c r="J214" t="str">
        <f t="shared" si="19"/>
        <v/>
      </c>
      <c r="K214" t="str">
        <f>IF($A214="","",IF(COUNTIF($B$2:$B214,$B214)=COUNTIF($B$2:$B$1601,$B214),$B214,""))</f>
        <v/>
      </c>
    </row>
    <row r="215" spans="1:11">
      <c r="A215" t="str">
        <f>IF('TMP Paste'!$E215="","",'TMP Paste'!$E215)</f>
        <v/>
      </c>
      <c r="B215" t="str">
        <f>IF($A215="","",COUNTIF('TMP Paste'!$B$2:$B215,"?*"))</f>
        <v/>
      </c>
      <c r="C215" t="str">
        <f>IF($A215="","",IFERROR('TMP Paste'!$M215*1,0))</f>
        <v/>
      </c>
      <c r="D215" t="str">
        <f>IF($A215="","",SUMIF($B$2:$B215,$B215,$C$2:$C215))</f>
        <v/>
      </c>
      <c r="E215">
        <f>IF($A215="",0,IF('TMP Paste'!$B215="",0,1))</f>
        <v>0</v>
      </c>
      <c r="F215" t="str">
        <f t="shared" si="15"/>
        <v/>
      </c>
      <c r="G215" t="str">
        <f t="shared" si="16"/>
        <v/>
      </c>
      <c r="H215" t="str">
        <f t="shared" si="17"/>
        <v/>
      </c>
      <c r="I215" t="str">
        <f t="shared" si="18"/>
        <v/>
      </c>
      <c r="J215" t="str">
        <f t="shared" si="19"/>
        <v/>
      </c>
      <c r="K215" t="str">
        <f>IF($A215="","",IF(COUNTIF($B$2:$B215,$B215)=COUNTIF($B$2:$B$1601,$B215),$B215,""))</f>
        <v/>
      </c>
    </row>
    <row r="216" spans="1:11">
      <c r="A216" t="str">
        <f>IF('TMP Paste'!$E216="","",'TMP Paste'!$E216)</f>
        <v/>
      </c>
      <c r="B216" t="str">
        <f>IF($A216="","",COUNTIF('TMP Paste'!$B$2:$B216,"?*"))</f>
        <v/>
      </c>
      <c r="C216" t="str">
        <f>IF($A216="","",IFERROR('TMP Paste'!$M216*1,0))</f>
        <v/>
      </c>
      <c r="D216" t="str">
        <f>IF($A216="","",SUMIF($B$2:$B216,$B216,$C$2:$C216))</f>
        <v/>
      </c>
      <c r="E216">
        <f>IF($A216="",0,IF('TMP Paste'!$B216="",0,1))</f>
        <v>0</v>
      </c>
      <c r="F216" t="str">
        <f t="shared" si="15"/>
        <v/>
      </c>
      <c r="G216" t="str">
        <f t="shared" si="16"/>
        <v/>
      </c>
      <c r="H216" t="str">
        <f t="shared" si="17"/>
        <v/>
      </c>
      <c r="I216" t="str">
        <f t="shared" si="18"/>
        <v/>
      </c>
      <c r="J216" t="str">
        <f t="shared" si="19"/>
        <v/>
      </c>
      <c r="K216" t="str">
        <f>IF($A216="","",IF(COUNTIF($B$2:$B216,$B216)=COUNTIF($B$2:$B$1601,$B216),$B216,""))</f>
        <v/>
      </c>
    </row>
    <row r="217" spans="1:11">
      <c r="A217" t="str">
        <f>IF('TMP Paste'!$E217="","",'TMP Paste'!$E217)</f>
        <v/>
      </c>
      <c r="B217" t="str">
        <f>IF($A217="","",COUNTIF('TMP Paste'!$B$2:$B217,"?*"))</f>
        <v/>
      </c>
      <c r="C217" t="str">
        <f>IF($A217="","",IFERROR('TMP Paste'!$M217*1,0))</f>
        <v/>
      </c>
      <c r="D217" t="str">
        <f>IF($A217="","",SUMIF($B$2:$B217,$B217,$C$2:$C217))</f>
        <v/>
      </c>
      <c r="E217">
        <f>IF($A217="",0,IF('TMP Paste'!$B217="",0,1))</f>
        <v>0</v>
      </c>
      <c r="F217" t="str">
        <f t="shared" si="15"/>
        <v/>
      </c>
      <c r="G217" t="str">
        <f t="shared" si="16"/>
        <v/>
      </c>
      <c r="H217" t="str">
        <f t="shared" si="17"/>
        <v/>
      </c>
      <c r="I217" t="str">
        <f t="shared" si="18"/>
        <v/>
      </c>
      <c r="J217" t="str">
        <f t="shared" si="19"/>
        <v/>
      </c>
      <c r="K217" t="str">
        <f>IF($A217="","",IF(COUNTIF($B$2:$B217,$B217)=COUNTIF($B$2:$B$1601,$B217),$B217,""))</f>
        <v/>
      </c>
    </row>
    <row r="218" spans="1:11">
      <c r="A218" t="str">
        <f>IF('TMP Paste'!$E218="","",'TMP Paste'!$E218)</f>
        <v/>
      </c>
      <c r="B218" t="str">
        <f>IF($A218="","",COUNTIF('TMP Paste'!$B$2:$B218,"?*"))</f>
        <v/>
      </c>
      <c r="C218" t="str">
        <f>IF($A218="","",IFERROR('TMP Paste'!$M218*1,0))</f>
        <v/>
      </c>
      <c r="D218" t="str">
        <f>IF($A218="","",SUMIF($B$2:$B218,$B218,$C$2:$C218))</f>
        <v/>
      </c>
      <c r="E218">
        <f>IF($A218="",0,IF('TMP Paste'!$B218="",0,1))</f>
        <v>0</v>
      </c>
      <c r="F218" t="str">
        <f t="shared" si="15"/>
        <v/>
      </c>
      <c r="G218" t="str">
        <f t="shared" si="16"/>
        <v/>
      </c>
      <c r="H218" t="str">
        <f t="shared" si="17"/>
        <v/>
      </c>
      <c r="I218" t="str">
        <f t="shared" si="18"/>
        <v/>
      </c>
      <c r="J218" t="str">
        <f t="shared" si="19"/>
        <v/>
      </c>
      <c r="K218" t="str">
        <f>IF($A218="","",IF(COUNTIF($B$2:$B218,$B218)=COUNTIF($B$2:$B$1601,$B218),$B218,""))</f>
        <v/>
      </c>
    </row>
    <row r="219" spans="1:11">
      <c r="A219" t="str">
        <f>IF('TMP Paste'!$E219="","",'TMP Paste'!$E219)</f>
        <v/>
      </c>
      <c r="B219" t="str">
        <f>IF($A219="","",COUNTIF('TMP Paste'!$B$2:$B219,"?*"))</f>
        <v/>
      </c>
      <c r="C219" t="str">
        <f>IF($A219="","",IFERROR('TMP Paste'!$M219*1,0))</f>
        <v/>
      </c>
      <c r="D219" t="str">
        <f>IF($A219="","",SUMIF($B$2:$B219,$B219,$C$2:$C219))</f>
        <v/>
      </c>
      <c r="E219">
        <f>IF($A219="",0,IF('TMP Paste'!$B219="",0,1))</f>
        <v>0</v>
      </c>
      <c r="F219" t="str">
        <f t="shared" si="15"/>
        <v/>
      </c>
      <c r="G219" t="str">
        <f t="shared" si="16"/>
        <v/>
      </c>
      <c r="H219" t="str">
        <f t="shared" si="17"/>
        <v/>
      </c>
      <c r="I219" t="str">
        <f t="shared" si="18"/>
        <v/>
      </c>
      <c r="J219" t="str">
        <f t="shared" si="19"/>
        <v/>
      </c>
      <c r="K219" t="str">
        <f>IF($A219="","",IF(COUNTIF($B$2:$B219,$B219)=COUNTIF($B$2:$B$1601,$B219),$B219,""))</f>
        <v/>
      </c>
    </row>
    <row r="220" spans="1:11">
      <c r="A220" t="str">
        <f>IF('TMP Paste'!$E220="","",'TMP Paste'!$E220)</f>
        <v/>
      </c>
      <c r="B220" t="str">
        <f>IF($A220="","",COUNTIF('TMP Paste'!$B$2:$B220,"?*"))</f>
        <v/>
      </c>
      <c r="C220" t="str">
        <f>IF($A220="","",IFERROR('TMP Paste'!$M220*1,0))</f>
        <v/>
      </c>
      <c r="D220" t="str">
        <f>IF($A220="","",SUMIF($B$2:$B220,$B220,$C$2:$C220))</f>
        <v/>
      </c>
      <c r="E220">
        <f>IF($A220="",0,IF('TMP Paste'!$B220="",0,1))</f>
        <v>0</v>
      </c>
      <c r="F220" t="str">
        <f t="shared" si="15"/>
        <v/>
      </c>
      <c r="G220" t="str">
        <f t="shared" si="16"/>
        <v/>
      </c>
      <c r="H220" t="str">
        <f t="shared" si="17"/>
        <v/>
      </c>
      <c r="I220" t="str">
        <f t="shared" si="18"/>
        <v/>
      </c>
      <c r="J220" t="str">
        <f t="shared" si="19"/>
        <v/>
      </c>
      <c r="K220" t="str">
        <f>IF($A220="","",IF(COUNTIF($B$2:$B220,$B220)=COUNTIF($B$2:$B$1601,$B220),$B220,""))</f>
        <v/>
      </c>
    </row>
    <row r="221" spans="1:11">
      <c r="A221" t="str">
        <f>IF('TMP Paste'!$E221="","",'TMP Paste'!$E221)</f>
        <v/>
      </c>
      <c r="B221" t="str">
        <f>IF($A221="","",COUNTIF('TMP Paste'!$B$2:$B221,"?*"))</f>
        <v/>
      </c>
      <c r="C221" t="str">
        <f>IF($A221="","",IFERROR('TMP Paste'!$M221*1,0))</f>
        <v/>
      </c>
      <c r="D221" t="str">
        <f>IF($A221="","",SUMIF($B$2:$B221,$B221,$C$2:$C221))</f>
        <v/>
      </c>
      <c r="E221">
        <f>IF($A221="",0,IF('TMP Paste'!$B221="",0,1))</f>
        <v>0</v>
      </c>
      <c r="F221" t="str">
        <f t="shared" si="15"/>
        <v/>
      </c>
      <c r="G221" t="str">
        <f t="shared" si="16"/>
        <v/>
      </c>
      <c r="H221" t="str">
        <f t="shared" si="17"/>
        <v/>
      </c>
      <c r="I221" t="str">
        <f t="shared" si="18"/>
        <v/>
      </c>
      <c r="J221" t="str">
        <f t="shared" si="19"/>
        <v/>
      </c>
      <c r="K221" t="str">
        <f>IF($A221="","",IF(COUNTIF($B$2:$B221,$B221)=COUNTIF($B$2:$B$1601,$B221),$B221,""))</f>
        <v/>
      </c>
    </row>
    <row r="222" spans="1:11">
      <c r="A222" t="str">
        <f>IF('TMP Paste'!$E222="","",'TMP Paste'!$E222)</f>
        <v/>
      </c>
      <c r="B222" t="str">
        <f>IF($A222="","",COUNTIF('TMP Paste'!$B$2:$B222,"?*"))</f>
        <v/>
      </c>
      <c r="C222" t="str">
        <f>IF($A222="","",IFERROR('TMP Paste'!$M222*1,0))</f>
        <v/>
      </c>
      <c r="D222" t="str">
        <f>IF($A222="","",SUMIF($B$2:$B222,$B222,$C$2:$C222))</f>
        <v/>
      </c>
      <c r="E222">
        <f>IF($A222="",0,IF('TMP Paste'!$B222="",0,1))</f>
        <v>0</v>
      </c>
      <c r="F222" t="str">
        <f t="shared" si="15"/>
        <v/>
      </c>
      <c r="G222" t="str">
        <f t="shared" si="16"/>
        <v/>
      </c>
      <c r="H222" t="str">
        <f t="shared" si="17"/>
        <v/>
      </c>
      <c r="I222" t="str">
        <f t="shared" si="18"/>
        <v/>
      </c>
      <c r="J222" t="str">
        <f t="shared" si="19"/>
        <v/>
      </c>
      <c r="K222" t="str">
        <f>IF($A222="","",IF(COUNTIF($B$2:$B222,$B222)=COUNTIF($B$2:$B$1601,$B222),$B222,""))</f>
        <v/>
      </c>
    </row>
    <row r="223" spans="1:11">
      <c r="A223" t="str">
        <f>IF('TMP Paste'!$E223="","",'TMP Paste'!$E223)</f>
        <v/>
      </c>
      <c r="B223" t="str">
        <f>IF($A223="","",COUNTIF('TMP Paste'!$B$2:$B223,"?*"))</f>
        <v/>
      </c>
      <c r="C223" t="str">
        <f>IF($A223="","",IFERROR('TMP Paste'!$M223*1,0))</f>
        <v/>
      </c>
      <c r="D223" t="str">
        <f>IF($A223="","",SUMIF($B$2:$B223,$B223,$C$2:$C223))</f>
        <v/>
      </c>
      <c r="E223">
        <f>IF($A223="",0,IF('TMP Paste'!$B223="",0,1))</f>
        <v>0</v>
      </c>
      <c r="F223" t="str">
        <f t="shared" si="15"/>
        <v/>
      </c>
      <c r="G223" t="str">
        <f t="shared" si="16"/>
        <v/>
      </c>
      <c r="H223" t="str">
        <f t="shared" si="17"/>
        <v/>
      </c>
      <c r="I223" t="str">
        <f t="shared" si="18"/>
        <v/>
      </c>
      <c r="J223" t="str">
        <f t="shared" si="19"/>
        <v/>
      </c>
      <c r="K223" t="str">
        <f>IF($A223="","",IF(COUNTIF($B$2:$B223,$B223)=COUNTIF($B$2:$B$1601,$B223),$B223,""))</f>
        <v/>
      </c>
    </row>
    <row r="224" spans="1:11">
      <c r="A224" t="str">
        <f>IF('TMP Paste'!$E224="","",'TMP Paste'!$E224)</f>
        <v/>
      </c>
      <c r="B224" t="str">
        <f>IF($A224="","",COUNTIF('TMP Paste'!$B$2:$B224,"?*"))</f>
        <v/>
      </c>
      <c r="C224" t="str">
        <f>IF($A224="","",IFERROR('TMP Paste'!$M224*1,0))</f>
        <v/>
      </c>
      <c r="D224" t="str">
        <f>IF($A224="","",SUMIF($B$2:$B224,$B224,$C$2:$C224))</f>
        <v/>
      </c>
      <c r="E224">
        <f>IF($A224="",0,IF('TMP Paste'!$B224="",0,1))</f>
        <v>0</v>
      </c>
      <c r="F224" t="str">
        <f t="shared" si="15"/>
        <v/>
      </c>
      <c r="G224" t="str">
        <f t="shared" si="16"/>
        <v/>
      </c>
      <c r="H224" t="str">
        <f t="shared" si="17"/>
        <v/>
      </c>
      <c r="I224" t="str">
        <f t="shared" si="18"/>
        <v/>
      </c>
      <c r="J224" t="str">
        <f t="shared" si="19"/>
        <v/>
      </c>
      <c r="K224" t="str">
        <f>IF($A224="","",IF(COUNTIF($B$2:$B224,$B224)=COUNTIF($B$2:$B$1601,$B224),$B224,""))</f>
        <v/>
      </c>
    </row>
    <row r="225" spans="1:11">
      <c r="A225" t="str">
        <f>IF('TMP Paste'!$E225="","",'TMP Paste'!$E225)</f>
        <v/>
      </c>
      <c r="B225" t="str">
        <f>IF($A225="","",COUNTIF('TMP Paste'!$B$2:$B225,"?*"))</f>
        <v/>
      </c>
      <c r="C225" t="str">
        <f>IF($A225="","",IFERROR('TMP Paste'!$M225*1,0))</f>
        <v/>
      </c>
      <c r="D225" t="str">
        <f>IF($A225="","",SUMIF($B$2:$B225,$B225,$C$2:$C225))</f>
        <v/>
      </c>
      <c r="E225">
        <f>IF($A225="",0,IF('TMP Paste'!$B225="",0,1))</f>
        <v>0</v>
      </c>
      <c r="F225" t="str">
        <f t="shared" si="15"/>
        <v/>
      </c>
      <c r="G225" t="str">
        <f t="shared" si="16"/>
        <v/>
      </c>
      <c r="H225" t="str">
        <f t="shared" si="17"/>
        <v/>
      </c>
      <c r="I225" t="str">
        <f t="shared" si="18"/>
        <v/>
      </c>
      <c r="J225" t="str">
        <f t="shared" si="19"/>
        <v/>
      </c>
      <c r="K225" t="str">
        <f>IF($A225="","",IF(COUNTIF($B$2:$B225,$B225)=COUNTIF($B$2:$B$1601,$B225),$B225,""))</f>
        <v/>
      </c>
    </row>
    <row r="226" spans="1:11">
      <c r="A226" t="str">
        <f>IF('TMP Paste'!$E226="","",'TMP Paste'!$E226)</f>
        <v/>
      </c>
      <c r="B226" t="str">
        <f>IF($A226="","",COUNTIF('TMP Paste'!$B$2:$B226,"?*"))</f>
        <v/>
      </c>
      <c r="C226" t="str">
        <f>IF($A226="","",IFERROR('TMP Paste'!$M226*1,0))</f>
        <v/>
      </c>
      <c r="D226" t="str">
        <f>IF($A226="","",SUMIF($B$2:$B226,$B226,$C$2:$C226))</f>
        <v/>
      </c>
      <c r="E226">
        <f>IF($A226="",0,IF('TMP Paste'!$B226="",0,1))</f>
        <v>0</v>
      </c>
      <c r="F226" t="str">
        <f t="shared" si="15"/>
        <v/>
      </c>
      <c r="G226" t="str">
        <f t="shared" si="16"/>
        <v/>
      </c>
      <c r="H226" t="str">
        <f t="shared" si="17"/>
        <v/>
      </c>
      <c r="I226" t="str">
        <f t="shared" si="18"/>
        <v/>
      </c>
      <c r="J226" t="str">
        <f t="shared" si="19"/>
        <v/>
      </c>
      <c r="K226" t="str">
        <f>IF($A226="","",IF(COUNTIF($B$2:$B226,$B226)=COUNTIF($B$2:$B$1601,$B226),$B226,""))</f>
        <v/>
      </c>
    </row>
    <row r="227" spans="1:11">
      <c r="A227" t="str">
        <f>IF('TMP Paste'!$E227="","",'TMP Paste'!$E227)</f>
        <v/>
      </c>
      <c r="B227" t="str">
        <f>IF($A227="","",COUNTIF('TMP Paste'!$B$2:$B227,"?*"))</f>
        <v/>
      </c>
      <c r="C227" t="str">
        <f>IF($A227="","",IFERROR('TMP Paste'!$M227*1,0))</f>
        <v/>
      </c>
      <c r="D227" t="str">
        <f>IF($A227="","",SUMIF($B$2:$B227,$B227,$C$2:$C227))</f>
        <v/>
      </c>
      <c r="E227">
        <f>IF($A227="",0,IF('TMP Paste'!$B227="",0,1))</f>
        <v>0</v>
      </c>
      <c r="F227" t="str">
        <f t="shared" si="15"/>
        <v/>
      </c>
      <c r="G227" t="str">
        <f t="shared" si="16"/>
        <v/>
      </c>
      <c r="H227" t="str">
        <f t="shared" si="17"/>
        <v/>
      </c>
      <c r="I227" t="str">
        <f t="shared" si="18"/>
        <v/>
      </c>
      <c r="J227" t="str">
        <f t="shared" si="19"/>
        <v/>
      </c>
      <c r="K227" t="str">
        <f>IF($A227="","",IF(COUNTIF($B$2:$B227,$B227)=COUNTIF($B$2:$B$1601,$B227),$B227,""))</f>
        <v/>
      </c>
    </row>
    <row r="228" spans="1:11">
      <c r="A228" t="str">
        <f>IF('TMP Paste'!$E228="","",'TMP Paste'!$E228)</f>
        <v/>
      </c>
      <c r="B228" t="str">
        <f>IF($A228="","",COUNTIF('TMP Paste'!$B$2:$B228,"?*"))</f>
        <v/>
      </c>
      <c r="C228" t="str">
        <f>IF($A228="","",IFERROR('TMP Paste'!$M228*1,0))</f>
        <v/>
      </c>
      <c r="D228" t="str">
        <f>IF($A228="","",SUMIF($B$2:$B228,$B228,$C$2:$C228))</f>
        <v/>
      </c>
      <c r="E228">
        <f>IF($A228="",0,IF('TMP Paste'!$B228="",0,1))</f>
        <v>0</v>
      </c>
      <c r="F228" t="str">
        <f t="shared" si="15"/>
        <v/>
      </c>
      <c r="G228" t="str">
        <f t="shared" si="16"/>
        <v/>
      </c>
      <c r="H228" t="str">
        <f t="shared" si="17"/>
        <v/>
      </c>
      <c r="I228" t="str">
        <f t="shared" si="18"/>
        <v/>
      </c>
      <c r="J228" t="str">
        <f t="shared" si="19"/>
        <v/>
      </c>
      <c r="K228" t="str">
        <f>IF($A228="","",IF(COUNTIF($B$2:$B228,$B228)=COUNTIF($B$2:$B$1601,$B228),$B228,""))</f>
        <v/>
      </c>
    </row>
    <row r="229" spans="1:11">
      <c r="A229" t="str">
        <f>IF('TMP Paste'!$E229="","",'TMP Paste'!$E229)</f>
        <v/>
      </c>
      <c r="B229" t="str">
        <f>IF($A229="","",COUNTIF('TMP Paste'!$B$2:$B229,"?*"))</f>
        <v/>
      </c>
      <c r="C229" t="str">
        <f>IF($A229="","",IFERROR('TMP Paste'!$M229*1,0))</f>
        <v/>
      </c>
      <c r="D229" t="str">
        <f>IF($A229="","",SUMIF($B$2:$B229,$B229,$C$2:$C229))</f>
        <v/>
      </c>
      <c r="E229">
        <f>IF($A229="",0,IF('TMP Paste'!$B229="",0,1))</f>
        <v>0</v>
      </c>
      <c r="F229" t="str">
        <f t="shared" si="15"/>
        <v/>
      </c>
      <c r="G229" t="str">
        <f t="shared" si="16"/>
        <v/>
      </c>
      <c r="H229" t="str">
        <f t="shared" si="17"/>
        <v/>
      </c>
      <c r="I229" t="str">
        <f t="shared" si="18"/>
        <v/>
      </c>
      <c r="J229" t="str">
        <f t="shared" si="19"/>
        <v/>
      </c>
      <c r="K229" t="str">
        <f>IF($A229="","",IF(COUNTIF($B$2:$B229,$B229)=COUNTIF($B$2:$B$1601,$B229),$B229,""))</f>
        <v/>
      </c>
    </row>
    <row r="230" spans="1:11">
      <c r="A230" t="str">
        <f>IF('TMP Paste'!$E230="","",'TMP Paste'!$E230)</f>
        <v/>
      </c>
      <c r="B230" t="str">
        <f>IF($A230="","",COUNTIF('TMP Paste'!$B$2:$B230,"?*"))</f>
        <v/>
      </c>
      <c r="C230" t="str">
        <f>IF($A230="","",IFERROR('TMP Paste'!$M230*1,0))</f>
        <v/>
      </c>
      <c r="D230" t="str">
        <f>IF($A230="","",SUMIF($B$2:$B230,$B230,$C$2:$C230))</f>
        <v/>
      </c>
      <c r="E230">
        <f>IF($A230="",0,IF('TMP Paste'!$B230="",0,1))</f>
        <v>0</v>
      </c>
      <c r="F230" t="str">
        <f t="shared" si="15"/>
        <v/>
      </c>
      <c r="G230" t="str">
        <f t="shared" si="16"/>
        <v/>
      </c>
      <c r="H230" t="str">
        <f t="shared" si="17"/>
        <v/>
      </c>
      <c r="I230" t="str">
        <f t="shared" si="18"/>
        <v/>
      </c>
      <c r="J230" t="str">
        <f t="shared" si="19"/>
        <v/>
      </c>
      <c r="K230" t="str">
        <f>IF($A230="","",IF(COUNTIF($B$2:$B230,$B230)=COUNTIF($B$2:$B$1601,$B230),$B230,""))</f>
        <v/>
      </c>
    </row>
    <row r="231" spans="1:11">
      <c r="A231" t="str">
        <f>IF('TMP Paste'!$E231="","",'TMP Paste'!$E231)</f>
        <v/>
      </c>
      <c r="B231" t="str">
        <f>IF($A231="","",COUNTIF('TMP Paste'!$B$2:$B231,"?*"))</f>
        <v/>
      </c>
      <c r="C231" t="str">
        <f>IF($A231="","",IFERROR('TMP Paste'!$M231*1,0))</f>
        <v/>
      </c>
      <c r="D231" t="str">
        <f>IF($A231="","",SUMIF($B$2:$B231,$B231,$C$2:$C231))</f>
        <v/>
      </c>
      <c r="E231">
        <f>IF($A231="",0,IF('TMP Paste'!$B231="",0,1))</f>
        <v>0</v>
      </c>
      <c r="F231" t="str">
        <f t="shared" si="15"/>
        <v/>
      </c>
      <c r="G231" t="str">
        <f t="shared" si="16"/>
        <v/>
      </c>
      <c r="H231" t="str">
        <f t="shared" si="17"/>
        <v/>
      </c>
      <c r="I231" t="str">
        <f t="shared" si="18"/>
        <v/>
      </c>
      <c r="J231" t="str">
        <f t="shared" si="19"/>
        <v/>
      </c>
      <c r="K231" t="str">
        <f>IF($A231="","",IF(COUNTIF($B$2:$B231,$B231)=COUNTIF($B$2:$B$1601,$B231),$B231,""))</f>
        <v/>
      </c>
    </row>
    <row r="232" spans="1:11">
      <c r="A232" t="str">
        <f>IF('TMP Paste'!$E232="","",'TMP Paste'!$E232)</f>
        <v/>
      </c>
      <c r="B232" t="str">
        <f>IF($A232="","",COUNTIF('TMP Paste'!$B$2:$B232,"?*"))</f>
        <v/>
      </c>
      <c r="C232" t="str">
        <f>IF($A232="","",IFERROR('TMP Paste'!$M232*1,0))</f>
        <v/>
      </c>
      <c r="D232" t="str">
        <f>IF($A232="","",SUMIF($B$2:$B232,$B232,$C$2:$C232))</f>
        <v/>
      </c>
      <c r="E232">
        <f>IF($A232="",0,IF('TMP Paste'!$B232="",0,1))</f>
        <v>0</v>
      </c>
      <c r="F232" t="str">
        <f t="shared" si="15"/>
        <v/>
      </c>
      <c r="G232" t="str">
        <f t="shared" si="16"/>
        <v/>
      </c>
      <c r="H232" t="str">
        <f t="shared" si="17"/>
        <v/>
      </c>
      <c r="I232" t="str">
        <f t="shared" si="18"/>
        <v/>
      </c>
      <c r="J232" t="str">
        <f t="shared" si="19"/>
        <v/>
      </c>
      <c r="K232" t="str">
        <f>IF($A232="","",IF(COUNTIF($B$2:$B232,$B232)=COUNTIF($B$2:$B$1601,$B232),$B232,""))</f>
        <v/>
      </c>
    </row>
    <row r="233" spans="1:11">
      <c r="A233" t="str">
        <f>IF('TMP Paste'!$E233="","",'TMP Paste'!$E233)</f>
        <v/>
      </c>
      <c r="B233" t="str">
        <f>IF($A233="","",COUNTIF('TMP Paste'!$B$2:$B233,"?*"))</f>
        <v/>
      </c>
      <c r="C233" t="str">
        <f>IF($A233="","",IFERROR('TMP Paste'!$M233*1,0))</f>
        <v/>
      </c>
      <c r="D233" t="str">
        <f>IF($A233="","",SUMIF($B$2:$B233,$B233,$C$2:$C233))</f>
        <v/>
      </c>
      <c r="E233">
        <f>IF($A233="",0,IF('TMP Paste'!$B233="",0,1))</f>
        <v>0</v>
      </c>
      <c r="F233" t="str">
        <f t="shared" si="15"/>
        <v/>
      </c>
      <c r="G233" t="str">
        <f t="shared" si="16"/>
        <v/>
      </c>
      <c r="H233" t="str">
        <f t="shared" si="17"/>
        <v/>
      </c>
      <c r="I233" t="str">
        <f t="shared" si="18"/>
        <v/>
      </c>
      <c r="J233" t="str">
        <f t="shared" si="19"/>
        <v/>
      </c>
      <c r="K233" t="str">
        <f>IF($A233="","",IF(COUNTIF($B$2:$B233,$B233)=COUNTIF($B$2:$B$1601,$B233),$B233,""))</f>
        <v/>
      </c>
    </row>
    <row r="234" spans="1:11">
      <c r="A234" t="str">
        <f>IF('TMP Paste'!$E234="","",'TMP Paste'!$E234)</f>
        <v/>
      </c>
      <c r="B234" t="str">
        <f>IF($A234="","",COUNTIF('TMP Paste'!$B$2:$B234,"?*"))</f>
        <v/>
      </c>
      <c r="C234" t="str">
        <f>IF($A234="","",IFERROR('TMP Paste'!$M234*1,0))</f>
        <v/>
      </c>
      <c r="D234" t="str">
        <f>IF($A234="","",SUMIF($B$2:$B234,$B234,$C$2:$C234))</f>
        <v/>
      </c>
      <c r="E234">
        <f>IF($A234="",0,IF('TMP Paste'!$B234="",0,1))</f>
        <v>0</v>
      </c>
      <c r="F234" t="str">
        <f t="shared" si="15"/>
        <v/>
      </c>
      <c r="G234" t="str">
        <f t="shared" si="16"/>
        <v/>
      </c>
      <c r="H234" t="str">
        <f t="shared" si="17"/>
        <v/>
      </c>
      <c r="I234" t="str">
        <f t="shared" si="18"/>
        <v/>
      </c>
      <c r="J234" t="str">
        <f t="shared" si="19"/>
        <v/>
      </c>
      <c r="K234" t="str">
        <f>IF($A234="","",IF(COUNTIF($B$2:$B234,$B234)=COUNTIF($B$2:$B$1601,$B234),$B234,""))</f>
        <v/>
      </c>
    </row>
    <row r="235" spans="1:11">
      <c r="A235" t="str">
        <f>IF('TMP Paste'!$E235="","",'TMP Paste'!$E235)</f>
        <v/>
      </c>
      <c r="B235" t="str">
        <f>IF($A235="","",COUNTIF('TMP Paste'!$B$2:$B235,"?*"))</f>
        <v/>
      </c>
      <c r="C235" t="str">
        <f>IF($A235="","",IFERROR('TMP Paste'!$M235*1,0))</f>
        <v/>
      </c>
      <c r="D235" t="str">
        <f>IF($A235="","",SUMIF($B$2:$B235,$B235,$C$2:$C235))</f>
        <v/>
      </c>
      <c r="E235">
        <f>IF($A235="",0,IF('TMP Paste'!$B235="",0,1))</f>
        <v>0</v>
      </c>
      <c r="F235" t="str">
        <f t="shared" si="15"/>
        <v/>
      </c>
      <c r="G235" t="str">
        <f t="shared" si="16"/>
        <v/>
      </c>
      <c r="H235" t="str">
        <f t="shared" si="17"/>
        <v/>
      </c>
      <c r="I235" t="str">
        <f t="shared" si="18"/>
        <v/>
      </c>
      <c r="J235" t="str">
        <f t="shared" si="19"/>
        <v/>
      </c>
      <c r="K235" t="str">
        <f>IF($A235="","",IF(COUNTIF($B$2:$B235,$B235)=COUNTIF($B$2:$B$1601,$B235),$B235,""))</f>
        <v/>
      </c>
    </row>
    <row r="236" spans="1:11">
      <c r="A236" t="str">
        <f>IF('TMP Paste'!$E236="","",'TMP Paste'!$E236)</f>
        <v/>
      </c>
      <c r="B236" t="str">
        <f>IF($A236="","",COUNTIF('TMP Paste'!$B$2:$B236,"?*"))</f>
        <v/>
      </c>
      <c r="C236" t="str">
        <f>IF($A236="","",IFERROR('TMP Paste'!$M236*1,0))</f>
        <v/>
      </c>
      <c r="D236" t="str">
        <f>IF($A236="","",SUMIF($B$2:$B236,$B236,$C$2:$C236))</f>
        <v/>
      </c>
      <c r="E236">
        <f>IF($A236="",0,IF('TMP Paste'!$B236="",0,1))</f>
        <v>0</v>
      </c>
      <c r="F236" t="str">
        <f t="shared" si="15"/>
        <v/>
      </c>
      <c r="G236" t="str">
        <f t="shared" si="16"/>
        <v/>
      </c>
      <c r="H236" t="str">
        <f t="shared" si="17"/>
        <v/>
      </c>
      <c r="I236" t="str">
        <f t="shared" si="18"/>
        <v/>
      </c>
      <c r="J236" t="str">
        <f t="shared" si="19"/>
        <v/>
      </c>
      <c r="K236" t="str">
        <f>IF($A236="","",IF(COUNTIF($B$2:$B236,$B236)=COUNTIF($B$2:$B$1601,$B236),$B236,""))</f>
        <v/>
      </c>
    </row>
    <row r="237" spans="1:11">
      <c r="A237" t="str">
        <f>IF('TMP Paste'!$E237="","",'TMP Paste'!$E237)</f>
        <v/>
      </c>
      <c r="B237" t="str">
        <f>IF($A237="","",COUNTIF('TMP Paste'!$B$2:$B237,"?*"))</f>
        <v/>
      </c>
      <c r="C237" t="str">
        <f>IF($A237="","",IFERROR('TMP Paste'!$M237*1,0))</f>
        <v/>
      </c>
      <c r="D237" t="str">
        <f>IF($A237="","",SUMIF($B$2:$B237,$B237,$C$2:$C237))</f>
        <v/>
      </c>
      <c r="E237">
        <f>IF($A237="",0,IF('TMP Paste'!$B237="",0,1))</f>
        <v>0</v>
      </c>
      <c r="F237" t="str">
        <f t="shared" si="15"/>
        <v/>
      </c>
      <c r="G237" t="str">
        <f t="shared" si="16"/>
        <v/>
      </c>
      <c r="H237" t="str">
        <f t="shared" si="17"/>
        <v/>
      </c>
      <c r="I237" t="str">
        <f t="shared" si="18"/>
        <v/>
      </c>
      <c r="J237" t="str">
        <f t="shared" si="19"/>
        <v/>
      </c>
      <c r="K237" t="str">
        <f>IF($A237="","",IF(COUNTIF($B$2:$B237,$B237)=COUNTIF($B$2:$B$1601,$B237),$B237,""))</f>
        <v/>
      </c>
    </row>
    <row r="238" spans="1:11">
      <c r="A238" t="str">
        <f>IF('TMP Paste'!$E238="","",'TMP Paste'!$E238)</f>
        <v/>
      </c>
      <c r="B238" t="str">
        <f>IF($A238="","",COUNTIF('TMP Paste'!$B$2:$B238,"?*"))</f>
        <v/>
      </c>
      <c r="C238" t="str">
        <f>IF($A238="","",IFERROR('TMP Paste'!$M238*1,0))</f>
        <v/>
      </c>
      <c r="D238" t="str">
        <f>IF($A238="","",SUMIF($B$2:$B238,$B238,$C$2:$C238))</f>
        <v/>
      </c>
      <c r="E238">
        <f>IF($A238="",0,IF('TMP Paste'!$B238="",0,1))</f>
        <v>0</v>
      </c>
      <c r="F238" t="str">
        <f t="shared" si="15"/>
        <v/>
      </c>
      <c r="G238" t="str">
        <f t="shared" si="16"/>
        <v/>
      </c>
      <c r="H238" t="str">
        <f t="shared" si="17"/>
        <v/>
      </c>
      <c r="I238" t="str">
        <f t="shared" si="18"/>
        <v/>
      </c>
      <c r="J238" t="str">
        <f t="shared" si="19"/>
        <v/>
      </c>
      <c r="K238" t="str">
        <f>IF($A238="","",IF(COUNTIF($B$2:$B238,$B238)=COUNTIF($B$2:$B$1601,$B238),$B238,""))</f>
        <v/>
      </c>
    </row>
    <row r="239" spans="1:11">
      <c r="A239" t="str">
        <f>IF('TMP Paste'!$E239="","",'TMP Paste'!$E239)</f>
        <v/>
      </c>
      <c r="B239" t="str">
        <f>IF($A239="","",COUNTIF('TMP Paste'!$B$2:$B239,"?*"))</f>
        <v/>
      </c>
      <c r="C239" t="str">
        <f>IF($A239="","",IFERROR('TMP Paste'!$M239*1,0))</f>
        <v/>
      </c>
      <c r="D239" t="str">
        <f>IF($A239="","",SUMIF($B$2:$B239,$B239,$C$2:$C239))</f>
        <v/>
      </c>
      <c r="E239">
        <f>IF($A239="",0,IF('TMP Paste'!$B239="",0,1))</f>
        <v>0</v>
      </c>
      <c r="F239" t="str">
        <f t="shared" si="15"/>
        <v/>
      </c>
      <c r="G239" t="str">
        <f t="shared" si="16"/>
        <v/>
      </c>
      <c r="H239" t="str">
        <f t="shared" si="17"/>
        <v/>
      </c>
      <c r="I239" t="str">
        <f t="shared" si="18"/>
        <v/>
      </c>
      <c r="J239" t="str">
        <f t="shared" si="19"/>
        <v/>
      </c>
      <c r="K239" t="str">
        <f>IF($A239="","",IF(COUNTIF($B$2:$B239,$B239)=COUNTIF($B$2:$B$1601,$B239),$B239,""))</f>
        <v/>
      </c>
    </row>
    <row r="240" spans="1:11">
      <c r="A240" t="str">
        <f>IF('TMP Paste'!$E240="","",'TMP Paste'!$E240)</f>
        <v/>
      </c>
      <c r="B240" t="str">
        <f>IF($A240="","",COUNTIF('TMP Paste'!$B$2:$B240,"?*"))</f>
        <v/>
      </c>
      <c r="C240" t="str">
        <f>IF($A240="","",IFERROR('TMP Paste'!$M240*1,0))</f>
        <v/>
      </c>
      <c r="D240" t="str">
        <f>IF($A240="","",SUMIF($B$2:$B240,$B240,$C$2:$C240))</f>
        <v/>
      </c>
      <c r="E240">
        <f>IF($A240="",0,IF('TMP Paste'!$B240="",0,1))</f>
        <v>0</v>
      </c>
      <c r="F240" t="str">
        <f t="shared" si="15"/>
        <v/>
      </c>
      <c r="G240" t="str">
        <f t="shared" si="16"/>
        <v/>
      </c>
      <c r="H240" t="str">
        <f t="shared" si="17"/>
        <v/>
      </c>
      <c r="I240" t="str">
        <f t="shared" si="18"/>
        <v/>
      </c>
      <c r="J240" t="str">
        <f t="shared" si="19"/>
        <v/>
      </c>
      <c r="K240" t="str">
        <f>IF($A240="","",IF(COUNTIF($B$2:$B240,$B240)=COUNTIF($B$2:$B$1601,$B240),$B240,""))</f>
        <v/>
      </c>
    </row>
    <row r="241" spans="1:11">
      <c r="A241" t="str">
        <f>IF('TMP Paste'!$E241="","",'TMP Paste'!$E241)</f>
        <v/>
      </c>
      <c r="B241" t="str">
        <f>IF($A241="","",COUNTIF('TMP Paste'!$B$2:$B241,"?*"))</f>
        <v/>
      </c>
      <c r="C241" t="str">
        <f>IF($A241="","",IFERROR('TMP Paste'!$M241*1,0))</f>
        <v/>
      </c>
      <c r="D241" t="str">
        <f>IF($A241="","",SUMIF($B$2:$B241,$B241,$C$2:$C241))</f>
        <v/>
      </c>
      <c r="E241">
        <f>IF($A241="",0,IF('TMP Paste'!$B241="",0,1))</f>
        <v>0</v>
      </c>
      <c r="F241" t="str">
        <f t="shared" si="15"/>
        <v/>
      </c>
      <c r="G241" t="str">
        <f t="shared" si="16"/>
        <v/>
      </c>
      <c r="H241" t="str">
        <f t="shared" si="17"/>
        <v/>
      </c>
      <c r="I241" t="str">
        <f t="shared" si="18"/>
        <v/>
      </c>
      <c r="J241" t="str">
        <f t="shared" si="19"/>
        <v/>
      </c>
      <c r="K241" t="str">
        <f>IF($A241="","",IF(COUNTIF($B$2:$B241,$B241)=COUNTIF($B$2:$B$1601,$B241),$B241,""))</f>
        <v/>
      </c>
    </row>
    <row r="242" spans="1:11">
      <c r="A242" t="str">
        <f>IF('TMP Paste'!$E242="","",'TMP Paste'!$E242)</f>
        <v/>
      </c>
      <c r="B242" t="str">
        <f>IF($A242="","",COUNTIF('TMP Paste'!$B$2:$B242,"?*"))</f>
        <v/>
      </c>
      <c r="C242" t="str">
        <f>IF($A242="","",IFERROR('TMP Paste'!$M242*1,0))</f>
        <v/>
      </c>
      <c r="D242" t="str">
        <f>IF($A242="","",SUMIF($B$2:$B242,$B242,$C$2:$C242))</f>
        <v/>
      </c>
      <c r="E242">
        <f>IF($A242="",0,IF('TMP Paste'!$B242="",0,1))</f>
        <v>0</v>
      </c>
      <c r="F242" t="str">
        <f t="shared" si="15"/>
        <v/>
      </c>
      <c r="G242" t="str">
        <f t="shared" si="16"/>
        <v/>
      </c>
      <c r="H242" t="str">
        <f t="shared" si="17"/>
        <v/>
      </c>
      <c r="I242" t="str">
        <f t="shared" si="18"/>
        <v/>
      </c>
      <c r="J242" t="str">
        <f t="shared" si="19"/>
        <v/>
      </c>
      <c r="K242" t="str">
        <f>IF($A242="","",IF(COUNTIF($B$2:$B242,$B242)=COUNTIF($B$2:$B$1601,$B242),$B242,""))</f>
        <v/>
      </c>
    </row>
    <row r="243" spans="1:11">
      <c r="A243" t="str">
        <f>IF('TMP Paste'!$E243="","",'TMP Paste'!$E243)</f>
        <v/>
      </c>
      <c r="B243" t="str">
        <f>IF($A243="","",COUNTIF('TMP Paste'!$B$2:$B243,"?*"))</f>
        <v/>
      </c>
      <c r="C243" t="str">
        <f>IF($A243="","",IFERROR('TMP Paste'!$M243*1,0))</f>
        <v/>
      </c>
      <c r="D243" t="str">
        <f>IF($A243="","",SUMIF($B$2:$B243,$B243,$C$2:$C243))</f>
        <v/>
      </c>
      <c r="E243">
        <f>IF($A243="",0,IF('TMP Paste'!$B243="",0,1))</f>
        <v>0</v>
      </c>
      <c r="F243" t="str">
        <f t="shared" si="15"/>
        <v/>
      </c>
      <c r="G243" t="str">
        <f t="shared" si="16"/>
        <v/>
      </c>
      <c r="H243" t="str">
        <f t="shared" si="17"/>
        <v/>
      </c>
      <c r="I243" t="str">
        <f t="shared" si="18"/>
        <v/>
      </c>
      <c r="J243" t="str">
        <f t="shared" si="19"/>
        <v/>
      </c>
      <c r="K243" t="str">
        <f>IF($A243="","",IF(COUNTIF($B$2:$B243,$B243)=COUNTIF($B$2:$B$1601,$B243),$B243,""))</f>
        <v/>
      </c>
    </row>
    <row r="244" spans="1:11">
      <c r="A244" t="str">
        <f>IF('TMP Paste'!$E244="","",'TMP Paste'!$E244)</f>
        <v/>
      </c>
      <c r="B244" t="str">
        <f>IF($A244="","",COUNTIF('TMP Paste'!$B$2:$B244,"?*"))</f>
        <v/>
      </c>
      <c r="C244" t="str">
        <f>IF($A244="","",IFERROR('TMP Paste'!$M244*1,0))</f>
        <v/>
      </c>
      <c r="D244" t="str">
        <f>IF($A244="","",SUMIF($B$2:$B244,$B244,$C$2:$C244))</f>
        <v/>
      </c>
      <c r="E244">
        <f>IF($A244="",0,IF('TMP Paste'!$B244="",0,1))</f>
        <v>0</v>
      </c>
      <c r="F244" t="str">
        <f t="shared" si="15"/>
        <v/>
      </c>
      <c r="G244" t="str">
        <f t="shared" si="16"/>
        <v/>
      </c>
      <c r="H244" t="str">
        <f t="shared" si="17"/>
        <v/>
      </c>
      <c r="I244" t="str">
        <f t="shared" si="18"/>
        <v/>
      </c>
      <c r="J244" t="str">
        <f t="shared" si="19"/>
        <v/>
      </c>
      <c r="K244" t="str">
        <f>IF($A244="","",IF(COUNTIF($B$2:$B244,$B244)=COUNTIF($B$2:$B$1601,$B244),$B244,""))</f>
        <v/>
      </c>
    </row>
    <row r="245" spans="1:11">
      <c r="A245" t="str">
        <f>IF('TMP Paste'!$E245="","",'TMP Paste'!$E245)</f>
        <v/>
      </c>
      <c r="B245" t="str">
        <f>IF($A245="","",COUNTIF('TMP Paste'!$B$2:$B245,"?*"))</f>
        <v/>
      </c>
      <c r="C245" t="str">
        <f>IF($A245="","",IFERROR('TMP Paste'!$M245*1,0))</f>
        <v/>
      </c>
      <c r="D245" t="str">
        <f>IF($A245="","",SUMIF($B$2:$B245,$B245,$C$2:$C245))</f>
        <v/>
      </c>
      <c r="E245">
        <f>IF($A245="",0,IF('TMP Paste'!$B245="",0,1))</f>
        <v>0</v>
      </c>
      <c r="F245" t="str">
        <f t="shared" si="15"/>
        <v/>
      </c>
      <c r="G245" t="str">
        <f t="shared" si="16"/>
        <v/>
      </c>
      <c r="H245" t="str">
        <f t="shared" si="17"/>
        <v/>
      </c>
      <c r="I245" t="str">
        <f t="shared" si="18"/>
        <v/>
      </c>
      <c r="J245" t="str">
        <f t="shared" si="19"/>
        <v/>
      </c>
      <c r="K245" t="str">
        <f>IF($A245="","",IF(COUNTIF($B$2:$B245,$B245)=COUNTIF($B$2:$B$1601,$B245),$B245,""))</f>
        <v/>
      </c>
    </row>
    <row r="246" spans="1:11">
      <c r="A246" t="str">
        <f>IF('TMP Paste'!$E246="","",'TMP Paste'!$E246)</f>
        <v/>
      </c>
      <c r="B246" t="str">
        <f>IF($A246="","",COUNTIF('TMP Paste'!$B$2:$B246,"?*"))</f>
        <v/>
      </c>
      <c r="C246" t="str">
        <f>IF($A246="","",IFERROR('TMP Paste'!$M246*1,0))</f>
        <v/>
      </c>
      <c r="D246" t="str">
        <f>IF($A246="","",SUMIF($B$2:$B246,$B246,$C$2:$C246))</f>
        <v/>
      </c>
      <c r="E246">
        <f>IF($A246="",0,IF('TMP Paste'!$B246="",0,1))</f>
        <v>0</v>
      </c>
      <c r="F246" t="str">
        <f t="shared" si="15"/>
        <v/>
      </c>
      <c r="G246" t="str">
        <f t="shared" si="16"/>
        <v/>
      </c>
      <c r="H246" t="str">
        <f t="shared" si="17"/>
        <v/>
      </c>
      <c r="I246" t="str">
        <f t="shared" si="18"/>
        <v/>
      </c>
      <c r="J246" t="str">
        <f t="shared" si="19"/>
        <v/>
      </c>
      <c r="K246" t="str">
        <f>IF($A246="","",IF(COUNTIF($B$2:$B246,$B246)=COUNTIF($B$2:$B$1601,$B246),$B246,""))</f>
        <v/>
      </c>
    </row>
    <row r="247" spans="1:11">
      <c r="A247" t="str">
        <f>IF('TMP Paste'!$E247="","",'TMP Paste'!$E247)</f>
        <v/>
      </c>
      <c r="B247" t="str">
        <f>IF($A247="","",COUNTIF('TMP Paste'!$B$2:$B247,"?*"))</f>
        <v/>
      </c>
      <c r="C247" t="str">
        <f>IF($A247="","",IFERROR('TMP Paste'!$M247*1,0))</f>
        <v/>
      </c>
      <c r="D247" t="str">
        <f>IF($A247="","",SUMIF($B$2:$B247,$B247,$C$2:$C247))</f>
        <v/>
      </c>
      <c r="E247">
        <f>IF($A247="",0,IF('TMP Paste'!$B247="",0,1))</f>
        <v>0</v>
      </c>
      <c r="F247" t="str">
        <f t="shared" si="15"/>
        <v/>
      </c>
      <c r="G247" t="str">
        <f t="shared" si="16"/>
        <v/>
      </c>
      <c r="H247" t="str">
        <f t="shared" si="17"/>
        <v/>
      </c>
      <c r="I247" t="str">
        <f t="shared" si="18"/>
        <v/>
      </c>
      <c r="J247" t="str">
        <f t="shared" si="19"/>
        <v/>
      </c>
      <c r="K247" t="str">
        <f>IF($A247="","",IF(COUNTIF($B$2:$B247,$B247)=COUNTIF($B$2:$B$1601,$B247),$B247,""))</f>
        <v/>
      </c>
    </row>
    <row r="248" spans="1:11">
      <c r="A248" t="str">
        <f>IF('TMP Paste'!$E248="","",'TMP Paste'!$E248)</f>
        <v/>
      </c>
      <c r="B248" t="str">
        <f>IF($A248="","",COUNTIF('TMP Paste'!$B$2:$B248,"?*"))</f>
        <v/>
      </c>
      <c r="C248" t="str">
        <f>IF($A248="","",IFERROR('TMP Paste'!$M248*1,0))</f>
        <v/>
      </c>
      <c r="D248" t="str">
        <f>IF($A248="","",SUMIF($B$2:$B248,$B248,$C$2:$C248))</f>
        <v/>
      </c>
      <c r="E248">
        <f>IF($A248="",0,IF('TMP Paste'!$B248="",0,1))</f>
        <v>0</v>
      </c>
      <c r="F248" t="str">
        <f t="shared" si="15"/>
        <v/>
      </c>
      <c r="G248" t="str">
        <f t="shared" si="16"/>
        <v/>
      </c>
      <c r="H248" t="str">
        <f t="shared" si="17"/>
        <v/>
      </c>
      <c r="I248" t="str">
        <f t="shared" si="18"/>
        <v/>
      </c>
      <c r="J248" t="str">
        <f t="shared" si="19"/>
        <v/>
      </c>
      <c r="K248" t="str">
        <f>IF($A248="","",IF(COUNTIF($B$2:$B248,$B248)=COUNTIF($B$2:$B$1601,$B248),$B248,""))</f>
        <v/>
      </c>
    </row>
    <row r="249" spans="1:11">
      <c r="A249" t="str">
        <f>IF('TMP Paste'!$E249="","",'TMP Paste'!$E249)</f>
        <v/>
      </c>
      <c r="B249" t="str">
        <f>IF($A249="","",COUNTIF('TMP Paste'!$B$2:$B249,"?*"))</f>
        <v/>
      </c>
      <c r="C249" t="str">
        <f>IF($A249="","",IFERROR('TMP Paste'!$M249*1,0))</f>
        <v/>
      </c>
      <c r="D249" t="str">
        <f>IF($A249="","",SUMIF($B$2:$B249,$B249,$C$2:$C249))</f>
        <v/>
      </c>
      <c r="E249">
        <f>IF($A249="",0,IF('TMP Paste'!$B249="",0,1))</f>
        <v>0</v>
      </c>
      <c r="F249" t="str">
        <f t="shared" si="15"/>
        <v/>
      </c>
      <c r="G249" t="str">
        <f t="shared" si="16"/>
        <v/>
      </c>
      <c r="H249" t="str">
        <f t="shared" si="17"/>
        <v/>
      </c>
      <c r="I249" t="str">
        <f t="shared" si="18"/>
        <v/>
      </c>
      <c r="J249" t="str">
        <f t="shared" si="19"/>
        <v/>
      </c>
      <c r="K249" t="str">
        <f>IF($A249="","",IF(COUNTIF($B$2:$B249,$B249)=COUNTIF($B$2:$B$1601,$B249),$B249,""))</f>
        <v/>
      </c>
    </row>
    <row r="250" spans="1:11">
      <c r="A250" t="str">
        <f>IF('TMP Paste'!$E250="","",'TMP Paste'!$E250)</f>
        <v/>
      </c>
      <c r="B250" t="str">
        <f>IF($A250="","",COUNTIF('TMP Paste'!$B$2:$B250,"?*"))</f>
        <v/>
      </c>
      <c r="C250" t="str">
        <f>IF($A250="","",IFERROR('TMP Paste'!$M250*1,0))</f>
        <v/>
      </c>
      <c r="D250" t="str">
        <f>IF($A250="","",SUMIF($B$2:$B250,$B250,$C$2:$C250))</f>
        <v/>
      </c>
      <c r="E250">
        <f>IF($A250="",0,IF('TMP Paste'!$B250="",0,1))</f>
        <v>0</v>
      </c>
      <c r="F250" t="str">
        <f t="shared" si="15"/>
        <v/>
      </c>
      <c r="G250" t="str">
        <f t="shared" si="16"/>
        <v/>
      </c>
      <c r="H250" t="str">
        <f t="shared" si="17"/>
        <v/>
      </c>
      <c r="I250" t="str">
        <f t="shared" si="18"/>
        <v/>
      </c>
      <c r="J250" t="str">
        <f t="shared" si="19"/>
        <v/>
      </c>
      <c r="K250" t="str">
        <f>IF($A250="","",IF(COUNTIF($B$2:$B250,$B250)=COUNTIF($B$2:$B$1601,$B250),$B250,""))</f>
        <v/>
      </c>
    </row>
    <row r="251" spans="1:11">
      <c r="A251" t="str">
        <f>IF('TMP Paste'!$E251="","",'TMP Paste'!$E251)</f>
        <v/>
      </c>
      <c r="B251" t="str">
        <f>IF($A251="","",COUNTIF('TMP Paste'!$B$2:$B251,"?*"))</f>
        <v/>
      </c>
      <c r="C251" t="str">
        <f>IF($A251="","",IFERROR('TMP Paste'!$M251*1,0))</f>
        <v/>
      </c>
      <c r="D251" t="str">
        <f>IF($A251="","",SUMIF($B$2:$B251,$B251,$C$2:$C251))</f>
        <v/>
      </c>
      <c r="E251">
        <f>IF($A251="",0,IF('TMP Paste'!$B251="",0,1))</f>
        <v>0</v>
      </c>
      <c r="F251" t="str">
        <f t="shared" si="15"/>
        <v/>
      </c>
      <c r="G251" t="str">
        <f t="shared" si="16"/>
        <v/>
      </c>
      <c r="H251" t="str">
        <f t="shared" si="17"/>
        <v/>
      </c>
      <c r="I251" t="str">
        <f t="shared" si="18"/>
        <v/>
      </c>
      <c r="J251" t="str">
        <f t="shared" si="19"/>
        <v/>
      </c>
      <c r="K251" t="str">
        <f>IF($A251="","",IF(COUNTIF($B$2:$B251,$B251)=COUNTIF($B$2:$B$1601,$B251),$B251,""))</f>
        <v/>
      </c>
    </row>
    <row r="252" spans="1:11">
      <c r="A252" t="str">
        <f>IF('TMP Paste'!$E252="","",'TMP Paste'!$E252)</f>
        <v/>
      </c>
      <c r="B252" t="str">
        <f>IF($A252="","",COUNTIF('TMP Paste'!$B$2:$B252,"?*"))</f>
        <v/>
      </c>
      <c r="C252" t="str">
        <f>IF($A252="","",IFERROR('TMP Paste'!$M252*1,0))</f>
        <v/>
      </c>
      <c r="D252" t="str">
        <f>IF($A252="","",SUMIF($B$2:$B252,$B252,$C$2:$C252))</f>
        <v/>
      </c>
      <c r="E252">
        <f>IF($A252="",0,IF('TMP Paste'!$B252="",0,1))</f>
        <v>0</v>
      </c>
      <c r="F252" t="str">
        <f t="shared" si="15"/>
        <v/>
      </c>
      <c r="G252" t="str">
        <f t="shared" si="16"/>
        <v/>
      </c>
      <c r="H252" t="str">
        <f t="shared" si="17"/>
        <v/>
      </c>
      <c r="I252" t="str">
        <f t="shared" si="18"/>
        <v/>
      </c>
      <c r="J252" t="str">
        <f t="shared" si="19"/>
        <v/>
      </c>
      <c r="K252" t="str">
        <f>IF($A252="","",IF(COUNTIF($B$2:$B252,$B252)=COUNTIF($B$2:$B$1601,$B252),$B252,""))</f>
        <v/>
      </c>
    </row>
    <row r="253" spans="1:11">
      <c r="A253" t="str">
        <f>IF('TMP Paste'!$E253="","",'TMP Paste'!$E253)</f>
        <v/>
      </c>
      <c r="B253" t="str">
        <f>IF($A253="","",COUNTIF('TMP Paste'!$B$2:$B253,"?*"))</f>
        <v/>
      </c>
      <c r="C253" t="str">
        <f>IF($A253="","",IFERROR('TMP Paste'!$M253*1,0))</f>
        <v/>
      </c>
      <c r="D253" t="str">
        <f>IF($A253="","",SUMIF($B$2:$B253,$B253,$C$2:$C253))</f>
        <v/>
      </c>
      <c r="E253">
        <f>IF($A253="",0,IF('TMP Paste'!$B253="",0,1))</f>
        <v>0</v>
      </c>
      <c r="F253" t="str">
        <f t="shared" si="15"/>
        <v/>
      </c>
      <c r="G253" t="str">
        <f t="shared" si="16"/>
        <v/>
      </c>
      <c r="H253" t="str">
        <f t="shared" si="17"/>
        <v/>
      </c>
      <c r="I253" t="str">
        <f t="shared" si="18"/>
        <v/>
      </c>
      <c r="J253" t="str">
        <f t="shared" si="19"/>
        <v/>
      </c>
      <c r="K253" t="str">
        <f>IF($A253="","",IF(COUNTIF($B$2:$B253,$B253)=COUNTIF($B$2:$B$1601,$B253),$B253,""))</f>
        <v/>
      </c>
    </row>
    <row r="254" spans="1:11">
      <c r="A254" t="str">
        <f>IF('TMP Paste'!$E254="","",'TMP Paste'!$E254)</f>
        <v/>
      </c>
      <c r="B254" t="str">
        <f>IF($A254="","",COUNTIF('TMP Paste'!$B$2:$B254,"?*"))</f>
        <v/>
      </c>
      <c r="C254" t="str">
        <f>IF($A254="","",IFERROR('TMP Paste'!$M254*1,0))</f>
        <v/>
      </c>
      <c r="D254" t="str">
        <f>IF($A254="","",SUMIF($B$2:$B254,$B254,$C$2:$C254))</f>
        <v/>
      </c>
      <c r="E254">
        <f>IF($A254="",0,IF('TMP Paste'!$B254="",0,1))</f>
        <v>0</v>
      </c>
      <c r="F254" t="str">
        <f t="shared" si="15"/>
        <v/>
      </c>
      <c r="G254" t="str">
        <f t="shared" si="16"/>
        <v/>
      </c>
      <c r="H254" t="str">
        <f t="shared" si="17"/>
        <v/>
      </c>
      <c r="I254" t="str">
        <f t="shared" si="18"/>
        <v/>
      </c>
      <c r="J254" t="str">
        <f t="shared" si="19"/>
        <v/>
      </c>
      <c r="K254" t="str">
        <f>IF($A254="","",IF(COUNTIF($B$2:$B254,$B254)=COUNTIF($B$2:$B$1601,$B254),$B254,""))</f>
        <v/>
      </c>
    </row>
    <row r="255" spans="1:11">
      <c r="A255" t="str">
        <f>IF('TMP Paste'!$E255="","",'TMP Paste'!$E255)</f>
        <v/>
      </c>
      <c r="B255" t="str">
        <f>IF($A255="","",COUNTIF('TMP Paste'!$B$2:$B255,"?*"))</f>
        <v/>
      </c>
      <c r="C255" t="str">
        <f>IF($A255="","",IFERROR('TMP Paste'!$M255*1,0))</f>
        <v/>
      </c>
      <c r="D255" t="str">
        <f>IF($A255="","",SUMIF($B$2:$B255,$B255,$C$2:$C255))</f>
        <v/>
      </c>
      <c r="E255">
        <f>IF($A255="",0,IF('TMP Paste'!$B255="",0,1))</f>
        <v>0</v>
      </c>
      <c r="F255" t="str">
        <f t="shared" si="15"/>
        <v/>
      </c>
      <c r="G255" t="str">
        <f t="shared" si="16"/>
        <v/>
      </c>
      <c r="H255" t="str">
        <f t="shared" si="17"/>
        <v/>
      </c>
      <c r="I255" t="str">
        <f t="shared" si="18"/>
        <v/>
      </c>
      <c r="J255" t="str">
        <f t="shared" si="19"/>
        <v/>
      </c>
      <c r="K255" t="str">
        <f>IF($A255="","",IF(COUNTIF($B$2:$B255,$B255)=COUNTIF($B$2:$B$1601,$B255),$B255,""))</f>
        <v/>
      </c>
    </row>
    <row r="256" spans="1:11">
      <c r="A256" t="str">
        <f>IF('TMP Paste'!$E256="","",'TMP Paste'!$E256)</f>
        <v/>
      </c>
      <c r="B256" t="str">
        <f>IF($A256="","",COUNTIF('TMP Paste'!$B$2:$B256,"?*"))</f>
        <v/>
      </c>
      <c r="C256" t="str">
        <f>IF($A256="","",IFERROR('TMP Paste'!$M256*1,0))</f>
        <v/>
      </c>
      <c r="D256" t="str">
        <f>IF($A256="","",SUMIF($B$2:$B256,$B256,$C$2:$C256))</f>
        <v/>
      </c>
      <c r="E256">
        <f>IF($A256="",0,IF('TMP Paste'!$B256="",0,1))</f>
        <v>0</v>
      </c>
      <c r="F256" t="str">
        <f t="shared" si="15"/>
        <v/>
      </c>
      <c r="G256" t="str">
        <f t="shared" si="16"/>
        <v/>
      </c>
      <c r="H256" t="str">
        <f t="shared" si="17"/>
        <v/>
      </c>
      <c r="I256" t="str">
        <f t="shared" si="18"/>
        <v/>
      </c>
      <c r="J256" t="str">
        <f t="shared" si="19"/>
        <v/>
      </c>
      <c r="K256" t="str">
        <f>IF($A256="","",IF(COUNTIF($B$2:$B256,$B256)=COUNTIF($B$2:$B$1601,$B256),$B256,""))</f>
        <v/>
      </c>
    </row>
    <row r="257" spans="1:11">
      <c r="A257" t="str">
        <f>IF('TMP Paste'!$E257="","",'TMP Paste'!$E257)</f>
        <v/>
      </c>
      <c r="B257" t="str">
        <f>IF($A257="","",COUNTIF('TMP Paste'!$B$2:$B257,"?*"))</f>
        <v/>
      </c>
      <c r="C257" t="str">
        <f>IF($A257="","",IFERROR('TMP Paste'!$M257*1,0))</f>
        <v/>
      </c>
      <c r="D257" t="str">
        <f>IF($A257="","",SUMIF($B$2:$B257,$B257,$C$2:$C257))</f>
        <v/>
      </c>
      <c r="E257">
        <f>IF($A257="",0,IF('TMP Paste'!$B257="",0,1))</f>
        <v>0</v>
      </c>
      <c r="F257" t="str">
        <f t="shared" si="15"/>
        <v/>
      </c>
      <c r="G257" t="str">
        <f t="shared" si="16"/>
        <v/>
      </c>
      <c r="H257" t="str">
        <f t="shared" si="17"/>
        <v/>
      </c>
      <c r="I257" t="str">
        <f t="shared" si="18"/>
        <v/>
      </c>
      <c r="J257" t="str">
        <f t="shared" si="19"/>
        <v/>
      </c>
      <c r="K257" t="str">
        <f>IF($A257="","",IF(COUNTIF($B$2:$B257,$B257)=COUNTIF($B$2:$B$1601,$B257),$B257,""))</f>
        <v/>
      </c>
    </row>
    <row r="258" spans="1:11">
      <c r="A258" t="str">
        <f>IF('TMP Paste'!$E258="","",'TMP Paste'!$E258)</f>
        <v/>
      </c>
      <c r="B258" t="str">
        <f>IF($A258="","",COUNTIF('TMP Paste'!$B$2:$B258,"?*"))</f>
        <v/>
      </c>
      <c r="C258" t="str">
        <f>IF($A258="","",IFERROR('TMP Paste'!$M258*1,0))</f>
        <v/>
      </c>
      <c r="D258" t="str">
        <f>IF($A258="","",SUMIF($B$2:$B258,$B258,$C$2:$C258))</f>
        <v/>
      </c>
      <c r="E258">
        <f>IF($A258="",0,IF('TMP Paste'!$B258="",0,1))</f>
        <v>0</v>
      </c>
      <c r="F258" t="str">
        <f t="shared" ref="F258:F321" si="20">IF(OR($A258="",$C258&lt;1),"",$A258&amp;"-"&amp;TEXT(($D258-$C258+1),"00")&amp;IF($C258&gt;=2,", "&amp;$A258&amp;"-"&amp;TEXT(($D258-$C258+1)+1,"00"),"")&amp;IF($C258&gt;=3,", "&amp;$A258&amp;"-"&amp;TEXT(($D258-$C258+1)+2,"00"),"")&amp;IF($C258&gt;=4,", "&amp;$A258&amp;"-"&amp;TEXT(($D258-$C258+1)+3,"00"),"")&amp;IF($C258&gt;=5,", "&amp;$A258&amp;"-"&amp;TEXT(($D258-$C258+1)+4,"00"),"")&amp;IF($C258&gt;=6,", "&amp;$A258&amp;"-"&amp;TEXT(($D258-$C258+1)+5,"00"),"")&amp;IF($C258&gt;=7,", "&amp;$A258&amp;"-"&amp;TEXT(($D258-$C258+1)+6,"00"),"")&amp;IF($C258&gt;=8,", "&amp;$A258&amp;"-"&amp;TEXT(($D258-$C258+1)+7,"00"),"")&amp;IF($C258&gt;=9,", "&amp;$A258&amp;"-"&amp;TEXT(($D258-$C258+1)+8,"00"),"")&amp;IF($C258&gt;=10,", "&amp;$A258&amp;"-"&amp;TEXT(($D258-$C258+1)+9,"00"),"")&amp;IF($C258&gt;=11,", "&amp;$A258&amp;"-"&amp;TEXT(($D258-$C258+1)+10,"00"),"")&amp;IF($C258&gt;=12,", "&amp;$A258&amp;"-"&amp;TEXT(($D258-$C258+1)+11,"00"),"")&amp;IF($C258&gt;=13,", "&amp;$A258&amp;"-"&amp;TEXT(($D258-$C258+1)+12,"00"),"")&amp;IF($C258&gt;=14,", "&amp;$A258&amp;"-"&amp;TEXT(($D258-$C258+1)+13,"00"),"")&amp;IF($C258&gt;=15,", "&amp;$A258&amp;"-"&amp;TEXT(($D258-$C258+1)+14,"00"),"")&amp;IF($C258&gt;=16,", "&amp;$A258&amp;"-"&amp;TEXT(($D258-$C258+1)+15,"00"),"")&amp;IF($C258&gt;=17,", "&amp;$A258&amp;"-"&amp;TEXT(($D258-$C258+1)+16,"00"),"")&amp;IF($C258&gt;=18,", "&amp;$A258&amp;"-"&amp;TEXT(($D258-$C258+1)+17,"00"),"")&amp;IF($C258&gt;=19,", "&amp;$A258&amp;"-"&amp;TEXT(($D258-$C258+1)+18,"00"),"")&amp;IF($C258&gt;=20,", "&amp;$A258&amp;"-"&amp;TEXT(($D258-$C258+1)+19,"00"),"")&amp;IF($C258&gt;=21,", "&amp;$A258&amp;"-"&amp;TEXT(($D258-$C258+1)+20,"00"),"")&amp;IF($C258&gt;=22,", "&amp;$A258&amp;"-"&amp;TEXT(($D258-$C258+1)+21,"00"),"")&amp;IF($C258&gt;=23,", "&amp;$A258&amp;"-"&amp;TEXT(($D258-$C258+1)+22,"00"),"")&amp;IF($C258&gt;=24,", "&amp;$A258&amp;"-"&amp;TEXT(($D258-$C258+1)+23,"00"),"")&amp;IF($C258&gt;=25,", "&amp;$A258&amp;"-"&amp;TEXT(($D258-$C258+1)+24,"00"),""))</f>
        <v/>
      </c>
      <c r="G258" t="str">
        <f t="shared" ref="G258:G321" si="21">IF($A258="","",IF($E258=1,$F258,IF($F258="",$G257,IF($G257="",$F258,$G257&amp;", "&amp;$F258))))</f>
        <v/>
      </c>
      <c r="H258" t="str">
        <f t="shared" ref="H258:H321" si="22">IF($A258="","",$A258&amp;" ("&amp;$C258&amp;")")</f>
        <v/>
      </c>
      <c r="I258" t="str">
        <f t="shared" ref="I258:I321" si="23">IF($A258="","",IF($E258=1,$H258,$I257&amp;", "&amp;$H258))</f>
        <v/>
      </c>
      <c r="J258" t="str">
        <f t="shared" ref="J258:J321" si="24">IF($A258="","",IF($E258=1,$B258,""))</f>
        <v/>
      </c>
      <c r="K258" t="str">
        <f>IF($A258="","",IF(COUNTIF($B$2:$B258,$B258)=COUNTIF($B$2:$B$1601,$B258),$B258,""))</f>
        <v/>
      </c>
    </row>
    <row r="259" spans="1:11">
      <c r="A259" t="str">
        <f>IF('TMP Paste'!$E259="","",'TMP Paste'!$E259)</f>
        <v/>
      </c>
      <c r="B259" t="str">
        <f>IF($A259="","",COUNTIF('TMP Paste'!$B$2:$B259,"?*"))</f>
        <v/>
      </c>
      <c r="C259" t="str">
        <f>IF($A259="","",IFERROR('TMP Paste'!$M259*1,0))</f>
        <v/>
      </c>
      <c r="D259" t="str">
        <f>IF($A259="","",SUMIF($B$2:$B259,$B259,$C$2:$C259))</f>
        <v/>
      </c>
      <c r="E259">
        <f>IF($A259="",0,IF('TMP Paste'!$B259="",0,1))</f>
        <v>0</v>
      </c>
      <c r="F259" t="str">
        <f t="shared" si="20"/>
        <v/>
      </c>
      <c r="G259" t="str">
        <f t="shared" si="21"/>
        <v/>
      </c>
      <c r="H259" t="str">
        <f t="shared" si="22"/>
        <v/>
      </c>
      <c r="I259" t="str">
        <f t="shared" si="23"/>
        <v/>
      </c>
      <c r="J259" t="str">
        <f t="shared" si="24"/>
        <v/>
      </c>
      <c r="K259" t="str">
        <f>IF($A259="","",IF(COUNTIF($B$2:$B259,$B259)=COUNTIF($B$2:$B$1601,$B259),$B259,""))</f>
        <v/>
      </c>
    </row>
    <row r="260" spans="1:11">
      <c r="A260" t="str">
        <f>IF('TMP Paste'!$E260="","",'TMP Paste'!$E260)</f>
        <v/>
      </c>
      <c r="B260" t="str">
        <f>IF($A260="","",COUNTIF('TMP Paste'!$B$2:$B260,"?*"))</f>
        <v/>
      </c>
      <c r="C260" t="str">
        <f>IF($A260="","",IFERROR('TMP Paste'!$M260*1,0))</f>
        <v/>
      </c>
      <c r="D260" t="str">
        <f>IF($A260="","",SUMIF($B$2:$B260,$B260,$C$2:$C260))</f>
        <v/>
      </c>
      <c r="E260">
        <f>IF($A260="",0,IF('TMP Paste'!$B260="",0,1))</f>
        <v>0</v>
      </c>
      <c r="F260" t="str">
        <f t="shared" si="20"/>
        <v/>
      </c>
      <c r="G260" t="str">
        <f t="shared" si="21"/>
        <v/>
      </c>
      <c r="H260" t="str">
        <f t="shared" si="22"/>
        <v/>
      </c>
      <c r="I260" t="str">
        <f t="shared" si="23"/>
        <v/>
      </c>
      <c r="J260" t="str">
        <f t="shared" si="24"/>
        <v/>
      </c>
      <c r="K260" t="str">
        <f>IF($A260="","",IF(COUNTIF($B$2:$B260,$B260)=COUNTIF($B$2:$B$1601,$B260),$B260,""))</f>
        <v/>
      </c>
    </row>
    <row r="261" spans="1:11">
      <c r="A261" t="str">
        <f>IF('TMP Paste'!$E261="","",'TMP Paste'!$E261)</f>
        <v/>
      </c>
      <c r="B261" t="str">
        <f>IF($A261="","",COUNTIF('TMP Paste'!$B$2:$B261,"?*"))</f>
        <v/>
      </c>
      <c r="C261" t="str">
        <f>IF($A261="","",IFERROR('TMP Paste'!$M261*1,0))</f>
        <v/>
      </c>
      <c r="D261" t="str">
        <f>IF($A261="","",SUMIF($B$2:$B261,$B261,$C$2:$C261))</f>
        <v/>
      </c>
      <c r="E261">
        <f>IF($A261="",0,IF('TMP Paste'!$B261="",0,1))</f>
        <v>0</v>
      </c>
      <c r="F261" t="str">
        <f t="shared" si="20"/>
        <v/>
      </c>
      <c r="G261" t="str">
        <f t="shared" si="21"/>
        <v/>
      </c>
      <c r="H261" t="str">
        <f t="shared" si="22"/>
        <v/>
      </c>
      <c r="I261" t="str">
        <f t="shared" si="23"/>
        <v/>
      </c>
      <c r="J261" t="str">
        <f t="shared" si="24"/>
        <v/>
      </c>
      <c r="K261" t="str">
        <f>IF($A261="","",IF(COUNTIF($B$2:$B261,$B261)=COUNTIF($B$2:$B$1601,$B261),$B261,""))</f>
        <v/>
      </c>
    </row>
    <row r="262" spans="1:11">
      <c r="A262" t="str">
        <f>IF('TMP Paste'!$E262="","",'TMP Paste'!$E262)</f>
        <v/>
      </c>
      <c r="B262" t="str">
        <f>IF($A262="","",COUNTIF('TMP Paste'!$B$2:$B262,"?*"))</f>
        <v/>
      </c>
      <c r="C262" t="str">
        <f>IF($A262="","",IFERROR('TMP Paste'!$M262*1,0))</f>
        <v/>
      </c>
      <c r="D262" t="str">
        <f>IF($A262="","",SUMIF($B$2:$B262,$B262,$C$2:$C262))</f>
        <v/>
      </c>
      <c r="E262">
        <f>IF($A262="",0,IF('TMP Paste'!$B262="",0,1))</f>
        <v>0</v>
      </c>
      <c r="F262" t="str">
        <f t="shared" si="20"/>
        <v/>
      </c>
      <c r="G262" t="str">
        <f t="shared" si="21"/>
        <v/>
      </c>
      <c r="H262" t="str">
        <f t="shared" si="22"/>
        <v/>
      </c>
      <c r="I262" t="str">
        <f t="shared" si="23"/>
        <v/>
      </c>
      <c r="J262" t="str">
        <f t="shared" si="24"/>
        <v/>
      </c>
      <c r="K262" t="str">
        <f>IF($A262="","",IF(COUNTIF($B$2:$B262,$B262)=COUNTIF($B$2:$B$1601,$B262),$B262,""))</f>
        <v/>
      </c>
    </row>
    <row r="263" spans="1:11">
      <c r="A263" t="str">
        <f>IF('TMP Paste'!$E263="","",'TMP Paste'!$E263)</f>
        <v/>
      </c>
      <c r="B263" t="str">
        <f>IF($A263="","",COUNTIF('TMP Paste'!$B$2:$B263,"?*"))</f>
        <v/>
      </c>
      <c r="C263" t="str">
        <f>IF($A263="","",IFERROR('TMP Paste'!$M263*1,0))</f>
        <v/>
      </c>
      <c r="D263" t="str">
        <f>IF($A263="","",SUMIF($B$2:$B263,$B263,$C$2:$C263))</f>
        <v/>
      </c>
      <c r="E263">
        <f>IF($A263="",0,IF('TMP Paste'!$B263="",0,1))</f>
        <v>0</v>
      </c>
      <c r="F263" t="str">
        <f t="shared" si="20"/>
        <v/>
      </c>
      <c r="G263" t="str">
        <f t="shared" si="21"/>
        <v/>
      </c>
      <c r="H263" t="str">
        <f t="shared" si="22"/>
        <v/>
      </c>
      <c r="I263" t="str">
        <f t="shared" si="23"/>
        <v/>
      </c>
      <c r="J263" t="str">
        <f t="shared" si="24"/>
        <v/>
      </c>
      <c r="K263" t="str">
        <f>IF($A263="","",IF(COUNTIF($B$2:$B263,$B263)=COUNTIF($B$2:$B$1601,$B263),$B263,""))</f>
        <v/>
      </c>
    </row>
    <row r="264" spans="1:11">
      <c r="A264" t="str">
        <f>IF('TMP Paste'!$E264="","",'TMP Paste'!$E264)</f>
        <v/>
      </c>
      <c r="B264" t="str">
        <f>IF($A264="","",COUNTIF('TMP Paste'!$B$2:$B264,"?*"))</f>
        <v/>
      </c>
      <c r="C264" t="str">
        <f>IF($A264="","",IFERROR('TMP Paste'!$M264*1,0))</f>
        <v/>
      </c>
      <c r="D264" t="str">
        <f>IF($A264="","",SUMIF($B$2:$B264,$B264,$C$2:$C264))</f>
        <v/>
      </c>
      <c r="E264">
        <f>IF($A264="",0,IF('TMP Paste'!$B264="",0,1))</f>
        <v>0</v>
      </c>
      <c r="F264" t="str">
        <f t="shared" si="20"/>
        <v/>
      </c>
      <c r="G264" t="str">
        <f t="shared" si="21"/>
        <v/>
      </c>
      <c r="H264" t="str">
        <f t="shared" si="22"/>
        <v/>
      </c>
      <c r="I264" t="str">
        <f t="shared" si="23"/>
        <v/>
      </c>
      <c r="J264" t="str">
        <f t="shared" si="24"/>
        <v/>
      </c>
      <c r="K264" t="str">
        <f>IF($A264="","",IF(COUNTIF($B$2:$B264,$B264)=COUNTIF($B$2:$B$1601,$B264),$B264,""))</f>
        <v/>
      </c>
    </row>
    <row r="265" spans="1:11">
      <c r="A265" t="str">
        <f>IF('TMP Paste'!$E265="","",'TMP Paste'!$E265)</f>
        <v/>
      </c>
      <c r="B265" t="str">
        <f>IF($A265="","",COUNTIF('TMP Paste'!$B$2:$B265,"?*"))</f>
        <v/>
      </c>
      <c r="C265" t="str">
        <f>IF($A265="","",IFERROR('TMP Paste'!$M265*1,0))</f>
        <v/>
      </c>
      <c r="D265" t="str">
        <f>IF($A265="","",SUMIF($B$2:$B265,$B265,$C$2:$C265))</f>
        <v/>
      </c>
      <c r="E265">
        <f>IF($A265="",0,IF('TMP Paste'!$B265="",0,1))</f>
        <v>0</v>
      </c>
      <c r="F265" t="str">
        <f t="shared" si="20"/>
        <v/>
      </c>
      <c r="G265" t="str">
        <f t="shared" si="21"/>
        <v/>
      </c>
      <c r="H265" t="str">
        <f t="shared" si="22"/>
        <v/>
      </c>
      <c r="I265" t="str">
        <f t="shared" si="23"/>
        <v/>
      </c>
      <c r="J265" t="str">
        <f t="shared" si="24"/>
        <v/>
      </c>
      <c r="K265" t="str">
        <f>IF($A265="","",IF(COUNTIF($B$2:$B265,$B265)=COUNTIF($B$2:$B$1601,$B265),$B265,""))</f>
        <v/>
      </c>
    </row>
    <row r="266" spans="1:11">
      <c r="A266" t="str">
        <f>IF('TMP Paste'!$E266="","",'TMP Paste'!$E266)</f>
        <v/>
      </c>
      <c r="B266" t="str">
        <f>IF($A266="","",COUNTIF('TMP Paste'!$B$2:$B266,"?*"))</f>
        <v/>
      </c>
      <c r="C266" t="str">
        <f>IF($A266="","",IFERROR('TMP Paste'!$M266*1,0))</f>
        <v/>
      </c>
      <c r="D266" t="str">
        <f>IF($A266="","",SUMIF($B$2:$B266,$B266,$C$2:$C266))</f>
        <v/>
      </c>
      <c r="E266">
        <f>IF($A266="",0,IF('TMP Paste'!$B266="",0,1))</f>
        <v>0</v>
      </c>
      <c r="F266" t="str">
        <f t="shared" si="20"/>
        <v/>
      </c>
      <c r="G266" t="str">
        <f t="shared" si="21"/>
        <v/>
      </c>
      <c r="H266" t="str">
        <f t="shared" si="22"/>
        <v/>
      </c>
      <c r="I266" t="str">
        <f t="shared" si="23"/>
        <v/>
      </c>
      <c r="J266" t="str">
        <f t="shared" si="24"/>
        <v/>
      </c>
      <c r="K266" t="str">
        <f>IF($A266="","",IF(COUNTIF($B$2:$B266,$B266)=COUNTIF($B$2:$B$1601,$B266),$B266,""))</f>
        <v/>
      </c>
    </row>
    <row r="267" spans="1:11">
      <c r="A267" t="str">
        <f>IF('TMP Paste'!$E267="","",'TMP Paste'!$E267)</f>
        <v/>
      </c>
      <c r="B267" t="str">
        <f>IF($A267="","",COUNTIF('TMP Paste'!$B$2:$B267,"?*"))</f>
        <v/>
      </c>
      <c r="C267" t="str">
        <f>IF($A267="","",IFERROR('TMP Paste'!$M267*1,0))</f>
        <v/>
      </c>
      <c r="D267" t="str">
        <f>IF($A267="","",SUMIF($B$2:$B267,$B267,$C$2:$C267))</f>
        <v/>
      </c>
      <c r="E267">
        <f>IF($A267="",0,IF('TMP Paste'!$B267="",0,1))</f>
        <v>0</v>
      </c>
      <c r="F267" t="str">
        <f t="shared" si="20"/>
        <v/>
      </c>
      <c r="G267" t="str">
        <f t="shared" si="21"/>
        <v/>
      </c>
      <c r="H267" t="str">
        <f t="shared" si="22"/>
        <v/>
      </c>
      <c r="I267" t="str">
        <f t="shared" si="23"/>
        <v/>
      </c>
      <c r="J267" t="str">
        <f t="shared" si="24"/>
        <v/>
      </c>
      <c r="K267" t="str">
        <f>IF($A267="","",IF(COUNTIF($B$2:$B267,$B267)=COUNTIF($B$2:$B$1601,$B267),$B267,""))</f>
        <v/>
      </c>
    </row>
    <row r="268" spans="1:11">
      <c r="A268" t="str">
        <f>IF('TMP Paste'!$E268="","",'TMP Paste'!$E268)</f>
        <v/>
      </c>
      <c r="B268" t="str">
        <f>IF($A268="","",COUNTIF('TMP Paste'!$B$2:$B268,"?*"))</f>
        <v/>
      </c>
      <c r="C268" t="str">
        <f>IF($A268="","",IFERROR('TMP Paste'!$M268*1,0))</f>
        <v/>
      </c>
      <c r="D268" t="str">
        <f>IF($A268="","",SUMIF($B$2:$B268,$B268,$C$2:$C268))</f>
        <v/>
      </c>
      <c r="E268">
        <f>IF($A268="",0,IF('TMP Paste'!$B268="",0,1))</f>
        <v>0</v>
      </c>
      <c r="F268" t="str">
        <f t="shared" si="20"/>
        <v/>
      </c>
      <c r="G268" t="str">
        <f t="shared" si="21"/>
        <v/>
      </c>
      <c r="H268" t="str">
        <f t="shared" si="22"/>
        <v/>
      </c>
      <c r="I268" t="str">
        <f t="shared" si="23"/>
        <v/>
      </c>
      <c r="J268" t="str">
        <f t="shared" si="24"/>
        <v/>
      </c>
      <c r="K268" t="str">
        <f>IF($A268="","",IF(COUNTIF($B$2:$B268,$B268)=COUNTIF($B$2:$B$1601,$B268),$B268,""))</f>
        <v/>
      </c>
    </row>
    <row r="269" spans="1:11">
      <c r="A269" t="str">
        <f>IF('TMP Paste'!$E269="","",'TMP Paste'!$E269)</f>
        <v/>
      </c>
      <c r="B269" t="str">
        <f>IF($A269="","",COUNTIF('TMP Paste'!$B$2:$B269,"?*"))</f>
        <v/>
      </c>
      <c r="C269" t="str">
        <f>IF($A269="","",IFERROR('TMP Paste'!$M269*1,0))</f>
        <v/>
      </c>
      <c r="D269" t="str">
        <f>IF($A269="","",SUMIF($B$2:$B269,$B269,$C$2:$C269))</f>
        <v/>
      </c>
      <c r="E269">
        <f>IF($A269="",0,IF('TMP Paste'!$B269="",0,1))</f>
        <v>0</v>
      </c>
      <c r="F269" t="str">
        <f t="shared" si="20"/>
        <v/>
      </c>
      <c r="G269" t="str">
        <f t="shared" si="21"/>
        <v/>
      </c>
      <c r="H269" t="str">
        <f t="shared" si="22"/>
        <v/>
      </c>
      <c r="I269" t="str">
        <f t="shared" si="23"/>
        <v/>
      </c>
      <c r="J269" t="str">
        <f t="shared" si="24"/>
        <v/>
      </c>
      <c r="K269" t="str">
        <f>IF($A269="","",IF(COUNTIF($B$2:$B269,$B269)=COUNTIF($B$2:$B$1601,$B269),$B269,""))</f>
        <v/>
      </c>
    </row>
    <row r="270" spans="1:11">
      <c r="A270" t="str">
        <f>IF('TMP Paste'!$E270="","",'TMP Paste'!$E270)</f>
        <v/>
      </c>
      <c r="B270" t="str">
        <f>IF($A270="","",COUNTIF('TMP Paste'!$B$2:$B270,"?*"))</f>
        <v/>
      </c>
      <c r="C270" t="str">
        <f>IF($A270="","",IFERROR('TMP Paste'!$M270*1,0))</f>
        <v/>
      </c>
      <c r="D270" t="str">
        <f>IF($A270="","",SUMIF($B$2:$B270,$B270,$C$2:$C270))</f>
        <v/>
      </c>
      <c r="E270">
        <f>IF($A270="",0,IF('TMP Paste'!$B270="",0,1))</f>
        <v>0</v>
      </c>
      <c r="F270" t="str">
        <f t="shared" si="20"/>
        <v/>
      </c>
      <c r="G270" t="str">
        <f t="shared" si="21"/>
        <v/>
      </c>
      <c r="H270" t="str">
        <f t="shared" si="22"/>
        <v/>
      </c>
      <c r="I270" t="str">
        <f t="shared" si="23"/>
        <v/>
      </c>
      <c r="J270" t="str">
        <f t="shared" si="24"/>
        <v/>
      </c>
      <c r="K270" t="str">
        <f>IF($A270="","",IF(COUNTIF($B$2:$B270,$B270)=COUNTIF($B$2:$B$1601,$B270),$B270,""))</f>
        <v/>
      </c>
    </row>
    <row r="271" spans="1:11">
      <c r="A271" t="str">
        <f>IF('TMP Paste'!$E271="","",'TMP Paste'!$E271)</f>
        <v/>
      </c>
      <c r="B271" t="str">
        <f>IF($A271="","",COUNTIF('TMP Paste'!$B$2:$B271,"?*"))</f>
        <v/>
      </c>
      <c r="C271" t="str">
        <f>IF($A271="","",IFERROR('TMP Paste'!$M271*1,0))</f>
        <v/>
      </c>
      <c r="D271" t="str">
        <f>IF($A271="","",SUMIF($B$2:$B271,$B271,$C$2:$C271))</f>
        <v/>
      </c>
      <c r="E271">
        <f>IF($A271="",0,IF('TMP Paste'!$B271="",0,1))</f>
        <v>0</v>
      </c>
      <c r="F271" t="str">
        <f t="shared" si="20"/>
        <v/>
      </c>
      <c r="G271" t="str">
        <f t="shared" si="21"/>
        <v/>
      </c>
      <c r="H271" t="str">
        <f t="shared" si="22"/>
        <v/>
      </c>
      <c r="I271" t="str">
        <f t="shared" si="23"/>
        <v/>
      </c>
      <c r="J271" t="str">
        <f t="shared" si="24"/>
        <v/>
      </c>
      <c r="K271" t="str">
        <f>IF($A271="","",IF(COUNTIF($B$2:$B271,$B271)=COUNTIF($B$2:$B$1601,$B271),$B271,""))</f>
        <v/>
      </c>
    </row>
    <row r="272" spans="1:11">
      <c r="A272" t="str">
        <f>IF('TMP Paste'!$E272="","",'TMP Paste'!$E272)</f>
        <v/>
      </c>
      <c r="B272" t="str">
        <f>IF($A272="","",COUNTIF('TMP Paste'!$B$2:$B272,"?*"))</f>
        <v/>
      </c>
      <c r="C272" t="str">
        <f>IF($A272="","",IFERROR('TMP Paste'!$M272*1,0))</f>
        <v/>
      </c>
      <c r="D272" t="str">
        <f>IF($A272="","",SUMIF($B$2:$B272,$B272,$C$2:$C272))</f>
        <v/>
      </c>
      <c r="E272">
        <f>IF($A272="",0,IF('TMP Paste'!$B272="",0,1))</f>
        <v>0</v>
      </c>
      <c r="F272" t="str">
        <f t="shared" si="20"/>
        <v/>
      </c>
      <c r="G272" t="str">
        <f t="shared" si="21"/>
        <v/>
      </c>
      <c r="H272" t="str">
        <f t="shared" si="22"/>
        <v/>
      </c>
      <c r="I272" t="str">
        <f t="shared" si="23"/>
        <v/>
      </c>
      <c r="J272" t="str">
        <f t="shared" si="24"/>
        <v/>
      </c>
      <c r="K272" t="str">
        <f>IF($A272="","",IF(COUNTIF($B$2:$B272,$B272)=COUNTIF($B$2:$B$1601,$B272),$B272,""))</f>
        <v/>
      </c>
    </row>
    <row r="273" spans="1:11">
      <c r="A273" t="str">
        <f>IF('TMP Paste'!$E273="","",'TMP Paste'!$E273)</f>
        <v/>
      </c>
      <c r="B273" t="str">
        <f>IF($A273="","",COUNTIF('TMP Paste'!$B$2:$B273,"?*"))</f>
        <v/>
      </c>
      <c r="C273" t="str">
        <f>IF($A273="","",IFERROR('TMP Paste'!$M273*1,0))</f>
        <v/>
      </c>
      <c r="D273" t="str">
        <f>IF($A273="","",SUMIF($B$2:$B273,$B273,$C$2:$C273))</f>
        <v/>
      </c>
      <c r="E273">
        <f>IF($A273="",0,IF('TMP Paste'!$B273="",0,1))</f>
        <v>0</v>
      </c>
      <c r="F273" t="str">
        <f t="shared" si="20"/>
        <v/>
      </c>
      <c r="G273" t="str">
        <f t="shared" si="21"/>
        <v/>
      </c>
      <c r="H273" t="str">
        <f t="shared" si="22"/>
        <v/>
      </c>
      <c r="I273" t="str">
        <f t="shared" si="23"/>
        <v/>
      </c>
      <c r="J273" t="str">
        <f t="shared" si="24"/>
        <v/>
      </c>
      <c r="K273" t="str">
        <f>IF($A273="","",IF(COUNTIF($B$2:$B273,$B273)=COUNTIF($B$2:$B$1601,$B273),$B273,""))</f>
        <v/>
      </c>
    </row>
    <row r="274" spans="1:11">
      <c r="A274" t="str">
        <f>IF('TMP Paste'!$E274="","",'TMP Paste'!$E274)</f>
        <v/>
      </c>
      <c r="B274" t="str">
        <f>IF($A274="","",COUNTIF('TMP Paste'!$B$2:$B274,"?*"))</f>
        <v/>
      </c>
      <c r="C274" t="str">
        <f>IF($A274="","",IFERROR('TMP Paste'!$M274*1,0))</f>
        <v/>
      </c>
      <c r="D274" t="str">
        <f>IF($A274="","",SUMIF($B$2:$B274,$B274,$C$2:$C274))</f>
        <v/>
      </c>
      <c r="E274">
        <f>IF($A274="",0,IF('TMP Paste'!$B274="",0,1))</f>
        <v>0</v>
      </c>
      <c r="F274" t="str">
        <f t="shared" si="20"/>
        <v/>
      </c>
      <c r="G274" t="str">
        <f t="shared" si="21"/>
        <v/>
      </c>
      <c r="H274" t="str">
        <f t="shared" si="22"/>
        <v/>
      </c>
      <c r="I274" t="str">
        <f t="shared" si="23"/>
        <v/>
      </c>
      <c r="J274" t="str">
        <f t="shared" si="24"/>
        <v/>
      </c>
      <c r="K274" t="str">
        <f>IF($A274="","",IF(COUNTIF($B$2:$B274,$B274)=COUNTIF($B$2:$B$1601,$B274),$B274,""))</f>
        <v/>
      </c>
    </row>
    <row r="275" spans="1:11">
      <c r="A275" t="str">
        <f>IF('TMP Paste'!$E275="","",'TMP Paste'!$E275)</f>
        <v/>
      </c>
      <c r="B275" t="str">
        <f>IF($A275="","",COUNTIF('TMP Paste'!$B$2:$B275,"?*"))</f>
        <v/>
      </c>
      <c r="C275" t="str">
        <f>IF($A275="","",IFERROR('TMP Paste'!$M275*1,0))</f>
        <v/>
      </c>
      <c r="D275" t="str">
        <f>IF($A275="","",SUMIF($B$2:$B275,$B275,$C$2:$C275))</f>
        <v/>
      </c>
      <c r="E275">
        <f>IF($A275="",0,IF('TMP Paste'!$B275="",0,1))</f>
        <v>0</v>
      </c>
      <c r="F275" t="str">
        <f t="shared" si="20"/>
        <v/>
      </c>
      <c r="G275" t="str">
        <f t="shared" si="21"/>
        <v/>
      </c>
      <c r="H275" t="str">
        <f t="shared" si="22"/>
        <v/>
      </c>
      <c r="I275" t="str">
        <f t="shared" si="23"/>
        <v/>
      </c>
      <c r="J275" t="str">
        <f t="shared" si="24"/>
        <v/>
      </c>
      <c r="K275" t="str">
        <f>IF($A275="","",IF(COUNTIF($B$2:$B275,$B275)=COUNTIF($B$2:$B$1601,$B275),$B275,""))</f>
        <v/>
      </c>
    </row>
    <row r="276" spans="1:11">
      <c r="A276" t="str">
        <f>IF('TMP Paste'!$E276="","",'TMP Paste'!$E276)</f>
        <v/>
      </c>
      <c r="B276" t="str">
        <f>IF($A276="","",COUNTIF('TMP Paste'!$B$2:$B276,"?*"))</f>
        <v/>
      </c>
      <c r="C276" t="str">
        <f>IF($A276="","",IFERROR('TMP Paste'!$M276*1,0))</f>
        <v/>
      </c>
      <c r="D276" t="str">
        <f>IF($A276="","",SUMIF($B$2:$B276,$B276,$C$2:$C276))</f>
        <v/>
      </c>
      <c r="E276">
        <f>IF($A276="",0,IF('TMP Paste'!$B276="",0,1))</f>
        <v>0</v>
      </c>
      <c r="F276" t="str">
        <f t="shared" si="20"/>
        <v/>
      </c>
      <c r="G276" t="str">
        <f t="shared" si="21"/>
        <v/>
      </c>
      <c r="H276" t="str">
        <f t="shared" si="22"/>
        <v/>
      </c>
      <c r="I276" t="str">
        <f t="shared" si="23"/>
        <v/>
      </c>
      <c r="J276" t="str">
        <f t="shared" si="24"/>
        <v/>
      </c>
      <c r="K276" t="str">
        <f>IF($A276="","",IF(COUNTIF($B$2:$B276,$B276)=COUNTIF($B$2:$B$1601,$B276),$B276,""))</f>
        <v/>
      </c>
    </row>
    <row r="277" spans="1:11">
      <c r="A277" t="str">
        <f>IF('TMP Paste'!$E277="","",'TMP Paste'!$E277)</f>
        <v/>
      </c>
      <c r="B277" t="str">
        <f>IF($A277="","",COUNTIF('TMP Paste'!$B$2:$B277,"?*"))</f>
        <v/>
      </c>
      <c r="C277" t="str">
        <f>IF($A277="","",IFERROR('TMP Paste'!$M277*1,0))</f>
        <v/>
      </c>
      <c r="D277" t="str">
        <f>IF($A277="","",SUMIF($B$2:$B277,$B277,$C$2:$C277))</f>
        <v/>
      </c>
      <c r="E277">
        <f>IF($A277="",0,IF('TMP Paste'!$B277="",0,1))</f>
        <v>0</v>
      </c>
      <c r="F277" t="str">
        <f t="shared" si="20"/>
        <v/>
      </c>
      <c r="G277" t="str">
        <f t="shared" si="21"/>
        <v/>
      </c>
      <c r="H277" t="str">
        <f t="shared" si="22"/>
        <v/>
      </c>
      <c r="I277" t="str">
        <f t="shared" si="23"/>
        <v/>
      </c>
      <c r="J277" t="str">
        <f t="shared" si="24"/>
        <v/>
      </c>
      <c r="K277" t="str">
        <f>IF($A277="","",IF(COUNTIF($B$2:$B277,$B277)=COUNTIF($B$2:$B$1601,$B277),$B277,""))</f>
        <v/>
      </c>
    </row>
    <row r="278" spans="1:11">
      <c r="A278" t="str">
        <f>IF('TMP Paste'!$E278="","",'TMP Paste'!$E278)</f>
        <v/>
      </c>
      <c r="B278" t="str">
        <f>IF($A278="","",COUNTIF('TMP Paste'!$B$2:$B278,"?*"))</f>
        <v/>
      </c>
      <c r="C278" t="str">
        <f>IF($A278="","",IFERROR('TMP Paste'!$M278*1,0))</f>
        <v/>
      </c>
      <c r="D278" t="str">
        <f>IF($A278="","",SUMIF($B$2:$B278,$B278,$C$2:$C278))</f>
        <v/>
      </c>
      <c r="E278">
        <f>IF($A278="",0,IF('TMP Paste'!$B278="",0,1))</f>
        <v>0</v>
      </c>
      <c r="F278" t="str">
        <f t="shared" si="20"/>
        <v/>
      </c>
      <c r="G278" t="str">
        <f t="shared" si="21"/>
        <v/>
      </c>
      <c r="H278" t="str">
        <f t="shared" si="22"/>
        <v/>
      </c>
      <c r="I278" t="str">
        <f t="shared" si="23"/>
        <v/>
      </c>
      <c r="J278" t="str">
        <f t="shared" si="24"/>
        <v/>
      </c>
      <c r="K278" t="str">
        <f>IF($A278="","",IF(COUNTIF($B$2:$B278,$B278)=COUNTIF($B$2:$B$1601,$B278),$B278,""))</f>
        <v/>
      </c>
    </row>
    <row r="279" spans="1:11">
      <c r="A279" t="str">
        <f>IF('TMP Paste'!$E279="","",'TMP Paste'!$E279)</f>
        <v/>
      </c>
      <c r="B279" t="str">
        <f>IF($A279="","",COUNTIF('TMP Paste'!$B$2:$B279,"?*"))</f>
        <v/>
      </c>
      <c r="C279" t="str">
        <f>IF($A279="","",IFERROR('TMP Paste'!$M279*1,0))</f>
        <v/>
      </c>
      <c r="D279" t="str">
        <f>IF($A279="","",SUMIF($B$2:$B279,$B279,$C$2:$C279))</f>
        <v/>
      </c>
      <c r="E279">
        <f>IF($A279="",0,IF('TMP Paste'!$B279="",0,1))</f>
        <v>0</v>
      </c>
      <c r="F279" t="str">
        <f t="shared" si="20"/>
        <v/>
      </c>
      <c r="G279" t="str">
        <f t="shared" si="21"/>
        <v/>
      </c>
      <c r="H279" t="str">
        <f t="shared" si="22"/>
        <v/>
      </c>
      <c r="I279" t="str">
        <f t="shared" si="23"/>
        <v/>
      </c>
      <c r="J279" t="str">
        <f t="shared" si="24"/>
        <v/>
      </c>
      <c r="K279" t="str">
        <f>IF($A279="","",IF(COUNTIF($B$2:$B279,$B279)=COUNTIF($B$2:$B$1601,$B279),$B279,""))</f>
        <v/>
      </c>
    </row>
    <row r="280" spans="1:11">
      <c r="A280" t="str">
        <f>IF('TMP Paste'!$E280="","",'TMP Paste'!$E280)</f>
        <v/>
      </c>
      <c r="B280" t="str">
        <f>IF($A280="","",COUNTIF('TMP Paste'!$B$2:$B280,"?*"))</f>
        <v/>
      </c>
      <c r="C280" t="str">
        <f>IF($A280="","",IFERROR('TMP Paste'!$M280*1,0))</f>
        <v/>
      </c>
      <c r="D280" t="str">
        <f>IF($A280="","",SUMIF($B$2:$B280,$B280,$C$2:$C280))</f>
        <v/>
      </c>
      <c r="E280">
        <f>IF($A280="",0,IF('TMP Paste'!$B280="",0,1))</f>
        <v>0</v>
      </c>
      <c r="F280" t="str">
        <f t="shared" si="20"/>
        <v/>
      </c>
      <c r="G280" t="str">
        <f t="shared" si="21"/>
        <v/>
      </c>
      <c r="H280" t="str">
        <f t="shared" si="22"/>
        <v/>
      </c>
      <c r="I280" t="str">
        <f t="shared" si="23"/>
        <v/>
      </c>
      <c r="J280" t="str">
        <f t="shared" si="24"/>
        <v/>
      </c>
      <c r="K280" t="str">
        <f>IF($A280="","",IF(COUNTIF($B$2:$B280,$B280)=COUNTIF($B$2:$B$1601,$B280),$B280,""))</f>
        <v/>
      </c>
    </row>
    <row r="281" spans="1:11">
      <c r="A281" t="str">
        <f>IF('TMP Paste'!$E281="","",'TMP Paste'!$E281)</f>
        <v/>
      </c>
      <c r="B281" t="str">
        <f>IF($A281="","",COUNTIF('TMP Paste'!$B$2:$B281,"?*"))</f>
        <v/>
      </c>
      <c r="C281" t="str">
        <f>IF($A281="","",IFERROR('TMP Paste'!$M281*1,0))</f>
        <v/>
      </c>
      <c r="D281" t="str">
        <f>IF($A281="","",SUMIF($B$2:$B281,$B281,$C$2:$C281))</f>
        <v/>
      </c>
      <c r="E281">
        <f>IF($A281="",0,IF('TMP Paste'!$B281="",0,1))</f>
        <v>0</v>
      </c>
      <c r="F281" t="str">
        <f t="shared" si="20"/>
        <v/>
      </c>
      <c r="G281" t="str">
        <f t="shared" si="21"/>
        <v/>
      </c>
      <c r="H281" t="str">
        <f t="shared" si="22"/>
        <v/>
      </c>
      <c r="I281" t="str">
        <f t="shared" si="23"/>
        <v/>
      </c>
      <c r="J281" t="str">
        <f t="shared" si="24"/>
        <v/>
      </c>
      <c r="K281" t="str">
        <f>IF($A281="","",IF(COUNTIF($B$2:$B281,$B281)=COUNTIF($B$2:$B$1601,$B281),$B281,""))</f>
        <v/>
      </c>
    </row>
    <row r="282" spans="1:11">
      <c r="A282" t="str">
        <f>IF('TMP Paste'!$E282="","",'TMP Paste'!$E282)</f>
        <v/>
      </c>
      <c r="B282" t="str">
        <f>IF($A282="","",COUNTIF('TMP Paste'!$B$2:$B282,"?*"))</f>
        <v/>
      </c>
      <c r="C282" t="str">
        <f>IF($A282="","",IFERROR('TMP Paste'!$M282*1,0))</f>
        <v/>
      </c>
      <c r="D282" t="str">
        <f>IF($A282="","",SUMIF($B$2:$B282,$B282,$C$2:$C282))</f>
        <v/>
      </c>
      <c r="E282">
        <f>IF($A282="",0,IF('TMP Paste'!$B282="",0,1))</f>
        <v>0</v>
      </c>
      <c r="F282" t="str">
        <f t="shared" si="20"/>
        <v/>
      </c>
      <c r="G282" t="str">
        <f t="shared" si="21"/>
        <v/>
      </c>
      <c r="H282" t="str">
        <f t="shared" si="22"/>
        <v/>
      </c>
      <c r="I282" t="str">
        <f t="shared" si="23"/>
        <v/>
      </c>
      <c r="J282" t="str">
        <f t="shared" si="24"/>
        <v/>
      </c>
      <c r="K282" t="str">
        <f>IF($A282="","",IF(COUNTIF($B$2:$B282,$B282)=COUNTIF($B$2:$B$1601,$B282),$B282,""))</f>
        <v/>
      </c>
    </row>
    <row r="283" spans="1:11">
      <c r="A283" t="str">
        <f>IF('TMP Paste'!$E283="","",'TMP Paste'!$E283)</f>
        <v/>
      </c>
      <c r="B283" t="str">
        <f>IF($A283="","",COUNTIF('TMP Paste'!$B$2:$B283,"?*"))</f>
        <v/>
      </c>
      <c r="C283" t="str">
        <f>IF($A283="","",IFERROR('TMP Paste'!$M283*1,0))</f>
        <v/>
      </c>
      <c r="D283" t="str">
        <f>IF($A283="","",SUMIF($B$2:$B283,$B283,$C$2:$C283))</f>
        <v/>
      </c>
      <c r="E283">
        <f>IF($A283="",0,IF('TMP Paste'!$B283="",0,1))</f>
        <v>0</v>
      </c>
      <c r="F283" t="str">
        <f t="shared" si="20"/>
        <v/>
      </c>
      <c r="G283" t="str">
        <f t="shared" si="21"/>
        <v/>
      </c>
      <c r="H283" t="str">
        <f t="shared" si="22"/>
        <v/>
      </c>
      <c r="I283" t="str">
        <f t="shared" si="23"/>
        <v/>
      </c>
      <c r="J283" t="str">
        <f t="shared" si="24"/>
        <v/>
      </c>
      <c r="K283" t="str">
        <f>IF($A283="","",IF(COUNTIF($B$2:$B283,$B283)=COUNTIF($B$2:$B$1601,$B283),$B283,""))</f>
        <v/>
      </c>
    </row>
    <row r="284" spans="1:11">
      <c r="A284" t="str">
        <f>IF('TMP Paste'!$E284="","",'TMP Paste'!$E284)</f>
        <v/>
      </c>
      <c r="B284" t="str">
        <f>IF($A284="","",COUNTIF('TMP Paste'!$B$2:$B284,"?*"))</f>
        <v/>
      </c>
      <c r="C284" t="str">
        <f>IF($A284="","",IFERROR('TMP Paste'!$M284*1,0))</f>
        <v/>
      </c>
      <c r="D284" t="str">
        <f>IF($A284="","",SUMIF($B$2:$B284,$B284,$C$2:$C284))</f>
        <v/>
      </c>
      <c r="E284">
        <f>IF($A284="",0,IF('TMP Paste'!$B284="",0,1))</f>
        <v>0</v>
      </c>
      <c r="F284" t="str">
        <f t="shared" si="20"/>
        <v/>
      </c>
      <c r="G284" t="str">
        <f t="shared" si="21"/>
        <v/>
      </c>
      <c r="H284" t="str">
        <f t="shared" si="22"/>
        <v/>
      </c>
      <c r="I284" t="str">
        <f t="shared" si="23"/>
        <v/>
      </c>
      <c r="J284" t="str">
        <f t="shared" si="24"/>
        <v/>
      </c>
      <c r="K284" t="str">
        <f>IF($A284="","",IF(COUNTIF($B$2:$B284,$B284)=COUNTIF($B$2:$B$1601,$B284),$B284,""))</f>
        <v/>
      </c>
    </row>
    <row r="285" spans="1:11">
      <c r="A285" t="str">
        <f>IF('TMP Paste'!$E285="","",'TMP Paste'!$E285)</f>
        <v/>
      </c>
      <c r="B285" t="str">
        <f>IF($A285="","",COUNTIF('TMP Paste'!$B$2:$B285,"?*"))</f>
        <v/>
      </c>
      <c r="C285" t="str">
        <f>IF($A285="","",IFERROR('TMP Paste'!$M285*1,0))</f>
        <v/>
      </c>
      <c r="D285" t="str">
        <f>IF($A285="","",SUMIF($B$2:$B285,$B285,$C$2:$C285))</f>
        <v/>
      </c>
      <c r="E285">
        <f>IF($A285="",0,IF('TMP Paste'!$B285="",0,1))</f>
        <v>0</v>
      </c>
      <c r="F285" t="str">
        <f t="shared" si="20"/>
        <v/>
      </c>
      <c r="G285" t="str">
        <f t="shared" si="21"/>
        <v/>
      </c>
      <c r="H285" t="str">
        <f t="shared" si="22"/>
        <v/>
      </c>
      <c r="I285" t="str">
        <f t="shared" si="23"/>
        <v/>
      </c>
      <c r="J285" t="str">
        <f t="shared" si="24"/>
        <v/>
      </c>
      <c r="K285" t="str">
        <f>IF($A285="","",IF(COUNTIF($B$2:$B285,$B285)=COUNTIF($B$2:$B$1601,$B285),$B285,""))</f>
        <v/>
      </c>
    </row>
    <row r="286" spans="1:11">
      <c r="A286" t="str">
        <f>IF('TMP Paste'!$E286="","",'TMP Paste'!$E286)</f>
        <v/>
      </c>
      <c r="B286" t="str">
        <f>IF($A286="","",COUNTIF('TMP Paste'!$B$2:$B286,"?*"))</f>
        <v/>
      </c>
      <c r="C286" t="str">
        <f>IF($A286="","",IFERROR('TMP Paste'!$M286*1,0))</f>
        <v/>
      </c>
      <c r="D286" t="str">
        <f>IF($A286="","",SUMIF($B$2:$B286,$B286,$C$2:$C286))</f>
        <v/>
      </c>
      <c r="E286">
        <f>IF($A286="",0,IF('TMP Paste'!$B286="",0,1))</f>
        <v>0</v>
      </c>
      <c r="F286" t="str">
        <f t="shared" si="20"/>
        <v/>
      </c>
      <c r="G286" t="str">
        <f t="shared" si="21"/>
        <v/>
      </c>
      <c r="H286" t="str">
        <f t="shared" si="22"/>
        <v/>
      </c>
      <c r="I286" t="str">
        <f t="shared" si="23"/>
        <v/>
      </c>
      <c r="J286" t="str">
        <f t="shared" si="24"/>
        <v/>
      </c>
      <c r="K286" t="str">
        <f>IF($A286="","",IF(COUNTIF($B$2:$B286,$B286)=COUNTIF($B$2:$B$1601,$B286),$B286,""))</f>
        <v/>
      </c>
    </row>
    <row r="287" spans="1:11">
      <c r="A287" t="str">
        <f>IF('TMP Paste'!$E287="","",'TMP Paste'!$E287)</f>
        <v/>
      </c>
      <c r="B287" t="str">
        <f>IF($A287="","",COUNTIF('TMP Paste'!$B$2:$B287,"?*"))</f>
        <v/>
      </c>
      <c r="C287" t="str">
        <f>IF($A287="","",IFERROR('TMP Paste'!$M287*1,0))</f>
        <v/>
      </c>
      <c r="D287" t="str">
        <f>IF($A287="","",SUMIF($B$2:$B287,$B287,$C$2:$C287))</f>
        <v/>
      </c>
      <c r="E287">
        <f>IF($A287="",0,IF('TMP Paste'!$B287="",0,1))</f>
        <v>0</v>
      </c>
      <c r="F287" t="str">
        <f t="shared" si="20"/>
        <v/>
      </c>
      <c r="G287" t="str">
        <f t="shared" si="21"/>
        <v/>
      </c>
      <c r="H287" t="str">
        <f t="shared" si="22"/>
        <v/>
      </c>
      <c r="I287" t="str">
        <f t="shared" si="23"/>
        <v/>
      </c>
      <c r="J287" t="str">
        <f t="shared" si="24"/>
        <v/>
      </c>
      <c r="K287" t="str">
        <f>IF($A287="","",IF(COUNTIF($B$2:$B287,$B287)=COUNTIF($B$2:$B$1601,$B287),$B287,""))</f>
        <v/>
      </c>
    </row>
    <row r="288" spans="1:11">
      <c r="A288" t="str">
        <f>IF('TMP Paste'!$E288="","",'TMP Paste'!$E288)</f>
        <v/>
      </c>
      <c r="B288" t="str">
        <f>IF($A288="","",COUNTIF('TMP Paste'!$B$2:$B288,"?*"))</f>
        <v/>
      </c>
      <c r="C288" t="str">
        <f>IF($A288="","",IFERROR('TMP Paste'!$M288*1,0))</f>
        <v/>
      </c>
      <c r="D288" t="str">
        <f>IF($A288="","",SUMIF($B$2:$B288,$B288,$C$2:$C288))</f>
        <v/>
      </c>
      <c r="E288">
        <f>IF($A288="",0,IF('TMP Paste'!$B288="",0,1))</f>
        <v>0</v>
      </c>
      <c r="F288" t="str">
        <f t="shared" si="20"/>
        <v/>
      </c>
      <c r="G288" t="str">
        <f t="shared" si="21"/>
        <v/>
      </c>
      <c r="H288" t="str">
        <f t="shared" si="22"/>
        <v/>
      </c>
      <c r="I288" t="str">
        <f t="shared" si="23"/>
        <v/>
      </c>
      <c r="J288" t="str">
        <f t="shared" si="24"/>
        <v/>
      </c>
      <c r="K288" t="str">
        <f>IF($A288="","",IF(COUNTIF($B$2:$B288,$B288)=COUNTIF($B$2:$B$1601,$B288),$B288,""))</f>
        <v/>
      </c>
    </row>
    <row r="289" spans="1:11">
      <c r="A289" t="str">
        <f>IF('TMP Paste'!$E289="","",'TMP Paste'!$E289)</f>
        <v/>
      </c>
      <c r="B289" t="str">
        <f>IF($A289="","",COUNTIF('TMP Paste'!$B$2:$B289,"?*"))</f>
        <v/>
      </c>
      <c r="C289" t="str">
        <f>IF($A289="","",IFERROR('TMP Paste'!$M289*1,0))</f>
        <v/>
      </c>
      <c r="D289" t="str">
        <f>IF($A289="","",SUMIF($B$2:$B289,$B289,$C$2:$C289))</f>
        <v/>
      </c>
      <c r="E289">
        <f>IF($A289="",0,IF('TMP Paste'!$B289="",0,1))</f>
        <v>0</v>
      </c>
      <c r="F289" t="str">
        <f t="shared" si="20"/>
        <v/>
      </c>
      <c r="G289" t="str">
        <f t="shared" si="21"/>
        <v/>
      </c>
      <c r="H289" t="str">
        <f t="shared" si="22"/>
        <v/>
      </c>
      <c r="I289" t="str">
        <f t="shared" si="23"/>
        <v/>
      </c>
      <c r="J289" t="str">
        <f t="shared" si="24"/>
        <v/>
      </c>
      <c r="K289" t="str">
        <f>IF($A289="","",IF(COUNTIF($B$2:$B289,$B289)=COUNTIF($B$2:$B$1601,$B289),$B289,""))</f>
        <v/>
      </c>
    </row>
    <row r="290" spans="1:11">
      <c r="A290" t="str">
        <f>IF('TMP Paste'!$E290="","",'TMP Paste'!$E290)</f>
        <v/>
      </c>
      <c r="B290" t="str">
        <f>IF($A290="","",COUNTIF('TMP Paste'!$B$2:$B290,"?*"))</f>
        <v/>
      </c>
      <c r="C290" t="str">
        <f>IF($A290="","",IFERROR('TMP Paste'!$M290*1,0))</f>
        <v/>
      </c>
      <c r="D290" t="str">
        <f>IF($A290="","",SUMIF($B$2:$B290,$B290,$C$2:$C290))</f>
        <v/>
      </c>
      <c r="E290">
        <f>IF($A290="",0,IF('TMP Paste'!$B290="",0,1))</f>
        <v>0</v>
      </c>
      <c r="F290" t="str">
        <f t="shared" si="20"/>
        <v/>
      </c>
      <c r="G290" t="str">
        <f t="shared" si="21"/>
        <v/>
      </c>
      <c r="H290" t="str">
        <f t="shared" si="22"/>
        <v/>
      </c>
      <c r="I290" t="str">
        <f t="shared" si="23"/>
        <v/>
      </c>
      <c r="J290" t="str">
        <f t="shared" si="24"/>
        <v/>
      </c>
      <c r="K290" t="str">
        <f>IF($A290="","",IF(COUNTIF($B$2:$B290,$B290)=COUNTIF($B$2:$B$1601,$B290),$B290,""))</f>
        <v/>
      </c>
    </row>
    <row r="291" spans="1:11">
      <c r="A291" t="str">
        <f>IF('TMP Paste'!$E291="","",'TMP Paste'!$E291)</f>
        <v/>
      </c>
      <c r="B291" t="str">
        <f>IF($A291="","",COUNTIF('TMP Paste'!$B$2:$B291,"?*"))</f>
        <v/>
      </c>
      <c r="C291" t="str">
        <f>IF($A291="","",IFERROR('TMP Paste'!$M291*1,0))</f>
        <v/>
      </c>
      <c r="D291" t="str">
        <f>IF($A291="","",SUMIF($B$2:$B291,$B291,$C$2:$C291))</f>
        <v/>
      </c>
      <c r="E291">
        <f>IF($A291="",0,IF('TMP Paste'!$B291="",0,1))</f>
        <v>0</v>
      </c>
      <c r="F291" t="str">
        <f t="shared" si="20"/>
        <v/>
      </c>
      <c r="G291" t="str">
        <f t="shared" si="21"/>
        <v/>
      </c>
      <c r="H291" t="str">
        <f t="shared" si="22"/>
        <v/>
      </c>
      <c r="I291" t="str">
        <f t="shared" si="23"/>
        <v/>
      </c>
      <c r="J291" t="str">
        <f t="shared" si="24"/>
        <v/>
      </c>
      <c r="K291" t="str">
        <f>IF($A291="","",IF(COUNTIF($B$2:$B291,$B291)=COUNTIF($B$2:$B$1601,$B291),$B291,""))</f>
        <v/>
      </c>
    </row>
    <row r="292" spans="1:11">
      <c r="A292" t="str">
        <f>IF('TMP Paste'!$E292="","",'TMP Paste'!$E292)</f>
        <v/>
      </c>
      <c r="B292" t="str">
        <f>IF($A292="","",COUNTIF('TMP Paste'!$B$2:$B292,"?*"))</f>
        <v/>
      </c>
      <c r="C292" t="str">
        <f>IF($A292="","",IFERROR('TMP Paste'!$M292*1,0))</f>
        <v/>
      </c>
      <c r="D292" t="str">
        <f>IF($A292="","",SUMIF($B$2:$B292,$B292,$C$2:$C292))</f>
        <v/>
      </c>
      <c r="E292">
        <f>IF($A292="",0,IF('TMP Paste'!$B292="",0,1))</f>
        <v>0</v>
      </c>
      <c r="F292" t="str">
        <f t="shared" si="20"/>
        <v/>
      </c>
      <c r="G292" t="str">
        <f t="shared" si="21"/>
        <v/>
      </c>
      <c r="H292" t="str">
        <f t="shared" si="22"/>
        <v/>
      </c>
      <c r="I292" t="str">
        <f t="shared" si="23"/>
        <v/>
      </c>
      <c r="J292" t="str">
        <f t="shared" si="24"/>
        <v/>
      </c>
      <c r="K292" t="str">
        <f>IF($A292="","",IF(COUNTIF($B$2:$B292,$B292)=COUNTIF($B$2:$B$1601,$B292),$B292,""))</f>
        <v/>
      </c>
    </row>
    <row r="293" spans="1:11">
      <c r="A293" t="str">
        <f>IF('TMP Paste'!$E293="","",'TMP Paste'!$E293)</f>
        <v/>
      </c>
      <c r="B293" t="str">
        <f>IF($A293="","",COUNTIF('TMP Paste'!$B$2:$B293,"?*"))</f>
        <v/>
      </c>
      <c r="C293" t="str">
        <f>IF($A293="","",IFERROR('TMP Paste'!$M293*1,0))</f>
        <v/>
      </c>
      <c r="D293" t="str">
        <f>IF($A293="","",SUMIF($B$2:$B293,$B293,$C$2:$C293))</f>
        <v/>
      </c>
      <c r="E293">
        <f>IF($A293="",0,IF('TMP Paste'!$B293="",0,1))</f>
        <v>0</v>
      </c>
      <c r="F293" t="str">
        <f t="shared" si="20"/>
        <v/>
      </c>
      <c r="G293" t="str">
        <f t="shared" si="21"/>
        <v/>
      </c>
      <c r="H293" t="str">
        <f t="shared" si="22"/>
        <v/>
      </c>
      <c r="I293" t="str">
        <f t="shared" si="23"/>
        <v/>
      </c>
      <c r="J293" t="str">
        <f t="shared" si="24"/>
        <v/>
      </c>
      <c r="K293" t="str">
        <f>IF($A293="","",IF(COUNTIF($B$2:$B293,$B293)=COUNTIF($B$2:$B$1601,$B293),$B293,""))</f>
        <v/>
      </c>
    </row>
    <row r="294" spans="1:11">
      <c r="A294" t="str">
        <f>IF('TMP Paste'!$E294="","",'TMP Paste'!$E294)</f>
        <v/>
      </c>
      <c r="B294" t="str">
        <f>IF($A294="","",COUNTIF('TMP Paste'!$B$2:$B294,"?*"))</f>
        <v/>
      </c>
      <c r="C294" t="str">
        <f>IF($A294="","",IFERROR('TMP Paste'!$M294*1,0))</f>
        <v/>
      </c>
      <c r="D294" t="str">
        <f>IF($A294="","",SUMIF($B$2:$B294,$B294,$C$2:$C294))</f>
        <v/>
      </c>
      <c r="E294">
        <f>IF($A294="",0,IF('TMP Paste'!$B294="",0,1))</f>
        <v>0</v>
      </c>
      <c r="F294" t="str">
        <f t="shared" si="20"/>
        <v/>
      </c>
      <c r="G294" t="str">
        <f t="shared" si="21"/>
        <v/>
      </c>
      <c r="H294" t="str">
        <f t="shared" si="22"/>
        <v/>
      </c>
      <c r="I294" t="str">
        <f t="shared" si="23"/>
        <v/>
      </c>
      <c r="J294" t="str">
        <f t="shared" si="24"/>
        <v/>
      </c>
      <c r="K294" t="str">
        <f>IF($A294="","",IF(COUNTIF($B$2:$B294,$B294)=COUNTIF($B$2:$B$1601,$B294),$B294,""))</f>
        <v/>
      </c>
    </row>
    <row r="295" spans="1:11">
      <c r="A295" t="str">
        <f>IF('TMP Paste'!$E295="","",'TMP Paste'!$E295)</f>
        <v/>
      </c>
      <c r="B295" t="str">
        <f>IF($A295="","",COUNTIF('TMP Paste'!$B$2:$B295,"?*"))</f>
        <v/>
      </c>
      <c r="C295" t="str">
        <f>IF($A295="","",IFERROR('TMP Paste'!$M295*1,0))</f>
        <v/>
      </c>
      <c r="D295" t="str">
        <f>IF($A295="","",SUMIF($B$2:$B295,$B295,$C$2:$C295))</f>
        <v/>
      </c>
      <c r="E295">
        <f>IF($A295="",0,IF('TMP Paste'!$B295="",0,1))</f>
        <v>0</v>
      </c>
      <c r="F295" t="str">
        <f t="shared" si="20"/>
        <v/>
      </c>
      <c r="G295" t="str">
        <f t="shared" si="21"/>
        <v/>
      </c>
      <c r="H295" t="str">
        <f t="shared" si="22"/>
        <v/>
      </c>
      <c r="I295" t="str">
        <f t="shared" si="23"/>
        <v/>
      </c>
      <c r="J295" t="str">
        <f t="shared" si="24"/>
        <v/>
      </c>
      <c r="K295" t="str">
        <f>IF($A295="","",IF(COUNTIF($B$2:$B295,$B295)=COUNTIF($B$2:$B$1601,$B295),$B295,""))</f>
        <v/>
      </c>
    </row>
    <row r="296" spans="1:11">
      <c r="A296" t="str">
        <f>IF('TMP Paste'!$E296="","",'TMP Paste'!$E296)</f>
        <v/>
      </c>
      <c r="B296" t="str">
        <f>IF($A296="","",COUNTIF('TMP Paste'!$B$2:$B296,"?*"))</f>
        <v/>
      </c>
      <c r="C296" t="str">
        <f>IF($A296="","",IFERROR('TMP Paste'!$M296*1,0))</f>
        <v/>
      </c>
      <c r="D296" t="str">
        <f>IF($A296="","",SUMIF($B$2:$B296,$B296,$C$2:$C296))</f>
        <v/>
      </c>
      <c r="E296">
        <f>IF($A296="",0,IF('TMP Paste'!$B296="",0,1))</f>
        <v>0</v>
      </c>
      <c r="F296" t="str">
        <f t="shared" si="20"/>
        <v/>
      </c>
      <c r="G296" t="str">
        <f t="shared" si="21"/>
        <v/>
      </c>
      <c r="H296" t="str">
        <f t="shared" si="22"/>
        <v/>
      </c>
      <c r="I296" t="str">
        <f t="shared" si="23"/>
        <v/>
      </c>
      <c r="J296" t="str">
        <f t="shared" si="24"/>
        <v/>
      </c>
      <c r="K296" t="str">
        <f>IF($A296="","",IF(COUNTIF($B$2:$B296,$B296)=COUNTIF($B$2:$B$1601,$B296),$B296,""))</f>
        <v/>
      </c>
    </row>
    <row r="297" spans="1:11">
      <c r="A297" t="str">
        <f>IF('TMP Paste'!$E297="","",'TMP Paste'!$E297)</f>
        <v/>
      </c>
      <c r="B297" t="str">
        <f>IF($A297="","",COUNTIF('TMP Paste'!$B$2:$B297,"?*"))</f>
        <v/>
      </c>
      <c r="C297" t="str">
        <f>IF($A297="","",IFERROR('TMP Paste'!$M297*1,0))</f>
        <v/>
      </c>
      <c r="D297" t="str">
        <f>IF($A297="","",SUMIF($B$2:$B297,$B297,$C$2:$C297))</f>
        <v/>
      </c>
      <c r="E297">
        <f>IF($A297="",0,IF('TMP Paste'!$B297="",0,1))</f>
        <v>0</v>
      </c>
      <c r="F297" t="str">
        <f t="shared" si="20"/>
        <v/>
      </c>
      <c r="G297" t="str">
        <f t="shared" si="21"/>
        <v/>
      </c>
      <c r="H297" t="str">
        <f t="shared" si="22"/>
        <v/>
      </c>
      <c r="I297" t="str">
        <f t="shared" si="23"/>
        <v/>
      </c>
      <c r="J297" t="str">
        <f t="shared" si="24"/>
        <v/>
      </c>
      <c r="K297" t="str">
        <f>IF($A297="","",IF(COUNTIF($B$2:$B297,$B297)=COUNTIF($B$2:$B$1601,$B297),$B297,""))</f>
        <v/>
      </c>
    </row>
    <row r="298" spans="1:11">
      <c r="A298" t="str">
        <f>IF('TMP Paste'!$E298="","",'TMP Paste'!$E298)</f>
        <v/>
      </c>
      <c r="B298" t="str">
        <f>IF($A298="","",COUNTIF('TMP Paste'!$B$2:$B298,"?*"))</f>
        <v/>
      </c>
      <c r="C298" t="str">
        <f>IF($A298="","",IFERROR('TMP Paste'!$M298*1,0))</f>
        <v/>
      </c>
      <c r="D298" t="str">
        <f>IF($A298="","",SUMIF($B$2:$B298,$B298,$C$2:$C298))</f>
        <v/>
      </c>
      <c r="E298">
        <f>IF($A298="",0,IF('TMP Paste'!$B298="",0,1))</f>
        <v>0</v>
      </c>
      <c r="F298" t="str">
        <f t="shared" si="20"/>
        <v/>
      </c>
      <c r="G298" t="str">
        <f t="shared" si="21"/>
        <v/>
      </c>
      <c r="H298" t="str">
        <f t="shared" si="22"/>
        <v/>
      </c>
      <c r="I298" t="str">
        <f t="shared" si="23"/>
        <v/>
      </c>
      <c r="J298" t="str">
        <f t="shared" si="24"/>
        <v/>
      </c>
      <c r="K298" t="str">
        <f>IF($A298="","",IF(COUNTIF($B$2:$B298,$B298)=COUNTIF($B$2:$B$1601,$B298),$B298,""))</f>
        <v/>
      </c>
    </row>
    <row r="299" spans="1:11">
      <c r="A299" t="str">
        <f>IF('TMP Paste'!$E299="","",'TMP Paste'!$E299)</f>
        <v/>
      </c>
      <c r="B299" t="str">
        <f>IF($A299="","",COUNTIF('TMP Paste'!$B$2:$B299,"?*"))</f>
        <v/>
      </c>
      <c r="C299" t="str">
        <f>IF($A299="","",IFERROR('TMP Paste'!$M299*1,0))</f>
        <v/>
      </c>
      <c r="D299" t="str">
        <f>IF($A299="","",SUMIF($B$2:$B299,$B299,$C$2:$C299))</f>
        <v/>
      </c>
      <c r="E299">
        <f>IF($A299="",0,IF('TMP Paste'!$B299="",0,1))</f>
        <v>0</v>
      </c>
      <c r="F299" t="str">
        <f t="shared" si="20"/>
        <v/>
      </c>
      <c r="G299" t="str">
        <f t="shared" si="21"/>
        <v/>
      </c>
      <c r="H299" t="str">
        <f t="shared" si="22"/>
        <v/>
      </c>
      <c r="I299" t="str">
        <f t="shared" si="23"/>
        <v/>
      </c>
      <c r="J299" t="str">
        <f t="shared" si="24"/>
        <v/>
      </c>
      <c r="K299" t="str">
        <f>IF($A299="","",IF(COUNTIF($B$2:$B299,$B299)=COUNTIF($B$2:$B$1601,$B299),$B299,""))</f>
        <v/>
      </c>
    </row>
    <row r="300" spans="1:11">
      <c r="A300" t="str">
        <f>IF('TMP Paste'!$E300="","",'TMP Paste'!$E300)</f>
        <v/>
      </c>
      <c r="B300" t="str">
        <f>IF($A300="","",COUNTIF('TMP Paste'!$B$2:$B300,"?*"))</f>
        <v/>
      </c>
      <c r="C300" t="str">
        <f>IF($A300="","",IFERROR('TMP Paste'!$M300*1,0))</f>
        <v/>
      </c>
      <c r="D300" t="str">
        <f>IF($A300="","",SUMIF($B$2:$B300,$B300,$C$2:$C300))</f>
        <v/>
      </c>
      <c r="E300">
        <f>IF($A300="",0,IF('TMP Paste'!$B300="",0,1))</f>
        <v>0</v>
      </c>
      <c r="F300" t="str">
        <f t="shared" si="20"/>
        <v/>
      </c>
      <c r="G300" t="str">
        <f t="shared" si="21"/>
        <v/>
      </c>
      <c r="H300" t="str">
        <f t="shared" si="22"/>
        <v/>
      </c>
      <c r="I300" t="str">
        <f t="shared" si="23"/>
        <v/>
      </c>
      <c r="J300" t="str">
        <f t="shared" si="24"/>
        <v/>
      </c>
      <c r="K300" t="str">
        <f>IF($A300="","",IF(COUNTIF($B$2:$B300,$B300)=COUNTIF($B$2:$B$1601,$B300),$B300,""))</f>
        <v/>
      </c>
    </row>
    <row r="301" spans="1:11">
      <c r="A301" t="str">
        <f>IF('TMP Paste'!$E301="","",'TMP Paste'!$E301)</f>
        <v/>
      </c>
      <c r="B301" t="str">
        <f>IF($A301="","",COUNTIF('TMP Paste'!$B$2:$B301,"?*"))</f>
        <v/>
      </c>
      <c r="C301" t="str">
        <f>IF($A301="","",IFERROR('TMP Paste'!$M301*1,0))</f>
        <v/>
      </c>
      <c r="D301" t="str">
        <f>IF($A301="","",SUMIF($B$2:$B301,$B301,$C$2:$C301))</f>
        <v/>
      </c>
      <c r="E301">
        <f>IF($A301="",0,IF('TMP Paste'!$B301="",0,1))</f>
        <v>0</v>
      </c>
      <c r="F301" t="str">
        <f t="shared" si="20"/>
        <v/>
      </c>
      <c r="G301" t="str">
        <f t="shared" si="21"/>
        <v/>
      </c>
      <c r="H301" t="str">
        <f t="shared" si="22"/>
        <v/>
      </c>
      <c r="I301" t="str">
        <f t="shared" si="23"/>
        <v/>
      </c>
      <c r="J301" t="str">
        <f t="shared" si="24"/>
        <v/>
      </c>
      <c r="K301" t="str">
        <f>IF($A301="","",IF(COUNTIF($B$2:$B301,$B301)=COUNTIF($B$2:$B$1601,$B301),$B301,""))</f>
        <v/>
      </c>
    </row>
    <row r="302" spans="1:11">
      <c r="A302" t="str">
        <f>IF('TMP Paste'!$E302="","",'TMP Paste'!$E302)</f>
        <v/>
      </c>
      <c r="B302" t="str">
        <f>IF($A302="","",COUNTIF('TMP Paste'!$B$2:$B302,"?*"))</f>
        <v/>
      </c>
      <c r="C302" t="str">
        <f>IF($A302="","",IFERROR('TMP Paste'!$M302*1,0))</f>
        <v/>
      </c>
      <c r="D302" t="str">
        <f>IF($A302="","",SUMIF($B$2:$B302,$B302,$C$2:$C302))</f>
        <v/>
      </c>
      <c r="E302">
        <f>IF($A302="",0,IF('TMP Paste'!$B302="",0,1))</f>
        <v>0</v>
      </c>
      <c r="F302" t="str">
        <f t="shared" si="20"/>
        <v/>
      </c>
      <c r="G302" t="str">
        <f t="shared" si="21"/>
        <v/>
      </c>
      <c r="H302" t="str">
        <f t="shared" si="22"/>
        <v/>
      </c>
      <c r="I302" t="str">
        <f t="shared" si="23"/>
        <v/>
      </c>
      <c r="J302" t="str">
        <f t="shared" si="24"/>
        <v/>
      </c>
      <c r="K302" t="str">
        <f>IF($A302="","",IF(COUNTIF($B$2:$B302,$B302)=COUNTIF($B$2:$B$1601,$B302),$B302,""))</f>
        <v/>
      </c>
    </row>
    <row r="303" spans="1:11">
      <c r="A303" t="str">
        <f>IF('TMP Paste'!$E303="","",'TMP Paste'!$E303)</f>
        <v/>
      </c>
      <c r="B303" t="str">
        <f>IF($A303="","",COUNTIF('TMP Paste'!$B$2:$B303,"?*"))</f>
        <v/>
      </c>
      <c r="C303" t="str">
        <f>IF($A303="","",IFERROR('TMP Paste'!$M303*1,0))</f>
        <v/>
      </c>
      <c r="D303" t="str">
        <f>IF($A303="","",SUMIF($B$2:$B303,$B303,$C$2:$C303))</f>
        <v/>
      </c>
      <c r="E303">
        <f>IF($A303="",0,IF('TMP Paste'!$B303="",0,1))</f>
        <v>0</v>
      </c>
      <c r="F303" t="str">
        <f t="shared" si="20"/>
        <v/>
      </c>
      <c r="G303" t="str">
        <f t="shared" si="21"/>
        <v/>
      </c>
      <c r="H303" t="str">
        <f t="shared" si="22"/>
        <v/>
      </c>
      <c r="I303" t="str">
        <f t="shared" si="23"/>
        <v/>
      </c>
      <c r="J303" t="str">
        <f t="shared" si="24"/>
        <v/>
      </c>
      <c r="K303" t="str">
        <f>IF($A303="","",IF(COUNTIF($B$2:$B303,$B303)=COUNTIF($B$2:$B$1601,$B303),$B303,""))</f>
        <v/>
      </c>
    </row>
    <row r="304" spans="1:11">
      <c r="A304" t="str">
        <f>IF('TMP Paste'!$E304="","",'TMP Paste'!$E304)</f>
        <v/>
      </c>
      <c r="B304" t="str">
        <f>IF($A304="","",COUNTIF('TMP Paste'!$B$2:$B304,"?*"))</f>
        <v/>
      </c>
      <c r="C304" t="str">
        <f>IF($A304="","",IFERROR('TMP Paste'!$M304*1,0))</f>
        <v/>
      </c>
      <c r="D304" t="str">
        <f>IF($A304="","",SUMIF($B$2:$B304,$B304,$C$2:$C304))</f>
        <v/>
      </c>
      <c r="E304">
        <f>IF($A304="",0,IF('TMP Paste'!$B304="",0,1))</f>
        <v>0</v>
      </c>
      <c r="F304" t="str">
        <f t="shared" si="20"/>
        <v/>
      </c>
      <c r="G304" t="str">
        <f t="shared" si="21"/>
        <v/>
      </c>
      <c r="H304" t="str">
        <f t="shared" si="22"/>
        <v/>
      </c>
      <c r="I304" t="str">
        <f t="shared" si="23"/>
        <v/>
      </c>
      <c r="J304" t="str">
        <f t="shared" si="24"/>
        <v/>
      </c>
      <c r="K304" t="str">
        <f>IF($A304="","",IF(COUNTIF($B$2:$B304,$B304)=COUNTIF($B$2:$B$1601,$B304),$B304,""))</f>
        <v/>
      </c>
    </row>
    <row r="305" spans="1:11">
      <c r="A305" t="str">
        <f>IF('TMP Paste'!$E305="","",'TMP Paste'!$E305)</f>
        <v/>
      </c>
      <c r="B305" t="str">
        <f>IF($A305="","",COUNTIF('TMP Paste'!$B$2:$B305,"?*"))</f>
        <v/>
      </c>
      <c r="C305" t="str">
        <f>IF($A305="","",IFERROR('TMP Paste'!$M305*1,0))</f>
        <v/>
      </c>
      <c r="D305" t="str">
        <f>IF($A305="","",SUMIF($B$2:$B305,$B305,$C$2:$C305))</f>
        <v/>
      </c>
      <c r="E305">
        <f>IF($A305="",0,IF('TMP Paste'!$B305="",0,1))</f>
        <v>0</v>
      </c>
      <c r="F305" t="str">
        <f t="shared" si="20"/>
        <v/>
      </c>
      <c r="G305" t="str">
        <f t="shared" si="21"/>
        <v/>
      </c>
      <c r="H305" t="str">
        <f t="shared" si="22"/>
        <v/>
      </c>
      <c r="I305" t="str">
        <f t="shared" si="23"/>
        <v/>
      </c>
      <c r="J305" t="str">
        <f t="shared" si="24"/>
        <v/>
      </c>
      <c r="K305" t="str">
        <f>IF($A305="","",IF(COUNTIF($B$2:$B305,$B305)=COUNTIF($B$2:$B$1601,$B305),$B305,""))</f>
        <v/>
      </c>
    </row>
    <row r="306" spans="1:11">
      <c r="A306" t="str">
        <f>IF('TMP Paste'!$E306="","",'TMP Paste'!$E306)</f>
        <v/>
      </c>
      <c r="B306" t="str">
        <f>IF($A306="","",COUNTIF('TMP Paste'!$B$2:$B306,"?*"))</f>
        <v/>
      </c>
      <c r="C306" t="str">
        <f>IF($A306="","",IFERROR('TMP Paste'!$M306*1,0))</f>
        <v/>
      </c>
      <c r="D306" t="str">
        <f>IF($A306="","",SUMIF($B$2:$B306,$B306,$C$2:$C306))</f>
        <v/>
      </c>
      <c r="E306">
        <f>IF($A306="",0,IF('TMP Paste'!$B306="",0,1))</f>
        <v>0</v>
      </c>
      <c r="F306" t="str">
        <f t="shared" si="20"/>
        <v/>
      </c>
      <c r="G306" t="str">
        <f t="shared" si="21"/>
        <v/>
      </c>
      <c r="H306" t="str">
        <f t="shared" si="22"/>
        <v/>
      </c>
      <c r="I306" t="str">
        <f t="shared" si="23"/>
        <v/>
      </c>
      <c r="J306" t="str">
        <f t="shared" si="24"/>
        <v/>
      </c>
      <c r="K306" t="str">
        <f>IF($A306="","",IF(COUNTIF($B$2:$B306,$B306)=COUNTIF($B$2:$B$1601,$B306),$B306,""))</f>
        <v/>
      </c>
    </row>
    <row r="307" spans="1:11">
      <c r="A307" t="str">
        <f>IF('TMP Paste'!$E307="","",'TMP Paste'!$E307)</f>
        <v/>
      </c>
      <c r="B307" t="str">
        <f>IF($A307="","",COUNTIF('TMP Paste'!$B$2:$B307,"?*"))</f>
        <v/>
      </c>
      <c r="C307" t="str">
        <f>IF($A307="","",IFERROR('TMP Paste'!$M307*1,0))</f>
        <v/>
      </c>
      <c r="D307" t="str">
        <f>IF($A307="","",SUMIF($B$2:$B307,$B307,$C$2:$C307))</f>
        <v/>
      </c>
      <c r="E307">
        <f>IF($A307="",0,IF('TMP Paste'!$B307="",0,1))</f>
        <v>0</v>
      </c>
      <c r="F307" t="str">
        <f t="shared" si="20"/>
        <v/>
      </c>
      <c r="G307" t="str">
        <f t="shared" si="21"/>
        <v/>
      </c>
      <c r="H307" t="str">
        <f t="shared" si="22"/>
        <v/>
      </c>
      <c r="I307" t="str">
        <f t="shared" si="23"/>
        <v/>
      </c>
      <c r="J307" t="str">
        <f t="shared" si="24"/>
        <v/>
      </c>
      <c r="K307" t="str">
        <f>IF($A307="","",IF(COUNTIF($B$2:$B307,$B307)=COUNTIF($B$2:$B$1601,$B307),$B307,""))</f>
        <v/>
      </c>
    </row>
    <row r="308" spans="1:11">
      <c r="A308" t="str">
        <f>IF('TMP Paste'!$E308="","",'TMP Paste'!$E308)</f>
        <v/>
      </c>
      <c r="B308" t="str">
        <f>IF($A308="","",COUNTIF('TMP Paste'!$B$2:$B308,"?*"))</f>
        <v/>
      </c>
      <c r="C308" t="str">
        <f>IF($A308="","",IFERROR('TMP Paste'!$M308*1,0))</f>
        <v/>
      </c>
      <c r="D308" t="str">
        <f>IF($A308="","",SUMIF($B$2:$B308,$B308,$C$2:$C308))</f>
        <v/>
      </c>
      <c r="E308">
        <f>IF($A308="",0,IF('TMP Paste'!$B308="",0,1))</f>
        <v>0</v>
      </c>
      <c r="F308" t="str">
        <f t="shared" si="20"/>
        <v/>
      </c>
      <c r="G308" t="str">
        <f t="shared" si="21"/>
        <v/>
      </c>
      <c r="H308" t="str">
        <f t="shared" si="22"/>
        <v/>
      </c>
      <c r="I308" t="str">
        <f t="shared" si="23"/>
        <v/>
      </c>
      <c r="J308" t="str">
        <f t="shared" si="24"/>
        <v/>
      </c>
      <c r="K308" t="str">
        <f>IF($A308="","",IF(COUNTIF($B$2:$B308,$B308)=COUNTIF($B$2:$B$1601,$B308),$B308,""))</f>
        <v/>
      </c>
    </row>
    <row r="309" spans="1:11">
      <c r="A309" t="str">
        <f>IF('TMP Paste'!$E309="","",'TMP Paste'!$E309)</f>
        <v/>
      </c>
      <c r="B309" t="str">
        <f>IF($A309="","",COUNTIF('TMP Paste'!$B$2:$B309,"?*"))</f>
        <v/>
      </c>
      <c r="C309" t="str">
        <f>IF($A309="","",IFERROR('TMP Paste'!$M309*1,0))</f>
        <v/>
      </c>
      <c r="D309" t="str">
        <f>IF($A309="","",SUMIF($B$2:$B309,$B309,$C$2:$C309))</f>
        <v/>
      </c>
      <c r="E309">
        <f>IF($A309="",0,IF('TMP Paste'!$B309="",0,1))</f>
        <v>0</v>
      </c>
      <c r="F309" t="str">
        <f t="shared" si="20"/>
        <v/>
      </c>
      <c r="G309" t="str">
        <f t="shared" si="21"/>
        <v/>
      </c>
      <c r="H309" t="str">
        <f t="shared" si="22"/>
        <v/>
      </c>
      <c r="I309" t="str">
        <f t="shared" si="23"/>
        <v/>
      </c>
      <c r="J309" t="str">
        <f t="shared" si="24"/>
        <v/>
      </c>
      <c r="K309" t="str">
        <f>IF($A309="","",IF(COUNTIF($B$2:$B309,$B309)=COUNTIF($B$2:$B$1601,$B309),$B309,""))</f>
        <v/>
      </c>
    </row>
    <row r="310" spans="1:11">
      <c r="A310" t="str">
        <f>IF('TMP Paste'!$E310="","",'TMP Paste'!$E310)</f>
        <v/>
      </c>
      <c r="B310" t="str">
        <f>IF($A310="","",COUNTIF('TMP Paste'!$B$2:$B310,"?*"))</f>
        <v/>
      </c>
      <c r="C310" t="str">
        <f>IF($A310="","",IFERROR('TMP Paste'!$M310*1,0))</f>
        <v/>
      </c>
      <c r="D310" t="str">
        <f>IF($A310="","",SUMIF($B$2:$B310,$B310,$C$2:$C310))</f>
        <v/>
      </c>
      <c r="E310">
        <f>IF($A310="",0,IF('TMP Paste'!$B310="",0,1))</f>
        <v>0</v>
      </c>
      <c r="F310" t="str">
        <f t="shared" si="20"/>
        <v/>
      </c>
      <c r="G310" t="str">
        <f t="shared" si="21"/>
        <v/>
      </c>
      <c r="H310" t="str">
        <f t="shared" si="22"/>
        <v/>
      </c>
      <c r="I310" t="str">
        <f t="shared" si="23"/>
        <v/>
      </c>
      <c r="J310" t="str">
        <f t="shared" si="24"/>
        <v/>
      </c>
      <c r="K310" t="str">
        <f>IF($A310="","",IF(COUNTIF($B$2:$B310,$B310)=COUNTIF($B$2:$B$1601,$B310),$B310,""))</f>
        <v/>
      </c>
    </row>
    <row r="311" spans="1:11">
      <c r="A311" t="str">
        <f>IF('TMP Paste'!$E311="","",'TMP Paste'!$E311)</f>
        <v/>
      </c>
      <c r="B311" t="str">
        <f>IF($A311="","",COUNTIF('TMP Paste'!$B$2:$B311,"?*"))</f>
        <v/>
      </c>
      <c r="C311" t="str">
        <f>IF($A311="","",IFERROR('TMP Paste'!$M311*1,0))</f>
        <v/>
      </c>
      <c r="D311" t="str">
        <f>IF($A311="","",SUMIF($B$2:$B311,$B311,$C$2:$C311))</f>
        <v/>
      </c>
      <c r="E311">
        <f>IF($A311="",0,IF('TMP Paste'!$B311="",0,1))</f>
        <v>0</v>
      </c>
      <c r="F311" t="str">
        <f t="shared" si="20"/>
        <v/>
      </c>
      <c r="G311" t="str">
        <f t="shared" si="21"/>
        <v/>
      </c>
      <c r="H311" t="str">
        <f t="shared" si="22"/>
        <v/>
      </c>
      <c r="I311" t="str">
        <f t="shared" si="23"/>
        <v/>
      </c>
      <c r="J311" t="str">
        <f t="shared" si="24"/>
        <v/>
      </c>
      <c r="K311" t="str">
        <f>IF($A311="","",IF(COUNTIF($B$2:$B311,$B311)=COUNTIF($B$2:$B$1601,$B311),$B311,""))</f>
        <v/>
      </c>
    </row>
    <row r="312" spans="1:11">
      <c r="A312" t="str">
        <f>IF('TMP Paste'!$E312="","",'TMP Paste'!$E312)</f>
        <v/>
      </c>
      <c r="B312" t="str">
        <f>IF($A312="","",COUNTIF('TMP Paste'!$B$2:$B312,"?*"))</f>
        <v/>
      </c>
      <c r="C312" t="str">
        <f>IF($A312="","",IFERROR('TMP Paste'!$M312*1,0))</f>
        <v/>
      </c>
      <c r="D312" t="str">
        <f>IF($A312="","",SUMIF($B$2:$B312,$B312,$C$2:$C312))</f>
        <v/>
      </c>
      <c r="E312">
        <f>IF($A312="",0,IF('TMP Paste'!$B312="",0,1))</f>
        <v>0</v>
      </c>
      <c r="F312" t="str">
        <f t="shared" si="20"/>
        <v/>
      </c>
      <c r="G312" t="str">
        <f t="shared" si="21"/>
        <v/>
      </c>
      <c r="H312" t="str">
        <f t="shared" si="22"/>
        <v/>
      </c>
      <c r="I312" t="str">
        <f t="shared" si="23"/>
        <v/>
      </c>
      <c r="J312" t="str">
        <f t="shared" si="24"/>
        <v/>
      </c>
      <c r="K312" t="str">
        <f>IF($A312="","",IF(COUNTIF($B$2:$B312,$B312)=COUNTIF($B$2:$B$1601,$B312),$B312,""))</f>
        <v/>
      </c>
    </row>
    <row r="313" spans="1:11">
      <c r="A313" t="str">
        <f>IF('TMP Paste'!$E313="","",'TMP Paste'!$E313)</f>
        <v/>
      </c>
      <c r="B313" t="str">
        <f>IF($A313="","",COUNTIF('TMP Paste'!$B$2:$B313,"?*"))</f>
        <v/>
      </c>
      <c r="C313" t="str">
        <f>IF($A313="","",IFERROR('TMP Paste'!$M313*1,0))</f>
        <v/>
      </c>
      <c r="D313" t="str">
        <f>IF($A313="","",SUMIF($B$2:$B313,$B313,$C$2:$C313))</f>
        <v/>
      </c>
      <c r="E313">
        <f>IF($A313="",0,IF('TMP Paste'!$B313="",0,1))</f>
        <v>0</v>
      </c>
      <c r="F313" t="str">
        <f t="shared" si="20"/>
        <v/>
      </c>
      <c r="G313" t="str">
        <f t="shared" si="21"/>
        <v/>
      </c>
      <c r="H313" t="str">
        <f t="shared" si="22"/>
        <v/>
      </c>
      <c r="I313" t="str">
        <f t="shared" si="23"/>
        <v/>
      </c>
      <c r="J313" t="str">
        <f t="shared" si="24"/>
        <v/>
      </c>
      <c r="K313" t="str">
        <f>IF($A313="","",IF(COUNTIF($B$2:$B313,$B313)=COUNTIF($B$2:$B$1601,$B313),$B313,""))</f>
        <v/>
      </c>
    </row>
    <row r="314" spans="1:11">
      <c r="A314" t="str">
        <f>IF('TMP Paste'!$E314="","",'TMP Paste'!$E314)</f>
        <v/>
      </c>
      <c r="B314" t="str">
        <f>IF($A314="","",COUNTIF('TMP Paste'!$B$2:$B314,"?*"))</f>
        <v/>
      </c>
      <c r="C314" t="str">
        <f>IF($A314="","",IFERROR('TMP Paste'!$M314*1,0))</f>
        <v/>
      </c>
      <c r="D314" t="str">
        <f>IF($A314="","",SUMIF($B$2:$B314,$B314,$C$2:$C314))</f>
        <v/>
      </c>
      <c r="E314">
        <f>IF($A314="",0,IF('TMP Paste'!$B314="",0,1))</f>
        <v>0</v>
      </c>
      <c r="F314" t="str">
        <f t="shared" si="20"/>
        <v/>
      </c>
      <c r="G314" t="str">
        <f t="shared" si="21"/>
        <v/>
      </c>
      <c r="H314" t="str">
        <f t="shared" si="22"/>
        <v/>
      </c>
      <c r="I314" t="str">
        <f t="shared" si="23"/>
        <v/>
      </c>
      <c r="J314" t="str">
        <f t="shared" si="24"/>
        <v/>
      </c>
      <c r="K314" t="str">
        <f>IF($A314="","",IF(COUNTIF($B$2:$B314,$B314)=COUNTIF($B$2:$B$1601,$B314),$B314,""))</f>
        <v/>
      </c>
    </row>
    <row r="315" spans="1:11">
      <c r="A315" t="str">
        <f>IF('TMP Paste'!$E315="","",'TMP Paste'!$E315)</f>
        <v/>
      </c>
      <c r="B315" t="str">
        <f>IF($A315="","",COUNTIF('TMP Paste'!$B$2:$B315,"?*"))</f>
        <v/>
      </c>
      <c r="C315" t="str">
        <f>IF($A315="","",IFERROR('TMP Paste'!$M315*1,0))</f>
        <v/>
      </c>
      <c r="D315" t="str">
        <f>IF($A315="","",SUMIF($B$2:$B315,$B315,$C$2:$C315))</f>
        <v/>
      </c>
      <c r="E315">
        <f>IF($A315="",0,IF('TMP Paste'!$B315="",0,1))</f>
        <v>0</v>
      </c>
      <c r="F315" t="str">
        <f t="shared" si="20"/>
        <v/>
      </c>
      <c r="G315" t="str">
        <f t="shared" si="21"/>
        <v/>
      </c>
      <c r="H315" t="str">
        <f t="shared" si="22"/>
        <v/>
      </c>
      <c r="I315" t="str">
        <f t="shared" si="23"/>
        <v/>
      </c>
      <c r="J315" t="str">
        <f t="shared" si="24"/>
        <v/>
      </c>
      <c r="K315" t="str">
        <f>IF($A315="","",IF(COUNTIF($B$2:$B315,$B315)=COUNTIF($B$2:$B$1601,$B315),$B315,""))</f>
        <v/>
      </c>
    </row>
    <row r="316" spans="1:11">
      <c r="A316" t="str">
        <f>IF('TMP Paste'!$E316="","",'TMP Paste'!$E316)</f>
        <v/>
      </c>
      <c r="B316" t="str">
        <f>IF($A316="","",COUNTIF('TMP Paste'!$B$2:$B316,"?*"))</f>
        <v/>
      </c>
      <c r="C316" t="str">
        <f>IF($A316="","",IFERROR('TMP Paste'!$M316*1,0))</f>
        <v/>
      </c>
      <c r="D316" t="str">
        <f>IF($A316="","",SUMIF($B$2:$B316,$B316,$C$2:$C316))</f>
        <v/>
      </c>
      <c r="E316">
        <f>IF($A316="",0,IF('TMP Paste'!$B316="",0,1))</f>
        <v>0</v>
      </c>
      <c r="F316" t="str">
        <f t="shared" si="20"/>
        <v/>
      </c>
      <c r="G316" t="str">
        <f t="shared" si="21"/>
        <v/>
      </c>
      <c r="H316" t="str">
        <f t="shared" si="22"/>
        <v/>
      </c>
      <c r="I316" t="str">
        <f t="shared" si="23"/>
        <v/>
      </c>
      <c r="J316" t="str">
        <f t="shared" si="24"/>
        <v/>
      </c>
      <c r="K316" t="str">
        <f>IF($A316="","",IF(COUNTIF($B$2:$B316,$B316)=COUNTIF($B$2:$B$1601,$B316),$B316,""))</f>
        <v/>
      </c>
    </row>
    <row r="317" spans="1:11">
      <c r="A317" t="str">
        <f>IF('TMP Paste'!$E317="","",'TMP Paste'!$E317)</f>
        <v/>
      </c>
      <c r="B317" t="str">
        <f>IF($A317="","",COUNTIF('TMP Paste'!$B$2:$B317,"?*"))</f>
        <v/>
      </c>
      <c r="C317" t="str">
        <f>IF($A317="","",IFERROR('TMP Paste'!$M317*1,0))</f>
        <v/>
      </c>
      <c r="D317" t="str">
        <f>IF($A317="","",SUMIF($B$2:$B317,$B317,$C$2:$C317))</f>
        <v/>
      </c>
      <c r="E317">
        <f>IF($A317="",0,IF('TMP Paste'!$B317="",0,1))</f>
        <v>0</v>
      </c>
      <c r="F317" t="str">
        <f t="shared" si="20"/>
        <v/>
      </c>
      <c r="G317" t="str">
        <f t="shared" si="21"/>
        <v/>
      </c>
      <c r="H317" t="str">
        <f t="shared" si="22"/>
        <v/>
      </c>
      <c r="I317" t="str">
        <f t="shared" si="23"/>
        <v/>
      </c>
      <c r="J317" t="str">
        <f t="shared" si="24"/>
        <v/>
      </c>
      <c r="K317" t="str">
        <f>IF($A317="","",IF(COUNTIF($B$2:$B317,$B317)=COUNTIF($B$2:$B$1601,$B317),$B317,""))</f>
        <v/>
      </c>
    </row>
    <row r="318" spans="1:11">
      <c r="A318" t="str">
        <f>IF('TMP Paste'!$E318="","",'TMP Paste'!$E318)</f>
        <v/>
      </c>
      <c r="B318" t="str">
        <f>IF($A318="","",COUNTIF('TMP Paste'!$B$2:$B318,"?*"))</f>
        <v/>
      </c>
      <c r="C318" t="str">
        <f>IF($A318="","",IFERROR('TMP Paste'!$M318*1,0))</f>
        <v/>
      </c>
      <c r="D318" t="str">
        <f>IF($A318="","",SUMIF($B$2:$B318,$B318,$C$2:$C318))</f>
        <v/>
      </c>
      <c r="E318">
        <f>IF($A318="",0,IF('TMP Paste'!$B318="",0,1))</f>
        <v>0</v>
      </c>
      <c r="F318" t="str">
        <f t="shared" si="20"/>
        <v/>
      </c>
      <c r="G318" t="str">
        <f t="shared" si="21"/>
        <v/>
      </c>
      <c r="H318" t="str">
        <f t="shared" si="22"/>
        <v/>
      </c>
      <c r="I318" t="str">
        <f t="shared" si="23"/>
        <v/>
      </c>
      <c r="J318" t="str">
        <f t="shared" si="24"/>
        <v/>
      </c>
      <c r="K318" t="str">
        <f>IF($A318="","",IF(COUNTIF($B$2:$B318,$B318)=COUNTIF($B$2:$B$1601,$B318),$B318,""))</f>
        <v/>
      </c>
    </row>
    <row r="319" spans="1:11">
      <c r="A319" t="str">
        <f>IF('TMP Paste'!$E319="","",'TMP Paste'!$E319)</f>
        <v/>
      </c>
      <c r="B319" t="str">
        <f>IF($A319="","",COUNTIF('TMP Paste'!$B$2:$B319,"?*"))</f>
        <v/>
      </c>
      <c r="C319" t="str">
        <f>IF($A319="","",IFERROR('TMP Paste'!$M319*1,0))</f>
        <v/>
      </c>
      <c r="D319" t="str">
        <f>IF($A319="","",SUMIF($B$2:$B319,$B319,$C$2:$C319))</f>
        <v/>
      </c>
      <c r="E319">
        <f>IF($A319="",0,IF('TMP Paste'!$B319="",0,1))</f>
        <v>0</v>
      </c>
      <c r="F319" t="str">
        <f t="shared" si="20"/>
        <v/>
      </c>
      <c r="G319" t="str">
        <f t="shared" si="21"/>
        <v/>
      </c>
      <c r="H319" t="str">
        <f t="shared" si="22"/>
        <v/>
      </c>
      <c r="I319" t="str">
        <f t="shared" si="23"/>
        <v/>
      </c>
      <c r="J319" t="str">
        <f t="shared" si="24"/>
        <v/>
      </c>
      <c r="K319" t="str">
        <f>IF($A319="","",IF(COUNTIF($B$2:$B319,$B319)=COUNTIF($B$2:$B$1601,$B319),$B319,""))</f>
        <v/>
      </c>
    </row>
    <row r="320" spans="1:11">
      <c r="A320" t="str">
        <f>IF('TMP Paste'!$E320="","",'TMP Paste'!$E320)</f>
        <v/>
      </c>
      <c r="B320" t="str">
        <f>IF($A320="","",COUNTIF('TMP Paste'!$B$2:$B320,"?*"))</f>
        <v/>
      </c>
      <c r="C320" t="str">
        <f>IF($A320="","",IFERROR('TMP Paste'!$M320*1,0))</f>
        <v/>
      </c>
      <c r="D320" t="str">
        <f>IF($A320="","",SUMIF($B$2:$B320,$B320,$C$2:$C320))</f>
        <v/>
      </c>
      <c r="E320">
        <f>IF($A320="",0,IF('TMP Paste'!$B320="",0,1))</f>
        <v>0</v>
      </c>
      <c r="F320" t="str">
        <f t="shared" si="20"/>
        <v/>
      </c>
      <c r="G320" t="str">
        <f t="shared" si="21"/>
        <v/>
      </c>
      <c r="H320" t="str">
        <f t="shared" si="22"/>
        <v/>
      </c>
      <c r="I320" t="str">
        <f t="shared" si="23"/>
        <v/>
      </c>
      <c r="J320" t="str">
        <f t="shared" si="24"/>
        <v/>
      </c>
      <c r="K320" t="str">
        <f>IF($A320="","",IF(COUNTIF($B$2:$B320,$B320)=COUNTIF($B$2:$B$1601,$B320),$B320,""))</f>
        <v/>
      </c>
    </row>
    <row r="321" spans="1:11">
      <c r="A321" t="str">
        <f>IF('TMP Paste'!$E321="","",'TMP Paste'!$E321)</f>
        <v/>
      </c>
      <c r="B321" t="str">
        <f>IF($A321="","",COUNTIF('TMP Paste'!$B$2:$B321,"?*"))</f>
        <v/>
      </c>
      <c r="C321" t="str">
        <f>IF($A321="","",IFERROR('TMP Paste'!$M321*1,0))</f>
        <v/>
      </c>
      <c r="D321" t="str">
        <f>IF($A321="","",SUMIF($B$2:$B321,$B321,$C$2:$C321))</f>
        <v/>
      </c>
      <c r="E321">
        <f>IF($A321="",0,IF('TMP Paste'!$B321="",0,1))</f>
        <v>0</v>
      </c>
      <c r="F321" t="str">
        <f t="shared" si="20"/>
        <v/>
      </c>
      <c r="G321" t="str">
        <f t="shared" si="21"/>
        <v/>
      </c>
      <c r="H321" t="str">
        <f t="shared" si="22"/>
        <v/>
      </c>
      <c r="I321" t="str">
        <f t="shared" si="23"/>
        <v/>
      </c>
      <c r="J321" t="str">
        <f t="shared" si="24"/>
        <v/>
      </c>
      <c r="K321" t="str">
        <f>IF($A321="","",IF(COUNTIF($B$2:$B321,$B321)=COUNTIF($B$2:$B$1601,$B321),$B321,""))</f>
        <v/>
      </c>
    </row>
    <row r="322" spans="1:11">
      <c r="A322" t="str">
        <f>IF('TMP Paste'!$E322="","",'TMP Paste'!$E322)</f>
        <v/>
      </c>
      <c r="B322" t="str">
        <f>IF($A322="","",COUNTIF('TMP Paste'!$B$2:$B322,"?*"))</f>
        <v/>
      </c>
      <c r="C322" t="str">
        <f>IF($A322="","",IFERROR('TMP Paste'!$M322*1,0))</f>
        <v/>
      </c>
      <c r="D322" t="str">
        <f>IF($A322="","",SUMIF($B$2:$B322,$B322,$C$2:$C322))</f>
        <v/>
      </c>
      <c r="E322">
        <f>IF($A322="",0,IF('TMP Paste'!$B322="",0,1))</f>
        <v>0</v>
      </c>
      <c r="F322" t="str">
        <f t="shared" ref="F322:F385" si="25">IF(OR($A322="",$C322&lt;1),"",$A322&amp;"-"&amp;TEXT(($D322-$C322+1),"00")&amp;IF($C322&gt;=2,", "&amp;$A322&amp;"-"&amp;TEXT(($D322-$C322+1)+1,"00"),"")&amp;IF($C322&gt;=3,", "&amp;$A322&amp;"-"&amp;TEXT(($D322-$C322+1)+2,"00"),"")&amp;IF($C322&gt;=4,", "&amp;$A322&amp;"-"&amp;TEXT(($D322-$C322+1)+3,"00"),"")&amp;IF($C322&gt;=5,", "&amp;$A322&amp;"-"&amp;TEXT(($D322-$C322+1)+4,"00"),"")&amp;IF($C322&gt;=6,", "&amp;$A322&amp;"-"&amp;TEXT(($D322-$C322+1)+5,"00"),"")&amp;IF($C322&gt;=7,", "&amp;$A322&amp;"-"&amp;TEXT(($D322-$C322+1)+6,"00"),"")&amp;IF($C322&gt;=8,", "&amp;$A322&amp;"-"&amp;TEXT(($D322-$C322+1)+7,"00"),"")&amp;IF($C322&gt;=9,", "&amp;$A322&amp;"-"&amp;TEXT(($D322-$C322+1)+8,"00"),"")&amp;IF($C322&gt;=10,", "&amp;$A322&amp;"-"&amp;TEXT(($D322-$C322+1)+9,"00"),"")&amp;IF($C322&gt;=11,", "&amp;$A322&amp;"-"&amp;TEXT(($D322-$C322+1)+10,"00"),"")&amp;IF($C322&gt;=12,", "&amp;$A322&amp;"-"&amp;TEXT(($D322-$C322+1)+11,"00"),"")&amp;IF($C322&gt;=13,", "&amp;$A322&amp;"-"&amp;TEXT(($D322-$C322+1)+12,"00"),"")&amp;IF($C322&gt;=14,", "&amp;$A322&amp;"-"&amp;TEXT(($D322-$C322+1)+13,"00"),"")&amp;IF($C322&gt;=15,", "&amp;$A322&amp;"-"&amp;TEXT(($D322-$C322+1)+14,"00"),"")&amp;IF($C322&gt;=16,", "&amp;$A322&amp;"-"&amp;TEXT(($D322-$C322+1)+15,"00"),"")&amp;IF($C322&gt;=17,", "&amp;$A322&amp;"-"&amp;TEXT(($D322-$C322+1)+16,"00"),"")&amp;IF($C322&gt;=18,", "&amp;$A322&amp;"-"&amp;TEXT(($D322-$C322+1)+17,"00"),"")&amp;IF($C322&gt;=19,", "&amp;$A322&amp;"-"&amp;TEXT(($D322-$C322+1)+18,"00"),"")&amp;IF($C322&gt;=20,", "&amp;$A322&amp;"-"&amp;TEXT(($D322-$C322+1)+19,"00"),"")&amp;IF($C322&gt;=21,", "&amp;$A322&amp;"-"&amp;TEXT(($D322-$C322+1)+20,"00"),"")&amp;IF($C322&gt;=22,", "&amp;$A322&amp;"-"&amp;TEXT(($D322-$C322+1)+21,"00"),"")&amp;IF($C322&gt;=23,", "&amp;$A322&amp;"-"&amp;TEXT(($D322-$C322+1)+22,"00"),"")&amp;IF($C322&gt;=24,", "&amp;$A322&amp;"-"&amp;TEXT(($D322-$C322+1)+23,"00"),"")&amp;IF($C322&gt;=25,", "&amp;$A322&amp;"-"&amp;TEXT(($D322-$C322+1)+24,"00"),""))</f>
        <v/>
      </c>
      <c r="G322" t="str">
        <f t="shared" ref="G322:G385" si="26">IF($A322="","",IF($E322=1,$F322,IF($F322="",$G321,IF($G321="",$F322,$G321&amp;", "&amp;$F322))))</f>
        <v/>
      </c>
      <c r="H322" t="str">
        <f t="shared" ref="H322:H385" si="27">IF($A322="","",$A322&amp;" ("&amp;$C322&amp;")")</f>
        <v/>
      </c>
      <c r="I322" t="str">
        <f t="shared" ref="I322:I385" si="28">IF($A322="","",IF($E322=1,$H322,$I321&amp;", "&amp;$H322))</f>
        <v/>
      </c>
      <c r="J322" t="str">
        <f t="shared" ref="J322:J385" si="29">IF($A322="","",IF($E322=1,$B322,""))</f>
        <v/>
      </c>
      <c r="K322" t="str">
        <f>IF($A322="","",IF(COUNTIF($B$2:$B322,$B322)=COUNTIF($B$2:$B$1601,$B322),$B322,""))</f>
        <v/>
      </c>
    </row>
    <row r="323" spans="1:11">
      <c r="A323" t="str">
        <f>IF('TMP Paste'!$E323="","",'TMP Paste'!$E323)</f>
        <v/>
      </c>
      <c r="B323" t="str">
        <f>IF($A323="","",COUNTIF('TMP Paste'!$B$2:$B323,"?*"))</f>
        <v/>
      </c>
      <c r="C323" t="str">
        <f>IF($A323="","",IFERROR('TMP Paste'!$M323*1,0))</f>
        <v/>
      </c>
      <c r="D323" t="str">
        <f>IF($A323="","",SUMIF($B$2:$B323,$B323,$C$2:$C323))</f>
        <v/>
      </c>
      <c r="E323">
        <f>IF($A323="",0,IF('TMP Paste'!$B323="",0,1))</f>
        <v>0</v>
      </c>
      <c r="F323" t="str">
        <f t="shared" si="25"/>
        <v/>
      </c>
      <c r="G323" t="str">
        <f t="shared" si="26"/>
        <v/>
      </c>
      <c r="H323" t="str">
        <f t="shared" si="27"/>
        <v/>
      </c>
      <c r="I323" t="str">
        <f t="shared" si="28"/>
        <v/>
      </c>
      <c r="J323" t="str">
        <f t="shared" si="29"/>
        <v/>
      </c>
      <c r="K323" t="str">
        <f>IF($A323="","",IF(COUNTIF($B$2:$B323,$B323)=COUNTIF($B$2:$B$1601,$B323),$B323,""))</f>
        <v/>
      </c>
    </row>
    <row r="324" spans="1:11">
      <c r="A324" t="str">
        <f>IF('TMP Paste'!$E324="","",'TMP Paste'!$E324)</f>
        <v/>
      </c>
      <c r="B324" t="str">
        <f>IF($A324="","",COUNTIF('TMP Paste'!$B$2:$B324,"?*"))</f>
        <v/>
      </c>
      <c r="C324" t="str">
        <f>IF($A324="","",IFERROR('TMP Paste'!$M324*1,0))</f>
        <v/>
      </c>
      <c r="D324" t="str">
        <f>IF($A324="","",SUMIF($B$2:$B324,$B324,$C$2:$C324))</f>
        <v/>
      </c>
      <c r="E324">
        <f>IF($A324="",0,IF('TMP Paste'!$B324="",0,1))</f>
        <v>0</v>
      </c>
      <c r="F324" t="str">
        <f t="shared" si="25"/>
        <v/>
      </c>
      <c r="G324" t="str">
        <f t="shared" si="26"/>
        <v/>
      </c>
      <c r="H324" t="str">
        <f t="shared" si="27"/>
        <v/>
      </c>
      <c r="I324" t="str">
        <f t="shared" si="28"/>
        <v/>
      </c>
      <c r="J324" t="str">
        <f t="shared" si="29"/>
        <v/>
      </c>
      <c r="K324" t="str">
        <f>IF($A324="","",IF(COUNTIF($B$2:$B324,$B324)=COUNTIF($B$2:$B$1601,$B324),$B324,""))</f>
        <v/>
      </c>
    </row>
    <row r="325" spans="1:11">
      <c r="A325" t="str">
        <f>IF('TMP Paste'!$E325="","",'TMP Paste'!$E325)</f>
        <v/>
      </c>
      <c r="B325" t="str">
        <f>IF($A325="","",COUNTIF('TMP Paste'!$B$2:$B325,"?*"))</f>
        <v/>
      </c>
      <c r="C325" t="str">
        <f>IF($A325="","",IFERROR('TMP Paste'!$M325*1,0))</f>
        <v/>
      </c>
      <c r="D325" t="str">
        <f>IF($A325="","",SUMIF($B$2:$B325,$B325,$C$2:$C325))</f>
        <v/>
      </c>
      <c r="E325">
        <f>IF($A325="",0,IF('TMP Paste'!$B325="",0,1))</f>
        <v>0</v>
      </c>
      <c r="F325" t="str">
        <f t="shared" si="25"/>
        <v/>
      </c>
      <c r="G325" t="str">
        <f t="shared" si="26"/>
        <v/>
      </c>
      <c r="H325" t="str">
        <f t="shared" si="27"/>
        <v/>
      </c>
      <c r="I325" t="str">
        <f t="shared" si="28"/>
        <v/>
      </c>
      <c r="J325" t="str">
        <f t="shared" si="29"/>
        <v/>
      </c>
      <c r="K325" t="str">
        <f>IF($A325="","",IF(COUNTIF($B$2:$B325,$B325)=COUNTIF($B$2:$B$1601,$B325),$B325,""))</f>
        <v/>
      </c>
    </row>
    <row r="326" spans="1:11">
      <c r="A326" t="str">
        <f>IF('TMP Paste'!$E326="","",'TMP Paste'!$E326)</f>
        <v/>
      </c>
      <c r="B326" t="str">
        <f>IF($A326="","",COUNTIF('TMP Paste'!$B$2:$B326,"?*"))</f>
        <v/>
      </c>
      <c r="C326" t="str">
        <f>IF($A326="","",IFERROR('TMP Paste'!$M326*1,0))</f>
        <v/>
      </c>
      <c r="D326" t="str">
        <f>IF($A326="","",SUMIF($B$2:$B326,$B326,$C$2:$C326))</f>
        <v/>
      </c>
      <c r="E326">
        <f>IF($A326="",0,IF('TMP Paste'!$B326="",0,1))</f>
        <v>0</v>
      </c>
      <c r="F326" t="str">
        <f t="shared" si="25"/>
        <v/>
      </c>
      <c r="G326" t="str">
        <f t="shared" si="26"/>
        <v/>
      </c>
      <c r="H326" t="str">
        <f t="shared" si="27"/>
        <v/>
      </c>
      <c r="I326" t="str">
        <f t="shared" si="28"/>
        <v/>
      </c>
      <c r="J326" t="str">
        <f t="shared" si="29"/>
        <v/>
      </c>
      <c r="K326" t="str">
        <f>IF($A326="","",IF(COUNTIF($B$2:$B326,$B326)=COUNTIF($B$2:$B$1601,$B326),$B326,""))</f>
        <v/>
      </c>
    </row>
    <row r="327" spans="1:11">
      <c r="A327" t="str">
        <f>IF('TMP Paste'!$E327="","",'TMP Paste'!$E327)</f>
        <v/>
      </c>
      <c r="B327" t="str">
        <f>IF($A327="","",COUNTIF('TMP Paste'!$B$2:$B327,"?*"))</f>
        <v/>
      </c>
      <c r="C327" t="str">
        <f>IF($A327="","",IFERROR('TMP Paste'!$M327*1,0))</f>
        <v/>
      </c>
      <c r="D327" t="str">
        <f>IF($A327="","",SUMIF($B$2:$B327,$B327,$C$2:$C327))</f>
        <v/>
      </c>
      <c r="E327">
        <f>IF($A327="",0,IF('TMP Paste'!$B327="",0,1))</f>
        <v>0</v>
      </c>
      <c r="F327" t="str">
        <f t="shared" si="25"/>
        <v/>
      </c>
      <c r="G327" t="str">
        <f t="shared" si="26"/>
        <v/>
      </c>
      <c r="H327" t="str">
        <f t="shared" si="27"/>
        <v/>
      </c>
      <c r="I327" t="str">
        <f t="shared" si="28"/>
        <v/>
      </c>
      <c r="J327" t="str">
        <f t="shared" si="29"/>
        <v/>
      </c>
      <c r="K327" t="str">
        <f>IF($A327="","",IF(COUNTIF($B$2:$B327,$B327)=COUNTIF($B$2:$B$1601,$B327),$B327,""))</f>
        <v/>
      </c>
    </row>
    <row r="328" spans="1:11">
      <c r="A328" t="str">
        <f>IF('TMP Paste'!$E328="","",'TMP Paste'!$E328)</f>
        <v/>
      </c>
      <c r="B328" t="str">
        <f>IF($A328="","",COUNTIF('TMP Paste'!$B$2:$B328,"?*"))</f>
        <v/>
      </c>
      <c r="C328" t="str">
        <f>IF($A328="","",IFERROR('TMP Paste'!$M328*1,0))</f>
        <v/>
      </c>
      <c r="D328" t="str">
        <f>IF($A328="","",SUMIF($B$2:$B328,$B328,$C$2:$C328))</f>
        <v/>
      </c>
      <c r="E328">
        <f>IF($A328="",0,IF('TMP Paste'!$B328="",0,1))</f>
        <v>0</v>
      </c>
      <c r="F328" t="str">
        <f t="shared" si="25"/>
        <v/>
      </c>
      <c r="G328" t="str">
        <f t="shared" si="26"/>
        <v/>
      </c>
      <c r="H328" t="str">
        <f t="shared" si="27"/>
        <v/>
      </c>
      <c r="I328" t="str">
        <f t="shared" si="28"/>
        <v/>
      </c>
      <c r="J328" t="str">
        <f t="shared" si="29"/>
        <v/>
      </c>
      <c r="K328" t="str">
        <f>IF($A328="","",IF(COUNTIF($B$2:$B328,$B328)=COUNTIF($B$2:$B$1601,$B328),$B328,""))</f>
        <v/>
      </c>
    </row>
    <row r="329" spans="1:11">
      <c r="A329" t="str">
        <f>IF('TMP Paste'!$E329="","",'TMP Paste'!$E329)</f>
        <v/>
      </c>
      <c r="B329" t="str">
        <f>IF($A329="","",COUNTIF('TMP Paste'!$B$2:$B329,"?*"))</f>
        <v/>
      </c>
      <c r="C329" t="str">
        <f>IF($A329="","",IFERROR('TMP Paste'!$M329*1,0))</f>
        <v/>
      </c>
      <c r="D329" t="str">
        <f>IF($A329="","",SUMIF($B$2:$B329,$B329,$C$2:$C329))</f>
        <v/>
      </c>
      <c r="E329">
        <f>IF($A329="",0,IF('TMP Paste'!$B329="",0,1))</f>
        <v>0</v>
      </c>
      <c r="F329" t="str">
        <f t="shared" si="25"/>
        <v/>
      </c>
      <c r="G329" t="str">
        <f t="shared" si="26"/>
        <v/>
      </c>
      <c r="H329" t="str">
        <f t="shared" si="27"/>
        <v/>
      </c>
      <c r="I329" t="str">
        <f t="shared" si="28"/>
        <v/>
      </c>
      <c r="J329" t="str">
        <f t="shared" si="29"/>
        <v/>
      </c>
      <c r="K329" t="str">
        <f>IF($A329="","",IF(COUNTIF($B$2:$B329,$B329)=COUNTIF($B$2:$B$1601,$B329),$B329,""))</f>
        <v/>
      </c>
    </row>
    <row r="330" spans="1:11">
      <c r="A330" t="str">
        <f>IF('TMP Paste'!$E330="","",'TMP Paste'!$E330)</f>
        <v/>
      </c>
      <c r="B330" t="str">
        <f>IF($A330="","",COUNTIF('TMP Paste'!$B$2:$B330,"?*"))</f>
        <v/>
      </c>
      <c r="C330" t="str">
        <f>IF($A330="","",IFERROR('TMP Paste'!$M330*1,0))</f>
        <v/>
      </c>
      <c r="D330" t="str">
        <f>IF($A330="","",SUMIF($B$2:$B330,$B330,$C$2:$C330))</f>
        <v/>
      </c>
      <c r="E330">
        <f>IF($A330="",0,IF('TMP Paste'!$B330="",0,1))</f>
        <v>0</v>
      </c>
      <c r="F330" t="str">
        <f t="shared" si="25"/>
        <v/>
      </c>
      <c r="G330" t="str">
        <f t="shared" si="26"/>
        <v/>
      </c>
      <c r="H330" t="str">
        <f t="shared" si="27"/>
        <v/>
      </c>
      <c r="I330" t="str">
        <f t="shared" si="28"/>
        <v/>
      </c>
      <c r="J330" t="str">
        <f t="shared" si="29"/>
        <v/>
      </c>
      <c r="K330" t="str">
        <f>IF($A330="","",IF(COUNTIF($B$2:$B330,$B330)=COUNTIF($B$2:$B$1601,$B330),$B330,""))</f>
        <v/>
      </c>
    </row>
    <row r="331" spans="1:11">
      <c r="A331" t="str">
        <f>IF('TMP Paste'!$E331="","",'TMP Paste'!$E331)</f>
        <v/>
      </c>
      <c r="B331" t="str">
        <f>IF($A331="","",COUNTIF('TMP Paste'!$B$2:$B331,"?*"))</f>
        <v/>
      </c>
      <c r="C331" t="str">
        <f>IF($A331="","",IFERROR('TMP Paste'!$M331*1,0))</f>
        <v/>
      </c>
      <c r="D331" t="str">
        <f>IF($A331="","",SUMIF($B$2:$B331,$B331,$C$2:$C331))</f>
        <v/>
      </c>
      <c r="E331">
        <f>IF($A331="",0,IF('TMP Paste'!$B331="",0,1))</f>
        <v>0</v>
      </c>
      <c r="F331" t="str">
        <f t="shared" si="25"/>
        <v/>
      </c>
      <c r="G331" t="str">
        <f t="shared" si="26"/>
        <v/>
      </c>
      <c r="H331" t="str">
        <f t="shared" si="27"/>
        <v/>
      </c>
      <c r="I331" t="str">
        <f t="shared" si="28"/>
        <v/>
      </c>
      <c r="J331" t="str">
        <f t="shared" si="29"/>
        <v/>
      </c>
      <c r="K331" t="str">
        <f>IF($A331="","",IF(COUNTIF($B$2:$B331,$B331)=COUNTIF($B$2:$B$1601,$B331),$B331,""))</f>
        <v/>
      </c>
    </row>
    <row r="332" spans="1:11">
      <c r="A332" t="str">
        <f>IF('TMP Paste'!$E332="","",'TMP Paste'!$E332)</f>
        <v/>
      </c>
      <c r="B332" t="str">
        <f>IF($A332="","",COUNTIF('TMP Paste'!$B$2:$B332,"?*"))</f>
        <v/>
      </c>
      <c r="C332" t="str">
        <f>IF($A332="","",IFERROR('TMP Paste'!$M332*1,0))</f>
        <v/>
      </c>
      <c r="D332" t="str">
        <f>IF($A332="","",SUMIF($B$2:$B332,$B332,$C$2:$C332))</f>
        <v/>
      </c>
      <c r="E332">
        <f>IF($A332="",0,IF('TMP Paste'!$B332="",0,1))</f>
        <v>0</v>
      </c>
      <c r="F332" t="str">
        <f t="shared" si="25"/>
        <v/>
      </c>
      <c r="G332" t="str">
        <f t="shared" si="26"/>
        <v/>
      </c>
      <c r="H332" t="str">
        <f t="shared" si="27"/>
        <v/>
      </c>
      <c r="I332" t="str">
        <f t="shared" si="28"/>
        <v/>
      </c>
      <c r="J332" t="str">
        <f t="shared" si="29"/>
        <v/>
      </c>
      <c r="K332" t="str">
        <f>IF($A332="","",IF(COUNTIF($B$2:$B332,$B332)=COUNTIF($B$2:$B$1601,$B332),$B332,""))</f>
        <v/>
      </c>
    </row>
    <row r="333" spans="1:11">
      <c r="A333" t="str">
        <f>IF('TMP Paste'!$E333="","",'TMP Paste'!$E333)</f>
        <v/>
      </c>
      <c r="B333" t="str">
        <f>IF($A333="","",COUNTIF('TMP Paste'!$B$2:$B333,"?*"))</f>
        <v/>
      </c>
      <c r="C333" t="str">
        <f>IF($A333="","",IFERROR('TMP Paste'!$M333*1,0))</f>
        <v/>
      </c>
      <c r="D333" t="str">
        <f>IF($A333="","",SUMIF($B$2:$B333,$B333,$C$2:$C333))</f>
        <v/>
      </c>
      <c r="E333">
        <f>IF($A333="",0,IF('TMP Paste'!$B333="",0,1))</f>
        <v>0</v>
      </c>
      <c r="F333" t="str">
        <f t="shared" si="25"/>
        <v/>
      </c>
      <c r="G333" t="str">
        <f t="shared" si="26"/>
        <v/>
      </c>
      <c r="H333" t="str">
        <f t="shared" si="27"/>
        <v/>
      </c>
      <c r="I333" t="str">
        <f t="shared" si="28"/>
        <v/>
      </c>
      <c r="J333" t="str">
        <f t="shared" si="29"/>
        <v/>
      </c>
      <c r="K333" t="str">
        <f>IF($A333="","",IF(COUNTIF($B$2:$B333,$B333)=COUNTIF($B$2:$B$1601,$B333),$B333,""))</f>
        <v/>
      </c>
    </row>
    <row r="334" spans="1:11">
      <c r="A334" t="str">
        <f>IF('TMP Paste'!$E334="","",'TMP Paste'!$E334)</f>
        <v/>
      </c>
      <c r="B334" t="str">
        <f>IF($A334="","",COUNTIF('TMP Paste'!$B$2:$B334,"?*"))</f>
        <v/>
      </c>
      <c r="C334" t="str">
        <f>IF($A334="","",IFERROR('TMP Paste'!$M334*1,0))</f>
        <v/>
      </c>
      <c r="D334" t="str">
        <f>IF($A334="","",SUMIF($B$2:$B334,$B334,$C$2:$C334))</f>
        <v/>
      </c>
      <c r="E334">
        <f>IF($A334="",0,IF('TMP Paste'!$B334="",0,1))</f>
        <v>0</v>
      </c>
      <c r="F334" t="str">
        <f t="shared" si="25"/>
        <v/>
      </c>
      <c r="G334" t="str">
        <f t="shared" si="26"/>
        <v/>
      </c>
      <c r="H334" t="str">
        <f t="shared" si="27"/>
        <v/>
      </c>
      <c r="I334" t="str">
        <f t="shared" si="28"/>
        <v/>
      </c>
      <c r="J334" t="str">
        <f t="shared" si="29"/>
        <v/>
      </c>
      <c r="K334" t="str">
        <f>IF($A334="","",IF(COUNTIF($B$2:$B334,$B334)=COUNTIF($B$2:$B$1601,$B334),$B334,""))</f>
        <v/>
      </c>
    </row>
    <row r="335" spans="1:11">
      <c r="A335" t="str">
        <f>IF('TMP Paste'!$E335="","",'TMP Paste'!$E335)</f>
        <v/>
      </c>
      <c r="B335" t="str">
        <f>IF($A335="","",COUNTIF('TMP Paste'!$B$2:$B335,"?*"))</f>
        <v/>
      </c>
      <c r="C335" t="str">
        <f>IF($A335="","",IFERROR('TMP Paste'!$M335*1,0))</f>
        <v/>
      </c>
      <c r="D335" t="str">
        <f>IF($A335="","",SUMIF($B$2:$B335,$B335,$C$2:$C335))</f>
        <v/>
      </c>
      <c r="E335">
        <f>IF($A335="",0,IF('TMP Paste'!$B335="",0,1))</f>
        <v>0</v>
      </c>
      <c r="F335" t="str">
        <f t="shared" si="25"/>
        <v/>
      </c>
      <c r="G335" t="str">
        <f t="shared" si="26"/>
        <v/>
      </c>
      <c r="H335" t="str">
        <f t="shared" si="27"/>
        <v/>
      </c>
      <c r="I335" t="str">
        <f t="shared" si="28"/>
        <v/>
      </c>
      <c r="J335" t="str">
        <f t="shared" si="29"/>
        <v/>
      </c>
      <c r="K335" t="str">
        <f>IF($A335="","",IF(COUNTIF($B$2:$B335,$B335)=COUNTIF($B$2:$B$1601,$B335),$B335,""))</f>
        <v/>
      </c>
    </row>
    <row r="336" spans="1:11">
      <c r="A336" t="str">
        <f>IF('TMP Paste'!$E336="","",'TMP Paste'!$E336)</f>
        <v/>
      </c>
      <c r="B336" t="str">
        <f>IF($A336="","",COUNTIF('TMP Paste'!$B$2:$B336,"?*"))</f>
        <v/>
      </c>
      <c r="C336" t="str">
        <f>IF($A336="","",IFERROR('TMP Paste'!$M336*1,0))</f>
        <v/>
      </c>
      <c r="D336" t="str">
        <f>IF($A336="","",SUMIF($B$2:$B336,$B336,$C$2:$C336))</f>
        <v/>
      </c>
      <c r="E336">
        <f>IF($A336="",0,IF('TMP Paste'!$B336="",0,1))</f>
        <v>0</v>
      </c>
      <c r="F336" t="str">
        <f t="shared" si="25"/>
        <v/>
      </c>
      <c r="G336" t="str">
        <f t="shared" si="26"/>
        <v/>
      </c>
      <c r="H336" t="str">
        <f t="shared" si="27"/>
        <v/>
      </c>
      <c r="I336" t="str">
        <f t="shared" si="28"/>
        <v/>
      </c>
      <c r="J336" t="str">
        <f t="shared" si="29"/>
        <v/>
      </c>
      <c r="K336" t="str">
        <f>IF($A336="","",IF(COUNTIF($B$2:$B336,$B336)=COUNTIF($B$2:$B$1601,$B336),$B336,""))</f>
        <v/>
      </c>
    </row>
    <row r="337" spans="1:11">
      <c r="A337" t="str">
        <f>IF('TMP Paste'!$E337="","",'TMP Paste'!$E337)</f>
        <v/>
      </c>
      <c r="B337" t="str">
        <f>IF($A337="","",COUNTIF('TMP Paste'!$B$2:$B337,"?*"))</f>
        <v/>
      </c>
      <c r="C337" t="str">
        <f>IF($A337="","",IFERROR('TMP Paste'!$M337*1,0))</f>
        <v/>
      </c>
      <c r="D337" t="str">
        <f>IF($A337="","",SUMIF($B$2:$B337,$B337,$C$2:$C337))</f>
        <v/>
      </c>
      <c r="E337">
        <f>IF($A337="",0,IF('TMP Paste'!$B337="",0,1))</f>
        <v>0</v>
      </c>
      <c r="F337" t="str">
        <f t="shared" si="25"/>
        <v/>
      </c>
      <c r="G337" t="str">
        <f t="shared" si="26"/>
        <v/>
      </c>
      <c r="H337" t="str">
        <f t="shared" si="27"/>
        <v/>
      </c>
      <c r="I337" t="str">
        <f t="shared" si="28"/>
        <v/>
      </c>
      <c r="J337" t="str">
        <f t="shared" si="29"/>
        <v/>
      </c>
      <c r="K337" t="str">
        <f>IF($A337="","",IF(COUNTIF($B$2:$B337,$B337)=COUNTIF($B$2:$B$1601,$B337),$B337,""))</f>
        <v/>
      </c>
    </row>
    <row r="338" spans="1:11">
      <c r="A338" t="str">
        <f>IF('TMP Paste'!$E338="","",'TMP Paste'!$E338)</f>
        <v/>
      </c>
      <c r="B338" t="str">
        <f>IF($A338="","",COUNTIF('TMP Paste'!$B$2:$B338,"?*"))</f>
        <v/>
      </c>
      <c r="C338" t="str">
        <f>IF($A338="","",IFERROR('TMP Paste'!$M338*1,0))</f>
        <v/>
      </c>
      <c r="D338" t="str">
        <f>IF($A338="","",SUMIF($B$2:$B338,$B338,$C$2:$C338))</f>
        <v/>
      </c>
      <c r="E338">
        <f>IF($A338="",0,IF('TMP Paste'!$B338="",0,1))</f>
        <v>0</v>
      </c>
      <c r="F338" t="str">
        <f t="shared" si="25"/>
        <v/>
      </c>
      <c r="G338" t="str">
        <f t="shared" si="26"/>
        <v/>
      </c>
      <c r="H338" t="str">
        <f t="shared" si="27"/>
        <v/>
      </c>
      <c r="I338" t="str">
        <f t="shared" si="28"/>
        <v/>
      </c>
      <c r="J338" t="str">
        <f t="shared" si="29"/>
        <v/>
      </c>
      <c r="K338" t="str">
        <f>IF($A338="","",IF(COUNTIF($B$2:$B338,$B338)=COUNTIF($B$2:$B$1601,$B338),$B338,""))</f>
        <v/>
      </c>
    </row>
    <row r="339" spans="1:11">
      <c r="A339" t="str">
        <f>IF('TMP Paste'!$E339="","",'TMP Paste'!$E339)</f>
        <v/>
      </c>
      <c r="B339" t="str">
        <f>IF($A339="","",COUNTIF('TMP Paste'!$B$2:$B339,"?*"))</f>
        <v/>
      </c>
      <c r="C339" t="str">
        <f>IF($A339="","",IFERROR('TMP Paste'!$M339*1,0))</f>
        <v/>
      </c>
      <c r="D339" t="str">
        <f>IF($A339="","",SUMIF($B$2:$B339,$B339,$C$2:$C339))</f>
        <v/>
      </c>
      <c r="E339">
        <f>IF($A339="",0,IF('TMP Paste'!$B339="",0,1))</f>
        <v>0</v>
      </c>
      <c r="F339" t="str">
        <f t="shared" si="25"/>
        <v/>
      </c>
      <c r="G339" t="str">
        <f t="shared" si="26"/>
        <v/>
      </c>
      <c r="H339" t="str">
        <f t="shared" si="27"/>
        <v/>
      </c>
      <c r="I339" t="str">
        <f t="shared" si="28"/>
        <v/>
      </c>
      <c r="J339" t="str">
        <f t="shared" si="29"/>
        <v/>
      </c>
      <c r="K339" t="str">
        <f>IF($A339="","",IF(COUNTIF($B$2:$B339,$B339)=COUNTIF($B$2:$B$1601,$B339),$B339,""))</f>
        <v/>
      </c>
    </row>
    <row r="340" spans="1:11">
      <c r="A340" t="str">
        <f>IF('TMP Paste'!$E340="","",'TMP Paste'!$E340)</f>
        <v/>
      </c>
      <c r="B340" t="str">
        <f>IF($A340="","",COUNTIF('TMP Paste'!$B$2:$B340,"?*"))</f>
        <v/>
      </c>
      <c r="C340" t="str">
        <f>IF($A340="","",IFERROR('TMP Paste'!$M340*1,0))</f>
        <v/>
      </c>
      <c r="D340" t="str">
        <f>IF($A340="","",SUMIF($B$2:$B340,$B340,$C$2:$C340))</f>
        <v/>
      </c>
      <c r="E340">
        <f>IF($A340="",0,IF('TMP Paste'!$B340="",0,1))</f>
        <v>0</v>
      </c>
      <c r="F340" t="str">
        <f t="shared" si="25"/>
        <v/>
      </c>
      <c r="G340" t="str">
        <f t="shared" si="26"/>
        <v/>
      </c>
      <c r="H340" t="str">
        <f t="shared" si="27"/>
        <v/>
      </c>
      <c r="I340" t="str">
        <f t="shared" si="28"/>
        <v/>
      </c>
      <c r="J340" t="str">
        <f t="shared" si="29"/>
        <v/>
      </c>
      <c r="K340" t="str">
        <f>IF($A340="","",IF(COUNTIF($B$2:$B340,$B340)=COUNTIF($B$2:$B$1601,$B340),$B340,""))</f>
        <v/>
      </c>
    </row>
    <row r="341" spans="1:11">
      <c r="A341" t="str">
        <f>IF('TMP Paste'!$E341="","",'TMP Paste'!$E341)</f>
        <v/>
      </c>
      <c r="B341" t="str">
        <f>IF($A341="","",COUNTIF('TMP Paste'!$B$2:$B341,"?*"))</f>
        <v/>
      </c>
      <c r="C341" t="str">
        <f>IF($A341="","",IFERROR('TMP Paste'!$M341*1,0))</f>
        <v/>
      </c>
      <c r="D341" t="str">
        <f>IF($A341="","",SUMIF($B$2:$B341,$B341,$C$2:$C341))</f>
        <v/>
      </c>
      <c r="E341">
        <f>IF($A341="",0,IF('TMP Paste'!$B341="",0,1))</f>
        <v>0</v>
      </c>
      <c r="F341" t="str">
        <f t="shared" si="25"/>
        <v/>
      </c>
      <c r="G341" t="str">
        <f t="shared" si="26"/>
        <v/>
      </c>
      <c r="H341" t="str">
        <f t="shared" si="27"/>
        <v/>
      </c>
      <c r="I341" t="str">
        <f t="shared" si="28"/>
        <v/>
      </c>
      <c r="J341" t="str">
        <f t="shared" si="29"/>
        <v/>
      </c>
      <c r="K341" t="str">
        <f>IF($A341="","",IF(COUNTIF($B$2:$B341,$B341)=COUNTIF($B$2:$B$1601,$B341),$B341,""))</f>
        <v/>
      </c>
    </row>
    <row r="342" spans="1:11">
      <c r="A342" t="str">
        <f>IF('TMP Paste'!$E342="","",'TMP Paste'!$E342)</f>
        <v/>
      </c>
      <c r="B342" t="str">
        <f>IF($A342="","",COUNTIF('TMP Paste'!$B$2:$B342,"?*"))</f>
        <v/>
      </c>
      <c r="C342" t="str">
        <f>IF($A342="","",IFERROR('TMP Paste'!$M342*1,0))</f>
        <v/>
      </c>
      <c r="D342" t="str">
        <f>IF($A342="","",SUMIF($B$2:$B342,$B342,$C$2:$C342))</f>
        <v/>
      </c>
      <c r="E342">
        <f>IF($A342="",0,IF('TMP Paste'!$B342="",0,1))</f>
        <v>0</v>
      </c>
      <c r="F342" t="str">
        <f t="shared" si="25"/>
        <v/>
      </c>
      <c r="G342" t="str">
        <f t="shared" si="26"/>
        <v/>
      </c>
      <c r="H342" t="str">
        <f t="shared" si="27"/>
        <v/>
      </c>
      <c r="I342" t="str">
        <f t="shared" si="28"/>
        <v/>
      </c>
      <c r="J342" t="str">
        <f t="shared" si="29"/>
        <v/>
      </c>
      <c r="K342" t="str">
        <f>IF($A342="","",IF(COUNTIF($B$2:$B342,$B342)=COUNTIF($B$2:$B$1601,$B342),$B342,""))</f>
        <v/>
      </c>
    </row>
    <row r="343" spans="1:11">
      <c r="A343" t="str">
        <f>IF('TMP Paste'!$E343="","",'TMP Paste'!$E343)</f>
        <v/>
      </c>
      <c r="B343" t="str">
        <f>IF($A343="","",COUNTIF('TMP Paste'!$B$2:$B343,"?*"))</f>
        <v/>
      </c>
      <c r="C343" t="str">
        <f>IF($A343="","",IFERROR('TMP Paste'!$M343*1,0))</f>
        <v/>
      </c>
      <c r="D343" t="str">
        <f>IF($A343="","",SUMIF($B$2:$B343,$B343,$C$2:$C343))</f>
        <v/>
      </c>
      <c r="E343">
        <f>IF($A343="",0,IF('TMP Paste'!$B343="",0,1))</f>
        <v>0</v>
      </c>
      <c r="F343" t="str">
        <f t="shared" si="25"/>
        <v/>
      </c>
      <c r="G343" t="str">
        <f t="shared" si="26"/>
        <v/>
      </c>
      <c r="H343" t="str">
        <f t="shared" si="27"/>
        <v/>
      </c>
      <c r="I343" t="str">
        <f t="shared" si="28"/>
        <v/>
      </c>
      <c r="J343" t="str">
        <f t="shared" si="29"/>
        <v/>
      </c>
      <c r="K343" t="str">
        <f>IF($A343="","",IF(COUNTIF($B$2:$B343,$B343)=COUNTIF($B$2:$B$1601,$B343),$B343,""))</f>
        <v/>
      </c>
    </row>
    <row r="344" spans="1:11">
      <c r="A344" t="str">
        <f>IF('TMP Paste'!$E344="","",'TMP Paste'!$E344)</f>
        <v/>
      </c>
      <c r="B344" t="str">
        <f>IF($A344="","",COUNTIF('TMP Paste'!$B$2:$B344,"?*"))</f>
        <v/>
      </c>
      <c r="C344" t="str">
        <f>IF($A344="","",IFERROR('TMP Paste'!$M344*1,0))</f>
        <v/>
      </c>
      <c r="D344" t="str">
        <f>IF($A344="","",SUMIF($B$2:$B344,$B344,$C$2:$C344))</f>
        <v/>
      </c>
      <c r="E344">
        <f>IF($A344="",0,IF('TMP Paste'!$B344="",0,1))</f>
        <v>0</v>
      </c>
      <c r="F344" t="str">
        <f t="shared" si="25"/>
        <v/>
      </c>
      <c r="G344" t="str">
        <f t="shared" si="26"/>
        <v/>
      </c>
      <c r="H344" t="str">
        <f t="shared" si="27"/>
        <v/>
      </c>
      <c r="I344" t="str">
        <f t="shared" si="28"/>
        <v/>
      </c>
      <c r="J344" t="str">
        <f t="shared" si="29"/>
        <v/>
      </c>
      <c r="K344" t="str">
        <f>IF($A344="","",IF(COUNTIF($B$2:$B344,$B344)=COUNTIF($B$2:$B$1601,$B344),$B344,""))</f>
        <v/>
      </c>
    </row>
    <row r="345" spans="1:11">
      <c r="A345" t="str">
        <f>IF('TMP Paste'!$E345="","",'TMP Paste'!$E345)</f>
        <v/>
      </c>
      <c r="B345" t="str">
        <f>IF($A345="","",COUNTIF('TMP Paste'!$B$2:$B345,"?*"))</f>
        <v/>
      </c>
      <c r="C345" t="str">
        <f>IF($A345="","",IFERROR('TMP Paste'!$M345*1,0))</f>
        <v/>
      </c>
      <c r="D345" t="str">
        <f>IF($A345="","",SUMIF($B$2:$B345,$B345,$C$2:$C345))</f>
        <v/>
      </c>
      <c r="E345">
        <f>IF($A345="",0,IF('TMP Paste'!$B345="",0,1))</f>
        <v>0</v>
      </c>
      <c r="F345" t="str">
        <f t="shared" si="25"/>
        <v/>
      </c>
      <c r="G345" t="str">
        <f t="shared" si="26"/>
        <v/>
      </c>
      <c r="H345" t="str">
        <f t="shared" si="27"/>
        <v/>
      </c>
      <c r="I345" t="str">
        <f t="shared" si="28"/>
        <v/>
      </c>
      <c r="J345" t="str">
        <f t="shared" si="29"/>
        <v/>
      </c>
      <c r="K345" t="str">
        <f>IF($A345="","",IF(COUNTIF($B$2:$B345,$B345)=COUNTIF($B$2:$B$1601,$B345),$B345,""))</f>
        <v/>
      </c>
    </row>
    <row r="346" spans="1:11">
      <c r="A346" t="str">
        <f>IF('TMP Paste'!$E346="","",'TMP Paste'!$E346)</f>
        <v/>
      </c>
      <c r="B346" t="str">
        <f>IF($A346="","",COUNTIF('TMP Paste'!$B$2:$B346,"?*"))</f>
        <v/>
      </c>
      <c r="C346" t="str">
        <f>IF($A346="","",IFERROR('TMP Paste'!$M346*1,0))</f>
        <v/>
      </c>
      <c r="D346" t="str">
        <f>IF($A346="","",SUMIF($B$2:$B346,$B346,$C$2:$C346))</f>
        <v/>
      </c>
      <c r="E346">
        <f>IF($A346="",0,IF('TMP Paste'!$B346="",0,1))</f>
        <v>0</v>
      </c>
      <c r="F346" t="str">
        <f t="shared" si="25"/>
        <v/>
      </c>
      <c r="G346" t="str">
        <f t="shared" si="26"/>
        <v/>
      </c>
      <c r="H346" t="str">
        <f t="shared" si="27"/>
        <v/>
      </c>
      <c r="I346" t="str">
        <f t="shared" si="28"/>
        <v/>
      </c>
      <c r="J346" t="str">
        <f t="shared" si="29"/>
        <v/>
      </c>
      <c r="K346" t="str">
        <f>IF($A346="","",IF(COUNTIF($B$2:$B346,$B346)=COUNTIF($B$2:$B$1601,$B346),$B346,""))</f>
        <v/>
      </c>
    </row>
    <row r="347" spans="1:11">
      <c r="A347" t="str">
        <f>IF('TMP Paste'!$E347="","",'TMP Paste'!$E347)</f>
        <v/>
      </c>
      <c r="B347" t="str">
        <f>IF($A347="","",COUNTIF('TMP Paste'!$B$2:$B347,"?*"))</f>
        <v/>
      </c>
      <c r="C347" t="str">
        <f>IF($A347="","",IFERROR('TMP Paste'!$M347*1,0))</f>
        <v/>
      </c>
      <c r="D347" t="str">
        <f>IF($A347="","",SUMIF($B$2:$B347,$B347,$C$2:$C347))</f>
        <v/>
      </c>
      <c r="E347">
        <f>IF($A347="",0,IF('TMP Paste'!$B347="",0,1))</f>
        <v>0</v>
      </c>
      <c r="F347" t="str">
        <f t="shared" si="25"/>
        <v/>
      </c>
      <c r="G347" t="str">
        <f t="shared" si="26"/>
        <v/>
      </c>
      <c r="H347" t="str">
        <f t="shared" si="27"/>
        <v/>
      </c>
      <c r="I347" t="str">
        <f t="shared" si="28"/>
        <v/>
      </c>
      <c r="J347" t="str">
        <f t="shared" si="29"/>
        <v/>
      </c>
      <c r="K347" t="str">
        <f>IF($A347="","",IF(COUNTIF($B$2:$B347,$B347)=COUNTIF($B$2:$B$1601,$B347),$B347,""))</f>
        <v/>
      </c>
    </row>
    <row r="348" spans="1:11">
      <c r="A348" t="str">
        <f>IF('TMP Paste'!$E348="","",'TMP Paste'!$E348)</f>
        <v/>
      </c>
      <c r="B348" t="str">
        <f>IF($A348="","",COUNTIF('TMP Paste'!$B$2:$B348,"?*"))</f>
        <v/>
      </c>
      <c r="C348" t="str">
        <f>IF($A348="","",IFERROR('TMP Paste'!$M348*1,0))</f>
        <v/>
      </c>
      <c r="D348" t="str">
        <f>IF($A348="","",SUMIF($B$2:$B348,$B348,$C$2:$C348))</f>
        <v/>
      </c>
      <c r="E348">
        <f>IF($A348="",0,IF('TMP Paste'!$B348="",0,1))</f>
        <v>0</v>
      </c>
      <c r="F348" t="str">
        <f t="shared" si="25"/>
        <v/>
      </c>
      <c r="G348" t="str">
        <f t="shared" si="26"/>
        <v/>
      </c>
      <c r="H348" t="str">
        <f t="shared" si="27"/>
        <v/>
      </c>
      <c r="I348" t="str">
        <f t="shared" si="28"/>
        <v/>
      </c>
      <c r="J348" t="str">
        <f t="shared" si="29"/>
        <v/>
      </c>
      <c r="K348" t="str">
        <f>IF($A348="","",IF(COUNTIF($B$2:$B348,$B348)=COUNTIF($B$2:$B$1601,$B348),$B348,""))</f>
        <v/>
      </c>
    </row>
    <row r="349" spans="1:11">
      <c r="A349" t="str">
        <f>IF('TMP Paste'!$E349="","",'TMP Paste'!$E349)</f>
        <v/>
      </c>
      <c r="B349" t="str">
        <f>IF($A349="","",COUNTIF('TMP Paste'!$B$2:$B349,"?*"))</f>
        <v/>
      </c>
      <c r="C349" t="str">
        <f>IF($A349="","",IFERROR('TMP Paste'!$M349*1,0))</f>
        <v/>
      </c>
      <c r="D349" t="str">
        <f>IF($A349="","",SUMIF($B$2:$B349,$B349,$C$2:$C349))</f>
        <v/>
      </c>
      <c r="E349">
        <f>IF($A349="",0,IF('TMP Paste'!$B349="",0,1))</f>
        <v>0</v>
      </c>
      <c r="F349" t="str">
        <f t="shared" si="25"/>
        <v/>
      </c>
      <c r="G349" t="str">
        <f t="shared" si="26"/>
        <v/>
      </c>
      <c r="H349" t="str">
        <f t="shared" si="27"/>
        <v/>
      </c>
      <c r="I349" t="str">
        <f t="shared" si="28"/>
        <v/>
      </c>
      <c r="J349" t="str">
        <f t="shared" si="29"/>
        <v/>
      </c>
      <c r="K349" t="str">
        <f>IF($A349="","",IF(COUNTIF($B$2:$B349,$B349)=COUNTIF($B$2:$B$1601,$B349),$B349,""))</f>
        <v/>
      </c>
    </row>
    <row r="350" spans="1:11">
      <c r="A350" t="str">
        <f>IF('TMP Paste'!$E350="","",'TMP Paste'!$E350)</f>
        <v/>
      </c>
      <c r="B350" t="str">
        <f>IF($A350="","",COUNTIF('TMP Paste'!$B$2:$B350,"?*"))</f>
        <v/>
      </c>
      <c r="C350" t="str">
        <f>IF($A350="","",IFERROR('TMP Paste'!$M350*1,0))</f>
        <v/>
      </c>
      <c r="D350" t="str">
        <f>IF($A350="","",SUMIF($B$2:$B350,$B350,$C$2:$C350))</f>
        <v/>
      </c>
      <c r="E350">
        <f>IF($A350="",0,IF('TMP Paste'!$B350="",0,1))</f>
        <v>0</v>
      </c>
      <c r="F350" t="str">
        <f t="shared" si="25"/>
        <v/>
      </c>
      <c r="G350" t="str">
        <f t="shared" si="26"/>
        <v/>
      </c>
      <c r="H350" t="str">
        <f t="shared" si="27"/>
        <v/>
      </c>
      <c r="I350" t="str">
        <f t="shared" si="28"/>
        <v/>
      </c>
      <c r="J350" t="str">
        <f t="shared" si="29"/>
        <v/>
      </c>
      <c r="K350" t="str">
        <f>IF($A350="","",IF(COUNTIF($B$2:$B350,$B350)=COUNTIF($B$2:$B$1601,$B350),$B350,""))</f>
        <v/>
      </c>
    </row>
    <row r="351" spans="1:11">
      <c r="A351" t="str">
        <f>IF('TMP Paste'!$E351="","",'TMP Paste'!$E351)</f>
        <v/>
      </c>
      <c r="B351" t="str">
        <f>IF($A351="","",COUNTIF('TMP Paste'!$B$2:$B351,"?*"))</f>
        <v/>
      </c>
      <c r="C351" t="str">
        <f>IF($A351="","",IFERROR('TMP Paste'!$M351*1,0))</f>
        <v/>
      </c>
      <c r="D351" t="str">
        <f>IF($A351="","",SUMIF($B$2:$B351,$B351,$C$2:$C351))</f>
        <v/>
      </c>
      <c r="E351">
        <f>IF($A351="",0,IF('TMP Paste'!$B351="",0,1))</f>
        <v>0</v>
      </c>
      <c r="F351" t="str">
        <f t="shared" si="25"/>
        <v/>
      </c>
      <c r="G351" t="str">
        <f t="shared" si="26"/>
        <v/>
      </c>
      <c r="H351" t="str">
        <f t="shared" si="27"/>
        <v/>
      </c>
      <c r="I351" t="str">
        <f t="shared" si="28"/>
        <v/>
      </c>
      <c r="J351" t="str">
        <f t="shared" si="29"/>
        <v/>
      </c>
      <c r="K351" t="str">
        <f>IF($A351="","",IF(COUNTIF($B$2:$B351,$B351)=COUNTIF($B$2:$B$1601,$B351),$B351,""))</f>
        <v/>
      </c>
    </row>
    <row r="352" spans="1:11">
      <c r="A352" t="str">
        <f>IF('TMP Paste'!$E352="","",'TMP Paste'!$E352)</f>
        <v/>
      </c>
      <c r="B352" t="str">
        <f>IF($A352="","",COUNTIF('TMP Paste'!$B$2:$B352,"?*"))</f>
        <v/>
      </c>
      <c r="C352" t="str">
        <f>IF($A352="","",IFERROR('TMP Paste'!$M352*1,0))</f>
        <v/>
      </c>
      <c r="D352" t="str">
        <f>IF($A352="","",SUMIF($B$2:$B352,$B352,$C$2:$C352))</f>
        <v/>
      </c>
      <c r="E352">
        <f>IF($A352="",0,IF('TMP Paste'!$B352="",0,1))</f>
        <v>0</v>
      </c>
      <c r="F352" t="str">
        <f t="shared" si="25"/>
        <v/>
      </c>
      <c r="G352" t="str">
        <f t="shared" si="26"/>
        <v/>
      </c>
      <c r="H352" t="str">
        <f t="shared" si="27"/>
        <v/>
      </c>
      <c r="I352" t="str">
        <f t="shared" si="28"/>
        <v/>
      </c>
      <c r="J352" t="str">
        <f t="shared" si="29"/>
        <v/>
      </c>
      <c r="K352" t="str">
        <f>IF($A352="","",IF(COUNTIF($B$2:$B352,$B352)=COUNTIF($B$2:$B$1601,$B352),$B352,""))</f>
        <v/>
      </c>
    </row>
    <row r="353" spans="1:11">
      <c r="A353" t="str">
        <f>IF('TMP Paste'!$E353="","",'TMP Paste'!$E353)</f>
        <v/>
      </c>
      <c r="B353" t="str">
        <f>IF($A353="","",COUNTIF('TMP Paste'!$B$2:$B353,"?*"))</f>
        <v/>
      </c>
      <c r="C353" t="str">
        <f>IF($A353="","",IFERROR('TMP Paste'!$M353*1,0))</f>
        <v/>
      </c>
      <c r="D353" t="str">
        <f>IF($A353="","",SUMIF($B$2:$B353,$B353,$C$2:$C353))</f>
        <v/>
      </c>
      <c r="E353">
        <f>IF($A353="",0,IF('TMP Paste'!$B353="",0,1))</f>
        <v>0</v>
      </c>
      <c r="F353" t="str">
        <f t="shared" si="25"/>
        <v/>
      </c>
      <c r="G353" t="str">
        <f t="shared" si="26"/>
        <v/>
      </c>
      <c r="H353" t="str">
        <f t="shared" si="27"/>
        <v/>
      </c>
      <c r="I353" t="str">
        <f t="shared" si="28"/>
        <v/>
      </c>
      <c r="J353" t="str">
        <f t="shared" si="29"/>
        <v/>
      </c>
      <c r="K353" t="str">
        <f>IF($A353="","",IF(COUNTIF($B$2:$B353,$B353)=COUNTIF($B$2:$B$1601,$B353),$B353,""))</f>
        <v/>
      </c>
    </row>
    <row r="354" spans="1:11">
      <c r="A354" t="str">
        <f>IF('TMP Paste'!$E354="","",'TMP Paste'!$E354)</f>
        <v/>
      </c>
      <c r="B354" t="str">
        <f>IF($A354="","",COUNTIF('TMP Paste'!$B$2:$B354,"?*"))</f>
        <v/>
      </c>
      <c r="C354" t="str">
        <f>IF($A354="","",IFERROR('TMP Paste'!$M354*1,0))</f>
        <v/>
      </c>
      <c r="D354" t="str">
        <f>IF($A354="","",SUMIF($B$2:$B354,$B354,$C$2:$C354))</f>
        <v/>
      </c>
      <c r="E354">
        <f>IF($A354="",0,IF('TMP Paste'!$B354="",0,1))</f>
        <v>0</v>
      </c>
      <c r="F354" t="str">
        <f t="shared" si="25"/>
        <v/>
      </c>
      <c r="G354" t="str">
        <f t="shared" si="26"/>
        <v/>
      </c>
      <c r="H354" t="str">
        <f t="shared" si="27"/>
        <v/>
      </c>
      <c r="I354" t="str">
        <f t="shared" si="28"/>
        <v/>
      </c>
      <c r="J354" t="str">
        <f t="shared" si="29"/>
        <v/>
      </c>
      <c r="K354" t="str">
        <f>IF($A354="","",IF(COUNTIF($B$2:$B354,$B354)=COUNTIF($B$2:$B$1601,$B354),$B354,""))</f>
        <v/>
      </c>
    </row>
    <row r="355" spans="1:11">
      <c r="A355" t="str">
        <f>IF('TMP Paste'!$E355="","",'TMP Paste'!$E355)</f>
        <v/>
      </c>
      <c r="B355" t="str">
        <f>IF($A355="","",COUNTIF('TMP Paste'!$B$2:$B355,"?*"))</f>
        <v/>
      </c>
      <c r="C355" t="str">
        <f>IF($A355="","",IFERROR('TMP Paste'!$M355*1,0))</f>
        <v/>
      </c>
      <c r="D355" t="str">
        <f>IF($A355="","",SUMIF($B$2:$B355,$B355,$C$2:$C355))</f>
        <v/>
      </c>
      <c r="E355">
        <f>IF($A355="",0,IF('TMP Paste'!$B355="",0,1))</f>
        <v>0</v>
      </c>
      <c r="F355" t="str">
        <f t="shared" si="25"/>
        <v/>
      </c>
      <c r="G355" t="str">
        <f t="shared" si="26"/>
        <v/>
      </c>
      <c r="H355" t="str">
        <f t="shared" si="27"/>
        <v/>
      </c>
      <c r="I355" t="str">
        <f t="shared" si="28"/>
        <v/>
      </c>
      <c r="J355" t="str">
        <f t="shared" si="29"/>
        <v/>
      </c>
      <c r="K355" t="str">
        <f>IF($A355="","",IF(COUNTIF($B$2:$B355,$B355)=COUNTIF($B$2:$B$1601,$B355),$B355,""))</f>
        <v/>
      </c>
    </row>
    <row r="356" spans="1:11">
      <c r="A356" t="str">
        <f>IF('TMP Paste'!$E356="","",'TMP Paste'!$E356)</f>
        <v/>
      </c>
      <c r="B356" t="str">
        <f>IF($A356="","",COUNTIF('TMP Paste'!$B$2:$B356,"?*"))</f>
        <v/>
      </c>
      <c r="C356" t="str">
        <f>IF($A356="","",IFERROR('TMP Paste'!$M356*1,0))</f>
        <v/>
      </c>
      <c r="D356" t="str">
        <f>IF($A356="","",SUMIF($B$2:$B356,$B356,$C$2:$C356))</f>
        <v/>
      </c>
      <c r="E356">
        <f>IF($A356="",0,IF('TMP Paste'!$B356="",0,1))</f>
        <v>0</v>
      </c>
      <c r="F356" t="str">
        <f t="shared" si="25"/>
        <v/>
      </c>
      <c r="G356" t="str">
        <f t="shared" si="26"/>
        <v/>
      </c>
      <c r="H356" t="str">
        <f t="shared" si="27"/>
        <v/>
      </c>
      <c r="I356" t="str">
        <f t="shared" si="28"/>
        <v/>
      </c>
      <c r="J356" t="str">
        <f t="shared" si="29"/>
        <v/>
      </c>
      <c r="K356" t="str">
        <f>IF($A356="","",IF(COUNTIF($B$2:$B356,$B356)=COUNTIF($B$2:$B$1601,$B356),$B356,""))</f>
        <v/>
      </c>
    </row>
    <row r="357" spans="1:11">
      <c r="A357" t="str">
        <f>IF('TMP Paste'!$E357="","",'TMP Paste'!$E357)</f>
        <v/>
      </c>
      <c r="B357" t="str">
        <f>IF($A357="","",COUNTIF('TMP Paste'!$B$2:$B357,"?*"))</f>
        <v/>
      </c>
      <c r="C357" t="str">
        <f>IF($A357="","",IFERROR('TMP Paste'!$M357*1,0))</f>
        <v/>
      </c>
      <c r="D357" t="str">
        <f>IF($A357="","",SUMIF($B$2:$B357,$B357,$C$2:$C357))</f>
        <v/>
      </c>
      <c r="E357">
        <f>IF($A357="",0,IF('TMP Paste'!$B357="",0,1))</f>
        <v>0</v>
      </c>
      <c r="F357" t="str">
        <f t="shared" si="25"/>
        <v/>
      </c>
      <c r="G357" t="str">
        <f t="shared" si="26"/>
        <v/>
      </c>
      <c r="H357" t="str">
        <f t="shared" si="27"/>
        <v/>
      </c>
      <c r="I357" t="str">
        <f t="shared" si="28"/>
        <v/>
      </c>
      <c r="J357" t="str">
        <f t="shared" si="29"/>
        <v/>
      </c>
      <c r="K357" t="str">
        <f>IF($A357="","",IF(COUNTIF($B$2:$B357,$B357)=COUNTIF($B$2:$B$1601,$B357),$B357,""))</f>
        <v/>
      </c>
    </row>
    <row r="358" spans="1:11">
      <c r="A358" t="str">
        <f>IF('TMP Paste'!$E358="","",'TMP Paste'!$E358)</f>
        <v/>
      </c>
      <c r="B358" t="str">
        <f>IF($A358="","",COUNTIF('TMP Paste'!$B$2:$B358,"?*"))</f>
        <v/>
      </c>
      <c r="C358" t="str">
        <f>IF($A358="","",IFERROR('TMP Paste'!$M358*1,0))</f>
        <v/>
      </c>
      <c r="D358" t="str">
        <f>IF($A358="","",SUMIF($B$2:$B358,$B358,$C$2:$C358))</f>
        <v/>
      </c>
      <c r="E358">
        <f>IF($A358="",0,IF('TMP Paste'!$B358="",0,1))</f>
        <v>0</v>
      </c>
      <c r="F358" t="str">
        <f t="shared" si="25"/>
        <v/>
      </c>
      <c r="G358" t="str">
        <f t="shared" si="26"/>
        <v/>
      </c>
      <c r="H358" t="str">
        <f t="shared" si="27"/>
        <v/>
      </c>
      <c r="I358" t="str">
        <f t="shared" si="28"/>
        <v/>
      </c>
      <c r="J358" t="str">
        <f t="shared" si="29"/>
        <v/>
      </c>
      <c r="K358" t="str">
        <f>IF($A358="","",IF(COUNTIF($B$2:$B358,$B358)=COUNTIF($B$2:$B$1601,$B358),$B358,""))</f>
        <v/>
      </c>
    </row>
    <row r="359" spans="1:11">
      <c r="A359" t="str">
        <f>IF('TMP Paste'!$E359="","",'TMP Paste'!$E359)</f>
        <v/>
      </c>
      <c r="B359" t="str">
        <f>IF($A359="","",COUNTIF('TMP Paste'!$B$2:$B359,"?*"))</f>
        <v/>
      </c>
      <c r="C359" t="str">
        <f>IF($A359="","",IFERROR('TMP Paste'!$M359*1,0))</f>
        <v/>
      </c>
      <c r="D359" t="str">
        <f>IF($A359="","",SUMIF($B$2:$B359,$B359,$C$2:$C359))</f>
        <v/>
      </c>
      <c r="E359">
        <f>IF($A359="",0,IF('TMP Paste'!$B359="",0,1))</f>
        <v>0</v>
      </c>
      <c r="F359" t="str">
        <f t="shared" si="25"/>
        <v/>
      </c>
      <c r="G359" t="str">
        <f t="shared" si="26"/>
        <v/>
      </c>
      <c r="H359" t="str">
        <f t="shared" si="27"/>
        <v/>
      </c>
      <c r="I359" t="str">
        <f t="shared" si="28"/>
        <v/>
      </c>
      <c r="J359" t="str">
        <f t="shared" si="29"/>
        <v/>
      </c>
      <c r="K359" t="str">
        <f>IF($A359="","",IF(COUNTIF($B$2:$B359,$B359)=COUNTIF($B$2:$B$1601,$B359),$B359,""))</f>
        <v/>
      </c>
    </row>
    <row r="360" spans="1:11">
      <c r="A360" t="str">
        <f>IF('TMP Paste'!$E360="","",'TMP Paste'!$E360)</f>
        <v/>
      </c>
      <c r="B360" t="str">
        <f>IF($A360="","",COUNTIF('TMP Paste'!$B$2:$B360,"?*"))</f>
        <v/>
      </c>
      <c r="C360" t="str">
        <f>IF($A360="","",IFERROR('TMP Paste'!$M360*1,0))</f>
        <v/>
      </c>
      <c r="D360" t="str">
        <f>IF($A360="","",SUMIF($B$2:$B360,$B360,$C$2:$C360))</f>
        <v/>
      </c>
      <c r="E360">
        <f>IF($A360="",0,IF('TMP Paste'!$B360="",0,1))</f>
        <v>0</v>
      </c>
      <c r="F360" t="str">
        <f t="shared" si="25"/>
        <v/>
      </c>
      <c r="G360" t="str">
        <f t="shared" si="26"/>
        <v/>
      </c>
      <c r="H360" t="str">
        <f t="shared" si="27"/>
        <v/>
      </c>
      <c r="I360" t="str">
        <f t="shared" si="28"/>
        <v/>
      </c>
      <c r="J360" t="str">
        <f t="shared" si="29"/>
        <v/>
      </c>
      <c r="K360" t="str">
        <f>IF($A360="","",IF(COUNTIF($B$2:$B360,$B360)=COUNTIF($B$2:$B$1601,$B360),$B360,""))</f>
        <v/>
      </c>
    </row>
    <row r="361" spans="1:11">
      <c r="A361" t="str">
        <f>IF('TMP Paste'!$E361="","",'TMP Paste'!$E361)</f>
        <v/>
      </c>
      <c r="B361" t="str">
        <f>IF($A361="","",COUNTIF('TMP Paste'!$B$2:$B361,"?*"))</f>
        <v/>
      </c>
      <c r="C361" t="str">
        <f>IF($A361="","",IFERROR('TMP Paste'!$M361*1,0))</f>
        <v/>
      </c>
      <c r="D361" t="str">
        <f>IF($A361="","",SUMIF($B$2:$B361,$B361,$C$2:$C361))</f>
        <v/>
      </c>
      <c r="E361">
        <f>IF($A361="",0,IF('TMP Paste'!$B361="",0,1))</f>
        <v>0</v>
      </c>
      <c r="F361" t="str">
        <f t="shared" si="25"/>
        <v/>
      </c>
      <c r="G361" t="str">
        <f t="shared" si="26"/>
        <v/>
      </c>
      <c r="H361" t="str">
        <f t="shared" si="27"/>
        <v/>
      </c>
      <c r="I361" t="str">
        <f t="shared" si="28"/>
        <v/>
      </c>
      <c r="J361" t="str">
        <f t="shared" si="29"/>
        <v/>
      </c>
      <c r="K361" t="str">
        <f>IF($A361="","",IF(COUNTIF($B$2:$B361,$B361)=COUNTIF($B$2:$B$1601,$B361),$B361,""))</f>
        <v/>
      </c>
    </row>
    <row r="362" spans="1:11">
      <c r="A362" t="str">
        <f>IF('TMP Paste'!$E362="","",'TMP Paste'!$E362)</f>
        <v/>
      </c>
      <c r="B362" t="str">
        <f>IF($A362="","",COUNTIF('TMP Paste'!$B$2:$B362,"?*"))</f>
        <v/>
      </c>
      <c r="C362" t="str">
        <f>IF($A362="","",IFERROR('TMP Paste'!$M362*1,0))</f>
        <v/>
      </c>
      <c r="D362" t="str">
        <f>IF($A362="","",SUMIF($B$2:$B362,$B362,$C$2:$C362))</f>
        <v/>
      </c>
      <c r="E362">
        <f>IF($A362="",0,IF('TMP Paste'!$B362="",0,1))</f>
        <v>0</v>
      </c>
      <c r="F362" t="str">
        <f t="shared" si="25"/>
        <v/>
      </c>
      <c r="G362" t="str">
        <f t="shared" si="26"/>
        <v/>
      </c>
      <c r="H362" t="str">
        <f t="shared" si="27"/>
        <v/>
      </c>
      <c r="I362" t="str">
        <f t="shared" si="28"/>
        <v/>
      </c>
      <c r="J362" t="str">
        <f t="shared" si="29"/>
        <v/>
      </c>
      <c r="K362" t="str">
        <f>IF($A362="","",IF(COUNTIF($B$2:$B362,$B362)=COUNTIF($B$2:$B$1601,$B362),$B362,""))</f>
        <v/>
      </c>
    </row>
    <row r="363" spans="1:11">
      <c r="A363" t="str">
        <f>IF('TMP Paste'!$E363="","",'TMP Paste'!$E363)</f>
        <v/>
      </c>
      <c r="B363" t="str">
        <f>IF($A363="","",COUNTIF('TMP Paste'!$B$2:$B363,"?*"))</f>
        <v/>
      </c>
      <c r="C363" t="str">
        <f>IF($A363="","",IFERROR('TMP Paste'!$M363*1,0))</f>
        <v/>
      </c>
      <c r="D363" t="str">
        <f>IF($A363="","",SUMIF($B$2:$B363,$B363,$C$2:$C363))</f>
        <v/>
      </c>
      <c r="E363">
        <f>IF($A363="",0,IF('TMP Paste'!$B363="",0,1))</f>
        <v>0</v>
      </c>
      <c r="F363" t="str">
        <f t="shared" si="25"/>
        <v/>
      </c>
      <c r="G363" t="str">
        <f t="shared" si="26"/>
        <v/>
      </c>
      <c r="H363" t="str">
        <f t="shared" si="27"/>
        <v/>
      </c>
      <c r="I363" t="str">
        <f t="shared" si="28"/>
        <v/>
      </c>
      <c r="J363" t="str">
        <f t="shared" si="29"/>
        <v/>
      </c>
      <c r="K363" t="str">
        <f>IF($A363="","",IF(COUNTIF($B$2:$B363,$B363)=COUNTIF($B$2:$B$1601,$B363),$B363,""))</f>
        <v/>
      </c>
    </row>
    <row r="364" spans="1:11">
      <c r="A364" t="str">
        <f>IF('TMP Paste'!$E364="","",'TMP Paste'!$E364)</f>
        <v/>
      </c>
      <c r="B364" t="str">
        <f>IF($A364="","",COUNTIF('TMP Paste'!$B$2:$B364,"?*"))</f>
        <v/>
      </c>
      <c r="C364" t="str">
        <f>IF($A364="","",IFERROR('TMP Paste'!$M364*1,0))</f>
        <v/>
      </c>
      <c r="D364" t="str">
        <f>IF($A364="","",SUMIF($B$2:$B364,$B364,$C$2:$C364))</f>
        <v/>
      </c>
      <c r="E364">
        <f>IF($A364="",0,IF('TMP Paste'!$B364="",0,1))</f>
        <v>0</v>
      </c>
      <c r="F364" t="str">
        <f t="shared" si="25"/>
        <v/>
      </c>
      <c r="G364" t="str">
        <f t="shared" si="26"/>
        <v/>
      </c>
      <c r="H364" t="str">
        <f t="shared" si="27"/>
        <v/>
      </c>
      <c r="I364" t="str">
        <f t="shared" si="28"/>
        <v/>
      </c>
      <c r="J364" t="str">
        <f t="shared" si="29"/>
        <v/>
      </c>
      <c r="K364" t="str">
        <f>IF($A364="","",IF(COUNTIF($B$2:$B364,$B364)=COUNTIF($B$2:$B$1601,$B364),$B364,""))</f>
        <v/>
      </c>
    </row>
    <row r="365" spans="1:11">
      <c r="A365" t="str">
        <f>IF('TMP Paste'!$E365="","",'TMP Paste'!$E365)</f>
        <v/>
      </c>
      <c r="B365" t="str">
        <f>IF($A365="","",COUNTIF('TMP Paste'!$B$2:$B365,"?*"))</f>
        <v/>
      </c>
      <c r="C365" t="str">
        <f>IF($A365="","",IFERROR('TMP Paste'!$M365*1,0))</f>
        <v/>
      </c>
      <c r="D365" t="str">
        <f>IF($A365="","",SUMIF($B$2:$B365,$B365,$C$2:$C365))</f>
        <v/>
      </c>
      <c r="E365">
        <f>IF($A365="",0,IF('TMP Paste'!$B365="",0,1))</f>
        <v>0</v>
      </c>
      <c r="F365" t="str">
        <f t="shared" si="25"/>
        <v/>
      </c>
      <c r="G365" t="str">
        <f t="shared" si="26"/>
        <v/>
      </c>
      <c r="H365" t="str">
        <f t="shared" si="27"/>
        <v/>
      </c>
      <c r="I365" t="str">
        <f t="shared" si="28"/>
        <v/>
      </c>
      <c r="J365" t="str">
        <f t="shared" si="29"/>
        <v/>
      </c>
      <c r="K365" t="str">
        <f>IF($A365="","",IF(COUNTIF($B$2:$B365,$B365)=COUNTIF($B$2:$B$1601,$B365),$B365,""))</f>
        <v/>
      </c>
    </row>
    <row r="366" spans="1:11">
      <c r="A366" t="str">
        <f>IF('TMP Paste'!$E366="","",'TMP Paste'!$E366)</f>
        <v/>
      </c>
      <c r="B366" t="str">
        <f>IF($A366="","",COUNTIF('TMP Paste'!$B$2:$B366,"?*"))</f>
        <v/>
      </c>
      <c r="C366" t="str">
        <f>IF($A366="","",IFERROR('TMP Paste'!$M366*1,0))</f>
        <v/>
      </c>
      <c r="D366" t="str">
        <f>IF($A366="","",SUMIF($B$2:$B366,$B366,$C$2:$C366))</f>
        <v/>
      </c>
      <c r="E366">
        <f>IF($A366="",0,IF('TMP Paste'!$B366="",0,1))</f>
        <v>0</v>
      </c>
      <c r="F366" t="str">
        <f t="shared" si="25"/>
        <v/>
      </c>
      <c r="G366" t="str">
        <f t="shared" si="26"/>
        <v/>
      </c>
      <c r="H366" t="str">
        <f t="shared" si="27"/>
        <v/>
      </c>
      <c r="I366" t="str">
        <f t="shared" si="28"/>
        <v/>
      </c>
      <c r="J366" t="str">
        <f t="shared" si="29"/>
        <v/>
      </c>
      <c r="K366" t="str">
        <f>IF($A366="","",IF(COUNTIF($B$2:$B366,$B366)=COUNTIF($B$2:$B$1601,$B366),$B366,""))</f>
        <v/>
      </c>
    </row>
    <row r="367" spans="1:11">
      <c r="A367" t="str">
        <f>IF('TMP Paste'!$E367="","",'TMP Paste'!$E367)</f>
        <v/>
      </c>
      <c r="B367" t="str">
        <f>IF($A367="","",COUNTIF('TMP Paste'!$B$2:$B367,"?*"))</f>
        <v/>
      </c>
      <c r="C367" t="str">
        <f>IF($A367="","",IFERROR('TMP Paste'!$M367*1,0))</f>
        <v/>
      </c>
      <c r="D367" t="str">
        <f>IF($A367="","",SUMIF($B$2:$B367,$B367,$C$2:$C367))</f>
        <v/>
      </c>
      <c r="E367">
        <f>IF($A367="",0,IF('TMP Paste'!$B367="",0,1))</f>
        <v>0</v>
      </c>
      <c r="F367" t="str">
        <f t="shared" si="25"/>
        <v/>
      </c>
      <c r="G367" t="str">
        <f t="shared" si="26"/>
        <v/>
      </c>
      <c r="H367" t="str">
        <f t="shared" si="27"/>
        <v/>
      </c>
      <c r="I367" t="str">
        <f t="shared" si="28"/>
        <v/>
      </c>
      <c r="J367" t="str">
        <f t="shared" si="29"/>
        <v/>
      </c>
      <c r="K367" t="str">
        <f>IF($A367="","",IF(COUNTIF($B$2:$B367,$B367)=COUNTIF($B$2:$B$1601,$B367),$B367,""))</f>
        <v/>
      </c>
    </row>
    <row r="368" spans="1:11">
      <c r="A368" t="str">
        <f>IF('TMP Paste'!$E368="","",'TMP Paste'!$E368)</f>
        <v/>
      </c>
      <c r="B368" t="str">
        <f>IF($A368="","",COUNTIF('TMP Paste'!$B$2:$B368,"?*"))</f>
        <v/>
      </c>
      <c r="C368" t="str">
        <f>IF($A368="","",IFERROR('TMP Paste'!$M368*1,0))</f>
        <v/>
      </c>
      <c r="D368" t="str">
        <f>IF($A368="","",SUMIF($B$2:$B368,$B368,$C$2:$C368))</f>
        <v/>
      </c>
      <c r="E368">
        <f>IF($A368="",0,IF('TMP Paste'!$B368="",0,1))</f>
        <v>0</v>
      </c>
      <c r="F368" t="str">
        <f t="shared" si="25"/>
        <v/>
      </c>
      <c r="G368" t="str">
        <f t="shared" si="26"/>
        <v/>
      </c>
      <c r="H368" t="str">
        <f t="shared" si="27"/>
        <v/>
      </c>
      <c r="I368" t="str">
        <f t="shared" si="28"/>
        <v/>
      </c>
      <c r="J368" t="str">
        <f t="shared" si="29"/>
        <v/>
      </c>
      <c r="K368" t="str">
        <f>IF($A368="","",IF(COUNTIF($B$2:$B368,$B368)=COUNTIF($B$2:$B$1601,$B368),$B368,""))</f>
        <v/>
      </c>
    </row>
    <row r="369" spans="1:11">
      <c r="A369" t="str">
        <f>IF('TMP Paste'!$E369="","",'TMP Paste'!$E369)</f>
        <v/>
      </c>
      <c r="B369" t="str">
        <f>IF($A369="","",COUNTIF('TMP Paste'!$B$2:$B369,"?*"))</f>
        <v/>
      </c>
      <c r="C369" t="str">
        <f>IF($A369="","",IFERROR('TMP Paste'!$M369*1,0))</f>
        <v/>
      </c>
      <c r="D369" t="str">
        <f>IF($A369="","",SUMIF($B$2:$B369,$B369,$C$2:$C369))</f>
        <v/>
      </c>
      <c r="E369">
        <f>IF($A369="",0,IF('TMP Paste'!$B369="",0,1))</f>
        <v>0</v>
      </c>
      <c r="F369" t="str">
        <f t="shared" si="25"/>
        <v/>
      </c>
      <c r="G369" t="str">
        <f t="shared" si="26"/>
        <v/>
      </c>
      <c r="H369" t="str">
        <f t="shared" si="27"/>
        <v/>
      </c>
      <c r="I369" t="str">
        <f t="shared" si="28"/>
        <v/>
      </c>
      <c r="J369" t="str">
        <f t="shared" si="29"/>
        <v/>
      </c>
      <c r="K369" t="str">
        <f>IF($A369="","",IF(COUNTIF($B$2:$B369,$B369)=COUNTIF($B$2:$B$1601,$B369),$B369,""))</f>
        <v/>
      </c>
    </row>
    <row r="370" spans="1:11">
      <c r="A370" t="str">
        <f>IF('TMP Paste'!$E370="","",'TMP Paste'!$E370)</f>
        <v/>
      </c>
      <c r="B370" t="str">
        <f>IF($A370="","",COUNTIF('TMP Paste'!$B$2:$B370,"?*"))</f>
        <v/>
      </c>
      <c r="C370" t="str">
        <f>IF($A370="","",IFERROR('TMP Paste'!$M370*1,0))</f>
        <v/>
      </c>
      <c r="D370" t="str">
        <f>IF($A370="","",SUMIF($B$2:$B370,$B370,$C$2:$C370))</f>
        <v/>
      </c>
      <c r="E370">
        <f>IF($A370="",0,IF('TMP Paste'!$B370="",0,1))</f>
        <v>0</v>
      </c>
      <c r="F370" t="str">
        <f t="shared" si="25"/>
        <v/>
      </c>
      <c r="G370" t="str">
        <f t="shared" si="26"/>
        <v/>
      </c>
      <c r="H370" t="str">
        <f t="shared" si="27"/>
        <v/>
      </c>
      <c r="I370" t="str">
        <f t="shared" si="28"/>
        <v/>
      </c>
      <c r="J370" t="str">
        <f t="shared" si="29"/>
        <v/>
      </c>
      <c r="K370" t="str">
        <f>IF($A370="","",IF(COUNTIF($B$2:$B370,$B370)=COUNTIF($B$2:$B$1601,$B370),$B370,""))</f>
        <v/>
      </c>
    </row>
    <row r="371" spans="1:11">
      <c r="A371" t="str">
        <f>IF('TMP Paste'!$E371="","",'TMP Paste'!$E371)</f>
        <v/>
      </c>
      <c r="B371" t="str">
        <f>IF($A371="","",COUNTIF('TMP Paste'!$B$2:$B371,"?*"))</f>
        <v/>
      </c>
      <c r="C371" t="str">
        <f>IF($A371="","",IFERROR('TMP Paste'!$M371*1,0))</f>
        <v/>
      </c>
      <c r="D371" t="str">
        <f>IF($A371="","",SUMIF($B$2:$B371,$B371,$C$2:$C371))</f>
        <v/>
      </c>
      <c r="E371">
        <f>IF($A371="",0,IF('TMP Paste'!$B371="",0,1))</f>
        <v>0</v>
      </c>
      <c r="F371" t="str">
        <f t="shared" si="25"/>
        <v/>
      </c>
      <c r="G371" t="str">
        <f t="shared" si="26"/>
        <v/>
      </c>
      <c r="H371" t="str">
        <f t="shared" si="27"/>
        <v/>
      </c>
      <c r="I371" t="str">
        <f t="shared" si="28"/>
        <v/>
      </c>
      <c r="J371" t="str">
        <f t="shared" si="29"/>
        <v/>
      </c>
      <c r="K371" t="str">
        <f>IF($A371="","",IF(COUNTIF($B$2:$B371,$B371)=COUNTIF($B$2:$B$1601,$B371),$B371,""))</f>
        <v/>
      </c>
    </row>
    <row r="372" spans="1:11">
      <c r="A372" t="str">
        <f>IF('TMP Paste'!$E372="","",'TMP Paste'!$E372)</f>
        <v/>
      </c>
      <c r="B372" t="str">
        <f>IF($A372="","",COUNTIF('TMP Paste'!$B$2:$B372,"?*"))</f>
        <v/>
      </c>
      <c r="C372" t="str">
        <f>IF($A372="","",IFERROR('TMP Paste'!$M372*1,0))</f>
        <v/>
      </c>
      <c r="D372" t="str">
        <f>IF($A372="","",SUMIF($B$2:$B372,$B372,$C$2:$C372))</f>
        <v/>
      </c>
      <c r="E372">
        <f>IF($A372="",0,IF('TMP Paste'!$B372="",0,1))</f>
        <v>0</v>
      </c>
      <c r="F372" t="str">
        <f t="shared" si="25"/>
        <v/>
      </c>
      <c r="G372" t="str">
        <f t="shared" si="26"/>
        <v/>
      </c>
      <c r="H372" t="str">
        <f t="shared" si="27"/>
        <v/>
      </c>
      <c r="I372" t="str">
        <f t="shared" si="28"/>
        <v/>
      </c>
      <c r="J372" t="str">
        <f t="shared" si="29"/>
        <v/>
      </c>
      <c r="K372" t="str">
        <f>IF($A372="","",IF(COUNTIF($B$2:$B372,$B372)=COUNTIF($B$2:$B$1601,$B372),$B372,""))</f>
        <v/>
      </c>
    </row>
    <row r="373" spans="1:11">
      <c r="A373" t="str">
        <f>IF('TMP Paste'!$E373="","",'TMP Paste'!$E373)</f>
        <v/>
      </c>
      <c r="B373" t="str">
        <f>IF($A373="","",COUNTIF('TMP Paste'!$B$2:$B373,"?*"))</f>
        <v/>
      </c>
      <c r="C373" t="str">
        <f>IF($A373="","",IFERROR('TMP Paste'!$M373*1,0))</f>
        <v/>
      </c>
      <c r="D373" t="str">
        <f>IF($A373="","",SUMIF($B$2:$B373,$B373,$C$2:$C373))</f>
        <v/>
      </c>
      <c r="E373">
        <f>IF($A373="",0,IF('TMP Paste'!$B373="",0,1))</f>
        <v>0</v>
      </c>
      <c r="F373" t="str">
        <f t="shared" si="25"/>
        <v/>
      </c>
      <c r="G373" t="str">
        <f t="shared" si="26"/>
        <v/>
      </c>
      <c r="H373" t="str">
        <f t="shared" si="27"/>
        <v/>
      </c>
      <c r="I373" t="str">
        <f t="shared" si="28"/>
        <v/>
      </c>
      <c r="J373" t="str">
        <f t="shared" si="29"/>
        <v/>
      </c>
      <c r="K373" t="str">
        <f>IF($A373="","",IF(COUNTIF($B$2:$B373,$B373)=COUNTIF($B$2:$B$1601,$B373),$B373,""))</f>
        <v/>
      </c>
    </row>
    <row r="374" spans="1:11">
      <c r="A374" t="str">
        <f>IF('TMP Paste'!$E374="","",'TMP Paste'!$E374)</f>
        <v/>
      </c>
      <c r="B374" t="str">
        <f>IF($A374="","",COUNTIF('TMP Paste'!$B$2:$B374,"?*"))</f>
        <v/>
      </c>
      <c r="C374" t="str">
        <f>IF($A374="","",IFERROR('TMP Paste'!$M374*1,0))</f>
        <v/>
      </c>
      <c r="D374" t="str">
        <f>IF($A374="","",SUMIF($B$2:$B374,$B374,$C$2:$C374))</f>
        <v/>
      </c>
      <c r="E374">
        <f>IF($A374="",0,IF('TMP Paste'!$B374="",0,1))</f>
        <v>0</v>
      </c>
      <c r="F374" t="str">
        <f t="shared" si="25"/>
        <v/>
      </c>
      <c r="G374" t="str">
        <f t="shared" si="26"/>
        <v/>
      </c>
      <c r="H374" t="str">
        <f t="shared" si="27"/>
        <v/>
      </c>
      <c r="I374" t="str">
        <f t="shared" si="28"/>
        <v/>
      </c>
      <c r="J374" t="str">
        <f t="shared" si="29"/>
        <v/>
      </c>
      <c r="K374" t="str">
        <f>IF($A374="","",IF(COUNTIF($B$2:$B374,$B374)=COUNTIF($B$2:$B$1601,$B374),$B374,""))</f>
        <v/>
      </c>
    </row>
    <row r="375" spans="1:11">
      <c r="A375" t="str">
        <f>IF('TMP Paste'!$E375="","",'TMP Paste'!$E375)</f>
        <v/>
      </c>
      <c r="B375" t="str">
        <f>IF($A375="","",COUNTIF('TMP Paste'!$B$2:$B375,"?*"))</f>
        <v/>
      </c>
      <c r="C375" t="str">
        <f>IF($A375="","",IFERROR('TMP Paste'!$M375*1,0))</f>
        <v/>
      </c>
      <c r="D375" t="str">
        <f>IF($A375="","",SUMIF($B$2:$B375,$B375,$C$2:$C375))</f>
        <v/>
      </c>
      <c r="E375">
        <f>IF($A375="",0,IF('TMP Paste'!$B375="",0,1))</f>
        <v>0</v>
      </c>
      <c r="F375" t="str">
        <f t="shared" si="25"/>
        <v/>
      </c>
      <c r="G375" t="str">
        <f t="shared" si="26"/>
        <v/>
      </c>
      <c r="H375" t="str">
        <f t="shared" si="27"/>
        <v/>
      </c>
      <c r="I375" t="str">
        <f t="shared" si="28"/>
        <v/>
      </c>
      <c r="J375" t="str">
        <f t="shared" si="29"/>
        <v/>
      </c>
      <c r="K375" t="str">
        <f>IF($A375="","",IF(COUNTIF($B$2:$B375,$B375)=COUNTIF($B$2:$B$1601,$B375),$B375,""))</f>
        <v/>
      </c>
    </row>
    <row r="376" spans="1:11">
      <c r="A376" t="str">
        <f>IF('TMP Paste'!$E376="","",'TMP Paste'!$E376)</f>
        <v/>
      </c>
      <c r="B376" t="str">
        <f>IF($A376="","",COUNTIF('TMP Paste'!$B$2:$B376,"?*"))</f>
        <v/>
      </c>
      <c r="C376" t="str">
        <f>IF($A376="","",IFERROR('TMP Paste'!$M376*1,0))</f>
        <v/>
      </c>
      <c r="D376" t="str">
        <f>IF($A376="","",SUMIF($B$2:$B376,$B376,$C$2:$C376))</f>
        <v/>
      </c>
      <c r="E376">
        <f>IF($A376="",0,IF('TMP Paste'!$B376="",0,1))</f>
        <v>0</v>
      </c>
      <c r="F376" t="str">
        <f t="shared" si="25"/>
        <v/>
      </c>
      <c r="G376" t="str">
        <f t="shared" si="26"/>
        <v/>
      </c>
      <c r="H376" t="str">
        <f t="shared" si="27"/>
        <v/>
      </c>
      <c r="I376" t="str">
        <f t="shared" si="28"/>
        <v/>
      </c>
      <c r="J376" t="str">
        <f t="shared" si="29"/>
        <v/>
      </c>
      <c r="K376" t="str">
        <f>IF($A376="","",IF(COUNTIF($B$2:$B376,$B376)=COUNTIF($B$2:$B$1601,$B376),$B376,""))</f>
        <v/>
      </c>
    </row>
    <row r="377" spans="1:11">
      <c r="A377" t="str">
        <f>IF('TMP Paste'!$E377="","",'TMP Paste'!$E377)</f>
        <v/>
      </c>
      <c r="B377" t="str">
        <f>IF($A377="","",COUNTIF('TMP Paste'!$B$2:$B377,"?*"))</f>
        <v/>
      </c>
      <c r="C377" t="str">
        <f>IF($A377="","",IFERROR('TMP Paste'!$M377*1,0))</f>
        <v/>
      </c>
      <c r="D377" t="str">
        <f>IF($A377="","",SUMIF($B$2:$B377,$B377,$C$2:$C377))</f>
        <v/>
      </c>
      <c r="E377">
        <f>IF($A377="",0,IF('TMP Paste'!$B377="",0,1))</f>
        <v>0</v>
      </c>
      <c r="F377" t="str">
        <f t="shared" si="25"/>
        <v/>
      </c>
      <c r="G377" t="str">
        <f t="shared" si="26"/>
        <v/>
      </c>
      <c r="H377" t="str">
        <f t="shared" si="27"/>
        <v/>
      </c>
      <c r="I377" t="str">
        <f t="shared" si="28"/>
        <v/>
      </c>
      <c r="J377" t="str">
        <f t="shared" si="29"/>
        <v/>
      </c>
      <c r="K377" t="str">
        <f>IF($A377="","",IF(COUNTIF($B$2:$B377,$B377)=COUNTIF($B$2:$B$1601,$B377),$B377,""))</f>
        <v/>
      </c>
    </row>
    <row r="378" spans="1:11">
      <c r="A378" t="str">
        <f>IF('TMP Paste'!$E378="","",'TMP Paste'!$E378)</f>
        <v/>
      </c>
      <c r="B378" t="str">
        <f>IF($A378="","",COUNTIF('TMP Paste'!$B$2:$B378,"?*"))</f>
        <v/>
      </c>
      <c r="C378" t="str">
        <f>IF($A378="","",IFERROR('TMP Paste'!$M378*1,0))</f>
        <v/>
      </c>
      <c r="D378" t="str">
        <f>IF($A378="","",SUMIF($B$2:$B378,$B378,$C$2:$C378))</f>
        <v/>
      </c>
      <c r="E378">
        <f>IF($A378="",0,IF('TMP Paste'!$B378="",0,1))</f>
        <v>0</v>
      </c>
      <c r="F378" t="str">
        <f t="shared" si="25"/>
        <v/>
      </c>
      <c r="G378" t="str">
        <f t="shared" si="26"/>
        <v/>
      </c>
      <c r="H378" t="str">
        <f t="shared" si="27"/>
        <v/>
      </c>
      <c r="I378" t="str">
        <f t="shared" si="28"/>
        <v/>
      </c>
      <c r="J378" t="str">
        <f t="shared" si="29"/>
        <v/>
      </c>
      <c r="K378" t="str">
        <f>IF($A378="","",IF(COUNTIF($B$2:$B378,$B378)=COUNTIF($B$2:$B$1601,$B378),$B378,""))</f>
        <v/>
      </c>
    </row>
    <row r="379" spans="1:11">
      <c r="A379" t="str">
        <f>IF('TMP Paste'!$E379="","",'TMP Paste'!$E379)</f>
        <v/>
      </c>
      <c r="B379" t="str">
        <f>IF($A379="","",COUNTIF('TMP Paste'!$B$2:$B379,"?*"))</f>
        <v/>
      </c>
      <c r="C379" t="str">
        <f>IF($A379="","",IFERROR('TMP Paste'!$M379*1,0))</f>
        <v/>
      </c>
      <c r="D379" t="str">
        <f>IF($A379="","",SUMIF($B$2:$B379,$B379,$C$2:$C379))</f>
        <v/>
      </c>
      <c r="E379">
        <f>IF($A379="",0,IF('TMP Paste'!$B379="",0,1))</f>
        <v>0</v>
      </c>
      <c r="F379" t="str">
        <f t="shared" si="25"/>
        <v/>
      </c>
      <c r="G379" t="str">
        <f t="shared" si="26"/>
        <v/>
      </c>
      <c r="H379" t="str">
        <f t="shared" si="27"/>
        <v/>
      </c>
      <c r="I379" t="str">
        <f t="shared" si="28"/>
        <v/>
      </c>
      <c r="J379" t="str">
        <f t="shared" si="29"/>
        <v/>
      </c>
      <c r="K379" t="str">
        <f>IF($A379="","",IF(COUNTIF($B$2:$B379,$B379)=COUNTIF($B$2:$B$1601,$B379),$B379,""))</f>
        <v/>
      </c>
    </row>
    <row r="380" spans="1:11">
      <c r="A380" t="str">
        <f>IF('TMP Paste'!$E380="","",'TMP Paste'!$E380)</f>
        <v/>
      </c>
      <c r="B380" t="str">
        <f>IF($A380="","",COUNTIF('TMP Paste'!$B$2:$B380,"?*"))</f>
        <v/>
      </c>
      <c r="C380" t="str">
        <f>IF($A380="","",IFERROR('TMP Paste'!$M380*1,0))</f>
        <v/>
      </c>
      <c r="D380" t="str">
        <f>IF($A380="","",SUMIF($B$2:$B380,$B380,$C$2:$C380))</f>
        <v/>
      </c>
      <c r="E380">
        <f>IF($A380="",0,IF('TMP Paste'!$B380="",0,1))</f>
        <v>0</v>
      </c>
      <c r="F380" t="str">
        <f t="shared" si="25"/>
        <v/>
      </c>
      <c r="G380" t="str">
        <f t="shared" si="26"/>
        <v/>
      </c>
      <c r="H380" t="str">
        <f t="shared" si="27"/>
        <v/>
      </c>
      <c r="I380" t="str">
        <f t="shared" si="28"/>
        <v/>
      </c>
      <c r="J380" t="str">
        <f t="shared" si="29"/>
        <v/>
      </c>
      <c r="K380" t="str">
        <f>IF($A380="","",IF(COUNTIF($B$2:$B380,$B380)=COUNTIF($B$2:$B$1601,$B380),$B380,""))</f>
        <v/>
      </c>
    </row>
    <row r="381" spans="1:11">
      <c r="A381" t="str">
        <f>IF('TMP Paste'!$E381="","",'TMP Paste'!$E381)</f>
        <v/>
      </c>
      <c r="B381" t="str">
        <f>IF($A381="","",COUNTIF('TMP Paste'!$B$2:$B381,"?*"))</f>
        <v/>
      </c>
      <c r="C381" t="str">
        <f>IF($A381="","",IFERROR('TMP Paste'!$M381*1,0))</f>
        <v/>
      </c>
      <c r="D381" t="str">
        <f>IF($A381="","",SUMIF($B$2:$B381,$B381,$C$2:$C381))</f>
        <v/>
      </c>
      <c r="E381">
        <f>IF($A381="",0,IF('TMP Paste'!$B381="",0,1))</f>
        <v>0</v>
      </c>
      <c r="F381" t="str">
        <f t="shared" si="25"/>
        <v/>
      </c>
      <c r="G381" t="str">
        <f t="shared" si="26"/>
        <v/>
      </c>
      <c r="H381" t="str">
        <f t="shared" si="27"/>
        <v/>
      </c>
      <c r="I381" t="str">
        <f t="shared" si="28"/>
        <v/>
      </c>
      <c r="J381" t="str">
        <f t="shared" si="29"/>
        <v/>
      </c>
      <c r="K381" t="str">
        <f>IF($A381="","",IF(COUNTIF($B$2:$B381,$B381)=COUNTIF($B$2:$B$1601,$B381),$B381,""))</f>
        <v/>
      </c>
    </row>
    <row r="382" spans="1:11">
      <c r="A382" t="str">
        <f>IF('TMP Paste'!$E382="","",'TMP Paste'!$E382)</f>
        <v/>
      </c>
      <c r="B382" t="str">
        <f>IF($A382="","",COUNTIF('TMP Paste'!$B$2:$B382,"?*"))</f>
        <v/>
      </c>
      <c r="C382" t="str">
        <f>IF($A382="","",IFERROR('TMP Paste'!$M382*1,0))</f>
        <v/>
      </c>
      <c r="D382" t="str">
        <f>IF($A382="","",SUMIF($B$2:$B382,$B382,$C$2:$C382))</f>
        <v/>
      </c>
      <c r="E382">
        <f>IF($A382="",0,IF('TMP Paste'!$B382="",0,1))</f>
        <v>0</v>
      </c>
      <c r="F382" t="str">
        <f t="shared" si="25"/>
        <v/>
      </c>
      <c r="G382" t="str">
        <f t="shared" si="26"/>
        <v/>
      </c>
      <c r="H382" t="str">
        <f t="shared" si="27"/>
        <v/>
      </c>
      <c r="I382" t="str">
        <f t="shared" si="28"/>
        <v/>
      </c>
      <c r="J382" t="str">
        <f t="shared" si="29"/>
        <v/>
      </c>
      <c r="K382" t="str">
        <f>IF($A382="","",IF(COUNTIF($B$2:$B382,$B382)=COUNTIF($B$2:$B$1601,$B382),$B382,""))</f>
        <v/>
      </c>
    </row>
    <row r="383" spans="1:11">
      <c r="A383" t="str">
        <f>IF('TMP Paste'!$E383="","",'TMP Paste'!$E383)</f>
        <v/>
      </c>
      <c r="B383" t="str">
        <f>IF($A383="","",COUNTIF('TMP Paste'!$B$2:$B383,"?*"))</f>
        <v/>
      </c>
      <c r="C383" t="str">
        <f>IF($A383="","",IFERROR('TMP Paste'!$M383*1,0))</f>
        <v/>
      </c>
      <c r="D383" t="str">
        <f>IF($A383="","",SUMIF($B$2:$B383,$B383,$C$2:$C383))</f>
        <v/>
      </c>
      <c r="E383">
        <f>IF($A383="",0,IF('TMP Paste'!$B383="",0,1))</f>
        <v>0</v>
      </c>
      <c r="F383" t="str">
        <f t="shared" si="25"/>
        <v/>
      </c>
      <c r="G383" t="str">
        <f t="shared" si="26"/>
        <v/>
      </c>
      <c r="H383" t="str">
        <f t="shared" si="27"/>
        <v/>
      </c>
      <c r="I383" t="str">
        <f t="shared" si="28"/>
        <v/>
      </c>
      <c r="J383" t="str">
        <f t="shared" si="29"/>
        <v/>
      </c>
      <c r="K383" t="str">
        <f>IF($A383="","",IF(COUNTIF($B$2:$B383,$B383)=COUNTIF($B$2:$B$1601,$B383),$B383,""))</f>
        <v/>
      </c>
    </row>
    <row r="384" spans="1:11">
      <c r="A384" t="str">
        <f>IF('TMP Paste'!$E384="","",'TMP Paste'!$E384)</f>
        <v/>
      </c>
      <c r="B384" t="str">
        <f>IF($A384="","",COUNTIF('TMP Paste'!$B$2:$B384,"?*"))</f>
        <v/>
      </c>
      <c r="C384" t="str">
        <f>IF($A384="","",IFERROR('TMP Paste'!$M384*1,0))</f>
        <v/>
      </c>
      <c r="D384" t="str">
        <f>IF($A384="","",SUMIF($B$2:$B384,$B384,$C$2:$C384))</f>
        <v/>
      </c>
      <c r="E384">
        <f>IF($A384="",0,IF('TMP Paste'!$B384="",0,1))</f>
        <v>0</v>
      </c>
      <c r="F384" t="str">
        <f t="shared" si="25"/>
        <v/>
      </c>
      <c r="G384" t="str">
        <f t="shared" si="26"/>
        <v/>
      </c>
      <c r="H384" t="str">
        <f t="shared" si="27"/>
        <v/>
      </c>
      <c r="I384" t="str">
        <f t="shared" si="28"/>
        <v/>
      </c>
      <c r="J384" t="str">
        <f t="shared" si="29"/>
        <v/>
      </c>
      <c r="K384" t="str">
        <f>IF($A384="","",IF(COUNTIF($B$2:$B384,$B384)=COUNTIF($B$2:$B$1601,$B384),$B384,""))</f>
        <v/>
      </c>
    </row>
    <row r="385" spans="1:11">
      <c r="A385" t="str">
        <f>IF('TMP Paste'!$E385="","",'TMP Paste'!$E385)</f>
        <v/>
      </c>
      <c r="B385" t="str">
        <f>IF($A385="","",COUNTIF('TMP Paste'!$B$2:$B385,"?*"))</f>
        <v/>
      </c>
      <c r="C385" t="str">
        <f>IF($A385="","",IFERROR('TMP Paste'!$M385*1,0))</f>
        <v/>
      </c>
      <c r="D385" t="str">
        <f>IF($A385="","",SUMIF($B$2:$B385,$B385,$C$2:$C385))</f>
        <v/>
      </c>
      <c r="E385">
        <f>IF($A385="",0,IF('TMP Paste'!$B385="",0,1))</f>
        <v>0</v>
      </c>
      <c r="F385" t="str">
        <f t="shared" si="25"/>
        <v/>
      </c>
      <c r="G385" t="str">
        <f t="shared" si="26"/>
        <v/>
      </c>
      <c r="H385" t="str">
        <f t="shared" si="27"/>
        <v/>
      </c>
      <c r="I385" t="str">
        <f t="shared" si="28"/>
        <v/>
      </c>
      <c r="J385" t="str">
        <f t="shared" si="29"/>
        <v/>
      </c>
      <c r="K385" t="str">
        <f>IF($A385="","",IF(COUNTIF($B$2:$B385,$B385)=COUNTIF($B$2:$B$1601,$B385),$B385,""))</f>
        <v/>
      </c>
    </row>
    <row r="386" spans="1:11">
      <c r="A386" t="str">
        <f>IF('TMP Paste'!$E386="","",'TMP Paste'!$E386)</f>
        <v/>
      </c>
      <c r="B386" t="str">
        <f>IF($A386="","",COUNTIF('TMP Paste'!$B$2:$B386,"?*"))</f>
        <v/>
      </c>
      <c r="C386" t="str">
        <f>IF($A386="","",IFERROR('TMP Paste'!$M386*1,0))</f>
        <v/>
      </c>
      <c r="D386" t="str">
        <f>IF($A386="","",SUMIF($B$2:$B386,$B386,$C$2:$C386))</f>
        <v/>
      </c>
      <c r="E386">
        <f>IF($A386="",0,IF('TMP Paste'!$B386="",0,1))</f>
        <v>0</v>
      </c>
      <c r="F386" t="str">
        <f t="shared" ref="F386:F449" si="30">IF(OR($A386="",$C386&lt;1),"",$A386&amp;"-"&amp;TEXT(($D386-$C386+1),"00")&amp;IF($C386&gt;=2,", "&amp;$A386&amp;"-"&amp;TEXT(($D386-$C386+1)+1,"00"),"")&amp;IF($C386&gt;=3,", "&amp;$A386&amp;"-"&amp;TEXT(($D386-$C386+1)+2,"00"),"")&amp;IF($C386&gt;=4,", "&amp;$A386&amp;"-"&amp;TEXT(($D386-$C386+1)+3,"00"),"")&amp;IF($C386&gt;=5,", "&amp;$A386&amp;"-"&amp;TEXT(($D386-$C386+1)+4,"00"),"")&amp;IF($C386&gt;=6,", "&amp;$A386&amp;"-"&amp;TEXT(($D386-$C386+1)+5,"00"),"")&amp;IF($C386&gt;=7,", "&amp;$A386&amp;"-"&amp;TEXT(($D386-$C386+1)+6,"00"),"")&amp;IF($C386&gt;=8,", "&amp;$A386&amp;"-"&amp;TEXT(($D386-$C386+1)+7,"00"),"")&amp;IF($C386&gt;=9,", "&amp;$A386&amp;"-"&amp;TEXT(($D386-$C386+1)+8,"00"),"")&amp;IF($C386&gt;=10,", "&amp;$A386&amp;"-"&amp;TEXT(($D386-$C386+1)+9,"00"),"")&amp;IF($C386&gt;=11,", "&amp;$A386&amp;"-"&amp;TEXT(($D386-$C386+1)+10,"00"),"")&amp;IF($C386&gt;=12,", "&amp;$A386&amp;"-"&amp;TEXT(($D386-$C386+1)+11,"00"),"")&amp;IF($C386&gt;=13,", "&amp;$A386&amp;"-"&amp;TEXT(($D386-$C386+1)+12,"00"),"")&amp;IF($C386&gt;=14,", "&amp;$A386&amp;"-"&amp;TEXT(($D386-$C386+1)+13,"00"),"")&amp;IF($C386&gt;=15,", "&amp;$A386&amp;"-"&amp;TEXT(($D386-$C386+1)+14,"00"),"")&amp;IF($C386&gt;=16,", "&amp;$A386&amp;"-"&amp;TEXT(($D386-$C386+1)+15,"00"),"")&amp;IF($C386&gt;=17,", "&amp;$A386&amp;"-"&amp;TEXT(($D386-$C386+1)+16,"00"),"")&amp;IF($C386&gt;=18,", "&amp;$A386&amp;"-"&amp;TEXT(($D386-$C386+1)+17,"00"),"")&amp;IF($C386&gt;=19,", "&amp;$A386&amp;"-"&amp;TEXT(($D386-$C386+1)+18,"00"),"")&amp;IF($C386&gt;=20,", "&amp;$A386&amp;"-"&amp;TEXT(($D386-$C386+1)+19,"00"),"")&amp;IF($C386&gt;=21,", "&amp;$A386&amp;"-"&amp;TEXT(($D386-$C386+1)+20,"00"),"")&amp;IF($C386&gt;=22,", "&amp;$A386&amp;"-"&amp;TEXT(($D386-$C386+1)+21,"00"),"")&amp;IF($C386&gt;=23,", "&amp;$A386&amp;"-"&amp;TEXT(($D386-$C386+1)+22,"00"),"")&amp;IF($C386&gt;=24,", "&amp;$A386&amp;"-"&amp;TEXT(($D386-$C386+1)+23,"00"),"")&amp;IF($C386&gt;=25,", "&amp;$A386&amp;"-"&amp;TEXT(($D386-$C386+1)+24,"00"),""))</f>
        <v/>
      </c>
      <c r="G386" t="str">
        <f t="shared" ref="G386:G449" si="31">IF($A386="","",IF($E386=1,$F386,IF($F386="",$G385,IF($G385="",$F386,$G385&amp;", "&amp;$F386))))</f>
        <v/>
      </c>
      <c r="H386" t="str">
        <f t="shared" ref="H386:H449" si="32">IF($A386="","",$A386&amp;" ("&amp;$C386&amp;")")</f>
        <v/>
      </c>
      <c r="I386" t="str">
        <f t="shared" ref="I386:I449" si="33">IF($A386="","",IF($E386=1,$H386,$I385&amp;", "&amp;$H386))</f>
        <v/>
      </c>
      <c r="J386" t="str">
        <f t="shared" ref="J386:J449" si="34">IF($A386="","",IF($E386=1,$B386,""))</f>
        <v/>
      </c>
      <c r="K386" t="str">
        <f>IF($A386="","",IF(COUNTIF($B$2:$B386,$B386)=COUNTIF($B$2:$B$1601,$B386),$B386,""))</f>
        <v/>
      </c>
    </row>
    <row r="387" spans="1:11">
      <c r="A387" t="str">
        <f>IF('TMP Paste'!$E387="","",'TMP Paste'!$E387)</f>
        <v/>
      </c>
      <c r="B387" t="str">
        <f>IF($A387="","",COUNTIF('TMP Paste'!$B$2:$B387,"?*"))</f>
        <v/>
      </c>
      <c r="C387" t="str">
        <f>IF($A387="","",IFERROR('TMP Paste'!$M387*1,0))</f>
        <v/>
      </c>
      <c r="D387" t="str">
        <f>IF($A387="","",SUMIF($B$2:$B387,$B387,$C$2:$C387))</f>
        <v/>
      </c>
      <c r="E387">
        <f>IF($A387="",0,IF('TMP Paste'!$B387="",0,1))</f>
        <v>0</v>
      </c>
      <c r="F387" t="str">
        <f t="shared" si="30"/>
        <v/>
      </c>
      <c r="G387" t="str">
        <f t="shared" si="31"/>
        <v/>
      </c>
      <c r="H387" t="str">
        <f t="shared" si="32"/>
        <v/>
      </c>
      <c r="I387" t="str">
        <f t="shared" si="33"/>
        <v/>
      </c>
      <c r="J387" t="str">
        <f t="shared" si="34"/>
        <v/>
      </c>
      <c r="K387" t="str">
        <f>IF($A387="","",IF(COUNTIF($B$2:$B387,$B387)=COUNTIF($B$2:$B$1601,$B387),$B387,""))</f>
        <v/>
      </c>
    </row>
    <row r="388" spans="1:11">
      <c r="A388" t="str">
        <f>IF('TMP Paste'!$E388="","",'TMP Paste'!$E388)</f>
        <v/>
      </c>
      <c r="B388" t="str">
        <f>IF($A388="","",COUNTIF('TMP Paste'!$B$2:$B388,"?*"))</f>
        <v/>
      </c>
      <c r="C388" t="str">
        <f>IF($A388="","",IFERROR('TMP Paste'!$M388*1,0))</f>
        <v/>
      </c>
      <c r="D388" t="str">
        <f>IF($A388="","",SUMIF($B$2:$B388,$B388,$C$2:$C388))</f>
        <v/>
      </c>
      <c r="E388">
        <f>IF($A388="",0,IF('TMP Paste'!$B388="",0,1))</f>
        <v>0</v>
      </c>
      <c r="F388" t="str">
        <f t="shared" si="30"/>
        <v/>
      </c>
      <c r="G388" t="str">
        <f t="shared" si="31"/>
        <v/>
      </c>
      <c r="H388" t="str">
        <f t="shared" si="32"/>
        <v/>
      </c>
      <c r="I388" t="str">
        <f t="shared" si="33"/>
        <v/>
      </c>
      <c r="J388" t="str">
        <f t="shared" si="34"/>
        <v/>
      </c>
      <c r="K388" t="str">
        <f>IF($A388="","",IF(COUNTIF($B$2:$B388,$B388)=COUNTIF($B$2:$B$1601,$B388),$B388,""))</f>
        <v/>
      </c>
    </row>
    <row r="389" spans="1:11">
      <c r="A389" t="str">
        <f>IF('TMP Paste'!$E389="","",'TMP Paste'!$E389)</f>
        <v/>
      </c>
      <c r="B389" t="str">
        <f>IF($A389="","",COUNTIF('TMP Paste'!$B$2:$B389,"?*"))</f>
        <v/>
      </c>
      <c r="C389" t="str">
        <f>IF($A389="","",IFERROR('TMP Paste'!$M389*1,0))</f>
        <v/>
      </c>
      <c r="D389" t="str">
        <f>IF($A389="","",SUMIF($B$2:$B389,$B389,$C$2:$C389))</f>
        <v/>
      </c>
      <c r="E389">
        <f>IF($A389="",0,IF('TMP Paste'!$B389="",0,1))</f>
        <v>0</v>
      </c>
      <c r="F389" t="str">
        <f t="shared" si="30"/>
        <v/>
      </c>
      <c r="G389" t="str">
        <f t="shared" si="31"/>
        <v/>
      </c>
      <c r="H389" t="str">
        <f t="shared" si="32"/>
        <v/>
      </c>
      <c r="I389" t="str">
        <f t="shared" si="33"/>
        <v/>
      </c>
      <c r="J389" t="str">
        <f t="shared" si="34"/>
        <v/>
      </c>
      <c r="K389" t="str">
        <f>IF($A389="","",IF(COUNTIF($B$2:$B389,$B389)=COUNTIF($B$2:$B$1601,$B389),$B389,""))</f>
        <v/>
      </c>
    </row>
    <row r="390" spans="1:11">
      <c r="A390" t="str">
        <f>IF('TMP Paste'!$E390="","",'TMP Paste'!$E390)</f>
        <v/>
      </c>
      <c r="B390" t="str">
        <f>IF($A390="","",COUNTIF('TMP Paste'!$B$2:$B390,"?*"))</f>
        <v/>
      </c>
      <c r="C390" t="str">
        <f>IF($A390="","",IFERROR('TMP Paste'!$M390*1,0))</f>
        <v/>
      </c>
      <c r="D390" t="str">
        <f>IF($A390="","",SUMIF($B$2:$B390,$B390,$C$2:$C390))</f>
        <v/>
      </c>
      <c r="E390">
        <f>IF($A390="",0,IF('TMP Paste'!$B390="",0,1))</f>
        <v>0</v>
      </c>
      <c r="F390" t="str">
        <f t="shared" si="30"/>
        <v/>
      </c>
      <c r="G390" t="str">
        <f t="shared" si="31"/>
        <v/>
      </c>
      <c r="H390" t="str">
        <f t="shared" si="32"/>
        <v/>
      </c>
      <c r="I390" t="str">
        <f t="shared" si="33"/>
        <v/>
      </c>
      <c r="J390" t="str">
        <f t="shared" si="34"/>
        <v/>
      </c>
      <c r="K390" t="str">
        <f>IF($A390="","",IF(COUNTIF($B$2:$B390,$B390)=COUNTIF($B$2:$B$1601,$B390),$B390,""))</f>
        <v/>
      </c>
    </row>
    <row r="391" spans="1:11">
      <c r="A391" t="str">
        <f>IF('TMP Paste'!$E391="","",'TMP Paste'!$E391)</f>
        <v/>
      </c>
      <c r="B391" t="str">
        <f>IF($A391="","",COUNTIF('TMP Paste'!$B$2:$B391,"?*"))</f>
        <v/>
      </c>
      <c r="C391" t="str">
        <f>IF($A391="","",IFERROR('TMP Paste'!$M391*1,0))</f>
        <v/>
      </c>
      <c r="D391" t="str">
        <f>IF($A391="","",SUMIF($B$2:$B391,$B391,$C$2:$C391))</f>
        <v/>
      </c>
      <c r="E391">
        <f>IF($A391="",0,IF('TMP Paste'!$B391="",0,1))</f>
        <v>0</v>
      </c>
      <c r="F391" t="str">
        <f t="shared" si="30"/>
        <v/>
      </c>
      <c r="G391" t="str">
        <f t="shared" si="31"/>
        <v/>
      </c>
      <c r="H391" t="str">
        <f t="shared" si="32"/>
        <v/>
      </c>
      <c r="I391" t="str">
        <f t="shared" si="33"/>
        <v/>
      </c>
      <c r="J391" t="str">
        <f t="shared" si="34"/>
        <v/>
      </c>
      <c r="K391" t="str">
        <f>IF($A391="","",IF(COUNTIF($B$2:$B391,$B391)=COUNTIF($B$2:$B$1601,$B391),$B391,""))</f>
        <v/>
      </c>
    </row>
    <row r="392" spans="1:11">
      <c r="A392" t="str">
        <f>IF('TMP Paste'!$E392="","",'TMP Paste'!$E392)</f>
        <v/>
      </c>
      <c r="B392" t="str">
        <f>IF($A392="","",COUNTIF('TMP Paste'!$B$2:$B392,"?*"))</f>
        <v/>
      </c>
      <c r="C392" t="str">
        <f>IF($A392="","",IFERROR('TMP Paste'!$M392*1,0))</f>
        <v/>
      </c>
      <c r="D392" t="str">
        <f>IF($A392="","",SUMIF($B$2:$B392,$B392,$C$2:$C392))</f>
        <v/>
      </c>
      <c r="E392">
        <f>IF($A392="",0,IF('TMP Paste'!$B392="",0,1))</f>
        <v>0</v>
      </c>
      <c r="F392" t="str">
        <f t="shared" si="30"/>
        <v/>
      </c>
      <c r="G392" t="str">
        <f t="shared" si="31"/>
        <v/>
      </c>
      <c r="H392" t="str">
        <f t="shared" si="32"/>
        <v/>
      </c>
      <c r="I392" t="str">
        <f t="shared" si="33"/>
        <v/>
      </c>
      <c r="J392" t="str">
        <f t="shared" si="34"/>
        <v/>
      </c>
      <c r="K392" t="str">
        <f>IF($A392="","",IF(COUNTIF($B$2:$B392,$B392)=COUNTIF($B$2:$B$1601,$B392),$B392,""))</f>
        <v/>
      </c>
    </row>
    <row r="393" spans="1:11">
      <c r="A393" t="str">
        <f>IF('TMP Paste'!$E393="","",'TMP Paste'!$E393)</f>
        <v/>
      </c>
      <c r="B393" t="str">
        <f>IF($A393="","",COUNTIF('TMP Paste'!$B$2:$B393,"?*"))</f>
        <v/>
      </c>
      <c r="C393" t="str">
        <f>IF($A393="","",IFERROR('TMP Paste'!$M393*1,0))</f>
        <v/>
      </c>
      <c r="D393" t="str">
        <f>IF($A393="","",SUMIF($B$2:$B393,$B393,$C$2:$C393))</f>
        <v/>
      </c>
      <c r="E393">
        <f>IF($A393="",0,IF('TMP Paste'!$B393="",0,1))</f>
        <v>0</v>
      </c>
      <c r="F393" t="str">
        <f t="shared" si="30"/>
        <v/>
      </c>
      <c r="G393" t="str">
        <f t="shared" si="31"/>
        <v/>
      </c>
      <c r="H393" t="str">
        <f t="shared" si="32"/>
        <v/>
      </c>
      <c r="I393" t="str">
        <f t="shared" si="33"/>
        <v/>
      </c>
      <c r="J393" t="str">
        <f t="shared" si="34"/>
        <v/>
      </c>
      <c r="K393" t="str">
        <f>IF($A393="","",IF(COUNTIF($B$2:$B393,$B393)=COUNTIF($B$2:$B$1601,$B393),$B393,""))</f>
        <v/>
      </c>
    </row>
    <row r="394" spans="1:11">
      <c r="A394" t="str">
        <f>IF('TMP Paste'!$E394="","",'TMP Paste'!$E394)</f>
        <v/>
      </c>
      <c r="B394" t="str">
        <f>IF($A394="","",COUNTIF('TMP Paste'!$B$2:$B394,"?*"))</f>
        <v/>
      </c>
      <c r="C394" t="str">
        <f>IF($A394="","",IFERROR('TMP Paste'!$M394*1,0))</f>
        <v/>
      </c>
      <c r="D394" t="str">
        <f>IF($A394="","",SUMIF($B$2:$B394,$B394,$C$2:$C394))</f>
        <v/>
      </c>
      <c r="E394">
        <f>IF($A394="",0,IF('TMP Paste'!$B394="",0,1))</f>
        <v>0</v>
      </c>
      <c r="F394" t="str">
        <f t="shared" si="30"/>
        <v/>
      </c>
      <c r="G394" t="str">
        <f t="shared" si="31"/>
        <v/>
      </c>
      <c r="H394" t="str">
        <f t="shared" si="32"/>
        <v/>
      </c>
      <c r="I394" t="str">
        <f t="shared" si="33"/>
        <v/>
      </c>
      <c r="J394" t="str">
        <f t="shared" si="34"/>
        <v/>
      </c>
      <c r="K394" t="str">
        <f>IF($A394="","",IF(COUNTIF($B$2:$B394,$B394)=COUNTIF($B$2:$B$1601,$B394),$B394,""))</f>
        <v/>
      </c>
    </row>
    <row r="395" spans="1:11">
      <c r="A395" t="str">
        <f>IF('TMP Paste'!$E395="","",'TMP Paste'!$E395)</f>
        <v/>
      </c>
      <c r="B395" t="str">
        <f>IF($A395="","",COUNTIF('TMP Paste'!$B$2:$B395,"?*"))</f>
        <v/>
      </c>
      <c r="C395" t="str">
        <f>IF($A395="","",IFERROR('TMP Paste'!$M395*1,0))</f>
        <v/>
      </c>
      <c r="D395" t="str">
        <f>IF($A395="","",SUMIF($B$2:$B395,$B395,$C$2:$C395))</f>
        <v/>
      </c>
      <c r="E395">
        <f>IF($A395="",0,IF('TMP Paste'!$B395="",0,1))</f>
        <v>0</v>
      </c>
      <c r="F395" t="str">
        <f t="shared" si="30"/>
        <v/>
      </c>
      <c r="G395" t="str">
        <f t="shared" si="31"/>
        <v/>
      </c>
      <c r="H395" t="str">
        <f t="shared" si="32"/>
        <v/>
      </c>
      <c r="I395" t="str">
        <f t="shared" si="33"/>
        <v/>
      </c>
      <c r="J395" t="str">
        <f t="shared" si="34"/>
        <v/>
      </c>
      <c r="K395" t="str">
        <f>IF($A395="","",IF(COUNTIF($B$2:$B395,$B395)=COUNTIF($B$2:$B$1601,$B395),$B395,""))</f>
        <v/>
      </c>
    </row>
    <row r="396" spans="1:11">
      <c r="A396" t="str">
        <f>IF('TMP Paste'!$E396="","",'TMP Paste'!$E396)</f>
        <v/>
      </c>
      <c r="B396" t="str">
        <f>IF($A396="","",COUNTIF('TMP Paste'!$B$2:$B396,"?*"))</f>
        <v/>
      </c>
      <c r="C396" t="str">
        <f>IF($A396="","",IFERROR('TMP Paste'!$M396*1,0))</f>
        <v/>
      </c>
      <c r="D396" t="str">
        <f>IF($A396="","",SUMIF($B$2:$B396,$B396,$C$2:$C396))</f>
        <v/>
      </c>
      <c r="E396">
        <f>IF($A396="",0,IF('TMP Paste'!$B396="",0,1))</f>
        <v>0</v>
      </c>
      <c r="F396" t="str">
        <f t="shared" si="30"/>
        <v/>
      </c>
      <c r="G396" t="str">
        <f t="shared" si="31"/>
        <v/>
      </c>
      <c r="H396" t="str">
        <f t="shared" si="32"/>
        <v/>
      </c>
      <c r="I396" t="str">
        <f t="shared" si="33"/>
        <v/>
      </c>
      <c r="J396" t="str">
        <f t="shared" si="34"/>
        <v/>
      </c>
      <c r="K396" t="str">
        <f>IF($A396="","",IF(COUNTIF($B$2:$B396,$B396)=COUNTIF($B$2:$B$1601,$B396),$B396,""))</f>
        <v/>
      </c>
    </row>
    <row r="397" spans="1:11">
      <c r="A397" t="str">
        <f>IF('TMP Paste'!$E397="","",'TMP Paste'!$E397)</f>
        <v/>
      </c>
      <c r="B397" t="str">
        <f>IF($A397="","",COUNTIF('TMP Paste'!$B$2:$B397,"?*"))</f>
        <v/>
      </c>
      <c r="C397" t="str">
        <f>IF($A397="","",IFERROR('TMP Paste'!$M397*1,0))</f>
        <v/>
      </c>
      <c r="D397" t="str">
        <f>IF($A397="","",SUMIF($B$2:$B397,$B397,$C$2:$C397))</f>
        <v/>
      </c>
      <c r="E397">
        <f>IF($A397="",0,IF('TMP Paste'!$B397="",0,1))</f>
        <v>0</v>
      </c>
      <c r="F397" t="str">
        <f t="shared" si="30"/>
        <v/>
      </c>
      <c r="G397" t="str">
        <f t="shared" si="31"/>
        <v/>
      </c>
      <c r="H397" t="str">
        <f t="shared" si="32"/>
        <v/>
      </c>
      <c r="I397" t="str">
        <f t="shared" si="33"/>
        <v/>
      </c>
      <c r="J397" t="str">
        <f t="shared" si="34"/>
        <v/>
      </c>
      <c r="K397" t="str">
        <f>IF($A397="","",IF(COUNTIF($B$2:$B397,$B397)=COUNTIF($B$2:$B$1601,$B397),$B397,""))</f>
        <v/>
      </c>
    </row>
    <row r="398" spans="1:11">
      <c r="A398" t="str">
        <f>IF('TMP Paste'!$E398="","",'TMP Paste'!$E398)</f>
        <v/>
      </c>
      <c r="B398" t="str">
        <f>IF($A398="","",COUNTIF('TMP Paste'!$B$2:$B398,"?*"))</f>
        <v/>
      </c>
      <c r="C398" t="str">
        <f>IF($A398="","",IFERROR('TMP Paste'!$M398*1,0))</f>
        <v/>
      </c>
      <c r="D398" t="str">
        <f>IF($A398="","",SUMIF($B$2:$B398,$B398,$C$2:$C398))</f>
        <v/>
      </c>
      <c r="E398">
        <f>IF($A398="",0,IF('TMP Paste'!$B398="",0,1))</f>
        <v>0</v>
      </c>
      <c r="F398" t="str">
        <f t="shared" si="30"/>
        <v/>
      </c>
      <c r="G398" t="str">
        <f t="shared" si="31"/>
        <v/>
      </c>
      <c r="H398" t="str">
        <f t="shared" si="32"/>
        <v/>
      </c>
      <c r="I398" t="str">
        <f t="shared" si="33"/>
        <v/>
      </c>
      <c r="J398" t="str">
        <f t="shared" si="34"/>
        <v/>
      </c>
      <c r="K398" t="str">
        <f>IF($A398="","",IF(COUNTIF($B$2:$B398,$B398)=COUNTIF($B$2:$B$1601,$B398),$B398,""))</f>
        <v/>
      </c>
    </row>
    <row r="399" spans="1:11">
      <c r="A399" t="str">
        <f>IF('TMP Paste'!$E399="","",'TMP Paste'!$E399)</f>
        <v/>
      </c>
      <c r="B399" t="str">
        <f>IF($A399="","",COUNTIF('TMP Paste'!$B$2:$B399,"?*"))</f>
        <v/>
      </c>
      <c r="C399" t="str">
        <f>IF($A399="","",IFERROR('TMP Paste'!$M399*1,0))</f>
        <v/>
      </c>
      <c r="D399" t="str">
        <f>IF($A399="","",SUMIF($B$2:$B399,$B399,$C$2:$C399))</f>
        <v/>
      </c>
      <c r="E399">
        <f>IF($A399="",0,IF('TMP Paste'!$B399="",0,1))</f>
        <v>0</v>
      </c>
      <c r="F399" t="str">
        <f t="shared" si="30"/>
        <v/>
      </c>
      <c r="G399" t="str">
        <f t="shared" si="31"/>
        <v/>
      </c>
      <c r="H399" t="str">
        <f t="shared" si="32"/>
        <v/>
      </c>
      <c r="I399" t="str">
        <f t="shared" si="33"/>
        <v/>
      </c>
      <c r="J399" t="str">
        <f t="shared" si="34"/>
        <v/>
      </c>
      <c r="K399" t="str">
        <f>IF($A399="","",IF(COUNTIF($B$2:$B399,$B399)=COUNTIF($B$2:$B$1601,$B399),$B399,""))</f>
        <v/>
      </c>
    </row>
    <row r="400" spans="1:11">
      <c r="A400" t="str">
        <f>IF('TMP Paste'!$E400="","",'TMP Paste'!$E400)</f>
        <v/>
      </c>
      <c r="B400" t="str">
        <f>IF($A400="","",COUNTIF('TMP Paste'!$B$2:$B400,"?*"))</f>
        <v/>
      </c>
      <c r="C400" t="str">
        <f>IF($A400="","",IFERROR('TMP Paste'!$M400*1,0))</f>
        <v/>
      </c>
      <c r="D400" t="str">
        <f>IF($A400="","",SUMIF($B$2:$B400,$B400,$C$2:$C400))</f>
        <v/>
      </c>
      <c r="E400">
        <f>IF($A400="",0,IF('TMP Paste'!$B400="",0,1))</f>
        <v>0</v>
      </c>
      <c r="F400" t="str">
        <f t="shared" si="30"/>
        <v/>
      </c>
      <c r="G400" t="str">
        <f t="shared" si="31"/>
        <v/>
      </c>
      <c r="H400" t="str">
        <f t="shared" si="32"/>
        <v/>
      </c>
      <c r="I400" t="str">
        <f t="shared" si="33"/>
        <v/>
      </c>
      <c r="J400" t="str">
        <f t="shared" si="34"/>
        <v/>
      </c>
      <c r="K400" t="str">
        <f>IF($A400="","",IF(COUNTIF($B$2:$B400,$B400)=COUNTIF($B$2:$B$1601,$B400),$B400,""))</f>
        <v/>
      </c>
    </row>
    <row r="401" spans="1:11">
      <c r="A401" t="str">
        <f>IF('TMP Paste'!$E401="","",'TMP Paste'!$E401)</f>
        <v/>
      </c>
      <c r="B401" t="str">
        <f>IF($A401="","",COUNTIF('TMP Paste'!$B$2:$B401,"?*"))</f>
        <v/>
      </c>
      <c r="C401" t="str">
        <f>IF($A401="","",IFERROR('TMP Paste'!$M401*1,0))</f>
        <v/>
      </c>
      <c r="D401" t="str">
        <f>IF($A401="","",SUMIF($B$2:$B401,$B401,$C$2:$C401))</f>
        <v/>
      </c>
      <c r="E401">
        <f>IF($A401="",0,IF('TMP Paste'!$B401="",0,1))</f>
        <v>0</v>
      </c>
      <c r="F401" t="str">
        <f t="shared" si="30"/>
        <v/>
      </c>
      <c r="G401" t="str">
        <f t="shared" si="31"/>
        <v/>
      </c>
      <c r="H401" t="str">
        <f t="shared" si="32"/>
        <v/>
      </c>
      <c r="I401" t="str">
        <f t="shared" si="33"/>
        <v/>
      </c>
      <c r="J401" t="str">
        <f t="shared" si="34"/>
        <v/>
      </c>
      <c r="K401" t="str">
        <f>IF($A401="","",IF(COUNTIF($B$2:$B401,$B401)=COUNTIF($B$2:$B$1601,$B401),$B401,""))</f>
        <v/>
      </c>
    </row>
    <row r="402" spans="1:11">
      <c r="A402" t="str">
        <f>IF('TMP Paste'!$E402="","",'TMP Paste'!$E402)</f>
        <v/>
      </c>
      <c r="B402" t="str">
        <f>IF($A402="","",COUNTIF('TMP Paste'!$B$2:$B402,"?*"))</f>
        <v/>
      </c>
      <c r="C402" t="str">
        <f>IF($A402="","",IFERROR('TMP Paste'!$M402*1,0))</f>
        <v/>
      </c>
      <c r="D402" t="str">
        <f>IF($A402="","",SUMIF($B$2:$B402,$B402,$C$2:$C402))</f>
        <v/>
      </c>
      <c r="E402">
        <f>IF($A402="",0,IF('TMP Paste'!$B402="",0,1))</f>
        <v>0</v>
      </c>
      <c r="F402" t="str">
        <f t="shared" si="30"/>
        <v/>
      </c>
      <c r="G402" t="str">
        <f t="shared" si="31"/>
        <v/>
      </c>
      <c r="H402" t="str">
        <f t="shared" si="32"/>
        <v/>
      </c>
      <c r="I402" t="str">
        <f t="shared" si="33"/>
        <v/>
      </c>
      <c r="J402" t="str">
        <f t="shared" si="34"/>
        <v/>
      </c>
      <c r="K402" t="str">
        <f>IF($A402="","",IF(COUNTIF($B$2:$B402,$B402)=COUNTIF($B$2:$B$1601,$B402),$B402,""))</f>
        <v/>
      </c>
    </row>
    <row r="403" spans="1:11">
      <c r="A403" t="str">
        <f>IF('TMP Paste'!$E403="","",'TMP Paste'!$E403)</f>
        <v/>
      </c>
      <c r="B403" t="str">
        <f>IF($A403="","",COUNTIF('TMP Paste'!$B$2:$B403,"?*"))</f>
        <v/>
      </c>
      <c r="C403" t="str">
        <f>IF($A403="","",IFERROR('TMP Paste'!$M403*1,0))</f>
        <v/>
      </c>
      <c r="D403" t="str">
        <f>IF($A403="","",SUMIF($B$2:$B403,$B403,$C$2:$C403))</f>
        <v/>
      </c>
      <c r="E403">
        <f>IF($A403="",0,IF('TMP Paste'!$B403="",0,1))</f>
        <v>0</v>
      </c>
      <c r="F403" t="str">
        <f t="shared" si="30"/>
        <v/>
      </c>
      <c r="G403" t="str">
        <f t="shared" si="31"/>
        <v/>
      </c>
      <c r="H403" t="str">
        <f t="shared" si="32"/>
        <v/>
      </c>
      <c r="I403" t="str">
        <f t="shared" si="33"/>
        <v/>
      </c>
      <c r="J403" t="str">
        <f t="shared" si="34"/>
        <v/>
      </c>
      <c r="K403" t="str">
        <f>IF($A403="","",IF(COUNTIF($B$2:$B403,$B403)=COUNTIF($B$2:$B$1601,$B403),$B403,""))</f>
        <v/>
      </c>
    </row>
    <row r="404" spans="1:11">
      <c r="A404" t="str">
        <f>IF('TMP Paste'!$E404="","",'TMP Paste'!$E404)</f>
        <v/>
      </c>
      <c r="B404" t="str">
        <f>IF($A404="","",COUNTIF('TMP Paste'!$B$2:$B404,"?*"))</f>
        <v/>
      </c>
      <c r="C404" t="str">
        <f>IF($A404="","",IFERROR('TMP Paste'!$M404*1,0))</f>
        <v/>
      </c>
      <c r="D404" t="str">
        <f>IF($A404="","",SUMIF($B$2:$B404,$B404,$C$2:$C404))</f>
        <v/>
      </c>
      <c r="E404">
        <f>IF($A404="",0,IF('TMP Paste'!$B404="",0,1))</f>
        <v>0</v>
      </c>
      <c r="F404" t="str">
        <f t="shared" si="30"/>
        <v/>
      </c>
      <c r="G404" t="str">
        <f t="shared" si="31"/>
        <v/>
      </c>
      <c r="H404" t="str">
        <f t="shared" si="32"/>
        <v/>
      </c>
      <c r="I404" t="str">
        <f t="shared" si="33"/>
        <v/>
      </c>
      <c r="J404" t="str">
        <f t="shared" si="34"/>
        <v/>
      </c>
      <c r="K404" t="str">
        <f>IF($A404="","",IF(COUNTIF($B$2:$B404,$B404)=COUNTIF($B$2:$B$1601,$B404),$B404,""))</f>
        <v/>
      </c>
    </row>
    <row r="405" spans="1:11">
      <c r="A405" t="str">
        <f>IF('TMP Paste'!$E405="","",'TMP Paste'!$E405)</f>
        <v/>
      </c>
      <c r="B405" t="str">
        <f>IF($A405="","",COUNTIF('TMP Paste'!$B$2:$B405,"?*"))</f>
        <v/>
      </c>
      <c r="C405" t="str">
        <f>IF($A405="","",IFERROR('TMP Paste'!$M405*1,0))</f>
        <v/>
      </c>
      <c r="D405" t="str">
        <f>IF($A405="","",SUMIF($B$2:$B405,$B405,$C$2:$C405))</f>
        <v/>
      </c>
      <c r="E405">
        <f>IF($A405="",0,IF('TMP Paste'!$B405="",0,1))</f>
        <v>0</v>
      </c>
      <c r="F405" t="str">
        <f t="shared" si="30"/>
        <v/>
      </c>
      <c r="G405" t="str">
        <f t="shared" si="31"/>
        <v/>
      </c>
      <c r="H405" t="str">
        <f t="shared" si="32"/>
        <v/>
      </c>
      <c r="I405" t="str">
        <f t="shared" si="33"/>
        <v/>
      </c>
      <c r="J405" t="str">
        <f t="shared" si="34"/>
        <v/>
      </c>
      <c r="K405" t="str">
        <f>IF($A405="","",IF(COUNTIF($B$2:$B405,$B405)=COUNTIF($B$2:$B$1601,$B405),$B405,""))</f>
        <v/>
      </c>
    </row>
    <row r="406" spans="1:11">
      <c r="A406" t="str">
        <f>IF('TMP Paste'!$E406="","",'TMP Paste'!$E406)</f>
        <v/>
      </c>
      <c r="B406" t="str">
        <f>IF($A406="","",COUNTIF('TMP Paste'!$B$2:$B406,"?*"))</f>
        <v/>
      </c>
      <c r="C406" t="str">
        <f>IF($A406="","",IFERROR('TMP Paste'!$M406*1,0))</f>
        <v/>
      </c>
      <c r="D406" t="str">
        <f>IF($A406="","",SUMIF($B$2:$B406,$B406,$C$2:$C406))</f>
        <v/>
      </c>
      <c r="E406">
        <f>IF($A406="",0,IF('TMP Paste'!$B406="",0,1))</f>
        <v>0</v>
      </c>
      <c r="F406" t="str">
        <f t="shared" si="30"/>
        <v/>
      </c>
      <c r="G406" t="str">
        <f t="shared" si="31"/>
        <v/>
      </c>
      <c r="H406" t="str">
        <f t="shared" si="32"/>
        <v/>
      </c>
      <c r="I406" t="str">
        <f t="shared" si="33"/>
        <v/>
      </c>
      <c r="J406" t="str">
        <f t="shared" si="34"/>
        <v/>
      </c>
      <c r="K406" t="str">
        <f>IF($A406="","",IF(COUNTIF($B$2:$B406,$B406)=COUNTIF($B$2:$B$1601,$B406),$B406,""))</f>
        <v/>
      </c>
    </row>
    <row r="407" spans="1:11">
      <c r="A407" t="str">
        <f>IF('TMP Paste'!$E407="","",'TMP Paste'!$E407)</f>
        <v/>
      </c>
      <c r="B407" t="str">
        <f>IF($A407="","",COUNTIF('TMP Paste'!$B$2:$B407,"?*"))</f>
        <v/>
      </c>
      <c r="C407" t="str">
        <f>IF($A407="","",IFERROR('TMP Paste'!$M407*1,0))</f>
        <v/>
      </c>
      <c r="D407" t="str">
        <f>IF($A407="","",SUMIF($B$2:$B407,$B407,$C$2:$C407))</f>
        <v/>
      </c>
      <c r="E407">
        <f>IF($A407="",0,IF('TMP Paste'!$B407="",0,1))</f>
        <v>0</v>
      </c>
      <c r="F407" t="str">
        <f t="shared" si="30"/>
        <v/>
      </c>
      <c r="G407" t="str">
        <f t="shared" si="31"/>
        <v/>
      </c>
      <c r="H407" t="str">
        <f t="shared" si="32"/>
        <v/>
      </c>
      <c r="I407" t="str">
        <f t="shared" si="33"/>
        <v/>
      </c>
      <c r="J407" t="str">
        <f t="shared" si="34"/>
        <v/>
      </c>
      <c r="K407" t="str">
        <f>IF($A407="","",IF(COUNTIF($B$2:$B407,$B407)=COUNTIF($B$2:$B$1601,$B407),$B407,""))</f>
        <v/>
      </c>
    </row>
    <row r="408" spans="1:11">
      <c r="A408" t="str">
        <f>IF('TMP Paste'!$E408="","",'TMP Paste'!$E408)</f>
        <v/>
      </c>
      <c r="B408" t="str">
        <f>IF($A408="","",COUNTIF('TMP Paste'!$B$2:$B408,"?*"))</f>
        <v/>
      </c>
      <c r="C408" t="str">
        <f>IF($A408="","",IFERROR('TMP Paste'!$M408*1,0))</f>
        <v/>
      </c>
      <c r="D408" t="str">
        <f>IF($A408="","",SUMIF($B$2:$B408,$B408,$C$2:$C408))</f>
        <v/>
      </c>
      <c r="E408">
        <f>IF($A408="",0,IF('TMP Paste'!$B408="",0,1))</f>
        <v>0</v>
      </c>
      <c r="F408" t="str">
        <f t="shared" si="30"/>
        <v/>
      </c>
      <c r="G408" t="str">
        <f t="shared" si="31"/>
        <v/>
      </c>
      <c r="H408" t="str">
        <f t="shared" si="32"/>
        <v/>
      </c>
      <c r="I408" t="str">
        <f t="shared" si="33"/>
        <v/>
      </c>
      <c r="J408" t="str">
        <f t="shared" si="34"/>
        <v/>
      </c>
      <c r="K408" t="str">
        <f>IF($A408="","",IF(COUNTIF($B$2:$B408,$B408)=COUNTIF($B$2:$B$1601,$B408),$B408,""))</f>
        <v/>
      </c>
    </row>
    <row r="409" spans="1:11">
      <c r="A409" t="str">
        <f>IF('TMP Paste'!$E409="","",'TMP Paste'!$E409)</f>
        <v/>
      </c>
      <c r="B409" t="str">
        <f>IF($A409="","",COUNTIF('TMP Paste'!$B$2:$B409,"?*"))</f>
        <v/>
      </c>
      <c r="C409" t="str">
        <f>IF($A409="","",IFERROR('TMP Paste'!$M409*1,0))</f>
        <v/>
      </c>
      <c r="D409" t="str">
        <f>IF($A409="","",SUMIF($B$2:$B409,$B409,$C$2:$C409))</f>
        <v/>
      </c>
      <c r="E409">
        <f>IF($A409="",0,IF('TMP Paste'!$B409="",0,1))</f>
        <v>0</v>
      </c>
      <c r="F409" t="str">
        <f t="shared" si="30"/>
        <v/>
      </c>
      <c r="G409" t="str">
        <f t="shared" si="31"/>
        <v/>
      </c>
      <c r="H409" t="str">
        <f t="shared" si="32"/>
        <v/>
      </c>
      <c r="I409" t="str">
        <f t="shared" si="33"/>
        <v/>
      </c>
      <c r="J409" t="str">
        <f t="shared" si="34"/>
        <v/>
      </c>
      <c r="K409" t="str">
        <f>IF($A409="","",IF(COUNTIF($B$2:$B409,$B409)=COUNTIF($B$2:$B$1601,$B409),$B409,""))</f>
        <v/>
      </c>
    </row>
    <row r="410" spans="1:11">
      <c r="A410" t="str">
        <f>IF('TMP Paste'!$E410="","",'TMP Paste'!$E410)</f>
        <v/>
      </c>
      <c r="B410" t="str">
        <f>IF($A410="","",COUNTIF('TMP Paste'!$B$2:$B410,"?*"))</f>
        <v/>
      </c>
      <c r="C410" t="str">
        <f>IF($A410="","",IFERROR('TMP Paste'!$M410*1,0))</f>
        <v/>
      </c>
      <c r="D410" t="str">
        <f>IF($A410="","",SUMIF($B$2:$B410,$B410,$C$2:$C410))</f>
        <v/>
      </c>
      <c r="E410">
        <f>IF($A410="",0,IF('TMP Paste'!$B410="",0,1))</f>
        <v>0</v>
      </c>
      <c r="F410" t="str">
        <f t="shared" si="30"/>
        <v/>
      </c>
      <c r="G410" t="str">
        <f t="shared" si="31"/>
        <v/>
      </c>
      <c r="H410" t="str">
        <f t="shared" si="32"/>
        <v/>
      </c>
      <c r="I410" t="str">
        <f t="shared" si="33"/>
        <v/>
      </c>
      <c r="J410" t="str">
        <f t="shared" si="34"/>
        <v/>
      </c>
      <c r="K410" t="str">
        <f>IF($A410="","",IF(COUNTIF($B$2:$B410,$B410)=COUNTIF($B$2:$B$1601,$B410),$B410,""))</f>
        <v/>
      </c>
    </row>
    <row r="411" spans="1:11">
      <c r="A411" t="str">
        <f>IF('TMP Paste'!$E411="","",'TMP Paste'!$E411)</f>
        <v/>
      </c>
      <c r="B411" t="str">
        <f>IF($A411="","",COUNTIF('TMP Paste'!$B$2:$B411,"?*"))</f>
        <v/>
      </c>
      <c r="C411" t="str">
        <f>IF($A411="","",IFERROR('TMP Paste'!$M411*1,0))</f>
        <v/>
      </c>
      <c r="D411" t="str">
        <f>IF($A411="","",SUMIF($B$2:$B411,$B411,$C$2:$C411))</f>
        <v/>
      </c>
      <c r="E411">
        <f>IF($A411="",0,IF('TMP Paste'!$B411="",0,1))</f>
        <v>0</v>
      </c>
      <c r="F411" t="str">
        <f t="shared" si="30"/>
        <v/>
      </c>
      <c r="G411" t="str">
        <f t="shared" si="31"/>
        <v/>
      </c>
      <c r="H411" t="str">
        <f t="shared" si="32"/>
        <v/>
      </c>
      <c r="I411" t="str">
        <f t="shared" si="33"/>
        <v/>
      </c>
      <c r="J411" t="str">
        <f t="shared" si="34"/>
        <v/>
      </c>
      <c r="K411" t="str">
        <f>IF($A411="","",IF(COUNTIF($B$2:$B411,$B411)=COUNTIF($B$2:$B$1601,$B411),$B411,""))</f>
        <v/>
      </c>
    </row>
    <row r="412" spans="1:11">
      <c r="A412" t="str">
        <f>IF('TMP Paste'!$E412="","",'TMP Paste'!$E412)</f>
        <v/>
      </c>
      <c r="B412" t="str">
        <f>IF($A412="","",COUNTIF('TMP Paste'!$B$2:$B412,"?*"))</f>
        <v/>
      </c>
      <c r="C412" t="str">
        <f>IF($A412="","",IFERROR('TMP Paste'!$M412*1,0))</f>
        <v/>
      </c>
      <c r="D412" t="str">
        <f>IF($A412="","",SUMIF($B$2:$B412,$B412,$C$2:$C412))</f>
        <v/>
      </c>
      <c r="E412">
        <f>IF($A412="",0,IF('TMP Paste'!$B412="",0,1))</f>
        <v>0</v>
      </c>
      <c r="F412" t="str">
        <f t="shared" si="30"/>
        <v/>
      </c>
      <c r="G412" t="str">
        <f t="shared" si="31"/>
        <v/>
      </c>
      <c r="H412" t="str">
        <f t="shared" si="32"/>
        <v/>
      </c>
      <c r="I412" t="str">
        <f t="shared" si="33"/>
        <v/>
      </c>
      <c r="J412" t="str">
        <f t="shared" si="34"/>
        <v/>
      </c>
      <c r="K412" t="str">
        <f>IF($A412="","",IF(COUNTIF($B$2:$B412,$B412)=COUNTIF($B$2:$B$1601,$B412),$B412,""))</f>
        <v/>
      </c>
    </row>
    <row r="413" spans="1:11">
      <c r="A413" t="str">
        <f>IF('TMP Paste'!$E413="","",'TMP Paste'!$E413)</f>
        <v/>
      </c>
      <c r="B413" t="str">
        <f>IF($A413="","",COUNTIF('TMP Paste'!$B$2:$B413,"?*"))</f>
        <v/>
      </c>
      <c r="C413" t="str">
        <f>IF($A413="","",IFERROR('TMP Paste'!$M413*1,0))</f>
        <v/>
      </c>
      <c r="D413" t="str">
        <f>IF($A413="","",SUMIF($B$2:$B413,$B413,$C$2:$C413))</f>
        <v/>
      </c>
      <c r="E413">
        <f>IF($A413="",0,IF('TMP Paste'!$B413="",0,1))</f>
        <v>0</v>
      </c>
      <c r="F413" t="str">
        <f t="shared" si="30"/>
        <v/>
      </c>
      <c r="G413" t="str">
        <f t="shared" si="31"/>
        <v/>
      </c>
      <c r="H413" t="str">
        <f t="shared" si="32"/>
        <v/>
      </c>
      <c r="I413" t="str">
        <f t="shared" si="33"/>
        <v/>
      </c>
      <c r="J413" t="str">
        <f t="shared" si="34"/>
        <v/>
      </c>
      <c r="K413" t="str">
        <f>IF($A413="","",IF(COUNTIF($B$2:$B413,$B413)=COUNTIF($B$2:$B$1601,$B413),$B413,""))</f>
        <v/>
      </c>
    </row>
    <row r="414" spans="1:11">
      <c r="A414" t="str">
        <f>IF('TMP Paste'!$E414="","",'TMP Paste'!$E414)</f>
        <v/>
      </c>
      <c r="B414" t="str">
        <f>IF($A414="","",COUNTIF('TMP Paste'!$B$2:$B414,"?*"))</f>
        <v/>
      </c>
      <c r="C414" t="str">
        <f>IF($A414="","",IFERROR('TMP Paste'!$M414*1,0))</f>
        <v/>
      </c>
      <c r="D414" t="str">
        <f>IF($A414="","",SUMIF($B$2:$B414,$B414,$C$2:$C414))</f>
        <v/>
      </c>
      <c r="E414">
        <f>IF($A414="",0,IF('TMP Paste'!$B414="",0,1))</f>
        <v>0</v>
      </c>
      <c r="F414" t="str">
        <f t="shared" si="30"/>
        <v/>
      </c>
      <c r="G414" t="str">
        <f t="shared" si="31"/>
        <v/>
      </c>
      <c r="H414" t="str">
        <f t="shared" si="32"/>
        <v/>
      </c>
      <c r="I414" t="str">
        <f t="shared" si="33"/>
        <v/>
      </c>
      <c r="J414" t="str">
        <f t="shared" si="34"/>
        <v/>
      </c>
      <c r="K414" t="str">
        <f>IF($A414="","",IF(COUNTIF($B$2:$B414,$B414)=COUNTIF($B$2:$B$1601,$B414),$B414,""))</f>
        <v/>
      </c>
    </row>
    <row r="415" spans="1:11">
      <c r="A415" t="str">
        <f>IF('TMP Paste'!$E415="","",'TMP Paste'!$E415)</f>
        <v/>
      </c>
      <c r="B415" t="str">
        <f>IF($A415="","",COUNTIF('TMP Paste'!$B$2:$B415,"?*"))</f>
        <v/>
      </c>
      <c r="C415" t="str">
        <f>IF($A415="","",IFERROR('TMP Paste'!$M415*1,0))</f>
        <v/>
      </c>
      <c r="D415" t="str">
        <f>IF($A415="","",SUMIF($B$2:$B415,$B415,$C$2:$C415))</f>
        <v/>
      </c>
      <c r="E415">
        <f>IF($A415="",0,IF('TMP Paste'!$B415="",0,1))</f>
        <v>0</v>
      </c>
      <c r="F415" t="str">
        <f t="shared" si="30"/>
        <v/>
      </c>
      <c r="G415" t="str">
        <f t="shared" si="31"/>
        <v/>
      </c>
      <c r="H415" t="str">
        <f t="shared" si="32"/>
        <v/>
      </c>
      <c r="I415" t="str">
        <f t="shared" si="33"/>
        <v/>
      </c>
      <c r="J415" t="str">
        <f t="shared" si="34"/>
        <v/>
      </c>
      <c r="K415" t="str">
        <f>IF($A415="","",IF(COUNTIF($B$2:$B415,$B415)=COUNTIF($B$2:$B$1601,$B415),$B415,""))</f>
        <v/>
      </c>
    </row>
    <row r="416" spans="1:11">
      <c r="A416" t="str">
        <f>IF('TMP Paste'!$E416="","",'TMP Paste'!$E416)</f>
        <v/>
      </c>
      <c r="B416" t="str">
        <f>IF($A416="","",COUNTIF('TMP Paste'!$B$2:$B416,"?*"))</f>
        <v/>
      </c>
      <c r="C416" t="str">
        <f>IF($A416="","",IFERROR('TMP Paste'!$M416*1,0))</f>
        <v/>
      </c>
      <c r="D416" t="str">
        <f>IF($A416="","",SUMIF($B$2:$B416,$B416,$C$2:$C416))</f>
        <v/>
      </c>
      <c r="E416">
        <f>IF($A416="",0,IF('TMP Paste'!$B416="",0,1))</f>
        <v>0</v>
      </c>
      <c r="F416" t="str">
        <f t="shared" si="30"/>
        <v/>
      </c>
      <c r="G416" t="str">
        <f t="shared" si="31"/>
        <v/>
      </c>
      <c r="H416" t="str">
        <f t="shared" si="32"/>
        <v/>
      </c>
      <c r="I416" t="str">
        <f t="shared" si="33"/>
        <v/>
      </c>
      <c r="J416" t="str">
        <f t="shared" si="34"/>
        <v/>
      </c>
      <c r="K416" t="str">
        <f>IF($A416="","",IF(COUNTIF($B$2:$B416,$B416)=COUNTIF($B$2:$B$1601,$B416),$B416,""))</f>
        <v/>
      </c>
    </row>
    <row r="417" spans="1:11">
      <c r="A417" t="str">
        <f>IF('TMP Paste'!$E417="","",'TMP Paste'!$E417)</f>
        <v/>
      </c>
      <c r="B417" t="str">
        <f>IF($A417="","",COUNTIF('TMP Paste'!$B$2:$B417,"?*"))</f>
        <v/>
      </c>
      <c r="C417" t="str">
        <f>IF($A417="","",IFERROR('TMP Paste'!$M417*1,0))</f>
        <v/>
      </c>
      <c r="D417" t="str">
        <f>IF($A417="","",SUMIF($B$2:$B417,$B417,$C$2:$C417))</f>
        <v/>
      </c>
      <c r="E417">
        <f>IF($A417="",0,IF('TMP Paste'!$B417="",0,1))</f>
        <v>0</v>
      </c>
      <c r="F417" t="str">
        <f t="shared" si="30"/>
        <v/>
      </c>
      <c r="G417" t="str">
        <f t="shared" si="31"/>
        <v/>
      </c>
      <c r="H417" t="str">
        <f t="shared" si="32"/>
        <v/>
      </c>
      <c r="I417" t="str">
        <f t="shared" si="33"/>
        <v/>
      </c>
      <c r="J417" t="str">
        <f t="shared" si="34"/>
        <v/>
      </c>
      <c r="K417" t="str">
        <f>IF($A417="","",IF(COUNTIF($B$2:$B417,$B417)=COUNTIF($B$2:$B$1601,$B417),$B417,""))</f>
        <v/>
      </c>
    </row>
    <row r="418" spans="1:11">
      <c r="A418" t="str">
        <f>IF('TMP Paste'!$E418="","",'TMP Paste'!$E418)</f>
        <v/>
      </c>
      <c r="B418" t="str">
        <f>IF($A418="","",COUNTIF('TMP Paste'!$B$2:$B418,"?*"))</f>
        <v/>
      </c>
      <c r="C418" t="str">
        <f>IF($A418="","",IFERROR('TMP Paste'!$M418*1,0))</f>
        <v/>
      </c>
      <c r="D418" t="str">
        <f>IF($A418="","",SUMIF($B$2:$B418,$B418,$C$2:$C418))</f>
        <v/>
      </c>
      <c r="E418">
        <f>IF($A418="",0,IF('TMP Paste'!$B418="",0,1))</f>
        <v>0</v>
      </c>
      <c r="F418" t="str">
        <f t="shared" si="30"/>
        <v/>
      </c>
      <c r="G418" t="str">
        <f t="shared" si="31"/>
        <v/>
      </c>
      <c r="H418" t="str">
        <f t="shared" si="32"/>
        <v/>
      </c>
      <c r="I418" t="str">
        <f t="shared" si="33"/>
        <v/>
      </c>
      <c r="J418" t="str">
        <f t="shared" si="34"/>
        <v/>
      </c>
      <c r="K418" t="str">
        <f>IF($A418="","",IF(COUNTIF($B$2:$B418,$B418)=COUNTIF($B$2:$B$1601,$B418),$B418,""))</f>
        <v/>
      </c>
    </row>
    <row r="419" spans="1:11">
      <c r="A419" t="str">
        <f>IF('TMP Paste'!$E419="","",'TMP Paste'!$E419)</f>
        <v/>
      </c>
      <c r="B419" t="str">
        <f>IF($A419="","",COUNTIF('TMP Paste'!$B$2:$B419,"?*"))</f>
        <v/>
      </c>
      <c r="C419" t="str">
        <f>IF($A419="","",IFERROR('TMP Paste'!$M419*1,0))</f>
        <v/>
      </c>
      <c r="D419" t="str">
        <f>IF($A419="","",SUMIF($B$2:$B419,$B419,$C$2:$C419))</f>
        <v/>
      </c>
      <c r="E419">
        <f>IF($A419="",0,IF('TMP Paste'!$B419="",0,1))</f>
        <v>0</v>
      </c>
      <c r="F419" t="str">
        <f t="shared" si="30"/>
        <v/>
      </c>
      <c r="G419" t="str">
        <f t="shared" si="31"/>
        <v/>
      </c>
      <c r="H419" t="str">
        <f t="shared" si="32"/>
        <v/>
      </c>
      <c r="I419" t="str">
        <f t="shared" si="33"/>
        <v/>
      </c>
      <c r="J419" t="str">
        <f t="shared" si="34"/>
        <v/>
      </c>
      <c r="K419" t="str">
        <f>IF($A419="","",IF(COUNTIF($B$2:$B419,$B419)=COUNTIF($B$2:$B$1601,$B419),$B419,""))</f>
        <v/>
      </c>
    </row>
    <row r="420" spans="1:11">
      <c r="A420" t="str">
        <f>IF('TMP Paste'!$E420="","",'TMP Paste'!$E420)</f>
        <v/>
      </c>
      <c r="B420" t="str">
        <f>IF($A420="","",COUNTIF('TMP Paste'!$B$2:$B420,"?*"))</f>
        <v/>
      </c>
      <c r="C420" t="str">
        <f>IF($A420="","",IFERROR('TMP Paste'!$M420*1,0))</f>
        <v/>
      </c>
      <c r="D420" t="str">
        <f>IF($A420="","",SUMIF($B$2:$B420,$B420,$C$2:$C420))</f>
        <v/>
      </c>
      <c r="E420">
        <f>IF($A420="",0,IF('TMP Paste'!$B420="",0,1))</f>
        <v>0</v>
      </c>
      <c r="F420" t="str">
        <f t="shared" si="30"/>
        <v/>
      </c>
      <c r="G420" t="str">
        <f t="shared" si="31"/>
        <v/>
      </c>
      <c r="H420" t="str">
        <f t="shared" si="32"/>
        <v/>
      </c>
      <c r="I420" t="str">
        <f t="shared" si="33"/>
        <v/>
      </c>
      <c r="J420" t="str">
        <f t="shared" si="34"/>
        <v/>
      </c>
      <c r="K420" t="str">
        <f>IF($A420="","",IF(COUNTIF($B$2:$B420,$B420)=COUNTIF($B$2:$B$1601,$B420),$B420,""))</f>
        <v/>
      </c>
    </row>
    <row r="421" spans="1:11">
      <c r="A421" t="str">
        <f>IF('TMP Paste'!$E421="","",'TMP Paste'!$E421)</f>
        <v/>
      </c>
      <c r="B421" t="str">
        <f>IF($A421="","",COUNTIF('TMP Paste'!$B$2:$B421,"?*"))</f>
        <v/>
      </c>
      <c r="C421" t="str">
        <f>IF($A421="","",IFERROR('TMP Paste'!$M421*1,0))</f>
        <v/>
      </c>
      <c r="D421" t="str">
        <f>IF($A421="","",SUMIF($B$2:$B421,$B421,$C$2:$C421))</f>
        <v/>
      </c>
      <c r="E421">
        <f>IF($A421="",0,IF('TMP Paste'!$B421="",0,1))</f>
        <v>0</v>
      </c>
      <c r="F421" t="str">
        <f t="shared" si="30"/>
        <v/>
      </c>
      <c r="G421" t="str">
        <f t="shared" si="31"/>
        <v/>
      </c>
      <c r="H421" t="str">
        <f t="shared" si="32"/>
        <v/>
      </c>
      <c r="I421" t="str">
        <f t="shared" si="33"/>
        <v/>
      </c>
      <c r="J421" t="str">
        <f t="shared" si="34"/>
        <v/>
      </c>
      <c r="K421" t="str">
        <f>IF($A421="","",IF(COUNTIF($B$2:$B421,$B421)=COUNTIF($B$2:$B$1601,$B421),$B421,""))</f>
        <v/>
      </c>
    </row>
    <row r="422" spans="1:11">
      <c r="A422" t="str">
        <f>IF('TMP Paste'!$E422="","",'TMP Paste'!$E422)</f>
        <v/>
      </c>
      <c r="B422" t="str">
        <f>IF($A422="","",COUNTIF('TMP Paste'!$B$2:$B422,"?*"))</f>
        <v/>
      </c>
      <c r="C422" t="str">
        <f>IF($A422="","",IFERROR('TMP Paste'!$M422*1,0))</f>
        <v/>
      </c>
      <c r="D422" t="str">
        <f>IF($A422="","",SUMIF($B$2:$B422,$B422,$C$2:$C422))</f>
        <v/>
      </c>
      <c r="E422">
        <f>IF($A422="",0,IF('TMP Paste'!$B422="",0,1))</f>
        <v>0</v>
      </c>
      <c r="F422" t="str">
        <f t="shared" si="30"/>
        <v/>
      </c>
      <c r="G422" t="str">
        <f t="shared" si="31"/>
        <v/>
      </c>
      <c r="H422" t="str">
        <f t="shared" si="32"/>
        <v/>
      </c>
      <c r="I422" t="str">
        <f t="shared" si="33"/>
        <v/>
      </c>
      <c r="J422" t="str">
        <f t="shared" si="34"/>
        <v/>
      </c>
      <c r="K422" t="str">
        <f>IF($A422="","",IF(COUNTIF($B$2:$B422,$B422)=COUNTIF($B$2:$B$1601,$B422),$B422,""))</f>
        <v/>
      </c>
    </row>
    <row r="423" spans="1:11">
      <c r="A423" t="str">
        <f>IF('TMP Paste'!$E423="","",'TMP Paste'!$E423)</f>
        <v/>
      </c>
      <c r="B423" t="str">
        <f>IF($A423="","",COUNTIF('TMP Paste'!$B$2:$B423,"?*"))</f>
        <v/>
      </c>
      <c r="C423" t="str">
        <f>IF($A423="","",IFERROR('TMP Paste'!$M423*1,0))</f>
        <v/>
      </c>
      <c r="D423" t="str">
        <f>IF($A423="","",SUMIF($B$2:$B423,$B423,$C$2:$C423))</f>
        <v/>
      </c>
      <c r="E423">
        <f>IF($A423="",0,IF('TMP Paste'!$B423="",0,1))</f>
        <v>0</v>
      </c>
      <c r="F423" t="str">
        <f t="shared" si="30"/>
        <v/>
      </c>
      <c r="G423" t="str">
        <f t="shared" si="31"/>
        <v/>
      </c>
      <c r="H423" t="str">
        <f t="shared" si="32"/>
        <v/>
      </c>
      <c r="I423" t="str">
        <f t="shared" si="33"/>
        <v/>
      </c>
      <c r="J423" t="str">
        <f t="shared" si="34"/>
        <v/>
      </c>
      <c r="K423" t="str">
        <f>IF($A423="","",IF(COUNTIF($B$2:$B423,$B423)=COUNTIF($B$2:$B$1601,$B423),$B423,""))</f>
        <v/>
      </c>
    </row>
    <row r="424" spans="1:11">
      <c r="A424" t="str">
        <f>IF('TMP Paste'!$E424="","",'TMP Paste'!$E424)</f>
        <v/>
      </c>
      <c r="B424" t="str">
        <f>IF($A424="","",COUNTIF('TMP Paste'!$B$2:$B424,"?*"))</f>
        <v/>
      </c>
      <c r="C424" t="str">
        <f>IF($A424="","",IFERROR('TMP Paste'!$M424*1,0))</f>
        <v/>
      </c>
      <c r="D424" t="str">
        <f>IF($A424="","",SUMIF($B$2:$B424,$B424,$C$2:$C424))</f>
        <v/>
      </c>
      <c r="E424">
        <f>IF($A424="",0,IF('TMP Paste'!$B424="",0,1))</f>
        <v>0</v>
      </c>
      <c r="F424" t="str">
        <f t="shared" si="30"/>
        <v/>
      </c>
      <c r="G424" t="str">
        <f t="shared" si="31"/>
        <v/>
      </c>
      <c r="H424" t="str">
        <f t="shared" si="32"/>
        <v/>
      </c>
      <c r="I424" t="str">
        <f t="shared" si="33"/>
        <v/>
      </c>
      <c r="J424" t="str">
        <f t="shared" si="34"/>
        <v/>
      </c>
      <c r="K424" t="str">
        <f>IF($A424="","",IF(COUNTIF($B$2:$B424,$B424)=COUNTIF($B$2:$B$1601,$B424),$B424,""))</f>
        <v/>
      </c>
    </row>
    <row r="425" spans="1:11">
      <c r="A425" t="str">
        <f>IF('TMP Paste'!$E425="","",'TMP Paste'!$E425)</f>
        <v/>
      </c>
      <c r="B425" t="str">
        <f>IF($A425="","",COUNTIF('TMP Paste'!$B$2:$B425,"?*"))</f>
        <v/>
      </c>
      <c r="C425" t="str">
        <f>IF($A425="","",IFERROR('TMP Paste'!$M425*1,0))</f>
        <v/>
      </c>
      <c r="D425" t="str">
        <f>IF($A425="","",SUMIF($B$2:$B425,$B425,$C$2:$C425))</f>
        <v/>
      </c>
      <c r="E425">
        <f>IF($A425="",0,IF('TMP Paste'!$B425="",0,1))</f>
        <v>0</v>
      </c>
      <c r="F425" t="str">
        <f t="shared" si="30"/>
        <v/>
      </c>
      <c r="G425" t="str">
        <f t="shared" si="31"/>
        <v/>
      </c>
      <c r="H425" t="str">
        <f t="shared" si="32"/>
        <v/>
      </c>
      <c r="I425" t="str">
        <f t="shared" si="33"/>
        <v/>
      </c>
      <c r="J425" t="str">
        <f t="shared" si="34"/>
        <v/>
      </c>
      <c r="K425" t="str">
        <f>IF($A425="","",IF(COUNTIF($B$2:$B425,$B425)=COUNTIF($B$2:$B$1601,$B425),$B425,""))</f>
        <v/>
      </c>
    </row>
    <row r="426" spans="1:11">
      <c r="A426" t="str">
        <f>IF('TMP Paste'!$E426="","",'TMP Paste'!$E426)</f>
        <v/>
      </c>
      <c r="B426" t="str">
        <f>IF($A426="","",COUNTIF('TMP Paste'!$B$2:$B426,"?*"))</f>
        <v/>
      </c>
      <c r="C426" t="str">
        <f>IF($A426="","",IFERROR('TMP Paste'!$M426*1,0))</f>
        <v/>
      </c>
      <c r="D426" t="str">
        <f>IF($A426="","",SUMIF($B$2:$B426,$B426,$C$2:$C426))</f>
        <v/>
      </c>
      <c r="E426">
        <f>IF($A426="",0,IF('TMP Paste'!$B426="",0,1))</f>
        <v>0</v>
      </c>
      <c r="F426" t="str">
        <f t="shared" si="30"/>
        <v/>
      </c>
      <c r="G426" t="str">
        <f t="shared" si="31"/>
        <v/>
      </c>
      <c r="H426" t="str">
        <f t="shared" si="32"/>
        <v/>
      </c>
      <c r="I426" t="str">
        <f t="shared" si="33"/>
        <v/>
      </c>
      <c r="J426" t="str">
        <f t="shared" si="34"/>
        <v/>
      </c>
      <c r="K426" t="str">
        <f>IF($A426="","",IF(COUNTIF($B$2:$B426,$B426)=COUNTIF($B$2:$B$1601,$B426),$B426,""))</f>
        <v/>
      </c>
    </row>
    <row r="427" spans="1:11">
      <c r="A427" t="str">
        <f>IF('TMP Paste'!$E427="","",'TMP Paste'!$E427)</f>
        <v/>
      </c>
      <c r="B427" t="str">
        <f>IF($A427="","",COUNTIF('TMP Paste'!$B$2:$B427,"?*"))</f>
        <v/>
      </c>
      <c r="C427" t="str">
        <f>IF($A427="","",IFERROR('TMP Paste'!$M427*1,0))</f>
        <v/>
      </c>
      <c r="D427" t="str">
        <f>IF($A427="","",SUMIF($B$2:$B427,$B427,$C$2:$C427))</f>
        <v/>
      </c>
      <c r="E427">
        <f>IF($A427="",0,IF('TMP Paste'!$B427="",0,1))</f>
        <v>0</v>
      </c>
      <c r="F427" t="str">
        <f t="shared" si="30"/>
        <v/>
      </c>
      <c r="G427" t="str">
        <f t="shared" si="31"/>
        <v/>
      </c>
      <c r="H427" t="str">
        <f t="shared" si="32"/>
        <v/>
      </c>
      <c r="I427" t="str">
        <f t="shared" si="33"/>
        <v/>
      </c>
      <c r="J427" t="str">
        <f t="shared" si="34"/>
        <v/>
      </c>
      <c r="K427" t="str">
        <f>IF($A427="","",IF(COUNTIF($B$2:$B427,$B427)=COUNTIF($B$2:$B$1601,$B427),$B427,""))</f>
        <v/>
      </c>
    </row>
    <row r="428" spans="1:11">
      <c r="A428" t="str">
        <f>IF('TMP Paste'!$E428="","",'TMP Paste'!$E428)</f>
        <v/>
      </c>
      <c r="B428" t="str">
        <f>IF($A428="","",COUNTIF('TMP Paste'!$B$2:$B428,"?*"))</f>
        <v/>
      </c>
      <c r="C428" t="str">
        <f>IF($A428="","",IFERROR('TMP Paste'!$M428*1,0))</f>
        <v/>
      </c>
      <c r="D428" t="str">
        <f>IF($A428="","",SUMIF($B$2:$B428,$B428,$C$2:$C428))</f>
        <v/>
      </c>
      <c r="E428">
        <f>IF($A428="",0,IF('TMP Paste'!$B428="",0,1))</f>
        <v>0</v>
      </c>
      <c r="F428" t="str">
        <f t="shared" si="30"/>
        <v/>
      </c>
      <c r="G428" t="str">
        <f t="shared" si="31"/>
        <v/>
      </c>
      <c r="H428" t="str">
        <f t="shared" si="32"/>
        <v/>
      </c>
      <c r="I428" t="str">
        <f t="shared" si="33"/>
        <v/>
      </c>
      <c r="J428" t="str">
        <f t="shared" si="34"/>
        <v/>
      </c>
      <c r="K428" t="str">
        <f>IF($A428="","",IF(COUNTIF($B$2:$B428,$B428)=COUNTIF($B$2:$B$1601,$B428),$B428,""))</f>
        <v/>
      </c>
    </row>
    <row r="429" spans="1:11">
      <c r="A429" t="str">
        <f>IF('TMP Paste'!$E429="","",'TMP Paste'!$E429)</f>
        <v/>
      </c>
      <c r="B429" t="str">
        <f>IF($A429="","",COUNTIF('TMP Paste'!$B$2:$B429,"?*"))</f>
        <v/>
      </c>
      <c r="C429" t="str">
        <f>IF($A429="","",IFERROR('TMP Paste'!$M429*1,0))</f>
        <v/>
      </c>
      <c r="D429" t="str">
        <f>IF($A429="","",SUMIF($B$2:$B429,$B429,$C$2:$C429))</f>
        <v/>
      </c>
      <c r="E429">
        <f>IF($A429="",0,IF('TMP Paste'!$B429="",0,1))</f>
        <v>0</v>
      </c>
      <c r="F429" t="str">
        <f t="shared" si="30"/>
        <v/>
      </c>
      <c r="G429" t="str">
        <f t="shared" si="31"/>
        <v/>
      </c>
      <c r="H429" t="str">
        <f t="shared" si="32"/>
        <v/>
      </c>
      <c r="I429" t="str">
        <f t="shared" si="33"/>
        <v/>
      </c>
      <c r="J429" t="str">
        <f t="shared" si="34"/>
        <v/>
      </c>
      <c r="K429" t="str">
        <f>IF($A429="","",IF(COUNTIF($B$2:$B429,$B429)=COUNTIF($B$2:$B$1601,$B429),$B429,""))</f>
        <v/>
      </c>
    </row>
    <row r="430" spans="1:11">
      <c r="A430" t="str">
        <f>IF('TMP Paste'!$E430="","",'TMP Paste'!$E430)</f>
        <v/>
      </c>
      <c r="B430" t="str">
        <f>IF($A430="","",COUNTIF('TMP Paste'!$B$2:$B430,"?*"))</f>
        <v/>
      </c>
      <c r="C430" t="str">
        <f>IF($A430="","",IFERROR('TMP Paste'!$M430*1,0))</f>
        <v/>
      </c>
      <c r="D430" t="str">
        <f>IF($A430="","",SUMIF($B$2:$B430,$B430,$C$2:$C430))</f>
        <v/>
      </c>
      <c r="E430">
        <f>IF($A430="",0,IF('TMP Paste'!$B430="",0,1))</f>
        <v>0</v>
      </c>
      <c r="F430" t="str">
        <f t="shared" si="30"/>
        <v/>
      </c>
      <c r="G430" t="str">
        <f t="shared" si="31"/>
        <v/>
      </c>
      <c r="H430" t="str">
        <f t="shared" si="32"/>
        <v/>
      </c>
      <c r="I430" t="str">
        <f t="shared" si="33"/>
        <v/>
      </c>
      <c r="J430" t="str">
        <f t="shared" si="34"/>
        <v/>
      </c>
      <c r="K430" t="str">
        <f>IF($A430="","",IF(COUNTIF($B$2:$B430,$B430)=COUNTIF($B$2:$B$1601,$B430),$B430,""))</f>
        <v/>
      </c>
    </row>
    <row r="431" spans="1:11">
      <c r="A431" t="str">
        <f>IF('TMP Paste'!$E431="","",'TMP Paste'!$E431)</f>
        <v/>
      </c>
      <c r="B431" t="str">
        <f>IF($A431="","",COUNTIF('TMP Paste'!$B$2:$B431,"?*"))</f>
        <v/>
      </c>
      <c r="C431" t="str">
        <f>IF($A431="","",IFERROR('TMP Paste'!$M431*1,0))</f>
        <v/>
      </c>
      <c r="D431" t="str">
        <f>IF($A431="","",SUMIF($B$2:$B431,$B431,$C$2:$C431))</f>
        <v/>
      </c>
      <c r="E431">
        <f>IF($A431="",0,IF('TMP Paste'!$B431="",0,1))</f>
        <v>0</v>
      </c>
      <c r="F431" t="str">
        <f t="shared" si="30"/>
        <v/>
      </c>
      <c r="G431" t="str">
        <f t="shared" si="31"/>
        <v/>
      </c>
      <c r="H431" t="str">
        <f t="shared" si="32"/>
        <v/>
      </c>
      <c r="I431" t="str">
        <f t="shared" si="33"/>
        <v/>
      </c>
      <c r="J431" t="str">
        <f t="shared" si="34"/>
        <v/>
      </c>
      <c r="K431" t="str">
        <f>IF($A431="","",IF(COUNTIF($B$2:$B431,$B431)=COUNTIF($B$2:$B$1601,$B431),$B431,""))</f>
        <v/>
      </c>
    </row>
    <row r="432" spans="1:11">
      <c r="A432" t="str">
        <f>IF('TMP Paste'!$E432="","",'TMP Paste'!$E432)</f>
        <v/>
      </c>
      <c r="B432" t="str">
        <f>IF($A432="","",COUNTIF('TMP Paste'!$B$2:$B432,"?*"))</f>
        <v/>
      </c>
      <c r="C432" t="str">
        <f>IF($A432="","",IFERROR('TMP Paste'!$M432*1,0))</f>
        <v/>
      </c>
      <c r="D432" t="str">
        <f>IF($A432="","",SUMIF($B$2:$B432,$B432,$C$2:$C432))</f>
        <v/>
      </c>
      <c r="E432">
        <f>IF($A432="",0,IF('TMP Paste'!$B432="",0,1))</f>
        <v>0</v>
      </c>
      <c r="F432" t="str">
        <f t="shared" si="30"/>
        <v/>
      </c>
      <c r="G432" t="str">
        <f t="shared" si="31"/>
        <v/>
      </c>
      <c r="H432" t="str">
        <f t="shared" si="32"/>
        <v/>
      </c>
      <c r="I432" t="str">
        <f t="shared" si="33"/>
        <v/>
      </c>
      <c r="J432" t="str">
        <f t="shared" si="34"/>
        <v/>
      </c>
      <c r="K432" t="str">
        <f>IF($A432="","",IF(COUNTIF($B$2:$B432,$B432)=COUNTIF($B$2:$B$1601,$B432),$B432,""))</f>
        <v/>
      </c>
    </row>
    <row r="433" spans="1:11">
      <c r="A433" t="str">
        <f>IF('TMP Paste'!$E433="","",'TMP Paste'!$E433)</f>
        <v/>
      </c>
      <c r="B433" t="str">
        <f>IF($A433="","",COUNTIF('TMP Paste'!$B$2:$B433,"?*"))</f>
        <v/>
      </c>
      <c r="C433" t="str">
        <f>IF($A433="","",IFERROR('TMP Paste'!$M433*1,0))</f>
        <v/>
      </c>
      <c r="D433" t="str">
        <f>IF($A433="","",SUMIF($B$2:$B433,$B433,$C$2:$C433))</f>
        <v/>
      </c>
      <c r="E433">
        <f>IF($A433="",0,IF('TMP Paste'!$B433="",0,1))</f>
        <v>0</v>
      </c>
      <c r="F433" t="str">
        <f t="shared" si="30"/>
        <v/>
      </c>
      <c r="G433" t="str">
        <f t="shared" si="31"/>
        <v/>
      </c>
      <c r="H433" t="str">
        <f t="shared" si="32"/>
        <v/>
      </c>
      <c r="I433" t="str">
        <f t="shared" si="33"/>
        <v/>
      </c>
      <c r="J433" t="str">
        <f t="shared" si="34"/>
        <v/>
      </c>
      <c r="K433" t="str">
        <f>IF($A433="","",IF(COUNTIF($B$2:$B433,$B433)=COUNTIF($B$2:$B$1601,$B433),$B433,""))</f>
        <v/>
      </c>
    </row>
    <row r="434" spans="1:11">
      <c r="A434" t="str">
        <f>IF('TMP Paste'!$E434="","",'TMP Paste'!$E434)</f>
        <v/>
      </c>
      <c r="B434" t="str">
        <f>IF($A434="","",COUNTIF('TMP Paste'!$B$2:$B434,"?*"))</f>
        <v/>
      </c>
      <c r="C434" t="str">
        <f>IF($A434="","",IFERROR('TMP Paste'!$M434*1,0))</f>
        <v/>
      </c>
      <c r="D434" t="str">
        <f>IF($A434="","",SUMIF($B$2:$B434,$B434,$C$2:$C434))</f>
        <v/>
      </c>
      <c r="E434">
        <f>IF($A434="",0,IF('TMP Paste'!$B434="",0,1))</f>
        <v>0</v>
      </c>
      <c r="F434" t="str">
        <f t="shared" si="30"/>
        <v/>
      </c>
      <c r="G434" t="str">
        <f t="shared" si="31"/>
        <v/>
      </c>
      <c r="H434" t="str">
        <f t="shared" si="32"/>
        <v/>
      </c>
      <c r="I434" t="str">
        <f t="shared" si="33"/>
        <v/>
      </c>
      <c r="J434" t="str">
        <f t="shared" si="34"/>
        <v/>
      </c>
      <c r="K434" t="str">
        <f>IF($A434="","",IF(COUNTIF($B$2:$B434,$B434)=COUNTIF($B$2:$B$1601,$B434),$B434,""))</f>
        <v/>
      </c>
    </row>
    <row r="435" spans="1:11">
      <c r="A435" t="str">
        <f>IF('TMP Paste'!$E435="","",'TMP Paste'!$E435)</f>
        <v/>
      </c>
      <c r="B435" t="str">
        <f>IF($A435="","",COUNTIF('TMP Paste'!$B$2:$B435,"?*"))</f>
        <v/>
      </c>
      <c r="C435" t="str">
        <f>IF($A435="","",IFERROR('TMP Paste'!$M435*1,0))</f>
        <v/>
      </c>
      <c r="D435" t="str">
        <f>IF($A435="","",SUMIF($B$2:$B435,$B435,$C$2:$C435))</f>
        <v/>
      </c>
      <c r="E435">
        <f>IF($A435="",0,IF('TMP Paste'!$B435="",0,1))</f>
        <v>0</v>
      </c>
      <c r="F435" t="str">
        <f t="shared" si="30"/>
        <v/>
      </c>
      <c r="G435" t="str">
        <f t="shared" si="31"/>
        <v/>
      </c>
      <c r="H435" t="str">
        <f t="shared" si="32"/>
        <v/>
      </c>
      <c r="I435" t="str">
        <f t="shared" si="33"/>
        <v/>
      </c>
      <c r="J435" t="str">
        <f t="shared" si="34"/>
        <v/>
      </c>
      <c r="K435" t="str">
        <f>IF($A435="","",IF(COUNTIF($B$2:$B435,$B435)=COUNTIF($B$2:$B$1601,$B435),$B435,""))</f>
        <v/>
      </c>
    </row>
    <row r="436" spans="1:11">
      <c r="A436" t="str">
        <f>IF('TMP Paste'!$E436="","",'TMP Paste'!$E436)</f>
        <v/>
      </c>
      <c r="B436" t="str">
        <f>IF($A436="","",COUNTIF('TMP Paste'!$B$2:$B436,"?*"))</f>
        <v/>
      </c>
      <c r="C436" t="str">
        <f>IF($A436="","",IFERROR('TMP Paste'!$M436*1,0))</f>
        <v/>
      </c>
      <c r="D436" t="str">
        <f>IF($A436="","",SUMIF($B$2:$B436,$B436,$C$2:$C436))</f>
        <v/>
      </c>
      <c r="E436">
        <f>IF($A436="",0,IF('TMP Paste'!$B436="",0,1))</f>
        <v>0</v>
      </c>
      <c r="F436" t="str">
        <f t="shared" si="30"/>
        <v/>
      </c>
      <c r="G436" t="str">
        <f t="shared" si="31"/>
        <v/>
      </c>
      <c r="H436" t="str">
        <f t="shared" si="32"/>
        <v/>
      </c>
      <c r="I436" t="str">
        <f t="shared" si="33"/>
        <v/>
      </c>
      <c r="J436" t="str">
        <f t="shared" si="34"/>
        <v/>
      </c>
      <c r="K436" t="str">
        <f>IF($A436="","",IF(COUNTIF($B$2:$B436,$B436)=COUNTIF($B$2:$B$1601,$B436),$B436,""))</f>
        <v/>
      </c>
    </row>
    <row r="437" spans="1:11">
      <c r="A437" t="str">
        <f>IF('TMP Paste'!$E437="","",'TMP Paste'!$E437)</f>
        <v/>
      </c>
      <c r="B437" t="str">
        <f>IF($A437="","",COUNTIF('TMP Paste'!$B$2:$B437,"?*"))</f>
        <v/>
      </c>
      <c r="C437" t="str">
        <f>IF($A437="","",IFERROR('TMP Paste'!$M437*1,0))</f>
        <v/>
      </c>
      <c r="D437" t="str">
        <f>IF($A437="","",SUMIF($B$2:$B437,$B437,$C$2:$C437))</f>
        <v/>
      </c>
      <c r="E437">
        <f>IF($A437="",0,IF('TMP Paste'!$B437="",0,1))</f>
        <v>0</v>
      </c>
      <c r="F437" t="str">
        <f t="shared" si="30"/>
        <v/>
      </c>
      <c r="G437" t="str">
        <f t="shared" si="31"/>
        <v/>
      </c>
      <c r="H437" t="str">
        <f t="shared" si="32"/>
        <v/>
      </c>
      <c r="I437" t="str">
        <f t="shared" si="33"/>
        <v/>
      </c>
      <c r="J437" t="str">
        <f t="shared" si="34"/>
        <v/>
      </c>
      <c r="K437" t="str">
        <f>IF($A437="","",IF(COUNTIF($B$2:$B437,$B437)=COUNTIF($B$2:$B$1601,$B437),$B437,""))</f>
        <v/>
      </c>
    </row>
    <row r="438" spans="1:11">
      <c r="A438" t="str">
        <f>IF('TMP Paste'!$E438="","",'TMP Paste'!$E438)</f>
        <v/>
      </c>
      <c r="B438" t="str">
        <f>IF($A438="","",COUNTIF('TMP Paste'!$B$2:$B438,"?*"))</f>
        <v/>
      </c>
      <c r="C438" t="str">
        <f>IF($A438="","",IFERROR('TMP Paste'!$M438*1,0))</f>
        <v/>
      </c>
      <c r="D438" t="str">
        <f>IF($A438="","",SUMIF($B$2:$B438,$B438,$C$2:$C438))</f>
        <v/>
      </c>
      <c r="E438">
        <f>IF($A438="",0,IF('TMP Paste'!$B438="",0,1))</f>
        <v>0</v>
      </c>
      <c r="F438" t="str">
        <f t="shared" si="30"/>
        <v/>
      </c>
      <c r="G438" t="str">
        <f t="shared" si="31"/>
        <v/>
      </c>
      <c r="H438" t="str">
        <f t="shared" si="32"/>
        <v/>
      </c>
      <c r="I438" t="str">
        <f t="shared" si="33"/>
        <v/>
      </c>
      <c r="J438" t="str">
        <f t="shared" si="34"/>
        <v/>
      </c>
      <c r="K438" t="str">
        <f>IF($A438="","",IF(COUNTIF($B$2:$B438,$B438)=COUNTIF($B$2:$B$1601,$B438),$B438,""))</f>
        <v/>
      </c>
    </row>
    <row r="439" spans="1:11">
      <c r="A439" t="str">
        <f>IF('TMP Paste'!$E439="","",'TMP Paste'!$E439)</f>
        <v/>
      </c>
      <c r="B439" t="str">
        <f>IF($A439="","",COUNTIF('TMP Paste'!$B$2:$B439,"?*"))</f>
        <v/>
      </c>
      <c r="C439" t="str">
        <f>IF($A439="","",IFERROR('TMP Paste'!$M439*1,0))</f>
        <v/>
      </c>
      <c r="D439" t="str">
        <f>IF($A439="","",SUMIF($B$2:$B439,$B439,$C$2:$C439))</f>
        <v/>
      </c>
      <c r="E439">
        <f>IF($A439="",0,IF('TMP Paste'!$B439="",0,1))</f>
        <v>0</v>
      </c>
      <c r="F439" t="str">
        <f t="shared" si="30"/>
        <v/>
      </c>
      <c r="G439" t="str">
        <f t="shared" si="31"/>
        <v/>
      </c>
      <c r="H439" t="str">
        <f t="shared" si="32"/>
        <v/>
      </c>
      <c r="I439" t="str">
        <f t="shared" si="33"/>
        <v/>
      </c>
      <c r="J439" t="str">
        <f t="shared" si="34"/>
        <v/>
      </c>
      <c r="K439" t="str">
        <f>IF($A439="","",IF(COUNTIF($B$2:$B439,$B439)=COUNTIF($B$2:$B$1601,$B439),$B439,""))</f>
        <v/>
      </c>
    </row>
    <row r="440" spans="1:11">
      <c r="A440" t="str">
        <f>IF('TMP Paste'!$E440="","",'TMP Paste'!$E440)</f>
        <v/>
      </c>
      <c r="B440" t="str">
        <f>IF($A440="","",COUNTIF('TMP Paste'!$B$2:$B440,"?*"))</f>
        <v/>
      </c>
      <c r="C440" t="str">
        <f>IF($A440="","",IFERROR('TMP Paste'!$M440*1,0))</f>
        <v/>
      </c>
      <c r="D440" t="str">
        <f>IF($A440="","",SUMIF($B$2:$B440,$B440,$C$2:$C440))</f>
        <v/>
      </c>
      <c r="E440">
        <f>IF($A440="",0,IF('TMP Paste'!$B440="",0,1))</f>
        <v>0</v>
      </c>
      <c r="F440" t="str">
        <f t="shared" si="30"/>
        <v/>
      </c>
      <c r="G440" t="str">
        <f t="shared" si="31"/>
        <v/>
      </c>
      <c r="H440" t="str">
        <f t="shared" si="32"/>
        <v/>
      </c>
      <c r="I440" t="str">
        <f t="shared" si="33"/>
        <v/>
      </c>
      <c r="J440" t="str">
        <f t="shared" si="34"/>
        <v/>
      </c>
      <c r="K440" t="str">
        <f>IF($A440="","",IF(COUNTIF($B$2:$B440,$B440)=COUNTIF($B$2:$B$1601,$B440),$B440,""))</f>
        <v/>
      </c>
    </row>
    <row r="441" spans="1:11">
      <c r="A441" t="str">
        <f>IF('TMP Paste'!$E441="","",'TMP Paste'!$E441)</f>
        <v/>
      </c>
      <c r="B441" t="str">
        <f>IF($A441="","",COUNTIF('TMP Paste'!$B$2:$B441,"?*"))</f>
        <v/>
      </c>
      <c r="C441" t="str">
        <f>IF($A441="","",IFERROR('TMP Paste'!$M441*1,0))</f>
        <v/>
      </c>
      <c r="D441" t="str">
        <f>IF($A441="","",SUMIF($B$2:$B441,$B441,$C$2:$C441))</f>
        <v/>
      </c>
      <c r="E441">
        <f>IF($A441="",0,IF('TMP Paste'!$B441="",0,1))</f>
        <v>0</v>
      </c>
      <c r="F441" t="str">
        <f t="shared" si="30"/>
        <v/>
      </c>
      <c r="G441" t="str">
        <f t="shared" si="31"/>
        <v/>
      </c>
      <c r="H441" t="str">
        <f t="shared" si="32"/>
        <v/>
      </c>
      <c r="I441" t="str">
        <f t="shared" si="33"/>
        <v/>
      </c>
      <c r="J441" t="str">
        <f t="shared" si="34"/>
        <v/>
      </c>
      <c r="K441" t="str">
        <f>IF($A441="","",IF(COUNTIF($B$2:$B441,$B441)=COUNTIF($B$2:$B$1601,$B441),$B441,""))</f>
        <v/>
      </c>
    </row>
    <row r="442" spans="1:11">
      <c r="A442" t="str">
        <f>IF('TMP Paste'!$E442="","",'TMP Paste'!$E442)</f>
        <v/>
      </c>
      <c r="B442" t="str">
        <f>IF($A442="","",COUNTIF('TMP Paste'!$B$2:$B442,"?*"))</f>
        <v/>
      </c>
      <c r="C442" t="str">
        <f>IF($A442="","",IFERROR('TMP Paste'!$M442*1,0))</f>
        <v/>
      </c>
      <c r="D442" t="str">
        <f>IF($A442="","",SUMIF($B$2:$B442,$B442,$C$2:$C442))</f>
        <v/>
      </c>
      <c r="E442">
        <f>IF($A442="",0,IF('TMP Paste'!$B442="",0,1))</f>
        <v>0</v>
      </c>
      <c r="F442" t="str">
        <f t="shared" si="30"/>
        <v/>
      </c>
      <c r="G442" t="str">
        <f t="shared" si="31"/>
        <v/>
      </c>
      <c r="H442" t="str">
        <f t="shared" si="32"/>
        <v/>
      </c>
      <c r="I442" t="str">
        <f t="shared" si="33"/>
        <v/>
      </c>
      <c r="J442" t="str">
        <f t="shared" si="34"/>
        <v/>
      </c>
      <c r="K442" t="str">
        <f>IF($A442="","",IF(COUNTIF($B$2:$B442,$B442)=COUNTIF($B$2:$B$1601,$B442),$B442,""))</f>
        <v/>
      </c>
    </row>
    <row r="443" spans="1:11">
      <c r="A443" t="str">
        <f>IF('TMP Paste'!$E443="","",'TMP Paste'!$E443)</f>
        <v/>
      </c>
      <c r="B443" t="str">
        <f>IF($A443="","",COUNTIF('TMP Paste'!$B$2:$B443,"?*"))</f>
        <v/>
      </c>
      <c r="C443" t="str">
        <f>IF($A443="","",IFERROR('TMP Paste'!$M443*1,0))</f>
        <v/>
      </c>
      <c r="D443" t="str">
        <f>IF($A443="","",SUMIF($B$2:$B443,$B443,$C$2:$C443))</f>
        <v/>
      </c>
      <c r="E443">
        <f>IF($A443="",0,IF('TMP Paste'!$B443="",0,1))</f>
        <v>0</v>
      </c>
      <c r="F443" t="str">
        <f t="shared" si="30"/>
        <v/>
      </c>
      <c r="G443" t="str">
        <f t="shared" si="31"/>
        <v/>
      </c>
      <c r="H443" t="str">
        <f t="shared" si="32"/>
        <v/>
      </c>
      <c r="I443" t="str">
        <f t="shared" si="33"/>
        <v/>
      </c>
      <c r="J443" t="str">
        <f t="shared" si="34"/>
        <v/>
      </c>
      <c r="K443" t="str">
        <f>IF($A443="","",IF(COUNTIF($B$2:$B443,$B443)=COUNTIF($B$2:$B$1601,$B443),$B443,""))</f>
        <v/>
      </c>
    </row>
    <row r="444" spans="1:11">
      <c r="A444" t="str">
        <f>IF('TMP Paste'!$E444="","",'TMP Paste'!$E444)</f>
        <v/>
      </c>
      <c r="B444" t="str">
        <f>IF($A444="","",COUNTIF('TMP Paste'!$B$2:$B444,"?*"))</f>
        <v/>
      </c>
      <c r="C444" t="str">
        <f>IF($A444="","",IFERROR('TMP Paste'!$M444*1,0))</f>
        <v/>
      </c>
      <c r="D444" t="str">
        <f>IF($A444="","",SUMIF($B$2:$B444,$B444,$C$2:$C444))</f>
        <v/>
      </c>
      <c r="E444">
        <f>IF($A444="",0,IF('TMP Paste'!$B444="",0,1))</f>
        <v>0</v>
      </c>
      <c r="F444" t="str">
        <f t="shared" si="30"/>
        <v/>
      </c>
      <c r="G444" t="str">
        <f t="shared" si="31"/>
        <v/>
      </c>
      <c r="H444" t="str">
        <f t="shared" si="32"/>
        <v/>
      </c>
      <c r="I444" t="str">
        <f t="shared" si="33"/>
        <v/>
      </c>
      <c r="J444" t="str">
        <f t="shared" si="34"/>
        <v/>
      </c>
      <c r="K444" t="str">
        <f>IF($A444="","",IF(COUNTIF($B$2:$B444,$B444)=COUNTIF($B$2:$B$1601,$B444),$B444,""))</f>
        <v/>
      </c>
    </row>
    <row r="445" spans="1:11">
      <c r="A445" t="str">
        <f>IF('TMP Paste'!$E445="","",'TMP Paste'!$E445)</f>
        <v/>
      </c>
      <c r="B445" t="str">
        <f>IF($A445="","",COUNTIF('TMP Paste'!$B$2:$B445,"?*"))</f>
        <v/>
      </c>
      <c r="C445" t="str">
        <f>IF($A445="","",IFERROR('TMP Paste'!$M445*1,0))</f>
        <v/>
      </c>
      <c r="D445" t="str">
        <f>IF($A445="","",SUMIF($B$2:$B445,$B445,$C$2:$C445))</f>
        <v/>
      </c>
      <c r="E445">
        <f>IF($A445="",0,IF('TMP Paste'!$B445="",0,1))</f>
        <v>0</v>
      </c>
      <c r="F445" t="str">
        <f t="shared" si="30"/>
        <v/>
      </c>
      <c r="G445" t="str">
        <f t="shared" si="31"/>
        <v/>
      </c>
      <c r="H445" t="str">
        <f t="shared" si="32"/>
        <v/>
      </c>
      <c r="I445" t="str">
        <f t="shared" si="33"/>
        <v/>
      </c>
      <c r="J445" t="str">
        <f t="shared" si="34"/>
        <v/>
      </c>
      <c r="K445" t="str">
        <f>IF($A445="","",IF(COUNTIF($B$2:$B445,$B445)=COUNTIF($B$2:$B$1601,$B445),$B445,""))</f>
        <v/>
      </c>
    </row>
    <row r="446" spans="1:11">
      <c r="A446" t="str">
        <f>IF('TMP Paste'!$E446="","",'TMP Paste'!$E446)</f>
        <v/>
      </c>
      <c r="B446" t="str">
        <f>IF($A446="","",COUNTIF('TMP Paste'!$B$2:$B446,"?*"))</f>
        <v/>
      </c>
      <c r="C446" t="str">
        <f>IF($A446="","",IFERROR('TMP Paste'!$M446*1,0))</f>
        <v/>
      </c>
      <c r="D446" t="str">
        <f>IF($A446="","",SUMIF($B$2:$B446,$B446,$C$2:$C446))</f>
        <v/>
      </c>
      <c r="E446">
        <f>IF($A446="",0,IF('TMP Paste'!$B446="",0,1))</f>
        <v>0</v>
      </c>
      <c r="F446" t="str">
        <f t="shared" si="30"/>
        <v/>
      </c>
      <c r="G446" t="str">
        <f t="shared" si="31"/>
        <v/>
      </c>
      <c r="H446" t="str">
        <f t="shared" si="32"/>
        <v/>
      </c>
      <c r="I446" t="str">
        <f t="shared" si="33"/>
        <v/>
      </c>
      <c r="J446" t="str">
        <f t="shared" si="34"/>
        <v/>
      </c>
      <c r="K446" t="str">
        <f>IF($A446="","",IF(COUNTIF($B$2:$B446,$B446)=COUNTIF($B$2:$B$1601,$B446),$B446,""))</f>
        <v/>
      </c>
    </row>
    <row r="447" spans="1:11">
      <c r="A447" t="str">
        <f>IF('TMP Paste'!$E447="","",'TMP Paste'!$E447)</f>
        <v/>
      </c>
      <c r="B447" t="str">
        <f>IF($A447="","",COUNTIF('TMP Paste'!$B$2:$B447,"?*"))</f>
        <v/>
      </c>
      <c r="C447" t="str">
        <f>IF($A447="","",IFERROR('TMP Paste'!$M447*1,0))</f>
        <v/>
      </c>
      <c r="D447" t="str">
        <f>IF($A447="","",SUMIF($B$2:$B447,$B447,$C$2:$C447))</f>
        <v/>
      </c>
      <c r="E447">
        <f>IF($A447="",0,IF('TMP Paste'!$B447="",0,1))</f>
        <v>0</v>
      </c>
      <c r="F447" t="str">
        <f t="shared" si="30"/>
        <v/>
      </c>
      <c r="G447" t="str">
        <f t="shared" si="31"/>
        <v/>
      </c>
      <c r="H447" t="str">
        <f t="shared" si="32"/>
        <v/>
      </c>
      <c r="I447" t="str">
        <f t="shared" si="33"/>
        <v/>
      </c>
      <c r="J447" t="str">
        <f t="shared" si="34"/>
        <v/>
      </c>
      <c r="K447" t="str">
        <f>IF($A447="","",IF(COUNTIF($B$2:$B447,$B447)=COUNTIF($B$2:$B$1601,$B447),$B447,""))</f>
        <v/>
      </c>
    </row>
    <row r="448" spans="1:11">
      <c r="A448" t="str">
        <f>IF('TMP Paste'!$E448="","",'TMP Paste'!$E448)</f>
        <v/>
      </c>
      <c r="B448" t="str">
        <f>IF($A448="","",COUNTIF('TMP Paste'!$B$2:$B448,"?*"))</f>
        <v/>
      </c>
      <c r="C448" t="str">
        <f>IF($A448="","",IFERROR('TMP Paste'!$M448*1,0))</f>
        <v/>
      </c>
      <c r="D448" t="str">
        <f>IF($A448="","",SUMIF($B$2:$B448,$B448,$C$2:$C448))</f>
        <v/>
      </c>
      <c r="E448">
        <f>IF($A448="",0,IF('TMP Paste'!$B448="",0,1))</f>
        <v>0</v>
      </c>
      <c r="F448" t="str">
        <f t="shared" si="30"/>
        <v/>
      </c>
      <c r="G448" t="str">
        <f t="shared" si="31"/>
        <v/>
      </c>
      <c r="H448" t="str">
        <f t="shared" si="32"/>
        <v/>
      </c>
      <c r="I448" t="str">
        <f t="shared" si="33"/>
        <v/>
      </c>
      <c r="J448" t="str">
        <f t="shared" si="34"/>
        <v/>
      </c>
      <c r="K448" t="str">
        <f>IF($A448="","",IF(COUNTIF($B$2:$B448,$B448)=COUNTIF($B$2:$B$1601,$B448),$B448,""))</f>
        <v/>
      </c>
    </row>
    <row r="449" spans="1:11">
      <c r="A449" t="str">
        <f>IF('TMP Paste'!$E449="","",'TMP Paste'!$E449)</f>
        <v/>
      </c>
      <c r="B449" t="str">
        <f>IF($A449="","",COUNTIF('TMP Paste'!$B$2:$B449,"?*"))</f>
        <v/>
      </c>
      <c r="C449" t="str">
        <f>IF($A449="","",IFERROR('TMP Paste'!$M449*1,0))</f>
        <v/>
      </c>
      <c r="D449" t="str">
        <f>IF($A449="","",SUMIF($B$2:$B449,$B449,$C$2:$C449))</f>
        <v/>
      </c>
      <c r="E449">
        <f>IF($A449="",0,IF('TMP Paste'!$B449="",0,1))</f>
        <v>0</v>
      </c>
      <c r="F449" t="str">
        <f t="shared" si="30"/>
        <v/>
      </c>
      <c r="G449" t="str">
        <f t="shared" si="31"/>
        <v/>
      </c>
      <c r="H449" t="str">
        <f t="shared" si="32"/>
        <v/>
      </c>
      <c r="I449" t="str">
        <f t="shared" si="33"/>
        <v/>
      </c>
      <c r="J449" t="str">
        <f t="shared" si="34"/>
        <v/>
      </c>
      <c r="K449" t="str">
        <f>IF($A449="","",IF(COUNTIF($B$2:$B449,$B449)=COUNTIF($B$2:$B$1601,$B449),$B449,""))</f>
        <v/>
      </c>
    </row>
    <row r="450" spans="1:11">
      <c r="A450" t="str">
        <f>IF('TMP Paste'!$E450="","",'TMP Paste'!$E450)</f>
        <v/>
      </c>
      <c r="B450" t="str">
        <f>IF($A450="","",COUNTIF('TMP Paste'!$B$2:$B450,"?*"))</f>
        <v/>
      </c>
      <c r="C450" t="str">
        <f>IF($A450="","",IFERROR('TMP Paste'!$M450*1,0))</f>
        <v/>
      </c>
      <c r="D450" t="str">
        <f>IF($A450="","",SUMIF($B$2:$B450,$B450,$C$2:$C450))</f>
        <v/>
      </c>
      <c r="E450">
        <f>IF($A450="",0,IF('TMP Paste'!$B450="",0,1))</f>
        <v>0</v>
      </c>
      <c r="F450" t="str">
        <f t="shared" ref="F450:F513" si="35">IF(OR($A450="",$C450&lt;1),"",$A450&amp;"-"&amp;TEXT(($D450-$C450+1),"00")&amp;IF($C450&gt;=2,", "&amp;$A450&amp;"-"&amp;TEXT(($D450-$C450+1)+1,"00"),"")&amp;IF($C450&gt;=3,", "&amp;$A450&amp;"-"&amp;TEXT(($D450-$C450+1)+2,"00"),"")&amp;IF($C450&gt;=4,", "&amp;$A450&amp;"-"&amp;TEXT(($D450-$C450+1)+3,"00"),"")&amp;IF($C450&gt;=5,", "&amp;$A450&amp;"-"&amp;TEXT(($D450-$C450+1)+4,"00"),"")&amp;IF($C450&gt;=6,", "&amp;$A450&amp;"-"&amp;TEXT(($D450-$C450+1)+5,"00"),"")&amp;IF($C450&gt;=7,", "&amp;$A450&amp;"-"&amp;TEXT(($D450-$C450+1)+6,"00"),"")&amp;IF($C450&gt;=8,", "&amp;$A450&amp;"-"&amp;TEXT(($D450-$C450+1)+7,"00"),"")&amp;IF($C450&gt;=9,", "&amp;$A450&amp;"-"&amp;TEXT(($D450-$C450+1)+8,"00"),"")&amp;IF($C450&gt;=10,", "&amp;$A450&amp;"-"&amp;TEXT(($D450-$C450+1)+9,"00"),"")&amp;IF($C450&gt;=11,", "&amp;$A450&amp;"-"&amp;TEXT(($D450-$C450+1)+10,"00"),"")&amp;IF($C450&gt;=12,", "&amp;$A450&amp;"-"&amp;TEXT(($D450-$C450+1)+11,"00"),"")&amp;IF($C450&gt;=13,", "&amp;$A450&amp;"-"&amp;TEXT(($D450-$C450+1)+12,"00"),"")&amp;IF($C450&gt;=14,", "&amp;$A450&amp;"-"&amp;TEXT(($D450-$C450+1)+13,"00"),"")&amp;IF($C450&gt;=15,", "&amp;$A450&amp;"-"&amp;TEXT(($D450-$C450+1)+14,"00"),"")&amp;IF($C450&gt;=16,", "&amp;$A450&amp;"-"&amp;TEXT(($D450-$C450+1)+15,"00"),"")&amp;IF($C450&gt;=17,", "&amp;$A450&amp;"-"&amp;TEXT(($D450-$C450+1)+16,"00"),"")&amp;IF($C450&gt;=18,", "&amp;$A450&amp;"-"&amp;TEXT(($D450-$C450+1)+17,"00"),"")&amp;IF($C450&gt;=19,", "&amp;$A450&amp;"-"&amp;TEXT(($D450-$C450+1)+18,"00"),"")&amp;IF($C450&gt;=20,", "&amp;$A450&amp;"-"&amp;TEXT(($D450-$C450+1)+19,"00"),"")&amp;IF($C450&gt;=21,", "&amp;$A450&amp;"-"&amp;TEXT(($D450-$C450+1)+20,"00"),"")&amp;IF($C450&gt;=22,", "&amp;$A450&amp;"-"&amp;TEXT(($D450-$C450+1)+21,"00"),"")&amp;IF($C450&gt;=23,", "&amp;$A450&amp;"-"&amp;TEXT(($D450-$C450+1)+22,"00"),"")&amp;IF($C450&gt;=24,", "&amp;$A450&amp;"-"&amp;TEXT(($D450-$C450+1)+23,"00"),"")&amp;IF($C450&gt;=25,", "&amp;$A450&amp;"-"&amp;TEXT(($D450-$C450+1)+24,"00"),""))</f>
        <v/>
      </c>
      <c r="G450" t="str">
        <f t="shared" ref="G450:G513" si="36">IF($A450="","",IF($E450=1,$F450,IF($F450="",$G449,IF($G449="",$F450,$G449&amp;", "&amp;$F450))))</f>
        <v/>
      </c>
      <c r="H450" t="str">
        <f t="shared" ref="H450:H513" si="37">IF($A450="","",$A450&amp;" ("&amp;$C450&amp;")")</f>
        <v/>
      </c>
      <c r="I450" t="str">
        <f t="shared" ref="I450:I513" si="38">IF($A450="","",IF($E450=1,$H450,$I449&amp;", "&amp;$H450))</f>
        <v/>
      </c>
      <c r="J450" t="str">
        <f t="shared" ref="J450:J513" si="39">IF($A450="","",IF($E450=1,$B450,""))</f>
        <v/>
      </c>
      <c r="K450" t="str">
        <f>IF($A450="","",IF(COUNTIF($B$2:$B450,$B450)=COUNTIF($B$2:$B$1601,$B450),$B450,""))</f>
        <v/>
      </c>
    </row>
    <row r="451" spans="1:11">
      <c r="A451" t="str">
        <f>IF('TMP Paste'!$E451="","",'TMP Paste'!$E451)</f>
        <v/>
      </c>
      <c r="B451" t="str">
        <f>IF($A451="","",COUNTIF('TMP Paste'!$B$2:$B451,"?*"))</f>
        <v/>
      </c>
      <c r="C451" t="str">
        <f>IF($A451="","",IFERROR('TMP Paste'!$M451*1,0))</f>
        <v/>
      </c>
      <c r="D451" t="str">
        <f>IF($A451="","",SUMIF($B$2:$B451,$B451,$C$2:$C451))</f>
        <v/>
      </c>
      <c r="E451">
        <f>IF($A451="",0,IF('TMP Paste'!$B451="",0,1))</f>
        <v>0</v>
      </c>
      <c r="F451" t="str">
        <f t="shared" si="35"/>
        <v/>
      </c>
      <c r="G451" t="str">
        <f t="shared" si="36"/>
        <v/>
      </c>
      <c r="H451" t="str">
        <f t="shared" si="37"/>
        <v/>
      </c>
      <c r="I451" t="str">
        <f t="shared" si="38"/>
        <v/>
      </c>
      <c r="J451" t="str">
        <f t="shared" si="39"/>
        <v/>
      </c>
      <c r="K451" t="str">
        <f>IF($A451="","",IF(COUNTIF($B$2:$B451,$B451)=COUNTIF($B$2:$B$1601,$B451),$B451,""))</f>
        <v/>
      </c>
    </row>
    <row r="452" spans="1:11">
      <c r="A452" t="str">
        <f>IF('TMP Paste'!$E452="","",'TMP Paste'!$E452)</f>
        <v/>
      </c>
      <c r="B452" t="str">
        <f>IF($A452="","",COUNTIF('TMP Paste'!$B$2:$B452,"?*"))</f>
        <v/>
      </c>
      <c r="C452" t="str">
        <f>IF($A452="","",IFERROR('TMP Paste'!$M452*1,0))</f>
        <v/>
      </c>
      <c r="D452" t="str">
        <f>IF($A452="","",SUMIF($B$2:$B452,$B452,$C$2:$C452))</f>
        <v/>
      </c>
      <c r="E452">
        <f>IF($A452="",0,IF('TMP Paste'!$B452="",0,1))</f>
        <v>0</v>
      </c>
      <c r="F452" t="str">
        <f t="shared" si="35"/>
        <v/>
      </c>
      <c r="G452" t="str">
        <f t="shared" si="36"/>
        <v/>
      </c>
      <c r="H452" t="str">
        <f t="shared" si="37"/>
        <v/>
      </c>
      <c r="I452" t="str">
        <f t="shared" si="38"/>
        <v/>
      </c>
      <c r="J452" t="str">
        <f t="shared" si="39"/>
        <v/>
      </c>
      <c r="K452" t="str">
        <f>IF($A452="","",IF(COUNTIF($B$2:$B452,$B452)=COUNTIF($B$2:$B$1601,$B452),$B452,""))</f>
        <v/>
      </c>
    </row>
    <row r="453" spans="1:11">
      <c r="A453" t="str">
        <f>IF('TMP Paste'!$E453="","",'TMP Paste'!$E453)</f>
        <v/>
      </c>
      <c r="B453" t="str">
        <f>IF($A453="","",COUNTIF('TMP Paste'!$B$2:$B453,"?*"))</f>
        <v/>
      </c>
      <c r="C453" t="str">
        <f>IF($A453="","",IFERROR('TMP Paste'!$M453*1,0))</f>
        <v/>
      </c>
      <c r="D453" t="str">
        <f>IF($A453="","",SUMIF($B$2:$B453,$B453,$C$2:$C453))</f>
        <v/>
      </c>
      <c r="E453">
        <f>IF($A453="",0,IF('TMP Paste'!$B453="",0,1))</f>
        <v>0</v>
      </c>
      <c r="F453" t="str">
        <f t="shared" si="35"/>
        <v/>
      </c>
      <c r="G453" t="str">
        <f t="shared" si="36"/>
        <v/>
      </c>
      <c r="H453" t="str">
        <f t="shared" si="37"/>
        <v/>
      </c>
      <c r="I453" t="str">
        <f t="shared" si="38"/>
        <v/>
      </c>
      <c r="J453" t="str">
        <f t="shared" si="39"/>
        <v/>
      </c>
      <c r="K453" t="str">
        <f>IF($A453="","",IF(COUNTIF($B$2:$B453,$B453)=COUNTIF($B$2:$B$1601,$B453),$B453,""))</f>
        <v/>
      </c>
    </row>
    <row r="454" spans="1:11">
      <c r="A454" t="str">
        <f>IF('TMP Paste'!$E454="","",'TMP Paste'!$E454)</f>
        <v/>
      </c>
      <c r="B454" t="str">
        <f>IF($A454="","",COUNTIF('TMP Paste'!$B$2:$B454,"?*"))</f>
        <v/>
      </c>
      <c r="C454" t="str">
        <f>IF($A454="","",IFERROR('TMP Paste'!$M454*1,0))</f>
        <v/>
      </c>
      <c r="D454" t="str">
        <f>IF($A454="","",SUMIF($B$2:$B454,$B454,$C$2:$C454))</f>
        <v/>
      </c>
      <c r="E454">
        <f>IF($A454="",0,IF('TMP Paste'!$B454="",0,1))</f>
        <v>0</v>
      </c>
      <c r="F454" t="str">
        <f t="shared" si="35"/>
        <v/>
      </c>
      <c r="G454" t="str">
        <f t="shared" si="36"/>
        <v/>
      </c>
      <c r="H454" t="str">
        <f t="shared" si="37"/>
        <v/>
      </c>
      <c r="I454" t="str">
        <f t="shared" si="38"/>
        <v/>
      </c>
      <c r="J454" t="str">
        <f t="shared" si="39"/>
        <v/>
      </c>
      <c r="K454" t="str">
        <f>IF($A454="","",IF(COUNTIF($B$2:$B454,$B454)=COUNTIF($B$2:$B$1601,$B454),$B454,""))</f>
        <v/>
      </c>
    </row>
    <row r="455" spans="1:11">
      <c r="A455" t="str">
        <f>IF('TMP Paste'!$E455="","",'TMP Paste'!$E455)</f>
        <v/>
      </c>
      <c r="B455" t="str">
        <f>IF($A455="","",COUNTIF('TMP Paste'!$B$2:$B455,"?*"))</f>
        <v/>
      </c>
      <c r="C455" t="str">
        <f>IF($A455="","",IFERROR('TMP Paste'!$M455*1,0))</f>
        <v/>
      </c>
      <c r="D455" t="str">
        <f>IF($A455="","",SUMIF($B$2:$B455,$B455,$C$2:$C455))</f>
        <v/>
      </c>
      <c r="E455">
        <f>IF($A455="",0,IF('TMP Paste'!$B455="",0,1))</f>
        <v>0</v>
      </c>
      <c r="F455" t="str">
        <f t="shared" si="35"/>
        <v/>
      </c>
      <c r="G455" t="str">
        <f t="shared" si="36"/>
        <v/>
      </c>
      <c r="H455" t="str">
        <f t="shared" si="37"/>
        <v/>
      </c>
      <c r="I455" t="str">
        <f t="shared" si="38"/>
        <v/>
      </c>
      <c r="J455" t="str">
        <f t="shared" si="39"/>
        <v/>
      </c>
      <c r="K455" t="str">
        <f>IF($A455="","",IF(COUNTIF($B$2:$B455,$B455)=COUNTIF($B$2:$B$1601,$B455),$B455,""))</f>
        <v/>
      </c>
    </row>
    <row r="456" spans="1:11">
      <c r="A456" t="str">
        <f>IF('TMP Paste'!$E456="","",'TMP Paste'!$E456)</f>
        <v/>
      </c>
      <c r="B456" t="str">
        <f>IF($A456="","",COUNTIF('TMP Paste'!$B$2:$B456,"?*"))</f>
        <v/>
      </c>
      <c r="C456" t="str">
        <f>IF($A456="","",IFERROR('TMP Paste'!$M456*1,0))</f>
        <v/>
      </c>
      <c r="D456" t="str">
        <f>IF($A456="","",SUMIF($B$2:$B456,$B456,$C$2:$C456))</f>
        <v/>
      </c>
      <c r="E456">
        <f>IF($A456="",0,IF('TMP Paste'!$B456="",0,1))</f>
        <v>0</v>
      </c>
      <c r="F456" t="str">
        <f t="shared" si="35"/>
        <v/>
      </c>
      <c r="G456" t="str">
        <f t="shared" si="36"/>
        <v/>
      </c>
      <c r="H456" t="str">
        <f t="shared" si="37"/>
        <v/>
      </c>
      <c r="I456" t="str">
        <f t="shared" si="38"/>
        <v/>
      </c>
      <c r="J456" t="str">
        <f t="shared" si="39"/>
        <v/>
      </c>
      <c r="K456" t="str">
        <f>IF($A456="","",IF(COUNTIF($B$2:$B456,$B456)=COUNTIF($B$2:$B$1601,$B456),$B456,""))</f>
        <v/>
      </c>
    </row>
    <row r="457" spans="1:11">
      <c r="A457" t="str">
        <f>IF('TMP Paste'!$E457="","",'TMP Paste'!$E457)</f>
        <v/>
      </c>
      <c r="B457" t="str">
        <f>IF($A457="","",COUNTIF('TMP Paste'!$B$2:$B457,"?*"))</f>
        <v/>
      </c>
      <c r="C457" t="str">
        <f>IF($A457="","",IFERROR('TMP Paste'!$M457*1,0))</f>
        <v/>
      </c>
      <c r="D457" t="str">
        <f>IF($A457="","",SUMIF($B$2:$B457,$B457,$C$2:$C457))</f>
        <v/>
      </c>
      <c r="E457">
        <f>IF($A457="",0,IF('TMP Paste'!$B457="",0,1))</f>
        <v>0</v>
      </c>
      <c r="F457" t="str">
        <f t="shared" si="35"/>
        <v/>
      </c>
      <c r="G457" t="str">
        <f t="shared" si="36"/>
        <v/>
      </c>
      <c r="H457" t="str">
        <f t="shared" si="37"/>
        <v/>
      </c>
      <c r="I457" t="str">
        <f t="shared" si="38"/>
        <v/>
      </c>
      <c r="J457" t="str">
        <f t="shared" si="39"/>
        <v/>
      </c>
      <c r="K457" t="str">
        <f>IF($A457="","",IF(COUNTIF($B$2:$B457,$B457)=COUNTIF($B$2:$B$1601,$B457),$B457,""))</f>
        <v/>
      </c>
    </row>
    <row r="458" spans="1:11">
      <c r="A458" t="str">
        <f>IF('TMP Paste'!$E458="","",'TMP Paste'!$E458)</f>
        <v/>
      </c>
      <c r="B458" t="str">
        <f>IF($A458="","",COUNTIF('TMP Paste'!$B$2:$B458,"?*"))</f>
        <v/>
      </c>
      <c r="C458" t="str">
        <f>IF($A458="","",IFERROR('TMP Paste'!$M458*1,0))</f>
        <v/>
      </c>
      <c r="D458" t="str">
        <f>IF($A458="","",SUMIF($B$2:$B458,$B458,$C$2:$C458))</f>
        <v/>
      </c>
      <c r="E458">
        <f>IF($A458="",0,IF('TMP Paste'!$B458="",0,1))</f>
        <v>0</v>
      </c>
      <c r="F458" t="str">
        <f t="shared" si="35"/>
        <v/>
      </c>
      <c r="G458" t="str">
        <f t="shared" si="36"/>
        <v/>
      </c>
      <c r="H458" t="str">
        <f t="shared" si="37"/>
        <v/>
      </c>
      <c r="I458" t="str">
        <f t="shared" si="38"/>
        <v/>
      </c>
      <c r="J458" t="str">
        <f t="shared" si="39"/>
        <v/>
      </c>
      <c r="K458" t="str">
        <f>IF($A458="","",IF(COUNTIF($B$2:$B458,$B458)=COUNTIF($B$2:$B$1601,$B458),$B458,""))</f>
        <v/>
      </c>
    </row>
    <row r="459" spans="1:11">
      <c r="A459" t="str">
        <f>IF('TMP Paste'!$E459="","",'TMP Paste'!$E459)</f>
        <v/>
      </c>
      <c r="B459" t="str">
        <f>IF($A459="","",COUNTIF('TMP Paste'!$B$2:$B459,"?*"))</f>
        <v/>
      </c>
      <c r="C459" t="str">
        <f>IF($A459="","",IFERROR('TMP Paste'!$M459*1,0))</f>
        <v/>
      </c>
      <c r="D459" t="str">
        <f>IF($A459="","",SUMIF($B$2:$B459,$B459,$C$2:$C459))</f>
        <v/>
      </c>
      <c r="E459">
        <f>IF($A459="",0,IF('TMP Paste'!$B459="",0,1))</f>
        <v>0</v>
      </c>
      <c r="F459" t="str">
        <f t="shared" si="35"/>
        <v/>
      </c>
      <c r="G459" t="str">
        <f t="shared" si="36"/>
        <v/>
      </c>
      <c r="H459" t="str">
        <f t="shared" si="37"/>
        <v/>
      </c>
      <c r="I459" t="str">
        <f t="shared" si="38"/>
        <v/>
      </c>
      <c r="J459" t="str">
        <f t="shared" si="39"/>
        <v/>
      </c>
      <c r="K459" t="str">
        <f>IF($A459="","",IF(COUNTIF($B$2:$B459,$B459)=COUNTIF($B$2:$B$1601,$B459),$B459,""))</f>
        <v/>
      </c>
    </row>
    <row r="460" spans="1:11">
      <c r="A460" t="str">
        <f>IF('TMP Paste'!$E460="","",'TMP Paste'!$E460)</f>
        <v/>
      </c>
      <c r="B460" t="str">
        <f>IF($A460="","",COUNTIF('TMP Paste'!$B$2:$B460,"?*"))</f>
        <v/>
      </c>
      <c r="C460" t="str">
        <f>IF($A460="","",IFERROR('TMP Paste'!$M460*1,0))</f>
        <v/>
      </c>
      <c r="D460" t="str">
        <f>IF($A460="","",SUMIF($B$2:$B460,$B460,$C$2:$C460))</f>
        <v/>
      </c>
      <c r="E460">
        <f>IF($A460="",0,IF('TMP Paste'!$B460="",0,1))</f>
        <v>0</v>
      </c>
      <c r="F460" t="str">
        <f t="shared" si="35"/>
        <v/>
      </c>
      <c r="G460" t="str">
        <f t="shared" si="36"/>
        <v/>
      </c>
      <c r="H460" t="str">
        <f t="shared" si="37"/>
        <v/>
      </c>
      <c r="I460" t="str">
        <f t="shared" si="38"/>
        <v/>
      </c>
      <c r="J460" t="str">
        <f t="shared" si="39"/>
        <v/>
      </c>
      <c r="K460" t="str">
        <f>IF($A460="","",IF(COUNTIF($B$2:$B460,$B460)=COUNTIF($B$2:$B$1601,$B460),$B460,""))</f>
        <v/>
      </c>
    </row>
    <row r="461" spans="1:11">
      <c r="A461" t="str">
        <f>IF('TMP Paste'!$E461="","",'TMP Paste'!$E461)</f>
        <v/>
      </c>
      <c r="B461" t="str">
        <f>IF($A461="","",COUNTIF('TMP Paste'!$B$2:$B461,"?*"))</f>
        <v/>
      </c>
      <c r="C461" t="str">
        <f>IF($A461="","",IFERROR('TMP Paste'!$M461*1,0))</f>
        <v/>
      </c>
      <c r="D461" t="str">
        <f>IF($A461="","",SUMIF($B$2:$B461,$B461,$C$2:$C461))</f>
        <v/>
      </c>
      <c r="E461">
        <f>IF($A461="",0,IF('TMP Paste'!$B461="",0,1))</f>
        <v>0</v>
      </c>
      <c r="F461" t="str">
        <f t="shared" si="35"/>
        <v/>
      </c>
      <c r="G461" t="str">
        <f t="shared" si="36"/>
        <v/>
      </c>
      <c r="H461" t="str">
        <f t="shared" si="37"/>
        <v/>
      </c>
      <c r="I461" t="str">
        <f t="shared" si="38"/>
        <v/>
      </c>
      <c r="J461" t="str">
        <f t="shared" si="39"/>
        <v/>
      </c>
      <c r="K461" t="str">
        <f>IF($A461="","",IF(COUNTIF($B$2:$B461,$B461)=COUNTIF($B$2:$B$1601,$B461),$B461,""))</f>
        <v/>
      </c>
    </row>
    <row r="462" spans="1:11">
      <c r="A462" t="str">
        <f>IF('TMP Paste'!$E462="","",'TMP Paste'!$E462)</f>
        <v/>
      </c>
      <c r="B462" t="str">
        <f>IF($A462="","",COUNTIF('TMP Paste'!$B$2:$B462,"?*"))</f>
        <v/>
      </c>
      <c r="C462" t="str">
        <f>IF($A462="","",IFERROR('TMP Paste'!$M462*1,0))</f>
        <v/>
      </c>
      <c r="D462" t="str">
        <f>IF($A462="","",SUMIF($B$2:$B462,$B462,$C$2:$C462))</f>
        <v/>
      </c>
      <c r="E462">
        <f>IF($A462="",0,IF('TMP Paste'!$B462="",0,1))</f>
        <v>0</v>
      </c>
      <c r="F462" t="str">
        <f t="shared" si="35"/>
        <v/>
      </c>
      <c r="G462" t="str">
        <f t="shared" si="36"/>
        <v/>
      </c>
      <c r="H462" t="str">
        <f t="shared" si="37"/>
        <v/>
      </c>
      <c r="I462" t="str">
        <f t="shared" si="38"/>
        <v/>
      </c>
      <c r="J462" t="str">
        <f t="shared" si="39"/>
        <v/>
      </c>
      <c r="K462" t="str">
        <f>IF($A462="","",IF(COUNTIF($B$2:$B462,$B462)=COUNTIF($B$2:$B$1601,$B462),$B462,""))</f>
        <v/>
      </c>
    </row>
    <row r="463" spans="1:11">
      <c r="A463" t="str">
        <f>IF('TMP Paste'!$E463="","",'TMP Paste'!$E463)</f>
        <v/>
      </c>
      <c r="B463" t="str">
        <f>IF($A463="","",COUNTIF('TMP Paste'!$B$2:$B463,"?*"))</f>
        <v/>
      </c>
      <c r="C463" t="str">
        <f>IF($A463="","",IFERROR('TMP Paste'!$M463*1,0))</f>
        <v/>
      </c>
      <c r="D463" t="str">
        <f>IF($A463="","",SUMIF($B$2:$B463,$B463,$C$2:$C463))</f>
        <v/>
      </c>
      <c r="E463">
        <f>IF($A463="",0,IF('TMP Paste'!$B463="",0,1))</f>
        <v>0</v>
      </c>
      <c r="F463" t="str">
        <f t="shared" si="35"/>
        <v/>
      </c>
      <c r="G463" t="str">
        <f t="shared" si="36"/>
        <v/>
      </c>
      <c r="H463" t="str">
        <f t="shared" si="37"/>
        <v/>
      </c>
      <c r="I463" t="str">
        <f t="shared" si="38"/>
        <v/>
      </c>
      <c r="J463" t="str">
        <f t="shared" si="39"/>
        <v/>
      </c>
      <c r="K463" t="str">
        <f>IF($A463="","",IF(COUNTIF($B$2:$B463,$B463)=COUNTIF($B$2:$B$1601,$B463),$B463,""))</f>
        <v/>
      </c>
    </row>
    <row r="464" spans="1:11">
      <c r="A464" t="str">
        <f>IF('TMP Paste'!$E464="","",'TMP Paste'!$E464)</f>
        <v/>
      </c>
      <c r="B464" t="str">
        <f>IF($A464="","",COUNTIF('TMP Paste'!$B$2:$B464,"?*"))</f>
        <v/>
      </c>
      <c r="C464" t="str">
        <f>IF($A464="","",IFERROR('TMP Paste'!$M464*1,0))</f>
        <v/>
      </c>
      <c r="D464" t="str">
        <f>IF($A464="","",SUMIF($B$2:$B464,$B464,$C$2:$C464))</f>
        <v/>
      </c>
      <c r="E464">
        <f>IF($A464="",0,IF('TMP Paste'!$B464="",0,1))</f>
        <v>0</v>
      </c>
      <c r="F464" t="str">
        <f t="shared" si="35"/>
        <v/>
      </c>
      <c r="G464" t="str">
        <f t="shared" si="36"/>
        <v/>
      </c>
      <c r="H464" t="str">
        <f t="shared" si="37"/>
        <v/>
      </c>
      <c r="I464" t="str">
        <f t="shared" si="38"/>
        <v/>
      </c>
      <c r="J464" t="str">
        <f t="shared" si="39"/>
        <v/>
      </c>
      <c r="K464" t="str">
        <f>IF($A464="","",IF(COUNTIF($B$2:$B464,$B464)=COUNTIF($B$2:$B$1601,$B464),$B464,""))</f>
        <v/>
      </c>
    </row>
    <row r="465" spans="1:11">
      <c r="A465" t="str">
        <f>IF('TMP Paste'!$E465="","",'TMP Paste'!$E465)</f>
        <v/>
      </c>
      <c r="B465" t="str">
        <f>IF($A465="","",COUNTIF('TMP Paste'!$B$2:$B465,"?*"))</f>
        <v/>
      </c>
      <c r="C465" t="str">
        <f>IF($A465="","",IFERROR('TMP Paste'!$M465*1,0))</f>
        <v/>
      </c>
      <c r="D465" t="str">
        <f>IF($A465="","",SUMIF($B$2:$B465,$B465,$C$2:$C465))</f>
        <v/>
      </c>
      <c r="E465">
        <f>IF($A465="",0,IF('TMP Paste'!$B465="",0,1))</f>
        <v>0</v>
      </c>
      <c r="F465" t="str">
        <f t="shared" si="35"/>
        <v/>
      </c>
      <c r="G465" t="str">
        <f t="shared" si="36"/>
        <v/>
      </c>
      <c r="H465" t="str">
        <f t="shared" si="37"/>
        <v/>
      </c>
      <c r="I465" t="str">
        <f t="shared" si="38"/>
        <v/>
      </c>
      <c r="J465" t="str">
        <f t="shared" si="39"/>
        <v/>
      </c>
      <c r="K465" t="str">
        <f>IF($A465="","",IF(COUNTIF($B$2:$B465,$B465)=COUNTIF($B$2:$B$1601,$B465),$B465,""))</f>
        <v/>
      </c>
    </row>
    <row r="466" spans="1:11">
      <c r="A466" t="str">
        <f>IF('TMP Paste'!$E466="","",'TMP Paste'!$E466)</f>
        <v/>
      </c>
      <c r="B466" t="str">
        <f>IF($A466="","",COUNTIF('TMP Paste'!$B$2:$B466,"?*"))</f>
        <v/>
      </c>
      <c r="C466" t="str">
        <f>IF($A466="","",IFERROR('TMP Paste'!$M466*1,0))</f>
        <v/>
      </c>
      <c r="D466" t="str">
        <f>IF($A466="","",SUMIF($B$2:$B466,$B466,$C$2:$C466))</f>
        <v/>
      </c>
      <c r="E466">
        <f>IF($A466="",0,IF('TMP Paste'!$B466="",0,1))</f>
        <v>0</v>
      </c>
      <c r="F466" t="str">
        <f t="shared" si="35"/>
        <v/>
      </c>
      <c r="G466" t="str">
        <f t="shared" si="36"/>
        <v/>
      </c>
      <c r="H466" t="str">
        <f t="shared" si="37"/>
        <v/>
      </c>
      <c r="I466" t="str">
        <f t="shared" si="38"/>
        <v/>
      </c>
      <c r="J466" t="str">
        <f t="shared" si="39"/>
        <v/>
      </c>
      <c r="K466" t="str">
        <f>IF($A466="","",IF(COUNTIF($B$2:$B466,$B466)=COUNTIF($B$2:$B$1601,$B466),$B466,""))</f>
        <v/>
      </c>
    </row>
    <row r="467" spans="1:11">
      <c r="A467" t="str">
        <f>IF('TMP Paste'!$E467="","",'TMP Paste'!$E467)</f>
        <v/>
      </c>
      <c r="B467" t="str">
        <f>IF($A467="","",COUNTIF('TMP Paste'!$B$2:$B467,"?*"))</f>
        <v/>
      </c>
      <c r="C467" t="str">
        <f>IF($A467="","",IFERROR('TMP Paste'!$M467*1,0))</f>
        <v/>
      </c>
      <c r="D467" t="str">
        <f>IF($A467="","",SUMIF($B$2:$B467,$B467,$C$2:$C467))</f>
        <v/>
      </c>
      <c r="E467">
        <f>IF($A467="",0,IF('TMP Paste'!$B467="",0,1))</f>
        <v>0</v>
      </c>
      <c r="F467" t="str">
        <f t="shared" si="35"/>
        <v/>
      </c>
      <c r="G467" t="str">
        <f t="shared" si="36"/>
        <v/>
      </c>
      <c r="H467" t="str">
        <f t="shared" si="37"/>
        <v/>
      </c>
      <c r="I467" t="str">
        <f t="shared" si="38"/>
        <v/>
      </c>
      <c r="J467" t="str">
        <f t="shared" si="39"/>
        <v/>
      </c>
      <c r="K467" t="str">
        <f>IF($A467="","",IF(COUNTIF($B$2:$B467,$B467)=COUNTIF($B$2:$B$1601,$B467),$B467,""))</f>
        <v/>
      </c>
    </row>
    <row r="468" spans="1:11">
      <c r="A468" t="str">
        <f>IF('TMP Paste'!$E468="","",'TMP Paste'!$E468)</f>
        <v/>
      </c>
      <c r="B468" t="str">
        <f>IF($A468="","",COUNTIF('TMP Paste'!$B$2:$B468,"?*"))</f>
        <v/>
      </c>
      <c r="C468" t="str">
        <f>IF($A468="","",IFERROR('TMP Paste'!$M468*1,0))</f>
        <v/>
      </c>
      <c r="D468" t="str">
        <f>IF($A468="","",SUMIF($B$2:$B468,$B468,$C$2:$C468))</f>
        <v/>
      </c>
      <c r="E468">
        <f>IF($A468="",0,IF('TMP Paste'!$B468="",0,1))</f>
        <v>0</v>
      </c>
      <c r="F468" t="str">
        <f t="shared" si="35"/>
        <v/>
      </c>
      <c r="G468" t="str">
        <f t="shared" si="36"/>
        <v/>
      </c>
      <c r="H468" t="str">
        <f t="shared" si="37"/>
        <v/>
      </c>
      <c r="I468" t="str">
        <f t="shared" si="38"/>
        <v/>
      </c>
      <c r="J468" t="str">
        <f t="shared" si="39"/>
        <v/>
      </c>
      <c r="K468" t="str">
        <f>IF($A468="","",IF(COUNTIF($B$2:$B468,$B468)=COUNTIF($B$2:$B$1601,$B468),$B468,""))</f>
        <v/>
      </c>
    </row>
    <row r="469" spans="1:11">
      <c r="A469" t="str">
        <f>IF('TMP Paste'!$E469="","",'TMP Paste'!$E469)</f>
        <v/>
      </c>
      <c r="B469" t="str">
        <f>IF($A469="","",COUNTIF('TMP Paste'!$B$2:$B469,"?*"))</f>
        <v/>
      </c>
      <c r="C469" t="str">
        <f>IF($A469="","",IFERROR('TMP Paste'!$M469*1,0))</f>
        <v/>
      </c>
      <c r="D469" t="str">
        <f>IF($A469="","",SUMIF($B$2:$B469,$B469,$C$2:$C469))</f>
        <v/>
      </c>
      <c r="E469">
        <f>IF($A469="",0,IF('TMP Paste'!$B469="",0,1))</f>
        <v>0</v>
      </c>
      <c r="F469" t="str">
        <f t="shared" si="35"/>
        <v/>
      </c>
      <c r="G469" t="str">
        <f t="shared" si="36"/>
        <v/>
      </c>
      <c r="H469" t="str">
        <f t="shared" si="37"/>
        <v/>
      </c>
      <c r="I469" t="str">
        <f t="shared" si="38"/>
        <v/>
      </c>
      <c r="J469" t="str">
        <f t="shared" si="39"/>
        <v/>
      </c>
      <c r="K469" t="str">
        <f>IF($A469="","",IF(COUNTIF($B$2:$B469,$B469)=COUNTIF($B$2:$B$1601,$B469),$B469,""))</f>
        <v/>
      </c>
    </row>
    <row r="470" spans="1:11">
      <c r="A470" t="str">
        <f>IF('TMP Paste'!$E470="","",'TMP Paste'!$E470)</f>
        <v/>
      </c>
      <c r="B470" t="str">
        <f>IF($A470="","",COUNTIF('TMP Paste'!$B$2:$B470,"?*"))</f>
        <v/>
      </c>
      <c r="C470" t="str">
        <f>IF($A470="","",IFERROR('TMP Paste'!$M470*1,0))</f>
        <v/>
      </c>
      <c r="D470" t="str">
        <f>IF($A470="","",SUMIF($B$2:$B470,$B470,$C$2:$C470))</f>
        <v/>
      </c>
      <c r="E470">
        <f>IF($A470="",0,IF('TMP Paste'!$B470="",0,1))</f>
        <v>0</v>
      </c>
      <c r="F470" t="str">
        <f t="shared" si="35"/>
        <v/>
      </c>
      <c r="G470" t="str">
        <f t="shared" si="36"/>
        <v/>
      </c>
      <c r="H470" t="str">
        <f t="shared" si="37"/>
        <v/>
      </c>
      <c r="I470" t="str">
        <f t="shared" si="38"/>
        <v/>
      </c>
      <c r="J470" t="str">
        <f t="shared" si="39"/>
        <v/>
      </c>
      <c r="K470" t="str">
        <f>IF($A470="","",IF(COUNTIF($B$2:$B470,$B470)=COUNTIF($B$2:$B$1601,$B470),$B470,""))</f>
        <v/>
      </c>
    </row>
    <row r="471" spans="1:11">
      <c r="A471" t="str">
        <f>IF('TMP Paste'!$E471="","",'TMP Paste'!$E471)</f>
        <v/>
      </c>
      <c r="B471" t="str">
        <f>IF($A471="","",COUNTIF('TMP Paste'!$B$2:$B471,"?*"))</f>
        <v/>
      </c>
      <c r="C471" t="str">
        <f>IF($A471="","",IFERROR('TMP Paste'!$M471*1,0))</f>
        <v/>
      </c>
      <c r="D471" t="str">
        <f>IF($A471="","",SUMIF($B$2:$B471,$B471,$C$2:$C471))</f>
        <v/>
      </c>
      <c r="E471">
        <f>IF($A471="",0,IF('TMP Paste'!$B471="",0,1))</f>
        <v>0</v>
      </c>
      <c r="F471" t="str">
        <f t="shared" si="35"/>
        <v/>
      </c>
      <c r="G471" t="str">
        <f t="shared" si="36"/>
        <v/>
      </c>
      <c r="H471" t="str">
        <f t="shared" si="37"/>
        <v/>
      </c>
      <c r="I471" t="str">
        <f t="shared" si="38"/>
        <v/>
      </c>
      <c r="J471" t="str">
        <f t="shared" si="39"/>
        <v/>
      </c>
      <c r="K471" t="str">
        <f>IF($A471="","",IF(COUNTIF($B$2:$B471,$B471)=COUNTIF($B$2:$B$1601,$B471),$B471,""))</f>
        <v/>
      </c>
    </row>
    <row r="472" spans="1:11">
      <c r="A472" t="str">
        <f>IF('TMP Paste'!$E472="","",'TMP Paste'!$E472)</f>
        <v/>
      </c>
      <c r="B472" t="str">
        <f>IF($A472="","",COUNTIF('TMP Paste'!$B$2:$B472,"?*"))</f>
        <v/>
      </c>
      <c r="C472" t="str">
        <f>IF($A472="","",IFERROR('TMP Paste'!$M472*1,0))</f>
        <v/>
      </c>
      <c r="D472" t="str">
        <f>IF($A472="","",SUMIF($B$2:$B472,$B472,$C$2:$C472))</f>
        <v/>
      </c>
      <c r="E472">
        <f>IF($A472="",0,IF('TMP Paste'!$B472="",0,1))</f>
        <v>0</v>
      </c>
      <c r="F472" t="str">
        <f t="shared" si="35"/>
        <v/>
      </c>
      <c r="G472" t="str">
        <f t="shared" si="36"/>
        <v/>
      </c>
      <c r="H472" t="str">
        <f t="shared" si="37"/>
        <v/>
      </c>
      <c r="I472" t="str">
        <f t="shared" si="38"/>
        <v/>
      </c>
      <c r="J472" t="str">
        <f t="shared" si="39"/>
        <v/>
      </c>
      <c r="K472" t="str">
        <f>IF($A472="","",IF(COUNTIF($B$2:$B472,$B472)=COUNTIF($B$2:$B$1601,$B472),$B472,""))</f>
        <v/>
      </c>
    </row>
    <row r="473" spans="1:11">
      <c r="A473" t="str">
        <f>IF('TMP Paste'!$E473="","",'TMP Paste'!$E473)</f>
        <v/>
      </c>
      <c r="B473" t="str">
        <f>IF($A473="","",COUNTIF('TMP Paste'!$B$2:$B473,"?*"))</f>
        <v/>
      </c>
      <c r="C473" t="str">
        <f>IF($A473="","",IFERROR('TMP Paste'!$M473*1,0))</f>
        <v/>
      </c>
      <c r="D473" t="str">
        <f>IF($A473="","",SUMIF($B$2:$B473,$B473,$C$2:$C473))</f>
        <v/>
      </c>
      <c r="E473">
        <f>IF($A473="",0,IF('TMP Paste'!$B473="",0,1))</f>
        <v>0</v>
      </c>
      <c r="F473" t="str">
        <f t="shared" si="35"/>
        <v/>
      </c>
      <c r="G473" t="str">
        <f t="shared" si="36"/>
        <v/>
      </c>
      <c r="H473" t="str">
        <f t="shared" si="37"/>
        <v/>
      </c>
      <c r="I473" t="str">
        <f t="shared" si="38"/>
        <v/>
      </c>
      <c r="J473" t="str">
        <f t="shared" si="39"/>
        <v/>
      </c>
      <c r="K473" t="str">
        <f>IF($A473="","",IF(COUNTIF($B$2:$B473,$B473)=COUNTIF($B$2:$B$1601,$B473),$B473,""))</f>
        <v/>
      </c>
    </row>
    <row r="474" spans="1:11">
      <c r="A474" t="str">
        <f>IF('TMP Paste'!$E474="","",'TMP Paste'!$E474)</f>
        <v/>
      </c>
      <c r="B474" t="str">
        <f>IF($A474="","",COUNTIF('TMP Paste'!$B$2:$B474,"?*"))</f>
        <v/>
      </c>
      <c r="C474" t="str">
        <f>IF($A474="","",IFERROR('TMP Paste'!$M474*1,0))</f>
        <v/>
      </c>
      <c r="D474" t="str">
        <f>IF($A474="","",SUMIF($B$2:$B474,$B474,$C$2:$C474))</f>
        <v/>
      </c>
      <c r="E474">
        <f>IF($A474="",0,IF('TMP Paste'!$B474="",0,1))</f>
        <v>0</v>
      </c>
      <c r="F474" t="str">
        <f t="shared" si="35"/>
        <v/>
      </c>
      <c r="G474" t="str">
        <f t="shared" si="36"/>
        <v/>
      </c>
      <c r="H474" t="str">
        <f t="shared" si="37"/>
        <v/>
      </c>
      <c r="I474" t="str">
        <f t="shared" si="38"/>
        <v/>
      </c>
      <c r="J474" t="str">
        <f t="shared" si="39"/>
        <v/>
      </c>
      <c r="K474" t="str">
        <f>IF($A474="","",IF(COUNTIF($B$2:$B474,$B474)=COUNTIF($B$2:$B$1601,$B474),$B474,""))</f>
        <v/>
      </c>
    </row>
    <row r="475" spans="1:11">
      <c r="A475" t="str">
        <f>IF('TMP Paste'!$E475="","",'TMP Paste'!$E475)</f>
        <v/>
      </c>
      <c r="B475" t="str">
        <f>IF($A475="","",COUNTIF('TMP Paste'!$B$2:$B475,"?*"))</f>
        <v/>
      </c>
      <c r="C475" t="str">
        <f>IF($A475="","",IFERROR('TMP Paste'!$M475*1,0))</f>
        <v/>
      </c>
      <c r="D475" t="str">
        <f>IF($A475="","",SUMIF($B$2:$B475,$B475,$C$2:$C475))</f>
        <v/>
      </c>
      <c r="E475">
        <f>IF($A475="",0,IF('TMP Paste'!$B475="",0,1))</f>
        <v>0</v>
      </c>
      <c r="F475" t="str">
        <f t="shared" si="35"/>
        <v/>
      </c>
      <c r="G475" t="str">
        <f t="shared" si="36"/>
        <v/>
      </c>
      <c r="H475" t="str">
        <f t="shared" si="37"/>
        <v/>
      </c>
      <c r="I475" t="str">
        <f t="shared" si="38"/>
        <v/>
      </c>
      <c r="J475" t="str">
        <f t="shared" si="39"/>
        <v/>
      </c>
      <c r="K475" t="str">
        <f>IF($A475="","",IF(COUNTIF($B$2:$B475,$B475)=COUNTIF($B$2:$B$1601,$B475),$B475,""))</f>
        <v/>
      </c>
    </row>
    <row r="476" spans="1:11">
      <c r="A476" t="str">
        <f>IF('TMP Paste'!$E476="","",'TMP Paste'!$E476)</f>
        <v/>
      </c>
      <c r="B476" t="str">
        <f>IF($A476="","",COUNTIF('TMP Paste'!$B$2:$B476,"?*"))</f>
        <v/>
      </c>
      <c r="C476" t="str">
        <f>IF($A476="","",IFERROR('TMP Paste'!$M476*1,0))</f>
        <v/>
      </c>
      <c r="D476" t="str">
        <f>IF($A476="","",SUMIF($B$2:$B476,$B476,$C$2:$C476))</f>
        <v/>
      </c>
      <c r="E476">
        <f>IF($A476="",0,IF('TMP Paste'!$B476="",0,1))</f>
        <v>0</v>
      </c>
      <c r="F476" t="str">
        <f t="shared" si="35"/>
        <v/>
      </c>
      <c r="G476" t="str">
        <f t="shared" si="36"/>
        <v/>
      </c>
      <c r="H476" t="str">
        <f t="shared" si="37"/>
        <v/>
      </c>
      <c r="I476" t="str">
        <f t="shared" si="38"/>
        <v/>
      </c>
      <c r="J476" t="str">
        <f t="shared" si="39"/>
        <v/>
      </c>
      <c r="K476" t="str">
        <f>IF($A476="","",IF(COUNTIF($B$2:$B476,$B476)=COUNTIF($B$2:$B$1601,$B476),$B476,""))</f>
        <v/>
      </c>
    </row>
    <row r="477" spans="1:11">
      <c r="A477" t="str">
        <f>IF('TMP Paste'!$E477="","",'TMP Paste'!$E477)</f>
        <v/>
      </c>
      <c r="B477" t="str">
        <f>IF($A477="","",COUNTIF('TMP Paste'!$B$2:$B477,"?*"))</f>
        <v/>
      </c>
      <c r="C477" t="str">
        <f>IF($A477="","",IFERROR('TMP Paste'!$M477*1,0))</f>
        <v/>
      </c>
      <c r="D477" t="str">
        <f>IF($A477="","",SUMIF($B$2:$B477,$B477,$C$2:$C477))</f>
        <v/>
      </c>
      <c r="E477">
        <f>IF($A477="",0,IF('TMP Paste'!$B477="",0,1))</f>
        <v>0</v>
      </c>
      <c r="F477" t="str">
        <f t="shared" si="35"/>
        <v/>
      </c>
      <c r="G477" t="str">
        <f t="shared" si="36"/>
        <v/>
      </c>
      <c r="H477" t="str">
        <f t="shared" si="37"/>
        <v/>
      </c>
      <c r="I477" t="str">
        <f t="shared" si="38"/>
        <v/>
      </c>
      <c r="J477" t="str">
        <f t="shared" si="39"/>
        <v/>
      </c>
      <c r="K477" t="str">
        <f>IF($A477="","",IF(COUNTIF($B$2:$B477,$B477)=COUNTIF($B$2:$B$1601,$B477),$B477,""))</f>
        <v/>
      </c>
    </row>
    <row r="478" spans="1:11">
      <c r="A478" t="str">
        <f>IF('TMP Paste'!$E478="","",'TMP Paste'!$E478)</f>
        <v/>
      </c>
      <c r="B478" t="str">
        <f>IF($A478="","",COUNTIF('TMP Paste'!$B$2:$B478,"?*"))</f>
        <v/>
      </c>
      <c r="C478" t="str">
        <f>IF($A478="","",IFERROR('TMP Paste'!$M478*1,0))</f>
        <v/>
      </c>
      <c r="D478" t="str">
        <f>IF($A478="","",SUMIF($B$2:$B478,$B478,$C$2:$C478))</f>
        <v/>
      </c>
      <c r="E478">
        <f>IF($A478="",0,IF('TMP Paste'!$B478="",0,1))</f>
        <v>0</v>
      </c>
      <c r="F478" t="str">
        <f t="shared" si="35"/>
        <v/>
      </c>
      <c r="G478" t="str">
        <f t="shared" si="36"/>
        <v/>
      </c>
      <c r="H478" t="str">
        <f t="shared" si="37"/>
        <v/>
      </c>
      <c r="I478" t="str">
        <f t="shared" si="38"/>
        <v/>
      </c>
      <c r="J478" t="str">
        <f t="shared" si="39"/>
        <v/>
      </c>
      <c r="K478" t="str">
        <f>IF($A478="","",IF(COUNTIF($B$2:$B478,$B478)=COUNTIF($B$2:$B$1601,$B478),$B478,""))</f>
        <v/>
      </c>
    </row>
    <row r="479" spans="1:11">
      <c r="A479" t="str">
        <f>IF('TMP Paste'!$E479="","",'TMP Paste'!$E479)</f>
        <v/>
      </c>
      <c r="B479" t="str">
        <f>IF($A479="","",COUNTIF('TMP Paste'!$B$2:$B479,"?*"))</f>
        <v/>
      </c>
      <c r="C479" t="str">
        <f>IF($A479="","",IFERROR('TMP Paste'!$M479*1,0))</f>
        <v/>
      </c>
      <c r="D479" t="str">
        <f>IF($A479="","",SUMIF($B$2:$B479,$B479,$C$2:$C479))</f>
        <v/>
      </c>
      <c r="E479">
        <f>IF($A479="",0,IF('TMP Paste'!$B479="",0,1))</f>
        <v>0</v>
      </c>
      <c r="F479" t="str">
        <f t="shared" si="35"/>
        <v/>
      </c>
      <c r="G479" t="str">
        <f t="shared" si="36"/>
        <v/>
      </c>
      <c r="H479" t="str">
        <f t="shared" si="37"/>
        <v/>
      </c>
      <c r="I479" t="str">
        <f t="shared" si="38"/>
        <v/>
      </c>
      <c r="J479" t="str">
        <f t="shared" si="39"/>
        <v/>
      </c>
      <c r="K479" t="str">
        <f>IF($A479="","",IF(COUNTIF($B$2:$B479,$B479)=COUNTIF($B$2:$B$1601,$B479),$B479,""))</f>
        <v/>
      </c>
    </row>
    <row r="480" spans="1:11">
      <c r="A480" t="str">
        <f>IF('TMP Paste'!$E480="","",'TMP Paste'!$E480)</f>
        <v/>
      </c>
      <c r="B480" t="str">
        <f>IF($A480="","",COUNTIF('TMP Paste'!$B$2:$B480,"?*"))</f>
        <v/>
      </c>
      <c r="C480" t="str">
        <f>IF($A480="","",IFERROR('TMP Paste'!$M480*1,0))</f>
        <v/>
      </c>
      <c r="D480" t="str">
        <f>IF($A480="","",SUMIF($B$2:$B480,$B480,$C$2:$C480))</f>
        <v/>
      </c>
      <c r="E480">
        <f>IF($A480="",0,IF('TMP Paste'!$B480="",0,1))</f>
        <v>0</v>
      </c>
      <c r="F480" t="str">
        <f t="shared" si="35"/>
        <v/>
      </c>
      <c r="G480" t="str">
        <f t="shared" si="36"/>
        <v/>
      </c>
      <c r="H480" t="str">
        <f t="shared" si="37"/>
        <v/>
      </c>
      <c r="I480" t="str">
        <f t="shared" si="38"/>
        <v/>
      </c>
      <c r="J480" t="str">
        <f t="shared" si="39"/>
        <v/>
      </c>
      <c r="K480" t="str">
        <f>IF($A480="","",IF(COUNTIF($B$2:$B480,$B480)=COUNTIF($B$2:$B$1601,$B480),$B480,""))</f>
        <v/>
      </c>
    </row>
    <row r="481" spans="1:11">
      <c r="A481" t="str">
        <f>IF('TMP Paste'!$E481="","",'TMP Paste'!$E481)</f>
        <v/>
      </c>
      <c r="B481" t="str">
        <f>IF($A481="","",COUNTIF('TMP Paste'!$B$2:$B481,"?*"))</f>
        <v/>
      </c>
      <c r="C481" t="str">
        <f>IF($A481="","",IFERROR('TMP Paste'!$M481*1,0))</f>
        <v/>
      </c>
      <c r="D481" t="str">
        <f>IF($A481="","",SUMIF($B$2:$B481,$B481,$C$2:$C481))</f>
        <v/>
      </c>
      <c r="E481">
        <f>IF($A481="",0,IF('TMP Paste'!$B481="",0,1))</f>
        <v>0</v>
      </c>
      <c r="F481" t="str">
        <f t="shared" si="35"/>
        <v/>
      </c>
      <c r="G481" t="str">
        <f t="shared" si="36"/>
        <v/>
      </c>
      <c r="H481" t="str">
        <f t="shared" si="37"/>
        <v/>
      </c>
      <c r="I481" t="str">
        <f t="shared" si="38"/>
        <v/>
      </c>
      <c r="J481" t="str">
        <f t="shared" si="39"/>
        <v/>
      </c>
      <c r="K481" t="str">
        <f>IF($A481="","",IF(COUNTIF($B$2:$B481,$B481)=COUNTIF($B$2:$B$1601,$B481),$B481,""))</f>
        <v/>
      </c>
    </row>
    <row r="482" spans="1:11">
      <c r="A482" t="str">
        <f>IF('TMP Paste'!$E482="","",'TMP Paste'!$E482)</f>
        <v/>
      </c>
      <c r="B482" t="str">
        <f>IF($A482="","",COUNTIF('TMP Paste'!$B$2:$B482,"?*"))</f>
        <v/>
      </c>
      <c r="C482" t="str">
        <f>IF($A482="","",IFERROR('TMP Paste'!$M482*1,0))</f>
        <v/>
      </c>
      <c r="D482" t="str">
        <f>IF($A482="","",SUMIF($B$2:$B482,$B482,$C$2:$C482))</f>
        <v/>
      </c>
      <c r="E482">
        <f>IF($A482="",0,IF('TMP Paste'!$B482="",0,1))</f>
        <v>0</v>
      </c>
      <c r="F482" t="str">
        <f t="shared" si="35"/>
        <v/>
      </c>
      <c r="G482" t="str">
        <f t="shared" si="36"/>
        <v/>
      </c>
      <c r="H482" t="str">
        <f t="shared" si="37"/>
        <v/>
      </c>
      <c r="I482" t="str">
        <f t="shared" si="38"/>
        <v/>
      </c>
      <c r="J482" t="str">
        <f t="shared" si="39"/>
        <v/>
      </c>
      <c r="K482" t="str">
        <f>IF($A482="","",IF(COUNTIF($B$2:$B482,$B482)=COUNTIF($B$2:$B$1601,$B482),$B482,""))</f>
        <v/>
      </c>
    </row>
    <row r="483" spans="1:11">
      <c r="A483" t="str">
        <f>IF('TMP Paste'!$E483="","",'TMP Paste'!$E483)</f>
        <v/>
      </c>
      <c r="B483" t="str">
        <f>IF($A483="","",COUNTIF('TMP Paste'!$B$2:$B483,"?*"))</f>
        <v/>
      </c>
      <c r="C483" t="str">
        <f>IF($A483="","",IFERROR('TMP Paste'!$M483*1,0))</f>
        <v/>
      </c>
      <c r="D483" t="str">
        <f>IF($A483="","",SUMIF($B$2:$B483,$B483,$C$2:$C483))</f>
        <v/>
      </c>
      <c r="E483">
        <f>IF($A483="",0,IF('TMP Paste'!$B483="",0,1))</f>
        <v>0</v>
      </c>
      <c r="F483" t="str">
        <f t="shared" si="35"/>
        <v/>
      </c>
      <c r="G483" t="str">
        <f t="shared" si="36"/>
        <v/>
      </c>
      <c r="H483" t="str">
        <f t="shared" si="37"/>
        <v/>
      </c>
      <c r="I483" t="str">
        <f t="shared" si="38"/>
        <v/>
      </c>
      <c r="J483" t="str">
        <f t="shared" si="39"/>
        <v/>
      </c>
      <c r="K483" t="str">
        <f>IF($A483="","",IF(COUNTIF($B$2:$B483,$B483)=COUNTIF($B$2:$B$1601,$B483),$B483,""))</f>
        <v/>
      </c>
    </row>
    <row r="484" spans="1:11">
      <c r="A484" t="str">
        <f>IF('TMP Paste'!$E484="","",'TMP Paste'!$E484)</f>
        <v/>
      </c>
      <c r="B484" t="str">
        <f>IF($A484="","",COUNTIF('TMP Paste'!$B$2:$B484,"?*"))</f>
        <v/>
      </c>
      <c r="C484" t="str">
        <f>IF($A484="","",IFERROR('TMP Paste'!$M484*1,0))</f>
        <v/>
      </c>
      <c r="D484" t="str">
        <f>IF($A484="","",SUMIF($B$2:$B484,$B484,$C$2:$C484))</f>
        <v/>
      </c>
      <c r="E484">
        <f>IF($A484="",0,IF('TMP Paste'!$B484="",0,1))</f>
        <v>0</v>
      </c>
      <c r="F484" t="str">
        <f t="shared" si="35"/>
        <v/>
      </c>
      <c r="G484" t="str">
        <f t="shared" si="36"/>
        <v/>
      </c>
      <c r="H484" t="str">
        <f t="shared" si="37"/>
        <v/>
      </c>
      <c r="I484" t="str">
        <f t="shared" si="38"/>
        <v/>
      </c>
      <c r="J484" t="str">
        <f t="shared" si="39"/>
        <v/>
      </c>
      <c r="K484" t="str">
        <f>IF($A484="","",IF(COUNTIF($B$2:$B484,$B484)=COUNTIF($B$2:$B$1601,$B484),$B484,""))</f>
        <v/>
      </c>
    </row>
    <row r="485" spans="1:11">
      <c r="A485" t="str">
        <f>IF('TMP Paste'!$E485="","",'TMP Paste'!$E485)</f>
        <v/>
      </c>
      <c r="B485" t="str">
        <f>IF($A485="","",COUNTIF('TMP Paste'!$B$2:$B485,"?*"))</f>
        <v/>
      </c>
      <c r="C485" t="str">
        <f>IF($A485="","",IFERROR('TMP Paste'!$M485*1,0))</f>
        <v/>
      </c>
      <c r="D485" t="str">
        <f>IF($A485="","",SUMIF($B$2:$B485,$B485,$C$2:$C485))</f>
        <v/>
      </c>
      <c r="E485">
        <f>IF($A485="",0,IF('TMP Paste'!$B485="",0,1))</f>
        <v>0</v>
      </c>
      <c r="F485" t="str">
        <f t="shared" si="35"/>
        <v/>
      </c>
      <c r="G485" t="str">
        <f t="shared" si="36"/>
        <v/>
      </c>
      <c r="H485" t="str">
        <f t="shared" si="37"/>
        <v/>
      </c>
      <c r="I485" t="str">
        <f t="shared" si="38"/>
        <v/>
      </c>
      <c r="J485" t="str">
        <f t="shared" si="39"/>
        <v/>
      </c>
      <c r="K485" t="str">
        <f>IF($A485="","",IF(COUNTIF($B$2:$B485,$B485)=COUNTIF($B$2:$B$1601,$B485),$B485,""))</f>
        <v/>
      </c>
    </row>
    <row r="486" spans="1:11">
      <c r="A486" t="str">
        <f>IF('TMP Paste'!$E486="","",'TMP Paste'!$E486)</f>
        <v/>
      </c>
      <c r="B486" t="str">
        <f>IF($A486="","",COUNTIF('TMP Paste'!$B$2:$B486,"?*"))</f>
        <v/>
      </c>
      <c r="C486" t="str">
        <f>IF($A486="","",IFERROR('TMP Paste'!$M486*1,0))</f>
        <v/>
      </c>
      <c r="D486" t="str">
        <f>IF($A486="","",SUMIF($B$2:$B486,$B486,$C$2:$C486))</f>
        <v/>
      </c>
      <c r="E486">
        <f>IF($A486="",0,IF('TMP Paste'!$B486="",0,1))</f>
        <v>0</v>
      </c>
      <c r="F486" t="str">
        <f t="shared" si="35"/>
        <v/>
      </c>
      <c r="G486" t="str">
        <f t="shared" si="36"/>
        <v/>
      </c>
      <c r="H486" t="str">
        <f t="shared" si="37"/>
        <v/>
      </c>
      <c r="I486" t="str">
        <f t="shared" si="38"/>
        <v/>
      </c>
      <c r="J486" t="str">
        <f t="shared" si="39"/>
        <v/>
      </c>
      <c r="K486" t="str">
        <f>IF($A486="","",IF(COUNTIF($B$2:$B486,$B486)=COUNTIF($B$2:$B$1601,$B486),$B486,""))</f>
        <v/>
      </c>
    </row>
    <row r="487" spans="1:11">
      <c r="A487" t="str">
        <f>IF('TMP Paste'!$E487="","",'TMP Paste'!$E487)</f>
        <v/>
      </c>
      <c r="B487" t="str">
        <f>IF($A487="","",COUNTIF('TMP Paste'!$B$2:$B487,"?*"))</f>
        <v/>
      </c>
      <c r="C487" t="str">
        <f>IF($A487="","",IFERROR('TMP Paste'!$M487*1,0))</f>
        <v/>
      </c>
      <c r="D487" t="str">
        <f>IF($A487="","",SUMIF($B$2:$B487,$B487,$C$2:$C487))</f>
        <v/>
      </c>
      <c r="E487">
        <f>IF($A487="",0,IF('TMP Paste'!$B487="",0,1))</f>
        <v>0</v>
      </c>
      <c r="F487" t="str">
        <f t="shared" si="35"/>
        <v/>
      </c>
      <c r="G487" t="str">
        <f t="shared" si="36"/>
        <v/>
      </c>
      <c r="H487" t="str">
        <f t="shared" si="37"/>
        <v/>
      </c>
      <c r="I487" t="str">
        <f t="shared" si="38"/>
        <v/>
      </c>
      <c r="J487" t="str">
        <f t="shared" si="39"/>
        <v/>
      </c>
      <c r="K487" t="str">
        <f>IF($A487="","",IF(COUNTIF($B$2:$B487,$B487)=COUNTIF($B$2:$B$1601,$B487),$B487,""))</f>
        <v/>
      </c>
    </row>
    <row r="488" spans="1:11">
      <c r="A488" t="str">
        <f>IF('TMP Paste'!$E488="","",'TMP Paste'!$E488)</f>
        <v/>
      </c>
      <c r="B488" t="str">
        <f>IF($A488="","",COUNTIF('TMP Paste'!$B$2:$B488,"?*"))</f>
        <v/>
      </c>
      <c r="C488" t="str">
        <f>IF($A488="","",IFERROR('TMP Paste'!$M488*1,0))</f>
        <v/>
      </c>
      <c r="D488" t="str">
        <f>IF($A488="","",SUMIF($B$2:$B488,$B488,$C$2:$C488))</f>
        <v/>
      </c>
      <c r="E488">
        <f>IF($A488="",0,IF('TMP Paste'!$B488="",0,1))</f>
        <v>0</v>
      </c>
      <c r="F488" t="str">
        <f t="shared" si="35"/>
        <v/>
      </c>
      <c r="G488" t="str">
        <f t="shared" si="36"/>
        <v/>
      </c>
      <c r="H488" t="str">
        <f t="shared" si="37"/>
        <v/>
      </c>
      <c r="I488" t="str">
        <f t="shared" si="38"/>
        <v/>
      </c>
      <c r="J488" t="str">
        <f t="shared" si="39"/>
        <v/>
      </c>
      <c r="K488" t="str">
        <f>IF($A488="","",IF(COUNTIF($B$2:$B488,$B488)=COUNTIF($B$2:$B$1601,$B488),$B488,""))</f>
        <v/>
      </c>
    </row>
    <row r="489" spans="1:11">
      <c r="A489" t="str">
        <f>IF('TMP Paste'!$E489="","",'TMP Paste'!$E489)</f>
        <v/>
      </c>
      <c r="B489" t="str">
        <f>IF($A489="","",COUNTIF('TMP Paste'!$B$2:$B489,"?*"))</f>
        <v/>
      </c>
      <c r="C489" t="str">
        <f>IF($A489="","",IFERROR('TMP Paste'!$M489*1,0))</f>
        <v/>
      </c>
      <c r="D489" t="str">
        <f>IF($A489="","",SUMIF($B$2:$B489,$B489,$C$2:$C489))</f>
        <v/>
      </c>
      <c r="E489">
        <f>IF($A489="",0,IF('TMP Paste'!$B489="",0,1))</f>
        <v>0</v>
      </c>
      <c r="F489" t="str">
        <f t="shared" si="35"/>
        <v/>
      </c>
      <c r="G489" t="str">
        <f t="shared" si="36"/>
        <v/>
      </c>
      <c r="H489" t="str">
        <f t="shared" si="37"/>
        <v/>
      </c>
      <c r="I489" t="str">
        <f t="shared" si="38"/>
        <v/>
      </c>
      <c r="J489" t="str">
        <f t="shared" si="39"/>
        <v/>
      </c>
      <c r="K489" t="str">
        <f>IF($A489="","",IF(COUNTIF($B$2:$B489,$B489)=COUNTIF($B$2:$B$1601,$B489),$B489,""))</f>
        <v/>
      </c>
    </row>
    <row r="490" spans="1:11">
      <c r="A490" t="str">
        <f>IF('TMP Paste'!$E490="","",'TMP Paste'!$E490)</f>
        <v/>
      </c>
      <c r="B490" t="str">
        <f>IF($A490="","",COUNTIF('TMP Paste'!$B$2:$B490,"?*"))</f>
        <v/>
      </c>
      <c r="C490" t="str">
        <f>IF($A490="","",IFERROR('TMP Paste'!$M490*1,0))</f>
        <v/>
      </c>
      <c r="D490" t="str">
        <f>IF($A490="","",SUMIF($B$2:$B490,$B490,$C$2:$C490))</f>
        <v/>
      </c>
      <c r="E490">
        <f>IF($A490="",0,IF('TMP Paste'!$B490="",0,1))</f>
        <v>0</v>
      </c>
      <c r="F490" t="str">
        <f t="shared" si="35"/>
        <v/>
      </c>
      <c r="G490" t="str">
        <f t="shared" si="36"/>
        <v/>
      </c>
      <c r="H490" t="str">
        <f t="shared" si="37"/>
        <v/>
      </c>
      <c r="I490" t="str">
        <f t="shared" si="38"/>
        <v/>
      </c>
      <c r="J490" t="str">
        <f t="shared" si="39"/>
        <v/>
      </c>
      <c r="K490" t="str">
        <f>IF($A490="","",IF(COUNTIF($B$2:$B490,$B490)=COUNTIF($B$2:$B$1601,$B490),$B490,""))</f>
        <v/>
      </c>
    </row>
    <row r="491" spans="1:11">
      <c r="A491" t="str">
        <f>IF('TMP Paste'!$E491="","",'TMP Paste'!$E491)</f>
        <v/>
      </c>
      <c r="B491" t="str">
        <f>IF($A491="","",COUNTIF('TMP Paste'!$B$2:$B491,"?*"))</f>
        <v/>
      </c>
      <c r="C491" t="str">
        <f>IF($A491="","",IFERROR('TMP Paste'!$M491*1,0))</f>
        <v/>
      </c>
      <c r="D491" t="str">
        <f>IF($A491="","",SUMIF($B$2:$B491,$B491,$C$2:$C491))</f>
        <v/>
      </c>
      <c r="E491">
        <f>IF($A491="",0,IF('TMP Paste'!$B491="",0,1))</f>
        <v>0</v>
      </c>
      <c r="F491" t="str">
        <f t="shared" si="35"/>
        <v/>
      </c>
      <c r="G491" t="str">
        <f t="shared" si="36"/>
        <v/>
      </c>
      <c r="H491" t="str">
        <f t="shared" si="37"/>
        <v/>
      </c>
      <c r="I491" t="str">
        <f t="shared" si="38"/>
        <v/>
      </c>
      <c r="J491" t="str">
        <f t="shared" si="39"/>
        <v/>
      </c>
      <c r="K491" t="str">
        <f>IF($A491="","",IF(COUNTIF($B$2:$B491,$B491)=COUNTIF($B$2:$B$1601,$B491),$B491,""))</f>
        <v/>
      </c>
    </row>
    <row r="492" spans="1:11">
      <c r="A492" t="str">
        <f>IF('TMP Paste'!$E492="","",'TMP Paste'!$E492)</f>
        <v/>
      </c>
      <c r="B492" t="str">
        <f>IF($A492="","",COUNTIF('TMP Paste'!$B$2:$B492,"?*"))</f>
        <v/>
      </c>
      <c r="C492" t="str">
        <f>IF($A492="","",IFERROR('TMP Paste'!$M492*1,0))</f>
        <v/>
      </c>
      <c r="D492" t="str">
        <f>IF($A492="","",SUMIF($B$2:$B492,$B492,$C$2:$C492))</f>
        <v/>
      </c>
      <c r="E492">
        <f>IF($A492="",0,IF('TMP Paste'!$B492="",0,1))</f>
        <v>0</v>
      </c>
      <c r="F492" t="str">
        <f t="shared" si="35"/>
        <v/>
      </c>
      <c r="G492" t="str">
        <f t="shared" si="36"/>
        <v/>
      </c>
      <c r="H492" t="str">
        <f t="shared" si="37"/>
        <v/>
      </c>
      <c r="I492" t="str">
        <f t="shared" si="38"/>
        <v/>
      </c>
      <c r="J492" t="str">
        <f t="shared" si="39"/>
        <v/>
      </c>
      <c r="K492" t="str">
        <f>IF($A492="","",IF(COUNTIF($B$2:$B492,$B492)=COUNTIF($B$2:$B$1601,$B492),$B492,""))</f>
        <v/>
      </c>
    </row>
    <row r="493" spans="1:11">
      <c r="A493" t="str">
        <f>IF('TMP Paste'!$E493="","",'TMP Paste'!$E493)</f>
        <v/>
      </c>
      <c r="B493" t="str">
        <f>IF($A493="","",COUNTIF('TMP Paste'!$B$2:$B493,"?*"))</f>
        <v/>
      </c>
      <c r="C493" t="str">
        <f>IF($A493="","",IFERROR('TMP Paste'!$M493*1,0))</f>
        <v/>
      </c>
      <c r="D493" t="str">
        <f>IF($A493="","",SUMIF($B$2:$B493,$B493,$C$2:$C493))</f>
        <v/>
      </c>
      <c r="E493">
        <f>IF($A493="",0,IF('TMP Paste'!$B493="",0,1))</f>
        <v>0</v>
      </c>
      <c r="F493" t="str">
        <f t="shared" si="35"/>
        <v/>
      </c>
      <c r="G493" t="str">
        <f t="shared" si="36"/>
        <v/>
      </c>
      <c r="H493" t="str">
        <f t="shared" si="37"/>
        <v/>
      </c>
      <c r="I493" t="str">
        <f t="shared" si="38"/>
        <v/>
      </c>
      <c r="J493" t="str">
        <f t="shared" si="39"/>
        <v/>
      </c>
      <c r="K493" t="str">
        <f>IF($A493="","",IF(COUNTIF($B$2:$B493,$B493)=COUNTIF($B$2:$B$1601,$B493),$B493,""))</f>
        <v/>
      </c>
    </row>
    <row r="494" spans="1:11">
      <c r="A494" t="str">
        <f>IF('TMP Paste'!$E494="","",'TMP Paste'!$E494)</f>
        <v/>
      </c>
      <c r="B494" t="str">
        <f>IF($A494="","",COUNTIF('TMP Paste'!$B$2:$B494,"?*"))</f>
        <v/>
      </c>
      <c r="C494" t="str">
        <f>IF($A494="","",IFERROR('TMP Paste'!$M494*1,0))</f>
        <v/>
      </c>
      <c r="D494" t="str">
        <f>IF($A494="","",SUMIF($B$2:$B494,$B494,$C$2:$C494))</f>
        <v/>
      </c>
      <c r="E494">
        <f>IF($A494="",0,IF('TMP Paste'!$B494="",0,1))</f>
        <v>0</v>
      </c>
      <c r="F494" t="str">
        <f t="shared" si="35"/>
        <v/>
      </c>
      <c r="G494" t="str">
        <f t="shared" si="36"/>
        <v/>
      </c>
      <c r="H494" t="str">
        <f t="shared" si="37"/>
        <v/>
      </c>
      <c r="I494" t="str">
        <f t="shared" si="38"/>
        <v/>
      </c>
      <c r="J494" t="str">
        <f t="shared" si="39"/>
        <v/>
      </c>
      <c r="K494" t="str">
        <f>IF($A494="","",IF(COUNTIF($B$2:$B494,$B494)=COUNTIF($B$2:$B$1601,$B494),$B494,""))</f>
        <v/>
      </c>
    </row>
    <row r="495" spans="1:11">
      <c r="A495" t="str">
        <f>IF('TMP Paste'!$E495="","",'TMP Paste'!$E495)</f>
        <v/>
      </c>
      <c r="B495" t="str">
        <f>IF($A495="","",COUNTIF('TMP Paste'!$B$2:$B495,"?*"))</f>
        <v/>
      </c>
      <c r="C495" t="str">
        <f>IF($A495="","",IFERROR('TMP Paste'!$M495*1,0))</f>
        <v/>
      </c>
      <c r="D495" t="str">
        <f>IF($A495="","",SUMIF($B$2:$B495,$B495,$C$2:$C495))</f>
        <v/>
      </c>
      <c r="E495">
        <f>IF($A495="",0,IF('TMP Paste'!$B495="",0,1))</f>
        <v>0</v>
      </c>
      <c r="F495" t="str">
        <f t="shared" si="35"/>
        <v/>
      </c>
      <c r="G495" t="str">
        <f t="shared" si="36"/>
        <v/>
      </c>
      <c r="H495" t="str">
        <f t="shared" si="37"/>
        <v/>
      </c>
      <c r="I495" t="str">
        <f t="shared" si="38"/>
        <v/>
      </c>
      <c r="J495" t="str">
        <f t="shared" si="39"/>
        <v/>
      </c>
      <c r="K495" t="str">
        <f>IF($A495="","",IF(COUNTIF($B$2:$B495,$B495)=COUNTIF($B$2:$B$1601,$B495),$B495,""))</f>
        <v/>
      </c>
    </row>
    <row r="496" spans="1:11">
      <c r="A496" t="str">
        <f>IF('TMP Paste'!$E496="","",'TMP Paste'!$E496)</f>
        <v/>
      </c>
      <c r="B496" t="str">
        <f>IF($A496="","",COUNTIF('TMP Paste'!$B$2:$B496,"?*"))</f>
        <v/>
      </c>
      <c r="C496" t="str">
        <f>IF($A496="","",IFERROR('TMP Paste'!$M496*1,0))</f>
        <v/>
      </c>
      <c r="D496" t="str">
        <f>IF($A496="","",SUMIF($B$2:$B496,$B496,$C$2:$C496))</f>
        <v/>
      </c>
      <c r="E496">
        <f>IF($A496="",0,IF('TMP Paste'!$B496="",0,1))</f>
        <v>0</v>
      </c>
      <c r="F496" t="str">
        <f t="shared" si="35"/>
        <v/>
      </c>
      <c r="G496" t="str">
        <f t="shared" si="36"/>
        <v/>
      </c>
      <c r="H496" t="str">
        <f t="shared" si="37"/>
        <v/>
      </c>
      <c r="I496" t="str">
        <f t="shared" si="38"/>
        <v/>
      </c>
      <c r="J496" t="str">
        <f t="shared" si="39"/>
        <v/>
      </c>
      <c r="K496" t="str">
        <f>IF($A496="","",IF(COUNTIF($B$2:$B496,$B496)=COUNTIF($B$2:$B$1601,$B496),$B496,""))</f>
        <v/>
      </c>
    </row>
    <row r="497" spans="1:11">
      <c r="A497" t="str">
        <f>IF('TMP Paste'!$E497="","",'TMP Paste'!$E497)</f>
        <v/>
      </c>
      <c r="B497" t="str">
        <f>IF($A497="","",COUNTIF('TMP Paste'!$B$2:$B497,"?*"))</f>
        <v/>
      </c>
      <c r="C497" t="str">
        <f>IF($A497="","",IFERROR('TMP Paste'!$M497*1,0))</f>
        <v/>
      </c>
      <c r="D497" t="str">
        <f>IF($A497="","",SUMIF($B$2:$B497,$B497,$C$2:$C497))</f>
        <v/>
      </c>
      <c r="E497">
        <f>IF($A497="",0,IF('TMP Paste'!$B497="",0,1))</f>
        <v>0</v>
      </c>
      <c r="F497" t="str">
        <f t="shared" si="35"/>
        <v/>
      </c>
      <c r="G497" t="str">
        <f t="shared" si="36"/>
        <v/>
      </c>
      <c r="H497" t="str">
        <f t="shared" si="37"/>
        <v/>
      </c>
      <c r="I497" t="str">
        <f t="shared" si="38"/>
        <v/>
      </c>
      <c r="J497" t="str">
        <f t="shared" si="39"/>
        <v/>
      </c>
      <c r="K497" t="str">
        <f>IF($A497="","",IF(COUNTIF($B$2:$B497,$B497)=COUNTIF($B$2:$B$1601,$B497),$B497,""))</f>
        <v/>
      </c>
    </row>
    <row r="498" spans="1:11">
      <c r="A498" t="str">
        <f>IF('TMP Paste'!$E498="","",'TMP Paste'!$E498)</f>
        <v/>
      </c>
      <c r="B498" t="str">
        <f>IF($A498="","",COUNTIF('TMP Paste'!$B$2:$B498,"?*"))</f>
        <v/>
      </c>
      <c r="C498" t="str">
        <f>IF($A498="","",IFERROR('TMP Paste'!$M498*1,0))</f>
        <v/>
      </c>
      <c r="D498" t="str">
        <f>IF($A498="","",SUMIF($B$2:$B498,$B498,$C$2:$C498))</f>
        <v/>
      </c>
      <c r="E498">
        <f>IF($A498="",0,IF('TMP Paste'!$B498="",0,1))</f>
        <v>0</v>
      </c>
      <c r="F498" t="str">
        <f t="shared" si="35"/>
        <v/>
      </c>
      <c r="G498" t="str">
        <f t="shared" si="36"/>
        <v/>
      </c>
      <c r="H498" t="str">
        <f t="shared" si="37"/>
        <v/>
      </c>
      <c r="I498" t="str">
        <f t="shared" si="38"/>
        <v/>
      </c>
      <c r="J498" t="str">
        <f t="shared" si="39"/>
        <v/>
      </c>
      <c r="K498" t="str">
        <f>IF($A498="","",IF(COUNTIF($B$2:$B498,$B498)=COUNTIF($B$2:$B$1601,$B498),$B498,""))</f>
        <v/>
      </c>
    </row>
    <row r="499" spans="1:11">
      <c r="A499" t="str">
        <f>IF('TMP Paste'!$E499="","",'TMP Paste'!$E499)</f>
        <v/>
      </c>
      <c r="B499" t="str">
        <f>IF($A499="","",COUNTIF('TMP Paste'!$B$2:$B499,"?*"))</f>
        <v/>
      </c>
      <c r="C499" t="str">
        <f>IF($A499="","",IFERROR('TMP Paste'!$M499*1,0))</f>
        <v/>
      </c>
      <c r="D499" t="str">
        <f>IF($A499="","",SUMIF($B$2:$B499,$B499,$C$2:$C499))</f>
        <v/>
      </c>
      <c r="E499">
        <f>IF($A499="",0,IF('TMP Paste'!$B499="",0,1))</f>
        <v>0</v>
      </c>
      <c r="F499" t="str">
        <f t="shared" si="35"/>
        <v/>
      </c>
      <c r="G499" t="str">
        <f t="shared" si="36"/>
        <v/>
      </c>
      <c r="H499" t="str">
        <f t="shared" si="37"/>
        <v/>
      </c>
      <c r="I499" t="str">
        <f t="shared" si="38"/>
        <v/>
      </c>
      <c r="J499" t="str">
        <f t="shared" si="39"/>
        <v/>
      </c>
      <c r="K499" t="str">
        <f>IF($A499="","",IF(COUNTIF($B$2:$B499,$B499)=COUNTIF($B$2:$B$1601,$B499),$B499,""))</f>
        <v/>
      </c>
    </row>
    <row r="500" spans="1:11">
      <c r="A500" t="str">
        <f>IF('TMP Paste'!$E500="","",'TMP Paste'!$E500)</f>
        <v/>
      </c>
      <c r="B500" t="str">
        <f>IF($A500="","",COUNTIF('TMP Paste'!$B$2:$B500,"?*"))</f>
        <v/>
      </c>
      <c r="C500" t="str">
        <f>IF($A500="","",IFERROR('TMP Paste'!$M500*1,0))</f>
        <v/>
      </c>
      <c r="D500" t="str">
        <f>IF($A500="","",SUMIF($B$2:$B500,$B500,$C$2:$C500))</f>
        <v/>
      </c>
      <c r="E500">
        <f>IF($A500="",0,IF('TMP Paste'!$B500="",0,1))</f>
        <v>0</v>
      </c>
      <c r="F500" t="str">
        <f t="shared" si="35"/>
        <v/>
      </c>
      <c r="G500" t="str">
        <f t="shared" si="36"/>
        <v/>
      </c>
      <c r="H500" t="str">
        <f t="shared" si="37"/>
        <v/>
      </c>
      <c r="I500" t="str">
        <f t="shared" si="38"/>
        <v/>
      </c>
      <c r="J500" t="str">
        <f t="shared" si="39"/>
        <v/>
      </c>
      <c r="K500" t="str">
        <f>IF($A500="","",IF(COUNTIF($B$2:$B500,$B500)=COUNTIF($B$2:$B$1601,$B500),$B500,""))</f>
        <v/>
      </c>
    </row>
    <row r="501" spans="1:11">
      <c r="A501" t="str">
        <f>IF('TMP Paste'!$E501="","",'TMP Paste'!$E501)</f>
        <v/>
      </c>
      <c r="B501" t="str">
        <f>IF($A501="","",COUNTIF('TMP Paste'!$B$2:$B501,"?*"))</f>
        <v/>
      </c>
      <c r="C501" t="str">
        <f>IF($A501="","",IFERROR('TMP Paste'!$M501*1,0))</f>
        <v/>
      </c>
      <c r="D501" t="str">
        <f>IF($A501="","",SUMIF($B$2:$B501,$B501,$C$2:$C501))</f>
        <v/>
      </c>
      <c r="E501">
        <f>IF($A501="",0,IF('TMP Paste'!$B501="",0,1))</f>
        <v>0</v>
      </c>
      <c r="F501" t="str">
        <f t="shared" si="35"/>
        <v/>
      </c>
      <c r="G501" t="str">
        <f t="shared" si="36"/>
        <v/>
      </c>
      <c r="H501" t="str">
        <f t="shared" si="37"/>
        <v/>
      </c>
      <c r="I501" t="str">
        <f t="shared" si="38"/>
        <v/>
      </c>
      <c r="J501" t="str">
        <f t="shared" si="39"/>
        <v/>
      </c>
      <c r="K501" t="str">
        <f>IF($A501="","",IF(COUNTIF($B$2:$B501,$B501)=COUNTIF($B$2:$B$1601,$B501),$B501,""))</f>
        <v/>
      </c>
    </row>
    <row r="502" spans="1:11">
      <c r="A502" t="str">
        <f>IF('TMP Paste'!$E502="","",'TMP Paste'!$E502)</f>
        <v/>
      </c>
      <c r="B502" t="str">
        <f>IF($A502="","",COUNTIF('TMP Paste'!$B$2:$B502,"?*"))</f>
        <v/>
      </c>
      <c r="C502" t="str">
        <f>IF($A502="","",IFERROR('TMP Paste'!$M502*1,0))</f>
        <v/>
      </c>
      <c r="D502" t="str">
        <f>IF($A502="","",SUMIF($B$2:$B502,$B502,$C$2:$C502))</f>
        <v/>
      </c>
      <c r="E502">
        <f>IF($A502="",0,IF('TMP Paste'!$B502="",0,1))</f>
        <v>0</v>
      </c>
      <c r="F502" t="str">
        <f t="shared" si="35"/>
        <v/>
      </c>
      <c r="G502" t="str">
        <f t="shared" si="36"/>
        <v/>
      </c>
      <c r="H502" t="str">
        <f t="shared" si="37"/>
        <v/>
      </c>
      <c r="I502" t="str">
        <f t="shared" si="38"/>
        <v/>
      </c>
      <c r="J502" t="str">
        <f t="shared" si="39"/>
        <v/>
      </c>
      <c r="K502" t="str">
        <f>IF($A502="","",IF(COUNTIF($B$2:$B502,$B502)=COUNTIF($B$2:$B$1601,$B502),$B502,""))</f>
        <v/>
      </c>
    </row>
    <row r="503" spans="1:11">
      <c r="A503" t="str">
        <f>IF('TMP Paste'!$E503="","",'TMP Paste'!$E503)</f>
        <v/>
      </c>
      <c r="B503" t="str">
        <f>IF($A503="","",COUNTIF('TMP Paste'!$B$2:$B503,"?*"))</f>
        <v/>
      </c>
      <c r="C503" t="str">
        <f>IF($A503="","",IFERROR('TMP Paste'!$M503*1,0))</f>
        <v/>
      </c>
      <c r="D503" t="str">
        <f>IF($A503="","",SUMIF($B$2:$B503,$B503,$C$2:$C503))</f>
        <v/>
      </c>
      <c r="E503">
        <f>IF($A503="",0,IF('TMP Paste'!$B503="",0,1))</f>
        <v>0</v>
      </c>
      <c r="F503" t="str">
        <f t="shared" si="35"/>
        <v/>
      </c>
      <c r="G503" t="str">
        <f t="shared" si="36"/>
        <v/>
      </c>
      <c r="H503" t="str">
        <f t="shared" si="37"/>
        <v/>
      </c>
      <c r="I503" t="str">
        <f t="shared" si="38"/>
        <v/>
      </c>
      <c r="J503" t="str">
        <f t="shared" si="39"/>
        <v/>
      </c>
      <c r="K503" t="str">
        <f>IF($A503="","",IF(COUNTIF($B$2:$B503,$B503)=COUNTIF($B$2:$B$1601,$B503),$B503,""))</f>
        <v/>
      </c>
    </row>
    <row r="504" spans="1:11">
      <c r="A504" t="str">
        <f>IF('TMP Paste'!$E504="","",'TMP Paste'!$E504)</f>
        <v/>
      </c>
      <c r="B504" t="str">
        <f>IF($A504="","",COUNTIF('TMP Paste'!$B$2:$B504,"?*"))</f>
        <v/>
      </c>
      <c r="C504" t="str">
        <f>IF($A504="","",IFERROR('TMP Paste'!$M504*1,0))</f>
        <v/>
      </c>
      <c r="D504" t="str">
        <f>IF($A504="","",SUMIF($B$2:$B504,$B504,$C$2:$C504))</f>
        <v/>
      </c>
      <c r="E504">
        <f>IF($A504="",0,IF('TMP Paste'!$B504="",0,1))</f>
        <v>0</v>
      </c>
      <c r="F504" t="str">
        <f t="shared" si="35"/>
        <v/>
      </c>
      <c r="G504" t="str">
        <f t="shared" si="36"/>
        <v/>
      </c>
      <c r="H504" t="str">
        <f t="shared" si="37"/>
        <v/>
      </c>
      <c r="I504" t="str">
        <f t="shared" si="38"/>
        <v/>
      </c>
      <c r="J504" t="str">
        <f t="shared" si="39"/>
        <v/>
      </c>
      <c r="K504" t="str">
        <f>IF($A504="","",IF(COUNTIF($B$2:$B504,$B504)=COUNTIF($B$2:$B$1601,$B504),$B504,""))</f>
        <v/>
      </c>
    </row>
    <row r="505" spans="1:11">
      <c r="A505" t="str">
        <f>IF('TMP Paste'!$E505="","",'TMP Paste'!$E505)</f>
        <v/>
      </c>
      <c r="B505" t="str">
        <f>IF($A505="","",COUNTIF('TMP Paste'!$B$2:$B505,"?*"))</f>
        <v/>
      </c>
      <c r="C505" t="str">
        <f>IF($A505="","",IFERROR('TMP Paste'!$M505*1,0))</f>
        <v/>
      </c>
      <c r="D505" t="str">
        <f>IF($A505="","",SUMIF($B$2:$B505,$B505,$C$2:$C505))</f>
        <v/>
      </c>
      <c r="E505">
        <f>IF($A505="",0,IF('TMP Paste'!$B505="",0,1))</f>
        <v>0</v>
      </c>
      <c r="F505" t="str">
        <f t="shared" si="35"/>
        <v/>
      </c>
      <c r="G505" t="str">
        <f t="shared" si="36"/>
        <v/>
      </c>
      <c r="H505" t="str">
        <f t="shared" si="37"/>
        <v/>
      </c>
      <c r="I505" t="str">
        <f t="shared" si="38"/>
        <v/>
      </c>
      <c r="J505" t="str">
        <f t="shared" si="39"/>
        <v/>
      </c>
      <c r="K505" t="str">
        <f>IF($A505="","",IF(COUNTIF($B$2:$B505,$B505)=COUNTIF($B$2:$B$1601,$B505),$B505,""))</f>
        <v/>
      </c>
    </row>
    <row r="506" spans="1:11">
      <c r="A506" t="str">
        <f>IF('TMP Paste'!$E506="","",'TMP Paste'!$E506)</f>
        <v/>
      </c>
      <c r="B506" t="str">
        <f>IF($A506="","",COUNTIF('TMP Paste'!$B$2:$B506,"?*"))</f>
        <v/>
      </c>
      <c r="C506" t="str">
        <f>IF($A506="","",IFERROR('TMP Paste'!$M506*1,0))</f>
        <v/>
      </c>
      <c r="D506" t="str">
        <f>IF($A506="","",SUMIF($B$2:$B506,$B506,$C$2:$C506))</f>
        <v/>
      </c>
      <c r="E506">
        <f>IF($A506="",0,IF('TMP Paste'!$B506="",0,1))</f>
        <v>0</v>
      </c>
      <c r="F506" t="str">
        <f t="shared" si="35"/>
        <v/>
      </c>
      <c r="G506" t="str">
        <f t="shared" si="36"/>
        <v/>
      </c>
      <c r="H506" t="str">
        <f t="shared" si="37"/>
        <v/>
      </c>
      <c r="I506" t="str">
        <f t="shared" si="38"/>
        <v/>
      </c>
      <c r="J506" t="str">
        <f t="shared" si="39"/>
        <v/>
      </c>
      <c r="K506" t="str">
        <f>IF($A506="","",IF(COUNTIF($B$2:$B506,$B506)=COUNTIF($B$2:$B$1601,$B506),$B506,""))</f>
        <v/>
      </c>
    </row>
    <row r="507" spans="1:11">
      <c r="A507" t="str">
        <f>IF('TMP Paste'!$E507="","",'TMP Paste'!$E507)</f>
        <v/>
      </c>
      <c r="B507" t="str">
        <f>IF($A507="","",COUNTIF('TMP Paste'!$B$2:$B507,"?*"))</f>
        <v/>
      </c>
      <c r="C507" t="str">
        <f>IF($A507="","",IFERROR('TMP Paste'!$M507*1,0))</f>
        <v/>
      </c>
      <c r="D507" t="str">
        <f>IF($A507="","",SUMIF($B$2:$B507,$B507,$C$2:$C507))</f>
        <v/>
      </c>
      <c r="E507">
        <f>IF($A507="",0,IF('TMP Paste'!$B507="",0,1))</f>
        <v>0</v>
      </c>
      <c r="F507" t="str">
        <f t="shared" si="35"/>
        <v/>
      </c>
      <c r="G507" t="str">
        <f t="shared" si="36"/>
        <v/>
      </c>
      <c r="H507" t="str">
        <f t="shared" si="37"/>
        <v/>
      </c>
      <c r="I507" t="str">
        <f t="shared" si="38"/>
        <v/>
      </c>
      <c r="J507" t="str">
        <f t="shared" si="39"/>
        <v/>
      </c>
      <c r="K507" t="str">
        <f>IF($A507="","",IF(COUNTIF($B$2:$B507,$B507)=COUNTIF($B$2:$B$1601,$B507),$B507,""))</f>
        <v/>
      </c>
    </row>
    <row r="508" spans="1:11">
      <c r="A508" t="str">
        <f>IF('TMP Paste'!$E508="","",'TMP Paste'!$E508)</f>
        <v/>
      </c>
      <c r="B508" t="str">
        <f>IF($A508="","",COUNTIF('TMP Paste'!$B$2:$B508,"?*"))</f>
        <v/>
      </c>
      <c r="C508" t="str">
        <f>IF($A508="","",IFERROR('TMP Paste'!$M508*1,0))</f>
        <v/>
      </c>
      <c r="D508" t="str">
        <f>IF($A508="","",SUMIF($B$2:$B508,$B508,$C$2:$C508))</f>
        <v/>
      </c>
      <c r="E508">
        <f>IF($A508="",0,IF('TMP Paste'!$B508="",0,1))</f>
        <v>0</v>
      </c>
      <c r="F508" t="str">
        <f t="shared" si="35"/>
        <v/>
      </c>
      <c r="G508" t="str">
        <f t="shared" si="36"/>
        <v/>
      </c>
      <c r="H508" t="str">
        <f t="shared" si="37"/>
        <v/>
      </c>
      <c r="I508" t="str">
        <f t="shared" si="38"/>
        <v/>
      </c>
      <c r="J508" t="str">
        <f t="shared" si="39"/>
        <v/>
      </c>
      <c r="K508" t="str">
        <f>IF($A508="","",IF(COUNTIF($B$2:$B508,$B508)=COUNTIF($B$2:$B$1601,$B508),$B508,""))</f>
        <v/>
      </c>
    </row>
    <row r="509" spans="1:11">
      <c r="A509" t="str">
        <f>IF('TMP Paste'!$E509="","",'TMP Paste'!$E509)</f>
        <v/>
      </c>
      <c r="B509" t="str">
        <f>IF($A509="","",COUNTIF('TMP Paste'!$B$2:$B509,"?*"))</f>
        <v/>
      </c>
      <c r="C509" t="str">
        <f>IF($A509="","",IFERROR('TMP Paste'!$M509*1,0))</f>
        <v/>
      </c>
      <c r="D509" t="str">
        <f>IF($A509="","",SUMIF($B$2:$B509,$B509,$C$2:$C509))</f>
        <v/>
      </c>
      <c r="E509">
        <f>IF($A509="",0,IF('TMP Paste'!$B509="",0,1))</f>
        <v>0</v>
      </c>
      <c r="F509" t="str">
        <f t="shared" si="35"/>
        <v/>
      </c>
      <c r="G509" t="str">
        <f t="shared" si="36"/>
        <v/>
      </c>
      <c r="H509" t="str">
        <f t="shared" si="37"/>
        <v/>
      </c>
      <c r="I509" t="str">
        <f t="shared" si="38"/>
        <v/>
      </c>
      <c r="J509" t="str">
        <f t="shared" si="39"/>
        <v/>
      </c>
      <c r="K509" t="str">
        <f>IF($A509="","",IF(COUNTIF($B$2:$B509,$B509)=COUNTIF($B$2:$B$1601,$B509),$B509,""))</f>
        <v/>
      </c>
    </row>
    <row r="510" spans="1:11">
      <c r="A510" t="str">
        <f>IF('TMP Paste'!$E510="","",'TMP Paste'!$E510)</f>
        <v/>
      </c>
      <c r="B510" t="str">
        <f>IF($A510="","",COUNTIF('TMP Paste'!$B$2:$B510,"?*"))</f>
        <v/>
      </c>
      <c r="C510" t="str">
        <f>IF($A510="","",IFERROR('TMP Paste'!$M510*1,0))</f>
        <v/>
      </c>
      <c r="D510" t="str">
        <f>IF($A510="","",SUMIF($B$2:$B510,$B510,$C$2:$C510))</f>
        <v/>
      </c>
      <c r="E510">
        <f>IF($A510="",0,IF('TMP Paste'!$B510="",0,1))</f>
        <v>0</v>
      </c>
      <c r="F510" t="str">
        <f t="shared" si="35"/>
        <v/>
      </c>
      <c r="G510" t="str">
        <f t="shared" si="36"/>
        <v/>
      </c>
      <c r="H510" t="str">
        <f t="shared" si="37"/>
        <v/>
      </c>
      <c r="I510" t="str">
        <f t="shared" si="38"/>
        <v/>
      </c>
      <c r="J510" t="str">
        <f t="shared" si="39"/>
        <v/>
      </c>
      <c r="K510" t="str">
        <f>IF($A510="","",IF(COUNTIF($B$2:$B510,$B510)=COUNTIF($B$2:$B$1601,$B510),$B510,""))</f>
        <v/>
      </c>
    </row>
    <row r="511" spans="1:11">
      <c r="A511" t="str">
        <f>IF('TMP Paste'!$E511="","",'TMP Paste'!$E511)</f>
        <v/>
      </c>
      <c r="B511" t="str">
        <f>IF($A511="","",COUNTIF('TMP Paste'!$B$2:$B511,"?*"))</f>
        <v/>
      </c>
      <c r="C511" t="str">
        <f>IF($A511="","",IFERROR('TMP Paste'!$M511*1,0))</f>
        <v/>
      </c>
      <c r="D511" t="str">
        <f>IF($A511="","",SUMIF($B$2:$B511,$B511,$C$2:$C511))</f>
        <v/>
      </c>
      <c r="E511">
        <f>IF($A511="",0,IF('TMP Paste'!$B511="",0,1))</f>
        <v>0</v>
      </c>
      <c r="F511" t="str">
        <f t="shared" si="35"/>
        <v/>
      </c>
      <c r="G511" t="str">
        <f t="shared" si="36"/>
        <v/>
      </c>
      <c r="H511" t="str">
        <f t="shared" si="37"/>
        <v/>
      </c>
      <c r="I511" t="str">
        <f t="shared" si="38"/>
        <v/>
      </c>
      <c r="J511" t="str">
        <f t="shared" si="39"/>
        <v/>
      </c>
      <c r="K511" t="str">
        <f>IF($A511="","",IF(COUNTIF($B$2:$B511,$B511)=COUNTIF($B$2:$B$1601,$B511),$B511,""))</f>
        <v/>
      </c>
    </row>
    <row r="512" spans="1:11">
      <c r="A512" t="str">
        <f>IF('TMP Paste'!$E512="","",'TMP Paste'!$E512)</f>
        <v/>
      </c>
      <c r="B512" t="str">
        <f>IF($A512="","",COUNTIF('TMP Paste'!$B$2:$B512,"?*"))</f>
        <v/>
      </c>
      <c r="C512" t="str">
        <f>IF($A512="","",IFERROR('TMP Paste'!$M512*1,0))</f>
        <v/>
      </c>
      <c r="D512" t="str">
        <f>IF($A512="","",SUMIF($B$2:$B512,$B512,$C$2:$C512))</f>
        <v/>
      </c>
      <c r="E512">
        <f>IF($A512="",0,IF('TMP Paste'!$B512="",0,1))</f>
        <v>0</v>
      </c>
      <c r="F512" t="str">
        <f t="shared" si="35"/>
        <v/>
      </c>
      <c r="G512" t="str">
        <f t="shared" si="36"/>
        <v/>
      </c>
      <c r="H512" t="str">
        <f t="shared" si="37"/>
        <v/>
      </c>
      <c r="I512" t="str">
        <f t="shared" si="38"/>
        <v/>
      </c>
      <c r="J512" t="str">
        <f t="shared" si="39"/>
        <v/>
      </c>
      <c r="K512" t="str">
        <f>IF($A512="","",IF(COUNTIF($B$2:$B512,$B512)=COUNTIF($B$2:$B$1601,$B512),$B512,""))</f>
        <v/>
      </c>
    </row>
    <row r="513" spans="1:11">
      <c r="A513" t="str">
        <f>IF('TMP Paste'!$E513="","",'TMP Paste'!$E513)</f>
        <v/>
      </c>
      <c r="B513" t="str">
        <f>IF($A513="","",COUNTIF('TMP Paste'!$B$2:$B513,"?*"))</f>
        <v/>
      </c>
      <c r="C513" t="str">
        <f>IF($A513="","",IFERROR('TMP Paste'!$M513*1,0))</f>
        <v/>
      </c>
      <c r="D513" t="str">
        <f>IF($A513="","",SUMIF($B$2:$B513,$B513,$C$2:$C513))</f>
        <v/>
      </c>
      <c r="E513">
        <f>IF($A513="",0,IF('TMP Paste'!$B513="",0,1))</f>
        <v>0</v>
      </c>
      <c r="F513" t="str">
        <f t="shared" si="35"/>
        <v/>
      </c>
      <c r="G513" t="str">
        <f t="shared" si="36"/>
        <v/>
      </c>
      <c r="H513" t="str">
        <f t="shared" si="37"/>
        <v/>
      </c>
      <c r="I513" t="str">
        <f t="shared" si="38"/>
        <v/>
      </c>
      <c r="J513" t="str">
        <f t="shared" si="39"/>
        <v/>
      </c>
      <c r="K513" t="str">
        <f>IF($A513="","",IF(COUNTIF($B$2:$B513,$B513)=COUNTIF($B$2:$B$1601,$B513),$B513,""))</f>
        <v/>
      </c>
    </row>
    <row r="514" spans="1:11">
      <c r="A514" t="str">
        <f>IF('TMP Paste'!$E514="","",'TMP Paste'!$E514)</f>
        <v/>
      </c>
      <c r="B514" t="str">
        <f>IF($A514="","",COUNTIF('TMP Paste'!$B$2:$B514,"?*"))</f>
        <v/>
      </c>
      <c r="C514" t="str">
        <f>IF($A514="","",IFERROR('TMP Paste'!$M514*1,0))</f>
        <v/>
      </c>
      <c r="D514" t="str">
        <f>IF($A514="","",SUMIF($B$2:$B514,$B514,$C$2:$C514))</f>
        <v/>
      </c>
      <c r="E514">
        <f>IF($A514="",0,IF('TMP Paste'!$B514="",0,1))</f>
        <v>0</v>
      </c>
      <c r="F514" t="str">
        <f t="shared" ref="F514:F577" si="40">IF(OR($A514="",$C514&lt;1),"",$A514&amp;"-"&amp;TEXT(($D514-$C514+1),"00")&amp;IF($C514&gt;=2,", "&amp;$A514&amp;"-"&amp;TEXT(($D514-$C514+1)+1,"00"),"")&amp;IF($C514&gt;=3,", "&amp;$A514&amp;"-"&amp;TEXT(($D514-$C514+1)+2,"00"),"")&amp;IF($C514&gt;=4,", "&amp;$A514&amp;"-"&amp;TEXT(($D514-$C514+1)+3,"00"),"")&amp;IF($C514&gt;=5,", "&amp;$A514&amp;"-"&amp;TEXT(($D514-$C514+1)+4,"00"),"")&amp;IF($C514&gt;=6,", "&amp;$A514&amp;"-"&amp;TEXT(($D514-$C514+1)+5,"00"),"")&amp;IF($C514&gt;=7,", "&amp;$A514&amp;"-"&amp;TEXT(($D514-$C514+1)+6,"00"),"")&amp;IF($C514&gt;=8,", "&amp;$A514&amp;"-"&amp;TEXT(($D514-$C514+1)+7,"00"),"")&amp;IF($C514&gt;=9,", "&amp;$A514&amp;"-"&amp;TEXT(($D514-$C514+1)+8,"00"),"")&amp;IF($C514&gt;=10,", "&amp;$A514&amp;"-"&amp;TEXT(($D514-$C514+1)+9,"00"),"")&amp;IF($C514&gt;=11,", "&amp;$A514&amp;"-"&amp;TEXT(($D514-$C514+1)+10,"00"),"")&amp;IF($C514&gt;=12,", "&amp;$A514&amp;"-"&amp;TEXT(($D514-$C514+1)+11,"00"),"")&amp;IF($C514&gt;=13,", "&amp;$A514&amp;"-"&amp;TEXT(($D514-$C514+1)+12,"00"),"")&amp;IF($C514&gt;=14,", "&amp;$A514&amp;"-"&amp;TEXT(($D514-$C514+1)+13,"00"),"")&amp;IF($C514&gt;=15,", "&amp;$A514&amp;"-"&amp;TEXT(($D514-$C514+1)+14,"00"),"")&amp;IF($C514&gt;=16,", "&amp;$A514&amp;"-"&amp;TEXT(($D514-$C514+1)+15,"00"),"")&amp;IF($C514&gt;=17,", "&amp;$A514&amp;"-"&amp;TEXT(($D514-$C514+1)+16,"00"),"")&amp;IF($C514&gt;=18,", "&amp;$A514&amp;"-"&amp;TEXT(($D514-$C514+1)+17,"00"),"")&amp;IF($C514&gt;=19,", "&amp;$A514&amp;"-"&amp;TEXT(($D514-$C514+1)+18,"00"),"")&amp;IF($C514&gt;=20,", "&amp;$A514&amp;"-"&amp;TEXT(($D514-$C514+1)+19,"00"),"")&amp;IF($C514&gt;=21,", "&amp;$A514&amp;"-"&amp;TEXT(($D514-$C514+1)+20,"00"),"")&amp;IF($C514&gt;=22,", "&amp;$A514&amp;"-"&amp;TEXT(($D514-$C514+1)+21,"00"),"")&amp;IF($C514&gt;=23,", "&amp;$A514&amp;"-"&amp;TEXT(($D514-$C514+1)+22,"00"),"")&amp;IF($C514&gt;=24,", "&amp;$A514&amp;"-"&amp;TEXT(($D514-$C514+1)+23,"00"),"")&amp;IF($C514&gt;=25,", "&amp;$A514&amp;"-"&amp;TEXT(($D514-$C514+1)+24,"00"),""))</f>
        <v/>
      </c>
      <c r="G514" t="str">
        <f t="shared" ref="G514:G577" si="41">IF($A514="","",IF($E514=1,$F514,IF($F514="",$G513,IF($G513="",$F514,$G513&amp;", "&amp;$F514))))</f>
        <v/>
      </c>
      <c r="H514" t="str">
        <f t="shared" ref="H514:H577" si="42">IF($A514="","",$A514&amp;" ("&amp;$C514&amp;")")</f>
        <v/>
      </c>
      <c r="I514" t="str">
        <f t="shared" ref="I514:I577" si="43">IF($A514="","",IF($E514=1,$H514,$I513&amp;", "&amp;$H514))</f>
        <v/>
      </c>
      <c r="J514" t="str">
        <f t="shared" ref="J514:J577" si="44">IF($A514="","",IF($E514=1,$B514,""))</f>
        <v/>
      </c>
      <c r="K514" t="str">
        <f>IF($A514="","",IF(COUNTIF($B$2:$B514,$B514)=COUNTIF($B$2:$B$1601,$B514),$B514,""))</f>
        <v/>
      </c>
    </row>
    <row r="515" spans="1:11">
      <c r="A515" t="str">
        <f>IF('TMP Paste'!$E515="","",'TMP Paste'!$E515)</f>
        <v/>
      </c>
      <c r="B515" t="str">
        <f>IF($A515="","",COUNTIF('TMP Paste'!$B$2:$B515,"?*"))</f>
        <v/>
      </c>
      <c r="C515" t="str">
        <f>IF($A515="","",IFERROR('TMP Paste'!$M515*1,0))</f>
        <v/>
      </c>
      <c r="D515" t="str">
        <f>IF($A515="","",SUMIF($B$2:$B515,$B515,$C$2:$C515))</f>
        <v/>
      </c>
      <c r="E515">
        <f>IF($A515="",0,IF('TMP Paste'!$B515="",0,1))</f>
        <v>0</v>
      </c>
      <c r="F515" t="str">
        <f t="shared" si="40"/>
        <v/>
      </c>
      <c r="G515" t="str">
        <f t="shared" si="41"/>
        <v/>
      </c>
      <c r="H515" t="str">
        <f t="shared" si="42"/>
        <v/>
      </c>
      <c r="I515" t="str">
        <f t="shared" si="43"/>
        <v/>
      </c>
      <c r="J515" t="str">
        <f t="shared" si="44"/>
        <v/>
      </c>
      <c r="K515" t="str">
        <f>IF($A515="","",IF(COUNTIF($B$2:$B515,$B515)=COUNTIF($B$2:$B$1601,$B515),$B515,""))</f>
        <v/>
      </c>
    </row>
    <row r="516" spans="1:11">
      <c r="A516" t="str">
        <f>IF('TMP Paste'!$E516="","",'TMP Paste'!$E516)</f>
        <v/>
      </c>
      <c r="B516" t="str">
        <f>IF($A516="","",COUNTIF('TMP Paste'!$B$2:$B516,"?*"))</f>
        <v/>
      </c>
      <c r="C516" t="str">
        <f>IF($A516="","",IFERROR('TMP Paste'!$M516*1,0))</f>
        <v/>
      </c>
      <c r="D516" t="str">
        <f>IF($A516="","",SUMIF($B$2:$B516,$B516,$C$2:$C516))</f>
        <v/>
      </c>
      <c r="E516">
        <f>IF($A516="",0,IF('TMP Paste'!$B516="",0,1))</f>
        <v>0</v>
      </c>
      <c r="F516" t="str">
        <f t="shared" si="40"/>
        <v/>
      </c>
      <c r="G516" t="str">
        <f t="shared" si="41"/>
        <v/>
      </c>
      <c r="H516" t="str">
        <f t="shared" si="42"/>
        <v/>
      </c>
      <c r="I516" t="str">
        <f t="shared" si="43"/>
        <v/>
      </c>
      <c r="J516" t="str">
        <f t="shared" si="44"/>
        <v/>
      </c>
      <c r="K516" t="str">
        <f>IF($A516="","",IF(COUNTIF($B$2:$B516,$B516)=COUNTIF($B$2:$B$1601,$B516),$B516,""))</f>
        <v/>
      </c>
    </row>
    <row r="517" spans="1:11">
      <c r="A517" t="str">
        <f>IF('TMP Paste'!$E517="","",'TMP Paste'!$E517)</f>
        <v/>
      </c>
      <c r="B517" t="str">
        <f>IF($A517="","",COUNTIF('TMP Paste'!$B$2:$B517,"?*"))</f>
        <v/>
      </c>
      <c r="C517" t="str">
        <f>IF($A517="","",IFERROR('TMP Paste'!$M517*1,0))</f>
        <v/>
      </c>
      <c r="D517" t="str">
        <f>IF($A517="","",SUMIF($B$2:$B517,$B517,$C$2:$C517))</f>
        <v/>
      </c>
      <c r="E517">
        <f>IF($A517="",0,IF('TMP Paste'!$B517="",0,1))</f>
        <v>0</v>
      </c>
      <c r="F517" t="str">
        <f t="shared" si="40"/>
        <v/>
      </c>
      <c r="G517" t="str">
        <f t="shared" si="41"/>
        <v/>
      </c>
      <c r="H517" t="str">
        <f t="shared" si="42"/>
        <v/>
      </c>
      <c r="I517" t="str">
        <f t="shared" si="43"/>
        <v/>
      </c>
      <c r="J517" t="str">
        <f t="shared" si="44"/>
        <v/>
      </c>
      <c r="K517" t="str">
        <f>IF($A517="","",IF(COUNTIF($B$2:$B517,$B517)=COUNTIF($B$2:$B$1601,$B517),$B517,""))</f>
        <v/>
      </c>
    </row>
    <row r="518" spans="1:11">
      <c r="A518" t="str">
        <f>IF('TMP Paste'!$E518="","",'TMP Paste'!$E518)</f>
        <v/>
      </c>
      <c r="B518" t="str">
        <f>IF($A518="","",COUNTIF('TMP Paste'!$B$2:$B518,"?*"))</f>
        <v/>
      </c>
      <c r="C518" t="str">
        <f>IF($A518="","",IFERROR('TMP Paste'!$M518*1,0))</f>
        <v/>
      </c>
      <c r="D518" t="str">
        <f>IF($A518="","",SUMIF($B$2:$B518,$B518,$C$2:$C518))</f>
        <v/>
      </c>
      <c r="E518">
        <f>IF($A518="",0,IF('TMP Paste'!$B518="",0,1))</f>
        <v>0</v>
      </c>
      <c r="F518" t="str">
        <f t="shared" si="40"/>
        <v/>
      </c>
      <c r="G518" t="str">
        <f t="shared" si="41"/>
        <v/>
      </c>
      <c r="H518" t="str">
        <f t="shared" si="42"/>
        <v/>
      </c>
      <c r="I518" t="str">
        <f t="shared" si="43"/>
        <v/>
      </c>
      <c r="J518" t="str">
        <f t="shared" si="44"/>
        <v/>
      </c>
      <c r="K518" t="str">
        <f>IF($A518="","",IF(COUNTIF($B$2:$B518,$B518)=COUNTIF($B$2:$B$1601,$B518),$B518,""))</f>
        <v/>
      </c>
    </row>
    <row r="519" spans="1:11">
      <c r="A519" t="str">
        <f>IF('TMP Paste'!$E519="","",'TMP Paste'!$E519)</f>
        <v/>
      </c>
      <c r="B519" t="str">
        <f>IF($A519="","",COUNTIF('TMP Paste'!$B$2:$B519,"?*"))</f>
        <v/>
      </c>
      <c r="C519" t="str">
        <f>IF($A519="","",IFERROR('TMP Paste'!$M519*1,0))</f>
        <v/>
      </c>
      <c r="D519" t="str">
        <f>IF($A519="","",SUMIF($B$2:$B519,$B519,$C$2:$C519))</f>
        <v/>
      </c>
      <c r="E519">
        <f>IF($A519="",0,IF('TMP Paste'!$B519="",0,1))</f>
        <v>0</v>
      </c>
      <c r="F519" t="str">
        <f t="shared" si="40"/>
        <v/>
      </c>
      <c r="G519" t="str">
        <f t="shared" si="41"/>
        <v/>
      </c>
      <c r="H519" t="str">
        <f t="shared" si="42"/>
        <v/>
      </c>
      <c r="I519" t="str">
        <f t="shared" si="43"/>
        <v/>
      </c>
      <c r="J519" t="str">
        <f t="shared" si="44"/>
        <v/>
      </c>
      <c r="K519" t="str">
        <f>IF($A519="","",IF(COUNTIF($B$2:$B519,$B519)=COUNTIF($B$2:$B$1601,$B519),$B519,""))</f>
        <v/>
      </c>
    </row>
    <row r="520" spans="1:11">
      <c r="A520" t="str">
        <f>IF('TMP Paste'!$E520="","",'TMP Paste'!$E520)</f>
        <v/>
      </c>
      <c r="B520" t="str">
        <f>IF($A520="","",COUNTIF('TMP Paste'!$B$2:$B520,"?*"))</f>
        <v/>
      </c>
      <c r="C520" t="str">
        <f>IF($A520="","",IFERROR('TMP Paste'!$M520*1,0))</f>
        <v/>
      </c>
      <c r="D520" t="str">
        <f>IF($A520="","",SUMIF($B$2:$B520,$B520,$C$2:$C520))</f>
        <v/>
      </c>
      <c r="E520">
        <f>IF($A520="",0,IF('TMP Paste'!$B520="",0,1))</f>
        <v>0</v>
      </c>
      <c r="F520" t="str">
        <f t="shared" si="40"/>
        <v/>
      </c>
      <c r="G520" t="str">
        <f t="shared" si="41"/>
        <v/>
      </c>
      <c r="H520" t="str">
        <f t="shared" si="42"/>
        <v/>
      </c>
      <c r="I520" t="str">
        <f t="shared" si="43"/>
        <v/>
      </c>
      <c r="J520" t="str">
        <f t="shared" si="44"/>
        <v/>
      </c>
      <c r="K520" t="str">
        <f>IF($A520="","",IF(COUNTIF($B$2:$B520,$B520)=COUNTIF($B$2:$B$1601,$B520),$B520,""))</f>
        <v/>
      </c>
    </row>
    <row r="521" spans="1:11">
      <c r="A521" t="str">
        <f>IF('TMP Paste'!$E521="","",'TMP Paste'!$E521)</f>
        <v/>
      </c>
      <c r="B521" t="str">
        <f>IF($A521="","",COUNTIF('TMP Paste'!$B$2:$B521,"?*"))</f>
        <v/>
      </c>
      <c r="C521" t="str">
        <f>IF($A521="","",IFERROR('TMP Paste'!$M521*1,0))</f>
        <v/>
      </c>
      <c r="D521" t="str">
        <f>IF($A521="","",SUMIF($B$2:$B521,$B521,$C$2:$C521))</f>
        <v/>
      </c>
      <c r="E521">
        <f>IF($A521="",0,IF('TMP Paste'!$B521="",0,1))</f>
        <v>0</v>
      </c>
      <c r="F521" t="str">
        <f t="shared" si="40"/>
        <v/>
      </c>
      <c r="G521" t="str">
        <f t="shared" si="41"/>
        <v/>
      </c>
      <c r="H521" t="str">
        <f t="shared" si="42"/>
        <v/>
      </c>
      <c r="I521" t="str">
        <f t="shared" si="43"/>
        <v/>
      </c>
      <c r="J521" t="str">
        <f t="shared" si="44"/>
        <v/>
      </c>
      <c r="K521" t="str">
        <f>IF($A521="","",IF(COUNTIF($B$2:$B521,$B521)=COUNTIF($B$2:$B$1601,$B521),$B521,""))</f>
        <v/>
      </c>
    </row>
    <row r="522" spans="1:11">
      <c r="A522" t="str">
        <f>IF('TMP Paste'!$E522="","",'TMP Paste'!$E522)</f>
        <v/>
      </c>
      <c r="B522" t="str">
        <f>IF($A522="","",COUNTIF('TMP Paste'!$B$2:$B522,"?*"))</f>
        <v/>
      </c>
      <c r="C522" t="str">
        <f>IF($A522="","",IFERROR('TMP Paste'!$M522*1,0))</f>
        <v/>
      </c>
      <c r="D522" t="str">
        <f>IF($A522="","",SUMIF($B$2:$B522,$B522,$C$2:$C522))</f>
        <v/>
      </c>
      <c r="E522">
        <f>IF($A522="",0,IF('TMP Paste'!$B522="",0,1))</f>
        <v>0</v>
      </c>
      <c r="F522" t="str">
        <f t="shared" si="40"/>
        <v/>
      </c>
      <c r="G522" t="str">
        <f t="shared" si="41"/>
        <v/>
      </c>
      <c r="H522" t="str">
        <f t="shared" si="42"/>
        <v/>
      </c>
      <c r="I522" t="str">
        <f t="shared" si="43"/>
        <v/>
      </c>
      <c r="J522" t="str">
        <f t="shared" si="44"/>
        <v/>
      </c>
      <c r="K522" t="str">
        <f>IF($A522="","",IF(COUNTIF($B$2:$B522,$B522)=COUNTIF($B$2:$B$1601,$B522),$B522,""))</f>
        <v/>
      </c>
    </row>
    <row r="523" spans="1:11">
      <c r="A523" t="str">
        <f>IF('TMP Paste'!$E523="","",'TMP Paste'!$E523)</f>
        <v/>
      </c>
      <c r="B523" t="str">
        <f>IF($A523="","",COUNTIF('TMP Paste'!$B$2:$B523,"?*"))</f>
        <v/>
      </c>
      <c r="C523" t="str">
        <f>IF($A523="","",IFERROR('TMP Paste'!$M523*1,0))</f>
        <v/>
      </c>
      <c r="D523" t="str">
        <f>IF($A523="","",SUMIF($B$2:$B523,$B523,$C$2:$C523))</f>
        <v/>
      </c>
      <c r="E523">
        <f>IF($A523="",0,IF('TMP Paste'!$B523="",0,1))</f>
        <v>0</v>
      </c>
      <c r="F523" t="str">
        <f t="shared" si="40"/>
        <v/>
      </c>
      <c r="G523" t="str">
        <f t="shared" si="41"/>
        <v/>
      </c>
      <c r="H523" t="str">
        <f t="shared" si="42"/>
        <v/>
      </c>
      <c r="I523" t="str">
        <f t="shared" si="43"/>
        <v/>
      </c>
      <c r="J523" t="str">
        <f t="shared" si="44"/>
        <v/>
      </c>
      <c r="K523" t="str">
        <f>IF($A523="","",IF(COUNTIF($B$2:$B523,$B523)=COUNTIF($B$2:$B$1601,$B523),$B523,""))</f>
        <v/>
      </c>
    </row>
    <row r="524" spans="1:11">
      <c r="A524" t="str">
        <f>IF('TMP Paste'!$E524="","",'TMP Paste'!$E524)</f>
        <v/>
      </c>
      <c r="B524" t="str">
        <f>IF($A524="","",COUNTIF('TMP Paste'!$B$2:$B524,"?*"))</f>
        <v/>
      </c>
      <c r="C524" t="str">
        <f>IF($A524="","",IFERROR('TMP Paste'!$M524*1,0))</f>
        <v/>
      </c>
      <c r="D524" t="str">
        <f>IF($A524="","",SUMIF($B$2:$B524,$B524,$C$2:$C524))</f>
        <v/>
      </c>
      <c r="E524">
        <f>IF($A524="",0,IF('TMP Paste'!$B524="",0,1))</f>
        <v>0</v>
      </c>
      <c r="F524" t="str">
        <f t="shared" si="40"/>
        <v/>
      </c>
      <c r="G524" t="str">
        <f t="shared" si="41"/>
        <v/>
      </c>
      <c r="H524" t="str">
        <f t="shared" si="42"/>
        <v/>
      </c>
      <c r="I524" t="str">
        <f t="shared" si="43"/>
        <v/>
      </c>
      <c r="J524" t="str">
        <f t="shared" si="44"/>
        <v/>
      </c>
      <c r="K524" t="str">
        <f>IF($A524="","",IF(COUNTIF($B$2:$B524,$B524)=COUNTIF($B$2:$B$1601,$B524),$B524,""))</f>
        <v/>
      </c>
    </row>
    <row r="525" spans="1:11">
      <c r="A525" t="str">
        <f>IF('TMP Paste'!$E525="","",'TMP Paste'!$E525)</f>
        <v/>
      </c>
      <c r="B525" t="str">
        <f>IF($A525="","",COUNTIF('TMP Paste'!$B$2:$B525,"?*"))</f>
        <v/>
      </c>
      <c r="C525" t="str">
        <f>IF($A525="","",IFERROR('TMP Paste'!$M525*1,0))</f>
        <v/>
      </c>
      <c r="D525" t="str">
        <f>IF($A525="","",SUMIF($B$2:$B525,$B525,$C$2:$C525))</f>
        <v/>
      </c>
      <c r="E525">
        <f>IF($A525="",0,IF('TMP Paste'!$B525="",0,1))</f>
        <v>0</v>
      </c>
      <c r="F525" t="str">
        <f t="shared" si="40"/>
        <v/>
      </c>
      <c r="G525" t="str">
        <f t="shared" si="41"/>
        <v/>
      </c>
      <c r="H525" t="str">
        <f t="shared" si="42"/>
        <v/>
      </c>
      <c r="I525" t="str">
        <f t="shared" si="43"/>
        <v/>
      </c>
      <c r="J525" t="str">
        <f t="shared" si="44"/>
        <v/>
      </c>
      <c r="K525" t="str">
        <f>IF($A525="","",IF(COUNTIF($B$2:$B525,$B525)=COUNTIF($B$2:$B$1601,$B525),$B525,""))</f>
        <v/>
      </c>
    </row>
    <row r="526" spans="1:11">
      <c r="A526" t="str">
        <f>IF('TMP Paste'!$E526="","",'TMP Paste'!$E526)</f>
        <v/>
      </c>
      <c r="B526" t="str">
        <f>IF($A526="","",COUNTIF('TMP Paste'!$B$2:$B526,"?*"))</f>
        <v/>
      </c>
      <c r="C526" t="str">
        <f>IF($A526="","",IFERROR('TMP Paste'!$M526*1,0))</f>
        <v/>
      </c>
      <c r="D526" t="str">
        <f>IF($A526="","",SUMIF($B$2:$B526,$B526,$C$2:$C526))</f>
        <v/>
      </c>
      <c r="E526">
        <f>IF($A526="",0,IF('TMP Paste'!$B526="",0,1))</f>
        <v>0</v>
      </c>
      <c r="F526" t="str">
        <f t="shared" si="40"/>
        <v/>
      </c>
      <c r="G526" t="str">
        <f t="shared" si="41"/>
        <v/>
      </c>
      <c r="H526" t="str">
        <f t="shared" si="42"/>
        <v/>
      </c>
      <c r="I526" t="str">
        <f t="shared" si="43"/>
        <v/>
      </c>
      <c r="J526" t="str">
        <f t="shared" si="44"/>
        <v/>
      </c>
      <c r="K526" t="str">
        <f>IF($A526="","",IF(COUNTIF($B$2:$B526,$B526)=COUNTIF($B$2:$B$1601,$B526),$B526,""))</f>
        <v/>
      </c>
    </row>
    <row r="527" spans="1:11">
      <c r="A527" t="str">
        <f>IF('TMP Paste'!$E527="","",'TMP Paste'!$E527)</f>
        <v/>
      </c>
      <c r="B527" t="str">
        <f>IF($A527="","",COUNTIF('TMP Paste'!$B$2:$B527,"?*"))</f>
        <v/>
      </c>
      <c r="C527" t="str">
        <f>IF($A527="","",IFERROR('TMP Paste'!$M527*1,0))</f>
        <v/>
      </c>
      <c r="D527" t="str">
        <f>IF($A527="","",SUMIF($B$2:$B527,$B527,$C$2:$C527))</f>
        <v/>
      </c>
      <c r="E527">
        <f>IF($A527="",0,IF('TMP Paste'!$B527="",0,1))</f>
        <v>0</v>
      </c>
      <c r="F527" t="str">
        <f t="shared" si="40"/>
        <v/>
      </c>
      <c r="G527" t="str">
        <f t="shared" si="41"/>
        <v/>
      </c>
      <c r="H527" t="str">
        <f t="shared" si="42"/>
        <v/>
      </c>
      <c r="I527" t="str">
        <f t="shared" si="43"/>
        <v/>
      </c>
      <c r="J527" t="str">
        <f t="shared" si="44"/>
        <v/>
      </c>
      <c r="K527" t="str">
        <f>IF($A527="","",IF(COUNTIF($B$2:$B527,$B527)=COUNTIF($B$2:$B$1601,$B527),$B527,""))</f>
        <v/>
      </c>
    </row>
    <row r="528" spans="1:11">
      <c r="A528" t="str">
        <f>IF('TMP Paste'!$E528="","",'TMP Paste'!$E528)</f>
        <v/>
      </c>
      <c r="B528" t="str">
        <f>IF($A528="","",COUNTIF('TMP Paste'!$B$2:$B528,"?*"))</f>
        <v/>
      </c>
      <c r="C528" t="str">
        <f>IF($A528="","",IFERROR('TMP Paste'!$M528*1,0))</f>
        <v/>
      </c>
      <c r="D528" t="str">
        <f>IF($A528="","",SUMIF($B$2:$B528,$B528,$C$2:$C528))</f>
        <v/>
      </c>
      <c r="E528">
        <f>IF($A528="",0,IF('TMP Paste'!$B528="",0,1))</f>
        <v>0</v>
      </c>
      <c r="F528" t="str">
        <f t="shared" si="40"/>
        <v/>
      </c>
      <c r="G528" t="str">
        <f t="shared" si="41"/>
        <v/>
      </c>
      <c r="H528" t="str">
        <f t="shared" si="42"/>
        <v/>
      </c>
      <c r="I528" t="str">
        <f t="shared" si="43"/>
        <v/>
      </c>
      <c r="J528" t="str">
        <f t="shared" si="44"/>
        <v/>
      </c>
      <c r="K528" t="str">
        <f>IF($A528="","",IF(COUNTIF($B$2:$B528,$B528)=COUNTIF($B$2:$B$1601,$B528),$B528,""))</f>
        <v/>
      </c>
    </row>
    <row r="529" spans="1:11">
      <c r="A529" t="str">
        <f>IF('TMP Paste'!$E529="","",'TMP Paste'!$E529)</f>
        <v/>
      </c>
      <c r="B529" t="str">
        <f>IF($A529="","",COUNTIF('TMP Paste'!$B$2:$B529,"?*"))</f>
        <v/>
      </c>
      <c r="C529" t="str">
        <f>IF($A529="","",IFERROR('TMP Paste'!$M529*1,0))</f>
        <v/>
      </c>
      <c r="D529" t="str">
        <f>IF($A529="","",SUMIF($B$2:$B529,$B529,$C$2:$C529))</f>
        <v/>
      </c>
      <c r="E529">
        <f>IF($A529="",0,IF('TMP Paste'!$B529="",0,1))</f>
        <v>0</v>
      </c>
      <c r="F529" t="str">
        <f t="shared" si="40"/>
        <v/>
      </c>
      <c r="G529" t="str">
        <f t="shared" si="41"/>
        <v/>
      </c>
      <c r="H529" t="str">
        <f t="shared" si="42"/>
        <v/>
      </c>
      <c r="I529" t="str">
        <f t="shared" si="43"/>
        <v/>
      </c>
      <c r="J529" t="str">
        <f t="shared" si="44"/>
        <v/>
      </c>
      <c r="K529" t="str">
        <f>IF($A529="","",IF(COUNTIF($B$2:$B529,$B529)=COUNTIF($B$2:$B$1601,$B529),$B529,""))</f>
        <v/>
      </c>
    </row>
    <row r="530" spans="1:11">
      <c r="A530" t="str">
        <f>IF('TMP Paste'!$E530="","",'TMP Paste'!$E530)</f>
        <v/>
      </c>
      <c r="B530" t="str">
        <f>IF($A530="","",COUNTIF('TMP Paste'!$B$2:$B530,"?*"))</f>
        <v/>
      </c>
      <c r="C530" t="str">
        <f>IF($A530="","",IFERROR('TMP Paste'!$M530*1,0))</f>
        <v/>
      </c>
      <c r="D530" t="str">
        <f>IF($A530="","",SUMIF($B$2:$B530,$B530,$C$2:$C530))</f>
        <v/>
      </c>
      <c r="E530">
        <f>IF($A530="",0,IF('TMP Paste'!$B530="",0,1))</f>
        <v>0</v>
      </c>
      <c r="F530" t="str">
        <f t="shared" si="40"/>
        <v/>
      </c>
      <c r="G530" t="str">
        <f t="shared" si="41"/>
        <v/>
      </c>
      <c r="H530" t="str">
        <f t="shared" si="42"/>
        <v/>
      </c>
      <c r="I530" t="str">
        <f t="shared" si="43"/>
        <v/>
      </c>
      <c r="J530" t="str">
        <f t="shared" si="44"/>
        <v/>
      </c>
      <c r="K530" t="str">
        <f>IF($A530="","",IF(COUNTIF($B$2:$B530,$B530)=COUNTIF($B$2:$B$1601,$B530),$B530,""))</f>
        <v/>
      </c>
    </row>
    <row r="531" spans="1:11">
      <c r="A531" t="str">
        <f>IF('TMP Paste'!$E531="","",'TMP Paste'!$E531)</f>
        <v/>
      </c>
      <c r="B531" t="str">
        <f>IF($A531="","",COUNTIF('TMP Paste'!$B$2:$B531,"?*"))</f>
        <v/>
      </c>
      <c r="C531" t="str">
        <f>IF($A531="","",IFERROR('TMP Paste'!$M531*1,0))</f>
        <v/>
      </c>
      <c r="D531" t="str">
        <f>IF($A531="","",SUMIF($B$2:$B531,$B531,$C$2:$C531))</f>
        <v/>
      </c>
      <c r="E531">
        <f>IF($A531="",0,IF('TMP Paste'!$B531="",0,1))</f>
        <v>0</v>
      </c>
      <c r="F531" t="str">
        <f t="shared" si="40"/>
        <v/>
      </c>
      <c r="G531" t="str">
        <f t="shared" si="41"/>
        <v/>
      </c>
      <c r="H531" t="str">
        <f t="shared" si="42"/>
        <v/>
      </c>
      <c r="I531" t="str">
        <f t="shared" si="43"/>
        <v/>
      </c>
      <c r="J531" t="str">
        <f t="shared" si="44"/>
        <v/>
      </c>
      <c r="K531" t="str">
        <f>IF($A531="","",IF(COUNTIF($B$2:$B531,$B531)=COUNTIF($B$2:$B$1601,$B531),$B531,""))</f>
        <v/>
      </c>
    </row>
    <row r="532" spans="1:11">
      <c r="A532" t="str">
        <f>IF('TMP Paste'!$E532="","",'TMP Paste'!$E532)</f>
        <v/>
      </c>
      <c r="B532" t="str">
        <f>IF($A532="","",COUNTIF('TMP Paste'!$B$2:$B532,"?*"))</f>
        <v/>
      </c>
      <c r="C532" t="str">
        <f>IF($A532="","",IFERROR('TMP Paste'!$M532*1,0))</f>
        <v/>
      </c>
      <c r="D532" t="str">
        <f>IF($A532="","",SUMIF($B$2:$B532,$B532,$C$2:$C532))</f>
        <v/>
      </c>
      <c r="E532">
        <f>IF($A532="",0,IF('TMP Paste'!$B532="",0,1))</f>
        <v>0</v>
      </c>
      <c r="F532" t="str">
        <f t="shared" si="40"/>
        <v/>
      </c>
      <c r="G532" t="str">
        <f t="shared" si="41"/>
        <v/>
      </c>
      <c r="H532" t="str">
        <f t="shared" si="42"/>
        <v/>
      </c>
      <c r="I532" t="str">
        <f t="shared" si="43"/>
        <v/>
      </c>
      <c r="J532" t="str">
        <f t="shared" si="44"/>
        <v/>
      </c>
      <c r="K532" t="str">
        <f>IF($A532="","",IF(COUNTIF($B$2:$B532,$B532)=COUNTIF($B$2:$B$1601,$B532),$B532,""))</f>
        <v/>
      </c>
    </row>
    <row r="533" spans="1:11">
      <c r="A533" t="str">
        <f>IF('TMP Paste'!$E533="","",'TMP Paste'!$E533)</f>
        <v/>
      </c>
      <c r="B533" t="str">
        <f>IF($A533="","",COUNTIF('TMP Paste'!$B$2:$B533,"?*"))</f>
        <v/>
      </c>
      <c r="C533" t="str">
        <f>IF($A533="","",IFERROR('TMP Paste'!$M533*1,0))</f>
        <v/>
      </c>
      <c r="D533" t="str">
        <f>IF($A533="","",SUMIF($B$2:$B533,$B533,$C$2:$C533))</f>
        <v/>
      </c>
      <c r="E533">
        <f>IF($A533="",0,IF('TMP Paste'!$B533="",0,1))</f>
        <v>0</v>
      </c>
      <c r="F533" t="str">
        <f t="shared" si="40"/>
        <v/>
      </c>
      <c r="G533" t="str">
        <f t="shared" si="41"/>
        <v/>
      </c>
      <c r="H533" t="str">
        <f t="shared" si="42"/>
        <v/>
      </c>
      <c r="I533" t="str">
        <f t="shared" si="43"/>
        <v/>
      </c>
      <c r="J533" t="str">
        <f t="shared" si="44"/>
        <v/>
      </c>
      <c r="K533" t="str">
        <f>IF($A533="","",IF(COUNTIF($B$2:$B533,$B533)=COUNTIF($B$2:$B$1601,$B533),$B533,""))</f>
        <v/>
      </c>
    </row>
    <row r="534" spans="1:11">
      <c r="A534" t="str">
        <f>IF('TMP Paste'!$E534="","",'TMP Paste'!$E534)</f>
        <v/>
      </c>
      <c r="B534" t="str">
        <f>IF($A534="","",COUNTIF('TMP Paste'!$B$2:$B534,"?*"))</f>
        <v/>
      </c>
      <c r="C534" t="str">
        <f>IF($A534="","",IFERROR('TMP Paste'!$M534*1,0))</f>
        <v/>
      </c>
      <c r="D534" t="str">
        <f>IF($A534="","",SUMIF($B$2:$B534,$B534,$C$2:$C534))</f>
        <v/>
      </c>
      <c r="E534">
        <f>IF($A534="",0,IF('TMP Paste'!$B534="",0,1))</f>
        <v>0</v>
      </c>
      <c r="F534" t="str">
        <f t="shared" si="40"/>
        <v/>
      </c>
      <c r="G534" t="str">
        <f t="shared" si="41"/>
        <v/>
      </c>
      <c r="H534" t="str">
        <f t="shared" si="42"/>
        <v/>
      </c>
      <c r="I534" t="str">
        <f t="shared" si="43"/>
        <v/>
      </c>
      <c r="J534" t="str">
        <f t="shared" si="44"/>
        <v/>
      </c>
      <c r="K534" t="str">
        <f>IF($A534="","",IF(COUNTIF($B$2:$B534,$B534)=COUNTIF($B$2:$B$1601,$B534),$B534,""))</f>
        <v/>
      </c>
    </row>
    <row r="535" spans="1:11">
      <c r="A535" t="str">
        <f>IF('TMP Paste'!$E535="","",'TMP Paste'!$E535)</f>
        <v/>
      </c>
      <c r="B535" t="str">
        <f>IF($A535="","",COUNTIF('TMP Paste'!$B$2:$B535,"?*"))</f>
        <v/>
      </c>
      <c r="C535" t="str">
        <f>IF($A535="","",IFERROR('TMP Paste'!$M535*1,0))</f>
        <v/>
      </c>
      <c r="D535" t="str">
        <f>IF($A535="","",SUMIF($B$2:$B535,$B535,$C$2:$C535))</f>
        <v/>
      </c>
      <c r="E535">
        <f>IF($A535="",0,IF('TMP Paste'!$B535="",0,1))</f>
        <v>0</v>
      </c>
      <c r="F535" t="str">
        <f t="shared" si="40"/>
        <v/>
      </c>
      <c r="G535" t="str">
        <f t="shared" si="41"/>
        <v/>
      </c>
      <c r="H535" t="str">
        <f t="shared" si="42"/>
        <v/>
      </c>
      <c r="I535" t="str">
        <f t="shared" si="43"/>
        <v/>
      </c>
      <c r="J535" t="str">
        <f t="shared" si="44"/>
        <v/>
      </c>
      <c r="K535" t="str">
        <f>IF($A535="","",IF(COUNTIF($B$2:$B535,$B535)=COUNTIF($B$2:$B$1601,$B535),$B535,""))</f>
        <v/>
      </c>
    </row>
    <row r="536" spans="1:11">
      <c r="A536" t="str">
        <f>IF('TMP Paste'!$E536="","",'TMP Paste'!$E536)</f>
        <v/>
      </c>
      <c r="B536" t="str">
        <f>IF($A536="","",COUNTIF('TMP Paste'!$B$2:$B536,"?*"))</f>
        <v/>
      </c>
      <c r="C536" t="str">
        <f>IF($A536="","",IFERROR('TMP Paste'!$M536*1,0))</f>
        <v/>
      </c>
      <c r="D536" t="str">
        <f>IF($A536="","",SUMIF($B$2:$B536,$B536,$C$2:$C536))</f>
        <v/>
      </c>
      <c r="E536">
        <f>IF($A536="",0,IF('TMP Paste'!$B536="",0,1))</f>
        <v>0</v>
      </c>
      <c r="F536" t="str">
        <f t="shared" si="40"/>
        <v/>
      </c>
      <c r="G536" t="str">
        <f t="shared" si="41"/>
        <v/>
      </c>
      <c r="H536" t="str">
        <f t="shared" si="42"/>
        <v/>
      </c>
      <c r="I536" t="str">
        <f t="shared" si="43"/>
        <v/>
      </c>
      <c r="J536" t="str">
        <f t="shared" si="44"/>
        <v/>
      </c>
      <c r="K536" t="str">
        <f>IF($A536="","",IF(COUNTIF($B$2:$B536,$B536)=COUNTIF($B$2:$B$1601,$B536),$B536,""))</f>
        <v/>
      </c>
    </row>
    <row r="537" spans="1:11">
      <c r="A537" t="str">
        <f>IF('TMP Paste'!$E537="","",'TMP Paste'!$E537)</f>
        <v/>
      </c>
      <c r="B537" t="str">
        <f>IF($A537="","",COUNTIF('TMP Paste'!$B$2:$B537,"?*"))</f>
        <v/>
      </c>
      <c r="C537" t="str">
        <f>IF($A537="","",IFERROR('TMP Paste'!$M537*1,0))</f>
        <v/>
      </c>
      <c r="D537" t="str">
        <f>IF($A537="","",SUMIF($B$2:$B537,$B537,$C$2:$C537))</f>
        <v/>
      </c>
      <c r="E537">
        <f>IF($A537="",0,IF('TMP Paste'!$B537="",0,1))</f>
        <v>0</v>
      </c>
      <c r="F537" t="str">
        <f t="shared" si="40"/>
        <v/>
      </c>
      <c r="G537" t="str">
        <f t="shared" si="41"/>
        <v/>
      </c>
      <c r="H537" t="str">
        <f t="shared" si="42"/>
        <v/>
      </c>
      <c r="I537" t="str">
        <f t="shared" si="43"/>
        <v/>
      </c>
      <c r="J537" t="str">
        <f t="shared" si="44"/>
        <v/>
      </c>
      <c r="K537" t="str">
        <f>IF($A537="","",IF(COUNTIF($B$2:$B537,$B537)=COUNTIF($B$2:$B$1601,$B537),$B537,""))</f>
        <v/>
      </c>
    </row>
    <row r="538" spans="1:11">
      <c r="A538" t="str">
        <f>IF('TMP Paste'!$E538="","",'TMP Paste'!$E538)</f>
        <v/>
      </c>
      <c r="B538" t="str">
        <f>IF($A538="","",COUNTIF('TMP Paste'!$B$2:$B538,"?*"))</f>
        <v/>
      </c>
      <c r="C538" t="str">
        <f>IF($A538="","",IFERROR('TMP Paste'!$M538*1,0))</f>
        <v/>
      </c>
      <c r="D538" t="str">
        <f>IF($A538="","",SUMIF($B$2:$B538,$B538,$C$2:$C538))</f>
        <v/>
      </c>
      <c r="E538">
        <f>IF($A538="",0,IF('TMP Paste'!$B538="",0,1))</f>
        <v>0</v>
      </c>
      <c r="F538" t="str">
        <f t="shared" si="40"/>
        <v/>
      </c>
      <c r="G538" t="str">
        <f t="shared" si="41"/>
        <v/>
      </c>
      <c r="H538" t="str">
        <f t="shared" si="42"/>
        <v/>
      </c>
      <c r="I538" t="str">
        <f t="shared" si="43"/>
        <v/>
      </c>
      <c r="J538" t="str">
        <f t="shared" si="44"/>
        <v/>
      </c>
      <c r="K538" t="str">
        <f>IF($A538="","",IF(COUNTIF($B$2:$B538,$B538)=COUNTIF($B$2:$B$1601,$B538),$B538,""))</f>
        <v/>
      </c>
    </row>
    <row r="539" spans="1:11">
      <c r="A539" t="str">
        <f>IF('TMP Paste'!$E539="","",'TMP Paste'!$E539)</f>
        <v/>
      </c>
      <c r="B539" t="str">
        <f>IF($A539="","",COUNTIF('TMP Paste'!$B$2:$B539,"?*"))</f>
        <v/>
      </c>
      <c r="C539" t="str">
        <f>IF($A539="","",IFERROR('TMP Paste'!$M539*1,0))</f>
        <v/>
      </c>
      <c r="D539" t="str">
        <f>IF($A539="","",SUMIF($B$2:$B539,$B539,$C$2:$C539))</f>
        <v/>
      </c>
      <c r="E539">
        <f>IF($A539="",0,IF('TMP Paste'!$B539="",0,1))</f>
        <v>0</v>
      </c>
      <c r="F539" t="str">
        <f t="shared" si="40"/>
        <v/>
      </c>
      <c r="G539" t="str">
        <f t="shared" si="41"/>
        <v/>
      </c>
      <c r="H539" t="str">
        <f t="shared" si="42"/>
        <v/>
      </c>
      <c r="I539" t="str">
        <f t="shared" si="43"/>
        <v/>
      </c>
      <c r="J539" t="str">
        <f t="shared" si="44"/>
        <v/>
      </c>
      <c r="K539" t="str">
        <f>IF($A539="","",IF(COUNTIF($B$2:$B539,$B539)=COUNTIF($B$2:$B$1601,$B539),$B539,""))</f>
        <v/>
      </c>
    </row>
    <row r="540" spans="1:11">
      <c r="A540" t="str">
        <f>IF('TMP Paste'!$E540="","",'TMP Paste'!$E540)</f>
        <v/>
      </c>
      <c r="B540" t="str">
        <f>IF($A540="","",COUNTIF('TMP Paste'!$B$2:$B540,"?*"))</f>
        <v/>
      </c>
      <c r="C540" t="str">
        <f>IF($A540="","",IFERROR('TMP Paste'!$M540*1,0))</f>
        <v/>
      </c>
      <c r="D540" t="str">
        <f>IF($A540="","",SUMIF($B$2:$B540,$B540,$C$2:$C540))</f>
        <v/>
      </c>
      <c r="E540">
        <f>IF($A540="",0,IF('TMP Paste'!$B540="",0,1))</f>
        <v>0</v>
      </c>
      <c r="F540" t="str">
        <f t="shared" si="40"/>
        <v/>
      </c>
      <c r="G540" t="str">
        <f t="shared" si="41"/>
        <v/>
      </c>
      <c r="H540" t="str">
        <f t="shared" si="42"/>
        <v/>
      </c>
      <c r="I540" t="str">
        <f t="shared" si="43"/>
        <v/>
      </c>
      <c r="J540" t="str">
        <f t="shared" si="44"/>
        <v/>
      </c>
      <c r="K540" t="str">
        <f>IF($A540="","",IF(COUNTIF($B$2:$B540,$B540)=COUNTIF($B$2:$B$1601,$B540),$B540,""))</f>
        <v/>
      </c>
    </row>
    <row r="541" spans="1:11">
      <c r="A541" t="str">
        <f>IF('TMP Paste'!$E541="","",'TMP Paste'!$E541)</f>
        <v/>
      </c>
      <c r="B541" t="str">
        <f>IF($A541="","",COUNTIF('TMP Paste'!$B$2:$B541,"?*"))</f>
        <v/>
      </c>
      <c r="C541" t="str">
        <f>IF($A541="","",IFERROR('TMP Paste'!$M541*1,0))</f>
        <v/>
      </c>
      <c r="D541" t="str">
        <f>IF($A541="","",SUMIF($B$2:$B541,$B541,$C$2:$C541))</f>
        <v/>
      </c>
      <c r="E541">
        <f>IF($A541="",0,IF('TMP Paste'!$B541="",0,1))</f>
        <v>0</v>
      </c>
      <c r="F541" t="str">
        <f t="shared" si="40"/>
        <v/>
      </c>
      <c r="G541" t="str">
        <f t="shared" si="41"/>
        <v/>
      </c>
      <c r="H541" t="str">
        <f t="shared" si="42"/>
        <v/>
      </c>
      <c r="I541" t="str">
        <f t="shared" si="43"/>
        <v/>
      </c>
      <c r="J541" t="str">
        <f t="shared" si="44"/>
        <v/>
      </c>
      <c r="K541" t="str">
        <f>IF($A541="","",IF(COUNTIF($B$2:$B541,$B541)=COUNTIF($B$2:$B$1601,$B541),$B541,""))</f>
        <v/>
      </c>
    </row>
    <row r="542" spans="1:11">
      <c r="A542" t="str">
        <f>IF('TMP Paste'!$E542="","",'TMP Paste'!$E542)</f>
        <v/>
      </c>
      <c r="B542" t="str">
        <f>IF($A542="","",COUNTIF('TMP Paste'!$B$2:$B542,"?*"))</f>
        <v/>
      </c>
      <c r="C542" t="str">
        <f>IF($A542="","",IFERROR('TMP Paste'!$M542*1,0))</f>
        <v/>
      </c>
      <c r="D542" t="str">
        <f>IF($A542="","",SUMIF($B$2:$B542,$B542,$C$2:$C542))</f>
        <v/>
      </c>
      <c r="E542">
        <f>IF($A542="",0,IF('TMP Paste'!$B542="",0,1))</f>
        <v>0</v>
      </c>
      <c r="F542" t="str">
        <f t="shared" si="40"/>
        <v/>
      </c>
      <c r="G542" t="str">
        <f t="shared" si="41"/>
        <v/>
      </c>
      <c r="H542" t="str">
        <f t="shared" si="42"/>
        <v/>
      </c>
      <c r="I542" t="str">
        <f t="shared" si="43"/>
        <v/>
      </c>
      <c r="J542" t="str">
        <f t="shared" si="44"/>
        <v/>
      </c>
      <c r="K542" t="str">
        <f>IF($A542="","",IF(COUNTIF($B$2:$B542,$B542)=COUNTIF($B$2:$B$1601,$B542),$B542,""))</f>
        <v/>
      </c>
    </row>
    <row r="543" spans="1:11">
      <c r="A543" t="str">
        <f>IF('TMP Paste'!$E543="","",'TMP Paste'!$E543)</f>
        <v/>
      </c>
      <c r="B543" t="str">
        <f>IF($A543="","",COUNTIF('TMP Paste'!$B$2:$B543,"?*"))</f>
        <v/>
      </c>
      <c r="C543" t="str">
        <f>IF($A543="","",IFERROR('TMP Paste'!$M543*1,0))</f>
        <v/>
      </c>
      <c r="D543" t="str">
        <f>IF($A543="","",SUMIF($B$2:$B543,$B543,$C$2:$C543))</f>
        <v/>
      </c>
      <c r="E543">
        <f>IF($A543="",0,IF('TMP Paste'!$B543="",0,1))</f>
        <v>0</v>
      </c>
      <c r="F543" t="str">
        <f t="shared" si="40"/>
        <v/>
      </c>
      <c r="G543" t="str">
        <f t="shared" si="41"/>
        <v/>
      </c>
      <c r="H543" t="str">
        <f t="shared" si="42"/>
        <v/>
      </c>
      <c r="I543" t="str">
        <f t="shared" si="43"/>
        <v/>
      </c>
      <c r="J543" t="str">
        <f t="shared" si="44"/>
        <v/>
      </c>
      <c r="K543" t="str">
        <f>IF($A543="","",IF(COUNTIF($B$2:$B543,$B543)=COUNTIF($B$2:$B$1601,$B543),$B543,""))</f>
        <v/>
      </c>
    </row>
    <row r="544" spans="1:11">
      <c r="A544" t="str">
        <f>IF('TMP Paste'!$E544="","",'TMP Paste'!$E544)</f>
        <v/>
      </c>
      <c r="B544" t="str">
        <f>IF($A544="","",COUNTIF('TMP Paste'!$B$2:$B544,"?*"))</f>
        <v/>
      </c>
      <c r="C544" t="str">
        <f>IF($A544="","",IFERROR('TMP Paste'!$M544*1,0))</f>
        <v/>
      </c>
      <c r="D544" t="str">
        <f>IF($A544="","",SUMIF($B$2:$B544,$B544,$C$2:$C544))</f>
        <v/>
      </c>
      <c r="E544">
        <f>IF($A544="",0,IF('TMP Paste'!$B544="",0,1))</f>
        <v>0</v>
      </c>
      <c r="F544" t="str">
        <f t="shared" si="40"/>
        <v/>
      </c>
      <c r="G544" t="str">
        <f t="shared" si="41"/>
        <v/>
      </c>
      <c r="H544" t="str">
        <f t="shared" si="42"/>
        <v/>
      </c>
      <c r="I544" t="str">
        <f t="shared" si="43"/>
        <v/>
      </c>
      <c r="J544" t="str">
        <f t="shared" si="44"/>
        <v/>
      </c>
      <c r="K544" t="str">
        <f>IF($A544="","",IF(COUNTIF($B$2:$B544,$B544)=COUNTIF($B$2:$B$1601,$B544),$B544,""))</f>
        <v/>
      </c>
    </row>
    <row r="545" spans="1:11">
      <c r="A545" t="str">
        <f>IF('TMP Paste'!$E545="","",'TMP Paste'!$E545)</f>
        <v/>
      </c>
      <c r="B545" t="str">
        <f>IF($A545="","",COUNTIF('TMP Paste'!$B$2:$B545,"?*"))</f>
        <v/>
      </c>
      <c r="C545" t="str">
        <f>IF($A545="","",IFERROR('TMP Paste'!$M545*1,0))</f>
        <v/>
      </c>
      <c r="D545" t="str">
        <f>IF($A545="","",SUMIF($B$2:$B545,$B545,$C$2:$C545))</f>
        <v/>
      </c>
      <c r="E545">
        <f>IF($A545="",0,IF('TMP Paste'!$B545="",0,1))</f>
        <v>0</v>
      </c>
      <c r="F545" t="str">
        <f t="shared" si="40"/>
        <v/>
      </c>
      <c r="G545" t="str">
        <f t="shared" si="41"/>
        <v/>
      </c>
      <c r="H545" t="str">
        <f t="shared" si="42"/>
        <v/>
      </c>
      <c r="I545" t="str">
        <f t="shared" si="43"/>
        <v/>
      </c>
      <c r="J545" t="str">
        <f t="shared" si="44"/>
        <v/>
      </c>
      <c r="K545" t="str">
        <f>IF($A545="","",IF(COUNTIF($B$2:$B545,$B545)=COUNTIF($B$2:$B$1601,$B545),$B545,""))</f>
        <v/>
      </c>
    </row>
    <row r="546" spans="1:11">
      <c r="A546" t="str">
        <f>IF('TMP Paste'!$E546="","",'TMP Paste'!$E546)</f>
        <v/>
      </c>
      <c r="B546" t="str">
        <f>IF($A546="","",COUNTIF('TMP Paste'!$B$2:$B546,"?*"))</f>
        <v/>
      </c>
      <c r="C546" t="str">
        <f>IF($A546="","",IFERROR('TMP Paste'!$M546*1,0))</f>
        <v/>
      </c>
      <c r="D546" t="str">
        <f>IF($A546="","",SUMIF($B$2:$B546,$B546,$C$2:$C546))</f>
        <v/>
      </c>
      <c r="E546">
        <f>IF($A546="",0,IF('TMP Paste'!$B546="",0,1))</f>
        <v>0</v>
      </c>
      <c r="F546" t="str">
        <f t="shared" si="40"/>
        <v/>
      </c>
      <c r="G546" t="str">
        <f t="shared" si="41"/>
        <v/>
      </c>
      <c r="H546" t="str">
        <f t="shared" si="42"/>
        <v/>
      </c>
      <c r="I546" t="str">
        <f t="shared" si="43"/>
        <v/>
      </c>
      <c r="J546" t="str">
        <f t="shared" si="44"/>
        <v/>
      </c>
      <c r="K546" t="str">
        <f>IF($A546="","",IF(COUNTIF($B$2:$B546,$B546)=COUNTIF($B$2:$B$1601,$B546),$B546,""))</f>
        <v/>
      </c>
    </row>
    <row r="547" spans="1:11">
      <c r="A547" t="str">
        <f>IF('TMP Paste'!$E547="","",'TMP Paste'!$E547)</f>
        <v/>
      </c>
      <c r="B547" t="str">
        <f>IF($A547="","",COUNTIF('TMP Paste'!$B$2:$B547,"?*"))</f>
        <v/>
      </c>
      <c r="C547" t="str">
        <f>IF($A547="","",IFERROR('TMP Paste'!$M547*1,0))</f>
        <v/>
      </c>
      <c r="D547" t="str">
        <f>IF($A547="","",SUMIF($B$2:$B547,$B547,$C$2:$C547))</f>
        <v/>
      </c>
      <c r="E547">
        <f>IF($A547="",0,IF('TMP Paste'!$B547="",0,1))</f>
        <v>0</v>
      </c>
      <c r="F547" t="str">
        <f t="shared" si="40"/>
        <v/>
      </c>
      <c r="G547" t="str">
        <f t="shared" si="41"/>
        <v/>
      </c>
      <c r="H547" t="str">
        <f t="shared" si="42"/>
        <v/>
      </c>
      <c r="I547" t="str">
        <f t="shared" si="43"/>
        <v/>
      </c>
      <c r="J547" t="str">
        <f t="shared" si="44"/>
        <v/>
      </c>
      <c r="K547" t="str">
        <f>IF($A547="","",IF(COUNTIF($B$2:$B547,$B547)=COUNTIF($B$2:$B$1601,$B547),$B547,""))</f>
        <v/>
      </c>
    </row>
    <row r="548" spans="1:11">
      <c r="A548" t="str">
        <f>IF('TMP Paste'!$E548="","",'TMP Paste'!$E548)</f>
        <v/>
      </c>
      <c r="B548" t="str">
        <f>IF($A548="","",COUNTIF('TMP Paste'!$B$2:$B548,"?*"))</f>
        <v/>
      </c>
      <c r="C548" t="str">
        <f>IF($A548="","",IFERROR('TMP Paste'!$M548*1,0))</f>
        <v/>
      </c>
      <c r="D548" t="str">
        <f>IF($A548="","",SUMIF($B$2:$B548,$B548,$C$2:$C548))</f>
        <v/>
      </c>
      <c r="E548">
        <f>IF($A548="",0,IF('TMP Paste'!$B548="",0,1))</f>
        <v>0</v>
      </c>
      <c r="F548" t="str">
        <f t="shared" si="40"/>
        <v/>
      </c>
      <c r="G548" t="str">
        <f t="shared" si="41"/>
        <v/>
      </c>
      <c r="H548" t="str">
        <f t="shared" si="42"/>
        <v/>
      </c>
      <c r="I548" t="str">
        <f t="shared" si="43"/>
        <v/>
      </c>
      <c r="J548" t="str">
        <f t="shared" si="44"/>
        <v/>
      </c>
      <c r="K548" t="str">
        <f>IF($A548="","",IF(COUNTIF($B$2:$B548,$B548)=COUNTIF($B$2:$B$1601,$B548),$B548,""))</f>
        <v/>
      </c>
    </row>
    <row r="549" spans="1:11">
      <c r="A549" t="str">
        <f>IF('TMP Paste'!$E549="","",'TMP Paste'!$E549)</f>
        <v/>
      </c>
      <c r="B549" t="str">
        <f>IF($A549="","",COUNTIF('TMP Paste'!$B$2:$B549,"?*"))</f>
        <v/>
      </c>
      <c r="C549" t="str">
        <f>IF($A549="","",IFERROR('TMP Paste'!$M549*1,0))</f>
        <v/>
      </c>
      <c r="D549" t="str">
        <f>IF($A549="","",SUMIF($B$2:$B549,$B549,$C$2:$C549))</f>
        <v/>
      </c>
      <c r="E549">
        <f>IF($A549="",0,IF('TMP Paste'!$B549="",0,1))</f>
        <v>0</v>
      </c>
      <c r="F549" t="str">
        <f t="shared" si="40"/>
        <v/>
      </c>
      <c r="G549" t="str">
        <f t="shared" si="41"/>
        <v/>
      </c>
      <c r="H549" t="str">
        <f t="shared" si="42"/>
        <v/>
      </c>
      <c r="I549" t="str">
        <f t="shared" si="43"/>
        <v/>
      </c>
      <c r="J549" t="str">
        <f t="shared" si="44"/>
        <v/>
      </c>
      <c r="K549" t="str">
        <f>IF($A549="","",IF(COUNTIF($B$2:$B549,$B549)=COUNTIF($B$2:$B$1601,$B549),$B549,""))</f>
        <v/>
      </c>
    </row>
    <row r="550" spans="1:11">
      <c r="A550" t="str">
        <f>IF('TMP Paste'!$E550="","",'TMP Paste'!$E550)</f>
        <v/>
      </c>
      <c r="B550" t="str">
        <f>IF($A550="","",COUNTIF('TMP Paste'!$B$2:$B550,"?*"))</f>
        <v/>
      </c>
      <c r="C550" t="str">
        <f>IF($A550="","",IFERROR('TMP Paste'!$M550*1,0))</f>
        <v/>
      </c>
      <c r="D550" t="str">
        <f>IF($A550="","",SUMIF($B$2:$B550,$B550,$C$2:$C550))</f>
        <v/>
      </c>
      <c r="E550">
        <f>IF($A550="",0,IF('TMP Paste'!$B550="",0,1))</f>
        <v>0</v>
      </c>
      <c r="F550" t="str">
        <f t="shared" si="40"/>
        <v/>
      </c>
      <c r="G550" t="str">
        <f t="shared" si="41"/>
        <v/>
      </c>
      <c r="H550" t="str">
        <f t="shared" si="42"/>
        <v/>
      </c>
      <c r="I550" t="str">
        <f t="shared" si="43"/>
        <v/>
      </c>
      <c r="J550" t="str">
        <f t="shared" si="44"/>
        <v/>
      </c>
      <c r="K550" t="str">
        <f>IF($A550="","",IF(COUNTIF($B$2:$B550,$B550)=COUNTIF($B$2:$B$1601,$B550),$B550,""))</f>
        <v/>
      </c>
    </row>
    <row r="551" spans="1:11">
      <c r="A551" t="str">
        <f>IF('TMP Paste'!$E551="","",'TMP Paste'!$E551)</f>
        <v/>
      </c>
      <c r="B551" t="str">
        <f>IF($A551="","",COUNTIF('TMP Paste'!$B$2:$B551,"?*"))</f>
        <v/>
      </c>
      <c r="C551" t="str">
        <f>IF($A551="","",IFERROR('TMP Paste'!$M551*1,0))</f>
        <v/>
      </c>
      <c r="D551" t="str">
        <f>IF($A551="","",SUMIF($B$2:$B551,$B551,$C$2:$C551))</f>
        <v/>
      </c>
      <c r="E551">
        <f>IF($A551="",0,IF('TMP Paste'!$B551="",0,1))</f>
        <v>0</v>
      </c>
      <c r="F551" t="str">
        <f t="shared" si="40"/>
        <v/>
      </c>
      <c r="G551" t="str">
        <f t="shared" si="41"/>
        <v/>
      </c>
      <c r="H551" t="str">
        <f t="shared" si="42"/>
        <v/>
      </c>
      <c r="I551" t="str">
        <f t="shared" si="43"/>
        <v/>
      </c>
      <c r="J551" t="str">
        <f t="shared" si="44"/>
        <v/>
      </c>
      <c r="K551" t="str">
        <f>IF($A551="","",IF(COUNTIF($B$2:$B551,$B551)=COUNTIF($B$2:$B$1601,$B551),$B551,""))</f>
        <v/>
      </c>
    </row>
    <row r="552" spans="1:11">
      <c r="A552" t="str">
        <f>IF('TMP Paste'!$E552="","",'TMP Paste'!$E552)</f>
        <v/>
      </c>
      <c r="B552" t="str">
        <f>IF($A552="","",COUNTIF('TMP Paste'!$B$2:$B552,"?*"))</f>
        <v/>
      </c>
      <c r="C552" t="str">
        <f>IF($A552="","",IFERROR('TMP Paste'!$M552*1,0))</f>
        <v/>
      </c>
      <c r="D552" t="str">
        <f>IF($A552="","",SUMIF($B$2:$B552,$B552,$C$2:$C552))</f>
        <v/>
      </c>
      <c r="E552">
        <f>IF($A552="",0,IF('TMP Paste'!$B552="",0,1))</f>
        <v>0</v>
      </c>
      <c r="F552" t="str">
        <f t="shared" si="40"/>
        <v/>
      </c>
      <c r="G552" t="str">
        <f t="shared" si="41"/>
        <v/>
      </c>
      <c r="H552" t="str">
        <f t="shared" si="42"/>
        <v/>
      </c>
      <c r="I552" t="str">
        <f t="shared" si="43"/>
        <v/>
      </c>
      <c r="J552" t="str">
        <f t="shared" si="44"/>
        <v/>
      </c>
      <c r="K552" t="str">
        <f>IF($A552="","",IF(COUNTIF($B$2:$B552,$B552)=COUNTIF($B$2:$B$1601,$B552),$B552,""))</f>
        <v/>
      </c>
    </row>
    <row r="553" spans="1:11">
      <c r="A553" t="str">
        <f>IF('TMP Paste'!$E553="","",'TMP Paste'!$E553)</f>
        <v/>
      </c>
      <c r="B553" t="str">
        <f>IF($A553="","",COUNTIF('TMP Paste'!$B$2:$B553,"?*"))</f>
        <v/>
      </c>
      <c r="C553" t="str">
        <f>IF($A553="","",IFERROR('TMP Paste'!$M553*1,0))</f>
        <v/>
      </c>
      <c r="D553" t="str">
        <f>IF($A553="","",SUMIF($B$2:$B553,$B553,$C$2:$C553))</f>
        <v/>
      </c>
      <c r="E553">
        <f>IF($A553="",0,IF('TMP Paste'!$B553="",0,1))</f>
        <v>0</v>
      </c>
      <c r="F553" t="str">
        <f t="shared" si="40"/>
        <v/>
      </c>
      <c r="G553" t="str">
        <f t="shared" si="41"/>
        <v/>
      </c>
      <c r="H553" t="str">
        <f t="shared" si="42"/>
        <v/>
      </c>
      <c r="I553" t="str">
        <f t="shared" si="43"/>
        <v/>
      </c>
      <c r="J553" t="str">
        <f t="shared" si="44"/>
        <v/>
      </c>
      <c r="K553" t="str">
        <f>IF($A553="","",IF(COUNTIF($B$2:$B553,$B553)=COUNTIF($B$2:$B$1601,$B553),$B553,""))</f>
        <v/>
      </c>
    </row>
    <row r="554" spans="1:11">
      <c r="A554" t="str">
        <f>IF('TMP Paste'!$E554="","",'TMP Paste'!$E554)</f>
        <v/>
      </c>
      <c r="B554" t="str">
        <f>IF($A554="","",COUNTIF('TMP Paste'!$B$2:$B554,"?*"))</f>
        <v/>
      </c>
      <c r="C554" t="str">
        <f>IF($A554="","",IFERROR('TMP Paste'!$M554*1,0))</f>
        <v/>
      </c>
      <c r="D554" t="str">
        <f>IF($A554="","",SUMIF($B$2:$B554,$B554,$C$2:$C554))</f>
        <v/>
      </c>
      <c r="E554">
        <f>IF($A554="",0,IF('TMP Paste'!$B554="",0,1))</f>
        <v>0</v>
      </c>
      <c r="F554" t="str">
        <f t="shared" si="40"/>
        <v/>
      </c>
      <c r="G554" t="str">
        <f t="shared" si="41"/>
        <v/>
      </c>
      <c r="H554" t="str">
        <f t="shared" si="42"/>
        <v/>
      </c>
      <c r="I554" t="str">
        <f t="shared" si="43"/>
        <v/>
      </c>
      <c r="J554" t="str">
        <f t="shared" si="44"/>
        <v/>
      </c>
      <c r="K554" t="str">
        <f>IF($A554="","",IF(COUNTIF($B$2:$B554,$B554)=COUNTIF($B$2:$B$1601,$B554),$B554,""))</f>
        <v/>
      </c>
    </row>
    <row r="555" spans="1:11">
      <c r="A555" t="str">
        <f>IF('TMP Paste'!$E555="","",'TMP Paste'!$E555)</f>
        <v/>
      </c>
      <c r="B555" t="str">
        <f>IF($A555="","",COUNTIF('TMP Paste'!$B$2:$B555,"?*"))</f>
        <v/>
      </c>
      <c r="C555" t="str">
        <f>IF($A555="","",IFERROR('TMP Paste'!$M555*1,0))</f>
        <v/>
      </c>
      <c r="D555" t="str">
        <f>IF($A555="","",SUMIF($B$2:$B555,$B555,$C$2:$C555))</f>
        <v/>
      </c>
      <c r="E555">
        <f>IF($A555="",0,IF('TMP Paste'!$B555="",0,1))</f>
        <v>0</v>
      </c>
      <c r="F555" t="str">
        <f t="shared" si="40"/>
        <v/>
      </c>
      <c r="G555" t="str">
        <f t="shared" si="41"/>
        <v/>
      </c>
      <c r="H555" t="str">
        <f t="shared" si="42"/>
        <v/>
      </c>
      <c r="I555" t="str">
        <f t="shared" si="43"/>
        <v/>
      </c>
      <c r="J555" t="str">
        <f t="shared" si="44"/>
        <v/>
      </c>
      <c r="K555" t="str">
        <f>IF($A555="","",IF(COUNTIF($B$2:$B555,$B555)=COUNTIF($B$2:$B$1601,$B555),$B555,""))</f>
        <v/>
      </c>
    </row>
    <row r="556" spans="1:11">
      <c r="A556" t="str">
        <f>IF('TMP Paste'!$E556="","",'TMP Paste'!$E556)</f>
        <v/>
      </c>
      <c r="B556" t="str">
        <f>IF($A556="","",COUNTIF('TMP Paste'!$B$2:$B556,"?*"))</f>
        <v/>
      </c>
      <c r="C556" t="str">
        <f>IF($A556="","",IFERROR('TMP Paste'!$M556*1,0))</f>
        <v/>
      </c>
      <c r="D556" t="str">
        <f>IF($A556="","",SUMIF($B$2:$B556,$B556,$C$2:$C556))</f>
        <v/>
      </c>
      <c r="E556">
        <f>IF($A556="",0,IF('TMP Paste'!$B556="",0,1))</f>
        <v>0</v>
      </c>
      <c r="F556" t="str">
        <f t="shared" si="40"/>
        <v/>
      </c>
      <c r="G556" t="str">
        <f t="shared" si="41"/>
        <v/>
      </c>
      <c r="H556" t="str">
        <f t="shared" si="42"/>
        <v/>
      </c>
      <c r="I556" t="str">
        <f t="shared" si="43"/>
        <v/>
      </c>
      <c r="J556" t="str">
        <f t="shared" si="44"/>
        <v/>
      </c>
      <c r="K556" t="str">
        <f>IF($A556="","",IF(COUNTIF($B$2:$B556,$B556)=COUNTIF($B$2:$B$1601,$B556),$B556,""))</f>
        <v/>
      </c>
    </row>
    <row r="557" spans="1:11">
      <c r="A557" t="str">
        <f>IF('TMP Paste'!$E557="","",'TMP Paste'!$E557)</f>
        <v/>
      </c>
      <c r="B557" t="str">
        <f>IF($A557="","",COUNTIF('TMP Paste'!$B$2:$B557,"?*"))</f>
        <v/>
      </c>
      <c r="C557" t="str">
        <f>IF($A557="","",IFERROR('TMP Paste'!$M557*1,0))</f>
        <v/>
      </c>
      <c r="D557" t="str">
        <f>IF($A557="","",SUMIF($B$2:$B557,$B557,$C$2:$C557))</f>
        <v/>
      </c>
      <c r="E557">
        <f>IF($A557="",0,IF('TMP Paste'!$B557="",0,1))</f>
        <v>0</v>
      </c>
      <c r="F557" t="str">
        <f t="shared" si="40"/>
        <v/>
      </c>
      <c r="G557" t="str">
        <f t="shared" si="41"/>
        <v/>
      </c>
      <c r="H557" t="str">
        <f t="shared" si="42"/>
        <v/>
      </c>
      <c r="I557" t="str">
        <f t="shared" si="43"/>
        <v/>
      </c>
      <c r="J557" t="str">
        <f t="shared" si="44"/>
        <v/>
      </c>
      <c r="K557" t="str">
        <f>IF($A557="","",IF(COUNTIF($B$2:$B557,$B557)=COUNTIF($B$2:$B$1601,$B557),$B557,""))</f>
        <v/>
      </c>
    </row>
    <row r="558" spans="1:11">
      <c r="A558" t="str">
        <f>IF('TMP Paste'!$E558="","",'TMP Paste'!$E558)</f>
        <v/>
      </c>
      <c r="B558" t="str">
        <f>IF($A558="","",COUNTIF('TMP Paste'!$B$2:$B558,"?*"))</f>
        <v/>
      </c>
      <c r="C558" t="str">
        <f>IF($A558="","",IFERROR('TMP Paste'!$M558*1,0))</f>
        <v/>
      </c>
      <c r="D558" t="str">
        <f>IF($A558="","",SUMIF($B$2:$B558,$B558,$C$2:$C558))</f>
        <v/>
      </c>
      <c r="E558">
        <f>IF($A558="",0,IF('TMP Paste'!$B558="",0,1))</f>
        <v>0</v>
      </c>
      <c r="F558" t="str">
        <f t="shared" si="40"/>
        <v/>
      </c>
      <c r="G558" t="str">
        <f t="shared" si="41"/>
        <v/>
      </c>
      <c r="H558" t="str">
        <f t="shared" si="42"/>
        <v/>
      </c>
      <c r="I558" t="str">
        <f t="shared" si="43"/>
        <v/>
      </c>
      <c r="J558" t="str">
        <f t="shared" si="44"/>
        <v/>
      </c>
      <c r="K558" t="str">
        <f>IF($A558="","",IF(COUNTIF($B$2:$B558,$B558)=COUNTIF($B$2:$B$1601,$B558),$B558,""))</f>
        <v/>
      </c>
    </row>
    <row r="559" spans="1:11">
      <c r="A559" t="str">
        <f>IF('TMP Paste'!$E559="","",'TMP Paste'!$E559)</f>
        <v/>
      </c>
      <c r="B559" t="str">
        <f>IF($A559="","",COUNTIF('TMP Paste'!$B$2:$B559,"?*"))</f>
        <v/>
      </c>
      <c r="C559" t="str">
        <f>IF($A559="","",IFERROR('TMP Paste'!$M559*1,0))</f>
        <v/>
      </c>
      <c r="D559" t="str">
        <f>IF($A559="","",SUMIF($B$2:$B559,$B559,$C$2:$C559))</f>
        <v/>
      </c>
      <c r="E559">
        <f>IF($A559="",0,IF('TMP Paste'!$B559="",0,1))</f>
        <v>0</v>
      </c>
      <c r="F559" t="str">
        <f t="shared" si="40"/>
        <v/>
      </c>
      <c r="G559" t="str">
        <f t="shared" si="41"/>
        <v/>
      </c>
      <c r="H559" t="str">
        <f t="shared" si="42"/>
        <v/>
      </c>
      <c r="I559" t="str">
        <f t="shared" si="43"/>
        <v/>
      </c>
      <c r="J559" t="str">
        <f t="shared" si="44"/>
        <v/>
      </c>
      <c r="K559" t="str">
        <f>IF($A559="","",IF(COUNTIF($B$2:$B559,$B559)=COUNTIF($B$2:$B$1601,$B559),$B559,""))</f>
        <v/>
      </c>
    </row>
    <row r="560" spans="1:11">
      <c r="A560" t="str">
        <f>IF('TMP Paste'!$E560="","",'TMP Paste'!$E560)</f>
        <v/>
      </c>
      <c r="B560" t="str">
        <f>IF($A560="","",COUNTIF('TMP Paste'!$B$2:$B560,"?*"))</f>
        <v/>
      </c>
      <c r="C560" t="str">
        <f>IF($A560="","",IFERROR('TMP Paste'!$M560*1,0))</f>
        <v/>
      </c>
      <c r="D560" t="str">
        <f>IF($A560="","",SUMIF($B$2:$B560,$B560,$C$2:$C560))</f>
        <v/>
      </c>
      <c r="E560">
        <f>IF($A560="",0,IF('TMP Paste'!$B560="",0,1))</f>
        <v>0</v>
      </c>
      <c r="F560" t="str">
        <f t="shared" si="40"/>
        <v/>
      </c>
      <c r="G560" t="str">
        <f t="shared" si="41"/>
        <v/>
      </c>
      <c r="H560" t="str">
        <f t="shared" si="42"/>
        <v/>
      </c>
      <c r="I560" t="str">
        <f t="shared" si="43"/>
        <v/>
      </c>
      <c r="J560" t="str">
        <f t="shared" si="44"/>
        <v/>
      </c>
      <c r="K560" t="str">
        <f>IF($A560="","",IF(COUNTIF($B$2:$B560,$B560)=COUNTIF($B$2:$B$1601,$B560),$B560,""))</f>
        <v/>
      </c>
    </row>
    <row r="561" spans="1:11">
      <c r="A561" t="str">
        <f>IF('TMP Paste'!$E561="","",'TMP Paste'!$E561)</f>
        <v/>
      </c>
      <c r="B561" t="str">
        <f>IF($A561="","",COUNTIF('TMP Paste'!$B$2:$B561,"?*"))</f>
        <v/>
      </c>
      <c r="C561" t="str">
        <f>IF($A561="","",IFERROR('TMP Paste'!$M561*1,0))</f>
        <v/>
      </c>
      <c r="D561" t="str">
        <f>IF($A561="","",SUMIF($B$2:$B561,$B561,$C$2:$C561))</f>
        <v/>
      </c>
      <c r="E561">
        <f>IF($A561="",0,IF('TMP Paste'!$B561="",0,1))</f>
        <v>0</v>
      </c>
      <c r="F561" t="str">
        <f t="shared" si="40"/>
        <v/>
      </c>
      <c r="G561" t="str">
        <f t="shared" si="41"/>
        <v/>
      </c>
      <c r="H561" t="str">
        <f t="shared" si="42"/>
        <v/>
      </c>
      <c r="I561" t="str">
        <f t="shared" si="43"/>
        <v/>
      </c>
      <c r="J561" t="str">
        <f t="shared" si="44"/>
        <v/>
      </c>
      <c r="K561" t="str">
        <f>IF($A561="","",IF(COUNTIF($B$2:$B561,$B561)=COUNTIF($B$2:$B$1601,$B561),$B561,""))</f>
        <v/>
      </c>
    </row>
    <row r="562" spans="1:11">
      <c r="A562" t="str">
        <f>IF('TMP Paste'!$E562="","",'TMP Paste'!$E562)</f>
        <v/>
      </c>
      <c r="B562" t="str">
        <f>IF($A562="","",COUNTIF('TMP Paste'!$B$2:$B562,"?*"))</f>
        <v/>
      </c>
      <c r="C562" t="str">
        <f>IF($A562="","",IFERROR('TMP Paste'!$M562*1,0))</f>
        <v/>
      </c>
      <c r="D562" t="str">
        <f>IF($A562="","",SUMIF($B$2:$B562,$B562,$C$2:$C562))</f>
        <v/>
      </c>
      <c r="E562">
        <f>IF($A562="",0,IF('TMP Paste'!$B562="",0,1))</f>
        <v>0</v>
      </c>
      <c r="F562" t="str">
        <f t="shared" si="40"/>
        <v/>
      </c>
      <c r="G562" t="str">
        <f t="shared" si="41"/>
        <v/>
      </c>
      <c r="H562" t="str">
        <f t="shared" si="42"/>
        <v/>
      </c>
      <c r="I562" t="str">
        <f t="shared" si="43"/>
        <v/>
      </c>
      <c r="J562" t="str">
        <f t="shared" si="44"/>
        <v/>
      </c>
      <c r="K562" t="str">
        <f>IF($A562="","",IF(COUNTIF($B$2:$B562,$B562)=COUNTIF($B$2:$B$1601,$B562),$B562,""))</f>
        <v/>
      </c>
    </row>
    <row r="563" spans="1:11">
      <c r="A563" t="str">
        <f>IF('TMP Paste'!$E563="","",'TMP Paste'!$E563)</f>
        <v/>
      </c>
      <c r="B563" t="str">
        <f>IF($A563="","",COUNTIF('TMP Paste'!$B$2:$B563,"?*"))</f>
        <v/>
      </c>
      <c r="C563" t="str">
        <f>IF($A563="","",IFERROR('TMP Paste'!$M563*1,0))</f>
        <v/>
      </c>
      <c r="D563" t="str">
        <f>IF($A563="","",SUMIF($B$2:$B563,$B563,$C$2:$C563))</f>
        <v/>
      </c>
      <c r="E563">
        <f>IF($A563="",0,IF('TMP Paste'!$B563="",0,1))</f>
        <v>0</v>
      </c>
      <c r="F563" t="str">
        <f t="shared" si="40"/>
        <v/>
      </c>
      <c r="G563" t="str">
        <f t="shared" si="41"/>
        <v/>
      </c>
      <c r="H563" t="str">
        <f t="shared" si="42"/>
        <v/>
      </c>
      <c r="I563" t="str">
        <f t="shared" si="43"/>
        <v/>
      </c>
      <c r="J563" t="str">
        <f t="shared" si="44"/>
        <v/>
      </c>
      <c r="K563" t="str">
        <f>IF($A563="","",IF(COUNTIF($B$2:$B563,$B563)=COUNTIF($B$2:$B$1601,$B563),$B563,""))</f>
        <v/>
      </c>
    </row>
    <row r="564" spans="1:11">
      <c r="A564" t="str">
        <f>IF('TMP Paste'!$E564="","",'TMP Paste'!$E564)</f>
        <v/>
      </c>
      <c r="B564" t="str">
        <f>IF($A564="","",COUNTIF('TMP Paste'!$B$2:$B564,"?*"))</f>
        <v/>
      </c>
      <c r="C564" t="str">
        <f>IF($A564="","",IFERROR('TMP Paste'!$M564*1,0))</f>
        <v/>
      </c>
      <c r="D564" t="str">
        <f>IF($A564="","",SUMIF($B$2:$B564,$B564,$C$2:$C564))</f>
        <v/>
      </c>
      <c r="E564">
        <f>IF($A564="",0,IF('TMP Paste'!$B564="",0,1))</f>
        <v>0</v>
      </c>
      <c r="F564" t="str">
        <f t="shared" si="40"/>
        <v/>
      </c>
      <c r="G564" t="str">
        <f t="shared" si="41"/>
        <v/>
      </c>
      <c r="H564" t="str">
        <f t="shared" si="42"/>
        <v/>
      </c>
      <c r="I564" t="str">
        <f t="shared" si="43"/>
        <v/>
      </c>
      <c r="J564" t="str">
        <f t="shared" si="44"/>
        <v/>
      </c>
      <c r="K564" t="str">
        <f>IF($A564="","",IF(COUNTIF($B$2:$B564,$B564)=COUNTIF($B$2:$B$1601,$B564),$B564,""))</f>
        <v/>
      </c>
    </row>
    <row r="565" spans="1:11">
      <c r="A565" t="str">
        <f>IF('TMP Paste'!$E565="","",'TMP Paste'!$E565)</f>
        <v/>
      </c>
      <c r="B565" t="str">
        <f>IF($A565="","",COUNTIF('TMP Paste'!$B$2:$B565,"?*"))</f>
        <v/>
      </c>
      <c r="C565" t="str">
        <f>IF($A565="","",IFERROR('TMP Paste'!$M565*1,0))</f>
        <v/>
      </c>
      <c r="D565" t="str">
        <f>IF($A565="","",SUMIF($B$2:$B565,$B565,$C$2:$C565))</f>
        <v/>
      </c>
      <c r="E565">
        <f>IF($A565="",0,IF('TMP Paste'!$B565="",0,1))</f>
        <v>0</v>
      </c>
      <c r="F565" t="str">
        <f t="shared" si="40"/>
        <v/>
      </c>
      <c r="G565" t="str">
        <f t="shared" si="41"/>
        <v/>
      </c>
      <c r="H565" t="str">
        <f t="shared" si="42"/>
        <v/>
      </c>
      <c r="I565" t="str">
        <f t="shared" si="43"/>
        <v/>
      </c>
      <c r="J565" t="str">
        <f t="shared" si="44"/>
        <v/>
      </c>
      <c r="K565" t="str">
        <f>IF($A565="","",IF(COUNTIF($B$2:$B565,$B565)=COUNTIF($B$2:$B$1601,$B565),$B565,""))</f>
        <v/>
      </c>
    </row>
    <row r="566" spans="1:11">
      <c r="A566" t="str">
        <f>IF('TMP Paste'!$E566="","",'TMP Paste'!$E566)</f>
        <v/>
      </c>
      <c r="B566" t="str">
        <f>IF($A566="","",COUNTIF('TMP Paste'!$B$2:$B566,"?*"))</f>
        <v/>
      </c>
      <c r="C566" t="str">
        <f>IF($A566="","",IFERROR('TMP Paste'!$M566*1,0))</f>
        <v/>
      </c>
      <c r="D566" t="str">
        <f>IF($A566="","",SUMIF($B$2:$B566,$B566,$C$2:$C566))</f>
        <v/>
      </c>
      <c r="E566">
        <f>IF($A566="",0,IF('TMP Paste'!$B566="",0,1))</f>
        <v>0</v>
      </c>
      <c r="F566" t="str">
        <f t="shared" si="40"/>
        <v/>
      </c>
      <c r="G566" t="str">
        <f t="shared" si="41"/>
        <v/>
      </c>
      <c r="H566" t="str">
        <f t="shared" si="42"/>
        <v/>
      </c>
      <c r="I566" t="str">
        <f t="shared" si="43"/>
        <v/>
      </c>
      <c r="J566" t="str">
        <f t="shared" si="44"/>
        <v/>
      </c>
      <c r="K566" t="str">
        <f>IF($A566="","",IF(COUNTIF($B$2:$B566,$B566)=COUNTIF($B$2:$B$1601,$B566),$B566,""))</f>
        <v/>
      </c>
    </row>
    <row r="567" spans="1:11">
      <c r="A567" t="str">
        <f>IF('TMP Paste'!$E567="","",'TMP Paste'!$E567)</f>
        <v/>
      </c>
      <c r="B567" t="str">
        <f>IF($A567="","",COUNTIF('TMP Paste'!$B$2:$B567,"?*"))</f>
        <v/>
      </c>
      <c r="C567" t="str">
        <f>IF($A567="","",IFERROR('TMP Paste'!$M567*1,0))</f>
        <v/>
      </c>
      <c r="D567" t="str">
        <f>IF($A567="","",SUMIF($B$2:$B567,$B567,$C$2:$C567))</f>
        <v/>
      </c>
      <c r="E567">
        <f>IF($A567="",0,IF('TMP Paste'!$B567="",0,1))</f>
        <v>0</v>
      </c>
      <c r="F567" t="str">
        <f t="shared" si="40"/>
        <v/>
      </c>
      <c r="G567" t="str">
        <f t="shared" si="41"/>
        <v/>
      </c>
      <c r="H567" t="str">
        <f t="shared" si="42"/>
        <v/>
      </c>
      <c r="I567" t="str">
        <f t="shared" si="43"/>
        <v/>
      </c>
      <c r="J567" t="str">
        <f t="shared" si="44"/>
        <v/>
      </c>
      <c r="K567" t="str">
        <f>IF($A567="","",IF(COUNTIF($B$2:$B567,$B567)=COUNTIF($B$2:$B$1601,$B567),$B567,""))</f>
        <v/>
      </c>
    </row>
    <row r="568" spans="1:11">
      <c r="A568" t="str">
        <f>IF('TMP Paste'!$E568="","",'TMP Paste'!$E568)</f>
        <v/>
      </c>
      <c r="B568" t="str">
        <f>IF($A568="","",COUNTIF('TMP Paste'!$B$2:$B568,"?*"))</f>
        <v/>
      </c>
      <c r="C568" t="str">
        <f>IF($A568="","",IFERROR('TMP Paste'!$M568*1,0))</f>
        <v/>
      </c>
      <c r="D568" t="str">
        <f>IF($A568="","",SUMIF($B$2:$B568,$B568,$C$2:$C568))</f>
        <v/>
      </c>
      <c r="E568">
        <f>IF($A568="",0,IF('TMP Paste'!$B568="",0,1))</f>
        <v>0</v>
      </c>
      <c r="F568" t="str">
        <f t="shared" si="40"/>
        <v/>
      </c>
      <c r="G568" t="str">
        <f t="shared" si="41"/>
        <v/>
      </c>
      <c r="H568" t="str">
        <f t="shared" si="42"/>
        <v/>
      </c>
      <c r="I568" t="str">
        <f t="shared" si="43"/>
        <v/>
      </c>
      <c r="J568" t="str">
        <f t="shared" si="44"/>
        <v/>
      </c>
      <c r="K568" t="str">
        <f>IF($A568="","",IF(COUNTIF($B$2:$B568,$B568)=COUNTIF($B$2:$B$1601,$B568),$B568,""))</f>
        <v/>
      </c>
    </row>
    <row r="569" spans="1:11">
      <c r="A569" t="str">
        <f>IF('TMP Paste'!$E569="","",'TMP Paste'!$E569)</f>
        <v/>
      </c>
      <c r="B569" t="str">
        <f>IF($A569="","",COUNTIF('TMP Paste'!$B$2:$B569,"?*"))</f>
        <v/>
      </c>
      <c r="C569" t="str">
        <f>IF($A569="","",IFERROR('TMP Paste'!$M569*1,0))</f>
        <v/>
      </c>
      <c r="D569" t="str">
        <f>IF($A569="","",SUMIF($B$2:$B569,$B569,$C$2:$C569))</f>
        <v/>
      </c>
      <c r="E569">
        <f>IF($A569="",0,IF('TMP Paste'!$B569="",0,1))</f>
        <v>0</v>
      </c>
      <c r="F569" t="str">
        <f t="shared" si="40"/>
        <v/>
      </c>
      <c r="G569" t="str">
        <f t="shared" si="41"/>
        <v/>
      </c>
      <c r="H569" t="str">
        <f t="shared" si="42"/>
        <v/>
      </c>
      <c r="I569" t="str">
        <f t="shared" si="43"/>
        <v/>
      </c>
      <c r="J569" t="str">
        <f t="shared" si="44"/>
        <v/>
      </c>
      <c r="K569" t="str">
        <f>IF($A569="","",IF(COUNTIF($B$2:$B569,$B569)=COUNTIF($B$2:$B$1601,$B569),$B569,""))</f>
        <v/>
      </c>
    </row>
    <row r="570" spans="1:11">
      <c r="A570" t="str">
        <f>IF('TMP Paste'!$E570="","",'TMP Paste'!$E570)</f>
        <v/>
      </c>
      <c r="B570" t="str">
        <f>IF($A570="","",COUNTIF('TMP Paste'!$B$2:$B570,"?*"))</f>
        <v/>
      </c>
      <c r="C570" t="str">
        <f>IF($A570="","",IFERROR('TMP Paste'!$M570*1,0))</f>
        <v/>
      </c>
      <c r="D570" t="str">
        <f>IF($A570="","",SUMIF($B$2:$B570,$B570,$C$2:$C570))</f>
        <v/>
      </c>
      <c r="E570">
        <f>IF($A570="",0,IF('TMP Paste'!$B570="",0,1))</f>
        <v>0</v>
      </c>
      <c r="F570" t="str">
        <f t="shared" si="40"/>
        <v/>
      </c>
      <c r="G570" t="str">
        <f t="shared" si="41"/>
        <v/>
      </c>
      <c r="H570" t="str">
        <f t="shared" si="42"/>
        <v/>
      </c>
      <c r="I570" t="str">
        <f t="shared" si="43"/>
        <v/>
      </c>
      <c r="J570" t="str">
        <f t="shared" si="44"/>
        <v/>
      </c>
      <c r="K570" t="str">
        <f>IF($A570="","",IF(COUNTIF($B$2:$B570,$B570)=COUNTIF($B$2:$B$1601,$B570),$B570,""))</f>
        <v/>
      </c>
    </row>
    <row r="571" spans="1:11">
      <c r="A571" t="str">
        <f>IF('TMP Paste'!$E571="","",'TMP Paste'!$E571)</f>
        <v/>
      </c>
      <c r="B571" t="str">
        <f>IF($A571="","",COUNTIF('TMP Paste'!$B$2:$B571,"?*"))</f>
        <v/>
      </c>
      <c r="C571" t="str">
        <f>IF($A571="","",IFERROR('TMP Paste'!$M571*1,0))</f>
        <v/>
      </c>
      <c r="D571" t="str">
        <f>IF($A571="","",SUMIF($B$2:$B571,$B571,$C$2:$C571))</f>
        <v/>
      </c>
      <c r="E571">
        <f>IF($A571="",0,IF('TMP Paste'!$B571="",0,1))</f>
        <v>0</v>
      </c>
      <c r="F571" t="str">
        <f t="shared" si="40"/>
        <v/>
      </c>
      <c r="G571" t="str">
        <f t="shared" si="41"/>
        <v/>
      </c>
      <c r="H571" t="str">
        <f t="shared" si="42"/>
        <v/>
      </c>
      <c r="I571" t="str">
        <f t="shared" si="43"/>
        <v/>
      </c>
      <c r="J571" t="str">
        <f t="shared" si="44"/>
        <v/>
      </c>
      <c r="K571" t="str">
        <f>IF($A571="","",IF(COUNTIF($B$2:$B571,$B571)=COUNTIF($B$2:$B$1601,$B571),$B571,""))</f>
        <v/>
      </c>
    </row>
    <row r="572" spans="1:11">
      <c r="A572" t="str">
        <f>IF('TMP Paste'!$E572="","",'TMP Paste'!$E572)</f>
        <v/>
      </c>
      <c r="B572" t="str">
        <f>IF($A572="","",COUNTIF('TMP Paste'!$B$2:$B572,"?*"))</f>
        <v/>
      </c>
      <c r="C572" t="str">
        <f>IF($A572="","",IFERROR('TMP Paste'!$M572*1,0))</f>
        <v/>
      </c>
      <c r="D572" t="str">
        <f>IF($A572="","",SUMIF($B$2:$B572,$B572,$C$2:$C572))</f>
        <v/>
      </c>
      <c r="E572">
        <f>IF($A572="",0,IF('TMP Paste'!$B572="",0,1))</f>
        <v>0</v>
      </c>
      <c r="F572" t="str">
        <f t="shared" si="40"/>
        <v/>
      </c>
      <c r="G572" t="str">
        <f t="shared" si="41"/>
        <v/>
      </c>
      <c r="H572" t="str">
        <f t="shared" si="42"/>
        <v/>
      </c>
      <c r="I572" t="str">
        <f t="shared" si="43"/>
        <v/>
      </c>
      <c r="J572" t="str">
        <f t="shared" si="44"/>
        <v/>
      </c>
      <c r="K572" t="str">
        <f>IF($A572="","",IF(COUNTIF($B$2:$B572,$B572)=COUNTIF($B$2:$B$1601,$B572),$B572,""))</f>
        <v/>
      </c>
    </row>
    <row r="573" spans="1:11">
      <c r="A573" t="str">
        <f>IF('TMP Paste'!$E573="","",'TMP Paste'!$E573)</f>
        <v/>
      </c>
      <c r="B573" t="str">
        <f>IF($A573="","",COUNTIF('TMP Paste'!$B$2:$B573,"?*"))</f>
        <v/>
      </c>
      <c r="C573" t="str">
        <f>IF($A573="","",IFERROR('TMP Paste'!$M573*1,0))</f>
        <v/>
      </c>
      <c r="D573" t="str">
        <f>IF($A573="","",SUMIF($B$2:$B573,$B573,$C$2:$C573))</f>
        <v/>
      </c>
      <c r="E573">
        <f>IF($A573="",0,IF('TMP Paste'!$B573="",0,1))</f>
        <v>0</v>
      </c>
      <c r="F573" t="str">
        <f t="shared" si="40"/>
        <v/>
      </c>
      <c r="G573" t="str">
        <f t="shared" si="41"/>
        <v/>
      </c>
      <c r="H573" t="str">
        <f t="shared" si="42"/>
        <v/>
      </c>
      <c r="I573" t="str">
        <f t="shared" si="43"/>
        <v/>
      </c>
      <c r="J573" t="str">
        <f t="shared" si="44"/>
        <v/>
      </c>
      <c r="K573" t="str">
        <f>IF($A573="","",IF(COUNTIF($B$2:$B573,$B573)=COUNTIF($B$2:$B$1601,$B573),$B573,""))</f>
        <v/>
      </c>
    </row>
    <row r="574" spans="1:11">
      <c r="A574" t="str">
        <f>IF('TMP Paste'!$E574="","",'TMP Paste'!$E574)</f>
        <v/>
      </c>
      <c r="B574" t="str">
        <f>IF($A574="","",COUNTIF('TMP Paste'!$B$2:$B574,"?*"))</f>
        <v/>
      </c>
      <c r="C574" t="str">
        <f>IF($A574="","",IFERROR('TMP Paste'!$M574*1,0))</f>
        <v/>
      </c>
      <c r="D574" t="str">
        <f>IF($A574="","",SUMIF($B$2:$B574,$B574,$C$2:$C574))</f>
        <v/>
      </c>
      <c r="E574">
        <f>IF($A574="",0,IF('TMP Paste'!$B574="",0,1))</f>
        <v>0</v>
      </c>
      <c r="F574" t="str">
        <f t="shared" si="40"/>
        <v/>
      </c>
      <c r="G574" t="str">
        <f t="shared" si="41"/>
        <v/>
      </c>
      <c r="H574" t="str">
        <f t="shared" si="42"/>
        <v/>
      </c>
      <c r="I574" t="str">
        <f t="shared" si="43"/>
        <v/>
      </c>
      <c r="J574" t="str">
        <f t="shared" si="44"/>
        <v/>
      </c>
      <c r="K574" t="str">
        <f>IF($A574="","",IF(COUNTIF($B$2:$B574,$B574)=COUNTIF($B$2:$B$1601,$B574),$B574,""))</f>
        <v/>
      </c>
    </row>
    <row r="575" spans="1:11">
      <c r="A575" t="str">
        <f>IF('TMP Paste'!$E575="","",'TMP Paste'!$E575)</f>
        <v/>
      </c>
      <c r="B575" t="str">
        <f>IF($A575="","",COUNTIF('TMP Paste'!$B$2:$B575,"?*"))</f>
        <v/>
      </c>
      <c r="C575" t="str">
        <f>IF($A575="","",IFERROR('TMP Paste'!$M575*1,0))</f>
        <v/>
      </c>
      <c r="D575" t="str">
        <f>IF($A575="","",SUMIF($B$2:$B575,$B575,$C$2:$C575))</f>
        <v/>
      </c>
      <c r="E575">
        <f>IF($A575="",0,IF('TMP Paste'!$B575="",0,1))</f>
        <v>0</v>
      </c>
      <c r="F575" t="str">
        <f t="shared" si="40"/>
        <v/>
      </c>
      <c r="G575" t="str">
        <f t="shared" si="41"/>
        <v/>
      </c>
      <c r="H575" t="str">
        <f t="shared" si="42"/>
        <v/>
      </c>
      <c r="I575" t="str">
        <f t="shared" si="43"/>
        <v/>
      </c>
      <c r="J575" t="str">
        <f t="shared" si="44"/>
        <v/>
      </c>
      <c r="K575" t="str">
        <f>IF($A575="","",IF(COUNTIF($B$2:$B575,$B575)=COUNTIF($B$2:$B$1601,$B575),$B575,""))</f>
        <v/>
      </c>
    </row>
    <row r="576" spans="1:11">
      <c r="A576" t="str">
        <f>IF('TMP Paste'!$E576="","",'TMP Paste'!$E576)</f>
        <v/>
      </c>
      <c r="B576" t="str">
        <f>IF($A576="","",COUNTIF('TMP Paste'!$B$2:$B576,"?*"))</f>
        <v/>
      </c>
      <c r="C576" t="str">
        <f>IF($A576="","",IFERROR('TMP Paste'!$M576*1,0))</f>
        <v/>
      </c>
      <c r="D576" t="str">
        <f>IF($A576="","",SUMIF($B$2:$B576,$B576,$C$2:$C576))</f>
        <v/>
      </c>
      <c r="E576">
        <f>IF($A576="",0,IF('TMP Paste'!$B576="",0,1))</f>
        <v>0</v>
      </c>
      <c r="F576" t="str">
        <f t="shared" si="40"/>
        <v/>
      </c>
      <c r="G576" t="str">
        <f t="shared" si="41"/>
        <v/>
      </c>
      <c r="H576" t="str">
        <f t="shared" si="42"/>
        <v/>
      </c>
      <c r="I576" t="str">
        <f t="shared" si="43"/>
        <v/>
      </c>
      <c r="J576" t="str">
        <f t="shared" si="44"/>
        <v/>
      </c>
      <c r="K576" t="str">
        <f>IF($A576="","",IF(COUNTIF($B$2:$B576,$B576)=COUNTIF($B$2:$B$1601,$B576),$B576,""))</f>
        <v/>
      </c>
    </row>
    <row r="577" spans="1:11">
      <c r="A577" t="str">
        <f>IF('TMP Paste'!$E577="","",'TMP Paste'!$E577)</f>
        <v/>
      </c>
      <c r="B577" t="str">
        <f>IF($A577="","",COUNTIF('TMP Paste'!$B$2:$B577,"?*"))</f>
        <v/>
      </c>
      <c r="C577" t="str">
        <f>IF($A577="","",IFERROR('TMP Paste'!$M577*1,0))</f>
        <v/>
      </c>
      <c r="D577" t="str">
        <f>IF($A577="","",SUMIF($B$2:$B577,$B577,$C$2:$C577))</f>
        <v/>
      </c>
      <c r="E577">
        <f>IF($A577="",0,IF('TMP Paste'!$B577="",0,1))</f>
        <v>0</v>
      </c>
      <c r="F577" t="str">
        <f t="shared" si="40"/>
        <v/>
      </c>
      <c r="G577" t="str">
        <f t="shared" si="41"/>
        <v/>
      </c>
      <c r="H577" t="str">
        <f t="shared" si="42"/>
        <v/>
      </c>
      <c r="I577" t="str">
        <f t="shared" si="43"/>
        <v/>
      </c>
      <c r="J577" t="str">
        <f t="shared" si="44"/>
        <v/>
      </c>
      <c r="K577" t="str">
        <f>IF($A577="","",IF(COUNTIF($B$2:$B577,$B577)=COUNTIF($B$2:$B$1601,$B577),$B577,""))</f>
        <v/>
      </c>
    </row>
    <row r="578" spans="1:11">
      <c r="A578" t="str">
        <f>IF('TMP Paste'!$E578="","",'TMP Paste'!$E578)</f>
        <v/>
      </c>
      <c r="B578" t="str">
        <f>IF($A578="","",COUNTIF('TMP Paste'!$B$2:$B578,"?*"))</f>
        <v/>
      </c>
      <c r="C578" t="str">
        <f>IF($A578="","",IFERROR('TMP Paste'!$M578*1,0))</f>
        <v/>
      </c>
      <c r="D578" t="str">
        <f>IF($A578="","",SUMIF($B$2:$B578,$B578,$C$2:$C578))</f>
        <v/>
      </c>
      <c r="E578">
        <f>IF($A578="",0,IF('TMP Paste'!$B578="",0,1))</f>
        <v>0</v>
      </c>
      <c r="F578" t="str">
        <f t="shared" ref="F578:F641" si="45">IF(OR($A578="",$C578&lt;1),"",$A578&amp;"-"&amp;TEXT(($D578-$C578+1),"00")&amp;IF($C578&gt;=2,", "&amp;$A578&amp;"-"&amp;TEXT(($D578-$C578+1)+1,"00"),"")&amp;IF($C578&gt;=3,", "&amp;$A578&amp;"-"&amp;TEXT(($D578-$C578+1)+2,"00"),"")&amp;IF($C578&gt;=4,", "&amp;$A578&amp;"-"&amp;TEXT(($D578-$C578+1)+3,"00"),"")&amp;IF($C578&gt;=5,", "&amp;$A578&amp;"-"&amp;TEXT(($D578-$C578+1)+4,"00"),"")&amp;IF($C578&gt;=6,", "&amp;$A578&amp;"-"&amp;TEXT(($D578-$C578+1)+5,"00"),"")&amp;IF($C578&gt;=7,", "&amp;$A578&amp;"-"&amp;TEXT(($D578-$C578+1)+6,"00"),"")&amp;IF($C578&gt;=8,", "&amp;$A578&amp;"-"&amp;TEXT(($D578-$C578+1)+7,"00"),"")&amp;IF($C578&gt;=9,", "&amp;$A578&amp;"-"&amp;TEXT(($D578-$C578+1)+8,"00"),"")&amp;IF($C578&gt;=10,", "&amp;$A578&amp;"-"&amp;TEXT(($D578-$C578+1)+9,"00"),"")&amp;IF($C578&gt;=11,", "&amp;$A578&amp;"-"&amp;TEXT(($D578-$C578+1)+10,"00"),"")&amp;IF($C578&gt;=12,", "&amp;$A578&amp;"-"&amp;TEXT(($D578-$C578+1)+11,"00"),"")&amp;IF($C578&gt;=13,", "&amp;$A578&amp;"-"&amp;TEXT(($D578-$C578+1)+12,"00"),"")&amp;IF($C578&gt;=14,", "&amp;$A578&amp;"-"&amp;TEXT(($D578-$C578+1)+13,"00"),"")&amp;IF($C578&gt;=15,", "&amp;$A578&amp;"-"&amp;TEXT(($D578-$C578+1)+14,"00"),"")&amp;IF($C578&gt;=16,", "&amp;$A578&amp;"-"&amp;TEXT(($D578-$C578+1)+15,"00"),"")&amp;IF($C578&gt;=17,", "&amp;$A578&amp;"-"&amp;TEXT(($D578-$C578+1)+16,"00"),"")&amp;IF($C578&gt;=18,", "&amp;$A578&amp;"-"&amp;TEXT(($D578-$C578+1)+17,"00"),"")&amp;IF($C578&gt;=19,", "&amp;$A578&amp;"-"&amp;TEXT(($D578-$C578+1)+18,"00"),"")&amp;IF($C578&gt;=20,", "&amp;$A578&amp;"-"&amp;TEXT(($D578-$C578+1)+19,"00"),"")&amp;IF($C578&gt;=21,", "&amp;$A578&amp;"-"&amp;TEXT(($D578-$C578+1)+20,"00"),"")&amp;IF($C578&gt;=22,", "&amp;$A578&amp;"-"&amp;TEXT(($D578-$C578+1)+21,"00"),"")&amp;IF($C578&gt;=23,", "&amp;$A578&amp;"-"&amp;TEXT(($D578-$C578+1)+22,"00"),"")&amp;IF($C578&gt;=24,", "&amp;$A578&amp;"-"&amp;TEXT(($D578-$C578+1)+23,"00"),"")&amp;IF($C578&gt;=25,", "&amp;$A578&amp;"-"&amp;TEXT(($D578-$C578+1)+24,"00"),""))</f>
        <v/>
      </c>
      <c r="G578" t="str">
        <f t="shared" ref="G578:G641" si="46">IF($A578="","",IF($E578=1,$F578,IF($F578="",$G577,IF($G577="",$F578,$G577&amp;", "&amp;$F578))))</f>
        <v/>
      </c>
      <c r="H578" t="str">
        <f t="shared" ref="H578:H641" si="47">IF($A578="","",$A578&amp;" ("&amp;$C578&amp;")")</f>
        <v/>
      </c>
      <c r="I578" t="str">
        <f t="shared" ref="I578:I641" si="48">IF($A578="","",IF($E578=1,$H578,$I577&amp;", "&amp;$H578))</f>
        <v/>
      </c>
      <c r="J578" t="str">
        <f t="shared" ref="J578:J641" si="49">IF($A578="","",IF($E578=1,$B578,""))</f>
        <v/>
      </c>
      <c r="K578" t="str">
        <f>IF($A578="","",IF(COUNTIF($B$2:$B578,$B578)=COUNTIF($B$2:$B$1601,$B578),$B578,""))</f>
        <v/>
      </c>
    </row>
    <row r="579" spans="1:11">
      <c r="A579" t="str">
        <f>IF('TMP Paste'!$E579="","",'TMP Paste'!$E579)</f>
        <v/>
      </c>
      <c r="B579" t="str">
        <f>IF($A579="","",COUNTIF('TMP Paste'!$B$2:$B579,"?*"))</f>
        <v/>
      </c>
      <c r="C579" t="str">
        <f>IF($A579="","",IFERROR('TMP Paste'!$M579*1,0))</f>
        <v/>
      </c>
      <c r="D579" t="str">
        <f>IF($A579="","",SUMIF($B$2:$B579,$B579,$C$2:$C579))</f>
        <v/>
      </c>
      <c r="E579">
        <f>IF($A579="",0,IF('TMP Paste'!$B579="",0,1))</f>
        <v>0</v>
      </c>
      <c r="F579" t="str">
        <f t="shared" si="45"/>
        <v/>
      </c>
      <c r="G579" t="str">
        <f t="shared" si="46"/>
        <v/>
      </c>
      <c r="H579" t="str">
        <f t="shared" si="47"/>
        <v/>
      </c>
      <c r="I579" t="str">
        <f t="shared" si="48"/>
        <v/>
      </c>
      <c r="J579" t="str">
        <f t="shared" si="49"/>
        <v/>
      </c>
      <c r="K579" t="str">
        <f>IF($A579="","",IF(COUNTIF($B$2:$B579,$B579)=COUNTIF($B$2:$B$1601,$B579),$B579,""))</f>
        <v/>
      </c>
    </row>
    <row r="580" spans="1:11">
      <c r="A580" t="str">
        <f>IF('TMP Paste'!$E580="","",'TMP Paste'!$E580)</f>
        <v/>
      </c>
      <c r="B580" t="str">
        <f>IF($A580="","",COUNTIF('TMP Paste'!$B$2:$B580,"?*"))</f>
        <v/>
      </c>
      <c r="C580" t="str">
        <f>IF($A580="","",IFERROR('TMP Paste'!$M580*1,0))</f>
        <v/>
      </c>
      <c r="D580" t="str">
        <f>IF($A580="","",SUMIF($B$2:$B580,$B580,$C$2:$C580))</f>
        <v/>
      </c>
      <c r="E580">
        <f>IF($A580="",0,IF('TMP Paste'!$B580="",0,1))</f>
        <v>0</v>
      </c>
      <c r="F580" t="str">
        <f t="shared" si="45"/>
        <v/>
      </c>
      <c r="G580" t="str">
        <f t="shared" si="46"/>
        <v/>
      </c>
      <c r="H580" t="str">
        <f t="shared" si="47"/>
        <v/>
      </c>
      <c r="I580" t="str">
        <f t="shared" si="48"/>
        <v/>
      </c>
      <c r="J580" t="str">
        <f t="shared" si="49"/>
        <v/>
      </c>
      <c r="K580" t="str">
        <f>IF($A580="","",IF(COUNTIF($B$2:$B580,$B580)=COUNTIF($B$2:$B$1601,$B580),$B580,""))</f>
        <v/>
      </c>
    </row>
    <row r="581" spans="1:11">
      <c r="A581" t="str">
        <f>IF('TMP Paste'!$E581="","",'TMP Paste'!$E581)</f>
        <v/>
      </c>
      <c r="B581" t="str">
        <f>IF($A581="","",COUNTIF('TMP Paste'!$B$2:$B581,"?*"))</f>
        <v/>
      </c>
      <c r="C581" t="str">
        <f>IF($A581="","",IFERROR('TMP Paste'!$M581*1,0))</f>
        <v/>
      </c>
      <c r="D581" t="str">
        <f>IF($A581="","",SUMIF($B$2:$B581,$B581,$C$2:$C581))</f>
        <v/>
      </c>
      <c r="E581">
        <f>IF($A581="",0,IF('TMP Paste'!$B581="",0,1))</f>
        <v>0</v>
      </c>
      <c r="F581" t="str">
        <f t="shared" si="45"/>
        <v/>
      </c>
      <c r="G581" t="str">
        <f t="shared" si="46"/>
        <v/>
      </c>
      <c r="H581" t="str">
        <f t="shared" si="47"/>
        <v/>
      </c>
      <c r="I581" t="str">
        <f t="shared" si="48"/>
        <v/>
      </c>
      <c r="J581" t="str">
        <f t="shared" si="49"/>
        <v/>
      </c>
      <c r="K581" t="str">
        <f>IF($A581="","",IF(COUNTIF($B$2:$B581,$B581)=COUNTIF($B$2:$B$1601,$B581),$B581,""))</f>
        <v/>
      </c>
    </row>
    <row r="582" spans="1:11">
      <c r="A582" t="str">
        <f>IF('TMP Paste'!$E582="","",'TMP Paste'!$E582)</f>
        <v/>
      </c>
      <c r="B582" t="str">
        <f>IF($A582="","",COUNTIF('TMP Paste'!$B$2:$B582,"?*"))</f>
        <v/>
      </c>
      <c r="C582" t="str">
        <f>IF($A582="","",IFERROR('TMP Paste'!$M582*1,0))</f>
        <v/>
      </c>
      <c r="D582" t="str">
        <f>IF($A582="","",SUMIF($B$2:$B582,$B582,$C$2:$C582))</f>
        <v/>
      </c>
      <c r="E582">
        <f>IF($A582="",0,IF('TMP Paste'!$B582="",0,1))</f>
        <v>0</v>
      </c>
      <c r="F582" t="str">
        <f t="shared" si="45"/>
        <v/>
      </c>
      <c r="G582" t="str">
        <f t="shared" si="46"/>
        <v/>
      </c>
      <c r="H582" t="str">
        <f t="shared" si="47"/>
        <v/>
      </c>
      <c r="I582" t="str">
        <f t="shared" si="48"/>
        <v/>
      </c>
      <c r="J582" t="str">
        <f t="shared" si="49"/>
        <v/>
      </c>
      <c r="K582" t="str">
        <f>IF($A582="","",IF(COUNTIF($B$2:$B582,$B582)=COUNTIF($B$2:$B$1601,$B582),$B582,""))</f>
        <v/>
      </c>
    </row>
    <row r="583" spans="1:11">
      <c r="A583" t="str">
        <f>IF('TMP Paste'!$E583="","",'TMP Paste'!$E583)</f>
        <v/>
      </c>
      <c r="B583" t="str">
        <f>IF($A583="","",COUNTIF('TMP Paste'!$B$2:$B583,"?*"))</f>
        <v/>
      </c>
      <c r="C583" t="str">
        <f>IF($A583="","",IFERROR('TMP Paste'!$M583*1,0))</f>
        <v/>
      </c>
      <c r="D583" t="str">
        <f>IF($A583="","",SUMIF($B$2:$B583,$B583,$C$2:$C583))</f>
        <v/>
      </c>
      <c r="E583">
        <f>IF($A583="",0,IF('TMP Paste'!$B583="",0,1))</f>
        <v>0</v>
      </c>
      <c r="F583" t="str">
        <f t="shared" si="45"/>
        <v/>
      </c>
      <c r="G583" t="str">
        <f t="shared" si="46"/>
        <v/>
      </c>
      <c r="H583" t="str">
        <f t="shared" si="47"/>
        <v/>
      </c>
      <c r="I583" t="str">
        <f t="shared" si="48"/>
        <v/>
      </c>
      <c r="J583" t="str">
        <f t="shared" si="49"/>
        <v/>
      </c>
      <c r="K583" t="str">
        <f>IF($A583="","",IF(COUNTIF($B$2:$B583,$B583)=COUNTIF($B$2:$B$1601,$B583),$B583,""))</f>
        <v/>
      </c>
    </row>
    <row r="584" spans="1:11">
      <c r="A584" t="str">
        <f>IF('TMP Paste'!$E584="","",'TMP Paste'!$E584)</f>
        <v/>
      </c>
      <c r="B584" t="str">
        <f>IF($A584="","",COUNTIF('TMP Paste'!$B$2:$B584,"?*"))</f>
        <v/>
      </c>
      <c r="C584" t="str">
        <f>IF($A584="","",IFERROR('TMP Paste'!$M584*1,0))</f>
        <v/>
      </c>
      <c r="D584" t="str">
        <f>IF($A584="","",SUMIF($B$2:$B584,$B584,$C$2:$C584))</f>
        <v/>
      </c>
      <c r="E584">
        <f>IF($A584="",0,IF('TMP Paste'!$B584="",0,1))</f>
        <v>0</v>
      </c>
      <c r="F584" t="str">
        <f t="shared" si="45"/>
        <v/>
      </c>
      <c r="G584" t="str">
        <f t="shared" si="46"/>
        <v/>
      </c>
      <c r="H584" t="str">
        <f t="shared" si="47"/>
        <v/>
      </c>
      <c r="I584" t="str">
        <f t="shared" si="48"/>
        <v/>
      </c>
      <c r="J584" t="str">
        <f t="shared" si="49"/>
        <v/>
      </c>
      <c r="K584" t="str">
        <f>IF($A584="","",IF(COUNTIF($B$2:$B584,$B584)=COUNTIF($B$2:$B$1601,$B584),$B584,""))</f>
        <v/>
      </c>
    </row>
    <row r="585" spans="1:11">
      <c r="A585" t="str">
        <f>IF('TMP Paste'!$E585="","",'TMP Paste'!$E585)</f>
        <v/>
      </c>
      <c r="B585" t="str">
        <f>IF($A585="","",COUNTIF('TMP Paste'!$B$2:$B585,"?*"))</f>
        <v/>
      </c>
      <c r="C585" t="str">
        <f>IF($A585="","",IFERROR('TMP Paste'!$M585*1,0))</f>
        <v/>
      </c>
      <c r="D585" t="str">
        <f>IF($A585="","",SUMIF($B$2:$B585,$B585,$C$2:$C585))</f>
        <v/>
      </c>
      <c r="E585">
        <f>IF($A585="",0,IF('TMP Paste'!$B585="",0,1))</f>
        <v>0</v>
      </c>
      <c r="F585" t="str">
        <f t="shared" si="45"/>
        <v/>
      </c>
      <c r="G585" t="str">
        <f t="shared" si="46"/>
        <v/>
      </c>
      <c r="H585" t="str">
        <f t="shared" si="47"/>
        <v/>
      </c>
      <c r="I585" t="str">
        <f t="shared" si="48"/>
        <v/>
      </c>
      <c r="J585" t="str">
        <f t="shared" si="49"/>
        <v/>
      </c>
      <c r="K585" t="str">
        <f>IF($A585="","",IF(COUNTIF($B$2:$B585,$B585)=COUNTIF($B$2:$B$1601,$B585),$B585,""))</f>
        <v/>
      </c>
    </row>
    <row r="586" spans="1:11">
      <c r="A586" t="str">
        <f>IF('TMP Paste'!$E586="","",'TMP Paste'!$E586)</f>
        <v/>
      </c>
      <c r="B586" t="str">
        <f>IF($A586="","",COUNTIF('TMP Paste'!$B$2:$B586,"?*"))</f>
        <v/>
      </c>
      <c r="C586" t="str">
        <f>IF($A586="","",IFERROR('TMP Paste'!$M586*1,0))</f>
        <v/>
      </c>
      <c r="D586" t="str">
        <f>IF($A586="","",SUMIF($B$2:$B586,$B586,$C$2:$C586))</f>
        <v/>
      </c>
      <c r="E586">
        <f>IF($A586="",0,IF('TMP Paste'!$B586="",0,1))</f>
        <v>0</v>
      </c>
      <c r="F586" t="str">
        <f t="shared" si="45"/>
        <v/>
      </c>
      <c r="G586" t="str">
        <f t="shared" si="46"/>
        <v/>
      </c>
      <c r="H586" t="str">
        <f t="shared" si="47"/>
        <v/>
      </c>
      <c r="I586" t="str">
        <f t="shared" si="48"/>
        <v/>
      </c>
      <c r="J586" t="str">
        <f t="shared" si="49"/>
        <v/>
      </c>
      <c r="K586" t="str">
        <f>IF($A586="","",IF(COUNTIF($B$2:$B586,$B586)=COUNTIF($B$2:$B$1601,$B586),$B586,""))</f>
        <v/>
      </c>
    </row>
    <row r="587" spans="1:11">
      <c r="A587" t="str">
        <f>IF('TMP Paste'!$E587="","",'TMP Paste'!$E587)</f>
        <v/>
      </c>
      <c r="B587" t="str">
        <f>IF($A587="","",COUNTIF('TMP Paste'!$B$2:$B587,"?*"))</f>
        <v/>
      </c>
      <c r="C587" t="str">
        <f>IF($A587="","",IFERROR('TMP Paste'!$M587*1,0))</f>
        <v/>
      </c>
      <c r="D587" t="str">
        <f>IF($A587="","",SUMIF($B$2:$B587,$B587,$C$2:$C587))</f>
        <v/>
      </c>
      <c r="E587">
        <f>IF($A587="",0,IF('TMP Paste'!$B587="",0,1))</f>
        <v>0</v>
      </c>
      <c r="F587" t="str">
        <f t="shared" si="45"/>
        <v/>
      </c>
      <c r="G587" t="str">
        <f t="shared" si="46"/>
        <v/>
      </c>
      <c r="H587" t="str">
        <f t="shared" si="47"/>
        <v/>
      </c>
      <c r="I587" t="str">
        <f t="shared" si="48"/>
        <v/>
      </c>
      <c r="J587" t="str">
        <f t="shared" si="49"/>
        <v/>
      </c>
      <c r="K587" t="str">
        <f>IF($A587="","",IF(COUNTIF($B$2:$B587,$B587)=COUNTIF($B$2:$B$1601,$B587),$B587,""))</f>
        <v/>
      </c>
    </row>
    <row r="588" spans="1:11">
      <c r="A588" t="str">
        <f>IF('TMP Paste'!$E588="","",'TMP Paste'!$E588)</f>
        <v/>
      </c>
      <c r="B588" t="str">
        <f>IF($A588="","",COUNTIF('TMP Paste'!$B$2:$B588,"?*"))</f>
        <v/>
      </c>
      <c r="C588" t="str">
        <f>IF($A588="","",IFERROR('TMP Paste'!$M588*1,0))</f>
        <v/>
      </c>
      <c r="D588" t="str">
        <f>IF($A588="","",SUMIF($B$2:$B588,$B588,$C$2:$C588))</f>
        <v/>
      </c>
      <c r="E588">
        <f>IF($A588="",0,IF('TMP Paste'!$B588="",0,1))</f>
        <v>0</v>
      </c>
      <c r="F588" t="str">
        <f t="shared" si="45"/>
        <v/>
      </c>
      <c r="G588" t="str">
        <f t="shared" si="46"/>
        <v/>
      </c>
      <c r="H588" t="str">
        <f t="shared" si="47"/>
        <v/>
      </c>
      <c r="I588" t="str">
        <f t="shared" si="48"/>
        <v/>
      </c>
      <c r="J588" t="str">
        <f t="shared" si="49"/>
        <v/>
      </c>
      <c r="K588" t="str">
        <f>IF($A588="","",IF(COUNTIF($B$2:$B588,$B588)=COUNTIF($B$2:$B$1601,$B588),$B588,""))</f>
        <v/>
      </c>
    </row>
    <row r="589" spans="1:11">
      <c r="A589" t="str">
        <f>IF('TMP Paste'!$E589="","",'TMP Paste'!$E589)</f>
        <v/>
      </c>
      <c r="B589" t="str">
        <f>IF($A589="","",COUNTIF('TMP Paste'!$B$2:$B589,"?*"))</f>
        <v/>
      </c>
      <c r="C589" t="str">
        <f>IF($A589="","",IFERROR('TMP Paste'!$M589*1,0))</f>
        <v/>
      </c>
      <c r="D589" t="str">
        <f>IF($A589="","",SUMIF($B$2:$B589,$B589,$C$2:$C589))</f>
        <v/>
      </c>
      <c r="E589">
        <f>IF($A589="",0,IF('TMP Paste'!$B589="",0,1))</f>
        <v>0</v>
      </c>
      <c r="F589" t="str">
        <f t="shared" si="45"/>
        <v/>
      </c>
      <c r="G589" t="str">
        <f t="shared" si="46"/>
        <v/>
      </c>
      <c r="H589" t="str">
        <f t="shared" si="47"/>
        <v/>
      </c>
      <c r="I589" t="str">
        <f t="shared" si="48"/>
        <v/>
      </c>
      <c r="J589" t="str">
        <f t="shared" si="49"/>
        <v/>
      </c>
      <c r="K589" t="str">
        <f>IF($A589="","",IF(COUNTIF($B$2:$B589,$B589)=COUNTIF($B$2:$B$1601,$B589),$B589,""))</f>
        <v/>
      </c>
    </row>
    <row r="590" spans="1:11">
      <c r="A590" t="str">
        <f>IF('TMP Paste'!$E590="","",'TMP Paste'!$E590)</f>
        <v/>
      </c>
      <c r="B590" t="str">
        <f>IF($A590="","",COUNTIF('TMP Paste'!$B$2:$B590,"?*"))</f>
        <v/>
      </c>
      <c r="C590" t="str">
        <f>IF($A590="","",IFERROR('TMP Paste'!$M590*1,0))</f>
        <v/>
      </c>
      <c r="D590" t="str">
        <f>IF($A590="","",SUMIF($B$2:$B590,$B590,$C$2:$C590))</f>
        <v/>
      </c>
      <c r="E590">
        <f>IF($A590="",0,IF('TMP Paste'!$B590="",0,1))</f>
        <v>0</v>
      </c>
      <c r="F590" t="str">
        <f t="shared" si="45"/>
        <v/>
      </c>
      <c r="G590" t="str">
        <f t="shared" si="46"/>
        <v/>
      </c>
      <c r="H590" t="str">
        <f t="shared" si="47"/>
        <v/>
      </c>
      <c r="I590" t="str">
        <f t="shared" si="48"/>
        <v/>
      </c>
      <c r="J590" t="str">
        <f t="shared" si="49"/>
        <v/>
      </c>
      <c r="K590" t="str">
        <f>IF($A590="","",IF(COUNTIF($B$2:$B590,$B590)=COUNTIF($B$2:$B$1601,$B590),$B590,""))</f>
        <v/>
      </c>
    </row>
    <row r="591" spans="1:11">
      <c r="A591" t="str">
        <f>IF('TMP Paste'!$E591="","",'TMP Paste'!$E591)</f>
        <v/>
      </c>
      <c r="B591" t="str">
        <f>IF($A591="","",COUNTIF('TMP Paste'!$B$2:$B591,"?*"))</f>
        <v/>
      </c>
      <c r="C591" t="str">
        <f>IF($A591="","",IFERROR('TMP Paste'!$M591*1,0))</f>
        <v/>
      </c>
      <c r="D591" t="str">
        <f>IF($A591="","",SUMIF($B$2:$B591,$B591,$C$2:$C591))</f>
        <v/>
      </c>
      <c r="E591">
        <f>IF($A591="",0,IF('TMP Paste'!$B591="",0,1))</f>
        <v>0</v>
      </c>
      <c r="F591" t="str">
        <f t="shared" si="45"/>
        <v/>
      </c>
      <c r="G591" t="str">
        <f t="shared" si="46"/>
        <v/>
      </c>
      <c r="H591" t="str">
        <f t="shared" si="47"/>
        <v/>
      </c>
      <c r="I591" t="str">
        <f t="shared" si="48"/>
        <v/>
      </c>
      <c r="J591" t="str">
        <f t="shared" si="49"/>
        <v/>
      </c>
      <c r="K591" t="str">
        <f>IF($A591="","",IF(COUNTIF($B$2:$B591,$B591)=COUNTIF($B$2:$B$1601,$B591),$B591,""))</f>
        <v/>
      </c>
    </row>
    <row r="592" spans="1:11">
      <c r="A592" t="str">
        <f>IF('TMP Paste'!$E592="","",'TMP Paste'!$E592)</f>
        <v/>
      </c>
      <c r="B592" t="str">
        <f>IF($A592="","",COUNTIF('TMP Paste'!$B$2:$B592,"?*"))</f>
        <v/>
      </c>
      <c r="C592" t="str">
        <f>IF($A592="","",IFERROR('TMP Paste'!$M592*1,0))</f>
        <v/>
      </c>
      <c r="D592" t="str">
        <f>IF($A592="","",SUMIF($B$2:$B592,$B592,$C$2:$C592))</f>
        <v/>
      </c>
      <c r="E592">
        <f>IF($A592="",0,IF('TMP Paste'!$B592="",0,1))</f>
        <v>0</v>
      </c>
      <c r="F592" t="str">
        <f t="shared" si="45"/>
        <v/>
      </c>
      <c r="G592" t="str">
        <f t="shared" si="46"/>
        <v/>
      </c>
      <c r="H592" t="str">
        <f t="shared" si="47"/>
        <v/>
      </c>
      <c r="I592" t="str">
        <f t="shared" si="48"/>
        <v/>
      </c>
      <c r="J592" t="str">
        <f t="shared" si="49"/>
        <v/>
      </c>
      <c r="K592" t="str">
        <f>IF($A592="","",IF(COUNTIF($B$2:$B592,$B592)=COUNTIF($B$2:$B$1601,$B592),$B592,""))</f>
        <v/>
      </c>
    </row>
    <row r="593" spans="1:11">
      <c r="A593" t="str">
        <f>IF('TMP Paste'!$E593="","",'TMP Paste'!$E593)</f>
        <v/>
      </c>
      <c r="B593" t="str">
        <f>IF($A593="","",COUNTIF('TMP Paste'!$B$2:$B593,"?*"))</f>
        <v/>
      </c>
      <c r="C593" t="str">
        <f>IF($A593="","",IFERROR('TMP Paste'!$M593*1,0))</f>
        <v/>
      </c>
      <c r="D593" t="str">
        <f>IF($A593="","",SUMIF($B$2:$B593,$B593,$C$2:$C593))</f>
        <v/>
      </c>
      <c r="E593">
        <f>IF($A593="",0,IF('TMP Paste'!$B593="",0,1))</f>
        <v>0</v>
      </c>
      <c r="F593" t="str">
        <f t="shared" si="45"/>
        <v/>
      </c>
      <c r="G593" t="str">
        <f t="shared" si="46"/>
        <v/>
      </c>
      <c r="H593" t="str">
        <f t="shared" si="47"/>
        <v/>
      </c>
      <c r="I593" t="str">
        <f t="shared" si="48"/>
        <v/>
      </c>
      <c r="J593" t="str">
        <f t="shared" si="49"/>
        <v/>
      </c>
      <c r="K593" t="str">
        <f>IF($A593="","",IF(COUNTIF($B$2:$B593,$B593)=COUNTIF($B$2:$B$1601,$B593),$B593,""))</f>
        <v/>
      </c>
    </row>
    <row r="594" spans="1:11">
      <c r="A594" t="str">
        <f>IF('TMP Paste'!$E594="","",'TMP Paste'!$E594)</f>
        <v/>
      </c>
      <c r="B594" t="str">
        <f>IF($A594="","",COUNTIF('TMP Paste'!$B$2:$B594,"?*"))</f>
        <v/>
      </c>
      <c r="C594" t="str">
        <f>IF($A594="","",IFERROR('TMP Paste'!$M594*1,0))</f>
        <v/>
      </c>
      <c r="D594" t="str">
        <f>IF($A594="","",SUMIF($B$2:$B594,$B594,$C$2:$C594))</f>
        <v/>
      </c>
      <c r="E594">
        <f>IF($A594="",0,IF('TMP Paste'!$B594="",0,1))</f>
        <v>0</v>
      </c>
      <c r="F594" t="str">
        <f t="shared" si="45"/>
        <v/>
      </c>
      <c r="G594" t="str">
        <f t="shared" si="46"/>
        <v/>
      </c>
      <c r="H594" t="str">
        <f t="shared" si="47"/>
        <v/>
      </c>
      <c r="I594" t="str">
        <f t="shared" si="48"/>
        <v/>
      </c>
      <c r="J594" t="str">
        <f t="shared" si="49"/>
        <v/>
      </c>
      <c r="K594" t="str">
        <f>IF($A594="","",IF(COUNTIF($B$2:$B594,$B594)=COUNTIF($B$2:$B$1601,$B594),$B594,""))</f>
        <v/>
      </c>
    </row>
    <row r="595" spans="1:11">
      <c r="A595" t="str">
        <f>IF('TMP Paste'!$E595="","",'TMP Paste'!$E595)</f>
        <v/>
      </c>
      <c r="B595" t="str">
        <f>IF($A595="","",COUNTIF('TMP Paste'!$B$2:$B595,"?*"))</f>
        <v/>
      </c>
      <c r="C595" t="str">
        <f>IF($A595="","",IFERROR('TMP Paste'!$M595*1,0))</f>
        <v/>
      </c>
      <c r="D595" t="str">
        <f>IF($A595="","",SUMIF($B$2:$B595,$B595,$C$2:$C595))</f>
        <v/>
      </c>
      <c r="E595">
        <f>IF($A595="",0,IF('TMP Paste'!$B595="",0,1))</f>
        <v>0</v>
      </c>
      <c r="F595" t="str">
        <f t="shared" si="45"/>
        <v/>
      </c>
      <c r="G595" t="str">
        <f t="shared" si="46"/>
        <v/>
      </c>
      <c r="H595" t="str">
        <f t="shared" si="47"/>
        <v/>
      </c>
      <c r="I595" t="str">
        <f t="shared" si="48"/>
        <v/>
      </c>
      <c r="J595" t="str">
        <f t="shared" si="49"/>
        <v/>
      </c>
      <c r="K595" t="str">
        <f>IF($A595="","",IF(COUNTIF($B$2:$B595,$B595)=COUNTIF($B$2:$B$1601,$B595),$B595,""))</f>
        <v/>
      </c>
    </row>
    <row r="596" spans="1:11">
      <c r="A596" t="str">
        <f>IF('TMP Paste'!$E596="","",'TMP Paste'!$E596)</f>
        <v/>
      </c>
      <c r="B596" t="str">
        <f>IF($A596="","",COUNTIF('TMP Paste'!$B$2:$B596,"?*"))</f>
        <v/>
      </c>
      <c r="C596" t="str">
        <f>IF($A596="","",IFERROR('TMP Paste'!$M596*1,0))</f>
        <v/>
      </c>
      <c r="D596" t="str">
        <f>IF($A596="","",SUMIF($B$2:$B596,$B596,$C$2:$C596))</f>
        <v/>
      </c>
      <c r="E596">
        <f>IF($A596="",0,IF('TMP Paste'!$B596="",0,1))</f>
        <v>0</v>
      </c>
      <c r="F596" t="str">
        <f t="shared" si="45"/>
        <v/>
      </c>
      <c r="G596" t="str">
        <f t="shared" si="46"/>
        <v/>
      </c>
      <c r="H596" t="str">
        <f t="shared" si="47"/>
        <v/>
      </c>
      <c r="I596" t="str">
        <f t="shared" si="48"/>
        <v/>
      </c>
      <c r="J596" t="str">
        <f t="shared" si="49"/>
        <v/>
      </c>
      <c r="K596" t="str">
        <f>IF($A596="","",IF(COUNTIF($B$2:$B596,$B596)=COUNTIF($B$2:$B$1601,$B596),$B596,""))</f>
        <v/>
      </c>
    </row>
    <row r="597" spans="1:11">
      <c r="A597" t="str">
        <f>IF('TMP Paste'!$E597="","",'TMP Paste'!$E597)</f>
        <v/>
      </c>
      <c r="B597" t="str">
        <f>IF($A597="","",COUNTIF('TMP Paste'!$B$2:$B597,"?*"))</f>
        <v/>
      </c>
      <c r="C597" t="str">
        <f>IF($A597="","",IFERROR('TMP Paste'!$M597*1,0))</f>
        <v/>
      </c>
      <c r="D597" t="str">
        <f>IF($A597="","",SUMIF($B$2:$B597,$B597,$C$2:$C597))</f>
        <v/>
      </c>
      <c r="E597">
        <f>IF($A597="",0,IF('TMP Paste'!$B597="",0,1))</f>
        <v>0</v>
      </c>
      <c r="F597" t="str">
        <f t="shared" si="45"/>
        <v/>
      </c>
      <c r="G597" t="str">
        <f t="shared" si="46"/>
        <v/>
      </c>
      <c r="H597" t="str">
        <f t="shared" si="47"/>
        <v/>
      </c>
      <c r="I597" t="str">
        <f t="shared" si="48"/>
        <v/>
      </c>
      <c r="J597" t="str">
        <f t="shared" si="49"/>
        <v/>
      </c>
      <c r="K597" t="str">
        <f>IF($A597="","",IF(COUNTIF($B$2:$B597,$B597)=COUNTIF($B$2:$B$1601,$B597),$B597,""))</f>
        <v/>
      </c>
    </row>
    <row r="598" spans="1:11">
      <c r="A598" t="str">
        <f>IF('TMP Paste'!$E598="","",'TMP Paste'!$E598)</f>
        <v/>
      </c>
      <c r="B598" t="str">
        <f>IF($A598="","",COUNTIF('TMP Paste'!$B$2:$B598,"?*"))</f>
        <v/>
      </c>
      <c r="C598" t="str">
        <f>IF($A598="","",IFERROR('TMP Paste'!$M598*1,0))</f>
        <v/>
      </c>
      <c r="D598" t="str">
        <f>IF($A598="","",SUMIF($B$2:$B598,$B598,$C$2:$C598))</f>
        <v/>
      </c>
      <c r="E598">
        <f>IF($A598="",0,IF('TMP Paste'!$B598="",0,1))</f>
        <v>0</v>
      </c>
      <c r="F598" t="str">
        <f t="shared" si="45"/>
        <v/>
      </c>
      <c r="G598" t="str">
        <f t="shared" si="46"/>
        <v/>
      </c>
      <c r="H598" t="str">
        <f t="shared" si="47"/>
        <v/>
      </c>
      <c r="I598" t="str">
        <f t="shared" si="48"/>
        <v/>
      </c>
      <c r="J598" t="str">
        <f t="shared" si="49"/>
        <v/>
      </c>
      <c r="K598" t="str">
        <f>IF($A598="","",IF(COUNTIF($B$2:$B598,$B598)=COUNTIF($B$2:$B$1601,$B598),$B598,""))</f>
        <v/>
      </c>
    </row>
    <row r="599" spans="1:11">
      <c r="A599" t="str">
        <f>IF('TMP Paste'!$E599="","",'TMP Paste'!$E599)</f>
        <v/>
      </c>
      <c r="B599" t="str">
        <f>IF($A599="","",COUNTIF('TMP Paste'!$B$2:$B599,"?*"))</f>
        <v/>
      </c>
      <c r="C599" t="str">
        <f>IF($A599="","",IFERROR('TMP Paste'!$M599*1,0))</f>
        <v/>
      </c>
      <c r="D599" t="str">
        <f>IF($A599="","",SUMIF($B$2:$B599,$B599,$C$2:$C599))</f>
        <v/>
      </c>
      <c r="E599">
        <f>IF($A599="",0,IF('TMP Paste'!$B599="",0,1))</f>
        <v>0</v>
      </c>
      <c r="F599" t="str">
        <f t="shared" si="45"/>
        <v/>
      </c>
      <c r="G599" t="str">
        <f t="shared" si="46"/>
        <v/>
      </c>
      <c r="H599" t="str">
        <f t="shared" si="47"/>
        <v/>
      </c>
      <c r="I599" t="str">
        <f t="shared" si="48"/>
        <v/>
      </c>
      <c r="J599" t="str">
        <f t="shared" si="49"/>
        <v/>
      </c>
      <c r="K599" t="str">
        <f>IF($A599="","",IF(COUNTIF($B$2:$B599,$B599)=COUNTIF($B$2:$B$1601,$B599),$B599,""))</f>
        <v/>
      </c>
    </row>
    <row r="600" spans="1:11">
      <c r="A600" t="str">
        <f>IF('TMP Paste'!$E600="","",'TMP Paste'!$E600)</f>
        <v/>
      </c>
      <c r="B600" t="str">
        <f>IF($A600="","",COUNTIF('TMP Paste'!$B$2:$B600,"?*"))</f>
        <v/>
      </c>
      <c r="C600" t="str">
        <f>IF($A600="","",IFERROR('TMP Paste'!$M600*1,0))</f>
        <v/>
      </c>
      <c r="D600" t="str">
        <f>IF($A600="","",SUMIF($B$2:$B600,$B600,$C$2:$C600))</f>
        <v/>
      </c>
      <c r="E600">
        <f>IF($A600="",0,IF('TMP Paste'!$B600="",0,1))</f>
        <v>0</v>
      </c>
      <c r="F600" t="str">
        <f t="shared" si="45"/>
        <v/>
      </c>
      <c r="G600" t="str">
        <f t="shared" si="46"/>
        <v/>
      </c>
      <c r="H600" t="str">
        <f t="shared" si="47"/>
        <v/>
      </c>
      <c r="I600" t="str">
        <f t="shared" si="48"/>
        <v/>
      </c>
      <c r="J600" t="str">
        <f t="shared" si="49"/>
        <v/>
      </c>
      <c r="K600" t="str">
        <f>IF($A600="","",IF(COUNTIF($B$2:$B600,$B600)=COUNTIF($B$2:$B$1601,$B600),$B600,""))</f>
        <v/>
      </c>
    </row>
    <row r="601" spans="1:11">
      <c r="A601" t="str">
        <f>IF('TMP Paste'!$E601="","",'TMP Paste'!$E601)</f>
        <v/>
      </c>
      <c r="B601" t="str">
        <f>IF($A601="","",COUNTIF('TMP Paste'!$B$2:$B601,"?*"))</f>
        <v/>
      </c>
      <c r="C601" t="str">
        <f>IF($A601="","",IFERROR('TMP Paste'!$M601*1,0))</f>
        <v/>
      </c>
      <c r="D601" t="str">
        <f>IF($A601="","",SUMIF($B$2:$B601,$B601,$C$2:$C601))</f>
        <v/>
      </c>
      <c r="E601">
        <f>IF($A601="",0,IF('TMP Paste'!$B601="",0,1))</f>
        <v>0</v>
      </c>
      <c r="F601" t="str">
        <f t="shared" si="45"/>
        <v/>
      </c>
      <c r="G601" t="str">
        <f t="shared" si="46"/>
        <v/>
      </c>
      <c r="H601" t="str">
        <f t="shared" si="47"/>
        <v/>
      </c>
      <c r="I601" t="str">
        <f t="shared" si="48"/>
        <v/>
      </c>
      <c r="J601" t="str">
        <f t="shared" si="49"/>
        <v/>
      </c>
      <c r="K601" t="str">
        <f>IF($A601="","",IF(COUNTIF($B$2:$B601,$B601)=COUNTIF($B$2:$B$1601,$B601),$B601,""))</f>
        <v/>
      </c>
    </row>
    <row r="602" spans="1:11">
      <c r="A602" t="str">
        <f>IF('TMP Paste'!$E602="","",'TMP Paste'!$E602)</f>
        <v/>
      </c>
      <c r="B602" t="str">
        <f>IF($A602="","",COUNTIF('TMP Paste'!$B$2:$B602,"?*"))</f>
        <v/>
      </c>
      <c r="C602" t="str">
        <f>IF($A602="","",IFERROR('TMP Paste'!$M602*1,0))</f>
        <v/>
      </c>
      <c r="D602" t="str">
        <f>IF($A602="","",SUMIF($B$2:$B602,$B602,$C$2:$C602))</f>
        <v/>
      </c>
      <c r="E602">
        <f>IF($A602="",0,IF('TMP Paste'!$B602="",0,1))</f>
        <v>0</v>
      </c>
      <c r="F602" t="str">
        <f t="shared" si="45"/>
        <v/>
      </c>
      <c r="G602" t="str">
        <f t="shared" si="46"/>
        <v/>
      </c>
      <c r="H602" t="str">
        <f t="shared" si="47"/>
        <v/>
      </c>
      <c r="I602" t="str">
        <f t="shared" si="48"/>
        <v/>
      </c>
      <c r="J602" t="str">
        <f t="shared" si="49"/>
        <v/>
      </c>
      <c r="K602" t="str">
        <f>IF($A602="","",IF(COUNTIF($B$2:$B602,$B602)=COUNTIF($B$2:$B$1601,$B602),$B602,""))</f>
        <v/>
      </c>
    </row>
    <row r="603" spans="1:11">
      <c r="A603" t="str">
        <f>IF('TMP Paste'!$E603="","",'TMP Paste'!$E603)</f>
        <v/>
      </c>
      <c r="B603" t="str">
        <f>IF($A603="","",COUNTIF('TMP Paste'!$B$2:$B603,"?*"))</f>
        <v/>
      </c>
      <c r="C603" t="str">
        <f>IF($A603="","",IFERROR('TMP Paste'!$M603*1,0))</f>
        <v/>
      </c>
      <c r="D603" t="str">
        <f>IF($A603="","",SUMIF($B$2:$B603,$B603,$C$2:$C603))</f>
        <v/>
      </c>
      <c r="E603">
        <f>IF($A603="",0,IF('TMP Paste'!$B603="",0,1))</f>
        <v>0</v>
      </c>
      <c r="F603" t="str">
        <f t="shared" si="45"/>
        <v/>
      </c>
      <c r="G603" t="str">
        <f t="shared" si="46"/>
        <v/>
      </c>
      <c r="H603" t="str">
        <f t="shared" si="47"/>
        <v/>
      </c>
      <c r="I603" t="str">
        <f t="shared" si="48"/>
        <v/>
      </c>
      <c r="J603" t="str">
        <f t="shared" si="49"/>
        <v/>
      </c>
      <c r="K603" t="str">
        <f>IF($A603="","",IF(COUNTIF($B$2:$B603,$B603)=COUNTIF($B$2:$B$1601,$B603),$B603,""))</f>
        <v/>
      </c>
    </row>
    <row r="604" spans="1:11">
      <c r="A604" t="str">
        <f>IF('TMP Paste'!$E604="","",'TMP Paste'!$E604)</f>
        <v/>
      </c>
      <c r="B604" t="str">
        <f>IF($A604="","",COUNTIF('TMP Paste'!$B$2:$B604,"?*"))</f>
        <v/>
      </c>
      <c r="C604" t="str">
        <f>IF($A604="","",IFERROR('TMP Paste'!$M604*1,0))</f>
        <v/>
      </c>
      <c r="D604" t="str">
        <f>IF($A604="","",SUMIF($B$2:$B604,$B604,$C$2:$C604))</f>
        <v/>
      </c>
      <c r="E604">
        <f>IF($A604="",0,IF('TMP Paste'!$B604="",0,1))</f>
        <v>0</v>
      </c>
      <c r="F604" t="str">
        <f t="shared" si="45"/>
        <v/>
      </c>
      <c r="G604" t="str">
        <f t="shared" si="46"/>
        <v/>
      </c>
      <c r="H604" t="str">
        <f t="shared" si="47"/>
        <v/>
      </c>
      <c r="I604" t="str">
        <f t="shared" si="48"/>
        <v/>
      </c>
      <c r="J604" t="str">
        <f t="shared" si="49"/>
        <v/>
      </c>
      <c r="K604" t="str">
        <f>IF($A604="","",IF(COUNTIF($B$2:$B604,$B604)=COUNTIF($B$2:$B$1601,$B604),$B604,""))</f>
        <v/>
      </c>
    </row>
    <row r="605" spans="1:11">
      <c r="A605" t="str">
        <f>IF('TMP Paste'!$E605="","",'TMP Paste'!$E605)</f>
        <v/>
      </c>
      <c r="B605" t="str">
        <f>IF($A605="","",COUNTIF('TMP Paste'!$B$2:$B605,"?*"))</f>
        <v/>
      </c>
      <c r="C605" t="str">
        <f>IF($A605="","",IFERROR('TMP Paste'!$M605*1,0))</f>
        <v/>
      </c>
      <c r="D605" t="str">
        <f>IF($A605="","",SUMIF($B$2:$B605,$B605,$C$2:$C605))</f>
        <v/>
      </c>
      <c r="E605">
        <f>IF($A605="",0,IF('TMP Paste'!$B605="",0,1))</f>
        <v>0</v>
      </c>
      <c r="F605" t="str">
        <f t="shared" si="45"/>
        <v/>
      </c>
      <c r="G605" t="str">
        <f t="shared" si="46"/>
        <v/>
      </c>
      <c r="H605" t="str">
        <f t="shared" si="47"/>
        <v/>
      </c>
      <c r="I605" t="str">
        <f t="shared" si="48"/>
        <v/>
      </c>
      <c r="J605" t="str">
        <f t="shared" si="49"/>
        <v/>
      </c>
      <c r="K605" t="str">
        <f>IF($A605="","",IF(COUNTIF($B$2:$B605,$B605)=COUNTIF($B$2:$B$1601,$B605),$B605,""))</f>
        <v/>
      </c>
    </row>
    <row r="606" spans="1:11">
      <c r="A606" t="str">
        <f>IF('TMP Paste'!$E606="","",'TMP Paste'!$E606)</f>
        <v/>
      </c>
      <c r="B606" t="str">
        <f>IF($A606="","",COUNTIF('TMP Paste'!$B$2:$B606,"?*"))</f>
        <v/>
      </c>
      <c r="C606" t="str">
        <f>IF($A606="","",IFERROR('TMP Paste'!$M606*1,0))</f>
        <v/>
      </c>
      <c r="D606" t="str">
        <f>IF($A606="","",SUMIF($B$2:$B606,$B606,$C$2:$C606))</f>
        <v/>
      </c>
      <c r="E606">
        <f>IF($A606="",0,IF('TMP Paste'!$B606="",0,1))</f>
        <v>0</v>
      </c>
      <c r="F606" t="str">
        <f t="shared" si="45"/>
        <v/>
      </c>
      <c r="G606" t="str">
        <f t="shared" si="46"/>
        <v/>
      </c>
      <c r="H606" t="str">
        <f t="shared" si="47"/>
        <v/>
      </c>
      <c r="I606" t="str">
        <f t="shared" si="48"/>
        <v/>
      </c>
      <c r="J606" t="str">
        <f t="shared" si="49"/>
        <v/>
      </c>
      <c r="K606" t="str">
        <f>IF($A606="","",IF(COUNTIF($B$2:$B606,$B606)=COUNTIF($B$2:$B$1601,$B606),$B606,""))</f>
        <v/>
      </c>
    </row>
    <row r="607" spans="1:11">
      <c r="A607" t="str">
        <f>IF('TMP Paste'!$E607="","",'TMP Paste'!$E607)</f>
        <v/>
      </c>
      <c r="B607" t="str">
        <f>IF($A607="","",COUNTIF('TMP Paste'!$B$2:$B607,"?*"))</f>
        <v/>
      </c>
      <c r="C607" t="str">
        <f>IF($A607="","",IFERROR('TMP Paste'!$M607*1,0))</f>
        <v/>
      </c>
      <c r="D607" t="str">
        <f>IF($A607="","",SUMIF($B$2:$B607,$B607,$C$2:$C607))</f>
        <v/>
      </c>
      <c r="E607">
        <f>IF($A607="",0,IF('TMP Paste'!$B607="",0,1))</f>
        <v>0</v>
      </c>
      <c r="F607" t="str">
        <f t="shared" si="45"/>
        <v/>
      </c>
      <c r="G607" t="str">
        <f t="shared" si="46"/>
        <v/>
      </c>
      <c r="H607" t="str">
        <f t="shared" si="47"/>
        <v/>
      </c>
      <c r="I607" t="str">
        <f t="shared" si="48"/>
        <v/>
      </c>
      <c r="J607" t="str">
        <f t="shared" si="49"/>
        <v/>
      </c>
      <c r="K607" t="str">
        <f>IF($A607="","",IF(COUNTIF($B$2:$B607,$B607)=COUNTIF($B$2:$B$1601,$B607),$B607,""))</f>
        <v/>
      </c>
    </row>
    <row r="608" spans="1:11">
      <c r="A608" t="str">
        <f>IF('TMP Paste'!$E608="","",'TMP Paste'!$E608)</f>
        <v/>
      </c>
      <c r="B608" t="str">
        <f>IF($A608="","",COUNTIF('TMP Paste'!$B$2:$B608,"?*"))</f>
        <v/>
      </c>
      <c r="C608" t="str">
        <f>IF($A608="","",IFERROR('TMP Paste'!$M608*1,0))</f>
        <v/>
      </c>
      <c r="D608" t="str">
        <f>IF($A608="","",SUMIF($B$2:$B608,$B608,$C$2:$C608))</f>
        <v/>
      </c>
      <c r="E608">
        <f>IF($A608="",0,IF('TMP Paste'!$B608="",0,1))</f>
        <v>0</v>
      </c>
      <c r="F608" t="str">
        <f t="shared" si="45"/>
        <v/>
      </c>
      <c r="G608" t="str">
        <f t="shared" si="46"/>
        <v/>
      </c>
      <c r="H608" t="str">
        <f t="shared" si="47"/>
        <v/>
      </c>
      <c r="I608" t="str">
        <f t="shared" si="48"/>
        <v/>
      </c>
      <c r="J608" t="str">
        <f t="shared" si="49"/>
        <v/>
      </c>
      <c r="K608" t="str">
        <f>IF($A608="","",IF(COUNTIF($B$2:$B608,$B608)=COUNTIF($B$2:$B$1601,$B608),$B608,""))</f>
        <v/>
      </c>
    </row>
    <row r="609" spans="1:11">
      <c r="A609" t="str">
        <f>IF('TMP Paste'!$E609="","",'TMP Paste'!$E609)</f>
        <v/>
      </c>
      <c r="B609" t="str">
        <f>IF($A609="","",COUNTIF('TMP Paste'!$B$2:$B609,"?*"))</f>
        <v/>
      </c>
      <c r="C609" t="str">
        <f>IF($A609="","",IFERROR('TMP Paste'!$M609*1,0))</f>
        <v/>
      </c>
      <c r="D609" t="str">
        <f>IF($A609="","",SUMIF($B$2:$B609,$B609,$C$2:$C609))</f>
        <v/>
      </c>
      <c r="E609">
        <f>IF($A609="",0,IF('TMP Paste'!$B609="",0,1))</f>
        <v>0</v>
      </c>
      <c r="F609" t="str">
        <f t="shared" si="45"/>
        <v/>
      </c>
      <c r="G609" t="str">
        <f t="shared" si="46"/>
        <v/>
      </c>
      <c r="H609" t="str">
        <f t="shared" si="47"/>
        <v/>
      </c>
      <c r="I609" t="str">
        <f t="shared" si="48"/>
        <v/>
      </c>
      <c r="J609" t="str">
        <f t="shared" si="49"/>
        <v/>
      </c>
      <c r="K609" t="str">
        <f>IF($A609="","",IF(COUNTIF($B$2:$B609,$B609)=COUNTIF($B$2:$B$1601,$B609),$B609,""))</f>
        <v/>
      </c>
    </row>
    <row r="610" spans="1:11">
      <c r="A610" t="str">
        <f>IF('TMP Paste'!$E610="","",'TMP Paste'!$E610)</f>
        <v/>
      </c>
      <c r="B610" t="str">
        <f>IF($A610="","",COUNTIF('TMP Paste'!$B$2:$B610,"?*"))</f>
        <v/>
      </c>
      <c r="C610" t="str">
        <f>IF($A610="","",IFERROR('TMP Paste'!$M610*1,0))</f>
        <v/>
      </c>
      <c r="D610" t="str">
        <f>IF($A610="","",SUMIF($B$2:$B610,$B610,$C$2:$C610))</f>
        <v/>
      </c>
      <c r="E610">
        <f>IF($A610="",0,IF('TMP Paste'!$B610="",0,1))</f>
        <v>0</v>
      </c>
      <c r="F610" t="str">
        <f t="shared" si="45"/>
        <v/>
      </c>
      <c r="G610" t="str">
        <f t="shared" si="46"/>
        <v/>
      </c>
      <c r="H610" t="str">
        <f t="shared" si="47"/>
        <v/>
      </c>
      <c r="I610" t="str">
        <f t="shared" si="48"/>
        <v/>
      </c>
      <c r="J610" t="str">
        <f t="shared" si="49"/>
        <v/>
      </c>
      <c r="K610" t="str">
        <f>IF($A610="","",IF(COUNTIF($B$2:$B610,$B610)=COUNTIF($B$2:$B$1601,$B610),$B610,""))</f>
        <v/>
      </c>
    </row>
    <row r="611" spans="1:11">
      <c r="A611" t="str">
        <f>IF('TMP Paste'!$E611="","",'TMP Paste'!$E611)</f>
        <v/>
      </c>
      <c r="B611" t="str">
        <f>IF($A611="","",COUNTIF('TMP Paste'!$B$2:$B611,"?*"))</f>
        <v/>
      </c>
      <c r="C611" t="str">
        <f>IF($A611="","",IFERROR('TMP Paste'!$M611*1,0))</f>
        <v/>
      </c>
      <c r="D611" t="str">
        <f>IF($A611="","",SUMIF($B$2:$B611,$B611,$C$2:$C611))</f>
        <v/>
      </c>
      <c r="E611">
        <f>IF($A611="",0,IF('TMP Paste'!$B611="",0,1))</f>
        <v>0</v>
      </c>
      <c r="F611" t="str">
        <f t="shared" si="45"/>
        <v/>
      </c>
      <c r="G611" t="str">
        <f t="shared" si="46"/>
        <v/>
      </c>
      <c r="H611" t="str">
        <f t="shared" si="47"/>
        <v/>
      </c>
      <c r="I611" t="str">
        <f t="shared" si="48"/>
        <v/>
      </c>
      <c r="J611" t="str">
        <f t="shared" si="49"/>
        <v/>
      </c>
      <c r="K611" t="str">
        <f>IF($A611="","",IF(COUNTIF($B$2:$B611,$B611)=COUNTIF($B$2:$B$1601,$B611),$B611,""))</f>
        <v/>
      </c>
    </row>
    <row r="612" spans="1:11">
      <c r="A612" t="str">
        <f>IF('TMP Paste'!$E612="","",'TMP Paste'!$E612)</f>
        <v/>
      </c>
      <c r="B612" t="str">
        <f>IF($A612="","",COUNTIF('TMP Paste'!$B$2:$B612,"?*"))</f>
        <v/>
      </c>
      <c r="C612" t="str">
        <f>IF($A612="","",IFERROR('TMP Paste'!$M612*1,0))</f>
        <v/>
      </c>
      <c r="D612" t="str">
        <f>IF($A612="","",SUMIF($B$2:$B612,$B612,$C$2:$C612))</f>
        <v/>
      </c>
      <c r="E612">
        <f>IF($A612="",0,IF('TMP Paste'!$B612="",0,1))</f>
        <v>0</v>
      </c>
      <c r="F612" t="str">
        <f t="shared" si="45"/>
        <v/>
      </c>
      <c r="G612" t="str">
        <f t="shared" si="46"/>
        <v/>
      </c>
      <c r="H612" t="str">
        <f t="shared" si="47"/>
        <v/>
      </c>
      <c r="I612" t="str">
        <f t="shared" si="48"/>
        <v/>
      </c>
      <c r="J612" t="str">
        <f t="shared" si="49"/>
        <v/>
      </c>
      <c r="K612" t="str">
        <f>IF($A612="","",IF(COUNTIF($B$2:$B612,$B612)=COUNTIF($B$2:$B$1601,$B612),$B612,""))</f>
        <v/>
      </c>
    </row>
    <row r="613" spans="1:11">
      <c r="A613" t="str">
        <f>IF('TMP Paste'!$E613="","",'TMP Paste'!$E613)</f>
        <v/>
      </c>
      <c r="B613" t="str">
        <f>IF($A613="","",COUNTIF('TMP Paste'!$B$2:$B613,"?*"))</f>
        <v/>
      </c>
      <c r="C613" t="str">
        <f>IF($A613="","",IFERROR('TMP Paste'!$M613*1,0))</f>
        <v/>
      </c>
      <c r="D613" t="str">
        <f>IF($A613="","",SUMIF($B$2:$B613,$B613,$C$2:$C613))</f>
        <v/>
      </c>
      <c r="E613">
        <f>IF($A613="",0,IF('TMP Paste'!$B613="",0,1))</f>
        <v>0</v>
      </c>
      <c r="F613" t="str">
        <f t="shared" si="45"/>
        <v/>
      </c>
      <c r="G613" t="str">
        <f t="shared" si="46"/>
        <v/>
      </c>
      <c r="H613" t="str">
        <f t="shared" si="47"/>
        <v/>
      </c>
      <c r="I613" t="str">
        <f t="shared" si="48"/>
        <v/>
      </c>
      <c r="J613" t="str">
        <f t="shared" si="49"/>
        <v/>
      </c>
      <c r="K613" t="str">
        <f>IF($A613="","",IF(COUNTIF($B$2:$B613,$B613)=COUNTIF($B$2:$B$1601,$B613),$B613,""))</f>
        <v/>
      </c>
    </row>
    <row r="614" spans="1:11">
      <c r="A614" t="str">
        <f>IF('TMP Paste'!$E614="","",'TMP Paste'!$E614)</f>
        <v/>
      </c>
      <c r="B614" t="str">
        <f>IF($A614="","",COUNTIF('TMP Paste'!$B$2:$B614,"?*"))</f>
        <v/>
      </c>
      <c r="C614" t="str">
        <f>IF($A614="","",IFERROR('TMP Paste'!$M614*1,0))</f>
        <v/>
      </c>
      <c r="D614" t="str">
        <f>IF($A614="","",SUMIF($B$2:$B614,$B614,$C$2:$C614))</f>
        <v/>
      </c>
      <c r="E614">
        <f>IF($A614="",0,IF('TMP Paste'!$B614="",0,1))</f>
        <v>0</v>
      </c>
      <c r="F614" t="str">
        <f t="shared" si="45"/>
        <v/>
      </c>
      <c r="G614" t="str">
        <f t="shared" si="46"/>
        <v/>
      </c>
      <c r="H614" t="str">
        <f t="shared" si="47"/>
        <v/>
      </c>
      <c r="I614" t="str">
        <f t="shared" si="48"/>
        <v/>
      </c>
      <c r="J614" t="str">
        <f t="shared" si="49"/>
        <v/>
      </c>
      <c r="K614" t="str">
        <f>IF($A614="","",IF(COUNTIF($B$2:$B614,$B614)=COUNTIF($B$2:$B$1601,$B614),$B614,""))</f>
        <v/>
      </c>
    </row>
    <row r="615" spans="1:11">
      <c r="A615" t="str">
        <f>IF('TMP Paste'!$E615="","",'TMP Paste'!$E615)</f>
        <v/>
      </c>
      <c r="B615" t="str">
        <f>IF($A615="","",COUNTIF('TMP Paste'!$B$2:$B615,"?*"))</f>
        <v/>
      </c>
      <c r="C615" t="str">
        <f>IF($A615="","",IFERROR('TMP Paste'!$M615*1,0))</f>
        <v/>
      </c>
      <c r="D615" t="str">
        <f>IF($A615="","",SUMIF($B$2:$B615,$B615,$C$2:$C615))</f>
        <v/>
      </c>
      <c r="E615">
        <f>IF($A615="",0,IF('TMP Paste'!$B615="",0,1))</f>
        <v>0</v>
      </c>
      <c r="F615" t="str">
        <f t="shared" si="45"/>
        <v/>
      </c>
      <c r="G615" t="str">
        <f t="shared" si="46"/>
        <v/>
      </c>
      <c r="H615" t="str">
        <f t="shared" si="47"/>
        <v/>
      </c>
      <c r="I615" t="str">
        <f t="shared" si="48"/>
        <v/>
      </c>
      <c r="J615" t="str">
        <f t="shared" si="49"/>
        <v/>
      </c>
      <c r="K615" t="str">
        <f>IF($A615="","",IF(COUNTIF($B$2:$B615,$B615)=COUNTIF($B$2:$B$1601,$B615),$B615,""))</f>
        <v/>
      </c>
    </row>
    <row r="616" spans="1:11">
      <c r="A616" t="str">
        <f>IF('TMP Paste'!$E616="","",'TMP Paste'!$E616)</f>
        <v/>
      </c>
      <c r="B616" t="str">
        <f>IF($A616="","",COUNTIF('TMP Paste'!$B$2:$B616,"?*"))</f>
        <v/>
      </c>
      <c r="C616" t="str">
        <f>IF($A616="","",IFERROR('TMP Paste'!$M616*1,0))</f>
        <v/>
      </c>
      <c r="D616" t="str">
        <f>IF($A616="","",SUMIF($B$2:$B616,$B616,$C$2:$C616))</f>
        <v/>
      </c>
      <c r="E616">
        <f>IF($A616="",0,IF('TMP Paste'!$B616="",0,1))</f>
        <v>0</v>
      </c>
      <c r="F616" t="str">
        <f t="shared" si="45"/>
        <v/>
      </c>
      <c r="G616" t="str">
        <f t="shared" si="46"/>
        <v/>
      </c>
      <c r="H616" t="str">
        <f t="shared" si="47"/>
        <v/>
      </c>
      <c r="I616" t="str">
        <f t="shared" si="48"/>
        <v/>
      </c>
      <c r="J616" t="str">
        <f t="shared" si="49"/>
        <v/>
      </c>
      <c r="K616" t="str">
        <f>IF($A616="","",IF(COUNTIF($B$2:$B616,$B616)=COUNTIF($B$2:$B$1601,$B616),$B616,""))</f>
        <v/>
      </c>
    </row>
    <row r="617" spans="1:11">
      <c r="A617" t="str">
        <f>IF('TMP Paste'!$E617="","",'TMP Paste'!$E617)</f>
        <v/>
      </c>
      <c r="B617" t="str">
        <f>IF($A617="","",COUNTIF('TMP Paste'!$B$2:$B617,"?*"))</f>
        <v/>
      </c>
      <c r="C617" t="str">
        <f>IF($A617="","",IFERROR('TMP Paste'!$M617*1,0))</f>
        <v/>
      </c>
      <c r="D617" t="str">
        <f>IF($A617="","",SUMIF($B$2:$B617,$B617,$C$2:$C617))</f>
        <v/>
      </c>
      <c r="E617">
        <f>IF($A617="",0,IF('TMP Paste'!$B617="",0,1))</f>
        <v>0</v>
      </c>
      <c r="F617" t="str">
        <f t="shared" si="45"/>
        <v/>
      </c>
      <c r="G617" t="str">
        <f t="shared" si="46"/>
        <v/>
      </c>
      <c r="H617" t="str">
        <f t="shared" si="47"/>
        <v/>
      </c>
      <c r="I617" t="str">
        <f t="shared" si="48"/>
        <v/>
      </c>
      <c r="J617" t="str">
        <f t="shared" si="49"/>
        <v/>
      </c>
      <c r="K617" t="str">
        <f>IF($A617="","",IF(COUNTIF($B$2:$B617,$B617)=COUNTIF($B$2:$B$1601,$B617),$B617,""))</f>
        <v/>
      </c>
    </row>
    <row r="618" spans="1:11">
      <c r="A618" t="str">
        <f>IF('TMP Paste'!$E618="","",'TMP Paste'!$E618)</f>
        <v/>
      </c>
      <c r="B618" t="str">
        <f>IF($A618="","",COUNTIF('TMP Paste'!$B$2:$B618,"?*"))</f>
        <v/>
      </c>
      <c r="C618" t="str">
        <f>IF($A618="","",IFERROR('TMP Paste'!$M618*1,0))</f>
        <v/>
      </c>
      <c r="D618" t="str">
        <f>IF($A618="","",SUMIF($B$2:$B618,$B618,$C$2:$C618))</f>
        <v/>
      </c>
      <c r="E618">
        <f>IF($A618="",0,IF('TMP Paste'!$B618="",0,1))</f>
        <v>0</v>
      </c>
      <c r="F618" t="str">
        <f t="shared" si="45"/>
        <v/>
      </c>
      <c r="G618" t="str">
        <f t="shared" si="46"/>
        <v/>
      </c>
      <c r="H618" t="str">
        <f t="shared" si="47"/>
        <v/>
      </c>
      <c r="I618" t="str">
        <f t="shared" si="48"/>
        <v/>
      </c>
      <c r="J618" t="str">
        <f t="shared" si="49"/>
        <v/>
      </c>
      <c r="K618" t="str">
        <f>IF($A618="","",IF(COUNTIF($B$2:$B618,$B618)=COUNTIF($B$2:$B$1601,$B618),$B618,""))</f>
        <v/>
      </c>
    </row>
    <row r="619" spans="1:11">
      <c r="A619" t="str">
        <f>IF('TMP Paste'!$E619="","",'TMP Paste'!$E619)</f>
        <v/>
      </c>
      <c r="B619" t="str">
        <f>IF($A619="","",COUNTIF('TMP Paste'!$B$2:$B619,"?*"))</f>
        <v/>
      </c>
      <c r="C619" t="str">
        <f>IF($A619="","",IFERROR('TMP Paste'!$M619*1,0))</f>
        <v/>
      </c>
      <c r="D619" t="str">
        <f>IF($A619="","",SUMIF($B$2:$B619,$B619,$C$2:$C619))</f>
        <v/>
      </c>
      <c r="E619">
        <f>IF($A619="",0,IF('TMP Paste'!$B619="",0,1))</f>
        <v>0</v>
      </c>
      <c r="F619" t="str">
        <f t="shared" si="45"/>
        <v/>
      </c>
      <c r="G619" t="str">
        <f t="shared" si="46"/>
        <v/>
      </c>
      <c r="H619" t="str">
        <f t="shared" si="47"/>
        <v/>
      </c>
      <c r="I619" t="str">
        <f t="shared" si="48"/>
        <v/>
      </c>
      <c r="J619" t="str">
        <f t="shared" si="49"/>
        <v/>
      </c>
      <c r="K619" t="str">
        <f>IF($A619="","",IF(COUNTIF($B$2:$B619,$B619)=COUNTIF($B$2:$B$1601,$B619),$B619,""))</f>
        <v/>
      </c>
    </row>
    <row r="620" spans="1:11">
      <c r="A620" t="str">
        <f>IF('TMP Paste'!$E620="","",'TMP Paste'!$E620)</f>
        <v/>
      </c>
      <c r="B620" t="str">
        <f>IF($A620="","",COUNTIF('TMP Paste'!$B$2:$B620,"?*"))</f>
        <v/>
      </c>
      <c r="C620" t="str">
        <f>IF($A620="","",IFERROR('TMP Paste'!$M620*1,0))</f>
        <v/>
      </c>
      <c r="D620" t="str">
        <f>IF($A620="","",SUMIF($B$2:$B620,$B620,$C$2:$C620))</f>
        <v/>
      </c>
      <c r="E620">
        <f>IF($A620="",0,IF('TMP Paste'!$B620="",0,1))</f>
        <v>0</v>
      </c>
      <c r="F620" t="str">
        <f t="shared" si="45"/>
        <v/>
      </c>
      <c r="G620" t="str">
        <f t="shared" si="46"/>
        <v/>
      </c>
      <c r="H620" t="str">
        <f t="shared" si="47"/>
        <v/>
      </c>
      <c r="I620" t="str">
        <f t="shared" si="48"/>
        <v/>
      </c>
      <c r="J620" t="str">
        <f t="shared" si="49"/>
        <v/>
      </c>
      <c r="K620" t="str">
        <f>IF($A620="","",IF(COUNTIF($B$2:$B620,$B620)=COUNTIF($B$2:$B$1601,$B620),$B620,""))</f>
        <v/>
      </c>
    </row>
    <row r="621" spans="1:11">
      <c r="A621" t="str">
        <f>IF('TMP Paste'!$E621="","",'TMP Paste'!$E621)</f>
        <v/>
      </c>
      <c r="B621" t="str">
        <f>IF($A621="","",COUNTIF('TMP Paste'!$B$2:$B621,"?*"))</f>
        <v/>
      </c>
      <c r="C621" t="str">
        <f>IF($A621="","",IFERROR('TMP Paste'!$M621*1,0))</f>
        <v/>
      </c>
      <c r="D621" t="str">
        <f>IF($A621="","",SUMIF($B$2:$B621,$B621,$C$2:$C621))</f>
        <v/>
      </c>
      <c r="E621">
        <f>IF($A621="",0,IF('TMP Paste'!$B621="",0,1))</f>
        <v>0</v>
      </c>
      <c r="F621" t="str">
        <f t="shared" si="45"/>
        <v/>
      </c>
      <c r="G621" t="str">
        <f t="shared" si="46"/>
        <v/>
      </c>
      <c r="H621" t="str">
        <f t="shared" si="47"/>
        <v/>
      </c>
      <c r="I621" t="str">
        <f t="shared" si="48"/>
        <v/>
      </c>
      <c r="J621" t="str">
        <f t="shared" si="49"/>
        <v/>
      </c>
      <c r="K621" t="str">
        <f>IF($A621="","",IF(COUNTIF($B$2:$B621,$B621)=COUNTIF($B$2:$B$1601,$B621),$B621,""))</f>
        <v/>
      </c>
    </row>
    <row r="622" spans="1:11">
      <c r="A622" t="str">
        <f>IF('TMP Paste'!$E622="","",'TMP Paste'!$E622)</f>
        <v/>
      </c>
      <c r="B622" t="str">
        <f>IF($A622="","",COUNTIF('TMP Paste'!$B$2:$B622,"?*"))</f>
        <v/>
      </c>
      <c r="C622" t="str">
        <f>IF($A622="","",IFERROR('TMP Paste'!$M622*1,0))</f>
        <v/>
      </c>
      <c r="D622" t="str">
        <f>IF($A622="","",SUMIF($B$2:$B622,$B622,$C$2:$C622))</f>
        <v/>
      </c>
      <c r="E622">
        <f>IF($A622="",0,IF('TMP Paste'!$B622="",0,1))</f>
        <v>0</v>
      </c>
      <c r="F622" t="str">
        <f t="shared" si="45"/>
        <v/>
      </c>
      <c r="G622" t="str">
        <f t="shared" si="46"/>
        <v/>
      </c>
      <c r="H622" t="str">
        <f t="shared" si="47"/>
        <v/>
      </c>
      <c r="I622" t="str">
        <f t="shared" si="48"/>
        <v/>
      </c>
      <c r="J622" t="str">
        <f t="shared" si="49"/>
        <v/>
      </c>
      <c r="K622" t="str">
        <f>IF($A622="","",IF(COUNTIF($B$2:$B622,$B622)=COUNTIF($B$2:$B$1601,$B622),$B622,""))</f>
        <v/>
      </c>
    </row>
    <row r="623" spans="1:11">
      <c r="A623" t="str">
        <f>IF('TMP Paste'!$E623="","",'TMP Paste'!$E623)</f>
        <v/>
      </c>
      <c r="B623" t="str">
        <f>IF($A623="","",COUNTIF('TMP Paste'!$B$2:$B623,"?*"))</f>
        <v/>
      </c>
      <c r="C623" t="str">
        <f>IF($A623="","",IFERROR('TMP Paste'!$M623*1,0))</f>
        <v/>
      </c>
      <c r="D623" t="str">
        <f>IF($A623="","",SUMIF($B$2:$B623,$B623,$C$2:$C623))</f>
        <v/>
      </c>
      <c r="E623">
        <f>IF($A623="",0,IF('TMP Paste'!$B623="",0,1))</f>
        <v>0</v>
      </c>
      <c r="F623" t="str">
        <f t="shared" si="45"/>
        <v/>
      </c>
      <c r="G623" t="str">
        <f t="shared" si="46"/>
        <v/>
      </c>
      <c r="H623" t="str">
        <f t="shared" si="47"/>
        <v/>
      </c>
      <c r="I623" t="str">
        <f t="shared" si="48"/>
        <v/>
      </c>
      <c r="J623" t="str">
        <f t="shared" si="49"/>
        <v/>
      </c>
      <c r="K623" t="str">
        <f>IF($A623="","",IF(COUNTIF($B$2:$B623,$B623)=COUNTIF($B$2:$B$1601,$B623),$B623,""))</f>
        <v/>
      </c>
    </row>
    <row r="624" spans="1:11">
      <c r="A624" t="str">
        <f>IF('TMP Paste'!$E624="","",'TMP Paste'!$E624)</f>
        <v/>
      </c>
      <c r="B624" t="str">
        <f>IF($A624="","",COUNTIF('TMP Paste'!$B$2:$B624,"?*"))</f>
        <v/>
      </c>
      <c r="C624" t="str">
        <f>IF($A624="","",IFERROR('TMP Paste'!$M624*1,0))</f>
        <v/>
      </c>
      <c r="D624" t="str">
        <f>IF($A624="","",SUMIF($B$2:$B624,$B624,$C$2:$C624))</f>
        <v/>
      </c>
      <c r="E624">
        <f>IF($A624="",0,IF('TMP Paste'!$B624="",0,1))</f>
        <v>0</v>
      </c>
      <c r="F624" t="str">
        <f t="shared" si="45"/>
        <v/>
      </c>
      <c r="G624" t="str">
        <f t="shared" si="46"/>
        <v/>
      </c>
      <c r="H624" t="str">
        <f t="shared" si="47"/>
        <v/>
      </c>
      <c r="I624" t="str">
        <f t="shared" si="48"/>
        <v/>
      </c>
      <c r="J624" t="str">
        <f t="shared" si="49"/>
        <v/>
      </c>
      <c r="K624" t="str">
        <f>IF($A624="","",IF(COUNTIF($B$2:$B624,$B624)=COUNTIF($B$2:$B$1601,$B624),$B624,""))</f>
        <v/>
      </c>
    </row>
    <row r="625" spans="1:11">
      <c r="A625" t="str">
        <f>IF('TMP Paste'!$E625="","",'TMP Paste'!$E625)</f>
        <v/>
      </c>
      <c r="B625" t="str">
        <f>IF($A625="","",COUNTIF('TMP Paste'!$B$2:$B625,"?*"))</f>
        <v/>
      </c>
      <c r="C625" t="str">
        <f>IF($A625="","",IFERROR('TMP Paste'!$M625*1,0))</f>
        <v/>
      </c>
      <c r="D625" t="str">
        <f>IF($A625="","",SUMIF($B$2:$B625,$B625,$C$2:$C625))</f>
        <v/>
      </c>
      <c r="E625">
        <f>IF($A625="",0,IF('TMP Paste'!$B625="",0,1))</f>
        <v>0</v>
      </c>
      <c r="F625" t="str">
        <f t="shared" si="45"/>
        <v/>
      </c>
      <c r="G625" t="str">
        <f t="shared" si="46"/>
        <v/>
      </c>
      <c r="H625" t="str">
        <f t="shared" si="47"/>
        <v/>
      </c>
      <c r="I625" t="str">
        <f t="shared" si="48"/>
        <v/>
      </c>
      <c r="J625" t="str">
        <f t="shared" si="49"/>
        <v/>
      </c>
      <c r="K625" t="str">
        <f>IF($A625="","",IF(COUNTIF($B$2:$B625,$B625)=COUNTIF($B$2:$B$1601,$B625),$B625,""))</f>
        <v/>
      </c>
    </row>
    <row r="626" spans="1:11">
      <c r="A626" t="str">
        <f>IF('TMP Paste'!$E626="","",'TMP Paste'!$E626)</f>
        <v/>
      </c>
      <c r="B626" t="str">
        <f>IF($A626="","",COUNTIF('TMP Paste'!$B$2:$B626,"?*"))</f>
        <v/>
      </c>
      <c r="C626" t="str">
        <f>IF($A626="","",IFERROR('TMP Paste'!$M626*1,0))</f>
        <v/>
      </c>
      <c r="D626" t="str">
        <f>IF($A626="","",SUMIF($B$2:$B626,$B626,$C$2:$C626))</f>
        <v/>
      </c>
      <c r="E626">
        <f>IF($A626="",0,IF('TMP Paste'!$B626="",0,1))</f>
        <v>0</v>
      </c>
      <c r="F626" t="str">
        <f t="shared" si="45"/>
        <v/>
      </c>
      <c r="G626" t="str">
        <f t="shared" si="46"/>
        <v/>
      </c>
      <c r="H626" t="str">
        <f t="shared" si="47"/>
        <v/>
      </c>
      <c r="I626" t="str">
        <f t="shared" si="48"/>
        <v/>
      </c>
      <c r="J626" t="str">
        <f t="shared" si="49"/>
        <v/>
      </c>
      <c r="K626" t="str">
        <f>IF($A626="","",IF(COUNTIF($B$2:$B626,$B626)=COUNTIF($B$2:$B$1601,$B626),$B626,""))</f>
        <v/>
      </c>
    </row>
    <row r="627" spans="1:11">
      <c r="A627" t="str">
        <f>IF('TMP Paste'!$E627="","",'TMP Paste'!$E627)</f>
        <v/>
      </c>
      <c r="B627" t="str">
        <f>IF($A627="","",COUNTIF('TMP Paste'!$B$2:$B627,"?*"))</f>
        <v/>
      </c>
      <c r="C627" t="str">
        <f>IF($A627="","",IFERROR('TMP Paste'!$M627*1,0))</f>
        <v/>
      </c>
      <c r="D627" t="str">
        <f>IF($A627="","",SUMIF($B$2:$B627,$B627,$C$2:$C627))</f>
        <v/>
      </c>
      <c r="E627">
        <f>IF($A627="",0,IF('TMP Paste'!$B627="",0,1))</f>
        <v>0</v>
      </c>
      <c r="F627" t="str">
        <f t="shared" si="45"/>
        <v/>
      </c>
      <c r="G627" t="str">
        <f t="shared" si="46"/>
        <v/>
      </c>
      <c r="H627" t="str">
        <f t="shared" si="47"/>
        <v/>
      </c>
      <c r="I627" t="str">
        <f t="shared" si="48"/>
        <v/>
      </c>
      <c r="J627" t="str">
        <f t="shared" si="49"/>
        <v/>
      </c>
      <c r="K627" t="str">
        <f>IF($A627="","",IF(COUNTIF($B$2:$B627,$B627)=COUNTIF($B$2:$B$1601,$B627),$B627,""))</f>
        <v/>
      </c>
    </row>
    <row r="628" spans="1:11">
      <c r="A628" t="str">
        <f>IF('TMP Paste'!$E628="","",'TMP Paste'!$E628)</f>
        <v/>
      </c>
      <c r="B628" t="str">
        <f>IF($A628="","",COUNTIF('TMP Paste'!$B$2:$B628,"?*"))</f>
        <v/>
      </c>
      <c r="C628" t="str">
        <f>IF($A628="","",IFERROR('TMP Paste'!$M628*1,0))</f>
        <v/>
      </c>
      <c r="D628" t="str">
        <f>IF($A628="","",SUMIF($B$2:$B628,$B628,$C$2:$C628))</f>
        <v/>
      </c>
      <c r="E628">
        <f>IF($A628="",0,IF('TMP Paste'!$B628="",0,1))</f>
        <v>0</v>
      </c>
      <c r="F628" t="str">
        <f t="shared" si="45"/>
        <v/>
      </c>
      <c r="G628" t="str">
        <f t="shared" si="46"/>
        <v/>
      </c>
      <c r="H628" t="str">
        <f t="shared" si="47"/>
        <v/>
      </c>
      <c r="I628" t="str">
        <f t="shared" si="48"/>
        <v/>
      </c>
      <c r="J628" t="str">
        <f t="shared" si="49"/>
        <v/>
      </c>
      <c r="K628" t="str">
        <f>IF($A628="","",IF(COUNTIF($B$2:$B628,$B628)=COUNTIF($B$2:$B$1601,$B628),$B628,""))</f>
        <v/>
      </c>
    </row>
    <row r="629" spans="1:11">
      <c r="A629" t="str">
        <f>IF('TMP Paste'!$E629="","",'TMP Paste'!$E629)</f>
        <v/>
      </c>
      <c r="B629" t="str">
        <f>IF($A629="","",COUNTIF('TMP Paste'!$B$2:$B629,"?*"))</f>
        <v/>
      </c>
      <c r="C629" t="str">
        <f>IF($A629="","",IFERROR('TMP Paste'!$M629*1,0))</f>
        <v/>
      </c>
      <c r="D629" t="str">
        <f>IF($A629="","",SUMIF($B$2:$B629,$B629,$C$2:$C629))</f>
        <v/>
      </c>
      <c r="E629">
        <f>IF($A629="",0,IF('TMP Paste'!$B629="",0,1))</f>
        <v>0</v>
      </c>
      <c r="F629" t="str">
        <f t="shared" si="45"/>
        <v/>
      </c>
      <c r="G629" t="str">
        <f t="shared" si="46"/>
        <v/>
      </c>
      <c r="H629" t="str">
        <f t="shared" si="47"/>
        <v/>
      </c>
      <c r="I629" t="str">
        <f t="shared" si="48"/>
        <v/>
      </c>
      <c r="J629" t="str">
        <f t="shared" si="49"/>
        <v/>
      </c>
      <c r="K629" t="str">
        <f>IF($A629="","",IF(COUNTIF($B$2:$B629,$B629)=COUNTIF($B$2:$B$1601,$B629),$B629,""))</f>
        <v/>
      </c>
    </row>
    <row r="630" spans="1:11">
      <c r="A630" t="str">
        <f>IF('TMP Paste'!$E630="","",'TMP Paste'!$E630)</f>
        <v/>
      </c>
      <c r="B630" t="str">
        <f>IF($A630="","",COUNTIF('TMP Paste'!$B$2:$B630,"?*"))</f>
        <v/>
      </c>
      <c r="C630" t="str">
        <f>IF($A630="","",IFERROR('TMP Paste'!$M630*1,0))</f>
        <v/>
      </c>
      <c r="D630" t="str">
        <f>IF($A630="","",SUMIF($B$2:$B630,$B630,$C$2:$C630))</f>
        <v/>
      </c>
      <c r="E630">
        <f>IF($A630="",0,IF('TMP Paste'!$B630="",0,1))</f>
        <v>0</v>
      </c>
      <c r="F630" t="str">
        <f t="shared" si="45"/>
        <v/>
      </c>
      <c r="G630" t="str">
        <f t="shared" si="46"/>
        <v/>
      </c>
      <c r="H630" t="str">
        <f t="shared" si="47"/>
        <v/>
      </c>
      <c r="I630" t="str">
        <f t="shared" si="48"/>
        <v/>
      </c>
      <c r="J630" t="str">
        <f t="shared" si="49"/>
        <v/>
      </c>
      <c r="K630" t="str">
        <f>IF($A630="","",IF(COUNTIF($B$2:$B630,$B630)=COUNTIF($B$2:$B$1601,$B630),$B630,""))</f>
        <v/>
      </c>
    </row>
    <row r="631" spans="1:11">
      <c r="A631" t="str">
        <f>IF('TMP Paste'!$E631="","",'TMP Paste'!$E631)</f>
        <v/>
      </c>
      <c r="B631" t="str">
        <f>IF($A631="","",COUNTIF('TMP Paste'!$B$2:$B631,"?*"))</f>
        <v/>
      </c>
      <c r="C631" t="str">
        <f>IF($A631="","",IFERROR('TMP Paste'!$M631*1,0))</f>
        <v/>
      </c>
      <c r="D631" t="str">
        <f>IF($A631="","",SUMIF($B$2:$B631,$B631,$C$2:$C631))</f>
        <v/>
      </c>
      <c r="E631">
        <f>IF($A631="",0,IF('TMP Paste'!$B631="",0,1))</f>
        <v>0</v>
      </c>
      <c r="F631" t="str">
        <f t="shared" si="45"/>
        <v/>
      </c>
      <c r="G631" t="str">
        <f t="shared" si="46"/>
        <v/>
      </c>
      <c r="H631" t="str">
        <f t="shared" si="47"/>
        <v/>
      </c>
      <c r="I631" t="str">
        <f t="shared" si="48"/>
        <v/>
      </c>
      <c r="J631" t="str">
        <f t="shared" si="49"/>
        <v/>
      </c>
      <c r="K631" t="str">
        <f>IF($A631="","",IF(COUNTIF($B$2:$B631,$B631)=COUNTIF($B$2:$B$1601,$B631),$B631,""))</f>
        <v/>
      </c>
    </row>
    <row r="632" spans="1:11">
      <c r="A632" t="str">
        <f>IF('TMP Paste'!$E632="","",'TMP Paste'!$E632)</f>
        <v/>
      </c>
      <c r="B632" t="str">
        <f>IF($A632="","",COUNTIF('TMP Paste'!$B$2:$B632,"?*"))</f>
        <v/>
      </c>
      <c r="C632" t="str">
        <f>IF($A632="","",IFERROR('TMP Paste'!$M632*1,0))</f>
        <v/>
      </c>
      <c r="D632" t="str">
        <f>IF($A632="","",SUMIF($B$2:$B632,$B632,$C$2:$C632))</f>
        <v/>
      </c>
      <c r="E632">
        <f>IF($A632="",0,IF('TMP Paste'!$B632="",0,1))</f>
        <v>0</v>
      </c>
      <c r="F632" t="str">
        <f t="shared" si="45"/>
        <v/>
      </c>
      <c r="G632" t="str">
        <f t="shared" si="46"/>
        <v/>
      </c>
      <c r="H632" t="str">
        <f t="shared" si="47"/>
        <v/>
      </c>
      <c r="I632" t="str">
        <f t="shared" si="48"/>
        <v/>
      </c>
      <c r="J632" t="str">
        <f t="shared" si="49"/>
        <v/>
      </c>
      <c r="K632" t="str">
        <f>IF($A632="","",IF(COUNTIF($B$2:$B632,$B632)=COUNTIF($B$2:$B$1601,$B632),$B632,""))</f>
        <v/>
      </c>
    </row>
    <row r="633" spans="1:11">
      <c r="A633" t="str">
        <f>IF('TMP Paste'!$E633="","",'TMP Paste'!$E633)</f>
        <v/>
      </c>
      <c r="B633" t="str">
        <f>IF($A633="","",COUNTIF('TMP Paste'!$B$2:$B633,"?*"))</f>
        <v/>
      </c>
      <c r="C633" t="str">
        <f>IF($A633="","",IFERROR('TMP Paste'!$M633*1,0))</f>
        <v/>
      </c>
      <c r="D633" t="str">
        <f>IF($A633="","",SUMIF($B$2:$B633,$B633,$C$2:$C633))</f>
        <v/>
      </c>
      <c r="E633">
        <f>IF($A633="",0,IF('TMP Paste'!$B633="",0,1))</f>
        <v>0</v>
      </c>
      <c r="F633" t="str">
        <f t="shared" si="45"/>
        <v/>
      </c>
      <c r="G633" t="str">
        <f t="shared" si="46"/>
        <v/>
      </c>
      <c r="H633" t="str">
        <f t="shared" si="47"/>
        <v/>
      </c>
      <c r="I633" t="str">
        <f t="shared" si="48"/>
        <v/>
      </c>
      <c r="J633" t="str">
        <f t="shared" si="49"/>
        <v/>
      </c>
      <c r="K633" t="str">
        <f>IF($A633="","",IF(COUNTIF($B$2:$B633,$B633)=COUNTIF($B$2:$B$1601,$B633),$B633,""))</f>
        <v/>
      </c>
    </row>
    <row r="634" spans="1:11">
      <c r="A634" t="str">
        <f>IF('TMP Paste'!$E634="","",'TMP Paste'!$E634)</f>
        <v/>
      </c>
      <c r="B634" t="str">
        <f>IF($A634="","",COUNTIF('TMP Paste'!$B$2:$B634,"?*"))</f>
        <v/>
      </c>
      <c r="C634" t="str">
        <f>IF($A634="","",IFERROR('TMP Paste'!$M634*1,0))</f>
        <v/>
      </c>
      <c r="D634" t="str">
        <f>IF($A634="","",SUMIF($B$2:$B634,$B634,$C$2:$C634))</f>
        <v/>
      </c>
      <c r="E634">
        <f>IF($A634="",0,IF('TMP Paste'!$B634="",0,1))</f>
        <v>0</v>
      </c>
      <c r="F634" t="str">
        <f t="shared" si="45"/>
        <v/>
      </c>
      <c r="G634" t="str">
        <f t="shared" si="46"/>
        <v/>
      </c>
      <c r="H634" t="str">
        <f t="shared" si="47"/>
        <v/>
      </c>
      <c r="I634" t="str">
        <f t="shared" si="48"/>
        <v/>
      </c>
      <c r="J634" t="str">
        <f t="shared" si="49"/>
        <v/>
      </c>
      <c r="K634" t="str">
        <f>IF($A634="","",IF(COUNTIF($B$2:$B634,$B634)=COUNTIF($B$2:$B$1601,$B634),$B634,""))</f>
        <v/>
      </c>
    </row>
    <row r="635" spans="1:11">
      <c r="A635" t="str">
        <f>IF('TMP Paste'!$E635="","",'TMP Paste'!$E635)</f>
        <v/>
      </c>
      <c r="B635" t="str">
        <f>IF($A635="","",COUNTIF('TMP Paste'!$B$2:$B635,"?*"))</f>
        <v/>
      </c>
      <c r="C635" t="str">
        <f>IF($A635="","",IFERROR('TMP Paste'!$M635*1,0))</f>
        <v/>
      </c>
      <c r="D635" t="str">
        <f>IF($A635="","",SUMIF($B$2:$B635,$B635,$C$2:$C635))</f>
        <v/>
      </c>
      <c r="E635">
        <f>IF($A635="",0,IF('TMP Paste'!$B635="",0,1))</f>
        <v>0</v>
      </c>
      <c r="F635" t="str">
        <f t="shared" si="45"/>
        <v/>
      </c>
      <c r="G635" t="str">
        <f t="shared" si="46"/>
        <v/>
      </c>
      <c r="H635" t="str">
        <f t="shared" si="47"/>
        <v/>
      </c>
      <c r="I635" t="str">
        <f t="shared" si="48"/>
        <v/>
      </c>
      <c r="J635" t="str">
        <f t="shared" si="49"/>
        <v/>
      </c>
      <c r="K635" t="str">
        <f>IF($A635="","",IF(COUNTIF($B$2:$B635,$B635)=COUNTIF($B$2:$B$1601,$B635),$B635,""))</f>
        <v/>
      </c>
    </row>
    <row r="636" spans="1:11">
      <c r="A636" t="str">
        <f>IF('TMP Paste'!$E636="","",'TMP Paste'!$E636)</f>
        <v/>
      </c>
      <c r="B636" t="str">
        <f>IF($A636="","",COUNTIF('TMP Paste'!$B$2:$B636,"?*"))</f>
        <v/>
      </c>
      <c r="C636" t="str">
        <f>IF($A636="","",IFERROR('TMP Paste'!$M636*1,0))</f>
        <v/>
      </c>
      <c r="D636" t="str">
        <f>IF($A636="","",SUMIF($B$2:$B636,$B636,$C$2:$C636))</f>
        <v/>
      </c>
      <c r="E636">
        <f>IF($A636="",0,IF('TMP Paste'!$B636="",0,1))</f>
        <v>0</v>
      </c>
      <c r="F636" t="str">
        <f t="shared" si="45"/>
        <v/>
      </c>
      <c r="G636" t="str">
        <f t="shared" si="46"/>
        <v/>
      </c>
      <c r="H636" t="str">
        <f t="shared" si="47"/>
        <v/>
      </c>
      <c r="I636" t="str">
        <f t="shared" si="48"/>
        <v/>
      </c>
      <c r="J636" t="str">
        <f t="shared" si="49"/>
        <v/>
      </c>
      <c r="K636" t="str">
        <f>IF($A636="","",IF(COUNTIF($B$2:$B636,$B636)=COUNTIF($B$2:$B$1601,$B636),$B636,""))</f>
        <v/>
      </c>
    </row>
    <row r="637" spans="1:11">
      <c r="A637" t="str">
        <f>IF('TMP Paste'!$E637="","",'TMP Paste'!$E637)</f>
        <v/>
      </c>
      <c r="B637" t="str">
        <f>IF($A637="","",COUNTIF('TMP Paste'!$B$2:$B637,"?*"))</f>
        <v/>
      </c>
      <c r="C637" t="str">
        <f>IF($A637="","",IFERROR('TMP Paste'!$M637*1,0))</f>
        <v/>
      </c>
      <c r="D637" t="str">
        <f>IF($A637="","",SUMIF($B$2:$B637,$B637,$C$2:$C637))</f>
        <v/>
      </c>
      <c r="E637">
        <f>IF($A637="",0,IF('TMP Paste'!$B637="",0,1))</f>
        <v>0</v>
      </c>
      <c r="F637" t="str">
        <f t="shared" si="45"/>
        <v/>
      </c>
      <c r="G637" t="str">
        <f t="shared" si="46"/>
        <v/>
      </c>
      <c r="H637" t="str">
        <f t="shared" si="47"/>
        <v/>
      </c>
      <c r="I637" t="str">
        <f t="shared" si="48"/>
        <v/>
      </c>
      <c r="J637" t="str">
        <f t="shared" si="49"/>
        <v/>
      </c>
      <c r="K637" t="str">
        <f>IF($A637="","",IF(COUNTIF($B$2:$B637,$B637)=COUNTIF($B$2:$B$1601,$B637),$B637,""))</f>
        <v/>
      </c>
    </row>
    <row r="638" spans="1:11">
      <c r="A638" t="str">
        <f>IF('TMP Paste'!$E638="","",'TMP Paste'!$E638)</f>
        <v/>
      </c>
      <c r="B638" t="str">
        <f>IF($A638="","",COUNTIF('TMP Paste'!$B$2:$B638,"?*"))</f>
        <v/>
      </c>
      <c r="C638" t="str">
        <f>IF($A638="","",IFERROR('TMP Paste'!$M638*1,0))</f>
        <v/>
      </c>
      <c r="D638" t="str">
        <f>IF($A638="","",SUMIF($B$2:$B638,$B638,$C$2:$C638))</f>
        <v/>
      </c>
      <c r="E638">
        <f>IF($A638="",0,IF('TMP Paste'!$B638="",0,1))</f>
        <v>0</v>
      </c>
      <c r="F638" t="str">
        <f t="shared" si="45"/>
        <v/>
      </c>
      <c r="G638" t="str">
        <f t="shared" si="46"/>
        <v/>
      </c>
      <c r="H638" t="str">
        <f t="shared" si="47"/>
        <v/>
      </c>
      <c r="I638" t="str">
        <f t="shared" si="48"/>
        <v/>
      </c>
      <c r="J638" t="str">
        <f t="shared" si="49"/>
        <v/>
      </c>
      <c r="K638" t="str">
        <f>IF($A638="","",IF(COUNTIF($B$2:$B638,$B638)=COUNTIF($B$2:$B$1601,$B638),$B638,""))</f>
        <v/>
      </c>
    </row>
    <row r="639" spans="1:11">
      <c r="A639" t="str">
        <f>IF('TMP Paste'!$E639="","",'TMP Paste'!$E639)</f>
        <v/>
      </c>
      <c r="B639" t="str">
        <f>IF($A639="","",COUNTIF('TMP Paste'!$B$2:$B639,"?*"))</f>
        <v/>
      </c>
      <c r="C639" t="str">
        <f>IF($A639="","",IFERROR('TMP Paste'!$M639*1,0))</f>
        <v/>
      </c>
      <c r="D639" t="str">
        <f>IF($A639="","",SUMIF($B$2:$B639,$B639,$C$2:$C639))</f>
        <v/>
      </c>
      <c r="E639">
        <f>IF($A639="",0,IF('TMP Paste'!$B639="",0,1))</f>
        <v>0</v>
      </c>
      <c r="F639" t="str">
        <f t="shared" si="45"/>
        <v/>
      </c>
      <c r="G639" t="str">
        <f t="shared" si="46"/>
        <v/>
      </c>
      <c r="H639" t="str">
        <f t="shared" si="47"/>
        <v/>
      </c>
      <c r="I639" t="str">
        <f t="shared" si="48"/>
        <v/>
      </c>
      <c r="J639" t="str">
        <f t="shared" si="49"/>
        <v/>
      </c>
      <c r="K639" t="str">
        <f>IF($A639="","",IF(COUNTIF($B$2:$B639,$B639)=COUNTIF($B$2:$B$1601,$B639),$B639,""))</f>
        <v/>
      </c>
    </row>
    <row r="640" spans="1:11">
      <c r="A640" t="str">
        <f>IF('TMP Paste'!$E640="","",'TMP Paste'!$E640)</f>
        <v/>
      </c>
      <c r="B640" t="str">
        <f>IF($A640="","",COUNTIF('TMP Paste'!$B$2:$B640,"?*"))</f>
        <v/>
      </c>
      <c r="C640" t="str">
        <f>IF($A640="","",IFERROR('TMP Paste'!$M640*1,0))</f>
        <v/>
      </c>
      <c r="D640" t="str">
        <f>IF($A640="","",SUMIF($B$2:$B640,$B640,$C$2:$C640))</f>
        <v/>
      </c>
      <c r="E640">
        <f>IF($A640="",0,IF('TMP Paste'!$B640="",0,1))</f>
        <v>0</v>
      </c>
      <c r="F640" t="str">
        <f t="shared" si="45"/>
        <v/>
      </c>
      <c r="G640" t="str">
        <f t="shared" si="46"/>
        <v/>
      </c>
      <c r="H640" t="str">
        <f t="shared" si="47"/>
        <v/>
      </c>
      <c r="I640" t="str">
        <f t="shared" si="48"/>
        <v/>
      </c>
      <c r="J640" t="str">
        <f t="shared" si="49"/>
        <v/>
      </c>
      <c r="K640" t="str">
        <f>IF($A640="","",IF(COUNTIF($B$2:$B640,$B640)=COUNTIF($B$2:$B$1601,$B640),$B640,""))</f>
        <v/>
      </c>
    </row>
    <row r="641" spans="1:11">
      <c r="A641" t="str">
        <f>IF('TMP Paste'!$E641="","",'TMP Paste'!$E641)</f>
        <v/>
      </c>
      <c r="B641" t="str">
        <f>IF($A641="","",COUNTIF('TMP Paste'!$B$2:$B641,"?*"))</f>
        <v/>
      </c>
      <c r="C641" t="str">
        <f>IF($A641="","",IFERROR('TMP Paste'!$M641*1,0))</f>
        <v/>
      </c>
      <c r="D641" t="str">
        <f>IF($A641="","",SUMIF($B$2:$B641,$B641,$C$2:$C641))</f>
        <v/>
      </c>
      <c r="E641">
        <f>IF($A641="",0,IF('TMP Paste'!$B641="",0,1))</f>
        <v>0</v>
      </c>
      <c r="F641" t="str">
        <f t="shared" si="45"/>
        <v/>
      </c>
      <c r="G641" t="str">
        <f t="shared" si="46"/>
        <v/>
      </c>
      <c r="H641" t="str">
        <f t="shared" si="47"/>
        <v/>
      </c>
      <c r="I641" t="str">
        <f t="shared" si="48"/>
        <v/>
      </c>
      <c r="J641" t="str">
        <f t="shared" si="49"/>
        <v/>
      </c>
      <c r="K641" t="str">
        <f>IF($A641="","",IF(COUNTIF($B$2:$B641,$B641)=COUNTIF($B$2:$B$1601,$B641),$B641,""))</f>
        <v/>
      </c>
    </row>
    <row r="642" spans="1:11">
      <c r="A642" t="str">
        <f>IF('TMP Paste'!$E642="","",'TMP Paste'!$E642)</f>
        <v/>
      </c>
      <c r="B642" t="str">
        <f>IF($A642="","",COUNTIF('TMP Paste'!$B$2:$B642,"?*"))</f>
        <v/>
      </c>
      <c r="C642" t="str">
        <f>IF($A642="","",IFERROR('TMP Paste'!$M642*1,0))</f>
        <v/>
      </c>
      <c r="D642" t="str">
        <f>IF($A642="","",SUMIF($B$2:$B642,$B642,$C$2:$C642))</f>
        <v/>
      </c>
      <c r="E642">
        <f>IF($A642="",0,IF('TMP Paste'!$B642="",0,1))</f>
        <v>0</v>
      </c>
      <c r="F642" t="str">
        <f t="shared" ref="F642:F705" si="50">IF(OR($A642="",$C642&lt;1),"",$A642&amp;"-"&amp;TEXT(($D642-$C642+1),"00")&amp;IF($C642&gt;=2,", "&amp;$A642&amp;"-"&amp;TEXT(($D642-$C642+1)+1,"00"),"")&amp;IF($C642&gt;=3,", "&amp;$A642&amp;"-"&amp;TEXT(($D642-$C642+1)+2,"00"),"")&amp;IF($C642&gt;=4,", "&amp;$A642&amp;"-"&amp;TEXT(($D642-$C642+1)+3,"00"),"")&amp;IF($C642&gt;=5,", "&amp;$A642&amp;"-"&amp;TEXT(($D642-$C642+1)+4,"00"),"")&amp;IF($C642&gt;=6,", "&amp;$A642&amp;"-"&amp;TEXT(($D642-$C642+1)+5,"00"),"")&amp;IF($C642&gt;=7,", "&amp;$A642&amp;"-"&amp;TEXT(($D642-$C642+1)+6,"00"),"")&amp;IF($C642&gt;=8,", "&amp;$A642&amp;"-"&amp;TEXT(($D642-$C642+1)+7,"00"),"")&amp;IF($C642&gt;=9,", "&amp;$A642&amp;"-"&amp;TEXT(($D642-$C642+1)+8,"00"),"")&amp;IF($C642&gt;=10,", "&amp;$A642&amp;"-"&amp;TEXT(($D642-$C642+1)+9,"00"),"")&amp;IF($C642&gt;=11,", "&amp;$A642&amp;"-"&amp;TEXT(($D642-$C642+1)+10,"00"),"")&amp;IF($C642&gt;=12,", "&amp;$A642&amp;"-"&amp;TEXT(($D642-$C642+1)+11,"00"),"")&amp;IF($C642&gt;=13,", "&amp;$A642&amp;"-"&amp;TEXT(($D642-$C642+1)+12,"00"),"")&amp;IF($C642&gt;=14,", "&amp;$A642&amp;"-"&amp;TEXT(($D642-$C642+1)+13,"00"),"")&amp;IF($C642&gt;=15,", "&amp;$A642&amp;"-"&amp;TEXT(($D642-$C642+1)+14,"00"),"")&amp;IF($C642&gt;=16,", "&amp;$A642&amp;"-"&amp;TEXT(($D642-$C642+1)+15,"00"),"")&amp;IF($C642&gt;=17,", "&amp;$A642&amp;"-"&amp;TEXT(($D642-$C642+1)+16,"00"),"")&amp;IF($C642&gt;=18,", "&amp;$A642&amp;"-"&amp;TEXT(($D642-$C642+1)+17,"00"),"")&amp;IF($C642&gt;=19,", "&amp;$A642&amp;"-"&amp;TEXT(($D642-$C642+1)+18,"00"),"")&amp;IF($C642&gt;=20,", "&amp;$A642&amp;"-"&amp;TEXT(($D642-$C642+1)+19,"00"),"")&amp;IF($C642&gt;=21,", "&amp;$A642&amp;"-"&amp;TEXT(($D642-$C642+1)+20,"00"),"")&amp;IF($C642&gt;=22,", "&amp;$A642&amp;"-"&amp;TEXT(($D642-$C642+1)+21,"00"),"")&amp;IF($C642&gt;=23,", "&amp;$A642&amp;"-"&amp;TEXT(($D642-$C642+1)+22,"00"),"")&amp;IF($C642&gt;=24,", "&amp;$A642&amp;"-"&amp;TEXT(($D642-$C642+1)+23,"00"),"")&amp;IF($C642&gt;=25,", "&amp;$A642&amp;"-"&amp;TEXT(($D642-$C642+1)+24,"00"),""))</f>
        <v/>
      </c>
      <c r="G642" t="str">
        <f t="shared" ref="G642:G705" si="51">IF($A642="","",IF($E642=1,$F642,IF($F642="",$G641,IF($G641="",$F642,$G641&amp;", "&amp;$F642))))</f>
        <v/>
      </c>
      <c r="H642" t="str">
        <f t="shared" ref="H642:H705" si="52">IF($A642="","",$A642&amp;" ("&amp;$C642&amp;")")</f>
        <v/>
      </c>
      <c r="I642" t="str">
        <f t="shared" ref="I642:I705" si="53">IF($A642="","",IF($E642=1,$H642,$I641&amp;", "&amp;$H642))</f>
        <v/>
      </c>
      <c r="J642" t="str">
        <f t="shared" ref="J642:J705" si="54">IF($A642="","",IF($E642=1,$B642,""))</f>
        <v/>
      </c>
      <c r="K642" t="str">
        <f>IF($A642="","",IF(COUNTIF($B$2:$B642,$B642)=COUNTIF($B$2:$B$1601,$B642),$B642,""))</f>
        <v/>
      </c>
    </row>
    <row r="643" spans="1:11">
      <c r="A643" t="str">
        <f>IF('TMP Paste'!$E643="","",'TMP Paste'!$E643)</f>
        <v/>
      </c>
      <c r="B643" t="str">
        <f>IF($A643="","",COUNTIF('TMP Paste'!$B$2:$B643,"?*"))</f>
        <v/>
      </c>
      <c r="C643" t="str">
        <f>IF($A643="","",IFERROR('TMP Paste'!$M643*1,0))</f>
        <v/>
      </c>
      <c r="D643" t="str">
        <f>IF($A643="","",SUMIF($B$2:$B643,$B643,$C$2:$C643))</f>
        <v/>
      </c>
      <c r="E643">
        <f>IF($A643="",0,IF('TMP Paste'!$B643="",0,1))</f>
        <v>0</v>
      </c>
      <c r="F643" t="str">
        <f t="shared" si="50"/>
        <v/>
      </c>
      <c r="G643" t="str">
        <f t="shared" si="51"/>
        <v/>
      </c>
      <c r="H643" t="str">
        <f t="shared" si="52"/>
        <v/>
      </c>
      <c r="I643" t="str">
        <f t="shared" si="53"/>
        <v/>
      </c>
      <c r="J643" t="str">
        <f t="shared" si="54"/>
        <v/>
      </c>
      <c r="K643" t="str">
        <f>IF($A643="","",IF(COUNTIF($B$2:$B643,$B643)=COUNTIF($B$2:$B$1601,$B643),$B643,""))</f>
        <v/>
      </c>
    </row>
    <row r="644" spans="1:11">
      <c r="A644" t="str">
        <f>IF('TMP Paste'!$E644="","",'TMP Paste'!$E644)</f>
        <v/>
      </c>
      <c r="B644" t="str">
        <f>IF($A644="","",COUNTIF('TMP Paste'!$B$2:$B644,"?*"))</f>
        <v/>
      </c>
      <c r="C644" t="str">
        <f>IF($A644="","",IFERROR('TMP Paste'!$M644*1,0))</f>
        <v/>
      </c>
      <c r="D644" t="str">
        <f>IF($A644="","",SUMIF($B$2:$B644,$B644,$C$2:$C644))</f>
        <v/>
      </c>
      <c r="E644">
        <f>IF($A644="",0,IF('TMP Paste'!$B644="",0,1))</f>
        <v>0</v>
      </c>
      <c r="F644" t="str">
        <f t="shared" si="50"/>
        <v/>
      </c>
      <c r="G644" t="str">
        <f t="shared" si="51"/>
        <v/>
      </c>
      <c r="H644" t="str">
        <f t="shared" si="52"/>
        <v/>
      </c>
      <c r="I644" t="str">
        <f t="shared" si="53"/>
        <v/>
      </c>
      <c r="J644" t="str">
        <f t="shared" si="54"/>
        <v/>
      </c>
      <c r="K644" t="str">
        <f>IF($A644="","",IF(COUNTIF($B$2:$B644,$B644)=COUNTIF($B$2:$B$1601,$B644),$B644,""))</f>
        <v/>
      </c>
    </row>
    <row r="645" spans="1:11">
      <c r="A645" t="str">
        <f>IF('TMP Paste'!$E645="","",'TMP Paste'!$E645)</f>
        <v/>
      </c>
      <c r="B645" t="str">
        <f>IF($A645="","",COUNTIF('TMP Paste'!$B$2:$B645,"?*"))</f>
        <v/>
      </c>
      <c r="C645" t="str">
        <f>IF($A645="","",IFERROR('TMP Paste'!$M645*1,0))</f>
        <v/>
      </c>
      <c r="D645" t="str">
        <f>IF($A645="","",SUMIF($B$2:$B645,$B645,$C$2:$C645))</f>
        <v/>
      </c>
      <c r="E645">
        <f>IF($A645="",0,IF('TMP Paste'!$B645="",0,1))</f>
        <v>0</v>
      </c>
      <c r="F645" t="str">
        <f t="shared" si="50"/>
        <v/>
      </c>
      <c r="G645" t="str">
        <f t="shared" si="51"/>
        <v/>
      </c>
      <c r="H645" t="str">
        <f t="shared" si="52"/>
        <v/>
      </c>
      <c r="I645" t="str">
        <f t="shared" si="53"/>
        <v/>
      </c>
      <c r="J645" t="str">
        <f t="shared" si="54"/>
        <v/>
      </c>
      <c r="K645" t="str">
        <f>IF($A645="","",IF(COUNTIF($B$2:$B645,$B645)=COUNTIF($B$2:$B$1601,$B645),$B645,""))</f>
        <v/>
      </c>
    </row>
    <row r="646" spans="1:11">
      <c r="A646" t="str">
        <f>IF('TMP Paste'!$E646="","",'TMP Paste'!$E646)</f>
        <v/>
      </c>
      <c r="B646" t="str">
        <f>IF($A646="","",COUNTIF('TMP Paste'!$B$2:$B646,"?*"))</f>
        <v/>
      </c>
      <c r="C646" t="str">
        <f>IF($A646="","",IFERROR('TMP Paste'!$M646*1,0))</f>
        <v/>
      </c>
      <c r="D646" t="str">
        <f>IF($A646="","",SUMIF($B$2:$B646,$B646,$C$2:$C646))</f>
        <v/>
      </c>
      <c r="E646">
        <f>IF($A646="",0,IF('TMP Paste'!$B646="",0,1))</f>
        <v>0</v>
      </c>
      <c r="F646" t="str">
        <f t="shared" si="50"/>
        <v/>
      </c>
      <c r="G646" t="str">
        <f t="shared" si="51"/>
        <v/>
      </c>
      <c r="H646" t="str">
        <f t="shared" si="52"/>
        <v/>
      </c>
      <c r="I646" t="str">
        <f t="shared" si="53"/>
        <v/>
      </c>
      <c r="J646" t="str">
        <f t="shared" si="54"/>
        <v/>
      </c>
      <c r="K646" t="str">
        <f>IF($A646="","",IF(COUNTIF($B$2:$B646,$B646)=COUNTIF($B$2:$B$1601,$B646),$B646,""))</f>
        <v/>
      </c>
    </row>
    <row r="647" spans="1:11">
      <c r="A647" t="str">
        <f>IF('TMP Paste'!$E647="","",'TMP Paste'!$E647)</f>
        <v/>
      </c>
      <c r="B647" t="str">
        <f>IF($A647="","",COUNTIF('TMP Paste'!$B$2:$B647,"?*"))</f>
        <v/>
      </c>
      <c r="C647" t="str">
        <f>IF($A647="","",IFERROR('TMP Paste'!$M647*1,0))</f>
        <v/>
      </c>
      <c r="D647" t="str">
        <f>IF($A647="","",SUMIF($B$2:$B647,$B647,$C$2:$C647))</f>
        <v/>
      </c>
      <c r="E647">
        <f>IF($A647="",0,IF('TMP Paste'!$B647="",0,1))</f>
        <v>0</v>
      </c>
      <c r="F647" t="str">
        <f t="shared" si="50"/>
        <v/>
      </c>
      <c r="G647" t="str">
        <f t="shared" si="51"/>
        <v/>
      </c>
      <c r="H647" t="str">
        <f t="shared" si="52"/>
        <v/>
      </c>
      <c r="I647" t="str">
        <f t="shared" si="53"/>
        <v/>
      </c>
      <c r="J647" t="str">
        <f t="shared" si="54"/>
        <v/>
      </c>
      <c r="K647" t="str">
        <f>IF($A647="","",IF(COUNTIF($B$2:$B647,$B647)=COUNTIF($B$2:$B$1601,$B647),$B647,""))</f>
        <v/>
      </c>
    </row>
    <row r="648" spans="1:11">
      <c r="A648" t="str">
        <f>IF('TMP Paste'!$E648="","",'TMP Paste'!$E648)</f>
        <v/>
      </c>
      <c r="B648" t="str">
        <f>IF($A648="","",COUNTIF('TMP Paste'!$B$2:$B648,"?*"))</f>
        <v/>
      </c>
      <c r="C648" t="str">
        <f>IF($A648="","",IFERROR('TMP Paste'!$M648*1,0))</f>
        <v/>
      </c>
      <c r="D648" t="str">
        <f>IF($A648="","",SUMIF($B$2:$B648,$B648,$C$2:$C648))</f>
        <v/>
      </c>
      <c r="E648">
        <f>IF($A648="",0,IF('TMP Paste'!$B648="",0,1))</f>
        <v>0</v>
      </c>
      <c r="F648" t="str">
        <f t="shared" si="50"/>
        <v/>
      </c>
      <c r="G648" t="str">
        <f t="shared" si="51"/>
        <v/>
      </c>
      <c r="H648" t="str">
        <f t="shared" si="52"/>
        <v/>
      </c>
      <c r="I648" t="str">
        <f t="shared" si="53"/>
        <v/>
      </c>
      <c r="J648" t="str">
        <f t="shared" si="54"/>
        <v/>
      </c>
      <c r="K648" t="str">
        <f>IF($A648="","",IF(COUNTIF($B$2:$B648,$B648)=COUNTIF($B$2:$B$1601,$B648),$B648,""))</f>
        <v/>
      </c>
    </row>
    <row r="649" spans="1:11">
      <c r="A649" t="str">
        <f>IF('TMP Paste'!$E649="","",'TMP Paste'!$E649)</f>
        <v/>
      </c>
      <c r="B649" t="str">
        <f>IF($A649="","",COUNTIF('TMP Paste'!$B$2:$B649,"?*"))</f>
        <v/>
      </c>
      <c r="C649" t="str">
        <f>IF($A649="","",IFERROR('TMP Paste'!$M649*1,0))</f>
        <v/>
      </c>
      <c r="D649" t="str">
        <f>IF($A649="","",SUMIF($B$2:$B649,$B649,$C$2:$C649))</f>
        <v/>
      </c>
      <c r="E649">
        <f>IF($A649="",0,IF('TMP Paste'!$B649="",0,1))</f>
        <v>0</v>
      </c>
      <c r="F649" t="str">
        <f t="shared" si="50"/>
        <v/>
      </c>
      <c r="G649" t="str">
        <f t="shared" si="51"/>
        <v/>
      </c>
      <c r="H649" t="str">
        <f t="shared" si="52"/>
        <v/>
      </c>
      <c r="I649" t="str">
        <f t="shared" si="53"/>
        <v/>
      </c>
      <c r="J649" t="str">
        <f t="shared" si="54"/>
        <v/>
      </c>
      <c r="K649" t="str">
        <f>IF($A649="","",IF(COUNTIF($B$2:$B649,$B649)=COUNTIF($B$2:$B$1601,$B649),$B649,""))</f>
        <v/>
      </c>
    </row>
    <row r="650" spans="1:11">
      <c r="A650" t="str">
        <f>IF('TMP Paste'!$E650="","",'TMP Paste'!$E650)</f>
        <v/>
      </c>
      <c r="B650" t="str">
        <f>IF($A650="","",COUNTIF('TMP Paste'!$B$2:$B650,"?*"))</f>
        <v/>
      </c>
      <c r="C650" t="str">
        <f>IF($A650="","",IFERROR('TMP Paste'!$M650*1,0))</f>
        <v/>
      </c>
      <c r="D650" t="str">
        <f>IF($A650="","",SUMIF($B$2:$B650,$B650,$C$2:$C650))</f>
        <v/>
      </c>
      <c r="E650">
        <f>IF($A650="",0,IF('TMP Paste'!$B650="",0,1))</f>
        <v>0</v>
      </c>
      <c r="F650" t="str">
        <f t="shared" si="50"/>
        <v/>
      </c>
      <c r="G650" t="str">
        <f t="shared" si="51"/>
        <v/>
      </c>
      <c r="H650" t="str">
        <f t="shared" si="52"/>
        <v/>
      </c>
      <c r="I650" t="str">
        <f t="shared" si="53"/>
        <v/>
      </c>
      <c r="J650" t="str">
        <f t="shared" si="54"/>
        <v/>
      </c>
      <c r="K650" t="str">
        <f>IF($A650="","",IF(COUNTIF($B$2:$B650,$B650)=COUNTIF($B$2:$B$1601,$B650),$B650,""))</f>
        <v/>
      </c>
    </row>
    <row r="651" spans="1:11">
      <c r="A651" t="str">
        <f>IF('TMP Paste'!$E651="","",'TMP Paste'!$E651)</f>
        <v/>
      </c>
      <c r="B651" t="str">
        <f>IF($A651="","",COUNTIF('TMP Paste'!$B$2:$B651,"?*"))</f>
        <v/>
      </c>
      <c r="C651" t="str">
        <f>IF($A651="","",IFERROR('TMP Paste'!$M651*1,0))</f>
        <v/>
      </c>
      <c r="D651" t="str">
        <f>IF($A651="","",SUMIF($B$2:$B651,$B651,$C$2:$C651))</f>
        <v/>
      </c>
      <c r="E651">
        <f>IF($A651="",0,IF('TMP Paste'!$B651="",0,1))</f>
        <v>0</v>
      </c>
      <c r="F651" t="str">
        <f t="shared" si="50"/>
        <v/>
      </c>
      <c r="G651" t="str">
        <f t="shared" si="51"/>
        <v/>
      </c>
      <c r="H651" t="str">
        <f t="shared" si="52"/>
        <v/>
      </c>
      <c r="I651" t="str">
        <f t="shared" si="53"/>
        <v/>
      </c>
      <c r="J651" t="str">
        <f t="shared" si="54"/>
        <v/>
      </c>
      <c r="K651" t="str">
        <f>IF($A651="","",IF(COUNTIF($B$2:$B651,$B651)=COUNTIF($B$2:$B$1601,$B651),$B651,""))</f>
        <v/>
      </c>
    </row>
    <row r="652" spans="1:11">
      <c r="A652" t="str">
        <f>IF('TMP Paste'!$E652="","",'TMP Paste'!$E652)</f>
        <v/>
      </c>
      <c r="B652" t="str">
        <f>IF($A652="","",COUNTIF('TMP Paste'!$B$2:$B652,"?*"))</f>
        <v/>
      </c>
      <c r="C652" t="str">
        <f>IF($A652="","",IFERROR('TMP Paste'!$M652*1,0))</f>
        <v/>
      </c>
      <c r="D652" t="str">
        <f>IF($A652="","",SUMIF($B$2:$B652,$B652,$C$2:$C652))</f>
        <v/>
      </c>
      <c r="E652">
        <f>IF($A652="",0,IF('TMP Paste'!$B652="",0,1))</f>
        <v>0</v>
      </c>
      <c r="F652" t="str">
        <f t="shared" si="50"/>
        <v/>
      </c>
      <c r="G652" t="str">
        <f t="shared" si="51"/>
        <v/>
      </c>
      <c r="H652" t="str">
        <f t="shared" si="52"/>
        <v/>
      </c>
      <c r="I652" t="str">
        <f t="shared" si="53"/>
        <v/>
      </c>
      <c r="J652" t="str">
        <f t="shared" si="54"/>
        <v/>
      </c>
      <c r="K652" t="str">
        <f>IF($A652="","",IF(COUNTIF($B$2:$B652,$B652)=COUNTIF($B$2:$B$1601,$B652),$B652,""))</f>
        <v/>
      </c>
    </row>
    <row r="653" spans="1:11">
      <c r="A653" t="str">
        <f>IF('TMP Paste'!$E653="","",'TMP Paste'!$E653)</f>
        <v/>
      </c>
      <c r="B653" t="str">
        <f>IF($A653="","",COUNTIF('TMP Paste'!$B$2:$B653,"?*"))</f>
        <v/>
      </c>
      <c r="C653" t="str">
        <f>IF($A653="","",IFERROR('TMP Paste'!$M653*1,0))</f>
        <v/>
      </c>
      <c r="D653" t="str">
        <f>IF($A653="","",SUMIF($B$2:$B653,$B653,$C$2:$C653))</f>
        <v/>
      </c>
      <c r="E653">
        <f>IF($A653="",0,IF('TMP Paste'!$B653="",0,1))</f>
        <v>0</v>
      </c>
      <c r="F653" t="str">
        <f t="shared" si="50"/>
        <v/>
      </c>
      <c r="G653" t="str">
        <f t="shared" si="51"/>
        <v/>
      </c>
      <c r="H653" t="str">
        <f t="shared" si="52"/>
        <v/>
      </c>
      <c r="I653" t="str">
        <f t="shared" si="53"/>
        <v/>
      </c>
      <c r="J653" t="str">
        <f t="shared" si="54"/>
        <v/>
      </c>
      <c r="K653" t="str">
        <f>IF($A653="","",IF(COUNTIF($B$2:$B653,$B653)=COUNTIF($B$2:$B$1601,$B653),$B653,""))</f>
        <v/>
      </c>
    </row>
    <row r="654" spans="1:11">
      <c r="A654" t="str">
        <f>IF('TMP Paste'!$E654="","",'TMP Paste'!$E654)</f>
        <v/>
      </c>
      <c r="B654" t="str">
        <f>IF($A654="","",COUNTIF('TMP Paste'!$B$2:$B654,"?*"))</f>
        <v/>
      </c>
      <c r="C654" t="str">
        <f>IF($A654="","",IFERROR('TMP Paste'!$M654*1,0))</f>
        <v/>
      </c>
      <c r="D654" t="str">
        <f>IF($A654="","",SUMIF($B$2:$B654,$B654,$C$2:$C654))</f>
        <v/>
      </c>
      <c r="E654">
        <f>IF($A654="",0,IF('TMP Paste'!$B654="",0,1))</f>
        <v>0</v>
      </c>
      <c r="F654" t="str">
        <f t="shared" si="50"/>
        <v/>
      </c>
      <c r="G654" t="str">
        <f t="shared" si="51"/>
        <v/>
      </c>
      <c r="H654" t="str">
        <f t="shared" si="52"/>
        <v/>
      </c>
      <c r="I654" t="str">
        <f t="shared" si="53"/>
        <v/>
      </c>
      <c r="J654" t="str">
        <f t="shared" si="54"/>
        <v/>
      </c>
      <c r="K654" t="str">
        <f>IF($A654="","",IF(COUNTIF($B$2:$B654,$B654)=COUNTIF($B$2:$B$1601,$B654),$B654,""))</f>
        <v/>
      </c>
    </row>
    <row r="655" spans="1:11">
      <c r="A655" t="str">
        <f>IF('TMP Paste'!$E655="","",'TMP Paste'!$E655)</f>
        <v/>
      </c>
      <c r="B655" t="str">
        <f>IF($A655="","",COUNTIF('TMP Paste'!$B$2:$B655,"?*"))</f>
        <v/>
      </c>
      <c r="C655" t="str">
        <f>IF($A655="","",IFERROR('TMP Paste'!$M655*1,0))</f>
        <v/>
      </c>
      <c r="D655" t="str">
        <f>IF($A655="","",SUMIF($B$2:$B655,$B655,$C$2:$C655))</f>
        <v/>
      </c>
      <c r="E655">
        <f>IF($A655="",0,IF('TMP Paste'!$B655="",0,1))</f>
        <v>0</v>
      </c>
      <c r="F655" t="str">
        <f t="shared" si="50"/>
        <v/>
      </c>
      <c r="G655" t="str">
        <f t="shared" si="51"/>
        <v/>
      </c>
      <c r="H655" t="str">
        <f t="shared" si="52"/>
        <v/>
      </c>
      <c r="I655" t="str">
        <f t="shared" si="53"/>
        <v/>
      </c>
      <c r="J655" t="str">
        <f t="shared" si="54"/>
        <v/>
      </c>
      <c r="K655" t="str">
        <f>IF($A655="","",IF(COUNTIF($B$2:$B655,$B655)=COUNTIF($B$2:$B$1601,$B655),$B655,""))</f>
        <v/>
      </c>
    </row>
    <row r="656" spans="1:11">
      <c r="A656" t="str">
        <f>IF('TMP Paste'!$E656="","",'TMP Paste'!$E656)</f>
        <v/>
      </c>
      <c r="B656" t="str">
        <f>IF($A656="","",COUNTIF('TMP Paste'!$B$2:$B656,"?*"))</f>
        <v/>
      </c>
      <c r="C656" t="str">
        <f>IF($A656="","",IFERROR('TMP Paste'!$M656*1,0))</f>
        <v/>
      </c>
      <c r="D656" t="str">
        <f>IF($A656="","",SUMIF($B$2:$B656,$B656,$C$2:$C656))</f>
        <v/>
      </c>
      <c r="E656">
        <f>IF($A656="",0,IF('TMP Paste'!$B656="",0,1))</f>
        <v>0</v>
      </c>
      <c r="F656" t="str">
        <f t="shared" si="50"/>
        <v/>
      </c>
      <c r="G656" t="str">
        <f t="shared" si="51"/>
        <v/>
      </c>
      <c r="H656" t="str">
        <f t="shared" si="52"/>
        <v/>
      </c>
      <c r="I656" t="str">
        <f t="shared" si="53"/>
        <v/>
      </c>
      <c r="J656" t="str">
        <f t="shared" si="54"/>
        <v/>
      </c>
      <c r="K656" t="str">
        <f>IF($A656="","",IF(COUNTIF($B$2:$B656,$B656)=COUNTIF($B$2:$B$1601,$B656),$B656,""))</f>
        <v/>
      </c>
    </row>
    <row r="657" spans="1:11">
      <c r="A657" t="str">
        <f>IF('TMP Paste'!$E657="","",'TMP Paste'!$E657)</f>
        <v/>
      </c>
      <c r="B657" t="str">
        <f>IF($A657="","",COUNTIF('TMP Paste'!$B$2:$B657,"?*"))</f>
        <v/>
      </c>
      <c r="C657" t="str">
        <f>IF($A657="","",IFERROR('TMP Paste'!$M657*1,0))</f>
        <v/>
      </c>
      <c r="D657" t="str">
        <f>IF($A657="","",SUMIF($B$2:$B657,$B657,$C$2:$C657))</f>
        <v/>
      </c>
      <c r="E657">
        <f>IF($A657="",0,IF('TMP Paste'!$B657="",0,1))</f>
        <v>0</v>
      </c>
      <c r="F657" t="str">
        <f t="shared" si="50"/>
        <v/>
      </c>
      <c r="G657" t="str">
        <f t="shared" si="51"/>
        <v/>
      </c>
      <c r="H657" t="str">
        <f t="shared" si="52"/>
        <v/>
      </c>
      <c r="I657" t="str">
        <f t="shared" si="53"/>
        <v/>
      </c>
      <c r="J657" t="str">
        <f t="shared" si="54"/>
        <v/>
      </c>
      <c r="K657" t="str">
        <f>IF($A657="","",IF(COUNTIF($B$2:$B657,$B657)=COUNTIF($B$2:$B$1601,$B657),$B657,""))</f>
        <v/>
      </c>
    </row>
    <row r="658" spans="1:11">
      <c r="A658" t="str">
        <f>IF('TMP Paste'!$E658="","",'TMP Paste'!$E658)</f>
        <v/>
      </c>
      <c r="B658" t="str">
        <f>IF($A658="","",COUNTIF('TMP Paste'!$B$2:$B658,"?*"))</f>
        <v/>
      </c>
      <c r="C658" t="str">
        <f>IF($A658="","",IFERROR('TMP Paste'!$M658*1,0))</f>
        <v/>
      </c>
      <c r="D658" t="str">
        <f>IF($A658="","",SUMIF($B$2:$B658,$B658,$C$2:$C658))</f>
        <v/>
      </c>
      <c r="E658">
        <f>IF($A658="",0,IF('TMP Paste'!$B658="",0,1))</f>
        <v>0</v>
      </c>
      <c r="F658" t="str">
        <f t="shared" si="50"/>
        <v/>
      </c>
      <c r="G658" t="str">
        <f t="shared" si="51"/>
        <v/>
      </c>
      <c r="H658" t="str">
        <f t="shared" si="52"/>
        <v/>
      </c>
      <c r="I658" t="str">
        <f t="shared" si="53"/>
        <v/>
      </c>
      <c r="J658" t="str">
        <f t="shared" si="54"/>
        <v/>
      </c>
      <c r="K658" t="str">
        <f>IF($A658="","",IF(COUNTIF($B$2:$B658,$B658)=COUNTIF($B$2:$B$1601,$B658),$B658,""))</f>
        <v/>
      </c>
    </row>
    <row r="659" spans="1:11">
      <c r="A659" t="str">
        <f>IF('TMP Paste'!$E659="","",'TMP Paste'!$E659)</f>
        <v/>
      </c>
      <c r="B659" t="str">
        <f>IF($A659="","",COUNTIF('TMP Paste'!$B$2:$B659,"?*"))</f>
        <v/>
      </c>
      <c r="C659" t="str">
        <f>IF($A659="","",IFERROR('TMP Paste'!$M659*1,0))</f>
        <v/>
      </c>
      <c r="D659" t="str">
        <f>IF($A659="","",SUMIF($B$2:$B659,$B659,$C$2:$C659))</f>
        <v/>
      </c>
      <c r="E659">
        <f>IF($A659="",0,IF('TMP Paste'!$B659="",0,1))</f>
        <v>0</v>
      </c>
      <c r="F659" t="str">
        <f t="shared" si="50"/>
        <v/>
      </c>
      <c r="G659" t="str">
        <f t="shared" si="51"/>
        <v/>
      </c>
      <c r="H659" t="str">
        <f t="shared" si="52"/>
        <v/>
      </c>
      <c r="I659" t="str">
        <f t="shared" si="53"/>
        <v/>
      </c>
      <c r="J659" t="str">
        <f t="shared" si="54"/>
        <v/>
      </c>
      <c r="K659" t="str">
        <f>IF($A659="","",IF(COUNTIF($B$2:$B659,$B659)=COUNTIF($B$2:$B$1601,$B659),$B659,""))</f>
        <v/>
      </c>
    </row>
    <row r="660" spans="1:11">
      <c r="A660" t="str">
        <f>IF('TMP Paste'!$E660="","",'TMP Paste'!$E660)</f>
        <v/>
      </c>
      <c r="B660" t="str">
        <f>IF($A660="","",COUNTIF('TMP Paste'!$B$2:$B660,"?*"))</f>
        <v/>
      </c>
      <c r="C660" t="str">
        <f>IF($A660="","",IFERROR('TMP Paste'!$M660*1,0))</f>
        <v/>
      </c>
      <c r="D660" t="str">
        <f>IF($A660="","",SUMIF($B$2:$B660,$B660,$C$2:$C660))</f>
        <v/>
      </c>
      <c r="E660">
        <f>IF($A660="",0,IF('TMP Paste'!$B660="",0,1))</f>
        <v>0</v>
      </c>
      <c r="F660" t="str">
        <f t="shared" si="50"/>
        <v/>
      </c>
      <c r="G660" t="str">
        <f t="shared" si="51"/>
        <v/>
      </c>
      <c r="H660" t="str">
        <f t="shared" si="52"/>
        <v/>
      </c>
      <c r="I660" t="str">
        <f t="shared" si="53"/>
        <v/>
      </c>
      <c r="J660" t="str">
        <f t="shared" si="54"/>
        <v/>
      </c>
      <c r="K660" t="str">
        <f>IF($A660="","",IF(COUNTIF($B$2:$B660,$B660)=COUNTIF($B$2:$B$1601,$B660),$B660,""))</f>
        <v/>
      </c>
    </row>
    <row r="661" spans="1:11">
      <c r="A661" t="str">
        <f>IF('TMP Paste'!$E661="","",'TMP Paste'!$E661)</f>
        <v/>
      </c>
      <c r="B661" t="str">
        <f>IF($A661="","",COUNTIF('TMP Paste'!$B$2:$B661,"?*"))</f>
        <v/>
      </c>
      <c r="C661" t="str">
        <f>IF($A661="","",IFERROR('TMP Paste'!$M661*1,0))</f>
        <v/>
      </c>
      <c r="D661" t="str">
        <f>IF($A661="","",SUMIF($B$2:$B661,$B661,$C$2:$C661))</f>
        <v/>
      </c>
      <c r="E661">
        <f>IF($A661="",0,IF('TMP Paste'!$B661="",0,1))</f>
        <v>0</v>
      </c>
      <c r="F661" t="str">
        <f t="shared" si="50"/>
        <v/>
      </c>
      <c r="G661" t="str">
        <f t="shared" si="51"/>
        <v/>
      </c>
      <c r="H661" t="str">
        <f t="shared" si="52"/>
        <v/>
      </c>
      <c r="I661" t="str">
        <f t="shared" si="53"/>
        <v/>
      </c>
      <c r="J661" t="str">
        <f t="shared" si="54"/>
        <v/>
      </c>
      <c r="K661" t="str">
        <f>IF($A661="","",IF(COUNTIF($B$2:$B661,$B661)=COUNTIF($B$2:$B$1601,$B661),$B661,""))</f>
        <v/>
      </c>
    </row>
    <row r="662" spans="1:11">
      <c r="A662" t="str">
        <f>IF('TMP Paste'!$E662="","",'TMP Paste'!$E662)</f>
        <v/>
      </c>
      <c r="B662" t="str">
        <f>IF($A662="","",COUNTIF('TMP Paste'!$B$2:$B662,"?*"))</f>
        <v/>
      </c>
      <c r="C662" t="str">
        <f>IF($A662="","",IFERROR('TMP Paste'!$M662*1,0))</f>
        <v/>
      </c>
      <c r="D662" t="str">
        <f>IF($A662="","",SUMIF($B$2:$B662,$B662,$C$2:$C662))</f>
        <v/>
      </c>
      <c r="E662">
        <f>IF($A662="",0,IF('TMP Paste'!$B662="",0,1))</f>
        <v>0</v>
      </c>
      <c r="F662" t="str">
        <f t="shared" si="50"/>
        <v/>
      </c>
      <c r="G662" t="str">
        <f t="shared" si="51"/>
        <v/>
      </c>
      <c r="H662" t="str">
        <f t="shared" si="52"/>
        <v/>
      </c>
      <c r="I662" t="str">
        <f t="shared" si="53"/>
        <v/>
      </c>
      <c r="J662" t="str">
        <f t="shared" si="54"/>
        <v/>
      </c>
      <c r="K662" t="str">
        <f>IF($A662="","",IF(COUNTIF($B$2:$B662,$B662)=COUNTIF($B$2:$B$1601,$B662),$B662,""))</f>
        <v/>
      </c>
    </row>
    <row r="663" spans="1:11">
      <c r="A663" t="str">
        <f>IF('TMP Paste'!$E663="","",'TMP Paste'!$E663)</f>
        <v/>
      </c>
      <c r="B663" t="str">
        <f>IF($A663="","",COUNTIF('TMP Paste'!$B$2:$B663,"?*"))</f>
        <v/>
      </c>
      <c r="C663" t="str">
        <f>IF($A663="","",IFERROR('TMP Paste'!$M663*1,0))</f>
        <v/>
      </c>
      <c r="D663" t="str">
        <f>IF($A663="","",SUMIF($B$2:$B663,$B663,$C$2:$C663))</f>
        <v/>
      </c>
      <c r="E663">
        <f>IF($A663="",0,IF('TMP Paste'!$B663="",0,1))</f>
        <v>0</v>
      </c>
      <c r="F663" t="str">
        <f t="shared" si="50"/>
        <v/>
      </c>
      <c r="G663" t="str">
        <f t="shared" si="51"/>
        <v/>
      </c>
      <c r="H663" t="str">
        <f t="shared" si="52"/>
        <v/>
      </c>
      <c r="I663" t="str">
        <f t="shared" si="53"/>
        <v/>
      </c>
      <c r="J663" t="str">
        <f t="shared" si="54"/>
        <v/>
      </c>
      <c r="K663" t="str">
        <f>IF($A663="","",IF(COUNTIF($B$2:$B663,$B663)=COUNTIF($B$2:$B$1601,$B663),$B663,""))</f>
        <v/>
      </c>
    </row>
    <row r="664" spans="1:11">
      <c r="A664" t="str">
        <f>IF('TMP Paste'!$E664="","",'TMP Paste'!$E664)</f>
        <v/>
      </c>
      <c r="B664" t="str">
        <f>IF($A664="","",COUNTIF('TMP Paste'!$B$2:$B664,"?*"))</f>
        <v/>
      </c>
      <c r="C664" t="str">
        <f>IF($A664="","",IFERROR('TMP Paste'!$M664*1,0))</f>
        <v/>
      </c>
      <c r="D664" t="str">
        <f>IF($A664="","",SUMIF($B$2:$B664,$B664,$C$2:$C664))</f>
        <v/>
      </c>
      <c r="E664">
        <f>IF($A664="",0,IF('TMP Paste'!$B664="",0,1))</f>
        <v>0</v>
      </c>
      <c r="F664" t="str">
        <f t="shared" si="50"/>
        <v/>
      </c>
      <c r="G664" t="str">
        <f t="shared" si="51"/>
        <v/>
      </c>
      <c r="H664" t="str">
        <f t="shared" si="52"/>
        <v/>
      </c>
      <c r="I664" t="str">
        <f t="shared" si="53"/>
        <v/>
      </c>
      <c r="J664" t="str">
        <f t="shared" si="54"/>
        <v/>
      </c>
      <c r="K664" t="str">
        <f>IF($A664="","",IF(COUNTIF($B$2:$B664,$B664)=COUNTIF($B$2:$B$1601,$B664),$B664,""))</f>
        <v/>
      </c>
    </row>
    <row r="665" spans="1:11">
      <c r="A665" t="str">
        <f>IF('TMP Paste'!$E665="","",'TMP Paste'!$E665)</f>
        <v/>
      </c>
      <c r="B665" t="str">
        <f>IF($A665="","",COUNTIF('TMP Paste'!$B$2:$B665,"?*"))</f>
        <v/>
      </c>
      <c r="C665" t="str">
        <f>IF($A665="","",IFERROR('TMP Paste'!$M665*1,0))</f>
        <v/>
      </c>
      <c r="D665" t="str">
        <f>IF($A665="","",SUMIF($B$2:$B665,$B665,$C$2:$C665))</f>
        <v/>
      </c>
      <c r="E665">
        <f>IF($A665="",0,IF('TMP Paste'!$B665="",0,1))</f>
        <v>0</v>
      </c>
      <c r="F665" t="str">
        <f t="shared" si="50"/>
        <v/>
      </c>
      <c r="G665" t="str">
        <f t="shared" si="51"/>
        <v/>
      </c>
      <c r="H665" t="str">
        <f t="shared" si="52"/>
        <v/>
      </c>
      <c r="I665" t="str">
        <f t="shared" si="53"/>
        <v/>
      </c>
      <c r="J665" t="str">
        <f t="shared" si="54"/>
        <v/>
      </c>
      <c r="K665" t="str">
        <f>IF($A665="","",IF(COUNTIF($B$2:$B665,$B665)=COUNTIF($B$2:$B$1601,$B665),$B665,""))</f>
        <v/>
      </c>
    </row>
    <row r="666" spans="1:11">
      <c r="A666" t="str">
        <f>IF('TMP Paste'!$E666="","",'TMP Paste'!$E666)</f>
        <v/>
      </c>
      <c r="B666" t="str">
        <f>IF($A666="","",COUNTIF('TMP Paste'!$B$2:$B666,"?*"))</f>
        <v/>
      </c>
      <c r="C666" t="str">
        <f>IF($A666="","",IFERROR('TMP Paste'!$M666*1,0))</f>
        <v/>
      </c>
      <c r="D666" t="str">
        <f>IF($A666="","",SUMIF($B$2:$B666,$B666,$C$2:$C666))</f>
        <v/>
      </c>
      <c r="E666">
        <f>IF($A666="",0,IF('TMP Paste'!$B666="",0,1))</f>
        <v>0</v>
      </c>
      <c r="F666" t="str">
        <f t="shared" si="50"/>
        <v/>
      </c>
      <c r="G666" t="str">
        <f t="shared" si="51"/>
        <v/>
      </c>
      <c r="H666" t="str">
        <f t="shared" si="52"/>
        <v/>
      </c>
      <c r="I666" t="str">
        <f t="shared" si="53"/>
        <v/>
      </c>
      <c r="J666" t="str">
        <f t="shared" si="54"/>
        <v/>
      </c>
      <c r="K666" t="str">
        <f>IF($A666="","",IF(COUNTIF($B$2:$B666,$B666)=COUNTIF($B$2:$B$1601,$B666),$B666,""))</f>
        <v/>
      </c>
    </row>
    <row r="667" spans="1:11">
      <c r="A667" t="str">
        <f>IF('TMP Paste'!$E667="","",'TMP Paste'!$E667)</f>
        <v/>
      </c>
      <c r="B667" t="str">
        <f>IF($A667="","",COUNTIF('TMP Paste'!$B$2:$B667,"?*"))</f>
        <v/>
      </c>
      <c r="C667" t="str">
        <f>IF($A667="","",IFERROR('TMP Paste'!$M667*1,0))</f>
        <v/>
      </c>
      <c r="D667" t="str">
        <f>IF($A667="","",SUMIF($B$2:$B667,$B667,$C$2:$C667))</f>
        <v/>
      </c>
      <c r="E667">
        <f>IF($A667="",0,IF('TMP Paste'!$B667="",0,1))</f>
        <v>0</v>
      </c>
      <c r="F667" t="str">
        <f t="shared" si="50"/>
        <v/>
      </c>
      <c r="G667" t="str">
        <f t="shared" si="51"/>
        <v/>
      </c>
      <c r="H667" t="str">
        <f t="shared" si="52"/>
        <v/>
      </c>
      <c r="I667" t="str">
        <f t="shared" si="53"/>
        <v/>
      </c>
      <c r="J667" t="str">
        <f t="shared" si="54"/>
        <v/>
      </c>
      <c r="K667" t="str">
        <f>IF($A667="","",IF(COUNTIF($B$2:$B667,$B667)=COUNTIF($B$2:$B$1601,$B667),$B667,""))</f>
        <v/>
      </c>
    </row>
    <row r="668" spans="1:11">
      <c r="A668" t="str">
        <f>IF('TMP Paste'!$E668="","",'TMP Paste'!$E668)</f>
        <v/>
      </c>
      <c r="B668" t="str">
        <f>IF($A668="","",COUNTIF('TMP Paste'!$B$2:$B668,"?*"))</f>
        <v/>
      </c>
      <c r="C668" t="str">
        <f>IF($A668="","",IFERROR('TMP Paste'!$M668*1,0))</f>
        <v/>
      </c>
      <c r="D668" t="str">
        <f>IF($A668="","",SUMIF($B$2:$B668,$B668,$C$2:$C668))</f>
        <v/>
      </c>
      <c r="E668">
        <f>IF($A668="",0,IF('TMP Paste'!$B668="",0,1))</f>
        <v>0</v>
      </c>
      <c r="F668" t="str">
        <f t="shared" si="50"/>
        <v/>
      </c>
      <c r="G668" t="str">
        <f t="shared" si="51"/>
        <v/>
      </c>
      <c r="H668" t="str">
        <f t="shared" si="52"/>
        <v/>
      </c>
      <c r="I668" t="str">
        <f t="shared" si="53"/>
        <v/>
      </c>
      <c r="J668" t="str">
        <f t="shared" si="54"/>
        <v/>
      </c>
      <c r="K668" t="str">
        <f>IF($A668="","",IF(COUNTIF($B$2:$B668,$B668)=COUNTIF($B$2:$B$1601,$B668),$B668,""))</f>
        <v/>
      </c>
    </row>
    <row r="669" spans="1:11">
      <c r="A669" t="str">
        <f>IF('TMP Paste'!$E669="","",'TMP Paste'!$E669)</f>
        <v/>
      </c>
      <c r="B669" t="str">
        <f>IF($A669="","",COUNTIF('TMP Paste'!$B$2:$B669,"?*"))</f>
        <v/>
      </c>
      <c r="C669" t="str">
        <f>IF($A669="","",IFERROR('TMP Paste'!$M669*1,0))</f>
        <v/>
      </c>
      <c r="D669" t="str">
        <f>IF($A669="","",SUMIF($B$2:$B669,$B669,$C$2:$C669))</f>
        <v/>
      </c>
      <c r="E669">
        <f>IF($A669="",0,IF('TMP Paste'!$B669="",0,1))</f>
        <v>0</v>
      </c>
      <c r="F669" t="str">
        <f t="shared" si="50"/>
        <v/>
      </c>
      <c r="G669" t="str">
        <f t="shared" si="51"/>
        <v/>
      </c>
      <c r="H669" t="str">
        <f t="shared" si="52"/>
        <v/>
      </c>
      <c r="I669" t="str">
        <f t="shared" si="53"/>
        <v/>
      </c>
      <c r="J669" t="str">
        <f t="shared" si="54"/>
        <v/>
      </c>
      <c r="K669" t="str">
        <f>IF($A669="","",IF(COUNTIF($B$2:$B669,$B669)=COUNTIF($B$2:$B$1601,$B669),$B669,""))</f>
        <v/>
      </c>
    </row>
    <row r="670" spans="1:11">
      <c r="A670" t="str">
        <f>IF('TMP Paste'!$E670="","",'TMP Paste'!$E670)</f>
        <v/>
      </c>
      <c r="B670" t="str">
        <f>IF($A670="","",COUNTIF('TMP Paste'!$B$2:$B670,"?*"))</f>
        <v/>
      </c>
      <c r="C670" t="str">
        <f>IF($A670="","",IFERROR('TMP Paste'!$M670*1,0))</f>
        <v/>
      </c>
      <c r="D670" t="str">
        <f>IF($A670="","",SUMIF($B$2:$B670,$B670,$C$2:$C670))</f>
        <v/>
      </c>
      <c r="E670">
        <f>IF($A670="",0,IF('TMP Paste'!$B670="",0,1))</f>
        <v>0</v>
      </c>
      <c r="F670" t="str">
        <f t="shared" si="50"/>
        <v/>
      </c>
      <c r="G670" t="str">
        <f t="shared" si="51"/>
        <v/>
      </c>
      <c r="H670" t="str">
        <f t="shared" si="52"/>
        <v/>
      </c>
      <c r="I670" t="str">
        <f t="shared" si="53"/>
        <v/>
      </c>
      <c r="J670" t="str">
        <f t="shared" si="54"/>
        <v/>
      </c>
      <c r="K670" t="str">
        <f>IF($A670="","",IF(COUNTIF($B$2:$B670,$B670)=COUNTIF($B$2:$B$1601,$B670),$B670,""))</f>
        <v/>
      </c>
    </row>
    <row r="671" spans="1:11">
      <c r="A671" t="str">
        <f>IF('TMP Paste'!$E671="","",'TMP Paste'!$E671)</f>
        <v/>
      </c>
      <c r="B671" t="str">
        <f>IF($A671="","",COUNTIF('TMP Paste'!$B$2:$B671,"?*"))</f>
        <v/>
      </c>
      <c r="C671" t="str">
        <f>IF($A671="","",IFERROR('TMP Paste'!$M671*1,0))</f>
        <v/>
      </c>
      <c r="D671" t="str">
        <f>IF($A671="","",SUMIF($B$2:$B671,$B671,$C$2:$C671))</f>
        <v/>
      </c>
      <c r="E671">
        <f>IF($A671="",0,IF('TMP Paste'!$B671="",0,1))</f>
        <v>0</v>
      </c>
      <c r="F671" t="str">
        <f t="shared" si="50"/>
        <v/>
      </c>
      <c r="G671" t="str">
        <f t="shared" si="51"/>
        <v/>
      </c>
      <c r="H671" t="str">
        <f t="shared" si="52"/>
        <v/>
      </c>
      <c r="I671" t="str">
        <f t="shared" si="53"/>
        <v/>
      </c>
      <c r="J671" t="str">
        <f t="shared" si="54"/>
        <v/>
      </c>
      <c r="K671" t="str">
        <f>IF($A671="","",IF(COUNTIF($B$2:$B671,$B671)=COUNTIF($B$2:$B$1601,$B671),$B671,""))</f>
        <v/>
      </c>
    </row>
    <row r="672" spans="1:11">
      <c r="A672" t="str">
        <f>IF('TMP Paste'!$E672="","",'TMP Paste'!$E672)</f>
        <v/>
      </c>
      <c r="B672" t="str">
        <f>IF($A672="","",COUNTIF('TMP Paste'!$B$2:$B672,"?*"))</f>
        <v/>
      </c>
      <c r="C672" t="str">
        <f>IF($A672="","",IFERROR('TMP Paste'!$M672*1,0))</f>
        <v/>
      </c>
      <c r="D672" t="str">
        <f>IF($A672="","",SUMIF($B$2:$B672,$B672,$C$2:$C672))</f>
        <v/>
      </c>
      <c r="E672">
        <f>IF($A672="",0,IF('TMP Paste'!$B672="",0,1))</f>
        <v>0</v>
      </c>
      <c r="F672" t="str">
        <f t="shared" si="50"/>
        <v/>
      </c>
      <c r="G672" t="str">
        <f t="shared" si="51"/>
        <v/>
      </c>
      <c r="H672" t="str">
        <f t="shared" si="52"/>
        <v/>
      </c>
      <c r="I672" t="str">
        <f t="shared" si="53"/>
        <v/>
      </c>
      <c r="J672" t="str">
        <f t="shared" si="54"/>
        <v/>
      </c>
      <c r="K672" t="str">
        <f>IF($A672="","",IF(COUNTIF($B$2:$B672,$B672)=COUNTIF($B$2:$B$1601,$B672),$B672,""))</f>
        <v/>
      </c>
    </row>
    <row r="673" spans="1:11">
      <c r="A673" t="str">
        <f>IF('TMP Paste'!$E673="","",'TMP Paste'!$E673)</f>
        <v/>
      </c>
      <c r="B673" t="str">
        <f>IF($A673="","",COUNTIF('TMP Paste'!$B$2:$B673,"?*"))</f>
        <v/>
      </c>
      <c r="C673" t="str">
        <f>IF($A673="","",IFERROR('TMP Paste'!$M673*1,0))</f>
        <v/>
      </c>
      <c r="D673" t="str">
        <f>IF($A673="","",SUMIF($B$2:$B673,$B673,$C$2:$C673))</f>
        <v/>
      </c>
      <c r="E673">
        <f>IF($A673="",0,IF('TMP Paste'!$B673="",0,1))</f>
        <v>0</v>
      </c>
      <c r="F673" t="str">
        <f t="shared" si="50"/>
        <v/>
      </c>
      <c r="G673" t="str">
        <f t="shared" si="51"/>
        <v/>
      </c>
      <c r="H673" t="str">
        <f t="shared" si="52"/>
        <v/>
      </c>
      <c r="I673" t="str">
        <f t="shared" si="53"/>
        <v/>
      </c>
      <c r="J673" t="str">
        <f t="shared" si="54"/>
        <v/>
      </c>
      <c r="K673" t="str">
        <f>IF($A673="","",IF(COUNTIF($B$2:$B673,$B673)=COUNTIF($B$2:$B$1601,$B673),$B673,""))</f>
        <v/>
      </c>
    </row>
    <row r="674" spans="1:11">
      <c r="A674" t="str">
        <f>IF('TMP Paste'!$E674="","",'TMP Paste'!$E674)</f>
        <v/>
      </c>
      <c r="B674" t="str">
        <f>IF($A674="","",COUNTIF('TMP Paste'!$B$2:$B674,"?*"))</f>
        <v/>
      </c>
      <c r="C674" t="str">
        <f>IF($A674="","",IFERROR('TMP Paste'!$M674*1,0))</f>
        <v/>
      </c>
      <c r="D674" t="str">
        <f>IF($A674="","",SUMIF($B$2:$B674,$B674,$C$2:$C674))</f>
        <v/>
      </c>
      <c r="E674">
        <f>IF($A674="",0,IF('TMP Paste'!$B674="",0,1))</f>
        <v>0</v>
      </c>
      <c r="F674" t="str">
        <f t="shared" si="50"/>
        <v/>
      </c>
      <c r="G674" t="str">
        <f t="shared" si="51"/>
        <v/>
      </c>
      <c r="H674" t="str">
        <f t="shared" si="52"/>
        <v/>
      </c>
      <c r="I674" t="str">
        <f t="shared" si="53"/>
        <v/>
      </c>
      <c r="J674" t="str">
        <f t="shared" si="54"/>
        <v/>
      </c>
      <c r="K674" t="str">
        <f>IF($A674="","",IF(COUNTIF($B$2:$B674,$B674)=COUNTIF($B$2:$B$1601,$B674),$B674,""))</f>
        <v/>
      </c>
    </row>
    <row r="675" spans="1:11">
      <c r="A675" t="str">
        <f>IF('TMP Paste'!$E675="","",'TMP Paste'!$E675)</f>
        <v/>
      </c>
      <c r="B675" t="str">
        <f>IF($A675="","",COUNTIF('TMP Paste'!$B$2:$B675,"?*"))</f>
        <v/>
      </c>
      <c r="C675" t="str">
        <f>IF($A675="","",IFERROR('TMP Paste'!$M675*1,0))</f>
        <v/>
      </c>
      <c r="D675" t="str">
        <f>IF($A675="","",SUMIF($B$2:$B675,$B675,$C$2:$C675))</f>
        <v/>
      </c>
      <c r="E675">
        <f>IF($A675="",0,IF('TMP Paste'!$B675="",0,1))</f>
        <v>0</v>
      </c>
      <c r="F675" t="str">
        <f t="shared" si="50"/>
        <v/>
      </c>
      <c r="G675" t="str">
        <f t="shared" si="51"/>
        <v/>
      </c>
      <c r="H675" t="str">
        <f t="shared" si="52"/>
        <v/>
      </c>
      <c r="I675" t="str">
        <f t="shared" si="53"/>
        <v/>
      </c>
      <c r="J675" t="str">
        <f t="shared" si="54"/>
        <v/>
      </c>
      <c r="K675" t="str">
        <f>IF($A675="","",IF(COUNTIF($B$2:$B675,$B675)=COUNTIF($B$2:$B$1601,$B675),$B675,""))</f>
        <v/>
      </c>
    </row>
    <row r="676" spans="1:11">
      <c r="A676" t="str">
        <f>IF('TMP Paste'!$E676="","",'TMP Paste'!$E676)</f>
        <v/>
      </c>
      <c r="B676" t="str">
        <f>IF($A676="","",COUNTIF('TMP Paste'!$B$2:$B676,"?*"))</f>
        <v/>
      </c>
      <c r="C676" t="str">
        <f>IF($A676="","",IFERROR('TMP Paste'!$M676*1,0))</f>
        <v/>
      </c>
      <c r="D676" t="str">
        <f>IF($A676="","",SUMIF($B$2:$B676,$B676,$C$2:$C676))</f>
        <v/>
      </c>
      <c r="E676">
        <f>IF($A676="",0,IF('TMP Paste'!$B676="",0,1))</f>
        <v>0</v>
      </c>
      <c r="F676" t="str">
        <f t="shared" si="50"/>
        <v/>
      </c>
      <c r="G676" t="str">
        <f t="shared" si="51"/>
        <v/>
      </c>
      <c r="H676" t="str">
        <f t="shared" si="52"/>
        <v/>
      </c>
      <c r="I676" t="str">
        <f t="shared" si="53"/>
        <v/>
      </c>
      <c r="J676" t="str">
        <f t="shared" si="54"/>
        <v/>
      </c>
      <c r="K676" t="str">
        <f>IF($A676="","",IF(COUNTIF($B$2:$B676,$B676)=COUNTIF($B$2:$B$1601,$B676),$B676,""))</f>
        <v/>
      </c>
    </row>
    <row r="677" spans="1:11">
      <c r="A677" t="str">
        <f>IF('TMP Paste'!$E677="","",'TMP Paste'!$E677)</f>
        <v/>
      </c>
      <c r="B677" t="str">
        <f>IF($A677="","",COUNTIF('TMP Paste'!$B$2:$B677,"?*"))</f>
        <v/>
      </c>
      <c r="C677" t="str">
        <f>IF($A677="","",IFERROR('TMP Paste'!$M677*1,0))</f>
        <v/>
      </c>
      <c r="D677" t="str">
        <f>IF($A677="","",SUMIF($B$2:$B677,$B677,$C$2:$C677))</f>
        <v/>
      </c>
      <c r="E677">
        <f>IF($A677="",0,IF('TMP Paste'!$B677="",0,1))</f>
        <v>0</v>
      </c>
      <c r="F677" t="str">
        <f t="shared" si="50"/>
        <v/>
      </c>
      <c r="G677" t="str">
        <f t="shared" si="51"/>
        <v/>
      </c>
      <c r="H677" t="str">
        <f t="shared" si="52"/>
        <v/>
      </c>
      <c r="I677" t="str">
        <f t="shared" si="53"/>
        <v/>
      </c>
      <c r="J677" t="str">
        <f t="shared" si="54"/>
        <v/>
      </c>
      <c r="K677" t="str">
        <f>IF($A677="","",IF(COUNTIF($B$2:$B677,$B677)=COUNTIF($B$2:$B$1601,$B677),$B677,""))</f>
        <v/>
      </c>
    </row>
    <row r="678" spans="1:11">
      <c r="A678" t="str">
        <f>IF('TMP Paste'!$E678="","",'TMP Paste'!$E678)</f>
        <v/>
      </c>
      <c r="B678" t="str">
        <f>IF($A678="","",COUNTIF('TMP Paste'!$B$2:$B678,"?*"))</f>
        <v/>
      </c>
      <c r="C678" t="str">
        <f>IF($A678="","",IFERROR('TMP Paste'!$M678*1,0))</f>
        <v/>
      </c>
      <c r="D678" t="str">
        <f>IF($A678="","",SUMIF($B$2:$B678,$B678,$C$2:$C678))</f>
        <v/>
      </c>
      <c r="E678">
        <f>IF($A678="",0,IF('TMP Paste'!$B678="",0,1))</f>
        <v>0</v>
      </c>
      <c r="F678" t="str">
        <f t="shared" si="50"/>
        <v/>
      </c>
      <c r="G678" t="str">
        <f t="shared" si="51"/>
        <v/>
      </c>
      <c r="H678" t="str">
        <f t="shared" si="52"/>
        <v/>
      </c>
      <c r="I678" t="str">
        <f t="shared" si="53"/>
        <v/>
      </c>
      <c r="J678" t="str">
        <f t="shared" si="54"/>
        <v/>
      </c>
      <c r="K678" t="str">
        <f>IF($A678="","",IF(COUNTIF($B$2:$B678,$B678)=COUNTIF($B$2:$B$1601,$B678),$B678,""))</f>
        <v/>
      </c>
    </row>
    <row r="679" spans="1:11">
      <c r="A679" t="str">
        <f>IF('TMP Paste'!$E679="","",'TMP Paste'!$E679)</f>
        <v/>
      </c>
      <c r="B679" t="str">
        <f>IF($A679="","",COUNTIF('TMP Paste'!$B$2:$B679,"?*"))</f>
        <v/>
      </c>
      <c r="C679" t="str">
        <f>IF($A679="","",IFERROR('TMP Paste'!$M679*1,0))</f>
        <v/>
      </c>
      <c r="D679" t="str">
        <f>IF($A679="","",SUMIF($B$2:$B679,$B679,$C$2:$C679))</f>
        <v/>
      </c>
      <c r="E679">
        <f>IF($A679="",0,IF('TMP Paste'!$B679="",0,1))</f>
        <v>0</v>
      </c>
      <c r="F679" t="str">
        <f t="shared" si="50"/>
        <v/>
      </c>
      <c r="G679" t="str">
        <f t="shared" si="51"/>
        <v/>
      </c>
      <c r="H679" t="str">
        <f t="shared" si="52"/>
        <v/>
      </c>
      <c r="I679" t="str">
        <f t="shared" si="53"/>
        <v/>
      </c>
      <c r="J679" t="str">
        <f t="shared" si="54"/>
        <v/>
      </c>
      <c r="K679" t="str">
        <f>IF($A679="","",IF(COUNTIF($B$2:$B679,$B679)=COUNTIF($B$2:$B$1601,$B679),$B679,""))</f>
        <v/>
      </c>
    </row>
    <row r="680" spans="1:11">
      <c r="A680" t="str">
        <f>IF('TMP Paste'!$E680="","",'TMP Paste'!$E680)</f>
        <v/>
      </c>
      <c r="B680" t="str">
        <f>IF($A680="","",COUNTIF('TMP Paste'!$B$2:$B680,"?*"))</f>
        <v/>
      </c>
      <c r="C680" t="str">
        <f>IF($A680="","",IFERROR('TMP Paste'!$M680*1,0))</f>
        <v/>
      </c>
      <c r="D680" t="str">
        <f>IF($A680="","",SUMIF($B$2:$B680,$B680,$C$2:$C680))</f>
        <v/>
      </c>
      <c r="E680">
        <f>IF($A680="",0,IF('TMP Paste'!$B680="",0,1))</f>
        <v>0</v>
      </c>
      <c r="F680" t="str">
        <f t="shared" si="50"/>
        <v/>
      </c>
      <c r="G680" t="str">
        <f t="shared" si="51"/>
        <v/>
      </c>
      <c r="H680" t="str">
        <f t="shared" si="52"/>
        <v/>
      </c>
      <c r="I680" t="str">
        <f t="shared" si="53"/>
        <v/>
      </c>
      <c r="J680" t="str">
        <f t="shared" si="54"/>
        <v/>
      </c>
      <c r="K680" t="str">
        <f>IF($A680="","",IF(COUNTIF($B$2:$B680,$B680)=COUNTIF($B$2:$B$1601,$B680),$B680,""))</f>
        <v/>
      </c>
    </row>
    <row r="681" spans="1:11">
      <c r="A681" t="str">
        <f>IF('TMP Paste'!$E681="","",'TMP Paste'!$E681)</f>
        <v/>
      </c>
      <c r="B681" t="str">
        <f>IF($A681="","",COUNTIF('TMP Paste'!$B$2:$B681,"?*"))</f>
        <v/>
      </c>
      <c r="C681" t="str">
        <f>IF($A681="","",IFERROR('TMP Paste'!$M681*1,0))</f>
        <v/>
      </c>
      <c r="D681" t="str">
        <f>IF($A681="","",SUMIF($B$2:$B681,$B681,$C$2:$C681))</f>
        <v/>
      </c>
      <c r="E681">
        <f>IF($A681="",0,IF('TMP Paste'!$B681="",0,1))</f>
        <v>0</v>
      </c>
      <c r="F681" t="str">
        <f t="shared" si="50"/>
        <v/>
      </c>
      <c r="G681" t="str">
        <f t="shared" si="51"/>
        <v/>
      </c>
      <c r="H681" t="str">
        <f t="shared" si="52"/>
        <v/>
      </c>
      <c r="I681" t="str">
        <f t="shared" si="53"/>
        <v/>
      </c>
      <c r="J681" t="str">
        <f t="shared" si="54"/>
        <v/>
      </c>
      <c r="K681" t="str">
        <f>IF($A681="","",IF(COUNTIF($B$2:$B681,$B681)=COUNTIF($B$2:$B$1601,$B681),$B681,""))</f>
        <v/>
      </c>
    </row>
    <row r="682" spans="1:11">
      <c r="A682" t="str">
        <f>IF('TMP Paste'!$E682="","",'TMP Paste'!$E682)</f>
        <v/>
      </c>
      <c r="B682" t="str">
        <f>IF($A682="","",COUNTIF('TMP Paste'!$B$2:$B682,"?*"))</f>
        <v/>
      </c>
      <c r="C682" t="str">
        <f>IF($A682="","",IFERROR('TMP Paste'!$M682*1,0))</f>
        <v/>
      </c>
      <c r="D682" t="str">
        <f>IF($A682="","",SUMIF($B$2:$B682,$B682,$C$2:$C682))</f>
        <v/>
      </c>
      <c r="E682">
        <f>IF($A682="",0,IF('TMP Paste'!$B682="",0,1))</f>
        <v>0</v>
      </c>
      <c r="F682" t="str">
        <f t="shared" si="50"/>
        <v/>
      </c>
      <c r="G682" t="str">
        <f t="shared" si="51"/>
        <v/>
      </c>
      <c r="H682" t="str">
        <f t="shared" si="52"/>
        <v/>
      </c>
      <c r="I682" t="str">
        <f t="shared" si="53"/>
        <v/>
      </c>
      <c r="J682" t="str">
        <f t="shared" si="54"/>
        <v/>
      </c>
      <c r="K682" t="str">
        <f>IF($A682="","",IF(COUNTIF($B$2:$B682,$B682)=COUNTIF($B$2:$B$1601,$B682),$B682,""))</f>
        <v/>
      </c>
    </row>
    <row r="683" spans="1:11">
      <c r="A683" t="str">
        <f>IF('TMP Paste'!$E683="","",'TMP Paste'!$E683)</f>
        <v/>
      </c>
      <c r="B683" t="str">
        <f>IF($A683="","",COUNTIF('TMP Paste'!$B$2:$B683,"?*"))</f>
        <v/>
      </c>
      <c r="C683" t="str">
        <f>IF($A683="","",IFERROR('TMP Paste'!$M683*1,0))</f>
        <v/>
      </c>
      <c r="D683" t="str">
        <f>IF($A683="","",SUMIF($B$2:$B683,$B683,$C$2:$C683))</f>
        <v/>
      </c>
      <c r="E683">
        <f>IF($A683="",0,IF('TMP Paste'!$B683="",0,1))</f>
        <v>0</v>
      </c>
      <c r="F683" t="str">
        <f t="shared" si="50"/>
        <v/>
      </c>
      <c r="G683" t="str">
        <f t="shared" si="51"/>
        <v/>
      </c>
      <c r="H683" t="str">
        <f t="shared" si="52"/>
        <v/>
      </c>
      <c r="I683" t="str">
        <f t="shared" si="53"/>
        <v/>
      </c>
      <c r="J683" t="str">
        <f t="shared" si="54"/>
        <v/>
      </c>
      <c r="K683" t="str">
        <f>IF($A683="","",IF(COUNTIF($B$2:$B683,$B683)=COUNTIF($B$2:$B$1601,$B683),$B683,""))</f>
        <v/>
      </c>
    </row>
    <row r="684" spans="1:11">
      <c r="A684" t="str">
        <f>IF('TMP Paste'!$E684="","",'TMP Paste'!$E684)</f>
        <v/>
      </c>
      <c r="B684" t="str">
        <f>IF($A684="","",COUNTIF('TMP Paste'!$B$2:$B684,"?*"))</f>
        <v/>
      </c>
      <c r="C684" t="str">
        <f>IF($A684="","",IFERROR('TMP Paste'!$M684*1,0))</f>
        <v/>
      </c>
      <c r="D684" t="str">
        <f>IF($A684="","",SUMIF($B$2:$B684,$B684,$C$2:$C684))</f>
        <v/>
      </c>
      <c r="E684">
        <f>IF($A684="",0,IF('TMP Paste'!$B684="",0,1))</f>
        <v>0</v>
      </c>
      <c r="F684" t="str">
        <f t="shared" si="50"/>
        <v/>
      </c>
      <c r="G684" t="str">
        <f t="shared" si="51"/>
        <v/>
      </c>
      <c r="H684" t="str">
        <f t="shared" si="52"/>
        <v/>
      </c>
      <c r="I684" t="str">
        <f t="shared" si="53"/>
        <v/>
      </c>
      <c r="J684" t="str">
        <f t="shared" si="54"/>
        <v/>
      </c>
      <c r="K684" t="str">
        <f>IF($A684="","",IF(COUNTIF($B$2:$B684,$B684)=COUNTIF($B$2:$B$1601,$B684),$B684,""))</f>
        <v/>
      </c>
    </row>
    <row r="685" spans="1:11">
      <c r="A685" t="str">
        <f>IF('TMP Paste'!$E685="","",'TMP Paste'!$E685)</f>
        <v/>
      </c>
      <c r="B685" t="str">
        <f>IF($A685="","",COUNTIF('TMP Paste'!$B$2:$B685,"?*"))</f>
        <v/>
      </c>
      <c r="C685" t="str">
        <f>IF($A685="","",IFERROR('TMP Paste'!$M685*1,0))</f>
        <v/>
      </c>
      <c r="D685" t="str">
        <f>IF($A685="","",SUMIF($B$2:$B685,$B685,$C$2:$C685))</f>
        <v/>
      </c>
      <c r="E685">
        <f>IF($A685="",0,IF('TMP Paste'!$B685="",0,1))</f>
        <v>0</v>
      </c>
      <c r="F685" t="str">
        <f t="shared" si="50"/>
        <v/>
      </c>
      <c r="G685" t="str">
        <f t="shared" si="51"/>
        <v/>
      </c>
      <c r="H685" t="str">
        <f t="shared" si="52"/>
        <v/>
      </c>
      <c r="I685" t="str">
        <f t="shared" si="53"/>
        <v/>
      </c>
      <c r="J685" t="str">
        <f t="shared" si="54"/>
        <v/>
      </c>
      <c r="K685" t="str">
        <f>IF($A685="","",IF(COUNTIF($B$2:$B685,$B685)=COUNTIF($B$2:$B$1601,$B685),$B685,""))</f>
        <v/>
      </c>
    </row>
    <row r="686" spans="1:11">
      <c r="A686" t="str">
        <f>IF('TMP Paste'!$E686="","",'TMP Paste'!$E686)</f>
        <v/>
      </c>
      <c r="B686" t="str">
        <f>IF($A686="","",COUNTIF('TMP Paste'!$B$2:$B686,"?*"))</f>
        <v/>
      </c>
      <c r="C686" t="str">
        <f>IF($A686="","",IFERROR('TMP Paste'!$M686*1,0))</f>
        <v/>
      </c>
      <c r="D686" t="str">
        <f>IF($A686="","",SUMIF($B$2:$B686,$B686,$C$2:$C686))</f>
        <v/>
      </c>
      <c r="E686">
        <f>IF($A686="",0,IF('TMP Paste'!$B686="",0,1))</f>
        <v>0</v>
      </c>
      <c r="F686" t="str">
        <f t="shared" si="50"/>
        <v/>
      </c>
      <c r="G686" t="str">
        <f t="shared" si="51"/>
        <v/>
      </c>
      <c r="H686" t="str">
        <f t="shared" si="52"/>
        <v/>
      </c>
      <c r="I686" t="str">
        <f t="shared" si="53"/>
        <v/>
      </c>
      <c r="J686" t="str">
        <f t="shared" si="54"/>
        <v/>
      </c>
      <c r="K686" t="str">
        <f>IF($A686="","",IF(COUNTIF($B$2:$B686,$B686)=COUNTIF($B$2:$B$1601,$B686),$B686,""))</f>
        <v/>
      </c>
    </row>
    <row r="687" spans="1:11">
      <c r="A687" t="str">
        <f>IF('TMP Paste'!$E687="","",'TMP Paste'!$E687)</f>
        <v/>
      </c>
      <c r="B687" t="str">
        <f>IF($A687="","",COUNTIF('TMP Paste'!$B$2:$B687,"?*"))</f>
        <v/>
      </c>
      <c r="C687" t="str">
        <f>IF($A687="","",IFERROR('TMP Paste'!$M687*1,0))</f>
        <v/>
      </c>
      <c r="D687" t="str">
        <f>IF($A687="","",SUMIF($B$2:$B687,$B687,$C$2:$C687))</f>
        <v/>
      </c>
      <c r="E687">
        <f>IF($A687="",0,IF('TMP Paste'!$B687="",0,1))</f>
        <v>0</v>
      </c>
      <c r="F687" t="str">
        <f t="shared" si="50"/>
        <v/>
      </c>
      <c r="G687" t="str">
        <f t="shared" si="51"/>
        <v/>
      </c>
      <c r="H687" t="str">
        <f t="shared" si="52"/>
        <v/>
      </c>
      <c r="I687" t="str">
        <f t="shared" si="53"/>
        <v/>
      </c>
      <c r="J687" t="str">
        <f t="shared" si="54"/>
        <v/>
      </c>
      <c r="K687" t="str">
        <f>IF($A687="","",IF(COUNTIF($B$2:$B687,$B687)=COUNTIF($B$2:$B$1601,$B687),$B687,""))</f>
        <v/>
      </c>
    </row>
    <row r="688" spans="1:11">
      <c r="A688" t="str">
        <f>IF('TMP Paste'!$E688="","",'TMP Paste'!$E688)</f>
        <v/>
      </c>
      <c r="B688" t="str">
        <f>IF($A688="","",COUNTIF('TMP Paste'!$B$2:$B688,"?*"))</f>
        <v/>
      </c>
      <c r="C688" t="str">
        <f>IF($A688="","",IFERROR('TMP Paste'!$M688*1,0))</f>
        <v/>
      </c>
      <c r="D688" t="str">
        <f>IF($A688="","",SUMIF($B$2:$B688,$B688,$C$2:$C688))</f>
        <v/>
      </c>
      <c r="E688">
        <f>IF($A688="",0,IF('TMP Paste'!$B688="",0,1))</f>
        <v>0</v>
      </c>
      <c r="F688" t="str">
        <f t="shared" si="50"/>
        <v/>
      </c>
      <c r="G688" t="str">
        <f t="shared" si="51"/>
        <v/>
      </c>
      <c r="H688" t="str">
        <f t="shared" si="52"/>
        <v/>
      </c>
      <c r="I688" t="str">
        <f t="shared" si="53"/>
        <v/>
      </c>
      <c r="J688" t="str">
        <f t="shared" si="54"/>
        <v/>
      </c>
      <c r="K688" t="str">
        <f>IF($A688="","",IF(COUNTIF($B$2:$B688,$B688)=COUNTIF($B$2:$B$1601,$B688),$B688,""))</f>
        <v/>
      </c>
    </row>
    <row r="689" spans="1:11">
      <c r="A689" t="str">
        <f>IF('TMP Paste'!$E689="","",'TMP Paste'!$E689)</f>
        <v/>
      </c>
      <c r="B689" t="str">
        <f>IF($A689="","",COUNTIF('TMP Paste'!$B$2:$B689,"?*"))</f>
        <v/>
      </c>
      <c r="C689" t="str">
        <f>IF($A689="","",IFERROR('TMP Paste'!$M689*1,0))</f>
        <v/>
      </c>
      <c r="D689" t="str">
        <f>IF($A689="","",SUMIF($B$2:$B689,$B689,$C$2:$C689))</f>
        <v/>
      </c>
      <c r="E689">
        <f>IF($A689="",0,IF('TMP Paste'!$B689="",0,1))</f>
        <v>0</v>
      </c>
      <c r="F689" t="str">
        <f t="shared" si="50"/>
        <v/>
      </c>
      <c r="G689" t="str">
        <f t="shared" si="51"/>
        <v/>
      </c>
      <c r="H689" t="str">
        <f t="shared" si="52"/>
        <v/>
      </c>
      <c r="I689" t="str">
        <f t="shared" si="53"/>
        <v/>
      </c>
      <c r="J689" t="str">
        <f t="shared" si="54"/>
        <v/>
      </c>
      <c r="K689" t="str">
        <f>IF($A689="","",IF(COUNTIF($B$2:$B689,$B689)=COUNTIF($B$2:$B$1601,$B689),$B689,""))</f>
        <v/>
      </c>
    </row>
    <row r="690" spans="1:11">
      <c r="A690" t="str">
        <f>IF('TMP Paste'!$E690="","",'TMP Paste'!$E690)</f>
        <v/>
      </c>
      <c r="B690" t="str">
        <f>IF($A690="","",COUNTIF('TMP Paste'!$B$2:$B690,"?*"))</f>
        <v/>
      </c>
      <c r="C690" t="str">
        <f>IF($A690="","",IFERROR('TMP Paste'!$M690*1,0))</f>
        <v/>
      </c>
      <c r="D690" t="str">
        <f>IF($A690="","",SUMIF($B$2:$B690,$B690,$C$2:$C690))</f>
        <v/>
      </c>
      <c r="E690">
        <f>IF($A690="",0,IF('TMP Paste'!$B690="",0,1))</f>
        <v>0</v>
      </c>
      <c r="F690" t="str">
        <f t="shared" si="50"/>
        <v/>
      </c>
      <c r="G690" t="str">
        <f t="shared" si="51"/>
        <v/>
      </c>
      <c r="H690" t="str">
        <f t="shared" si="52"/>
        <v/>
      </c>
      <c r="I690" t="str">
        <f t="shared" si="53"/>
        <v/>
      </c>
      <c r="J690" t="str">
        <f t="shared" si="54"/>
        <v/>
      </c>
      <c r="K690" t="str">
        <f>IF($A690="","",IF(COUNTIF($B$2:$B690,$B690)=COUNTIF($B$2:$B$1601,$B690),$B690,""))</f>
        <v/>
      </c>
    </row>
    <row r="691" spans="1:11">
      <c r="A691" t="str">
        <f>IF('TMP Paste'!$E691="","",'TMP Paste'!$E691)</f>
        <v/>
      </c>
      <c r="B691" t="str">
        <f>IF($A691="","",COUNTIF('TMP Paste'!$B$2:$B691,"?*"))</f>
        <v/>
      </c>
      <c r="C691" t="str">
        <f>IF($A691="","",IFERROR('TMP Paste'!$M691*1,0))</f>
        <v/>
      </c>
      <c r="D691" t="str">
        <f>IF($A691="","",SUMIF($B$2:$B691,$B691,$C$2:$C691))</f>
        <v/>
      </c>
      <c r="E691">
        <f>IF($A691="",0,IF('TMP Paste'!$B691="",0,1))</f>
        <v>0</v>
      </c>
      <c r="F691" t="str">
        <f t="shared" si="50"/>
        <v/>
      </c>
      <c r="G691" t="str">
        <f t="shared" si="51"/>
        <v/>
      </c>
      <c r="H691" t="str">
        <f t="shared" si="52"/>
        <v/>
      </c>
      <c r="I691" t="str">
        <f t="shared" si="53"/>
        <v/>
      </c>
      <c r="J691" t="str">
        <f t="shared" si="54"/>
        <v/>
      </c>
      <c r="K691" t="str">
        <f>IF($A691="","",IF(COUNTIF($B$2:$B691,$B691)=COUNTIF($B$2:$B$1601,$B691),$B691,""))</f>
        <v/>
      </c>
    </row>
    <row r="692" spans="1:11">
      <c r="A692" t="str">
        <f>IF('TMP Paste'!$E692="","",'TMP Paste'!$E692)</f>
        <v/>
      </c>
      <c r="B692" t="str">
        <f>IF($A692="","",COUNTIF('TMP Paste'!$B$2:$B692,"?*"))</f>
        <v/>
      </c>
      <c r="C692" t="str">
        <f>IF($A692="","",IFERROR('TMP Paste'!$M692*1,0))</f>
        <v/>
      </c>
      <c r="D692" t="str">
        <f>IF($A692="","",SUMIF($B$2:$B692,$B692,$C$2:$C692))</f>
        <v/>
      </c>
      <c r="E692">
        <f>IF($A692="",0,IF('TMP Paste'!$B692="",0,1))</f>
        <v>0</v>
      </c>
      <c r="F692" t="str">
        <f t="shared" si="50"/>
        <v/>
      </c>
      <c r="G692" t="str">
        <f t="shared" si="51"/>
        <v/>
      </c>
      <c r="H692" t="str">
        <f t="shared" si="52"/>
        <v/>
      </c>
      <c r="I692" t="str">
        <f t="shared" si="53"/>
        <v/>
      </c>
      <c r="J692" t="str">
        <f t="shared" si="54"/>
        <v/>
      </c>
      <c r="K692" t="str">
        <f>IF($A692="","",IF(COUNTIF($B$2:$B692,$B692)=COUNTIF($B$2:$B$1601,$B692),$B692,""))</f>
        <v/>
      </c>
    </row>
    <row r="693" spans="1:11">
      <c r="A693" t="str">
        <f>IF('TMP Paste'!$E693="","",'TMP Paste'!$E693)</f>
        <v/>
      </c>
      <c r="B693" t="str">
        <f>IF($A693="","",COUNTIF('TMP Paste'!$B$2:$B693,"?*"))</f>
        <v/>
      </c>
      <c r="C693" t="str">
        <f>IF($A693="","",IFERROR('TMP Paste'!$M693*1,0))</f>
        <v/>
      </c>
      <c r="D693" t="str">
        <f>IF($A693="","",SUMIF($B$2:$B693,$B693,$C$2:$C693))</f>
        <v/>
      </c>
      <c r="E693">
        <f>IF($A693="",0,IF('TMP Paste'!$B693="",0,1))</f>
        <v>0</v>
      </c>
      <c r="F693" t="str">
        <f t="shared" si="50"/>
        <v/>
      </c>
      <c r="G693" t="str">
        <f t="shared" si="51"/>
        <v/>
      </c>
      <c r="H693" t="str">
        <f t="shared" si="52"/>
        <v/>
      </c>
      <c r="I693" t="str">
        <f t="shared" si="53"/>
        <v/>
      </c>
      <c r="J693" t="str">
        <f t="shared" si="54"/>
        <v/>
      </c>
      <c r="K693" t="str">
        <f>IF($A693="","",IF(COUNTIF($B$2:$B693,$B693)=COUNTIF($B$2:$B$1601,$B693),$B693,""))</f>
        <v/>
      </c>
    </row>
    <row r="694" spans="1:11">
      <c r="A694" t="str">
        <f>IF('TMP Paste'!$E694="","",'TMP Paste'!$E694)</f>
        <v/>
      </c>
      <c r="B694" t="str">
        <f>IF($A694="","",COUNTIF('TMP Paste'!$B$2:$B694,"?*"))</f>
        <v/>
      </c>
      <c r="C694" t="str">
        <f>IF($A694="","",IFERROR('TMP Paste'!$M694*1,0))</f>
        <v/>
      </c>
      <c r="D694" t="str">
        <f>IF($A694="","",SUMIF($B$2:$B694,$B694,$C$2:$C694))</f>
        <v/>
      </c>
      <c r="E694">
        <f>IF($A694="",0,IF('TMP Paste'!$B694="",0,1))</f>
        <v>0</v>
      </c>
      <c r="F694" t="str">
        <f t="shared" si="50"/>
        <v/>
      </c>
      <c r="G694" t="str">
        <f t="shared" si="51"/>
        <v/>
      </c>
      <c r="H694" t="str">
        <f t="shared" si="52"/>
        <v/>
      </c>
      <c r="I694" t="str">
        <f t="shared" si="53"/>
        <v/>
      </c>
      <c r="J694" t="str">
        <f t="shared" si="54"/>
        <v/>
      </c>
      <c r="K694" t="str">
        <f>IF($A694="","",IF(COUNTIF($B$2:$B694,$B694)=COUNTIF($B$2:$B$1601,$B694),$B694,""))</f>
        <v/>
      </c>
    </row>
    <row r="695" spans="1:11">
      <c r="A695" t="str">
        <f>IF('TMP Paste'!$E695="","",'TMP Paste'!$E695)</f>
        <v/>
      </c>
      <c r="B695" t="str">
        <f>IF($A695="","",COUNTIF('TMP Paste'!$B$2:$B695,"?*"))</f>
        <v/>
      </c>
      <c r="C695" t="str">
        <f>IF($A695="","",IFERROR('TMP Paste'!$M695*1,0))</f>
        <v/>
      </c>
      <c r="D695" t="str">
        <f>IF($A695="","",SUMIF($B$2:$B695,$B695,$C$2:$C695))</f>
        <v/>
      </c>
      <c r="E695">
        <f>IF($A695="",0,IF('TMP Paste'!$B695="",0,1))</f>
        <v>0</v>
      </c>
      <c r="F695" t="str">
        <f t="shared" si="50"/>
        <v/>
      </c>
      <c r="G695" t="str">
        <f t="shared" si="51"/>
        <v/>
      </c>
      <c r="H695" t="str">
        <f t="shared" si="52"/>
        <v/>
      </c>
      <c r="I695" t="str">
        <f t="shared" si="53"/>
        <v/>
      </c>
      <c r="J695" t="str">
        <f t="shared" si="54"/>
        <v/>
      </c>
      <c r="K695" t="str">
        <f>IF($A695="","",IF(COUNTIF($B$2:$B695,$B695)=COUNTIF($B$2:$B$1601,$B695),$B695,""))</f>
        <v/>
      </c>
    </row>
    <row r="696" spans="1:11">
      <c r="A696" t="str">
        <f>IF('TMP Paste'!$E696="","",'TMP Paste'!$E696)</f>
        <v/>
      </c>
      <c r="B696" t="str">
        <f>IF($A696="","",COUNTIF('TMP Paste'!$B$2:$B696,"?*"))</f>
        <v/>
      </c>
      <c r="C696" t="str">
        <f>IF($A696="","",IFERROR('TMP Paste'!$M696*1,0))</f>
        <v/>
      </c>
      <c r="D696" t="str">
        <f>IF($A696="","",SUMIF($B$2:$B696,$B696,$C$2:$C696))</f>
        <v/>
      </c>
      <c r="E696">
        <f>IF($A696="",0,IF('TMP Paste'!$B696="",0,1))</f>
        <v>0</v>
      </c>
      <c r="F696" t="str">
        <f t="shared" si="50"/>
        <v/>
      </c>
      <c r="G696" t="str">
        <f t="shared" si="51"/>
        <v/>
      </c>
      <c r="H696" t="str">
        <f t="shared" si="52"/>
        <v/>
      </c>
      <c r="I696" t="str">
        <f t="shared" si="53"/>
        <v/>
      </c>
      <c r="J696" t="str">
        <f t="shared" si="54"/>
        <v/>
      </c>
      <c r="K696" t="str">
        <f>IF($A696="","",IF(COUNTIF($B$2:$B696,$B696)=COUNTIF($B$2:$B$1601,$B696),$B696,""))</f>
        <v/>
      </c>
    </row>
    <row r="697" spans="1:11">
      <c r="A697" t="str">
        <f>IF('TMP Paste'!$E697="","",'TMP Paste'!$E697)</f>
        <v/>
      </c>
      <c r="B697" t="str">
        <f>IF($A697="","",COUNTIF('TMP Paste'!$B$2:$B697,"?*"))</f>
        <v/>
      </c>
      <c r="C697" t="str">
        <f>IF($A697="","",IFERROR('TMP Paste'!$M697*1,0))</f>
        <v/>
      </c>
      <c r="D697" t="str">
        <f>IF($A697="","",SUMIF($B$2:$B697,$B697,$C$2:$C697))</f>
        <v/>
      </c>
      <c r="E697">
        <f>IF($A697="",0,IF('TMP Paste'!$B697="",0,1))</f>
        <v>0</v>
      </c>
      <c r="F697" t="str">
        <f t="shared" si="50"/>
        <v/>
      </c>
      <c r="G697" t="str">
        <f t="shared" si="51"/>
        <v/>
      </c>
      <c r="H697" t="str">
        <f t="shared" si="52"/>
        <v/>
      </c>
      <c r="I697" t="str">
        <f t="shared" si="53"/>
        <v/>
      </c>
      <c r="J697" t="str">
        <f t="shared" si="54"/>
        <v/>
      </c>
      <c r="K697" t="str">
        <f>IF($A697="","",IF(COUNTIF($B$2:$B697,$B697)=COUNTIF($B$2:$B$1601,$B697),$B697,""))</f>
        <v/>
      </c>
    </row>
    <row r="698" spans="1:11">
      <c r="A698" t="str">
        <f>IF('TMP Paste'!$E698="","",'TMP Paste'!$E698)</f>
        <v/>
      </c>
      <c r="B698" t="str">
        <f>IF($A698="","",COUNTIF('TMP Paste'!$B$2:$B698,"?*"))</f>
        <v/>
      </c>
      <c r="C698" t="str">
        <f>IF($A698="","",IFERROR('TMP Paste'!$M698*1,0))</f>
        <v/>
      </c>
      <c r="D698" t="str">
        <f>IF($A698="","",SUMIF($B$2:$B698,$B698,$C$2:$C698))</f>
        <v/>
      </c>
      <c r="E698">
        <f>IF($A698="",0,IF('TMP Paste'!$B698="",0,1))</f>
        <v>0</v>
      </c>
      <c r="F698" t="str">
        <f t="shared" si="50"/>
        <v/>
      </c>
      <c r="G698" t="str">
        <f t="shared" si="51"/>
        <v/>
      </c>
      <c r="H698" t="str">
        <f t="shared" si="52"/>
        <v/>
      </c>
      <c r="I698" t="str">
        <f t="shared" si="53"/>
        <v/>
      </c>
      <c r="J698" t="str">
        <f t="shared" si="54"/>
        <v/>
      </c>
      <c r="K698" t="str">
        <f>IF($A698="","",IF(COUNTIF($B$2:$B698,$B698)=COUNTIF($B$2:$B$1601,$B698),$B698,""))</f>
        <v/>
      </c>
    </row>
    <row r="699" spans="1:11">
      <c r="A699" t="str">
        <f>IF('TMP Paste'!$E699="","",'TMP Paste'!$E699)</f>
        <v/>
      </c>
      <c r="B699" t="str">
        <f>IF($A699="","",COUNTIF('TMP Paste'!$B$2:$B699,"?*"))</f>
        <v/>
      </c>
      <c r="C699" t="str">
        <f>IF($A699="","",IFERROR('TMP Paste'!$M699*1,0))</f>
        <v/>
      </c>
      <c r="D699" t="str">
        <f>IF($A699="","",SUMIF($B$2:$B699,$B699,$C$2:$C699))</f>
        <v/>
      </c>
      <c r="E699">
        <f>IF($A699="",0,IF('TMP Paste'!$B699="",0,1))</f>
        <v>0</v>
      </c>
      <c r="F699" t="str">
        <f t="shared" si="50"/>
        <v/>
      </c>
      <c r="G699" t="str">
        <f t="shared" si="51"/>
        <v/>
      </c>
      <c r="H699" t="str">
        <f t="shared" si="52"/>
        <v/>
      </c>
      <c r="I699" t="str">
        <f t="shared" si="53"/>
        <v/>
      </c>
      <c r="J699" t="str">
        <f t="shared" si="54"/>
        <v/>
      </c>
      <c r="K699" t="str">
        <f>IF($A699="","",IF(COUNTIF($B$2:$B699,$B699)=COUNTIF($B$2:$B$1601,$B699),$B699,""))</f>
        <v/>
      </c>
    </row>
    <row r="700" spans="1:11">
      <c r="A700" t="str">
        <f>IF('TMP Paste'!$E700="","",'TMP Paste'!$E700)</f>
        <v/>
      </c>
      <c r="B700" t="str">
        <f>IF($A700="","",COUNTIF('TMP Paste'!$B$2:$B700,"?*"))</f>
        <v/>
      </c>
      <c r="C700" t="str">
        <f>IF($A700="","",IFERROR('TMP Paste'!$M700*1,0))</f>
        <v/>
      </c>
      <c r="D700" t="str">
        <f>IF($A700="","",SUMIF($B$2:$B700,$B700,$C$2:$C700))</f>
        <v/>
      </c>
      <c r="E700">
        <f>IF($A700="",0,IF('TMP Paste'!$B700="",0,1))</f>
        <v>0</v>
      </c>
      <c r="F700" t="str">
        <f t="shared" si="50"/>
        <v/>
      </c>
      <c r="G700" t="str">
        <f t="shared" si="51"/>
        <v/>
      </c>
      <c r="H700" t="str">
        <f t="shared" si="52"/>
        <v/>
      </c>
      <c r="I700" t="str">
        <f t="shared" si="53"/>
        <v/>
      </c>
      <c r="J700" t="str">
        <f t="shared" si="54"/>
        <v/>
      </c>
      <c r="K700" t="str">
        <f>IF($A700="","",IF(COUNTIF($B$2:$B700,$B700)=COUNTIF($B$2:$B$1601,$B700),$B700,""))</f>
        <v/>
      </c>
    </row>
    <row r="701" spans="1:11">
      <c r="A701" t="str">
        <f>IF('TMP Paste'!$E701="","",'TMP Paste'!$E701)</f>
        <v/>
      </c>
      <c r="B701" t="str">
        <f>IF($A701="","",COUNTIF('TMP Paste'!$B$2:$B701,"?*"))</f>
        <v/>
      </c>
      <c r="C701" t="str">
        <f>IF($A701="","",IFERROR('TMP Paste'!$M701*1,0))</f>
        <v/>
      </c>
      <c r="D701" t="str">
        <f>IF($A701="","",SUMIF($B$2:$B701,$B701,$C$2:$C701))</f>
        <v/>
      </c>
      <c r="E701">
        <f>IF($A701="",0,IF('TMP Paste'!$B701="",0,1))</f>
        <v>0</v>
      </c>
      <c r="F701" t="str">
        <f t="shared" si="50"/>
        <v/>
      </c>
      <c r="G701" t="str">
        <f t="shared" si="51"/>
        <v/>
      </c>
      <c r="H701" t="str">
        <f t="shared" si="52"/>
        <v/>
      </c>
      <c r="I701" t="str">
        <f t="shared" si="53"/>
        <v/>
      </c>
      <c r="J701" t="str">
        <f t="shared" si="54"/>
        <v/>
      </c>
      <c r="K701" t="str">
        <f>IF($A701="","",IF(COUNTIF($B$2:$B701,$B701)=COUNTIF($B$2:$B$1601,$B701),$B701,""))</f>
        <v/>
      </c>
    </row>
    <row r="702" spans="1:11">
      <c r="A702" t="str">
        <f>IF('TMP Paste'!$E702="","",'TMP Paste'!$E702)</f>
        <v/>
      </c>
      <c r="B702" t="str">
        <f>IF($A702="","",COUNTIF('TMP Paste'!$B$2:$B702,"?*"))</f>
        <v/>
      </c>
      <c r="C702" t="str">
        <f>IF($A702="","",IFERROR('TMP Paste'!$M702*1,0))</f>
        <v/>
      </c>
      <c r="D702" t="str">
        <f>IF($A702="","",SUMIF($B$2:$B702,$B702,$C$2:$C702))</f>
        <v/>
      </c>
      <c r="E702">
        <f>IF($A702="",0,IF('TMP Paste'!$B702="",0,1))</f>
        <v>0</v>
      </c>
      <c r="F702" t="str">
        <f t="shared" si="50"/>
        <v/>
      </c>
      <c r="G702" t="str">
        <f t="shared" si="51"/>
        <v/>
      </c>
      <c r="H702" t="str">
        <f t="shared" si="52"/>
        <v/>
      </c>
      <c r="I702" t="str">
        <f t="shared" si="53"/>
        <v/>
      </c>
      <c r="J702" t="str">
        <f t="shared" si="54"/>
        <v/>
      </c>
      <c r="K702" t="str">
        <f>IF($A702="","",IF(COUNTIF($B$2:$B702,$B702)=COUNTIF($B$2:$B$1601,$B702),$B702,""))</f>
        <v/>
      </c>
    </row>
    <row r="703" spans="1:11">
      <c r="A703" t="str">
        <f>IF('TMP Paste'!$E703="","",'TMP Paste'!$E703)</f>
        <v/>
      </c>
      <c r="B703" t="str">
        <f>IF($A703="","",COUNTIF('TMP Paste'!$B$2:$B703,"?*"))</f>
        <v/>
      </c>
      <c r="C703" t="str">
        <f>IF($A703="","",IFERROR('TMP Paste'!$M703*1,0))</f>
        <v/>
      </c>
      <c r="D703" t="str">
        <f>IF($A703="","",SUMIF($B$2:$B703,$B703,$C$2:$C703))</f>
        <v/>
      </c>
      <c r="E703">
        <f>IF($A703="",0,IF('TMP Paste'!$B703="",0,1))</f>
        <v>0</v>
      </c>
      <c r="F703" t="str">
        <f t="shared" si="50"/>
        <v/>
      </c>
      <c r="G703" t="str">
        <f t="shared" si="51"/>
        <v/>
      </c>
      <c r="H703" t="str">
        <f t="shared" si="52"/>
        <v/>
      </c>
      <c r="I703" t="str">
        <f t="shared" si="53"/>
        <v/>
      </c>
      <c r="J703" t="str">
        <f t="shared" si="54"/>
        <v/>
      </c>
      <c r="K703" t="str">
        <f>IF($A703="","",IF(COUNTIF($B$2:$B703,$B703)=COUNTIF($B$2:$B$1601,$B703),$B703,""))</f>
        <v/>
      </c>
    </row>
    <row r="704" spans="1:11">
      <c r="A704" t="str">
        <f>IF('TMP Paste'!$E704="","",'TMP Paste'!$E704)</f>
        <v/>
      </c>
      <c r="B704" t="str">
        <f>IF($A704="","",COUNTIF('TMP Paste'!$B$2:$B704,"?*"))</f>
        <v/>
      </c>
      <c r="C704" t="str">
        <f>IF($A704="","",IFERROR('TMP Paste'!$M704*1,0))</f>
        <v/>
      </c>
      <c r="D704" t="str">
        <f>IF($A704="","",SUMIF($B$2:$B704,$B704,$C$2:$C704))</f>
        <v/>
      </c>
      <c r="E704">
        <f>IF($A704="",0,IF('TMP Paste'!$B704="",0,1))</f>
        <v>0</v>
      </c>
      <c r="F704" t="str">
        <f t="shared" si="50"/>
        <v/>
      </c>
      <c r="G704" t="str">
        <f t="shared" si="51"/>
        <v/>
      </c>
      <c r="H704" t="str">
        <f t="shared" si="52"/>
        <v/>
      </c>
      <c r="I704" t="str">
        <f t="shared" si="53"/>
        <v/>
      </c>
      <c r="J704" t="str">
        <f t="shared" si="54"/>
        <v/>
      </c>
      <c r="K704" t="str">
        <f>IF($A704="","",IF(COUNTIF($B$2:$B704,$B704)=COUNTIF($B$2:$B$1601,$B704),$B704,""))</f>
        <v/>
      </c>
    </row>
    <row r="705" spans="1:11">
      <c r="A705" t="str">
        <f>IF('TMP Paste'!$E705="","",'TMP Paste'!$E705)</f>
        <v/>
      </c>
      <c r="B705" t="str">
        <f>IF($A705="","",COUNTIF('TMP Paste'!$B$2:$B705,"?*"))</f>
        <v/>
      </c>
      <c r="C705" t="str">
        <f>IF($A705="","",IFERROR('TMP Paste'!$M705*1,0))</f>
        <v/>
      </c>
      <c r="D705" t="str">
        <f>IF($A705="","",SUMIF($B$2:$B705,$B705,$C$2:$C705))</f>
        <v/>
      </c>
      <c r="E705">
        <f>IF($A705="",0,IF('TMP Paste'!$B705="",0,1))</f>
        <v>0</v>
      </c>
      <c r="F705" t="str">
        <f t="shared" si="50"/>
        <v/>
      </c>
      <c r="G705" t="str">
        <f t="shared" si="51"/>
        <v/>
      </c>
      <c r="H705" t="str">
        <f t="shared" si="52"/>
        <v/>
      </c>
      <c r="I705" t="str">
        <f t="shared" si="53"/>
        <v/>
      </c>
      <c r="J705" t="str">
        <f t="shared" si="54"/>
        <v/>
      </c>
      <c r="K705" t="str">
        <f>IF($A705="","",IF(COUNTIF($B$2:$B705,$B705)=COUNTIF($B$2:$B$1601,$B705),$B705,""))</f>
        <v/>
      </c>
    </row>
    <row r="706" spans="1:11">
      <c r="A706" t="str">
        <f>IF('TMP Paste'!$E706="","",'TMP Paste'!$E706)</f>
        <v/>
      </c>
      <c r="B706" t="str">
        <f>IF($A706="","",COUNTIF('TMP Paste'!$B$2:$B706,"?*"))</f>
        <v/>
      </c>
      <c r="C706" t="str">
        <f>IF($A706="","",IFERROR('TMP Paste'!$M706*1,0))</f>
        <v/>
      </c>
      <c r="D706" t="str">
        <f>IF($A706="","",SUMIF($B$2:$B706,$B706,$C$2:$C706))</f>
        <v/>
      </c>
      <c r="E706">
        <f>IF($A706="",0,IF('TMP Paste'!$B706="",0,1))</f>
        <v>0</v>
      </c>
      <c r="F706" t="str">
        <f t="shared" ref="F706:F769" si="55">IF(OR($A706="",$C706&lt;1),"",$A706&amp;"-"&amp;TEXT(($D706-$C706+1),"00")&amp;IF($C706&gt;=2,", "&amp;$A706&amp;"-"&amp;TEXT(($D706-$C706+1)+1,"00"),"")&amp;IF($C706&gt;=3,", "&amp;$A706&amp;"-"&amp;TEXT(($D706-$C706+1)+2,"00"),"")&amp;IF($C706&gt;=4,", "&amp;$A706&amp;"-"&amp;TEXT(($D706-$C706+1)+3,"00"),"")&amp;IF($C706&gt;=5,", "&amp;$A706&amp;"-"&amp;TEXT(($D706-$C706+1)+4,"00"),"")&amp;IF($C706&gt;=6,", "&amp;$A706&amp;"-"&amp;TEXT(($D706-$C706+1)+5,"00"),"")&amp;IF($C706&gt;=7,", "&amp;$A706&amp;"-"&amp;TEXT(($D706-$C706+1)+6,"00"),"")&amp;IF($C706&gt;=8,", "&amp;$A706&amp;"-"&amp;TEXT(($D706-$C706+1)+7,"00"),"")&amp;IF($C706&gt;=9,", "&amp;$A706&amp;"-"&amp;TEXT(($D706-$C706+1)+8,"00"),"")&amp;IF($C706&gt;=10,", "&amp;$A706&amp;"-"&amp;TEXT(($D706-$C706+1)+9,"00"),"")&amp;IF($C706&gt;=11,", "&amp;$A706&amp;"-"&amp;TEXT(($D706-$C706+1)+10,"00"),"")&amp;IF($C706&gt;=12,", "&amp;$A706&amp;"-"&amp;TEXT(($D706-$C706+1)+11,"00"),"")&amp;IF($C706&gt;=13,", "&amp;$A706&amp;"-"&amp;TEXT(($D706-$C706+1)+12,"00"),"")&amp;IF($C706&gt;=14,", "&amp;$A706&amp;"-"&amp;TEXT(($D706-$C706+1)+13,"00"),"")&amp;IF($C706&gt;=15,", "&amp;$A706&amp;"-"&amp;TEXT(($D706-$C706+1)+14,"00"),"")&amp;IF($C706&gt;=16,", "&amp;$A706&amp;"-"&amp;TEXT(($D706-$C706+1)+15,"00"),"")&amp;IF($C706&gt;=17,", "&amp;$A706&amp;"-"&amp;TEXT(($D706-$C706+1)+16,"00"),"")&amp;IF($C706&gt;=18,", "&amp;$A706&amp;"-"&amp;TEXT(($D706-$C706+1)+17,"00"),"")&amp;IF($C706&gt;=19,", "&amp;$A706&amp;"-"&amp;TEXT(($D706-$C706+1)+18,"00"),"")&amp;IF($C706&gt;=20,", "&amp;$A706&amp;"-"&amp;TEXT(($D706-$C706+1)+19,"00"),"")&amp;IF($C706&gt;=21,", "&amp;$A706&amp;"-"&amp;TEXT(($D706-$C706+1)+20,"00"),"")&amp;IF($C706&gt;=22,", "&amp;$A706&amp;"-"&amp;TEXT(($D706-$C706+1)+21,"00"),"")&amp;IF($C706&gt;=23,", "&amp;$A706&amp;"-"&amp;TEXT(($D706-$C706+1)+22,"00"),"")&amp;IF($C706&gt;=24,", "&amp;$A706&amp;"-"&amp;TEXT(($D706-$C706+1)+23,"00"),"")&amp;IF($C706&gt;=25,", "&amp;$A706&amp;"-"&amp;TEXT(($D706-$C706+1)+24,"00"),""))</f>
        <v/>
      </c>
      <c r="G706" t="str">
        <f t="shared" ref="G706:G769" si="56">IF($A706="","",IF($E706=1,$F706,IF($F706="",$G705,IF($G705="",$F706,$G705&amp;", "&amp;$F706))))</f>
        <v/>
      </c>
      <c r="H706" t="str">
        <f t="shared" ref="H706:H769" si="57">IF($A706="","",$A706&amp;" ("&amp;$C706&amp;")")</f>
        <v/>
      </c>
      <c r="I706" t="str">
        <f t="shared" ref="I706:I769" si="58">IF($A706="","",IF($E706=1,$H706,$I705&amp;", "&amp;$H706))</f>
        <v/>
      </c>
      <c r="J706" t="str">
        <f t="shared" ref="J706:J769" si="59">IF($A706="","",IF($E706=1,$B706,""))</f>
        <v/>
      </c>
      <c r="K706" t="str">
        <f>IF($A706="","",IF(COUNTIF($B$2:$B706,$B706)=COUNTIF($B$2:$B$1601,$B706),$B706,""))</f>
        <v/>
      </c>
    </row>
    <row r="707" spans="1:11">
      <c r="A707" t="str">
        <f>IF('TMP Paste'!$E707="","",'TMP Paste'!$E707)</f>
        <v/>
      </c>
      <c r="B707" t="str">
        <f>IF($A707="","",COUNTIF('TMP Paste'!$B$2:$B707,"?*"))</f>
        <v/>
      </c>
      <c r="C707" t="str">
        <f>IF($A707="","",IFERROR('TMP Paste'!$M707*1,0))</f>
        <v/>
      </c>
      <c r="D707" t="str">
        <f>IF($A707="","",SUMIF($B$2:$B707,$B707,$C$2:$C707))</f>
        <v/>
      </c>
      <c r="E707">
        <f>IF($A707="",0,IF('TMP Paste'!$B707="",0,1))</f>
        <v>0</v>
      </c>
      <c r="F707" t="str">
        <f t="shared" si="55"/>
        <v/>
      </c>
      <c r="G707" t="str">
        <f t="shared" si="56"/>
        <v/>
      </c>
      <c r="H707" t="str">
        <f t="shared" si="57"/>
        <v/>
      </c>
      <c r="I707" t="str">
        <f t="shared" si="58"/>
        <v/>
      </c>
      <c r="J707" t="str">
        <f t="shared" si="59"/>
        <v/>
      </c>
      <c r="K707" t="str">
        <f>IF($A707="","",IF(COUNTIF($B$2:$B707,$B707)=COUNTIF($B$2:$B$1601,$B707),$B707,""))</f>
        <v/>
      </c>
    </row>
    <row r="708" spans="1:11">
      <c r="A708" t="str">
        <f>IF('TMP Paste'!$E708="","",'TMP Paste'!$E708)</f>
        <v/>
      </c>
      <c r="B708" t="str">
        <f>IF($A708="","",COUNTIF('TMP Paste'!$B$2:$B708,"?*"))</f>
        <v/>
      </c>
      <c r="C708" t="str">
        <f>IF($A708="","",IFERROR('TMP Paste'!$M708*1,0))</f>
        <v/>
      </c>
      <c r="D708" t="str">
        <f>IF($A708="","",SUMIF($B$2:$B708,$B708,$C$2:$C708))</f>
        <v/>
      </c>
      <c r="E708">
        <f>IF($A708="",0,IF('TMP Paste'!$B708="",0,1))</f>
        <v>0</v>
      </c>
      <c r="F708" t="str">
        <f t="shared" si="55"/>
        <v/>
      </c>
      <c r="G708" t="str">
        <f t="shared" si="56"/>
        <v/>
      </c>
      <c r="H708" t="str">
        <f t="shared" si="57"/>
        <v/>
      </c>
      <c r="I708" t="str">
        <f t="shared" si="58"/>
        <v/>
      </c>
      <c r="J708" t="str">
        <f t="shared" si="59"/>
        <v/>
      </c>
      <c r="K708" t="str">
        <f>IF($A708="","",IF(COUNTIF($B$2:$B708,$B708)=COUNTIF($B$2:$B$1601,$B708),$B708,""))</f>
        <v/>
      </c>
    </row>
    <row r="709" spans="1:11">
      <c r="A709" t="str">
        <f>IF('TMP Paste'!$E709="","",'TMP Paste'!$E709)</f>
        <v/>
      </c>
      <c r="B709" t="str">
        <f>IF($A709="","",COUNTIF('TMP Paste'!$B$2:$B709,"?*"))</f>
        <v/>
      </c>
      <c r="C709" t="str">
        <f>IF($A709="","",IFERROR('TMP Paste'!$M709*1,0))</f>
        <v/>
      </c>
      <c r="D709" t="str">
        <f>IF($A709="","",SUMIF($B$2:$B709,$B709,$C$2:$C709))</f>
        <v/>
      </c>
      <c r="E709">
        <f>IF($A709="",0,IF('TMP Paste'!$B709="",0,1))</f>
        <v>0</v>
      </c>
      <c r="F709" t="str">
        <f t="shared" si="55"/>
        <v/>
      </c>
      <c r="G709" t="str">
        <f t="shared" si="56"/>
        <v/>
      </c>
      <c r="H709" t="str">
        <f t="shared" si="57"/>
        <v/>
      </c>
      <c r="I709" t="str">
        <f t="shared" si="58"/>
        <v/>
      </c>
      <c r="J709" t="str">
        <f t="shared" si="59"/>
        <v/>
      </c>
      <c r="K709" t="str">
        <f>IF($A709="","",IF(COUNTIF($B$2:$B709,$B709)=COUNTIF($B$2:$B$1601,$B709),$B709,""))</f>
        <v/>
      </c>
    </row>
    <row r="710" spans="1:11">
      <c r="A710" t="str">
        <f>IF('TMP Paste'!$E710="","",'TMP Paste'!$E710)</f>
        <v/>
      </c>
      <c r="B710" t="str">
        <f>IF($A710="","",COUNTIF('TMP Paste'!$B$2:$B710,"?*"))</f>
        <v/>
      </c>
      <c r="C710" t="str">
        <f>IF($A710="","",IFERROR('TMP Paste'!$M710*1,0))</f>
        <v/>
      </c>
      <c r="D710" t="str">
        <f>IF($A710="","",SUMIF($B$2:$B710,$B710,$C$2:$C710))</f>
        <v/>
      </c>
      <c r="E710">
        <f>IF($A710="",0,IF('TMP Paste'!$B710="",0,1))</f>
        <v>0</v>
      </c>
      <c r="F710" t="str">
        <f t="shared" si="55"/>
        <v/>
      </c>
      <c r="G710" t="str">
        <f t="shared" si="56"/>
        <v/>
      </c>
      <c r="H710" t="str">
        <f t="shared" si="57"/>
        <v/>
      </c>
      <c r="I710" t="str">
        <f t="shared" si="58"/>
        <v/>
      </c>
      <c r="J710" t="str">
        <f t="shared" si="59"/>
        <v/>
      </c>
      <c r="K710" t="str">
        <f>IF($A710="","",IF(COUNTIF($B$2:$B710,$B710)=COUNTIF($B$2:$B$1601,$B710),$B710,""))</f>
        <v/>
      </c>
    </row>
    <row r="711" spans="1:11">
      <c r="A711" t="str">
        <f>IF('TMP Paste'!$E711="","",'TMP Paste'!$E711)</f>
        <v/>
      </c>
      <c r="B711" t="str">
        <f>IF($A711="","",COUNTIF('TMP Paste'!$B$2:$B711,"?*"))</f>
        <v/>
      </c>
      <c r="C711" t="str">
        <f>IF($A711="","",IFERROR('TMP Paste'!$M711*1,0))</f>
        <v/>
      </c>
      <c r="D711" t="str">
        <f>IF($A711="","",SUMIF($B$2:$B711,$B711,$C$2:$C711))</f>
        <v/>
      </c>
      <c r="E711">
        <f>IF($A711="",0,IF('TMP Paste'!$B711="",0,1))</f>
        <v>0</v>
      </c>
      <c r="F711" t="str">
        <f t="shared" si="55"/>
        <v/>
      </c>
      <c r="G711" t="str">
        <f t="shared" si="56"/>
        <v/>
      </c>
      <c r="H711" t="str">
        <f t="shared" si="57"/>
        <v/>
      </c>
      <c r="I711" t="str">
        <f t="shared" si="58"/>
        <v/>
      </c>
      <c r="J711" t="str">
        <f t="shared" si="59"/>
        <v/>
      </c>
      <c r="K711" t="str">
        <f>IF($A711="","",IF(COUNTIF($B$2:$B711,$B711)=COUNTIF($B$2:$B$1601,$B711),$B711,""))</f>
        <v/>
      </c>
    </row>
    <row r="712" spans="1:11">
      <c r="A712" t="str">
        <f>IF('TMP Paste'!$E712="","",'TMP Paste'!$E712)</f>
        <v/>
      </c>
      <c r="B712" t="str">
        <f>IF($A712="","",COUNTIF('TMP Paste'!$B$2:$B712,"?*"))</f>
        <v/>
      </c>
      <c r="C712" t="str">
        <f>IF($A712="","",IFERROR('TMP Paste'!$M712*1,0))</f>
        <v/>
      </c>
      <c r="D712" t="str">
        <f>IF($A712="","",SUMIF($B$2:$B712,$B712,$C$2:$C712))</f>
        <v/>
      </c>
      <c r="E712">
        <f>IF($A712="",0,IF('TMP Paste'!$B712="",0,1))</f>
        <v>0</v>
      </c>
      <c r="F712" t="str">
        <f t="shared" si="55"/>
        <v/>
      </c>
      <c r="G712" t="str">
        <f t="shared" si="56"/>
        <v/>
      </c>
      <c r="H712" t="str">
        <f t="shared" si="57"/>
        <v/>
      </c>
      <c r="I712" t="str">
        <f t="shared" si="58"/>
        <v/>
      </c>
      <c r="J712" t="str">
        <f t="shared" si="59"/>
        <v/>
      </c>
      <c r="K712" t="str">
        <f>IF($A712="","",IF(COUNTIF($B$2:$B712,$B712)=COUNTIF($B$2:$B$1601,$B712),$B712,""))</f>
        <v/>
      </c>
    </row>
    <row r="713" spans="1:11">
      <c r="A713" t="str">
        <f>IF('TMP Paste'!$E713="","",'TMP Paste'!$E713)</f>
        <v/>
      </c>
      <c r="B713" t="str">
        <f>IF($A713="","",COUNTIF('TMP Paste'!$B$2:$B713,"?*"))</f>
        <v/>
      </c>
      <c r="C713" t="str">
        <f>IF($A713="","",IFERROR('TMP Paste'!$M713*1,0))</f>
        <v/>
      </c>
      <c r="D713" t="str">
        <f>IF($A713="","",SUMIF($B$2:$B713,$B713,$C$2:$C713))</f>
        <v/>
      </c>
      <c r="E713">
        <f>IF($A713="",0,IF('TMP Paste'!$B713="",0,1))</f>
        <v>0</v>
      </c>
      <c r="F713" t="str">
        <f t="shared" si="55"/>
        <v/>
      </c>
      <c r="G713" t="str">
        <f t="shared" si="56"/>
        <v/>
      </c>
      <c r="H713" t="str">
        <f t="shared" si="57"/>
        <v/>
      </c>
      <c r="I713" t="str">
        <f t="shared" si="58"/>
        <v/>
      </c>
      <c r="J713" t="str">
        <f t="shared" si="59"/>
        <v/>
      </c>
      <c r="K713" t="str">
        <f>IF($A713="","",IF(COUNTIF($B$2:$B713,$B713)=COUNTIF($B$2:$B$1601,$B713),$B713,""))</f>
        <v/>
      </c>
    </row>
    <row r="714" spans="1:11">
      <c r="A714" t="str">
        <f>IF('TMP Paste'!$E714="","",'TMP Paste'!$E714)</f>
        <v/>
      </c>
      <c r="B714" t="str">
        <f>IF($A714="","",COUNTIF('TMP Paste'!$B$2:$B714,"?*"))</f>
        <v/>
      </c>
      <c r="C714" t="str">
        <f>IF($A714="","",IFERROR('TMP Paste'!$M714*1,0))</f>
        <v/>
      </c>
      <c r="D714" t="str">
        <f>IF($A714="","",SUMIF($B$2:$B714,$B714,$C$2:$C714))</f>
        <v/>
      </c>
      <c r="E714">
        <f>IF($A714="",0,IF('TMP Paste'!$B714="",0,1))</f>
        <v>0</v>
      </c>
      <c r="F714" t="str">
        <f t="shared" si="55"/>
        <v/>
      </c>
      <c r="G714" t="str">
        <f t="shared" si="56"/>
        <v/>
      </c>
      <c r="H714" t="str">
        <f t="shared" si="57"/>
        <v/>
      </c>
      <c r="I714" t="str">
        <f t="shared" si="58"/>
        <v/>
      </c>
      <c r="J714" t="str">
        <f t="shared" si="59"/>
        <v/>
      </c>
      <c r="K714" t="str">
        <f>IF($A714="","",IF(COUNTIF($B$2:$B714,$B714)=COUNTIF($B$2:$B$1601,$B714),$B714,""))</f>
        <v/>
      </c>
    </row>
    <row r="715" spans="1:11">
      <c r="A715" t="str">
        <f>IF('TMP Paste'!$E715="","",'TMP Paste'!$E715)</f>
        <v/>
      </c>
      <c r="B715" t="str">
        <f>IF($A715="","",COUNTIF('TMP Paste'!$B$2:$B715,"?*"))</f>
        <v/>
      </c>
      <c r="C715" t="str">
        <f>IF($A715="","",IFERROR('TMP Paste'!$M715*1,0))</f>
        <v/>
      </c>
      <c r="D715" t="str">
        <f>IF($A715="","",SUMIF($B$2:$B715,$B715,$C$2:$C715))</f>
        <v/>
      </c>
      <c r="E715">
        <f>IF($A715="",0,IF('TMP Paste'!$B715="",0,1))</f>
        <v>0</v>
      </c>
      <c r="F715" t="str">
        <f t="shared" si="55"/>
        <v/>
      </c>
      <c r="G715" t="str">
        <f t="shared" si="56"/>
        <v/>
      </c>
      <c r="H715" t="str">
        <f t="shared" si="57"/>
        <v/>
      </c>
      <c r="I715" t="str">
        <f t="shared" si="58"/>
        <v/>
      </c>
      <c r="J715" t="str">
        <f t="shared" si="59"/>
        <v/>
      </c>
      <c r="K715" t="str">
        <f>IF($A715="","",IF(COUNTIF($B$2:$B715,$B715)=COUNTIF($B$2:$B$1601,$B715),$B715,""))</f>
        <v/>
      </c>
    </row>
    <row r="716" spans="1:11">
      <c r="A716" t="str">
        <f>IF('TMP Paste'!$E716="","",'TMP Paste'!$E716)</f>
        <v/>
      </c>
      <c r="B716" t="str">
        <f>IF($A716="","",COUNTIF('TMP Paste'!$B$2:$B716,"?*"))</f>
        <v/>
      </c>
      <c r="C716" t="str">
        <f>IF($A716="","",IFERROR('TMP Paste'!$M716*1,0))</f>
        <v/>
      </c>
      <c r="D716" t="str">
        <f>IF($A716="","",SUMIF($B$2:$B716,$B716,$C$2:$C716))</f>
        <v/>
      </c>
      <c r="E716">
        <f>IF($A716="",0,IF('TMP Paste'!$B716="",0,1))</f>
        <v>0</v>
      </c>
      <c r="F716" t="str">
        <f t="shared" si="55"/>
        <v/>
      </c>
      <c r="G716" t="str">
        <f t="shared" si="56"/>
        <v/>
      </c>
      <c r="H716" t="str">
        <f t="shared" si="57"/>
        <v/>
      </c>
      <c r="I716" t="str">
        <f t="shared" si="58"/>
        <v/>
      </c>
      <c r="J716" t="str">
        <f t="shared" si="59"/>
        <v/>
      </c>
      <c r="K716" t="str">
        <f>IF($A716="","",IF(COUNTIF($B$2:$B716,$B716)=COUNTIF($B$2:$B$1601,$B716),$B716,""))</f>
        <v/>
      </c>
    </row>
    <row r="717" spans="1:11">
      <c r="A717" t="str">
        <f>IF('TMP Paste'!$E717="","",'TMP Paste'!$E717)</f>
        <v/>
      </c>
      <c r="B717" t="str">
        <f>IF($A717="","",COUNTIF('TMP Paste'!$B$2:$B717,"?*"))</f>
        <v/>
      </c>
      <c r="C717" t="str">
        <f>IF($A717="","",IFERROR('TMP Paste'!$M717*1,0))</f>
        <v/>
      </c>
      <c r="D717" t="str">
        <f>IF($A717="","",SUMIF($B$2:$B717,$B717,$C$2:$C717))</f>
        <v/>
      </c>
      <c r="E717">
        <f>IF($A717="",0,IF('TMP Paste'!$B717="",0,1))</f>
        <v>0</v>
      </c>
      <c r="F717" t="str">
        <f t="shared" si="55"/>
        <v/>
      </c>
      <c r="G717" t="str">
        <f t="shared" si="56"/>
        <v/>
      </c>
      <c r="H717" t="str">
        <f t="shared" si="57"/>
        <v/>
      </c>
      <c r="I717" t="str">
        <f t="shared" si="58"/>
        <v/>
      </c>
      <c r="J717" t="str">
        <f t="shared" si="59"/>
        <v/>
      </c>
      <c r="K717" t="str">
        <f>IF($A717="","",IF(COUNTIF($B$2:$B717,$B717)=COUNTIF($B$2:$B$1601,$B717),$B717,""))</f>
        <v/>
      </c>
    </row>
    <row r="718" spans="1:11">
      <c r="A718" t="str">
        <f>IF('TMP Paste'!$E718="","",'TMP Paste'!$E718)</f>
        <v/>
      </c>
      <c r="B718" t="str">
        <f>IF($A718="","",COUNTIF('TMP Paste'!$B$2:$B718,"?*"))</f>
        <v/>
      </c>
      <c r="C718" t="str">
        <f>IF($A718="","",IFERROR('TMP Paste'!$M718*1,0))</f>
        <v/>
      </c>
      <c r="D718" t="str">
        <f>IF($A718="","",SUMIF($B$2:$B718,$B718,$C$2:$C718))</f>
        <v/>
      </c>
      <c r="E718">
        <f>IF($A718="",0,IF('TMP Paste'!$B718="",0,1))</f>
        <v>0</v>
      </c>
      <c r="F718" t="str">
        <f t="shared" si="55"/>
        <v/>
      </c>
      <c r="G718" t="str">
        <f t="shared" si="56"/>
        <v/>
      </c>
      <c r="H718" t="str">
        <f t="shared" si="57"/>
        <v/>
      </c>
      <c r="I718" t="str">
        <f t="shared" si="58"/>
        <v/>
      </c>
      <c r="J718" t="str">
        <f t="shared" si="59"/>
        <v/>
      </c>
      <c r="K718" t="str">
        <f>IF($A718="","",IF(COUNTIF($B$2:$B718,$B718)=COUNTIF($B$2:$B$1601,$B718),$B718,""))</f>
        <v/>
      </c>
    </row>
    <row r="719" spans="1:11">
      <c r="A719" t="str">
        <f>IF('TMP Paste'!$E719="","",'TMP Paste'!$E719)</f>
        <v/>
      </c>
      <c r="B719" t="str">
        <f>IF($A719="","",COUNTIF('TMP Paste'!$B$2:$B719,"?*"))</f>
        <v/>
      </c>
      <c r="C719" t="str">
        <f>IF($A719="","",IFERROR('TMP Paste'!$M719*1,0))</f>
        <v/>
      </c>
      <c r="D719" t="str">
        <f>IF($A719="","",SUMIF($B$2:$B719,$B719,$C$2:$C719))</f>
        <v/>
      </c>
      <c r="E719">
        <f>IF($A719="",0,IF('TMP Paste'!$B719="",0,1))</f>
        <v>0</v>
      </c>
      <c r="F719" t="str">
        <f t="shared" si="55"/>
        <v/>
      </c>
      <c r="G719" t="str">
        <f t="shared" si="56"/>
        <v/>
      </c>
      <c r="H719" t="str">
        <f t="shared" si="57"/>
        <v/>
      </c>
      <c r="I719" t="str">
        <f t="shared" si="58"/>
        <v/>
      </c>
      <c r="J719" t="str">
        <f t="shared" si="59"/>
        <v/>
      </c>
      <c r="K719" t="str">
        <f>IF($A719="","",IF(COUNTIF($B$2:$B719,$B719)=COUNTIF($B$2:$B$1601,$B719),$B719,""))</f>
        <v/>
      </c>
    </row>
    <row r="720" spans="1:11">
      <c r="A720" t="str">
        <f>IF('TMP Paste'!$E720="","",'TMP Paste'!$E720)</f>
        <v/>
      </c>
      <c r="B720" t="str">
        <f>IF($A720="","",COUNTIF('TMP Paste'!$B$2:$B720,"?*"))</f>
        <v/>
      </c>
      <c r="C720" t="str">
        <f>IF($A720="","",IFERROR('TMP Paste'!$M720*1,0))</f>
        <v/>
      </c>
      <c r="D720" t="str">
        <f>IF($A720="","",SUMIF($B$2:$B720,$B720,$C$2:$C720))</f>
        <v/>
      </c>
      <c r="E720">
        <f>IF($A720="",0,IF('TMP Paste'!$B720="",0,1))</f>
        <v>0</v>
      </c>
      <c r="F720" t="str">
        <f t="shared" si="55"/>
        <v/>
      </c>
      <c r="G720" t="str">
        <f t="shared" si="56"/>
        <v/>
      </c>
      <c r="H720" t="str">
        <f t="shared" si="57"/>
        <v/>
      </c>
      <c r="I720" t="str">
        <f t="shared" si="58"/>
        <v/>
      </c>
      <c r="J720" t="str">
        <f t="shared" si="59"/>
        <v/>
      </c>
      <c r="K720" t="str">
        <f>IF($A720="","",IF(COUNTIF($B$2:$B720,$B720)=COUNTIF($B$2:$B$1601,$B720),$B720,""))</f>
        <v/>
      </c>
    </row>
    <row r="721" spans="1:11">
      <c r="A721" t="str">
        <f>IF('TMP Paste'!$E721="","",'TMP Paste'!$E721)</f>
        <v/>
      </c>
      <c r="B721" t="str">
        <f>IF($A721="","",COUNTIF('TMP Paste'!$B$2:$B721,"?*"))</f>
        <v/>
      </c>
      <c r="C721" t="str">
        <f>IF($A721="","",IFERROR('TMP Paste'!$M721*1,0))</f>
        <v/>
      </c>
      <c r="D721" t="str">
        <f>IF($A721="","",SUMIF($B$2:$B721,$B721,$C$2:$C721))</f>
        <v/>
      </c>
      <c r="E721">
        <f>IF($A721="",0,IF('TMP Paste'!$B721="",0,1))</f>
        <v>0</v>
      </c>
      <c r="F721" t="str">
        <f t="shared" si="55"/>
        <v/>
      </c>
      <c r="G721" t="str">
        <f t="shared" si="56"/>
        <v/>
      </c>
      <c r="H721" t="str">
        <f t="shared" si="57"/>
        <v/>
      </c>
      <c r="I721" t="str">
        <f t="shared" si="58"/>
        <v/>
      </c>
      <c r="J721" t="str">
        <f t="shared" si="59"/>
        <v/>
      </c>
      <c r="K721" t="str">
        <f>IF($A721="","",IF(COUNTIF($B$2:$B721,$B721)=COUNTIF($B$2:$B$1601,$B721),$B721,""))</f>
        <v/>
      </c>
    </row>
    <row r="722" spans="1:11">
      <c r="A722" t="str">
        <f>IF('TMP Paste'!$E722="","",'TMP Paste'!$E722)</f>
        <v/>
      </c>
      <c r="B722" t="str">
        <f>IF($A722="","",COUNTIF('TMP Paste'!$B$2:$B722,"?*"))</f>
        <v/>
      </c>
      <c r="C722" t="str">
        <f>IF($A722="","",IFERROR('TMP Paste'!$M722*1,0))</f>
        <v/>
      </c>
      <c r="D722" t="str">
        <f>IF($A722="","",SUMIF($B$2:$B722,$B722,$C$2:$C722))</f>
        <v/>
      </c>
      <c r="E722">
        <f>IF($A722="",0,IF('TMP Paste'!$B722="",0,1))</f>
        <v>0</v>
      </c>
      <c r="F722" t="str">
        <f t="shared" si="55"/>
        <v/>
      </c>
      <c r="G722" t="str">
        <f t="shared" si="56"/>
        <v/>
      </c>
      <c r="H722" t="str">
        <f t="shared" si="57"/>
        <v/>
      </c>
      <c r="I722" t="str">
        <f t="shared" si="58"/>
        <v/>
      </c>
      <c r="J722" t="str">
        <f t="shared" si="59"/>
        <v/>
      </c>
      <c r="K722" t="str">
        <f>IF($A722="","",IF(COUNTIF($B$2:$B722,$B722)=COUNTIF($B$2:$B$1601,$B722),$B722,""))</f>
        <v/>
      </c>
    </row>
    <row r="723" spans="1:11">
      <c r="A723" t="str">
        <f>IF('TMP Paste'!$E723="","",'TMP Paste'!$E723)</f>
        <v/>
      </c>
      <c r="B723" t="str">
        <f>IF($A723="","",COUNTIF('TMP Paste'!$B$2:$B723,"?*"))</f>
        <v/>
      </c>
      <c r="C723" t="str">
        <f>IF($A723="","",IFERROR('TMP Paste'!$M723*1,0))</f>
        <v/>
      </c>
      <c r="D723" t="str">
        <f>IF($A723="","",SUMIF($B$2:$B723,$B723,$C$2:$C723))</f>
        <v/>
      </c>
      <c r="E723">
        <f>IF($A723="",0,IF('TMP Paste'!$B723="",0,1))</f>
        <v>0</v>
      </c>
      <c r="F723" t="str">
        <f t="shared" si="55"/>
        <v/>
      </c>
      <c r="G723" t="str">
        <f t="shared" si="56"/>
        <v/>
      </c>
      <c r="H723" t="str">
        <f t="shared" si="57"/>
        <v/>
      </c>
      <c r="I723" t="str">
        <f t="shared" si="58"/>
        <v/>
      </c>
      <c r="J723" t="str">
        <f t="shared" si="59"/>
        <v/>
      </c>
      <c r="K723" t="str">
        <f>IF($A723="","",IF(COUNTIF($B$2:$B723,$B723)=COUNTIF($B$2:$B$1601,$B723),$B723,""))</f>
        <v/>
      </c>
    </row>
    <row r="724" spans="1:11">
      <c r="A724" t="str">
        <f>IF('TMP Paste'!$E724="","",'TMP Paste'!$E724)</f>
        <v/>
      </c>
      <c r="B724" t="str">
        <f>IF($A724="","",COUNTIF('TMP Paste'!$B$2:$B724,"?*"))</f>
        <v/>
      </c>
      <c r="C724" t="str">
        <f>IF($A724="","",IFERROR('TMP Paste'!$M724*1,0))</f>
        <v/>
      </c>
      <c r="D724" t="str">
        <f>IF($A724="","",SUMIF($B$2:$B724,$B724,$C$2:$C724))</f>
        <v/>
      </c>
      <c r="E724">
        <f>IF($A724="",0,IF('TMP Paste'!$B724="",0,1))</f>
        <v>0</v>
      </c>
      <c r="F724" t="str">
        <f t="shared" si="55"/>
        <v/>
      </c>
      <c r="G724" t="str">
        <f t="shared" si="56"/>
        <v/>
      </c>
      <c r="H724" t="str">
        <f t="shared" si="57"/>
        <v/>
      </c>
      <c r="I724" t="str">
        <f t="shared" si="58"/>
        <v/>
      </c>
      <c r="J724" t="str">
        <f t="shared" si="59"/>
        <v/>
      </c>
      <c r="K724" t="str">
        <f>IF($A724="","",IF(COUNTIF($B$2:$B724,$B724)=COUNTIF($B$2:$B$1601,$B724),$B724,""))</f>
        <v/>
      </c>
    </row>
    <row r="725" spans="1:11">
      <c r="A725" t="str">
        <f>IF('TMP Paste'!$E725="","",'TMP Paste'!$E725)</f>
        <v/>
      </c>
      <c r="B725" t="str">
        <f>IF($A725="","",COUNTIF('TMP Paste'!$B$2:$B725,"?*"))</f>
        <v/>
      </c>
      <c r="C725" t="str">
        <f>IF($A725="","",IFERROR('TMP Paste'!$M725*1,0))</f>
        <v/>
      </c>
      <c r="D725" t="str">
        <f>IF($A725="","",SUMIF($B$2:$B725,$B725,$C$2:$C725))</f>
        <v/>
      </c>
      <c r="E725">
        <f>IF($A725="",0,IF('TMP Paste'!$B725="",0,1))</f>
        <v>0</v>
      </c>
      <c r="F725" t="str">
        <f t="shared" si="55"/>
        <v/>
      </c>
      <c r="G725" t="str">
        <f t="shared" si="56"/>
        <v/>
      </c>
      <c r="H725" t="str">
        <f t="shared" si="57"/>
        <v/>
      </c>
      <c r="I725" t="str">
        <f t="shared" si="58"/>
        <v/>
      </c>
      <c r="J725" t="str">
        <f t="shared" si="59"/>
        <v/>
      </c>
      <c r="K725" t="str">
        <f>IF($A725="","",IF(COUNTIF($B$2:$B725,$B725)=COUNTIF($B$2:$B$1601,$B725),$B725,""))</f>
        <v/>
      </c>
    </row>
    <row r="726" spans="1:11">
      <c r="A726" t="str">
        <f>IF('TMP Paste'!$E726="","",'TMP Paste'!$E726)</f>
        <v/>
      </c>
      <c r="B726" t="str">
        <f>IF($A726="","",COUNTIF('TMP Paste'!$B$2:$B726,"?*"))</f>
        <v/>
      </c>
      <c r="C726" t="str">
        <f>IF($A726="","",IFERROR('TMP Paste'!$M726*1,0))</f>
        <v/>
      </c>
      <c r="D726" t="str">
        <f>IF($A726="","",SUMIF($B$2:$B726,$B726,$C$2:$C726))</f>
        <v/>
      </c>
      <c r="E726">
        <f>IF($A726="",0,IF('TMP Paste'!$B726="",0,1))</f>
        <v>0</v>
      </c>
      <c r="F726" t="str">
        <f t="shared" si="55"/>
        <v/>
      </c>
      <c r="G726" t="str">
        <f t="shared" si="56"/>
        <v/>
      </c>
      <c r="H726" t="str">
        <f t="shared" si="57"/>
        <v/>
      </c>
      <c r="I726" t="str">
        <f t="shared" si="58"/>
        <v/>
      </c>
      <c r="J726" t="str">
        <f t="shared" si="59"/>
        <v/>
      </c>
      <c r="K726" t="str">
        <f>IF($A726="","",IF(COUNTIF($B$2:$B726,$B726)=COUNTIF($B$2:$B$1601,$B726),$B726,""))</f>
        <v/>
      </c>
    </row>
    <row r="727" spans="1:11">
      <c r="A727" t="str">
        <f>IF('TMP Paste'!$E727="","",'TMP Paste'!$E727)</f>
        <v/>
      </c>
      <c r="B727" t="str">
        <f>IF($A727="","",COUNTIF('TMP Paste'!$B$2:$B727,"?*"))</f>
        <v/>
      </c>
      <c r="C727" t="str">
        <f>IF($A727="","",IFERROR('TMP Paste'!$M727*1,0))</f>
        <v/>
      </c>
      <c r="D727" t="str">
        <f>IF($A727="","",SUMIF($B$2:$B727,$B727,$C$2:$C727))</f>
        <v/>
      </c>
      <c r="E727">
        <f>IF($A727="",0,IF('TMP Paste'!$B727="",0,1))</f>
        <v>0</v>
      </c>
      <c r="F727" t="str">
        <f t="shared" si="55"/>
        <v/>
      </c>
      <c r="G727" t="str">
        <f t="shared" si="56"/>
        <v/>
      </c>
      <c r="H727" t="str">
        <f t="shared" si="57"/>
        <v/>
      </c>
      <c r="I727" t="str">
        <f t="shared" si="58"/>
        <v/>
      </c>
      <c r="J727" t="str">
        <f t="shared" si="59"/>
        <v/>
      </c>
      <c r="K727" t="str">
        <f>IF($A727="","",IF(COUNTIF($B$2:$B727,$B727)=COUNTIF($B$2:$B$1601,$B727),$B727,""))</f>
        <v/>
      </c>
    </row>
    <row r="728" spans="1:11">
      <c r="A728" t="str">
        <f>IF('TMP Paste'!$E728="","",'TMP Paste'!$E728)</f>
        <v/>
      </c>
      <c r="B728" t="str">
        <f>IF($A728="","",COUNTIF('TMP Paste'!$B$2:$B728,"?*"))</f>
        <v/>
      </c>
      <c r="C728" t="str">
        <f>IF($A728="","",IFERROR('TMP Paste'!$M728*1,0))</f>
        <v/>
      </c>
      <c r="D728" t="str">
        <f>IF($A728="","",SUMIF($B$2:$B728,$B728,$C$2:$C728))</f>
        <v/>
      </c>
      <c r="E728">
        <f>IF($A728="",0,IF('TMP Paste'!$B728="",0,1))</f>
        <v>0</v>
      </c>
      <c r="F728" t="str">
        <f t="shared" si="55"/>
        <v/>
      </c>
      <c r="G728" t="str">
        <f t="shared" si="56"/>
        <v/>
      </c>
      <c r="H728" t="str">
        <f t="shared" si="57"/>
        <v/>
      </c>
      <c r="I728" t="str">
        <f t="shared" si="58"/>
        <v/>
      </c>
      <c r="J728" t="str">
        <f t="shared" si="59"/>
        <v/>
      </c>
      <c r="K728" t="str">
        <f>IF($A728="","",IF(COUNTIF($B$2:$B728,$B728)=COUNTIF($B$2:$B$1601,$B728),$B728,""))</f>
        <v/>
      </c>
    </row>
    <row r="729" spans="1:11">
      <c r="A729" t="str">
        <f>IF('TMP Paste'!$E729="","",'TMP Paste'!$E729)</f>
        <v/>
      </c>
      <c r="B729" t="str">
        <f>IF($A729="","",COUNTIF('TMP Paste'!$B$2:$B729,"?*"))</f>
        <v/>
      </c>
      <c r="C729" t="str">
        <f>IF($A729="","",IFERROR('TMP Paste'!$M729*1,0))</f>
        <v/>
      </c>
      <c r="D729" t="str">
        <f>IF($A729="","",SUMIF($B$2:$B729,$B729,$C$2:$C729))</f>
        <v/>
      </c>
      <c r="E729">
        <f>IF($A729="",0,IF('TMP Paste'!$B729="",0,1))</f>
        <v>0</v>
      </c>
      <c r="F729" t="str">
        <f t="shared" si="55"/>
        <v/>
      </c>
      <c r="G729" t="str">
        <f t="shared" si="56"/>
        <v/>
      </c>
      <c r="H729" t="str">
        <f t="shared" si="57"/>
        <v/>
      </c>
      <c r="I729" t="str">
        <f t="shared" si="58"/>
        <v/>
      </c>
      <c r="J729" t="str">
        <f t="shared" si="59"/>
        <v/>
      </c>
      <c r="K729" t="str">
        <f>IF($A729="","",IF(COUNTIF($B$2:$B729,$B729)=COUNTIF($B$2:$B$1601,$B729),$B729,""))</f>
        <v/>
      </c>
    </row>
    <row r="730" spans="1:11">
      <c r="A730" t="str">
        <f>IF('TMP Paste'!$E730="","",'TMP Paste'!$E730)</f>
        <v/>
      </c>
      <c r="B730" t="str">
        <f>IF($A730="","",COUNTIF('TMP Paste'!$B$2:$B730,"?*"))</f>
        <v/>
      </c>
      <c r="C730" t="str">
        <f>IF($A730="","",IFERROR('TMP Paste'!$M730*1,0))</f>
        <v/>
      </c>
      <c r="D730" t="str">
        <f>IF($A730="","",SUMIF($B$2:$B730,$B730,$C$2:$C730))</f>
        <v/>
      </c>
      <c r="E730">
        <f>IF($A730="",0,IF('TMP Paste'!$B730="",0,1))</f>
        <v>0</v>
      </c>
      <c r="F730" t="str">
        <f t="shared" si="55"/>
        <v/>
      </c>
      <c r="G730" t="str">
        <f t="shared" si="56"/>
        <v/>
      </c>
      <c r="H730" t="str">
        <f t="shared" si="57"/>
        <v/>
      </c>
      <c r="I730" t="str">
        <f t="shared" si="58"/>
        <v/>
      </c>
      <c r="J730" t="str">
        <f t="shared" si="59"/>
        <v/>
      </c>
      <c r="K730" t="str">
        <f>IF($A730="","",IF(COUNTIF($B$2:$B730,$B730)=COUNTIF($B$2:$B$1601,$B730),$B730,""))</f>
        <v/>
      </c>
    </row>
    <row r="731" spans="1:11">
      <c r="A731" t="str">
        <f>IF('TMP Paste'!$E731="","",'TMP Paste'!$E731)</f>
        <v/>
      </c>
      <c r="B731" t="str">
        <f>IF($A731="","",COUNTIF('TMP Paste'!$B$2:$B731,"?*"))</f>
        <v/>
      </c>
      <c r="C731" t="str">
        <f>IF($A731="","",IFERROR('TMP Paste'!$M731*1,0))</f>
        <v/>
      </c>
      <c r="D731" t="str">
        <f>IF($A731="","",SUMIF($B$2:$B731,$B731,$C$2:$C731))</f>
        <v/>
      </c>
      <c r="E731">
        <f>IF($A731="",0,IF('TMP Paste'!$B731="",0,1))</f>
        <v>0</v>
      </c>
      <c r="F731" t="str">
        <f t="shared" si="55"/>
        <v/>
      </c>
      <c r="G731" t="str">
        <f t="shared" si="56"/>
        <v/>
      </c>
      <c r="H731" t="str">
        <f t="shared" si="57"/>
        <v/>
      </c>
      <c r="I731" t="str">
        <f t="shared" si="58"/>
        <v/>
      </c>
      <c r="J731" t="str">
        <f t="shared" si="59"/>
        <v/>
      </c>
      <c r="K731" t="str">
        <f>IF($A731="","",IF(COUNTIF($B$2:$B731,$B731)=COUNTIF($B$2:$B$1601,$B731),$B731,""))</f>
        <v/>
      </c>
    </row>
    <row r="732" spans="1:11">
      <c r="A732" t="str">
        <f>IF('TMP Paste'!$E732="","",'TMP Paste'!$E732)</f>
        <v/>
      </c>
      <c r="B732" t="str">
        <f>IF($A732="","",COUNTIF('TMP Paste'!$B$2:$B732,"?*"))</f>
        <v/>
      </c>
      <c r="C732" t="str">
        <f>IF($A732="","",IFERROR('TMP Paste'!$M732*1,0))</f>
        <v/>
      </c>
      <c r="D732" t="str">
        <f>IF($A732="","",SUMIF($B$2:$B732,$B732,$C$2:$C732))</f>
        <v/>
      </c>
      <c r="E732">
        <f>IF($A732="",0,IF('TMP Paste'!$B732="",0,1))</f>
        <v>0</v>
      </c>
      <c r="F732" t="str">
        <f t="shared" si="55"/>
        <v/>
      </c>
      <c r="G732" t="str">
        <f t="shared" si="56"/>
        <v/>
      </c>
      <c r="H732" t="str">
        <f t="shared" si="57"/>
        <v/>
      </c>
      <c r="I732" t="str">
        <f t="shared" si="58"/>
        <v/>
      </c>
      <c r="J732" t="str">
        <f t="shared" si="59"/>
        <v/>
      </c>
      <c r="K732" t="str">
        <f>IF($A732="","",IF(COUNTIF($B$2:$B732,$B732)=COUNTIF($B$2:$B$1601,$B732),$B732,""))</f>
        <v/>
      </c>
    </row>
    <row r="733" spans="1:11">
      <c r="A733" t="str">
        <f>IF('TMP Paste'!$E733="","",'TMP Paste'!$E733)</f>
        <v/>
      </c>
      <c r="B733" t="str">
        <f>IF($A733="","",COUNTIF('TMP Paste'!$B$2:$B733,"?*"))</f>
        <v/>
      </c>
      <c r="C733" t="str">
        <f>IF($A733="","",IFERROR('TMP Paste'!$M733*1,0))</f>
        <v/>
      </c>
      <c r="D733" t="str">
        <f>IF($A733="","",SUMIF($B$2:$B733,$B733,$C$2:$C733))</f>
        <v/>
      </c>
      <c r="E733">
        <f>IF($A733="",0,IF('TMP Paste'!$B733="",0,1))</f>
        <v>0</v>
      </c>
      <c r="F733" t="str">
        <f t="shared" si="55"/>
        <v/>
      </c>
      <c r="G733" t="str">
        <f t="shared" si="56"/>
        <v/>
      </c>
      <c r="H733" t="str">
        <f t="shared" si="57"/>
        <v/>
      </c>
      <c r="I733" t="str">
        <f t="shared" si="58"/>
        <v/>
      </c>
      <c r="J733" t="str">
        <f t="shared" si="59"/>
        <v/>
      </c>
      <c r="K733" t="str">
        <f>IF($A733="","",IF(COUNTIF($B$2:$B733,$B733)=COUNTIF($B$2:$B$1601,$B733),$B733,""))</f>
        <v/>
      </c>
    </row>
    <row r="734" spans="1:11">
      <c r="A734" t="str">
        <f>IF('TMP Paste'!$E734="","",'TMP Paste'!$E734)</f>
        <v/>
      </c>
      <c r="B734" t="str">
        <f>IF($A734="","",COUNTIF('TMP Paste'!$B$2:$B734,"?*"))</f>
        <v/>
      </c>
      <c r="C734" t="str">
        <f>IF($A734="","",IFERROR('TMP Paste'!$M734*1,0))</f>
        <v/>
      </c>
      <c r="D734" t="str">
        <f>IF($A734="","",SUMIF($B$2:$B734,$B734,$C$2:$C734))</f>
        <v/>
      </c>
      <c r="E734">
        <f>IF($A734="",0,IF('TMP Paste'!$B734="",0,1))</f>
        <v>0</v>
      </c>
      <c r="F734" t="str">
        <f t="shared" si="55"/>
        <v/>
      </c>
      <c r="G734" t="str">
        <f t="shared" si="56"/>
        <v/>
      </c>
      <c r="H734" t="str">
        <f t="shared" si="57"/>
        <v/>
      </c>
      <c r="I734" t="str">
        <f t="shared" si="58"/>
        <v/>
      </c>
      <c r="J734" t="str">
        <f t="shared" si="59"/>
        <v/>
      </c>
      <c r="K734" t="str">
        <f>IF($A734="","",IF(COUNTIF($B$2:$B734,$B734)=COUNTIF($B$2:$B$1601,$B734),$B734,""))</f>
        <v/>
      </c>
    </row>
    <row r="735" spans="1:11">
      <c r="A735" t="str">
        <f>IF('TMP Paste'!$E735="","",'TMP Paste'!$E735)</f>
        <v/>
      </c>
      <c r="B735" t="str">
        <f>IF($A735="","",COUNTIF('TMP Paste'!$B$2:$B735,"?*"))</f>
        <v/>
      </c>
      <c r="C735" t="str">
        <f>IF($A735="","",IFERROR('TMP Paste'!$M735*1,0))</f>
        <v/>
      </c>
      <c r="D735" t="str">
        <f>IF($A735="","",SUMIF($B$2:$B735,$B735,$C$2:$C735))</f>
        <v/>
      </c>
      <c r="E735">
        <f>IF($A735="",0,IF('TMP Paste'!$B735="",0,1))</f>
        <v>0</v>
      </c>
      <c r="F735" t="str">
        <f t="shared" si="55"/>
        <v/>
      </c>
      <c r="G735" t="str">
        <f t="shared" si="56"/>
        <v/>
      </c>
      <c r="H735" t="str">
        <f t="shared" si="57"/>
        <v/>
      </c>
      <c r="I735" t="str">
        <f t="shared" si="58"/>
        <v/>
      </c>
      <c r="J735" t="str">
        <f t="shared" si="59"/>
        <v/>
      </c>
      <c r="K735" t="str">
        <f>IF($A735="","",IF(COUNTIF($B$2:$B735,$B735)=COUNTIF($B$2:$B$1601,$B735),$B735,""))</f>
        <v/>
      </c>
    </row>
    <row r="736" spans="1:11">
      <c r="A736" t="str">
        <f>IF('TMP Paste'!$E736="","",'TMP Paste'!$E736)</f>
        <v/>
      </c>
      <c r="B736" t="str">
        <f>IF($A736="","",COUNTIF('TMP Paste'!$B$2:$B736,"?*"))</f>
        <v/>
      </c>
      <c r="C736" t="str">
        <f>IF($A736="","",IFERROR('TMP Paste'!$M736*1,0))</f>
        <v/>
      </c>
      <c r="D736" t="str">
        <f>IF($A736="","",SUMIF($B$2:$B736,$B736,$C$2:$C736))</f>
        <v/>
      </c>
      <c r="E736">
        <f>IF($A736="",0,IF('TMP Paste'!$B736="",0,1))</f>
        <v>0</v>
      </c>
      <c r="F736" t="str">
        <f t="shared" si="55"/>
        <v/>
      </c>
      <c r="G736" t="str">
        <f t="shared" si="56"/>
        <v/>
      </c>
      <c r="H736" t="str">
        <f t="shared" si="57"/>
        <v/>
      </c>
      <c r="I736" t="str">
        <f t="shared" si="58"/>
        <v/>
      </c>
      <c r="J736" t="str">
        <f t="shared" si="59"/>
        <v/>
      </c>
      <c r="K736" t="str">
        <f>IF($A736="","",IF(COUNTIF($B$2:$B736,$B736)=COUNTIF($B$2:$B$1601,$B736),$B736,""))</f>
        <v/>
      </c>
    </row>
    <row r="737" spans="1:11">
      <c r="A737" t="str">
        <f>IF('TMP Paste'!$E737="","",'TMP Paste'!$E737)</f>
        <v/>
      </c>
      <c r="B737" t="str">
        <f>IF($A737="","",COUNTIF('TMP Paste'!$B$2:$B737,"?*"))</f>
        <v/>
      </c>
      <c r="C737" t="str">
        <f>IF($A737="","",IFERROR('TMP Paste'!$M737*1,0))</f>
        <v/>
      </c>
      <c r="D737" t="str">
        <f>IF($A737="","",SUMIF($B$2:$B737,$B737,$C$2:$C737))</f>
        <v/>
      </c>
      <c r="E737">
        <f>IF($A737="",0,IF('TMP Paste'!$B737="",0,1))</f>
        <v>0</v>
      </c>
      <c r="F737" t="str">
        <f t="shared" si="55"/>
        <v/>
      </c>
      <c r="G737" t="str">
        <f t="shared" si="56"/>
        <v/>
      </c>
      <c r="H737" t="str">
        <f t="shared" si="57"/>
        <v/>
      </c>
      <c r="I737" t="str">
        <f t="shared" si="58"/>
        <v/>
      </c>
      <c r="J737" t="str">
        <f t="shared" si="59"/>
        <v/>
      </c>
      <c r="K737" t="str">
        <f>IF($A737="","",IF(COUNTIF($B$2:$B737,$B737)=COUNTIF($B$2:$B$1601,$B737),$B737,""))</f>
        <v/>
      </c>
    </row>
    <row r="738" spans="1:11">
      <c r="A738" t="str">
        <f>IF('TMP Paste'!$E738="","",'TMP Paste'!$E738)</f>
        <v/>
      </c>
      <c r="B738" t="str">
        <f>IF($A738="","",COUNTIF('TMP Paste'!$B$2:$B738,"?*"))</f>
        <v/>
      </c>
      <c r="C738" t="str">
        <f>IF($A738="","",IFERROR('TMP Paste'!$M738*1,0))</f>
        <v/>
      </c>
      <c r="D738" t="str">
        <f>IF($A738="","",SUMIF($B$2:$B738,$B738,$C$2:$C738))</f>
        <v/>
      </c>
      <c r="E738">
        <f>IF($A738="",0,IF('TMP Paste'!$B738="",0,1))</f>
        <v>0</v>
      </c>
      <c r="F738" t="str">
        <f t="shared" si="55"/>
        <v/>
      </c>
      <c r="G738" t="str">
        <f t="shared" si="56"/>
        <v/>
      </c>
      <c r="H738" t="str">
        <f t="shared" si="57"/>
        <v/>
      </c>
      <c r="I738" t="str">
        <f t="shared" si="58"/>
        <v/>
      </c>
      <c r="J738" t="str">
        <f t="shared" si="59"/>
        <v/>
      </c>
      <c r="K738" t="str">
        <f>IF($A738="","",IF(COUNTIF($B$2:$B738,$B738)=COUNTIF($B$2:$B$1601,$B738),$B738,""))</f>
        <v/>
      </c>
    </row>
    <row r="739" spans="1:11">
      <c r="A739" t="str">
        <f>IF('TMP Paste'!$E739="","",'TMP Paste'!$E739)</f>
        <v/>
      </c>
      <c r="B739" t="str">
        <f>IF($A739="","",COUNTIF('TMP Paste'!$B$2:$B739,"?*"))</f>
        <v/>
      </c>
      <c r="C739" t="str">
        <f>IF($A739="","",IFERROR('TMP Paste'!$M739*1,0))</f>
        <v/>
      </c>
      <c r="D739" t="str">
        <f>IF($A739="","",SUMIF($B$2:$B739,$B739,$C$2:$C739))</f>
        <v/>
      </c>
      <c r="E739">
        <f>IF($A739="",0,IF('TMP Paste'!$B739="",0,1))</f>
        <v>0</v>
      </c>
      <c r="F739" t="str">
        <f t="shared" si="55"/>
        <v/>
      </c>
      <c r="G739" t="str">
        <f t="shared" si="56"/>
        <v/>
      </c>
      <c r="H739" t="str">
        <f t="shared" si="57"/>
        <v/>
      </c>
      <c r="I739" t="str">
        <f t="shared" si="58"/>
        <v/>
      </c>
      <c r="J739" t="str">
        <f t="shared" si="59"/>
        <v/>
      </c>
      <c r="K739" t="str">
        <f>IF($A739="","",IF(COUNTIF($B$2:$B739,$B739)=COUNTIF($B$2:$B$1601,$B739),$B739,""))</f>
        <v/>
      </c>
    </row>
    <row r="740" spans="1:11">
      <c r="A740" t="str">
        <f>IF('TMP Paste'!$E740="","",'TMP Paste'!$E740)</f>
        <v/>
      </c>
      <c r="B740" t="str">
        <f>IF($A740="","",COUNTIF('TMP Paste'!$B$2:$B740,"?*"))</f>
        <v/>
      </c>
      <c r="C740" t="str">
        <f>IF($A740="","",IFERROR('TMP Paste'!$M740*1,0))</f>
        <v/>
      </c>
      <c r="D740" t="str">
        <f>IF($A740="","",SUMIF($B$2:$B740,$B740,$C$2:$C740))</f>
        <v/>
      </c>
      <c r="E740">
        <f>IF($A740="",0,IF('TMP Paste'!$B740="",0,1))</f>
        <v>0</v>
      </c>
      <c r="F740" t="str">
        <f t="shared" si="55"/>
        <v/>
      </c>
      <c r="G740" t="str">
        <f t="shared" si="56"/>
        <v/>
      </c>
      <c r="H740" t="str">
        <f t="shared" si="57"/>
        <v/>
      </c>
      <c r="I740" t="str">
        <f t="shared" si="58"/>
        <v/>
      </c>
      <c r="J740" t="str">
        <f t="shared" si="59"/>
        <v/>
      </c>
      <c r="K740" t="str">
        <f>IF($A740="","",IF(COUNTIF($B$2:$B740,$B740)=COUNTIF($B$2:$B$1601,$B740),$B740,""))</f>
        <v/>
      </c>
    </row>
    <row r="741" spans="1:11">
      <c r="A741" t="str">
        <f>IF('TMP Paste'!$E741="","",'TMP Paste'!$E741)</f>
        <v/>
      </c>
      <c r="B741" t="str">
        <f>IF($A741="","",COUNTIF('TMP Paste'!$B$2:$B741,"?*"))</f>
        <v/>
      </c>
      <c r="C741" t="str">
        <f>IF($A741="","",IFERROR('TMP Paste'!$M741*1,0))</f>
        <v/>
      </c>
      <c r="D741" t="str">
        <f>IF($A741="","",SUMIF($B$2:$B741,$B741,$C$2:$C741))</f>
        <v/>
      </c>
      <c r="E741">
        <f>IF($A741="",0,IF('TMP Paste'!$B741="",0,1))</f>
        <v>0</v>
      </c>
      <c r="F741" t="str">
        <f t="shared" si="55"/>
        <v/>
      </c>
      <c r="G741" t="str">
        <f t="shared" si="56"/>
        <v/>
      </c>
      <c r="H741" t="str">
        <f t="shared" si="57"/>
        <v/>
      </c>
      <c r="I741" t="str">
        <f t="shared" si="58"/>
        <v/>
      </c>
      <c r="J741" t="str">
        <f t="shared" si="59"/>
        <v/>
      </c>
      <c r="K741" t="str">
        <f>IF($A741="","",IF(COUNTIF($B$2:$B741,$B741)=COUNTIF($B$2:$B$1601,$B741),$B741,""))</f>
        <v/>
      </c>
    </row>
    <row r="742" spans="1:11">
      <c r="A742" t="str">
        <f>IF('TMP Paste'!$E742="","",'TMP Paste'!$E742)</f>
        <v/>
      </c>
      <c r="B742" t="str">
        <f>IF($A742="","",COUNTIF('TMP Paste'!$B$2:$B742,"?*"))</f>
        <v/>
      </c>
      <c r="C742" t="str">
        <f>IF($A742="","",IFERROR('TMP Paste'!$M742*1,0))</f>
        <v/>
      </c>
      <c r="D742" t="str">
        <f>IF($A742="","",SUMIF($B$2:$B742,$B742,$C$2:$C742))</f>
        <v/>
      </c>
      <c r="E742">
        <f>IF($A742="",0,IF('TMP Paste'!$B742="",0,1))</f>
        <v>0</v>
      </c>
      <c r="F742" t="str">
        <f t="shared" si="55"/>
        <v/>
      </c>
      <c r="G742" t="str">
        <f t="shared" si="56"/>
        <v/>
      </c>
      <c r="H742" t="str">
        <f t="shared" si="57"/>
        <v/>
      </c>
      <c r="I742" t="str">
        <f t="shared" si="58"/>
        <v/>
      </c>
      <c r="J742" t="str">
        <f t="shared" si="59"/>
        <v/>
      </c>
      <c r="K742" t="str">
        <f>IF($A742="","",IF(COUNTIF($B$2:$B742,$B742)=COUNTIF($B$2:$B$1601,$B742),$B742,""))</f>
        <v/>
      </c>
    </row>
    <row r="743" spans="1:11">
      <c r="A743" t="str">
        <f>IF('TMP Paste'!$E743="","",'TMP Paste'!$E743)</f>
        <v/>
      </c>
      <c r="B743" t="str">
        <f>IF($A743="","",COUNTIF('TMP Paste'!$B$2:$B743,"?*"))</f>
        <v/>
      </c>
      <c r="C743" t="str">
        <f>IF($A743="","",IFERROR('TMP Paste'!$M743*1,0))</f>
        <v/>
      </c>
      <c r="D743" t="str">
        <f>IF($A743="","",SUMIF($B$2:$B743,$B743,$C$2:$C743))</f>
        <v/>
      </c>
      <c r="E743">
        <f>IF($A743="",0,IF('TMP Paste'!$B743="",0,1))</f>
        <v>0</v>
      </c>
      <c r="F743" t="str">
        <f t="shared" si="55"/>
        <v/>
      </c>
      <c r="G743" t="str">
        <f t="shared" si="56"/>
        <v/>
      </c>
      <c r="H743" t="str">
        <f t="shared" si="57"/>
        <v/>
      </c>
      <c r="I743" t="str">
        <f t="shared" si="58"/>
        <v/>
      </c>
      <c r="J743" t="str">
        <f t="shared" si="59"/>
        <v/>
      </c>
      <c r="K743" t="str">
        <f>IF($A743="","",IF(COUNTIF($B$2:$B743,$B743)=COUNTIF($B$2:$B$1601,$B743),$B743,""))</f>
        <v/>
      </c>
    </row>
    <row r="744" spans="1:11">
      <c r="A744" t="str">
        <f>IF('TMP Paste'!$E744="","",'TMP Paste'!$E744)</f>
        <v/>
      </c>
      <c r="B744" t="str">
        <f>IF($A744="","",COUNTIF('TMP Paste'!$B$2:$B744,"?*"))</f>
        <v/>
      </c>
      <c r="C744" t="str">
        <f>IF($A744="","",IFERROR('TMP Paste'!$M744*1,0))</f>
        <v/>
      </c>
      <c r="D744" t="str">
        <f>IF($A744="","",SUMIF($B$2:$B744,$B744,$C$2:$C744))</f>
        <v/>
      </c>
      <c r="E744">
        <f>IF($A744="",0,IF('TMP Paste'!$B744="",0,1))</f>
        <v>0</v>
      </c>
      <c r="F744" t="str">
        <f t="shared" si="55"/>
        <v/>
      </c>
      <c r="G744" t="str">
        <f t="shared" si="56"/>
        <v/>
      </c>
      <c r="H744" t="str">
        <f t="shared" si="57"/>
        <v/>
      </c>
      <c r="I744" t="str">
        <f t="shared" si="58"/>
        <v/>
      </c>
      <c r="J744" t="str">
        <f t="shared" si="59"/>
        <v/>
      </c>
      <c r="K744" t="str">
        <f>IF($A744="","",IF(COUNTIF($B$2:$B744,$B744)=COUNTIF($B$2:$B$1601,$B744),$B744,""))</f>
        <v/>
      </c>
    </row>
    <row r="745" spans="1:11">
      <c r="A745" t="str">
        <f>IF('TMP Paste'!$E745="","",'TMP Paste'!$E745)</f>
        <v/>
      </c>
      <c r="B745" t="str">
        <f>IF($A745="","",COUNTIF('TMP Paste'!$B$2:$B745,"?*"))</f>
        <v/>
      </c>
      <c r="C745" t="str">
        <f>IF($A745="","",IFERROR('TMP Paste'!$M745*1,0))</f>
        <v/>
      </c>
      <c r="D745" t="str">
        <f>IF($A745="","",SUMIF($B$2:$B745,$B745,$C$2:$C745))</f>
        <v/>
      </c>
      <c r="E745">
        <f>IF($A745="",0,IF('TMP Paste'!$B745="",0,1))</f>
        <v>0</v>
      </c>
      <c r="F745" t="str">
        <f t="shared" si="55"/>
        <v/>
      </c>
      <c r="G745" t="str">
        <f t="shared" si="56"/>
        <v/>
      </c>
      <c r="H745" t="str">
        <f t="shared" si="57"/>
        <v/>
      </c>
      <c r="I745" t="str">
        <f t="shared" si="58"/>
        <v/>
      </c>
      <c r="J745" t="str">
        <f t="shared" si="59"/>
        <v/>
      </c>
      <c r="K745" t="str">
        <f>IF($A745="","",IF(COUNTIF($B$2:$B745,$B745)=COUNTIF($B$2:$B$1601,$B745),$B745,""))</f>
        <v/>
      </c>
    </row>
    <row r="746" spans="1:11">
      <c r="A746" t="str">
        <f>IF('TMP Paste'!$E746="","",'TMP Paste'!$E746)</f>
        <v/>
      </c>
      <c r="B746" t="str">
        <f>IF($A746="","",COUNTIF('TMP Paste'!$B$2:$B746,"?*"))</f>
        <v/>
      </c>
      <c r="C746" t="str">
        <f>IF($A746="","",IFERROR('TMP Paste'!$M746*1,0))</f>
        <v/>
      </c>
      <c r="D746" t="str">
        <f>IF($A746="","",SUMIF($B$2:$B746,$B746,$C$2:$C746))</f>
        <v/>
      </c>
      <c r="E746">
        <f>IF($A746="",0,IF('TMP Paste'!$B746="",0,1))</f>
        <v>0</v>
      </c>
      <c r="F746" t="str">
        <f t="shared" si="55"/>
        <v/>
      </c>
      <c r="G746" t="str">
        <f t="shared" si="56"/>
        <v/>
      </c>
      <c r="H746" t="str">
        <f t="shared" si="57"/>
        <v/>
      </c>
      <c r="I746" t="str">
        <f t="shared" si="58"/>
        <v/>
      </c>
      <c r="J746" t="str">
        <f t="shared" si="59"/>
        <v/>
      </c>
      <c r="K746" t="str">
        <f>IF($A746="","",IF(COUNTIF($B$2:$B746,$B746)=COUNTIF($B$2:$B$1601,$B746),$B746,""))</f>
        <v/>
      </c>
    </row>
    <row r="747" spans="1:11">
      <c r="A747" t="str">
        <f>IF('TMP Paste'!$E747="","",'TMP Paste'!$E747)</f>
        <v/>
      </c>
      <c r="B747" t="str">
        <f>IF($A747="","",COUNTIF('TMP Paste'!$B$2:$B747,"?*"))</f>
        <v/>
      </c>
      <c r="C747" t="str">
        <f>IF($A747="","",IFERROR('TMP Paste'!$M747*1,0))</f>
        <v/>
      </c>
      <c r="D747" t="str">
        <f>IF($A747="","",SUMIF($B$2:$B747,$B747,$C$2:$C747))</f>
        <v/>
      </c>
      <c r="E747">
        <f>IF($A747="",0,IF('TMP Paste'!$B747="",0,1))</f>
        <v>0</v>
      </c>
      <c r="F747" t="str">
        <f t="shared" si="55"/>
        <v/>
      </c>
      <c r="G747" t="str">
        <f t="shared" si="56"/>
        <v/>
      </c>
      <c r="H747" t="str">
        <f t="shared" si="57"/>
        <v/>
      </c>
      <c r="I747" t="str">
        <f t="shared" si="58"/>
        <v/>
      </c>
      <c r="J747" t="str">
        <f t="shared" si="59"/>
        <v/>
      </c>
      <c r="K747" t="str">
        <f>IF($A747="","",IF(COUNTIF($B$2:$B747,$B747)=COUNTIF($B$2:$B$1601,$B747),$B747,""))</f>
        <v/>
      </c>
    </row>
    <row r="748" spans="1:11">
      <c r="A748" t="str">
        <f>IF('TMP Paste'!$E748="","",'TMP Paste'!$E748)</f>
        <v/>
      </c>
      <c r="B748" t="str">
        <f>IF($A748="","",COUNTIF('TMP Paste'!$B$2:$B748,"?*"))</f>
        <v/>
      </c>
      <c r="C748" t="str">
        <f>IF($A748="","",IFERROR('TMP Paste'!$M748*1,0))</f>
        <v/>
      </c>
      <c r="D748" t="str">
        <f>IF($A748="","",SUMIF($B$2:$B748,$B748,$C$2:$C748))</f>
        <v/>
      </c>
      <c r="E748">
        <f>IF($A748="",0,IF('TMP Paste'!$B748="",0,1))</f>
        <v>0</v>
      </c>
      <c r="F748" t="str">
        <f t="shared" si="55"/>
        <v/>
      </c>
      <c r="G748" t="str">
        <f t="shared" si="56"/>
        <v/>
      </c>
      <c r="H748" t="str">
        <f t="shared" si="57"/>
        <v/>
      </c>
      <c r="I748" t="str">
        <f t="shared" si="58"/>
        <v/>
      </c>
      <c r="J748" t="str">
        <f t="shared" si="59"/>
        <v/>
      </c>
      <c r="K748" t="str">
        <f>IF($A748="","",IF(COUNTIF($B$2:$B748,$B748)=COUNTIF($B$2:$B$1601,$B748),$B748,""))</f>
        <v/>
      </c>
    </row>
    <row r="749" spans="1:11">
      <c r="A749" t="str">
        <f>IF('TMP Paste'!$E749="","",'TMP Paste'!$E749)</f>
        <v/>
      </c>
      <c r="B749" t="str">
        <f>IF($A749="","",COUNTIF('TMP Paste'!$B$2:$B749,"?*"))</f>
        <v/>
      </c>
      <c r="C749" t="str">
        <f>IF($A749="","",IFERROR('TMP Paste'!$M749*1,0))</f>
        <v/>
      </c>
      <c r="D749" t="str">
        <f>IF($A749="","",SUMIF($B$2:$B749,$B749,$C$2:$C749))</f>
        <v/>
      </c>
      <c r="E749">
        <f>IF($A749="",0,IF('TMP Paste'!$B749="",0,1))</f>
        <v>0</v>
      </c>
      <c r="F749" t="str">
        <f t="shared" si="55"/>
        <v/>
      </c>
      <c r="G749" t="str">
        <f t="shared" si="56"/>
        <v/>
      </c>
      <c r="H749" t="str">
        <f t="shared" si="57"/>
        <v/>
      </c>
      <c r="I749" t="str">
        <f t="shared" si="58"/>
        <v/>
      </c>
      <c r="J749" t="str">
        <f t="shared" si="59"/>
        <v/>
      </c>
      <c r="K749" t="str">
        <f>IF($A749="","",IF(COUNTIF($B$2:$B749,$B749)=COUNTIF($B$2:$B$1601,$B749),$B749,""))</f>
        <v/>
      </c>
    </row>
    <row r="750" spans="1:11">
      <c r="A750" t="str">
        <f>IF('TMP Paste'!$E750="","",'TMP Paste'!$E750)</f>
        <v/>
      </c>
      <c r="B750" t="str">
        <f>IF($A750="","",COUNTIF('TMP Paste'!$B$2:$B750,"?*"))</f>
        <v/>
      </c>
      <c r="C750" t="str">
        <f>IF($A750="","",IFERROR('TMP Paste'!$M750*1,0))</f>
        <v/>
      </c>
      <c r="D750" t="str">
        <f>IF($A750="","",SUMIF($B$2:$B750,$B750,$C$2:$C750))</f>
        <v/>
      </c>
      <c r="E750">
        <f>IF($A750="",0,IF('TMP Paste'!$B750="",0,1))</f>
        <v>0</v>
      </c>
      <c r="F750" t="str">
        <f t="shared" si="55"/>
        <v/>
      </c>
      <c r="G750" t="str">
        <f t="shared" si="56"/>
        <v/>
      </c>
      <c r="H750" t="str">
        <f t="shared" si="57"/>
        <v/>
      </c>
      <c r="I750" t="str">
        <f t="shared" si="58"/>
        <v/>
      </c>
      <c r="J750" t="str">
        <f t="shared" si="59"/>
        <v/>
      </c>
      <c r="K750" t="str">
        <f>IF($A750="","",IF(COUNTIF($B$2:$B750,$B750)=COUNTIF($B$2:$B$1601,$B750),$B750,""))</f>
        <v/>
      </c>
    </row>
    <row r="751" spans="1:11">
      <c r="A751" t="str">
        <f>IF('TMP Paste'!$E751="","",'TMP Paste'!$E751)</f>
        <v/>
      </c>
      <c r="B751" t="str">
        <f>IF($A751="","",COUNTIF('TMP Paste'!$B$2:$B751,"?*"))</f>
        <v/>
      </c>
      <c r="C751" t="str">
        <f>IF($A751="","",IFERROR('TMP Paste'!$M751*1,0))</f>
        <v/>
      </c>
      <c r="D751" t="str">
        <f>IF($A751="","",SUMIF($B$2:$B751,$B751,$C$2:$C751))</f>
        <v/>
      </c>
      <c r="E751">
        <f>IF($A751="",0,IF('TMP Paste'!$B751="",0,1))</f>
        <v>0</v>
      </c>
      <c r="F751" t="str">
        <f t="shared" si="55"/>
        <v/>
      </c>
      <c r="G751" t="str">
        <f t="shared" si="56"/>
        <v/>
      </c>
      <c r="H751" t="str">
        <f t="shared" si="57"/>
        <v/>
      </c>
      <c r="I751" t="str">
        <f t="shared" si="58"/>
        <v/>
      </c>
      <c r="J751" t="str">
        <f t="shared" si="59"/>
        <v/>
      </c>
      <c r="K751" t="str">
        <f>IF($A751="","",IF(COUNTIF($B$2:$B751,$B751)=COUNTIF($B$2:$B$1601,$B751),$B751,""))</f>
        <v/>
      </c>
    </row>
    <row r="752" spans="1:11">
      <c r="A752" t="str">
        <f>IF('TMP Paste'!$E752="","",'TMP Paste'!$E752)</f>
        <v/>
      </c>
      <c r="B752" t="str">
        <f>IF($A752="","",COUNTIF('TMP Paste'!$B$2:$B752,"?*"))</f>
        <v/>
      </c>
      <c r="C752" t="str">
        <f>IF($A752="","",IFERROR('TMP Paste'!$M752*1,0))</f>
        <v/>
      </c>
      <c r="D752" t="str">
        <f>IF($A752="","",SUMIF($B$2:$B752,$B752,$C$2:$C752))</f>
        <v/>
      </c>
      <c r="E752">
        <f>IF($A752="",0,IF('TMP Paste'!$B752="",0,1))</f>
        <v>0</v>
      </c>
      <c r="F752" t="str">
        <f t="shared" si="55"/>
        <v/>
      </c>
      <c r="G752" t="str">
        <f t="shared" si="56"/>
        <v/>
      </c>
      <c r="H752" t="str">
        <f t="shared" si="57"/>
        <v/>
      </c>
      <c r="I752" t="str">
        <f t="shared" si="58"/>
        <v/>
      </c>
      <c r="J752" t="str">
        <f t="shared" si="59"/>
        <v/>
      </c>
      <c r="K752" t="str">
        <f>IF($A752="","",IF(COUNTIF($B$2:$B752,$B752)=COUNTIF($B$2:$B$1601,$B752),$B752,""))</f>
        <v/>
      </c>
    </row>
    <row r="753" spans="1:11">
      <c r="A753" t="str">
        <f>IF('TMP Paste'!$E753="","",'TMP Paste'!$E753)</f>
        <v/>
      </c>
      <c r="B753" t="str">
        <f>IF($A753="","",COUNTIF('TMP Paste'!$B$2:$B753,"?*"))</f>
        <v/>
      </c>
      <c r="C753" t="str">
        <f>IF($A753="","",IFERROR('TMP Paste'!$M753*1,0))</f>
        <v/>
      </c>
      <c r="D753" t="str">
        <f>IF($A753="","",SUMIF($B$2:$B753,$B753,$C$2:$C753))</f>
        <v/>
      </c>
      <c r="E753">
        <f>IF($A753="",0,IF('TMP Paste'!$B753="",0,1))</f>
        <v>0</v>
      </c>
      <c r="F753" t="str">
        <f t="shared" si="55"/>
        <v/>
      </c>
      <c r="G753" t="str">
        <f t="shared" si="56"/>
        <v/>
      </c>
      <c r="H753" t="str">
        <f t="shared" si="57"/>
        <v/>
      </c>
      <c r="I753" t="str">
        <f t="shared" si="58"/>
        <v/>
      </c>
      <c r="J753" t="str">
        <f t="shared" si="59"/>
        <v/>
      </c>
      <c r="K753" t="str">
        <f>IF($A753="","",IF(COUNTIF($B$2:$B753,$B753)=COUNTIF($B$2:$B$1601,$B753),$B753,""))</f>
        <v/>
      </c>
    </row>
    <row r="754" spans="1:11">
      <c r="A754" t="str">
        <f>IF('TMP Paste'!$E754="","",'TMP Paste'!$E754)</f>
        <v/>
      </c>
      <c r="B754" t="str">
        <f>IF($A754="","",COUNTIF('TMP Paste'!$B$2:$B754,"?*"))</f>
        <v/>
      </c>
      <c r="C754" t="str">
        <f>IF($A754="","",IFERROR('TMP Paste'!$M754*1,0))</f>
        <v/>
      </c>
      <c r="D754" t="str">
        <f>IF($A754="","",SUMIF($B$2:$B754,$B754,$C$2:$C754))</f>
        <v/>
      </c>
      <c r="E754">
        <f>IF($A754="",0,IF('TMP Paste'!$B754="",0,1))</f>
        <v>0</v>
      </c>
      <c r="F754" t="str">
        <f t="shared" si="55"/>
        <v/>
      </c>
      <c r="G754" t="str">
        <f t="shared" si="56"/>
        <v/>
      </c>
      <c r="H754" t="str">
        <f t="shared" si="57"/>
        <v/>
      </c>
      <c r="I754" t="str">
        <f t="shared" si="58"/>
        <v/>
      </c>
      <c r="J754" t="str">
        <f t="shared" si="59"/>
        <v/>
      </c>
      <c r="K754" t="str">
        <f>IF($A754="","",IF(COUNTIF($B$2:$B754,$B754)=COUNTIF($B$2:$B$1601,$B754),$B754,""))</f>
        <v/>
      </c>
    </row>
    <row r="755" spans="1:11">
      <c r="A755" t="str">
        <f>IF('TMP Paste'!$E755="","",'TMP Paste'!$E755)</f>
        <v/>
      </c>
      <c r="B755" t="str">
        <f>IF($A755="","",COUNTIF('TMP Paste'!$B$2:$B755,"?*"))</f>
        <v/>
      </c>
      <c r="C755" t="str">
        <f>IF($A755="","",IFERROR('TMP Paste'!$M755*1,0))</f>
        <v/>
      </c>
      <c r="D755" t="str">
        <f>IF($A755="","",SUMIF($B$2:$B755,$B755,$C$2:$C755))</f>
        <v/>
      </c>
      <c r="E755">
        <f>IF($A755="",0,IF('TMP Paste'!$B755="",0,1))</f>
        <v>0</v>
      </c>
      <c r="F755" t="str">
        <f t="shared" si="55"/>
        <v/>
      </c>
      <c r="G755" t="str">
        <f t="shared" si="56"/>
        <v/>
      </c>
      <c r="H755" t="str">
        <f t="shared" si="57"/>
        <v/>
      </c>
      <c r="I755" t="str">
        <f t="shared" si="58"/>
        <v/>
      </c>
      <c r="J755" t="str">
        <f t="shared" si="59"/>
        <v/>
      </c>
      <c r="K755" t="str">
        <f>IF($A755="","",IF(COUNTIF($B$2:$B755,$B755)=COUNTIF($B$2:$B$1601,$B755),$B755,""))</f>
        <v/>
      </c>
    </row>
    <row r="756" spans="1:11">
      <c r="A756" t="str">
        <f>IF('TMP Paste'!$E756="","",'TMP Paste'!$E756)</f>
        <v/>
      </c>
      <c r="B756" t="str">
        <f>IF($A756="","",COUNTIF('TMP Paste'!$B$2:$B756,"?*"))</f>
        <v/>
      </c>
      <c r="C756" t="str">
        <f>IF($A756="","",IFERROR('TMP Paste'!$M756*1,0))</f>
        <v/>
      </c>
      <c r="D756" t="str">
        <f>IF($A756="","",SUMIF($B$2:$B756,$B756,$C$2:$C756))</f>
        <v/>
      </c>
      <c r="E756">
        <f>IF($A756="",0,IF('TMP Paste'!$B756="",0,1))</f>
        <v>0</v>
      </c>
      <c r="F756" t="str">
        <f t="shared" si="55"/>
        <v/>
      </c>
      <c r="G756" t="str">
        <f t="shared" si="56"/>
        <v/>
      </c>
      <c r="H756" t="str">
        <f t="shared" si="57"/>
        <v/>
      </c>
      <c r="I756" t="str">
        <f t="shared" si="58"/>
        <v/>
      </c>
      <c r="J756" t="str">
        <f t="shared" si="59"/>
        <v/>
      </c>
      <c r="K756" t="str">
        <f>IF($A756="","",IF(COUNTIF($B$2:$B756,$B756)=COUNTIF($B$2:$B$1601,$B756),$B756,""))</f>
        <v/>
      </c>
    </row>
    <row r="757" spans="1:11">
      <c r="A757" t="str">
        <f>IF('TMP Paste'!$E757="","",'TMP Paste'!$E757)</f>
        <v/>
      </c>
      <c r="B757" t="str">
        <f>IF($A757="","",COUNTIF('TMP Paste'!$B$2:$B757,"?*"))</f>
        <v/>
      </c>
      <c r="C757" t="str">
        <f>IF($A757="","",IFERROR('TMP Paste'!$M757*1,0))</f>
        <v/>
      </c>
      <c r="D757" t="str">
        <f>IF($A757="","",SUMIF($B$2:$B757,$B757,$C$2:$C757))</f>
        <v/>
      </c>
      <c r="E757">
        <f>IF($A757="",0,IF('TMP Paste'!$B757="",0,1))</f>
        <v>0</v>
      </c>
      <c r="F757" t="str">
        <f t="shared" si="55"/>
        <v/>
      </c>
      <c r="G757" t="str">
        <f t="shared" si="56"/>
        <v/>
      </c>
      <c r="H757" t="str">
        <f t="shared" si="57"/>
        <v/>
      </c>
      <c r="I757" t="str">
        <f t="shared" si="58"/>
        <v/>
      </c>
      <c r="J757" t="str">
        <f t="shared" si="59"/>
        <v/>
      </c>
      <c r="K757" t="str">
        <f>IF($A757="","",IF(COUNTIF($B$2:$B757,$B757)=COUNTIF($B$2:$B$1601,$B757),$B757,""))</f>
        <v/>
      </c>
    </row>
    <row r="758" spans="1:11">
      <c r="A758" t="str">
        <f>IF('TMP Paste'!$E758="","",'TMP Paste'!$E758)</f>
        <v/>
      </c>
      <c r="B758" t="str">
        <f>IF($A758="","",COUNTIF('TMP Paste'!$B$2:$B758,"?*"))</f>
        <v/>
      </c>
      <c r="C758" t="str">
        <f>IF($A758="","",IFERROR('TMP Paste'!$M758*1,0))</f>
        <v/>
      </c>
      <c r="D758" t="str">
        <f>IF($A758="","",SUMIF($B$2:$B758,$B758,$C$2:$C758))</f>
        <v/>
      </c>
      <c r="E758">
        <f>IF($A758="",0,IF('TMP Paste'!$B758="",0,1))</f>
        <v>0</v>
      </c>
      <c r="F758" t="str">
        <f t="shared" si="55"/>
        <v/>
      </c>
      <c r="G758" t="str">
        <f t="shared" si="56"/>
        <v/>
      </c>
      <c r="H758" t="str">
        <f t="shared" si="57"/>
        <v/>
      </c>
      <c r="I758" t="str">
        <f t="shared" si="58"/>
        <v/>
      </c>
      <c r="J758" t="str">
        <f t="shared" si="59"/>
        <v/>
      </c>
      <c r="K758" t="str">
        <f>IF($A758="","",IF(COUNTIF($B$2:$B758,$B758)=COUNTIF($B$2:$B$1601,$B758),$B758,""))</f>
        <v/>
      </c>
    </row>
    <row r="759" spans="1:11">
      <c r="A759" t="str">
        <f>IF('TMP Paste'!$E759="","",'TMP Paste'!$E759)</f>
        <v/>
      </c>
      <c r="B759" t="str">
        <f>IF($A759="","",COUNTIF('TMP Paste'!$B$2:$B759,"?*"))</f>
        <v/>
      </c>
      <c r="C759" t="str">
        <f>IF($A759="","",IFERROR('TMP Paste'!$M759*1,0))</f>
        <v/>
      </c>
      <c r="D759" t="str">
        <f>IF($A759="","",SUMIF($B$2:$B759,$B759,$C$2:$C759))</f>
        <v/>
      </c>
      <c r="E759">
        <f>IF($A759="",0,IF('TMP Paste'!$B759="",0,1))</f>
        <v>0</v>
      </c>
      <c r="F759" t="str">
        <f t="shared" si="55"/>
        <v/>
      </c>
      <c r="G759" t="str">
        <f t="shared" si="56"/>
        <v/>
      </c>
      <c r="H759" t="str">
        <f t="shared" si="57"/>
        <v/>
      </c>
      <c r="I759" t="str">
        <f t="shared" si="58"/>
        <v/>
      </c>
      <c r="J759" t="str">
        <f t="shared" si="59"/>
        <v/>
      </c>
      <c r="K759" t="str">
        <f>IF($A759="","",IF(COUNTIF($B$2:$B759,$B759)=COUNTIF($B$2:$B$1601,$B759),$B759,""))</f>
        <v/>
      </c>
    </row>
    <row r="760" spans="1:11">
      <c r="A760" t="str">
        <f>IF('TMP Paste'!$E760="","",'TMP Paste'!$E760)</f>
        <v/>
      </c>
      <c r="B760" t="str">
        <f>IF($A760="","",COUNTIF('TMP Paste'!$B$2:$B760,"?*"))</f>
        <v/>
      </c>
      <c r="C760" t="str">
        <f>IF($A760="","",IFERROR('TMP Paste'!$M760*1,0))</f>
        <v/>
      </c>
      <c r="D760" t="str">
        <f>IF($A760="","",SUMIF($B$2:$B760,$B760,$C$2:$C760))</f>
        <v/>
      </c>
      <c r="E760">
        <f>IF($A760="",0,IF('TMP Paste'!$B760="",0,1))</f>
        <v>0</v>
      </c>
      <c r="F760" t="str">
        <f t="shared" si="55"/>
        <v/>
      </c>
      <c r="G760" t="str">
        <f t="shared" si="56"/>
        <v/>
      </c>
      <c r="H760" t="str">
        <f t="shared" si="57"/>
        <v/>
      </c>
      <c r="I760" t="str">
        <f t="shared" si="58"/>
        <v/>
      </c>
      <c r="J760" t="str">
        <f t="shared" si="59"/>
        <v/>
      </c>
      <c r="K760" t="str">
        <f>IF($A760="","",IF(COUNTIF($B$2:$B760,$B760)=COUNTIF($B$2:$B$1601,$B760),$B760,""))</f>
        <v/>
      </c>
    </row>
    <row r="761" spans="1:11">
      <c r="A761" t="str">
        <f>IF('TMP Paste'!$E761="","",'TMP Paste'!$E761)</f>
        <v/>
      </c>
      <c r="B761" t="str">
        <f>IF($A761="","",COUNTIF('TMP Paste'!$B$2:$B761,"?*"))</f>
        <v/>
      </c>
      <c r="C761" t="str">
        <f>IF($A761="","",IFERROR('TMP Paste'!$M761*1,0))</f>
        <v/>
      </c>
      <c r="D761" t="str">
        <f>IF($A761="","",SUMIF($B$2:$B761,$B761,$C$2:$C761))</f>
        <v/>
      </c>
      <c r="E761">
        <f>IF($A761="",0,IF('TMP Paste'!$B761="",0,1))</f>
        <v>0</v>
      </c>
      <c r="F761" t="str">
        <f t="shared" si="55"/>
        <v/>
      </c>
      <c r="G761" t="str">
        <f t="shared" si="56"/>
        <v/>
      </c>
      <c r="H761" t="str">
        <f t="shared" si="57"/>
        <v/>
      </c>
      <c r="I761" t="str">
        <f t="shared" si="58"/>
        <v/>
      </c>
      <c r="J761" t="str">
        <f t="shared" si="59"/>
        <v/>
      </c>
      <c r="K761" t="str">
        <f>IF($A761="","",IF(COUNTIF($B$2:$B761,$B761)=COUNTIF($B$2:$B$1601,$B761),$B761,""))</f>
        <v/>
      </c>
    </row>
    <row r="762" spans="1:11">
      <c r="A762" t="str">
        <f>IF('TMP Paste'!$E762="","",'TMP Paste'!$E762)</f>
        <v/>
      </c>
      <c r="B762" t="str">
        <f>IF($A762="","",COUNTIF('TMP Paste'!$B$2:$B762,"?*"))</f>
        <v/>
      </c>
      <c r="C762" t="str">
        <f>IF($A762="","",IFERROR('TMP Paste'!$M762*1,0))</f>
        <v/>
      </c>
      <c r="D762" t="str">
        <f>IF($A762="","",SUMIF($B$2:$B762,$B762,$C$2:$C762))</f>
        <v/>
      </c>
      <c r="E762">
        <f>IF($A762="",0,IF('TMP Paste'!$B762="",0,1))</f>
        <v>0</v>
      </c>
      <c r="F762" t="str">
        <f t="shared" si="55"/>
        <v/>
      </c>
      <c r="G762" t="str">
        <f t="shared" si="56"/>
        <v/>
      </c>
      <c r="H762" t="str">
        <f t="shared" si="57"/>
        <v/>
      </c>
      <c r="I762" t="str">
        <f t="shared" si="58"/>
        <v/>
      </c>
      <c r="J762" t="str">
        <f t="shared" si="59"/>
        <v/>
      </c>
      <c r="K762" t="str">
        <f>IF($A762="","",IF(COUNTIF($B$2:$B762,$B762)=COUNTIF($B$2:$B$1601,$B762),$B762,""))</f>
        <v/>
      </c>
    </row>
    <row r="763" spans="1:11">
      <c r="A763" t="str">
        <f>IF('TMP Paste'!$E763="","",'TMP Paste'!$E763)</f>
        <v/>
      </c>
      <c r="B763" t="str">
        <f>IF($A763="","",COUNTIF('TMP Paste'!$B$2:$B763,"?*"))</f>
        <v/>
      </c>
      <c r="C763" t="str">
        <f>IF($A763="","",IFERROR('TMP Paste'!$M763*1,0))</f>
        <v/>
      </c>
      <c r="D763" t="str">
        <f>IF($A763="","",SUMIF($B$2:$B763,$B763,$C$2:$C763))</f>
        <v/>
      </c>
      <c r="E763">
        <f>IF($A763="",0,IF('TMP Paste'!$B763="",0,1))</f>
        <v>0</v>
      </c>
      <c r="F763" t="str">
        <f t="shared" si="55"/>
        <v/>
      </c>
      <c r="G763" t="str">
        <f t="shared" si="56"/>
        <v/>
      </c>
      <c r="H763" t="str">
        <f t="shared" si="57"/>
        <v/>
      </c>
      <c r="I763" t="str">
        <f t="shared" si="58"/>
        <v/>
      </c>
      <c r="J763" t="str">
        <f t="shared" si="59"/>
        <v/>
      </c>
      <c r="K763" t="str">
        <f>IF($A763="","",IF(COUNTIF($B$2:$B763,$B763)=COUNTIF($B$2:$B$1601,$B763),$B763,""))</f>
        <v/>
      </c>
    </row>
    <row r="764" spans="1:11">
      <c r="A764" t="str">
        <f>IF('TMP Paste'!$E764="","",'TMP Paste'!$E764)</f>
        <v/>
      </c>
      <c r="B764" t="str">
        <f>IF($A764="","",COUNTIF('TMP Paste'!$B$2:$B764,"?*"))</f>
        <v/>
      </c>
      <c r="C764" t="str">
        <f>IF($A764="","",IFERROR('TMP Paste'!$M764*1,0))</f>
        <v/>
      </c>
      <c r="D764" t="str">
        <f>IF($A764="","",SUMIF($B$2:$B764,$B764,$C$2:$C764))</f>
        <v/>
      </c>
      <c r="E764">
        <f>IF($A764="",0,IF('TMP Paste'!$B764="",0,1))</f>
        <v>0</v>
      </c>
      <c r="F764" t="str">
        <f t="shared" si="55"/>
        <v/>
      </c>
      <c r="G764" t="str">
        <f t="shared" si="56"/>
        <v/>
      </c>
      <c r="H764" t="str">
        <f t="shared" si="57"/>
        <v/>
      </c>
      <c r="I764" t="str">
        <f t="shared" si="58"/>
        <v/>
      </c>
      <c r="J764" t="str">
        <f t="shared" si="59"/>
        <v/>
      </c>
      <c r="K764" t="str">
        <f>IF($A764="","",IF(COUNTIF($B$2:$B764,$B764)=COUNTIF($B$2:$B$1601,$B764),$B764,""))</f>
        <v/>
      </c>
    </row>
    <row r="765" spans="1:11">
      <c r="A765" t="str">
        <f>IF('TMP Paste'!$E765="","",'TMP Paste'!$E765)</f>
        <v/>
      </c>
      <c r="B765" t="str">
        <f>IF($A765="","",COUNTIF('TMP Paste'!$B$2:$B765,"?*"))</f>
        <v/>
      </c>
      <c r="C765" t="str">
        <f>IF($A765="","",IFERROR('TMP Paste'!$M765*1,0))</f>
        <v/>
      </c>
      <c r="D765" t="str">
        <f>IF($A765="","",SUMIF($B$2:$B765,$B765,$C$2:$C765))</f>
        <v/>
      </c>
      <c r="E765">
        <f>IF($A765="",0,IF('TMP Paste'!$B765="",0,1))</f>
        <v>0</v>
      </c>
      <c r="F765" t="str">
        <f t="shared" si="55"/>
        <v/>
      </c>
      <c r="G765" t="str">
        <f t="shared" si="56"/>
        <v/>
      </c>
      <c r="H765" t="str">
        <f t="shared" si="57"/>
        <v/>
      </c>
      <c r="I765" t="str">
        <f t="shared" si="58"/>
        <v/>
      </c>
      <c r="J765" t="str">
        <f t="shared" si="59"/>
        <v/>
      </c>
      <c r="K765" t="str">
        <f>IF($A765="","",IF(COUNTIF($B$2:$B765,$B765)=COUNTIF($B$2:$B$1601,$B765),$B765,""))</f>
        <v/>
      </c>
    </row>
    <row r="766" spans="1:11">
      <c r="A766" t="str">
        <f>IF('TMP Paste'!$E766="","",'TMP Paste'!$E766)</f>
        <v/>
      </c>
      <c r="B766" t="str">
        <f>IF($A766="","",COUNTIF('TMP Paste'!$B$2:$B766,"?*"))</f>
        <v/>
      </c>
      <c r="C766" t="str">
        <f>IF($A766="","",IFERROR('TMP Paste'!$M766*1,0))</f>
        <v/>
      </c>
      <c r="D766" t="str">
        <f>IF($A766="","",SUMIF($B$2:$B766,$B766,$C$2:$C766))</f>
        <v/>
      </c>
      <c r="E766">
        <f>IF($A766="",0,IF('TMP Paste'!$B766="",0,1))</f>
        <v>0</v>
      </c>
      <c r="F766" t="str">
        <f t="shared" si="55"/>
        <v/>
      </c>
      <c r="G766" t="str">
        <f t="shared" si="56"/>
        <v/>
      </c>
      <c r="H766" t="str">
        <f t="shared" si="57"/>
        <v/>
      </c>
      <c r="I766" t="str">
        <f t="shared" si="58"/>
        <v/>
      </c>
      <c r="J766" t="str">
        <f t="shared" si="59"/>
        <v/>
      </c>
      <c r="K766" t="str">
        <f>IF($A766="","",IF(COUNTIF($B$2:$B766,$B766)=COUNTIF($B$2:$B$1601,$B766),$B766,""))</f>
        <v/>
      </c>
    </row>
    <row r="767" spans="1:11">
      <c r="A767" t="str">
        <f>IF('TMP Paste'!$E767="","",'TMP Paste'!$E767)</f>
        <v/>
      </c>
      <c r="B767" t="str">
        <f>IF($A767="","",COUNTIF('TMP Paste'!$B$2:$B767,"?*"))</f>
        <v/>
      </c>
      <c r="C767" t="str">
        <f>IF($A767="","",IFERROR('TMP Paste'!$M767*1,0))</f>
        <v/>
      </c>
      <c r="D767" t="str">
        <f>IF($A767="","",SUMIF($B$2:$B767,$B767,$C$2:$C767))</f>
        <v/>
      </c>
      <c r="E767">
        <f>IF($A767="",0,IF('TMP Paste'!$B767="",0,1))</f>
        <v>0</v>
      </c>
      <c r="F767" t="str">
        <f t="shared" si="55"/>
        <v/>
      </c>
      <c r="G767" t="str">
        <f t="shared" si="56"/>
        <v/>
      </c>
      <c r="H767" t="str">
        <f t="shared" si="57"/>
        <v/>
      </c>
      <c r="I767" t="str">
        <f t="shared" si="58"/>
        <v/>
      </c>
      <c r="J767" t="str">
        <f t="shared" si="59"/>
        <v/>
      </c>
      <c r="K767" t="str">
        <f>IF($A767="","",IF(COUNTIF($B$2:$B767,$B767)=COUNTIF($B$2:$B$1601,$B767),$B767,""))</f>
        <v/>
      </c>
    </row>
    <row r="768" spans="1:11">
      <c r="A768" t="str">
        <f>IF('TMP Paste'!$E768="","",'TMP Paste'!$E768)</f>
        <v/>
      </c>
      <c r="B768" t="str">
        <f>IF($A768="","",COUNTIF('TMP Paste'!$B$2:$B768,"?*"))</f>
        <v/>
      </c>
      <c r="C768" t="str">
        <f>IF($A768="","",IFERROR('TMP Paste'!$M768*1,0))</f>
        <v/>
      </c>
      <c r="D768" t="str">
        <f>IF($A768="","",SUMIF($B$2:$B768,$B768,$C$2:$C768))</f>
        <v/>
      </c>
      <c r="E768">
        <f>IF($A768="",0,IF('TMP Paste'!$B768="",0,1))</f>
        <v>0</v>
      </c>
      <c r="F768" t="str">
        <f t="shared" si="55"/>
        <v/>
      </c>
      <c r="G768" t="str">
        <f t="shared" si="56"/>
        <v/>
      </c>
      <c r="H768" t="str">
        <f t="shared" si="57"/>
        <v/>
      </c>
      <c r="I768" t="str">
        <f t="shared" si="58"/>
        <v/>
      </c>
      <c r="J768" t="str">
        <f t="shared" si="59"/>
        <v/>
      </c>
      <c r="K768" t="str">
        <f>IF($A768="","",IF(COUNTIF($B$2:$B768,$B768)=COUNTIF($B$2:$B$1601,$B768),$B768,""))</f>
        <v/>
      </c>
    </row>
    <row r="769" spans="1:11">
      <c r="A769" t="str">
        <f>IF('TMP Paste'!$E769="","",'TMP Paste'!$E769)</f>
        <v/>
      </c>
      <c r="B769" t="str">
        <f>IF($A769="","",COUNTIF('TMP Paste'!$B$2:$B769,"?*"))</f>
        <v/>
      </c>
      <c r="C769" t="str">
        <f>IF($A769="","",IFERROR('TMP Paste'!$M769*1,0))</f>
        <v/>
      </c>
      <c r="D769" t="str">
        <f>IF($A769="","",SUMIF($B$2:$B769,$B769,$C$2:$C769))</f>
        <v/>
      </c>
      <c r="E769">
        <f>IF($A769="",0,IF('TMP Paste'!$B769="",0,1))</f>
        <v>0</v>
      </c>
      <c r="F769" t="str">
        <f t="shared" si="55"/>
        <v/>
      </c>
      <c r="G769" t="str">
        <f t="shared" si="56"/>
        <v/>
      </c>
      <c r="H769" t="str">
        <f t="shared" si="57"/>
        <v/>
      </c>
      <c r="I769" t="str">
        <f t="shared" si="58"/>
        <v/>
      </c>
      <c r="J769" t="str">
        <f t="shared" si="59"/>
        <v/>
      </c>
      <c r="K769" t="str">
        <f>IF($A769="","",IF(COUNTIF($B$2:$B769,$B769)=COUNTIF($B$2:$B$1601,$B769),$B769,""))</f>
        <v/>
      </c>
    </row>
    <row r="770" spans="1:11">
      <c r="A770" t="str">
        <f>IF('TMP Paste'!$E770="","",'TMP Paste'!$E770)</f>
        <v/>
      </c>
      <c r="B770" t="str">
        <f>IF($A770="","",COUNTIF('TMP Paste'!$B$2:$B770,"?*"))</f>
        <v/>
      </c>
      <c r="C770" t="str">
        <f>IF($A770="","",IFERROR('TMP Paste'!$M770*1,0))</f>
        <v/>
      </c>
      <c r="D770" t="str">
        <f>IF($A770="","",SUMIF($B$2:$B770,$B770,$C$2:$C770))</f>
        <v/>
      </c>
      <c r="E770">
        <f>IF($A770="",0,IF('TMP Paste'!$B770="",0,1))</f>
        <v>0</v>
      </c>
      <c r="F770" t="str">
        <f t="shared" ref="F770:F833" si="60">IF(OR($A770="",$C770&lt;1),"",$A770&amp;"-"&amp;TEXT(($D770-$C770+1),"00")&amp;IF($C770&gt;=2,", "&amp;$A770&amp;"-"&amp;TEXT(($D770-$C770+1)+1,"00"),"")&amp;IF($C770&gt;=3,", "&amp;$A770&amp;"-"&amp;TEXT(($D770-$C770+1)+2,"00"),"")&amp;IF($C770&gt;=4,", "&amp;$A770&amp;"-"&amp;TEXT(($D770-$C770+1)+3,"00"),"")&amp;IF($C770&gt;=5,", "&amp;$A770&amp;"-"&amp;TEXT(($D770-$C770+1)+4,"00"),"")&amp;IF($C770&gt;=6,", "&amp;$A770&amp;"-"&amp;TEXT(($D770-$C770+1)+5,"00"),"")&amp;IF($C770&gt;=7,", "&amp;$A770&amp;"-"&amp;TEXT(($D770-$C770+1)+6,"00"),"")&amp;IF($C770&gt;=8,", "&amp;$A770&amp;"-"&amp;TEXT(($D770-$C770+1)+7,"00"),"")&amp;IF($C770&gt;=9,", "&amp;$A770&amp;"-"&amp;TEXT(($D770-$C770+1)+8,"00"),"")&amp;IF($C770&gt;=10,", "&amp;$A770&amp;"-"&amp;TEXT(($D770-$C770+1)+9,"00"),"")&amp;IF($C770&gt;=11,", "&amp;$A770&amp;"-"&amp;TEXT(($D770-$C770+1)+10,"00"),"")&amp;IF($C770&gt;=12,", "&amp;$A770&amp;"-"&amp;TEXT(($D770-$C770+1)+11,"00"),"")&amp;IF($C770&gt;=13,", "&amp;$A770&amp;"-"&amp;TEXT(($D770-$C770+1)+12,"00"),"")&amp;IF($C770&gt;=14,", "&amp;$A770&amp;"-"&amp;TEXT(($D770-$C770+1)+13,"00"),"")&amp;IF($C770&gt;=15,", "&amp;$A770&amp;"-"&amp;TEXT(($D770-$C770+1)+14,"00"),"")&amp;IF($C770&gt;=16,", "&amp;$A770&amp;"-"&amp;TEXT(($D770-$C770+1)+15,"00"),"")&amp;IF($C770&gt;=17,", "&amp;$A770&amp;"-"&amp;TEXT(($D770-$C770+1)+16,"00"),"")&amp;IF($C770&gt;=18,", "&amp;$A770&amp;"-"&amp;TEXT(($D770-$C770+1)+17,"00"),"")&amp;IF($C770&gt;=19,", "&amp;$A770&amp;"-"&amp;TEXT(($D770-$C770+1)+18,"00"),"")&amp;IF($C770&gt;=20,", "&amp;$A770&amp;"-"&amp;TEXT(($D770-$C770+1)+19,"00"),"")&amp;IF($C770&gt;=21,", "&amp;$A770&amp;"-"&amp;TEXT(($D770-$C770+1)+20,"00"),"")&amp;IF($C770&gt;=22,", "&amp;$A770&amp;"-"&amp;TEXT(($D770-$C770+1)+21,"00"),"")&amp;IF($C770&gt;=23,", "&amp;$A770&amp;"-"&amp;TEXT(($D770-$C770+1)+22,"00"),"")&amp;IF($C770&gt;=24,", "&amp;$A770&amp;"-"&amp;TEXT(($D770-$C770+1)+23,"00"),"")&amp;IF($C770&gt;=25,", "&amp;$A770&amp;"-"&amp;TEXT(($D770-$C770+1)+24,"00"),""))</f>
        <v/>
      </c>
      <c r="G770" t="str">
        <f t="shared" ref="G770:G833" si="61">IF($A770="","",IF($E770=1,$F770,IF($F770="",$G769,IF($G769="",$F770,$G769&amp;", "&amp;$F770))))</f>
        <v/>
      </c>
      <c r="H770" t="str">
        <f t="shared" ref="H770:H833" si="62">IF($A770="","",$A770&amp;" ("&amp;$C770&amp;")")</f>
        <v/>
      </c>
      <c r="I770" t="str">
        <f t="shared" ref="I770:I833" si="63">IF($A770="","",IF($E770=1,$H770,$I769&amp;", "&amp;$H770))</f>
        <v/>
      </c>
      <c r="J770" t="str">
        <f t="shared" ref="J770:J833" si="64">IF($A770="","",IF($E770=1,$B770,""))</f>
        <v/>
      </c>
      <c r="K770" t="str">
        <f>IF($A770="","",IF(COUNTIF($B$2:$B770,$B770)=COUNTIF($B$2:$B$1601,$B770),$B770,""))</f>
        <v/>
      </c>
    </row>
    <row r="771" spans="1:11">
      <c r="A771" t="str">
        <f>IF('TMP Paste'!$E771="","",'TMP Paste'!$E771)</f>
        <v/>
      </c>
      <c r="B771" t="str">
        <f>IF($A771="","",COUNTIF('TMP Paste'!$B$2:$B771,"?*"))</f>
        <v/>
      </c>
      <c r="C771" t="str">
        <f>IF($A771="","",IFERROR('TMP Paste'!$M771*1,0))</f>
        <v/>
      </c>
      <c r="D771" t="str">
        <f>IF($A771="","",SUMIF($B$2:$B771,$B771,$C$2:$C771))</f>
        <v/>
      </c>
      <c r="E771">
        <f>IF($A771="",0,IF('TMP Paste'!$B771="",0,1))</f>
        <v>0</v>
      </c>
      <c r="F771" t="str">
        <f t="shared" si="60"/>
        <v/>
      </c>
      <c r="G771" t="str">
        <f t="shared" si="61"/>
        <v/>
      </c>
      <c r="H771" t="str">
        <f t="shared" si="62"/>
        <v/>
      </c>
      <c r="I771" t="str">
        <f t="shared" si="63"/>
        <v/>
      </c>
      <c r="J771" t="str">
        <f t="shared" si="64"/>
        <v/>
      </c>
      <c r="K771" t="str">
        <f>IF($A771="","",IF(COUNTIF($B$2:$B771,$B771)=COUNTIF($B$2:$B$1601,$B771),$B771,""))</f>
        <v/>
      </c>
    </row>
    <row r="772" spans="1:11">
      <c r="A772" t="str">
        <f>IF('TMP Paste'!$E772="","",'TMP Paste'!$E772)</f>
        <v/>
      </c>
      <c r="B772" t="str">
        <f>IF($A772="","",COUNTIF('TMP Paste'!$B$2:$B772,"?*"))</f>
        <v/>
      </c>
      <c r="C772" t="str">
        <f>IF($A772="","",IFERROR('TMP Paste'!$M772*1,0))</f>
        <v/>
      </c>
      <c r="D772" t="str">
        <f>IF($A772="","",SUMIF($B$2:$B772,$B772,$C$2:$C772))</f>
        <v/>
      </c>
      <c r="E772">
        <f>IF($A772="",0,IF('TMP Paste'!$B772="",0,1))</f>
        <v>0</v>
      </c>
      <c r="F772" t="str">
        <f t="shared" si="60"/>
        <v/>
      </c>
      <c r="G772" t="str">
        <f t="shared" si="61"/>
        <v/>
      </c>
      <c r="H772" t="str">
        <f t="shared" si="62"/>
        <v/>
      </c>
      <c r="I772" t="str">
        <f t="shared" si="63"/>
        <v/>
      </c>
      <c r="J772" t="str">
        <f t="shared" si="64"/>
        <v/>
      </c>
      <c r="K772" t="str">
        <f>IF($A772="","",IF(COUNTIF($B$2:$B772,$B772)=COUNTIF($B$2:$B$1601,$B772),$B772,""))</f>
        <v/>
      </c>
    </row>
    <row r="773" spans="1:11">
      <c r="A773" t="str">
        <f>IF('TMP Paste'!$E773="","",'TMP Paste'!$E773)</f>
        <v/>
      </c>
      <c r="B773" t="str">
        <f>IF($A773="","",COUNTIF('TMP Paste'!$B$2:$B773,"?*"))</f>
        <v/>
      </c>
      <c r="C773" t="str">
        <f>IF($A773="","",IFERROR('TMP Paste'!$M773*1,0))</f>
        <v/>
      </c>
      <c r="D773" t="str">
        <f>IF($A773="","",SUMIF($B$2:$B773,$B773,$C$2:$C773))</f>
        <v/>
      </c>
      <c r="E773">
        <f>IF($A773="",0,IF('TMP Paste'!$B773="",0,1))</f>
        <v>0</v>
      </c>
      <c r="F773" t="str">
        <f t="shared" si="60"/>
        <v/>
      </c>
      <c r="G773" t="str">
        <f t="shared" si="61"/>
        <v/>
      </c>
      <c r="H773" t="str">
        <f t="shared" si="62"/>
        <v/>
      </c>
      <c r="I773" t="str">
        <f t="shared" si="63"/>
        <v/>
      </c>
      <c r="J773" t="str">
        <f t="shared" si="64"/>
        <v/>
      </c>
      <c r="K773" t="str">
        <f>IF($A773="","",IF(COUNTIF($B$2:$B773,$B773)=COUNTIF($B$2:$B$1601,$B773),$B773,""))</f>
        <v/>
      </c>
    </row>
    <row r="774" spans="1:11">
      <c r="A774" t="str">
        <f>IF('TMP Paste'!$E774="","",'TMP Paste'!$E774)</f>
        <v/>
      </c>
      <c r="B774" t="str">
        <f>IF($A774="","",COUNTIF('TMP Paste'!$B$2:$B774,"?*"))</f>
        <v/>
      </c>
      <c r="C774" t="str">
        <f>IF($A774="","",IFERROR('TMP Paste'!$M774*1,0))</f>
        <v/>
      </c>
      <c r="D774" t="str">
        <f>IF($A774="","",SUMIF($B$2:$B774,$B774,$C$2:$C774))</f>
        <v/>
      </c>
      <c r="E774">
        <f>IF($A774="",0,IF('TMP Paste'!$B774="",0,1))</f>
        <v>0</v>
      </c>
      <c r="F774" t="str">
        <f t="shared" si="60"/>
        <v/>
      </c>
      <c r="G774" t="str">
        <f t="shared" si="61"/>
        <v/>
      </c>
      <c r="H774" t="str">
        <f t="shared" si="62"/>
        <v/>
      </c>
      <c r="I774" t="str">
        <f t="shared" si="63"/>
        <v/>
      </c>
      <c r="J774" t="str">
        <f t="shared" si="64"/>
        <v/>
      </c>
      <c r="K774" t="str">
        <f>IF($A774="","",IF(COUNTIF($B$2:$B774,$B774)=COUNTIF($B$2:$B$1601,$B774),$B774,""))</f>
        <v/>
      </c>
    </row>
    <row r="775" spans="1:11">
      <c r="A775" t="str">
        <f>IF('TMP Paste'!$E775="","",'TMP Paste'!$E775)</f>
        <v/>
      </c>
      <c r="B775" t="str">
        <f>IF($A775="","",COUNTIF('TMP Paste'!$B$2:$B775,"?*"))</f>
        <v/>
      </c>
      <c r="C775" t="str">
        <f>IF($A775="","",IFERROR('TMP Paste'!$M775*1,0))</f>
        <v/>
      </c>
      <c r="D775" t="str">
        <f>IF($A775="","",SUMIF($B$2:$B775,$B775,$C$2:$C775))</f>
        <v/>
      </c>
      <c r="E775">
        <f>IF($A775="",0,IF('TMP Paste'!$B775="",0,1))</f>
        <v>0</v>
      </c>
      <c r="F775" t="str">
        <f t="shared" si="60"/>
        <v/>
      </c>
      <c r="G775" t="str">
        <f t="shared" si="61"/>
        <v/>
      </c>
      <c r="H775" t="str">
        <f t="shared" si="62"/>
        <v/>
      </c>
      <c r="I775" t="str">
        <f t="shared" si="63"/>
        <v/>
      </c>
      <c r="J775" t="str">
        <f t="shared" si="64"/>
        <v/>
      </c>
      <c r="K775" t="str">
        <f>IF($A775="","",IF(COUNTIF($B$2:$B775,$B775)=COUNTIF($B$2:$B$1601,$B775),$B775,""))</f>
        <v/>
      </c>
    </row>
    <row r="776" spans="1:11">
      <c r="A776" t="str">
        <f>IF('TMP Paste'!$E776="","",'TMP Paste'!$E776)</f>
        <v/>
      </c>
      <c r="B776" t="str">
        <f>IF($A776="","",COUNTIF('TMP Paste'!$B$2:$B776,"?*"))</f>
        <v/>
      </c>
      <c r="C776" t="str">
        <f>IF($A776="","",IFERROR('TMP Paste'!$M776*1,0))</f>
        <v/>
      </c>
      <c r="D776" t="str">
        <f>IF($A776="","",SUMIF($B$2:$B776,$B776,$C$2:$C776))</f>
        <v/>
      </c>
      <c r="E776">
        <f>IF($A776="",0,IF('TMP Paste'!$B776="",0,1))</f>
        <v>0</v>
      </c>
      <c r="F776" t="str">
        <f t="shared" si="60"/>
        <v/>
      </c>
      <c r="G776" t="str">
        <f t="shared" si="61"/>
        <v/>
      </c>
      <c r="H776" t="str">
        <f t="shared" si="62"/>
        <v/>
      </c>
      <c r="I776" t="str">
        <f t="shared" si="63"/>
        <v/>
      </c>
      <c r="J776" t="str">
        <f t="shared" si="64"/>
        <v/>
      </c>
      <c r="K776" t="str">
        <f>IF($A776="","",IF(COUNTIF($B$2:$B776,$B776)=COUNTIF($B$2:$B$1601,$B776),$B776,""))</f>
        <v/>
      </c>
    </row>
    <row r="777" spans="1:11">
      <c r="A777" t="str">
        <f>IF('TMP Paste'!$E777="","",'TMP Paste'!$E777)</f>
        <v/>
      </c>
      <c r="B777" t="str">
        <f>IF($A777="","",COUNTIF('TMP Paste'!$B$2:$B777,"?*"))</f>
        <v/>
      </c>
      <c r="C777" t="str">
        <f>IF($A777="","",IFERROR('TMP Paste'!$M777*1,0))</f>
        <v/>
      </c>
      <c r="D777" t="str">
        <f>IF($A777="","",SUMIF($B$2:$B777,$B777,$C$2:$C777))</f>
        <v/>
      </c>
      <c r="E777">
        <f>IF($A777="",0,IF('TMP Paste'!$B777="",0,1))</f>
        <v>0</v>
      </c>
      <c r="F777" t="str">
        <f t="shared" si="60"/>
        <v/>
      </c>
      <c r="G777" t="str">
        <f t="shared" si="61"/>
        <v/>
      </c>
      <c r="H777" t="str">
        <f t="shared" si="62"/>
        <v/>
      </c>
      <c r="I777" t="str">
        <f t="shared" si="63"/>
        <v/>
      </c>
      <c r="J777" t="str">
        <f t="shared" si="64"/>
        <v/>
      </c>
      <c r="K777" t="str">
        <f>IF($A777="","",IF(COUNTIF($B$2:$B777,$B777)=COUNTIF($B$2:$B$1601,$B777),$B777,""))</f>
        <v/>
      </c>
    </row>
    <row r="778" spans="1:11">
      <c r="A778" t="str">
        <f>IF('TMP Paste'!$E778="","",'TMP Paste'!$E778)</f>
        <v/>
      </c>
      <c r="B778" t="str">
        <f>IF($A778="","",COUNTIF('TMP Paste'!$B$2:$B778,"?*"))</f>
        <v/>
      </c>
      <c r="C778" t="str">
        <f>IF($A778="","",IFERROR('TMP Paste'!$M778*1,0))</f>
        <v/>
      </c>
      <c r="D778" t="str">
        <f>IF($A778="","",SUMIF($B$2:$B778,$B778,$C$2:$C778))</f>
        <v/>
      </c>
      <c r="E778">
        <f>IF($A778="",0,IF('TMP Paste'!$B778="",0,1))</f>
        <v>0</v>
      </c>
      <c r="F778" t="str">
        <f t="shared" si="60"/>
        <v/>
      </c>
      <c r="G778" t="str">
        <f t="shared" si="61"/>
        <v/>
      </c>
      <c r="H778" t="str">
        <f t="shared" si="62"/>
        <v/>
      </c>
      <c r="I778" t="str">
        <f t="shared" si="63"/>
        <v/>
      </c>
      <c r="J778" t="str">
        <f t="shared" si="64"/>
        <v/>
      </c>
      <c r="K778" t="str">
        <f>IF($A778="","",IF(COUNTIF($B$2:$B778,$B778)=COUNTIF($B$2:$B$1601,$B778),$B778,""))</f>
        <v/>
      </c>
    </row>
    <row r="779" spans="1:11">
      <c r="A779" t="str">
        <f>IF('TMP Paste'!$E779="","",'TMP Paste'!$E779)</f>
        <v/>
      </c>
      <c r="B779" t="str">
        <f>IF($A779="","",COUNTIF('TMP Paste'!$B$2:$B779,"?*"))</f>
        <v/>
      </c>
      <c r="C779" t="str">
        <f>IF($A779="","",IFERROR('TMP Paste'!$M779*1,0))</f>
        <v/>
      </c>
      <c r="D779" t="str">
        <f>IF($A779="","",SUMIF($B$2:$B779,$B779,$C$2:$C779))</f>
        <v/>
      </c>
      <c r="E779">
        <f>IF($A779="",0,IF('TMP Paste'!$B779="",0,1))</f>
        <v>0</v>
      </c>
      <c r="F779" t="str">
        <f t="shared" si="60"/>
        <v/>
      </c>
      <c r="G779" t="str">
        <f t="shared" si="61"/>
        <v/>
      </c>
      <c r="H779" t="str">
        <f t="shared" si="62"/>
        <v/>
      </c>
      <c r="I779" t="str">
        <f t="shared" si="63"/>
        <v/>
      </c>
      <c r="J779" t="str">
        <f t="shared" si="64"/>
        <v/>
      </c>
      <c r="K779" t="str">
        <f>IF($A779="","",IF(COUNTIF($B$2:$B779,$B779)=COUNTIF($B$2:$B$1601,$B779),$B779,""))</f>
        <v/>
      </c>
    </row>
    <row r="780" spans="1:11">
      <c r="A780" t="str">
        <f>IF('TMP Paste'!$E780="","",'TMP Paste'!$E780)</f>
        <v/>
      </c>
      <c r="B780" t="str">
        <f>IF($A780="","",COUNTIF('TMP Paste'!$B$2:$B780,"?*"))</f>
        <v/>
      </c>
      <c r="C780" t="str">
        <f>IF($A780="","",IFERROR('TMP Paste'!$M780*1,0))</f>
        <v/>
      </c>
      <c r="D780" t="str">
        <f>IF($A780="","",SUMIF($B$2:$B780,$B780,$C$2:$C780))</f>
        <v/>
      </c>
      <c r="E780">
        <f>IF($A780="",0,IF('TMP Paste'!$B780="",0,1))</f>
        <v>0</v>
      </c>
      <c r="F780" t="str">
        <f t="shared" si="60"/>
        <v/>
      </c>
      <c r="G780" t="str">
        <f t="shared" si="61"/>
        <v/>
      </c>
      <c r="H780" t="str">
        <f t="shared" si="62"/>
        <v/>
      </c>
      <c r="I780" t="str">
        <f t="shared" si="63"/>
        <v/>
      </c>
      <c r="J780" t="str">
        <f t="shared" si="64"/>
        <v/>
      </c>
      <c r="K780" t="str">
        <f>IF($A780="","",IF(COUNTIF($B$2:$B780,$B780)=COUNTIF($B$2:$B$1601,$B780),$B780,""))</f>
        <v/>
      </c>
    </row>
    <row r="781" spans="1:11">
      <c r="A781" t="str">
        <f>IF('TMP Paste'!$E781="","",'TMP Paste'!$E781)</f>
        <v/>
      </c>
      <c r="B781" t="str">
        <f>IF($A781="","",COUNTIF('TMP Paste'!$B$2:$B781,"?*"))</f>
        <v/>
      </c>
      <c r="C781" t="str">
        <f>IF($A781="","",IFERROR('TMP Paste'!$M781*1,0))</f>
        <v/>
      </c>
      <c r="D781" t="str">
        <f>IF($A781="","",SUMIF($B$2:$B781,$B781,$C$2:$C781))</f>
        <v/>
      </c>
      <c r="E781">
        <f>IF($A781="",0,IF('TMP Paste'!$B781="",0,1))</f>
        <v>0</v>
      </c>
      <c r="F781" t="str">
        <f t="shared" si="60"/>
        <v/>
      </c>
      <c r="G781" t="str">
        <f t="shared" si="61"/>
        <v/>
      </c>
      <c r="H781" t="str">
        <f t="shared" si="62"/>
        <v/>
      </c>
      <c r="I781" t="str">
        <f t="shared" si="63"/>
        <v/>
      </c>
      <c r="J781" t="str">
        <f t="shared" si="64"/>
        <v/>
      </c>
      <c r="K781" t="str">
        <f>IF($A781="","",IF(COUNTIF($B$2:$B781,$B781)=COUNTIF($B$2:$B$1601,$B781),$B781,""))</f>
        <v/>
      </c>
    </row>
    <row r="782" spans="1:11">
      <c r="A782" t="str">
        <f>IF('TMP Paste'!$E782="","",'TMP Paste'!$E782)</f>
        <v/>
      </c>
      <c r="B782" t="str">
        <f>IF($A782="","",COUNTIF('TMP Paste'!$B$2:$B782,"?*"))</f>
        <v/>
      </c>
      <c r="C782" t="str">
        <f>IF($A782="","",IFERROR('TMP Paste'!$M782*1,0))</f>
        <v/>
      </c>
      <c r="D782" t="str">
        <f>IF($A782="","",SUMIF($B$2:$B782,$B782,$C$2:$C782))</f>
        <v/>
      </c>
      <c r="E782">
        <f>IF($A782="",0,IF('TMP Paste'!$B782="",0,1))</f>
        <v>0</v>
      </c>
      <c r="F782" t="str">
        <f t="shared" si="60"/>
        <v/>
      </c>
      <c r="G782" t="str">
        <f t="shared" si="61"/>
        <v/>
      </c>
      <c r="H782" t="str">
        <f t="shared" si="62"/>
        <v/>
      </c>
      <c r="I782" t="str">
        <f t="shared" si="63"/>
        <v/>
      </c>
      <c r="J782" t="str">
        <f t="shared" si="64"/>
        <v/>
      </c>
      <c r="K782" t="str">
        <f>IF($A782="","",IF(COUNTIF($B$2:$B782,$B782)=COUNTIF($B$2:$B$1601,$B782),$B782,""))</f>
        <v/>
      </c>
    </row>
    <row r="783" spans="1:11">
      <c r="A783" t="str">
        <f>IF('TMP Paste'!$E783="","",'TMP Paste'!$E783)</f>
        <v/>
      </c>
      <c r="B783" t="str">
        <f>IF($A783="","",COUNTIF('TMP Paste'!$B$2:$B783,"?*"))</f>
        <v/>
      </c>
      <c r="C783" t="str">
        <f>IF($A783="","",IFERROR('TMP Paste'!$M783*1,0))</f>
        <v/>
      </c>
      <c r="D783" t="str">
        <f>IF($A783="","",SUMIF($B$2:$B783,$B783,$C$2:$C783))</f>
        <v/>
      </c>
      <c r="E783">
        <f>IF($A783="",0,IF('TMP Paste'!$B783="",0,1))</f>
        <v>0</v>
      </c>
      <c r="F783" t="str">
        <f t="shared" si="60"/>
        <v/>
      </c>
      <c r="G783" t="str">
        <f t="shared" si="61"/>
        <v/>
      </c>
      <c r="H783" t="str">
        <f t="shared" si="62"/>
        <v/>
      </c>
      <c r="I783" t="str">
        <f t="shared" si="63"/>
        <v/>
      </c>
      <c r="J783" t="str">
        <f t="shared" si="64"/>
        <v/>
      </c>
      <c r="K783" t="str">
        <f>IF($A783="","",IF(COUNTIF($B$2:$B783,$B783)=COUNTIF($B$2:$B$1601,$B783),$B783,""))</f>
        <v/>
      </c>
    </row>
    <row r="784" spans="1:11">
      <c r="A784" t="str">
        <f>IF('TMP Paste'!$E784="","",'TMP Paste'!$E784)</f>
        <v/>
      </c>
      <c r="B784" t="str">
        <f>IF($A784="","",COUNTIF('TMP Paste'!$B$2:$B784,"?*"))</f>
        <v/>
      </c>
      <c r="C784" t="str">
        <f>IF($A784="","",IFERROR('TMP Paste'!$M784*1,0))</f>
        <v/>
      </c>
      <c r="D784" t="str">
        <f>IF($A784="","",SUMIF($B$2:$B784,$B784,$C$2:$C784))</f>
        <v/>
      </c>
      <c r="E784">
        <f>IF($A784="",0,IF('TMP Paste'!$B784="",0,1))</f>
        <v>0</v>
      </c>
      <c r="F784" t="str">
        <f t="shared" si="60"/>
        <v/>
      </c>
      <c r="G784" t="str">
        <f t="shared" si="61"/>
        <v/>
      </c>
      <c r="H784" t="str">
        <f t="shared" si="62"/>
        <v/>
      </c>
      <c r="I784" t="str">
        <f t="shared" si="63"/>
        <v/>
      </c>
      <c r="J784" t="str">
        <f t="shared" si="64"/>
        <v/>
      </c>
      <c r="K784" t="str">
        <f>IF($A784="","",IF(COUNTIF($B$2:$B784,$B784)=COUNTIF($B$2:$B$1601,$B784),$B784,""))</f>
        <v/>
      </c>
    </row>
    <row r="785" spans="1:11">
      <c r="A785" t="str">
        <f>IF('TMP Paste'!$E785="","",'TMP Paste'!$E785)</f>
        <v/>
      </c>
      <c r="B785" t="str">
        <f>IF($A785="","",COUNTIF('TMP Paste'!$B$2:$B785,"?*"))</f>
        <v/>
      </c>
      <c r="C785" t="str">
        <f>IF($A785="","",IFERROR('TMP Paste'!$M785*1,0))</f>
        <v/>
      </c>
      <c r="D785" t="str">
        <f>IF($A785="","",SUMIF($B$2:$B785,$B785,$C$2:$C785))</f>
        <v/>
      </c>
      <c r="E785">
        <f>IF($A785="",0,IF('TMP Paste'!$B785="",0,1))</f>
        <v>0</v>
      </c>
      <c r="F785" t="str">
        <f t="shared" si="60"/>
        <v/>
      </c>
      <c r="G785" t="str">
        <f t="shared" si="61"/>
        <v/>
      </c>
      <c r="H785" t="str">
        <f t="shared" si="62"/>
        <v/>
      </c>
      <c r="I785" t="str">
        <f t="shared" si="63"/>
        <v/>
      </c>
      <c r="J785" t="str">
        <f t="shared" si="64"/>
        <v/>
      </c>
      <c r="K785" t="str">
        <f>IF($A785="","",IF(COUNTIF($B$2:$B785,$B785)=COUNTIF($B$2:$B$1601,$B785),$B785,""))</f>
        <v/>
      </c>
    </row>
    <row r="786" spans="1:11">
      <c r="A786" t="str">
        <f>IF('TMP Paste'!$E786="","",'TMP Paste'!$E786)</f>
        <v/>
      </c>
      <c r="B786" t="str">
        <f>IF($A786="","",COUNTIF('TMP Paste'!$B$2:$B786,"?*"))</f>
        <v/>
      </c>
      <c r="C786" t="str">
        <f>IF($A786="","",IFERROR('TMP Paste'!$M786*1,0))</f>
        <v/>
      </c>
      <c r="D786" t="str">
        <f>IF($A786="","",SUMIF($B$2:$B786,$B786,$C$2:$C786))</f>
        <v/>
      </c>
      <c r="E786">
        <f>IF($A786="",0,IF('TMP Paste'!$B786="",0,1))</f>
        <v>0</v>
      </c>
      <c r="F786" t="str">
        <f t="shared" si="60"/>
        <v/>
      </c>
      <c r="G786" t="str">
        <f t="shared" si="61"/>
        <v/>
      </c>
      <c r="H786" t="str">
        <f t="shared" si="62"/>
        <v/>
      </c>
      <c r="I786" t="str">
        <f t="shared" si="63"/>
        <v/>
      </c>
      <c r="J786" t="str">
        <f t="shared" si="64"/>
        <v/>
      </c>
      <c r="K786" t="str">
        <f>IF($A786="","",IF(COUNTIF($B$2:$B786,$B786)=COUNTIF($B$2:$B$1601,$B786),$B786,""))</f>
        <v/>
      </c>
    </row>
    <row r="787" spans="1:11">
      <c r="A787" t="str">
        <f>IF('TMP Paste'!$E787="","",'TMP Paste'!$E787)</f>
        <v/>
      </c>
      <c r="B787" t="str">
        <f>IF($A787="","",COUNTIF('TMP Paste'!$B$2:$B787,"?*"))</f>
        <v/>
      </c>
      <c r="C787" t="str">
        <f>IF($A787="","",IFERROR('TMP Paste'!$M787*1,0))</f>
        <v/>
      </c>
      <c r="D787" t="str">
        <f>IF($A787="","",SUMIF($B$2:$B787,$B787,$C$2:$C787))</f>
        <v/>
      </c>
      <c r="E787">
        <f>IF($A787="",0,IF('TMP Paste'!$B787="",0,1))</f>
        <v>0</v>
      </c>
      <c r="F787" t="str">
        <f t="shared" si="60"/>
        <v/>
      </c>
      <c r="G787" t="str">
        <f t="shared" si="61"/>
        <v/>
      </c>
      <c r="H787" t="str">
        <f t="shared" si="62"/>
        <v/>
      </c>
      <c r="I787" t="str">
        <f t="shared" si="63"/>
        <v/>
      </c>
      <c r="J787" t="str">
        <f t="shared" si="64"/>
        <v/>
      </c>
      <c r="K787" t="str">
        <f>IF($A787="","",IF(COUNTIF($B$2:$B787,$B787)=COUNTIF($B$2:$B$1601,$B787),$B787,""))</f>
        <v/>
      </c>
    </row>
    <row r="788" spans="1:11">
      <c r="A788" t="str">
        <f>IF('TMP Paste'!$E788="","",'TMP Paste'!$E788)</f>
        <v/>
      </c>
      <c r="B788" t="str">
        <f>IF($A788="","",COUNTIF('TMP Paste'!$B$2:$B788,"?*"))</f>
        <v/>
      </c>
      <c r="C788" t="str">
        <f>IF($A788="","",IFERROR('TMP Paste'!$M788*1,0))</f>
        <v/>
      </c>
      <c r="D788" t="str">
        <f>IF($A788="","",SUMIF($B$2:$B788,$B788,$C$2:$C788))</f>
        <v/>
      </c>
      <c r="E788">
        <f>IF($A788="",0,IF('TMP Paste'!$B788="",0,1))</f>
        <v>0</v>
      </c>
      <c r="F788" t="str">
        <f t="shared" si="60"/>
        <v/>
      </c>
      <c r="G788" t="str">
        <f t="shared" si="61"/>
        <v/>
      </c>
      <c r="H788" t="str">
        <f t="shared" si="62"/>
        <v/>
      </c>
      <c r="I788" t="str">
        <f t="shared" si="63"/>
        <v/>
      </c>
      <c r="J788" t="str">
        <f t="shared" si="64"/>
        <v/>
      </c>
      <c r="K788" t="str">
        <f>IF($A788="","",IF(COUNTIF($B$2:$B788,$B788)=COUNTIF($B$2:$B$1601,$B788),$B788,""))</f>
        <v/>
      </c>
    </row>
    <row r="789" spans="1:11">
      <c r="A789" t="str">
        <f>IF('TMP Paste'!$E789="","",'TMP Paste'!$E789)</f>
        <v/>
      </c>
      <c r="B789" t="str">
        <f>IF($A789="","",COUNTIF('TMP Paste'!$B$2:$B789,"?*"))</f>
        <v/>
      </c>
      <c r="C789" t="str">
        <f>IF($A789="","",IFERROR('TMP Paste'!$M789*1,0))</f>
        <v/>
      </c>
      <c r="D789" t="str">
        <f>IF($A789="","",SUMIF($B$2:$B789,$B789,$C$2:$C789))</f>
        <v/>
      </c>
      <c r="E789">
        <f>IF($A789="",0,IF('TMP Paste'!$B789="",0,1))</f>
        <v>0</v>
      </c>
      <c r="F789" t="str">
        <f t="shared" si="60"/>
        <v/>
      </c>
      <c r="G789" t="str">
        <f t="shared" si="61"/>
        <v/>
      </c>
      <c r="H789" t="str">
        <f t="shared" si="62"/>
        <v/>
      </c>
      <c r="I789" t="str">
        <f t="shared" si="63"/>
        <v/>
      </c>
      <c r="J789" t="str">
        <f t="shared" si="64"/>
        <v/>
      </c>
      <c r="K789" t="str">
        <f>IF($A789="","",IF(COUNTIF($B$2:$B789,$B789)=COUNTIF($B$2:$B$1601,$B789),$B789,""))</f>
        <v/>
      </c>
    </row>
    <row r="790" spans="1:11">
      <c r="A790" t="str">
        <f>IF('TMP Paste'!$E790="","",'TMP Paste'!$E790)</f>
        <v/>
      </c>
      <c r="B790" t="str">
        <f>IF($A790="","",COUNTIF('TMP Paste'!$B$2:$B790,"?*"))</f>
        <v/>
      </c>
      <c r="C790" t="str">
        <f>IF($A790="","",IFERROR('TMP Paste'!$M790*1,0))</f>
        <v/>
      </c>
      <c r="D790" t="str">
        <f>IF($A790="","",SUMIF($B$2:$B790,$B790,$C$2:$C790))</f>
        <v/>
      </c>
      <c r="E790">
        <f>IF($A790="",0,IF('TMP Paste'!$B790="",0,1))</f>
        <v>0</v>
      </c>
      <c r="F790" t="str">
        <f t="shared" si="60"/>
        <v/>
      </c>
      <c r="G790" t="str">
        <f t="shared" si="61"/>
        <v/>
      </c>
      <c r="H790" t="str">
        <f t="shared" si="62"/>
        <v/>
      </c>
      <c r="I790" t="str">
        <f t="shared" si="63"/>
        <v/>
      </c>
      <c r="J790" t="str">
        <f t="shared" si="64"/>
        <v/>
      </c>
      <c r="K790" t="str">
        <f>IF($A790="","",IF(COUNTIF($B$2:$B790,$B790)=COUNTIF($B$2:$B$1601,$B790),$B790,""))</f>
        <v/>
      </c>
    </row>
    <row r="791" spans="1:11">
      <c r="A791" t="str">
        <f>IF('TMP Paste'!$E791="","",'TMP Paste'!$E791)</f>
        <v/>
      </c>
      <c r="B791" t="str">
        <f>IF($A791="","",COUNTIF('TMP Paste'!$B$2:$B791,"?*"))</f>
        <v/>
      </c>
      <c r="C791" t="str">
        <f>IF($A791="","",IFERROR('TMP Paste'!$M791*1,0))</f>
        <v/>
      </c>
      <c r="D791" t="str">
        <f>IF($A791="","",SUMIF($B$2:$B791,$B791,$C$2:$C791))</f>
        <v/>
      </c>
      <c r="E791">
        <f>IF($A791="",0,IF('TMP Paste'!$B791="",0,1))</f>
        <v>0</v>
      </c>
      <c r="F791" t="str">
        <f t="shared" si="60"/>
        <v/>
      </c>
      <c r="G791" t="str">
        <f t="shared" si="61"/>
        <v/>
      </c>
      <c r="H791" t="str">
        <f t="shared" si="62"/>
        <v/>
      </c>
      <c r="I791" t="str">
        <f t="shared" si="63"/>
        <v/>
      </c>
      <c r="J791" t="str">
        <f t="shared" si="64"/>
        <v/>
      </c>
      <c r="K791" t="str">
        <f>IF($A791="","",IF(COUNTIF($B$2:$B791,$B791)=COUNTIF($B$2:$B$1601,$B791),$B791,""))</f>
        <v/>
      </c>
    </row>
    <row r="792" spans="1:11">
      <c r="A792" t="str">
        <f>IF('TMP Paste'!$E792="","",'TMP Paste'!$E792)</f>
        <v/>
      </c>
      <c r="B792" t="str">
        <f>IF($A792="","",COUNTIF('TMP Paste'!$B$2:$B792,"?*"))</f>
        <v/>
      </c>
      <c r="C792" t="str">
        <f>IF($A792="","",IFERROR('TMP Paste'!$M792*1,0))</f>
        <v/>
      </c>
      <c r="D792" t="str">
        <f>IF($A792="","",SUMIF($B$2:$B792,$B792,$C$2:$C792))</f>
        <v/>
      </c>
      <c r="E792">
        <f>IF($A792="",0,IF('TMP Paste'!$B792="",0,1))</f>
        <v>0</v>
      </c>
      <c r="F792" t="str">
        <f t="shared" si="60"/>
        <v/>
      </c>
      <c r="G792" t="str">
        <f t="shared" si="61"/>
        <v/>
      </c>
      <c r="H792" t="str">
        <f t="shared" si="62"/>
        <v/>
      </c>
      <c r="I792" t="str">
        <f t="shared" si="63"/>
        <v/>
      </c>
      <c r="J792" t="str">
        <f t="shared" si="64"/>
        <v/>
      </c>
      <c r="K792" t="str">
        <f>IF($A792="","",IF(COUNTIF($B$2:$B792,$B792)=COUNTIF($B$2:$B$1601,$B792),$B792,""))</f>
        <v/>
      </c>
    </row>
    <row r="793" spans="1:11">
      <c r="A793" t="str">
        <f>IF('TMP Paste'!$E793="","",'TMP Paste'!$E793)</f>
        <v/>
      </c>
      <c r="B793" t="str">
        <f>IF($A793="","",COUNTIF('TMP Paste'!$B$2:$B793,"?*"))</f>
        <v/>
      </c>
      <c r="C793" t="str">
        <f>IF($A793="","",IFERROR('TMP Paste'!$M793*1,0))</f>
        <v/>
      </c>
      <c r="D793" t="str">
        <f>IF($A793="","",SUMIF($B$2:$B793,$B793,$C$2:$C793))</f>
        <v/>
      </c>
      <c r="E793">
        <f>IF($A793="",0,IF('TMP Paste'!$B793="",0,1))</f>
        <v>0</v>
      </c>
      <c r="F793" t="str">
        <f t="shared" si="60"/>
        <v/>
      </c>
      <c r="G793" t="str">
        <f t="shared" si="61"/>
        <v/>
      </c>
      <c r="H793" t="str">
        <f t="shared" si="62"/>
        <v/>
      </c>
      <c r="I793" t="str">
        <f t="shared" si="63"/>
        <v/>
      </c>
      <c r="J793" t="str">
        <f t="shared" si="64"/>
        <v/>
      </c>
      <c r="K793" t="str">
        <f>IF($A793="","",IF(COUNTIF($B$2:$B793,$B793)=COUNTIF($B$2:$B$1601,$B793),$B793,""))</f>
        <v/>
      </c>
    </row>
    <row r="794" spans="1:11">
      <c r="A794" t="str">
        <f>IF('TMP Paste'!$E794="","",'TMP Paste'!$E794)</f>
        <v/>
      </c>
      <c r="B794" t="str">
        <f>IF($A794="","",COUNTIF('TMP Paste'!$B$2:$B794,"?*"))</f>
        <v/>
      </c>
      <c r="C794" t="str">
        <f>IF($A794="","",IFERROR('TMP Paste'!$M794*1,0))</f>
        <v/>
      </c>
      <c r="D794" t="str">
        <f>IF($A794="","",SUMIF($B$2:$B794,$B794,$C$2:$C794))</f>
        <v/>
      </c>
      <c r="E794">
        <f>IF($A794="",0,IF('TMP Paste'!$B794="",0,1))</f>
        <v>0</v>
      </c>
      <c r="F794" t="str">
        <f t="shared" si="60"/>
        <v/>
      </c>
      <c r="G794" t="str">
        <f t="shared" si="61"/>
        <v/>
      </c>
      <c r="H794" t="str">
        <f t="shared" si="62"/>
        <v/>
      </c>
      <c r="I794" t="str">
        <f t="shared" si="63"/>
        <v/>
      </c>
      <c r="J794" t="str">
        <f t="shared" si="64"/>
        <v/>
      </c>
      <c r="K794" t="str">
        <f>IF($A794="","",IF(COUNTIF($B$2:$B794,$B794)=COUNTIF($B$2:$B$1601,$B794),$B794,""))</f>
        <v/>
      </c>
    </row>
    <row r="795" spans="1:11">
      <c r="A795" t="str">
        <f>IF('TMP Paste'!$E795="","",'TMP Paste'!$E795)</f>
        <v/>
      </c>
      <c r="B795" t="str">
        <f>IF($A795="","",COUNTIF('TMP Paste'!$B$2:$B795,"?*"))</f>
        <v/>
      </c>
      <c r="C795" t="str">
        <f>IF($A795="","",IFERROR('TMP Paste'!$M795*1,0))</f>
        <v/>
      </c>
      <c r="D795" t="str">
        <f>IF($A795="","",SUMIF($B$2:$B795,$B795,$C$2:$C795))</f>
        <v/>
      </c>
      <c r="E795">
        <f>IF($A795="",0,IF('TMP Paste'!$B795="",0,1))</f>
        <v>0</v>
      </c>
      <c r="F795" t="str">
        <f t="shared" si="60"/>
        <v/>
      </c>
      <c r="G795" t="str">
        <f t="shared" si="61"/>
        <v/>
      </c>
      <c r="H795" t="str">
        <f t="shared" si="62"/>
        <v/>
      </c>
      <c r="I795" t="str">
        <f t="shared" si="63"/>
        <v/>
      </c>
      <c r="J795" t="str">
        <f t="shared" si="64"/>
        <v/>
      </c>
      <c r="K795" t="str">
        <f>IF($A795="","",IF(COUNTIF($B$2:$B795,$B795)=COUNTIF($B$2:$B$1601,$B795),$B795,""))</f>
        <v/>
      </c>
    </row>
    <row r="796" spans="1:11">
      <c r="A796" t="str">
        <f>IF('TMP Paste'!$E796="","",'TMP Paste'!$E796)</f>
        <v/>
      </c>
      <c r="B796" t="str">
        <f>IF($A796="","",COUNTIF('TMP Paste'!$B$2:$B796,"?*"))</f>
        <v/>
      </c>
      <c r="C796" t="str">
        <f>IF($A796="","",IFERROR('TMP Paste'!$M796*1,0))</f>
        <v/>
      </c>
      <c r="D796" t="str">
        <f>IF($A796="","",SUMIF($B$2:$B796,$B796,$C$2:$C796))</f>
        <v/>
      </c>
      <c r="E796">
        <f>IF($A796="",0,IF('TMP Paste'!$B796="",0,1))</f>
        <v>0</v>
      </c>
      <c r="F796" t="str">
        <f t="shared" si="60"/>
        <v/>
      </c>
      <c r="G796" t="str">
        <f t="shared" si="61"/>
        <v/>
      </c>
      <c r="H796" t="str">
        <f t="shared" si="62"/>
        <v/>
      </c>
      <c r="I796" t="str">
        <f t="shared" si="63"/>
        <v/>
      </c>
      <c r="J796" t="str">
        <f t="shared" si="64"/>
        <v/>
      </c>
      <c r="K796" t="str">
        <f>IF($A796="","",IF(COUNTIF($B$2:$B796,$B796)=COUNTIF($B$2:$B$1601,$B796),$B796,""))</f>
        <v/>
      </c>
    </row>
    <row r="797" spans="1:11">
      <c r="A797" t="str">
        <f>IF('TMP Paste'!$E797="","",'TMP Paste'!$E797)</f>
        <v/>
      </c>
      <c r="B797" t="str">
        <f>IF($A797="","",COUNTIF('TMP Paste'!$B$2:$B797,"?*"))</f>
        <v/>
      </c>
      <c r="C797" t="str">
        <f>IF($A797="","",IFERROR('TMP Paste'!$M797*1,0))</f>
        <v/>
      </c>
      <c r="D797" t="str">
        <f>IF($A797="","",SUMIF($B$2:$B797,$B797,$C$2:$C797))</f>
        <v/>
      </c>
      <c r="E797">
        <f>IF($A797="",0,IF('TMP Paste'!$B797="",0,1))</f>
        <v>0</v>
      </c>
      <c r="F797" t="str">
        <f t="shared" si="60"/>
        <v/>
      </c>
      <c r="G797" t="str">
        <f t="shared" si="61"/>
        <v/>
      </c>
      <c r="H797" t="str">
        <f t="shared" si="62"/>
        <v/>
      </c>
      <c r="I797" t="str">
        <f t="shared" si="63"/>
        <v/>
      </c>
      <c r="J797" t="str">
        <f t="shared" si="64"/>
        <v/>
      </c>
      <c r="K797" t="str">
        <f>IF($A797="","",IF(COUNTIF($B$2:$B797,$B797)=COUNTIF($B$2:$B$1601,$B797),$B797,""))</f>
        <v/>
      </c>
    </row>
    <row r="798" spans="1:11">
      <c r="A798" t="str">
        <f>IF('TMP Paste'!$E798="","",'TMP Paste'!$E798)</f>
        <v/>
      </c>
      <c r="B798" t="str">
        <f>IF($A798="","",COUNTIF('TMP Paste'!$B$2:$B798,"?*"))</f>
        <v/>
      </c>
      <c r="C798" t="str">
        <f>IF($A798="","",IFERROR('TMP Paste'!$M798*1,0))</f>
        <v/>
      </c>
      <c r="D798" t="str">
        <f>IF($A798="","",SUMIF($B$2:$B798,$B798,$C$2:$C798))</f>
        <v/>
      </c>
      <c r="E798">
        <f>IF($A798="",0,IF('TMP Paste'!$B798="",0,1))</f>
        <v>0</v>
      </c>
      <c r="F798" t="str">
        <f t="shared" si="60"/>
        <v/>
      </c>
      <c r="G798" t="str">
        <f t="shared" si="61"/>
        <v/>
      </c>
      <c r="H798" t="str">
        <f t="shared" si="62"/>
        <v/>
      </c>
      <c r="I798" t="str">
        <f t="shared" si="63"/>
        <v/>
      </c>
      <c r="J798" t="str">
        <f t="shared" si="64"/>
        <v/>
      </c>
      <c r="K798" t="str">
        <f>IF($A798="","",IF(COUNTIF($B$2:$B798,$B798)=COUNTIF($B$2:$B$1601,$B798),$B798,""))</f>
        <v/>
      </c>
    </row>
    <row r="799" spans="1:11">
      <c r="A799" t="str">
        <f>IF('TMP Paste'!$E799="","",'TMP Paste'!$E799)</f>
        <v/>
      </c>
      <c r="B799" t="str">
        <f>IF($A799="","",COUNTIF('TMP Paste'!$B$2:$B799,"?*"))</f>
        <v/>
      </c>
      <c r="C799" t="str">
        <f>IF($A799="","",IFERROR('TMP Paste'!$M799*1,0))</f>
        <v/>
      </c>
      <c r="D799" t="str">
        <f>IF($A799="","",SUMIF($B$2:$B799,$B799,$C$2:$C799))</f>
        <v/>
      </c>
      <c r="E799">
        <f>IF($A799="",0,IF('TMP Paste'!$B799="",0,1))</f>
        <v>0</v>
      </c>
      <c r="F799" t="str">
        <f t="shared" si="60"/>
        <v/>
      </c>
      <c r="G799" t="str">
        <f t="shared" si="61"/>
        <v/>
      </c>
      <c r="H799" t="str">
        <f t="shared" si="62"/>
        <v/>
      </c>
      <c r="I799" t="str">
        <f t="shared" si="63"/>
        <v/>
      </c>
      <c r="J799" t="str">
        <f t="shared" si="64"/>
        <v/>
      </c>
      <c r="K799" t="str">
        <f>IF($A799="","",IF(COUNTIF($B$2:$B799,$B799)=COUNTIF($B$2:$B$1601,$B799),$B799,""))</f>
        <v/>
      </c>
    </row>
    <row r="800" spans="1:11">
      <c r="A800" t="str">
        <f>IF('TMP Paste'!$E800="","",'TMP Paste'!$E800)</f>
        <v/>
      </c>
      <c r="B800" t="str">
        <f>IF($A800="","",COUNTIF('TMP Paste'!$B$2:$B800,"?*"))</f>
        <v/>
      </c>
      <c r="C800" t="str">
        <f>IF($A800="","",IFERROR('TMP Paste'!$M800*1,0))</f>
        <v/>
      </c>
      <c r="D800" t="str">
        <f>IF($A800="","",SUMIF($B$2:$B800,$B800,$C$2:$C800))</f>
        <v/>
      </c>
      <c r="E800">
        <f>IF($A800="",0,IF('TMP Paste'!$B800="",0,1))</f>
        <v>0</v>
      </c>
      <c r="F800" t="str">
        <f t="shared" si="60"/>
        <v/>
      </c>
      <c r="G800" t="str">
        <f t="shared" si="61"/>
        <v/>
      </c>
      <c r="H800" t="str">
        <f t="shared" si="62"/>
        <v/>
      </c>
      <c r="I800" t="str">
        <f t="shared" si="63"/>
        <v/>
      </c>
      <c r="J800" t="str">
        <f t="shared" si="64"/>
        <v/>
      </c>
      <c r="K800" t="str">
        <f>IF($A800="","",IF(COUNTIF($B$2:$B800,$B800)=COUNTIF($B$2:$B$1601,$B800),$B800,""))</f>
        <v/>
      </c>
    </row>
    <row r="801" spans="1:11">
      <c r="A801" t="str">
        <f>IF('TMP Paste'!$E801="","",'TMP Paste'!$E801)</f>
        <v/>
      </c>
      <c r="B801" t="str">
        <f>IF($A801="","",COUNTIF('TMP Paste'!$B$2:$B801,"?*"))</f>
        <v/>
      </c>
      <c r="C801" t="str">
        <f>IF($A801="","",IFERROR('TMP Paste'!$M801*1,0))</f>
        <v/>
      </c>
      <c r="D801" t="str">
        <f>IF($A801="","",SUMIF($B$2:$B801,$B801,$C$2:$C801))</f>
        <v/>
      </c>
      <c r="E801">
        <f>IF($A801="",0,IF('TMP Paste'!$B801="",0,1))</f>
        <v>0</v>
      </c>
      <c r="F801" t="str">
        <f t="shared" si="60"/>
        <v/>
      </c>
      <c r="G801" t="str">
        <f t="shared" si="61"/>
        <v/>
      </c>
      <c r="H801" t="str">
        <f t="shared" si="62"/>
        <v/>
      </c>
      <c r="I801" t="str">
        <f t="shared" si="63"/>
        <v/>
      </c>
      <c r="J801" t="str">
        <f t="shared" si="64"/>
        <v/>
      </c>
      <c r="K801" t="str">
        <f>IF($A801="","",IF(COUNTIF($B$2:$B801,$B801)=COUNTIF($B$2:$B$1601,$B801),$B801,""))</f>
        <v/>
      </c>
    </row>
    <row r="802" spans="1:11">
      <c r="A802" t="str">
        <f>IF('TMP Paste'!$E802="","",'TMP Paste'!$E802)</f>
        <v/>
      </c>
      <c r="B802" t="str">
        <f>IF($A802="","",COUNTIF('TMP Paste'!$B$2:$B802,"?*"))</f>
        <v/>
      </c>
      <c r="C802" t="str">
        <f>IF($A802="","",IFERROR('TMP Paste'!$M802*1,0))</f>
        <v/>
      </c>
      <c r="D802" t="str">
        <f>IF($A802="","",SUMIF($B$2:$B802,$B802,$C$2:$C802))</f>
        <v/>
      </c>
      <c r="E802">
        <f>IF($A802="",0,IF('TMP Paste'!$B802="",0,1))</f>
        <v>0</v>
      </c>
      <c r="F802" t="str">
        <f t="shared" si="60"/>
        <v/>
      </c>
      <c r="G802" t="str">
        <f t="shared" si="61"/>
        <v/>
      </c>
      <c r="H802" t="str">
        <f t="shared" si="62"/>
        <v/>
      </c>
      <c r="I802" t="str">
        <f t="shared" si="63"/>
        <v/>
      </c>
      <c r="J802" t="str">
        <f t="shared" si="64"/>
        <v/>
      </c>
      <c r="K802" t="str">
        <f>IF($A802="","",IF(COUNTIF($B$2:$B802,$B802)=COUNTIF($B$2:$B$1601,$B802),$B802,""))</f>
        <v/>
      </c>
    </row>
    <row r="803" spans="1:11">
      <c r="A803" t="str">
        <f>IF('TMP Paste'!$E803="","",'TMP Paste'!$E803)</f>
        <v/>
      </c>
      <c r="B803" t="str">
        <f>IF($A803="","",COUNTIF('TMP Paste'!$B$2:$B803,"?*"))</f>
        <v/>
      </c>
      <c r="C803" t="str">
        <f>IF($A803="","",IFERROR('TMP Paste'!$M803*1,0))</f>
        <v/>
      </c>
      <c r="D803" t="str">
        <f>IF($A803="","",SUMIF($B$2:$B803,$B803,$C$2:$C803))</f>
        <v/>
      </c>
      <c r="E803">
        <f>IF($A803="",0,IF('TMP Paste'!$B803="",0,1))</f>
        <v>0</v>
      </c>
      <c r="F803" t="str">
        <f t="shared" si="60"/>
        <v/>
      </c>
      <c r="G803" t="str">
        <f t="shared" si="61"/>
        <v/>
      </c>
      <c r="H803" t="str">
        <f t="shared" si="62"/>
        <v/>
      </c>
      <c r="I803" t="str">
        <f t="shared" si="63"/>
        <v/>
      </c>
      <c r="J803" t="str">
        <f t="shared" si="64"/>
        <v/>
      </c>
      <c r="K803" t="str">
        <f>IF($A803="","",IF(COUNTIF($B$2:$B803,$B803)=COUNTIF($B$2:$B$1601,$B803),$B803,""))</f>
        <v/>
      </c>
    </row>
    <row r="804" spans="1:11">
      <c r="A804" t="str">
        <f>IF('TMP Paste'!$E804="","",'TMP Paste'!$E804)</f>
        <v/>
      </c>
      <c r="B804" t="str">
        <f>IF($A804="","",COUNTIF('TMP Paste'!$B$2:$B804,"?*"))</f>
        <v/>
      </c>
      <c r="C804" t="str">
        <f>IF($A804="","",IFERROR('TMP Paste'!$M804*1,0))</f>
        <v/>
      </c>
      <c r="D804" t="str">
        <f>IF($A804="","",SUMIF($B$2:$B804,$B804,$C$2:$C804))</f>
        <v/>
      </c>
      <c r="E804">
        <f>IF($A804="",0,IF('TMP Paste'!$B804="",0,1))</f>
        <v>0</v>
      </c>
      <c r="F804" t="str">
        <f t="shared" si="60"/>
        <v/>
      </c>
      <c r="G804" t="str">
        <f t="shared" si="61"/>
        <v/>
      </c>
      <c r="H804" t="str">
        <f t="shared" si="62"/>
        <v/>
      </c>
      <c r="I804" t="str">
        <f t="shared" si="63"/>
        <v/>
      </c>
      <c r="J804" t="str">
        <f t="shared" si="64"/>
        <v/>
      </c>
      <c r="K804" t="str">
        <f>IF($A804="","",IF(COUNTIF($B$2:$B804,$B804)=COUNTIF($B$2:$B$1601,$B804),$B804,""))</f>
        <v/>
      </c>
    </row>
    <row r="805" spans="1:11">
      <c r="A805" t="str">
        <f>IF('TMP Paste'!$E805="","",'TMP Paste'!$E805)</f>
        <v/>
      </c>
      <c r="B805" t="str">
        <f>IF($A805="","",COUNTIF('TMP Paste'!$B$2:$B805,"?*"))</f>
        <v/>
      </c>
      <c r="C805" t="str">
        <f>IF($A805="","",IFERROR('TMP Paste'!$M805*1,0))</f>
        <v/>
      </c>
      <c r="D805" t="str">
        <f>IF($A805="","",SUMIF($B$2:$B805,$B805,$C$2:$C805))</f>
        <v/>
      </c>
      <c r="E805">
        <f>IF($A805="",0,IF('TMP Paste'!$B805="",0,1))</f>
        <v>0</v>
      </c>
      <c r="F805" t="str">
        <f t="shared" si="60"/>
        <v/>
      </c>
      <c r="G805" t="str">
        <f t="shared" si="61"/>
        <v/>
      </c>
      <c r="H805" t="str">
        <f t="shared" si="62"/>
        <v/>
      </c>
      <c r="I805" t="str">
        <f t="shared" si="63"/>
        <v/>
      </c>
      <c r="J805" t="str">
        <f t="shared" si="64"/>
        <v/>
      </c>
      <c r="K805" t="str">
        <f>IF($A805="","",IF(COUNTIF($B$2:$B805,$B805)=COUNTIF($B$2:$B$1601,$B805),$B805,""))</f>
        <v/>
      </c>
    </row>
    <row r="806" spans="1:11">
      <c r="A806" t="str">
        <f>IF('TMP Paste'!$E806="","",'TMP Paste'!$E806)</f>
        <v/>
      </c>
      <c r="B806" t="str">
        <f>IF($A806="","",COUNTIF('TMP Paste'!$B$2:$B806,"?*"))</f>
        <v/>
      </c>
      <c r="C806" t="str">
        <f>IF($A806="","",IFERROR('TMP Paste'!$M806*1,0))</f>
        <v/>
      </c>
      <c r="D806" t="str">
        <f>IF($A806="","",SUMIF($B$2:$B806,$B806,$C$2:$C806))</f>
        <v/>
      </c>
      <c r="E806">
        <f>IF($A806="",0,IF('TMP Paste'!$B806="",0,1))</f>
        <v>0</v>
      </c>
      <c r="F806" t="str">
        <f t="shared" si="60"/>
        <v/>
      </c>
      <c r="G806" t="str">
        <f t="shared" si="61"/>
        <v/>
      </c>
      <c r="H806" t="str">
        <f t="shared" si="62"/>
        <v/>
      </c>
      <c r="I806" t="str">
        <f t="shared" si="63"/>
        <v/>
      </c>
      <c r="J806" t="str">
        <f t="shared" si="64"/>
        <v/>
      </c>
      <c r="K806" t="str">
        <f>IF($A806="","",IF(COUNTIF($B$2:$B806,$B806)=COUNTIF($B$2:$B$1601,$B806),$B806,""))</f>
        <v/>
      </c>
    </row>
    <row r="807" spans="1:11">
      <c r="A807" t="str">
        <f>IF('TMP Paste'!$E807="","",'TMP Paste'!$E807)</f>
        <v/>
      </c>
      <c r="B807" t="str">
        <f>IF($A807="","",COUNTIF('TMP Paste'!$B$2:$B807,"?*"))</f>
        <v/>
      </c>
      <c r="C807" t="str">
        <f>IF($A807="","",IFERROR('TMP Paste'!$M807*1,0))</f>
        <v/>
      </c>
      <c r="D807" t="str">
        <f>IF($A807="","",SUMIF($B$2:$B807,$B807,$C$2:$C807))</f>
        <v/>
      </c>
      <c r="E807">
        <f>IF($A807="",0,IF('TMP Paste'!$B807="",0,1))</f>
        <v>0</v>
      </c>
      <c r="F807" t="str">
        <f t="shared" si="60"/>
        <v/>
      </c>
      <c r="G807" t="str">
        <f t="shared" si="61"/>
        <v/>
      </c>
      <c r="H807" t="str">
        <f t="shared" si="62"/>
        <v/>
      </c>
      <c r="I807" t="str">
        <f t="shared" si="63"/>
        <v/>
      </c>
      <c r="J807" t="str">
        <f t="shared" si="64"/>
        <v/>
      </c>
      <c r="K807" t="str">
        <f>IF($A807="","",IF(COUNTIF($B$2:$B807,$B807)=COUNTIF($B$2:$B$1601,$B807),$B807,""))</f>
        <v/>
      </c>
    </row>
    <row r="808" spans="1:11">
      <c r="A808" t="str">
        <f>IF('TMP Paste'!$E808="","",'TMP Paste'!$E808)</f>
        <v/>
      </c>
      <c r="B808" t="str">
        <f>IF($A808="","",COUNTIF('TMP Paste'!$B$2:$B808,"?*"))</f>
        <v/>
      </c>
      <c r="C808" t="str">
        <f>IF($A808="","",IFERROR('TMP Paste'!$M808*1,0))</f>
        <v/>
      </c>
      <c r="D808" t="str">
        <f>IF($A808="","",SUMIF($B$2:$B808,$B808,$C$2:$C808))</f>
        <v/>
      </c>
      <c r="E808">
        <f>IF($A808="",0,IF('TMP Paste'!$B808="",0,1))</f>
        <v>0</v>
      </c>
      <c r="F808" t="str">
        <f t="shared" si="60"/>
        <v/>
      </c>
      <c r="G808" t="str">
        <f t="shared" si="61"/>
        <v/>
      </c>
      <c r="H808" t="str">
        <f t="shared" si="62"/>
        <v/>
      </c>
      <c r="I808" t="str">
        <f t="shared" si="63"/>
        <v/>
      </c>
      <c r="J808" t="str">
        <f t="shared" si="64"/>
        <v/>
      </c>
      <c r="K808" t="str">
        <f>IF($A808="","",IF(COUNTIF($B$2:$B808,$B808)=COUNTIF($B$2:$B$1601,$B808),$B808,""))</f>
        <v/>
      </c>
    </row>
    <row r="809" spans="1:11">
      <c r="A809" t="str">
        <f>IF('TMP Paste'!$E809="","",'TMP Paste'!$E809)</f>
        <v/>
      </c>
      <c r="B809" t="str">
        <f>IF($A809="","",COUNTIF('TMP Paste'!$B$2:$B809,"?*"))</f>
        <v/>
      </c>
      <c r="C809" t="str">
        <f>IF($A809="","",IFERROR('TMP Paste'!$M809*1,0))</f>
        <v/>
      </c>
      <c r="D809" t="str">
        <f>IF($A809="","",SUMIF($B$2:$B809,$B809,$C$2:$C809))</f>
        <v/>
      </c>
      <c r="E809">
        <f>IF($A809="",0,IF('TMP Paste'!$B809="",0,1))</f>
        <v>0</v>
      </c>
      <c r="F809" t="str">
        <f t="shared" si="60"/>
        <v/>
      </c>
      <c r="G809" t="str">
        <f t="shared" si="61"/>
        <v/>
      </c>
      <c r="H809" t="str">
        <f t="shared" si="62"/>
        <v/>
      </c>
      <c r="I809" t="str">
        <f t="shared" si="63"/>
        <v/>
      </c>
      <c r="J809" t="str">
        <f t="shared" si="64"/>
        <v/>
      </c>
      <c r="K809" t="str">
        <f>IF($A809="","",IF(COUNTIF($B$2:$B809,$B809)=COUNTIF($B$2:$B$1601,$B809),$B809,""))</f>
        <v/>
      </c>
    </row>
    <row r="810" spans="1:11">
      <c r="A810" t="str">
        <f>IF('TMP Paste'!$E810="","",'TMP Paste'!$E810)</f>
        <v/>
      </c>
      <c r="B810" t="str">
        <f>IF($A810="","",COUNTIF('TMP Paste'!$B$2:$B810,"?*"))</f>
        <v/>
      </c>
      <c r="C810" t="str">
        <f>IF($A810="","",IFERROR('TMP Paste'!$M810*1,0))</f>
        <v/>
      </c>
      <c r="D810" t="str">
        <f>IF($A810="","",SUMIF($B$2:$B810,$B810,$C$2:$C810))</f>
        <v/>
      </c>
      <c r="E810">
        <f>IF($A810="",0,IF('TMP Paste'!$B810="",0,1))</f>
        <v>0</v>
      </c>
      <c r="F810" t="str">
        <f t="shared" si="60"/>
        <v/>
      </c>
      <c r="G810" t="str">
        <f t="shared" si="61"/>
        <v/>
      </c>
      <c r="H810" t="str">
        <f t="shared" si="62"/>
        <v/>
      </c>
      <c r="I810" t="str">
        <f t="shared" si="63"/>
        <v/>
      </c>
      <c r="J810" t="str">
        <f t="shared" si="64"/>
        <v/>
      </c>
      <c r="K810" t="str">
        <f>IF($A810="","",IF(COUNTIF($B$2:$B810,$B810)=COUNTIF($B$2:$B$1601,$B810),$B810,""))</f>
        <v/>
      </c>
    </row>
    <row r="811" spans="1:11">
      <c r="A811" t="str">
        <f>IF('TMP Paste'!$E811="","",'TMP Paste'!$E811)</f>
        <v/>
      </c>
      <c r="B811" t="str">
        <f>IF($A811="","",COUNTIF('TMP Paste'!$B$2:$B811,"?*"))</f>
        <v/>
      </c>
      <c r="C811" t="str">
        <f>IF($A811="","",IFERROR('TMP Paste'!$M811*1,0))</f>
        <v/>
      </c>
      <c r="D811" t="str">
        <f>IF($A811="","",SUMIF($B$2:$B811,$B811,$C$2:$C811))</f>
        <v/>
      </c>
      <c r="E811">
        <f>IF($A811="",0,IF('TMP Paste'!$B811="",0,1))</f>
        <v>0</v>
      </c>
      <c r="F811" t="str">
        <f t="shared" si="60"/>
        <v/>
      </c>
      <c r="G811" t="str">
        <f t="shared" si="61"/>
        <v/>
      </c>
      <c r="H811" t="str">
        <f t="shared" si="62"/>
        <v/>
      </c>
      <c r="I811" t="str">
        <f t="shared" si="63"/>
        <v/>
      </c>
      <c r="J811" t="str">
        <f t="shared" si="64"/>
        <v/>
      </c>
      <c r="K811" t="str">
        <f>IF($A811="","",IF(COUNTIF($B$2:$B811,$B811)=COUNTIF($B$2:$B$1601,$B811),$B811,""))</f>
        <v/>
      </c>
    </row>
    <row r="812" spans="1:11">
      <c r="A812" t="str">
        <f>IF('TMP Paste'!$E812="","",'TMP Paste'!$E812)</f>
        <v/>
      </c>
      <c r="B812" t="str">
        <f>IF($A812="","",COUNTIF('TMP Paste'!$B$2:$B812,"?*"))</f>
        <v/>
      </c>
      <c r="C812" t="str">
        <f>IF($A812="","",IFERROR('TMP Paste'!$M812*1,0))</f>
        <v/>
      </c>
      <c r="D812" t="str">
        <f>IF($A812="","",SUMIF($B$2:$B812,$B812,$C$2:$C812))</f>
        <v/>
      </c>
      <c r="E812">
        <f>IF($A812="",0,IF('TMP Paste'!$B812="",0,1))</f>
        <v>0</v>
      </c>
      <c r="F812" t="str">
        <f t="shared" si="60"/>
        <v/>
      </c>
      <c r="G812" t="str">
        <f t="shared" si="61"/>
        <v/>
      </c>
      <c r="H812" t="str">
        <f t="shared" si="62"/>
        <v/>
      </c>
      <c r="I812" t="str">
        <f t="shared" si="63"/>
        <v/>
      </c>
      <c r="J812" t="str">
        <f t="shared" si="64"/>
        <v/>
      </c>
      <c r="K812" t="str">
        <f>IF($A812="","",IF(COUNTIF($B$2:$B812,$B812)=COUNTIF($B$2:$B$1601,$B812),$B812,""))</f>
        <v/>
      </c>
    </row>
    <row r="813" spans="1:11">
      <c r="A813" t="str">
        <f>IF('TMP Paste'!$E813="","",'TMP Paste'!$E813)</f>
        <v/>
      </c>
      <c r="B813" t="str">
        <f>IF($A813="","",COUNTIF('TMP Paste'!$B$2:$B813,"?*"))</f>
        <v/>
      </c>
      <c r="C813" t="str">
        <f>IF($A813="","",IFERROR('TMP Paste'!$M813*1,0))</f>
        <v/>
      </c>
      <c r="D813" t="str">
        <f>IF($A813="","",SUMIF($B$2:$B813,$B813,$C$2:$C813))</f>
        <v/>
      </c>
      <c r="E813">
        <f>IF($A813="",0,IF('TMP Paste'!$B813="",0,1))</f>
        <v>0</v>
      </c>
      <c r="F813" t="str">
        <f t="shared" si="60"/>
        <v/>
      </c>
      <c r="G813" t="str">
        <f t="shared" si="61"/>
        <v/>
      </c>
      <c r="H813" t="str">
        <f t="shared" si="62"/>
        <v/>
      </c>
      <c r="I813" t="str">
        <f t="shared" si="63"/>
        <v/>
      </c>
      <c r="J813" t="str">
        <f t="shared" si="64"/>
        <v/>
      </c>
      <c r="K813" t="str">
        <f>IF($A813="","",IF(COUNTIF($B$2:$B813,$B813)=COUNTIF($B$2:$B$1601,$B813),$B813,""))</f>
        <v/>
      </c>
    </row>
    <row r="814" spans="1:11">
      <c r="A814" t="str">
        <f>IF('TMP Paste'!$E814="","",'TMP Paste'!$E814)</f>
        <v/>
      </c>
      <c r="B814" t="str">
        <f>IF($A814="","",COUNTIF('TMP Paste'!$B$2:$B814,"?*"))</f>
        <v/>
      </c>
      <c r="C814" t="str">
        <f>IF($A814="","",IFERROR('TMP Paste'!$M814*1,0))</f>
        <v/>
      </c>
      <c r="D814" t="str">
        <f>IF($A814="","",SUMIF($B$2:$B814,$B814,$C$2:$C814))</f>
        <v/>
      </c>
      <c r="E814">
        <f>IF($A814="",0,IF('TMP Paste'!$B814="",0,1))</f>
        <v>0</v>
      </c>
      <c r="F814" t="str">
        <f t="shared" si="60"/>
        <v/>
      </c>
      <c r="G814" t="str">
        <f t="shared" si="61"/>
        <v/>
      </c>
      <c r="H814" t="str">
        <f t="shared" si="62"/>
        <v/>
      </c>
      <c r="I814" t="str">
        <f t="shared" si="63"/>
        <v/>
      </c>
      <c r="J814" t="str">
        <f t="shared" si="64"/>
        <v/>
      </c>
      <c r="K814" t="str">
        <f>IF($A814="","",IF(COUNTIF($B$2:$B814,$B814)=COUNTIF($B$2:$B$1601,$B814),$B814,""))</f>
        <v/>
      </c>
    </row>
    <row r="815" spans="1:11">
      <c r="A815" t="str">
        <f>IF('TMP Paste'!$E815="","",'TMP Paste'!$E815)</f>
        <v/>
      </c>
      <c r="B815" t="str">
        <f>IF($A815="","",COUNTIF('TMP Paste'!$B$2:$B815,"?*"))</f>
        <v/>
      </c>
      <c r="C815" t="str">
        <f>IF($A815="","",IFERROR('TMP Paste'!$M815*1,0))</f>
        <v/>
      </c>
      <c r="D815" t="str">
        <f>IF($A815="","",SUMIF($B$2:$B815,$B815,$C$2:$C815))</f>
        <v/>
      </c>
      <c r="E815">
        <f>IF($A815="",0,IF('TMP Paste'!$B815="",0,1))</f>
        <v>0</v>
      </c>
      <c r="F815" t="str">
        <f t="shared" si="60"/>
        <v/>
      </c>
      <c r="G815" t="str">
        <f t="shared" si="61"/>
        <v/>
      </c>
      <c r="H815" t="str">
        <f t="shared" si="62"/>
        <v/>
      </c>
      <c r="I815" t="str">
        <f t="shared" si="63"/>
        <v/>
      </c>
      <c r="J815" t="str">
        <f t="shared" si="64"/>
        <v/>
      </c>
      <c r="K815" t="str">
        <f>IF($A815="","",IF(COUNTIF($B$2:$B815,$B815)=COUNTIF($B$2:$B$1601,$B815),$B815,""))</f>
        <v/>
      </c>
    </row>
    <row r="816" spans="1:11">
      <c r="A816" t="str">
        <f>IF('TMP Paste'!$E816="","",'TMP Paste'!$E816)</f>
        <v/>
      </c>
      <c r="B816" t="str">
        <f>IF($A816="","",COUNTIF('TMP Paste'!$B$2:$B816,"?*"))</f>
        <v/>
      </c>
      <c r="C816" t="str">
        <f>IF($A816="","",IFERROR('TMP Paste'!$M816*1,0))</f>
        <v/>
      </c>
      <c r="D816" t="str">
        <f>IF($A816="","",SUMIF($B$2:$B816,$B816,$C$2:$C816))</f>
        <v/>
      </c>
      <c r="E816">
        <f>IF($A816="",0,IF('TMP Paste'!$B816="",0,1))</f>
        <v>0</v>
      </c>
      <c r="F816" t="str">
        <f t="shared" si="60"/>
        <v/>
      </c>
      <c r="G816" t="str">
        <f t="shared" si="61"/>
        <v/>
      </c>
      <c r="H816" t="str">
        <f t="shared" si="62"/>
        <v/>
      </c>
      <c r="I816" t="str">
        <f t="shared" si="63"/>
        <v/>
      </c>
      <c r="J816" t="str">
        <f t="shared" si="64"/>
        <v/>
      </c>
      <c r="K816" t="str">
        <f>IF($A816="","",IF(COUNTIF($B$2:$B816,$B816)=COUNTIF($B$2:$B$1601,$B816),$B816,""))</f>
        <v/>
      </c>
    </row>
    <row r="817" spans="1:11">
      <c r="A817" t="str">
        <f>IF('TMP Paste'!$E817="","",'TMP Paste'!$E817)</f>
        <v/>
      </c>
      <c r="B817" t="str">
        <f>IF($A817="","",COUNTIF('TMP Paste'!$B$2:$B817,"?*"))</f>
        <v/>
      </c>
      <c r="C817" t="str">
        <f>IF($A817="","",IFERROR('TMP Paste'!$M817*1,0))</f>
        <v/>
      </c>
      <c r="D817" t="str">
        <f>IF($A817="","",SUMIF($B$2:$B817,$B817,$C$2:$C817))</f>
        <v/>
      </c>
      <c r="E817">
        <f>IF($A817="",0,IF('TMP Paste'!$B817="",0,1))</f>
        <v>0</v>
      </c>
      <c r="F817" t="str">
        <f t="shared" si="60"/>
        <v/>
      </c>
      <c r="G817" t="str">
        <f t="shared" si="61"/>
        <v/>
      </c>
      <c r="H817" t="str">
        <f t="shared" si="62"/>
        <v/>
      </c>
      <c r="I817" t="str">
        <f t="shared" si="63"/>
        <v/>
      </c>
      <c r="J817" t="str">
        <f t="shared" si="64"/>
        <v/>
      </c>
      <c r="K817" t="str">
        <f>IF($A817="","",IF(COUNTIF($B$2:$B817,$B817)=COUNTIF($B$2:$B$1601,$B817),$B817,""))</f>
        <v/>
      </c>
    </row>
    <row r="818" spans="1:11">
      <c r="A818" t="str">
        <f>IF('TMP Paste'!$E818="","",'TMP Paste'!$E818)</f>
        <v/>
      </c>
      <c r="B818" t="str">
        <f>IF($A818="","",COUNTIF('TMP Paste'!$B$2:$B818,"?*"))</f>
        <v/>
      </c>
      <c r="C818" t="str">
        <f>IF($A818="","",IFERROR('TMP Paste'!$M818*1,0))</f>
        <v/>
      </c>
      <c r="D818" t="str">
        <f>IF($A818="","",SUMIF($B$2:$B818,$B818,$C$2:$C818))</f>
        <v/>
      </c>
      <c r="E818">
        <f>IF($A818="",0,IF('TMP Paste'!$B818="",0,1))</f>
        <v>0</v>
      </c>
      <c r="F818" t="str">
        <f t="shared" si="60"/>
        <v/>
      </c>
      <c r="G818" t="str">
        <f t="shared" si="61"/>
        <v/>
      </c>
      <c r="H818" t="str">
        <f t="shared" si="62"/>
        <v/>
      </c>
      <c r="I818" t="str">
        <f t="shared" si="63"/>
        <v/>
      </c>
      <c r="J818" t="str">
        <f t="shared" si="64"/>
        <v/>
      </c>
      <c r="K818" t="str">
        <f>IF($A818="","",IF(COUNTIF($B$2:$B818,$B818)=COUNTIF($B$2:$B$1601,$B818),$B818,""))</f>
        <v/>
      </c>
    </row>
    <row r="819" spans="1:11">
      <c r="A819" t="str">
        <f>IF('TMP Paste'!$E819="","",'TMP Paste'!$E819)</f>
        <v/>
      </c>
      <c r="B819" t="str">
        <f>IF($A819="","",COUNTIF('TMP Paste'!$B$2:$B819,"?*"))</f>
        <v/>
      </c>
      <c r="C819" t="str">
        <f>IF($A819="","",IFERROR('TMP Paste'!$M819*1,0))</f>
        <v/>
      </c>
      <c r="D819" t="str">
        <f>IF($A819="","",SUMIF($B$2:$B819,$B819,$C$2:$C819))</f>
        <v/>
      </c>
      <c r="E819">
        <f>IF($A819="",0,IF('TMP Paste'!$B819="",0,1))</f>
        <v>0</v>
      </c>
      <c r="F819" t="str">
        <f t="shared" si="60"/>
        <v/>
      </c>
      <c r="G819" t="str">
        <f t="shared" si="61"/>
        <v/>
      </c>
      <c r="H819" t="str">
        <f t="shared" si="62"/>
        <v/>
      </c>
      <c r="I819" t="str">
        <f t="shared" si="63"/>
        <v/>
      </c>
      <c r="J819" t="str">
        <f t="shared" si="64"/>
        <v/>
      </c>
      <c r="K819" t="str">
        <f>IF($A819="","",IF(COUNTIF($B$2:$B819,$B819)=COUNTIF($B$2:$B$1601,$B819),$B819,""))</f>
        <v/>
      </c>
    </row>
    <row r="820" spans="1:11">
      <c r="A820" t="str">
        <f>IF('TMP Paste'!$E820="","",'TMP Paste'!$E820)</f>
        <v/>
      </c>
      <c r="B820" t="str">
        <f>IF($A820="","",COUNTIF('TMP Paste'!$B$2:$B820,"?*"))</f>
        <v/>
      </c>
      <c r="C820" t="str">
        <f>IF($A820="","",IFERROR('TMP Paste'!$M820*1,0))</f>
        <v/>
      </c>
      <c r="D820" t="str">
        <f>IF($A820="","",SUMIF($B$2:$B820,$B820,$C$2:$C820))</f>
        <v/>
      </c>
      <c r="E820">
        <f>IF($A820="",0,IF('TMP Paste'!$B820="",0,1))</f>
        <v>0</v>
      </c>
      <c r="F820" t="str">
        <f t="shared" si="60"/>
        <v/>
      </c>
      <c r="G820" t="str">
        <f t="shared" si="61"/>
        <v/>
      </c>
      <c r="H820" t="str">
        <f t="shared" si="62"/>
        <v/>
      </c>
      <c r="I820" t="str">
        <f t="shared" si="63"/>
        <v/>
      </c>
      <c r="J820" t="str">
        <f t="shared" si="64"/>
        <v/>
      </c>
      <c r="K820" t="str">
        <f>IF($A820="","",IF(COUNTIF($B$2:$B820,$B820)=COUNTIF($B$2:$B$1601,$B820),$B820,""))</f>
        <v/>
      </c>
    </row>
    <row r="821" spans="1:11">
      <c r="A821" t="str">
        <f>IF('TMP Paste'!$E821="","",'TMP Paste'!$E821)</f>
        <v/>
      </c>
      <c r="B821" t="str">
        <f>IF($A821="","",COUNTIF('TMP Paste'!$B$2:$B821,"?*"))</f>
        <v/>
      </c>
      <c r="C821" t="str">
        <f>IF($A821="","",IFERROR('TMP Paste'!$M821*1,0))</f>
        <v/>
      </c>
      <c r="D821" t="str">
        <f>IF($A821="","",SUMIF($B$2:$B821,$B821,$C$2:$C821))</f>
        <v/>
      </c>
      <c r="E821">
        <f>IF($A821="",0,IF('TMP Paste'!$B821="",0,1))</f>
        <v>0</v>
      </c>
      <c r="F821" t="str">
        <f t="shared" si="60"/>
        <v/>
      </c>
      <c r="G821" t="str">
        <f t="shared" si="61"/>
        <v/>
      </c>
      <c r="H821" t="str">
        <f t="shared" si="62"/>
        <v/>
      </c>
      <c r="I821" t="str">
        <f t="shared" si="63"/>
        <v/>
      </c>
      <c r="J821" t="str">
        <f t="shared" si="64"/>
        <v/>
      </c>
      <c r="K821" t="str">
        <f>IF($A821="","",IF(COUNTIF($B$2:$B821,$B821)=COUNTIF($B$2:$B$1601,$B821),$B821,""))</f>
        <v/>
      </c>
    </row>
    <row r="822" spans="1:11">
      <c r="A822" t="str">
        <f>IF('TMP Paste'!$E822="","",'TMP Paste'!$E822)</f>
        <v/>
      </c>
      <c r="B822" t="str">
        <f>IF($A822="","",COUNTIF('TMP Paste'!$B$2:$B822,"?*"))</f>
        <v/>
      </c>
      <c r="C822" t="str">
        <f>IF($A822="","",IFERROR('TMP Paste'!$M822*1,0))</f>
        <v/>
      </c>
      <c r="D822" t="str">
        <f>IF($A822="","",SUMIF($B$2:$B822,$B822,$C$2:$C822))</f>
        <v/>
      </c>
      <c r="E822">
        <f>IF($A822="",0,IF('TMP Paste'!$B822="",0,1))</f>
        <v>0</v>
      </c>
      <c r="F822" t="str">
        <f t="shared" si="60"/>
        <v/>
      </c>
      <c r="G822" t="str">
        <f t="shared" si="61"/>
        <v/>
      </c>
      <c r="H822" t="str">
        <f t="shared" si="62"/>
        <v/>
      </c>
      <c r="I822" t="str">
        <f t="shared" si="63"/>
        <v/>
      </c>
      <c r="J822" t="str">
        <f t="shared" si="64"/>
        <v/>
      </c>
      <c r="K822" t="str">
        <f>IF($A822="","",IF(COUNTIF($B$2:$B822,$B822)=COUNTIF($B$2:$B$1601,$B822),$B822,""))</f>
        <v/>
      </c>
    </row>
    <row r="823" spans="1:11">
      <c r="A823" t="str">
        <f>IF('TMP Paste'!$E823="","",'TMP Paste'!$E823)</f>
        <v/>
      </c>
      <c r="B823" t="str">
        <f>IF($A823="","",COUNTIF('TMP Paste'!$B$2:$B823,"?*"))</f>
        <v/>
      </c>
      <c r="C823" t="str">
        <f>IF($A823="","",IFERROR('TMP Paste'!$M823*1,0))</f>
        <v/>
      </c>
      <c r="D823" t="str">
        <f>IF($A823="","",SUMIF($B$2:$B823,$B823,$C$2:$C823))</f>
        <v/>
      </c>
      <c r="E823">
        <f>IF($A823="",0,IF('TMP Paste'!$B823="",0,1))</f>
        <v>0</v>
      </c>
      <c r="F823" t="str">
        <f t="shared" si="60"/>
        <v/>
      </c>
      <c r="G823" t="str">
        <f t="shared" si="61"/>
        <v/>
      </c>
      <c r="H823" t="str">
        <f t="shared" si="62"/>
        <v/>
      </c>
      <c r="I823" t="str">
        <f t="shared" si="63"/>
        <v/>
      </c>
      <c r="J823" t="str">
        <f t="shared" si="64"/>
        <v/>
      </c>
      <c r="K823" t="str">
        <f>IF($A823="","",IF(COUNTIF($B$2:$B823,$B823)=COUNTIF($B$2:$B$1601,$B823),$B823,""))</f>
        <v/>
      </c>
    </row>
    <row r="824" spans="1:11">
      <c r="A824" t="str">
        <f>IF('TMP Paste'!$E824="","",'TMP Paste'!$E824)</f>
        <v/>
      </c>
      <c r="B824" t="str">
        <f>IF($A824="","",COUNTIF('TMP Paste'!$B$2:$B824,"?*"))</f>
        <v/>
      </c>
      <c r="C824" t="str">
        <f>IF($A824="","",IFERROR('TMP Paste'!$M824*1,0))</f>
        <v/>
      </c>
      <c r="D824" t="str">
        <f>IF($A824="","",SUMIF($B$2:$B824,$B824,$C$2:$C824))</f>
        <v/>
      </c>
      <c r="E824">
        <f>IF($A824="",0,IF('TMP Paste'!$B824="",0,1))</f>
        <v>0</v>
      </c>
      <c r="F824" t="str">
        <f t="shared" si="60"/>
        <v/>
      </c>
      <c r="G824" t="str">
        <f t="shared" si="61"/>
        <v/>
      </c>
      <c r="H824" t="str">
        <f t="shared" si="62"/>
        <v/>
      </c>
      <c r="I824" t="str">
        <f t="shared" si="63"/>
        <v/>
      </c>
      <c r="J824" t="str">
        <f t="shared" si="64"/>
        <v/>
      </c>
      <c r="K824" t="str">
        <f>IF($A824="","",IF(COUNTIF($B$2:$B824,$B824)=COUNTIF($B$2:$B$1601,$B824),$B824,""))</f>
        <v/>
      </c>
    </row>
    <row r="825" spans="1:11">
      <c r="A825" t="str">
        <f>IF('TMP Paste'!$E825="","",'TMP Paste'!$E825)</f>
        <v/>
      </c>
      <c r="B825" t="str">
        <f>IF($A825="","",COUNTIF('TMP Paste'!$B$2:$B825,"?*"))</f>
        <v/>
      </c>
      <c r="C825" t="str">
        <f>IF($A825="","",IFERROR('TMP Paste'!$M825*1,0))</f>
        <v/>
      </c>
      <c r="D825" t="str">
        <f>IF($A825="","",SUMIF($B$2:$B825,$B825,$C$2:$C825))</f>
        <v/>
      </c>
      <c r="E825">
        <f>IF($A825="",0,IF('TMP Paste'!$B825="",0,1))</f>
        <v>0</v>
      </c>
      <c r="F825" t="str">
        <f t="shared" si="60"/>
        <v/>
      </c>
      <c r="G825" t="str">
        <f t="shared" si="61"/>
        <v/>
      </c>
      <c r="H825" t="str">
        <f t="shared" si="62"/>
        <v/>
      </c>
      <c r="I825" t="str">
        <f t="shared" si="63"/>
        <v/>
      </c>
      <c r="J825" t="str">
        <f t="shared" si="64"/>
        <v/>
      </c>
      <c r="K825" t="str">
        <f>IF($A825="","",IF(COUNTIF($B$2:$B825,$B825)=COUNTIF($B$2:$B$1601,$B825),$B825,""))</f>
        <v/>
      </c>
    </row>
    <row r="826" spans="1:11">
      <c r="A826" t="str">
        <f>IF('TMP Paste'!$E826="","",'TMP Paste'!$E826)</f>
        <v/>
      </c>
      <c r="B826" t="str">
        <f>IF($A826="","",COUNTIF('TMP Paste'!$B$2:$B826,"?*"))</f>
        <v/>
      </c>
      <c r="C826" t="str">
        <f>IF($A826="","",IFERROR('TMP Paste'!$M826*1,0))</f>
        <v/>
      </c>
      <c r="D826" t="str">
        <f>IF($A826="","",SUMIF($B$2:$B826,$B826,$C$2:$C826))</f>
        <v/>
      </c>
      <c r="E826">
        <f>IF($A826="",0,IF('TMP Paste'!$B826="",0,1))</f>
        <v>0</v>
      </c>
      <c r="F826" t="str">
        <f t="shared" si="60"/>
        <v/>
      </c>
      <c r="G826" t="str">
        <f t="shared" si="61"/>
        <v/>
      </c>
      <c r="H826" t="str">
        <f t="shared" si="62"/>
        <v/>
      </c>
      <c r="I826" t="str">
        <f t="shared" si="63"/>
        <v/>
      </c>
      <c r="J826" t="str">
        <f t="shared" si="64"/>
        <v/>
      </c>
      <c r="K826" t="str">
        <f>IF($A826="","",IF(COUNTIF($B$2:$B826,$B826)=COUNTIF($B$2:$B$1601,$B826),$B826,""))</f>
        <v/>
      </c>
    </row>
    <row r="827" spans="1:11">
      <c r="A827" t="str">
        <f>IF('TMP Paste'!$E827="","",'TMP Paste'!$E827)</f>
        <v/>
      </c>
      <c r="B827" t="str">
        <f>IF($A827="","",COUNTIF('TMP Paste'!$B$2:$B827,"?*"))</f>
        <v/>
      </c>
      <c r="C827" t="str">
        <f>IF($A827="","",IFERROR('TMP Paste'!$M827*1,0))</f>
        <v/>
      </c>
      <c r="D827" t="str">
        <f>IF($A827="","",SUMIF($B$2:$B827,$B827,$C$2:$C827))</f>
        <v/>
      </c>
      <c r="E827">
        <f>IF($A827="",0,IF('TMP Paste'!$B827="",0,1))</f>
        <v>0</v>
      </c>
      <c r="F827" t="str">
        <f t="shared" si="60"/>
        <v/>
      </c>
      <c r="G827" t="str">
        <f t="shared" si="61"/>
        <v/>
      </c>
      <c r="H827" t="str">
        <f t="shared" si="62"/>
        <v/>
      </c>
      <c r="I827" t="str">
        <f t="shared" si="63"/>
        <v/>
      </c>
      <c r="J827" t="str">
        <f t="shared" si="64"/>
        <v/>
      </c>
      <c r="K827" t="str">
        <f>IF($A827="","",IF(COUNTIF($B$2:$B827,$B827)=COUNTIF($B$2:$B$1601,$B827),$B827,""))</f>
        <v/>
      </c>
    </row>
    <row r="828" spans="1:11">
      <c r="A828" t="str">
        <f>IF('TMP Paste'!$E828="","",'TMP Paste'!$E828)</f>
        <v/>
      </c>
      <c r="B828" t="str">
        <f>IF($A828="","",COUNTIF('TMP Paste'!$B$2:$B828,"?*"))</f>
        <v/>
      </c>
      <c r="C828" t="str">
        <f>IF($A828="","",IFERROR('TMP Paste'!$M828*1,0))</f>
        <v/>
      </c>
      <c r="D828" t="str">
        <f>IF($A828="","",SUMIF($B$2:$B828,$B828,$C$2:$C828))</f>
        <v/>
      </c>
      <c r="E828">
        <f>IF($A828="",0,IF('TMP Paste'!$B828="",0,1))</f>
        <v>0</v>
      </c>
      <c r="F828" t="str">
        <f t="shared" si="60"/>
        <v/>
      </c>
      <c r="G828" t="str">
        <f t="shared" si="61"/>
        <v/>
      </c>
      <c r="H828" t="str">
        <f t="shared" si="62"/>
        <v/>
      </c>
      <c r="I828" t="str">
        <f t="shared" si="63"/>
        <v/>
      </c>
      <c r="J828" t="str">
        <f t="shared" si="64"/>
        <v/>
      </c>
      <c r="K828" t="str">
        <f>IF($A828="","",IF(COUNTIF($B$2:$B828,$B828)=COUNTIF($B$2:$B$1601,$B828),$B828,""))</f>
        <v/>
      </c>
    </row>
    <row r="829" spans="1:11">
      <c r="A829" t="str">
        <f>IF('TMP Paste'!$E829="","",'TMP Paste'!$E829)</f>
        <v/>
      </c>
      <c r="B829" t="str">
        <f>IF($A829="","",COUNTIF('TMP Paste'!$B$2:$B829,"?*"))</f>
        <v/>
      </c>
      <c r="C829" t="str">
        <f>IF($A829="","",IFERROR('TMP Paste'!$M829*1,0))</f>
        <v/>
      </c>
      <c r="D829" t="str">
        <f>IF($A829="","",SUMIF($B$2:$B829,$B829,$C$2:$C829))</f>
        <v/>
      </c>
      <c r="E829">
        <f>IF($A829="",0,IF('TMP Paste'!$B829="",0,1))</f>
        <v>0</v>
      </c>
      <c r="F829" t="str">
        <f t="shared" si="60"/>
        <v/>
      </c>
      <c r="G829" t="str">
        <f t="shared" si="61"/>
        <v/>
      </c>
      <c r="H829" t="str">
        <f t="shared" si="62"/>
        <v/>
      </c>
      <c r="I829" t="str">
        <f t="shared" si="63"/>
        <v/>
      </c>
      <c r="J829" t="str">
        <f t="shared" si="64"/>
        <v/>
      </c>
      <c r="K829" t="str">
        <f>IF($A829="","",IF(COUNTIF($B$2:$B829,$B829)=COUNTIF($B$2:$B$1601,$B829),$B829,""))</f>
        <v/>
      </c>
    </row>
    <row r="830" spans="1:11">
      <c r="A830" t="str">
        <f>IF('TMP Paste'!$E830="","",'TMP Paste'!$E830)</f>
        <v/>
      </c>
      <c r="B830" t="str">
        <f>IF($A830="","",COUNTIF('TMP Paste'!$B$2:$B830,"?*"))</f>
        <v/>
      </c>
      <c r="C830" t="str">
        <f>IF($A830="","",IFERROR('TMP Paste'!$M830*1,0))</f>
        <v/>
      </c>
      <c r="D830" t="str">
        <f>IF($A830="","",SUMIF($B$2:$B830,$B830,$C$2:$C830))</f>
        <v/>
      </c>
      <c r="E830">
        <f>IF($A830="",0,IF('TMP Paste'!$B830="",0,1))</f>
        <v>0</v>
      </c>
      <c r="F830" t="str">
        <f t="shared" si="60"/>
        <v/>
      </c>
      <c r="G830" t="str">
        <f t="shared" si="61"/>
        <v/>
      </c>
      <c r="H830" t="str">
        <f t="shared" si="62"/>
        <v/>
      </c>
      <c r="I830" t="str">
        <f t="shared" si="63"/>
        <v/>
      </c>
      <c r="J830" t="str">
        <f t="shared" si="64"/>
        <v/>
      </c>
      <c r="K830" t="str">
        <f>IF($A830="","",IF(COUNTIF($B$2:$B830,$B830)=COUNTIF($B$2:$B$1601,$B830),$B830,""))</f>
        <v/>
      </c>
    </row>
    <row r="831" spans="1:11">
      <c r="A831" t="str">
        <f>IF('TMP Paste'!$E831="","",'TMP Paste'!$E831)</f>
        <v/>
      </c>
      <c r="B831" t="str">
        <f>IF($A831="","",COUNTIF('TMP Paste'!$B$2:$B831,"?*"))</f>
        <v/>
      </c>
      <c r="C831" t="str">
        <f>IF($A831="","",IFERROR('TMP Paste'!$M831*1,0))</f>
        <v/>
      </c>
      <c r="D831" t="str">
        <f>IF($A831="","",SUMIF($B$2:$B831,$B831,$C$2:$C831))</f>
        <v/>
      </c>
      <c r="E831">
        <f>IF($A831="",0,IF('TMP Paste'!$B831="",0,1))</f>
        <v>0</v>
      </c>
      <c r="F831" t="str">
        <f t="shared" si="60"/>
        <v/>
      </c>
      <c r="G831" t="str">
        <f t="shared" si="61"/>
        <v/>
      </c>
      <c r="H831" t="str">
        <f t="shared" si="62"/>
        <v/>
      </c>
      <c r="I831" t="str">
        <f t="shared" si="63"/>
        <v/>
      </c>
      <c r="J831" t="str">
        <f t="shared" si="64"/>
        <v/>
      </c>
      <c r="K831" t="str">
        <f>IF($A831="","",IF(COUNTIF($B$2:$B831,$B831)=COUNTIF($B$2:$B$1601,$B831),$B831,""))</f>
        <v/>
      </c>
    </row>
    <row r="832" spans="1:11">
      <c r="A832" t="str">
        <f>IF('TMP Paste'!$E832="","",'TMP Paste'!$E832)</f>
        <v/>
      </c>
      <c r="B832" t="str">
        <f>IF($A832="","",COUNTIF('TMP Paste'!$B$2:$B832,"?*"))</f>
        <v/>
      </c>
      <c r="C832" t="str">
        <f>IF($A832="","",IFERROR('TMP Paste'!$M832*1,0))</f>
        <v/>
      </c>
      <c r="D832" t="str">
        <f>IF($A832="","",SUMIF($B$2:$B832,$B832,$C$2:$C832))</f>
        <v/>
      </c>
      <c r="E832">
        <f>IF($A832="",0,IF('TMP Paste'!$B832="",0,1))</f>
        <v>0</v>
      </c>
      <c r="F832" t="str">
        <f t="shared" si="60"/>
        <v/>
      </c>
      <c r="G832" t="str">
        <f t="shared" si="61"/>
        <v/>
      </c>
      <c r="H832" t="str">
        <f t="shared" si="62"/>
        <v/>
      </c>
      <c r="I832" t="str">
        <f t="shared" si="63"/>
        <v/>
      </c>
      <c r="J832" t="str">
        <f t="shared" si="64"/>
        <v/>
      </c>
      <c r="K832" t="str">
        <f>IF($A832="","",IF(COUNTIF($B$2:$B832,$B832)=COUNTIF($B$2:$B$1601,$B832),$B832,""))</f>
        <v/>
      </c>
    </row>
    <row r="833" spans="1:11">
      <c r="A833" t="str">
        <f>IF('TMP Paste'!$E833="","",'TMP Paste'!$E833)</f>
        <v/>
      </c>
      <c r="B833" t="str">
        <f>IF($A833="","",COUNTIF('TMP Paste'!$B$2:$B833,"?*"))</f>
        <v/>
      </c>
      <c r="C833" t="str">
        <f>IF($A833="","",IFERROR('TMP Paste'!$M833*1,0))</f>
        <v/>
      </c>
      <c r="D833" t="str">
        <f>IF($A833="","",SUMIF($B$2:$B833,$B833,$C$2:$C833))</f>
        <v/>
      </c>
      <c r="E833">
        <f>IF($A833="",0,IF('TMP Paste'!$B833="",0,1))</f>
        <v>0</v>
      </c>
      <c r="F833" t="str">
        <f t="shared" si="60"/>
        <v/>
      </c>
      <c r="G833" t="str">
        <f t="shared" si="61"/>
        <v/>
      </c>
      <c r="H833" t="str">
        <f t="shared" si="62"/>
        <v/>
      </c>
      <c r="I833" t="str">
        <f t="shared" si="63"/>
        <v/>
      </c>
      <c r="J833" t="str">
        <f t="shared" si="64"/>
        <v/>
      </c>
      <c r="K833" t="str">
        <f>IF($A833="","",IF(COUNTIF($B$2:$B833,$B833)=COUNTIF($B$2:$B$1601,$B833),$B833,""))</f>
        <v/>
      </c>
    </row>
    <row r="834" spans="1:11">
      <c r="A834" t="str">
        <f>IF('TMP Paste'!$E834="","",'TMP Paste'!$E834)</f>
        <v/>
      </c>
      <c r="B834" t="str">
        <f>IF($A834="","",COUNTIF('TMP Paste'!$B$2:$B834,"?*"))</f>
        <v/>
      </c>
      <c r="C834" t="str">
        <f>IF($A834="","",IFERROR('TMP Paste'!$M834*1,0))</f>
        <v/>
      </c>
      <c r="D834" t="str">
        <f>IF($A834="","",SUMIF($B$2:$B834,$B834,$C$2:$C834))</f>
        <v/>
      </c>
      <c r="E834">
        <f>IF($A834="",0,IF('TMP Paste'!$B834="",0,1))</f>
        <v>0</v>
      </c>
      <c r="F834" t="str">
        <f t="shared" ref="F834:F897" si="65">IF(OR($A834="",$C834&lt;1),"",$A834&amp;"-"&amp;TEXT(($D834-$C834+1),"00")&amp;IF($C834&gt;=2,", "&amp;$A834&amp;"-"&amp;TEXT(($D834-$C834+1)+1,"00"),"")&amp;IF($C834&gt;=3,", "&amp;$A834&amp;"-"&amp;TEXT(($D834-$C834+1)+2,"00"),"")&amp;IF($C834&gt;=4,", "&amp;$A834&amp;"-"&amp;TEXT(($D834-$C834+1)+3,"00"),"")&amp;IF($C834&gt;=5,", "&amp;$A834&amp;"-"&amp;TEXT(($D834-$C834+1)+4,"00"),"")&amp;IF($C834&gt;=6,", "&amp;$A834&amp;"-"&amp;TEXT(($D834-$C834+1)+5,"00"),"")&amp;IF($C834&gt;=7,", "&amp;$A834&amp;"-"&amp;TEXT(($D834-$C834+1)+6,"00"),"")&amp;IF($C834&gt;=8,", "&amp;$A834&amp;"-"&amp;TEXT(($D834-$C834+1)+7,"00"),"")&amp;IF($C834&gt;=9,", "&amp;$A834&amp;"-"&amp;TEXT(($D834-$C834+1)+8,"00"),"")&amp;IF($C834&gt;=10,", "&amp;$A834&amp;"-"&amp;TEXT(($D834-$C834+1)+9,"00"),"")&amp;IF($C834&gt;=11,", "&amp;$A834&amp;"-"&amp;TEXT(($D834-$C834+1)+10,"00"),"")&amp;IF($C834&gt;=12,", "&amp;$A834&amp;"-"&amp;TEXT(($D834-$C834+1)+11,"00"),"")&amp;IF($C834&gt;=13,", "&amp;$A834&amp;"-"&amp;TEXT(($D834-$C834+1)+12,"00"),"")&amp;IF($C834&gt;=14,", "&amp;$A834&amp;"-"&amp;TEXT(($D834-$C834+1)+13,"00"),"")&amp;IF($C834&gt;=15,", "&amp;$A834&amp;"-"&amp;TEXT(($D834-$C834+1)+14,"00"),"")&amp;IF($C834&gt;=16,", "&amp;$A834&amp;"-"&amp;TEXT(($D834-$C834+1)+15,"00"),"")&amp;IF($C834&gt;=17,", "&amp;$A834&amp;"-"&amp;TEXT(($D834-$C834+1)+16,"00"),"")&amp;IF($C834&gt;=18,", "&amp;$A834&amp;"-"&amp;TEXT(($D834-$C834+1)+17,"00"),"")&amp;IF($C834&gt;=19,", "&amp;$A834&amp;"-"&amp;TEXT(($D834-$C834+1)+18,"00"),"")&amp;IF($C834&gt;=20,", "&amp;$A834&amp;"-"&amp;TEXT(($D834-$C834+1)+19,"00"),"")&amp;IF($C834&gt;=21,", "&amp;$A834&amp;"-"&amp;TEXT(($D834-$C834+1)+20,"00"),"")&amp;IF($C834&gt;=22,", "&amp;$A834&amp;"-"&amp;TEXT(($D834-$C834+1)+21,"00"),"")&amp;IF($C834&gt;=23,", "&amp;$A834&amp;"-"&amp;TEXT(($D834-$C834+1)+22,"00"),"")&amp;IF($C834&gt;=24,", "&amp;$A834&amp;"-"&amp;TEXT(($D834-$C834+1)+23,"00"),"")&amp;IF($C834&gt;=25,", "&amp;$A834&amp;"-"&amp;TEXT(($D834-$C834+1)+24,"00"),""))</f>
        <v/>
      </c>
      <c r="G834" t="str">
        <f t="shared" ref="G834:G897" si="66">IF($A834="","",IF($E834=1,$F834,IF($F834="",$G833,IF($G833="",$F834,$G833&amp;", "&amp;$F834))))</f>
        <v/>
      </c>
      <c r="H834" t="str">
        <f t="shared" ref="H834:H897" si="67">IF($A834="","",$A834&amp;" ("&amp;$C834&amp;")")</f>
        <v/>
      </c>
      <c r="I834" t="str">
        <f t="shared" ref="I834:I897" si="68">IF($A834="","",IF($E834=1,$H834,$I833&amp;", "&amp;$H834))</f>
        <v/>
      </c>
      <c r="J834" t="str">
        <f t="shared" ref="J834:J897" si="69">IF($A834="","",IF($E834=1,$B834,""))</f>
        <v/>
      </c>
      <c r="K834" t="str">
        <f>IF($A834="","",IF(COUNTIF($B$2:$B834,$B834)=COUNTIF($B$2:$B$1601,$B834),$B834,""))</f>
        <v/>
      </c>
    </row>
    <row r="835" spans="1:11">
      <c r="A835" t="str">
        <f>IF('TMP Paste'!$E835="","",'TMP Paste'!$E835)</f>
        <v/>
      </c>
      <c r="B835" t="str">
        <f>IF($A835="","",COUNTIF('TMP Paste'!$B$2:$B835,"?*"))</f>
        <v/>
      </c>
      <c r="C835" t="str">
        <f>IF($A835="","",IFERROR('TMP Paste'!$M835*1,0))</f>
        <v/>
      </c>
      <c r="D835" t="str">
        <f>IF($A835="","",SUMIF($B$2:$B835,$B835,$C$2:$C835))</f>
        <v/>
      </c>
      <c r="E835">
        <f>IF($A835="",0,IF('TMP Paste'!$B835="",0,1))</f>
        <v>0</v>
      </c>
      <c r="F835" t="str">
        <f t="shared" si="65"/>
        <v/>
      </c>
      <c r="G835" t="str">
        <f t="shared" si="66"/>
        <v/>
      </c>
      <c r="H835" t="str">
        <f t="shared" si="67"/>
        <v/>
      </c>
      <c r="I835" t="str">
        <f t="shared" si="68"/>
        <v/>
      </c>
      <c r="J835" t="str">
        <f t="shared" si="69"/>
        <v/>
      </c>
      <c r="K835" t="str">
        <f>IF($A835="","",IF(COUNTIF($B$2:$B835,$B835)=COUNTIF($B$2:$B$1601,$B835),$B835,""))</f>
        <v/>
      </c>
    </row>
    <row r="836" spans="1:11">
      <c r="A836" t="str">
        <f>IF('TMP Paste'!$E836="","",'TMP Paste'!$E836)</f>
        <v/>
      </c>
      <c r="B836" t="str">
        <f>IF($A836="","",COUNTIF('TMP Paste'!$B$2:$B836,"?*"))</f>
        <v/>
      </c>
      <c r="C836" t="str">
        <f>IF($A836="","",IFERROR('TMP Paste'!$M836*1,0))</f>
        <v/>
      </c>
      <c r="D836" t="str">
        <f>IF($A836="","",SUMIF($B$2:$B836,$B836,$C$2:$C836))</f>
        <v/>
      </c>
      <c r="E836">
        <f>IF($A836="",0,IF('TMP Paste'!$B836="",0,1))</f>
        <v>0</v>
      </c>
      <c r="F836" t="str">
        <f t="shared" si="65"/>
        <v/>
      </c>
      <c r="G836" t="str">
        <f t="shared" si="66"/>
        <v/>
      </c>
      <c r="H836" t="str">
        <f t="shared" si="67"/>
        <v/>
      </c>
      <c r="I836" t="str">
        <f t="shared" si="68"/>
        <v/>
      </c>
      <c r="J836" t="str">
        <f t="shared" si="69"/>
        <v/>
      </c>
      <c r="K836" t="str">
        <f>IF($A836="","",IF(COUNTIF($B$2:$B836,$B836)=COUNTIF($B$2:$B$1601,$B836),$B836,""))</f>
        <v/>
      </c>
    </row>
    <row r="837" spans="1:11">
      <c r="A837" t="str">
        <f>IF('TMP Paste'!$E837="","",'TMP Paste'!$E837)</f>
        <v/>
      </c>
      <c r="B837" t="str">
        <f>IF($A837="","",COUNTIF('TMP Paste'!$B$2:$B837,"?*"))</f>
        <v/>
      </c>
      <c r="C837" t="str">
        <f>IF($A837="","",IFERROR('TMP Paste'!$M837*1,0))</f>
        <v/>
      </c>
      <c r="D837" t="str">
        <f>IF($A837="","",SUMIF($B$2:$B837,$B837,$C$2:$C837))</f>
        <v/>
      </c>
      <c r="E837">
        <f>IF($A837="",0,IF('TMP Paste'!$B837="",0,1))</f>
        <v>0</v>
      </c>
      <c r="F837" t="str">
        <f t="shared" si="65"/>
        <v/>
      </c>
      <c r="G837" t="str">
        <f t="shared" si="66"/>
        <v/>
      </c>
      <c r="H837" t="str">
        <f t="shared" si="67"/>
        <v/>
      </c>
      <c r="I837" t="str">
        <f t="shared" si="68"/>
        <v/>
      </c>
      <c r="J837" t="str">
        <f t="shared" si="69"/>
        <v/>
      </c>
      <c r="K837" t="str">
        <f>IF($A837="","",IF(COUNTIF($B$2:$B837,$B837)=COUNTIF($B$2:$B$1601,$B837),$B837,""))</f>
        <v/>
      </c>
    </row>
    <row r="838" spans="1:11">
      <c r="A838" t="str">
        <f>IF('TMP Paste'!$E838="","",'TMP Paste'!$E838)</f>
        <v/>
      </c>
      <c r="B838" t="str">
        <f>IF($A838="","",COUNTIF('TMP Paste'!$B$2:$B838,"?*"))</f>
        <v/>
      </c>
      <c r="C838" t="str">
        <f>IF($A838="","",IFERROR('TMP Paste'!$M838*1,0))</f>
        <v/>
      </c>
      <c r="D838" t="str">
        <f>IF($A838="","",SUMIF($B$2:$B838,$B838,$C$2:$C838))</f>
        <v/>
      </c>
      <c r="E838">
        <f>IF($A838="",0,IF('TMP Paste'!$B838="",0,1))</f>
        <v>0</v>
      </c>
      <c r="F838" t="str">
        <f t="shared" si="65"/>
        <v/>
      </c>
      <c r="G838" t="str">
        <f t="shared" si="66"/>
        <v/>
      </c>
      <c r="H838" t="str">
        <f t="shared" si="67"/>
        <v/>
      </c>
      <c r="I838" t="str">
        <f t="shared" si="68"/>
        <v/>
      </c>
      <c r="J838" t="str">
        <f t="shared" si="69"/>
        <v/>
      </c>
      <c r="K838" t="str">
        <f>IF($A838="","",IF(COUNTIF($B$2:$B838,$B838)=COUNTIF($B$2:$B$1601,$B838),$B838,""))</f>
        <v/>
      </c>
    </row>
    <row r="839" spans="1:11">
      <c r="A839" t="str">
        <f>IF('TMP Paste'!$E839="","",'TMP Paste'!$E839)</f>
        <v/>
      </c>
      <c r="B839" t="str">
        <f>IF($A839="","",COUNTIF('TMP Paste'!$B$2:$B839,"?*"))</f>
        <v/>
      </c>
      <c r="C839" t="str">
        <f>IF($A839="","",IFERROR('TMP Paste'!$M839*1,0))</f>
        <v/>
      </c>
      <c r="D839" t="str">
        <f>IF($A839="","",SUMIF($B$2:$B839,$B839,$C$2:$C839))</f>
        <v/>
      </c>
      <c r="E839">
        <f>IF($A839="",0,IF('TMP Paste'!$B839="",0,1))</f>
        <v>0</v>
      </c>
      <c r="F839" t="str">
        <f t="shared" si="65"/>
        <v/>
      </c>
      <c r="G839" t="str">
        <f t="shared" si="66"/>
        <v/>
      </c>
      <c r="H839" t="str">
        <f t="shared" si="67"/>
        <v/>
      </c>
      <c r="I839" t="str">
        <f t="shared" si="68"/>
        <v/>
      </c>
      <c r="J839" t="str">
        <f t="shared" si="69"/>
        <v/>
      </c>
      <c r="K839" t="str">
        <f>IF($A839="","",IF(COUNTIF($B$2:$B839,$B839)=COUNTIF($B$2:$B$1601,$B839),$B839,""))</f>
        <v/>
      </c>
    </row>
    <row r="840" spans="1:11">
      <c r="A840" t="str">
        <f>IF('TMP Paste'!$E840="","",'TMP Paste'!$E840)</f>
        <v/>
      </c>
      <c r="B840" t="str">
        <f>IF($A840="","",COUNTIF('TMP Paste'!$B$2:$B840,"?*"))</f>
        <v/>
      </c>
      <c r="C840" t="str">
        <f>IF($A840="","",IFERROR('TMP Paste'!$M840*1,0))</f>
        <v/>
      </c>
      <c r="D840" t="str">
        <f>IF($A840="","",SUMIF($B$2:$B840,$B840,$C$2:$C840))</f>
        <v/>
      </c>
      <c r="E840">
        <f>IF($A840="",0,IF('TMP Paste'!$B840="",0,1))</f>
        <v>0</v>
      </c>
      <c r="F840" t="str">
        <f t="shared" si="65"/>
        <v/>
      </c>
      <c r="G840" t="str">
        <f t="shared" si="66"/>
        <v/>
      </c>
      <c r="H840" t="str">
        <f t="shared" si="67"/>
        <v/>
      </c>
      <c r="I840" t="str">
        <f t="shared" si="68"/>
        <v/>
      </c>
      <c r="J840" t="str">
        <f t="shared" si="69"/>
        <v/>
      </c>
      <c r="K840" t="str">
        <f>IF($A840="","",IF(COUNTIF($B$2:$B840,$B840)=COUNTIF($B$2:$B$1601,$B840),$B840,""))</f>
        <v/>
      </c>
    </row>
    <row r="841" spans="1:11">
      <c r="A841" t="str">
        <f>IF('TMP Paste'!$E841="","",'TMP Paste'!$E841)</f>
        <v/>
      </c>
      <c r="B841" t="str">
        <f>IF($A841="","",COUNTIF('TMP Paste'!$B$2:$B841,"?*"))</f>
        <v/>
      </c>
      <c r="C841" t="str">
        <f>IF($A841="","",IFERROR('TMP Paste'!$M841*1,0))</f>
        <v/>
      </c>
      <c r="D841" t="str">
        <f>IF($A841="","",SUMIF($B$2:$B841,$B841,$C$2:$C841))</f>
        <v/>
      </c>
      <c r="E841">
        <f>IF($A841="",0,IF('TMP Paste'!$B841="",0,1))</f>
        <v>0</v>
      </c>
      <c r="F841" t="str">
        <f t="shared" si="65"/>
        <v/>
      </c>
      <c r="G841" t="str">
        <f t="shared" si="66"/>
        <v/>
      </c>
      <c r="H841" t="str">
        <f t="shared" si="67"/>
        <v/>
      </c>
      <c r="I841" t="str">
        <f t="shared" si="68"/>
        <v/>
      </c>
      <c r="J841" t="str">
        <f t="shared" si="69"/>
        <v/>
      </c>
      <c r="K841" t="str">
        <f>IF($A841="","",IF(COUNTIF($B$2:$B841,$B841)=COUNTIF($B$2:$B$1601,$B841),$B841,""))</f>
        <v/>
      </c>
    </row>
    <row r="842" spans="1:11">
      <c r="A842" t="str">
        <f>IF('TMP Paste'!$E842="","",'TMP Paste'!$E842)</f>
        <v/>
      </c>
      <c r="B842" t="str">
        <f>IF($A842="","",COUNTIF('TMP Paste'!$B$2:$B842,"?*"))</f>
        <v/>
      </c>
      <c r="C842" t="str">
        <f>IF($A842="","",IFERROR('TMP Paste'!$M842*1,0))</f>
        <v/>
      </c>
      <c r="D842" t="str">
        <f>IF($A842="","",SUMIF($B$2:$B842,$B842,$C$2:$C842))</f>
        <v/>
      </c>
      <c r="E842">
        <f>IF($A842="",0,IF('TMP Paste'!$B842="",0,1))</f>
        <v>0</v>
      </c>
      <c r="F842" t="str">
        <f t="shared" si="65"/>
        <v/>
      </c>
      <c r="G842" t="str">
        <f t="shared" si="66"/>
        <v/>
      </c>
      <c r="H842" t="str">
        <f t="shared" si="67"/>
        <v/>
      </c>
      <c r="I842" t="str">
        <f t="shared" si="68"/>
        <v/>
      </c>
      <c r="J842" t="str">
        <f t="shared" si="69"/>
        <v/>
      </c>
      <c r="K842" t="str">
        <f>IF($A842="","",IF(COUNTIF($B$2:$B842,$B842)=COUNTIF($B$2:$B$1601,$B842),$B842,""))</f>
        <v/>
      </c>
    </row>
    <row r="843" spans="1:11">
      <c r="A843" t="str">
        <f>IF('TMP Paste'!$E843="","",'TMP Paste'!$E843)</f>
        <v/>
      </c>
      <c r="B843" t="str">
        <f>IF($A843="","",COUNTIF('TMP Paste'!$B$2:$B843,"?*"))</f>
        <v/>
      </c>
      <c r="C843" t="str">
        <f>IF($A843="","",IFERROR('TMP Paste'!$M843*1,0))</f>
        <v/>
      </c>
      <c r="D843" t="str">
        <f>IF($A843="","",SUMIF($B$2:$B843,$B843,$C$2:$C843))</f>
        <v/>
      </c>
      <c r="E843">
        <f>IF($A843="",0,IF('TMP Paste'!$B843="",0,1))</f>
        <v>0</v>
      </c>
      <c r="F843" t="str">
        <f t="shared" si="65"/>
        <v/>
      </c>
      <c r="G843" t="str">
        <f t="shared" si="66"/>
        <v/>
      </c>
      <c r="H843" t="str">
        <f t="shared" si="67"/>
        <v/>
      </c>
      <c r="I843" t="str">
        <f t="shared" si="68"/>
        <v/>
      </c>
      <c r="J843" t="str">
        <f t="shared" si="69"/>
        <v/>
      </c>
      <c r="K843" t="str">
        <f>IF($A843="","",IF(COUNTIF($B$2:$B843,$B843)=COUNTIF($B$2:$B$1601,$B843),$B843,""))</f>
        <v/>
      </c>
    </row>
    <row r="844" spans="1:11">
      <c r="A844" t="str">
        <f>IF('TMP Paste'!$E844="","",'TMP Paste'!$E844)</f>
        <v/>
      </c>
      <c r="B844" t="str">
        <f>IF($A844="","",COUNTIF('TMP Paste'!$B$2:$B844,"?*"))</f>
        <v/>
      </c>
      <c r="C844" t="str">
        <f>IF($A844="","",IFERROR('TMP Paste'!$M844*1,0))</f>
        <v/>
      </c>
      <c r="D844" t="str">
        <f>IF($A844="","",SUMIF($B$2:$B844,$B844,$C$2:$C844))</f>
        <v/>
      </c>
      <c r="E844">
        <f>IF($A844="",0,IF('TMP Paste'!$B844="",0,1))</f>
        <v>0</v>
      </c>
      <c r="F844" t="str">
        <f t="shared" si="65"/>
        <v/>
      </c>
      <c r="G844" t="str">
        <f t="shared" si="66"/>
        <v/>
      </c>
      <c r="H844" t="str">
        <f t="shared" si="67"/>
        <v/>
      </c>
      <c r="I844" t="str">
        <f t="shared" si="68"/>
        <v/>
      </c>
      <c r="J844" t="str">
        <f t="shared" si="69"/>
        <v/>
      </c>
      <c r="K844" t="str">
        <f>IF($A844="","",IF(COUNTIF($B$2:$B844,$B844)=COUNTIF($B$2:$B$1601,$B844),$B844,""))</f>
        <v/>
      </c>
    </row>
    <row r="845" spans="1:11">
      <c r="A845" t="str">
        <f>IF('TMP Paste'!$E845="","",'TMP Paste'!$E845)</f>
        <v/>
      </c>
      <c r="B845" t="str">
        <f>IF($A845="","",COUNTIF('TMP Paste'!$B$2:$B845,"?*"))</f>
        <v/>
      </c>
      <c r="C845" t="str">
        <f>IF($A845="","",IFERROR('TMP Paste'!$M845*1,0))</f>
        <v/>
      </c>
      <c r="D845" t="str">
        <f>IF($A845="","",SUMIF($B$2:$B845,$B845,$C$2:$C845))</f>
        <v/>
      </c>
      <c r="E845">
        <f>IF($A845="",0,IF('TMP Paste'!$B845="",0,1))</f>
        <v>0</v>
      </c>
      <c r="F845" t="str">
        <f t="shared" si="65"/>
        <v/>
      </c>
      <c r="G845" t="str">
        <f t="shared" si="66"/>
        <v/>
      </c>
      <c r="H845" t="str">
        <f t="shared" si="67"/>
        <v/>
      </c>
      <c r="I845" t="str">
        <f t="shared" si="68"/>
        <v/>
      </c>
      <c r="J845" t="str">
        <f t="shared" si="69"/>
        <v/>
      </c>
      <c r="K845" t="str">
        <f>IF($A845="","",IF(COUNTIF($B$2:$B845,$B845)=COUNTIF($B$2:$B$1601,$B845),$B845,""))</f>
        <v/>
      </c>
    </row>
    <row r="846" spans="1:11">
      <c r="A846" t="str">
        <f>IF('TMP Paste'!$E846="","",'TMP Paste'!$E846)</f>
        <v/>
      </c>
      <c r="B846" t="str">
        <f>IF($A846="","",COUNTIF('TMP Paste'!$B$2:$B846,"?*"))</f>
        <v/>
      </c>
      <c r="C846" t="str">
        <f>IF($A846="","",IFERROR('TMP Paste'!$M846*1,0))</f>
        <v/>
      </c>
      <c r="D846" t="str">
        <f>IF($A846="","",SUMIF($B$2:$B846,$B846,$C$2:$C846))</f>
        <v/>
      </c>
      <c r="E846">
        <f>IF($A846="",0,IF('TMP Paste'!$B846="",0,1))</f>
        <v>0</v>
      </c>
      <c r="F846" t="str">
        <f t="shared" si="65"/>
        <v/>
      </c>
      <c r="G846" t="str">
        <f t="shared" si="66"/>
        <v/>
      </c>
      <c r="H846" t="str">
        <f t="shared" si="67"/>
        <v/>
      </c>
      <c r="I846" t="str">
        <f t="shared" si="68"/>
        <v/>
      </c>
      <c r="J846" t="str">
        <f t="shared" si="69"/>
        <v/>
      </c>
      <c r="K846" t="str">
        <f>IF($A846="","",IF(COUNTIF($B$2:$B846,$B846)=COUNTIF($B$2:$B$1601,$B846),$B846,""))</f>
        <v/>
      </c>
    </row>
    <row r="847" spans="1:11">
      <c r="A847" t="str">
        <f>IF('TMP Paste'!$E847="","",'TMP Paste'!$E847)</f>
        <v/>
      </c>
      <c r="B847" t="str">
        <f>IF($A847="","",COUNTIF('TMP Paste'!$B$2:$B847,"?*"))</f>
        <v/>
      </c>
      <c r="C847" t="str">
        <f>IF($A847="","",IFERROR('TMP Paste'!$M847*1,0))</f>
        <v/>
      </c>
      <c r="D847" t="str">
        <f>IF($A847="","",SUMIF($B$2:$B847,$B847,$C$2:$C847))</f>
        <v/>
      </c>
      <c r="E847">
        <f>IF($A847="",0,IF('TMP Paste'!$B847="",0,1))</f>
        <v>0</v>
      </c>
      <c r="F847" t="str">
        <f t="shared" si="65"/>
        <v/>
      </c>
      <c r="G847" t="str">
        <f t="shared" si="66"/>
        <v/>
      </c>
      <c r="H847" t="str">
        <f t="shared" si="67"/>
        <v/>
      </c>
      <c r="I847" t="str">
        <f t="shared" si="68"/>
        <v/>
      </c>
      <c r="J847" t="str">
        <f t="shared" si="69"/>
        <v/>
      </c>
      <c r="K847" t="str">
        <f>IF($A847="","",IF(COUNTIF($B$2:$B847,$B847)=COUNTIF($B$2:$B$1601,$B847),$B847,""))</f>
        <v/>
      </c>
    </row>
    <row r="848" spans="1:11">
      <c r="A848" t="str">
        <f>IF('TMP Paste'!$E848="","",'TMP Paste'!$E848)</f>
        <v/>
      </c>
      <c r="B848" t="str">
        <f>IF($A848="","",COUNTIF('TMP Paste'!$B$2:$B848,"?*"))</f>
        <v/>
      </c>
      <c r="C848" t="str">
        <f>IF($A848="","",IFERROR('TMP Paste'!$M848*1,0))</f>
        <v/>
      </c>
      <c r="D848" t="str">
        <f>IF($A848="","",SUMIF($B$2:$B848,$B848,$C$2:$C848))</f>
        <v/>
      </c>
      <c r="E848">
        <f>IF($A848="",0,IF('TMP Paste'!$B848="",0,1))</f>
        <v>0</v>
      </c>
      <c r="F848" t="str">
        <f t="shared" si="65"/>
        <v/>
      </c>
      <c r="G848" t="str">
        <f t="shared" si="66"/>
        <v/>
      </c>
      <c r="H848" t="str">
        <f t="shared" si="67"/>
        <v/>
      </c>
      <c r="I848" t="str">
        <f t="shared" si="68"/>
        <v/>
      </c>
      <c r="J848" t="str">
        <f t="shared" si="69"/>
        <v/>
      </c>
      <c r="K848" t="str">
        <f>IF($A848="","",IF(COUNTIF($B$2:$B848,$B848)=COUNTIF($B$2:$B$1601,$B848),$B848,""))</f>
        <v/>
      </c>
    </row>
    <row r="849" spans="1:11">
      <c r="A849" t="str">
        <f>IF('TMP Paste'!$E849="","",'TMP Paste'!$E849)</f>
        <v/>
      </c>
      <c r="B849" t="str">
        <f>IF($A849="","",COUNTIF('TMP Paste'!$B$2:$B849,"?*"))</f>
        <v/>
      </c>
      <c r="C849" t="str">
        <f>IF($A849="","",IFERROR('TMP Paste'!$M849*1,0))</f>
        <v/>
      </c>
      <c r="D849" t="str">
        <f>IF($A849="","",SUMIF($B$2:$B849,$B849,$C$2:$C849))</f>
        <v/>
      </c>
      <c r="E849">
        <f>IF($A849="",0,IF('TMP Paste'!$B849="",0,1))</f>
        <v>0</v>
      </c>
      <c r="F849" t="str">
        <f t="shared" si="65"/>
        <v/>
      </c>
      <c r="G849" t="str">
        <f t="shared" si="66"/>
        <v/>
      </c>
      <c r="H849" t="str">
        <f t="shared" si="67"/>
        <v/>
      </c>
      <c r="I849" t="str">
        <f t="shared" si="68"/>
        <v/>
      </c>
      <c r="J849" t="str">
        <f t="shared" si="69"/>
        <v/>
      </c>
      <c r="K849" t="str">
        <f>IF($A849="","",IF(COUNTIF($B$2:$B849,$B849)=COUNTIF($B$2:$B$1601,$B849),$B849,""))</f>
        <v/>
      </c>
    </row>
    <row r="850" spans="1:11">
      <c r="A850" t="str">
        <f>IF('TMP Paste'!$E850="","",'TMP Paste'!$E850)</f>
        <v/>
      </c>
      <c r="B850" t="str">
        <f>IF($A850="","",COUNTIF('TMP Paste'!$B$2:$B850,"?*"))</f>
        <v/>
      </c>
      <c r="C850" t="str">
        <f>IF($A850="","",IFERROR('TMP Paste'!$M850*1,0))</f>
        <v/>
      </c>
      <c r="D850" t="str">
        <f>IF($A850="","",SUMIF($B$2:$B850,$B850,$C$2:$C850))</f>
        <v/>
      </c>
      <c r="E850">
        <f>IF($A850="",0,IF('TMP Paste'!$B850="",0,1))</f>
        <v>0</v>
      </c>
      <c r="F850" t="str">
        <f t="shared" si="65"/>
        <v/>
      </c>
      <c r="G850" t="str">
        <f t="shared" si="66"/>
        <v/>
      </c>
      <c r="H850" t="str">
        <f t="shared" si="67"/>
        <v/>
      </c>
      <c r="I850" t="str">
        <f t="shared" si="68"/>
        <v/>
      </c>
      <c r="J850" t="str">
        <f t="shared" si="69"/>
        <v/>
      </c>
      <c r="K850" t="str">
        <f>IF($A850="","",IF(COUNTIF($B$2:$B850,$B850)=COUNTIF($B$2:$B$1601,$B850),$B850,""))</f>
        <v/>
      </c>
    </row>
    <row r="851" spans="1:11">
      <c r="A851" t="str">
        <f>IF('TMP Paste'!$E851="","",'TMP Paste'!$E851)</f>
        <v/>
      </c>
      <c r="B851" t="str">
        <f>IF($A851="","",COUNTIF('TMP Paste'!$B$2:$B851,"?*"))</f>
        <v/>
      </c>
      <c r="C851" t="str">
        <f>IF($A851="","",IFERROR('TMP Paste'!$M851*1,0))</f>
        <v/>
      </c>
      <c r="D851" t="str">
        <f>IF($A851="","",SUMIF($B$2:$B851,$B851,$C$2:$C851))</f>
        <v/>
      </c>
      <c r="E851">
        <f>IF($A851="",0,IF('TMP Paste'!$B851="",0,1))</f>
        <v>0</v>
      </c>
      <c r="F851" t="str">
        <f t="shared" si="65"/>
        <v/>
      </c>
      <c r="G851" t="str">
        <f t="shared" si="66"/>
        <v/>
      </c>
      <c r="H851" t="str">
        <f t="shared" si="67"/>
        <v/>
      </c>
      <c r="I851" t="str">
        <f t="shared" si="68"/>
        <v/>
      </c>
      <c r="J851" t="str">
        <f t="shared" si="69"/>
        <v/>
      </c>
      <c r="K851" t="str">
        <f>IF($A851="","",IF(COUNTIF($B$2:$B851,$B851)=COUNTIF($B$2:$B$1601,$B851),$B851,""))</f>
        <v/>
      </c>
    </row>
    <row r="852" spans="1:11">
      <c r="A852" t="str">
        <f>IF('TMP Paste'!$E852="","",'TMP Paste'!$E852)</f>
        <v/>
      </c>
      <c r="B852" t="str">
        <f>IF($A852="","",COUNTIF('TMP Paste'!$B$2:$B852,"?*"))</f>
        <v/>
      </c>
      <c r="C852" t="str">
        <f>IF($A852="","",IFERROR('TMP Paste'!$M852*1,0))</f>
        <v/>
      </c>
      <c r="D852" t="str">
        <f>IF($A852="","",SUMIF($B$2:$B852,$B852,$C$2:$C852))</f>
        <v/>
      </c>
      <c r="E852">
        <f>IF($A852="",0,IF('TMP Paste'!$B852="",0,1))</f>
        <v>0</v>
      </c>
      <c r="F852" t="str">
        <f t="shared" si="65"/>
        <v/>
      </c>
      <c r="G852" t="str">
        <f t="shared" si="66"/>
        <v/>
      </c>
      <c r="H852" t="str">
        <f t="shared" si="67"/>
        <v/>
      </c>
      <c r="I852" t="str">
        <f t="shared" si="68"/>
        <v/>
      </c>
      <c r="J852" t="str">
        <f t="shared" si="69"/>
        <v/>
      </c>
      <c r="K852" t="str">
        <f>IF($A852="","",IF(COUNTIF($B$2:$B852,$B852)=COUNTIF($B$2:$B$1601,$B852),$B852,""))</f>
        <v/>
      </c>
    </row>
    <row r="853" spans="1:11">
      <c r="A853" t="str">
        <f>IF('TMP Paste'!$E853="","",'TMP Paste'!$E853)</f>
        <v/>
      </c>
      <c r="B853" t="str">
        <f>IF($A853="","",COUNTIF('TMP Paste'!$B$2:$B853,"?*"))</f>
        <v/>
      </c>
      <c r="C853" t="str">
        <f>IF($A853="","",IFERROR('TMP Paste'!$M853*1,0))</f>
        <v/>
      </c>
      <c r="D853" t="str">
        <f>IF($A853="","",SUMIF($B$2:$B853,$B853,$C$2:$C853))</f>
        <v/>
      </c>
      <c r="E853">
        <f>IF($A853="",0,IF('TMP Paste'!$B853="",0,1))</f>
        <v>0</v>
      </c>
      <c r="F853" t="str">
        <f t="shared" si="65"/>
        <v/>
      </c>
      <c r="G853" t="str">
        <f t="shared" si="66"/>
        <v/>
      </c>
      <c r="H853" t="str">
        <f t="shared" si="67"/>
        <v/>
      </c>
      <c r="I853" t="str">
        <f t="shared" si="68"/>
        <v/>
      </c>
      <c r="J853" t="str">
        <f t="shared" si="69"/>
        <v/>
      </c>
      <c r="K853" t="str">
        <f>IF($A853="","",IF(COUNTIF($B$2:$B853,$B853)=COUNTIF($B$2:$B$1601,$B853),$B853,""))</f>
        <v/>
      </c>
    </row>
    <row r="854" spans="1:11">
      <c r="A854" t="str">
        <f>IF('TMP Paste'!$E854="","",'TMP Paste'!$E854)</f>
        <v/>
      </c>
      <c r="B854" t="str">
        <f>IF($A854="","",COUNTIF('TMP Paste'!$B$2:$B854,"?*"))</f>
        <v/>
      </c>
      <c r="C854" t="str">
        <f>IF($A854="","",IFERROR('TMP Paste'!$M854*1,0))</f>
        <v/>
      </c>
      <c r="D854" t="str">
        <f>IF($A854="","",SUMIF($B$2:$B854,$B854,$C$2:$C854))</f>
        <v/>
      </c>
      <c r="E854">
        <f>IF($A854="",0,IF('TMP Paste'!$B854="",0,1))</f>
        <v>0</v>
      </c>
      <c r="F854" t="str">
        <f t="shared" si="65"/>
        <v/>
      </c>
      <c r="G854" t="str">
        <f t="shared" si="66"/>
        <v/>
      </c>
      <c r="H854" t="str">
        <f t="shared" si="67"/>
        <v/>
      </c>
      <c r="I854" t="str">
        <f t="shared" si="68"/>
        <v/>
      </c>
      <c r="J854" t="str">
        <f t="shared" si="69"/>
        <v/>
      </c>
      <c r="K854" t="str">
        <f>IF($A854="","",IF(COUNTIF($B$2:$B854,$B854)=COUNTIF($B$2:$B$1601,$B854),$B854,""))</f>
        <v/>
      </c>
    </row>
    <row r="855" spans="1:11">
      <c r="A855" t="str">
        <f>IF('TMP Paste'!$E855="","",'TMP Paste'!$E855)</f>
        <v/>
      </c>
      <c r="B855" t="str">
        <f>IF($A855="","",COUNTIF('TMP Paste'!$B$2:$B855,"?*"))</f>
        <v/>
      </c>
      <c r="C855" t="str">
        <f>IF($A855="","",IFERROR('TMP Paste'!$M855*1,0))</f>
        <v/>
      </c>
      <c r="D855" t="str">
        <f>IF($A855="","",SUMIF($B$2:$B855,$B855,$C$2:$C855))</f>
        <v/>
      </c>
      <c r="E855">
        <f>IF($A855="",0,IF('TMP Paste'!$B855="",0,1))</f>
        <v>0</v>
      </c>
      <c r="F855" t="str">
        <f t="shared" si="65"/>
        <v/>
      </c>
      <c r="G855" t="str">
        <f t="shared" si="66"/>
        <v/>
      </c>
      <c r="H855" t="str">
        <f t="shared" si="67"/>
        <v/>
      </c>
      <c r="I855" t="str">
        <f t="shared" si="68"/>
        <v/>
      </c>
      <c r="J855" t="str">
        <f t="shared" si="69"/>
        <v/>
      </c>
      <c r="K855" t="str">
        <f>IF($A855="","",IF(COUNTIF($B$2:$B855,$B855)=COUNTIF($B$2:$B$1601,$B855),$B855,""))</f>
        <v/>
      </c>
    </row>
    <row r="856" spans="1:11">
      <c r="A856" t="str">
        <f>IF('TMP Paste'!$E856="","",'TMP Paste'!$E856)</f>
        <v/>
      </c>
      <c r="B856" t="str">
        <f>IF($A856="","",COUNTIF('TMP Paste'!$B$2:$B856,"?*"))</f>
        <v/>
      </c>
      <c r="C856" t="str">
        <f>IF($A856="","",IFERROR('TMP Paste'!$M856*1,0))</f>
        <v/>
      </c>
      <c r="D856" t="str">
        <f>IF($A856="","",SUMIF($B$2:$B856,$B856,$C$2:$C856))</f>
        <v/>
      </c>
      <c r="E856">
        <f>IF($A856="",0,IF('TMP Paste'!$B856="",0,1))</f>
        <v>0</v>
      </c>
      <c r="F856" t="str">
        <f t="shared" si="65"/>
        <v/>
      </c>
      <c r="G856" t="str">
        <f t="shared" si="66"/>
        <v/>
      </c>
      <c r="H856" t="str">
        <f t="shared" si="67"/>
        <v/>
      </c>
      <c r="I856" t="str">
        <f t="shared" si="68"/>
        <v/>
      </c>
      <c r="J856" t="str">
        <f t="shared" si="69"/>
        <v/>
      </c>
      <c r="K856" t="str">
        <f>IF($A856="","",IF(COUNTIF($B$2:$B856,$B856)=COUNTIF($B$2:$B$1601,$B856),$B856,""))</f>
        <v/>
      </c>
    </row>
    <row r="857" spans="1:11">
      <c r="A857" t="str">
        <f>IF('TMP Paste'!$E857="","",'TMP Paste'!$E857)</f>
        <v/>
      </c>
      <c r="B857" t="str">
        <f>IF($A857="","",COUNTIF('TMP Paste'!$B$2:$B857,"?*"))</f>
        <v/>
      </c>
      <c r="C857" t="str">
        <f>IF($A857="","",IFERROR('TMP Paste'!$M857*1,0))</f>
        <v/>
      </c>
      <c r="D857" t="str">
        <f>IF($A857="","",SUMIF($B$2:$B857,$B857,$C$2:$C857))</f>
        <v/>
      </c>
      <c r="E857">
        <f>IF($A857="",0,IF('TMP Paste'!$B857="",0,1))</f>
        <v>0</v>
      </c>
      <c r="F857" t="str">
        <f t="shared" si="65"/>
        <v/>
      </c>
      <c r="G857" t="str">
        <f t="shared" si="66"/>
        <v/>
      </c>
      <c r="H857" t="str">
        <f t="shared" si="67"/>
        <v/>
      </c>
      <c r="I857" t="str">
        <f t="shared" si="68"/>
        <v/>
      </c>
      <c r="J857" t="str">
        <f t="shared" si="69"/>
        <v/>
      </c>
      <c r="K857" t="str">
        <f>IF($A857="","",IF(COUNTIF($B$2:$B857,$B857)=COUNTIF($B$2:$B$1601,$B857),$B857,""))</f>
        <v/>
      </c>
    </row>
    <row r="858" spans="1:11">
      <c r="A858" t="str">
        <f>IF('TMP Paste'!$E858="","",'TMP Paste'!$E858)</f>
        <v/>
      </c>
      <c r="B858" t="str">
        <f>IF($A858="","",COUNTIF('TMP Paste'!$B$2:$B858,"?*"))</f>
        <v/>
      </c>
      <c r="C858" t="str">
        <f>IF($A858="","",IFERROR('TMP Paste'!$M858*1,0))</f>
        <v/>
      </c>
      <c r="D858" t="str">
        <f>IF($A858="","",SUMIF($B$2:$B858,$B858,$C$2:$C858))</f>
        <v/>
      </c>
      <c r="E858">
        <f>IF($A858="",0,IF('TMP Paste'!$B858="",0,1))</f>
        <v>0</v>
      </c>
      <c r="F858" t="str">
        <f t="shared" si="65"/>
        <v/>
      </c>
      <c r="G858" t="str">
        <f t="shared" si="66"/>
        <v/>
      </c>
      <c r="H858" t="str">
        <f t="shared" si="67"/>
        <v/>
      </c>
      <c r="I858" t="str">
        <f t="shared" si="68"/>
        <v/>
      </c>
      <c r="J858" t="str">
        <f t="shared" si="69"/>
        <v/>
      </c>
      <c r="K858" t="str">
        <f>IF($A858="","",IF(COUNTIF($B$2:$B858,$B858)=COUNTIF($B$2:$B$1601,$B858),$B858,""))</f>
        <v/>
      </c>
    </row>
    <row r="859" spans="1:11">
      <c r="A859" t="str">
        <f>IF('TMP Paste'!$E859="","",'TMP Paste'!$E859)</f>
        <v/>
      </c>
      <c r="B859" t="str">
        <f>IF($A859="","",COUNTIF('TMP Paste'!$B$2:$B859,"?*"))</f>
        <v/>
      </c>
      <c r="C859" t="str">
        <f>IF($A859="","",IFERROR('TMP Paste'!$M859*1,0))</f>
        <v/>
      </c>
      <c r="D859" t="str">
        <f>IF($A859="","",SUMIF($B$2:$B859,$B859,$C$2:$C859))</f>
        <v/>
      </c>
      <c r="E859">
        <f>IF($A859="",0,IF('TMP Paste'!$B859="",0,1))</f>
        <v>0</v>
      </c>
      <c r="F859" t="str">
        <f t="shared" si="65"/>
        <v/>
      </c>
      <c r="G859" t="str">
        <f t="shared" si="66"/>
        <v/>
      </c>
      <c r="H859" t="str">
        <f t="shared" si="67"/>
        <v/>
      </c>
      <c r="I859" t="str">
        <f t="shared" si="68"/>
        <v/>
      </c>
      <c r="J859" t="str">
        <f t="shared" si="69"/>
        <v/>
      </c>
      <c r="K859" t="str">
        <f>IF($A859="","",IF(COUNTIF($B$2:$B859,$B859)=COUNTIF($B$2:$B$1601,$B859),$B859,""))</f>
        <v/>
      </c>
    </row>
    <row r="860" spans="1:11">
      <c r="A860" t="str">
        <f>IF('TMP Paste'!$E860="","",'TMP Paste'!$E860)</f>
        <v/>
      </c>
      <c r="B860" t="str">
        <f>IF($A860="","",COUNTIF('TMP Paste'!$B$2:$B860,"?*"))</f>
        <v/>
      </c>
      <c r="C860" t="str">
        <f>IF($A860="","",IFERROR('TMP Paste'!$M860*1,0))</f>
        <v/>
      </c>
      <c r="D860" t="str">
        <f>IF($A860="","",SUMIF($B$2:$B860,$B860,$C$2:$C860))</f>
        <v/>
      </c>
      <c r="E860">
        <f>IF($A860="",0,IF('TMP Paste'!$B860="",0,1))</f>
        <v>0</v>
      </c>
      <c r="F860" t="str">
        <f t="shared" si="65"/>
        <v/>
      </c>
      <c r="G860" t="str">
        <f t="shared" si="66"/>
        <v/>
      </c>
      <c r="H860" t="str">
        <f t="shared" si="67"/>
        <v/>
      </c>
      <c r="I860" t="str">
        <f t="shared" si="68"/>
        <v/>
      </c>
      <c r="J860" t="str">
        <f t="shared" si="69"/>
        <v/>
      </c>
      <c r="K860" t="str">
        <f>IF($A860="","",IF(COUNTIF($B$2:$B860,$B860)=COUNTIF($B$2:$B$1601,$B860),$B860,""))</f>
        <v/>
      </c>
    </row>
    <row r="861" spans="1:11">
      <c r="A861" t="str">
        <f>IF('TMP Paste'!$E861="","",'TMP Paste'!$E861)</f>
        <v/>
      </c>
      <c r="B861" t="str">
        <f>IF($A861="","",COUNTIF('TMP Paste'!$B$2:$B861,"?*"))</f>
        <v/>
      </c>
      <c r="C861" t="str">
        <f>IF($A861="","",IFERROR('TMP Paste'!$M861*1,0))</f>
        <v/>
      </c>
      <c r="D861" t="str">
        <f>IF($A861="","",SUMIF($B$2:$B861,$B861,$C$2:$C861))</f>
        <v/>
      </c>
      <c r="E861">
        <f>IF($A861="",0,IF('TMP Paste'!$B861="",0,1))</f>
        <v>0</v>
      </c>
      <c r="F861" t="str">
        <f t="shared" si="65"/>
        <v/>
      </c>
      <c r="G861" t="str">
        <f t="shared" si="66"/>
        <v/>
      </c>
      <c r="H861" t="str">
        <f t="shared" si="67"/>
        <v/>
      </c>
      <c r="I861" t="str">
        <f t="shared" si="68"/>
        <v/>
      </c>
      <c r="J861" t="str">
        <f t="shared" si="69"/>
        <v/>
      </c>
      <c r="K861" t="str">
        <f>IF($A861="","",IF(COUNTIF($B$2:$B861,$B861)=COUNTIF($B$2:$B$1601,$B861),$B861,""))</f>
        <v/>
      </c>
    </row>
    <row r="862" spans="1:11">
      <c r="A862" t="str">
        <f>IF('TMP Paste'!$E862="","",'TMP Paste'!$E862)</f>
        <v/>
      </c>
      <c r="B862" t="str">
        <f>IF($A862="","",COUNTIF('TMP Paste'!$B$2:$B862,"?*"))</f>
        <v/>
      </c>
      <c r="C862" t="str">
        <f>IF($A862="","",IFERROR('TMP Paste'!$M862*1,0))</f>
        <v/>
      </c>
      <c r="D862" t="str">
        <f>IF($A862="","",SUMIF($B$2:$B862,$B862,$C$2:$C862))</f>
        <v/>
      </c>
      <c r="E862">
        <f>IF($A862="",0,IF('TMP Paste'!$B862="",0,1))</f>
        <v>0</v>
      </c>
      <c r="F862" t="str">
        <f t="shared" si="65"/>
        <v/>
      </c>
      <c r="G862" t="str">
        <f t="shared" si="66"/>
        <v/>
      </c>
      <c r="H862" t="str">
        <f t="shared" si="67"/>
        <v/>
      </c>
      <c r="I862" t="str">
        <f t="shared" si="68"/>
        <v/>
      </c>
      <c r="J862" t="str">
        <f t="shared" si="69"/>
        <v/>
      </c>
      <c r="K862" t="str">
        <f>IF($A862="","",IF(COUNTIF($B$2:$B862,$B862)=COUNTIF($B$2:$B$1601,$B862),$B862,""))</f>
        <v/>
      </c>
    </row>
    <row r="863" spans="1:11">
      <c r="A863" t="str">
        <f>IF('TMP Paste'!$E863="","",'TMP Paste'!$E863)</f>
        <v/>
      </c>
      <c r="B863" t="str">
        <f>IF($A863="","",COUNTIF('TMP Paste'!$B$2:$B863,"?*"))</f>
        <v/>
      </c>
      <c r="C863" t="str">
        <f>IF($A863="","",IFERROR('TMP Paste'!$M863*1,0))</f>
        <v/>
      </c>
      <c r="D863" t="str">
        <f>IF($A863="","",SUMIF($B$2:$B863,$B863,$C$2:$C863))</f>
        <v/>
      </c>
      <c r="E863">
        <f>IF($A863="",0,IF('TMP Paste'!$B863="",0,1))</f>
        <v>0</v>
      </c>
      <c r="F863" t="str">
        <f t="shared" si="65"/>
        <v/>
      </c>
      <c r="G863" t="str">
        <f t="shared" si="66"/>
        <v/>
      </c>
      <c r="H863" t="str">
        <f t="shared" si="67"/>
        <v/>
      </c>
      <c r="I863" t="str">
        <f t="shared" si="68"/>
        <v/>
      </c>
      <c r="J863" t="str">
        <f t="shared" si="69"/>
        <v/>
      </c>
      <c r="K863" t="str">
        <f>IF($A863="","",IF(COUNTIF($B$2:$B863,$B863)=COUNTIF($B$2:$B$1601,$B863),$B863,""))</f>
        <v/>
      </c>
    </row>
    <row r="864" spans="1:11">
      <c r="A864" t="str">
        <f>IF('TMP Paste'!$E864="","",'TMP Paste'!$E864)</f>
        <v/>
      </c>
      <c r="B864" t="str">
        <f>IF($A864="","",COUNTIF('TMP Paste'!$B$2:$B864,"?*"))</f>
        <v/>
      </c>
      <c r="C864" t="str">
        <f>IF($A864="","",IFERROR('TMP Paste'!$M864*1,0))</f>
        <v/>
      </c>
      <c r="D864" t="str">
        <f>IF($A864="","",SUMIF($B$2:$B864,$B864,$C$2:$C864))</f>
        <v/>
      </c>
      <c r="E864">
        <f>IF($A864="",0,IF('TMP Paste'!$B864="",0,1))</f>
        <v>0</v>
      </c>
      <c r="F864" t="str">
        <f t="shared" si="65"/>
        <v/>
      </c>
      <c r="G864" t="str">
        <f t="shared" si="66"/>
        <v/>
      </c>
      <c r="H864" t="str">
        <f t="shared" si="67"/>
        <v/>
      </c>
      <c r="I864" t="str">
        <f t="shared" si="68"/>
        <v/>
      </c>
      <c r="J864" t="str">
        <f t="shared" si="69"/>
        <v/>
      </c>
      <c r="K864" t="str">
        <f>IF($A864="","",IF(COUNTIF($B$2:$B864,$B864)=COUNTIF($B$2:$B$1601,$B864),$B864,""))</f>
        <v/>
      </c>
    </row>
    <row r="865" spans="1:11">
      <c r="A865" t="str">
        <f>IF('TMP Paste'!$E865="","",'TMP Paste'!$E865)</f>
        <v/>
      </c>
      <c r="B865" t="str">
        <f>IF($A865="","",COUNTIF('TMP Paste'!$B$2:$B865,"?*"))</f>
        <v/>
      </c>
      <c r="C865" t="str">
        <f>IF($A865="","",IFERROR('TMP Paste'!$M865*1,0))</f>
        <v/>
      </c>
      <c r="D865" t="str">
        <f>IF($A865="","",SUMIF($B$2:$B865,$B865,$C$2:$C865))</f>
        <v/>
      </c>
      <c r="E865">
        <f>IF($A865="",0,IF('TMP Paste'!$B865="",0,1))</f>
        <v>0</v>
      </c>
      <c r="F865" t="str">
        <f t="shared" si="65"/>
        <v/>
      </c>
      <c r="G865" t="str">
        <f t="shared" si="66"/>
        <v/>
      </c>
      <c r="H865" t="str">
        <f t="shared" si="67"/>
        <v/>
      </c>
      <c r="I865" t="str">
        <f t="shared" si="68"/>
        <v/>
      </c>
      <c r="J865" t="str">
        <f t="shared" si="69"/>
        <v/>
      </c>
      <c r="K865" t="str">
        <f>IF($A865="","",IF(COUNTIF($B$2:$B865,$B865)=COUNTIF($B$2:$B$1601,$B865),$B865,""))</f>
        <v/>
      </c>
    </row>
    <row r="866" spans="1:11">
      <c r="A866" t="str">
        <f>IF('TMP Paste'!$E866="","",'TMP Paste'!$E866)</f>
        <v/>
      </c>
      <c r="B866" t="str">
        <f>IF($A866="","",COUNTIF('TMP Paste'!$B$2:$B866,"?*"))</f>
        <v/>
      </c>
      <c r="C866" t="str">
        <f>IF($A866="","",IFERROR('TMP Paste'!$M866*1,0))</f>
        <v/>
      </c>
      <c r="D866" t="str">
        <f>IF($A866="","",SUMIF($B$2:$B866,$B866,$C$2:$C866))</f>
        <v/>
      </c>
      <c r="E866">
        <f>IF($A866="",0,IF('TMP Paste'!$B866="",0,1))</f>
        <v>0</v>
      </c>
      <c r="F866" t="str">
        <f t="shared" si="65"/>
        <v/>
      </c>
      <c r="G866" t="str">
        <f t="shared" si="66"/>
        <v/>
      </c>
      <c r="H866" t="str">
        <f t="shared" si="67"/>
        <v/>
      </c>
      <c r="I866" t="str">
        <f t="shared" si="68"/>
        <v/>
      </c>
      <c r="J866" t="str">
        <f t="shared" si="69"/>
        <v/>
      </c>
      <c r="K866" t="str">
        <f>IF($A866="","",IF(COUNTIF($B$2:$B866,$B866)=COUNTIF($B$2:$B$1601,$B866),$B866,""))</f>
        <v/>
      </c>
    </row>
    <row r="867" spans="1:11">
      <c r="A867" t="str">
        <f>IF('TMP Paste'!$E867="","",'TMP Paste'!$E867)</f>
        <v/>
      </c>
      <c r="B867" t="str">
        <f>IF($A867="","",COUNTIF('TMP Paste'!$B$2:$B867,"?*"))</f>
        <v/>
      </c>
      <c r="C867" t="str">
        <f>IF($A867="","",IFERROR('TMP Paste'!$M867*1,0))</f>
        <v/>
      </c>
      <c r="D867" t="str">
        <f>IF($A867="","",SUMIF($B$2:$B867,$B867,$C$2:$C867))</f>
        <v/>
      </c>
      <c r="E867">
        <f>IF($A867="",0,IF('TMP Paste'!$B867="",0,1))</f>
        <v>0</v>
      </c>
      <c r="F867" t="str">
        <f t="shared" si="65"/>
        <v/>
      </c>
      <c r="G867" t="str">
        <f t="shared" si="66"/>
        <v/>
      </c>
      <c r="H867" t="str">
        <f t="shared" si="67"/>
        <v/>
      </c>
      <c r="I867" t="str">
        <f t="shared" si="68"/>
        <v/>
      </c>
      <c r="J867" t="str">
        <f t="shared" si="69"/>
        <v/>
      </c>
      <c r="K867" t="str">
        <f>IF($A867="","",IF(COUNTIF($B$2:$B867,$B867)=COUNTIF($B$2:$B$1601,$B867),$B867,""))</f>
        <v/>
      </c>
    </row>
    <row r="868" spans="1:11">
      <c r="A868" t="str">
        <f>IF('TMP Paste'!$E868="","",'TMP Paste'!$E868)</f>
        <v/>
      </c>
      <c r="B868" t="str">
        <f>IF($A868="","",COUNTIF('TMP Paste'!$B$2:$B868,"?*"))</f>
        <v/>
      </c>
      <c r="C868" t="str">
        <f>IF($A868="","",IFERROR('TMP Paste'!$M868*1,0))</f>
        <v/>
      </c>
      <c r="D868" t="str">
        <f>IF($A868="","",SUMIF($B$2:$B868,$B868,$C$2:$C868))</f>
        <v/>
      </c>
      <c r="E868">
        <f>IF($A868="",0,IF('TMP Paste'!$B868="",0,1))</f>
        <v>0</v>
      </c>
      <c r="F868" t="str">
        <f t="shared" si="65"/>
        <v/>
      </c>
      <c r="G868" t="str">
        <f t="shared" si="66"/>
        <v/>
      </c>
      <c r="H868" t="str">
        <f t="shared" si="67"/>
        <v/>
      </c>
      <c r="I868" t="str">
        <f t="shared" si="68"/>
        <v/>
      </c>
      <c r="J868" t="str">
        <f t="shared" si="69"/>
        <v/>
      </c>
      <c r="K868" t="str">
        <f>IF($A868="","",IF(COUNTIF($B$2:$B868,$B868)=COUNTIF($B$2:$B$1601,$B868),$B868,""))</f>
        <v/>
      </c>
    </row>
    <row r="869" spans="1:11">
      <c r="A869" t="str">
        <f>IF('TMP Paste'!$E869="","",'TMP Paste'!$E869)</f>
        <v/>
      </c>
      <c r="B869" t="str">
        <f>IF($A869="","",COUNTIF('TMP Paste'!$B$2:$B869,"?*"))</f>
        <v/>
      </c>
      <c r="C869" t="str">
        <f>IF($A869="","",IFERROR('TMP Paste'!$M869*1,0))</f>
        <v/>
      </c>
      <c r="D869" t="str">
        <f>IF($A869="","",SUMIF($B$2:$B869,$B869,$C$2:$C869))</f>
        <v/>
      </c>
      <c r="E869">
        <f>IF($A869="",0,IF('TMP Paste'!$B869="",0,1))</f>
        <v>0</v>
      </c>
      <c r="F869" t="str">
        <f t="shared" si="65"/>
        <v/>
      </c>
      <c r="G869" t="str">
        <f t="shared" si="66"/>
        <v/>
      </c>
      <c r="H869" t="str">
        <f t="shared" si="67"/>
        <v/>
      </c>
      <c r="I869" t="str">
        <f t="shared" si="68"/>
        <v/>
      </c>
      <c r="J869" t="str">
        <f t="shared" si="69"/>
        <v/>
      </c>
      <c r="K869" t="str">
        <f>IF($A869="","",IF(COUNTIF($B$2:$B869,$B869)=COUNTIF($B$2:$B$1601,$B869),$B869,""))</f>
        <v/>
      </c>
    </row>
    <row r="870" spans="1:11">
      <c r="A870" t="str">
        <f>IF('TMP Paste'!$E870="","",'TMP Paste'!$E870)</f>
        <v/>
      </c>
      <c r="B870" t="str">
        <f>IF($A870="","",COUNTIF('TMP Paste'!$B$2:$B870,"?*"))</f>
        <v/>
      </c>
      <c r="C870" t="str">
        <f>IF($A870="","",IFERROR('TMP Paste'!$M870*1,0))</f>
        <v/>
      </c>
      <c r="D870" t="str">
        <f>IF($A870="","",SUMIF($B$2:$B870,$B870,$C$2:$C870))</f>
        <v/>
      </c>
      <c r="E870">
        <f>IF($A870="",0,IF('TMP Paste'!$B870="",0,1))</f>
        <v>0</v>
      </c>
      <c r="F870" t="str">
        <f t="shared" si="65"/>
        <v/>
      </c>
      <c r="G870" t="str">
        <f t="shared" si="66"/>
        <v/>
      </c>
      <c r="H870" t="str">
        <f t="shared" si="67"/>
        <v/>
      </c>
      <c r="I870" t="str">
        <f t="shared" si="68"/>
        <v/>
      </c>
      <c r="J870" t="str">
        <f t="shared" si="69"/>
        <v/>
      </c>
      <c r="K870" t="str">
        <f>IF($A870="","",IF(COUNTIF($B$2:$B870,$B870)=COUNTIF($B$2:$B$1601,$B870),$B870,""))</f>
        <v/>
      </c>
    </row>
    <row r="871" spans="1:11">
      <c r="A871" t="str">
        <f>IF('TMP Paste'!$E871="","",'TMP Paste'!$E871)</f>
        <v/>
      </c>
      <c r="B871" t="str">
        <f>IF($A871="","",COUNTIF('TMP Paste'!$B$2:$B871,"?*"))</f>
        <v/>
      </c>
      <c r="C871" t="str">
        <f>IF($A871="","",IFERROR('TMP Paste'!$M871*1,0))</f>
        <v/>
      </c>
      <c r="D871" t="str">
        <f>IF($A871="","",SUMIF($B$2:$B871,$B871,$C$2:$C871))</f>
        <v/>
      </c>
      <c r="E871">
        <f>IF($A871="",0,IF('TMP Paste'!$B871="",0,1))</f>
        <v>0</v>
      </c>
      <c r="F871" t="str">
        <f t="shared" si="65"/>
        <v/>
      </c>
      <c r="G871" t="str">
        <f t="shared" si="66"/>
        <v/>
      </c>
      <c r="H871" t="str">
        <f t="shared" si="67"/>
        <v/>
      </c>
      <c r="I871" t="str">
        <f t="shared" si="68"/>
        <v/>
      </c>
      <c r="J871" t="str">
        <f t="shared" si="69"/>
        <v/>
      </c>
      <c r="K871" t="str">
        <f>IF($A871="","",IF(COUNTIF($B$2:$B871,$B871)=COUNTIF($B$2:$B$1601,$B871),$B871,""))</f>
        <v/>
      </c>
    </row>
    <row r="872" spans="1:11">
      <c r="A872" t="str">
        <f>IF('TMP Paste'!$E872="","",'TMP Paste'!$E872)</f>
        <v/>
      </c>
      <c r="B872" t="str">
        <f>IF($A872="","",COUNTIF('TMP Paste'!$B$2:$B872,"?*"))</f>
        <v/>
      </c>
      <c r="C872" t="str">
        <f>IF($A872="","",IFERROR('TMP Paste'!$M872*1,0))</f>
        <v/>
      </c>
      <c r="D872" t="str">
        <f>IF($A872="","",SUMIF($B$2:$B872,$B872,$C$2:$C872))</f>
        <v/>
      </c>
      <c r="E872">
        <f>IF($A872="",0,IF('TMP Paste'!$B872="",0,1))</f>
        <v>0</v>
      </c>
      <c r="F872" t="str">
        <f t="shared" si="65"/>
        <v/>
      </c>
      <c r="G872" t="str">
        <f t="shared" si="66"/>
        <v/>
      </c>
      <c r="H872" t="str">
        <f t="shared" si="67"/>
        <v/>
      </c>
      <c r="I872" t="str">
        <f t="shared" si="68"/>
        <v/>
      </c>
      <c r="J872" t="str">
        <f t="shared" si="69"/>
        <v/>
      </c>
      <c r="K872" t="str">
        <f>IF($A872="","",IF(COUNTIF($B$2:$B872,$B872)=COUNTIF($B$2:$B$1601,$B872),$B872,""))</f>
        <v/>
      </c>
    </row>
    <row r="873" spans="1:11">
      <c r="A873" t="str">
        <f>IF('TMP Paste'!$E873="","",'TMP Paste'!$E873)</f>
        <v/>
      </c>
      <c r="B873" t="str">
        <f>IF($A873="","",COUNTIF('TMP Paste'!$B$2:$B873,"?*"))</f>
        <v/>
      </c>
      <c r="C873" t="str">
        <f>IF($A873="","",IFERROR('TMP Paste'!$M873*1,0))</f>
        <v/>
      </c>
      <c r="D873" t="str">
        <f>IF($A873="","",SUMIF($B$2:$B873,$B873,$C$2:$C873))</f>
        <v/>
      </c>
      <c r="E873">
        <f>IF($A873="",0,IF('TMP Paste'!$B873="",0,1))</f>
        <v>0</v>
      </c>
      <c r="F873" t="str">
        <f t="shared" si="65"/>
        <v/>
      </c>
      <c r="G873" t="str">
        <f t="shared" si="66"/>
        <v/>
      </c>
      <c r="H873" t="str">
        <f t="shared" si="67"/>
        <v/>
      </c>
      <c r="I873" t="str">
        <f t="shared" si="68"/>
        <v/>
      </c>
      <c r="J873" t="str">
        <f t="shared" si="69"/>
        <v/>
      </c>
      <c r="K873" t="str">
        <f>IF($A873="","",IF(COUNTIF($B$2:$B873,$B873)=COUNTIF($B$2:$B$1601,$B873),$B873,""))</f>
        <v/>
      </c>
    </row>
    <row r="874" spans="1:11">
      <c r="A874" t="str">
        <f>IF('TMP Paste'!$E874="","",'TMP Paste'!$E874)</f>
        <v/>
      </c>
      <c r="B874" t="str">
        <f>IF($A874="","",COUNTIF('TMP Paste'!$B$2:$B874,"?*"))</f>
        <v/>
      </c>
      <c r="C874" t="str">
        <f>IF($A874="","",IFERROR('TMP Paste'!$M874*1,0))</f>
        <v/>
      </c>
      <c r="D874" t="str">
        <f>IF($A874="","",SUMIF($B$2:$B874,$B874,$C$2:$C874))</f>
        <v/>
      </c>
      <c r="E874">
        <f>IF($A874="",0,IF('TMP Paste'!$B874="",0,1))</f>
        <v>0</v>
      </c>
      <c r="F874" t="str">
        <f t="shared" si="65"/>
        <v/>
      </c>
      <c r="G874" t="str">
        <f t="shared" si="66"/>
        <v/>
      </c>
      <c r="H874" t="str">
        <f t="shared" si="67"/>
        <v/>
      </c>
      <c r="I874" t="str">
        <f t="shared" si="68"/>
        <v/>
      </c>
      <c r="J874" t="str">
        <f t="shared" si="69"/>
        <v/>
      </c>
      <c r="K874" t="str">
        <f>IF($A874="","",IF(COUNTIF($B$2:$B874,$B874)=COUNTIF($B$2:$B$1601,$B874),$B874,""))</f>
        <v/>
      </c>
    </row>
    <row r="875" spans="1:11">
      <c r="A875" t="str">
        <f>IF('TMP Paste'!$E875="","",'TMP Paste'!$E875)</f>
        <v/>
      </c>
      <c r="B875" t="str">
        <f>IF($A875="","",COUNTIF('TMP Paste'!$B$2:$B875,"?*"))</f>
        <v/>
      </c>
      <c r="C875" t="str">
        <f>IF($A875="","",IFERROR('TMP Paste'!$M875*1,0))</f>
        <v/>
      </c>
      <c r="D875" t="str">
        <f>IF($A875="","",SUMIF($B$2:$B875,$B875,$C$2:$C875))</f>
        <v/>
      </c>
      <c r="E875">
        <f>IF($A875="",0,IF('TMP Paste'!$B875="",0,1))</f>
        <v>0</v>
      </c>
      <c r="F875" t="str">
        <f t="shared" si="65"/>
        <v/>
      </c>
      <c r="G875" t="str">
        <f t="shared" si="66"/>
        <v/>
      </c>
      <c r="H875" t="str">
        <f t="shared" si="67"/>
        <v/>
      </c>
      <c r="I875" t="str">
        <f t="shared" si="68"/>
        <v/>
      </c>
      <c r="J875" t="str">
        <f t="shared" si="69"/>
        <v/>
      </c>
      <c r="K875" t="str">
        <f>IF($A875="","",IF(COUNTIF($B$2:$B875,$B875)=COUNTIF($B$2:$B$1601,$B875),$B875,""))</f>
        <v/>
      </c>
    </row>
    <row r="876" spans="1:11">
      <c r="A876" t="str">
        <f>IF('TMP Paste'!$E876="","",'TMP Paste'!$E876)</f>
        <v/>
      </c>
      <c r="B876" t="str">
        <f>IF($A876="","",COUNTIF('TMP Paste'!$B$2:$B876,"?*"))</f>
        <v/>
      </c>
      <c r="C876" t="str">
        <f>IF($A876="","",IFERROR('TMP Paste'!$M876*1,0))</f>
        <v/>
      </c>
      <c r="D876" t="str">
        <f>IF($A876="","",SUMIF($B$2:$B876,$B876,$C$2:$C876))</f>
        <v/>
      </c>
      <c r="E876">
        <f>IF($A876="",0,IF('TMP Paste'!$B876="",0,1))</f>
        <v>0</v>
      </c>
      <c r="F876" t="str">
        <f t="shared" si="65"/>
        <v/>
      </c>
      <c r="G876" t="str">
        <f t="shared" si="66"/>
        <v/>
      </c>
      <c r="H876" t="str">
        <f t="shared" si="67"/>
        <v/>
      </c>
      <c r="I876" t="str">
        <f t="shared" si="68"/>
        <v/>
      </c>
      <c r="J876" t="str">
        <f t="shared" si="69"/>
        <v/>
      </c>
      <c r="K876" t="str">
        <f>IF($A876="","",IF(COUNTIF($B$2:$B876,$B876)=COUNTIF($B$2:$B$1601,$B876),$B876,""))</f>
        <v/>
      </c>
    </row>
    <row r="877" spans="1:11">
      <c r="A877" t="str">
        <f>IF('TMP Paste'!$E877="","",'TMP Paste'!$E877)</f>
        <v/>
      </c>
      <c r="B877" t="str">
        <f>IF($A877="","",COUNTIF('TMP Paste'!$B$2:$B877,"?*"))</f>
        <v/>
      </c>
      <c r="C877" t="str">
        <f>IF($A877="","",IFERROR('TMP Paste'!$M877*1,0))</f>
        <v/>
      </c>
      <c r="D877" t="str">
        <f>IF($A877="","",SUMIF($B$2:$B877,$B877,$C$2:$C877))</f>
        <v/>
      </c>
      <c r="E877">
        <f>IF($A877="",0,IF('TMP Paste'!$B877="",0,1))</f>
        <v>0</v>
      </c>
      <c r="F877" t="str">
        <f t="shared" si="65"/>
        <v/>
      </c>
      <c r="G877" t="str">
        <f t="shared" si="66"/>
        <v/>
      </c>
      <c r="H877" t="str">
        <f t="shared" si="67"/>
        <v/>
      </c>
      <c r="I877" t="str">
        <f t="shared" si="68"/>
        <v/>
      </c>
      <c r="J877" t="str">
        <f t="shared" si="69"/>
        <v/>
      </c>
      <c r="K877" t="str">
        <f>IF($A877="","",IF(COUNTIF($B$2:$B877,$B877)=COUNTIF($B$2:$B$1601,$B877),$B877,""))</f>
        <v/>
      </c>
    </row>
    <row r="878" spans="1:11">
      <c r="A878" t="str">
        <f>IF('TMP Paste'!$E878="","",'TMP Paste'!$E878)</f>
        <v/>
      </c>
      <c r="B878" t="str">
        <f>IF($A878="","",COUNTIF('TMP Paste'!$B$2:$B878,"?*"))</f>
        <v/>
      </c>
      <c r="C878" t="str">
        <f>IF($A878="","",IFERROR('TMP Paste'!$M878*1,0))</f>
        <v/>
      </c>
      <c r="D878" t="str">
        <f>IF($A878="","",SUMIF($B$2:$B878,$B878,$C$2:$C878))</f>
        <v/>
      </c>
      <c r="E878">
        <f>IF($A878="",0,IF('TMP Paste'!$B878="",0,1))</f>
        <v>0</v>
      </c>
      <c r="F878" t="str">
        <f t="shared" si="65"/>
        <v/>
      </c>
      <c r="G878" t="str">
        <f t="shared" si="66"/>
        <v/>
      </c>
      <c r="H878" t="str">
        <f t="shared" si="67"/>
        <v/>
      </c>
      <c r="I878" t="str">
        <f t="shared" si="68"/>
        <v/>
      </c>
      <c r="J878" t="str">
        <f t="shared" si="69"/>
        <v/>
      </c>
      <c r="K878" t="str">
        <f>IF($A878="","",IF(COUNTIF($B$2:$B878,$B878)=COUNTIF($B$2:$B$1601,$B878),$B878,""))</f>
        <v/>
      </c>
    </row>
    <row r="879" spans="1:11">
      <c r="A879" t="str">
        <f>IF('TMP Paste'!$E879="","",'TMP Paste'!$E879)</f>
        <v/>
      </c>
      <c r="B879" t="str">
        <f>IF($A879="","",COUNTIF('TMP Paste'!$B$2:$B879,"?*"))</f>
        <v/>
      </c>
      <c r="C879" t="str">
        <f>IF($A879="","",IFERROR('TMP Paste'!$M879*1,0))</f>
        <v/>
      </c>
      <c r="D879" t="str">
        <f>IF($A879="","",SUMIF($B$2:$B879,$B879,$C$2:$C879))</f>
        <v/>
      </c>
      <c r="E879">
        <f>IF($A879="",0,IF('TMP Paste'!$B879="",0,1))</f>
        <v>0</v>
      </c>
      <c r="F879" t="str">
        <f t="shared" si="65"/>
        <v/>
      </c>
      <c r="G879" t="str">
        <f t="shared" si="66"/>
        <v/>
      </c>
      <c r="H879" t="str">
        <f t="shared" si="67"/>
        <v/>
      </c>
      <c r="I879" t="str">
        <f t="shared" si="68"/>
        <v/>
      </c>
      <c r="J879" t="str">
        <f t="shared" si="69"/>
        <v/>
      </c>
      <c r="K879" t="str">
        <f>IF($A879="","",IF(COUNTIF($B$2:$B879,$B879)=COUNTIF($B$2:$B$1601,$B879),$B879,""))</f>
        <v/>
      </c>
    </row>
    <row r="880" spans="1:11">
      <c r="A880" t="str">
        <f>IF('TMP Paste'!$E880="","",'TMP Paste'!$E880)</f>
        <v/>
      </c>
      <c r="B880" t="str">
        <f>IF($A880="","",COUNTIF('TMP Paste'!$B$2:$B880,"?*"))</f>
        <v/>
      </c>
      <c r="C880" t="str">
        <f>IF($A880="","",IFERROR('TMP Paste'!$M880*1,0))</f>
        <v/>
      </c>
      <c r="D880" t="str">
        <f>IF($A880="","",SUMIF($B$2:$B880,$B880,$C$2:$C880))</f>
        <v/>
      </c>
      <c r="E880">
        <f>IF($A880="",0,IF('TMP Paste'!$B880="",0,1))</f>
        <v>0</v>
      </c>
      <c r="F880" t="str">
        <f t="shared" si="65"/>
        <v/>
      </c>
      <c r="G880" t="str">
        <f t="shared" si="66"/>
        <v/>
      </c>
      <c r="H880" t="str">
        <f t="shared" si="67"/>
        <v/>
      </c>
      <c r="I880" t="str">
        <f t="shared" si="68"/>
        <v/>
      </c>
      <c r="J880" t="str">
        <f t="shared" si="69"/>
        <v/>
      </c>
      <c r="K880" t="str">
        <f>IF($A880="","",IF(COUNTIF($B$2:$B880,$B880)=COUNTIF($B$2:$B$1601,$B880),$B880,""))</f>
        <v/>
      </c>
    </row>
    <row r="881" spans="1:11">
      <c r="A881" t="str">
        <f>IF('TMP Paste'!$E881="","",'TMP Paste'!$E881)</f>
        <v/>
      </c>
      <c r="B881" t="str">
        <f>IF($A881="","",COUNTIF('TMP Paste'!$B$2:$B881,"?*"))</f>
        <v/>
      </c>
      <c r="C881" t="str">
        <f>IF($A881="","",IFERROR('TMP Paste'!$M881*1,0))</f>
        <v/>
      </c>
      <c r="D881" t="str">
        <f>IF($A881="","",SUMIF($B$2:$B881,$B881,$C$2:$C881))</f>
        <v/>
      </c>
      <c r="E881">
        <f>IF($A881="",0,IF('TMP Paste'!$B881="",0,1))</f>
        <v>0</v>
      </c>
      <c r="F881" t="str">
        <f t="shared" si="65"/>
        <v/>
      </c>
      <c r="G881" t="str">
        <f t="shared" si="66"/>
        <v/>
      </c>
      <c r="H881" t="str">
        <f t="shared" si="67"/>
        <v/>
      </c>
      <c r="I881" t="str">
        <f t="shared" si="68"/>
        <v/>
      </c>
      <c r="J881" t="str">
        <f t="shared" si="69"/>
        <v/>
      </c>
      <c r="K881" t="str">
        <f>IF($A881="","",IF(COUNTIF($B$2:$B881,$B881)=COUNTIF($B$2:$B$1601,$B881),$B881,""))</f>
        <v/>
      </c>
    </row>
    <row r="882" spans="1:11">
      <c r="A882" t="str">
        <f>IF('TMP Paste'!$E882="","",'TMP Paste'!$E882)</f>
        <v/>
      </c>
      <c r="B882" t="str">
        <f>IF($A882="","",COUNTIF('TMP Paste'!$B$2:$B882,"?*"))</f>
        <v/>
      </c>
      <c r="C882" t="str">
        <f>IF($A882="","",IFERROR('TMP Paste'!$M882*1,0))</f>
        <v/>
      </c>
      <c r="D882" t="str">
        <f>IF($A882="","",SUMIF($B$2:$B882,$B882,$C$2:$C882))</f>
        <v/>
      </c>
      <c r="E882">
        <f>IF($A882="",0,IF('TMP Paste'!$B882="",0,1))</f>
        <v>0</v>
      </c>
      <c r="F882" t="str">
        <f t="shared" si="65"/>
        <v/>
      </c>
      <c r="G882" t="str">
        <f t="shared" si="66"/>
        <v/>
      </c>
      <c r="H882" t="str">
        <f t="shared" si="67"/>
        <v/>
      </c>
      <c r="I882" t="str">
        <f t="shared" si="68"/>
        <v/>
      </c>
      <c r="J882" t="str">
        <f t="shared" si="69"/>
        <v/>
      </c>
      <c r="K882" t="str">
        <f>IF($A882="","",IF(COUNTIF($B$2:$B882,$B882)=COUNTIF($B$2:$B$1601,$B882),$B882,""))</f>
        <v/>
      </c>
    </row>
    <row r="883" spans="1:11">
      <c r="A883" t="str">
        <f>IF('TMP Paste'!$E883="","",'TMP Paste'!$E883)</f>
        <v/>
      </c>
      <c r="B883" t="str">
        <f>IF($A883="","",COUNTIF('TMP Paste'!$B$2:$B883,"?*"))</f>
        <v/>
      </c>
      <c r="C883" t="str">
        <f>IF($A883="","",IFERROR('TMP Paste'!$M883*1,0))</f>
        <v/>
      </c>
      <c r="D883" t="str">
        <f>IF($A883="","",SUMIF($B$2:$B883,$B883,$C$2:$C883))</f>
        <v/>
      </c>
      <c r="E883">
        <f>IF($A883="",0,IF('TMP Paste'!$B883="",0,1))</f>
        <v>0</v>
      </c>
      <c r="F883" t="str">
        <f t="shared" si="65"/>
        <v/>
      </c>
      <c r="G883" t="str">
        <f t="shared" si="66"/>
        <v/>
      </c>
      <c r="H883" t="str">
        <f t="shared" si="67"/>
        <v/>
      </c>
      <c r="I883" t="str">
        <f t="shared" si="68"/>
        <v/>
      </c>
      <c r="J883" t="str">
        <f t="shared" si="69"/>
        <v/>
      </c>
      <c r="K883" t="str">
        <f>IF($A883="","",IF(COUNTIF($B$2:$B883,$B883)=COUNTIF($B$2:$B$1601,$B883),$B883,""))</f>
        <v/>
      </c>
    </row>
    <row r="884" spans="1:11">
      <c r="A884" t="str">
        <f>IF('TMP Paste'!$E884="","",'TMP Paste'!$E884)</f>
        <v/>
      </c>
      <c r="B884" t="str">
        <f>IF($A884="","",COUNTIF('TMP Paste'!$B$2:$B884,"?*"))</f>
        <v/>
      </c>
      <c r="C884" t="str">
        <f>IF($A884="","",IFERROR('TMP Paste'!$M884*1,0))</f>
        <v/>
      </c>
      <c r="D884" t="str">
        <f>IF($A884="","",SUMIF($B$2:$B884,$B884,$C$2:$C884))</f>
        <v/>
      </c>
      <c r="E884">
        <f>IF($A884="",0,IF('TMP Paste'!$B884="",0,1))</f>
        <v>0</v>
      </c>
      <c r="F884" t="str">
        <f t="shared" si="65"/>
        <v/>
      </c>
      <c r="G884" t="str">
        <f t="shared" si="66"/>
        <v/>
      </c>
      <c r="H884" t="str">
        <f t="shared" si="67"/>
        <v/>
      </c>
      <c r="I884" t="str">
        <f t="shared" si="68"/>
        <v/>
      </c>
      <c r="J884" t="str">
        <f t="shared" si="69"/>
        <v/>
      </c>
      <c r="K884" t="str">
        <f>IF($A884="","",IF(COUNTIF($B$2:$B884,$B884)=COUNTIF($B$2:$B$1601,$B884),$B884,""))</f>
        <v/>
      </c>
    </row>
    <row r="885" spans="1:11">
      <c r="A885" t="str">
        <f>IF('TMP Paste'!$E885="","",'TMP Paste'!$E885)</f>
        <v/>
      </c>
      <c r="B885" t="str">
        <f>IF($A885="","",COUNTIF('TMP Paste'!$B$2:$B885,"?*"))</f>
        <v/>
      </c>
      <c r="C885" t="str">
        <f>IF($A885="","",IFERROR('TMP Paste'!$M885*1,0))</f>
        <v/>
      </c>
      <c r="D885" t="str">
        <f>IF($A885="","",SUMIF($B$2:$B885,$B885,$C$2:$C885))</f>
        <v/>
      </c>
      <c r="E885">
        <f>IF($A885="",0,IF('TMP Paste'!$B885="",0,1))</f>
        <v>0</v>
      </c>
      <c r="F885" t="str">
        <f t="shared" si="65"/>
        <v/>
      </c>
      <c r="G885" t="str">
        <f t="shared" si="66"/>
        <v/>
      </c>
      <c r="H885" t="str">
        <f t="shared" si="67"/>
        <v/>
      </c>
      <c r="I885" t="str">
        <f t="shared" si="68"/>
        <v/>
      </c>
      <c r="J885" t="str">
        <f t="shared" si="69"/>
        <v/>
      </c>
      <c r="K885" t="str">
        <f>IF($A885="","",IF(COUNTIF($B$2:$B885,$B885)=COUNTIF($B$2:$B$1601,$B885),$B885,""))</f>
        <v/>
      </c>
    </row>
    <row r="886" spans="1:11">
      <c r="A886" t="str">
        <f>IF('TMP Paste'!$E886="","",'TMP Paste'!$E886)</f>
        <v/>
      </c>
      <c r="B886" t="str">
        <f>IF($A886="","",COUNTIF('TMP Paste'!$B$2:$B886,"?*"))</f>
        <v/>
      </c>
      <c r="C886" t="str">
        <f>IF($A886="","",IFERROR('TMP Paste'!$M886*1,0))</f>
        <v/>
      </c>
      <c r="D886" t="str">
        <f>IF($A886="","",SUMIF($B$2:$B886,$B886,$C$2:$C886))</f>
        <v/>
      </c>
      <c r="E886">
        <f>IF($A886="",0,IF('TMP Paste'!$B886="",0,1))</f>
        <v>0</v>
      </c>
      <c r="F886" t="str">
        <f t="shared" si="65"/>
        <v/>
      </c>
      <c r="G886" t="str">
        <f t="shared" si="66"/>
        <v/>
      </c>
      <c r="H886" t="str">
        <f t="shared" si="67"/>
        <v/>
      </c>
      <c r="I886" t="str">
        <f t="shared" si="68"/>
        <v/>
      </c>
      <c r="J886" t="str">
        <f t="shared" si="69"/>
        <v/>
      </c>
      <c r="K886" t="str">
        <f>IF($A886="","",IF(COUNTIF($B$2:$B886,$B886)=COUNTIF($B$2:$B$1601,$B886),$B886,""))</f>
        <v/>
      </c>
    </row>
    <row r="887" spans="1:11">
      <c r="A887" t="str">
        <f>IF('TMP Paste'!$E887="","",'TMP Paste'!$E887)</f>
        <v/>
      </c>
      <c r="B887" t="str">
        <f>IF($A887="","",COUNTIF('TMP Paste'!$B$2:$B887,"?*"))</f>
        <v/>
      </c>
      <c r="C887" t="str">
        <f>IF($A887="","",IFERROR('TMP Paste'!$M887*1,0))</f>
        <v/>
      </c>
      <c r="D887" t="str">
        <f>IF($A887="","",SUMIF($B$2:$B887,$B887,$C$2:$C887))</f>
        <v/>
      </c>
      <c r="E887">
        <f>IF($A887="",0,IF('TMP Paste'!$B887="",0,1))</f>
        <v>0</v>
      </c>
      <c r="F887" t="str">
        <f t="shared" si="65"/>
        <v/>
      </c>
      <c r="G887" t="str">
        <f t="shared" si="66"/>
        <v/>
      </c>
      <c r="H887" t="str">
        <f t="shared" si="67"/>
        <v/>
      </c>
      <c r="I887" t="str">
        <f t="shared" si="68"/>
        <v/>
      </c>
      <c r="J887" t="str">
        <f t="shared" si="69"/>
        <v/>
      </c>
      <c r="K887" t="str">
        <f>IF($A887="","",IF(COUNTIF($B$2:$B887,$B887)=COUNTIF($B$2:$B$1601,$B887),$B887,""))</f>
        <v/>
      </c>
    </row>
    <row r="888" spans="1:11">
      <c r="A888" t="str">
        <f>IF('TMP Paste'!$E888="","",'TMP Paste'!$E888)</f>
        <v/>
      </c>
      <c r="B888" t="str">
        <f>IF($A888="","",COUNTIF('TMP Paste'!$B$2:$B888,"?*"))</f>
        <v/>
      </c>
      <c r="C888" t="str">
        <f>IF($A888="","",IFERROR('TMP Paste'!$M888*1,0))</f>
        <v/>
      </c>
      <c r="D888" t="str">
        <f>IF($A888="","",SUMIF($B$2:$B888,$B888,$C$2:$C888))</f>
        <v/>
      </c>
      <c r="E888">
        <f>IF($A888="",0,IF('TMP Paste'!$B888="",0,1))</f>
        <v>0</v>
      </c>
      <c r="F888" t="str">
        <f t="shared" si="65"/>
        <v/>
      </c>
      <c r="G888" t="str">
        <f t="shared" si="66"/>
        <v/>
      </c>
      <c r="H888" t="str">
        <f t="shared" si="67"/>
        <v/>
      </c>
      <c r="I888" t="str">
        <f t="shared" si="68"/>
        <v/>
      </c>
      <c r="J888" t="str">
        <f t="shared" si="69"/>
        <v/>
      </c>
      <c r="K888" t="str">
        <f>IF($A888="","",IF(COUNTIF($B$2:$B888,$B888)=COUNTIF($B$2:$B$1601,$B888),$B888,""))</f>
        <v/>
      </c>
    </row>
    <row r="889" spans="1:11">
      <c r="A889" t="str">
        <f>IF('TMP Paste'!$E889="","",'TMP Paste'!$E889)</f>
        <v/>
      </c>
      <c r="B889" t="str">
        <f>IF($A889="","",COUNTIF('TMP Paste'!$B$2:$B889,"?*"))</f>
        <v/>
      </c>
      <c r="C889" t="str">
        <f>IF($A889="","",IFERROR('TMP Paste'!$M889*1,0))</f>
        <v/>
      </c>
      <c r="D889" t="str">
        <f>IF($A889="","",SUMIF($B$2:$B889,$B889,$C$2:$C889))</f>
        <v/>
      </c>
      <c r="E889">
        <f>IF($A889="",0,IF('TMP Paste'!$B889="",0,1))</f>
        <v>0</v>
      </c>
      <c r="F889" t="str">
        <f t="shared" si="65"/>
        <v/>
      </c>
      <c r="G889" t="str">
        <f t="shared" si="66"/>
        <v/>
      </c>
      <c r="H889" t="str">
        <f t="shared" si="67"/>
        <v/>
      </c>
      <c r="I889" t="str">
        <f t="shared" si="68"/>
        <v/>
      </c>
      <c r="J889" t="str">
        <f t="shared" si="69"/>
        <v/>
      </c>
      <c r="K889" t="str">
        <f>IF($A889="","",IF(COUNTIF($B$2:$B889,$B889)=COUNTIF($B$2:$B$1601,$B889),$B889,""))</f>
        <v/>
      </c>
    </row>
    <row r="890" spans="1:11">
      <c r="A890" t="str">
        <f>IF('TMP Paste'!$E890="","",'TMP Paste'!$E890)</f>
        <v/>
      </c>
      <c r="B890" t="str">
        <f>IF($A890="","",COUNTIF('TMP Paste'!$B$2:$B890,"?*"))</f>
        <v/>
      </c>
      <c r="C890" t="str">
        <f>IF($A890="","",IFERROR('TMP Paste'!$M890*1,0))</f>
        <v/>
      </c>
      <c r="D890" t="str">
        <f>IF($A890="","",SUMIF($B$2:$B890,$B890,$C$2:$C890))</f>
        <v/>
      </c>
      <c r="E890">
        <f>IF($A890="",0,IF('TMP Paste'!$B890="",0,1))</f>
        <v>0</v>
      </c>
      <c r="F890" t="str">
        <f t="shared" si="65"/>
        <v/>
      </c>
      <c r="G890" t="str">
        <f t="shared" si="66"/>
        <v/>
      </c>
      <c r="H890" t="str">
        <f t="shared" si="67"/>
        <v/>
      </c>
      <c r="I890" t="str">
        <f t="shared" si="68"/>
        <v/>
      </c>
      <c r="J890" t="str">
        <f t="shared" si="69"/>
        <v/>
      </c>
      <c r="K890" t="str">
        <f>IF($A890="","",IF(COUNTIF($B$2:$B890,$B890)=COUNTIF($B$2:$B$1601,$B890),$B890,""))</f>
        <v/>
      </c>
    </row>
    <row r="891" spans="1:11">
      <c r="A891" t="str">
        <f>IF('TMP Paste'!$E891="","",'TMP Paste'!$E891)</f>
        <v/>
      </c>
      <c r="B891" t="str">
        <f>IF($A891="","",COUNTIF('TMP Paste'!$B$2:$B891,"?*"))</f>
        <v/>
      </c>
      <c r="C891" t="str">
        <f>IF($A891="","",IFERROR('TMP Paste'!$M891*1,0))</f>
        <v/>
      </c>
      <c r="D891" t="str">
        <f>IF($A891="","",SUMIF($B$2:$B891,$B891,$C$2:$C891))</f>
        <v/>
      </c>
      <c r="E891">
        <f>IF($A891="",0,IF('TMP Paste'!$B891="",0,1))</f>
        <v>0</v>
      </c>
      <c r="F891" t="str">
        <f t="shared" si="65"/>
        <v/>
      </c>
      <c r="G891" t="str">
        <f t="shared" si="66"/>
        <v/>
      </c>
      <c r="H891" t="str">
        <f t="shared" si="67"/>
        <v/>
      </c>
      <c r="I891" t="str">
        <f t="shared" si="68"/>
        <v/>
      </c>
      <c r="J891" t="str">
        <f t="shared" si="69"/>
        <v/>
      </c>
      <c r="K891" t="str">
        <f>IF($A891="","",IF(COUNTIF($B$2:$B891,$B891)=COUNTIF($B$2:$B$1601,$B891),$B891,""))</f>
        <v/>
      </c>
    </row>
    <row r="892" spans="1:11">
      <c r="A892" t="str">
        <f>IF('TMP Paste'!$E892="","",'TMP Paste'!$E892)</f>
        <v/>
      </c>
      <c r="B892" t="str">
        <f>IF($A892="","",COUNTIF('TMP Paste'!$B$2:$B892,"?*"))</f>
        <v/>
      </c>
      <c r="C892" t="str">
        <f>IF($A892="","",IFERROR('TMP Paste'!$M892*1,0))</f>
        <v/>
      </c>
      <c r="D892" t="str">
        <f>IF($A892="","",SUMIF($B$2:$B892,$B892,$C$2:$C892))</f>
        <v/>
      </c>
      <c r="E892">
        <f>IF($A892="",0,IF('TMP Paste'!$B892="",0,1))</f>
        <v>0</v>
      </c>
      <c r="F892" t="str">
        <f t="shared" si="65"/>
        <v/>
      </c>
      <c r="G892" t="str">
        <f t="shared" si="66"/>
        <v/>
      </c>
      <c r="H892" t="str">
        <f t="shared" si="67"/>
        <v/>
      </c>
      <c r="I892" t="str">
        <f t="shared" si="68"/>
        <v/>
      </c>
      <c r="J892" t="str">
        <f t="shared" si="69"/>
        <v/>
      </c>
      <c r="K892" t="str">
        <f>IF($A892="","",IF(COUNTIF($B$2:$B892,$B892)=COUNTIF($B$2:$B$1601,$B892),$B892,""))</f>
        <v/>
      </c>
    </row>
    <row r="893" spans="1:11">
      <c r="A893" t="str">
        <f>IF('TMP Paste'!$E893="","",'TMP Paste'!$E893)</f>
        <v/>
      </c>
      <c r="B893" t="str">
        <f>IF($A893="","",COUNTIF('TMP Paste'!$B$2:$B893,"?*"))</f>
        <v/>
      </c>
      <c r="C893" t="str">
        <f>IF($A893="","",IFERROR('TMP Paste'!$M893*1,0))</f>
        <v/>
      </c>
      <c r="D893" t="str">
        <f>IF($A893="","",SUMIF($B$2:$B893,$B893,$C$2:$C893))</f>
        <v/>
      </c>
      <c r="E893">
        <f>IF($A893="",0,IF('TMP Paste'!$B893="",0,1))</f>
        <v>0</v>
      </c>
      <c r="F893" t="str">
        <f t="shared" si="65"/>
        <v/>
      </c>
      <c r="G893" t="str">
        <f t="shared" si="66"/>
        <v/>
      </c>
      <c r="H893" t="str">
        <f t="shared" si="67"/>
        <v/>
      </c>
      <c r="I893" t="str">
        <f t="shared" si="68"/>
        <v/>
      </c>
      <c r="J893" t="str">
        <f t="shared" si="69"/>
        <v/>
      </c>
      <c r="K893" t="str">
        <f>IF($A893="","",IF(COUNTIF($B$2:$B893,$B893)=COUNTIF($B$2:$B$1601,$B893),$B893,""))</f>
        <v/>
      </c>
    </row>
    <row r="894" spans="1:11">
      <c r="A894" t="str">
        <f>IF('TMP Paste'!$E894="","",'TMP Paste'!$E894)</f>
        <v/>
      </c>
      <c r="B894" t="str">
        <f>IF($A894="","",COUNTIF('TMP Paste'!$B$2:$B894,"?*"))</f>
        <v/>
      </c>
      <c r="C894" t="str">
        <f>IF($A894="","",IFERROR('TMP Paste'!$M894*1,0))</f>
        <v/>
      </c>
      <c r="D894" t="str">
        <f>IF($A894="","",SUMIF($B$2:$B894,$B894,$C$2:$C894))</f>
        <v/>
      </c>
      <c r="E894">
        <f>IF($A894="",0,IF('TMP Paste'!$B894="",0,1))</f>
        <v>0</v>
      </c>
      <c r="F894" t="str">
        <f t="shared" si="65"/>
        <v/>
      </c>
      <c r="G894" t="str">
        <f t="shared" si="66"/>
        <v/>
      </c>
      <c r="H894" t="str">
        <f t="shared" si="67"/>
        <v/>
      </c>
      <c r="I894" t="str">
        <f t="shared" si="68"/>
        <v/>
      </c>
      <c r="J894" t="str">
        <f t="shared" si="69"/>
        <v/>
      </c>
      <c r="K894" t="str">
        <f>IF($A894="","",IF(COUNTIF($B$2:$B894,$B894)=COUNTIF($B$2:$B$1601,$B894),$B894,""))</f>
        <v/>
      </c>
    </row>
    <row r="895" spans="1:11">
      <c r="A895" t="str">
        <f>IF('TMP Paste'!$E895="","",'TMP Paste'!$E895)</f>
        <v/>
      </c>
      <c r="B895" t="str">
        <f>IF($A895="","",COUNTIF('TMP Paste'!$B$2:$B895,"?*"))</f>
        <v/>
      </c>
      <c r="C895" t="str">
        <f>IF($A895="","",IFERROR('TMP Paste'!$M895*1,0))</f>
        <v/>
      </c>
      <c r="D895" t="str">
        <f>IF($A895="","",SUMIF($B$2:$B895,$B895,$C$2:$C895))</f>
        <v/>
      </c>
      <c r="E895">
        <f>IF($A895="",0,IF('TMP Paste'!$B895="",0,1))</f>
        <v>0</v>
      </c>
      <c r="F895" t="str">
        <f t="shared" si="65"/>
        <v/>
      </c>
      <c r="G895" t="str">
        <f t="shared" si="66"/>
        <v/>
      </c>
      <c r="H895" t="str">
        <f t="shared" si="67"/>
        <v/>
      </c>
      <c r="I895" t="str">
        <f t="shared" si="68"/>
        <v/>
      </c>
      <c r="J895" t="str">
        <f t="shared" si="69"/>
        <v/>
      </c>
      <c r="K895" t="str">
        <f>IF($A895="","",IF(COUNTIF($B$2:$B895,$B895)=COUNTIF($B$2:$B$1601,$B895),$B895,""))</f>
        <v/>
      </c>
    </row>
    <row r="896" spans="1:11">
      <c r="A896" t="str">
        <f>IF('TMP Paste'!$E896="","",'TMP Paste'!$E896)</f>
        <v/>
      </c>
      <c r="B896" t="str">
        <f>IF($A896="","",COUNTIF('TMP Paste'!$B$2:$B896,"?*"))</f>
        <v/>
      </c>
      <c r="C896" t="str">
        <f>IF($A896="","",IFERROR('TMP Paste'!$M896*1,0))</f>
        <v/>
      </c>
      <c r="D896" t="str">
        <f>IF($A896="","",SUMIF($B$2:$B896,$B896,$C$2:$C896))</f>
        <v/>
      </c>
      <c r="E896">
        <f>IF($A896="",0,IF('TMP Paste'!$B896="",0,1))</f>
        <v>0</v>
      </c>
      <c r="F896" t="str">
        <f t="shared" si="65"/>
        <v/>
      </c>
      <c r="G896" t="str">
        <f t="shared" si="66"/>
        <v/>
      </c>
      <c r="H896" t="str">
        <f t="shared" si="67"/>
        <v/>
      </c>
      <c r="I896" t="str">
        <f t="shared" si="68"/>
        <v/>
      </c>
      <c r="J896" t="str">
        <f t="shared" si="69"/>
        <v/>
      </c>
      <c r="K896" t="str">
        <f>IF($A896="","",IF(COUNTIF($B$2:$B896,$B896)=COUNTIF($B$2:$B$1601,$B896),$B896,""))</f>
        <v/>
      </c>
    </row>
    <row r="897" spans="1:11">
      <c r="A897" t="str">
        <f>IF('TMP Paste'!$E897="","",'TMP Paste'!$E897)</f>
        <v/>
      </c>
      <c r="B897" t="str">
        <f>IF($A897="","",COUNTIF('TMP Paste'!$B$2:$B897,"?*"))</f>
        <v/>
      </c>
      <c r="C897" t="str">
        <f>IF($A897="","",IFERROR('TMP Paste'!$M897*1,0))</f>
        <v/>
      </c>
      <c r="D897" t="str">
        <f>IF($A897="","",SUMIF($B$2:$B897,$B897,$C$2:$C897))</f>
        <v/>
      </c>
      <c r="E897">
        <f>IF($A897="",0,IF('TMP Paste'!$B897="",0,1))</f>
        <v>0</v>
      </c>
      <c r="F897" t="str">
        <f t="shared" si="65"/>
        <v/>
      </c>
      <c r="G897" t="str">
        <f t="shared" si="66"/>
        <v/>
      </c>
      <c r="H897" t="str">
        <f t="shared" si="67"/>
        <v/>
      </c>
      <c r="I897" t="str">
        <f t="shared" si="68"/>
        <v/>
      </c>
      <c r="J897" t="str">
        <f t="shared" si="69"/>
        <v/>
      </c>
      <c r="K897" t="str">
        <f>IF($A897="","",IF(COUNTIF($B$2:$B897,$B897)=COUNTIF($B$2:$B$1601,$B897),$B897,""))</f>
        <v/>
      </c>
    </row>
    <row r="898" spans="1:11">
      <c r="A898" t="str">
        <f>IF('TMP Paste'!$E898="","",'TMP Paste'!$E898)</f>
        <v/>
      </c>
      <c r="B898" t="str">
        <f>IF($A898="","",COUNTIF('TMP Paste'!$B$2:$B898,"?*"))</f>
        <v/>
      </c>
      <c r="C898" t="str">
        <f>IF($A898="","",IFERROR('TMP Paste'!$M898*1,0))</f>
        <v/>
      </c>
      <c r="D898" t="str">
        <f>IF($A898="","",SUMIF($B$2:$B898,$B898,$C$2:$C898))</f>
        <v/>
      </c>
      <c r="E898">
        <f>IF($A898="",0,IF('TMP Paste'!$B898="",0,1))</f>
        <v>0</v>
      </c>
      <c r="F898" t="str">
        <f t="shared" ref="F898:F961" si="70">IF(OR($A898="",$C898&lt;1),"",$A898&amp;"-"&amp;TEXT(($D898-$C898+1),"00")&amp;IF($C898&gt;=2,", "&amp;$A898&amp;"-"&amp;TEXT(($D898-$C898+1)+1,"00"),"")&amp;IF($C898&gt;=3,", "&amp;$A898&amp;"-"&amp;TEXT(($D898-$C898+1)+2,"00"),"")&amp;IF($C898&gt;=4,", "&amp;$A898&amp;"-"&amp;TEXT(($D898-$C898+1)+3,"00"),"")&amp;IF($C898&gt;=5,", "&amp;$A898&amp;"-"&amp;TEXT(($D898-$C898+1)+4,"00"),"")&amp;IF($C898&gt;=6,", "&amp;$A898&amp;"-"&amp;TEXT(($D898-$C898+1)+5,"00"),"")&amp;IF($C898&gt;=7,", "&amp;$A898&amp;"-"&amp;TEXT(($D898-$C898+1)+6,"00"),"")&amp;IF($C898&gt;=8,", "&amp;$A898&amp;"-"&amp;TEXT(($D898-$C898+1)+7,"00"),"")&amp;IF($C898&gt;=9,", "&amp;$A898&amp;"-"&amp;TEXT(($D898-$C898+1)+8,"00"),"")&amp;IF($C898&gt;=10,", "&amp;$A898&amp;"-"&amp;TEXT(($D898-$C898+1)+9,"00"),"")&amp;IF($C898&gt;=11,", "&amp;$A898&amp;"-"&amp;TEXT(($D898-$C898+1)+10,"00"),"")&amp;IF($C898&gt;=12,", "&amp;$A898&amp;"-"&amp;TEXT(($D898-$C898+1)+11,"00"),"")&amp;IF($C898&gt;=13,", "&amp;$A898&amp;"-"&amp;TEXT(($D898-$C898+1)+12,"00"),"")&amp;IF($C898&gt;=14,", "&amp;$A898&amp;"-"&amp;TEXT(($D898-$C898+1)+13,"00"),"")&amp;IF($C898&gt;=15,", "&amp;$A898&amp;"-"&amp;TEXT(($D898-$C898+1)+14,"00"),"")&amp;IF($C898&gt;=16,", "&amp;$A898&amp;"-"&amp;TEXT(($D898-$C898+1)+15,"00"),"")&amp;IF($C898&gt;=17,", "&amp;$A898&amp;"-"&amp;TEXT(($D898-$C898+1)+16,"00"),"")&amp;IF($C898&gt;=18,", "&amp;$A898&amp;"-"&amp;TEXT(($D898-$C898+1)+17,"00"),"")&amp;IF($C898&gt;=19,", "&amp;$A898&amp;"-"&amp;TEXT(($D898-$C898+1)+18,"00"),"")&amp;IF($C898&gt;=20,", "&amp;$A898&amp;"-"&amp;TEXT(($D898-$C898+1)+19,"00"),"")&amp;IF($C898&gt;=21,", "&amp;$A898&amp;"-"&amp;TEXT(($D898-$C898+1)+20,"00"),"")&amp;IF($C898&gt;=22,", "&amp;$A898&amp;"-"&amp;TEXT(($D898-$C898+1)+21,"00"),"")&amp;IF($C898&gt;=23,", "&amp;$A898&amp;"-"&amp;TEXT(($D898-$C898+1)+22,"00"),"")&amp;IF($C898&gt;=24,", "&amp;$A898&amp;"-"&amp;TEXT(($D898-$C898+1)+23,"00"),"")&amp;IF($C898&gt;=25,", "&amp;$A898&amp;"-"&amp;TEXT(($D898-$C898+1)+24,"00"),""))</f>
        <v/>
      </c>
      <c r="G898" t="str">
        <f t="shared" ref="G898:G961" si="71">IF($A898="","",IF($E898=1,$F898,IF($F898="",$G897,IF($G897="",$F898,$G897&amp;", "&amp;$F898))))</f>
        <v/>
      </c>
      <c r="H898" t="str">
        <f t="shared" ref="H898:H961" si="72">IF($A898="","",$A898&amp;" ("&amp;$C898&amp;")")</f>
        <v/>
      </c>
      <c r="I898" t="str">
        <f t="shared" ref="I898:I961" si="73">IF($A898="","",IF($E898=1,$H898,$I897&amp;", "&amp;$H898))</f>
        <v/>
      </c>
      <c r="J898" t="str">
        <f t="shared" ref="J898:J961" si="74">IF($A898="","",IF($E898=1,$B898,""))</f>
        <v/>
      </c>
      <c r="K898" t="str">
        <f>IF($A898="","",IF(COUNTIF($B$2:$B898,$B898)=COUNTIF($B$2:$B$1601,$B898),$B898,""))</f>
        <v/>
      </c>
    </row>
    <row r="899" spans="1:11">
      <c r="A899" t="str">
        <f>IF('TMP Paste'!$E899="","",'TMP Paste'!$E899)</f>
        <v/>
      </c>
      <c r="B899" t="str">
        <f>IF($A899="","",COUNTIF('TMP Paste'!$B$2:$B899,"?*"))</f>
        <v/>
      </c>
      <c r="C899" t="str">
        <f>IF($A899="","",IFERROR('TMP Paste'!$M899*1,0))</f>
        <v/>
      </c>
      <c r="D899" t="str">
        <f>IF($A899="","",SUMIF($B$2:$B899,$B899,$C$2:$C899))</f>
        <v/>
      </c>
      <c r="E899">
        <f>IF($A899="",0,IF('TMP Paste'!$B899="",0,1))</f>
        <v>0</v>
      </c>
      <c r="F899" t="str">
        <f t="shared" si="70"/>
        <v/>
      </c>
      <c r="G899" t="str">
        <f t="shared" si="71"/>
        <v/>
      </c>
      <c r="H899" t="str">
        <f t="shared" si="72"/>
        <v/>
      </c>
      <c r="I899" t="str">
        <f t="shared" si="73"/>
        <v/>
      </c>
      <c r="J899" t="str">
        <f t="shared" si="74"/>
        <v/>
      </c>
      <c r="K899" t="str">
        <f>IF($A899="","",IF(COUNTIF($B$2:$B899,$B899)=COUNTIF($B$2:$B$1601,$B899),$B899,""))</f>
        <v/>
      </c>
    </row>
    <row r="900" spans="1:11">
      <c r="A900" t="str">
        <f>IF('TMP Paste'!$E900="","",'TMP Paste'!$E900)</f>
        <v/>
      </c>
      <c r="B900" t="str">
        <f>IF($A900="","",COUNTIF('TMP Paste'!$B$2:$B900,"?*"))</f>
        <v/>
      </c>
      <c r="C900" t="str">
        <f>IF($A900="","",IFERROR('TMP Paste'!$M900*1,0))</f>
        <v/>
      </c>
      <c r="D900" t="str">
        <f>IF($A900="","",SUMIF($B$2:$B900,$B900,$C$2:$C900))</f>
        <v/>
      </c>
      <c r="E900">
        <f>IF($A900="",0,IF('TMP Paste'!$B900="",0,1))</f>
        <v>0</v>
      </c>
      <c r="F900" t="str">
        <f t="shared" si="70"/>
        <v/>
      </c>
      <c r="G900" t="str">
        <f t="shared" si="71"/>
        <v/>
      </c>
      <c r="H900" t="str">
        <f t="shared" si="72"/>
        <v/>
      </c>
      <c r="I900" t="str">
        <f t="shared" si="73"/>
        <v/>
      </c>
      <c r="J900" t="str">
        <f t="shared" si="74"/>
        <v/>
      </c>
      <c r="K900" t="str">
        <f>IF($A900="","",IF(COUNTIF($B$2:$B900,$B900)=COUNTIF($B$2:$B$1601,$B900),$B900,""))</f>
        <v/>
      </c>
    </row>
    <row r="901" spans="1:11">
      <c r="A901" t="str">
        <f>IF('TMP Paste'!$E901="","",'TMP Paste'!$E901)</f>
        <v/>
      </c>
      <c r="B901" t="str">
        <f>IF($A901="","",COUNTIF('TMP Paste'!$B$2:$B901,"?*"))</f>
        <v/>
      </c>
      <c r="C901" t="str">
        <f>IF($A901="","",IFERROR('TMP Paste'!$M901*1,0))</f>
        <v/>
      </c>
      <c r="D901" t="str">
        <f>IF($A901="","",SUMIF($B$2:$B901,$B901,$C$2:$C901))</f>
        <v/>
      </c>
      <c r="E901">
        <f>IF($A901="",0,IF('TMP Paste'!$B901="",0,1))</f>
        <v>0</v>
      </c>
      <c r="F901" t="str">
        <f t="shared" si="70"/>
        <v/>
      </c>
      <c r="G901" t="str">
        <f t="shared" si="71"/>
        <v/>
      </c>
      <c r="H901" t="str">
        <f t="shared" si="72"/>
        <v/>
      </c>
      <c r="I901" t="str">
        <f t="shared" si="73"/>
        <v/>
      </c>
      <c r="J901" t="str">
        <f t="shared" si="74"/>
        <v/>
      </c>
      <c r="K901" t="str">
        <f>IF($A901="","",IF(COUNTIF($B$2:$B901,$B901)=COUNTIF($B$2:$B$1601,$B901),$B901,""))</f>
        <v/>
      </c>
    </row>
    <row r="902" spans="1:11">
      <c r="A902" t="str">
        <f>IF('TMP Paste'!$E902="","",'TMP Paste'!$E902)</f>
        <v/>
      </c>
      <c r="B902" t="str">
        <f>IF($A902="","",COUNTIF('TMP Paste'!$B$2:$B902,"?*"))</f>
        <v/>
      </c>
      <c r="C902" t="str">
        <f>IF($A902="","",IFERROR('TMP Paste'!$M902*1,0))</f>
        <v/>
      </c>
      <c r="D902" t="str">
        <f>IF($A902="","",SUMIF($B$2:$B902,$B902,$C$2:$C902))</f>
        <v/>
      </c>
      <c r="E902">
        <f>IF($A902="",0,IF('TMP Paste'!$B902="",0,1))</f>
        <v>0</v>
      </c>
      <c r="F902" t="str">
        <f t="shared" si="70"/>
        <v/>
      </c>
      <c r="G902" t="str">
        <f t="shared" si="71"/>
        <v/>
      </c>
      <c r="H902" t="str">
        <f t="shared" si="72"/>
        <v/>
      </c>
      <c r="I902" t="str">
        <f t="shared" si="73"/>
        <v/>
      </c>
      <c r="J902" t="str">
        <f t="shared" si="74"/>
        <v/>
      </c>
      <c r="K902" t="str">
        <f>IF($A902="","",IF(COUNTIF($B$2:$B902,$B902)=COUNTIF($B$2:$B$1601,$B902),$B902,""))</f>
        <v/>
      </c>
    </row>
    <row r="903" spans="1:11">
      <c r="A903" t="str">
        <f>IF('TMP Paste'!$E903="","",'TMP Paste'!$E903)</f>
        <v/>
      </c>
      <c r="B903" t="str">
        <f>IF($A903="","",COUNTIF('TMP Paste'!$B$2:$B903,"?*"))</f>
        <v/>
      </c>
      <c r="C903" t="str">
        <f>IF($A903="","",IFERROR('TMP Paste'!$M903*1,0))</f>
        <v/>
      </c>
      <c r="D903" t="str">
        <f>IF($A903="","",SUMIF($B$2:$B903,$B903,$C$2:$C903))</f>
        <v/>
      </c>
      <c r="E903">
        <f>IF($A903="",0,IF('TMP Paste'!$B903="",0,1))</f>
        <v>0</v>
      </c>
      <c r="F903" t="str">
        <f t="shared" si="70"/>
        <v/>
      </c>
      <c r="G903" t="str">
        <f t="shared" si="71"/>
        <v/>
      </c>
      <c r="H903" t="str">
        <f t="shared" si="72"/>
        <v/>
      </c>
      <c r="I903" t="str">
        <f t="shared" si="73"/>
        <v/>
      </c>
      <c r="J903" t="str">
        <f t="shared" si="74"/>
        <v/>
      </c>
      <c r="K903" t="str">
        <f>IF($A903="","",IF(COUNTIF($B$2:$B903,$B903)=COUNTIF($B$2:$B$1601,$B903),$B903,""))</f>
        <v/>
      </c>
    </row>
    <row r="904" spans="1:11">
      <c r="A904" t="str">
        <f>IF('TMP Paste'!$E904="","",'TMP Paste'!$E904)</f>
        <v/>
      </c>
      <c r="B904" t="str">
        <f>IF($A904="","",COUNTIF('TMP Paste'!$B$2:$B904,"?*"))</f>
        <v/>
      </c>
      <c r="C904" t="str">
        <f>IF($A904="","",IFERROR('TMP Paste'!$M904*1,0))</f>
        <v/>
      </c>
      <c r="D904" t="str">
        <f>IF($A904="","",SUMIF($B$2:$B904,$B904,$C$2:$C904))</f>
        <v/>
      </c>
      <c r="E904">
        <f>IF($A904="",0,IF('TMP Paste'!$B904="",0,1))</f>
        <v>0</v>
      </c>
      <c r="F904" t="str">
        <f t="shared" si="70"/>
        <v/>
      </c>
      <c r="G904" t="str">
        <f t="shared" si="71"/>
        <v/>
      </c>
      <c r="H904" t="str">
        <f t="shared" si="72"/>
        <v/>
      </c>
      <c r="I904" t="str">
        <f t="shared" si="73"/>
        <v/>
      </c>
      <c r="J904" t="str">
        <f t="shared" si="74"/>
        <v/>
      </c>
      <c r="K904" t="str">
        <f>IF($A904="","",IF(COUNTIF($B$2:$B904,$B904)=COUNTIF($B$2:$B$1601,$B904),$B904,""))</f>
        <v/>
      </c>
    </row>
    <row r="905" spans="1:11">
      <c r="A905" t="str">
        <f>IF('TMP Paste'!$E905="","",'TMP Paste'!$E905)</f>
        <v/>
      </c>
      <c r="B905" t="str">
        <f>IF($A905="","",COUNTIF('TMP Paste'!$B$2:$B905,"?*"))</f>
        <v/>
      </c>
      <c r="C905" t="str">
        <f>IF($A905="","",IFERROR('TMP Paste'!$M905*1,0))</f>
        <v/>
      </c>
      <c r="D905" t="str">
        <f>IF($A905="","",SUMIF($B$2:$B905,$B905,$C$2:$C905))</f>
        <v/>
      </c>
      <c r="E905">
        <f>IF($A905="",0,IF('TMP Paste'!$B905="",0,1))</f>
        <v>0</v>
      </c>
      <c r="F905" t="str">
        <f t="shared" si="70"/>
        <v/>
      </c>
      <c r="G905" t="str">
        <f t="shared" si="71"/>
        <v/>
      </c>
      <c r="H905" t="str">
        <f t="shared" si="72"/>
        <v/>
      </c>
      <c r="I905" t="str">
        <f t="shared" si="73"/>
        <v/>
      </c>
      <c r="J905" t="str">
        <f t="shared" si="74"/>
        <v/>
      </c>
      <c r="K905" t="str">
        <f>IF($A905="","",IF(COUNTIF($B$2:$B905,$B905)=COUNTIF($B$2:$B$1601,$B905),$B905,""))</f>
        <v/>
      </c>
    </row>
    <row r="906" spans="1:11">
      <c r="A906" t="str">
        <f>IF('TMP Paste'!$E906="","",'TMP Paste'!$E906)</f>
        <v/>
      </c>
      <c r="B906" t="str">
        <f>IF($A906="","",COUNTIF('TMP Paste'!$B$2:$B906,"?*"))</f>
        <v/>
      </c>
      <c r="C906" t="str">
        <f>IF($A906="","",IFERROR('TMP Paste'!$M906*1,0))</f>
        <v/>
      </c>
      <c r="D906" t="str">
        <f>IF($A906="","",SUMIF($B$2:$B906,$B906,$C$2:$C906))</f>
        <v/>
      </c>
      <c r="E906">
        <f>IF($A906="",0,IF('TMP Paste'!$B906="",0,1))</f>
        <v>0</v>
      </c>
      <c r="F906" t="str">
        <f t="shared" si="70"/>
        <v/>
      </c>
      <c r="G906" t="str">
        <f t="shared" si="71"/>
        <v/>
      </c>
      <c r="H906" t="str">
        <f t="shared" si="72"/>
        <v/>
      </c>
      <c r="I906" t="str">
        <f t="shared" si="73"/>
        <v/>
      </c>
      <c r="J906" t="str">
        <f t="shared" si="74"/>
        <v/>
      </c>
      <c r="K906" t="str">
        <f>IF($A906="","",IF(COUNTIF($B$2:$B906,$B906)=COUNTIF($B$2:$B$1601,$B906),$B906,""))</f>
        <v/>
      </c>
    </row>
    <row r="907" spans="1:11">
      <c r="A907" t="str">
        <f>IF('TMP Paste'!$E907="","",'TMP Paste'!$E907)</f>
        <v/>
      </c>
      <c r="B907" t="str">
        <f>IF($A907="","",COUNTIF('TMP Paste'!$B$2:$B907,"?*"))</f>
        <v/>
      </c>
      <c r="C907" t="str">
        <f>IF($A907="","",IFERROR('TMP Paste'!$M907*1,0))</f>
        <v/>
      </c>
      <c r="D907" t="str">
        <f>IF($A907="","",SUMIF($B$2:$B907,$B907,$C$2:$C907))</f>
        <v/>
      </c>
      <c r="E907">
        <f>IF($A907="",0,IF('TMP Paste'!$B907="",0,1))</f>
        <v>0</v>
      </c>
      <c r="F907" t="str">
        <f t="shared" si="70"/>
        <v/>
      </c>
      <c r="G907" t="str">
        <f t="shared" si="71"/>
        <v/>
      </c>
      <c r="H907" t="str">
        <f t="shared" si="72"/>
        <v/>
      </c>
      <c r="I907" t="str">
        <f t="shared" si="73"/>
        <v/>
      </c>
      <c r="J907" t="str">
        <f t="shared" si="74"/>
        <v/>
      </c>
      <c r="K907" t="str">
        <f>IF($A907="","",IF(COUNTIF($B$2:$B907,$B907)=COUNTIF($B$2:$B$1601,$B907),$B907,""))</f>
        <v/>
      </c>
    </row>
    <row r="908" spans="1:11">
      <c r="A908" t="str">
        <f>IF('TMP Paste'!$E908="","",'TMP Paste'!$E908)</f>
        <v/>
      </c>
      <c r="B908" t="str">
        <f>IF($A908="","",COUNTIF('TMP Paste'!$B$2:$B908,"?*"))</f>
        <v/>
      </c>
      <c r="C908" t="str">
        <f>IF($A908="","",IFERROR('TMP Paste'!$M908*1,0))</f>
        <v/>
      </c>
      <c r="D908" t="str">
        <f>IF($A908="","",SUMIF($B$2:$B908,$B908,$C$2:$C908))</f>
        <v/>
      </c>
      <c r="E908">
        <f>IF($A908="",0,IF('TMP Paste'!$B908="",0,1))</f>
        <v>0</v>
      </c>
      <c r="F908" t="str">
        <f t="shared" si="70"/>
        <v/>
      </c>
      <c r="G908" t="str">
        <f t="shared" si="71"/>
        <v/>
      </c>
      <c r="H908" t="str">
        <f t="shared" si="72"/>
        <v/>
      </c>
      <c r="I908" t="str">
        <f t="shared" si="73"/>
        <v/>
      </c>
      <c r="J908" t="str">
        <f t="shared" si="74"/>
        <v/>
      </c>
      <c r="K908" t="str">
        <f>IF($A908="","",IF(COUNTIF($B$2:$B908,$B908)=COUNTIF($B$2:$B$1601,$B908),$B908,""))</f>
        <v/>
      </c>
    </row>
    <row r="909" spans="1:11">
      <c r="A909" t="str">
        <f>IF('TMP Paste'!$E909="","",'TMP Paste'!$E909)</f>
        <v/>
      </c>
      <c r="B909" t="str">
        <f>IF($A909="","",COUNTIF('TMP Paste'!$B$2:$B909,"?*"))</f>
        <v/>
      </c>
      <c r="C909" t="str">
        <f>IF($A909="","",IFERROR('TMP Paste'!$M909*1,0))</f>
        <v/>
      </c>
      <c r="D909" t="str">
        <f>IF($A909="","",SUMIF($B$2:$B909,$B909,$C$2:$C909))</f>
        <v/>
      </c>
      <c r="E909">
        <f>IF($A909="",0,IF('TMP Paste'!$B909="",0,1))</f>
        <v>0</v>
      </c>
      <c r="F909" t="str">
        <f t="shared" si="70"/>
        <v/>
      </c>
      <c r="G909" t="str">
        <f t="shared" si="71"/>
        <v/>
      </c>
      <c r="H909" t="str">
        <f t="shared" si="72"/>
        <v/>
      </c>
      <c r="I909" t="str">
        <f t="shared" si="73"/>
        <v/>
      </c>
      <c r="J909" t="str">
        <f t="shared" si="74"/>
        <v/>
      </c>
      <c r="K909" t="str">
        <f>IF($A909="","",IF(COUNTIF($B$2:$B909,$B909)=COUNTIF($B$2:$B$1601,$B909),$B909,""))</f>
        <v/>
      </c>
    </row>
    <row r="910" spans="1:11">
      <c r="A910" t="str">
        <f>IF('TMP Paste'!$E910="","",'TMP Paste'!$E910)</f>
        <v/>
      </c>
      <c r="B910" t="str">
        <f>IF($A910="","",COUNTIF('TMP Paste'!$B$2:$B910,"?*"))</f>
        <v/>
      </c>
      <c r="C910" t="str">
        <f>IF($A910="","",IFERROR('TMP Paste'!$M910*1,0))</f>
        <v/>
      </c>
      <c r="D910" t="str">
        <f>IF($A910="","",SUMIF($B$2:$B910,$B910,$C$2:$C910))</f>
        <v/>
      </c>
      <c r="E910">
        <f>IF($A910="",0,IF('TMP Paste'!$B910="",0,1))</f>
        <v>0</v>
      </c>
      <c r="F910" t="str">
        <f t="shared" si="70"/>
        <v/>
      </c>
      <c r="G910" t="str">
        <f t="shared" si="71"/>
        <v/>
      </c>
      <c r="H910" t="str">
        <f t="shared" si="72"/>
        <v/>
      </c>
      <c r="I910" t="str">
        <f t="shared" si="73"/>
        <v/>
      </c>
      <c r="J910" t="str">
        <f t="shared" si="74"/>
        <v/>
      </c>
      <c r="K910" t="str">
        <f>IF($A910="","",IF(COUNTIF($B$2:$B910,$B910)=COUNTIF($B$2:$B$1601,$B910),$B910,""))</f>
        <v/>
      </c>
    </row>
    <row r="911" spans="1:11">
      <c r="A911" t="str">
        <f>IF('TMP Paste'!$E911="","",'TMP Paste'!$E911)</f>
        <v/>
      </c>
      <c r="B911" t="str">
        <f>IF($A911="","",COUNTIF('TMP Paste'!$B$2:$B911,"?*"))</f>
        <v/>
      </c>
      <c r="C911" t="str">
        <f>IF($A911="","",IFERROR('TMP Paste'!$M911*1,0))</f>
        <v/>
      </c>
      <c r="D911" t="str">
        <f>IF($A911="","",SUMIF($B$2:$B911,$B911,$C$2:$C911))</f>
        <v/>
      </c>
      <c r="E911">
        <f>IF($A911="",0,IF('TMP Paste'!$B911="",0,1))</f>
        <v>0</v>
      </c>
      <c r="F911" t="str">
        <f t="shared" si="70"/>
        <v/>
      </c>
      <c r="G911" t="str">
        <f t="shared" si="71"/>
        <v/>
      </c>
      <c r="H911" t="str">
        <f t="shared" si="72"/>
        <v/>
      </c>
      <c r="I911" t="str">
        <f t="shared" si="73"/>
        <v/>
      </c>
      <c r="J911" t="str">
        <f t="shared" si="74"/>
        <v/>
      </c>
      <c r="K911" t="str">
        <f>IF($A911="","",IF(COUNTIF($B$2:$B911,$B911)=COUNTIF($B$2:$B$1601,$B911),$B911,""))</f>
        <v/>
      </c>
    </row>
    <row r="912" spans="1:11">
      <c r="A912" t="str">
        <f>IF('TMP Paste'!$E912="","",'TMP Paste'!$E912)</f>
        <v/>
      </c>
      <c r="B912" t="str">
        <f>IF($A912="","",COUNTIF('TMP Paste'!$B$2:$B912,"?*"))</f>
        <v/>
      </c>
      <c r="C912" t="str">
        <f>IF($A912="","",IFERROR('TMP Paste'!$M912*1,0))</f>
        <v/>
      </c>
      <c r="D912" t="str">
        <f>IF($A912="","",SUMIF($B$2:$B912,$B912,$C$2:$C912))</f>
        <v/>
      </c>
      <c r="E912">
        <f>IF($A912="",0,IF('TMP Paste'!$B912="",0,1))</f>
        <v>0</v>
      </c>
      <c r="F912" t="str">
        <f t="shared" si="70"/>
        <v/>
      </c>
      <c r="G912" t="str">
        <f t="shared" si="71"/>
        <v/>
      </c>
      <c r="H912" t="str">
        <f t="shared" si="72"/>
        <v/>
      </c>
      <c r="I912" t="str">
        <f t="shared" si="73"/>
        <v/>
      </c>
      <c r="J912" t="str">
        <f t="shared" si="74"/>
        <v/>
      </c>
      <c r="K912" t="str">
        <f>IF($A912="","",IF(COUNTIF($B$2:$B912,$B912)=COUNTIF($B$2:$B$1601,$B912),$B912,""))</f>
        <v/>
      </c>
    </row>
    <row r="913" spans="1:11">
      <c r="A913" t="str">
        <f>IF('TMP Paste'!$E913="","",'TMP Paste'!$E913)</f>
        <v/>
      </c>
      <c r="B913" t="str">
        <f>IF($A913="","",COUNTIF('TMP Paste'!$B$2:$B913,"?*"))</f>
        <v/>
      </c>
      <c r="C913" t="str">
        <f>IF($A913="","",IFERROR('TMP Paste'!$M913*1,0))</f>
        <v/>
      </c>
      <c r="D913" t="str">
        <f>IF($A913="","",SUMIF($B$2:$B913,$B913,$C$2:$C913))</f>
        <v/>
      </c>
      <c r="E913">
        <f>IF($A913="",0,IF('TMP Paste'!$B913="",0,1))</f>
        <v>0</v>
      </c>
      <c r="F913" t="str">
        <f t="shared" si="70"/>
        <v/>
      </c>
      <c r="G913" t="str">
        <f t="shared" si="71"/>
        <v/>
      </c>
      <c r="H913" t="str">
        <f t="shared" si="72"/>
        <v/>
      </c>
      <c r="I913" t="str">
        <f t="shared" si="73"/>
        <v/>
      </c>
      <c r="J913" t="str">
        <f t="shared" si="74"/>
        <v/>
      </c>
      <c r="K913" t="str">
        <f>IF($A913="","",IF(COUNTIF($B$2:$B913,$B913)=COUNTIF($B$2:$B$1601,$B913),$B913,""))</f>
        <v/>
      </c>
    </row>
    <row r="914" spans="1:11">
      <c r="A914" t="str">
        <f>IF('TMP Paste'!$E914="","",'TMP Paste'!$E914)</f>
        <v/>
      </c>
      <c r="B914" t="str">
        <f>IF($A914="","",COUNTIF('TMP Paste'!$B$2:$B914,"?*"))</f>
        <v/>
      </c>
      <c r="C914" t="str">
        <f>IF($A914="","",IFERROR('TMP Paste'!$M914*1,0))</f>
        <v/>
      </c>
      <c r="D914" t="str">
        <f>IF($A914="","",SUMIF($B$2:$B914,$B914,$C$2:$C914))</f>
        <v/>
      </c>
      <c r="E914">
        <f>IF($A914="",0,IF('TMP Paste'!$B914="",0,1))</f>
        <v>0</v>
      </c>
      <c r="F914" t="str">
        <f t="shared" si="70"/>
        <v/>
      </c>
      <c r="G914" t="str">
        <f t="shared" si="71"/>
        <v/>
      </c>
      <c r="H914" t="str">
        <f t="shared" si="72"/>
        <v/>
      </c>
      <c r="I914" t="str">
        <f t="shared" si="73"/>
        <v/>
      </c>
      <c r="J914" t="str">
        <f t="shared" si="74"/>
        <v/>
      </c>
      <c r="K914" t="str">
        <f>IF($A914="","",IF(COUNTIF($B$2:$B914,$B914)=COUNTIF($B$2:$B$1601,$B914),$B914,""))</f>
        <v/>
      </c>
    </row>
    <row r="915" spans="1:11">
      <c r="A915" t="str">
        <f>IF('TMP Paste'!$E915="","",'TMP Paste'!$E915)</f>
        <v/>
      </c>
      <c r="B915" t="str">
        <f>IF($A915="","",COUNTIF('TMP Paste'!$B$2:$B915,"?*"))</f>
        <v/>
      </c>
      <c r="C915" t="str">
        <f>IF($A915="","",IFERROR('TMP Paste'!$M915*1,0))</f>
        <v/>
      </c>
      <c r="D915" t="str">
        <f>IF($A915="","",SUMIF($B$2:$B915,$B915,$C$2:$C915))</f>
        <v/>
      </c>
      <c r="E915">
        <f>IF($A915="",0,IF('TMP Paste'!$B915="",0,1))</f>
        <v>0</v>
      </c>
      <c r="F915" t="str">
        <f t="shared" si="70"/>
        <v/>
      </c>
      <c r="G915" t="str">
        <f t="shared" si="71"/>
        <v/>
      </c>
      <c r="H915" t="str">
        <f t="shared" si="72"/>
        <v/>
      </c>
      <c r="I915" t="str">
        <f t="shared" si="73"/>
        <v/>
      </c>
      <c r="J915" t="str">
        <f t="shared" si="74"/>
        <v/>
      </c>
      <c r="K915" t="str">
        <f>IF($A915="","",IF(COUNTIF($B$2:$B915,$B915)=COUNTIF($B$2:$B$1601,$B915),$B915,""))</f>
        <v/>
      </c>
    </row>
    <row r="916" spans="1:11">
      <c r="A916" t="str">
        <f>IF('TMP Paste'!$E916="","",'TMP Paste'!$E916)</f>
        <v/>
      </c>
      <c r="B916" t="str">
        <f>IF($A916="","",COUNTIF('TMP Paste'!$B$2:$B916,"?*"))</f>
        <v/>
      </c>
      <c r="C916" t="str">
        <f>IF($A916="","",IFERROR('TMP Paste'!$M916*1,0))</f>
        <v/>
      </c>
      <c r="D916" t="str">
        <f>IF($A916="","",SUMIF($B$2:$B916,$B916,$C$2:$C916))</f>
        <v/>
      </c>
      <c r="E916">
        <f>IF($A916="",0,IF('TMP Paste'!$B916="",0,1))</f>
        <v>0</v>
      </c>
      <c r="F916" t="str">
        <f t="shared" si="70"/>
        <v/>
      </c>
      <c r="G916" t="str">
        <f t="shared" si="71"/>
        <v/>
      </c>
      <c r="H916" t="str">
        <f t="shared" si="72"/>
        <v/>
      </c>
      <c r="I916" t="str">
        <f t="shared" si="73"/>
        <v/>
      </c>
      <c r="J916" t="str">
        <f t="shared" si="74"/>
        <v/>
      </c>
      <c r="K916" t="str">
        <f>IF($A916="","",IF(COUNTIF($B$2:$B916,$B916)=COUNTIF($B$2:$B$1601,$B916),$B916,""))</f>
        <v/>
      </c>
    </row>
    <row r="917" spans="1:11">
      <c r="A917" t="str">
        <f>IF('TMP Paste'!$E917="","",'TMP Paste'!$E917)</f>
        <v/>
      </c>
      <c r="B917" t="str">
        <f>IF($A917="","",COUNTIF('TMP Paste'!$B$2:$B917,"?*"))</f>
        <v/>
      </c>
      <c r="C917" t="str">
        <f>IF($A917="","",IFERROR('TMP Paste'!$M917*1,0))</f>
        <v/>
      </c>
      <c r="D917" t="str">
        <f>IF($A917="","",SUMIF($B$2:$B917,$B917,$C$2:$C917))</f>
        <v/>
      </c>
      <c r="E917">
        <f>IF($A917="",0,IF('TMP Paste'!$B917="",0,1))</f>
        <v>0</v>
      </c>
      <c r="F917" t="str">
        <f t="shared" si="70"/>
        <v/>
      </c>
      <c r="G917" t="str">
        <f t="shared" si="71"/>
        <v/>
      </c>
      <c r="H917" t="str">
        <f t="shared" si="72"/>
        <v/>
      </c>
      <c r="I917" t="str">
        <f t="shared" si="73"/>
        <v/>
      </c>
      <c r="J917" t="str">
        <f t="shared" si="74"/>
        <v/>
      </c>
      <c r="K917" t="str">
        <f>IF($A917="","",IF(COUNTIF($B$2:$B917,$B917)=COUNTIF($B$2:$B$1601,$B917),$B917,""))</f>
        <v/>
      </c>
    </row>
    <row r="918" spans="1:11">
      <c r="A918" t="str">
        <f>IF('TMP Paste'!$E918="","",'TMP Paste'!$E918)</f>
        <v/>
      </c>
      <c r="B918" t="str">
        <f>IF($A918="","",COUNTIF('TMP Paste'!$B$2:$B918,"?*"))</f>
        <v/>
      </c>
      <c r="C918" t="str">
        <f>IF($A918="","",IFERROR('TMP Paste'!$M918*1,0))</f>
        <v/>
      </c>
      <c r="D918" t="str">
        <f>IF($A918="","",SUMIF($B$2:$B918,$B918,$C$2:$C918))</f>
        <v/>
      </c>
      <c r="E918">
        <f>IF($A918="",0,IF('TMP Paste'!$B918="",0,1))</f>
        <v>0</v>
      </c>
      <c r="F918" t="str">
        <f t="shared" si="70"/>
        <v/>
      </c>
      <c r="G918" t="str">
        <f t="shared" si="71"/>
        <v/>
      </c>
      <c r="H918" t="str">
        <f t="shared" si="72"/>
        <v/>
      </c>
      <c r="I918" t="str">
        <f t="shared" si="73"/>
        <v/>
      </c>
      <c r="J918" t="str">
        <f t="shared" si="74"/>
        <v/>
      </c>
      <c r="K918" t="str">
        <f>IF($A918="","",IF(COUNTIF($B$2:$B918,$B918)=COUNTIF($B$2:$B$1601,$B918),$B918,""))</f>
        <v/>
      </c>
    </row>
    <row r="919" spans="1:11">
      <c r="A919" t="str">
        <f>IF('TMP Paste'!$E919="","",'TMP Paste'!$E919)</f>
        <v/>
      </c>
      <c r="B919" t="str">
        <f>IF($A919="","",COUNTIF('TMP Paste'!$B$2:$B919,"?*"))</f>
        <v/>
      </c>
      <c r="C919" t="str">
        <f>IF($A919="","",IFERROR('TMP Paste'!$M919*1,0))</f>
        <v/>
      </c>
      <c r="D919" t="str">
        <f>IF($A919="","",SUMIF($B$2:$B919,$B919,$C$2:$C919))</f>
        <v/>
      </c>
      <c r="E919">
        <f>IF($A919="",0,IF('TMP Paste'!$B919="",0,1))</f>
        <v>0</v>
      </c>
      <c r="F919" t="str">
        <f t="shared" si="70"/>
        <v/>
      </c>
      <c r="G919" t="str">
        <f t="shared" si="71"/>
        <v/>
      </c>
      <c r="H919" t="str">
        <f t="shared" si="72"/>
        <v/>
      </c>
      <c r="I919" t="str">
        <f t="shared" si="73"/>
        <v/>
      </c>
      <c r="J919" t="str">
        <f t="shared" si="74"/>
        <v/>
      </c>
      <c r="K919" t="str">
        <f>IF($A919="","",IF(COUNTIF($B$2:$B919,$B919)=COUNTIF($B$2:$B$1601,$B919),$B919,""))</f>
        <v/>
      </c>
    </row>
    <row r="920" spans="1:11">
      <c r="A920" t="str">
        <f>IF('TMP Paste'!$E920="","",'TMP Paste'!$E920)</f>
        <v/>
      </c>
      <c r="B920" t="str">
        <f>IF($A920="","",COUNTIF('TMP Paste'!$B$2:$B920,"?*"))</f>
        <v/>
      </c>
      <c r="C920" t="str">
        <f>IF($A920="","",IFERROR('TMP Paste'!$M920*1,0))</f>
        <v/>
      </c>
      <c r="D920" t="str">
        <f>IF($A920="","",SUMIF($B$2:$B920,$B920,$C$2:$C920))</f>
        <v/>
      </c>
      <c r="E920">
        <f>IF($A920="",0,IF('TMP Paste'!$B920="",0,1))</f>
        <v>0</v>
      </c>
      <c r="F920" t="str">
        <f t="shared" si="70"/>
        <v/>
      </c>
      <c r="G920" t="str">
        <f t="shared" si="71"/>
        <v/>
      </c>
      <c r="H920" t="str">
        <f t="shared" si="72"/>
        <v/>
      </c>
      <c r="I920" t="str">
        <f t="shared" si="73"/>
        <v/>
      </c>
      <c r="J920" t="str">
        <f t="shared" si="74"/>
        <v/>
      </c>
      <c r="K920" t="str">
        <f>IF($A920="","",IF(COUNTIF($B$2:$B920,$B920)=COUNTIF($B$2:$B$1601,$B920),$B920,""))</f>
        <v/>
      </c>
    </row>
    <row r="921" spans="1:11">
      <c r="A921" t="str">
        <f>IF('TMP Paste'!$E921="","",'TMP Paste'!$E921)</f>
        <v/>
      </c>
      <c r="B921" t="str">
        <f>IF($A921="","",COUNTIF('TMP Paste'!$B$2:$B921,"?*"))</f>
        <v/>
      </c>
      <c r="C921" t="str">
        <f>IF($A921="","",IFERROR('TMP Paste'!$M921*1,0))</f>
        <v/>
      </c>
      <c r="D921" t="str">
        <f>IF($A921="","",SUMIF($B$2:$B921,$B921,$C$2:$C921))</f>
        <v/>
      </c>
      <c r="E921">
        <f>IF($A921="",0,IF('TMP Paste'!$B921="",0,1))</f>
        <v>0</v>
      </c>
      <c r="F921" t="str">
        <f t="shared" si="70"/>
        <v/>
      </c>
      <c r="G921" t="str">
        <f t="shared" si="71"/>
        <v/>
      </c>
      <c r="H921" t="str">
        <f t="shared" si="72"/>
        <v/>
      </c>
      <c r="I921" t="str">
        <f t="shared" si="73"/>
        <v/>
      </c>
      <c r="J921" t="str">
        <f t="shared" si="74"/>
        <v/>
      </c>
      <c r="K921" t="str">
        <f>IF($A921="","",IF(COUNTIF($B$2:$B921,$B921)=COUNTIF($B$2:$B$1601,$B921),$B921,""))</f>
        <v/>
      </c>
    </row>
    <row r="922" spans="1:11">
      <c r="A922" t="str">
        <f>IF('TMP Paste'!$E922="","",'TMP Paste'!$E922)</f>
        <v/>
      </c>
      <c r="B922" t="str">
        <f>IF($A922="","",COUNTIF('TMP Paste'!$B$2:$B922,"?*"))</f>
        <v/>
      </c>
      <c r="C922" t="str">
        <f>IF($A922="","",IFERROR('TMP Paste'!$M922*1,0))</f>
        <v/>
      </c>
      <c r="D922" t="str">
        <f>IF($A922="","",SUMIF($B$2:$B922,$B922,$C$2:$C922))</f>
        <v/>
      </c>
      <c r="E922">
        <f>IF($A922="",0,IF('TMP Paste'!$B922="",0,1))</f>
        <v>0</v>
      </c>
      <c r="F922" t="str">
        <f t="shared" si="70"/>
        <v/>
      </c>
      <c r="G922" t="str">
        <f t="shared" si="71"/>
        <v/>
      </c>
      <c r="H922" t="str">
        <f t="shared" si="72"/>
        <v/>
      </c>
      <c r="I922" t="str">
        <f t="shared" si="73"/>
        <v/>
      </c>
      <c r="J922" t="str">
        <f t="shared" si="74"/>
        <v/>
      </c>
      <c r="K922" t="str">
        <f>IF($A922="","",IF(COUNTIF($B$2:$B922,$B922)=COUNTIF($B$2:$B$1601,$B922),$B922,""))</f>
        <v/>
      </c>
    </row>
    <row r="923" spans="1:11">
      <c r="A923" t="str">
        <f>IF('TMP Paste'!$E923="","",'TMP Paste'!$E923)</f>
        <v/>
      </c>
      <c r="B923" t="str">
        <f>IF($A923="","",COUNTIF('TMP Paste'!$B$2:$B923,"?*"))</f>
        <v/>
      </c>
      <c r="C923" t="str">
        <f>IF($A923="","",IFERROR('TMP Paste'!$M923*1,0))</f>
        <v/>
      </c>
      <c r="D923" t="str">
        <f>IF($A923="","",SUMIF($B$2:$B923,$B923,$C$2:$C923))</f>
        <v/>
      </c>
      <c r="E923">
        <f>IF($A923="",0,IF('TMP Paste'!$B923="",0,1))</f>
        <v>0</v>
      </c>
      <c r="F923" t="str">
        <f t="shared" si="70"/>
        <v/>
      </c>
      <c r="G923" t="str">
        <f t="shared" si="71"/>
        <v/>
      </c>
      <c r="H923" t="str">
        <f t="shared" si="72"/>
        <v/>
      </c>
      <c r="I923" t="str">
        <f t="shared" si="73"/>
        <v/>
      </c>
      <c r="J923" t="str">
        <f t="shared" si="74"/>
        <v/>
      </c>
      <c r="K923" t="str">
        <f>IF($A923="","",IF(COUNTIF($B$2:$B923,$B923)=COUNTIF($B$2:$B$1601,$B923),$B923,""))</f>
        <v/>
      </c>
    </row>
    <row r="924" spans="1:11">
      <c r="A924" t="str">
        <f>IF('TMP Paste'!$E924="","",'TMP Paste'!$E924)</f>
        <v/>
      </c>
      <c r="B924" t="str">
        <f>IF($A924="","",COUNTIF('TMP Paste'!$B$2:$B924,"?*"))</f>
        <v/>
      </c>
      <c r="C924" t="str">
        <f>IF($A924="","",IFERROR('TMP Paste'!$M924*1,0))</f>
        <v/>
      </c>
      <c r="D924" t="str">
        <f>IF($A924="","",SUMIF($B$2:$B924,$B924,$C$2:$C924))</f>
        <v/>
      </c>
      <c r="E924">
        <f>IF($A924="",0,IF('TMP Paste'!$B924="",0,1))</f>
        <v>0</v>
      </c>
      <c r="F924" t="str">
        <f t="shared" si="70"/>
        <v/>
      </c>
      <c r="G924" t="str">
        <f t="shared" si="71"/>
        <v/>
      </c>
      <c r="H924" t="str">
        <f t="shared" si="72"/>
        <v/>
      </c>
      <c r="I924" t="str">
        <f t="shared" si="73"/>
        <v/>
      </c>
      <c r="J924" t="str">
        <f t="shared" si="74"/>
        <v/>
      </c>
      <c r="K924" t="str">
        <f>IF($A924="","",IF(COUNTIF($B$2:$B924,$B924)=COUNTIF($B$2:$B$1601,$B924),$B924,""))</f>
        <v/>
      </c>
    </row>
    <row r="925" spans="1:11">
      <c r="A925" t="str">
        <f>IF('TMP Paste'!$E925="","",'TMP Paste'!$E925)</f>
        <v/>
      </c>
      <c r="B925" t="str">
        <f>IF($A925="","",COUNTIF('TMP Paste'!$B$2:$B925,"?*"))</f>
        <v/>
      </c>
      <c r="C925" t="str">
        <f>IF($A925="","",IFERROR('TMP Paste'!$M925*1,0))</f>
        <v/>
      </c>
      <c r="D925" t="str">
        <f>IF($A925="","",SUMIF($B$2:$B925,$B925,$C$2:$C925))</f>
        <v/>
      </c>
      <c r="E925">
        <f>IF($A925="",0,IF('TMP Paste'!$B925="",0,1))</f>
        <v>0</v>
      </c>
      <c r="F925" t="str">
        <f t="shared" si="70"/>
        <v/>
      </c>
      <c r="G925" t="str">
        <f t="shared" si="71"/>
        <v/>
      </c>
      <c r="H925" t="str">
        <f t="shared" si="72"/>
        <v/>
      </c>
      <c r="I925" t="str">
        <f t="shared" si="73"/>
        <v/>
      </c>
      <c r="J925" t="str">
        <f t="shared" si="74"/>
        <v/>
      </c>
      <c r="K925" t="str">
        <f>IF($A925="","",IF(COUNTIF($B$2:$B925,$B925)=COUNTIF($B$2:$B$1601,$B925),$B925,""))</f>
        <v/>
      </c>
    </row>
    <row r="926" spans="1:11">
      <c r="A926" t="str">
        <f>IF('TMP Paste'!$E926="","",'TMP Paste'!$E926)</f>
        <v/>
      </c>
      <c r="B926" t="str">
        <f>IF($A926="","",COUNTIF('TMP Paste'!$B$2:$B926,"?*"))</f>
        <v/>
      </c>
      <c r="C926" t="str">
        <f>IF($A926="","",IFERROR('TMP Paste'!$M926*1,0))</f>
        <v/>
      </c>
      <c r="D926" t="str">
        <f>IF($A926="","",SUMIF($B$2:$B926,$B926,$C$2:$C926))</f>
        <v/>
      </c>
      <c r="E926">
        <f>IF($A926="",0,IF('TMP Paste'!$B926="",0,1))</f>
        <v>0</v>
      </c>
      <c r="F926" t="str">
        <f t="shared" si="70"/>
        <v/>
      </c>
      <c r="G926" t="str">
        <f t="shared" si="71"/>
        <v/>
      </c>
      <c r="H926" t="str">
        <f t="shared" si="72"/>
        <v/>
      </c>
      <c r="I926" t="str">
        <f t="shared" si="73"/>
        <v/>
      </c>
      <c r="J926" t="str">
        <f t="shared" si="74"/>
        <v/>
      </c>
      <c r="K926" t="str">
        <f>IF($A926="","",IF(COUNTIF($B$2:$B926,$B926)=COUNTIF($B$2:$B$1601,$B926),$B926,""))</f>
        <v/>
      </c>
    </row>
    <row r="927" spans="1:11">
      <c r="A927" t="str">
        <f>IF('TMP Paste'!$E927="","",'TMP Paste'!$E927)</f>
        <v/>
      </c>
      <c r="B927" t="str">
        <f>IF($A927="","",COUNTIF('TMP Paste'!$B$2:$B927,"?*"))</f>
        <v/>
      </c>
      <c r="C927" t="str">
        <f>IF($A927="","",IFERROR('TMP Paste'!$M927*1,0))</f>
        <v/>
      </c>
      <c r="D927" t="str">
        <f>IF($A927="","",SUMIF($B$2:$B927,$B927,$C$2:$C927))</f>
        <v/>
      </c>
      <c r="E927">
        <f>IF($A927="",0,IF('TMP Paste'!$B927="",0,1))</f>
        <v>0</v>
      </c>
      <c r="F927" t="str">
        <f t="shared" si="70"/>
        <v/>
      </c>
      <c r="G927" t="str">
        <f t="shared" si="71"/>
        <v/>
      </c>
      <c r="H927" t="str">
        <f t="shared" si="72"/>
        <v/>
      </c>
      <c r="I927" t="str">
        <f t="shared" si="73"/>
        <v/>
      </c>
      <c r="J927" t="str">
        <f t="shared" si="74"/>
        <v/>
      </c>
      <c r="K927" t="str">
        <f>IF($A927="","",IF(COUNTIF($B$2:$B927,$B927)=COUNTIF($B$2:$B$1601,$B927),$B927,""))</f>
        <v/>
      </c>
    </row>
    <row r="928" spans="1:11">
      <c r="A928" t="str">
        <f>IF('TMP Paste'!$E928="","",'TMP Paste'!$E928)</f>
        <v/>
      </c>
      <c r="B928" t="str">
        <f>IF($A928="","",COUNTIF('TMP Paste'!$B$2:$B928,"?*"))</f>
        <v/>
      </c>
      <c r="C928" t="str">
        <f>IF($A928="","",IFERROR('TMP Paste'!$M928*1,0))</f>
        <v/>
      </c>
      <c r="D928" t="str">
        <f>IF($A928="","",SUMIF($B$2:$B928,$B928,$C$2:$C928))</f>
        <v/>
      </c>
      <c r="E928">
        <f>IF($A928="",0,IF('TMP Paste'!$B928="",0,1))</f>
        <v>0</v>
      </c>
      <c r="F928" t="str">
        <f t="shared" si="70"/>
        <v/>
      </c>
      <c r="G928" t="str">
        <f t="shared" si="71"/>
        <v/>
      </c>
      <c r="H928" t="str">
        <f t="shared" si="72"/>
        <v/>
      </c>
      <c r="I928" t="str">
        <f t="shared" si="73"/>
        <v/>
      </c>
      <c r="J928" t="str">
        <f t="shared" si="74"/>
        <v/>
      </c>
      <c r="K928" t="str">
        <f>IF($A928="","",IF(COUNTIF($B$2:$B928,$B928)=COUNTIF($B$2:$B$1601,$B928),$B928,""))</f>
        <v/>
      </c>
    </row>
    <row r="929" spans="1:11">
      <c r="A929" t="str">
        <f>IF('TMP Paste'!$E929="","",'TMP Paste'!$E929)</f>
        <v/>
      </c>
      <c r="B929" t="str">
        <f>IF($A929="","",COUNTIF('TMP Paste'!$B$2:$B929,"?*"))</f>
        <v/>
      </c>
      <c r="C929" t="str">
        <f>IF($A929="","",IFERROR('TMP Paste'!$M929*1,0))</f>
        <v/>
      </c>
      <c r="D929" t="str">
        <f>IF($A929="","",SUMIF($B$2:$B929,$B929,$C$2:$C929))</f>
        <v/>
      </c>
      <c r="E929">
        <f>IF($A929="",0,IF('TMP Paste'!$B929="",0,1))</f>
        <v>0</v>
      </c>
      <c r="F929" t="str">
        <f t="shared" si="70"/>
        <v/>
      </c>
      <c r="G929" t="str">
        <f t="shared" si="71"/>
        <v/>
      </c>
      <c r="H929" t="str">
        <f t="shared" si="72"/>
        <v/>
      </c>
      <c r="I929" t="str">
        <f t="shared" si="73"/>
        <v/>
      </c>
      <c r="J929" t="str">
        <f t="shared" si="74"/>
        <v/>
      </c>
      <c r="K929" t="str">
        <f>IF($A929="","",IF(COUNTIF($B$2:$B929,$B929)=COUNTIF($B$2:$B$1601,$B929),$B929,""))</f>
        <v/>
      </c>
    </row>
    <row r="930" spans="1:11">
      <c r="A930" t="str">
        <f>IF('TMP Paste'!$E930="","",'TMP Paste'!$E930)</f>
        <v/>
      </c>
      <c r="B930" t="str">
        <f>IF($A930="","",COUNTIF('TMP Paste'!$B$2:$B930,"?*"))</f>
        <v/>
      </c>
      <c r="C930" t="str">
        <f>IF($A930="","",IFERROR('TMP Paste'!$M930*1,0))</f>
        <v/>
      </c>
      <c r="D930" t="str">
        <f>IF($A930="","",SUMIF($B$2:$B930,$B930,$C$2:$C930))</f>
        <v/>
      </c>
      <c r="E930">
        <f>IF($A930="",0,IF('TMP Paste'!$B930="",0,1))</f>
        <v>0</v>
      </c>
      <c r="F930" t="str">
        <f t="shared" si="70"/>
        <v/>
      </c>
      <c r="G930" t="str">
        <f t="shared" si="71"/>
        <v/>
      </c>
      <c r="H930" t="str">
        <f t="shared" si="72"/>
        <v/>
      </c>
      <c r="I930" t="str">
        <f t="shared" si="73"/>
        <v/>
      </c>
      <c r="J930" t="str">
        <f t="shared" si="74"/>
        <v/>
      </c>
      <c r="K930" t="str">
        <f>IF($A930="","",IF(COUNTIF($B$2:$B930,$B930)=COUNTIF($B$2:$B$1601,$B930),$B930,""))</f>
        <v/>
      </c>
    </row>
    <row r="931" spans="1:11">
      <c r="A931" t="str">
        <f>IF('TMP Paste'!$E931="","",'TMP Paste'!$E931)</f>
        <v/>
      </c>
      <c r="B931" t="str">
        <f>IF($A931="","",COUNTIF('TMP Paste'!$B$2:$B931,"?*"))</f>
        <v/>
      </c>
      <c r="C931" t="str">
        <f>IF($A931="","",IFERROR('TMP Paste'!$M931*1,0))</f>
        <v/>
      </c>
      <c r="D931" t="str">
        <f>IF($A931="","",SUMIF($B$2:$B931,$B931,$C$2:$C931))</f>
        <v/>
      </c>
      <c r="E931">
        <f>IF($A931="",0,IF('TMP Paste'!$B931="",0,1))</f>
        <v>0</v>
      </c>
      <c r="F931" t="str">
        <f t="shared" si="70"/>
        <v/>
      </c>
      <c r="G931" t="str">
        <f t="shared" si="71"/>
        <v/>
      </c>
      <c r="H931" t="str">
        <f t="shared" si="72"/>
        <v/>
      </c>
      <c r="I931" t="str">
        <f t="shared" si="73"/>
        <v/>
      </c>
      <c r="J931" t="str">
        <f t="shared" si="74"/>
        <v/>
      </c>
      <c r="K931" t="str">
        <f>IF($A931="","",IF(COUNTIF($B$2:$B931,$B931)=COUNTIF($B$2:$B$1601,$B931),$B931,""))</f>
        <v/>
      </c>
    </row>
    <row r="932" spans="1:11">
      <c r="A932" t="str">
        <f>IF('TMP Paste'!$E932="","",'TMP Paste'!$E932)</f>
        <v/>
      </c>
      <c r="B932" t="str">
        <f>IF($A932="","",COUNTIF('TMP Paste'!$B$2:$B932,"?*"))</f>
        <v/>
      </c>
      <c r="C932" t="str">
        <f>IF($A932="","",IFERROR('TMP Paste'!$M932*1,0))</f>
        <v/>
      </c>
      <c r="D932" t="str">
        <f>IF($A932="","",SUMIF($B$2:$B932,$B932,$C$2:$C932))</f>
        <v/>
      </c>
      <c r="E932">
        <f>IF($A932="",0,IF('TMP Paste'!$B932="",0,1))</f>
        <v>0</v>
      </c>
      <c r="F932" t="str">
        <f t="shared" si="70"/>
        <v/>
      </c>
      <c r="G932" t="str">
        <f t="shared" si="71"/>
        <v/>
      </c>
      <c r="H932" t="str">
        <f t="shared" si="72"/>
        <v/>
      </c>
      <c r="I932" t="str">
        <f t="shared" si="73"/>
        <v/>
      </c>
      <c r="J932" t="str">
        <f t="shared" si="74"/>
        <v/>
      </c>
      <c r="K932" t="str">
        <f>IF($A932="","",IF(COUNTIF($B$2:$B932,$B932)=COUNTIF($B$2:$B$1601,$B932),$B932,""))</f>
        <v/>
      </c>
    </row>
    <row r="933" spans="1:11">
      <c r="A933" t="str">
        <f>IF('TMP Paste'!$E933="","",'TMP Paste'!$E933)</f>
        <v/>
      </c>
      <c r="B933" t="str">
        <f>IF($A933="","",COUNTIF('TMP Paste'!$B$2:$B933,"?*"))</f>
        <v/>
      </c>
      <c r="C933" t="str">
        <f>IF($A933="","",IFERROR('TMP Paste'!$M933*1,0))</f>
        <v/>
      </c>
      <c r="D933" t="str">
        <f>IF($A933="","",SUMIF($B$2:$B933,$B933,$C$2:$C933))</f>
        <v/>
      </c>
      <c r="E933">
        <f>IF($A933="",0,IF('TMP Paste'!$B933="",0,1))</f>
        <v>0</v>
      </c>
      <c r="F933" t="str">
        <f t="shared" si="70"/>
        <v/>
      </c>
      <c r="G933" t="str">
        <f t="shared" si="71"/>
        <v/>
      </c>
      <c r="H933" t="str">
        <f t="shared" si="72"/>
        <v/>
      </c>
      <c r="I933" t="str">
        <f t="shared" si="73"/>
        <v/>
      </c>
      <c r="J933" t="str">
        <f t="shared" si="74"/>
        <v/>
      </c>
      <c r="K933" t="str">
        <f>IF($A933="","",IF(COUNTIF($B$2:$B933,$B933)=COUNTIF($B$2:$B$1601,$B933),$B933,""))</f>
        <v/>
      </c>
    </row>
    <row r="934" spans="1:11">
      <c r="A934" t="str">
        <f>IF('TMP Paste'!$E934="","",'TMP Paste'!$E934)</f>
        <v/>
      </c>
      <c r="B934" t="str">
        <f>IF($A934="","",COUNTIF('TMP Paste'!$B$2:$B934,"?*"))</f>
        <v/>
      </c>
      <c r="C934" t="str">
        <f>IF($A934="","",IFERROR('TMP Paste'!$M934*1,0))</f>
        <v/>
      </c>
      <c r="D934" t="str">
        <f>IF($A934="","",SUMIF($B$2:$B934,$B934,$C$2:$C934))</f>
        <v/>
      </c>
      <c r="E934">
        <f>IF($A934="",0,IF('TMP Paste'!$B934="",0,1))</f>
        <v>0</v>
      </c>
      <c r="F934" t="str">
        <f t="shared" si="70"/>
        <v/>
      </c>
      <c r="G934" t="str">
        <f t="shared" si="71"/>
        <v/>
      </c>
      <c r="H934" t="str">
        <f t="shared" si="72"/>
        <v/>
      </c>
      <c r="I934" t="str">
        <f t="shared" si="73"/>
        <v/>
      </c>
      <c r="J934" t="str">
        <f t="shared" si="74"/>
        <v/>
      </c>
      <c r="K934" t="str">
        <f>IF($A934="","",IF(COUNTIF($B$2:$B934,$B934)=COUNTIF($B$2:$B$1601,$B934),$B934,""))</f>
        <v/>
      </c>
    </row>
    <row r="935" spans="1:11">
      <c r="A935" t="str">
        <f>IF('TMP Paste'!$E935="","",'TMP Paste'!$E935)</f>
        <v/>
      </c>
      <c r="B935" t="str">
        <f>IF($A935="","",COUNTIF('TMP Paste'!$B$2:$B935,"?*"))</f>
        <v/>
      </c>
      <c r="C935" t="str">
        <f>IF($A935="","",IFERROR('TMP Paste'!$M935*1,0))</f>
        <v/>
      </c>
      <c r="D935" t="str">
        <f>IF($A935="","",SUMIF($B$2:$B935,$B935,$C$2:$C935))</f>
        <v/>
      </c>
      <c r="E935">
        <f>IF($A935="",0,IF('TMP Paste'!$B935="",0,1))</f>
        <v>0</v>
      </c>
      <c r="F935" t="str">
        <f t="shared" si="70"/>
        <v/>
      </c>
      <c r="G935" t="str">
        <f t="shared" si="71"/>
        <v/>
      </c>
      <c r="H935" t="str">
        <f t="shared" si="72"/>
        <v/>
      </c>
      <c r="I935" t="str">
        <f t="shared" si="73"/>
        <v/>
      </c>
      <c r="J935" t="str">
        <f t="shared" si="74"/>
        <v/>
      </c>
      <c r="K935" t="str">
        <f>IF($A935="","",IF(COUNTIF($B$2:$B935,$B935)=COUNTIF($B$2:$B$1601,$B935),$B935,""))</f>
        <v/>
      </c>
    </row>
    <row r="936" spans="1:11">
      <c r="A936" t="str">
        <f>IF('TMP Paste'!$E936="","",'TMP Paste'!$E936)</f>
        <v/>
      </c>
      <c r="B936" t="str">
        <f>IF($A936="","",COUNTIF('TMP Paste'!$B$2:$B936,"?*"))</f>
        <v/>
      </c>
      <c r="C936" t="str">
        <f>IF($A936="","",IFERROR('TMP Paste'!$M936*1,0))</f>
        <v/>
      </c>
      <c r="D936" t="str">
        <f>IF($A936="","",SUMIF($B$2:$B936,$B936,$C$2:$C936))</f>
        <v/>
      </c>
      <c r="E936">
        <f>IF($A936="",0,IF('TMP Paste'!$B936="",0,1))</f>
        <v>0</v>
      </c>
      <c r="F936" t="str">
        <f t="shared" si="70"/>
        <v/>
      </c>
      <c r="G936" t="str">
        <f t="shared" si="71"/>
        <v/>
      </c>
      <c r="H936" t="str">
        <f t="shared" si="72"/>
        <v/>
      </c>
      <c r="I936" t="str">
        <f t="shared" si="73"/>
        <v/>
      </c>
      <c r="J936" t="str">
        <f t="shared" si="74"/>
        <v/>
      </c>
      <c r="K936" t="str">
        <f>IF($A936="","",IF(COUNTIF($B$2:$B936,$B936)=COUNTIF($B$2:$B$1601,$B936),$B936,""))</f>
        <v/>
      </c>
    </row>
    <row r="937" spans="1:11">
      <c r="A937" t="str">
        <f>IF('TMP Paste'!$E937="","",'TMP Paste'!$E937)</f>
        <v/>
      </c>
      <c r="B937" t="str">
        <f>IF($A937="","",COUNTIF('TMP Paste'!$B$2:$B937,"?*"))</f>
        <v/>
      </c>
      <c r="C937" t="str">
        <f>IF($A937="","",IFERROR('TMP Paste'!$M937*1,0))</f>
        <v/>
      </c>
      <c r="D937" t="str">
        <f>IF($A937="","",SUMIF($B$2:$B937,$B937,$C$2:$C937))</f>
        <v/>
      </c>
      <c r="E937">
        <f>IF($A937="",0,IF('TMP Paste'!$B937="",0,1))</f>
        <v>0</v>
      </c>
      <c r="F937" t="str">
        <f t="shared" si="70"/>
        <v/>
      </c>
      <c r="G937" t="str">
        <f t="shared" si="71"/>
        <v/>
      </c>
      <c r="H937" t="str">
        <f t="shared" si="72"/>
        <v/>
      </c>
      <c r="I937" t="str">
        <f t="shared" si="73"/>
        <v/>
      </c>
      <c r="J937" t="str">
        <f t="shared" si="74"/>
        <v/>
      </c>
      <c r="K937" t="str">
        <f>IF($A937="","",IF(COUNTIF($B$2:$B937,$B937)=COUNTIF($B$2:$B$1601,$B937),$B937,""))</f>
        <v/>
      </c>
    </row>
    <row r="938" spans="1:11">
      <c r="A938" t="str">
        <f>IF('TMP Paste'!$E938="","",'TMP Paste'!$E938)</f>
        <v/>
      </c>
      <c r="B938" t="str">
        <f>IF($A938="","",COUNTIF('TMP Paste'!$B$2:$B938,"?*"))</f>
        <v/>
      </c>
      <c r="C938" t="str">
        <f>IF($A938="","",IFERROR('TMP Paste'!$M938*1,0))</f>
        <v/>
      </c>
      <c r="D938" t="str">
        <f>IF($A938="","",SUMIF($B$2:$B938,$B938,$C$2:$C938))</f>
        <v/>
      </c>
      <c r="E938">
        <f>IF($A938="",0,IF('TMP Paste'!$B938="",0,1))</f>
        <v>0</v>
      </c>
      <c r="F938" t="str">
        <f t="shared" si="70"/>
        <v/>
      </c>
      <c r="G938" t="str">
        <f t="shared" si="71"/>
        <v/>
      </c>
      <c r="H938" t="str">
        <f t="shared" si="72"/>
        <v/>
      </c>
      <c r="I938" t="str">
        <f t="shared" si="73"/>
        <v/>
      </c>
      <c r="J938" t="str">
        <f t="shared" si="74"/>
        <v/>
      </c>
      <c r="K938" t="str">
        <f>IF($A938="","",IF(COUNTIF($B$2:$B938,$B938)=COUNTIF($B$2:$B$1601,$B938),$B938,""))</f>
        <v/>
      </c>
    </row>
    <row r="939" spans="1:11">
      <c r="A939" t="str">
        <f>IF('TMP Paste'!$E939="","",'TMP Paste'!$E939)</f>
        <v/>
      </c>
      <c r="B939" t="str">
        <f>IF($A939="","",COUNTIF('TMP Paste'!$B$2:$B939,"?*"))</f>
        <v/>
      </c>
      <c r="C939" t="str">
        <f>IF($A939="","",IFERROR('TMP Paste'!$M939*1,0))</f>
        <v/>
      </c>
      <c r="D939" t="str">
        <f>IF($A939="","",SUMIF($B$2:$B939,$B939,$C$2:$C939))</f>
        <v/>
      </c>
      <c r="E939">
        <f>IF($A939="",0,IF('TMP Paste'!$B939="",0,1))</f>
        <v>0</v>
      </c>
      <c r="F939" t="str">
        <f t="shared" si="70"/>
        <v/>
      </c>
      <c r="G939" t="str">
        <f t="shared" si="71"/>
        <v/>
      </c>
      <c r="H939" t="str">
        <f t="shared" si="72"/>
        <v/>
      </c>
      <c r="I939" t="str">
        <f t="shared" si="73"/>
        <v/>
      </c>
      <c r="J939" t="str">
        <f t="shared" si="74"/>
        <v/>
      </c>
      <c r="K939" t="str">
        <f>IF($A939="","",IF(COUNTIF($B$2:$B939,$B939)=COUNTIF($B$2:$B$1601,$B939),$B939,""))</f>
        <v/>
      </c>
    </row>
    <row r="940" spans="1:11">
      <c r="A940" t="str">
        <f>IF('TMP Paste'!$E940="","",'TMP Paste'!$E940)</f>
        <v/>
      </c>
      <c r="B940" t="str">
        <f>IF($A940="","",COUNTIF('TMP Paste'!$B$2:$B940,"?*"))</f>
        <v/>
      </c>
      <c r="C940" t="str">
        <f>IF($A940="","",IFERROR('TMP Paste'!$M940*1,0))</f>
        <v/>
      </c>
      <c r="D940" t="str">
        <f>IF($A940="","",SUMIF($B$2:$B940,$B940,$C$2:$C940))</f>
        <v/>
      </c>
      <c r="E940">
        <f>IF($A940="",0,IF('TMP Paste'!$B940="",0,1))</f>
        <v>0</v>
      </c>
      <c r="F940" t="str">
        <f t="shared" si="70"/>
        <v/>
      </c>
      <c r="G940" t="str">
        <f t="shared" si="71"/>
        <v/>
      </c>
      <c r="H940" t="str">
        <f t="shared" si="72"/>
        <v/>
      </c>
      <c r="I940" t="str">
        <f t="shared" si="73"/>
        <v/>
      </c>
      <c r="J940" t="str">
        <f t="shared" si="74"/>
        <v/>
      </c>
      <c r="K940" t="str">
        <f>IF($A940="","",IF(COUNTIF($B$2:$B940,$B940)=COUNTIF($B$2:$B$1601,$B940),$B940,""))</f>
        <v/>
      </c>
    </row>
    <row r="941" spans="1:11">
      <c r="A941" t="str">
        <f>IF('TMP Paste'!$E941="","",'TMP Paste'!$E941)</f>
        <v/>
      </c>
      <c r="B941" t="str">
        <f>IF($A941="","",COUNTIF('TMP Paste'!$B$2:$B941,"?*"))</f>
        <v/>
      </c>
      <c r="C941" t="str">
        <f>IF($A941="","",IFERROR('TMP Paste'!$M941*1,0))</f>
        <v/>
      </c>
      <c r="D941" t="str">
        <f>IF($A941="","",SUMIF($B$2:$B941,$B941,$C$2:$C941))</f>
        <v/>
      </c>
      <c r="E941">
        <f>IF($A941="",0,IF('TMP Paste'!$B941="",0,1))</f>
        <v>0</v>
      </c>
      <c r="F941" t="str">
        <f t="shared" si="70"/>
        <v/>
      </c>
      <c r="G941" t="str">
        <f t="shared" si="71"/>
        <v/>
      </c>
      <c r="H941" t="str">
        <f t="shared" si="72"/>
        <v/>
      </c>
      <c r="I941" t="str">
        <f t="shared" si="73"/>
        <v/>
      </c>
      <c r="J941" t="str">
        <f t="shared" si="74"/>
        <v/>
      </c>
      <c r="K941" t="str">
        <f>IF($A941="","",IF(COUNTIF($B$2:$B941,$B941)=COUNTIF($B$2:$B$1601,$B941),$B941,""))</f>
        <v/>
      </c>
    </row>
    <row r="942" spans="1:11">
      <c r="A942" t="str">
        <f>IF('TMP Paste'!$E942="","",'TMP Paste'!$E942)</f>
        <v/>
      </c>
      <c r="B942" t="str">
        <f>IF($A942="","",COUNTIF('TMP Paste'!$B$2:$B942,"?*"))</f>
        <v/>
      </c>
      <c r="C942" t="str">
        <f>IF($A942="","",IFERROR('TMP Paste'!$M942*1,0))</f>
        <v/>
      </c>
      <c r="D942" t="str">
        <f>IF($A942="","",SUMIF($B$2:$B942,$B942,$C$2:$C942))</f>
        <v/>
      </c>
      <c r="E942">
        <f>IF($A942="",0,IF('TMP Paste'!$B942="",0,1))</f>
        <v>0</v>
      </c>
      <c r="F942" t="str">
        <f t="shared" si="70"/>
        <v/>
      </c>
      <c r="G942" t="str">
        <f t="shared" si="71"/>
        <v/>
      </c>
      <c r="H942" t="str">
        <f t="shared" si="72"/>
        <v/>
      </c>
      <c r="I942" t="str">
        <f t="shared" si="73"/>
        <v/>
      </c>
      <c r="J942" t="str">
        <f t="shared" si="74"/>
        <v/>
      </c>
      <c r="K942" t="str">
        <f>IF($A942="","",IF(COUNTIF($B$2:$B942,$B942)=COUNTIF($B$2:$B$1601,$B942),$B942,""))</f>
        <v/>
      </c>
    </row>
    <row r="943" spans="1:11">
      <c r="A943" t="str">
        <f>IF('TMP Paste'!$E943="","",'TMP Paste'!$E943)</f>
        <v/>
      </c>
      <c r="B943" t="str">
        <f>IF($A943="","",COUNTIF('TMP Paste'!$B$2:$B943,"?*"))</f>
        <v/>
      </c>
      <c r="C943" t="str">
        <f>IF($A943="","",IFERROR('TMP Paste'!$M943*1,0))</f>
        <v/>
      </c>
      <c r="D943" t="str">
        <f>IF($A943="","",SUMIF($B$2:$B943,$B943,$C$2:$C943))</f>
        <v/>
      </c>
      <c r="E943">
        <f>IF($A943="",0,IF('TMP Paste'!$B943="",0,1))</f>
        <v>0</v>
      </c>
      <c r="F943" t="str">
        <f t="shared" si="70"/>
        <v/>
      </c>
      <c r="G943" t="str">
        <f t="shared" si="71"/>
        <v/>
      </c>
      <c r="H943" t="str">
        <f t="shared" si="72"/>
        <v/>
      </c>
      <c r="I943" t="str">
        <f t="shared" si="73"/>
        <v/>
      </c>
      <c r="J943" t="str">
        <f t="shared" si="74"/>
        <v/>
      </c>
      <c r="K943" t="str">
        <f>IF($A943="","",IF(COUNTIF($B$2:$B943,$B943)=COUNTIF($B$2:$B$1601,$B943),$B943,""))</f>
        <v/>
      </c>
    </row>
    <row r="944" spans="1:11">
      <c r="A944" t="str">
        <f>IF('TMP Paste'!$E944="","",'TMP Paste'!$E944)</f>
        <v/>
      </c>
      <c r="B944" t="str">
        <f>IF($A944="","",COUNTIF('TMP Paste'!$B$2:$B944,"?*"))</f>
        <v/>
      </c>
      <c r="C944" t="str">
        <f>IF($A944="","",IFERROR('TMP Paste'!$M944*1,0))</f>
        <v/>
      </c>
      <c r="D944" t="str">
        <f>IF($A944="","",SUMIF($B$2:$B944,$B944,$C$2:$C944))</f>
        <v/>
      </c>
      <c r="E944">
        <f>IF($A944="",0,IF('TMP Paste'!$B944="",0,1))</f>
        <v>0</v>
      </c>
      <c r="F944" t="str">
        <f t="shared" si="70"/>
        <v/>
      </c>
      <c r="G944" t="str">
        <f t="shared" si="71"/>
        <v/>
      </c>
      <c r="H944" t="str">
        <f t="shared" si="72"/>
        <v/>
      </c>
      <c r="I944" t="str">
        <f t="shared" si="73"/>
        <v/>
      </c>
      <c r="J944" t="str">
        <f t="shared" si="74"/>
        <v/>
      </c>
      <c r="K944" t="str">
        <f>IF($A944="","",IF(COUNTIF($B$2:$B944,$B944)=COUNTIF($B$2:$B$1601,$B944),$B944,""))</f>
        <v/>
      </c>
    </row>
    <row r="945" spans="1:11">
      <c r="A945" t="str">
        <f>IF('TMP Paste'!$E945="","",'TMP Paste'!$E945)</f>
        <v/>
      </c>
      <c r="B945" t="str">
        <f>IF($A945="","",COUNTIF('TMP Paste'!$B$2:$B945,"?*"))</f>
        <v/>
      </c>
      <c r="C945" t="str">
        <f>IF($A945="","",IFERROR('TMP Paste'!$M945*1,0))</f>
        <v/>
      </c>
      <c r="D945" t="str">
        <f>IF($A945="","",SUMIF($B$2:$B945,$B945,$C$2:$C945))</f>
        <v/>
      </c>
      <c r="E945">
        <f>IF($A945="",0,IF('TMP Paste'!$B945="",0,1))</f>
        <v>0</v>
      </c>
      <c r="F945" t="str">
        <f t="shared" si="70"/>
        <v/>
      </c>
      <c r="G945" t="str">
        <f t="shared" si="71"/>
        <v/>
      </c>
      <c r="H945" t="str">
        <f t="shared" si="72"/>
        <v/>
      </c>
      <c r="I945" t="str">
        <f t="shared" si="73"/>
        <v/>
      </c>
      <c r="J945" t="str">
        <f t="shared" si="74"/>
        <v/>
      </c>
      <c r="K945" t="str">
        <f>IF($A945="","",IF(COUNTIF($B$2:$B945,$B945)=COUNTIF($B$2:$B$1601,$B945),$B945,""))</f>
        <v/>
      </c>
    </row>
    <row r="946" spans="1:11">
      <c r="A946" t="str">
        <f>IF('TMP Paste'!$E946="","",'TMP Paste'!$E946)</f>
        <v/>
      </c>
      <c r="B946" t="str">
        <f>IF($A946="","",COUNTIF('TMP Paste'!$B$2:$B946,"?*"))</f>
        <v/>
      </c>
      <c r="C946" t="str">
        <f>IF($A946="","",IFERROR('TMP Paste'!$M946*1,0))</f>
        <v/>
      </c>
      <c r="D946" t="str">
        <f>IF($A946="","",SUMIF($B$2:$B946,$B946,$C$2:$C946))</f>
        <v/>
      </c>
      <c r="E946">
        <f>IF($A946="",0,IF('TMP Paste'!$B946="",0,1))</f>
        <v>0</v>
      </c>
      <c r="F946" t="str">
        <f t="shared" si="70"/>
        <v/>
      </c>
      <c r="G946" t="str">
        <f t="shared" si="71"/>
        <v/>
      </c>
      <c r="H946" t="str">
        <f t="shared" si="72"/>
        <v/>
      </c>
      <c r="I946" t="str">
        <f t="shared" si="73"/>
        <v/>
      </c>
      <c r="J946" t="str">
        <f t="shared" si="74"/>
        <v/>
      </c>
      <c r="K946" t="str">
        <f>IF($A946="","",IF(COUNTIF($B$2:$B946,$B946)=COUNTIF($B$2:$B$1601,$B946),$B946,""))</f>
        <v/>
      </c>
    </row>
    <row r="947" spans="1:11">
      <c r="A947" t="str">
        <f>IF('TMP Paste'!$E947="","",'TMP Paste'!$E947)</f>
        <v/>
      </c>
      <c r="B947" t="str">
        <f>IF($A947="","",COUNTIF('TMP Paste'!$B$2:$B947,"?*"))</f>
        <v/>
      </c>
      <c r="C947" t="str">
        <f>IF($A947="","",IFERROR('TMP Paste'!$M947*1,0))</f>
        <v/>
      </c>
      <c r="D947" t="str">
        <f>IF($A947="","",SUMIF($B$2:$B947,$B947,$C$2:$C947))</f>
        <v/>
      </c>
      <c r="E947">
        <f>IF($A947="",0,IF('TMP Paste'!$B947="",0,1))</f>
        <v>0</v>
      </c>
      <c r="F947" t="str">
        <f t="shared" si="70"/>
        <v/>
      </c>
      <c r="G947" t="str">
        <f t="shared" si="71"/>
        <v/>
      </c>
      <c r="H947" t="str">
        <f t="shared" si="72"/>
        <v/>
      </c>
      <c r="I947" t="str">
        <f t="shared" si="73"/>
        <v/>
      </c>
      <c r="J947" t="str">
        <f t="shared" si="74"/>
        <v/>
      </c>
      <c r="K947" t="str">
        <f>IF($A947="","",IF(COUNTIF($B$2:$B947,$B947)=COUNTIF($B$2:$B$1601,$B947),$B947,""))</f>
        <v/>
      </c>
    </row>
    <row r="948" spans="1:11">
      <c r="A948" t="str">
        <f>IF('TMP Paste'!$E948="","",'TMP Paste'!$E948)</f>
        <v/>
      </c>
      <c r="B948" t="str">
        <f>IF($A948="","",COUNTIF('TMP Paste'!$B$2:$B948,"?*"))</f>
        <v/>
      </c>
      <c r="C948" t="str">
        <f>IF($A948="","",IFERROR('TMP Paste'!$M948*1,0))</f>
        <v/>
      </c>
      <c r="D948" t="str">
        <f>IF($A948="","",SUMIF($B$2:$B948,$B948,$C$2:$C948))</f>
        <v/>
      </c>
      <c r="E948">
        <f>IF($A948="",0,IF('TMP Paste'!$B948="",0,1))</f>
        <v>0</v>
      </c>
      <c r="F948" t="str">
        <f t="shared" si="70"/>
        <v/>
      </c>
      <c r="G948" t="str">
        <f t="shared" si="71"/>
        <v/>
      </c>
      <c r="H948" t="str">
        <f t="shared" si="72"/>
        <v/>
      </c>
      <c r="I948" t="str">
        <f t="shared" si="73"/>
        <v/>
      </c>
      <c r="J948" t="str">
        <f t="shared" si="74"/>
        <v/>
      </c>
      <c r="K948" t="str">
        <f>IF($A948="","",IF(COUNTIF($B$2:$B948,$B948)=COUNTIF($B$2:$B$1601,$B948),$B948,""))</f>
        <v/>
      </c>
    </row>
    <row r="949" spans="1:11">
      <c r="A949" t="str">
        <f>IF('TMP Paste'!$E949="","",'TMP Paste'!$E949)</f>
        <v/>
      </c>
      <c r="B949" t="str">
        <f>IF($A949="","",COUNTIF('TMP Paste'!$B$2:$B949,"?*"))</f>
        <v/>
      </c>
      <c r="C949" t="str">
        <f>IF($A949="","",IFERROR('TMP Paste'!$M949*1,0))</f>
        <v/>
      </c>
      <c r="D949" t="str">
        <f>IF($A949="","",SUMIF($B$2:$B949,$B949,$C$2:$C949))</f>
        <v/>
      </c>
      <c r="E949">
        <f>IF($A949="",0,IF('TMP Paste'!$B949="",0,1))</f>
        <v>0</v>
      </c>
      <c r="F949" t="str">
        <f t="shared" si="70"/>
        <v/>
      </c>
      <c r="G949" t="str">
        <f t="shared" si="71"/>
        <v/>
      </c>
      <c r="H949" t="str">
        <f t="shared" si="72"/>
        <v/>
      </c>
      <c r="I949" t="str">
        <f t="shared" si="73"/>
        <v/>
      </c>
      <c r="J949" t="str">
        <f t="shared" si="74"/>
        <v/>
      </c>
      <c r="K949" t="str">
        <f>IF($A949="","",IF(COUNTIF($B$2:$B949,$B949)=COUNTIF($B$2:$B$1601,$B949),$B949,""))</f>
        <v/>
      </c>
    </row>
    <row r="950" spans="1:11">
      <c r="A950" t="str">
        <f>IF('TMP Paste'!$E950="","",'TMP Paste'!$E950)</f>
        <v/>
      </c>
      <c r="B950" t="str">
        <f>IF($A950="","",COUNTIF('TMP Paste'!$B$2:$B950,"?*"))</f>
        <v/>
      </c>
      <c r="C950" t="str">
        <f>IF($A950="","",IFERROR('TMP Paste'!$M950*1,0))</f>
        <v/>
      </c>
      <c r="D950" t="str">
        <f>IF($A950="","",SUMIF($B$2:$B950,$B950,$C$2:$C950))</f>
        <v/>
      </c>
      <c r="E950">
        <f>IF($A950="",0,IF('TMP Paste'!$B950="",0,1))</f>
        <v>0</v>
      </c>
      <c r="F950" t="str">
        <f t="shared" si="70"/>
        <v/>
      </c>
      <c r="G950" t="str">
        <f t="shared" si="71"/>
        <v/>
      </c>
      <c r="H950" t="str">
        <f t="shared" si="72"/>
        <v/>
      </c>
      <c r="I950" t="str">
        <f t="shared" si="73"/>
        <v/>
      </c>
      <c r="J950" t="str">
        <f t="shared" si="74"/>
        <v/>
      </c>
      <c r="K950" t="str">
        <f>IF($A950="","",IF(COUNTIF($B$2:$B950,$B950)=COUNTIF($B$2:$B$1601,$B950),$B950,""))</f>
        <v/>
      </c>
    </row>
    <row r="951" spans="1:11">
      <c r="A951" t="str">
        <f>IF('TMP Paste'!$E951="","",'TMP Paste'!$E951)</f>
        <v/>
      </c>
      <c r="B951" t="str">
        <f>IF($A951="","",COUNTIF('TMP Paste'!$B$2:$B951,"?*"))</f>
        <v/>
      </c>
      <c r="C951" t="str">
        <f>IF($A951="","",IFERROR('TMP Paste'!$M951*1,0))</f>
        <v/>
      </c>
      <c r="D951" t="str">
        <f>IF($A951="","",SUMIF($B$2:$B951,$B951,$C$2:$C951))</f>
        <v/>
      </c>
      <c r="E951">
        <f>IF($A951="",0,IF('TMP Paste'!$B951="",0,1))</f>
        <v>0</v>
      </c>
      <c r="F951" t="str">
        <f t="shared" si="70"/>
        <v/>
      </c>
      <c r="G951" t="str">
        <f t="shared" si="71"/>
        <v/>
      </c>
      <c r="H951" t="str">
        <f t="shared" si="72"/>
        <v/>
      </c>
      <c r="I951" t="str">
        <f t="shared" si="73"/>
        <v/>
      </c>
      <c r="J951" t="str">
        <f t="shared" si="74"/>
        <v/>
      </c>
      <c r="K951" t="str">
        <f>IF($A951="","",IF(COUNTIF($B$2:$B951,$B951)=COUNTIF($B$2:$B$1601,$B951),$B951,""))</f>
        <v/>
      </c>
    </row>
    <row r="952" spans="1:11">
      <c r="A952" t="str">
        <f>IF('TMP Paste'!$E952="","",'TMP Paste'!$E952)</f>
        <v/>
      </c>
      <c r="B952" t="str">
        <f>IF($A952="","",COUNTIF('TMP Paste'!$B$2:$B952,"?*"))</f>
        <v/>
      </c>
      <c r="C952" t="str">
        <f>IF($A952="","",IFERROR('TMP Paste'!$M952*1,0))</f>
        <v/>
      </c>
      <c r="D952" t="str">
        <f>IF($A952="","",SUMIF($B$2:$B952,$B952,$C$2:$C952))</f>
        <v/>
      </c>
      <c r="E952">
        <f>IF($A952="",0,IF('TMP Paste'!$B952="",0,1))</f>
        <v>0</v>
      </c>
      <c r="F952" t="str">
        <f t="shared" si="70"/>
        <v/>
      </c>
      <c r="G952" t="str">
        <f t="shared" si="71"/>
        <v/>
      </c>
      <c r="H952" t="str">
        <f t="shared" si="72"/>
        <v/>
      </c>
      <c r="I952" t="str">
        <f t="shared" si="73"/>
        <v/>
      </c>
      <c r="J952" t="str">
        <f t="shared" si="74"/>
        <v/>
      </c>
      <c r="K952" t="str">
        <f>IF($A952="","",IF(COUNTIF($B$2:$B952,$B952)=COUNTIF($B$2:$B$1601,$B952),$B952,""))</f>
        <v/>
      </c>
    </row>
    <row r="953" spans="1:11">
      <c r="A953" t="str">
        <f>IF('TMP Paste'!$E953="","",'TMP Paste'!$E953)</f>
        <v/>
      </c>
      <c r="B953" t="str">
        <f>IF($A953="","",COUNTIF('TMP Paste'!$B$2:$B953,"?*"))</f>
        <v/>
      </c>
      <c r="C953" t="str">
        <f>IF($A953="","",IFERROR('TMP Paste'!$M953*1,0))</f>
        <v/>
      </c>
      <c r="D953" t="str">
        <f>IF($A953="","",SUMIF($B$2:$B953,$B953,$C$2:$C953))</f>
        <v/>
      </c>
      <c r="E953">
        <f>IF($A953="",0,IF('TMP Paste'!$B953="",0,1))</f>
        <v>0</v>
      </c>
      <c r="F953" t="str">
        <f t="shared" si="70"/>
        <v/>
      </c>
      <c r="G953" t="str">
        <f t="shared" si="71"/>
        <v/>
      </c>
      <c r="H953" t="str">
        <f t="shared" si="72"/>
        <v/>
      </c>
      <c r="I953" t="str">
        <f t="shared" si="73"/>
        <v/>
      </c>
      <c r="J953" t="str">
        <f t="shared" si="74"/>
        <v/>
      </c>
      <c r="K953" t="str">
        <f>IF($A953="","",IF(COUNTIF($B$2:$B953,$B953)=COUNTIF($B$2:$B$1601,$B953),$B953,""))</f>
        <v/>
      </c>
    </row>
    <row r="954" spans="1:11">
      <c r="A954" t="str">
        <f>IF('TMP Paste'!$E954="","",'TMP Paste'!$E954)</f>
        <v/>
      </c>
      <c r="B954" t="str">
        <f>IF($A954="","",COUNTIF('TMP Paste'!$B$2:$B954,"?*"))</f>
        <v/>
      </c>
      <c r="C954" t="str">
        <f>IF($A954="","",IFERROR('TMP Paste'!$M954*1,0))</f>
        <v/>
      </c>
      <c r="D954" t="str">
        <f>IF($A954="","",SUMIF($B$2:$B954,$B954,$C$2:$C954))</f>
        <v/>
      </c>
      <c r="E954">
        <f>IF($A954="",0,IF('TMP Paste'!$B954="",0,1))</f>
        <v>0</v>
      </c>
      <c r="F954" t="str">
        <f t="shared" si="70"/>
        <v/>
      </c>
      <c r="G954" t="str">
        <f t="shared" si="71"/>
        <v/>
      </c>
      <c r="H954" t="str">
        <f t="shared" si="72"/>
        <v/>
      </c>
      <c r="I954" t="str">
        <f t="shared" si="73"/>
        <v/>
      </c>
      <c r="J954" t="str">
        <f t="shared" si="74"/>
        <v/>
      </c>
      <c r="K954" t="str">
        <f>IF($A954="","",IF(COUNTIF($B$2:$B954,$B954)=COUNTIF($B$2:$B$1601,$B954),$B954,""))</f>
        <v/>
      </c>
    </row>
    <row r="955" spans="1:11">
      <c r="A955" t="str">
        <f>IF('TMP Paste'!$E955="","",'TMP Paste'!$E955)</f>
        <v/>
      </c>
      <c r="B955" t="str">
        <f>IF($A955="","",COUNTIF('TMP Paste'!$B$2:$B955,"?*"))</f>
        <v/>
      </c>
      <c r="C955" t="str">
        <f>IF($A955="","",IFERROR('TMP Paste'!$M955*1,0))</f>
        <v/>
      </c>
      <c r="D955" t="str">
        <f>IF($A955="","",SUMIF($B$2:$B955,$B955,$C$2:$C955))</f>
        <v/>
      </c>
      <c r="E955">
        <f>IF($A955="",0,IF('TMP Paste'!$B955="",0,1))</f>
        <v>0</v>
      </c>
      <c r="F955" t="str">
        <f t="shared" si="70"/>
        <v/>
      </c>
      <c r="G955" t="str">
        <f t="shared" si="71"/>
        <v/>
      </c>
      <c r="H955" t="str">
        <f t="shared" si="72"/>
        <v/>
      </c>
      <c r="I955" t="str">
        <f t="shared" si="73"/>
        <v/>
      </c>
      <c r="J955" t="str">
        <f t="shared" si="74"/>
        <v/>
      </c>
      <c r="K955" t="str">
        <f>IF($A955="","",IF(COUNTIF($B$2:$B955,$B955)=COUNTIF($B$2:$B$1601,$B955),$B955,""))</f>
        <v/>
      </c>
    </row>
    <row r="956" spans="1:11">
      <c r="A956" t="str">
        <f>IF('TMP Paste'!$E956="","",'TMP Paste'!$E956)</f>
        <v/>
      </c>
      <c r="B956" t="str">
        <f>IF($A956="","",COUNTIF('TMP Paste'!$B$2:$B956,"?*"))</f>
        <v/>
      </c>
      <c r="C956" t="str">
        <f>IF($A956="","",IFERROR('TMP Paste'!$M956*1,0))</f>
        <v/>
      </c>
      <c r="D956" t="str">
        <f>IF($A956="","",SUMIF($B$2:$B956,$B956,$C$2:$C956))</f>
        <v/>
      </c>
      <c r="E956">
        <f>IF($A956="",0,IF('TMP Paste'!$B956="",0,1))</f>
        <v>0</v>
      </c>
      <c r="F956" t="str">
        <f t="shared" si="70"/>
        <v/>
      </c>
      <c r="G956" t="str">
        <f t="shared" si="71"/>
        <v/>
      </c>
      <c r="H956" t="str">
        <f t="shared" si="72"/>
        <v/>
      </c>
      <c r="I956" t="str">
        <f t="shared" si="73"/>
        <v/>
      </c>
      <c r="J956" t="str">
        <f t="shared" si="74"/>
        <v/>
      </c>
      <c r="K956" t="str">
        <f>IF($A956="","",IF(COUNTIF($B$2:$B956,$B956)=COUNTIF($B$2:$B$1601,$B956),$B956,""))</f>
        <v/>
      </c>
    </row>
    <row r="957" spans="1:11">
      <c r="A957" t="str">
        <f>IF('TMP Paste'!$E957="","",'TMP Paste'!$E957)</f>
        <v/>
      </c>
      <c r="B957" t="str">
        <f>IF($A957="","",COUNTIF('TMP Paste'!$B$2:$B957,"?*"))</f>
        <v/>
      </c>
      <c r="C957" t="str">
        <f>IF($A957="","",IFERROR('TMP Paste'!$M957*1,0))</f>
        <v/>
      </c>
      <c r="D957" t="str">
        <f>IF($A957="","",SUMIF($B$2:$B957,$B957,$C$2:$C957))</f>
        <v/>
      </c>
      <c r="E957">
        <f>IF($A957="",0,IF('TMP Paste'!$B957="",0,1))</f>
        <v>0</v>
      </c>
      <c r="F957" t="str">
        <f t="shared" si="70"/>
        <v/>
      </c>
      <c r="G957" t="str">
        <f t="shared" si="71"/>
        <v/>
      </c>
      <c r="H957" t="str">
        <f t="shared" si="72"/>
        <v/>
      </c>
      <c r="I957" t="str">
        <f t="shared" si="73"/>
        <v/>
      </c>
      <c r="J957" t="str">
        <f t="shared" si="74"/>
        <v/>
      </c>
      <c r="K957" t="str">
        <f>IF($A957="","",IF(COUNTIF($B$2:$B957,$B957)=COUNTIF($B$2:$B$1601,$B957),$B957,""))</f>
        <v/>
      </c>
    </row>
    <row r="958" spans="1:11">
      <c r="A958" t="str">
        <f>IF('TMP Paste'!$E958="","",'TMP Paste'!$E958)</f>
        <v/>
      </c>
      <c r="B958" t="str">
        <f>IF($A958="","",COUNTIF('TMP Paste'!$B$2:$B958,"?*"))</f>
        <v/>
      </c>
      <c r="C958" t="str">
        <f>IF($A958="","",IFERROR('TMP Paste'!$M958*1,0))</f>
        <v/>
      </c>
      <c r="D958" t="str">
        <f>IF($A958="","",SUMIF($B$2:$B958,$B958,$C$2:$C958))</f>
        <v/>
      </c>
      <c r="E958">
        <f>IF($A958="",0,IF('TMP Paste'!$B958="",0,1))</f>
        <v>0</v>
      </c>
      <c r="F958" t="str">
        <f t="shared" si="70"/>
        <v/>
      </c>
      <c r="G958" t="str">
        <f t="shared" si="71"/>
        <v/>
      </c>
      <c r="H958" t="str">
        <f t="shared" si="72"/>
        <v/>
      </c>
      <c r="I958" t="str">
        <f t="shared" si="73"/>
        <v/>
      </c>
      <c r="J958" t="str">
        <f t="shared" si="74"/>
        <v/>
      </c>
      <c r="K958" t="str">
        <f>IF($A958="","",IF(COUNTIF($B$2:$B958,$B958)=COUNTIF($B$2:$B$1601,$B958),$B958,""))</f>
        <v/>
      </c>
    </row>
    <row r="959" spans="1:11">
      <c r="A959" t="str">
        <f>IF('TMP Paste'!$E959="","",'TMP Paste'!$E959)</f>
        <v/>
      </c>
      <c r="B959" t="str">
        <f>IF($A959="","",COUNTIF('TMP Paste'!$B$2:$B959,"?*"))</f>
        <v/>
      </c>
      <c r="C959" t="str">
        <f>IF($A959="","",IFERROR('TMP Paste'!$M959*1,0))</f>
        <v/>
      </c>
      <c r="D959" t="str">
        <f>IF($A959="","",SUMIF($B$2:$B959,$B959,$C$2:$C959))</f>
        <v/>
      </c>
      <c r="E959">
        <f>IF($A959="",0,IF('TMP Paste'!$B959="",0,1))</f>
        <v>0</v>
      </c>
      <c r="F959" t="str">
        <f t="shared" si="70"/>
        <v/>
      </c>
      <c r="G959" t="str">
        <f t="shared" si="71"/>
        <v/>
      </c>
      <c r="H959" t="str">
        <f t="shared" si="72"/>
        <v/>
      </c>
      <c r="I959" t="str">
        <f t="shared" si="73"/>
        <v/>
      </c>
      <c r="J959" t="str">
        <f t="shared" si="74"/>
        <v/>
      </c>
      <c r="K959" t="str">
        <f>IF($A959="","",IF(COUNTIF($B$2:$B959,$B959)=COUNTIF($B$2:$B$1601,$B959),$B959,""))</f>
        <v/>
      </c>
    </row>
    <row r="960" spans="1:11">
      <c r="A960" t="str">
        <f>IF('TMP Paste'!$E960="","",'TMP Paste'!$E960)</f>
        <v/>
      </c>
      <c r="B960" t="str">
        <f>IF($A960="","",COUNTIF('TMP Paste'!$B$2:$B960,"?*"))</f>
        <v/>
      </c>
      <c r="C960" t="str">
        <f>IF($A960="","",IFERROR('TMP Paste'!$M960*1,0))</f>
        <v/>
      </c>
      <c r="D960" t="str">
        <f>IF($A960="","",SUMIF($B$2:$B960,$B960,$C$2:$C960))</f>
        <v/>
      </c>
      <c r="E960">
        <f>IF($A960="",0,IF('TMP Paste'!$B960="",0,1))</f>
        <v>0</v>
      </c>
      <c r="F960" t="str">
        <f t="shared" si="70"/>
        <v/>
      </c>
      <c r="G960" t="str">
        <f t="shared" si="71"/>
        <v/>
      </c>
      <c r="H960" t="str">
        <f t="shared" si="72"/>
        <v/>
      </c>
      <c r="I960" t="str">
        <f t="shared" si="73"/>
        <v/>
      </c>
      <c r="J960" t="str">
        <f t="shared" si="74"/>
        <v/>
      </c>
      <c r="K960" t="str">
        <f>IF($A960="","",IF(COUNTIF($B$2:$B960,$B960)=COUNTIF($B$2:$B$1601,$B960),$B960,""))</f>
        <v/>
      </c>
    </row>
    <row r="961" spans="1:11">
      <c r="A961" t="str">
        <f>IF('TMP Paste'!$E961="","",'TMP Paste'!$E961)</f>
        <v/>
      </c>
      <c r="B961" t="str">
        <f>IF($A961="","",COUNTIF('TMP Paste'!$B$2:$B961,"?*"))</f>
        <v/>
      </c>
      <c r="C961" t="str">
        <f>IF($A961="","",IFERROR('TMP Paste'!$M961*1,0))</f>
        <v/>
      </c>
      <c r="D961" t="str">
        <f>IF($A961="","",SUMIF($B$2:$B961,$B961,$C$2:$C961))</f>
        <v/>
      </c>
      <c r="E961">
        <f>IF($A961="",0,IF('TMP Paste'!$B961="",0,1))</f>
        <v>0</v>
      </c>
      <c r="F961" t="str">
        <f t="shared" si="70"/>
        <v/>
      </c>
      <c r="G961" t="str">
        <f t="shared" si="71"/>
        <v/>
      </c>
      <c r="H961" t="str">
        <f t="shared" si="72"/>
        <v/>
      </c>
      <c r="I961" t="str">
        <f t="shared" si="73"/>
        <v/>
      </c>
      <c r="J961" t="str">
        <f t="shared" si="74"/>
        <v/>
      </c>
      <c r="K961" t="str">
        <f>IF($A961="","",IF(COUNTIF($B$2:$B961,$B961)=COUNTIF($B$2:$B$1601,$B961),$B961,""))</f>
        <v/>
      </c>
    </row>
    <row r="962" spans="1:11">
      <c r="A962" t="str">
        <f>IF('TMP Paste'!$E962="","",'TMP Paste'!$E962)</f>
        <v/>
      </c>
      <c r="B962" t="str">
        <f>IF($A962="","",COUNTIF('TMP Paste'!$B$2:$B962,"?*"))</f>
        <v/>
      </c>
      <c r="C962" t="str">
        <f>IF($A962="","",IFERROR('TMP Paste'!$M962*1,0))</f>
        <v/>
      </c>
      <c r="D962" t="str">
        <f>IF($A962="","",SUMIF($B$2:$B962,$B962,$C$2:$C962))</f>
        <v/>
      </c>
      <c r="E962">
        <f>IF($A962="",0,IF('TMP Paste'!$B962="",0,1))</f>
        <v>0</v>
      </c>
      <c r="F962" t="str">
        <f t="shared" ref="F962:F1025" si="75">IF(OR($A962="",$C962&lt;1),"",$A962&amp;"-"&amp;TEXT(($D962-$C962+1),"00")&amp;IF($C962&gt;=2,", "&amp;$A962&amp;"-"&amp;TEXT(($D962-$C962+1)+1,"00"),"")&amp;IF($C962&gt;=3,", "&amp;$A962&amp;"-"&amp;TEXT(($D962-$C962+1)+2,"00"),"")&amp;IF($C962&gt;=4,", "&amp;$A962&amp;"-"&amp;TEXT(($D962-$C962+1)+3,"00"),"")&amp;IF($C962&gt;=5,", "&amp;$A962&amp;"-"&amp;TEXT(($D962-$C962+1)+4,"00"),"")&amp;IF($C962&gt;=6,", "&amp;$A962&amp;"-"&amp;TEXT(($D962-$C962+1)+5,"00"),"")&amp;IF($C962&gt;=7,", "&amp;$A962&amp;"-"&amp;TEXT(($D962-$C962+1)+6,"00"),"")&amp;IF($C962&gt;=8,", "&amp;$A962&amp;"-"&amp;TEXT(($D962-$C962+1)+7,"00"),"")&amp;IF($C962&gt;=9,", "&amp;$A962&amp;"-"&amp;TEXT(($D962-$C962+1)+8,"00"),"")&amp;IF($C962&gt;=10,", "&amp;$A962&amp;"-"&amp;TEXT(($D962-$C962+1)+9,"00"),"")&amp;IF($C962&gt;=11,", "&amp;$A962&amp;"-"&amp;TEXT(($D962-$C962+1)+10,"00"),"")&amp;IF($C962&gt;=12,", "&amp;$A962&amp;"-"&amp;TEXT(($D962-$C962+1)+11,"00"),"")&amp;IF($C962&gt;=13,", "&amp;$A962&amp;"-"&amp;TEXT(($D962-$C962+1)+12,"00"),"")&amp;IF($C962&gt;=14,", "&amp;$A962&amp;"-"&amp;TEXT(($D962-$C962+1)+13,"00"),"")&amp;IF($C962&gt;=15,", "&amp;$A962&amp;"-"&amp;TEXT(($D962-$C962+1)+14,"00"),"")&amp;IF($C962&gt;=16,", "&amp;$A962&amp;"-"&amp;TEXT(($D962-$C962+1)+15,"00"),"")&amp;IF($C962&gt;=17,", "&amp;$A962&amp;"-"&amp;TEXT(($D962-$C962+1)+16,"00"),"")&amp;IF($C962&gt;=18,", "&amp;$A962&amp;"-"&amp;TEXT(($D962-$C962+1)+17,"00"),"")&amp;IF($C962&gt;=19,", "&amp;$A962&amp;"-"&amp;TEXT(($D962-$C962+1)+18,"00"),"")&amp;IF($C962&gt;=20,", "&amp;$A962&amp;"-"&amp;TEXT(($D962-$C962+1)+19,"00"),"")&amp;IF($C962&gt;=21,", "&amp;$A962&amp;"-"&amp;TEXT(($D962-$C962+1)+20,"00"),"")&amp;IF($C962&gt;=22,", "&amp;$A962&amp;"-"&amp;TEXT(($D962-$C962+1)+21,"00"),"")&amp;IF($C962&gt;=23,", "&amp;$A962&amp;"-"&amp;TEXT(($D962-$C962+1)+22,"00"),"")&amp;IF($C962&gt;=24,", "&amp;$A962&amp;"-"&amp;TEXT(($D962-$C962+1)+23,"00"),"")&amp;IF($C962&gt;=25,", "&amp;$A962&amp;"-"&amp;TEXT(($D962-$C962+1)+24,"00"),""))</f>
        <v/>
      </c>
      <c r="G962" t="str">
        <f t="shared" ref="G962:G1025" si="76">IF($A962="","",IF($E962=1,$F962,IF($F962="",$G961,IF($G961="",$F962,$G961&amp;", "&amp;$F962))))</f>
        <v/>
      </c>
      <c r="H962" t="str">
        <f t="shared" ref="H962:H1025" si="77">IF($A962="","",$A962&amp;" ("&amp;$C962&amp;")")</f>
        <v/>
      </c>
      <c r="I962" t="str">
        <f t="shared" ref="I962:I1025" si="78">IF($A962="","",IF($E962=1,$H962,$I961&amp;", "&amp;$H962))</f>
        <v/>
      </c>
      <c r="J962" t="str">
        <f t="shared" ref="J962:J1025" si="79">IF($A962="","",IF($E962=1,$B962,""))</f>
        <v/>
      </c>
      <c r="K962" t="str">
        <f>IF($A962="","",IF(COUNTIF($B$2:$B962,$B962)=COUNTIF($B$2:$B$1601,$B962),$B962,""))</f>
        <v/>
      </c>
    </row>
    <row r="963" spans="1:11">
      <c r="A963" t="str">
        <f>IF('TMP Paste'!$E963="","",'TMP Paste'!$E963)</f>
        <v/>
      </c>
      <c r="B963" t="str">
        <f>IF($A963="","",COUNTIF('TMP Paste'!$B$2:$B963,"?*"))</f>
        <v/>
      </c>
      <c r="C963" t="str">
        <f>IF($A963="","",IFERROR('TMP Paste'!$M963*1,0))</f>
        <v/>
      </c>
      <c r="D963" t="str">
        <f>IF($A963="","",SUMIF($B$2:$B963,$B963,$C$2:$C963))</f>
        <v/>
      </c>
      <c r="E963">
        <f>IF($A963="",0,IF('TMP Paste'!$B963="",0,1))</f>
        <v>0</v>
      </c>
      <c r="F963" t="str">
        <f t="shared" si="75"/>
        <v/>
      </c>
      <c r="G963" t="str">
        <f t="shared" si="76"/>
        <v/>
      </c>
      <c r="H963" t="str">
        <f t="shared" si="77"/>
        <v/>
      </c>
      <c r="I963" t="str">
        <f t="shared" si="78"/>
        <v/>
      </c>
      <c r="J963" t="str">
        <f t="shared" si="79"/>
        <v/>
      </c>
      <c r="K963" t="str">
        <f>IF($A963="","",IF(COUNTIF($B$2:$B963,$B963)=COUNTIF($B$2:$B$1601,$B963),$B963,""))</f>
        <v/>
      </c>
    </row>
    <row r="964" spans="1:11">
      <c r="A964" t="str">
        <f>IF('TMP Paste'!$E964="","",'TMP Paste'!$E964)</f>
        <v/>
      </c>
      <c r="B964" t="str">
        <f>IF($A964="","",COUNTIF('TMP Paste'!$B$2:$B964,"?*"))</f>
        <v/>
      </c>
      <c r="C964" t="str">
        <f>IF($A964="","",IFERROR('TMP Paste'!$M964*1,0))</f>
        <v/>
      </c>
      <c r="D964" t="str">
        <f>IF($A964="","",SUMIF($B$2:$B964,$B964,$C$2:$C964))</f>
        <v/>
      </c>
      <c r="E964">
        <f>IF($A964="",0,IF('TMP Paste'!$B964="",0,1))</f>
        <v>0</v>
      </c>
      <c r="F964" t="str">
        <f t="shared" si="75"/>
        <v/>
      </c>
      <c r="G964" t="str">
        <f t="shared" si="76"/>
        <v/>
      </c>
      <c r="H964" t="str">
        <f t="shared" si="77"/>
        <v/>
      </c>
      <c r="I964" t="str">
        <f t="shared" si="78"/>
        <v/>
      </c>
      <c r="J964" t="str">
        <f t="shared" si="79"/>
        <v/>
      </c>
      <c r="K964" t="str">
        <f>IF($A964="","",IF(COUNTIF($B$2:$B964,$B964)=COUNTIF($B$2:$B$1601,$B964),$B964,""))</f>
        <v/>
      </c>
    </row>
    <row r="965" spans="1:11">
      <c r="A965" t="str">
        <f>IF('TMP Paste'!$E965="","",'TMP Paste'!$E965)</f>
        <v/>
      </c>
      <c r="B965" t="str">
        <f>IF($A965="","",COUNTIF('TMP Paste'!$B$2:$B965,"?*"))</f>
        <v/>
      </c>
      <c r="C965" t="str">
        <f>IF($A965="","",IFERROR('TMP Paste'!$M965*1,0))</f>
        <v/>
      </c>
      <c r="D965" t="str">
        <f>IF($A965="","",SUMIF($B$2:$B965,$B965,$C$2:$C965))</f>
        <v/>
      </c>
      <c r="E965">
        <f>IF($A965="",0,IF('TMP Paste'!$B965="",0,1))</f>
        <v>0</v>
      </c>
      <c r="F965" t="str">
        <f t="shared" si="75"/>
        <v/>
      </c>
      <c r="G965" t="str">
        <f t="shared" si="76"/>
        <v/>
      </c>
      <c r="H965" t="str">
        <f t="shared" si="77"/>
        <v/>
      </c>
      <c r="I965" t="str">
        <f t="shared" si="78"/>
        <v/>
      </c>
      <c r="J965" t="str">
        <f t="shared" si="79"/>
        <v/>
      </c>
      <c r="K965" t="str">
        <f>IF($A965="","",IF(COUNTIF($B$2:$B965,$B965)=COUNTIF($B$2:$B$1601,$B965),$B965,""))</f>
        <v/>
      </c>
    </row>
    <row r="966" spans="1:11">
      <c r="A966" t="str">
        <f>IF('TMP Paste'!$E966="","",'TMP Paste'!$E966)</f>
        <v/>
      </c>
      <c r="B966" t="str">
        <f>IF($A966="","",COUNTIF('TMP Paste'!$B$2:$B966,"?*"))</f>
        <v/>
      </c>
      <c r="C966" t="str">
        <f>IF($A966="","",IFERROR('TMP Paste'!$M966*1,0))</f>
        <v/>
      </c>
      <c r="D966" t="str">
        <f>IF($A966="","",SUMIF($B$2:$B966,$B966,$C$2:$C966))</f>
        <v/>
      </c>
      <c r="E966">
        <f>IF($A966="",0,IF('TMP Paste'!$B966="",0,1))</f>
        <v>0</v>
      </c>
      <c r="F966" t="str">
        <f t="shared" si="75"/>
        <v/>
      </c>
      <c r="G966" t="str">
        <f t="shared" si="76"/>
        <v/>
      </c>
      <c r="H966" t="str">
        <f t="shared" si="77"/>
        <v/>
      </c>
      <c r="I966" t="str">
        <f t="shared" si="78"/>
        <v/>
      </c>
      <c r="J966" t="str">
        <f t="shared" si="79"/>
        <v/>
      </c>
      <c r="K966" t="str">
        <f>IF($A966="","",IF(COUNTIF($B$2:$B966,$B966)=COUNTIF($B$2:$B$1601,$B966),$B966,""))</f>
        <v/>
      </c>
    </row>
    <row r="967" spans="1:11">
      <c r="A967" t="str">
        <f>IF('TMP Paste'!$E967="","",'TMP Paste'!$E967)</f>
        <v/>
      </c>
      <c r="B967" t="str">
        <f>IF($A967="","",COUNTIF('TMP Paste'!$B$2:$B967,"?*"))</f>
        <v/>
      </c>
      <c r="C967" t="str">
        <f>IF($A967="","",IFERROR('TMP Paste'!$M967*1,0))</f>
        <v/>
      </c>
      <c r="D967" t="str">
        <f>IF($A967="","",SUMIF($B$2:$B967,$B967,$C$2:$C967))</f>
        <v/>
      </c>
      <c r="E967">
        <f>IF($A967="",0,IF('TMP Paste'!$B967="",0,1))</f>
        <v>0</v>
      </c>
      <c r="F967" t="str">
        <f t="shared" si="75"/>
        <v/>
      </c>
      <c r="G967" t="str">
        <f t="shared" si="76"/>
        <v/>
      </c>
      <c r="H967" t="str">
        <f t="shared" si="77"/>
        <v/>
      </c>
      <c r="I967" t="str">
        <f t="shared" si="78"/>
        <v/>
      </c>
      <c r="J967" t="str">
        <f t="shared" si="79"/>
        <v/>
      </c>
      <c r="K967" t="str">
        <f>IF($A967="","",IF(COUNTIF($B$2:$B967,$B967)=COUNTIF($B$2:$B$1601,$B967),$B967,""))</f>
        <v/>
      </c>
    </row>
    <row r="968" spans="1:11">
      <c r="A968" t="str">
        <f>IF('TMP Paste'!$E968="","",'TMP Paste'!$E968)</f>
        <v/>
      </c>
      <c r="B968" t="str">
        <f>IF($A968="","",COUNTIF('TMP Paste'!$B$2:$B968,"?*"))</f>
        <v/>
      </c>
      <c r="C968" t="str">
        <f>IF($A968="","",IFERROR('TMP Paste'!$M968*1,0))</f>
        <v/>
      </c>
      <c r="D968" t="str">
        <f>IF($A968="","",SUMIF($B$2:$B968,$B968,$C$2:$C968))</f>
        <v/>
      </c>
      <c r="E968">
        <f>IF($A968="",0,IF('TMP Paste'!$B968="",0,1))</f>
        <v>0</v>
      </c>
      <c r="F968" t="str">
        <f t="shared" si="75"/>
        <v/>
      </c>
      <c r="G968" t="str">
        <f t="shared" si="76"/>
        <v/>
      </c>
      <c r="H968" t="str">
        <f t="shared" si="77"/>
        <v/>
      </c>
      <c r="I968" t="str">
        <f t="shared" si="78"/>
        <v/>
      </c>
      <c r="J968" t="str">
        <f t="shared" si="79"/>
        <v/>
      </c>
      <c r="K968" t="str">
        <f>IF($A968="","",IF(COUNTIF($B$2:$B968,$B968)=COUNTIF($B$2:$B$1601,$B968),$B968,""))</f>
        <v/>
      </c>
    </row>
    <row r="969" spans="1:11">
      <c r="A969" t="str">
        <f>IF('TMP Paste'!$E969="","",'TMP Paste'!$E969)</f>
        <v/>
      </c>
      <c r="B969" t="str">
        <f>IF($A969="","",COUNTIF('TMP Paste'!$B$2:$B969,"?*"))</f>
        <v/>
      </c>
      <c r="C969" t="str">
        <f>IF($A969="","",IFERROR('TMP Paste'!$M969*1,0))</f>
        <v/>
      </c>
      <c r="D969" t="str">
        <f>IF($A969="","",SUMIF($B$2:$B969,$B969,$C$2:$C969))</f>
        <v/>
      </c>
      <c r="E969">
        <f>IF($A969="",0,IF('TMP Paste'!$B969="",0,1))</f>
        <v>0</v>
      </c>
      <c r="F969" t="str">
        <f t="shared" si="75"/>
        <v/>
      </c>
      <c r="G969" t="str">
        <f t="shared" si="76"/>
        <v/>
      </c>
      <c r="H969" t="str">
        <f t="shared" si="77"/>
        <v/>
      </c>
      <c r="I969" t="str">
        <f t="shared" si="78"/>
        <v/>
      </c>
      <c r="J969" t="str">
        <f t="shared" si="79"/>
        <v/>
      </c>
      <c r="K969" t="str">
        <f>IF($A969="","",IF(COUNTIF($B$2:$B969,$B969)=COUNTIF($B$2:$B$1601,$B969),$B969,""))</f>
        <v/>
      </c>
    </row>
    <row r="970" spans="1:11">
      <c r="A970" t="str">
        <f>IF('TMP Paste'!$E970="","",'TMP Paste'!$E970)</f>
        <v/>
      </c>
      <c r="B970" t="str">
        <f>IF($A970="","",COUNTIF('TMP Paste'!$B$2:$B970,"?*"))</f>
        <v/>
      </c>
      <c r="C970" t="str">
        <f>IF($A970="","",IFERROR('TMP Paste'!$M970*1,0))</f>
        <v/>
      </c>
      <c r="D970" t="str">
        <f>IF($A970="","",SUMIF($B$2:$B970,$B970,$C$2:$C970))</f>
        <v/>
      </c>
      <c r="E970">
        <f>IF($A970="",0,IF('TMP Paste'!$B970="",0,1))</f>
        <v>0</v>
      </c>
      <c r="F970" t="str">
        <f t="shared" si="75"/>
        <v/>
      </c>
      <c r="G970" t="str">
        <f t="shared" si="76"/>
        <v/>
      </c>
      <c r="H970" t="str">
        <f t="shared" si="77"/>
        <v/>
      </c>
      <c r="I970" t="str">
        <f t="shared" si="78"/>
        <v/>
      </c>
      <c r="J970" t="str">
        <f t="shared" si="79"/>
        <v/>
      </c>
      <c r="K970" t="str">
        <f>IF($A970="","",IF(COUNTIF($B$2:$B970,$B970)=COUNTIF($B$2:$B$1601,$B970),$B970,""))</f>
        <v/>
      </c>
    </row>
    <row r="971" spans="1:11">
      <c r="A971" t="str">
        <f>IF('TMP Paste'!$E971="","",'TMP Paste'!$E971)</f>
        <v/>
      </c>
      <c r="B971" t="str">
        <f>IF($A971="","",COUNTIF('TMP Paste'!$B$2:$B971,"?*"))</f>
        <v/>
      </c>
      <c r="C971" t="str">
        <f>IF($A971="","",IFERROR('TMP Paste'!$M971*1,0))</f>
        <v/>
      </c>
      <c r="D971" t="str">
        <f>IF($A971="","",SUMIF($B$2:$B971,$B971,$C$2:$C971))</f>
        <v/>
      </c>
      <c r="E971">
        <f>IF($A971="",0,IF('TMP Paste'!$B971="",0,1))</f>
        <v>0</v>
      </c>
      <c r="F971" t="str">
        <f t="shared" si="75"/>
        <v/>
      </c>
      <c r="G971" t="str">
        <f t="shared" si="76"/>
        <v/>
      </c>
      <c r="H971" t="str">
        <f t="shared" si="77"/>
        <v/>
      </c>
      <c r="I971" t="str">
        <f t="shared" si="78"/>
        <v/>
      </c>
      <c r="J971" t="str">
        <f t="shared" si="79"/>
        <v/>
      </c>
      <c r="K971" t="str">
        <f>IF($A971="","",IF(COUNTIF($B$2:$B971,$B971)=COUNTIF($B$2:$B$1601,$B971),$B971,""))</f>
        <v/>
      </c>
    </row>
    <row r="972" spans="1:11">
      <c r="A972" t="str">
        <f>IF('TMP Paste'!$E972="","",'TMP Paste'!$E972)</f>
        <v/>
      </c>
      <c r="B972" t="str">
        <f>IF($A972="","",COUNTIF('TMP Paste'!$B$2:$B972,"?*"))</f>
        <v/>
      </c>
      <c r="C972" t="str">
        <f>IF($A972="","",IFERROR('TMP Paste'!$M972*1,0))</f>
        <v/>
      </c>
      <c r="D972" t="str">
        <f>IF($A972="","",SUMIF($B$2:$B972,$B972,$C$2:$C972))</f>
        <v/>
      </c>
      <c r="E972">
        <f>IF($A972="",0,IF('TMP Paste'!$B972="",0,1))</f>
        <v>0</v>
      </c>
      <c r="F972" t="str">
        <f t="shared" si="75"/>
        <v/>
      </c>
      <c r="G972" t="str">
        <f t="shared" si="76"/>
        <v/>
      </c>
      <c r="H972" t="str">
        <f t="shared" si="77"/>
        <v/>
      </c>
      <c r="I972" t="str">
        <f t="shared" si="78"/>
        <v/>
      </c>
      <c r="J972" t="str">
        <f t="shared" si="79"/>
        <v/>
      </c>
      <c r="K972" t="str">
        <f>IF($A972="","",IF(COUNTIF($B$2:$B972,$B972)=COUNTIF($B$2:$B$1601,$B972),$B972,""))</f>
        <v/>
      </c>
    </row>
    <row r="973" spans="1:11">
      <c r="A973" t="str">
        <f>IF('TMP Paste'!$E973="","",'TMP Paste'!$E973)</f>
        <v/>
      </c>
      <c r="B973" t="str">
        <f>IF($A973="","",COUNTIF('TMP Paste'!$B$2:$B973,"?*"))</f>
        <v/>
      </c>
      <c r="C973" t="str">
        <f>IF($A973="","",IFERROR('TMP Paste'!$M973*1,0))</f>
        <v/>
      </c>
      <c r="D973" t="str">
        <f>IF($A973="","",SUMIF($B$2:$B973,$B973,$C$2:$C973))</f>
        <v/>
      </c>
      <c r="E973">
        <f>IF($A973="",0,IF('TMP Paste'!$B973="",0,1))</f>
        <v>0</v>
      </c>
      <c r="F973" t="str">
        <f t="shared" si="75"/>
        <v/>
      </c>
      <c r="G973" t="str">
        <f t="shared" si="76"/>
        <v/>
      </c>
      <c r="H973" t="str">
        <f t="shared" si="77"/>
        <v/>
      </c>
      <c r="I973" t="str">
        <f t="shared" si="78"/>
        <v/>
      </c>
      <c r="J973" t="str">
        <f t="shared" si="79"/>
        <v/>
      </c>
      <c r="K973" t="str">
        <f>IF($A973="","",IF(COUNTIF($B$2:$B973,$B973)=COUNTIF($B$2:$B$1601,$B973),$B973,""))</f>
        <v/>
      </c>
    </row>
    <row r="974" spans="1:11">
      <c r="A974" t="str">
        <f>IF('TMP Paste'!$E974="","",'TMP Paste'!$E974)</f>
        <v/>
      </c>
      <c r="B974" t="str">
        <f>IF($A974="","",COUNTIF('TMP Paste'!$B$2:$B974,"?*"))</f>
        <v/>
      </c>
      <c r="C974" t="str">
        <f>IF($A974="","",IFERROR('TMP Paste'!$M974*1,0))</f>
        <v/>
      </c>
      <c r="D974" t="str">
        <f>IF($A974="","",SUMIF($B$2:$B974,$B974,$C$2:$C974))</f>
        <v/>
      </c>
      <c r="E974">
        <f>IF($A974="",0,IF('TMP Paste'!$B974="",0,1))</f>
        <v>0</v>
      </c>
      <c r="F974" t="str">
        <f t="shared" si="75"/>
        <v/>
      </c>
      <c r="G974" t="str">
        <f t="shared" si="76"/>
        <v/>
      </c>
      <c r="H974" t="str">
        <f t="shared" si="77"/>
        <v/>
      </c>
      <c r="I974" t="str">
        <f t="shared" si="78"/>
        <v/>
      </c>
      <c r="J974" t="str">
        <f t="shared" si="79"/>
        <v/>
      </c>
      <c r="K974" t="str">
        <f>IF($A974="","",IF(COUNTIF($B$2:$B974,$B974)=COUNTIF($B$2:$B$1601,$B974),$B974,""))</f>
        <v/>
      </c>
    </row>
    <row r="975" spans="1:11">
      <c r="A975" t="str">
        <f>IF('TMP Paste'!$E975="","",'TMP Paste'!$E975)</f>
        <v/>
      </c>
      <c r="B975" t="str">
        <f>IF($A975="","",COUNTIF('TMP Paste'!$B$2:$B975,"?*"))</f>
        <v/>
      </c>
      <c r="C975" t="str">
        <f>IF($A975="","",IFERROR('TMP Paste'!$M975*1,0))</f>
        <v/>
      </c>
      <c r="D975" t="str">
        <f>IF($A975="","",SUMIF($B$2:$B975,$B975,$C$2:$C975))</f>
        <v/>
      </c>
      <c r="E975">
        <f>IF($A975="",0,IF('TMP Paste'!$B975="",0,1))</f>
        <v>0</v>
      </c>
      <c r="F975" t="str">
        <f t="shared" si="75"/>
        <v/>
      </c>
      <c r="G975" t="str">
        <f t="shared" si="76"/>
        <v/>
      </c>
      <c r="H975" t="str">
        <f t="shared" si="77"/>
        <v/>
      </c>
      <c r="I975" t="str">
        <f t="shared" si="78"/>
        <v/>
      </c>
      <c r="J975" t="str">
        <f t="shared" si="79"/>
        <v/>
      </c>
      <c r="K975" t="str">
        <f>IF($A975="","",IF(COUNTIF($B$2:$B975,$B975)=COUNTIF($B$2:$B$1601,$B975),$B975,""))</f>
        <v/>
      </c>
    </row>
    <row r="976" spans="1:11">
      <c r="A976" t="str">
        <f>IF('TMP Paste'!$E976="","",'TMP Paste'!$E976)</f>
        <v/>
      </c>
      <c r="B976" t="str">
        <f>IF($A976="","",COUNTIF('TMP Paste'!$B$2:$B976,"?*"))</f>
        <v/>
      </c>
      <c r="C976" t="str">
        <f>IF($A976="","",IFERROR('TMP Paste'!$M976*1,0))</f>
        <v/>
      </c>
      <c r="D976" t="str">
        <f>IF($A976="","",SUMIF($B$2:$B976,$B976,$C$2:$C976))</f>
        <v/>
      </c>
      <c r="E976">
        <f>IF($A976="",0,IF('TMP Paste'!$B976="",0,1))</f>
        <v>0</v>
      </c>
      <c r="F976" t="str">
        <f t="shared" si="75"/>
        <v/>
      </c>
      <c r="G976" t="str">
        <f t="shared" si="76"/>
        <v/>
      </c>
      <c r="H976" t="str">
        <f t="shared" si="77"/>
        <v/>
      </c>
      <c r="I976" t="str">
        <f t="shared" si="78"/>
        <v/>
      </c>
      <c r="J976" t="str">
        <f t="shared" si="79"/>
        <v/>
      </c>
      <c r="K976" t="str">
        <f>IF($A976="","",IF(COUNTIF($B$2:$B976,$B976)=COUNTIF($B$2:$B$1601,$B976),$B976,""))</f>
        <v/>
      </c>
    </row>
    <row r="977" spans="1:11">
      <c r="A977" t="str">
        <f>IF('TMP Paste'!$E977="","",'TMP Paste'!$E977)</f>
        <v/>
      </c>
      <c r="B977" t="str">
        <f>IF($A977="","",COUNTIF('TMP Paste'!$B$2:$B977,"?*"))</f>
        <v/>
      </c>
      <c r="C977" t="str">
        <f>IF($A977="","",IFERROR('TMP Paste'!$M977*1,0))</f>
        <v/>
      </c>
      <c r="D977" t="str">
        <f>IF($A977="","",SUMIF($B$2:$B977,$B977,$C$2:$C977))</f>
        <v/>
      </c>
      <c r="E977">
        <f>IF($A977="",0,IF('TMP Paste'!$B977="",0,1))</f>
        <v>0</v>
      </c>
      <c r="F977" t="str">
        <f t="shared" si="75"/>
        <v/>
      </c>
      <c r="G977" t="str">
        <f t="shared" si="76"/>
        <v/>
      </c>
      <c r="H977" t="str">
        <f t="shared" si="77"/>
        <v/>
      </c>
      <c r="I977" t="str">
        <f t="shared" si="78"/>
        <v/>
      </c>
      <c r="J977" t="str">
        <f t="shared" si="79"/>
        <v/>
      </c>
      <c r="K977" t="str">
        <f>IF($A977="","",IF(COUNTIF($B$2:$B977,$B977)=COUNTIF($B$2:$B$1601,$B977),$B977,""))</f>
        <v/>
      </c>
    </row>
    <row r="978" spans="1:11">
      <c r="A978" t="str">
        <f>IF('TMP Paste'!$E978="","",'TMP Paste'!$E978)</f>
        <v/>
      </c>
      <c r="B978" t="str">
        <f>IF($A978="","",COUNTIF('TMP Paste'!$B$2:$B978,"?*"))</f>
        <v/>
      </c>
      <c r="C978" t="str">
        <f>IF($A978="","",IFERROR('TMP Paste'!$M978*1,0))</f>
        <v/>
      </c>
      <c r="D978" t="str">
        <f>IF($A978="","",SUMIF($B$2:$B978,$B978,$C$2:$C978))</f>
        <v/>
      </c>
      <c r="E978">
        <f>IF($A978="",0,IF('TMP Paste'!$B978="",0,1))</f>
        <v>0</v>
      </c>
      <c r="F978" t="str">
        <f t="shared" si="75"/>
        <v/>
      </c>
      <c r="G978" t="str">
        <f t="shared" si="76"/>
        <v/>
      </c>
      <c r="H978" t="str">
        <f t="shared" si="77"/>
        <v/>
      </c>
      <c r="I978" t="str">
        <f t="shared" si="78"/>
        <v/>
      </c>
      <c r="J978" t="str">
        <f t="shared" si="79"/>
        <v/>
      </c>
      <c r="K978" t="str">
        <f>IF($A978="","",IF(COUNTIF($B$2:$B978,$B978)=COUNTIF($B$2:$B$1601,$B978),$B978,""))</f>
        <v/>
      </c>
    </row>
    <row r="979" spans="1:11">
      <c r="A979" t="str">
        <f>IF('TMP Paste'!$E979="","",'TMP Paste'!$E979)</f>
        <v/>
      </c>
      <c r="B979" t="str">
        <f>IF($A979="","",COUNTIF('TMP Paste'!$B$2:$B979,"?*"))</f>
        <v/>
      </c>
      <c r="C979" t="str">
        <f>IF($A979="","",IFERROR('TMP Paste'!$M979*1,0))</f>
        <v/>
      </c>
      <c r="D979" t="str">
        <f>IF($A979="","",SUMIF($B$2:$B979,$B979,$C$2:$C979))</f>
        <v/>
      </c>
      <c r="E979">
        <f>IF($A979="",0,IF('TMP Paste'!$B979="",0,1))</f>
        <v>0</v>
      </c>
      <c r="F979" t="str">
        <f t="shared" si="75"/>
        <v/>
      </c>
      <c r="G979" t="str">
        <f t="shared" si="76"/>
        <v/>
      </c>
      <c r="H979" t="str">
        <f t="shared" si="77"/>
        <v/>
      </c>
      <c r="I979" t="str">
        <f t="shared" si="78"/>
        <v/>
      </c>
      <c r="J979" t="str">
        <f t="shared" si="79"/>
        <v/>
      </c>
      <c r="K979" t="str">
        <f>IF($A979="","",IF(COUNTIF($B$2:$B979,$B979)=COUNTIF($B$2:$B$1601,$B979),$B979,""))</f>
        <v/>
      </c>
    </row>
    <row r="980" spans="1:11">
      <c r="A980" t="str">
        <f>IF('TMP Paste'!$E980="","",'TMP Paste'!$E980)</f>
        <v/>
      </c>
      <c r="B980" t="str">
        <f>IF($A980="","",COUNTIF('TMP Paste'!$B$2:$B980,"?*"))</f>
        <v/>
      </c>
      <c r="C980" t="str">
        <f>IF($A980="","",IFERROR('TMP Paste'!$M980*1,0))</f>
        <v/>
      </c>
      <c r="D980" t="str">
        <f>IF($A980="","",SUMIF($B$2:$B980,$B980,$C$2:$C980))</f>
        <v/>
      </c>
      <c r="E980">
        <f>IF($A980="",0,IF('TMP Paste'!$B980="",0,1))</f>
        <v>0</v>
      </c>
      <c r="F980" t="str">
        <f t="shared" si="75"/>
        <v/>
      </c>
      <c r="G980" t="str">
        <f t="shared" si="76"/>
        <v/>
      </c>
      <c r="H980" t="str">
        <f t="shared" si="77"/>
        <v/>
      </c>
      <c r="I980" t="str">
        <f t="shared" si="78"/>
        <v/>
      </c>
      <c r="J980" t="str">
        <f t="shared" si="79"/>
        <v/>
      </c>
      <c r="K980" t="str">
        <f>IF($A980="","",IF(COUNTIF($B$2:$B980,$B980)=COUNTIF($B$2:$B$1601,$B980),$B980,""))</f>
        <v/>
      </c>
    </row>
    <row r="981" spans="1:11">
      <c r="A981" t="str">
        <f>IF('TMP Paste'!$E981="","",'TMP Paste'!$E981)</f>
        <v/>
      </c>
      <c r="B981" t="str">
        <f>IF($A981="","",COUNTIF('TMP Paste'!$B$2:$B981,"?*"))</f>
        <v/>
      </c>
      <c r="C981" t="str">
        <f>IF($A981="","",IFERROR('TMP Paste'!$M981*1,0))</f>
        <v/>
      </c>
      <c r="D981" t="str">
        <f>IF($A981="","",SUMIF($B$2:$B981,$B981,$C$2:$C981))</f>
        <v/>
      </c>
      <c r="E981">
        <f>IF($A981="",0,IF('TMP Paste'!$B981="",0,1))</f>
        <v>0</v>
      </c>
      <c r="F981" t="str">
        <f t="shared" si="75"/>
        <v/>
      </c>
      <c r="G981" t="str">
        <f t="shared" si="76"/>
        <v/>
      </c>
      <c r="H981" t="str">
        <f t="shared" si="77"/>
        <v/>
      </c>
      <c r="I981" t="str">
        <f t="shared" si="78"/>
        <v/>
      </c>
      <c r="J981" t="str">
        <f t="shared" si="79"/>
        <v/>
      </c>
      <c r="K981" t="str">
        <f>IF($A981="","",IF(COUNTIF($B$2:$B981,$B981)=COUNTIF($B$2:$B$1601,$B981),$B981,""))</f>
        <v/>
      </c>
    </row>
    <row r="982" spans="1:11">
      <c r="A982" t="str">
        <f>IF('TMP Paste'!$E982="","",'TMP Paste'!$E982)</f>
        <v/>
      </c>
      <c r="B982" t="str">
        <f>IF($A982="","",COUNTIF('TMP Paste'!$B$2:$B982,"?*"))</f>
        <v/>
      </c>
      <c r="C982" t="str">
        <f>IF($A982="","",IFERROR('TMP Paste'!$M982*1,0))</f>
        <v/>
      </c>
      <c r="D982" t="str">
        <f>IF($A982="","",SUMIF($B$2:$B982,$B982,$C$2:$C982))</f>
        <v/>
      </c>
      <c r="E982">
        <f>IF($A982="",0,IF('TMP Paste'!$B982="",0,1))</f>
        <v>0</v>
      </c>
      <c r="F982" t="str">
        <f t="shared" si="75"/>
        <v/>
      </c>
      <c r="G982" t="str">
        <f t="shared" si="76"/>
        <v/>
      </c>
      <c r="H982" t="str">
        <f t="shared" si="77"/>
        <v/>
      </c>
      <c r="I982" t="str">
        <f t="shared" si="78"/>
        <v/>
      </c>
      <c r="J982" t="str">
        <f t="shared" si="79"/>
        <v/>
      </c>
      <c r="K982" t="str">
        <f>IF($A982="","",IF(COUNTIF($B$2:$B982,$B982)=COUNTIF($B$2:$B$1601,$B982),$B982,""))</f>
        <v/>
      </c>
    </row>
    <row r="983" spans="1:11">
      <c r="A983" t="str">
        <f>IF('TMP Paste'!$E983="","",'TMP Paste'!$E983)</f>
        <v/>
      </c>
      <c r="B983" t="str">
        <f>IF($A983="","",COUNTIF('TMP Paste'!$B$2:$B983,"?*"))</f>
        <v/>
      </c>
      <c r="C983" t="str">
        <f>IF($A983="","",IFERROR('TMP Paste'!$M983*1,0))</f>
        <v/>
      </c>
      <c r="D983" t="str">
        <f>IF($A983="","",SUMIF($B$2:$B983,$B983,$C$2:$C983))</f>
        <v/>
      </c>
      <c r="E983">
        <f>IF($A983="",0,IF('TMP Paste'!$B983="",0,1))</f>
        <v>0</v>
      </c>
      <c r="F983" t="str">
        <f t="shared" si="75"/>
        <v/>
      </c>
      <c r="G983" t="str">
        <f t="shared" si="76"/>
        <v/>
      </c>
      <c r="H983" t="str">
        <f t="shared" si="77"/>
        <v/>
      </c>
      <c r="I983" t="str">
        <f t="shared" si="78"/>
        <v/>
      </c>
      <c r="J983" t="str">
        <f t="shared" si="79"/>
        <v/>
      </c>
      <c r="K983" t="str">
        <f>IF($A983="","",IF(COUNTIF($B$2:$B983,$B983)=COUNTIF($B$2:$B$1601,$B983),$B983,""))</f>
        <v/>
      </c>
    </row>
    <row r="984" spans="1:11">
      <c r="A984" t="str">
        <f>IF('TMP Paste'!$E984="","",'TMP Paste'!$E984)</f>
        <v/>
      </c>
      <c r="B984" t="str">
        <f>IF($A984="","",COUNTIF('TMP Paste'!$B$2:$B984,"?*"))</f>
        <v/>
      </c>
      <c r="C984" t="str">
        <f>IF($A984="","",IFERROR('TMP Paste'!$M984*1,0))</f>
        <v/>
      </c>
      <c r="D984" t="str">
        <f>IF($A984="","",SUMIF($B$2:$B984,$B984,$C$2:$C984))</f>
        <v/>
      </c>
      <c r="E984">
        <f>IF($A984="",0,IF('TMP Paste'!$B984="",0,1))</f>
        <v>0</v>
      </c>
      <c r="F984" t="str">
        <f t="shared" si="75"/>
        <v/>
      </c>
      <c r="G984" t="str">
        <f t="shared" si="76"/>
        <v/>
      </c>
      <c r="H984" t="str">
        <f t="shared" si="77"/>
        <v/>
      </c>
      <c r="I984" t="str">
        <f t="shared" si="78"/>
        <v/>
      </c>
      <c r="J984" t="str">
        <f t="shared" si="79"/>
        <v/>
      </c>
      <c r="K984" t="str">
        <f>IF($A984="","",IF(COUNTIF($B$2:$B984,$B984)=COUNTIF($B$2:$B$1601,$B984),$B984,""))</f>
        <v/>
      </c>
    </row>
    <row r="985" spans="1:11">
      <c r="A985" t="str">
        <f>IF('TMP Paste'!$E985="","",'TMP Paste'!$E985)</f>
        <v/>
      </c>
      <c r="B985" t="str">
        <f>IF($A985="","",COUNTIF('TMP Paste'!$B$2:$B985,"?*"))</f>
        <v/>
      </c>
      <c r="C985" t="str">
        <f>IF($A985="","",IFERROR('TMP Paste'!$M985*1,0))</f>
        <v/>
      </c>
      <c r="D985" t="str">
        <f>IF($A985="","",SUMIF($B$2:$B985,$B985,$C$2:$C985))</f>
        <v/>
      </c>
      <c r="E985">
        <f>IF($A985="",0,IF('TMP Paste'!$B985="",0,1))</f>
        <v>0</v>
      </c>
      <c r="F985" t="str">
        <f t="shared" si="75"/>
        <v/>
      </c>
      <c r="G985" t="str">
        <f t="shared" si="76"/>
        <v/>
      </c>
      <c r="H985" t="str">
        <f t="shared" si="77"/>
        <v/>
      </c>
      <c r="I985" t="str">
        <f t="shared" si="78"/>
        <v/>
      </c>
      <c r="J985" t="str">
        <f t="shared" si="79"/>
        <v/>
      </c>
      <c r="K985" t="str">
        <f>IF($A985="","",IF(COUNTIF($B$2:$B985,$B985)=COUNTIF($B$2:$B$1601,$B985),$B985,""))</f>
        <v/>
      </c>
    </row>
    <row r="986" spans="1:11">
      <c r="A986" t="str">
        <f>IF('TMP Paste'!$E986="","",'TMP Paste'!$E986)</f>
        <v/>
      </c>
      <c r="B986" t="str">
        <f>IF($A986="","",COUNTIF('TMP Paste'!$B$2:$B986,"?*"))</f>
        <v/>
      </c>
      <c r="C986" t="str">
        <f>IF($A986="","",IFERROR('TMP Paste'!$M986*1,0))</f>
        <v/>
      </c>
      <c r="D986" t="str">
        <f>IF($A986="","",SUMIF($B$2:$B986,$B986,$C$2:$C986))</f>
        <v/>
      </c>
      <c r="E986">
        <f>IF($A986="",0,IF('TMP Paste'!$B986="",0,1))</f>
        <v>0</v>
      </c>
      <c r="F986" t="str">
        <f t="shared" si="75"/>
        <v/>
      </c>
      <c r="G986" t="str">
        <f t="shared" si="76"/>
        <v/>
      </c>
      <c r="H986" t="str">
        <f t="shared" si="77"/>
        <v/>
      </c>
      <c r="I986" t="str">
        <f t="shared" si="78"/>
        <v/>
      </c>
      <c r="J986" t="str">
        <f t="shared" si="79"/>
        <v/>
      </c>
      <c r="K986" t="str">
        <f>IF($A986="","",IF(COUNTIF($B$2:$B986,$B986)=COUNTIF($B$2:$B$1601,$B986),$B986,""))</f>
        <v/>
      </c>
    </row>
    <row r="987" spans="1:11">
      <c r="A987" t="str">
        <f>IF('TMP Paste'!$E987="","",'TMP Paste'!$E987)</f>
        <v/>
      </c>
      <c r="B987" t="str">
        <f>IF($A987="","",COUNTIF('TMP Paste'!$B$2:$B987,"?*"))</f>
        <v/>
      </c>
      <c r="C987" t="str">
        <f>IF($A987="","",IFERROR('TMP Paste'!$M987*1,0))</f>
        <v/>
      </c>
      <c r="D987" t="str">
        <f>IF($A987="","",SUMIF($B$2:$B987,$B987,$C$2:$C987))</f>
        <v/>
      </c>
      <c r="E987">
        <f>IF($A987="",0,IF('TMP Paste'!$B987="",0,1))</f>
        <v>0</v>
      </c>
      <c r="F987" t="str">
        <f t="shared" si="75"/>
        <v/>
      </c>
      <c r="G987" t="str">
        <f t="shared" si="76"/>
        <v/>
      </c>
      <c r="H987" t="str">
        <f t="shared" si="77"/>
        <v/>
      </c>
      <c r="I987" t="str">
        <f t="shared" si="78"/>
        <v/>
      </c>
      <c r="J987" t="str">
        <f t="shared" si="79"/>
        <v/>
      </c>
      <c r="K987" t="str">
        <f>IF($A987="","",IF(COUNTIF($B$2:$B987,$B987)=COUNTIF($B$2:$B$1601,$B987),$B987,""))</f>
        <v/>
      </c>
    </row>
    <row r="988" spans="1:11">
      <c r="A988" t="str">
        <f>IF('TMP Paste'!$E988="","",'TMP Paste'!$E988)</f>
        <v/>
      </c>
      <c r="B988" t="str">
        <f>IF($A988="","",COUNTIF('TMP Paste'!$B$2:$B988,"?*"))</f>
        <v/>
      </c>
      <c r="C988" t="str">
        <f>IF($A988="","",IFERROR('TMP Paste'!$M988*1,0))</f>
        <v/>
      </c>
      <c r="D988" t="str">
        <f>IF($A988="","",SUMIF($B$2:$B988,$B988,$C$2:$C988))</f>
        <v/>
      </c>
      <c r="E988">
        <f>IF($A988="",0,IF('TMP Paste'!$B988="",0,1))</f>
        <v>0</v>
      </c>
      <c r="F988" t="str">
        <f t="shared" si="75"/>
        <v/>
      </c>
      <c r="G988" t="str">
        <f t="shared" si="76"/>
        <v/>
      </c>
      <c r="H988" t="str">
        <f t="shared" si="77"/>
        <v/>
      </c>
      <c r="I988" t="str">
        <f t="shared" si="78"/>
        <v/>
      </c>
      <c r="J988" t="str">
        <f t="shared" si="79"/>
        <v/>
      </c>
      <c r="K988" t="str">
        <f>IF($A988="","",IF(COUNTIF($B$2:$B988,$B988)=COUNTIF($B$2:$B$1601,$B988),$B988,""))</f>
        <v/>
      </c>
    </row>
    <row r="989" spans="1:11">
      <c r="A989" t="str">
        <f>IF('TMP Paste'!$E989="","",'TMP Paste'!$E989)</f>
        <v/>
      </c>
      <c r="B989" t="str">
        <f>IF($A989="","",COUNTIF('TMP Paste'!$B$2:$B989,"?*"))</f>
        <v/>
      </c>
      <c r="C989" t="str">
        <f>IF($A989="","",IFERROR('TMP Paste'!$M989*1,0))</f>
        <v/>
      </c>
      <c r="D989" t="str">
        <f>IF($A989="","",SUMIF($B$2:$B989,$B989,$C$2:$C989))</f>
        <v/>
      </c>
      <c r="E989">
        <f>IF($A989="",0,IF('TMP Paste'!$B989="",0,1))</f>
        <v>0</v>
      </c>
      <c r="F989" t="str">
        <f t="shared" si="75"/>
        <v/>
      </c>
      <c r="G989" t="str">
        <f t="shared" si="76"/>
        <v/>
      </c>
      <c r="H989" t="str">
        <f t="shared" si="77"/>
        <v/>
      </c>
      <c r="I989" t="str">
        <f t="shared" si="78"/>
        <v/>
      </c>
      <c r="J989" t="str">
        <f t="shared" si="79"/>
        <v/>
      </c>
      <c r="K989" t="str">
        <f>IF($A989="","",IF(COUNTIF($B$2:$B989,$B989)=COUNTIF($B$2:$B$1601,$B989),$B989,""))</f>
        <v/>
      </c>
    </row>
    <row r="990" spans="1:11">
      <c r="A990" t="str">
        <f>IF('TMP Paste'!$E990="","",'TMP Paste'!$E990)</f>
        <v/>
      </c>
      <c r="B990" t="str">
        <f>IF($A990="","",COUNTIF('TMP Paste'!$B$2:$B990,"?*"))</f>
        <v/>
      </c>
      <c r="C990" t="str">
        <f>IF($A990="","",IFERROR('TMP Paste'!$M990*1,0))</f>
        <v/>
      </c>
      <c r="D990" t="str">
        <f>IF($A990="","",SUMIF($B$2:$B990,$B990,$C$2:$C990))</f>
        <v/>
      </c>
      <c r="E990">
        <f>IF($A990="",0,IF('TMP Paste'!$B990="",0,1))</f>
        <v>0</v>
      </c>
      <c r="F990" t="str">
        <f t="shared" si="75"/>
        <v/>
      </c>
      <c r="G990" t="str">
        <f t="shared" si="76"/>
        <v/>
      </c>
      <c r="H990" t="str">
        <f t="shared" si="77"/>
        <v/>
      </c>
      <c r="I990" t="str">
        <f t="shared" si="78"/>
        <v/>
      </c>
      <c r="J990" t="str">
        <f t="shared" si="79"/>
        <v/>
      </c>
      <c r="K990" t="str">
        <f>IF($A990="","",IF(COUNTIF($B$2:$B990,$B990)=COUNTIF($B$2:$B$1601,$B990),$B990,""))</f>
        <v/>
      </c>
    </row>
    <row r="991" spans="1:11">
      <c r="A991" t="str">
        <f>IF('TMP Paste'!$E991="","",'TMP Paste'!$E991)</f>
        <v/>
      </c>
      <c r="B991" t="str">
        <f>IF($A991="","",COUNTIF('TMP Paste'!$B$2:$B991,"?*"))</f>
        <v/>
      </c>
      <c r="C991" t="str">
        <f>IF($A991="","",IFERROR('TMP Paste'!$M991*1,0))</f>
        <v/>
      </c>
      <c r="D991" t="str">
        <f>IF($A991="","",SUMIF($B$2:$B991,$B991,$C$2:$C991))</f>
        <v/>
      </c>
      <c r="E991">
        <f>IF($A991="",0,IF('TMP Paste'!$B991="",0,1))</f>
        <v>0</v>
      </c>
      <c r="F991" t="str">
        <f t="shared" si="75"/>
        <v/>
      </c>
      <c r="G991" t="str">
        <f t="shared" si="76"/>
        <v/>
      </c>
      <c r="H991" t="str">
        <f t="shared" si="77"/>
        <v/>
      </c>
      <c r="I991" t="str">
        <f t="shared" si="78"/>
        <v/>
      </c>
      <c r="J991" t="str">
        <f t="shared" si="79"/>
        <v/>
      </c>
      <c r="K991" t="str">
        <f>IF($A991="","",IF(COUNTIF($B$2:$B991,$B991)=COUNTIF($B$2:$B$1601,$B991),$B991,""))</f>
        <v/>
      </c>
    </row>
    <row r="992" spans="1:11">
      <c r="A992" t="str">
        <f>IF('TMP Paste'!$E992="","",'TMP Paste'!$E992)</f>
        <v/>
      </c>
      <c r="B992" t="str">
        <f>IF($A992="","",COUNTIF('TMP Paste'!$B$2:$B992,"?*"))</f>
        <v/>
      </c>
      <c r="C992" t="str">
        <f>IF($A992="","",IFERROR('TMP Paste'!$M992*1,0))</f>
        <v/>
      </c>
      <c r="D992" t="str">
        <f>IF($A992="","",SUMIF($B$2:$B992,$B992,$C$2:$C992))</f>
        <v/>
      </c>
      <c r="E992">
        <f>IF($A992="",0,IF('TMP Paste'!$B992="",0,1))</f>
        <v>0</v>
      </c>
      <c r="F992" t="str">
        <f t="shared" si="75"/>
        <v/>
      </c>
      <c r="G992" t="str">
        <f t="shared" si="76"/>
        <v/>
      </c>
      <c r="H992" t="str">
        <f t="shared" si="77"/>
        <v/>
      </c>
      <c r="I992" t="str">
        <f t="shared" si="78"/>
        <v/>
      </c>
      <c r="J992" t="str">
        <f t="shared" si="79"/>
        <v/>
      </c>
      <c r="K992" t="str">
        <f>IF($A992="","",IF(COUNTIF($B$2:$B992,$B992)=COUNTIF($B$2:$B$1601,$B992),$B992,""))</f>
        <v/>
      </c>
    </row>
    <row r="993" spans="1:11">
      <c r="A993" t="str">
        <f>IF('TMP Paste'!$E993="","",'TMP Paste'!$E993)</f>
        <v/>
      </c>
      <c r="B993" t="str">
        <f>IF($A993="","",COUNTIF('TMP Paste'!$B$2:$B993,"?*"))</f>
        <v/>
      </c>
      <c r="C993" t="str">
        <f>IF($A993="","",IFERROR('TMP Paste'!$M993*1,0))</f>
        <v/>
      </c>
      <c r="D993" t="str">
        <f>IF($A993="","",SUMIF($B$2:$B993,$B993,$C$2:$C993))</f>
        <v/>
      </c>
      <c r="E993">
        <f>IF($A993="",0,IF('TMP Paste'!$B993="",0,1))</f>
        <v>0</v>
      </c>
      <c r="F993" t="str">
        <f t="shared" si="75"/>
        <v/>
      </c>
      <c r="G993" t="str">
        <f t="shared" si="76"/>
        <v/>
      </c>
      <c r="H993" t="str">
        <f t="shared" si="77"/>
        <v/>
      </c>
      <c r="I993" t="str">
        <f t="shared" si="78"/>
        <v/>
      </c>
      <c r="J993" t="str">
        <f t="shared" si="79"/>
        <v/>
      </c>
      <c r="K993" t="str">
        <f>IF($A993="","",IF(COUNTIF($B$2:$B993,$B993)=COUNTIF($B$2:$B$1601,$B993),$B993,""))</f>
        <v/>
      </c>
    </row>
    <row r="994" spans="1:11">
      <c r="A994" t="str">
        <f>IF('TMP Paste'!$E994="","",'TMP Paste'!$E994)</f>
        <v/>
      </c>
      <c r="B994" t="str">
        <f>IF($A994="","",COUNTIF('TMP Paste'!$B$2:$B994,"?*"))</f>
        <v/>
      </c>
      <c r="C994" t="str">
        <f>IF($A994="","",IFERROR('TMP Paste'!$M994*1,0))</f>
        <v/>
      </c>
      <c r="D994" t="str">
        <f>IF($A994="","",SUMIF($B$2:$B994,$B994,$C$2:$C994))</f>
        <v/>
      </c>
      <c r="E994">
        <f>IF($A994="",0,IF('TMP Paste'!$B994="",0,1))</f>
        <v>0</v>
      </c>
      <c r="F994" t="str">
        <f t="shared" si="75"/>
        <v/>
      </c>
      <c r="G994" t="str">
        <f t="shared" si="76"/>
        <v/>
      </c>
      <c r="H994" t="str">
        <f t="shared" si="77"/>
        <v/>
      </c>
      <c r="I994" t="str">
        <f t="shared" si="78"/>
        <v/>
      </c>
      <c r="J994" t="str">
        <f t="shared" si="79"/>
        <v/>
      </c>
      <c r="K994" t="str">
        <f>IF($A994="","",IF(COUNTIF($B$2:$B994,$B994)=COUNTIF($B$2:$B$1601,$B994),$B994,""))</f>
        <v/>
      </c>
    </row>
    <row r="995" spans="1:11">
      <c r="A995" t="str">
        <f>IF('TMP Paste'!$E995="","",'TMP Paste'!$E995)</f>
        <v/>
      </c>
      <c r="B995" t="str">
        <f>IF($A995="","",COUNTIF('TMP Paste'!$B$2:$B995,"?*"))</f>
        <v/>
      </c>
      <c r="C995" t="str">
        <f>IF($A995="","",IFERROR('TMP Paste'!$M995*1,0))</f>
        <v/>
      </c>
      <c r="D995" t="str">
        <f>IF($A995="","",SUMIF($B$2:$B995,$B995,$C$2:$C995))</f>
        <v/>
      </c>
      <c r="E995">
        <f>IF($A995="",0,IF('TMP Paste'!$B995="",0,1))</f>
        <v>0</v>
      </c>
      <c r="F995" t="str">
        <f t="shared" si="75"/>
        <v/>
      </c>
      <c r="G995" t="str">
        <f t="shared" si="76"/>
        <v/>
      </c>
      <c r="H995" t="str">
        <f t="shared" si="77"/>
        <v/>
      </c>
      <c r="I995" t="str">
        <f t="shared" si="78"/>
        <v/>
      </c>
      <c r="J995" t="str">
        <f t="shared" si="79"/>
        <v/>
      </c>
      <c r="K995" t="str">
        <f>IF($A995="","",IF(COUNTIF($B$2:$B995,$B995)=COUNTIF($B$2:$B$1601,$B995),$B995,""))</f>
        <v/>
      </c>
    </row>
    <row r="996" spans="1:11">
      <c r="A996" t="str">
        <f>IF('TMP Paste'!$E996="","",'TMP Paste'!$E996)</f>
        <v/>
      </c>
      <c r="B996" t="str">
        <f>IF($A996="","",COUNTIF('TMP Paste'!$B$2:$B996,"?*"))</f>
        <v/>
      </c>
      <c r="C996" t="str">
        <f>IF($A996="","",IFERROR('TMP Paste'!$M996*1,0))</f>
        <v/>
      </c>
      <c r="D996" t="str">
        <f>IF($A996="","",SUMIF($B$2:$B996,$B996,$C$2:$C996))</f>
        <v/>
      </c>
      <c r="E996">
        <f>IF($A996="",0,IF('TMP Paste'!$B996="",0,1))</f>
        <v>0</v>
      </c>
      <c r="F996" t="str">
        <f t="shared" si="75"/>
        <v/>
      </c>
      <c r="G996" t="str">
        <f t="shared" si="76"/>
        <v/>
      </c>
      <c r="H996" t="str">
        <f t="shared" si="77"/>
        <v/>
      </c>
      <c r="I996" t="str">
        <f t="shared" si="78"/>
        <v/>
      </c>
      <c r="J996" t="str">
        <f t="shared" si="79"/>
        <v/>
      </c>
      <c r="K996" t="str">
        <f>IF($A996="","",IF(COUNTIF($B$2:$B996,$B996)=COUNTIF($B$2:$B$1601,$B996),$B996,""))</f>
        <v/>
      </c>
    </row>
    <row r="997" spans="1:11">
      <c r="A997" t="str">
        <f>IF('TMP Paste'!$E997="","",'TMP Paste'!$E997)</f>
        <v/>
      </c>
      <c r="B997" t="str">
        <f>IF($A997="","",COUNTIF('TMP Paste'!$B$2:$B997,"?*"))</f>
        <v/>
      </c>
      <c r="C997" t="str">
        <f>IF($A997="","",IFERROR('TMP Paste'!$M997*1,0))</f>
        <v/>
      </c>
      <c r="D997" t="str">
        <f>IF($A997="","",SUMIF($B$2:$B997,$B997,$C$2:$C997))</f>
        <v/>
      </c>
      <c r="E997">
        <f>IF($A997="",0,IF('TMP Paste'!$B997="",0,1))</f>
        <v>0</v>
      </c>
      <c r="F997" t="str">
        <f t="shared" si="75"/>
        <v/>
      </c>
      <c r="G997" t="str">
        <f t="shared" si="76"/>
        <v/>
      </c>
      <c r="H997" t="str">
        <f t="shared" si="77"/>
        <v/>
      </c>
      <c r="I997" t="str">
        <f t="shared" si="78"/>
        <v/>
      </c>
      <c r="J997" t="str">
        <f t="shared" si="79"/>
        <v/>
      </c>
      <c r="K997" t="str">
        <f>IF($A997="","",IF(COUNTIF($B$2:$B997,$B997)=COUNTIF($B$2:$B$1601,$B997),$B997,""))</f>
        <v/>
      </c>
    </row>
    <row r="998" spans="1:11">
      <c r="A998" t="str">
        <f>IF('TMP Paste'!$E998="","",'TMP Paste'!$E998)</f>
        <v/>
      </c>
      <c r="B998" t="str">
        <f>IF($A998="","",COUNTIF('TMP Paste'!$B$2:$B998,"?*"))</f>
        <v/>
      </c>
      <c r="C998" t="str">
        <f>IF($A998="","",IFERROR('TMP Paste'!$M998*1,0))</f>
        <v/>
      </c>
      <c r="D998" t="str">
        <f>IF($A998="","",SUMIF($B$2:$B998,$B998,$C$2:$C998))</f>
        <v/>
      </c>
      <c r="E998">
        <f>IF($A998="",0,IF('TMP Paste'!$B998="",0,1))</f>
        <v>0</v>
      </c>
      <c r="F998" t="str">
        <f t="shared" si="75"/>
        <v/>
      </c>
      <c r="G998" t="str">
        <f t="shared" si="76"/>
        <v/>
      </c>
      <c r="H998" t="str">
        <f t="shared" si="77"/>
        <v/>
      </c>
      <c r="I998" t="str">
        <f t="shared" si="78"/>
        <v/>
      </c>
      <c r="J998" t="str">
        <f t="shared" si="79"/>
        <v/>
      </c>
      <c r="K998" t="str">
        <f>IF($A998="","",IF(COUNTIF($B$2:$B998,$B998)=COUNTIF($B$2:$B$1601,$B998),$B998,""))</f>
        <v/>
      </c>
    </row>
    <row r="999" spans="1:11">
      <c r="A999" t="str">
        <f>IF('TMP Paste'!$E999="","",'TMP Paste'!$E999)</f>
        <v/>
      </c>
      <c r="B999" t="str">
        <f>IF($A999="","",COUNTIF('TMP Paste'!$B$2:$B999,"?*"))</f>
        <v/>
      </c>
      <c r="C999" t="str">
        <f>IF($A999="","",IFERROR('TMP Paste'!$M999*1,0))</f>
        <v/>
      </c>
      <c r="D999" t="str">
        <f>IF($A999="","",SUMIF($B$2:$B999,$B999,$C$2:$C999))</f>
        <v/>
      </c>
      <c r="E999">
        <f>IF($A999="",0,IF('TMP Paste'!$B999="",0,1))</f>
        <v>0</v>
      </c>
      <c r="F999" t="str">
        <f t="shared" si="75"/>
        <v/>
      </c>
      <c r="G999" t="str">
        <f t="shared" si="76"/>
        <v/>
      </c>
      <c r="H999" t="str">
        <f t="shared" si="77"/>
        <v/>
      </c>
      <c r="I999" t="str">
        <f t="shared" si="78"/>
        <v/>
      </c>
      <c r="J999" t="str">
        <f t="shared" si="79"/>
        <v/>
      </c>
      <c r="K999" t="str">
        <f>IF($A999="","",IF(COUNTIF($B$2:$B999,$B999)=COUNTIF($B$2:$B$1601,$B999),$B999,""))</f>
        <v/>
      </c>
    </row>
    <row r="1000" spans="1:11">
      <c r="A1000" t="str">
        <f>IF('TMP Paste'!$E1000="","",'TMP Paste'!$E1000)</f>
        <v/>
      </c>
      <c r="B1000" t="str">
        <f>IF($A1000="","",COUNTIF('TMP Paste'!$B$2:$B1000,"?*"))</f>
        <v/>
      </c>
      <c r="C1000" t="str">
        <f>IF($A1000="","",IFERROR('TMP Paste'!$M1000*1,0))</f>
        <v/>
      </c>
      <c r="D1000" t="str">
        <f>IF($A1000="","",SUMIF($B$2:$B1000,$B1000,$C$2:$C1000))</f>
        <v/>
      </c>
      <c r="E1000">
        <f>IF($A1000="",0,IF('TMP Paste'!$B1000="",0,1))</f>
        <v>0</v>
      </c>
      <c r="F1000" t="str">
        <f t="shared" si="75"/>
        <v/>
      </c>
      <c r="G1000" t="str">
        <f t="shared" si="76"/>
        <v/>
      </c>
      <c r="H1000" t="str">
        <f t="shared" si="77"/>
        <v/>
      </c>
      <c r="I1000" t="str">
        <f t="shared" si="78"/>
        <v/>
      </c>
      <c r="J1000" t="str">
        <f t="shared" si="79"/>
        <v/>
      </c>
      <c r="K1000" t="str">
        <f>IF($A1000="","",IF(COUNTIF($B$2:$B1000,$B1000)=COUNTIF($B$2:$B$1601,$B1000),$B1000,""))</f>
        <v/>
      </c>
    </row>
    <row r="1001" spans="1:11">
      <c r="A1001" t="str">
        <f>IF('TMP Paste'!$E1001="","",'TMP Paste'!$E1001)</f>
        <v/>
      </c>
      <c r="B1001" t="str">
        <f>IF($A1001="","",COUNTIF('TMP Paste'!$B$2:$B1001,"?*"))</f>
        <v/>
      </c>
      <c r="C1001" t="str">
        <f>IF($A1001="","",IFERROR('TMP Paste'!$M1001*1,0))</f>
        <v/>
      </c>
      <c r="D1001" t="str">
        <f>IF($A1001="","",SUMIF($B$2:$B1001,$B1001,$C$2:$C1001))</f>
        <v/>
      </c>
      <c r="E1001">
        <f>IF($A1001="",0,IF('TMP Paste'!$B1001="",0,1))</f>
        <v>0</v>
      </c>
      <c r="F1001" t="str">
        <f t="shared" si="75"/>
        <v/>
      </c>
      <c r="G1001" t="str">
        <f t="shared" si="76"/>
        <v/>
      </c>
      <c r="H1001" t="str">
        <f t="shared" si="77"/>
        <v/>
      </c>
      <c r="I1001" t="str">
        <f t="shared" si="78"/>
        <v/>
      </c>
      <c r="J1001" t="str">
        <f t="shared" si="79"/>
        <v/>
      </c>
      <c r="K1001" t="str">
        <f>IF($A1001="","",IF(COUNTIF($B$2:$B1001,$B1001)=COUNTIF($B$2:$B$1601,$B1001),$B1001,""))</f>
        <v/>
      </c>
    </row>
    <row r="1002" spans="1:11">
      <c r="A1002" t="str">
        <f>IF('TMP Paste'!$E1002="","",'TMP Paste'!$E1002)</f>
        <v/>
      </c>
      <c r="B1002" t="str">
        <f>IF($A1002="","",COUNTIF('TMP Paste'!$B$2:$B1002,"?*"))</f>
        <v/>
      </c>
      <c r="C1002" t="str">
        <f>IF($A1002="","",IFERROR('TMP Paste'!$M1002*1,0))</f>
        <v/>
      </c>
      <c r="D1002" t="str">
        <f>IF($A1002="","",SUMIF($B$2:$B1002,$B1002,$C$2:$C1002))</f>
        <v/>
      </c>
      <c r="E1002">
        <f>IF($A1002="",0,IF('TMP Paste'!$B1002="",0,1))</f>
        <v>0</v>
      </c>
      <c r="F1002" t="str">
        <f t="shared" si="75"/>
        <v/>
      </c>
      <c r="G1002" t="str">
        <f t="shared" si="76"/>
        <v/>
      </c>
      <c r="H1002" t="str">
        <f t="shared" si="77"/>
        <v/>
      </c>
      <c r="I1002" t="str">
        <f t="shared" si="78"/>
        <v/>
      </c>
      <c r="J1002" t="str">
        <f t="shared" si="79"/>
        <v/>
      </c>
      <c r="K1002" t="str">
        <f>IF($A1002="","",IF(COUNTIF($B$2:$B1002,$B1002)=COUNTIF($B$2:$B$1601,$B1002),$B1002,""))</f>
        <v/>
      </c>
    </row>
    <row r="1003" spans="1:11">
      <c r="A1003" t="str">
        <f>IF('TMP Paste'!$E1003="","",'TMP Paste'!$E1003)</f>
        <v/>
      </c>
      <c r="B1003" t="str">
        <f>IF($A1003="","",COUNTIF('TMP Paste'!$B$2:$B1003,"?*"))</f>
        <v/>
      </c>
      <c r="C1003" t="str">
        <f>IF($A1003="","",IFERROR('TMP Paste'!$M1003*1,0))</f>
        <v/>
      </c>
      <c r="D1003" t="str">
        <f>IF($A1003="","",SUMIF($B$2:$B1003,$B1003,$C$2:$C1003))</f>
        <v/>
      </c>
      <c r="E1003">
        <f>IF($A1003="",0,IF('TMP Paste'!$B1003="",0,1))</f>
        <v>0</v>
      </c>
      <c r="F1003" t="str">
        <f t="shared" si="75"/>
        <v/>
      </c>
      <c r="G1003" t="str">
        <f t="shared" si="76"/>
        <v/>
      </c>
      <c r="H1003" t="str">
        <f t="shared" si="77"/>
        <v/>
      </c>
      <c r="I1003" t="str">
        <f t="shared" si="78"/>
        <v/>
      </c>
      <c r="J1003" t="str">
        <f t="shared" si="79"/>
        <v/>
      </c>
      <c r="K1003" t="str">
        <f>IF($A1003="","",IF(COUNTIF($B$2:$B1003,$B1003)=COUNTIF($B$2:$B$1601,$B1003),$B1003,""))</f>
        <v/>
      </c>
    </row>
    <row r="1004" spans="1:11">
      <c r="A1004" t="str">
        <f>IF('TMP Paste'!$E1004="","",'TMP Paste'!$E1004)</f>
        <v/>
      </c>
      <c r="B1004" t="str">
        <f>IF($A1004="","",COUNTIF('TMP Paste'!$B$2:$B1004,"?*"))</f>
        <v/>
      </c>
      <c r="C1004" t="str">
        <f>IF($A1004="","",IFERROR('TMP Paste'!$M1004*1,0))</f>
        <v/>
      </c>
      <c r="D1004" t="str">
        <f>IF($A1004="","",SUMIF($B$2:$B1004,$B1004,$C$2:$C1004))</f>
        <v/>
      </c>
      <c r="E1004">
        <f>IF($A1004="",0,IF('TMP Paste'!$B1004="",0,1))</f>
        <v>0</v>
      </c>
      <c r="F1004" t="str">
        <f t="shared" si="75"/>
        <v/>
      </c>
      <c r="G1004" t="str">
        <f t="shared" si="76"/>
        <v/>
      </c>
      <c r="H1004" t="str">
        <f t="shared" si="77"/>
        <v/>
      </c>
      <c r="I1004" t="str">
        <f t="shared" si="78"/>
        <v/>
      </c>
      <c r="J1004" t="str">
        <f t="shared" si="79"/>
        <v/>
      </c>
      <c r="K1004" t="str">
        <f>IF($A1004="","",IF(COUNTIF($B$2:$B1004,$B1004)=COUNTIF($B$2:$B$1601,$B1004),$B1004,""))</f>
        <v/>
      </c>
    </row>
    <row r="1005" spans="1:11">
      <c r="A1005" t="str">
        <f>IF('TMP Paste'!$E1005="","",'TMP Paste'!$E1005)</f>
        <v/>
      </c>
      <c r="B1005" t="str">
        <f>IF($A1005="","",COUNTIF('TMP Paste'!$B$2:$B1005,"?*"))</f>
        <v/>
      </c>
      <c r="C1005" t="str">
        <f>IF($A1005="","",IFERROR('TMP Paste'!$M1005*1,0))</f>
        <v/>
      </c>
      <c r="D1005" t="str">
        <f>IF($A1005="","",SUMIF($B$2:$B1005,$B1005,$C$2:$C1005))</f>
        <v/>
      </c>
      <c r="E1005">
        <f>IF($A1005="",0,IF('TMP Paste'!$B1005="",0,1))</f>
        <v>0</v>
      </c>
      <c r="F1005" t="str">
        <f t="shared" si="75"/>
        <v/>
      </c>
      <c r="G1005" t="str">
        <f t="shared" si="76"/>
        <v/>
      </c>
      <c r="H1005" t="str">
        <f t="shared" si="77"/>
        <v/>
      </c>
      <c r="I1005" t="str">
        <f t="shared" si="78"/>
        <v/>
      </c>
      <c r="J1005" t="str">
        <f t="shared" si="79"/>
        <v/>
      </c>
      <c r="K1005" t="str">
        <f>IF($A1005="","",IF(COUNTIF($B$2:$B1005,$B1005)=COUNTIF($B$2:$B$1601,$B1005),$B1005,""))</f>
        <v/>
      </c>
    </row>
    <row r="1006" spans="1:11">
      <c r="A1006" t="str">
        <f>IF('TMP Paste'!$E1006="","",'TMP Paste'!$E1006)</f>
        <v/>
      </c>
      <c r="B1006" t="str">
        <f>IF($A1006="","",COUNTIF('TMP Paste'!$B$2:$B1006,"?*"))</f>
        <v/>
      </c>
      <c r="C1006" t="str">
        <f>IF($A1006="","",IFERROR('TMP Paste'!$M1006*1,0))</f>
        <v/>
      </c>
      <c r="D1006" t="str">
        <f>IF($A1006="","",SUMIF($B$2:$B1006,$B1006,$C$2:$C1006))</f>
        <v/>
      </c>
      <c r="E1006">
        <f>IF($A1006="",0,IF('TMP Paste'!$B1006="",0,1))</f>
        <v>0</v>
      </c>
      <c r="F1006" t="str">
        <f t="shared" si="75"/>
        <v/>
      </c>
      <c r="G1006" t="str">
        <f t="shared" si="76"/>
        <v/>
      </c>
      <c r="H1006" t="str">
        <f t="shared" si="77"/>
        <v/>
      </c>
      <c r="I1006" t="str">
        <f t="shared" si="78"/>
        <v/>
      </c>
      <c r="J1006" t="str">
        <f t="shared" si="79"/>
        <v/>
      </c>
      <c r="K1006" t="str">
        <f>IF($A1006="","",IF(COUNTIF($B$2:$B1006,$B1006)=COUNTIF($B$2:$B$1601,$B1006),$B1006,""))</f>
        <v/>
      </c>
    </row>
    <row r="1007" spans="1:11">
      <c r="A1007" t="str">
        <f>IF('TMP Paste'!$E1007="","",'TMP Paste'!$E1007)</f>
        <v/>
      </c>
      <c r="B1007" t="str">
        <f>IF($A1007="","",COUNTIF('TMP Paste'!$B$2:$B1007,"?*"))</f>
        <v/>
      </c>
      <c r="C1007" t="str">
        <f>IF($A1007="","",IFERROR('TMP Paste'!$M1007*1,0))</f>
        <v/>
      </c>
      <c r="D1007" t="str">
        <f>IF($A1007="","",SUMIF($B$2:$B1007,$B1007,$C$2:$C1007))</f>
        <v/>
      </c>
      <c r="E1007">
        <f>IF($A1007="",0,IF('TMP Paste'!$B1007="",0,1))</f>
        <v>0</v>
      </c>
      <c r="F1007" t="str">
        <f t="shared" si="75"/>
        <v/>
      </c>
      <c r="G1007" t="str">
        <f t="shared" si="76"/>
        <v/>
      </c>
      <c r="H1007" t="str">
        <f t="shared" si="77"/>
        <v/>
      </c>
      <c r="I1007" t="str">
        <f t="shared" si="78"/>
        <v/>
      </c>
      <c r="J1007" t="str">
        <f t="shared" si="79"/>
        <v/>
      </c>
      <c r="K1007" t="str">
        <f>IF($A1007="","",IF(COUNTIF($B$2:$B1007,$B1007)=COUNTIF($B$2:$B$1601,$B1007),$B1007,""))</f>
        <v/>
      </c>
    </row>
    <row r="1008" spans="1:11">
      <c r="A1008" t="str">
        <f>IF('TMP Paste'!$E1008="","",'TMP Paste'!$E1008)</f>
        <v/>
      </c>
      <c r="B1008" t="str">
        <f>IF($A1008="","",COUNTIF('TMP Paste'!$B$2:$B1008,"?*"))</f>
        <v/>
      </c>
      <c r="C1008" t="str">
        <f>IF($A1008="","",IFERROR('TMP Paste'!$M1008*1,0))</f>
        <v/>
      </c>
      <c r="D1008" t="str">
        <f>IF($A1008="","",SUMIF($B$2:$B1008,$B1008,$C$2:$C1008))</f>
        <v/>
      </c>
      <c r="E1008">
        <f>IF($A1008="",0,IF('TMP Paste'!$B1008="",0,1))</f>
        <v>0</v>
      </c>
      <c r="F1008" t="str">
        <f t="shared" si="75"/>
        <v/>
      </c>
      <c r="G1008" t="str">
        <f t="shared" si="76"/>
        <v/>
      </c>
      <c r="H1008" t="str">
        <f t="shared" si="77"/>
        <v/>
      </c>
      <c r="I1008" t="str">
        <f t="shared" si="78"/>
        <v/>
      </c>
      <c r="J1008" t="str">
        <f t="shared" si="79"/>
        <v/>
      </c>
      <c r="K1008" t="str">
        <f>IF($A1008="","",IF(COUNTIF($B$2:$B1008,$B1008)=COUNTIF($B$2:$B$1601,$B1008),$B1008,""))</f>
        <v/>
      </c>
    </row>
    <row r="1009" spans="1:11">
      <c r="A1009" t="str">
        <f>IF('TMP Paste'!$E1009="","",'TMP Paste'!$E1009)</f>
        <v/>
      </c>
      <c r="B1009" t="str">
        <f>IF($A1009="","",COUNTIF('TMP Paste'!$B$2:$B1009,"?*"))</f>
        <v/>
      </c>
      <c r="C1009" t="str">
        <f>IF($A1009="","",IFERROR('TMP Paste'!$M1009*1,0))</f>
        <v/>
      </c>
      <c r="D1009" t="str">
        <f>IF($A1009="","",SUMIF($B$2:$B1009,$B1009,$C$2:$C1009))</f>
        <v/>
      </c>
      <c r="E1009">
        <f>IF($A1009="",0,IF('TMP Paste'!$B1009="",0,1))</f>
        <v>0</v>
      </c>
      <c r="F1009" t="str">
        <f t="shared" si="75"/>
        <v/>
      </c>
      <c r="G1009" t="str">
        <f t="shared" si="76"/>
        <v/>
      </c>
      <c r="H1009" t="str">
        <f t="shared" si="77"/>
        <v/>
      </c>
      <c r="I1009" t="str">
        <f t="shared" si="78"/>
        <v/>
      </c>
      <c r="J1009" t="str">
        <f t="shared" si="79"/>
        <v/>
      </c>
      <c r="K1009" t="str">
        <f>IF($A1009="","",IF(COUNTIF($B$2:$B1009,$B1009)=COUNTIF($B$2:$B$1601,$B1009),$B1009,""))</f>
        <v/>
      </c>
    </row>
    <row r="1010" spans="1:11">
      <c r="A1010" t="str">
        <f>IF('TMP Paste'!$E1010="","",'TMP Paste'!$E1010)</f>
        <v/>
      </c>
      <c r="B1010" t="str">
        <f>IF($A1010="","",COUNTIF('TMP Paste'!$B$2:$B1010,"?*"))</f>
        <v/>
      </c>
      <c r="C1010" t="str">
        <f>IF($A1010="","",IFERROR('TMP Paste'!$M1010*1,0))</f>
        <v/>
      </c>
      <c r="D1010" t="str">
        <f>IF($A1010="","",SUMIF($B$2:$B1010,$B1010,$C$2:$C1010))</f>
        <v/>
      </c>
      <c r="E1010">
        <f>IF($A1010="",0,IF('TMP Paste'!$B1010="",0,1))</f>
        <v>0</v>
      </c>
      <c r="F1010" t="str">
        <f t="shared" si="75"/>
        <v/>
      </c>
      <c r="G1010" t="str">
        <f t="shared" si="76"/>
        <v/>
      </c>
      <c r="H1010" t="str">
        <f t="shared" si="77"/>
        <v/>
      </c>
      <c r="I1010" t="str">
        <f t="shared" si="78"/>
        <v/>
      </c>
      <c r="J1010" t="str">
        <f t="shared" si="79"/>
        <v/>
      </c>
      <c r="K1010" t="str">
        <f>IF($A1010="","",IF(COUNTIF($B$2:$B1010,$B1010)=COUNTIF($B$2:$B$1601,$B1010),$B1010,""))</f>
        <v/>
      </c>
    </row>
    <row r="1011" spans="1:11">
      <c r="A1011" t="str">
        <f>IF('TMP Paste'!$E1011="","",'TMP Paste'!$E1011)</f>
        <v/>
      </c>
      <c r="B1011" t="str">
        <f>IF($A1011="","",COUNTIF('TMP Paste'!$B$2:$B1011,"?*"))</f>
        <v/>
      </c>
      <c r="C1011" t="str">
        <f>IF($A1011="","",IFERROR('TMP Paste'!$M1011*1,0))</f>
        <v/>
      </c>
      <c r="D1011" t="str">
        <f>IF($A1011="","",SUMIF($B$2:$B1011,$B1011,$C$2:$C1011))</f>
        <v/>
      </c>
      <c r="E1011">
        <f>IF($A1011="",0,IF('TMP Paste'!$B1011="",0,1))</f>
        <v>0</v>
      </c>
      <c r="F1011" t="str">
        <f t="shared" si="75"/>
        <v/>
      </c>
      <c r="G1011" t="str">
        <f t="shared" si="76"/>
        <v/>
      </c>
      <c r="H1011" t="str">
        <f t="shared" si="77"/>
        <v/>
      </c>
      <c r="I1011" t="str">
        <f t="shared" si="78"/>
        <v/>
      </c>
      <c r="J1011" t="str">
        <f t="shared" si="79"/>
        <v/>
      </c>
      <c r="K1011" t="str">
        <f>IF($A1011="","",IF(COUNTIF($B$2:$B1011,$B1011)=COUNTIF($B$2:$B$1601,$B1011),$B1011,""))</f>
        <v/>
      </c>
    </row>
    <row r="1012" spans="1:11">
      <c r="A1012" t="str">
        <f>IF('TMP Paste'!$E1012="","",'TMP Paste'!$E1012)</f>
        <v/>
      </c>
      <c r="B1012" t="str">
        <f>IF($A1012="","",COUNTIF('TMP Paste'!$B$2:$B1012,"?*"))</f>
        <v/>
      </c>
      <c r="C1012" t="str">
        <f>IF($A1012="","",IFERROR('TMP Paste'!$M1012*1,0))</f>
        <v/>
      </c>
      <c r="D1012" t="str">
        <f>IF($A1012="","",SUMIF($B$2:$B1012,$B1012,$C$2:$C1012))</f>
        <v/>
      </c>
      <c r="E1012">
        <f>IF($A1012="",0,IF('TMP Paste'!$B1012="",0,1))</f>
        <v>0</v>
      </c>
      <c r="F1012" t="str">
        <f t="shared" si="75"/>
        <v/>
      </c>
      <c r="G1012" t="str">
        <f t="shared" si="76"/>
        <v/>
      </c>
      <c r="H1012" t="str">
        <f t="shared" si="77"/>
        <v/>
      </c>
      <c r="I1012" t="str">
        <f t="shared" si="78"/>
        <v/>
      </c>
      <c r="J1012" t="str">
        <f t="shared" si="79"/>
        <v/>
      </c>
      <c r="K1012" t="str">
        <f>IF($A1012="","",IF(COUNTIF($B$2:$B1012,$B1012)=COUNTIF($B$2:$B$1601,$B1012),$B1012,""))</f>
        <v/>
      </c>
    </row>
    <row r="1013" spans="1:11">
      <c r="A1013" t="str">
        <f>IF('TMP Paste'!$E1013="","",'TMP Paste'!$E1013)</f>
        <v/>
      </c>
      <c r="B1013" t="str">
        <f>IF($A1013="","",COUNTIF('TMP Paste'!$B$2:$B1013,"?*"))</f>
        <v/>
      </c>
      <c r="C1013" t="str">
        <f>IF($A1013="","",IFERROR('TMP Paste'!$M1013*1,0))</f>
        <v/>
      </c>
      <c r="D1013" t="str">
        <f>IF($A1013="","",SUMIF($B$2:$B1013,$B1013,$C$2:$C1013))</f>
        <v/>
      </c>
      <c r="E1013">
        <f>IF($A1013="",0,IF('TMP Paste'!$B1013="",0,1))</f>
        <v>0</v>
      </c>
      <c r="F1013" t="str">
        <f t="shared" si="75"/>
        <v/>
      </c>
      <c r="G1013" t="str">
        <f t="shared" si="76"/>
        <v/>
      </c>
      <c r="H1013" t="str">
        <f t="shared" si="77"/>
        <v/>
      </c>
      <c r="I1013" t="str">
        <f t="shared" si="78"/>
        <v/>
      </c>
      <c r="J1013" t="str">
        <f t="shared" si="79"/>
        <v/>
      </c>
      <c r="K1013" t="str">
        <f>IF($A1013="","",IF(COUNTIF($B$2:$B1013,$B1013)=COUNTIF($B$2:$B$1601,$B1013),$B1013,""))</f>
        <v/>
      </c>
    </row>
    <row r="1014" spans="1:11">
      <c r="A1014" t="str">
        <f>IF('TMP Paste'!$E1014="","",'TMP Paste'!$E1014)</f>
        <v/>
      </c>
      <c r="B1014" t="str">
        <f>IF($A1014="","",COUNTIF('TMP Paste'!$B$2:$B1014,"?*"))</f>
        <v/>
      </c>
      <c r="C1014" t="str">
        <f>IF($A1014="","",IFERROR('TMP Paste'!$M1014*1,0))</f>
        <v/>
      </c>
      <c r="D1014" t="str">
        <f>IF($A1014="","",SUMIF($B$2:$B1014,$B1014,$C$2:$C1014))</f>
        <v/>
      </c>
      <c r="E1014">
        <f>IF($A1014="",0,IF('TMP Paste'!$B1014="",0,1))</f>
        <v>0</v>
      </c>
      <c r="F1014" t="str">
        <f t="shared" si="75"/>
        <v/>
      </c>
      <c r="G1014" t="str">
        <f t="shared" si="76"/>
        <v/>
      </c>
      <c r="H1014" t="str">
        <f t="shared" si="77"/>
        <v/>
      </c>
      <c r="I1014" t="str">
        <f t="shared" si="78"/>
        <v/>
      </c>
      <c r="J1014" t="str">
        <f t="shared" si="79"/>
        <v/>
      </c>
      <c r="K1014" t="str">
        <f>IF($A1014="","",IF(COUNTIF($B$2:$B1014,$B1014)=COUNTIF($B$2:$B$1601,$B1014),$B1014,""))</f>
        <v/>
      </c>
    </row>
    <row r="1015" spans="1:11">
      <c r="A1015" t="str">
        <f>IF('TMP Paste'!$E1015="","",'TMP Paste'!$E1015)</f>
        <v/>
      </c>
      <c r="B1015" t="str">
        <f>IF($A1015="","",COUNTIF('TMP Paste'!$B$2:$B1015,"?*"))</f>
        <v/>
      </c>
      <c r="C1015" t="str">
        <f>IF($A1015="","",IFERROR('TMP Paste'!$M1015*1,0))</f>
        <v/>
      </c>
      <c r="D1015" t="str">
        <f>IF($A1015="","",SUMIF($B$2:$B1015,$B1015,$C$2:$C1015))</f>
        <v/>
      </c>
      <c r="E1015">
        <f>IF($A1015="",0,IF('TMP Paste'!$B1015="",0,1))</f>
        <v>0</v>
      </c>
      <c r="F1015" t="str">
        <f t="shared" si="75"/>
        <v/>
      </c>
      <c r="G1015" t="str">
        <f t="shared" si="76"/>
        <v/>
      </c>
      <c r="H1015" t="str">
        <f t="shared" si="77"/>
        <v/>
      </c>
      <c r="I1015" t="str">
        <f t="shared" si="78"/>
        <v/>
      </c>
      <c r="J1015" t="str">
        <f t="shared" si="79"/>
        <v/>
      </c>
      <c r="K1015" t="str">
        <f>IF($A1015="","",IF(COUNTIF($B$2:$B1015,$B1015)=COUNTIF($B$2:$B$1601,$B1015),$B1015,""))</f>
        <v/>
      </c>
    </row>
    <row r="1016" spans="1:11">
      <c r="A1016" t="str">
        <f>IF('TMP Paste'!$E1016="","",'TMP Paste'!$E1016)</f>
        <v/>
      </c>
      <c r="B1016" t="str">
        <f>IF($A1016="","",COUNTIF('TMP Paste'!$B$2:$B1016,"?*"))</f>
        <v/>
      </c>
      <c r="C1016" t="str">
        <f>IF($A1016="","",IFERROR('TMP Paste'!$M1016*1,0))</f>
        <v/>
      </c>
      <c r="D1016" t="str">
        <f>IF($A1016="","",SUMIF($B$2:$B1016,$B1016,$C$2:$C1016))</f>
        <v/>
      </c>
      <c r="E1016">
        <f>IF($A1016="",0,IF('TMP Paste'!$B1016="",0,1))</f>
        <v>0</v>
      </c>
      <c r="F1016" t="str">
        <f t="shared" si="75"/>
        <v/>
      </c>
      <c r="G1016" t="str">
        <f t="shared" si="76"/>
        <v/>
      </c>
      <c r="H1016" t="str">
        <f t="shared" si="77"/>
        <v/>
      </c>
      <c r="I1016" t="str">
        <f t="shared" si="78"/>
        <v/>
      </c>
      <c r="J1016" t="str">
        <f t="shared" si="79"/>
        <v/>
      </c>
      <c r="K1016" t="str">
        <f>IF($A1016="","",IF(COUNTIF($B$2:$B1016,$B1016)=COUNTIF($B$2:$B$1601,$B1016),$B1016,""))</f>
        <v/>
      </c>
    </row>
    <row r="1017" spans="1:11">
      <c r="A1017" t="str">
        <f>IF('TMP Paste'!$E1017="","",'TMP Paste'!$E1017)</f>
        <v/>
      </c>
      <c r="B1017" t="str">
        <f>IF($A1017="","",COUNTIF('TMP Paste'!$B$2:$B1017,"?*"))</f>
        <v/>
      </c>
      <c r="C1017" t="str">
        <f>IF($A1017="","",IFERROR('TMP Paste'!$M1017*1,0))</f>
        <v/>
      </c>
      <c r="D1017" t="str">
        <f>IF($A1017="","",SUMIF($B$2:$B1017,$B1017,$C$2:$C1017))</f>
        <v/>
      </c>
      <c r="E1017">
        <f>IF($A1017="",0,IF('TMP Paste'!$B1017="",0,1))</f>
        <v>0</v>
      </c>
      <c r="F1017" t="str">
        <f t="shared" si="75"/>
        <v/>
      </c>
      <c r="G1017" t="str">
        <f t="shared" si="76"/>
        <v/>
      </c>
      <c r="H1017" t="str">
        <f t="shared" si="77"/>
        <v/>
      </c>
      <c r="I1017" t="str">
        <f t="shared" si="78"/>
        <v/>
      </c>
      <c r="J1017" t="str">
        <f t="shared" si="79"/>
        <v/>
      </c>
      <c r="K1017" t="str">
        <f>IF($A1017="","",IF(COUNTIF($B$2:$B1017,$B1017)=COUNTIF($B$2:$B$1601,$B1017),$B1017,""))</f>
        <v/>
      </c>
    </row>
    <row r="1018" spans="1:11">
      <c r="A1018" t="str">
        <f>IF('TMP Paste'!$E1018="","",'TMP Paste'!$E1018)</f>
        <v/>
      </c>
      <c r="B1018" t="str">
        <f>IF($A1018="","",COUNTIF('TMP Paste'!$B$2:$B1018,"?*"))</f>
        <v/>
      </c>
      <c r="C1018" t="str">
        <f>IF($A1018="","",IFERROR('TMP Paste'!$M1018*1,0))</f>
        <v/>
      </c>
      <c r="D1018" t="str">
        <f>IF($A1018="","",SUMIF($B$2:$B1018,$B1018,$C$2:$C1018))</f>
        <v/>
      </c>
      <c r="E1018">
        <f>IF($A1018="",0,IF('TMP Paste'!$B1018="",0,1))</f>
        <v>0</v>
      </c>
      <c r="F1018" t="str">
        <f t="shared" si="75"/>
        <v/>
      </c>
      <c r="G1018" t="str">
        <f t="shared" si="76"/>
        <v/>
      </c>
      <c r="H1018" t="str">
        <f t="shared" si="77"/>
        <v/>
      </c>
      <c r="I1018" t="str">
        <f t="shared" si="78"/>
        <v/>
      </c>
      <c r="J1018" t="str">
        <f t="shared" si="79"/>
        <v/>
      </c>
      <c r="K1018" t="str">
        <f>IF($A1018="","",IF(COUNTIF($B$2:$B1018,$B1018)=COUNTIF($B$2:$B$1601,$B1018),$B1018,""))</f>
        <v/>
      </c>
    </row>
    <row r="1019" spans="1:11">
      <c r="A1019" t="str">
        <f>IF('TMP Paste'!$E1019="","",'TMP Paste'!$E1019)</f>
        <v/>
      </c>
      <c r="B1019" t="str">
        <f>IF($A1019="","",COUNTIF('TMP Paste'!$B$2:$B1019,"?*"))</f>
        <v/>
      </c>
      <c r="C1019" t="str">
        <f>IF($A1019="","",IFERROR('TMP Paste'!$M1019*1,0))</f>
        <v/>
      </c>
      <c r="D1019" t="str">
        <f>IF($A1019="","",SUMIF($B$2:$B1019,$B1019,$C$2:$C1019))</f>
        <v/>
      </c>
      <c r="E1019">
        <f>IF($A1019="",0,IF('TMP Paste'!$B1019="",0,1))</f>
        <v>0</v>
      </c>
      <c r="F1019" t="str">
        <f t="shared" si="75"/>
        <v/>
      </c>
      <c r="G1019" t="str">
        <f t="shared" si="76"/>
        <v/>
      </c>
      <c r="H1019" t="str">
        <f t="shared" si="77"/>
        <v/>
      </c>
      <c r="I1019" t="str">
        <f t="shared" si="78"/>
        <v/>
      </c>
      <c r="J1019" t="str">
        <f t="shared" si="79"/>
        <v/>
      </c>
      <c r="K1019" t="str">
        <f>IF($A1019="","",IF(COUNTIF($B$2:$B1019,$B1019)=COUNTIF($B$2:$B$1601,$B1019),$B1019,""))</f>
        <v/>
      </c>
    </row>
    <row r="1020" spans="1:11">
      <c r="A1020" t="str">
        <f>IF('TMP Paste'!$E1020="","",'TMP Paste'!$E1020)</f>
        <v/>
      </c>
      <c r="B1020" t="str">
        <f>IF($A1020="","",COUNTIF('TMP Paste'!$B$2:$B1020,"?*"))</f>
        <v/>
      </c>
      <c r="C1020" t="str">
        <f>IF($A1020="","",IFERROR('TMP Paste'!$M1020*1,0))</f>
        <v/>
      </c>
      <c r="D1020" t="str">
        <f>IF($A1020="","",SUMIF($B$2:$B1020,$B1020,$C$2:$C1020))</f>
        <v/>
      </c>
      <c r="E1020">
        <f>IF($A1020="",0,IF('TMP Paste'!$B1020="",0,1))</f>
        <v>0</v>
      </c>
      <c r="F1020" t="str">
        <f t="shared" si="75"/>
        <v/>
      </c>
      <c r="G1020" t="str">
        <f t="shared" si="76"/>
        <v/>
      </c>
      <c r="H1020" t="str">
        <f t="shared" si="77"/>
        <v/>
      </c>
      <c r="I1020" t="str">
        <f t="shared" si="78"/>
        <v/>
      </c>
      <c r="J1020" t="str">
        <f t="shared" si="79"/>
        <v/>
      </c>
      <c r="K1020" t="str">
        <f>IF($A1020="","",IF(COUNTIF($B$2:$B1020,$B1020)=COUNTIF($B$2:$B$1601,$B1020),$B1020,""))</f>
        <v/>
      </c>
    </row>
    <row r="1021" spans="1:11">
      <c r="A1021" t="str">
        <f>IF('TMP Paste'!$E1021="","",'TMP Paste'!$E1021)</f>
        <v/>
      </c>
      <c r="B1021" t="str">
        <f>IF($A1021="","",COUNTIF('TMP Paste'!$B$2:$B1021,"?*"))</f>
        <v/>
      </c>
      <c r="C1021" t="str">
        <f>IF($A1021="","",IFERROR('TMP Paste'!$M1021*1,0))</f>
        <v/>
      </c>
      <c r="D1021" t="str">
        <f>IF($A1021="","",SUMIF($B$2:$B1021,$B1021,$C$2:$C1021))</f>
        <v/>
      </c>
      <c r="E1021">
        <f>IF($A1021="",0,IF('TMP Paste'!$B1021="",0,1))</f>
        <v>0</v>
      </c>
      <c r="F1021" t="str">
        <f t="shared" si="75"/>
        <v/>
      </c>
      <c r="G1021" t="str">
        <f t="shared" si="76"/>
        <v/>
      </c>
      <c r="H1021" t="str">
        <f t="shared" si="77"/>
        <v/>
      </c>
      <c r="I1021" t="str">
        <f t="shared" si="78"/>
        <v/>
      </c>
      <c r="J1021" t="str">
        <f t="shared" si="79"/>
        <v/>
      </c>
      <c r="K1021" t="str">
        <f>IF($A1021="","",IF(COUNTIF($B$2:$B1021,$B1021)=COUNTIF($B$2:$B$1601,$B1021),$B1021,""))</f>
        <v/>
      </c>
    </row>
    <row r="1022" spans="1:11">
      <c r="A1022" t="str">
        <f>IF('TMP Paste'!$E1022="","",'TMP Paste'!$E1022)</f>
        <v/>
      </c>
      <c r="B1022" t="str">
        <f>IF($A1022="","",COUNTIF('TMP Paste'!$B$2:$B1022,"?*"))</f>
        <v/>
      </c>
      <c r="C1022" t="str">
        <f>IF($A1022="","",IFERROR('TMP Paste'!$M1022*1,0))</f>
        <v/>
      </c>
      <c r="D1022" t="str">
        <f>IF($A1022="","",SUMIF($B$2:$B1022,$B1022,$C$2:$C1022))</f>
        <v/>
      </c>
      <c r="E1022">
        <f>IF($A1022="",0,IF('TMP Paste'!$B1022="",0,1))</f>
        <v>0</v>
      </c>
      <c r="F1022" t="str">
        <f t="shared" si="75"/>
        <v/>
      </c>
      <c r="G1022" t="str">
        <f t="shared" si="76"/>
        <v/>
      </c>
      <c r="H1022" t="str">
        <f t="shared" si="77"/>
        <v/>
      </c>
      <c r="I1022" t="str">
        <f t="shared" si="78"/>
        <v/>
      </c>
      <c r="J1022" t="str">
        <f t="shared" si="79"/>
        <v/>
      </c>
      <c r="K1022" t="str">
        <f>IF($A1022="","",IF(COUNTIF($B$2:$B1022,$B1022)=COUNTIF($B$2:$B$1601,$B1022),$B1022,""))</f>
        <v/>
      </c>
    </row>
    <row r="1023" spans="1:11">
      <c r="A1023" t="str">
        <f>IF('TMP Paste'!$E1023="","",'TMP Paste'!$E1023)</f>
        <v/>
      </c>
      <c r="B1023" t="str">
        <f>IF($A1023="","",COUNTIF('TMP Paste'!$B$2:$B1023,"?*"))</f>
        <v/>
      </c>
      <c r="C1023" t="str">
        <f>IF($A1023="","",IFERROR('TMP Paste'!$M1023*1,0))</f>
        <v/>
      </c>
      <c r="D1023" t="str">
        <f>IF($A1023="","",SUMIF($B$2:$B1023,$B1023,$C$2:$C1023))</f>
        <v/>
      </c>
      <c r="E1023">
        <f>IF($A1023="",0,IF('TMP Paste'!$B1023="",0,1))</f>
        <v>0</v>
      </c>
      <c r="F1023" t="str">
        <f t="shared" si="75"/>
        <v/>
      </c>
      <c r="G1023" t="str">
        <f t="shared" si="76"/>
        <v/>
      </c>
      <c r="H1023" t="str">
        <f t="shared" si="77"/>
        <v/>
      </c>
      <c r="I1023" t="str">
        <f t="shared" si="78"/>
        <v/>
      </c>
      <c r="J1023" t="str">
        <f t="shared" si="79"/>
        <v/>
      </c>
      <c r="K1023" t="str">
        <f>IF($A1023="","",IF(COUNTIF($B$2:$B1023,$B1023)=COUNTIF($B$2:$B$1601,$B1023),$B1023,""))</f>
        <v/>
      </c>
    </row>
    <row r="1024" spans="1:11">
      <c r="A1024" t="str">
        <f>IF('TMP Paste'!$E1024="","",'TMP Paste'!$E1024)</f>
        <v/>
      </c>
      <c r="B1024" t="str">
        <f>IF($A1024="","",COUNTIF('TMP Paste'!$B$2:$B1024,"?*"))</f>
        <v/>
      </c>
      <c r="C1024" t="str">
        <f>IF($A1024="","",IFERROR('TMP Paste'!$M1024*1,0))</f>
        <v/>
      </c>
      <c r="D1024" t="str">
        <f>IF($A1024="","",SUMIF($B$2:$B1024,$B1024,$C$2:$C1024))</f>
        <v/>
      </c>
      <c r="E1024">
        <f>IF($A1024="",0,IF('TMP Paste'!$B1024="",0,1))</f>
        <v>0</v>
      </c>
      <c r="F1024" t="str">
        <f t="shared" si="75"/>
        <v/>
      </c>
      <c r="G1024" t="str">
        <f t="shared" si="76"/>
        <v/>
      </c>
      <c r="H1024" t="str">
        <f t="shared" si="77"/>
        <v/>
      </c>
      <c r="I1024" t="str">
        <f t="shared" si="78"/>
        <v/>
      </c>
      <c r="J1024" t="str">
        <f t="shared" si="79"/>
        <v/>
      </c>
      <c r="K1024" t="str">
        <f>IF($A1024="","",IF(COUNTIF($B$2:$B1024,$B1024)=COUNTIF($B$2:$B$1601,$B1024),$B1024,""))</f>
        <v/>
      </c>
    </row>
    <row r="1025" spans="1:11">
      <c r="A1025" t="str">
        <f>IF('TMP Paste'!$E1025="","",'TMP Paste'!$E1025)</f>
        <v/>
      </c>
      <c r="B1025" t="str">
        <f>IF($A1025="","",COUNTIF('TMP Paste'!$B$2:$B1025,"?*"))</f>
        <v/>
      </c>
      <c r="C1025" t="str">
        <f>IF($A1025="","",IFERROR('TMP Paste'!$M1025*1,0))</f>
        <v/>
      </c>
      <c r="D1025" t="str">
        <f>IF($A1025="","",SUMIF($B$2:$B1025,$B1025,$C$2:$C1025))</f>
        <v/>
      </c>
      <c r="E1025">
        <f>IF($A1025="",0,IF('TMP Paste'!$B1025="",0,1))</f>
        <v>0</v>
      </c>
      <c r="F1025" t="str">
        <f t="shared" si="75"/>
        <v/>
      </c>
      <c r="G1025" t="str">
        <f t="shared" si="76"/>
        <v/>
      </c>
      <c r="H1025" t="str">
        <f t="shared" si="77"/>
        <v/>
      </c>
      <c r="I1025" t="str">
        <f t="shared" si="78"/>
        <v/>
      </c>
      <c r="J1025" t="str">
        <f t="shared" si="79"/>
        <v/>
      </c>
      <c r="K1025" t="str">
        <f>IF($A1025="","",IF(COUNTIF($B$2:$B1025,$B1025)=COUNTIF($B$2:$B$1601,$B1025),$B1025,""))</f>
        <v/>
      </c>
    </row>
    <row r="1026" spans="1:11">
      <c r="A1026" t="str">
        <f>IF('TMP Paste'!$E1026="","",'TMP Paste'!$E1026)</f>
        <v/>
      </c>
      <c r="B1026" t="str">
        <f>IF($A1026="","",COUNTIF('TMP Paste'!$B$2:$B1026,"?*"))</f>
        <v/>
      </c>
      <c r="C1026" t="str">
        <f>IF($A1026="","",IFERROR('TMP Paste'!$M1026*1,0))</f>
        <v/>
      </c>
      <c r="D1026" t="str">
        <f>IF($A1026="","",SUMIF($B$2:$B1026,$B1026,$C$2:$C1026))</f>
        <v/>
      </c>
      <c r="E1026">
        <f>IF($A1026="",0,IF('TMP Paste'!$B1026="",0,1))</f>
        <v>0</v>
      </c>
      <c r="F1026" t="str">
        <f t="shared" ref="F1026:F1089" si="80">IF(OR($A1026="",$C1026&lt;1),"",$A1026&amp;"-"&amp;TEXT(($D1026-$C1026+1),"00")&amp;IF($C1026&gt;=2,", "&amp;$A1026&amp;"-"&amp;TEXT(($D1026-$C1026+1)+1,"00"),"")&amp;IF($C1026&gt;=3,", "&amp;$A1026&amp;"-"&amp;TEXT(($D1026-$C1026+1)+2,"00"),"")&amp;IF($C1026&gt;=4,", "&amp;$A1026&amp;"-"&amp;TEXT(($D1026-$C1026+1)+3,"00"),"")&amp;IF($C1026&gt;=5,", "&amp;$A1026&amp;"-"&amp;TEXT(($D1026-$C1026+1)+4,"00"),"")&amp;IF($C1026&gt;=6,", "&amp;$A1026&amp;"-"&amp;TEXT(($D1026-$C1026+1)+5,"00"),"")&amp;IF($C1026&gt;=7,", "&amp;$A1026&amp;"-"&amp;TEXT(($D1026-$C1026+1)+6,"00"),"")&amp;IF($C1026&gt;=8,", "&amp;$A1026&amp;"-"&amp;TEXT(($D1026-$C1026+1)+7,"00"),"")&amp;IF($C1026&gt;=9,", "&amp;$A1026&amp;"-"&amp;TEXT(($D1026-$C1026+1)+8,"00"),"")&amp;IF($C1026&gt;=10,", "&amp;$A1026&amp;"-"&amp;TEXT(($D1026-$C1026+1)+9,"00"),"")&amp;IF($C1026&gt;=11,", "&amp;$A1026&amp;"-"&amp;TEXT(($D1026-$C1026+1)+10,"00"),"")&amp;IF($C1026&gt;=12,", "&amp;$A1026&amp;"-"&amp;TEXT(($D1026-$C1026+1)+11,"00"),"")&amp;IF($C1026&gt;=13,", "&amp;$A1026&amp;"-"&amp;TEXT(($D1026-$C1026+1)+12,"00"),"")&amp;IF($C1026&gt;=14,", "&amp;$A1026&amp;"-"&amp;TEXT(($D1026-$C1026+1)+13,"00"),"")&amp;IF($C1026&gt;=15,", "&amp;$A1026&amp;"-"&amp;TEXT(($D1026-$C1026+1)+14,"00"),"")&amp;IF($C1026&gt;=16,", "&amp;$A1026&amp;"-"&amp;TEXT(($D1026-$C1026+1)+15,"00"),"")&amp;IF($C1026&gt;=17,", "&amp;$A1026&amp;"-"&amp;TEXT(($D1026-$C1026+1)+16,"00"),"")&amp;IF($C1026&gt;=18,", "&amp;$A1026&amp;"-"&amp;TEXT(($D1026-$C1026+1)+17,"00"),"")&amp;IF($C1026&gt;=19,", "&amp;$A1026&amp;"-"&amp;TEXT(($D1026-$C1026+1)+18,"00"),"")&amp;IF($C1026&gt;=20,", "&amp;$A1026&amp;"-"&amp;TEXT(($D1026-$C1026+1)+19,"00"),"")&amp;IF($C1026&gt;=21,", "&amp;$A1026&amp;"-"&amp;TEXT(($D1026-$C1026+1)+20,"00"),"")&amp;IF($C1026&gt;=22,", "&amp;$A1026&amp;"-"&amp;TEXT(($D1026-$C1026+1)+21,"00"),"")&amp;IF($C1026&gt;=23,", "&amp;$A1026&amp;"-"&amp;TEXT(($D1026-$C1026+1)+22,"00"),"")&amp;IF($C1026&gt;=24,", "&amp;$A1026&amp;"-"&amp;TEXT(($D1026-$C1026+1)+23,"00"),"")&amp;IF($C1026&gt;=25,", "&amp;$A1026&amp;"-"&amp;TEXT(($D1026-$C1026+1)+24,"00"),""))</f>
        <v/>
      </c>
      <c r="G1026" t="str">
        <f t="shared" ref="G1026:G1089" si="81">IF($A1026="","",IF($E1026=1,$F1026,IF($F1026="",$G1025,IF($G1025="",$F1026,$G1025&amp;", "&amp;$F1026))))</f>
        <v/>
      </c>
      <c r="H1026" t="str">
        <f t="shared" ref="H1026:H1089" si="82">IF($A1026="","",$A1026&amp;" ("&amp;$C1026&amp;")")</f>
        <v/>
      </c>
      <c r="I1026" t="str">
        <f t="shared" ref="I1026:I1089" si="83">IF($A1026="","",IF($E1026=1,$H1026,$I1025&amp;", "&amp;$H1026))</f>
        <v/>
      </c>
      <c r="J1026" t="str">
        <f t="shared" ref="J1026:J1089" si="84">IF($A1026="","",IF($E1026=1,$B1026,""))</f>
        <v/>
      </c>
      <c r="K1026" t="str">
        <f>IF($A1026="","",IF(COUNTIF($B$2:$B1026,$B1026)=COUNTIF($B$2:$B$1601,$B1026),$B1026,""))</f>
        <v/>
      </c>
    </row>
    <row r="1027" spans="1:11">
      <c r="A1027" t="str">
        <f>IF('TMP Paste'!$E1027="","",'TMP Paste'!$E1027)</f>
        <v/>
      </c>
      <c r="B1027" t="str">
        <f>IF($A1027="","",COUNTIF('TMP Paste'!$B$2:$B1027,"?*"))</f>
        <v/>
      </c>
      <c r="C1027" t="str">
        <f>IF($A1027="","",IFERROR('TMP Paste'!$M1027*1,0))</f>
        <v/>
      </c>
      <c r="D1027" t="str">
        <f>IF($A1027="","",SUMIF($B$2:$B1027,$B1027,$C$2:$C1027))</f>
        <v/>
      </c>
      <c r="E1027">
        <f>IF($A1027="",0,IF('TMP Paste'!$B1027="",0,1))</f>
        <v>0</v>
      </c>
      <c r="F1027" t="str">
        <f t="shared" si="80"/>
        <v/>
      </c>
      <c r="G1027" t="str">
        <f t="shared" si="81"/>
        <v/>
      </c>
      <c r="H1027" t="str">
        <f t="shared" si="82"/>
        <v/>
      </c>
      <c r="I1027" t="str">
        <f t="shared" si="83"/>
        <v/>
      </c>
      <c r="J1027" t="str">
        <f t="shared" si="84"/>
        <v/>
      </c>
      <c r="K1027" t="str">
        <f>IF($A1027="","",IF(COUNTIF($B$2:$B1027,$B1027)=COUNTIF($B$2:$B$1601,$B1027),$B1027,""))</f>
        <v/>
      </c>
    </row>
    <row r="1028" spans="1:11">
      <c r="A1028" t="str">
        <f>IF('TMP Paste'!$E1028="","",'TMP Paste'!$E1028)</f>
        <v/>
      </c>
      <c r="B1028" t="str">
        <f>IF($A1028="","",COUNTIF('TMP Paste'!$B$2:$B1028,"?*"))</f>
        <v/>
      </c>
      <c r="C1028" t="str">
        <f>IF($A1028="","",IFERROR('TMP Paste'!$M1028*1,0))</f>
        <v/>
      </c>
      <c r="D1028" t="str">
        <f>IF($A1028="","",SUMIF($B$2:$B1028,$B1028,$C$2:$C1028))</f>
        <v/>
      </c>
      <c r="E1028">
        <f>IF($A1028="",0,IF('TMP Paste'!$B1028="",0,1))</f>
        <v>0</v>
      </c>
      <c r="F1028" t="str">
        <f t="shared" si="80"/>
        <v/>
      </c>
      <c r="G1028" t="str">
        <f t="shared" si="81"/>
        <v/>
      </c>
      <c r="H1028" t="str">
        <f t="shared" si="82"/>
        <v/>
      </c>
      <c r="I1028" t="str">
        <f t="shared" si="83"/>
        <v/>
      </c>
      <c r="J1028" t="str">
        <f t="shared" si="84"/>
        <v/>
      </c>
      <c r="K1028" t="str">
        <f>IF($A1028="","",IF(COUNTIF($B$2:$B1028,$B1028)=COUNTIF($B$2:$B$1601,$B1028),$B1028,""))</f>
        <v/>
      </c>
    </row>
    <row r="1029" spans="1:11">
      <c r="A1029" t="str">
        <f>IF('TMP Paste'!$E1029="","",'TMP Paste'!$E1029)</f>
        <v/>
      </c>
      <c r="B1029" t="str">
        <f>IF($A1029="","",COUNTIF('TMP Paste'!$B$2:$B1029,"?*"))</f>
        <v/>
      </c>
      <c r="C1029" t="str">
        <f>IF($A1029="","",IFERROR('TMP Paste'!$M1029*1,0))</f>
        <v/>
      </c>
      <c r="D1029" t="str">
        <f>IF($A1029="","",SUMIF($B$2:$B1029,$B1029,$C$2:$C1029))</f>
        <v/>
      </c>
      <c r="E1029">
        <f>IF($A1029="",0,IF('TMP Paste'!$B1029="",0,1))</f>
        <v>0</v>
      </c>
      <c r="F1029" t="str">
        <f t="shared" si="80"/>
        <v/>
      </c>
      <c r="G1029" t="str">
        <f t="shared" si="81"/>
        <v/>
      </c>
      <c r="H1029" t="str">
        <f t="shared" si="82"/>
        <v/>
      </c>
      <c r="I1029" t="str">
        <f t="shared" si="83"/>
        <v/>
      </c>
      <c r="J1029" t="str">
        <f t="shared" si="84"/>
        <v/>
      </c>
      <c r="K1029" t="str">
        <f>IF($A1029="","",IF(COUNTIF($B$2:$B1029,$B1029)=COUNTIF($B$2:$B$1601,$B1029),$B1029,""))</f>
        <v/>
      </c>
    </row>
    <row r="1030" spans="1:11">
      <c r="A1030" t="str">
        <f>IF('TMP Paste'!$E1030="","",'TMP Paste'!$E1030)</f>
        <v/>
      </c>
      <c r="B1030" t="str">
        <f>IF($A1030="","",COUNTIF('TMP Paste'!$B$2:$B1030,"?*"))</f>
        <v/>
      </c>
      <c r="C1030" t="str">
        <f>IF($A1030="","",IFERROR('TMP Paste'!$M1030*1,0))</f>
        <v/>
      </c>
      <c r="D1030" t="str">
        <f>IF($A1030="","",SUMIF($B$2:$B1030,$B1030,$C$2:$C1030))</f>
        <v/>
      </c>
      <c r="E1030">
        <f>IF($A1030="",0,IF('TMP Paste'!$B1030="",0,1))</f>
        <v>0</v>
      </c>
      <c r="F1030" t="str">
        <f t="shared" si="80"/>
        <v/>
      </c>
      <c r="G1030" t="str">
        <f t="shared" si="81"/>
        <v/>
      </c>
      <c r="H1030" t="str">
        <f t="shared" si="82"/>
        <v/>
      </c>
      <c r="I1030" t="str">
        <f t="shared" si="83"/>
        <v/>
      </c>
      <c r="J1030" t="str">
        <f t="shared" si="84"/>
        <v/>
      </c>
      <c r="K1030" t="str">
        <f>IF($A1030="","",IF(COUNTIF($B$2:$B1030,$B1030)=COUNTIF($B$2:$B$1601,$B1030),$B1030,""))</f>
        <v/>
      </c>
    </row>
    <row r="1031" spans="1:11">
      <c r="A1031" t="str">
        <f>IF('TMP Paste'!$E1031="","",'TMP Paste'!$E1031)</f>
        <v/>
      </c>
      <c r="B1031" t="str">
        <f>IF($A1031="","",COUNTIF('TMP Paste'!$B$2:$B1031,"?*"))</f>
        <v/>
      </c>
      <c r="C1031" t="str">
        <f>IF($A1031="","",IFERROR('TMP Paste'!$M1031*1,0))</f>
        <v/>
      </c>
      <c r="D1031" t="str">
        <f>IF($A1031="","",SUMIF($B$2:$B1031,$B1031,$C$2:$C1031))</f>
        <v/>
      </c>
      <c r="E1031">
        <f>IF($A1031="",0,IF('TMP Paste'!$B1031="",0,1))</f>
        <v>0</v>
      </c>
      <c r="F1031" t="str">
        <f t="shared" si="80"/>
        <v/>
      </c>
      <c r="G1031" t="str">
        <f t="shared" si="81"/>
        <v/>
      </c>
      <c r="H1031" t="str">
        <f t="shared" si="82"/>
        <v/>
      </c>
      <c r="I1031" t="str">
        <f t="shared" si="83"/>
        <v/>
      </c>
      <c r="J1031" t="str">
        <f t="shared" si="84"/>
        <v/>
      </c>
      <c r="K1031" t="str">
        <f>IF($A1031="","",IF(COUNTIF($B$2:$B1031,$B1031)=COUNTIF($B$2:$B$1601,$B1031),$B1031,""))</f>
        <v/>
      </c>
    </row>
    <row r="1032" spans="1:11">
      <c r="A1032" t="str">
        <f>IF('TMP Paste'!$E1032="","",'TMP Paste'!$E1032)</f>
        <v/>
      </c>
      <c r="B1032" t="str">
        <f>IF($A1032="","",COUNTIF('TMP Paste'!$B$2:$B1032,"?*"))</f>
        <v/>
      </c>
      <c r="C1032" t="str">
        <f>IF($A1032="","",IFERROR('TMP Paste'!$M1032*1,0))</f>
        <v/>
      </c>
      <c r="D1032" t="str">
        <f>IF($A1032="","",SUMIF($B$2:$B1032,$B1032,$C$2:$C1032))</f>
        <v/>
      </c>
      <c r="E1032">
        <f>IF($A1032="",0,IF('TMP Paste'!$B1032="",0,1))</f>
        <v>0</v>
      </c>
      <c r="F1032" t="str">
        <f t="shared" si="80"/>
        <v/>
      </c>
      <c r="G1032" t="str">
        <f t="shared" si="81"/>
        <v/>
      </c>
      <c r="H1032" t="str">
        <f t="shared" si="82"/>
        <v/>
      </c>
      <c r="I1032" t="str">
        <f t="shared" si="83"/>
        <v/>
      </c>
      <c r="J1032" t="str">
        <f t="shared" si="84"/>
        <v/>
      </c>
      <c r="K1032" t="str">
        <f>IF($A1032="","",IF(COUNTIF($B$2:$B1032,$B1032)=COUNTIF($B$2:$B$1601,$B1032),$B1032,""))</f>
        <v/>
      </c>
    </row>
    <row r="1033" spans="1:11">
      <c r="A1033" t="str">
        <f>IF('TMP Paste'!$E1033="","",'TMP Paste'!$E1033)</f>
        <v/>
      </c>
      <c r="B1033" t="str">
        <f>IF($A1033="","",COUNTIF('TMP Paste'!$B$2:$B1033,"?*"))</f>
        <v/>
      </c>
      <c r="C1033" t="str">
        <f>IF($A1033="","",IFERROR('TMP Paste'!$M1033*1,0))</f>
        <v/>
      </c>
      <c r="D1033" t="str">
        <f>IF($A1033="","",SUMIF($B$2:$B1033,$B1033,$C$2:$C1033))</f>
        <v/>
      </c>
      <c r="E1033">
        <f>IF($A1033="",0,IF('TMP Paste'!$B1033="",0,1))</f>
        <v>0</v>
      </c>
      <c r="F1033" t="str">
        <f t="shared" si="80"/>
        <v/>
      </c>
      <c r="G1033" t="str">
        <f t="shared" si="81"/>
        <v/>
      </c>
      <c r="H1033" t="str">
        <f t="shared" si="82"/>
        <v/>
      </c>
      <c r="I1033" t="str">
        <f t="shared" si="83"/>
        <v/>
      </c>
      <c r="J1033" t="str">
        <f t="shared" si="84"/>
        <v/>
      </c>
      <c r="K1033" t="str">
        <f>IF($A1033="","",IF(COUNTIF($B$2:$B1033,$B1033)=COUNTIF($B$2:$B$1601,$B1033),$B1033,""))</f>
        <v/>
      </c>
    </row>
    <row r="1034" spans="1:11">
      <c r="A1034" t="str">
        <f>IF('TMP Paste'!$E1034="","",'TMP Paste'!$E1034)</f>
        <v/>
      </c>
      <c r="B1034" t="str">
        <f>IF($A1034="","",COUNTIF('TMP Paste'!$B$2:$B1034,"?*"))</f>
        <v/>
      </c>
      <c r="C1034" t="str">
        <f>IF($A1034="","",IFERROR('TMP Paste'!$M1034*1,0))</f>
        <v/>
      </c>
      <c r="D1034" t="str">
        <f>IF($A1034="","",SUMIF($B$2:$B1034,$B1034,$C$2:$C1034))</f>
        <v/>
      </c>
      <c r="E1034">
        <f>IF($A1034="",0,IF('TMP Paste'!$B1034="",0,1))</f>
        <v>0</v>
      </c>
      <c r="F1034" t="str">
        <f t="shared" si="80"/>
        <v/>
      </c>
      <c r="G1034" t="str">
        <f t="shared" si="81"/>
        <v/>
      </c>
      <c r="H1034" t="str">
        <f t="shared" si="82"/>
        <v/>
      </c>
      <c r="I1034" t="str">
        <f t="shared" si="83"/>
        <v/>
      </c>
      <c r="J1034" t="str">
        <f t="shared" si="84"/>
        <v/>
      </c>
      <c r="K1034" t="str">
        <f>IF($A1034="","",IF(COUNTIF($B$2:$B1034,$B1034)=COUNTIF($B$2:$B$1601,$B1034),$B1034,""))</f>
        <v/>
      </c>
    </row>
    <row r="1035" spans="1:11">
      <c r="A1035" t="str">
        <f>IF('TMP Paste'!$E1035="","",'TMP Paste'!$E1035)</f>
        <v/>
      </c>
      <c r="B1035" t="str">
        <f>IF($A1035="","",COUNTIF('TMP Paste'!$B$2:$B1035,"?*"))</f>
        <v/>
      </c>
      <c r="C1035" t="str">
        <f>IF($A1035="","",IFERROR('TMP Paste'!$M1035*1,0))</f>
        <v/>
      </c>
      <c r="D1035" t="str">
        <f>IF($A1035="","",SUMIF($B$2:$B1035,$B1035,$C$2:$C1035))</f>
        <v/>
      </c>
      <c r="E1035">
        <f>IF($A1035="",0,IF('TMP Paste'!$B1035="",0,1))</f>
        <v>0</v>
      </c>
      <c r="F1035" t="str">
        <f t="shared" si="80"/>
        <v/>
      </c>
      <c r="G1035" t="str">
        <f t="shared" si="81"/>
        <v/>
      </c>
      <c r="H1035" t="str">
        <f t="shared" si="82"/>
        <v/>
      </c>
      <c r="I1035" t="str">
        <f t="shared" si="83"/>
        <v/>
      </c>
      <c r="J1035" t="str">
        <f t="shared" si="84"/>
        <v/>
      </c>
      <c r="K1035" t="str">
        <f>IF($A1035="","",IF(COUNTIF($B$2:$B1035,$B1035)=COUNTIF($B$2:$B$1601,$B1035),$B1035,""))</f>
        <v/>
      </c>
    </row>
    <row r="1036" spans="1:11">
      <c r="A1036" t="str">
        <f>IF('TMP Paste'!$E1036="","",'TMP Paste'!$E1036)</f>
        <v/>
      </c>
      <c r="B1036" t="str">
        <f>IF($A1036="","",COUNTIF('TMP Paste'!$B$2:$B1036,"?*"))</f>
        <v/>
      </c>
      <c r="C1036" t="str">
        <f>IF($A1036="","",IFERROR('TMP Paste'!$M1036*1,0))</f>
        <v/>
      </c>
      <c r="D1036" t="str">
        <f>IF($A1036="","",SUMIF($B$2:$B1036,$B1036,$C$2:$C1036))</f>
        <v/>
      </c>
      <c r="E1036">
        <f>IF($A1036="",0,IF('TMP Paste'!$B1036="",0,1))</f>
        <v>0</v>
      </c>
      <c r="F1036" t="str">
        <f t="shared" si="80"/>
        <v/>
      </c>
      <c r="G1036" t="str">
        <f t="shared" si="81"/>
        <v/>
      </c>
      <c r="H1036" t="str">
        <f t="shared" si="82"/>
        <v/>
      </c>
      <c r="I1036" t="str">
        <f t="shared" si="83"/>
        <v/>
      </c>
      <c r="J1036" t="str">
        <f t="shared" si="84"/>
        <v/>
      </c>
      <c r="K1036" t="str">
        <f>IF($A1036="","",IF(COUNTIF($B$2:$B1036,$B1036)=COUNTIF($B$2:$B$1601,$B1036),$B1036,""))</f>
        <v/>
      </c>
    </row>
    <row r="1037" spans="1:11">
      <c r="A1037" t="str">
        <f>IF('TMP Paste'!$E1037="","",'TMP Paste'!$E1037)</f>
        <v/>
      </c>
      <c r="B1037" t="str">
        <f>IF($A1037="","",COUNTIF('TMP Paste'!$B$2:$B1037,"?*"))</f>
        <v/>
      </c>
      <c r="C1037" t="str">
        <f>IF($A1037="","",IFERROR('TMP Paste'!$M1037*1,0))</f>
        <v/>
      </c>
      <c r="D1037" t="str">
        <f>IF($A1037="","",SUMIF($B$2:$B1037,$B1037,$C$2:$C1037))</f>
        <v/>
      </c>
      <c r="E1037">
        <f>IF($A1037="",0,IF('TMP Paste'!$B1037="",0,1))</f>
        <v>0</v>
      </c>
      <c r="F1037" t="str">
        <f t="shared" si="80"/>
        <v/>
      </c>
      <c r="G1037" t="str">
        <f t="shared" si="81"/>
        <v/>
      </c>
      <c r="H1037" t="str">
        <f t="shared" si="82"/>
        <v/>
      </c>
      <c r="I1037" t="str">
        <f t="shared" si="83"/>
        <v/>
      </c>
      <c r="J1037" t="str">
        <f t="shared" si="84"/>
        <v/>
      </c>
      <c r="K1037" t="str">
        <f>IF($A1037="","",IF(COUNTIF($B$2:$B1037,$B1037)=COUNTIF($B$2:$B$1601,$B1037),$B1037,""))</f>
        <v/>
      </c>
    </row>
    <row r="1038" spans="1:11">
      <c r="A1038" t="str">
        <f>IF('TMP Paste'!$E1038="","",'TMP Paste'!$E1038)</f>
        <v/>
      </c>
      <c r="B1038" t="str">
        <f>IF($A1038="","",COUNTIF('TMP Paste'!$B$2:$B1038,"?*"))</f>
        <v/>
      </c>
      <c r="C1038" t="str">
        <f>IF($A1038="","",IFERROR('TMP Paste'!$M1038*1,0))</f>
        <v/>
      </c>
      <c r="D1038" t="str">
        <f>IF($A1038="","",SUMIF($B$2:$B1038,$B1038,$C$2:$C1038))</f>
        <v/>
      </c>
      <c r="E1038">
        <f>IF($A1038="",0,IF('TMP Paste'!$B1038="",0,1))</f>
        <v>0</v>
      </c>
      <c r="F1038" t="str">
        <f t="shared" si="80"/>
        <v/>
      </c>
      <c r="G1038" t="str">
        <f t="shared" si="81"/>
        <v/>
      </c>
      <c r="H1038" t="str">
        <f t="shared" si="82"/>
        <v/>
      </c>
      <c r="I1038" t="str">
        <f t="shared" si="83"/>
        <v/>
      </c>
      <c r="J1038" t="str">
        <f t="shared" si="84"/>
        <v/>
      </c>
      <c r="K1038" t="str">
        <f>IF($A1038="","",IF(COUNTIF($B$2:$B1038,$B1038)=COUNTIF($B$2:$B$1601,$B1038),$B1038,""))</f>
        <v/>
      </c>
    </row>
    <row r="1039" spans="1:11">
      <c r="A1039" t="str">
        <f>IF('TMP Paste'!$E1039="","",'TMP Paste'!$E1039)</f>
        <v/>
      </c>
      <c r="B1039" t="str">
        <f>IF($A1039="","",COUNTIF('TMP Paste'!$B$2:$B1039,"?*"))</f>
        <v/>
      </c>
      <c r="C1039" t="str">
        <f>IF($A1039="","",IFERROR('TMP Paste'!$M1039*1,0))</f>
        <v/>
      </c>
      <c r="D1039" t="str">
        <f>IF($A1039="","",SUMIF($B$2:$B1039,$B1039,$C$2:$C1039))</f>
        <v/>
      </c>
      <c r="E1039">
        <f>IF($A1039="",0,IF('TMP Paste'!$B1039="",0,1))</f>
        <v>0</v>
      </c>
      <c r="F1039" t="str">
        <f t="shared" si="80"/>
        <v/>
      </c>
      <c r="G1039" t="str">
        <f t="shared" si="81"/>
        <v/>
      </c>
      <c r="H1039" t="str">
        <f t="shared" si="82"/>
        <v/>
      </c>
      <c r="I1039" t="str">
        <f t="shared" si="83"/>
        <v/>
      </c>
      <c r="J1039" t="str">
        <f t="shared" si="84"/>
        <v/>
      </c>
      <c r="K1039" t="str">
        <f>IF($A1039="","",IF(COUNTIF($B$2:$B1039,$B1039)=COUNTIF($B$2:$B$1601,$B1039),$B1039,""))</f>
        <v/>
      </c>
    </row>
    <row r="1040" spans="1:11">
      <c r="A1040" t="str">
        <f>IF('TMP Paste'!$E1040="","",'TMP Paste'!$E1040)</f>
        <v/>
      </c>
      <c r="B1040" t="str">
        <f>IF($A1040="","",COUNTIF('TMP Paste'!$B$2:$B1040,"?*"))</f>
        <v/>
      </c>
      <c r="C1040" t="str">
        <f>IF($A1040="","",IFERROR('TMP Paste'!$M1040*1,0))</f>
        <v/>
      </c>
      <c r="D1040" t="str">
        <f>IF($A1040="","",SUMIF($B$2:$B1040,$B1040,$C$2:$C1040))</f>
        <v/>
      </c>
      <c r="E1040">
        <f>IF($A1040="",0,IF('TMP Paste'!$B1040="",0,1))</f>
        <v>0</v>
      </c>
      <c r="F1040" t="str">
        <f t="shared" si="80"/>
        <v/>
      </c>
      <c r="G1040" t="str">
        <f t="shared" si="81"/>
        <v/>
      </c>
      <c r="H1040" t="str">
        <f t="shared" si="82"/>
        <v/>
      </c>
      <c r="I1040" t="str">
        <f t="shared" si="83"/>
        <v/>
      </c>
      <c r="J1040" t="str">
        <f t="shared" si="84"/>
        <v/>
      </c>
      <c r="K1040" t="str">
        <f>IF($A1040="","",IF(COUNTIF($B$2:$B1040,$B1040)=COUNTIF($B$2:$B$1601,$B1040),$B1040,""))</f>
        <v/>
      </c>
    </row>
    <row r="1041" spans="1:11">
      <c r="A1041" t="str">
        <f>IF('TMP Paste'!$E1041="","",'TMP Paste'!$E1041)</f>
        <v/>
      </c>
      <c r="B1041" t="str">
        <f>IF($A1041="","",COUNTIF('TMP Paste'!$B$2:$B1041,"?*"))</f>
        <v/>
      </c>
      <c r="C1041" t="str">
        <f>IF($A1041="","",IFERROR('TMP Paste'!$M1041*1,0))</f>
        <v/>
      </c>
      <c r="D1041" t="str">
        <f>IF($A1041="","",SUMIF($B$2:$B1041,$B1041,$C$2:$C1041))</f>
        <v/>
      </c>
      <c r="E1041">
        <f>IF($A1041="",0,IF('TMP Paste'!$B1041="",0,1))</f>
        <v>0</v>
      </c>
      <c r="F1041" t="str">
        <f t="shared" si="80"/>
        <v/>
      </c>
      <c r="G1041" t="str">
        <f t="shared" si="81"/>
        <v/>
      </c>
      <c r="H1041" t="str">
        <f t="shared" si="82"/>
        <v/>
      </c>
      <c r="I1041" t="str">
        <f t="shared" si="83"/>
        <v/>
      </c>
      <c r="J1041" t="str">
        <f t="shared" si="84"/>
        <v/>
      </c>
      <c r="K1041" t="str">
        <f>IF($A1041="","",IF(COUNTIF($B$2:$B1041,$B1041)=COUNTIF($B$2:$B$1601,$B1041),$B1041,""))</f>
        <v/>
      </c>
    </row>
    <row r="1042" spans="1:11">
      <c r="A1042" t="str">
        <f>IF('TMP Paste'!$E1042="","",'TMP Paste'!$E1042)</f>
        <v/>
      </c>
      <c r="B1042" t="str">
        <f>IF($A1042="","",COUNTIF('TMP Paste'!$B$2:$B1042,"?*"))</f>
        <v/>
      </c>
      <c r="C1042" t="str">
        <f>IF($A1042="","",IFERROR('TMP Paste'!$M1042*1,0))</f>
        <v/>
      </c>
      <c r="D1042" t="str">
        <f>IF($A1042="","",SUMIF($B$2:$B1042,$B1042,$C$2:$C1042))</f>
        <v/>
      </c>
      <c r="E1042">
        <f>IF($A1042="",0,IF('TMP Paste'!$B1042="",0,1))</f>
        <v>0</v>
      </c>
      <c r="F1042" t="str">
        <f t="shared" si="80"/>
        <v/>
      </c>
      <c r="G1042" t="str">
        <f t="shared" si="81"/>
        <v/>
      </c>
      <c r="H1042" t="str">
        <f t="shared" si="82"/>
        <v/>
      </c>
      <c r="I1042" t="str">
        <f t="shared" si="83"/>
        <v/>
      </c>
      <c r="J1042" t="str">
        <f t="shared" si="84"/>
        <v/>
      </c>
      <c r="K1042" t="str">
        <f>IF($A1042="","",IF(COUNTIF($B$2:$B1042,$B1042)=COUNTIF($B$2:$B$1601,$B1042),$B1042,""))</f>
        <v/>
      </c>
    </row>
    <row r="1043" spans="1:11">
      <c r="A1043" t="str">
        <f>IF('TMP Paste'!$E1043="","",'TMP Paste'!$E1043)</f>
        <v/>
      </c>
      <c r="B1043" t="str">
        <f>IF($A1043="","",COUNTIF('TMP Paste'!$B$2:$B1043,"?*"))</f>
        <v/>
      </c>
      <c r="C1043" t="str">
        <f>IF($A1043="","",IFERROR('TMP Paste'!$M1043*1,0))</f>
        <v/>
      </c>
      <c r="D1043" t="str">
        <f>IF($A1043="","",SUMIF($B$2:$B1043,$B1043,$C$2:$C1043))</f>
        <v/>
      </c>
      <c r="E1043">
        <f>IF($A1043="",0,IF('TMP Paste'!$B1043="",0,1))</f>
        <v>0</v>
      </c>
      <c r="F1043" t="str">
        <f t="shared" si="80"/>
        <v/>
      </c>
      <c r="G1043" t="str">
        <f t="shared" si="81"/>
        <v/>
      </c>
      <c r="H1043" t="str">
        <f t="shared" si="82"/>
        <v/>
      </c>
      <c r="I1043" t="str">
        <f t="shared" si="83"/>
        <v/>
      </c>
      <c r="J1043" t="str">
        <f t="shared" si="84"/>
        <v/>
      </c>
      <c r="K1043" t="str">
        <f>IF($A1043="","",IF(COUNTIF($B$2:$B1043,$B1043)=COUNTIF($B$2:$B$1601,$B1043),$B1043,""))</f>
        <v/>
      </c>
    </row>
    <row r="1044" spans="1:11">
      <c r="A1044" t="str">
        <f>IF('TMP Paste'!$E1044="","",'TMP Paste'!$E1044)</f>
        <v/>
      </c>
      <c r="B1044" t="str">
        <f>IF($A1044="","",COUNTIF('TMP Paste'!$B$2:$B1044,"?*"))</f>
        <v/>
      </c>
      <c r="C1044" t="str">
        <f>IF($A1044="","",IFERROR('TMP Paste'!$M1044*1,0))</f>
        <v/>
      </c>
      <c r="D1044" t="str">
        <f>IF($A1044="","",SUMIF($B$2:$B1044,$B1044,$C$2:$C1044))</f>
        <v/>
      </c>
      <c r="E1044">
        <f>IF($A1044="",0,IF('TMP Paste'!$B1044="",0,1))</f>
        <v>0</v>
      </c>
      <c r="F1044" t="str">
        <f t="shared" si="80"/>
        <v/>
      </c>
      <c r="G1044" t="str">
        <f t="shared" si="81"/>
        <v/>
      </c>
      <c r="H1044" t="str">
        <f t="shared" si="82"/>
        <v/>
      </c>
      <c r="I1044" t="str">
        <f t="shared" si="83"/>
        <v/>
      </c>
      <c r="J1044" t="str">
        <f t="shared" si="84"/>
        <v/>
      </c>
      <c r="K1044" t="str">
        <f>IF($A1044="","",IF(COUNTIF($B$2:$B1044,$B1044)=COUNTIF($B$2:$B$1601,$B1044),$B1044,""))</f>
        <v/>
      </c>
    </row>
    <row r="1045" spans="1:11">
      <c r="A1045" t="str">
        <f>IF('TMP Paste'!$E1045="","",'TMP Paste'!$E1045)</f>
        <v/>
      </c>
      <c r="B1045" t="str">
        <f>IF($A1045="","",COUNTIF('TMP Paste'!$B$2:$B1045,"?*"))</f>
        <v/>
      </c>
      <c r="C1045" t="str">
        <f>IF($A1045="","",IFERROR('TMP Paste'!$M1045*1,0))</f>
        <v/>
      </c>
      <c r="D1045" t="str">
        <f>IF($A1045="","",SUMIF($B$2:$B1045,$B1045,$C$2:$C1045))</f>
        <v/>
      </c>
      <c r="E1045">
        <f>IF($A1045="",0,IF('TMP Paste'!$B1045="",0,1))</f>
        <v>0</v>
      </c>
      <c r="F1045" t="str">
        <f t="shared" si="80"/>
        <v/>
      </c>
      <c r="G1045" t="str">
        <f t="shared" si="81"/>
        <v/>
      </c>
      <c r="H1045" t="str">
        <f t="shared" si="82"/>
        <v/>
      </c>
      <c r="I1045" t="str">
        <f t="shared" si="83"/>
        <v/>
      </c>
      <c r="J1045" t="str">
        <f t="shared" si="84"/>
        <v/>
      </c>
      <c r="K1045" t="str">
        <f>IF($A1045="","",IF(COUNTIF($B$2:$B1045,$B1045)=COUNTIF($B$2:$B$1601,$B1045),$B1045,""))</f>
        <v/>
      </c>
    </row>
    <row r="1046" spans="1:11">
      <c r="A1046" t="str">
        <f>IF('TMP Paste'!$E1046="","",'TMP Paste'!$E1046)</f>
        <v/>
      </c>
      <c r="B1046" t="str">
        <f>IF($A1046="","",COUNTIF('TMP Paste'!$B$2:$B1046,"?*"))</f>
        <v/>
      </c>
      <c r="C1046" t="str">
        <f>IF($A1046="","",IFERROR('TMP Paste'!$M1046*1,0))</f>
        <v/>
      </c>
      <c r="D1046" t="str">
        <f>IF($A1046="","",SUMIF($B$2:$B1046,$B1046,$C$2:$C1046))</f>
        <v/>
      </c>
      <c r="E1046">
        <f>IF($A1046="",0,IF('TMP Paste'!$B1046="",0,1))</f>
        <v>0</v>
      </c>
      <c r="F1046" t="str">
        <f t="shared" si="80"/>
        <v/>
      </c>
      <c r="G1046" t="str">
        <f t="shared" si="81"/>
        <v/>
      </c>
      <c r="H1046" t="str">
        <f t="shared" si="82"/>
        <v/>
      </c>
      <c r="I1046" t="str">
        <f t="shared" si="83"/>
        <v/>
      </c>
      <c r="J1046" t="str">
        <f t="shared" si="84"/>
        <v/>
      </c>
      <c r="K1046" t="str">
        <f>IF($A1046="","",IF(COUNTIF($B$2:$B1046,$B1046)=COUNTIF($B$2:$B$1601,$B1046),$B1046,""))</f>
        <v/>
      </c>
    </row>
    <row r="1047" spans="1:11">
      <c r="A1047" t="str">
        <f>IF('TMP Paste'!$E1047="","",'TMP Paste'!$E1047)</f>
        <v/>
      </c>
      <c r="B1047" t="str">
        <f>IF($A1047="","",COUNTIF('TMP Paste'!$B$2:$B1047,"?*"))</f>
        <v/>
      </c>
      <c r="C1047" t="str">
        <f>IF($A1047="","",IFERROR('TMP Paste'!$M1047*1,0))</f>
        <v/>
      </c>
      <c r="D1047" t="str">
        <f>IF($A1047="","",SUMIF($B$2:$B1047,$B1047,$C$2:$C1047))</f>
        <v/>
      </c>
      <c r="E1047">
        <f>IF($A1047="",0,IF('TMP Paste'!$B1047="",0,1))</f>
        <v>0</v>
      </c>
      <c r="F1047" t="str">
        <f t="shared" si="80"/>
        <v/>
      </c>
      <c r="G1047" t="str">
        <f t="shared" si="81"/>
        <v/>
      </c>
      <c r="H1047" t="str">
        <f t="shared" si="82"/>
        <v/>
      </c>
      <c r="I1047" t="str">
        <f t="shared" si="83"/>
        <v/>
      </c>
      <c r="J1047" t="str">
        <f t="shared" si="84"/>
        <v/>
      </c>
      <c r="K1047" t="str">
        <f>IF($A1047="","",IF(COUNTIF($B$2:$B1047,$B1047)=COUNTIF($B$2:$B$1601,$B1047),$B1047,""))</f>
        <v/>
      </c>
    </row>
    <row r="1048" spans="1:11">
      <c r="A1048" t="str">
        <f>IF('TMP Paste'!$E1048="","",'TMP Paste'!$E1048)</f>
        <v/>
      </c>
      <c r="B1048" t="str">
        <f>IF($A1048="","",COUNTIF('TMP Paste'!$B$2:$B1048,"?*"))</f>
        <v/>
      </c>
      <c r="C1048" t="str">
        <f>IF($A1048="","",IFERROR('TMP Paste'!$M1048*1,0))</f>
        <v/>
      </c>
      <c r="D1048" t="str">
        <f>IF($A1048="","",SUMIF($B$2:$B1048,$B1048,$C$2:$C1048))</f>
        <v/>
      </c>
      <c r="E1048">
        <f>IF($A1048="",0,IF('TMP Paste'!$B1048="",0,1))</f>
        <v>0</v>
      </c>
      <c r="F1048" t="str">
        <f t="shared" si="80"/>
        <v/>
      </c>
      <c r="G1048" t="str">
        <f t="shared" si="81"/>
        <v/>
      </c>
      <c r="H1048" t="str">
        <f t="shared" si="82"/>
        <v/>
      </c>
      <c r="I1048" t="str">
        <f t="shared" si="83"/>
        <v/>
      </c>
      <c r="J1048" t="str">
        <f t="shared" si="84"/>
        <v/>
      </c>
      <c r="K1048" t="str">
        <f>IF($A1048="","",IF(COUNTIF($B$2:$B1048,$B1048)=COUNTIF($B$2:$B$1601,$B1048),$B1048,""))</f>
        <v/>
      </c>
    </row>
    <row r="1049" spans="1:11">
      <c r="A1049" t="str">
        <f>IF('TMP Paste'!$E1049="","",'TMP Paste'!$E1049)</f>
        <v/>
      </c>
      <c r="B1049" t="str">
        <f>IF($A1049="","",COUNTIF('TMP Paste'!$B$2:$B1049,"?*"))</f>
        <v/>
      </c>
      <c r="C1049" t="str">
        <f>IF($A1049="","",IFERROR('TMP Paste'!$M1049*1,0))</f>
        <v/>
      </c>
      <c r="D1049" t="str">
        <f>IF($A1049="","",SUMIF($B$2:$B1049,$B1049,$C$2:$C1049))</f>
        <v/>
      </c>
      <c r="E1049">
        <f>IF($A1049="",0,IF('TMP Paste'!$B1049="",0,1))</f>
        <v>0</v>
      </c>
      <c r="F1049" t="str">
        <f t="shared" si="80"/>
        <v/>
      </c>
      <c r="G1049" t="str">
        <f t="shared" si="81"/>
        <v/>
      </c>
      <c r="H1049" t="str">
        <f t="shared" si="82"/>
        <v/>
      </c>
      <c r="I1049" t="str">
        <f t="shared" si="83"/>
        <v/>
      </c>
      <c r="J1049" t="str">
        <f t="shared" si="84"/>
        <v/>
      </c>
      <c r="K1049" t="str">
        <f>IF($A1049="","",IF(COUNTIF($B$2:$B1049,$B1049)=COUNTIF($B$2:$B$1601,$B1049),$B1049,""))</f>
        <v/>
      </c>
    </row>
    <row r="1050" spans="1:11">
      <c r="A1050" t="str">
        <f>IF('TMP Paste'!$E1050="","",'TMP Paste'!$E1050)</f>
        <v/>
      </c>
      <c r="B1050" t="str">
        <f>IF($A1050="","",COUNTIF('TMP Paste'!$B$2:$B1050,"?*"))</f>
        <v/>
      </c>
      <c r="C1050" t="str">
        <f>IF($A1050="","",IFERROR('TMP Paste'!$M1050*1,0))</f>
        <v/>
      </c>
      <c r="D1050" t="str">
        <f>IF($A1050="","",SUMIF($B$2:$B1050,$B1050,$C$2:$C1050))</f>
        <v/>
      </c>
      <c r="E1050">
        <f>IF($A1050="",0,IF('TMP Paste'!$B1050="",0,1))</f>
        <v>0</v>
      </c>
      <c r="F1050" t="str">
        <f t="shared" si="80"/>
        <v/>
      </c>
      <c r="G1050" t="str">
        <f t="shared" si="81"/>
        <v/>
      </c>
      <c r="H1050" t="str">
        <f t="shared" si="82"/>
        <v/>
      </c>
      <c r="I1050" t="str">
        <f t="shared" si="83"/>
        <v/>
      </c>
      <c r="J1050" t="str">
        <f t="shared" si="84"/>
        <v/>
      </c>
      <c r="K1050" t="str">
        <f>IF($A1050="","",IF(COUNTIF($B$2:$B1050,$B1050)=COUNTIF($B$2:$B$1601,$B1050),$B1050,""))</f>
        <v/>
      </c>
    </row>
    <row r="1051" spans="1:11">
      <c r="A1051" t="str">
        <f>IF('TMP Paste'!$E1051="","",'TMP Paste'!$E1051)</f>
        <v/>
      </c>
      <c r="B1051" t="str">
        <f>IF($A1051="","",COUNTIF('TMP Paste'!$B$2:$B1051,"?*"))</f>
        <v/>
      </c>
      <c r="C1051" t="str">
        <f>IF($A1051="","",IFERROR('TMP Paste'!$M1051*1,0))</f>
        <v/>
      </c>
      <c r="D1051" t="str">
        <f>IF($A1051="","",SUMIF($B$2:$B1051,$B1051,$C$2:$C1051))</f>
        <v/>
      </c>
      <c r="E1051">
        <f>IF($A1051="",0,IF('TMP Paste'!$B1051="",0,1))</f>
        <v>0</v>
      </c>
      <c r="F1051" t="str">
        <f t="shared" si="80"/>
        <v/>
      </c>
      <c r="G1051" t="str">
        <f t="shared" si="81"/>
        <v/>
      </c>
      <c r="H1051" t="str">
        <f t="shared" si="82"/>
        <v/>
      </c>
      <c r="I1051" t="str">
        <f t="shared" si="83"/>
        <v/>
      </c>
      <c r="J1051" t="str">
        <f t="shared" si="84"/>
        <v/>
      </c>
      <c r="K1051" t="str">
        <f>IF($A1051="","",IF(COUNTIF($B$2:$B1051,$B1051)=COUNTIF($B$2:$B$1601,$B1051),$B1051,""))</f>
        <v/>
      </c>
    </row>
    <row r="1052" spans="1:11">
      <c r="A1052" t="str">
        <f>IF('TMP Paste'!$E1052="","",'TMP Paste'!$E1052)</f>
        <v/>
      </c>
      <c r="B1052" t="str">
        <f>IF($A1052="","",COUNTIF('TMP Paste'!$B$2:$B1052,"?*"))</f>
        <v/>
      </c>
      <c r="C1052" t="str">
        <f>IF($A1052="","",IFERROR('TMP Paste'!$M1052*1,0))</f>
        <v/>
      </c>
      <c r="D1052" t="str">
        <f>IF($A1052="","",SUMIF($B$2:$B1052,$B1052,$C$2:$C1052))</f>
        <v/>
      </c>
      <c r="E1052">
        <f>IF($A1052="",0,IF('TMP Paste'!$B1052="",0,1))</f>
        <v>0</v>
      </c>
      <c r="F1052" t="str">
        <f t="shared" si="80"/>
        <v/>
      </c>
      <c r="G1052" t="str">
        <f t="shared" si="81"/>
        <v/>
      </c>
      <c r="H1052" t="str">
        <f t="shared" si="82"/>
        <v/>
      </c>
      <c r="I1052" t="str">
        <f t="shared" si="83"/>
        <v/>
      </c>
      <c r="J1052" t="str">
        <f t="shared" si="84"/>
        <v/>
      </c>
      <c r="K1052" t="str">
        <f>IF($A1052="","",IF(COUNTIF($B$2:$B1052,$B1052)=COUNTIF($B$2:$B$1601,$B1052),$B1052,""))</f>
        <v/>
      </c>
    </row>
    <row r="1053" spans="1:11">
      <c r="A1053" t="str">
        <f>IF('TMP Paste'!$E1053="","",'TMP Paste'!$E1053)</f>
        <v/>
      </c>
      <c r="B1053" t="str">
        <f>IF($A1053="","",COUNTIF('TMP Paste'!$B$2:$B1053,"?*"))</f>
        <v/>
      </c>
      <c r="C1053" t="str">
        <f>IF($A1053="","",IFERROR('TMP Paste'!$M1053*1,0))</f>
        <v/>
      </c>
      <c r="D1053" t="str">
        <f>IF($A1053="","",SUMIF($B$2:$B1053,$B1053,$C$2:$C1053))</f>
        <v/>
      </c>
      <c r="E1053">
        <f>IF($A1053="",0,IF('TMP Paste'!$B1053="",0,1))</f>
        <v>0</v>
      </c>
      <c r="F1053" t="str">
        <f t="shared" si="80"/>
        <v/>
      </c>
      <c r="G1053" t="str">
        <f t="shared" si="81"/>
        <v/>
      </c>
      <c r="H1053" t="str">
        <f t="shared" si="82"/>
        <v/>
      </c>
      <c r="I1053" t="str">
        <f t="shared" si="83"/>
        <v/>
      </c>
      <c r="J1053" t="str">
        <f t="shared" si="84"/>
        <v/>
      </c>
      <c r="K1053" t="str">
        <f>IF($A1053="","",IF(COUNTIF($B$2:$B1053,$B1053)=COUNTIF($B$2:$B$1601,$B1053),$B1053,""))</f>
        <v/>
      </c>
    </row>
    <row r="1054" spans="1:11">
      <c r="A1054" t="str">
        <f>IF('TMP Paste'!$E1054="","",'TMP Paste'!$E1054)</f>
        <v/>
      </c>
      <c r="B1054" t="str">
        <f>IF($A1054="","",COUNTIF('TMP Paste'!$B$2:$B1054,"?*"))</f>
        <v/>
      </c>
      <c r="C1054" t="str">
        <f>IF($A1054="","",IFERROR('TMP Paste'!$M1054*1,0))</f>
        <v/>
      </c>
      <c r="D1054" t="str">
        <f>IF($A1054="","",SUMIF($B$2:$B1054,$B1054,$C$2:$C1054))</f>
        <v/>
      </c>
      <c r="E1054">
        <f>IF($A1054="",0,IF('TMP Paste'!$B1054="",0,1))</f>
        <v>0</v>
      </c>
      <c r="F1054" t="str">
        <f t="shared" si="80"/>
        <v/>
      </c>
      <c r="G1054" t="str">
        <f t="shared" si="81"/>
        <v/>
      </c>
      <c r="H1054" t="str">
        <f t="shared" si="82"/>
        <v/>
      </c>
      <c r="I1054" t="str">
        <f t="shared" si="83"/>
        <v/>
      </c>
      <c r="J1054" t="str">
        <f t="shared" si="84"/>
        <v/>
      </c>
      <c r="K1054" t="str">
        <f>IF($A1054="","",IF(COUNTIF($B$2:$B1054,$B1054)=COUNTIF($B$2:$B$1601,$B1054),$B1054,""))</f>
        <v/>
      </c>
    </row>
    <row r="1055" spans="1:11">
      <c r="A1055" t="str">
        <f>IF('TMP Paste'!$E1055="","",'TMP Paste'!$E1055)</f>
        <v/>
      </c>
      <c r="B1055" t="str">
        <f>IF($A1055="","",COUNTIF('TMP Paste'!$B$2:$B1055,"?*"))</f>
        <v/>
      </c>
      <c r="C1055" t="str">
        <f>IF($A1055="","",IFERROR('TMP Paste'!$M1055*1,0))</f>
        <v/>
      </c>
      <c r="D1055" t="str">
        <f>IF($A1055="","",SUMIF($B$2:$B1055,$B1055,$C$2:$C1055))</f>
        <v/>
      </c>
      <c r="E1055">
        <f>IF($A1055="",0,IF('TMP Paste'!$B1055="",0,1))</f>
        <v>0</v>
      </c>
      <c r="F1055" t="str">
        <f t="shared" si="80"/>
        <v/>
      </c>
      <c r="G1055" t="str">
        <f t="shared" si="81"/>
        <v/>
      </c>
      <c r="H1055" t="str">
        <f t="shared" si="82"/>
        <v/>
      </c>
      <c r="I1055" t="str">
        <f t="shared" si="83"/>
        <v/>
      </c>
      <c r="J1055" t="str">
        <f t="shared" si="84"/>
        <v/>
      </c>
      <c r="K1055" t="str">
        <f>IF($A1055="","",IF(COUNTIF($B$2:$B1055,$B1055)=COUNTIF($B$2:$B$1601,$B1055),$B1055,""))</f>
        <v/>
      </c>
    </row>
    <row r="1056" spans="1:11">
      <c r="A1056" t="str">
        <f>IF('TMP Paste'!$E1056="","",'TMP Paste'!$E1056)</f>
        <v/>
      </c>
      <c r="B1056" t="str">
        <f>IF($A1056="","",COUNTIF('TMP Paste'!$B$2:$B1056,"?*"))</f>
        <v/>
      </c>
      <c r="C1056" t="str">
        <f>IF($A1056="","",IFERROR('TMP Paste'!$M1056*1,0))</f>
        <v/>
      </c>
      <c r="D1056" t="str">
        <f>IF($A1056="","",SUMIF($B$2:$B1056,$B1056,$C$2:$C1056))</f>
        <v/>
      </c>
      <c r="E1056">
        <f>IF($A1056="",0,IF('TMP Paste'!$B1056="",0,1))</f>
        <v>0</v>
      </c>
      <c r="F1056" t="str">
        <f t="shared" si="80"/>
        <v/>
      </c>
      <c r="G1056" t="str">
        <f t="shared" si="81"/>
        <v/>
      </c>
      <c r="H1056" t="str">
        <f t="shared" si="82"/>
        <v/>
      </c>
      <c r="I1056" t="str">
        <f t="shared" si="83"/>
        <v/>
      </c>
      <c r="J1056" t="str">
        <f t="shared" si="84"/>
        <v/>
      </c>
      <c r="K1056" t="str">
        <f>IF($A1056="","",IF(COUNTIF($B$2:$B1056,$B1056)=COUNTIF($B$2:$B$1601,$B1056),$B1056,""))</f>
        <v/>
      </c>
    </row>
    <row r="1057" spans="1:11">
      <c r="A1057" t="str">
        <f>IF('TMP Paste'!$E1057="","",'TMP Paste'!$E1057)</f>
        <v/>
      </c>
      <c r="B1057" t="str">
        <f>IF($A1057="","",COUNTIF('TMP Paste'!$B$2:$B1057,"?*"))</f>
        <v/>
      </c>
      <c r="C1057" t="str">
        <f>IF($A1057="","",IFERROR('TMP Paste'!$M1057*1,0))</f>
        <v/>
      </c>
      <c r="D1057" t="str">
        <f>IF($A1057="","",SUMIF($B$2:$B1057,$B1057,$C$2:$C1057))</f>
        <v/>
      </c>
      <c r="E1057">
        <f>IF($A1057="",0,IF('TMP Paste'!$B1057="",0,1))</f>
        <v>0</v>
      </c>
      <c r="F1057" t="str">
        <f t="shared" si="80"/>
        <v/>
      </c>
      <c r="G1057" t="str">
        <f t="shared" si="81"/>
        <v/>
      </c>
      <c r="H1057" t="str">
        <f t="shared" si="82"/>
        <v/>
      </c>
      <c r="I1057" t="str">
        <f t="shared" si="83"/>
        <v/>
      </c>
      <c r="J1057" t="str">
        <f t="shared" si="84"/>
        <v/>
      </c>
      <c r="K1057" t="str">
        <f>IF($A1057="","",IF(COUNTIF($B$2:$B1057,$B1057)=COUNTIF($B$2:$B$1601,$B1057),$B1057,""))</f>
        <v/>
      </c>
    </row>
    <row r="1058" spans="1:11">
      <c r="A1058" t="str">
        <f>IF('TMP Paste'!$E1058="","",'TMP Paste'!$E1058)</f>
        <v/>
      </c>
      <c r="B1058" t="str">
        <f>IF($A1058="","",COUNTIF('TMP Paste'!$B$2:$B1058,"?*"))</f>
        <v/>
      </c>
      <c r="C1058" t="str">
        <f>IF($A1058="","",IFERROR('TMP Paste'!$M1058*1,0))</f>
        <v/>
      </c>
      <c r="D1058" t="str">
        <f>IF($A1058="","",SUMIF($B$2:$B1058,$B1058,$C$2:$C1058))</f>
        <v/>
      </c>
      <c r="E1058">
        <f>IF($A1058="",0,IF('TMP Paste'!$B1058="",0,1))</f>
        <v>0</v>
      </c>
      <c r="F1058" t="str">
        <f t="shared" si="80"/>
        <v/>
      </c>
      <c r="G1058" t="str">
        <f t="shared" si="81"/>
        <v/>
      </c>
      <c r="H1058" t="str">
        <f t="shared" si="82"/>
        <v/>
      </c>
      <c r="I1058" t="str">
        <f t="shared" si="83"/>
        <v/>
      </c>
      <c r="J1058" t="str">
        <f t="shared" si="84"/>
        <v/>
      </c>
      <c r="K1058" t="str">
        <f>IF($A1058="","",IF(COUNTIF($B$2:$B1058,$B1058)=COUNTIF($B$2:$B$1601,$B1058),$B1058,""))</f>
        <v/>
      </c>
    </row>
    <row r="1059" spans="1:11">
      <c r="A1059" t="str">
        <f>IF('TMP Paste'!$E1059="","",'TMP Paste'!$E1059)</f>
        <v/>
      </c>
      <c r="B1059" t="str">
        <f>IF($A1059="","",COUNTIF('TMP Paste'!$B$2:$B1059,"?*"))</f>
        <v/>
      </c>
      <c r="C1059" t="str">
        <f>IF($A1059="","",IFERROR('TMP Paste'!$M1059*1,0))</f>
        <v/>
      </c>
      <c r="D1059" t="str">
        <f>IF($A1059="","",SUMIF($B$2:$B1059,$B1059,$C$2:$C1059))</f>
        <v/>
      </c>
      <c r="E1059">
        <f>IF($A1059="",0,IF('TMP Paste'!$B1059="",0,1))</f>
        <v>0</v>
      </c>
      <c r="F1059" t="str">
        <f t="shared" si="80"/>
        <v/>
      </c>
      <c r="G1059" t="str">
        <f t="shared" si="81"/>
        <v/>
      </c>
      <c r="H1059" t="str">
        <f t="shared" si="82"/>
        <v/>
      </c>
      <c r="I1059" t="str">
        <f t="shared" si="83"/>
        <v/>
      </c>
      <c r="J1059" t="str">
        <f t="shared" si="84"/>
        <v/>
      </c>
      <c r="K1059" t="str">
        <f>IF($A1059="","",IF(COUNTIF($B$2:$B1059,$B1059)=COUNTIF($B$2:$B$1601,$B1059),$B1059,""))</f>
        <v/>
      </c>
    </row>
    <row r="1060" spans="1:11">
      <c r="A1060" t="str">
        <f>IF('TMP Paste'!$E1060="","",'TMP Paste'!$E1060)</f>
        <v/>
      </c>
      <c r="B1060" t="str">
        <f>IF($A1060="","",COUNTIF('TMP Paste'!$B$2:$B1060,"?*"))</f>
        <v/>
      </c>
      <c r="C1060" t="str">
        <f>IF($A1060="","",IFERROR('TMP Paste'!$M1060*1,0))</f>
        <v/>
      </c>
      <c r="D1060" t="str">
        <f>IF($A1060="","",SUMIF($B$2:$B1060,$B1060,$C$2:$C1060))</f>
        <v/>
      </c>
      <c r="E1060">
        <f>IF($A1060="",0,IF('TMP Paste'!$B1060="",0,1))</f>
        <v>0</v>
      </c>
      <c r="F1060" t="str">
        <f t="shared" si="80"/>
        <v/>
      </c>
      <c r="G1060" t="str">
        <f t="shared" si="81"/>
        <v/>
      </c>
      <c r="H1060" t="str">
        <f t="shared" si="82"/>
        <v/>
      </c>
      <c r="I1060" t="str">
        <f t="shared" si="83"/>
        <v/>
      </c>
      <c r="J1060" t="str">
        <f t="shared" si="84"/>
        <v/>
      </c>
      <c r="K1060" t="str">
        <f>IF($A1060="","",IF(COUNTIF($B$2:$B1060,$B1060)=COUNTIF($B$2:$B$1601,$B1060),$B1060,""))</f>
        <v/>
      </c>
    </row>
    <row r="1061" spans="1:11">
      <c r="A1061" t="str">
        <f>IF('TMP Paste'!$E1061="","",'TMP Paste'!$E1061)</f>
        <v/>
      </c>
      <c r="B1061" t="str">
        <f>IF($A1061="","",COUNTIF('TMP Paste'!$B$2:$B1061,"?*"))</f>
        <v/>
      </c>
      <c r="C1061" t="str">
        <f>IF($A1061="","",IFERROR('TMP Paste'!$M1061*1,0))</f>
        <v/>
      </c>
      <c r="D1061" t="str">
        <f>IF($A1061="","",SUMIF($B$2:$B1061,$B1061,$C$2:$C1061))</f>
        <v/>
      </c>
      <c r="E1061">
        <f>IF($A1061="",0,IF('TMP Paste'!$B1061="",0,1))</f>
        <v>0</v>
      </c>
      <c r="F1061" t="str">
        <f t="shared" si="80"/>
        <v/>
      </c>
      <c r="G1061" t="str">
        <f t="shared" si="81"/>
        <v/>
      </c>
      <c r="H1061" t="str">
        <f t="shared" si="82"/>
        <v/>
      </c>
      <c r="I1061" t="str">
        <f t="shared" si="83"/>
        <v/>
      </c>
      <c r="J1061" t="str">
        <f t="shared" si="84"/>
        <v/>
      </c>
      <c r="K1061" t="str">
        <f>IF($A1061="","",IF(COUNTIF($B$2:$B1061,$B1061)=COUNTIF($B$2:$B$1601,$B1061),$B1061,""))</f>
        <v/>
      </c>
    </row>
    <row r="1062" spans="1:11">
      <c r="A1062" t="str">
        <f>IF('TMP Paste'!$E1062="","",'TMP Paste'!$E1062)</f>
        <v/>
      </c>
      <c r="B1062" t="str">
        <f>IF($A1062="","",COUNTIF('TMP Paste'!$B$2:$B1062,"?*"))</f>
        <v/>
      </c>
      <c r="C1062" t="str">
        <f>IF($A1062="","",IFERROR('TMP Paste'!$M1062*1,0))</f>
        <v/>
      </c>
      <c r="D1062" t="str">
        <f>IF($A1062="","",SUMIF($B$2:$B1062,$B1062,$C$2:$C1062))</f>
        <v/>
      </c>
      <c r="E1062">
        <f>IF($A1062="",0,IF('TMP Paste'!$B1062="",0,1))</f>
        <v>0</v>
      </c>
      <c r="F1062" t="str">
        <f t="shared" si="80"/>
        <v/>
      </c>
      <c r="G1062" t="str">
        <f t="shared" si="81"/>
        <v/>
      </c>
      <c r="H1062" t="str">
        <f t="shared" si="82"/>
        <v/>
      </c>
      <c r="I1062" t="str">
        <f t="shared" si="83"/>
        <v/>
      </c>
      <c r="J1062" t="str">
        <f t="shared" si="84"/>
        <v/>
      </c>
      <c r="K1062" t="str">
        <f>IF($A1062="","",IF(COUNTIF($B$2:$B1062,$B1062)=COUNTIF($B$2:$B$1601,$B1062),$B1062,""))</f>
        <v/>
      </c>
    </row>
    <row r="1063" spans="1:11">
      <c r="A1063" t="str">
        <f>IF('TMP Paste'!$E1063="","",'TMP Paste'!$E1063)</f>
        <v/>
      </c>
      <c r="B1063" t="str">
        <f>IF($A1063="","",COUNTIF('TMP Paste'!$B$2:$B1063,"?*"))</f>
        <v/>
      </c>
      <c r="C1063" t="str">
        <f>IF($A1063="","",IFERROR('TMP Paste'!$M1063*1,0))</f>
        <v/>
      </c>
      <c r="D1063" t="str">
        <f>IF($A1063="","",SUMIF($B$2:$B1063,$B1063,$C$2:$C1063))</f>
        <v/>
      </c>
      <c r="E1063">
        <f>IF($A1063="",0,IF('TMP Paste'!$B1063="",0,1))</f>
        <v>0</v>
      </c>
      <c r="F1063" t="str">
        <f t="shared" si="80"/>
        <v/>
      </c>
      <c r="G1063" t="str">
        <f t="shared" si="81"/>
        <v/>
      </c>
      <c r="H1063" t="str">
        <f t="shared" si="82"/>
        <v/>
      </c>
      <c r="I1063" t="str">
        <f t="shared" si="83"/>
        <v/>
      </c>
      <c r="J1063" t="str">
        <f t="shared" si="84"/>
        <v/>
      </c>
      <c r="K1063" t="str">
        <f>IF($A1063="","",IF(COUNTIF($B$2:$B1063,$B1063)=COUNTIF($B$2:$B$1601,$B1063),$B1063,""))</f>
        <v/>
      </c>
    </row>
    <row r="1064" spans="1:11">
      <c r="A1064" t="str">
        <f>IF('TMP Paste'!$E1064="","",'TMP Paste'!$E1064)</f>
        <v/>
      </c>
      <c r="B1064" t="str">
        <f>IF($A1064="","",COUNTIF('TMP Paste'!$B$2:$B1064,"?*"))</f>
        <v/>
      </c>
      <c r="C1064" t="str">
        <f>IF($A1064="","",IFERROR('TMP Paste'!$M1064*1,0))</f>
        <v/>
      </c>
      <c r="D1064" t="str">
        <f>IF($A1064="","",SUMIF($B$2:$B1064,$B1064,$C$2:$C1064))</f>
        <v/>
      </c>
      <c r="E1064">
        <f>IF($A1064="",0,IF('TMP Paste'!$B1064="",0,1))</f>
        <v>0</v>
      </c>
      <c r="F1064" t="str">
        <f t="shared" si="80"/>
        <v/>
      </c>
      <c r="G1064" t="str">
        <f t="shared" si="81"/>
        <v/>
      </c>
      <c r="H1064" t="str">
        <f t="shared" si="82"/>
        <v/>
      </c>
      <c r="I1064" t="str">
        <f t="shared" si="83"/>
        <v/>
      </c>
      <c r="J1064" t="str">
        <f t="shared" si="84"/>
        <v/>
      </c>
      <c r="K1064" t="str">
        <f>IF($A1064="","",IF(COUNTIF($B$2:$B1064,$B1064)=COUNTIF($B$2:$B$1601,$B1064),$B1064,""))</f>
        <v/>
      </c>
    </row>
    <row r="1065" spans="1:11">
      <c r="A1065" t="str">
        <f>IF('TMP Paste'!$E1065="","",'TMP Paste'!$E1065)</f>
        <v/>
      </c>
      <c r="B1065" t="str">
        <f>IF($A1065="","",COUNTIF('TMP Paste'!$B$2:$B1065,"?*"))</f>
        <v/>
      </c>
      <c r="C1065" t="str">
        <f>IF($A1065="","",IFERROR('TMP Paste'!$M1065*1,0))</f>
        <v/>
      </c>
      <c r="D1065" t="str">
        <f>IF($A1065="","",SUMIF($B$2:$B1065,$B1065,$C$2:$C1065))</f>
        <v/>
      </c>
      <c r="E1065">
        <f>IF($A1065="",0,IF('TMP Paste'!$B1065="",0,1))</f>
        <v>0</v>
      </c>
      <c r="F1065" t="str">
        <f t="shared" si="80"/>
        <v/>
      </c>
      <c r="G1065" t="str">
        <f t="shared" si="81"/>
        <v/>
      </c>
      <c r="H1065" t="str">
        <f t="shared" si="82"/>
        <v/>
      </c>
      <c r="I1065" t="str">
        <f t="shared" si="83"/>
        <v/>
      </c>
      <c r="J1065" t="str">
        <f t="shared" si="84"/>
        <v/>
      </c>
      <c r="K1065" t="str">
        <f>IF($A1065="","",IF(COUNTIF($B$2:$B1065,$B1065)=COUNTIF($B$2:$B$1601,$B1065),$B1065,""))</f>
        <v/>
      </c>
    </row>
    <row r="1066" spans="1:11">
      <c r="A1066" t="str">
        <f>IF('TMP Paste'!$E1066="","",'TMP Paste'!$E1066)</f>
        <v/>
      </c>
      <c r="B1066" t="str">
        <f>IF($A1066="","",COUNTIF('TMP Paste'!$B$2:$B1066,"?*"))</f>
        <v/>
      </c>
      <c r="C1066" t="str">
        <f>IF($A1066="","",IFERROR('TMP Paste'!$M1066*1,0))</f>
        <v/>
      </c>
      <c r="D1066" t="str">
        <f>IF($A1066="","",SUMIF($B$2:$B1066,$B1066,$C$2:$C1066))</f>
        <v/>
      </c>
      <c r="E1066">
        <f>IF($A1066="",0,IF('TMP Paste'!$B1066="",0,1))</f>
        <v>0</v>
      </c>
      <c r="F1066" t="str">
        <f t="shared" si="80"/>
        <v/>
      </c>
      <c r="G1066" t="str">
        <f t="shared" si="81"/>
        <v/>
      </c>
      <c r="H1066" t="str">
        <f t="shared" si="82"/>
        <v/>
      </c>
      <c r="I1066" t="str">
        <f t="shared" si="83"/>
        <v/>
      </c>
      <c r="J1066" t="str">
        <f t="shared" si="84"/>
        <v/>
      </c>
      <c r="K1066" t="str">
        <f>IF($A1066="","",IF(COUNTIF($B$2:$B1066,$B1066)=COUNTIF($B$2:$B$1601,$B1066),$B1066,""))</f>
        <v/>
      </c>
    </row>
    <row r="1067" spans="1:11">
      <c r="A1067" t="str">
        <f>IF('TMP Paste'!$E1067="","",'TMP Paste'!$E1067)</f>
        <v/>
      </c>
      <c r="B1067" t="str">
        <f>IF($A1067="","",COUNTIF('TMP Paste'!$B$2:$B1067,"?*"))</f>
        <v/>
      </c>
      <c r="C1067" t="str">
        <f>IF($A1067="","",IFERROR('TMP Paste'!$M1067*1,0))</f>
        <v/>
      </c>
      <c r="D1067" t="str">
        <f>IF($A1067="","",SUMIF($B$2:$B1067,$B1067,$C$2:$C1067))</f>
        <v/>
      </c>
      <c r="E1067">
        <f>IF($A1067="",0,IF('TMP Paste'!$B1067="",0,1))</f>
        <v>0</v>
      </c>
      <c r="F1067" t="str">
        <f t="shared" si="80"/>
        <v/>
      </c>
      <c r="G1067" t="str">
        <f t="shared" si="81"/>
        <v/>
      </c>
      <c r="H1067" t="str">
        <f t="shared" si="82"/>
        <v/>
      </c>
      <c r="I1067" t="str">
        <f t="shared" si="83"/>
        <v/>
      </c>
      <c r="J1067" t="str">
        <f t="shared" si="84"/>
        <v/>
      </c>
      <c r="K1067" t="str">
        <f>IF($A1067="","",IF(COUNTIF($B$2:$B1067,$B1067)=COUNTIF($B$2:$B$1601,$B1067),$B1067,""))</f>
        <v/>
      </c>
    </row>
    <row r="1068" spans="1:11">
      <c r="A1068" t="str">
        <f>IF('TMP Paste'!$E1068="","",'TMP Paste'!$E1068)</f>
        <v/>
      </c>
      <c r="B1068" t="str">
        <f>IF($A1068="","",COUNTIF('TMP Paste'!$B$2:$B1068,"?*"))</f>
        <v/>
      </c>
      <c r="C1068" t="str">
        <f>IF($A1068="","",IFERROR('TMP Paste'!$M1068*1,0))</f>
        <v/>
      </c>
      <c r="D1068" t="str">
        <f>IF($A1068="","",SUMIF($B$2:$B1068,$B1068,$C$2:$C1068))</f>
        <v/>
      </c>
      <c r="E1068">
        <f>IF($A1068="",0,IF('TMP Paste'!$B1068="",0,1))</f>
        <v>0</v>
      </c>
      <c r="F1068" t="str">
        <f t="shared" si="80"/>
        <v/>
      </c>
      <c r="G1068" t="str">
        <f t="shared" si="81"/>
        <v/>
      </c>
      <c r="H1068" t="str">
        <f t="shared" si="82"/>
        <v/>
      </c>
      <c r="I1068" t="str">
        <f t="shared" si="83"/>
        <v/>
      </c>
      <c r="J1068" t="str">
        <f t="shared" si="84"/>
        <v/>
      </c>
      <c r="K1068" t="str">
        <f>IF($A1068="","",IF(COUNTIF($B$2:$B1068,$B1068)=COUNTIF($B$2:$B$1601,$B1068),$B1068,""))</f>
        <v/>
      </c>
    </row>
    <row r="1069" spans="1:11">
      <c r="A1069" t="str">
        <f>IF('TMP Paste'!$E1069="","",'TMP Paste'!$E1069)</f>
        <v/>
      </c>
      <c r="B1069" t="str">
        <f>IF($A1069="","",COUNTIF('TMP Paste'!$B$2:$B1069,"?*"))</f>
        <v/>
      </c>
      <c r="C1069" t="str">
        <f>IF($A1069="","",IFERROR('TMP Paste'!$M1069*1,0))</f>
        <v/>
      </c>
      <c r="D1069" t="str">
        <f>IF($A1069="","",SUMIF($B$2:$B1069,$B1069,$C$2:$C1069))</f>
        <v/>
      </c>
      <c r="E1069">
        <f>IF($A1069="",0,IF('TMP Paste'!$B1069="",0,1))</f>
        <v>0</v>
      </c>
      <c r="F1069" t="str">
        <f t="shared" si="80"/>
        <v/>
      </c>
      <c r="G1069" t="str">
        <f t="shared" si="81"/>
        <v/>
      </c>
      <c r="H1069" t="str">
        <f t="shared" si="82"/>
        <v/>
      </c>
      <c r="I1069" t="str">
        <f t="shared" si="83"/>
        <v/>
      </c>
      <c r="J1069" t="str">
        <f t="shared" si="84"/>
        <v/>
      </c>
      <c r="K1069" t="str">
        <f>IF($A1069="","",IF(COUNTIF($B$2:$B1069,$B1069)=COUNTIF($B$2:$B$1601,$B1069),$B1069,""))</f>
        <v/>
      </c>
    </row>
    <row r="1070" spans="1:11">
      <c r="A1070" t="str">
        <f>IF('TMP Paste'!$E1070="","",'TMP Paste'!$E1070)</f>
        <v/>
      </c>
      <c r="B1070" t="str">
        <f>IF($A1070="","",COUNTIF('TMP Paste'!$B$2:$B1070,"?*"))</f>
        <v/>
      </c>
      <c r="C1070" t="str">
        <f>IF($A1070="","",IFERROR('TMP Paste'!$M1070*1,0))</f>
        <v/>
      </c>
      <c r="D1070" t="str">
        <f>IF($A1070="","",SUMIF($B$2:$B1070,$B1070,$C$2:$C1070))</f>
        <v/>
      </c>
      <c r="E1070">
        <f>IF($A1070="",0,IF('TMP Paste'!$B1070="",0,1))</f>
        <v>0</v>
      </c>
      <c r="F1070" t="str">
        <f t="shared" si="80"/>
        <v/>
      </c>
      <c r="G1070" t="str">
        <f t="shared" si="81"/>
        <v/>
      </c>
      <c r="H1070" t="str">
        <f t="shared" si="82"/>
        <v/>
      </c>
      <c r="I1070" t="str">
        <f t="shared" si="83"/>
        <v/>
      </c>
      <c r="J1070" t="str">
        <f t="shared" si="84"/>
        <v/>
      </c>
      <c r="K1070" t="str">
        <f>IF($A1070="","",IF(COUNTIF($B$2:$B1070,$B1070)=COUNTIF($B$2:$B$1601,$B1070),$B1070,""))</f>
        <v/>
      </c>
    </row>
    <row r="1071" spans="1:11">
      <c r="A1071" t="str">
        <f>IF('TMP Paste'!$E1071="","",'TMP Paste'!$E1071)</f>
        <v/>
      </c>
      <c r="B1071" t="str">
        <f>IF($A1071="","",COUNTIF('TMP Paste'!$B$2:$B1071,"?*"))</f>
        <v/>
      </c>
      <c r="C1071" t="str">
        <f>IF($A1071="","",IFERROR('TMP Paste'!$M1071*1,0))</f>
        <v/>
      </c>
      <c r="D1071" t="str">
        <f>IF($A1071="","",SUMIF($B$2:$B1071,$B1071,$C$2:$C1071))</f>
        <v/>
      </c>
      <c r="E1071">
        <f>IF($A1071="",0,IF('TMP Paste'!$B1071="",0,1))</f>
        <v>0</v>
      </c>
      <c r="F1071" t="str">
        <f t="shared" si="80"/>
        <v/>
      </c>
      <c r="G1071" t="str">
        <f t="shared" si="81"/>
        <v/>
      </c>
      <c r="H1071" t="str">
        <f t="shared" si="82"/>
        <v/>
      </c>
      <c r="I1071" t="str">
        <f t="shared" si="83"/>
        <v/>
      </c>
      <c r="J1071" t="str">
        <f t="shared" si="84"/>
        <v/>
      </c>
      <c r="K1071" t="str">
        <f>IF($A1071="","",IF(COUNTIF($B$2:$B1071,$B1071)=COUNTIF($B$2:$B$1601,$B1071),$B1071,""))</f>
        <v/>
      </c>
    </row>
    <row r="1072" spans="1:11">
      <c r="A1072" t="str">
        <f>IF('TMP Paste'!$E1072="","",'TMP Paste'!$E1072)</f>
        <v/>
      </c>
      <c r="B1072" t="str">
        <f>IF($A1072="","",COUNTIF('TMP Paste'!$B$2:$B1072,"?*"))</f>
        <v/>
      </c>
      <c r="C1072" t="str">
        <f>IF($A1072="","",IFERROR('TMP Paste'!$M1072*1,0))</f>
        <v/>
      </c>
      <c r="D1072" t="str">
        <f>IF($A1072="","",SUMIF($B$2:$B1072,$B1072,$C$2:$C1072))</f>
        <v/>
      </c>
      <c r="E1072">
        <f>IF($A1072="",0,IF('TMP Paste'!$B1072="",0,1))</f>
        <v>0</v>
      </c>
      <c r="F1072" t="str">
        <f t="shared" si="80"/>
        <v/>
      </c>
      <c r="G1072" t="str">
        <f t="shared" si="81"/>
        <v/>
      </c>
      <c r="H1072" t="str">
        <f t="shared" si="82"/>
        <v/>
      </c>
      <c r="I1072" t="str">
        <f t="shared" si="83"/>
        <v/>
      </c>
      <c r="J1072" t="str">
        <f t="shared" si="84"/>
        <v/>
      </c>
      <c r="K1072" t="str">
        <f>IF($A1072="","",IF(COUNTIF($B$2:$B1072,$B1072)=COUNTIF($B$2:$B$1601,$B1072),$B1072,""))</f>
        <v/>
      </c>
    </row>
    <row r="1073" spans="1:11">
      <c r="A1073" t="str">
        <f>IF('TMP Paste'!$E1073="","",'TMP Paste'!$E1073)</f>
        <v/>
      </c>
      <c r="B1073" t="str">
        <f>IF($A1073="","",COUNTIF('TMP Paste'!$B$2:$B1073,"?*"))</f>
        <v/>
      </c>
      <c r="C1073" t="str">
        <f>IF($A1073="","",IFERROR('TMP Paste'!$M1073*1,0))</f>
        <v/>
      </c>
      <c r="D1073" t="str">
        <f>IF($A1073="","",SUMIF($B$2:$B1073,$B1073,$C$2:$C1073))</f>
        <v/>
      </c>
      <c r="E1073">
        <f>IF($A1073="",0,IF('TMP Paste'!$B1073="",0,1))</f>
        <v>0</v>
      </c>
      <c r="F1073" t="str">
        <f t="shared" si="80"/>
        <v/>
      </c>
      <c r="G1073" t="str">
        <f t="shared" si="81"/>
        <v/>
      </c>
      <c r="H1073" t="str">
        <f t="shared" si="82"/>
        <v/>
      </c>
      <c r="I1073" t="str">
        <f t="shared" si="83"/>
        <v/>
      </c>
      <c r="J1073" t="str">
        <f t="shared" si="84"/>
        <v/>
      </c>
      <c r="K1073" t="str">
        <f>IF($A1073="","",IF(COUNTIF($B$2:$B1073,$B1073)=COUNTIF($B$2:$B$1601,$B1073),$B1073,""))</f>
        <v/>
      </c>
    </row>
    <row r="1074" spans="1:11">
      <c r="A1074" t="str">
        <f>IF('TMP Paste'!$E1074="","",'TMP Paste'!$E1074)</f>
        <v/>
      </c>
      <c r="B1074" t="str">
        <f>IF($A1074="","",COUNTIF('TMP Paste'!$B$2:$B1074,"?*"))</f>
        <v/>
      </c>
      <c r="C1074" t="str">
        <f>IF($A1074="","",IFERROR('TMP Paste'!$M1074*1,0))</f>
        <v/>
      </c>
      <c r="D1074" t="str">
        <f>IF($A1074="","",SUMIF($B$2:$B1074,$B1074,$C$2:$C1074))</f>
        <v/>
      </c>
      <c r="E1074">
        <f>IF($A1074="",0,IF('TMP Paste'!$B1074="",0,1))</f>
        <v>0</v>
      </c>
      <c r="F1074" t="str">
        <f t="shared" si="80"/>
        <v/>
      </c>
      <c r="G1074" t="str">
        <f t="shared" si="81"/>
        <v/>
      </c>
      <c r="H1074" t="str">
        <f t="shared" si="82"/>
        <v/>
      </c>
      <c r="I1074" t="str">
        <f t="shared" si="83"/>
        <v/>
      </c>
      <c r="J1074" t="str">
        <f t="shared" si="84"/>
        <v/>
      </c>
      <c r="K1074" t="str">
        <f>IF($A1074="","",IF(COUNTIF($B$2:$B1074,$B1074)=COUNTIF($B$2:$B$1601,$B1074),$B1074,""))</f>
        <v/>
      </c>
    </row>
    <row r="1075" spans="1:11">
      <c r="A1075" t="str">
        <f>IF('TMP Paste'!$E1075="","",'TMP Paste'!$E1075)</f>
        <v/>
      </c>
      <c r="B1075" t="str">
        <f>IF($A1075="","",COUNTIF('TMP Paste'!$B$2:$B1075,"?*"))</f>
        <v/>
      </c>
      <c r="C1075" t="str">
        <f>IF($A1075="","",IFERROR('TMP Paste'!$M1075*1,0))</f>
        <v/>
      </c>
      <c r="D1075" t="str">
        <f>IF($A1075="","",SUMIF($B$2:$B1075,$B1075,$C$2:$C1075))</f>
        <v/>
      </c>
      <c r="E1075">
        <f>IF($A1075="",0,IF('TMP Paste'!$B1075="",0,1))</f>
        <v>0</v>
      </c>
      <c r="F1075" t="str">
        <f t="shared" si="80"/>
        <v/>
      </c>
      <c r="G1075" t="str">
        <f t="shared" si="81"/>
        <v/>
      </c>
      <c r="H1075" t="str">
        <f t="shared" si="82"/>
        <v/>
      </c>
      <c r="I1075" t="str">
        <f t="shared" si="83"/>
        <v/>
      </c>
      <c r="J1075" t="str">
        <f t="shared" si="84"/>
        <v/>
      </c>
      <c r="K1075" t="str">
        <f>IF($A1075="","",IF(COUNTIF($B$2:$B1075,$B1075)=COUNTIF($B$2:$B$1601,$B1075),$B1075,""))</f>
        <v/>
      </c>
    </row>
    <row r="1076" spans="1:11">
      <c r="A1076" t="str">
        <f>IF('TMP Paste'!$E1076="","",'TMP Paste'!$E1076)</f>
        <v/>
      </c>
      <c r="B1076" t="str">
        <f>IF($A1076="","",COUNTIF('TMP Paste'!$B$2:$B1076,"?*"))</f>
        <v/>
      </c>
      <c r="C1076" t="str">
        <f>IF($A1076="","",IFERROR('TMP Paste'!$M1076*1,0))</f>
        <v/>
      </c>
      <c r="D1076" t="str">
        <f>IF($A1076="","",SUMIF($B$2:$B1076,$B1076,$C$2:$C1076))</f>
        <v/>
      </c>
      <c r="E1076">
        <f>IF($A1076="",0,IF('TMP Paste'!$B1076="",0,1))</f>
        <v>0</v>
      </c>
      <c r="F1076" t="str">
        <f t="shared" si="80"/>
        <v/>
      </c>
      <c r="G1076" t="str">
        <f t="shared" si="81"/>
        <v/>
      </c>
      <c r="H1076" t="str">
        <f t="shared" si="82"/>
        <v/>
      </c>
      <c r="I1076" t="str">
        <f t="shared" si="83"/>
        <v/>
      </c>
      <c r="J1076" t="str">
        <f t="shared" si="84"/>
        <v/>
      </c>
      <c r="K1076" t="str">
        <f>IF($A1076="","",IF(COUNTIF($B$2:$B1076,$B1076)=COUNTIF($B$2:$B$1601,$B1076),$B1076,""))</f>
        <v/>
      </c>
    </row>
    <row r="1077" spans="1:11">
      <c r="A1077" t="str">
        <f>IF('TMP Paste'!$E1077="","",'TMP Paste'!$E1077)</f>
        <v/>
      </c>
      <c r="B1077" t="str">
        <f>IF($A1077="","",COUNTIF('TMP Paste'!$B$2:$B1077,"?*"))</f>
        <v/>
      </c>
      <c r="C1077" t="str">
        <f>IF($A1077="","",IFERROR('TMP Paste'!$M1077*1,0))</f>
        <v/>
      </c>
      <c r="D1077" t="str">
        <f>IF($A1077="","",SUMIF($B$2:$B1077,$B1077,$C$2:$C1077))</f>
        <v/>
      </c>
      <c r="E1077">
        <f>IF($A1077="",0,IF('TMP Paste'!$B1077="",0,1))</f>
        <v>0</v>
      </c>
      <c r="F1077" t="str">
        <f t="shared" si="80"/>
        <v/>
      </c>
      <c r="G1077" t="str">
        <f t="shared" si="81"/>
        <v/>
      </c>
      <c r="H1077" t="str">
        <f t="shared" si="82"/>
        <v/>
      </c>
      <c r="I1077" t="str">
        <f t="shared" si="83"/>
        <v/>
      </c>
      <c r="J1077" t="str">
        <f t="shared" si="84"/>
        <v/>
      </c>
      <c r="K1077" t="str">
        <f>IF($A1077="","",IF(COUNTIF($B$2:$B1077,$B1077)=COUNTIF($B$2:$B$1601,$B1077),$B1077,""))</f>
        <v/>
      </c>
    </row>
    <row r="1078" spans="1:11">
      <c r="A1078" t="str">
        <f>IF('TMP Paste'!$E1078="","",'TMP Paste'!$E1078)</f>
        <v/>
      </c>
      <c r="B1078" t="str">
        <f>IF($A1078="","",COUNTIF('TMP Paste'!$B$2:$B1078,"?*"))</f>
        <v/>
      </c>
      <c r="C1078" t="str">
        <f>IF($A1078="","",IFERROR('TMP Paste'!$M1078*1,0))</f>
        <v/>
      </c>
      <c r="D1078" t="str">
        <f>IF($A1078="","",SUMIF($B$2:$B1078,$B1078,$C$2:$C1078))</f>
        <v/>
      </c>
      <c r="E1078">
        <f>IF($A1078="",0,IF('TMP Paste'!$B1078="",0,1))</f>
        <v>0</v>
      </c>
      <c r="F1078" t="str">
        <f t="shared" si="80"/>
        <v/>
      </c>
      <c r="G1078" t="str">
        <f t="shared" si="81"/>
        <v/>
      </c>
      <c r="H1078" t="str">
        <f t="shared" si="82"/>
        <v/>
      </c>
      <c r="I1078" t="str">
        <f t="shared" si="83"/>
        <v/>
      </c>
      <c r="J1078" t="str">
        <f t="shared" si="84"/>
        <v/>
      </c>
      <c r="K1078" t="str">
        <f>IF($A1078="","",IF(COUNTIF($B$2:$B1078,$B1078)=COUNTIF($B$2:$B$1601,$B1078),$B1078,""))</f>
        <v/>
      </c>
    </row>
    <row r="1079" spans="1:11">
      <c r="A1079" t="str">
        <f>IF('TMP Paste'!$E1079="","",'TMP Paste'!$E1079)</f>
        <v/>
      </c>
      <c r="B1079" t="str">
        <f>IF($A1079="","",COUNTIF('TMP Paste'!$B$2:$B1079,"?*"))</f>
        <v/>
      </c>
      <c r="C1079" t="str">
        <f>IF($A1079="","",IFERROR('TMP Paste'!$M1079*1,0))</f>
        <v/>
      </c>
      <c r="D1079" t="str">
        <f>IF($A1079="","",SUMIF($B$2:$B1079,$B1079,$C$2:$C1079))</f>
        <v/>
      </c>
      <c r="E1079">
        <f>IF($A1079="",0,IF('TMP Paste'!$B1079="",0,1))</f>
        <v>0</v>
      </c>
      <c r="F1079" t="str">
        <f t="shared" si="80"/>
        <v/>
      </c>
      <c r="G1079" t="str">
        <f t="shared" si="81"/>
        <v/>
      </c>
      <c r="H1079" t="str">
        <f t="shared" si="82"/>
        <v/>
      </c>
      <c r="I1079" t="str">
        <f t="shared" si="83"/>
        <v/>
      </c>
      <c r="J1079" t="str">
        <f t="shared" si="84"/>
        <v/>
      </c>
      <c r="K1079" t="str">
        <f>IF($A1079="","",IF(COUNTIF($B$2:$B1079,$B1079)=COUNTIF($B$2:$B$1601,$B1079),$B1079,""))</f>
        <v/>
      </c>
    </row>
    <row r="1080" spans="1:11">
      <c r="A1080" t="str">
        <f>IF('TMP Paste'!$E1080="","",'TMP Paste'!$E1080)</f>
        <v/>
      </c>
      <c r="B1080" t="str">
        <f>IF($A1080="","",COUNTIF('TMP Paste'!$B$2:$B1080,"?*"))</f>
        <v/>
      </c>
      <c r="C1080" t="str">
        <f>IF($A1080="","",IFERROR('TMP Paste'!$M1080*1,0))</f>
        <v/>
      </c>
      <c r="D1080" t="str">
        <f>IF($A1080="","",SUMIF($B$2:$B1080,$B1080,$C$2:$C1080))</f>
        <v/>
      </c>
      <c r="E1080">
        <f>IF($A1080="",0,IF('TMP Paste'!$B1080="",0,1))</f>
        <v>0</v>
      </c>
      <c r="F1080" t="str">
        <f t="shared" si="80"/>
        <v/>
      </c>
      <c r="G1080" t="str">
        <f t="shared" si="81"/>
        <v/>
      </c>
      <c r="H1080" t="str">
        <f t="shared" si="82"/>
        <v/>
      </c>
      <c r="I1080" t="str">
        <f t="shared" si="83"/>
        <v/>
      </c>
      <c r="J1080" t="str">
        <f t="shared" si="84"/>
        <v/>
      </c>
      <c r="K1080" t="str">
        <f>IF($A1080="","",IF(COUNTIF($B$2:$B1080,$B1080)=COUNTIF($B$2:$B$1601,$B1080),$B1080,""))</f>
        <v/>
      </c>
    </row>
    <row r="1081" spans="1:11">
      <c r="A1081" t="str">
        <f>IF('TMP Paste'!$E1081="","",'TMP Paste'!$E1081)</f>
        <v/>
      </c>
      <c r="B1081" t="str">
        <f>IF($A1081="","",COUNTIF('TMP Paste'!$B$2:$B1081,"?*"))</f>
        <v/>
      </c>
      <c r="C1081" t="str">
        <f>IF($A1081="","",IFERROR('TMP Paste'!$M1081*1,0))</f>
        <v/>
      </c>
      <c r="D1081" t="str">
        <f>IF($A1081="","",SUMIF($B$2:$B1081,$B1081,$C$2:$C1081))</f>
        <v/>
      </c>
      <c r="E1081">
        <f>IF($A1081="",0,IF('TMP Paste'!$B1081="",0,1))</f>
        <v>0</v>
      </c>
      <c r="F1081" t="str">
        <f t="shared" si="80"/>
        <v/>
      </c>
      <c r="G1081" t="str">
        <f t="shared" si="81"/>
        <v/>
      </c>
      <c r="H1081" t="str">
        <f t="shared" si="82"/>
        <v/>
      </c>
      <c r="I1081" t="str">
        <f t="shared" si="83"/>
        <v/>
      </c>
      <c r="J1081" t="str">
        <f t="shared" si="84"/>
        <v/>
      </c>
      <c r="K1081" t="str">
        <f>IF($A1081="","",IF(COUNTIF($B$2:$B1081,$B1081)=COUNTIF($B$2:$B$1601,$B1081),$B1081,""))</f>
        <v/>
      </c>
    </row>
    <row r="1082" spans="1:11">
      <c r="A1082" t="str">
        <f>IF('TMP Paste'!$E1082="","",'TMP Paste'!$E1082)</f>
        <v/>
      </c>
      <c r="B1082" t="str">
        <f>IF($A1082="","",COUNTIF('TMP Paste'!$B$2:$B1082,"?*"))</f>
        <v/>
      </c>
      <c r="C1082" t="str">
        <f>IF($A1082="","",IFERROR('TMP Paste'!$M1082*1,0))</f>
        <v/>
      </c>
      <c r="D1082" t="str">
        <f>IF($A1082="","",SUMIF($B$2:$B1082,$B1082,$C$2:$C1082))</f>
        <v/>
      </c>
      <c r="E1082">
        <f>IF($A1082="",0,IF('TMP Paste'!$B1082="",0,1))</f>
        <v>0</v>
      </c>
      <c r="F1082" t="str">
        <f t="shared" si="80"/>
        <v/>
      </c>
      <c r="G1082" t="str">
        <f t="shared" si="81"/>
        <v/>
      </c>
      <c r="H1082" t="str">
        <f t="shared" si="82"/>
        <v/>
      </c>
      <c r="I1082" t="str">
        <f t="shared" si="83"/>
        <v/>
      </c>
      <c r="J1082" t="str">
        <f t="shared" si="84"/>
        <v/>
      </c>
      <c r="K1082" t="str">
        <f>IF($A1082="","",IF(COUNTIF($B$2:$B1082,$B1082)=COUNTIF($B$2:$B$1601,$B1082),$B1082,""))</f>
        <v/>
      </c>
    </row>
    <row r="1083" spans="1:11">
      <c r="A1083" t="str">
        <f>IF('TMP Paste'!$E1083="","",'TMP Paste'!$E1083)</f>
        <v/>
      </c>
      <c r="B1083" t="str">
        <f>IF($A1083="","",COUNTIF('TMP Paste'!$B$2:$B1083,"?*"))</f>
        <v/>
      </c>
      <c r="C1083" t="str">
        <f>IF($A1083="","",IFERROR('TMP Paste'!$M1083*1,0))</f>
        <v/>
      </c>
      <c r="D1083" t="str">
        <f>IF($A1083="","",SUMIF($B$2:$B1083,$B1083,$C$2:$C1083))</f>
        <v/>
      </c>
      <c r="E1083">
        <f>IF($A1083="",0,IF('TMP Paste'!$B1083="",0,1))</f>
        <v>0</v>
      </c>
      <c r="F1083" t="str">
        <f t="shared" si="80"/>
        <v/>
      </c>
      <c r="G1083" t="str">
        <f t="shared" si="81"/>
        <v/>
      </c>
      <c r="H1083" t="str">
        <f t="shared" si="82"/>
        <v/>
      </c>
      <c r="I1083" t="str">
        <f t="shared" si="83"/>
        <v/>
      </c>
      <c r="J1083" t="str">
        <f t="shared" si="84"/>
        <v/>
      </c>
      <c r="K1083" t="str">
        <f>IF($A1083="","",IF(COUNTIF($B$2:$B1083,$B1083)=COUNTIF($B$2:$B$1601,$B1083),$B1083,""))</f>
        <v/>
      </c>
    </row>
    <row r="1084" spans="1:11">
      <c r="A1084" t="str">
        <f>IF('TMP Paste'!$E1084="","",'TMP Paste'!$E1084)</f>
        <v/>
      </c>
      <c r="B1084" t="str">
        <f>IF($A1084="","",COUNTIF('TMP Paste'!$B$2:$B1084,"?*"))</f>
        <v/>
      </c>
      <c r="C1084" t="str">
        <f>IF($A1084="","",IFERROR('TMP Paste'!$M1084*1,0))</f>
        <v/>
      </c>
      <c r="D1084" t="str">
        <f>IF($A1084="","",SUMIF($B$2:$B1084,$B1084,$C$2:$C1084))</f>
        <v/>
      </c>
      <c r="E1084">
        <f>IF($A1084="",0,IF('TMP Paste'!$B1084="",0,1))</f>
        <v>0</v>
      </c>
      <c r="F1084" t="str">
        <f t="shared" si="80"/>
        <v/>
      </c>
      <c r="G1084" t="str">
        <f t="shared" si="81"/>
        <v/>
      </c>
      <c r="H1084" t="str">
        <f t="shared" si="82"/>
        <v/>
      </c>
      <c r="I1084" t="str">
        <f t="shared" si="83"/>
        <v/>
      </c>
      <c r="J1084" t="str">
        <f t="shared" si="84"/>
        <v/>
      </c>
      <c r="K1084" t="str">
        <f>IF($A1084="","",IF(COUNTIF($B$2:$B1084,$B1084)=COUNTIF($B$2:$B$1601,$B1084),$B1084,""))</f>
        <v/>
      </c>
    </row>
    <row r="1085" spans="1:11">
      <c r="A1085" t="str">
        <f>IF('TMP Paste'!$E1085="","",'TMP Paste'!$E1085)</f>
        <v/>
      </c>
      <c r="B1085" t="str">
        <f>IF($A1085="","",COUNTIF('TMP Paste'!$B$2:$B1085,"?*"))</f>
        <v/>
      </c>
      <c r="C1085" t="str">
        <f>IF($A1085="","",IFERROR('TMP Paste'!$M1085*1,0))</f>
        <v/>
      </c>
      <c r="D1085" t="str">
        <f>IF($A1085="","",SUMIF($B$2:$B1085,$B1085,$C$2:$C1085))</f>
        <v/>
      </c>
      <c r="E1085">
        <f>IF($A1085="",0,IF('TMP Paste'!$B1085="",0,1))</f>
        <v>0</v>
      </c>
      <c r="F1085" t="str">
        <f t="shared" si="80"/>
        <v/>
      </c>
      <c r="G1085" t="str">
        <f t="shared" si="81"/>
        <v/>
      </c>
      <c r="H1085" t="str">
        <f t="shared" si="82"/>
        <v/>
      </c>
      <c r="I1085" t="str">
        <f t="shared" si="83"/>
        <v/>
      </c>
      <c r="J1085" t="str">
        <f t="shared" si="84"/>
        <v/>
      </c>
      <c r="K1085" t="str">
        <f>IF($A1085="","",IF(COUNTIF($B$2:$B1085,$B1085)=COUNTIF($B$2:$B$1601,$B1085),$B1085,""))</f>
        <v/>
      </c>
    </row>
    <row r="1086" spans="1:11">
      <c r="A1086" t="str">
        <f>IF('TMP Paste'!$E1086="","",'TMP Paste'!$E1086)</f>
        <v/>
      </c>
      <c r="B1086" t="str">
        <f>IF($A1086="","",COUNTIF('TMP Paste'!$B$2:$B1086,"?*"))</f>
        <v/>
      </c>
      <c r="C1086" t="str">
        <f>IF($A1086="","",IFERROR('TMP Paste'!$M1086*1,0))</f>
        <v/>
      </c>
      <c r="D1086" t="str">
        <f>IF($A1086="","",SUMIF($B$2:$B1086,$B1086,$C$2:$C1086))</f>
        <v/>
      </c>
      <c r="E1086">
        <f>IF($A1086="",0,IF('TMP Paste'!$B1086="",0,1))</f>
        <v>0</v>
      </c>
      <c r="F1086" t="str">
        <f t="shared" si="80"/>
        <v/>
      </c>
      <c r="G1086" t="str">
        <f t="shared" si="81"/>
        <v/>
      </c>
      <c r="H1086" t="str">
        <f t="shared" si="82"/>
        <v/>
      </c>
      <c r="I1086" t="str">
        <f t="shared" si="83"/>
        <v/>
      </c>
      <c r="J1086" t="str">
        <f t="shared" si="84"/>
        <v/>
      </c>
      <c r="K1086" t="str">
        <f>IF($A1086="","",IF(COUNTIF($B$2:$B1086,$B1086)=COUNTIF($B$2:$B$1601,$B1086),$B1086,""))</f>
        <v/>
      </c>
    </row>
    <row r="1087" spans="1:11">
      <c r="A1087" t="str">
        <f>IF('TMP Paste'!$E1087="","",'TMP Paste'!$E1087)</f>
        <v/>
      </c>
      <c r="B1087" t="str">
        <f>IF($A1087="","",COUNTIF('TMP Paste'!$B$2:$B1087,"?*"))</f>
        <v/>
      </c>
      <c r="C1087" t="str">
        <f>IF($A1087="","",IFERROR('TMP Paste'!$M1087*1,0))</f>
        <v/>
      </c>
      <c r="D1087" t="str">
        <f>IF($A1087="","",SUMIF($B$2:$B1087,$B1087,$C$2:$C1087))</f>
        <v/>
      </c>
      <c r="E1087">
        <f>IF($A1087="",0,IF('TMP Paste'!$B1087="",0,1))</f>
        <v>0</v>
      </c>
      <c r="F1087" t="str">
        <f t="shared" si="80"/>
        <v/>
      </c>
      <c r="G1087" t="str">
        <f t="shared" si="81"/>
        <v/>
      </c>
      <c r="H1087" t="str">
        <f t="shared" si="82"/>
        <v/>
      </c>
      <c r="I1087" t="str">
        <f t="shared" si="83"/>
        <v/>
      </c>
      <c r="J1087" t="str">
        <f t="shared" si="84"/>
        <v/>
      </c>
      <c r="K1087" t="str">
        <f>IF($A1087="","",IF(COUNTIF($B$2:$B1087,$B1087)=COUNTIF($B$2:$B$1601,$B1087),$B1087,""))</f>
        <v/>
      </c>
    </row>
    <row r="1088" spans="1:11">
      <c r="A1088" t="str">
        <f>IF('TMP Paste'!$E1088="","",'TMP Paste'!$E1088)</f>
        <v/>
      </c>
      <c r="B1088" t="str">
        <f>IF($A1088="","",COUNTIF('TMP Paste'!$B$2:$B1088,"?*"))</f>
        <v/>
      </c>
      <c r="C1088" t="str">
        <f>IF($A1088="","",IFERROR('TMP Paste'!$M1088*1,0))</f>
        <v/>
      </c>
      <c r="D1088" t="str">
        <f>IF($A1088="","",SUMIF($B$2:$B1088,$B1088,$C$2:$C1088))</f>
        <v/>
      </c>
      <c r="E1088">
        <f>IF($A1088="",0,IF('TMP Paste'!$B1088="",0,1))</f>
        <v>0</v>
      </c>
      <c r="F1088" t="str">
        <f t="shared" si="80"/>
        <v/>
      </c>
      <c r="G1088" t="str">
        <f t="shared" si="81"/>
        <v/>
      </c>
      <c r="H1088" t="str">
        <f t="shared" si="82"/>
        <v/>
      </c>
      <c r="I1088" t="str">
        <f t="shared" si="83"/>
        <v/>
      </c>
      <c r="J1088" t="str">
        <f t="shared" si="84"/>
        <v/>
      </c>
      <c r="K1088" t="str">
        <f>IF($A1088="","",IF(COUNTIF($B$2:$B1088,$B1088)=COUNTIF($B$2:$B$1601,$B1088),$B1088,""))</f>
        <v/>
      </c>
    </row>
    <row r="1089" spans="1:11">
      <c r="A1089" t="str">
        <f>IF('TMP Paste'!$E1089="","",'TMP Paste'!$E1089)</f>
        <v/>
      </c>
      <c r="B1089" t="str">
        <f>IF($A1089="","",COUNTIF('TMP Paste'!$B$2:$B1089,"?*"))</f>
        <v/>
      </c>
      <c r="C1089" t="str">
        <f>IF($A1089="","",IFERROR('TMP Paste'!$M1089*1,0))</f>
        <v/>
      </c>
      <c r="D1089" t="str">
        <f>IF($A1089="","",SUMIF($B$2:$B1089,$B1089,$C$2:$C1089))</f>
        <v/>
      </c>
      <c r="E1089">
        <f>IF($A1089="",0,IF('TMP Paste'!$B1089="",0,1))</f>
        <v>0</v>
      </c>
      <c r="F1089" t="str">
        <f t="shared" si="80"/>
        <v/>
      </c>
      <c r="G1089" t="str">
        <f t="shared" si="81"/>
        <v/>
      </c>
      <c r="H1089" t="str">
        <f t="shared" si="82"/>
        <v/>
      </c>
      <c r="I1089" t="str">
        <f t="shared" si="83"/>
        <v/>
      </c>
      <c r="J1089" t="str">
        <f t="shared" si="84"/>
        <v/>
      </c>
      <c r="K1089" t="str">
        <f>IF($A1089="","",IF(COUNTIF($B$2:$B1089,$B1089)=COUNTIF($B$2:$B$1601,$B1089),$B1089,""))</f>
        <v/>
      </c>
    </row>
    <row r="1090" spans="1:11">
      <c r="A1090" t="str">
        <f>IF('TMP Paste'!$E1090="","",'TMP Paste'!$E1090)</f>
        <v/>
      </c>
      <c r="B1090" t="str">
        <f>IF($A1090="","",COUNTIF('TMP Paste'!$B$2:$B1090,"?*"))</f>
        <v/>
      </c>
      <c r="C1090" t="str">
        <f>IF($A1090="","",IFERROR('TMP Paste'!$M1090*1,0))</f>
        <v/>
      </c>
      <c r="D1090" t="str">
        <f>IF($A1090="","",SUMIF($B$2:$B1090,$B1090,$C$2:$C1090))</f>
        <v/>
      </c>
      <c r="E1090">
        <f>IF($A1090="",0,IF('TMP Paste'!$B1090="",0,1))</f>
        <v>0</v>
      </c>
      <c r="F1090" t="str">
        <f t="shared" ref="F1090:F1153" si="85">IF(OR($A1090="",$C1090&lt;1),"",$A1090&amp;"-"&amp;TEXT(($D1090-$C1090+1),"00")&amp;IF($C1090&gt;=2,", "&amp;$A1090&amp;"-"&amp;TEXT(($D1090-$C1090+1)+1,"00"),"")&amp;IF($C1090&gt;=3,", "&amp;$A1090&amp;"-"&amp;TEXT(($D1090-$C1090+1)+2,"00"),"")&amp;IF($C1090&gt;=4,", "&amp;$A1090&amp;"-"&amp;TEXT(($D1090-$C1090+1)+3,"00"),"")&amp;IF($C1090&gt;=5,", "&amp;$A1090&amp;"-"&amp;TEXT(($D1090-$C1090+1)+4,"00"),"")&amp;IF($C1090&gt;=6,", "&amp;$A1090&amp;"-"&amp;TEXT(($D1090-$C1090+1)+5,"00"),"")&amp;IF($C1090&gt;=7,", "&amp;$A1090&amp;"-"&amp;TEXT(($D1090-$C1090+1)+6,"00"),"")&amp;IF($C1090&gt;=8,", "&amp;$A1090&amp;"-"&amp;TEXT(($D1090-$C1090+1)+7,"00"),"")&amp;IF($C1090&gt;=9,", "&amp;$A1090&amp;"-"&amp;TEXT(($D1090-$C1090+1)+8,"00"),"")&amp;IF($C1090&gt;=10,", "&amp;$A1090&amp;"-"&amp;TEXT(($D1090-$C1090+1)+9,"00"),"")&amp;IF($C1090&gt;=11,", "&amp;$A1090&amp;"-"&amp;TEXT(($D1090-$C1090+1)+10,"00"),"")&amp;IF($C1090&gt;=12,", "&amp;$A1090&amp;"-"&amp;TEXT(($D1090-$C1090+1)+11,"00"),"")&amp;IF($C1090&gt;=13,", "&amp;$A1090&amp;"-"&amp;TEXT(($D1090-$C1090+1)+12,"00"),"")&amp;IF($C1090&gt;=14,", "&amp;$A1090&amp;"-"&amp;TEXT(($D1090-$C1090+1)+13,"00"),"")&amp;IF($C1090&gt;=15,", "&amp;$A1090&amp;"-"&amp;TEXT(($D1090-$C1090+1)+14,"00"),"")&amp;IF($C1090&gt;=16,", "&amp;$A1090&amp;"-"&amp;TEXT(($D1090-$C1090+1)+15,"00"),"")&amp;IF($C1090&gt;=17,", "&amp;$A1090&amp;"-"&amp;TEXT(($D1090-$C1090+1)+16,"00"),"")&amp;IF($C1090&gt;=18,", "&amp;$A1090&amp;"-"&amp;TEXT(($D1090-$C1090+1)+17,"00"),"")&amp;IF($C1090&gt;=19,", "&amp;$A1090&amp;"-"&amp;TEXT(($D1090-$C1090+1)+18,"00"),"")&amp;IF($C1090&gt;=20,", "&amp;$A1090&amp;"-"&amp;TEXT(($D1090-$C1090+1)+19,"00"),"")&amp;IF($C1090&gt;=21,", "&amp;$A1090&amp;"-"&amp;TEXT(($D1090-$C1090+1)+20,"00"),"")&amp;IF($C1090&gt;=22,", "&amp;$A1090&amp;"-"&amp;TEXT(($D1090-$C1090+1)+21,"00"),"")&amp;IF($C1090&gt;=23,", "&amp;$A1090&amp;"-"&amp;TEXT(($D1090-$C1090+1)+22,"00"),"")&amp;IF($C1090&gt;=24,", "&amp;$A1090&amp;"-"&amp;TEXT(($D1090-$C1090+1)+23,"00"),"")&amp;IF($C1090&gt;=25,", "&amp;$A1090&amp;"-"&amp;TEXT(($D1090-$C1090+1)+24,"00"),""))</f>
        <v/>
      </c>
      <c r="G1090" t="str">
        <f t="shared" ref="G1090:G1153" si="86">IF($A1090="","",IF($E1090=1,$F1090,IF($F1090="",$G1089,IF($G1089="",$F1090,$G1089&amp;", "&amp;$F1090))))</f>
        <v/>
      </c>
      <c r="H1090" t="str">
        <f t="shared" ref="H1090:H1153" si="87">IF($A1090="","",$A1090&amp;" ("&amp;$C1090&amp;")")</f>
        <v/>
      </c>
      <c r="I1090" t="str">
        <f t="shared" ref="I1090:I1153" si="88">IF($A1090="","",IF($E1090=1,$H1090,$I1089&amp;", "&amp;$H1090))</f>
        <v/>
      </c>
      <c r="J1090" t="str">
        <f t="shared" ref="J1090:J1153" si="89">IF($A1090="","",IF($E1090=1,$B1090,""))</f>
        <v/>
      </c>
      <c r="K1090" t="str">
        <f>IF($A1090="","",IF(COUNTIF($B$2:$B1090,$B1090)=COUNTIF($B$2:$B$1601,$B1090),$B1090,""))</f>
        <v/>
      </c>
    </row>
    <row r="1091" spans="1:11">
      <c r="A1091" t="str">
        <f>IF('TMP Paste'!$E1091="","",'TMP Paste'!$E1091)</f>
        <v/>
      </c>
      <c r="B1091" t="str">
        <f>IF($A1091="","",COUNTIF('TMP Paste'!$B$2:$B1091,"?*"))</f>
        <v/>
      </c>
      <c r="C1091" t="str">
        <f>IF($A1091="","",IFERROR('TMP Paste'!$M1091*1,0))</f>
        <v/>
      </c>
      <c r="D1091" t="str">
        <f>IF($A1091="","",SUMIF($B$2:$B1091,$B1091,$C$2:$C1091))</f>
        <v/>
      </c>
      <c r="E1091">
        <f>IF($A1091="",0,IF('TMP Paste'!$B1091="",0,1))</f>
        <v>0</v>
      </c>
      <c r="F1091" t="str">
        <f t="shared" si="85"/>
        <v/>
      </c>
      <c r="G1091" t="str">
        <f t="shared" si="86"/>
        <v/>
      </c>
      <c r="H1091" t="str">
        <f t="shared" si="87"/>
        <v/>
      </c>
      <c r="I1091" t="str">
        <f t="shared" si="88"/>
        <v/>
      </c>
      <c r="J1091" t="str">
        <f t="shared" si="89"/>
        <v/>
      </c>
      <c r="K1091" t="str">
        <f>IF($A1091="","",IF(COUNTIF($B$2:$B1091,$B1091)=COUNTIF($B$2:$B$1601,$B1091),$B1091,""))</f>
        <v/>
      </c>
    </row>
    <row r="1092" spans="1:11">
      <c r="A1092" t="str">
        <f>IF('TMP Paste'!$E1092="","",'TMP Paste'!$E1092)</f>
        <v/>
      </c>
      <c r="B1092" t="str">
        <f>IF($A1092="","",COUNTIF('TMP Paste'!$B$2:$B1092,"?*"))</f>
        <v/>
      </c>
      <c r="C1092" t="str">
        <f>IF($A1092="","",IFERROR('TMP Paste'!$M1092*1,0))</f>
        <v/>
      </c>
      <c r="D1092" t="str">
        <f>IF($A1092="","",SUMIF($B$2:$B1092,$B1092,$C$2:$C1092))</f>
        <v/>
      </c>
      <c r="E1092">
        <f>IF($A1092="",0,IF('TMP Paste'!$B1092="",0,1))</f>
        <v>0</v>
      </c>
      <c r="F1092" t="str">
        <f t="shared" si="85"/>
        <v/>
      </c>
      <c r="G1092" t="str">
        <f t="shared" si="86"/>
        <v/>
      </c>
      <c r="H1092" t="str">
        <f t="shared" si="87"/>
        <v/>
      </c>
      <c r="I1092" t="str">
        <f t="shared" si="88"/>
        <v/>
      </c>
      <c r="J1092" t="str">
        <f t="shared" si="89"/>
        <v/>
      </c>
      <c r="K1092" t="str">
        <f>IF($A1092="","",IF(COUNTIF($B$2:$B1092,$B1092)=COUNTIF($B$2:$B$1601,$B1092),$B1092,""))</f>
        <v/>
      </c>
    </row>
    <row r="1093" spans="1:11">
      <c r="A1093" t="str">
        <f>IF('TMP Paste'!$E1093="","",'TMP Paste'!$E1093)</f>
        <v/>
      </c>
      <c r="B1093" t="str">
        <f>IF($A1093="","",COUNTIF('TMP Paste'!$B$2:$B1093,"?*"))</f>
        <v/>
      </c>
      <c r="C1093" t="str">
        <f>IF($A1093="","",IFERROR('TMP Paste'!$M1093*1,0))</f>
        <v/>
      </c>
      <c r="D1093" t="str">
        <f>IF($A1093="","",SUMIF($B$2:$B1093,$B1093,$C$2:$C1093))</f>
        <v/>
      </c>
      <c r="E1093">
        <f>IF($A1093="",0,IF('TMP Paste'!$B1093="",0,1))</f>
        <v>0</v>
      </c>
      <c r="F1093" t="str">
        <f t="shared" si="85"/>
        <v/>
      </c>
      <c r="G1093" t="str">
        <f t="shared" si="86"/>
        <v/>
      </c>
      <c r="H1093" t="str">
        <f t="shared" si="87"/>
        <v/>
      </c>
      <c r="I1093" t="str">
        <f t="shared" si="88"/>
        <v/>
      </c>
      <c r="J1093" t="str">
        <f t="shared" si="89"/>
        <v/>
      </c>
      <c r="K1093" t="str">
        <f>IF($A1093="","",IF(COUNTIF($B$2:$B1093,$B1093)=COUNTIF($B$2:$B$1601,$B1093),$B1093,""))</f>
        <v/>
      </c>
    </row>
    <row r="1094" spans="1:11">
      <c r="A1094" t="str">
        <f>IF('TMP Paste'!$E1094="","",'TMP Paste'!$E1094)</f>
        <v/>
      </c>
      <c r="B1094" t="str">
        <f>IF($A1094="","",COUNTIF('TMP Paste'!$B$2:$B1094,"?*"))</f>
        <v/>
      </c>
      <c r="C1094" t="str">
        <f>IF($A1094="","",IFERROR('TMP Paste'!$M1094*1,0))</f>
        <v/>
      </c>
      <c r="D1094" t="str">
        <f>IF($A1094="","",SUMIF($B$2:$B1094,$B1094,$C$2:$C1094))</f>
        <v/>
      </c>
      <c r="E1094">
        <f>IF($A1094="",0,IF('TMP Paste'!$B1094="",0,1))</f>
        <v>0</v>
      </c>
      <c r="F1094" t="str">
        <f t="shared" si="85"/>
        <v/>
      </c>
      <c r="G1094" t="str">
        <f t="shared" si="86"/>
        <v/>
      </c>
      <c r="H1094" t="str">
        <f t="shared" si="87"/>
        <v/>
      </c>
      <c r="I1094" t="str">
        <f t="shared" si="88"/>
        <v/>
      </c>
      <c r="J1094" t="str">
        <f t="shared" si="89"/>
        <v/>
      </c>
      <c r="K1094" t="str">
        <f>IF($A1094="","",IF(COUNTIF($B$2:$B1094,$B1094)=COUNTIF($B$2:$B$1601,$B1094),$B1094,""))</f>
        <v/>
      </c>
    </row>
    <row r="1095" spans="1:11">
      <c r="A1095" t="str">
        <f>IF('TMP Paste'!$E1095="","",'TMP Paste'!$E1095)</f>
        <v/>
      </c>
      <c r="B1095" t="str">
        <f>IF($A1095="","",COUNTIF('TMP Paste'!$B$2:$B1095,"?*"))</f>
        <v/>
      </c>
      <c r="C1095" t="str">
        <f>IF($A1095="","",IFERROR('TMP Paste'!$M1095*1,0))</f>
        <v/>
      </c>
      <c r="D1095" t="str">
        <f>IF($A1095="","",SUMIF($B$2:$B1095,$B1095,$C$2:$C1095))</f>
        <v/>
      </c>
      <c r="E1095">
        <f>IF($A1095="",0,IF('TMP Paste'!$B1095="",0,1))</f>
        <v>0</v>
      </c>
      <c r="F1095" t="str">
        <f t="shared" si="85"/>
        <v/>
      </c>
      <c r="G1095" t="str">
        <f t="shared" si="86"/>
        <v/>
      </c>
      <c r="H1095" t="str">
        <f t="shared" si="87"/>
        <v/>
      </c>
      <c r="I1095" t="str">
        <f t="shared" si="88"/>
        <v/>
      </c>
      <c r="J1095" t="str">
        <f t="shared" si="89"/>
        <v/>
      </c>
      <c r="K1095" t="str">
        <f>IF($A1095="","",IF(COUNTIF($B$2:$B1095,$B1095)=COUNTIF($B$2:$B$1601,$B1095),$B1095,""))</f>
        <v/>
      </c>
    </row>
    <row r="1096" spans="1:11">
      <c r="A1096" t="str">
        <f>IF('TMP Paste'!$E1096="","",'TMP Paste'!$E1096)</f>
        <v/>
      </c>
      <c r="B1096" t="str">
        <f>IF($A1096="","",COUNTIF('TMP Paste'!$B$2:$B1096,"?*"))</f>
        <v/>
      </c>
      <c r="C1096" t="str">
        <f>IF($A1096="","",IFERROR('TMP Paste'!$M1096*1,0))</f>
        <v/>
      </c>
      <c r="D1096" t="str">
        <f>IF($A1096="","",SUMIF($B$2:$B1096,$B1096,$C$2:$C1096))</f>
        <v/>
      </c>
      <c r="E1096">
        <f>IF($A1096="",0,IF('TMP Paste'!$B1096="",0,1))</f>
        <v>0</v>
      </c>
      <c r="F1096" t="str">
        <f t="shared" si="85"/>
        <v/>
      </c>
      <c r="G1096" t="str">
        <f t="shared" si="86"/>
        <v/>
      </c>
      <c r="H1096" t="str">
        <f t="shared" si="87"/>
        <v/>
      </c>
      <c r="I1096" t="str">
        <f t="shared" si="88"/>
        <v/>
      </c>
      <c r="J1096" t="str">
        <f t="shared" si="89"/>
        <v/>
      </c>
      <c r="K1096" t="str">
        <f>IF($A1096="","",IF(COUNTIF($B$2:$B1096,$B1096)=COUNTIF($B$2:$B$1601,$B1096),$B1096,""))</f>
        <v/>
      </c>
    </row>
    <row r="1097" spans="1:11">
      <c r="A1097" t="str">
        <f>IF('TMP Paste'!$E1097="","",'TMP Paste'!$E1097)</f>
        <v/>
      </c>
      <c r="B1097" t="str">
        <f>IF($A1097="","",COUNTIF('TMP Paste'!$B$2:$B1097,"?*"))</f>
        <v/>
      </c>
      <c r="C1097" t="str">
        <f>IF($A1097="","",IFERROR('TMP Paste'!$M1097*1,0))</f>
        <v/>
      </c>
      <c r="D1097" t="str">
        <f>IF($A1097="","",SUMIF($B$2:$B1097,$B1097,$C$2:$C1097))</f>
        <v/>
      </c>
      <c r="E1097">
        <f>IF($A1097="",0,IF('TMP Paste'!$B1097="",0,1))</f>
        <v>0</v>
      </c>
      <c r="F1097" t="str">
        <f t="shared" si="85"/>
        <v/>
      </c>
      <c r="G1097" t="str">
        <f t="shared" si="86"/>
        <v/>
      </c>
      <c r="H1097" t="str">
        <f t="shared" si="87"/>
        <v/>
      </c>
      <c r="I1097" t="str">
        <f t="shared" si="88"/>
        <v/>
      </c>
      <c r="J1097" t="str">
        <f t="shared" si="89"/>
        <v/>
      </c>
      <c r="K1097" t="str">
        <f>IF($A1097="","",IF(COUNTIF($B$2:$B1097,$B1097)=COUNTIF($B$2:$B$1601,$B1097),$B1097,""))</f>
        <v/>
      </c>
    </row>
    <row r="1098" spans="1:11">
      <c r="A1098" t="str">
        <f>IF('TMP Paste'!$E1098="","",'TMP Paste'!$E1098)</f>
        <v/>
      </c>
      <c r="B1098" t="str">
        <f>IF($A1098="","",COUNTIF('TMP Paste'!$B$2:$B1098,"?*"))</f>
        <v/>
      </c>
      <c r="C1098" t="str">
        <f>IF($A1098="","",IFERROR('TMP Paste'!$M1098*1,0))</f>
        <v/>
      </c>
      <c r="D1098" t="str">
        <f>IF($A1098="","",SUMIF($B$2:$B1098,$B1098,$C$2:$C1098))</f>
        <v/>
      </c>
      <c r="E1098">
        <f>IF($A1098="",0,IF('TMP Paste'!$B1098="",0,1))</f>
        <v>0</v>
      </c>
      <c r="F1098" t="str">
        <f t="shared" si="85"/>
        <v/>
      </c>
      <c r="G1098" t="str">
        <f t="shared" si="86"/>
        <v/>
      </c>
      <c r="H1098" t="str">
        <f t="shared" si="87"/>
        <v/>
      </c>
      <c r="I1098" t="str">
        <f t="shared" si="88"/>
        <v/>
      </c>
      <c r="J1098" t="str">
        <f t="shared" si="89"/>
        <v/>
      </c>
      <c r="K1098" t="str">
        <f>IF($A1098="","",IF(COUNTIF($B$2:$B1098,$B1098)=COUNTIF($B$2:$B$1601,$B1098),$B1098,""))</f>
        <v/>
      </c>
    </row>
    <row r="1099" spans="1:11">
      <c r="A1099" t="str">
        <f>IF('TMP Paste'!$E1099="","",'TMP Paste'!$E1099)</f>
        <v/>
      </c>
      <c r="B1099" t="str">
        <f>IF($A1099="","",COUNTIF('TMP Paste'!$B$2:$B1099,"?*"))</f>
        <v/>
      </c>
      <c r="C1099" t="str">
        <f>IF($A1099="","",IFERROR('TMP Paste'!$M1099*1,0))</f>
        <v/>
      </c>
      <c r="D1099" t="str">
        <f>IF($A1099="","",SUMIF($B$2:$B1099,$B1099,$C$2:$C1099))</f>
        <v/>
      </c>
      <c r="E1099">
        <f>IF($A1099="",0,IF('TMP Paste'!$B1099="",0,1))</f>
        <v>0</v>
      </c>
      <c r="F1099" t="str">
        <f t="shared" si="85"/>
        <v/>
      </c>
      <c r="G1099" t="str">
        <f t="shared" si="86"/>
        <v/>
      </c>
      <c r="H1099" t="str">
        <f t="shared" si="87"/>
        <v/>
      </c>
      <c r="I1099" t="str">
        <f t="shared" si="88"/>
        <v/>
      </c>
      <c r="J1099" t="str">
        <f t="shared" si="89"/>
        <v/>
      </c>
      <c r="K1099" t="str">
        <f>IF($A1099="","",IF(COUNTIF($B$2:$B1099,$B1099)=COUNTIF($B$2:$B$1601,$B1099),$B1099,""))</f>
        <v/>
      </c>
    </row>
    <row r="1100" spans="1:11">
      <c r="A1100" t="str">
        <f>IF('TMP Paste'!$E1100="","",'TMP Paste'!$E1100)</f>
        <v/>
      </c>
      <c r="B1100" t="str">
        <f>IF($A1100="","",COUNTIF('TMP Paste'!$B$2:$B1100,"?*"))</f>
        <v/>
      </c>
      <c r="C1100" t="str">
        <f>IF($A1100="","",IFERROR('TMP Paste'!$M1100*1,0))</f>
        <v/>
      </c>
      <c r="D1100" t="str">
        <f>IF($A1100="","",SUMIF($B$2:$B1100,$B1100,$C$2:$C1100))</f>
        <v/>
      </c>
      <c r="E1100">
        <f>IF($A1100="",0,IF('TMP Paste'!$B1100="",0,1))</f>
        <v>0</v>
      </c>
      <c r="F1100" t="str">
        <f t="shared" si="85"/>
        <v/>
      </c>
      <c r="G1100" t="str">
        <f t="shared" si="86"/>
        <v/>
      </c>
      <c r="H1100" t="str">
        <f t="shared" si="87"/>
        <v/>
      </c>
      <c r="I1100" t="str">
        <f t="shared" si="88"/>
        <v/>
      </c>
      <c r="J1100" t="str">
        <f t="shared" si="89"/>
        <v/>
      </c>
      <c r="K1100" t="str">
        <f>IF($A1100="","",IF(COUNTIF($B$2:$B1100,$B1100)=COUNTIF($B$2:$B$1601,$B1100),$B1100,""))</f>
        <v/>
      </c>
    </row>
    <row r="1101" spans="1:11">
      <c r="A1101" t="str">
        <f>IF('TMP Paste'!$E1101="","",'TMP Paste'!$E1101)</f>
        <v/>
      </c>
      <c r="B1101" t="str">
        <f>IF($A1101="","",COUNTIF('TMP Paste'!$B$2:$B1101,"?*"))</f>
        <v/>
      </c>
      <c r="C1101" t="str">
        <f>IF($A1101="","",IFERROR('TMP Paste'!$M1101*1,0))</f>
        <v/>
      </c>
      <c r="D1101" t="str">
        <f>IF($A1101="","",SUMIF($B$2:$B1101,$B1101,$C$2:$C1101))</f>
        <v/>
      </c>
      <c r="E1101">
        <f>IF($A1101="",0,IF('TMP Paste'!$B1101="",0,1))</f>
        <v>0</v>
      </c>
      <c r="F1101" t="str">
        <f t="shared" si="85"/>
        <v/>
      </c>
      <c r="G1101" t="str">
        <f t="shared" si="86"/>
        <v/>
      </c>
      <c r="H1101" t="str">
        <f t="shared" si="87"/>
        <v/>
      </c>
      <c r="I1101" t="str">
        <f t="shared" si="88"/>
        <v/>
      </c>
      <c r="J1101" t="str">
        <f t="shared" si="89"/>
        <v/>
      </c>
      <c r="K1101" t="str">
        <f>IF($A1101="","",IF(COUNTIF($B$2:$B1101,$B1101)=COUNTIF($B$2:$B$1601,$B1101),$B1101,""))</f>
        <v/>
      </c>
    </row>
    <row r="1102" spans="1:11">
      <c r="A1102" t="str">
        <f>IF('TMP Paste'!$E1102="","",'TMP Paste'!$E1102)</f>
        <v/>
      </c>
      <c r="B1102" t="str">
        <f>IF($A1102="","",COUNTIF('TMP Paste'!$B$2:$B1102,"?*"))</f>
        <v/>
      </c>
      <c r="C1102" t="str">
        <f>IF($A1102="","",IFERROR('TMP Paste'!$M1102*1,0))</f>
        <v/>
      </c>
      <c r="D1102" t="str">
        <f>IF($A1102="","",SUMIF($B$2:$B1102,$B1102,$C$2:$C1102))</f>
        <v/>
      </c>
      <c r="E1102">
        <f>IF($A1102="",0,IF('TMP Paste'!$B1102="",0,1))</f>
        <v>0</v>
      </c>
      <c r="F1102" t="str">
        <f t="shared" si="85"/>
        <v/>
      </c>
      <c r="G1102" t="str">
        <f t="shared" si="86"/>
        <v/>
      </c>
      <c r="H1102" t="str">
        <f t="shared" si="87"/>
        <v/>
      </c>
      <c r="I1102" t="str">
        <f t="shared" si="88"/>
        <v/>
      </c>
      <c r="J1102" t="str">
        <f t="shared" si="89"/>
        <v/>
      </c>
      <c r="K1102" t="str">
        <f>IF($A1102="","",IF(COUNTIF($B$2:$B1102,$B1102)=COUNTIF($B$2:$B$1601,$B1102),$B1102,""))</f>
        <v/>
      </c>
    </row>
    <row r="1103" spans="1:11">
      <c r="A1103" t="str">
        <f>IF('TMP Paste'!$E1103="","",'TMP Paste'!$E1103)</f>
        <v/>
      </c>
      <c r="B1103" t="str">
        <f>IF($A1103="","",COUNTIF('TMP Paste'!$B$2:$B1103,"?*"))</f>
        <v/>
      </c>
      <c r="C1103" t="str">
        <f>IF($A1103="","",IFERROR('TMP Paste'!$M1103*1,0))</f>
        <v/>
      </c>
      <c r="D1103" t="str">
        <f>IF($A1103="","",SUMIF($B$2:$B1103,$B1103,$C$2:$C1103))</f>
        <v/>
      </c>
      <c r="E1103">
        <f>IF($A1103="",0,IF('TMP Paste'!$B1103="",0,1))</f>
        <v>0</v>
      </c>
      <c r="F1103" t="str">
        <f t="shared" si="85"/>
        <v/>
      </c>
      <c r="G1103" t="str">
        <f t="shared" si="86"/>
        <v/>
      </c>
      <c r="H1103" t="str">
        <f t="shared" si="87"/>
        <v/>
      </c>
      <c r="I1103" t="str">
        <f t="shared" si="88"/>
        <v/>
      </c>
      <c r="J1103" t="str">
        <f t="shared" si="89"/>
        <v/>
      </c>
      <c r="K1103" t="str">
        <f>IF($A1103="","",IF(COUNTIF($B$2:$B1103,$B1103)=COUNTIF($B$2:$B$1601,$B1103),$B1103,""))</f>
        <v/>
      </c>
    </row>
    <row r="1104" spans="1:11">
      <c r="A1104" t="str">
        <f>IF('TMP Paste'!$E1104="","",'TMP Paste'!$E1104)</f>
        <v/>
      </c>
      <c r="B1104" t="str">
        <f>IF($A1104="","",COUNTIF('TMP Paste'!$B$2:$B1104,"?*"))</f>
        <v/>
      </c>
      <c r="C1104" t="str">
        <f>IF($A1104="","",IFERROR('TMP Paste'!$M1104*1,0))</f>
        <v/>
      </c>
      <c r="D1104" t="str">
        <f>IF($A1104="","",SUMIF($B$2:$B1104,$B1104,$C$2:$C1104))</f>
        <v/>
      </c>
      <c r="E1104">
        <f>IF($A1104="",0,IF('TMP Paste'!$B1104="",0,1))</f>
        <v>0</v>
      </c>
      <c r="F1104" t="str">
        <f t="shared" si="85"/>
        <v/>
      </c>
      <c r="G1104" t="str">
        <f t="shared" si="86"/>
        <v/>
      </c>
      <c r="H1104" t="str">
        <f t="shared" si="87"/>
        <v/>
      </c>
      <c r="I1104" t="str">
        <f t="shared" si="88"/>
        <v/>
      </c>
      <c r="J1104" t="str">
        <f t="shared" si="89"/>
        <v/>
      </c>
      <c r="K1104" t="str">
        <f>IF($A1104="","",IF(COUNTIF($B$2:$B1104,$B1104)=COUNTIF($B$2:$B$1601,$B1104),$B1104,""))</f>
        <v/>
      </c>
    </row>
    <row r="1105" spans="1:11">
      <c r="A1105" t="str">
        <f>IF('TMP Paste'!$E1105="","",'TMP Paste'!$E1105)</f>
        <v/>
      </c>
      <c r="B1105" t="str">
        <f>IF($A1105="","",COUNTIF('TMP Paste'!$B$2:$B1105,"?*"))</f>
        <v/>
      </c>
      <c r="C1105" t="str">
        <f>IF($A1105="","",IFERROR('TMP Paste'!$M1105*1,0))</f>
        <v/>
      </c>
      <c r="D1105" t="str">
        <f>IF($A1105="","",SUMIF($B$2:$B1105,$B1105,$C$2:$C1105))</f>
        <v/>
      </c>
      <c r="E1105">
        <f>IF($A1105="",0,IF('TMP Paste'!$B1105="",0,1))</f>
        <v>0</v>
      </c>
      <c r="F1105" t="str">
        <f t="shared" si="85"/>
        <v/>
      </c>
      <c r="G1105" t="str">
        <f t="shared" si="86"/>
        <v/>
      </c>
      <c r="H1105" t="str">
        <f t="shared" si="87"/>
        <v/>
      </c>
      <c r="I1105" t="str">
        <f t="shared" si="88"/>
        <v/>
      </c>
      <c r="J1105" t="str">
        <f t="shared" si="89"/>
        <v/>
      </c>
      <c r="K1105" t="str">
        <f>IF($A1105="","",IF(COUNTIF($B$2:$B1105,$B1105)=COUNTIF($B$2:$B$1601,$B1105),$B1105,""))</f>
        <v/>
      </c>
    </row>
    <row r="1106" spans="1:11">
      <c r="A1106" t="str">
        <f>IF('TMP Paste'!$E1106="","",'TMP Paste'!$E1106)</f>
        <v/>
      </c>
      <c r="B1106" t="str">
        <f>IF($A1106="","",COUNTIF('TMP Paste'!$B$2:$B1106,"?*"))</f>
        <v/>
      </c>
      <c r="C1106" t="str">
        <f>IF($A1106="","",IFERROR('TMP Paste'!$M1106*1,0))</f>
        <v/>
      </c>
      <c r="D1106" t="str">
        <f>IF($A1106="","",SUMIF($B$2:$B1106,$B1106,$C$2:$C1106))</f>
        <v/>
      </c>
      <c r="E1106">
        <f>IF($A1106="",0,IF('TMP Paste'!$B1106="",0,1))</f>
        <v>0</v>
      </c>
      <c r="F1106" t="str">
        <f t="shared" si="85"/>
        <v/>
      </c>
      <c r="G1106" t="str">
        <f t="shared" si="86"/>
        <v/>
      </c>
      <c r="H1106" t="str">
        <f t="shared" si="87"/>
        <v/>
      </c>
      <c r="I1106" t="str">
        <f t="shared" si="88"/>
        <v/>
      </c>
      <c r="J1106" t="str">
        <f t="shared" si="89"/>
        <v/>
      </c>
      <c r="K1106" t="str">
        <f>IF($A1106="","",IF(COUNTIF($B$2:$B1106,$B1106)=COUNTIF($B$2:$B$1601,$B1106),$B1106,""))</f>
        <v/>
      </c>
    </row>
    <row r="1107" spans="1:11">
      <c r="A1107" t="str">
        <f>IF('TMP Paste'!$E1107="","",'TMP Paste'!$E1107)</f>
        <v/>
      </c>
      <c r="B1107" t="str">
        <f>IF($A1107="","",COUNTIF('TMP Paste'!$B$2:$B1107,"?*"))</f>
        <v/>
      </c>
      <c r="C1107" t="str">
        <f>IF($A1107="","",IFERROR('TMP Paste'!$M1107*1,0))</f>
        <v/>
      </c>
      <c r="D1107" t="str">
        <f>IF($A1107="","",SUMIF($B$2:$B1107,$B1107,$C$2:$C1107))</f>
        <v/>
      </c>
      <c r="E1107">
        <f>IF($A1107="",0,IF('TMP Paste'!$B1107="",0,1))</f>
        <v>0</v>
      </c>
      <c r="F1107" t="str">
        <f t="shared" si="85"/>
        <v/>
      </c>
      <c r="G1107" t="str">
        <f t="shared" si="86"/>
        <v/>
      </c>
      <c r="H1107" t="str">
        <f t="shared" si="87"/>
        <v/>
      </c>
      <c r="I1107" t="str">
        <f t="shared" si="88"/>
        <v/>
      </c>
      <c r="J1107" t="str">
        <f t="shared" si="89"/>
        <v/>
      </c>
      <c r="K1107" t="str">
        <f>IF($A1107="","",IF(COUNTIF($B$2:$B1107,$B1107)=COUNTIF($B$2:$B$1601,$B1107),$B1107,""))</f>
        <v/>
      </c>
    </row>
    <row r="1108" spans="1:11">
      <c r="A1108" t="str">
        <f>IF('TMP Paste'!$E1108="","",'TMP Paste'!$E1108)</f>
        <v/>
      </c>
      <c r="B1108" t="str">
        <f>IF($A1108="","",COUNTIF('TMP Paste'!$B$2:$B1108,"?*"))</f>
        <v/>
      </c>
      <c r="C1108" t="str">
        <f>IF($A1108="","",IFERROR('TMP Paste'!$M1108*1,0))</f>
        <v/>
      </c>
      <c r="D1108" t="str">
        <f>IF($A1108="","",SUMIF($B$2:$B1108,$B1108,$C$2:$C1108))</f>
        <v/>
      </c>
      <c r="E1108">
        <f>IF($A1108="",0,IF('TMP Paste'!$B1108="",0,1))</f>
        <v>0</v>
      </c>
      <c r="F1108" t="str">
        <f t="shared" si="85"/>
        <v/>
      </c>
      <c r="G1108" t="str">
        <f t="shared" si="86"/>
        <v/>
      </c>
      <c r="H1108" t="str">
        <f t="shared" si="87"/>
        <v/>
      </c>
      <c r="I1108" t="str">
        <f t="shared" si="88"/>
        <v/>
      </c>
      <c r="J1108" t="str">
        <f t="shared" si="89"/>
        <v/>
      </c>
      <c r="K1108" t="str">
        <f>IF($A1108="","",IF(COUNTIF($B$2:$B1108,$B1108)=COUNTIF($B$2:$B$1601,$B1108),$B1108,""))</f>
        <v/>
      </c>
    </row>
    <row r="1109" spans="1:11">
      <c r="A1109" t="str">
        <f>IF('TMP Paste'!$E1109="","",'TMP Paste'!$E1109)</f>
        <v/>
      </c>
      <c r="B1109" t="str">
        <f>IF($A1109="","",COUNTIF('TMP Paste'!$B$2:$B1109,"?*"))</f>
        <v/>
      </c>
      <c r="C1109" t="str">
        <f>IF($A1109="","",IFERROR('TMP Paste'!$M1109*1,0))</f>
        <v/>
      </c>
      <c r="D1109" t="str">
        <f>IF($A1109="","",SUMIF($B$2:$B1109,$B1109,$C$2:$C1109))</f>
        <v/>
      </c>
      <c r="E1109">
        <f>IF($A1109="",0,IF('TMP Paste'!$B1109="",0,1))</f>
        <v>0</v>
      </c>
      <c r="F1109" t="str">
        <f t="shared" si="85"/>
        <v/>
      </c>
      <c r="G1109" t="str">
        <f t="shared" si="86"/>
        <v/>
      </c>
      <c r="H1109" t="str">
        <f t="shared" si="87"/>
        <v/>
      </c>
      <c r="I1109" t="str">
        <f t="shared" si="88"/>
        <v/>
      </c>
      <c r="J1109" t="str">
        <f t="shared" si="89"/>
        <v/>
      </c>
      <c r="K1109" t="str">
        <f>IF($A1109="","",IF(COUNTIF($B$2:$B1109,$B1109)=COUNTIF($B$2:$B$1601,$B1109),$B1109,""))</f>
        <v/>
      </c>
    </row>
    <row r="1110" spans="1:11">
      <c r="A1110" t="str">
        <f>IF('TMP Paste'!$E1110="","",'TMP Paste'!$E1110)</f>
        <v/>
      </c>
      <c r="B1110" t="str">
        <f>IF($A1110="","",COUNTIF('TMP Paste'!$B$2:$B1110,"?*"))</f>
        <v/>
      </c>
      <c r="C1110" t="str">
        <f>IF($A1110="","",IFERROR('TMP Paste'!$M1110*1,0))</f>
        <v/>
      </c>
      <c r="D1110" t="str">
        <f>IF($A1110="","",SUMIF($B$2:$B1110,$B1110,$C$2:$C1110))</f>
        <v/>
      </c>
      <c r="E1110">
        <f>IF($A1110="",0,IF('TMP Paste'!$B1110="",0,1))</f>
        <v>0</v>
      </c>
      <c r="F1110" t="str">
        <f t="shared" si="85"/>
        <v/>
      </c>
      <c r="G1110" t="str">
        <f t="shared" si="86"/>
        <v/>
      </c>
      <c r="H1110" t="str">
        <f t="shared" si="87"/>
        <v/>
      </c>
      <c r="I1110" t="str">
        <f t="shared" si="88"/>
        <v/>
      </c>
      <c r="J1110" t="str">
        <f t="shared" si="89"/>
        <v/>
      </c>
      <c r="K1110" t="str">
        <f>IF($A1110="","",IF(COUNTIF($B$2:$B1110,$B1110)=COUNTIF($B$2:$B$1601,$B1110),$B1110,""))</f>
        <v/>
      </c>
    </row>
    <row r="1111" spans="1:11">
      <c r="A1111" t="str">
        <f>IF('TMP Paste'!$E1111="","",'TMP Paste'!$E1111)</f>
        <v/>
      </c>
      <c r="B1111" t="str">
        <f>IF($A1111="","",COUNTIF('TMP Paste'!$B$2:$B1111,"?*"))</f>
        <v/>
      </c>
      <c r="C1111" t="str">
        <f>IF($A1111="","",IFERROR('TMP Paste'!$M1111*1,0))</f>
        <v/>
      </c>
      <c r="D1111" t="str">
        <f>IF($A1111="","",SUMIF($B$2:$B1111,$B1111,$C$2:$C1111))</f>
        <v/>
      </c>
      <c r="E1111">
        <f>IF($A1111="",0,IF('TMP Paste'!$B1111="",0,1))</f>
        <v>0</v>
      </c>
      <c r="F1111" t="str">
        <f t="shared" si="85"/>
        <v/>
      </c>
      <c r="G1111" t="str">
        <f t="shared" si="86"/>
        <v/>
      </c>
      <c r="H1111" t="str">
        <f t="shared" si="87"/>
        <v/>
      </c>
      <c r="I1111" t="str">
        <f t="shared" si="88"/>
        <v/>
      </c>
      <c r="J1111" t="str">
        <f t="shared" si="89"/>
        <v/>
      </c>
      <c r="K1111" t="str">
        <f>IF($A1111="","",IF(COUNTIF($B$2:$B1111,$B1111)=COUNTIF($B$2:$B$1601,$B1111),$B1111,""))</f>
        <v/>
      </c>
    </row>
    <row r="1112" spans="1:11">
      <c r="A1112" t="str">
        <f>IF('TMP Paste'!$E1112="","",'TMP Paste'!$E1112)</f>
        <v/>
      </c>
      <c r="B1112" t="str">
        <f>IF($A1112="","",COUNTIF('TMP Paste'!$B$2:$B1112,"?*"))</f>
        <v/>
      </c>
      <c r="C1112" t="str">
        <f>IF($A1112="","",IFERROR('TMP Paste'!$M1112*1,0))</f>
        <v/>
      </c>
      <c r="D1112" t="str">
        <f>IF($A1112="","",SUMIF($B$2:$B1112,$B1112,$C$2:$C1112))</f>
        <v/>
      </c>
      <c r="E1112">
        <f>IF($A1112="",0,IF('TMP Paste'!$B1112="",0,1))</f>
        <v>0</v>
      </c>
      <c r="F1112" t="str">
        <f t="shared" si="85"/>
        <v/>
      </c>
      <c r="G1112" t="str">
        <f t="shared" si="86"/>
        <v/>
      </c>
      <c r="H1112" t="str">
        <f t="shared" si="87"/>
        <v/>
      </c>
      <c r="I1112" t="str">
        <f t="shared" si="88"/>
        <v/>
      </c>
      <c r="J1112" t="str">
        <f t="shared" si="89"/>
        <v/>
      </c>
      <c r="K1112" t="str">
        <f>IF($A1112="","",IF(COUNTIF($B$2:$B1112,$B1112)=COUNTIF($B$2:$B$1601,$B1112),$B1112,""))</f>
        <v/>
      </c>
    </row>
    <row r="1113" spans="1:11">
      <c r="A1113" t="str">
        <f>IF('TMP Paste'!$E1113="","",'TMP Paste'!$E1113)</f>
        <v/>
      </c>
      <c r="B1113" t="str">
        <f>IF($A1113="","",COUNTIF('TMP Paste'!$B$2:$B1113,"?*"))</f>
        <v/>
      </c>
      <c r="C1113" t="str">
        <f>IF($A1113="","",IFERROR('TMP Paste'!$M1113*1,0))</f>
        <v/>
      </c>
      <c r="D1113" t="str">
        <f>IF($A1113="","",SUMIF($B$2:$B1113,$B1113,$C$2:$C1113))</f>
        <v/>
      </c>
      <c r="E1113">
        <f>IF($A1113="",0,IF('TMP Paste'!$B1113="",0,1))</f>
        <v>0</v>
      </c>
      <c r="F1113" t="str">
        <f t="shared" si="85"/>
        <v/>
      </c>
      <c r="G1113" t="str">
        <f t="shared" si="86"/>
        <v/>
      </c>
      <c r="H1113" t="str">
        <f t="shared" si="87"/>
        <v/>
      </c>
      <c r="I1113" t="str">
        <f t="shared" si="88"/>
        <v/>
      </c>
      <c r="J1113" t="str">
        <f t="shared" si="89"/>
        <v/>
      </c>
      <c r="K1113" t="str">
        <f>IF($A1113="","",IF(COUNTIF($B$2:$B1113,$B1113)=COUNTIF($B$2:$B$1601,$B1113),$B1113,""))</f>
        <v/>
      </c>
    </row>
    <row r="1114" spans="1:11">
      <c r="A1114" t="str">
        <f>IF('TMP Paste'!$E1114="","",'TMP Paste'!$E1114)</f>
        <v/>
      </c>
      <c r="B1114" t="str">
        <f>IF($A1114="","",COUNTIF('TMP Paste'!$B$2:$B1114,"?*"))</f>
        <v/>
      </c>
      <c r="C1114" t="str">
        <f>IF($A1114="","",IFERROR('TMP Paste'!$M1114*1,0))</f>
        <v/>
      </c>
      <c r="D1114" t="str">
        <f>IF($A1114="","",SUMIF($B$2:$B1114,$B1114,$C$2:$C1114))</f>
        <v/>
      </c>
      <c r="E1114">
        <f>IF($A1114="",0,IF('TMP Paste'!$B1114="",0,1))</f>
        <v>0</v>
      </c>
      <c r="F1114" t="str">
        <f t="shared" si="85"/>
        <v/>
      </c>
      <c r="G1114" t="str">
        <f t="shared" si="86"/>
        <v/>
      </c>
      <c r="H1114" t="str">
        <f t="shared" si="87"/>
        <v/>
      </c>
      <c r="I1114" t="str">
        <f t="shared" si="88"/>
        <v/>
      </c>
      <c r="J1114" t="str">
        <f t="shared" si="89"/>
        <v/>
      </c>
      <c r="K1114" t="str">
        <f>IF($A1114="","",IF(COUNTIF($B$2:$B1114,$B1114)=COUNTIF($B$2:$B$1601,$B1114),$B1114,""))</f>
        <v/>
      </c>
    </row>
    <row r="1115" spans="1:11">
      <c r="A1115" t="str">
        <f>IF('TMP Paste'!$E1115="","",'TMP Paste'!$E1115)</f>
        <v/>
      </c>
      <c r="B1115" t="str">
        <f>IF($A1115="","",COUNTIF('TMP Paste'!$B$2:$B1115,"?*"))</f>
        <v/>
      </c>
      <c r="C1115" t="str">
        <f>IF($A1115="","",IFERROR('TMP Paste'!$M1115*1,0))</f>
        <v/>
      </c>
      <c r="D1115" t="str">
        <f>IF($A1115="","",SUMIF($B$2:$B1115,$B1115,$C$2:$C1115))</f>
        <v/>
      </c>
      <c r="E1115">
        <f>IF($A1115="",0,IF('TMP Paste'!$B1115="",0,1))</f>
        <v>0</v>
      </c>
      <c r="F1115" t="str">
        <f t="shared" si="85"/>
        <v/>
      </c>
      <c r="G1115" t="str">
        <f t="shared" si="86"/>
        <v/>
      </c>
      <c r="H1115" t="str">
        <f t="shared" si="87"/>
        <v/>
      </c>
      <c r="I1115" t="str">
        <f t="shared" si="88"/>
        <v/>
      </c>
      <c r="J1115" t="str">
        <f t="shared" si="89"/>
        <v/>
      </c>
      <c r="K1115" t="str">
        <f>IF($A1115="","",IF(COUNTIF($B$2:$B1115,$B1115)=COUNTIF($B$2:$B$1601,$B1115),$B1115,""))</f>
        <v/>
      </c>
    </row>
    <row r="1116" spans="1:11">
      <c r="A1116" t="str">
        <f>IF('TMP Paste'!$E1116="","",'TMP Paste'!$E1116)</f>
        <v/>
      </c>
      <c r="B1116" t="str">
        <f>IF($A1116="","",COUNTIF('TMP Paste'!$B$2:$B1116,"?*"))</f>
        <v/>
      </c>
      <c r="C1116" t="str">
        <f>IF($A1116="","",IFERROR('TMP Paste'!$M1116*1,0))</f>
        <v/>
      </c>
      <c r="D1116" t="str">
        <f>IF($A1116="","",SUMIF($B$2:$B1116,$B1116,$C$2:$C1116))</f>
        <v/>
      </c>
      <c r="E1116">
        <f>IF($A1116="",0,IF('TMP Paste'!$B1116="",0,1))</f>
        <v>0</v>
      </c>
      <c r="F1116" t="str">
        <f t="shared" si="85"/>
        <v/>
      </c>
      <c r="G1116" t="str">
        <f t="shared" si="86"/>
        <v/>
      </c>
      <c r="H1116" t="str">
        <f t="shared" si="87"/>
        <v/>
      </c>
      <c r="I1116" t="str">
        <f t="shared" si="88"/>
        <v/>
      </c>
      <c r="J1116" t="str">
        <f t="shared" si="89"/>
        <v/>
      </c>
      <c r="K1116" t="str">
        <f>IF($A1116="","",IF(COUNTIF($B$2:$B1116,$B1116)=COUNTIF($B$2:$B$1601,$B1116),$B1116,""))</f>
        <v/>
      </c>
    </row>
    <row r="1117" spans="1:11">
      <c r="A1117" t="str">
        <f>IF('TMP Paste'!$E1117="","",'TMP Paste'!$E1117)</f>
        <v/>
      </c>
      <c r="B1117" t="str">
        <f>IF($A1117="","",COUNTIF('TMP Paste'!$B$2:$B1117,"?*"))</f>
        <v/>
      </c>
      <c r="C1117" t="str">
        <f>IF($A1117="","",IFERROR('TMP Paste'!$M1117*1,0))</f>
        <v/>
      </c>
      <c r="D1117" t="str">
        <f>IF($A1117="","",SUMIF($B$2:$B1117,$B1117,$C$2:$C1117))</f>
        <v/>
      </c>
      <c r="E1117">
        <f>IF($A1117="",0,IF('TMP Paste'!$B1117="",0,1))</f>
        <v>0</v>
      </c>
      <c r="F1117" t="str">
        <f t="shared" si="85"/>
        <v/>
      </c>
      <c r="G1117" t="str">
        <f t="shared" si="86"/>
        <v/>
      </c>
      <c r="H1117" t="str">
        <f t="shared" si="87"/>
        <v/>
      </c>
      <c r="I1117" t="str">
        <f t="shared" si="88"/>
        <v/>
      </c>
      <c r="J1117" t="str">
        <f t="shared" si="89"/>
        <v/>
      </c>
      <c r="K1117" t="str">
        <f>IF($A1117="","",IF(COUNTIF($B$2:$B1117,$B1117)=COUNTIF($B$2:$B$1601,$B1117),$B1117,""))</f>
        <v/>
      </c>
    </row>
    <row r="1118" spans="1:11">
      <c r="A1118" t="str">
        <f>IF('TMP Paste'!$E1118="","",'TMP Paste'!$E1118)</f>
        <v/>
      </c>
      <c r="B1118" t="str">
        <f>IF($A1118="","",COUNTIF('TMP Paste'!$B$2:$B1118,"?*"))</f>
        <v/>
      </c>
      <c r="C1118" t="str">
        <f>IF($A1118="","",IFERROR('TMP Paste'!$M1118*1,0))</f>
        <v/>
      </c>
      <c r="D1118" t="str">
        <f>IF($A1118="","",SUMIF($B$2:$B1118,$B1118,$C$2:$C1118))</f>
        <v/>
      </c>
      <c r="E1118">
        <f>IF($A1118="",0,IF('TMP Paste'!$B1118="",0,1))</f>
        <v>0</v>
      </c>
      <c r="F1118" t="str">
        <f t="shared" si="85"/>
        <v/>
      </c>
      <c r="G1118" t="str">
        <f t="shared" si="86"/>
        <v/>
      </c>
      <c r="H1118" t="str">
        <f t="shared" si="87"/>
        <v/>
      </c>
      <c r="I1118" t="str">
        <f t="shared" si="88"/>
        <v/>
      </c>
      <c r="J1118" t="str">
        <f t="shared" si="89"/>
        <v/>
      </c>
      <c r="K1118" t="str">
        <f>IF($A1118="","",IF(COUNTIF($B$2:$B1118,$B1118)=COUNTIF($B$2:$B$1601,$B1118),$B1118,""))</f>
        <v/>
      </c>
    </row>
    <row r="1119" spans="1:11">
      <c r="A1119" t="str">
        <f>IF('TMP Paste'!$E1119="","",'TMP Paste'!$E1119)</f>
        <v/>
      </c>
      <c r="B1119" t="str">
        <f>IF($A1119="","",COUNTIF('TMP Paste'!$B$2:$B1119,"?*"))</f>
        <v/>
      </c>
      <c r="C1119" t="str">
        <f>IF($A1119="","",IFERROR('TMP Paste'!$M1119*1,0))</f>
        <v/>
      </c>
      <c r="D1119" t="str">
        <f>IF($A1119="","",SUMIF($B$2:$B1119,$B1119,$C$2:$C1119))</f>
        <v/>
      </c>
      <c r="E1119">
        <f>IF($A1119="",0,IF('TMP Paste'!$B1119="",0,1))</f>
        <v>0</v>
      </c>
      <c r="F1119" t="str">
        <f t="shared" si="85"/>
        <v/>
      </c>
      <c r="G1119" t="str">
        <f t="shared" si="86"/>
        <v/>
      </c>
      <c r="H1119" t="str">
        <f t="shared" si="87"/>
        <v/>
      </c>
      <c r="I1119" t="str">
        <f t="shared" si="88"/>
        <v/>
      </c>
      <c r="J1119" t="str">
        <f t="shared" si="89"/>
        <v/>
      </c>
      <c r="K1119" t="str">
        <f>IF($A1119="","",IF(COUNTIF($B$2:$B1119,$B1119)=COUNTIF($B$2:$B$1601,$B1119),$B1119,""))</f>
        <v/>
      </c>
    </row>
    <row r="1120" spans="1:11">
      <c r="A1120" t="str">
        <f>IF('TMP Paste'!$E1120="","",'TMP Paste'!$E1120)</f>
        <v/>
      </c>
      <c r="B1120" t="str">
        <f>IF($A1120="","",COUNTIF('TMP Paste'!$B$2:$B1120,"?*"))</f>
        <v/>
      </c>
      <c r="C1120" t="str">
        <f>IF($A1120="","",IFERROR('TMP Paste'!$M1120*1,0))</f>
        <v/>
      </c>
      <c r="D1120" t="str">
        <f>IF($A1120="","",SUMIF($B$2:$B1120,$B1120,$C$2:$C1120))</f>
        <v/>
      </c>
      <c r="E1120">
        <f>IF($A1120="",0,IF('TMP Paste'!$B1120="",0,1))</f>
        <v>0</v>
      </c>
      <c r="F1120" t="str">
        <f t="shared" si="85"/>
        <v/>
      </c>
      <c r="G1120" t="str">
        <f t="shared" si="86"/>
        <v/>
      </c>
      <c r="H1120" t="str">
        <f t="shared" si="87"/>
        <v/>
      </c>
      <c r="I1120" t="str">
        <f t="shared" si="88"/>
        <v/>
      </c>
      <c r="J1120" t="str">
        <f t="shared" si="89"/>
        <v/>
      </c>
      <c r="K1120" t="str">
        <f>IF($A1120="","",IF(COUNTIF($B$2:$B1120,$B1120)=COUNTIF($B$2:$B$1601,$B1120),$B1120,""))</f>
        <v/>
      </c>
    </row>
    <row r="1121" spans="1:11">
      <c r="A1121" t="str">
        <f>IF('TMP Paste'!$E1121="","",'TMP Paste'!$E1121)</f>
        <v/>
      </c>
      <c r="B1121" t="str">
        <f>IF($A1121="","",COUNTIF('TMP Paste'!$B$2:$B1121,"?*"))</f>
        <v/>
      </c>
      <c r="C1121" t="str">
        <f>IF($A1121="","",IFERROR('TMP Paste'!$M1121*1,0))</f>
        <v/>
      </c>
      <c r="D1121" t="str">
        <f>IF($A1121="","",SUMIF($B$2:$B1121,$B1121,$C$2:$C1121))</f>
        <v/>
      </c>
      <c r="E1121">
        <f>IF($A1121="",0,IF('TMP Paste'!$B1121="",0,1))</f>
        <v>0</v>
      </c>
      <c r="F1121" t="str">
        <f t="shared" si="85"/>
        <v/>
      </c>
      <c r="G1121" t="str">
        <f t="shared" si="86"/>
        <v/>
      </c>
      <c r="H1121" t="str">
        <f t="shared" si="87"/>
        <v/>
      </c>
      <c r="I1121" t="str">
        <f t="shared" si="88"/>
        <v/>
      </c>
      <c r="J1121" t="str">
        <f t="shared" si="89"/>
        <v/>
      </c>
      <c r="K1121" t="str">
        <f>IF($A1121="","",IF(COUNTIF($B$2:$B1121,$B1121)=COUNTIF($B$2:$B$1601,$B1121),$B1121,""))</f>
        <v/>
      </c>
    </row>
    <row r="1122" spans="1:11">
      <c r="A1122" t="str">
        <f>IF('TMP Paste'!$E1122="","",'TMP Paste'!$E1122)</f>
        <v/>
      </c>
      <c r="B1122" t="str">
        <f>IF($A1122="","",COUNTIF('TMP Paste'!$B$2:$B1122,"?*"))</f>
        <v/>
      </c>
      <c r="C1122" t="str">
        <f>IF($A1122="","",IFERROR('TMP Paste'!$M1122*1,0))</f>
        <v/>
      </c>
      <c r="D1122" t="str">
        <f>IF($A1122="","",SUMIF($B$2:$B1122,$B1122,$C$2:$C1122))</f>
        <v/>
      </c>
      <c r="E1122">
        <f>IF($A1122="",0,IF('TMP Paste'!$B1122="",0,1))</f>
        <v>0</v>
      </c>
      <c r="F1122" t="str">
        <f t="shared" si="85"/>
        <v/>
      </c>
      <c r="G1122" t="str">
        <f t="shared" si="86"/>
        <v/>
      </c>
      <c r="H1122" t="str">
        <f t="shared" si="87"/>
        <v/>
      </c>
      <c r="I1122" t="str">
        <f t="shared" si="88"/>
        <v/>
      </c>
      <c r="J1122" t="str">
        <f t="shared" si="89"/>
        <v/>
      </c>
      <c r="K1122" t="str">
        <f>IF($A1122="","",IF(COUNTIF($B$2:$B1122,$B1122)=COUNTIF($B$2:$B$1601,$B1122),$B1122,""))</f>
        <v/>
      </c>
    </row>
    <row r="1123" spans="1:11">
      <c r="A1123" t="str">
        <f>IF('TMP Paste'!$E1123="","",'TMP Paste'!$E1123)</f>
        <v/>
      </c>
      <c r="B1123" t="str">
        <f>IF($A1123="","",COUNTIF('TMP Paste'!$B$2:$B1123,"?*"))</f>
        <v/>
      </c>
      <c r="C1123" t="str">
        <f>IF($A1123="","",IFERROR('TMP Paste'!$M1123*1,0))</f>
        <v/>
      </c>
      <c r="D1123" t="str">
        <f>IF($A1123="","",SUMIF($B$2:$B1123,$B1123,$C$2:$C1123))</f>
        <v/>
      </c>
      <c r="E1123">
        <f>IF($A1123="",0,IF('TMP Paste'!$B1123="",0,1))</f>
        <v>0</v>
      </c>
      <c r="F1123" t="str">
        <f t="shared" si="85"/>
        <v/>
      </c>
      <c r="G1123" t="str">
        <f t="shared" si="86"/>
        <v/>
      </c>
      <c r="H1123" t="str">
        <f t="shared" si="87"/>
        <v/>
      </c>
      <c r="I1123" t="str">
        <f t="shared" si="88"/>
        <v/>
      </c>
      <c r="J1123" t="str">
        <f t="shared" si="89"/>
        <v/>
      </c>
      <c r="K1123" t="str">
        <f>IF($A1123="","",IF(COUNTIF($B$2:$B1123,$B1123)=COUNTIF($B$2:$B$1601,$B1123),$B1123,""))</f>
        <v/>
      </c>
    </row>
    <row r="1124" spans="1:11">
      <c r="A1124" t="str">
        <f>IF('TMP Paste'!$E1124="","",'TMP Paste'!$E1124)</f>
        <v/>
      </c>
      <c r="B1124" t="str">
        <f>IF($A1124="","",COUNTIF('TMP Paste'!$B$2:$B1124,"?*"))</f>
        <v/>
      </c>
      <c r="C1124" t="str">
        <f>IF($A1124="","",IFERROR('TMP Paste'!$M1124*1,0))</f>
        <v/>
      </c>
      <c r="D1124" t="str">
        <f>IF($A1124="","",SUMIF($B$2:$B1124,$B1124,$C$2:$C1124))</f>
        <v/>
      </c>
      <c r="E1124">
        <f>IF($A1124="",0,IF('TMP Paste'!$B1124="",0,1))</f>
        <v>0</v>
      </c>
      <c r="F1124" t="str">
        <f t="shared" si="85"/>
        <v/>
      </c>
      <c r="G1124" t="str">
        <f t="shared" si="86"/>
        <v/>
      </c>
      <c r="H1124" t="str">
        <f t="shared" si="87"/>
        <v/>
      </c>
      <c r="I1124" t="str">
        <f t="shared" si="88"/>
        <v/>
      </c>
      <c r="J1124" t="str">
        <f t="shared" si="89"/>
        <v/>
      </c>
      <c r="K1124" t="str">
        <f>IF($A1124="","",IF(COUNTIF($B$2:$B1124,$B1124)=COUNTIF($B$2:$B$1601,$B1124),$B1124,""))</f>
        <v/>
      </c>
    </row>
    <row r="1125" spans="1:11">
      <c r="A1125" t="str">
        <f>IF('TMP Paste'!$E1125="","",'TMP Paste'!$E1125)</f>
        <v/>
      </c>
      <c r="B1125" t="str">
        <f>IF($A1125="","",COUNTIF('TMP Paste'!$B$2:$B1125,"?*"))</f>
        <v/>
      </c>
      <c r="C1125" t="str">
        <f>IF($A1125="","",IFERROR('TMP Paste'!$M1125*1,0))</f>
        <v/>
      </c>
      <c r="D1125" t="str">
        <f>IF($A1125="","",SUMIF($B$2:$B1125,$B1125,$C$2:$C1125))</f>
        <v/>
      </c>
      <c r="E1125">
        <f>IF($A1125="",0,IF('TMP Paste'!$B1125="",0,1))</f>
        <v>0</v>
      </c>
      <c r="F1125" t="str">
        <f t="shared" si="85"/>
        <v/>
      </c>
      <c r="G1125" t="str">
        <f t="shared" si="86"/>
        <v/>
      </c>
      <c r="H1125" t="str">
        <f t="shared" si="87"/>
        <v/>
      </c>
      <c r="I1125" t="str">
        <f t="shared" si="88"/>
        <v/>
      </c>
      <c r="J1125" t="str">
        <f t="shared" si="89"/>
        <v/>
      </c>
      <c r="K1125" t="str">
        <f>IF($A1125="","",IF(COUNTIF($B$2:$B1125,$B1125)=COUNTIF($B$2:$B$1601,$B1125),$B1125,""))</f>
        <v/>
      </c>
    </row>
    <row r="1126" spans="1:11">
      <c r="A1126" t="str">
        <f>IF('TMP Paste'!$E1126="","",'TMP Paste'!$E1126)</f>
        <v/>
      </c>
      <c r="B1126" t="str">
        <f>IF($A1126="","",COUNTIF('TMP Paste'!$B$2:$B1126,"?*"))</f>
        <v/>
      </c>
      <c r="C1126" t="str">
        <f>IF($A1126="","",IFERROR('TMP Paste'!$M1126*1,0))</f>
        <v/>
      </c>
      <c r="D1126" t="str">
        <f>IF($A1126="","",SUMIF($B$2:$B1126,$B1126,$C$2:$C1126))</f>
        <v/>
      </c>
      <c r="E1126">
        <f>IF($A1126="",0,IF('TMP Paste'!$B1126="",0,1))</f>
        <v>0</v>
      </c>
      <c r="F1126" t="str">
        <f t="shared" si="85"/>
        <v/>
      </c>
      <c r="G1126" t="str">
        <f t="shared" si="86"/>
        <v/>
      </c>
      <c r="H1126" t="str">
        <f t="shared" si="87"/>
        <v/>
      </c>
      <c r="I1126" t="str">
        <f t="shared" si="88"/>
        <v/>
      </c>
      <c r="J1126" t="str">
        <f t="shared" si="89"/>
        <v/>
      </c>
      <c r="K1126" t="str">
        <f>IF($A1126="","",IF(COUNTIF($B$2:$B1126,$B1126)=COUNTIF($B$2:$B$1601,$B1126),$B1126,""))</f>
        <v/>
      </c>
    </row>
    <row r="1127" spans="1:11">
      <c r="A1127" t="str">
        <f>IF('TMP Paste'!$E1127="","",'TMP Paste'!$E1127)</f>
        <v/>
      </c>
      <c r="B1127" t="str">
        <f>IF($A1127="","",COUNTIF('TMP Paste'!$B$2:$B1127,"?*"))</f>
        <v/>
      </c>
      <c r="C1127" t="str">
        <f>IF($A1127="","",IFERROR('TMP Paste'!$M1127*1,0))</f>
        <v/>
      </c>
      <c r="D1127" t="str">
        <f>IF($A1127="","",SUMIF($B$2:$B1127,$B1127,$C$2:$C1127))</f>
        <v/>
      </c>
      <c r="E1127">
        <f>IF($A1127="",0,IF('TMP Paste'!$B1127="",0,1))</f>
        <v>0</v>
      </c>
      <c r="F1127" t="str">
        <f t="shared" si="85"/>
        <v/>
      </c>
      <c r="G1127" t="str">
        <f t="shared" si="86"/>
        <v/>
      </c>
      <c r="H1127" t="str">
        <f t="shared" si="87"/>
        <v/>
      </c>
      <c r="I1127" t="str">
        <f t="shared" si="88"/>
        <v/>
      </c>
      <c r="J1127" t="str">
        <f t="shared" si="89"/>
        <v/>
      </c>
      <c r="K1127" t="str">
        <f>IF($A1127="","",IF(COUNTIF($B$2:$B1127,$B1127)=COUNTIF($B$2:$B$1601,$B1127),$B1127,""))</f>
        <v/>
      </c>
    </row>
    <row r="1128" spans="1:11">
      <c r="A1128" t="str">
        <f>IF('TMP Paste'!$E1128="","",'TMP Paste'!$E1128)</f>
        <v/>
      </c>
      <c r="B1128" t="str">
        <f>IF($A1128="","",COUNTIF('TMP Paste'!$B$2:$B1128,"?*"))</f>
        <v/>
      </c>
      <c r="C1128" t="str">
        <f>IF($A1128="","",IFERROR('TMP Paste'!$M1128*1,0))</f>
        <v/>
      </c>
      <c r="D1128" t="str">
        <f>IF($A1128="","",SUMIF($B$2:$B1128,$B1128,$C$2:$C1128))</f>
        <v/>
      </c>
      <c r="E1128">
        <f>IF($A1128="",0,IF('TMP Paste'!$B1128="",0,1))</f>
        <v>0</v>
      </c>
      <c r="F1128" t="str">
        <f t="shared" si="85"/>
        <v/>
      </c>
      <c r="G1128" t="str">
        <f t="shared" si="86"/>
        <v/>
      </c>
      <c r="H1128" t="str">
        <f t="shared" si="87"/>
        <v/>
      </c>
      <c r="I1128" t="str">
        <f t="shared" si="88"/>
        <v/>
      </c>
      <c r="J1128" t="str">
        <f t="shared" si="89"/>
        <v/>
      </c>
      <c r="K1128" t="str">
        <f>IF($A1128="","",IF(COUNTIF($B$2:$B1128,$B1128)=COUNTIF($B$2:$B$1601,$B1128),$B1128,""))</f>
        <v/>
      </c>
    </row>
    <row r="1129" spans="1:11">
      <c r="A1129" t="str">
        <f>IF('TMP Paste'!$E1129="","",'TMP Paste'!$E1129)</f>
        <v/>
      </c>
      <c r="B1129" t="str">
        <f>IF($A1129="","",COUNTIF('TMP Paste'!$B$2:$B1129,"?*"))</f>
        <v/>
      </c>
      <c r="C1129" t="str">
        <f>IF($A1129="","",IFERROR('TMP Paste'!$M1129*1,0))</f>
        <v/>
      </c>
      <c r="D1129" t="str">
        <f>IF($A1129="","",SUMIF($B$2:$B1129,$B1129,$C$2:$C1129))</f>
        <v/>
      </c>
      <c r="E1129">
        <f>IF($A1129="",0,IF('TMP Paste'!$B1129="",0,1))</f>
        <v>0</v>
      </c>
      <c r="F1129" t="str">
        <f t="shared" si="85"/>
        <v/>
      </c>
      <c r="G1129" t="str">
        <f t="shared" si="86"/>
        <v/>
      </c>
      <c r="H1129" t="str">
        <f t="shared" si="87"/>
        <v/>
      </c>
      <c r="I1129" t="str">
        <f t="shared" si="88"/>
        <v/>
      </c>
      <c r="J1129" t="str">
        <f t="shared" si="89"/>
        <v/>
      </c>
      <c r="K1129" t="str">
        <f>IF($A1129="","",IF(COUNTIF($B$2:$B1129,$B1129)=COUNTIF($B$2:$B$1601,$B1129),$B1129,""))</f>
        <v/>
      </c>
    </row>
    <row r="1130" spans="1:11">
      <c r="A1130" t="str">
        <f>IF('TMP Paste'!$E1130="","",'TMP Paste'!$E1130)</f>
        <v/>
      </c>
      <c r="B1130" t="str">
        <f>IF($A1130="","",COUNTIF('TMP Paste'!$B$2:$B1130,"?*"))</f>
        <v/>
      </c>
      <c r="C1130" t="str">
        <f>IF($A1130="","",IFERROR('TMP Paste'!$M1130*1,0))</f>
        <v/>
      </c>
      <c r="D1130" t="str">
        <f>IF($A1130="","",SUMIF($B$2:$B1130,$B1130,$C$2:$C1130))</f>
        <v/>
      </c>
      <c r="E1130">
        <f>IF($A1130="",0,IF('TMP Paste'!$B1130="",0,1))</f>
        <v>0</v>
      </c>
      <c r="F1130" t="str">
        <f t="shared" si="85"/>
        <v/>
      </c>
      <c r="G1130" t="str">
        <f t="shared" si="86"/>
        <v/>
      </c>
      <c r="H1130" t="str">
        <f t="shared" si="87"/>
        <v/>
      </c>
      <c r="I1130" t="str">
        <f t="shared" si="88"/>
        <v/>
      </c>
      <c r="J1130" t="str">
        <f t="shared" si="89"/>
        <v/>
      </c>
      <c r="K1130" t="str">
        <f>IF($A1130="","",IF(COUNTIF($B$2:$B1130,$B1130)=COUNTIF($B$2:$B$1601,$B1130),$B1130,""))</f>
        <v/>
      </c>
    </row>
    <row r="1131" spans="1:11">
      <c r="A1131" t="str">
        <f>IF('TMP Paste'!$E1131="","",'TMP Paste'!$E1131)</f>
        <v/>
      </c>
      <c r="B1131" t="str">
        <f>IF($A1131="","",COUNTIF('TMP Paste'!$B$2:$B1131,"?*"))</f>
        <v/>
      </c>
      <c r="C1131" t="str">
        <f>IF($A1131="","",IFERROR('TMP Paste'!$M1131*1,0))</f>
        <v/>
      </c>
      <c r="D1131" t="str">
        <f>IF($A1131="","",SUMIF($B$2:$B1131,$B1131,$C$2:$C1131))</f>
        <v/>
      </c>
      <c r="E1131">
        <f>IF($A1131="",0,IF('TMP Paste'!$B1131="",0,1))</f>
        <v>0</v>
      </c>
      <c r="F1131" t="str">
        <f t="shared" si="85"/>
        <v/>
      </c>
      <c r="G1131" t="str">
        <f t="shared" si="86"/>
        <v/>
      </c>
      <c r="H1131" t="str">
        <f t="shared" si="87"/>
        <v/>
      </c>
      <c r="I1131" t="str">
        <f t="shared" si="88"/>
        <v/>
      </c>
      <c r="J1131" t="str">
        <f t="shared" si="89"/>
        <v/>
      </c>
      <c r="K1131" t="str">
        <f>IF($A1131="","",IF(COUNTIF($B$2:$B1131,$B1131)=COUNTIF($B$2:$B$1601,$B1131),$B1131,""))</f>
        <v/>
      </c>
    </row>
    <row r="1132" spans="1:11">
      <c r="A1132" t="str">
        <f>IF('TMP Paste'!$E1132="","",'TMP Paste'!$E1132)</f>
        <v/>
      </c>
      <c r="B1132" t="str">
        <f>IF($A1132="","",COUNTIF('TMP Paste'!$B$2:$B1132,"?*"))</f>
        <v/>
      </c>
      <c r="C1132" t="str">
        <f>IF($A1132="","",IFERROR('TMP Paste'!$M1132*1,0))</f>
        <v/>
      </c>
      <c r="D1132" t="str">
        <f>IF($A1132="","",SUMIF($B$2:$B1132,$B1132,$C$2:$C1132))</f>
        <v/>
      </c>
      <c r="E1132">
        <f>IF($A1132="",0,IF('TMP Paste'!$B1132="",0,1))</f>
        <v>0</v>
      </c>
      <c r="F1132" t="str">
        <f t="shared" si="85"/>
        <v/>
      </c>
      <c r="G1132" t="str">
        <f t="shared" si="86"/>
        <v/>
      </c>
      <c r="H1132" t="str">
        <f t="shared" si="87"/>
        <v/>
      </c>
      <c r="I1132" t="str">
        <f t="shared" si="88"/>
        <v/>
      </c>
      <c r="J1132" t="str">
        <f t="shared" si="89"/>
        <v/>
      </c>
      <c r="K1132" t="str">
        <f>IF($A1132="","",IF(COUNTIF($B$2:$B1132,$B1132)=COUNTIF($B$2:$B$1601,$B1132),$B1132,""))</f>
        <v/>
      </c>
    </row>
    <row r="1133" spans="1:11">
      <c r="A1133" t="str">
        <f>IF('TMP Paste'!$E1133="","",'TMP Paste'!$E1133)</f>
        <v/>
      </c>
      <c r="B1133" t="str">
        <f>IF($A1133="","",COUNTIF('TMP Paste'!$B$2:$B1133,"?*"))</f>
        <v/>
      </c>
      <c r="C1133" t="str">
        <f>IF($A1133="","",IFERROR('TMP Paste'!$M1133*1,0))</f>
        <v/>
      </c>
      <c r="D1133" t="str">
        <f>IF($A1133="","",SUMIF($B$2:$B1133,$B1133,$C$2:$C1133))</f>
        <v/>
      </c>
      <c r="E1133">
        <f>IF($A1133="",0,IF('TMP Paste'!$B1133="",0,1))</f>
        <v>0</v>
      </c>
      <c r="F1133" t="str">
        <f t="shared" si="85"/>
        <v/>
      </c>
      <c r="G1133" t="str">
        <f t="shared" si="86"/>
        <v/>
      </c>
      <c r="H1133" t="str">
        <f t="shared" si="87"/>
        <v/>
      </c>
      <c r="I1133" t="str">
        <f t="shared" si="88"/>
        <v/>
      </c>
      <c r="J1133" t="str">
        <f t="shared" si="89"/>
        <v/>
      </c>
      <c r="K1133" t="str">
        <f>IF($A1133="","",IF(COUNTIF($B$2:$B1133,$B1133)=COUNTIF($B$2:$B$1601,$B1133),$B1133,""))</f>
        <v/>
      </c>
    </row>
    <row r="1134" spans="1:11">
      <c r="A1134" t="str">
        <f>IF('TMP Paste'!$E1134="","",'TMP Paste'!$E1134)</f>
        <v/>
      </c>
      <c r="B1134" t="str">
        <f>IF($A1134="","",COUNTIF('TMP Paste'!$B$2:$B1134,"?*"))</f>
        <v/>
      </c>
      <c r="C1134" t="str">
        <f>IF($A1134="","",IFERROR('TMP Paste'!$M1134*1,0))</f>
        <v/>
      </c>
      <c r="D1134" t="str">
        <f>IF($A1134="","",SUMIF($B$2:$B1134,$B1134,$C$2:$C1134))</f>
        <v/>
      </c>
      <c r="E1134">
        <f>IF($A1134="",0,IF('TMP Paste'!$B1134="",0,1))</f>
        <v>0</v>
      </c>
      <c r="F1134" t="str">
        <f t="shared" si="85"/>
        <v/>
      </c>
      <c r="G1134" t="str">
        <f t="shared" si="86"/>
        <v/>
      </c>
      <c r="H1134" t="str">
        <f t="shared" si="87"/>
        <v/>
      </c>
      <c r="I1134" t="str">
        <f t="shared" si="88"/>
        <v/>
      </c>
      <c r="J1134" t="str">
        <f t="shared" si="89"/>
        <v/>
      </c>
      <c r="K1134" t="str">
        <f>IF($A1134="","",IF(COUNTIF($B$2:$B1134,$B1134)=COUNTIF($B$2:$B$1601,$B1134),$B1134,""))</f>
        <v/>
      </c>
    </row>
    <row r="1135" spans="1:11">
      <c r="A1135" t="str">
        <f>IF('TMP Paste'!$E1135="","",'TMP Paste'!$E1135)</f>
        <v/>
      </c>
      <c r="B1135" t="str">
        <f>IF($A1135="","",COUNTIF('TMP Paste'!$B$2:$B1135,"?*"))</f>
        <v/>
      </c>
      <c r="C1135" t="str">
        <f>IF($A1135="","",IFERROR('TMP Paste'!$M1135*1,0))</f>
        <v/>
      </c>
      <c r="D1135" t="str">
        <f>IF($A1135="","",SUMIF($B$2:$B1135,$B1135,$C$2:$C1135))</f>
        <v/>
      </c>
      <c r="E1135">
        <f>IF($A1135="",0,IF('TMP Paste'!$B1135="",0,1))</f>
        <v>0</v>
      </c>
      <c r="F1135" t="str">
        <f t="shared" si="85"/>
        <v/>
      </c>
      <c r="G1135" t="str">
        <f t="shared" si="86"/>
        <v/>
      </c>
      <c r="H1135" t="str">
        <f t="shared" si="87"/>
        <v/>
      </c>
      <c r="I1135" t="str">
        <f t="shared" si="88"/>
        <v/>
      </c>
      <c r="J1135" t="str">
        <f t="shared" si="89"/>
        <v/>
      </c>
      <c r="K1135" t="str">
        <f>IF($A1135="","",IF(COUNTIF($B$2:$B1135,$B1135)=COUNTIF($B$2:$B$1601,$B1135),$B1135,""))</f>
        <v/>
      </c>
    </row>
    <row r="1136" spans="1:11">
      <c r="A1136" t="str">
        <f>IF('TMP Paste'!$E1136="","",'TMP Paste'!$E1136)</f>
        <v/>
      </c>
      <c r="B1136" t="str">
        <f>IF($A1136="","",COUNTIF('TMP Paste'!$B$2:$B1136,"?*"))</f>
        <v/>
      </c>
      <c r="C1136" t="str">
        <f>IF($A1136="","",IFERROR('TMP Paste'!$M1136*1,0))</f>
        <v/>
      </c>
      <c r="D1136" t="str">
        <f>IF($A1136="","",SUMIF($B$2:$B1136,$B1136,$C$2:$C1136))</f>
        <v/>
      </c>
      <c r="E1136">
        <f>IF($A1136="",0,IF('TMP Paste'!$B1136="",0,1))</f>
        <v>0</v>
      </c>
      <c r="F1136" t="str">
        <f t="shared" si="85"/>
        <v/>
      </c>
      <c r="G1136" t="str">
        <f t="shared" si="86"/>
        <v/>
      </c>
      <c r="H1136" t="str">
        <f t="shared" si="87"/>
        <v/>
      </c>
      <c r="I1136" t="str">
        <f t="shared" si="88"/>
        <v/>
      </c>
      <c r="J1136" t="str">
        <f t="shared" si="89"/>
        <v/>
      </c>
      <c r="K1136" t="str">
        <f>IF($A1136="","",IF(COUNTIF($B$2:$B1136,$B1136)=COUNTIF($B$2:$B$1601,$B1136),$B1136,""))</f>
        <v/>
      </c>
    </row>
    <row r="1137" spans="1:11">
      <c r="A1137" t="str">
        <f>IF('TMP Paste'!$E1137="","",'TMP Paste'!$E1137)</f>
        <v/>
      </c>
      <c r="B1137" t="str">
        <f>IF($A1137="","",COUNTIF('TMP Paste'!$B$2:$B1137,"?*"))</f>
        <v/>
      </c>
      <c r="C1137" t="str">
        <f>IF($A1137="","",IFERROR('TMP Paste'!$M1137*1,0))</f>
        <v/>
      </c>
      <c r="D1137" t="str">
        <f>IF($A1137="","",SUMIF($B$2:$B1137,$B1137,$C$2:$C1137))</f>
        <v/>
      </c>
      <c r="E1137">
        <f>IF($A1137="",0,IF('TMP Paste'!$B1137="",0,1))</f>
        <v>0</v>
      </c>
      <c r="F1137" t="str">
        <f t="shared" si="85"/>
        <v/>
      </c>
      <c r="G1137" t="str">
        <f t="shared" si="86"/>
        <v/>
      </c>
      <c r="H1137" t="str">
        <f t="shared" si="87"/>
        <v/>
      </c>
      <c r="I1137" t="str">
        <f t="shared" si="88"/>
        <v/>
      </c>
      <c r="J1137" t="str">
        <f t="shared" si="89"/>
        <v/>
      </c>
      <c r="K1137" t="str">
        <f>IF($A1137="","",IF(COUNTIF($B$2:$B1137,$B1137)=COUNTIF($B$2:$B$1601,$B1137),$B1137,""))</f>
        <v/>
      </c>
    </row>
    <row r="1138" spans="1:11">
      <c r="A1138" t="str">
        <f>IF('TMP Paste'!$E1138="","",'TMP Paste'!$E1138)</f>
        <v/>
      </c>
      <c r="B1138" t="str">
        <f>IF($A1138="","",COUNTIF('TMP Paste'!$B$2:$B1138,"?*"))</f>
        <v/>
      </c>
      <c r="C1138" t="str">
        <f>IF($A1138="","",IFERROR('TMP Paste'!$M1138*1,0))</f>
        <v/>
      </c>
      <c r="D1138" t="str">
        <f>IF($A1138="","",SUMIF($B$2:$B1138,$B1138,$C$2:$C1138))</f>
        <v/>
      </c>
      <c r="E1138">
        <f>IF($A1138="",0,IF('TMP Paste'!$B1138="",0,1))</f>
        <v>0</v>
      </c>
      <c r="F1138" t="str">
        <f t="shared" si="85"/>
        <v/>
      </c>
      <c r="G1138" t="str">
        <f t="shared" si="86"/>
        <v/>
      </c>
      <c r="H1138" t="str">
        <f t="shared" si="87"/>
        <v/>
      </c>
      <c r="I1138" t="str">
        <f t="shared" si="88"/>
        <v/>
      </c>
      <c r="J1138" t="str">
        <f t="shared" si="89"/>
        <v/>
      </c>
      <c r="K1138" t="str">
        <f>IF($A1138="","",IF(COUNTIF($B$2:$B1138,$B1138)=COUNTIF($B$2:$B$1601,$B1138),$B1138,""))</f>
        <v/>
      </c>
    </row>
    <row r="1139" spans="1:11">
      <c r="A1139" t="str">
        <f>IF('TMP Paste'!$E1139="","",'TMP Paste'!$E1139)</f>
        <v/>
      </c>
      <c r="B1139" t="str">
        <f>IF($A1139="","",COUNTIF('TMP Paste'!$B$2:$B1139,"?*"))</f>
        <v/>
      </c>
      <c r="C1139" t="str">
        <f>IF($A1139="","",IFERROR('TMP Paste'!$M1139*1,0))</f>
        <v/>
      </c>
      <c r="D1139" t="str">
        <f>IF($A1139="","",SUMIF($B$2:$B1139,$B1139,$C$2:$C1139))</f>
        <v/>
      </c>
      <c r="E1139">
        <f>IF($A1139="",0,IF('TMP Paste'!$B1139="",0,1))</f>
        <v>0</v>
      </c>
      <c r="F1139" t="str">
        <f t="shared" si="85"/>
        <v/>
      </c>
      <c r="G1139" t="str">
        <f t="shared" si="86"/>
        <v/>
      </c>
      <c r="H1139" t="str">
        <f t="shared" si="87"/>
        <v/>
      </c>
      <c r="I1139" t="str">
        <f t="shared" si="88"/>
        <v/>
      </c>
      <c r="J1139" t="str">
        <f t="shared" si="89"/>
        <v/>
      </c>
      <c r="K1139" t="str">
        <f>IF($A1139="","",IF(COUNTIF($B$2:$B1139,$B1139)=COUNTIF($B$2:$B$1601,$B1139),$B1139,""))</f>
        <v/>
      </c>
    </row>
    <row r="1140" spans="1:11">
      <c r="A1140" t="str">
        <f>IF('TMP Paste'!$E1140="","",'TMP Paste'!$E1140)</f>
        <v/>
      </c>
      <c r="B1140" t="str">
        <f>IF($A1140="","",COUNTIF('TMP Paste'!$B$2:$B1140,"?*"))</f>
        <v/>
      </c>
      <c r="C1140" t="str">
        <f>IF($A1140="","",IFERROR('TMP Paste'!$M1140*1,0))</f>
        <v/>
      </c>
      <c r="D1140" t="str">
        <f>IF($A1140="","",SUMIF($B$2:$B1140,$B1140,$C$2:$C1140))</f>
        <v/>
      </c>
      <c r="E1140">
        <f>IF($A1140="",0,IF('TMP Paste'!$B1140="",0,1))</f>
        <v>0</v>
      </c>
      <c r="F1140" t="str">
        <f t="shared" si="85"/>
        <v/>
      </c>
      <c r="G1140" t="str">
        <f t="shared" si="86"/>
        <v/>
      </c>
      <c r="H1140" t="str">
        <f t="shared" si="87"/>
        <v/>
      </c>
      <c r="I1140" t="str">
        <f t="shared" si="88"/>
        <v/>
      </c>
      <c r="J1140" t="str">
        <f t="shared" si="89"/>
        <v/>
      </c>
      <c r="K1140" t="str">
        <f>IF($A1140="","",IF(COUNTIF($B$2:$B1140,$B1140)=COUNTIF($B$2:$B$1601,$B1140),$B1140,""))</f>
        <v/>
      </c>
    </row>
    <row r="1141" spans="1:11">
      <c r="A1141" t="str">
        <f>IF('TMP Paste'!$E1141="","",'TMP Paste'!$E1141)</f>
        <v/>
      </c>
      <c r="B1141" t="str">
        <f>IF($A1141="","",COUNTIF('TMP Paste'!$B$2:$B1141,"?*"))</f>
        <v/>
      </c>
      <c r="C1141" t="str">
        <f>IF($A1141="","",IFERROR('TMP Paste'!$M1141*1,0))</f>
        <v/>
      </c>
      <c r="D1141" t="str">
        <f>IF($A1141="","",SUMIF($B$2:$B1141,$B1141,$C$2:$C1141))</f>
        <v/>
      </c>
      <c r="E1141">
        <f>IF($A1141="",0,IF('TMP Paste'!$B1141="",0,1))</f>
        <v>0</v>
      </c>
      <c r="F1141" t="str">
        <f t="shared" si="85"/>
        <v/>
      </c>
      <c r="G1141" t="str">
        <f t="shared" si="86"/>
        <v/>
      </c>
      <c r="H1141" t="str">
        <f t="shared" si="87"/>
        <v/>
      </c>
      <c r="I1141" t="str">
        <f t="shared" si="88"/>
        <v/>
      </c>
      <c r="J1141" t="str">
        <f t="shared" si="89"/>
        <v/>
      </c>
      <c r="K1141" t="str">
        <f>IF($A1141="","",IF(COUNTIF($B$2:$B1141,$B1141)=COUNTIF($B$2:$B$1601,$B1141),$B1141,""))</f>
        <v/>
      </c>
    </row>
    <row r="1142" spans="1:11">
      <c r="A1142" t="str">
        <f>IF('TMP Paste'!$E1142="","",'TMP Paste'!$E1142)</f>
        <v/>
      </c>
      <c r="B1142" t="str">
        <f>IF($A1142="","",COUNTIF('TMP Paste'!$B$2:$B1142,"?*"))</f>
        <v/>
      </c>
      <c r="C1142" t="str">
        <f>IF($A1142="","",IFERROR('TMP Paste'!$M1142*1,0))</f>
        <v/>
      </c>
      <c r="D1142" t="str">
        <f>IF($A1142="","",SUMIF($B$2:$B1142,$B1142,$C$2:$C1142))</f>
        <v/>
      </c>
      <c r="E1142">
        <f>IF($A1142="",0,IF('TMP Paste'!$B1142="",0,1))</f>
        <v>0</v>
      </c>
      <c r="F1142" t="str">
        <f t="shared" si="85"/>
        <v/>
      </c>
      <c r="G1142" t="str">
        <f t="shared" si="86"/>
        <v/>
      </c>
      <c r="H1142" t="str">
        <f t="shared" si="87"/>
        <v/>
      </c>
      <c r="I1142" t="str">
        <f t="shared" si="88"/>
        <v/>
      </c>
      <c r="J1142" t="str">
        <f t="shared" si="89"/>
        <v/>
      </c>
      <c r="K1142" t="str">
        <f>IF($A1142="","",IF(COUNTIF($B$2:$B1142,$B1142)=COUNTIF($B$2:$B$1601,$B1142),$B1142,""))</f>
        <v/>
      </c>
    </row>
    <row r="1143" spans="1:11">
      <c r="A1143" t="str">
        <f>IF('TMP Paste'!$E1143="","",'TMP Paste'!$E1143)</f>
        <v/>
      </c>
      <c r="B1143" t="str">
        <f>IF($A1143="","",COUNTIF('TMP Paste'!$B$2:$B1143,"?*"))</f>
        <v/>
      </c>
      <c r="C1143" t="str">
        <f>IF($A1143="","",IFERROR('TMP Paste'!$M1143*1,0))</f>
        <v/>
      </c>
      <c r="D1143" t="str">
        <f>IF($A1143="","",SUMIF($B$2:$B1143,$B1143,$C$2:$C1143))</f>
        <v/>
      </c>
      <c r="E1143">
        <f>IF($A1143="",0,IF('TMP Paste'!$B1143="",0,1))</f>
        <v>0</v>
      </c>
      <c r="F1143" t="str">
        <f t="shared" si="85"/>
        <v/>
      </c>
      <c r="G1143" t="str">
        <f t="shared" si="86"/>
        <v/>
      </c>
      <c r="H1143" t="str">
        <f t="shared" si="87"/>
        <v/>
      </c>
      <c r="I1143" t="str">
        <f t="shared" si="88"/>
        <v/>
      </c>
      <c r="J1143" t="str">
        <f t="shared" si="89"/>
        <v/>
      </c>
      <c r="K1143" t="str">
        <f>IF($A1143="","",IF(COUNTIF($B$2:$B1143,$B1143)=COUNTIF($B$2:$B$1601,$B1143),$B1143,""))</f>
        <v/>
      </c>
    </row>
    <row r="1144" spans="1:11">
      <c r="A1144" t="str">
        <f>IF('TMP Paste'!$E1144="","",'TMP Paste'!$E1144)</f>
        <v/>
      </c>
      <c r="B1144" t="str">
        <f>IF($A1144="","",COUNTIF('TMP Paste'!$B$2:$B1144,"?*"))</f>
        <v/>
      </c>
      <c r="C1144" t="str">
        <f>IF($A1144="","",IFERROR('TMP Paste'!$M1144*1,0))</f>
        <v/>
      </c>
      <c r="D1144" t="str">
        <f>IF($A1144="","",SUMIF($B$2:$B1144,$B1144,$C$2:$C1144))</f>
        <v/>
      </c>
      <c r="E1144">
        <f>IF($A1144="",0,IF('TMP Paste'!$B1144="",0,1))</f>
        <v>0</v>
      </c>
      <c r="F1144" t="str">
        <f t="shared" si="85"/>
        <v/>
      </c>
      <c r="G1144" t="str">
        <f t="shared" si="86"/>
        <v/>
      </c>
      <c r="H1144" t="str">
        <f t="shared" si="87"/>
        <v/>
      </c>
      <c r="I1144" t="str">
        <f t="shared" si="88"/>
        <v/>
      </c>
      <c r="J1144" t="str">
        <f t="shared" si="89"/>
        <v/>
      </c>
      <c r="K1144" t="str">
        <f>IF($A1144="","",IF(COUNTIF($B$2:$B1144,$B1144)=COUNTIF($B$2:$B$1601,$B1144),$B1144,""))</f>
        <v/>
      </c>
    </row>
    <row r="1145" spans="1:11">
      <c r="A1145" t="str">
        <f>IF('TMP Paste'!$E1145="","",'TMP Paste'!$E1145)</f>
        <v/>
      </c>
      <c r="B1145" t="str">
        <f>IF($A1145="","",COUNTIF('TMP Paste'!$B$2:$B1145,"?*"))</f>
        <v/>
      </c>
      <c r="C1145" t="str">
        <f>IF($A1145="","",IFERROR('TMP Paste'!$M1145*1,0))</f>
        <v/>
      </c>
      <c r="D1145" t="str">
        <f>IF($A1145="","",SUMIF($B$2:$B1145,$B1145,$C$2:$C1145))</f>
        <v/>
      </c>
      <c r="E1145">
        <f>IF($A1145="",0,IF('TMP Paste'!$B1145="",0,1))</f>
        <v>0</v>
      </c>
      <c r="F1145" t="str">
        <f t="shared" si="85"/>
        <v/>
      </c>
      <c r="G1145" t="str">
        <f t="shared" si="86"/>
        <v/>
      </c>
      <c r="H1145" t="str">
        <f t="shared" si="87"/>
        <v/>
      </c>
      <c r="I1145" t="str">
        <f t="shared" si="88"/>
        <v/>
      </c>
      <c r="J1145" t="str">
        <f t="shared" si="89"/>
        <v/>
      </c>
      <c r="K1145" t="str">
        <f>IF($A1145="","",IF(COUNTIF($B$2:$B1145,$B1145)=COUNTIF($B$2:$B$1601,$B1145),$B1145,""))</f>
        <v/>
      </c>
    </row>
    <row r="1146" spans="1:11">
      <c r="A1146" t="str">
        <f>IF('TMP Paste'!$E1146="","",'TMP Paste'!$E1146)</f>
        <v/>
      </c>
      <c r="B1146" t="str">
        <f>IF($A1146="","",COUNTIF('TMP Paste'!$B$2:$B1146,"?*"))</f>
        <v/>
      </c>
      <c r="C1146" t="str">
        <f>IF($A1146="","",IFERROR('TMP Paste'!$M1146*1,0))</f>
        <v/>
      </c>
      <c r="D1146" t="str">
        <f>IF($A1146="","",SUMIF($B$2:$B1146,$B1146,$C$2:$C1146))</f>
        <v/>
      </c>
      <c r="E1146">
        <f>IF($A1146="",0,IF('TMP Paste'!$B1146="",0,1))</f>
        <v>0</v>
      </c>
      <c r="F1146" t="str">
        <f t="shared" si="85"/>
        <v/>
      </c>
      <c r="G1146" t="str">
        <f t="shared" si="86"/>
        <v/>
      </c>
      <c r="H1146" t="str">
        <f t="shared" si="87"/>
        <v/>
      </c>
      <c r="I1146" t="str">
        <f t="shared" si="88"/>
        <v/>
      </c>
      <c r="J1146" t="str">
        <f t="shared" si="89"/>
        <v/>
      </c>
      <c r="K1146" t="str">
        <f>IF($A1146="","",IF(COUNTIF($B$2:$B1146,$B1146)=COUNTIF($B$2:$B$1601,$B1146),$B1146,""))</f>
        <v/>
      </c>
    </row>
    <row r="1147" spans="1:11">
      <c r="A1147" t="str">
        <f>IF('TMP Paste'!$E1147="","",'TMP Paste'!$E1147)</f>
        <v/>
      </c>
      <c r="B1147" t="str">
        <f>IF($A1147="","",COUNTIF('TMP Paste'!$B$2:$B1147,"?*"))</f>
        <v/>
      </c>
      <c r="C1147" t="str">
        <f>IF($A1147="","",IFERROR('TMP Paste'!$M1147*1,0))</f>
        <v/>
      </c>
      <c r="D1147" t="str">
        <f>IF($A1147="","",SUMIF($B$2:$B1147,$B1147,$C$2:$C1147))</f>
        <v/>
      </c>
      <c r="E1147">
        <f>IF($A1147="",0,IF('TMP Paste'!$B1147="",0,1))</f>
        <v>0</v>
      </c>
      <c r="F1147" t="str">
        <f t="shared" si="85"/>
        <v/>
      </c>
      <c r="G1147" t="str">
        <f t="shared" si="86"/>
        <v/>
      </c>
      <c r="H1147" t="str">
        <f t="shared" si="87"/>
        <v/>
      </c>
      <c r="I1147" t="str">
        <f t="shared" si="88"/>
        <v/>
      </c>
      <c r="J1147" t="str">
        <f t="shared" si="89"/>
        <v/>
      </c>
      <c r="K1147" t="str">
        <f>IF($A1147="","",IF(COUNTIF($B$2:$B1147,$B1147)=COUNTIF($B$2:$B$1601,$B1147),$B1147,""))</f>
        <v/>
      </c>
    </row>
    <row r="1148" spans="1:11">
      <c r="A1148" t="str">
        <f>IF('TMP Paste'!$E1148="","",'TMP Paste'!$E1148)</f>
        <v/>
      </c>
      <c r="B1148" t="str">
        <f>IF($A1148="","",COUNTIF('TMP Paste'!$B$2:$B1148,"?*"))</f>
        <v/>
      </c>
      <c r="C1148" t="str">
        <f>IF($A1148="","",IFERROR('TMP Paste'!$M1148*1,0))</f>
        <v/>
      </c>
      <c r="D1148" t="str">
        <f>IF($A1148="","",SUMIF($B$2:$B1148,$B1148,$C$2:$C1148))</f>
        <v/>
      </c>
      <c r="E1148">
        <f>IF($A1148="",0,IF('TMP Paste'!$B1148="",0,1))</f>
        <v>0</v>
      </c>
      <c r="F1148" t="str">
        <f t="shared" si="85"/>
        <v/>
      </c>
      <c r="G1148" t="str">
        <f t="shared" si="86"/>
        <v/>
      </c>
      <c r="H1148" t="str">
        <f t="shared" si="87"/>
        <v/>
      </c>
      <c r="I1148" t="str">
        <f t="shared" si="88"/>
        <v/>
      </c>
      <c r="J1148" t="str">
        <f t="shared" si="89"/>
        <v/>
      </c>
      <c r="K1148" t="str">
        <f>IF($A1148="","",IF(COUNTIF($B$2:$B1148,$B1148)=COUNTIF($B$2:$B$1601,$B1148),$B1148,""))</f>
        <v/>
      </c>
    </row>
    <row r="1149" spans="1:11">
      <c r="A1149" t="str">
        <f>IF('TMP Paste'!$E1149="","",'TMP Paste'!$E1149)</f>
        <v/>
      </c>
      <c r="B1149" t="str">
        <f>IF($A1149="","",COUNTIF('TMP Paste'!$B$2:$B1149,"?*"))</f>
        <v/>
      </c>
      <c r="C1149" t="str">
        <f>IF($A1149="","",IFERROR('TMP Paste'!$M1149*1,0))</f>
        <v/>
      </c>
      <c r="D1149" t="str">
        <f>IF($A1149="","",SUMIF($B$2:$B1149,$B1149,$C$2:$C1149))</f>
        <v/>
      </c>
      <c r="E1149">
        <f>IF($A1149="",0,IF('TMP Paste'!$B1149="",0,1))</f>
        <v>0</v>
      </c>
      <c r="F1149" t="str">
        <f t="shared" si="85"/>
        <v/>
      </c>
      <c r="G1149" t="str">
        <f t="shared" si="86"/>
        <v/>
      </c>
      <c r="H1149" t="str">
        <f t="shared" si="87"/>
        <v/>
      </c>
      <c r="I1149" t="str">
        <f t="shared" si="88"/>
        <v/>
      </c>
      <c r="J1149" t="str">
        <f t="shared" si="89"/>
        <v/>
      </c>
      <c r="K1149" t="str">
        <f>IF($A1149="","",IF(COUNTIF($B$2:$B1149,$B1149)=COUNTIF($B$2:$B$1601,$B1149),$B1149,""))</f>
        <v/>
      </c>
    </row>
    <row r="1150" spans="1:11">
      <c r="A1150" t="str">
        <f>IF('TMP Paste'!$E1150="","",'TMP Paste'!$E1150)</f>
        <v/>
      </c>
      <c r="B1150" t="str">
        <f>IF($A1150="","",COUNTIF('TMP Paste'!$B$2:$B1150,"?*"))</f>
        <v/>
      </c>
      <c r="C1150" t="str">
        <f>IF($A1150="","",IFERROR('TMP Paste'!$M1150*1,0))</f>
        <v/>
      </c>
      <c r="D1150" t="str">
        <f>IF($A1150="","",SUMIF($B$2:$B1150,$B1150,$C$2:$C1150))</f>
        <v/>
      </c>
      <c r="E1150">
        <f>IF($A1150="",0,IF('TMP Paste'!$B1150="",0,1))</f>
        <v>0</v>
      </c>
      <c r="F1150" t="str">
        <f t="shared" si="85"/>
        <v/>
      </c>
      <c r="G1150" t="str">
        <f t="shared" si="86"/>
        <v/>
      </c>
      <c r="H1150" t="str">
        <f t="shared" si="87"/>
        <v/>
      </c>
      <c r="I1150" t="str">
        <f t="shared" si="88"/>
        <v/>
      </c>
      <c r="J1150" t="str">
        <f t="shared" si="89"/>
        <v/>
      </c>
      <c r="K1150" t="str">
        <f>IF($A1150="","",IF(COUNTIF($B$2:$B1150,$B1150)=COUNTIF($B$2:$B$1601,$B1150),$B1150,""))</f>
        <v/>
      </c>
    </row>
    <row r="1151" spans="1:11">
      <c r="A1151" t="str">
        <f>IF('TMP Paste'!$E1151="","",'TMP Paste'!$E1151)</f>
        <v/>
      </c>
      <c r="B1151" t="str">
        <f>IF($A1151="","",COUNTIF('TMP Paste'!$B$2:$B1151,"?*"))</f>
        <v/>
      </c>
      <c r="C1151" t="str">
        <f>IF($A1151="","",IFERROR('TMP Paste'!$M1151*1,0))</f>
        <v/>
      </c>
      <c r="D1151" t="str">
        <f>IF($A1151="","",SUMIF($B$2:$B1151,$B1151,$C$2:$C1151))</f>
        <v/>
      </c>
      <c r="E1151">
        <f>IF($A1151="",0,IF('TMP Paste'!$B1151="",0,1))</f>
        <v>0</v>
      </c>
      <c r="F1151" t="str">
        <f t="shared" si="85"/>
        <v/>
      </c>
      <c r="G1151" t="str">
        <f t="shared" si="86"/>
        <v/>
      </c>
      <c r="H1151" t="str">
        <f t="shared" si="87"/>
        <v/>
      </c>
      <c r="I1151" t="str">
        <f t="shared" si="88"/>
        <v/>
      </c>
      <c r="J1151" t="str">
        <f t="shared" si="89"/>
        <v/>
      </c>
      <c r="K1151" t="str">
        <f>IF($A1151="","",IF(COUNTIF($B$2:$B1151,$B1151)=COUNTIF($B$2:$B$1601,$B1151),$B1151,""))</f>
        <v/>
      </c>
    </row>
    <row r="1152" spans="1:11">
      <c r="A1152" t="str">
        <f>IF('TMP Paste'!$E1152="","",'TMP Paste'!$E1152)</f>
        <v/>
      </c>
      <c r="B1152" t="str">
        <f>IF($A1152="","",COUNTIF('TMP Paste'!$B$2:$B1152,"?*"))</f>
        <v/>
      </c>
      <c r="C1152" t="str">
        <f>IF($A1152="","",IFERROR('TMP Paste'!$M1152*1,0))</f>
        <v/>
      </c>
      <c r="D1152" t="str">
        <f>IF($A1152="","",SUMIF($B$2:$B1152,$B1152,$C$2:$C1152))</f>
        <v/>
      </c>
      <c r="E1152">
        <f>IF($A1152="",0,IF('TMP Paste'!$B1152="",0,1))</f>
        <v>0</v>
      </c>
      <c r="F1152" t="str">
        <f t="shared" si="85"/>
        <v/>
      </c>
      <c r="G1152" t="str">
        <f t="shared" si="86"/>
        <v/>
      </c>
      <c r="H1152" t="str">
        <f t="shared" si="87"/>
        <v/>
      </c>
      <c r="I1152" t="str">
        <f t="shared" si="88"/>
        <v/>
      </c>
      <c r="J1152" t="str">
        <f t="shared" si="89"/>
        <v/>
      </c>
      <c r="K1152" t="str">
        <f>IF($A1152="","",IF(COUNTIF($B$2:$B1152,$B1152)=COUNTIF($B$2:$B$1601,$B1152),$B1152,""))</f>
        <v/>
      </c>
    </row>
    <row r="1153" spans="1:11">
      <c r="A1153" t="str">
        <f>IF('TMP Paste'!$E1153="","",'TMP Paste'!$E1153)</f>
        <v/>
      </c>
      <c r="B1153" t="str">
        <f>IF($A1153="","",COUNTIF('TMP Paste'!$B$2:$B1153,"?*"))</f>
        <v/>
      </c>
      <c r="C1153" t="str">
        <f>IF($A1153="","",IFERROR('TMP Paste'!$M1153*1,0))</f>
        <v/>
      </c>
      <c r="D1153" t="str">
        <f>IF($A1153="","",SUMIF($B$2:$B1153,$B1153,$C$2:$C1153))</f>
        <v/>
      </c>
      <c r="E1153">
        <f>IF($A1153="",0,IF('TMP Paste'!$B1153="",0,1))</f>
        <v>0</v>
      </c>
      <c r="F1153" t="str">
        <f t="shared" si="85"/>
        <v/>
      </c>
      <c r="G1153" t="str">
        <f t="shared" si="86"/>
        <v/>
      </c>
      <c r="H1153" t="str">
        <f t="shared" si="87"/>
        <v/>
      </c>
      <c r="I1153" t="str">
        <f t="shared" si="88"/>
        <v/>
      </c>
      <c r="J1153" t="str">
        <f t="shared" si="89"/>
        <v/>
      </c>
      <c r="K1153" t="str">
        <f>IF($A1153="","",IF(COUNTIF($B$2:$B1153,$B1153)=COUNTIF($B$2:$B$1601,$B1153),$B1153,""))</f>
        <v/>
      </c>
    </row>
    <row r="1154" spans="1:11">
      <c r="A1154" t="str">
        <f>IF('TMP Paste'!$E1154="","",'TMP Paste'!$E1154)</f>
        <v/>
      </c>
      <c r="B1154" t="str">
        <f>IF($A1154="","",COUNTIF('TMP Paste'!$B$2:$B1154,"?*"))</f>
        <v/>
      </c>
      <c r="C1154" t="str">
        <f>IF($A1154="","",IFERROR('TMP Paste'!$M1154*1,0))</f>
        <v/>
      </c>
      <c r="D1154" t="str">
        <f>IF($A1154="","",SUMIF($B$2:$B1154,$B1154,$C$2:$C1154))</f>
        <v/>
      </c>
      <c r="E1154">
        <f>IF($A1154="",0,IF('TMP Paste'!$B1154="",0,1))</f>
        <v>0</v>
      </c>
      <c r="F1154" t="str">
        <f t="shared" ref="F1154:F1217" si="90">IF(OR($A1154="",$C1154&lt;1),"",$A1154&amp;"-"&amp;TEXT(($D1154-$C1154+1),"00")&amp;IF($C1154&gt;=2,", "&amp;$A1154&amp;"-"&amp;TEXT(($D1154-$C1154+1)+1,"00"),"")&amp;IF($C1154&gt;=3,", "&amp;$A1154&amp;"-"&amp;TEXT(($D1154-$C1154+1)+2,"00"),"")&amp;IF($C1154&gt;=4,", "&amp;$A1154&amp;"-"&amp;TEXT(($D1154-$C1154+1)+3,"00"),"")&amp;IF($C1154&gt;=5,", "&amp;$A1154&amp;"-"&amp;TEXT(($D1154-$C1154+1)+4,"00"),"")&amp;IF($C1154&gt;=6,", "&amp;$A1154&amp;"-"&amp;TEXT(($D1154-$C1154+1)+5,"00"),"")&amp;IF($C1154&gt;=7,", "&amp;$A1154&amp;"-"&amp;TEXT(($D1154-$C1154+1)+6,"00"),"")&amp;IF($C1154&gt;=8,", "&amp;$A1154&amp;"-"&amp;TEXT(($D1154-$C1154+1)+7,"00"),"")&amp;IF($C1154&gt;=9,", "&amp;$A1154&amp;"-"&amp;TEXT(($D1154-$C1154+1)+8,"00"),"")&amp;IF($C1154&gt;=10,", "&amp;$A1154&amp;"-"&amp;TEXT(($D1154-$C1154+1)+9,"00"),"")&amp;IF($C1154&gt;=11,", "&amp;$A1154&amp;"-"&amp;TEXT(($D1154-$C1154+1)+10,"00"),"")&amp;IF($C1154&gt;=12,", "&amp;$A1154&amp;"-"&amp;TEXT(($D1154-$C1154+1)+11,"00"),"")&amp;IF($C1154&gt;=13,", "&amp;$A1154&amp;"-"&amp;TEXT(($D1154-$C1154+1)+12,"00"),"")&amp;IF($C1154&gt;=14,", "&amp;$A1154&amp;"-"&amp;TEXT(($D1154-$C1154+1)+13,"00"),"")&amp;IF($C1154&gt;=15,", "&amp;$A1154&amp;"-"&amp;TEXT(($D1154-$C1154+1)+14,"00"),"")&amp;IF($C1154&gt;=16,", "&amp;$A1154&amp;"-"&amp;TEXT(($D1154-$C1154+1)+15,"00"),"")&amp;IF($C1154&gt;=17,", "&amp;$A1154&amp;"-"&amp;TEXT(($D1154-$C1154+1)+16,"00"),"")&amp;IF($C1154&gt;=18,", "&amp;$A1154&amp;"-"&amp;TEXT(($D1154-$C1154+1)+17,"00"),"")&amp;IF($C1154&gt;=19,", "&amp;$A1154&amp;"-"&amp;TEXT(($D1154-$C1154+1)+18,"00"),"")&amp;IF($C1154&gt;=20,", "&amp;$A1154&amp;"-"&amp;TEXT(($D1154-$C1154+1)+19,"00"),"")&amp;IF($C1154&gt;=21,", "&amp;$A1154&amp;"-"&amp;TEXT(($D1154-$C1154+1)+20,"00"),"")&amp;IF($C1154&gt;=22,", "&amp;$A1154&amp;"-"&amp;TEXT(($D1154-$C1154+1)+21,"00"),"")&amp;IF($C1154&gt;=23,", "&amp;$A1154&amp;"-"&amp;TEXT(($D1154-$C1154+1)+22,"00"),"")&amp;IF($C1154&gt;=24,", "&amp;$A1154&amp;"-"&amp;TEXT(($D1154-$C1154+1)+23,"00"),"")&amp;IF($C1154&gt;=25,", "&amp;$A1154&amp;"-"&amp;TEXT(($D1154-$C1154+1)+24,"00"),""))</f>
        <v/>
      </c>
      <c r="G1154" t="str">
        <f t="shared" ref="G1154:G1217" si="91">IF($A1154="","",IF($E1154=1,$F1154,IF($F1154="",$G1153,IF($G1153="",$F1154,$G1153&amp;", "&amp;$F1154))))</f>
        <v/>
      </c>
      <c r="H1154" t="str">
        <f t="shared" ref="H1154:H1217" si="92">IF($A1154="","",$A1154&amp;" ("&amp;$C1154&amp;")")</f>
        <v/>
      </c>
      <c r="I1154" t="str">
        <f t="shared" ref="I1154:I1217" si="93">IF($A1154="","",IF($E1154=1,$H1154,$I1153&amp;", "&amp;$H1154))</f>
        <v/>
      </c>
      <c r="J1154" t="str">
        <f t="shared" ref="J1154:J1217" si="94">IF($A1154="","",IF($E1154=1,$B1154,""))</f>
        <v/>
      </c>
      <c r="K1154" t="str">
        <f>IF($A1154="","",IF(COUNTIF($B$2:$B1154,$B1154)=COUNTIF($B$2:$B$1601,$B1154),$B1154,""))</f>
        <v/>
      </c>
    </row>
    <row r="1155" spans="1:11">
      <c r="A1155" t="str">
        <f>IF('TMP Paste'!$E1155="","",'TMP Paste'!$E1155)</f>
        <v/>
      </c>
      <c r="B1155" t="str">
        <f>IF($A1155="","",COUNTIF('TMP Paste'!$B$2:$B1155,"?*"))</f>
        <v/>
      </c>
      <c r="C1155" t="str">
        <f>IF($A1155="","",IFERROR('TMP Paste'!$M1155*1,0))</f>
        <v/>
      </c>
      <c r="D1155" t="str">
        <f>IF($A1155="","",SUMIF($B$2:$B1155,$B1155,$C$2:$C1155))</f>
        <v/>
      </c>
      <c r="E1155">
        <f>IF($A1155="",0,IF('TMP Paste'!$B1155="",0,1))</f>
        <v>0</v>
      </c>
      <c r="F1155" t="str">
        <f t="shared" si="90"/>
        <v/>
      </c>
      <c r="G1155" t="str">
        <f t="shared" si="91"/>
        <v/>
      </c>
      <c r="H1155" t="str">
        <f t="shared" si="92"/>
        <v/>
      </c>
      <c r="I1155" t="str">
        <f t="shared" si="93"/>
        <v/>
      </c>
      <c r="J1155" t="str">
        <f t="shared" si="94"/>
        <v/>
      </c>
      <c r="K1155" t="str">
        <f>IF($A1155="","",IF(COUNTIF($B$2:$B1155,$B1155)=COUNTIF($B$2:$B$1601,$B1155),$B1155,""))</f>
        <v/>
      </c>
    </row>
    <row r="1156" spans="1:11">
      <c r="A1156" t="str">
        <f>IF('TMP Paste'!$E1156="","",'TMP Paste'!$E1156)</f>
        <v/>
      </c>
      <c r="B1156" t="str">
        <f>IF($A1156="","",COUNTIF('TMP Paste'!$B$2:$B1156,"?*"))</f>
        <v/>
      </c>
      <c r="C1156" t="str">
        <f>IF($A1156="","",IFERROR('TMP Paste'!$M1156*1,0))</f>
        <v/>
      </c>
      <c r="D1156" t="str">
        <f>IF($A1156="","",SUMIF($B$2:$B1156,$B1156,$C$2:$C1156))</f>
        <v/>
      </c>
      <c r="E1156">
        <f>IF($A1156="",0,IF('TMP Paste'!$B1156="",0,1))</f>
        <v>0</v>
      </c>
      <c r="F1156" t="str">
        <f t="shared" si="90"/>
        <v/>
      </c>
      <c r="G1156" t="str">
        <f t="shared" si="91"/>
        <v/>
      </c>
      <c r="H1156" t="str">
        <f t="shared" si="92"/>
        <v/>
      </c>
      <c r="I1156" t="str">
        <f t="shared" si="93"/>
        <v/>
      </c>
      <c r="J1156" t="str">
        <f t="shared" si="94"/>
        <v/>
      </c>
      <c r="K1156" t="str">
        <f>IF($A1156="","",IF(COUNTIF($B$2:$B1156,$B1156)=COUNTIF($B$2:$B$1601,$B1156),$B1156,""))</f>
        <v/>
      </c>
    </row>
    <row r="1157" spans="1:11">
      <c r="A1157" t="str">
        <f>IF('TMP Paste'!$E1157="","",'TMP Paste'!$E1157)</f>
        <v/>
      </c>
      <c r="B1157" t="str">
        <f>IF($A1157="","",COUNTIF('TMP Paste'!$B$2:$B1157,"?*"))</f>
        <v/>
      </c>
      <c r="C1157" t="str">
        <f>IF($A1157="","",IFERROR('TMP Paste'!$M1157*1,0))</f>
        <v/>
      </c>
      <c r="D1157" t="str">
        <f>IF($A1157="","",SUMIF($B$2:$B1157,$B1157,$C$2:$C1157))</f>
        <v/>
      </c>
      <c r="E1157">
        <f>IF($A1157="",0,IF('TMP Paste'!$B1157="",0,1))</f>
        <v>0</v>
      </c>
      <c r="F1157" t="str">
        <f t="shared" si="90"/>
        <v/>
      </c>
      <c r="G1157" t="str">
        <f t="shared" si="91"/>
        <v/>
      </c>
      <c r="H1157" t="str">
        <f t="shared" si="92"/>
        <v/>
      </c>
      <c r="I1157" t="str">
        <f t="shared" si="93"/>
        <v/>
      </c>
      <c r="J1157" t="str">
        <f t="shared" si="94"/>
        <v/>
      </c>
      <c r="K1157" t="str">
        <f>IF($A1157="","",IF(COUNTIF($B$2:$B1157,$B1157)=COUNTIF($B$2:$B$1601,$B1157),$B1157,""))</f>
        <v/>
      </c>
    </row>
    <row r="1158" spans="1:11">
      <c r="A1158" t="str">
        <f>IF('TMP Paste'!$E1158="","",'TMP Paste'!$E1158)</f>
        <v/>
      </c>
      <c r="B1158" t="str">
        <f>IF($A1158="","",COUNTIF('TMP Paste'!$B$2:$B1158,"?*"))</f>
        <v/>
      </c>
      <c r="C1158" t="str">
        <f>IF($A1158="","",IFERROR('TMP Paste'!$M1158*1,0))</f>
        <v/>
      </c>
      <c r="D1158" t="str">
        <f>IF($A1158="","",SUMIF($B$2:$B1158,$B1158,$C$2:$C1158))</f>
        <v/>
      </c>
      <c r="E1158">
        <f>IF($A1158="",0,IF('TMP Paste'!$B1158="",0,1))</f>
        <v>0</v>
      </c>
      <c r="F1158" t="str">
        <f t="shared" si="90"/>
        <v/>
      </c>
      <c r="G1158" t="str">
        <f t="shared" si="91"/>
        <v/>
      </c>
      <c r="H1158" t="str">
        <f t="shared" si="92"/>
        <v/>
      </c>
      <c r="I1158" t="str">
        <f t="shared" si="93"/>
        <v/>
      </c>
      <c r="J1158" t="str">
        <f t="shared" si="94"/>
        <v/>
      </c>
      <c r="K1158" t="str">
        <f>IF($A1158="","",IF(COUNTIF($B$2:$B1158,$B1158)=COUNTIF($B$2:$B$1601,$B1158),$B1158,""))</f>
        <v/>
      </c>
    </row>
    <row r="1159" spans="1:11">
      <c r="A1159" t="str">
        <f>IF('TMP Paste'!$E1159="","",'TMP Paste'!$E1159)</f>
        <v/>
      </c>
      <c r="B1159" t="str">
        <f>IF($A1159="","",COUNTIF('TMP Paste'!$B$2:$B1159,"?*"))</f>
        <v/>
      </c>
      <c r="C1159" t="str">
        <f>IF($A1159="","",IFERROR('TMP Paste'!$M1159*1,0))</f>
        <v/>
      </c>
      <c r="D1159" t="str">
        <f>IF($A1159="","",SUMIF($B$2:$B1159,$B1159,$C$2:$C1159))</f>
        <v/>
      </c>
      <c r="E1159">
        <f>IF($A1159="",0,IF('TMP Paste'!$B1159="",0,1))</f>
        <v>0</v>
      </c>
      <c r="F1159" t="str">
        <f t="shared" si="90"/>
        <v/>
      </c>
      <c r="G1159" t="str">
        <f t="shared" si="91"/>
        <v/>
      </c>
      <c r="H1159" t="str">
        <f t="shared" si="92"/>
        <v/>
      </c>
      <c r="I1159" t="str">
        <f t="shared" si="93"/>
        <v/>
      </c>
      <c r="J1159" t="str">
        <f t="shared" si="94"/>
        <v/>
      </c>
      <c r="K1159" t="str">
        <f>IF($A1159="","",IF(COUNTIF($B$2:$B1159,$B1159)=COUNTIF($B$2:$B$1601,$B1159),$B1159,""))</f>
        <v/>
      </c>
    </row>
    <row r="1160" spans="1:11">
      <c r="A1160" t="str">
        <f>IF('TMP Paste'!$E1160="","",'TMP Paste'!$E1160)</f>
        <v/>
      </c>
      <c r="B1160" t="str">
        <f>IF($A1160="","",COUNTIF('TMP Paste'!$B$2:$B1160,"?*"))</f>
        <v/>
      </c>
      <c r="C1160" t="str">
        <f>IF($A1160="","",IFERROR('TMP Paste'!$M1160*1,0))</f>
        <v/>
      </c>
      <c r="D1160" t="str">
        <f>IF($A1160="","",SUMIF($B$2:$B1160,$B1160,$C$2:$C1160))</f>
        <v/>
      </c>
      <c r="E1160">
        <f>IF($A1160="",0,IF('TMP Paste'!$B1160="",0,1))</f>
        <v>0</v>
      </c>
      <c r="F1160" t="str">
        <f t="shared" si="90"/>
        <v/>
      </c>
      <c r="G1160" t="str">
        <f t="shared" si="91"/>
        <v/>
      </c>
      <c r="H1160" t="str">
        <f t="shared" si="92"/>
        <v/>
      </c>
      <c r="I1160" t="str">
        <f t="shared" si="93"/>
        <v/>
      </c>
      <c r="J1160" t="str">
        <f t="shared" si="94"/>
        <v/>
      </c>
      <c r="K1160" t="str">
        <f>IF($A1160="","",IF(COUNTIF($B$2:$B1160,$B1160)=COUNTIF($B$2:$B$1601,$B1160),$B1160,""))</f>
        <v/>
      </c>
    </row>
    <row r="1161" spans="1:11">
      <c r="A1161" t="str">
        <f>IF('TMP Paste'!$E1161="","",'TMP Paste'!$E1161)</f>
        <v/>
      </c>
      <c r="B1161" t="str">
        <f>IF($A1161="","",COUNTIF('TMP Paste'!$B$2:$B1161,"?*"))</f>
        <v/>
      </c>
      <c r="C1161" t="str">
        <f>IF($A1161="","",IFERROR('TMP Paste'!$M1161*1,0))</f>
        <v/>
      </c>
      <c r="D1161" t="str">
        <f>IF($A1161="","",SUMIF($B$2:$B1161,$B1161,$C$2:$C1161))</f>
        <v/>
      </c>
      <c r="E1161">
        <f>IF($A1161="",0,IF('TMP Paste'!$B1161="",0,1))</f>
        <v>0</v>
      </c>
      <c r="F1161" t="str">
        <f t="shared" si="90"/>
        <v/>
      </c>
      <c r="G1161" t="str">
        <f t="shared" si="91"/>
        <v/>
      </c>
      <c r="H1161" t="str">
        <f t="shared" si="92"/>
        <v/>
      </c>
      <c r="I1161" t="str">
        <f t="shared" si="93"/>
        <v/>
      </c>
      <c r="J1161" t="str">
        <f t="shared" si="94"/>
        <v/>
      </c>
      <c r="K1161" t="str">
        <f>IF($A1161="","",IF(COUNTIF($B$2:$B1161,$B1161)=COUNTIF($B$2:$B$1601,$B1161),$B1161,""))</f>
        <v/>
      </c>
    </row>
    <row r="1162" spans="1:11">
      <c r="A1162" t="str">
        <f>IF('TMP Paste'!$E1162="","",'TMP Paste'!$E1162)</f>
        <v/>
      </c>
      <c r="B1162" t="str">
        <f>IF($A1162="","",COUNTIF('TMP Paste'!$B$2:$B1162,"?*"))</f>
        <v/>
      </c>
      <c r="C1162" t="str">
        <f>IF($A1162="","",IFERROR('TMP Paste'!$M1162*1,0))</f>
        <v/>
      </c>
      <c r="D1162" t="str">
        <f>IF($A1162="","",SUMIF($B$2:$B1162,$B1162,$C$2:$C1162))</f>
        <v/>
      </c>
      <c r="E1162">
        <f>IF($A1162="",0,IF('TMP Paste'!$B1162="",0,1))</f>
        <v>0</v>
      </c>
      <c r="F1162" t="str">
        <f t="shared" si="90"/>
        <v/>
      </c>
      <c r="G1162" t="str">
        <f t="shared" si="91"/>
        <v/>
      </c>
      <c r="H1162" t="str">
        <f t="shared" si="92"/>
        <v/>
      </c>
      <c r="I1162" t="str">
        <f t="shared" si="93"/>
        <v/>
      </c>
      <c r="J1162" t="str">
        <f t="shared" si="94"/>
        <v/>
      </c>
      <c r="K1162" t="str">
        <f>IF($A1162="","",IF(COUNTIF($B$2:$B1162,$B1162)=COUNTIF($B$2:$B$1601,$B1162),$B1162,""))</f>
        <v/>
      </c>
    </row>
    <row r="1163" spans="1:11">
      <c r="A1163" t="str">
        <f>IF('TMP Paste'!$E1163="","",'TMP Paste'!$E1163)</f>
        <v/>
      </c>
      <c r="B1163" t="str">
        <f>IF($A1163="","",COUNTIF('TMP Paste'!$B$2:$B1163,"?*"))</f>
        <v/>
      </c>
      <c r="C1163" t="str">
        <f>IF($A1163="","",IFERROR('TMP Paste'!$M1163*1,0))</f>
        <v/>
      </c>
      <c r="D1163" t="str">
        <f>IF($A1163="","",SUMIF($B$2:$B1163,$B1163,$C$2:$C1163))</f>
        <v/>
      </c>
      <c r="E1163">
        <f>IF($A1163="",0,IF('TMP Paste'!$B1163="",0,1))</f>
        <v>0</v>
      </c>
      <c r="F1163" t="str">
        <f t="shared" si="90"/>
        <v/>
      </c>
      <c r="G1163" t="str">
        <f t="shared" si="91"/>
        <v/>
      </c>
      <c r="H1163" t="str">
        <f t="shared" si="92"/>
        <v/>
      </c>
      <c r="I1163" t="str">
        <f t="shared" si="93"/>
        <v/>
      </c>
      <c r="J1163" t="str">
        <f t="shared" si="94"/>
        <v/>
      </c>
      <c r="K1163" t="str">
        <f>IF($A1163="","",IF(COUNTIF($B$2:$B1163,$B1163)=COUNTIF($B$2:$B$1601,$B1163),$B1163,""))</f>
        <v/>
      </c>
    </row>
    <row r="1164" spans="1:11">
      <c r="A1164" t="str">
        <f>IF('TMP Paste'!$E1164="","",'TMP Paste'!$E1164)</f>
        <v/>
      </c>
      <c r="B1164" t="str">
        <f>IF($A1164="","",COUNTIF('TMP Paste'!$B$2:$B1164,"?*"))</f>
        <v/>
      </c>
      <c r="C1164" t="str">
        <f>IF($A1164="","",IFERROR('TMP Paste'!$M1164*1,0))</f>
        <v/>
      </c>
      <c r="D1164" t="str">
        <f>IF($A1164="","",SUMIF($B$2:$B1164,$B1164,$C$2:$C1164))</f>
        <v/>
      </c>
      <c r="E1164">
        <f>IF($A1164="",0,IF('TMP Paste'!$B1164="",0,1))</f>
        <v>0</v>
      </c>
      <c r="F1164" t="str">
        <f t="shared" si="90"/>
        <v/>
      </c>
      <c r="G1164" t="str">
        <f t="shared" si="91"/>
        <v/>
      </c>
      <c r="H1164" t="str">
        <f t="shared" si="92"/>
        <v/>
      </c>
      <c r="I1164" t="str">
        <f t="shared" si="93"/>
        <v/>
      </c>
      <c r="J1164" t="str">
        <f t="shared" si="94"/>
        <v/>
      </c>
      <c r="K1164" t="str">
        <f>IF($A1164="","",IF(COUNTIF($B$2:$B1164,$B1164)=COUNTIF($B$2:$B$1601,$B1164),$B1164,""))</f>
        <v/>
      </c>
    </row>
    <row r="1165" spans="1:11">
      <c r="A1165" t="str">
        <f>IF('TMP Paste'!$E1165="","",'TMP Paste'!$E1165)</f>
        <v/>
      </c>
      <c r="B1165" t="str">
        <f>IF($A1165="","",COUNTIF('TMP Paste'!$B$2:$B1165,"?*"))</f>
        <v/>
      </c>
      <c r="C1165" t="str">
        <f>IF($A1165="","",IFERROR('TMP Paste'!$M1165*1,0))</f>
        <v/>
      </c>
      <c r="D1165" t="str">
        <f>IF($A1165="","",SUMIF($B$2:$B1165,$B1165,$C$2:$C1165))</f>
        <v/>
      </c>
      <c r="E1165">
        <f>IF($A1165="",0,IF('TMP Paste'!$B1165="",0,1))</f>
        <v>0</v>
      </c>
      <c r="F1165" t="str">
        <f t="shared" si="90"/>
        <v/>
      </c>
      <c r="G1165" t="str">
        <f t="shared" si="91"/>
        <v/>
      </c>
      <c r="H1165" t="str">
        <f t="shared" si="92"/>
        <v/>
      </c>
      <c r="I1165" t="str">
        <f t="shared" si="93"/>
        <v/>
      </c>
      <c r="J1165" t="str">
        <f t="shared" si="94"/>
        <v/>
      </c>
      <c r="K1165" t="str">
        <f>IF($A1165="","",IF(COUNTIF($B$2:$B1165,$B1165)=COUNTIF($B$2:$B$1601,$B1165),$B1165,""))</f>
        <v/>
      </c>
    </row>
    <row r="1166" spans="1:11">
      <c r="A1166" t="str">
        <f>IF('TMP Paste'!$E1166="","",'TMP Paste'!$E1166)</f>
        <v/>
      </c>
      <c r="B1166" t="str">
        <f>IF($A1166="","",COUNTIF('TMP Paste'!$B$2:$B1166,"?*"))</f>
        <v/>
      </c>
      <c r="C1166" t="str">
        <f>IF($A1166="","",IFERROR('TMP Paste'!$M1166*1,0))</f>
        <v/>
      </c>
      <c r="D1166" t="str">
        <f>IF($A1166="","",SUMIF($B$2:$B1166,$B1166,$C$2:$C1166))</f>
        <v/>
      </c>
      <c r="E1166">
        <f>IF($A1166="",0,IF('TMP Paste'!$B1166="",0,1))</f>
        <v>0</v>
      </c>
      <c r="F1166" t="str">
        <f t="shared" si="90"/>
        <v/>
      </c>
      <c r="G1166" t="str">
        <f t="shared" si="91"/>
        <v/>
      </c>
      <c r="H1166" t="str">
        <f t="shared" si="92"/>
        <v/>
      </c>
      <c r="I1166" t="str">
        <f t="shared" si="93"/>
        <v/>
      </c>
      <c r="J1166" t="str">
        <f t="shared" si="94"/>
        <v/>
      </c>
      <c r="K1166" t="str">
        <f>IF($A1166="","",IF(COUNTIF($B$2:$B1166,$B1166)=COUNTIF($B$2:$B$1601,$B1166),$B1166,""))</f>
        <v/>
      </c>
    </row>
    <row r="1167" spans="1:11">
      <c r="A1167" t="str">
        <f>IF('TMP Paste'!$E1167="","",'TMP Paste'!$E1167)</f>
        <v/>
      </c>
      <c r="B1167" t="str">
        <f>IF($A1167="","",COUNTIF('TMP Paste'!$B$2:$B1167,"?*"))</f>
        <v/>
      </c>
      <c r="C1167" t="str">
        <f>IF($A1167="","",IFERROR('TMP Paste'!$M1167*1,0))</f>
        <v/>
      </c>
      <c r="D1167" t="str">
        <f>IF($A1167="","",SUMIF($B$2:$B1167,$B1167,$C$2:$C1167))</f>
        <v/>
      </c>
      <c r="E1167">
        <f>IF($A1167="",0,IF('TMP Paste'!$B1167="",0,1))</f>
        <v>0</v>
      </c>
      <c r="F1167" t="str">
        <f t="shared" si="90"/>
        <v/>
      </c>
      <c r="G1167" t="str">
        <f t="shared" si="91"/>
        <v/>
      </c>
      <c r="H1167" t="str">
        <f t="shared" si="92"/>
        <v/>
      </c>
      <c r="I1167" t="str">
        <f t="shared" si="93"/>
        <v/>
      </c>
      <c r="J1167" t="str">
        <f t="shared" si="94"/>
        <v/>
      </c>
      <c r="K1167" t="str">
        <f>IF($A1167="","",IF(COUNTIF($B$2:$B1167,$B1167)=COUNTIF($B$2:$B$1601,$B1167),$B1167,""))</f>
        <v/>
      </c>
    </row>
    <row r="1168" spans="1:11">
      <c r="A1168" t="str">
        <f>IF('TMP Paste'!$E1168="","",'TMP Paste'!$E1168)</f>
        <v/>
      </c>
      <c r="B1168" t="str">
        <f>IF($A1168="","",COUNTIF('TMP Paste'!$B$2:$B1168,"?*"))</f>
        <v/>
      </c>
      <c r="C1168" t="str">
        <f>IF($A1168="","",IFERROR('TMP Paste'!$M1168*1,0))</f>
        <v/>
      </c>
      <c r="D1168" t="str">
        <f>IF($A1168="","",SUMIF($B$2:$B1168,$B1168,$C$2:$C1168))</f>
        <v/>
      </c>
      <c r="E1168">
        <f>IF($A1168="",0,IF('TMP Paste'!$B1168="",0,1))</f>
        <v>0</v>
      </c>
      <c r="F1168" t="str">
        <f t="shared" si="90"/>
        <v/>
      </c>
      <c r="G1168" t="str">
        <f t="shared" si="91"/>
        <v/>
      </c>
      <c r="H1168" t="str">
        <f t="shared" si="92"/>
        <v/>
      </c>
      <c r="I1168" t="str">
        <f t="shared" si="93"/>
        <v/>
      </c>
      <c r="J1168" t="str">
        <f t="shared" si="94"/>
        <v/>
      </c>
      <c r="K1168" t="str">
        <f>IF($A1168="","",IF(COUNTIF($B$2:$B1168,$B1168)=COUNTIF($B$2:$B$1601,$B1168),$B1168,""))</f>
        <v/>
      </c>
    </row>
    <row r="1169" spans="1:11">
      <c r="A1169" t="str">
        <f>IF('TMP Paste'!$E1169="","",'TMP Paste'!$E1169)</f>
        <v/>
      </c>
      <c r="B1169" t="str">
        <f>IF($A1169="","",COUNTIF('TMP Paste'!$B$2:$B1169,"?*"))</f>
        <v/>
      </c>
      <c r="C1169" t="str">
        <f>IF($A1169="","",IFERROR('TMP Paste'!$M1169*1,0))</f>
        <v/>
      </c>
      <c r="D1169" t="str">
        <f>IF($A1169="","",SUMIF($B$2:$B1169,$B1169,$C$2:$C1169))</f>
        <v/>
      </c>
      <c r="E1169">
        <f>IF($A1169="",0,IF('TMP Paste'!$B1169="",0,1))</f>
        <v>0</v>
      </c>
      <c r="F1169" t="str">
        <f t="shared" si="90"/>
        <v/>
      </c>
      <c r="G1169" t="str">
        <f t="shared" si="91"/>
        <v/>
      </c>
      <c r="H1169" t="str">
        <f t="shared" si="92"/>
        <v/>
      </c>
      <c r="I1169" t="str">
        <f t="shared" si="93"/>
        <v/>
      </c>
      <c r="J1169" t="str">
        <f t="shared" si="94"/>
        <v/>
      </c>
      <c r="K1169" t="str">
        <f>IF($A1169="","",IF(COUNTIF($B$2:$B1169,$B1169)=COUNTIF($B$2:$B$1601,$B1169),$B1169,""))</f>
        <v/>
      </c>
    </row>
    <row r="1170" spans="1:11">
      <c r="A1170" t="str">
        <f>IF('TMP Paste'!$E1170="","",'TMP Paste'!$E1170)</f>
        <v/>
      </c>
      <c r="B1170" t="str">
        <f>IF($A1170="","",COUNTIF('TMP Paste'!$B$2:$B1170,"?*"))</f>
        <v/>
      </c>
      <c r="C1170" t="str">
        <f>IF($A1170="","",IFERROR('TMP Paste'!$M1170*1,0))</f>
        <v/>
      </c>
      <c r="D1170" t="str">
        <f>IF($A1170="","",SUMIF($B$2:$B1170,$B1170,$C$2:$C1170))</f>
        <v/>
      </c>
      <c r="E1170">
        <f>IF($A1170="",0,IF('TMP Paste'!$B1170="",0,1))</f>
        <v>0</v>
      </c>
      <c r="F1170" t="str">
        <f t="shared" si="90"/>
        <v/>
      </c>
      <c r="G1170" t="str">
        <f t="shared" si="91"/>
        <v/>
      </c>
      <c r="H1170" t="str">
        <f t="shared" si="92"/>
        <v/>
      </c>
      <c r="I1170" t="str">
        <f t="shared" si="93"/>
        <v/>
      </c>
      <c r="J1170" t="str">
        <f t="shared" si="94"/>
        <v/>
      </c>
      <c r="K1170" t="str">
        <f>IF($A1170="","",IF(COUNTIF($B$2:$B1170,$B1170)=COUNTIF($B$2:$B$1601,$B1170),$B1170,""))</f>
        <v/>
      </c>
    </row>
    <row r="1171" spans="1:11">
      <c r="A1171" t="str">
        <f>IF('TMP Paste'!$E1171="","",'TMP Paste'!$E1171)</f>
        <v/>
      </c>
      <c r="B1171" t="str">
        <f>IF($A1171="","",COUNTIF('TMP Paste'!$B$2:$B1171,"?*"))</f>
        <v/>
      </c>
      <c r="C1171" t="str">
        <f>IF($A1171="","",IFERROR('TMP Paste'!$M1171*1,0))</f>
        <v/>
      </c>
      <c r="D1171" t="str">
        <f>IF($A1171="","",SUMIF($B$2:$B1171,$B1171,$C$2:$C1171))</f>
        <v/>
      </c>
      <c r="E1171">
        <f>IF($A1171="",0,IF('TMP Paste'!$B1171="",0,1))</f>
        <v>0</v>
      </c>
      <c r="F1171" t="str">
        <f t="shared" si="90"/>
        <v/>
      </c>
      <c r="G1171" t="str">
        <f t="shared" si="91"/>
        <v/>
      </c>
      <c r="H1171" t="str">
        <f t="shared" si="92"/>
        <v/>
      </c>
      <c r="I1171" t="str">
        <f t="shared" si="93"/>
        <v/>
      </c>
      <c r="J1171" t="str">
        <f t="shared" si="94"/>
        <v/>
      </c>
      <c r="K1171" t="str">
        <f>IF($A1171="","",IF(COUNTIF($B$2:$B1171,$B1171)=COUNTIF($B$2:$B$1601,$B1171),$B1171,""))</f>
        <v/>
      </c>
    </row>
    <row r="1172" spans="1:11">
      <c r="A1172" t="str">
        <f>IF('TMP Paste'!$E1172="","",'TMP Paste'!$E1172)</f>
        <v/>
      </c>
      <c r="B1172" t="str">
        <f>IF($A1172="","",COUNTIF('TMP Paste'!$B$2:$B1172,"?*"))</f>
        <v/>
      </c>
      <c r="C1172" t="str">
        <f>IF($A1172="","",IFERROR('TMP Paste'!$M1172*1,0))</f>
        <v/>
      </c>
      <c r="D1172" t="str">
        <f>IF($A1172="","",SUMIF($B$2:$B1172,$B1172,$C$2:$C1172))</f>
        <v/>
      </c>
      <c r="E1172">
        <f>IF($A1172="",0,IF('TMP Paste'!$B1172="",0,1))</f>
        <v>0</v>
      </c>
      <c r="F1172" t="str">
        <f t="shared" si="90"/>
        <v/>
      </c>
      <c r="G1172" t="str">
        <f t="shared" si="91"/>
        <v/>
      </c>
      <c r="H1172" t="str">
        <f t="shared" si="92"/>
        <v/>
      </c>
      <c r="I1172" t="str">
        <f t="shared" si="93"/>
        <v/>
      </c>
      <c r="J1172" t="str">
        <f t="shared" si="94"/>
        <v/>
      </c>
      <c r="K1172" t="str">
        <f>IF($A1172="","",IF(COUNTIF($B$2:$B1172,$B1172)=COUNTIF($B$2:$B$1601,$B1172),$B1172,""))</f>
        <v/>
      </c>
    </row>
    <row r="1173" spans="1:11">
      <c r="A1173" t="str">
        <f>IF('TMP Paste'!$E1173="","",'TMP Paste'!$E1173)</f>
        <v/>
      </c>
      <c r="B1173" t="str">
        <f>IF($A1173="","",COUNTIF('TMP Paste'!$B$2:$B1173,"?*"))</f>
        <v/>
      </c>
      <c r="C1173" t="str">
        <f>IF($A1173="","",IFERROR('TMP Paste'!$M1173*1,0))</f>
        <v/>
      </c>
      <c r="D1173" t="str">
        <f>IF($A1173="","",SUMIF($B$2:$B1173,$B1173,$C$2:$C1173))</f>
        <v/>
      </c>
      <c r="E1173">
        <f>IF($A1173="",0,IF('TMP Paste'!$B1173="",0,1))</f>
        <v>0</v>
      </c>
      <c r="F1173" t="str">
        <f t="shared" si="90"/>
        <v/>
      </c>
      <c r="G1173" t="str">
        <f t="shared" si="91"/>
        <v/>
      </c>
      <c r="H1173" t="str">
        <f t="shared" si="92"/>
        <v/>
      </c>
      <c r="I1173" t="str">
        <f t="shared" si="93"/>
        <v/>
      </c>
      <c r="J1173" t="str">
        <f t="shared" si="94"/>
        <v/>
      </c>
      <c r="K1173" t="str">
        <f>IF($A1173="","",IF(COUNTIF($B$2:$B1173,$B1173)=COUNTIF($B$2:$B$1601,$B1173),$B1173,""))</f>
        <v/>
      </c>
    </row>
    <row r="1174" spans="1:11">
      <c r="A1174" t="str">
        <f>IF('TMP Paste'!$E1174="","",'TMP Paste'!$E1174)</f>
        <v/>
      </c>
      <c r="B1174" t="str">
        <f>IF($A1174="","",COUNTIF('TMP Paste'!$B$2:$B1174,"?*"))</f>
        <v/>
      </c>
      <c r="C1174" t="str">
        <f>IF($A1174="","",IFERROR('TMP Paste'!$M1174*1,0))</f>
        <v/>
      </c>
      <c r="D1174" t="str">
        <f>IF($A1174="","",SUMIF($B$2:$B1174,$B1174,$C$2:$C1174))</f>
        <v/>
      </c>
      <c r="E1174">
        <f>IF($A1174="",0,IF('TMP Paste'!$B1174="",0,1))</f>
        <v>0</v>
      </c>
      <c r="F1174" t="str">
        <f t="shared" si="90"/>
        <v/>
      </c>
      <c r="G1174" t="str">
        <f t="shared" si="91"/>
        <v/>
      </c>
      <c r="H1174" t="str">
        <f t="shared" si="92"/>
        <v/>
      </c>
      <c r="I1174" t="str">
        <f t="shared" si="93"/>
        <v/>
      </c>
      <c r="J1174" t="str">
        <f t="shared" si="94"/>
        <v/>
      </c>
      <c r="K1174" t="str">
        <f>IF($A1174="","",IF(COUNTIF($B$2:$B1174,$B1174)=COUNTIF($B$2:$B$1601,$B1174),$B1174,""))</f>
        <v/>
      </c>
    </row>
    <row r="1175" spans="1:11">
      <c r="A1175" t="str">
        <f>IF('TMP Paste'!$E1175="","",'TMP Paste'!$E1175)</f>
        <v/>
      </c>
      <c r="B1175" t="str">
        <f>IF($A1175="","",COUNTIF('TMP Paste'!$B$2:$B1175,"?*"))</f>
        <v/>
      </c>
      <c r="C1175" t="str">
        <f>IF($A1175="","",IFERROR('TMP Paste'!$M1175*1,0))</f>
        <v/>
      </c>
      <c r="D1175" t="str">
        <f>IF($A1175="","",SUMIF($B$2:$B1175,$B1175,$C$2:$C1175))</f>
        <v/>
      </c>
      <c r="E1175">
        <f>IF($A1175="",0,IF('TMP Paste'!$B1175="",0,1))</f>
        <v>0</v>
      </c>
      <c r="F1175" t="str">
        <f t="shared" si="90"/>
        <v/>
      </c>
      <c r="G1175" t="str">
        <f t="shared" si="91"/>
        <v/>
      </c>
      <c r="H1175" t="str">
        <f t="shared" si="92"/>
        <v/>
      </c>
      <c r="I1175" t="str">
        <f t="shared" si="93"/>
        <v/>
      </c>
      <c r="J1175" t="str">
        <f t="shared" si="94"/>
        <v/>
      </c>
      <c r="K1175" t="str">
        <f>IF($A1175="","",IF(COUNTIF($B$2:$B1175,$B1175)=COUNTIF($B$2:$B$1601,$B1175),$B1175,""))</f>
        <v/>
      </c>
    </row>
    <row r="1176" spans="1:11">
      <c r="A1176" t="str">
        <f>IF('TMP Paste'!$E1176="","",'TMP Paste'!$E1176)</f>
        <v/>
      </c>
      <c r="B1176" t="str">
        <f>IF($A1176="","",COUNTIF('TMP Paste'!$B$2:$B1176,"?*"))</f>
        <v/>
      </c>
      <c r="C1176" t="str">
        <f>IF($A1176="","",IFERROR('TMP Paste'!$M1176*1,0))</f>
        <v/>
      </c>
      <c r="D1176" t="str">
        <f>IF($A1176="","",SUMIF($B$2:$B1176,$B1176,$C$2:$C1176))</f>
        <v/>
      </c>
      <c r="E1176">
        <f>IF($A1176="",0,IF('TMP Paste'!$B1176="",0,1))</f>
        <v>0</v>
      </c>
      <c r="F1176" t="str">
        <f t="shared" si="90"/>
        <v/>
      </c>
      <c r="G1176" t="str">
        <f t="shared" si="91"/>
        <v/>
      </c>
      <c r="H1176" t="str">
        <f t="shared" si="92"/>
        <v/>
      </c>
      <c r="I1176" t="str">
        <f t="shared" si="93"/>
        <v/>
      </c>
      <c r="J1176" t="str">
        <f t="shared" si="94"/>
        <v/>
      </c>
      <c r="K1176" t="str">
        <f>IF($A1176="","",IF(COUNTIF($B$2:$B1176,$B1176)=COUNTIF($B$2:$B$1601,$B1176),$B1176,""))</f>
        <v/>
      </c>
    </row>
    <row r="1177" spans="1:11">
      <c r="A1177" t="str">
        <f>IF('TMP Paste'!$E1177="","",'TMP Paste'!$E1177)</f>
        <v/>
      </c>
      <c r="B1177" t="str">
        <f>IF($A1177="","",COUNTIF('TMP Paste'!$B$2:$B1177,"?*"))</f>
        <v/>
      </c>
      <c r="C1177" t="str">
        <f>IF($A1177="","",IFERROR('TMP Paste'!$M1177*1,0))</f>
        <v/>
      </c>
      <c r="D1177" t="str">
        <f>IF($A1177="","",SUMIF($B$2:$B1177,$B1177,$C$2:$C1177))</f>
        <v/>
      </c>
      <c r="E1177">
        <f>IF($A1177="",0,IF('TMP Paste'!$B1177="",0,1))</f>
        <v>0</v>
      </c>
      <c r="F1177" t="str">
        <f t="shared" si="90"/>
        <v/>
      </c>
      <c r="G1177" t="str">
        <f t="shared" si="91"/>
        <v/>
      </c>
      <c r="H1177" t="str">
        <f t="shared" si="92"/>
        <v/>
      </c>
      <c r="I1177" t="str">
        <f t="shared" si="93"/>
        <v/>
      </c>
      <c r="J1177" t="str">
        <f t="shared" si="94"/>
        <v/>
      </c>
      <c r="K1177" t="str">
        <f>IF($A1177="","",IF(COUNTIF($B$2:$B1177,$B1177)=COUNTIF($B$2:$B$1601,$B1177),$B1177,""))</f>
        <v/>
      </c>
    </row>
    <row r="1178" spans="1:11">
      <c r="A1178" t="str">
        <f>IF('TMP Paste'!$E1178="","",'TMP Paste'!$E1178)</f>
        <v/>
      </c>
      <c r="B1178" t="str">
        <f>IF($A1178="","",COUNTIF('TMP Paste'!$B$2:$B1178,"?*"))</f>
        <v/>
      </c>
      <c r="C1178" t="str">
        <f>IF($A1178="","",IFERROR('TMP Paste'!$M1178*1,0))</f>
        <v/>
      </c>
      <c r="D1178" t="str">
        <f>IF($A1178="","",SUMIF($B$2:$B1178,$B1178,$C$2:$C1178))</f>
        <v/>
      </c>
      <c r="E1178">
        <f>IF($A1178="",0,IF('TMP Paste'!$B1178="",0,1))</f>
        <v>0</v>
      </c>
      <c r="F1178" t="str">
        <f t="shared" si="90"/>
        <v/>
      </c>
      <c r="G1178" t="str">
        <f t="shared" si="91"/>
        <v/>
      </c>
      <c r="H1178" t="str">
        <f t="shared" si="92"/>
        <v/>
      </c>
      <c r="I1178" t="str">
        <f t="shared" si="93"/>
        <v/>
      </c>
      <c r="J1178" t="str">
        <f t="shared" si="94"/>
        <v/>
      </c>
      <c r="K1178" t="str">
        <f>IF($A1178="","",IF(COUNTIF($B$2:$B1178,$B1178)=COUNTIF($B$2:$B$1601,$B1178),$B1178,""))</f>
        <v/>
      </c>
    </row>
    <row r="1179" spans="1:11">
      <c r="A1179" t="str">
        <f>IF('TMP Paste'!$E1179="","",'TMP Paste'!$E1179)</f>
        <v/>
      </c>
      <c r="B1179" t="str">
        <f>IF($A1179="","",COUNTIF('TMP Paste'!$B$2:$B1179,"?*"))</f>
        <v/>
      </c>
      <c r="C1179" t="str">
        <f>IF($A1179="","",IFERROR('TMP Paste'!$M1179*1,0))</f>
        <v/>
      </c>
      <c r="D1179" t="str">
        <f>IF($A1179="","",SUMIF($B$2:$B1179,$B1179,$C$2:$C1179))</f>
        <v/>
      </c>
      <c r="E1179">
        <f>IF($A1179="",0,IF('TMP Paste'!$B1179="",0,1))</f>
        <v>0</v>
      </c>
      <c r="F1179" t="str">
        <f t="shared" si="90"/>
        <v/>
      </c>
      <c r="G1179" t="str">
        <f t="shared" si="91"/>
        <v/>
      </c>
      <c r="H1179" t="str">
        <f t="shared" si="92"/>
        <v/>
      </c>
      <c r="I1179" t="str">
        <f t="shared" si="93"/>
        <v/>
      </c>
      <c r="J1179" t="str">
        <f t="shared" si="94"/>
        <v/>
      </c>
      <c r="K1179" t="str">
        <f>IF($A1179="","",IF(COUNTIF($B$2:$B1179,$B1179)=COUNTIF($B$2:$B$1601,$B1179),$B1179,""))</f>
        <v/>
      </c>
    </row>
    <row r="1180" spans="1:11">
      <c r="A1180" t="str">
        <f>IF('TMP Paste'!$E1180="","",'TMP Paste'!$E1180)</f>
        <v/>
      </c>
      <c r="B1180" t="str">
        <f>IF($A1180="","",COUNTIF('TMP Paste'!$B$2:$B1180,"?*"))</f>
        <v/>
      </c>
      <c r="C1180" t="str">
        <f>IF($A1180="","",IFERROR('TMP Paste'!$M1180*1,0))</f>
        <v/>
      </c>
      <c r="D1180" t="str">
        <f>IF($A1180="","",SUMIF($B$2:$B1180,$B1180,$C$2:$C1180))</f>
        <v/>
      </c>
      <c r="E1180">
        <f>IF($A1180="",0,IF('TMP Paste'!$B1180="",0,1))</f>
        <v>0</v>
      </c>
      <c r="F1180" t="str">
        <f t="shared" si="90"/>
        <v/>
      </c>
      <c r="G1180" t="str">
        <f t="shared" si="91"/>
        <v/>
      </c>
      <c r="H1180" t="str">
        <f t="shared" si="92"/>
        <v/>
      </c>
      <c r="I1180" t="str">
        <f t="shared" si="93"/>
        <v/>
      </c>
      <c r="J1180" t="str">
        <f t="shared" si="94"/>
        <v/>
      </c>
      <c r="K1180" t="str">
        <f>IF($A1180="","",IF(COUNTIF($B$2:$B1180,$B1180)=COUNTIF($B$2:$B$1601,$B1180),$B1180,""))</f>
        <v/>
      </c>
    </row>
    <row r="1181" spans="1:11">
      <c r="A1181" t="str">
        <f>IF('TMP Paste'!$E1181="","",'TMP Paste'!$E1181)</f>
        <v/>
      </c>
      <c r="B1181" t="str">
        <f>IF($A1181="","",COUNTIF('TMP Paste'!$B$2:$B1181,"?*"))</f>
        <v/>
      </c>
      <c r="C1181" t="str">
        <f>IF($A1181="","",IFERROR('TMP Paste'!$M1181*1,0))</f>
        <v/>
      </c>
      <c r="D1181" t="str">
        <f>IF($A1181="","",SUMIF($B$2:$B1181,$B1181,$C$2:$C1181))</f>
        <v/>
      </c>
      <c r="E1181">
        <f>IF($A1181="",0,IF('TMP Paste'!$B1181="",0,1))</f>
        <v>0</v>
      </c>
      <c r="F1181" t="str">
        <f t="shared" si="90"/>
        <v/>
      </c>
      <c r="G1181" t="str">
        <f t="shared" si="91"/>
        <v/>
      </c>
      <c r="H1181" t="str">
        <f t="shared" si="92"/>
        <v/>
      </c>
      <c r="I1181" t="str">
        <f t="shared" si="93"/>
        <v/>
      </c>
      <c r="J1181" t="str">
        <f t="shared" si="94"/>
        <v/>
      </c>
      <c r="K1181" t="str">
        <f>IF($A1181="","",IF(COUNTIF($B$2:$B1181,$B1181)=COUNTIF($B$2:$B$1601,$B1181),$B1181,""))</f>
        <v/>
      </c>
    </row>
    <row r="1182" spans="1:11">
      <c r="A1182" t="str">
        <f>IF('TMP Paste'!$E1182="","",'TMP Paste'!$E1182)</f>
        <v/>
      </c>
      <c r="B1182" t="str">
        <f>IF($A1182="","",COUNTIF('TMP Paste'!$B$2:$B1182,"?*"))</f>
        <v/>
      </c>
      <c r="C1182" t="str">
        <f>IF($A1182="","",IFERROR('TMP Paste'!$M1182*1,0))</f>
        <v/>
      </c>
      <c r="D1182" t="str">
        <f>IF($A1182="","",SUMIF($B$2:$B1182,$B1182,$C$2:$C1182))</f>
        <v/>
      </c>
      <c r="E1182">
        <f>IF($A1182="",0,IF('TMP Paste'!$B1182="",0,1))</f>
        <v>0</v>
      </c>
      <c r="F1182" t="str">
        <f t="shared" si="90"/>
        <v/>
      </c>
      <c r="G1182" t="str">
        <f t="shared" si="91"/>
        <v/>
      </c>
      <c r="H1182" t="str">
        <f t="shared" si="92"/>
        <v/>
      </c>
      <c r="I1182" t="str">
        <f t="shared" si="93"/>
        <v/>
      </c>
      <c r="J1182" t="str">
        <f t="shared" si="94"/>
        <v/>
      </c>
      <c r="K1182" t="str">
        <f>IF($A1182="","",IF(COUNTIF($B$2:$B1182,$B1182)=COUNTIF($B$2:$B$1601,$B1182),$B1182,""))</f>
        <v/>
      </c>
    </row>
    <row r="1183" spans="1:11">
      <c r="A1183" t="str">
        <f>IF('TMP Paste'!$E1183="","",'TMP Paste'!$E1183)</f>
        <v/>
      </c>
      <c r="B1183" t="str">
        <f>IF($A1183="","",COUNTIF('TMP Paste'!$B$2:$B1183,"?*"))</f>
        <v/>
      </c>
      <c r="C1183" t="str">
        <f>IF($A1183="","",IFERROR('TMP Paste'!$M1183*1,0))</f>
        <v/>
      </c>
      <c r="D1183" t="str">
        <f>IF($A1183="","",SUMIF($B$2:$B1183,$B1183,$C$2:$C1183))</f>
        <v/>
      </c>
      <c r="E1183">
        <f>IF($A1183="",0,IF('TMP Paste'!$B1183="",0,1))</f>
        <v>0</v>
      </c>
      <c r="F1183" t="str">
        <f t="shared" si="90"/>
        <v/>
      </c>
      <c r="G1183" t="str">
        <f t="shared" si="91"/>
        <v/>
      </c>
      <c r="H1183" t="str">
        <f t="shared" si="92"/>
        <v/>
      </c>
      <c r="I1183" t="str">
        <f t="shared" si="93"/>
        <v/>
      </c>
      <c r="J1183" t="str">
        <f t="shared" si="94"/>
        <v/>
      </c>
      <c r="K1183" t="str">
        <f>IF($A1183="","",IF(COUNTIF($B$2:$B1183,$B1183)=COUNTIF($B$2:$B$1601,$B1183),$B1183,""))</f>
        <v/>
      </c>
    </row>
    <row r="1184" spans="1:11">
      <c r="A1184" t="str">
        <f>IF('TMP Paste'!$E1184="","",'TMP Paste'!$E1184)</f>
        <v/>
      </c>
      <c r="B1184" t="str">
        <f>IF($A1184="","",COUNTIF('TMP Paste'!$B$2:$B1184,"?*"))</f>
        <v/>
      </c>
      <c r="C1184" t="str">
        <f>IF($A1184="","",IFERROR('TMP Paste'!$M1184*1,0))</f>
        <v/>
      </c>
      <c r="D1184" t="str">
        <f>IF($A1184="","",SUMIF($B$2:$B1184,$B1184,$C$2:$C1184))</f>
        <v/>
      </c>
      <c r="E1184">
        <f>IF($A1184="",0,IF('TMP Paste'!$B1184="",0,1))</f>
        <v>0</v>
      </c>
      <c r="F1184" t="str">
        <f t="shared" si="90"/>
        <v/>
      </c>
      <c r="G1184" t="str">
        <f t="shared" si="91"/>
        <v/>
      </c>
      <c r="H1184" t="str">
        <f t="shared" si="92"/>
        <v/>
      </c>
      <c r="I1184" t="str">
        <f t="shared" si="93"/>
        <v/>
      </c>
      <c r="J1184" t="str">
        <f t="shared" si="94"/>
        <v/>
      </c>
      <c r="K1184" t="str">
        <f>IF($A1184="","",IF(COUNTIF($B$2:$B1184,$B1184)=COUNTIF($B$2:$B$1601,$B1184),$B1184,""))</f>
        <v/>
      </c>
    </row>
    <row r="1185" spans="1:11">
      <c r="A1185" t="str">
        <f>IF('TMP Paste'!$E1185="","",'TMP Paste'!$E1185)</f>
        <v/>
      </c>
      <c r="B1185" t="str">
        <f>IF($A1185="","",COUNTIF('TMP Paste'!$B$2:$B1185,"?*"))</f>
        <v/>
      </c>
      <c r="C1185" t="str">
        <f>IF($A1185="","",IFERROR('TMP Paste'!$M1185*1,0))</f>
        <v/>
      </c>
      <c r="D1185" t="str">
        <f>IF($A1185="","",SUMIF($B$2:$B1185,$B1185,$C$2:$C1185))</f>
        <v/>
      </c>
      <c r="E1185">
        <f>IF($A1185="",0,IF('TMP Paste'!$B1185="",0,1))</f>
        <v>0</v>
      </c>
      <c r="F1185" t="str">
        <f t="shared" si="90"/>
        <v/>
      </c>
      <c r="G1185" t="str">
        <f t="shared" si="91"/>
        <v/>
      </c>
      <c r="H1185" t="str">
        <f t="shared" si="92"/>
        <v/>
      </c>
      <c r="I1185" t="str">
        <f t="shared" si="93"/>
        <v/>
      </c>
      <c r="J1185" t="str">
        <f t="shared" si="94"/>
        <v/>
      </c>
      <c r="K1185" t="str">
        <f>IF($A1185="","",IF(COUNTIF($B$2:$B1185,$B1185)=COUNTIF($B$2:$B$1601,$B1185),$B1185,""))</f>
        <v/>
      </c>
    </row>
    <row r="1186" spans="1:11">
      <c r="A1186" t="str">
        <f>IF('TMP Paste'!$E1186="","",'TMP Paste'!$E1186)</f>
        <v/>
      </c>
      <c r="B1186" t="str">
        <f>IF($A1186="","",COUNTIF('TMP Paste'!$B$2:$B1186,"?*"))</f>
        <v/>
      </c>
      <c r="C1186" t="str">
        <f>IF($A1186="","",IFERROR('TMP Paste'!$M1186*1,0))</f>
        <v/>
      </c>
      <c r="D1186" t="str">
        <f>IF($A1186="","",SUMIF($B$2:$B1186,$B1186,$C$2:$C1186))</f>
        <v/>
      </c>
      <c r="E1186">
        <f>IF($A1186="",0,IF('TMP Paste'!$B1186="",0,1))</f>
        <v>0</v>
      </c>
      <c r="F1186" t="str">
        <f t="shared" si="90"/>
        <v/>
      </c>
      <c r="G1186" t="str">
        <f t="shared" si="91"/>
        <v/>
      </c>
      <c r="H1186" t="str">
        <f t="shared" si="92"/>
        <v/>
      </c>
      <c r="I1186" t="str">
        <f t="shared" si="93"/>
        <v/>
      </c>
      <c r="J1186" t="str">
        <f t="shared" si="94"/>
        <v/>
      </c>
      <c r="K1186" t="str">
        <f>IF($A1186="","",IF(COUNTIF($B$2:$B1186,$B1186)=COUNTIF($B$2:$B$1601,$B1186),$B1186,""))</f>
        <v/>
      </c>
    </row>
    <row r="1187" spans="1:11">
      <c r="A1187" t="str">
        <f>IF('TMP Paste'!$E1187="","",'TMP Paste'!$E1187)</f>
        <v/>
      </c>
      <c r="B1187" t="str">
        <f>IF($A1187="","",COUNTIF('TMP Paste'!$B$2:$B1187,"?*"))</f>
        <v/>
      </c>
      <c r="C1187" t="str">
        <f>IF($A1187="","",IFERROR('TMP Paste'!$M1187*1,0))</f>
        <v/>
      </c>
      <c r="D1187" t="str">
        <f>IF($A1187="","",SUMIF($B$2:$B1187,$B1187,$C$2:$C1187))</f>
        <v/>
      </c>
      <c r="E1187">
        <f>IF($A1187="",0,IF('TMP Paste'!$B1187="",0,1))</f>
        <v>0</v>
      </c>
      <c r="F1187" t="str">
        <f t="shared" si="90"/>
        <v/>
      </c>
      <c r="G1187" t="str">
        <f t="shared" si="91"/>
        <v/>
      </c>
      <c r="H1187" t="str">
        <f t="shared" si="92"/>
        <v/>
      </c>
      <c r="I1187" t="str">
        <f t="shared" si="93"/>
        <v/>
      </c>
      <c r="J1187" t="str">
        <f t="shared" si="94"/>
        <v/>
      </c>
      <c r="K1187" t="str">
        <f>IF($A1187="","",IF(COUNTIF($B$2:$B1187,$B1187)=COUNTIF($B$2:$B$1601,$B1187),$B1187,""))</f>
        <v/>
      </c>
    </row>
    <row r="1188" spans="1:11">
      <c r="A1188" t="str">
        <f>IF('TMP Paste'!$E1188="","",'TMP Paste'!$E1188)</f>
        <v/>
      </c>
      <c r="B1188" t="str">
        <f>IF($A1188="","",COUNTIF('TMP Paste'!$B$2:$B1188,"?*"))</f>
        <v/>
      </c>
      <c r="C1188" t="str">
        <f>IF($A1188="","",IFERROR('TMP Paste'!$M1188*1,0))</f>
        <v/>
      </c>
      <c r="D1188" t="str">
        <f>IF($A1188="","",SUMIF($B$2:$B1188,$B1188,$C$2:$C1188))</f>
        <v/>
      </c>
      <c r="E1188">
        <f>IF($A1188="",0,IF('TMP Paste'!$B1188="",0,1))</f>
        <v>0</v>
      </c>
      <c r="F1188" t="str">
        <f t="shared" si="90"/>
        <v/>
      </c>
      <c r="G1188" t="str">
        <f t="shared" si="91"/>
        <v/>
      </c>
      <c r="H1188" t="str">
        <f t="shared" si="92"/>
        <v/>
      </c>
      <c r="I1188" t="str">
        <f t="shared" si="93"/>
        <v/>
      </c>
      <c r="J1188" t="str">
        <f t="shared" si="94"/>
        <v/>
      </c>
      <c r="K1188" t="str">
        <f>IF($A1188="","",IF(COUNTIF($B$2:$B1188,$B1188)=COUNTIF($B$2:$B$1601,$B1188),$B1188,""))</f>
        <v/>
      </c>
    </row>
    <row r="1189" spans="1:11">
      <c r="A1189" t="str">
        <f>IF('TMP Paste'!$E1189="","",'TMP Paste'!$E1189)</f>
        <v/>
      </c>
      <c r="B1189" t="str">
        <f>IF($A1189="","",COUNTIF('TMP Paste'!$B$2:$B1189,"?*"))</f>
        <v/>
      </c>
      <c r="C1189" t="str">
        <f>IF($A1189="","",IFERROR('TMP Paste'!$M1189*1,0))</f>
        <v/>
      </c>
      <c r="D1189" t="str">
        <f>IF($A1189="","",SUMIF($B$2:$B1189,$B1189,$C$2:$C1189))</f>
        <v/>
      </c>
      <c r="E1189">
        <f>IF($A1189="",0,IF('TMP Paste'!$B1189="",0,1))</f>
        <v>0</v>
      </c>
      <c r="F1189" t="str">
        <f t="shared" si="90"/>
        <v/>
      </c>
      <c r="G1189" t="str">
        <f t="shared" si="91"/>
        <v/>
      </c>
      <c r="H1189" t="str">
        <f t="shared" si="92"/>
        <v/>
      </c>
      <c r="I1189" t="str">
        <f t="shared" si="93"/>
        <v/>
      </c>
      <c r="J1189" t="str">
        <f t="shared" si="94"/>
        <v/>
      </c>
      <c r="K1189" t="str">
        <f>IF($A1189="","",IF(COUNTIF($B$2:$B1189,$B1189)=COUNTIF($B$2:$B$1601,$B1189),$B1189,""))</f>
        <v/>
      </c>
    </row>
    <row r="1190" spans="1:11">
      <c r="A1190" t="str">
        <f>IF('TMP Paste'!$E1190="","",'TMP Paste'!$E1190)</f>
        <v/>
      </c>
      <c r="B1190" t="str">
        <f>IF($A1190="","",COUNTIF('TMP Paste'!$B$2:$B1190,"?*"))</f>
        <v/>
      </c>
      <c r="C1190" t="str">
        <f>IF($A1190="","",IFERROR('TMP Paste'!$M1190*1,0))</f>
        <v/>
      </c>
      <c r="D1190" t="str">
        <f>IF($A1190="","",SUMIF($B$2:$B1190,$B1190,$C$2:$C1190))</f>
        <v/>
      </c>
      <c r="E1190">
        <f>IF($A1190="",0,IF('TMP Paste'!$B1190="",0,1))</f>
        <v>0</v>
      </c>
      <c r="F1190" t="str">
        <f t="shared" si="90"/>
        <v/>
      </c>
      <c r="G1190" t="str">
        <f t="shared" si="91"/>
        <v/>
      </c>
      <c r="H1190" t="str">
        <f t="shared" si="92"/>
        <v/>
      </c>
      <c r="I1190" t="str">
        <f t="shared" si="93"/>
        <v/>
      </c>
      <c r="J1190" t="str">
        <f t="shared" si="94"/>
        <v/>
      </c>
      <c r="K1190" t="str">
        <f>IF($A1190="","",IF(COUNTIF($B$2:$B1190,$B1190)=COUNTIF($B$2:$B$1601,$B1190),$B1190,""))</f>
        <v/>
      </c>
    </row>
    <row r="1191" spans="1:11">
      <c r="A1191" t="str">
        <f>IF('TMP Paste'!$E1191="","",'TMP Paste'!$E1191)</f>
        <v/>
      </c>
      <c r="B1191" t="str">
        <f>IF($A1191="","",COUNTIF('TMP Paste'!$B$2:$B1191,"?*"))</f>
        <v/>
      </c>
      <c r="C1191" t="str">
        <f>IF($A1191="","",IFERROR('TMP Paste'!$M1191*1,0))</f>
        <v/>
      </c>
      <c r="D1191" t="str">
        <f>IF($A1191="","",SUMIF($B$2:$B1191,$B1191,$C$2:$C1191))</f>
        <v/>
      </c>
      <c r="E1191">
        <f>IF($A1191="",0,IF('TMP Paste'!$B1191="",0,1))</f>
        <v>0</v>
      </c>
      <c r="F1191" t="str">
        <f t="shared" si="90"/>
        <v/>
      </c>
      <c r="G1191" t="str">
        <f t="shared" si="91"/>
        <v/>
      </c>
      <c r="H1191" t="str">
        <f t="shared" si="92"/>
        <v/>
      </c>
      <c r="I1191" t="str">
        <f t="shared" si="93"/>
        <v/>
      </c>
      <c r="J1191" t="str">
        <f t="shared" si="94"/>
        <v/>
      </c>
      <c r="K1191" t="str">
        <f>IF($A1191="","",IF(COUNTIF($B$2:$B1191,$B1191)=COUNTIF($B$2:$B$1601,$B1191),$B1191,""))</f>
        <v/>
      </c>
    </row>
    <row r="1192" spans="1:11">
      <c r="A1192" t="str">
        <f>IF('TMP Paste'!$E1192="","",'TMP Paste'!$E1192)</f>
        <v/>
      </c>
      <c r="B1192" t="str">
        <f>IF($A1192="","",COUNTIF('TMP Paste'!$B$2:$B1192,"?*"))</f>
        <v/>
      </c>
      <c r="C1192" t="str">
        <f>IF($A1192="","",IFERROR('TMP Paste'!$M1192*1,0))</f>
        <v/>
      </c>
      <c r="D1192" t="str">
        <f>IF($A1192="","",SUMIF($B$2:$B1192,$B1192,$C$2:$C1192))</f>
        <v/>
      </c>
      <c r="E1192">
        <f>IF($A1192="",0,IF('TMP Paste'!$B1192="",0,1))</f>
        <v>0</v>
      </c>
      <c r="F1192" t="str">
        <f t="shared" si="90"/>
        <v/>
      </c>
      <c r="G1192" t="str">
        <f t="shared" si="91"/>
        <v/>
      </c>
      <c r="H1192" t="str">
        <f t="shared" si="92"/>
        <v/>
      </c>
      <c r="I1192" t="str">
        <f t="shared" si="93"/>
        <v/>
      </c>
      <c r="J1192" t="str">
        <f t="shared" si="94"/>
        <v/>
      </c>
      <c r="K1192" t="str">
        <f>IF($A1192="","",IF(COUNTIF($B$2:$B1192,$B1192)=COUNTIF($B$2:$B$1601,$B1192),$B1192,""))</f>
        <v/>
      </c>
    </row>
    <row r="1193" spans="1:11">
      <c r="A1193" t="str">
        <f>IF('TMP Paste'!$E1193="","",'TMP Paste'!$E1193)</f>
        <v/>
      </c>
      <c r="B1193" t="str">
        <f>IF($A1193="","",COUNTIF('TMP Paste'!$B$2:$B1193,"?*"))</f>
        <v/>
      </c>
      <c r="C1193" t="str">
        <f>IF($A1193="","",IFERROR('TMP Paste'!$M1193*1,0))</f>
        <v/>
      </c>
      <c r="D1193" t="str">
        <f>IF($A1193="","",SUMIF($B$2:$B1193,$B1193,$C$2:$C1193))</f>
        <v/>
      </c>
      <c r="E1193">
        <f>IF($A1193="",0,IF('TMP Paste'!$B1193="",0,1))</f>
        <v>0</v>
      </c>
      <c r="F1193" t="str">
        <f t="shared" si="90"/>
        <v/>
      </c>
      <c r="G1193" t="str">
        <f t="shared" si="91"/>
        <v/>
      </c>
      <c r="H1193" t="str">
        <f t="shared" si="92"/>
        <v/>
      </c>
      <c r="I1193" t="str">
        <f t="shared" si="93"/>
        <v/>
      </c>
      <c r="J1193" t="str">
        <f t="shared" si="94"/>
        <v/>
      </c>
      <c r="K1193" t="str">
        <f>IF($A1193="","",IF(COUNTIF($B$2:$B1193,$B1193)=COUNTIF($B$2:$B$1601,$B1193),$B1193,""))</f>
        <v/>
      </c>
    </row>
    <row r="1194" spans="1:11">
      <c r="A1194" t="str">
        <f>IF('TMP Paste'!$E1194="","",'TMP Paste'!$E1194)</f>
        <v/>
      </c>
      <c r="B1194" t="str">
        <f>IF($A1194="","",COUNTIF('TMP Paste'!$B$2:$B1194,"?*"))</f>
        <v/>
      </c>
      <c r="C1194" t="str">
        <f>IF($A1194="","",IFERROR('TMP Paste'!$M1194*1,0))</f>
        <v/>
      </c>
      <c r="D1194" t="str">
        <f>IF($A1194="","",SUMIF($B$2:$B1194,$B1194,$C$2:$C1194))</f>
        <v/>
      </c>
      <c r="E1194">
        <f>IF($A1194="",0,IF('TMP Paste'!$B1194="",0,1))</f>
        <v>0</v>
      </c>
      <c r="F1194" t="str">
        <f t="shared" si="90"/>
        <v/>
      </c>
      <c r="G1194" t="str">
        <f t="shared" si="91"/>
        <v/>
      </c>
      <c r="H1194" t="str">
        <f t="shared" si="92"/>
        <v/>
      </c>
      <c r="I1194" t="str">
        <f t="shared" si="93"/>
        <v/>
      </c>
      <c r="J1194" t="str">
        <f t="shared" si="94"/>
        <v/>
      </c>
      <c r="K1194" t="str">
        <f>IF($A1194="","",IF(COUNTIF($B$2:$B1194,$B1194)=COUNTIF($B$2:$B$1601,$B1194),$B1194,""))</f>
        <v/>
      </c>
    </row>
    <row r="1195" spans="1:11">
      <c r="A1195" t="str">
        <f>IF('TMP Paste'!$E1195="","",'TMP Paste'!$E1195)</f>
        <v/>
      </c>
      <c r="B1195" t="str">
        <f>IF($A1195="","",COUNTIF('TMP Paste'!$B$2:$B1195,"?*"))</f>
        <v/>
      </c>
      <c r="C1195" t="str">
        <f>IF($A1195="","",IFERROR('TMP Paste'!$M1195*1,0))</f>
        <v/>
      </c>
      <c r="D1195" t="str">
        <f>IF($A1195="","",SUMIF($B$2:$B1195,$B1195,$C$2:$C1195))</f>
        <v/>
      </c>
      <c r="E1195">
        <f>IF($A1195="",0,IF('TMP Paste'!$B1195="",0,1))</f>
        <v>0</v>
      </c>
      <c r="F1195" t="str">
        <f t="shared" si="90"/>
        <v/>
      </c>
      <c r="G1195" t="str">
        <f t="shared" si="91"/>
        <v/>
      </c>
      <c r="H1195" t="str">
        <f t="shared" si="92"/>
        <v/>
      </c>
      <c r="I1195" t="str">
        <f t="shared" si="93"/>
        <v/>
      </c>
      <c r="J1195" t="str">
        <f t="shared" si="94"/>
        <v/>
      </c>
      <c r="K1195" t="str">
        <f>IF($A1195="","",IF(COUNTIF($B$2:$B1195,$B1195)=COUNTIF($B$2:$B$1601,$B1195),$B1195,""))</f>
        <v/>
      </c>
    </row>
    <row r="1196" spans="1:11">
      <c r="A1196" t="str">
        <f>IF('TMP Paste'!$E1196="","",'TMP Paste'!$E1196)</f>
        <v/>
      </c>
      <c r="B1196" t="str">
        <f>IF($A1196="","",COUNTIF('TMP Paste'!$B$2:$B1196,"?*"))</f>
        <v/>
      </c>
      <c r="C1196" t="str">
        <f>IF($A1196="","",IFERROR('TMP Paste'!$M1196*1,0))</f>
        <v/>
      </c>
      <c r="D1196" t="str">
        <f>IF($A1196="","",SUMIF($B$2:$B1196,$B1196,$C$2:$C1196))</f>
        <v/>
      </c>
      <c r="E1196">
        <f>IF($A1196="",0,IF('TMP Paste'!$B1196="",0,1))</f>
        <v>0</v>
      </c>
      <c r="F1196" t="str">
        <f t="shared" si="90"/>
        <v/>
      </c>
      <c r="G1196" t="str">
        <f t="shared" si="91"/>
        <v/>
      </c>
      <c r="H1196" t="str">
        <f t="shared" si="92"/>
        <v/>
      </c>
      <c r="I1196" t="str">
        <f t="shared" si="93"/>
        <v/>
      </c>
      <c r="J1196" t="str">
        <f t="shared" si="94"/>
        <v/>
      </c>
      <c r="K1196" t="str">
        <f>IF($A1196="","",IF(COUNTIF($B$2:$B1196,$B1196)=COUNTIF($B$2:$B$1601,$B1196),$B1196,""))</f>
        <v/>
      </c>
    </row>
    <row r="1197" spans="1:11">
      <c r="A1197" t="str">
        <f>IF('TMP Paste'!$E1197="","",'TMP Paste'!$E1197)</f>
        <v/>
      </c>
      <c r="B1197" t="str">
        <f>IF($A1197="","",COUNTIF('TMP Paste'!$B$2:$B1197,"?*"))</f>
        <v/>
      </c>
      <c r="C1197" t="str">
        <f>IF($A1197="","",IFERROR('TMP Paste'!$M1197*1,0))</f>
        <v/>
      </c>
      <c r="D1197" t="str">
        <f>IF($A1197="","",SUMIF($B$2:$B1197,$B1197,$C$2:$C1197))</f>
        <v/>
      </c>
      <c r="E1197">
        <f>IF($A1197="",0,IF('TMP Paste'!$B1197="",0,1))</f>
        <v>0</v>
      </c>
      <c r="F1197" t="str">
        <f t="shared" si="90"/>
        <v/>
      </c>
      <c r="G1197" t="str">
        <f t="shared" si="91"/>
        <v/>
      </c>
      <c r="H1197" t="str">
        <f t="shared" si="92"/>
        <v/>
      </c>
      <c r="I1197" t="str">
        <f t="shared" si="93"/>
        <v/>
      </c>
      <c r="J1197" t="str">
        <f t="shared" si="94"/>
        <v/>
      </c>
      <c r="K1197" t="str">
        <f>IF($A1197="","",IF(COUNTIF($B$2:$B1197,$B1197)=COUNTIF($B$2:$B$1601,$B1197),$B1197,""))</f>
        <v/>
      </c>
    </row>
    <row r="1198" spans="1:11">
      <c r="A1198" t="str">
        <f>IF('TMP Paste'!$E1198="","",'TMP Paste'!$E1198)</f>
        <v/>
      </c>
      <c r="B1198" t="str">
        <f>IF($A1198="","",COUNTIF('TMP Paste'!$B$2:$B1198,"?*"))</f>
        <v/>
      </c>
      <c r="C1198" t="str">
        <f>IF($A1198="","",IFERROR('TMP Paste'!$M1198*1,0))</f>
        <v/>
      </c>
      <c r="D1198" t="str">
        <f>IF($A1198="","",SUMIF($B$2:$B1198,$B1198,$C$2:$C1198))</f>
        <v/>
      </c>
      <c r="E1198">
        <f>IF($A1198="",0,IF('TMP Paste'!$B1198="",0,1))</f>
        <v>0</v>
      </c>
      <c r="F1198" t="str">
        <f t="shared" si="90"/>
        <v/>
      </c>
      <c r="G1198" t="str">
        <f t="shared" si="91"/>
        <v/>
      </c>
      <c r="H1198" t="str">
        <f t="shared" si="92"/>
        <v/>
      </c>
      <c r="I1198" t="str">
        <f t="shared" si="93"/>
        <v/>
      </c>
      <c r="J1198" t="str">
        <f t="shared" si="94"/>
        <v/>
      </c>
      <c r="K1198" t="str">
        <f>IF($A1198="","",IF(COUNTIF($B$2:$B1198,$B1198)=COUNTIF($B$2:$B$1601,$B1198),$B1198,""))</f>
        <v/>
      </c>
    </row>
    <row r="1199" spans="1:11">
      <c r="A1199" t="str">
        <f>IF('TMP Paste'!$E1199="","",'TMP Paste'!$E1199)</f>
        <v/>
      </c>
      <c r="B1199" t="str">
        <f>IF($A1199="","",COUNTIF('TMP Paste'!$B$2:$B1199,"?*"))</f>
        <v/>
      </c>
      <c r="C1199" t="str">
        <f>IF($A1199="","",IFERROR('TMP Paste'!$M1199*1,0))</f>
        <v/>
      </c>
      <c r="D1199" t="str">
        <f>IF($A1199="","",SUMIF($B$2:$B1199,$B1199,$C$2:$C1199))</f>
        <v/>
      </c>
      <c r="E1199">
        <f>IF($A1199="",0,IF('TMP Paste'!$B1199="",0,1))</f>
        <v>0</v>
      </c>
      <c r="F1199" t="str">
        <f t="shared" si="90"/>
        <v/>
      </c>
      <c r="G1199" t="str">
        <f t="shared" si="91"/>
        <v/>
      </c>
      <c r="H1199" t="str">
        <f t="shared" si="92"/>
        <v/>
      </c>
      <c r="I1199" t="str">
        <f t="shared" si="93"/>
        <v/>
      </c>
      <c r="J1199" t="str">
        <f t="shared" si="94"/>
        <v/>
      </c>
      <c r="K1199" t="str">
        <f>IF($A1199="","",IF(COUNTIF($B$2:$B1199,$B1199)=COUNTIF($B$2:$B$1601,$B1199),$B1199,""))</f>
        <v/>
      </c>
    </row>
    <row r="1200" spans="1:11">
      <c r="A1200" t="str">
        <f>IF('TMP Paste'!$E1200="","",'TMP Paste'!$E1200)</f>
        <v/>
      </c>
      <c r="B1200" t="str">
        <f>IF($A1200="","",COUNTIF('TMP Paste'!$B$2:$B1200,"?*"))</f>
        <v/>
      </c>
      <c r="C1200" t="str">
        <f>IF($A1200="","",IFERROR('TMP Paste'!$M1200*1,0))</f>
        <v/>
      </c>
      <c r="D1200" t="str">
        <f>IF($A1200="","",SUMIF($B$2:$B1200,$B1200,$C$2:$C1200))</f>
        <v/>
      </c>
      <c r="E1200">
        <f>IF($A1200="",0,IF('TMP Paste'!$B1200="",0,1))</f>
        <v>0</v>
      </c>
      <c r="F1200" t="str">
        <f t="shared" si="90"/>
        <v/>
      </c>
      <c r="G1200" t="str">
        <f t="shared" si="91"/>
        <v/>
      </c>
      <c r="H1200" t="str">
        <f t="shared" si="92"/>
        <v/>
      </c>
      <c r="I1200" t="str">
        <f t="shared" si="93"/>
        <v/>
      </c>
      <c r="J1200" t="str">
        <f t="shared" si="94"/>
        <v/>
      </c>
      <c r="K1200" t="str">
        <f>IF($A1200="","",IF(COUNTIF($B$2:$B1200,$B1200)=COUNTIF($B$2:$B$1601,$B1200),$B1200,""))</f>
        <v/>
      </c>
    </row>
    <row r="1201" spans="1:11">
      <c r="A1201" t="str">
        <f>IF('TMP Paste'!$E1201="","",'TMP Paste'!$E1201)</f>
        <v/>
      </c>
      <c r="B1201" t="str">
        <f>IF($A1201="","",COUNTIF('TMP Paste'!$B$2:$B1201,"?*"))</f>
        <v/>
      </c>
      <c r="C1201" t="str">
        <f>IF($A1201="","",IFERROR('TMP Paste'!$M1201*1,0))</f>
        <v/>
      </c>
      <c r="D1201" t="str">
        <f>IF($A1201="","",SUMIF($B$2:$B1201,$B1201,$C$2:$C1201))</f>
        <v/>
      </c>
      <c r="E1201">
        <f>IF($A1201="",0,IF('TMP Paste'!$B1201="",0,1))</f>
        <v>0</v>
      </c>
      <c r="F1201" t="str">
        <f t="shared" si="90"/>
        <v/>
      </c>
      <c r="G1201" t="str">
        <f t="shared" si="91"/>
        <v/>
      </c>
      <c r="H1201" t="str">
        <f t="shared" si="92"/>
        <v/>
      </c>
      <c r="I1201" t="str">
        <f t="shared" si="93"/>
        <v/>
      </c>
      <c r="J1201" t="str">
        <f t="shared" si="94"/>
        <v/>
      </c>
      <c r="K1201" t="str">
        <f>IF($A1201="","",IF(COUNTIF($B$2:$B1201,$B1201)=COUNTIF($B$2:$B$1601,$B1201),$B1201,""))</f>
        <v/>
      </c>
    </row>
    <row r="1202" spans="1:11">
      <c r="A1202" t="str">
        <f>IF('TMP Paste'!$E1202="","",'TMP Paste'!$E1202)</f>
        <v/>
      </c>
      <c r="B1202" t="str">
        <f>IF($A1202="","",COUNTIF('TMP Paste'!$B$2:$B1202,"?*"))</f>
        <v/>
      </c>
      <c r="C1202" t="str">
        <f>IF($A1202="","",IFERROR('TMP Paste'!$M1202*1,0))</f>
        <v/>
      </c>
      <c r="D1202" t="str">
        <f>IF($A1202="","",SUMIF($B$2:$B1202,$B1202,$C$2:$C1202))</f>
        <v/>
      </c>
      <c r="E1202">
        <f>IF($A1202="",0,IF('TMP Paste'!$B1202="",0,1))</f>
        <v>0</v>
      </c>
      <c r="F1202" t="str">
        <f t="shared" si="90"/>
        <v/>
      </c>
      <c r="G1202" t="str">
        <f t="shared" si="91"/>
        <v/>
      </c>
      <c r="H1202" t="str">
        <f t="shared" si="92"/>
        <v/>
      </c>
      <c r="I1202" t="str">
        <f t="shared" si="93"/>
        <v/>
      </c>
      <c r="J1202" t="str">
        <f t="shared" si="94"/>
        <v/>
      </c>
      <c r="K1202" t="str">
        <f>IF($A1202="","",IF(COUNTIF($B$2:$B1202,$B1202)=COUNTIF($B$2:$B$1601,$B1202),$B1202,""))</f>
        <v/>
      </c>
    </row>
    <row r="1203" spans="1:11">
      <c r="A1203" t="str">
        <f>IF('TMP Paste'!$E1203="","",'TMP Paste'!$E1203)</f>
        <v/>
      </c>
      <c r="B1203" t="str">
        <f>IF($A1203="","",COUNTIF('TMP Paste'!$B$2:$B1203,"?*"))</f>
        <v/>
      </c>
      <c r="C1203" t="str">
        <f>IF($A1203="","",IFERROR('TMP Paste'!$M1203*1,0))</f>
        <v/>
      </c>
      <c r="D1203" t="str">
        <f>IF($A1203="","",SUMIF($B$2:$B1203,$B1203,$C$2:$C1203))</f>
        <v/>
      </c>
      <c r="E1203">
        <f>IF($A1203="",0,IF('TMP Paste'!$B1203="",0,1))</f>
        <v>0</v>
      </c>
      <c r="F1203" t="str">
        <f t="shared" si="90"/>
        <v/>
      </c>
      <c r="G1203" t="str">
        <f t="shared" si="91"/>
        <v/>
      </c>
      <c r="H1203" t="str">
        <f t="shared" si="92"/>
        <v/>
      </c>
      <c r="I1203" t="str">
        <f t="shared" si="93"/>
        <v/>
      </c>
      <c r="J1203" t="str">
        <f t="shared" si="94"/>
        <v/>
      </c>
      <c r="K1203" t="str">
        <f>IF($A1203="","",IF(COUNTIF($B$2:$B1203,$B1203)=COUNTIF($B$2:$B$1601,$B1203),$B1203,""))</f>
        <v/>
      </c>
    </row>
    <row r="1204" spans="1:11">
      <c r="A1204" t="str">
        <f>IF('TMP Paste'!$E1204="","",'TMP Paste'!$E1204)</f>
        <v/>
      </c>
      <c r="B1204" t="str">
        <f>IF($A1204="","",COUNTIF('TMP Paste'!$B$2:$B1204,"?*"))</f>
        <v/>
      </c>
      <c r="C1204" t="str">
        <f>IF($A1204="","",IFERROR('TMP Paste'!$M1204*1,0))</f>
        <v/>
      </c>
      <c r="D1204" t="str">
        <f>IF($A1204="","",SUMIF($B$2:$B1204,$B1204,$C$2:$C1204))</f>
        <v/>
      </c>
      <c r="E1204">
        <f>IF($A1204="",0,IF('TMP Paste'!$B1204="",0,1))</f>
        <v>0</v>
      </c>
      <c r="F1204" t="str">
        <f t="shared" si="90"/>
        <v/>
      </c>
      <c r="G1204" t="str">
        <f t="shared" si="91"/>
        <v/>
      </c>
      <c r="H1204" t="str">
        <f t="shared" si="92"/>
        <v/>
      </c>
      <c r="I1204" t="str">
        <f t="shared" si="93"/>
        <v/>
      </c>
      <c r="J1204" t="str">
        <f t="shared" si="94"/>
        <v/>
      </c>
      <c r="K1204" t="str">
        <f>IF($A1204="","",IF(COUNTIF($B$2:$B1204,$B1204)=COUNTIF($B$2:$B$1601,$B1204),$B1204,""))</f>
        <v/>
      </c>
    </row>
    <row r="1205" spans="1:11">
      <c r="A1205" t="str">
        <f>IF('TMP Paste'!$E1205="","",'TMP Paste'!$E1205)</f>
        <v/>
      </c>
      <c r="B1205" t="str">
        <f>IF($A1205="","",COUNTIF('TMP Paste'!$B$2:$B1205,"?*"))</f>
        <v/>
      </c>
      <c r="C1205" t="str">
        <f>IF($A1205="","",IFERROR('TMP Paste'!$M1205*1,0))</f>
        <v/>
      </c>
      <c r="D1205" t="str">
        <f>IF($A1205="","",SUMIF($B$2:$B1205,$B1205,$C$2:$C1205))</f>
        <v/>
      </c>
      <c r="E1205">
        <f>IF($A1205="",0,IF('TMP Paste'!$B1205="",0,1))</f>
        <v>0</v>
      </c>
      <c r="F1205" t="str">
        <f t="shared" si="90"/>
        <v/>
      </c>
      <c r="G1205" t="str">
        <f t="shared" si="91"/>
        <v/>
      </c>
      <c r="H1205" t="str">
        <f t="shared" si="92"/>
        <v/>
      </c>
      <c r="I1205" t="str">
        <f t="shared" si="93"/>
        <v/>
      </c>
      <c r="J1205" t="str">
        <f t="shared" si="94"/>
        <v/>
      </c>
      <c r="K1205" t="str">
        <f>IF($A1205="","",IF(COUNTIF($B$2:$B1205,$B1205)=COUNTIF($B$2:$B$1601,$B1205),$B1205,""))</f>
        <v/>
      </c>
    </row>
    <row r="1206" spans="1:11">
      <c r="A1206" t="str">
        <f>IF('TMP Paste'!$E1206="","",'TMP Paste'!$E1206)</f>
        <v/>
      </c>
      <c r="B1206" t="str">
        <f>IF($A1206="","",COUNTIF('TMP Paste'!$B$2:$B1206,"?*"))</f>
        <v/>
      </c>
      <c r="C1206" t="str">
        <f>IF($A1206="","",IFERROR('TMP Paste'!$M1206*1,0))</f>
        <v/>
      </c>
      <c r="D1206" t="str">
        <f>IF($A1206="","",SUMIF($B$2:$B1206,$B1206,$C$2:$C1206))</f>
        <v/>
      </c>
      <c r="E1206">
        <f>IF($A1206="",0,IF('TMP Paste'!$B1206="",0,1))</f>
        <v>0</v>
      </c>
      <c r="F1206" t="str">
        <f t="shared" si="90"/>
        <v/>
      </c>
      <c r="G1206" t="str">
        <f t="shared" si="91"/>
        <v/>
      </c>
      <c r="H1206" t="str">
        <f t="shared" si="92"/>
        <v/>
      </c>
      <c r="I1206" t="str">
        <f t="shared" si="93"/>
        <v/>
      </c>
      <c r="J1206" t="str">
        <f t="shared" si="94"/>
        <v/>
      </c>
      <c r="K1206" t="str">
        <f>IF($A1206="","",IF(COUNTIF($B$2:$B1206,$B1206)=COUNTIF($B$2:$B$1601,$B1206),$B1206,""))</f>
        <v/>
      </c>
    </row>
    <row r="1207" spans="1:11">
      <c r="A1207" t="str">
        <f>IF('TMP Paste'!$E1207="","",'TMP Paste'!$E1207)</f>
        <v/>
      </c>
      <c r="B1207" t="str">
        <f>IF($A1207="","",COUNTIF('TMP Paste'!$B$2:$B1207,"?*"))</f>
        <v/>
      </c>
      <c r="C1207" t="str">
        <f>IF($A1207="","",IFERROR('TMP Paste'!$M1207*1,0))</f>
        <v/>
      </c>
      <c r="D1207" t="str">
        <f>IF($A1207="","",SUMIF($B$2:$B1207,$B1207,$C$2:$C1207))</f>
        <v/>
      </c>
      <c r="E1207">
        <f>IF($A1207="",0,IF('TMP Paste'!$B1207="",0,1))</f>
        <v>0</v>
      </c>
      <c r="F1207" t="str">
        <f t="shared" si="90"/>
        <v/>
      </c>
      <c r="G1207" t="str">
        <f t="shared" si="91"/>
        <v/>
      </c>
      <c r="H1207" t="str">
        <f t="shared" si="92"/>
        <v/>
      </c>
      <c r="I1207" t="str">
        <f t="shared" si="93"/>
        <v/>
      </c>
      <c r="J1207" t="str">
        <f t="shared" si="94"/>
        <v/>
      </c>
      <c r="K1207" t="str">
        <f>IF($A1207="","",IF(COUNTIF($B$2:$B1207,$B1207)=COUNTIF($B$2:$B$1601,$B1207),$B1207,""))</f>
        <v/>
      </c>
    </row>
    <row r="1208" spans="1:11">
      <c r="A1208" t="str">
        <f>IF('TMP Paste'!$E1208="","",'TMP Paste'!$E1208)</f>
        <v/>
      </c>
      <c r="B1208" t="str">
        <f>IF($A1208="","",COUNTIF('TMP Paste'!$B$2:$B1208,"?*"))</f>
        <v/>
      </c>
      <c r="C1208" t="str">
        <f>IF($A1208="","",IFERROR('TMP Paste'!$M1208*1,0))</f>
        <v/>
      </c>
      <c r="D1208" t="str">
        <f>IF($A1208="","",SUMIF($B$2:$B1208,$B1208,$C$2:$C1208))</f>
        <v/>
      </c>
      <c r="E1208">
        <f>IF($A1208="",0,IF('TMP Paste'!$B1208="",0,1))</f>
        <v>0</v>
      </c>
      <c r="F1208" t="str">
        <f t="shared" si="90"/>
        <v/>
      </c>
      <c r="G1208" t="str">
        <f t="shared" si="91"/>
        <v/>
      </c>
      <c r="H1208" t="str">
        <f t="shared" si="92"/>
        <v/>
      </c>
      <c r="I1208" t="str">
        <f t="shared" si="93"/>
        <v/>
      </c>
      <c r="J1208" t="str">
        <f t="shared" si="94"/>
        <v/>
      </c>
      <c r="K1208" t="str">
        <f>IF($A1208="","",IF(COUNTIF($B$2:$B1208,$B1208)=COUNTIF($B$2:$B$1601,$B1208),$B1208,""))</f>
        <v/>
      </c>
    </row>
    <row r="1209" spans="1:11">
      <c r="A1209" t="str">
        <f>IF('TMP Paste'!$E1209="","",'TMP Paste'!$E1209)</f>
        <v/>
      </c>
      <c r="B1209" t="str">
        <f>IF($A1209="","",COUNTIF('TMP Paste'!$B$2:$B1209,"?*"))</f>
        <v/>
      </c>
      <c r="C1209" t="str">
        <f>IF($A1209="","",IFERROR('TMP Paste'!$M1209*1,0))</f>
        <v/>
      </c>
      <c r="D1209" t="str">
        <f>IF($A1209="","",SUMIF($B$2:$B1209,$B1209,$C$2:$C1209))</f>
        <v/>
      </c>
      <c r="E1209">
        <f>IF($A1209="",0,IF('TMP Paste'!$B1209="",0,1))</f>
        <v>0</v>
      </c>
      <c r="F1209" t="str">
        <f t="shared" si="90"/>
        <v/>
      </c>
      <c r="G1209" t="str">
        <f t="shared" si="91"/>
        <v/>
      </c>
      <c r="H1209" t="str">
        <f t="shared" si="92"/>
        <v/>
      </c>
      <c r="I1209" t="str">
        <f t="shared" si="93"/>
        <v/>
      </c>
      <c r="J1209" t="str">
        <f t="shared" si="94"/>
        <v/>
      </c>
      <c r="K1209" t="str">
        <f>IF($A1209="","",IF(COUNTIF($B$2:$B1209,$B1209)=COUNTIF($B$2:$B$1601,$B1209),$B1209,""))</f>
        <v/>
      </c>
    </row>
    <row r="1210" spans="1:11">
      <c r="A1210" t="str">
        <f>IF('TMP Paste'!$E1210="","",'TMP Paste'!$E1210)</f>
        <v/>
      </c>
      <c r="B1210" t="str">
        <f>IF($A1210="","",COUNTIF('TMP Paste'!$B$2:$B1210,"?*"))</f>
        <v/>
      </c>
      <c r="C1210" t="str">
        <f>IF($A1210="","",IFERROR('TMP Paste'!$M1210*1,0))</f>
        <v/>
      </c>
      <c r="D1210" t="str">
        <f>IF($A1210="","",SUMIF($B$2:$B1210,$B1210,$C$2:$C1210))</f>
        <v/>
      </c>
      <c r="E1210">
        <f>IF($A1210="",0,IF('TMP Paste'!$B1210="",0,1))</f>
        <v>0</v>
      </c>
      <c r="F1210" t="str">
        <f t="shared" si="90"/>
        <v/>
      </c>
      <c r="G1210" t="str">
        <f t="shared" si="91"/>
        <v/>
      </c>
      <c r="H1210" t="str">
        <f t="shared" si="92"/>
        <v/>
      </c>
      <c r="I1210" t="str">
        <f t="shared" si="93"/>
        <v/>
      </c>
      <c r="J1210" t="str">
        <f t="shared" si="94"/>
        <v/>
      </c>
      <c r="K1210" t="str">
        <f>IF($A1210="","",IF(COUNTIF($B$2:$B1210,$B1210)=COUNTIF($B$2:$B$1601,$B1210),$B1210,""))</f>
        <v/>
      </c>
    </row>
    <row r="1211" spans="1:11">
      <c r="A1211" t="str">
        <f>IF('TMP Paste'!$E1211="","",'TMP Paste'!$E1211)</f>
        <v/>
      </c>
      <c r="B1211" t="str">
        <f>IF($A1211="","",COUNTIF('TMP Paste'!$B$2:$B1211,"?*"))</f>
        <v/>
      </c>
      <c r="C1211" t="str">
        <f>IF($A1211="","",IFERROR('TMP Paste'!$M1211*1,0))</f>
        <v/>
      </c>
      <c r="D1211" t="str">
        <f>IF($A1211="","",SUMIF($B$2:$B1211,$B1211,$C$2:$C1211))</f>
        <v/>
      </c>
      <c r="E1211">
        <f>IF($A1211="",0,IF('TMP Paste'!$B1211="",0,1))</f>
        <v>0</v>
      </c>
      <c r="F1211" t="str">
        <f t="shared" si="90"/>
        <v/>
      </c>
      <c r="G1211" t="str">
        <f t="shared" si="91"/>
        <v/>
      </c>
      <c r="H1211" t="str">
        <f t="shared" si="92"/>
        <v/>
      </c>
      <c r="I1211" t="str">
        <f t="shared" si="93"/>
        <v/>
      </c>
      <c r="J1211" t="str">
        <f t="shared" si="94"/>
        <v/>
      </c>
      <c r="K1211" t="str">
        <f>IF($A1211="","",IF(COUNTIF($B$2:$B1211,$B1211)=COUNTIF($B$2:$B$1601,$B1211),$B1211,""))</f>
        <v/>
      </c>
    </row>
    <row r="1212" spans="1:11">
      <c r="A1212" t="str">
        <f>IF('TMP Paste'!$E1212="","",'TMP Paste'!$E1212)</f>
        <v/>
      </c>
      <c r="B1212" t="str">
        <f>IF($A1212="","",COUNTIF('TMP Paste'!$B$2:$B1212,"?*"))</f>
        <v/>
      </c>
      <c r="C1212" t="str">
        <f>IF($A1212="","",IFERROR('TMP Paste'!$M1212*1,0))</f>
        <v/>
      </c>
      <c r="D1212" t="str">
        <f>IF($A1212="","",SUMIF($B$2:$B1212,$B1212,$C$2:$C1212))</f>
        <v/>
      </c>
      <c r="E1212">
        <f>IF($A1212="",0,IF('TMP Paste'!$B1212="",0,1))</f>
        <v>0</v>
      </c>
      <c r="F1212" t="str">
        <f t="shared" si="90"/>
        <v/>
      </c>
      <c r="G1212" t="str">
        <f t="shared" si="91"/>
        <v/>
      </c>
      <c r="H1212" t="str">
        <f t="shared" si="92"/>
        <v/>
      </c>
      <c r="I1212" t="str">
        <f t="shared" si="93"/>
        <v/>
      </c>
      <c r="J1212" t="str">
        <f t="shared" si="94"/>
        <v/>
      </c>
      <c r="K1212" t="str">
        <f>IF($A1212="","",IF(COUNTIF($B$2:$B1212,$B1212)=COUNTIF($B$2:$B$1601,$B1212),$B1212,""))</f>
        <v/>
      </c>
    </row>
    <row r="1213" spans="1:11">
      <c r="A1213" t="str">
        <f>IF('TMP Paste'!$E1213="","",'TMP Paste'!$E1213)</f>
        <v/>
      </c>
      <c r="B1213" t="str">
        <f>IF($A1213="","",COUNTIF('TMP Paste'!$B$2:$B1213,"?*"))</f>
        <v/>
      </c>
      <c r="C1213" t="str">
        <f>IF($A1213="","",IFERROR('TMP Paste'!$M1213*1,0))</f>
        <v/>
      </c>
      <c r="D1213" t="str">
        <f>IF($A1213="","",SUMIF($B$2:$B1213,$B1213,$C$2:$C1213))</f>
        <v/>
      </c>
      <c r="E1213">
        <f>IF($A1213="",0,IF('TMP Paste'!$B1213="",0,1))</f>
        <v>0</v>
      </c>
      <c r="F1213" t="str">
        <f t="shared" si="90"/>
        <v/>
      </c>
      <c r="G1213" t="str">
        <f t="shared" si="91"/>
        <v/>
      </c>
      <c r="H1213" t="str">
        <f t="shared" si="92"/>
        <v/>
      </c>
      <c r="I1213" t="str">
        <f t="shared" si="93"/>
        <v/>
      </c>
      <c r="J1213" t="str">
        <f t="shared" si="94"/>
        <v/>
      </c>
      <c r="K1213" t="str">
        <f>IF($A1213="","",IF(COUNTIF($B$2:$B1213,$B1213)=COUNTIF($B$2:$B$1601,$B1213),$B1213,""))</f>
        <v/>
      </c>
    </row>
    <row r="1214" spans="1:11">
      <c r="A1214" t="str">
        <f>IF('TMP Paste'!$E1214="","",'TMP Paste'!$E1214)</f>
        <v/>
      </c>
      <c r="B1214" t="str">
        <f>IF($A1214="","",COUNTIF('TMP Paste'!$B$2:$B1214,"?*"))</f>
        <v/>
      </c>
      <c r="C1214" t="str">
        <f>IF($A1214="","",IFERROR('TMP Paste'!$M1214*1,0))</f>
        <v/>
      </c>
      <c r="D1214" t="str">
        <f>IF($A1214="","",SUMIF($B$2:$B1214,$B1214,$C$2:$C1214))</f>
        <v/>
      </c>
      <c r="E1214">
        <f>IF($A1214="",0,IF('TMP Paste'!$B1214="",0,1))</f>
        <v>0</v>
      </c>
      <c r="F1214" t="str">
        <f t="shared" si="90"/>
        <v/>
      </c>
      <c r="G1214" t="str">
        <f t="shared" si="91"/>
        <v/>
      </c>
      <c r="H1214" t="str">
        <f t="shared" si="92"/>
        <v/>
      </c>
      <c r="I1214" t="str">
        <f t="shared" si="93"/>
        <v/>
      </c>
      <c r="J1214" t="str">
        <f t="shared" si="94"/>
        <v/>
      </c>
      <c r="K1214" t="str">
        <f>IF($A1214="","",IF(COUNTIF($B$2:$B1214,$B1214)=COUNTIF($B$2:$B$1601,$B1214),$B1214,""))</f>
        <v/>
      </c>
    </row>
    <row r="1215" spans="1:11">
      <c r="A1215" t="str">
        <f>IF('TMP Paste'!$E1215="","",'TMP Paste'!$E1215)</f>
        <v/>
      </c>
      <c r="B1215" t="str">
        <f>IF($A1215="","",COUNTIF('TMP Paste'!$B$2:$B1215,"?*"))</f>
        <v/>
      </c>
      <c r="C1215" t="str">
        <f>IF($A1215="","",IFERROR('TMP Paste'!$M1215*1,0))</f>
        <v/>
      </c>
      <c r="D1215" t="str">
        <f>IF($A1215="","",SUMIF($B$2:$B1215,$B1215,$C$2:$C1215))</f>
        <v/>
      </c>
      <c r="E1215">
        <f>IF($A1215="",0,IF('TMP Paste'!$B1215="",0,1))</f>
        <v>0</v>
      </c>
      <c r="F1215" t="str">
        <f t="shared" si="90"/>
        <v/>
      </c>
      <c r="G1215" t="str">
        <f t="shared" si="91"/>
        <v/>
      </c>
      <c r="H1215" t="str">
        <f t="shared" si="92"/>
        <v/>
      </c>
      <c r="I1215" t="str">
        <f t="shared" si="93"/>
        <v/>
      </c>
      <c r="J1215" t="str">
        <f t="shared" si="94"/>
        <v/>
      </c>
      <c r="K1215" t="str">
        <f>IF($A1215="","",IF(COUNTIF($B$2:$B1215,$B1215)=COUNTIF($B$2:$B$1601,$B1215),$B1215,""))</f>
        <v/>
      </c>
    </row>
    <row r="1216" spans="1:11">
      <c r="A1216" t="str">
        <f>IF('TMP Paste'!$E1216="","",'TMP Paste'!$E1216)</f>
        <v/>
      </c>
      <c r="B1216" t="str">
        <f>IF($A1216="","",COUNTIF('TMP Paste'!$B$2:$B1216,"?*"))</f>
        <v/>
      </c>
      <c r="C1216" t="str">
        <f>IF($A1216="","",IFERROR('TMP Paste'!$M1216*1,0))</f>
        <v/>
      </c>
      <c r="D1216" t="str">
        <f>IF($A1216="","",SUMIF($B$2:$B1216,$B1216,$C$2:$C1216))</f>
        <v/>
      </c>
      <c r="E1216">
        <f>IF($A1216="",0,IF('TMP Paste'!$B1216="",0,1))</f>
        <v>0</v>
      </c>
      <c r="F1216" t="str">
        <f t="shared" si="90"/>
        <v/>
      </c>
      <c r="G1216" t="str">
        <f t="shared" si="91"/>
        <v/>
      </c>
      <c r="H1216" t="str">
        <f t="shared" si="92"/>
        <v/>
      </c>
      <c r="I1216" t="str">
        <f t="shared" si="93"/>
        <v/>
      </c>
      <c r="J1216" t="str">
        <f t="shared" si="94"/>
        <v/>
      </c>
      <c r="K1216" t="str">
        <f>IF($A1216="","",IF(COUNTIF($B$2:$B1216,$B1216)=COUNTIF($B$2:$B$1601,$B1216),$B1216,""))</f>
        <v/>
      </c>
    </row>
    <row r="1217" spans="1:11">
      <c r="A1217" t="str">
        <f>IF('TMP Paste'!$E1217="","",'TMP Paste'!$E1217)</f>
        <v/>
      </c>
      <c r="B1217" t="str">
        <f>IF($A1217="","",COUNTIF('TMP Paste'!$B$2:$B1217,"?*"))</f>
        <v/>
      </c>
      <c r="C1217" t="str">
        <f>IF($A1217="","",IFERROR('TMP Paste'!$M1217*1,0))</f>
        <v/>
      </c>
      <c r="D1217" t="str">
        <f>IF($A1217="","",SUMIF($B$2:$B1217,$B1217,$C$2:$C1217))</f>
        <v/>
      </c>
      <c r="E1217">
        <f>IF($A1217="",0,IF('TMP Paste'!$B1217="",0,1))</f>
        <v>0</v>
      </c>
      <c r="F1217" t="str">
        <f t="shared" si="90"/>
        <v/>
      </c>
      <c r="G1217" t="str">
        <f t="shared" si="91"/>
        <v/>
      </c>
      <c r="H1217" t="str">
        <f t="shared" si="92"/>
        <v/>
      </c>
      <c r="I1217" t="str">
        <f t="shared" si="93"/>
        <v/>
      </c>
      <c r="J1217" t="str">
        <f t="shared" si="94"/>
        <v/>
      </c>
      <c r="K1217" t="str">
        <f>IF($A1217="","",IF(COUNTIF($B$2:$B1217,$B1217)=COUNTIF($B$2:$B$1601,$B1217),$B1217,""))</f>
        <v/>
      </c>
    </row>
    <row r="1218" spans="1:11">
      <c r="A1218" t="str">
        <f>IF('TMP Paste'!$E1218="","",'TMP Paste'!$E1218)</f>
        <v/>
      </c>
      <c r="B1218" t="str">
        <f>IF($A1218="","",COUNTIF('TMP Paste'!$B$2:$B1218,"?*"))</f>
        <v/>
      </c>
      <c r="C1218" t="str">
        <f>IF($A1218="","",IFERROR('TMP Paste'!$M1218*1,0))</f>
        <v/>
      </c>
      <c r="D1218" t="str">
        <f>IF($A1218="","",SUMIF($B$2:$B1218,$B1218,$C$2:$C1218))</f>
        <v/>
      </c>
      <c r="E1218">
        <f>IF($A1218="",0,IF('TMP Paste'!$B1218="",0,1))</f>
        <v>0</v>
      </c>
      <c r="F1218" t="str">
        <f t="shared" ref="F1218:F1281" si="95">IF(OR($A1218="",$C1218&lt;1),"",$A1218&amp;"-"&amp;TEXT(($D1218-$C1218+1),"00")&amp;IF($C1218&gt;=2,", "&amp;$A1218&amp;"-"&amp;TEXT(($D1218-$C1218+1)+1,"00"),"")&amp;IF($C1218&gt;=3,", "&amp;$A1218&amp;"-"&amp;TEXT(($D1218-$C1218+1)+2,"00"),"")&amp;IF($C1218&gt;=4,", "&amp;$A1218&amp;"-"&amp;TEXT(($D1218-$C1218+1)+3,"00"),"")&amp;IF($C1218&gt;=5,", "&amp;$A1218&amp;"-"&amp;TEXT(($D1218-$C1218+1)+4,"00"),"")&amp;IF($C1218&gt;=6,", "&amp;$A1218&amp;"-"&amp;TEXT(($D1218-$C1218+1)+5,"00"),"")&amp;IF($C1218&gt;=7,", "&amp;$A1218&amp;"-"&amp;TEXT(($D1218-$C1218+1)+6,"00"),"")&amp;IF($C1218&gt;=8,", "&amp;$A1218&amp;"-"&amp;TEXT(($D1218-$C1218+1)+7,"00"),"")&amp;IF($C1218&gt;=9,", "&amp;$A1218&amp;"-"&amp;TEXT(($D1218-$C1218+1)+8,"00"),"")&amp;IF($C1218&gt;=10,", "&amp;$A1218&amp;"-"&amp;TEXT(($D1218-$C1218+1)+9,"00"),"")&amp;IF($C1218&gt;=11,", "&amp;$A1218&amp;"-"&amp;TEXT(($D1218-$C1218+1)+10,"00"),"")&amp;IF($C1218&gt;=12,", "&amp;$A1218&amp;"-"&amp;TEXT(($D1218-$C1218+1)+11,"00"),"")&amp;IF($C1218&gt;=13,", "&amp;$A1218&amp;"-"&amp;TEXT(($D1218-$C1218+1)+12,"00"),"")&amp;IF($C1218&gt;=14,", "&amp;$A1218&amp;"-"&amp;TEXT(($D1218-$C1218+1)+13,"00"),"")&amp;IF($C1218&gt;=15,", "&amp;$A1218&amp;"-"&amp;TEXT(($D1218-$C1218+1)+14,"00"),"")&amp;IF($C1218&gt;=16,", "&amp;$A1218&amp;"-"&amp;TEXT(($D1218-$C1218+1)+15,"00"),"")&amp;IF($C1218&gt;=17,", "&amp;$A1218&amp;"-"&amp;TEXT(($D1218-$C1218+1)+16,"00"),"")&amp;IF($C1218&gt;=18,", "&amp;$A1218&amp;"-"&amp;TEXT(($D1218-$C1218+1)+17,"00"),"")&amp;IF($C1218&gt;=19,", "&amp;$A1218&amp;"-"&amp;TEXT(($D1218-$C1218+1)+18,"00"),"")&amp;IF($C1218&gt;=20,", "&amp;$A1218&amp;"-"&amp;TEXT(($D1218-$C1218+1)+19,"00"),"")&amp;IF($C1218&gt;=21,", "&amp;$A1218&amp;"-"&amp;TEXT(($D1218-$C1218+1)+20,"00"),"")&amp;IF($C1218&gt;=22,", "&amp;$A1218&amp;"-"&amp;TEXT(($D1218-$C1218+1)+21,"00"),"")&amp;IF($C1218&gt;=23,", "&amp;$A1218&amp;"-"&amp;TEXT(($D1218-$C1218+1)+22,"00"),"")&amp;IF($C1218&gt;=24,", "&amp;$A1218&amp;"-"&amp;TEXT(($D1218-$C1218+1)+23,"00"),"")&amp;IF($C1218&gt;=25,", "&amp;$A1218&amp;"-"&amp;TEXT(($D1218-$C1218+1)+24,"00"),""))</f>
        <v/>
      </c>
      <c r="G1218" t="str">
        <f t="shared" ref="G1218:G1281" si="96">IF($A1218="","",IF($E1218=1,$F1218,IF($F1218="",$G1217,IF($G1217="",$F1218,$G1217&amp;", "&amp;$F1218))))</f>
        <v/>
      </c>
      <c r="H1218" t="str">
        <f t="shared" ref="H1218:H1281" si="97">IF($A1218="","",$A1218&amp;" ("&amp;$C1218&amp;")")</f>
        <v/>
      </c>
      <c r="I1218" t="str">
        <f t="shared" ref="I1218:I1281" si="98">IF($A1218="","",IF($E1218=1,$H1218,$I1217&amp;", "&amp;$H1218))</f>
        <v/>
      </c>
      <c r="J1218" t="str">
        <f t="shared" ref="J1218:J1281" si="99">IF($A1218="","",IF($E1218=1,$B1218,""))</f>
        <v/>
      </c>
      <c r="K1218" t="str">
        <f>IF($A1218="","",IF(COUNTIF($B$2:$B1218,$B1218)=COUNTIF($B$2:$B$1601,$B1218),$B1218,""))</f>
        <v/>
      </c>
    </row>
    <row r="1219" spans="1:11">
      <c r="A1219" t="str">
        <f>IF('TMP Paste'!$E1219="","",'TMP Paste'!$E1219)</f>
        <v/>
      </c>
      <c r="B1219" t="str">
        <f>IF($A1219="","",COUNTIF('TMP Paste'!$B$2:$B1219,"?*"))</f>
        <v/>
      </c>
      <c r="C1219" t="str">
        <f>IF($A1219="","",IFERROR('TMP Paste'!$M1219*1,0))</f>
        <v/>
      </c>
      <c r="D1219" t="str">
        <f>IF($A1219="","",SUMIF($B$2:$B1219,$B1219,$C$2:$C1219))</f>
        <v/>
      </c>
      <c r="E1219">
        <f>IF($A1219="",0,IF('TMP Paste'!$B1219="",0,1))</f>
        <v>0</v>
      </c>
      <c r="F1219" t="str">
        <f t="shared" si="95"/>
        <v/>
      </c>
      <c r="G1219" t="str">
        <f t="shared" si="96"/>
        <v/>
      </c>
      <c r="H1219" t="str">
        <f t="shared" si="97"/>
        <v/>
      </c>
      <c r="I1219" t="str">
        <f t="shared" si="98"/>
        <v/>
      </c>
      <c r="J1219" t="str">
        <f t="shared" si="99"/>
        <v/>
      </c>
      <c r="K1219" t="str">
        <f>IF($A1219="","",IF(COUNTIF($B$2:$B1219,$B1219)=COUNTIF($B$2:$B$1601,$B1219),$B1219,""))</f>
        <v/>
      </c>
    </row>
    <row r="1220" spans="1:11">
      <c r="A1220" t="str">
        <f>IF('TMP Paste'!$E1220="","",'TMP Paste'!$E1220)</f>
        <v/>
      </c>
      <c r="B1220" t="str">
        <f>IF($A1220="","",COUNTIF('TMP Paste'!$B$2:$B1220,"?*"))</f>
        <v/>
      </c>
      <c r="C1220" t="str">
        <f>IF($A1220="","",IFERROR('TMP Paste'!$M1220*1,0))</f>
        <v/>
      </c>
      <c r="D1220" t="str">
        <f>IF($A1220="","",SUMIF($B$2:$B1220,$B1220,$C$2:$C1220))</f>
        <v/>
      </c>
      <c r="E1220">
        <f>IF($A1220="",0,IF('TMP Paste'!$B1220="",0,1))</f>
        <v>0</v>
      </c>
      <c r="F1220" t="str">
        <f t="shared" si="95"/>
        <v/>
      </c>
      <c r="G1220" t="str">
        <f t="shared" si="96"/>
        <v/>
      </c>
      <c r="H1220" t="str">
        <f t="shared" si="97"/>
        <v/>
      </c>
      <c r="I1220" t="str">
        <f t="shared" si="98"/>
        <v/>
      </c>
      <c r="J1220" t="str">
        <f t="shared" si="99"/>
        <v/>
      </c>
      <c r="K1220" t="str">
        <f>IF($A1220="","",IF(COUNTIF($B$2:$B1220,$B1220)=COUNTIF($B$2:$B$1601,$B1220),$B1220,""))</f>
        <v/>
      </c>
    </row>
    <row r="1221" spans="1:11">
      <c r="A1221" t="str">
        <f>IF('TMP Paste'!$E1221="","",'TMP Paste'!$E1221)</f>
        <v/>
      </c>
      <c r="B1221" t="str">
        <f>IF($A1221="","",COUNTIF('TMP Paste'!$B$2:$B1221,"?*"))</f>
        <v/>
      </c>
      <c r="C1221" t="str">
        <f>IF($A1221="","",IFERROR('TMP Paste'!$M1221*1,0))</f>
        <v/>
      </c>
      <c r="D1221" t="str">
        <f>IF($A1221="","",SUMIF($B$2:$B1221,$B1221,$C$2:$C1221))</f>
        <v/>
      </c>
      <c r="E1221">
        <f>IF($A1221="",0,IF('TMP Paste'!$B1221="",0,1))</f>
        <v>0</v>
      </c>
      <c r="F1221" t="str">
        <f t="shared" si="95"/>
        <v/>
      </c>
      <c r="G1221" t="str">
        <f t="shared" si="96"/>
        <v/>
      </c>
      <c r="H1221" t="str">
        <f t="shared" si="97"/>
        <v/>
      </c>
      <c r="I1221" t="str">
        <f t="shared" si="98"/>
        <v/>
      </c>
      <c r="J1221" t="str">
        <f t="shared" si="99"/>
        <v/>
      </c>
      <c r="K1221" t="str">
        <f>IF($A1221="","",IF(COUNTIF($B$2:$B1221,$B1221)=COUNTIF($B$2:$B$1601,$B1221),$B1221,""))</f>
        <v/>
      </c>
    </row>
    <row r="1222" spans="1:11">
      <c r="A1222" t="str">
        <f>IF('TMP Paste'!$E1222="","",'TMP Paste'!$E1222)</f>
        <v/>
      </c>
      <c r="B1222" t="str">
        <f>IF($A1222="","",COUNTIF('TMP Paste'!$B$2:$B1222,"?*"))</f>
        <v/>
      </c>
      <c r="C1222" t="str">
        <f>IF($A1222="","",IFERROR('TMP Paste'!$M1222*1,0))</f>
        <v/>
      </c>
      <c r="D1222" t="str">
        <f>IF($A1222="","",SUMIF($B$2:$B1222,$B1222,$C$2:$C1222))</f>
        <v/>
      </c>
      <c r="E1222">
        <f>IF($A1222="",0,IF('TMP Paste'!$B1222="",0,1))</f>
        <v>0</v>
      </c>
      <c r="F1222" t="str">
        <f t="shared" si="95"/>
        <v/>
      </c>
      <c r="G1222" t="str">
        <f t="shared" si="96"/>
        <v/>
      </c>
      <c r="H1222" t="str">
        <f t="shared" si="97"/>
        <v/>
      </c>
      <c r="I1222" t="str">
        <f t="shared" si="98"/>
        <v/>
      </c>
      <c r="J1222" t="str">
        <f t="shared" si="99"/>
        <v/>
      </c>
      <c r="K1222" t="str">
        <f>IF($A1222="","",IF(COUNTIF($B$2:$B1222,$B1222)=COUNTIF($B$2:$B$1601,$B1222),$B1222,""))</f>
        <v/>
      </c>
    </row>
    <row r="1223" spans="1:11">
      <c r="A1223" t="str">
        <f>IF('TMP Paste'!$E1223="","",'TMP Paste'!$E1223)</f>
        <v/>
      </c>
      <c r="B1223" t="str">
        <f>IF($A1223="","",COUNTIF('TMP Paste'!$B$2:$B1223,"?*"))</f>
        <v/>
      </c>
      <c r="C1223" t="str">
        <f>IF($A1223="","",IFERROR('TMP Paste'!$M1223*1,0))</f>
        <v/>
      </c>
      <c r="D1223" t="str">
        <f>IF($A1223="","",SUMIF($B$2:$B1223,$B1223,$C$2:$C1223))</f>
        <v/>
      </c>
      <c r="E1223">
        <f>IF($A1223="",0,IF('TMP Paste'!$B1223="",0,1))</f>
        <v>0</v>
      </c>
      <c r="F1223" t="str">
        <f t="shared" si="95"/>
        <v/>
      </c>
      <c r="G1223" t="str">
        <f t="shared" si="96"/>
        <v/>
      </c>
      <c r="H1223" t="str">
        <f t="shared" si="97"/>
        <v/>
      </c>
      <c r="I1223" t="str">
        <f t="shared" si="98"/>
        <v/>
      </c>
      <c r="J1223" t="str">
        <f t="shared" si="99"/>
        <v/>
      </c>
      <c r="K1223" t="str">
        <f>IF($A1223="","",IF(COUNTIF($B$2:$B1223,$B1223)=COUNTIF($B$2:$B$1601,$B1223),$B1223,""))</f>
        <v/>
      </c>
    </row>
    <row r="1224" spans="1:11">
      <c r="A1224" t="str">
        <f>IF('TMP Paste'!$E1224="","",'TMP Paste'!$E1224)</f>
        <v/>
      </c>
      <c r="B1224" t="str">
        <f>IF($A1224="","",COUNTIF('TMP Paste'!$B$2:$B1224,"?*"))</f>
        <v/>
      </c>
      <c r="C1224" t="str">
        <f>IF($A1224="","",IFERROR('TMP Paste'!$M1224*1,0))</f>
        <v/>
      </c>
      <c r="D1224" t="str">
        <f>IF($A1224="","",SUMIF($B$2:$B1224,$B1224,$C$2:$C1224))</f>
        <v/>
      </c>
      <c r="E1224">
        <f>IF($A1224="",0,IF('TMP Paste'!$B1224="",0,1))</f>
        <v>0</v>
      </c>
      <c r="F1224" t="str">
        <f t="shared" si="95"/>
        <v/>
      </c>
      <c r="G1224" t="str">
        <f t="shared" si="96"/>
        <v/>
      </c>
      <c r="H1224" t="str">
        <f t="shared" si="97"/>
        <v/>
      </c>
      <c r="I1224" t="str">
        <f t="shared" si="98"/>
        <v/>
      </c>
      <c r="J1224" t="str">
        <f t="shared" si="99"/>
        <v/>
      </c>
      <c r="K1224" t="str">
        <f>IF($A1224="","",IF(COUNTIF($B$2:$B1224,$B1224)=COUNTIF($B$2:$B$1601,$B1224),$B1224,""))</f>
        <v/>
      </c>
    </row>
    <row r="1225" spans="1:11">
      <c r="A1225" t="str">
        <f>IF('TMP Paste'!$E1225="","",'TMP Paste'!$E1225)</f>
        <v/>
      </c>
      <c r="B1225" t="str">
        <f>IF($A1225="","",COUNTIF('TMP Paste'!$B$2:$B1225,"?*"))</f>
        <v/>
      </c>
      <c r="C1225" t="str">
        <f>IF($A1225="","",IFERROR('TMP Paste'!$M1225*1,0))</f>
        <v/>
      </c>
      <c r="D1225" t="str">
        <f>IF($A1225="","",SUMIF($B$2:$B1225,$B1225,$C$2:$C1225))</f>
        <v/>
      </c>
      <c r="E1225">
        <f>IF($A1225="",0,IF('TMP Paste'!$B1225="",0,1))</f>
        <v>0</v>
      </c>
      <c r="F1225" t="str">
        <f t="shared" si="95"/>
        <v/>
      </c>
      <c r="G1225" t="str">
        <f t="shared" si="96"/>
        <v/>
      </c>
      <c r="H1225" t="str">
        <f t="shared" si="97"/>
        <v/>
      </c>
      <c r="I1225" t="str">
        <f t="shared" si="98"/>
        <v/>
      </c>
      <c r="J1225" t="str">
        <f t="shared" si="99"/>
        <v/>
      </c>
      <c r="K1225" t="str">
        <f>IF($A1225="","",IF(COUNTIF($B$2:$B1225,$B1225)=COUNTIF($B$2:$B$1601,$B1225),$B1225,""))</f>
        <v/>
      </c>
    </row>
    <row r="1226" spans="1:11">
      <c r="A1226" t="str">
        <f>IF('TMP Paste'!$E1226="","",'TMP Paste'!$E1226)</f>
        <v/>
      </c>
      <c r="B1226" t="str">
        <f>IF($A1226="","",COUNTIF('TMP Paste'!$B$2:$B1226,"?*"))</f>
        <v/>
      </c>
      <c r="C1226" t="str">
        <f>IF($A1226="","",IFERROR('TMP Paste'!$M1226*1,0))</f>
        <v/>
      </c>
      <c r="D1226" t="str">
        <f>IF($A1226="","",SUMIF($B$2:$B1226,$B1226,$C$2:$C1226))</f>
        <v/>
      </c>
      <c r="E1226">
        <f>IF($A1226="",0,IF('TMP Paste'!$B1226="",0,1))</f>
        <v>0</v>
      </c>
      <c r="F1226" t="str">
        <f t="shared" si="95"/>
        <v/>
      </c>
      <c r="G1226" t="str">
        <f t="shared" si="96"/>
        <v/>
      </c>
      <c r="H1226" t="str">
        <f t="shared" si="97"/>
        <v/>
      </c>
      <c r="I1226" t="str">
        <f t="shared" si="98"/>
        <v/>
      </c>
      <c r="J1226" t="str">
        <f t="shared" si="99"/>
        <v/>
      </c>
      <c r="K1226" t="str">
        <f>IF($A1226="","",IF(COUNTIF($B$2:$B1226,$B1226)=COUNTIF($B$2:$B$1601,$B1226),$B1226,""))</f>
        <v/>
      </c>
    </row>
    <row r="1227" spans="1:11">
      <c r="A1227" t="str">
        <f>IF('TMP Paste'!$E1227="","",'TMP Paste'!$E1227)</f>
        <v/>
      </c>
      <c r="B1227" t="str">
        <f>IF($A1227="","",COUNTIF('TMP Paste'!$B$2:$B1227,"?*"))</f>
        <v/>
      </c>
      <c r="C1227" t="str">
        <f>IF($A1227="","",IFERROR('TMP Paste'!$M1227*1,0))</f>
        <v/>
      </c>
      <c r="D1227" t="str">
        <f>IF($A1227="","",SUMIF($B$2:$B1227,$B1227,$C$2:$C1227))</f>
        <v/>
      </c>
      <c r="E1227">
        <f>IF($A1227="",0,IF('TMP Paste'!$B1227="",0,1))</f>
        <v>0</v>
      </c>
      <c r="F1227" t="str">
        <f t="shared" si="95"/>
        <v/>
      </c>
      <c r="G1227" t="str">
        <f t="shared" si="96"/>
        <v/>
      </c>
      <c r="H1227" t="str">
        <f t="shared" si="97"/>
        <v/>
      </c>
      <c r="I1227" t="str">
        <f t="shared" si="98"/>
        <v/>
      </c>
      <c r="J1227" t="str">
        <f t="shared" si="99"/>
        <v/>
      </c>
      <c r="K1227" t="str">
        <f>IF($A1227="","",IF(COUNTIF($B$2:$B1227,$B1227)=COUNTIF($B$2:$B$1601,$B1227),$B1227,""))</f>
        <v/>
      </c>
    </row>
    <row r="1228" spans="1:11">
      <c r="A1228" t="str">
        <f>IF('TMP Paste'!$E1228="","",'TMP Paste'!$E1228)</f>
        <v/>
      </c>
      <c r="B1228" t="str">
        <f>IF($A1228="","",COUNTIF('TMP Paste'!$B$2:$B1228,"?*"))</f>
        <v/>
      </c>
      <c r="C1228" t="str">
        <f>IF($A1228="","",IFERROR('TMP Paste'!$M1228*1,0))</f>
        <v/>
      </c>
      <c r="D1228" t="str">
        <f>IF($A1228="","",SUMIF($B$2:$B1228,$B1228,$C$2:$C1228))</f>
        <v/>
      </c>
      <c r="E1228">
        <f>IF($A1228="",0,IF('TMP Paste'!$B1228="",0,1))</f>
        <v>0</v>
      </c>
      <c r="F1228" t="str">
        <f t="shared" si="95"/>
        <v/>
      </c>
      <c r="G1228" t="str">
        <f t="shared" si="96"/>
        <v/>
      </c>
      <c r="H1228" t="str">
        <f t="shared" si="97"/>
        <v/>
      </c>
      <c r="I1228" t="str">
        <f t="shared" si="98"/>
        <v/>
      </c>
      <c r="J1228" t="str">
        <f t="shared" si="99"/>
        <v/>
      </c>
      <c r="K1228" t="str">
        <f>IF($A1228="","",IF(COUNTIF($B$2:$B1228,$B1228)=COUNTIF($B$2:$B$1601,$B1228),$B1228,""))</f>
        <v/>
      </c>
    </row>
    <row r="1229" spans="1:11">
      <c r="A1229" t="str">
        <f>IF('TMP Paste'!$E1229="","",'TMP Paste'!$E1229)</f>
        <v/>
      </c>
      <c r="B1229" t="str">
        <f>IF($A1229="","",COUNTIF('TMP Paste'!$B$2:$B1229,"?*"))</f>
        <v/>
      </c>
      <c r="C1229" t="str">
        <f>IF($A1229="","",IFERROR('TMP Paste'!$M1229*1,0))</f>
        <v/>
      </c>
      <c r="D1229" t="str">
        <f>IF($A1229="","",SUMIF($B$2:$B1229,$B1229,$C$2:$C1229))</f>
        <v/>
      </c>
      <c r="E1229">
        <f>IF($A1229="",0,IF('TMP Paste'!$B1229="",0,1))</f>
        <v>0</v>
      </c>
      <c r="F1229" t="str">
        <f t="shared" si="95"/>
        <v/>
      </c>
      <c r="G1229" t="str">
        <f t="shared" si="96"/>
        <v/>
      </c>
      <c r="H1229" t="str">
        <f t="shared" si="97"/>
        <v/>
      </c>
      <c r="I1229" t="str">
        <f t="shared" si="98"/>
        <v/>
      </c>
      <c r="J1229" t="str">
        <f t="shared" si="99"/>
        <v/>
      </c>
      <c r="K1229" t="str">
        <f>IF($A1229="","",IF(COUNTIF($B$2:$B1229,$B1229)=COUNTIF($B$2:$B$1601,$B1229),$B1229,""))</f>
        <v/>
      </c>
    </row>
    <row r="1230" spans="1:11">
      <c r="A1230" t="str">
        <f>IF('TMP Paste'!$E1230="","",'TMP Paste'!$E1230)</f>
        <v/>
      </c>
      <c r="B1230" t="str">
        <f>IF($A1230="","",COUNTIF('TMP Paste'!$B$2:$B1230,"?*"))</f>
        <v/>
      </c>
      <c r="C1230" t="str">
        <f>IF($A1230="","",IFERROR('TMP Paste'!$M1230*1,0))</f>
        <v/>
      </c>
      <c r="D1230" t="str">
        <f>IF($A1230="","",SUMIF($B$2:$B1230,$B1230,$C$2:$C1230))</f>
        <v/>
      </c>
      <c r="E1230">
        <f>IF($A1230="",0,IF('TMP Paste'!$B1230="",0,1))</f>
        <v>0</v>
      </c>
      <c r="F1230" t="str">
        <f t="shared" si="95"/>
        <v/>
      </c>
      <c r="G1230" t="str">
        <f t="shared" si="96"/>
        <v/>
      </c>
      <c r="H1230" t="str">
        <f t="shared" si="97"/>
        <v/>
      </c>
      <c r="I1230" t="str">
        <f t="shared" si="98"/>
        <v/>
      </c>
      <c r="J1230" t="str">
        <f t="shared" si="99"/>
        <v/>
      </c>
      <c r="K1230" t="str">
        <f>IF($A1230="","",IF(COUNTIF($B$2:$B1230,$B1230)=COUNTIF($B$2:$B$1601,$B1230),$B1230,""))</f>
        <v/>
      </c>
    </row>
    <row r="1231" spans="1:11">
      <c r="A1231" t="str">
        <f>IF('TMP Paste'!$E1231="","",'TMP Paste'!$E1231)</f>
        <v/>
      </c>
      <c r="B1231" t="str">
        <f>IF($A1231="","",COUNTIF('TMP Paste'!$B$2:$B1231,"?*"))</f>
        <v/>
      </c>
      <c r="C1231" t="str">
        <f>IF($A1231="","",IFERROR('TMP Paste'!$M1231*1,0))</f>
        <v/>
      </c>
      <c r="D1231" t="str">
        <f>IF($A1231="","",SUMIF($B$2:$B1231,$B1231,$C$2:$C1231))</f>
        <v/>
      </c>
      <c r="E1231">
        <f>IF($A1231="",0,IF('TMP Paste'!$B1231="",0,1))</f>
        <v>0</v>
      </c>
      <c r="F1231" t="str">
        <f t="shared" si="95"/>
        <v/>
      </c>
      <c r="G1231" t="str">
        <f t="shared" si="96"/>
        <v/>
      </c>
      <c r="H1231" t="str">
        <f t="shared" si="97"/>
        <v/>
      </c>
      <c r="I1231" t="str">
        <f t="shared" si="98"/>
        <v/>
      </c>
      <c r="J1231" t="str">
        <f t="shared" si="99"/>
        <v/>
      </c>
      <c r="K1231" t="str">
        <f>IF($A1231="","",IF(COUNTIF($B$2:$B1231,$B1231)=COUNTIF($B$2:$B$1601,$B1231),$B1231,""))</f>
        <v/>
      </c>
    </row>
    <row r="1232" spans="1:11">
      <c r="A1232" t="str">
        <f>IF('TMP Paste'!$E1232="","",'TMP Paste'!$E1232)</f>
        <v/>
      </c>
      <c r="B1232" t="str">
        <f>IF($A1232="","",COUNTIF('TMP Paste'!$B$2:$B1232,"?*"))</f>
        <v/>
      </c>
      <c r="C1232" t="str">
        <f>IF($A1232="","",IFERROR('TMP Paste'!$M1232*1,0))</f>
        <v/>
      </c>
      <c r="D1232" t="str">
        <f>IF($A1232="","",SUMIF($B$2:$B1232,$B1232,$C$2:$C1232))</f>
        <v/>
      </c>
      <c r="E1232">
        <f>IF($A1232="",0,IF('TMP Paste'!$B1232="",0,1))</f>
        <v>0</v>
      </c>
      <c r="F1232" t="str">
        <f t="shared" si="95"/>
        <v/>
      </c>
      <c r="G1232" t="str">
        <f t="shared" si="96"/>
        <v/>
      </c>
      <c r="H1232" t="str">
        <f t="shared" si="97"/>
        <v/>
      </c>
      <c r="I1232" t="str">
        <f t="shared" si="98"/>
        <v/>
      </c>
      <c r="J1232" t="str">
        <f t="shared" si="99"/>
        <v/>
      </c>
      <c r="K1232" t="str">
        <f>IF($A1232="","",IF(COUNTIF($B$2:$B1232,$B1232)=COUNTIF($B$2:$B$1601,$B1232),$B1232,""))</f>
        <v/>
      </c>
    </row>
    <row r="1233" spans="1:11">
      <c r="A1233" t="str">
        <f>IF('TMP Paste'!$E1233="","",'TMP Paste'!$E1233)</f>
        <v/>
      </c>
      <c r="B1233" t="str">
        <f>IF($A1233="","",COUNTIF('TMP Paste'!$B$2:$B1233,"?*"))</f>
        <v/>
      </c>
      <c r="C1233" t="str">
        <f>IF($A1233="","",IFERROR('TMP Paste'!$M1233*1,0))</f>
        <v/>
      </c>
      <c r="D1233" t="str">
        <f>IF($A1233="","",SUMIF($B$2:$B1233,$B1233,$C$2:$C1233))</f>
        <v/>
      </c>
      <c r="E1233">
        <f>IF($A1233="",0,IF('TMP Paste'!$B1233="",0,1))</f>
        <v>0</v>
      </c>
      <c r="F1233" t="str">
        <f t="shared" si="95"/>
        <v/>
      </c>
      <c r="G1233" t="str">
        <f t="shared" si="96"/>
        <v/>
      </c>
      <c r="H1233" t="str">
        <f t="shared" si="97"/>
        <v/>
      </c>
      <c r="I1233" t="str">
        <f t="shared" si="98"/>
        <v/>
      </c>
      <c r="J1233" t="str">
        <f t="shared" si="99"/>
        <v/>
      </c>
      <c r="K1233" t="str">
        <f>IF($A1233="","",IF(COUNTIF($B$2:$B1233,$B1233)=COUNTIF($B$2:$B$1601,$B1233),$B1233,""))</f>
        <v/>
      </c>
    </row>
    <row r="1234" spans="1:11">
      <c r="A1234" t="str">
        <f>IF('TMP Paste'!$E1234="","",'TMP Paste'!$E1234)</f>
        <v/>
      </c>
      <c r="B1234" t="str">
        <f>IF($A1234="","",COUNTIF('TMP Paste'!$B$2:$B1234,"?*"))</f>
        <v/>
      </c>
      <c r="C1234" t="str">
        <f>IF($A1234="","",IFERROR('TMP Paste'!$M1234*1,0))</f>
        <v/>
      </c>
      <c r="D1234" t="str">
        <f>IF($A1234="","",SUMIF($B$2:$B1234,$B1234,$C$2:$C1234))</f>
        <v/>
      </c>
      <c r="E1234">
        <f>IF($A1234="",0,IF('TMP Paste'!$B1234="",0,1))</f>
        <v>0</v>
      </c>
      <c r="F1234" t="str">
        <f t="shared" si="95"/>
        <v/>
      </c>
      <c r="G1234" t="str">
        <f t="shared" si="96"/>
        <v/>
      </c>
      <c r="H1234" t="str">
        <f t="shared" si="97"/>
        <v/>
      </c>
      <c r="I1234" t="str">
        <f t="shared" si="98"/>
        <v/>
      </c>
      <c r="J1234" t="str">
        <f t="shared" si="99"/>
        <v/>
      </c>
      <c r="K1234" t="str">
        <f>IF($A1234="","",IF(COUNTIF($B$2:$B1234,$B1234)=COUNTIF($B$2:$B$1601,$B1234),$B1234,""))</f>
        <v/>
      </c>
    </row>
    <row r="1235" spans="1:11">
      <c r="A1235" t="str">
        <f>IF('TMP Paste'!$E1235="","",'TMP Paste'!$E1235)</f>
        <v/>
      </c>
      <c r="B1235" t="str">
        <f>IF($A1235="","",COUNTIF('TMP Paste'!$B$2:$B1235,"?*"))</f>
        <v/>
      </c>
      <c r="C1235" t="str">
        <f>IF($A1235="","",IFERROR('TMP Paste'!$M1235*1,0))</f>
        <v/>
      </c>
      <c r="D1235" t="str">
        <f>IF($A1235="","",SUMIF($B$2:$B1235,$B1235,$C$2:$C1235))</f>
        <v/>
      </c>
      <c r="E1235">
        <f>IF($A1235="",0,IF('TMP Paste'!$B1235="",0,1))</f>
        <v>0</v>
      </c>
      <c r="F1235" t="str">
        <f t="shared" si="95"/>
        <v/>
      </c>
      <c r="G1235" t="str">
        <f t="shared" si="96"/>
        <v/>
      </c>
      <c r="H1235" t="str">
        <f t="shared" si="97"/>
        <v/>
      </c>
      <c r="I1235" t="str">
        <f t="shared" si="98"/>
        <v/>
      </c>
      <c r="J1235" t="str">
        <f t="shared" si="99"/>
        <v/>
      </c>
      <c r="K1235" t="str">
        <f>IF($A1235="","",IF(COUNTIF($B$2:$B1235,$B1235)=COUNTIF($B$2:$B$1601,$B1235),$B1235,""))</f>
        <v/>
      </c>
    </row>
    <row r="1236" spans="1:11">
      <c r="A1236" t="str">
        <f>IF('TMP Paste'!$E1236="","",'TMP Paste'!$E1236)</f>
        <v/>
      </c>
      <c r="B1236" t="str">
        <f>IF($A1236="","",COUNTIF('TMP Paste'!$B$2:$B1236,"?*"))</f>
        <v/>
      </c>
      <c r="C1236" t="str">
        <f>IF($A1236="","",IFERROR('TMP Paste'!$M1236*1,0))</f>
        <v/>
      </c>
      <c r="D1236" t="str">
        <f>IF($A1236="","",SUMIF($B$2:$B1236,$B1236,$C$2:$C1236))</f>
        <v/>
      </c>
      <c r="E1236">
        <f>IF($A1236="",0,IF('TMP Paste'!$B1236="",0,1))</f>
        <v>0</v>
      </c>
      <c r="F1236" t="str">
        <f t="shared" si="95"/>
        <v/>
      </c>
      <c r="G1236" t="str">
        <f t="shared" si="96"/>
        <v/>
      </c>
      <c r="H1236" t="str">
        <f t="shared" si="97"/>
        <v/>
      </c>
      <c r="I1236" t="str">
        <f t="shared" si="98"/>
        <v/>
      </c>
      <c r="J1236" t="str">
        <f t="shared" si="99"/>
        <v/>
      </c>
      <c r="K1236" t="str">
        <f>IF($A1236="","",IF(COUNTIF($B$2:$B1236,$B1236)=COUNTIF($B$2:$B$1601,$B1236),$B1236,""))</f>
        <v/>
      </c>
    </row>
    <row r="1237" spans="1:11">
      <c r="A1237" t="str">
        <f>IF('TMP Paste'!$E1237="","",'TMP Paste'!$E1237)</f>
        <v/>
      </c>
      <c r="B1237" t="str">
        <f>IF($A1237="","",COUNTIF('TMP Paste'!$B$2:$B1237,"?*"))</f>
        <v/>
      </c>
      <c r="C1237" t="str">
        <f>IF($A1237="","",IFERROR('TMP Paste'!$M1237*1,0))</f>
        <v/>
      </c>
      <c r="D1237" t="str">
        <f>IF($A1237="","",SUMIF($B$2:$B1237,$B1237,$C$2:$C1237))</f>
        <v/>
      </c>
      <c r="E1237">
        <f>IF($A1237="",0,IF('TMP Paste'!$B1237="",0,1))</f>
        <v>0</v>
      </c>
      <c r="F1237" t="str">
        <f t="shared" si="95"/>
        <v/>
      </c>
      <c r="G1237" t="str">
        <f t="shared" si="96"/>
        <v/>
      </c>
      <c r="H1237" t="str">
        <f t="shared" si="97"/>
        <v/>
      </c>
      <c r="I1237" t="str">
        <f t="shared" si="98"/>
        <v/>
      </c>
      <c r="J1237" t="str">
        <f t="shared" si="99"/>
        <v/>
      </c>
      <c r="K1237" t="str">
        <f>IF($A1237="","",IF(COUNTIF($B$2:$B1237,$B1237)=COUNTIF($B$2:$B$1601,$B1237),$B1237,""))</f>
        <v/>
      </c>
    </row>
    <row r="1238" spans="1:11">
      <c r="A1238" t="str">
        <f>IF('TMP Paste'!$E1238="","",'TMP Paste'!$E1238)</f>
        <v/>
      </c>
      <c r="B1238" t="str">
        <f>IF($A1238="","",COUNTIF('TMP Paste'!$B$2:$B1238,"?*"))</f>
        <v/>
      </c>
      <c r="C1238" t="str">
        <f>IF($A1238="","",IFERROR('TMP Paste'!$M1238*1,0))</f>
        <v/>
      </c>
      <c r="D1238" t="str">
        <f>IF($A1238="","",SUMIF($B$2:$B1238,$B1238,$C$2:$C1238))</f>
        <v/>
      </c>
      <c r="E1238">
        <f>IF($A1238="",0,IF('TMP Paste'!$B1238="",0,1))</f>
        <v>0</v>
      </c>
      <c r="F1238" t="str">
        <f t="shared" si="95"/>
        <v/>
      </c>
      <c r="G1238" t="str">
        <f t="shared" si="96"/>
        <v/>
      </c>
      <c r="H1238" t="str">
        <f t="shared" si="97"/>
        <v/>
      </c>
      <c r="I1238" t="str">
        <f t="shared" si="98"/>
        <v/>
      </c>
      <c r="J1238" t="str">
        <f t="shared" si="99"/>
        <v/>
      </c>
      <c r="K1238" t="str">
        <f>IF($A1238="","",IF(COUNTIF($B$2:$B1238,$B1238)=COUNTIF($B$2:$B$1601,$B1238),$B1238,""))</f>
        <v/>
      </c>
    </row>
    <row r="1239" spans="1:11">
      <c r="A1239" t="str">
        <f>IF('TMP Paste'!$E1239="","",'TMP Paste'!$E1239)</f>
        <v/>
      </c>
      <c r="B1239" t="str">
        <f>IF($A1239="","",COUNTIF('TMP Paste'!$B$2:$B1239,"?*"))</f>
        <v/>
      </c>
      <c r="C1239" t="str">
        <f>IF($A1239="","",IFERROR('TMP Paste'!$M1239*1,0))</f>
        <v/>
      </c>
      <c r="D1239" t="str">
        <f>IF($A1239="","",SUMIF($B$2:$B1239,$B1239,$C$2:$C1239))</f>
        <v/>
      </c>
      <c r="E1239">
        <f>IF($A1239="",0,IF('TMP Paste'!$B1239="",0,1))</f>
        <v>0</v>
      </c>
      <c r="F1239" t="str">
        <f t="shared" si="95"/>
        <v/>
      </c>
      <c r="G1239" t="str">
        <f t="shared" si="96"/>
        <v/>
      </c>
      <c r="H1239" t="str">
        <f t="shared" si="97"/>
        <v/>
      </c>
      <c r="I1239" t="str">
        <f t="shared" si="98"/>
        <v/>
      </c>
      <c r="J1239" t="str">
        <f t="shared" si="99"/>
        <v/>
      </c>
      <c r="K1239" t="str">
        <f>IF($A1239="","",IF(COUNTIF($B$2:$B1239,$B1239)=COUNTIF($B$2:$B$1601,$B1239),$B1239,""))</f>
        <v/>
      </c>
    </row>
    <row r="1240" spans="1:11">
      <c r="A1240" t="str">
        <f>IF('TMP Paste'!$E1240="","",'TMP Paste'!$E1240)</f>
        <v/>
      </c>
      <c r="B1240" t="str">
        <f>IF($A1240="","",COUNTIF('TMP Paste'!$B$2:$B1240,"?*"))</f>
        <v/>
      </c>
      <c r="C1240" t="str">
        <f>IF($A1240="","",IFERROR('TMP Paste'!$M1240*1,0))</f>
        <v/>
      </c>
      <c r="D1240" t="str">
        <f>IF($A1240="","",SUMIF($B$2:$B1240,$B1240,$C$2:$C1240))</f>
        <v/>
      </c>
      <c r="E1240">
        <f>IF($A1240="",0,IF('TMP Paste'!$B1240="",0,1))</f>
        <v>0</v>
      </c>
      <c r="F1240" t="str">
        <f t="shared" si="95"/>
        <v/>
      </c>
      <c r="G1240" t="str">
        <f t="shared" si="96"/>
        <v/>
      </c>
      <c r="H1240" t="str">
        <f t="shared" si="97"/>
        <v/>
      </c>
      <c r="I1240" t="str">
        <f t="shared" si="98"/>
        <v/>
      </c>
      <c r="J1240" t="str">
        <f t="shared" si="99"/>
        <v/>
      </c>
      <c r="K1240" t="str">
        <f>IF($A1240="","",IF(COUNTIF($B$2:$B1240,$B1240)=COUNTIF($B$2:$B$1601,$B1240),$B1240,""))</f>
        <v/>
      </c>
    </row>
    <row r="1241" spans="1:11">
      <c r="A1241" t="str">
        <f>IF('TMP Paste'!$E1241="","",'TMP Paste'!$E1241)</f>
        <v/>
      </c>
      <c r="B1241" t="str">
        <f>IF($A1241="","",COUNTIF('TMP Paste'!$B$2:$B1241,"?*"))</f>
        <v/>
      </c>
      <c r="C1241" t="str">
        <f>IF($A1241="","",IFERROR('TMP Paste'!$M1241*1,0))</f>
        <v/>
      </c>
      <c r="D1241" t="str">
        <f>IF($A1241="","",SUMIF($B$2:$B1241,$B1241,$C$2:$C1241))</f>
        <v/>
      </c>
      <c r="E1241">
        <f>IF($A1241="",0,IF('TMP Paste'!$B1241="",0,1))</f>
        <v>0</v>
      </c>
      <c r="F1241" t="str">
        <f t="shared" si="95"/>
        <v/>
      </c>
      <c r="G1241" t="str">
        <f t="shared" si="96"/>
        <v/>
      </c>
      <c r="H1241" t="str">
        <f t="shared" si="97"/>
        <v/>
      </c>
      <c r="I1241" t="str">
        <f t="shared" si="98"/>
        <v/>
      </c>
      <c r="J1241" t="str">
        <f t="shared" si="99"/>
        <v/>
      </c>
      <c r="K1241" t="str">
        <f>IF($A1241="","",IF(COUNTIF($B$2:$B1241,$B1241)=COUNTIF($B$2:$B$1601,$B1241),$B1241,""))</f>
        <v/>
      </c>
    </row>
    <row r="1242" spans="1:11">
      <c r="A1242" t="str">
        <f>IF('TMP Paste'!$E1242="","",'TMP Paste'!$E1242)</f>
        <v/>
      </c>
      <c r="B1242" t="str">
        <f>IF($A1242="","",COUNTIF('TMP Paste'!$B$2:$B1242,"?*"))</f>
        <v/>
      </c>
      <c r="C1242" t="str">
        <f>IF($A1242="","",IFERROR('TMP Paste'!$M1242*1,0))</f>
        <v/>
      </c>
      <c r="D1242" t="str">
        <f>IF($A1242="","",SUMIF($B$2:$B1242,$B1242,$C$2:$C1242))</f>
        <v/>
      </c>
      <c r="E1242">
        <f>IF($A1242="",0,IF('TMP Paste'!$B1242="",0,1))</f>
        <v>0</v>
      </c>
      <c r="F1242" t="str">
        <f t="shared" si="95"/>
        <v/>
      </c>
      <c r="G1242" t="str">
        <f t="shared" si="96"/>
        <v/>
      </c>
      <c r="H1242" t="str">
        <f t="shared" si="97"/>
        <v/>
      </c>
      <c r="I1242" t="str">
        <f t="shared" si="98"/>
        <v/>
      </c>
      <c r="J1242" t="str">
        <f t="shared" si="99"/>
        <v/>
      </c>
      <c r="K1242" t="str">
        <f>IF($A1242="","",IF(COUNTIF($B$2:$B1242,$B1242)=COUNTIF($B$2:$B$1601,$B1242),$B1242,""))</f>
        <v/>
      </c>
    </row>
    <row r="1243" spans="1:11">
      <c r="A1243" t="str">
        <f>IF('TMP Paste'!$E1243="","",'TMP Paste'!$E1243)</f>
        <v/>
      </c>
      <c r="B1243" t="str">
        <f>IF($A1243="","",COUNTIF('TMP Paste'!$B$2:$B1243,"?*"))</f>
        <v/>
      </c>
      <c r="C1243" t="str">
        <f>IF($A1243="","",IFERROR('TMP Paste'!$M1243*1,0))</f>
        <v/>
      </c>
      <c r="D1243" t="str">
        <f>IF($A1243="","",SUMIF($B$2:$B1243,$B1243,$C$2:$C1243))</f>
        <v/>
      </c>
      <c r="E1243">
        <f>IF($A1243="",0,IF('TMP Paste'!$B1243="",0,1))</f>
        <v>0</v>
      </c>
      <c r="F1243" t="str">
        <f t="shared" si="95"/>
        <v/>
      </c>
      <c r="G1243" t="str">
        <f t="shared" si="96"/>
        <v/>
      </c>
      <c r="H1243" t="str">
        <f t="shared" si="97"/>
        <v/>
      </c>
      <c r="I1243" t="str">
        <f t="shared" si="98"/>
        <v/>
      </c>
      <c r="J1243" t="str">
        <f t="shared" si="99"/>
        <v/>
      </c>
      <c r="K1243" t="str">
        <f>IF($A1243="","",IF(COUNTIF($B$2:$B1243,$B1243)=COUNTIF($B$2:$B$1601,$B1243),$B1243,""))</f>
        <v/>
      </c>
    </row>
    <row r="1244" spans="1:11">
      <c r="A1244" t="str">
        <f>IF('TMP Paste'!$E1244="","",'TMP Paste'!$E1244)</f>
        <v/>
      </c>
      <c r="B1244" t="str">
        <f>IF($A1244="","",COUNTIF('TMP Paste'!$B$2:$B1244,"?*"))</f>
        <v/>
      </c>
      <c r="C1244" t="str">
        <f>IF($A1244="","",IFERROR('TMP Paste'!$M1244*1,0))</f>
        <v/>
      </c>
      <c r="D1244" t="str">
        <f>IF($A1244="","",SUMIF($B$2:$B1244,$B1244,$C$2:$C1244))</f>
        <v/>
      </c>
      <c r="E1244">
        <f>IF($A1244="",0,IF('TMP Paste'!$B1244="",0,1))</f>
        <v>0</v>
      </c>
      <c r="F1244" t="str">
        <f t="shared" si="95"/>
        <v/>
      </c>
      <c r="G1244" t="str">
        <f t="shared" si="96"/>
        <v/>
      </c>
      <c r="H1244" t="str">
        <f t="shared" si="97"/>
        <v/>
      </c>
      <c r="I1244" t="str">
        <f t="shared" si="98"/>
        <v/>
      </c>
      <c r="J1244" t="str">
        <f t="shared" si="99"/>
        <v/>
      </c>
      <c r="K1244" t="str">
        <f>IF($A1244="","",IF(COUNTIF($B$2:$B1244,$B1244)=COUNTIF($B$2:$B$1601,$B1244),$B1244,""))</f>
        <v/>
      </c>
    </row>
    <row r="1245" spans="1:11">
      <c r="A1245" t="str">
        <f>IF('TMP Paste'!$E1245="","",'TMP Paste'!$E1245)</f>
        <v/>
      </c>
      <c r="B1245" t="str">
        <f>IF($A1245="","",COUNTIF('TMP Paste'!$B$2:$B1245,"?*"))</f>
        <v/>
      </c>
      <c r="C1245" t="str">
        <f>IF($A1245="","",IFERROR('TMP Paste'!$M1245*1,0))</f>
        <v/>
      </c>
      <c r="D1245" t="str">
        <f>IF($A1245="","",SUMIF($B$2:$B1245,$B1245,$C$2:$C1245))</f>
        <v/>
      </c>
      <c r="E1245">
        <f>IF($A1245="",0,IF('TMP Paste'!$B1245="",0,1))</f>
        <v>0</v>
      </c>
      <c r="F1245" t="str">
        <f t="shared" si="95"/>
        <v/>
      </c>
      <c r="G1245" t="str">
        <f t="shared" si="96"/>
        <v/>
      </c>
      <c r="H1245" t="str">
        <f t="shared" si="97"/>
        <v/>
      </c>
      <c r="I1245" t="str">
        <f t="shared" si="98"/>
        <v/>
      </c>
      <c r="J1245" t="str">
        <f t="shared" si="99"/>
        <v/>
      </c>
      <c r="K1245" t="str">
        <f>IF($A1245="","",IF(COUNTIF($B$2:$B1245,$B1245)=COUNTIF($B$2:$B$1601,$B1245),$B1245,""))</f>
        <v/>
      </c>
    </row>
    <row r="1246" spans="1:11">
      <c r="A1246" t="str">
        <f>IF('TMP Paste'!$E1246="","",'TMP Paste'!$E1246)</f>
        <v/>
      </c>
      <c r="B1246" t="str">
        <f>IF($A1246="","",COUNTIF('TMP Paste'!$B$2:$B1246,"?*"))</f>
        <v/>
      </c>
      <c r="C1246" t="str">
        <f>IF($A1246="","",IFERROR('TMP Paste'!$M1246*1,0))</f>
        <v/>
      </c>
      <c r="D1246" t="str">
        <f>IF($A1246="","",SUMIF($B$2:$B1246,$B1246,$C$2:$C1246))</f>
        <v/>
      </c>
      <c r="E1246">
        <f>IF($A1246="",0,IF('TMP Paste'!$B1246="",0,1))</f>
        <v>0</v>
      </c>
      <c r="F1246" t="str">
        <f t="shared" si="95"/>
        <v/>
      </c>
      <c r="G1246" t="str">
        <f t="shared" si="96"/>
        <v/>
      </c>
      <c r="H1246" t="str">
        <f t="shared" si="97"/>
        <v/>
      </c>
      <c r="I1246" t="str">
        <f t="shared" si="98"/>
        <v/>
      </c>
      <c r="J1246" t="str">
        <f t="shared" si="99"/>
        <v/>
      </c>
      <c r="K1246" t="str">
        <f>IF($A1246="","",IF(COUNTIF($B$2:$B1246,$B1246)=COUNTIF($B$2:$B$1601,$B1246),$B1246,""))</f>
        <v/>
      </c>
    </row>
    <row r="1247" spans="1:11">
      <c r="A1247" t="str">
        <f>IF('TMP Paste'!$E1247="","",'TMP Paste'!$E1247)</f>
        <v/>
      </c>
      <c r="B1247" t="str">
        <f>IF($A1247="","",COUNTIF('TMP Paste'!$B$2:$B1247,"?*"))</f>
        <v/>
      </c>
      <c r="C1247" t="str">
        <f>IF($A1247="","",IFERROR('TMP Paste'!$M1247*1,0))</f>
        <v/>
      </c>
      <c r="D1247" t="str">
        <f>IF($A1247="","",SUMIF($B$2:$B1247,$B1247,$C$2:$C1247))</f>
        <v/>
      </c>
      <c r="E1247">
        <f>IF($A1247="",0,IF('TMP Paste'!$B1247="",0,1))</f>
        <v>0</v>
      </c>
      <c r="F1247" t="str">
        <f t="shared" si="95"/>
        <v/>
      </c>
      <c r="G1247" t="str">
        <f t="shared" si="96"/>
        <v/>
      </c>
      <c r="H1247" t="str">
        <f t="shared" si="97"/>
        <v/>
      </c>
      <c r="I1247" t="str">
        <f t="shared" si="98"/>
        <v/>
      </c>
      <c r="J1247" t="str">
        <f t="shared" si="99"/>
        <v/>
      </c>
      <c r="K1247" t="str">
        <f>IF($A1247="","",IF(COUNTIF($B$2:$B1247,$B1247)=COUNTIF($B$2:$B$1601,$B1247),$B1247,""))</f>
        <v/>
      </c>
    </row>
    <row r="1248" spans="1:11">
      <c r="A1248" t="str">
        <f>IF('TMP Paste'!$E1248="","",'TMP Paste'!$E1248)</f>
        <v/>
      </c>
      <c r="B1248" t="str">
        <f>IF($A1248="","",COUNTIF('TMP Paste'!$B$2:$B1248,"?*"))</f>
        <v/>
      </c>
      <c r="C1248" t="str">
        <f>IF($A1248="","",IFERROR('TMP Paste'!$M1248*1,0))</f>
        <v/>
      </c>
      <c r="D1248" t="str">
        <f>IF($A1248="","",SUMIF($B$2:$B1248,$B1248,$C$2:$C1248))</f>
        <v/>
      </c>
      <c r="E1248">
        <f>IF($A1248="",0,IF('TMP Paste'!$B1248="",0,1))</f>
        <v>0</v>
      </c>
      <c r="F1248" t="str">
        <f t="shared" si="95"/>
        <v/>
      </c>
      <c r="G1248" t="str">
        <f t="shared" si="96"/>
        <v/>
      </c>
      <c r="H1248" t="str">
        <f t="shared" si="97"/>
        <v/>
      </c>
      <c r="I1248" t="str">
        <f t="shared" si="98"/>
        <v/>
      </c>
      <c r="J1248" t="str">
        <f t="shared" si="99"/>
        <v/>
      </c>
      <c r="K1248" t="str">
        <f>IF($A1248="","",IF(COUNTIF($B$2:$B1248,$B1248)=COUNTIF($B$2:$B$1601,$B1248),$B1248,""))</f>
        <v/>
      </c>
    </row>
    <row r="1249" spans="1:11">
      <c r="A1249" t="str">
        <f>IF('TMP Paste'!$E1249="","",'TMP Paste'!$E1249)</f>
        <v/>
      </c>
      <c r="B1249" t="str">
        <f>IF($A1249="","",COUNTIF('TMP Paste'!$B$2:$B1249,"?*"))</f>
        <v/>
      </c>
      <c r="C1249" t="str">
        <f>IF($A1249="","",IFERROR('TMP Paste'!$M1249*1,0))</f>
        <v/>
      </c>
      <c r="D1249" t="str">
        <f>IF($A1249="","",SUMIF($B$2:$B1249,$B1249,$C$2:$C1249))</f>
        <v/>
      </c>
      <c r="E1249">
        <f>IF($A1249="",0,IF('TMP Paste'!$B1249="",0,1))</f>
        <v>0</v>
      </c>
      <c r="F1249" t="str">
        <f t="shared" si="95"/>
        <v/>
      </c>
      <c r="G1249" t="str">
        <f t="shared" si="96"/>
        <v/>
      </c>
      <c r="H1249" t="str">
        <f t="shared" si="97"/>
        <v/>
      </c>
      <c r="I1249" t="str">
        <f t="shared" si="98"/>
        <v/>
      </c>
      <c r="J1249" t="str">
        <f t="shared" si="99"/>
        <v/>
      </c>
      <c r="K1249" t="str">
        <f>IF($A1249="","",IF(COUNTIF($B$2:$B1249,$B1249)=COUNTIF($B$2:$B$1601,$B1249),$B1249,""))</f>
        <v/>
      </c>
    </row>
    <row r="1250" spans="1:11">
      <c r="A1250" t="str">
        <f>IF('TMP Paste'!$E1250="","",'TMP Paste'!$E1250)</f>
        <v/>
      </c>
      <c r="B1250" t="str">
        <f>IF($A1250="","",COUNTIF('TMP Paste'!$B$2:$B1250,"?*"))</f>
        <v/>
      </c>
      <c r="C1250" t="str">
        <f>IF($A1250="","",IFERROR('TMP Paste'!$M1250*1,0))</f>
        <v/>
      </c>
      <c r="D1250" t="str">
        <f>IF($A1250="","",SUMIF($B$2:$B1250,$B1250,$C$2:$C1250))</f>
        <v/>
      </c>
      <c r="E1250">
        <f>IF($A1250="",0,IF('TMP Paste'!$B1250="",0,1))</f>
        <v>0</v>
      </c>
      <c r="F1250" t="str">
        <f t="shared" si="95"/>
        <v/>
      </c>
      <c r="G1250" t="str">
        <f t="shared" si="96"/>
        <v/>
      </c>
      <c r="H1250" t="str">
        <f t="shared" si="97"/>
        <v/>
      </c>
      <c r="I1250" t="str">
        <f t="shared" si="98"/>
        <v/>
      </c>
      <c r="J1250" t="str">
        <f t="shared" si="99"/>
        <v/>
      </c>
      <c r="K1250" t="str">
        <f>IF($A1250="","",IF(COUNTIF($B$2:$B1250,$B1250)=COUNTIF($B$2:$B$1601,$B1250),$B1250,""))</f>
        <v/>
      </c>
    </row>
    <row r="1251" spans="1:11">
      <c r="A1251" t="str">
        <f>IF('TMP Paste'!$E1251="","",'TMP Paste'!$E1251)</f>
        <v/>
      </c>
      <c r="B1251" t="str">
        <f>IF($A1251="","",COUNTIF('TMP Paste'!$B$2:$B1251,"?*"))</f>
        <v/>
      </c>
      <c r="C1251" t="str">
        <f>IF($A1251="","",IFERROR('TMP Paste'!$M1251*1,0))</f>
        <v/>
      </c>
      <c r="D1251" t="str">
        <f>IF($A1251="","",SUMIF($B$2:$B1251,$B1251,$C$2:$C1251))</f>
        <v/>
      </c>
      <c r="E1251">
        <f>IF($A1251="",0,IF('TMP Paste'!$B1251="",0,1))</f>
        <v>0</v>
      </c>
      <c r="F1251" t="str">
        <f t="shared" si="95"/>
        <v/>
      </c>
      <c r="G1251" t="str">
        <f t="shared" si="96"/>
        <v/>
      </c>
      <c r="H1251" t="str">
        <f t="shared" si="97"/>
        <v/>
      </c>
      <c r="I1251" t="str">
        <f t="shared" si="98"/>
        <v/>
      </c>
      <c r="J1251" t="str">
        <f t="shared" si="99"/>
        <v/>
      </c>
      <c r="K1251" t="str">
        <f>IF($A1251="","",IF(COUNTIF($B$2:$B1251,$B1251)=COUNTIF($B$2:$B$1601,$B1251),$B1251,""))</f>
        <v/>
      </c>
    </row>
    <row r="1252" spans="1:11">
      <c r="A1252" t="str">
        <f>IF('TMP Paste'!$E1252="","",'TMP Paste'!$E1252)</f>
        <v/>
      </c>
      <c r="B1252" t="str">
        <f>IF($A1252="","",COUNTIF('TMP Paste'!$B$2:$B1252,"?*"))</f>
        <v/>
      </c>
      <c r="C1252" t="str">
        <f>IF($A1252="","",IFERROR('TMP Paste'!$M1252*1,0))</f>
        <v/>
      </c>
      <c r="D1252" t="str">
        <f>IF($A1252="","",SUMIF($B$2:$B1252,$B1252,$C$2:$C1252))</f>
        <v/>
      </c>
      <c r="E1252">
        <f>IF($A1252="",0,IF('TMP Paste'!$B1252="",0,1))</f>
        <v>0</v>
      </c>
      <c r="F1252" t="str">
        <f t="shared" si="95"/>
        <v/>
      </c>
      <c r="G1252" t="str">
        <f t="shared" si="96"/>
        <v/>
      </c>
      <c r="H1252" t="str">
        <f t="shared" si="97"/>
        <v/>
      </c>
      <c r="I1252" t="str">
        <f t="shared" si="98"/>
        <v/>
      </c>
      <c r="J1252" t="str">
        <f t="shared" si="99"/>
        <v/>
      </c>
      <c r="K1252" t="str">
        <f>IF($A1252="","",IF(COUNTIF($B$2:$B1252,$B1252)=COUNTIF($B$2:$B$1601,$B1252),$B1252,""))</f>
        <v/>
      </c>
    </row>
    <row r="1253" spans="1:11">
      <c r="A1253" t="str">
        <f>IF('TMP Paste'!$E1253="","",'TMP Paste'!$E1253)</f>
        <v/>
      </c>
      <c r="B1253" t="str">
        <f>IF($A1253="","",COUNTIF('TMP Paste'!$B$2:$B1253,"?*"))</f>
        <v/>
      </c>
      <c r="C1253" t="str">
        <f>IF($A1253="","",IFERROR('TMP Paste'!$M1253*1,0))</f>
        <v/>
      </c>
      <c r="D1253" t="str">
        <f>IF($A1253="","",SUMIF($B$2:$B1253,$B1253,$C$2:$C1253))</f>
        <v/>
      </c>
      <c r="E1253">
        <f>IF($A1253="",0,IF('TMP Paste'!$B1253="",0,1))</f>
        <v>0</v>
      </c>
      <c r="F1253" t="str">
        <f t="shared" si="95"/>
        <v/>
      </c>
      <c r="G1253" t="str">
        <f t="shared" si="96"/>
        <v/>
      </c>
      <c r="H1253" t="str">
        <f t="shared" si="97"/>
        <v/>
      </c>
      <c r="I1253" t="str">
        <f t="shared" si="98"/>
        <v/>
      </c>
      <c r="J1253" t="str">
        <f t="shared" si="99"/>
        <v/>
      </c>
      <c r="K1253" t="str">
        <f>IF($A1253="","",IF(COUNTIF($B$2:$B1253,$B1253)=COUNTIF($B$2:$B$1601,$B1253),$B1253,""))</f>
        <v/>
      </c>
    </row>
    <row r="1254" spans="1:11">
      <c r="A1254" t="str">
        <f>IF('TMP Paste'!$E1254="","",'TMP Paste'!$E1254)</f>
        <v/>
      </c>
      <c r="B1254" t="str">
        <f>IF($A1254="","",COUNTIF('TMP Paste'!$B$2:$B1254,"?*"))</f>
        <v/>
      </c>
      <c r="C1254" t="str">
        <f>IF($A1254="","",IFERROR('TMP Paste'!$M1254*1,0))</f>
        <v/>
      </c>
      <c r="D1254" t="str">
        <f>IF($A1254="","",SUMIF($B$2:$B1254,$B1254,$C$2:$C1254))</f>
        <v/>
      </c>
      <c r="E1254">
        <f>IF($A1254="",0,IF('TMP Paste'!$B1254="",0,1))</f>
        <v>0</v>
      </c>
      <c r="F1254" t="str">
        <f t="shared" si="95"/>
        <v/>
      </c>
      <c r="G1254" t="str">
        <f t="shared" si="96"/>
        <v/>
      </c>
      <c r="H1254" t="str">
        <f t="shared" si="97"/>
        <v/>
      </c>
      <c r="I1254" t="str">
        <f t="shared" si="98"/>
        <v/>
      </c>
      <c r="J1254" t="str">
        <f t="shared" si="99"/>
        <v/>
      </c>
      <c r="K1254" t="str">
        <f>IF($A1254="","",IF(COUNTIF($B$2:$B1254,$B1254)=COUNTIF($B$2:$B$1601,$B1254),$B1254,""))</f>
        <v/>
      </c>
    </row>
    <row r="1255" spans="1:11">
      <c r="A1255" t="str">
        <f>IF('TMP Paste'!$E1255="","",'TMP Paste'!$E1255)</f>
        <v/>
      </c>
      <c r="B1255" t="str">
        <f>IF($A1255="","",COUNTIF('TMP Paste'!$B$2:$B1255,"?*"))</f>
        <v/>
      </c>
      <c r="C1255" t="str">
        <f>IF($A1255="","",IFERROR('TMP Paste'!$M1255*1,0))</f>
        <v/>
      </c>
      <c r="D1255" t="str">
        <f>IF($A1255="","",SUMIF($B$2:$B1255,$B1255,$C$2:$C1255))</f>
        <v/>
      </c>
      <c r="E1255">
        <f>IF($A1255="",0,IF('TMP Paste'!$B1255="",0,1))</f>
        <v>0</v>
      </c>
      <c r="F1255" t="str">
        <f t="shared" si="95"/>
        <v/>
      </c>
      <c r="G1255" t="str">
        <f t="shared" si="96"/>
        <v/>
      </c>
      <c r="H1255" t="str">
        <f t="shared" si="97"/>
        <v/>
      </c>
      <c r="I1255" t="str">
        <f t="shared" si="98"/>
        <v/>
      </c>
      <c r="J1255" t="str">
        <f t="shared" si="99"/>
        <v/>
      </c>
      <c r="K1255" t="str">
        <f>IF($A1255="","",IF(COUNTIF($B$2:$B1255,$B1255)=COUNTIF($B$2:$B$1601,$B1255),$B1255,""))</f>
        <v/>
      </c>
    </row>
    <row r="1256" spans="1:11">
      <c r="A1256" t="str">
        <f>IF('TMP Paste'!$E1256="","",'TMP Paste'!$E1256)</f>
        <v/>
      </c>
      <c r="B1256" t="str">
        <f>IF($A1256="","",COUNTIF('TMP Paste'!$B$2:$B1256,"?*"))</f>
        <v/>
      </c>
      <c r="C1256" t="str">
        <f>IF($A1256="","",IFERROR('TMP Paste'!$M1256*1,0))</f>
        <v/>
      </c>
      <c r="D1256" t="str">
        <f>IF($A1256="","",SUMIF($B$2:$B1256,$B1256,$C$2:$C1256))</f>
        <v/>
      </c>
      <c r="E1256">
        <f>IF($A1256="",0,IF('TMP Paste'!$B1256="",0,1))</f>
        <v>0</v>
      </c>
      <c r="F1256" t="str">
        <f t="shared" si="95"/>
        <v/>
      </c>
      <c r="G1256" t="str">
        <f t="shared" si="96"/>
        <v/>
      </c>
      <c r="H1256" t="str">
        <f t="shared" si="97"/>
        <v/>
      </c>
      <c r="I1256" t="str">
        <f t="shared" si="98"/>
        <v/>
      </c>
      <c r="J1256" t="str">
        <f t="shared" si="99"/>
        <v/>
      </c>
      <c r="K1256" t="str">
        <f>IF($A1256="","",IF(COUNTIF($B$2:$B1256,$B1256)=COUNTIF($B$2:$B$1601,$B1256),$B1256,""))</f>
        <v/>
      </c>
    </row>
    <row r="1257" spans="1:11">
      <c r="A1257" t="str">
        <f>IF('TMP Paste'!$E1257="","",'TMP Paste'!$E1257)</f>
        <v/>
      </c>
      <c r="B1257" t="str">
        <f>IF($A1257="","",COUNTIF('TMP Paste'!$B$2:$B1257,"?*"))</f>
        <v/>
      </c>
      <c r="C1257" t="str">
        <f>IF($A1257="","",IFERROR('TMP Paste'!$M1257*1,0))</f>
        <v/>
      </c>
      <c r="D1257" t="str">
        <f>IF($A1257="","",SUMIF($B$2:$B1257,$B1257,$C$2:$C1257))</f>
        <v/>
      </c>
      <c r="E1257">
        <f>IF($A1257="",0,IF('TMP Paste'!$B1257="",0,1))</f>
        <v>0</v>
      </c>
      <c r="F1257" t="str">
        <f t="shared" si="95"/>
        <v/>
      </c>
      <c r="G1257" t="str">
        <f t="shared" si="96"/>
        <v/>
      </c>
      <c r="H1257" t="str">
        <f t="shared" si="97"/>
        <v/>
      </c>
      <c r="I1257" t="str">
        <f t="shared" si="98"/>
        <v/>
      </c>
      <c r="J1257" t="str">
        <f t="shared" si="99"/>
        <v/>
      </c>
      <c r="K1257" t="str">
        <f>IF($A1257="","",IF(COUNTIF($B$2:$B1257,$B1257)=COUNTIF($B$2:$B$1601,$B1257),$B1257,""))</f>
        <v/>
      </c>
    </row>
    <row r="1258" spans="1:11">
      <c r="A1258" t="str">
        <f>IF('TMP Paste'!$E1258="","",'TMP Paste'!$E1258)</f>
        <v/>
      </c>
      <c r="B1258" t="str">
        <f>IF($A1258="","",COUNTIF('TMP Paste'!$B$2:$B1258,"?*"))</f>
        <v/>
      </c>
      <c r="C1258" t="str">
        <f>IF($A1258="","",IFERROR('TMP Paste'!$M1258*1,0))</f>
        <v/>
      </c>
      <c r="D1258" t="str">
        <f>IF($A1258="","",SUMIF($B$2:$B1258,$B1258,$C$2:$C1258))</f>
        <v/>
      </c>
      <c r="E1258">
        <f>IF($A1258="",0,IF('TMP Paste'!$B1258="",0,1))</f>
        <v>0</v>
      </c>
      <c r="F1258" t="str">
        <f t="shared" si="95"/>
        <v/>
      </c>
      <c r="G1258" t="str">
        <f t="shared" si="96"/>
        <v/>
      </c>
      <c r="H1258" t="str">
        <f t="shared" si="97"/>
        <v/>
      </c>
      <c r="I1258" t="str">
        <f t="shared" si="98"/>
        <v/>
      </c>
      <c r="J1258" t="str">
        <f t="shared" si="99"/>
        <v/>
      </c>
      <c r="K1258" t="str">
        <f>IF($A1258="","",IF(COUNTIF($B$2:$B1258,$B1258)=COUNTIF($B$2:$B$1601,$B1258),$B1258,""))</f>
        <v/>
      </c>
    </row>
    <row r="1259" spans="1:11">
      <c r="A1259" t="str">
        <f>IF('TMP Paste'!$E1259="","",'TMP Paste'!$E1259)</f>
        <v/>
      </c>
      <c r="B1259" t="str">
        <f>IF($A1259="","",COUNTIF('TMP Paste'!$B$2:$B1259,"?*"))</f>
        <v/>
      </c>
      <c r="C1259" t="str">
        <f>IF($A1259="","",IFERROR('TMP Paste'!$M1259*1,0))</f>
        <v/>
      </c>
      <c r="D1259" t="str">
        <f>IF($A1259="","",SUMIF($B$2:$B1259,$B1259,$C$2:$C1259))</f>
        <v/>
      </c>
      <c r="E1259">
        <f>IF($A1259="",0,IF('TMP Paste'!$B1259="",0,1))</f>
        <v>0</v>
      </c>
      <c r="F1259" t="str">
        <f t="shared" si="95"/>
        <v/>
      </c>
      <c r="G1259" t="str">
        <f t="shared" si="96"/>
        <v/>
      </c>
      <c r="H1259" t="str">
        <f t="shared" si="97"/>
        <v/>
      </c>
      <c r="I1259" t="str">
        <f t="shared" si="98"/>
        <v/>
      </c>
      <c r="J1259" t="str">
        <f t="shared" si="99"/>
        <v/>
      </c>
      <c r="K1259" t="str">
        <f>IF($A1259="","",IF(COUNTIF($B$2:$B1259,$B1259)=COUNTIF($B$2:$B$1601,$B1259),$B1259,""))</f>
        <v/>
      </c>
    </row>
    <row r="1260" spans="1:11">
      <c r="A1260" t="str">
        <f>IF('TMP Paste'!$E1260="","",'TMP Paste'!$E1260)</f>
        <v/>
      </c>
      <c r="B1260" t="str">
        <f>IF($A1260="","",COUNTIF('TMP Paste'!$B$2:$B1260,"?*"))</f>
        <v/>
      </c>
      <c r="C1260" t="str">
        <f>IF($A1260="","",IFERROR('TMP Paste'!$M1260*1,0))</f>
        <v/>
      </c>
      <c r="D1260" t="str">
        <f>IF($A1260="","",SUMIF($B$2:$B1260,$B1260,$C$2:$C1260))</f>
        <v/>
      </c>
      <c r="E1260">
        <f>IF($A1260="",0,IF('TMP Paste'!$B1260="",0,1))</f>
        <v>0</v>
      </c>
      <c r="F1260" t="str">
        <f t="shared" si="95"/>
        <v/>
      </c>
      <c r="G1260" t="str">
        <f t="shared" si="96"/>
        <v/>
      </c>
      <c r="H1260" t="str">
        <f t="shared" si="97"/>
        <v/>
      </c>
      <c r="I1260" t="str">
        <f t="shared" si="98"/>
        <v/>
      </c>
      <c r="J1260" t="str">
        <f t="shared" si="99"/>
        <v/>
      </c>
      <c r="K1260" t="str">
        <f>IF($A1260="","",IF(COUNTIF($B$2:$B1260,$B1260)=COUNTIF($B$2:$B$1601,$B1260),$B1260,""))</f>
        <v/>
      </c>
    </row>
    <row r="1261" spans="1:11">
      <c r="A1261" t="str">
        <f>IF('TMP Paste'!$E1261="","",'TMP Paste'!$E1261)</f>
        <v/>
      </c>
      <c r="B1261" t="str">
        <f>IF($A1261="","",COUNTIF('TMP Paste'!$B$2:$B1261,"?*"))</f>
        <v/>
      </c>
      <c r="C1261" t="str">
        <f>IF($A1261="","",IFERROR('TMP Paste'!$M1261*1,0))</f>
        <v/>
      </c>
      <c r="D1261" t="str">
        <f>IF($A1261="","",SUMIF($B$2:$B1261,$B1261,$C$2:$C1261))</f>
        <v/>
      </c>
      <c r="E1261">
        <f>IF($A1261="",0,IF('TMP Paste'!$B1261="",0,1))</f>
        <v>0</v>
      </c>
      <c r="F1261" t="str">
        <f t="shared" si="95"/>
        <v/>
      </c>
      <c r="G1261" t="str">
        <f t="shared" si="96"/>
        <v/>
      </c>
      <c r="H1261" t="str">
        <f t="shared" si="97"/>
        <v/>
      </c>
      <c r="I1261" t="str">
        <f t="shared" si="98"/>
        <v/>
      </c>
      <c r="J1261" t="str">
        <f t="shared" si="99"/>
        <v/>
      </c>
      <c r="K1261" t="str">
        <f>IF($A1261="","",IF(COUNTIF($B$2:$B1261,$B1261)=COUNTIF($B$2:$B$1601,$B1261),$B1261,""))</f>
        <v/>
      </c>
    </row>
    <row r="1262" spans="1:11">
      <c r="A1262" t="str">
        <f>IF('TMP Paste'!$E1262="","",'TMP Paste'!$E1262)</f>
        <v/>
      </c>
      <c r="B1262" t="str">
        <f>IF($A1262="","",COUNTIF('TMP Paste'!$B$2:$B1262,"?*"))</f>
        <v/>
      </c>
      <c r="C1262" t="str">
        <f>IF($A1262="","",IFERROR('TMP Paste'!$M1262*1,0))</f>
        <v/>
      </c>
      <c r="D1262" t="str">
        <f>IF($A1262="","",SUMIF($B$2:$B1262,$B1262,$C$2:$C1262))</f>
        <v/>
      </c>
      <c r="E1262">
        <f>IF($A1262="",0,IF('TMP Paste'!$B1262="",0,1))</f>
        <v>0</v>
      </c>
      <c r="F1262" t="str">
        <f t="shared" si="95"/>
        <v/>
      </c>
      <c r="G1262" t="str">
        <f t="shared" si="96"/>
        <v/>
      </c>
      <c r="H1262" t="str">
        <f t="shared" si="97"/>
        <v/>
      </c>
      <c r="I1262" t="str">
        <f t="shared" si="98"/>
        <v/>
      </c>
      <c r="J1262" t="str">
        <f t="shared" si="99"/>
        <v/>
      </c>
      <c r="K1262" t="str">
        <f>IF($A1262="","",IF(COUNTIF($B$2:$B1262,$B1262)=COUNTIF($B$2:$B$1601,$B1262),$B1262,""))</f>
        <v/>
      </c>
    </row>
    <row r="1263" spans="1:11">
      <c r="A1263" t="str">
        <f>IF('TMP Paste'!$E1263="","",'TMP Paste'!$E1263)</f>
        <v/>
      </c>
      <c r="B1263" t="str">
        <f>IF($A1263="","",COUNTIF('TMP Paste'!$B$2:$B1263,"?*"))</f>
        <v/>
      </c>
      <c r="C1263" t="str">
        <f>IF($A1263="","",IFERROR('TMP Paste'!$M1263*1,0))</f>
        <v/>
      </c>
      <c r="D1263" t="str">
        <f>IF($A1263="","",SUMIF($B$2:$B1263,$B1263,$C$2:$C1263))</f>
        <v/>
      </c>
      <c r="E1263">
        <f>IF($A1263="",0,IF('TMP Paste'!$B1263="",0,1))</f>
        <v>0</v>
      </c>
      <c r="F1263" t="str">
        <f t="shared" si="95"/>
        <v/>
      </c>
      <c r="G1263" t="str">
        <f t="shared" si="96"/>
        <v/>
      </c>
      <c r="H1263" t="str">
        <f t="shared" si="97"/>
        <v/>
      </c>
      <c r="I1263" t="str">
        <f t="shared" si="98"/>
        <v/>
      </c>
      <c r="J1263" t="str">
        <f t="shared" si="99"/>
        <v/>
      </c>
      <c r="K1263" t="str">
        <f>IF($A1263="","",IF(COUNTIF($B$2:$B1263,$B1263)=COUNTIF($B$2:$B$1601,$B1263),$B1263,""))</f>
        <v/>
      </c>
    </row>
    <row r="1264" spans="1:11">
      <c r="A1264" t="str">
        <f>IF('TMP Paste'!$E1264="","",'TMP Paste'!$E1264)</f>
        <v/>
      </c>
      <c r="B1264" t="str">
        <f>IF($A1264="","",COUNTIF('TMP Paste'!$B$2:$B1264,"?*"))</f>
        <v/>
      </c>
      <c r="C1264" t="str">
        <f>IF($A1264="","",IFERROR('TMP Paste'!$M1264*1,0))</f>
        <v/>
      </c>
      <c r="D1264" t="str">
        <f>IF($A1264="","",SUMIF($B$2:$B1264,$B1264,$C$2:$C1264))</f>
        <v/>
      </c>
      <c r="E1264">
        <f>IF($A1264="",0,IF('TMP Paste'!$B1264="",0,1))</f>
        <v>0</v>
      </c>
      <c r="F1264" t="str">
        <f t="shared" si="95"/>
        <v/>
      </c>
      <c r="G1264" t="str">
        <f t="shared" si="96"/>
        <v/>
      </c>
      <c r="H1264" t="str">
        <f t="shared" si="97"/>
        <v/>
      </c>
      <c r="I1264" t="str">
        <f t="shared" si="98"/>
        <v/>
      </c>
      <c r="J1264" t="str">
        <f t="shared" si="99"/>
        <v/>
      </c>
      <c r="K1264" t="str">
        <f>IF($A1264="","",IF(COUNTIF($B$2:$B1264,$B1264)=COUNTIF($B$2:$B$1601,$B1264),$B1264,""))</f>
        <v/>
      </c>
    </row>
    <row r="1265" spans="1:11">
      <c r="A1265" t="str">
        <f>IF('TMP Paste'!$E1265="","",'TMP Paste'!$E1265)</f>
        <v/>
      </c>
      <c r="B1265" t="str">
        <f>IF($A1265="","",COUNTIF('TMP Paste'!$B$2:$B1265,"?*"))</f>
        <v/>
      </c>
      <c r="C1265" t="str">
        <f>IF($A1265="","",IFERROR('TMP Paste'!$M1265*1,0))</f>
        <v/>
      </c>
      <c r="D1265" t="str">
        <f>IF($A1265="","",SUMIF($B$2:$B1265,$B1265,$C$2:$C1265))</f>
        <v/>
      </c>
      <c r="E1265">
        <f>IF($A1265="",0,IF('TMP Paste'!$B1265="",0,1))</f>
        <v>0</v>
      </c>
      <c r="F1265" t="str">
        <f t="shared" si="95"/>
        <v/>
      </c>
      <c r="G1265" t="str">
        <f t="shared" si="96"/>
        <v/>
      </c>
      <c r="H1265" t="str">
        <f t="shared" si="97"/>
        <v/>
      </c>
      <c r="I1265" t="str">
        <f t="shared" si="98"/>
        <v/>
      </c>
      <c r="J1265" t="str">
        <f t="shared" si="99"/>
        <v/>
      </c>
      <c r="K1265" t="str">
        <f>IF($A1265="","",IF(COUNTIF($B$2:$B1265,$B1265)=COUNTIF($B$2:$B$1601,$B1265),$B1265,""))</f>
        <v/>
      </c>
    </row>
    <row r="1266" spans="1:11">
      <c r="A1266" t="str">
        <f>IF('TMP Paste'!$E1266="","",'TMP Paste'!$E1266)</f>
        <v/>
      </c>
      <c r="B1266" t="str">
        <f>IF($A1266="","",COUNTIF('TMP Paste'!$B$2:$B1266,"?*"))</f>
        <v/>
      </c>
      <c r="C1266" t="str">
        <f>IF($A1266="","",IFERROR('TMP Paste'!$M1266*1,0))</f>
        <v/>
      </c>
      <c r="D1266" t="str">
        <f>IF($A1266="","",SUMIF($B$2:$B1266,$B1266,$C$2:$C1266))</f>
        <v/>
      </c>
      <c r="E1266">
        <f>IF($A1266="",0,IF('TMP Paste'!$B1266="",0,1))</f>
        <v>0</v>
      </c>
      <c r="F1266" t="str">
        <f t="shared" si="95"/>
        <v/>
      </c>
      <c r="G1266" t="str">
        <f t="shared" si="96"/>
        <v/>
      </c>
      <c r="H1266" t="str">
        <f t="shared" si="97"/>
        <v/>
      </c>
      <c r="I1266" t="str">
        <f t="shared" si="98"/>
        <v/>
      </c>
      <c r="J1266" t="str">
        <f t="shared" si="99"/>
        <v/>
      </c>
      <c r="K1266" t="str">
        <f>IF($A1266="","",IF(COUNTIF($B$2:$B1266,$B1266)=COUNTIF($B$2:$B$1601,$B1266),$B1266,""))</f>
        <v/>
      </c>
    </row>
    <row r="1267" spans="1:11">
      <c r="A1267" t="str">
        <f>IF('TMP Paste'!$E1267="","",'TMP Paste'!$E1267)</f>
        <v/>
      </c>
      <c r="B1267" t="str">
        <f>IF($A1267="","",COUNTIF('TMP Paste'!$B$2:$B1267,"?*"))</f>
        <v/>
      </c>
      <c r="C1267" t="str">
        <f>IF($A1267="","",IFERROR('TMP Paste'!$M1267*1,0))</f>
        <v/>
      </c>
      <c r="D1267" t="str">
        <f>IF($A1267="","",SUMIF($B$2:$B1267,$B1267,$C$2:$C1267))</f>
        <v/>
      </c>
      <c r="E1267">
        <f>IF($A1267="",0,IF('TMP Paste'!$B1267="",0,1))</f>
        <v>0</v>
      </c>
      <c r="F1267" t="str">
        <f t="shared" si="95"/>
        <v/>
      </c>
      <c r="G1267" t="str">
        <f t="shared" si="96"/>
        <v/>
      </c>
      <c r="H1267" t="str">
        <f t="shared" si="97"/>
        <v/>
      </c>
      <c r="I1267" t="str">
        <f t="shared" si="98"/>
        <v/>
      </c>
      <c r="J1267" t="str">
        <f t="shared" si="99"/>
        <v/>
      </c>
      <c r="K1267" t="str">
        <f>IF($A1267="","",IF(COUNTIF($B$2:$B1267,$B1267)=COUNTIF($B$2:$B$1601,$B1267),$B1267,""))</f>
        <v/>
      </c>
    </row>
    <row r="1268" spans="1:11">
      <c r="A1268" t="str">
        <f>IF('TMP Paste'!$E1268="","",'TMP Paste'!$E1268)</f>
        <v/>
      </c>
      <c r="B1268" t="str">
        <f>IF($A1268="","",COUNTIF('TMP Paste'!$B$2:$B1268,"?*"))</f>
        <v/>
      </c>
      <c r="C1268" t="str">
        <f>IF($A1268="","",IFERROR('TMP Paste'!$M1268*1,0))</f>
        <v/>
      </c>
      <c r="D1268" t="str">
        <f>IF($A1268="","",SUMIF($B$2:$B1268,$B1268,$C$2:$C1268))</f>
        <v/>
      </c>
      <c r="E1268">
        <f>IF($A1268="",0,IF('TMP Paste'!$B1268="",0,1))</f>
        <v>0</v>
      </c>
      <c r="F1268" t="str">
        <f t="shared" si="95"/>
        <v/>
      </c>
      <c r="G1268" t="str">
        <f t="shared" si="96"/>
        <v/>
      </c>
      <c r="H1268" t="str">
        <f t="shared" si="97"/>
        <v/>
      </c>
      <c r="I1268" t="str">
        <f t="shared" si="98"/>
        <v/>
      </c>
      <c r="J1268" t="str">
        <f t="shared" si="99"/>
        <v/>
      </c>
      <c r="K1268" t="str">
        <f>IF($A1268="","",IF(COUNTIF($B$2:$B1268,$B1268)=COUNTIF($B$2:$B$1601,$B1268),$B1268,""))</f>
        <v/>
      </c>
    </row>
    <row r="1269" spans="1:11">
      <c r="A1269" t="str">
        <f>IF('TMP Paste'!$E1269="","",'TMP Paste'!$E1269)</f>
        <v/>
      </c>
      <c r="B1269" t="str">
        <f>IF($A1269="","",COUNTIF('TMP Paste'!$B$2:$B1269,"?*"))</f>
        <v/>
      </c>
      <c r="C1269" t="str">
        <f>IF($A1269="","",IFERROR('TMP Paste'!$M1269*1,0))</f>
        <v/>
      </c>
      <c r="D1269" t="str">
        <f>IF($A1269="","",SUMIF($B$2:$B1269,$B1269,$C$2:$C1269))</f>
        <v/>
      </c>
      <c r="E1269">
        <f>IF($A1269="",0,IF('TMP Paste'!$B1269="",0,1))</f>
        <v>0</v>
      </c>
      <c r="F1269" t="str">
        <f t="shared" si="95"/>
        <v/>
      </c>
      <c r="G1269" t="str">
        <f t="shared" si="96"/>
        <v/>
      </c>
      <c r="H1269" t="str">
        <f t="shared" si="97"/>
        <v/>
      </c>
      <c r="I1269" t="str">
        <f t="shared" si="98"/>
        <v/>
      </c>
      <c r="J1269" t="str">
        <f t="shared" si="99"/>
        <v/>
      </c>
      <c r="K1269" t="str">
        <f>IF($A1269="","",IF(COUNTIF($B$2:$B1269,$B1269)=COUNTIF($B$2:$B$1601,$B1269),$B1269,""))</f>
        <v/>
      </c>
    </row>
    <row r="1270" spans="1:11">
      <c r="A1270" t="str">
        <f>IF('TMP Paste'!$E1270="","",'TMP Paste'!$E1270)</f>
        <v/>
      </c>
      <c r="B1270" t="str">
        <f>IF($A1270="","",COUNTIF('TMP Paste'!$B$2:$B1270,"?*"))</f>
        <v/>
      </c>
      <c r="C1270" t="str">
        <f>IF($A1270="","",IFERROR('TMP Paste'!$M1270*1,0))</f>
        <v/>
      </c>
      <c r="D1270" t="str">
        <f>IF($A1270="","",SUMIF($B$2:$B1270,$B1270,$C$2:$C1270))</f>
        <v/>
      </c>
      <c r="E1270">
        <f>IF($A1270="",0,IF('TMP Paste'!$B1270="",0,1))</f>
        <v>0</v>
      </c>
      <c r="F1270" t="str">
        <f t="shared" si="95"/>
        <v/>
      </c>
      <c r="G1270" t="str">
        <f t="shared" si="96"/>
        <v/>
      </c>
      <c r="H1270" t="str">
        <f t="shared" si="97"/>
        <v/>
      </c>
      <c r="I1270" t="str">
        <f t="shared" si="98"/>
        <v/>
      </c>
      <c r="J1270" t="str">
        <f t="shared" si="99"/>
        <v/>
      </c>
      <c r="K1270" t="str">
        <f>IF($A1270="","",IF(COUNTIF($B$2:$B1270,$B1270)=COUNTIF($B$2:$B$1601,$B1270),$B1270,""))</f>
        <v/>
      </c>
    </row>
    <row r="1271" spans="1:11">
      <c r="A1271" t="str">
        <f>IF('TMP Paste'!$E1271="","",'TMP Paste'!$E1271)</f>
        <v/>
      </c>
      <c r="B1271" t="str">
        <f>IF($A1271="","",COUNTIF('TMP Paste'!$B$2:$B1271,"?*"))</f>
        <v/>
      </c>
      <c r="C1271" t="str">
        <f>IF($A1271="","",IFERROR('TMP Paste'!$M1271*1,0))</f>
        <v/>
      </c>
      <c r="D1271" t="str">
        <f>IF($A1271="","",SUMIF($B$2:$B1271,$B1271,$C$2:$C1271))</f>
        <v/>
      </c>
      <c r="E1271">
        <f>IF($A1271="",0,IF('TMP Paste'!$B1271="",0,1))</f>
        <v>0</v>
      </c>
      <c r="F1271" t="str">
        <f t="shared" si="95"/>
        <v/>
      </c>
      <c r="G1271" t="str">
        <f t="shared" si="96"/>
        <v/>
      </c>
      <c r="H1271" t="str">
        <f t="shared" si="97"/>
        <v/>
      </c>
      <c r="I1271" t="str">
        <f t="shared" si="98"/>
        <v/>
      </c>
      <c r="J1271" t="str">
        <f t="shared" si="99"/>
        <v/>
      </c>
      <c r="K1271" t="str">
        <f>IF($A1271="","",IF(COUNTIF($B$2:$B1271,$B1271)=COUNTIF($B$2:$B$1601,$B1271),$B1271,""))</f>
        <v/>
      </c>
    </row>
    <row r="1272" spans="1:11">
      <c r="A1272" t="str">
        <f>IF('TMP Paste'!$E1272="","",'TMP Paste'!$E1272)</f>
        <v/>
      </c>
      <c r="B1272" t="str">
        <f>IF($A1272="","",COUNTIF('TMP Paste'!$B$2:$B1272,"?*"))</f>
        <v/>
      </c>
      <c r="C1272" t="str">
        <f>IF($A1272="","",IFERROR('TMP Paste'!$M1272*1,0))</f>
        <v/>
      </c>
      <c r="D1272" t="str">
        <f>IF($A1272="","",SUMIF($B$2:$B1272,$B1272,$C$2:$C1272))</f>
        <v/>
      </c>
      <c r="E1272">
        <f>IF($A1272="",0,IF('TMP Paste'!$B1272="",0,1))</f>
        <v>0</v>
      </c>
      <c r="F1272" t="str">
        <f t="shared" si="95"/>
        <v/>
      </c>
      <c r="G1272" t="str">
        <f t="shared" si="96"/>
        <v/>
      </c>
      <c r="H1272" t="str">
        <f t="shared" si="97"/>
        <v/>
      </c>
      <c r="I1272" t="str">
        <f t="shared" si="98"/>
        <v/>
      </c>
      <c r="J1272" t="str">
        <f t="shared" si="99"/>
        <v/>
      </c>
      <c r="K1272" t="str">
        <f>IF($A1272="","",IF(COUNTIF($B$2:$B1272,$B1272)=COUNTIF($B$2:$B$1601,$B1272),$B1272,""))</f>
        <v/>
      </c>
    </row>
    <row r="1273" spans="1:11">
      <c r="A1273" t="str">
        <f>IF('TMP Paste'!$E1273="","",'TMP Paste'!$E1273)</f>
        <v/>
      </c>
      <c r="B1273" t="str">
        <f>IF($A1273="","",COUNTIF('TMP Paste'!$B$2:$B1273,"?*"))</f>
        <v/>
      </c>
      <c r="C1273" t="str">
        <f>IF($A1273="","",IFERROR('TMP Paste'!$M1273*1,0))</f>
        <v/>
      </c>
      <c r="D1273" t="str">
        <f>IF($A1273="","",SUMIF($B$2:$B1273,$B1273,$C$2:$C1273))</f>
        <v/>
      </c>
      <c r="E1273">
        <f>IF($A1273="",0,IF('TMP Paste'!$B1273="",0,1))</f>
        <v>0</v>
      </c>
      <c r="F1273" t="str">
        <f t="shared" si="95"/>
        <v/>
      </c>
      <c r="G1273" t="str">
        <f t="shared" si="96"/>
        <v/>
      </c>
      <c r="H1273" t="str">
        <f t="shared" si="97"/>
        <v/>
      </c>
      <c r="I1273" t="str">
        <f t="shared" si="98"/>
        <v/>
      </c>
      <c r="J1273" t="str">
        <f t="shared" si="99"/>
        <v/>
      </c>
      <c r="K1273" t="str">
        <f>IF($A1273="","",IF(COUNTIF($B$2:$B1273,$B1273)=COUNTIF($B$2:$B$1601,$B1273),$B1273,""))</f>
        <v/>
      </c>
    </row>
    <row r="1274" spans="1:11">
      <c r="A1274" t="str">
        <f>IF('TMP Paste'!$E1274="","",'TMP Paste'!$E1274)</f>
        <v/>
      </c>
      <c r="B1274" t="str">
        <f>IF($A1274="","",COUNTIF('TMP Paste'!$B$2:$B1274,"?*"))</f>
        <v/>
      </c>
      <c r="C1274" t="str">
        <f>IF($A1274="","",IFERROR('TMP Paste'!$M1274*1,0))</f>
        <v/>
      </c>
      <c r="D1274" t="str">
        <f>IF($A1274="","",SUMIF($B$2:$B1274,$B1274,$C$2:$C1274))</f>
        <v/>
      </c>
      <c r="E1274">
        <f>IF($A1274="",0,IF('TMP Paste'!$B1274="",0,1))</f>
        <v>0</v>
      </c>
      <c r="F1274" t="str">
        <f t="shared" si="95"/>
        <v/>
      </c>
      <c r="G1274" t="str">
        <f t="shared" si="96"/>
        <v/>
      </c>
      <c r="H1274" t="str">
        <f t="shared" si="97"/>
        <v/>
      </c>
      <c r="I1274" t="str">
        <f t="shared" si="98"/>
        <v/>
      </c>
      <c r="J1274" t="str">
        <f t="shared" si="99"/>
        <v/>
      </c>
      <c r="K1274" t="str">
        <f>IF($A1274="","",IF(COUNTIF($B$2:$B1274,$B1274)=COUNTIF($B$2:$B$1601,$B1274),$B1274,""))</f>
        <v/>
      </c>
    </row>
    <row r="1275" spans="1:11">
      <c r="A1275" t="str">
        <f>IF('TMP Paste'!$E1275="","",'TMP Paste'!$E1275)</f>
        <v/>
      </c>
      <c r="B1275" t="str">
        <f>IF($A1275="","",COUNTIF('TMP Paste'!$B$2:$B1275,"?*"))</f>
        <v/>
      </c>
      <c r="C1275" t="str">
        <f>IF($A1275="","",IFERROR('TMP Paste'!$M1275*1,0))</f>
        <v/>
      </c>
      <c r="D1275" t="str">
        <f>IF($A1275="","",SUMIF($B$2:$B1275,$B1275,$C$2:$C1275))</f>
        <v/>
      </c>
      <c r="E1275">
        <f>IF($A1275="",0,IF('TMP Paste'!$B1275="",0,1))</f>
        <v>0</v>
      </c>
      <c r="F1275" t="str">
        <f t="shared" si="95"/>
        <v/>
      </c>
      <c r="G1275" t="str">
        <f t="shared" si="96"/>
        <v/>
      </c>
      <c r="H1275" t="str">
        <f t="shared" si="97"/>
        <v/>
      </c>
      <c r="I1275" t="str">
        <f t="shared" si="98"/>
        <v/>
      </c>
      <c r="J1275" t="str">
        <f t="shared" si="99"/>
        <v/>
      </c>
      <c r="K1275" t="str">
        <f>IF($A1275="","",IF(COUNTIF($B$2:$B1275,$B1275)=COUNTIF($B$2:$B$1601,$B1275),$B1275,""))</f>
        <v/>
      </c>
    </row>
    <row r="1276" spans="1:11">
      <c r="A1276" t="str">
        <f>IF('TMP Paste'!$E1276="","",'TMP Paste'!$E1276)</f>
        <v/>
      </c>
      <c r="B1276" t="str">
        <f>IF($A1276="","",COUNTIF('TMP Paste'!$B$2:$B1276,"?*"))</f>
        <v/>
      </c>
      <c r="C1276" t="str">
        <f>IF($A1276="","",IFERROR('TMP Paste'!$M1276*1,0))</f>
        <v/>
      </c>
      <c r="D1276" t="str">
        <f>IF($A1276="","",SUMIF($B$2:$B1276,$B1276,$C$2:$C1276))</f>
        <v/>
      </c>
      <c r="E1276">
        <f>IF($A1276="",0,IF('TMP Paste'!$B1276="",0,1))</f>
        <v>0</v>
      </c>
      <c r="F1276" t="str">
        <f t="shared" si="95"/>
        <v/>
      </c>
      <c r="G1276" t="str">
        <f t="shared" si="96"/>
        <v/>
      </c>
      <c r="H1276" t="str">
        <f t="shared" si="97"/>
        <v/>
      </c>
      <c r="I1276" t="str">
        <f t="shared" si="98"/>
        <v/>
      </c>
      <c r="J1276" t="str">
        <f t="shared" si="99"/>
        <v/>
      </c>
      <c r="K1276" t="str">
        <f>IF($A1276="","",IF(COUNTIF($B$2:$B1276,$B1276)=COUNTIF($B$2:$B$1601,$B1276),$B1276,""))</f>
        <v/>
      </c>
    </row>
    <row r="1277" spans="1:11">
      <c r="A1277" t="str">
        <f>IF('TMP Paste'!$E1277="","",'TMP Paste'!$E1277)</f>
        <v/>
      </c>
      <c r="B1277" t="str">
        <f>IF($A1277="","",COUNTIF('TMP Paste'!$B$2:$B1277,"?*"))</f>
        <v/>
      </c>
      <c r="C1277" t="str">
        <f>IF($A1277="","",IFERROR('TMP Paste'!$M1277*1,0))</f>
        <v/>
      </c>
      <c r="D1277" t="str">
        <f>IF($A1277="","",SUMIF($B$2:$B1277,$B1277,$C$2:$C1277))</f>
        <v/>
      </c>
      <c r="E1277">
        <f>IF($A1277="",0,IF('TMP Paste'!$B1277="",0,1))</f>
        <v>0</v>
      </c>
      <c r="F1277" t="str">
        <f t="shared" si="95"/>
        <v/>
      </c>
      <c r="G1277" t="str">
        <f t="shared" si="96"/>
        <v/>
      </c>
      <c r="H1277" t="str">
        <f t="shared" si="97"/>
        <v/>
      </c>
      <c r="I1277" t="str">
        <f t="shared" si="98"/>
        <v/>
      </c>
      <c r="J1277" t="str">
        <f t="shared" si="99"/>
        <v/>
      </c>
      <c r="K1277" t="str">
        <f>IF($A1277="","",IF(COUNTIF($B$2:$B1277,$B1277)=COUNTIF($B$2:$B$1601,$B1277),$B1277,""))</f>
        <v/>
      </c>
    </row>
    <row r="1278" spans="1:11">
      <c r="A1278" t="str">
        <f>IF('TMP Paste'!$E1278="","",'TMP Paste'!$E1278)</f>
        <v/>
      </c>
      <c r="B1278" t="str">
        <f>IF($A1278="","",COUNTIF('TMP Paste'!$B$2:$B1278,"?*"))</f>
        <v/>
      </c>
      <c r="C1278" t="str">
        <f>IF($A1278="","",IFERROR('TMP Paste'!$M1278*1,0))</f>
        <v/>
      </c>
      <c r="D1278" t="str">
        <f>IF($A1278="","",SUMIF($B$2:$B1278,$B1278,$C$2:$C1278))</f>
        <v/>
      </c>
      <c r="E1278">
        <f>IF($A1278="",0,IF('TMP Paste'!$B1278="",0,1))</f>
        <v>0</v>
      </c>
      <c r="F1278" t="str">
        <f t="shared" si="95"/>
        <v/>
      </c>
      <c r="G1278" t="str">
        <f t="shared" si="96"/>
        <v/>
      </c>
      <c r="H1278" t="str">
        <f t="shared" si="97"/>
        <v/>
      </c>
      <c r="I1278" t="str">
        <f t="shared" si="98"/>
        <v/>
      </c>
      <c r="J1278" t="str">
        <f t="shared" si="99"/>
        <v/>
      </c>
      <c r="K1278" t="str">
        <f>IF($A1278="","",IF(COUNTIF($B$2:$B1278,$B1278)=COUNTIF($B$2:$B$1601,$B1278),$B1278,""))</f>
        <v/>
      </c>
    </row>
    <row r="1279" spans="1:11">
      <c r="A1279" t="str">
        <f>IF('TMP Paste'!$E1279="","",'TMP Paste'!$E1279)</f>
        <v/>
      </c>
      <c r="B1279" t="str">
        <f>IF($A1279="","",COUNTIF('TMP Paste'!$B$2:$B1279,"?*"))</f>
        <v/>
      </c>
      <c r="C1279" t="str">
        <f>IF($A1279="","",IFERROR('TMP Paste'!$M1279*1,0))</f>
        <v/>
      </c>
      <c r="D1279" t="str">
        <f>IF($A1279="","",SUMIF($B$2:$B1279,$B1279,$C$2:$C1279))</f>
        <v/>
      </c>
      <c r="E1279">
        <f>IF($A1279="",0,IF('TMP Paste'!$B1279="",0,1))</f>
        <v>0</v>
      </c>
      <c r="F1279" t="str">
        <f t="shared" si="95"/>
        <v/>
      </c>
      <c r="G1279" t="str">
        <f t="shared" si="96"/>
        <v/>
      </c>
      <c r="H1279" t="str">
        <f t="shared" si="97"/>
        <v/>
      </c>
      <c r="I1279" t="str">
        <f t="shared" si="98"/>
        <v/>
      </c>
      <c r="J1279" t="str">
        <f t="shared" si="99"/>
        <v/>
      </c>
      <c r="K1279" t="str">
        <f>IF($A1279="","",IF(COUNTIF($B$2:$B1279,$B1279)=COUNTIF($B$2:$B$1601,$B1279),$B1279,""))</f>
        <v/>
      </c>
    </row>
    <row r="1280" spans="1:11">
      <c r="A1280" t="str">
        <f>IF('TMP Paste'!$E1280="","",'TMP Paste'!$E1280)</f>
        <v/>
      </c>
      <c r="B1280" t="str">
        <f>IF($A1280="","",COUNTIF('TMP Paste'!$B$2:$B1280,"?*"))</f>
        <v/>
      </c>
      <c r="C1280" t="str">
        <f>IF($A1280="","",IFERROR('TMP Paste'!$M1280*1,0))</f>
        <v/>
      </c>
      <c r="D1280" t="str">
        <f>IF($A1280="","",SUMIF($B$2:$B1280,$B1280,$C$2:$C1280))</f>
        <v/>
      </c>
      <c r="E1280">
        <f>IF($A1280="",0,IF('TMP Paste'!$B1280="",0,1))</f>
        <v>0</v>
      </c>
      <c r="F1280" t="str">
        <f t="shared" si="95"/>
        <v/>
      </c>
      <c r="G1280" t="str">
        <f t="shared" si="96"/>
        <v/>
      </c>
      <c r="H1280" t="str">
        <f t="shared" si="97"/>
        <v/>
      </c>
      <c r="I1280" t="str">
        <f t="shared" si="98"/>
        <v/>
      </c>
      <c r="J1280" t="str">
        <f t="shared" si="99"/>
        <v/>
      </c>
      <c r="K1280" t="str">
        <f>IF($A1280="","",IF(COUNTIF($B$2:$B1280,$B1280)=COUNTIF($B$2:$B$1601,$B1280),$B1280,""))</f>
        <v/>
      </c>
    </row>
    <row r="1281" spans="1:11">
      <c r="A1281" t="str">
        <f>IF('TMP Paste'!$E1281="","",'TMP Paste'!$E1281)</f>
        <v/>
      </c>
      <c r="B1281" t="str">
        <f>IF($A1281="","",COUNTIF('TMP Paste'!$B$2:$B1281,"?*"))</f>
        <v/>
      </c>
      <c r="C1281" t="str">
        <f>IF($A1281="","",IFERROR('TMP Paste'!$M1281*1,0))</f>
        <v/>
      </c>
      <c r="D1281" t="str">
        <f>IF($A1281="","",SUMIF($B$2:$B1281,$B1281,$C$2:$C1281))</f>
        <v/>
      </c>
      <c r="E1281">
        <f>IF($A1281="",0,IF('TMP Paste'!$B1281="",0,1))</f>
        <v>0</v>
      </c>
      <c r="F1281" t="str">
        <f t="shared" si="95"/>
        <v/>
      </c>
      <c r="G1281" t="str">
        <f t="shared" si="96"/>
        <v/>
      </c>
      <c r="H1281" t="str">
        <f t="shared" si="97"/>
        <v/>
      </c>
      <c r="I1281" t="str">
        <f t="shared" si="98"/>
        <v/>
      </c>
      <c r="J1281" t="str">
        <f t="shared" si="99"/>
        <v/>
      </c>
      <c r="K1281" t="str">
        <f>IF($A1281="","",IF(COUNTIF($B$2:$B1281,$B1281)=COUNTIF($B$2:$B$1601,$B1281),$B1281,""))</f>
        <v/>
      </c>
    </row>
    <row r="1282" spans="1:11">
      <c r="A1282" t="str">
        <f>IF('TMP Paste'!$E1282="","",'TMP Paste'!$E1282)</f>
        <v/>
      </c>
      <c r="B1282" t="str">
        <f>IF($A1282="","",COUNTIF('TMP Paste'!$B$2:$B1282,"?*"))</f>
        <v/>
      </c>
      <c r="C1282" t="str">
        <f>IF($A1282="","",IFERROR('TMP Paste'!$M1282*1,0))</f>
        <v/>
      </c>
      <c r="D1282" t="str">
        <f>IF($A1282="","",SUMIF($B$2:$B1282,$B1282,$C$2:$C1282))</f>
        <v/>
      </c>
      <c r="E1282">
        <f>IF($A1282="",0,IF('TMP Paste'!$B1282="",0,1))</f>
        <v>0</v>
      </c>
      <c r="F1282" t="str">
        <f t="shared" ref="F1282:F1345" si="100">IF(OR($A1282="",$C1282&lt;1),"",$A1282&amp;"-"&amp;TEXT(($D1282-$C1282+1),"00")&amp;IF($C1282&gt;=2,", "&amp;$A1282&amp;"-"&amp;TEXT(($D1282-$C1282+1)+1,"00"),"")&amp;IF($C1282&gt;=3,", "&amp;$A1282&amp;"-"&amp;TEXT(($D1282-$C1282+1)+2,"00"),"")&amp;IF($C1282&gt;=4,", "&amp;$A1282&amp;"-"&amp;TEXT(($D1282-$C1282+1)+3,"00"),"")&amp;IF($C1282&gt;=5,", "&amp;$A1282&amp;"-"&amp;TEXT(($D1282-$C1282+1)+4,"00"),"")&amp;IF($C1282&gt;=6,", "&amp;$A1282&amp;"-"&amp;TEXT(($D1282-$C1282+1)+5,"00"),"")&amp;IF($C1282&gt;=7,", "&amp;$A1282&amp;"-"&amp;TEXT(($D1282-$C1282+1)+6,"00"),"")&amp;IF($C1282&gt;=8,", "&amp;$A1282&amp;"-"&amp;TEXT(($D1282-$C1282+1)+7,"00"),"")&amp;IF($C1282&gt;=9,", "&amp;$A1282&amp;"-"&amp;TEXT(($D1282-$C1282+1)+8,"00"),"")&amp;IF($C1282&gt;=10,", "&amp;$A1282&amp;"-"&amp;TEXT(($D1282-$C1282+1)+9,"00"),"")&amp;IF($C1282&gt;=11,", "&amp;$A1282&amp;"-"&amp;TEXT(($D1282-$C1282+1)+10,"00"),"")&amp;IF($C1282&gt;=12,", "&amp;$A1282&amp;"-"&amp;TEXT(($D1282-$C1282+1)+11,"00"),"")&amp;IF($C1282&gt;=13,", "&amp;$A1282&amp;"-"&amp;TEXT(($D1282-$C1282+1)+12,"00"),"")&amp;IF($C1282&gt;=14,", "&amp;$A1282&amp;"-"&amp;TEXT(($D1282-$C1282+1)+13,"00"),"")&amp;IF($C1282&gt;=15,", "&amp;$A1282&amp;"-"&amp;TEXT(($D1282-$C1282+1)+14,"00"),"")&amp;IF($C1282&gt;=16,", "&amp;$A1282&amp;"-"&amp;TEXT(($D1282-$C1282+1)+15,"00"),"")&amp;IF($C1282&gt;=17,", "&amp;$A1282&amp;"-"&amp;TEXT(($D1282-$C1282+1)+16,"00"),"")&amp;IF($C1282&gt;=18,", "&amp;$A1282&amp;"-"&amp;TEXT(($D1282-$C1282+1)+17,"00"),"")&amp;IF($C1282&gt;=19,", "&amp;$A1282&amp;"-"&amp;TEXT(($D1282-$C1282+1)+18,"00"),"")&amp;IF($C1282&gt;=20,", "&amp;$A1282&amp;"-"&amp;TEXT(($D1282-$C1282+1)+19,"00"),"")&amp;IF($C1282&gt;=21,", "&amp;$A1282&amp;"-"&amp;TEXT(($D1282-$C1282+1)+20,"00"),"")&amp;IF($C1282&gt;=22,", "&amp;$A1282&amp;"-"&amp;TEXT(($D1282-$C1282+1)+21,"00"),"")&amp;IF($C1282&gt;=23,", "&amp;$A1282&amp;"-"&amp;TEXT(($D1282-$C1282+1)+22,"00"),"")&amp;IF($C1282&gt;=24,", "&amp;$A1282&amp;"-"&amp;TEXT(($D1282-$C1282+1)+23,"00"),"")&amp;IF($C1282&gt;=25,", "&amp;$A1282&amp;"-"&amp;TEXT(($D1282-$C1282+1)+24,"00"),""))</f>
        <v/>
      </c>
      <c r="G1282" t="str">
        <f t="shared" ref="G1282:G1345" si="101">IF($A1282="","",IF($E1282=1,$F1282,IF($F1282="",$G1281,IF($G1281="",$F1282,$G1281&amp;", "&amp;$F1282))))</f>
        <v/>
      </c>
      <c r="H1282" t="str">
        <f t="shared" ref="H1282:H1345" si="102">IF($A1282="","",$A1282&amp;" ("&amp;$C1282&amp;")")</f>
        <v/>
      </c>
      <c r="I1282" t="str">
        <f t="shared" ref="I1282:I1345" si="103">IF($A1282="","",IF($E1282=1,$H1282,$I1281&amp;", "&amp;$H1282))</f>
        <v/>
      </c>
      <c r="J1282" t="str">
        <f t="shared" ref="J1282:J1345" si="104">IF($A1282="","",IF($E1282=1,$B1282,""))</f>
        <v/>
      </c>
      <c r="K1282" t="str">
        <f>IF($A1282="","",IF(COUNTIF($B$2:$B1282,$B1282)=COUNTIF($B$2:$B$1601,$B1282),$B1282,""))</f>
        <v/>
      </c>
    </row>
    <row r="1283" spans="1:11">
      <c r="A1283" t="str">
        <f>IF('TMP Paste'!$E1283="","",'TMP Paste'!$E1283)</f>
        <v/>
      </c>
      <c r="B1283" t="str">
        <f>IF($A1283="","",COUNTIF('TMP Paste'!$B$2:$B1283,"?*"))</f>
        <v/>
      </c>
      <c r="C1283" t="str">
        <f>IF($A1283="","",IFERROR('TMP Paste'!$M1283*1,0))</f>
        <v/>
      </c>
      <c r="D1283" t="str">
        <f>IF($A1283="","",SUMIF($B$2:$B1283,$B1283,$C$2:$C1283))</f>
        <v/>
      </c>
      <c r="E1283">
        <f>IF($A1283="",0,IF('TMP Paste'!$B1283="",0,1))</f>
        <v>0</v>
      </c>
      <c r="F1283" t="str">
        <f t="shared" si="100"/>
        <v/>
      </c>
      <c r="G1283" t="str">
        <f t="shared" si="101"/>
        <v/>
      </c>
      <c r="H1283" t="str">
        <f t="shared" si="102"/>
        <v/>
      </c>
      <c r="I1283" t="str">
        <f t="shared" si="103"/>
        <v/>
      </c>
      <c r="J1283" t="str">
        <f t="shared" si="104"/>
        <v/>
      </c>
      <c r="K1283" t="str">
        <f>IF($A1283="","",IF(COUNTIF($B$2:$B1283,$B1283)=COUNTIF($B$2:$B$1601,$B1283),$B1283,""))</f>
        <v/>
      </c>
    </row>
    <row r="1284" spans="1:11">
      <c r="A1284" t="str">
        <f>IF('TMP Paste'!$E1284="","",'TMP Paste'!$E1284)</f>
        <v/>
      </c>
      <c r="B1284" t="str">
        <f>IF($A1284="","",COUNTIF('TMP Paste'!$B$2:$B1284,"?*"))</f>
        <v/>
      </c>
      <c r="C1284" t="str">
        <f>IF($A1284="","",IFERROR('TMP Paste'!$M1284*1,0))</f>
        <v/>
      </c>
      <c r="D1284" t="str">
        <f>IF($A1284="","",SUMIF($B$2:$B1284,$B1284,$C$2:$C1284))</f>
        <v/>
      </c>
      <c r="E1284">
        <f>IF($A1284="",0,IF('TMP Paste'!$B1284="",0,1))</f>
        <v>0</v>
      </c>
      <c r="F1284" t="str">
        <f t="shared" si="100"/>
        <v/>
      </c>
      <c r="G1284" t="str">
        <f t="shared" si="101"/>
        <v/>
      </c>
      <c r="H1284" t="str">
        <f t="shared" si="102"/>
        <v/>
      </c>
      <c r="I1284" t="str">
        <f t="shared" si="103"/>
        <v/>
      </c>
      <c r="J1284" t="str">
        <f t="shared" si="104"/>
        <v/>
      </c>
      <c r="K1284" t="str">
        <f>IF($A1284="","",IF(COUNTIF($B$2:$B1284,$B1284)=COUNTIF($B$2:$B$1601,$B1284),$B1284,""))</f>
        <v/>
      </c>
    </row>
    <row r="1285" spans="1:11">
      <c r="A1285" t="str">
        <f>IF('TMP Paste'!$E1285="","",'TMP Paste'!$E1285)</f>
        <v/>
      </c>
      <c r="B1285" t="str">
        <f>IF($A1285="","",COUNTIF('TMP Paste'!$B$2:$B1285,"?*"))</f>
        <v/>
      </c>
      <c r="C1285" t="str">
        <f>IF($A1285="","",IFERROR('TMP Paste'!$M1285*1,0))</f>
        <v/>
      </c>
      <c r="D1285" t="str">
        <f>IF($A1285="","",SUMIF($B$2:$B1285,$B1285,$C$2:$C1285))</f>
        <v/>
      </c>
      <c r="E1285">
        <f>IF($A1285="",0,IF('TMP Paste'!$B1285="",0,1))</f>
        <v>0</v>
      </c>
      <c r="F1285" t="str">
        <f t="shared" si="100"/>
        <v/>
      </c>
      <c r="G1285" t="str">
        <f t="shared" si="101"/>
        <v/>
      </c>
      <c r="H1285" t="str">
        <f t="shared" si="102"/>
        <v/>
      </c>
      <c r="I1285" t="str">
        <f t="shared" si="103"/>
        <v/>
      </c>
      <c r="J1285" t="str">
        <f t="shared" si="104"/>
        <v/>
      </c>
      <c r="K1285" t="str">
        <f>IF($A1285="","",IF(COUNTIF($B$2:$B1285,$B1285)=COUNTIF($B$2:$B$1601,$B1285),$B1285,""))</f>
        <v/>
      </c>
    </row>
    <row r="1286" spans="1:11">
      <c r="A1286" t="str">
        <f>IF('TMP Paste'!$E1286="","",'TMP Paste'!$E1286)</f>
        <v/>
      </c>
      <c r="B1286" t="str">
        <f>IF($A1286="","",COUNTIF('TMP Paste'!$B$2:$B1286,"?*"))</f>
        <v/>
      </c>
      <c r="C1286" t="str">
        <f>IF($A1286="","",IFERROR('TMP Paste'!$M1286*1,0))</f>
        <v/>
      </c>
      <c r="D1286" t="str">
        <f>IF($A1286="","",SUMIF($B$2:$B1286,$B1286,$C$2:$C1286))</f>
        <v/>
      </c>
      <c r="E1286">
        <f>IF($A1286="",0,IF('TMP Paste'!$B1286="",0,1))</f>
        <v>0</v>
      </c>
      <c r="F1286" t="str">
        <f t="shared" si="100"/>
        <v/>
      </c>
      <c r="G1286" t="str">
        <f t="shared" si="101"/>
        <v/>
      </c>
      <c r="H1286" t="str">
        <f t="shared" si="102"/>
        <v/>
      </c>
      <c r="I1286" t="str">
        <f t="shared" si="103"/>
        <v/>
      </c>
      <c r="J1286" t="str">
        <f t="shared" si="104"/>
        <v/>
      </c>
      <c r="K1286" t="str">
        <f>IF($A1286="","",IF(COUNTIF($B$2:$B1286,$B1286)=COUNTIF($B$2:$B$1601,$B1286),$B1286,""))</f>
        <v/>
      </c>
    </row>
    <row r="1287" spans="1:11">
      <c r="A1287" t="str">
        <f>IF('TMP Paste'!$E1287="","",'TMP Paste'!$E1287)</f>
        <v/>
      </c>
      <c r="B1287" t="str">
        <f>IF($A1287="","",COUNTIF('TMP Paste'!$B$2:$B1287,"?*"))</f>
        <v/>
      </c>
      <c r="C1287" t="str">
        <f>IF($A1287="","",IFERROR('TMP Paste'!$M1287*1,0))</f>
        <v/>
      </c>
      <c r="D1287" t="str">
        <f>IF($A1287="","",SUMIF($B$2:$B1287,$B1287,$C$2:$C1287))</f>
        <v/>
      </c>
      <c r="E1287">
        <f>IF($A1287="",0,IF('TMP Paste'!$B1287="",0,1))</f>
        <v>0</v>
      </c>
      <c r="F1287" t="str">
        <f t="shared" si="100"/>
        <v/>
      </c>
      <c r="G1287" t="str">
        <f t="shared" si="101"/>
        <v/>
      </c>
      <c r="H1287" t="str">
        <f t="shared" si="102"/>
        <v/>
      </c>
      <c r="I1287" t="str">
        <f t="shared" si="103"/>
        <v/>
      </c>
      <c r="J1287" t="str">
        <f t="shared" si="104"/>
        <v/>
      </c>
      <c r="K1287" t="str">
        <f>IF($A1287="","",IF(COUNTIF($B$2:$B1287,$B1287)=COUNTIF($B$2:$B$1601,$B1287),$B1287,""))</f>
        <v/>
      </c>
    </row>
    <row r="1288" spans="1:11">
      <c r="A1288" t="str">
        <f>IF('TMP Paste'!$E1288="","",'TMP Paste'!$E1288)</f>
        <v/>
      </c>
      <c r="B1288" t="str">
        <f>IF($A1288="","",COUNTIF('TMP Paste'!$B$2:$B1288,"?*"))</f>
        <v/>
      </c>
      <c r="C1288" t="str">
        <f>IF($A1288="","",IFERROR('TMP Paste'!$M1288*1,0))</f>
        <v/>
      </c>
      <c r="D1288" t="str">
        <f>IF($A1288="","",SUMIF($B$2:$B1288,$B1288,$C$2:$C1288))</f>
        <v/>
      </c>
      <c r="E1288">
        <f>IF($A1288="",0,IF('TMP Paste'!$B1288="",0,1))</f>
        <v>0</v>
      </c>
      <c r="F1288" t="str">
        <f t="shared" si="100"/>
        <v/>
      </c>
      <c r="G1288" t="str">
        <f t="shared" si="101"/>
        <v/>
      </c>
      <c r="H1288" t="str">
        <f t="shared" si="102"/>
        <v/>
      </c>
      <c r="I1288" t="str">
        <f t="shared" si="103"/>
        <v/>
      </c>
      <c r="J1288" t="str">
        <f t="shared" si="104"/>
        <v/>
      </c>
      <c r="K1288" t="str">
        <f>IF($A1288="","",IF(COUNTIF($B$2:$B1288,$B1288)=COUNTIF($B$2:$B$1601,$B1288),$B1288,""))</f>
        <v/>
      </c>
    </row>
    <row r="1289" spans="1:11">
      <c r="A1289" t="str">
        <f>IF('TMP Paste'!$E1289="","",'TMP Paste'!$E1289)</f>
        <v/>
      </c>
      <c r="B1289" t="str">
        <f>IF($A1289="","",COUNTIF('TMP Paste'!$B$2:$B1289,"?*"))</f>
        <v/>
      </c>
      <c r="C1289" t="str">
        <f>IF($A1289="","",IFERROR('TMP Paste'!$M1289*1,0))</f>
        <v/>
      </c>
      <c r="D1289" t="str">
        <f>IF($A1289="","",SUMIF($B$2:$B1289,$B1289,$C$2:$C1289))</f>
        <v/>
      </c>
      <c r="E1289">
        <f>IF($A1289="",0,IF('TMP Paste'!$B1289="",0,1))</f>
        <v>0</v>
      </c>
      <c r="F1289" t="str">
        <f t="shared" si="100"/>
        <v/>
      </c>
      <c r="G1289" t="str">
        <f t="shared" si="101"/>
        <v/>
      </c>
      <c r="H1289" t="str">
        <f t="shared" si="102"/>
        <v/>
      </c>
      <c r="I1289" t="str">
        <f t="shared" si="103"/>
        <v/>
      </c>
      <c r="J1289" t="str">
        <f t="shared" si="104"/>
        <v/>
      </c>
      <c r="K1289" t="str">
        <f>IF($A1289="","",IF(COUNTIF($B$2:$B1289,$B1289)=COUNTIF($B$2:$B$1601,$B1289),$B1289,""))</f>
        <v/>
      </c>
    </row>
    <row r="1290" spans="1:11">
      <c r="A1290" t="str">
        <f>IF('TMP Paste'!$E1290="","",'TMP Paste'!$E1290)</f>
        <v/>
      </c>
      <c r="B1290" t="str">
        <f>IF($A1290="","",COUNTIF('TMP Paste'!$B$2:$B1290,"?*"))</f>
        <v/>
      </c>
      <c r="C1290" t="str">
        <f>IF($A1290="","",IFERROR('TMP Paste'!$M1290*1,0))</f>
        <v/>
      </c>
      <c r="D1290" t="str">
        <f>IF($A1290="","",SUMIF($B$2:$B1290,$B1290,$C$2:$C1290))</f>
        <v/>
      </c>
      <c r="E1290">
        <f>IF($A1290="",0,IF('TMP Paste'!$B1290="",0,1))</f>
        <v>0</v>
      </c>
      <c r="F1290" t="str">
        <f t="shared" si="100"/>
        <v/>
      </c>
      <c r="G1290" t="str">
        <f t="shared" si="101"/>
        <v/>
      </c>
      <c r="H1290" t="str">
        <f t="shared" si="102"/>
        <v/>
      </c>
      <c r="I1290" t="str">
        <f t="shared" si="103"/>
        <v/>
      </c>
      <c r="J1290" t="str">
        <f t="shared" si="104"/>
        <v/>
      </c>
      <c r="K1290" t="str">
        <f>IF($A1290="","",IF(COUNTIF($B$2:$B1290,$B1290)=COUNTIF($B$2:$B$1601,$B1290),$B1290,""))</f>
        <v/>
      </c>
    </row>
    <row r="1291" spans="1:11">
      <c r="A1291" t="str">
        <f>IF('TMP Paste'!$E1291="","",'TMP Paste'!$E1291)</f>
        <v/>
      </c>
      <c r="B1291" t="str">
        <f>IF($A1291="","",COUNTIF('TMP Paste'!$B$2:$B1291,"?*"))</f>
        <v/>
      </c>
      <c r="C1291" t="str">
        <f>IF($A1291="","",IFERROR('TMP Paste'!$M1291*1,0))</f>
        <v/>
      </c>
      <c r="D1291" t="str">
        <f>IF($A1291="","",SUMIF($B$2:$B1291,$B1291,$C$2:$C1291))</f>
        <v/>
      </c>
      <c r="E1291">
        <f>IF($A1291="",0,IF('TMP Paste'!$B1291="",0,1))</f>
        <v>0</v>
      </c>
      <c r="F1291" t="str">
        <f t="shared" si="100"/>
        <v/>
      </c>
      <c r="G1291" t="str">
        <f t="shared" si="101"/>
        <v/>
      </c>
      <c r="H1291" t="str">
        <f t="shared" si="102"/>
        <v/>
      </c>
      <c r="I1291" t="str">
        <f t="shared" si="103"/>
        <v/>
      </c>
      <c r="J1291" t="str">
        <f t="shared" si="104"/>
        <v/>
      </c>
      <c r="K1291" t="str">
        <f>IF($A1291="","",IF(COUNTIF($B$2:$B1291,$B1291)=COUNTIF($B$2:$B$1601,$B1291),$B1291,""))</f>
        <v/>
      </c>
    </row>
    <row r="1292" spans="1:11">
      <c r="A1292" t="str">
        <f>IF('TMP Paste'!$E1292="","",'TMP Paste'!$E1292)</f>
        <v/>
      </c>
      <c r="B1292" t="str">
        <f>IF($A1292="","",COUNTIF('TMP Paste'!$B$2:$B1292,"?*"))</f>
        <v/>
      </c>
      <c r="C1292" t="str">
        <f>IF($A1292="","",IFERROR('TMP Paste'!$M1292*1,0))</f>
        <v/>
      </c>
      <c r="D1292" t="str">
        <f>IF($A1292="","",SUMIF($B$2:$B1292,$B1292,$C$2:$C1292))</f>
        <v/>
      </c>
      <c r="E1292">
        <f>IF($A1292="",0,IF('TMP Paste'!$B1292="",0,1))</f>
        <v>0</v>
      </c>
      <c r="F1292" t="str">
        <f t="shared" si="100"/>
        <v/>
      </c>
      <c r="G1292" t="str">
        <f t="shared" si="101"/>
        <v/>
      </c>
      <c r="H1292" t="str">
        <f t="shared" si="102"/>
        <v/>
      </c>
      <c r="I1292" t="str">
        <f t="shared" si="103"/>
        <v/>
      </c>
      <c r="J1292" t="str">
        <f t="shared" si="104"/>
        <v/>
      </c>
      <c r="K1292" t="str">
        <f>IF($A1292="","",IF(COUNTIF($B$2:$B1292,$B1292)=COUNTIF($B$2:$B$1601,$B1292),$B1292,""))</f>
        <v/>
      </c>
    </row>
    <row r="1293" spans="1:11">
      <c r="A1293" t="str">
        <f>IF('TMP Paste'!$E1293="","",'TMP Paste'!$E1293)</f>
        <v/>
      </c>
      <c r="B1293" t="str">
        <f>IF($A1293="","",COUNTIF('TMP Paste'!$B$2:$B1293,"?*"))</f>
        <v/>
      </c>
      <c r="C1293" t="str">
        <f>IF($A1293="","",IFERROR('TMP Paste'!$M1293*1,0))</f>
        <v/>
      </c>
      <c r="D1293" t="str">
        <f>IF($A1293="","",SUMIF($B$2:$B1293,$B1293,$C$2:$C1293))</f>
        <v/>
      </c>
      <c r="E1293">
        <f>IF($A1293="",0,IF('TMP Paste'!$B1293="",0,1))</f>
        <v>0</v>
      </c>
      <c r="F1293" t="str">
        <f t="shared" si="100"/>
        <v/>
      </c>
      <c r="G1293" t="str">
        <f t="shared" si="101"/>
        <v/>
      </c>
      <c r="H1293" t="str">
        <f t="shared" si="102"/>
        <v/>
      </c>
      <c r="I1293" t="str">
        <f t="shared" si="103"/>
        <v/>
      </c>
      <c r="J1293" t="str">
        <f t="shared" si="104"/>
        <v/>
      </c>
      <c r="K1293" t="str">
        <f>IF($A1293="","",IF(COUNTIF($B$2:$B1293,$B1293)=COUNTIF($B$2:$B$1601,$B1293),$B1293,""))</f>
        <v/>
      </c>
    </row>
    <row r="1294" spans="1:11">
      <c r="A1294" t="str">
        <f>IF('TMP Paste'!$E1294="","",'TMP Paste'!$E1294)</f>
        <v/>
      </c>
      <c r="B1294" t="str">
        <f>IF($A1294="","",COUNTIF('TMP Paste'!$B$2:$B1294,"?*"))</f>
        <v/>
      </c>
      <c r="C1294" t="str">
        <f>IF($A1294="","",IFERROR('TMP Paste'!$M1294*1,0))</f>
        <v/>
      </c>
      <c r="D1294" t="str">
        <f>IF($A1294="","",SUMIF($B$2:$B1294,$B1294,$C$2:$C1294))</f>
        <v/>
      </c>
      <c r="E1294">
        <f>IF($A1294="",0,IF('TMP Paste'!$B1294="",0,1))</f>
        <v>0</v>
      </c>
      <c r="F1294" t="str">
        <f t="shared" si="100"/>
        <v/>
      </c>
      <c r="G1294" t="str">
        <f t="shared" si="101"/>
        <v/>
      </c>
      <c r="H1294" t="str">
        <f t="shared" si="102"/>
        <v/>
      </c>
      <c r="I1294" t="str">
        <f t="shared" si="103"/>
        <v/>
      </c>
      <c r="J1294" t="str">
        <f t="shared" si="104"/>
        <v/>
      </c>
      <c r="K1294" t="str">
        <f>IF($A1294="","",IF(COUNTIF($B$2:$B1294,$B1294)=COUNTIF($B$2:$B$1601,$B1294),$B1294,""))</f>
        <v/>
      </c>
    </row>
    <row r="1295" spans="1:11">
      <c r="A1295" t="str">
        <f>IF('TMP Paste'!$E1295="","",'TMP Paste'!$E1295)</f>
        <v/>
      </c>
      <c r="B1295" t="str">
        <f>IF($A1295="","",COUNTIF('TMP Paste'!$B$2:$B1295,"?*"))</f>
        <v/>
      </c>
      <c r="C1295" t="str">
        <f>IF($A1295="","",IFERROR('TMP Paste'!$M1295*1,0))</f>
        <v/>
      </c>
      <c r="D1295" t="str">
        <f>IF($A1295="","",SUMIF($B$2:$B1295,$B1295,$C$2:$C1295))</f>
        <v/>
      </c>
      <c r="E1295">
        <f>IF($A1295="",0,IF('TMP Paste'!$B1295="",0,1))</f>
        <v>0</v>
      </c>
      <c r="F1295" t="str">
        <f t="shared" si="100"/>
        <v/>
      </c>
      <c r="G1295" t="str">
        <f t="shared" si="101"/>
        <v/>
      </c>
      <c r="H1295" t="str">
        <f t="shared" si="102"/>
        <v/>
      </c>
      <c r="I1295" t="str">
        <f t="shared" si="103"/>
        <v/>
      </c>
      <c r="J1295" t="str">
        <f t="shared" si="104"/>
        <v/>
      </c>
      <c r="K1295" t="str">
        <f>IF($A1295="","",IF(COUNTIF($B$2:$B1295,$B1295)=COUNTIF($B$2:$B$1601,$B1295),$B1295,""))</f>
        <v/>
      </c>
    </row>
    <row r="1296" spans="1:11">
      <c r="A1296" t="str">
        <f>IF('TMP Paste'!$E1296="","",'TMP Paste'!$E1296)</f>
        <v/>
      </c>
      <c r="B1296" t="str">
        <f>IF($A1296="","",COUNTIF('TMP Paste'!$B$2:$B1296,"?*"))</f>
        <v/>
      </c>
      <c r="C1296" t="str">
        <f>IF($A1296="","",IFERROR('TMP Paste'!$M1296*1,0))</f>
        <v/>
      </c>
      <c r="D1296" t="str">
        <f>IF($A1296="","",SUMIF($B$2:$B1296,$B1296,$C$2:$C1296))</f>
        <v/>
      </c>
      <c r="E1296">
        <f>IF($A1296="",0,IF('TMP Paste'!$B1296="",0,1))</f>
        <v>0</v>
      </c>
      <c r="F1296" t="str">
        <f t="shared" si="100"/>
        <v/>
      </c>
      <c r="G1296" t="str">
        <f t="shared" si="101"/>
        <v/>
      </c>
      <c r="H1296" t="str">
        <f t="shared" si="102"/>
        <v/>
      </c>
      <c r="I1296" t="str">
        <f t="shared" si="103"/>
        <v/>
      </c>
      <c r="J1296" t="str">
        <f t="shared" si="104"/>
        <v/>
      </c>
      <c r="K1296" t="str">
        <f>IF($A1296="","",IF(COUNTIF($B$2:$B1296,$B1296)=COUNTIF($B$2:$B$1601,$B1296),$B1296,""))</f>
        <v/>
      </c>
    </row>
    <row r="1297" spans="1:11">
      <c r="A1297" t="str">
        <f>IF('TMP Paste'!$E1297="","",'TMP Paste'!$E1297)</f>
        <v/>
      </c>
      <c r="B1297" t="str">
        <f>IF($A1297="","",COUNTIF('TMP Paste'!$B$2:$B1297,"?*"))</f>
        <v/>
      </c>
      <c r="C1297" t="str">
        <f>IF($A1297="","",IFERROR('TMP Paste'!$M1297*1,0))</f>
        <v/>
      </c>
      <c r="D1297" t="str">
        <f>IF($A1297="","",SUMIF($B$2:$B1297,$B1297,$C$2:$C1297))</f>
        <v/>
      </c>
      <c r="E1297">
        <f>IF($A1297="",0,IF('TMP Paste'!$B1297="",0,1))</f>
        <v>0</v>
      </c>
      <c r="F1297" t="str">
        <f t="shared" si="100"/>
        <v/>
      </c>
      <c r="G1297" t="str">
        <f t="shared" si="101"/>
        <v/>
      </c>
      <c r="H1297" t="str">
        <f t="shared" si="102"/>
        <v/>
      </c>
      <c r="I1297" t="str">
        <f t="shared" si="103"/>
        <v/>
      </c>
      <c r="J1297" t="str">
        <f t="shared" si="104"/>
        <v/>
      </c>
      <c r="K1297" t="str">
        <f>IF($A1297="","",IF(COUNTIF($B$2:$B1297,$B1297)=COUNTIF($B$2:$B$1601,$B1297),$B1297,""))</f>
        <v/>
      </c>
    </row>
    <row r="1298" spans="1:11">
      <c r="A1298" t="str">
        <f>IF('TMP Paste'!$E1298="","",'TMP Paste'!$E1298)</f>
        <v/>
      </c>
      <c r="B1298" t="str">
        <f>IF($A1298="","",COUNTIF('TMP Paste'!$B$2:$B1298,"?*"))</f>
        <v/>
      </c>
      <c r="C1298" t="str">
        <f>IF($A1298="","",IFERROR('TMP Paste'!$M1298*1,0))</f>
        <v/>
      </c>
      <c r="D1298" t="str">
        <f>IF($A1298="","",SUMIF($B$2:$B1298,$B1298,$C$2:$C1298))</f>
        <v/>
      </c>
      <c r="E1298">
        <f>IF($A1298="",0,IF('TMP Paste'!$B1298="",0,1))</f>
        <v>0</v>
      </c>
      <c r="F1298" t="str">
        <f t="shared" si="100"/>
        <v/>
      </c>
      <c r="G1298" t="str">
        <f t="shared" si="101"/>
        <v/>
      </c>
      <c r="H1298" t="str">
        <f t="shared" si="102"/>
        <v/>
      </c>
      <c r="I1298" t="str">
        <f t="shared" si="103"/>
        <v/>
      </c>
      <c r="J1298" t="str">
        <f t="shared" si="104"/>
        <v/>
      </c>
      <c r="K1298" t="str">
        <f>IF($A1298="","",IF(COUNTIF($B$2:$B1298,$B1298)=COUNTIF($B$2:$B$1601,$B1298),$B1298,""))</f>
        <v/>
      </c>
    </row>
    <row r="1299" spans="1:11">
      <c r="A1299" t="str">
        <f>IF('TMP Paste'!$E1299="","",'TMP Paste'!$E1299)</f>
        <v/>
      </c>
      <c r="B1299" t="str">
        <f>IF($A1299="","",COUNTIF('TMP Paste'!$B$2:$B1299,"?*"))</f>
        <v/>
      </c>
      <c r="C1299" t="str">
        <f>IF($A1299="","",IFERROR('TMP Paste'!$M1299*1,0))</f>
        <v/>
      </c>
      <c r="D1299" t="str">
        <f>IF($A1299="","",SUMIF($B$2:$B1299,$B1299,$C$2:$C1299))</f>
        <v/>
      </c>
      <c r="E1299">
        <f>IF($A1299="",0,IF('TMP Paste'!$B1299="",0,1))</f>
        <v>0</v>
      </c>
      <c r="F1299" t="str">
        <f t="shared" si="100"/>
        <v/>
      </c>
      <c r="G1299" t="str">
        <f t="shared" si="101"/>
        <v/>
      </c>
      <c r="H1299" t="str">
        <f t="shared" si="102"/>
        <v/>
      </c>
      <c r="I1299" t="str">
        <f t="shared" si="103"/>
        <v/>
      </c>
      <c r="J1299" t="str">
        <f t="shared" si="104"/>
        <v/>
      </c>
      <c r="K1299" t="str">
        <f>IF($A1299="","",IF(COUNTIF($B$2:$B1299,$B1299)=COUNTIF($B$2:$B$1601,$B1299),$B1299,""))</f>
        <v/>
      </c>
    </row>
    <row r="1300" spans="1:11">
      <c r="A1300" t="str">
        <f>IF('TMP Paste'!$E1300="","",'TMP Paste'!$E1300)</f>
        <v/>
      </c>
      <c r="B1300" t="str">
        <f>IF($A1300="","",COUNTIF('TMP Paste'!$B$2:$B1300,"?*"))</f>
        <v/>
      </c>
      <c r="C1300" t="str">
        <f>IF($A1300="","",IFERROR('TMP Paste'!$M1300*1,0))</f>
        <v/>
      </c>
      <c r="D1300" t="str">
        <f>IF($A1300="","",SUMIF($B$2:$B1300,$B1300,$C$2:$C1300))</f>
        <v/>
      </c>
      <c r="E1300">
        <f>IF($A1300="",0,IF('TMP Paste'!$B1300="",0,1))</f>
        <v>0</v>
      </c>
      <c r="F1300" t="str">
        <f t="shared" si="100"/>
        <v/>
      </c>
      <c r="G1300" t="str">
        <f t="shared" si="101"/>
        <v/>
      </c>
      <c r="H1300" t="str">
        <f t="shared" si="102"/>
        <v/>
      </c>
      <c r="I1300" t="str">
        <f t="shared" si="103"/>
        <v/>
      </c>
      <c r="J1300" t="str">
        <f t="shared" si="104"/>
        <v/>
      </c>
      <c r="K1300" t="str">
        <f>IF($A1300="","",IF(COUNTIF($B$2:$B1300,$B1300)=COUNTIF($B$2:$B$1601,$B1300),$B1300,""))</f>
        <v/>
      </c>
    </row>
    <row r="1301" spans="1:11">
      <c r="A1301" t="str">
        <f>IF('TMP Paste'!$E1301="","",'TMP Paste'!$E1301)</f>
        <v/>
      </c>
      <c r="B1301" t="str">
        <f>IF($A1301="","",COUNTIF('TMP Paste'!$B$2:$B1301,"?*"))</f>
        <v/>
      </c>
      <c r="C1301" t="str">
        <f>IF($A1301="","",IFERROR('TMP Paste'!$M1301*1,0))</f>
        <v/>
      </c>
      <c r="D1301" t="str">
        <f>IF($A1301="","",SUMIF($B$2:$B1301,$B1301,$C$2:$C1301))</f>
        <v/>
      </c>
      <c r="E1301">
        <f>IF($A1301="",0,IF('TMP Paste'!$B1301="",0,1))</f>
        <v>0</v>
      </c>
      <c r="F1301" t="str">
        <f t="shared" si="100"/>
        <v/>
      </c>
      <c r="G1301" t="str">
        <f t="shared" si="101"/>
        <v/>
      </c>
      <c r="H1301" t="str">
        <f t="shared" si="102"/>
        <v/>
      </c>
      <c r="I1301" t="str">
        <f t="shared" si="103"/>
        <v/>
      </c>
      <c r="J1301" t="str">
        <f t="shared" si="104"/>
        <v/>
      </c>
      <c r="K1301" t="str">
        <f>IF($A1301="","",IF(COUNTIF($B$2:$B1301,$B1301)=COUNTIF($B$2:$B$1601,$B1301),$B1301,""))</f>
        <v/>
      </c>
    </row>
    <row r="1302" spans="1:11">
      <c r="A1302" t="str">
        <f>IF('TMP Paste'!$E1302="","",'TMP Paste'!$E1302)</f>
        <v/>
      </c>
      <c r="B1302" t="str">
        <f>IF($A1302="","",COUNTIF('TMP Paste'!$B$2:$B1302,"?*"))</f>
        <v/>
      </c>
      <c r="C1302" t="str">
        <f>IF($A1302="","",IFERROR('TMP Paste'!$M1302*1,0))</f>
        <v/>
      </c>
      <c r="D1302" t="str">
        <f>IF($A1302="","",SUMIF($B$2:$B1302,$B1302,$C$2:$C1302))</f>
        <v/>
      </c>
      <c r="E1302">
        <f>IF($A1302="",0,IF('TMP Paste'!$B1302="",0,1))</f>
        <v>0</v>
      </c>
      <c r="F1302" t="str">
        <f t="shared" si="100"/>
        <v/>
      </c>
      <c r="G1302" t="str">
        <f t="shared" si="101"/>
        <v/>
      </c>
      <c r="H1302" t="str">
        <f t="shared" si="102"/>
        <v/>
      </c>
      <c r="I1302" t="str">
        <f t="shared" si="103"/>
        <v/>
      </c>
      <c r="J1302" t="str">
        <f t="shared" si="104"/>
        <v/>
      </c>
      <c r="K1302" t="str">
        <f>IF($A1302="","",IF(COUNTIF($B$2:$B1302,$B1302)=COUNTIF($B$2:$B$1601,$B1302),$B1302,""))</f>
        <v/>
      </c>
    </row>
    <row r="1303" spans="1:11">
      <c r="A1303" t="str">
        <f>IF('TMP Paste'!$E1303="","",'TMP Paste'!$E1303)</f>
        <v/>
      </c>
      <c r="B1303" t="str">
        <f>IF($A1303="","",COUNTIF('TMP Paste'!$B$2:$B1303,"?*"))</f>
        <v/>
      </c>
      <c r="C1303" t="str">
        <f>IF($A1303="","",IFERROR('TMP Paste'!$M1303*1,0))</f>
        <v/>
      </c>
      <c r="D1303" t="str">
        <f>IF($A1303="","",SUMIF($B$2:$B1303,$B1303,$C$2:$C1303))</f>
        <v/>
      </c>
      <c r="E1303">
        <f>IF($A1303="",0,IF('TMP Paste'!$B1303="",0,1))</f>
        <v>0</v>
      </c>
      <c r="F1303" t="str">
        <f t="shared" si="100"/>
        <v/>
      </c>
      <c r="G1303" t="str">
        <f t="shared" si="101"/>
        <v/>
      </c>
      <c r="H1303" t="str">
        <f t="shared" si="102"/>
        <v/>
      </c>
      <c r="I1303" t="str">
        <f t="shared" si="103"/>
        <v/>
      </c>
      <c r="J1303" t="str">
        <f t="shared" si="104"/>
        <v/>
      </c>
      <c r="K1303" t="str">
        <f>IF($A1303="","",IF(COUNTIF($B$2:$B1303,$B1303)=COUNTIF($B$2:$B$1601,$B1303),$B1303,""))</f>
        <v/>
      </c>
    </row>
    <row r="1304" spans="1:11">
      <c r="A1304" t="str">
        <f>IF('TMP Paste'!$E1304="","",'TMP Paste'!$E1304)</f>
        <v/>
      </c>
      <c r="B1304" t="str">
        <f>IF($A1304="","",COUNTIF('TMP Paste'!$B$2:$B1304,"?*"))</f>
        <v/>
      </c>
      <c r="C1304" t="str">
        <f>IF($A1304="","",IFERROR('TMP Paste'!$M1304*1,0))</f>
        <v/>
      </c>
      <c r="D1304" t="str">
        <f>IF($A1304="","",SUMIF($B$2:$B1304,$B1304,$C$2:$C1304))</f>
        <v/>
      </c>
      <c r="E1304">
        <f>IF($A1304="",0,IF('TMP Paste'!$B1304="",0,1))</f>
        <v>0</v>
      </c>
      <c r="F1304" t="str">
        <f t="shared" si="100"/>
        <v/>
      </c>
      <c r="G1304" t="str">
        <f t="shared" si="101"/>
        <v/>
      </c>
      <c r="H1304" t="str">
        <f t="shared" si="102"/>
        <v/>
      </c>
      <c r="I1304" t="str">
        <f t="shared" si="103"/>
        <v/>
      </c>
      <c r="J1304" t="str">
        <f t="shared" si="104"/>
        <v/>
      </c>
      <c r="K1304" t="str">
        <f>IF($A1304="","",IF(COUNTIF($B$2:$B1304,$B1304)=COUNTIF($B$2:$B$1601,$B1304),$B1304,""))</f>
        <v/>
      </c>
    </row>
    <row r="1305" spans="1:11">
      <c r="A1305" t="str">
        <f>IF('TMP Paste'!$E1305="","",'TMP Paste'!$E1305)</f>
        <v/>
      </c>
      <c r="B1305" t="str">
        <f>IF($A1305="","",COUNTIF('TMP Paste'!$B$2:$B1305,"?*"))</f>
        <v/>
      </c>
      <c r="C1305" t="str">
        <f>IF($A1305="","",IFERROR('TMP Paste'!$M1305*1,0))</f>
        <v/>
      </c>
      <c r="D1305" t="str">
        <f>IF($A1305="","",SUMIF($B$2:$B1305,$B1305,$C$2:$C1305))</f>
        <v/>
      </c>
      <c r="E1305">
        <f>IF($A1305="",0,IF('TMP Paste'!$B1305="",0,1))</f>
        <v>0</v>
      </c>
      <c r="F1305" t="str">
        <f t="shared" si="100"/>
        <v/>
      </c>
      <c r="G1305" t="str">
        <f t="shared" si="101"/>
        <v/>
      </c>
      <c r="H1305" t="str">
        <f t="shared" si="102"/>
        <v/>
      </c>
      <c r="I1305" t="str">
        <f t="shared" si="103"/>
        <v/>
      </c>
      <c r="J1305" t="str">
        <f t="shared" si="104"/>
        <v/>
      </c>
      <c r="K1305" t="str">
        <f>IF($A1305="","",IF(COUNTIF($B$2:$B1305,$B1305)=COUNTIF($B$2:$B$1601,$B1305),$B1305,""))</f>
        <v/>
      </c>
    </row>
    <row r="1306" spans="1:11">
      <c r="A1306" t="str">
        <f>IF('TMP Paste'!$E1306="","",'TMP Paste'!$E1306)</f>
        <v/>
      </c>
      <c r="B1306" t="str">
        <f>IF($A1306="","",COUNTIF('TMP Paste'!$B$2:$B1306,"?*"))</f>
        <v/>
      </c>
      <c r="C1306" t="str">
        <f>IF($A1306="","",IFERROR('TMP Paste'!$M1306*1,0))</f>
        <v/>
      </c>
      <c r="D1306" t="str">
        <f>IF($A1306="","",SUMIF($B$2:$B1306,$B1306,$C$2:$C1306))</f>
        <v/>
      </c>
      <c r="E1306">
        <f>IF($A1306="",0,IF('TMP Paste'!$B1306="",0,1))</f>
        <v>0</v>
      </c>
      <c r="F1306" t="str">
        <f t="shared" si="100"/>
        <v/>
      </c>
      <c r="G1306" t="str">
        <f t="shared" si="101"/>
        <v/>
      </c>
      <c r="H1306" t="str">
        <f t="shared" si="102"/>
        <v/>
      </c>
      <c r="I1306" t="str">
        <f t="shared" si="103"/>
        <v/>
      </c>
      <c r="J1306" t="str">
        <f t="shared" si="104"/>
        <v/>
      </c>
      <c r="K1306" t="str">
        <f>IF($A1306="","",IF(COUNTIF($B$2:$B1306,$B1306)=COUNTIF($B$2:$B$1601,$B1306),$B1306,""))</f>
        <v/>
      </c>
    </row>
    <row r="1307" spans="1:11">
      <c r="A1307" t="str">
        <f>IF('TMP Paste'!$E1307="","",'TMP Paste'!$E1307)</f>
        <v/>
      </c>
      <c r="B1307" t="str">
        <f>IF($A1307="","",COUNTIF('TMP Paste'!$B$2:$B1307,"?*"))</f>
        <v/>
      </c>
      <c r="C1307" t="str">
        <f>IF($A1307="","",IFERROR('TMP Paste'!$M1307*1,0))</f>
        <v/>
      </c>
      <c r="D1307" t="str">
        <f>IF($A1307="","",SUMIF($B$2:$B1307,$B1307,$C$2:$C1307))</f>
        <v/>
      </c>
      <c r="E1307">
        <f>IF($A1307="",0,IF('TMP Paste'!$B1307="",0,1))</f>
        <v>0</v>
      </c>
      <c r="F1307" t="str">
        <f t="shared" si="100"/>
        <v/>
      </c>
      <c r="G1307" t="str">
        <f t="shared" si="101"/>
        <v/>
      </c>
      <c r="H1307" t="str">
        <f t="shared" si="102"/>
        <v/>
      </c>
      <c r="I1307" t="str">
        <f t="shared" si="103"/>
        <v/>
      </c>
      <c r="J1307" t="str">
        <f t="shared" si="104"/>
        <v/>
      </c>
      <c r="K1307" t="str">
        <f>IF($A1307="","",IF(COUNTIF($B$2:$B1307,$B1307)=COUNTIF($B$2:$B$1601,$B1307),$B1307,""))</f>
        <v/>
      </c>
    </row>
    <row r="1308" spans="1:11">
      <c r="A1308" t="str">
        <f>IF('TMP Paste'!$E1308="","",'TMP Paste'!$E1308)</f>
        <v/>
      </c>
      <c r="B1308" t="str">
        <f>IF($A1308="","",COUNTIF('TMP Paste'!$B$2:$B1308,"?*"))</f>
        <v/>
      </c>
      <c r="C1308" t="str">
        <f>IF($A1308="","",IFERROR('TMP Paste'!$M1308*1,0))</f>
        <v/>
      </c>
      <c r="D1308" t="str">
        <f>IF($A1308="","",SUMIF($B$2:$B1308,$B1308,$C$2:$C1308))</f>
        <v/>
      </c>
      <c r="E1308">
        <f>IF($A1308="",0,IF('TMP Paste'!$B1308="",0,1))</f>
        <v>0</v>
      </c>
      <c r="F1308" t="str">
        <f t="shared" si="100"/>
        <v/>
      </c>
      <c r="G1308" t="str">
        <f t="shared" si="101"/>
        <v/>
      </c>
      <c r="H1308" t="str">
        <f t="shared" si="102"/>
        <v/>
      </c>
      <c r="I1308" t="str">
        <f t="shared" si="103"/>
        <v/>
      </c>
      <c r="J1308" t="str">
        <f t="shared" si="104"/>
        <v/>
      </c>
      <c r="K1308" t="str">
        <f>IF($A1308="","",IF(COUNTIF($B$2:$B1308,$B1308)=COUNTIF($B$2:$B$1601,$B1308),$B1308,""))</f>
        <v/>
      </c>
    </row>
    <row r="1309" spans="1:11">
      <c r="A1309" t="str">
        <f>IF('TMP Paste'!$E1309="","",'TMP Paste'!$E1309)</f>
        <v/>
      </c>
      <c r="B1309" t="str">
        <f>IF($A1309="","",COUNTIF('TMP Paste'!$B$2:$B1309,"?*"))</f>
        <v/>
      </c>
      <c r="C1309" t="str">
        <f>IF($A1309="","",IFERROR('TMP Paste'!$M1309*1,0))</f>
        <v/>
      </c>
      <c r="D1309" t="str">
        <f>IF($A1309="","",SUMIF($B$2:$B1309,$B1309,$C$2:$C1309))</f>
        <v/>
      </c>
      <c r="E1309">
        <f>IF($A1309="",0,IF('TMP Paste'!$B1309="",0,1))</f>
        <v>0</v>
      </c>
      <c r="F1309" t="str">
        <f t="shared" si="100"/>
        <v/>
      </c>
      <c r="G1309" t="str">
        <f t="shared" si="101"/>
        <v/>
      </c>
      <c r="H1309" t="str">
        <f t="shared" si="102"/>
        <v/>
      </c>
      <c r="I1309" t="str">
        <f t="shared" si="103"/>
        <v/>
      </c>
      <c r="J1309" t="str">
        <f t="shared" si="104"/>
        <v/>
      </c>
      <c r="K1309" t="str">
        <f>IF($A1309="","",IF(COUNTIF($B$2:$B1309,$B1309)=COUNTIF($B$2:$B$1601,$B1309),$B1309,""))</f>
        <v/>
      </c>
    </row>
    <row r="1310" spans="1:11">
      <c r="A1310" t="str">
        <f>IF('TMP Paste'!$E1310="","",'TMP Paste'!$E1310)</f>
        <v/>
      </c>
      <c r="B1310" t="str">
        <f>IF($A1310="","",COUNTIF('TMP Paste'!$B$2:$B1310,"?*"))</f>
        <v/>
      </c>
      <c r="C1310" t="str">
        <f>IF($A1310="","",IFERROR('TMP Paste'!$M1310*1,0))</f>
        <v/>
      </c>
      <c r="D1310" t="str">
        <f>IF($A1310="","",SUMIF($B$2:$B1310,$B1310,$C$2:$C1310))</f>
        <v/>
      </c>
      <c r="E1310">
        <f>IF($A1310="",0,IF('TMP Paste'!$B1310="",0,1))</f>
        <v>0</v>
      </c>
      <c r="F1310" t="str">
        <f t="shared" si="100"/>
        <v/>
      </c>
      <c r="G1310" t="str">
        <f t="shared" si="101"/>
        <v/>
      </c>
      <c r="H1310" t="str">
        <f t="shared" si="102"/>
        <v/>
      </c>
      <c r="I1310" t="str">
        <f t="shared" si="103"/>
        <v/>
      </c>
      <c r="J1310" t="str">
        <f t="shared" si="104"/>
        <v/>
      </c>
      <c r="K1310" t="str">
        <f>IF($A1310="","",IF(COUNTIF($B$2:$B1310,$B1310)=COUNTIF($B$2:$B$1601,$B1310),$B1310,""))</f>
        <v/>
      </c>
    </row>
    <row r="1311" spans="1:11">
      <c r="A1311" t="str">
        <f>IF('TMP Paste'!$E1311="","",'TMP Paste'!$E1311)</f>
        <v/>
      </c>
      <c r="B1311" t="str">
        <f>IF($A1311="","",COUNTIF('TMP Paste'!$B$2:$B1311,"?*"))</f>
        <v/>
      </c>
      <c r="C1311" t="str">
        <f>IF($A1311="","",IFERROR('TMP Paste'!$M1311*1,0))</f>
        <v/>
      </c>
      <c r="D1311" t="str">
        <f>IF($A1311="","",SUMIF($B$2:$B1311,$B1311,$C$2:$C1311))</f>
        <v/>
      </c>
      <c r="E1311">
        <f>IF($A1311="",0,IF('TMP Paste'!$B1311="",0,1))</f>
        <v>0</v>
      </c>
      <c r="F1311" t="str">
        <f t="shared" si="100"/>
        <v/>
      </c>
      <c r="G1311" t="str">
        <f t="shared" si="101"/>
        <v/>
      </c>
      <c r="H1311" t="str">
        <f t="shared" si="102"/>
        <v/>
      </c>
      <c r="I1311" t="str">
        <f t="shared" si="103"/>
        <v/>
      </c>
      <c r="J1311" t="str">
        <f t="shared" si="104"/>
        <v/>
      </c>
      <c r="K1311" t="str">
        <f>IF($A1311="","",IF(COUNTIF($B$2:$B1311,$B1311)=COUNTIF($B$2:$B$1601,$B1311),$B1311,""))</f>
        <v/>
      </c>
    </row>
    <row r="1312" spans="1:11">
      <c r="A1312" t="str">
        <f>IF('TMP Paste'!$E1312="","",'TMP Paste'!$E1312)</f>
        <v/>
      </c>
      <c r="B1312" t="str">
        <f>IF($A1312="","",COUNTIF('TMP Paste'!$B$2:$B1312,"?*"))</f>
        <v/>
      </c>
      <c r="C1312" t="str">
        <f>IF($A1312="","",IFERROR('TMP Paste'!$M1312*1,0))</f>
        <v/>
      </c>
      <c r="D1312" t="str">
        <f>IF($A1312="","",SUMIF($B$2:$B1312,$B1312,$C$2:$C1312))</f>
        <v/>
      </c>
      <c r="E1312">
        <f>IF($A1312="",0,IF('TMP Paste'!$B1312="",0,1))</f>
        <v>0</v>
      </c>
      <c r="F1312" t="str">
        <f t="shared" si="100"/>
        <v/>
      </c>
      <c r="G1312" t="str">
        <f t="shared" si="101"/>
        <v/>
      </c>
      <c r="H1312" t="str">
        <f t="shared" si="102"/>
        <v/>
      </c>
      <c r="I1312" t="str">
        <f t="shared" si="103"/>
        <v/>
      </c>
      <c r="J1312" t="str">
        <f t="shared" si="104"/>
        <v/>
      </c>
      <c r="K1312" t="str">
        <f>IF($A1312="","",IF(COUNTIF($B$2:$B1312,$B1312)=COUNTIF($B$2:$B$1601,$B1312),$B1312,""))</f>
        <v/>
      </c>
    </row>
    <row r="1313" spans="1:11">
      <c r="A1313" t="str">
        <f>IF('TMP Paste'!$E1313="","",'TMP Paste'!$E1313)</f>
        <v/>
      </c>
      <c r="B1313" t="str">
        <f>IF($A1313="","",COUNTIF('TMP Paste'!$B$2:$B1313,"?*"))</f>
        <v/>
      </c>
      <c r="C1313" t="str">
        <f>IF($A1313="","",IFERROR('TMP Paste'!$M1313*1,0))</f>
        <v/>
      </c>
      <c r="D1313" t="str">
        <f>IF($A1313="","",SUMIF($B$2:$B1313,$B1313,$C$2:$C1313))</f>
        <v/>
      </c>
      <c r="E1313">
        <f>IF($A1313="",0,IF('TMP Paste'!$B1313="",0,1))</f>
        <v>0</v>
      </c>
      <c r="F1313" t="str">
        <f t="shared" si="100"/>
        <v/>
      </c>
      <c r="G1313" t="str">
        <f t="shared" si="101"/>
        <v/>
      </c>
      <c r="H1313" t="str">
        <f t="shared" si="102"/>
        <v/>
      </c>
      <c r="I1313" t="str">
        <f t="shared" si="103"/>
        <v/>
      </c>
      <c r="J1313" t="str">
        <f t="shared" si="104"/>
        <v/>
      </c>
      <c r="K1313" t="str">
        <f>IF($A1313="","",IF(COUNTIF($B$2:$B1313,$B1313)=COUNTIF($B$2:$B$1601,$B1313),$B1313,""))</f>
        <v/>
      </c>
    </row>
    <row r="1314" spans="1:11">
      <c r="A1314" t="str">
        <f>IF('TMP Paste'!$E1314="","",'TMP Paste'!$E1314)</f>
        <v/>
      </c>
      <c r="B1314" t="str">
        <f>IF($A1314="","",COUNTIF('TMP Paste'!$B$2:$B1314,"?*"))</f>
        <v/>
      </c>
      <c r="C1314" t="str">
        <f>IF($A1314="","",IFERROR('TMP Paste'!$M1314*1,0))</f>
        <v/>
      </c>
      <c r="D1314" t="str">
        <f>IF($A1314="","",SUMIF($B$2:$B1314,$B1314,$C$2:$C1314))</f>
        <v/>
      </c>
      <c r="E1314">
        <f>IF($A1314="",0,IF('TMP Paste'!$B1314="",0,1))</f>
        <v>0</v>
      </c>
      <c r="F1314" t="str">
        <f t="shared" si="100"/>
        <v/>
      </c>
      <c r="G1314" t="str">
        <f t="shared" si="101"/>
        <v/>
      </c>
      <c r="H1314" t="str">
        <f t="shared" si="102"/>
        <v/>
      </c>
      <c r="I1314" t="str">
        <f t="shared" si="103"/>
        <v/>
      </c>
      <c r="J1314" t="str">
        <f t="shared" si="104"/>
        <v/>
      </c>
      <c r="K1314" t="str">
        <f>IF($A1314="","",IF(COUNTIF($B$2:$B1314,$B1314)=COUNTIF($B$2:$B$1601,$B1314),$B1314,""))</f>
        <v/>
      </c>
    </row>
    <row r="1315" spans="1:11">
      <c r="A1315" t="str">
        <f>IF('TMP Paste'!$E1315="","",'TMP Paste'!$E1315)</f>
        <v/>
      </c>
      <c r="B1315" t="str">
        <f>IF($A1315="","",COUNTIF('TMP Paste'!$B$2:$B1315,"?*"))</f>
        <v/>
      </c>
      <c r="C1315" t="str">
        <f>IF($A1315="","",IFERROR('TMP Paste'!$M1315*1,0))</f>
        <v/>
      </c>
      <c r="D1315" t="str">
        <f>IF($A1315="","",SUMIF($B$2:$B1315,$B1315,$C$2:$C1315))</f>
        <v/>
      </c>
      <c r="E1315">
        <f>IF($A1315="",0,IF('TMP Paste'!$B1315="",0,1))</f>
        <v>0</v>
      </c>
      <c r="F1315" t="str">
        <f t="shared" si="100"/>
        <v/>
      </c>
      <c r="G1315" t="str">
        <f t="shared" si="101"/>
        <v/>
      </c>
      <c r="H1315" t="str">
        <f t="shared" si="102"/>
        <v/>
      </c>
      <c r="I1315" t="str">
        <f t="shared" si="103"/>
        <v/>
      </c>
      <c r="J1315" t="str">
        <f t="shared" si="104"/>
        <v/>
      </c>
      <c r="K1315" t="str">
        <f>IF($A1315="","",IF(COUNTIF($B$2:$B1315,$B1315)=COUNTIF($B$2:$B$1601,$B1315),$B1315,""))</f>
        <v/>
      </c>
    </row>
    <row r="1316" spans="1:11">
      <c r="A1316" t="str">
        <f>IF('TMP Paste'!$E1316="","",'TMP Paste'!$E1316)</f>
        <v/>
      </c>
      <c r="B1316" t="str">
        <f>IF($A1316="","",COUNTIF('TMP Paste'!$B$2:$B1316,"?*"))</f>
        <v/>
      </c>
      <c r="C1316" t="str">
        <f>IF($A1316="","",IFERROR('TMP Paste'!$M1316*1,0))</f>
        <v/>
      </c>
      <c r="D1316" t="str">
        <f>IF($A1316="","",SUMIF($B$2:$B1316,$B1316,$C$2:$C1316))</f>
        <v/>
      </c>
      <c r="E1316">
        <f>IF($A1316="",0,IF('TMP Paste'!$B1316="",0,1))</f>
        <v>0</v>
      </c>
      <c r="F1316" t="str">
        <f t="shared" si="100"/>
        <v/>
      </c>
      <c r="G1316" t="str">
        <f t="shared" si="101"/>
        <v/>
      </c>
      <c r="H1316" t="str">
        <f t="shared" si="102"/>
        <v/>
      </c>
      <c r="I1316" t="str">
        <f t="shared" si="103"/>
        <v/>
      </c>
      <c r="J1316" t="str">
        <f t="shared" si="104"/>
        <v/>
      </c>
      <c r="K1316" t="str">
        <f>IF($A1316="","",IF(COUNTIF($B$2:$B1316,$B1316)=COUNTIF($B$2:$B$1601,$B1316),$B1316,""))</f>
        <v/>
      </c>
    </row>
    <row r="1317" spans="1:11">
      <c r="A1317" t="str">
        <f>IF('TMP Paste'!$E1317="","",'TMP Paste'!$E1317)</f>
        <v/>
      </c>
      <c r="B1317" t="str">
        <f>IF($A1317="","",COUNTIF('TMP Paste'!$B$2:$B1317,"?*"))</f>
        <v/>
      </c>
      <c r="C1317" t="str">
        <f>IF($A1317="","",IFERROR('TMP Paste'!$M1317*1,0))</f>
        <v/>
      </c>
      <c r="D1317" t="str">
        <f>IF($A1317="","",SUMIF($B$2:$B1317,$B1317,$C$2:$C1317))</f>
        <v/>
      </c>
      <c r="E1317">
        <f>IF($A1317="",0,IF('TMP Paste'!$B1317="",0,1))</f>
        <v>0</v>
      </c>
      <c r="F1317" t="str">
        <f t="shared" si="100"/>
        <v/>
      </c>
      <c r="G1317" t="str">
        <f t="shared" si="101"/>
        <v/>
      </c>
      <c r="H1317" t="str">
        <f t="shared" si="102"/>
        <v/>
      </c>
      <c r="I1317" t="str">
        <f t="shared" si="103"/>
        <v/>
      </c>
      <c r="J1317" t="str">
        <f t="shared" si="104"/>
        <v/>
      </c>
      <c r="K1317" t="str">
        <f>IF($A1317="","",IF(COUNTIF($B$2:$B1317,$B1317)=COUNTIF($B$2:$B$1601,$B1317),$B1317,""))</f>
        <v/>
      </c>
    </row>
    <row r="1318" spans="1:11">
      <c r="A1318" t="str">
        <f>IF('TMP Paste'!$E1318="","",'TMP Paste'!$E1318)</f>
        <v/>
      </c>
      <c r="B1318" t="str">
        <f>IF($A1318="","",COUNTIF('TMP Paste'!$B$2:$B1318,"?*"))</f>
        <v/>
      </c>
      <c r="C1318" t="str">
        <f>IF($A1318="","",IFERROR('TMP Paste'!$M1318*1,0))</f>
        <v/>
      </c>
      <c r="D1318" t="str">
        <f>IF($A1318="","",SUMIF($B$2:$B1318,$B1318,$C$2:$C1318))</f>
        <v/>
      </c>
      <c r="E1318">
        <f>IF($A1318="",0,IF('TMP Paste'!$B1318="",0,1))</f>
        <v>0</v>
      </c>
      <c r="F1318" t="str">
        <f t="shared" si="100"/>
        <v/>
      </c>
      <c r="G1318" t="str">
        <f t="shared" si="101"/>
        <v/>
      </c>
      <c r="H1318" t="str">
        <f t="shared" si="102"/>
        <v/>
      </c>
      <c r="I1318" t="str">
        <f t="shared" si="103"/>
        <v/>
      </c>
      <c r="J1318" t="str">
        <f t="shared" si="104"/>
        <v/>
      </c>
      <c r="K1318" t="str">
        <f>IF($A1318="","",IF(COUNTIF($B$2:$B1318,$B1318)=COUNTIF($B$2:$B$1601,$B1318),$B1318,""))</f>
        <v/>
      </c>
    </row>
    <row r="1319" spans="1:11">
      <c r="A1319" t="str">
        <f>IF('TMP Paste'!$E1319="","",'TMP Paste'!$E1319)</f>
        <v/>
      </c>
      <c r="B1319" t="str">
        <f>IF($A1319="","",COUNTIF('TMP Paste'!$B$2:$B1319,"?*"))</f>
        <v/>
      </c>
      <c r="C1319" t="str">
        <f>IF($A1319="","",IFERROR('TMP Paste'!$M1319*1,0))</f>
        <v/>
      </c>
      <c r="D1319" t="str">
        <f>IF($A1319="","",SUMIF($B$2:$B1319,$B1319,$C$2:$C1319))</f>
        <v/>
      </c>
      <c r="E1319">
        <f>IF($A1319="",0,IF('TMP Paste'!$B1319="",0,1))</f>
        <v>0</v>
      </c>
      <c r="F1319" t="str">
        <f t="shared" si="100"/>
        <v/>
      </c>
      <c r="G1319" t="str">
        <f t="shared" si="101"/>
        <v/>
      </c>
      <c r="H1319" t="str">
        <f t="shared" si="102"/>
        <v/>
      </c>
      <c r="I1319" t="str">
        <f t="shared" si="103"/>
        <v/>
      </c>
      <c r="J1319" t="str">
        <f t="shared" si="104"/>
        <v/>
      </c>
      <c r="K1319" t="str">
        <f>IF($A1319="","",IF(COUNTIF($B$2:$B1319,$B1319)=COUNTIF($B$2:$B$1601,$B1319),$B1319,""))</f>
        <v/>
      </c>
    </row>
    <row r="1320" spans="1:11">
      <c r="A1320" t="str">
        <f>IF('TMP Paste'!$E1320="","",'TMP Paste'!$E1320)</f>
        <v/>
      </c>
      <c r="B1320" t="str">
        <f>IF($A1320="","",COUNTIF('TMP Paste'!$B$2:$B1320,"?*"))</f>
        <v/>
      </c>
      <c r="C1320" t="str">
        <f>IF($A1320="","",IFERROR('TMP Paste'!$M1320*1,0))</f>
        <v/>
      </c>
      <c r="D1320" t="str">
        <f>IF($A1320="","",SUMIF($B$2:$B1320,$B1320,$C$2:$C1320))</f>
        <v/>
      </c>
      <c r="E1320">
        <f>IF($A1320="",0,IF('TMP Paste'!$B1320="",0,1))</f>
        <v>0</v>
      </c>
      <c r="F1320" t="str">
        <f t="shared" si="100"/>
        <v/>
      </c>
      <c r="G1320" t="str">
        <f t="shared" si="101"/>
        <v/>
      </c>
      <c r="H1320" t="str">
        <f t="shared" si="102"/>
        <v/>
      </c>
      <c r="I1320" t="str">
        <f t="shared" si="103"/>
        <v/>
      </c>
      <c r="J1320" t="str">
        <f t="shared" si="104"/>
        <v/>
      </c>
      <c r="K1320" t="str">
        <f>IF($A1320="","",IF(COUNTIF($B$2:$B1320,$B1320)=COUNTIF($B$2:$B$1601,$B1320),$B1320,""))</f>
        <v/>
      </c>
    </row>
    <row r="1321" spans="1:11">
      <c r="A1321" t="str">
        <f>IF('TMP Paste'!$E1321="","",'TMP Paste'!$E1321)</f>
        <v/>
      </c>
      <c r="B1321" t="str">
        <f>IF($A1321="","",COUNTIF('TMP Paste'!$B$2:$B1321,"?*"))</f>
        <v/>
      </c>
      <c r="C1321" t="str">
        <f>IF($A1321="","",IFERROR('TMP Paste'!$M1321*1,0))</f>
        <v/>
      </c>
      <c r="D1321" t="str">
        <f>IF($A1321="","",SUMIF($B$2:$B1321,$B1321,$C$2:$C1321))</f>
        <v/>
      </c>
      <c r="E1321">
        <f>IF($A1321="",0,IF('TMP Paste'!$B1321="",0,1))</f>
        <v>0</v>
      </c>
      <c r="F1321" t="str">
        <f t="shared" si="100"/>
        <v/>
      </c>
      <c r="G1321" t="str">
        <f t="shared" si="101"/>
        <v/>
      </c>
      <c r="H1321" t="str">
        <f t="shared" si="102"/>
        <v/>
      </c>
      <c r="I1321" t="str">
        <f t="shared" si="103"/>
        <v/>
      </c>
      <c r="J1321" t="str">
        <f t="shared" si="104"/>
        <v/>
      </c>
      <c r="K1321" t="str">
        <f>IF($A1321="","",IF(COUNTIF($B$2:$B1321,$B1321)=COUNTIF($B$2:$B$1601,$B1321),$B1321,""))</f>
        <v/>
      </c>
    </row>
    <row r="1322" spans="1:11">
      <c r="A1322" t="str">
        <f>IF('TMP Paste'!$E1322="","",'TMP Paste'!$E1322)</f>
        <v/>
      </c>
      <c r="B1322" t="str">
        <f>IF($A1322="","",COUNTIF('TMP Paste'!$B$2:$B1322,"?*"))</f>
        <v/>
      </c>
      <c r="C1322" t="str">
        <f>IF($A1322="","",IFERROR('TMP Paste'!$M1322*1,0))</f>
        <v/>
      </c>
      <c r="D1322" t="str">
        <f>IF($A1322="","",SUMIF($B$2:$B1322,$B1322,$C$2:$C1322))</f>
        <v/>
      </c>
      <c r="E1322">
        <f>IF($A1322="",0,IF('TMP Paste'!$B1322="",0,1))</f>
        <v>0</v>
      </c>
      <c r="F1322" t="str">
        <f t="shared" si="100"/>
        <v/>
      </c>
      <c r="G1322" t="str">
        <f t="shared" si="101"/>
        <v/>
      </c>
      <c r="H1322" t="str">
        <f t="shared" si="102"/>
        <v/>
      </c>
      <c r="I1322" t="str">
        <f t="shared" si="103"/>
        <v/>
      </c>
      <c r="J1322" t="str">
        <f t="shared" si="104"/>
        <v/>
      </c>
      <c r="K1322" t="str">
        <f>IF($A1322="","",IF(COUNTIF($B$2:$B1322,$B1322)=COUNTIF($B$2:$B$1601,$B1322),$B1322,""))</f>
        <v/>
      </c>
    </row>
    <row r="1323" spans="1:11">
      <c r="A1323" t="str">
        <f>IF('TMP Paste'!$E1323="","",'TMP Paste'!$E1323)</f>
        <v/>
      </c>
      <c r="B1323" t="str">
        <f>IF($A1323="","",COUNTIF('TMP Paste'!$B$2:$B1323,"?*"))</f>
        <v/>
      </c>
      <c r="C1323" t="str">
        <f>IF($A1323="","",IFERROR('TMP Paste'!$M1323*1,0))</f>
        <v/>
      </c>
      <c r="D1323" t="str">
        <f>IF($A1323="","",SUMIF($B$2:$B1323,$B1323,$C$2:$C1323))</f>
        <v/>
      </c>
      <c r="E1323">
        <f>IF($A1323="",0,IF('TMP Paste'!$B1323="",0,1))</f>
        <v>0</v>
      </c>
      <c r="F1323" t="str">
        <f t="shared" si="100"/>
        <v/>
      </c>
      <c r="G1323" t="str">
        <f t="shared" si="101"/>
        <v/>
      </c>
      <c r="H1323" t="str">
        <f t="shared" si="102"/>
        <v/>
      </c>
      <c r="I1323" t="str">
        <f t="shared" si="103"/>
        <v/>
      </c>
      <c r="J1323" t="str">
        <f t="shared" si="104"/>
        <v/>
      </c>
      <c r="K1323" t="str">
        <f>IF($A1323="","",IF(COUNTIF($B$2:$B1323,$B1323)=COUNTIF($B$2:$B$1601,$B1323),$B1323,""))</f>
        <v/>
      </c>
    </row>
    <row r="1324" spans="1:11">
      <c r="A1324" t="str">
        <f>IF('TMP Paste'!$E1324="","",'TMP Paste'!$E1324)</f>
        <v/>
      </c>
      <c r="B1324" t="str">
        <f>IF($A1324="","",COUNTIF('TMP Paste'!$B$2:$B1324,"?*"))</f>
        <v/>
      </c>
      <c r="C1324" t="str">
        <f>IF($A1324="","",IFERROR('TMP Paste'!$M1324*1,0))</f>
        <v/>
      </c>
      <c r="D1324" t="str">
        <f>IF($A1324="","",SUMIF($B$2:$B1324,$B1324,$C$2:$C1324))</f>
        <v/>
      </c>
      <c r="E1324">
        <f>IF($A1324="",0,IF('TMP Paste'!$B1324="",0,1))</f>
        <v>0</v>
      </c>
      <c r="F1324" t="str">
        <f t="shared" si="100"/>
        <v/>
      </c>
      <c r="G1324" t="str">
        <f t="shared" si="101"/>
        <v/>
      </c>
      <c r="H1324" t="str">
        <f t="shared" si="102"/>
        <v/>
      </c>
      <c r="I1324" t="str">
        <f t="shared" si="103"/>
        <v/>
      </c>
      <c r="J1324" t="str">
        <f t="shared" si="104"/>
        <v/>
      </c>
      <c r="K1324" t="str">
        <f>IF($A1324="","",IF(COUNTIF($B$2:$B1324,$B1324)=COUNTIF($B$2:$B$1601,$B1324),$B1324,""))</f>
        <v/>
      </c>
    </row>
    <row r="1325" spans="1:11">
      <c r="A1325" t="str">
        <f>IF('TMP Paste'!$E1325="","",'TMP Paste'!$E1325)</f>
        <v/>
      </c>
      <c r="B1325" t="str">
        <f>IF($A1325="","",COUNTIF('TMP Paste'!$B$2:$B1325,"?*"))</f>
        <v/>
      </c>
      <c r="C1325" t="str">
        <f>IF($A1325="","",IFERROR('TMP Paste'!$M1325*1,0))</f>
        <v/>
      </c>
      <c r="D1325" t="str">
        <f>IF($A1325="","",SUMIF($B$2:$B1325,$B1325,$C$2:$C1325))</f>
        <v/>
      </c>
      <c r="E1325">
        <f>IF($A1325="",0,IF('TMP Paste'!$B1325="",0,1))</f>
        <v>0</v>
      </c>
      <c r="F1325" t="str">
        <f t="shared" si="100"/>
        <v/>
      </c>
      <c r="G1325" t="str">
        <f t="shared" si="101"/>
        <v/>
      </c>
      <c r="H1325" t="str">
        <f t="shared" si="102"/>
        <v/>
      </c>
      <c r="I1325" t="str">
        <f t="shared" si="103"/>
        <v/>
      </c>
      <c r="J1325" t="str">
        <f t="shared" si="104"/>
        <v/>
      </c>
      <c r="K1325" t="str">
        <f>IF($A1325="","",IF(COUNTIF($B$2:$B1325,$B1325)=COUNTIF($B$2:$B$1601,$B1325),$B1325,""))</f>
        <v/>
      </c>
    </row>
    <row r="1326" spans="1:11">
      <c r="A1326" t="str">
        <f>IF('TMP Paste'!$E1326="","",'TMP Paste'!$E1326)</f>
        <v/>
      </c>
      <c r="B1326" t="str">
        <f>IF($A1326="","",COUNTIF('TMP Paste'!$B$2:$B1326,"?*"))</f>
        <v/>
      </c>
      <c r="C1326" t="str">
        <f>IF($A1326="","",IFERROR('TMP Paste'!$M1326*1,0))</f>
        <v/>
      </c>
      <c r="D1326" t="str">
        <f>IF($A1326="","",SUMIF($B$2:$B1326,$B1326,$C$2:$C1326))</f>
        <v/>
      </c>
      <c r="E1326">
        <f>IF($A1326="",0,IF('TMP Paste'!$B1326="",0,1))</f>
        <v>0</v>
      </c>
      <c r="F1326" t="str">
        <f t="shared" si="100"/>
        <v/>
      </c>
      <c r="G1326" t="str">
        <f t="shared" si="101"/>
        <v/>
      </c>
      <c r="H1326" t="str">
        <f t="shared" si="102"/>
        <v/>
      </c>
      <c r="I1326" t="str">
        <f t="shared" si="103"/>
        <v/>
      </c>
      <c r="J1326" t="str">
        <f t="shared" si="104"/>
        <v/>
      </c>
      <c r="K1326" t="str">
        <f>IF($A1326="","",IF(COUNTIF($B$2:$B1326,$B1326)=COUNTIF($B$2:$B$1601,$B1326),$B1326,""))</f>
        <v/>
      </c>
    </row>
    <row r="1327" spans="1:11">
      <c r="A1327" t="str">
        <f>IF('TMP Paste'!$E1327="","",'TMP Paste'!$E1327)</f>
        <v/>
      </c>
      <c r="B1327" t="str">
        <f>IF($A1327="","",COUNTIF('TMP Paste'!$B$2:$B1327,"?*"))</f>
        <v/>
      </c>
      <c r="C1327" t="str">
        <f>IF($A1327="","",IFERROR('TMP Paste'!$M1327*1,0))</f>
        <v/>
      </c>
      <c r="D1327" t="str">
        <f>IF($A1327="","",SUMIF($B$2:$B1327,$B1327,$C$2:$C1327))</f>
        <v/>
      </c>
      <c r="E1327">
        <f>IF($A1327="",0,IF('TMP Paste'!$B1327="",0,1))</f>
        <v>0</v>
      </c>
      <c r="F1327" t="str">
        <f t="shared" si="100"/>
        <v/>
      </c>
      <c r="G1327" t="str">
        <f t="shared" si="101"/>
        <v/>
      </c>
      <c r="H1327" t="str">
        <f t="shared" si="102"/>
        <v/>
      </c>
      <c r="I1327" t="str">
        <f t="shared" si="103"/>
        <v/>
      </c>
      <c r="J1327" t="str">
        <f t="shared" si="104"/>
        <v/>
      </c>
      <c r="K1327" t="str">
        <f>IF($A1327="","",IF(COUNTIF($B$2:$B1327,$B1327)=COUNTIF($B$2:$B$1601,$B1327),$B1327,""))</f>
        <v/>
      </c>
    </row>
    <row r="1328" spans="1:11">
      <c r="A1328" t="str">
        <f>IF('TMP Paste'!$E1328="","",'TMP Paste'!$E1328)</f>
        <v/>
      </c>
      <c r="B1328" t="str">
        <f>IF($A1328="","",COUNTIF('TMP Paste'!$B$2:$B1328,"?*"))</f>
        <v/>
      </c>
      <c r="C1328" t="str">
        <f>IF($A1328="","",IFERROR('TMP Paste'!$M1328*1,0))</f>
        <v/>
      </c>
      <c r="D1328" t="str">
        <f>IF($A1328="","",SUMIF($B$2:$B1328,$B1328,$C$2:$C1328))</f>
        <v/>
      </c>
      <c r="E1328">
        <f>IF($A1328="",0,IF('TMP Paste'!$B1328="",0,1))</f>
        <v>0</v>
      </c>
      <c r="F1328" t="str">
        <f t="shared" si="100"/>
        <v/>
      </c>
      <c r="G1328" t="str">
        <f t="shared" si="101"/>
        <v/>
      </c>
      <c r="H1328" t="str">
        <f t="shared" si="102"/>
        <v/>
      </c>
      <c r="I1328" t="str">
        <f t="shared" si="103"/>
        <v/>
      </c>
      <c r="J1328" t="str">
        <f t="shared" si="104"/>
        <v/>
      </c>
      <c r="K1328" t="str">
        <f>IF($A1328="","",IF(COUNTIF($B$2:$B1328,$B1328)=COUNTIF($B$2:$B$1601,$B1328),$B1328,""))</f>
        <v/>
      </c>
    </row>
    <row r="1329" spans="1:11">
      <c r="A1329" t="str">
        <f>IF('TMP Paste'!$E1329="","",'TMP Paste'!$E1329)</f>
        <v/>
      </c>
      <c r="B1329" t="str">
        <f>IF($A1329="","",COUNTIF('TMP Paste'!$B$2:$B1329,"?*"))</f>
        <v/>
      </c>
      <c r="C1329" t="str">
        <f>IF($A1329="","",IFERROR('TMP Paste'!$M1329*1,0))</f>
        <v/>
      </c>
      <c r="D1329" t="str">
        <f>IF($A1329="","",SUMIF($B$2:$B1329,$B1329,$C$2:$C1329))</f>
        <v/>
      </c>
      <c r="E1329">
        <f>IF($A1329="",0,IF('TMP Paste'!$B1329="",0,1))</f>
        <v>0</v>
      </c>
      <c r="F1329" t="str">
        <f t="shared" si="100"/>
        <v/>
      </c>
      <c r="G1329" t="str">
        <f t="shared" si="101"/>
        <v/>
      </c>
      <c r="H1329" t="str">
        <f t="shared" si="102"/>
        <v/>
      </c>
      <c r="I1329" t="str">
        <f t="shared" si="103"/>
        <v/>
      </c>
      <c r="J1329" t="str">
        <f t="shared" si="104"/>
        <v/>
      </c>
      <c r="K1329" t="str">
        <f>IF($A1329="","",IF(COUNTIF($B$2:$B1329,$B1329)=COUNTIF($B$2:$B$1601,$B1329),$B1329,""))</f>
        <v/>
      </c>
    </row>
    <row r="1330" spans="1:11">
      <c r="A1330" t="str">
        <f>IF('TMP Paste'!$E1330="","",'TMP Paste'!$E1330)</f>
        <v/>
      </c>
      <c r="B1330" t="str">
        <f>IF($A1330="","",COUNTIF('TMP Paste'!$B$2:$B1330,"?*"))</f>
        <v/>
      </c>
      <c r="C1330" t="str">
        <f>IF($A1330="","",IFERROR('TMP Paste'!$M1330*1,0))</f>
        <v/>
      </c>
      <c r="D1330" t="str">
        <f>IF($A1330="","",SUMIF($B$2:$B1330,$B1330,$C$2:$C1330))</f>
        <v/>
      </c>
      <c r="E1330">
        <f>IF($A1330="",0,IF('TMP Paste'!$B1330="",0,1))</f>
        <v>0</v>
      </c>
      <c r="F1330" t="str">
        <f t="shared" si="100"/>
        <v/>
      </c>
      <c r="G1330" t="str">
        <f t="shared" si="101"/>
        <v/>
      </c>
      <c r="H1330" t="str">
        <f t="shared" si="102"/>
        <v/>
      </c>
      <c r="I1330" t="str">
        <f t="shared" si="103"/>
        <v/>
      </c>
      <c r="J1330" t="str">
        <f t="shared" si="104"/>
        <v/>
      </c>
      <c r="K1330" t="str">
        <f>IF($A1330="","",IF(COUNTIF($B$2:$B1330,$B1330)=COUNTIF($B$2:$B$1601,$B1330),$B1330,""))</f>
        <v/>
      </c>
    </row>
    <row r="1331" spans="1:11">
      <c r="A1331" t="str">
        <f>IF('TMP Paste'!$E1331="","",'TMP Paste'!$E1331)</f>
        <v/>
      </c>
      <c r="B1331" t="str">
        <f>IF($A1331="","",COUNTIF('TMP Paste'!$B$2:$B1331,"?*"))</f>
        <v/>
      </c>
      <c r="C1331" t="str">
        <f>IF($A1331="","",IFERROR('TMP Paste'!$M1331*1,0))</f>
        <v/>
      </c>
      <c r="D1331" t="str">
        <f>IF($A1331="","",SUMIF($B$2:$B1331,$B1331,$C$2:$C1331))</f>
        <v/>
      </c>
      <c r="E1331">
        <f>IF($A1331="",0,IF('TMP Paste'!$B1331="",0,1))</f>
        <v>0</v>
      </c>
      <c r="F1331" t="str">
        <f t="shared" si="100"/>
        <v/>
      </c>
      <c r="G1331" t="str">
        <f t="shared" si="101"/>
        <v/>
      </c>
      <c r="H1331" t="str">
        <f t="shared" si="102"/>
        <v/>
      </c>
      <c r="I1331" t="str">
        <f t="shared" si="103"/>
        <v/>
      </c>
      <c r="J1331" t="str">
        <f t="shared" si="104"/>
        <v/>
      </c>
      <c r="K1331" t="str">
        <f>IF($A1331="","",IF(COUNTIF($B$2:$B1331,$B1331)=COUNTIF($B$2:$B$1601,$B1331),$B1331,""))</f>
        <v/>
      </c>
    </row>
    <row r="1332" spans="1:11">
      <c r="A1332" t="str">
        <f>IF('TMP Paste'!$E1332="","",'TMP Paste'!$E1332)</f>
        <v/>
      </c>
      <c r="B1332" t="str">
        <f>IF($A1332="","",COUNTIF('TMP Paste'!$B$2:$B1332,"?*"))</f>
        <v/>
      </c>
      <c r="C1332" t="str">
        <f>IF($A1332="","",IFERROR('TMP Paste'!$M1332*1,0))</f>
        <v/>
      </c>
      <c r="D1332" t="str">
        <f>IF($A1332="","",SUMIF($B$2:$B1332,$B1332,$C$2:$C1332))</f>
        <v/>
      </c>
      <c r="E1332">
        <f>IF($A1332="",0,IF('TMP Paste'!$B1332="",0,1))</f>
        <v>0</v>
      </c>
      <c r="F1332" t="str">
        <f t="shared" si="100"/>
        <v/>
      </c>
      <c r="G1332" t="str">
        <f t="shared" si="101"/>
        <v/>
      </c>
      <c r="H1332" t="str">
        <f t="shared" si="102"/>
        <v/>
      </c>
      <c r="I1332" t="str">
        <f t="shared" si="103"/>
        <v/>
      </c>
      <c r="J1332" t="str">
        <f t="shared" si="104"/>
        <v/>
      </c>
      <c r="K1332" t="str">
        <f>IF($A1332="","",IF(COUNTIF($B$2:$B1332,$B1332)=COUNTIF($B$2:$B$1601,$B1332),$B1332,""))</f>
        <v/>
      </c>
    </row>
    <row r="1333" spans="1:11">
      <c r="A1333" t="str">
        <f>IF('TMP Paste'!$E1333="","",'TMP Paste'!$E1333)</f>
        <v/>
      </c>
      <c r="B1333" t="str">
        <f>IF($A1333="","",COUNTIF('TMP Paste'!$B$2:$B1333,"?*"))</f>
        <v/>
      </c>
      <c r="C1333" t="str">
        <f>IF($A1333="","",IFERROR('TMP Paste'!$M1333*1,0))</f>
        <v/>
      </c>
      <c r="D1333" t="str">
        <f>IF($A1333="","",SUMIF($B$2:$B1333,$B1333,$C$2:$C1333))</f>
        <v/>
      </c>
      <c r="E1333">
        <f>IF($A1333="",0,IF('TMP Paste'!$B1333="",0,1))</f>
        <v>0</v>
      </c>
      <c r="F1333" t="str">
        <f t="shared" si="100"/>
        <v/>
      </c>
      <c r="G1333" t="str">
        <f t="shared" si="101"/>
        <v/>
      </c>
      <c r="H1333" t="str">
        <f t="shared" si="102"/>
        <v/>
      </c>
      <c r="I1333" t="str">
        <f t="shared" si="103"/>
        <v/>
      </c>
      <c r="J1333" t="str">
        <f t="shared" si="104"/>
        <v/>
      </c>
      <c r="K1333" t="str">
        <f>IF($A1333="","",IF(COUNTIF($B$2:$B1333,$B1333)=COUNTIF($B$2:$B$1601,$B1333),$B1333,""))</f>
        <v/>
      </c>
    </row>
    <row r="1334" spans="1:11">
      <c r="A1334" t="str">
        <f>IF('TMP Paste'!$E1334="","",'TMP Paste'!$E1334)</f>
        <v/>
      </c>
      <c r="B1334" t="str">
        <f>IF($A1334="","",COUNTIF('TMP Paste'!$B$2:$B1334,"?*"))</f>
        <v/>
      </c>
      <c r="C1334" t="str">
        <f>IF($A1334="","",IFERROR('TMP Paste'!$M1334*1,0))</f>
        <v/>
      </c>
      <c r="D1334" t="str">
        <f>IF($A1334="","",SUMIF($B$2:$B1334,$B1334,$C$2:$C1334))</f>
        <v/>
      </c>
      <c r="E1334">
        <f>IF($A1334="",0,IF('TMP Paste'!$B1334="",0,1))</f>
        <v>0</v>
      </c>
      <c r="F1334" t="str">
        <f t="shared" si="100"/>
        <v/>
      </c>
      <c r="G1334" t="str">
        <f t="shared" si="101"/>
        <v/>
      </c>
      <c r="H1334" t="str">
        <f t="shared" si="102"/>
        <v/>
      </c>
      <c r="I1334" t="str">
        <f t="shared" si="103"/>
        <v/>
      </c>
      <c r="J1334" t="str">
        <f t="shared" si="104"/>
        <v/>
      </c>
      <c r="K1334" t="str">
        <f>IF($A1334="","",IF(COUNTIF($B$2:$B1334,$B1334)=COUNTIF($B$2:$B$1601,$B1334),$B1334,""))</f>
        <v/>
      </c>
    </row>
    <row r="1335" spans="1:11">
      <c r="A1335" t="str">
        <f>IF('TMP Paste'!$E1335="","",'TMP Paste'!$E1335)</f>
        <v/>
      </c>
      <c r="B1335" t="str">
        <f>IF($A1335="","",COUNTIF('TMP Paste'!$B$2:$B1335,"?*"))</f>
        <v/>
      </c>
      <c r="C1335" t="str">
        <f>IF($A1335="","",IFERROR('TMP Paste'!$M1335*1,0))</f>
        <v/>
      </c>
      <c r="D1335" t="str">
        <f>IF($A1335="","",SUMIF($B$2:$B1335,$B1335,$C$2:$C1335))</f>
        <v/>
      </c>
      <c r="E1335">
        <f>IF($A1335="",0,IF('TMP Paste'!$B1335="",0,1))</f>
        <v>0</v>
      </c>
      <c r="F1335" t="str">
        <f t="shared" si="100"/>
        <v/>
      </c>
      <c r="G1335" t="str">
        <f t="shared" si="101"/>
        <v/>
      </c>
      <c r="H1335" t="str">
        <f t="shared" si="102"/>
        <v/>
      </c>
      <c r="I1335" t="str">
        <f t="shared" si="103"/>
        <v/>
      </c>
      <c r="J1335" t="str">
        <f t="shared" si="104"/>
        <v/>
      </c>
      <c r="K1335" t="str">
        <f>IF($A1335="","",IF(COUNTIF($B$2:$B1335,$B1335)=COUNTIF($B$2:$B$1601,$B1335),$B1335,""))</f>
        <v/>
      </c>
    </row>
    <row r="1336" spans="1:11">
      <c r="A1336" t="str">
        <f>IF('TMP Paste'!$E1336="","",'TMP Paste'!$E1336)</f>
        <v/>
      </c>
      <c r="B1336" t="str">
        <f>IF($A1336="","",COUNTIF('TMP Paste'!$B$2:$B1336,"?*"))</f>
        <v/>
      </c>
      <c r="C1336" t="str">
        <f>IF($A1336="","",IFERROR('TMP Paste'!$M1336*1,0))</f>
        <v/>
      </c>
      <c r="D1336" t="str">
        <f>IF($A1336="","",SUMIF($B$2:$B1336,$B1336,$C$2:$C1336))</f>
        <v/>
      </c>
      <c r="E1336">
        <f>IF($A1336="",0,IF('TMP Paste'!$B1336="",0,1))</f>
        <v>0</v>
      </c>
      <c r="F1336" t="str">
        <f t="shared" si="100"/>
        <v/>
      </c>
      <c r="G1336" t="str">
        <f t="shared" si="101"/>
        <v/>
      </c>
      <c r="H1336" t="str">
        <f t="shared" si="102"/>
        <v/>
      </c>
      <c r="I1336" t="str">
        <f t="shared" si="103"/>
        <v/>
      </c>
      <c r="J1336" t="str">
        <f t="shared" si="104"/>
        <v/>
      </c>
      <c r="K1336" t="str">
        <f>IF($A1336="","",IF(COUNTIF($B$2:$B1336,$B1336)=COUNTIF($B$2:$B$1601,$B1336),$B1336,""))</f>
        <v/>
      </c>
    </row>
    <row r="1337" spans="1:11">
      <c r="A1337" t="str">
        <f>IF('TMP Paste'!$E1337="","",'TMP Paste'!$E1337)</f>
        <v/>
      </c>
      <c r="B1337" t="str">
        <f>IF($A1337="","",COUNTIF('TMP Paste'!$B$2:$B1337,"?*"))</f>
        <v/>
      </c>
      <c r="C1337" t="str">
        <f>IF($A1337="","",IFERROR('TMP Paste'!$M1337*1,0))</f>
        <v/>
      </c>
      <c r="D1337" t="str">
        <f>IF($A1337="","",SUMIF($B$2:$B1337,$B1337,$C$2:$C1337))</f>
        <v/>
      </c>
      <c r="E1337">
        <f>IF($A1337="",0,IF('TMP Paste'!$B1337="",0,1))</f>
        <v>0</v>
      </c>
      <c r="F1337" t="str">
        <f t="shared" si="100"/>
        <v/>
      </c>
      <c r="G1337" t="str">
        <f t="shared" si="101"/>
        <v/>
      </c>
      <c r="H1337" t="str">
        <f t="shared" si="102"/>
        <v/>
      </c>
      <c r="I1337" t="str">
        <f t="shared" si="103"/>
        <v/>
      </c>
      <c r="J1337" t="str">
        <f t="shared" si="104"/>
        <v/>
      </c>
      <c r="K1337" t="str">
        <f>IF($A1337="","",IF(COUNTIF($B$2:$B1337,$B1337)=COUNTIF($B$2:$B$1601,$B1337),$B1337,""))</f>
        <v/>
      </c>
    </row>
    <row r="1338" spans="1:11">
      <c r="A1338" t="str">
        <f>IF('TMP Paste'!$E1338="","",'TMP Paste'!$E1338)</f>
        <v/>
      </c>
      <c r="B1338" t="str">
        <f>IF($A1338="","",COUNTIF('TMP Paste'!$B$2:$B1338,"?*"))</f>
        <v/>
      </c>
      <c r="C1338" t="str">
        <f>IF($A1338="","",IFERROR('TMP Paste'!$M1338*1,0))</f>
        <v/>
      </c>
      <c r="D1338" t="str">
        <f>IF($A1338="","",SUMIF($B$2:$B1338,$B1338,$C$2:$C1338))</f>
        <v/>
      </c>
      <c r="E1338">
        <f>IF($A1338="",0,IF('TMP Paste'!$B1338="",0,1))</f>
        <v>0</v>
      </c>
      <c r="F1338" t="str">
        <f t="shared" si="100"/>
        <v/>
      </c>
      <c r="G1338" t="str">
        <f t="shared" si="101"/>
        <v/>
      </c>
      <c r="H1338" t="str">
        <f t="shared" si="102"/>
        <v/>
      </c>
      <c r="I1338" t="str">
        <f t="shared" si="103"/>
        <v/>
      </c>
      <c r="J1338" t="str">
        <f t="shared" si="104"/>
        <v/>
      </c>
      <c r="K1338" t="str">
        <f>IF($A1338="","",IF(COUNTIF($B$2:$B1338,$B1338)=COUNTIF($B$2:$B$1601,$B1338),$B1338,""))</f>
        <v/>
      </c>
    </row>
    <row r="1339" spans="1:11">
      <c r="A1339" t="str">
        <f>IF('TMP Paste'!$E1339="","",'TMP Paste'!$E1339)</f>
        <v/>
      </c>
      <c r="B1339" t="str">
        <f>IF($A1339="","",COUNTIF('TMP Paste'!$B$2:$B1339,"?*"))</f>
        <v/>
      </c>
      <c r="C1339" t="str">
        <f>IF($A1339="","",IFERROR('TMP Paste'!$M1339*1,0))</f>
        <v/>
      </c>
      <c r="D1339" t="str">
        <f>IF($A1339="","",SUMIF($B$2:$B1339,$B1339,$C$2:$C1339))</f>
        <v/>
      </c>
      <c r="E1339">
        <f>IF($A1339="",0,IF('TMP Paste'!$B1339="",0,1))</f>
        <v>0</v>
      </c>
      <c r="F1339" t="str">
        <f t="shared" si="100"/>
        <v/>
      </c>
      <c r="G1339" t="str">
        <f t="shared" si="101"/>
        <v/>
      </c>
      <c r="H1339" t="str">
        <f t="shared" si="102"/>
        <v/>
      </c>
      <c r="I1339" t="str">
        <f t="shared" si="103"/>
        <v/>
      </c>
      <c r="J1339" t="str">
        <f t="shared" si="104"/>
        <v/>
      </c>
      <c r="K1339" t="str">
        <f>IF($A1339="","",IF(COUNTIF($B$2:$B1339,$B1339)=COUNTIF($B$2:$B$1601,$B1339),$B1339,""))</f>
        <v/>
      </c>
    </row>
    <row r="1340" spans="1:11">
      <c r="A1340" t="str">
        <f>IF('TMP Paste'!$E1340="","",'TMP Paste'!$E1340)</f>
        <v/>
      </c>
      <c r="B1340" t="str">
        <f>IF($A1340="","",COUNTIF('TMP Paste'!$B$2:$B1340,"?*"))</f>
        <v/>
      </c>
      <c r="C1340" t="str">
        <f>IF($A1340="","",IFERROR('TMP Paste'!$M1340*1,0))</f>
        <v/>
      </c>
      <c r="D1340" t="str">
        <f>IF($A1340="","",SUMIF($B$2:$B1340,$B1340,$C$2:$C1340))</f>
        <v/>
      </c>
      <c r="E1340">
        <f>IF($A1340="",0,IF('TMP Paste'!$B1340="",0,1))</f>
        <v>0</v>
      </c>
      <c r="F1340" t="str">
        <f t="shared" si="100"/>
        <v/>
      </c>
      <c r="G1340" t="str">
        <f t="shared" si="101"/>
        <v/>
      </c>
      <c r="H1340" t="str">
        <f t="shared" si="102"/>
        <v/>
      </c>
      <c r="I1340" t="str">
        <f t="shared" si="103"/>
        <v/>
      </c>
      <c r="J1340" t="str">
        <f t="shared" si="104"/>
        <v/>
      </c>
      <c r="K1340" t="str">
        <f>IF($A1340="","",IF(COUNTIF($B$2:$B1340,$B1340)=COUNTIF($B$2:$B$1601,$B1340),$B1340,""))</f>
        <v/>
      </c>
    </row>
    <row r="1341" spans="1:11">
      <c r="A1341" t="str">
        <f>IF('TMP Paste'!$E1341="","",'TMP Paste'!$E1341)</f>
        <v/>
      </c>
      <c r="B1341" t="str">
        <f>IF($A1341="","",COUNTIF('TMP Paste'!$B$2:$B1341,"?*"))</f>
        <v/>
      </c>
      <c r="C1341" t="str">
        <f>IF($A1341="","",IFERROR('TMP Paste'!$M1341*1,0))</f>
        <v/>
      </c>
      <c r="D1341" t="str">
        <f>IF($A1341="","",SUMIF($B$2:$B1341,$B1341,$C$2:$C1341))</f>
        <v/>
      </c>
      <c r="E1341">
        <f>IF($A1341="",0,IF('TMP Paste'!$B1341="",0,1))</f>
        <v>0</v>
      </c>
      <c r="F1341" t="str">
        <f t="shared" si="100"/>
        <v/>
      </c>
      <c r="G1341" t="str">
        <f t="shared" si="101"/>
        <v/>
      </c>
      <c r="H1341" t="str">
        <f t="shared" si="102"/>
        <v/>
      </c>
      <c r="I1341" t="str">
        <f t="shared" si="103"/>
        <v/>
      </c>
      <c r="J1341" t="str">
        <f t="shared" si="104"/>
        <v/>
      </c>
      <c r="K1341" t="str">
        <f>IF($A1341="","",IF(COUNTIF($B$2:$B1341,$B1341)=COUNTIF($B$2:$B$1601,$B1341),$B1341,""))</f>
        <v/>
      </c>
    </row>
    <row r="1342" spans="1:11">
      <c r="A1342" t="str">
        <f>IF('TMP Paste'!$E1342="","",'TMP Paste'!$E1342)</f>
        <v/>
      </c>
      <c r="B1342" t="str">
        <f>IF($A1342="","",COUNTIF('TMP Paste'!$B$2:$B1342,"?*"))</f>
        <v/>
      </c>
      <c r="C1342" t="str">
        <f>IF($A1342="","",IFERROR('TMP Paste'!$M1342*1,0))</f>
        <v/>
      </c>
      <c r="D1342" t="str">
        <f>IF($A1342="","",SUMIF($B$2:$B1342,$B1342,$C$2:$C1342))</f>
        <v/>
      </c>
      <c r="E1342">
        <f>IF($A1342="",0,IF('TMP Paste'!$B1342="",0,1))</f>
        <v>0</v>
      </c>
      <c r="F1342" t="str">
        <f t="shared" si="100"/>
        <v/>
      </c>
      <c r="G1342" t="str">
        <f t="shared" si="101"/>
        <v/>
      </c>
      <c r="H1342" t="str">
        <f t="shared" si="102"/>
        <v/>
      </c>
      <c r="I1342" t="str">
        <f t="shared" si="103"/>
        <v/>
      </c>
      <c r="J1342" t="str">
        <f t="shared" si="104"/>
        <v/>
      </c>
      <c r="K1342" t="str">
        <f>IF($A1342="","",IF(COUNTIF($B$2:$B1342,$B1342)=COUNTIF($B$2:$B$1601,$B1342),$B1342,""))</f>
        <v/>
      </c>
    </row>
    <row r="1343" spans="1:11">
      <c r="A1343" t="str">
        <f>IF('TMP Paste'!$E1343="","",'TMP Paste'!$E1343)</f>
        <v/>
      </c>
      <c r="B1343" t="str">
        <f>IF($A1343="","",COUNTIF('TMP Paste'!$B$2:$B1343,"?*"))</f>
        <v/>
      </c>
      <c r="C1343" t="str">
        <f>IF($A1343="","",IFERROR('TMP Paste'!$M1343*1,0))</f>
        <v/>
      </c>
      <c r="D1343" t="str">
        <f>IF($A1343="","",SUMIF($B$2:$B1343,$B1343,$C$2:$C1343))</f>
        <v/>
      </c>
      <c r="E1343">
        <f>IF($A1343="",0,IF('TMP Paste'!$B1343="",0,1))</f>
        <v>0</v>
      </c>
      <c r="F1343" t="str">
        <f t="shared" si="100"/>
        <v/>
      </c>
      <c r="G1343" t="str">
        <f t="shared" si="101"/>
        <v/>
      </c>
      <c r="H1343" t="str">
        <f t="shared" si="102"/>
        <v/>
      </c>
      <c r="I1343" t="str">
        <f t="shared" si="103"/>
        <v/>
      </c>
      <c r="J1343" t="str">
        <f t="shared" si="104"/>
        <v/>
      </c>
      <c r="K1343" t="str">
        <f>IF($A1343="","",IF(COUNTIF($B$2:$B1343,$B1343)=COUNTIF($B$2:$B$1601,$B1343),$B1343,""))</f>
        <v/>
      </c>
    </row>
    <row r="1344" spans="1:11">
      <c r="A1344" t="str">
        <f>IF('TMP Paste'!$E1344="","",'TMP Paste'!$E1344)</f>
        <v/>
      </c>
      <c r="B1344" t="str">
        <f>IF($A1344="","",COUNTIF('TMP Paste'!$B$2:$B1344,"?*"))</f>
        <v/>
      </c>
      <c r="C1344" t="str">
        <f>IF($A1344="","",IFERROR('TMP Paste'!$M1344*1,0))</f>
        <v/>
      </c>
      <c r="D1344" t="str">
        <f>IF($A1344="","",SUMIF($B$2:$B1344,$B1344,$C$2:$C1344))</f>
        <v/>
      </c>
      <c r="E1344">
        <f>IF($A1344="",0,IF('TMP Paste'!$B1344="",0,1))</f>
        <v>0</v>
      </c>
      <c r="F1344" t="str">
        <f t="shared" si="100"/>
        <v/>
      </c>
      <c r="G1344" t="str">
        <f t="shared" si="101"/>
        <v/>
      </c>
      <c r="H1344" t="str">
        <f t="shared" si="102"/>
        <v/>
      </c>
      <c r="I1344" t="str">
        <f t="shared" si="103"/>
        <v/>
      </c>
      <c r="J1344" t="str">
        <f t="shared" si="104"/>
        <v/>
      </c>
      <c r="K1344" t="str">
        <f>IF($A1344="","",IF(COUNTIF($B$2:$B1344,$B1344)=COUNTIF($B$2:$B$1601,$B1344),$B1344,""))</f>
        <v/>
      </c>
    </row>
    <row r="1345" spans="1:11">
      <c r="A1345" t="str">
        <f>IF('TMP Paste'!$E1345="","",'TMP Paste'!$E1345)</f>
        <v/>
      </c>
      <c r="B1345" t="str">
        <f>IF($A1345="","",COUNTIF('TMP Paste'!$B$2:$B1345,"?*"))</f>
        <v/>
      </c>
      <c r="C1345" t="str">
        <f>IF($A1345="","",IFERROR('TMP Paste'!$M1345*1,0))</f>
        <v/>
      </c>
      <c r="D1345" t="str">
        <f>IF($A1345="","",SUMIF($B$2:$B1345,$B1345,$C$2:$C1345))</f>
        <v/>
      </c>
      <c r="E1345">
        <f>IF($A1345="",0,IF('TMP Paste'!$B1345="",0,1))</f>
        <v>0</v>
      </c>
      <c r="F1345" t="str">
        <f t="shared" si="100"/>
        <v/>
      </c>
      <c r="G1345" t="str">
        <f t="shared" si="101"/>
        <v/>
      </c>
      <c r="H1345" t="str">
        <f t="shared" si="102"/>
        <v/>
      </c>
      <c r="I1345" t="str">
        <f t="shared" si="103"/>
        <v/>
      </c>
      <c r="J1345" t="str">
        <f t="shared" si="104"/>
        <v/>
      </c>
      <c r="K1345" t="str">
        <f>IF($A1345="","",IF(COUNTIF($B$2:$B1345,$B1345)=COUNTIF($B$2:$B$1601,$B1345),$B1345,""))</f>
        <v/>
      </c>
    </row>
    <row r="1346" spans="1:11">
      <c r="A1346" t="str">
        <f>IF('TMP Paste'!$E1346="","",'TMP Paste'!$E1346)</f>
        <v/>
      </c>
      <c r="B1346" t="str">
        <f>IF($A1346="","",COUNTIF('TMP Paste'!$B$2:$B1346,"?*"))</f>
        <v/>
      </c>
      <c r="C1346" t="str">
        <f>IF($A1346="","",IFERROR('TMP Paste'!$M1346*1,0))</f>
        <v/>
      </c>
      <c r="D1346" t="str">
        <f>IF($A1346="","",SUMIF($B$2:$B1346,$B1346,$C$2:$C1346))</f>
        <v/>
      </c>
      <c r="E1346">
        <f>IF($A1346="",0,IF('TMP Paste'!$B1346="",0,1))</f>
        <v>0</v>
      </c>
      <c r="F1346" t="str">
        <f t="shared" ref="F1346:F1409" si="105">IF(OR($A1346="",$C1346&lt;1),"",$A1346&amp;"-"&amp;TEXT(($D1346-$C1346+1),"00")&amp;IF($C1346&gt;=2,", "&amp;$A1346&amp;"-"&amp;TEXT(($D1346-$C1346+1)+1,"00"),"")&amp;IF($C1346&gt;=3,", "&amp;$A1346&amp;"-"&amp;TEXT(($D1346-$C1346+1)+2,"00"),"")&amp;IF($C1346&gt;=4,", "&amp;$A1346&amp;"-"&amp;TEXT(($D1346-$C1346+1)+3,"00"),"")&amp;IF($C1346&gt;=5,", "&amp;$A1346&amp;"-"&amp;TEXT(($D1346-$C1346+1)+4,"00"),"")&amp;IF($C1346&gt;=6,", "&amp;$A1346&amp;"-"&amp;TEXT(($D1346-$C1346+1)+5,"00"),"")&amp;IF($C1346&gt;=7,", "&amp;$A1346&amp;"-"&amp;TEXT(($D1346-$C1346+1)+6,"00"),"")&amp;IF($C1346&gt;=8,", "&amp;$A1346&amp;"-"&amp;TEXT(($D1346-$C1346+1)+7,"00"),"")&amp;IF($C1346&gt;=9,", "&amp;$A1346&amp;"-"&amp;TEXT(($D1346-$C1346+1)+8,"00"),"")&amp;IF($C1346&gt;=10,", "&amp;$A1346&amp;"-"&amp;TEXT(($D1346-$C1346+1)+9,"00"),"")&amp;IF($C1346&gt;=11,", "&amp;$A1346&amp;"-"&amp;TEXT(($D1346-$C1346+1)+10,"00"),"")&amp;IF($C1346&gt;=12,", "&amp;$A1346&amp;"-"&amp;TEXT(($D1346-$C1346+1)+11,"00"),"")&amp;IF($C1346&gt;=13,", "&amp;$A1346&amp;"-"&amp;TEXT(($D1346-$C1346+1)+12,"00"),"")&amp;IF($C1346&gt;=14,", "&amp;$A1346&amp;"-"&amp;TEXT(($D1346-$C1346+1)+13,"00"),"")&amp;IF($C1346&gt;=15,", "&amp;$A1346&amp;"-"&amp;TEXT(($D1346-$C1346+1)+14,"00"),"")&amp;IF($C1346&gt;=16,", "&amp;$A1346&amp;"-"&amp;TEXT(($D1346-$C1346+1)+15,"00"),"")&amp;IF($C1346&gt;=17,", "&amp;$A1346&amp;"-"&amp;TEXT(($D1346-$C1346+1)+16,"00"),"")&amp;IF($C1346&gt;=18,", "&amp;$A1346&amp;"-"&amp;TEXT(($D1346-$C1346+1)+17,"00"),"")&amp;IF($C1346&gt;=19,", "&amp;$A1346&amp;"-"&amp;TEXT(($D1346-$C1346+1)+18,"00"),"")&amp;IF($C1346&gt;=20,", "&amp;$A1346&amp;"-"&amp;TEXT(($D1346-$C1346+1)+19,"00"),"")&amp;IF($C1346&gt;=21,", "&amp;$A1346&amp;"-"&amp;TEXT(($D1346-$C1346+1)+20,"00"),"")&amp;IF($C1346&gt;=22,", "&amp;$A1346&amp;"-"&amp;TEXT(($D1346-$C1346+1)+21,"00"),"")&amp;IF($C1346&gt;=23,", "&amp;$A1346&amp;"-"&amp;TEXT(($D1346-$C1346+1)+22,"00"),"")&amp;IF($C1346&gt;=24,", "&amp;$A1346&amp;"-"&amp;TEXT(($D1346-$C1346+1)+23,"00"),"")&amp;IF($C1346&gt;=25,", "&amp;$A1346&amp;"-"&amp;TEXT(($D1346-$C1346+1)+24,"00"),""))</f>
        <v/>
      </c>
      <c r="G1346" t="str">
        <f t="shared" ref="G1346:G1409" si="106">IF($A1346="","",IF($E1346=1,$F1346,IF($F1346="",$G1345,IF($G1345="",$F1346,$G1345&amp;", "&amp;$F1346))))</f>
        <v/>
      </c>
      <c r="H1346" t="str">
        <f t="shared" ref="H1346:H1409" si="107">IF($A1346="","",$A1346&amp;" ("&amp;$C1346&amp;")")</f>
        <v/>
      </c>
      <c r="I1346" t="str">
        <f t="shared" ref="I1346:I1409" si="108">IF($A1346="","",IF($E1346=1,$H1346,$I1345&amp;", "&amp;$H1346))</f>
        <v/>
      </c>
      <c r="J1346" t="str">
        <f t="shared" ref="J1346:J1409" si="109">IF($A1346="","",IF($E1346=1,$B1346,""))</f>
        <v/>
      </c>
      <c r="K1346" t="str">
        <f>IF($A1346="","",IF(COUNTIF($B$2:$B1346,$B1346)=COUNTIF($B$2:$B$1601,$B1346),$B1346,""))</f>
        <v/>
      </c>
    </row>
    <row r="1347" spans="1:11">
      <c r="A1347" t="str">
        <f>IF('TMP Paste'!$E1347="","",'TMP Paste'!$E1347)</f>
        <v/>
      </c>
      <c r="B1347" t="str">
        <f>IF($A1347="","",COUNTIF('TMP Paste'!$B$2:$B1347,"?*"))</f>
        <v/>
      </c>
      <c r="C1347" t="str">
        <f>IF($A1347="","",IFERROR('TMP Paste'!$M1347*1,0))</f>
        <v/>
      </c>
      <c r="D1347" t="str">
        <f>IF($A1347="","",SUMIF($B$2:$B1347,$B1347,$C$2:$C1347))</f>
        <v/>
      </c>
      <c r="E1347">
        <f>IF($A1347="",0,IF('TMP Paste'!$B1347="",0,1))</f>
        <v>0</v>
      </c>
      <c r="F1347" t="str">
        <f t="shared" si="105"/>
        <v/>
      </c>
      <c r="G1347" t="str">
        <f t="shared" si="106"/>
        <v/>
      </c>
      <c r="H1347" t="str">
        <f t="shared" si="107"/>
        <v/>
      </c>
      <c r="I1347" t="str">
        <f t="shared" si="108"/>
        <v/>
      </c>
      <c r="J1347" t="str">
        <f t="shared" si="109"/>
        <v/>
      </c>
      <c r="K1347" t="str">
        <f>IF($A1347="","",IF(COUNTIF($B$2:$B1347,$B1347)=COUNTIF($B$2:$B$1601,$B1347),$B1347,""))</f>
        <v/>
      </c>
    </row>
    <row r="1348" spans="1:11">
      <c r="A1348" t="str">
        <f>IF('TMP Paste'!$E1348="","",'TMP Paste'!$E1348)</f>
        <v/>
      </c>
      <c r="B1348" t="str">
        <f>IF($A1348="","",COUNTIF('TMP Paste'!$B$2:$B1348,"?*"))</f>
        <v/>
      </c>
      <c r="C1348" t="str">
        <f>IF($A1348="","",IFERROR('TMP Paste'!$M1348*1,0))</f>
        <v/>
      </c>
      <c r="D1348" t="str">
        <f>IF($A1348="","",SUMIF($B$2:$B1348,$B1348,$C$2:$C1348))</f>
        <v/>
      </c>
      <c r="E1348">
        <f>IF($A1348="",0,IF('TMP Paste'!$B1348="",0,1))</f>
        <v>0</v>
      </c>
      <c r="F1348" t="str">
        <f t="shared" si="105"/>
        <v/>
      </c>
      <c r="G1348" t="str">
        <f t="shared" si="106"/>
        <v/>
      </c>
      <c r="H1348" t="str">
        <f t="shared" si="107"/>
        <v/>
      </c>
      <c r="I1348" t="str">
        <f t="shared" si="108"/>
        <v/>
      </c>
      <c r="J1348" t="str">
        <f t="shared" si="109"/>
        <v/>
      </c>
      <c r="K1348" t="str">
        <f>IF($A1348="","",IF(COUNTIF($B$2:$B1348,$B1348)=COUNTIF($B$2:$B$1601,$B1348),$B1348,""))</f>
        <v/>
      </c>
    </row>
    <row r="1349" spans="1:11">
      <c r="A1349" t="str">
        <f>IF('TMP Paste'!$E1349="","",'TMP Paste'!$E1349)</f>
        <v/>
      </c>
      <c r="B1349" t="str">
        <f>IF($A1349="","",COUNTIF('TMP Paste'!$B$2:$B1349,"?*"))</f>
        <v/>
      </c>
      <c r="C1349" t="str">
        <f>IF($A1349="","",IFERROR('TMP Paste'!$M1349*1,0))</f>
        <v/>
      </c>
      <c r="D1349" t="str">
        <f>IF($A1349="","",SUMIF($B$2:$B1349,$B1349,$C$2:$C1349))</f>
        <v/>
      </c>
      <c r="E1349">
        <f>IF($A1349="",0,IF('TMP Paste'!$B1349="",0,1))</f>
        <v>0</v>
      </c>
      <c r="F1349" t="str">
        <f t="shared" si="105"/>
        <v/>
      </c>
      <c r="G1349" t="str">
        <f t="shared" si="106"/>
        <v/>
      </c>
      <c r="H1349" t="str">
        <f t="shared" si="107"/>
        <v/>
      </c>
      <c r="I1349" t="str">
        <f t="shared" si="108"/>
        <v/>
      </c>
      <c r="J1349" t="str">
        <f t="shared" si="109"/>
        <v/>
      </c>
      <c r="K1349" t="str">
        <f>IF($A1349="","",IF(COUNTIF($B$2:$B1349,$B1349)=COUNTIF($B$2:$B$1601,$B1349),$B1349,""))</f>
        <v/>
      </c>
    </row>
    <row r="1350" spans="1:11">
      <c r="A1350" t="str">
        <f>IF('TMP Paste'!$E1350="","",'TMP Paste'!$E1350)</f>
        <v/>
      </c>
      <c r="B1350" t="str">
        <f>IF($A1350="","",COUNTIF('TMP Paste'!$B$2:$B1350,"?*"))</f>
        <v/>
      </c>
      <c r="C1350" t="str">
        <f>IF($A1350="","",IFERROR('TMP Paste'!$M1350*1,0))</f>
        <v/>
      </c>
      <c r="D1350" t="str">
        <f>IF($A1350="","",SUMIF($B$2:$B1350,$B1350,$C$2:$C1350))</f>
        <v/>
      </c>
      <c r="E1350">
        <f>IF($A1350="",0,IF('TMP Paste'!$B1350="",0,1))</f>
        <v>0</v>
      </c>
      <c r="F1350" t="str">
        <f t="shared" si="105"/>
        <v/>
      </c>
      <c r="G1350" t="str">
        <f t="shared" si="106"/>
        <v/>
      </c>
      <c r="H1350" t="str">
        <f t="shared" si="107"/>
        <v/>
      </c>
      <c r="I1350" t="str">
        <f t="shared" si="108"/>
        <v/>
      </c>
      <c r="J1350" t="str">
        <f t="shared" si="109"/>
        <v/>
      </c>
      <c r="K1350" t="str">
        <f>IF($A1350="","",IF(COUNTIF($B$2:$B1350,$B1350)=COUNTIF($B$2:$B$1601,$B1350),$B1350,""))</f>
        <v/>
      </c>
    </row>
    <row r="1351" spans="1:11">
      <c r="A1351" t="str">
        <f>IF('TMP Paste'!$E1351="","",'TMP Paste'!$E1351)</f>
        <v/>
      </c>
      <c r="B1351" t="str">
        <f>IF($A1351="","",COUNTIF('TMP Paste'!$B$2:$B1351,"?*"))</f>
        <v/>
      </c>
      <c r="C1351" t="str">
        <f>IF($A1351="","",IFERROR('TMP Paste'!$M1351*1,0))</f>
        <v/>
      </c>
      <c r="D1351" t="str">
        <f>IF($A1351="","",SUMIF($B$2:$B1351,$B1351,$C$2:$C1351))</f>
        <v/>
      </c>
      <c r="E1351">
        <f>IF($A1351="",0,IF('TMP Paste'!$B1351="",0,1))</f>
        <v>0</v>
      </c>
      <c r="F1351" t="str">
        <f t="shared" si="105"/>
        <v/>
      </c>
      <c r="G1351" t="str">
        <f t="shared" si="106"/>
        <v/>
      </c>
      <c r="H1351" t="str">
        <f t="shared" si="107"/>
        <v/>
      </c>
      <c r="I1351" t="str">
        <f t="shared" si="108"/>
        <v/>
      </c>
      <c r="J1351" t="str">
        <f t="shared" si="109"/>
        <v/>
      </c>
      <c r="K1351" t="str">
        <f>IF($A1351="","",IF(COUNTIF($B$2:$B1351,$B1351)=COUNTIF($B$2:$B$1601,$B1351),$B1351,""))</f>
        <v/>
      </c>
    </row>
    <row r="1352" spans="1:11">
      <c r="A1352" t="str">
        <f>IF('TMP Paste'!$E1352="","",'TMP Paste'!$E1352)</f>
        <v/>
      </c>
      <c r="B1352" t="str">
        <f>IF($A1352="","",COUNTIF('TMP Paste'!$B$2:$B1352,"?*"))</f>
        <v/>
      </c>
      <c r="C1352" t="str">
        <f>IF($A1352="","",IFERROR('TMP Paste'!$M1352*1,0))</f>
        <v/>
      </c>
      <c r="D1352" t="str">
        <f>IF($A1352="","",SUMIF($B$2:$B1352,$B1352,$C$2:$C1352))</f>
        <v/>
      </c>
      <c r="E1352">
        <f>IF($A1352="",0,IF('TMP Paste'!$B1352="",0,1))</f>
        <v>0</v>
      </c>
      <c r="F1352" t="str">
        <f t="shared" si="105"/>
        <v/>
      </c>
      <c r="G1352" t="str">
        <f t="shared" si="106"/>
        <v/>
      </c>
      <c r="H1352" t="str">
        <f t="shared" si="107"/>
        <v/>
      </c>
      <c r="I1352" t="str">
        <f t="shared" si="108"/>
        <v/>
      </c>
      <c r="J1352" t="str">
        <f t="shared" si="109"/>
        <v/>
      </c>
      <c r="K1352" t="str">
        <f>IF($A1352="","",IF(COUNTIF($B$2:$B1352,$B1352)=COUNTIF($B$2:$B$1601,$B1352),$B1352,""))</f>
        <v/>
      </c>
    </row>
    <row r="1353" spans="1:11">
      <c r="A1353" t="str">
        <f>IF('TMP Paste'!$E1353="","",'TMP Paste'!$E1353)</f>
        <v/>
      </c>
      <c r="B1353" t="str">
        <f>IF($A1353="","",COUNTIF('TMP Paste'!$B$2:$B1353,"?*"))</f>
        <v/>
      </c>
      <c r="C1353" t="str">
        <f>IF($A1353="","",IFERROR('TMP Paste'!$M1353*1,0))</f>
        <v/>
      </c>
      <c r="D1353" t="str">
        <f>IF($A1353="","",SUMIF($B$2:$B1353,$B1353,$C$2:$C1353))</f>
        <v/>
      </c>
      <c r="E1353">
        <f>IF($A1353="",0,IF('TMP Paste'!$B1353="",0,1))</f>
        <v>0</v>
      </c>
      <c r="F1353" t="str">
        <f t="shared" si="105"/>
        <v/>
      </c>
      <c r="G1353" t="str">
        <f t="shared" si="106"/>
        <v/>
      </c>
      <c r="H1353" t="str">
        <f t="shared" si="107"/>
        <v/>
      </c>
      <c r="I1353" t="str">
        <f t="shared" si="108"/>
        <v/>
      </c>
      <c r="J1353" t="str">
        <f t="shared" si="109"/>
        <v/>
      </c>
      <c r="K1353" t="str">
        <f>IF($A1353="","",IF(COUNTIF($B$2:$B1353,$B1353)=COUNTIF($B$2:$B$1601,$B1353),$B1353,""))</f>
        <v/>
      </c>
    </row>
    <row r="1354" spans="1:11">
      <c r="A1354" t="str">
        <f>IF('TMP Paste'!$E1354="","",'TMP Paste'!$E1354)</f>
        <v/>
      </c>
      <c r="B1354" t="str">
        <f>IF($A1354="","",COUNTIF('TMP Paste'!$B$2:$B1354,"?*"))</f>
        <v/>
      </c>
      <c r="C1354" t="str">
        <f>IF($A1354="","",IFERROR('TMP Paste'!$M1354*1,0))</f>
        <v/>
      </c>
      <c r="D1354" t="str">
        <f>IF($A1354="","",SUMIF($B$2:$B1354,$B1354,$C$2:$C1354))</f>
        <v/>
      </c>
      <c r="E1354">
        <f>IF($A1354="",0,IF('TMP Paste'!$B1354="",0,1))</f>
        <v>0</v>
      </c>
      <c r="F1354" t="str">
        <f t="shared" si="105"/>
        <v/>
      </c>
      <c r="G1354" t="str">
        <f t="shared" si="106"/>
        <v/>
      </c>
      <c r="H1354" t="str">
        <f t="shared" si="107"/>
        <v/>
      </c>
      <c r="I1354" t="str">
        <f t="shared" si="108"/>
        <v/>
      </c>
      <c r="J1354" t="str">
        <f t="shared" si="109"/>
        <v/>
      </c>
      <c r="K1354" t="str">
        <f>IF($A1354="","",IF(COUNTIF($B$2:$B1354,$B1354)=COUNTIF($B$2:$B$1601,$B1354),$B1354,""))</f>
        <v/>
      </c>
    </row>
    <row r="1355" spans="1:11">
      <c r="A1355" t="str">
        <f>IF('TMP Paste'!$E1355="","",'TMP Paste'!$E1355)</f>
        <v/>
      </c>
      <c r="B1355" t="str">
        <f>IF($A1355="","",COUNTIF('TMP Paste'!$B$2:$B1355,"?*"))</f>
        <v/>
      </c>
      <c r="C1355" t="str">
        <f>IF($A1355="","",IFERROR('TMP Paste'!$M1355*1,0))</f>
        <v/>
      </c>
      <c r="D1355" t="str">
        <f>IF($A1355="","",SUMIF($B$2:$B1355,$B1355,$C$2:$C1355))</f>
        <v/>
      </c>
      <c r="E1355">
        <f>IF($A1355="",0,IF('TMP Paste'!$B1355="",0,1))</f>
        <v>0</v>
      </c>
      <c r="F1355" t="str">
        <f t="shared" si="105"/>
        <v/>
      </c>
      <c r="G1355" t="str">
        <f t="shared" si="106"/>
        <v/>
      </c>
      <c r="H1355" t="str">
        <f t="shared" si="107"/>
        <v/>
      </c>
      <c r="I1355" t="str">
        <f t="shared" si="108"/>
        <v/>
      </c>
      <c r="J1355" t="str">
        <f t="shared" si="109"/>
        <v/>
      </c>
      <c r="K1355" t="str">
        <f>IF($A1355="","",IF(COUNTIF($B$2:$B1355,$B1355)=COUNTIF($B$2:$B$1601,$B1355),$B1355,""))</f>
        <v/>
      </c>
    </row>
    <row r="1356" spans="1:11">
      <c r="A1356" t="str">
        <f>IF('TMP Paste'!$E1356="","",'TMP Paste'!$E1356)</f>
        <v/>
      </c>
      <c r="B1356" t="str">
        <f>IF($A1356="","",COUNTIF('TMP Paste'!$B$2:$B1356,"?*"))</f>
        <v/>
      </c>
      <c r="C1356" t="str">
        <f>IF($A1356="","",IFERROR('TMP Paste'!$M1356*1,0))</f>
        <v/>
      </c>
      <c r="D1356" t="str">
        <f>IF($A1356="","",SUMIF($B$2:$B1356,$B1356,$C$2:$C1356))</f>
        <v/>
      </c>
      <c r="E1356">
        <f>IF($A1356="",0,IF('TMP Paste'!$B1356="",0,1))</f>
        <v>0</v>
      </c>
      <c r="F1356" t="str">
        <f t="shared" si="105"/>
        <v/>
      </c>
      <c r="G1356" t="str">
        <f t="shared" si="106"/>
        <v/>
      </c>
      <c r="H1356" t="str">
        <f t="shared" si="107"/>
        <v/>
      </c>
      <c r="I1356" t="str">
        <f t="shared" si="108"/>
        <v/>
      </c>
      <c r="J1356" t="str">
        <f t="shared" si="109"/>
        <v/>
      </c>
      <c r="K1356" t="str">
        <f>IF($A1356="","",IF(COUNTIF($B$2:$B1356,$B1356)=COUNTIF($B$2:$B$1601,$B1356),$B1356,""))</f>
        <v/>
      </c>
    </row>
    <row r="1357" spans="1:11">
      <c r="A1357" t="str">
        <f>IF('TMP Paste'!$E1357="","",'TMP Paste'!$E1357)</f>
        <v/>
      </c>
      <c r="B1357" t="str">
        <f>IF($A1357="","",COUNTIF('TMP Paste'!$B$2:$B1357,"?*"))</f>
        <v/>
      </c>
      <c r="C1357" t="str">
        <f>IF($A1357="","",IFERROR('TMP Paste'!$M1357*1,0))</f>
        <v/>
      </c>
      <c r="D1357" t="str">
        <f>IF($A1357="","",SUMIF($B$2:$B1357,$B1357,$C$2:$C1357))</f>
        <v/>
      </c>
      <c r="E1357">
        <f>IF($A1357="",0,IF('TMP Paste'!$B1357="",0,1))</f>
        <v>0</v>
      </c>
      <c r="F1357" t="str">
        <f t="shared" si="105"/>
        <v/>
      </c>
      <c r="G1357" t="str">
        <f t="shared" si="106"/>
        <v/>
      </c>
      <c r="H1357" t="str">
        <f t="shared" si="107"/>
        <v/>
      </c>
      <c r="I1357" t="str">
        <f t="shared" si="108"/>
        <v/>
      </c>
      <c r="J1357" t="str">
        <f t="shared" si="109"/>
        <v/>
      </c>
      <c r="K1357" t="str">
        <f>IF($A1357="","",IF(COUNTIF($B$2:$B1357,$B1357)=COUNTIF($B$2:$B$1601,$B1357),$B1357,""))</f>
        <v/>
      </c>
    </row>
    <row r="1358" spans="1:11">
      <c r="A1358" t="str">
        <f>IF('TMP Paste'!$E1358="","",'TMP Paste'!$E1358)</f>
        <v/>
      </c>
      <c r="B1358" t="str">
        <f>IF($A1358="","",COUNTIF('TMP Paste'!$B$2:$B1358,"?*"))</f>
        <v/>
      </c>
      <c r="C1358" t="str">
        <f>IF($A1358="","",IFERROR('TMP Paste'!$M1358*1,0))</f>
        <v/>
      </c>
      <c r="D1358" t="str">
        <f>IF($A1358="","",SUMIF($B$2:$B1358,$B1358,$C$2:$C1358))</f>
        <v/>
      </c>
      <c r="E1358">
        <f>IF($A1358="",0,IF('TMP Paste'!$B1358="",0,1))</f>
        <v>0</v>
      </c>
      <c r="F1358" t="str">
        <f t="shared" si="105"/>
        <v/>
      </c>
      <c r="G1358" t="str">
        <f t="shared" si="106"/>
        <v/>
      </c>
      <c r="H1358" t="str">
        <f t="shared" si="107"/>
        <v/>
      </c>
      <c r="I1358" t="str">
        <f t="shared" si="108"/>
        <v/>
      </c>
      <c r="J1358" t="str">
        <f t="shared" si="109"/>
        <v/>
      </c>
      <c r="K1358" t="str">
        <f>IF($A1358="","",IF(COUNTIF($B$2:$B1358,$B1358)=COUNTIF($B$2:$B$1601,$B1358),$B1358,""))</f>
        <v/>
      </c>
    </row>
    <row r="1359" spans="1:11">
      <c r="A1359" t="str">
        <f>IF('TMP Paste'!$E1359="","",'TMP Paste'!$E1359)</f>
        <v/>
      </c>
      <c r="B1359" t="str">
        <f>IF($A1359="","",COUNTIF('TMP Paste'!$B$2:$B1359,"?*"))</f>
        <v/>
      </c>
      <c r="C1359" t="str">
        <f>IF($A1359="","",IFERROR('TMP Paste'!$M1359*1,0))</f>
        <v/>
      </c>
      <c r="D1359" t="str">
        <f>IF($A1359="","",SUMIF($B$2:$B1359,$B1359,$C$2:$C1359))</f>
        <v/>
      </c>
      <c r="E1359">
        <f>IF($A1359="",0,IF('TMP Paste'!$B1359="",0,1))</f>
        <v>0</v>
      </c>
      <c r="F1359" t="str">
        <f t="shared" si="105"/>
        <v/>
      </c>
      <c r="G1359" t="str">
        <f t="shared" si="106"/>
        <v/>
      </c>
      <c r="H1359" t="str">
        <f t="shared" si="107"/>
        <v/>
      </c>
      <c r="I1359" t="str">
        <f t="shared" si="108"/>
        <v/>
      </c>
      <c r="J1359" t="str">
        <f t="shared" si="109"/>
        <v/>
      </c>
      <c r="K1359" t="str">
        <f>IF($A1359="","",IF(COUNTIF($B$2:$B1359,$B1359)=COUNTIF($B$2:$B$1601,$B1359),$B1359,""))</f>
        <v/>
      </c>
    </row>
    <row r="1360" spans="1:11">
      <c r="A1360" t="str">
        <f>IF('TMP Paste'!$E1360="","",'TMP Paste'!$E1360)</f>
        <v/>
      </c>
      <c r="B1360" t="str">
        <f>IF($A1360="","",COUNTIF('TMP Paste'!$B$2:$B1360,"?*"))</f>
        <v/>
      </c>
      <c r="C1360" t="str">
        <f>IF($A1360="","",IFERROR('TMP Paste'!$M1360*1,0))</f>
        <v/>
      </c>
      <c r="D1360" t="str">
        <f>IF($A1360="","",SUMIF($B$2:$B1360,$B1360,$C$2:$C1360))</f>
        <v/>
      </c>
      <c r="E1360">
        <f>IF($A1360="",0,IF('TMP Paste'!$B1360="",0,1))</f>
        <v>0</v>
      </c>
      <c r="F1360" t="str">
        <f t="shared" si="105"/>
        <v/>
      </c>
      <c r="G1360" t="str">
        <f t="shared" si="106"/>
        <v/>
      </c>
      <c r="H1360" t="str">
        <f t="shared" si="107"/>
        <v/>
      </c>
      <c r="I1360" t="str">
        <f t="shared" si="108"/>
        <v/>
      </c>
      <c r="J1360" t="str">
        <f t="shared" si="109"/>
        <v/>
      </c>
      <c r="K1360" t="str">
        <f>IF($A1360="","",IF(COUNTIF($B$2:$B1360,$B1360)=COUNTIF($B$2:$B$1601,$B1360),$B1360,""))</f>
        <v/>
      </c>
    </row>
    <row r="1361" spans="1:11">
      <c r="A1361" t="str">
        <f>IF('TMP Paste'!$E1361="","",'TMP Paste'!$E1361)</f>
        <v/>
      </c>
      <c r="B1361" t="str">
        <f>IF($A1361="","",COUNTIF('TMP Paste'!$B$2:$B1361,"?*"))</f>
        <v/>
      </c>
      <c r="C1361" t="str">
        <f>IF($A1361="","",IFERROR('TMP Paste'!$M1361*1,0))</f>
        <v/>
      </c>
      <c r="D1361" t="str">
        <f>IF($A1361="","",SUMIF($B$2:$B1361,$B1361,$C$2:$C1361))</f>
        <v/>
      </c>
      <c r="E1361">
        <f>IF($A1361="",0,IF('TMP Paste'!$B1361="",0,1))</f>
        <v>0</v>
      </c>
      <c r="F1361" t="str">
        <f t="shared" si="105"/>
        <v/>
      </c>
      <c r="G1361" t="str">
        <f t="shared" si="106"/>
        <v/>
      </c>
      <c r="H1361" t="str">
        <f t="shared" si="107"/>
        <v/>
      </c>
      <c r="I1361" t="str">
        <f t="shared" si="108"/>
        <v/>
      </c>
      <c r="J1361" t="str">
        <f t="shared" si="109"/>
        <v/>
      </c>
      <c r="K1361" t="str">
        <f>IF($A1361="","",IF(COUNTIF($B$2:$B1361,$B1361)=COUNTIF($B$2:$B$1601,$B1361),$B1361,""))</f>
        <v/>
      </c>
    </row>
    <row r="1362" spans="1:11">
      <c r="A1362" t="str">
        <f>IF('TMP Paste'!$E1362="","",'TMP Paste'!$E1362)</f>
        <v/>
      </c>
      <c r="B1362" t="str">
        <f>IF($A1362="","",COUNTIF('TMP Paste'!$B$2:$B1362,"?*"))</f>
        <v/>
      </c>
      <c r="C1362" t="str">
        <f>IF($A1362="","",IFERROR('TMP Paste'!$M1362*1,0))</f>
        <v/>
      </c>
      <c r="D1362" t="str">
        <f>IF($A1362="","",SUMIF($B$2:$B1362,$B1362,$C$2:$C1362))</f>
        <v/>
      </c>
      <c r="E1362">
        <f>IF($A1362="",0,IF('TMP Paste'!$B1362="",0,1))</f>
        <v>0</v>
      </c>
      <c r="F1362" t="str">
        <f t="shared" si="105"/>
        <v/>
      </c>
      <c r="G1362" t="str">
        <f t="shared" si="106"/>
        <v/>
      </c>
      <c r="H1362" t="str">
        <f t="shared" si="107"/>
        <v/>
      </c>
      <c r="I1362" t="str">
        <f t="shared" si="108"/>
        <v/>
      </c>
      <c r="J1362" t="str">
        <f t="shared" si="109"/>
        <v/>
      </c>
      <c r="K1362" t="str">
        <f>IF($A1362="","",IF(COUNTIF($B$2:$B1362,$B1362)=COUNTIF($B$2:$B$1601,$B1362),$B1362,""))</f>
        <v/>
      </c>
    </row>
    <row r="1363" spans="1:11">
      <c r="A1363" t="str">
        <f>IF('TMP Paste'!$E1363="","",'TMP Paste'!$E1363)</f>
        <v/>
      </c>
      <c r="B1363" t="str">
        <f>IF($A1363="","",COUNTIF('TMP Paste'!$B$2:$B1363,"?*"))</f>
        <v/>
      </c>
      <c r="C1363" t="str">
        <f>IF($A1363="","",IFERROR('TMP Paste'!$M1363*1,0))</f>
        <v/>
      </c>
      <c r="D1363" t="str">
        <f>IF($A1363="","",SUMIF($B$2:$B1363,$B1363,$C$2:$C1363))</f>
        <v/>
      </c>
      <c r="E1363">
        <f>IF($A1363="",0,IF('TMP Paste'!$B1363="",0,1))</f>
        <v>0</v>
      </c>
      <c r="F1363" t="str">
        <f t="shared" si="105"/>
        <v/>
      </c>
      <c r="G1363" t="str">
        <f t="shared" si="106"/>
        <v/>
      </c>
      <c r="H1363" t="str">
        <f t="shared" si="107"/>
        <v/>
      </c>
      <c r="I1363" t="str">
        <f t="shared" si="108"/>
        <v/>
      </c>
      <c r="J1363" t="str">
        <f t="shared" si="109"/>
        <v/>
      </c>
      <c r="K1363" t="str">
        <f>IF($A1363="","",IF(COUNTIF($B$2:$B1363,$B1363)=COUNTIF($B$2:$B$1601,$B1363),$B1363,""))</f>
        <v/>
      </c>
    </row>
    <row r="1364" spans="1:11">
      <c r="A1364" t="str">
        <f>IF('TMP Paste'!$E1364="","",'TMP Paste'!$E1364)</f>
        <v/>
      </c>
      <c r="B1364" t="str">
        <f>IF($A1364="","",COUNTIF('TMP Paste'!$B$2:$B1364,"?*"))</f>
        <v/>
      </c>
      <c r="C1364" t="str">
        <f>IF($A1364="","",IFERROR('TMP Paste'!$M1364*1,0))</f>
        <v/>
      </c>
      <c r="D1364" t="str">
        <f>IF($A1364="","",SUMIF($B$2:$B1364,$B1364,$C$2:$C1364))</f>
        <v/>
      </c>
      <c r="E1364">
        <f>IF($A1364="",0,IF('TMP Paste'!$B1364="",0,1))</f>
        <v>0</v>
      </c>
      <c r="F1364" t="str">
        <f t="shared" si="105"/>
        <v/>
      </c>
      <c r="G1364" t="str">
        <f t="shared" si="106"/>
        <v/>
      </c>
      <c r="H1364" t="str">
        <f t="shared" si="107"/>
        <v/>
      </c>
      <c r="I1364" t="str">
        <f t="shared" si="108"/>
        <v/>
      </c>
      <c r="J1364" t="str">
        <f t="shared" si="109"/>
        <v/>
      </c>
      <c r="K1364" t="str">
        <f>IF($A1364="","",IF(COUNTIF($B$2:$B1364,$B1364)=COUNTIF($B$2:$B$1601,$B1364),$B1364,""))</f>
        <v/>
      </c>
    </row>
    <row r="1365" spans="1:11">
      <c r="A1365" t="str">
        <f>IF('TMP Paste'!$E1365="","",'TMP Paste'!$E1365)</f>
        <v/>
      </c>
      <c r="B1365" t="str">
        <f>IF($A1365="","",COUNTIF('TMP Paste'!$B$2:$B1365,"?*"))</f>
        <v/>
      </c>
      <c r="C1365" t="str">
        <f>IF($A1365="","",IFERROR('TMP Paste'!$M1365*1,0))</f>
        <v/>
      </c>
      <c r="D1365" t="str">
        <f>IF($A1365="","",SUMIF($B$2:$B1365,$B1365,$C$2:$C1365))</f>
        <v/>
      </c>
      <c r="E1365">
        <f>IF($A1365="",0,IF('TMP Paste'!$B1365="",0,1))</f>
        <v>0</v>
      </c>
      <c r="F1365" t="str">
        <f t="shared" si="105"/>
        <v/>
      </c>
      <c r="G1365" t="str">
        <f t="shared" si="106"/>
        <v/>
      </c>
      <c r="H1365" t="str">
        <f t="shared" si="107"/>
        <v/>
      </c>
      <c r="I1365" t="str">
        <f t="shared" si="108"/>
        <v/>
      </c>
      <c r="J1365" t="str">
        <f t="shared" si="109"/>
        <v/>
      </c>
      <c r="K1365" t="str">
        <f>IF($A1365="","",IF(COUNTIF($B$2:$B1365,$B1365)=COUNTIF($B$2:$B$1601,$B1365),$B1365,""))</f>
        <v/>
      </c>
    </row>
    <row r="1366" spans="1:11">
      <c r="A1366" t="str">
        <f>IF('TMP Paste'!$E1366="","",'TMP Paste'!$E1366)</f>
        <v/>
      </c>
      <c r="B1366" t="str">
        <f>IF($A1366="","",COUNTIF('TMP Paste'!$B$2:$B1366,"?*"))</f>
        <v/>
      </c>
      <c r="C1366" t="str">
        <f>IF($A1366="","",IFERROR('TMP Paste'!$M1366*1,0))</f>
        <v/>
      </c>
      <c r="D1366" t="str">
        <f>IF($A1366="","",SUMIF($B$2:$B1366,$B1366,$C$2:$C1366))</f>
        <v/>
      </c>
      <c r="E1366">
        <f>IF($A1366="",0,IF('TMP Paste'!$B1366="",0,1))</f>
        <v>0</v>
      </c>
      <c r="F1366" t="str">
        <f t="shared" si="105"/>
        <v/>
      </c>
      <c r="G1366" t="str">
        <f t="shared" si="106"/>
        <v/>
      </c>
      <c r="H1366" t="str">
        <f t="shared" si="107"/>
        <v/>
      </c>
      <c r="I1366" t="str">
        <f t="shared" si="108"/>
        <v/>
      </c>
      <c r="J1366" t="str">
        <f t="shared" si="109"/>
        <v/>
      </c>
      <c r="K1366" t="str">
        <f>IF($A1366="","",IF(COUNTIF($B$2:$B1366,$B1366)=COUNTIF($B$2:$B$1601,$B1366),$B1366,""))</f>
        <v/>
      </c>
    </row>
    <row r="1367" spans="1:11">
      <c r="A1367" t="str">
        <f>IF('TMP Paste'!$E1367="","",'TMP Paste'!$E1367)</f>
        <v/>
      </c>
      <c r="B1367" t="str">
        <f>IF($A1367="","",COUNTIF('TMP Paste'!$B$2:$B1367,"?*"))</f>
        <v/>
      </c>
      <c r="C1367" t="str">
        <f>IF($A1367="","",IFERROR('TMP Paste'!$M1367*1,0))</f>
        <v/>
      </c>
      <c r="D1367" t="str">
        <f>IF($A1367="","",SUMIF($B$2:$B1367,$B1367,$C$2:$C1367))</f>
        <v/>
      </c>
      <c r="E1367">
        <f>IF($A1367="",0,IF('TMP Paste'!$B1367="",0,1))</f>
        <v>0</v>
      </c>
      <c r="F1367" t="str">
        <f t="shared" si="105"/>
        <v/>
      </c>
      <c r="G1367" t="str">
        <f t="shared" si="106"/>
        <v/>
      </c>
      <c r="H1367" t="str">
        <f t="shared" si="107"/>
        <v/>
      </c>
      <c r="I1367" t="str">
        <f t="shared" si="108"/>
        <v/>
      </c>
      <c r="J1367" t="str">
        <f t="shared" si="109"/>
        <v/>
      </c>
      <c r="K1367" t="str">
        <f>IF($A1367="","",IF(COUNTIF($B$2:$B1367,$B1367)=COUNTIF($B$2:$B$1601,$B1367),$B1367,""))</f>
        <v/>
      </c>
    </row>
    <row r="1368" spans="1:11">
      <c r="A1368" t="str">
        <f>IF('TMP Paste'!$E1368="","",'TMP Paste'!$E1368)</f>
        <v/>
      </c>
      <c r="B1368" t="str">
        <f>IF($A1368="","",COUNTIF('TMP Paste'!$B$2:$B1368,"?*"))</f>
        <v/>
      </c>
      <c r="C1368" t="str">
        <f>IF($A1368="","",IFERROR('TMP Paste'!$M1368*1,0))</f>
        <v/>
      </c>
      <c r="D1368" t="str">
        <f>IF($A1368="","",SUMIF($B$2:$B1368,$B1368,$C$2:$C1368))</f>
        <v/>
      </c>
      <c r="E1368">
        <f>IF($A1368="",0,IF('TMP Paste'!$B1368="",0,1))</f>
        <v>0</v>
      </c>
      <c r="F1368" t="str">
        <f t="shared" si="105"/>
        <v/>
      </c>
      <c r="G1368" t="str">
        <f t="shared" si="106"/>
        <v/>
      </c>
      <c r="H1368" t="str">
        <f t="shared" si="107"/>
        <v/>
      </c>
      <c r="I1368" t="str">
        <f t="shared" si="108"/>
        <v/>
      </c>
      <c r="J1368" t="str">
        <f t="shared" si="109"/>
        <v/>
      </c>
      <c r="K1368" t="str">
        <f>IF($A1368="","",IF(COUNTIF($B$2:$B1368,$B1368)=COUNTIF($B$2:$B$1601,$B1368),$B1368,""))</f>
        <v/>
      </c>
    </row>
    <row r="1369" spans="1:11">
      <c r="A1369" t="str">
        <f>IF('TMP Paste'!$E1369="","",'TMP Paste'!$E1369)</f>
        <v/>
      </c>
      <c r="B1369" t="str">
        <f>IF($A1369="","",COUNTIF('TMP Paste'!$B$2:$B1369,"?*"))</f>
        <v/>
      </c>
      <c r="C1369" t="str">
        <f>IF($A1369="","",IFERROR('TMP Paste'!$M1369*1,0))</f>
        <v/>
      </c>
      <c r="D1369" t="str">
        <f>IF($A1369="","",SUMIF($B$2:$B1369,$B1369,$C$2:$C1369))</f>
        <v/>
      </c>
      <c r="E1369">
        <f>IF($A1369="",0,IF('TMP Paste'!$B1369="",0,1))</f>
        <v>0</v>
      </c>
      <c r="F1369" t="str">
        <f t="shared" si="105"/>
        <v/>
      </c>
      <c r="G1369" t="str">
        <f t="shared" si="106"/>
        <v/>
      </c>
      <c r="H1369" t="str">
        <f t="shared" si="107"/>
        <v/>
      </c>
      <c r="I1369" t="str">
        <f t="shared" si="108"/>
        <v/>
      </c>
      <c r="J1369" t="str">
        <f t="shared" si="109"/>
        <v/>
      </c>
      <c r="K1369" t="str">
        <f>IF($A1369="","",IF(COUNTIF($B$2:$B1369,$B1369)=COUNTIF($B$2:$B$1601,$B1369),$B1369,""))</f>
        <v/>
      </c>
    </row>
    <row r="1370" spans="1:11">
      <c r="A1370" t="str">
        <f>IF('TMP Paste'!$E1370="","",'TMP Paste'!$E1370)</f>
        <v/>
      </c>
      <c r="B1370" t="str">
        <f>IF($A1370="","",COUNTIF('TMP Paste'!$B$2:$B1370,"?*"))</f>
        <v/>
      </c>
      <c r="C1370" t="str">
        <f>IF($A1370="","",IFERROR('TMP Paste'!$M1370*1,0))</f>
        <v/>
      </c>
      <c r="D1370" t="str">
        <f>IF($A1370="","",SUMIF($B$2:$B1370,$B1370,$C$2:$C1370))</f>
        <v/>
      </c>
      <c r="E1370">
        <f>IF($A1370="",0,IF('TMP Paste'!$B1370="",0,1))</f>
        <v>0</v>
      </c>
      <c r="F1370" t="str">
        <f t="shared" si="105"/>
        <v/>
      </c>
      <c r="G1370" t="str">
        <f t="shared" si="106"/>
        <v/>
      </c>
      <c r="H1370" t="str">
        <f t="shared" si="107"/>
        <v/>
      </c>
      <c r="I1370" t="str">
        <f t="shared" si="108"/>
        <v/>
      </c>
      <c r="J1370" t="str">
        <f t="shared" si="109"/>
        <v/>
      </c>
      <c r="K1370" t="str">
        <f>IF($A1370="","",IF(COUNTIF($B$2:$B1370,$B1370)=COUNTIF($B$2:$B$1601,$B1370),$B1370,""))</f>
        <v/>
      </c>
    </row>
    <row r="1371" spans="1:11">
      <c r="A1371" t="str">
        <f>IF('TMP Paste'!$E1371="","",'TMP Paste'!$E1371)</f>
        <v/>
      </c>
      <c r="B1371" t="str">
        <f>IF($A1371="","",COUNTIF('TMP Paste'!$B$2:$B1371,"?*"))</f>
        <v/>
      </c>
      <c r="C1371" t="str">
        <f>IF($A1371="","",IFERROR('TMP Paste'!$M1371*1,0))</f>
        <v/>
      </c>
      <c r="D1371" t="str">
        <f>IF($A1371="","",SUMIF($B$2:$B1371,$B1371,$C$2:$C1371))</f>
        <v/>
      </c>
      <c r="E1371">
        <f>IF($A1371="",0,IF('TMP Paste'!$B1371="",0,1))</f>
        <v>0</v>
      </c>
      <c r="F1371" t="str">
        <f t="shared" si="105"/>
        <v/>
      </c>
      <c r="G1371" t="str">
        <f t="shared" si="106"/>
        <v/>
      </c>
      <c r="H1371" t="str">
        <f t="shared" si="107"/>
        <v/>
      </c>
      <c r="I1371" t="str">
        <f t="shared" si="108"/>
        <v/>
      </c>
      <c r="J1371" t="str">
        <f t="shared" si="109"/>
        <v/>
      </c>
      <c r="K1371" t="str">
        <f>IF($A1371="","",IF(COUNTIF($B$2:$B1371,$B1371)=COUNTIF($B$2:$B$1601,$B1371),$B1371,""))</f>
        <v/>
      </c>
    </row>
    <row r="1372" spans="1:11">
      <c r="A1372" t="str">
        <f>IF('TMP Paste'!$E1372="","",'TMP Paste'!$E1372)</f>
        <v/>
      </c>
      <c r="B1372" t="str">
        <f>IF($A1372="","",COUNTIF('TMP Paste'!$B$2:$B1372,"?*"))</f>
        <v/>
      </c>
      <c r="C1372" t="str">
        <f>IF($A1372="","",IFERROR('TMP Paste'!$M1372*1,0))</f>
        <v/>
      </c>
      <c r="D1372" t="str">
        <f>IF($A1372="","",SUMIF($B$2:$B1372,$B1372,$C$2:$C1372))</f>
        <v/>
      </c>
      <c r="E1372">
        <f>IF($A1372="",0,IF('TMP Paste'!$B1372="",0,1))</f>
        <v>0</v>
      </c>
      <c r="F1372" t="str">
        <f t="shared" si="105"/>
        <v/>
      </c>
      <c r="G1372" t="str">
        <f t="shared" si="106"/>
        <v/>
      </c>
      <c r="H1372" t="str">
        <f t="shared" si="107"/>
        <v/>
      </c>
      <c r="I1372" t="str">
        <f t="shared" si="108"/>
        <v/>
      </c>
      <c r="J1372" t="str">
        <f t="shared" si="109"/>
        <v/>
      </c>
      <c r="K1372" t="str">
        <f>IF($A1372="","",IF(COUNTIF($B$2:$B1372,$B1372)=COUNTIF($B$2:$B$1601,$B1372),$B1372,""))</f>
        <v/>
      </c>
    </row>
    <row r="1373" spans="1:11">
      <c r="A1373" t="str">
        <f>IF('TMP Paste'!$E1373="","",'TMP Paste'!$E1373)</f>
        <v/>
      </c>
      <c r="B1373" t="str">
        <f>IF($A1373="","",COUNTIF('TMP Paste'!$B$2:$B1373,"?*"))</f>
        <v/>
      </c>
      <c r="C1373" t="str">
        <f>IF($A1373="","",IFERROR('TMP Paste'!$M1373*1,0))</f>
        <v/>
      </c>
      <c r="D1373" t="str">
        <f>IF($A1373="","",SUMIF($B$2:$B1373,$B1373,$C$2:$C1373))</f>
        <v/>
      </c>
      <c r="E1373">
        <f>IF($A1373="",0,IF('TMP Paste'!$B1373="",0,1))</f>
        <v>0</v>
      </c>
      <c r="F1373" t="str">
        <f t="shared" si="105"/>
        <v/>
      </c>
      <c r="G1373" t="str">
        <f t="shared" si="106"/>
        <v/>
      </c>
      <c r="H1373" t="str">
        <f t="shared" si="107"/>
        <v/>
      </c>
      <c r="I1373" t="str">
        <f t="shared" si="108"/>
        <v/>
      </c>
      <c r="J1373" t="str">
        <f t="shared" si="109"/>
        <v/>
      </c>
      <c r="K1373" t="str">
        <f>IF($A1373="","",IF(COUNTIF($B$2:$B1373,$B1373)=COUNTIF($B$2:$B$1601,$B1373),$B1373,""))</f>
        <v/>
      </c>
    </row>
    <row r="1374" spans="1:11">
      <c r="A1374" t="str">
        <f>IF('TMP Paste'!$E1374="","",'TMP Paste'!$E1374)</f>
        <v/>
      </c>
      <c r="B1374" t="str">
        <f>IF($A1374="","",COUNTIF('TMP Paste'!$B$2:$B1374,"?*"))</f>
        <v/>
      </c>
      <c r="C1374" t="str">
        <f>IF($A1374="","",IFERROR('TMP Paste'!$M1374*1,0))</f>
        <v/>
      </c>
      <c r="D1374" t="str">
        <f>IF($A1374="","",SUMIF($B$2:$B1374,$B1374,$C$2:$C1374))</f>
        <v/>
      </c>
      <c r="E1374">
        <f>IF($A1374="",0,IF('TMP Paste'!$B1374="",0,1))</f>
        <v>0</v>
      </c>
      <c r="F1374" t="str">
        <f t="shared" si="105"/>
        <v/>
      </c>
      <c r="G1374" t="str">
        <f t="shared" si="106"/>
        <v/>
      </c>
      <c r="H1374" t="str">
        <f t="shared" si="107"/>
        <v/>
      </c>
      <c r="I1374" t="str">
        <f t="shared" si="108"/>
        <v/>
      </c>
      <c r="J1374" t="str">
        <f t="shared" si="109"/>
        <v/>
      </c>
      <c r="K1374" t="str">
        <f>IF($A1374="","",IF(COUNTIF($B$2:$B1374,$B1374)=COUNTIF($B$2:$B$1601,$B1374),$B1374,""))</f>
        <v/>
      </c>
    </row>
    <row r="1375" spans="1:11">
      <c r="A1375" t="str">
        <f>IF('TMP Paste'!$E1375="","",'TMP Paste'!$E1375)</f>
        <v/>
      </c>
      <c r="B1375" t="str">
        <f>IF($A1375="","",COUNTIF('TMP Paste'!$B$2:$B1375,"?*"))</f>
        <v/>
      </c>
      <c r="C1375" t="str">
        <f>IF($A1375="","",IFERROR('TMP Paste'!$M1375*1,0))</f>
        <v/>
      </c>
      <c r="D1375" t="str">
        <f>IF($A1375="","",SUMIF($B$2:$B1375,$B1375,$C$2:$C1375))</f>
        <v/>
      </c>
      <c r="E1375">
        <f>IF($A1375="",0,IF('TMP Paste'!$B1375="",0,1))</f>
        <v>0</v>
      </c>
      <c r="F1375" t="str">
        <f t="shared" si="105"/>
        <v/>
      </c>
      <c r="G1375" t="str">
        <f t="shared" si="106"/>
        <v/>
      </c>
      <c r="H1375" t="str">
        <f t="shared" si="107"/>
        <v/>
      </c>
      <c r="I1375" t="str">
        <f t="shared" si="108"/>
        <v/>
      </c>
      <c r="J1375" t="str">
        <f t="shared" si="109"/>
        <v/>
      </c>
      <c r="K1375" t="str">
        <f>IF($A1375="","",IF(COUNTIF($B$2:$B1375,$B1375)=COUNTIF($B$2:$B$1601,$B1375),$B1375,""))</f>
        <v/>
      </c>
    </row>
    <row r="1376" spans="1:11">
      <c r="A1376" t="str">
        <f>IF('TMP Paste'!$E1376="","",'TMP Paste'!$E1376)</f>
        <v/>
      </c>
      <c r="B1376" t="str">
        <f>IF($A1376="","",COUNTIF('TMP Paste'!$B$2:$B1376,"?*"))</f>
        <v/>
      </c>
      <c r="C1376" t="str">
        <f>IF($A1376="","",IFERROR('TMP Paste'!$M1376*1,0))</f>
        <v/>
      </c>
      <c r="D1376" t="str">
        <f>IF($A1376="","",SUMIF($B$2:$B1376,$B1376,$C$2:$C1376))</f>
        <v/>
      </c>
      <c r="E1376">
        <f>IF($A1376="",0,IF('TMP Paste'!$B1376="",0,1))</f>
        <v>0</v>
      </c>
      <c r="F1376" t="str">
        <f t="shared" si="105"/>
        <v/>
      </c>
      <c r="G1376" t="str">
        <f t="shared" si="106"/>
        <v/>
      </c>
      <c r="H1376" t="str">
        <f t="shared" si="107"/>
        <v/>
      </c>
      <c r="I1376" t="str">
        <f t="shared" si="108"/>
        <v/>
      </c>
      <c r="J1376" t="str">
        <f t="shared" si="109"/>
        <v/>
      </c>
      <c r="K1376" t="str">
        <f>IF($A1376="","",IF(COUNTIF($B$2:$B1376,$B1376)=COUNTIF($B$2:$B$1601,$B1376),$B1376,""))</f>
        <v/>
      </c>
    </row>
    <row r="1377" spans="1:11">
      <c r="A1377" t="str">
        <f>IF('TMP Paste'!$E1377="","",'TMP Paste'!$E1377)</f>
        <v/>
      </c>
      <c r="B1377" t="str">
        <f>IF($A1377="","",COUNTIF('TMP Paste'!$B$2:$B1377,"?*"))</f>
        <v/>
      </c>
      <c r="C1377" t="str">
        <f>IF($A1377="","",IFERROR('TMP Paste'!$M1377*1,0))</f>
        <v/>
      </c>
      <c r="D1377" t="str">
        <f>IF($A1377="","",SUMIF($B$2:$B1377,$B1377,$C$2:$C1377))</f>
        <v/>
      </c>
      <c r="E1377">
        <f>IF($A1377="",0,IF('TMP Paste'!$B1377="",0,1))</f>
        <v>0</v>
      </c>
      <c r="F1377" t="str">
        <f t="shared" si="105"/>
        <v/>
      </c>
      <c r="G1377" t="str">
        <f t="shared" si="106"/>
        <v/>
      </c>
      <c r="H1377" t="str">
        <f t="shared" si="107"/>
        <v/>
      </c>
      <c r="I1377" t="str">
        <f t="shared" si="108"/>
        <v/>
      </c>
      <c r="J1377" t="str">
        <f t="shared" si="109"/>
        <v/>
      </c>
      <c r="K1377" t="str">
        <f>IF($A1377="","",IF(COUNTIF($B$2:$B1377,$B1377)=COUNTIF($B$2:$B$1601,$B1377),$B1377,""))</f>
        <v/>
      </c>
    </row>
    <row r="1378" spans="1:11">
      <c r="A1378" t="str">
        <f>IF('TMP Paste'!$E1378="","",'TMP Paste'!$E1378)</f>
        <v/>
      </c>
      <c r="B1378" t="str">
        <f>IF($A1378="","",COUNTIF('TMP Paste'!$B$2:$B1378,"?*"))</f>
        <v/>
      </c>
      <c r="C1378" t="str">
        <f>IF($A1378="","",IFERROR('TMP Paste'!$M1378*1,0))</f>
        <v/>
      </c>
      <c r="D1378" t="str">
        <f>IF($A1378="","",SUMIF($B$2:$B1378,$B1378,$C$2:$C1378))</f>
        <v/>
      </c>
      <c r="E1378">
        <f>IF($A1378="",0,IF('TMP Paste'!$B1378="",0,1))</f>
        <v>0</v>
      </c>
      <c r="F1378" t="str">
        <f t="shared" si="105"/>
        <v/>
      </c>
      <c r="G1378" t="str">
        <f t="shared" si="106"/>
        <v/>
      </c>
      <c r="H1378" t="str">
        <f t="shared" si="107"/>
        <v/>
      </c>
      <c r="I1378" t="str">
        <f t="shared" si="108"/>
        <v/>
      </c>
      <c r="J1378" t="str">
        <f t="shared" si="109"/>
        <v/>
      </c>
      <c r="K1378" t="str">
        <f>IF($A1378="","",IF(COUNTIF($B$2:$B1378,$B1378)=COUNTIF($B$2:$B$1601,$B1378),$B1378,""))</f>
        <v/>
      </c>
    </row>
    <row r="1379" spans="1:11">
      <c r="A1379" t="str">
        <f>IF('TMP Paste'!$E1379="","",'TMP Paste'!$E1379)</f>
        <v/>
      </c>
      <c r="B1379" t="str">
        <f>IF($A1379="","",COUNTIF('TMP Paste'!$B$2:$B1379,"?*"))</f>
        <v/>
      </c>
      <c r="C1379" t="str">
        <f>IF($A1379="","",IFERROR('TMP Paste'!$M1379*1,0))</f>
        <v/>
      </c>
      <c r="D1379" t="str">
        <f>IF($A1379="","",SUMIF($B$2:$B1379,$B1379,$C$2:$C1379))</f>
        <v/>
      </c>
      <c r="E1379">
        <f>IF($A1379="",0,IF('TMP Paste'!$B1379="",0,1))</f>
        <v>0</v>
      </c>
      <c r="F1379" t="str">
        <f t="shared" si="105"/>
        <v/>
      </c>
      <c r="G1379" t="str">
        <f t="shared" si="106"/>
        <v/>
      </c>
      <c r="H1379" t="str">
        <f t="shared" si="107"/>
        <v/>
      </c>
      <c r="I1379" t="str">
        <f t="shared" si="108"/>
        <v/>
      </c>
      <c r="J1379" t="str">
        <f t="shared" si="109"/>
        <v/>
      </c>
      <c r="K1379" t="str">
        <f>IF($A1379="","",IF(COUNTIF($B$2:$B1379,$B1379)=COUNTIF($B$2:$B$1601,$B1379),$B1379,""))</f>
        <v/>
      </c>
    </row>
    <row r="1380" spans="1:11">
      <c r="A1380" t="str">
        <f>IF('TMP Paste'!$E1380="","",'TMP Paste'!$E1380)</f>
        <v/>
      </c>
      <c r="B1380" t="str">
        <f>IF($A1380="","",COUNTIF('TMP Paste'!$B$2:$B1380,"?*"))</f>
        <v/>
      </c>
      <c r="C1380" t="str">
        <f>IF($A1380="","",IFERROR('TMP Paste'!$M1380*1,0))</f>
        <v/>
      </c>
      <c r="D1380" t="str">
        <f>IF($A1380="","",SUMIF($B$2:$B1380,$B1380,$C$2:$C1380))</f>
        <v/>
      </c>
      <c r="E1380">
        <f>IF($A1380="",0,IF('TMP Paste'!$B1380="",0,1))</f>
        <v>0</v>
      </c>
      <c r="F1380" t="str">
        <f t="shared" si="105"/>
        <v/>
      </c>
      <c r="G1380" t="str">
        <f t="shared" si="106"/>
        <v/>
      </c>
      <c r="H1380" t="str">
        <f t="shared" si="107"/>
        <v/>
      </c>
      <c r="I1380" t="str">
        <f t="shared" si="108"/>
        <v/>
      </c>
      <c r="J1380" t="str">
        <f t="shared" si="109"/>
        <v/>
      </c>
      <c r="K1380" t="str">
        <f>IF($A1380="","",IF(COUNTIF($B$2:$B1380,$B1380)=COUNTIF($B$2:$B$1601,$B1380),$B1380,""))</f>
        <v/>
      </c>
    </row>
    <row r="1381" spans="1:11">
      <c r="A1381" t="str">
        <f>IF('TMP Paste'!$E1381="","",'TMP Paste'!$E1381)</f>
        <v/>
      </c>
      <c r="B1381" t="str">
        <f>IF($A1381="","",COUNTIF('TMP Paste'!$B$2:$B1381,"?*"))</f>
        <v/>
      </c>
      <c r="C1381" t="str">
        <f>IF($A1381="","",IFERROR('TMP Paste'!$M1381*1,0))</f>
        <v/>
      </c>
      <c r="D1381" t="str">
        <f>IF($A1381="","",SUMIF($B$2:$B1381,$B1381,$C$2:$C1381))</f>
        <v/>
      </c>
      <c r="E1381">
        <f>IF($A1381="",0,IF('TMP Paste'!$B1381="",0,1))</f>
        <v>0</v>
      </c>
      <c r="F1381" t="str">
        <f t="shared" si="105"/>
        <v/>
      </c>
      <c r="G1381" t="str">
        <f t="shared" si="106"/>
        <v/>
      </c>
      <c r="H1381" t="str">
        <f t="shared" si="107"/>
        <v/>
      </c>
      <c r="I1381" t="str">
        <f t="shared" si="108"/>
        <v/>
      </c>
      <c r="J1381" t="str">
        <f t="shared" si="109"/>
        <v/>
      </c>
      <c r="K1381" t="str">
        <f>IF($A1381="","",IF(COUNTIF($B$2:$B1381,$B1381)=COUNTIF($B$2:$B$1601,$B1381),$B1381,""))</f>
        <v/>
      </c>
    </row>
    <row r="1382" spans="1:11">
      <c r="A1382" t="str">
        <f>IF('TMP Paste'!$E1382="","",'TMP Paste'!$E1382)</f>
        <v/>
      </c>
      <c r="B1382" t="str">
        <f>IF($A1382="","",COUNTIF('TMP Paste'!$B$2:$B1382,"?*"))</f>
        <v/>
      </c>
      <c r="C1382" t="str">
        <f>IF($A1382="","",IFERROR('TMP Paste'!$M1382*1,0))</f>
        <v/>
      </c>
      <c r="D1382" t="str">
        <f>IF($A1382="","",SUMIF($B$2:$B1382,$B1382,$C$2:$C1382))</f>
        <v/>
      </c>
      <c r="E1382">
        <f>IF($A1382="",0,IF('TMP Paste'!$B1382="",0,1))</f>
        <v>0</v>
      </c>
      <c r="F1382" t="str">
        <f t="shared" si="105"/>
        <v/>
      </c>
      <c r="G1382" t="str">
        <f t="shared" si="106"/>
        <v/>
      </c>
      <c r="H1382" t="str">
        <f t="shared" si="107"/>
        <v/>
      </c>
      <c r="I1382" t="str">
        <f t="shared" si="108"/>
        <v/>
      </c>
      <c r="J1382" t="str">
        <f t="shared" si="109"/>
        <v/>
      </c>
      <c r="K1382" t="str">
        <f>IF($A1382="","",IF(COUNTIF($B$2:$B1382,$B1382)=COUNTIF($B$2:$B$1601,$B1382),$B1382,""))</f>
        <v/>
      </c>
    </row>
    <row r="1383" spans="1:11">
      <c r="A1383" t="str">
        <f>IF('TMP Paste'!$E1383="","",'TMP Paste'!$E1383)</f>
        <v/>
      </c>
      <c r="B1383" t="str">
        <f>IF($A1383="","",COUNTIF('TMP Paste'!$B$2:$B1383,"?*"))</f>
        <v/>
      </c>
      <c r="C1383" t="str">
        <f>IF($A1383="","",IFERROR('TMP Paste'!$M1383*1,0))</f>
        <v/>
      </c>
      <c r="D1383" t="str">
        <f>IF($A1383="","",SUMIF($B$2:$B1383,$B1383,$C$2:$C1383))</f>
        <v/>
      </c>
      <c r="E1383">
        <f>IF($A1383="",0,IF('TMP Paste'!$B1383="",0,1))</f>
        <v>0</v>
      </c>
      <c r="F1383" t="str">
        <f t="shared" si="105"/>
        <v/>
      </c>
      <c r="G1383" t="str">
        <f t="shared" si="106"/>
        <v/>
      </c>
      <c r="H1383" t="str">
        <f t="shared" si="107"/>
        <v/>
      </c>
      <c r="I1383" t="str">
        <f t="shared" si="108"/>
        <v/>
      </c>
      <c r="J1383" t="str">
        <f t="shared" si="109"/>
        <v/>
      </c>
      <c r="K1383" t="str">
        <f>IF($A1383="","",IF(COUNTIF($B$2:$B1383,$B1383)=COUNTIF($B$2:$B$1601,$B1383),$B1383,""))</f>
        <v/>
      </c>
    </row>
    <row r="1384" spans="1:11">
      <c r="A1384" t="str">
        <f>IF('TMP Paste'!$E1384="","",'TMP Paste'!$E1384)</f>
        <v/>
      </c>
      <c r="B1384" t="str">
        <f>IF($A1384="","",COUNTIF('TMP Paste'!$B$2:$B1384,"?*"))</f>
        <v/>
      </c>
      <c r="C1384" t="str">
        <f>IF($A1384="","",IFERROR('TMP Paste'!$M1384*1,0))</f>
        <v/>
      </c>
      <c r="D1384" t="str">
        <f>IF($A1384="","",SUMIF($B$2:$B1384,$B1384,$C$2:$C1384))</f>
        <v/>
      </c>
      <c r="E1384">
        <f>IF($A1384="",0,IF('TMP Paste'!$B1384="",0,1))</f>
        <v>0</v>
      </c>
      <c r="F1384" t="str">
        <f t="shared" si="105"/>
        <v/>
      </c>
      <c r="G1384" t="str">
        <f t="shared" si="106"/>
        <v/>
      </c>
      <c r="H1384" t="str">
        <f t="shared" si="107"/>
        <v/>
      </c>
      <c r="I1384" t="str">
        <f t="shared" si="108"/>
        <v/>
      </c>
      <c r="J1384" t="str">
        <f t="shared" si="109"/>
        <v/>
      </c>
      <c r="K1384" t="str">
        <f>IF($A1384="","",IF(COUNTIF($B$2:$B1384,$B1384)=COUNTIF($B$2:$B$1601,$B1384),$B1384,""))</f>
        <v/>
      </c>
    </row>
    <row r="1385" spans="1:11">
      <c r="A1385" t="str">
        <f>IF('TMP Paste'!$E1385="","",'TMP Paste'!$E1385)</f>
        <v/>
      </c>
      <c r="B1385" t="str">
        <f>IF($A1385="","",COUNTIF('TMP Paste'!$B$2:$B1385,"?*"))</f>
        <v/>
      </c>
      <c r="C1385" t="str">
        <f>IF($A1385="","",IFERROR('TMP Paste'!$M1385*1,0))</f>
        <v/>
      </c>
      <c r="D1385" t="str">
        <f>IF($A1385="","",SUMIF($B$2:$B1385,$B1385,$C$2:$C1385))</f>
        <v/>
      </c>
      <c r="E1385">
        <f>IF($A1385="",0,IF('TMP Paste'!$B1385="",0,1))</f>
        <v>0</v>
      </c>
      <c r="F1385" t="str">
        <f t="shared" si="105"/>
        <v/>
      </c>
      <c r="G1385" t="str">
        <f t="shared" si="106"/>
        <v/>
      </c>
      <c r="H1385" t="str">
        <f t="shared" si="107"/>
        <v/>
      </c>
      <c r="I1385" t="str">
        <f t="shared" si="108"/>
        <v/>
      </c>
      <c r="J1385" t="str">
        <f t="shared" si="109"/>
        <v/>
      </c>
      <c r="K1385" t="str">
        <f>IF($A1385="","",IF(COUNTIF($B$2:$B1385,$B1385)=COUNTIF($B$2:$B$1601,$B1385),$B1385,""))</f>
        <v/>
      </c>
    </row>
    <row r="1386" spans="1:11">
      <c r="A1386" t="str">
        <f>IF('TMP Paste'!$E1386="","",'TMP Paste'!$E1386)</f>
        <v/>
      </c>
      <c r="B1386" t="str">
        <f>IF($A1386="","",COUNTIF('TMP Paste'!$B$2:$B1386,"?*"))</f>
        <v/>
      </c>
      <c r="C1386" t="str">
        <f>IF($A1386="","",IFERROR('TMP Paste'!$M1386*1,0))</f>
        <v/>
      </c>
      <c r="D1386" t="str">
        <f>IF($A1386="","",SUMIF($B$2:$B1386,$B1386,$C$2:$C1386))</f>
        <v/>
      </c>
      <c r="E1386">
        <f>IF($A1386="",0,IF('TMP Paste'!$B1386="",0,1))</f>
        <v>0</v>
      </c>
      <c r="F1386" t="str">
        <f t="shared" si="105"/>
        <v/>
      </c>
      <c r="G1386" t="str">
        <f t="shared" si="106"/>
        <v/>
      </c>
      <c r="H1386" t="str">
        <f t="shared" si="107"/>
        <v/>
      </c>
      <c r="I1386" t="str">
        <f t="shared" si="108"/>
        <v/>
      </c>
      <c r="J1386" t="str">
        <f t="shared" si="109"/>
        <v/>
      </c>
      <c r="K1386" t="str">
        <f>IF($A1386="","",IF(COUNTIF($B$2:$B1386,$B1386)=COUNTIF($B$2:$B$1601,$B1386),$B1386,""))</f>
        <v/>
      </c>
    </row>
    <row r="1387" spans="1:11">
      <c r="A1387" t="str">
        <f>IF('TMP Paste'!$E1387="","",'TMP Paste'!$E1387)</f>
        <v/>
      </c>
      <c r="B1387" t="str">
        <f>IF($A1387="","",COUNTIF('TMP Paste'!$B$2:$B1387,"?*"))</f>
        <v/>
      </c>
      <c r="C1387" t="str">
        <f>IF($A1387="","",IFERROR('TMP Paste'!$M1387*1,0))</f>
        <v/>
      </c>
      <c r="D1387" t="str">
        <f>IF($A1387="","",SUMIF($B$2:$B1387,$B1387,$C$2:$C1387))</f>
        <v/>
      </c>
      <c r="E1387">
        <f>IF($A1387="",0,IF('TMP Paste'!$B1387="",0,1))</f>
        <v>0</v>
      </c>
      <c r="F1387" t="str">
        <f t="shared" si="105"/>
        <v/>
      </c>
      <c r="G1387" t="str">
        <f t="shared" si="106"/>
        <v/>
      </c>
      <c r="H1387" t="str">
        <f t="shared" si="107"/>
        <v/>
      </c>
      <c r="I1387" t="str">
        <f t="shared" si="108"/>
        <v/>
      </c>
      <c r="J1387" t="str">
        <f t="shared" si="109"/>
        <v/>
      </c>
      <c r="K1387" t="str">
        <f>IF($A1387="","",IF(COUNTIF($B$2:$B1387,$B1387)=COUNTIF($B$2:$B$1601,$B1387),$B1387,""))</f>
        <v/>
      </c>
    </row>
    <row r="1388" spans="1:11">
      <c r="A1388" t="str">
        <f>IF('TMP Paste'!$E1388="","",'TMP Paste'!$E1388)</f>
        <v/>
      </c>
      <c r="B1388" t="str">
        <f>IF($A1388="","",COUNTIF('TMP Paste'!$B$2:$B1388,"?*"))</f>
        <v/>
      </c>
      <c r="C1388" t="str">
        <f>IF($A1388="","",IFERROR('TMP Paste'!$M1388*1,0))</f>
        <v/>
      </c>
      <c r="D1388" t="str">
        <f>IF($A1388="","",SUMIF($B$2:$B1388,$B1388,$C$2:$C1388))</f>
        <v/>
      </c>
      <c r="E1388">
        <f>IF($A1388="",0,IF('TMP Paste'!$B1388="",0,1))</f>
        <v>0</v>
      </c>
      <c r="F1388" t="str">
        <f t="shared" si="105"/>
        <v/>
      </c>
      <c r="G1388" t="str">
        <f t="shared" si="106"/>
        <v/>
      </c>
      <c r="H1388" t="str">
        <f t="shared" si="107"/>
        <v/>
      </c>
      <c r="I1388" t="str">
        <f t="shared" si="108"/>
        <v/>
      </c>
      <c r="J1388" t="str">
        <f t="shared" si="109"/>
        <v/>
      </c>
      <c r="K1388" t="str">
        <f>IF($A1388="","",IF(COUNTIF($B$2:$B1388,$B1388)=COUNTIF($B$2:$B$1601,$B1388),$B1388,""))</f>
        <v/>
      </c>
    </row>
    <row r="1389" spans="1:11">
      <c r="A1389" t="str">
        <f>IF('TMP Paste'!$E1389="","",'TMP Paste'!$E1389)</f>
        <v/>
      </c>
      <c r="B1389" t="str">
        <f>IF($A1389="","",COUNTIF('TMP Paste'!$B$2:$B1389,"?*"))</f>
        <v/>
      </c>
      <c r="C1389" t="str">
        <f>IF($A1389="","",IFERROR('TMP Paste'!$M1389*1,0))</f>
        <v/>
      </c>
      <c r="D1389" t="str">
        <f>IF($A1389="","",SUMIF($B$2:$B1389,$B1389,$C$2:$C1389))</f>
        <v/>
      </c>
      <c r="E1389">
        <f>IF($A1389="",0,IF('TMP Paste'!$B1389="",0,1))</f>
        <v>0</v>
      </c>
      <c r="F1389" t="str">
        <f t="shared" si="105"/>
        <v/>
      </c>
      <c r="G1389" t="str">
        <f t="shared" si="106"/>
        <v/>
      </c>
      <c r="H1389" t="str">
        <f t="shared" si="107"/>
        <v/>
      </c>
      <c r="I1389" t="str">
        <f t="shared" si="108"/>
        <v/>
      </c>
      <c r="J1389" t="str">
        <f t="shared" si="109"/>
        <v/>
      </c>
      <c r="K1389" t="str">
        <f>IF($A1389="","",IF(COUNTIF($B$2:$B1389,$B1389)=COUNTIF($B$2:$B$1601,$B1389),$B1389,""))</f>
        <v/>
      </c>
    </row>
    <row r="1390" spans="1:11">
      <c r="A1390" t="str">
        <f>IF('TMP Paste'!$E1390="","",'TMP Paste'!$E1390)</f>
        <v/>
      </c>
      <c r="B1390" t="str">
        <f>IF($A1390="","",COUNTIF('TMP Paste'!$B$2:$B1390,"?*"))</f>
        <v/>
      </c>
      <c r="C1390" t="str">
        <f>IF($A1390="","",IFERROR('TMP Paste'!$M1390*1,0))</f>
        <v/>
      </c>
      <c r="D1390" t="str">
        <f>IF($A1390="","",SUMIF($B$2:$B1390,$B1390,$C$2:$C1390))</f>
        <v/>
      </c>
      <c r="E1390">
        <f>IF($A1390="",0,IF('TMP Paste'!$B1390="",0,1))</f>
        <v>0</v>
      </c>
      <c r="F1390" t="str">
        <f t="shared" si="105"/>
        <v/>
      </c>
      <c r="G1390" t="str">
        <f t="shared" si="106"/>
        <v/>
      </c>
      <c r="H1390" t="str">
        <f t="shared" si="107"/>
        <v/>
      </c>
      <c r="I1390" t="str">
        <f t="shared" si="108"/>
        <v/>
      </c>
      <c r="J1390" t="str">
        <f t="shared" si="109"/>
        <v/>
      </c>
      <c r="K1390" t="str">
        <f>IF($A1390="","",IF(COUNTIF($B$2:$B1390,$B1390)=COUNTIF($B$2:$B$1601,$B1390),$B1390,""))</f>
        <v/>
      </c>
    </row>
    <row r="1391" spans="1:11">
      <c r="A1391" t="str">
        <f>IF('TMP Paste'!$E1391="","",'TMP Paste'!$E1391)</f>
        <v/>
      </c>
      <c r="B1391" t="str">
        <f>IF($A1391="","",COUNTIF('TMP Paste'!$B$2:$B1391,"?*"))</f>
        <v/>
      </c>
      <c r="C1391" t="str">
        <f>IF($A1391="","",IFERROR('TMP Paste'!$M1391*1,0))</f>
        <v/>
      </c>
      <c r="D1391" t="str">
        <f>IF($A1391="","",SUMIF($B$2:$B1391,$B1391,$C$2:$C1391))</f>
        <v/>
      </c>
      <c r="E1391">
        <f>IF($A1391="",0,IF('TMP Paste'!$B1391="",0,1))</f>
        <v>0</v>
      </c>
      <c r="F1391" t="str">
        <f t="shared" si="105"/>
        <v/>
      </c>
      <c r="G1391" t="str">
        <f t="shared" si="106"/>
        <v/>
      </c>
      <c r="H1391" t="str">
        <f t="shared" si="107"/>
        <v/>
      </c>
      <c r="I1391" t="str">
        <f t="shared" si="108"/>
        <v/>
      </c>
      <c r="J1391" t="str">
        <f t="shared" si="109"/>
        <v/>
      </c>
      <c r="K1391" t="str">
        <f>IF($A1391="","",IF(COUNTIF($B$2:$B1391,$B1391)=COUNTIF($B$2:$B$1601,$B1391),$B1391,""))</f>
        <v/>
      </c>
    </row>
    <row r="1392" spans="1:11">
      <c r="A1392" t="str">
        <f>IF('TMP Paste'!$E1392="","",'TMP Paste'!$E1392)</f>
        <v/>
      </c>
      <c r="B1392" t="str">
        <f>IF($A1392="","",COUNTIF('TMP Paste'!$B$2:$B1392,"?*"))</f>
        <v/>
      </c>
      <c r="C1392" t="str">
        <f>IF($A1392="","",IFERROR('TMP Paste'!$M1392*1,0))</f>
        <v/>
      </c>
      <c r="D1392" t="str">
        <f>IF($A1392="","",SUMIF($B$2:$B1392,$B1392,$C$2:$C1392))</f>
        <v/>
      </c>
      <c r="E1392">
        <f>IF($A1392="",0,IF('TMP Paste'!$B1392="",0,1))</f>
        <v>0</v>
      </c>
      <c r="F1392" t="str">
        <f t="shared" si="105"/>
        <v/>
      </c>
      <c r="G1392" t="str">
        <f t="shared" si="106"/>
        <v/>
      </c>
      <c r="H1392" t="str">
        <f t="shared" si="107"/>
        <v/>
      </c>
      <c r="I1392" t="str">
        <f t="shared" si="108"/>
        <v/>
      </c>
      <c r="J1392" t="str">
        <f t="shared" si="109"/>
        <v/>
      </c>
      <c r="K1392" t="str">
        <f>IF($A1392="","",IF(COUNTIF($B$2:$B1392,$B1392)=COUNTIF($B$2:$B$1601,$B1392),$B1392,""))</f>
        <v/>
      </c>
    </row>
    <row r="1393" spans="1:11">
      <c r="A1393" t="str">
        <f>IF('TMP Paste'!$E1393="","",'TMP Paste'!$E1393)</f>
        <v/>
      </c>
      <c r="B1393" t="str">
        <f>IF($A1393="","",COUNTIF('TMP Paste'!$B$2:$B1393,"?*"))</f>
        <v/>
      </c>
      <c r="C1393" t="str">
        <f>IF($A1393="","",IFERROR('TMP Paste'!$M1393*1,0))</f>
        <v/>
      </c>
      <c r="D1393" t="str">
        <f>IF($A1393="","",SUMIF($B$2:$B1393,$B1393,$C$2:$C1393))</f>
        <v/>
      </c>
      <c r="E1393">
        <f>IF($A1393="",0,IF('TMP Paste'!$B1393="",0,1))</f>
        <v>0</v>
      </c>
      <c r="F1393" t="str">
        <f t="shared" si="105"/>
        <v/>
      </c>
      <c r="G1393" t="str">
        <f t="shared" si="106"/>
        <v/>
      </c>
      <c r="H1393" t="str">
        <f t="shared" si="107"/>
        <v/>
      </c>
      <c r="I1393" t="str">
        <f t="shared" si="108"/>
        <v/>
      </c>
      <c r="J1393" t="str">
        <f t="shared" si="109"/>
        <v/>
      </c>
      <c r="K1393" t="str">
        <f>IF($A1393="","",IF(COUNTIF($B$2:$B1393,$B1393)=COUNTIF($B$2:$B$1601,$B1393),$B1393,""))</f>
        <v/>
      </c>
    </row>
    <row r="1394" spans="1:11">
      <c r="A1394" t="str">
        <f>IF('TMP Paste'!$E1394="","",'TMP Paste'!$E1394)</f>
        <v/>
      </c>
      <c r="B1394" t="str">
        <f>IF($A1394="","",COUNTIF('TMP Paste'!$B$2:$B1394,"?*"))</f>
        <v/>
      </c>
      <c r="C1394" t="str">
        <f>IF($A1394="","",IFERROR('TMP Paste'!$M1394*1,0))</f>
        <v/>
      </c>
      <c r="D1394" t="str">
        <f>IF($A1394="","",SUMIF($B$2:$B1394,$B1394,$C$2:$C1394))</f>
        <v/>
      </c>
      <c r="E1394">
        <f>IF($A1394="",0,IF('TMP Paste'!$B1394="",0,1))</f>
        <v>0</v>
      </c>
      <c r="F1394" t="str">
        <f t="shared" si="105"/>
        <v/>
      </c>
      <c r="G1394" t="str">
        <f t="shared" si="106"/>
        <v/>
      </c>
      <c r="H1394" t="str">
        <f t="shared" si="107"/>
        <v/>
      </c>
      <c r="I1394" t="str">
        <f t="shared" si="108"/>
        <v/>
      </c>
      <c r="J1394" t="str">
        <f t="shared" si="109"/>
        <v/>
      </c>
      <c r="K1394" t="str">
        <f>IF($A1394="","",IF(COUNTIF($B$2:$B1394,$B1394)=COUNTIF($B$2:$B$1601,$B1394),$B1394,""))</f>
        <v/>
      </c>
    </row>
    <row r="1395" spans="1:11">
      <c r="A1395" t="str">
        <f>IF('TMP Paste'!$E1395="","",'TMP Paste'!$E1395)</f>
        <v/>
      </c>
      <c r="B1395" t="str">
        <f>IF($A1395="","",COUNTIF('TMP Paste'!$B$2:$B1395,"?*"))</f>
        <v/>
      </c>
      <c r="C1395" t="str">
        <f>IF($A1395="","",IFERROR('TMP Paste'!$M1395*1,0))</f>
        <v/>
      </c>
      <c r="D1395" t="str">
        <f>IF($A1395="","",SUMIF($B$2:$B1395,$B1395,$C$2:$C1395))</f>
        <v/>
      </c>
      <c r="E1395">
        <f>IF($A1395="",0,IF('TMP Paste'!$B1395="",0,1))</f>
        <v>0</v>
      </c>
      <c r="F1395" t="str">
        <f t="shared" si="105"/>
        <v/>
      </c>
      <c r="G1395" t="str">
        <f t="shared" si="106"/>
        <v/>
      </c>
      <c r="H1395" t="str">
        <f t="shared" si="107"/>
        <v/>
      </c>
      <c r="I1395" t="str">
        <f t="shared" si="108"/>
        <v/>
      </c>
      <c r="J1395" t="str">
        <f t="shared" si="109"/>
        <v/>
      </c>
      <c r="K1395" t="str">
        <f>IF($A1395="","",IF(COUNTIF($B$2:$B1395,$B1395)=COUNTIF($B$2:$B$1601,$B1395),$B1395,""))</f>
        <v/>
      </c>
    </row>
    <row r="1396" spans="1:11">
      <c r="A1396" t="str">
        <f>IF('TMP Paste'!$E1396="","",'TMP Paste'!$E1396)</f>
        <v/>
      </c>
      <c r="B1396" t="str">
        <f>IF($A1396="","",COUNTIF('TMP Paste'!$B$2:$B1396,"?*"))</f>
        <v/>
      </c>
      <c r="C1396" t="str">
        <f>IF($A1396="","",IFERROR('TMP Paste'!$M1396*1,0))</f>
        <v/>
      </c>
      <c r="D1396" t="str">
        <f>IF($A1396="","",SUMIF($B$2:$B1396,$B1396,$C$2:$C1396))</f>
        <v/>
      </c>
      <c r="E1396">
        <f>IF($A1396="",0,IF('TMP Paste'!$B1396="",0,1))</f>
        <v>0</v>
      </c>
      <c r="F1396" t="str">
        <f t="shared" si="105"/>
        <v/>
      </c>
      <c r="G1396" t="str">
        <f t="shared" si="106"/>
        <v/>
      </c>
      <c r="H1396" t="str">
        <f t="shared" si="107"/>
        <v/>
      </c>
      <c r="I1396" t="str">
        <f t="shared" si="108"/>
        <v/>
      </c>
      <c r="J1396" t="str">
        <f t="shared" si="109"/>
        <v/>
      </c>
      <c r="K1396" t="str">
        <f>IF($A1396="","",IF(COUNTIF($B$2:$B1396,$B1396)=COUNTIF($B$2:$B$1601,$B1396),$B1396,""))</f>
        <v/>
      </c>
    </row>
    <row r="1397" spans="1:11">
      <c r="A1397" t="str">
        <f>IF('TMP Paste'!$E1397="","",'TMP Paste'!$E1397)</f>
        <v/>
      </c>
      <c r="B1397" t="str">
        <f>IF($A1397="","",COUNTIF('TMP Paste'!$B$2:$B1397,"?*"))</f>
        <v/>
      </c>
      <c r="C1397" t="str">
        <f>IF($A1397="","",IFERROR('TMP Paste'!$M1397*1,0))</f>
        <v/>
      </c>
      <c r="D1397" t="str">
        <f>IF($A1397="","",SUMIF($B$2:$B1397,$B1397,$C$2:$C1397))</f>
        <v/>
      </c>
      <c r="E1397">
        <f>IF($A1397="",0,IF('TMP Paste'!$B1397="",0,1))</f>
        <v>0</v>
      </c>
      <c r="F1397" t="str">
        <f t="shared" si="105"/>
        <v/>
      </c>
      <c r="G1397" t="str">
        <f t="shared" si="106"/>
        <v/>
      </c>
      <c r="H1397" t="str">
        <f t="shared" si="107"/>
        <v/>
      </c>
      <c r="I1397" t="str">
        <f t="shared" si="108"/>
        <v/>
      </c>
      <c r="J1397" t="str">
        <f t="shared" si="109"/>
        <v/>
      </c>
      <c r="K1397" t="str">
        <f>IF($A1397="","",IF(COUNTIF($B$2:$B1397,$B1397)=COUNTIF($B$2:$B$1601,$B1397),$B1397,""))</f>
        <v/>
      </c>
    </row>
    <row r="1398" spans="1:11">
      <c r="A1398" t="str">
        <f>IF('TMP Paste'!$E1398="","",'TMP Paste'!$E1398)</f>
        <v/>
      </c>
      <c r="B1398" t="str">
        <f>IF($A1398="","",COUNTIF('TMP Paste'!$B$2:$B1398,"?*"))</f>
        <v/>
      </c>
      <c r="C1398" t="str">
        <f>IF($A1398="","",IFERROR('TMP Paste'!$M1398*1,0))</f>
        <v/>
      </c>
      <c r="D1398" t="str">
        <f>IF($A1398="","",SUMIF($B$2:$B1398,$B1398,$C$2:$C1398))</f>
        <v/>
      </c>
      <c r="E1398">
        <f>IF($A1398="",0,IF('TMP Paste'!$B1398="",0,1))</f>
        <v>0</v>
      </c>
      <c r="F1398" t="str">
        <f t="shared" si="105"/>
        <v/>
      </c>
      <c r="G1398" t="str">
        <f t="shared" si="106"/>
        <v/>
      </c>
      <c r="H1398" t="str">
        <f t="shared" si="107"/>
        <v/>
      </c>
      <c r="I1398" t="str">
        <f t="shared" si="108"/>
        <v/>
      </c>
      <c r="J1398" t="str">
        <f t="shared" si="109"/>
        <v/>
      </c>
      <c r="K1398" t="str">
        <f>IF($A1398="","",IF(COUNTIF($B$2:$B1398,$B1398)=COUNTIF($B$2:$B$1601,$B1398),$B1398,""))</f>
        <v/>
      </c>
    </row>
    <row r="1399" spans="1:11">
      <c r="A1399" t="str">
        <f>IF('TMP Paste'!$E1399="","",'TMP Paste'!$E1399)</f>
        <v/>
      </c>
      <c r="B1399" t="str">
        <f>IF($A1399="","",COUNTIF('TMP Paste'!$B$2:$B1399,"?*"))</f>
        <v/>
      </c>
      <c r="C1399" t="str">
        <f>IF($A1399="","",IFERROR('TMP Paste'!$M1399*1,0))</f>
        <v/>
      </c>
      <c r="D1399" t="str">
        <f>IF($A1399="","",SUMIF($B$2:$B1399,$B1399,$C$2:$C1399))</f>
        <v/>
      </c>
      <c r="E1399">
        <f>IF($A1399="",0,IF('TMP Paste'!$B1399="",0,1))</f>
        <v>0</v>
      </c>
      <c r="F1399" t="str">
        <f t="shared" si="105"/>
        <v/>
      </c>
      <c r="G1399" t="str">
        <f t="shared" si="106"/>
        <v/>
      </c>
      <c r="H1399" t="str">
        <f t="shared" si="107"/>
        <v/>
      </c>
      <c r="I1399" t="str">
        <f t="shared" si="108"/>
        <v/>
      </c>
      <c r="J1399" t="str">
        <f t="shared" si="109"/>
        <v/>
      </c>
      <c r="K1399" t="str">
        <f>IF($A1399="","",IF(COUNTIF($B$2:$B1399,$B1399)=COUNTIF($B$2:$B$1601,$B1399),$B1399,""))</f>
        <v/>
      </c>
    </row>
    <row r="1400" spans="1:11">
      <c r="A1400" t="str">
        <f>IF('TMP Paste'!$E1400="","",'TMP Paste'!$E1400)</f>
        <v/>
      </c>
      <c r="B1400" t="str">
        <f>IF($A1400="","",COUNTIF('TMP Paste'!$B$2:$B1400,"?*"))</f>
        <v/>
      </c>
      <c r="C1400" t="str">
        <f>IF($A1400="","",IFERROR('TMP Paste'!$M1400*1,0))</f>
        <v/>
      </c>
      <c r="D1400" t="str">
        <f>IF($A1400="","",SUMIF($B$2:$B1400,$B1400,$C$2:$C1400))</f>
        <v/>
      </c>
      <c r="E1400">
        <f>IF($A1400="",0,IF('TMP Paste'!$B1400="",0,1))</f>
        <v>0</v>
      </c>
      <c r="F1400" t="str">
        <f t="shared" si="105"/>
        <v/>
      </c>
      <c r="G1400" t="str">
        <f t="shared" si="106"/>
        <v/>
      </c>
      <c r="H1400" t="str">
        <f t="shared" si="107"/>
        <v/>
      </c>
      <c r="I1400" t="str">
        <f t="shared" si="108"/>
        <v/>
      </c>
      <c r="J1400" t="str">
        <f t="shared" si="109"/>
        <v/>
      </c>
      <c r="K1400" t="str">
        <f>IF($A1400="","",IF(COUNTIF($B$2:$B1400,$B1400)=COUNTIF($B$2:$B$1601,$B1400),$B1400,""))</f>
        <v/>
      </c>
    </row>
    <row r="1401" spans="1:11">
      <c r="A1401" t="str">
        <f>IF('TMP Paste'!$E1401="","",'TMP Paste'!$E1401)</f>
        <v/>
      </c>
      <c r="B1401" t="str">
        <f>IF($A1401="","",COUNTIF('TMP Paste'!$B$2:$B1401,"?*"))</f>
        <v/>
      </c>
      <c r="C1401" t="str">
        <f>IF($A1401="","",IFERROR('TMP Paste'!$M1401*1,0))</f>
        <v/>
      </c>
      <c r="D1401" t="str">
        <f>IF($A1401="","",SUMIF($B$2:$B1401,$B1401,$C$2:$C1401))</f>
        <v/>
      </c>
      <c r="E1401">
        <f>IF($A1401="",0,IF('TMP Paste'!$B1401="",0,1))</f>
        <v>0</v>
      </c>
      <c r="F1401" t="str">
        <f t="shared" si="105"/>
        <v/>
      </c>
      <c r="G1401" t="str">
        <f t="shared" si="106"/>
        <v/>
      </c>
      <c r="H1401" t="str">
        <f t="shared" si="107"/>
        <v/>
      </c>
      <c r="I1401" t="str">
        <f t="shared" si="108"/>
        <v/>
      </c>
      <c r="J1401" t="str">
        <f t="shared" si="109"/>
        <v/>
      </c>
      <c r="K1401" t="str">
        <f>IF($A1401="","",IF(COUNTIF($B$2:$B1401,$B1401)=COUNTIF($B$2:$B$1601,$B1401),$B1401,""))</f>
        <v/>
      </c>
    </row>
    <row r="1402" spans="1:11">
      <c r="A1402" t="str">
        <f>IF('TMP Paste'!$E1402="","",'TMP Paste'!$E1402)</f>
        <v/>
      </c>
      <c r="B1402" t="str">
        <f>IF($A1402="","",COUNTIF('TMP Paste'!$B$2:$B1402,"?*"))</f>
        <v/>
      </c>
      <c r="C1402" t="str">
        <f>IF($A1402="","",IFERROR('TMP Paste'!$M1402*1,0))</f>
        <v/>
      </c>
      <c r="D1402" t="str">
        <f>IF($A1402="","",SUMIF($B$2:$B1402,$B1402,$C$2:$C1402))</f>
        <v/>
      </c>
      <c r="E1402">
        <f>IF($A1402="",0,IF('TMP Paste'!$B1402="",0,1))</f>
        <v>0</v>
      </c>
      <c r="F1402" t="str">
        <f t="shared" si="105"/>
        <v/>
      </c>
      <c r="G1402" t="str">
        <f t="shared" si="106"/>
        <v/>
      </c>
      <c r="H1402" t="str">
        <f t="shared" si="107"/>
        <v/>
      </c>
      <c r="I1402" t="str">
        <f t="shared" si="108"/>
        <v/>
      </c>
      <c r="J1402" t="str">
        <f t="shared" si="109"/>
        <v/>
      </c>
      <c r="K1402" t="str">
        <f>IF($A1402="","",IF(COUNTIF($B$2:$B1402,$B1402)=COUNTIF($B$2:$B$1601,$B1402),$B1402,""))</f>
        <v/>
      </c>
    </row>
    <row r="1403" spans="1:11">
      <c r="A1403" t="str">
        <f>IF('TMP Paste'!$E1403="","",'TMP Paste'!$E1403)</f>
        <v/>
      </c>
      <c r="B1403" t="str">
        <f>IF($A1403="","",COUNTIF('TMP Paste'!$B$2:$B1403,"?*"))</f>
        <v/>
      </c>
      <c r="C1403" t="str">
        <f>IF($A1403="","",IFERROR('TMP Paste'!$M1403*1,0))</f>
        <v/>
      </c>
      <c r="D1403" t="str">
        <f>IF($A1403="","",SUMIF($B$2:$B1403,$B1403,$C$2:$C1403))</f>
        <v/>
      </c>
      <c r="E1403">
        <f>IF($A1403="",0,IF('TMP Paste'!$B1403="",0,1))</f>
        <v>0</v>
      </c>
      <c r="F1403" t="str">
        <f t="shared" si="105"/>
        <v/>
      </c>
      <c r="G1403" t="str">
        <f t="shared" si="106"/>
        <v/>
      </c>
      <c r="H1403" t="str">
        <f t="shared" si="107"/>
        <v/>
      </c>
      <c r="I1403" t="str">
        <f t="shared" si="108"/>
        <v/>
      </c>
      <c r="J1403" t="str">
        <f t="shared" si="109"/>
        <v/>
      </c>
      <c r="K1403" t="str">
        <f>IF($A1403="","",IF(COUNTIF($B$2:$B1403,$B1403)=COUNTIF($B$2:$B$1601,$B1403),$B1403,""))</f>
        <v/>
      </c>
    </row>
    <row r="1404" spans="1:11">
      <c r="A1404" t="str">
        <f>IF('TMP Paste'!$E1404="","",'TMP Paste'!$E1404)</f>
        <v/>
      </c>
      <c r="B1404" t="str">
        <f>IF($A1404="","",COUNTIF('TMP Paste'!$B$2:$B1404,"?*"))</f>
        <v/>
      </c>
      <c r="C1404" t="str">
        <f>IF($A1404="","",IFERROR('TMP Paste'!$M1404*1,0))</f>
        <v/>
      </c>
      <c r="D1404" t="str">
        <f>IF($A1404="","",SUMIF($B$2:$B1404,$B1404,$C$2:$C1404))</f>
        <v/>
      </c>
      <c r="E1404">
        <f>IF($A1404="",0,IF('TMP Paste'!$B1404="",0,1))</f>
        <v>0</v>
      </c>
      <c r="F1404" t="str">
        <f t="shared" si="105"/>
        <v/>
      </c>
      <c r="G1404" t="str">
        <f t="shared" si="106"/>
        <v/>
      </c>
      <c r="H1404" t="str">
        <f t="shared" si="107"/>
        <v/>
      </c>
      <c r="I1404" t="str">
        <f t="shared" si="108"/>
        <v/>
      </c>
      <c r="J1404" t="str">
        <f t="shared" si="109"/>
        <v/>
      </c>
      <c r="K1404" t="str">
        <f>IF($A1404="","",IF(COUNTIF($B$2:$B1404,$B1404)=COUNTIF($B$2:$B$1601,$B1404),$B1404,""))</f>
        <v/>
      </c>
    </row>
    <row r="1405" spans="1:11">
      <c r="A1405" t="str">
        <f>IF('TMP Paste'!$E1405="","",'TMP Paste'!$E1405)</f>
        <v/>
      </c>
      <c r="B1405" t="str">
        <f>IF($A1405="","",COUNTIF('TMP Paste'!$B$2:$B1405,"?*"))</f>
        <v/>
      </c>
      <c r="C1405" t="str">
        <f>IF($A1405="","",IFERROR('TMP Paste'!$M1405*1,0))</f>
        <v/>
      </c>
      <c r="D1405" t="str">
        <f>IF($A1405="","",SUMIF($B$2:$B1405,$B1405,$C$2:$C1405))</f>
        <v/>
      </c>
      <c r="E1405">
        <f>IF($A1405="",0,IF('TMP Paste'!$B1405="",0,1))</f>
        <v>0</v>
      </c>
      <c r="F1405" t="str">
        <f t="shared" si="105"/>
        <v/>
      </c>
      <c r="G1405" t="str">
        <f t="shared" si="106"/>
        <v/>
      </c>
      <c r="H1405" t="str">
        <f t="shared" si="107"/>
        <v/>
      </c>
      <c r="I1405" t="str">
        <f t="shared" si="108"/>
        <v/>
      </c>
      <c r="J1405" t="str">
        <f t="shared" si="109"/>
        <v/>
      </c>
      <c r="K1405" t="str">
        <f>IF($A1405="","",IF(COUNTIF($B$2:$B1405,$B1405)=COUNTIF($B$2:$B$1601,$B1405),$B1405,""))</f>
        <v/>
      </c>
    </row>
    <row r="1406" spans="1:11">
      <c r="A1406" t="str">
        <f>IF('TMP Paste'!$E1406="","",'TMP Paste'!$E1406)</f>
        <v/>
      </c>
      <c r="B1406" t="str">
        <f>IF($A1406="","",COUNTIF('TMP Paste'!$B$2:$B1406,"?*"))</f>
        <v/>
      </c>
      <c r="C1406" t="str">
        <f>IF($A1406="","",IFERROR('TMP Paste'!$M1406*1,0))</f>
        <v/>
      </c>
      <c r="D1406" t="str">
        <f>IF($A1406="","",SUMIF($B$2:$B1406,$B1406,$C$2:$C1406))</f>
        <v/>
      </c>
      <c r="E1406">
        <f>IF($A1406="",0,IF('TMP Paste'!$B1406="",0,1))</f>
        <v>0</v>
      </c>
      <c r="F1406" t="str">
        <f t="shared" si="105"/>
        <v/>
      </c>
      <c r="G1406" t="str">
        <f t="shared" si="106"/>
        <v/>
      </c>
      <c r="H1406" t="str">
        <f t="shared" si="107"/>
        <v/>
      </c>
      <c r="I1406" t="str">
        <f t="shared" si="108"/>
        <v/>
      </c>
      <c r="J1406" t="str">
        <f t="shared" si="109"/>
        <v/>
      </c>
      <c r="K1406" t="str">
        <f>IF($A1406="","",IF(COUNTIF($B$2:$B1406,$B1406)=COUNTIF($B$2:$B$1601,$B1406),$B1406,""))</f>
        <v/>
      </c>
    </row>
    <row r="1407" spans="1:11">
      <c r="A1407" t="str">
        <f>IF('TMP Paste'!$E1407="","",'TMP Paste'!$E1407)</f>
        <v/>
      </c>
      <c r="B1407" t="str">
        <f>IF($A1407="","",COUNTIF('TMP Paste'!$B$2:$B1407,"?*"))</f>
        <v/>
      </c>
      <c r="C1407" t="str">
        <f>IF($A1407="","",IFERROR('TMP Paste'!$M1407*1,0))</f>
        <v/>
      </c>
      <c r="D1407" t="str">
        <f>IF($A1407="","",SUMIF($B$2:$B1407,$B1407,$C$2:$C1407))</f>
        <v/>
      </c>
      <c r="E1407">
        <f>IF($A1407="",0,IF('TMP Paste'!$B1407="",0,1))</f>
        <v>0</v>
      </c>
      <c r="F1407" t="str">
        <f t="shared" si="105"/>
        <v/>
      </c>
      <c r="G1407" t="str">
        <f t="shared" si="106"/>
        <v/>
      </c>
      <c r="H1407" t="str">
        <f t="shared" si="107"/>
        <v/>
      </c>
      <c r="I1407" t="str">
        <f t="shared" si="108"/>
        <v/>
      </c>
      <c r="J1407" t="str">
        <f t="shared" si="109"/>
        <v/>
      </c>
      <c r="K1407" t="str">
        <f>IF($A1407="","",IF(COUNTIF($B$2:$B1407,$B1407)=COUNTIF($B$2:$B$1601,$B1407),$B1407,""))</f>
        <v/>
      </c>
    </row>
    <row r="1408" spans="1:11">
      <c r="A1408" t="str">
        <f>IF('TMP Paste'!$E1408="","",'TMP Paste'!$E1408)</f>
        <v/>
      </c>
      <c r="B1408" t="str">
        <f>IF($A1408="","",COUNTIF('TMP Paste'!$B$2:$B1408,"?*"))</f>
        <v/>
      </c>
      <c r="C1408" t="str">
        <f>IF($A1408="","",IFERROR('TMP Paste'!$M1408*1,0))</f>
        <v/>
      </c>
      <c r="D1408" t="str">
        <f>IF($A1408="","",SUMIF($B$2:$B1408,$B1408,$C$2:$C1408))</f>
        <v/>
      </c>
      <c r="E1408">
        <f>IF($A1408="",0,IF('TMP Paste'!$B1408="",0,1))</f>
        <v>0</v>
      </c>
      <c r="F1408" t="str">
        <f t="shared" si="105"/>
        <v/>
      </c>
      <c r="G1408" t="str">
        <f t="shared" si="106"/>
        <v/>
      </c>
      <c r="H1408" t="str">
        <f t="shared" si="107"/>
        <v/>
      </c>
      <c r="I1408" t="str">
        <f t="shared" si="108"/>
        <v/>
      </c>
      <c r="J1408" t="str">
        <f t="shared" si="109"/>
        <v/>
      </c>
      <c r="K1408" t="str">
        <f>IF($A1408="","",IF(COUNTIF($B$2:$B1408,$B1408)=COUNTIF($B$2:$B$1601,$B1408),$B1408,""))</f>
        <v/>
      </c>
    </row>
    <row r="1409" spans="1:11">
      <c r="A1409" t="str">
        <f>IF('TMP Paste'!$E1409="","",'TMP Paste'!$E1409)</f>
        <v/>
      </c>
      <c r="B1409" t="str">
        <f>IF($A1409="","",COUNTIF('TMP Paste'!$B$2:$B1409,"?*"))</f>
        <v/>
      </c>
      <c r="C1409" t="str">
        <f>IF($A1409="","",IFERROR('TMP Paste'!$M1409*1,0))</f>
        <v/>
      </c>
      <c r="D1409" t="str">
        <f>IF($A1409="","",SUMIF($B$2:$B1409,$B1409,$C$2:$C1409))</f>
        <v/>
      </c>
      <c r="E1409">
        <f>IF($A1409="",0,IF('TMP Paste'!$B1409="",0,1))</f>
        <v>0</v>
      </c>
      <c r="F1409" t="str">
        <f t="shared" si="105"/>
        <v/>
      </c>
      <c r="G1409" t="str">
        <f t="shared" si="106"/>
        <v/>
      </c>
      <c r="H1409" t="str">
        <f t="shared" si="107"/>
        <v/>
      </c>
      <c r="I1409" t="str">
        <f t="shared" si="108"/>
        <v/>
      </c>
      <c r="J1409" t="str">
        <f t="shared" si="109"/>
        <v/>
      </c>
      <c r="K1409" t="str">
        <f>IF($A1409="","",IF(COUNTIF($B$2:$B1409,$B1409)=COUNTIF($B$2:$B$1601,$B1409),$B1409,""))</f>
        <v/>
      </c>
    </row>
    <row r="1410" spans="1:11">
      <c r="A1410" t="str">
        <f>IF('TMP Paste'!$E1410="","",'TMP Paste'!$E1410)</f>
        <v/>
      </c>
      <c r="B1410" t="str">
        <f>IF($A1410="","",COUNTIF('TMP Paste'!$B$2:$B1410,"?*"))</f>
        <v/>
      </c>
      <c r="C1410" t="str">
        <f>IF($A1410="","",IFERROR('TMP Paste'!$M1410*1,0))</f>
        <v/>
      </c>
      <c r="D1410" t="str">
        <f>IF($A1410="","",SUMIF($B$2:$B1410,$B1410,$C$2:$C1410))</f>
        <v/>
      </c>
      <c r="E1410">
        <f>IF($A1410="",0,IF('TMP Paste'!$B1410="",0,1))</f>
        <v>0</v>
      </c>
      <c r="F1410" t="str">
        <f t="shared" ref="F1410:F1473" si="110">IF(OR($A1410="",$C1410&lt;1),"",$A1410&amp;"-"&amp;TEXT(($D1410-$C1410+1),"00")&amp;IF($C1410&gt;=2,", "&amp;$A1410&amp;"-"&amp;TEXT(($D1410-$C1410+1)+1,"00"),"")&amp;IF($C1410&gt;=3,", "&amp;$A1410&amp;"-"&amp;TEXT(($D1410-$C1410+1)+2,"00"),"")&amp;IF($C1410&gt;=4,", "&amp;$A1410&amp;"-"&amp;TEXT(($D1410-$C1410+1)+3,"00"),"")&amp;IF($C1410&gt;=5,", "&amp;$A1410&amp;"-"&amp;TEXT(($D1410-$C1410+1)+4,"00"),"")&amp;IF($C1410&gt;=6,", "&amp;$A1410&amp;"-"&amp;TEXT(($D1410-$C1410+1)+5,"00"),"")&amp;IF($C1410&gt;=7,", "&amp;$A1410&amp;"-"&amp;TEXT(($D1410-$C1410+1)+6,"00"),"")&amp;IF($C1410&gt;=8,", "&amp;$A1410&amp;"-"&amp;TEXT(($D1410-$C1410+1)+7,"00"),"")&amp;IF($C1410&gt;=9,", "&amp;$A1410&amp;"-"&amp;TEXT(($D1410-$C1410+1)+8,"00"),"")&amp;IF($C1410&gt;=10,", "&amp;$A1410&amp;"-"&amp;TEXT(($D1410-$C1410+1)+9,"00"),"")&amp;IF($C1410&gt;=11,", "&amp;$A1410&amp;"-"&amp;TEXT(($D1410-$C1410+1)+10,"00"),"")&amp;IF($C1410&gt;=12,", "&amp;$A1410&amp;"-"&amp;TEXT(($D1410-$C1410+1)+11,"00"),"")&amp;IF($C1410&gt;=13,", "&amp;$A1410&amp;"-"&amp;TEXT(($D1410-$C1410+1)+12,"00"),"")&amp;IF($C1410&gt;=14,", "&amp;$A1410&amp;"-"&amp;TEXT(($D1410-$C1410+1)+13,"00"),"")&amp;IF($C1410&gt;=15,", "&amp;$A1410&amp;"-"&amp;TEXT(($D1410-$C1410+1)+14,"00"),"")&amp;IF($C1410&gt;=16,", "&amp;$A1410&amp;"-"&amp;TEXT(($D1410-$C1410+1)+15,"00"),"")&amp;IF($C1410&gt;=17,", "&amp;$A1410&amp;"-"&amp;TEXT(($D1410-$C1410+1)+16,"00"),"")&amp;IF($C1410&gt;=18,", "&amp;$A1410&amp;"-"&amp;TEXT(($D1410-$C1410+1)+17,"00"),"")&amp;IF($C1410&gt;=19,", "&amp;$A1410&amp;"-"&amp;TEXT(($D1410-$C1410+1)+18,"00"),"")&amp;IF($C1410&gt;=20,", "&amp;$A1410&amp;"-"&amp;TEXT(($D1410-$C1410+1)+19,"00"),"")&amp;IF($C1410&gt;=21,", "&amp;$A1410&amp;"-"&amp;TEXT(($D1410-$C1410+1)+20,"00"),"")&amp;IF($C1410&gt;=22,", "&amp;$A1410&amp;"-"&amp;TEXT(($D1410-$C1410+1)+21,"00"),"")&amp;IF($C1410&gt;=23,", "&amp;$A1410&amp;"-"&amp;TEXT(($D1410-$C1410+1)+22,"00"),"")&amp;IF($C1410&gt;=24,", "&amp;$A1410&amp;"-"&amp;TEXT(($D1410-$C1410+1)+23,"00"),"")&amp;IF($C1410&gt;=25,", "&amp;$A1410&amp;"-"&amp;TEXT(($D1410-$C1410+1)+24,"00"),""))</f>
        <v/>
      </c>
      <c r="G1410" t="str">
        <f t="shared" ref="G1410:G1473" si="111">IF($A1410="","",IF($E1410=1,$F1410,IF($F1410="",$G1409,IF($G1409="",$F1410,$G1409&amp;", "&amp;$F1410))))</f>
        <v/>
      </c>
      <c r="H1410" t="str">
        <f t="shared" ref="H1410:H1473" si="112">IF($A1410="","",$A1410&amp;" ("&amp;$C1410&amp;")")</f>
        <v/>
      </c>
      <c r="I1410" t="str">
        <f t="shared" ref="I1410:I1473" si="113">IF($A1410="","",IF($E1410=1,$H1410,$I1409&amp;", "&amp;$H1410))</f>
        <v/>
      </c>
      <c r="J1410" t="str">
        <f t="shared" ref="J1410:J1473" si="114">IF($A1410="","",IF($E1410=1,$B1410,""))</f>
        <v/>
      </c>
      <c r="K1410" t="str">
        <f>IF($A1410="","",IF(COUNTIF($B$2:$B1410,$B1410)=COUNTIF($B$2:$B$1601,$B1410),$B1410,""))</f>
        <v/>
      </c>
    </row>
    <row r="1411" spans="1:11">
      <c r="A1411" t="str">
        <f>IF('TMP Paste'!$E1411="","",'TMP Paste'!$E1411)</f>
        <v/>
      </c>
      <c r="B1411" t="str">
        <f>IF($A1411="","",COUNTIF('TMP Paste'!$B$2:$B1411,"?*"))</f>
        <v/>
      </c>
      <c r="C1411" t="str">
        <f>IF($A1411="","",IFERROR('TMP Paste'!$M1411*1,0))</f>
        <v/>
      </c>
      <c r="D1411" t="str">
        <f>IF($A1411="","",SUMIF($B$2:$B1411,$B1411,$C$2:$C1411))</f>
        <v/>
      </c>
      <c r="E1411">
        <f>IF($A1411="",0,IF('TMP Paste'!$B1411="",0,1))</f>
        <v>0</v>
      </c>
      <c r="F1411" t="str">
        <f t="shared" si="110"/>
        <v/>
      </c>
      <c r="G1411" t="str">
        <f t="shared" si="111"/>
        <v/>
      </c>
      <c r="H1411" t="str">
        <f t="shared" si="112"/>
        <v/>
      </c>
      <c r="I1411" t="str">
        <f t="shared" si="113"/>
        <v/>
      </c>
      <c r="J1411" t="str">
        <f t="shared" si="114"/>
        <v/>
      </c>
      <c r="K1411" t="str">
        <f>IF($A1411="","",IF(COUNTIF($B$2:$B1411,$B1411)=COUNTIF($B$2:$B$1601,$B1411),$B1411,""))</f>
        <v/>
      </c>
    </row>
    <row r="1412" spans="1:11">
      <c r="A1412" t="str">
        <f>IF('TMP Paste'!$E1412="","",'TMP Paste'!$E1412)</f>
        <v/>
      </c>
      <c r="B1412" t="str">
        <f>IF($A1412="","",COUNTIF('TMP Paste'!$B$2:$B1412,"?*"))</f>
        <v/>
      </c>
      <c r="C1412" t="str">
        <f>IF($A1412="","",IFERROR('TMP Paste'!$M1412*1,0))</f>
        <v/>
      </c>
      <c r="D1412" t="str">
        <f>IF($A1412="","",SUMIF($B$2:$B1412,$B1412,$C$2:$C1412))</f>
        <v/>
      </c>
      <c r="E1412">
        <f>IF($A1412="",0,IF('TMP Paste'!$B1412="",0,1))</f>
        <v>0</v>
      </c>
      <c r="F1412" t="str">
        <f t="shared" si="110"/>
        <v/>
      </c>
      <c r="G1412" t="str">
        <f t="shared" si="111"/>
        <v/>
      </c>
      <c r="H1412" t="str">
        <f t="shared" si="112"/>
        <v/>
      </c>
      <c r="I1412" t="str">
        <f t="shared" si="113"/>
        <v/>
      </c>
      <c r="J1412" t="str">
        <f t="shared" si="114"/>
        <v/>
      </c>
      <c r="K1412" t="str">
        <f>IF($A1412="","",IF(COUNTIF($B$2:$B1412,$B1412)=COUNTIF($B$2:$B$1601,$B1412),$B1412,""))</f>
        <v/>
      </c>
    </row>
    <row r="1413" spans="1:11">
      <c r="A1413" t="str">
        <f>IF('TMP Paste'!$E1413="","",'TMP Paste'!$E1413)</f>
        <v/>
      </c>
      <c r="B1413" t="str">
        <f>IF($A1413="","",COUNTIF('TMP Paste'!$B$2:$B1413,"?*"))</f>
        <v/>
      </c>
      <c r="C1413" t="str">
        <f>IF($A1413="","",IFERROR('TMP Paste'!$M1413*1,0))</f>
        <v/>
      </c>
      <c r="D1413" t="str">
        <f>IF($A1413="","",SUMIF($B$2:$B1413,$B1413,$C$2:$C1413))</f>
        <v/>
      </c>
      <c r="E1413">
        <f>IF($A1413="",0,IF('TMP Paste'!$B1413="",0,1))</f>
        <v>0</v>
      </c>
      <c r="F1413" t="str">
        <f t="shared" si="110"/>
        <v/>
      </c>
      <c r="G1413" t="str">
        <f t="shared" si="111"/>
        <v/>
      </c>
      <c r="H1413" t="str">
        <f t="shared" si="112"/>
        <v/>
      </c>
      <c r="I1413" t="str">
        <f t="shared" si="113"/>
        <v/>
      </c>
      <c r="J1413" t="str">
        <f t="shared" si="114"/>
        <v/>
      </c>
      <c r="K1413" t="str">
        <f>IF($A1413="","",IF(COUNTIF($B$2:$B1413,$B1413)=COUNTIF($B$2:$B$1601,$B1413),$B1413,""))</f>
        <v/>
      </c>
    </row>
    <row r="1414" spans="1:11">
      <c r="A1414" t="str">
        <f>IF('TMP Paste'!$E1414="","",'TMP Paste'!$E1414)</f>
        <v/>
      </c>
      <c r="B1414" t="str">
        <f>IF($A1414="","",COUNTIF('TMP Paste'!$B$2:$B1414,"?*"))</f>
        <v/>
      </c>
      <c r="C1414" t="str">
        <f>IF($A1414="","",IFERROR('TMP Paste'!$M1414*1,0))</f>
        <v/>
      </c>
      <c r="D1414" t="str">
        <f>IF($A1414="","",SUMIF($B$2:$B1414,$B1414,$C$2:$C1414))</f>
        <v/>
      </c>
      <c r="E1414">
        <f>IF($A1414="",0,IF('TMP Paste'!$B1414="",0,1))</f>
        <v>0</v>
      </c>
      <c r="F1414" t="str">
        <f t="shared" si="110"/>
        <v/>
      </c>
      <c r="G1414" t="str">
        <f t="shared" si="111"/>
        <v/>
      </c>
      <c r="H1414" t="str">
        <f t="shared" si="112"/>
        <v/>
      </c>
      <c r="I1414" t="str">
        <f t="shared" si="113"/>
        <v/>
      </c>
      <c r="J1414" t="str">
        <f t="shared" si="114"/>
        <v/>
      </c>
      <c r="K1414" t="str">
        <f>IF($A1414="","",IF(COUNTIF($B$2:$B1414,$B1414)=COUNTIF($B$2:$B$1601,$B1414),$B1414,""))</f>
        <v/>
      </c>
    </row>
    <row r="1415" spans="1:11">
      <c r="A1415" t="str">
        <f>IF('TMP Paste'!$E1415="","",'TMP Paste'!$E1415)</f>
        <v/>
      </c>
      <c r="B1415" t="str">
        <f>IF($A1415="","",COUNTIF('TMP Paste'!$B$2:$B1415,"?*"))</f>
        <v/>
      </c>
      <c r="C1415" t="str">
        <f>IF($A1415="","",IFERROR('TMP Paste'!$M1415*1,0))</f>
        <v/>
      </c>
      <c r="D1415" t="str">
        <f>IF($A1415="","",SUMIF($B$2:$B1415,$B1415,$C$2:$C1415))</f>
        <v/>
      </c>
      <c r="E1415">
        <f>IF($A1415="",0,IF('TMP Paste'!$B1415="",0,1))</f>
        <v>0</v>
      </c>
      <c r="F1415" t="str">
        <f t="shared" si="110"/>
        <v/>
      </c>
      <c r="G1415" t="str">
        <f t="shared" si="111"/>
        <v/>
      </c>
      <c r="H1415" t="str">
        <f t="shared" si="112"/>
        <v/>
      </c>
      <c r="I1415" t="str">
        <f t="shared" si="113"/>
        <v/>
      </c>
      <c r="J1415" t="str">
        <f t="shared" si="114"/>
        <v/>
      </c>
      <c r="K1415" t="str">
        <f>IF($A1415="","",IF(COUNTIF($B$2:$B1415,$B1415)=COUNTIF($B$2:$B$1601,$B1415),$B1415,""))</f>
        <v/>
      </c>
    </row>
    <row r="1416" spans="1:11">
      <c r="A1416" t="str">
        <f>IF('TMP Paste'!$E1416="","",'TMP Paste'!$E1416)</f>
        <v/>
      </c>
      <c r="B1416" t="str">
        <f>IF($A1416="","",COUNTIF('TMP Paste'!$B$2:$B1416,"?*"))</f>
        <v/>
      </c>
      <c r="C1416" t="str">
        <f>IF($A1416="","",IFERROR('TMP Paste'!$M1416*1,0))</f>
        <v/>
      </c>
      <c r="D1416" t="str">
        <f>IF($A1416="","",SUMIF($B$2:$B1416,$B1416,$C$2:$C1416))</f>
        <v/>
      </c>
      <c r="E1416">
        <f>IF($A1416="",0,IF('TMP Paste'!$B1416="",0,1))</f>
        <v>0</v>
      </c>
      <c r="F1416" t="str">
        <f t="shared" si="110"/>
        <v/>
      </c>
      <c r="G1416" t="str">
        <f t="shared" si="111"/>
        <v/>
      </c>
      <c r="H1416" t="str">
        <f t="shared" si="112"/>
        <v/>
      </c>
      <c r="I1416" t="str">
        <f t="shared" si="113"/>
        <v/>
      </c>
      <c r="J1416" t="str">
        <f t="shared" si="114"/>
        <v/>
      </c>
      <c r="K1416" t="str">
        <f>IF($A1416="","",IF(COUNTIF($B$2:$B1416,$B1416)=COUNTIF($B$2:$B$1601,$B1416),$B1416,""))</f>
        <v/>
      </c>
    </row>
    <row r="1417" spans="1:11">
      <c r="A1417" t="str">
        <f>IF('TMP Paste'!$E1417="","",'TMP Paste'!$E1417)</f>
        <v/>
      </c>
      <c r="B1417" t="str">
        <f>IF($A1417="","",COUNTIF('TMP Paste'!$B$2:$B1417,"?*"))</f>
        <v/>
      </c>
      <c r="C1417" t="str">
        <f>IF($A1417="","",IFERROR('TMP Paste'!$M1417*1,0))</f>
        <v/>
      </c>
      <c r="D1417" t="str">
        <f>IF($A1417="","",SUMIF($B$2:$B1417,$B1417,$C$2:$C1417))</f>
        <v/>
      </c>
      <c r="E1417">
        <f>IF($A1417="",0,IF('TMP Paste'!$B1417="",0,1))</f>
        <v>0</v>
      </c>
      <c r="F1417" t="str">
        <f t="shared" si="110"/>
        <v/>
      </c>
      <c r="G1417" t="str">
        <f t="shared" si="111"/>
        <v/>
      </c>
      <c r="H1417" t="str">
        <f t="shared" si="112"/>
        <v/>
      </c>
      <c r="I1417" t="str">
        <f t="shared" si="113"/>
        <v/>
      </c>
      <c r="J1417" t="str">
        <f t="shared" si="114"/>
        <v/>
      </c>
      <c r="K1417" t="str">
        <f>IF($A1417="","",IF(COUNTIF($B$2:$B1417,$B1417)=COUNTIF($B$2:$B$1601,$B1417),$B1417,""))</f>
        <v/>
      </c>
    </row>
    <row r="1418" spans="1:11">
      <c r="A1418" t="str">
        <f>IF('TMP Paste'!$E1418="","",'TMP Paste'!$E1418)</f>
        <v/>
      </c>
      <c r="B1418" t="str">
        <f>IF($A1418="","",COUNTIF('TMP Paste'!$B$2:$B1418,"?*"))</f>
        <v/>
      </c>
      <c r="C1418" t="str">
        <f>IF($A1418="","",IFERROR('TMP Paste'!$M1418*1,0))</f>
        <v/>
      </c>
      <c r="D1418" t="str">
        <f>IF($A1418="","",SUMIF($B$2:$B1418,$B1418,$C$2:$C1418))</f>
        <v/>
      </c>
      <c r="E1418">
        <f>IF($A1418="",0,IF('TMP Paste'!$B1418="",0,1))</f>
        <v>0</v>
      </c>
      <c r="F1418" t="str">
        <f t="shared" si="110"/>
        <v/>
      </c>
      <c r="G1418" t="str">
        <f t="shared" si="111"/>
        <v/>
      </c>
      <c r="H1418" t="str">
        <f t="shared" si="112"/>
        <v/>
      </c>
      <c r="I1418" t="str">
        <f t="shared" si="113"/>
        <v/>
      </c>
      <c r="J1418" t="str">
        <f t="shared" si="114"/>
        <v/>
      </c>
      <c r="K1418" t="str">
        <f>IF($A1418="","",IF(COUNTIF($B$2:$B1418,$B1418)=COUNTIF($B$2:$B$1601,$B1418),$B1418,""))</f>
        <v/>
      </c>
    </row>
    <row r="1419" spans="1:11">
      <c r="A1419" t="str">
        <f>IF('TMP Paste'!$E1419="","",'TMP Paste'!$E1419)</f>
        <v/>
      </c>
      <c r="B1419" t="str">
        <f>IF($A1419="","",COUNTIF('TMP Paste'!$B$2:$B1419,"?*"))</f>
        <v/>
      </c>
      <c r="C1419" t="str">
        <f>IF($A1419="","",IFERROR('TMP Paste'!$M1419*1,0))</f>
        <v/>
      </c>
      <c r="D1419" t="str">
        <f>IF($A1419="","",SUMIF($B$2:$B1419,$B1419,$C$2:$C1419))</f>
        <v/>
      </c>
      <c r="E1419">
        <f>IF($A1419="",0,IF('TMP Paste'!$B1419="",0,1))</f>
        <v>0</v>
      </c>
      <c r="F1419" t="str">
        <f t="shared" si="110"/>
        <v/>
      </c>
      <c r="G1419" t="str">
        <f t="shared" si="111"/>
        <v/>
      </c>
      <c r="H1419" t="str">
        <f t="shared" si="112"/>
        <v/>
      </c>
      <c r="I1419" t="str">
        <f t="shared" si="113"/>
        <v/>
      </c>
      <c r="J1419" t="str">
        <f t="shared" si="114"/>
        <v/>
      </c>
      <c r="K1419" t="str">
        <f>IF($A1419="","",IF(COUNTIF($B$2:$B1419,$B1419)=COUNTIF($B$2:$B$1601,$B1419),$B1419,""))</f>
        <v/>
      </c>
    </row>
    <row r="1420" spans="1:11">
      <c r="A1420" t="str">
        <f>IF('TMP Paste'!$E1420="","",'TMP Paste'!$E1420)</f>
        <v/>
      </c>
      <c r="B1420" t="str">
        <f>IF($A1420="","",COUNTIF('TMP Paste'!$B$2:$B1420,"?*"))</f>
        <v/>
      </c>
      <c r="C1420" t="str">
        <f>IF($A1420="","",IFERROR('TMP Paste'!$M1420*1,0))</f>
        <v/>
      </c>
      <c r="D1420" t="str">
        <f>IF($A1420="","",SUMIF($B$2:$B1420,$B1420,$C$2:$C1420))</f>
        <v/>
      </c>
      <c r="E1420">
        <f>IF($A1420="",0,IF('TMP Paste'!$B1420="",0,1))</f>
        <v>0</v>
      </c>
      <c r="F1420" t="str">
        <f t="shared" si="110"/>
        <v/>
      </c>
      <c r="G1420" t="str">
        <f t="shared" si="111"/>
        <v/>
      </c>
      <c r="H1420" t="str">
        <f t="shared" si="112"/>
        <v/>
      </c>
      <c r="I1420" t="str">
        <f t="shared" si="113"/>
        <v/>
      </c>
      <c r="J1420" t="str">
        <f t="shared" si="114"/>
        <v/>
      </c>
      <c r="K1420" t="str">
        <f>IF($A1420="","",IF(COUNTIF($B$2:$B1420,$B1420)=COUNTIF($B$2:$B$1601,$B1420),$B1420,""))</f>
        <v/>
      </c>
    </row>
    <row r="1421" spans="1:11">
      <c r="A1421" t="str">
        <f>IF('TMP Paste'!$E1421="","",'TMP Paste'!$E1421)</f>
        <v/>
      </c>
      <c r="B1421" t="str">
        <f>IF($A1421="","",COUNTIF('TMP Paste'!$B$2:$B1421,"?*"))</f>
        <v/>
      </c>
      <c r="C1421" t="str">
        <f>IF($A1421="","",IFERROR('TMP Paste'!$M1421*1,0))</f>
        <v/>
      </c>
      <c r="D1421" t="str">
        <f>IF($A1421="","",SUMIF($B$2:$B1421,$B1421,$C$2:$C1421))</f>
        <v/>
      </c>
      <c r="E1421">
        <f>IF($A1421="",0,IF('TMP Paste'!$B1421="",0,1))</f>
        <v>0</v>
      </c>
      <c r="F1421" t="str">
        <f t="shared" si="110"/>
        <v/>
      </c>
      <c r="G1421" t="str">
        <f t="shared" si="111"/>
        <v/>
      </c>
      <c r="H1421" t="str">
        <f t="shared" si="112"/>
        <v/>
      </c>
      <c r="I1421" t="str">
        <f t="shared" si="113"/>
        <v/>
      </c>
      <c r="J1421" t="str">
        <f t="shared" si="114"/>
        <v/>
      </c>
      <c r="K1421" t="str">
        <f>IF($A1421="","",IF(COUNTIF($B$2:$B1421,$B1421)=COUNTIF($B$2:$B$1601,$B1421),$B1421,""))</f>
        <v/>
      </c>
    </row>
    <row r="1422" spans="1:11">
      <c r="A1422" t="str">
        <f>IF('TMP Paste'!$E1422="","",'TMP Paste'!$E1422)</f>
        <v/>
      </c>
      <c r="B1422" t="str">
        <f>IF($A1422="","",COUNTIF('TMP Paste'!$B$2:$B1422,"?*"))</f>
        <v/>
      </c>
      <c r="C1422" t="str">
        <f>IF($A1422="","",IFERROR('TMP Paste'!$M1422*1,0))</f>
        <v/>
      </c>
      <c r="D1422" t="str">
        <f>IF($A1422="","",SUMIF($B$2:$B1422,$B1422,$C$2:$C1422))</f>
        <v/>
      </c>
      <c r="E1422">
        <f>IF($A1422="",0,IF('TMP Paste'!$B1422="",0,1))</f>
        <v>0</v>
      </c>
      <c r="F1422" t="str">
        <f t="shared" si="110"/>
        <v/>
      </c>
      <c r="G1422" t="str">
        <f t="shared" si="111"/>
        <v/>
      </c>
      <c r="H1422" t="str">
        <f t="shared" si="112"/>
        <v/>
      </c>
      <c r="I1422" t="str">
        <f t="shared" si="113"/>
        <v/>
      </c>
      <c r="J1422" t="str">
        <f t="shared" si="114"/>
        <v/>
      </c>
      <c r="K1422" t="str">
        <f>IF($A1422="","",IF(COUNTIF($B$2:$B1422,$B1422)=COUNTIF($B$2:$B$1601,$B1422),$B1422,""))</f>
        <v/>
      </c>
    </row>
    <row r="1423" spans="1:11">
      <c r="A1423" t="str">
        <f>IF('TMP Paste'!$E1423="","",'TMP Paste'!$E1423)</f>
        <v/>
      </c>
      <c r="B1423" t="str">
        <f>IF($A1423="","",COUNTIF('TMP Paste'!$B$2:$B1423,"?*"))</f>
        <v/>
      </c>
      <c r="C1423" t="str">
        <f>IF($A1423="","",IFERROR('TMP Paste'!$M1423*1,0))</f>
        <v/>
      </c>
      <c r="D1423" t="str">
        <f>IF($A1423="","",SUMIF($B$2:$B1423,$B1423,$C$2:$C1423))</f>
        <v/>
      </c>
      <c r="E1423">
        <f>IF($A1423="",0,IF('TMP Paste'!$B1423="",0,1))</f>
        <v>0</v>
      </c>
      <c r="F1423" t="str">
        <f t="shared" si="110"/>
        <v/>
      </c>
      <c r="G1423" t="str">
        <f t="shared" si="111"/>
        <v/>
      </c>
      <c r="H1423" t="str">
        <f t="shared" si="112"/>
        <v/>
      </c>
      <c r="I1423" t="str">
        <f t="shared" si="113"/>
        <v/>
      </c>
      <c r="J1423" t="str">
        <f t="shared" si="114"/>
        <v/>
      </c>
      <c r="K1423" t="str">
        <f>IF($A1423="","",IF(COUNTIF($B$2:$B1423,$B1423)=COUNTIF($B$2:$B$1601,$B1423),$B1423,""))</f>
        <v/>
      </c>
    </row>
    <row r="1424" spans="1:11">
      <c r="A1424" t="str">
        <f>IF('TMP Paste'!$E1424="","",'TMP Paste'!$E1424)</f>
        <v/>
      </c>
      <c r="B1424" t="str">
        <f>IF($A1424="","",COUNTIF('TMP Paste'!$B$2:$B1424,"?*"))</f>
        <v/>
      </c>
      <c r="C1424" t="str">
        <f>IF($A1424="","",IFERROR('TMP Paste'!$M1424*1,0))</f>
        <v/>
      </c>
      <c r="D1424" t="str">
        <f>IF($A1424="","",SUMIF($B$2:$B1424,$B1424,$C$2:$C1424))</f>
        <v/>
      </c>
      <c r="E1424">
        <f>IF($A1424="",0,IF('TMP Paste'!$B1424="",0,1))</f>
        <v>0</v>
      </c>
      <c r="F1424" t="str">
        <f t="shared" si="110"/>
        <v/>
      </c>
      <c r="G1424" t="str">
        <f t="shared" si="111"/>
        <v/>
      </c>
      <c r="H1424" t="str">
        <f t="shared" si="112"/>
        <v/>
      </c>
      <c r="I1424" t="str">
        <f t="shared" si="113"/>
        <v/>
      </c>
      <c r="J1424" t="str">
        <f t="shared" si="114"/>
        <v/>
      </c>
      <c r="K1424" t="str">
        <f>IF($A1424="","",IF(COUNTIF($B$2:$B1424,$B1424)=COUNTIF($B$2:$B$1601,$B1424),$B1424,""))</f>
        <v/>
      </c>
    </row>
    <row r="1425" spans="1:11">
      <c r="A1425" t="str">
        <f>IF('TMP Paste'!$E1425="","",'TMP Paste'!$E1425)</f>
        <v/>
      </c>
      <c r="B1425" t="str">
        <f>IF($A1425="","",COUNTIF('TMP Paste'!$B$2:$B1425,"?*"))</f>
        <v/>
      </c>
      <c r="C1425" t="str">
        <f>IF($A1425="","",IFERROR('TMP Paste'!$M1425*1,0))</f>
        <v/>
      </c>
      <c r="D1425" t="str">
        <f>IF($A1425="","",SUMIF($B$2:$B1425,$B1425,$C$2:$C1425))</f>
        <v/>
      </c>
      <c r="E1425">
        <f>IF($A1425="",0,IF('TMP Paste'!$B1425="",0,1))</f>
        <v>0</v>
      </c>
      <c r="F1425" t="str">
        <f t="shared" si="110"/>
        <v/>
      </c>
      <c r="G1425" t="str">
        <f t="shared" si="111"/>
        <v/>
      </c>
      <c r="H1425" t="str">
        <f t="shared" si="112"/>
        <v/>
      </c>
      <c r="I1425" t="str">
        <f t="shared" si="113"/>
        <v/>
      </c>
      <c r="J1425" t="str">
        <f t="shared" si="114"/>
        <v/>
      </c>
      <c r="K1425" t="str">
        <f>IF($A1425="","",IF(COUNTIF($B$2:$B1425,$B1425)=COUNTIF($B$2:$B$1601,$B1425),$B1425,""))</f>
        <v/>
      </c>
    </row>
    <row r="1426" spans="1:11">
      <c r="A1426" t="str">
        <f>IF('TMP Paste'!$E1426="","",'TMP Paste'!$E1426)</f>
        <v/>
      </c>
      <c r="B1426" t="str">
        <f>IF($A1426="","",COUNTIF('TMP Paste'!$B$2:$B1426,"?*"))</f>
        <v/>
      </c>
      <c r="C1426" t="str">
        <f>IF($A1426="","",IFERROR('TMP Paste'!$M1426*1,0))</f>
        <v/>
      </c>
      <c r="D1426" t="str">
        <f>IF($A1426="","",SUMIF($B$2:$B1426,$B1426,$C$2:$C1426))</f>
        <v/>
      </c>
      <c r="E1426">
        <f>IF($A1426="",0,IF('TMP Paste'!$B1426="",0,1))</f>
        <v>0</v>
      </c>
      <c r="F1426" t="str">
        <f t="shared" si="110"/>
        <v/>
      </c>
      <c r="G1426" t="str">
        <f t="shared" si="111"/>
        <v/>
      </c>
      <c r="H1426" t="str">
        <f t="shared" si="112"/>
        <v/>
      </c>
      <c r="I1426" t="str">
        <f t="shared" si="113"/>
        <v/>
      </c>
      <c r="J1426" t="str">
        <f t="shared" si="114"/>
        <v/>
      </c>
      <c r="K1426" t="str">
        <f>IF($A1426="","",IF(COUNTIF($B$2:$B1426,$B1426)=COUNTIF($B$2:$B$1601,$B1426),$B1426,""))</f>
        <v/>
      </c>
    </row>
    <row r="1427" spans="1:11">
      <c r="A1427" t="str">
        <f>IF('TMP Paste'!$E1427="","",'TMP Paste'!$E1427)</f>
        <v/>
      </c>
      <c r="B1427" t="str">
        <f>IF($A1427="","",COUNTIF('TMP Paste'!$B$2:$B1427,"?*"))</f>
        <v/>
      </c>
      <c r="C1427" t="str">
        <f>IF($A1427="","",IFERROR('TMP Paste'!$M1427*1,0))</f>
        <v/>
      </c>
      <c r="D1427" t="str">
        <f>IF($A1427="","",SUMIF($B$2:$B1427,$B1427,$C$2:$C1427))</f>
        <v/>
      </c>
      <c r="E1427">
        <f>IF($A1427="",0,IF('TMP Paste'!$B1427="",0,1))</f>
        <v>0</v>
      </c>
      <c r="F1427" t="str">
        <f t="shared" si="110"/>
        <v/>
      </c>
      <c r="G1427" t="str">
        <f t="shared" si="111"/>
        <v/>
      </c>
      <c r="H1427" t="str">
        <f t="shared" si="112"/>
        <v/>
      </c>
      <c r="I1427" t="str">
        <f t="shared" si="113"/>
        <v/>
      </c>
      <c r="J1427" t="str">
        <f t="shared" si="114"/>
        <v/>
      </c>
      <c r="K1427" t="str">
        <f>IF($A1427="","",IF(COUNTIF($B$2:$B1427,$B1427)=COUNTIF($B$2:$B$1601,$B1427),$B1427,""))</f>
        <v/>
      </c>
    </row>
    <row r="1428" spans="1:11">
      <c r="A1428" t="str">
        <f>IF('TMP Paste'!$E1428="","",'TMP Paste'!$E1428)</f>
        <v/>
      </c>
      <c r="B1428" t="str">
        <f>IF($A1428="","",COUNTIF('TMP Paste'!$B$2:$B1428,"?*"))</f>
        <v/>
      </c>
      <c r="C1428" t="str">
        <f>IF($A1428="","",IFERROR('TMP Paste'!$M1428*1,0))</f>
        <v/>
      </c>
      <c r="D1428" t="str">
        <f>IF($A1428="","",SUMIF($B$2:$B1428,$B1428,$C$2:$C1428))</f>
        <v/>
      </c>
      <c r="E1428">
        <f>IF($A1428="",0,IF('TMP Paste'!$B1428="",0,1))</f>
        <v>0</v>
      </c>
      <c r="F1428" t="str">
        <f t="shared" si="110"/>
        <v/>
      </c>
      <c r="G1428" t="str">
        <f t="shared" si="111"/>
        <v/>
      </c>
      <c r="H1428" t="str">
        <f t="shared" si="112"/>
        <v/>
      </c>
      <c r="I1428" t="str">
        <f t="shared" si="113"/>
        <v/>
      </c>
      <c r="J1428" t="str">
        <f t="shared" si="114"/>
        <v/>
      </c>
      <c r="K1428" t="str">
        <f>IF($A1428="","",IF(COUNTIF($B$2:$B1428,$B1428)=COUNTIF($B$2:$B$1601,$B1428),$B1428,""))</f>
        <v/>
      </c>
    </row>
    <row r="1429" spans="1:11">
      <c r="A1429" t="str">
        <f>IF('TMP Paste'!$E1429="","",'TMP Paste'!$E1429)</f>
        <v/>
      </c>
      <c r="B1429" t="str">
        <f>IF($A1429="","",COUNTIF('TMP Paste'!$B$2:$B1429,"?*"))</f>
        <v/>
      </c>
      <c r="C1429" t="str">
        <f>IF($A1429="","",IFERROR('TMP Paste'!$M1429*1,0))</f>
        <v/>
      </c>
      <c r="D1429" t="str">
        <f>IF($A1429="","",SUMIF($B$2:$B1429,$B1429,$C$2:$C1429))</f>
        <v/>
      </c>
      <c r="E1429">
        <f>IF($A1429="",0,IF('TMP Paste'!$B1429="",0,1))</f>
        <v>0</v>
      </c>
      <c r="F1429" t="str">
        <f t="shared" si="110"/>
        <v/>
      </c>
      <c r="G1429" t="str">
        <f t="shared" si="111"/>
        <v/>
      </c>
      <c r="H1429" t="str">
        <f t="shared" si="112"/>
        <v/>
      </c>
      <c r="I1429" t="str">
        <f t="shared" si="113"/>
        <v/>
      </c>
      <c r="J1429" t="str">
        <f t="shared" si="114"/>
        <v/>
      </c>
      <c r="K1429" t="str">
        <f>IF($A1429="","",IF(COUNTIF($B$2:$B1429,$B1429)=COUNTIF($B$2:$B$1601,$B1429),$B1429,""))</f>
        <v/>
      </c>
    </row>
    <row r="1430" spans="1:11">
      <c r="A1430" t="str">
        <f>IF('TMP Paste'!$E1430="","",'TMP Paste'!$E1430)</f>
        <v/>
      </c>
      <c r="B1430" t="str">
        <f>IF($A1430="","",COUNTIF('TMP Paste'!$B$2:$B1430,"?*"))</f>
        <v/>
      </c>
      <c r="C1430" t="str">
        <f>IF($A1430="","",IFERROR('TMP Paste'!$M1430*1,0))</f>
        <v/>
      </c>
      <c r="D1430" t="str">
        <f>IF($A1430="","",SUMIF($B$2:$B1430,$B1430,$C$2:$C1430))</f>
        <v/>
      </c>
      <c r="E1430">
        <f>IF($A1430="",0,IF('TMP Paste'!$B1430="",0,1))</f>
        <v>0</v>
      </c>
      <c r="F1430" t="str">
        <f t="shared" si="110"/>
        <v/>
      </c>
      <c r="G1430" t="str">
        <f t="shared" si="111"/>
        <v/>
      </c>
      <c r="H1430" t="str">
        <f t="shared" si="112"/>
        <v/>
      </c>
      <c r="I1430" t="str">
        <f t="shared" si="113"/>
        <v/>
      </c>
      <c r="J1430" t="str">
        <f t="shared" si="114"/>
        <v/>
      </c>
      <c r="K1430" t="str">
        <f>IF($A1430="","",IF(COUNTIF($B$2:$B1430,$B1430)=COUNTIF($B$2:$B$1601,$B1430),$B1430,""))</f>
        <v/>
      </c>
    </row>
    <row r="1431" spans="1:11">
      <c r="A1431" t="str">
        <f>IF('TMP Paste'!$E1431="","",'TMP Paste'!$E1431)</f>
        <v/>
      </c>
      <c r="B1431" t="str">
        <f>IF($A1431="","",COUNTIF('TMP Paste'!$B$2:$B1431,"?*"))</f>
        <v/>
      </c>
      <c r="C1431" t="str">
        <f>IF($A1431="","",IFERROR('TMP Paste'!$M1431*1,0))</f>
        <v/>
      </c>
      <c r="D1431" t="str">
        <f>IF($A1431="","",SUMIF($B$2:$B1431,$B1431,$C$2:$C1431))</f>
        <v/>
      </c>
      <c r="E1431">
        <f>IF($A1431="",0,IF('TMP Paste'!$B1431="",0,1))</f>
        <v>0</v>
      </c>
      <c r="F1431" t="str">
        <f t="shared" si="110"/>
        <v/>
      </c>
      <c r="G1431" t="str">
        <f t="shared" si="111"/>
        <v/>
      </c>
      <c r="H1431" t="str">
        <f t="shared" si="112"/>
        <v/>
      </c>
      <c r="I1431" t="str">
        <f t="shared" si="113"/>
        <v/>
      </c>
      <c r="J1431" t="str">
        <f t="shared" si="114"/>
        <v/>
      </c>
      <c r="K1431" t="str">
        <f>IF($A1431="","",IF(COUNTIF($B$2:$B1431,$B1431)=COUNTIF($B$2:$B$1601,$B1431),$B1431,""))</f>
        <v/>
      </c>
    </row>
    <row r="1432" spans="1:11">
      <c r="A1432" t="str">
        <f>IF('TMP Paste'!$E1432="","",'TMP Paste'!$E1432)</f>
        <v/>
      </c>
      <c r="B1432" t="str">
        <f>IF($A1432="","",COUNTIF('TMP Paste'!$B$2:$B1432,"?*"))</f>
        <v/>
      </c>
      <c r="C1432" t="str">
        <f>IF($A1432="","",IFERROR('TMP Paste'!$M1432*1,0))</f>
        <v/>
      </c>
      <c r="D1432" t="str">
        <f>IF($A1432="","",SUMIF($B$2:$B1432,$B1432,$C$2:$C1432))</f>
        <v/>
      </c>
      <c r="E1432">
        <f>IF($A1432="",0,IF('TMP Paste'!$B1432="",0,1))</f>
        <v>0</v>
      </c>
      <c r="F1432" t="str">
        <f t="shared" si="110"/>
        <v/>
      </c>
      <c r="G1432" t="str">
        <f t="shared" si="111"/>
        <v/>
      </c>
      <c r="H1432" t="str">
        <f t="shared" si="112"/>
        <v/>
      </c>
      <c r="I1432" t="str">
        <f t="shared" si="113"/>
        <v/>
      </c>
      <c r="J1432" t="str">
        <f t="shared" si="114"/>
        <v/>
      </c>
      <c r="K1432" t="str">
        <f>IF($A1432="","",IF(COUNTIF($B$2:$B1432,$B1432)=COUNTIF($B$2:$B$1601,$B1432),$B1432,""))</f>
        <v/>
      </c>
    </row>
    <row r="1433" spans="1:11">
      <c r="A1433" t="str">
        <f>IF('TMP Paste'!$E1433="","",'TMP Paste'!$E1433)</f>
        <v/>
      </c>
      <c r="B1433" t="str">
        <f>IF($A1433="","",COUNTIF('TMP Paste'!$B$2:$B1433,"?*"))</f>
        <v/>
      </c>
      <c r="C1433" t="str">
        <f>IF($A1433="","",IFERROR('TMP Paste'!$M1433*1,0))</f>
        <v/>
      </c>
      <c r="D1433" t="str">
        <f>IF($A1433="","",SUMIF($B$2:$B1433,$B1433,$C$2:$C1433))</f>
        <v/>
      </c>
      <c r="E1433">
        <f>IF($A1433="",0,IF('TMP Paste'!$B1433="",0,1))</f>
        <v>0</v>
      </c>
      <c r="F1433" t="str">
        <f t="shared" si="110"/>
        <v/>
      </c>
      <c r="G1433" t="str">
        <f t="shared" si="111"/>
        <v/>
      </c>
      <c r="H1433" t="str">
        <f t="shared" si="112"/>
        <v/>
      </c>
      <c r="I1433" t="str">
        <f t="shared" si="113"/>
        <v/>
      </c>
      <c r="J1433" t="str">
        <f t="shared" si="114"/>
        <v/>
      </c>
      <c r="K1433" t="str">
        <f>IF($A1433="","",IF(COUNTIF($B$2:$B1433,$B1433)=COUNTIF($B$2:$B$1601,$B1433),$B1433,""))</f>
        <v/>
      </c>
    </row>
    <row r="1434" spans="1:11">
      <c r="A1434" t="str">
        <f>IF('TMP Paste'!$E1434="","",'TMP Paste'!$E1434)</f>
        <v/>
      </c>
      <c r="B1434" t="str">
        <f>IF($A1434="","",COUNTIF('TMP Paste'!$B$2:$B1434,"?*"))</f>
        <v/>
      </c>
      <c r="C1434" t="str">
        <f>IF($A1434="","",IFERROR('TMP Paste'!$M1434*1,0))</f>
        <v/>
      </c>
      <c r="D1434" t="str">
        <f>IF($A1434="","",SUMIF($B$2:$B1434,$B1434,$C$2:$C1434))</f>
        <v/>
      </c>
      <c r="E1434">
        <f>IF($A1434="",0,IF('TMP Paste'!$B1434="",0,1))</f>
        <v>0</v>
      </c>
      <c r="F1434" t="str">
        <f t="shared" si="110"/>
        <v/>
      </c>
      <c r="G1434" t="str">
        <f t="shared" si="111"/>
        <v/>
      </c>
      <c r="H1434" t="str">
        <f t="shared" si="112"/>
        <v/>
      </c>
      <c r="I1434" t="str">
        <f t="shared" si="113"/>
        <v/>
      </c>
      <c r="J1434" t="str">
        <f t="shared" si="114"/>
        <v/>
      </c>
      <c r="K1434" t="str">
        <f>IF($A1434="","",IF(COUNTIF($B$2:$B1434,$B1434)=COUNTIF($B$2:$B$1601,$B1434),$B1434,""))</f>
        <v/>
      </c>
    </row>
    <row r="1435" spans="1:11">
      <c r="A1435" t="str">
        <f>IF('TMP Paste'!$E1435="","",'TMP Paste'!$E1435)</f>
        <v/>
      </c>
      <c r="B1435" t="str">
        <f>IF($A1435="","",COUNTIF('TMP Paste'!$B$2:$B1435,"?*"))</f>
        <v/>
      </c>
      <c r="C1435" t="str">
        <f>IF($A1435="","",IFERROR('TMP Paste'!$M1435*1,0))</f>
        <v/>
      </c>
      <c r="D1435" t="str">
        <f>IF($A1435="","",SUMIF($B$2:$B1435,$B1435,$C$2:$C1435))</f>
        <v/>
      </c>
      <c r="E1435">
        <f>IF($A1435="",0,IF('TMP Paste'!$B1435="",0,1))</f>
        <v>0</v>
      </c>
      <c r="F1435" t="str">
        <f t="shared" si="110"/>
        <v/>
      </c>
      <c r="G1435" t="str">
        <f t="shared" si="111"/>
        <v/>
      </c>
      <c r="H1435" t="str">
        <f t="shared" si="112"/>
        <v/>
      </c>
      <c r="I1435" t="str">
        <f t="shared" si="113"/>
        <v/>
      </c>
      <c r="J1435" t="str">
        <f t="shared" si="114"/>
        <v/>
      </c>
      <c r="K1435" t="str">
        <f>IF($A1435="","",IF(COUNTIF($B$2:$B1435,$B1435)=COUNTIF($B$2:$B$1601,$B1435),$B1435,""))</f>
        <v/>
      </c>
    </row>
    <row r="1436" spans="1:11">
      <c r="A1436" t="str">
        <f>IF('TMP Paste'!$E1436="","",'TMP Paste'!$E1436)</f>
        <v/>
      </c>
      <c r="B1436" t="str">
        <f>IF($A1436="","",COUNTIF('TMP Paste'!$B$2:$B1436,"?*"))</f>
        <v/>
      </c>
      <c r="C1436" t="str">
        <f>IF($A1436="","",IFERROR('TMP Paste'!$M1436*1,0))</f>
        <v/>
      </c>
      <c r="D1436" t="str">
        <f>IF($A1436="","",SUMIF($B$2:$B1436,$B1436,$C$2:$C1436))</f>
        <v/>
      </c>
      <c r="E1436">
        <f>IF($A1436="",0,IF('TMP Paste'!$B1436="",0,1))</f>
        <v>0</v>
      </c>
      <c r="F1436" t="str">
        <f t="shared" si="110"/>
        <v/>
      </c>
      <c r="G1436" t="str">
        <f t="shared" si="111"/>
        <v/>
      </c>
      <c r="H1436" t="str">
        <f t="shared" si="112"/>
        <v/>
      </c>
      <c r="I1436" t="str">
        <f t="shared" si="113"/>
        <v/>
      </c>
      <c r="J1436" t="str">
        <f t="shared" si="114"/>
        <v/>
      </c>
      <c r="K1436" t="str">
        <f>IF($A1436="","",IF(COUNTIF($B$2:$B1436,$B1436)=COUNTIF($B$2:$B$1601,$B1436),$B1436,""))</f>
        <v/>
      </c>
    </row>
    <row r="1437" spans="1:11">
      <c r="A1437" t="str">
        <f>IF('TMP Paste'!$E1437="","",'TMP Paste'!$E1437)</f>
        <v/>
      </c>
      <c r="B1437" t="str">
        <f>IF($A1437="","",COUNTIF('TMP Paste'!$B$2:$B1437,"?*"))</f>
        <v/>
      </c>
      <c r="C1437" t="str">
        <f>IF($A1437="","",IFERROR('TMP Paste'!$M1437*1,0))</f>
        <v/>
      </c>
      <c r="D1437" t="str">
        <f>IF($A1437="","",SUMIF($B$2:$B1437,$B1437,$C$2:$C1437))</f>
        <v/>
      </c>
      <c r="E1437">
        <f>IF($A1437="",0,IF('TMP Paste'!$B1437="",0,1))</f>
        <v>0</v>
      </c>
      <c r="F1437" t="str">
        <f t="shared" si="110"/>
        <v/>
      </c>
      <c r="G1437" t="str">
        <f t="shared" si="111"/>
        <v/>
      </c>
      <c r="H1437" t="str">
        <f t="shared" si="112"/>
        <v/>
      </c>
      <c r="I1437" t="str">
        <f t="shared" si="113"/>
        <v/>
      </c>
      <c r="J1437" t="str">
        <f t="shared" si="114"/>
        <v/>
      </c>
      <c r="K1437" t="str">
        <f>IF($A1437="","",IF(COUNTIF($B$2:$B1437,$B1437)=COUNTIF($B$2:$B$1601,$B1437),$B1437,""))</f>
        <v/>
      </c>
    </row>
    <row r="1438" spans="1:11">
      <c r="A1438" t="str">
        <f>IF('TMP Paste'!$E1438="","",'TMP Paste'!$E1438)</f>
        <v/>
      </c>
      <c r="B1438" t="str">
        <f>IF($A1438="","",COUNTIF('TMP Paste'!$B$2:$B1438,"?*"))</f>
        <v/>
      </c>
      <c r="C1438" t="str">
        <f>IF($A1438="","",IFERROR('TMP Paste'!$M1438*1,0))</f>
        <v/>
      </c>
      <c r="D1438" t="str">
        <f>IF($A1438="","",SUMIF($B$2:$B1438,$B1438,$C$2:$C1438))</f>
        <v/>
      </c>
      <c r="E1438">
        <f>IF($A1438="",0,IF('TMP Paste'!$B1438="",0,1))</f>
        <v>0</v>
      </c>
      <c r="F1438" t="str">
        <f t="shared" si="110"/>
        <v/>
      </c>
      <c r="G1438" t="str">
        <f t="shared" si="111"/>
        <v/>
      </c>
      <c r="H1438" t="str">
        <f t="shared" si="112"/>
        <v/>
      </c>
      <c r="I1438" t="str">
        <f t="shared" si="113"/>
        <v/>
      </c>
      <c r="J1438" t="str">
        <f t="shared" si="114"/>
        <v/>
      </c>
      <c r="K1438" t="str">
        <f>IF($A1438="","",IF(COUNTIF($B$2:$B1438,$B1438)=COUNTIF($B$2:$B$1601,$B1438),$B1438,""))</f>
        <v/>
      </c>
    </row>
    <row r="1439" spans="1:11">
      <c r="A1439" t="str">
        <f>IF('TMP Paste'!$E1439="","",'TMP Paste'!$E1439)</f>
        <v/>
      </c>
      <c r="B1439" t="str">
        <f>IF($A1439="","",COUNTIF('TMP Paste'!$B$2:$B1439,"?*"))</f>
        <v/>
      </c>
      <c r="C1439" t="str">
        <f>IF($A1439="","",IFERROR('TMP Paste'!$M1439*1,0))</f>
        <v/>
      </c>
      <c r="D1439" t="str">
        <f>IF($A1439="","",SUMIF($B$2:$B1439,$B1439,$C$2:$C1439))</f>
        <v/>
      </c>
      <c r="E1439">
        <f>IF($A1439="",0,IF('TMP Paste'!$B1439="",0,1))</f>
        <v>0</v>
      </c>
      <c r="F1439" t="str">
        <f t="shared" si="110"/>
        <v/>
      </c>
      <c r="G1439" t="str">
        <f t="shared" si="111"/>
        <v/>
      </c>
      <c r="H1439" t="str">
        <f t="shared" si="112"/>
        <v/>
      </c>
      <c r="I1439" t="str">
        <f t="shared" si="113"/>
        <v/>
      </c>
      <c r="J1439" t="str">
        <f t="shared" si="114"/>
        <v/>
      </c>
      <c r="K1439" t="str">
        <f>IF($A1439="","",IF(COUNTIF($B$2:$B1439,$B1439)=COUNTIF($B$2:$B$1601,$B1439),$B1439,""))</f>
        <v/>
      </c>
    </row>
    <row r="1440" spans="1:11">
      <c r="A1440" t="str">
        <f>IF('TMP Paste'!$E1440="","",'TMP Paste'!$E1440)</f>
        <v/>
      </c>
      <c r="B1440" t="str">
        <f>IF($A1440="","",COUNTIF('TMP Paste'!$B$2:$B1440,"?*"))</f>
        <v/>
      </c>
      <c r="C1440" t="str">
        <f>IF($A1440="","",IFERROR('TMP Paste'!$M1440*1,0))</f>
        <v/>
      </c>
      <c r="D1440" t="str">
        <f>IF($A1440="","",SUMIF($B$2:$B1440,$B1440,$C$2:$C1440))</f>
        <v/>
      </c>
      <c r="E1440">
        <f>IF($A1440="",0,IF('TMP Paste'!$B1440="",0,1))</f>
        <v>0</v>
      </c>
      <c r="F1440" t="str">
        <f t="shared" si="110"/>
        <v/>
      </c>
      <c r="G1440" t="str">
        <f t="shared" si="111"/>
        <v/>
      </c>
      <c r="H1440" t="str">
        <f t="shared" si="112"/>
        <v/>
      </c>
      <c r="I1440" t="str">
        <f t="shared" si="113"/>
        <v/>
      </c>
      <c r="J1440" t="str">
        <f t="shared" si="114"/>
        <v/>
      </c>
      <c r="K1440" t="str">
        <f>IF($A1440="","",IF(COUNTIF($B$2:$B1440,$B1440)=COUNTIF($B$2:$B$1601,$B1440),$B1440,""))</f>
        <v/>
      </c>
    </row>
    <row r="1441" spans="1:11">
      <c r="A1441" t="str">
        <f>IF('TMP Paste'!$E1441="","",'TMP Paste'!$E1441)</f>
        <v/>
      </c>
      <c r="B1441" t="str">
        <f>IF($A1441="","",COUNTIF('TMP Paste'!$B$2:$B1441,"?*"))</f>
        <v/>
      </c>
      <c r="C1441" t="str">
        <f>IF($A1441="","",IFERROR('TMP Paste'!$M1441*1,0))</f>
        <v/>
      </c>
      <c r="D1441" t="str">
        <f>IF($A1441="","",SUMIF($B$2:$B1441,$B1441,$C$2:$C1441))</f>
        <v/>
      </c>
      <c r="E1441">
        <f>IF($A1441="",0,IF('TMP Paste'!$B1441="",0,1))</f>
        <v>0</v>
      </c>
      <c r="F1441" t="str">
        <f t="shared" si="110"/>
        <v/>
      </c>
      <c r="G1441" t="str">
        <f t="shared" si="111"/>
        <v/>
      </c>
      <c r="H1441" t="str">
        <f t="shared" si="112"/>
        <v/>
      </c>
      <c r="I1441" t="str">
        <f t="shared" si="113"/>
        <v/>
      </c>
      <c r="J1441" t="str">
        <f t="shared" si="114"/>
        <v/>
      </c>
      <c r="K1441" t="str">
        <f>IF($A1441="","",IF(COUNTIF($B$2:$B1441,$B1441)=COUNTIF($B$2:$B$1601,$B1441),$B1441,""))</f>
        <v/>
      </c>
    </row>
    <row r="1442" spans="1:11">
      <c r="A1442" t="str">
        <f>IF('TMP Paste'!$E1442="","",'TMP Paste'!$E1442)</f>
        <v/>
      </c>
      <c r="B1442" t="str">
        <f>IF($A1442="","",COUNTIF('TMP Paste'!$B$2:$B1442,"?*"))</f>
        <v/>
      </c>
      <c r="C1442" t="str">
        <f>IF($A1442="","",IFERROR('TMP Paste'!$M1442*1,0))</f>
        <v/>
      </c>
      <c r="D1442" t="str">
        <f>IF($A1442="","",SUMIF($B$2:$B1442,$B1442,$C$2:$C1442))</f>
        <v/>
      </c>
      <c r="E1442">
        <f>IF($A1442="",0,IF('TMP Paste'!$B1442="",0,1))</f>
        <v>0</v>
      </c>
      <c r="F1442" t="str">
        <f t="shared" si="110"/>
        <v/>
      </c>
      <c r="G1442" t="str">
        <f t="shared" si="111"/>
        <v/>
      </c>
      <c r="H1442" t="str">
        <f t="shared" si="112"/>
        <v/>
      </c>
      <c r="I1442" t="str">
        <f t="shared" si="113"/>
        <v/>
      </c>
      <c r="J1442" t="str">
        <f t="shared" si="114"/>
        <v/>
      </c>
      <c r="K1442" t="str">
        <f>IF($A1442="","",IF(COUNTIF($B$2:$B1442,$B1442)=COUNTIF($B$2:$B$1601,$B1442),$B1442,""))</f>
        <v/>
      </c>
    </row>
    <row r="1443" spans="1:11">
      <c r="A1443" t="str">
        <f>IF('TMP Paste'!$E1443="","",'TMP Paste'!$E1443)</f>
        <v/>
      </c>
      <c r="B1443" t="str">
        <f>IF($A1443="","",COUNTIF('TMP Paste'!$B$2:$B1443,"?*"))</f>
        <v/>
      </c>
      <c r="C1443" t="str">
        <f>IF($A1443="","",IFERROR('TMP Paste'!$M1443*1,0))</f>
        <v/>
      </c>
      <c r="D1443" t="str">
        <f>IF($A1443="","",SUMIF($B$2:$B1443,$B1443,$C$2:$C1443))</f>
        <v/>
      </c>
      <c r="E1443">
        <f>IF($A1443="",0,IF('TMP Paste'!$B1443="",0,1))</f>
        <v>0</v>
      </c>
      <c r="F1443" t="str">
        <f t="shared" si="110"/>
        <v/>
      </c>
      <c r="G1443" t="str">
        <f t="shared" si="111"/>
        <v/>
      </c>
      <c r="H1443" t="str">
        <f t="shared" si="112"/>
        <v/>
      </c>
      <c r="I1443" t="str">
        <f t="shared" si="113"/>
        <v/>
      </c>
      <c r="J1443" t="str">
        <f t="shared" si="114"/>
        <v/>
      </c>
      <c r="K1443" t="str">
        <f>IF($A1443="","",IF(COUNTIF($B$2:$B1443,$B1443)=COUNTIF($B$2:$B$1601,$B1443),$B1443,""))</f>
        <v/>
      </c>
    </row>
    <row r="1444" spans="1:11">
      <c r="A1444" t="str">
        <f>IF('TMP Paste'!$E1444="","",'TMP Paste'!$E1444)</f>
        <v/>
      </c>
      <c r="B1444" t="str">
        <f>IF($A1444="","",COUNTIF('TMP Paste'!$B$2:$B1444,"?*"))</f>
        <v/>
      </c>
      <c r="C1444" t="str">
        <f>IF($A1444="","",IFERROR('TMP Paste'!$M1444*1,0))</f>
        <v/>
      </c>
      <c r="D1444" t="str">
        <f>IF($A1444="","",SUMIF($B$2:$B1444,$B1444,$C$2:$C1444))</f>
        <v/>
      </c>
      <c r="E1444">
        <f>IF($A1444="",0,IF('TMP Paste'!$B1444="",0,1))</f>
        <v>0</v>
      </c>
      <c r="F1444" t="str">
        <f t="shared" si="110"/>
        <v/>
      </c>
      <c r="G1444" t="str">
        <f t="shared" si="111"/>
        <v/>
      </c>
      <c r="H1444" t="str">
        <f t="shared" si="112"/>
        <v/>
      </c>
      <c r="I1444" t="str">
        <f t="shared" si="113"/>
        <v/>
      </c>
      <c r="J1444" t="str">
        <f t="shared" si="114"/>
        <v/>
      </c>
      <c r="K1444" t="str">
        <f>IF($A1444="","",IF(COUNTIF($B$2:$B1444,$B1444)=COUNTIF($B$2:$B$1601,$B1444),$B1444,""))</f>
        <v/>
      </c>
    </row>
    <row r="1445" spans="1:11">
      <c r="A1445" t="str">
        <f>IF('TMP Paste'!$E1445="","",'TMP Paste'!$E1445)</f>
        <v/>
      </c>
      <c r="B1445" t="str">
        <f>IF($A1445="","",COUNTIF('TMP Paste'!$B$2:$B1445,"?*"))</f>
        <v/>
      </c>
      <c r="C1445" t="str">
        <f>IF($A1445="","",IFERROR('TMP Paste'!$M1445*1,0))</f>
        <v/>
      </c>
      <c r="D1445" t="str">
        <f>IF($A1445="","",SUMIF($B$2:$B1445,$B1445,$C$2:$C1445))</f>
        <v/>
      </c>
      <c r="E1445">
        <f>IF($A1445="",0,IF('TMP Paste'!$B1445="",0,1))</f>
        <v>0</v>
      </c>
      <c r="F1445" t="str">
        <f t="shared" si="110"/>
        <v/>
      </c>
      <c r="G1445" t="str">
        <f t="shared" si="111"/>
        <v/>
      </c>
      <c r="H1445" t="str">
        <f t="shared" si="112"/>
        <v/>
      </c>
      <c r="I1445" t="str">
        <f t="shared" si="113"/>
        <v/>
      </c>
      <c r="J1445" t="str">
        <f t="shared" si="114"/>
        <v/>
      </c>
      <c r="K1445" t="str">
        <f>IF($A1445="","",IF(COUNTIF($B$2:$B1445,$B1445)=COUNTIF($B$2:$B$1601,$B1445),$B1445,""))</f>
        <v/>
      </c>
    </row>
    <row r="1446" spans="1:11">
      <c r="A1446" t="str">
        <f>IF('TMP Paste'!$E1446="","",'TMP Paste'!$E1446)</f>
        <v/>
      </c>
      <c r="B1446" t="str">
        <f>IF($A1446="","",COUNTIF('TMP Paste'!$B$2:$B1446,"?*"))</f>
        <v/>
      </c>
      <c r="C1446" t="str">
        <f>IF($A1446="","",IFERROR('TMP Paste'!$M1446*1,0))</f>
        <v/>
      </c>
      <c r="D1446" t="str">
        <f>IF($A1446="","",SUMIF($B$2:$B1446,$B1446,$C$2:$C1446))</f>
        <v/>
      </c>
      <c r="E1446">
        <f>IF($A1446="",0,IF('TMP Paste'!$B1446="",0,1))</f>
        <v>0</v>
      </c>
      <c r="F1446" t="str">
        <f t="shared" si="110"/>
        <v/>
      </c>
      <c r="G1446" t="str">
        <f t="shared" si="111"/>
        <v/>
      </c>
      <c r="H1446" t="str">
        <f t="shared" si="112"/>
        <v/>
      </c>
      <c r="I1446" t="str">
        <f t="shared" si="113"/>
        <v/>
      </c>
      <c r="J1446" t="str">
        <f t="shared" si="114"/>
        <v/>
      </c>
      <c r="K1446" t="str">
        <f>IF($A1446="","",IF(COUNTIF($B$2:$B1446,$B1446)=COUNTIF($B$2:$B$1601,$B1446),$B1446,""))</f>
        <v/>
      </c>
    </row>
    <row r="1447" spans="1:11">
      <c r="A1447" t="str">
        <f>IF('TMP Paste'!$E1447="","",'TMP Paste'!$E1447)</f>
        <v/>
      </c>
      <c r="B1447" t="str">
        <f>IF($A1447="","",COUNTIF('TMP Paste'!$B$2:$B1447,"?*"))</f>
        <v/>
      </c>
      <c r="C1447" t="str">
        <f>IF($A1447="","",IFERROR('TMP Paste'!$M1447*1,0))</f>
        <v/>
      </c>
      <c r="D1447" t="str">
        <f>IF($A1447="","",SUMIF($B$2:$B1447,$B1447,$C$2:$C1447))</f>
        <v/>
      </c>
      <c r="E1447">
        <f>IF($A1447="",0,IF('TMP Paste'!$B1447="",0,1))</f>
        <v>0</v>
      </c>
      <c r="F1447" t="str">
        <f t="shared" si="110"/>
        <v/>
      </c>
      <c r="G1447" t="str">
        <f t="shared" si="111"/>
        <v/>
      </c>
      <c r="H1447" t="str">
        <f t="shared" si="112"/>
        <v/>
      </c>
      <c r="I1447" t="str">
        <f t="shared" si="113"/>
        <v/>
      </c>
      <c r="J1447" t="str">
        <f t="shared" si="114"/>
        <v/>
      </c>
      <c r="K1447" t="str">
        <f>IF($A1447="","",IF(COUNTIF($B$2:$B1447,$B1447)=COUNTIF($B$2:$B$1601,$B1447),$B1447,""))</f>
        <v/>
      </c>
    </row>
    <row r="1448" spans="1:11">
      <c r="A1448" t="str">
        <f>IF('TMP Paste'!$E1448="","",'TMP Paste'!$E1448)</f>
        <v/>
      </c>
      <c r="B1448" t="str">
        <f>IF($A1448="","",COUNTIF('TMP Paste'!$B$2:$B1448,"?*"))</f>
        <v/>
      </c>
      <c r="C1448" t="str">
        <f>IF($A1448="","",IFERROR('TMP Paste'!$M1448*1,0))</f>
        <v/>
      </c>
      <c r="D1448" t="str">
        <f>IF($A1448="","",SUMIF($B$2:$B1448,$B1448,$C$2:$C1448))</f>
        <v/>
      </c>
      <c r="E1448">
        <f>IF($A1448="",0,IF('TMP Paste'!$B1448="",0,1))</f>
        <v>0</v>
      </c>
      <c r="F1448" t="str">
        <f t="shared" si="110"/>
        <v/>
      </c>
      <c r="G1448" t="str">
        <f t="shared" si="111"/>
        <v/>
      </c>
      <c r="H1448" t="str">
        <f t="shared" si="112"/>
        <v/>
      </c>
      <c r="I1448" t="str">
        <f t="shared" si="113"/>
        <v/>
      </c>
      <c r="J1448" t="str">
        <f t="shared" si="114"/>
        <v/>
      </c>
      <c r="K1448" t="str">
        <f>IF($A1448="","",IF(COUNTIF($B$2:$B1448,$B1448)=COUNTIF($B$2:$B$1601,$B1448),$B1448,""))</f>
        <v/>
      </c>
    </row>
    <row r="1449" spans="1:11">
      <c r="A1449" t="str">
        <f>IF('TMP Paste'!$E1449="","",'TMP Paste'!$E1449)</f>
        <v/>
      </c>
      <c r="B1449" t="str">
        <f>IF($A1449="","",COUNTIF('TMP Paste'!$B$2:$B1449,"?*"))</f>
        <v/>
      </c>
      <c r="C1449" t="str">
        <f>IF($A1449="","",IFERROR('TMP Paste'!$M1449*1,0))</f>
        <v/>
      </c>
      <c r="D1449" t="str">
        <f>IF($A1449="","",SUMIF($B$2:$B1449,$B1449,$C$2:$C1449))</f>
        <v/>
      </c>
      <c r="E1449">
        <f>IF($A1449="",0,IF('TMP Paste'!$B1449="",0,1))</f>
        <v>0</v>
      </c>
      <c r="F1449" t="str">
        <f t="shared" si="110"/>
        <v/>
      </c>
      <c r="G1449" t="str">
        <f t="shared" si="111"/>
        <v/>
      </c>
      <c r="H1449" t="str">
        <f t="shared" si="112"/>
        <v/>
      </c>
      <c r="I1449" t="str">
        <f t="shared" si="113"/>
        <v/>
      </c>
      <c r="J1449" t="str">
        <f t="shared" si="114"/>
        <v/>
      </c>
      <c r="K1449" t="str">
        <f>IF($A1449="","",IF(COUNTIF($B$2:$B1449,$B1449)=COUNTIF($B$2:$B$1601,$B1449),$B1449,""))</f>
        <v/>
      </c>
    </row>
    <row r="1450" spans="1:11">
      <c r="A1450" t="str">
        <f>IF('TMP Paste'!$E1450="","",'TMP Paste'!$E1450)</f>
        <v/>
      </c>
      <c r="B1450" t="str">
        <f>IF($A1450="","",COUNTIF('TMP Paste'!$B$2:$B1450,"?*"))</f>
        <v/>
      </c>
      <c r="C1450" t="str">
        <f>IF($A1450="","",IFERROR('TMP Paste'!$M1450*1,0))</f>
        <v/>
      </c>
      <c r="D1450" t="str">
        <f>IF($A1450="","",SUMIF($B$2:$B1450,$B1450,$C$2:$C1450))</f>
        <v/>
      </c>
      <c r="E1450">
        <f>IF($A1450="",0,IF('TMP Paste'!$B1450="",0,1))</f>
        <v>0</v>
      </c>
      <c r="F1450" t="str">
        <f t="shared" si="110"/>
        <v/>
      </c>
      <c r="G1450" t="str">
        <f t="shared" si="111"/>
        <v/>
      </c>
      <c r="H1450" t="str">
        <f t="shared" si="112"/>
        <v/>
      </c>
      <c r="I1450" t="str">
        <f t="shared" si="113"/>
        <v/>
      </c>
      <c r="J1450" t="str">
        <f t="shared" si="114"/>
        <v/>
      </c>
      <c r="K1450" t="str">
        <f>IF($A1450="","",IF(COUNTIF($B$2:$B1450,$B1450)=COUNTIF($B$2:$B$1601,$B1450),$B1450,""))</f>
        <v/>
      </c>
    </row>
    <row r="1451" spans="1:11">
      <c r="A1451" t="str">
        <f>IF('TMP Paste'!$E1451="","",'TMP Paste'!$E1451)</f>
        <v/>
      </c>
      <c r="B1451" t="str">
        <f>IF($A1451="","",COUNTIF('TMP Paste'!$B$2:$B1451,"?*"))</f>
        <v/>
      </c>
      <c r="C1451" t="str">
        <f>IF($A1451="","",IFERROR('TMP Paste'!$M1451*1,0))</f>
        <v/>
      </c>
      <c r="D1451" t="str">
        <f>IF($A1451="","",SUMIF($B$2:$B1451,$B1451,$C$2:$C1451))</f>
        <v/>
      </c>
      <c r="E1451">
        <f>IF($A1451="",0,IF('TMP Paste'!$B1451="",0,1))</f>
        <v>0</v>
      </c>
      <c r="F1451" t="str">
        <f t="shared" si="110"/>
        <v/>
      </c>
      <c r="G1451" t="str">
        <f t="shared" si="111"/>
        <v/>
      </c>
      <c r="H1451" t="str">
        <f t="shared" si="112"/>
        <v/>
      </c>
      <c r="I1451" t="str">
        <f t="shared" si="113"/>
        <v/>
      </c>
      <c r="J1451" t="str">
        <f t="shared" si="114"/>
        <v/>
      </c>
      <c r="K1451" t="str">
        <f>IF($A1451="","",IF(COUNTIF($B$2:$B1451,$B1451)=COUNTIF($B$2:$B$1601,$B1451),$B1451,""))</f>
        <v/>
      </c>
    </row>
    <row r="1452" spans="1:11">
      <c r="A1452" t="str">
        <f>IF('TMP Paste'!$E1452="","",'TMP Paste'!$E1452)</f>
        <v/>
      </c>
      <c r="B1452" t="str">
        <f>IF($A1452="","",COUNTIF('TMP Paste'!$B$2:$B1452,"?*"))</f>
        <v/>
      </c>
      <c r="C1452" t="str">
        <f>IF($A1452="","",IFERROR('TMP Paste'!$M1452*1,0))</f>
        <v/>
      </c>
      <c r="D1452" t="str">
        <f>IF($A1452="","",SUMIF($B$2:$B1452,$B1452,$C$2:$C1452))</f>
        <v/>
      </c>
      <c r="E1452">
        <f>IF($A1452="",0,IF('TMP Paste'!$B1452="",0,1))</f>
        <v>0</v>
      </c>
      <c r="F1452" t="str">
        <f t="shared" si="110"/>
        <v/>
      </c>
      <c r="G1452" t="str">
        <f t="shared" si="111"/>
        <v/>
      </c>
      <c r="H1452" t="str">
        <f t="shared" si="112"/>
        <v/>
      </c>
      <c r="I1452" t="str">
        <f t="shared" si="113"/>
        <v/>
      </c>
      <c r="J1452" t="str">
        <f t="shared" si="114"/>
        <v/>
      </c>
      <c r="K1452" t="str">
        <f>IF($A1452="","",IF(COUNTIF($B$2:$B1452,$B1452)=COUNTIF($B$2:$B$1601,$B1452),$B1452,""))</f>
        <v/>
      </c>
    </row>
    <row r="1453" spans="1:11">
      <c r="A1453" t="str">
        <f>IF('TMP Paste'!$E1453="","",'TMP Paste'!$E1453)</f>
        <v/>
      </c>
      <c r="B1453" t="str">
        <f>IF($A1453="","",COUNTIF('TMP Paste'!$B$2:$B1453,"?*"))</f>
        <v/>
      </c>
      <c r="C1453" t="str">
        <f>IF($A1453="","",IFERROR('TMP Paste'!$M1453*1,0))</f>
        <v/>
      </c>
      <c r="D1453" t="str">
        <f>IF($A1453="","",SUMIF($B$2:$B1453,$B1453,$C$2:$C1453))</f>
        <v/>
      </c>
      <c r="E1453">
        <f>IF($A1453="",0,IF('TMP Paste'!$B1453="",0,1))</f>
        <v>0</v>
      </c>
      <c r="F1453" t="str">
        <f t="shared" si="110"/>
        <v/>
      </c>
      <c r="G1453" t="str">
        <f t="shared" si="111"/>
        <v/>
      </c>
      <c r="H1453" t="str">
        <f t="shared" si="112"/>
        <v/>
      </c>
      <c r="I1453" t="str">
        <f t="shared" si="113"/>
        <v/>
      </c>
      <c r="J1453" t="str">
        <f t="shared" si="114"/>
        <v/>
      </c>
      <c r="K1453" t="str">
        <f>IF($A1453="","",IF(COUNTIF($B$2:$B1453,$B1453)=COUNTIF($B$2:$B$1601,$B1453),$B1453,""))</f>
        <v/>
      </c>
    </row>
    <row r="1454" spans="1:11">
      <c r="A1454" t="str">
        <f>IF('TMP Paste'!$E1454="","",'TMP Paste'!$E1454)</f>
        <v/>
      </c>
      <c r="B1454" t="str">
        <f>IF($A1454="","",COUNTIF('TMP Paste'!$B$2:$B1454,"?*"))</f>
        <v/>
      </c>
      <c r="C1454" t="str">
        <f>IF($A1454="","",IFERROR('TMP Paste'!$M1454*1,0))</f>
        <v/>
      </c>
      <c r="D1454" t="str">
        <f>IF($A1454="","",SUMIF($B$2:$B1454,$B1454,$C$2:$C1454))</f>
        <v/>
      </c>
      <c r="E1454">
        <f>IF($A1454="",0,IF('TMP Paste'!$B1454="",0,1))</f>
        <v>0</v>
      </c>
      <c r="F1454" t="str">
        <f t="shared" si="110"/>
        <v/>
      </c>
      <c r="G1454" t="str">
        <f t="shared" si="111"/>
        <v/>
      </c>
      <c r="H1454" t="str">
        <f t="shared" si="112"/>
        <v/>
      </c>
      <c r="I1454" t="str">
        <f t="shared" si="113"/>
        <v/>
      </c>
      <c r="J1454" t="str">
        <f t="shared" si="114"/>
        <v/>
      </c>
      <c r="K1454" t="str">
        <f>IF($A1454="","",IF(COUNTIF($B$2:$B1454,$B1454)=COUNTIF($B$2:$B$1601,$B1454),$B1454,""))</f>
        <v/>
      </c>
    </row>
    <row r="1455" spans="1:11">
      <c r="A1455" t="str">
        <f>IF('TMP Paste'!$E1455="","",'TMP Paste'!$E1455)</f>
        <v/>
      </c>
      <c r="B1455" t="str">
        <f>IF($A1455="","",COUNTIF('TMP Paste'!$B$2:$B1455,"?*"))</f>
        <v/>
      </c>
      <c r="C1455" t="str">
        <f>IF($A1455="","",IFERROR('TMP Paste'!$M1455*1,0))</f>
        <v/>
      </c>
      <c r="D1455" t="str">
        <f>IF($A1455="","",SUMIF($B$2:$B1455,$B1455,$C$2:$C1455))</f>
        <v/>
      </c>
      <c r="E1455">
        <f>IF($A1455="",0,IF('TMP Paste'!$B1455="",0,1))</f>
        <v>0</v>
      </c>
      <c r="F1455" t="str">
        <f t="shared" si="110"/>
        <v/>
      </c>
      <c r="G1455" t="str">
        <f t="shared" si="111"/>
        <v/>
      </c>
      <c r="H1455" t="str">
        <f t="shared" si="112"/>
        <v/>
      </c>
      <c r="I1455" t="str">
        <f t="shared" si="113"/>
        <v/>
      </c>
      <c r="J1455" t="str">
        <f t="shared" si="114"/>
        <v/>
      </c>
      <c r="K1455" t="str">
        <f>IF($A1455="","",IF(COUNTIF($B$2:$B1455,$B1455)=COUNTIF($B$2:$B$1601,$B1455),$B1455,""))</f>
        <v/>
      </c>
    </row>
    <row r="1456" spans="1:11">
      <c r="A1456" t="str">
        <f>IF('TMP Paste'!$E1456="","",'TMP Paste'!$E1456)</f>
        <v/>
      </c>
      <c r="B1456" t="str">
        <f>IF($A1456="","",COUNTIF('TMP Paste'!$B$2:$B1456,"?*"))</f>
        <v/>
      </c>
      <c r="C1456" t="str">
        <f>IF($A1456="","",IFERROR('TMP Paste'!$M1456*1,0))</f>
        <v/>
      </c>
      <c r="D1456" t="str">
        <f>IF($A1456="","",SUMIF($B$2:$B1456,$B1456,$C$2:$C1456))</f>
        <v/>
      </c>
      <c r="E1456">
        <f>IF($A1456="",0,IF('TMP Paste'!$B1456="",0,1))</f>
        <v>0</v>
      </c>
      <c r="F1456" t="str">
        <f t="shared" si="110"/>
        <v/>
      </c>
      <c r="G1456" t="str">
        <f t="shared" si="111"/>
        <v/>
      </c>
      <c r="H1456" t="str">
        <f t="shared" si="112"/>
        <v/>
      </c>
      <c r="I1456" t="str">
        <f t="shared" si="113"/>
        <v/>
      </c>
      <c r="J1456" t="str">
        <f t="shared" si="114"/>
        <v/>
      </c>
      <c r="K1456" t="str">
        <f>IF($A1456="","",IF(COUNTIF($B$2:$B1456,$B1456)=COUNTIF($B$2:$B$1601,$B1456),$B1456,""))</f>
        <v/>
      </c>
    </row>
    <row r="1457" spans="1:11">
      <c r="A1457" t="str">
        <f>IF('TMP Paste'!$E1457="","",'TMP Paste'!$E1457)</f>
        <v/>
      </c>
      <c r="B1457" t="str">
        <f>IF($A1457="","",COUNTIF('TMP Paste'!$B$2:$B1457,"?*"))</f>
        <v/>
      </c>
      <c r="C1457" t="str">
        <f>IF($A1457="","",IFERROR('TMP Paste'!$M1457*1,0))</f>
        <v/>
      </c>
      <c r="D1457" t="str">
        <f>IF($A1457="","",SUMIF($B$2:$B1457,$B1457,$C$2:$C1457))</f>
        <v/>
      </c>
      <c r="E1457">
        <f>IF($A1457="",0,IF('TMP Paste'!$B1457="",0,1))</f>
        <v>0</v>
      </c>
      <c r="F1457" t="str">
        <f t="shared" si="110"/>
        <v/>
      </c>
      <c r="G1457" t="str">
        <f t="shared" si="111"/>
        <v/>
      </c>
      <c r="H1457" t="str">
        <f t="shared" si="112"/>
        <v/>
      </c>
      <c r="I1457" t="str">
        <f t="shared" si="113"/>
        <v/>
      </c>
      <c r="J1457" t="str">
        <f t="shared" si="114"/>
        <v/>
      </c>
      <c r="K1457" t="str">
        <f>IF($A1457="","",IF(COUNTIF($B$2:$B1457,$B1457)=COUNTIF($B$2:$B$1601,$B1457),$B1457,""))</f>
        <v/>
      </c>
    </row>
    <row r="1458" spans="1:11">
      <c r="A1458" t="str">
        <f>IF('TMP Paste'!$E1458="","",'TMP Paste'!$E1458)</f>
        <v/>
      </c>
      <c r="B1458" t="str">
        <f>IF($A1458="","",COUNTIF('TMP Paste'!$B$2:$B1458,"?*"))</f>
        <v/>
      </c>
      <c r="C1458" t="str">
        <f>IF($A1458="","",IFERROR('TMP Paste'!$M1458*1,0))</f>
        <v/>
      </c>
      <c r="D1458" t="str">
        <f>IF($A1458="","",SUMIF($B$2:$B1458,$B1458,$C$2:$C1458))</f>
        <v/>
      </c>
      <c r="E1458">
        <f>IF($A1458="",0,IF('TMP Paste'!$B1458="",0,1))</f>
        <v>0</v>
      </c>
      <c r="F1458" t="str">
        <f t="shared" si="110"/>
        <v/>
      </c>
      <c r="G1458" t="str">
        <f t="shared" si="111"/>
        <v/>
      </c>
      <c r="H1458" t="str">
        <f t="shared" si="112"/>
        <v/>
      </c>
      <c r="I1458" t="str">
        <f t="shared" si="113"/>
        <v/>
      </c>
      <c r="J1458" t="str">
        <f t="shared" si="114"/>
        <v/>
      </c>
      <c r="K1458" t="str">
        <f>IF($A1458="","",IF(COUNTIF($B$2:$B1458,$B1458)=COUNTIF($B$2:$B$1601,$B1458),$B1458,""))</f>
        <v/>
      </c>
    </row>
    <row r="1459" spans="1:11">
      <c r="A1459" t="str">
        <f>IF('TMP Paste'!$E1459="","",'TMP Paste'!$E1459)</f>
        <v/>
      </c>
      <c r="B1459" t="str">
        <f>IF($A1459="","",COUNTIF('TMP Paste'!$B$2:$B1459,"?*"))</f>
        <v/>
      </c>
      <c r="C1459" t="str">
        <f>IF($A1459="","",IFERROR('TMP Paste'!$M1459*1,0))</f>
        <v/>
      </c>
      <c r="D1459" t="str">
        <f>IF($A1459="","",SUMIF($B$2:$B1459,$B1459,$C$2:$C1459))</f>
        <v/>
      </c>
      <c r="E1459">
        <f>IF($A1459="",0,IF('TMP Paste'!$B1459="",0,1))</f>
        <v>0</v>
      </c>
      <c r="F1459" t="str">
        <f t="shared" si="110"/>
        <v/>
      </c>
      <c r="G1459" t="str">
        <f t="shared" si="111"/>
        <v/>
      </c>
      <c r="H1459" t="str">
        <f t="shared" si="112"/>
        <v/>
      </c>
      <c r="I1459" t="str">
        <f t="shared" si="113"/>
        <v/>
      </c>
      <c r="J1459" t="str">
        <f t="shared" si="114"/>
        <v/>
      </c>
      <c r="K1459" t="str">
        <f>IF($A1459="","",IF(COUNTIF($B$2:$B1459,$B1459)=COUNTIF($B$2:$B$1601,$B1459),$B1459,""))</f>
        <v/>
      </c>
    </row>
    <row r="1460" spans="1:11">
      <c r="A1460" t="str">
        <f>IF('TMP Paste'!$E1460="","",'TMP Paste'!$E1460)</f>
        <v/>
      </c>
      <c r="B1460" t="str">
        <f>IF($A1460="","",COUNTIF('TMP Paste'!$B$2:$B1460,"?*"))</f>
        <v/>
      </c>
      <c r="C1460" t="str">
        <f>IF($A1460="","",IFERROR('TMP Paste'!$M1460*1,0))</f>
        <v/>
      </c>
      <c r="D1460" t="str">
        <f>IF($A1460="","",SUMIF($B$2:$B1460,$B1460,$C$2:$C1460))</f>
        <v/>
      </c>
      <c r="E1460">
        <f>IF($A1460="",0,IF('TMP Paste'!$B1460="",0,1))</f>
        <v>0</v>
      </c>
      <c r="F1460" t="str">
        <f t="shared" si="110"/>
        <v/>
      </c>
      <c r="G1460" t="str">
        <f t="shared" si="111"/>
        <v/>
      </c>
      <c r="H1460" t="str">
        <f t="shared" si="112"/>
        <v/>
      </c>
      <c r="I1460" t="str">
        <f t="shared" si="113"/>
        <v/>
      </c>
      <c r="J1460" t="str">
        <f t="shared" si="114"/>
        <v/>
      </c>
      <c r="K1460" t="str">
        <f>IF($A1460="","",IF(COUNTIF($B$2:$B1460,$B1460)=COUNTIF($B$2:$B$1601,$B1460),$B1460,""))</f>
        <v/>
      </c>
    </row>
    <row r="1461" spans="1:11">
      <c r="A1461" t="str">
        <f>IF('TMP Paste'!$E1461="","",'TMP Paste'!$E1461)</f>
        <v/>
      </c>
      <c r="B1461" t="str">
        <f>IF($A1461="","",COUNTIF('TMP Paste'!$B$2:$B1461,"?*"))</f>
        <v/>
      </c>
      <c r="C1461" t="str">
        <f>IF($A1461="","",IFERROR('TMP Paste'!$M1461*1,0))</f>
        <v/>
      </c>
      <c r="D1461" t="str">
        <f>IF($A1461="","",SUMIF($B$2:$B1461,$B1461,$C$2:$C1461))</f>
        <v/>
      </c>
      <c r="E1461">
        <f>IF($A1461="",0,IF('TMP Paste'!$B1461="",0,1))</f>
        <v>0</v>
      </c>
      <c r="F1461" t="str">
        <f t="shared" si="110"/>
        <v/>
      </c>
      <c r="G1461" t="str">
        <f t="shared" si="111"/>
        <v/>
      </c>
      <c r="H1461" t="str">
        <f t="shared" si="112"/>
        <v/>
      </c>
      <c r="I1461" t="str">
        <f t="shared" si="113"/>
        <v/>
      </c>
      <c r="J1461" t="str">
        <f t="shared" si="114"/>
        <v/>
      </c>
      <c r="K1461" t="str">
        <f>IF($A1461="","",IF(COUNTIF($B$2:$B1461,$B1461)=COUNTIF($B$2:$B$1601,$B1461),$B1461,""))</f>
        <v/>
      </c>
    </row>
    <row r="1462" spans="1:11">
      <c r="A1462" t="str">
        <f>IF('TMP Paste'!$E1462="","",'TMP Paste'!$E1462)</f>
        <v/>
      </c>
      <c r="B1462" t="str">
        <f>IF($A1462="","",COUNTIF('TMP Paste'!$B$2:$B1462,"?*"))</f>
        <v/>
      </c>
      <c r="C1462" t="str">
        <f>IF($A1462="","",IFERROR('TMP Paste'!$M1462*1,0))</f>
        <v/>
      </c>
      <c r="D1462" t="str">
        <f>IF($A1462="","",SUMIF($B$2:$B1462,$B1462,$C$2:$C1462))</f>
        <v/>
      </c>
      <c r="E1462">
        <f>IF($A1462="",0,IF('TMP Paste'!$B1462="",0,1))</f>
        <v>0</v>
      </c>
      <c r="F1462" t="str">
        <f t="shared" si="110"/>
        <v/>
      </c>
      <c r="G1462" t="str">
        <f t="shared" si="111"/>
        <v/>
      </c>
      <c r="H1462" t="str">
        <f t="shared" si="112"/>
        <v/>
      </c>
      <c r="I1462" t="str">
        <f t="shared" si="113"/>
        <v/>
      </c>
      <c r="J1462" t="str">
        <f t="shared" si="114"/>
        <v/>
      </c>
      <c r="K1462" t="str">
        <f>IF($A1462="","",IF(COUNTIF($B$2:$B1462,$B1462)=COUNTIF($B$2:$B$1601,$B1462),$B1462,""))</f>
        <v/>
      </c>
    </row>
    <row r="1463" spans="1:11">
      <c r="A1463" t="str">
        <f>IF('TMP Paste'!$E1463="","",'TMP Paste'!$E1463)</f>
        <v/>
      </c>
      <c r="B1463" t="str">
        <f>IF($A1463="","",COUNTIF('TMP Paste'!$B$2:$B1463,"?*"))</f>
        <v/>
      </c>
      <c r="C1463" t="str">
        <f>IF($A1463="","",IFERROR('TMP Paste'!$M1463*1,0))</f>
        <v/>
      </c>
      <c r="D1463" t="str">
        <f>IF($A1463="","",SUMIF($B$2:$B1463,$B1463,$C$2:$C1463))</f>
        <v/>
      </c>
      <c r="E1463">
        <f>IF($A1463="",0,IF('TMP Paste'!$B1463="",0,1))</f>
        <v>0</v>
      </c>
      <c r="F1463" t="str">
        <f t="shared" si="110"/>
        <v/>
      </c>
      <c r="G1463" t="str">
        <f t="shared" si="111"/>
        <v/>
      </c>
      <c r="H1463" t="str">
        <f t="shared" si="112"/>
        <v/>
      </c>
      <c r="I1463" t="str">
        <f t="shared" si="113"/>
        <v/>
      </c>
      <c r="J1463" t="str">
        <f t="shared" si="114"/>
        <v/>
      </c>
      <c r="K1463" t="str">
        <f>IF($A1463="","",IF(COUNTIF($B$2:$B1463,$B1463)=COUNTIF($B$2:$B$1601,$B1463),$B1463,""))</f>
        <v/>
      </c>
    </row>
    <row r="1464" spans="1:11">
      <c r="A1464" t="str">
        <f>IF('TMP Paste'!$E1464="","",'TMP Paste'!$E1464)</f>
        <v/>
      </c>
      <c r="B1464" t="str">
        <f>IF($A1464="","",COUNTIF('TMP Paste'!$B$2:$B1464,"?*"))</f>
        <v/>
      </c>
      <c r="C1464" t="str">
        <f>IF($A1464="","",IFERROR('TMP Paste'!$M1464*1,0))</f>
        <v/>
      </c>
      <c r="D1464" t="str">
        <f>IF($A1464="","",SUMIF($B$2:$B1464,$B1464,$C$2:$C1464))</f>
        <v/>
      </c>
      <c r="E1464">
        <f>IF($A1464="",0,IF('TMP Paste'!$B1464="",0,1))</f>
        <v>0</v>
      </c>
      <c r="F1464" t="str">
        <f t="shared" si="110"/>
        <v/>
      </c>
      <c r="G1464" t="str">
        <f t="shared" si="111"/>
        <v/>
      </c>
      <c r="H1464" t="str">
        <f t="shared" si="112"/>
        <v/>
      </c>
      <c r="I1464" t="str">
        <f t="shared" si="113"/>
        <v/>
      </c>
      <c r="J1464" t="str">
        <f t="shared" si="114"/>
        <v/>
      </c>
      <c r="K1464" t="str">
        <f>IF($A1464="","",IF(COUNTIF($B$2:$B1464,$B1464)=COUNTIF($B$2:$B$1601,$B1464),$B1464,""))</f>
        <v/>
      </c>
    </row>
    <row r="1465" spans="1:11">
      <c r="A1465" t="str">
        <f>IF('TMP Paste'!$E1465="","",'TMP Paste'!$E1465)</f>
        <v/>
      </c>
      <c r="B1465" t="str">
        <f>IF($A1465="","",COUNTIF('TMP Paste'!$B$2:$B1465,"?*"))</f>
        <v/>
      </c>
      <c r="C1465" t="str">
        <f>IF($A1465="","",IFERROR('TMP Paste'!$M1465*1,0))</f>
        <v/>
      </c>
      <c r="D1465" t="str">
        <f>IF($A1465="","",SUMIF($B$2:$B1465,$B1465,$C$2:$C1465))</f>
        <v/>
      </c>
      <c r="E1465">
        <f>IF($A1465="",0,IF('TMP Paste'!$B1465="",0,1))</f>
        <v>0</v>
      </c>
      <c r="F1465" t="str">
        <f t="shared" si="110"/>
        <v/>
      </c>
      <c r="G1465" t="str">
        <f t="shared" si="111"/>
        <v/>
      </c>
      <c r="H1465" t="str">
        <f t="shared" si="112"/>
        <v/>
      </c>
      <c r="I1465" t="str">
        <f t="shared" si="113"/>
        <v/>
      </c>
      <c r="J1465" t="str">
        <f t="shared" si="114"/>
        <v/>
      </c>
      <c r="K1465" t="str">
        <f>IF($A1465="","",IF(COUNTIF($B$2:$B1465,$B1465)=COUNTIF($B$2:$B$1601,$B1465),$B1465,""))</f>
        <v/>
      </c>
    </row>
    <row r="1466" spans="1:11">
      <c r="A1466" t="str">
        <f>IF('TMP Paste'!$E1466="","",'TMP Paste'!$E1466)</f>
        <v/>
      </c>
      <c r="B1466" t="str">
        <f>IF($A1466="","",COUNTIF('TMP Paste'!$B$2:$B1466,"?*"))</f>
        <v/>
      </c>
      <c r="C1466" t="str">
        <f>IF($A1466="","",IFERROR('TMP Paste'!$M1466*1,0))</f>
        <v/>
      </c>
      <c r="D1466" t="str">
        <f>IF($A1466="","",SUMIF($B$2:$B1466,$B1466,$C$2:$C1466))</f>
        <v/>
      </c>
      <c r="E1466">
        <f>IF($A1466="",0,IF('TMP Paste'!$B1466="",0,1))</f>
        <v>0</v>
      </c>
      <c r="F1466" t="str">
        <f t="shared" si="110"/>
        <v/>
      </c>
      <c r="G1466" t="str">
        <f t="shared" si="111"/>
        <v/>
      </c>
      <c r="H1466" t="str">
        <f t="shared" si="112"/>
        <v/>
      </c>
      <c r="I1466" t="str">
        <f t="shared" si="113"/>
        <v/>
      </c>
      <c r="J1466" t="str">
        <f t="shared" si="114"/>
        <v/>
      </c>
      <c r="K1466" t="str">
        <f>IF($A1466="","",IF(COUNTIF($B$2:$B1466,$B1466)=COUNTIF($B$2:$B$1601,$B1466),$B1466,""))</f>
        <v/>
      </c>
    </row>
    <row r="1467" spans="1:11">
      <c r="A1467" t="str">
        <f>IF('TMP Paste'!$E1467="","",'TMP Paste'!$E1467)</f>
        <v/>
      </c>
      <c r="B1467" t="str">
        <f>IF($A1467="","",COUNTIF('TMP Paste'!$B$2:$B1467,"?*"))</f>
        <v/>
      </c>
      <c r="C1467" t="str">
        <f>IF($A1467="","",IFERROR('TMP Paste'!$M1467*1,0))</f>
        <v/>
      </c>
      <c r="D1467" t="str">
        <f>IF($A1467="","",SUMIF($B$2:$B1467,$B1467,$C$2:$C1467))</f>
        <v/>
      </c>
      <c r="E1467">
        <f>IF($A1467="",0,IF('TMP Paste'!$B1467="",0,1))</f>
        <v>0</v>
      </c>
      <c r="F1467" t="str">
        <f t="shared" si="110"/>
        <v/>
      </c>
      <c r="G1467" t="str">
        <f t="shared" si="111"/>
        <v/>
      </c>
      <c r="H1467" t="str">
        <f t="shared" si="112"/>
        <v/>
      </c>
      <c r="I1467" t="str">
        <f t="shared" si="113"/>
        <v/>
      </c>
      <c r="J1467" t="str">
        <f t="shared" si="114"/>
        <v/>
      </c>
      <c r="K1467" t="str">
        <f>IF($A1467="","",IF(COUNTIF($B$2:$B1467,$B1467)=COUNTIF($B$2:$B$1601,$B1467),$B1467,""))</f>
        <v/>
      </c>
    </row>
    <row r="1468" spans="1:11">
      <c r="A1468" t="str">
        <f>IF('TMP Paste'!$E1468="","",'TMP Paste'!$E1468)</f>
        <v/>
      </c>
      <c r="B1468" t="str">
        <f>IF($A1468="","",COUNTIF('TMP Paste'!$B$2:$B1468,"?*"))</f>
        <v/>
      </c>
      <c r="C1468" t="str">
        <f>IF($A1468="","",IFERROR('TMP Paste'!$M1468*1,0))</f>
        <v/>
      </c>
      <c r="D1468" t="str">
        <f>IF($A1468="","",SUMIF($B$2:$B1468,$B1468,$C$2:$C1468))</f>
        <v/>
      </c>
      <c r="E1468">
        <f>IF($A1468="",0,IF('TMP Paste'!$B1468="",0,1))</f>
        <v>0</v>
      </c>
      <c r="F1468" t="str">
        <f t="shared" si="110"/>
        <v/>
      </c>
      <c r="G1468" t="str">
        <f t="shared" si="111"/>
        <v/>
      </c>
      <c r="H1468" t="str">
        <f t="shared" si="112"/>
        <v/>
      </c>
      <c r="I1468" t="str">
        <f t="shared" si="113"/>
        <v/>
      </c>
      <c r="J1468" t="str">
        <f t="shared" si="114"/>
        <v/>
      </c>
      <c r="K1468" t="str">
        <f>IF($A1468="","",IF(COUNTIF($B$2:$B1468,$B1468)=COUNTIF($B$2:$B$1601,$B1468),$B1468,""))</f>
        <v/>
      </c>
    </row>
    <row r="1469" spans="1:11">
      <c r="A1469" t="str">
        <f>IF('TMP Paste'!$E1469="","",'TMP Paste'!$E1469)</f>
        <v/>
      </c>
      <c r="B1469" t="str">
        <f>IF($A1469="","",COUNTIF('TMP Paste'!$B$2:$B1469,"?*"))</f>
        <v/>
      </c>
      <c r="C1469" t="str">
        <f>IF($A1469="","",IFERROR('TMP Paste'!$M1469*1,0))</f>
        <v/>
      </c>
      <c r="D1469" t="str">
        <f>IF($A1469="","",SUMIF($B$2:$B1469,$B1469,$C$2:$C1469))</f>
        <v/>
      </c>
      <c r="E1469">
        <f>IF($A1469="",0,IF('TMP Paste'!$B1469="",0,1))</f>
        <v>0</v>
      </c>
      <c r="F1469" t="str">
        <f t="shared" si="110"/>
        <v/>
      </c>
      <c r="G1469" t="str">
        <f t="shared" si="111"/>
        <v/>
      </c>
      <c r="H1469" t="str">
        <f t="shared" si="112"/>
        <v/>
      </c>
      <c r="I1469" t="str">
        <f t="shared" si="113"/>
        <v/>
      </c>
      <c r="J1469" t="str">
        <f t="shared" si="114"/>
        <v/>
      </c>
      <c r="K1469" t="str">
        <f>IF($A1469="","",IF(COUNTIF($B$2:$B1469,$B1469)=COUNTIF($B$2:$B$1601,$B1469),$B1469,""))</f>
        <v/>
      </c>
    </row>
    <row r="1470" spans="1:11">
      <c r="A1470" t="str">
        <f>IF('TMP Paste'!$E1470="","",'TMP Paste'!$E1470)</f>
        <v/>
      </c>
      <c r="B1470" t="str">
        <f>IF($A1470="","",COUNTIF('TMP Paste'!$B$2:$B1470,"?*"))</f>
        <v/>
      </c>
      <c r="C1470" t="str">
        <f>IF($A1470="","",IFERROR('TMP Paste'!$M1470*1,0))</f>
        <v/>
      </c>
      <c r="D1470" t="str">
        <f>IF($A1470="","",SUMIF($B$2:$B1470,$B1470,$C$2:$C1470))</f>
        <v/>
      </c>
      <c r="E1470">
        <f>IF($A1470="",0,IF('TMP Paste'!$B1470="",0,1))</f>
        <v>0</v>
      </c>
      <c r="F1470" t="str">
        <f t="shared" si="110"/>
        <v/>
      </c>
      <c r="G1470" t="str">
        <f t="shared" si="111"/>
        <v/>
      </c>
      <c r="H1470" t="str">
        <f t="shared" si="112"/>
        <v/>
      </c>
      <c r="I1470" t="str">
        <f t="shared" si="113"/>
        <v/>
      </c>
      <c r="J1470" t="str">
        <f t="shared" si="114"/>
        <v/>
      </c>
      <c r="K1470" t="str">
        <f>IF($A1470="","",IF(COUNTIF($B$2:$B1470,$B1470)=COUNTIF($B$2:$B$1601,$B1470),$B1470,""))</f>
        <v/>
      </c>
    </row>
    <row r="1471" spans="1:11">
      <c r="A1471" t="str">
        <f>IF('TMP Paste'!$E1471="","",'TMP Paste'!$E1471)</f>
        <v/>
      </c>
      <c r="B1471" t="str">
        <f>IF($A1471="","",COUNTIF('TMP Paste'!$B$2:$B1471,"?*"))</f>
        <v/>
      </c>
      <c r="C1471" t="str">
        <f>IF($A1471="","",IFERROR('TMP Paste'!$M1471*1,0))</f>
        <v/>
      </c>
      <c r="D1471" t="str">
        <f>IF($A1471="","",SUMIF($B$2:$B1471,$B1471,$C$2:$C1471))</f>
        <v/>
      </c>
      <c r="E1471">
        <f>IF($A1471="",0,IF('TMP Paste'!$B1471="",0,1))</f>
        <v>0</v>
      </c>
      <c r="F1471" t="str">
        <f t="shared" si="110"/>
        <v/>
      </c>
      <c r="G1471" t="str">
        <f t="shared" si="111"/>
        <v/>
      </c>
      <c r="H1471" t="str">
        <f t="shared" si="112"/>
        <v/>
      </c>
      <c r="I1471" t="str">
        <f t="shared" si="113"/>
        <v/>
      </c>
      <c r="J1471" t="str">
        <f t="shared" si="114"/>
        <v/>
      </c>
      <c r="K1471" t="str">
        <f>IF($A1471="","",IF(COUNTIF($B$2:$B1471,$B1471)=COUNTIF($B$2:$B$1601,$B1471),$B1471,""))</f>
        <v/>
      </c>
    </row>
    <row r="1472" spans="1:11">
      <c r="A1472" t="str">
        <f>IF('TMP Paste'!$E1472="","",'TMP Paste'!$E1472)</f>
        <v/>
      </c>
      <c r="B1472" t="str">
        <f>IF($A1472="","",COUNTIF('TMP Paste'!$B$2:$B1472,"?*"))</f>
        <v/>
      </c>
      <c r="C1472" t="str">
        <f>IF($A1472="","",IFERROR('TMP Paste'!$M1472*1,0))</f>
        <v/>
      </c>
      <c r="D1472" t="str">
        <f>IF($A1472="","",SUMIF($B$2:$B1472,$B1472,$C$2:$C1472))</f>
        <v/>
      </c>
      <c r="E1472">
        <f>IF($A1472="",0,IF('TMP Paste'!$B1472="",0,1))</f>
        <v>0</v>
      </c>
      <c r="F1472" t="str">
        <f t="shared" si="110"/>
        <v/>
      </c>
      <c r="G1472" t="str">
        <f t="shared" si="111"/>
        <v/>
      </c>
      <c r="H1472" t="str">
        <f t="shared" si="112"/>
        <v/>
      </c>
      <c r="I1472" t="str">
        <f t="shared" si="113"/>
        <v/>
      </c>
      <c r="J1472" t="str">
        <f t="shared" si="114"/>
        <v/>
      </c>
      <c r="K1472" t="str">
        <f>IF($A1472="","",IF(COUNTIF($B$2:$B1472,$B1472)=COUNTIF($B$2:$B$1601,$B1472),$B1472,""))</f>
        <v/>
      </c>
    </row>
    <row r="1473" spans="1:11">
      <c r="A1473" t="str">
        <f>IF('TMP Paste'!$E1473="","",'TMP Paste'!$E1473)</f>
        <v/>
      </c>
      <c r="B1473" t="str">
        <f>IF($A1473="","",COUNTIF('TMP Paste'!$B$2:$B1473,"?*"))</f>
        <v/>
      </c>
      <c r="C1473" t="str">
        <f>IF($A1473="","",IFERROR('TMP Paste'!$M1473*1,0))</f>
        <v/>
      </c>
      <c r="D1473" t="str">
        <f>IF($A1473="","",SUMIF($B$2:$B1473,$B1473,$C$2:$C1473))</f>
        <v/>
      </c>
      <c r="E1473">
        <f>IF($A1473="",0,IF('TMP Paste'!$B1473="",0,1))</f>
        <v>0</v>
      </c>
      <c r="F1473" t="str">
        <f t="shared" si="110"/>
        <v/>
      </c>
      <c r="G1473" t="str">
        <f t="shared" si="111"/>
        <v/>
      </c>
      <c r="H1473" t="str">
        <f t="shared" si="112"/>
        <v/>
      </c>
      <c r="I1473" t="str">
        <f t="shared" si="113"/>
        <v/>
      </c>
      <c r="J1473" t="str">
        <f t="shared" si="114"/>
        <v/>
      </c>
      <c r="K1473" t="str">
        <f>IF($A1473="","",IF(COUNTIF($B$2:$B1473,$B1473)=COUNTIF($B$2:$B$1601,$B1473),$B1473,""))</f>
        <v/>
      </c>
    </row>
    <row r="1474" spans="1:11">
      <c r="A1474" t="str">
        <f>IF('TMP Paste'!$E1474="","",'TMP Paste'!$E1474)</f>
        <v/>
      </c>
      <c r="B1474" t="str">
        <f>IF($A1474="","",COUNTIF('TMP Paste'!$B$2:$B1474,"?*"))</f>
        <v/>
      </c>
      <c r="C1474" t="str">
        <f>IF($A1474="","",IFERROR('TMP Paste'!$M1474*1,0))</f>
        <v/>
      </c>
      <c r="D1474" t="str">
        <f>IF($A1474="","",SUMIF($B$2:$B1474,$B1474,$C$2:$C1474))</f>
        <v/>
      </c>
      <c r="E1474">
        <f>IF($A1474="",0,IF('TMP Paste'!$B1474="",0,1))</f>
        <v>0</v>
      </c>
      <c r="F1474" t="str">
        <f t="shared" ref="F1474:F1537" si="115">IF(OR($A1474="",$C1474&lt;1),"",$A1474&amp;"-"&amp;TEXT(($D1474-$C1474+1),"00")&amp;IF($C1474&gt;=2,", "&amp;$A1474&amp;"-"&amp;TEXT(($D1474-$C1474+1)+1,"00"),"")&amp;IF($C1474&gt;=3,", "&amp;$A1474&amp;"-"&amp;TEXT(($D1474-$C1474+1)+2,"00"),"")&amp;IF($C1474&gt;=4,", "&amp;$A1474&amp;"-"&amp;TEXT(($D1474-$C1474+1)+3,"00"),"")&amp;IF($C1474&gt;=5,", "&amp;$A1474&amp;"-"&amp;TEXT(($D1474-$C1474+1)+4,"00"),"")&amp;IF($C1474&gt;=6,", "&amp;$A1474&amp;"-"&amp;TEXT(($D1474-$C1474+1)+5,"00"),"")&amp;IF($C1474&gt;=7,", "&amp;$A1474&amp;"-"&amp;TEXT(($D1474-$C1474+1)+6,"00"),"")&amp;IF($C1474&gt;=8,", "&amp;$A1474&amp;"-"&amp;TEXT(($D1474-$C1474+1)+7,"00"),"")&amp;IF($C1474&gt;=9,", "&amp;$A1474&amp;"-"&amp;TEXT(($D1474-$C1474+1)+8,"00"),"")&amp;IF($C1474&gt;=10,", "&amp;$A1474&amp;"-"&amp;TEXT(($D1474-$C1474+1)+9,"00"),"")&amp;IF($C1474&gt;=11,", "&amp;$A1474&amp;"-"&amp;TEXT(($D1474-$C1474+1)+10,"00"),"")&amp;IF($C1474&gt;=12,", "&amp;$A1474&amp;"-"&amp;TEXT(($D1474-$C1474+1)+11,"00"),"")&amp;IF($C1474&gt;=13,", "&amp;$A1474&amp;"-"&amp;TEXT(($D1474-$C1474+1)+12,"00"),"")&amp;IF($C1474&gt;=14,", "&amp;$A1474&amp;"-"&amp;TEXT(($D1474-$C1474+1)+13,"00"),"")&amp;IF($C1474&gt;=15,", "&amp;$A1474&amp;"-"&amp;TEXT(($D1474-$C1474+1)+14,"00"),"")&amp;IF($C1474&gt;=16,", "&amp;$A1474&amp;"-"&amp;TEXT(($D1474-$C1474+1)+15,"00"),"")&amp;IF($C1474&gt;=17,", "&amp;$A1474&amp;"-"&amp;TEXT(($D1474-$C1474+1)+16,"00"),"")&amp;IF($C1474&gt;=18,", "&amp;$A1474&amp;"-"&amp;TEXT(($D1474-$C1474+1)+17,"00"),"")&amp;IF($C1474&gt;=19,", "&amp;$A1474&amp;"-"&amp;TEXT(($D1474-$C1474+1)+18,"00"),"")&amp;IF($C1474&gt;=20,", "&amp;$A1474&amp;"-"&amp;TEXT(($D1474-$C1474+1)+19,"00"),"")&amp;IF($C1474&gt;=21,", "&amp;$A1474&amp;"-"&amp;TEXT(($D1474-$C1474+1)+20,"00"),"")&amp;IF($C1474&gt;=22,", "&amp;$A1474&amp;"-"&amp;TEXT(($D1474-$C1474+1)+21,"00"),"")&amp;IF($C1474&gt;=23,", "&amp;$A1474&amp;"-"&amp;TEXT(($D1474-$C1474+1)+22,"00"),"")&amp;IF($C1474&gt;=24,", "&amp;$A1474&amp;"-"&amp;TEXT(($D1474-$C1474+1)+23,"00"),"")&amp;IF($C1474&gt;=25,", "&amp;$A1474&amp;"-"&amp;TEXT(($D1474-$C1474+1)+24,"00"),""))</f>
        <v/>
      </c>
      <c r="G1474" t="str">
        <f t="shared" ref="G1474:G1537" si="116">IF($A1474="","",IF($E1474=1,$F1474,IF($F1474="",$G1473,IF($G1473="",$F1474,$G1473&amp;", "&amp;$F1474))))</f>
        <v/>
      </c>
      <c r="H1474" t="str">
        <f t="shared" ref="H1474:H1537" si="117">IF($A1474="","",$A1474&amp;" ("&amp;$C1474&amp;")")</f>
        <v/>
      </c>
      <c r="I1474" t="str">
        <f t="shared" ref="I1474:I1537" si="118">IF($A1474="","",IF($E1474=1,$H1474,$I1473&amp;", "&amp;$H1474))</f>
        <v/>
      </c>
      <c r="J1474" t="str">
        <f t="shared" ref="J1474:J1537" si="119">IF($A1474="","",IF($E1474=1,$B1474,""))</f>
        <v/>
      </c>
      <c r="K1474" t="str">
        <f>IF($A1474="","",IF(COUNTIF($B$2:$B1474,$B1474)=COUNTIF($B$2:$B$1601,$B1474),$B1474,""))</f>
        <v/>
      </c>
    </row>
    <row r="1475" spans="1:11">
      <c r="A1475" t="str">
        <f>IF('TMP Paste'!$E1475="","",'TMP Paste'!$E1475)</f>
        <v/>
      </c>
      <c r="B1475" t="str">
        <f>IF($A1475="","",COUNTIF('TMP Paste'!$B$2:$B1475,"?*"))</f>
        <v/>
      </c>
      <c r="C1475" t="str">
        <f>IF($A1475="","",IFERROR('TMP Paste'!$M1475*1,0))</f>
        <v/>
      </c>
      <c r="D1475" t="str">
        <f>IF($A1475="","",SUMIF($B$2:$B1475,$B1475,$C$2:$C1475))</f>
        <v/>
      </c>
      <c r="E1475">
        <f>IF($A1475="",0,IF('TMP Paste'!$B1475="",0,1))</f>
        <v>0</v>
      </c>
      <c r="F1475" t="str">
        <f t="shared" si="115"/>
        <v/>
      </c>
      <c r="G1475" t="str">
        <f t="shared" si="116"/>
        <v/>
      </c>
      <c r="H1475" t="str">
        <f t="shared" si="117"/>
        <v/>
      </c>
      <c r="I1475" t="str">
        <f t="shared" si="118"/>
        <v/>
      </c>
      <c r="J1475" t="str">
        <f t="shared" si="119"/>
        <v/>
      </c>
      <c r="K1475" t="str">
        <f>IF($A1475="","",IF(COUNTIF($B$2:$B1475,$B1475)=COUNTIF($B$2:$B$1601,$B1475),$B1475,""))</f>
        <v/>
      </c>
    </row>
    <row r="1476" spans="1:11">
      <c r="A1476" t="str">
        <f>IF('TMP Paste'!$E1476="","",'TMP Paste'!$E1476)</f>
        <v/>
      </c>
      <c r="B1476" t="str">
        <f>IF($A1476="","",COUNTIF('TMP Paste'!$B$2:$B1476,"?*"))</f>
        <v/>
      </c>
      <c r="C1476" t="str">
        <f>IF($A1476="","",IFERROR('TMP Paste'!$M1476*1,0))</f>
        <v/>
      </c>
      <c r="D1476" t="str">
        <f>IF($A1476="","",SUMIF($B$2:$B1476,$B1476,$C$2:$C1476))</f>
        <v/>
      </c>
      <c r="E1476">
        <f>IF($A1476="",0,IF('TMP Paste'!$B1476="",0,1))</f>
        <v>0</v>
      </c>
      <c r="F1476" t="str">
        <f t="shared" si="115"/>
        <v/>
      </c>
      <c r="G1476" t="str">
        <f t="shared" si="116"/>
        <v/>
      </c>
      <c r="H1476" t="str">
        <f t="shared" si="117"/>
        <v/>
      </c>
      <c r="I1476" t="str">
        <f t="shared" si="118"/>
        <v/>
      </c>
      <c r="J1476" t="str">
        <f t="shared" si="119"/>
        <v/>
      </c>
      <c r="K1476" t="str">
        <f>IF($A1476="","",IF(COUNTIF($B$2:$B1476,$B1476)=COUNTIF($B$2:$B$1601,$B1476),$B1476,""))</f>
        <v/>
      </c>
    </row>
    <row r="1477" spans="1:11">
      <c r="A1477" t="str">
        <f>IF('TMP Paste'!$E1477="","",'TMP Paste'!$E1477)</f>
        <v/>
      </c>
      <c r="B1477" t="str">
        <f>IF($A1477="","",COUNTIF('TMP Paste'!$B$2:$B1477,"?*"))</f>
        <v/>
      </c>
      <c r="C1477" t="str">
        <f>IF($A1477="","",IFERROR('TMP Paste'!$M1477*1,0))</f>
        <v/>
      </c>
      <c r="D1477" t="str">
        <f>IF($A1477="","",SUMIF($B$2:$B1477,$B1477,$C$2:$C1477))</f>
        <v/>
      </c>
      <c r="E1477">
        <f>IF($A1477="",0,IF('TMP Paste'!$B1477="",0,1))</f>
        <v>0</v>
      </c>
      <c r="F1477" t="str">
        <f t="shared" si="115"/>
        <v/>
      </c>
      <c r="G1477" t="str">
        <f t="shared" si="116"/>
        <v/>
      </c>
      <c r="H1477" t="str">
        <f t="shared" si="117"/>
        <v/>
      </c>
      <c r="I1477" t="str">
        <f t="shared" si="118"/>
        <v/>
      </c>
      <c r="J1477" t="str">
        <f t="shared" si="119"/>
        <v/>
      </c>
      <c r="K1477" t="str">
        <f>IF($A1477="","",IF(COUNTIF($B$2:$B1477,$B1477)=COUNTIF($B$2:$B$1601,$B1477),$B1477,""))</f>
        <v/>
      </c>
    </row>
    <row r="1478" spans="1:11">
      <c r="A1478" t="str">
        <f>IF('TMP Paste'!$E1478="","",'TMP Paste'!$E1478)</f>
        <v/>
      </c>
      <c r="B1478" t="str">
        <f>IF($A1478="","",COUNTIF('TMP Paste'!$B$2:$B1478,"?*"))</f>
        <v/>
      </c>
      <c r="C1478" t="str">
        <f>IF($A1478="","",IFERROR('TMP Paste'!$M1478*1,0))</f>
        <v/>
      </c>
      <c r="D1478" t="str">
        <f>IF($A1478="","",SUMIF($B$2:$B1478,$B1478,$C$2:$C1478))</f>
        <v/>
      </c>
      <c r="E1478">
        <f>IF($A1478="",0,IF('TMP Paste'!$B1478="",0,1))</f>
        <v>0</v>
      </c>
      <c r="F1478" t="str">
        <f t="shared" si="115"/>
        <v/>
      </c>
      <c r="G1478" t="str">
        <f t="shared" si="116"/>
        <v/>
      </c>
      <c r="H1478" t="str">
        <f t="shared" si="117"/>
        <v/>
      </c>
      <c r="I1478" t="str">
        <f t="shared" si="118"/>
        <v/>
      </c>
      <c r="J1478" t="str">
        <f t="shared" si="119"/>
        <v/>
      </c>
      <c r="K1478" t="str">
        <f>IF($A1478="","",IF(COUNTIF($B$2:$B1478,$B1478)=COUNTIF($B$2:$B$1601,$B1478),$B1478,""))</f>
        <v/>
      </c>
    </row>
    <row r="1479" spans="1:11">
      <c r="A1479" t="str">
        <f>IF('TMP Paste'!$E1479="","",'TMP Paste'!$E1479)</f>
        <v/>
      </c>
      <c r="B1479" t="str">
        <f>IF($A1479="","",COUNTIF('TMP Paste'!$B$2:$B1479,"?*"))</f>
        <v/>
      </c>
      <c r="C1479" t="str">
        <f>IF($A1479="","",IFERROR('TMP Paste'!$M1479*1,0))</f>
        <v/>
      </c>
      <c r="D1479" t="str">
        <f>IF($A1479="","",SUMIF($B$2:$B1479,$B1479,$C$2:$C1479))</f>
        <v/>
      </c>
      <c r="E1479">
        <f>IF($A1479="",0,IF('TMP Paste'!$B1479="",0,1))</f>
        <v>0</v>
      </c>
      <c r="F1479" t="str">
        <f t="shared" si="115"/>
        <v/>
      </c>
      <c r="G1479" t="str">
        <f t="shared" si="116"/>
        <v/>
      </c>
      <c r="H1479" t="str">
        <f t="shared" si="117"/>
        <v/>
      </c>
      <c r="I1479" t="str">
        <f t="shared" si="118"/>
        <v/>
      </c>
      <c r="J1479" t="str">
        <f t="shared" si="119"/>
        <v/>
      </c>
      <c r="K1479" t="str">
        <f>IF($A1479="","",IF(COUNTIF($B$2:$B1479,$B1479)=COUNTIF($B$2:$B$1601,$B1479),$B1479,""))</f>
        <v/>
      </c>
    </row>
    <row r="1480" spans="1:11">
      <c r="A1480" t="str">
        <f>IF('TMP Paste'!$E1480="","",'TMP Paste'!$E1480)</f>
        <v/>
      </c>
      <c r="B1480" t="str">
        <f>IF($A1480="","",COUNTIF('TMP Paste'!$B$2:$B1480,"?*"))</f>
        <v/>
      </c>
      <c r="C1480" t="str">
        <f>IF($A1480="","",IFERROR('TMP Paste'!$M1480*1,0))</f>
        <v/>
      </c>
      <c r="D1480" t="str">
        <f>IF($A1480="","",SUMIF($B$2:$B1480,$B1480,$C$2:$C1480))</f>
        <v/>
      </c>
      <c r="E1480">
        <f>IF($A1480="",0,IF('TMP Paste'!$B1480="",0,1))</f>
        <v>0</v>
      </c>
      <c r="F1480" t="str">
        <f t="shared" si="115"/>
        <v/>
      </c>
      <c r="G1480" t="str">
        <f t="shared" si="116"/>
        <v/>
      </c>
      <c r="H1480" t="str">
        <f t="shared" si="117"/>
        <v/>
      </c>
      <c r="I1480" t="str">
        <f t="shared" si="118"/>
        <v/>
      </c>
      <c r="J1480" t="str">
        <f t="shared" si="119"/>
        <v/>
      </c>
      <c r="K1480" t="str">
        <f>IF($A1480="","",IF(COUNTIF($B$2:$B1480,$B1480)=COUNTIF($B$2:$B$1601,$B1480),$B1480,""))</f>
        <v/>
      </c>
    </row>
    <row r="1481" spans="1:11">
      <c r="A1481" t="str">
        <f>IF('TMP Paste'!$E1481="","",'TMP Paste'!$E1481)</f>
        <v/>
      </c>
      <c r="B1481" t="str">
        <f>IF($A1481="","",COUNTIF('TMP Paste'!$B$2:$B1481,"?*"))</f>
        <v/>
      </c>
      <c r="C1481" t="str">
        <f>IF($A1481="","",IFERROR('TMP Paste'!$M1481*1,0))</f>
        <v/>
      </c>
      <c r="D1481" t="str">
        <f>IF($A1481="","",SUMIF($B$2:$B1481,$B1481,$C$2:$C1481))</f>
        <v/>
      </c>
      <c r="E1481">
        <f>IF($A1481="",0,IF('TMP Paste'!$B1481="",0,1))</f>
        <v>0</v>
      </c>
      <c r="F1481" t="str">
        <f t="shared" si="115"/>
        <v/>
      </c>
      <c r="G1481" t="str">
        <f t="shared" si="116"/>
        <v/>
      </c>
      <c r="H1481" t="str">
        <f t="shared" si="117"/>
        <v/>
      </c>
      <c r="I1481" t="str">
        <f t="shared" si="118"/>
        <v/>
      </c>
      <c r="J1481" t="str">
        <f t="shared" si="119"/>
        <v/>
      </c>
      <c r="K1481" t="str">
        <f>IF($A1481="","",IF(COUNTIF($B$2:$B1481,$B1481)=COUNTIF($B$2:$B$1601,$B1481),$B1481,""))</f>
        <v/>
      </c>
    </row>
    <row r="1482" spans="1:11">
      <c r="A1482" t="str">
        <f>IF('TMP Paste'!$E1482="","",'TMP Paste'!$E1482)</f>
        <v/>
      </c>
      <c r="B1482" t="str">
        <f>IF($A1482="","",COUNTIF('TMP Paste'!$B$2:$B1482,"?*"))</f>
        <v/>
      </c>
      <c r="C1482" t="str">
        <f>IF($A1482="","",IFERROR('TMP Paste'!$M1482*1,0))</f>
        <v/>
      </c>
      <c r="D1482" t="str">
        <f>IF($A1482="","",SUMIF($B$2:$B1482,$B1482,$C$2:$C1482))</f>
        <v/>
      </c>
      <c r="E1482">
        <f>IF($A1482="",0,IF('TMP Paste'!$B1482="",0,1))</f>
        <v>0</v>
      </c>
      <c r="F1482" t="str">
        <f t="shared" si="115"/>
        <v/>
      </c>
      <c r="G1482" t="str">
        <f t="shared" si="116"/>
        <v/>
      </c>
      <c r="H1482" t="str">
        <f t="shared" si="117"/>
        <v/>
      </c>
      <c r="I1482" t="str">
        <f t="shared" si="118"/>
        <v/>
      </c>
      <c r="J1482" t="str">
        <f t="shared" si="119"/>
        <v/>
      </c>
      <c r="K1482" t="str">
        <f>IF($A1482="","",IF(COUNTIF($B$2:$B1482,$B1482)=COUNTIF($B$2:$B$1601,$B1482),$B1482,""))</f>
        <v/>
      </c>
    </row>
    <row r="1483" spans="1:11">
      <c r="A1483" t="str">
        <f>IF('TMP Paste'!$E1483="","",'TMP Paste'!$E1483)</f>
        <v/>
      </c>
      <c r="B1483" t="str">
        <f>IF($A1483="","",COUNTIF('TMP Paste'!$B$2:$B1483,"?*"))</f>
        <v/>
      </c>
      <c r="C1483" t="str">
        <f>IF($A1483="","",IFERROR('TMP Paste'!$M1483*1,0))</f>
        <v/>
      </c>
      <c r="D1483" t="str">
        <f>IF($A1483="","",SUMIF($B$2:$B1483,$B1483,$C$2:$C1483))</f>
        <v/>
      </c>
      <c r="E1483">
        <f>IF($A1483="",0,IF('TMP Paste'!$B1483="",0,1))</f>
        <v>0</v>
      </c>
      <c r="F1483" t="str">
        <f t="shared" si="115"/>
        <v/>
      </c>
      <c r="G1483" t="str">
        <f t="shared" si="116"/>
        <v/>
      </c>
      <c r="H1483" t="str">
        <f t="shared" si="117"/>
        <v/>
      </c>
      <c r="I1483" t="str">
        <f t="shared" si="118"/>
        <v/>
      </c>
      <c r="J1483" t="str">
        <f t="shared" si="119"/>
        <v/>
      </c>
      <c r="K1483" t="str">
        <f>IF($A1483="","",IF(COUNTIF($B$2:$B1483,$B1483)=COUNTIF($B$2:$B$1601,$B1483),$B1483,""))</f>
        <v/>
      </c>
    </row>
    <row r="1484" spans="1:11">
      <c r="A1484" t="str">
        <f>IF('TMP Paste'!$E1484="","",'TMP Paste'!$E1484)</f>
        <v/>
      </c>
      <c r="B1484" t="str">
        <f>IF($A1484="","",COUNTIF('TMP Paste'!$B$2:$B1484,"?*"))</f>
        <v/>
      </c>
      <c r="C1484" t="str">
        <f>IF($A1484="","",IFERROR('TMP Paste'!$M1484*1,0))</f>
        <v/>
      </c>
      <c r="D1484" t="str">
        <f>IF($A1484="","",SUMIF($B$2:$B1484,$B1484,$C$2:$C1484))</f>
        <v/>
      </c>
      <c r="E1484">
        <f>IF($A1484="",0,IF('TMP Paste'!$B1484="",0,1))</f>
        <v>0</v>
      </c>
      <c r="F1484" t="str">
        <f t="shared" si="115"/>
        <v/>
      </c>
      <c r="G1484" t="str">
        <f t="shared" si="116"/>
        <v/>
      </c>
      <c r="H1484" t="str">
        <f t="shared" si="117"/>
        <v/>
      </c>
      <c r="I1484" t="str">
        <f t="shared" si="118"/>
        <v/>
      </c>
      <c r="J1484" t="str">
        <f t="shared" si="119"/>
        <v/>
      </c>
      <c r="K1484" t="str">
        <f>IF($A1484="","",IF(COUNTIF($B$2:$B1484,$B1484)=COUNTIF($B$2:$B$1601,$B1484),$B1484,""))</f>
        <v/>
      </c>
    </row>
    <row r="1485" spans="1:11">
      <c r="A1485" t="str">
        <f>IF('TMP Paste'!$E1485="","",'TMP Paste'!$E1485)</f>
        <v/>
      </c>
      <c r="B1485" t="str">
        <f>IF($A1485="","",COUNTIF('TMP Paste'!$B$2:$B1485,"?*"))</f>
        <v/>
      </c>
      <c r="C1485" t="str">
        <f>IF($A1485="","",IFERROR('TMP Paste'!$M1485*1,0))</f>
        <v/>
      </c>
      <c r="D1485" t="str">
        <f>IF($A1485="","",SUMIF($B$2:$B1485,$B1485,$C$2:$C1485))</f>
        <v/>
      </c>
      <c r="E1485">
        <f>IF($A1485="",0,IF('TMP Paste'!$B1485="",0,1))</f>
        <v>0</v>
      </c>
      <c r="F1485" t="str">
        <f t="shared" si="115"/>
        <v/>
      </c>
      <c r="G1485" t="str">
        <f t="shared" si="116"/>
        <v/>
      </c>
      <c r="H1485" t="str">
        <f t="shared" si="117"/>
        <v/>
      </c>
      <c r="I1485" t="str">
        <f t="shared" si="118"/>
        <v/>
      </c>
      <c r="J1485" t="str">
        <f t="shared" si="119"/>
        <v/>
      </c>
      <c r="K1485" t="str">
        <f>IF($A1485="","",IF(COUNTIF($B$2:$B1485,$B1485)=COUNTIF($B$2:$B$1601,$B1485),$B1485,""))</f>
        <v/>
      </c>
    </row>
    <row r="1486" spans="1:11">
      <c r="A1486" t="str">
        <f>IF('TMP Paste'!$E1486="","",'TMP Paste'!$E1486)</f>
        <v/>
      </c>
      <c r="B1486" t="str">
        <f>IF($A1486="","",COUNTIF('TMP Paste'!$B$2:$B1486,"?*"))</f>
        <v/>
      </c>
      <c r="C1486" t="str">
        <f>IF($A1486="","",IFERROR('TMP Paste'!$M1486*1,0))</f>
        <v/>
      </c>
      <c r="D1486" t="str">
        <f>IF($A1486="","",SUMIF($B$2:$B1486,$B1486,$C$2:$C1486))</f>
        <v/>
      </c>
      <c r="E1486">
        <f>IF($A1486="",0,IF('TMP Paste'!$B1486="",0,1))</f>
        <v>0</v>
      </c>
      <c r="F1486" t="str">
        <f t="shared" si="115"/>
        <v/>
      </c>
      <c r="G1486" t="str">
        <f t="shared" si="116"/>
        <v/>
      </c>
      <c r="H1486" t="str">
        <f t="shared" si="117"/>
        <v/>
      </c>
      <c r="I1486" t="str">
        <f t="shared" si="118"/>
        <v/>
      </c>
      <c r="J1486" t="str">
        <f t="shared" si="119"/>
        <v/>
      </c>
      <c r="K1486" t="str">
        <f>IF($A1486="","",IF(COUNTIF($B$2:$B1486,$B1486)=COUNTIF($B$2:$B$1601,$B1486),$B1486,""))</f>
        <v/>
      </c>
    </row>
    <row r="1487" spans="1:11">
      <c r="A1487" t="str">
        <f>IF('TMP Paste'!$E1487="","",'TMP Paste'!$E1487)</f>
        <v/>
      </c>
      <c r="B1487" t="str">
        <f>IF($A1487="","",COUNTIF('TMP Paste'!$B$2:$B1487,"?*"))</f>
        <v/>
      </c>
      <c r="C1487" t="str">
        <f>IF($A1487="","",IFERROR('TMP Paste'!$M1487*1,0))</f>
        <v/>
      </c>
      <c r="D1487" t="str">
        <f>IF($A1487="","",SUMIF($B$2:$B1487,$B1487,$C$2:$C1487))</f>
        <v/>
      </c>
      <c r="E1487">
        <f>IF($A1487="",0,IF('TMP Paste'!$B1487="",0,1))</f>
        <v>0</v>
      </c>
      <c r="F1487" t="str">
        <f t="shared" si="115"/>
        <v/>
      </c>
      <c r="G1487" t="str">
        <f t="shared" si="116"/>
        <v/>
      </c>
      <c r="H1487" t="str">
        <f t="shared" si="117"/>
        <v/>
      </c>
      <c r="I1487" t="str">
        <f t="shared" si="118"/>
        <v/>
      </c>
      <c r="J1487" t="str">
        <f t="shared" si="119"/>
        <v/>
      </c>
      <c r="K1487" t="str">
        <f>IF($A1487="","",IF(COUNTIF($B$2:$B1487,$B1487)=COUNTIF($B$2:$B$1601,$B1487),$B1487,""))</f>
        <v/>
      </c>
    </row>
    <row r="1488" spans="1:11">
      <c r="A1488" t="str">
        <f>IF('TMP Paste'!$E1488="","",'TMP Paste'!$E1488)</f>
        <v/>
      </c>
      <c r="B1488" t="str">
        <f>IF($A1488="","",COUNTIF('TMP Paste'!$B$2:$B1488,"?*"))</f>
        <v/>
      </c>
      <c r="C1488" t="str">
        <f>IF($A1488="","",IFERROR('TMP Paste'!$M1488*1,0))</f>
        <v/>
      </c>
      <c r="D1488" t="str">
        <f>IF($A1488="","",SUMIF($B$2:$B1488,$B1488,$C$2:$C1488))</f>
        <v/>
      </c>
      <c r="E1488">
        <f>IF($A1488="",0,IF('TMP Paste'!$B1488="",0,1))</f>
        <v>0</v>
      </c>
      <c r="F1488" t="str">
        <f t="shared" si="115"/>
        <v/>
      </c>
      <c r="G1488" t="str">
        <f t="shared" si="116"/>
        <v/>
      </c>
      <c r="H1488" t="str">
        <f t="shared" si="117"/>
        <v/>
      </c>
      <c r="I1488" t="str">
        <f t="shared" si="118"/>
        <v/>
      </c>
      <c r="J1488" t="str">
        <f t="shared" si="119"/>
        <v/>
      </c>
      <c r="K1488" t="str">
        <f>IF($A1488="","",IF(COUNTIF($B$2:$B1488,$B1488)=COUNTIF($B$2:$B$1601,$B1488),$B1488,""))</f>
        <v/>
      </c>
    </row>
    <row r="1489" spans="1:11">
      <c r="A1489" t="str">
        <f>IF('TMP Paste'!$E1489="","",'TMP Paste'!$E1489)</f>
        <v/>
      </c>
      <c r="B1489" t="str">
        <f>IF($A1489="","",COUNTIF('TMP Paste'!$B$2:$B1489,"?*"))</f>
        <v/>
      </c>
      <c r="C1489" t="str">
        <f>IF($A1489="","",IFERROR('TMP Paste'!$M1489*1,0))</f>
        <v/>
      </c>
      <c r="D1489" t="str">
        <f>IF($A1489="","",SUMIF($B$2:$B1489,$B1489,$C$2:$C1489))</f>
        <v/>
      </c>
      <c r="E1489">
        <f>IF($A1489="",0,IF('TMP Paste'!$B1489="",0,1))</f>
        <v>0</v>
      </c>
      <c r="F1489" t="str">
        <f t="shared" si="115"/>
        <v/>
      </c>
      <c r="G1489" t="str">
        <f t="shared" si="116"/>
        <v/>
      </c>
      <c r="H1489" t="str">
        <f t="shared" si="117"/>
        <v/>
      </c>
      <c r="I1489" t="str">
        <f t="shared" si="118"/>
        <v/>
      </c>
      <c r="J1489" t="str">
        <f t="shared" si="119"/>
        <v/>
      </c>
      <c r="K1489" t="str">
        <f>IF($A1489="","",IF(COUNTIF($B$2:$B1489,$B1489)=COUNTIF($B$2:$B$1601,$B1489),$B1489,""))</f>
        <v/>
      </c>
    </row>
    <row r="1490" spans="1:11">
      <c r="A1490" t="str">
        <f>IF('TMP Paste'!$E1490="","",'TMP Paste'!$E1490)</f>
        <v/>
      </c>
      <c r="B1490" t="str">
        <f>IF($A1490="","",COUNTIF('TMP Paste'!$B$2:$B1490,"?*"))</f>
        <v/>
      </c>
      <c r="C1490" t="str">
        <f>IF($A1490="","",IFERROR('TMP Paste'!$M1490*1,0))</f>
        <v/>
      </c>
      <c r="D1490" t="str">
        <f>IF($A1490="","",SUMIF($B$2:$B1490,$B1490,$C$2:$C1490))</f>
        <v/>
      </c>
      <c r="E1490">
        <f>IF($A1490="",0,IF('TMP Paste'!$B1490="",0,1))</f>
        <v>0</v>
      </c>
      <c r="F1490" t="str">
        <f t="shared" si="115"/>
        <v/>
      </c>
      <c r="G1490" t="str">
        <f t="shared" si="116"/>
        <v/>
      </c>
      <c r="H1490" t="str">
        <f t="shared" si="117"/>
        <v/>
      </c>
      <c r="I1490" t="str">
        <f t="shared" si="118"/>
        <v/>
      </c>
      <c r="J1490" t="str">
        <f t="shared" si="119"/>
        <v/>
      </c>
      <c r="K1490" t="str">
        <f>IF($A1490="","",IF(COUNTIF($B$2:$B1490,$B1490)=COUNTIF($B$2:$B$1601,$B1490),$B1490,""))</f>
        <v/>
      </c>
    </row>
    <row r="1491" spans="1:11">
      <c r="A1491" t="str">
        <f>IF('TMP Paste'!$E1491="","",'TMP Paste'!$E1491)</f>
        <v/>
      </c>
      <c r="B1491" t="str">
        <f>IF($A1491="","",COUNTIF('TMP Paste'!$B$2:$B1491,"?*"))</f>
        <v/>
      </c>
      <c r="C1491" t="str">
        <f>IF($A1491="","",IFERROR('TMP Paste'!$M1491*1,0))</f>
        <v/>
      </c>
      <c r="D1491" t="str">
        <f>IF($A1491="","",SUMIF($B$2:$B1491,$B1491,$C$2:$C1491))</f>
        <v/>
      </c>
      <c r="E1491">
        <f>IF($A1491="",0,IF('TMP Paste'!$B1491="",0,1))</f>
        <v>0</v>
      </c>
      <c r="F1491" t="str">
        <f t="shared" si="115"/>
        <v/>
      </c>
      <c r="G1491" t="str">
        <f t="shared" si="116"/>
        <v/>
      </c>
      <c r="H1491" t="str">
        <f t="shared" si="117"/>
        <v/>
      </c>
      <c r="I1491" t="str">
        <f t="shared" si="118"/>
        <v/>
      </c>
      <c r="J1491" t="str">
        <f t="shared" si="119"/>
        <v/>
      </c>
      <c r="K1491" t="str">
        <f>IF($A1491="","",IF(COUNTIF($B$2:$B1491,$B1491)=COUNTIF($B$2:$B$1601,$B1491),$B1491,""))</f>
        <v/>
      </c>
    </row>
    <row r="1492" spans="1:11">
      <c r="A1492" t="str">
        <f>IF('TMP Paste'!$E1492="","",'TMP Paste'!$E1492)</f>
        <v/>
      </c>
      <c r="B1492" t="str">
        <f>IF($A1492="","",COUNTIF('TMP Paste'!$B$2:$B1492,"?*"))</f>
        <v/>
      </c>
      <c r="C1492" t="str">
        <f>IF($A1492="","",IFERROR('TMP Paste'!$M1492*1,0))</f>
        <v/>
      </c>
      <c r="D1492" t="str">
        <f>IF($A1492="","",SUMIF($B$2:$B1492,$B1492,$C$2:$C1492))</f>
        <v/>
      </c>
      <c r="E1492">
        <f>IF($A1492="",0,IF('TMP Paste'!$B1492="",0,1))</f>
        <v>0</v>
      </c>
      <c r="F1492" t="str">
        <f t="shared" si="115"/>
        <v/>
      </c>
      <c r="G1492" t="str">
        <f t="shared" si="116"/>
        <v/>
      </c>
      <c r="H1492" t="str">
        <f t="shared" si="117"/>
        <v/>
      </c>
      <c r="I1492" t="str">
        <f t="shared" si="118"/>
        <v/>
      </c>
      <c r="J1492" t="str">
        <f t="shared" si="119"/>
        <v/>
      </c>
      <c r="K1492" t="str">
        <f>IF($A1492="","",IF(COUNTIF($B$2:$B1492,$B1492)=COUNTIF($B$2:$B$1601,$B1492),$B1492,""))</f>
        <v/>
      </c>
    </row>
    <row r="1493" spans="1:11">
      <c r="A1493" t="str">
        <f>IF('TMP Paste'!$E1493="","",'TMP Paste'!$E1493)</f>
        <v/>
      </c>
      <c r="B1493" t="str">
        <f>IF($A1493="","",COUNTIF('TMP Paste'!$B$2:$B1493,"?*"))</f>
        <v/>
      </c>
      <c r="C1493" t="str">
        <f>IF($A1493="","",IFERROR('TMP Paste'!$M1493*1,0))</f>
        <v/>
      </c>
      <c r="D1493" t="str">
        <f>IF($A1493="","",SUMIF($B$2:$B1493,$B1493,$C$2:$C1493))</f>
        <v/>
      </c>
      <c r="E1493">
        <f>IF($A1493="",0,IF('TMP Paste'!$B1493="",0,1))</f>
        <v>0</v>
      </c>
      <c r="F1493" t="str">
        <f t="shared" si="115"/>
        <v/>
      </c>
      <c r="G1493" t="str">
        <f t="shared" si="116"/>
        <v/>
      </c>
      <c r="H1493" t="str">
        <f t="shared" si="117"/>
        <v/>
      </c>
      <c r="I1493" t="str">
        <f t="shared" si="118"/>
        <v/>
      </c>
      <c r="J1493" t="str">
        <f t="shared" si="119"/>
        <v/>
      </c>
      <c r="K1493" t="str">
        <f>IF($A1493="","",IF(COUNTIF($B$2:$B1493,$B1493)=COUNTIF($B$2:$B$1601,$B1493),$B1493,""))</f>
        <v/>
      </c>
    </row>
    <row r="1494" spans="1:11">
      <c r="A1494" t="str">
        <f>IF('TMP Paste'!$E1494="","",'TMP Paste'!$E1494)</f>
        <v/>
      </c>
      <c r="B1494" t="str">
        <f>IF($A1494="","",COUNTIF('TMP Paste'!$B$2:$B1494,"?*"))</f>
        <v/>
      </c>
      <c r="C1494" t="str">
        <f>IF($A1494="","",IFERROR('TMP Paste'!$M1494*1,0))</f>
        <v/>
      </c>
      <c r="D1494" t="str">
        <f>IF($A1494="","",SUMIF($B$2:$B1494,$B1494,$C$2:$C1494))</f>
        <v/>
      </c>
      <c r="E1494">
        <f>IF($A1494="",0,IF('TMP Paste'!$B1494="",0,1))</f>
        <v>0</v>
      </c>
      <c r="F1494" t="str">
        <f t="shared" si="115"/>
        <v/>
      </c>
      <c r="G1494" t="str">
        <f t="shared" si="116"/>
        <v/>
      </c>
      <c r="H1494" t="str">
        <f t="shared" si="117"/>
        <v/>
      </c>
      <c r="I1494" t="str">
        <f t="shared" si="118"/>
        <v/>
      </c>
      <c r="J1494" t="str">
        <f t="shared" si="119"/>
        <v/>
      </c>
      <c r="K1494" t="str">
        <f>IF($A1494="","",IF(COUNTIF($B$2:$B1494,$B1494)=COUNTIF($B$2:$B$1601,$B1494),$B1494,""))</f>
        <v/>
      </c>
    </row>
    <row r="1495" spans="1:11">
      <c r="A1495" t="str">
        <f>IF('TMP Paste'!$E1495="","",'TMP Paste'!$E1495)</f>
        <v/>
      </c>
      <c r="B1495" t="str">
        <f>IF($A1495="","",COUNTIF('TMP Paste'!$B$2:$B1495,"?*"))</f>
        <v/>
      </c>
      <c r="C1495" t="str">
        <f>IF($A1495="","",IFERROR('TMP Paste'!$M1495*1,0))</f>
        <v/>
      </c>
      <c r="D1495" t="str">
        <f>IF($A1495="","",SUMIF($B$2:$B1495,$B1495,$C$2:$C1495))</f>
        <v/>
      </c>
      <c r="E1495">
        <f>IF($A1495="",0,IF('TMP Paste'!$B1495="",0,1))</f>
        <v>0</v>
      </c>
      <c r="F1495" t="str">
        <f t="shared" si="115"/>
        <v/>
      </c>
      <c r="G1495" t="str">
        <f t="shared" si="116"/>
        <v/>
      </c>
      <c r="H1495" t="str">
        <f t="shared" si="117"/>
        <v/>
      </c>
      <c r="I1495" t="str">
        <f t="shared" si="118"/>
        <v/>
      </c>
      <c r="J1495" t="str">
        <f t="shared" si="119"/>
        <v/>
      </c>
      <c r="K1495" t="str">
        <f>IF($A1495="","",IF(COUNTIF($B$2:$B1495,$B1495)=COUNTIF($B$2:$B$1601,$B1495),$B1495,""))</f>
        <v/>
      </c>
    </row>
    <row r="1496" spans="1:11">
      <c r="A1496" t="str">
        <f>IF('TMP Paste'!$E1496="","",'TMP Paste'!$E1496)</f>
        <v/>
      </c>
      <c r="B1496" t="str">
        <f>IF($A1496="","",COUNTIF('TMP Paste'!$B$2:$B1496,"?*"))</f>
        <v/>
      </c>
      <c r="C1496" t="str">
        <f>IF($A1496="","",IFERROR('TMP Paste'!$M1496*1,0))</f>
        <v/>
      </c>
      <c r="D1496" t="str">
        <f>IF($A1496="","",SUMIF($B$2:$B1496,$B1496,$C$2:$C1496))</f>
        <v/>
      </c>
      <c r="E1496">
        <f>IF($A1496="",0,IF('TMP Paste'!$B1496="",0,1))</f>
        <v>0</v>
      </c>
      <c r="F1496" t="str">
        <f t="shared" si="115"/>
        <v/>
      </c>
      <c r="G1496" t="str">
        <f t="shared" si="116"/>
        <v/>
      </c>
      <c r="H1496" t="str">
        <f t="shared" si="117"/>
        <v/>
      </c>
      <c r="I1496" t="str">
        <f t="shared" si="118"/>
        <v/>
      </c>
      <c r="J1496" t="str">
        <f t="shared" si="119"/>
        <v/>
      </c>
      <c r="K1496" t="str">
        <f>IF($A1496="","",IF(COUNTIF($B$2:$B1496,$B1496)=COUNTIF($B$2:$B$1601,$B1496),$B1496,""))</f>
        <v/>
      </c>
    </row>
    <row r="1497" spans="1:11">
      <c r="A1497" t="str">
        <f>IF('TMP Paste'!$E1497="","",'TMP Paste'!$E1497)</f>
        <v/>
      </c>
      <c r="B1497" t="str">
        <f>IF($A1497="","",COUNTIF('TMP Paste'!$B$2:$B1497,"?*"))</f>
        <v/>
      </c>
      <c r="C1497" t="str">
        <f>IF($A1497="","",IFERROR('TMP Paste'!$M1497*1,0))</f>
        <v/>
      </c>
      <c r="D1497" t="str">
        <f>IF($A1497="","",SUMIF($B$2:$B1497,$B1497,$C$2:$C1497))</f>
        <v/>
      </c>
      <c r="E1497">
        <f>IF($A1497="",0,IF('TMP Paste'!$B1497="",0,1))</f>
        <v>0</v>
      </c>
      <c r="F1497" t="str">
        <f t="shared" si="115"/>
        <v/>
      </c>
      <c r="G1497" t="str">
        <f t="shared" si="116"/>
        <v/>
      </c>
      <c r="H1497" t="str">
        <f t="shared" si="117"/>
        <v/>
      </c>
      <c r="I1497" t="str">
        <f t="shared" si="118"/>
        <v/>
      </c>
      <c r="J1497" t="str">
        <f t="shared" si="119"/>
        <v/>
      </c>
      <c r="K1497" t="str">
        <f>IF($A1497="","",IF(COUNTIF($B$2:$B1497,$B1497)=COUNTIF($B$2:$B$1601,$B1497),$B1497,""))</f>
        <v/>
      </c>
    </row>
    <row r="1498" spans="1:11">
      <c r="A1498" t="str">
        <f>IF('TMP Paste'!$E1498="","",'TMP Paste'!$E1498)</f>
        <v/>
      </c>
      <c r="B1498" t="str">
        <f>IF($A1498="","",COUNTIF('TMP Paste'!$B$2:$B1498,"?*"))</f>
        <v/>
      </c>
      <c r="C1498" t="str">
        <f>IF($A1498="","",IFERROR('TMP Paste'!$M1498*1,0))</f>
        <v/>
      </c>
      <c r="D1498" t="str">
        <f>IF($A1498="","",SUMIF($B$2:$B1498,$B1498,$C$2:$C1498))</f>
        <v/>
      </c>
      <c r="E1498">
        <f>IF($A1498="",0,IF('TMP Paste'!$B1498="",0,1))</f>
        <v>0</v>
      </c>
      <c r="F1498" t="str">
        <f t="shared" si="115"/>
        <v/>
      </c>
      <c r="G1498" t="str">
        <f t="shared" si="116"/>
        <v/>
      </c>
      <c r="H1498" t="str">
        <f t="shared" si="117"/>
        <v/>
      </c>
      <c r="I1498" t="str">
        <f t="shared" si="118"/>
        <v/>
      </c>
      <c r="J1498" t="str">
        <f t="shared" si="119"/>
        <v/>
      </c>
      <c r="K1498" t="str">
        <f>IF($A1498="","",IF(COUNTIF($B$2:$B1498,$B1498)=COUNTIF($B$2:$B$1601,$B1498),$B1498,""))</f>
        <v/>
      </c>
    </row>
    <row r="1499" spans="1:11">
      <c r="A1499" t="str">
        <f>IF('TMP Paste'!$E1499="","",'TMP Paste'!$E1499)</f>
        <v/>
      </c>
      <c r="B1499" t="str">
        <f>IF($A1499="","",COUNTIF('TMP Paste'!$B$2:$B1499,"?*"))</f>
        <v/>
      </c>
      <c r="C1499" t="str">
        <f>IF($A1499="","",IFERROR('TMP Paste'!$M1499*1,0))</f>
        <v/>
      </c>
      <c r="D1499" t="str">
        <f>IF($A1499="","",SUMIF($B$2:$B1499,$B1499,$C$2:$C1499))</f>
        <v/>
      </c>
      <c r="E1499">
        <f>IF($A1499="",0,IF('TMP Paste'!$B1499="",0,1))</f>
        <v>0</v>
      </c>
      <c r="F1499" t="str">
        <f t="shared" si="115"/>
        <v/>
      </c>
      <c r="G1499" t="str">
        <f t="shared" si="116"/>
        <v/>
      </c>
      <c r="H1499" t="str">
        <f t="shared" si="117"/>
        <v/>
      </c>
      <c r="I1499" t="str">
        <f t="shared" si="118"/>
        <v/>
      </c>
      <c r="J1499" t="str">
        <f t="shared" si="119"/>
        <v/>
      </c>
      <c r="K1499" t="str">
        <f>IF($A1499="","",IF(COUNTIF($B$2:$B1499,$B1499)=COUNTIF($B$2:$B$1601,$B1499),$B1499,""))</f>
        <v/>
      </c>
    </row>
    <row r="1500" spans="1:11">
      <c r="A1500" t="str">
        <f>IF('TMP Paste'!$E1500="","",'TMP Paste'!$E1500)</f>
        <v/>
      </c>
      <c r="B1500" t="str">
        <f>IF($A1500="","",COUNTIF('TMP Paste'!$B$2:$B1500,"?*"))</f>
        <v/>
      </c>
      <c r="C1500" t="str">
        <f>IF($A1500="","",IFERROR('TMP Paste'!$M1500*1,0))</f>
        <v/>
      </c>
      <c r="D1500" t="str">
        <f>IF($A1500="","",SUMIF($B$2:$B1500,$B1500,$C$2:$C1500))</f>
        <v/>
      </c>
      <c r="E1500">
        <f>IF($A1500="",0,IF('TMP Paste'!$B1500="",0,1))</f>
        <v>0</v>
      </c>
      <c r="F1500" t="str">
        <f t="shared" si="115"/>
        <v/>
      </c>
      <c r="G1500" t="str">
        <f t="shared" si="116"/>
        <v/>
      </c>
      <c r="H1500" t="str">
        <f t="shared" si="117"/>
        <v/>
      </c>
      <c r="I1500" t="str">
        <f t="shared" si="118"/>
        <v/>
      </c>
      <c r="J1500" t="str">
        <f t="shared" si="119"/>
        <v/>
      </c>
      <c r="K1500" t="str">
        <f>IF($A1500="","",IF(COUNTIF($B$2:$B1500,$B1500)=COUNTIF($B$2:$B$1601,$B1500),$B1500,""))</f>
        <v/>
      </c>
    </row>
    <row r="1501" spans="1:11">
      <c r="A1501" t="str">
        <f>IF('TMP Paste'!$E1501="","",'TMP Paste'!$E1501)</f>
        <v/>
      </c>
      <c r="B1501" t="str">
        <f>IF($A1501="","",COUNTIF('TMP Paste'!$B$2:$B1501,"?*"))</f>
        <v/>
      </c>
      <c r="C1501" t="str">
        <f>IF($A1501="","",IFERROR('TMP Paste'!$M1501*1,0))</f>
        <v/>
      </c>
      <c r="D1501" t="str">
        <f>IF($A1501="","",SUMIF($B$2:$B1501,$B1501,$C$2:$C1501))</f>
        <v/>
      </c>
      <c r="E1501">
        <f>IF($A1501="",0,IF('TMP Paste'!$B1501="",0,1))</f>
        <v>0</v>
      </c>
      <c r="F1501" t="str">
        <f t="shared" si="115"/>
        <v/>
      </c>
      <c r="G1501" t="str">
        <f t="shared" si="116"/>
        <v/>
      </c>
      <c r="H1501" t="str">
        <f t="shared" si="117"/>
        <v/>
      </c>
      <c r="I1501" t="str">
        <f t="shared" si="118"/>
        <v/>
      </c>
      <c r="J1501" t="str">
        <f t="shared" si="119"/>
        <v/>
      </c>
      <c r="K1501" t="str">
        <f>IF($A1501="","",IF(COUNTIF($B$2:$B1501,$B1501)=COUNTIF($B$2:$B$1601,$B1501),$B1501,""))</f>
        <v/>
      </c>
    </row>
    <row r="1502" spans="1:11">
      <c r="A1502" t="str">
        <f>IF('TMP Paste'!$E1502="","",'TMP Paste'!$E1502)</f>
        <v/>
      </c>
      <c r="B1502" t="str">
        <f>IF($A1502="","",COUNTIF('TMP Paste'!$B$2:$B1502,"?*"))</f>
        <v/>
      </c>
      <c r="C1502" t="str">
        <f>IF($A1502="","",IFERROR('TMP Paste'!$M1502*1,0))</f>
        <v/>
      </c>
      <c r="D1502" t="str">
        <f>IF($A1502="","",SUMIF($B$2:$B1502,$B1502,$C$2:$C1502))</f>
        <v/>
      </c>
      <c r="E1502">
        <f>IF($A1502="",0,IF('TMP Paste'!$B1502="",0,1))</f>
        <v>0</v>
      </c>
      <c r="F1502" t="str">
        <f t="shared" si="115"/>
        <v/>
      </c>
      <c r="G1502" t="str">
        <f t="shared" si="116"/>
        <v/>
      </c>
      <c r="H1502" t="str">
        <f t="shared" si="117"/>
        <v/>
      </c>
      <c r="I1502" t="str">
        <f t="shared" si="118"/>
        <v/>
      </c>
      <c r="J1502" t="str">
        <f t="shared" si="119"/>
        <v/>
      </c>
      <c r="K1502" t="str">
        <f>IF($A1502="","",IF(COUNTIF($B$2:$B1502,$B1502)=COUNTIF($B$2:$B$1601,$B1502),$B1502,""))</f>
        <v/>
      </c>
    </row>
    <row r="1503" spans="1:11">
      <c r="A1503" t="str">
        <f>IF('TMP Paste'!$E1503="","",'TMP Paste'!$E1503)</f>
        <v/>
      </c>
      <c r="B1503" t="str">
        <f>IF($A1503="","",COUNTIF('TMP Paste'!$B$2:$B1503,"?*"))</f>
        <v/>
      </c>
      <c r="C1503" t="str">
        <f>IF($A1503="","",IFERROR('TMP Paste'!$M1503*1,0))</f>
        <v/>
      </c>
      <c r="D1503" t="str">
        <f>IF($A1503="","",SUMIF($B$2:$B1503,$B1503,$C$2:$C1503))</f>
        <v/>
      </c>
      <c r="E1503">
        <f>IF($A1503="",0,IF('TMP Paste'!$B1503="",0,1))</f>
        <v>0</v>
      </c>
      <c r="F1503" t="str">
        <f t="shared" si="115"/>
        <v/>
      </c>
      <c r="G1503" t="str">
        <f t="shared" si="116"/>
        <v/>
      </c>
      <c r="H1503" t="str">
        <f t="shared" si="117"/>
        <v/>
      </c>
      <c r="I1503" t="str">
        <f t="shared" si="118"/>
        <v/>
      </c>
      <c r="J1503" t="str">
        <f t="shared" si="119"/>
        <v/>
      </c>
      <c r="K1503" t="str">
        <f>IF($A1503="","",IF(COUNTIF($B$2:$B1503,$B1503)=COUNTIF($B$2:$B$1601,$B1503),$B1503,""))</f>
        <v/>
      </c>
    </row>
    <row r="1504" spans="1:11">
      <c r="A1504" t="str">
        <f>IF('TMP Paste'!$E1504="","",'TMP Paste'!$E1504)</f>
        <v/>
      </c>
      <c r="B1504" t="str">
        <f>IF($A1504="","",COUNTIF('TMP Paste'!$B$2:$B1504,"?*"))</f>
        <v/>
      </c>
      <c r="C1504" t="str">
        <f>IF($A1504="","",IFERROR('TMP Paste'!$M1504*1,0))</f>
        <v/>
      </c>
      <c r="D1504" t="str">
        <f>IF($A1504="","",SUMIF($B$2:$B1504,$B1504,$C$2:$C1504))</f>
        <v/>
      </c>
      <c r="E1504">
        <f>IF($A1504="",0,IF('TMP Paste'!$B1504="",0,1))</f>
        <v>0</v>
      </c>
      <c r="F1504" t="str">
        <f t="shared" si="115"/>
        <v/>
      </c>
      <c r="G1504" t="str">
        <f t="shared" si="116"/>
        <v/>
      </c>
      <c r="H1504" t="str">
        <f t="shared" si="117"/>
        <v/>
      </c>
      <c r="I1504" t="str">
        <f t="shared" si="118"/>
        <v/>
      </c>
      <c r="J1504" t="str">
        <f t="shared" si="119"/>
        <v/>
      </c>
      <c r="K1504" t="str">
        <f>IF($A1504="","",IF(COUNTIF($B$2:$B1504,$B1504)=COUNTIF($B$2:$B$1601,$B1504),$B1504,""))</f>
        <v/>
      </c>
    </row>
    <row r="1505" spans="1:11">
      <c r="A1505" t="str">
        <f>IF('TMP Paste'!$E1505="","",'TMP Paste'!$E1505)</f>
        <v/>
      </c>
      <c r="B1505" t="str">
        <f>IF($A1505="","",COUNTIF('TMP Paste'!$B$2:$B1505,"?*"))</f>
        <v/>
      </c>
      <c r="C1505" t="str">
        <f>IF($A1505="","",IFERROR('TMP Paste'!$M1505*1,0))</f>
        <v/>
      </c>
      <c r="D1505" t="str">
        <f>IF($A1505="","",SUMIF($B$2:$B1505,$B1505,$C$2:$C1505))</f>
        <v/>
      </c>
      <c r="E1505">
        <f>IF($A1505="",0,IF('TMP Paste'!$B1505="",0,1))</f>
        <v>0</v>
      </c>
      <c r="F1505" t="str">
        <f t="shared" si="115"/>
        <v/>
      </c>
      <c r="G1505" t="str">
        <f t="shared" si="116"/>
        <v/>
      </c>
      <c r="H1505" t="str">
        <f t="shared" si="117"/>
        <v/>
      </c>
      <c r="I1505" t="str">
        <f t="shared" si="118"/>
        <v/>
      </c>
      <c r="J1505" t="str">
        <f t="shared" si="119"/>
        <v/>
      </c>
      <c r="K1505" t="str">
        <f>IF($A1505="","",IF(COUNTIF($B$2:$B1505,$B1505)=COUNTIF($B$2:$B$1601,$B1505),$B1505,""))</f>
        <v/>
      </c>
    </row>
    <row r="1506" spans="1:11">
      <c r="A1506" t="str">
        <f>IF('TMP Paste'!$E1506="","",'TMP Paste'!$E1506)</f>
        <v/>
      </c>
      <c r="B1506" t="str">
        <f>IF($A1506="","",COUNTIF('TMP Paste'!$B$2:$B1506,"?*"))</f>
        <v/>
      </c>
      <c r="C1506" t="str">
        <f>IF($A1506="","",IFERROR('TMP Paste'!$M1506*1,0))</f>
        <v/>
      </c>
      <c r="D1506" t="str">
        <f>IF($A1506="","",SUMIF($B$2:$B1506,$B1506,$C$2:$C1506))</f>
        <v/>
      </c>
      <c r="E1506">
        <f>IF($A1506="",0,IF('TMP Paste'!$B1506="",0,1))</f>
        <v>0</v>
      </c>
      <c r="F1506" t="str">
        <f t="shared" si="115"/>
        <v/>
      </c>
      <c r="G1506" t="str">
        <f t="shared" si="116"/>
        <v/>
      </c>
      <c r="H1506" t="str">
        <f t="shared" si="117"/>
        <v/>
      </c>
      <c r="I1506" t="str">
        <f t="shared" si="118"/>
        <v/>
      </c>
      <c r="J1506" t="str">
        <f t="shared" si="119"/>
        <v/>
      </c>
      <c r="K1506" t="str">
        <f>IF($A1506="","",IF(COUNTIF($B$2:$B1506,$B1506)=COUNTIF($B$2:$B$1601,$B1506),$B1506,""))</f>
        <v/>
      </c>
    </row>
    <row r="1507" spans="1:11">
      <c r="A1507" t="str">
        <f>IF('TMP Paste'!$E1507="","",'TMP Paste'!$E1507)</f>
        <v/>
      </c>
      <c r="B1507" t="str">
        <f>IF($A1507="","",COUNTIF('TMP Paste'!$B$2:$B1507,"?*"))</f>
        <v/>
      </c>
      <c r="C1507" t="str">
        <f>IF($A1507="","",IFERROR('TMP Paste'!$M1507*1,0))</f>
        <v/>
      </c>
      <c r="D1507" t="str">
        <f>IF($A1507="","",SUMIF($B$2:$B1507,$B1507,$C$2:$C1507))</f>
        <v/>
      </c>
      <c r="E1507">
        <f>IF($A1507="",0,IF('TMP Paste'!$B1507="",0,1))</f>
        <v>0</v>
      </c>
      <c r="F1507" t="str">
        <f t="shared" si="115"/>
        <v/>
      </c>
      <c r="G1507" t="str">
        <f t="shared" si="116"/>
        <v/>
      </c>
      <c r="H1507" t="str">
        <f t="shared" si="117"/>
        <v/>
      </c>
      <c r="I1507" t="str">
        <f t="shared" si="118"/>
        <v/>
      </c>
      <c r="J1507" t="str">
        <f t="shared" si="119"/>
        <v/>
      </c>
      <c r="K1507" t="str">
        <f>IF($A1507="","",IF(COUNTIF($B$2:$B1507,$B1507)=COUNTIF($B$2:$B$1601,$B1507),$B1507,""))</f>
        <v/>
      </c>
    </row>
    <row r="1508" spans="1:11">
      <c r="A1508" t="str">
        <f>IF('TMP Paste'!$E1508="","",'TMP Paste'!$E1508)</f>
        <v/>
      </c>
      <c r="B1508" t="str">
        <f>IF($A1508="","",COUNTIF('TMP Paste'!$B$2:$B1508,"?*"))</f>
        <v/>
      </c>
      <c r="C1508" t="str">
        <f>IF($A1508="","",IFERROR('TMP Paste'!$M1508*1,0))</f>
        <v/>
      </c>
      <c r="D1508" t="str">
        <f>IF($A1508="","",SUMIF($B$2:$B1508,$B1508,$C$2:$C1508))</f>
        <v/>
      </c>
      <c r="E1508">
        <f>IF($A1508="",0,IF('TMP Paste'!$B1508="",0,1))</f>
        <v>0</v>
      </c>
      <c r="F1508" t="str">
        <f t="shared" si="115"/>
        <v/>
      </c>
      <c r="G1508" t="str">
        <f t="shared" si="116"/>
        <v/>
      </c>
      <c r="H1508" t="str">
        <f t="shared" si="117"/>
        <v/>
      </c>
      <c r="I1508" t="str">
        <f t="shared" si="118"/>
        <v/>
      </c>
      <c r="J1508" t="str">
        <f t="shared" si="119"/>
        <v/>
      </c>
      <c r="K1508" t="str">
        <f>IF($A1508="","",IF(COUNTIF($B$2:$B1508,$B1508)=COUNTIF($B$2:$B$1601,$B1508),$B1508,""))</f>
        <v/>
      </c>
    </row>
    <row r="1509" spans="1:11">
      <c r="A1509" t="str">
        <f>IF('TMP Paste'!$E1509="","",'TMP Paste'!$E1509)</f>
        <v/>
      </c>
      <c r="B1509" t="str">
        <f>IF($A1509="","",COUNTIF('TMP Paste'!$B$2:$B1509,"?*"))</f>
        <v/>
      </c>
      <c r="C1509" t="str">
        <f>IF($A1509="","",IFERROR('TMP Paste'!$M1509*1,0))</f>
        <v/>
      </c>
      <c r="D1509" t="str">
        <f>IF($A1509="","",SUMIF($B$2:$B1509,$B1509,$C$2:$C1509))</f>
        <v/>
      </c>
      <c r="E1509">
        <f>IF($A1509="",0,IF('TMP Paste'!$B1509="",0,1))</f>
        <v>0</v>
      </c>
      <c r="F1509" t="str">
        <f t="shared" si="115"/>
        <v/>
      </c>
      <c r="G1509" t="str">
        <f t="shared" si="116"/>
        <v/>
      </c>
      <c r="H1509" t="str">
        <f t="shared" si="117"/>
        <v/>
      </c>
      <c r="I1509" t="str">
        <f t="shared" si="118"/>
        <v/>
      </c>
      <c r="J1509" t="str">
        <f t="shared" si="119"/>
        <v/>
      </c>
      <c r="K1509" t="str">
        <f>IF($A1509="","",IF(COUNTIF($B$2:$B1509,$B1509)=COUNTIF($B$2:$B$1601,$B1509),$B1509,""))</f>
        <v/>
      </c>
    </row>
    <row r="1510" spans="1:11">
      <c r="A1510" t="str">
        <f>IF('TMP Paste'!$E1510="","",'TMP Paste'!$E1510)</f>
        <v/>
      </c>
      <c r="B1510" t="str">
        <f>IF($A1510="","",COUNTIF('TMP Paste'!$B$2:$B1510,"?*"))</f>
        <v/>
      </c>
      <c r="C1510" t="str">
        <f>IF($A1510="","",IFERROR('TMP Paste'!$M1510*1,0))</f>
        <v/>
      </c>
      <c r="D1510" t="str">
        <f>IF($A1510="","",SUMIF($B$2:$B1510,$B1510,$C$2:$C1510))</f>
        <v/>
      </c>
      <c r="E1510">
        <f>IF($A1510="",0,IF('TMP Paste'!$B1510="",0,1))</f>
        <v>0</v>
      </c>
      <c r="F1510" t="str">
        <f t="shared" si="115"/>
        <v/>
      </c>
      <c r="G1510" t="str">
        <f t="shared" si="116"/>
        <v/>
      </c>
      <c r="H1510" t="str">
        <f t="shared" si="117"/>
        <v/>
      </c>
      <c r="I1510" t="str">
        <f t="shared" si="118"/>
        <v/>
      </c>
      <c r="J1510" t="str">
        <f t="shared" si="119"/>
        <v/>
      </c>
      <c r="K1510" t="str">
        <f>IF($A1510="","",IF(COUNTIF($B$2:$B1510,$B1510)=COUNTIF($B$2:$B$1601,$B1510),$B1510,""))</f>
        <v/>
      </c>
    </row>
    <row r="1511" spans="1:11">
      <c r="A1511" t="str">
        <f>IF('TMP Paste'!$E1511="","",'TMP Paste'!$E1511)</f>
        <v/>
      </c>
      <c r="B1511" t="str">
        <f>IF($A1511="","",COUNTIF('TMP Paste'!$B$2:$B1511,"?*"))</f>
        <v/>
      </c>
      <c r="C1511" t="str">
        <f>IF($A1511="","",IFERROR('TMP Paste'!$M1511*1,0))</f>
        <v/>
      </c>
      <c r="D1511" t="str">
        <f>IF($A1511="","",SUMIF($B$2:$B1511,$B1511,$C$2:$C1511))</f>
        <v/>
      </c>
      <c r="E1511">
        <f>IF($A1511="",0,IF('TMP Paste'!$B1511="",0,1))</f>
        <v>0</v>
      </c>
      <c r="F1511" t="str">
        <f t="shared" si="115"/>
        <v/>
      </c>
      <c r="G1511" t="str">
        <f t="shared" si="116"/>
        <v/>
      </c>
      <c r="H1511" t="str">
        <f t="shared" si="117"/>
        <v/>
      </c>
      <c r="I1511" t="str">
        <f t="shared" si="118"/>
        <v/>
      </c>
      <c r="J1511" t="str">
        <f t="shared" si="119"/>
        <v/>
      </c>
      <c r="K1511" t="str">
        <f>IF($A1511="","",IF(COUNTIF($B$2:$B1511,$B1511)=COUNTIF($B$2:$B$1601,$B1511),$B1511,""))</f>
        <v/>
      </c>
    </row>
    <row r="1512" spans="1:11">
      <c r="A1512" t="str">
        <f>IF('TMP Paste'!$E1512="","",'TMP Paste'!$E1512)</f>
        <v/>
      </c>
      <c r="B1512" t="str">
        <f>IF($A1512="","",COUNTIF('TMP Paste'!$B$2:$B1512,"?*"))</f>
        <v/>
      </c>
      <c r="C1512" t="str">
        <f>IF($A1512="","",IFERROR('TMP Paste'!$M1512*1,0))</f>
        <v/>
      </c>
      <c r="D1512" t="str">
        <f>IF($A1512="","",SUMIF($B$2:$B1512,$B1512,$C$2:$C1512))</f>
        <v/>
      </c>
      <c r="E1512">
        <f>IF($A1512="",0,IF('TMP Paste'!$B1512="",0,1))</f>
        <v>0</v>
      </c>
      <c r="F1512" t="str">
        <f t="shared" si="115"/>
        <v/>
      </c>
      <c r="G1512" t="str">
        <f t="shared" si="116"/>
        <v/>
      </c>
      <c r="H1512" t="str">
        <f t="shared" si="117"/>
        <v/>
      </c>
      <c r="I1512" t="str">
        <f t="shared" si="118"/>
        <v/>
      </c>
      <c r="J1512" t="str">
        <f t="shared" si="119"/>
        <v/>
      </c>
      <c r="K1512" t="str">
        <f>IF($A1512="","",IF(COUNTIF($B$2:$B1512,$B1512)=COUNTIF($B$2:$B$1601,$B1512),$B1512,""))</f>
        <v/>
      </c>
    </row>
    <row r="1513" spans="1:11">
      <c r="A1513" t="str">
        <f>IF('TMP Paste'!$E1513="","",'TMP Paste'!$E1513)</f>
        <v/>
      </c>
      <c r="B1513" t="str">
        <f>IF($A1513="","",COUNTIF('TMP Paste'!$B$2:$B1513,"?*"))</f>
        <v/>
      </c>
      <c r="C1513" t="str">
        <f>IF($A1513="","",IFERROR('TMP Paste'!$M1513*1,0))</f>
        <v/>
      </c>
      <c r="D1513" t="str">
        <f>IF($A1513="","",SUMIF($B$2:$B1513,$B1513,$C$2:$C1513))</f>
        <v/>
      </c>
      <c r="E1513">
        <f>IF($A1513="",0,IF('TMP Paste'!$B1513="",0,1))</f>
        <v>0</v>
      </c>
      <c r="F1513" t="str">
        <f t="shared" si="115"/>
        <v/>
      </c>
      <c r="G1513" t="str">
        <f t="shared" si="116"/>
        <v/>
      </c>
      <c r="H1513" t="str">
        <f t="shared" si="117"/>
        <v/>
      </c>
      <c r="I1513" t="str">
        <f t="shared" si="118"/>
        <v/>
      </c>
      <c r="J1513" t="str">
        <f t="shared" si="119"/>
        <v/>
      </c>
      <c r="K1513" t="str">
        <f>IF($A1513="","",IF(COUNTIF($B$2:$B1513,$B1513)=COUNTIF($B$2:$B$1601,$B1513),$B1513,""))</f>
        <v/>
      </c>
    </row>
    <row r="1514" spans="1:11">
      <c r="A1514" t="str">
        <f>IF('TMP Paste'!$E1514="","",'TMP Paste'!$E1514)</f>
        <v/>
      </c>
      <c r="B1514" t="str">
        <f>IF($A1514="","",COUNTIF('TMP Paste'!$B$2:$B1514,"?*"))</f>
        <v/>
      </c>
      <c r="C1514" t="str">
        <f>IF($A1514="","",IFERROR('TMP Paste'!$M1514*1,0))</f>
        <v/>
      </c>
      <c r="D1514" t="str">
        <f>IF($A1514="","",SUMIF($B$2:$B1514,$B1514,$C$2:$C1514))</f>
        <v/>
      </c>
      <c r="E1514">
        <f>IF($A1514="",0,IF('TMP Paste'!$B1514="",0,1))</f>
        <v>0</v>
      </c>
      <c r="F1514" t="str">
        <f t="shared" si="115"/>
        <v/>
      </c>
      <c r="G1514" t="str">
        <f t="shared" si="116"/>
        <v/>
      </c>
      <c r="H1514" t="str">
        <f t="shared" si="117"/>
        <v/>
      </c>
      <c r="I1514" t="str">
        <f t="shared" si="118"/>
        <v/>
      </c>
      <c r="J1514" t="str">
        <f t="shared" si="119"/>
        <v/>
      </c>
      <c r="K1514" t="str">
        <f>IF($A1514="","",IF(COUNTIF($B$2:$B1514,$B1514)=COUNTIF($B$2:$B$1601,$B1514),$B1514,""))</f>
        <v/>
      </c>
    </row>
    <row r="1515" spans="1:11">
      <c r="A1515" t="str">
        <f>IF('TMP Paste'!$E1515="","",'TMP Paste'!$E1515)</f>
        <v/>
      </c>
      <c r="B1515" t="str">
        <f>IF($A1515="","",COUNTIF('TMP Paste'!$B$2:$B1515,"?*"))</f>
        <v/>
      </c>
      <c r="C1515" t="str">
        <f>IF($A1515="","",IFERROR('TMP Paste'!$M1515*1,0))</f>
        <v/>
      </c>
      <c r="D1515" t="str">
        <f>IF($A1515="","",SUMIF($B$2:$B1515,$B1515,$C$2:$C1515))</f>
        <v/>
      </c>
      <c r="E1515">
        <f>IF($A1515="",0,IF('TMP Paste'!$B1515="",0,1))</f>
        <v>0</v>
      </c>
      <c r="F1515" t="str">
        <f t="shared" si="115"/>
        <v/>
      </c>
      <c r="G1515" t="str">
        <f t="shared" si="116"/>
        <v/>
      </c>
      <c r="H1515" t="str">
        <f t="shared" si="117"/>
        <v/>
      </c>
      <c r="I1515" t="str">
        <f t="shared" si="118"/>
        <v/>
      </c>
      <c r="J1515" t="str">
        <f t="shared" si="119"/>
        <v/>
      </c>
      <c r="K1515" t="str">
        <f>IF($A1515="","",IF(COUNTIF($B$2:$B1515,$B1515)=COUNTIF($B$2:$B$1601,$B1515),$B1515,""))</f>
        <v/>
      </c>
    </row>
    <row r="1516" spans="1:11">
      <c r="A1516" t="str">
        <f>IF('TMP Paste'!$E1516="","",'TMP Paste'!$E1516)</f>
        <v/>
      </c>
      <c r="B1516" t="str">
        <f>IF($A1516="","",COUNTIF('TMP Paste'!$B$2:$B1516,"?*"))</f>
        <v/>
      </c>
      <c r="C1516" t="str">
        <f>IF($A1516="","",IFERROR('TMP Paste'!$M1516*1,0))</f>
        <v/>
      </c>
      <c r="D1516" t="str">
        <f>IF($A1516="","",SUMIF($B$2:$B1516,$B1516,$C$2:$C1516))</f>
        <v/>
      </c>
      <c r="E1516">
        <f>IF($A1516="",0,IF('TMP Paste'!$B1516="",0,1))</f>
        <v>0</v>
      </c>
      <c r="F1516" t="str">
        <f t="shared" si="115"/>
        <v/>
      </c>
      <c r="G1516" t="str">
        <f t="shared" si="116"/>
        <v/>
      </c>
      <c r="H1516" t="str">
        <f t="shared" si="117"/>
        <v/>
      </c>
      <c r="I1516" t="str">
        <f t="shared" si="118"/>
        <v/>
      </c>
      <c r="J1516" t="str">
        <f t="shared" si="119"/>
        <v/>
      </c>
      <c r="K1516" t="str">
        <f>IF($A1516="","",IF(COUNTIF($B$2:$B1516,$B1516)=COUNTIF($B$2:$B$1601,$B1516),$B1516,""))</f>
        <v/>
      </c>
    </row>
    <row r="1517" spans="1:11">
      <c r="A1517" t="str">
        <f>IF('TMP Paste'!$E1517="","",'TMP Paste'!$E1517)</f>
        <v/>
      </c>
      <c r="B1517" t="str">
        <f>IF($A1517="","",COUNTIF('TMP Paste'!$B$2:$B1517,"?*"))</f>
        <v/>
      </c>
      <c r="C1517" t="str">
        <f>IF($A1517="","",IFERROR('TMP Paste'!$M1517*1,0))</f>
        <v/>
      </c>
      <c r="D1517" t="str">
        <f>IF($A1517="","",SUMIF($B$2:$B1517,$B1517,$C$2:$C1517))</f>
        <v/>
      </c>
      <c r="E1517">
        <f>IF($A1517="",0,IF('TMP Paste'!$B1517="",0,1))</f>
        <v>0</v>
      </c>
      <c r="F1517" t="str">
        <f t="shared" si="115"/>
        <v/>
      </c>
      <c r="G1517" t="str">
        <f t="shared" si="116"/>
        <v/>
      </c>
      <c r="H1517" t="str">
        <f t="shared" si="117"/>
        <v/>
      </c>
      <c r="I1517" t="str">
        <f t="shared" si="118"/>
        <v/>
      </c>
      <c r="J1517" t="str">
        <f t="shared" si="119"/>
        <v/>
      </c>
      <c r="K1517" t="str">
        <f>IF($A1517="","",IF(COUNTIF($B$2:$B1517,$B1517)=COUNTIF($B$2:$B$1601,$B1517),$B1517,""))</f>
        <v/>
      </c>
    </row>
    <row r="1518" spans="1:11">
      <c r="A1518" t="str">
        <f>IF('TMP Paste'!$E1518="","",'TMP Paste'!$E1518)</f>
        <v/>
      </c>
      <c r="B1518" t="str">
        <f>IF($A1518="","",COUNTIF('TMP Paste'!$B$2:$B1518,"?*"))</f>
        <v/>
      </c>
      <c r="C1518" t="str">
        <f>IF($A1518="","",IFERROR('TMP Paste'!$M1518*1,0))</f>
        <v/>
      </c>
      <c r="D1518" t="str">
        <f>IF($A1518="","",SUMIF($B$2:$B1518,$B1518,$C$2:$C1518))</f>
        <v/>
      </c>
      <c r="E1518">
        <f>IF($A1518="",0,IF('TMP Paste'!$B1518="",0,1))</f>
        <v>0</v>
      </c>
      <c r="F1518" t="str">
        <f t="shared" si="115"/>
        <v/>
      </c>
      <c r="G1518" t="str">
        <f t="shared" si="116"/>
        <v/>
      </c>
      <c r="H1518" t="str">
        <f t="shared" si="117"/>
        <v/>
      </c>
      <c r="I1518" t="str">
        <f t="shared" si="118"/>
        <v/>
      </c>
      <c r="J1518" t="str">
        <f t="shared" si="119"/>
        <v/>
      </c>
      <c r="K1518" t="str">
        <f>IF($A1518="","",IF(COUNTIF($B$2:$B1518,$B1518)=COUNTIF($B$2:$B$1601,$B1518),$B1518,""))</f>
        <v/>
      </c>
    </row>
    <row r="1519" spans="1:11">
      <c r="A1519" t="str">
        <f>IF('TMP Paste'!$E1519="","",'TMP Paste'!$E1519)</f>
        <v/>
      </c>
      <c r="B1519" t="str">
        <f>IF($A1519="","",COUNTIF('TMP Paste'!$B$2:$B1519,"?*"))</f>
        <v/>
      </c>
      <c r="C1519" t="str">
        <f>IF($A1519="","",IFERROR('TMP Paste'!$M1519*1,0))</f>
        <v/>
      </c>
      <c r="D1519" t="str">
        <f>IF($A1519="","",SUMIF($B$2:$B1519,$B1519,$C$2:$C1519))</f>
        <v/>
      </c>
      <c r="E1519">
        <f>IF($A1519="",0,IF('TMP Paste'!$B1519="",0,1))</f>
        <v>0</v>
      </c>
      <c r="F1519" t="str">
        <f t="shared" si="115"/>
        <v/>
      </c>
      <c r="G1519" t="str">
        <f t="shared" si="116"/>
        <v/>
      </c>
      <c r="H1519" t="str">
        <f t="shared" si="117"/>
        <v/>
      </c>
      <c r="I1519" t="str">
        <f t="shared" si="118"/>
        <v/>
      </c>
      <c r="J1519" t="str">
        <f t="shared" si="119"/>
        <v/>
      </c>
      <c r="K1519" t="str">
        <f>IF($A1519="","",IF(COUNTIF($B$2:$B1519,$B1519)=COUNTIF($B$2:$B$1601,$B1519),$B1519,""))</f>
        <v/>
      </c>
    </row>
    <row r="1520" spans="1:11">
      <c r="A1520" t="str">
        <f>IF('TMP Paste'!$E1520="","",'TMP Paste'!$E1520)</f>
        <v/>
      </c>
      <c r="B1520" t="str">
        <f>IF($A1520="","",COUNTIF('TMP Paste'!$B$2:$B1520,"?*"))</f>
        <v/>
      </c>
      <c r="C1520" t="str">
        <f>IF($A1520="","",IFERROR('TMP Paste'!$M1520*1,0))</f>
        <v/>
      </c>
      <c r="D1520" t="str">
        <f>IF($A1520="","",SUMIF($B$2:$B1520,$B1520,$C$2:$C1520))</f>
        <v/>
      </c>
      <c r="E1520">
        <f>IF($A1520="",0,IF('TMP Paste'!$B1520="",0,1))</f>
        <v>0</v>
      </c>
      <c r="F1520" t="str">
        <f t="shared" si="115"/>
        <v/>
      </c>
      <c r="G1520" t="str">
        <f t="shared" si="116"/>
        <v/>
      </c>
      <c r="H1520" t="str">
        <f t="shared" si="117"/>
        <v/>
      </c>
      <c r="I1520" t="str">
        <f t="shared" si="118"/>
        <v/>
      </c>
      <c r="J1520" t="str">
        <f t="shared" si="119"/>
        <v/>
      </c>
      <c r="K1520" t="str">
        <f>IF($A1520="","",IF(COUNTIF($B$2:$B1520,$B1520)=COUNTIF($B$2:$B$1601,$B1520),$B1520,""))</f>
        <v/>
      </c>
    </row>
    <row r="1521" spans="1:11">
      <c r="A1521" t="str">
        <f>IF('TMP Paste'!$E1521="","",'TMP Paste'!$E1521)</f>
        <v/>
      </c>
      <c r="B1521" t="str">
        <f>IF($A1521="","",COUNTIF('TMP Paste'!$B$2:$B1521,"?*"))</f>
        <v/>
      </c>
      <c r="C1521" t="str">
        <f>IF($A1521="","",IFERROR('TMP Paste'!$M1521*1,0))</f>
        <v/>
      </c>
      <c r="D1521" t="str">
        <f>IF($A1521="","",SUMIF($B$2:$B1521,$B1521,$C$2:$C1521))</f>
        <v/>
      </c>
      <c r="E1521">
        <f>IF($A1521="",0,IF('TMP Paste'!$B1521="",0,1))</f>
        <v>0</v>
      </c>
      <c r="F1521" t="str">
        <f t="shared" si="115"/>
        <v/>
      </c>
      <c r="G1521" t="str">
        <f t="shared" si="116"/>
        <v/>
      </c>
      <c r="H1521" t="str">
        <f t="shared" si="117"/>
        <v/>
      </c>
      <c r="I1521" t="str">
        <f t="shared" si="118"/>
        <v/>
      </c>
      <c r="J1521" t="str">
        <f t="shared" si="119"/>
        <v/>
      </c>
      <c r="K1521" t="str">
        <f>IF($A1521="","",IF(COUNTIF($B$2:$B1521,$B1521)=COUNTIF($B$2:$B$1601,$B1521),$B1521,""))</f>
        <v/>
      </c>
    </row>
    <row r="1522" spans="1:11">
      <c r="A1522" t="str">
        <f>IF('TMP Paste'!$E1522="","",'TMP Paste'!$E1522)</f>
        <v/>
      </c>
      <c r="B1522" t="str">
        <f>IF($A1522="","",COUNTIF('TMP Paste'!$B$2:$B1522,"?*"))</f>
        <v/>
      </c>
      <c r="C1522" t="str">
        <f>IF($A1522="","",IFERROR('TMP Paste'!$M1522*1,0))</f>
        <v/>
      </c>
      <c r="D1522" t="str">
        <f>IF($A1522="","",SUMIF($B$2:$B1522,$B1522,$C$2:$C1522))</f>
        <v/>
      </c>
      <c r="E1522">
        <f>IF($A1522="",0,IF('TMP Paste'!$B1522="",0,1))</f>
        <v>0</v>
      </c>
      <c r="F1522" t="str">
        <f t="shared" si="115"/>
        <v/>
      </c>
      <c r="G1522" t="str">
        <f t="shared" si="116"/>
        <v/>
      </c>
      <c r="H1522" t="str">
        <f t="shared" si="117"/>
        <v/>
      </c>
      <c r="I1522" t="str">
        <f t="shared" si="118"/>
        <v/>
      </c>
      <c r="J1522" t="str">
        <f t="shared" si="119"/>
        <v/>
      </c>
      <c r="K1522" t="str">
        <f>IF($A1522="","",IF(COUNTIF($B$2:$B1522,$B1522)=COUNTIF($B$2:$B$1601,$B1522),$B1522,""))</f>
        <v/>
      </c>
    </row>
    <row r="1523" spans="1:11">
      <c r="A1523" t="str">
        <f>IF('TMP Paste'!$E1523="","",'TMP Paste'!$E1523)</f>
        <v/>
      </c>
      <c r="B1523" t="str">
        <f>IF($A1523="","",COUNTIF('TMP Paste'!$B$2:$B1523,"?*"))</f>
        <v/>
      </c>
      <c r="C1523" t="str">
        <f>IF($A1523="","",IFERROR('TMP Paste'!$M1523*1,0))</f>
        <v/>
      </c>
      <c r="D1523" t="str">
        <f>IF($A1523="","",SUMIF($B$2:$B1523,$B1523,$C$2:$C1523))</f>
        <v/>
      </c>
      <c r="E1523">
        <f>IF($A1523="",0,IF('TMP Paste'!$B1523="",0,1))</f>
        <v>0</v>
      </c>
      <c r="F1523" t="str">
        <f t="shared" si="115"/>
        <v/>
      </c>
      <c r="G1523" t="str">
        <f t="shared" si="116"/>
        <v/>
      </c>
      <c r="H1523" t="str">
        <f t="shared" si="117"/>
        <v/>
      </c>
      <c r="I1523" t="str">
        <f t="shared" si="118"/>
        <v/>
      </c>
      <c r="J1523" t="str">
        <f t="shared" si="119"/>
        <v/>
      </c>
      <c r="K1523" t="str">
        <f>IF($A1523="","",IF(COUNTIF($B$2:$B1523,$B1523)=COUNTIF($B$2:$B$1601,$B1523),$B1523,""))</f>
        <v/>
      </c>
    </row>
    <row r="1524" spans="1:11">
      <c r="A1524" t="str">
        <f>IF('TMP Paste'!$E1524="","",'TMP Paste'!$E1524)</f>
        <v/>
      </c>
      <c r="B1524" t="str">
        <f>IF($A1524="","",COUNTIF('TMP Paste'!$B$2:$B1524,"?*"))</f>
        <v/>
      </c>
      <c r="C1524" t="str">
        <f>IF($A1524="","",IFERROR('TMP Paste'!$M1524*1,0))</f>
        <v/>
      </c>
      <c r="D1524" t="str">
        <f>IF($A1524="","",SUMIF($B$2:$B1524,$B1524,$C$2:$C1524))</f>
        <v/>
      </c>
      <c r="E1524">
        <f>IF($A1524="",0,IF('TMP Paste'!$B1524="",0,1))</f>
        <v>0</v>
      </c>
      <c r="F1524" t="str">
        <f t="shared" si="115"/>
        <v/>
      </c>
      <c r="G1524" t="str">
        <f t="shared" si="116"/>
        <v/>
      </c>
      <c r="H1524" t="str">
        <f t="shared" si="117"/>
        <v/>
      </c>
      <c r="I1524" t="str">
        <f t="shared" si="118"/>
        <v/>
      </c>
      <c r="J1524" t="str">
        <f t="shared" si="119"/>
        <v/>
      </c>
      <c r="K1524" t="str">
        <f>IF($A1524="","",IF(COUNTIF($B$2:$B1524,$B1524)=COUNTIF($B$2:$B$1601,$B1524),$B1524,""))</f>
        <v/>
      </c>
    </row>
    <row r="1525" spans="1:11">
      <c r="A1525" t="str">
        <f>IF('TMP Paste'!$E1525="","",'TMP Paste'!$E1525)</f>
        <v/>
      </c>
      <c r="B1525" t="str">
        <f>IF($A1525="","",COUNTIF('TMP Paste'!$B$2:$B1525,"?*"))</f>
        <v/>
      </c>
      <c r="C1525" t="str">
        <f>IF($A1525="","",IFERROR('TMP Paste'!$M1525*1,0))</f>
        <v/>
      </c>
      <c r="D1525" t="str">
        <f>IF($A1525="","",SUMIF($B$2:$B1525,$B1525,$C$2:$C1525))</f>
        <v/>
      </c>
      <c r="E1525">
        <f>IF($A1525="",0,IF('TMP Paste'!$B1525="",0,1))</f>
        <v>0</v>
      </c>
      <c r="F1525" t="str">
        <f t="shared" si="115"/>
        <v/>
      </c>
      <c r="G1525" t="str">
        <f t="shared" si="116"/>
        <v/>
      </c>
      <c r="H1525" t="str">
        <f t="shared" si="117"/>
        <v/>
      </c>
      <c r="I1525" t="str">
        <f t="shared" si="118"/>
        <v/>
      </c>
      <c r="J1525" t="str">
        <f t="shared" si="119"/>
        <v/>
      </c>
      <c r="K1525" t="str">
        <f>IF($A1525="","",IF(COUNTIF($B$2:$B1525,$B1525)=COUNTIF($B$2:$B$1601,$B1525),$B1525,""))</f>
        <v/>
      </c>
    </row>
    <row r="1526" spans="1:11">
      <c r="A1526" t="str">
        <f>IF('TMP Paste'!$E1526="","",'TMP Paste'!$E1526)</f>
        <v/>
      </c>
      <c r="B1526" t="str">
        <f>IF($A1526="","",COUNTIF('TMP Paste'!$B$2:$B1526,"?*"))</f>
        <v/>
      </c>
      <c r="C1526" t="str">
        <f>IF($A1526="","",IFERROR('TMP Paste'!$M1526*1,0))</f>
        <v/>
      </c>
      <c r="D1526" t="str">
        <f>IF($A1526="","",SUMIF($B$2:$B1526,$B1526,$C$2:$C1526))</f>
        <v/>
      </c>
      <c r="E1526">
        <f>IF($A1526="",0,IF('TMP Paste'!$B1526="",0,1))</f>
        <v>0</v>
      </c>
      <c r="F1526" t="str">
        <f t="shared" si="115"/>
        <v/>
      </c>
      <c r="G1526" t="str">
        <f t="shared" si="116"/>
        <v/>
      </c>
      <c r="H1526" t="str">
        <f t="shared" si="117"/>
        <v/>
      </c>
      <c r="I1526" t="str">
        <f t="shared" si="118"/>
        <v/>
      </c>
      <c r="J1526" t="str">
        <f t="shared" si="119"/>
        <v/>
      </c>
      <c r="K1526" t="str">
        <f>IF($A1526="","",IF(COUNTIF($B$2:$B1526,$B1526)=COUNTIF($B$2:$B$1601,$B1526),$B1526,""))</f>
        <v/>
      </c>
    </row>
    <row r="1527" spans="1:11">
      <c r="A1527" t="str">
        <f>IF('TMP Paste'!$E1527="","",'TMP Paste'!$E1527)</f>
        <v/>
      </c>
      <c r="B1527" t="str">
        <f>IF($A1527="","",COUNTIF('TMP Paste'!$B$2:$B1527,"?*"))</f>
        <v/>
      </c>
      <c r="C1527" t="str">
        <f>IF($A1527="","",IFERROR('TMP Paste'!$M1527*1,0))</f>
        <v/>
      </c>
      <c r="D1527" t="str">
        <f>IF($A1527="","",SUMIF($B$2:$B1527,$B1527,$C$2:$C1527))</f>
        <v/>
      </c>
      <c r="E1527">
        <f>IF($A1527="",0,IF('TMP Paste'!$B1527="",0,1))</f>
        <v>0</v>
      </c>
      <c r="F1527" t="str">
        <f t="shared" si="115"/>
        <v/>
      </c>
      <c r="G1527" t="str">
        <f t="shared" si="116"/>
        <v/>
      </c>
      <c r="H1527" t="str">
        <f t="shared" si="117"/>
        <v/>
      </c>
      <c r="I1527" t="str">
        <f t="shared" si="118"/>
        <v/>
      </c>
      <c r="J1527" t="str">
        <f t="shared" si="119"/>
        <v/>
      </c>
      <c r="K1527" t="str">
        <f>IF($A1527="","",IF(COUNTIF($B$2:$B1527,$B1527)=COUNTIF($B$2:$B$1601,$B1527),$B1527,""))</f>
        <v/>
      </c>
    </row>
    <row r="1528" spans="1:11">
      <c r="A1528" t="str">
        <f>IF('TMP Paste'!$E1528="","",'TMP Paste'!$E1528)</f>
        <v/>
      </c>
      <c r="B1528" t="str">
        <f>IF($A1528="","",COUNTIF('TMP Paste'!$B$2:$B1528,"?*"))</f>
        <v/>
      </c>
      <c r="C1528" t="str">
        <f>IF($A1528="","",IFERROR('TMP Paste'!$M1528*1,0))</f>
        <v/>
      </c>
      <c r="D1528" t="str">
        <f>IF($A1528="","",SUMIF($B$2:$B1528,$B1528,$C$2:$C1528))</f>
        <v/>
      </c>
      <c r="E1528">
        <f>IF($A1528="",0,IF('TMP Paste'!$B1528="",0,1))</f>
        <v>0</v>
      </c>
      <c r="F1528" t="str">
        <f t="shared" si="115"/>
        <v/>
      </c>
      <c r="G1528" t="str">
        <f t="shared" si="116"/>
        <v/>
      </c>
      <c r="H1528" t="str">
        <f t="shared" si="117"/>
        <v/>
      </c>
      <c r="I1528" t="str">
        <f t="shared" si="118"/>
        <v/>
      </c>
      <c r="J1528" t="str">
        <f t="shared" si="119"/>
        <v/>
      </c>
      <c r="K1528" t="str">
        <f>IF($A1528="","",IF(COUNTIF($B$2:$B1528,$B1528)=COUNTIF($B$2:$B$1601,$B1528),$B1528,""))</f>
        <v/>
      </c>
    </row>
    <row r="1529" spans="1:11">
      <c r="A1529" t="str">
        <f>IF('TMP Paste'!$E1529="","",'TMP Paste'!$E1529)</f>
        <v/>
      </c>
      <c r="B1529" t="str">
        <f>IF($A1529="","",COUNTIF('TMP Paste'!$B$2:$B1529,"?*"))</f>
        <v/>
      </c>
      <c r="C1529" t="str">
        <f>IF($A1529="","",IFERROR('TMP Paste'!$M1529*1,0))</f>
        <v/>
      </c>
      <c r="D1529" t="str">
        <f>IF($A1529="","",SUMIF($B$2:$B1529,$B1529,$C$2:$C1529))</f>
        <v/>
      </c>
      <c r="E1529">
        <f>IF($A1529="",0,IF('TMP Paste'!$B1529="",0,1))</f>
        <v>0</v>
      </c>
      <c r="F1529" t="str">
        <f t="shared" si="115"/>
        <v/>
      </c>
      <c r="G1529" t="str">
        <f t="shared" si="116"/>
        <v/>
      </c>
      <c r="H1529" t="str">
        <f t="shared" si="117"/>
        <v/>
      </c>
      <c r="I1529" t="str">
        <f t="shared" si="118"/>
        <v/>
      </c>
      <c r="J1529" t="str">
        <f t="shared" si="119"/>
        <v/>
      </c>
      <c r="K1529" t="str">
        <f>IF($A1529="","",IF(COUNTIF($B$2:$B1529,$B1529)=COUNTIF($B$2:$B$1601,$B1529),$B1529,""))</f>
        <v/>
      </c>
    </row>
    <row r="1530" spans="1:11">
      <c r="A1530" t="str">
        <f>IF('TMP Paste'!$E1530="","",'TMP Paste'!$E1530)</f>
        <v/>
      </c>
      <c r="B1530" t="str">
        <f>IF($A1530="","",COUNTIF('TMP Paste'!$B$2:$B1530,"?*"))</f>
        <v/>
      </c>
      <c r="C1530" t="str">
        <f>IF($A1530="","",IFERROR('TMP Paste'!$M1530*1,0))</f>
        <v/>
      </c>
      <c r="D1530" t="str">
        <f>IF($A1530="","",SUMIF($B$2:$B1530,$B1530,$C$2:$C1530))</f>
        <v/>
      </c>
      <c r="E1530">
        <f>IF($A1530="",0,IF('TMP Paste'!$B1530="",0,1))</f>
        <v>0</v>
      </c>
      <c r="F1530" t="str">
        <f t="shared" si="115"/>
        <v/>
      </c>
      <c r="G1530" t="str">
        <f t="shared" si="116"/>
        <v/>
      </c>
      <c r="H1530" t="str">
        <f t="shared" si="117"/>
        <v/>
      </c>
      <c r="I1530" t="str">
        <f t="shared" si="118"/>
        <v/>
      </c>
      <c r="J1530" t="str">
        <f t="shared" si="119"/>
        <v/>
      </c>
      <c r="K1530" t="str">
        <f>IF($A1530="","",IF(COUNTIF($B$2:$B1530,$B1530)=COUNTIF($B$2:$B$1601,$B1530),$B1530,""))</f>
        <v/>
      </c>
    </row>
    <row r="1531" spans="1:11">
      <c r="A1531" t="str">
        <f>IF('TMP Paste'!$E1531="","",'TMP Paste'!$E1531)</f>
        <v/>
      </c>
      <c r="B1531" t="str">
        <f>IF($A1531="","",COUNTIF('TMP Paste'!$B$2:$B1531,"?*"))</f>
        <v/>
      </c>
      <c r="C1531" t="str">
        <f>IF($A1531="","",IFERROR('TMP Paste'!$M1531*1,0))</f>
        <v/>
      </c>
      <c r="D1531" t="str">
        <f>IF($A1531="","",SUMIF($B$2:$B1531,$B1531,$C$2:$C1531))</f>
        <v/>
      </c>
      <c r="E1531">
        <f>IF($A1531="",0,IF('TMP Paste'!$B1531="",0,1))</f>
        <v>0</v>
      </c>
      <c r="F1531" t="str">
        <f t="shared" si="115"/>
        <v/>
      </c>
      <c r="G1531" t="str">
        <f t="shared" si="116"/>
        <v/>
      </c>
      <c r="H1531" t="str">
        <f t="shared" si="117"/>
        <v/>
      </c>
      <c r="I1531" t="str">
        <f t="shared" si="118"/>
        <v/>
      </c>
      <c r="J1531" t="str">
        <f t="shared" si="119"/>
        <v/>
      </c>
      <c r="K1531" t="str">
        <f>IF($A1531="","",IF(COUNTIF($B$2:$B1531,$B1531)=COUNTIF($B$2:$B$1601,$B1531),$B1531,""))</f>
        <v/>
      </c>
    </row>
    <row r="1532" spans="1:11">
      <c r="A1532" t="str">
        <f>IF('TMP Paste'!$E1532="","",'TMP Paste'!$E1532)</f>
        <v/>
      </c>
      <c r="B1532" t="str">
        <f>IF($A1532="","",COUNTIF('TMP Paste'!$B$2:$B1532,"?*"))</f>
        <v/>
      </c>
      <c r="C1532" t="str">
        <f>IF($A1532="","",IFERROR('TMP Paste'!$M1532*1,0))</f>
        <v/>
      </c>
      <c r="D1532" t="str">
        <f>IF($A1532="","",SUMIF($B$2:$B1532,$B1532,$C$2:$C1532))</f>
        <v/>
      </c>
      <c r="E1532">
        <f>IF($A1532="",0,IF('TMP Paste'!$B1532="",0,1))</f>
        <v>0</v>
      </c>
      <c r="F1532" t="str">
        <f t="shared" si="115"/>
        <v/>
      </c>
      <c r="G1532" t="str">
        <f t="shared" si="116"/>
        <v/>
      </c>
      <c r="H1532" t="str">
        <f t="shared" si="117"/>
        <v/>
      </c>
      <c r="I1532" t="str">
        <f t="shared" si="118"/>
        <v/>
      </c>
      <c r="J1532" t="str">
        <f t="shared" si="119"/>
        <v/>
      </c>
      <c r="K1532" t="str">
        <f>IF($A1532="","",IF(COUNTIF($B$2:$B1532,$B1532)=COUNTIF($B$2:$B$1601,$B1532),$B1532,""))</f>
        <v/>
      </c>
    </row>
    <row r="1533" spans="1:11">
      <c r="A1533" t="str">
        <f>IF('TMP Paste'!$E1533="","",'TMP Paste'!$E1533)</f>
        <v/>
      </c>
      <c r="B1533" t="str">
        <f>IF($A1533="","",COUNTIF('TMP Paste'!$B$2:$B1533,"?*"))</f>
        <v/>
      </c>
      <c r="C1533" t="str">
        <f>IF($A1533="","",IFERROR('TMP Paste'!$M1533*1,0))</f>
        <v/>
      </c>
      <c r="D1533" t="str">
        <f>IF($A1533="","",SUMIF($B$2:$B1533,$B1533,$C$2:$C1533))</f>
        <v/>
      </c>
      <c r="E1533">
        <f>IF($A1533="",0,IF('TMP Paste'!$B1533="",0,1))</f>
        <v>0</v>
      </c>
      <c r="F1533" t="str">
        <f t="shared" si="115"/>
        <v/>
      </c>
      <c r="G1533" t="str">
        <f t="shared" si="116"/>
        <v/>
      </c>
      <c r="H1533" t="str">
        <f t="shared" si="117"/>
        <v/>
      </c>
      <c r="I1533" t="str">
        <f t="shared" si="118"/>
        <v/>
      </c>
      <c r="J1533" t="str">
        <f t="shared" si="119"/>
        <v/>
      </c>
      <c r="K1533" t="str">
        <f>IF($A1533="","",IF(COUNTIF($B$2:$B1533,$B1533)=COUNTIF($B$2:$B$1601,$B1533),$B1533,""))</f>
        <v/>
      </c>
    </row>
    <row r="1534" spans="1:11">
      <c r="A1534" t="str">
        <f>IF('TMP Paste'!$E1534="","",'TMP Paste'!$E1534)</f>
        <v/>
      </c>
      <c r="B1534" t="str">
        <f>IF($A1534="","",COUNTIF('TMP Paste'!$B$2:$B1534,"?*"))</f>
        <v/>
      </c>
      <c r="C1534" t="str">
        <f>IF($A1534="","",IFERROR('TMP Paste'!$M1534*1,0))</f>
        <v/>
      </c>
      <c r="D1534" t="str">
        <f>IF($A1534="","",SUMIF($B$2:$B1534,$B1534,$C$2:$C1534))</f>
        <v/>
      </c>
      <c r="E1534">
        <f>IF($A1534="",0,IF('TMP Paste'!$B1534="",0,1))</f>
        <v>0</v>
      </c>
      <c r="F1534" t="str">
        <f t="shared" si="115"/>
        <v/>
      </c>
      <c r="G1534" t="str">
        <f t="shared" si="116"/>
        <v/>
      </c>
      <c r="H1534" t="str">
        <f t="shared" si="117"/>
        <v/>
      </c>
      <c r="I1534" t="str">
        <f t="shared" si="118"/>
        <v/>
      </c>
      <c r="J1534" t="str">
        <f t="shared" si="119"/>
        <v/>
      </c>
      <c r="K1534" t="str">
        <f>IF($A1534="","",IF(COUNTIF($B$2:$B1534,$B1534)=COUNTIF($B$2:$B$1601,$B1534),$B1534,""))</f>
        <v/>
      </c>
    </row>
    <row r="1535" spans="1:11">
      <c r="A1535" t="str">
        <f>IF('TMP Paste'!$E1535="","",'TMP Paste'!$E1535)</f>
        <v/>
      </c>
      <c r="B1535" t="str">
        <f>IF($A1535="","",COUNTIF('TMP Paste'!$B$2:$B1535,"?*"))</f>
        <v/>
      </c>
      <c r="C1535" t="str">
        <f>IF($A1535="","",IFERROR('TMP Paste'!$M1535*1,0))</f>
        <v/>
      </c>
      <c r="D1535" t="str">
        <f>IF($A1535="","",SUMIF($B$2:$B1535,$B1535,$C$2:$C1535))</f>
        <v/>
      </c>
      <c r="E1535">
        <f>IF($A1535="",0,IF('TMP Paste'!$B1535="",0,1))</f>
        <v>0</v>
      </c>
      <c r="F1535" t="str">
        <f t="shared" si="115"/>
        <v/>
      </c>
      <c r="G1535" t="str">
        <f t="shared" si="116"/>
        <v/>
      </c>
      <c r="H1535" t="str">
        <f t="shared" si="117"/>
        <v/>
      </c>
      <c r="I1535" t="str">
        <f t="shared" si="118"/>
        <v/>
      </c>
      <c r="J1535" t="str">
        <f t="shared" si="119"/>
        <v/>
      </c>
      <c r="K1535" t="str">
        <f>IF($A1535="","",IF(COUNTIF($B$2:$B1535,$B1535)=COUNTIF($B$2:$B$1601,$B1535),$B1535,""))</f>
        <v/>
      </c>
    </row>
    <row r="1536" spans="1:11">
      <c r="A1536" t="str">
        <f>IF('TMP Paste'!$E1536="","",'TMP Paste'!$E1536)</f>
        <v/>
      </c>
      <c r="B1536" t="str">
        <f>IF($A1536="","",COUNTIF('TMP Paste'!$B$2:$B1536,"?*"))</f>
        <v/>
      </c>
      <c r="C1536" t="str">
        <f>IF($A1536="","",IFERROR('TMP Paste'!$M1536*1,0))</f>
        <v/>
      </c>
      <c r="D1536" t="str">
        <f>IF($A1536="","",SUMIF($B$2:$B1536,$B1536,$C$2:$C1536))</f>
        <v/>
      </c>
      <c r="E1536">
        <f>IF($A1536="",0,IF('TMP Paste'!$B1536="",0,1))</f>
        <v>0</v>
      </c>
      <c r="F1536" t="str">
        <f t="shared" si="115"/>
        <v/>
      </c>
      <c r="G1536" t="str">
        <f t="shared" si="116"/>
        <v/>
      </c>
      <c r="H1536" t="str">
        <f t="shared" si="117"/>
        <v/>
      </c>
      <c r="I1536" t="str">
        <f t="shared" si="118"/>
        <v/>
      </c>
      <c r="J1536" t="str">
        <f t="shared" si="119"/>
        <v/>
      </c>
      <c r="K1536" t="str">
        <f>IF($A1536="","",IF(COUNTIF($B$2:$B1536,$B1536)=COUNTIF($B$2:$B$1601,$B1536),$B1536,""))</f>
        <v/>
      </c>
    </row>
    <row r="1537" spans="1:11">
      <c r="A1537" t="str">
        <f>IF('TMP Paste'!$E1537="","",'TMP Paste'!$E1537)</f>
        <v/>
      </c>
      <c r="B1537" t="str">
        <f>IF($A1537="","",COUNTIF('TMP Paste'!$B$2:$B1537,"?*"))</f>
        <v/>
      </c>
      <c r="C1537" t="str">
        <f>IF($A1537="","",IFERROR('TMP Paste'!$M1537*1,0))</f>
        <v/>
      </c>
      <c r="D1537" t="str">
        <f>IF($A1537="","",SUMIF($B$2:$B1537,$B1537,$C$2:$C1537))</f>
        <v/>
      </c>
      <c r="E1537">
        <f>IF($A1537="",0,IF('TMP Paste'!$B1537="",0,1))</f>
        <v>0</v>
      </c>
      <c r="F1537" t="str">
        <f t="shared" si="115"/>
        <v/>
      </c>
      <c r="G1537" t="str">
        <f t="shared" si="116"/>
        <v/>
      </c>
      <c r="H1537" t="str">
        <f t="shared" si="117"/>
        <v/>
      </c>
      <c r="I1537" t="str">
        <f t="shared" si="118"/>
        <v/>
      </c>
      <c r="J1537" t="str">
        <f t="shared" si="119"/>
        <v/>
      </c>
      <c r="K1537" t="str">
        <f>IF($A1537="","",IF(COUNTIF($B$2:$B1537,$B1537)=COUNTIF($B$2:$B$1601,$B1537),$B1537,""))</f>
        <v/>
      </c>
    </row>
    <row r="1538" spans="1:11">
      <c r="A1538" t="str">
        <f>IF('TMP Paste'!$E1538="","",'TMP Paste'!$E1538)</f>
        <v/>
      </c>
      <c r="B1538" t="str">
        <f>IF($A1538="","",COUNTIF('TMP Paste'!$B$2:$B1538,"?*"))</f>
        <v/>
      </c>
      <c r="C1538" t="str">
        <f>IF($A1538="","",IFERROR('TMP Paste'!$M1538*1,0))</f>
        <v/>
      </c>
      <c r="D1538" t="str">
        <f>IF($A1538="","",SUMIF($B$2:$B1538,$B1538,$C$2:$C1538))</f>
        <v/>
      </c>
      <c r="E1538">
        <f>IF($A1538="",0,IF('TMP Paste'!$B1538="",0,1))</f>
        <v>0</v>
      </c>
      <c r="F1538" t="str">
        <f t="shared" ref="F1538:F1601" si="120">IF(OR($A1538="",$C1538&lt;1),"",$A1538&amp;"-"&amp;TEXT(($D1538-$C1538+1),"00")&amp;IF($C1538&gt;=2,", "&amp;$A1538&amp;"-"&amp;TEXT(($D1538-$C1538+1)+1,"00"),"")&amp;IF($C1538&gt;=3,", "&amp;$A1538&amp;"-"&amp;TEXT(($D1538-$C1538+1)+2,"00"),"")&amp;IF($C1538&gt;=4,", "&amp;$A1538&amp;"-"&amp;TEXT(($D1538-$C1538+1)+3,"00"),"")&amp;IF($C1538&gt;=5,", "&amp;$A1538&amp;"-"&amp;TEXT(($D1538-$C1538+1)+4,"00"),"")&amp;IF($C1538&gt;=6,", "&amp;$A1538&amp;"-"&amp;TEXT(($D1538-$C1538+1)+5,"00"),"")&amp;IF($C1538&gt;=7,", "&amp;$A1538&amp;"-"&amp;TEXT(($D1538-$C1538+1)+6,"00"),"")&amp;IF($C1538&gt;=8,", "&amp;$A1538&amp;"-"&amp;TEXT(($D1538-$C1538+1)+7,"00"),"")&amp;IF($C1538&gt;=9,", "&amp;$A1538&amp;"-"&amp;TEXT(($D1538-$C1538+1)+8,"00"),"")&amp;IF($C1538&gt;=10,", "&amp;$A1538&amp;"-"&amp;TEXT(($D1538-$C1538+1)+9,"00"),"")&amp;IF($C1538&gt;=11,", "&amp;$A1538&amp;"-"&amp;TEXT(($D1538-$C1538+1)+10,"00"),"")&amp;IF($C1538&gt;=12,", "&amp;$A1538&amp;"-"&amp;TEXT(($D1538-$C1538+1)+11,"00"),"")&amp;IF($C1538&gt;=13,", "&amp;$A1538&amp;"-"&amp;TEXT(($D1538-$C1538+1)+12,"00"),"")&amp;IF($C1538&gt;=14,", "&amp;$A1538&amp;"-"&amp;TEXT(($D1538-$C1538+1)+13,"00"),"")&amp;IF($C1538&gt;=15,", "&amp;$A1538&amp;"-"&amp;TEXT(($D1538-$C1538+1)+14,"00"),"")&amp;IF($C1538&gt;=16,", "&amp;$A1538&amp;"-"&amp;TEXT(($D1538-$C1538+1)+15,"00"),"")&amp;IF($C1538&gt;=17,", "&amp;$A1538&amp;"-"&amp;TEXT(($D1538-$C1538+1)+16,"00"),"")&amp;IF($C1538&gt;=18,", "&amp;$A1538&amp;"-"&amp;TEXT(($D1538-$C1538+1)+17,"00"),"")&amp;IF($C1538&gt;=19,", "&amp;$A1538&amp;"-"&amp;TEXT(($D1538-$C1538+1)+18,"00"),"")&amp;IF($C1538&gt;=20,", "&amp;$A1538&amp;"-"&amp;TEXT(($D1538-$C1538+1)+19,"00"),"")&amp;IF($C1538&gt;=21,", "&amp;$A1538&amp;"-"&amp;TEXT(($D1538-$C1538+1)+20,"00"),"")&amp;IF($C1538&gt;=22,", "&amp;$A1538&amp;"-"&amp;TEXT(($D1538-$C1538+1)+21,"00"),"")&amp;IF($C1538&gt;=23,", "&amp;$A1538&amp;"-"&amp;TEXT(($D1538-$C1538+1)+22,"00"),"")&amp;IF($C1538&gt;=24,", "&amp;$A1538&amp;"-"&amp;TEXT(($D1538-$C1538+1)+23,"00"),"")&amp;IF($C1538&gt;=25,", "&amp;$A1538&amp;"-"&amp;TEXT(($D1538-$C1538+1)+24,"00"),""))</f>
        <v/>
      </c>
      <c r="G1538" t="str">
        <f t="shared" ref="G1538:G1601" si="121">IF($A1538="","",IF($E1538=1,$F1538,IF($F1538="",$G1537,IF($G1537="",$F1538,$G1537&amp;", "&amp;$F1538))))</f>
        <v/>
      </c>
      <c r="H1538" t="str">
        <f t="shared" ref="H1538:H1601" si="122">IF($A1538="","",$A1538&amp;" ("&amp;$C1538&amp;")")</f>
        <v/>
      </c>
      <c r="I1538" t="str">
        <f t="shared" ref="I1538:I1601" si="123">IF($A1538="","",IF($E1538=1,$H1538,$I1537&amp;", "&amp;$H1538))</f>
        <v/>
      </c>
      <c r="J1538" t="str">
        <f t="shared" ref="J1538:J1601" si="124">IF($A1538="","",IF($E1538=1,$B1538,""))</f>
        <v/>
      </c>
      <c r="K1538" t="str">
        <f>IF($A1538="","",IF(COUNTIF($B$2:$B1538,$B1538)=COUNTIF($B$2:$B$1601,$B1538),$B1538,""))</f>
        <v/>
      </c>
    </row>
    <row r="1539" spans="1:11">
      <c r="A1539" t="str">
        <f>IF('TMP Paste'!$E1539="","",'TMP Paste'!$E1539)</f>
        <v/>
      </c>
      <c r="B1539" t="str">
        <f>IF($A1539="","",COUNTIF('TMP Paste'!$B$2:$B1539,"?*"))</f>
        <v/>
      </c>
      <c r="C1539" t="str">
        <f>IF($A1539="","",IFERROR('TMP Paste'!$M1539*1,0))</f>
        <v/>
      </c>
      <c r="D1539" t="str">
        <f>IF($A1539="","",SUMIF($B$2:$B1539,$B1539,$C$2:$C1539))</f>
        <v/>
      </c>
      <c r="E1539">
        <f>IF($A1539="",0,IF('TMP Paste'!$B1539="",0,1))</f>
        <v>0</v>
      </c>
      <c r="F1539" t="str">
        <f t="shared" si="120"/>
        <v/>
      </c>
      <c r="G1539" t="str">
        <f t="shared" si="121"/>
        <v/>
      </c>
      <c r="H1539" t="str">
        <f t="shared" si="122"/>
        <v/>
      </c>
      <c r="I1539" t="str">
        <f t="shared" si="123"/>
        <v/>
      </c>
      <c r="J1539" t="str">
        <f t="shared" si="124"/>
        <v/>
      </c>
      <c r="K1539" t="str">
        <f>IF($A1539="","",IF(COUNTIF($B$2:$B1539,$B1539)=COUNTIF($B$2:$B$1601,$B1539),$B1539,""))</f>
        <v/>
      </c>
    </row>
    <row r="1540" spans="1:11">
      <c r="A1540" t="str">
        <f>IF('TMP Paste'!$E1540="","",'TMP Paste'!$E1540)</f>
        <v/>
      </c>
      <c r="B1540" t="str">
        <f>IF($A1540="","",COUNTIF('TMP Paste'!$B$2:$B1540,"?*"))</f>
        <v/>
      </c>
      <c r="C1540" t="str">
        <f>IF($A1540="","",IFERROR('TMP Paste'!$M1540*1,0))</f>
        <v/>
      </c>
      <c r="D1540" t="str">
        <f>IF($A1540="","",SUMIF($B$2:$B1540,$B1540,$C$2:$C1540))</f>
        <v/>
      </c>
      <c r="E1540">
        <f>IF($A1540="",0,IF('TMP Paste'!$B1540="",0,1))</f>
        <v>0</v>
      </c>
      <c r="F1540" t="str">
        <f t="shared" si="120"/>
        <v/>
      </c>
      <c r="G1540" t="str">
        <f t="shared" si="121"/>
        <v/>
      </c>
      <c r="H1540" t="str">
        <f t="shared" si="122"/>
        <v/>
      </c>
      <c r="I1540" t="str">
        <f t="shared" si="123"/>
        <v/>
      </c>
      <c r="J1540" t="str">
        <f t="shared" si="124"/>
        <v/>
      </c>
      <c r="K1540" t="str">
        <f>IF($A1540="","",IF(COUNTIF($B$2:$B1540,$B1540)=COUNTIF($B$2:$B$1601,$B1540),$B1540,""))</f>
        <v/>
      </c>
    </row>
    <row r="1541" spans="1:11">
      <c r="A1541" t="str">
        <f>IF('TMP Paste'!$E1541="","",'TMP Paste'!$E1541)</f>
        <v/>
      </c>
      <c r="B1541" t="str">
        <f>IF($A1541="","",COUNTIF('TMP Paste'!$B$2:$B1541,"?*"))</f>
        <v/>
      </c>
      <c r="C1541" t="str">
        <f>IF($A1541="","",IFERROR('TMP Paste'!$M1541*1,0))</f>
        <v/>
      </c>
      <c r="D1541" t="str">
        <f>IF($A1541="","",SUMIF($B$2:$B1541,$B1541,$C$2:$C1541))</f>
        <v/>
      </c>
      <c r="E1541">
        <f>IF($A1541="",0,IF('TMP Paste'!$B1541="",0,1))</f>
        <v>0</v>
      </c>
      <c r="F1541" t="str">
        <f t="shared" si="120"/>
        <v/>
      </c>
      <c r="G1541" t="str">
        <f t="shared" si="121"/>
        <v/>
      </c>
      <c r="H1541" t="str">
        <f t="shared" si="122"/>
        <v/>
      </c>
      <c r="I1541" t="str">
        <f t="shared" si="123"/>
        <v/>
      </c>
      <c r="J1541" t="str">
        <f t="shared" si="124"/>
        <v/>
      </c>
      <c r="K1541" t="str">
        <f>IF($A1541="","",IF(COUNTIF($B$2:$B1541,$B1541)=COUNTIF($B$2:$B$1601,$B1541),$B1541,""))</f>
        <v/>
      </c>
    </row>
    <row r="1542" spans="1:11">
      <c r="A1542" t="str">
        <f>IF('TMP Paste'!$E1542="","",'TMP Paste'!$E1542)</f>
        <v/>
      </c>
      <c r="B1542" t="str">
        <f>IF($A1542="","",COUNTIF('TMP Paste'!$B$2:$B1542,"?*"))</f>
        <v/>
      </c>
      <c r="C1542" t="str">
        <f>IF($A1542="","",IFERROR('TMP Paste'!$M1542*1,0))</f>
        <v/>
      </c>
      <c r="D1542" t="str">
        <f>IF($A1542="","",SUMIF($B$2:$B1542,$B1542,$C$2:$C1542))</f>
        <v/>
      </c>
      <c r="E1542">
        <f>IF($A1542="",0,IF('TMP Paste'!$B1542="",0,1))</f>
        <v>0</v>
      </c>
      <c r="F1542" t="str">
        <f t="shared" si="120"/>
        <v/>
      </c>
      <c r="G1542" t="str">
        <f t="shared" si="121"/>
        <v/>
      </c>
      <c r="H1542" t="str">
        <f t="shared" si="122"/>
        <v/>
      </c>
      <c r="I1542" t="str">
        <f t="shared" si="123"/>
        <v/>
      </c>
      <c r="J1542" t="str">
        <f t="shared" si="124"/>
        <v/>
      </c>
      <c r="K1542" t="str">
        <f>IF($A1542="","",IF(COUNTIF($B$2:$B1542,$B1542)=COUNTIF($B$2:$B$1601,$B1542),$B1542,""))</f>
        <v/>
      </c>
    </row>
    <row r="1543" spans="1:11">
      <c r="A1543" t="str">
        <f>IF('TMP Paste'!$E1543="","",'TMP Paste'!$E1543)</f>
        <v/>
      </c>
      <c r="B1543" t="str">
        <f>IF($A1543="","",COUNTIF('TMP Paste'!$B$2:$B1543,"?*"))</f>
        <v/>
      </c>
      <c r="C1543" t="str">
        <f>IF($A1543="","",IFERROR('TMP Paste'!$M1543*1,0))</f>
        <v/>
      </c>
      <c r="D1543" t="str">
        <f>IF($A1543="","",SUMIF($B$2:$B1543,$B1543,$C$2:$C1543))</f>
        <v/>
      </c>
      <c r="E1543">
        <f>IF($A1543="",0,IF('TMP Paste'!$B1543="",0,1))</f>
        <v>0</v>
      </c>
      <c r="F1543" t="str">
        <f t="shared" si="120"/>
        <v/>
      </c>
      <c r="G1543" t="str">
        <f t="shared" si="121"/>
        <v/>
      </c>
      <c r="H1543" t="str">
        <f t="shared" si="122"/>
        <v/>
      </c>
      <c r="I1543" t="str">
        <f t="shared" si="123"/>
        <v/>
      </c>
      <c r="J1543" t="str">
        <f t="shared" si="124"/>
        <v/>
      </c>
      <c r="K1543" t="str">
        <f>IF($A1543="","",IF(COUNTIF($B$2:$B1543,$B1543)=COUNTIF($B$2:$B$1601,$B1543),$B1543,""))</f>
        <v/>
      </c>
    </row>
    <row r="1544" spans="1:11">
      <c r="A1544" t="str">
        <f>IF('TMP Paste'!$E1544="","",'TMP Paste'!$E1544)</f>
        <v/>
      </c>
      <c r="B1544" t="str">
        <f>IF($A1544="","",COUNTIF('TMP Paste'!$B$2:$B1544,"?*"))</f>
        <v/>
      </c>
      <c r="C1544" t="str">
        <f>IF($A1544="","",IFERROR('TMP Paste'!$M1544*1,0))</f>
        <v/>
      </c>
      <c r="D1544" t="str">
        <f>IF($A1544="","",SUMIF($B$2:$B1544,$B1544,$C$2:$C1544))</f>
        <v/>
      </c>
      <c r="E1544">
        <f>IF($A1544="",0,IF('TMP Paste'!$B1544="",0,1))</f>
        <v>0</v>
      </c>
      <c r="F1544" t="str">
        <f t="shared" si="120"/>
        <v/>
      </c>
      <c r="G1544" t="str">
        <f t="shared" si="121"/>
        <v/>
      </c>
      <c r="H1544" t="str">
        <f t="shared" si="122"/>
        <v/>
      </c>
      <c r="I1544" t="str">
        <f t="shared" si="123"/>
        <v/>
      </c>
      <c r="J1544" t="str">
        <f t="shared" si="124"/>
        <v/>
      </c>
      <c r="K1544" t="str">
        <f>IF($A1544="","",IF(COUNTIF($B$2:$B1544,$B1544)=COUNTIF($B$2:$B$1601,$B1544),$B1544,""))</f>
        <v/>
      </c>
    </row>
    <row r="1545" spans="1:11">
      <c r="A1545" t="str">
        <f>IF('TMP Paste'!$E1545="","",'TMP Paste'!$E1545)</f>
        <v/>
      </c>
      <c r="B1545" t="str">
        <f>IF($A1545="","",COUNTIF('TMP Paste'!$B$2:$B1545,"?*"))</f>
        <v/>
      </c>
      <c r="C1545" t="str">
        <f>IF($A1545="","",IFERROR('TMP Paste'!$M1545*1,0))</f>
        <v/>
      </c>
      <c r="D1545" t="str">
        <f>IF($A1545="","",SUMIF($B$2:$B1545,$B1545,$C$2:$C1545))</f>
        <v/>
      </c>
      <c r="E1545">
        <f>IF($A1545="",0,IF('TMP Paste'!$B1545="",0,1))</f>
        <v>0</v>
      </c>
      <c r="F1545" t="str">
        <f t="shared" si="120"/>
        <v/>
      </c>
      <c r="G1545" t="str">
        <f t="shared" si="121"/>
        <v/>
      </c>
      <c r="H1545" t="str">
        <f t="shared" si="122"/>
        <v/>
      </c>
      <c r="I1545" t="str">
        <f t="shared" si="123"/>
        <v/>
      </c>
      <c r="J1545" t="str">
        <f t="shared" si="124"/>
        <v/>
      </c>
      <c r="K1545" t="str">
        <f>IF($A1545="","",IF(COUNTIF($B$2:$B1545,$B1545)=COUNTIF($B$2:$B$1601,$B1545),$B1545,""))</f>
        <v/>
      </c>
    </row>
    <row r="1546" spans="1:11">
      <c r="A1546" t="str">
        <f>IF('TMP Paste'!$E1546="","",'TMP Paste'!$E1546)</f>
        <v/>
      </c>
      <c r="B1546" t="str">
        <f>IF($A1546="","",COUNTIF('TMP Paste'!$B$2:$B1546,"?*"))</f>
        <v/>
      </c>
      <c r="C1546" t="str">
        <f>IF($A1546="","",IFERROR('TMP Paste'!$M1546*1,0))</f>
        <v/>
      </c>
      <c r="D1546" t="str">
        <f>IF($A1546="","",SUMIF($B$2:$B1546,$B1546,$C$2:$C1546))</f>
        <v/>
      </c>
      <c r="E1546">
        <f>IF($A1546="",0,IF('TMP Paste'!$B1546="",0,1))</f>
        <v>0</v>
      </c>
      <c r="F1546" t="str">
        <f t="shared" si="120"/>
        <v/>
      </c>
      <c r="G1546" t="str">
        <f t="shared" si="121"/>
        <v/>
      </c>
      <c r="H1546" t="str">
        <f t="shared" si="122"/>
        <v/>
      </c>
      <c r="I1546" t="str">
        <f t="shared" si="123"/>
        <v/>
      </c>
      <c r="J1546" t="str">
        <f t="shared" si="124"/>
        <v/>
      </c>
      <c r="K1546" t="str">
        <f>IF($A1546="","",IF(COUNTIF($B$2:$B1546,$B1546)=COUNTIF($B$2:$B$1601,$B1546),$B1546,""))</f>
        <v/>
      </c>
    </row>
    <row r="1547" spans="1:11">
      <c r="A1547" t="str">
        <f>IF('TMP Paste'!$E1547="","",'TMP Paste'!$E1547)</f>
        <v/>
      </c>
      <c r="B1547" t="str">
        <f>IF($A1547="","",COUNTIF('TMP Paste'!$B$2:$B1547,"?*"))</f>
        <v/>
      </c>
      <c r="C1547" t="str">
        <f>IF($A1547="","",IFERROR('TMP Paste'!$M1547*1,0))</f>
        <v/>
      </c>
      <c r="D1547" t="str">
        <f>IF($A1547="","",SUMIF($B$2:$B1547,$B1547,$C$2:$C1547))</f>
        <v/>
      </c>
      <c r="E1547">
        <f>IF($A1547="",0,IF('TMP Paste'!$B1547="",0,1))</f>
        <v>0</v>
      </c>
      <c r="F1547" t="str">
        <f t="shared" si="120"/>
        <v/>
      </c>
      <c r="G1547" t="str">
        <f t="shared" si="121"/>
        <v/>
      </c>
      <c r="H1547" t="str">
        <f t="shared" si="122"/>
        <v/>
      </c>
      <c r="I1547" t="str">
        <f t="shared" si="123"/>
        <v/>
      </c>
      <c r="J1547" t="str">
        <f t="shared" si="124"/>
        <v/>
      </c>
      <c r="K1547" t="str">
        <f>IF($A1547="","",IF(COUNTIF($B$2:$B1547,$B1547)=COUNTIF($B$2:$B$1601,$B1547),$B1547,""))</f>
        <v/>
      </c>
    </row>
    <row r="1548" spans="1:11">
      <c r="A1548" t="str">
        <f>IF('TMP Paste'!$E1548="","",'TMP Paste'!$E1548)</f>
        <v/>
      </c>
      <c r="B1548" t="str">
        <f>IF($A1548="","",COUNTIF('TMP Paste'!$B$2:$B1548,"?*"))</f>
        <v/>
      </c>
      <c r="C1548" t="str">
        <f>IF($A1548="","",IFERROR('TMP Paste'!$M1548*1,0))</f>
        <v/>
      </c>
      <c r="D1548" t="str">
        <f>IF($A1548="","",SUMIF($B$2:$B1548,$B1548,$C$2:$C1548))</f>
        <v/>
      </c>
      <c r="E1548">
        <f>IF($A1548="",0,IF('TMP Paste'!$B1548="",0,1))</f>
        <v>0</v>
      </c>
      <c r="F1548" t="str">
        <f t="shared" si="120"/>
        <v/>
      </c>
      <c r="G1548" t="str">
        <f t="shared" si="121"/>
        <v/>
      </c>
      <c r="H1548" t="str">
        <f t="shared" si="122"/>
        <v/>
      </c>
      <c r="I1548" t="str">
        <f t="shared" si="123"/>
        <v/>
      </c>
      <c r="J1548" t="str">
        <f t="shared" si="124"/>
        <v/>
      </c>
      <c r="K1548" t="str">
        <f>IF($A1548="","",IF(COUNTIF($B$2:$B1548,$B1548)=COUNTIF($B$2:$B$1601,$B1548),$B1548,""))</f>
        <v/>
      </c>
    </row>
    <row r="1549" spans="1:11">
      <c r="A1549" t="str">
        <f>IF('TMP Paste'!$E1549="","",'TMP Paste'!$E1549)</f>
        <v/>
      </c>
      <c r="B1549" t="str">
        <f>IF($A1549="","",COUNTIF('TMP Paste'!$B$2:$B1549,"?*"))</f>
        <v/>
      </c>
      <c r="C1549" t="str">
        <f>IF($A1549="","",IFERROR('TMP Paste'!$M1549*1,0))</f>
        <v/>
      </c>
      <c r="D1549" t="str">
        <f>IF($A1549="","",SUMIF($B$2:$B1549,$B1549,$C$2:$C1549))</f>
        <v/>
      </c>
      <c r="E1549">
        <f>IF($A1549="",0,IF('TMP Paste'!$B1549="",0,1))</f>
        <v>0</v>
      </c>
      <c r="F1549" t="str">
        <f t="shared" si="120"/>
        <v/>
      </c>
      <c r="G1549" t="str">
        <f t="shared" si="121"/>
        <v/>
      </c>
      <c r="H1549" t="str">
        <f t="shared" si="122"/>
        <v/>
      </c>
      <c r="I1549" t="str">
        <f t="shared" si="123"/>
        <v/>
      </c>
      <c r="J1549" t="str">
        <f t="shared" si="124"/>
        <v/>
      </c>
      <c r="K1549" t="str">
        <f>IF($A1549="","",IF(COUNTIF($B$2:$B1549,$B1549)=COUNTIF($B$2:$B$1601,$B1549),$B1549,""))</f>
        <v/>
      </c>
    </row>
    <row r="1550" spans="1:11">
      <c r="A1550" t="str">
        <f>IF('TMP Paste'!$E1550="","",'TMP Paste'!$E1550)</f>
        <v/>
      </c>
      <c r="B1550" t="str">
        <f>IF($A1550="","",COUNTIF('TMP Paste'!$B$2:$B1550,"?*"))</f>
        <v/>
      </c>
      <c r="C1550" t="str">
        <f>IF($A1550="","",IFERROR('TMP Paste'!$M1550*1,0))</f>
        <v/>
      </c>
      <c r="D1550" t="str">
        <f>IF($A1550="","",SUMIF($B$2:$B1550,$B1550,$C$2:$C1550))</f>
        <v/>
      </c>
      <c r="E1550">
        <f>IF($A1550="",0,IF('TMP Paste'!$B1550="",0,1))</f>
        <v>0</v>
      </c>
      <c r="F1550" t="str">
        <f t="shared" si="120"/>
        <v/>
      </c>
      <c r="G1550" t="str">
        <f t="shared" si="121"/>
        <v/>
      </c>
      <c r="H1550" t="str">
        <f t="shared" si="122"/>
        <v/>
      </c>
      <c r="I1550" t="str">
        <f t="shared" si="123"/>
        <v/>
      </c>
      <c r="J1550" t="str">
        <f t="shared" si="124"/>
        <v/>
      </c>
      <c r="K1550" t="str">
        <f>IF($A1550="","",IF(COUNTIF($B$2:$B1550,$B1550)=COUNTIF($B$2:$B$1601,$B1550),$B1550,""))</f>
        <v/>
      </c>
    </row>
    <row r="1551" spans="1:11">
      <c r="A1551" t="str">
        <f>IF('TMP Paste'!$E1551="","",'TMP Paste'!$E1551)</f>
        <v/>
      </c>
      <c r="B1551" t="str">
        <f>IF($A1551="","",COUNTIF('TMP Paste'!$B$2:$B1551,"?*"))</f>
        <v/>
      </c>
      <c r="C1551" t="str">
        <f>IF($A1551="","",IFERROR('TMP Paste'!$M1551*1,0))</f>
        <v/>
      </c>
      <c r="D1551" t="str">
        <f>IF($A1551="","",SUMIF($B$2:$B1551,$B1551,$C$2:$C1551))</f>
        <v/>
      </c>
      <c r="E1551">
        <f>IF($A1551="",0,IF('TMP Paste'!$B1551="",0,1))</f>
        <v>0</v>
      </c>
      <c r="F1551" t="str">
        <f t="shared" si="120"/>
        <v/>
      </c>
      <c r="G1551" t="str">
        <f t="shared" si="121"/>
        <v/>
      </c>
      <c r="H1551" t="str">
        <f t="shared" si="122"/>
        <v/>
      </c>
      <c r="I1551" t="str">
        <f t="shared" si="123"/>
        <v/>
      </c>
      <c r="J1551" t="str">
        <f t="shared" si="124"/>
        <v/>
      </c>
      <c r="K1551" t="str">
        <f>IF($A1551="","",IF(COUNTIF($B$2:$B1551,$B1551)=COUNTIF($B$2:$B$1601,$B1551),$B1551,""))</f>
        <v/>
      </c>
    </row>
    <row r="1552" spans="1:11">
      <c r="A1552" t="str">
        <f>IF('TMP Paste'!$E1552="","",'TMP Paste'!$E1552)</f>
        <v/>
      </c>
      <c r="B1552" t="str">
        <f>IF($A1552="","",COUNTIF('TMP Paste'!$B$2:$B1552,"?*"))</f>
        <v/>
      </c>
      <c r="C1552" t="str">
        <f>IF($A1552="","",IFERROR('TMP Paste'!$M1552*1,0))</f>
        <v/>
      </c>
      <c r="D1552" t="str">
        <f>IF($A1552="","",SUMIF($B$2:$B1552,$B1552,$C$2:$C1552))</f>
        <v/>
      </c>
      <c r="E1552">
        <f>IF($A1552="",0,IF('TMP Paste'!$B1552="",0,1))</f>
        <v>0</v>
      </c>
      <c r="F1552" t="str">
        <f t="shared" si="120"/>
        <v/>
      </c>
      <c r="G1552" t="str">
        <f t="shared" si="121"/>
        <v/>
      </c>
      <c r="H1552" t="str">
        <f t="shared" si="122"/>
        <v/>
      </c>
      <c r="I1552" t="str">
        <f t="shared" si="123"/>
        <v/>
      </c>
      <c r="J1552" t="str">
        <f t="shared" si="124"/>
        <v/>
      </c>
      <c r="K1552" t="str">
        <f>IF($A1552="","",IF(COUNTIF($B$2:$B1552,$B1552)=COUNTIF($B$2:$B$1601,$B1552),$B1552,""))</f>
        <v/>
      </c>
    </row>
    <row r="1553" spans="1:11">
      <c r="A1553" t="str">
        <f>IF('TMP Paste'!$E1553="","",'TMP Paste'!$E1553)</f>
        <v/>
      </c>
      <c r="B1553" t="str">
        <f>IF($A1553="","",COUNTIF('TMP Paste'!$B$2:$B1553,"?*"))</f>
        <v/>
      </c>
      <c r="C1553" t="str">
        <f>IF($A1553="","",IFERROR('TMP Paste'!$M1553*1,0))</f>
        <v/>
      </c>
      <c r="D1553" t="str">
        <f>IF($A1553="","",SUMIF($B$2:$B1553,$B1553,$C$2:$C1553))</f>
        <v/>
      </c>
      <c r="E1553">
        <f>IF($A1553="",0,IF('TMP Paste'!$B1553="",0,1))</f>
        <v>0</v>
      </c>
      <c r="F1553" t="str">
        <f t="shared" si="120"/>
        <v/>
      </c>
      <c r="G1553" t="str">
        <f t="shared" si="121"/>
        <v/>
      </c>
      <c r="H1553" t="str">
        <f t="shared" si="122"/>
        <v/>
      </c>
      <c r="I1553" t="str">
        <f t="shared" si="123"/>
        <v/>
      </c>
      <c r="J1553" t="str">
        <f t="shared" si="124"/>
        <v/>
      </c>
      <c r="K1553" t="str">
        <f>IF($A1553="","",IF(COUNTIF($B$2:$B1553,$B1553)=COUNTIF($B$2:$B$1601,$B1553),$B1553,""))</f>
        <v/>
      </c>
    </row>
    <row r="1554" spans="1:11">
      <c r="A1554" t="str">
        <f>IF('TMP Paste'!$E1554="","",'TMP Paste'!$E1554)</f>
        <v/>
      </c>
      <c r="B1554" t="str">
        <f>IF($A1554="","",COUNTIF('TMP Paste'!$B$2:$B1554,"?*"))</f>
        <v/>
      </c>
      <c r="C1554" t="str">
        <f>IF($A1554="","",IFERROR('TMP Paste'!$M1554*1,0))</f>
        <v/>
      </c>
      <c r="D1554" t="str">
        <f>IF($A1554="","",SUMIF($B$2:$B1554,$B1554,$C$2:$C1554))</f>
        <v/>
      </c>
      <c r="E1554">
        <f>IF($A1554="",0,IF('TMP Paste'!$B1554="",0,1))</f>
        <v>0</v>
      </c>
      <c r="F1554" t="str">
        <f t="shared" si="120"/>
        <v/>
      </c>
      <c r="G1554" t="str">
        <f t="shared" si="121"/>
        <v/>
      </c>
      <c r="H1554" t="str">
        <f t="shared" si="122"/>
        <v/>
      </c>
      <c r="I1554" t="str">
        <f t="shared" si="123"/>
        <v/>
      </c>
      <c r="J1554" t="str">
        <f t="shared" si="124"/>
        <v/>
      </c>
      <c r="K1554" t="str">
        <f>IF($A1554="","",IF(COUNTIF($B$2:$B1554,$B1554)=COUNTIF($B$2:$B$1601,$B1554),$B1554,""))</f>
        <v/>
      </c>
    </row>
    <row r="1555" spans="1:11">
      <c r="A1555" t="str">
        <f>IF('TMP Paste'!$E1555="","",'TMP Paste'!$E1555)</f>
        <v/>
      </c>
      <c r="B1555" t="str">
        <f>IF($A1555="","",COUNTIF('TMP Paste'!$B$2:$B1555,"?*"))</f>
        <v/>
      </c>
      <c r="C1555" t="str">
        <f>IF($A1555="","",IFERROR('TMP Paste'!$M1555*1,0))</f>
        <v/>
      </c>
      <c r="D1555" t="str">
        <f>IF($A1555="","",SUMIF($B$2:$B1555,$B1555,$C$2:$C1555))</f>
        <v/>
      </c>
      <c r="E1555">
        <f>IF($A1555="",0,IF('TMP Paste'!$B1555="",0,1))</f>
        <v>0</v>
      </c>
      <c r="F1555" t="str">
        <f t="shared" si="120"/>
        <v/>
      </c>
      <c r="G1555" t="str">
        <f t="shared" si="121"/>
        <v/>
      </c>
      <c r="H1555" t="str">
        <f t="shared" si="122"/>
        <v/>
      </c>
      <c r="I1555" t="str">
        <f t="shared" si="123"/>
        <v/>
      </c>
      <c r="J1555" t="str">
        <f t="shared" si="124"/>
        <v/>
      </c>
      <c r="K1555" t="str">
        <f>IF($A1555="","",IF(COUNTIF($B$2:$B1555,$B1555)=COUNTIF($B$2:$B$1601,$B1555),$B1555,""))</f>
        <v/>
      </c>
    </row>
    <row r="1556" spans="1:11">
      <c r="A1556" t="str">
        <f>IF('TMP Paste'!$E1556="","",'TMP Paste'!$E1556)</f>
        <v/>
      </c>
      <c r="B1556" t="str">
        <f>IF($A1556="","",COUNTIF('TMP Paste'!$B$2:$B1556,"?*"))</f>
        <v/>
      </c>
      <c r="C1556" t="str">
        <f>IF($A1556="","",IFERROR('TMP Paste'!$M1556*1,0))</f>
        <v/>
      </c>
      <c r="D1556" t="str">
        <f>IF($A1556="","",SUMIF($B$2:$B1556,$B1556,$C$2:$C1556))</f>
        <v/>
      </c>
      <c r="E1556">
        <f>IF($A1556="",0,IF('TMP Paste'!$B1556="",0,1))</f>
        <v>0</v>
      </c>
      <c r="F1556" t="str">
        <f t="shared" si="120"/>
        <v/>
      </c>
      <c r="G1556" t="str">
        <f t="shared" si="121"/>
        <v/>
      </c>
      <c r="H1556" t="str">
        <f t="shared" si="122"/>
        <v/>
      </c>
      <c r="I1556" t="str">
        <f t="shared" si="123"/>
        <v/>
      </c>
      <c r="J1556" t="str">
        <f t="shared" si="124"/>
        <v/>
      </c>
      <c r="K1556" t="str">
        <f>IF($A1556="","",IF(COUNTIF($B$2:$B1556,$B1556)=COUNTIF($B$2:$B$1601,$B1556),$B1556,""))</f>
        <v/>
      </c>
    </row>
    <row r="1557" spans="1:11">
      <c r="A1557" t="str">
        <f>IF('TMP Paste'!$E1557="","",'TMP Paste'!$E1557)</f>
        <v/>
      </c>
      <c r="B1557" t="str">
        <f>IF($A1557="","",COUNTIF('TMP Paste'!$B$2:$B1557,"?*"))</f>
        <v/>
      </c>
      <c r="C1557" t="str">
        <f>IF($A1557="","",IFERROR('TMP Paste'!$M1557*1,0))</f>
        <v/>
      </c>
      <c r="D1557" t="str">
        <f>IF($A1557="","",SUMIF($B$2:$B1557,$B1557,$C$2:$C1557))</f>
        <v/>
      </c>
      <c r="E1557">
        <f>IF($A1557="",0,IF('TMP Paste'!$B1557="",0,1))</f>
        <v>0</v>
      </c>
      <c r="F1557" t="str">
        <f t="shared" si="120"/>
        <v/>
      </c>
      <c r="G1557" t="str">
        <f t="shared" si="121"/>
        <v/>
      </c>
      <c r="H1557" t="str">
        <f t="shared" si="122"/>
        <v/>
      </c>
      <c r="I1557" t="str">
        <f t="shared" si="123"/>
        <v/>
      </c>
      <c r="J1557" t="str">
        <f t="shared" si="124"/>
        <v/>
      </c>
      <c r="K1557" t="str">
        <f>IF($A1557="","",IF(COUNTIF($B$2:$B1557,$B1557)=COUNTIF($B$2:$B$1601,$B1557),$B1557,""))</f>
        <v/>
      </c>
    </row>
    <row r="1558" spans="1:11">
      <c r="A1558" t="str">
        <f>IF('TMP Paste'!$E1558="","",'TMP Paste'!$E1558)</f>
        <v/>
      </c>
      <c r="B1558" t="str">
        <f>IF($A1558="","",COUNTIF('TMP Paste'!$B$2:$B1558,"?*"))</f>
        <v/>
      </c>
      <c r="C1558" t="str">
        <f>IF($A1558="","",IFERROR('TMP Paste'!$M1558*1,0))</f>
        <v/>
      </c>
      <c r="D1558" t="str">
        <f>IF($A1558="","",SUMIF($B$2:$B1558,$B1558,$C$2:$C1558))</f>
        <v/>
      </c>
      <c r="E1558">
        <f>IF($A1558="",0,IF('TMP Paste'!$B1558="",0,1))</f>
        <v>0</v>
      </c>
      <c r="F1558" t="str">
        <f t="shared" si="120"/>
        <v/>
      </c>
      <c r="G1558" t="str">
        <f t="shared" si="121"/>
        <v/>
      </c>
      <c r="H1558" t="str">
        <f t="shared" si="122"/>
        <v/>
      </c>
      <c r="I1558" t="str">
        <f t="shared" si="123"/>
        <v/>
      </c>
      <c r="J1558" t="str">
        <f t="shared" si="124"/>
        <v/>
      </c>
      <c r="K1558" t="str">
        <f>IF($A1558="","",IF(COUNTIF($B$2:$B1558,$B1558)=COUNTIF($B$2:$B$1601,$B1558),$B1558,""))</f>
        <v/>
      </c>
    </row>
    <row r="1559" spans="1:11">
      <c r="A1559" t="str">
        <f>IF('TMP Paste'!$E1559="","",'TMP Paste'!$E1559)</f>
        <v/>
      </c>
      <c r="B1559" t="str">
        <f>IF($A1559="","",COUNTIF('TMP Paste'!$B$2:$B1559,"?*"))</f>
        <v/>
      </c>
      <c r="C1559" t="str">
        <f>IF($A1559="","",IFERROR('TMP Paste'!$M1559*1,0))</f>
        <v/>
      </c>
      <c r="D1559" t="str">
        <f>IF($A1559="","",SUMIF($B$2:$B1559,$B1559,$C$2:$C1559))</f>
        <v/>
      </c>
      <c r="E1559">
        <f>IF($A1559="",0,IF('TMP Paste'!$B1559="",0,1))</f>
        <v>0</v>
      </c>
      <c r="F1559" t="str">
        <f t="shared" si="120"/>
        <v/>
      </c>
      <c r="G1559" t="str">
        <f t="shared" si="121"/>
        <v/>
      </c>
      <c r="H1559" t="str">
        <f t="shared" si="122"/>
        <v/>
      </c>
      <c r="I1559" t="str">
        <f t="shared" si="123"/>
        <v/>
      </c>
      <c r="J1559" t="str">
        <f t="shared" si="124"/>
        <v/>
      </c>
      <c r="K1559" t="str">
        <f>IF($A1559="","",IF(COUNTIF($B$2:$B1559,$B1559)=COUNTIF($B$2:$B$1601,$B1559),$B1559,""))</f>
        <v/>
      </c>
    </row>
    <row r="1560" spans="1:11">
      <c r="A1560" t="str">
        <f>IF('TMP Paste'!$E1560="","",'TMP Paste'!$E1560)</f>
        <v/>
      </c>
      <c r="B1560" t="str">
        <f>IF($A1560="","",COUNTIF('TMP Paste'!$B$2:$B1560,"?*"))</f>
        <v/>
      </c>
      <c r="C1560" t="str">
        <f>IF($A1560="","",IFERROR('TMP Paste'!$M1560*1,0))</f>
        <v/>
      </c>
      <c r="D1560" t="str">
        <f>IF($A1560="","",SUMIF($B$2:$B1560,$B1560,$C$2:$C1560))</f>
        <v/>
      </c>
      <c r="E1560">
        <f>IF($A1560="",0,IF('TMP Paste'!$B1560="",0,1))</f>
        <v>0</v>
      </c>
      <c r="F1560" t="str">
        <f t="shared" si="120"/>
        <v/>
      </c>
      <c r="G1560" t="str">
        <f t="shared" si="121"/>
        <v/>
      </c>
      <c r="H1560" t="str">
        <f t="shared" si="122"/>
        <v/>
      </c>
      <c r="I1560" t="str">
        <f t="shared" si="123"/>
        <v/>
      </c>
      <c r="J1560" t="str">
        <f t="shared" si="124"/>
        <v/>
      </c>
      <c r="K1560" t="str">
        <f>IF($A1560="","",IF(COUNTIF($B$2:$B1560,$B1560)=COUNTIF($B$2:$B$1601,$B1560),$B1560,""))</f>
        <v/>
      </c>
    </row>
    <row r="1561" spans="1:11">
      <c r="A1561" t="str">
        <f>IF('TMP Paste'!$E1561="","",'TMP Paste'!$E1561)</f>
        <v/>
      </c>
      <c r="B1561" t="str">
        <f>IF($A1561="","",COUNTIF('TMP Paste'!$B$2:$B1561,"?*"))</f>
        <v/>
      </c>
      <c r="C1561" t="str">
        <f>IF($A1561="","",IFERROR('TMP Paste'!$M1561*1,0))</f>
        <v/>
      </c>
      <c r="D1561" t="str">
        <f>IF($A1561="","",SUMIF($B$2:$B1561,$B1561,$C$2:$C1561))</f>
        <v/>
      </c>
      <c r="E1561">
        <f>IF($A1561="",0,IF('TMP Paste'!$B1561="",0,1))</f>
        <v>0</v>
      </c>
      <c r="F1561" t="str">
        <f t="shared" si="120"/>
        <v/>
      </c>
      <c r="G1561" t="str">
        <f t="shared" si="121"/>
        <v/>
      </c>
      <c r="H1561" t="str">
        <f t="shared" si="122"/>
        <v/>
      </c>
      <c r="I1561" t="str">
        <f t="shared" si="123"/>
        <v/>
      </c>
      <c r="J1561" t="str">
        <f t="shared" si="124"/>
        <v/>
      </c>
      <c r="K1561" t="str">
        <f>IF($A1561="","",IF(COUNTIF($B$2:$B1561,$B1561)=COUNTIF($B$2:$B$1601,$B1561),$B1561,""))</f>
        <v/>
      </c>
    </row>
    <row r="1562" spans="1:11">
      <c r="A1562" t="str">
        <f>IF('TMP Paste'!$E1562="","",'TMP Paste'!$E1562)</f>
        <v/>
      </c>
      <c r="B1562" t="str">
        <f>IF($A1562="","",COUNTIF('TMP Paste'!$B$2:$B1562,"?*"))</f>
        <v/>
      </c>
      <c r="C1562" t="str">
        <f>IF($A1562="","",IFERROR('TMP Paste'!$M1562*1,0))</f>
        <v/>
      </c>
      <c r="D1562" t="str">
        <f>IF($A1562="","",SUMIF($B$2:$B1562,$B1562,$C$2:$C1562))</f>
        <v/>
      </c>
      <c r="E1562">
        <f>IF($A1562="",0,IF('TMP Paste'!$B1562="",0,1))</f>
        <v>0</v>
      </c>
      <c r="F1562" t="str">
        <f t="shared" si="120"/>
        <v/>
      </c>
      <c r="G1562" t="str">
        <f t="shared" si="121"/>
        <v/>
      </c>
      <c r="H1562" t="str">
        <f t="shared" si="122"/>
        <v/>
      </c>
      <c r="I1562" t="str">
        <f t="shared" si="123"/>
        <v/>
      </c>
      <c r="J1562" t="str">
        <f t="shared" si="124"/>
        <v/>
      </c>
      <c r="K1562" t="str">
        <f>IF($A1562="","",IF(COUNTIF($B$2:$B1562,$B1562)=COUNTIF($B$2:$B$1601,$B1562),$B1562,""))</f>
        <v/>
      </c>
    </row>
    <row r="1563" spans="1:11">
      <c r="A1563" t="str">
        <f>IF('TMP Paste'!$E1563="","",'TMP Paste'!$E1563)</f>
        <v/>
      </c>
      <c r="B1563" t="str">
        <f>IF($A1563="","",COUNTIF('TMP Paste'!$B$2:$B1563,"?*"))</f>
        <v/>
      </c>
      <c r="C1563" t="str">
        <f>IF($A1563="","",IFERROR('TMP Paste'!$M1563*1,0))</f>
        <v/>
      </c>
      <c r="D1563" t="str">
        <f>IF($A1563="","",SUMIF($B$2:$B1563,$B1563,$C$2:$C1563))</f>
        <v/>
      </c>
      <c r="E1563">
        <f>IF($A1563="",0,IF('TMP Paste'!$B1563="",0,1))</f>
        <v>0</v>
      </c>
      <c r="F1563" t="str">
        <f t="shared" si="120"/>
        <v/>
      </c>
      <c r="G1563" t="str">
        <f t="shared" si="121"/>
        <v/>
      </c>
      <c r="H1563" t="str">
        <f t="shared" si="122"/>
        <v/>
      </c>
      <c r="I1563" t="str">
        <f t="shared" si="123"/>
        <v/>
      </c>
      <c r="J1563" t="str">
        <f t="shared" si="124"/>
        <v/>
      </c>
      <c r="K1563" t="str">
        <f>IF($A1563="","",IF(COUNTIF($B$2:$B1563,$B1563)=COUNTIF($B$2:$B$1601,$B1563),$B1563,""))</f>
        <v/>
      </c>
    </row>
    <row r="1564" spans="1:11">
      <c r="A1564" t="str">
        <f>IF('TMP Paste'!$E1564="","",'TMP Paste'!$E1564)</f>
        <v/>
      </c>
      <c r="B1564" t="str">
        <f>IF($A1564="","",COUNTIF('TMP Paste'!$B$2:$B1564,"?*"))</f>
        <v/>
      </c>
      <c r="C1564" t="str">
        <f>IF($A1564="","",IFERROR('TMP Paste'!$M1564*1,0))</f>
        <v/>
      </c>
      <c r="D1564" t="str">
        <f>IF($A1564="","",SUMIF($B$2:$B1564,$B1564,$C$2:$C1564))</f>
        <v/>
      </c>
      <c r="E1564">
        <f>IF($A1564="",0,IF('TMP Paste'!$B1564="",0,1))</f>
        <v>0</v>
      </c>
      <c r="F1564" t="str">
        <f t="shared" si="120"/>
        <v/>
      </c>
      <c r="G1564" t="str">
        <f t="shared" si="121"/>
        <v/>
      </c>
      <c r="H1564" t="str">
        <f t="shared" si="122"/>
        <v/>
      </c>
      <c r="I1564" t="str">
        <f t="shared" si="123"/>
        <v/>
      </c>
      <c r="J1564" t="str">
        <f t="shared" si="124"/>
        <v/>
      </c>
      <c r="K1564" t="str">
        <f>IF($A1564="","",IF(COUNTIF($B$2:$B1564,$B1564)=COUNTIF($B$2:$B$1601,$B1564),$B1564,""))</f>
        <v/>
      </c>
    </row>
    <row r="1565" spans="1:11">
      <c r="A1565" t="str">
        <f>IF('TMP Paste'!$E1565="","",'TMP Paste'!$E1565)</f>
        <v/>
      </c>
      <c r="B1565" t="str">
        <f>IF($A1565="","",COUNTIF('TMP Paste'!$B$2:$B1565,"?*"))</f>
        <v/>
      </c>
      <c r="C1565" t="str">
        <f>IF($A1565="","",IFERROR('TMP Paste'!$M1565*1,0))</f>
        <v/>
      </c>
      <c r="D1565" t="str">
        <f>IF($A1565="","",SUMIF($B$2:$B1565,$B1565,$C$2:$C1565))</f>
        <v/>
      </c>
      <c r="E1565">
        <f>IF($A1565="",0,IF('TMP Paste'!$B1565="",0,1))</f>
        <v>0</v>
      </c>
      <c r="F1565" t="str">
        <f t="shared" si="120"/>
        <v/>
      </c>
      <c r="G1565" t="str">
        <f t="shared" si="121"/>
        <v/>
      </c>
      <c r="H1565" t="str">
        <f t="shared" si="122"/>
        <v/>
      </c>
      <c r="I1565" t="str">
        <f t="shared" si="123"/>
        <v/>
      </c>
      <c r="J1565" t="str">
        <f t="shared" si="124"/>
        <v/>
      </c>
      <c r="K1565" t="str">
        <f>IF($A1565="","",IF(COUNTIF($B$2:$B1565,$B1565)=COUNTIF($B$2:$B$1601,$B1565),$B1565,""))</f>
        <v/>
      </c>
    </row>
    <row r="1566" spans="1:11">
      <c r="A1566" t="str">
        <f>IF('TMP Paste'!$E1566="","",'TMP Paste'!$E1566)</f>
        <v/>
      </c>
      <c r="B1566" t="str">
        <f>IF($A1566="","",COUNTIF('TMP Paste'!$B$2:$B1566,"?*"))</f>
        <v/>
      </c>
      <c r="C1566" t="str">
        <f>IF($A1566="","",IFERROR('TMP Paste'!$M1566*1,0))</f>
        <v/>
      </c>
      <c r="D1566" t="str">
        <f>IF($A1566="","",SUMIF($B$2:$B1566,$B1566,$C$2:$C1566))</f>
        <v/>
      </c>
      <c r="E1566">
        <f>IF($A1566="",0,IF('TMP Paste'!$B1566="",0,1))</f>
        <v>0</v>
      </c>
      <c r="F1566" t="str">
        <f t="shared" si="120"/>
        <v/>
      </c>
      <c r="G1566" t="str">
        <f t="shared" si="121"/>
        <v/>
      </c>
      <c r="H1566" t="str">
        <f t="shared" si="122"/>
        <v/>
      </c>
      <c r="I1566" t="str">
        <f t="shared" si="123"/>
        <v/>
      </c>
      <c r="J1566" t="str">
        <f t="shared" si="124"/>
        <v/>
      </c>
      <c r="K1566" t="str">
        <f>IF($A1566="","",IF(COUNTIF($B$2:$B1566,$B1566)=COUNTIF($B$2:$B$1601,$B1566),$B1566,""))</f>
        <v/>
      </c>
    </row>
    <row r="1567" spans="1:11">
      <c r="A1567" t="str">
        <f>IF('TMP Paste'!$E1567="","",'TMP Paste'!$E1567)</f>
        <v/>
      </c>
      <c r="B1567" t="str">
        <f>IF($A1567="","",COUNTIF('TMP Paste'!$B$2:$B1567,"?*"))</f>
        <v/>
      </c>
      <c r="C1567" t="str">
        <f>IF($A1567="","",IFERROR('TMP Paste'!$M1567*1,0))</f>
        <v/>
      </c>
      <c r="D1567" t="str">
        <f>IF($A1567="","",SUMIF($B$2:$B1567,$B1567,$C$2:$C1567))</f>
        <v/>
      </c>
      <c r="E1567">
        <f>IF($A1567="",0,IF('TMP Paste'!$B1567="",0,1))</f>
        <v>0</v>
      </c>
      <c r="F1567" t="str">
        <f t="shared" si="120"/>
        <v/>
      </c>
      <c r="G1567" t="str">
        <f t="shared" si="121"/>
        <v/>
      </c>
      <c r="H1567" t="str">
        <f t="shared" si="122"/>
        <v/>
      </c>
      <c r="I1567" t="str">
        <f t="shared" si="123"/>
        <v/>
      </c>
      <c r="J1567" t="str">
        <f t="shared" si="124"/>
        <v/>
      </c>
      <c r="K1567" t="str">
        <f>IF($A1567="","",IF(COUNTIF($B$2:$B1567,$B1567)=COUNTIF($B$2:$B$1601,$B1567),$B1567,""))</f>
        <v/>
      </c>
    </row>
    <row r="1568" spans="1:11">
      <c r="A1568" t="str">
        <f>IF('TMP Paste'!$E1568="","",'TMP Paste'!$E1568)</f>
        <v/>
      </c>
      <c r="B1568" t="str">
        <f>IF($A1568="","",COUNTIF('TMP Paste'!$B$2:$B1568,"?*"))</f>
        <v/>
      </c>
      <c r="C1568" t="str">
        <f>IF($A1568="","",IFERROR('TMP Paste'!$M1568*1,0))</f>
        <v/>
      </c>
      <c r="D1568" t="str">
        <f>IF($A1568="","",SUMIF($B$2:$B1568,$B1568,$C$2:$C1568))</f>
        <v/>
      </c>
      <c r="E1568">
        <f>IF($A1568="",0,IF('TMP Paste'!$B1568="",0,1))</f>
        <v>0</v>
      </c>
      <c r="F1568" t="str">
        <f t="shared" si="120"/>
        <v/>
      </c>
      <c r="G1568" t="str">
        <f t="shared" si="121"/>
        <v/>
      </c>
      <c r="H1568" t="str">
        <f t="shared" si="122"/>
        <v/>
      </c>
      <c r="I1568" t="str">
        <f t="shared" si="123"/>
        <v/>
      </c>
      <c r="J1568" t="str">
        <f t="shared" si="124"/>
        <v/>
      </c>
      <c r="K1568" t="str">
        <f>IF($A1568="","",IF(COUNTIF($B$2:$B1568,$B1568)=COUNTIF($B$2:$B$1601,$B1568),$B1568,""))</f>
        <v/>
      </c>
    </row>
    <row r="1569" spans="1:11">
      <c r="A1569" t="str">
        <f>IF('TMP Paste'!$E1569="","",'TMP Paste'!$E1569)</f>
        <v/>
      </c>
      <c r="B1569" t="str">
        <f>IF($A1569="","",COUNTIF('TMP Paste'!$B$2:$B1569,"?*"))</f>
        <v/>
      </c>
      <c r="C1569" t="str">
        <f>IF($A1569="","",IFERROR('TMP Paste'!$M1569*1,0))</f>
        <v/>
      </c>
      <c r="D1569" t="str">
        <f>IF($A1569="","",SUMIF($B$2:$B1569,$B1569,$C$2:$C1569))</f>
        <v/>
      </c>
      <c r="E1569">
        <f>IF($A1569="",0,IF('TMP Paste'!$B1569="",0,1))</f>
        <v>0</v>
      </c>
      <c r="F1569" t="str">
        <f t="shared" si="120"/>
        <v/>
      </c>
      <c r="G1569" t="str">
        <f t="shared" si="121"/>
        <v/>
      </c>
      <c r="H1569" t="str">
        <f t="shared" si="122"/>
        <v/>
      </c>
      <c r="I1569" t="str">
        <f t="shared" si="123"/>
        <v/>
      </c>
      <c r="J1569" t="str">
        <f t="shared" si="124"/>
        <v/>
      </c>
      <c r="K1569" t="str">
        <f>IF($A1569="","",IF(COUNTIF($B$2:$B1569,$B1569)=COUNTIF($B$2:$B$1601,$B1569),$B1569,""))</f>
        <v/>
      </c>
    </row>
    <row r="1570" spans="1:11">
      <c r="A1570" t="str">
        <f>IF('TMP Paste'!$E1570="","",'TMP Paste'!$E1570)</f>
        <v/>
      </c>
      <c r="B1570" t="str">
        <f>IF($A1570="","",COUNTIF('TMP Paste'!$B$2:$B1570,"?*"))</f>
        <v/>
      </c>
      <c r="C1570" t="str">
        <f>IF($A1570="","",IFERROR('TMP Paste'!$M1570*1,0))</f>
        <v/>
      </c>
      <c r="D1570" t="str">
        <f>IF($A1570="","",SUMIF($B$2:$B1570,$B1570,$C$2:$C1570))</f>
        <v/>
      </c>
      <c r="E1570">
        <f>IF($A1570="",0,IF('TMP Paste'!$B1570="",0,1))</f>
        <v>0</v>
      </c>
      <c r="F1570" t="str">
        <f t="shared" si="120"/>
        <v/>
      </c>
      <c r="G1570" t="str">
        <f t="shared" si="121"/>
        <v/>
      </c>
      <c r="H1570" t="str">
        <f t="shared" si="122"/>
        <v/>
      </c>
      <c r="I1570" t="str">
        <f t="shared" si="123"/>
        <v/>
      </c>
      <c r="J1570" t="str">
        <f t="shared" si="124"/>
        <v/>
      </c>
      <c r="K1570" t="str">
        <f>IF($A1570="","",IF(COUNTIF($B$2:$B1570,$B1570)=COUNTIF($B$2:$B$1601,$B1570),$B1570,""))</f>
        <v/>
      </c>
    </row>
    <row r="1571" spans="1:11">
      <c r="A1571" t="str">
        <f>IF('TMP Paste'!$E1571="","",'TMP Paste'!$E1571)</f>
        <v/>
      </c>
      <c r="B1571" t="str">
        <f>IF($A1571="","",COUNTIF('TMP Paste'!$B$2:$B1571,"?*"))</f>
        <v/>
      </c>
      <c r="C1571" t="str">
        <f>IF($A1571="","",IFERROR('TMP Paste'!$M1571*1,0))</f>
        <v/>
      </c>
      <c r="D1571" t="str">
        <f>IF($A1571="","",SUMIF($B$2:$B1571,$B1571,$C$2:$C1571))</f>
        <v/>
      </c>
      <c r="E1571">
        <f>IF($A1571="",0,IF('TMP Paste'!$B1571="",0,1))</f>
        <v>0</v>
      </c>
      <c r="F1571" t="str">
        <f t="shared" si="120"/>
        <v/>
      </c>
      <c r="G1571" t="str">
        <f t="shared" si="121"/>
        <v/>
      </c>
      <c r="H1571" t="str">
        <f t="shared" si="122"/>
        <v/>
      </c>
      <c r="I1571" t="str">
        <f t="shared" si="123"/>
        <v/>
      </c>
      <c r="J1571" t="str">
        <f t="shared" si="124"/>
        <v/>
      </c>
      <c r="K1571" t="str">
        <f>IF($A1571="","",IF(COUNTIF($B$2:$B1571,$B1571)=COUNTIF($B$2:$B$1601,$B1571),$B1571,""))</f>
        <v/>
      </c>
    </row>
    <row r="1572" spans="1:11">
      <c r="A1572" t="str">
        <f>IF('TMP Paste'!$E1572="","",'TMP Paste'!$E1572)</f>
        <v/>
      </c>
      <c r="B1572" t="str">
        <f>IF($A1572="","",COUNTIF('TMP Paste'!$B$2:$B1572,"?*"))</f>
        <v/>
      </c>
      <c r="C1572" t="str">
        <f>IF($A1572="","",IFERROR('TMP Paste'!$M1572*1,0))</f>
        <v/>
      </c>
      <c r="D1572" t="str">
        <f>IF($A1572="","",SUMIF($B$2:$B1572,$B1572,$C$2:$C1572))</f>
        <v/>
      </c>
      <c r="E1572">
        <f>IF($A1572="",0,IF('TMP Paste'!$B1572="",0,1))</f>
        <v>0</v>
      </c>
      <c r="F1572" t="str">
        <f t="shared" si="120"/>
        <v/>
      </c>
      <c r="G1572" t="str">
        <f t="shared" si="121"/>
        <v/>
      </c>
      <c r="H1572" t="str">
        <f t="shared" si="122"/>
        <v/>
      </c>
      <c r="I1572" t="str">
        <f t="shared" si="123"/>
        <v/>
      </c>
      <c r="J1572" t="str">
        <f t="shared" si="124"/>
        <v/>
      </c>
      <c r="K1572" t="str">
        <f>IF($A1572="","",IF(COUNTIF($B$2:$B1572,$B1572)=COUNTIF($B$2:$B$1601,$B1572),$B1572,""))</f>
        <v/>
      </c>
    </row>
    <row r="1573" spans="1:11">
      <c r="A1573" t="str">
        <f>IF('TMP Paste'!$E1573="","",'TMP Paste'!$E1573)</f>
        <v/>
      </c>
      <c r="B1573" t="str">
        <f>IF($A1573="","",COUNTIF('TMP Paste'!$B$2:$B1573,"?*"))</f>
        <v/>
      </c>
      <c r="C1573" t="str">
        <f>IF($A1573="","",IFERROR('TMP Paste'!$M1573*1,0))</f>
        <v/>
      </c>
      <c r="D1573" t="str">
        <f>IF($A1573="","",SUMIF($B$2:$B1573,$B1573,$C$2:$C1573))</f>
        <v/>
      </c>
      <c r="E1573">
        <f>IF($A1573="",0,IF('TMP Paste'!$B1573="",0,1))</f>
        <v>0</v>
      </c>
      <c r="F1573" t="str">
        <f t="shared" si="120"/>
        <v/>
      </c>
      <c r="G1573" t="str">
        <f t="shared" si="121"/>
        <v/>
      </c>
      <c r="H1573" t="str">
        <f t="shared" si="122"/>
        <v/>
      </c>
      <c r="I1573" t="str">
        <f t="shared" si="123"/>
        <v/>
      </c>
      <c r="J1573" t="str">
        <f t="shared" si="124"/>
        <v/>
      </c>
      <c r="K1573" t="str">
        <f>IF($A1573="","",IF(COUNTIF($B$2:$B1573,$B1573)=COUNTIF($B$2:$B$1601,$B1573),$B1573,""))</f>
        <v/>
      </c>
    </row>
    <row r="1574" spans="1:11">
      <c r="A1574" t="str">
        <f>IF('TMP Paste'!$E1574="","",'TMP Paste'!$E1574)</f>
        <v/>
      </c>
      <c r="B1574" t="str">
        <f>IF($A1574="","",COUNTIF('TMP Paste'!$B$2:$B1574,"?*"))</f>
        <v/>
      </c>
      <c r="C1574" t="str">
        <f>IF($A1574="","",IFERROR('TMP Paste'!$M1574*1,0))</f>
        <v/>
      </c>
      <c r="D1574" t="str">
        <f>IF($A1574="","",SUMIF($B$2:$B1574,$B1574,$C$2:$C1574))</f>
        <v/>
      </c>
      <c r="E1574">
        <f>IF($A1574="",0,IF('TMP Paste'!$B1574="",0,1))</f>
        <v>0</v>
      </c>
      <c r="F1574" t="str">
        <f t="shared" si="120"/>
        <v/>
      </c>
      <c r="G1574" t="str">
        <f t="shared" si="121"/>
        <v/>
      </c>
      <c r="H1574" t="str">
        <f t="shared" si="122"/>
        <v/>
      </c>
      <c r="I1574" t="str">
        <f t="shared" si="123"/>
        <v/>
      </c>
      <c r="J1574" t="str">
        <f t="shared" si="124"/>
        <v/>
      </c>
      <c r="K1574" t="str">
        <f>IF($A1574="","",IF(COUNTIF($B$2:$B1574,$B1574)=COUNTIF($B$2:$B$1601,$B1574),$B1574,""))</f>
        <v/>
      </c>
    </row>
    <row r="1575" spans="1:11">
      <c r="A1575" t="str">
        <f>IF('TMP Paste'!$E1575="","",'TMP Paste'!$E1575)</f>
        <v/>
      </c>
      <c r="B1575" t="str">
        <f>IF($A1575="","",COUNTIF('TMP Paste'!$B$2:$B1575,"?*"))</f>
        <v/>
      </c>
      <c r="C1575" t="str">
        <f>IF($A1575="","",IFERROR('TMP Paste'!$M1575*1,0))</f>
        <v/>
      </c>
      <c r="D1575" t="str">
        <f>IF($A1575="","",SUMIF($B$2:$B1575,$B1575,$C$2:$C1575))</f>
        <v/>
      </c>
      <c r="E1575">
        <f>IF($A1575="",0,IF('TMP Paste'!$B1575="",0,1))</f>
        <v>0</v>
      </c>
      <c r="F1575" t="str">
        <f t="shared" si="120"/>
        <v/>
      </c>
      <c r="G1575" t="str">
        <f t="shared" si="121"/>
        <v/>
      </c>
      <c r="H1575" t="str">
        <f t="shared" si="122"/>
        <v/>
      </c>
      <c r="I1575" t="str">
        <f t="shared" si="123"/>
        <v/>
      </c>
      <c r="J1575" t="str">
        <f t="shared" si="124"/>
        <v/>
      </c>
      <c r="K1575" t="str">
        <f>IF($A1575="","",IF(COUNTIF($B$2:$B1575,$B1575)=COUNTIF($B$2:$B$1601,$B1575),$B1575,""))</f>
        <v/>
      </c>
    </row>
    <row r="1576" spans="1:11">
      <c r="A1576" t="str">
        <f>IF('TMP Paste'!$E1576="","",'TMP Paste'!$E1576)</f>
        <v/>
      </c>
      <c r="B1576" t="str">
        <f>IF($A1576="","",COUNTIF('TMP Paste'!$B$2:$B1576,"?*"))</f>
        <v/>
      </c>
      <c r="C1576" t="str">
        <f>IF($A1576="","",IFERROR('TMP Paste'!$M1576*1,0))</f>
        <v/>
      </c>
      <c r="D1576" t="str">
        <f>IF($A1576="","",SUMIF($B$2:$B1576,$B1576,$C$2:$C1576))</f>
        <v/>
      </c>
      <c r="E1576">
        <f>IF($A1576="",0,IF('TMP Paste'!$B1576="",0,1))</f>
        <v>0</v>
      </c>
      <c r="F1576" t="str">
        <f t="shared" si="120"/>
        <v/>
      </c>
      <c r="G1576" t="str">
        <f t="shared" si="121"/>
        <v/>
      </c>
      <c r="H1576" t="str">
        <f t="shared" si="122"/>
        <v/>
      </c>
      <c r="I1576" t="str">
        <f t="shared" si="123"/>
        <v/>
      </c>
      <c r="J1576" t="str">
        <f t="shared" si="124"/>
        <v/>
      </c>
      <c r="K1576" t="str">
        <f>IF($A1576="","",IF(COUNTIF($B$2:$B1576,$B1576)=COUNTIF($B$2:$B$1601,$B1576),$B1576,""))</f>
        <v/>
      </c>
    </row>
    <row r="1577" spans="1:11">
      <c r="A1577" t="str">
        <f>IF('TMP Paste'!$E1577="","",'TMP Paste'!$E1577)</f>
        <v/>
      </c>
      <c r="B1577" t="str">
        <f>IF($A1577="","",COUNTIF('TMP Paste'!$B$2:$B1577,"?*"))</f>
        <v/>
      </c>
      <c r="C1577" t="str">
        <f>IF($A1577="","",IFERROR('TMP Paste'!$M1577*1,0))</f>
        <v/>
      </c>
      <c r="D1577" t="str">
        <f>IF($A1577="","",SUMIF($B$2:$B1577,$B1577,$C$2:$C1577))</f>
        <v/>
      </c>
      <c r="E1577">
        <f>IF($A1577="",0,IF('TMP Paste'!$B1577="",0,1))</f>
        <v>0</v>
      </c>
      <c r="F1577" t="str">
        <f t="shared" si="120"/>
        <v/>
      </c>
      <c r="G1577" t="str">
        <f t="shared" si="121"/>
        <v/>
      </c>
      <c r="H1577" t="str">
        <f t="shared" si="122"/>
        <v/>
      </c>
      <c r="I1577" t="str">
        <f t="shared" si="123"/>
        <v/>
      </c>
      <c r="J1577" t="str">
        <f t="shared" si="124"/>
        <v/>
      </c>
      <c r="K1577" t="str">
        <f>IF($A1577="","",IF(COUNTIF($B$2:$B1577,$B1577)=COUNTIF($B$2:$B$1601,$B1577),$B1577,""))</f>
        <v/>
      </c>
    </row>
    <row r="1578" spans="1:11">
      <c r="A1578" t="str">
        <f>IF('TMP Paste'!$E1578="","",'TMP Paste'!$E1578)</f>
        <v/>
      </c>
      <c r="B1578" t="str">
        <f>IF($A1578="","",COUNTIF('TMP Paste'!$B$2:$B1578,"?*"))</f>
        <v/>
      </c>
      <c r="C1578" t="str">
        <f>IF($A1578="","",IFERROR('TMP Paste'!$M1578*1,0))</f>
        <v/>
      </c>
      <c r="D1578" t="str">
        <f>IF($A1578="","",SUMIF($B$2:$B1578,$B1578,$C$2:$C1578))</f>
        <v/>
      </c>
      <c r="E1578">
        <f>IF($A1578="",0,IF('TMP Paste'!$B1578="",0,1))</f>
        <v>0</v>
      </c>
      <c r="F1578" t="str">
        <f t="shared" si="120"/>
        <v/>
      </c>
      <c r="G1578" t="str">
        <f t="shared" si="121"/>
        <v/>
      </c>
      <c r="H1578" t="str">
        <f t="shared" si="122"/>
        <v/>
      </c>
      <c r="I1578" t="str">
        <f t="shared" si="123"/>
        <v/>
      </c>
      <c r="J1578" t="str">
        <f t="shared" si="124"/>
        <v/>
      </c>
      <c r="K1578" t="str">
        <f>IF($A1578="","",IF(COUNTIF($B$2:$B1578,$B1578)=COUNTIF($B$2:$B$1601,$B1578),$B1578,""))</f>
        <v/>
      </c>
    </row>
    <row r="1579" spans="1:11">
      <c r="A1579" t="str">
        <f>IF('TMP Paste'!$E1579="","",'TMP Paste'!$E1579)</f>
        <v/>
      </c>
      <c r="B1579" t="str">
        <f>IF($A1579="","",COUNTIF('TMP Paste'!$B$2:$B1579,"?*"))</f>
        <v/>
      </c>
      <c r="C1579" t="str">
        <f>IF($A1579="","",IFERROR('TMP Paste'!$M1579*1,0))</f>
        <v/>
      </c>
      <c r="D1579" t="str">
        <f>IF($A1579="","",SUMIF($B$2:$B1579,$B1579,$C$2:$C1579))</f>
        <v/>
      </c>
      <c r="E1579">
        <f>IF($A1579="",0,IF('TMP Paste'!$B1579="",0,1))</f>
        <v>0</v>
      </c>
      <c r="F1579" t="str">
        <f t="shared" si="120"/>
        <v/>
      </c>
      <c r="G1579" t="str">
        <f t="shared" si="121"/>
        <v/>
      </c>
      <c r="H1579" t="str">
        <f t="shared" si="122"/>
        <v/>
      </c>
      <c r="I1579" t="str">
        <f t="shared" si="123"/>
        <v/>
      </c>
      <c r="J1579" t="str">
        <f t="shared" si="124"/>
        <v/>
      </c>
      <c r="K1579" t="str">
        <f>IF($A1579="","",IF(COUNTIF($B$2:$B1579,$B1579)=COUNTIF($B$2:$B$1601,$B1579),$B1579,""))</f>
        <v/>
      </c>
    </row>
    <row r="1580" spans="1:11">
      <c r="A1580" t="str">
        <f>IF('TMP Paste'!$E1580="","",'TMP Paste'!$E1580)</f>
        <v/>
      </c>
      <c r="B1580" t="str">
        <f>IF($A1580="","",COUNTIF('TMP Paste'!$B$2:$B1580,"?*"))</f>
        <v/>
      </c>
      <c r="C1580" t="str">
        <f>IF($A1580="","",IFERROR('TMP Paste'!$M1580*1,0))</f>
        <v/>
      </c>
      <c r="D1580" t="str">
        <f>IF($A1580="","",SUMIF($B$2:$B1580,$B1580,$C$2:$C1580))</f>
        <v/>
      </c>
      <c r="E1580">
        <f>IF($A1580="",0,IF('TMP Paste'!$B1580="",0,1))</f>
        <v>0</v>
      </c>
      <c r="F1580" t="str">
        <f t="shared" si="120"/>
        <v/>
      </c>
      <c r="G1580" t="str">
        <f t="shared" si="121"/>
        <v/>
      </c>
      <c r="H1580" t="str">
        <f t="shared" si="122"/>
        <v/>
      </c>
      <c r="I1580" t="str">
        <f t="shared" si="123"/>
        <v/>
      </c>
      <c r="J1580" t="str">
        <f t="shared" si="124"/>
        <v/>
      </c>
      <c r="K1580" t="str">
        <f>IF($A1580="","",IF(COUNTIF($B$2:$B1580,$B1580)=COUNTIF($B$2:$B$1601,$B1580),$B1580,""))</f>
        <v/>
      </c>
    </row>
    <row r="1581" spans="1:11">
      <c r="A1581" t="str">
        <f>IF('TMP Paste'!$E1581="","",'TMP Paste'!$E1581)</f>
        <v/>
      </c>
      <c r="B1581" t="str">
        <f>IF($A1581="","",COUNTIF('TMP Paste'!$B$2:$B1581,"?*"))</f>
        <v/>
      </c>
      <c r="C1581" t="str">
        <f>IF($A1581="","",IFERROR('TMP Paste'!$M1581*1,0))</f>
        <v/>
      </c>
      <c r="D1581" t="str">
        <f>IF($A1581="","",SUMIF($B$2:$B1581,$B1581,$C$2:$C1581))</f>
        <v/>
      </c>
      <c r="E1581">
        <f>IF($A1581="",0,IF('TMP Paste'!$B1581="",0,1))</f>
        <v>0</v>
      </c>
      <c r="F1581" t="str">
        <f t="shared" si="120"/>
        <v/>
      </c>
      <c r="G1581" t="str">
        <f t="shared" si="121"/>
        <v/>
      </c>
      <c r="H1581" t="str">
        <f t="shared" si="122"/>
        <v/>
      </c>
      <c r="I1581" t="str">
        <f t="shared" si="123"/>
        <v/>
      </c>
      <c r="J1581" t="str">
        <f t="shared" si="124"/>
        <v/>
      </c>
      <c r="K1581" t="str">
        <f>IF($A1581="","",IF(COUNTIF($B$2:$B1581,$B1581)=COUNTIF($B$2:$B$1601,$B1581),$B1581,""))</f>
        <v/>
      </c>
    </row>
    <row r="1582" spans="1:11">
      <c r="A1582" t="str">
        <f>IF('TMP Paste'!$E1582="","",'TMP Paste'!$E1582)</f>
        <v/>
      </c>
      <c r="B1582" t="str">
        <f>IF($A1582="","",COUNTIF('TMP Paste'!$B$2:$B1582,"?*"))</f>
        <v/>
      </c>
      <c r="C1582" t="str">
        <f>IF($A1582="","",IFERROR('TMP Paste'!$M1582*1,0))</f>
        <v/>
      </c>
      <c r="D1582" t="str">
        <f>IF($A1582="","",SUMIF($B$2:$B1582,$B1582,$C$2:$C1582))</f>
        <v/>
      </c>
      <c r="E1582">
        <f>IF($A1582="",0,IF('TMP Paste'!$B1582="",0,1))</f>
        <v>0</v>
      </c>
      <c r="F1582" t="str">
        <f t="shared" si="120"/>
        <v/>
      </c>
      <c r="G1582" t="str">
        <f t="shared" si="121"/>
        <v/>
      </c>
      <c r="H1582" t="str">
        <f t="shared" si="122"/>
        <v/>
      </c>
      <c r="I1582" t="str">
        <f t="shared" si="123"/>
        <v/>
      </c>
      <c r="J1582" t="str">
        <f t="shared" si="124"/>
        <v/>
      </c>
      <c r="K1582" t="str">
        <f>IF($A1582="","",IF(COUNTIF($B$2:$B1582,$B1582)=COUNTIF($B$2:$B$1601,$B1582),$B1582,""))</f>
        <v/>
      </c>
    </row>
    <row r="1583" spans="1:11">
      <c r="A1583" t="str">
        <f>IF('TMP Paste'!$E1583="","",'TMP Paste'!$E1583)</f>
        <v/>
      </c>
      <c r="B1583" t="str">
        <f>IF($A1583="","",COUNTIF('TMP Paste'!$B$2:$B1583,"?*"))</f>
        <v/>
      </c>
      <c r="C1583" t="str">
        <f>IF($A1583="","",IFERROR('TMP Paste'!$M1583*1,0))</f>
        <v/>
      </c>
      <c r="D1583" t="str">
        <f>IF($A1583="","",SUMIF($B$2:$B1583,$B1583,$C$2:$C1583))</f>
        <v/>
      </c>
      <c r="E1583">
        <f>IF($A1583="",0,IF('TMP Paste'!$B1583="",0,1))</f>
        <v>0</v>
      </c>
      <c r="F1583" t="str">
        <f t="shared" si="120"/>
        <v/>
      </c>
      <c r="G1583" t="str">
        <f t="shared" si="121"/>
        <v/>
      </c>
      <c r="H1583" t="str">
        <f t="shared" si="122"/>
        <v/>
      </c>
      <c r="I1583" t="str">
        <f t="shared" si="123"/>
        <v/>
      </c>
      <c r="J1583" t="str">
        <f t="shared" si="124"/>
        <v/>
      </c>
      <c r="K1583" t="str">
        <f>IF($A1583="","",IF(COUNTIF($B$2:$B1583,$B1583)=COUNTIF($B$2:$B$1601,$B1583),$B1583,""))</f>
        <v/>
      </c>
    </row>
    <row r="1584" spans="1:11">
      <c r="A1584" t="str">
        <f>IF('TMP Paste'!$E1584="","",'TMP Paste'!$E1584)</f>
        <v/>
      </c>
      <c r="B1584" t="str">
        <f>IF($A1584="","",COUNTIF('TMP Paste'!$B$2:$B1584,"?*"))</f>
        <v/>
      </c>
      <c r="C1584" t="str">
        <f>IF($A1584="","",IFERROR('TMP Paste'!$M1584*1,0))</f>
        <v/>
      </c>
      <c r="D1584" t="str">
        <f>IF($A1584="","",SUMIF($B$2:$B1584,$B1584,$C$2:$C1584))</f>
        <v/>
      </c>
      <c r="E1584">
        <f>IF($A1584="",0,IF('TMP Paste'!$B1584="",0,1))</f>
        <v>0</v>
      </c>
      <c r="F1584" t="str">
        <f t="shared" si="120"/>
        <v/>
      </c>
      <c r="G1584" t="str">
        <f t="shared" si="121"/>
        <v/>
      </c>
      <c r="H1584" t="str">
        <f t="shared" si="122"/>
        <v/>
      </c>
      <c r="I1584" t="str">
        <f t="shared" si="123"/>
        <v/>
      </c>
      <c r="J1584" t="str">
        <f t="shared" si="124"/>
        <v/>
      </c>
      <c r="K1584" t="str">
        <f>IF($A1584="","",IF(COUNTIF($B$2:$B1584,$B1584)=COUNTIF($B$2:$B$1601,$B1584),$B1584,""))</f>
        <v/>
      </c>
    </row>
    <row r="1585" spans="1:11">
      <c r="A1585" t="str">
        <f>IF('TMP Paste'!$E1585="","",'TMP Paste'!$E1585)</f>
        <v/>
      </c>
      <c r="B1585" t="str">
        <f>IF($A1585="","",COUNTIF('TMP Paste'!$B$2:$B1585,"?*"))</f>
        <v/>
      </c>
      <c r="C1585" t="str">
        <f>IF($A1585="","",IFERROR('TMP Paste'!$M1585*1,0))</f>
        <v/>
      </c>
      <c r="D1585" t="str">
        <f>IF($A1585="","",SUMIF($B$2:$B1585,$B1585,$C$2:$C1585))</f>
        <v/>
      </c>
      <c r="E1585">
        <f>IF($A1585="",0,IF('TMP Paste'!$B1585="",0,1))</f>
        <v>0</v>
      </c>
      <c r="F1585" t="str">
        <f t="shared" si="120"/>
        <v/>
      </c>
      <c r="G1585" t="str">
        <f t="shared" si="121"/>
        <v/>
      </c>
      <c r="H1585" t="str">
        <f t="shared" si="122"/>
        <v/>
      </c>
      <c r="I1585" t="str">
        <f t="shared" si="123"/>
        <v/>
      </c>
      <c r="J1585" t="str">
        <f t="shared" si="124"/>
        <v/>
      </c>
      <c r="K1585" t="str">
        <f>IF($A1585="","",IF(COUNTIF($B$2:$B1585,$B1585)=COUNTIF($B$2:$B$1601,$B1585),$B1585,""))</f>
        <v/>
      </c>
    </row>
    <row r="1586" spans="1:11">
      <c r="A1586" t="str">
        <f>IF('TMP Paste'!$E1586="","",'TMP Paste'!$E1586)</f>
        <v/>
      </c>
      <c r="B1586" t="str">
        <f>IF($A1586="","",COUNTIF('TMP Paste'!$B$2:$B1586,"?*"))</f>
        <v/>
      </c>
      <c r="C1586" t="str">
        <f>IF($A1586="","",IFERROR('TMP Paste'!$M1586*1,0))</f>
        <v/>
      </c>
      <c r="D1586" t="str">
        <f>IF($A1586="","",SUMIF($B$2:$B1586,$B1586,$C$2:$C1586))</f>
        <v/>
      </c>
      <c r="E1586">
        <f>IF($A1586="",0,IF('TMP Paste'!$B1586="",0,1))</f>
        <v>0</v>
      </c>
      <c r="F1586" t="str">
        <f t="shared" si="120"/>
        <v/>
      </c>
      <c r="G1586" t="str">
        <f t="shared" si="121"/>
        <v/>
      </c>
      <c r="H1586" t="str">
        <f t="shared" si="122"/>
        <v/>
      </c>
      <c r="I1586" t="str">
        <f t="shared" si="123"/>
        <v/>
      </c>
      <c r="J1586" t="str">
        <f t="shared" si="124"/>
        <v/>
      </c>
      <c r="K1586" t="str">
        <f>IF($A1586="","",IF(COUNTIF($B$2:$B1586,$B1586)=COUNTIF($B$2:$B$1601,$B1586),$B1586,""))</f>
        <v/>
      </c>
    </row>
    <row r="1587" spans="1:11">
      <c r="A1587" t="str">
        <f>IF('TMP Paste'!$E1587="","",'TMP Paste'!$E1587)</f>
        <v/>
      </c>
      <c r="B1587" t="str">
        <f>IF($A1587="","",COUNTIF('TMP Paste'!$B$2:$B1587,"?*"))</f>
        <v/>
      </c>
      <c r="C1587" t="str">
        <f>IF($A1587="","",IFERROR('TMP Paste'!$M1587*1,0))</f>
        <v/>
      </c>
      <c r="D1587" t="str">
        <f>IF($A1587="","",SUMIF($B$2:$B1587,$B1587,$C$2:$C1587))</f>
        <v/>
      </c>
      <c r="E1587">
        <f>IF($A1587="",0,IF('TMP Paste'!$B1587="",0,1))</f>
        <v>0</v>
      </c>
      <c r="F1587" t="str">
        <f t="shared" si="120"/>
        <v/>
      </c>
      <c r="G1587" t="str">
        <f t="shared" si="121"/>
        <v/>
      </c>
      <c r="H1587" t="str">
        <f t="shared" si="122"/>
        <v/>
      </c>
      <c r="I1587" t="str">
        <f t="shared" si="123"/>
        <v/>
      </c>
      <c r="J1587" t="str">
        <f t="shared" si="124"/>
        <v/>
      </c>
      <c r="K1587" t="str">
        <f>IF($A1587="","",IF(COUNTIF($B$2:$B1587,$B1587)=COUNTIF($B$2:$B$1601,$B1587),$B1587,""))</f>
        <v/>
      </c>
    </row>
    <row r="1588" spans="1:11">
      <c r="A1588" t="str">
        <f>IF('TMP Paste'!$E1588="","",'TMP Paste'!$E1588)</f>
        <v/>
      </c>
      <c r="B1588" t="str">
        <f>IF($A1588="","",COUNTIF('TMP Paste'!$B$2:$B1588,"?*"))</f>
        <v/>
      </c>
      <c r="C1588" t="str">
        <f>IF($A1588="","",IFERROR('TMP Paste'!$M1588*1,0))</f>
        <v/>
      </c>
      <c r="D1588" t="str">
        <f>IF($A1588="","",SUMIF($B$2:$B1588,$B1588,$C$2:$C1588))</f>
        <v/>
      </c>
      <c r="E1588">
        <f>IF($A1588="",0,IF('TMP Paste'!$B1588="",0,1))</f>
        <v>0</v>
      </c>
      <c r="F1588" t="str">
        <f t="shared" si="120"/>
        <v/>
      </c>
      <c r="G1588" t="str">
        <f t="shared" si="121"/>
        <v/>
      </c>
      <c r="H1588" t="str">
        <f t="shared" si="122"/>
        <v/>
      </c>
      <c r="I1588" t="str">
        <f t="shared" si="123"/>
        <v/>
      </c>
      <c r="J1588" t="str">
        <f t="shared" si="124"/>
        <v/>
      </c>
      <c r="K1588" t="str">
        <f>IF($A1588="","",IF(COUNTIF($B$2:$B1588,$B1588)=COUNTIF($B$2:$B$1601,$B1588),$B1588,""))</f>
        <v/>
      </c>
    </row>
    <row r="1589" spans="1:11">
      <c r="A1589" t="str">
        <f>IF('TMP Paste'!$E1589="","",'TMP Paste'!$E1589)</f>
        <v/>
      </c>
      <c r="B1589" t="str">
        <f>IF($A1589="","",COUNTIF('TMP Paste'!$B$2:$B1589,"?*"))</f>
        <v/>
      </c>
      <c r="C1589" t="str">
        <f>IF($A1589="","",IFERROR('TMP Paste'!$M1589*1,0))</f>
        <v/>
      </c>
      <c r="D1589" t="str">
        <f>IF($A1589="","",SUMIF($B$2:$B1589,$B1589,$C$2:$C1589))</f>
        <v/>
      </c>
      <c r="E1589">
        <f>IF($A1589="",0,IF('TMP Paste'!$B1589="",0,1))</f>
        <v>0</v>
      </c>
      <c r="F1589" t="str">
        <f t="shared" si="120"/>
        <v/>
      </c>
      <c r="G1589" t="str">
        <f t="shared" si="121"/>
        <v/>
      </c>
      <c r="H1589" t="str">
        <f t="shared" si="122"/>
        <v/>
      </c>
      <c r="I1589" t="str">
        <f t="shared" si="123"/>
        <v/>
      </c>
      <c r="J1589" t="str">
        <f t="shared" si="124"/>
        <v/>
      </c>
      <c r="K1589" t="str">
        <f>IF($A1589="","",IF(COUNTIF($B$2:$B1589,$B1589)=COUNTIF($B$2:$B$1601,$B1589),$B1589,""))</f>
        <v/>
      </c>
    </row>
    <row r="1590" spans="1:11">
      <c r="A1590" t="str">
        <f>IF('TMP Paste'!$E1590="","",'TMP Paste'!$E1590)</f>
        <v/>
      </c>
      <c r="B1590" t="str">
        <f>IF($A1590="","",COUNTIF('TMP Paste'!$B$2:$B1590,"?*"))</f>
        <v/>
      </c>
      <c r="C1590" t="str">
        <f>IF($A1590="","",IFERROR('TMP Paste'!$M1590*1,0))</f>
        <v/>
      </c>
      <c r="D1590" t="str">
        <f>IF($A1590="","",SUMIF($B$2:$B1590,$B1590,$C$2:$C1590))</f>
        <v/>
      </c>
      <c r="E1590">
        <f>IF($A1590="",0,IF('TMP Paste'!$B1590="",0,1))</f>
        <v>0</v>
      </c>
      <c r="F1590" t="str">
        <f t="shared" si="120"/>
        <v/>
      </c>
      <c r="G1590" t="str">
        <f t="shared" si="121"/>
        <v/>
      </c>
      <c r="H1590" t="str">
        <f t="shared" si="122"/>
        <v/>
      </c>
      <c r="I1590" t="str">
        <f t="shared" si="123"/>
        <v/>
      </c>
      <c r="J1590" t="str">
        <f t="shared" si="124"/>
        <v/>
      </c>
      <c r="K1590" t="str">
        <f>IF($A1590="","",IF(COUNTIF($B$2:$B1590,$B1590)=COUNTIF($B$2:$B$1601,$B1590),$B1590,""))</f>
        <v/>
      </c>
    </row>
    <row r="1591" spans="1:11">
      <c r="A1591" t="str">
        <f>IF('TMP Paste'!$E1591="","",'TMP Paste'!$E1591)</f>
        <v/>
      </c>
      <c r="B1591" t="str">
        <f>IF($A1591="","",COUNTIF('TMP Paste'!$B$2:$B1591,"?*"))</f>
        <v/>
      </c>
      <c r="C1591" t="str">
        <f>IF($A1591="","",IFERROR('TMP Paste'!$M1591*1,0))</f>
        <v/>
      </c>
      <c r="D1591" t="str">
        <f>IF($A1591="","",SUMIF($B$2:$B1591,$B1591,$C$2:$C1591))</f>
        <v/>
      </c>
      <c r="E1591">
        <f>IF($A1591="",0,IF('TMP Paste'!$B1591="",0,1))</f>
        <v>0</v>
      </c>
      <c r="F1591" t="str">
        <f t="shared" si="120"/>
        <v/>
      </c>
      <c r="G1591" t="str">
        <f t="shared" si="121"/>
        <v/>
      </c>
      <c r="H1591" t="str">
        <f t="shared" si="122"/>
        <v/>
      </c>
      <c r="I1591" t="str">
        <f t="shared" si="123"/>
        <v/>
      </c>
      <c r="J1591" t="str">
        <f t="shared" si="124"/>
        <v/>
      </c>
      <c r="K1591" t="str">
        <f>IF($A1591="","",IF(COUNTIF($B$2:$B1591,$B1591)=COUNTIF($B$2:$B$1601,$B1591),$B1591,""))</f>
        <v/>
      </c>
    </row>
    <row r="1592" spans="1:11">
      <c r="A1592" t="str">
        <f>IF('TMP Paste'!$E1592="","",'TMP Paste'!$E1592)</f>
        <v/>
      </c>
      <c r="B1592" t="str">
        <f>IF($A1592="","",COUNTIF('TMP Paste'!$B$2:$B1592,"?*"))</f>
        <v/>
      </c>
      <c r="C1592" t="str">
        <f>IF($A1592="","",IFERROR('TMP Paste'!$M1592*1,0))</f>
        <v/>
      </c>
      <c r="D1592" t="str">
        <f>IF($A1592="","",SUMIF($B$2:$B1592,$B1592,$C$2:$C1592))</f>
        <v/>
      </c>
      <c r="E1592">
        <f>IF($A1592="",0,IF('TMP Paste'!$B1592="",0,1))</f>
        <v>0</v>
      </c>
      <c r="F1592" t="str">
        <f t="shared" si="120"/>
        <v/>
      </c>
      <c r="G1592" t="str">
        <f t="shared" si="121"/>
        <v/>
      </c>
      <c r="H1592" t="str">
        <f t="shared" si="122"/>
        <v/>
      </c>
      <c r="I1592" t="str">
        <f t="shared" si="123"/>
        <v/>
      </c>
      <c r="J1592" t="str">
        <f t="shared" si="124"/>
        <v/>
      </c>
      <c r="K1592" t="str">
        <f>IF($A1592="","",IF(COUNTIF($B$2:$B1592,$B1592)=COUNTIF($B$2:$B$1601,$B1592),$B1592,""))</f>
        <v/>
      </c>
    </row>
    <row r="1593" spans="1:11">
      <c r="A1593" t="str">
        <f>IF('TMP Paste'!$E1593="","",'TMP Paste'!$E1593)</f>
        <v/>
      </c>
      <c r="B1593" t="str">
        <f>IF($A1593="","",COUNTIF('TMP Paste'!$B$2:$B1593,"?*"))</f>
        <v/>
      </c>
      <c r="C1593" t="str">
        <f>IF($A1593="","",IFERROR('TMP Paste'!$M1593*1,0))</f>
        <v/>
      </c>
      <c r="D1593" t="str">
        <f>IF($A1593="","",SUMIF($B$2:$B1593,$B1593,$C$2:$C1593))</f>
        <v/>
      </c>
      <c r="E1593">
        <f>IF($A1593="",0,IF('TMP Paste'!$B1593="",0,1))</f>
        <v>0</v>
      </c>
      <c r="F1593" t="str">
        <f t="shared" si="120"/>
        <v/>
      </c>
      <c r="G1593" t="str">
        <f t="shared" si="121"/>
        <v/>
      </c>
      <c r="H1593" t="str">
        <f t="shared" si="122"/>
        <v/>
      </c>
      <c r="I1593" t="str">
        <f t="shared" si="123"/>
        <v/>
      </c>
      <c r="J1593" t="str">
        <f t="shared" si="124"/>
        <v/>
      </c>
      <c r="K1593" t="str">
        <f>IF($A1593="","",IF(COUNTIF($B$2:$B1593,$B1593)=COUNTIF($B$2:$B$1601,$B1593),$B1593,""))</f>
        <v/>
      </c>
    </row>
    <row r="1594" spans="1:11">
      <c r="A1594" t="str">
        <f>IF('TMP Paste'!$E1594="","",'TMP Paste'!$E1594)</f>
        <v/>
      </c>
      <c r="B1594" t="str">
        <f>IF($A1594="","",COUNTIF('TMP Paste'!$B$2:$B1594,"?*"))</f>
        <v/>
      </c>
      <c r="C1594" t="str">
        <f>IF($A1594="","",IFERROR('TMP Paste'!$M1594*1,0))</f>
        <v/>
      </c>
      <c r="D1594" t="str">
        <f>IF($A1594="","",SUMIF($B$2:$B1594,$B1594,$C$2:$C1594))</f>
        <v/>
      </c>
      <c r="E1594">
        <f>IF($A1594="",0,IF('TMP Paste'!$B1594="",0,1))</f>
        <v>0</v>
      </c>
      <c r="F1594" t="str">
        <f t="shared" si="120"/>
        <v/>
      </c>
      <c r="G1594" t="str">
        <f t="shared" si="121"/>
        <v/>
      </c>
      <c r="H1594" t="str">
        <f t="shared" si="122"/>
        <v/>
      </c>
      <c r="I1594" t="str">
        <f t="shared" si="123"/>
        <v/>
      </c>
      <c r="J1594" t="str">
        <f t="shared" si="124"/>
        <v/>
      </c>
      <c r="K1594" t="str">
        <f>IF($A1594="","",IF(COUNTIF($B$2:$B1594,$B1594)=COUNTIF($B$2:$B$1601,$B1594),$B1594,""))</f>
        <v/>
      </c>
    </row>
    <row r="1595" spans="1:11">
      <c r="A1595" t="str">
        <f>IF('TMP Paste'!$E1595="","",'TMP Paste'!$E1595)</f>
        <v/>
      </c>
      <c r="B1595" t="str">
        <f>IF($A1595="","",COUNTIF('TMP Paste'!$B$2:$B1595,"?*"))</f>
        <v/>
      </c>
      <c r="C1595" t="str">
        <f>IF($A1595="","",IFERROR('TMP Paste'!$M1595*1,0))</f>
        <v/>
      </c>
      <c r="D1595" t="str">
        <f>IF($A1595="","",SUMIF($B$2:$B1595,$B1595,$C$2:$C1595))</f>
        <v/>
      </c>
      <c r="E1595">
        <f>IF($A1595="",0,IF('TMP Paste'!$B1595="",0,1))</f>
        <v>0</v>
      </c>
      <c r="F1595" t="str">
        <f t="shared" si="120"/>
        <v/>
      </c>
      <c r="G1595" t="str">
        <f t="shared" si="121"/>
        <v/>
      </c>
      <c r="H1595" t="str">
        <f t="shared" si="122"/>
        <v/>
      </c>
      <c r="I1595" t="str">
        <f t="shared" si="123"/>
        <v/>
      </c>
      <c r="J1595" t="str">
        <f t="shared" si="124"/>
        <v/>
      </c>
      <c r="K1595" t="str">
        <f>IF($A1595="","",IF(COUNTIF($B$2:$B1595,$B1595)=COUNTIF($B$2:$B$1601,$B1595),$B1595,""))</f>
        <v/>
      </c>
    </row>
    <row r="1596" spans="1:11">
      <c r="A1596" t="str">
        <f>IF('TMP Paste'!$E1596="","",'TMP Paste'!$E1596)</f>
        <v/>
      </c>
      <c r="B1596" t="str">
        <f>IF($A1596="","",COUNTIF('TMP Paste'!$B$2:$B1596,"?*"))</f>
        <v/>
      </c>
      <c r="C1596" t="str">
        <f>IF($A1596="","",IFERROR('TMP Paste'!$M1596*1,0))</f>
        <v/>
      </c>
      <c r="D1596" t="str">
        <f>IF($A1596="","",SUMIF($B$2:$B1596,$B1596,$C$2:$C1596))</f>
        <v/>
      </c>
      <c r="E1596">
        <f>IF($A1596="",0,IF('TMP Paste'!$B1596="",0,1))</f>
        <v>0</v>
      </c>
      <c r="F1596" t="str">
        <f t="shared" si="120"/>
        <v/>
      </c>
      <c r="G1596" t="str">
        <f t="shared" si="121"/>
        <v/>
      </c>
      <c r="H1596" t="str">
        <f t="shared" si="122"/>
        <v/>
      </c>
      <c r="I1596" t="str">
        <f t="shared" si="123"/>
        <v/>
      </c>
      <c r="J1596" t="str">
        <f t="shared" si="124"/>
        <v/>
      </c>
      <c r="K1596" t="str">
        <f>IF($A1596="","",IF(COUNTIF($B$2:$B1596,$B1596)=COUNTIF($B$2:$B$1601,$B1596),$B1596,""))</f>
        <v/>
      </c>
    </row>
    <row r="1597" spans="1:11">
      <c r="A1597" t="str">
        <f>IF('TMP Paste'!$E1597="","",'TMP Paste'!$E1597)</f>
        <v/>
      </c>
      <c r="B1597" t="str">
        <f>IF($A1597="","",COUNTIF('TMP Paste'!$B$2:$B1597,"?*"))</f>
        <v/>
      </c>
      <c r="C1597" t="str">
        <f>IF($A1597="","",IFERROR('TMP Paste'!$M1597*1,0))</f>
        <v/>
      </c>
      <c r="D1597" t="str">
        <f>IF($A1597="","",SUMIF($B$2:$B1597,$B1597,$C$2:$C1597))</f>
        <v/>
      </c>
      <c r="E1597">
        <f>IF($A1597="",0,IF('TMP Paste'!$B1597="",0,1))</f>
        <v>0</v>
      </c>
      <c r="F1597" t="str">
        <f t="shared" si="120"/>
        <v/>
      </c>
      <c r="G1597" t="str">
        <f t="shared" si="121"/>
        <v/>
      </c>
      <c r="H1597" t="str">
        <f t="shared" si="122"/>
        <v/>
      </c>
      <c r="I1597" t="str">
        <f t="shared" si="123"/>
        <v/>
      </c>
      <c r="J1597" t="str">
        <f t="shared" si="124"/>
        <v/>
      </c>
      <c r="K1597" t="str">
        <f>IF($A1597="","",IF(COUNTIF($B$2:$B1597,$B1597)=COUNTIF($B$2:$B$1601,$B1597),$B1597,""))</f>
        <v/>
      </c>
    </row>
    <row r="1598" spans="1:11">
      <c r="A1598" t="str">
        <f>IF('TMP Paste'!$E1598="","",'TMP Paste'!$E1598)</f>
        <v/>
      </c>
      <c r="B1598" t="str">
        <f>IF($A1598="","",COUNTIF('TMP Paste'!$B$2:$B1598,"?*"))</f>
        <v/>
      </c>
      <c r="C1598" t="str">
        <f>IF($A1598="","",IFERROR('TMP Paste'!$M1598*1,0))</f>
        <v/>
      </c>
      <c r="D1598" t="str">
        <f>IF($A1598="","",SUMIF($B$2:$B1598,$B1598,$C$2:$C1598))</f>
        <v/>
      </c>
      <c r="E1598">
        <f>IF($A1598="",0,IF('TMP Paste'!$B1598="",0,1))</f>
        <v>0</v>
      </c>
      <c r="F1598" t="str">
        <f t="shared" si="120"/>
        <v/>
      </c>
      <c r="G1598" t="str">
        <f t="shared" si="121"/>
        <v/>
      </c>
      <c r="H1598" t="str">
        <f t="shared" si="122"/>
        <v/>
      </c>
      <c r="I1598" t="str">
        <f t="shared" si="123"/>
        <v/>
      </c>
      <c r="J1598" t="str">
        <f t="shared" si="124"/>
        <v/>
      </c>
      <c r="K1598" t="str">
        <f>IF($A1598="","",IF(COUNTIF($B$2:$B1598,$B1598)=COUNTIF($B$2:$B$1601,$B1598),$B1598,""))</f>
        <v/>
      </c>
    </row>
    <row r="1599" spans="1:11">
      <c r="A1599" t="str">
        <f>IF('TMP Paste'!$E1599="","",'TMP Paste'!$E1599)</f>
        <v/>
      </c>
      <c r="B1599" t="str">
        <f>IF($A1599="","",COUNTIF('TMP Paste'!$B$2:$B1599,"?*"))</f>
        <v/>
      </c>
      <c r="C1599" t="str">
        <f>IF($A1599="","",IFERROR('TMP Paste'!$M1599*1,0))</f>
        <v/>
      </c>
      <c r="D1599" t="str">
        <f>IF($A1599="","",SUMIF($B$2:$B1599,$B1599,$C$2:$C1599))</f>
        <v/>
      </c>
      <c r="E1599">
        <f>IF($A1599="",0,IF('TMP Paste'!$B1599="",0,1))</f>
        <v>0</v>
      </c>
      <c r="F1599" t="str">
        <f t="shared" si="120"/>
        <v/>
      </c>
      <c r="G1599" t="str">
        <f t="shared" si="121"/>
        <v/>
      </c>
      <c r="H1599" t="str">
        <f t="shared" si="122"/>
        <v/>
      </c>
      <c r="I1599" t="str">
        <f t="shared" si="123"/>
        <v/>
      </c>
      <c r="J1599" t="str">
        <f t="shared" si="124"/>
        <v/>
      </c>
      <c r="K1599" t="str">
        <f>IF($A1599="","",IF(COUNTIF($B$2:$B1599,$B1599)=COUNTIF($B$2:$B$1601,$B1599),$B1599,""))</f>
        <v/>
      </c>
    </row>
    <row r="1600" spans="1:11">
      <c r="A1600" t="str">
        <f>IF('TMP Paste'!$E1600="","",'TMP Paste'!$E1600)</f>
        <v/>
      </c>
      <c r="B1600" t="str">
        <f>IF($A1600="","",COUNTIF('TMP Paste'!$B$2:$B1600,"?*"))</f>
        <v/>
      </c>
      <c r="C1600" t="str">
        <f>IF($A1600="","",IFERROR('TMP Paste'!$M1600*1,0))</f>
        <v/>
      </c>
      <c r="D1600" t="str">
        <f>IF($A1600="","",SUMIF($B$2:$B1600,$B1600,$C$2:$C1600))</f>
        <v/>
      </c>
      <c r="E1600">
        <f>IF($A1600="",0,IF('TMP Paste'!$B1600="",0,1))</f>
        <v>0</v>
      </c>
      <c r="F1600" t="str">
        <f t="shared" si="120"/>
        <v/>
      </c>
      <c r="G1600" t="str">
        <f t="shared" si="121"/>
        <v/>
      </c>
      <c r="H1600" t="str">
        <f t="shared" si="122"/>
        <v/>
      </c>
      <c r="I1600" t="str">
        <f t="shared" si="123"/>
        <v/>
      </c>
      <c r="J1600" t="str">
        <f t="shared" si="124"/>
        <v/>
      </c>
      <c r="K1600" t="str">
        <f>IF($A1600="","",IF(COUNTIF($B$2:$B1600,$B1600)=COUNTIF($B$2:$B$1601,$B1600),$B1600,""))</f>
        <v/>
      </c>
    </row>
    <row r="1601" spans="1:11">
      <c r="A1601" t="str">
        <f>IF('TMP Paste'!$E1601="","",'TMP Paste'!$E1601)</f>
        <v/>
      </c>
      <c r="B1601" t="str">
        <f>IF($A1601="","",COUNTIF('TMP Paste'!$B$2:$B1601,"?*"))</f>
        <v/>
      </c>
      <c r="C1601" t="str">
        <f>IF($A1601="","",IFERROR('TMP Paste'!$M1601*1,0))</f>
        <v/>
      </c>
      <c r="D1601" t="str">
        <f>IF($A1601="","",SUMIF($B$2:$B1601,$B1601,$C$2:$C1601))</f>
        <v/>
      </c>
      <c r="E1601">
        <f>IF($A1601="",0,IF('TMP Paste'!$B1601="",0,1))</f>
        <v>0</v>
      </c>
      <c r="F1601" t="str">
        <f t="shared" si="120"/>
        <v/>
      </c>
      <c r="G1601" t="str">
        <f t="shared" si="121"/>
        <v/>
      </c>
      <c r="H1601" t="str">
        <f t="shared" si="122"/>
        <v/>
      </c>
      <c r="I1601" t="str">
        <f t="shared" si="123"/>
        <v/>
      </c>
      <c r="J1601" t="str">
        <f t="shared" si="124"/>
        <v/>
      </c>
      <c r="K1601" t="str">
        <f>IF($A1601="","",IF(COUNTIF($B$2:$B1601,$B1601)=COUNTIF($B$2:$B$1601,$B1601),$B1601,""))</f>
        <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Petunjuk</vt:lpstr>
      <vt:lpstr>Config</vt:lpstr>
      <vt:lpstr>TMP Paste</vt:lpstr>
      <vt:lpstr>OC Upload</vt:lpstr>
      <vt:lpstr>Calc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Baskoro Adi Nugroho</cp:lastModifiedBy>
  <dcterms:created xsi:type="dcterms:W3CDTF">2026-07-24T10:16:00Z</dcterms:created>
  <dcterms:modified xsi:type="dcterms:W3CDTF">2026-08-18T04:10:31Z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E60AB471C0014F699568741035D03C09_12</vt:lpwstr>
  </property>
  <property fmtid="{D5CDD505-2E9C-101B-9397-08002B2CF9AE}" pid="3" name="KSOProductBuildVer">
    <vt:lpwstr>1033-12.1.0.28032</vt:lpwstr>
  </property>
  <property fmtid="{D5CDD505-2E9C-101B-9397-08002B2CF9AE}" pid="4" name="CalculationRule">
    <vt:i4>0</vt:i4>
  </property>
</Properties>
</file>